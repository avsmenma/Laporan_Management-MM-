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 WBS" sheetId="1" r:id="rId5"/>
    <sheet state="visible" name="DB GC" sheetId="2" r:id="rId6"/>
    <sheet state="visible" name="DB BTL" sheetId="3" r:id="rId7"/>
    <sheet state="visible" name="Pivot Kontrol beban" sheetId="4" r:id="rId8"/>
    <sheet state="visible" name="K-Act1" sheetId="5" r:id="rId9"/>
    <sheet state="visible" name="K-Act2" sheetId="6" r:id="rId10"/>
    <sheet state="hidden" name="Plant" sheetId="7" r:id="rId11"/>
    <sheet state="visible" name="K-OHC1" sheetId="8" r:id="rId12"/>
    <sheet state="visible" name="K-OHC2" sheetId="9" r:id="rId13"/>
    <sheet state="visible" name="K-Prod1" sheetId="10" r:id="rId14"/>
    <sheet state="visible" name="K-Prod2" sheetId="11" r:id="rId15"/>
    <sheet state="visible" name="Balin-A" sheetId="12" r:id="rId16"/>
    <sheet state="visible" name="Sinta-A" sheetId="13" r:id="rId17"/>
    <sheet state="visible" name="Kumai-A" sheetId="14" r:id="rId18"/>
    <sheet state="visible" name="Lokal-A" sheetId="15" r:id="rId19"/>
    <sheet state="visible" name="Rekap LM14" sheetId="16" r:id="rId20"/>
    <sheet state="visible" name="Balin-B" sheetId="17" r:id="rId21"/>
    <sheet state="visible" name="Sinta-B" sheetId="18" r:id="rId22"/>
    <sheet state="visible" name="Kumai-B" sheetId="19" r:id="rId23"/>
    <sheet state="visible" name="Lokal-B" sheetId="20" r:id="rId24"/>
    <sheet state="visible" name="Rekap LM13" sheetId="21" r:id="rId25"/>
    <sheet state="visible" name="Tahun Lalu" sheetId="22" r:id="rId26"/>
    <sheet state="visible" name="RKAP" sheetId="23" r:id="rId27"/>
    <sheet state="visible" name="RKO" sheetId="24" r:id="rId28"/>
    <sheet state="visible" name="Link" sheetId="25" r:id="rId29"/>
    <sheet state="visible" name="Form HO" sheetId="26" r:id="rId30"/>
  </sheets>
  <definedNames/>
  <calcPr/>
  <pivotCaches>
    <pivotCache cacheId="0" r:id="rId31"/>
    <pivotCache cacheId="1" r:id="rId32"/>
  </pivotCaches>
</workbook>
</file>

<file path=xl/sharedStrings.xml><?xml version="1.0" encoding="utf-8"?>
<sst xmlns="http://schemas.openxmlformats.org/spreadsheetml/2006/main" count="70063" uniqueCount="1187">
  <si>
    <t>Budidaya</t>
  </si>
  <si>
    <t>Plant</t>
  </si>
  <si>
    <t>Desc.</t>
  </si>
  <si>
    <t>Period</t>
  </si>
  <si>
    <t>Aktifitas</t>
  </si>
  <si>
    <t>Job Name</t>
  </si>
  <si>
    <t>Cost Element</t>
  </si>
  <si>
    <t>Cost Element Desc</t>
  </si>
  <si>
    <t>Klasifikasi</t>
  </si>
  <si>
    <t>Nilai</t>
  </si>
  <si>
    <t>Fisik</t>
  </si>
  <si>
    <t>KR</t>
  </si>
  <si>
    <t>5E06</t>
  </si>
  <si>
    <t>KEBUN SINTANG</t>
  </si>
  <si>
    <t>60-03</t>
  </si>
  <si>
    <t>SADAP (ATS)</t>
  </si>
  <si>
    <t>Biaya Panen</t>
  </si>
  <si>
    <t>2. SPK</t>
  </si>
  <si>
    <t>Activity Type E-LBR</t>
  </si>
  <si>
    <t>1. Gaji</t>
  </si>
  <si>
    <t>90-03</t>
  </si>
  <si>
    <t>Assessment Panen</t>
  </si>
  <si>
    <t>99-01</t>
  </si>
  <si>
    <t>Assessment Karpim</t>
  </si>
  <si>
    <t>Assessment BTL - Keamanan</t>
  </si>
  <si>
    <t>6.Lain-Lain</t>
  </si>
  <si>
    <t>Assessment BTL-Gaji&amp;Tunjangan Karpim</t>
  </si>
  <si>
    <t>Assessment BTL-Pemeliharaan Bangunan Per</t>
  </si>
  <si>
    <t>Assessment BTL-Pemeliharaan Bangunan Rum</t>
  </si>
  <si>
    <t>Assessment BTL- Pemeliharaan Alat Invent</t>
  </si>
  <si>
    <t>Assessment BTL-Gaji, Upah &amp; Tunj Karpel</t>
  </si>
  <si>
    <t>Assessment BTL- Pengangkutan</t>
  </si>
  <si>
    <t>5E13</t>
  </si>
  <si>
    <t>KEBUN BATULICIN</t>
  </si>
  <si>
    <t>53-07</t>
  </si>
  <si>
    <t>STRIP WEEDING CHEMIS</t>
  </si>
  <si>
    <t>Bi Konsumsi Persediaan Pupuk dan Herbisi</t>
  </si>
  <si>
    <t>3. Bahan</t>
  </si>
  <si>
    <t>Biaya Pemeliharaan Aset Tanaman</t>
  </si>
  <si>
    <t>Biaya Borongan</t>
  </si>
  <si>
    <t>55-08</t>
  </si>
  <si>
    <t>STIMULANSIA</t>
  </si>
  <si>
    <t>Bi Konsumsi Persediaan Bahan Kimia</t>
  </si>
  <si>
    <t>60-02</t>
  </si>
  <si>
    <t>PENYADAPAN DTS (D3)</t>
  </si>
  <si>
    <t>60-05</t>
  </si>
  <si>
    <t>PENGANGKUTAN KE TPH</t>
  </si>
  <si>
    <t>60-08</t>
  </si>
  <si>
    <t>PENGANGKUTAN KOMPO-CUPLUMP</t>
  </si>
  <si>
    <t>Activity Type E-KM</t>
  </si>
  <si>
    <t>4. EAP</t>
  </si>
  <si>
    <t>60-18</t>
  </si>
  <si>
    <t>TM PEMASANGAN RAIN GUARD</t>
  </si>
  <si>
    <t>Bi Konsumsi Kebutuhan Operasional</t>
  </si>
  <si>
    <t>90-01</t>
  </si>
  <si>
    <t>Assessment Pemeliharaan</t>
  </si>
  <si>
    <t>Assessment Penerangan</t>
  </si>
  <si>
    <t>Assessment BTL- Pemeliharaan Jalan</t>
  </si>
  <si>
    <t>Assessment BTL- Air</t>
  </si>
  <si>
    <t>Assessment Depresiasi TM Karet</t>
  </si>
  <si>
    <t>5. Depresiasi</t>
  </si>
  <si>
    <t>Assessment Depre Bangn Rumah</t>
  </si>
  <si>
    <t>Assessment Depre Bangn Perusahaan</t>
  </si>
  <si>
    <t>Assessment Depre Peralatan &amp; Inventaris</t>
  </si>
  <si>
    <t>Assessment Depre Jalan, Jembatan, Irigas</t>
  </si>
  <si>
    <t>Assessment Depre Mesin &amp; Instalasi</t>
  </si>
  <si>
    <t>5E19</t>
  </si>
  <si>
    <t>KEBUN LONGKALI</t>
  </si>
  <si>
    <t>60-04</t>
  </si>
  <si>
    <t>SERAP SADAP</t>
  </si>
  <si>
    <t>60-07</t>
  </si>
  <si>
    <t>PENGANGKUTAN LATEX</t>
  </si>
  <si>
    <t>Biaya Jasa Transportasi - Non Penjualan</t>
  </si>
  <si>
    <t>Assessment Depresiasi TM Sawit</t>
  </si>
  <si>
    <t>KS</t>
  </si>
  <si>
    <t>5E01</t>
  </si>
  <si>
    <t>KEBUN GUNUNG MELIAU</t>
  </si>
  <si>
    <t>34-01</t>
  </si>
  <si>
    <t>TBM - POTONG BUAH - (TBM 3)</t>
  </si>
  <si>
    <t>34-06</t>
  </si>
  <si>
    <t>PKWT - TBM - POTONG BUAH -  (TBM3)</t>
  </si>
  <si>
    <t>41-01</t>
  </si>
  <si>
    <t>TM - PEMEL JALAN MANUAL - ACCESS ROAD</t>
  </si>
  <si>
    <t>Activity Type E-SPV</t>
  </si>
  <si>
    <t>41-02</t>
  </si>
  <si>
    <t>TM - PEMEL JALAN MANUAL - MR</t>
  </si>
  <si>
    <t>41-03</t>
  </si>
  <si>
    <t>TM - PEMEL JALAN MANUAL - CR</t>
  </si>
  <si>
    <t>41-05</t>
  </si>
  <si>
    <t>TM - PEMEL JALAN MEKANIS - MR</t>
  </si>
  <si>
    <t>Activity Type E-HM</t>
  </si>
  <si>
    <t>41-17</t>
  </si>
  <si>
    <t>TM - PEMEL TPH</t>
  </si>
  <si>
    <t>41-26</t>
  </si>
  <si>
    <t>TM KEPRAS PELEPAH</t>
  </si>
  <si>
    <t>43-01</t>
  </si>
  <si>
    <t>TM - PEMEL PIRINGAN &amp; PASAR PIKUL CHEMIS</t>
  </si>
  <si>
    <t>43-02</t>
  </si>
  <si>
    <t>TM - PEMEL PIRINGAN &amp; PASAR PIKUL MANUAL</t>
  </si>
  <si>
    <t>43-03</t>
  </si>
  <si>
    <t>TM - DONGKEL ANAK KAYU</t>
  </si>
  <si>
    <t>43-06</t>
  </si>
  <si>
    <t>TM  PEMELIHARAAN GAWANGAN MANUAL</t>
  </si>
  <si>
    <t>43-07</t>
  </si>
  <si>
    <t>TM  PEMELIHARAAN GAWANGAN CHEMIS</t>
  </si>
  <si>
    <t>43-09</t>
  </si>
  <si>
    <t>TM- TRANSPORT TENAGA</t>
  </si>
  <si>
    <t>Beban Investasi</t>
  </si>
  <si>
    <t>44-02</t>
  </si>
  <si>
    <t>TM - PENGENDALIAN HAMA TIKUS</t>
  </si>
  <si>
    <t>44-06</t>
  </si>
  <si>
    <t>TM - PENGENDALIAN HAMA KUMBANG TANDUK</t>
  </si>
  <si>
    <t>45-02</t>
  </si>
  <si>
    <t>TM - AMBIL SAMPLE DAUN (KCD) DAN TANAH</t>
  </si>
  <si>
    <t>Biaya Analisa</t>
  </si>
  <si>
    <t>45-06</t>
  </si>
  <si>
    <t>TM PENGANGKUTAN TANDAN KOSONG</t>
  </si>
  <si>
    <t>45-08</t>
  </si>
  <si>
    <t>TM - MENABUR PUPUK MANUAL</t>
  </si>
  <si>
    <t>45-12</t>
  </si>
  <si>
    <t>TM-SERAK TANKOS</t>
  </si>
  <si>
    <t>45-24</t>
  </si>
  <si>
    <t>TM - PENGANGKUTAN PUPUK ORGANIK LAINNYA</t>
  </si>
  <si>
    <t>46-01</t>
  </si>
  <si>
    <t>TM - TUNAS POHON</t>
  </si>
  <si>
    <t>48-01</t>
  </si>
  <si>
    <t>TM - POTONG BUAH</t>
  </si>
  <si>
    <t>48-02</t>
  </si>
  <si>
    <t>TM - PENGANGKUTAN BUAH</t>
  </si>
  <si>
    <t>48-03</t>
  </si>
  <si>
    <t>TM - LANGSIR BUAH</t>
  </si>
  <si>
    <t>48-04</t>
  </si>
  <si>
    <t>TM - LANGSIR BUAH MANUAL</t>
  </si>
  <si>
    <t>48-08</t>
  </si>
  <si>
    <t>TM - PENGAWAS / MANDOR ANGKUT</t>
  </si>
  <si>
    <t>48-09</t>
  </si>
  <si>
    <t>PKWT - TM - POTONG BUAH</t>
  </si>
  <si>
    <t>48-10</t>
  </si>
  <si>
    <t>PKWT - TM - PENGANGKUTAN BUAH</t>
  </si>
  <si>
    <t>ALOKASI GC PEMEL</t>
  </si>
  <si>
    <t>ALOKASI GC PANEN</t>
  </si>
  <si>
    <t>Assessment Premi Panen</t>
  </si>
  <si>
    <t>90-04</t>
  </si>
  <si>
    <t>ALOKASI GC ANGKUT</t>
  </si>
  <si>
    <t>Assessment Angkut</t>
  </si>
  <si>
    <t>Assessment Premi Pengangkutan</t>
  </si>
  <si>
    <t>ALOKASI &amp; DEPRESIASI</t>
  </si>
  <si>
    <t>Assessment Depre Alat Pengangkutan</t>
  </si>
  <si>
    <t>5E02</t>
  </si>
  <si>
    <t>KEBUN GUNUNG MAS</t>
  </si>
  <si>
    <t>TU - POTONG BUAH</t>
  </si>
  <si>
    <t>PKWT - TU - POTONG BUAH</t>
  </si>
  <si>
    <t>41-06</t>
  </si>
  <si>
    <t>TM - PEMEL JALAN MEKANIS - CR</t>
  </si>
  <si>
    <t>41-07</t>
  </si>
  <si>
    <t>TM - TIMBUN/PENGERASAN JALAN</t>
  </si>
  <si>
    <t>41-35</t>
  </si>
  <si>
    <t>TM - PEMBUATAN TPH</t>
  </si>
  <si>
    <t>44-12</t>
  </si>
  <si>
    <t>TM GLOBAL TEELING</t>
  </si>
  <si>
    <t>46-02</t>
  </si>
  <si>
    <t>PKWT - TM - TUNAS POHON</t>
  </si>
  <si>
    <t>49-03</t>
  </si>
  <si>
    <t>TM - TIMBANG BRONDOLAN</t>
  </si>
  <si>
    <t>90-02</t>
  </si>
  <si>
    <t>ALOKASI GC PUPUK</t>
  </si>
  <si>
    <t>Assessment Premi Pupuk TM</t>
  </si>
  <si>
    <t>5E03</t>
  </si>
  <si>
    <t>KEBUN SUNGAI DEKAN</t>
  </si>
  <si>
    <t>Biaya Pemupukan</t>
  </si>
  <si>
    <t>5E04</t>
  </si>
  <si>
    <t>KEBUN RIMBA BELIAN</t>
  </si>
  <si>
    <t>Biaya Pemeliharaan Jln, Jembatan, &amp; Sal.</t>
  </si>
  <si>
    <t>41-04</t>
  </si>
  <si>
    <t>TM - PEMEL JALAN MEKANIS - ACCESS ROAD</t>
  </si>
  <si>
    <t>45-05</t>
  </si>
  <si>
    <t>TM PENGANGKUTAN PUPUK</t>
  </si>
  <si>
    <t>Biaya Makanan Tambahan (Extra fooding)</t>
  </si>
  <si>
    <t>44-03</t>
  </si>
  <si>
    <t>TM - PENGENDALIAN HAMA TIRALABA</t>
  </si>
  <si>
    <t>42-03</t>
  </si>
  <si>
    <t>TM - TANAM SISIP KELAPA SAWIT - (TM 1)</t>
  </si>
  <si>
    <t>Assessment BTL-Pajak Bumi Bangunan</t>
  </si>
  <si>
    <t>42-01</t>
  </si>
  <si>
    <t>TM - PANCANG TITIK TANAM SISIP - (TM 1)</t>
  </si>
  <si>
    <t>44-10</t>
  </si>
  <si>
    <t>TM - PENGENDALIAN HAMA LAIN-LAIN</t>
  </si>
  <si>
    <t>5E07</t>
  </si>
  <si>
    <t>KEBUN NGABANG</t>
  </si>
  <si>
    <t>41-37</t>
  </si>
  <si>
    <t>TM - PENGAWAS / MANDOR PEMELIHARAAN</t>
  </si>
  <si>
    <t>48-07</t>
  </si>
  <si>
    <t>TM - PENGAWAS / MANDOR PANEN</t>
  </si>
  <si>
    <t>49-02</t>
  </si>
  <si>
    <t>TM - SENSUS AKP</t>
  </si>
  <si>
    <t>49-04</t>
  </si>
  <si>
    <t>TM - PERHITUNGAN BUNGA DAN BUAH</t>
  </si>
  <si>
    <t>41-11</t>
  </si>
  <si>
    <t>TM - PEMEL PARIT ISOLASI MANUAL</t>
  </si>
  <si>
    <t>49-05</t>
  </si>
  <si>
    <t>TM - PENGUKURAN VEGETATIF</t>
  </si>
  <si>
    <t>44-11</t>
  </si>
  <si>
    <t>TM - PENGENDALIAN PENYAKIT LAINNYA</t>
  </si>
  <si>
    <t>5E08</t>
  </si>
  <si>
    <t>KEBUN PARINDU</t>
  </si>
  <si>
    <t>43-08</t>
  </si>
  <si>
    <t>TM PEMEL CHEMIS SELEKTIF GAWANGAN HIDUP</t>
  </si>
  <si>
    <t>45-03</t>
  </si>
  <si>
    <t>TM - BONGKAR MUAT PUPUK</t>
  </si>
  <si>
    <t>45-04</t>
  </si>
  <si>
    <t>TM - PEMUPUKAN ORGANIK</t>
  </si>
  <si>
    <t>Assessment BTL- Pemeliharaan Alat Pertan</t>
  </si>
  <si>
    <t>5E09</t>
  </si>
  <si>
    <t>KEBUN KEMBAYAN</t>
  </si>
  <si>
    <t>Biaya Pemeliharaan Alat Pertanian</t>
  </si>
  <si>
    <t>Assessment BTL-Pemeliharaan Mesin</t>
  </si>
  <si>
    <t>TU - LANGSIR BUAH</t>
  </si>
  <si>
    <t>TU - PENGANGKUTAN BUAH</t>
  </si>
  <si>
    <t>43-04</t>
  </si>
  <si>
    <t>TM - MENURUNKAN KACANGAN</t>
  </si>
  <si>
    <t>5E11</t>
  </si>
  <si>
    <t>KEBUN DANAU SALAK</t>
  </si>
  <si>
    <t>34-02</t>
  </si>
  <si>
    <t>TBM - PENGANGKUTAN BUAH - (TBM 3)</t>
  </si>
  <si>
    <t>41-08</t>
  </si>
  <si>
    <t>TM - PEMEL PARIT UTAMA / MAIN DRAIN</t>
  </si>
  <si>
    <t>41-29</t>
  </si>
  <si>
    <t>TM PEMBUATAN GORONG-GORONG</t>
  </si>
  <si>
    <t>Biaya Konsumsi Persediaan Bahan Pendukun</t>
  </si>
  <si>
    <t>44-04</t>
  </si>
  <si>
    <t>TM - PENGENDALIAN HAMA ULAT KANTONG</t>
  </si>
  <si>
    <t>5E14</t>
  </si>
  <si>
    <t>KEBUN PAMUKAN</t>
  </si>
  <si>
    <t>5E15</t>
  </si>
  <si>
    <t>KEBUN PELAIHARI</t>
  </si>
  <si>
    <t>41-32</t>
  </si>
  <si>
    <t>TM - PEMELIHARAAN JEMBATAN</t>
  </si>
  <si>
    <t>Bi Konsumsi Persediaan Bahan Bakar Minya</t>
  </si>
  <si>
    <t>45-18</t>
  </si>
  <si>
    <t>TM MENABUR PUPUK MEKANIS/SPREADER</t>
  </si>
  <si>
    <t>Assessment Labor Cost</t>
  </si>
  <si>
    <t>Assessment Depre Alat Pertanian</t>
  </si>
  <si>
    <t>45-19</t>
  </si>
  <si>
    <t>TM SERAK TANKOS MEKANIS/SPREADER</t>
  </si>
  <si>
    <t>5E16</t>
  </si>
  <si>
    <t>KEBUN TABARA</t>
  </si>
  <si>
    <t>41-22</t>
  </si>
  <si>
    <t>TM  PEMELIHARAAN PARIT DISTRIBUSI LA</t>
  </si>
  <si>
    <t>34-09</t>
  </si>
  <si>
    <t>TBM - PENGAWAS / MANDOR ANGKUT</t>
  </si>
  <si>
    <t>43-05</t>
  </si>
  <si>
    <t>TM - PENGENDALIAN LALANG - WEEPING</t>
  </si>
  <si>
    <t>34-04</t>
  </si>
  <si>
    <t>TBM - LANGSIR BUAH</t>
  </si>
  <si>
    <t>5E17</t>
  </si>
  <si>
    <t>KEBUN TAJATI</t>
  </si>
  <si>
    <t>Settlement WBS to TM</t>
  </si>
  <si>
    <t>45-15</t>
  </si>
  <si>
    <t>TM - TRANSPORT TENAGA</t>
  </si>
  <si>
    <t>5E18</t>
  </si>
  <si>
    <t>KEBUN PANDAWA</t>
  </si>
  <si>
    <t>Biaya Gaji dan Tunjangan</t>
  </si>
  <si>
    <t>PKWT - TU - PENGANGKUTAN BUAH</t>
  </si>
  <si>
    <t>45-10</t>
  </si>
  <si>
    <t>TM ECER PUPUK</t>
  </si>
  <si>
    <t>Assessment Premi Pemel TM</t>
  </si>
  <si>
    <t>16-02</t>
  </si>
  <si>
    <t>53-04</t>
  </si>
  <si>
    <t>PEMELIHARAAN GAWANGAN MANUAL</t>
  </si>
  <si>
    <t>47-02</t>
  </si>
  <si>
    <t>TM - MERACUNI POHON/THINNING OUT</t>
  </si>
  <si>
    <t>Biaya Jasa Sewa Kendaraan</t>
  </si>
  <si>
    <t>41-09</t>
  </si>
  <si>
    <t>TM - PEMEL PARIT COLLECT DRAIN</t>
  </si>
  <si>
    <t>45-25</t>
  </si>
  <si>
    <t>TM - PENGAWAS / MANDOR PUPUK</t>
  </si>
  <si>
    <t>34-10</t>
  </si>
  <si>
    <t>TBM - PANEN DIKETEK/DIPAPRAS</t>
  </si>
  <si>
    <t>TU - LANGSIR BUAH MANUAL</t>
  </si>
  <si>
    <t>Assessment Asuransi</t>
  </si>
  <si>
    <t>42-02</t>
  </si>
  <si>
    <t>TM - MEMBUAT LUBANG SISIP - (TM 1)</t>
  </si>
  <si>
    <t>42-04</t>
  </si>
  <si>
    <t>TM  PENGANGKUTAN BIBIT KS TM 1</t>
  </si>
  <si>
    <t>45-01</t>
  </si>
  <si>
    <t>TM - MEMBUAT TANDA KCD</t>
  </si>
  <si>
    <t>45-09</t>
  </si>
  <si>
    <t>TM MEMBUAT SPB/SPK</t>
  </si>
  <si>
    <t>41-31</t>
  </si>
  <si>
    <t>TM REHAB TERASAN</t>
  </si>
  <si>
    <t>41-14</t>
  </si>
  <si>
    <t>TM - PEMEL BENTENG / TANGGUL</t>
  </si>
  <si>
    <t>41-13</t>
  </si>
  <si>
    <t>TM - PEMEL RORAK / BUNCKET</t>
  </si>
  <si>
    <t>41-16</t>
  </si>
  <si>
    <t>TM - MEMBUAT TAPAK TIMBUN</t>
  </si>
  <si>
    <t>34-05</t>
  </si>
  <si>
    <t>TBM - LANGSIR BUAH MANUAL</t>
  </si>
  <si>
    <t>45-11</t>
  </si>
  <si>
    <t>TM-MEMUPUK NPK POCKET</t>
  </si>
  <si>
    <t>TU-PEMBUATAN PARIT COLLECT DRAIN</t>
  </si>
  <si>
    <t>TU-BONGKAR DAN TUMBANG</t>
  </si>
  <si>
    <t>TU-MENANAM SAWIT</t>
  </si>
  <si>
    <t>TU-PEMBUATAN TERAS SAMBUNG-TERAS MEKANIS</t>
  </si>
  <si>
    <t>TU-PEMBUATAN PARIT TERSIER / FIELD DRAIN</t>
  </si>
  <si>
    <t>TU-ECER BIBIT KE LUBANG TANAM</t>
  </si>
  <si>
    <t>TU-PENGANGKUTAN BIBIT KS</t>
  </si>
  <si>
    <t>TU-PEMELIHARAAN PASAR PIKUL CHEMIS</t>
  </si>
  <si>
    <t>TU-PEMELIHARAAN KACANG MANUAL</t>
  </si>
  <si>
    <t>TU-RIPPER/ BONGKAR AKAR SISA</t>
  </si>
  <si>
    <t>PEMBERANTASAN GULMA I</t>
  </si>
  <si>
    <t>TU  PEMELIHARAAN PARIT DISTRIBUSI LA</t>
  </si>
  <si>
    <t>TU-MENGUKUR AREAL</t>
  </si>
  <si>
    <t>TU-PEMBUATAN PATOK / NOMOR BLOK</t>
  </si>
  <si>
    <t>TU-MEMANCANG KEPALA DAN PANANG TANAM</t>
  </si>
  <si>
    <t>TU-MENGUMPUL/ MERUMPUK</t>
  </si>
  <si>
    <t>TU-LUKU / PEMBAJAKAN TANAH</t>
  </si>
  <si>
    <t>TU-BUAT LUBANG TANAM MEKANIS</t>
  </si>
  <si>
    <t>TU-PEMBUATAN MAIN ROAD (MR)</t>
  </si>
  <si>
    <t>TU-PEMBUATAN TRANSPORT ROAD</t>
  </si>
  <si>
    <t>TU-ANGKUTAN PUPUK</t>
  </si>
  <si>
    <t>TU-PEMUPUKAN LUBANG TANAM</t>
  </si>
  <si>
    <t>MEMUPUK UMUR 1 BULAN</t>
  </si>
  <si>
    <t>TU - TRANSPORT TENAGA</t>
  </si>
  <si>
    <t>TU-PEMELIHARAAN KACANG CHEMIS</t>
  </si>
  <si>
    <t>TU-BUKA PIRINGAN POKOK</t>
  </si>
  <si>
    <t>PEMB. GULMA II THDP LUAS PEMB. GULMA I</t>
  </si>
  <si>
    <t>32-02</t>
  </si>
  <si>
    <t>TBM - PEMUPUKAN ANORGANIK</t>
  </si>
  <si>
    <t>TU-KENDALI ORYCTES RHINOCEROS - KIMIA</t>
  </si>
  <si>
    <t>TU-BUAT RIIJ STAAT/ PEMETAAN TITIK TANAM</t>
  </si>
  <si>
    <t>TU-MENANAM MUCUNA BRACHTEATA (MB)</t>
  </si>
  <si>
    <t>TU-PENANAMAN KACANGAN  (LCC)</t>
  </si>
  <si>
    <t>TU-KENDALI ORYCTES KUTIP MANUAL GENDON</t>
  </si>
  <si>
    <t>TU-PANCANG TERAS</t>
  </si>
  <si>
    <t>TU-HARROW/MENGGARUK TANAH</t>
  </si>
  <si>
    <t>MUAT BONGKAR PUPUK</t>
  </si>
  <si>
    <t>Biaya Konsumsi Persediaan Bibit</t>
  </si>
  <si>
    <t>27-14</t>
  </si>
  <si>
    <t>TBM - PENGENDALIAN PENYAKIT LAINNYA</t>
  </si>
  <si>
    <t>31-04</t>
  </si>
  <si>
    <t>TBM - PEMEL PIRINGAN &amp; PASAR PIKUL M</t>
  </si>
  <si>
    <t>TBM - PENGENDALIAN HAMA LAIN-LAIN</t>
  </si>
  <si>
    <t>TBM - DANGIR/PEMEL KACANGAN (MANUAL)</t>
  </si>
  <si>
    <t>32-01</t>
  </si>
  <si>
    <t>TBM - PEMUPUKAN ORGANIK</t>
  </si>
  <si>
    <t>33-01</t>
  </si>
  <si>
    <t>TBM - KASTRASI DAN SANITASI</t>
  </si>
  <si>
    <t>Biaya Pemeliharaan Peralatan Dan Inventa</t>
  </si>
  <si>
    <t>29-26</t>
  </si>
  <si>
    <t>TBM - PENGAWAS  / MANDOR PEMELIHARAAN</t>
  </si>
  <si>
    <t>TBM - DONGKEL ANAK KAYU</t>
  </si>
  <si>
    <t>32-04</t>
  </si>
  <si>
    <t>TBM - MEMBUAT TANDA KCD</t>
  </si>
  <si>
    <t>48-11</t>
  </si>
  <si>
    <t>TM - MERATAKAN PASAR PIKUL UN MEKANISASI</t>
  </si>
  <si>
    <t>TBM - TRANSPORT TENAGA</t>
  </si>
  <si>
    <t>TBM - WIPPING</t>
  </si>
  <si>
    <t>TBM - SENSUS/INVENTARISAI POHON</t>
  </si>
  <si>
    <t>31-02</t>
  </si>
  <si>
    <t>TBM - PEMEL GAWANGAN CHEMIS</t>
  </si>
  <si>
    <t>TBM - PENGENDALIAN PENYAKIT DAUN</t>
  </si>
  <si>
    <t>32-11</t>
  </si>
  <si>
    <t>TBM SERAK TANKOS MANUAL</t>
  </si>
  <si>
    <t>32-07</t>
  </si>
  <si>
    <t>TBM PENGANGKUTAN TANDAN KOSONG</t>
  </si>
  <si>
    <t>34-07</t>
  </si>
  <si>
    <t>PKWT - TBM - PENGANGKUTAN BUAH - (TBM3)</t>
  </si>
  <si>
    <t>TU-CHIPPING POKOK</t>
  </si>
  <si>
    <t>04-25</t>
  </si>
  <si>
    <t>MN - MENYIANG LUAR POLYBAG (MANUAL)</t>
  </si>
  <si>
    <t>45-07</t>
  </si>
  <si>
    <t>TM MEMBUAT LUBANG TANAH</t>
  </si>
  <si>
    <t>04-30</t>
  </si>
  <si>
    <t>MN - PENGAWAS / MANDOR BIBIT</t>
  </si>
  <si>
    <t>04-19</t>
  </si>
  <si>
    <t>MN - PUTAR PANGKAS BIBIT</t>
  </si>
  <si>
    <t>04-27</t>
  </si>
  <si>
    <t>MN - BONGKAR BIBIT</t>
  </si>
  <si>
    <t>TBM - PENGENDALIAN HAMA TIKUS</t>
  </si>
  <si>
    <t>32-06</t>
  </si>
  <si>
    <t>TBM PENGANGKUTAN PUPUK</t>
  </si>
  <si>
    <t>TBM - PEMEL GAWANGAN MANUAL</t>
  </si>
  <si>
    <t>04-28</t>
  </si>
  <si>
    <t>MN - MEMANCANG TITIK TANAM BIBITAN</t>
  </si>
  <si>
    <t>04-21</t>
  </si>
  <si>
    <t>MN - MENJAGA TANAMAN</t>
  </si>
  <si>
    <t>MN - MENANAM BIBIT</t>
  </si>
  <si>
    <t>MN - MENUMBANG DAN MENUMPUK</t>
  </si>
  <si>
    <t>MN-ANGKUT TANAH DARI LUAR AREAL KEDALAM</t>
  </si>
  <si>
    <t>MN - MENGISI TANAH KE POLYBAG</t>
  </si>
  <si>
    <t>MN - PEMUPUKAN BIBIT</t>
  </si>
  <si>
    <t>MN - MENYIRAM BIBIT DI POLYBAG (MANUAL)</t>
  </si>
  <si>
    <t>04-20</t>
  </si>
  <si>
    <t>MN - KONSOLIDASI BIBIT</t>
  </si>
  <si>
    <t>04-22</t>
  </si>
  <si>
    <t>MN - PEMELIHARAAN INSTALASI AIR</t>
  </si>
  <si>
    <t>MN - MENYUSUN POLYBAG</t>
  </si>
  <si>
    <t>MN - MEMASANG PIPA INSTALASI AIR</t>
  </si>
  <si>
    <t>TBM - PEMEL PIRINGAN &amp; PASAR PIKUL C</t>
  </si>
  <si>
    <t>35-03</t>
  </si>
  <si>
    <t>TBM - TIMBANG BRONDOLAN</t>
  </si>
  <si>
    <t>TBM - PEMEL KACANG CHEMIS</t>
  </si>
  <si>
    <t>32-03</t>
  </si>
  <si>
    <t>TBM - BONGKAR MUAT PUPUK</t>
  </si>
  <si>
    <t>Uraian</t>
  </si>
  <si>
    <t>Unit Kerja</t>
  </si>
  <si>
    <t>GC</t>
  </si>
  <si>
    <t>Cost element name</t>
  </si>
  <si>
    <t>GC Panen</t>
  </si>
  <si>
    <t>Asst. Premi Panen</t>
  </si>
  <si>
    <t>Act Type E-LBR</t>
  </si>
  <si>
    <t>Act Type E-SPV</t>
  </si>
  <si>
    <t>Honorarium/Upah</t>
  </si>
  <si>
    <t>Bi Konsumsi Kebut Op</t>
  </si>
  <si>
    <t>BPJS TK - Jaminan Ke</t>
  </si>
  <si>
    <t>GC Pemel</t>
  </si>
  <si>
    <t>GC Angkut</t>
  </si>
  <si>
    <t>Asst Premi Pnggkutan</t>
  </si>
  <si>
    <t>Ast. Premi Pemel TBM</t>
  </si>
  <si>
    <t>Bi Gaji dan Tunjanga</t>
  </si>
  <si>
    <t>Bi Pemel. Peralatan</t>
  </si>
  <si>
    <t>Asst. Premi Pupuk TM</t>
  </si>
  <si>
    <t>Bi Kons Pers Bhn Kem</t>
  </si>
  <si>
    <t>Bi Pemel. Aset Tanam</t>
  </si>
  <si>
    <t>Bi Pemel. Alat Perta</t>
  </si>
  <si>
    <t>Bi Panen</t>
  </si>
  <si>
    <t>Bi Kons. Pers. Bahan</t>
  </si>
  <si>
    <t>Asst. Premi Pemel TM</t>
  </si>
  <si>
    <t>Act Type E-KM</t>
  </si>
  <si>
    <t>Bi Kons Pers Suku Ca</t>
  </si>
  <si>
    <t>Bi Keamanan</t>
  </si>
  <si>
    <t>Bi Kons. Psediaan Ba</t>
  </si>
  <si>
    <t>Bi Rapat &amp; Akomodasi</t>
  </si>
  <si>
    <t>Bi Perjalanan Dinas</t>
  </si>
  <si>
    <t>Bi Kons. Pers. Pupuk</t>
  </si>
  <si>
    <t>Bi Makanan Tambahan</t>
  </si>
  <si>
    <t>Bi Listrik</t>
  </si>
  <si>
    <t>Kode</t>
  </si>
  <si>
    <t>Kode CC</t>
  </si>
  <si>
    <t>CO Object Name</t>
  </si>
  <si>
    <t>BT01</t>
  </si>
  <si>
    <t>GAJI &amp; BISOS KARPIM</t>
  </si>
  <si>
    <t>51100401</t>
  </si>
  <si>
    <t>51100403</t>
  </si>
  <si>
    <t>Biaya Tunjangan PPH</t>
  </si>
  <si>
    <t>51100427</t>
  </si>
  <si>
    <t>BPJS TK - Jaminan Pe</t>
  </si>
  <si>
    <t>51100429</t>
  </si>
  <si>
    <t>BPJS Kesehatan - Per</t>
  </si>
  <si>
    <t>51100433</t>
  </si>
  <si>
    <t>DAPENBUN - Perusahaa</t>
  </si>
  <si>
    <t>51100440</t>
  </si>
  <si>
    <t>BPJS TK - Jaminan Ha</t>
  </si>
  <si>
    <t>51100441</t>
  </si>
  <si>
    <t>51100442</t>
  </si>
  <si>
    <t>BT02</t>
  </si>
  <si>
    <t>GAJI &amp; BISOS KARPEL</t>
  </si>
  <si>
    <t>90043001</t>
  </si>
  <si>
    <t>BT04</t>
  </si>
  <si>
    <t>PEMEL BANGUNAN RUMAH</t>
  </si>
  <si>
    <t>51100100</t>
  </si>
  <si>
    <t>Bi Pemel. Rumah Dina</t>
  </si>
  <si>
    <t>BT05</t>
  </si>
  <si>
    <t>PEMEL B. PERUSAHAAN</t>
  </si>
  <si>
    <t>51100101</t>
  </si>
  <si>
    <t>Bi Pemel. Bangunan P</t>
  </si>
  <si>
    <t>51100609</t>
  </si>
  <si>
    <t>Bi Bahan Bakar</t>
  </si>
  <si>
    <t>BT09</t>
  </si>
  <si>
    <t>PEMAKAIAN&amp;PMEL SISTM</t>
  </si>
  <si>
    <t>51101055</t>
  </si>
  <si>
    <t>Bi Pemel. Software &amp;</t>
  </si>
  <si>
    <t>BT12</t>
  </si>
  <si>
    <t>BIAYA KEAMANAN</t>
  </si>
  <si>
    <t>BT15</t>
  </si>
  <si>
    <t>PERJALANAN DALAM KBN</t>
  </si>
  <si>
    <t>90043002</t>
  </si>
  <si>
    <t>SR01</t>
  </si>
  <si>
    <t>PAYROLL KARPIM TNMAN</t>
  </si>
  <si>
    <t>51100412</t>
  </si>
  <si>
    <t>Bi Cuti Tahunan</t>
  </si>
  <si>
    <t>BT03</t>
  </si>
  <si>
    <t>PEMEL EMPLASMEN</t>
  </si>
  <si>
    <t>51101066</t>
  </si>
  <si>
    <t>By Pem Empls (SPK)</t>
  </si>
  <si>
    <t>51100003</t>
  </si>
  <si>
    <t>BT07</t>
  </si>
  <si>
    <t>PMEL JLN,JEM&amp;SAL.AIR</t>
  </si>
  <si>
    <t>51100102</t>
  </si>
  <si>
    <t>Bi Pemel. Jln, Jemba</t>
  </si>
  <si>
    <t>BT13</t>
  </si>
  <si>
    <t>BIAYA PENERANGAN</t>
  </si>
  <si>
    <t>51100601</t>
  </si>
  <si>
    <t>BT14</t>
  </si>
  <si>
    <t>BIAYA PERSEDIAAN AIR</t>
  </si>
  <si>
    <t>51100602</t>
  </si>
  <si>
    <t>Bi Air</t>
  </si>
  <si>
    <t>51100417</t>
  </si>
  <si>
    <t>51101048</t>
  </si>
  <si>
    <t>Premi</t>
  </si>
  <si>
    <t>SR03</t>
  </si>
  <si>
    <t>DEPRESIASI KEBUN</t>
  </si>
  <si>
    <t>51100201</t>
  </si>
  <si>
    <t>Depre. TM Karet</t>
  </si>
  <si>
    <t>51100223</t>
  </si>
  <si>
    <t>Depre. Bangunan Ruma</t>
  </si>
  <si>
    <t>51100224</t>
  </si>
  <si>
    <t>Depre Bang Perusahan</t>
  </si>
  <si>
    <t>51100226</t>
  </si>
  <si>
    <t>Depre Alat Inventars</t>
  </si>
  <si>
    <t>51100228</t>
  </si>
  <si>
    <t>Depre. Jalan, Jembat</t>
  </si>
  <si>
    <t>51100231</t>
  </si>
  <si>
    <t>Depre Mesin Installa</t>
  </si>
  <si>
    <t>51100402</t>
  </si>
  <si>
    <t>51100693</t>
  </si>
  <si>
    <t>51100890</t>
  </si>
  <si>
    <t>Bi Telepon &amp; Interne</t>
  </si>
  <si>
    <t>51100064</t>
  </si>
  <si>
    <t>51100058</t>
  </si>
  <si>
    <t>51100065</t>
  </si>
  <si>
    <t>Bi Kons Pers Pelumas</t>
  </si>
  <si>
    <t>51100608</t>
  </si>
  <si>
    <t>SP01</t>
  </si>
  <si>
    <t>SP03</t>
  </si>
  <si>
    <t>51100200</t>
  </si>
  <si>
    <t>Depre. TM Sawit</t>
  </si>
  <si>
    <t>51100236</t>
  </si>
  <si>
    <t>Depre. Alat Berat</t>
  </si>
  <si>
    <t>90043003</t>
  </si>
  <si>
    <t>Act Type E-HM</t>
  </si>
  <si>
    <t>90043000</t>
  </si>
  <si>
    <t>BT16</t>
  </si>
  <si>
    <t>BIAYA ASISTENSI</t>
  </si>
  <si>
    <t>51100457</t>
  </si>
  <si>
    <t>By Bantu Unit Lain</t>
  </si>
  <si>
    <t>51100413</t>
  </si>
  <si>
    <t>Bi Cuti Panjang</t>
  </si>
  <si>
    <t>51100222</t>
  </si>
  <si>
    <t>Depre. Aset Instalas</t>
  </si>
  <si>
    <t>51100061</t>
  </si>
  <si>
    <t>Bi Konsumsi Persedia</t>
  </si>
  <si>
    <t>51100063</t>
  </si>
  <si>
    <t>51100107</t>
  </si>
  <si>
    <t>51100057</t>
  </si>
  <si>
    <t>51100106</t>
  </si>
  <si>
    <t>Bi Pemel. Mesin &amp; In</t>
  </si>
  <si>
    <t>BT10</t>
  </si>
  <si>
    <t>PAJAK BUMI &amp;BANGUNAN</t>
  </si>
  <si>
    <t>51100633</t>
  </si>
  <si>
    <t>Bi PBB</t>
  </si>
  <si>
    <t>51100649</t>
  </si>
  <si>
    <t>Bi Alat Tulis, Baran</t>
  </si>
  <si>
    <t>51100152</t>
  </si>
  <si>
    <t>Bi Jasa Sewa Kendara</t>
  </si>
  <si>
    <t>BT08</t>
  </si>
  <si>
    <t>PMEL PERL. ALAT TANI</t>
  </si>
  <si>
    <t>51100104</t>
  </si>
  <si>
    <t>Bi Pemel. Kendaraan</t>
  </si>
  <si>
    <t>51100857</t>
  </si>
  <si>
    <t>51100225</t>
  </si>
  <si>
    <t>Depre. Kendaraan &amp; A</t>
  </si>
  <si>
    <t>BT06</t>
  </si>
  <si>
    <t>PEMEL MESIN&amp;INSTLASI</t>
  </si>
  <si>
    <t>51100458</t>
  </si>
  <si>
    <t>Bi Pindah</t>
  </si>
  <si>
    <t>51100227</t>
  </si>
  <si>
    <t>Depre. Alat Pertania</t>
  </si>
  <si>
    <t>51100635</t>
  </si>
  <si>
    <t>Bi Sewa Perlt Kantor</t>
  </si>
  <si>
    <t>BT11</t>
  </si>
  <si>
    <t>BIAYA ASURANSI UMUM</t>
  </si>
  <si>
    <t>51100810</t>
  </si>
  <si>
    <t>Bi Asuransi Umum</t>
  </si>
  <si>
    <t>51101074</t>
  </si>
  <si>
    <t>Biaya Tamu</t>
  </si>
  <si>
    <t>51100611</t>
  </si>
  <si>
    <t>Bi Lain-lain</t>
  </si>
  <si>
    <t>51100410</t>
  </si>
  <si>
    <t>Tunjangan Hari Raya</t>
  </si>
  <si>
    <t>51100697</t>
  </si>
  <si>
    <t>Beban Media</t>
  </si>
  <si>
    <t>51101047</t>
  </si>
  <si>
    <t>Imbalan dan Insentif</t>
  </si>
  <si>
    <t>51100062</t>
  </si>
  <si>
    <t>51100103</t>
  </si>
  <si>
    <t>51101999</t>
  </si>
  <si>
    <t xml:space="preserve">SUM of  Nilai </t>
  </si>
  <si>
    <t>SUM of Nilai</t>
  </si>
  <si>
    <t>%</t>
  </si>
  <si>
    <t>Grand Total</t>
  </si>
  <si>
    <t xml:space="preserve"> 1. Gaji  Total</t>
  </si>
  <si>
    <t>1. Gaji Total</t>
  </si>
  <si>
    <t xml:space="preserve"> 2. SPK  Total</t>
  </si>
  <si>
    <t>3. Bahan Total</t>
  </si>
  <si>
    <t xml:space="preserve"> 3. Bahan  Total</t>
  </si>
  <si>
    <t>KEBUN BATULICIN Total</t>
  </si>
  <si>
    <t xml:space="preserve"> 4. EAP  Total</t>
  </si>
  <si>
    <t xml:space="preserve"> 5. Depresiasi  Total</t>
  </si>
  <si>
    <t xml:space="preserve"> 6.Lain-Lain  Total</t>
  </si>
  <si>
    <t>KEBUN DANAU SALAK Total</t>
  </si>
  <si>
    <t>6.Lain-Lain Total</t>
  </si>
  <si>
    <t>KEBUN GUNUNG MAS Total</t>
  </si>
  <si>
    <t>KEBUN GUNUNG MELIAU Total</t>
  </si>
  <si>
    <t>KEBUN KEMBAYAN Total</t>
  </si>
  <si>
    <t>KEBUN NGABANG Total</t>
  </si>
  <si>
    <t>KEBUN PAMUKAN Total</t>
  </si>
  <si>
    <t>KEBUN PARINDU Total</t>
  </si>
  <si>
    <t>KEBUN PELAIHARI Total</t>
  </si>
  <si>
    <t>KEBUN RIMBA BELIAN Total</t>
  </si>
  <si>
    <t>KEBUN SINTANG Total</t>
  </si>
  <si>
    <t>KEBUN SUNGAI DEKAN Total</t>
  </si>
  <si>
    <t>KEBUN LONGKALI Total</t>
  </si>
  <si>
    <t>KEBUN TABARA Total</t>
  </si>
  <si>
    <t>KEBUN TAJATI Total</t>
  </si>
  <si>
    <t>KEBUN PANDAWA Total</t>
  </si>
  <si>
    <t>PT. PERKEBUNAN NUSANTARA IV - REGINAL V</t>
  </si>
  <si>
    <t>MONITORING CAPAIAN BIAYA PRODUKSI</t>
  </si>
  <si>
    <t>No</t>
  </si>
  <si>
    <t>Ket</t>
  </si>
  <si>
    <t>Sat</t>
  </si>
  <si>
    <t>Balin</t>
  </si>
  <si>
    <t>Kumai</t>
  </si>
  <si>
    <t>Sinta</t>
  </si>
  <si>
    <t>Lokal</t>
  </si>
  <si>
    <t>Jlh</t>
  </si>
  <si>
    <t>I.</t>
  </si>
  <si>
    <t>BIAYA PEMELIHARAAN TANAMAN</t>
  </si>
  <si>
    <t>Gaji/Upah &amp; Biaya Karpim Tanaman</t>
  </si>
  <si>
    <t>Bln Ini</t>
  </si>
  <si>
    <t>Rp.000</t>
  </si>
  <si>
    <t>Bln Lalu</t>
  </si>
  <si>
    <t>Thn Lalu</t>
  </si>
  <si>
    <t>RKO</t>
  </si>
  <si>
    <t>RKAP</t>
  </si>
  <si>
    <t>%/tase Bln Ini thdp Bln Lalu</t>
  </si>
  <si>
    <t>%/tase Bln Ini thdp Thn Lalu</t>
  </si>
  <si>
    <t>%/tase Bln Ini thdp RKO</t>
  </si>
  <si>
    <t>%/tase Bln Ini thdp RKAP</t>
  </si>
  <si>
    <t>Pemel jalan, jembatan, &amp; saluran air</t>
  </si>
  <si>
    <t>Pemangkasan / Tunas</t>
  </si>
  <si>
    <t>Pengendalian Gulma</t>
  </si>
  <si>
    <t>Pengendalian Hama &amp; Penyakit</t>
  </si>
  <si>
    <t>Penyerbukan Buatan</t>
  </si>
  <si>
    <t>Penyisipan/Sisip Tanaman</t>
  </si>
  <si>
    <t xml:space="preserve"> Sensus Pokok &amp; Konsolidasi Tanaman</t>
  </si>
  <si>
    <t>Persilangan Pohon Induk</t>
  </si>
  <si>
    <t>Total Pemeliharaan Tanaman</t>
  </si>
  <si>
    <t>II.</t>
  </si>
  <si>
    <t>BIAYA PEMUPUKAN</t>
  </si>
  <si>
    <t>Pemupukan Tanaman</t>
  </si>
  <si>
    <t>III.</t>
  </si>
  <si>
    <t>BIAYA PANEN</t>
  </si>
  <si>
    <t>Panen</t>
  </si>
  <si>
    <t>Sensus Produksi</t>
  </si>
  <si>
    <t>Total Biaya Panen</t>
  </si>
  <si>
    <t>IV</t>
  </si>
  <si>
    <t>BIAYA PENGANGKUTAN PRODUKSI</t>
  </si>
  <si>
    <t>Langsir Buah</t>
  </si>
  <si>
    <t>Pengangkutan Buah</t>
  </si>
  <si>
    <t>Total Biaya Pengangkutan Produksi</t>
  </si>
  <si>
    <t>sd Bln Ini</t>
  </si>
  <si>
    <t>%/tase sd Bln Ini thdp Bln Lalu</t>
  </si>
  <si>
    <t>%/tase sd Bln Ini thdp Thn Lalu</t>
  </si>
  <si>
    <t>%/tase sd Bln Ini thdp RKO</t>
  </si>
  <si>
    <t>%/tase sd Bln Ini thdp RKAP</t>
  </si>
  <si>
    <t>Kode Sheet</t>
  </si>
  <si>
    <t>Kebun Gunung Meliau</t>
  </si>
  <si>
    <t>Gunme-B</t>
  </si>
  <si>
    <t>Kebun Gunung Mas</t>
  </si>
  <si>
    <t>Gumas-B</t>
  </si>
  <si>
    <t>Kebun Sungai Dekan</t>
  </si>
  <si>
    <t>Dekan-B</t>
  </si>
  <si>
    <t>Kebun Rimba Belian</t>
  </si>
  <si>
    <t>Rimba-B</t>
  </si>
  <si>
    <t>Kebun Sintang</t>
  </si>
  <si>
    <t>Sinta-B</t>
  </si>
  <si>
    <t>Kebun Ngabang</t>
  </si>
  <si>
    <t>Ngaba-B</t>
  </si>
  <si>
    <t>Kebun Parindu</t>
  </si>
  <si>
    <t>Parin-B</t>
  </si>
  <si>
    <t>Kebun Kembayan</t>
  </si>
  <si>
    <t>Bayan-B</t>
  </si>
  <si>
    <t>Kebun Danau Salak</t>
  </si>
  <si>
    <t>Dasal-B</t>
  </si>
  <si>
    <t>Kebun Kumai</t>
  </si>
  <si>
    <t>5E12</t>
  </si>
  <si>
    <t>Kumai-B</t>
  </si>
  <si>
    <t>Kebun Batulicin</t>
  </si>
  <si>
    <t>Balin-B</t>
  </si>
  <si>
    <t>Kebun Pamukan</t>
  </si>
  <si>
    <t>Pamuk-B</t>
  </si>
  <si>
    <t>Kebun Pelaihari</t>
  </si>
  <si>
    <t>Pelai-B</t>
  </si>
  <si>
    <t>Kebun Tabara</t>
  </si>
  <si>
    <t>Tabar-B</t>
  </si>
  <si>
    <t>Kebun Tajati</t>
  </si>
  <si>
    <t>Tajat-B</t>
  </si>
  <si>
    <t>Kebun Pandawa</t>
  </si>
  <si>
    <t>Panda-B</t>
  </si>
  <si>
    <t>Kebun Longkali</t>
  </si>
  <si>
    <t>Lokal-B</t>
  </si>
  <si>
    <t>Rekapitulasi</t>
  </si>
  <si>
    <t>MONITORING CAPAIAN BIAYA TIDAK LANGSUNG</t>
  </si>
  <si>
    <t>Biaya Tidak Langsung</t>
  </si>
  <si>
    <t>Gaji dan Biaya Sosial Karpim</t>
  </si>
  <si>
    <t>Gaji dan Biaya Sosial Karpel</t>
  </si>
  <si>
    <t>Biaya Perjalanan Dalam Kebun</t>
  </si>
  <si>
    <t>Biaya Pemeliharaan Emplasmen</t>
  </si>
  <si>
    <t>Biaya Pemeliharaan Bangunan Rumah</t>
  </si>
  <si>
    <t>Biaya Pemeliharaan Bangunan Perusahaan</t>
  </si>
  <si>
    <t>Pemakaian dan Pemeliharaan Sistem Komputer</t>
  </si>
  <si>
    <t>Biaya Pemeliharaan Jalan, Jembatan &amp; Saluran Air</t>
  </si>
  <si>
    <t>Pajak Bumi dan Bangunan</t>
  </si>
  <si>
    <t>Biaya Asuransi Umum</t>
  </si>
  <si>
    <t>Biaya Keamanan</t>
  </si>
  <si>
    <t>Biaya Penerangan</t>
  </si>
  <si>
    <t>Biaya Persediaan air</t>
  </si>
  <si>
    <t>Biaya Asistensi</t>
  </si>
  <si>
    <t>Total Biaya Tidak Langsung</t>
  </si>
  <si>
    <t>MONITORING CAPAIAN PRODUKSI</t>
  </si>
  <si>
    <t>Produksi</t>
  </si>
  <si>
    <t>PT PERKEBUNAN NUSANTARA IV - RPC 5</t>
  </si>
  <si>
    <t>Bulan Ini</t>
  </si>
  <si>
    <t>LAMPIRAN LM 14</t>
  </si>
  <si>
    <t>Bulan Lalu</t>
  </si>
  <si>
    <t>Kebun</t>
  </si>
  <si>
    <t>Kode Komodity</t>
  </si>
  <si>
    <t>sd Bulan Lalu</t>
  </si>
  <si>
    <t>WBS/GL/CC</t>
  </si>
  <si>
    <t>URAIAN  (DESC WBS DLL)</t>
  </si>
  <si>
    <t>Real Bulan Ini</t>
  </si>
  <si>
    <t>Real Bulan Lalu</t>
  </si>
  <si>
    <t>Real Tahun Lalu</t>
  </si>
  <si>
    <t>Cap Real Bulan Ini thdp (%)</t>
  </si>
  <si>
    <t>Real sd Bulan Ini</t>
  </si>
  <si>
    <t>BIAYA TANAMAN</t>
  </si>
  <si>
    <t>Gaji/Upah dan Biaya Kary. Staf dari WBS</t>
  </si>
  <si>
    <t>99-01.</t>
  </si>
  <si>
    <t>Gaji/Upah dan Biaya Kary. Pelaksana dari WBS</t>
  </si>
  <si>
    <t>Gaji/Upah dan Biaya Kary. Staf dari CC</t>
  </si>
  <si>
    <t>Gaji/Upah dan Biaya Kary. Pelaksana dari CC</t>
  </si>
  <si>
    <t>Jumlah Gaji</t>
  </si>
  <si>
    <t>52-01</t>
  </si>
  <si>
    <t>PEMELIHARAAN PARIT</t>
  </si>
  <si>
    <t>52-02</t>
  </si>
  <si>
    <t>PEMELIHARAAN JALAN</t>
  </si>
  <si>
    <t>52-03</t>
  </si>
  <si>
    <t>GRADING &amp; COMPACT JALAN</t>
  </si>
  <si>
    <t>52-04</t>
  </si>
  <si>
    <t>PEMELIHARAAN JALAN DAN JEMBATAN</t>
  </si>
  <si>
    <t>52-05</t>
  </si>
  <si>
    <t>PENGERASAN JALAN DENGAN SIRTU DAN BATU</t>
  </si>
  <si>
    <t>52-06</t>
  </si>
  <si>
    <t>PENGANGKUTAN TANAH</t>
  </si>
  <si>
    <t>52-07</t>
  </si>
  <si>
    <t>PENGANGKUTAN TITI/JEMBATAN</t>
  </si>
  <si>
    <t>52-08</t>
  </si>
  <si>
    <t>PENGANGKUTAN MATERIAL LAINNYA</t>
  </si>
  <si>
    <t>52-09</t>
  </si>
  <si>
    <t>TM PEMEL TERAS</t>
  </si>
  <si>
    <t>52-10</t>
  </si>
  <si>
    <t>TM PEMBUATAN RORAK</t>
  </si>
  <si>
    <t>52-11</t>
  </si>
  <si>
    <t>PEMELIHARAAN RORAK</t>
  </si>
  <si>
    <t>52-12</t>
  </si>
  <si>
    <t>PEMELIHARAAN ERENG-ERENG</t>
  </si>
  <si>
    <t>52-13</t>
  </si>
  <si>
    <t>PEMELIHARAAN SALURAN AIR</t>
  </si>
  <si>
    <t>52-14</t>
  </si>
  <si>
    <t>JAGA API</t>
  </si>
  <si>
    <t>Jumlah Biaya Pemeliharaan pemeliharaan jalan, jembatan, dan saluran air</t>
  </si>
  <si>
    <t>TM  MEMOTONG TAJUK/MENUNAS POHON</t>
  </si>
  <si>
    <t>Jumlah Biaya Pemangkasan / Tunas</t>
  </si>
  <si>
    <t>53-01</t>
  </si>
  <si>
    <t>PENYIANGAN / PENGENDALIAN GULMA CHEMIS</t>
  </si>
  <si>
    <t>53-02</t>
  </si>
  <si>
    <t>DONGKEL ANAK KAYU</t>
  </si>
  <si>
    <t>53-03</t>
  </si>
  <si>
    <t>PENGENDALIAN LALANG SHEET</t>
  </si>
  <si>
    <t>53-05</t>
  </si>
  <si>
    <t>PEMELIHARAAN GAWANGAN CHEMIS</t>
  </si>
  <si>
    <t>53-06</t>
  </si>
  <si>
    <t>MENYIANG/MERUMPUT MANUAL</t>
  </si>
  <si>
    <t>53-08</t>
  </si>
  <si>
    <t>55-02</t>
  </si>
  <si>
    <t>MERENCEK/MEMOTONG BATANG-RANTING</t>
  </si>
  <si>
    <t>Jumlah Biaya Pengendalian Gulma</t>
  </si>
  <si>
    <t>55-01</t>
  </si>
  <si>
    <t>COLLETOTRICHUM</t>
  </si>
  <si>
    <t>55-03</t>
  </si>
  <si>
    <t>KEKERINGAN ALUR SADAP - KEROK &amp; LUMAS</t>
  </si>
  <si>
    <t>55-04</t>
  </si>
  <si>
    <t>JAMUR UPAS</t>
  </si>
  <si>
    <t>55-05</t>
  </si>
  <si>
    <t>BARK NICROSIS (BN)</t>
  </si>
  <si>
    <t>55-06</t>
  </si>
  <si>
    <t>MOUDYROT</t>
  </si>
  <si>
    <t>55-07</t>
  </si>
  <si>
    <t>JAMUR AKAR PUTIH (JAP)</t>
  </si>
  <si>
    <t>55-09</t>
  </si>
  <si>
    <t>SENSUS &amp; DETEKSI HPT</t>
  </si>
  <si>
    <t>55-10</t>
  </si>
  <si>
    <t>PENGENDALIAN HAMA LAINNYA</t>
  </si>
  <si>
    <t>55-11</t>
  </si>
  <si>
    <t>TM PENGENDALIAN PENYAKIT MILDEW</t>
  </si>
  <si>
    <t>55-12</t>
  </si>
  <si>
    <t>TM PENGENDALIAN PENYAKIT LAINNYA</t>
  </si>
  <si>
    <t>Jumlah Biaya Pengendalian Hama dan Penyakit</t>
  </si>
  <si>
    <t>Jumlah Biaya Penyerbukan Buatan</t>
  </si>
  <si>
    <t>54-01</t>
  </si>
  <si>
    <t>MEMBUAT LUBANG TANAM - (TM 1)</t>
  </si>
  <si>
    <t>54-02</t>
  </si>
  <si>
    <t>TANAM SISIP KARET - (TM 1)</t>
  </si>
  <si>
    <t>54-03</t>
  </si>
  <si>
    <t>PENGANGKUTAN BIBIT KR - (TM 1)</t>
  </si>
  <si>
    <t>Jumlah Biaya Penyisipan</t>
  </si>
  <si>
    <t>TM  SENSUS POHON</t>
  </si>
  <si>
    <t>TM  THINNING OUT</t>
  </si>
  <si>
    <t>Jumlah Biaya Sensus Pokok dan Konsolidasi Tanaman</t>
  </si>
  <si>
    <t>Jumlah Biaya Persilangan Pohon Induk</t>
  </si>
  <si>
    <t>JUMLAH BIAYA PEMELIHARAAN</t>
  </si>
  <si>
    <t>62-12</t>
  </si>
  <si>
    <t>60-09</t>
  </si>
  <si>
    <t>SADAP UTS (UPPER TAPPING SYSTEM)</t>
  </si>
  <si>
    <t>60-10</t>
  </si>
  <si>
    <t>SADAP DC ( DOUBLE CUTTING)</t>
  </si>
  <si>
    <t>60-23</t>
  </si>
  <si>
    <t>BUKAAN SADAP</t>
  </si>
  <si>
    <t>61-01</t>
  </si>
  <si>
    <t>CARI BENIH</t>
  </si>
  <si>
    <t>61-02</t>
  </si>
  <si>
    <t>PENGANGKUTAN</t>
  </si>
  <si>
    <t>60-01</t>
  </si>
  <si>
    <t>MENGGAMBAR BIDANG SADAPAN</t>
  </si>
  <si>
    <t>60-22</t>
  </si>
  <si>
    <t>KELENGKAPAN ALAT SADAP/PANEN</t>
  </si>
  <si>
    <t>Jumlah Biaya Panen</t>
  </si>
  <si>
    <t>TBM  PENYADAPAN DTS D3  TBM 5</t>
  </si>
  <si>
    <t>TBM  SADAP ATS   TBM 5</t>
  </si>
  <si>
    <t>TBM  SERAP SADAP   TBM 5</t>
  </si>
  <si>
    <t>TBM PANEN KARET</t>
  </si>
  <si>
    <t>Jumlah Biaya Panen TBM</t>
  </si>
  <si>
    <t>STIMULANSIA GEA/PA</t>
  </si>
  <si>
    <t>STIMULANSIA SEM</t>
  </si>
  <si>
    <t>Jumlah Biaya Stimulansia</t>
  </si>
  <si>
    <t>TM SADAP FREE TAPPING TENAGA SENDIRI</t>
  </si>
  <si>
    <t>TM SADAP FREE TAPPING TENAGA BORON</t>
  </si>
  <si>
    <t>Jumlah Biaya Sadap Free Taping</t>
  </si>
  <si>
    <t>PKWT - TM PENYADAPAN DTS D3</t>
  </si>
  <si>
    <t>Jumlah Biaya Sadap PKWT</t>
  </si>
  <si>
    <t>TM  TAP INSPEKSI</t>
  </si>
  <si>
    <t>Jumlah Biaya Sensus Produksi</t>
  </si>
  <si>
    <t>TM STIMULANSIA CAIR</t>
  </si>
  <si>
    <t>Jumlah Biaya Stimulansia Cair</t>
  </si>
  <si>
    <t>TM STIMULANSIA GAS - PASANG APLIKATOR</t>
  </si>
  <si>
    <t>TM STIMULANSIA GAS - ISI GAS</t>
  </si>
  <si>
    <t>TM STIMULANSIA GAS - PINDAH BUTTON</t>
  </si>
  <si>
    <t>TM STIMULANSIA GAS - LEPAS APLIKATOR</t>
  </si>
  <si>
    <t>Jumlah Biaya Stimulansia Gas</t>
  </si>
  <si>
    <t>JUMLAH BIAYA PANEN</t>
  </si>
  <si>
    <t>56-01</t>
  </si>
  <si>
    <t>PEMUPUKAN PUPUK ORGANIK</t>
  </si>
  <si>
    <t>Jumlah Biaya Pemupukan Organik</t>
  </si>
  <si>
    <t>56-02</t>
  </si>
  <si>
    <t>PEMUPUKAN POKET / TUGAL</t>
  </si>
  <si>
    <t>56-03</t>
  </si>
  <si>
    <t>PEMUPUKAN PUPUK ANORGANIK</t>
  </si>
  <si>
    <t>56-04</t>
  </si>
  <si>
    <t>PENGANGKUTAN PUPUK</t>
  </si>
  <si>
    <t>Jumlah Biaya Pemupukan Anorganik</t>
  </si>
  <si>
    <t>56-05</t>
  </si>
  <si>
    <t>PENGAMBILAN SAMPLE DAUN (KCD) DAN TANAH</t>
  </si>
  <si>
    <t>56-06</t>
  </si>
  <si>
    <t>Jumlah Biaya Pemupukan Analisa Kadar Hara</t>
  </si>
  <si>
    <t>JUMLAH BIAYA PEMUPUKAN</t>
  </si>
  <si>
    <t>Jumlah Biaya Langsir Buah</t>
  </si>
  <si>
    <t>60-25</t>
  </si>
  <si>
    <t>60-06</t>
  </si>
  <si>
    <t>PENGUMPULAN TETES KE TPH</t>
  </si>
  <si>
    <t>Jumlah Biaya Pengangkutan Lateks dan Cup Lump</t>
  </si>
  <si>
    <t>JUMLAH BIAYA PENGANGKUTAN</t>
  </si>
  <si>
    <t>JUMLAH BIAYA TANAMAN</t>
  </si>
  <si>
    <t>BIAYA LAIN-LAIN</t>
  </si>
  <si>
    <t>Depresiasi Tanaman Menghasilkan Sawit</t>
  </si>
  <si>
    <t>Depresiasi Tanaman Menghasilkan Karet</t>
  </si>
  <si>
    <t>Depresiasi Bangunan Rumah Dinas</t>
  </si>
  <si>
    <t>Depresiasi Bangunan Perusahaan</t>
  </si>
  <si>
    <t>Depresiasi Kendaraan &amp; Al. Angkut Lain</t>
  </si>
  <si>
    <t>Depresiasi Peralatan dan Inventaris</t>
  </si>
  <si>
    <t>Depresiasi Alat Pertanian</t>
  </si>
  <si>
    <t>Depresiasi Jalan, Jembatan, &amp; Sal. Iriga</t>
  </si>
  <si>
    <t>Depresiasi Mesin &amp; Instalasi</t>
  </si>
  <si>
    <t>Depresiasi Alat Berat</t>
  </si>
  <si>
    <t>Depresiasi Aset Instalasi Bibitan</t>
  </si>
  <si>
    <t>51100271</t>
  </si>
  <si>
    <t>Beban Depresiasi PSAK 73</t>
  </si>
  <si>
    <t>51100229</t>
  </si>
  <si>
    <t>Depresiasi Aset Tetap Lainnya</t>
  </si>
  <si>
    <t>51100310</t>
  </si>
  <si>
    <t>Amortisasi Aset Tidak Berwujud Lainnya</t>
  </si>
  <si>
    <t>Jumlah Depresiasi</t>
  </si>
  <si>
    <t>Biaya Overhead (Umum)</t>
  </si>
  <si>
    <t>Honorarium</t>
  </si>
  <si>
    <t>Pendidikan/Pelatihan</t>
  </si>
  <si>
    <t>Lingkungan Hidup</t>
  </si>
  <si>
    <t>Biaya Percobaan</t>
  </si>
  <si>
    <t>Pemeliharaan Perlengkapan Alat Pertanian</t>
  </si>
  <si>
    <t>Pemak Invents Kcil</t>
  </si>
  <si>
    <t>Iuran dan Sumbangan</t>
  </si>
  <si>
    <t>Jumlah Overhead (Biaya Tidak Langsung)</t>
  </si>
  <si>
    <t>JUMLAH BIAYA LAIN-LAIN</t>
  </si>
  <si>
    <t>TOTAL</t>
  </si>
  <si>
    <t>Biaya Kebun di Luar Harga Pokok (IFRS)</t>
  </si>
  <si>
    <t>AU07</t>
  </si>
  <si>
    <t>AU12</t>
  </si>
  <si>
    <t>Biaya Pendidikan</t>
  </si>
  <si>
    <t>AU15</t>
  </si>
  <si>
    <t>RSPO, Beban Pengendalian Lingkungan (ISO 14000), Beban Sistem Manajemen Kesehatan dan Keselamatan Kerja (SMK3)</t>
  </si>
  <si>
    <t>AU18</t>
  </si>
  <si>
    <t>Pengangkutan Diluar Kebun</t>
  </si>
  <si>
    <t>AU20</t>
  </si>
  <si>
    <t>Mess</t>
  </si>
  <si>
    <t>AU21</t>
  </si>
  <si>
    <t>AU26</t>
  </si>
  <si>
    <t>Pemeliharaan Alat Invetaris Kecil</t>
  </si>
  <si>
    <t>AU27</t>
  </si>
  <si>
    <t>Pemakaian Perlengkapan Kantor</t>
  </si>
  <si>
    <t>AU28</t>
  </si>
  <si>
    <t>Pemakaian Inventaris Kecil</t>
  </si>
  <si>
    <t>AU29</t>
  </si>
  <si>
    <t>Iuran Dan Sumbangan</t>
  </si>
  <si>
    <t>AU50</t>
  </si>
  <si>
    <t>Administrasi Lainnya</t>
  </si>
  <si>
    <t>AU52</t>
  </si>
  <si>
    <t>Beban Rapat</t>
  </si>
  <si>
    <t>AU53</t>
  </si>
  <si>
    <t>Beban Konsumsi</t>
  </si>
  <si>
    <t>AU54</t>
  </si>
  <si>
    <t>Alat Tulis Kantor (ATK)</t>
  </si>
  <si>
    <t>AU55</t>
  </si>
  <si>
    <t>...</t>
  </si>
  <si>
    <t>Beban Telekomunikasi dan Ekspedisi</t>
  </si>
  <si>
    <t>Jumlah Biaya IFRS</t>
  </si>
  <si>
    <t xml:space="preserve"> </t>
  </si>
  <si>
    <t>PT. PERKEBUNAN NUSANTARA IV</t>
  </si>
  <si>
    <t>BIAYA PRODUKSI KEBUN SENDIRI + PIHAK III  KOMODITI KARET</t>
  </si>
  <si>
    <t>REGIONAL V</t>
  </si>
  <si>
    <t>Luas Area Kebun TM Inti</t>
  </si>
  <si>
    <t>Luas Area Kebun TM Plasma/Pihak III</t>
  </si>
  <si>
    <t>Jumlah</t>
  </si>
  <si>
    <t>Jumlah Kg</t>
  </si>
  <si>
    <t>sd Bulan Ini</t>
  </si>
  <si>
    <t xml:space="preserve"> sd Bulan Lalu Olah + Jual</t>
  </si>
  <si>
    <t xml:space="preserve"> sd Bulan Lalu Olah</t>
  </si>
  <si>
    <t xml:space="preserve"> sd Bulan Lalu Jual	</t>
  </si>
  <si>
    <t>Real Tahun Ini</t>
  </si>
  <si>
    <t>RKO TW</t>
  </si>
  <si>
    <t>A.</t>
  </si>
  <si>
    <t>Saldo Awal Lump</t>
  </si>
  <si>
    <t>- Kebun Inti</t>
  </si>
  <si>
    <t>PLSM</t>
  </si>
  <si>
    <t>- Plasma</t>
  </si>
  <si>
    <t>PHTG</t>
  </si>
  <si>
    <t>- Pihak III</t>
  </si>
  <si>
    <t>B.</t>
  </si>
  <si>
    <t>Diterima dari Lapangan (Lump) efektif</t>
  </si>
  <si>
    <t>C.</t>
  </si>
  <si>
    <t>Produksi Hasil Olah</t>
  </si>
  <si>
    <t>D.</t>
  </si>
  <si>
    <t>Produksi Jadi</t>
  </si>
  <si>
    <t>- RSS - 1</t>
  </si>
  <si>
    <t>- RSS - 2</t>
  </si>
  <si>
    <t>- RSS - 3</t>
  </si>
  <si>
    <t>- RSS - 4</t>
  </si>
  <si>
    <t>- SIR-20</t>
  </si>
  <si>
    <t>- CUT - A</t>
  </si>
  <si>
    <t>Saldo Akhir TBS</t>
  </si>
  <si>
    <t>Beban Produksi</t>
  </si>
  <si>
    <t>Jumlah Beban</t>
  </si>
  <si>
    <t>-</t>
  </si>
  <si>
    <t>Gaji dan Tunjangan Kary. Pimpinan Tanaman</t>
  </si>
  <si>
    <t>Pemeliharaan Tan. Menghasilkan</t>
  </si>
  <si>
    <t>Pemupukan</t>
  </si>
  <si>
    <t>Pengangkutan ke Pabrik</t>
  </si>
  <si>
    <t>Jumlah Beban Tanaman</t>
  </si>
  <si>
    <t>Beban Overhead</t>
  </si>
  <si>
    <t>Jumlah Beban Tanaman + Overhead</t>
  </si>
  <si>
    <t>Beban Langsung Pengolahan</t>
  </si>
  <si>
    <t>Beban Overhead Pengolahan</t>
  </si>
  <si>
    <t>Jumlah Beban Pengolahan</t>
  </si>
  <si>
    <t>Beban Penyusutan Overhead Kebun</t>
  </si>
  <si>
    <t>Beban Penyusutan Overhead Pengolahan</t>
  </si>
  <si>
    <t>Jumlah Beban Penyusutan</t>
  </si>
  <si>
    <t>Jumlah Beban Produksi Kebun Inti</t>
  </si>
  <si>
    <t>Pembelian TBS Plasma ( KKPA )</t>
  </si>
  <si>
    <t>Pembelian TBS Pihak III</t>
  </si>
  <si>
    <t>Biaya Pengolahan Pihak III</t>
  </si>
  <si>
    <t>Biaya Overhead Plasma</t>
  </si>
  <si>
    <t>Biaya Produksi Pihak Ke III</t>
  </si>
  <si>
    <t>Jumlah Biaya Produksi</t>
  </si>
  <si>
    <t>Biaya Tanaman per Ha</t>
  </si>
  <si>
    <t>Biaya Produksi excl. Penyust. per Ha</t>
  </si>
  <si>
    <t>Biaya Produksi per Ha</t>
  </si>
  <si>
    <t>Harga Pokok Kebun Sendiri Rp/Kg Lump</t>
  </si>
  <si>
    <t>Harga Pokok Pihak III Rp/Kg Lump</t>
  </si>
  <si>
    <t>Harga Pokok AF Pabrik Rp/Kg Lump</t>
  </si>
  <si>
    <t>TAHUN 2025</t>
  </si>
  <si>
    <t>Bulan</t>
  </si>
  <si>
    <t>Mei</t>
  </si>
  <si>
    <t>WBS</t>
  </si>
  <si>
    <t>GL</t>
  </si>
  <si>
    <t>DESKRIPSI WBS</t>
  </si>
  <si>
    <t>LUAS AREAL</t>
  </si>
  <si>
    <t>Areal Tanaman Menghasilkan ( TM ) - Produktif</t>
  </si>
  <si>
    <t>Areal TMT/Lancuran</t>
  </si>
  <si>
    <t>Jumlah Areal (TM + TMTP)</t>
  </si>
  <si>
    <t>Gaji Karpim ab Tan</t>
  </si>
  <si>
    <t>62-09</t>
  </si>
  <si>
    <t>PENGAWAS/MANDOR PEMELIHARAAN</t>
  </si>
  <si>
    <t>Jumlah Biaya Sulam/Sisip Pohon</t>
  </si>
  <si>
    <t>Jumlah Biaya SensusProduksi</t>
  </si>
  <si>
    <t>GC Pupuk</t>
  </si>
  <si>
    <t>Gaji &amp; Bisos Karpin</t>
  </si>
  <si>
    <t>Gaji &amp; Bisos Karpel</t>
  </si>
  <si>
    <t>Pngktn Prjlnn Pgnpan</t>
  </si>
  <si>
    <t>Biaya Pemel Rumah</t>
  </si>
  <si>
    <t>Biaya Pemel Prusahn</t>
  </si>
  <si>
    <t>Biaya Pemel Komputer</t>
  </si>
  <si>
    <t>Pmel Jln,Jmbtn,S.Air</t>
  </si>
  <si>
    <t>Pemel Invents Kcil</t>
  </si>
  <si>
    <t>Pajak dan Sewa Tanah</t>
  </si>
  <si>
    <t>Biaya Asuransi</t>
  </si>
  <si>
    <t>Biaya Air</t>
  </si>
  <si>
    <t>Pengeluaran Lainnya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</si>
  <si>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</si>
  <si>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</si>
  <si>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</si>
  <si>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</si>
  <si>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</si>
  <si>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</si>
  <si>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</si>
  <si>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</si>
  <si>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</si>
  <si>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</si>
  <si>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</si>
  <si>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</si>
  <si>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TM  PEMELIHARAAN PARIT</t>
  </si>
  <si>
    <t>TM  PEMELIHARAAN JALAN</t>
  </si>
  <si>
    <t>TM  GRADING &amp; COMPACT JALAN</t>
  </si>
  <si>
    <t>TM  PEMELIHARAAN JALAN DAN JEMBATAN</t>
  </si>
  <si>
    <t>TM  PENGERASAN JALAN MENGGUNAKAN SIRTU DAN BATU</t>
  </si>
  <si>
    <t>TM PENGANGKUTAN TANAH</t>
  </si>
  <si>
    <t>TM PENGANGKUTAN TITI/JEMBATAN</t>
  </si>
  <si>
    <t>TM PENGANGKUTAN MATERIAL LAINNYA</t>
  </si>
  <si>
    <t>62-11</t>
  </si>
  <si>
    <t>PENGAWAS/MANDOR KEAMANAN PEMELIHARAAN</t>
  </si>
  <si>
    <t>57-01</t>
  </si>
  <si>
    <t>TM  PENYIANGAN / PENGENDALIAN GULMA CHEMIS</t>
  </si>
  <si>
    <t>TM  DONGKEL ANAK KAYU</t>
  </si>
  <si>
    <t xml:space="preserve">TM  PENGENDALIAN LALANG </t>
  </si>
  <si>
    <t>TM  MERENCEK/MEMOTONG BATANGRANTING</t>
  </si>
  <si>
    <t>TM  COLLETOTRICHUM</t>
  </si>
  <si>
    <t>TM  KAS KEKERINGAN ALUR SADAP  KEROK &amp; LUMAS</t>
  </si>
  <si>
    <t>TM  JAMUR UPAS</t>
  </si>
  <si>
    <t>TM  BARK NICROSIS BN</t>
  </si>
  <si>
    <t>TM  MOUDYROT</t>
  </si>
  <si>
    <t>TM  JAMUR AKAR PUTIH JAP</t>
  </si>
  <si>
    <t>TM  SENSUS &amp; DETEKSI HPT</t>
  </si>
  <si>
    <t>TM PENGENDALIAN HAMA LAINNYA</t>
  </si>
  <si>
    <t>55-13</t>
  </si>
  <si>
    <t>TM PENGENDALIAN PENYAKIT PESTALOTIOPSIS</t>
  </si>
  <si>
    <t>TM  MEMBUAT LUBANG TANAM  TM 1</t>
  </si>
  <si>
    <t>TM  TANAM SISIP KARET  TM 1</t>
  </si>
  <si>
    <t>TM  PENGANGKUTAN BIBIT KR</t>
  </si>
  <si>
    <t>58-01</t>
  </si>
  <si>
    <t>58-02</t>
  </si>
  <si>
    <t>TM  MENGGAMBAR BIDANG SADAPAN</t>
  </si>
  <si>
    <t>TM  PENYADAPAN DTS D3</t>
  </si>
  <si>
    <t>TM  SADAP ATS</t>
  </si>
  <si>
    <t>TM  SERAP SADAP</t>
  </si>
  <si>
    <t>TM  PENGANGKUTAN KE TPH</t>
  </si>
  <si>
    <t>TM  PENGUMPULAN TETES KE TPH</t>
  </si>
  <si>
    <t>TM SADAP UTS (UPPER TAPPING SYSTEM)</t>
  </si>
  <si>
    <t>TM SADAP DC ( DOUBLE CUTTING)</t>
  </si>
  <si>
    <t>60-24</t>
  </si>
  <si>
    <t>TM - PINDAH PANEL</t>
  </si>
  <si>
    <t>PENGAWAS/MANDOR KEAMANAN PANEN</t>
  </si>
  <si>
    <t>60-19</t>
  </si>
  <si>
    <t>60-20</t>
  </si>
  <si>
    <t>60-11</t>
  </si>
  <si>
    <t>60-12</t>
  </si>
  <si>
    <t>59-01</t>
  </si>
  <si>
    <t>60-13</t>
  </si>
  <si>
    <t>60-14</t>
  </si>
  <si>
    <t>60-15</t>
  </si>
  <si>
    <t>60-16</t>
  </si>
  <si>
    <t>60-17</t>
  </si>
  <si>
    <t>TM  PEMUPUKAN PUPUK ORGANIK</t>
  </si>
  <si>
    <t>TM  PEMUPUKAN POKET / TUGAL</t>
  </si>
  <si>
    <t>TM  PEMUPUKAN PUPUK ANORGANIK</t>
  </si>
  <si>
    <t>TM  PENGANGKUTAN PUPUK</t>
  </si>
  <si>
    <t>TM  PENGAMBILAN SAMPLE DAUN KCD DAN TANAH</t>
  </si>
  <si>
    <t>TM-MANDOR / PENGAWAS PEMELIHARAAN</t>
  </si>
  <si>
    <t>TM  PENGANGKUTAN LATEKS</t>
  </si>
  <si>
    <t>TM  PENGANGKUTAN KOMPO-CUPLUMP</t>
  </si>
  <si>
    <t>TM-MANDOR / PENGAWAS PENGANGKUTAN</t>
  </si>
  <si>
    <t>PENGANGKUTAN BENIH</t>
  </si>
  <si>
    <t>Depre TM Karet</t>
  </si>
  <si>
    <t>Depre Bang Rmh Dinas</t>
  </si>
  <si>
    <t>Depre Kend Ang Lain</t>
  </si>
  <si>
    <t>Depre Alat Pertanian</t>
  </si>
  <si>
    <t>Depre Jalan Jembatan</t>
  </si>
  <si>
    <t>Biaya Overhead CC</t>
  </si>
  <si>
    <t>JUMLAH BIAYA DEPRESIASI</t>
  </si>
  <si>
    <t>Jumlah Biaya Overhead</t>
  </si>
  <si>
    <t>RSPO</t>
  </si>
  <si>
    <t>Beban Pengendalian Lingkungan (ISO 14000)</t>
  </si>
  <si>
    <t>Beban Sistem Manajemen Kesehatan dan Keselamatan Kerja (SMK3)</t>
  </si>
  <si>
    <t>40-06</t>
  </si>
  <si>
    <t>07 - Lampiran 1 Kelapa Sawit (LM13) s.d Bulan Lalu</t>
  </si>
  <si>
    <t>Lampiran LM Kebun Karet April 2026</t>
  </si>
  <si>
    <t>Realisasi tahun Lalu WBS</t>
  </si>
  <si>
    <t>Evaluasi biaya LM13-14 form baru 2025</t>
  </si>
  <si>
    <t>Realisasi tahun Lalu Rekapitulasi</t>
  </si>
  <si>
    <t>Lampiran Karet Mei 2025</t>
  </si>
  <si>
    <t>RKAP WBS Tahun Ini</t>
  </si>
  <si>
    <t>00. Rekap LM 13 Per Act RKAP 2026 Per Kebun (Rumus Mati)</t>
  </si>
  <si>
    <t>Link LM PKS</t>
  </si>
  <si>
    <t>Lampiran LM PKS Desember 2025</t>
  </si>
  <si>
    <t>RKAP Rekap Tahun Ini</t>
  </si>
  <si>
    <t>24. Ringkasan Eksekutif RKAP 2026 Kebun Batulicin</t>
  </si>
  <si>
    <t>range sd bulan ini</t>
  </si>
  <si>
    <t>Rekap!C132:EB188</t>
  </si>
  <si>
    <t>Range alokasi biaya olah</t>
  </si>
  <si>
    <t>Alokasi Biaya Olah!C28:M70</t>
  </si>
  <si>
    <t>Range Produksi Per Pabrik</t>
  </si>
  <si>
    <t>Rekap Produksi!D4:L171</t>
  </si>
  <si>
    <t>AH-9 Kebun Sawit RKAP 2025</t>
  </si>
  <si>
    <t>00. Rekapitulasi Ringkasan Eksekutif LM 13 Kelapa Sawit</t>
  </si>
  <si>
    <t>LINK Tahun Lalu</t>
  </si>
  <si>
    <t>11- Lampiran 1 Kelapa Sawit (LM13) s.d November 2024 Pakai</t>
  </si>
  <si>
    <t>AH-9 Kebun Sawit RKO 2025</t>
  </si>
  <si>
    <t>00. Rekapitulasi Ringkasan Eksekutif LM 13 Kelapa Sawit RKO 2025</t>
  </si>
  <si>
    <t>RKO Round Robin</t>
  </si>
  <si>
    <t>03. RR2 REKAP LM 13 KEBUN KARET RKO 2026 ROUND ROBIN</t>
  </si>
  <si>
    <t>01-KR</t>
  </si>
  <si>
    <t>01</t>
  </si>
  <si>
    <t>02-KR</t>
  </si>
  <si>
    <t>02</t>
  </si>
  <si>
    <t>03-KR</t>
  </si>
  <si>
    <t>03</t>
  </si>
  <si>
    <t>04-KR</t>
  </si>
  <si>
    <t>04</t>
  </si>
  <si>
    <t>05-KR</t>
  </si>
  <si>
    <t>05</t>
  </si>
  <si>
    <t>06-KR</t>
  </si>
  <si>
    <t>06</t>
  </si>
  <si>
    <t>07-KR</t>
  </si>
  <si>
    <t>07</t>
  </si>
  <si>
    <t>08-KR</t>
  </si>
  <si>
    <t>08</t>
  </si>
  <si>
    <t>09-KR</t>
  </si>
  <si>
    <t>09</t>
  </si>
  <si>
    <t>10-KR</t>
  </si>
  <si>
    <t>10</t>
  </si>
  <si>
    <t>11-KR</t>
  </si>
  <si>
    <t>11</t>
  </si>
  <si>
    <t>12-KR</t>
  </si>
  <si>
    <t>12</t>
  </si>
  <si>
    <t>Sinta-A</t>
  </si>
  <si>
    <t>Kumai-A</t>
  </si>
  <si>
    <t>Balin-A</t>
  </si>
  <si>
    <t>Lokal-A</t>
  </si>
  <si>
    <t>BIAYA PRODUKSI KOMODITI KARET</t>
  </si>
  <si>
    <t>Kebun: Sintang</t>
  </si>
  <si>
    <t>Kebun: Kumai</t>
  </si>
  <si>
    <t>Kebun: Batulicin</t>
  </si>
  <si>
    <t>Kebun: Danau Salak</t>
  </si>
  <si>
    <t>Kebun: Longkali</t>
  </si>
  <si>
    <t>KOMODITI: TOTAL BIAYA</t>
  </si>
  <si>
    <t>C</t>
  </si>
  <si>
    <t>Produksi yang diolah</t>
  </si>
  <si>
    <t>D</t>
  </si>
  <si>
    <t>Jumlah Produk Jadi</t>
  </si>
  <si>
    <t>Saldo Akhir Lump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</si>
</sst>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"/>
    <numFmt numFmtId="165" formatCode="d-m"/>
    <numFmt numFmtId="166" formatCode="_(* #,##0.00_);_(* (#,##0.00);_(* &quot;-&quot;_);_(@_)"/>
    <numFmt numFmtId="167" formatCode="_(* #,##0_);_(* \(#,##0\);_(* &quot;-&quot;??_);_(@_)"/>
  </numFmts>
  <fonts count="56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color rgb="FFFFFFFF"/>
      <name val="Calibri"/>
      <scheme val="minor"/>
    </font>
    <font>
      <b/>
      <sz val="13.0"/>
      <color theme="1"/>
      <name val="Arial Narrow"/>
    </font>
    <font>
      <color theme="1"/>
      <name val="Arial Narrow"/>
    </font>
    <font>
      <sz val="9.0"/>
      <color theme="1"/>
      <name val="Arial Narrow"/>
    </font>
    <font>
      <b/>
      <color theme="1"/>
      <name val="Arial Narrow"/>
    </font>
    <font>
      <b/>
      <sz val="11.0"/>
      <color theme="1"/>
      <name val="Arial Narrow"/>
    </font>
    <font/>
    <font>
      <b/>
      <sz val="11.0"/>
      <color rgb="FFFFFFFF"/>
      <name val="Arial"/>
    </font>
    <font>
      <sz val="11.0"/>
      <color theme="1"/>
      <name val="Arial"/>
    </font>
    <font>
      <sz val="10.0"/>
      <color theme="1"/>
      <name val="Arial Narrow"/>
    </font>
    <font>
      <b/>
      <sz val="10.0"/>
      <color rgb="FF000000"/>
      <name val="Arial Narrow"/>
    </font>
    <font>
      <sz val="10.0"/>
      <color rgb="FF000000"/>
      <name val="Arial Narrow"/>
    </font>
    <font>
      <b/>
      <sz val="10.0"/>
      <color theme="1"/>
      <name val="Arial Narrow"/>
    </font>
    <font>
      <b/>
      <sz val="8.0"/>
      <color theme="1"/>
      <name val="Arial Narrow"/>
    </font>
    <font>
      <b/>
      <u/>
      <sz val="10.0"/>
      <color theme="1"/>
      <name val="Arial Narrow"/>
    </font>
    <font>
      <sz val="8.0"/>
      <color rgb="FF000000"/>
      <name val="Arial Narrow"/>
    </font>
    <font>
      <b/>
      <sz val="12.0"/>
      <color theme="1"/>
      <name val="Arial Narrow"/>
    </font>
    <font>
      <b/>
      <sz val="13.0"/>
      <color rgb="FF000000"/>
      <name val="Arial Narrow"/>
    </font>
    <font>
      <b/>
      <sz val="8.0"/>
      <color rgb="FF000000"/>
      <name val="Arial Narrow"/>
    </font>
    <font>
      <b/>
      <sz val="7.0"/>
      <color rgb="FFFFFFFF"/>
      <name val="Arial Narrow"/>
    </font>
    <font>
      <sz val="8.0"/>
      <color theme="1"/>
      <name val="Arial Narrow"/>
    </font>
    <font>
      <color rgb="FFFFFFFF"/>
      <name val="Arial Narrow"/>
    </font>
    <font>
      <sz val="9.0"/>
      <color rgb="FFFFFFFF"/>
      <name val="Arial Narrow"/>
    </font>
    <font>
      <i/>
      <sz val="8.0"/>
      <color rgb="FF000000"/>
      <name val="Arial Narrow"/>
    </font>
    <font>
      <i/>
      <color theme="1"/>
      <name val="Arial Narrow"/>
    </font>
    <font>
      <b/>
      <sz val="14.0"/>
      <color rgb="FF000000"/>
      <name val="Arial Narrow"/>
    </font>
    <font>
      <sz val="11.0"/>
      <color rgb="FFFFFFFF"/>
      <name val="Arial Narrow"/>
    </font>
    <font>
      <sz val="11.0"/>
      <color rgb="FF000000"/>
      <name val="Arial Narrow"/>
    </font>
    <font>
      <b/>
      <sz val="12.0"/>
      <color rgb="FF000000"/>
      <name val="Arial Narrow"/>
    </font>
    <font>
      <b/>
      <sz val="10.0"/>
      <color rgb="FFFFFFFF"/>
      <name val="Arial Narrow"/>
    </font>
    <font>
      <sz val="10.0"/>
      <color rgb="FFFFFFFF"/>
      <name val="Arial Narrow"/>
    </font>
    <font>
      <sz val="11.0"/>
      <color theme="1"/>
      <name val="Arial Narrow"/>
    </font>
    <font>
      <b/>
      <u/>
      <color theme="1"/>
      <name val="Arial Narrow"/>
    </font>
    <font>
      <b/>
      <u/>
      <color theme="1"/>
      <name val="Arial Narrow"/>
    </font>
    <font>
      <b/>
      <color theme="1"/>
      <name val="Arial"/>
    </font>
    <font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sz val="12.0"/>
      <color theme="1"/>
      <name val="Arial"/>
    </font>
    <font>
      <b/>
      <u/>
      <color theme="1"/>
      <name val="Arial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b/>
      <sz val="11.0"/>
      <color theme="1"/>
      <name val="Arial"/>
    </font>
    <font>
      <b/>
      <sz val="13.0"/>
      <color theme="1"/>
      <name val="Arial"/>
    </font>
    <font>
      <b/>
      <color theme="1"/>
      <name val="Calibri"/>
      <scheme val="minor"/>
    </font>
    <font>
      <b/>
      <sz val="11.0"/>
      <color rgb="FF000000"/>
      <name val="Arial"/>
    </font>
    <font>
      <i/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0C343D"/>
        <bgColor rgb="FF0C343D"/>
      </patternFill>
    </fill>
    <fill>
      <patternFill patternType="solid">
        <fgColor rgb="FFC6E0B4"/>
        <bgColor rgb="FFC6E0B4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3F3F3"/>
        <bgColor rgb="FFF3F3F3"/>
      </patternFill>
    </fill>
    <fill>
      <patternFill patternType="solid">
        <fgColor rgb="FF46BDC6"/>
        <bgColor rgb="FF46BDC6"/>
      </patternFill>
    </fill>
    <fill>
      <patternFill patternType="solid">
        <fgColor rgb="FF00B050"/>
        <bgColor rgb="FF00B050"/>
      </patternFill>
    </fill>
    <fill>
      <patternFill patternType="solid">
        <fgColor rgb="FFF4B083"/>
        <bgColor rgb="FFF4B083"/>
      </patternFill>
    </fill>
    <fill>
      <patternFill patternType="solid">
        <fgColor rgb="FFF1F1F1"/>
        <bgColor rgb="FFF1F1F1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28">
    <border/>
    <border>
      <bottom style="thin">
        <color rgb="FF8EA9DB"/>
      </bottom>
    </border>
    <border>
      <top style="thin">
        <color rgb="FF548235"/>
      </top>
    </border>
    <border>
      <top style="thin">
        <color rgb="FF2F75B5"/>
      </top>
    </border>
    <border>
      <top style="thin">
        <color rgb="FF000000"/>
      </top>
    </border>
    <border>
      <bottom style="thin">
        <color rgb="FF000000"/>
      </bottom>
    </border>
    <border>
      <top style="hair">
        <color rgb="FFD9D9D9"/>
      </top>
      <bottom style="hair">
        <color rgb="FFD9D9D9"/>
      </bottom>
    </border>
    <border>
      <bottom style="thin">
        <color rgb="FFD9D9D9"/>
      </bottom>
    </border>
    <border>
      <top style="hair">
        <color rgb="FFD9D9D9"/>
      </top>
    </border>
    <border>
      <bottom style="hair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999999"/>
      </right>
      <bottom style="hair">
        <color rgb="FF999999"/>
      </bottom>
    </border>
    <border>
      <left style="medium">
        <color rgb="FF999999"/>
      </left>
      <bottom style="hair">
        <color rgb="FF999999"/>
      </bottom>
    </border>
    <border>
      <left style="medium">
        <color rgb="FF999999"/>
      </left>
      <right style="thin">
        <color rgb="FF000000"/>
      </right>
      <top style="thin">
        <color rgb="FF000000"/>
      </top>
      <bottom style="hair">
        <color rgb="FF999999"/>
      </bottom>
    </border>
    <border>
      <left style="thin">
        <color rgb="FF000000"/>
      </left>
      <right style="thin">
        <color rgb="FF000000"/>
      </right>
      <bottom style="hair">
        <color rgb="FF999999"/>
      </bottom>
    </border>
    <border>
      <left style="medium">
        <color rgb="FF000000"/>
      </left>
      <right style="thin">
        <color rgb="FF000000"/>
      </right>
      <bottom style="hair">
        <color rgb="FF999999"/>
      </bottom>
    </border>
    <border>
      <left style="thin">
        <color rgb="FF000000"/>
      </left>
      <right style="medium">
        <color rgb="FF999999"/>
      </right>
      <top style="hair">
        <color rgb="FF999999"/>
      </top>
      <bottom style="hair">
        <color rgb="FF999999"/>
      </bottom>
    </border>
    <border>
      <left style="medium">
        <color rgb="FF999999"/>
      </left>
      <top style="hair">
        <color rgb="FF999999"/>
      </top>
      <bottom style="hair">
        <color rgb="FF999999"/>
      </bottom>
    </border>
    <border>
      <left style="medium">
        <color rgb="FF000000"/>
      </left>
      <right style="thin">
        <color rgb="FF000000"/>
      </right>
      <top style="hair">
        <color rgb="FF999999"/>
      </top>
      <bottom style="hair">
        <color rgb="FF999999"/>
      </bottom>
    </border>
    <border>
      <left style="thin">
        <color rgb="FF000000"/>
      </left>
      <right style="thin">
        <color rgb="FF000000"/>
      </right>
      <top style="hair">
        <color rgb="FF999999"/>
      </top>
      <bottom style="hair">
        <color rgb="FF999999"/>
      </bottom>
    </border>
    <border>
      <left style="thin">
        <color rgb="FF000000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medium">
        <color rgb="FF000000"/>
      </left>
      <right style="thin">
        <color rgb="FF000000"/>
      </right>
      <top style="medium">
        <color rgb="FF999999"/>
      </top>
      <bottom style="medium">
        <color rgb="FF999999"/>
      </bottom>
    </border>
    <border>
      <left style="thin">
        <color rgb="FF000000"/>
      </left>
      <right style="thin">
        <color rgb="FF000000"/>
      </right>
      <top style="medium">
        <color rgb="FF999999"/>
      </top>
      <bottom style="medium">
        <color rgb="FF999999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999999"/>
      </right>
      <top style="medium">
        <color rgb="FF999999"/>
      </top>
      <bottom style="hair">
        <color rgb="FF999999"/>
      </bottom>
    </border>
    <border>
      <left style="medium">
        <color rgb="FF999999"/>
      </left>
      <top style="medium">
        <color rgb="FF999999"/>
      </top>
      <bottom style="hair">
        <color rgb="FF999999"/>
      </bottom>
    </border>
    <border>
      <left style="medium">
        <color rgb="FF000000"/>
      </left>
      <right style="thin">
        <color rgb="FF000000"/>
      </right>
      <top style="medium">
        <color rgb="FF999999"/>
      </top>
      <bottom style="hair">
        <color rgb="FF999999"/>
      </bottom>
    </border>
    <border>
      <left style="thin">
        <color rgb="FF000000"/>
      </left>
      <right style="thin">
        <color rgb="FF000000"/>
      </right>
      <top style="medium">
        <color rgb="FF999999"/>
      </top>
      <bottom style="hair">
        <color rgb="FF999999"/>
      </bottom>
    </border>
    <border>
      <left style="thin">
        <color rgb="FF000000"/>
      </left>
      <right style="medium">
        <color rgb="FF999999"/>
      </right>
      <top style="medium">
        <color rgb="FF999999"/>
      </top>
    </border>
    <border>
      <left style="medium">
        <color rgb="FF999999"/>
      </left>
      <top style="hair">
        <color rgb="FF999999"/>
      </top>
    </border>
    <border>
      <left style="thin">
        <color rgb="FF000000"/>
      </left>
      <right style="thin">
        <color rgb="FF000000"/>
      </right>
      <top style="medium">
        <color rgb="FF999999"/>
      </top>
    </border>
    <border>
      <left style="medium">
        <color rgb="FF000000"/>
      </left>
      <right style="thin">
        <color rgb="FF000000"/>
      </right>
      <top style="medium">
        <color rgb="FF999999"/>
      </top>
    </border>
    <border>
      <left style="thin">
        <color rgb="FF000000"/>
      </left>
      <right style="medium">
        <color rgb="FF999999"/>
      </right>
      <top style="hair">
        <color rgb="FF000000"/>
      </top>
      <bottom style="hair">
        <color rgb="FF000000"/>
      </bottom>
    </border>
    <border>
      <left style="medium">
        <color rgb="FF999999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999999"/>
      </bottom>
    </border>
    <border>
      <left style="thin">
        <color rgb="FF000000"/>
      </left>
      <right style="thin">
        <color rgb="FF000000"/>
      </right>
      <bottom style="medium">
        <color rgb="FF999999"/>
      </bottom>
    </border>
    <border>
      <left style="medium">
        <color rgb="FF999999"/>
      </left>
      <right style="thin">
        <color rgb="FF000000"/>
      </right>
      <top style="medium">
        <color rgb="FF999999"/>
      </top>
      <bottom style="hair">
        <color rgb="FF999999"/>
      </bottom>
    </border>
    <border>
      <left style="medium">
        <color rgb="FF999999"/>
      </left>
      <right style="thin">
        <color rgb="FF000000"/>
      </right>
      <top style="hair">
        <color rgb="FF999999"/>
      </top>
      <bottom style="hair">
        <color rgb="FF999999"/>
      </bottom>
    </border>
    <border>
      <left style="medium">
        <color rgb="FF999999"/>
      </left>
      <right style="thin">
        <color rgb="FF000000"/>
      </right>
      <top style="medium">
        <color rgb="FF999999"/>
      </top>
      <bottom style="medium">
        <color rgb="FF999999"/>
      </bottom>
    </border>
    <border>
      <left style="thin">
        <color rgb="FF000000"/>
      </left>
      <right style="medium">
        <color rgb="FF999999"/>
      </right>
      <top style="hair">
        <color rgb="FF999999"/>
      </top>
    </border>
    <border>
      <left style="medium">
        <color rgb="FF999999"/>
      </left>
      <right style="thin">
        <color rgb="FF000000"/>
      </right>
      <top style="hair">
        <color rgb="FF999999"/>
      </top>
    </border>
    <border>
      <left style="thin">
        <color rgb="FF000000"/>
      </left>
      <right style="thin">
        <color rgb="FF000000"/>
      </right>
      <top style="hair">
        <color rgb="FF999999"/>
      </top>
    </border>
    <border>
      <left style="thin">
        <color rgb="FF000000"/>
      </left>
      <right style="medium">
        <color rgb="FF999999"/>
      </right>
      <top style="medium">
        <color rgb="FF999999"/>
      </top>
      <bottom style="thin">
        <color rgb="FF000000"/>
      </bottom>
    </border>
    <border>
      <left style="medium">
        <color rgb="FF999999"/>
      </left>
      <top style="medium">
        <color rgb="FF999999"/>
      </top>
      <bottom style="thin">
        <color rgb="FF000000"/>
      </bottom>
    </border>
    <border>
      <left style="medium">
        <color rgb="FF999999"/>
      </left>
      <right style="thin">
        <color rgb="FF000000"/>
      </right>
      <top style="medium">
        <color rgb="FF99999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999999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999999"/>
      </right>
      <bottom style="hair">
        <color rgb="FF999999"/>
      </bottom>
    </border>
    <border>
      <left style="medium">
        <color rgb="FF999999"/>
      </left>
      <right style="medium">
        <color rgb="FF999999"/>
      </right>
      <bottom style="hair">
        <color rgb="FF999999"/>
      </bottom>
    </border>
    <border>
      <left style="medium">
        <color rgb="FF999999"/>
      </left>
      <right style="medium">
        <color rgb="FF000000"/>
      </right>
      <bottom style="hair">
        <color rgb="FF999999"/>
      </bottom>
    </border>
    <border>
      <left style="medium">
        <color rgb="FF000000"/>
      </left>
      <right style="medium">
        <color rgb="FF999999"/>
      </right>
      <top style="hair">
        <color rgb="FF999999"/>
      </top>
      <bottom style="hair">
        <color rgb="FF999999"/>
      </bottom>
    </border>
    <border>
      <left style="medium">
        <color rgb="FF999999"/>
      </left>
      <right style="medium">
        <color rgb="FF999999"/>
      </right>
      <top style="hair">
        <color rgb="FF999999"/>
      </top>
      <bottom style="hair">
        <color rgb="FF999999"/>
      </bottom>
    </border>
    <border>
      <left style="medium">
        <color rgb="FF999999"/>
      </left>
      <right style="medium">
        <color rgb="FF000000"/>
      </right>
      <top style="hair">
        <color rgb="FF999999"/>
      </top>
      <bottom style="hair">
        <color rgb="FF999999"/>
      </bottom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000000"/>
      </right>
      <top style="medium">
        <color rgb="FF999999"/>
      </top>
      <bottom style="medium">
        <color rgb="FF999999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999999"/>
      </right>
      <top style="medium">
        <color rgb="FF999999"/>
      </top>
      <bottom style="hair">
        <color rgb="FF999999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hair">
        <color rgb="FF999999"/>
      </bottom>
    </border>
    <border>
      <left style="medium">
        <color rgb="FF999999"/>
      </left>
      <right style="medium">
        <color rgb="FF000000"/>
      </right>
      <top style="medium">
        <color rgb="FF999999"/>
      </top>
      <bottom style="hair">
        <color rgb="FF999999"/>
      </bottom>
    </border>
    <border>
      <left style="medium">
        <color rgb="FF000000"/>
      </left>
      <right style="medium">
        <color rgb="FF999999"/>
      </right>
      <top style="hair">
        <color rgb="FF999999"/>
      </top>
    </border>
    <border>
      <left style="medium">
        <color rgb="FF000000"/>
      </left>
      <right style="thin">
        <color rgb="FF000000"/>
      </right>
      <bottom style="medium">
        <color rgb="FFB7B7B7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999999"/>
      </left>
      <right style="medium">
        <color rgb="FF999999"/>
      </right>
      <top style="hair">
        <color rgb="FF999999"/>
      </top>
    </border>
    <border>
      <left style="medium">
        <color rgb="FF999999"/>
      </left>
      <right style="medium">
        <color rgb="FF000000"/>
      </right>
      <top style="hair">
        <color rgb="FF999999"/>
      </top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000000"/>
      </bottom>
    </border>
    <border>
      <left style="medium">
        <color rgb="FF999999"/>
      </left>
      <top style="medium">
        <color rgb="FF999999"/>
      </top>
      <bottom style="medium">
        <color rgb="FF000000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000000"/>
      </bottom>
    </border>
    <border>
      <left style="medium">
        <color rgb="FF999999"/>
      </left>
      <right style="medium">
        <color rgb="FF000000"/>
      </right>
      <top style="medium">
        <color rgb="FF999999"/>
      </top>
      <bottom style="medium">
        <color rgb="FF000000"/>
      </bottom>
    </border>
  </borders>
  <cellStyleXfs count="1">
    <xf borderId="0" fillId="0" fontId="0" numFmtId="0" applyAlignment="1" applyFont="1"/>
  </cellStyleXfs>
  <cellXfs count="6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1" fillId="2" fontId="1" numFmtId="49" xfId="0" applyAlignment="1" applyBorder="1" applyFont="1" applyNumberFormat="1">
      <alignment readingOrder="0" shrinkToFit="0" vertical="top" wrapText="0"/>
    </xf>
    <xf borderId="1" fillId="2" fontId="1" numFmtId="0" xfId="0" applyAlignment="1" applyBorder="1" applyFont="1">
      <alignment horizontal="center" readingOrder="0" shrinkToFit="0" vertical="top" wrapText="0"/>
    </xf>
    <xf borderId="1" fillId="2" fontId="1" numFmtId="41" xfId="0" applyAlignment="1" applyBorder="1" applyFont="1" applyNumberFormat="1">
      <alignment readingOrder="0" shrinkToFit="0" vertical="top" wrapText="0"/>
    </xf>
    <xf borderId="0" fillId="0" fontId="2" numFmtId="0" xfId="0" applyAlignment="1" applyFont="1">
      <alignment vertical="top"/>
    </xf>
    <xf borderId="0" fillId="0" fontId="2" numFmtId="49" xfId="0" applyAlignment="1" applyFont="1" applyNumberFormat="1">
      <alignment vertical="top"/>
    </xf>
    <xf borderId="0" fillId="0" fontId="3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3" numFmtId="41" xfId="0" applyAlignment="1" applyFont="1" applyNumberFormat="1">
      <alignment vertical="top"/>
    </xf>
    <xf borderId="0" fillId="0" fontId="3" numFmtId="41" xfId="0" applyAlignment="1" applyFont="1" applyNumberFormat="1">
      <alignment horizontal="right" vertical="top"/>
    </xf>
    <xf borderId="1" fillId="0" fontId="2" numFmtId="0" xfId="0" applyAlignment="1" applyBorder="1" applyFont="1">
      <alignment vertical="top"/>
    </xf>
    <xf borderId="0" fillId="0" fontId="3" numFmtId="164" xfId="0" applyAlignment="1" applyFont="1" applyNumberFormat="1">
      <alignment vertical="top"/>
    </xf>
    <xf borderId="0" fillId="0" fontId="3" numFmtId="49" xfId="0" applyAlignment="1" applyFont="1" applyNumberFormat="1">
      <alignment vertical="top"/>
    </xf>
    <xf borderId="0" fillId="0" fontId="1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center" readingOrder="0" shrinkToFit="0" vertical="top" wrapText="0"/>
    </xf>
    <xf borderId="0" fillId="0" fontId="4" numFmtId="41" xfId="0" applyAlignment="1" applyFont="1" applyNumberFormat="1">
      <alignment horizontal="left" readingOrder="0" shrinkToFit="0" vertical="top" wrapText="0"/>
    </xf>
    <xf borderId="0" fillId="0" fontId="4" numFmtId="41" xfId="0" applyAlignment="1" applyFont="1" applyNumberFormat="1">
      <alignment horizontal="right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1" fillId="0" fontId="1" numFmtId="0" xfId="0" applyAlignment="1" applyBorder="1" applyFont="1">
      <alignment horizontal="left" readingOrder="0" shrinkToFit="0" vertical="top" wrapText="0"/>
    </xf>
    <xf borderId="0" fillId="0" fontId="4" numFmtId="164" xfId="0" applyAlignment="1" applyFont="1" applyNumberFormat="1">
      <alignment horizontal="left" readingOrder="0" shrinkToFit="0" vertical="top" wrapText="0"/>
    </xf>
    <xf borderId="0" fillId="0" fontId="4" numFmtId="165" xfId="0" applyAlignment="1" applyFont="1" applyNumberFormat="1">
      <alignment horizontal="left" readingOrder="0" shrinkToFit="0" vertical="top" wrapText="0"/>
    </xf>
    <xf borderId="2" fillId="3" fontId="5" numFmtId="0" xfId="0" applyAlignment="1" applyBorder="1" applyFill="1" applyFont="1">
      <alignment readingOrder="0" shrinkToFit="0" vertical="top" wrapText="0"/>
    </xf>
    <xf borderId="2" fillId="3" fontId="5" numFmtId="49" xfId="0" applyAlignment="1" applyBorder="1" applyFont="1" applyNumberFormat="1">
      <alignment readingOrder="0" shrinkToFit="0" vertical="top" wrapText="0"/>
    </xf>
    <xf borderId="2" fillId="3" fontId="5" numFmtId="0" xfId="0" applyAlignment="1" applyBorder="1" applyFont="1">
      <alignment horizontal="center" readingOrder="0" shrinkToFit="0" vertical="top" wrapText="0"/>
    </xf>
    <xf borderId="0" fillId="4" fontId="2" numFmtId="0" xfId="0" applyAlignment="1" applyFill="1" applyFont="1">
      <alignment vertical="top"/>
    </xf>
    <xf borderId="0" fillId="0" fontId="3" numFmtId="3" xfId="0" applyAlignment="1" applyFont="1" applyNumberFormat="1">
      <alignment vertical="top"/>
    </xf>
    <xf borderId="0" fillId="0" fontId="3" numFmtId="3" xfId="0" applyAlignment="1" applyFont="1" applyNumberFormat="1">
      <alignment horizontal="center" vertical="top"/>
    </xf>
    <xf borderId="0" fillId="0" fontId="3" numFmtId="3" xfId="0" applyAlignment="1" applyFont="1" applyNumberFormat="1">
      <alignment horizontal="right" vertical="top"/>
    </xf>
    <xf borderId="0" fillId="4" fontId="2" numFmtId="0" xfId="0" applyAlignment="1" applyFont="1">
      <alignment readingOrder="0" vertical="top"/>
    </xf>
    <xf borderId="0" fillId="0" fontId="2" numFmtId="49" xfId="0" applyAlignment="1" applyFont="1" applyNumberFormat="1">
      <alignment readingOrder="0"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3" numFmtId="3" xfId="0" applyAlignment="1" applyFont="1" applyNumberFormat="1">
      <alignment readingOrder="0" vertical="top"/>
    </xf>
    <xf borderId="0" fillId="0" fontId="3" numFmtId="3" xfId="0" applyAlignment="1" applyFont="1" applyNumberFormat="1">
      <alignment horizontal="center" readingOrder="0" vertical="top"/>
    </xf>
    <xf borderId="0" fillId="0" fontId="3" numFmtId="3" xfId="0" applyAlignment="1" applyFont="1" applyNumberFormat="1">
      <alignment horizontal="right" readingOrder="0" vertical="top"/>
    </xf>
    <xf borderId="3" fillId="5" fontId="5" numFmtId="0" xfId="0" applyAlignment="1" applyBorder="1" applyFill="1" applyFont="1">
      <alignment readingOrder="0" shrinkToFit="0" vertical="top" wrapText="0"/>
    </xf>
    <xf borderId="3" fillId="5" fontId="5" numFmtId="49" xfId="0" applyAlignment="1" applyBorder="1" applyFont="1" applyNumberFormat="1">
      <alignment readingOrder="0" shrinkToFit="0" vertical="top" wrapText="0"/>
    </xf>
    <xf borderId="3" fillId="5" fontId="5" numFmtId="0" xfId="0" applyAlignment="1" applyBorder="1" applyFont="1">
      <alignment horizontal="center" readingOrder="0" shrinkToFit="0" vertical="top" wrapText="0"/>
    </xf>
    <xf borderId="0" fillId="6" fontId="2" numFmtId="0" xfId="0" applyAlignment="1" applyFill="1" applyFont="1">
      <alignment vertical="top"/>
    </xf>
    <xf borderId="0" fillId="0" fontId="2" numFmtId="3" xfId="0" applyAlignment="1" applyFont="1" applyNumberFormat="1">
      <alignment vertical="top"/>
    </xf>
    <xf borderId="0" fillId="6" fontId="1" numFmtId="0" xfId="0" applyAlignment="1" applyFont="1">
      <alignment horizontal="left" readingOrder="0" shrinkToFit="0" vertical="top" wrapText="0"/>
    </xf>
    <xf borderId="0" fillId="0" fontId="4" numFmtId="49" xfId="0" applyAlignment="1" applyFont="1" applyNumberFormat="1">
      <alignment horizontal="left" readingOrder="0" shrinkToFit="0" vertical="top" wrapText="0"/>
    </xf>
    <xf borderId="0" fillId="0" fontId="1" numFmtId="3" xfId="0" applyAlignment="1" applyFont="1" applyNumberFormat="1">
      <alignment horizontal="left" readingOrder="0" shrinkToFit="0" vertical="top" wrapText="0"/>
    </xf>
    <xf borderId="0" fillId="0" fontId="4" numFmtId="3" xfId="0" applyAlignment="1" applyFont="1" applyNumberFormat="1">
      <alignment horizontal="center" readingOrder="0" shrinkToFit="0" vertical="top" wrapText="0"/>
    </xf>
    <xf borderId="0" fillId="0" fontId="4" numFmtId="3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6" numFmtId="41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2" xfId="0" applyAlignment="1" applyFont="1" applyNumberFormat="1">
      <alignment horizontal="center"/>
    </xf>
    <xf borderId="0" fillId="7" fontId="7" numFmtId="0" xfId="0" applyAlignment="1" applyFill="1" applyFont="1">
      <alignment horizontal="left"/>
    </xf>
    <xf borderId="0" fillId="7" fontId="7" numFmtId="41" xfId="0" applyFont="1" applyNumberFormat="1"/>
    <xf borderId="0" fillId="7" fontId="7" numFmtId="0" xfId="0" applyFont="1"/>
    <xf borderId="0" fillId="7" fontId="7" numFmtId="41" xfId="0" applyAlignment="1" applyFont="1" applyNumberFormat="1">
      <alignment horizontal="center" readingOrder="0"/>
    </xf>
    <xf borderId="0" fillId="7" fontId="7" numFmtId="0" xfId="0" applyAlignment="1" applyFont="1">
      <alignment horizontal="center" readingOrder="0"/>
    </xf>
    <xf borderId="0" fillId="7" fontId="7" numFmtId="0" xfId="0" applyAlignment="1" applyFont="1">
      <alignment horizontal="center"/>
    </xf>
    <xf borderId="0" fillId="7" fontId="7" numFmtId="2" xfId="0" applyAlignment="1" applyFont="1" applyNumberFormat="1">
      <alignment horizontal="center" readingOrder="0"/>
    </xf>
    <xf borderId="0" fillId="0" fontId="6" numFmtId="41" xfId="0" applyFont="1" applyNumberFormat="1"/>
    <xf borderId="0" fillId="0" fontId="6" numFmtId="3" xfId="0" applyFont="1" applyNumberFormat="1"/>
    <xf borderId="0" fillId="0" fontId="8" numFmtId="0" xfId="0" applyAlignment="1" applyFont="1">
      <alignment horizontal="left" readingOrder="0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9" numFmtId="41" xfId="0" applyFont="1" applyNumberFormat="1"/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9" numFmtId="0" xfId="0" applyAlignment="1" applyFont="1">
      <alignment horizontal="center"/>
    </xf>
    <xf borderId="4" fillId="0" fontId="11" numFmtId="1" xfId="0" applyAlignment="1" applyBorder="1" applyFont="1" applyNumberFormat="1">
      <alignment horizontal="center" readingOrder="0" vertical="center"/>
    </xf>
    <xf borderId="4" fillId="0" fontId="11" numFmtId="1" xfId="0" applyAlignment="1" applyBorder="1" applyFont="1" applyNumberFormat="1">
      <alignment horizontal="center" vertical="center"/>
    </xf>
    <xf borderId="4" fillId="8" fontId="12" numFmtId="1" xfId="0" applyAlignment="1" applyBorder="1" applyFill="1" applyFont="1" applyNumberFormat="1">
      <alignment horizontal="center" vertical="center"/>
    </xf>
    <xf borderId="4" fillId="9" fontId="11" numFmtId="41" xfId="0" applyAlignment="1" applyBorder="1" applyFill="1" applyFont="1" applyNumberFormat="1">
      <alignment horizontal="center" readingOrder="0" vertical="center"/>
    </xf>
    <xf borderId="4" fillId="0" fontId="13" numFmtId="0" xfId="0" applyBorder="1" applyFont="1"/>
    <xf borderId="5" fillId="0" fontId="13" numFmtId="0" xfId="0" applyBorder="1" applyFont="1"/>
    <xf borderId="5" fillId="9" fontId="12" numFmtId="41" xfId="0" applyAlignment="1" applyBorder="1" applyFont="1" applyNumberFormat="1">
      <alignment horizontal="center" readingOrder="0" vertical="center"/>
    </xf>
    <xf borderId="5" fillId="9" fontId="12" numFmtId="41" xfId="0" applyAlignment="1" applyBorder="1" applyFont="1" applyNumberFormat="1">
      <alignment horizontal="center" vertical="center"/>
    </xf>
    <xf borderId="0" fillId="10" fontId="11" numFmtId="0" xfId="0" applyAlignment="1" applyFill="1" applyFont="1">
      <alignment horizontal="center" readingOrder="0"/>
    </xf>
    <xf borderId="0" fillId="10" fontId="11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6" fillId="0" fontId="9" numFmtId="0" xfId="0" applyAlignment="1" applyBorder="1" applyFont="1">
      <alignment readingOrder="0"/>
    </xf>
    <xf quotePrefix="1" borderId="6" fillId="0" fontId="10" numFmtId="0" xfId="0" applyAlignment="1" applyBorder="1" applyFont="1">
      <alignment horizontal="center" readingOrder="0"/>
    </xf>
    <xf borderId="6" fillId="0" fontId="9" numFmtId="41" xfId="0" applyBorder="1" applyFont="1" applyNumberFormat="1"/>
    <xf borderId="6" fillId="0" fontId="9" numFmtId="0" xfId="0" applyBorder="1" applyFont="1"/>
    <xf borderId="6" fillId="0" fontId="10" numFmtId="0" xfId="0" applyAlignment="1" applyBorder="1" applyFont="1">
      <alignment horizontal="center"/>
    </xf>
    <xf borderId="6" fillId="0" fontId="9" numFmtId="41" xfId="0" applyBorder="1" applyFont="1" applyNumberFormat="1"/>
    <xf borderId="6" fillId="0" fontId="10" numFmtId="0" xfId="0" applyAlignment="1" applyBorder="1" applyFont="1">
      <alignment horizontal="center" readingOrder="0"/>
    </xf>
    <xf borderId="6" fillId="0" fontId="9" numFmtId="166" xfId="0" applyBorder="1" applyFont="1" applyNumberFormat="1"/>
    <xf borderId="7" fillId="0" fontId="9" numFmtId="0" xfId="0" applyAlignment="1" applyBorder="1" applyFont="1">
      <alignment horizontal="center"/>
    </xf>
    <xf borderId="7" fillId="0" fontId="9" numFmtId="0" xfId="0" applyBorder="1" applyFont="1"/>
    <xf borderId="7" fillId="0" fontId="9" numFmtId="0" xfId="0" applyAlignment="1" applyBorder="1" applyFont="1">
      <alignment readingOrder="0"/>
    </xf>
    <xf borderId="7" fillId="0" fontId="10" numFmtId="0" xfId="0" applyAlignment="1" applyBorder="1" applyFont="1">
      <alignment horizontal="center" readingOrder="0"/>
    </xf>
    <xf borderId="7" fillId="0" fontId="9" numFmtId="166" xfId="0" applyBorder="1" applyFont="1" applyNumberFormat="1"/>
    <xf borderId="0" fillId="11" fontId="9" numFmtId="0" xfId="0" applyAlignment="1" applyFill="1" applyFont="1">
      <alignment horizontal="center"/>
    </xf>
    <xf borderId="0" fillId="11" fontId="9" numFmtId="0" xfId="0" applyFont="1"/>
    <xf borderId="0" fillId="11" fontId="10" numFmtId="0" xfId="0" applyAlignment="1" applyFont="1">
      <alignment horizontal="center"/>
    </xf>
    <xf borderId="0" fillId="11" fontId="9" numFmtId="41" xfId="0" applyFont="1" applyNumberFormat="1"/>
    <xf borderId="0" fillId="0" fontId="9" numFmtId="0" xfId="0" applyAlignment="1" applyFont="1">
      <alignment readingOrder="0"/>
    </xf>
    <xf borderId="0" fillId="12" fontId="11" numFmtId="0" xfId="0" applyAlignment="1" applyFill="1" applyFont="1">
      <alignment horizontal="center" readingOrder="0"/>
    </xf>
    <xf borderId="0" fillId="12" fontId="11" numFmtId="0" xfId="0" applyAlignment="1" applyFont="1">
      <alignment readingOrder="0"/>
    </xf>
    <xf borderId="0" fillId="12" fontId="9" numFmtId="0" xfId="0" applyAlignment="1" applyFont="1">
      <alignment readingOrder="0"/>
    </xf>
    <xf quotePrefix="1" borderId="0" fillId="12" fontId="10" numFmtId="0" xfId="0" applyAlignment="1" applyFont="1">
      <alignment horizontal="center" readingOrder="0"/>
    </xf>
    <xf borderId="0" fillId="12" fontId="9" numFmtId="41" xfId="0" applyFont="1" applyNumberFormat="1"/>
    <xf borderId="0" fillId="12" fontId="9" numFmtId="0" xfId="0" applyAlignment="1" applyFont="1">
      <alignment horizontal="center"/>
    </xf>
    <xf borderId="0" fillId="12" fontId="9" numFmtId="0" xfId="0" applyFont="1"/>
    <xf borderId="6" fillId="12" fontId="9" numFmtId="0" xfId="0" applyAlignment="1" applyBorder="1" applyFont="1">
      <alignment readingOrder="0"/>
    </xf>
    <xf quotePrefix="1" borderId="6" fillId="12" fontId="10" numFmtId="0" xfId="0" applyAlignment="1" applyBorder="1" applyFont="1">
      <alignment horizontal="center" readingOrder="0"/>
    </xf>
    <xf borderId="6" fillId="12" fontId="9" numFmtId="41" xfId="0" applyBorder="1" applyFont="1" applyNumberFormat="1"/>
    <xf borderId="6" fillId="12" fontId="9" numFmtId="0" xfId="0" applyBorder="1" applyFont="1"/>
    <xf borderId="6" fillId="12" fontId="10" numFmtId="0" xfId="0" applyAlignment="1" applyBorder="1" applyFont="1">
      <alignment horizontal="center"/>
    </xf>
    <xf borderId="6" fillId="12" fontId="10" numFmtId="0" xfId="0" applyAlignment="1" applyBorder="1" applyFont="1">
      <alignment horizontal="center" readingOrder="0"/>
    </xf>
    <xf borderId="6" fillId="12" fontId="9" numFmtId="166" xfId="0" applyBorder="1" applyFont="1" applyNumberFormat="1"/>
    <xf borderId="7" fillId="12" fontId="9" numFmtId="0" xfId="0" applyAlignment="1" applyBorder="1" applyFont="1">
      <alignment horizontal="center"/>
    </xf>
    <xf borderId="7" fillId="12" fontId="9" numFmtId="0" xfId="0" applyBorder="1" applyFont="1"/>
    <xf borderId="7" fillId="12" fontId="9" numFmtId="0" xfId="0" applyAlignment="1" applyBorder="1" applyFont="1">
      <alignment readingOrder="0"/>
    </xf>
    <xf borderId="7" fillId="12" fontId="10" numFmtId="0" xfId="0" applyAlignment="1" applyBorder="1" applyFont="1">
      <alignment horizontal="center" readingOrder="0"/>
    </xf>
    <xf borderId="7" fillId="12" fontId="9" numFmtId="166" xfId="0" applyBorder="1" applyFont="1" applyNumberFormat="1"/>
    <xf quotePrefix="1" borderId="0" fillId="0" fontId="10" numFmtId="0" xfId="0" applyAlignment="1" applyFont="1">
      <alignment horizontal="center" readingOrder="0"/>
    </xf>
    <xf borderId="8" fillId="0" fontId="9" numFmtId="0" xfId="0" applyAlignment="1" applyBorder="1" applyFont="1">
      <alignment readingOrder="0"/>
    </xf>
    <xf borderId="8" fillId="0" fontId="10" numFmtId="0" xfId="0" applyAlignment="1" applyBorder="1" applyFont="1">
      <alignment horizontal="center" readingOrder="0"/>
    </xf>
    <xf borderId="8" fillId="0" fontId="9" numFmtId="166" xfId="0" applyBorder="1" applyFont="1" applyNumberFormat="1"/>
    <xf borderId="9" fillId="12" fontId="9" numFmtId="0" xfId="0" applyAlignment="1" applyBorder="1" applyFont="1">
      <alignment readingOrder="0"/>
    </xf>
    <xf quotePrefix="1" borderId="9" fillId="12" fontId="10" numFmtId="0" xfId="0" applyAlignment="1" applyBorder="1" applyFont="1">
      <alignment horizontal="center" readingOrder="0"/>
    </xf>
    <xf borderId="9" fillId="12" fontId="9" numFmtId="41" xfId="0" applyBorder="1" applyFont="1" applyNumberFormat="1"/>
    <xf borderId="0" fillId="13" fontId="3" numFmtId="0" xfId="0" applyAlignment="1" applyFill="1" applyFont="1">
      <alignment readingOrder="0" vertical="bottom"/>
    </xf>
    <xf borderId="0" fillId="13" fontId="14" numFmtId="49" xfId="0" applyAlignment="1" applyFont="1" applyNumberFormat="1">
      <alignment horizontal="center" readingOrder="0" vertical="bottom"/>
    </xf>
    <xf borderId="0" fillId="0" fontId="15" numFmtId="49" xfId="0" applyAlignment="1" applyFont="1" applyNumberFormat="1">
      <alignment readingOrder="0" vertical="bottom"/>
    </xf>
    <xf borderId="0" fillId="0" fontId="6" numFmtId="0" xfId="0" applyAlignment="1" applyFont="1">
      <alignment readingOrder="0"/>
    </xf>
    <xf borderId="6" fillId="0" fontId="9" numFmtId="166" xfId="0" applyAlignment="1" applyBorder="1" applyFont="1" applyNumberFormat="1">
      <alignment readingOrder="0"/>
    </xf>
    <xf borderId="6" fillId="0" fontId="9" numFmtId="41" xfId="0" applyAlignment="1" applyBorder="1" applyFont="1" applyNumberFormat="1">
      <alignment readingOrder="0"/>
    </xf>
    <xf borderId="0" fillId="0" fontId="16" numFmtId="0" xfId="0" applyFont="1"/>
    <xf borderId="0" fillId="0" fontId="17" numFmtId="0" xfId="0" applyAlignment="1" applyFont="1">
      <alignment horizontal="left" readingOrder="0"/>
    </xf>
    <xf borderId="0" fillId="0" fontId="18" numFmtId="167" xfId="0" applyAlignment="1" applyFont="1" applyNumberFormat="1">
      <alignment horizontal="center"/>
    </xf>
    <xf borderId="0" fillId="0" fontId="18" numFmtId="167" xfId="0" applyFont="1" applyNumberFormat="1"/>
    <xf borderId="0" fillId="0" fontId="16" numFmtId="0" xfId="0" applyAlignment="1" applyFont="1">
      <alignment readingOrder="0"/>
    </xf>
    <xf borderId="10" fillId="11" fontId="17" numFmtId="167" xfId="0" applyAlignment="1" applyBorder="1" applyFont="1" applyNumberFormat="1">
      <alignment horizontal="center" readingOrder="0"/>
    </xf>
    <xf borderId="0" fillId="0" fontId="17" numFmtId="167" xfId="0" applyAlignment="1" applyFont="1" applyNumberFormat="1">
      <alignment readingOrder="0"/>
    </xf>
    <xf borderId="0" fillId="0" fontId="19" numFmtId="49" xfId="0" applyFont="1" applyNumberFormat="1"/>
    <xf borderId="0" fillId="0" fontId="19" numFmtId="0" xfId="0" applyFont="1"/>
    <xf borderId="0" fillId="0" fontId="19" numFmtId="0" xfId="0" applyAlignment="1" applyFont="1">
      <alignment readingOrder="0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right" readingOrder="0"/>
    </xf>
    <xf borderId="0" fillId="0" fontId="19" numFmtId="0" xfId="0" applyAlignment="1" applyFont="1">
      <alignment horizontal="center" vertical="center"/>
    </xf>
    <xf borderId="11" fillId="11" fontId="19" numFmtId="0" xfId="0" applyAlignment="1" applyBorder="1" applyFont="1">
      <alignment horizontal="center" readingOrder="0" shrinkToFit="0" vertical="center" wrapText="1"/>
    </xf>
    <xf borderId="12" fillId="11" fontId="19" numFmtId="0" xfId="0" applyAlignment="1" applyBorder="1" applyFont="1">
      <alignment horizontal="center" readingOrder="0" vertical="center"/>
    </xf>
    <xf borderId="13" fillId="0" fontId="13" numFmtId="0" xfId="0" applyBorder="1" applyFont="1"/>
    <xf borderId="14" fillId="11" fontId="19" numFmtId="167" xfId="0" applyAlignment="1" applyBorder="1" applyFont="1" applyNumberFormat="1">
      <alignment horizontal="center" readingOrder="0"/>
    </xf>
    <xf borderId="14" fillId="0" fontId="13" numFmtId="0" xfId="0" applyBorder="1" applyFont="1"/>
    <xf borderId="15" fillId="4" fontId="19" numFmtId="167" xfId="0" applyAlignment="1" applyBorder="1" applyFont="1" applyNumberFormat="1">
      <alignment horizontal="center" readingOrder="0"/>
    </xf>
    <xf borderId="16" fillId="0" fontId="13" numFmtId="0" xfId="0" applyBorder="1" applyFont="1"/>
    <xf borderId="0" fillId="0" fontId="19" numFmtId="167" xfId="0" applyAlignment="1" applyFont="1" applyNumberFormat="1">
      <alignment horizontal="center" readingOrder="0"/>
    </xf>
    <xf borderId="15" fillId="10" fontId="19" numFmtId="167" xfId="0" applyAlignment="1" applyBorder="1" applyFont="1" applyNumberFormat="1">
      <alignment horizontal="center" readingOrder="0"/>
    </xf>
    <xf borderId="14" fillId="10" fontId="19" numFmtId="167" xfId="0" applyAlignment="1" applyBorder="1" applyFont="1" applyNumberFormat="1">
      <alignment horizontal="center" readingOrder="0"/>
    </xf>
    <xf borderId="17" fillId="0" fontId="13" numFmtId="0" xfId="0" applyBorder="1" applyFont="1"/>
    <xf borderId="18" fillId="0" fontId="13" numFmtId="0" xfId="0" applyBorder="1" applyFont="1"/>
    <xf borderId="19" fillId="0" fontId="13" numFmtId="0" xfId="0" applyBorder="1" applyFont="1"/>
    <xf borderId="20" fillId="11" fontId="19" numFmtId="167" xfId="0" applyAlignment="1" applyBorder="1" applyFont="1" applyNumberFormat="1">
      <alignment horizontal="center" readingOrder="0" shrinkToFit="0" vertical="center" wrapText="1"/>
    </xf>
    <xf borderId="21" fillId="11" fontId="19" numFmtId="167" xfId="0" applyAlignment="1" applyBorder="1" applyFont="1" applyNumberFormat="1">
      <alignment horizontal="center" readingOrder="0" shrinkToFit="0" vertical="center" wrapText="1"/>
    </xf>
    <xf borderId="22" fillId="0" fontId="13" numFmtId="0" xfId="0" applyBorder="1" applyFont="1"/>
    <xf borderId="20" fillId="4" fontId="19" numFmtId="167" xfId="0" applyAlignment="1" applyBorder="1" applyFont="1" applyNumberFormat="1">
      <alignment horizontal="center" readingOrder="0" shrinkToFit="0" vertical="center" wrapText="1"/>
    </xf>
    <xf borderId="21" fillId="4" fontId="19" numFmtId="167" xfId="0" applyAlignment="1" applyBorder="1" applyFont="1" applyNumberFormat="1">
      <alignment horizontal="center" readingOrder="0" shrinkToFit="0" vertical="center" wrapText="1"/>
    </xf>
    <xf borderId="0" fillId="0" fontId="19" numFmtId="167" xfId="0" applyAlignment="1" applyFont="1" applyNumberFormat="1">
      <alignment horizontal="center" readingOrder="0" shrinkToFit="0" vertical="center" wrapText="1"/>
    </xf>
    <xf borderId="20" fillId="10" fontId="19" numFmtId="167" xfId="0" applyAlignment="1" applyBorder="1" applyFont="1" applyNumberFormat="1">
      <alignment horizontal="center" readingOrder="0" shrinkToFit="0" vertical="center" wrapText="1"/>
    </xf>
    <xf borderId="21" fillId="10" fontId="19" numFmtId="167" xfId="0" applyAlignment="1" applyBorder="1" applyFont="1" applyNumberFormat="1">
      <alignment horizontal="center" readingOrder="0" shrinkToFit="0" vertical="center" wrapText="1"/>
    </xf>
    <xf borderId="23" fillId="0" fontId="13" numFmtId="0" xfId="0" applyBorder="1" applyFont="1"/>
    <xf borderId="20" fillId="11" fontId="20" numFmtId="167" xfId="0" applyAlignment="1" applyBorder="1" applyFont="1" applyNumberFormat="1">
      <alignment horizontal="center" readingOrder="0" shrinkToFit="0" vertical="center" wrapText="1"/>
    </xf>
    <xf borderId="20" fillId="4" fontId="20" numFmtId="167" xfId="0" applyAlignment="1" applyBorder="1" applyFont="1" applyNumberFormat="1">
      <alignment horizontal="center" readingOrder="0" shrinkToFit="0" vertical="center" wrapText="1"/>
    </xf>
    <xf borderId="20" fillId="10" fontId="20" numFmtId="167" xfId="0" applyAlignment="1" applyBorder="1" applyFont="1" applyNumberFormat="1">
      <alignment horizontal="center" readingOrder="0" shrinkToFit="0" vertical="center" wrapText="1"/>
    </xf>
    <xf borderId="24" fillId="0" fontId="13" numFmtId="0" xfId="0" applyBorder="1" applyFont="1"/>
    <xf borderId="25" fillId="0" fontId="13" numFmtId="0" xfId="0" applyBorder="1" applyFont="1"/>
    <xf borderId="26" fillId="0" fontId="13" numFmtId="0" xfId="0" applyBorder="1" applyFont="1"/>
    <xf borderId="27" fillId="0" fontId="13" numFmtId="0" xfId="0" applyBorder="1" applyFont="1"/>
    <xf borderId="0" fillId="0" fontId="16" numFmtId="0" xfId="0" applyFont="1"/>
    <xf borderId="28" fillId="0" fontId="16" numFmtId="0" xfId="0" applyAlignment="1" applyBorder="1" applyFont="1">
      <alignment horizontal="center" vertical="center"/>
    </xf>
    <xf borderId="23" fillId="0" fontId="18" numFmtId="0" xfId="0" applyAlignment="1" applyBorder="1" applyFont="1">
      <alignment horizontal="center" vertical="center"/>
    </xf>
    <xf borderId="23" fillId="0" fontId="21" numFmtId="0" xfId="0" applyAlignment="1" applyBorder="1" applyFont="1">
      <alignment vertical="center"/>
    </xf>
    <xf borderId="23" fillId="0" fontId="16" numFmtId="0" xfId="0" applyBorder="1" applyFont="1"/>
    <xf borderId="28" fillId="0" fontId="16" numFmtId="0" xfId="0" applyAlignment="1" applyBorder="1" applyFont="1">
      <alignment horizontal="left" vertical="center"/>
    </xf>
    <xf borderId="23" fillId="0" fontId="18" numFmtId="0" xfId="0" applyAlignment="1" applyBorder="1" applyFont="1">
      <alignment horizontal="center" readingOrder="0" vertical="center"/>
    </xf>
    <xf borderId="23" fillId="0" fontId="16" numFmtId="0" xfId="0" applyAlignment="1" applyBorder="1" applyFont="1">
      <alignment vertical="center"/>
    </xf>
    <xf borderId="23" fillId="0" fontId="18" numFmtId="41" xfId="0" applyAlignment="1" applyBorder="1" applyFont="1" applyNumberFormat="1">
      <alignment horizontal="right" shrinkToFit="0" vertical="bottom" wrapText="0"/>
    </xf>
    <xf borderId="23" fillId="0" fontId="18" numFmtId="41" xfId="0" applyAlignment="1" applyBorder="1" applyFont="1" applyNumberFormat="1">
      <alignment horizontal="right" readingOrder="0" shrinkToFit="0" vertical="bottom" wrapText="0"/>
    </xf>
    <xf borderId="23" fillId="0" fontId="18" numFmtId="166" xfId="0" applyAlignment="1" applyBorder="1" applyFont="1" applyNumberFormat="1">
      <alignment horizontal="right" shrinkToFit="0" vertical="bottom" wrapText="0"/>
    </xf>
    <xf borderId="0" fillId="0" fontId="18" numFmtId="41" xfId="0" applyAlignment="1" applyFont="1" applyNumberFormat="1">
      <alignment horizontal="right" shrinkToFit="0" vertical="bottom" wrapText="0"/>
    </xf>
    <xf borderId="28" fillId="0" fontId="16" numFmtId="0" xfId="0" applyAlignment="1" applyBorder="1" applyFont="1">
      <alignment horizontal="left" readingOrder="0" vertical="center"/>
    </xf>
    <xf borderId="23" fillId="0" fontId="18" numFmtId="41" xfId="0" applyAlignment="1" applyBorder="1" applyFont="1" applyNumberFormat="1">
      <alignment readingOrder="0" shrinkToFit="0" vertical="bottom" wrapText="0"/>
    </xf>
    <xf borderId="0" fillId="0" fontId="18" numFmtId="41" xfId="0" applyAlignment="1" applyFont="1" applyNumberFormat="1">
      <alignment readingOrder="0" shrinkToFit="0" vertical="bottom" wrapText="0"/>
    </xf>
    <xf borderId="0" fillId="0" fontId="19" numFmtId="0" xfId="0" applyFont="1"/>
    <xf borderId="29" fillId="11" fontId="19" numFmtId="0" xfId="0" applyAlignment="1" applyBorder="1" applyFont="1">
      <alignment horizontal="left" vertical="center"/>
    </xf>
    <xf borderId="30" fillId="11" fontId="17" numFmtId="0" xfId="0" applyAlignment="1" applyBorder="1" applyFont="1">
      <alignment horizontal="center" vertical="center"/>
    </xf>
    <xf borderId="31" fillId="11" fontId="19" numFmtId="0" xfId="0" applyAlignment="1" applyBorder="1" applyFont="1">
      <alignment vertical="center"/>
    </xf>
    <xf borderId="10" fillId="11" fontId="19" numFmtId="167" xfId="0" applyBorder="1" applyFont="1" applyNumberFormat="1"/>
    <xf borderId="0" fillId="0" fontId="19" numFmtId="167" xfId="0" applyFont="1" applyNumberFormat="1"/>
    <xf borderId="32" fillId="0" fontId="16" numFmtId="0" xfId="0" applyAlignment="1" applyBorder="1" applyFont="1">
      <alignment readingOrder="0"/>
    </xf>
    <xf borderId="23" fillId="0" fontId="16" numFmtId="0" xfId="0" applyAlignment="1" applyBorder="1" applyFont="1">
      <alignment readingOrder="0"/>
    </xf>
    <xf borderId="32" fillId="0" fontId="16" numFmtId="0" xfId="0" applyBorder="1" applyFont="1"/>
    <xf borderId="10" fillId="11" fontId="17" numFmtId="0" xfId="0" applyAlignment="1" applyBorder="1" applyFont="1">
      <alignment horizontal="center" vertical="center"/>
    </xf>
    <xf borderId="10" fillId="11" fontId="19" numFmtId="0" xfId="0" applyAlignment="1" applyBorder="1" applyFont="1">
      <alignment vertical="center"/>
    </xf>
    <xf borderId="10" fillId="11" fontId="19" numFmtId="167" xfId="0" applyAlignment="1" applyBorder="1" applyFont="1" applyNumberFormat="1">
      <alignment horizontal="center"/>
    </xf>
    <xf borderId="0" fillId="0" fontId="19" numFmtId="167" xfId="0" applyAlignment="1" applyFont="1" applyNumberFormat="1">
      <alignment horizontal="center"/>
    </xf>
    <xf borderId="32" fillId="0" fontId="16" numFmtId="0" xfId="0" applyAlignment="1" applyBorder="1" applyFont="1">
      <alignment horizontal="left" readingOrder="0"/>
    </xf>
    <xf borderId="29" fillId="14" fontId="19" numFmtId="0" xfId="0" applyAlignment="1" applyBorder="1" applyFill="1" applyFont="1">
      <alignment horizontal="left" vertical="center"/>
    </xf>
    <xf borderId="10" fillId="14" fontId="17" numFmtId="0" xfId="0" applyAlignment="1" applyBorder="1" applyFont="1">
      <alignment horizontal="center" vertical="center"/>
    </xf>
    <xf borderId="10" fillId="14" fontId="19" numFmtId="0" xfId="0" applyAlignment="1" applyBorder="1" applyFont="1">
      <alignment vertical="center"/>
    </xf>
    <xf borderId="10" fillId="14" fontId="19" numFmtId="167" xfId="0" applyAlignment="1" applyBorder="1" applyFont="1" applyNumberFormat="1">
      <alignment horizontal="center"/>
    </xf>
    <xf borderId="32" fillId="0" fontId="16" numFmtId="0" xfId="0" applyAlignment="1" applyBorder="1" applyFont="1">
      <alignment horizontal="left" readingOrder="0" vertical="center"/>
    </xf>
    <xf borderId="23" fillId="0" fontId="16" numFmtId="0" xfId="0" applyAlignment="1" applyBorder="1" applyFont="1">
      <alignment readingOrder="0" vertical="center"/>
    </xf>
    <xf borderId="23" fillId="10" fontId="18" numFmtId="41" xfId="0" applyAlignment="1" applyBorder="1" applyFont="1" applyNumberFormat="1">
      <alignment horizontal="right" shrinkToFit="0" vertical="bottom" wrapText="0"/>
    </xf>
    <xf borderId="32" fillId="0" fontId="16" numFmtId="0" xfId="0" applyAlignment="1" applyBorder="1" applyFont="1">
      <alignment horizontal="left" vertical="center"/>
    </xf>
    <xf borderId="29" fillId="11" fontId="19" numFmtId="0" xfId="0" applyAlignment="1" applyBorder="1" applyFont="1">
      <alignment horizontal="left" readingOrder="0" vertical="center"/>
    </xf>
    <xf borderId="23" fillId="0" fontId="16" numFmtId="0" xfId="0" applyAlignment="1" applyBorder="1" applyFont="1">
      <alignment horizontal="left" readingOrder="0" vertical="center"/>
    </xf>
    <xf borderId="28" fillId="0" fontId="16" numFmtId="0" xfId="0" applyAlignment="1" applyBorder="1" applyFont="1">
      <alignment horizontal="left" readingOrder="0"/>
    </xf>
    <xf borderId="28" fillId="0" fontId="16" numFmtId="164" xfId="0" applyAlignment="1" applyBorder="1" applyFont="1" applyNumberFormat="1">
      <alignment horizontal="left" readingOrder="0"/>
    </xf>
    <xf borderId="23" fillId="0" fontId="18" numFmtId="164" xfId="0" applyAlignment="1" applyBorder="1" applyFont="1" applyNumberFormat="1">
      <alignment horizontal="center" readingOrder="0" vertical="center"/>
    </xf>
    <xf borderId="23" fillId="0" fontId="16" numFmtId="0" xfId="0" applyAlignment="1" applyBorder="1" applyFont="1">
      <alignment horizontal="left" readingOrder="0"/>
    </xf>
    <xf borderId="32" fillId="0" fontId="16" numFmtId="0" xfId="0" applyAlignment="1" applyBorder="1" applyFont="1">
      <alignment horizontal="left" readingOrder="0" vertical="top"/>
    </xf>
    <xf borderId="28" fillId="0" fontId="16" numFmtId="0" xfId="0" applyAlignment="1" applyBorder="1" applyFont="1">
      <alignment horizontal="left" readingOrder="0" vertical="top"/>
    </xf>
    <xf borderId="23" fillId="0" fontId="16" numFmtId="0" xfId="0" applyAlignment="1" applyBorder="1" applyFont="1">
      <alignment horizontal="left"/>
    </xf>
    <xf borderId="33" fillId="15" fontId="19" numFmtId="0" xfId="0" applyAlignment="1" applyBorder="1" applyFill="1" applyFont="1">
      <alignment vertical="center"/>
    </xf>
    <xf borderId="10" fillId="15" fontId="17" numFmtId="0" xfId="0" applyAlignment="1" applyBorder="1" applyFont="1">
      <alignment horizontal="center" vertical="center"/>
    </xf>
    <xf borderId="10" fillId="15" fontId="19" numFmtId="0" xfId="0" applyAlignment="1" applyBorder="1" applyFont="1">
      <alignment vertical="center"/>
    </xf>
    <xf borderId="10" fillId="15" fontId="19" numFmtId="167" xfId="0" applyAlignment="1" applyBorder="1" applyFont="1" applyNumberFormat="1">
      <alignment horizontal="center" vertical="bottom"/>
    </xf>
    <xf borderId="0" fillId="0" fontId="19" numFmtId="167" xfId="0" applyAlignment="1" applyFont="1" applyNumberFormat="1">
      <alignment horizontal="center" vertical="bottom"/>
    </xf>
    <xf borderId="28" fillId="0" fontId="16" numFmtId="0" xfId="0" applyAlignment="1" applyBorder="1" applyFont="1">
      <alignment vertical="center"/>
    </xf>
    <xf borderId="23" fillId="0" fontId="16" numFmtId="167" xfId="0" applyAlignment="1" applyBorder="1" applyFont="1" applyNumberFormat="1">
      <alignment horizontal="center"/>
    </xf>
    <xf borderId="23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23" fillId="0" fontId="18" numFmtId="49" xfId="0" applyAlignment="1" applyBorder="1" applyFont="1" applyNumberFormat="1">
      <alignment horizontal="center" readingOrder="0" shrinkToFit="0" vertical="center" wrapText="0"/>
    </xf>
    <xf borderId="0" fillId="0" fontId="16" numFmtId="0" xfId="0" applyAlignment="1" applyFont="1">
      <alignment vertical="bottom"/>
    </xf>
    <xf borderId="23" fillId="0" fontId="18" numFmtId="49" xfId="0" applyAlignment="1" applyBorder="1" applyFont="1" applyNumberFormat="1">
      <alignment horizontal="center" readingOrder="0" shrinkToFit="0" wrapText="0"/>
    </xf>
    <xf borderId="10" fillId="15" fontId="19" numFmtId="0" xfId="0" applyAlignment="1" applyBorder="1" applyFont="1">
      <alignment horizontal="center" readingOrder="0" vertical="center"/>
    </xf>
    <xf borderId="23" fillId="0" fontId="19" numFmtId="0" xfId="0" applyAlignment="1" applyBorder="1" applyFont="1">
      <alignment vertical="center"/>
    </xf>
    <xf borderId="10" fillId="15" fontId="19" numFmtId="167" xfId="0" applyAlignment="1" applyBorder="1" applyFont="1" applyNumberFormat="1">
      <alignment horizontal="center"/>
    </xf>
    <xf borderId="34" fillId="15" fontId="19" numFmtId="0" xfId="0" applyAlignment="1" applyBorder="1" applyFont="1">
      <alignment horizontal="center" vertical="center"/>
    </xf>
    <xf borderId="35" fillId="0" fontId="13" numFmtId="0" xfId="0" applyBorder="1" applyFont="1"/>
    <xf borderId="36" fillId="0" fontId="13" numFmtId="0" xfId="0" applyBorder="1" applyFont="1"/>
    <xf borderId="37" fillId="15" fontId="19" numFmtId="167" xfId="0" applyAlignment="1" applyBorder="1" applyFont="1" applyNumberFormat="1">
      <alignment horizontal="center"/>
    </xf>
    <xf borderId="23" fillId="0" fontId="19" numFmtId="0" xfId="0" applyAlignment="1" applyBorder="1" applyFont="1">
      <alignment readingOrder="0" vertical="center"/>
    </xf>
    <xf borderId="0" fillId="0" fontId="16" numFmtId="0" xfId="0" applyAlignment="1" applyFont="1">
      <alignment vertical="top"/>
    </xf>
    <xf borderId="23" fillId="0" fontId="18" numFmtId="0" xfId="0" applyAlignment="1" applyBorder="1" applyFont="1">
      <alignment horizontal="center" readingOrder="0" vertical="top"/>
    </xf>
    <xf borderId="0" fillId="0" fontId="6" numFmtId="0" xfId="0" applyAlignment="1" applyFont="1">
      <alignment vertical="top"/>
    </xf>
    <xf borderId="23" fillId="0" fontId="16" numFmtId="0" xfId="0" applyAlignment="1" applyBorder="1" applyFont="1">
      <alignment readingOrder="0" shrinkToFit="0" vertical="top" wrapText="1"/>
    </xf>
    <xf borderId="23" fillId="0" fontId="18" numFmtId="41" xfId="0" applyAlignment="1" applyBorder="1" applyFont="1" applyNumberFormat="1">
      <alignment horizontal="right" shrinkToFit="0" vertical="top" wrapText="0"/>
    </xf>
    <xf borderId="23" fillId="0" fontId="18" numFmtId="41" xfId="0" applyAlignment="1" applyBorder="1" applyFont="1" applyNumberFormat="1">
      <alignment horizontal="right" readingOrder="0" shrinkToFit="0" vertical="top" wrapText="0"/>
    </xf>
    <xf borderId="0" fillId="0" fontId="18" numFmtId="41" xfId="0" applyAlignment="1" applyFont="1" applyNumberFormat="1">
      <alignment horizontal="right" shrinkToFit="0" vertical="top" wrapText="0"/>
    </xf>
    <xf borderId="0" fillId="0" fontId="22" numFmtId="0" xfId="0" applyAlignment="1" applyFont="1">
      <alignment horizontal="left" shrinkToFit="0" wrapText="0"/>
    </xf>
    <xf borderId="0" fillId="0" fontId="9" numFmtId="49" xfId="0" applyAlignment="1" applyFont="1" applyNumberFormat="1">
      <alignment readingOrder="0"/>
    </xf>
    <xf borderId="0" fillId="11" fontId="23" numFmtId="0" xfId="0" applyAlignment="1" applyFont="1">
      <alignment horizontal="center" readingOrder="0"/>
    </xf>
    <xf borderId="0" fillId="11" fontId="23" numFmtId="0" xfId="0" applyFont="1"/>
    <xf borderId="0" fillId="0" fontId="11" numFmtId="49" xfId="0" applyAlignment="1" applyFont="1" applyNumberFormat="1">
      <alignment horizontal="right"/>
    </xf>
    <xf borderId="21" fillId="16" fontId="12" numFmtId="0" xfId="0" applyAlignment="1" applyBorder="1" applyFill="1" applyFont="1">
      <alignment horizontal="center" readingOrder="0" vertical="center"/>
    </xf>
    <xf borderId="38" fillId="16" fontId="8" numFmtId="0" xfId="0" applyAlignment="1" applyBorder="1" applyFont="1">
      <alignment horizontal="center" readingOrder="0" vertical="center"/>
    </xf>
    <xf borderId="39" fillId="16" fontId="12" numFmtId="0" xfId="0" applyAlignment="1" applyBorder="1" applyFont="1">
      <alignment horizontal="center" readingOrder="0" vertical="center"/>
    </xf>
    <xf borderId="40" fillId="0" fontId="13" numFmtId="0" xfId="0" applyBorder="1" applyFont="1"/>
    <xf borderId="41" fillId="0" fontId="24" numFmtId="167" xfId="0" applyAlignment="1" applyBorder="1" applyFont="1" applyNumberFormat="1">
      <alignment horizontal="center" readingOrder="0"/>
    </xf>
    <xf borderId="42" fillId="0" fontId="13" numFmtId="0" xfId="0" applyBorder="1" applyFont="1"/>
    <xf borderId="43" fillId="0" fontId="13" numFmtId="0" xfId="0" applyBorder="1" applyFont="1"/>
    <xf borderId="44" fillId="0" fontId="9" numFmtId="0" xfId="0" applyAlignment="1" applyBorder="1" applyFont="1">
      <alignment horizontal="center" readingOrder="0"/>
    </xf>
    <xf borderId="45" fillId="0" fontId="9" numFmtId="0" xfId="0" applyAlignment="1" applyBorder="1" applyFont="1">
      <alignment readingOrder="0"/>
    </xf>
    <xf borderId="46" fillId="0" fontId="9" numFmtId="166" xfId="0" applyAlignment="1" applyBorder="1" applyFont="1" applyNumberFormat="1">
      <alignment horizontal="right"/>
    </xf>
    <xf borderId="47" fillId="0" fontId="9" numFmtId="166" xfId="0" applyAlignment="1" applyBorder="1" applyFont="1" applyNumberFormat="1">
      <alignment readingOrder="0"/>
    </xf>
    <xf borderId="48" fillId="0" fontId="9" numFmtId="166" xfId="0" applyAlignment="1" applyBorder="1" applyFont="1" applyNumberFormat="1">
      <alignment readingOrder="0"/>
    </xf>
    <xf borderId="49" fillId="0" fontId="9" numFmtId="0" xfId="0" applyAlignment="1" applyBorder="1" applyFont="1">
      <alignment horizontal="center" readingOrder="0"/>
    </xf>
    <xf borderId="50" fillId="0" fontId="9" numFmtId="0" xfId="0" applyAlignment="1" applyBorder="1" applyFont="1">
      <alignment readingOrder="0"/>
    </xf>
    <xf borderId="51" fillId="0" fontId="9" numFmtId="0" xfId="0" applyBorder="1" applyFont="1"/>
    <xf borderId="52" fillId="0" fontId="9" numFmtId="0" xfId="0" applyBorder="1" applyFont="1"/>
    <xf borderId="52" fillId="0" fontId="9" numFmtId="41" xfId="0" applyBorder="1" applyFont="1" applyNumberFormat="1"/>
    <xf borderId="53" fillId="0" fontId="9" numFmtId="0" xfId="0" applyAlignment="1" applyBorder="1" applyFont="1">
      <alignment horizontal="center" readingOrder="0"/>
    </xf>
    <xf borderId="54" fillId="0" fontId="11" numFmtId="0" xfId="0" applyAlignment="1" applyBorder="1" applyFont="1">
      <alignment horizontal="center" readingOrder="0"/>
    </xf>
    <xf borderId="55" fillId="0" fontId="9" numFmtId="166" xfId="0" applyBorder="1" applyFont="1" applyNumberFormat="1"/>
    <xf borderId="56" fillId="0" fontId="9" numFmtId="166" xfId="0" applyBorder="1" applyFont="1" applyNumberFormat="1"/>
    <xf borderId="0" fillId="0" fontId="25" numFmtId="0" xfId="0" applyAlignment="1" applyFont="1">
      <alignment horizontal="left" readingOrder="0" shrinkToFit="0" vertical="center" wrapText="0"/>
    </xf>
    <xf borderId="57" fillId="16" fontId="12" numFmtId="0" xfId="0" applyAlignment="1" applyBorder="1" applyFont="1">
      <alignment horizontal="center" readingOrder="0" vertical="center"/>
    </xf>
    <xf borderId="41" fillId="16" fontId="12" numFmtId="0" xfId="0" applyAlignment="1" applyBorder="1" applyFont="1">
      <alignment horizontal="center" readingOrder="0" vertical="center"/>
    </xf>
    <xf borderId="32" fillId="16" fontId="19" numFmtId="0" xfId="0" applyAlignment="1" applyBorder="1" applyFont="1">
      <alignment horizontal="center" readingOrder="0" vertical="center"/>
    </xf>
    <xf borderId="23" fillId="16" fontId="19" numFmtId="0" xfId="0" applyAlignment="1" applyBorder="1" applyFont="1">
      <alignment horizontal="center" readingOrder="0" vertical="center"/>
    </xf>
    <xf borderId="23" fillId="16" fontId="19" numFmtId="41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horizontal="left" readingOrder="0" shrinkToFit="0" wrapText="0"/>
    </xf>
    <xf borderId="58" fillId="0" fontId="11" numFmtId="0" xfId="0" applyAlignment="1" applyBorder="1" applyFont="1">
      <alignment horizontal="center" readingOrder="0"/>
    </xf>
    <xf borderId="59" fillId="0" fontId="11" numFmtId="0" xfId="0" applyAlignment="1" applyBorder="1" applyFont="1">
      <alignment readingOrder="0"/>
    </xf>
    <xf borderId="60" fillId="0" fontId="9" numFmtId="41" xfId="0" applyBorder="1" applyFont="1" applyNumberFormat="1"/>
    <xf borderId="61" fillId="0" fontId="9" numFmtId="41" xfId="0" applyBorder="1" applyFont="1" applyNumberFormat="1"/>
    <xf borderId="0" fillId="0" fontId="22" numFmtId="0" xfId="0" applyAlignment="1" applyFont="1">
      <alignment horizontal="center" readingOrder="0" shrinkToFit="0" wrapText="0"/>
    </xf>
    <xf borderId="44" fillId="0" fontId="11" numFmtId="0" xfId="0" applyAlignment="1" applyBorder="1" applyFont="1">
      <alignment horizontal="center" readingOrder="0"/>
    </xf>
    <xf quotePrefix="1" borderId="50" fillId="0" fontId="9" numFmtId="0" xfId="0" applyAlignment="1" applyBorder="1" applyFont="1">
      <alignment readingOrder="0"/>
    </xf>
    <xf borderId="47" fillId="0" fontId="9" numFmtId="41" xfId="0" applyAlignment="1" applyBorder="1" applyFont="1" applyNumberFormat="1">
      <alignment readingOrder="0"/>
    </xf>
    <xf borderId="48" fillId="0" fontId="9" numFmtId="41" xfId="0" applyAlignment="1" applyBorder="1" applyFont="1" applyNumberFormat="1">
      <alignment readingOrder="0"/>
    </xf>
    <xf borderId="47" fillId="0" fontId="9" numFmtId="41" xfId="0" applyBorder="1" applyFont="1" applyNumberFormat="1"/>
    <xf borderId="48" fillId="0" fontId="9" numFmtId="41" xfId="0" applyBorder="1" applyFont="1" applyNumberFormat="1"/>
    <xf borderId="44" fillId="0" fontId="26" numFmtId="49" xfId="0" applyAlignment="1" applyBorder="1" applyFont="1" applyNumberFormat="1">
      <alignment horizontal="center" readingOrder="0"/>
    </xf>
    <xf borderId="45" fillId="0" fontId="11" numFmtId="0" xfId="0" applyAlignment="1" applyBorder="1" applyFont="1">
      <alignment readingOrder="0"/>
    </xf>
    <xf borderId="49" fillId="0" fontId="11" numFmtId="0" xfId="0" applyAlignment="1" applyBorder="1" applyFont="1">
      <alignment horizontal="center" readingOrder="0"/>
    </xf>
    <xf borderId="50" fillId="0" fontId="11" numFmtId="0" xfId="0" applyAlignment="1" applyBorder="1" applyFont="1">
      <alignment readingOrder="0"/>
    </xf>
    <xf borderId="51" fillId="0" fontId="9" numFmtId="41" xfId="0" applyBorder="1" applyFont="1" applyNumberFormat="1"/>
    <xf borderId="0" fillId="0" fontId="27" numFmtId="0" xfId="0" applyAlignment="1" applyFont="1">
      <alignment horizontal="center" shrinkToFit="0" vertical="bottom" wrapText="0"/>
    </xf>
    <xf borderId="47" fillId="10" fontId="9" numFmtId="41" xfId="0" applyAlignment="1" applyBorder="1" applyFont="1" applyNumberFormat="1">
      <alignment readingOrder="0"/>
    </xf>
    <xf borderId="51" fillId="0" fontId="9" numFmtId="41" xfId="0" applyAlignment="1" applyBorder="1" applyFont="1" applyNumberFormat="1">
      <alignment readingOrder="0"/>
    </xf>
    <xf borderId="52" fillId="0" fontId="9" numFmtId="41" xfId="0" applyAlignment="1" applyBorder="1" applyFont="1" applyNumberFormat="1">
      <alignment readingOrder="0"/>
    </xf>
    <xf borderId="0" fillId="0" fontId="25" numFmtId="0" xfId="0" applyAlignment="1" applyFont="1">
      <alignment horizontal="left" readingOrder="0" shrinkToFit="0" wrapText="0"/>
    </xf>
    <xf borderId="53" fillId="0" fontId="11" numFmtId="0" xfId="0" applyAlignment="1" applyBorder="1" applyFont="1">
      <alignment horizontal="center" readingOrder="0"/>
    </xf>
    <xf borderId="55" fillId="0" fontId="11" numFmtId="41" xfId="0" applyBorder="1" applyFont="1" applyNumberFormat="1"/>
    <xf borderId="56" fillId="0" fontId="11" numFmtId="41" xfId="0" applyBorder="1" applyFont="1" applyNumberFormat="1"/>
    <xf borderId="0" fillId="0" fontId="11" numFmtId="0" xfId="0" applyFont="1"/>
    <xf borderId="56" fillId="0" fontId="11" numFmtId="41" xfId="0" applyAlignment="1" applyBorder="1" applyFont="1" applyNumberFormat="1">
      <alignment readingOrder="0"/>
    </xf>
    <xf borderId="62" fillId="0" fontId="28" numFmtId="0" xfId="0" applyAlignment="1" applyBorder="1" applyFont="1">
      <alignment horizontal="center" readingOrder="0"/>
    </xf>
    <xf quotePrefix="1" borderId="63" fillId="0" fontId="9" numFmtId="0" xfId="0" applyAlignment="1" applyBorder="1" applyFont="1">
      <alignment readingOrder="0"/>
    </xf>
    <xf borderId="64" fillId="0" fontId="9" numFmtId="41" xfId="0" applyBorder="1" applyFont="1" applyNumberFormat="1"/>
    <xf borderId="65" fillId="0" fontId="9" numFmtId="41" xfId="0" applyBorder="1" applyFont="1" applyNumberFormat="1"/>
    <xf borderId="23" fillId="0" fontId="9" numFmtId="41" xfId="0" applyBorder="1" applyFont="1" applyNumberFormat="1"/>
    <xf borderId="66" fillId="0" fontId="26" numFmtId="49" xfId="0" applyAlignment="1" applyBorder="1" applyFont="1" applyNumberFormat="1">
      <alignment horizontal="center" readingOrder="0"/>
    </xf>
    <xf quotePrefix="1" borderId="67" fillId="0" fontId="9" numFmtId="0" xfId="0" applyAlignment="1" applyBorder="1" applyFont="1">
      <alignment readingOrder="0"/>
    </xf>
    <xf borderId="68" fillId="0" fontId="9" numFmtId="41" xfId="0" applyBorder="1" applyFont="1" applyNumberFormat="1"/>
    <xf borderId="69" fillId="0" fontId="9" numFmtId="41" xfId="0" applyBorder="1" applyFont="1" applyNumberFormat="1"/>
    <xf quotePrefix="1" borderId="45" fillId="0" fontId="9" numFmtId="0" xfId="0" applyAlignment="1" applyBorder="1" applyFont="1">
      <alignment readingOrder="0"/>
    </xf>
    <xf borderId="70" fillId="0" fontId="9" numFmtId="41" xfId="0" applyBorder="1" applyFont="1" applyNumberFormat="1"/>
    <xf borderId="71" fillId="0" fontId="9" numFmtId="41" xfId="0" applyBorder="1" applyFont="1" applyNumberFormat="1"/>
    <xf borderId="57" fillId="16" fontId="12" numFmtId="41" xfId="0" applyAlignment="1" applyBorder="1" applyFont="1" applyNumberFormat="1">
      <alignment horizontal="center" readingOrder="0" vertical="center"/>
    </xf>
    <xf borderId="41" fillId="16" fontId="12" numFmtId="41" xfId="0" applyAlignment="1" applyBorder="1" applyFont="1" applyNumberFormat="1">
      <alignment horizontal="center" readingOrder="0" vertical="center"/>
    </xf>
    <xf borderId="32" fillId="16" fontId="19" numFmtId="41" xfId="0" applyAlignment="1" applyBorder="1" applyFont="1" applyNumberFormat="1">
      <alignment horizontal="center" readingOrder="0" vertical="center"/>
    </xf>
    <xf borderId="27" fillId="16" fontId="19" numFmtId="41" xfId="0" applyAlignment="1" applyBorder="1" applyFont="1" applyNumberFormat="1">
      <alignment horizontal="center" readingOrder="0" vertical="center"/>
    </xf>
    <xf quotePrefix="1" borderId="58" fillId="0" fontId="9" numFmtId="0" xfId="0" applyAlignment="1" applyBorder="1" applyFont="1">
      <alignment horizontal="center" readingOrder="0"/>
    </xf>
    <xf borderId="59" fillId="0" fontId="9" numFmtId="0" xfId="0" applyAlignment="1" applyBorder="1" applyFont="1">
      <alignment readingOrder="0"/>
    </xf>
    <xf borderId="72" fillId="0" fontId="9" numFmtId="41" xfId="0" applyAlignment="1" applyBorder="1" applyFont="1" applyNumberFormat="1">
      <alignment horizontal="right"/>
    </xf>
    <xf borderId="61" fillId="0" fontId="9" numFmtId="41" xfId="0" applyAlignment="1" applyBorder="1" applyFont="1" applyNumberFormat="1">
      <alignment horizontal="right"/>
    </xf>
    <xf borderId="72" fillId="0" fontId="9" numFmtId="41" xfId="0" applyAlignment="1" applyBorder="1" applyFont="1" applyNumberFormat="1">
      <alignment horizontal="right" readingOrder="0"/>
    </xf>
    <xf borderId="61" fillId="0" fontId="9" numFmtId="41" xfId="0" applyAlignment="1" applyBorder="1" applyFont="1" applyNumberFormat="1">
      <alignment horizontal="right" readingOrder="0"/>
    </xf>
    <xf quotePrefix="1" borderId="49" fillId="0" fontId="9" numFmtId="0" xfId="0" applyAlignment="1" applyBorder="1" applyFont="1">
      <alignment horizontal="center" readingOrder="0"/>
    </xf>
    <xf borderId="73" fillId="0" fontId="9" numFmtId="41" xfId="0" applyAlignment="1" applyBorder="1" applyFont="1" applyNumberFormat="1">
      <alignment horizontal="right"/>
    </xf>
    <xf borderId="52" fillId="0" fontId="9" numFmtId="41" xfId="0" applyAlignment="1" applyBorder="1" applyFont="1" applyNumberFormat="1">
      <alignment horizontal="right"/>
    </xf>
    <xf borderId="73" fillId="0" fontId="9" numFmtId="41" xfId="0" applyAlignment="1" applyBorder="1" applyFont="1" applyNumberFormat="1">
      <alignment horizontal="right" readingOrder="0"/>
    </xf>
    <xf borderId="52" fillId="0" fontId="9" numFmtId="41" xfId="0" applyAlignment="1" applyBorder="1" applyFont="1" applyNumberFormat="1">
      <alignment horizontal="right" readingOrder="0"/>
    </xf>
    <xf borderId="74" fillId="0" fontId="11" numFmtId="41" xfId="0" applyBorder="1" applyFont="1" applyNumberFormat="1"/>
    <xf borderId="63" fillId="0" fontId="9" numFmtId="0" xfId="0" applyAlignment="1" applyBorder="1" applyFont="1">
      <alignment readingOrder="0"/>
    </xf>
    <xf borderId="0" fillId="0" fontId="22" numFmtId="0" xfId="0" applyAlignment="1" applyFont="1">
      <alignment readingOrder="0" shrinkToFit="0" wrapText="0"/>
    </xf>
    <xf borderId="0" fillId="0" fontId="25" numFmtId="0" xfId="0" applyAlignment="1" applyFont="1">
      <alignment horizontal="left" shrinkToFit="0" wrapText="0"/>
    </xf>
    <xf borderId="49" fillId="0" fontId="11" numFmtId="0" xfId="0" applyAlignment="1" applyBorder="1" applyFont="1">
      <alignment horizontal="center"/>
    </xf>
    <xf borderId="49" fillId="0" fontId="29" numFmtId="49" xfId="0" applyAlignment="1" applyBorder="1" applyFont="1" applyNumberFormat="1">
      <alignment horizontal="center" readingOrder="0"/>
    </xf>
    <xf borderId="50" fillId="0" fontId="9" numFmtId="37" xfId="0" applyBorder="1" applyFont="1" applyNumberFormat="1"/>
    <xf borderId="50" fillId="0" fontId="9" numFmtId="37" xfId="0" applyAlignment="1" applyBorder="1" applyFont="1" applyNumberFormat="1">
      <alignment readingOrder="0"/>
    </xf>
    <xf borderId="0" fillId="0" fontId="30" numFmtId="0" xfId="0" applyAlignment="1" applyFont="1">
      <alignment horizontal="left" readingOrder="0" shrinkToFit="0" wrapText="0"/>
    </xf>
    <xf borderId="58" fillId="0" fontId="31" numFmtId="0" xfId="0" applyAlignment="1" applyBorder="1" applyFont="1">
      <alignment horizontal="center" readingOrder="0"/>
    </xf>
    <xf borderId="59" fillId="0" fontId="31" numFmtId="0" xfId="0" applyAlignment="1" applyBorder="1" applyFont="1">
      <alignment readingOrder="0"/>
    </xf>
    <xf borderId="72" fillId="0" fontId="31" numFmtId="41" xfId="0" applyBorder="1" applyFont="1" applyNumberFormat="1"/>
    <xf borderId="61" fillId="0" fontId="31" numFmtId="41" xfId="0" applyBorder="1" applyFont="1" applyNumberFormat="1"/>
    <xf borderId="49" fillId="0" fontId="31" numFmtId="0" xfId="0" applyAlignment="1" applyBorder="1" applyFont="1">
      <alignment horizontal="center" readingOrder="0"/>
    </xf>
    <xf borderId="50" fillId="0" fontId="31" numFmtId="0" xfId="0" applyAlignment="1" applyBorder="1" applyFont="1">
      <alignment readingOrder="0"/>
    </xf>
    <xf borderId="73" fillId="0" fontId="31" numFmtId="41" xfId="0" applyBorder="1" applyFont="1" applyNumberFormat="1"/>
    <xf borderId="52" fillId="0" fontId="31" numFmtId="41" xfId="0" applyBorder="1" applyFont="1" applyNumberFormat="1"/>
    <xf borderId="75" fillId="0" fontId="31" numFmtId="0" xfId="0" applyAlignment="1" applyBorder="1" applyFont="1">
      <alignment horizontal="center" readingOrder="0"/>
    </xf>
    <xf borderId="63" fillId="0" fontId="31" numFmtId="0" xfId="0" applyAlignment="1" applyBorder="1" applyFont="1">
      <alignment readingOrder="0"/>
    </xf>
    <xf borderId="76" fillId="0" fontId="31" numFmtId="41" xfId="0" applyBorder="1" applyFont="1" applyNumberFormat="1"/>
    <xf borderId="77" fillId="0" fontId="31" numFmtId="41" xfId="0" applyBorder="1" applyFont="1" applyNumberFormat="1"/>
    <xf borderId="78" fillId="0" fontId="9" numFmtId="0" xfId="0" applyAlignment="1" applyBorder="1" applyFont="1">
      <alignment horizontal="center" readingOrder="0"/>
    </xf>
    <xf borderId="79" fillId="0" fontId="11" numFmtId="0" xfId="0" applyAlignment="1" applyBorder="1" applyFont="1">
      <alignment horizontal="center" readingOrder="0"/>
    </xf>
    <xf borderId="80" fillId="0" fontId="9" numFmtId="41" xfId="0" applyBorder="1" applyFont="1" applyNumberFormat="1"/>
    <xf borderId="81" fillId="0" fontId="9" numFmtId="41" xfId="0" applyBorder="1" applyFont="1" applyNumberFormat="1"/>
    <xf borderId="0" fillId="0" fontId="11" numFmtId="0" xfId="0" applyAlignment="1" applyFont="1">
      <alignment horizontal="right"/>
    </xf>
    <xf borderId="0" fillId="0" fontId="9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0" fontId="33" numFmtId="167" xfId="0" applyAlignment="1" applyFont="1" applyNumberFormat="1">
      <alignment horizontal="center"/>
    </xf>
    <xf borderId="0" fillId="0" fontId="34" numFmtId="167" xfId="0" applyFont="1" applyNumberFormat="1"/>
    <xf borderId="0" fillId="0" fontId="35" numFmtId="0" xfId="0" applyAlignment="1" applyFont="1">
      <alignment horizontal="left" readingOrder="0"/>
    </xf>
    <xf borderId="0" fillId="0" fontId="28" numFmtId="0" xfId="0" applyAlignment="1" applyFont="1">
      <alignment horizontal="center"/>
    </xf>
    <xf borderId="0" fillId="0" fontId="36" numFmtId="0" xfId="0" applyAlignment="1" applyFont="1">
      <alignment horizontal="center" readingOrder="0" vertical="center"/>
    </xf>
    <xf borderId="82" fillId="11" fontId="19" numFmtId="0" xfId="0" applyAlignment="1" applyBorder="1" applyFont="1">
      <alignment horizontal="center" shrinkToFit="0" vertical="center" wrapText="1"/>
    </xf>
    <xf borderId="83" fillId="11" fontId="17" numFmtId="0" xfId="0" applyAlignment="1" applyBorder="1" applyFont="1">
      <alignment horizontal="center" shrinkToFit="0" vertical="center" wrapText="1"/>
    </xf>
    <xf borderId="83" fillId="11" fontId="19" numFmtId="0" xfId="0" applyAlignment="1" applyBorder="1" applyFont="1">
      <alignment horizontal="center" vertical="center"/>
    </xf>
    <xf quotePrefix="1" borderId="84" fillId="11" fontId="12" numFmtId="0" xfId="0" applyAlignment="1" applyBorder="1" applyFont="1">
      <alignment horizontal="center" readingOrder="0" vertical="center"/>
    </xf>
    <xf borderId="84" fillId="17" fontId="12" numFmtId="1" xfId="0" applyAlignment="1" applyBorder="1" applyFill="1" applyFont="1" applyNumberFormat="1">
      <alignment horizontal="center" readingOrder="0" shrinkToFit="0" vertical="center" wrapText="1"/>
    </xf>
    <xf borderId="38" fillId="0" fontId="16" numFmtId="0" xfId="0" applyAlignment="1" applyBorder="1" applyFont="1">
      <alignment horizontal="center" vertical="center"/>
    </xf>
    <xf borderId="20" fillId="0" fontId="37" numFmtId="0" xfId="0" applyAlignment="1" applyBorder="1" applyFont="1">
      <alignment horizontal="center" vertical="center"/>
    </xf>
    <xf borderId="23" fillId="0" fontId="38" numFmtId="0" xfId="0" applyBorder="1" applyFont="1"/>
    <xf borderId="23" fillId="0" fontId="38" numFmtId="167" xfId="0" applyAlignment="1" applyBorder="1" applyFont="1" applyNumberFormat="1">
      <alignment horizontal="center" readingOrder="0"/>
    </xf>
    <xf borderId="23" fillId="0" fontId="37" numFmtId="0" xfId="0" applyAlignment="1" applyBorder="1" applyFont="1">
      <alignment horizontal="center" vertical="center"/>
    </xf>
    <xf borderId="23" fillId="0" fontId="16" numFmtId="0" xfId="0" applyAlignment="1" applyBorder="1" applyFont="1">
      <alignment horizontal="left" vertical="center"/>
    </xf>
    <xf borderId="23" fillId="0" fontId="38" numFmtId="0" xfId="0" applyBorder="1" applyFont="1"/>
    <xf borderId="30" fillId="11" fontId="36" numFmtId="0" xfId="0" applyAlignment="1" applyBorder="1" applyFont="1">
      <alignment horizontal="center" vertical="center"/>
    </xf>
    <xf borderId="10" fillId="11" fontId="12" numFmtId="167" xfId="0" applyBorder="1" applyFont="1" applyNumberFormat="1"/>
    <xf borderId="32" fillId="0" fontId="3" numFmtId="0" xfId="0" applyBorder="1" applyFont="1"/>
    <xf borderId="23" fillId="0" fontId="3" numFmtId="0" xfId="0" applyBorder="1" applyFont="1"/>
    <xf borderId="23" fillId="0" fontId="39" numFmtId="0" xfId="0" applyBorder="1" applyFont="1"/>
    <xf borderId="23" fillId="0" fontId="3" numFmtId="0" xfId="0" applyAlignment="1" applyBorder="1" applyFont="1">
      <alignment vertical="bottom"/>
    </xf>
    <xf borderId="28" fillId="0" fontId="9" numFmtId="0" xfId="0" applyBorder="1" applyFont="1"/>
    <xf borderId="23" fillId="0" fontId="28" numFmtId="0" xfId="0" applyBorder="1" applyFont="1"/>
    <xf borderId="23" fillId="0" fontId="9" numFmtId="0" xfId="0" applyBorder="1" applyFont="1"/>
    <xf borderId="23" fillId="0" fontId="38" numFmtId="167" xfId="0" applyAlignment="1" applyBorder="1" applyFont="1" applyNumberFormat="1">
      <alignment horizontal="center" vertical="bottom"/>
    </xf>
    <xf borderId="23" fillId="0" fontId="38" numFmtId="41" xfId="0" applyAlignment="1" applyBorder="1" applyFont="1" applyNumberFormat="1">
      <alignment horizontal="right" vertical="bottom"/>
    </xf>
    <xf borderId="28" fillId="0" fontId="9" numFmtId="0" xfId="0" applyBorder="1" applyFont="1"/>
    <xf borderId="23" fillId="0" fontId="28" numFmtId="0" xfId="0" applyAlignment="1" applyBorder="1" applyFont="1">
      <alignment horizontal="center"/>
    </xf>
    <xf borderId="29" fillId="11" fontId="11" numFmtId="0" xfId="0" applyBorder="1" applyFont="1"/>
    <xf borderId="85" fillId="11" fontId="3" numFmtId="0" xfId="0" applyBorder="1" applyFont="1"/>
    <xf borderId="31" fillId="11" fontId="3" numFmtId="0" xfId="0" applyBorder="1" applyFont="1"/>
    <xf borderId="10" fillId="11" fontId="12" numFmtId="167" xfId="0" applyAlignment="1" applyBorder="1" applyFont="1" applyNumberFormat="1">
      <alignment horizontal="right" vertical="bottom"/>
    </xf>
    <xf borderId="86" fillId="0" fontId="38" numFmtId="0" xfId="0" applyAlignment="1" applyBorder="1" applyFont="1">
      <alignment vertical="bottom"/>
    </xf>
    <xf borderId="20" fillId="0" fontId="3" numFmtId="0" xfId="0" applyBorder="1" applyFont="1"/>
    <xf borderId="20" fillId="0" fontId="38" numFmtId="0" xfId="0" applyAlignment="1" applyBorder="1" applyFont="1">
      <alignment vertical="bottom"/>
    </xf>
    <xf borderId="32" fillId="0" fontId="38" numFmtId="0" xfId="0" applyAlignment="1" applyBorder="1" applyFont="1">
      <alignment vertical="bottom"/>
    </xf>
    <xf borderId="23" fillId="0" fontId="3" numFmtId="0" xfId="0" applyBorder="1" applyFont="1"/>
    <xf borderId="23" fillId="0" fontId="38" numFmtId="0" xfId="0" applyAlignment="1" applyBorder="1" applyFont="1">
      <alignment vertical="bottom"/>
    </xf>
    <xf borderId="29" fillId="11" fontId="11" numFmtId="0" xfId="0" applyBorder="1" applyFont="1"/>
    <xf borderId="85" fillId="11" fontId="3" numFmtId="0" xfId="0" applyBorder="1" applyFont="1"/>
    <xf borderId="31" fillId="11" fontId="3" numFmtId="0" xfId="0" applyBorder="1" applyFont="1"/>
    <xf borderId="10" fillId="11" fontId="12" numFmtId="167" xfId="0" applyAlignment="1" applyBorder="1" applyFont="1" applyNumberFormat="1">
      <alignment horizontal="center" vertical="bottom"/>
    </xf>
    <xf borderId="32" fillId="0" fontId="3" numFmtId="0" xfId="0" applyAlignment="1" applyBorder="1" applyFont="1">
      <alignment vertical="bottom"/>
    </xf>
    <xf borderId="32" fillId="0" fontId="38" numFmtId="0" xfId="0" applyAlignment="1" applyBorder="1" applyFont="1">
      <alignment vertical="bottom"/>
    </xf>
    <xf borderId="32" fillId="0" fontId="3" numFmtId="0" xfId="0" applyAlignment="1" applyBorder="1" applyFont="1">
      <alignment vertical="bottom"/>
    </xf>
    <xf borderId="23" fillId="0" fontId="38" numFmtId="0" xfId="0" applyAlignment="1" applyBorder="1" applyFont="1">
      <alignment vertical="bottom"/>
    </xf>
    <xf borderId="29" fillId="14" fontId="11" numFmtId="0" xfId="0" applyBorder="1" applyFont="1"/>
    <xf borderId="85" fillId="14" fontId="3" numFmtId="0" xfId="0" applyBorder="1" applyFont="1"/>
    <xf borderId="31" fillId="14" fontId="3" numFmtId="0" xfId="0" applyBorder="1" applyFont="1"/>
    <xf borderId="43" fillId="14" fontId="12" numFmtId="167" xfId="0" applyAlignment="1" applyBorder="1" applyFont="1" applyNumberFormat="1">
      <alignment horizontal="center" vertical="bottom"/>
    </xf>
    <xf borderId="32" fillId="0" fontId="9" numFmtId="0" xfId="0" applyBorder="1" applyFont="1"/>
    <xf borderId="32" fillId="0" fontId="9" numFmtId="0" xfId="0" applyBorder="1" applyFont="1"/>
    <xf borderId="23" fillId="0" fontId="9" numFmtId="0" xfId="0" applyBorder="1" applyFont="1"/>
    <xf borderId="23" fillId="0" fontId="28" numFmtId="0" xfId="0" applyAlignment="1" applyBorder="1" applyFont="1">
      <alignment horizontal="center"/>
    </xf>
    <xf borderId="32" fillId="0" fontId="3" numFmtId="0" xfId="0" applyBorder="1" applyFont="1"/>
    <xf borderId="33" fillId="11" fontId="11" numFmtId="0" xfId="0" applyBorder="1" applyFont="1"/>
    <xf borderId="10" fillId="11" fontId="3" numFmtId="0" xfId="0" applyBorder="1" applyFont="1"/>
    <xf borderId="33" fillId="11" fontId="11" numFmtId="0" xfId="0" applyBorder="1" applyFont="1"/>
    <xf borderId="10" fillId="11" fontId="3" numFmtId="0" xfId="0" applyBorder="1" applyFont="1"/>
    <xf borderId="29" fillId="14" fontId="11" numFmtId="0" xfId="0" applyBorder="1" applyFont="1"/>
    <xf borderId="10" fillId="14" fontId="3" numFmtId="0" xfId="0" applyBorder="1" applyFont="1"/>
    <xf borderId="10" fillId="14" fontId="12" numFmtId="167" xfId="0" applyAlignment="1" applyBorder="1" applyFont="1" applyNumberFormat="1">
      <alignment horizontal="center" vertical="bottom"/>
    </xf>
    <xf borderId="33" fillId="15" fontId="11" numFmtId="0" xfId="0" applyBorder="1" applyFont="1"/>
    <xf borderId="10" fillId="15" fontId="3" numFmtId="0" xfId="0" applyBorder="1" applyFont="1"/>
    <xf borderId="10" fillId="15" fontId="12" numFmtId="167" xfId="0" applyAlignment="1" applyBorder="1" applyFont="1" applyNumberFormat="1">
      <alignment horizontal="center" vertical="bottom"/>
    </xf>
    <xf borderId="23" fillId="0" fontId="40" numFmtId="0" xfId="0" applyBorder="1" applyFont="1"/>
    <xf borderId="23" fillId="0" fontId="3" numFmtId="167" xfId="0" applyAlignment="1" applyBorder="1" applyFont="1" applyNumberFormat="1">
      <alignment vertical="bottom"/>
    </xf>
    <xf borderId="28" fillId="0" fontId="3" numFmtId="49" xfId="0" applyAlignment="1" applyBorder="1" applyFont="1" applyNumberFormat="1">
      <alignment readingOrder="0"/>
    </xf>
    <xf borderId="23" fillId="0" fontId="28" numFmtId="0" xfId="0" applyAlignment="1" applyBorder="1" applyFont="1">
      <alignment shrinkToFit="0" wrapText="0"/>
    </xf>
    <xf borderId="28" fillId="0" fontId="3" numFmtId="49" xfId="0" applyAlignment="1" applyBorder="1" applyFont="1" applyNumberFormat="1">
      <alignment readingOrder="0" vertical="bottom"/>
    </xf>
    <xf borderId="23" fillId="0" fontId="33" numFmtId="0" xfId="0" applyAlignment="1" applyBorder="1" applyFont="1">
      <alignment shrinkToFit="0" vertical="bottom" wrapText="0"/>
    </xf>
    <xf borderId="23" fillId="0" fontId="28" numFmtId="0" xfId="0" applyAlignment="1" applyBorder="1" applyFont="1">
      <alignment shrinkToFit="0" wrapText="0"/>
    </xf>
    <xf borderId="33" fillId="15" fontId="3" numFmtId="0" xfId="0" applyBorder="1" applyFont="1"/>
    <xf borderId="10" fillId="15" fontId="3" numFmtId="0" xfId="0" applyBorder="1" applyFont="1"/>
    <xf borderId="10" fillId="15" fontId="11" numFmtId="0" xfId="0" applyAlignment="1" applyBorder="1" applyFont="1">
      <alignment horizontal="center"/>
    </xf>
    <xf borderId="28" fillId="0" fontId="3" numFmtId="0" xfId="0" applyBorder="1" applyFont="1"/>
    <xf borderId="23" fillId="0" fontId="11" numFmtId="0" xfId="0" applyBorder="1" applyFont="1"/>
    <xf borderId="28" fillId="0" fontId="3" numFmtId="0" xfId="0" applyAlignment="1" applyBorder="1" applyFont="1">
      <alignment horizontal="center" readingOrder="0"/>
    </xf>
    <xf borderId="23" fillId="0" fontId="28" numFmtId="0" xfId="0" applyBorder="1" applyFont="1"/>
    <xf borderId="28" fillId="0" fontId="9" numFmtId="0" xfId="0" applyAlignment="1" applyBorder="1" applyFont="1">
      <alignment horizontal="center" readingOrder="0"/>
    </xf>
    <xf borderId="28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33" fillId="15" fontId="3" numFmtId="0" xfId="0" applyBorder="1" applyFont="1"/>
    <xf borderId="10" fillId="15" fontId="11" numFmtId="0" xfId="0" applyAlignment="1" applyBorder="1" applyFont="1">
      <alignment horizontal="center"/>
    </xf>
    <xf borderId="34" fillId="15" fontId="23" numFmtId="0" xfId="0" applyAlignment="1" applyBorder="1" applyFont="1">
      <alignment horizontal="center"/>
    </xf>
    <xf borderId="37" fillId="15" fontId="12" numFmtId="167" xfId="0" applyAlignment="1" applyBorder="1" applyFont="1" applyNumberFormat="1">
      <alignment horizontal="center" vertical="bottom"/>
    </xf>
    <xf borderId="87" fillId="11" fontId="41" numFmtId="49" xfId="0" applyAlignment="1" applyBorder="1" applyFont="1" applyNumberFormat="1">
      <alignment horizontal="center" readingOrder="0" shrinkToFit="0" wrapText="1"/>
    </xf>
    <xf borderId="83" fillId="11" fontId="41" numFmtId="0" xfId="0" applyAlignment="1" applyBorder="1" applyFont="1">
      <alignment horizontal="center" shrinkToFit="0" wrapText="1"/>
    </xf>
    <xf borderId="83" fillId="11" fontId="41" numFmtId="0" xfId="0" applyAlignment="1" applyBorder="1" applyFont="1">
      <alignment horizontal="center" readingOrder="0"/>
    </xf>
    <xf borderId="10" fillId="11" fontId="41" numFmtId="41" xfId="0" applyAlignment="1" applyBorder="1" applyFont="1" applyNumberFormat="1">
      <alignment horizontal="center" readingOrder="0"/>
    </xf>
    <xf borderId="38" fillId="0" fontId="42" numFmtId="49" xfId="0" applyAlignment="1" applyBorder="1" applyFont="1" applyNumberFormat="1">
      <alignment horizontal="center"/>
    </xf>
    <xf borderId="20" fillId="0" fontId="42" numFmtId="0" xfId="0" applyBorder="1" applyFont="1"/>
    <xf borderId="23" fillId="0" fontId="43" numFmtId="167" xfId="0" applyBorder="1" applyFont="1" applyNumberFormat="1"/>
    <xf borderId="23" fillId="0" fontId="42" numFmtId="41" xfId="0" applyAlignment="1" applyBorder="1" applyFont="1" applyNumberFormat="1">
      <alignment vertical="bottom"/>
    </xf>
    <xf borderId="28" fillId="0" fontId="42" numFmtId="49" xfId="0" applyAlignment="1" applyBorder="1" applyFont="1" applyNumberFormat="1">
      <alignment horizontal="center"/>
    </xf>
    <xf borderId="23" fillId="0" fontId="42" numFmtId="0" xfId="0" applyBorder="1" applyFont="1"/>
    <xf borderId="23" fillId="0" fontId="42" numFmtId="167" xfId="0" applyBorder="1" applyFont="1" applyNumberFormat="1"/>
    <xf borderId="23" fillId="0" fontId="42" numFmtId="41" xfId="0" applyAlignment="1" applyBorder="1" applyFont="1" applyNumberFormat="1">
      <alignment horizontal="center"/>
    </xf>
    <xf borderId="23" fillId="0" fontId="42" numFmtId="41" xfId="0" applyBorder="1" applyFont="1" applyNumberFormat="1"/>
    <xf borderId="29" fillId="11" fontId="41" numFmtId="49" xfId="0" applyAlignment="1" applyBorder="1" applyFont="1" applyNumberFormat="1">
      <alignment horizontal="left"/>
    </xf>
    <xf borderId="30" fillId="11" fontId="42" numFmtId="0" xfId="0" applyBorder="1" applyFont="1"/>
    <xf borderId="31" fillId="11" fontId="42" numFmtId="0" xfId="0" applyBorder="1" applyFont="1"/>
    <xf borderId="10" fillId="11" fontId="2" numFmtId="41" xfId="0" applyAlignment="1" applyBorder="1" applyFont="1" applyNumberFormat="1">
      <alignment horizontal="right" vertical="bottom"/>
    </xf>
    <xf borderId="32" fillId="0" fontId="42" numFmtId="49" xfId="0" applyAlignment="1" applyBorder="1" applyFont="1" applyNumberFormat="1">
      <alignment horizontal="center"/>
    </xf>
    <xf borderId="23" fillId="0" fontId="44" numFmtId="0" xfId="0" applyBorder="1" applyFont="1"/>
    <xf borderId="32" fillId="0" fontId="42" numFmtId="49" xfId="0" applyAlignment="1" applyBorder="1" applyFont="1" applyNumberFormat="1">
      <alignment horizontal="center" readingOrder="0"/>
    </xf>
    <xf borderId="85" fillId="11" fontId="42" numFmtId="0" xfId="0" applyBorder="1" applyFont="1"/>
    <xf borderId="86" fillId="0" fontId="3" numFmtId="49" xfId="0" applyAlignment="1" applyBorder="1" applyFont="1" applyNumberFormat="1">
      <alignment horizontal="center" readingOrder="0" vertical="bottom"/>
    </xf>
    <xf borderId="20" fillId="0" fontId="3" numFmtId="0" xfId="0" applyAlignment="1" applyBorder="1" applyFont="1">
      <alignment vertical="bottom"/>
    </xf>
    <xf borderId="32" fillId="0" fontId="3" numFmtId="49" xfId="0" applyAlignment="1" applyBorder="1" applyFont="1" applyNumberFormat="1">
      <alignment horizontal="center" readingOrder="0" vertical="bottom"/>
    </xf>
    <xf borderId="23" fillId="0" fontId="3" numFmtId="0" xfId="0" applyAlignment="1" applyBorder="1" applyFont="1">
      <alignment vertical="bottom"/>
    </xf>
    <xf borderId="10" fillId="11" fontId="2" numFmtId="41" xfId="0" applyAlignment="1" applyBorder="1" applyFont="1" applyNumberFormat="1">
      <alignment horizontal="center" vertical="bottom"/>
    </xf>
    <xf borderId="31" fillId="11" fontId="42" numFmtId="0" xfId="0" applyBorder="1" applyFont="1"/>
    <xf borderId="23" fillId="0" fontId="42" numFmtId="0" xfId="0" applyBorder="1" applyFont="1"/>
    <xf borderId="29" fillId="14" fontId="41" numFmtId="49" xfId="0" applyAlignment="1" applyBorder="1" applyFont="1" applyNumberFormat="1">
      <alignment horizontal="left"/>
    </xf>
    <xf borderId="85" fillId="14" fontId="42" numFmtId="0" xfId="0" applyBorder="1" applyFont="1"/>
    <xf borderId="31" fillId="14" fontId="42" numFmtId="0" xfId="0" applyBorder="1" applyFont="1"/>
    <xf borderId="10" fillId="14" fontId="2" numFmtId="41" xfId="0" applyAlignment="1" applyBorder="1" applyFont="1" applyNumberFormat="1">
      <alignment horizontal="center" vertical="bottom"/>
    </xf>
    <xf borderId="33" fillId="11" fontId="41" numFmtId="49" xfId="0" applyAlignment="1" applyBorder="1" applyFont="1" applyNumberFormat="1">
      <alignment horizontal="left"/>
    </xf>
    <xf borderId="10" fillId="11" fontId="42" numFmtId="0" xfId="0" applyBorder="1" applyFont="1"/>
    <xf borderId="10" fillId="11" fontId="42" numFmtId="0" xfId="0" applyBorder="1" applyFont="1"/>
    <xf borderId="10" fillId="14" fontId="42" numFmtId="0" xfId="0" applyBorder="1" applyFont="1"/>
    <xf borderId="10" fillId="14" fontId="42" numFmtId="0" xfId="0" applyBorder="1" applyFont="1"/>
    <xf borderId="33" fillId="15" fontId="41" numFmtId="49" xfId="0" applyAlignment="1" applyBorder="1" applyFont="1" applyNumberFormat="1">
      <alignment horizontal="left"/>
    </xf>
    <xf borderId="10" fillId="15" fontId="42" numFmtId="0" xfId="0" applyBorder="1" applyFont="1"/>
    <xf borderId="10" fillId="15" fontId="2" numFmtId="41" xfId="0" applyAlignment="1" applyBorder="1" applyFont="1" applyNumberFormat="1">
      <alignment horizontal="center" vertical="bottom"/>
    </xf>
    <xf quotePrefix="1" borderId="32" fillId="0" fontId="42" numFmtId="0" xfId="0" applyAlignment="1" applyBorder="1" applyFont="1">
      <alignment horizontal="center"/>
    </xf>
    <xf borderId="23" fillId="0" fontId="42" numFmtId="0" xfId="0" applyAlignment="1" applyBorder="1" applyFont="1">
      <alignment horizontal="center"/>
    </xf>
    <xf borderId="32" fillId="0" fontId="42" numFmtId="0" xfId="0" applyAlignment="1" applyBorder="1" applyFont="1">
      <alignment horizontal="center"/>
    </xf>
    <xf borderId="32" fillId="0" fontId="42" numFmtId="0" xfId="0" applyAlignment="1" applyBorder="1" applyFont="1">
      <alignment horizontal="center"/>
    </xf>
    <xf borderId="23" fillId="0" fontId="42" numFmtId="0" xfId="0" applyAlignment="1" applyBorder="1" applyFont="1">
      <alignment horizontal="center"/>
    </xf>
    <xf quotePrefix="1" borderId="32" fillId="0" fontId="42" numFmtId="0" xfId="0" applyAlignment="1" applyBorder="1" applyFont="1">
      <alignment horizontal="center"/>
    </xf>
    <xf borderId="23" fillId="0" fontId="42" numFmtId="0" xfId="0" applyAlignment="1" applyBorder="1" applyFont="1">
      <alignment horizontal="center" readingOrder="0"/>
    </xf>
    <xf borderId="23" fillId="0" fontId="42" numFmtId="0" xfId="0" applyAlignment="1" applyBorder="1" applyFont="1">
      <alignment readingOrder="0"/>
    </xf>
    <xf borderId="33" fillId="15" fontId="41" numFmtId="49" xfId="0" applyAlignment="1" applyBorder="1" applyFont="1" applyNumberFormat="1">
      <alignment horizontal="center" vertical="bottom"/>
    </xf>
    <xf borderId="10" fillId="15" fontId="42" numFmtId="0" xfId="0" applyBorder="1" applyFont="1"/>
    <xf borderId="88" fillId="0" fontId="42" numFmtId="49" xfId="0" applyAlignment="1" applyBorder="1" applyFont="1" applyNumberFormat="1">
      <alignment horizontal="center" vertical="bottom"/>
    </xf>
    <xf borderId="23" fillId="0" fontId="42" numFmtId="0" xfId="0" applyAlignment="1" applyBorder="1" applyFont="1">
      <alignment vertical="bottom"/>
    </xf>
    <xf borderId="23" fillId="0" fontId="45" numFmtId="0" xfId="0" applyAlignment="1" applyBorder="1" applyFont="1">
      <alignment vertical="bottom"/>
    </xf>
    <xf borderId="88" fillId="0" fontId="42" numFmtId="0" xfId="0" applyAlignment="1" applyBorder="1" applyFont="1">
      <alignment horizontal="center" vertical="bottom"/>
    </xf>
    <xf borderId="23" fillId="0" fontId="42" numFmtId="0" xfId="0" applyAlignment="1" applyBorder="1" applyFont="1">
      <alignment horizontal="center" vertical="bottom"/>
    </xf>
    <xf borderId="23" fillId="0" fontId="42" numFmtId="0" xfId="0" applyAlignment="1" applyBorder="1" applyFont="1">
      <alignment vertical="bottom"/>
    </xf>
    <xf borderId="88" fillId="0" fontId="42" numFmtId="0" xfId="0" applyAlignment="1" applyBorder="1" applyFont="1">
      <alignment horizontal="center" vertical="bottom"/>
    </xf>
    <xf borderId="23" fillId="0" fontId="42" numFmtId="0" xfId="0" applyAlignment="1" applyBorder="1" applyFont="1">
      <alignment horizontal="center" vertical="bottom"/>
    </xf>
    <xf borderId="38" fillId="15" fontId="46" numFmtId="49" xfId="0" applyAlignment="1" applyBorder="1" applyFont="1" applyNumberFormat="1">
      <alignment horizontal="center" vertical="bottom"/>
    </xf>
    <xf borderId="20" fillId="15" fontId="2" numFmtId="41" xfId="0" applyAlignment="1" applyBorder="1" applyFont="1" applyNumberFormat="1">
      <alignment horizontal="center" vertical="bottom"/>
    </xf>
    <xf borderId="89" fillId="18" fontId="46" numFmtId="49" xfId="0" applyAlignment="1" applyBorder="1" applyFill="1" applyFont="1" applyNumberFormat="1">
      <alignment horizontal="center" vertical="bottom"/>
    </xf>
    <xf borderId="90" fillId="0" fontId="13" numFmtId="0" xfId="0" applyBorder="1" applyFont="1"/>
    <xf borderId="91" fillId="0" fontId="13" numFmtId="0" xfId="0" applyBorder="1" applyFont="1"/>
    <xf borderId="92" fillId="18" fontId="2" numFmtId="41" xfId="0" applyAlignment="1" applyBorder="1" applyFont="1" applyNumberFormat="1">
      <alignment horizontal="center" vertical="bottom"/>
    </xf>
    <xf borderId="23" fillId="0" fontId="42" numFmtId="49" xfId="0" applyAlignment="1" applyBorder="1" applyFont="1" applyNumberFormat="1">
      <alignment vertical="bottom"/>
    </xf>
    <xf borderId="23" fillId="0" fontId="47" numFmtId="0" xfId="0" applyAlignment="1" applyBorder="1" applyFont="1">
      <alignment vertical="bottom"/>
    </xf>
    <xf borderId="23" fillId="0" fontId="42" numFmtId="49" xfId="0" applyAlignment="1" applyBorder="1" applyFont="1" applyNumberFormat="1">
      <alignment horizontal="center" vertical="bottom"/>
    </xf>
    <xf borderId="88" fillId="0" fontId="42" numFmtId="0" xfId="0" applyAlignment="1" applyBorder="1" applyFont="1">
      <alignment horizontal="center" readingOrder="0" vertical="bottom"/>
    </xf>
    <xf borderId="93" fillId="15" fontId="46" numFmtId="49" xfId="0" applyAlignment="1" applyBorder="1" applyFont="1" applyNumberFormat="1">
      <alignment horizontal="center" vertical="bottom"/>
    </xf>
    <xf borderId="94" fillId="0" fontId="13" numFmtId="0" xfId="0" applyBorder="1" applyFont="1"/>
    <xf borderId="95" fillId="0" fontId="13" numFmtId="0" xfId="0" applyBorder="1" applyFont="1"/>
    <xf borderId="96" fillId="15" fontId="2" numFmtId="41" xfId="0" applyAlignment="1" applyBorder="1" applyFont="1" applyNumberFormat="1">
      <alignment horizontal="center" vertical="bottom"/>
    </xf>
    <xf borderId="23" fillId="0" fontId="42" numFmtId="41" xfId="0" applyAlignment="1" applyBorder="1" applyFont="1" applyNumberFormat="1">
      <alignment horizontal="center" readingOrder="0"/>
    </xf>
    <xf borderId="0" fillId="19" fontId="48" numFmtId="0" xfId="0" applyAlignment="1" applyFill="1" applyFont="1">
      <alignment readingOrder="0"/>
    </xf>
    <xf borderId="0" fillId="19" fontId="6" numFmtId="49" xfId="0" applyAlignment="1" applyFont="1" applyNumberFormat="1">
      <alignment readingOrder="0"/>
    </xf>
    <xf borderId="0" fillId="0" fontId="49" numFmtId="0" xfId="0" applyAlignment="1" applyFont="1">
      <alignment readingOrder="0"/>
    </xf>
    <xf borderId="0" fillId="19" fontId="6" numFmtId="0" xfId="0" applyAlignment="1" applyFont="1">
      <alignment readingOrder="0"/>
    </xf>
    <xf borderId="0" fillId="19" fontId="6" numFmtId="167" xfId="0" applyAlignment="1" applyFont="1" applyNumberFormat="1">
      <alignment readingOrder="0"/>
    </xf>
    <xf borderId="0" fillId="10" fontId="50" numFmtId="0" xfId="0" applyAlignment="1" applyFont="1">
      <alignment readingOrder="0"/>
    </xf>
    <xf borderId="0" fillId="10" fontId="6" numFmtId="0" xfId="0" applyAlignment="1" applyFont="1">
      <alignment readingOrder="0"/>
    </xf>
    <xf borderId="0" fillId="10" fontId="6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97" fillId="16" fontId="51" numFmtId="0" xfId="0" applyAlignment="1" applyBorder="1" applyFont="1">
      <alignment horizontal="center" readingOrder="0" vertical="center"/>
    </xf>
    <xf borderId="97" fillId="16" fontId="52" numFmtId="0" xfId="0" applyAlignment="1" applyBorder="1" applyFont="1">
      <alignment horizontal="center" readingOrder="0" vertical="center"/>
    </xf>
    <xf borderId="98" fillId="0" fontId="13" numFmtId="0" xfId="0" applyBorder="1" applyFont="1"/>
    <xf borderId="99" fillId="0" fontId="13" numFmtId="0" xfId="0" applyBorder="1" applyFont="1"/>
    <xf borderId="98" fillId="16" fontId="52" numFmtId="0" xfId="0" applyAlignment="1" applyBorder="1" applyFont="1">
      <alignment horizontal="center" readingOrder="0" vertical="center"/>
    </xf>
    <xf borderId="100" fillId="16" fontId="51" numFmtId="0" xfId="0" applyAlignment="1" applyBorder="1" applyFont="1">
      <alignment horizontal="center" readingOrder="0" vertical="center"/>
    </xf>
    <xf borderId="101" fillId="0" fontId="13" numFmtId="0" xfId="0" applyBorder="1" applyFont="1"/>
    <xf borderId="102" fillId="0" fontId="13" numFmtId="0" xfId="0" applyBorder="1" applyFont="1"/>
    <xf borderId="101" fillId="16" fontId="51" numFmtId="0" xfId="0" applyAlignment="1" applyBorder="1" applyFont="1">
      <alignment horizontal="center" readingOrder="0" vertical="center"/>
    </xf>
    <xf borderId="103" fillId="0" fontId="6" numFmtId="0" xfId="0" applyAlignment="1" applyBorder="1" applyFont="1">
      <alignment horizontal="center" readingOrder="0"/>
    </xf>
    <xf borderId="45" fillId="0" fontId="6" numFmtId="0" xfId="0" applyAlignment="1" applyBorder="1" applyFont="1">
      <alignment readingOrder="0"/>
    </xf>
    <xf borderId="103" fillId="0" fontId="6" numFmtId="166" xfId="0" applyBorder="1" applyFont="1" applyNumberFormat="1"/>
    <xf borderId="104" fillId="0" fontId="6" numFmtId="166" xfId="0" applyBorder="1" applyFont="1" applyNumberFormat="1"/>
    <xf borderId="103" fillId="0" fontId="6" numFmtId="41" xfId="0" applyAlignment="1" applyBorder="1" applyFont="1" applyNumberFormat="1">
      <alignment readingOrder="0"/>
    </xf>
    <xf borderId="104" fillId="0" fontId="6" numFmtId="41" xfId="0" applyAlignment="1" applyBorder="1" applyFont="1" applyNumberFormat="1">
      <alignment readingOrder="0"/>
    </xf>
    <xf borderId="105" fillId="0" fontId="6" numFmtId="166" xfId="0" applyBorder="1" applyFont="1" applyNumberFormat="1"/>
    <xf borderId="106" fillId="0" fontId="6" numFmtId="0" xfId="0" applyAlignment="1" applyBorder="1" applyFont="1">
      <alignment horizontal="center" readingOrder="0"/>
    </xf>
    <xf borderId="50" fillId="0" fontId="6" numFmtId="0" xfId="0" applyAlignment="1" applyBorder="1" applyFont="1">
      <alignment readingOrder="0"/>
    </xf>
    <xf borderId="103" fillId="0" fontId="6" numFmtId="0" xfId="0" applyBorder="1" applyFont="1"/>
    <xf borderId="107" fillId="0" fontId="6" numFmtId="0" xfId="0" applyBorder="1" applyFont="1"/>
    <xf borderId="107" fillId="0" fontId="6" numFmtId="41" xfId="0" applyBorder="1" applyFont="1" applyNumberFormat="1"/>
    <xf borderId="108" fillId="0" fontId="6" numFmtId="0" xfId="0" applyBorder="1" applyFont="1"/>
    <xf borderId="106" fillId="0" fontId="6" numFmtId="41" xfId="0" applyBorder="1" applyFont="1" applyNumberFormat="1"/>
    <xf borderId="108" fillId="0" fontId="6" numFmtId="41" xfId="0" applyBorder="1" applyFont="1" applyNumberFormat="1"/>
    <xf borderId="106" fillId="0" fontId="6" numFmtId="0" xfId="0" applyBorder="1" applyFont="1"/>
    <xf borderId="109" fillId="0" fontId="6" numFmtId="0" xfId="0" applyAlignment="1" applyBorder="1" applyFont="1">
      <alignment horizontal="center" readingOrder="0"/>
    </xf>
    <xf borderId="54" fillId="0" fontId="53" numFmtId="0" xfId="0" applyAlignment="1" applyBorder="1" applyFont="1">
      <alignment horizontal="center" readingOrder="0"/>
    </xf>
    <xf borderId="109" fillId="0" fontId="6" numFmtId="166" xfId="0" applyBorder="1" applyFont="1" applyNumberFormat="1"/>
    <xf borderId="110" fillId="0" fontId="6" numFmtId="166" xfId="0" applyBorder="1" applyFont="1" applyNumberFormat="1"/>
    <xf borderId="111" fillId="0" fontId="6" numFmtId="166" xfId="0" applyBorder="1" applyFont="1" applyNumberFormat="1"/>
    <xf borderId="109" fillId="0" fontId="6" numFmtId="41" xfId="0" applyBorder="1" applyFont="1" applyNumberFormat="1"/>
    <xf borderId="110" fillId="0" fontId="6" numFmtId="41" xfId="0" applyBorder="1" applyFont="1" applyNumberFormat="1"/>
    <xf borderId="111" fillId="0" fontId="6" numFmtId="41" xfId="0" applyBorder="1" applyFont="1" applyNumberFormat="1"/>
    <xf borderId="0" fillId="0" fontId="51" numFmtId="0" xfId="0" applyAlignment="1" applyFont="1">
      <alignment horizontal="center" readingOrder="0" vertical="center"/>
    </xf>
    <xf borderId="38" fillId="16" fontId="51" numFmtId="0" xfId="0" applyAlignment="1" applyBorder="1" applyFont="1">
      <alignment horizontal="center" readingOrder="0" vertical="center"/>
    </xf>
    <xf borderId="57" fillId="16" fontId="51" numFmtId="0" xfId="0" applyAlignment="1" applyBorder="1" applyFont="1">
      <alignment horizontal="center" readingOrder="0" vertical="center"/>
    </xf>
    <xf borderId="42" fillId="16" fontId="51" numFmtId="0" xfId="0" applyAlignment="1" applyBorder="1" applyFont="1">
      <alignment horizontal="center" readingOrder="0" vertical="center"/>
    </xf>
    <xf borderId="112" fillId="0" fontId="13" numFmtId="0" xfId="0" applyBorder="1" applyFont="1"/>
    <xf borderId="28" fillId="0" fontId="13" numFmtId="0" xfId="0" applyBorder="1" applyFont="1"/>
    <xf borderId="113" fillId="0" fontId="13" numFmtId="0" xfId="0" applyBorder="1" applyFont="1"/>
    <xf borderId="32" fillId="16" fontId="51" numFmtId="0" xfId="0" applyAlignment="1" applyBorder="1" applyFont="1">
      <alignment horizontal="center" readingOrder="0" vertical="center"/>
    </xf>
    <xf borderId="19" fillId="16" fontId="51" numFmtId="0" xfId="0" applyAlignment="1" applyBorder="1" applyFont="1">
      <alignment horizontal="center" readingOrder="0" vertical="center"/>
    </xf>
    <xf borderId="19" fillId="16" fontId="51" numFmtId="41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/>
    </xf>
    <xf borderId="114" fillId="0" fontId="53" numFmtId="0" xfId="0" applyAlignment="1" applyBorder="1" applyFont="1">
      <alignment horizontal="center" readingOrder="0"/>
    </xf>
    <xf borderId="59" fillId="0" fontId="53" numFmtId="0" xfId="0" applyAlignment="1" applyBorder="1" applyFont="1">
      <alignment readingOrder="0"/>
    </xf>
    <xf borderId="114" fillId="0" fontId="6" numFmtId="41" xfId="0" applyAlignment="1" applyBorder="1" applyFont="1" applyNumberFormat="1">
      <alignment readingOrder="0"/>
    </xf>
    <xf borderId="115" fillId="0" fontId="6" numFmtId="41" xfId="0" applyBorder="1" applyFont="1" applyNumberFormat="1"/>
    <xf borderId="115" fillId="0" fontId="6" numFmtId="41" xfId="0" applyAlignment="1" applyBorder="1" applyFont="1" applyNumberFormat="1">
      <alignment readingOrder="0"/>
    </xf>
    <xf borderId="114" fillId="0" fontId="6" numFmtId="41" xfId="0" applyBorder="1" applyFont="1" applyNumberFormat="1"/>
    <xf borderId="116" fillId="0" fontId="6" numFmtId="41" xfId="0" applyBorder="1" applyFont="1" applyNumberFormat="1"/>
    <xf borderId="106" fillId="0" fontId="53" numFmtId="0" xfId="0" applyAlignment="1" applyBorder="1" applyFont="1">
      <alignment horizontal="center" readingOrder="0"/>
    </xf>
    <xf borderId="50" fillId="0" fontId="53" numFmtId="0" xfId="0" applyAlignment="1" applyBorder="1" applyFont="1">
      <alignment readingOrder="0"/>
    </xf>
    <xf quotePrefix="1" borderId="50" fillId="0" fontId="6" numFmtId="0" xfId="0" applyAlignment="1" applyBorder="1" applyFont="1">
      <alignment readingOrder="0"/>
    </xf>
    <xf borderId="106" fillId="0" fontId="6" numFmtId="41" xfId="0" applyAlignment="1" applyBorder="1" applyFont="1" applyNumberFormat="1">
      <alignment readingOrder="0"/>
    </xf>
    <xf borderId="107" fillId="0" fontId="6" numFmtId="41" xfId="0" applyAlignment="1" applyBorder="1" applyFont="1" applyNumberFormat="1">
      <alignment readingOrder="0"/>
    </xf>
    <xf borderId="117" fillId="0" fontId="6" numFmtId="0" xfId="0" applyAlignment="1" applyBorder="1" applyFont="1">
      <alignment horizontal="center" readingOrder="0"/>
    </xf>
    <xf borderId="106" fillId="0" fontId="6" numFmtId="41" xfId="0" applyAlignment="1" applyBorder="1" applyFont="1" applyNumberFormat="1">
      <alignment readingOrder="0"/>
    </xf>
    <xf borderId="106" fillId="0" fontId="6" numFmtId="41" xfId="0" applyBorder="1" applyFont="1" applyNumberFormat="1"/>
    <xf borderId="107" fillId="0" fontId="6" numFmtId="41" xfId="0" applyBorder="1" applyFont="1" applyNumberFormat="1"/>
    <xf borderId="109" fillId="0" fontId="6" numFmtId="41" xfId="0" applyBorder="1" applyFont="1" applyNumberFormat="1"/>
    <xf borderId="110" fillId="0" fontId="6" numFmtId="41" xfId="0" applyBorder="1" applyFont="1" applyNumberFormat="1"/>
    <xf borderId="118" fillId="16" fontId="54" numFmtId="0" xfId="0" applyAlignment="1" applyBorder="1" applyFont="1">
      <alignment horizontal="center" readingOrder="0" vertical="center"/>
    </xf>
    <xf borderId="0" fillId="16" fontId="51" numFmtId="41" xfId="0" applyAlignment="1" applyFont="1" applyNumberFormat="1">
      <alignment horizontal="center" readingOrder="0" vertical="center"/>
    </xf>
    <xf borderId="119" fillId="16" fontId="51" numFmtId="0" xfId="0" applyAlignment="1" applyBorder="1" applyFont="1">
      <alignment horizontal="center" readingOrder="0" vertical="center"/>
    </xf>
    <xf borderId="120" fillId="16" fontId="51" numFmtId="0" xfId="0" applyAlignment="1" applyBorder="1" applyFont="1">
      <alignment horizontal="center" readingOrder="0" vertical="center"/>
    </xf>
    <xf borderId="26" fillId="16" fontId="51" numFmtId="0" xfId="0" applyAlignment="1" applyBorder="1" applyFont="1">
      <alignment horizontal="center" readingOrder="0" vertical="center"/>
    </xf>
    <xf borderId="26" fillId="16" fontId="51" numFmtId="41" xfId="0" applyAlignment="1" applyBorder="1" applyFont="1" applyNumberFormat="1">
      <alignment horizontal="center" readingOrder="0" vertical="center"/>
    </xf>
    <xf borderId="5" fillId="16" fontId="51" numFmtId="41" xfId="0" applyAlignment="1" applyBorder="1" applyFont="1" applyNumberFormat="1">
      <alignment horizontal="center" readingOrder="0" vertical="center"/>
    </xf>
    <xf borderId="121" fillId="16" fontId="51" numFmtId="0" xfId="0" applyAlignment="1" applyBorder="1" applyFont="1">
      <alignment horizontal="center" readingOrder="0" vertical="center"/>
    </xf>
    <xf borderId="10" fillId="16" fontId="51" numFmtId="0" xfId="0" applyAlignment="1" applyBorder="1" applyFont="1">
      <alignment horizontal="center" readingOrder="0" vertical="center"/>
    </xf>
    <xf quotePrefix="1" borderId="114" fillId="0" fontId="6" numFmtId="0" xfId="0" applyAlignment="1" applyBorder="1" applyFont="1">
      <alignment horizontal="center" readingOrder="0"/>
    </xf>
    <xf borderId="59" fillId="0" fontId="6" numFmtId="0" xfId="0" applyAlignment="1" applyBorder="1" applyFont="1">
      <alignment readingOrder="0"/>
    </xf>
    <xf borderId="103" fillId="0" fontId="6" numFmtId="41" xfId="0" applyBorder="1" applyFont="1" applyNumberFormat="1"/>
    <xf borderId="115" fillId="0" fontId="6" numFmtId="41" xfId="0" applyAlignment="1" applyBorder="1" applyFont="1" applyNumberFormat="1">
      <alignment horizontal="right"/>
    </xf>
    <xf borderId="114" fillId="0" fontId="6" numFmtId="41" xfId="0" applyAlignment="1" applyBorder="1" applyFont="1" applyNumberFormat="1">
      <alignment horizontal="right"/>
    </xf>
    <xf borderId="116" fillId="0" fontId="6" numFmtId="41" xfId="0" applyAlignment="1" applyBorder="1" applyFont="1" applyNumberFormat="1">
      <alignment horizontal="right"/>
    </xf>
    <xf quotePrefix="1" borderId="106" fillId="0" fontId="6" numFmtId="0" xfId="0" applyAlignment="1" applyBorder="1" applyFont="1">
      <alignment horizontal="center" readingOrder="0"/>
    </xf>
    <xf borderId="107" fillId="0" fontId="6" numFmtId="41" xfId="0" applyAlignment="1" applyBorder="1" applyFont="1" applyNumberFormat="1">
      <alignment horizontal="right"/>
    </xf>
    <xf borderId="106" fillId="0" fontId="6" numFmtId="41" xfId="0" applyAlignment="1" applyBorder="1" applyFont="1" applyNumberFormat="1">
      <alignment horizontal="right"/>
    </xf>
    <xf borderId="108" fillId="0" fontId="6" numFmtId="41" xfId="0" applyAlignment="1" applyBorder="1" applyFont="1" applyNumberFormat="1">
      <alignment horizontal="right"/>
    </xf>
    <xf borderId="63" fillId="0" fontId="6" numFmtId="0" xfId="0" applyAlignment="1" applyBorder="1" applyFont="1">
      <alignment readingOrder="0"/>
    </xf>
    <xf borderId="122" fillId="0" fontId="6" numFmtId="41" xfId="0" applyAlignment="1" applyBorder="1" applyFont="1" applyNumberFormat="1">
      <alignment horizontal="right"/>
    </xf>
    <xf borderId="123" fillId="0" fontId="6" numFmtId="41" xfId="0" applyAlignment="1" applyBorder="1" applyFont="1" applyNumberFormat="1">
      <alignment horizontal="right"/>
    </xf>
    <xf borderId="106" fillId="0" fontId="6" numFmtId="41" xfId="0" applyAlignment="1" applyBorder="1" applyFont="1" applyNumberFormat="1">
      <alignment horizontal="right" readingOrder="0"/>
    </xf>
    <xf borderId="107" fillId="0" fontId="6" numFmtId="41" xfId="0" applyAlignment="1" applyBorder="1" applyFont="1" applyNumberFormat="1">
      <alignment horizontal="right" readingOrder="0"/>
    </xf>
    <xf borderId="106" fillId="0" fontId="6" numFmtId="0" xfId="0" applyAlignment="1" applyBorder="1" applyFont="1">
      <alignment horizontal="center"/>
    </xf>
    <xf borderId="50" fillId="0" fontId="6" numFmtId="37" xfId="0" applyBorder="1" applyFont="1" applyNumberFormat="1"/>
    <xf borderId="50" fillId="0" fontId="6" numFmtId="37" xfId="0" applyAlignment="1" applyBorder="1" applyFont="1" applyNumberFormat="1">
      <alignment readingOrder="0"/>
    </xf>
    <xf borderId="0" fillId="0" fontId="55" numFmtId="0" xfId="0" applyAlignment="1" applyFont="1">
      <alignment horizontal="center" readingOrder="0"/>
    </xf>
    <xf borderId="114" fillId="0" fontId="55" numFmtId="0" xfId="0" applyAlignment="1" applyBorder="1" applyFont="1">
      <alignment horizontal="center" readingOrder="0"/>
    </xf>
    <xf borderId="59" fillId="0" fontId="55" numFmtId="0" xfId="0" applyAlignment="1" applyBorder="1" applyFont="1">
      <alignment readingOrder="0"/>
    </xf>
    <xf borderId="114" fillId="0" fontId="55" numFmtId="3" xfId="0" applyBorder="1" applyFont="1" applyNumberFormat="1"/>
    <xf borderId="115" fillId="0" fontId="55" numFmtId="3" xfId="0" applyBorder="1" applyFont="1" applyNumberFormat="1"/>
    <xf borderId="114" fillId="0" fontId="55" numFmtId="41" xfId="0" applyBorder="1" applyFont="1" applyNumberFormat="1"/>
    <xf borderId="116" fillId="0" fontId="55" numFmtId="3" xfId="0" applyBorder="1" applyFont="1" applyNumberFormat="1"/>
    <xf borderId="106" fillId="0" fontId="55" numFmtId="0" xfId="0" applyAlignment="1" applyBorder="1" applyFont="1">
      <alignment horizontal="center" readingOrder="0"/>
    </xf>
    <xf borderId="50" fillId="0" fontId="55" numFmtId="0" xfId="0" applyAlignment="1" applyBorder="1" applyFont="1">
      <alignment readingOrder="0"/>
    </xf>
    <xf borderId="106" fillId="0" fontId="55" numFmtId="3" xfId="0" applyBorder="1" applyFont="1" applyNumberFormat="1"/>
    <xf borderId="107" fillId="0" fontId="55" numFmtId="3" xfId="0" applyBorder="1" applyFont="1" applyNumberFormat="1"/>
    <xf borderId="106" fillId="0" fontId="55" numFmtId="41" xfId="0" applyBorder="1" applyFont="1" applyNumberFormat="1"/>
    <xf borderId="108" fillId="0" fontId="55" numFmtId="3" xfId="0" applyBorder="1" applyFont="1" applyNumberFormat="1"/>
    <xf borderId="117" fillId="0" fontId="55" numFmtId="0" xfId="0" applyAlignment="1" applyBorder="1" applyFont="1">
      <alignment horizontal="center" readingOrder="0"/>
    </xf>
    <xf borderId="63" fillId="0" fontId="55" numFmtId="0" xfId="0" applyAlignment="1" applyBorder="1" applyFont="1">
      <alignment readingOrder="0"/>
    </xf>
    <xf borderId="117" fillId="0" fontId="55" numFmtId="3" xfId="0" applyBorder="1" applyFont="1" applyNumberFormat="1"/>
    <xf borderId="122" fillId="0" fontId="55" numFmtId="3" xfId="0" applyBorder="1" applyFont="1" applyNumberFormat="1"/>
    <xf borderId="117" fillId="0" fontId="55" numFmtId="41" xfId="0" applyBorder="1" applyFont="1" applyNumberFormat="1"/>
    <xf borderId="123" fillId="0" fontId="55" numFmtId="3" xfId="0" applyBorder="1" applyFont="1" applyNumberFormat="1"/>
    <xf borderId="124" fillId="0" fontId="6" numFmtId="0" xfId="0" applyAlignment="1" applyBorder="1" applyFont="1">
      <alignment horizontal="center" readingOrder="0"/>
    </xf>
    <xf borderId="125" fillId="0" fontId="53" numFmtId="0" xfId="0" applyAlignment="1" applyBorder="1" applyFont="1">
      <alignment horizontal="center" readingOrder="0"/>
    </xf>
    <xf borderId="124" fillId="0" fontId="6" numFmtId="0" xfId="0" applyBorder="1" applyFont="1"/>
    <xf borderId="126" fillId="0" fontId="6" numFmtId="0" xfId="0" applyBorder="1" applyFont="1"/>
    <xf borderId="124" fillId="0" fontId="6" numFmtId="41" xfId="0" applyBorder="1" applyFont="1" applyNumberFormat="1"/>
    <xf borderId="127" fillId="0" fontId="6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pivotCacheDefinition" Target="pivotCache/pivotCacheDefinition1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769" sheet="DB WBS"/>
  </cacheSource>
  <cacheFields>
    <cacheField name="Budidaya" numFmtId="0">
      <sharedItems>
        <s v="KR"/>
        <s v="KS"/>
      </sharedItems>
    </cacheField>
    <cacheField name="Plant" numFmtId="49">
      <sharedItems>
        <s v="5E06"/>
        <s v="5E13"/>
        <s v="5E19"/>
        <s v="5E01"/>
        <s v="5E02"/>
        <s v="5E03"/>
        <s v="5E04"/>
        <s v="5E07"/>
        <s v="5E08"/>
        <s v="5E09"/>
        <s v="5E11"/>
        <s v="5E14"/>
        <s v="5E15"/>
        <s v="5E16"/>
        <s v="5E17"/>
        <s v="5E18"/>
      </sharedItems>
    </cacheField>
    <cacheField name="Desc." numFmtId="0">
      <sharedItems>
        <s v="KEBUN SINTANG"/>
        <s v="KEBUN BATULICIN"/>
        <s v="KEBUN LONGKALI"/>
        <s v="KEBUN GUNUNG MELIAU"/>
        <s v="KEBUN GUNUNG MAS"/>
        <s v="KEBUN SUNGAI DEKAN"/>
        <s v="KEBUN RIMBA BELIAN"/>
        <s v="KEBUN NGABANG"/>
        <s v="KEBUN PARINDU"/>
        <s v="KEBUN KEMBAYAN"/>
        <s v="KEBUN DANAU SALAK"/>
        <s v="KEBUN PAMUKAN"/>
        <s v="KEBUN PELAIHARI"/>
        <s v="KEBUN TABARA"/>
        <s v="KEBUN TAJATI"/>
        <s v="KEBUN PANDAWA"/>
      </sharedItems>
    </cacheField>
    <cacheField name="Period" numFmtId="0">
      <sharedItems containsSemiMixedTypes="0" containsString="0" containsNumber="1" containsInteger="1">
        <n v="1.0"/>
        <n v="2.0"/>
      </sharedItems>
    </cacheField>
    <cacheField name="Aktifitas">
      <sharedItems containsDate="1" containsMixedTypes="1">
        <s v="60-03"/>
        <s v="90-03"/>
        <s v="99-01"/>
        <s v="53-07"/>
        <s v="55-08"/>
        <s v="60-02"/>
        <s v="60-05"/>
        <s v="60-08"/>
        <s v="60-18"/>
        <s v="90-01"/>
        <s v="60-04"/>
        <s v="60-07"/>
        <s v="34-01"/>
        <s v="34-06"/>
        <s v="41-01"/>
        <s v="41-02"/>
        <s v="41-03"/>
        <s v="41-05"/>
        <s v="41-17"/>
        <s v="41-26"/>
        <s v="43-01"/>
        <s v="43-02"/>
        <s v="43-03"/>
        <s v="43-06"/>
        <s v="43-07"/>
        <s v="43-09"/>
        <s v="44-02"/>
        <s v="44-06"/>
        <s v="45-02"/>
        <s v="45-06"/>
        <s v="45-08"/>
        <s v="45-12"/>
        <s v="45-24"/>
        <s v="46-01"/>
        <s v="48-01"/>
        <s v="48-02"/>
        <s v="48-03"/>
        <s v="48-04"/>
        <s v="48-08"/>
        <s v="48-09"/>
        <s v="48-10"/>
        <s v="90-04"/>
        <d v="2026-01-16T00:00:00Z"/>
        <d v="2026-05-16T00:00:00Z"/>
        <s v="41-06"/>
        <s v="41-07"/>
        <s v="41-35"/>
        <s v="44-12"/>
        <s v="46-02"/>
        <s v="49-03"/>
        <s v="90-02"/>
        <s v="41-04"/>
        <s v="45-05"/>
        <s v="44-03"/>
        <s v="42-03"/>
        <s v="42-01"/>
        <s v="44-10"/>
        <s v="41-37"/>
        <s v="48-07"/>
        <s v="49-02"/>
        <s v="49-04"/>
        <s v="41-11"/>
        <s v="49-05"/>
        <s v="44-11"/>
        <s v="43-08"/>
        <s v="45-03"/>
        <s v="45-04"/>
        <d v="2026-03-16T00:00:00Z"/>
        <d v="2026-02-16T00:00:00Z"/>
        <s v="43-04"/>
        <s v="34-02"/>
        <s v="41-08"/>
        <s v="41-29"/>
        <s v="44-04"/>
        <s v="41-32"/>
        <s v="45-18"/>
        <s v="45-19"/>
        <s v="41-22"/>
        <s v="34-09"/>
        <s v="43-05"/>
        <s v="34-04"/>
        <s v="45-15"/>
        <d v="2026-06-16T00:00:00Z"/>
        <s v="45-10"/>
        <s v="16-02"/>
        <s v="53-04"/>
        <s v="47-02"/>
        <s v="41-09"/>
        <s v="45-25"/>
        <s v="34-10"/>
        <d v="2026-04-16T00:00:00Z"/>
      </sharedItems>
    </cacheField>
    <cacheField name="Job Name" numFmtId="0">
      <sharedItems containsBlank="1">
        <s v="SADAP (ATS)"/>
        <m/>
        <s v="STRIP WEEDING CHEMIS"/>
        <s v="STIMULANSIA"/>
        <s v="PENYADAPAN DTS (D3)"/>
        <s v="PENGANGKUTAN KE TPH"/>
        <s v="PENGANGKUTAN KOMPO-CUPLUMP"/>
        <s v="TM PEMASANGAN RAIN GUARD"/>
        <s v="SERAP SADAP"/>
        <s v="PENGANGKUTAN LATEX"/>
        <s v="TBM - POTONG BUAH - (TBM 3)"/>
        <s v="PKWT - TBM - POTONG BUAH -  (TBM3)"/>
        <s v="TM - PEMEL JALAN MANUAL - ACCESS ROAD"/>
        <s v="TM - PEMEL JALAN MANUAL - MR"/>
        <s v="TM - PEMEL JALAN MANUAL - CR"/>
        <s v="TM - PEMEL JALAN MEKANIS - MR"/>
        <s v="TM - PEMEL TPH"/>
        <s v="TM KEPRAS PELEPAH"/>
        <s v="TM - PEMEL PIRINGAN &amp; PASAR PIKUL CHEMIS"/>
        <s v="TM - PEMEL PIRINGAN &amp; PASAR PIKUL MANUAL"/>
        <s v="TM - DONGKEL ANAK KAYU"/>
        <s v="TM  PEMELIHARAAN GAWANGAN MANUAL"/>
        <s v="TM  PEMELIHARAAN GAWANGAN CHEMIS"/>
        <s v="TM- TRANSPORT TENAGA"/>
        <s v="TM - PENGENDALIAN HAMA TIKUS"/>
        <s v="TM - PENGENDALIAN HAMA KUMBANG TANDUK"/>
        <s v="TM - AMBIL SAMPLE DAUN (KCD) DAN TANAH"/>
        <s v="TM PENGANGKUTAN TANDAN KOSONG"/>
        <s v="TM - MENABUR PUPUK MANUAL"/>
        <s v="TM-SERAK TANKOS"/>
        <s v="TM - PENGANGKUTAN PUPUK ORGANIK LAINNYA"/>
        <s v="TM - TUNAS POHON"/>
        <s v="TM - POTONG BUAH"/>
        <s v="TM - PENGANGKUTAN BUAH"/>
        <s v="TM - LANGSIR BUAH"/>
        <s v="TM - LANGSIR BUAH MANUAL"/>
        <s v="TM - PENGAWAS / MANDOR ANGKUT"/>
        <s v="PKWT - TM - POTONG BUAH"/>
        <s v="PKWT - TM - PENGANGKUTAN BUAH"/>
        <s v="ALOKASI GC PEMEL"/>
        <s v="ALOKASI GC PANEN"/>
        <s v="ALOKASI GC ANGKUT"/>
        <s v="ALOKASI &amp; DEPRESIASI"/>
        <s v="TU - POTONG BUAH"/>
        <s v="PKWT - TU - POTONG BUAH"/>
        <s v="TM - PEMEL JALAN MEKANIS - CR"/>
        <s v="TM - TIMBUN/PENGERASAN JALAN"/>
        <s v="TM - PEMBUATAN TPH"/>
        <s v="TM GLOBAL TEELING"/>
        <s v="PKWT - TM - TUNAS POHON"/>
        <s v="TM - TIMBANG BRONDOLAN"/>
        <s v="ALOKASI GC PUPUK"/>
        <s v="TM - PEMEL JALAN MEKANIS - ACCESS ROAD"/>
        <s v="TM PENGANGKUTAN PUPUK"/>
        <s v="TM - PENGENDALIAN HAMA TIRALABA"/>
        <s v="TM - TANAM SISIP KELAPA SAWIT - (TM 1)"/>
        <s v="TM - PANCANG TITIK TANAM SISIP - (TM 1)"/>
        <s v="TM - PENGENDALIAN HAMA LAIN-LAIN"/>
        <s v="TM - PENGAWAS / MANDOR PEMELIHARAAN"/>
        <s v="TM - PENGAWAS / MANDOR PANEN"/>
        <s v="TM - SENSUS AKP"/>
        <s v="TM - PERHITUNGAN BUNGA DAN BUAH"/>
        <s v="TM - PEMEL PARIT ISOLASI MANUAL"/>
        <s v="TM - PENGUKURAN VEGETATIF"/>
        <s v="TM - PENGENDALIAN PENYAKIT LAINNYA"/>
        <s v="TM PEMEL CHEMIS SELEKTIF GAWANGAN HIDUP"/>
        <s v="TM - BONGKAR MUAT PUPUK"/>
        <s v="TM - PEMUPUKAN ORGANIK"/>
        <s v="TU - LANGSIR BUAH"/>
        <s v="TU - PENGANGKUTAN BUAH"/>
        <s v="TM - MENURUNKAN KACANGAN"/>
        <s v="TBM - PENGANGKUTAN BUAH - (TBM 3)"/>
        <s v="TM - PEMEL PARIT UTAMA / MAIN DRAIN"/>
        <s v="TM PEMBUATAN GORONG-GORONG"/>
        <s v="TM - PENGENDALIAN HAMA ULAT KANTONG"/>
        <s v="TM - PEMELIHARAAN JEMBATAN"/>
        <s v="TM MENABUR PUPUK MEKANIS/SPREADER"/>
        <s v="TM SERAK TANKOS MEKANIS/SPREADER"/>
        <s v="TM  PEMELIHARAAN PARIT DISTRIBUSI LA"/>
        <s v="TBM - PENGAWAS / MANDOR ANGKUT"/>
        <s v="TM - PENGENDALIAN LALANG - WEEPING"/>
        <s v="TBM - LANGSIR BUAH"/>
        <s v="TM - TRANSPORT TENAGA"/>
        <s v="PKWT - TU - PENGANGKUTAN BUAH"/>
        <s v="TM ECER PUPUK"/>
        <s v="PEMELIHARAAN GAWANGAN MANUAL"/>
        <s v="TM - MERACUNI POHON/THINNING OUT"/>
        <s v="TM - PEMEL PARIT COLLECT DRAIN"/>
        <s v="TM - PENGAWAS / MANDOR PUPUK"/>
        <s v="TBM - PANEN DIKETEK/DIPAPRAS"/>
        <s v="TU - LANGSIR BUAH MANUAL"/>
      </sharedItems>
    </cacheField>
    <cacheField name="Cost Element" numFmtId="0">
      <sharedItems containsSemiMixedTypes="0" containsString="0" containsNumber="1" containsInteger="1">
        <n v="5.1101056E7"/>
        <n v="9.0043001E7"/>
        <n v="9.0042014E7"/>
        <n v="9.0042012E7"/>
        <n v="9.0042121E7"/>
        <n v="9.0042125E7"/>
        <n v="9.0042127E7"/>
        <n v="9.0042132E7"/>
        <n v="9.0042134E7"/>
        <n v="9.0042135E7"/>
        <n v="9.0042126E7"/>
        <n v="5.1100058E7"/>
        <n v="5.1100651E7"/>
        <n v="5.1100774E7"/>
        <n v="5.1100061E7"/>
        <n v="9.0043002E7"/>
        <n v="5.1100064E7"/>
        <n v="9.0042011E7"/>
        <n v="9.0042122E7"/>
        <n v="9.0042124E7"/>
        <n v="9.0042128E7"/>
        <n v="9.0042201E7"/>
        <n v="9.0042223E7"/>
        <n v="9.0042224E7"/>
        <n v="9.0042226E7"/>
        <n v="9.0042228E7"/>
        <n v="9.0042231E7"/>
        <n v="5.1100153E7"/>
        <n v="9.00422E7"/>
        <n v="9.0043E7"/>
        <n v="9.0043003E7"/>
        <n v="5.1101999E7"/>
        <n v="5.1100812E7"/>
        <n v="9.0042077E7"/>
        <n v="9.0042013E7"/>
        <n v="9.0042084E7"/>
        <n v="9.0042225E7"/>
        <n v="9.0042079E7"/>
        <n v="5.1100775E7"/>
        <n v="5.1100102E7"/>
        <n v="5.1100693E7"/>
        <n v="9.004212E7"/>
        <n v="9.0042133E7"/>
        <n v="5.1100103E7"/>
        <n v="9.0042145E7"/>
        <n v="5.1100003E7"/>
        <n v="5.1100057E7"/>
        <n v="9.004201E7"/>
        <n v="9.0042227E7"/>
        <n v="5.4000001E7"/>
        <n v="5.1100401E7"/>
        <n v="9.0042078E7"/>
        <n v="5.1100152E7"/>
      </sharedItems>
    </cacheField>
    <cacheField name="Cost Element Desc" numFmtId="0">
      <sharedItems>
        <s v="Biaya Panen"/>
        <s v="Activity Type E-LBR"/>
        <s v="Assessment Panen"/>
        <s v="Assessment Karpim"/>
        <s v="Assessment BTL - Keamanan"/>
        <s v="Assessment BTL-Gaji&amp;Tunjangan Karpim"/>
        <s v="Assessment BTL-Pemeliharaan Bangunan Per"/>
        <s v="Assessment BTL-Pemeliharaan Bangunan Rum"/>
        <s v="Assessment BTL- Pemeliharaan Alat Invent"/>
        <s v="Assessment BTL-Gaji, Upah &amp; Tunj Karpel"/>
        <s v="Assessment BTL- Pengangkutan"/>
        <s v="Bi Konsumsi Persediaan Pupuk dan Herbisi"/>
        <s v="Biaya Pemeliharaan Aset Tanaman"/>
        <s v="Biaya Borongan"/>
        <s v="Bi Konsumsi Persediaan Bahan Kimia"/>
        <s v="Activity Type E-KM"/>
        <s v="Bi Konsumsi Kebutuhan Operasional"/>
        <s v="Assessment Pemeliharaan"/>
        <s v="Assessment Penerangan"/>
        <s v="Assessment BTL- Pemeliharaan Jalan"/>
        <s v="Assessment BTL- Air"/>
        <s v="Assessment Depresiasi TM Karet"/>
        <s v="Assessment Depre Bangn Rumah"/>
        <s v="Assessment Depre Bangn Perusahaan"/>
        <s v="Assessment Depre Peralatan &amp; Inventaris"/>
        <s v="Assessment Depre Jalan, Jembatan, Irigas"/>
        <s v="Assessment Depre Mesin &amp; Instalasi"/>
        <s v="Biaya Jasa Transportasi - Non Penjualan"/>
        <s v="Assessment Depresiasi TM Sawit"/>
        <s v="Activity Type E-SPV"/>
        <s v="Activity Type E-HM"/>
        <s v="Beban Investasi"/>
        <s v="Biaya Analisa"/>
        <s v="Assessment Premi Panen"/>
        <s v="Assessment Angkut"/>
        <s v="Assessment Premi Pengangkutan"/>
        <s v="Assessment Depre Alat Pengangkutan"/>
        <s v="Assessment Premi Pupuk TM"/>
        <s v="Biaya Pemupukan"/>
        <s v="Biaya Pemeliharaan Jln, Jembatan, &amp; Sal."/>
        <s v="Biaya Makanan Tambahan (Extra fooding)"/>
        <s v="Assessment BTL-Pajak Bumi Bangunan"/>
        <s v="Assessment BTL- Pemeliharaan Alat Pertan"/>
        <s v="Biaya Pemeliharaan Alat Pertanian"/>
        <s v="Assessment BTL-Pemeliharaan Mesin"/>
        <s v="Biaya Konsumsi Persediaan Bahan Pendukun"/>
        <s v="Bi Konsumsi Persediaan Bahan Bakar Minya"/>
        <s v="Assessment Labor Cost"/>
        <s v="Assessment Depre Alat Pertanian"/>
        <s v="Settlement WBS to TM"/>
        <s v="Biaya Gaji dan Tunjangan"/>
        <s v="Assessment Premi Pemel TM"/>
        <s v="Biaya Jasa Sewa Kendaraan"/>
      </sharedItems>
    </cacheField>
    <cacheField name=" Klasifikasi " numFmtId="41">
      <sharedItems>
        <s v=" 2. SPK "/>
        <s v=" 1. Gaji "/>
        <s v=" 6.Lain-Lain "/>
        <s v=" 3. Bahan "/>
        <s v=" 4. EAP "/>
        <s v=" 5. Depresiasi "/>
      </sharedItems>
    </cacheField>
    <cacheField name=" Nilai " numFmtId="41">
      <sharedItems containsSemiMixedTypes="0" containsString="0" containsNumber="1" containsInteger="1">
        <n v="4158000.0"/>
        <n v="2.8453544E7"/>
        <n v="3.9212995E7"/>
        <n v="2.3330439E7"/>
        <n v="4.0967991E7"/>
        <n v="1.1116981E7"/>
        <n v="3175000.0"/>
        <n v="373000.0"/>
        <n v="500000.0"/>
        <n v="5468500.0"/>
        <n v="6766136.0"/>
        <n v="1.7619625E7"/>
        <n v="0.0"/>
        <n v="2.24903E7"/>
        <n v="3830989.0"/>
        <n v="2.90911375E8"/>
        <n v="2.046279E7"/>
        <n v="9764000.0"/>
        <n v="1.1165736E7"/>
        <n v="6811521.0"/>
        <n v="2.9406569E7"/>
        <n v="38661.0"/>
        <n v="2.9241773E7"/>
        <n v="1.62694136E8"/>
        <n v="6.7520241E7"/>
        <n v="8.1268406E7"/>
        <n v="1048000.0"/>
        <n v="1.3432E7"/>
        <n v="4.7163768E7"/>
        <n v="1.5608302E7"/>
        <n v="748000.0"/>
        <n v="6413600.0"/>
        <n v="1617500.0"/>
        <n v="7.1515047E7"/>
        <n v="2.11541935E8"/>
        <n v="2.0819374E7"/>
        <n v="1773341.0"/>
        <n v="133333.0"/>
        <n v="5.1768821E7"/>
        <n v="3931590.0"/>
        <n v="3.3176702E7"/>
        <n v="2697368.0"/>
        <n v="362400.0"/>
        <n v="6508171.0"/>
        <n v="8539632.0"/>
        <n v="5.8124638E7"/>
        <n v="4942403.0"/>
        <n v="779230.0"/>
        <n v="21979.0"/>
        <n v="1.1336438E7"/>
        <n v="9901228.0"/>
        <n v="1292698.0"/>
        <n v="1.28847276E8"/>
        <n v="3204575.0"/>
        <n v="1.2053037E7"/>
        <n v="1551381.0"/>
        <n v="2.247914E7"/>
        <n v="5018328.0"/>
        <n v="3981502.0"/>
        <n v="6.3058686E7"/>
        <n v="4020272.0"/>
        <n v="1509513.0"/>
        <n v="1.1479955E7"/>
        <n v="1.3267182E7"/>
        <n v="9.0258551E7"/>
        <n v="6.0974418E7"/>
        <n v="2.4451053E7"/>
        <n v="3.9714829E7"/>
        <n v="1049400.0"/>
        <n v="4930000.0"/>
        <n v="984450.0"/>
        <n v="2145888.0"/>
        <n v="477042.0"/>
        <n v="7110000.0"/>
        <n v="4.6992072E7"/>
        <n v="2019750.0"/>
        <n v="4545684.0"/>
        <n v="1.607098E7"/>
        <n v="7.6241747E7"/>
        <n v="715296.0"/>
        <n v="3.8872923E7"/>
        <n v="3.59038776E8"/>
        <n v="3866180.0"/>
        <n v="3.03716475E8"/>
        <n v="1.03526386E8"/>
        <n v="1.2272379E8"/>
        <n v="8885292.0"/>
        <n v="586238.0"/>
        <n v="2.1858701E7"/>
        <n v="1.6702108E7"/>
        <n v="1019544.0"/>
        <n v="432830.0"/>
        <n v="1.06308439E8"/>
        <n v="3044678.0"/>
        <n v="3.91062554E8"/>
        <n v="4.69301444E8"/>
        <n v="2.8245733E8"/>
        <n v="6.4170531E7"/>
        <n v="3.8745944E7"/>
        <n v="1.72203331E8"/>
        <n v="2.16347171E8"/>
        <n v="1.594633E7"/>
        <n v="2.0175172E7"/>
        <n v="5.6117394E7"/>
        <n v="1.5397573E7"/>
        <n v="2643620.0"/>
        <n v="2.623526E7"/>
        <n v="1.87140325E8"/>
        <n v="4.87775895E8"/>
        <n v="4817570.0"/>
        <n v="8789288.0"/>
        <n v="4523282.0"/>
        <n v="4500281.0"/>
        <n v="5.7759447E7"/>
        <n v="5347829.0"/>
        <n v="3.4066073E7"/>
        <n v="5062860.0"/>
        <n v="1380780.0"/>
        <n v="6.187582E7"/>
        <n v="5.6852746E7"/>
        <n v="1434024.0"/>
        <n v="1.3140908E7"/>
        <n v="6885239.0"/>
        <n v="1.107414E7"/>
        <n v="1.1594607E7"/>
        <n v="1314522.0"/>
        <n v="5498640.0"/>
        <n v="1.878231E7"/>
        <n v="3600000.0"/>
        <n v="8.7375625E7"/>
        <n v="1.7167122E7"/>
        <n v="5.1257268E7"/>
        <n v="3562500.0"/>
        <n v="228536.0"/>
        <n v="-3938816.0"/>
        <n v="2646495.0"/>
        <n v="6200000.0"/>
        <n v="2.32123684E8"/>
        <n v="2.41228905E8"/>
        <n v="2.8978683E7"/>
        <n v="5.739139E7"/>
        <n v="1.1134584E7"/>
        <n v="558360.0"/>
        <n v="2.9714061E7"/>
        <n v="1182332.0"/>
        <n v="4.4562521E7"/>
        <n v="621770.0"/>
        <n v="3.13074819E8"/>
        <n v="56000.0"/>
        <n v="3.51307285E8"/>
        <n v="9.9669822E7"/>
        <n v="1.7679536E7"/>
        <n v="2.0517888E7"/>
        <n v="1.24586776E8"/>
        <n v="1.69408742E8"/>
        <n v="1762352.0"/>
        <n v="3.8850895E7"/>
        <n v="6.2275364E7"/>
        <n v="3.4116732E7"/>
        <n v="1.6747722E7"/>
        <n v="350000.0"/>
        <n v="2.06888783E8"/>
        <n v="2.01681431E8"/>
        <n v="7723531.0"/>
        <n v="1349183.0"/>
        <n v="660416.0"/>
        <n v="5.2437833E7"/>
        <n v="5418390.0"/>
        <n v="4.0164734E7"/>
        <n v="1.6388992E7"/>
        <n v="4.6055721E7"/>
        <n v="7.6493558E7"/>
        <n v="1717508.0"/>
        <n v="1.3049994E7"/>
        <n v="1085420.0"/>
        <n v="6032277.0"/>
        <n v="3.1904616E7"/>
        <n v="5.6513E7"/>
        <n v="8155831.0"/>
        <n v="8.9435938E7"/>
        <n v="2.2978153E7"/>
        <n v="3.3561201E7"/>
        <n v="3.0"/>
        <n v="2.0949363E7"/>
        <n v="2.8765158E7"/>
        <n v="-1.0"/>
        <n v="7.1816924E7"/>
        <n v="20398.0"/>
        <n v="7.0"/>
        <n v="1.8777319E7"/>
        <n v="1.45325362E8"/>
        <n v="1.3240642E8"/>
        <n v="3.79232991E8"/>
        <n v="1.2490099E7"/>
        <n v="5.67806756E8"/>
        <n v="1.11293055E8"/>
        <n v="8.201886E7"/>
        <n v="3332650.0"/>
        <n v="4.977358E7"/>
        <n v="1907584.0"/>
        <n v="1.58835752E8"/>
        <n v="6093584.0"/>
        <n v="1.7610572E7"/>
        <n v="2.36087056E8"/>
        <n v="5.30297139E8"/>
        <n v="2.74578504E8"/>
        <n v="578392.0"/>
        <n v="1.7501511E7"/>
        <n v="1.45714336E8"/>
        <n v="1.94112851E8"/>
        <n v="8258749.0"/>
        <n v="2.1878306E7"/>
        <n v="5.4202629E7"/>
        <n v="2.5955053E7"/>
        <n v="2974116.0"/>
        <n v="2.5040172E7"/>
        <n v="2.06671706E8"/>
        <n v="1.13970019E9"/>
        <n v="7852263.0"/>
        <n v="4757272.0"/>
        <n v="6123492.0"/>
        <n v="220000.0"/>
        <n v="1.1078992E8"/>
        <n v="8491628.0"/>
        <n v="6.7283099E7"/>
        <n v="6938411.0"/>
        <n v="1053248.0"/>
        <n v="1.9907494E7"/>
        <n v="2000000.0"/>
        <n v="1.9486317E7"/>
        <n v="9285647.0"/>
        <n v="2.3083753E7"/>
        <n v="1.1816704E7"/>
        <n v="3.2358608E7"/>
        <n v="1714916.0"/>
        <n v="4917012.0"/>
        <n v="2.0214999E7"/>
        <n v="1200000.0"/>
        <n v="2.8182558E7"/>
        <n v="2524246.0"/>
        <n v="1.9356484E7"/>
        <n v="7086019.0"/>
        <n v="4790654.0"/>
        <n v="4923923.0"/>
        <n v="5281250.0"/>
        <n v="9276323.0"/>
        <n v="590946.0"/>
        <n v="5540398.0"/>
        <n v="5.5655908E7"/>
        <n v="1944324.0"/>
        <n v="2.2475109E7"/>
        <n v="2.67304395E8"/>
        <n v="9.2251136E7"/>
        <n v="526050.0"/>
        <n v="3.6763719E7"/>
        <n v="1.595244E7"/>
        <n v="2.7460286E7"/>
        <n v="6.967059E7"/>
        <n v="5890212.0"/>
        <n v="4.1640407E7"/>
        <n v="3092100.0"/>
        <n v="1.70611803E8"/>
        <n v="541050.0"/>
        <n v="2.73443812E8"/>
        <n v="1.14113272E8"/>
        <n v="4391460.0"/>
        <n v="1.19804431E8"/>
        <n v="1.6713148E8"/>
        <n v="4114096.0"/>
        <n v="5.4949964E7"/>
        <n v="1.5031872E7"/>
        <n v="1.7780712E7"/>
        <n v="6094392.0"/>
        <n v="7310000.0"/>
        <n v="1.70984367E8"/>
        <n v="1.6203705E8"/>
        <n v="9086496.0"/>
        <n v="9548648.0"/>
        <n v="1233333.0"/>
        <n v="6.7843732E7"/>
        <n v="1.3415774E7"/>
        <n v="3.5078512E7"/>
        <n v="1416894.0"/>
        <n v="5722864.0"/>
        <n v="3093440.0"/>
        <n v="2474752.0"/>
        <n v="5000000.0"/>
        <n v="618688.0"/>
        <n v="1.0E7"/>
        <n v="535000.0"/>
        <n v="2.1009298E7"/>
        <n v="791131.0"/>
        <n v="1.53430136E8"/>
        <n v="1107529.0"/>
        <n v="141852.0"/>
        <n v="8396384.0"/>
        <n v="2915926.0"/>
        <n v="2400000.0"/>
        <n v="4.45969018E8"/>
        <n v="420000.0"/>
        <n v="370452.0"/>
        <n v="7.01942E7"/>
        <n v="1381325.0"/>
        <n v="-1.714731939E9"/>
        <n v="4070289.0"/>
        <n v="1.3984E9"/>
        <n v="6421168.0"/>
        <n v="618552.0"/>
        <n v="1.3358497E7"/>
        <n v="990136.0"/>
        <n v="1.26367067E8"/>
        <n v="1709700.0"/>
        <n v="3.3644244E7"/>
        <n v="7.0575695E7"/>
        <n v="1.0229375E7"/>
        <n v="3765877.0"/>
        <n v="376725.0"/>
        <n v="2788754.0"/>
        <n v="1838418.0"/>
        <n v="5.0133868E7"/>
        <n v="2240000.0"/>
        <n v="1.1431952E7"/>
        <n v="879025.0"/>
        <n v="1.517749E7"/>
        <n v="4.327323E7"/>
        <n v="1.4811655E7"/>
        <n v="2.12952935E8"/>
        <n v="3.38854939E8"/>
        <n v="2.4871049E7"/>
        <n v="2.317535E7"/>
        <n v="8.0277028E7"/>
        <n v="6.68406E7"/>
        <n v="2722874.0"/>
        <n v="1300627.0"/>
        <n v="8.5424743E7"/>
        <n v="1.4421071E7"/>
        <n v="1.0259146E7"/>
        <n v="2545131.0"/>
        <n v="2.51933083E8"/>
        <n v="2.67304652E8"/>
        <n v="2.21601738E8"/>
        <n v="9488470.0"/>
        <n v="9.9291221E7"/>
        <n v="3.43048105E8"/>
        <n v="9489731.0"/>
        <n v="5.5013E8"/>
        <n v="2.4196526E7"/>
        <n v="1.5312212E7"/>
        <n v="1.4181765E7"/>
        <n v="2.1985769E7"/>
        <n v="2.02065E7"/>
        <n v="1.79606567E8"/>
        <n v="5.91641628E8"/>
        <n v="1036734.0"/>
        <n v="4131387.0"/>
        <n v="1528666.0"/>
        <n v="1.17785907E8"/>
        <n v="2.519901E7"/>
        <n v="4.3813988E7"/>
        <n v="1674610.0"/>
        <n v="1076535.0"/>
        <n v="608850.0"/>
        <n v="4110142.0"/>
        <n v="2079084.0"/>
        <n v="1130175.0"/>
        <n v="1606228.0"/>
        <n v="985964.0"/>
        <n v="246452.0"/>
        <n v="122800.0"/>
        <n v="2.4066634E7"/>
        <n v="5240480.0"/>
        <n v="3.1014398E7"/>
        <n v="245064.0"/>
        <n v="9622339.0"/>
        <n v="3150179.0"/>
        <n v="735192.0"/>
        <n v="4218856.0"/>
        <n v="1.9167617E7"/>
        <n v="998284.0"/>
        <n v="9228226.0"/>
        <n v="2345188.0"/>
        <n v="6861792.0"/>
        <n v="382159.0"/>
        <n v="222077.0"/>
        <n v="1369876.0"/>
        <n v="3317242.0"/>
        <n v="1806286.0"/>
        <n v="7.5406902E7"/>
        <n v="1324751.0"/>
        <n v="245600.0"/>
        <n v="1772270.0"/>
        <n v="4832963.0"/>
        <n v="535732.0"/>
        <n v="8.8878949E7"/>
        <n v="3.1948131E7"/>
        <n v="2.4427242E7"/>
        <n v="1.14862459E8"/>
        <n v="221040.0"/>
        <n v="9.2080179E7"/>
        <n v="5262609.0"/>
        <n v="1.1004759E7"/>
        <n v="63693.0"/>
        <n v="1561592.0"/>
        <n v="8.3848635E7"/>
        <n v="2853932.0"/>
        <n v="8505702.0"/>
        <n v="9.1673246E7"/>
        <n v="2.5917168E8"/>
        <n v="5.7091177E7"/>
        <n v="8958700.0"/>
        <n v="8180625.0"/>
        <n v="8.1957755E7"/>
        <n v="2.10196472E8"/>
        <n v="1.7895197E7"/>
        <n v="1.623868E7"/>
        <n v="5.371336E7"/>
        <n v="7622747.0"/>
        <n v="311143.0"/>
        <n v="1437000.0"/>
        <n v="2.02815269E8"/>
        <n v="1.39650882E8"/>
        <n v="6647719.0"/>
        <n v="1130302.0"/>
        <n v="2065112.0"/>
        <n v="8.3326567E7"/>
        <n v="2182516.0"/>
        <n v="3.4534217E7"/>
        <n v="987651.0"/>
        <n v="4565257.0"/>
        <n v="2.071969E7"/>
        <n v="2.4195615E7"/>
        <n v="-2.03880234E8"/>
        <n v="3490652.0"/>
        <n v="1.6233658E8"/>
        <n v="-4.6309578E7"/>
        <n v="3358125.0"/>
        <n v="1.2375948E7"/>
        <n v="1.3628379E7"/>
        <n v="4.6635399E7"/>
        <n v="875042.0"/>
        <n v="1.8500422E7"/>
        <n v="250012.0"/>
        <n v="2.4475315E7"/>
        <n v="767932.0"/>
        <n v="3739498.0"/>
        <n v="1467150.0"/>
        <n v="8030100.0"/>
        <n v="2.60286E7"/>
        <n v="4545437.0"/>
        <n v="500024.0"/>
        <n v="-4000000.0"/>
        <n v="2.42573756E8"/>
        <n v="8348164.0"/>
        <n v="7.6533462E7"/>
        <n v="3.0059051E7"/>
        <n v="5.56809E7"/>
        <n v="1560005.0"/>
        <n v="1.4613222E7"/>
        <n v="2.2796642E7"/>
        <n v="1.62250065E8"/>
        <n v="3.09560085E8"/>
        <n v="2.3364475E7"/>
        <n v="4047422.0"/>
        <n v="1716250.0"/>
        <n v="1.09024659E8"/>
        <n v="1.8993263E8"/>
        <n v="5.881964E7"/>
        <n v="2.0462048E7"/>
        <n v="4.9711412E7"/>
        <n v="3.036034E7"/>
        <n v="9742091.0"/>
        <n v="2804000.0"/>
        <n v="3002200.0"/>
        <n v="1.69037424E8"/>
        <n v="8.8449162E7"/>
        <n v="1.6311644E7"/>
        <n v="1.068924E7"/>
        <n v="2400083.0"/>
        <n v="294999.0"/>
        <n v="1.07609321E8"/>
        <n v="6521693.0"/>
        <n v="2.231785E7"/>
        <n v="356000.0"/>
        <n v="4840000.0"/>
        <n v="3769694.0"/>
        <n v="3485564.0"/>
        <n v="1.3317324E7"/>
        <n v="4218110.0"/>
        <n v="1.0859219E7"/>
        <n v="1.9986602E7"/>
        <n v="1.203264E7"/>
        <n v="1.0"/>
        <n v="2.0"/>
        <n v="1.5656075E7"/>
        <n v="2500000.0"/>
        <n v="3.7282323E7"/>
        <n v="1.7905528E7"/>
        <n v="3.5839054E7"/>
        <n v="-168.0"/>
        <n v="2.1275333E7"/>
        <n v="3.8549181E7"/>
        <n v="4.1936955E7"/>
        <n v="1.5395679E7"/>
        <n v="2.4494336E7"/>
        <n v="3.9772467E7"/>
        <n v="4825039.0"/>
        <n v="1.1016166E7"/>
        <n v="1.2287834E7"/>
        <n v="8.38125E7"/>
        <n v="1.2448416E7"/>
        <n v="1.9175715E7"/>
        <n v="5.0232345E7"/>
        <n v="2.8724988E8"/>
        <n v="2.752997E7"/>
        <n v="1.68828014E8"/>
        <n v="2.81698069E8"/>
        <n v="2.43726617E8"/>
        <n v="1.58260379E8"/>
        <n v="1.7033291E7"/>
        <n v="1.8399892E7"/>
        <n v="5.8842709E7"/>
        <n v="2941725.0"/>
        <n v="5040098.0"/>
        <n v="1354405.0"/>
        <n v="1.65596854E8"/>
        <n v="2.30018315E8"/>
        <n v="3019926.0"/>
        <n v="1025042.0"/>
        <n v="3.8673802E7"/>
        <n v="2518637.0"/>
        <n v="7.5146438E7"/>
        <n v="731600.0"/>
        <n v="4684500.0"/>
        <n v="1.958649E7"/>
        <n v="4095357.0"/>
        <n v="495000.0"/>
        <n v="1.4457333E7"/>
        <n v="3376216.0"/>
        <n v="1.45635E7"/>
        <n v="5964980.0"/>
        <n v="3389428.0"/>
        <n v="1.1059215E7"/>
        <n v="3.158394E7"/>
        <n v="3151431.0"/>
        <n v="7470000.0"/>
        <n v="8069193.0"/>
        <n v="1301904.0"/>
        <n v="1060000.0"/>
        <n v="3647266.0"/>
        <n v="1011250.0"/>
        <n v="5.42745E7"/>
        <n v="5.5972845E7"/>
        <n v="1.8365196E7"/>
        <n v="1.67686501E8"/>
        <n v="6196850.0"/>
        <n v="1.3612209E7"/>
        <n v="1.74523E7"/>
        <n v="3.5165083E7"/>
        <n v="5542550.0"/>
        <n v="5.1286202E7"/>
        <n v="1.42126989E8"/>
        <n v="3.6734403E7"/>
        <n v="1.6291152E7"/>
        <n v="7489810.0"/>
        <n v="5.7772915E7"/>
        <n v="8.6708001E7"/>
        <n v="4943000.0"/>
        <n v="6.2438632E7"/>
        <n v="1765000.0"/>
        <n v="2931000.0"/>
        <n v="5.2544619E7"/>
        <n v="1.60641667E8"/>
        <n v="3340881.0"/>
        <n v="1088874.0"/>
        <n v="2988805.0"/>
        <n v="2351901.0"/>
        <n v="4.1433398E7"/>
        <n v="9442950.0"/>
        <n v="221702.0"/>
        <n v="157771.0"/>
        <n v="6263506.0"/>
        <n v="2.7418361E7"/>
        <n v="528588.0"/>
        <n v="2639416.0"/>
        <n v="2427048.0"/>
        <n v="1.1816567E7"/>
        <n v="8696922.0"/>
        <n v="5674720.0"/>
        <n v="2.7198769E7"/>
        <n v="4849977.0"/>
        <n v="1.07665442E8"/>
        <n v="2808763.0"/>
        <n v="6.8379783E7"/>
        <n v="1.0076532E7"/>
        <n v="2.9365E7"/>
        <n v="4.3709791E7"/>
        <n v="8167556.0"/>
        <n v="1.7799459E7"/>
        <n v="7.1696959E7"/>
        <n v="1.90275956E8"/>
        <n v="2.49994669E8"/>
        <n v="2.3214029E7"/>
        <n v="4.7523825E7"/>
        <n v="1.40913323E8"/>
        <n v="2.587367E7"/>
        <n v="3.4724006E8"/>
        <n v="1.79872025E8"/>
        <n v="8.0384578E7"/>
        <n v="2.9581309E8"/>
        <n v="1.374809E7"/>
        <n v="5.8418423E7"/>
        <n v="2.5076628E7"/>
        <n v="1.4565536E7"/>
        <n v="1065600.0"/>
        <n v="1.76986544E8"/>
        <n v="3.67712825E8"/>
        <n v="6888580.0"/>
        <n v="408333.0"/>
        <n v="2930000.0"/>
        <n v="1.9746617E7"/>
        <n v="5162528.0"/>
        <n v="3.6872541E7"/>
        <n v="1654356.0"/>
        <n v="2.4169792E7"/>
        <n v="1929088.0"/>
        <n v="5900760.0"/>
        <n v="1851382.0"/>
        <n v="77982.0"/>
        <n v="1.2598515E7"/>
        <n v="4.1753736E7"/>
        <n v="4648571.0"/>
        <n v="3.5544906E7"/>
        <n v="2542774.0"/>
        <n v="7508549.0"/>
        <n v="1.4862204E7"/>
        <n v="1.2659258E7"/>
        <n v="8116688.0"/>
        <n v="6351525.0"/>
        <n v="1.1675256E7"/>
        <n v="3.7595138E7"/>
        <n v="-2.0"/>
        <n v="1.38225025E8"/>
        <n v="156829.0"/>
        <n v="5.0412726E7"/>
        <n v="3.1809115E7"/>
        <n v="2.5804134E7"/>
        <n v="1.132075E7"/>
        <n v="7438924.0"/>
        <n v="4345708.0"/>
        <n v="4.1556336E7"/>
        <n v="4.1427982E8"/>
        <n v="4.25996257E8"/>
        <n v="857794.0"/>
        <n v="2.49084E7"/>
        <n v="1.2312801E7"/>
        <n v="5.4521128E7"/>
        <n v="1.4485983E7"/>
        <n v="3.5215068E7"/>
        <n v="1.3364405E7"/>
        <n v="3.25530587E8"/>
        <n v="4.9776378E8"/>
        <n v="2.39352774E8"/>
        <n v="7037040.0"/>
        <n v="1.19749317E8"/>
        <n v="4.47064222E8"/>
        <n v="9.0900189E7"/>
        <n v="7198530.0"/>
        <n v="6.2791339E7"/>
        <n v="5.4032016E7"/>
        <n v="2.1063949E7"/>
        <n v="1000000.0"/>
        <n v="4.248905E8"/>
        <n v="3.34518213E8"/>
        <n v="4255769.0"/>
        <n v="7177726.0"/>
        <n v="4.1960038E7"/>
        <n v="5.8308695E7"/>
        <n v="2.7537957E7"/>
        <n v="3082200.0"/>
        <n v="2971576.0"/>
        <n v="3.4530896E7"/>
        <n v="279918.0"/>
        <n v="2099385.0"/>
        <n v="294800.0"/>
        <n v="2.6094399E7"/>
        <n v="7.507229E7"/>
        <n v="1013810.0"/>
        <n v="7893235.0"/>
        <n v="3.1287535E7"/>
        <n v="5.8539745E7"/>
        <n v="4000000.0"/>
        <n v="2.4737566E7"/>
        <n v="2.5905928E7"/>
        <n v="7892220.0"/>
        <n v="2.2758697E7"/>
        <n v="3.0541663E7"/>
        <n v="4.0985768E7"/>
        <n v="254304.0"/>
        <n v="2.156299E7"/>
        <n v="1.23562613E8"/>
        <n v="1.56187753E8"/>
        <n v="3.4450795E7"/>
        <n v="3.322913E7"/>
        <n v="6.9393101E7"/>
        <n v="1.4415796E7"/>
        <n v="2.69415485E8"/>
        <n v="4377001.0"/>
        <n v="2.5046662E8"/>
        <n v="6.6832063E7"/>
        <n v="1.2722394E7"/>
        <n v="-9.7089283E7"/>
        <n v="4.05644249E8"/>
        <n v="2.3411437E7"/>
        <n v="2.3395452E7"/>
        <n v="4.2456929E7"/>
        <n v="3816000.0"/>
        <n v="5.2290822E7"/>
        <n v="6104954.0"/>
        <n v="2448175.0"/>
        <n v="2.1510822E8"/>
        <n v="1.14010991E8"/>
        <n v="5778176.0"/>
        <n v="4465199.0"/>
        <n v="1744049.0"/>
        <n v="6.8770369E7"/>
        <n v="2240986.0"/>
        <n v="3.3070884E7"/>
        <n v="1.837407E7"/>
        <n v="1.9629233E7"/>
        <n v="1.75E7"/>
        <n v="3.3720831E7"/>
        <n v="3901416.0"/>
        <n v="159194.0"/>
        <n v="1.234881E7"/>
        <n v="3293016.0"/>
        <n v="9511880.0"/>
        <n v="8508927.0"/>
        <n v="2.5166158E7"/>
        <n v="6.3129851E7"/>
        <n v="1.30029552E8"/>
        <n v="3.0955905E7"/>
        <n v="8062000.0"/>
        <n v="5712309.0"/>
        <n v="8226640.0"/>
        <n v="1.229316E7"/>
        <n v="4813506.0"/>
        <n v="3979061.0"/>
        <n v="5.9510526E7"/>
        <n v="4.1161983E7"/>
        <n v="2.4777329E7"/>
        <n v="3.1311852E7"/>
        <n v="9264184.0"/>
        <n v="1089904.0"/>
        <n v="1645908.0"/>
        <n v="8645000.0"/>
        <n v="9669186.0"/>
        <n v="2.10031355E8"/>
        <n v="1.5159287E7"/>
        <n v="2.07890333E8"/>
        <n v="4630892.0"/>
        <n v="5.830528E7"/>
        <n v="4.0550319E7"/>
        <n v="1.75087887E8"/>
        <n v="1025000.0"/>
        <n v="2.74171967E8"/>
        <n v="3.1942066E7"/>
        <n v="884250.0"/>
        <n v="9.1377921E7"/>
        <n v="3.60907074E8"/>
        <n v="4.1260384E7"/>
        <n v="5.2096464E7"/>
        <n v="2.5923859E7"/>
        <n v="735909.0"/>
        <n v="2358175.0"/>
        <n v="1.04297418E8"/>
        <n v="1.81316763E8"/>
        <n v="2.2007809E7"/>
        <n v="1.0590496E8"/>
        <n v="1.1424573E7"/>
        <n v="2.4255289E7"/>
        <n v="7623000.0"/>
        <n v="3.066324E7"/>
        <n v="1300472.0"/>
        <n v="462000.0"/>
        <n v="2738610.0"/>
        <n v="8000383.0"/>
        <n v="3.5947584E7"/>
        <n v="3725625.0"/>
        <n v="6.1232095E7"/>
        <n v="5.371011E7"/>
        <n v="9.1073319E7"/>
        <n v="3228510.0"/>
        <n v="-3.0"/>
        <n v="7204960.0"/>
        <n v="2.8007546E7"/>
        <n v="1.31158327E8"/>
        <n v="2686823.0"/>
        <n v="1.0382587E7"/>
        <n v="48650.0"/>
        <n v="5067276.0"/>
        <n v="486500.0"/>
        <n v="3000738.0"/>
        <n v="1.0539711E8"/>
        <n v="2.56175407E8"/>
        <n v="7.51399429E8"/>
        <n v="1.15529E8"/>
        <n v="428562.0"/>
        <n v="4.2955543E7"/>
        <n v="5.345385E7"/>
        <n v="8.278227E7"/>
        <n v="1.3305076E7"/>
        <n v="2947770.0"/>
        <n v="2.64089015E8"/>
        <n v="285000.0"/>
        <n v="4.45525728E8"/>
        <n v="4.9771066E7"/>
        <n v="1.6347819E7"/>
        <n v="1.193801E7"/>
        <n v="1.13364102E8"/>
        <n v="4.9394578E8"/>
        <n v="7.1315095E7"/>
        <n v="2.4128398E7"/>
        <n v="4.7798049E7"/>
        <n v="1.8965572E7"/>
        <n v="1.7513161E7"/>
        <n v="1.5104192E7"/>
        <n v="2332000.0"/>
        <n v="2.73665162E8"/>
        <n v="2.94484437E8"/>
        <n v="2.5040344E7"/>
        <n v="3947917.0"/>
        <n v="111354.0"/>
        <n v="5.7435277E7"/>
        <n v="5.0163883E7"/>
        <n v="3.8906949E7"/>
        <n v="7911540.0"/>
        <n v="2191000.0"/>
        <n v="1.4461107E7"/>
        <n v="3.5890878E7"/>
        <n v="6333334.0"/>
        <n v="1.8978862E7"/>
        <n v="3.8127622E7"/>
        <n v="432000.0"/>
        <n v="1.1884966E7"/>
        <n v="1500000.0"/>
        <n v="6817379.0"/>
        <n v="3.06860274E8"/>
        <n v="1930000.0"/>
        <n v="1.3683372E7"/>
        <n v="1.9236816E7"/>
        <n v="3268250.0"/>
        <n v="2.08265E8"/>
        <n v="1.6184856E7"/>
        <n v="6618000.0"/>
        <n v="8453838.0"/>
        <n v="5791215.0"/>
        <n v="2.6458242E7"/>
        <n v="322177.0"/>
        <n v="2.2636628E7"/>
        <n v="1.28701576E8"/>
        <n v="7.9534911E7"/>
        <n v="6.3055978E7"/>
        <n v="1783480.0"/>
        <n v="7072000.0"/>
        <n v="5.6183597E7"/>
        <n v="1.391052E7"/>
        <n v="1071000.0"/>
        <n v="1461200.0"/>
        <n v="5.9911292E7"/>
        <n v="1773343.0"/>
        <n v="133334.0"/>
        <n v="5.1768833E7"/>
        <n v="3931591.0"/>
        <n v="2.9512335E7"/>
        <n v="1.11174E8"/>
        <n v="1.8262868E7"/>
        <n v="1984592.0"/>
        <n v="266400.0"/>
        <n v="6098512.0"/>
        <n v="8362928.0"/>
        <n v="4.8415133E7"/>
        <n v="4116796.0"/>
        <n v="649062.0"/>
        <n v="18307.0"/>
        <n v="9442728.0"/>
        <n v="8247264.0"/>
        <n v="1683630.0"/>
        <n v="4065783.0"/>
        <n v="647550.0"/>
        <n v="1.2567629E8"/>
        <n v="2946438.0"/>
        <n v="1.3094692E7"/>
        <n v="1.4039852E7"/>
        <n v="6.1286391E7"/>
        <n v="1.5453E8"/>
        <n v="2.66697823E8"/>
        <n v="1.4410813E7"/>
        <n v="9853538.0"/>
        <n v="6.6618729E7"/>
        <n v="2644026.0"/>
        <n v="1625602.0"/>
        <n v="1.3774339E7"/>
        <n v="2354405.0"/>
        <n v="1.4317901E7"/>
        <n v="8.7288917E7"/>
        <n v="4.7469573E7"/>
        <n v="2354404.0"/>
        <n v="3.4798827E7"/>
        <n v="4.0862347E7"/>
        <n v="511228.0"/>
        <n v="1177202.0"/>
        <n v="3.8135492E7"/>
        <n v="5.0621718E7"/>
        <n v="1.2771293E7"/>
        <n v="7616560.0"/>
        <n v="1354070.0"/>
        <n v="130599.0"/>
        <n v="1.9055749E7"/>
        <n v="6.41441E7"/>
        <n v="3189316.0"/>
        <n v="4.0904036E7"/>
        <n v="3.97740125E8"/>
        <n v="3594396.0"/>
        <n v="3.30597725E8"/>
        <n v="1.29322028E8"/>
        <n v="8.779645E7"/>
        <n v="8980949.0"/>
        <n v="2.6282114E7"/>
        <n v="1.7052706E7"/>
        <n v="1.07889722E8"/>
        <n v="3399462.0"/>
        <n v="3.67252207E8"/>
        <n v="4.23600765E8"/>
        <n v="2.79321397E8"/>
        <n v="4.8535153E7"/>
        <n v="3.9294695E7"/>
        <n v="1.64976325E8"/>
        <n v="1.16077874E8"/>
        <n v="2.0073495E7"/>
        <n v="1920654.0"/>
        <n v="5.635879E7"/>
        <n v="6523814.0"/>
        <n v="853624.0"/>
        <n v="1.4649796E7"/>
        <n v="1.76414464E8"/>
        <n v="4.87418439E8"/>
        <n v="8789290.0"/>
        <n v="4523284.0"/>
        <n v="5.7759455E7"/>
        <n v="5347830.0"/>
        <n v="2.9727405E7"/>
        <n v="1.64600871E8"/>
        <n v="699600.0"/>
        <n v="2040000.0"/>
        <n v="1.0178832E7"/>
        <n v="2544708.0"/>
        <n v="5635000.0"/>
        <n v="1752023.0"/>
        <n v="2277660.0"/>
        <n v="6.2264686E7"/>
        <n v="5.5918947E7"/>
        <n v="2665260.0"/>
        <n v="1.8591844E7"/>
        <n v="2781863.0"/>
        <n v="2.1199748E7"/>
        <n v="1.8064119E7"/>
        <n v="2110400.0"/>
        <n v="8867370.0"/>
        <n v="1199844.0"/>
        <n v="1.2131756E7"/>
        <n v="1.01070712E8"/>
        <n v="5644164.0"/>
        <n v="3.7007737E7"/>
        <n v="1156545.0"/>
        <n v="4.2022869E7"/>
        <n v="8547760.0"/>
        <n v="952935.0"/>
        <n v="263800.0"/>
        <n v="2276844.0"/>
        <n v="136923.0"/>
        <n v="1071456.0"/>
        <n v="2.48210045E8"/>
        <n v="2.27046373E8"/>
        <n v="1.268999E7"/>
        <n v="5.112814E7"/>
        <n v="1.1136321E7"/>
        <n v="2.9257146E7"/>
        <n v="1163849.0"/>
        <n v="3.7509695E7"/>
        <n v="3.06450647E8"/>
        <n v="91000.0"/>
        <n v="3.74173451E8"/>
        <n v="1.28103916E8"/>
        <n v="1.8631336E7"/>
        <n v="3.7384118E7"/>
        <n v="1.21173634E8"/>
        <n v="-4887782.0"/>
        <n v="2683852.0"/>
        <n v="2.2175501E7"/>
        <n v="6.2498829E7"/>
        <n v="6349615.0"/>
        <n v="2.3402335E7"/>
        <n v="353000.0"/>
        <n v="1.4886617E8"/>
        <n v="7723534.0"/>
        <n v="660418.0"/>
        <n v="5418392.0"/>
        <n v="4.677497E7"/>
        <n v="5.9461E7"/>
        <n v="1182726.0"/>
        <n v="3.3215906E7"/>
        <n v="7.7325577E7"/>
        <n v="689785.0"/>
        <n v="4.2391773E7"/>
        <n v="1.1009514E7"/>
        <n v="5.6885278E7"/>
        <n v="551828.0"/>
        <n v="141717.0"/>
        <n v="4.5341825E7"/>
        <n v="1.7379775E7"/>
        <n v="5.6261818E7"/>
        <n v="560924.0"/>
        <n v="1.25878101E8"/>
        <n v="-9.0"/>
        <n v="1.8070973E7"/>
        <n v="1.45458746E8"/>
        <n v="1218750.0"/>
        <n v="721389.0"/>
        <n v="1767042.0"/>
        <n v="1.4688638E7"/>
        <n v="8.7556723E7"/>
        <n v="1.73283781E8"/>
        <n v="2.0247015E7"/>
        <n v="413871.0"/>
        <n v="4.428456E7"/>
        <n v="1.8331831E7"/>
        <n v="1.37306182E8"/>
        <n v="1.29132157E8"/>
        <n v="4.95221025E8"/>
        <n v="1.2662604E7"/>
        <n v="5.27710211E8"/>
        <n v="9.2484632E7"/>
        <n v="5.555788E7"/>
        <n v="3676450.0"/>
        <n v="3.8477646E7"/>
        <n v="2692623.0"/>
        <n v="1.38095089E8"/>
        <n v="5480513.0"/>
        <n v="1.673521E7"/>
        <n v="2.31332397E8"/>
        <n v="5.2906793E8"/>
        <n v="2.55101578E8"/>
        <n v="1.5426945E7"/>
        <n v="1.6682308E8"/>
        <n v="7.5857171E7"/>
        <n v="8201539.0"/>
        <n v="5002449.0"/>
        <n v="6.7281047E7"/>
        <n v="8858106.0"/>
        <n v="5185930.0"/>
        <n v="1.97561034E8"/>
        <n v="9.5700734E8"/>
        <n v="7852260.0"/>
        <n v="6123490.0"/>
        <n v="1.10789923E8"/>
        <n v="8491630.0"/>
        <n v="5.9461021E7"/>
        <n v="1425322.0"/>
        <n v="1.0580887E7"/>
        <n v="1.1535259E7"/>
        <n v="7960996.0"/>
        <n v="1065616.0"/>
        <n v="2.9662199E7"/>
        <n v="1.2231446E7"/>
        <n v="6.2564807E7"/>
        <n v="1.6397946E7"/>
        <n v="3.8764079E7"/>
        <n v="2864488.0"/>
        <n v="6979250.0"/>
        <n v="1.1444098E7"/>
        <n v="1.6815617E7"/>
        <n v="1.2082056E7"/>
        <n v="1.11075E7"/>
        <n v="718817.0"/>
        <n v="7791824.0"/>
        <n v="1785677.0"/>
        <n v="1186281.0"/>
        <n v="5240317.0"/>
        <n v="1.2082541E7"/>
        <n v="5754715.0"/>
        <n v="1169406.0"/>
        <n v="8951160.0"/>
        <n v="3.0796924E7"/>
        <n v="1.0114405E7"/>
        <n v="2.70785593E8"/>
        <n v="7.5457735E7"/>
        <n v="2.7109185E7"/>
        <n v="1.114155E7"/>
        <n v="2.8438827E7"/>
        <n v="302302.0"/>
        <n v="3.4927433E7"/>
        <n v="3160187.0"/>
        <n v="4.3030878E7"/>
        <n v="2897240.0"/>
        <n v="1.74221813E8"/>
        <n v="2.43416372E8"/>
        <n v="9.9227619E7"/>
        <n v="2845645.0"/>
        <n v="1.20372257E8"/>
        <n v="1.15734134E8"/>
        <n v="4772154.0"/>
        <n v="5.5181798E7"/>
        <n v="7949366.0"/>
        <n v="2.1752191E7"/>
        <n v="5282350.0"/>
        <n v="2850000.0"/>
        <n v="1.48330804E8"/>
        <n v="1.56812353E8"/>
        <n v="9086492.0"/>
        <n v="9548650.0"/>
        <n v="1233334.0"/>
        <n v="6.7843735E7"/>
        <n v="1.3415773E7"/>
        <n v="5.7759351E7"/>
        <n v="864252.0"/>
        <n v="1825500.0"/>
        <n v="3042500.0"/>
        <n v="608500.0"/>
        <n v="3166667.0"/>
        <n v="2.0348581E7"/>
        <n v="131460.0"/>
        <n v="-1.53430136E8"/>
        <n v="1107530.0"/>
        <n v="141850.0"/>
        <n v="8396383.0"/>
        <n v="2915924.0"/>
        <n v="2341136.0"/>
        <n v="134046.0"/>
        <n v="4.7189852E7"/>
        <n v="4680480.0"/>
        <n v="2.6522375E7"/>
        <n v="536184.0"/>
        <n v="4.08277625E8"/>
        <n v="5867972.0"/>
        <n v="1.1280797E7"/>
        <n v="8870533.0"/>
        <n v="401184.0"/>
        <n v="9.733837E7"/>
        <n v="2.2494335E7"/>
        <n v="1.13262354E8"/>
        <n v="6020625.0"/>
        <n v="1188184.0"/>
        <n v="133728.0"/>
        <n v="1034720.0"/>
        <n v="5455331.0"/>
        <n v="2428848.0"/>
        <n v="8621238.0"/>
        <n v="753644.0"/>
        <n v="863637.0"/>
        <n v="5.5707611E7"/>
        <n v="3.6074987E7"/>
        <n v="6.4610823E7"/>
        <n v="1851046.0"/>
        <n v="2.5618344E7"/>
        <n v="405336.0"/>
        <n v="1.6457863E7"/>
        <n v="9.702264E7"/>
        <n v="1.0965055E7"/>
        <n v="2.08070699E8"/>
        <n v="3.01053179E8"/>
        <n v="950897.0"/>
        <n v="268982.0"/>
        <n v="1.0650262E7"/>
        <n v="6.1459754E7"/>
        <n v="2.1481E7"/>
        <n v="1754948.0"/>
        <n v="9.9095699E7"/>
        <n v="1.5945821E7"/>
        <n v="9873500.0"/>
        <n v="2.33244255E8"/>
        <n v="2.39073961E8"/>
        <n v="2.1998147E8"/>
        <n v="8760837.0"/>
        <n v="8.9508912E7"/>
        <n v="-5.6699295E7"/>
        <n v="8587006.0"/>
        <n v="-5.49427031E8"/>
        <n v="2.4340536E7"/>
        <n v="2.4776782E7"/>
        <n v="9411572.0"/>
        <n v="4676346.0"/>
        <n v="7125000.0"/>
        <n v="1.6636998E8"/>
        <n v="5.74458434E8"/>
        <n v="1036735.0"/>
        <n v="1528668.0"/>
        <n v="1.24974057E8"/>
        <n v="2.5199012E7"/>
        <n v="6.2825025E7"/>
        <n v="134936.0"/>
        <n v="268092.0"/>
        <n v="906494.0"/>
        <n v="2158976.0"/>
        <n v="4174068.0"/>
        <n v="859760.0"/>
        <n v="1.1629801E7"/>
        <n v="2816923.0"/>
        <n v="210791.0"/>
        <n v="515856.0"/>
        <n v="2.1210176E7"/>
        <n v="270834.0"/>
        <n v="1119432.0"/>
        <n v="51586.0"/>
        <n v="5296892.0"/>
        <n v="1.379463E7"/>
        <n v="966930.0"/>
        <n v="3.542148E7"/>
        <n v="5561006.0"/>
        <n v="6854807.0"/>
        <n v="7047309.0"/>
        <n v="483465.0"/>
        <n v="154757.0"/>
        <n v="1.297648E7"/>
        <n v="4162400.0"/>
        <n v="3.8247212E7"/>
        <n v="171952.0"/>
        <n v="1289240.0"/>
        <n v="8828990.0"/>
        <n v="169996.0"/>
        <n v="3122497.0"/>
        <n v="878295.0"/>
        <n v="1.33962604E8"/>
        <n v="254995.0"/>
        <n v="2.7018916E7"/>
        <n v="3.2950206E7"/>
        <n v="1.50824187E8"/>
        <n v="7.7057736E7"/>
        <n v="6028702.0"/>
        <n v="1.4697432E7"/>
        <n v="1176915.0"/>
        <n v="7.5397157E7"/>
        <n v="3214447.0"/>
        <n v="9829233.0"/>
        <n v="8.298632E7"/>
        <n v="2.04198016E8"/>
        <n v="7.4614988E7"/>
        <n v="3083545.0"/>
        <n v="9089070.0"/>
        <n v="8.2542873E7"/>
        <n v="7.1475399E7"/>
        <n v="2.2985316E7"/>
        <n v="120000.0"/>
        <n v="5.3955362E7"/>
        <n v="6635530.0"/>
        <n v="2.14145728E8"/>
        <n v="1.39650878E8"/>
        <n v="6647718.0"/>
        <n v="1130301.0"/>
        <n v="2065111.0"/>
        <n v="9.5889073E7"/>
        <n v="2182513.0"/>
        <n v="2.9320048E7"/>
        <n v="5.5392E7"/>
        <n v="2317455.0"/>
        <n v="1394859.0"/>
        <n v="692070.0"/>
        <n v="296454.0"/>
        <n v="2.0924864E7"/>
        <n v="2.4297308E7"/>
        <n v="931662.0"/>
        <n v="183866.0"/>
        <n v="1.2072243E7"/>
        <n v="4.0577816E7"/>
        <n v="6236536.0"/>
        <n v="1.1542923E7"/>
        <n v="2.3018241E7"/>
        <n v="2968729.0"/>
        <n v="1225770.0"/>
        <n v="1.0825945E7"/>
        <n v="8054685.0"/>
        <n v="841734.0"/>
        <n v="1.89602163E8"/>
        <n v="1.5616309E7"/>
        <n v="8.1745697E7"/>
        <n v="1.0862357E7"/>
        <n v="2.1624592E7"/>
        <n v="1.71956377E8"/>
        <n v="2.6250106E8"/>
        <n v="5.7888446E7"/>
        <n v="4186000.0"/>
        <n v="792600.0"/>
        <n v="1.14726245E8"/>
        <n v="8.3904385E7"/>
        <n v="5.2719706E7"/>
        <n v="2.2716838E7"/>
        <n v="5.1931142E7"/>
        <n v="2.7215327E7"/>
        <n v="1.0173244E7"/>
        <n v="900000.0"/>
        <n v="2762200.0"/>
        <n v="1.69174712E8"/>
        <n v="8.8449166E7"/>
        <n v="1.6311643E7"/>
        <n v="1.0689242E7"/>
        <n v="2400084.0"/>
        <n v="295002.0"/>
        <n v="1.07609318E8"/>
        <n v="2.4573472E7"/>
        <n v="1.47072E8"/>
        <n v="400000.0"/>
        <n v="8222500.0"/>
        <n v="1.507484E7"/>
        <n v="2.6150347E7"/>
        <n v="1.3380223E7"/>
        <n v="6858058.0"/>
        <n v="1.1539522E7"/>
        <n v="3.3335739E7"/>
        <n v="2.2865988E7"/>
        <n v="3.3723275E7"/>
        <n v="2.2440955E7"/>
        <n v="2.1402929E7"/>
        <n v="5.41122E7"/>
        <n v="5.0768135E7"/>
        <n v="4829611.0"/>
        <n v="6.6693287E7"/>
        <n v="3345063.0"/>
        <n v="1.1528654E7"/>
        <n v="4967392.0"/>
        <n v="1.2612917E7"/>
        <n v="9136184.0"/>
        <n v="4063180.0"/>
        <n v="1.381828E7"/>
        <n v="1.68426663E8"/>
        <n v="5.3503438E7"/>
        <n v="1.3341375E8"/>
        <n v="1.3019703E7"/>
        <n v="7.20121E7"/>
        <n v="3.61459E8"/>
        <n v="3.8860215E7"/>
        <n v="1.88151774E8"/>
        <n v="2.02812476E8"/>
        <n v="2.30901305E8"/>
        <n v="1.74748557E8"/>
        <n v="3.5235341E7"/>
        <n v="1.7264768E7"/>
        <n v="5.8977789E7"/>
        <n v="4004390.0"/>
        <n v="1969986.0"/>
        <n v="5034960.0"/>
        <n v="1.51886112E8"/>
        <n v="3.95164778E8"/>
        <n v="3019927.0"/>
        <n v="1025043.0"/>
        <n v="3.8673808E7"/>
        <n v="2518635.0"/>
        <n v="5.3683572E7"/>
        <n v="-777.0"/>
        <n v="7631854.0"/>
        <n v="1.0734524E7"/>
        <n v="5737418.0"/>
        <n v="2.5247161E7"/>
        <n v="948834.0"/>
        <n v="386602.0"/>
        <n v="2868709.0"/>
        <n v="289952.0"/>
        <n v="3287792.0"/>
        <n v="5940008.0"/>
        <n v="3727654.0"/>
        <n v="3.0614618E7"/>
        <n v="3082933.0"/>
        <n v="7311600.0"/>
        <n v="8556513.0"/>
        <n v="9378720.0"/>
        <n v="505105.0"/>
        <n v="8289200.0"/>
        <n v="3563649.0"/>
        <n v="-1011250.0"/>
        <n v="-2677.0"/>
        <n v="3.1860841E7"/>
        <n v="5.4308138E7"/>
        <n v="1.8344877E7"/>
        <n v="1.33704437E8"/>
        <n v="1.052205E7"/>
        <n v="1.1529508E7"/>
        <n v="7693645.0"/>
        <n v="4.3167308E7"/>
        <n v="5186914.0"/>
        <n v="4.4366174E7"/>
        <n v="1.37633102E8"/>
        <n v="2.9614972E7"/>
        <n v="6864788.0"/>
        <n v="6954215.0"/>
        <n v="7.7112666E7"/>
        <n v="9.9688001E7"/>
        <n v="2515000.0"/>
        <n v="6.2446441E7"/>
        <n v="5235000.0"/>
        <n v="352500.0"/>
        <n v="4.6936056E7"/>
        <n v="1.60641665E8"/>
        <n v="3340880.0"/>
        <n v="2988806.0"/>
        <n v="3.654486E7"/>
        <n v="3.5337E7"/>
        <n v="6647850.0"/>
        <n v="902072.0"/>
        <n v="146239.0"/>
        <n v="4198499.0"/>
        <n v="1.911476E7"/>
        <n v="3824685.0"/>
        <n v="1.0961232E7"/>
        <n v="6266065.0"/>
        <n v="2.6587044E7"/>
        <n v="3.5764354E7"/>
        <n v="7.3507093E7"/>
        <n v="1.24683528E8"/>
        <n v="6686928.0"/>
        <n v="1967436.0"/>
        <n v="3.070375E7"/>
        <n v="1427337.0"/>
        <n v="1.26E7"/>
        <n v="4.4982005E7"/>
        <n v="1.46749613E8"/>
        <n v="4.4956248E7"/>
        <n v="7202261.0"/>
        <n v="6268995.0"/>
        <n v="3.2000787E7"/>
        <n v="8.05693E7"/>
        <n v="2.10181797E8"/>
        <n v="5649982.0"/>
        <n v="2.53364422E8"/>
        <n v="6.07351E7"/>
        <n v="1.48228012E8"/>
        <n v="1.9118428E7"/>
        <n v="3.17133701E8"/>
        <n v="2.4050821E8"/>
        <n v="8.7143853E7"/>
        <n v="2.78380232E8"/>
        <n v="1.1808953E7"/>
        <n v="9517100.0"/>
        <n v="5.3763604E7"/>
        <n v="2021223.0"/>
        <n v="6115374.0"/>
        <n v="1.70533556E8"/>
        <n v="3.67712828E8"/>
        <n v="7438770.0"/>
        <n v="408334.0"/>
        <n v="3.0863451E7"/>
        <n v="3.6148372E7"/>
        <n v="1.466955E8"/>
        <n v="175000.0"/>
        <n v="2.478074E7"/>
        <n v="3171407.0"/>
        <n v="1.1051355E7"/>
        <n v="1270417.0"/>
        <n v="1206112.0"/>
        <n v="1.680888E7"/>
        <n v="3.0719584E7"/>
        <n v="2667878.0"/>
        <n v="3.227656E7"/>
        <n v="2323106.0"/>
        <n v="1.6471287E7"/>
        <n v="1.3065134E7"/>
        <n v="954000.0"/>
        <n v="1.3065228E7"/>
        <n v="3806246.0"/>
        <n v="4.1906022E7"/>
        <n v="4.288406E7"/>
        <n v="1.15487378E8"/>
        <n v="9.9811428E7"/>
        <n v="6.1858505E7"/>
        <n v="1.8734614E7"/>
        <n v="2.0920358E7"/>
        <n v="2.145E7"/>
        <n v="1.4203091E7"/>
        <n v="5742563.0"/>
        <n v="5.0359342E7"/>
        <n v="1.5236001E7"/>
        <n v="1740021.0"/>
        <n v="3.2744266E7"/>
        <n v="4.15710982E8"/>
        <n v="3.13547231E8"/>
        <n v="1.92181E7"/>
        <n v="1.2093058E7"/>
        <n v="5.3881546E7"/>
        <n v="1.2123144E7"/>
        <n v="4.0380897E7"/>
        <n v="1.3098747E7"/>
        <n v="3.15363228E8"/>
        <n v="5.23144244E8"/>
        <n v="1.08694269E8"/>
        <n v="5213610.0"/>
        <n v="1.29108392E8"/>
        <n v="-1.35573068E8"/>
        <n v="1.1484734E8"/>
        <n v="4917609.0"/>
        <n v="6.3450983E7"/>
        <n v="6.3900614E7"/>
        <n v="2.2978924E7"/>
        <n v="2943715.0"/>
        <n v="4.11882991E8"/>
        <n v="2.93915333E8"/>
        <n v="1.0447193E7"/>
        <n v="4.1960041E7"/>
        <n v="3.4199692E7"/>
        <n v="3027200.0"/>
        <n v="581412.0"/>
        <n v="4585715.0"/>
        <n v="2.427141E7"/>
        <n v="6894658.0"/>
        <n v="2953398.0"/>
        <n v="524700.0"/>
        <n v="5012232.0"/>
        <n v="1695370.0"/>
        <n v="145353.0"/>
        <n v="6.5249754E7"/>
        <n v="1297592.0"/>
        <n v="1033662.0"/>
        <n v="1.2730731E7"/>
        <n v="3.723611E7"/>
        <n v="4.2950811E7"/>
        <n v="3.1219617E7"/>
        <n v="3.9169098E7"/>
        <n v="6917940.0"/>
        <n v="2.4505982E7"/>
        <n v="4.5800743E7"/>
        <n v="1.9168664E7"/>
        <n v="2.2473945E7"/>
        <n v="880000.0"/>
        <n v="582404.0"/>
        <n v="916947.0"/>
        <n v="4.082181E7"/>
        <n v="2.445962E7"/>
        <n v="9686220.0"/>
        <n v="9180000.0"/>
        <n v="2.7812E7"/>
        <n v="1.34967874E8"/>
        <n v="1.37134145E8"/>
        <n v="2433828.0"/>
        <n v="2.664145E7"/>
        <n v="7.7867168E7"/>
        <n v="1.3773265E7"/>
        <n v="2.78377381E8"/>
        <n v="917850.0"/>
        <n v="2.39121784E8"/>
        <n v="4.348412E7"/>
        <n v="8544945.0"/>
        <n v="8.4989938E7"/>
        <n v="2.46992028E8"/>
        <n v="4.1201037E7"/>
        <n v="1.082004E7"/>
        <n v="8624220.0"/>
        <n v="3.822572E7"/>
        <n v="1.7988852E7"/>
        <n v="2.20216416E8"/>
        <n v="5778180.0"/>
        <n v="1744050.0"/>
        <n v="6.8770356E7"/>
        <n v="2240985.0"/>
        <n v="3.1831889E7"/>
        <n v="1.374065E7"/>
        <n v="1.446443E7"/>
        <n v="4.3915527E7"/>
        <n v="7019276.0"/>
        <n v="9200203.0"/>
        <n v="-6928.0"/>
        <n v="1809876.0"/>
        <n v="8002638.0"/>
        <n v="1.0631783E7"/>
        <n v="2.1546687E7"/>
        <n v="5.7119298E7"/>
        <n v="1.02441311E8"/>
        <n v="3.3835992E7"/>
        <n v="418600.0"/>
        <n v="3.9827654E7"/>
        <n v="3.2961226E7"/>
        <n v="2.4122435E7"/>
        <n v="3.8023206E7"/>
        <n v="2.3775151E7"/>
        <n v="1.5061322E7"/>
        <n v="5.6089454E7"/>
        <n v="7208250.0"/>
        <n v="2695056.0"/>
        <n v="2018310.0"/>
        <n v="5785233.0"/>
        <n v="1.494994E7"/>
        <n v="4118905.0"/>
        <n v="1.88157527E8"/>
        <n v="-125603.0"/>
        <n v="1.35218295E8"/>
        <n v="5576273.0"/>
        <n v="3.76464E7"/>
        <n v="4.9919997E7"/>
        <n v="1.68710791E8"/>
        <n v="77000.0"/>
        <n v="2.38645612E8"/>
        <n v="2.7172804E7"/>
        <n v="491425.0"/>
        <n v="1.03655731E8"/>
        <n v="1.38390678E8"/>
        <n v="3.5490173E7"/>
        <n v="5.526751E7"/>
        <n v="2.6264835E7"/>
        <n v="2310175.0"/>
        <n v="1.01417484E8"/>
        <n v="1.77469097E8"/>
        <n v="2.2007823E7"/>
        <n v="1.05904961E8"/>
        <n v="1.1424575E7"/>
        <n v="3.5396525E7"/>
        <n v="8.3697975E7"/>
        <n v="7341400.0"/>
        <n v="-10800.0"/>
        <n v="2.3182643E7"/>
        <n v="1.4564186E7"/>
        <n v="1633401.0"/>
        <n v="4485140.0"/>
        <n v="3805476.0"/>
        <n v="2.190176E7"/>
        <n v="3609782.0"/>
        <n v="6.5851541E7"/>
        <n v="2.3886592E7"/>
        <n v="1.02928669E8"/>
        <n v="1752492.0"/>
        <n v="1.3176952E7"/>
        <n v="1996500.0"/>
        <n v="2.2175061E7"/>
        <n v="7225611.0"/>
        <n v="6312725.0"/>
        <n v="1.20848563E8"/>
        <n v="2237247.0"/>
        <n v="2244525.0"/>
        <n v="387800.0"/>
        <n v="1.2607176E7"/>
        <n v="2838582.0"/>
        <n v="2045468.0"/>
        <n v="1260350.0"/>
        <n v="1.0322754E7"/>
        <n v="438123.0"/>
        <n v="2.43317689E8"/>
        <n v="5.45212445E8"/>
        <n v="1.07825E8"/>
        <n v="1.5768931E7"/>
        <n v="1.3539584E7"/>
        <n v="2.4216073E7"/>
      </sharedItems>
    </cacheField>
    <cacheField name=" Fisik " numFmtId="41">
      <sharedItems containsSemiMixedTypes="0" containsString="0" containsNumber="1">
        <n v="594.0"/>
        <n v="184.0"/>
        <n v="0.0"/>
        <n v="265.755"/>
        <n v="332.5"/>
        <n v="177.0"/>
        <n v="54040.5"/>
        <n v="110.5"/>
        <n v="1376.0"/>
        <n v="11817.45"/>
        <n v="37.5"/>
        <n v="2495.0"/>
        <n v="300.0"/>
        <n v="193.0"/>
        <n v="604.0"/>
        <n v="11.0"/>
        <n v="1071.0"/>
        <n v="25.0"/>
        <n v="101.0"/>
        <n v="13.0"/>
        <n v="16.8"/>
        <n v="42.0"/>
        <n v="34.0"/>
        <n v="18262.0"/>
        <n v="52.5"/>
        <n v="27.13"/>
        <n v="95.0"/>
        <n v="104.0"/>
        <n v="744.0"/>
        <n v="800.56"/>
        <n v="205.0"/>
        <n v="267.53"/>
        <n v="0.12"/>
        <n v="0.58"/>
        <n v="10.0"/>
        <n v="18.0"/>
        <n v="2.38"/>
        <n v="993070.0"/>
        <n v="250.0"/>
        <n v="38.0"/>
        <n v="14.43"/>
        <n v="6633.0"/>
        <n v="6.0"/>
        <n v="388729.23"/>
        <n v="3026.0"/>
        <n v="31.0"/>
        <n v="3517510.0"/>
        <n v="6688.0"/>
        <n v="1753197.0"/>
        <n v="74.0"/>
        <n v="46.0"/>
        <n v="229.0"/>
        <n v="142.0"/>
        <n v="80.0"/>
        <n v="8.0"/>
        <n v="906.0"/>
        <n v="26.0"/>
        <n v="44.0"/>
        <n v="12.0"/>
        <n v="506.0"/>
        <n v="463.0"/>
        <n v="56.2"/>
        <n v="952.0"/>
        <n v="103.0"/>
        <n v="45.0"/>
        <n v="260.935"/>
        <n v="733.0"/>
        <n v="211.12"/>
        <n v="433.0"/>
        <n v="2.0"/>
        <n v="-784.0"/>
        <n v="23.0"/>
        <n v="1957.5"/>
        <n v="1589900.0"/>
        <n v="1857.0"/>
        <n v="819877.0"/>
        <n v="84.0"/>
        <n v="48.0"/>
        <n v="292.0"/>
        <n v="9.5"/>
        <n v="388.0"/>
        <n v="5.0"/>
        <n v="129.0"/>
        <n v="348.0"/>
        <n v="573.0"/>
        <n v="96.0"/>
        <n v="90.0"/>
        <n v="253.0"/>
        <n v="744.255"/>
        <n v="70.0"/>
        <n v="1204.93"/>
        <n v="168.0"/>
        <n v="377.957"/>
        <n v="170.0"/>
        <n v="193.77"/>
        <n v="1045770.0"/>
        <n v="2.66"/>
        <n v="16.86"/>
        <n v="42406.0"/>
        <n v="966470.202"/>
        <n v="2921.0"/>
        <n v="100.0"/>
        <n v="4617270.0"/>
        <n v="9536.0"/>
        <n v="1171698.0"/>
        <n v="303.0"/>
        <n v="14.0"/>
        <n v="1211.0"/>
        <n v="54170.0"/>
        <n v="136.0"/>
        <n v="54.0"/>
        <n v="151.0"/>
        <n v="153.0"/>
        <n v="77.0"/>
        <n v="1426.0"/>
        <n v="92.0"/>
        <n v="247.13"/>
        <n v="222.0"/>
        <n v="45.33"/>
        <n v="56.0"/>
        <n v="53.14"/>
        <n v="37.0"/>
        <n v="65.0"/>
        <n v="71.0"/>
        <n v="630.0"/>
        <n v="14301.0"/>
        <n v="175257.194"/>
        <n v="2082.0"/>
        <n v="1211549.86"/>
        <n v="4497.0"/>
        <n v="227892.0"/>
        <n v="202.0"/>
        <n v="91.0"/>
        <n v="329.0"/>
        <n v="20.0"/>
        <n v="16.0"/>
        <n v="4.0"/>
        <n v="3.0"/>
        <n v="570.0"/>
        <n v="-5288.5"/>
        <n v="15.0"/>
        <n v="4750.0"/>
        <n v="52.0"/>
        <n v="98.0"/>
        <n v="1371.41"/>
        <n v="269.0"/>
        <n v="475.27"/>
        <n v="125.9"/>
        <n v="93.9"/>
        <n v="2440.0"/>
        <n v="7.0"/>
        <n v="125.0"/>
        <n v="100.87"/>
        <n v="109616.0"/>
        <n v="1746.0"/>
        <n v="3008860.0"/>
        <n v="1209.0"/>
        <n v="55.0"/>
        <n v="573.5"/>
        <n v="668406.0"/>
        <n v="22.0"/>
        <n v="702.0"/>
        <n v="21.0"/>
        <n v="9.0"/>
        <n v="17.0"/>
        <n v="1.0"/>
        <n v="197.6"/>
        <n v="83.0"/>
        <n v="138.05"/>
        <n v="23.8"/>
        <n v="157.0"/>
        <n v="111.45"/>
        <n v="18.9"/>
        <n v="1.8"/>
        <n v="24.6"/>
        <n v="238.0"/>
        <n v="12070.0"/>
        <n v="10.2"/>
        <n v="39.0"/>
        <n v="726.0"/>
        <n v="318440.0"/>
        <n v="203.3"/>
        <n v="5910.0"/>
        <n v="300164.0"/>
        <n v="34.1"/>
        <n v="61.0"/>
        <n v="0.5"/>
        <n v="698.0"/>
        <n v="66.7"/>
        <n v="15.91"/>
        <n v="35.0"/>
        <n v="148.0"/>
        <n v="173.0"/>
        <n v="-241.7"/>
        <n v="192.45"/>
        <n v="-54.9"/>
        <n v="50.0"/>
        <n v="78.0"/>
        <n v="192.869"/>
        <n v="351.0"/>
        <n v="189.0"/>
        <n v="62.0"/>
        <n v="11.075"/>
        <n v="1450.0"/>
        <n v="4700.0"/>
        <n v="1834.0"/>
        <n v="674.0"/>
        <n v="63988.0"/>
        <n v="2115.0"/>
        <n v="506190.0"/>
        <n v="60.0"/>
        <n v="112.0"/>
        <n v="172.0"/>
        <n v="44000.0"/>
        <n v="3668.0"/>
        <n v="154.0"/>
        <n v="102.0"/>
        <n v="15390.0"/>
        <n v="73.0"/>
        <n v="133.0"/>
        <n v="72.0"/>
        <n v="559.908"/>
        <n v="116.0"/>
        <n v="529.85"/>
        <n v="139.0"/>
        <n v="257.0"/>
        <n v="155.0"/>
        <n v="228.63"/>
        <n v="317.0"/>
        <n v="147.0"/>
        <n v="32.2"/>
        <n v="75.0"/>
        <n v="22350.0"/>
        <n v="81.0"/>
        <n v="366546.0"/>
        <n v="1032480.0"/>
        <n v="647764.0"/>
        <n v="1091.0"/>
        <n v="6.2"/>
        <n v="18738.0"/>
        <n v="110.0"/>
        <n v="87.0"/>
        <n v="274.0"/>
        <n v="33.5"/>
        <n v="28.36"/>
        <n v="188.0"/>
        <n v="43.16"/>
        <n v="41.5"/>
        <n v="600.0"/>
        <n v="200.0"/>
        <n v="4045.0"/>
        <n v="217098.0"/>
        <n v="332.0"/>
        <n v="96.5"/>
        <n v="12553.0"/>
        <n v="56335.0"/>
        <n v="69.5"/>
        <n v="432.0"/>
        <n v="209.0"/>
        <n v="85845.0"/>
        <n v="31.5"/>
        <n v="2060.0"/>
        <n v="127.0"/>
        <n v="43.0"/>
        <n v="396.62"/>
        <n v="70.73"/>
        <n v="1081.74"/>
        <n v="40.97"/>
        <n v="151.64"/>
        <n v="67.0"/>
        <n v="3.356"/>
        <n v="2085.0"/>
        <n v="7157.0"/>
        <n v="22129.0"/>
        <n v="1483.0"/>
        <n v="3330210.0"/>
        <n v="1340.0"/>
        <n v="437930.0"/>
        <n v="1104.0"/>
        <n v="175.0"/>
        <n v="11485.0"/>
        <n v="285.5"/>
        <n v="29.0"/>
        <n v="243.0"/>
        <n v="53.0"/>
        <n v="99.0"/>
        <n v="86.0"/>
        <n v="108.25"/>
        <n v="168.6"/>
        <n v="932.0"/>
        <n v="123.0"/>
        <n v="443.62"/>
        <n v="183.0"/>
        <n v="143.0"/>
        <n v="201.42"/>
        <n v="56.26"/>
        <n v="2947.0"/>
        <n v="2261139.0"/>
        <n v="5.5"/>
        <n v="94.0"/>
        <n v="87.5"/>
        <n v="578.4"/>
        <n v="251.0"/>
        <n v="23.65"/>
        <n v="176556.0"/>
        <n v="180.0"/>
        <n v="478.0"/>
        <n v="54.5"/>
        <n v="210.0"/>
        <n v="8538.0"/>
        <n v="258.16"/>
        <n v="185.0"/>
        <n v="114.38"/>
        <n v="303.24"/>
        <n v="307.0"/>
        <n v="5592.0"/>
        <n v="870.0"/>
        <n v="701607.0"/>
        <n v="1657.0"/>
        <n v="302083.0"/>
        <n v="458.0"/>
        <n v="167037.0"/>
        <n v="203843.0"/>
        <n v="24.0"/>
        <n v="1162.0"/>
        <n v="162.0"/>
        <n v="109.0"/>
        <n v="14062.0"/>
        <n v="65.91"/>
        <n v="69.66"/>
        <n v="394.0"/>
        <n v="531.34"/>
        <n v="181.0"/>
        <n v="169.62"/>
        <n v="68.0"/>
        <n v="1330.0"/>
        <n v="70578.0"/>
        <n v="1497.0"/>
        <n v="1182772.0"/>
        <n v="583.0"/>
        <n v="530048.0"/>
        <n v="289.0"/>
        <n v="69300.0"/>
        <n v="211953.0"/>
        <n v="4200.0"/>
        <n v="49.0"/>
        <n v="1728.0"/>
        <n v="371.0"/>
        <n v="40.5"/>
        <n v="616.0"/>
        <n v="105.11"/>
        <n v="935.0"/>
        <n v="19.0"/>
        <n v="114.35"/>
        <n v="73.18"/>
        <n v="15093.0"/>
        <n v="1803.0"/>
        <n v="1961400.0"/>
        <n v="1155290.0"/>
        <n v="28.0"/>
        <n v="361.0"/>
        <n v="585.0"/>
        <n v="313.0"/>
        <n v="97.0"/>
        <n v="206.405"/>
        <n v="284.4"/>
        <n v="38916.0"/>
        <n v="926.0"/>
        <n v="8934.2"/>
        <n v="2120.0"/>
        <n v="2500.0"/>
        <n v="444.0"/>
        <n v="947.0"/>
        <n v="4.5"/>
        <n v="144.0"/>
        <n v="448.0"/>
        <n v="108.0"/>
        <n v="19293.0"/>
        <n v="203.88"/>
        <n v="111.0"/>
        <n v="650.0"/>
        <n v="595.66"/>
        <n v="261.0"/>
        <n v="275.26"/>
        <n v="936070.0"/>
        <n v="36957.0"/>
        <n v="136.89"/>
        <n v="17.11"/>
        <n v="2784.0"/>
        <n v="409040.36"/>
        <n v="3036.0"/>
        <n v="3098480.0"/>
        <n v="5843.0"/>
        <n v="1254235.0"/>
        <n v="66.0"/>
        <n v="271.9"/>
        <n v="132.0"/>
        <n v="842.0"/>
        <n v="27.0"/>
        <n v="0.24"/>
        <n v="76.0"/>
        <n v="14790.0"/>
        <n v="406.0"/>
        <n v="45.4"/>
        <n v="710.0"/>
        <n v="138.0"/>
        <n v="107.94"/>
        <n v="736.0"/>
        <n v="67.65"/>
        <n v="282.0"/>
        <n v="12850.5"/>
        <n v="30521.75"/>
        <n v="17.17"/>
        <n v="1858.0"/>
        <n v="1495420.0"/>
        <n v="425.0"/>
        <n v="730402.0"/>
        <n v="74.5"/>
        <n v="8.5"/>
        <n v="286.0"/>
        <n v="239.0"/>
        <n v="538.0"/>
        <n v="401.0"/>
        <n v="605.386"/>
        <n v="757.99"/>
        <n v="1575.058"/>
        <n v="979.85"/>
        <n v="24.29"/>
        <n v="97924.25"/>
        <n v="1285748.0"/>
        <n v="122183.25"/>
        <n v="797.92"/>
        <n v="16.46"/>
        <n v="40066.0"/>
        <n v="942570.483"/>
        <n v="3549.5"/>
        <n v="4285660.0"/>
        <n v="6749.0"/>
        <n v="793684.0"/>
        <n v="325.0"/>
        <n v="996.0"/>
        <n v="48720.0"/>
        <n v="121.0"/>
        <n v="141.0"/>
        <n v="1613.0"/>
        <n v="187.48"/>
        <n v="51.44"/>
        <n v="79.0"/>
        <n v="205.32"/>
        <n v="74.8"/>
        <n v="156.0"/>
        <n v="692.0"/>
        <n v="8492.0"/>
        <n v="40.0"/>
        <n v="9205.0"/>
        <n v="80209.24"/>
        <n v="1892.5"/>
        <n v="991509.73"/>
        <n v="3577.0"/>
        <n v="159165.0"/>
        <n v="75.5"/>
        <n v="297.0"/>
        <n v="82.0"/>
        <n v="1074.573"/>
        <n v="762.73"/>
        <n v="74.1"/>
        <n v="34.84"/>
        <n v="41.0"/>
        <n v="423.0"/>
        <n v="13560.0"/>
        <n v="2742.0"/>
        <n v="479290.0"/>
        <n v="46971.75"/>
        <n v="460.05"/>
        <n v="124.0"/>
        <n v="226.16"/>
        <n v="80578.0"/>
        <n v="1557.0"/>
        <n v="2805740.0"/>
        <n v="146.0"/>
        <n v="575.5"/>
        <n v="214810.0"/>
        <n v="743.0"/>
        <n v="63.0"/>
        <n v="27.6"/>
        <n v="73.5"/>
        <n v="16.6"/>
        <n v="1.2"/>
        <n v="1.7"/>
        <n v="0.3"/>
        <n v="65.82"/>
        <n v="228.0"/>
        <n v="33.0"/>
        <n v="80.99"/>
        <n v="42.2"/>
        <n v="0.9"/>
        <n v="247.16"/>
        <n v="21498.0"/>
        <n v="636.0"/>
        <n v="858.0"/>
        <n v="1.5"/>
        <n v="286360.0"/>
        <n v="205.7"/>
        <n v="6585.0"/>
        <n v="246867.0"/>
        <n v="58.0"/>
        <n v="6.7"/>
        <n v="490.0"/>
        <n v="59.9"/>
        <n v="15.66"/>
        <n v="169.39"/>
        <n v="283.0"/>
        <n v="93.833"/>
        <n v="166.0"/>
        <n v="43.3"/>
        <n v="7870.0"/>
        <n v="1346.0"/>
        <n v="1274.0"/>
        <n v="416423.0"/>
        <n v="152.0"/>
        <n v="88.0"/>
        <n v="64.0"/>
        <n v="512.21"/>
        <n v="126.0"/>
        <n v="498.57"/>
        <n v="131.0"/>
        <n v="683.42"/>
        <n v="246.5"/>
        <n v="41.17"/>
        <n v="33.15"/>
        <n v="43.7"/>
        <n v="168728.0"/>
        <n v="133239.5"/>
        <n v="791.0"/>
        <n v="35577.0"/>
        <n v="465043.0"/>
        <n v="1300830.0"/>
        <n v="914358.0"/>
        <n v="1026.0"/>
        <n v="30623.0"/>
        <n v="15.5"/>
        <n v="55.11"/>
        <n v="42.24"/>
        <n v="40.62"/>
        <n v="182.5"/>
        <n v="260.52"/>
        <n v="1564.0"/>
        <n v="-4045.0"/>
        <n v="128123.0"/>
        <n v="304.0"/>
        <n v="10372.0"/>
        <n v="95655.0"/>
        <n v="268.0"/>
        <n v="60435.0"/>
        <n v="20.5"/>
        <n v="1610.0"/>
        <n v="150.0"/>
        <n v="36.5"/>
        <n v="990.0"/>
        <n v="521.82"/>
        <n v="1086.74"/>
        <n v="276.5"/>
        <n v="28.7"/>
        <n v="3.509"/>
        <n v="126000.0"/>
        <n v="1754.0"/>
        <n v="120039.46"/>
        <n v="664.64"/>
        <n v="6000.0"/>
        <n v="8577.0"/>
        <n v="24484.0"/>
        <n v="1505.0"/>
        <n v="3730200.0"/>
        <n v="500238.0"/>
        <n v="1076.0"/>
        <n v="0.02"/>
        <n v="72.5"/>
        <n v="7881.0"/>
        <n v="200.5"/>
        <n v="206.0"/>
        <n v="621.0"/>
        <n v="106.0"/>
        <n v="278.0"/>
        <n v="284.0"/>
        <n v="574.69"/>
        <n v="844.89"/>
        <n v="113.29"/>
        <n v="264.0"/>
        <n v="384.57"/>
        <n v="233.0"/>
        <n v="35931.0"/>
        <n v="220.02"/>
        <n v="44.33"/>
        <n v="2772.47"/>
        <n v="1660332.0"/>
        <n v="504.0"/>
        <n v="79.5"/>
        <n v="272.5"/>
        <n v="89.0"/>
        <n v="124027.0"/>
        <n v="32.0"/>
        <n v="386.0"/>
        <n v="219.0"/>
        <n v="6546.0"/>
        <n v="307.84"/>
        <n v="100.26"/>
        <n v="427.62"/>
        <n v="128.0"/>
        <n v="121.81"/>
        <n v="540.0"/>
        <n v="223070.0"/>
        <n v="17451.75"/>
        <n v="140.38"/>
        <n v="7.65"/>
        <n v="3296.0"/>
        <n v="853.0"/>
        <n v="629125.0"/>
        <n v="242195.0"/>
        <n v="378.0"/>
        <n v="93.0"/>
        <n v="124915.0"/>
        <n v="149615.0"/>
        <n v="276.0"/>
        <n v="5757.0"/>
        <n v="45.5"/>
        <n v="573.57"/>
        <n v="221.0"/>
        <n v="214.44"/>
        <n v="293.35"/>
        <n v="288.45"/>
        <n v="2590.0"/>
        <n v="30065.0"/>
        <n v="1262.0"/>
        <n v="776195.0"/>
        <n v="445.0"/>
        <n v="342240.0"/>
        <n v="335.0"/>
        <n v="66740.0"/>
        <n v="160245.0"/>
        <n v="1361.0"/>
        <n v="655.0"/>
        <n v="193.982"/>
        <n v="145.0"/>
        <n v="104.35"/>
        <n v="92.25"/>
        <n v="800.0"/>
        <n v="32.8"/>
        <n v="29.54"/>
        <n v="1611.0"/>
        <n v="1423900.0"/>
        <n v="1078250.0"/>
        <n v="159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1" sheet="DB GC"/>
  </cacheSource>
  <cacheFields>
    <cacheField name="Uraian" numFmtId="0">
      <sharedItems>
        <s v="KR"/>
        <s v="KS"/>
      </sharedItems>
    </cacheField>
    <cacheField name="Plant" numFmtId="49">
      <sharedItems>
        <s v="5E06"/>
        <s v="5E13"/>
        <s v="5E01"/>
        <s v="5E02"/>
        <s v="5E03"/>
        <s v="5E04"/>
        <s v="5E07"/>
        <s v="5E08"/>
        <s v="5E09"/>
        <s v="5E11"/>
        <s v="5E14"/>
        <s v="5E15"/>
        <s v="5E16"/>
        <s v="5E17"/>
      </sharedItems>
    </cacheField>
    <cacheField name="Unit Kerja" numFmtId="0">
      <sharedItems>
        <s v="KEBUN SINTANG"/>
        <s v="KEBUN BATULICIN"/>
        <s v="KEBUN GUNUNG MELIAU"/>
        <s v="KEBUN GUNUNG MAS"/>
        <s v="KEBUN SUNGAI DEKAN"/>
        <s v="KEBUN RIMBA BELIAN"/>
        <s v="KEBUN NGABANG"/>
        <s v="KEBUN PARINDU"/>
        <s v="KEBUN KEMBAYAN"/>
        <s v="KEBUN DANAU SALAK"/>
        <s v="KEBUN PAMUKAN"/>
        <s v="KEBUN PELAIHARI"/>
        <s v="KEBUN TABARA"/>
        <s v="KEBUN TAJATI"/>
      </sharedItems>
    </cacheField>
    <cacheField name="Period" numFmtId="0">
      <sharedItems containsSemiMixedTypes="0" containsString="0" containsNumber="1" containsInteger="1">
        <n v="1.0"/>
      </sharedItems>
    </cacheField>
    <cacheField name="GC" numFmtId="0">
      <sharedItems>
        <s v="GC Panen"/>
        <s v="GC Pemel"/>
        <s v="GC Angkut"/>
      </sharedItems>
    </cacheField>
    <cacheField name="Cost Element" numFmtId="0">
      <sharedItems containsSemiMixedTypes="0" containsString="0" containsNumber="1" containsInteger="1">
        <n v="9.0042077E7"/>
        <n v="9.0043001E7"/>
        <n v="9.0043E7"/>
        <n v="5.1100402E7"/>
        <n v="5.1100064E7"/>
        <n v="5.1100441E7"/>
        <n v="5.1100442E7"/>
        <n v="9.0042084E7"/>
        <n v="9.004208E7"/>
        <n v="5.1100401E7"/>
        <n v="5.1100107E7"/>
        <n v="9.0042079E7"/>
        <n v="5.1100062E7"/>
        <n v="5.1100651E7"/>
        <n v="5.1100103E7"/>
        <n v="5.1101056E7"/>
        <n v="5.1100057E7"/>
        <n v="9.0042078E7"/>
      </sharedItems>
    </cacheField>
    <cacheField name="Cost element name" numFmtId="3">
      <sharedItems>
        <s v="Asst. Premi Panen"/>
        <s v="Act Type E-LBR"/>
        <s v="Act Type E-SPV"/>
        <s v="Honorarium/Upah"/>
        <s v="Bi Konsumsi Kebut Op"/>
        <s v="BPJS TK - Jaminan Ke"/>
        <s v="Asst Premi Pnggkutan"/>
        <s v="Ast. Premi Pemel TBM"/>
        <s v="Bi Gaji dan Tunjanga"/>
        <s v="Bi Pemel. Peralatan"/>
        <s v="Asst. Premi Pupuk TM"/>
        <s v="Bi Kons Pers Bhn Kem"/>
        <s v="Bi Pemel. Aset Tanam"/>
        <s v="Bi Pemel. Alat Perta"/>
        <s v="Bi Panen"/>
        <s v="Bi Kons. Pers. Bahan"/>
        <s v="Asst. Premi Pemel TM"/>
      </sharedItems>
    </cacheField>
    <cacheField name="Klasifikasi" numFmtId="3">
      <sharedItems>
        <s v="1. Gaji"/>
        <s v="3. Bahan"/>
        <s v="6.Lain-Lain"/>
      </sharedItems>
    </cacheField>
    <cacheField name="Nilai" numFmtId="3">
      <sharedItems containsSemiMixedTypes="0" containsString="0" containsNumber="1" containsInteger="1">
        <n v="1890000.0"/>
        <n v="1.6354812E7"/>
        <n v="1.9410058E7"/>
        <n v="1558125.0"/>
        <n v="1618482.0"/>
        <n v="764640.0"/>
        <n v="424800.0"/>
        <n v="2.1924449E7"/>
        <n v="2.0942872E7"/>
        <n v="1.17018893E8"/>
        <n v="2.9241773E7"/>
        <n v="3680415.0"/>
        <n v="3.6441924E7"/>
        <n v="2.4048192E7"/>
        <n v="2.2388028E7"/>
        <n v="8.1038945E7"/>
        <n v="2.29144262E8"/>
        <n v="1.36730209E8"/>
        <n v="2120000.0"/>
        <n v="250000.0"/>
        <n v="1455000.0"/>
        <n v="3.18967118E8"/>
        <n v="6.8270436E7"/>
        <n v="4149725.0"/>
        <n v="6120687.0"/>
        <n v="7409124.0"/>
        <n v="2.943346E7"/>
        <n v="1.97436807E8"/>
        <n v="1.24437018E8"/>
        <n v="0.0"/>
        <n v="8930798.0"/>
        <n v="2.55377232E8"/>
        <n v="4.8766789E7"/>
        <n v="67392.0"/>
        <n v="511000.0"/>
        <n v="1.461088E7"/>
        <n v="8.4676025E7"/>
        <n v="2.98416046E8"/>
        <n v="1.32594188E8"/>
        <n v="2.07004971E8"/>
        <n v="2.9082085E7"/>
        <n v="1721000.0"/>
        <n v="1.797003E7"/>
        <n v="1.99405184E8"/>
        <n v="5.2547598E7"/>
        <n v="1800000.0"/>
        <n v="1.06109E7"/>
        <n v="131200.0"/>
        <n v="1.33007682E8"/>
        <n v="2.6862021E7"/>
        <n v="9913000.0"/>
        <n v="2.9782382E7"/>
        <n v="1.78567774E8"/>
        <n v="4.6641496E7"/>
        <n v="2400000.0"/>
        <n v="1.98668184E8"/>
        <n v="3.2378399E7"/>
        <n v="2.08865E7"/>
        <n v="2437690.0"/>
        <n v="6521010.0"/>
        <n v="1.79745E7"/>
        <n v="2.4311282E7"/>
        <n v="1.50103635E8"/>
        <n v="6.6782263E7"/>
        <n v="1200000.0"/>
        <n v="5.4464553E7"/>
        <n v="3.6008693E7"/>
        <n v="4047422.0"/>
        <n v="2.7578E7"/>
        <n v="1.8468592E7"/>
        <n v="1.92881303E8"/>
        <n v="6.825219E7"/>
        <n v="2380000.0"/>
        <n v="1558000.0"/>
        <n v="1.34210095E8"/>
        <n v="2.648197E7"/>
        <n v="1.02425E7"/>
        <n v="1690500.0"/>
        <n v="1.48064717E8"/>
        <n v="8.37289E7"/>
        <n v="5972000.0"/>
        <n v="2.63430677E8"/>
        <n v="1.2295392E7"/>
        <n v="1.6291152E7"/>
        <n v="1.9887521E7"/>
        <n v="814999.0"/>
        <n v="6953988.0"/>
        <n v="7.668696E7"/>
        <n v="3.7783521E7"/>
        <n v="4.4809388E7"/>
        <n v="6476814.0"/>
        <n v="1.6615943E7"/>
        <n v="1.1731E7"/>
        <n v="-862650.0"/>
        <n v="5.6638207E7"/>
        <n v="1.47649409E8"/>
        <n v="1.14000051E8"/>
        <n v="1468100.0"/>
        <n v="405000.0"/>
        <n v="2.546867E7"/>
        <n v="1.5611666E7"/>
        <n v="2.4101944E7"/>
        <n v="3.54281479E8"/>
        <n v="1.03768691E8"/>
        <n v="770000.0"/>
        <n v="2.41906777E8"/>
        <n v="8.285381E7"/>
        <n v="4150000.0"/>
        <n v="823099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Kontrol beban" cacheId="0" dataCaption="" rowGrandTotals="0" colGrandTotals="0" compact="0" compactData="0">
  <location ref="A3:E114" firstHeaderRow="0" firstDataRow="3" firstDataCol="1" rowPageCount="1" colPageCount="1"/>
  <pivotFields>
    <pivotField name="Budidaya" compact="0" outline="0" multipleItemSelectionAllowed="1" showAll="0">
      <items>
        <item x="0"/>
        <item x="1"/>
        <item t="default"/>
      </items>
    </pivotField>
    <pivotField name="Plan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sc." axis="axisRow" compact="0" outline="0" multipleItemSelectionAllowed="1" showAll="0" sortType="ascending">
      <items>
        <item x="1"/>
        <item x="10"/>
        <item x="4"/>
        <item x="3"/>
        <item x="9"/>
        <item x="2"/>
        <item x="7"/>
        <item x="11"/>
        <item x="15"/>
        <item x="8"/>
        <item x="12"/>
        <item x="6"/>
        <item x="0"/>
        <item x="5"/>
        <item x="13"/>
        <item x="14"/>
        <item t="default"/>
      </items>
    </pivotField>
    <pivotField name="Period" axis="axisCol" compact="0" outline="0" multipleItemSelectionAllowed="1" showAll="0" sortType="descending">
      <items>
        <item x="1"/>
        <item x="0"/>
        <item t="default"/>
      </items>
    </pivotField>
    <pivotField name="Aktifi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Job Name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x="12"/>
        <item x="13"/>
        <item x="14"/>
        <item x="15"/>
        <item x="16"/>
        <item x="17"/>
        <item x="18"/>
        <item x="19"/>
        <item x="20"/>
        <item h="1" x="21"/>
        <item h="1"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h="1" x="43"/>
        <item h="1" x="44"/>
        <item x="45"/>
        <item x="46"/>
        <item x="47"/>
        <item x="48"/>
        <item x="49"/>
        <item x="50"/>
        <item x="51"/>
        <item x="52"/>
        <item x="53"/>
        <item h="1" x="54"/>
        <item h="1" x="55"/>
        <item h="1" x="56"/>
        <item h="1" x="57"/>
        <item x="58"/>
        <item x="59"/>
        <item x="60"/>
        <item x="61"/>
        <item x="62"/>
        <item x="63"/>
        <item h="1" x="64"/>
        <item x="65"/>
        <item x="66"/>
        <item x="67"/>
        <item x="68"/>
        <item x="69"/>
        <item h="1" x="70"/>
        <item x="71"/>
        <item x="72"/>
        <item x="73"/>
        <item h="1" x="74"/>
        <item x="75"/>
        <item x="76"/>
        <item x="77"/>
        <item h="1" x="78"/>
        <item x="79"/>
        <item x="80"/>
        <item x="81"/>
        <item h="1" x="82"/>
        <item h="1" x="83"/>
        <item h="1" x="84"/>
        <item h="1" x="85"/>
        <item x="86"/>
        <item x="87"/>
        <item h="1" x="88"/>
        <item h="1" x="89"/>
        <item h="1" x="90"/>
        <item t="default"/>
      </items>
    </pivotField>
    <pivotField name="Cost Element" axis="axisRow" compact="0" outline="0" multipleItemSelectionAllowed="1" showAll="0" sortType="ascending">
      <items>
        <item x="45"/>
        <item x="46"/>
        <item x="11"/>
        <item x="14"/>
        <item x="16"/>
        <item x="39"/>
        <item x="43"/>
        <item x="52"/>
        <item x="27"/>
        <item x="50"/>
        <item x="12"/>
        <item x="40"/>
        <item x="13"/>
        <item x="38"/>
        <item x="32"/>
        <item x="0"/>
        <item x="31"/>
        <item x="49"/>
        <item x="47"/>
        <item x="17"/>
        <item x="3"/>
        <item x="34"/>
        <item x="2"/>
        <item x="33"/>
        <item x="51"/>
        <item x="37"/>
        <item x="35"/>
        <item x="41"/>
        <item x="4"/>
        <item x="18"/>
        <item x="19"/>
        <item x="5"/>
        <item x="10"/>
        <item x="6"/>
        <item x="20"/>
        <item x="7"/>
        <item x="42"/>
        <item x="8"/>
        <item x="9"/>
        <item x="44"/>
        <item x="28"/>
        <item x="21"/>
        <item x="22"/>
        <item x="23"/>
        <item x="36"/>
        <item x="24"/>
        <item x="48"/>
        <item x="25"/>
        <item x="26"/>
        <item x="29"/>
        <item x="1"/>
        <item x="15"/>
        <item x="30"/>
        <item t="default"/>
      </items>
    </pivotField>
    <pivotField name="Cost Element De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 Klasifikasi " axis="axisRow" compact="0" numFmtId="41" outline="0" multipleItemSelectionAllowed="1" showAll="0" sortType="ascending" defaultSubtotal="0">
      <items>
        <item sd="0" x="1"/>
        <item sd="0" x="0"/>
        <item sd="0" x="3"/>
        <item sd="0" x="4"/>
        <item sd="0" x="5"/>
        <item sd="0" x="2"/>
      </items>
    </pivotField>
    <pivotField name=" Nilai " dataField="1" compact="0" numFmtId="4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t="default"/>
      </items>
    </pivotField>
    <pivotField name=" Fisik " compact="0" numFmtId="4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t="default"/>
      </items>
    </pivotField>
  </pivotFields>
  <rowFields>
    <field x="2"/>
    <field x="8"/>
    <field x="6"/>
  </rowFields>
  <colFields>
    <field x="3"/>
  </colFields>
  <pageFields>
    <pageField fld="5"/>
  </pageFields>
  <dataFields>
    <dataField name="SUM of  Nilai " fld="9" baseField="0"/>
  </dataFields>
</pivotTableDefinition>
</file>

<file path=xl/pivotTables/pivotTable2.xml><?xml version="1.0" encoding="utf-8"?>
<pivotTableDefinition xmlns="http://schemas.openxmlformats.org/spreadsheetml/2006/main" name="Pivot Kontrol beban 2" cacheId="1" dataCaption="" compact="0" compactData="0">
  <location ref="J1:N51" firstHeaderRow="0" firstDataRow="3" firstDataCol="1"/>
  <pivotFields>
    <pivotField name="Uraian" compact="0" outline="0" multipleItemSelectionAllowed="1" showAll="0">
      <items>
        <item x="0"/>
        <item x="1"/>
        <item t="default"/>
      </items>
    </pivotField>
    <pivotField name="Plant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t Kerja" axis="axisRow" compact="0" outline="0" multipleItemSelectionAllowed="1" showAll="0" sortType="ascending">
      <items>
        <item x="1"/>
        <item x="9"/>
        <item x="3"/>
        <item x="2"/>
        <item x="8"/>
        <item x="6"/>
        <item x="10"/>
        <item x="7"/>
        <item x="11"/>
        <item x="5"/>
        <item x="0"/>
        <item x="4"/>
        <item x="12"/>
        <item x="13"/>
        <item t="default"/>
      </items>
    </pivotField>
    <pivotField name="Period" axis="axisCol" compact="0" outline="0" multipleItemSelectionAllowed="1" showAll="0" sortType="descending">
      <items>
        <item x="0"/>
        <item t="default"/>
      </items>
    </pivotField>
    <pivotField name="GC" compact="0" outline="0" multipleItemSelectionAllowed="1" showAll="0">
      <items>
        <item x="0"/>
        <item x="1"/>
        <item x="2"/>
        <item t="default"/>
      </items>
    </pivotField>
    <pivotField name="Cost Element" axis="axisRow" compact="0" outline="0" multipleItemSelectionAllowed="1" showAll="0" sortType="ascending">
      <items>
        <item x="16"/>
        <item x="12"/>
        <item x="4"/>
        <item x="14"/>
        <item x="10"/>
        <item x="9"/>
        <item x="3"/>
        <item x="5"/>
        <item x="6"/>
        <item x="13"/>
        <item x="15"/>
        <item x="0"/>
        <item x="17"/>
        <item x="11"/>
        <item x="8"/>
        <item x="7"/>
        <item x="2"/>
        <item x="1"/>
        <item t="default"/>
      </items>
    </pivotField>
    <pivotField name="Cost element nam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Klasifikasi" axis="axisRow" compact="0" numFmtId="3" outline="0" multipleItemSelectionAllowed="1" showAll="0" sortType="ascending" defaultSubtotal="0">
      <items>
        <item sd="0" x="0"/>
        <item sd="0" x="1"/>
        <item sd="0" x="2"/>
      </items>
    </pivotField>
    <pivotField name="Nilai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</pivotFields>
  <rowFields>
    <field x="2"/>
    <field x="7"/>
    <field x="5"/>
  </rowFields>
  <colFields>
    <field x="3"/>
  </colFields>
  <dataFields>
    <dataField name="SUM of Nilai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td9GMFHmk9uSrXHMm8zJ1ZuA5NXpbX8xQZvxgQABig/edit?usp=drive_link" TargetMode="External"/><Relationship Id="rId2" Type="http://schemas.openxmlformats.org/officeDocument/2006/relationships/hyperlink" Target="https://docs.google.com/spreadsheets/d/1UE2rg9N3L5rFUFUCKmnNuEYAyAdid4NYKuf2qY1qnYE/edit?gid=692790152" TargetMode="External"/><Relationship Id="rId3" Type="http://schemas.openxmlformats.org/officeDocument/2006/relationships/hyperlink" Target="https://docs.google.com/spreadsheets/d/1qtFL5SyyqnNG6EswosriKe-kGS-oARumNd8SptCHQIE/edit?gid=892108356" TargetMode="External"/><Relationship Id="rId4" Type="http://schemas.openxmlformats.org/officeDocument/2006/relationships/hyperlink" Target="https://docs.google.com/spreadsheets/d/1htWs19S6eBPTHl092akHxzpoExKsaI1vFmLgmNIPgYs/edit" TargetMode="External"/><Relationship Id="rId11" Type="http://schemas.openxmlformats.org/officeDocument/2006/relationships/drawing" Target="../drawings/drawing25.xml"/><Relationship Id="rId10" Type="http://schemas.openxmlformats.org/officeDocument/2006/relationships/hyperlink" Target="https://docs.google.com/spreadsheets/d/1zixMo410NFFOxe72MUOU515KQfhrL2rXRRQWvG-KVBI/edit?usp=drive_link" TargetMode="External"/><Relationship Id="rId9" Type="http://schemas.openxmlformats.org/officeDocument/2006/relationships/hyperlink" Target="https://docs.google.com/spreadsheets/d/1n4u_iuG-NnzLybkbt7dfsFwhSr7T_cgnFsKm8rCMifc/edit?gid=999903761" TargetMode="External"/><Relationship Id="rId5" Type="http://schemas.openxmlformats.org/officeDocument/2006/relationships/hyperlink" Target="https://docs.google.com/spreadsheets/d/1K8FND_8hY8X09IHzXr6x_2InJQsSanFUR_uvSvbYTxQ/edit?usp=drive_link" TargetMode="External"/><Relationship Id="rId6" Type="http://schemas.openxmlformats.org/officeDocument/2006/relationships/hyperlink" Target="https://docs.google.com/spreadsheets/d/15l5SYxNuyJUaZKBXJpeV5xx28zSw5p89BuB5DffBJwg/edit?gid=1994360190" TargetMode="External"/><Relationship Id="rId7" Type="http://schemas.openxmlformats.org/officeDocument/2006/relationships/hyperlink" Target="https://docs.google.com/spreadsheets/d/1V1XN8CxxTe88QOqJN31FTbr3PsxjUM9n5iRRvkFX8GA/edit?usp=sharing" TargetMode="External"/><Relationship Id="rId8" Type="http://schemas.openxmlformats.org/officeDocument/2006/relationships/hyperlink" Target="https://docs.google.com/spreadsheets/d/1JHgrU-jye-n5m2ybeA4BePvqJPIq65BGZcS3ar6R658/edit?usp=drive_link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5.57"/>
    <col customWidth="1" min="3" max="3" width="22.86"/>
    <col customWidth="1" min="4" max="4" width="6.86"/>
    <col customWidth="1" min="5" max="5" width="8.43"/>
    <col customWidth="1" min="6" max="6" width="46.29"/>
    <col customWidth="1" min="7" max="7" width="12.57"/>
    <col customWidth="1" min="8" max="8" width="39.86"/>
    <col customWidth="1" min="9" max="9" width="11.29"/>
    <col customWidth="1" min="10" max="10" width="14.43"/>
    <col customWidth="1" min="11" max="11" width="10.86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</row>
    <row r="2">
      <c r="A2" s="5" t="s">
        <v>11</v>
      </c>
      <c r="B2" s="6" t="s">
        <v>12</v>
      </c>
      <c r="C2" s="7" t="s">
        <v>13</v>
      </c>
      <c r="D2" s="8">
        <v>1.0</v>
      </c>
      <c r="E2" s="7" t="s">
        <v>14</v>
      </c>
      <c r="F2" s="5" t="s">
        <v>15</v>
      </c>
      <c r="G2" s="9">
        <v>5.1101056E7</v>
      </c>
      <c r="H2" s="5" t="s">
        <v>16</v>
      </c>
      <c r="I2" s="10" t="s">
        <v>17</v>
      </c>
      <c r="J2" s="11">
        <v>4158000.0</v>
      </c>
      <c r="K2" s="11">
        <v>594.0</v>
      </c>
    </row>
    <row r="3">
      <c r="A3" s="5" t="s">
        <v>11</v>
      </c>
      <c r="B3" s="6" t="s">
        <v>12</v>
      </c>
      <c r="C3" s="7" t="s">
        <v>13</v>
      </c>
      <c r="D3" s="8">
        <v>1.0</v>
      </c>
      <c r="E3" s="7" t="s">
        <v>14</v>
      </c>
      <c r="F3" s="5" t="s">
        <v>15</v>
      </c>
      <c r="G3" s="9">
        <v>9.0043001E7</v>
      </c>
      <c r="H3" s="5" t="s">
        <v>18</v>
      </c>
      <c r="I3" s="10" t="s">
        <v>19</v>
      </c>
      <c r="J3" s="11">
        <v>2.8453544E7</v>
      </c>
      <c r="K3" s="11">
        <v>184.0</v>
      </c>
    </row>
    <row r="4">
      <c r="A4" s="5" t="s">
        <v>11</v>
      </c>
      <c r="B4" s="6" t="s">
        <v>12</v>
      </c>
      <c r="C4" s="7" t="s">
        <v>13</v>
      </c>
      <c r="D4" s="8">
        <v>1.0</v>
      </c>
      <c r="E4" s="7" t="s">
        <v>20</v>
      </c>
      <c r="F4" s="7"/>
      <c r="G4" s="9">
        <v>9.0042014E7</v>
      </c>
      <c r="H4" s="5" t="s">
        <v>21</v>
      </c>
      <c r="I4" s="10" t="s">
        <v>19</v>
      </c>
      <c r="J4" s="11">
        <v>3.9212995E7</v>
      </c>
      <c r="K4" s="11">
        <v>0.0</v>
      </c>
    </row>
    <row r="5">
      <c r="A5" s="5" t="s">
        <v>11</v>
      </c>
      <c r="B5" s="6" t="s">
        <v>12</v>
      </c>
      <c r="C5" s="7" t="s">
        <v>13</v>
      </c>
      <c r="D5" s="8">
        <v>1.0</v>
      </c>
      <c r="E5" s="7" t="s">
        <v>22</v>
      </c>
      <c r="F5" s="7"/>
      <c r="G5" s="9">
        <v>9.0042012E7</v>
      </c>
      <c r="H5" s="5" t="s">
        <v>23</v>
      </c>
      <c r="I5" s="10" t="s">
        <v>19</v>
      </c>
      <c r="J5" s="11">
        <v>2.3330439E7</v>
      </c>
      <c r="K5" s="11">
        <v>0.0</v>
      </c>
    </row>
    <row r="6">
      <c r="A6" s="5" t="s">
        <v>11</v>
      </c>
      <c r="B6" s="6" t="s">
        <v>12</v>
      </c>
      <c r="C6" s="7" t="s">
        <v>13</v>
      </c>
      <c r="D6" s="8">
        <v>1.0</v>
      </c>
      <c r="E6" s="7" t="s">
        <v>22</v>
      </c>
      <c r="F6" s="7"/>
      <c r="G6" s="9">
        <v>9.0042121E7</v>
      </c>
      <c r="H6" s="5" t="s">
        <v>24</v>
      </c>
      <c r="I6" s="10" t="s">
        <v>25</v>
      </c>
      <c r="J6" s="11">
        <v>4.0967991E7</v>
      </c>
      <c r="K6" s="11">
        <v>0.0</v>
      </c>
    </row>
    <row r="7">
      <c r="A7" s="5" t="s">
        <v>11</v>
      </c>
      <c r="B7" s="6" t="s">
        <v>12</v>
      </c>
      <c r="C7" s="7" t="s">
        <v>13</v>
      </c>
      <c r="D7" s="8">
        <v>1.0</v>
      </c>
      <c r="E7" s="7" t="s">
        <v>22</v>
      </c>
      <c r="F7" s="7"/>
      <c r="G7" s="9">
        <v>9.0042125E7</v>
      </c>
      <c r="H7" s="5" t="s">
        <v>26</v>
      </c>
      <c r="I7" s="10" t="s">
        <v>25</v>
      </c>
      <c r="J7" s="11">
        <v>1.1116981E7</v>
      </c>
      <c r="K7" s="11">
        <v>0.0</v>
      </c>
    </row>
    <row r="8">
      <c r="A8" s="5" t="s">
        <v>11</v>
      </c>
      <c r="B8" s="6" t="s">
        <v>12</v>
      </c>
      <c r="C8" s="7" t="s">
        <v>13</v>
      </c>
      <c r="D8" s="8">
        <v>1.0</v>
      </c>
      <c r="E8" s="7" t="s">
        <v>22</v>
      </c>
      <c r="F8" s="7"/>
      <c r="G8" s="9">
        <v>9.0042127E7</v>
      </c>
      <c r="H8" s="5" t="s">
        <v>27</v>
      </c>
      <c r="I8" s="10" t="s">
        <v>25</v>
      </c>
      <c r="J8" s="11">
        <v>3175000.0</v>
      </c>
      <c r="K8" s="11">
        <v>0.0</v>
      </c>
    </row>
    <row r="9">
      <c r="A9" s="5" t="s">
        <v>11</v>
      </c>
      <c r="B9" s="6" t="s">
        <v>12</v>
      </c>
      <c r="C9" s="7" t="s">
        <v>13</v>
      </c>
      <c r="D9" s="8">
        <v>1.0</v>
      </c>
      <c r="E9" s="7" t="s">
        <v>22</v>
      </c>
      <c r="F9" s="7"/>
      <c r="G9" s="9">
        <v>9.0042132E7</v>
      </c>
      <c r="H9" s="5" t="s">
        <v>28</v>
      </c>
      <c r="I9" s="10" t="s">
        <v>25</v>
      </c>
      <c r="J9" s="11">
        <v>373000.0</v>
      </c>
      <c r="K9" s="11">
        <v>0.0</v>
      </c>
    </row>
    <row r="10">
      <c r="A10" s="5" t="s">
        <v>11</v>
      </c>
      <c r="B10" s="6" t="s">
        <v>12</v>
      </c>
      <c r="C10" s="7" t="s">
        <v>13</v>
      </c>
      <c r="D10" s="8">
        <v>1.0</v>
      </c>
      <c r="E10" s="7" t="s">
        <v>22</v>
      </c>
      <c r="F10" s="7"/>
      <c r="G10" s="9">
        <v>9.0042134E7</v>
      </c>
      <c r="H10" s="5" t="s">
        <v>29</v>
      </c>
      <c r="I10" s="10" t="s">
        <v>25</v>
      </c>
      <c r="J10" s="11">
        <v>500000.0</v>
      </c>
      <c r="K10" s="11">
        <v>0.0</v>
      </c>
    </row>
    <row r="11">
      <c r="A11" s="5" t="s">
        <v>11</v>
      </c>
      <c r="B11" s="6" t="s">
        <v>12</v>
      </c>
      <c r="C11" s="7" t="s">
        <v>13</v>
      </c>
      <c r="D11" s="8">
        <v>1.0</v>
      </c>
      <c r="E11" s="7" t="s">
        <v>22</v>
      </c>
      <c r="F11" s="7"/>
      <c r="G11" s="9">
        <v>9.0042135E7</v>
      </c>
      <c r="H11" s="5" t="s">
        <v>30</v>
      </c>
      <c r="I11" s="10" t="s">
        <v>25</v>
      </c>
      <c r="J11" s="11">
        <v>5468500.0</v>
      </c>
      <c r="K11" s="11">
        <v>0.0</v>
      </c>
    </row>
    <row r="12">
      <c r="A12" s="5" t="s">
        <v>11</v>
      </c>
      <c r="B12" s="6" t="s">
        <v>12</v>
      </c>
      <c r="C12" s="7" t="s">
        <v>13</v>
      </c>
      <c r="D12" s="8">
        <v>1.0</v>
      </c>
      <c r="E12" s="7" t="s">
        <v>22</v>
      </c>
      <c r="F12" s="7"/>
      <c r="G12" s="9">
        <v>9.0042126E7</v>
      </c>
      <c r="H12" s="5" t="s">
        <v>31</v>
      </c>
      <c r="I12" s="10" t="s">
        <v>25</v>
      </c>
      <c r="J12" s="11">
        <v>6766136.0</v>
      </c>
      <c r="K12" s="11">
        <v>0.0</v>
      </c>
    </row>
    <row r="13">
      <c r="A13" s="5" t="s">
        <v>11</v>
      </c>
      <c r="B13" s="6" t="s">
        <v>32</v>
      </c>
      <c r="C13" s="7" t="s">
        <v>33</v>
      </c>
      <c r="D13" s="8">
        <v>1.0</v>
      </c>
      <c r="E13" s="7" t="s">
        <v>34</v>
      </c>
      <c r="F13" s="5" t="s">
        <v>35</v>
      </c>
      <c r="G13" s="9">
        <v>5.1100058E7</v>
      </c>
      <c r="H13" s="5" t="s">
        <v>36</v>
      </c>
      <c r="I13" s="10" t="s">
        <v>37</v>
      </c>
      <c r="J13" s="11">
        <v>1.7619625E7</v>
      </c>
      <c r="K13" s="11">
        <v>265.755</v>
      </c>
    </row>
    <row r="14">
      <c r="A14" s="5" t="s">
        <v>11</v>
      </c>
      <c r="B14" s="6" t="s">
        <v>32</v>
      </c>
      <c r="C14" s="7" t="s">
        <v>33</v>
      </c>
      <c r="D14" s="8">
        <v>1.0</v>
      </c>
      <c r="E14" s="7" t="s">
        <v>34</v>
      </c>
      <c r="F14" s="5" t="s">
        <v>35</v>
      </c>
      <c r="G14" s="9">
        <v>5.1100651E7</v>
      </c>
      <c r="H14" s="5" t="s">
        <v>38</v>
      </c>
      <c r="I14" s="10" t="s">
        <v>25</v>
      </c>
      <c r="J14" s="11">
        <v>0.0</v>
      </c>
      <c r="K14" s="11">
        <v>0.0</v>
      </c>
    </row>
    <row r="15">
      <c r="A15" s="5" t="s">
        <v>11</v>
      </c>
      <c r="B15" s="6" t="s">
        <v>32</v>
      </c>
      <c r="C15" s="7" t="s">
        <v>33</v>
      </c>
      <c r="D15" s="8">
        <v>1.0</v>
      </c>
      <c r="E15" s="7" t="s">
        <v>34</v>
      </c>
      <c r="F15" s="5" t="s">
        <v>35</v>
      </c>
      <c r="G15" s="9">
        <v>5.1100774E7</v>
      </c>
      <c r="H15" s="5" t="s">
        <v>39</v>
      </c>
      <c r="I15" s="10" t="s">
        <v>17</v>
      </c>
      <c r="J15" s="11">
        <v>2.24903E7</v>
      </c>
      <c r="K15" s="11">
        <v>332.5</v>
      </c>
    </row>
    <row r="16">
      <c r="A16" s="5" t="s">
        <v>11</v>
      </c>
      <c r="B16" s="6" t="s">
        <v>32</v>
      </c>
      <c r="C16" s="7" t="s">
        <v>33</v>
      </c>
      <c r="D16" s="8">
        <v>1.0</v>
      </c>
      <c r="E16" s="7" t="s">
        <v>40</v>
      </c>
      <c r="F16" s="5" t="s">
        <v>41</v>
      </c>
      <c r="G16" s="9">
        <v>5.1100061E7</v>
      </c>
      <c r="H16" s="5" t="s">
        <v>42</v>
      </c>
      <c r="I16" s="10" t="s">
        <v>37</v>
      </c>
      <c r="J16" s="11">
        <v>3830989.0</v>
      </c>
      <c r="K16" s="11">
        <v>177.0</v>
      </c>
    </row>
    <row r="17">
      <c r="A17" s="5" t="s">
        <v>11</v>
      </c>
      <c r="B17" s="6" t="s">
        <v>32</v>
      </c>
      <c r="C17" s="7" t="s">
        <v>33</v>
      </c>
      <c r="D17" s="8">
        <v>1.0</v>
      </c>
      <c r="E17" s="7" t="s">
        <v>43</v>
      </c>
      <c r="F17" s="5" t="s">
        <v>44</v>
      </c>
      <c r="G17" s="9">
        <v>5.1101056E7</v>
      </c>
      <c r="H17" s="5" t="s">
        <v>16</v>
      </c>
      <c r="I17" s="10" t="s">
        <v>17</v>
      </c>
      <c r="J17" s="11">
        <v>2.90911375E8</v>
      </c>
      <c r="K17" s="11">
        <v>54040.5</v>
      </c>
    </row>
    <row r="18">
      <c r="A18" s="5" t="s">
        <v>11</v>
      </c>
      <c r="B18" s="6" t="s">
        <v>32</v>
      </c>
      <c r="C18" s="7" t="s">
        <v>33</v>
      </c>
      <c r="D18" s="8">
        <v>1.0</v>
      </c>
      <c r="E18" s="7" t="s">
        <v>43</v>
      </c>
      <c r="F18" s="5" t="s">
        <v>44</v>
      </c>
      <c r="G18" s="9">
        <v>9.0043001E7</v>
      </c>
      <c r="H18" s="5" t="s">
        <v>18</v>
      </c>
      <c r="I18" s="10" t="s">
        <v>19</v>
      </c>
      <c r="J18" s="11">
        <v>2.046279E7</v>
      </c>
      <c r="K18" s="11">
        <v>110.5</v>
      </c>
    </row>
    <row r="19">
      <c r="A19" s="5" t="s">
        <v>11</v>
      </c>
      <c r="B19" s="6" t="s">
        <v>32</v>
      </c>
      <c r="C19" s="7" t="s">
        <v>33</v>
      </c>
      <c r="D19" s="8">
        <v>1.0</v>
      </c>
      <c r="E19" s="7" t="s">
        <v>14</v>
      </c>
      <c r="F19" s="5" t="s">
        <v>15</v>
      </c>
      <c r="G19" s="9">
        <v>5.1101056E7</v>
      </c>
      <c r="H19" s="5" t="s">
        <v>16</v>
      </c>
      <c r="I19" s="10" t="s">
        <v>17</v>
      </c>
      <c r="J19" s="11">
        <v>9764000.0</v>
      </c>
      <c r="K19" s="11">
        <v>1376.0</v>
      </c>
    </row>
    <row r="20">
      <c r="A20" s="5" t="s">
        <v>11</v>
      </c>
      <c r="B20" s="6" t="s">
        <v>32</v>
      </c>
      <c r="C20" s="7" t="s">
        <v>33</v>
      </c>
      <c r="D20" s="8">
        <v>1.0</v>
      </c>
      <c r="E20" s="7" t="s">
        <v>45</v>
      </c>
      <c r="F20" s="5" t="s">
        <v>46</v>
      </c>
      <c r="G20" s="9">
        <v>5.1101056E7</v>
      </c>
      <c r="H20" s="5" t="s">
        <v>16</v>
      </c>
      <c r="I20" s="10" t="s">
        <v>17</v>
      </c>
      <c r="J20" s="11">
        <v>1.1165736E7</v>
      </c>
      <c r="K20" s="11">
        <v>11817.45</v>
      </c>
    </row>
    <row r="21">
      <c r="A21" s="5" t="s">
        <v>11</v>
      </c>
      <c r="B21" s="6" t="s">
        <v>32</v>
      </c>
      <c r="C21" s="7" t="s">
        <v>33</v>
      </c>
      <c r="D21" s="8">
        <v>1.0</v>
      </c>
      <c r="E21" s="7" t="s">
        <v>45</v>
      </c>
      <c r="F21" s="5" t="s">
        <v>46</v>
      </c>
      <c r="G21" s="9">
        <v>9.0043001E7</v>
      </c>
      <c r="H21" s="5" t="s">
        <v>18</v>
      </c>
      <c r="I21" s="10" t="s">
        <v>19</v>
      </c>
      <c r="J21" s="11">
        <v>6811521.0</v>
      </c>
      <c r="K21" s="11">
        <v>37.5</v>
      </c>
    </row>
    <row r="22">
      <c r="A22" s="5" t="s">
        <v>11</v>
      </c>
      <c r="B22" s="6" t="s">
        <v>32</v>
      </c>
      <c r="C22" s="7" t="s">
        <v>33</v>
      </c>
      <c r="D22" s="8">
        <v>1.0</v>
      </c>
      <c r="E22" s="7" t="s">
        <v>47</v>
      </c>
      <c r="F22" s="5" t="s">
        <v>48</v>
      </c>
      <c r="G22" s="9">
        <v>9.0043002E7</v>
      </c>
      <c r="H22" s="5" t="s">
        <v>49</v>
      </c>
      <c r="I22" s="10" t="s">
        <v>50</v>
      </c>
      <c r="J22" s="11">
        <v>2.9406569E7</v>
      </c>
      <c r="K22" s="11">
        <v>2495.0</v>
      </c>
    </row>
    <row r="23">
      <c r="A23" s="5" t="s">
        <v>11</v>
      </c>
      <c r="B23" s="6" t="s">
        <v>32</v>
      </c>
      <c r="C23" s="7" t="s">
        <v>33</v>
      </c>
      <c r="D23" s="8">
        <v>1.0</v>
      </c>
      <c r="E23" s="7" t="s">
        <v>51</v>
      </c>
      <c r="F23" s="5" t="s">
        <v>52</v>
      </c>
      <c r="G23" s="9">
        <v>5.1100064E7</v>
      </c>
      <c r="H23" s="5" t="s">
        <v>53</v>
      </c>
      <c r="I23" s="10" t="s">
        <v>37</v>
      </c>
      <c r="J23" s="11">
        <v>38661.0</v>
      </c>
      <c r="K23" s="11">
        <v>300.0</v>
      </c>
    </row>
    <row r="24">
      <c r="A24" s="5" t="s">
        <v>11</v>
      </c>
      <c r="B24" s="6" t="s">
        <v>32</v>
      </c>
      <c r="C24" s="7" t="s">
        <v>33</v>
      </c>
      <c r="D24" s="8">
        <v>1.0</v>
      </c>
      <c r="E24" s="7" t="s">
        <v>54</v>
      </c>
      <c r="F24" s="7"/>
      <c r="G24" s="9">
        <v>9.0042011E7</v>
      </c>
      <c r="H24" s="5" t="s">
        <v>55</v>
      </c>
      <c r="I24" s="10" t="s">
        <v>19</v>
      </c>
      <c r="J24" s="11">
        <v>2.9241773E7</v>
      </c>
      <c r="K24" s="11">
        <v>0.0</v>
      </c>
    </row>
    <row r="25">
      <c r="A25" s="5" t="s">
        <v>11</v>
      </c>
      <c r="B25" s="6" t="s">
        <v>32</v>
      </c>
      <c r="C25" s="7" t="s">
        <v>33</v>
      </c>
      <c r="D25" s="8">
        <v>1.0</v>
      </c>
      <c r="E25" s="7" t="s">
        <v>20</v>
      </c>
      <c r="F25" s="7"/>
      <c r="G25" s="9">
        <v>9.0042014E7</v>
      </c>
      <c r="H25" s="5" t="s">
        <v>21</v>
      </c>
      <c r="I25" s="10" t="s">
        <v>19</v>
      </c>
      <c r="J25" s="11">
        <v>1.62694136E8</v>
      </c>
      <c r="K25" s="11">
        <v>0.0</v>
      </c>
    </row>
    <row r="26">
      <c r="A26" s="5" t="s">
        <v>11</v>
      </c>
      <c r="B26" s="6" t="s">
        <v>32</v>
      </c>
      <c r="C26" s="7" t="s">
        <v>33</v>
      </c>
      <c r="D26" s="8">
        <v>1.0</v>
      </c>
      <c r="E26" s="7" t="s">
        <v>22</v>
      </c>
      <c r="F26" s="7"/>
      <c r="G26" s="9">
        <v>9.0042012E7</v>
      </c>
      <c r="H26" s="5" t="s">
        <v>23</v>
      </c>
      <c r="I26" s="10" t="s">
        <v>19</v>
      </c>
      <c r="J26" s="11">
        <v>6.7520241E7</v>
      </c>
      <c r="K26" s="11">
        <v>0.0</v>
      </c>
    </row>
    <row r="27">
      <c r="A27" s="5" t="s">
        <v>11</v>
      </c>
      <c r="B27" s="6" t="s">
        <v>32</v>
      </c>
      <c r="C27" s="7" t="s">
        <v>33</v>
      </c>
      <c r="D27" s="8">
        <v>1.0</v>
      </c>
      <c r="E27" s="7" t="s">
        <v>22</v>
      </c>
      <c r="F27" s="7"/>
      <c r="G27" s="9">
        <v>9.0042121E7</v>
      </c>
      <c r="H27" s="5" t="s">
        <v>24</v>
      </c>
      <c r="I27" s="10" t="s">
        <v>25</v>
      </c>
      <c r="J27" s="11">
        <v>8.1268406E7</v>
      </c>
      <c r="K27" s="11">
        <v>0.0</v>
      </c>
    </row>
    <row r="28">
      <c r="A28" s="5" t="s">
        <v>11</v>
      </c>
      <c r="B28" s="6" t="s">
        <v>32</v>
      </c>
      <c r="C28" s="7" t="s">
        <v>33</v>
      </c>
      <c r="D28" s="8">
        <v>1.0</v>
      </c>
      <c r="E28" s="7" t="s">
        <v>22</v>
      </c>
      <c r="F28" s="7"/>
      <c r="G28" s="9">
        <v>9.0042122E7</v>
      </c>
      <c r="H28" s="5" t="s">
        <v>56</v>
      </c>
      <c r="I28" s="10" t="s">
        <v>25</v>
      </c>
      <c r="J28" s="11">
        <v>1048000.0</v>
      </c>
      <c r="K28" s="11">
        <v>0.0</v>
      </c>
    </row>
    <row r="29">
      <c r="A29" s="5" t="s">
        <v>11</v>
      </c>
      <c r="B29" s="6" t="s">
        <v>32</v>
      </c>
      <c r="C29" s="7" t="s">
        <v>33</v>
      </c>
      <c r="D29" s="8">
        <v>1.0</v>
      </c>
      <c r="E29" s="7" t="s">
        <v>22</v>
      </c>
      <c r="F29" s="7"/>
      <c r="G29" s="9">
        <v>9.0042124E7</v>
      </c>
      <c r="H29" s="5" t="s">
        <v>57</v>
      </c>
      <c r="I29" s="10" t="s">
        <v>25</v>
      </c>
      <c r="J29" s="11">
        <v>1.3432E7</v>
      </c>
      <c r="K29" s="11">
        <v>0.0</v>
      </c>
    </row>
    <row r="30">
      <c r="A30" s="5" t="s">
        <v>11</v>
      </c>
      <c r="B30" s="6" t="s">
        <v>32</v>
      </c>
      <c r="C30" s="7" t="s">
        <v>33</v>
      </c>
      <c r="D30" s="8">
        <v>1.0</v>
      </c>
      <c r="E30" s="7" t="s">
        <v>22</v>
      </c>
      <c r="F30" s="7"/>
      <c r="G30" s="9">
        <v>9.0042125E7</v>
      </c>
      <c r="H30" s="5" t="s">
        <v>26</v>
      </c>
      <c r="I30" s="10" t="s">
        <v>25</v>
      </c>
      <c r="J30" s="11">
        <v>4.7163768E7</v>
      </c>
      <c r="K30" s="11">
        <v>0.0</v>
      </c>
    </row>
    <row r="31">
      <c r="A31" s="5" t="s">
        <v>11</v>
      </c>
      <c r="B31" s="6" t="s">
        <v>32</v>
      </c>
      <c r="C31" s="7" t="s">
        <v>33</v>
      </c>
      <c r="D31" s="8">
        <v>1.0</v>
      </c>
      <c r="E31" s="7" t="s">
        <v>22</v>
      </c>
      <c r="F31" s="7"/>
      <c r="G31" s="9">
        <v>9.0042127E7</v>
      </c>
      <c r="H31" s="5" t="s">
        <v>27</v>
      </c>
      <c r="I31" s="10" t="s">
        <v>25</v>
      </c>
      <c r="J31" s="11">
        <v>1.5608302E7</v>
      </c>
      <c r="K31" s="11">
        <v>0.0</v>
      </c>
    </row>
    <row r="32">
      <c r="A32" s="5" t="s">
        <v>11</v>
      </c>
      <c r="B32" s="6" t="s">
        <v>32</v>
      </c>
      <c r="C32" s="7" t="s">
        <v>33</v>
      </c>
      <c r="D32" s="8">
        <v>1.0</v>
      </c>
      <c r="E32" s="7" t="s">
        <v>22</v>
      </c>
      <c r="F32" s="7"/>
      <c r="G32" s="9">
        <v>9.0042128E7</v>
      </c>
      <c r="H32" s="5" t="s">
        <v>58</v>
      </c>
      <c r="I32" s="10" t="s">
        <v>25</v>
      </c>
      <c r="J32" s="11">
        <v>748000.0</v>
      </c>
      <c r="K32" s="11">
        <v>0.0</v>
      </c>
    </row>
    <row r="33">
      <c r="A33" s="5" t="s">
        <v>11</v>
      </c>
      <c r="B33" s="6" t="s">
        <v>32</v>
      </c>
      <c r="C33" s="7" t="s">
        <v>33</v>
      </c>
      <c r="D33" s="8">
        <v>1.0</v>
      </c>
      <c r="E33" s="7" t="s">
        <v>22</v>
      </c>
      <c r="F33" s="7"/>
      <c r="G33" s="9">
        <v>9.0042132E7</v>
      </c>
      <c r="H33" s="5" t="s">
        <v>28</v>
      </c>
      <c r="I33" s="10" t="s">
        <v>25</v>
      </c>
      <c r="J33" s="11">
        <v>6413600.0</v>
      </c>
      <c r="K33" s="11">
        <v>0.0</v>
      </c>
    </row>
    <row r="34">
      <c r="A34" s="5" t="s">
        <v>11</v>
      </c>
      <c r="B34" s="6" t="s">
        <v>32</v>
      </c>
      <c r="C34" s="7" t="s">
        <v>33</v>
      </c>
      <c r="D34" s="8">
        <v>1.0</v>
      </c>
      <c r="E34" s="7" t="s">
        <v>22</v>
      </c>
      <c r="F34" s="7"/>
      <c r="G34" s="9">
        <v>9.0042134E7</v>
      </c>
      <c r="H34" s="5" t="s">
        <v>29</v>
      </c>
      <c r="I34" s="10" t="s">
        <v>25</v>
      </c>
      <c r="J34" s="11">
        <v>1617500.0</v>
      </c>
      <c r="K34" s="11">
        <v>0.0</v>
      </c>
    </row>
    <row r="35">
      <c r="A35" s="5" t="s">
        <v>11</v>
      </c>
      <c r="B35" s="6" t="s">
        <v>32</v>
      </c>
      <c r="C35" s="7" t="s">
        <v>33</v>
      </c>
      <c r="D35" s="8">
        <v>1.0</v>
      </c>
      <c r="E35" s="7" t="s">
        <v>22</v>
      </c>
      <c r="F35" s="7"/>
      <c r="G35" s="9">
        <v>9.0042135E7</v>
      </c>
      <c r="H35" s="5" t="s">
        <v>30</v>
      </c>
      <c r="I35" s="10" t="s">
        <v>25</v>
      </c>
      <c r="J35" s="11">
        <v>7.1515047E7</v>
      </c>
      <c r="K35" s="11">
        <v>0.0</v>
      </c>
    </row>
    <row r="36">
      <c r="A36" s="5" t="s">
        <v>11</v>
      </c>
      <c r="B36" s="6" t="s">
        <v>32</v>
      </c>
      <c r="C36" s="7" t="s">
        <v>33</v>
      </c>
      <c r="D36" s="8">
        <v>1.0</v>
      </c>
      <c r="E36" s="7" t="s">
        <v>22</v>
      </c>
      <c r="F36" s="7"/>
      <c r="G36" s="9">
        <v>9.0042201E7</v>
      </c>
      <c r="H36" s="5" t="s">
        <v>59</v>
      </c>
      <c r="I36" s="10" t="s">
        <v>60</v>
      </c>
      <c r="J36" s="11">
        <v>2.11541935E8</v>
      </c>
      <c r="K36" s="11">
        <v>0.0</v>
      </c>
    </row>
    <row r="37">
      <c r="A37" s="5" t="s">
        <v>11</v>
      </c>
      <c r="B37" s="6" t="s">
        <v>32</v>
      </c>
      <c r="C37" s="7" t="s">
        <v>33</v>
      </c>
      <c r="D37" s="8">
        <v>1.0</v>
      </c>
      <c r="E37" s="7" t="s">
        <v>22</v>
      </c>
      <c r="F37" s="7"/>
      <c r="G37" s="9">
        <v>9.0042223E7</v>
      </c>
      <c r="H37" s="5" t="s">
        <v>61</v>
      </c>
      <c r="I37" s="10" t="s">
        <v>60</v>
      </c>
      <c r="J37" s="11">
        <v>2.0819374E7</v>
      </c>
      <c r="K37" s="11">
        <v>0.0</v>
      </c>
    </row>
    <row r="38">
      <c r="A38" s="5" t="s">
        <v>11</v>
      </c>
      <c r="B38" s="6" t="s">
        <v>32</v>
      </c>
      <c r="C38" s="7" t="s">
        <v>33</v>
      </c>
      <c r="D38" s="8">
        <v>1.0</v>
      </c>
      <c r="E38" s="7" t="s">
        <v>22</v>
      </c>
      <c r="F38" s="7"/>
      <c r="G38" s="9">
        <v>9.0042224E7</v>
      </c>
      <c r="H38" s="5" t="s">
        <v>62</v>
      </c>
      <c r="I38" s="10" t="s">
        <v>60</v>
      </c>
      <c r="J38" s="11">
        <v>1773341.0</v>
      </c>
      <c r="K38" s="11">
        <v>0.0</v>
      </c>
    </row>
    <row r="39">
      <c r="A39" s="5" t="s">
        <v>11</v>
      </c>
      <c r="B39" s="6" t="s">
        <v>32</v>
      </c>
      <c r="C39" s="7" t="s">
        <v>33</v>
      </c>
      <c r="D39" s="8">
        <v>1.0</v>
      </c>
      <c r="E39" s="7" t="s">
        <v>22</v>
      </c>
      <c r="F39" s="7"/>
      <c r="G39" s="9">
        <v>9.0042226E7</v>
      </c>
      <c r="H39" s="5" t="s">
        <v>63</v>
      </c>
      <c r="I39" s="10" t="s">
        <v>60</v>
      </c>
      <c r="J39" s="11">
        <v>133333.0</v>
      </c>
      <c r="K39" s="11">
        <v>0.0</v>
      </c>
    </row>
    <row r="40">
      <c r="A40" s="5" t="s">
        <v>11</v>
      </c>
      <c r="B40" s="6" t="s">
        <v>32</v>
      </c>
      <c r="C40" s="7" t="s">
        <v>33</v>
      </c>
      <c r="D40" s="8">
        <v>1.0</v>
      </c>
      <c r="E40" s="7" t="s">
        <v>22</v>
      </c>
      <c r="F40" s="7"/>
      <c r="G40" s="9">
        <v>9.0042228E7</v>
      </c>
      <c r="H40" s="5" t="s">
        <v>64</v>
      </c>
      <c r="I40" s="10" t="s">
        <v>60</v>
      </c>
      <c r="J40" s="11">
        <v>5.1768821E7</v>
      </c>
      <c r="K40" s="11">
        <v>0.0</v>
      </c>
    </row>
    <row r="41">
      <c r="A41" s="5" t="s">
        <v>11</v>
      </c>
      <c r="B41" s="6" t="s">
        <v>32</v>
      </c>
      <c r="C41" s="7" t="s">
        <v>33</v>
      </c>
      <c r="D41" s="8">
        <v>1.0</v>
      </c>
      <c r="E41" s="7" t="s">
        <v>22</v>
      </c>
      <c r="F41" s="7"/>
      <c r="G41" s="9">
        <v>9.0042231E7</v>
      </c>
      <c r="H41" s="5" t="s">
        <v>65</v>
      </c>
      <c r="I41" s="10" t="s">
        <v>60</v>
      </c>
      <c r="J41" s="11">
        <v>3931590.0</v>
      </c>
      <c r="K41" s="11">
        <v>0.0</v>
      </c>
    </row>
    <row r="42">
      <c r="A42" s="5" t="s">
        <v>11</v>
      </c>
      <c r="B42" s="6" t="s">
        <v>32</v>
      </c>
      <c r="C42" s="7" t="s">
        <v>33</v>
      </c>
      <c r="D42" s="8">
        <v>1.0</v>
      </c>
      <c r="E42" s="7" t="s">
        <v>22</v>
      </c>
      <c r="F42" s="7"/>
      <c r="G42" s="9">
        <v>9.0042126E7</v>
      </c>
      <c r="H42" s="5" t="s">
        <v>31</v>
      </c>
      <c r="I42" s="10" t="s">
        <v>25</v>
      </c>
      <c r="J42" s="11">
        <v>3.3176702E7</v>
      </c>
      <c r="K42" s="11">
        <v>0.0</v>
      </c>
    </row>
    <row r="43">
      <c r="A43" s="5" t="s">
        <v>11</v>
      </c>
      <c r="B43" s="6" t="s">
        <v>66</v>
      </c>
      <c r="C43" s="7" t="s">
        <v>67</v>
      </c>
      <c r="D43" s="8">
        <v>1.0</v>
      </c>
      <c r="E43" s="7" t="s">
        <v>68</v>
      </c>
      <c r="F43" s="5" t="s">
        <v>69</v>
      </c>
      <c r="G43" s="9">
        <v>5.1101056E7</v>
      </c>
      <c r="H43" s="5" t="s">
        <v>16</v>
      </c>
      <c r="I43" s="10" t="s">
        <v>17</v>
      </c>
      <c r="J43" s="11">
        <v>2697368.0</v>
      </c>
      <c r="K43" s="11">
        <v>193.0</v>
      </c>
    </row>
    <row r="44">
      <c r="A44" s="5" t="s">
        <v>11</v>
      </c>
      <c r="B44" s="6" t="s">
        <v>66</v>
      </c>
      <c r="C44" s="7" t="s">
        <v>67</v>
      </c>
      <c r="D44" s="8">
        <v>1.0</v>
      </c>
      <c r="E44" s="7" t="s">
        <v>70</v>
      </c>
      <c r="F44" s="5" t="s">
        <v>71</v>
      </c>
      <c r="G44" s="9">
        <v>5.1100153E7</v>
      </c>
      <c r="H44" s="5" t="s">
        <v>72</v>
      </c>
      <c r="I44" s="10" t="s">
        <v>17</v>
      </c>
      <c r="J44" s="11">
        <v>362400.0</v>
      </c>
      <c r="K44" s="11">
        <v>604.0</v>
      </c>
    </row>
    <row r="45">
      <c r="A45" s="5" t="s">
        <v>11</v>
      </c>
      <c r="B45" s="6" t="s">
        <v>66</v>
      </c>
      <c r="C45" s="7" t="s">
        <v>67</v>
      </c>
      <c r="D45" s="8">
        <v>1.0</v>
      </c>
      <c r="E45" s="7" t="s">
        <v>22</v>
      </c>
      <c r="F45" s="7"/>
      <c r="G45" s="9">
        <v>9.0042121E7</v>
      </c>
      <c r="H45" s="5" t="s">
        <v>24</v>
      </c>
      <c r="I45" s="10" t="s">
        <v>25</v>
      </c>
      <c r="J45" s="11">
        <v>6508171.0</v>
      </c>
      <c r="K45" s="11">
        <v>0.0</v>
      </c>
    </row>
    <row r="46">
      <c r="A46" s="5" t="s">
        <v>11</v>
      </c>
      <c r="B46" s="6" t="s">
        <v>66</v>
      </c>
      <c r="C46" s="7" t="s">
        <v>67</v>
      </c>
      <c r="D46" s="8">
        <v>1.0</v>
      </c>
      <c r="E46" s="7" t="s">
        <v>22</v>
      </c>
      <c r="F46" s="7"/>
      <c r="G46" s="9">
        <v>9.0042135E7</v>
      </c>
      <c r="H46" s="5" t="s">
        <v>30</v>
      </c>
      <c r="I46" s="10" t="s">
        <v>25</v>
      </c>
      <c r="J46" s="11">
        <v>8539632.0</v>
      </c>
      <c r="K46" s="11">
        <v>0.0</v>
      </c>
    </row>
    <row r="47">
      <c r="A47" s="5" t="s">
        <v>11</v>
      </c>
      <c r="B47" s="6" t="s">
        <v>66</v>
      </c>
      <c r="C47" s="7" t="s">
        <v>67</v>
      </c>
      <c r="D47" s="8">
        <v>1.0</v>
      </c>
      <c r="E47" s="7" t="s">
        <v>22</v>
      </c>
      <c r="F47" s="7"/>
      <c r="G47" s="9">
        <v>9.00422E7</v>
      </c>
      <c r="H47" s="5" t="s">
        <v>73</v>
      </c>
      <c r="I47" s="10" t="s">
        <v>60</v>
      </c>
      <c r="J47" s="11">
        <v>5.8124638E7</v>
      </c>
      <c r="K47" s="11">
        <v>0.0</v>
      </c>
    </row>
    <row r="48">
      <c r="A48" s="5" t="s">
        <v>11</v>
      </c>
      <c r="B48" s="6" t="s">
        <v>66</v>
      </c>
      <c r="C48" s="7" t="s">
        <v>67</v>
      </c>
      <c r="D48" s="8">
        <v>1.0</v>
      </c>
      <c r="E48" s="7" t="s">
        <v>22</v>
      </c>
      <c r="F48" s="7"/>
      <c r="G48" s="9">
        <v>9.0042223E7</v>
      </c>
      <c r="H48" s="5" t="s">
        <v>61</v>
      </c>
      <c r="I48" s="10" t="s">
        <v>60</v>
      </c>
      <c r="J48" s="11">
        <v>4942403.0</v>
      </c>
      <c r="K48" s="11">
        <v>0.0</v>
      </c>
    </row>
    <row r="49">
      <c r="A49" s="5" t="s">
        <v>11</v>
      </c>
      <c r="B49" s="6" t="s">
        <v>66</v>
      </c>
      <c r="C49" s="7" t="s">
        <v>67</v>
      </c>
      <c r="D49" s="8">
        <v>1.0</v>
      </c>
      <c r="E49" s="7" t="s">
        <v>22</v>
      </c>
      <c r="F49" s="7"/>
      <c r="G49" s="9">
        <v>9.0042224E7</v>
      </c>
      <c r="H49" s="5" t="s">
        <v>62</v>
      </c>
      <c r="I49" s="10" t="s">
        <v>60</v>
      </c>
      <c r="J49" s="11">
        <v>779230.0</v>
      </c>
      <c r="K49" s="11">
        <v>0.0</v>
      </c>
    </row>
    <row r="50">
      <c r="A50" s="5" t="s">
        <v>11</v>
      </c>
      <c r="B50" s="6" t="s">
        <v>66</v>
      </c>
      <c r="C50" s="7" t="s">
        <v>67</v>
      </c>
      <c r="D50" s="8">
        <v>1.0</v>
      </c>
      <c r="E50" s="7" t="s">
        <v>22</v>
      </c>
      <c r="F50" s="7"/>
      <c r="G50" s="9">
        <v>9.0042226E7</v>
      </c>
      <c r="H50" s="5" t="s">
        <v>63</v>
      </c>
      <c r="I50" s="10" t="s">
        <v>60</v>
      </c>
      <c r="J50" s="11">
        <v>21979.0</v>
      </c>
      <c r="K50" s="11">
        <v>0.0</v>
      </c>
    </row>
    <row r="51">
      <c r="A51" s="5" t="s">
        <v>11</v>
      </c>
      <c r="B51" s="6" t="s">
        <v>66</v>
      </c>
      <c r="C51" s="7" t="s">
        <v>67</v>
      </c>
      <c r="D51" s="8">
        <v>1.0</v>
      </c>
      <c r="E51" s="7" t="s">
        <v>22</v>
      </c>
      <c r="F51" s="7"/>
      <c r="G51" s="9">
        <v>9.0042228E7</v>
      </c>
      <c r="H51" s="5" t="s">
        <v>64</v>
      </c>
      <c r="I51" s="10" t="s">
        <v>60</v>
      </c>
      <c r="J51" s="11">
        <v>1.1336438E7</v>
      </c>
      <c r="K51" s="11">
        <v>0.0</v>
      </c>
    </row>
    <row r="52">
      <c r="A52" s="5" t="s">
        <v>11</v>
      </c>
      <c r="B52" s="6" t="s">
        <v>66</v>
      </c>
      <c r="C52" s="7" t="s">
        <v>67</v>
      </c>
      <c r="D52" s="8">
        <v>1.0</v>
      </c>
      <c r="E52" s="7" t="s">
        <v>22</v>
      </c>
      <c r="F52" s="7"/>
      <c r="G52" s="9">
        <v>9.0042231E7</v>
      </c>
      <c r="H52" s="5" t="s">
        <v>65</v>
      </c>
      <c r="I52" s="10" t="s">
        <v>60</v>
      </c>
      <c r="J52" s="11">
        <v>9901228.0</v>
      </c>
      <c r="K52" s="11">
        <v>0.0</v>
      </c>
    </row>
    <row r="53">
      <c r="A53" s="12" t="s">
        <v>74</v>
      </c>
      <c r="B53" s="6" t="s">
        <v>75</v>
      </c>
      <c r="C53" s="7" t="s">
        <v>76</v>
      </c>
      <c r="D53" s="8">
        <v>1.0</v>
      </c>
      <c r="E53" s="7" t="s">
        <v>77</v>
      </c>
      <c r="F53" s="5" t="s">
        <v>78</v>
      </c>
      <c r="G53" s="9">
        <v>9.0043001E7</v>
      </c>
      <c r="H53" s="5" t="s">
        <v>18</v>
      </c>
      <c r="I53" s="10" t="s">
        <v>19</v>
      </c>
      <c r="J53" s="11">
        <v>1292698.0</v>
      </c>
      <c r="K53" s="11">
        <v>11.0</v>
      </c>
    </row>
    <row r="54">
      <c r="A54" s="5" t="s">
        <v>74</v>
      </c>
      <c r="B54" s="6" t="s">
        <v>75</v>
      </c>
      <c r="C54" s="7" t="s">
        <v>76</v>
      </c>
      <c r="D54" s="8">
        <v>1.0</v>
      </c>
      <c r="E54" s="7" t="s">
        <v>79</v>
      </c>
      <c r="F54" s="5" t="s">
        <v>80</v>
      </c>
      <c r="G54" s="9">
        <v>9.0043001E7</v>
      </c>
      <c r="H54" s="5" t="s">
        <v>18</v>
      </c>
      <c r="I54" s="10" t="s">
        <v>19</v>
      </c>
      <c r="J54" s="11">
        <v>1292698.0</v>
      </c>
      <c r="K54" s="11">
        <v>11.0</v>
      </c>
    </row>
    <row r="55">
      <c r="A55" s="5" t="s">
        <v>74</v>
      </c>
      <c r="B55" s="6" t="s">
        <v>75</v>
      </c>
      <c r="C55" s="7" t="s">
        <v>76</v>
      </c>
      <c r="D55" s="8">
        <v>1.0</v>
      </c>
      <c r="E55" s="7" t="s">
        <v>81</v>
      </c>
      <c r="F55" s="5" t="s">
        <v>82</v>
      </c>
      <c r="G55" s="9">
        <v>9.0043001E7</v>
      </c>
      <c r="H55" s="5" t="s">
        <v>18</v>
      </c>
      <c r="I55" s="10" t="s">
        <v>19</v>
      </c>
      <c r="J55" s="11">
        <v>1.28847276E8</v>
      </c>
      <c r="K55" s="11">
        <v>1071.0</v>
      </c>
    </row>
    <row r="56">
      <c r="A56" s="5" t="s">
        <v>74</v>
      </c>
      <c r="B56" s="6" t="s">
        <v>75</v>
      </c>
      <c r="C56" s="7" t="s">
        <v>76</v>
      </c>
      <c r="D56" s="8">
        <v>1.0</v>
      </c>
      <c r="E56" s="7" t="s">
        <v>81</v>
      </c>
      <c r="F56" s="5" t="s">
        <v>82</v>
      </c>
      <c r="G56" s="9">
        <v>9.0043E7</v>
      </c>
      <c r="H56" s="5" t="s">
        <v>83</v>
      </c>
      <c r="I56" s="10" t="s">
        <v>19</v>
      </c>
      <c r="J56" s="11">
        <v>3204575.0</v>
      </c>
      <c r="K56" s="11">
        <v>25.0</v>
      </c>
    </row>
    <row r="57">
      <c r="A57" s="5" t="s">
        <v>74</v>
      </c>
      <c r="B57" s="6" t="s">
        <v>75</v>
      </c>
      <c r="C57" s="7" t="s">
        <v>76</v>
      </c>
      <c r="D57" s="8">
        <v>1.0</v>
      </c>
      <c r="E57" s="7" t="s">
        <v>84</v>
      </c>
      <c r="F57" s="5" t="s">
        <v>85</v>
      </c>
      <c r="G57" s="9">
        <v>9.0043001E7</v>
      </c>
      <c r="H57" s="5" t="s">
        <v>18</v>
      </c>
      <c r="I57" s="10" t="s">
        <v>19</v>
      </c>
      <c r="J57" s="11">
        <v>1.2053037E7</v>
      </c>
      <c r="K57" s="11">
        <v>101.0</v>
      </c>
    </row>
    <row r="58">
      <c r="A58" s="5" t="s">
        <v>74</v>
      </c>
      <c r="B58" s="6" t="s">
        <v>75</v>
      </c>
      <c r="C58" s="7" t="s">
        <v>76</v>
      </c>
      <c r="D58" s="8">
        <v>1.0</v>
      </c>
      <c r="E58" s="7" t="s">
        <v>86</v>
      </c>
      <c r="F58" s="5" t="s">
        <v>87</v>
      </c>
      <c r="G58" s="9">
        <v>9.0043001E7</v>
      </c>
      <c r="H58" s="5" t="s">
        <v>18</v>
      </c>
      <c r="I58" s="10" t="s">
        <v>19</v>
      </c>
      <c r="J58" s="11">
        <v>1551381.0</v>
      </c>
      <c r="K58" s="11">
        <v>13.0</v>
      </c>
    </row>
    <row r="59">
      <c r="A59" s="5" t="s">
        <v>74</v>
      </c>
      <c r="B59" s="6" t="s">
        <v>75</v>
      </c>
      <c r="C59" s="7" t="s">
        <v>76</v>
      </c>
      <c r="D59" s="8">
        <v>1.0</v>
      </c>
      <c r="E59" s="7" t="s">
        <v>88</v>
      </c>
      <c r="F59" s="5" t="s">
        <v>89</v>
      </c>
      <c r="G59" s="9">
        <v>9.0043003E7</v>
      </c>
      <c r="H59" s="5" t="s">
        <v>90</v>
      </c>
      <c r="I59" s="10" t="s">
        <v>50</v>
      </c>
      <c r="J59" s="11">
        <v>2.247914E7</v>
      </c>
      <c r="K59" s="11">
        <v>16.8</v>
      </c>
    </row>
    <row r="60">
      <c r="A60" s="5" t="s">
        <v>74</v>
      </c>
      <c r="B60" s="6" t="s">
        <v>75</v>
      </c>
      <c r="C60" s="7" t="s">
        <v>76</v>
      </c>
      <c r="D60" s="8">
        <v>1.0</v>
      </c>
      <c r="E60" s="7" t="s">
        <v>91</v>
      </c>
      <c r="F60" s="5" t="s">
        <v>92</v>
      </c>
      <c r="G60" s="9">
        <v>9.0043001E7</v>
      </c>
      <c r="H60" s="5" t="s">
        <v>18</v>
      </c>
      <c r="I60" s="10" t="s">
        <v>19</v>
      </c>
      <c r="J60" s="11">
        <v>5018328.0</v>
      </c>
      <c r="K60" s="11">
        <v>42.0</v>
      </c>
    </row>
    <row r="61">
      <c r="A61" s="5" t="s">
        <v>74</v>
      </c>
      <c r="B61" s="6" t="s">
        <v>75</v>
      </c>
      <c r="C61" s="7" t="s">
        <v>76</v>
      </c>
      <c r="D61" s="8">
        <v>1.0</v>
      </c>
      <c r="E61" s="7" t="s">
        <v>93</v>
      </c>
      <c r="F61" s="5" t="s">
        <v>94</v>
      </c>
      <c r="G61" s="9">
        <v>5.1100651E7</v>
      </c>
      <c r="H61" s="5" t="s">
        <v>38</v>
      </c>
      <c r="I61" s="10" t="s">
        <v>25</v>
      </c>
      <c r="J61" s="11">
        <v>0.0</v>
      </c>
      <c r="K61" s="11">
        <v>0.0</v>
      </c>
    </row>
    <row r="62">
      <c r="A62" s="5" t="s">
        <v>74</v>
      </c>
      <c r="B62" s="6" t="s">
        <v>75</v>
      </c>
      <c r="C62" s="7" t="s">
        <v>76</v>
      </c>
      <c r="D62" s="8">
        <v>1.0</v>
      </c>
      <c r="E62" s="7" t="s">
        <v>93</v>
      </c>
      <c r="F62" s="5" t="s">
        <v>94</v>
      </c>
      <c r="G62" s="9">
        <v>9.0043001E7</v>
      </c>
      <c r="H62" s="5" t="s">
        <v>18</v>
      </c>
      <c r="I62" s="10" t="s">
        <v>19</v>
      </c>
      <c r="J62" s="11">
        <v>3981502.0</v>
      </c>
      <c r="K62" s="11">
        <v>34.0</v>
      </c>
    </row>
    <row r="63">
      <c r="A63" s="5" t="s">
        <v>74</v>
      </c>
      <c r="B63" s="6" t="s">
        <v>75</v>
      </c>
      <c r="C63" s="7" t="s">
        <v>76</v>
      </c>
      <c r="D63" s="8">
        <v>1.0</v>
      </c>
      <c r="E63" s="7" t="s">
        <v>93</v>
      </c>
      <c r="F63" s="5" t="s">
        <v>94</v>
      </c>
      <c r="G63" s="9">
        <v>5.1100774E7</v>
      </c>
      <c r="H63" s="5" t="s">
        <v>39</v>
      </c>
      <c r="I63" s="10" t="s">
        <v>17</v>
      </c>
      <c r="J63" s="11">
        <v>6.3058686E7</v>
      </c>
      <c r="K63" s="11">
        <v>18262.0</v>
      </c>
    </row>
    <row r="64">
      <c r="A64" s="5" t="s">
        <v>74</v>
      </c>
      <c r="B64" s="6" t="s">
        <v>75</v>
      </c>
      <c r="C64" s="7" t="s">
        <v>76</v>
      </c>
      <c r="D64" s="8">
        <v>1.0</v>
      </c>
      <c r="E64" s="7" t="s">
        <v>95</v>
      </c>
      <c r="F64" s="5" t="s">
        <v>96</v>
      </c>
      <c r="G64" s="9">
        <v>5.1100058E7</v>
      </c>
      <c r="H64" s="5" t="s">
        <v>36</v>
      </c>
      <c r="I64" s="10" t="s">
        <v>37</v>
      </c>
      <c r="J64" s="11">
        <v>4020272.0</v>
      </c>
      <c r="K64" s="11">
        <v>52.5</v>
      </c>
    </row>
    <row r="65">
      <c r="A65" s="5" t="s">
        <v>74</v>
      </c>
      <c r="B65" s="6" t="s">
        <v>75</v>
      </c>
      <c r="C65" s="7" t="s">
        <v>76</v>
      </c>
      <c r="D65" s="8">
        <v>1.0</v>
      </c>
      <c r="E65" s="7" t="s">
        <v>95</v>
      </c>
      <c r="F65" s="5" t="s">
        <v>96</v>
      </c>
      <c r="G65" s="9">
        <v>5.1100651E7</v>
      </c>
      <c r="H65" s="5" t="s">
        <v>38</v>
      </c>
      <c r="I65" s="10" t="s">
        <v>25</v>
      </c>
      <c r="J65" s="11">
        <v>0.0</v>
      </c>
      <c r="K65" s="11">
        <v>0.0</v>
      </c>
    </row>
    <row r="66">
      <c r="A66" s="5" t="s">
        <v>74</v>
      </c>
      <c r="B66" s="6" t="s">
        <v>75</v>
      </c>
      <c r="C66" s="7" t="s">
        <v>76</v>
      </c>
      <c r="D66" s="8">
        <v>1.0</v>
      </c>
      <c r="E66" s="7" t="s">
        <v>95</v>
      </c>
      <c r="F66" s="5" t="s">
        <v>96</v>
      </c>
      <c r="G66" s="9">
        <v>5.1100774E7</v>
      </c>
      <c r="H66" s="5" t="s">
        <v>39</v>
      </c>
      <c r="I66" s="10" t="s">
        <v>17</v>
      </c>
      <c r="J66" s="11">
        <v>1509513.0</v>
      </c>
      <c r="K66" s="11">
        <v>27.13</v>
      </c>
    </row>
    <row r="67">
      <c r="A67" s="5" t="s">
        <v>74</v>
      </c>
      <c r="B67" s="6" t="s">
        <v>75</v>
      </c>
      <c r="C67" s="7" t="s">
        <v>76</v>
      </c>
      <c r="D67" s="8">
        <v>1.0</v>
      </c>
      <c r="E67" s="7" t="s">
        <v>97</v>
      </c>
      <c r="F67" s="5" t="s">
        <v>98</v>
      </c>
      <c r="G67" s="9">
        <v>9.0043001E7</v>
      </c>
      <c r="H67" s="5" t="s">
        <v>18</v>
      </c>
      <c r="I67" s="10" t="s">
        <v>19</v>
      </c>
      <c r="J67" s="11">
        <v>1.1479955E7</v>
      </c>
      <c r="K67" s="11">
        <v>95.0</v>
      </c>
    </row>
    <row r="68">
      <c r="A68" s="5" t="s">
        <v>74</v>
      </c>
      <c r="B68" s="6" t="s">
        <v>75</v>
      </c>
      <c r="C68" s="7" t="s">
        <v>76</v>
      </c>
      <c r="D68" s="8">
        <v>1.0</v>
      </c>
      <c r="E68" s="7" t="s">
        <v>99</v>
      </c>
      <c r="F68" s="5" t="s">
        <v>100</v>
      </c>
      <c r="G68" s="9">
        <v>9.0043001E7</v>
      </c>
      <c r="H68" s="5" t="s">
        <v>18</v>
      </c>
      <c r="I68" s="10" t="s">
        <v>19</v>
      </c>
      <c r="J68" s="11">
        <v>1.3267182E7</v>
      </c>
      <c r="K68" s="11">
        <v>104.0</v>
      </c>
    </row>
    <row r="69">
      <c r="A69" s="5" t="s">
        <v>74</v>
      </c>
      <c r="B69" s="6" t="s">
        <v>75</v>
      </c>
      <c r="C69" s="7" t="s">
        <v>76</v>
      </c>
      <c r="D69" s="8">
        <v>1.0</v>
      </c>
      <c r="E69" s="7" t="s">
        <v>101</v>
      </c>
      <c r="F69" s="5" t="s">
        <v>102</v>
      </c>
      <c r="G69" s="9">
        <v>9.0043001E7</v>
      </c>
      <c r="H69" s="5" t="s">
        <v>18</v>
      </c>
      <c r="I69" s="10" t="s">
        <v>19</v>
      </c>
      <c r="J69" s="11">
        <v>9.0258551E7</v>
      </c>
      <c r="K69" s="11">
        <v>744.0</v>
      </c>
    </row>
    <row r="70">
      <c r="A70" s="5" t="s">
        <v>74</v>
      </c>
      <c r="B70" s="6" t="s">
        <v>75</v>
      </c>
      <c r="C70" s="7" t="s">
        <v>76</v>
      </c>
      <c r="D70" s="8">
        <v>1.0</v>
      </c>
      <c r="E70" s="7" t="s">
        <v>103</v>
      </c>
      <c r="F70" s="5" t="s">
        <v>104</v>
      </c>
      <c r="G70" s="9">
        <v>5.1100058E7</v>
      </c>
      <c r="H70" s="5" t="s">
        <v>36</v>
      </c>
      <c r="I70" s="10" t="s">
        <v>37</v>
      </c>
      <c r="J70" s="11">
        <v>6.0974418E7</v>
      </c>
      <c r="K70" s="11">
        <v>800.56</v>
      </c>
    </row>
    <row r="71">
      <c r="A71" s="5" t="s">
        <v>74</v>
      </c>
      <c r="B71" s="6" t="s">
        <v>75</v>
      </c>
      <c r="C71" s="7" t="s">
        <v>76</v>
      </c>
      <c r="D71" s="8">
        <v>1.0</v>
      </c>
      <c r="E71" s="7" t="s">
        <v>103</v>
      </c>
      <c r="F71" s="5" t="s">
        <v>104</v>
      </c>
      <c r="G71" s="9">
        <v>5.1100651E7</v>
      </c>
      <c r="H71" s="5" t="s">
        <v>38</v>
      </c>
      <c r="I71" s="10" t="s">
        <v>25</v>
      </c>
      <c r="J71" s="11">
        <v>0.0</v>
      </c>
      <c r="K71" s="11">
        <v>0.0</v>
      </c>
    </row>
    <row r="72">
      <c r="A72" s="5" t="s">
        <v>74</v>
      </c>
      <c r="B72" s="6" t="s">
        <v>75</v>
      </c>
      <c r="C72" s="7" t="s">
        <v>76</v>
      </c>
      <c r="D72" s="8">
        <v>1.0</v>
      </c>
      <c r="E72" s="7" t="s">
        <v>103</v>
      </c>
      <c r="F72" s="5" t="s">
        <v>104</v>
      </c>
      <c r="G72" s="9">
        <v>9.0043001E7</v>
      </c>
      <c r="H72" s="5" t="s">
        <v>18</v>
      </c>
      <c r="I72" s="10" t="s">
        <v>19</v>
      </c>
      <c r="J72" s="11">
        <v>2.4451053E7</v>
      </c>
      <c r="K72" s="11">
        <v>205.0</v>
      </c>
    </row>
    <row r="73">
      <c r="A73" s="5" t="s">
        <v>74</v>
      </c>
      <c r="B73" s="6" t="s">
        <v>75</v>
      </c>
      <c r="C73" s="7" t="s">
        <v>76</v>
      </c>
      <c r="D73" s="8">
        <v>1.0</v>
      </c>
      <c r="E73" s="7" t="s">
        <v>103</v>
      </c>
      <c r="F73" s="5" t="s">
        <v>104</v>
      </c>
      <c r="G73" s="9">
        <v>5.1100774E7</v>
      </c>
      <c r="H73" s="5" t="s">
        <v>39</v>
      </c>
      <c r="I73" s="10" t="s">
        <v>17</v>
      </c>
      <c r="J73" s="11">
        <v>3.9714829E7</v>
      </c>
      <c r="K73" s="11">
        <v>267.53</v>
      </c>
    </row>
    <row r="74">
      <c r="A74" s="5" t="s">
        <v>74</v>
      </c>
      <c r="B74" s="6" t="s">
        <v>75</v>
      </c>
      <c r="C74" s="7" t="s">
        <v>76</v>
      </c>
      <c r="D74" s="8">
        <v>1.0</v>
      </c>
      <c r="E74" s="7" t="s">
        <v>105</v>
      </c>
      <c r="F74" s="5" t="s">
        <v>106</v>
      </c>
      <c r="G74" s="9">
        <v>5.1101999E7</v>
      </c>
      <c r="H74" s="5" t="s">
        <v>107</v>
      </c>
      <c r="I74" s="10" t="s">
        <v>17</v>
      </c>
      <c r="J74" s="11">
        <v>1049400.0</v>
      </c>
      <c r="K74" s="11">
        <v>0.12</v>
      </c>
    </row>
    <row r="75">
      <c r="A75" s="5" t="s">
        <v>74</v>
      </c>
      <c r="B75" s="6" t="s">
        <v>75</v>
      </c>
      <c r="C75" s="7" t="s">
        <v>76</v>
      </c>
      <c r="D75" s="8">
        <v>1.0</v>
      </c>
      <c r="E75" s="7" t="s">
        <v>105</v>
      </c>
      <c r="F75" s="5" t="s">
        <v>106</v>
      </c>
      <c r="G75" s="9">
        <v>5.1100774E7</v>
      </c>
      <c r="H75" s="5" t="s">
        <v>39</v>
      </c>
      <c r="I75" s="10" t="s">
        <v>17</v>
      </c>
      <c r="J75" s="11">
        <v>4930000.0</v>
      </c>
      <c r="K75" s="11">
        <v>0.58</v>
      </c>
    </row>
    <row r="76">
      <c r="A76" s="5" t="s">
        <v>74</v>
      </c>
      <c r="B76" s="6" t="s">
        <v>75</v>
      </c>
      <c r="C76" s="7" t="s">
        <v>76</v>
      </c>
      <c r="D76" s="8">
        <v>1.0</v>
      </c>
      <c r="E76" s="7" t="s">
        <v>108</v>
      </c>
      <c r="F76" s="5" t="s">
        <v>109</v>
      </c>
      <c r="G76" s="9">
        <v>5.1100058E7</v>
      </c>
      <c r="H76" s="5" t="s">
        <v>36</v>
      </c>
      <c r="I76" s="10" t="s">
        <v>37</v>
      </c>
      <c r="J76" s="11">
        <v>984450.0</v>
      </c>
      <c r="K76" s="11">
        <v>10.0</v>
      </c>
    </row>
    <row r="77">
      <c r="A77" s="5" t="s">
        <v>74</v>
      </c>
      <c r="B77" s="6" t="s">
        <v>75</v>
      </c>
      <c r="C77" s="7" t="s">
        <v>76</v>
      </c>
      <c r="D77" s="8">
        <v>1.0</v>
      </c>
      <c r="E77" s="7" t="s">
        <v>108</v>
      </c>
      <c r="F77" s="5" t="s">
        <v>109</v>
      </c>
      <c r="G77" s="9">
        <v>9.0043001E7</v>
      </c>
      <c r="H77" s="5" t="s">
        <v>18</v>
      </c>
      <c r="I77" s="10" t="s">
        <v>19</v>
      </c>
      <c r="J77" s="11">
        <v>2145888.0</v>
      </c>
      <c r="K77" s="11">
        <v>18.0</v>
      </c>
    </row>
    <row r="78">
      <c r="A78" s="5" t="s">
        <v>74</v>
      </c>
      <c r="B78" s="6" t="s">
        <v>75</v>
      </c>
      <c r="C78" s="7" t="s">
        <v>76</v>
      </c>
      <c r="D78" s="8">
        <v>1.0</v>
      </c>
      <c r="E78" s="7" t="s">
        <v>110</v>
      </c>
      <c r="F78" s="5" t="s">
        <v>111</v>
      </c>
      <c r="G78" s="9">
        <v>5.1100058E7</v>
      </c>
      <c r="H78" s="5" t="s">
        <v>36</v>
      </c>
      <c r="I78" s="10" t="s">
        <v>37</v>
      </c>
      <c r="J78" s="11">
        <v>477042.0</v>
      </c>
      <c r="K78" s="11">
        <v>2.38</v>
      </c>
    </row>
    <row r="79">
      <c r="A79" s="5" t="s">
        <v>74</v>
      </c>
      <c r="B79" s="6" t="s">
        <v>75</v>
      </c>
      <c r="C79" s="7" t="s">
        <v>76</v>
      </c>
      <c r="D79" s="8">
        <v>1.0</v>
      </c>
      <c r="E79" s="7" t="s">
        <v>112</v>
      </c>
      <c r="F79" s="5" t="s">
        <v>113</v>
      </c>
      <c r="G79" s="9">
        <v>5.1100812E7</v>
      </c>
      <c r="H79" s="5" t="s">
        <v>114</v>
      </c>
      <c r="I79" s="10" t="s">
        <v>25</v>
      </c>
      <c r="J79" s="11">
        <v>7110000.0</v>
      </c>
      <c r="K79" s="11">
        <v>0.0</v>
      </c>
    </row>
    <row r="80">
      <c r="A80" s="5" t="s">
        <v>74</v>
      </c>
      <c r="B80" s="6" t="s">
        <v>75</v>
      </c>
      <c r="C80" s="7" t="s">
        <v>76</v>
      </c>
      <c r="D80" s="8">
        <v>1.0</v>
      </c>
      <c r="E80" s="7" t="s">
        <v>115</v>
      </c>
      <c r="F80" s="5" t="s">
        <v>116</v>
      </c>
      <c r="G80" s="9">
        <v>5.1100774E7</v>
      </c>
      <c r="H80" s="5" t="s">
        <v>39</v>
      </c>
      <c r="I80" s="10" t="s">
        <v>17</v>
      </c>
      <c r="J80" s="11">
        <v>4.6992072E7</v>
      </c>
      <c r="K80" s="11">
        <v>993070.0</v>
      </c>
    </row>
    <row r="81">
      <c r="A81" s="5" t="s">
        <v>74</v>
      </c>
      <c r="B81" s="6" t="s">
        <v>75</v>
      </c>
      <c r="C81" s="7" t="s">
        <v>76</v>
      </c>
      <c r="D81" s="8">
        <v>1.0</v>
      </c>
      <c r="E81" s="7" t="s">
        <v>117</v>
      </c>
      <c r="F81" s="5" t="s">
        <v>118</v>
      </c>
      <c r="G81" s="9">
        <v>5.1100058E7</v>
      </c>
      <c r="H81" s="5" t="s">
        <v>36</v>
      </c>
      <c r="I81" s="10" t="s">
        <v>37</v>
      </c>
      <c r="J81" s="11">
        <v>2019750.0</v>
      </c>
      <c r="K81" s="11">
        <v>250.0</v>
      </c>
    </row>
    <row r="82">
      <c r="A82" s="5" t="s">
        <v>74</v>
      </c>
      <c r="B82" s="6" t="s">
        <v>75</v>
      </c>
      <c r="C82" s="7" t="s">
        <v>76</v>
      </c>
      <c r="D82" s="8">
        <v>1.0</v>
      </c>
      <c r="E82" s="7" t="s">
        <v>117</v>
      </c>
      <c r="F82" s="5" t="s">
        <v>118</v>
      </c>
      <c r="G82" s="9">
        <v>9.0043001E7</v>
      </c>
      <c r="H82" s="5" t="s">
        <v>18</v>
      </c>
      <c r="I82" s="10" t="s">
        <v>19</v>
      </c>
      <c r="J82" s="11">
        <v>4545684.0</v>
      </c>
      <c r="K82" s="11">
        <v>38.0</v>
      </c>
    </row>
    <row r="83">
      <c r="A83" s="5" t="s">
        <v>74</v>
      </c>
      <c r="B83" s="6" t="s">
        <v>75</v>
      </c>
      <c r="C83" s="7" t="s">
        <v>76</v>
      </c>
      <c r="D83" s="8">
        <v>1.0</v>
      </c>
      <c r="E83" s="7" t="s">
        <v>119</v>
      </c>
      <c r="F83" s="5" t="s">
        <v>120</v>
      </c>
      <c r="G83" s="9">
        <v>5.1100774E7</v>
      </c>
      <c r="H83" s="5" t="s">
        <v>39</v>
      </c>
      <c r="I83" s="10" t="s">
        <v>17</v>
      </c>
      <c r="J83" s="11">
        <v>1.607098E7</v>
      </c>
      <c r="K83" s="11">
        <v>14.43</v>
      </c>
    </row>
    <row r="84">
      <c r="A84" s="5" t="s">
        <v>74</v>
      </c>
      <c r="B84" s="6" t="s">
        <v>75</v>
      </c>
      <c r="C84" s="7" t="s">
        <v>76</v>
      </c>
      <c r="D84" s="8">
        <v>1.0</v>
      </c>
      <c r="E84" s="7" t="s">
        <v>121</v>
      </c>
      <c r="F84" s="5" t="s">
        <v>122</v>
      </c>
      <c r="G84" s="9">
        <v>9.0043002E7</v>
      </c>
      <c r="H84" s="5" t="s">
        <v>49</v>
      </c>
      <c r="I84" s="10" t="s">
        <v>50</v>
      </c>
      <c r="J84" s="11">
        <v>7.6241747E7</v>
      </c>
      <c r="K84" s="11">
        <v>6633.0</v>
      </c>
    </row>
    <row r="85">
      <c r="A85" s="5" t="s">
        <v>74</v>
      </c>
      <c r="B85" s="6" t="s">
        <v>75</v>
      </c>
      <c r="C85" s="7" t="s">
        <v>76</v>
      </c>
      <c r="D85" s="8">
        <v>1.0</v>
      </c>
      <c r="E85" s="7" t="s">
        <v>123</v>
      </c>
      <c r="F85" s="5" t="s">
        <v>124</v>
      </c>
      <c r="G85" s="9">
        <v>9.0043001E7</v>
      </c>
      <c r="H85" s="5" t="s">
        <v>18</v>
      </c>
      <c r="I85" s="10" t="s">
        <v>19</v>
      </c>
      <c r="J85" s="11">
        <v>715296.0</v>
      </c>
      <c r="K85" s="11">
        <v>6.0</v>
      </c>
    </row>
    <row r="86">
      <c r="A86" s="5" t="s">
        <v>74</v>
      </c>
      <c r="B86" s="6" t="s">
        <v>75</v>
      </c>
      <c r="C86" s="7" t="s">
        <v>76</v>
      </c>
      <c r="D86" s="8">
        <v>1.0</v>
      </c>
      <c r="E86" s="7" t="s">
        <v>125</v>
      </c>
      <c r="F86" s="5" t="s">
        <v>126</v>
      </c>
      <c r="G86" s="9">
        <v>5.1101056E7</v>
      </c>
      <c r="H86" s="5" t="s">
        <v>16</v>
      </c>
      <c r="I86" s="10" t="s">
        <v>17</v>
      </c>
      <c r="J86" s="11">
        <v>3.8872923E7</v>
      </c>
      <c r="K86" s="11">
        <v>388729.23</v>
      </c>
    </row>
    <row r="87">
      <c r="A87" s="5" t="s">
        <v>74</v>
      </c>
      <c r="B87" s="6" t="s">
        <v>75</v>
      </c>
      <c r="C87" s="7" t="s">
        <v>76</v>
      </c>
      <c r="D87" s="8">
        <v>1.0</v>
      </c>
      <c r="E87" s="7" t="s">
        <v>125</v>
      </c>
      <c r="F87" s="5" t="s">
        <v>126</v>
      </c>
      <c r="G87" s="9">
        <v>9.0043001E7</v>
      </c>
      <c r="H87" s="5" t="s">
        <v>18</v>
      </c>
      <c r="I87" s="10" t="s">
        <v>19</v>
      </c>
      <c r="J87" s="11">
        <v>3.59038776E8</v>
      </c>
      <c r="K87" s="11">
        <v>3026.0</v>
      </c>
    </row>
    <row r="88">
      <c r="A88" s="5" t="s">
        <v>74</v>
      </c>
      <c r="B88" s="6" t="s">
        <v>75</v>
      </c>
      <c r="C88" s="7" t="s">
        <v>76</v>
      </c>
      <c r="D88" s="8">
        <v>1.0</v>
      </c>
      <c r="E88" s="7" t="s">
        <v>125</v>
      </c>
      <c r="F88" s="5" t="s">
        <v>126</v>
      </c>
      <c r="G88" s="9">
        <v>9.0043E7</v>
      </c>
      <c r="H88" s="5" t="s">
        <v>83</v>
      </c>
      <c r="I88" s="10" t="s">
        <v>19</v>
      </c>
      <c r="J88" s="11">
        <v>3866180.0</v>
      </c>
      <c r="K88" s="11">
        <v>31.0</v>
      </c>
    </row>
    <row r="89">
      <c r="A89" s="5" t="s">
        <v>74</v>
      </c>
      <c r="B89" s="6" t="s">
        <v>75</v>
      </c>
      <c r="C89" s="7" t="s">
        <v>76</v>
      </c>
      <c r="D89" s="8">
        <v>1.0</v>
      </c>
      <c r="E89" s="7" t="s">
        <v>127</v>
      </c>
      <c r="F89" s="5" t="s">
        <v>128</v>
      </c>
      <c r="G89" s="9">
        <v>5.1100153E7</v>
      </c>
      <c r="H89" s="5" t="s">
        <v>72</v>
      </c>
      <c r="I89" s="10" t="s">
        <v>17</v>
      </c>
      <c r="J89" s="11">
        <v>3.03716475E8</v>
      </c>
      <c r="K89" s="11">
        <v>3517510.0</v>
      </c>
    </row>
    <row r="90">
      <c r="A90" s="5" t="s">
        <v>74</v>
      </c>
      <c r="B90" s="6" t="s">
        <v>75</v>
      </c>
      <c r="C90" s="7" t="s">
        <v>76</v>
      </c>
      <c r="D90" s="8">
        <v>1.0</v>
      </c>
      <c r="E90" s="7" t="s">
        <v>127</v>
      </c>
      <c r="F90" s="5" t="s">
        <v>128</v>
      </c>
      <c r="G90" s="9">
        <v>9.0043002E7</v>
      </c>
      <c r="H90" s="5" t="s">
        <v>49</v>
      </c>
      <c r="I90" s="10" t="s">
        <v>50</v>
      </c>
      <c r="J90" s="11">
        <v>1.03526386E8</v>
      </c>
      <c r="K90" s="11">
        <v>6688.0</v>
      </c>
    </row>
    <row r="91">
      <c r="A91" s="5" t="s">
        <v>74</v>
      </c>
      <c r="B91" s="6" t="s">
        <v>75</v>
      </c>
      <c r="C91" s="7" t="s">
        <v>76</v>
      </c>
      <c r="D91" s="8">
        <v>1.0</v>
      </c>
      <c r="E91" s="7" t="s">
        <v>129</v>
      </c>
      <c r="F91" s="5" t="s">
        <v>130</v>
      </c>
      <c r="G91" s="9">
        <v>5.1101056E7</v>
      </c>
      <c r="H91" s="5" t="s">
        <v>16</v>
      </c>
      <c r="I91" s="10" t="s">
        <v>17</v>
      </c>
      <c r="J91" s="11">
        <v>1.2272379E8</v>
      </c>
      <c r="K91" s="11">
        <v>1753197.0</v>
      </c>
    </row>
    <row r="92">
      <c r="A92" s="5" t="s">
        <v>74</v>
      </c>
      <c r="B92" s="6" t="s">
        <v>75</v>
      </c>
      <c r="C92" s="7" t="s">
        <v>76</v>
      </c>
      <c r="D92" s="8">
        <v>1.0</v>
      </c>
      <c r="E92" s="7" t="s">
        <v>129</v>
      </c>
      <c r="F92" s="5" t="s">
        <v>130</v>
      </c>
      <c r="G92" s="9">
        <v>9.0043001E7</v>
      </c>
      <c r="H92" s="5" t="s">
        <v>18</v>
      </c>
      <c r="I92" s="10" t="s">
        <v>19</v>
      </c>
      <c r="J92" s="11">
        <v>8885292.0</v>
      </c>
      <c r="K92" s="11">
        <v>74.0</v>
      </c>
    </row>
    <row r="93">
      <c r="A93" s="5" t="s">
        <v>74</v>
      </c>
      <c r="B93" s="6" t="s">
        <v>75</v>
      </c>
      <c r="C93" s="7" t="s">
        <v>76</v>
      </c>
      <c r="D93" s="8">
        <v>1.0</v>
      </c>
      <c r="E93" s="7" t="s">
        <v>129</v>
      </c>
      <c r="F93" s="5" t="s">
        <v>130</v>
      </c>
      <c r="G93" s="9">
        <v>9.0043002E7</v>
      </c>
      <c r="H93" s="5" t="s">
        <v>49</v>
      </c>
      <c r="I93" s="10" t="s">
        <v>50</v>
      </c>
      <c r="J93" s="11">
        <v>586238.0</v>
      </c>
      <c r="K93" s="11">
        <v>46.0</v>
      </c>
    </row>
    <row r="94">
      <c r="A94" s="5" t="s">
        <v>74</v>
      </c>
      <c r="B94" s="6" t="s">
        <v>75</v>
      </c>
      <c r="C94" s="7" t="s">
        <v>76</v>
      </c>
      <c r="D94" s="8">
        <v>1.0</v>
      </c>
      <c r="E94" s="7" t="s">
        <v>129</v>
      </c>
      <c r="F94" s="5" t="s">
        <v>130</v>
      </c>
      <c r="G94" s="9">
        <v>9.0043003E7</v>
      </c>
      <c r="H94" s="5" t="s">
        <v>90</v>
      </c>
      <c r="I94" s="10" t="s">
        <v>50</v>
      </c>
      <c r="J94" s="11">
        <v>2.1858701E7</v>
      </c>
      <c r="K94" s="11">
        <v>229.0</v>
      </c>
    </row>
    <row r="95">
      <c r="A95" s="5" t="s">
        <v>74</v>
      </c>
      <c r="B95" s="6" t="s">
        <v>75</v>
      </c>
      <c r="C95" s="7" t="s">
        <v>76</v>
      </c>
      <c r="D95" s="8">
        <v>1.0</v>
      </c>
      <c r="E95" s="7" t="s">
        <v>131</v>
      </c>
      <c r="F95" s="5" t="s">
        <v>132</v>
      </c>
      <c r="G95" s="9">
        <v>9.0043001E7</v>
      </c>
      <c r="H95" s="5" t="s">
        <v>18</v>
      </c>
      <c r="I95" s="10" t="s">
        <v>19</v>
      </c>
      <c r="J95" s="11">
        <v>1.6702108E7</v>
      </c>
      <c r="K95" s="11">
        <v>142.0</v>
      </c>
    </row>
    <row r="96">
      <c r="A96" s="5" t="s">
        <v>74</v>
      </c>
      <c r="B96" s="6" t="s">
        <v>75</v>
      </c>
      <c r="C96" s="7" t="s">
        <v>76</v>
      </c>
      <c r="D96" s="8">
        <v>1.0</v>
      </c>
      <c r="E96" s="7" t="s">
        <v>131</v>
      </c>
      <c r="F96" s="5" t="s">
        <v>132</v>
      </c>
      <c r="G96" s="9">
        <v>9.0043002E7</v>
      </c>
      <c r="H96" s="5" t="s">
        <v>49</v>
      </c>
      <c r="I96" s="10" t="s">
        <v>50</v>
      </c>
      <c r="J96" s="11">
        <v>1019544.0</v>
      </c>
      <c r="K96" s="11">
        <v>80.0</v>
      </c>
    </row>
    <row r="97">
      <c r="A97" s="5" t="s">
        <v>74</v>
      </c>
      <c r="B97" s="6" t="s">
        <v>75</v>
      </c>
      <c r="C97" s="7" t="s">
        <v>76</v>
      </c>
      <c r="D97" s="8">
        <v>1.0</v>
      </c>
      <c r="E97" s="7" t="s">
        <v>131</v>
      </c>
      <c r="F97" s="5" t="s">
        <v>132</v>
      </c>
      <c r="G97" s="9">
        <v>9.0043003E7</v>
      </c>
      <c r="H97" s="5" t="s">
        <v>90</v>
      </c>
      <c r="I97" s="10" t="s">
        <v>50</v>
      </c>
      <c r="J97" s="11">
        <v>432830.0</v>
      </c>
      <c r="K97" s="11">
        <v>8.0</v>
      </c>
    </row>
    <row r="98">
      <c r="A98" s="5" t="s">
        <v>74</v>
      </c>
      <c r="B98" s="6" t="s">
        <v>75</v>
      </c>
      <c r="C98" s="7" t="s">
        <v>76</v>
      </c>
      <c r="D98" s="8">
        <v>1.0</v>
      </c>
      <c r="E98" s="7" t="s">
        <v>133</v>
      </c>
      <c r="F98" s="5" t="s">
        <v>134</v>
      </c>
      <c r="G98" s="9">
        <v>9.0043003E7</v>
      </c>
      <c r="H98" s="5" t="s">
        <v>90</v>
      </c>
      <c r="I98" s="10" t="s">
        <v>50</v>
      </c>
      <c r="J98" s="11">
        <v>432830.0</v>
      </c>
      <c r="K98" s="11">
        <v>8.0</v>
      </c>
    </row>
    <row r="99">
      <c r="A99" s="5" t="s">
        <v>74</v>
      </c>
      <c r="B99" s="6" t="s">
        <v>75</v>
      </c>
      <c r="C99" s="7" t="s">
        <v>76</v>
      </c>
      <c r="D99" s="8">
        <v>1.0</v>
      </c>
      <c r="E99" s="7" t="s">
        <v>135</v>
      </c>
      <c r="F99" s="5" t="s">
        <v>136</v>
      </c>
      <c r="G99" s="9">
        <v>9.0043001E7</v>
      </c>
      <c r="H99" s="5" t="s">
        <v>18</v>
      </c>
      <c r="I99" s="10" t="s">
        <v>19</v>
      </c>
      <c r="J99" s="11">
        <v>1.06308439E8</v>
      </c>
      <c r="K99" s="11">
        <v>906.0</v>
      </c>
    </row>
    <row r="100">
      <c r="A100" s="5" t="s">
        <v>74</v>
      </c>
      <c r="B100" s="6" t="s">
        <v>75</v>
      </c>
      <c r="C100" s="7" t="s">
        <v>76</v>
      </c>
      <c r="D100" s="8">
        <v>1.0</v>
      </c>
      <c r="E100" s="7" t="s">
        <v>137</v>
      </c>
      <c r="F100" s="5" t="s">
        <v>138</v>
      </c>
      <c r="G100" s="9">
        <v>9.0043001E7</v>
      </c>
      <c r="H100" s="5" t="s">
        <v>18</v>
      </c>
      <c r="I100" s="10" t="s">
        <v>19</v>
      </c>
      <c r="J100" s="11">
        <v>3044678.0</v>
      </c>
      <c r="K100" s="11">
        <v>26.0</v>
      </c>
    </row>
    <row r="101">
      <c r="A101" s="5" t="s">
        <v>74</v>
      </c>
      <c r="B101" s="6" t="s">
        <v>75</v>
      </c>
      <c r="C101" s="7" t="s">
        <v>76</v>
      </c>
      <c r="D101" s="8">
        <v>1.0</v>
      </c>
      <c r="E101" s="7" t="s">
        <v>54</v>
      </c>
      <c r="F101" s="5" t="s">
        <v>139</v>
      </c>
      <c r="G101" s="9">
        <v>9.0042011E7</v>
      </c>
      <c r="H101" s="5" t="s">
        <v>55</v>
      </c>
      <c r="I101" s="10" t="s">
        <v>19</v>
      </c>
      <c r="J101" s="11">
        <v>3.91062554E8</v>
      </c>
      <c r="K101" s="11">
        <v>0.0</v>
      </c>
    </row>
    <row r="102">
      <c r="A102" s="5" t="s">
        <v>74</v>
      </c>
      <c r="B102" s="6" t="s">
        <v>75</v>
      </c>
      <c r="C102" s="7" t="s">
        <v>76</v>
      </c>
      <c r="D102" s="8">
        <v>1.0</v>
      </c>
      <c r="E102" s="7" t="s">
        <v>20</v>
      </c>
      <c r="F102" s="5" t="s">
        <v>140</v>
      </c>
      <c r="G102" s="9">
        <v>9.0042014E7</v>
      </c>
      <c r="H102" s="5" t="s">
        <v>21</v>
      </c>
      <c r="I102" s="10" t="s">
        <v>19</v>
      </c>
      <c r="J102" s="11">
        <v>4.69301444E8</v>
      </c>
      <c r="K102" s="11">
        <v>0.0</v>
      </c>
    </row>
    <row r="103">
      <c r="A103" s="5" t="s">
        <v>74</v>
      </c>
      <c r="B103" s="6" t="s">
        <v>75</v>
      </c>
      <c r="C103" s="7" t="s">
        <v>76</v>
      </c>
      <c r="D103" s="8">
        <v>1.0</v>
      </c>
      <c r="E103" s="7" t="s">
        <v>20</v>
      </c>
      <c r="F103" s="5" t="s">
        <v>140</v>
      </c>
      <c r="G103" s="9">
        <v>9.0042077E7</v>
      </c>
      <c r="H103" s="5" t="s">
        <v>141</v>
      </c>
      <c r="I103" s="10" t="s">
        <v>19</v>
      </c>
      <c r="J103" s="11">
        <v>2.8245733E8</v>
      </c>
      <c r="K103" s="11">
        <v>0.0</v>
      </c>
    </row>
    <row r="104">
      <c r="A104" s="5" t="s">
        <v>74</v>
      </c>
      <c r="B104" s="6" t="s">
        <v>75</v>
      </c>
      <c r="C104" s="7" t="s">
        <v>76</v>
      </c>
      <c r="D104" s="8">
        <v>1.0</v>
      </c>
      <c r="E104" s="7" t="s">
        <v>142</v>
      </c>
      <c r="F104" s="5" t="s">
        <v>143</v>
      </c>
      <c r="G104" s="9">
        <v>9.0042013E7</v>
      </c>
      <c r="H104" s="5" t="s">
        <v>144</v>
      </c>
      <c r="I104" s="10" t="s">
        <v>19</v>
      </c>
      <c r="J104" s="11">
        <v>6.4170531E7</v>
      </c>
      <c r="K104" s="11">
        <v>0.0</v>
      </c>
    </row>
    <row r="105">
      <c r="A105" s="5" t="s">
        <v>74</v>
      </c>
      <c r="B105" s="6" t="s">
        <v>75</v>
      </c>
      <c r="C105" s="7" t="s">
        <v>76</v>
      </c>
      <c r="D105" s="8">
        <v>1.0</v>
      </c>
      <c r="E105" s="7" t="s">
        <v>142</v>
      </c>
      <c r="F105" s="5" t="s">
        <v>143</v>
      </c>
      <c r="G105" s="9">
        <v>9.0042084E7</v>
      </c>
      <c r="H105" s="5" t="s">
        <v>145</v>
      </c>
      <c r="I105" s="10" t="s">
        <v>19</v>
      </c>
      <c r="J105" s="11">
        <v>3.8745944E7</v>
      </c>
      <c r="K105" s="11">
        <v>0.0</v>
      </c>
    </row>
    <row r="106">
      <c r="A106" s="5" t="s">
        <v>74</v>
      </c>
      <c r="B106" s="6" t="s">
        <v>75</v>
      </c>
      <c r="C106" s="7" t="s">
        <v>76</v>
      </c>
      <c r="D106" s="8">
        <v>1.0</v>
      </c>
      <c r="E106" s="7" t="s">
        <v>22</v>
      </c>
      <c r="F106" s="5" t="s">
        <v>146</v>
      </c>
      <c r="G106" s="9">
        <v>9.0042012E7</v>
      </c>
      <c r="H106" s="5" t="s">
        <v>23</v>
      </c>
      <c r="I106" s="10" t="s">
        <v>19</v>
      </c>
      <c r="J106" s="11">
        <v>1.72203331E8</v>
      </c>
      <c r="K106" s="11">
        <v>0.0</v>
      </c>
    </row>
    <row r="107">
      <c r="A107" s="5" t="s">
        <v>74</v>
      </c>
      <c r="B107" s="6" t="s">
        <v>75</v>
      </c>
      <c r="C107" s="7" t="s">
        <v>76</v>
      </c>
      <c r="D107" s="8">
        <v>1.0</v>
      </c>
      <c r="E107" s="7" t="s">
        <v>22</v>
      </c>
      <c r="F107" s="5" t="s">
        <v>146</v>
      </c>
      <c r="G107" s="9">
        <v>9.0042121E7</v>
      </c>
      <c r="H107" s="5" t="s">
        <v>24</v>
      </c>
      <c r="I107" s="10" t="s">
        <v>25</v>
      </c>
      <c r="J107" s="11">
        <v>2.16347171E8</v>
      </c>
      <c r="K107" s="11">
        <v>0.0</v>
      </c>
    </row>
    <row r="108">
      <c r="A108" s="5" t="s">
        <v>74</v>
      </c>
      <c r="B108" s="6" t="s">
        <v>75</v>
      </c>
      <c r="C108" s="7" t="s">
        <v>76</v>
      </c>
      <c r="D108" s="8">
        <v>1.0</v>
      </c>
      <c r="E108" s="7" t="s">
        <v>22</v>
      </c>
      <c r="F108" s="5" t="s">
        <v>146</v>
      </c>
      <c r="G108" s="9">
        <v>9.0042122E7</v>
      </c>
      <c r="H108" s="5" t="s">
        <v>56</v>
      </c>
      <c r="I108" s="10" t="s">
        <v>25</v>
      </c>
      <c r="J108" s="11">
        <v>1.594633E7</v>
      </c>
      <c r="K108" s="11">
        <v>0.0</v>
      </c>
    </row>
    <row r="109">
      <c r="A109" s="5" t="s">
        <v>74</v>
      </c>
      <c r="B109" s="6" t="s">
        <v>75</v>
      </c>
      <c r="C109" s="7" t="s">
        <v>76</v>
      </c>
      <c r="D109" s="8">
        <v>1.0</v>
      </c>
      <c r="E109" s="7" t="s">
        <v>22</v>
      </c>
      <c r="F109" s="5" t="s">
        <v>146</v>
      </c>
      <c r="G109" s="9">
        <v>9.0042124E7</v>
      </c>
      <c r="H109" s="5" t="s">
        <v>57</v>
      </c>
      <c r="I109" s="10" t="s">
        <v>25</v>
      </c>
      <c r="J109" s="11">
        <v>2.0175172E7</v>
      </c>
      <c r="K109" s="11">
        <v>0.0</v>
      </c>
    </row>
    <row r="110">
      <c r="A110" s="5" t="s">
        <v>74</v>
      </c>
      <c r="B110" s="6" t="s">
        <v>75</v>
      </c>
      <c r="C110" s="7" t="s">
        <v>76</v>
      </c>
      <c r="D110" s="8">
        <v>1.0</v>
      </c>
      <c r="E110" s="7" t="s">
        <v>22</v>
      </c>
      <c r="F110" s="5" t="s">
        <v>146</v>
      </c>
      <c r="G110" s="9">
        <v>9.0042125E7</v>
      </c>
      <c r="H110" s="5" t="s">
        <v>26</v>
      </c>
      <c r="I110" s="10" t="s">
        <v>25</v>
      </c>
      <c r="J110" s="11">
        <v>5.6117394E7</v>
      </c>
      <c r="K110" s="11">
        <v>0.0</v>
      </c>
    </row>
    <row r="111">
      <c r="A111" s="5" t="s">
        <v>74</v>
      </c>
      <c r="B111" s="6" t="s">
        <v>75</v>
      </c>
      <c r="C111" s="7" t="s">
        <v>76</v>
      </c>
      <c r="D111" s="8">
        <v>1.0</v>
      </c>
      <c r="E111" s="7" t="s">
        <v>22</v>
      </c>
      <c r="F111" s="5" t="s">
        <v>146</v>
      </c>
      <c r="G111" s="9">
        <v>9.0042127E7</v>
      </c>
      <c r="H111" s="5" t="s">
        <v>27</v>
      </c>
      <c r="I111" s="10" t="s">
        <v>25</v>
      </c>
      <c r="J111" s="11">
        <v>1.5397573E7</v>
      </c>
      <c r="K111" s="11">
        <v>0.0</v>
      </c>
    </row>
    <row r="112">
      <c r="A112" s="5" t="s">
        <v>74</v>
      </c>
      <c r="B112" s="6" t="s">
        <v>75</v>
      </c>
      <c r="C112" s="7" t="s">
        <v>76</v>
      </c>
      <c r="D112" s="8">
        <v>1.0</v>
      </c>
      <c r="E112" s="7" t="s">
        <v>22</v>
      </c>
      <c r="F112" s="5" t="s">
        <v>146</v>
      </c>
      <c r="G112" s="9">
        <v>9.0042128E7</v>
      </c>
      <c r="H112" s="5" t="s">
        <v>58</v>
      </c>
      <c r="I112" s="10" t="s">
        <v>25</v>
      </c>
      <c r="J112" s="11">
        <v>2643620.0</v>
      </c>
      <c r="K112" s="11">
        <v>0.0</v>
      </c>
    </row>
    <row r="113">
      <c r="A113" s="5" t="s">
        <v>74</v>
      </c>
      <c r="B113" s="6" t="s">
        <v>75</v>
      </c>
      <c r="C113" s="7" t="s">
        <v>76</v>
      </c>
      <c r="D113" s="8">
        <v>1.0</v>
      </c>
      <c r="E113" s="7" t="s">
        <v>22</v>
      </c>
      <c r="F113" s="5" t="s">
        <v>146</v>
      </c>
      <c r="G113" s="9">
        <v>9.0042132E7</v>
      </c>
      <c r="H113" s="5" t="s">
        <v>28</v>
      </c>
      <c r="I113" s="10" t="s">
        <v>25</v>
      </c>
      <c r="J113" s="11">
        <v>2.623526E7</v>
      </c>
      <c r="K113" s="11">
        <v>0.0</v>
      </c>
    </row>
    <row r="114">
      <c r="A114" s="5" t="s">
        <v>74</v>
      </c>
      <c r="B114" s="6" t="s">
        <v>75</v>
      </c>
      <c r="C114" s="7" t="s">
        <v>76</v>
      </c>
      <c r="D114" s="8">
        <v>1.0</v>
      </c>
      <c r="E114" s="7" t="s">
        <v>22</v>
      </c>
      <c r="F114" s="5" t="s">
        <v>146</v>
      </c>
      <c r="G114" s="9">
        <v>9.0042135E7</v>
      </c>
      <c r="H114" s="5" t="s">
        <v>30</v>
      </c>
      <c r="I114" s="10" t="s">
        <v>25</v>
      </c>
      <c r="J114" s="11">
        <v>1.87140325E8</v>
      </c>
      <c r="K114" s="11">
        <v>0.0</v>
      </c>
    </row>
    <row r="115">
      <c r="A115" s="5" t="s">
        <v>74</v>
      </c>
      <c r="B115" s="6" t="s">
        <v>75</v>
      </c>
      <c r="C115" s="7" t="s">
        <v>76</v>
      </c>
      <c r="D115" s="8">
        <v>1.0</v>
      </c>
      <c r="E115" s="7" t="s">
        <v>22</v>
      </c>
      <c r="F115" s="5" t="s">
        <v>146</v>
      </c>
      <c r="G115" s="9">
        <v>9.00422E7</v>
      </c>
      <c r="H115" s="5" t="s">
        <v>73</v>
      </c>
      <c r="I115" s="10" t="s">
        <v>60</v>
      </c>
      <c r="J115" s="11">
        <v>4.87775895E8</v>
      </c>
      <c r="K115" s="11">
        <v>0.0</v>
      </c>
    </row>
    <row r="116">
      <c r="A116" s="5" t="s">
        <v>74</v>
      </c>
      <c r="B116" s="6" t="s">
        <v>75</v>
      </c>
      <c r="C116" s="7" t="s">
        <v>76</v>
      </c>
      <c r="D116" s="8">
        <v>1.0</v>
      </c>
      <c r="E116" s="7" t="s">
        <v>22</v>
      </c>
      <c r="F116" s="5" t="s">
        <v>146</v>
      </c>
      <c r="G116" s="9">
        <v>9.0042223E7</v>
      </c>
      <c r="H116" s="5" t="s">
        <v>61</v>
      </c>
      <c r="I116" s="10" t="s">
        <v>60</v>
      </c>
      <c r="J116" s="11">
        <v>4817570.0</v>
      </c>
      <c r="K116" s="11">
        <v>0.0</v>
      </c>
    </row>
    <row r="117">
      <c r="A117" s="5" t="s">
        <v>74</v>
      </c>
      <c r="B117" s="6" t="s">
        <v>75</v>
      </c>
      <c r="C117" s="7" t="s">
        <v>76</v>
      </c>
      <c r="D117" s="8">
        <v>1.0</v>
      </c>
      <c r="E117" s="7" t="s">
        <v>22</v>
      </c>
      <c r="F117" s="5" t="s">
        <v>146</v>
      </c>
      <c r="G117" s="9">
        <v>9.0042224E7</v>
      </c>
      <c r="H117" s="5" t="s">
        <v>62</v>
      </c>
      <c r="I117" s="10" t="s">
        <v>60</v>
      </c>
      <c r="J117" s="11">
        <v>8789288.0</v>
      </c>
      <c r="K117" s="11">
        <v>0.0</v>
      </c>
    </row>
    <row r="118">
      <c r="A118" s="5" t="s">
        <v>74</v>
      </c>
      <c r="B118" s="6" t="s">
        <v>75</v>
      </c>
      <c r="C118" s="7" t="s">
        <v>76</v>
      </c>
      <c r="D118" s="8">
        <v>1.0</v>
      </c>
      <c r="E118" s="7" t="s">
        <v>22</v>
      </c>
      <c r="F118" s="5" t="s">
        <v>146</v>
      </c>
      <c r="G118" s="9">
        <v>9.0042225E7</v>
      </c>
      <c r="H118" s="5" t="s">
        <v>147</v>
      </c>
      <c r="I118" s="10" t="s">
        <v>60</v>
      </c>
      <c r="J118" s="11">
        <v>4523282.0</v>
      </c>
      <c r="K118" s="11">
        <v>0.0</v>
      </c>
    </row>
    <row r="119">
      <c r="A119" s="5" t="s">
        <v>74</v>
      </c>
      <c r="B119" s="6" t="s">
        <v>75</v>
      </c>
      <c r="C119" s="7" t="s">
        <v>76</v>
      </c>
      <c r="D119" s="8">
        <v>1.0</v>
      </c>
      <c r="E119" s="7" t="s">
        <v>22</v>
      </c>
      <c r="F119" s="5" t="s">
        <v>146</v>
      </c>
      <c r="G119" s="9">
        <v>9.0042226E7</v>
      </c>
      <c r="H119" s="5" t="s">
        <v>63</v>
      </c>
      <c r="I119" s="10" t="s">
        <v>60</v>
      </c>
      <c r="J119" s="11">
        <v>4500281.0</v>
      </c>
      <c r="K119" s="11">
        <v>0.0</v>
      </c>
    </row>
    <row r="120">
      <c r="A120" s="5" t="s">
        <v>74</v>
      </c>
      <c r="B120" s="6" t="s">
        <v>75</v>
      </c>
      <c r="C120" s="7" t="s">
        <v>76</v>
      </c>
      <c r="D120" s="8">
        <v>1.0</v>
      </c>
      <c r="E120" s="7" t="s">
        <v>22</v>
      </c>
      <c r="F120" s="5" t="s">
        <v>146</v>
      </c>
      <c r="G120" s="9">
        <v>9.0042228E7</v>
      </c>
      <c r="H120" s="5" t="s">
        <v>64</v>
      </c>
      <c r="I120" s="10" t="s">
        <v>60</v>
      </c>
      <c r="J120" s="11">
        <v>5.7759447E7</v>
      </c>
      <c r="K120" s="11">
        <v>0.0</v>
      </c>
    </row>
    <row r="121">
      <c r="A121" s="5" t="s">
        <v>74</v>
      </c>
      <c r="B121" s="6" t="s">
        <v>75</v>
      </c>
      <c r="C121" s="7" t="s">
        <v>76</v>
      </c>
      <c r="D121" s="8">
        <v>1.0</v>
      </c>
      <c r="E121" s="7" t="s">
        <v>22</v>
      </c>
      <c r="F121" s="5" t="s">
        <v>146</v>
      </c>
      <c r="G121" s="9">
        <v>9.0042231E7</v>
      </c>
      <c r="H121" s="5" t="s">
        <v>65</v>
      </c>
      <c r="I121" s="10" t="s">
        <v>60</v>
      </c>
      <c r="J121" s="11">
        <v>5347829.0</v>
      </c>
      <c r="K121" s="11">
        <v>0.0</v>
      </c>
    </row>
    <row r="122">
      <c r="A122" s="5" t="s">
        <v>74</v>
      </c>
      <c r="B122" s="6" t="s">
        <v>75</v>
      </c>
      <c r="C122" s="7" t="s">
        <v>76</v>
      </c>
      <c r="D122" s="8">
        <v>1.0</v>
      </c>
      <c r="E122" s="7" t="s">
        <v>22</v>
      </c>
      <c r="F122" s="5" t="s">
        <v>146</v>
      </c>
      <c r="G122" s="9">
        <v>9.0042126E7</v>
      </c>
      <c r="H122" s="5" t="s">
        <v>31</v>
      </c>
      <c r="I122" s="10" t="s">
        <v>25</v>
      </c>
      <c r="J122" s="11">
        <v>3.4066073E7</v>
      </c>
      <c r="K122" s="11">
        <v>0.0</v>
      </c>
    </row>
    <row r="123">
      <c r="A123" s="5" t="s">
        <v>74</v>
      </c>
      <c r="B123" s="6" t="s">
        <v>148</v>
      </c>
      <c r="C123" s="7" t="s">
        <v>149</v>
      </c>
      <c r="D123" s="8">
        <v>1.0</v>
      </c>
      <c r="E123" s="13">
        <v>46038.0</v>
      </c>
      <c r="F123" s="5" t="s">
        <v>150</v>
      </c>
      <c r="G123" s="9">
        <v>9.0043001E7</v>
      </c>
      <c r="H123" s="5" t="s">
        <v>18</v>
      </c>
      <c r="I123" s="10" t="s">
        <v>19</v>
      </c>
      <c r="J123" s="11">
        <v>5062860.0</v>
      </c>
      <c r="K123" s="11">
        <v>44.0</v>
      </c>
    </row>
    <row r="124">
      <c r="A124" s="5" t="s">
        <v>74</v>
      </c>
      <c r="B124" s="6" t="s">
        <v>148</v>
      </c>
      <c r="C124" s="7" t="s">
        <v>149</v>
      </c>
      <c r="D124" s="8">
        <v>1.0</v>
      </c>
      <c r="E124" s="13">
        <v>46158.0</v>
      </c>
      <c r="F124" s="5" t="s">
        <v>151</v>
      </c>
      <c r="G124" s="9">
        <v>9.0043001E7</v>
      </c>
      <c r="H124" s="5" t="s">
        <v>18</v>
      </c>
      <c r="I124" s="10" t="s">
        <v>19</v>
      </c>
      <c r="J124" s="11">
        <v>1380780.0</v>
      </c>
      <c r="K124" s="11">
        <v>12.0</v>
      </c>
    </row>
    <row r="125">
      <c r="A125" s="5" t="s">
        <v>74</v>
      </c>
      <c r="B125" s="6" t="s">
        <v>148</v>
      </c>
      <c r="C125" s="7" t="s">
        <v>149</v>
      </c>
      <c r="D125" s="8">
        <v>1.0</v>
      </c>
      <c r="E125" s="7" t="s">
        <v>84</v>
      </c>
      <c r="F125" s="5" t="s">
        <v>85</v>
      </c>
      <c r="G125" s="9">
        <v>9.0043001E7</v>
      </c>
      <c r="H125" s="5" t="s">
        <v>18</v>
      </c>
      <c r="I125" s="10" t="s">
        <v>19</v>
      </c>
      <c r="J125" s="11">
        <v>6.187582E7</v>
      </c>
      <c r="K125" s="11">
        <v>506.0</v>
      </c>
    </row>
    <row r="126">
      <c r="A126" s="5" t="s">
        <v>74</v>
      </c>
      <c r="B126" s="6" t="s">
        <v>148</v>
      </c>
      <c r="C126" s="7" t="s">
        <v>149</v>
      </c>
      <c r="D126" s="8">
        <v>1.0</v>
      </c>
      <c r="E126" s="7" t="s">
        <v>86</v>
      </c>
      <c r="F126" s="5" t="s">
        <v>87</v>
      </c>
      <c r="G126" s="9">
        <v>9.0043001E7</v>
      </c>
      <c r="H126" s="5" t="s">
        <v>18</v>
      </c>
      <c r="I126" s="10" t="s">
        <v>19</v>
      </c>
      <c r="J126" s="11">
        <v>5.6852746E7</v>
      </c>
      <c r="K126" s="11">
        <v>463.0</v>
      </c>
    </row>
    <row r="127">
      <c r="A127" s="5" t="s">
        <v>74</v>
      </c>
      <c r="B127" s="6" t="s">
        <v>148</v>
      </c>
      <c r="C127" s="7" t="s">
        <v>149</v>
      </c>
      <c r="D127" s="8">
        <v>1.0</v>
      </c>
      <c r="E127" s="7" t="s">
        <v>86</v>
      </c>
      <c r="F127" s="5" t="s">
        <v>87</v>
      </c>
      <c r="G127" s="9">
        <v>9.0043E7</v>
      </c>
      <c r="H127" s="5" t="s">
        <v>83</v>
      </c>
      <c r="I127" s="10" t="s">
        <v>19</v>
      </c>
      <c r="J127" s="11">
        <v>1434024.0</v>
      </c>
      <c r="K127" s="11">
        <v>12.0</v>
      </c>
    </row>
    <row r="128">
      <c r="A128" s="5" t="s">
        <v>74</v>
      </c>
      <c r="B128" s="6" t="s">
        <v>148</v>
      </c>
      <c r="C128" s="7" t="s">
        <v>149</v>
      </c>
      <c r="D128" s="8">
        <v>1.0</v>
      </c>
      <c r="E128" s="7" t="s">
        <v>152</v>
      </c>
      <c r="F128" s="5" t="s">
        <v>153</v>
      </c>
      <c r="G128" s="9">
        <v>9.0043003E7</v>
      </c>
      <c r="H128" s="5" t="s">
        <v>90</v>
      </c>
      <c r="I128" s="10" t="s">
        <v>50</v>
      </c>
      <c r="J128" s="11">
        <v>1.3140908E7</v>
      </c>
      <c r="K128" s="11">
        <v>56.2</v>
      </c>
    </row>
    <row r="129">
      <c r="A129" s="5" t="s">
        <v>74</v>
      </c>
      <c r="B129" s="6" t="s">
        <v>148</v>
      </c>
      <c r="C129" s="7" t="s">
        <v>149</v>
      </c>
      <c r="D129" s="8">
        <v>1.0</v>
      </c>
      <c r="E129" s="7" t="s">
        <v>154</v>
      </c>
      <c r="F129" s="5" t="s">
        <v>155</v>
      </c>
      <c r="G129" s="9">
        <v>5.1100651E7</v>
      </c>
      <c r="H129" s="5" t="s">
        <v>38</v>
      </c>
      <c r="I129" s="10" t="s">
        <v>25</v>
      </c>
      <c r="J129" s="11">
        <v>6885239.0</v>
      </c>
      <c r="K129" s="11">
        <v>0.0</v>
      </c>
    </row>
    <row r="130">
      <c r="A130" s="5" t="s">
        <v>74</v>
      </c>
      <c r="B130" s="6" t="s">
        <v>148</v>
      </c>
      <c r="C130" s="7" t="s">
        <v>149</v>
      </c>
      <c r="D130" s="8">
        <v>1.0</v>
      </c>
      <c r="E130" s="7" t="s">
        <v>154</v>
      </c>
      <c r="F130" s="5" t="s">
        <v>155</v>
      </c>
      <c r="G130" s="9">
        <v>9.0043002E7</v>
      </c>
      <c r="H130" s="5" t="s">
        <v>49</v>
      </c>
      <c r="I130" s="10" t="s">
        <v>50</v>
      </c>
      <c r="J130" s="11">
        <v>1.107414E7</v>
      </c>
      <c r="K130" s="11">
        <v>952.0</v>
      </c>
    </row>
    <row r="131">
      <c r="A131" s="5" t="s">
        <v>74</v>
      </c>
      <c r="B131" s="6" t="s">
        <v>148</v>
      </c>
      <c r="C131" s="7" t="s">
        <v>149</v>
      </c>
      <c r="D131" s="8">
        <v>1.0</v>
      </c>
      <c r="E131" s="7" t="s">
        <v>91</v>
      </c>
      <c r="F131" s="5" t="s">
        <v>92</v>
      </c>
      <c r="G131" s="9">
        <v>9.0043001E7</v>
      </c>
      <c r="H131" s="5" t="s">
        <v>18</v>
      </c>
      <c r="I131" s="10" t="s">
        <v>19</v>
      </c>
      <c r="J131" s="11">
        <v>1.1594607E7</v>
      </c>
      <c r="K131" s="11">
        <v>103.0</v>
      </c>
    </row>
    <row r="132">
      <c r="A132" s="5" t="s">
        <v>74</v>
      </c>
      <c r="B132" s="6" t="s">
        <v>148</v>
      </c>
      <c r="C132" s="7" t="s">
        <v>149</v>
      </c>
      <c r="D132" s="8">
        <v>1.0</v>
      </c>
      <c r="E132" s="7" t="s">
        <v>91</v>
      </c>
      <c r="F132" s="5" t="s">
        <v>92</v>
      </c>
      <c r="G132" s="9">
        <v>9.0043E7</v>
      </c>
      <c r="H132" s="5" t="s">
        <v>83</v>
      </c>
      <c r="I132" s="10" t="s">
        <v>19</v>
      </c>
      <c r="J132" s="11">
        <v>1314522.0</v>
      </c>
      <c r="K132" s="11">
        <v>11.0</v>
      </c>
    </row>
    <row r="133">
      <c r="A133" s="5" t="s">
        <v>74</v>
      </c>
      <c r="B133" s="6" t="s">
        <v>148</v>
      </c>
      <c r="C133" s="7" t="s">
        <v>149</v>
      </c>
      <c r="D133" s="8">
        <v>1.0</v>
      </c>
      <c r="E133" s="7" t="s">
        <v>156</v>
      </c>
      <c r="F133" s="5" t="s">
        <v>157</v>
      </c>
      <c r="G133" s="9">
        <v>9.0043001E7</v>
      </c>
      <c r="H133" s="5" t="s">
        <v>18</v>
      </c>
      <c r="I133" s="10" t="s">
        <v>19</v>
      </c>
      <c r="J133" s="11">
        <v>5498640.0</v>
      </c>
      <c r="K133" s="11">
        <v>45.0</v>
      </c>
    </row>
    <row r="134">
      <c r="A134" s="5" t="s">
        <v>74</v>
      </c>
      <c r="B134" s="6" t="s">
        <v>148</v>
      </c>
      <c r="C134" s="7" t="s">
        <v>149</v>
      </c>
      <c r="D134" s="8">
        <v>1.0</v>
      </c>
      <c r="E134" s="7" t="s">
        <v>95</v>
      </c>
      <c r="F134" s="5" t="s">
        <v>96</v>
      </c>
      <c r="G134" s="9">
        <v>5.1100058E7</v>
      </c>
      <c r="H134" s="5" t="s">
        <v>36</v>
      </c>
      <c r="I134" s="10" t="s">
        <v>37</v>
      </c>
      <c r="J134" s="11">
        <v>1.878231E7</v>
      </c>
      <c r="K134" s="11">
        <v>260.935</v>
      </c>
    </row>
    <row r="135">
      <c r="A135" s="5" t="s">
        <v>74</v>
      </c>
      <c r="B135" s="6" t="s">
        <v>148</v>
      </c>
      <c r="C135" s="7" t="s">
        <v>149</v>
      </c>
      <c r="D135" s="8">
        <v>1.0</v>
      </c>
      <c r="E135" s="7" t="s">
        <v>95</v>
      </c>
      <c r="F135" s="5" t="s">
        <v>96</v>
      </c>
      <c r="G135" s="9">
        <v>5.1100064E7</v>
      </c>
      <c r="H135" s="5" t="s">
        <v>53</v>
      </c>
      <c r="I135" s="10" t="s">
        <v>37</v>
      </c>
      <c r="J135" s="11">
        <v>3600000.0</v>
      </c>
      <c r="K135" s="11">
        <v>6.0</v>
      </c>
    </row>
    <row r="136">
      <c r="A136" s="5" t="s">
        <v>74</v>
      </c>
      <c r="B136" s="6" t="s">
        <v>148</v>
      </c>
      <c r="C136" s="7" t="s">
        <v>149</v>
      </c>
      <c r="D136" s="8">
        <v>1.0</v>
      </c>
      <c r="E136" s="7" t="s">
        <v>101</v>
      </c>
      <c r="F136" s="5" t="s">
        <v>102</v>
      </c>
      <c r="G136" s="9">
        <v>9.0043001E7</v>
      </c>
      <c r="H136" s="5" t="s">
        <v>18</v>
      </c>
      <c r="I136" s="10" t="s">
        <v>19</v>
      </c>
      <c r="J136" s="11">
        <v>8.7375625E7</v>
      </c>
      <c r="K136" s="11">
        <v>733.0</v>
      </c>
    </row>
    <row r="137">
      <c r="A137" s="5" t="s">
        <v>74</v>
      </c>
      <c r="B137" s="6" t="s">
        <v>148</v>
      </c>
      <c r="C137" s="7" t="s">
        <v>149</v>
      </c>
      <c r="D137" s="8">
        <v>1.0</v>
      </c>
      <c r="E137" s="7" t="s">
        <v>103</v>
      </c>
      <c r="F137" s="5" t="s">
        <v>104</v>
      </c>
      <c r="G137" s="9">
        <v>5.1100058E7</v>
      </c>
      <c r="H137" s="5" t="s">
        <v>36</v>
      </c>
      <c r="I137" s="10" t="s">
        <v>37</v>
      </c>
      <c r="J137" s="11">
        <v>1.7167122E7</v>
      </c>
      <c r="K137" s="11">
        <v>211.12</v>
      </c>
    </row>
    <row r="138">
      <c r="A138" s="5" t="s">
        <v>74</v>
      </c>
      <c r="B138" s="6" t="s">
        <v>148</v>
      </c>
      <c r="C138" s="7" t="s">
        <v>149</v>
      </c>
      <c r="D138" s="8">
        <v>1.0</v>
      </c>
      <c r="E138" s="7" t="s">
        <v>103</v>
      </c>
      <c r="F138" s="5" t="s">
        <v>104</v>
      </c>
      <c r="G138" s="9">
        <v>9.0043001E7</v>
      </c>
      <c r="H138" s="5" t="s">
        <v>18</v>
      </c>
      <c r="I138" s="10" t="s">
        <v>19</v>
      </c>
      <c r="J138" s="11">
        <v>5.1257268E7</v>
      </c>
      <c r="K138" s="11">
        <v>433.0</v>
      </c>
    </row>
    <row r="139">
      <c r="A139" s="5" t="s">
        <v>74</v>
      </c>
      <c r="B139" s="6" t="s">
        <v>148</v>
      </c>
      <c r="C139" s="7" t="s">
        <v>149</v>
      </c>
      <c r="D139" s="8">
        <v>1.0</v>
      </c>
      <c r="E139" s="7" t="s">
        <v>158</v>
      </c>
      <c r="F139" s="5" t="s">
        <v>159</v>
      </c>
      <c r="G139" s="9">
        <v>9.0043E7</v>
      </c>
      <c r="H139" s="5" t="s">
        <v>83</v>
      </c>
      <c r="I139" s="10" t="s">
        <v>19</v>
      </c>
      <c r="J139" s="11">
        <v>3562500.0</v>
      </c>
      <c r="K139" s="11">
        <v>25.0</v>
      </c>
    </row>
    <row r="140">
      <c r="A140" s="5" t="s">
        <v>74</v>
      </c>
      <c r="B140" s="6" t="s">
        <v>148</v>
      </c>
      <c r="C140" s="7" t="s">
        <v>149</v>
      </c>
      <c r="D140" s="8">
        <v>1.0</v>
      </c>
      <c r="E140" s="7" t="s">
        <v>117</v>
      </c>
      <c r="F140" s="5" t="s">
        <v>118</v>
      </c>
      <c r="G140" s="9">
        <v>9.0043001E7</v>
      </c>
      <c r="H140" s="5" t="s">
        <v>18</v>
      </c>
      <c r="I140" s="10" t="s">
        <v>19</v>
      </c>
      <c r="J140" s="11">
        <v>228536.0</v>
      </c>
      <c r="K140" s="11">
        <v>2.0</v>
      </c>
    </row>
    <row r="141">
      <c r="A141" s="5" t="s">
        <v>74</v>
      </c>
      <c r="B141" s="6" t="s">
        <v>148</v>
      </c>
      <c r="C141" s="7" t="s">
        <v>149</v>
      </c>
      <c r="D141" s="8">
        <v>1.0</v>
      </c>
      <c r="E141" s="7" t="s">
        <v>123</v>
      </c>
      <c r="F141" s="5" t="s">
        <v>124</v>
      </c>
      <c r="G141" s="9">
        <v>5.1100651E7</v>
      </c>
      <c r="H141" s="5" t="s">
        <v>38</v>
      </c>
      <c r="I141" s="10" t="s">
        <v>25</v>
      </c>
      <c r="J141" s="11">
        <v>-3938816.0</v>
      </c>
      <c r="K141" s="11">
        <v>-784.0</v>
      </c>
    </row>
    <row r="142">
      <c r="A142" s="5" t="s">
        <v>74</v>
      </c>
      <c r="B142" s="6" t="s">
        <v>148</v>
      </c>
      <c r="C142" s="7" t="s">
        <v>149</v>
      </c>
      <c r="D142" s="8">
        <v>1.0</v>
      </c>
      <c r="E142" s="7" t="s">
        <v>160</v>
      </c>
      <c r="F142" s="5" t="s">
        <v>161</v>
      </c>
      <c r="G142" s="9">
        <v>9.0043001E7</v>
      </c>
      <c r="H142" s="5" t="s">
        <v>18</v>
      </c>
      <c r="I142" s="10" t="s">
        <v>19</v>
      </c>
      <c r="J142" s="11">
        <v>2646495.0</v>
      </c>
      <c r="K142" s="11">
        <v>23.0</v>
      </c>
    </row>
    <row r="143">
      <c r="A143" s="5" t="s">
        <v>74</v>
      </c>
      <c r="B143" s="6" t="s">
        <v>148</v>
      </c>
      <c r="C143" s="7" t="s">
        <v>149</v>
      </c>
      <c r="D143" s="8">
        <v>1.0</v>
      </c>
      <c r="E143" s="7" t="s">
        <v>125</v>
      </c>
      <c r="F143" s="5" t="s">
        <v>126</v>
      </c>
      <c r="G143" s="9">
        <v>5.1101056E7</v>
      </c>
      <c r="H143" s="5" t="s">
        <v>16</v>
      </c>
      <c r="I143" s="10" t="s">
        <v>25</v>
      </c>
      <c r="J143" s="11">
        <v>6200000.0</v>
      </c>
      <c r="K143" s="11">
        <v>0.0</v>
      </c>
    </row>
    <row r="144">
      <c r="A144" s="5" t="s">
        <v>74</v>
      </c>
      <c r="B144" s="6" t="s">
        <v>148</v>
      </c>
      <c r="C144" s="7" t="s">
        <v>149</v>
      </c>
      <c r="D144" s="8">
        <v>1.0</v>
      </c>
      <c r="E144" s="7" t="s">
        <v>125</v>
      </c>
      <c r="F144" s="5" t="s">
        <v>126</v>
      </c>
      <c r="G144" s="9">
        <v>9.0043001E7</v>
      </c>
      <c r="H144" s="5" t="s">
        <v>18</v>
      </c>
      <c r="I144" s="10" t="s">
        <v>19</v>
      </c>
      <c r="J144" s="11">
        <v>2.32123684E8</v>
      </c>
      <c r="K144" s="11">
        <v>1957.5</v>
      </c>
    </row>
    <row r="145">
      <c r="A145" s="5" t="s">
        <v>74</v>
      </c>
      <c r="B145" s="6" t="s">
        <v>148</v>
      </c>
      <c r="C145" s="7" t="s">
        <v>149</v>
      </c>
      <c r="D145" s="8">
        <v>1.0</v>
      </c>
      <c r="E145" s="7" t="s">
        <v>127</v>
      </c>
      <c r="F145" s="5" t="s">
        <v>128</v>
      </c>
      <c r="G145" s="9">
        <v>5.1100153E7</v>
      </c>
      <c r="H145" s="5" t="s">
        <v>72</v>
      </c>
      <c r="I145" s="10" t="s">
        <v>17</v>
      </c>
      <c r="J145" s="11">
        <v>2.41228905E8</v>
      </c>
      <c r="K145" s="11">
        <v>1589900.0</v>
      </c>
    </row>
    <row r="146">
      <c r="A146" s="5" t="s">
        <v>74</v>
      </c>
      <c r="B146" s="6" t="s">
        <v>148</v>
      </c>
      <c r="C146" s="7" t="s">
        <v>149</v>
      </c>
      <c r="D146" s="8">
        <v>1.0</v>
      </c>
      <c r="E146" s="7" t="s">
        <v>127</v>
      </c>
      <c r="F146" s="5" t="s">
        <v>128</v>
      </c>
      <c r="G146" s="9">
        <v>5.1101056E7</v>
      </c>
      <c r="H146" s="5" t="s">
        <v>16</v>
      </c>
      <c r="I146" s="10" t="s">
        <v>25</v>
      </c>
      <c r="J146" s="11">
        <v>0.0</v>
      </c>
      <c r="K146" s="11">
        <v>0.0</v>
      </c>
    </row>
    <row r="147">
      <c r="A147" s="5" t="s">
        <v>74</v>
      </c>
      <c r="B147" s="6" t="s">
        <v>148</v>
      </c>
      <c r="C147" s="7" t="s">
        <v>149</v>
      </c>
      <c r="D147" s="8">
        <v>1.0</v>
      </c>
      <c r="E147" s="7" t="s">
        <v>127</v>
      </c>
      <c r="F147" s="5" t="s">
        <v>128</v>
      </c>
      <c r="G147" s="9">
        <v>9.0043002E7</v>
      </c>
      <c r="H147" s="5" t="s">
        <v>49</v>
      </c>
      <c r="I147" s="10" t="s">
        <v>50</v>
      </c>
      <c r="J147" s="11">
        <v>2.8978683E7</v>
      </c>
      <c r="K147" s="11">
        <v>1857.0</v>
      </c>
    </row>
    <row r="148">
      <c r="A148" s="5" t="s">
        <v>74</v>
      </c>
      <c r="B148" s="6" t="s">
        <v>148</v>
      </c>
      <c r="C148" s="7" t="s">
        <v>149</v>
      </c>
      <c r="D148" s="8">
        <v>1.0</v>
      </c>
      <c r="E148" s="7" t="s">
        <v>129</v>
      </c>
      <c r="F148" s="5" t="s">
        <v>130</v>
      </c>
      <c r="G148" s="9">
        <v>5.1100153E7</v>
      </c>
      <c r="H148" s="5" t="s">
        <v>72</v>
      </c>
      <c r="I148" s="10" t="s">
        <v>25</v>
      </c>
      <c r="J148" s="11">
        <v>0.0</v>
      </c>
      <c r="K148" s="11">
        <v>0.0</v>
      </c>
    </row>
    <row r="149">
      <c r="A149" s="5" t="s">
        <v>74</v>
      </c>
      <c r="B149" s="6" t="s">
        <v>148</v>
      </c>
      <c r="C149" s="7" t="s">
        <v>149</v>
      </c>
      <c r="D149" s="8">
        <v>1.0</v>
      </c>
      <c r="E149" s="7" t="s">
        <v>129</v>
      </c>
      <c r="F149" s="5" t="s">
        <v>130</v>
      </c>
      <c r="G149" s="9">
        <v>5.1101056E7</v>
      </c>
      <c r="H149" s="5" t="s">
        <v>16</v>
      </c>
      <c r="I149" s="10" t="s">
        <v>17</v>
      </c>
      <c r="J149" s="11">
        <v>5.739139E7</v>
      </c>
      <c r="K149" s="11">
        <v>819877.0</v>
      </c>
    </row>
    <row r="150">
      <c r="A150" s="5" t="s">
        <v>74</v>
      </c>
      <c r="B150" s="6" t="s">
        <v>148</v>
      </c>
      <c r="C150" s="7" t="s">
        <v>149</v>
      </c>
      <c r="D150" s="8">
        <v>1.0</v>
      </c>
      <c r="E150" s="7" t="s">
        <v>129</v>
      </c>
      <c r="F150" s="5" t="s">
        <v>130</v>
      </c>
      <c r="G150" s="9">
        <v>9.0043001E7</v>
      </c>
      <c r="H150" s="5" t="s">
        <v>18</v>
      </c>
      <c r="I150" s="10" t="s">
        <v>19</v>
      </c>
      <c r="J150" s="11">
        <v>1.1134584E7</v>
      </c>
      <c r="K150" s="11">
        <v>84.0</v>
      </c>
    </row>
    <row r="151">
      <c r="A151" s="5" t="s">
        <v>74</v>
      </c>
      <c r="B151" s="6" t="s">
        <v>148</v>
      </c>
      <c r="C151" s="7" t="s">
        <v>149</v>
      </c>
      <c r="D151" s="8">
        <v>1.0</v>
      </c>
      <c r="E151" s="7" t="s">
        <v>129</v>
      </c>
      <c r="F151" s="5" t="s">
        <v>130</v>
      </c>
      <c r="G151" s="9">
        <v>9.0043002E7</v>
      </c>
      <c r="H151" s="5" t="s">
        <v>49</v>
      </c>
      <c r="I151" s="10" t="s">
        <v>50</v>
      </c>
      <c r="J151" s="11">
        <v>558360.0</v>
      </c>
      <c r="K151" s="11">
        <v>48.0</v>
      </c>
    </row>
    <row r="152">
      <c r="A152" s="5" t="s">
        <v>74</v>
      </c>
      <c r="B152" s="6" t="s">
        <v>148</v>
      </c>
      <c r="C152" s="7" t="s">
        <v>149</v>
      </c>
      <c r="D152" s="8">
        <v>1.0</v>
      </c>
      <c r="E152" s="7" t="s">
        <v>129</v>
      </c>
      <c r="F152" s="5" t="s">
        <v>130</v>
      </c>
      <c r="G152" s="9">
        <v>9.0043003E7</v>
      </c>
      <c r="H152" s="5" t="s">
        <v>90</v>
      </c>
      <c r="I152" s="10" t="s">
        <v>50</v>
      </c>
      <c r="J152" s="11">
        <v>2.9714061E7</v>
      </c>
      <c r="K152" s="11">
        <v>292.0</v>
      </c>
    </row>
    <row r="153">
      <c r="A153" s="5" t="s">
        <v>74</v>
      </c>
      <c r="B153" s="6" t="s">
        <v>148</v>
      </c>
      <c r="C153" s="7" t="s">
        <v>149</v>
      </c>
      <c r="D153" s="8">
        <v>1.0</v>
      </c>
      <c r="E153" s="7" t="s">
        <v>129</v>
      </c>
      <c r="F153" s="5" t="s">
        <v>130</v>
      </c>
      <c r="G153" s="9">
        <v>9.0043E7</v>
      </c>
      <c r="H153" s="5" t="s">
        <v>83</v>
      </c>
      <c r="I153" s="10" t="s">
        <v>19</v>
      </c>
      <c r="J153" s="11">
        <v>1182332.0</v>
      </c>
      <c r="K153" s="11">
        <v>9.5</v>
      </c>
    </row>
    <row r="154">
      <c r="A154" s="5" t="s">
        <v>74</v>
      </c>
      <c r="B154" s="6" t="s">
        <v>148</v>
      </c>
      <c r="C154" s="7" t="s">
        <v>149</v>
      </c>
      <c r="D154" s="8">
        <v>1.0</v>
      </c>
      <c r="E154" s="7" t="s">
        <v>135</v>
      </c>
      <c r="F154" s="5" t="s">
        <v>136</v>
      </c>
      <c r="G154" s="9">
        <v>9.0043001E7</v>
      </c>
      <c r="H154" s="5" t="s">
        <v>18</v>
      </c>
      <c r="I154" s="10" t="s">
        <v>19</v>
      </c>
      <c r="J154" s="11">
        <v>4.4562521E7</v>
      </c>
      <c r="K154" s="11">
        <v>388.0</v>
      </c>
    </row>
    <row r="155">
      <c r="A155" s="5" t="s">
        <v>74</v>
      </c>
      <c r="B155" s="6" t="s">
        <v>148</v>
      </c>
      <c r="C155" s="7" t="s">
        <v>149</v>
      </c>
      <c r="D155" s="8">
        <v>1.0</v>
      </c>
      <c r="E155" s="7" t="s">
        <v>162</v>
      </c>
      <c r="F155" s="5" t="s">
        <v>163</v>
      </c>
      <c r="G155" s="9">
        <v>9.0043001E7</v>
      </c>
      <c r="H155" s="5" t="s">
        <v>18</v>
      </c>
      <c r="I155" s="10" t="s">
        <v>19</v>
      </c>
      <c r="J155" s="11">
        <v>621770.0</v>
      </c>
      <c r="K155" s="11">
        <v>5.0</v>
      </c>
    </row>
    <row r="156">
      <c r="A156" s="5" t="s">
        <v>74</v>
      </c>
      <c r="B156" s="6" t="s">
        <v>148</v>
      </c>
      <c r="C156" s="7" t="s">
        <v>149</v>
      </c>
      <c r="D156" s="8">
        <v>1.0</v>
      </c>
      <c r="E156" s="7" t="s">
        <v>54</v>
      </c>
      <c r="F156" s="5" t="s">
        <v>139</v>
      </c>
      <c r="G156" s="9">
        <v>9.0042011E7</v>
      </c>
      <c r="H156" s="5" t="s">
        <v>55</v>
      </c>
      <c r="I156" s="10" t="s">
        <v>19</v>
      </c>
      <c r="J156" s="11">
        <v>3.13074819E8</v>
      </c>
      <c r="K156" s="11">
        <v>0.0</v>
      </c>
    </row>
    <row r="157">
      <c r="A157" s="5" t="s">
        <v>74</v>
      </c>
      <c r="B157" s="6" t="s">
        <v>148</v>
      </c>
      <c r="C157" s="7" t="s">
        <v>149</v>
      </c>
      <c r="D157" s="8">
        <v>1.0</v>
      </c>
      <c r="E157" s="7" t="s">
        <v>164</v>
      </c>
      <c r="F157" s="5" t="s">
        <v>165</v>
      </c>
      <c r="G157" s="9">
        <v>9.0042079E7</v>
      </c>
      <c r="H157" s="5" t="s">
        <v>166</v>
      </c>
      <c r="I157" s="10" t="s">
        <v>19</v>
      </c>
      <c r="J157" s="11">
        <v>56000.0</v>
      </c>
      <c r="K157" s="11">
        <v>0.0</v>
      </c>
    </row>
    <row r="158">
      <c r="A158" s="5" t="s">
        <v>74</v>
      </c>
      <c r="B158" s="6" t="s">
        <v>148</v>
      </c>
      <c r="C158" s="7" t="s">
        <v>149</v>
      </c>
      <c r="D158" s="8">
        <v>1.0</v>
      </c>
      <c r="E158" s="7" t="s">
        <v>20</v>
      </c>
      <c r="F158" s="5" t="s">
        <v>140</v>
      </c>
      <c r="G158" s="9">
        <v>9.0042014E7</v>
      </c>
      <c r="H158" s="5" t="s">
        <v>21</v>
      </c>
      <c r="I158" s="10" t="s">
        <v>19</v>
      </c>
      <c r="J158" s="11">
        <v>3.51307285E8</v>
      </c>
      <c r="K158" s="11">
        <v>0.0</v>
      </c>
    </row>
    <row r="159">
      <c r="A159" s="5" t="s">
        <v>74</v>
      </c>
      <c r="B159" s="6" t="s">
        <v>148</v>
      </c>
      <c r="C159" s="7" t="s">
        <v>149</v>
      </c>
      <c r="D159" s="8">
        <v>1.0</v>
      </c>
      <c r="E159" s="7" t="s">
        <v>20</v>
      </c>
      <c r="F159" s="5" t="s">
        <v>140</v>
      </c>
      <c r="G159" s="9">
        <v>9.0042077E7</v>
      </c>
      <c r="H159" s="5" t="s">
        <v>141</v>
      </c>
      <c r="I159" s="10" t="s">
        <v>19</v>
      </c>
      <c r="J159" s="11">
        <v>9.9669822E7</v>
      </c>
      <c r="K159" s="11">
        <v>0.0</v>
      </c>
    </row>
    <row r="160">
      <c r="A160" s="5" t="s">
        <v>74</v>
      </c>
      <c r="B160" s="6" t="s">
        <v>148</v>
      </c>
      <c r="C160" s="7" t="s">
        <v>149</v>
      </c>
      <c r="D160" s="8">
        <v>1.0</v>
      </c>
      <c r="E160" s="7" t="s">
        <v>142</v>
      </c>
      <c r="F160" s="5" t="s">
        <v>143</v>
      </c>
      <c r="G160" s="9">
        <v>9.0042013E7</v>
      </c>
      <c r="H160" s="5" t="s">
        <v>144</v>
      </c>
      <c r="I160" s="10" t="s">
        <v>19</v>
      </c>
      <c r="J160" s="11">
        <v>1.7679536E7</v>
      </c>
      <c r="K160" s="11">
        <v>0.0</v>
      </c>
    </row>
    <row r="161">
      <c r="A161" s="5" t="s">
        <v>74</v>
      </c>
      <c r="B161" s="6" t="s">
        <v>148</v>
      </c>
      <c r="C161" s="7" t="s">
        <v>149</v>
      </c>
      <c r="D161" s="8">
        <v>1.0</v>
      </c>
      <c r="E161" s="7" t="s">
        <v>142</v>
      </c>
      <c r="F161" s="5" t="s">
        <v>143</v>
      </c>
      <c r="G161" s="9">
        <v>9.0042084E7</v>
      </c>
      <c r="H161" s="5" t="s">
        <v>145</v>
      </c>
      <c r="I161" s="10" t="s">
        <v>19</v>
      </c>
      <c r="J161" s="11">
        <v>2.0517888E7</v>
      </c>
      <c r="K161" s="11">
        <v>0.0</v>
      </c>
    </row>
    <row r="162">
      <c r="A162" s="5" t="s">
        <v>74</v>
      </c>
      <c r="B162" s="6" t="s">
        <v>148</v>
      </c>
      <c r="C162" s="7" t="s">
        <v>149</v>
      </c>
      <c r="D162" s="8">
        <v>1.0</v>
      </c>
      <c r="E162" s="7" t="s">
        <v>22</v>
      </c>
      <c r="F162" s="5" t="s">
        <v>146</v>
      </c>
      <c r="G162" s="9">
        <v>9.0042012E7</v>
      </c>
      <c r="H162" s="5" t="s">
        <v>23</v>
      </c>
      <c r="I162" s="10" t="s">
        <v>19</v>
      </c>
      <c r="J162" s="11">
        <v>1.24586776E8</v>
      </c>
      <c r="K162" s="11">
        <v>0.0</v>
      </c>
    </row>
    <row r="163">
      <c r="A163" s="5" t="s">
        <v>74</v>
      </c>
      <c r="B163" s="6" t="s">
        <v>148</v>
      </c>
      <c r="C163" s="7" t="s">
        <v>149</v>
      </c>
      <c r="D163" s="8">
        <v>1.0</v>
      </c>
      <c r="E163" s="7" t="s">
        <v>22</v>
      </c>
      <c r="F163" s="5" t="s">
        <v>146</v>
      </c>
      <c r="G163" s="9">
        <v>9.0042121E7</v>
      </c>
      <c r="H163" s="5" t="s">
        <v>24</v>
      </c>
      <c r="I163" s="10" t="s">
        <v>25</v>
      </c>
      <c r="J163" s="11">
        <v>1.69408742E8</v>
      </c>
      <c r="K163" s="11">
        <v>0.0</v>
      </c>
    </row>
    <row r="164">
      <c r="A164" s="5" t="s">
        <v>74</v>
      </c>
      <c r="B164" s="6" t="s">
        <v>148</v>
      </c>
      <c r="C164" s="7" t="s">
        <v>149</v>
      </c>
      <c r="D164" s="8">
        <v>1.0</v>
      </c>
      <c r="E164" s="7" t="s">
        <v>22</v>
      </c>
      <c r="F164" s="5" t="s">
        <v>146</v>
      </c>
      <c r="G164" s="9">
        <v>9.0042122E7</v>
      </c>
      <c r="H164" s="5" t="s">
        <v>56</v>
      </c>
      <c r="I164" s="10" t="s">
        <v>25</v>
      </c>
      <c r="J164" s="11">
        <v>1762352.0</v>
      </c>
      <c r="K164" s="11">
        <v>0.0</v>
      </c>
    </row>
    <row r="165">
      <c r="A165" s="5" t="s">
        <v>74</v>
      </c>
      <c r="B165" s="6" t="s">
        <v>148</v>
      </c>
      <c r="C165" s="7" t="s">
        <v>149</v>
      </c>
      <c r="D165" s="8">
        <v>1.0</v>
      </c>
      <c r="E165" s="7" t="s">
        <v>22</v>
      </c>
      <c r="F165" s="5" t="s">
        <v>146</v>
      </c>
      <c r="G165" s="9">
        <v>9.0042124E7</v>
      </c>
      <c r="H165" s="5" t="s">
        <v>57</v>
      </c>
      <c r="I165" s="10" t="s">
        <v>25</v>
      </c>
      <c r="J165" s="11">
        <v>3.8850895E7</v>
      </c>
      <c r="K165" s="11">
        <v>0.0</v>
      </c>
    </row>
    <row r="166">
      <c r="A166" s="5" t="s">
        <v>74</v>
      </c>
      <c r="B166" s="6" t="s">
        <v>148</v>
      </c>
      <c r="C166" s="7" t="s">
        <v>149</v>
      </c>
      <c r="D166" s="8">
        <v>1.0</v>
      </c>
      <c r="E166" s="7" t="s">
        <v>22</v>
      </c>
      <c r="F166" s="5" t="s">
        <v>146</v>
      </c>
      <c r="G166" s="9">
        <v>9.0042125E7</v>
      </c>
      <c r="H166" s="5" t="s">
        <v>26</v>
      </c>
      <c r="I166" s="10" t="s">
        <v>25</v>
      </c>
      <c r="J166" s="11">
        <v>6.2275364E7</v>
      </c>
      <c r="K166" s="11">
        <v>0.0</v>
      </c>
    </row>
    <row r="167">
      <c r="A167" s="5" t="s">
        <v>74</v>
      </c>
      <c r="B167" s="6" t="s">
        <v>148</v>
      </c>
      <c r="C167" s="7" t="s">
        <v>149</v>
      </c>
      <c r="D167" s="8">
        <v>1.0</v>
      </c>
      <c r="E167" s="7" t="s">
        <v>22</v>
      </c>
      <c r="F167" s="5" t="s">
        <v>146</v>
      </c>
      <c r="G167" s="9">
        <v>9.0042127E7</v>
      </c>
      <c r="H167" s="5" t="s">
        <v>27</v>
      </c>
      <c r="I167" s="10" t="s">
        <v>25</v>
      </c>
      <c r="J167" s="11">
        <v>3.4116732E7</v>
      </c>
      <c r="K167" s="11">
        <v>0.0</v>
      </c>
    </row>
    <row r="168">
      <c r="A168" s="5" t="s">
        <v>74</v>
      </c>
      <c r="B168" s="6" t="s">
        <v>148</v>
      </c>
      <c r="C168" s="7" t="s">
        <v>149</v>
      </c>
      <c r="D168" s="8">
        <v>1.0</v>
      </c>
      <c r="E168" s="7" t="s">
        <v>22</v>
      </c>
      <c r="F168" s="5" t="s">
        <v>146</v>
      </c>
      <c r="G168" s="9">
        <v>9.0042132E7</v>
      </c>
      <c r="H168" s="5" t="s">
        <v>28</v>
      </c>
      <c r="I168" s="10" t="s">
        <v>25</v>
      </c>
      <c r="J168" s="11">
        <v>1.6747722E7</v>
      </c>
      <c r="K168" s="11">
        <v>0.0</v>
      </c>
    </row>
    <row r="169">
      <c r="A169" s="5" t="s">
        <v>74</v>
      </c>
      <c r="B169" s="6" t="s">
        <v>148</v>
      </c>
      <c r="C169" s="7" t="s">
        <v>149</v>
      </c>
      <c r="D169" s="8">
        <v>1.0</v>
      </c>
      <c r="E169" s="7" t="s">
        <v>22</v>
      </c>
      <c r="F169" s="5" t="s">
        <v>146</v>
      </c>
      <c r="G169" s="9">
        <v>9.0042134E7</v>
      </c>
      <c r="H169" s="5" t="s">
        <v>29</v>
      </c>
      <c r="I169" s="10" t="s">
        <v>25</v>
      </c>
      <c r="J169" s="11">
        <v>350000.0</v>
      </c>
      <c r="K169" s="11">
        <v>0.0</v>
      </c>
    </row>
    <row r="170">
      <c r="A170" s="5" t="s">
        <v>74</v>
      </c>
      <c r="B170" s="6" t="s">
        <v>148</v>
      </c>
      <c r="C170" s="7" t="s">
        <v>149</v>
      </c>
      <c r="D170" s="8">
        <v>1.0</v>
      </c>
      <c r="E170" s="7" t="s">
        <v>22</v>
      </c>
      <c r="F170" s="5" t="s">
        <v>146</v>
      </c>
      <c r="G170" s="9">
        <v>9.0042135E7</v>
      </c>
      <c r="H170" s="5" t="s">
        <v>30</v>
      </c>
      <c r="I170" s="10" t="s">
        <v>25</v>
      </c>
      <c r="J170" s="11">
        <v>2.06888783E8</v>
      </c>
      <c r="K170" s="11">
        <v>0.0</v>
      </c>
    </row>
    <row r="171">
      <c r="A171" s="5" t="s">
        <v>74</v>
      </c>
      <c r="B171" s="6" t="s">
        <v>148</v>
      </c>
      <c r="C171" s="7" t="s">
        <v>149</v>
      </c>
      <c r="D171" s="8">
        <v>1.0</v>
      </c>
      <c r="E171" s="7" t="s">
        <v>22</v>
      </c>
      <c r="F171" s="5" t="s">
        <v>146</v>
      </c>
      <c r="G171" s="9">
        <v>9.00422E7</v>
      </c>
      <c r="H171" s="5" t="s">
        <v>73</v>
      </c>
      <c r="I171" s="10" t="s">
        <v>60</v>
      </c>
      <c r="J171" s="11">
        <v>2.01681431E8</v>
      </c>
      <c r="K171" s="11">
        <v>0.0</v>
      </c>
    </row>
    <row r="172">
      <c r="A172" s="5" t="s">
        <v>74</v>
      </c>
      <c r="B172" s="6" t="s">
        <v>148</v>
      </c>
      <c r="C172" s="7" t="s">
        <v>149</v>
      </c>
      <c r="D172" s="8">
        <v>1.0</v>
      </c>
      <c r="E172" s="7" t="s">
        <v>22</v>
      </c>
      <c r="F172" s="5" t="s">
        <v>146</v>
      </c>
      <c r="G172" s="9">
        <v>9.0042223E7</v>
      </c>
      <c r="H172" s="5" t="s">
        <v>61</v>
      </c>
      <c r="I172" s="10" t="s">
        <v>60</v>
      </c>
      <c r="J172" s="11">
        <v>7723531.0</v>
      </c>
      <c r="K172" s="11">
        <v>0.0</v>
      </c>
    </row>
    <row r="173">
      <c r="A173" s="5" t="s">
        <v>74</v>
      </c>
      <c r="B173" s="6" t="s">
        <v>148</v>
      </c>
      <c r="C173" s="7" t="s">
        <v>149</v>
      </c>
      <c r="D173" s="8">
        <v>1.0</v>
      </c>
      <c r="E173" s="7" t="s">
        <v>22</v>
      </c>
      <c r="F173" s="5" t="s">
        <v>146</v>
      </c>
      <c r="G173" s="9">
        <v>9.0042224E7</v>
      </c>
      <c r="H173" s="5" t="s">
        <v>62</v>
      </c>
      <c r="I173" s="10" t="s">
        <v>60</v>
      </c>
      <c r="J173" s="11">
        <v>1349183.0</v>
      </c>
      <c r="K173" s="11">
        <v>0.0</v>
      </c>
    </row>
    <row r="174">
      <c r="A174" s="5" t="s">
        <v>74</v>
      </c>
      <c r="B174" s="6" t="s">
        <v>148</v>
      </c>
      <c r="C174" s="7" t="s">
        <v>149</v>
      </c>
      <c r="D174" s="8">
        <v>1.0</v>
      </c>
      <c r="E174" s="7" t="s">
        <v>22</v>
      </c>
      <c r="F174" s="5" t="s">
        <v>146</v>
      </c>
      <c r="G174" s="9">
        <v>9.0042226E7</v>
      </c>
      <c r="H174" s="5" t="s">
        <v>63</v>
      </c>
      <c r="I174" s="10" t="s">
        <v>60</v>
      </c>
      <c r="J174" s="11">
        <v>660416.0</v>
      </c>
      <c r="K174" s="11">
        <v>0.0</v>
      </c>
    </row>
    <row r="175">
      <c r="A175" s="5" t="s">
        <v>74</v>
      </c>
      <c r="B175" s="6" t="s">
        <v>148</v>
      </c>
      <c r="C175" s="7" t="s">
        <v>149</v>
      </c>
      <c r="D175" s="8">
        <v>1.0</v>
      </c>
      <c r="E175" s="7" t="s">
        <v>22</v>
      </c>
      <c r="F175" s="5" t="s">
        <v>146</v>
      </c>
      <c r="G175" s="9">
        <v>9.0042228E7</v>
      </c>
      <c r="H175" s="5" t="s">
        <v>64</v>
      </c>
      <c r="I175" s="10" t="s">
        <v>60</v>
      </c>
      <c r="J175" s="11">
        <v>5.2437833E7</v>
      </c>
      <c r="K175" s="11">
        <v>0.0</v>
      </c>
    </row>
    <row r="176">
      <c r="A176" s="5" t="s">
        <v>74</v>
      </c>
      <c r="B176" s="6" t="s">
        <v>148</v>
      </c>
      <c r="C176" s="7" t="s">
        <v>149</v>
      </c>
      <c r="D176" s="8">
        <v>1.0</v>
      </c>
      <c r="E176" s="7" t="s">
        <v>22</v>
      </c>
      <c r="F176" s="5" t="s">
        <v>146</v>
      </c>
      <c r="G176" s="9">
        <v>9.0042231E7</v>
      </c>
      <c r="H176" s="5" t="s">
        <v>65</v>
      </c>
      <c r="I176" s="10" t="s">
        <v>60</v>
      </c>
      <c r="J176" s="11">
        <v>5418390.0</v>
      </c>
      <c r="K176" s="11">
        <v>0.0</v>
      </c>
    </row>
    <row r="177">
      <c r="A177" s="5" t="s">
        <v>74</v>
      </c>
      <c r="B177" s="6" t="s">
        <v>148</v>
      </c>
      <c r="C177" s="7" t="s">
        <v>149</v>
      </c>
      <c r="D177" s="8">
        <v>1.0</v>
      </c>
      <c r="E177" s="7" t="s">
        <v>22</v>
      </c>
      <c r="F177" s="5" t="s">
        <v>146</v>
      </c>
      <c r="G177" s="9">
        <v>9.0042126E7</v>
      </c>
      <c r="H177" s="5" t="s">
        <v>31</v>
      </c>
      <c r="I177" s="10" t="s">
        <v>25</v>
      </c>
      <c r="J177" s="11">
        <v>4.0164734E7</v>
      </c>
      <c r="K177" s="11">
        <v>0.0</v>
      </c>
    </row>
    <row r="178">
      <c r="A178" s="5" t="s">
        <v>74</v>
      </c>
      <c r="B178" s="6" t="s">
        <v>167</v>
      </c>
      <c r="C178" s="7" t="s">
        <v>168</v>
      </c>
      <c r="D178" s="8">
        <v>1.0</v>
      </c>
      <c r="E178" s="7" t="s">
        <v>81</v>
      </c>
      <c r="F178" s="5" t="s">
        <v>82</v>
      </c>
      <c r="G178" s="9">
        <v>9.0043001E7</v>
      </c>
      <c r="H178" s="5" t="s">
        <v>18</v>
      </c>
      <c r="I178" s="10" t="s">
        <v>19</v>
      </c>
      <c r="J178" s="11">
        <v>1.6388992E7</v>
      </c>
      <c r="K178" s="11">
        <v>129.0</v>
      </c>
    </row>
    <row r="179">
      <c r="A179" s="5" t="s">
        <v>74</v>
      </c>
      <c r="B179" s="6" t="s">
        <v>167</v>
      </c>
      <c r="C179" s="7" t="s">
        <v>168</v>
      </c>
      <c r="D179" s="8">
        <v>1.0</v>
      </c>
      <c r="E179" s="7" t="s">
        <v>84</v>
      </c>
      <c r="F179" s="5" t="s">
        <v>85</v>
      </c>
      <c r="G179" s="9">
        <v>9.0043001E7</v>
      </c>
      <c r="H179" s="5" t="s">
        <v>18</v>
      </c>
      <c r="I179" s="10" t="s">
        <v>19</v>
      </c>
      <c r="J179" s="11">
        <v>4.6055721E7</v>
      </c>
      <c r="K179" s="11">
        <v>348.0</v>
      </c>
    </row>
    <row r="180">
      <c r="A180" s="5" t="s">
        <v>74</v>
      </c>
      <c r="B180" s="6" t="s">
        <v>167</v>
      </c>
      <c r="C180" s="7" t="s">
        <v>168</v>
      </c>
      <c r="D180" s="8">
        <v>1.0</v>
      </c>
      <c r="E180" s="7" t="s">
        <v>86</v>
      </c>
      <c r="F180" s="5" t="s">
        <v>87</v>
      </c>
      <c r="G180" s="9">
        <v>9.0043001E7</v>
      </c>
      <c r="H180" s="5" t="s">
        <v>18</v>
      </c>
      <c r="I180" s="10" t="s">
        <v>19</v>
      </c>
      <c r="J180" s="11">
        <v>7.6493558E7</v>
      </c>
      <c r="K180" s="11">
        <v>573.0</v>
      </c>
    </row>
    <row r="181">
      <c r="A181" s="5" t="s">
        <v>74</v>
      </c>
      <c r="B181" s="6" t="s">
        <v>167</v>
      </c>
      <c r="C181" s="7" t="s">
        <v>168</v>
      </c>
      <c r="D181" s="8">
        <v>1.0</v>
      </c>
      <c r="E181" s="7" t="s">
        <v>86</v>
      </c>
      <c r="F181" s="5" t="s">
        <v>87</v>
      </c>
      <c r="G181" s="9">
        <v>9.0043E7</v>
      </c>
      <c r="H181" s="5" t="s">
        <v>83</v>
      </c>
      <c r="I181" s="10" t="s">
        <v>19</v>
      </c>
      <c r="J181" s="11">
        <v>1717508.0</v>
      </c>
      <c r="K181" s="11">
        <v>13.0</v>
      </c>
    </row>
    <row r="182">
      <c r="A182" s="5" t="s">
        <v>74</v>
      </c>
      <c r="B182" s="6" t="s">
        <v>167</v>
      </c>
      <c r="C182" s="7" t="s">
        <v>168</v>
      </c>
      <c r="D182" s="8">
        <v>1.0</v>
      </c>
      <c r="E182" s="7" t="s">
        <v>154</v>
      </c>
      <c r="F182" s="5" t="s">
        <v>155</v>
      </c>
      <c r="G182" s="9">
        <v>9.0043001E7</v>
      </c>
      <c r="H182" s="5" t="s">
        <v>18</v>
      </c>
      <c r="I182" s="10" t="s">
        <v>19</v>
      </c>
      <c r="J182" s="11">
        <v>1.3049994E7</v>
      </c>
      <c r="K182" s="11">
        <v>96.0</v>
      </c>
    </row>
    <row r="183">
      <c r="A183" s="5" t="s">
        <v>74</v>
      </c>
      <c r="B183" s="6" t="s">
        <v>167</v>
      </c>
      <c r="C183" s="7" t="s">
        <v>168</v>
      </c>
      <c r="D183" s="8">
        <v>1.0</v>
      </c>
      <c r="E183" s="7" t="s">
        <v>154</v>
      </c>
      <c r="F183" s="5" t="s">
        <v>155</v>
      </c>
      <c r="G183" s="9">
        <v>9.0043002E7</v>
      </c>
      <c r="H183" s="5" t="s">
        <v>49</v>
      </c>
      <c r="I183" s="10" t="s">
        <v>50</v>
      </c>
      <c r="J183" s="11">
        <v>1085420.0</v>
      </c>
      <c r="K183" s="11">
        <v>90.0</v>
      </c>
    </row>
    <row r="184">
      <c r="A184" s="5" t="s">
        <v>74</v>
      </c>
      <c r="B184" s="6" t="s">
        <v>167</v>
      </c>
      <c r="C184" s="7" t="s">
        <v>168</v>
      </c>
      <c r="D184" s="8">
        <v>1.0</v>
      </c>
      <c r="E184" s="7" t="s">
        <v>91</v>
      </c>
      <c r="F184" s="5" t="s">
        <v>92</v>
      </c>
      <c r="G184" s="9">
        <v>9.0043001E7</v>
      </c>
      <c r="H184" s="5" t="s">
        <v>18</v>
      </c>
      <c r="I184" s="10" t="s">
        <v>19</v>
      </c>
      <c r="J184" s="11">
        <v>6032277.0</v>
      </c>
      <c r="K184" s="11">
        <v>48.0</v>
      </c>
    </row>
    <row r="185">
      <c r="A185" s="5" t="s">
        <v>74</v>
      </c>
      <c r="B185" s="6" t="s">
        <v>167</v>
      </c>
      <c r="C185" s="7" t="s">
        <v>168</v>
      </c>
      <c r="D185" s="8">
        <v>1.0</v>
      </c>
      <c r="E185" s="7" t="s">
        <v>93</v>
      </c>
      <c r="F185" s="5" t="s">
        <v>94</v>
      </c>
      <c r="G185" s="9">
        <v>9.0043001E7</v>
      </c>
      <c r="H185" s="5" t="s">
        <v>18</v>
      </c>
      <c r="I185" s="10" t="s">
        <v>19</v>
      </c>
      <c r="J185" s="11">
        <v>3.1904616E7</v>
      </c>
      <c r="K185" s="11">
        <v>253.0</v>
      </c>
    </row>
    <row r="186">
      <c r="A186" s="5" t="s">
        <v>74</v>
      </c>
      <c r="B186" s="6" t="s">
        <v>167</v>
      </c>
      <c r="C186" s="7" t="s">
        <v>168</v>
      </c>
      <c r="D186" s="8">
        <v>1.0</v>
      </c>
      <c r="E186" s="7" t="s">
        <v>95</v>
      </c>
      <c r="F186" s="5" t="s">
        <v>96</v>
      </c>
      <c r="G186" s="9">
        <v>5.1100061E7</v>
      </c>
      <c r="H186" s="5" t="s">
        <v>42</v>
      </c>
      <c r="I186" s="10" t="s">
        <v>37</v>
      </c>
      <c r="J186" s="11">
        <v>5.6513E7</v>
      </c>
      <c r="K186" s="11">
        <v>744.255</v>
      </c>
    </row>
    <row r="187">
      <c r="A187" s="5" t="s">
        <v>74</v>
      </c>
      <c r="B187" s="6" t="s">
        <v>167</v>
      </c>
      <c r="C187" s="7" t="s">
        <v>168</v>
      </c>
      <c r="D187" s="8">
        <v>1.0</v>
      </c>
      <c r="E187" s="7" t="s">
        <v>95</v>
      </c>
      <c r="F187" s="5" t="s">
        <v>96</v>
      </c>
      <c r="G187" s="9">
        <v>5.1100651E7</v>
      </c>
      <c r="H187" s="5" t="s">
        <v>38</v>
      </c>
      <c r="I187" s="10" t="s">
        <v>25</v>
      </c>
      <c r="J187" s="11">
        <v>0.0</v>
      </c>
      <c r="K187" s="11">
        <v>0.0</v>
      </c>
    </row>
    <row r="188">
      <c r="A188" s="5" t="s">
        <v>74</v>
      </c>
      <c r="B188" s="6" t="s">
        <v>167</v>
      </c>
      <c r="C188" s="7" t="s">
        <v>168</v>
      </c>
      <c r="D188" s="8">
        <v>1.0</v>
      </c>
      <c r="E188" s="7" t="s">
        <v>95</v>
      </c>
      <c r="F188" s="5" t="s">
        <v>96</v>
      </c>
      <c r="G188" s="9">
        <v>9.0043001E7</v>
      </c>
      <c r="H188" s="5" t="s">
        <v>18</v>
      </c>
      <c r="I188" s="10" t="s">
        <v>19</v>
      </c>
      <c r="J188" s="11">
        <v>8155831.0</v>
      </c>
      <c r="K188" s="11">
        <v>70.0</v>
      </c>
    </row>
    <row r="189">
      <c r="A189" s="5" t="s">
        <v>74</v>
      </c>
      <c r="B189" s="6" t="s">
        <v>167</v>
      </c>
      <c r="C189" s="7" t="s">
        <v>168</v>
      </c>
      <c r="D189" s="8">
        <v>1.0</v>
      </c>
      <c r="E189" s="7" t="s">
        <v>95</v>
      </c>
      <c r="F189" s="5" t="s">
        <v>96</v>
      </c>
      <c r="G189" s="9">
        <v>5.1100774E7</v>
      </c>
      <c r="H189" s="5" t="s">
        <v>39</v>
      </c>
      <c r="I189" s="10" t="s">
        <v>17</v>
      </c>
      <c r="J189" s="11">
        <v>8.9435938E7</v>
      </c>
      <c r="K189" s="11">
        <v>1204.93</v>
      </c>
    </row>
    <row r="190">
      <c r="A190" s="5" t="s">
        <v>74</v>
      </c>
      <c r="B190" s="6" t="s">
        <v>167</v>
      </c>
      <c r="C190" s="7" t="s">
        <v>168</v>
      </c>
      <c r="D190" s="8">
        <v>1.0</v>
      </c>
      <c r="E190" s="7" t="s">
        <v>101</v>
      </c>
      <c r="F190" s="5" t="s">
        <v>102</v>
      </c>
      <c r="G190" s="9">
        <v>9.0043001E7</v>
      </c>
      <c r="H190" s="5" t="s">
        <v>18</v>
      </c>
      <c r="I190" s="10" t="s">
        <v>19</v>
      </c>
      <c r="J190" s="11">
        <v>2.2978153E7</v>
      </c>
      <c r="K190" s="11">
        <v>168.0</v>
      </c>
    </row>
    <row r="191">
      <c r="A191" s="5" t="s">
        <v>74</v>
      </c>
      <c r="B191" s="6" t="s">
        <v>167</v>
      </c>
      <c r="C191" s="7" t="s">
        <v>168</v>
      </c>
      <c r="D191" s="8">
        <v>1.0</v>
      </c>
      <c r="E191" s="7" t="s">
        <v>103</v>
      </c>
      <c r="F191" s="5" t="s">
        <v>104</v>
      </c>
      <c r="G191" s="9">
        <v>5.1100061E7</v>
      </c>
      <c r="H191" s="5" t="s">
        <v>42</v>
      </c>
      <c r="I191" s="10" t="s">
        <v>37</v>
      </c>
      <c r="J191" s="11">
        <v>3.3561201E7</v>
      </c>
      <c r="K191" s="11">
        <v>377.957</v>
      </c>
    </row>
    <row r="192">
      <c r="A192" s="5" t="s">
        <v>74</v>
      </c>
      <c r="B192" s="6" t="s">
        <v>167</v>
      </c>
      <c r="C192" s="7" t="s">
        <v>168</v>
      </c>
      <c r="D192" s="8">
        <v>1.0</v>
      </c>
      <c r="E192" s="7" t="s">
        <v>103</v>
      </c>
      <c r="F192" s="5" t="s">
        <v>104</v>
      </c>
      <c r="G192" s="9">
        <v>5.1100651E7</v>
      </c>
      <c r="H192" s="5" t="s">
        <v>38</v>
      </c>
      <c r="I192" s="10" t="s">
        <v>25</v>
      </c>
      <c r="J192" s="11">
        <v>3.0</v>
      </c>
      <c r="K192" s="11">
        <v>0.0</v>
      </c>
    </row>
    <row r="193">
      <c r="A193" s="5" t="s">
        <v>74</v>
      </c>
      <c r="B193" s="6" t="s">
        <v>167</v>
      </c>
      <c r="C193" s="7" t="s">
        <v>168</v>
      </c>
      <c r="D193" s="8">
        <v>1.0</v>
      </c>
      <c r="E193" s="7" t="s">
        <v>103</v>
      </c>
      <c r="F193" s="5" t="s">
        <v>104</v>
      </c>
      <c r="G193" s="9">
        <v>9.0043001E7</v>
      </c>
      <c r="H193" s="5" t="s">
        <v>18</v>
      </c>
      <c r="I193" s="10" t="s">
        <v>19</v>
      </c>
      <c r="J193" s="11">
        <v>2.0949363E7</v>
      </c>
      <c r="K193" s="11">
        <v>170.0</v>
      </c>
    </row>
    <row r="194">
      <c r="A194" s="5" t="s">
        <v>74</v>
      </c>
      <c r="B194" s="6" t="s">
        <v>167</v>
      </c>
      <c r="C194" s="7" t="s">
        <v>168</v>
      </c>
      <c r="D194" s="8">
        <v>1.0</v>
      </c>
      <c r="E194" s="7" t="s">
        <v>103</v>
      </c>
      <c r="F194" s="5" t="s">
        <v>104</v>
      </c>
      <c r="G194" s="9">
        <v>5.1100774E7</v>
      </c>
      <c r="H194" s="5" t="s">
        <v>39</v>
      </c>
      <c r="I194" s="10" t="s">
        <v>17</v>
      </c>
      <c r="J194" s="11">
        <v>2.8765158E7</v>
      </c>
      <c r="K194" s="11">
        <v>193.77</v>
      </c>
    </row>
    <row r="195">
      <c r="A195" s="5" t="s">
        <v>74</v>
      </c>
      <c r="B195" s="6" t="s">
        <v>167</v>
      </c>
      <c r="C195" s="7" t="s">
        <v>168</v>
      </c>
      <c r="D195" s="8">
        <v>1.0</v>
      </c>
      <c r="E195" s="7" t="s">
        <v>115</v>
      </c>
      <c r="F195" s="5" t="s">
        <v>116</v>
      </c>
      <c r="G195" s="9">
        <v>5.1100775E7</v>
      </c>
      <c r="H195" s="5" t="s">
        <v>169</v>
      </c>
      <c r="I195" s="10" t="s">
        <v>25</v>
      </c>
      <c r="J195" s="11">
        <v>-1.0</v>
      </c>
      <c r="K195" s="11">
        <v>0.0</v>
      </c>
    </row>
    <row r="196">
      <c r="A196" s="5" t="s">
        <v>74</v>
      </c>
      <c r="B196" s="6" t="s">
        <v>167</v>
      </c>
      <c r="C196" s="7" t="s">
        <v>168</v>
      </c>
      <c r="D196" s="8">
        <v>1.0</v>
      </c>
      <c r="E196" s="7" t="s">
        <v>115</v>
      </c>
      <c r="F196" s="5" t="s">
        <v>116</v>
      </c>
      <c r="G196" s="9">
        <v>5.1100774E7</v>
      </c>
      <c r="H196" s="5" t="s">
        <v>39</v>
      </c>
      <c r="I196" s="10" t="s">
        <v>17</v>
      </c>
      <c r="J196" s="11">
        <v>7.1816924E7</v>
      </c>
      <c r="K196" s="11">
        <v>1045770.0</v>
      </c>
    </row>
    <row r="197">
      <c r="A197" s="5" t="s">
        <v>74</v>
      </c>
      <c r="B197" s="6" t="s">
        <v>167</v>
      </c>
      <c r="C197" s="7" t="s">
        <v>168</v>
      </c>
      <c r="D197" s="8">
        <v>1.0</v>
      </c>
      <c r="E197" s="7" t="s">
        <v>117</v>
      </c>
      <c r="F197" s="5" t="s">
        <v>118</v>
      </c>
      <c r="G197" s="9">
        <v>5.1100058E7</v>
      </c>
      <c r="H197" s="5" t="s">
        <v>36</v>
      </c>
      <c r="I197" s="10" t="s">
        <v>37</v>
      </c>
      <c r="J197" s="11">
        <v>20398.0</v>
      </c>
      <c r="K197" s="11">
        <v>2.66</v>
      </c>
    </row>
    <row r="198">
      <c r="A198" s="5" t="s">
        <v>74</v>
      </c>
      <c r="B198" s="6" t="s">
        <v>167</v>
      </c>
      <c r="C198" s="7" t="s">
        <v>168</v>
      </c>
      <c r="D198" s="8">
        <v>1.0</v>
      </c>
      <c r="E198" s="7" t="s">
        <v>117</v>
      </c>
      <c r="F198" s="5" t="s">
        <v>118</v>
      </c>
      <c r="G198" s="9">
        <v>5.1100775E7</v>
      </c>
      <c r="H198" s="5" t="s">
        <v>169</v>
      </c>
      <c r="I198" s="10" t="s">
        <v>25</v>
      </c>
      <c r="J198" s="11">
        <v>7.0</v>
      </c>
      <c r="K198" s="11">
        <v>0.0</v>
      </c>
    </row>
    <row r="199">
      <c r="A199" s="5" t="s">
        <v>74</v>
      </c>
      <c r="B199" s="6" t="s">
        <v>167</v>
      </c>
      <c r="C199" s="7" t="s">
        <v>168</v>
      </c>
      <c r="D199" s="8">
        <v>1.0</v>
      </c>
      <c r="E199" s="7" t="s">
        <v>119</v>
      </c>
      <c r="F199" s="5" t="s">
        <v>120</v>
      </c>
      <c r="G199" s="9">
        <v>5.1100774E7</v>
      </c>
      <c r="H199" s="5" t="s">
        <v>39</v>
      </c>
      <c r="I199" s="10" t="s">
        <v>17</v>
      </c>
      <c r="J199" s="11">
        <v>1.8777319E7</v>
      </c>
      <c r="K199" s="11">
        <v>16.86</v>
      </c>
    </row>
    <row r="200">
      <c r="A200" s="5" t="s">
        <v>74</v>
      </c>
      <c r="B200" s="6" t="s">
        <v>167</v>
      </c>
      <c r="C200" s="7" t="s">
        <v>168</v>
      </c>
      <c r="D200" s="8">
        <v>1.0</v>
      </c>
      <c r="E200" s="7" t="s">
        <v>123</v>
      </c>
      <c r="F200" s="5" t="s">
        <v>124</v>
      </c>
      <c r="G200" s="9">
        <v>5.1100651E7</v>
      </c>
      <c r="H200" s="5" t="s">
        <v>38</v>
      </c>
      <c r="I200" s="10" t="s">
        <v>25</v>
      </c>
      <c r="J200" s="11">
        <v>0.0</v>
      </c>
      <c r="K200" s="11">
        <v>0.0</v>
      </c>
    </row>
    <row r="201">
      <c r="A201" s="5" t="s">
        <v>74</v>
      </c>
      <c r="B201" s="6" t="s">
        <v>167</v>
      </c>
      <c r="C201" s="7" t="s">
        <v>168</v>
      </c>
      <c r="D201" s="8">
        <v>1.0</v>
      </c>
      <c r="E201" s="7" t="s">
        <v>123</v>
      </c>
      <c r="F201" s="5" t="s">
        <v>124</v>
      </c>
      <c r="G201" s="9">
        <v>5.1100774E7</v>
      </c>
      <c r="H201" s="5" t="s">
        <v>39</v>
      </c>
      <c r="I201" s="10" t="s">
        <v>17</v>
      </c>
      <c r="J201" s="11">
        <v>1.45325362E8</v>
      </c>
      <c r="K201" s="11">
        <v>42406.0</v>
      </c>
    </row>
    <row r="202">
      <c r="A202" s="5" t="s">
        <v>74</v>
      </c>
      <c r="B202" s="6" t="s">
        <v>167</v>
      </c>
      <c r="C202" s="7" t="s">
        <v>168</v>
      </c>
      <c r="D202" s="8">
        <v>1.0</v>
      </c>
      <c r="E202" s="7" t="s">
        <v>125</v>
      </c>
      <c r="F202" s="5" t="s">
        <v>126</v>
      </c>
      <c r="G202" s="9">
        <v>5.1101056E7</v>
      </c>
      <c r="H202" s="5" t="s">
        <v>16</v>
      </c>
      <c r="I202" s="10" t="s">
        <v>17</v>
      </c>
      <c r="J202" s="11">
        <v>1.3240642E8</v>
      </c>
      <c r="K202" s="11">
        <v>966470.202</v>
      </c>
    </row>
    <row r="203">
      <c r="A203" s="5" t="s">
        <v>74</v>
      </c>
      <c r="B203" s="6" t="s">
        <v>167</v>
      </c>
      <c r="C203" s="7" t="s">
        <v>168</v>
      </c>
      <c r="D203" s="8">
        <v>1.0</v>
      </c>
      <c r="E203" s="7" t="s">
        <v>125</v>
      </c>
      <c r="F203" s="5" t="s">
        <v>126</v>
      </c>
      <c r="G203" s="9">
        <v>9.0043001E7</v>
      </c>
      <c r="H203" s="5" t="s">
        <v>18</v>
      </c>
      <c r="I203" s="10" t="s">
        <v>19</v>
      </c>
      <c r="J203" s="11">
        <v>3.79232991E8</v>
      </c>
      <c r="K203" s="11">
        <v>2921.0</v>
      </c>
    </row>
    <row r="204">
      <c r="A204" s="5" t="s">
        <v>74</v>
      </c>
      <c r="B204" s="6" t="s">
        <v>167</v>
      </c>
      <c r="C204" s="7" t="s">
        <v>168</v>
      </c>
      <c r="D204" s="8">
        <v>1.0</v>
      </c>
      <c r="E204" s="7" t="s">
        <v>125</v>
      </c>
      <c r="F204" s="5" t="s">
        <v>126</v>
      </c>
      <c r="G204" s="9">
        <v>9.0043E7</v>
      </c>
      <c r="H204" s="5" t="s">
        <v>83</v>
      </c>
      <c r="I204" s="10" t="s">
        <v>19</v>
      </c>
      <c r="J204" s="11">
        <v>1.2490099E7</v>
      </c>
      <c r="K204" s="11">
        <v>100.0</v>
      </c>
    </row>
    <row r="205">
      <c r="A205" s="5" t="s">
        <v>74</v>
      </c>
      <c r="B205" s="6" t="s">
        <v>167</v>
      </c>
      <c r="C205" s="7" t="s">
        <v>168</v>
      </c>
      <c r="D205" s="8">
        <v>1.0</v>
      </c>
      <c r="E205" s="7" t="s">
        <v>127</v>
      </c>
      <c r="F205" s="5" t="s">
        <v>128</v>
      </c>
      <c r="G205" s="9">
        <v>5.1100153E7</v>
      </c>
      <c r="H205" s="5" t="s">
        <v>72</v>
      </c>
      <c r="I205" s="10" t="s">
        <v>17</v>
      </c>
      <c r="J205" s="11">
        <v>5.67806756E8</v>
      </c>
      <c r="K205" s="11">
        <v>4617270.0</v>
      </c>
    </row>
    <row r="206">
      <c r="A206" s="5" t="s">
        <v>74</v>
      </c>
      <c r="B206" s="6" t="s">
        <v>167</v>
      </c>
      <c r="C206" s="7" t="s">
        <v>168</v>
      </c>
      <c r="D206" s="8">
        <v>1.0</v>
      </c>
      <c r="E206" s="7" t="s">
        <v>127</v>
      </c>
      <c r="F206" s="5" t="s">
        <v>128</v>
      </c>
      <c r="G206" s="9">
        <v>9.0043002E7</v>
      </c>
      <c r="H206" s="5" t="s">
        <v>49</v>
      </c>
      <c r="I206" s="10" t="s">
        <v>50</v>
      </c>
      <c r="J206" s="11">
        <v>1.11293055E8</v>
      </c>
      <c r="K206" s="11">
        <v>9536.0</v>
      </c>
    </row>
    <row r="207">
      <c r="A207" s="5" t="s">
        <v>74</v>
      </c>
      <c r="B207" s="6" t="s">
        <v>167</v>
      </c>
      <c r="C207" s="7" t="s">
        <v>168</v>
      </c>
      <c r="D207" s="8">
        <v>1.0</v>
      </c>
      <c r="E207" s="7" t="s">
        <v>129</v>
      </c>
      <c r="F207" s="5" t="s">
        <v>130</v>
      </c>
      <c r="G207" s="9">
        <v>5.1101056E7</v>
      </c>
      <c r="H207" s="5" t="s">
        <v>16</v>
      </c>
      <c r="I207" s="10" t="s">
        <v>17</v>
      </c>
      <c r="J207" s="11">
        <v>8.201886E7</v>
      </c>
      <c r="K207" s="11">
        <v>1171698.0</v>
      </c>
    </row>
    <row r="208">
      <c r="A208" s="5" t="s">
        <v>74</v>
      </c>
      <c r="B208" s="6" t="s">
        <v>167</v>
      </c>
      <c r="C208" s="7" t="s">
        <v>168</v>
      </c>
      <c r="D208" s="8">
        <v>1.0</v>
      </c>
      <c r="E208" s="7" t="s">
        <v>129</v>
      </c>
      <c r="F208" s="5" t="s">
        <v>130</v>
      </c>
      <c r="G208" s="9">
        <v>9.0043001E7</v>
      </c>
      <c r="H208" s="5" t="s">
        <v>18</v>
      </c>
      <c r="I208" s="10" t="s">
        <v>19</v>
      </c>
      <c r="J208" s="11">
        <v>3332650.0</v>
      </c>
      <c r="K208" s="11">
        <v>25.0</v>
      </c>
    </row>
    <row r="209">
      <c r="A209" s="5" t="s">
        <v>74</v>
      </c>
      <c r="B209" s="6" t="s">
        <v>167</v>
      </c>
      <c r="C209" s="7" t="s">
        <v>168</v>
      </c>
      <c r="D209" s="8">
        <v>1.0</v>
      </c>
      <c r="E209" s="7" t="s">
        <v>129</v>
      </c>
      <c r="F209" s="5" t="s">
        <v>130</v>
      </c>
      <c r="G209" s="9">
        <v>9.0043003E7</v>
      </c>
      <c r="H209" s="5" t="s">
        <v>90</v>
      </c>
      <c r="I209" s="10" t="s">
        <v>50</v>
      </c>
      <c r="J209" s="11">
        <v>4.977358E7</v>
      </c>
      <c r="K209" s="11">
        <v>303.0</v>
      </c>
    </row>
    <row r="210">
      <c r="A210" s="5" t="s">
        <v>74</v>
      </c>
      <c r="B210" s="6" t="s">
        <v>167</v>
      </c>
      <c r="C210" s="7" t="s">
        <v>168</v>
      </c>
      <c r="D210" s="8">
        <v>1.0</v>
      </c>
      <c r="E210" s="7" t="s">
        <v>131</v>
      </c>
      <c r="F210" s="5" t="s">
        <v>132</v>
      </c>
      <c r="G210" s="9">
        <v>9.0043001E7</v>
      </c>
      <c r="H210" s="5" t="s">
        <v>18</v>
      </c>
      <c r="I210" s="10" t="s">
        <v>19</v>
      </c>
      <c r="J210" s="11">
        <v>1907584.0</v>
      </c>
      <c r="K210" s="11">
        <v>14.0</v>
      </c>
    </row>
    <row r="211">
      <c r="A211" s="5" t="s">
        <v>74</v>
      </c>
      <c r="B211" s="6" t="s">
        <v>167</v>
      </c>
      <c r="C211" s="7" t="s">
        <v>168</v>
      </c>
      <c r="D211" s="8">
        <v>1.0</v>
      </c>
      <c r="E211" s="7" t="s">
        <v>135</v>
      </c>
      <c r="F211" s="5" t="s">
        <v>136</v>
      </c>
      <c r="G211" s="9">
        <v>9.0043001E7</v>
      </c>
      <c r="H211" s="5" t="s">
        <v>18</v>
      </c>
      <c r="I211" s="10" t="s">
        <v>19</v>
      </c>
      <c r="J211" s="11">
        <v>1.58835752E8</v>
      </c>
      <c r="K211" s="11">
        <v>1211.0</v>
      </c>
    </row>
    <row r="212">
      <c r="A212" s="5" t="s">
        <v>74</v>
      </c>
      <c r="B212" s="6" t="s">
        <v>167</v>
      </c>
      <c r="C212" s="7" t="s">
        <v>168</v>
      </c>
      <c r="D212" s="8">
        <v>1.0</v>
      </c>
      <c r="E212" s="7" t="s">
        <v>137</v>
      </c>
      <c r="F212" s="5" t="s">
        <v>138</v>
      </c>
      <c r="G212" s="9">
        <v>5.1100153E7</v>
      </c>
      <c r="H212" s="5" t="s">
        <v>72</v>
      </c>
      <c r="I212" s="10" t="s">
        <v>17</v>
      </c>
      <c r="J212" s="11">
        <v>6093584.0</v>
      </c>
      <c r="K212" s="11">
        <v>54170.0</v>
      </c>
    </row>
    <row r="213">
      <c r="A213" s="5" t="s">
        <v>74</v>
      </c>
      <c r="B213" s="6" t="s">
        <v>167</v>
      </c>
      <c r="C213" s="7" t="s">
        <v>168</v>
      </c>
      <c r="D213" s="8">
        <v>1.0</v>
      </c>
      <c r="E213" s="7" t="s">
        <v>162</v>
      </c>
      <c r="F213" s="5" t="s">
        <v>163</v>
      </c>
      <c r="G213" s="9">
        <v>9.0043001E7</v>
      </c>
      <c r="H213" s="5" t="s">
        <v>18</v>
      </c>
      <c r="I213" s="10" t="s">
        <v>19</v>
      </c>
      <c r="J213" s="11">
        <v>1.7610572E7</v>
      </c>
      <c r="K213" s="11">
        <v>136.0</v>
      </c>
    </row>
    <row r="214">
      <c r="A214" s="5" t="s">
        <v>74</v>
      </c>
      <c r="B214" s="6" t="s">
        <v>167</v>
      </c>
      <c r="C214" s="7" t="s">
        <v>168</v>
      </c>
      <c r="D214" s="8">
        <v>1.0</v>
      </c>
      <c r="E214" s="7" t="s">
        <v>54</v>
      </c>
      <c r="F214" s="5" t="s">
        <v>139</v>
      </c>
      <c r="G214" s="9">
        <v>9.0042011E7</v>
      </c>
      <c r="H214" s="5" t="s">
        <v>55</v>
      </c>
      <c r="I214" s="10" t="s">
        <v>19</v>
      </c>
      <c r="J214" s="11">
        <v>2.36087056E8</v>
      </c>
      <c r="K214" s="11">
        <v>0.0</v>
      </c>
    </row>
    <row r="215">
      <c r="A215" s="5" t="s">
        <v>74</v>
      </c>
      <c r="B215" s="6" t="s">
        <v>167</v>
      </c>
      <c r="C215" s="7" t="s">
        <v>168</v>
      </c>
      <c r="D215" s="8">
        <v>1.0</v>
      </c>
      <c r="E215" s="7" t="s">
        <v>20</v>
      </c>
      <c r="F215" s="5" t="s">
        <v>140</v>
      </c>
      <c r="G215" s="9">
        <v>9.0042014E7</v>
      </c>
      <c r="H215" s="5" t="s">
        <v>21</v>
      </c>
      <c r="I215" s="10" t="s">
        <v>19</v>
      </c>
      <c r="J215" s="11">
        <v>5.30297139E8</v>
      </c>
      <c r="K215" s="11">
        <v>0.0</v>
      </c>
    </row>
    <row r="216">
      <c r="A216" s="5" t="s">
        <v>74</v>
      </c>
      <c r="B216" s="6" t="s">
        <v>167</v>
      </c>
      <c r="C216" s="7" t="s">
        <v>168</v>
      </c>
      <c r="D216" s="8">
        <v>1.0</v>
      </c>
      <c r="E216" s="7" t="s">
        <v>20</v>
      </c>
      <c r="F216" s="5" t="s">
        <v>140</v>
      </c>
      <c r="G216" s="9">
        <v>9.0042077E7</v>
      </c>
      <c r="H216" s="5" t="s">
        <v>141</v>
      </c>
      <c r="I216" s="10" t="s">
        <v>19</v>
      </c>
      <c r="J216" s="11">
        <v>2.74578504E8</v>
      </c>
      <c r="K216" s="11">
        <v>0.0</v>
      </c>
    </row>
    <row r="217">
      <c r="A217" s="5" t="s">
        <v>74</v>
      </c>
      <c r="B217" s="6" t="s">
        <v>167</v>
      </c>
      <c r="C217" s="7" t="s">
        <v>168</v>
      </c>
      <c r="D217" s="8">
        <v>1.0</v>
      </c>
      <c r="E217" s="7" t="s">
        <v>142</v>
      </c>
      <c r="F217" s="5" t="s">
        <v>143</v>
      </c>
      <c r="G217" s="9">
        <v>9.0042013E7</v>
      </c>
      <c r="H217" s="5" t="s">
        <v>144</v>
      </c>
      <c r="I217" s="10" t="s">
        <v>19</v>
      </c>
      <c r="J217" s="11">
        <v>578392.0</v>
      </c>
      <c r="K217" s="11">
        <v>0.0</v>
      </c>
    </row>
    <row r="218">
      <c r="A218" s="5" t="s">
        <v>74</v>
      </c>
      <c r="B218" s="6" t="s">
        <v>167</v>
      </c>
      <c r="C218" s="7" t="s">
        <v>168</v>
      </c>
      <c r="D218" s="8">
        <v>1.0</v>
      </c>
      <c r="E218" s="7" t="s">
        <v>142</v>
      </c>
      <c r="F218" s="5" t="s">
        <v>143</v>
      </c>
      <c r="G218" s="9">
        <v>9.0042084E7</v>
      </c>
      <c r="H218" s="5" t="s">
        <v>145</v>
      </c>
      <c r="I218" s="10" t="s">
        <v>19</v>
      </c>
      <c r="J218" s="11">
        <v>1.7501511E7</v>
      </c>
      <c r="K218" s="11">
        <v>0.0</v>
      </c>
    </row>
    <row r="219">
      <c r="A219" s="5" t="s">
        <v>74</v>
      </c>
      <c r="B219" s="6" t="s">
        <v>167</v>
      </c>
      <c r="C219" s="7" t="s">
        <v>168</v>
      </c>
      <c r="D219" s="8">
        <v>1.0</v>
      </c>
      <c r="E219" s="7" t="s">
        <v>22</v>
      </c>
      <c r="F219" s="5" t="s">
        <v>146</v>
      </c>
      <c r="G219" s="9">
        <v>9.0042012E7</v>
      </c>
      <c r="H219" s="5" t="s">
        <v>23</v>
      </c>
      <c r="I219" s="10" t="s">
        <v>19</v>
      </c>
      <c r="J219" s="11">
        <v>1.45714336E8</v>
      </c>
      <c r="K219" s="11">
        <v>0.0</v>
      </c>
    </row>
    <row r="220">
      <c r="A220" s="5" t="s">
        <v>74</v>
      </c>
      <c r="B220" s="6" t="s">
        <v>167</v>
      </c>
      <c r="C220" s="7" t="s">
        <v>168</v>
      </c>
      <c r="D220" s="8">
        <v>1.0</v>
      </c>
      <c r="E220" s="7" t="s">
        <v>22</v>
      </c>
      <c r="F220" s="5" t="s">
        <v>146</v>
      </c>
      <c r="G220" s="9">
        <v>9.0042121E7</v>
      </c>
      <c r="H220" s="5" t="s">
        <v>24</v>
      </c>
      <c r="I220" s="10" t="s">
        <v>25</v>
      </c>
      <c r="J220" s="11">
        <v>1.94112851E8</v>
      </c>
      <c r="K220" s="11">
        <v>0.0</v>
      </c>
    </row>
    <row r="221">
      <c r="A221" s="5" t="s">
        <v>74</v>
      </c>
      <c r="B221" s="6" t="s">
        <v>167</v>
      </c>
      <c r="C221" s="7" t="s">
        <v>168</v>
      </c>
      <c r="D221" s="8">
        <v>1.0</v>
      </c>
      <c r="E221" s="7" t="s">
        <v>22</v>
      </c>
      <c r="F221" s="5" t="s">
        <v>146</v>
      </c>
      <c r="G221" s="9">
        <v>9.0042122E7</v>
      </c>
      <c r="H221" s="5" t="s">
        <v>56</v>
      </c>
      <c r="I221" s="10" t="s">
        <v>25</v>
      </c>
      <c r="J221" s="11">
        <v>8258749.0</v>
      </c>
      <c r="K221" s="11">
        <v>0.0</v>
      </c>
    </row>
    <row r="222">
      <c r="A222" s="5" t="s">
        <v>74</v>
      </c>
      <c r="B222" s="6" t="s">
        <v>167</v>
      </c>
      <c r="C222" s="7" t="s">
        <v>168</v>
      </c>
      <c r="D222" s="8">
        <v>1.0</v>
      </c>
      <c r="E222" s="7" t="s">
        <v>22</v>
      </c>
      <c r="F222" s="5" t="s">
        <v>146</v>
      </c>
      <c r="G222" s="9">
        <v>9.0042124E7</v>
      </c>
      <c r="H222" s="5" t="s">
        <v>57</v>
      </c>
      <c r="I222" s="10" t="s">
        <v>25</v>
      </c>
      <c r="J222" s="11">
        <v>2.1878306E7</v>
      </c>
      <c r="K222" s="11">
        <v>0.0</v>
      </c>
    </row>
    <row r="223">
      <c r="A223" s="5" t="s">
        <v>74</v>
      </c>
      <c r="B223" s="6" t="s">
        <v>167</v>
      </c>
      <c r="C223" s="7" t="s">
        <v>168</v>
      </c>
      <c r="D223" s="8">
        <v>1.0</v>
      </c>
      <c r="E223" s="7" t="s">
        <v>22</v>
      </c>
      <c r="F223" s="5" t="s">
        <v>146</v>
      </c>
      <c r="G223" s="9">
        <v>9.0042125E7</v>
      </c>
      <c r="H223" s="5" t="s">
        <v>26</v>
      </c>
      <c r="I223" s="10" t="s">
        <v>25</v>
      </c>
      <c r="J223" s="11">
        <v>5.4202629E7</v>
      </c>
      <c r="K223" s="11">
        <v>0.0</v>
      </c>
    </row>
    <row r="224">
      <c r="A224" s="5" t="s">
        <v>74</v>
      </c>
      <c r="B224" s="6" t="s">
        <v>167</v>
      </c>
      <c r="C224" s="7" t="s">
        <v>168</v>
      </c>
      <c r="D224" s="8">
        <v>1.0</v>
      </c>
      <c r="E224" s="7" t="s">
        <v>22</v>
      </c>
      <c r="F224" s="5" t="s">
        <v>146</v>
      </c>
      <c r="G224" s="9">
        <v>9.0042127E7</v>
      </c>
      <c r="H224" s="5" t="s">
        <v>27</v>
      </c>
      <c r="I224" s="10" t="s">
        <v>25</v>
      </c>
      <c r="J224" s="11">
        <v>2.5955053E7</v>
      </c>
      <c r="K224" s="11">
        <v>0.0</v>
      </c>
    </row>
    <row r="225">
      <c r="A225" s="5" t="s">
        <v>74</v>
      </c>
      <c r="B225" s="6" t="s">
        <v>167</v>
      </c>
      <c r="C225" s="7" t="s">
        <v>168</v>
      </c>
      <c r="D225" s="8">
        <v>1.0</v>
      </c>
      <c r="E225" s="7" t="s">
        <v>22</v>
      </c>
      <c r="F225" s="5" t="s">
        <v>146</v>
      </c>
      <c r="G225" s="9">
        <v>9.0042128E7</v>
      </c>
      <c r="H225" s="5" t="s">
        <v>58</v>
      </c>
      <c r="I225" s="10" t="s">
        <v>25</v>
      </c>
      <c r="J225" s="11">
        <v>2974116.0</v>
      </c>
      <c r="K225" s="11">
        <v>0.0</v>
      </c>
    </row>
    <row r="226">
      <c r="A226" s="5" t="s">
        <v>74</v>
      </c>
      <c r="B226" s="6" t="s">
        <v>167</v>
      </c>
      <c r="C226" s="7" t="s">
        <v>168</v>
      </c>
      <c r="D226" s="8">
        <v>1.0</v>
      </c>
      <c r="E226" s="7" t="s">
        <v>22</v>
      </c>
      <c r="F226" s="5" t="s">
        <v>146</v>
      </c>
      <c r="G226" s="9">
        <v>9.0042132E7</v>
      </c>
      <c r="H226" s="5" t="s">
        <v>28</v>
      </c>
      <c r="I226" s="10" t="s">
        <v>25</v>
      </c>
      <c r="J226" s="11">
        <v>2.5040172E7</v>
      </c>
      <c r="K226" s="11">
        <v>0.0</v>
      </c>
    </row>
    <row r="227">
      <c r="A227" s="5" t="s">
        <v>74</v>
      </c>
      <c r="B227" s="6" t="s">
        <v>167</v>
      </c>
      <c r="C227" s="7" t="s">
        <v>168</v>
      </c>
      <c r="D227" s="8">
        <v>1.0</v>
      </c>
      <c r="E227" s="7" t="s">
        <v>22</v>
      </c>
      <c r="F227" s="5" t="s">
        <v>146</v>
      </c>
      <c r="G227" s="9">
        <v>9.0042135E7</v>
      </c>
      <c r="H227" s="5" t="s">
        <v>30</v>
      </c>
      <c r="I227" s="10" t="s">
        <v>25</v>
      </c>
      <c r="J227" s="11">
        <v>2.06671706E8</v>
      </c>
      <c r="K227" s="11">
        <v>0.0</v>
      </c>
    </row>
    <row r="228">
      <c r="A228" s="5" t="s">
        <v>74</v>
      </c>
      <c r="B228" s="6" t="s">
        <v>167</v>
      </c>
      <c r="C228" s="7" t="s">
        <v>168</v>
      </c>
      <c r="D228" s="8">
        <v>1.0</v>
      </c>
      <c r="E228" s="7" t="s">
        <v>22</v>
      </c>
      <c r="F228" s="5" t="s">
        <v>146</v>
      </c>
      <c r="G228" s="9">
        <v>9.00422E7</v>
      </c>
      <c r="H228" s="5" t="s">
        <v>73</v>
      </c>
      <c r="I228" s="10" t="s">
        <v>60</v>
      </c>
      <c r="J228" s="11">
        <v>1.13970019E9</v>
      </c>
      <c r="K228" s="11">
        <v>0.0</v>
      </c>
    </row>
    <row r="229">
      <c r="A229" s="5" t="s">
        <v>74</v>
      </c>
      <c r="B229" s="6" t="s">
        <v>167</v>
      </c>
      <c r="C229" s="7" t="s">
        <v>168</v>
      </c>
      <c r="D229" s="8">
        <v>1.0</v>
      </c>
      <c r="E229" s="7" t="s">
        <v>22</v>
      </c>
      <c r="F229" s="5" t="s">
        <v>146</v>
      </c>
      <c r="G229" s="9">
        <v>9.0042223E7</v>
      </c>
      <c r="H229" s="5" t="s">
        <v>61</v>
      </c>
      <c r="I229" s="10" t="s">
        <v>60</v>
      </c>
      <c r="J229" s="11">
        <v>7852263.0</v>
      </c>
      <c r="K229" s="11">
        <v>0.0</v>
      </c>
    </row>
    <row r="230">
      <c r="A230" s="5" t="s">
        <v>74</v>
      </c>
      <c r="B230" s="6" t="s">
        <v>167</v>
      </c>
      <c r="C230" s="7" t="s">
        <v>168</v>
      </c>
      <c r="D230" s="8">
        <v>1.0</v>
      </c>
      <c r="E230" s="7" t="s">
        <v>22</v>
      </c>
      <c r="F230" s="5" t="s">
        <v>146</v>
      </c>
      <c r="G230" s="9">
        <v>9.0042224E7</v>
      </c>
      <c r="H230" s="5" t="s">
        <v>62</v>
      </c>
      <c r="I230" s="10" t="s">
        <v>60</v>
      </c>
      <c r="J230" s="11">
        <v>4757272.0</v>
      </c>
      <c r="K230" s="11">
        <v>0.0</v>
      </c>
    </row>
    <row r="231">
      <c r="A231" s="5" t="s">
        <v>74</v>
      </c>
      <c r="B231" s="6" t="s">
        <v>167</v>
      </c>
      <c r="C231" s="7" t="s">
        <v>168</v>
      </c>
      <c r="D231" s="8">
        <v>1.0</v>
      </c>
      <c r="E231" s="7" t="s">
        <v>22</v>
      </c>
      <c r="F231" s="5" t="s">
        <v>146</v>
      </c>
      <c r="G231" s="9">
        <v>9.0042225E7</v>
      </c>
      <c r="H231" s="5" t="s">
        <v>147</v>
      </c>
      <c r="I231" s="10" t="s">
        <v>60</v>
      </c>
      <c r="J231" s="11">
        <v>6123492.0</v>
      </c>
      <c r="K231" s="11">
        <v>0.0</v>
      </c>
    </row>
    <row r="232">
      <c r="A232" s="5" t="s">
        <v>74</v>
      </c>
      <c r="B232" s="6" t="s">
        <v>167</v>
      </c>
      <c r="C232" s="7" t="s">
        <v>168</v>
      </c>
      <c r="D232" s="8">
        <v>1.0</v>
      </c>
      <c r="E232" s="7" t="s">
        <v>22</v>
      </c>
      <c r="F232" s="5" t="s">
        <v>146</v>
      </c>
      <c r="G232" s="9">
        <v>9.0042226E7</v>
      </c>
      <c r="H232" s="5" t="s">
        <v>63</v>
      </c>
      <c r="I232" s="10" t="s">
        <v>60</v>
      </c>
      <c r="J232" s="11">
        <v>220000.0</v>
      </c>
      <c r="K232" s="11">
        <v>0.0</v>
      </c>
    </row>
    <row r="233">
      <c r="A233" s="5" t="s">
        <v>74</v>
      </c>
      <c r="B233" s="6" t="s">
        <v>167</v>
      </c>
      <c r="C233" s="7" t="s">
        <v>168</v>
      </c>
      <c r="D233" s="8">
        <v>1.0</v>
      </c>
      <c r="E233" s="7" t="s">
        <v>22</v>
      </c>
      <c r="F233" s="5" t="s">
        <v>146</v>
      </c>
      <c r="G233" s="9">
        <v>9.0042228E7</v>
      </c>
      <c r="H233" s="5" t="s">
        <v>64</v>
      </c>
      <c r="I233" s="10" t="s">
        <v>60</v>
      </c>
      <c r="J233" s="11">
        <v>1.1078992E8</v>
      </c>
      <c r="K233" s="11">
        <v>0.0</v>
      </c>
    </row>
    <row r="234">
      <c r="A234" s="5" t="s">
        <v>74</v>
      </c>
      <c r="B234" s="6" t="s">
        <v>167</v>
      </c>
      <c r="C234" s="7" t="s">
        <v>168</v>
      </c>
      <c r="D234" s="8">
        <v>1.0</v>
      </c>
      <c r="E234" s="7" t="s">
        <v>22</v>
      </c>
      <c r="F234" s="5" t="s">
        <v>146</v>
      </c>
      <c r="G234" s="9">
        <v>9.0042231E7</v>
      </c>
      <c r="H234" s="5" t="s">
        <v>65</v>
      </c>
      <c r="I234" s="10" t="s">
        <v>60</v>
      </c>
      <c r="J234" s="11">
        <v>8491628.0</v>
      </c>
      <c r="K234" s="11">
        <v>0.0</v>
      </c>
    </row>
    <row r="235">
      <c r="A235" s="5" t="s">
        <v>74</v>
      </c>
      <c r="B235" s="6" t="s">
        <v>167</v>
      </c>
      <c r="C235" s="7" t="s">
        <v>168</v>
      </c>
      <c r="D235" s="8">
        <v>1.0</v>
      </c>
      <c r="E235" s="7" t="s">
        <v>22</v>
      </c>
      <c r="F235" s="5" t="s">
        <v>146</v>
      </c>
      <c r="G235" s="9">
        <v>9.0042126E7</v>
      </c>
      <c r="H235" s="5" t="s">
        <v>31</v>
      </c>
      <c r="I235" s="10" t="s">
        <v>25</v>
      </c>
      <c r="J235" s="11">
        <v>6.7283099E7</v>
      </c>
      <c r="K235" s="11">
        <v>0.0</v>
      </c>
    </row>
    <row r="236">
      <c r="A236" s="5" t="s">
        <v>74</v>
      </c>
      <c r="B236" s="6" t="s">
        <v>170</v>
      </c>
      <c r="C236" s="7" t="s">
        <v>171</v>
      </c>
      <c r="D236" s="8">
        <v>1.0</v>
      </c>
      <c r="E236" s="13">
        <v>46038.0</v>
      </c>
      <c r="F236" s="5" t="s">
        <v>150</v>
      </c>
      <c r="G236" s="9">
        <v>9.0043001E7</v>
      </c>
      <c r="H236" s="5" t="s">
        <v>18</v>
      </c>
      <c r="I236" s="10" t="s">
        <v>19</v>
      </c>
      <c r="J236" s="11">
        <v>6938411.0</v>
      </c>
      <c r="K236" s="11">
        <v>54.0</v>
      </c>
    </row>
    <row r="237">
      <c r="A237" s="5" t="s">
        <v>74</v>
      </c>
      <c r="B237" s="6" t="s">
        <v>170</v>
      </c>
      <c r="C237" s="7" t="s">
        <v>171</v>
      </c>
      <c r="D237" s="8">
        <v>1.0</v>
      </c>
      <c r="E237" s="13">
        <v>46158.0</v>
      </c>
      <c r="F237" s="5" t="s">
        <v>151</v>
      </c>
      <c r="G237" s="9">
        <v>9.0043001E7</v>
      </c>
      <c r="H237" s="5" t="s">
        <v>18</v>
      </c>
      <c r="I237" s="10" t="s">
        <v>19</v>
      </c>
      <c r="J237" s="11">
        <v>1053248.0</v>
      </c>
      <c r="K237" s="11">
        <v>8.0</v>
      </c>
    </row>
    <row r="238">
      <c r="A238" s="5" t="s">
        <v>74</v>
      </c>
      <c r="B238" s="6" t="s">
        <v>170</v>
      </c>
      <c r="C238" s="7" t="s">
        <v>171</v>
      </c>
      <c r="D238" s="8">
        <v>1.0</v>
      </c>
      <c r="E238" s="7" t="s">
        <v>81</v>
      </c>
      <c r="F238" s="5" t="s">
        <v>82</v>
      </c>
      <c r="G238" s="9">
        <v>9.0043001E7</v>
      </c>
      <c r="H238" s="5" t="s">
        <v>18</v>
      </c>
      <c r="I238" s="10" t="s">
        <v>19</v>
      </c>
      <c r="J238" s="11">
        <v>1.9907494E7</v>
      </c>
      <c r="K238" s="11">
        <v>151.0</v>
      </c>
    </row>
    <row r="239">
      <c r="A239" s="5" t="s">
        <v>74</v>
      </c>
      <c r="B239" s="6" t="s">
        <v>170</v>
      </c>
      <c r="C239" s="7" t="s">
        <v>171</v>
      </c>
      <c r="D239" s="8">
        <v>1.0</v>
      </c>
      <c r="E239" s="7" t="s">
        <v>84</v>
      </c>
      <c r="F239" s="5" t="s">
        <v>85</v>
      </c>
      <c r="G239" s="9">
        <v>5.1100102E7</v>
      </c>
      <c r="H239" s="5" t="s">
        <v>172</v>
      </c>
      <c r="I239" s="10" t="s">
        <v>25</v>
      </c>
      <c r="J239" s="11">
        <v>2000000.0</v>
      </c>
      <c r="K239" s="11">
        <v>0.0</v>
      </c>
    </row>
    <row r="240">
      <c r="A240" s="5" t="s">
        <v>74</v>
      </c>
      <c r="B240" s="6" t="s">
        <v>170</v>
      </c>
      <c r="C240" s="7" t="s">
        <v>171</v>
      </c>
      <c r="D240" s="8">
        <v>1.0</v>
      </c>
      <c r="E240" s="7" t="s">
        <v>84</v>
      </c>
      <c r="F240" s="5" t="s">
        <v>85</v>
      </c>
      <c r="G240" s="9">
        <v>9.0043001E7</v>
      </c>
      <c r="H240" s="5" t="s">
        <v>18</v>
      </c>
      <c r="I240" s="10" t="s">
        <v>19</v>
      </c>
      <c r="J240" s="11">
        <v>1.9486317E7</v>
      </c>
      <c r="K240" s="11">
        <v>153.0</v>
      </c>
    </row>
    <row r="241">
      <c r="A241" s="5" t="s">
        <v>74</v>
      </c>
      <c r="B241" s="6" t="s">
        <v>170</v>
      </c>
      <c r="C241" s="7" t="s">
        <v>171</v>
      </c>
      <c r="D241" s="8">
        <v>1.0</v>
      </c>
      <c r="E241" s="7" t="s">
        <v>86</v>
      </c>
      <c r="F241" s="5" t="s">
        <v>87</v>
      </c>
      <c r="G241" s="9">
        <v>9.0043001E7</v>
      </c>
      <c r="H241" s="5" t="s">
        <v>18</v>
      </c>
      <c r="I241" s="10" t="s">
        <v>19</v>
      </c>
      <c r="J241" s="11">
        <v>9285647.0</v>
      </c>
      <c r="K241" s="11">
        <v>70.0</v>
      </c>
    </row>
    <row r="242">
      <c r="A242" s="5" t="s">
        <v>74</v>
      </c>
      <c r="B242" s="6" t="s">
        <v>170</v>
      </c>
      <c r="C242" s="7" t="s">
        <v>171</v>
      </c>
      <c r="D242" s="8">
        <v>1.0</v>
      </c>
      <c r="E242" s="7" t="s">
        <v>173</v>
      </c>
      <c r="F242" s="5" t="s">
        <v>174</v>
      </c>
      <c r="G242" s="9">
        <v>9.0043003E7</v>
      </c>
      <c r="H242" s="5" t="s">
        <v>90</v>
      </c>
      <c r="I242" s="10" t="s">
        <v>50</v>
      </c>
      <c r="J242" s="11">
        <v>2.3083753E7</v>
      </c>
      <c r="K242" s="11">
        <v>77.0</v>
      </c>
    </row>
    <row r="243">
      <c r="A243" s="5" t="s">
        <v>74</v>
      </c>
      <c r="B243" s="6" t="s">
        <v>170</v>
      </c>
      <c r="C243" s="7" t="s">
        <v>171</v>
      </c>
      <c r="D243" s="8">
        <v>1.0</v>
      </c>
      <c r="E243" s="7" t="s">
        <v>154</v>
      </c>
      <c r="F243" s="5" t="s">
        <v>155</v>
      </c>
      <c r="G243" s="9">
        <v>9.0043002E7</v>
      </c>
      <c r="H243" s="5" t="s">
        <v>49</v>
      </c>
      <c r="I243" s="10" t="s">
        <v>50</v>
      </c>
      <c r="J243" s="11">
        <v>1.1816704E7</v>
      </c>
      <c r="K243" s="11">
        <v>1426.0</v>
      </c>
    </row>
    <row r="244">
      <c r="A244" s="5" t="s">
        <v>74</v>
      </c>
      <c r="B244" s="6" t="s">
        <v>170</v>
      </c>
      <c r="C244" s="7" t="s">
        <v>171</v>
      </c>
      <c r="D244" s="8">
        <v>1.0</v>
      </c>
      <c r="E244" s="7" t="s">
        <v>154</v>
      </c>
      <c r="F244" s="5" t="s">
        <v>155</v>
      </c>
      <c r="G244" s="9">
        <v>9.0043003E7</v>
      </c>
      <c r="H244" s="5" t="s">
        <v>90</v>
      </c>
      <c r="I244" s="10" t="s">
        <v>50</v>
      </c>
      <c r="J244" s="11">
        <v>3.2358608E7</v>
      </c>
      <c r="K244" s="11">
        <v>92.0</v>
      </c>
    </row>
    <row r="245">
      <c r="A245" s="5" t="s">
        <v>74</v>
      </c>
      <c r="B245" s="6" t="s">
        <v>170</v>
      </c>
      <c r="C245" s="7" t="s">
        <v>171</v>
      </c>
      <c r="D245" s="8">
        <v>1.0</v>
      </c>
      <c r="E245" s="7" t="s">
        <v>91</v>
      </c>
      <c r="F245" s="5" t="s">
        <v>92</v>
      </c>
      <c r="G245" s="9">
        <v>9.0043001E7</v>
      </c>
      <c r="H245" s="5" t="s">
        <v>18</v>
      </c>
      <c r="I245" s="10" t="s">
        <v>19</v>
      </c>
      <c r="J245" s="11">
        <v>1714916.0</v>
      </c>
      <c r="K245" s="11">
        <v>13.0</v>
      </c>
    </row>
    <row r="246">
      <c r="A246" s="5" t="s">
        <v>74</v>
      </c>
      <c r="B246" s="6" t="s">
        <v>170</v>
      </c>
      <c r="C246" s="7" t="s">
        <v>171</v>
      </c>
      <c r="D246" s="8">
        <v>1.0</v>
      </c>
      <c r="E246" s="7" t="s">
        <v>93</v>
      </c>
      <c r="F246" s="5" t="s">
        <v>94</v>
      </c>
      <c r="G246" s="9">
        <v>9.0043001E7</v>
      </c>
      <c r="H246" s="5" t="s">
        <v>18</v>
      </c>
      <c r="I246" s="10" t="s">
        <v>19</v>
      </c>
      <c r="J246" s="11">
        <v>4917012.0</v>
      </c>
      <c r="K246" s="11">
        <v>34.0</v>
      </c>
    </row>
    <row r="247">
      <c r="A247" s="5" t="s">
        <v>74</v>
      </c>
      <c r="B247" s="6" t="s">
        <v>170</v>
      </c>
      <c r="C247" s="7" t="s">
        <v>171</v>
      </c>
      <c r="D247" s="8">
        <v>1.0</v>
      </c>
      <c r="E247" s="7" t="s">
        <v>95</v>
      </c>
      <c r="F247" s="5" t="s">
        <v>96</v>
      </c>
      <c r="G247" s="9">
        <v>5.1100061E7</v>
      </c>
      <c r="H247" s="5" t="s">
        <v>42</v>
      </c>
      <c r="I247" s="10" t="s">
        <v>37</v>
      </c>
      <c r="J247" s="11">
        <v>2.0214999E7</v>
      </c>
      <c r="K247" s="11">
        <v>247.13</v>
      </c>
    </row>
    <row r="248">
      <c r="A248" s="5" t="s">
        <v>74</v>
      </c>
      <c r="B248" s="6" t="s">
        <v>170</v>
      </c>
      <c r="C248" s="7" t="s">
        <v>171</v>
      </c>
      <c r="D248" s="8">
        <v>1.0</v>
      </c>
      <c r="E248" s="7" t="s">
        <v>95</v>
      </c>
      <c r="F248" s="5" t="s">
        <v>96</v>
      </c>
      <c r="G248" s="9">
        <v>5.1100064E7</v>
      </c>
      <c r="H248" s="5" t="s">
        <v>53</v>
      </c>
      <c r="I248" s="10" t="s">
        <v>37</v>
      </c>
      <c r="J248" s="11">
        <v>1200000.0</v>
      </c>
      <c r="K248" s="11">
        <v>2.0</v>
      </c>
    </row>
    <row r="249">
      <c r="A249" s="5" t="s">
        <v>74</v>
      </c>
      <c r="B249" s="6" t="s">
        <v>170</v>
      </c>
      <c r="C249" s="7" t="s">
        <v>171</v>
      </c>
      <c r="D249" s="8">
        <v>1.0</v>
      </c>
      <c r="E249" s="7" t="s">
        <v>95</v>
      </c>
      <c r="F249" s="5" t="s">
        <v>96</v>
      </c>
      <c r="G249" s="9">
        <v>9.0043001E7</v>
      </c>
      <c r="H249" s="5" t="s">
        <v>18</v>
      </c>
      <c r="I249" s="10" t="s">
        <v>19</v>
      </c>
      <c r="J249" s="11">
        <v>2.8182558E7</v>
      </c>
      <c r="K249" s="11">
        <v>222.0</v>
      </c>
    </row>
    <row r="250">
      <c r="A250" s="5" t="s">
        <v>74</v>
      </c>
      <c r="B250" s="6" t="s">
        <v>170</v>
      </c>
      <c r="C250" s="7" t="s">
        <v>171</v>
      </c>
      <c r="D250" s="8">
        <v>1.0</v>
      </c>
      <c r="E250" s="7" t="s">
        <v>95</v>
      </c>
      <c r="F250" s="5" t="s">
        <v>96</v>
      </c>
      <c r="G250" s="9">
        <v>5.1100774E7</v>
      </c>
      <c r="H250" s="5" t="s">
        <v>39</v>
      </c>
      <c r="I250" s="10" t="s">
        <v>17</v>
      </c>
      <c r="J250" s="11">
        <v>2524246.0</v>
      </c>
      <c r="K250" s="11">
        <v>45.33</v>
      </c>
    </row>
    <row r="251">
      <c r="A251" s="5" t="s">
        <v>74</v>
      </c>
      <c r="B251" s="6" t="s">
        <v>170</v>
      </c>
      <c r="C251" s="7" t="s">
        <v>171</v>
      </c>
      <c r="D251" s="8">
        <v>1.0</v>
      </c>
      <c r="E251" s="7" t="s">
        <v>99</v>
      </c>
      <c r="F251" s="5" t="s">
        <v>100</v>
      </c>
      <c r="G251" s="9">
        <v>9.0043001E7</v>
      </c>
      <c r="H251" s="5" t="s">
        <v>18</v>
      </c>
      <c r="I251" s="10" t="s">
        <v>19</v>
      </c>
      <c r="J251" s="11">
        <v>1.9356484E7</v>
      </c>
      <c r="K251" s="11">
        <v>151.0</v>
      </c>
    </row>
    <row r="252">
      <c r="A252" s="5" t="s">
        <v>74</v>
      </c>
      <c r="B252" s="6" t="s">
        <v>170</v>
      </c>
      <c r="C252" s="7" t="s">
        <v>171</v>
      </c>
      <c r="D252" s="8">
        <v>1.0</v>
      </c>
      <c r="E252" s="7" t="s">
        <v>101</v>
      </c>
      <c r="F252" s="5" t="s">
        <v>102</v>
      </c>
      <c r="G252" s="9">
        <v>9.0043001E7</v>
      </c>
      <c r="H252" s="5" t="s">
        <v>18</v>
      </c>
      <c r="I252" s="10" t="s">
        <v>19</v>
      </c>
      <c r="J252" s="11">
        <v>7086019.0</v>
      </c>
      <c r="K252" s="11">
        <v>56.0</v>
      </c>
    </row>
    <row r="253">
      <c r="A253" s="5" t="s">
        <v>74</v>
      </c>
      <c r="B253" s="6" t="s">
        <v>170</v>
      </c>
      <c r="C253" s="7" t="s">
        <v>171</v>
      </c>
      <c r="D253" s="8">
        <v>1.0</v>
      </c>
      <c r="E253" s="7" t="s">
        <v>103</v>
      </c>
      <c r="F253" s="5" t="s">
        <v>104</v>
      </c>
      <c r="G253" s="9">
        <v>5.1100061E7</v>
      </c>
      <c r="H253" s="5" t="s">
        <v>42</v>
      </c>
      <c r="I253" s="10" t="s">
        <v>37</v>
      </c>
      <c r="J253" s="11">
        <v>4790654.0</v>
      </c>
      <c r="K253" s="11">
        <v>53.14</v>
      </c>
    </row>
    <row r="254">
      <c r="A254" s="5" t="s">
        <v>74</v>
      </c>
      <c r="B254" s="6" t="s">
        <v>170</v>
      </c>
      <c r="C254" s="7" t="s">
        <v>171</v>
      </c>
      <c r="D254" s="8">
        <v>1.0</v>
      </c>
      <c r="E254" s="7" t="s">
        <v>103</v>
      </c>
      <c r="F254" s="5" t="s">
        <v>104</v>
      </c>
      <c r="G254" s="9">
        <v>9.0043001E7</v>
      </c>
      <c r="H254" s="5" t="s">
        <v>18</v>
      </c>
      <c r="I254" s="10" t="s">
        <v>19</v>
      </c>
      <c r="J254" s="11">
        <v>4923923.0</v>
      </c>
      <c r="K254" s="11">
        <v>37.0</v>
      </c>
    </row>
    <row r="255">
      <c r="A255" s="5" t="s">
        <v>74</v>
      </c>
      <c r="B255" s="6" t="s">
        <v>170</v>
      </c>
      <c r="C255" s="7" t="s">
        <v>171</v>
      </c>
      <c r="D255" s="8">
        <v>1.0</v>
      </c>
      <c r="E255" s="7" t="s">
        <v>108</v>
      </c>
      <c r="F255" s="5" t="s">
        <v>109</v>
      </c>
      <c r="G255" s="9">
        <v>5.1100061E7</v>
      </c>
      <c r="H255" s="5" t="s">
        <v>42</v>
      </c>
      <c r="I255" s="10" t="s">
        <v>37</v>
      </c>
      <c r="J255" s="11">
        <v>5281250.0</v>
      </c>
      <c r="K255" s="11">
        <v>65.0</v>
      </c>
    </row>
    <row r="256">
      <c r="A256" s="5" t="s">
        <v>74</v>
      </c>
      <c r="B256" s="6" t="s">
        <v>170</v>
      </c>
      <c r="C256" s="7" t="s">
        <v>171</v>
      </c>
      <c r="D256" s="8">
        <v>1.0</v>
      </c>
      <c r="E256" s="7" t="s">
        <v>108</v>
      </c>
      <c r="F256" s="5" t="s">
        <v>109</v>
      </c>
      <c r="G256" s="9">
        <v>5.1100064E7</v>
      </c>
      <c r="H256" s="5" t="s">
        <v>53</v>
      </c>
      <c r="I256" s="10" t="s">
        <v>37</v>
      </c>
      <c r="J256" s="11">
        <v>1200000.0</v>
      </c>
      <c r="K256" s="11">
        <v>2.0</v>
      </c>
    </row>
    <row r="257">
      <c r="A257" s="5" t="s">
        <v>74</v>
      </c>
      <c r="B257" s="6" t="s">
        <v>170</v>
      </c>
      <c r="C257" s="7" t="s">
        <v>171</v>
      </c>
      <c r="D257" s="8">
        <v>1.0</v>
      </c>
      <c r="E257" s="7" t="s">
        <v>108</v>
      </c>
      <c r="F257" s="5" t="s">
        <v>109</v>
      </c>
      <c r="G257" s="9">
        <v>9.0043001E7</v>
      </c>
      <c r="H257" s="5" t="s">
        <v>18</v>
      </c>
      <c r="I257" s="10" t="s">
        <v>19</v>
      </c>
      <c r="J257" s="11">
        <v>9276323.0</v>
      </c>
      <c r="K257" s="11">
        <v>71.0</v>
      </c>
    </row>
    <row r="258">
      <c r="A258" s="5" t="s">
        <v>74</v>
      </c>
      <c r="B258" s="6" t="s">
        <v>170</v>
      </c>
      <c r="C258" s="7" t="s">
        <v>171</v>
      </c>
      <c r="D258" s="8">
        <v>1.0</v>
      </c>
      <c r="E258" s="7" t="s">
        <v>175</v>
      </c>
      <c r="F258" s="5" t="s">
        <v>176</v>
      </c>
      <c r="G258" s="9">
        <v>9.0043002E7</v>
      </c>
      <c r="H258" s="5" t="s">
        <v>49</v>
      </c>
      <c r="I258" s="10" t="s">
        <v>50</v>
      </c>
      <c r="J258" s="11">
        <v>590946.0</v>
      </c>
      <c r="K258" s="11">
        <v>80.0</v>
      </c>
    </row>
    <row r="259">
      <c r="A259" s="5" t="s">
        <v>74</v>
      </c>
      <c r="B259" s="6" t="s">
        <v>170</v>
      </c>
      <c r="C259" s="7" t="s">
        <v>171</v>
      </c>
      <c r="D259" s="8">
        <v>1.0</v>
      </c>
      <c r="E259" s="7" t="s">
        <v>115</v>
      </c>
      <c r="F259" s="5" t="s">
        <v>116</v>
      </c>
      <c r="G259" s="9">
        <v>9.0043002E7</v>
      </c>
      <c r="H259" s="5" t="s">
        <v>49</v>
      </c>
      <c r="I259" s="10" t="s">
        <v>50</v>
      </c>
      <c r="J259" s="11">
        <v>5540398.0</v>
      </c>
      <c r="K259" s="11">
        <v>630.0</v>
      </c>
    </row>
    <row r="260">
      <c r="A260" s="5" t="s">
        <v>74</v>
      </c>
      <c r="B260" s="6" t="s">
        <v>170</v>
      </c>
      <c r="C260" s="7" t="s">
        <v>171</v>
      </c>
      <c r="D260" s="8">
        <v>1.0</v>
      </c>
      <c r="E260" s="7" t="s">
        <v>123</v>
      </c>
      <c r="F260" s="5" t="s">
        <v>124</v>
      </c>
      <c r="G260" s="9">
        <v>5.1100774E7</v>
      </c>
      <c r="H260" s="5" t="s">
        <v>39</v>
      </c>
      <c r="I260" s="10" t="s">
        <v>17</v>
      </c>
      <c r="J260" s="11">
        <v>5.5655908E7</v>
      </c>
      <c r="K260" s="11">
        <v>14301.0</v>
      </c>
    </row>
    <row r="261">
      <c r="A261" s="5" t="s">
        <v>74</v>
      </c>
      <c r="B261" s="6" t="s">
        <v>170</v>
      </c>
      <c r="C261" s="7" t="s">
        <v>171</v>
      </c>
      <c r="D261" s="8">
        <v>1.0</v>
      </c>
      <c r="E261" s="7" t="s">
        <v>125</v>
      </c>
      <c r="F261" s="5" t="s">
        <v>126</v>
      </c>
      <c r="G261" s="9">
        <v>5.1101056E7</v>
      </c>
      <c r="H261" s="5" t="s">
        <v>16</v>
      </c>
      <c r="I261" s="10" t="s">
        <v>25</v>
      </c>
      <c r="J261" s="11">
        <v>1944324.0</v>
      </c>
      <c r="K261" s="11">
        <v>0.0</v>
      </c>
    </row>
    <row r="262">
      <c r="A262" s="5" t="s">
        <v>74</v>
      </c>
      <c r="B262" s="6" t="s">
        <v>170</v>
      </c>
      <c r="C262" s="7" t="s">
        <v>171</v>
      </c>
      <c r="D262" s="8">
        <v>1.0</v>
      </c>
      <c r="E262" s="7" t="s">
        <v>125</v>
      </c>
      <c r="F262" s="5" t="s">
        <v>126</v>
      </c>
      <c r="G262" s="9">
        <v>5.1101056E7</v>
      </c>
      <c r="H262" s="5" t="s">
        <v>16</v>
      </c>
      <c r="I262" s="10" t="s">
        <v>17</v>
      </c>
      <c r="J262" s="11">
        <v>2.2475109E7</v>
      </c>
      <c r="K262" s="11">
        <v>175257.194</v>
      </c>
    </row>
    <row r="263">
      <c r="A263" s="5" t="s">
        <v>74</v>
      </c>
      <c r="B263" s="6" t="s">
        <v>170</v>
      </c>
      <c r="C263" s="7" t="s">
        <v>171</v>
      </c>
      <c r="D263" s="8">
        <v>1.0</v>
      </c>
      <c r="E263" s="7" t="s">
        <v>125</v>
      </c>
      <c r="F263" s="5" t="s">
        <v>126</v>
      </c>
      <c r="G263" s="9">
        <v>9.0043001E7</v>
      </c>
      <c r="H263" s="5" t="s">
        <v>18</v>
      </c>
      <c r="I263" s="10" t="s">
        <v>19</v>
      </c>
      <c r="J263" s="11">
        <v>2.67304395E8</v>
      </c>
      <c r="K263" s="11">
        <v>2082.0</v>
      </c>
    </row>
    <row r="264">
      <c r="A264" s="5" t="s">
        <v>74</v>
      </c>
      <c r="B264" s="6" t="s">
        <v>170</v>
      </c>
      <c r="C264" s="7" t="s">
        <v>171</v>
      </c>
      <c r="D264" s="8">
        <v>1.0</v>
      </c>
      <c r="E264" s="7" t="s">
        <v>127</v>
      </c>
      <c r="F264" s="5" t="s">
        <v>128</v>
      </c>
      <c r="G264" s="9">
        <v>5.1100153E7</v>
      </c>
      <c r="H264" s="5" t="s">
        <v>72</v>
      </c>
      <c r="I264" s="10" t="s">
        <v>17</v>
      </c>
      <c r="J264" s="11">
        <v>9.2251136E7</v>
      </c>
      <c r="K264" s="11">
        <v>1211549.86</v>
      </c>
    </row>
    <row r="265">
      <c r="A265" s="5" t="s">
        <v>74</v>
      </c>
      <c r="B265" s="6" t="s">
        <v>170</v>
      </c>
      <c r="C265" s="7" t="s">
        <v>171</v>
      </c>
      <c r="D265" s="8">
        <v>1.0</v>
      </c>
      <c r="E265" s="7" t="s">
        <v>127</v>
      </c>
      <c r="F265" s="5" t="s">
        <v>128</v>
      </c>
      <c r="G265" s="9">
        <v>5.1100693E7</v>
      </c>
      <c r="H265" s="5" t="s">
        <v>177</v>
      </c>
      <c r="I265" s="10" t="s">
        <v>25</v>
      </c>
      <c r="J265" s="11">
        <v>526050.0</v>
      </c>
      <c r="K265" s="11">
        <v>0.0</v>
      </c>
    </row>
    <row r="266">
      <c r="A266" s="5" t="s">
        <v>74</v>
      </c>
      <c r="B266" s="6" t="s">
        <v>170</v>
      </c>
      <c r="C266" s="7" t="s">
        <v>171</v>
      </c>
      <c r="D266" s="8">
        <v>1.0</v>
      </c>
      <c r="E266" s="7" t="s">
        <v>127</v>
      </c>
      <c r="F266" s="5" t="s">
        <v>128</v>
      </c>
      <c r="G266" s="9">
        <v>9.0043002E7</v>
      </c>
      <c r="H266" s="5" t="s">
        <v>49</v>
      </c>
      <c r="I266" s="10" t="s">
        <v>50</v>
      </c>
      <c r="J266" s="11">
        <v>3.6763719E7</v>
      </c>
      <c r="K266" s="11">
        <v>4497.0</v>
      </c>
    </row>
    <row r="267">
      <c r="A267" s="5" t="s">
        <v>74</v>
      </c>
      <c r="B267" s="6" t="s">
        <v>170</v>
      </c>
      <c r="C267" s="7" t="s">
        <v>171</v>
      </c>
      <c r="D267" s="8">
        <v>1.0</v>
      </c>
      <c r="E267" s="7" t="s">
        <v>129</v>
      </c>
      <c r="F267" s="5" t="s">
        <v>130</v>
      </c>
      <c r="G267" s="9">
        <v>5.1101056E7</v>
      </c>
      <c r="H267" s="5" t="s">
        <v>16</v>
      </c>
      <c r="I267" s="10" t="s">
        <v>17</v>
      </c>
      <c r="J267" s="11">
        <v>1.595244E7</v>
      </c>
      <c r="K267" s="11">
        <v>227892.0</v>
      </c>
    </row>
    <row r="268">
      <c r="A268" s="5" t="s">
        <v>74</v>
      </c>
      <c r="B268" s="6" t="s">
        <v>170</v>
      </c>
      <c r="C268" s="7" t="s">
        <v>171</v>
      </c>
      <c r="D268" s="8">
        <v>1.0</v>
      </c>
      <c r="E268" s="7" t="s">
        <v>129</v>
      </c>
      <c r="F268" s="5" t="s">
        <v>130</v>
      </c>
      <c r="G268" s="9">
        <v>9.0043001E7</v>
      </c>
      <c r="H268" s="5" t="s">
        <v>18</v>
      </c>
      <c r="I268" s="10" t="s">
        <v>19</v>
      </c>
      <c r="J268" s="11">
        <v>2.7460286E7</v>
      </c>
      <c r="K268" s="11">
        <v>202.0</v>
      </c>
    </row>
    <row r="269">
      <c r="A269" s="5" t="s">
        <v>74</v>
      </c>
      <c r="B269" s="6" t="s">
        <v>170</v>
      </c>
      <c r="C269" s="7" t="s">
        <v>171</v>
      </c>
      <c r="D269" s="8">
        <v>1.0</v>
      </c>
      <c r="E269" s="7" t="s">
        <v>129</v>
      </c>
      <c r="F269" s="5" t="s">
        <v>130</v>
      </c>
      <c r="G269" s="9">
        <v>9.0043003E7</v>
      </c>
      <c r="H269" s="5" t="s">
        <v>90</v>
      </c>
      <c r="I269" s="10" t="s">
        <v>50</v>
      </c>
      <c r="J269" s="11">
        <v>6.967059E7</v>
      </c>
      <c r="K269" s="11">
        <v>91.0</v>
      </c>
    </row>
    <row r="270">
      <c r="A270" s="5" t="s">
        <v>74</v>
      </c>
      <c r="B270" s="6" t="s">
        <v>170</v>
      </c>
      <c r="C270" s="7" t="s">
        <v>171</v>
      </c>
      <c r="D270" s="8">
        <v>1.0</v>
      </c>
      <c r="E270" s="7" t="s">
        <v>131</v>
      </c>
      <c r="F270" s="5" t="s">
        <v>132</v>
      </c>
      <c r="G270" s="9">
        <v>9.0043001E7</v>
      </c>
      <c r="H270" s="5" t="s">
        <v>18</v>
      </c>
      <c r="I270" s="10" t="s">
        <v>19</v>
      </c>
      <c r="J270" s="11">
        <v>5890212.0</v>
      </c>
      <c r="K270" s="11">
        <v>46.0</v>
      </c>
    </row>
    <row r="271">
      <c r="A271" s="5" t="s">
        <v>74</v>
      </c>
      <c r="B271" s="6" t="s">
        <v>170</v>
      </c>
      <c r="C271" s="7" t="s">
        <v>171</v>
      </c>
      <c r="D271" s="8">
        <v>1.0</v>
      </c>
      <c r="E271" s="7" t="s">
        <v>135</v>
      </c>
      <c r="F271" s="5" t="s">
        <v>136</v>
      </c>
      <c r="G271" s="9">
        <v>9.0043001E7</v>
      </c>
      <c r="H271" s="5" t="s">
        <v>18</v>
      </c>
      <c r="I271" s="10" t="s">
        <v>19</v>
      </c>
      <c r="J271" s="11">
        <v>4.1640407E7</v>
      </c>
      <c r="K271" s="11">
        <v>329.0</v>
      </c>
    </row>
    <row r="272">
      <c r="A272" s="5" t="s">
        <v>74</v>
      </c>
      <c r="B272" s="6" t="s">
        <v>170</v>
      </c>
      <c r="C272" s="7" t="s">
        <v>171</v>
      </c>
      <c r="D272" s="8">
        <v>1.0</v>
      </c>
      <c r="E272" s="7" t="s">
        <v>137</v>
      </c>
      <c r="F272" s="5" t="s">
        <v>138</v>
      </c>
      <c r="G272" s="9">
        <v>9.0043001E7</v>
      </c>
      <c r="H272" s="5" t="s">
        <v>18</v>
      </c>
      <c r="I272" s="10" t="s">
        <v>19</v>
      </c>
      <c r="J272" s="11">
        <v>3092100.0</v>
      </c>
      <c r="K272" s="11">
        <v>25.0</v>
      </c>
    </row>
    <row r="273">
      <c r="A273" s="5" t="s">
        <v>74</v>
      </c>
      <c r="B273" s="6" t="s">
        <v>170</v>
      </c>
      <c r="C273" s="7" t="s">
        <v>171</v>
      </c>
      <c r="D273" s="8">
        <v>1.0</v>
      </c>
      <c r="E273" s="7" t="s">
        <v>54</v>
      </c>
      <c r="F273" s="5" t="s">
        <v>139</v>
      </c>
      <c r="G273" s="9">
        <v>9.0042011E7</v>
      </c>
      <c r="H273" s="5" t="s">
        <v>55</v>
      </c>
      <c r="I273" s="10" t="s">
        <v>19</v>
      </c>
      <c r="J273" s="11">
        <v>1.70611803E8</v>
      </c>
      <c r="K273" s="11">
        <v>0.0</v>
      </c>
    </row>
    <row r="274">
      <c r="A274" s="5" t="s">
        <v>74</v>
      </c>
      <c r="B274" s="6" t="s">
        <v>170</v>
      </c>
      <c r="C274" s="7" t="s">
        <v>171</v>
      </c>
      <c r="D274" s="8">
        <v>1.0</v>
      </c>
      <c r="E274" s="7" t="s">
        <v>164</v>
      </c>
      <c r="F274" s="5" t="s">
        <v>165</v>
      </c>
      <c r="G274" s="9">
        <v>9.0042079E7</v>
      </c>
      <c r="H274" s="5" t="s">
        <v>166</v>
      </c>
      <c r="I274" s="10" t="s">
        <v>19</v>
      </c>
      <c r="J274" s="11">
        <v>541050.0</v>
      </c>
      <c r="K274" s="11">
        <v>0.0</v>
      </c>
    </row>
    <row r="275">
      <c r="A275" s="5" t="s">
        <v>74</v>
      </c>
      <c r="B275" s="6" t="s">
        <v>170</v>
      </c>
      <c r="C275" s="7" t="s">
        <v>171</v>
      </c>
      <c r="D275" s="8">
        <v>1.0</v>
      </c>
      <c r="E275" s="7" t="s">
        <v>20</v>
      </c>
      <c r="F275" s="5" t="s">
        <v>140</v>
      </c>
      <c r="G275" s="9">
        <v>9.0042014E7</v>
      </c>
      <c r="H275" s="5" t="s">
        <v>21</v>
      </c>
      <c r="I275" s="10" t="s">
        <v>19</v>
      </c>
      <c r="J275" s="11">
        <v>2.73443812E8</v>
      </c>
      <c r="K275" s="11">
        <v>0.0</v>
      </c>
    </row>
    <row r="276">
      <c r="A276" s="5" t="s">
        <v>74</v>
      </c>
      <c r="B276" s="6" t="s">
        <v>170</v>
      </c>
      <c r="C276" s="7" t="s">
        <v>171</v>
      </c>
      <c r="D276" s="8">
        <v>1.0</v>
      </c>
      <c r="E276" s="7" t="s">
        <v>20</v>
      </c>
      <c r="F276" s="5" t="s">
        <v>140</v>
      </c>
      <c r="G276" s="9">
        <v>9.0042077E7</v>
      </c>
      <c r="H276" s="5" t="s">
        <v>141</v>
      </c>
      <c r="I276" s="10" t="s">
        <v>19</v>
      </c>
      <c r="J276" s="11">
        <v>1.14113272E8</v>
      </c>
      <c r="K276" s="11">
        <v>0.0</v>
      </c>
    </row>
    <row r="277">
      <c r="A277" s="5" t="s">
        <v>74</v>
      </c>
      <c r="B277" s="6" t="s">
        <v>170</v>
      </c>
      <c r="C277" s="7" t="s">
        <v>171</v>
      </c>
      <c r="D277" s="8">
        <v>1.0</v>
      </c>
      <c r="E277" s="7" t="s">
        <v>142</v>
      </c>
      <c r="F277" s="5" t="s">
        <v>143</v>
      </c>
      <c r="G277" s="9">
        <v>9.0042084E7</v>
      </c>
      <c r="H277" s="5" t="s">
        <v>145</v>
      </c>
      <c r="I277" s="10" t="s">
        <v>19</v>
      </c>
      <c r="J277" s="11">
        <v>4391460.0</v>
      </c>
      <c r="K277" s="11">
        <v>0.0</v>
      </c>
    </row>
    <row r="278">
      <c r="A278" s="5" t="s">
        <v>74</v>
      </c>
      <c r="B278" s="6" t="s">
        <v>170</v>
      </c>
      <c r="C278" s="7" t="s">
        <v>171</v>
      </c>
      <c r="D278" s="8">
        <v>1.0</v>
      </c>
      <c r="E278" s="7" t="s">
        <v>22</v>
      </c>
      <c r="F278" s="5" t="s">
        <v>146</v>
      </c>
      <c r="G278" s="9">
        <v>9.0042012E7</v>
      </c>
      <c r="H278" s="5" t="s">
        <v>23</v>
      </c>
      <c r="I278" s="10" t="s">
        <v>19</v>
      </c>
      <c r="J278" s="11">
        <v>1.19804431E8</v>
      </c>
      <c r="K278" s="11">
        <v>0.0</v>
      </c>
    </row>
    <row r="279">
      <c r="A279" s="5" t="s">
        <v>74</v>
      </c>
      <c r="B279" s="6" t="s">
        <v>170</v>
      </c>
      <c r="C279" s="7" t="s">
        <v>171</v>
      </c>
      <c r="D279" s="8">
        <v>1.0</v>
      </c>
      <c r="E279" s="7" t="s">
        <v>22</v>
      </c>
      <c r="F279" s="5" t="s">
        <v>146</v>
      </c>
      <c r="G279" s="9">
        <v>9.0042121E7</v>
      </c>
      <c r="H279" s="5" t="s">
        <v>24</v>
      </c>
      <c r="I279" s="10" t="s">
        <v>25</v>
      </c>
      <c r="J279" s="11">
        <v>1.6713148E8</v>
      </c>
      <c r="K279" s="11">
        <v>0.0</v>
      </c>
    </row>
    <row r="280">
      <c r="A280" s="5" t="s">
        <v>74</v>
      </c>
      <c r="B280" s="6" t="s">
        <v>170</v>
      </c>
      <c r="C280" s="7" t="s">
        <v>171</v>
      </c>
      <c r="D280" s="8">
        <v>1.0</v>
      </c>
      <c r="E280" s="7" t="s">
        <v>22</v>
      </c>
      <c r="F280" s="5" t="s">
        <v>146</v>
      </c>
      <c r="G280" s="9">
        <v>9.0042122E7</v>
      </c>
      <c r="H280" s="5" t="s">
        <v>56</v>
      </c>
      <c r="I280" s="10" t="s">
        <v>25</v>
      </c>
      <c r="J280" s="11">
        <v>4114096.0</v>
      </c>
      <c r="K280" s="11">
        <v>0.0</v>
      </c>
    </row>
    <row r="281">
      <c r="A281" s="5" t="s">
        <v>74</v>
      </c>
      <c r="B281" s="6" t="s">
        <v>170</v>
      </c>
      <c r="C281" s="7" t="s">
        <v>171</v>
      </c>
      <c r="D281" s="8">
        <v>1.0</v>
      </c>
      <c r="E281" s="7" t="s">
        <v>22</v>
      </c>
      <c r="F281" s="5" t="s">
        <v>146</v>
      </c>
      <c r="G281" s="9">
        <v>9.0042125E7</v>
      </c>
      <c r="H281" s="5" t="s">
        <v>26</v>
      </c>
      <c r="I281" s="10" t="s">
        <v>25</v>
      </c>
      <c r="J281" s="11">
        <v>5.4949964E7</v>
      </c>
      <c r="K281" s="11">
        <v>0.0</v>
      </c>
    </row>
    <row r="282">
      <c r="A282" s="5" t="s">
        <v>74</v>
      </c>
      <c r="B282" s="6" t="s">
        <v>170</v>
      </c>
      <c r="C282" s="7" t="s">
        <v>171</v>
      </c>
      <c r="D282" s="8">
        <v>1.0</v>
      </c>
      <c r="E282" s="7" t="s">
        <v>22</v>
      </c>
      <c r="F282" s="5" t="s">
        <v>146</v>
      </c>
      <c r="G282" s="9">
        <v>9.0042127E7</v>
      </c>
      <c r="H282" s="5" t="s">
        <v>27</v>
      </c>
      <c r="I282" s="10" t="s">
        <v>25</v>
      </c>
      <c r="J282" s="11">
        <v>1.5031872E7</v>
      </c>
      <c r="K282" s="11">
        <v>0.0</v>
      </c>
    </row>
    <row r="283">
      <c r="A283" s="5" t="s">
        <v>74</v>
      </c>
      <c r="B283" s="6" t="s">
        <v>170</v>
      </c>
      <c r="C283" s="7" t="s">
        <v>171</v>
      </c>
      <c r="D283" s="8">
        <v>1.0</v>
      </c>
      <c r="E283" s="7" t="s">
        <v>22</v>
      </c>
      <c r="F283" s="5" t="s">
        <v>146</v>
      </c>
      <c r="G283" s="9">
        <v>9.0042128E7</v>
      </c>
      <c r="H283" s="5" t="s">
        <v>58</v>
      </c>
      <c r="I283" s="10" t="s">
        <v>25</v>
      </c>
      <c r="J283" s="11">
        <v>1.7780712E7</v>
      </c>
      <c r="K283" s="11">
        <v>0.0</v>
      </c>
    </row>
    <row r="284">
      <c r="A284" s="5" t="s">
        <v>74</v>
      </c>
      <c r="B284" s="6" t="s">
        <v>170</v>
      </c>
      <c r="C284" s="7" t="s">
        <v>171</v>
      </c>
      <c r="D284" s="8">
        <v>1.0</v>
      </c>
      <c r="E284" s="7" t="s">
        <v>22</v>
      </c>
      <c r="F284" s="5" t="s">
        <v>146</v>
      </c>
      <c r="G284" s="9">
        <v>9.0042132E7</v>
      </c>
      <c r="H284" s="5" t="s">
        <v>28</v>
      </c>
      <c r="I284" s="10" t="s">
        <v>25</v>
      </c>
      <c r="J284" s="11">
        <v>6094392.0</v>
      </c>
      <c r="K284" s="11">
        <v>0.0</v>
      </c>
    </row>
    <row r="285">
      <c r="A285" s="5" t="s">
        <v>74</v>
      </c>
      <c r="B285" s="6" t="s">
        <v>170</v>
      </c>
      <c r="C285" s="7" t="s">
        <v>171</v>
      </c>
      <c r="D285" s="8">
        <v>1.0</v>
      </c>
      <c r="E285" s="7" t="s">
        <v>22</v>
      </c>
      <c r="F285" s="5" t="s">
        <v>146</v>
      </c>
      <c r="G285" s="9">
        <v>9.0042134E7</v>
      </c>
      <c r="H285" s="5" t="s">
        <v>29</v>
      </c>
      <c r="I285" s="10" t="s">
        <v>25</v>
      </c>
      <c r="J285" s="11">
        <v>7310000.0</v>
      </c>
      <c r="K285" s="11">
        <v>0.0</v>
      </c>
    </row>
    <row r="286">
      <c r="A286" s="5" t="s">
        <v>74</v>
      </c>
      <c r="B286" s="6" t="s">
        <v>170</v>
      </c>
      <c r="C286" s="7" t="s">
        <v>171</v>
      </c>
      <c r="D286" s="8">
        <v>1.0</v>
      </c>
      <c r="E286" s="7" t="s">
        <v>22</v>
      </c>
      <c r="F286" s="5" t="s">
        <v>146</v>
      </c>
      <c r="G286" s="9">
        <v>9.0042135E7</v>
      </c>
      <c r="H286" s="5" t="s">
        <v>30</v>
      </c>
      <c r="I286" s="10" t="s">
        <v>25</v>
      </c>
      <c r="J286" s="11">
        <v>1.70984367E8</v>
      </c>
      <c r="K286" s="11">
        <v>0.0</v>
      </c>
    </row>
    <row r="287">
      <c r="A287" s="5" t="s">
        <v>74</v>
      </c>
      <c r="B287" s="6" t="s">
        <v>170</v>
      </c>
      <c r="C287" s="7" t="s">
        <v>171</v>
      </c>
      <c r="D287" s="8">
        <v>1.0</v>
      </c>
      <c r="E287" s="7" t="s">
        <v>22</v>
      </c>
      <c r="F287" s="5" t="s">
        <v>146</v>
      </c>
      <c r="G287" s="9">
        <v>9.00422E7</v>
      </c>
      <c r="H287" s="5" t="s">
        <v>73</v>
      </c>
      <c r="I287" s="10" t="s">
        <v>60</v>
      </c>
      <c r="J287" s="11">
        <v>1.6203705E8</v>
      </c>
      <c r="K287" s="11">
        <v>0.0</v>
      </c>
    </row>
    <row r="288">
      <c r="A288" s="5" t="s">
        <v>74</v>
      </c>
      <c r="B288" s="6" t="s">
        <v>170</v>
      </c>
      <c r="C288" s="7" t="s">
        <v>171</v>
      </c>
      <c r="D288" s="8">
        <v>1.0</v>
      </c>
      <c r="E288" s="7" t="s">
        <v>22</v>
      </c>
      <c r="F288" s="5" t="s">
        <v>146</v>
      </c>
      <c r="G288" s="9">
        <v>9.0042223E7</v>
      </c>
      <c r="H288" s="5" t="s">
        <v>61</v>
      </c>
      <c r="I288" s="10" t="s">
        <v>60</v>
      </c>
      <c r="J288" s="11">
        <v>9086496.0</v>
      </c>
      <c r="K288" s="11">
        <v>0.0</v>
      </c>
    </row>
    <row r="289">
      <c r="A289" s="5" t="s">
        <v>74</v>
      </c>
      <c r="B289" s="6" t="s">
        <v>170</v>
      </c>
      <c r="C289" s="7" t="s">
        <v>171</v>
      </c>
      <c r="D289" s="8">
        <v>1.0</v>
      </c>
      <c r="E289" s="7" t="s">
        <v>22</v>
      </c>
      <c r="F289" s="5" t="s">
        <v>146</v>
      </c>
      <c r="G289" s="9">
        <v>9.0042224E7</v>
      </c>
      <c r="H289" s="5" t="s">
        <v>62</v>
      </c>
      <c r="I289" s="10" t="s">
        <v>60</v>
      </c>
      <c r="J289" s="11">
        <v>9548648.0</v>
      </c>
      <c r="K289" s="11">
        <v>0.0</v>
      </c>
    </row>
    <row r="290">
      <c r="A290" s="5" t="s">
        <v>74</v>
      </c>
      <c r="B290" s="6" t="s">
        <v>170</v>
      </c>
      <c r="C290" s="7" t="s">
        <v>171</v>
      </c>
      <c r="D290" s="8">
        <v>1.0</v>
      </c>
      <c r="E290" s="7" t="s">
        <v>22</v>
      </c>
      <c r="F290" s="5" t="s">
        <v>146</v>
      </c>
      <c r="G290" s="9">
        <v>9.0042226E7</v>
      </c>
      <c r="H290" s="5" t="s">
        <v>63</v>
      </c>
      <c r="I290" s="10" t="s">
        <v>60</v>
      </c>
      <c r="J290" s="11">
        <v>1233333.0</v>
      </c>
      <c r="K290" s="11">
        <v>0.0</v>
      </c>
    </row>
    <row r="291">
      <c r="A291" s="5" t="s">
        <v>74</v>
      </c>
      <c r="B291" s="6" t="s">
        <v>170</v>
      </c>
      <c r="C291" s="7" t="s">
        <v>171</v>
      </c>
      <c r="D291" s="8">
        <v>1.0</v>
      </c>
      <c r="E291" s="7" t="s">
        <v>22</v>
      </c>
      <c r="F291" s="5" t="s">
        <v>146</v>
      </c>
      <c r="G291" s="9">
        <v>9.0042228E7</v>
      </c>
      <c r="H291" s="5" t="s">
        <v>64</v>
      </c>
      <c r="I291" s="10" t="s">
        <v>60</v>
      </c>
      <c r="J291" s="11">
        <v>6.7843732E7</v>
      </c>
      <c r="K291" s="11">
        <v>0.0</v>
      </c>
    </row>
    <row r="292">
      <c r="A292" s="5" t="s">
        <v>74</v>
      </c>
      <c r="B292" s="6" t="s">
        <v>170</v>
      </c>
      <c r="C292" s="7" t="s">
        <v>171</v>
      </c>
      <c r="D292" s="8">
        <v>1.0</v>
      </c>
      <c r="E292" s="7" t="s">
        <v>22</v>
      </c>
      <c r="F292" s="5" t="s">
        <v>146</v>
      </c>
      <c r="G292" s="9">
        <v>9.0042231E7</v>
      </c>
      <c r="H292" s="5" t="s">
        <v>65</v>
      </c>
      <c r="I292" s="10" t="s">
        <v>60</v>
      </c>
      <c r="J292" s="11">
        <v>1.3415774E7</v>
      </c>
      <c r="K292" s="11">
        <v>0.0</v>
      </c>
    </row>
    <row r="293">
      <c r="A293" s="5" t="s">
        <v>74</v>
      </c>
      <c r="B293" s="6" t="s">
        <v>170</v>
      </c>
      <c r="C293" s="7" t="s">
        <v>171</v>
      </c>
      <c r="D293" s="8">
        <v>1.0</v>
      </c>
      <c r="E293" s="7" t="s">
        <v>22</v>
      </c>
      <c r="F293" s="5" t="s">
        <v>146</v>
      </c>
      <c r="G293" s="9">
        <v>9.0042126E7</v>
      </c>
      <c r="H293" s="5" t="s">
        <v>31</v>
      </c>
      <c r="I293" s="10" t="s">
        <v>25</v>
      </c>
      <c r="J293" s="11">
        <v>3.5078512E7</v>
      </c>
      <c r="K293" s="11">
        <v>0.0</v>
      </c>
    </row>
    <row r="294">
      <c r="A294" s="5" t="s">
        <v>74</v>
      </c>
      <c r="B294" s="6" t="s">
        <v>170</v>
      </c>
      <c r="C294" s="7" t="s">
        <v>171</v>
      </c>
      <c r="D294" s="8">
        <v>1.0</v>
      </c>
      <c r="E294" s="7" t="s">
        <v>178</v>
      </c>
      <c r="F294" s="5" t="s">
        <v>179</v>
      </c>
      <c r="G294" s="9">
        <v>9.0043001E7</v>
      </c>
      <c r="H294" s="5" t="s">
        <v>18</v>
      </c>
      <c r="I294" s="10" t="s">
        <v>19</v>
      </c>
      <c r="J294" s="11">
        <v>1416894.0</v>
      </c>
      <c r="K294" s="11">
        <v>11.0</v>
      </c>
    </row>
    <row r="295">
      <c r="A295" s="5" t="s">
        <v>74</v>
      </c>
      <c r="B295" s="6" t="s">
        <v>12</v>
      </c>
      <c r="C295" s="7" t="s">
        <v>13</v>
      </c>
      <c r="D295" s="8">
        <v>1.0</v>
      </c>
      <c r="E295" s="7" t="s">
        <v>180</v>
      </c>
      <c r="F295" s="5" t="s">
        <v>181</v>
      </c>
      <c r="G295" s="9">
        <v>9.0043001E7</v>
      </c>
      <c r="H295" s="5" t="s">
        <v>18</v>
      </c>
      <c r="I295" s="10" t="s">
        <v>19</v>
      </c>
      <c r="J295" s="11">
        <v>5722864.0</v>
      </c>
      <c r="K295" s="11">
        <v>37.0</v>
      </c>
    </row>
    <row r="296">
      <c r="A296" s="5" t="s">
        <v>74</v>
      </c>
      <c r="B296" s="6" t="s">
        <v>12</v>
      </c>
      <c r="C296" s="7" t="s">
        <v>13</v>
      </c>
      <c r="D296" s="8">
        <v>1.0</v>
      </c>
      <c r="E296" s="7" t="s">
        <v>101</v>
      </c>
      <c r="F296" s="5" t="s">
        <v>102</v>
      </c>
      <c r="G296" s="9">
        <v>9.0043001E7</v>
      </c>
      <c r="H296" s="5" t="s">
        <v>18</v>
      </c>
      <c r="I296" s="10" t="s">
        <v>19</v>
      </c>
      <c r="J296" s="11">
        <v>3093440.0</v>
      </c>
      <c r="K296" s="11">
        <v>20.0</v>
      </c>
    </row>
    <row r="297">
      <c r="A297" s="5" t="s">
        <v>74</v>
      </c>
      <c r="B297" s="6" t="s">
        <v>12</v>
      </c>
      <c r="C297" s="7" t="s">
        <v>13</v>
      </c>
      <c r="D297" s="8">
        <v>1.0</v>
      </c>
      <c r="E297" s="7" t="s">
        <v>125</v>
      </c>
      <c r="F297" s="5" t="s">
        <v>126</v>
      </c>
      <c r="G297" s="9">
        <v>9.0043001E7</v>
      </c>
      <c r="H297" s="5" t="s">
        <v>18</v>
      </c>
      <c r="I297" s="10" t="s">
        <v>19</v>
      </c>
      <c r="J297" s="11">
        <v>2474752.0</v>
      </c>
      <c r="K297" s="11">
        <v>16.0</v>
      </c>
    </row>
    <row r="298">
      <c r="A298" s="5" t="s">
        <v>74</v>
      </c>
      <c r="B298" s="6" t="s">
        <v>12</v>
      </c>
      <c r="C298" s="7" t="s">
        <v>13</v>
      </c>
      <c r="D298" s="8">
        <v>1.0</v>
      </c>
      <c r="E298" s="7" t="s">
        <v>127</v>
      </c>
      <c r="F298" s="5" t="s">
        <v>128</v>
      </c>
      <c r="G298" s="9">
        <v>5.1100153E7</v>
      </c>
      <c r="H298" s="5" t="s">
        <v>72</v>
      </c>
      <c r="I298" s="10" t="s">
        <v>25</v>
      </c>
      <c r="J298" s="11">
        <v>5000000.0</v>
      </c>
      <c r="K298" s="11">
        <v>0.0</v>
      </c>
    </row>
    <row r="299">
      <c r="A299" s="5" t="s">
        <v>74</v>
      </c>
      <c r="B299" s="6" t="s">
        <v>12</v>
      </c>
      <c r="C299" s="7" t="s">
        <v>13</v>
      </c>
      <c r="D299" s="8">
        <v>1.0</v>
      </c>
      <c r="E299" s="7" t="s">
        <v>127</v>
      </c>
      <c r="F299" s="5" t="s">
        <v>128</v>
      </c>
      <c r="G299" s="9">
        <v>9.0043001E7</v>
      </c>
      <c r="H299" s="5" t="s">
        <v>18</v>
      </c>
      <c r="I299" s="10" t="s">
        <v>19</v>
      </c>
      <c r="J299" s="11">
        <v>618688.0</v>
      </c>
      <c r="K299" s="11">
        <v>4.0</v>
      </c>
    </row>
    <row r="300">
      <c r="A300" s="5" t="s">
        <v>74</v>
      </c>
      <c r="B300" s="6" t="s">
        <v>12</v>
      </c>
      <c r="C300" s="7" t="s">
        <v>13</v>
      </c>
      <c r="D300" s="8">
        <v>1.0</v>
      </c>
      <c r="E300" s="7" t="s">
        <v>131</v>
      </c>
      <c r="F300" s="5" t="s">
        <v>132</v>
      </c>
      <c r="G300" s="9">
        <v>9.0043001E7</v>
      </c>
      <c r="H300" s="5" t="s">
        <v>18</v>
      </c>
      <c r="I300" s="10" t="s">
        <v>19</v>
      </c>
      <c r="J300" s="11">
        <v>618688.0</v>
      </c>
      <c r="K300" s="11">
        <v>4.0</v>
      </c>
    </row>
    <row r="301">
      <c r="A301" s="5" t="s">
        <v>74</v>
      </c>
      <c r="B301" s="6" t="s">
        <v>12</v>
      </c>
      <c r="C301" s="7" t="s">
        <v>13</v>
      </c>
      <c r="D301" s="8">
        <v>1.0</v>
      </c>
      <c r="E301" s="7" t="s">
        <v>22</v>
      </c>
      <c r="F301" s="5" t="s">
        <v>146</v>
      </c>
      <c r="G301" s="9">
        <v>9.0042121E7</v>
      </c>
      <c r="H301" s="5" t="s">
        <v>24</v>
      </c>
      <c r="I301" s="10" t="s">
        <v>25</v>
      </c>
      <c r="J301" s="11">
        <v>1.0E7</v>
      </c>
      <c r="K301" s="11">
        <v>0.0</v>
      </c>
    </row>
    <row r="302">
      <c r="A302" s="5" t="s">
        <v>74</v>
      </c>
      <c r="B302" s="6" t="s">
        <v>12</v>
      </c>
      <c r="C302" s="7" t="s">
        <v>13</v>
      </c>
      <c r="D302" s="8">
        <v>1.0</v>
      </c>
      <c r="E302" s="7" t="s">
        <v>22</v>
      </c>
      <c r="F302" s="5" t="s">
        <v>146</v>
      </c>
      <c r="G302" s="9">
        <v>9.0042122E7</v>
      </c>
      <c r="H302" s="5" t="s">
        <v>56</v>
      </c>
      <c r="I302" s="10" t="s">
        <v>25</v>
      </c>
      <c r="J302" s="11">
        <v>535000.0</v>
      </c>
      <c r="K302" s="11">
        <v>0.0</v>
      </c>
    </row>
    <row r="303">
      <c r="A303" s="5" t="s">
        <v>74</v>
      </c>
      <c r="B303" s="6" t="s">
        <v>12</v>
      </c>
      <c r="C303" s="7" t="s">
        <v>13</v>
      </c>
      <c r="D303" s="8">
        <v>1.0</v>
      </c>
      <c r="E303" s="7" t="s">
        <v>22</v>
      </c>
      <c r="F303" s="5" t="s">
        <v>146</v>
      </c>
      <c r="G303" s="9">
        <v>9.0042135E7</v>
      </c>
      <c r="H303" s="5" t="s">
        <v>30</v>
      </c>
      <c r="I303" s="10" t="s">
        <v>25</v>
      </c>
      <c r="J303" s="11">
        <v>2.1009298E7</v>
      </c>
      <c r="K303" s="11">
        <v>0.0</v>
      </c>
    </row>
    <row r="304">
      <c r="A304" s="5" t="s">
        <v>74</v>
      </c>
      <c r="B304" s="6" t="s">
        <v>12</v>
      </c>
      <c r="C304" s="7" t="s">
        <v>13</v>
      </c>
      <c r="D304" s="8">
        <v>1.0</v>
      </c>
      <c r="E304" s="7" t="s">
        <v>22</v>
      </c>
      <c r="F304" s="5" t="s">
        <v>146</v>
      </c>
      <c r="G304" s="9">
        <v>9.00422E7</v>
      </c>
      <c r="H304" s="5" t="s">
        <v>73</v>
      </c>
      <c r="I304" s="10" t="s">
        <v>60</v>
      </c>
      <c r="J304" s="11">
        <v>791131.0</v>
      </c>
      <c r="K304" s="11">
        <v>0.0</v>
      </c>
    </row>
    <row r="305">
      <c r="A305" s="5" t="s">
        <v>74</v>
      </c>
      <c r="B305" s="6" t="s">
        <v>12</v>
      </c>
      <c r="C305" s="7" t="s">
        <v>13</v>
      </c>
      <c r="D305" s="8">
        <v>1.0</v>
      </c>
      <c r="E305" s="7" t="s">
        <v>22</v>
      </c>
      <c r="F305" s="5" t="s">
        <v>146</v>
      </c>
      <c r="G305" s="9">
        <v>9.0042201E7</v>
      </c>
      <c r="H305" s="5" t="s">
        <v>59</v>
      </c>
      <c r="I305" s="10" t="s">
        <v>60</v>
      </c>
      <c r="J305" s="11">
        <v>1.53430136E8</v>
      </c>
      <c r="K305" s="11">
        <v>0.0</v>
      </c>
    </row>
    <row r="306">
      <c r="A306" s="5" t="s">
        <v>74</v>
      </c>
      <c r="B306" s="6" t="s">
        <v>12</v>
      </c>
      <c r="C306" s="7" t="s">
        <v>13</v>
      </c>
      <c r="D306" s="8">
        <v>1.0</v>
      </c>
      <c r="E306" s="7" t="s">
        <v>22</v>
      </c>
      <c r="F306" s="5" t="s">
        <v>146</v>
      </c>
      <c r="G306" s="9">
        <v>9.0042223E7</v>
      </c>
      <c r="H306" s="5" t="s">
        <v>61</v>
      </c>
      <c r="I306" s="10" t="s">
        <v>60</v>
      </c>
      <c r="J306" s="11">
        <v>1107529.0</v>
      </c>
      <c r="K306" s="11">
        <v>0.0</v>
      </c>
    </row>
    <row r="307">
      <c r="A307" s="5" t="s">
        <v>74</v>
      </c>
      <c r="B307" s="6" t="s">
        <v>12</v>
      </c>
      <c r="C307" s="7" t="s">
        <v>13</v>
      </c>
      <c r="D307" s="8">
        <v>1.0</v>
      </c>
      <c r="E307" s="7" t="s">
        <v>22</v>
      </c>
      <c r="F307" s="5" t="s">
        <v>146</v>
      </c>
      <c r="G307" s="9">
        <v>9.0042224E7</v>
      </c>
      <c r="H307" s="5" t="s">
        <v>62</v>
      </c>
      <c r="I307" s="10" t="s">
        <v>60</v>
      </c>
      <c r="J307" s="11">
        <v>141852.0</v>
      </c>
      <c r="K307" s="11">
        <v>0.0</v>
      </c>
    </row>
    <row r="308">
      <c r="A308" s="5" t="s">
        <v>74</v>
      </c>
      <c r="B308" s="6" t="s">
        <v>12</v>
      </c>
      <c r="C308" s="7" t="s">
        <v>13</v>
      </c>
      <c r="D308" s="8">
        <v>1.0</v>
      </c>
      <c r="E308" s="7" t="s">
        <v>22</v>
      </c>
      <c r="F308" s="5" t="s">
        <v>146</v>
      </c>
      <c r="G308" s="9">
        <v>9.0042228E7</v>
      </c>
      <c r="H308" s="5" t="s">
        <v>64</v>
      </c>
      <c r="I308" s="10" t="s">
        <v>60</v>
      </c>
      <c r="J308" s="11">
        <v>8396384.0</v>
      </c>
      <c r="K308" s="11">
        <v>0.0</v>
      </c>
    </row>
    <row r="309">
      <c r="A309" s="5" t="s">
        <v>74</v>
      </c>
      <c r="B309" s="6" t="s">
        <v>12</v>
      </c>
      <c r="C309" s="7" t="s">
        <v>13</v>
      </c>
      <c r="D309" s="8">
        <v>1.0</v>
      </c>
      <c r="E309" s="7" t="s">
        <v>22</v>
      </c>
      <c r="F309" s="5" t="s">
        <v>146</v>
      </c>
      <c r="G309" s="9">
        <v>9.0042231E7</v>
      </c>
      <c r="H309" s="5" t="s">
        <v>65</v>
      </c>
      <c r="I309" s="10" t="s">
        <v>60</v>
      </c>
      <c r="J309" s="11">
        <v>2915926.0</v>
      </c>
      <c r="K309" s="11">
        <v>0.0</v>
      </c>
    </row>
    <row r="310">
      <c r="A310" s="5" t="s">
        <v>74</v>
      </c>
      <c r="B310" s="6" t="s">
        <v>12</v>
      </c>
      <c r="C310" s="7" t="s">
        <v>13</v>
      </c>
      <c r="D310" s="8">
        <v>1.0</v>
      </c>
      <c r="E310" s="7" t="s">
        <v>22</v>
      </c>
      <c r="F310" s="5" t="s">
        <v>146</v>
      </c>
      <c r="G310" s="9">
        <v>9.0042126E7</v>
      </c>
      <c r="H310" s="5" t="s">
        <v>31</v>
      </c>
      <c r="I310" s="10" t="s">
        <v>25</v>
      </c>
      <c r="J310" s="11">
        <v>2400000.0</v>
      </c>
      <c r="K310" s="11">
        <v>0.0</v>
      </c>
    </row>
    <row r="311">
      <c r="A311" s="5" t="s">
        <v>74</v>
      </c>
      <c r="B311" s="6" t="s">
        <v>12</v>
      </c>
      <c r="C311" s="7" t="s">
        <v>13</v>
      </c>
      <c r="D311" s="8">
        <v>1.0</v>
      </c>
      <c r="E311" s="7" t="s">
        <v>22</v>
      </c>
      <c r="F311" s="5" t="s">
        <v>146</v>
      </c>
      <c r="G311" s="9">
        <v>9.004212E7</v>
      </c>
      <c r="H311" s="5" t="s">
        <v>182</v>
      </c>
      <c r="I311" s="10" t="s">
        <v>25</v>
      </c>
      <c r="J311" s="11">
        <v>4.45969018E8</v>
      </c>
      <c r="K311" s="11">
        <v>0.0</v>
      </c>
    </row>
    <row r="312">
      <c r="A312" s="5" t="s">
        <v>74</v>
      </c>
      <c r="B312" s="6" t="s">
        <v>12</v>
      </c>
      <c r="C312" s="7" t="s">
        <v>13</v>
      </c>
      <c r="D312" s="8">
        <v>1.0</v>
      </c>
      <c r="E312" s="7" t="s">
        <v>183</v>
      </c>
      <c r="F312" s="5" t="s">
        <v>184</v>
      </c>
      <c r="G312" s="9">
        <v>9.0043001E7</v>
      </c>
      <c r="H312" s="5" t="s">
        <v>18</v>
      </c>
      <c r="I312" s="10" t="s">
        <v>19</v>
      </c>
      <c r="J312" s="11">
        <v>618688.0</v>
      </c>
      <c r="K312" s="11">
        <v>4.0</v>
      </c>
    </row>
    <row r="313">
      <c r="A313" s="5" t="s">
        <v>74</v>
      </c>
      <c r="B313" s="6" t="s">
        <v>12</v>
      </c>
      <c r="C313" s="7" t="s">
        <v>13</v>
      </c>
      <c r="D313" s="8">
        <v>1.0</v>
      </c>
      <c r="E313" s="7" t="s">
        <v>185</v>
      </c>
      <c r="F313" s="5" t="s">
        <v>186</v>
      </c>
      <c r="G313" s="9">
        <v>5.1100651E7</v>
      </c>
      <c r="H313" s="5" t="s">
        <v>38</v>
      </c>
      <c r="I313" s="10" t="s">
        <v>25</v>
      </c>
      <c r="J313" s="11">
        <v>420000.0</v>
      </c>
      <c r="K313" s="11">
        <v>0.0</v>
      </c>
    </row>
    <row r="314">
      <c r="A314" s="5" t="s">
        <v>74</v>
      </c>
      <c r="B314" s="6" t="s">
        <v>187</v>
      </c>
      <c r="C314" s="7" t="s">
        <v>188</v>
      </c>
      <c r="D314" s="8">
        <v>1.0</v>
      </c>
      <c r="E314" s="7" t="s">
        <v>81</v>
      </c>
      <c r="F314" s="5" t="s">
        <v>82</v>
      </c>
      <c r="G314" s="9">
        <v>9.0043001E7</v>
      </c>
      <c r="H314" s="5" t="s">
        <v>18</v>
      </c>
      <c r="I314" s="10" t="s">
        <v>19</v>
      </c>
      <c r="J314" s="11">
        <v>370452.0</v>
      </c>
      <c r="K314" s="11">
        <v>3.0</v>
      </c>
    </row>
    <row r="315">
      <c r="A315" s="5" t="s">
        <v>74</v>
      </c>
      <c r="B315" s="6" t="s">
        <v>187</v>
      </c>
      <c r="C315" s="7" t="s">
        <v>188</v>
      </c>
      <c r="D315" s="8">
        <v>1.0</v>
      </c>
      <c r="E315" s="7" t="s">
        <v>84</v>
      </c>
      <c r="F315" s="5" t="s">
        <v>85</v>
      </c>
      <c r="G315" s="9">
        <v>9.0043001E7</v>
      </c>
      <c r="H315" s="5" t="s">
        <v>18</v>
      </c>
      <c r="I315" s="10" t="s">
        <v>19</v>
      </c>
      <c r="J315" s="11">
        <v>7.01942E7</v>
      </c>
      <c r="K315" s="11">
        <v>570.0</v>
      </c>
    </row>
    <row r="316">
      <c r="A316" s="5" t="s">
        <v>74</v>
      </c>
      <c r="B316" s="6" t="s">
        <v>187</v>
      </c>
      <c r="C316" s="7" t="s">
        <v>188</v>
      </c>
      <c r="D316" s="8">
        <v>1.0</v>
      </c>
      <c r="E316" s="7" t="s">
        <v>84</v>
      </c>
      <c r="F316" s="5" t="s">
        <v>85</v>
      </c>
      <c r="G316" s="9">
        <v>9.0043E7</v>
      </c>
      <c r="H316" s="5" t="s">
        <v>83</v>
      </c>
      <c r="I316" s="10" t="s">
        <v>19</v>
      </c>
      <c r="J316" s="11">
        <v>1381325.0</v>
      </c>
      <c r="K316" s="11">
        <v>11.0</v>
      </c>
    </row>
    <row r="317">
      <c r="A317" s="5" t="s">
        <v>74</v>
      </c>
      <c r="B317" s="6" t="s">
        <v>187</v>
      </c>
      <c r="C317" s="7" t="s">
        <v>188</v>
      </c>
      <c r="D317" s="8">
        <v>1.0</v>
      </c>
      <c r="E317" s="7" t="s">
        <v>173</v>
      </c>
      <c r="F317" s="5" t="s">
        <v>174</v>
      </c>
      <c r="G317" s="9">
        <v>5.1100651E7</v>
      </c>
      <c r="H317" s="5" t="s">
        <v>38</v>
      </c>
      <c r="I317" s="10" t="s">
        <v>25</v>
      </c>
      <c r="J317" s="11">
        <v>-1.714731939E9</v>
      </c>
      <c r="K317" s="11">
        <v>-5288.5</v>
      </c>
    </row>
    <row r="318">
      <c r="A318" s="5" t="s">
        <v>74</v>
      </c>
      <c r="B318" s="6" t="s">
        <v>187</v>
      </c>
      <c r="C318" s="7" t="s">
        <v>188</v>
      </c>
      <c r="D318" s="8">
        <v>1.0</v>
      </c>
      <c r="E318" s="7" t="s">
        <v>173</v>
      </c>
      <c r="F318" s="5" t="s">
        <v>174</v>
      </c>
      <c r="G318" s="9">
        <v>9.0043003E7</v>
      </c>
      <c r="H318" s="5" t="s">
        <v>90</v>
      </c>
      <c r="I318" s="10" t="s">
        <v>50</v>
      </c>
      <c r="J318" s="11">
        <v>4070289.0</v>
      </c>
      <c r="K318" s="11">
        <v>15.0</v>
      </c>
    </row>
    <row r="319">
      <c r="A319" s="5" t="s">
        <v>74</v>
      </c>
      <c r="B319" s="6" t="s">
        <v>187</v>
      </c>
      <c r="C319" s="7" t="s">
        <v>188</v>
      </c>
      <c r="D319" s="8">
        <v>1.0</v>
      </c>
      <c r="E319" s="7" t="s">
        <v>173</v>
      </c>
      <c r="F319" s="5" t="s">
        <v>174</v>
      </c>
      <c r="G319" s="9">
        <v>5.1100774E7</v>
      </c>
      <c r="H319" s="5" t="s">
        <v>39</v>
      </c>
      <c r="I319" s="10" t="s">
        <v>17</v>
      </c>
      <c r="J319" s="11">
        <v>1.3984E9</v>
      </c>
      <c r="K319" s="11">
        <v>4750.0</v>
      </c>
    </row>
    <row r="320">
      <c r="A320" s="5" t="s">
        <v>74</v>
      </c>
      <c r="B320" s="6" t="s">
        <v>187</v>
      </c>
      <c r="C320" s="7" t="s">
        <v>188</v>
      </c>
      <c r="D320" s="8">
        <v>1.0</v>
      </c>
      <c r="E320" s="7" t="s">
        <v>189</v>
      </c>
      <c r="F320" s="5" t="s">
        <v>190</v>
      </c>
      <c r="G320" s="9">
        <v>9.0043001E7</v>
      </c>
      <c r="H320" s="5" t="s">
        <v>18</v>
      </c>
      <c r="I320" s="10" t="s">
        <v>19</v>
      </c>
      <c r="J320" s="11">
        <v>6421168.0</v>
      </c>
      <c r="K320" s="11">
        <v>52.0</v>
      </c>
    </row>
    <row r="321">
      <c r="A321" s="5" t="s">
        <v>74</v>
      </c>
      <c r="B321" s="6" t="s">
        <v>187</v>
      </c>
      <c r="C321" s="7" t="s">
        <v>188</v>
      </c>
      <c r="D321" s="8">
        <v>1.0</v>
      </c>
      <c r="E321" s="7" t="s">
        <v>95</v>
      </c>
      <c r="F321" s="5" t="s">
        <v>96</v>
      </c>
      <c r="G321" s="9">
        <v>9.0043001E7</v>
      </c>
      <c r="H321" s="5" t="s">
        <v>18</v>
      </c>
      <c r="I321" s="10" t="s">
        <v>19</v>
      </c>
      <c r="J321" s="11">
        <v>618552.0</v>
      </c>
      <c r="K321" s="11">
        <v>5.0</v>
      </c>
    </row>
    <row r="322">
      <c r="A322" s="5" t="s">
        <v>74</v>
      </c>
      <c r="B322" s="6" t="s">
        <v>187</v>
      </c>
      <c r="C322" s="7" t="s">
        <v>188</v>
      </c>
      <c r="D322" s="8">
        <v>1.0</v>
      </c>
      <c r="E322" s="7" t="s">
        <v>99</v>
      </c>
      <c r="F322" s="5" t="s">
        <v>100</v>
      </c>
      <c r="G322" s="9">
        <v>9.0043001E7</v>
      </c>
      <c r="H322" s="5" t="s">
        <v>18</v>
      </c>
      <c r="I322" s="10" t="s">
        <v>19</v>
      </c>
      <c r="J322" s="11">
        <v>1.3358497E7</v>
      </c>
      <c r="K322" s="11">
        <v>98.0</v>
      </c>
    </row>
    <row r="323">
      <c r="A323" s="5" t="s">
        <v>74</v>
      </c>
      <c r="B323" s="6" t="s">
        <v>187</v>
      </c>
      <c r="C323" s="7" t="s">
        <v>188</v>
      </c>
      <c r="D323" s="8">
        <v>1.0</v>
      </c>
      <c r="E323" s="7" t="s">
        <v>101</v>
      </c>
      <c r="F323" s="5" t="s">
        <v>102</v>
      </c>
      <c r="G323" s="9">
        <v>9.0043001E7</v>
      </c>
      <c r="H323" s="5" t="s">
        <v>18</v>
      </c>
      <c r="I323" s="10" t="s">
        <v>19</v>
      </c>
      <c r="J323" s="11">
        <v>990136.0</v>
      </c>
      <c r="K323" s="11">
        <v>8.0</v>
      </c>
    </row>
    <row r="324">
      <c r="A324" s="5" t="s">
        <v>74</v>
      </c>
      <c r="B324" s="6" t="s">
        <v>187</v>
      </c>
      <c r="C324" s="7" t="s">
        <v>188</v>
      </c>
      <c r="D324" s="8">
        <v>1.0</v>
      </c>
      <c r="E324" s="7" t="s">
        <v>103</v>
      </c>
      <c r="F324" s="5" t="s">
        <v>104</v>
      </c>
      <c r="G324" s="9">
        <v>5.1100058E7</v>
      </c>
      <c r="H324" s="5" t="s">
        <v>36</v>
      </c>
      <c r="I324" s="10" t="s">
        <v>37</v>
      </c>
      <c r="J324" s="11">
        <v>1.26367067E8</v>
      </c>
      <c r="K324" s="11">
        <v>1371.41</v>
      </c>
    </row>
    <row r="325">
      <c r="A325" s="5" t="s">
        <v>74</v>
      </c>
      <c r="B325" s="6" t="s">
        <v>187</v>
      </c>
      <c r="C325" s="7" t="s">
        <v>188</v>
      </c>
      <c r="D325" s="8">
        <v>1.0</v>
      </c>
      <c r="E325" s="7" t="s">
        <v>103</v>
      </c>
      <c r="F325" s="5" t="s">
        <v>104</v>
      </c>
      <c r="G325" s="9">
        <v>5.1100651E7</v>
      </c>
      <c r="H325" s="5" t="s">
        <v>38</v>
      </c>
      <c r="I325" s="10" t="s">
        <v>25</v>
      </c>
      <c r="J325" s="11">
        <v>1709700.0</v>
      </c>
      <c r="K325" s="11">
        <v>0.0</v>
      </c>
    </row>
    <row r="326">
      <c r="A326" s="5" t="s">
        <v>74</v>
      </c>
      <c r="B326" s="6" t="s">
        <v>187</v>
      </c>
      <c r="C326" s="7" t="s">
        <v>188</v>
      </c>
      <c r="D326" s="8">
        <v>1.0</v>
      </c>
      <c r="E326" s="7" t="s">
        <v>103</v>
      </c>
      <c r="F326" s="5" t="s">
        <v>104</v>
      </c>
      <c r="G326" s="9">
        <v>9.0043001E7</v>
      </c>
      <c r="H326" s="5" t="s">
        <v>18</v>
      </c>
      <c r="I326" s="10" t="s">
        <v>19</v>
      </c>
      <c r="J326" s="11">
        <v>3.3644244E7</v>
      </c>
      <c r="K326" s="11">
        <v>269.0</v>
      </c>
    </row>
    <row r="327">
      <c r="A327" s="5" t="s">
        <v>74</v>
      </c>
      <c r="B327" s="6" t="s">
        <v>187</v>
      </c>
      <c r="C327" s="7" t="s">
        <v>188</v>
      </c>
      <c r="D327" s="8">
        <v>1.0</v>
      </c>
      <c r="E327" s="7" t="s">
        <v>103</v>
      </c>
      <c r="F327" s="5" t="s">
        <v>104</v>
      </c>
      <c r="G327" s="9">
        <v>5.1100774E7</v>
      </c>
      <c r="H327" s="5" t="s">
        <v>39</v>
      </c>
      <c r="I327" s="10" t="s">
        <v>17</v>
      </c>
      <c r="J327" s="11">
        <v>7.0575695E7</v>
      </c>
      <c r="K327" s="11">
        <v>475.27</v>
      </c>
    </row>
    <row r="328">
      <c r="A328" s="5" t="s">
        <v>74</v>
      </c>
      <c r="B328" s="6" t="s">
        <v>187</v>
      </c>
      <c r="C328" s="7" t="s">
        <v>188</v>
      </c>
      <c r="D328" s="8">
        <v>1.0</v>
      </c>
      <c r="E328" s="7" t="s">
        <v>108</v>
      </c>
      <c r="F328" s="5" t="s">
        <v>109</v>
      </c>
      <c r="G328" s="9">
        <v>5.1100058E7</v>
      </c>
      <c r="H328" s="5" t="s">
        <v>36</v>
      </c>
      <c r="I328" s="10" t="s">
        <v>37</v>
      </c>
      <c r="J328" s="11">
        <v>1.0229375E7</v>
      </c>
      <c r="K328" s="11">
        <v>125.9</v>
      </c>
    </row>
    <row r="329">
      <c r="A329" s="5" t="s">
        <v>74</v>
      </c>
      <c r="B329" s="6" t="s">
        <v>187</v>
      </c>
      <c r="C329" s="7" t="s">
        <v>188</v>
      </c>
      <c r="D329" s="8">
        <v>1.0</v>
      </c>
      <c r="E329" s="7" t="s">
        <v>108</v>
      </c>
      <c r="F329" s="5" t="s">
        <v>109</v>
      </c>
      <c r="G329" s="9">
        <v>9.0043001E7</v>
      </c>
      <c r="H329" s="5" t="s">
        <v>18</v>
      </c>
      <c r="I329" s="10" t="s">
        <v>19</v>
      </c>
      <c r="J329" s="11">
        <v>3765877.0</v>
      </c>
      <c r="K329" s="11">
        <v>31.0</v>
      </c>
    </row>
    <row r="330">
      <c r="A330" s="5" t="s">
        <v>74</v>
      </c>
      <c r="B330" s="6" t="s">
        <v>187</v>
      </c>
      <c r="C330" s="7" t="s">
        <v>188</v>
      </c>
      <c r="D330" s="8">
        <v>1.0</v>
      </c>
      <c r="E330" s="7" t="s">
        <v>108</v>
      </c>
      <c r="F330" s="5" t="s">
        <v>109</v>
      </c>
      <c r="G330" s="9">
        <v>9.0043E7</v>
      </c>
      <c r="H330" s="5" t="s">
        <v>83</v>
      </c>
      <c r="I330" s="10" t="s">
        <v>19</v>
      </c>
      <c r="J330" s="11">
        <v>376725.0</v>
      </c>
      <c r="K330" s="11">
        <v>3.0</v>
      </c>
    </row>
    <row r="331">
      <c r="A331" s="5" t="s">
        <v>74</v>
      </c>
      <c r="B331" s="6" t="s">
        <v>187</v>
      </c>
      <c r="C331" s="7" t="s">
        <v>188</v>
      </c>
      <c r="D331" s="8">
        <v>1.0</v>
      </c>
      <c r="E331" s="7" t="s">
        <v>108</v>
      </c>
      <c r="F331" s="5" t="s">
        <v>109</v>
      </c>
      <c r="G331" s="9">
        <v>5.1100774E7</v>
      </c>
      <c r="H331" s="5" t="s">
        <v>39</v>
      </c>
      <c r="I331" s="10" t="s">
        <v>17</v>
      </c>
      <c r="J331" s="11">
        <v>2788754.0</v>
      </c>
      <c r="K331" s="11">
        <v>93.9</v>
      </c>
    </row>
    <row r="332">
      <c r="A332" s="5" t="s">
        <v>74</v>
      </c>
      <c r="B332" s="6" t="s">
        <v>187</v>
      </c>
      <c r="C332" s="7" t="s">
        <v>188</v>
      </c>
      <c r="D332" s="8">
        <v>1.0</v>
      </c>
      <c r="E332" s="7" t="s">
        <v>158</v>
      </c>
      <c r="F332" s="5" t="s">
        <v>159</v>
      </c>
      <c r="G332" s="9">
        <v>9.0043001E7</v>
      </c>
      <c r="H332" s="5" t="s">
        <v>18</v>
      </c>
      <c r="I332" s="10" t="s">
        <v>19</v>
      </c>
      <c r="J332" s="11">
        <v>1838418.0</v>
      </c>
      <c r="K332" s="11">
        <v>15.0</v>
      </c>
    </row>
    <row r="333">
      <c r="A333" s="5" t="s">
        <v>74</v>
      </c>
      <c r="B333" s="6" t="s">
        <v>187</v>
      </c>
      <c r="C333" s="7" t="s">
        <v>188</v>
      </c>
      <c r="D333" s="8">
        <v>1.0</v>
      </c>
      <c r="E333" s="7" t="s">
        <v>115</v>
      </c>
      <c r="F333" s="5" t="s">
        <v>116</v>
      </c>
      <c r="G333" s="9">
        <v>9.0043002E7</v>
      </c>
      <c r="H333" s="5" t="s">
        <v>49</v>
      </c>
      <c r="I333" s="10" t="s">
        <v>50</v>
      </c>
      <c r="J333" s="11">
        <v>5.0133868E7</v>
      </c>
      <c r="K333" s="11">
        <v>2440.0</v>
      </c>
    </row>
    <row r="334">
      <c r="A334" s="5" t="s">
        <v>74</v>
      </c>
      <c r="B334" s="6" t="s">
        <v>187</v>
      </c>
      <c r="C334" s="7" t="s">
        <v>188</v>
      </c>
      <c r="D334" s="8">
        <v>1.0</v>
      </c>
      <c r="E334" s="7" t="s">
        <v>117</v>
      </c>
      <c r="F334" s="5" t="s">
        <v>118</v>
      </c>
      <c r="G334" s="9">
        <v>5.1100651E7</v>
      </c>
      <c r="H334" s="5" t="s">
        <v>38</v>
      </c>
      <c r="I334" s="10" t="s">
        <v>25</v>
      </c>
      <c r="J334" s="11">
        <v>2240000.0</v>
      </c>
      <c r="K334" s="11">
        <v>0.0</v>
      </c>
    </row>
    <row r="335">
      <c r="A335" s="5" t="s">
        <v>74</v>
      </c>
      <c r="B335" s="6" t="s">
        <v>187</v>
      </c>
      <c r="C335" s="7" t="s">
        <v>188</v>
      </c>
      <c r="D335" s="8">
        <v>1.0</v>
      </c>
      <c r="E335" s="7" t="s">
        <v>119</v>
      </c>
      <c r="F335" s="5" t="s">
        <v>120</v>
      </c>
      <c r="G335" s="9">
        <v>9.0043001E7</v>
      </c>
      <c r="H335" s="5" t="s">
        <v>18</v>
      </c>
      <c r="I335" s="10" t="s">
        <v>19</v>
      </c>
      <c r="J335" s="11">
        <v>1.1431952E7</v>
      </c>
      <c r="K335" s="11">
        <v>84.0</v>
      </c>
    </row>
    <row r="336">
      <c r="A336" s="5" t="s">
        <v>74</v>
      </c>
      <c r="B336" s="6" t="s">
        <v>187</v>
      </c>
      <c r="C336" s="7" t="s">
        <v>188</v>
      </c>
      <c r="D336" s="8">
        <v>1.0</v>
      </c>
      <c r="E336" s="7" t="s">
        <v>119</v>
      </c>
      <c r="F336" s="5" t="s">
        <v>120</v>
      </c>
      <c r="G336" s="9">
        <v>9.0043E7</v>
      </c>
      <c r="H336" s="5" t="s">
        <v>83</v>
      </c>
      <c r="I336" s="10" t="s">
        <v>19</v>
      </c>
      <c r="J336" s="11">
        <v>879025.0</v>
      </c>
      <c r="K336" s="11">
        <v>7.0</v>
      </c>
    </row>
    <row r="337">
      <c r="A337" s="5" t="s">
        <v>74</v>
      </c>
      <c r="B337" s="6" t="s">
        <v>187</v>
      </c>
      <c r="C337" s="7" t="s">
        <v>188</v>
      </c>
      <c r="D337" s="8">
        <v>1.0</v>
      </c>
      <c r="E337" s="7" t="s">
        <v>123</v>
      </c>
      <c r="F337" s="5" t="s">
        <v>124</v>
      </c>
      <c r="G337" s="9">
        <v>9.0043001E7</v>
      </c>
      <c r="H337" s="5" t="s">
        <v>18</v>
      </c>
      <c r="I337" s="10" t="s">
        <v>19</v>
      </c>
      <c r="J337" s="11">
        <v>1.517749E7</v>
      </c>
      <c r="K337" s="11">
        <v>125.0</v>
      </c>
    </row>
    <row r="338">
      <c r="A338" s="5" t="s">
        <v>74</v>
      </c>
      <c r="B338" s="6" t="s">
        <v>187</v>
      </c>
      <c r="C338" s="7" t="s">
        <v>188</v>
      </c>
      <c r="D338" s="8">
        <v>1.0</v>
      </c>
      <c r="E338" s="7" t="s">
        <v>123</v>
      </c>
      <c r="F338" s="5" t="s">
        <v>124</v>
      </c>
      <c r="G338" s="9">
        <v>5.1100774E7</v>
      </c>
      <c r="H338" s="5" t="s">
        <v>39</v>
      </c>
      <c r="I338" s="10" t="s">
        <v>17</v>
      </c>
      <c r="J338" s="11">
        <v>4.327323E7</v>
      </c>
      <c r="K338" s="11">
        <v>100.87</v>
      </c>
    </row>
    <row r="339">
      <c r="A339" s="5" t="s">
        <v>74</v>
      </c>
      <c r="B339" s="6" t="s">
        <v>187</v>
      </c>
      <c r="C339" s="7" t="s">
        <v>188</v>
      </c>
      <c r="D339" s="8">
        <v>1.0</v>
      </c>
      <c r="E339" s="7" t="s">
        <v>125</v>
      </c>
      <c r="F339" s="5" t="s">
        <v>126</v>
      </c>
      <c r="G339" s="9">
        <v>5.1101056E7</v>
      </c>
      <c r="H339" s="5" t="s">
        <v>16</v>
      </c>
      <c r="I339" s="10" t="s">
        <v>17</v>
      </c>
      <c r="J339" s="11">
        <v>1.4811655E7</v>
      </c>
      <c r="K339" s="11">
        <v>109616.0</v>
      </c>
    </row>
    <row r="340">
      <c r="A340" s="5" t="s">
        <v>74</v>
      </c>
      <c r="B340" s="6" t="s">
        <v>187</v>
      </c>
      <c r="C340" s="7" t="s">
        <v>188</v>
      </c>
      <c r="D340" s="8">
        <v>1.0</v>
      </c>
      <c r="E340" s="7" t="s">
        <v>125</v>
      </c>
      <c r="F340" s="5" t="s">
        <v>126</v>
      </c>
      <c r="G340" s="9">
        <v>9.0043001E7</v>
      </c>
      <c r="H340" s="5" t="s">
        <v>18</v>
      </c>
      <c r="I340" s="10" t="s">
        <v>19</v>
      </c>
      <c r="J340" s="11">
        <v>2.12952935E8</v>
      </c>
      <c r="K340" s="11">
        <v>1746.0</v>
      </c>
    </row>
    <row r="341">
      <c r="A341" s="5" t="s">
        <v>74</v>
      </c>
      <c r="B341" s="6" t="s">
        <v>187</v>
      </c>
      <c r="C341" s="7" t="s">
        <v>188</v>
      </c>
      <c r="D341" s="8">
        <v>1.0</v>
      </c>
      <c r="E341" s="7" t="s">
        <v>127</v>
      </c>
      <c r="F341" s="5" t="s">
        <v>128</v>
      </c>
      <c r="G341" s="9">
        <v>5.1100153E7</v>
      </c>
      <c r="H341" s="5" t="s">
        <v>72</v>
      </c>
      <c r="I341" s="10" t="s">
        <v>17</v>
      </c>
      <c r="J341" s="11">
        <v>3.38854939E8</v>
      </c>
      <c r="K341" s="11">
        <v>3008860.0</v>
      </c>
    </row>
    <row r="342">
      <c r="A342" s="5" t="s">
        <v>74</v>
      </c>
      <c r="B342" s="6" t="s">
        <v>187</v>
      </c>
      <c r="C342" s="7" t="s">
        <v>188</v>
      </c>
      <c r="D342" s="8">
        <v>1.0</v>
      </c>
      <c r="E342" s="7" t="s">
        <v>127</v>
      </c>
      <c r="F342" s="5" t="s">
        <v>128</v>
      </c>
      <c r="G342" s="9">
        <v>9.0043002E7</v>
      </c>
      <c r="H342" s="5" t="s">
        <v>49</v>
      </c>
      <c r="I342" s="10" t="s">
        <v>50</v>
      </c>
      <c r="J342" s="11">
        <v>2.4871049E7</v>
      </c>
      <c r="K342" s="11">
        <v>1209.0</v>
      </c>
    </row>
    <row r="343">
      <c r="A343" s="5" t="s">
        <v>74</v>
      </c>
      <c r="B343" s="6" t="s">
        <v>187</v>
      </c>
      <c r="C343" s="7" t="s">
        <v>188</v>
      </c>
      <c r="D343" s="8">
        <v>1.0</v>
      </c>
      <c r="E343" s="7" t="s">
        <v>129</v>
      </c>
      <c r="F343" s="5" t="s">
        <v>130</v>
      </c>
      <c r="G343" s="9">
        <v>9.0043002E7</v>
      </c>
      <c r="H343" s="5" t="s">
        <v>49</v>
      </c>
      <c r="I343" s="10" t="s">
        <v>50</v>
      </c>
      <c r="J343" s="11">
        <v>2.317535E7</v>
      </c>
      <c r="K343" s="11">
        <v>55.0</v>
      </c>
    </row>
    <row r="344">
      <c r="A344" s="5" t="s">
        <v>74</v>
      </c>
      <c r="B344" s="6" t="s">
        <v>187</v>
      </c>
      <c r="C344" s="7" t="s">
        <v>188</v>
      </c>
      <c r="D344" s="8">
        <v>1.0</v>
      </c>
      <c r="E344" s="7" t="s">
        <v>129</v>
      </c>
      <c r="F344" s="5" t="s">
        <v>130</v>
      </c>
      <c r="G344" s="9">
        <v>9.0043003E7</v>
      </c>
      <c r="H344" s="5" t="s">
        <v>90</v>
      </c>
      <c r="I344" s="10" t="s">
        <v>50</v>
      </c>
      <c r="J344" s="11">
        <v>8.0277028E7</v>
      </c>
      <c r="K344" s="11">
        <v>573.5</v>
      </c>
    </row>
    <row r="345">
      <c r="A345" s="5" t="s">
        <v>74</v>
      </c>
      <c r="B345" s="6" t="s">
        <v>187</v>
      </c>
      <c r="C345" s="7" t="s">
        <v>188</v>
      </c>
      <c r="D345" s="8">
        <v>1.0</v>
      </c>
      <c r="E345" s="7" t="s">
        <v>131</v>
      </c>
      <c r="F345" s="5" t="s">
        <v>132</v>
      </c>
      <c r="G345" s="9">
        <v>5.1100153E7</v>
      </c>
      <c r="H345" s="5" t="s">
        <v>72</v>
      </c>
      <c r="I345" s="10" t="s">
        <v>25</v>
      </c>
      <c r="J345" s="11">
        <v>0.0</v>
      </c>
      <c r="K345" s="11">
        <v>0.0</v>
      </c>
    </row>
    <row r="346">
      <c r="A346" s="5" t="s">
        <v>74</v>
      </c>
      <c r="B346" s="6" t="s">
        <v>187</v>
      </c>
      <c r="C346" s="7" t="s">
        <v>188</v>
      </c>
      <c r="D346" s="8">
        <v>1.0</v>
      </c>
      <c r="E346" s="7" t="s">
        <v>131</v>
      </c>
      <c r="F346" s="5" t="s">
        <v>132</v>
      </c>
      <c r="G346" s="9">
        <v>5.1101056E7</v>
      </c>
      <c r="H346" s="5" t="s">
        <v>16</v>
      </c>
      <c r="I346" s="10" t="s">
        <v>17</v>
      </c>
      <c r="J346" s="11">
        <v>6.68406E7</v>
      </c>
      <c r="K346" s="11">
        <v>668406.0</v>
      </c>
    </row>
    <row r="347">
      <c r="A347" s="5" t="s">
        <v>74</v>
      </c>
      <c r="B347" s="6" t="s">
        <v>187</v>
      </c>
      <c r="C347" s="7" t="s">
        <v>188</v>
      </c>
      <c r="D347" s="8">
        <v>1.0</v>
      </c>
      <c r="E347" s="7" t="s">
        <v>131</v>
      </c>
      <c r="F347" s="5" t="s">
        <v>132</v>
      </c>
      <c r="G347" s="9">
        <v>9.0043001E7</v>
      </c>
      <c r="H347" s="5" t="s">
        <v>18</v>
      </c>
      <c r="I347" s="10" t="s">
        <v>19</v>
      </c>
      <c r="J347" s="11">
        <v>2722874.0</v>
      </c>
      <c r="K347" s="11">
        <v>22.0</v>
      </c>
    </row>
    <row r="348">
      <c r="A348" s="5" t="s">
        <v>74</v>
      </c>
      <c r="B348" s="6" t="s">
        <v>187</v>
      </c>
      <c r="C348" s="7" t="s">
        <v>188</v>
      </c>
      <c r="D348" s="8">
        <v>1.0</v>
      </c>
      <c r="E348" s="7" t="s">
        <v>191</v>
      </c>
      <c r="F348" s="5" t="s">
        <v>192</v>
      </c>
      <c r="G348" s="9">
        <v>5.1101056E7</v>
      </c>
      <c r="H348" s="5" t="s">
        <v>16</v>
      </c>
      <c r="I348" s="10" t="s">
        <v>25</v>
      </c>
      <c r="J348" s="11">
        <v>1300627.0</v>
      </c>
      <c r="K348" s="11">
        <v>0.0</v>
      </c>
    </row>
    <row r="349">
      <c r="A349" s="5" t="s">
        <v>74</v>
      </c>
      <c r="B349" s="6" t="s">
        <v>187</v>
      </c>
      <c r="C349" s="7" t="s">
        <v>188</v>
      </c>
      <c r="D349" s="8">
        <v>1.0</v>
      </c>
      <c r="E349" s="7" t="s">
        <v>135</v>
      </c>
      <c r="F349" s="5" t="s">
        <v>136</v>
      </c>
      <c r="G349" s="9">
        <v>9.0043001E7</v>
      </c>
      <c r="H349" s="5" t="s">
        <v>18</v>
      </c>
      <c r="I349" s="10" t="s">
        <v>19</v>
      </c>
      <c r="J349" s="11">
        <v>8.5424743E7</v>
      </c>
      <c r="K349" s="11">
        <v>702.0</v>
      </c>
    </row>
    <row r="350">
      <c r="A350" s="5" t="s">
        <v>74</v>
      </c>
      <c r="B350" s="6" t="s">
        <v>187</v>
      </c>
      <c r="C350" s="7" t="s">
        <v>188</v>
      </c>
      <c r="D350" s="8">
        <v>1.0</v>
      </c>
      <c r="E350" s="7" t="s">
        <v>193</v>
      </c>
      <c r="F350" s="5" t="s">
        <v>194</v>
      </c>
      <c r="G350" s="9">
        <v>9.0043001E7</v>
      </c>
      <c r="H350" s="5" t="s">
        <v>18</v>
      </c>
      <c r="I350" s="10" t="s">
        <v>19</v>
      </c>
      <c r="J350" s="11">
        <v>1.4421071E7</v>
      </c>
      <c r="K350" s="11">
        <v>92.0</v>
      </c>
    </row>
    <row r="351">
      <c r="A351" s="5" t="s">
        <v>74</v>
      </c>
      <c r="B351" s="6" t="s">
        <v>187</v>
      </c>
      <c r="C351" s="7" t="s">
        <v>188</v>
      </c>
      <c r="D351" s="8">
        <v>1.0</v>
      </c>
      <c r="E351" s="7" t="s">
        <v>162</v>
      </c>
      <c r="F351" s="5" t="s">
        <v>163</v>
      </c>
      <c r="G351" s="9">
        <v>9.0043001E7</v>
      </c>
      <c r="H351" s="5" t="s">
        <v>18</v>
      </c>
      <c r="I351" s="10" t="s">
        <v>19</v>
      </c>
      <c r="J351" s="11">
        <v>1.0259146E7</v>
      </c>
      <c r="K351" s="11">
        <v>70.0</v>
      </c>
    </row>
    <row r="352">
      <c r="A352" s="5" t="s">
        <v>74</v>
      </c>
      <c r="B352" s="6" t="s">
        <v>187</v>
      </c>
      <c r="C352" s="7" t="s">
        <v>188</v>
      </c>
      <c r="D352" s="8">
        <v>1.0</v>
      </c>
      <c r="E352" s="7" t="s">
        <v>195</v>
      </c>
      <c r="F352" s="5" t="s">
        <v>196</v>
      </c>
      <c r="G352" s="9">
        <v>9.0043001E7</v>
      </c>
      <c r="H352" s="5" t="s">
        <v>18</v>
      </c>
      <c r="I352" s="10" t="s">
        <v>19</v>
      </c>
      <c r="J352" s="11">
        <v>2545131.0</v>
      </c>
      <c r="K352" s="11">
        <v>21.0</v>
      </c>
    </row>
    <row r="353">
      <c r="A353" s="5" t="s">
        <v>74</v>
      </c>
      <c r="B353" s="6" t="s">
        <v>187</v>
      </c>
      <c r="C353" s="7" t="s">
        <v>188</v>
      </c>
      <c r="D353" s="8">
        <v>1.0</v>
      </c>
      <c r="E353" s="7" t="s">
        <v>54</v>
      </c>
      <c r="F353" s="5" t="s">
        <v>139</v>
      </c>
      <c r="G353" s="9">
        <v>9.0042011E7</v>
      </c>
      <c r="H353" s="5" t="s">
        <v>55</v>
      </c>
      <c r="I353" s="10" t="s">
        <v>19</v>
      </c>
      <c r="J353" s="11">
        <v>2.51933083E8</v>
      </c>
      <c r="K353" s="11">
        <v>0.0</v>
      </c>
    </row>
    <row r="354">
      <c r="A354" s="5" t="s">
        <v>74</v>
      </c>
      <c r="B354" s="6" t="s">
        <v>187</v>
      </c>
      <c r="C354" s="7" t="s">
        <v>188</v>
      </c>
      <c r="D354" s="8">
        <v>1.0</v>
      </c>
      <c r="E354" s="7" t="s">
        <v>20</v>
      </c>
      <c r="F354" s="5" t="s">
        <v>140</v>
      </c>
      <c r="G354" s="9">
        <v>9.0042014E7</v>
      </c>
      <c r="H354" s="5" t="s">
        <v>21</v>
      </c>
      <c r="I354" s="10" t="s">
        <v>19</v>
      </c>
      <c r="J354" s="11">
        <v>2.67304652E8</v>
      </c>
      <c r="K354" s="11">
        <v>0.0</v>
      </c>
    </row>
    <row r="355">
      <c r="A355" s="5" t="s">
        <v>74</v>
      </c>
      <c r="B355" s="6" t="s">
        <v>187</v>
      </c>
      <c r="C355" s="7" t="s">
        <v>188</v>
      </c>
      <c r="D355" s="8">
        <v>1.0</v>
      </c>
      <c r="E355" s="7" t="s">
        <v>20</v>
      </c>
      <c r="F355" s="5" t="s">
        <v>140</v>
      </c>
      <c r="G355" s="9">
        <v>9.0042077E7</v>
      </c>
      <c r="H355" s="5" t="s">
        <v>141</v>
      </c>
      <c r="I355" s="10" t="s">
        <v>19</v>
      </c>
      <c r="J355" s="11">
        <v>2.21601738E8</v>
      </c>
      <c r="K355" s="11">
        <v>0.0</v>
      </c>
    </row>
    <row r="356">
      <c r="A356" s="5" t="s">
        <v>74</v>
      </c>
      <c r="B356" s="6" t="s">
        <v>187</v>
      </c>
      <c r="C356" s="7" t="s">
        <v>188</v>
      </c>
      <c r="D356" s="8">
        <v>1.0</v>
      </c>
      <c r="E356" s="7" t="s">
        <v>142</v>
      </c>
      <c r="F356" s="5" t="s">
        <v>143</v>
      </c>
      <c r="G356" s="9">
        <v>9.0042084E7</v>
      </c>
      <c r="H356" s="5" t="s">
        <v>145</v>
      </c>
      <c r="I356" s="10" t="s">
        <v>19</v>
      </c>
      <c r="J356" s="11">
        <v>9488470.0</v>
      </c>
      <c r="K356" s="11">
        <v>0.0</v>
      </c>
    </row>
    <row r="357">
      <c r="A357" s="5" t="s">
        <v>74</v>
      </c>
      <c r="B357" s="6" t="s">
        <v>187</v>
      </c>
      <c r="C357" s="7" t="s">
        <v>188</v>
      </c>
      <c r="D357" s="8">
        <v>1.0</v>
      </c>
      <c r="E357" s="7" t="s">
        <v>22</v>
      </c>
      <c r="F357" s="5" t="s">
        <v>146</v>
      </c>
      <c r="G357" s="9">
        <v>9.0042012E7</v>
      </c>
      <c r="H357" s="5" t="s">
        <v>23</v>
      </c>
      <c r="I357" s="10" t="s">
        <v>19</v>
      </c>
      <c r="J357" s="11">
        <v>9.9291221E7</v>
      </c>
      <c r="K357" s="11">
        <v>0.0</v>
      </c>
    </row>
    <row r="358">
      <c r="A358" s="5" t="s">
        <v>74</v>
      </c>
      <c r="B358" s="6" t="s">
        <v>187</v>
      </c>
      <c r="C358" s="7" t="s">
        <v>188</v>
      </c>
      <c r="D358" s="8">
        <v>1.0</v>
      </c>
      <c r="E358" s="7" t="s">
        <v>22</v>
      </c>
      <c r="F358" s="5" t="s">
        <v>146</v>
      </c>
      <c r="G358" s="9">
        <v>9.0042121E7</v>
      </c>
      <c r="H358" s="5" t="s">
        <v>24</v>
      </c>
      <c r="I358" s="10" t="s">
        <v>25</v>
      </c>
      <c r="J358" s="11">
        <v>3.43048105E8</v>
      </c>
      <c r="K358" s="11">
        <v>0.0</v>
      </c>
    </row>
    <row r="359">
      <c r="A359" s="5" t="s">
        <v>74</v>
      </c>
      <c r="B359" s="6" t="s">
        <v>187</v>
      </c>
      <c r="C359" s="7" t="s">
        <v>188</v>
      </c>
      <c r="D359" s="8">
        <v>1.0</v>
      </c>
      <c r="E359" s="7" t="s">
        <v>22</v>
      </c>
      <c r="F359" s="5" t="s">
        <v>146</v>
      </c>
      <c r="G359" s="9">
        <v>9.0042122E7</v>
      </c>
      <c r="H359" s="5" t="s">
        <v>56</v>
      </c>
      <c r="I359" s="10" t="s">
        <v>25</v>
      </c>
      <c r="J359" s="11">
        <v>9489731.0</v>
      </c>
      <c r="K359" s="11">
        <v>0.0</v>
      </c>
    </row>
    <row r="360">
      <c r="A360" s="5" t="s">
        <v>74</v>
      </c>
      <c r="B360" s="6" t="s">
        <v>187</v>
      </c>
      <c r="C360" s="7" t="s">
        <v>188</v>
      </c>
      <c r="D360" s="8">
        <v>1.0</v>
      </c>
      <c r="E360" s="7" t="s">
        <v>22</v>
      </c>
      <c r="F360" s="5" t="s">
        <v>146</v>
      </c>
      <c r="G360" s="9">
        <v>9.0042124E7</v>
      </c>
      <c r="H360" s="5" t="s">
        <v>57</v>
      </c>
      <c r="I360" s="10" t="s">
        <v>25</v>
      </c>
      <c r="J360" s="11">
        <v>5.5013E8</v>
      </c>
      <c r="K360" s="11">
        <v>0.0</v>
      </c>
    </row>
    <row r="361">
      <c r="A361" s="5" t="s">
        <v>74</v>
      </c>
      <c r="B361" s="6" t="s">
        <v>187</v>
      </c>
      <c r="C361" s="7" t="s">
        <v>188</v>
      </c>
      <c r="D361" s="8">
        <v>1.0</v>
      </c>
      <c r="E361" s="7" t="s">
        <v>22</v>
      </c>
      <c r="F361" s="5" t="s">
        <v>146</v>
      </c>
      <c r="G361" s="9">
        <v>9.0042125E7</v>
      </c>
      <c r="H361" s="5" t="s">
        <v>26</v>
      </c>
      <c r="I361" s="10" t="s">
        <v>25</v>
      </c>
      <c r="J361" s="11">
        <v>2.4196526E7</v>
      </c>
      <c r="K361" s="11">
        <v>0.0</v>
      </c>
    </row>
    <row r="362">
      <c r="A362" s="5" t="s">
        <v>74</v>
      </c>
      <c r="B362" s="6" t="s">
        <v>187</v>
      </c>
      <c r="C362" s="7" t="s">
        <v>188</v>
      </c>
      <c r="D362" s="8">
        <v>1.0</v>
      </c>
      <c r="E362" s="7" t="s">
        <v>22</v>
      </c>
      <c r="F362" s="5" t="s">
        <v>146</v>
      </c>
      <c r="G362" s="9">
        <v>9.0042127E7</v>
      </c>
      <c r="H362" s="5" t="s">
        <v>27</v>
      </c>
      <c r="I362" s="10" t="s">
        <v>25</v>
      </c>
      <c r="J362" s="11">
        <v>1.5312212E7</v>
      </c>
      <c r="K362" s="11">
        <v>0.0</v>
      </c>
    </row>
    <row r="363">
      <c r="A363" s="5" t="s">
        <v>74</v>
      </c>
      <c r="B363" s="6" t="s">
        <v>187</v>
      </c>
      <c r="C363" s="7" t="s">
        <v>188</v>
      </c>
      <c r="D363" s="8">
        <v>1.0</v>
      </c>
      <c r="E363" s="7" t="s">
        <v>22</v>
      </c>
      <c r="F363" s="5" t="s">
        <v>146</v>
      </c>
      <c r="G363" s="9">
        <v>9.0042128E7</v>
      </c>
      <c r="H363" s="5" t="s">
        <v>58</v>
      </c>
      <c r="I363" s="10" t="s">
        <v>25</v>
      </c>
      <c r="J363" s="11">
        <v>1.4181765E7</v>
      </c>
      <c r="K363" s="11">
        <v>0.0</v>
      </c>
    </row>
    <row r="364">
      <c r="A364" s="5" t="s">
        <v>74</v>
      </c>
      <c r="B364" s="6" t="s">
        <v>187</v>
      </c>
      <c r="C364" s="7" t="s">
        <v>188</v>
      </c>
      <c r="D364" s="8">
        <v>1.0</v>
      </c>
      <c r="E364" s="7" t="s">
        <v>22</v>
      </c>
      <c r="F364" s="5" t="s">
        <v>146</v>
      </c>
      <c r="G364" s="9">
        <v>9.0042132E7</v>
      </c>
      <c r="H364" s="5" t="s">
        <v>28</v>
      </c>
      <c r="I364" s="10" t="s">
        <v>25</v>
      </c>
      <c r="J364" s="11">
        <v>2.1985769E7</v>
      </c>
      <c r="K364" s="11">
        <v>0.0</v>
      </c>
    </row>
    <row r="365">
      <c r="A365" s="5" t="s">
        <v>74</v>
      </c>
      <c r="B365" s="6" t="s">
        <v>187</v>
      </c>
      <c r="C365" s="7" t="s">
        <v>188</v>
      </c>
      <c r="D365" s="8">
        <v>1.0</v>
      </c>
      <c r="E365" s="7" t="s">
        <v>22</v>
      </c>
      <c r="F365" s="5" t="s">
        <v>146</v>
      </c>
      <c r="G365" s="9">
        <v>9.0042134E7</v>
      </c>
      <c r="H365" s="5" t="s">
        <v>29</v>
      </c>
      <c r="I365" s="10" t="s">
        <v>25</v>
      </c>
      <c r="J365" s="11">
        <v>2.02065E7</v>
      </c>
      <c r="K365" s="11">
        <v>0.0</v>
      </c>
    </row>
    <row r="366">
      <c r="A366" s="5" t="s">
        <v>74</v>
      </c>
      <c r="B366" s="6" t="s">
        <v>187</v>
      </c>
      <c r="C366" s="7" t="s">
        <v>188</v>
      </c>
      <c r="D366" s="8">
        <v>1.0</v>
      </c>
      <c r="E366" s="7" t="s">
        <v>22</v>
      </c>
      <c r="F366" s="5" t="s">
        <v>146</v>
      </c>
      <c r="G366" s="9">
        <v>9.0042135E7</v>
      </c>
      <c r="H366" s="5" t="s">
        <v>30</v>
      </c>
      <c r="I366" s="10" t="s">
        <v>25</v>
      </c>
      <c r="J366" s="11">
        <v>1.79606567E8</v>
      </c>
      <c r="K366" s="11">
        <v>0.0</v>
      </c>
    </row>
    <row r="367">
      <c r="A367" s="5" t="s">
        <v>74</v>
      </c>
      <c r="B367" s="6" t="s">
        <v>187</v>
      </c>
      <c r="C367" s="7" t="s">
        <v>188</v>
      </c>
      <c r="D367" s="8">
        <v>1.0</v>
      </c>
      <c r="E367" s="7" t="s">
        <v>22</v>
      </c>
      <c r="F367" s="5" t="s">
        <v>146</v>
      </c>
      <c r="G367" s="9">
        <v>9.00422E7</v>
      </c>
      <c r="H367" s="5" t="s">
        <v>73</v>
      </c>
      <c r="I367" s="10" t="s">
        <v>60</v>
      </c>
      <c r="J367" s="11">
        <v>5.91641628E8</v>
      </c>
      <c r="K367" s="11">
        <v>0.0</v>
      </c>
    </row>
    <row r="368">
      <c r="A368" s="5" t="s">
        <v>74</v>
      </c>
      <c r="B368" s="6" t="s">
        <v>187</v>
      </c>
      <c r="C368" s="7" t="s">
        <v>188</v>
      </c>
      <c r="D368" s="8">
        <v>1.0</v>
      </c>
      <c r="E368" s="7" t="s">
        <v>22</v>
      </c>
      <c r="F368" s="5" t="s">
        <v>146</v>
      </c>
      <c r="G368" s="9">
        <v>9.0042223E7</v>
      </c>
      <c r="H368" s="5" t="s">
        <v>61</v>
      </c>
      <c r="I368" s="10" t="s">
        <v>60</v>
      </c>
      <c r="J368" s="11">
        <v>1036734.0</v>
      </c>
      <c r="K368" s="11">
        <v>0.0</v>
      </c>
    </row>
    <row r="369">
      <c r="A369" s="5" t="s">
        <v>74</v>
      </c>
      <c r="B369" s="6" t="s">
        <v>187</v>
      </c>
      <c r="C369" s="7" t="s">
        <v>188</v>
      </c>
      <c r="D369" s="8">
        <v>1.0</v>
      </c>
      <c r="E369" s="7" t="s">
        <v>22</v>
      </c>
      <c r="F369" s="5" t="s">
        <v>146</v>
      </c>
      <c r="G369" s="9">
        <v>9.0042224E7</v>
      </c>
      <c r="H369" s="5" t="s">
        <v>62</v>
      </c>
      <c r="I369" s="10" t="s">
        <v>60</v>
      </c>
      <c r="J369" s="11">
        <v>4131387.0</v>
      </c>
      <c r="K369" s="11">
        <v>0.0</v>
      </c>
    </row>
    <row r="370">
      <c r="A370" s="5" t="s">
        <v>74</v>
      </c>
      <c r="B370" s="6" t="s">
        <v>187</v>
      </c>
      <c r="C370" s="7" t="s">
        <v>188</v>
      </c>
      <c r="D370" s="8">
        <v>1.0</v>
      </c>
      <c r="E370" s="7" t="s">
        <v>22</v>
      </c>
      <c r="F370" s="5" t="s">
        <v>146</v>
      </c>
      <c r="G370" s="9">
        <v>9.0042226E7</v>
      </c>
      <c r="H370" s="5" t="s">
        <v>63</v>
      </c>
      <c r="I370" s="10" t="s">
        <v>60</v>
      </c>
      <c r="J370" s="11">
        <v>1528666.0</v>
      </c>
      <c r="K370" s="11">
        <v>0.0</v>
      </c>
    </row>
    <row r="371">
      <c r="A371" s="5" t="s">
        <v>74</v>
      </c>
      <c r="B371" s="6" t="s">
        <v>187</v>
      </c>
      <c r="C371" s="7" t="s">
        <v>188</v>
      </c>
      <c r="D371" s="8">
        <v>1.0</v>
      </c>
      <c r="E371" s="7" t="s">
        <v>22</v>
      </c>
      <c r="F371" s="5" t="s">
        <v>146</v>
      </c>
      <c r="G371" s="9">
        <v>9.0042228E7</v>
      </c>
      <c r="H371" s="5" t="s">
        <v>64</v>
      </c>
      <c r="I371" s="10" t="s">
        <v>60</v>
      </c>
      <c r="J371" s="11">
        <v>1.17785907E8</v>
      </c>
      <c r="K371" s="11">
        <v>0.0</v>
      </c>
    </row>
    <row r="372">
      <c r="A372" s="5" t="s">
        <v>74</v>
      </c>
      <c r="B372" s="6" t="s">
        <v>187</v>
      </c>
      <c r="C372" s="7" t="s">
        <v>188</v>
      </c>
      <c r="D372" s="8">
        <v>1.0</v>
      </c>
      <c r="E372" s="7" t="s">
        <v>22</v>
      </c>
      <c r="F372" s="5" t="s">
        <v>146</v>
      </c>
      <c r="G372" s="9">
        <v>9.0042231E7</v>
      </c>
      <c r="H372" s="5" t="s">
        <v>65</v>
      </c>
      <c r="I372" s="10" t="s">
        <v>60</v>
      </c>
      <c r="J372" s="11">
        <v>2.519901E7</v>
      </c>
      <c r="K372" s="11">
        <v>0.0</v>
      </c>
    </row>
    <row r="373">
      <c r="A373" s="5" t="s">
        <v>74</v>
      </c>
      <c r="B373" s="6" t="s">
        <v>187</v>
      </c>
      <c r="C373" s="7" t="s">
        <v>188</v>
      </c>
      <c r="D373" s="8">
        <v>1.0</v>
      </c>
      <c r="E373" s="7" t="s">
        <v>22</v>
      </c>
      <c r="F373" s="5" t="s">
        <v>146</v>
      </c>
      <c r="G373" s="9">
        <v>9.0042126E7</v>
      </c>
      <c r="H373" s="5" t="s">
        <v>31</v>
      </c>
      <c r="I373" s="10" t="s">
        <v>25</v>
      </c>
      <c r="J373" s="11">
        <v>4.3813988E7</v>
      </c>
      <c r="K373" s="11">
        <v>0.0</v>
      </c>
    </row>
    <row r="374">
      <c r="A374" s="5" t="s">
        <v>74</v>
      </c>
      <c r="B374" s="6" t="s">
        <v>187</v>
      </c>
      <c r="C374" s="7" t="s">
        <v>188</v>
      </c>
      <c r="D374" s="8">
        <v>1.0</v>
      </c>
      <c r="E374" s="7" t="s">
        <v>197</v>
      </c>
      <c r="F374" s="5" t="s">
        <v>198</v>
      </c>
      <c r="G374" s="9">
        <v>9.0043001E7</v>
      </c>
      <c r="H374" s="5" t="s">
        <v>18</v>
      </c>
      <c r="I374" s="10" t="s">
        <v>19</v>
      </c>
      <c r="J374" s="11">
        <v>1674610.0</v>
      </c>
      <c r="K374" s="11">
        <v>14.0</v>
      </c>
    </row>
    <row r="375">
      <c r="A375" s="5" t="s">
        <v>74</v>
      </c>
      <c r="B375" s="6" t="s">
        <v>187</v>
      </c>
      <c r="C375" s="7" t="s">
        <v>188</v>
      </c>
      <c r="D375" s="8">
        <v>1.0</v>
      </c>
      <c r="E375" s="7" t="s">
        <v>199</v>
      </c>
      <c r="F375" s="5" t="s">
        <v>200</v>
      </c>
      <c r="G375" s="9">
        <v>9.0043001E7</v>
      </c>
      <c r="H375" s="5" t="s">
        <v>18</v>
      </c>
      <c r="I375" s="10" t="s">
        <v>19</v>
      </c>
      <c r="J375" s="11">
        <v>1076535.0</v>
      </c>
      <c r="K375" s="11">
        <v>9.0</v>
      </c>
    </row>
    <row r="376">
      <c r="A376" s="5" t="s">
        <v>74</v>
      </c>
      <c r="B376" s="6" t="s">
        <v>187</v>
      </c>
      <c r="C376" s="7" t="s">
        <v>188</v>
      </c>
      <c r="D376" s="8">
        <v>1.0</v>
      </c>
      <c r="E376" s="7" t="s">
        <v>185</v>
      </c>
      <c r="F376" s="5" t="s">
        <v>186</v>
      </c>
      <c r="G376" s="9">
        <v>5.1100651E7</v>
      </c>
      <c r="H376" s="5" t="s">
        <v>38</v>
      </c>
      <c r="I376" s="10" t="s">
        <v>25</v>
      </c>
      <c r="J376" s="11">
        <v>608850.0</v>
      </c>
      <c r="K376" s="11">
        <v>0.0</v>
      </c>
    </row>
    <row r="377">
      <c r="A377" s="5" t="s">
        <v>74</v>
      </c>
      <c r="B377" s="6" t="s">
        <v>187</v>
      </c>
      <c r="C377" s="7" t="s">
        <v>188</v>
      </c>
      <c r="D377" s="8">
        <v>1.0</v>
      </c>
      <c r="E377" s="7" t="s">
        <v>185</v>
      </c>
      <c r="F377" s="5" t="s">
        <v>186</v>
      </c>
      <c r="G377" s="9">
        <v>9.0043001E7</v>
      </c>
      <c r="H377" s="5" t="s">
        <v>18</v>
      </c>
      <c r="I377" s="10" t="s">
        <v>19</v>
      </c>
      <c r="J377" s="11">
        <v>4110142.0</v>
      </c>
      <c r="K377" s="11">
        <v>34.0</v>
      </c>
    </row>
    <row r="378">
      <c r="A378" s="5" t="s">
        <v>74</v>
      </c>
      <c r="B378" s="6" t="s">
        <v>187</v>
      </c>
      <c r="C378" s="7" t="s">
        <v>188</v>
      </c>
      <c r="D378" s="8">
        <v>1.0</v>
      </c>
      <c r="E378" s="7" t="s">
        <v>201</v>
      </c>
      <c r="F378" s="5" t="s">
        <v>202</v>
      </c>
      <c r="G378" s="9">
        <v>9.0043001E7</v>
      </c>
      <c r="H378" s="5" t="s">
        <v>18</v>
      </c>
      <c r="I378" s="10" t="s">
        <v>19</v>
      </c>
      <c r="J378" s="11">
        <v>2079084.0</v>
      </c>
      <c r="K378" s="11">
        <v>17.0</v>
      </c>
    </row>
    <row r="379">
      <c r="A379" s="5" t="s">
        <v>74</v>
      </c>
      <c r="B379" s="6" t="s">
        <v>187</v>
      </c>
      <c r="C379" s="7" t="s">
        <v>188</v>
      </c>
      <c r="D379" s="8">
        <v>1.0</v>
      </c>
      <c r="E379" s="7" t="s">
        <v>201</v>
      </c>
      <c r="F379" s="5" t="s">
        <v>202</v>
      </c>
      <c r="G379" s="9">
        <v>9.0043E7</v>
      </c>
      <c r="H379" s="5" t="s">
        <v>83</v>
      </c>
      <c r="I379" s="10" t="s">
        <v>19</v>
      </c>
      <c r="J379" s="11">
        <v>1130175.0</v>
      </c>
      <c r="K379" s="11">
        <v>9.0</v>
      </c>
    </row>
    <row r="380">
      <c r="A380" s="5" t="s">
        <v>74</v>
      </c>
      <c r="B380" s="6" t="s">
        <v>203</v>
      </c>
      <c r="C380" s="7" t="s">
        <v>204</v>
      </c>
      <c r="D380" s="8">
        <v>1.0</v>
      </c>
      <c r="E380" s="13">
        <v>46038.0</v>
      </c>
      <c r="F380" s="5" t="s">
        <v>150</v>
      </c>
      <c r="G380" s="9">
        <v>9.0043001E7</v>
      </c>
      <c r="H380" s="5" t="s">
        <v>18</v>
      </c>
      <c r="I380" s="10" t="s">
        <v>19</v>
      </c>
      <c r="J380" s="11">
        <v>1606228.0</v>
      </c>
      <c r="K380" s="11">
        <v>13.0</v>
      </c>
    </row>
    <row r="381">
      <c r="A381" s="5" t="s">
        <v>74</v>
      </c>
      <c r="B381" s="6" t="s">
        <v>203</v>
      </c>
      <c r="C381" s="7" t="s">
        <v>204</v>
      </c>
      <c r="D381" s="8">
        <v>1.0</v>
      </c>
      <c r="E381" s="13">
        <v>46158.0</v>
      </c>
      <c r="F381" s="5" t="s">
        <v>151</v>
      </c>
      <c r="G381" s="9">
        <v>9.0043001E7</v>
      </c>
      <c r="H381" s="5" t="s">
        <v>18</v>
      </c>
      <c r="I381" s="10" t="s">
        <v>19</v>
      </c>
      <c r="J381" s="11">
        <v>985964.0</v>
      </c>
      <c r="K381" s="11">
        <v>8.0</v>
      </c>
    </row>
    <row r="382">
      <c r="A382" s="5" t="s">
        <v>74</v>
      </c>
      <c r="B382" s="6" t="s">
        <v>203</v>
      </c>
      <c r="C382" s="7" t="s">
        <v>204</v>
      </c>
      <c r="D382" s="8">
        <v>1.0</v>
      </c>
      <c r="E382" s="7" t="s">
        <v>81</v>
      </c>
      <c r="F382" s="5" t="s">
        <v>82</v>
      </c>
      <c r="G382" s="9">
        <v>9.0043001E7</v>
      </c>
      <c r="H382" s="5" t="s">
        <v>18</v>
      </c>
      <c r="I382" s="10" t="s">
        <v>19</v>
      </c>
      <c r="J382" s="11">
        <v>246452.0</v>
      </c>
      <c r="K382" s="11">
        <v>2.0</v>
      </c>
    </row>
    <row r="383">
      <c r="A383" s="5" t="s">
        <v>74</v>
      </c>
      <c r="B383" s="6" t="s">
        <v>203</v>
      </c>
      <c r="C383" s="7" t="s">
        <v>204</v>
      </c>
      <c r="D383" s="8">
        <v>1.0</v>
      </c>
      <c r="E383" s="7" t="s">
        <v>81</v>
      </c>
      <c r="F383" s="5" t="s">
        <v>82</v>
      </c>
      <c r="G383" s="9">
        <v>9.0043E7</v>
      </c>
      <c r="H383" s="5" t="s">
        <v>83</v>
      </c>
      <c r="I383" s="10" t="s">
        <v>19</v>
      </c>
      <c r="J383" s="11">
        <v>122800.0</v>
      </c>
      <c r="K383" s="11">
        <v>1.0</v>
      </c>
    </row>
    <row r="384">
      <c r="A384" s="5" t="s">
        <v>74</v>
      </c>
      <c r="B384" s="6" t="s">
        <v>203</v>
      </c>
      <c r="C384" s="7" t="s">
        <v>204</v>
      </c>
      <c r="D384" s="8">
        <v>1.0</v>
      </c>
      <c r="E384" s="7" t="s">
        <v>84</v>
      </c>
      <c r="F384" s="5" t="s">
        <v>85</v>
      </c>
      <c r="G384" s="9">
        <v>5.1100064E7</v>
      </c>
      <c r="H384" s="5" t="s">
        <v>53</v>
      </c>
      <c r="I384" s="10" t="s">
        <v>25</v>
      </c>
      <c r="J384" s="11">
        <v>5000000.0</v>
      </c>
      <c r="K384" s="11">
        <v>0.0</v>
      </c>
    </row>
    <row r="385">
      <c r="A385" s="5" t="s">
        <v>74</v>
      </c>
      <c r="B385" s="6" t="s">
        <v>203</v>
      </c>
      <c r="C385" s="7" t="s">
        <v>204</v>
      </c>
      <c r="D385" s="8">
        <v>1.0</v>
      </c>
      <c r="E385" s="7" t="s">
        <v>84</v>
      </c>
      <c r="F385" s="5" t="s">
        <v>85</v>
      </c>
      <c r="G385" s="9">
        <v>9.0043001E7</v>
      </c>
      <c r="H385" s="5" t="s">
        <v>18</v>
      </c>
      <c r="I385" s="10" t="s">
        <v>19</v>
      </c>
      <c r="J385" s="11">
        <v>2.4066634E7</v>
      </c>
      <c r="K385" s="11">
        <v>197.6</v>
      </c>
    </row>
    <row r="386">
      <c r="A386" s="5" t="s">
        <v>74</v>
      </c>
      <c r="B386" s="6" t="s">
        <v>203</v>
      </c>
      <c r="C386" s="7" t="s">
        <v>204</v>
      </c>
      <c r="D386" s="8">
        <v>1.0</v>
      </c>
      <c r="E386" s="7" t="s">
        <v>84</v>
      </c>
      <c r="F386" s="5" t="s">
        <v>85</v>
      </c>
      <c r="G386" s="9">
        <v>9.0043E7</v>
      </c>
      <c r="H386" s="5" t="s">
        <v>83</v>
      </c>
      <c r="I386" s="10" t="s">
        <v>19</v>
      </c>
      <c r="J386" s="11">
        <v>5240480.0</v>
      </c>
      <c r="K386" s="11">
        <v>42.0</v>
      </c>
    </row>
    <row r="387">
      <c r="A387" s="5" t="s">
        <v>74</v>
      </c>
      <c r="B387" s="6" t="s">
        <v>203</v>
      </c>
      <c r="C387" s="7" t="s">
        <v>204</v>
      </c>
      <c r="D387" s="8">
        <v>1.0</v>
      </c>
      <c r="E387" s="7" t="s">
        <v>173</v>
      </c>
      <c r="F387" s="5" t="s">
        <v>174</v>
      </c>
      <c r="G387" s="9">
        <v>9.0043003E7</v>
      </c>
      <c r="H387" s="5" t="s">
        <v>90</v>
      </c>
      <c r="I387" s="10" t="s">
        <v>50</v>
      </c>
      <c r="J387" s="11">
        <v>3.1014398E7</v>
      </c>
      <c r="K387" s="11">
        <v>83.0</v>
      </c>
    </row>
    <row r="388">
      <c r="A388" s="5" t="s">
        <v>74</v>
      </c>
      <c r="B388" s="6" t="s">
        <v>203</v>
      </c>
      <c r="C388" s="7" t="s">
        <v>204</v>
      </c>
      <c r="D388" s="8">
        <v>1.0</v>
      </c>
      <c r="E388" s="7" t="s">
        <v>93</v>
      </c>
      <c r="F388" s="5" t="s">
        <v>94</v>
      </c>
      <c r="G388" s="9">
        <v>9.0043001E7</v>
      </c>
      <c r="H388" s="5" t="s">
        <v>18</v>
      </c>
      <c r="I388" s="10" t="s">
        <v>19</v>
      </c>
      <c r="J388" s="11">
        <v>245064.0</v>
      </c>
      <c r="K388" s="11">
        <v>2.0</v>
      </c>
    </row>
    <row r="389">
      <c r="A389" s="5" t="s">
        <v>74</v>
      </c>
      <c r="B389" s="6" t="s">
        <v>203</v>
      </c>
      <c r="C389" s="7" t="s">
        <v>204</v>
      </c>
      <c r="D389" s="8">
        <v>1.0</v>
      </c>
      <c r="E389" s="7" t="s">
        <v>95</v>
      </c>
      <c r="F389" s="5" t="s">
        <v>96</v>
      </c>
      <c r="G389" s="9">
        <v>5.1100058E7</v>
      </c>
      <c r="H389" s="5" t="s">
        <v>36</v>
      </c>
      <c r="I389" s="10" t="s">
        <v>37</v>
      </c>
      <c r="J389" s="11">
        <v>9622339.0</v>
      </c>
      <c r="K389" s="11">
        <v>138.05</v>
      </c>
    </row>
    <row r="390">
      <c r="A390" s="5" t="s">
        <v>74</v>
      </c>
      <c r="B390" s="6" t="s">
        <v>203</v>
      </c>
      <c r="C390" s="7" t="s">
        <v>204</v>
      </c>
      <c r="D390" s="8">
        <v>1.0</v>
      </c>
      <c r="E390" s="7" t="s">
        <v>95</v>
      </c>
      <c r="F390" s="5" t="s">
        <v>96</v>
      </c>
      <c r="G390" s="9">
        <v>9.0043001E7</v>
      </c>
      <c r="H390" s="5" t="s">
        <v>18</v>
      </c>
      <c r="I390" s="10" t="s">
        <v>19</v>
      </c>
      <c r="J390" s="11">
        <v>3150179.0</v>
      </c>
      <c r="K390" s="11">
        <v>23.8</v>
      </c>
    </row>
    <row r="391">
      <c r="A391" s="5" t="s">
        <v>74</v>
      </c>
      <c r="B391" s="6" t="s">
        <v>203</v>
      </c>
      <c r="C391" s="7" t="s">
        <v>204</v>
      </c>
      <c r="D391" s="8">
        <v>1.0</v>
      </c>
      <c r="E391" s="7" t="s">
        <v>97</v>
      </c>
      <c r="F391" s="5" t="s">
        <v>98</v>
      </c>
      <c r="G391" s="9">
        <v>9.0043001E7</v>
      </c>
      <c r="H391" s="5" t="s">
        <v>18</v>
      </c>
      <c r="I391" s="10" t="s">
        <v>19</v>
      </c>
      <c r="J391" s="11">
        <v>735192.0</v>
      </c>
      <c r="K391" s="11">
        <v>6.0</v>
      </c>
    </row>
    <row r="392">
      <c r="A392" s="5" t="s">
        <v>74</v>
      </c>
      <c r="B392" s="6" t="s">
        <v>203</v>
      </c>
      <c r="C392" s="7" t="s">
        <v>204</v>
      </c>
      <c r="D392" s="8">
        <v>1.0</v>
      </c>
      <c r="E392" s="7" t="s">
        <v>99</v>
      </c>
      <c r="F392" s="5" t="s">
        <v>100</v>
      </c>
      <c r="G392" s="9">
        <v>9.0043001E7</v>
      </c>
      <c r="H392" s="5" t="s">
        <v>18</v>
      </c>
      <c r="I392" s="10" t="s">
        <v>19</v>
      </c>
      <c r="J392" s="11">
        <v>4218856.0</v>
      </c>
      <c r="K392" s="11">
        <v>34.0</v>
      </c>
    </row>
    <row r="393">
      <c r="A393" s="5" t="s">
        <v>74</v>
      </c>
      <c r="B393" s="6" t="s">
        <v>203</v>
      </c>
      <c r="C393" s="7" t="s">
        <v>204</v>
      </c>
      <c r="D393" s="8">
        <v>1.0</v>
      </c>
      <c r="E393" s="7" t="s">
        <v>99</v>
      </c>
      <c r="F393" s="5" t="s">
        <v>100</v>
      </c>
      <c r="G393" s="9">
        <v>9.0043E7</v>
      </c>
      <c r="H393" s="5" t="s">
        <v>83</v>
      </c>
      <c r="I393" s="10" t="s">
        <v>19</v>
      </c>
      <c r="J393" s="11">
        <v>122800.0</v>
      </c>
      <c r="K393" s="11">
        <v>1.0</v>
      </c>
    </row>
    <row r="394">
      <c r="A394" s="5" t="s">
        <v>74</v>
      </c>
      <c r="B394" s="6" t="s">
        <v>203</v>
      </c>
      <c r="C394" s="7" t="s">
        <v>204</v>
      </c>
      <c r="D394" s="8">
        <v>1.0</v>
      </c>
      <c r="E394" s="7" t="s">
        <v>101</v>
      </c>
      <c r="F394" s="5" t="s">
        <v>102</v>
      </c>
      <c r="G394" s="9">
        <v>9.0043001E7</v>
      </c>
      <c r="H394" s="5" t="s">
        <v>18</v>
      </c>
      <c r="I394" s="10" t="s">
        <v>19</v>
      </c>
      <c r="J394" s="11">
        <v>1.9167617E7</v>
      </c>
      <c r="K394" s="11">
        <v>157.0</v>
      </c>
    </row>
    <row r="395">
      <c r="A395" s="5" t="s">
        <v>74</v>
      </c>
      <c r="B395" s="6" t="s">
        <v>203</v>
      </c>
      <c r="C395" s="7" t="s">
        <v>204</v>
      </c>
      <c r="D395" s="8">
        <v>1.0</v>
      </c>
      <c r="E395" s="7" t="s">
        <v>101</v>
      </c>
      <c r="F395" s="5" t="s">
        <v>102</v>
      </c>
      <c r="G395" s="9">
        <v>9.0043E7</v>
      </c>
      <c r="H395" s="5" t="s">
        <v>83</v>
      </c>
      <c r="I395" s="10" t="s">
        <v>19</v>
      </c>
      <c r="J395" s="11">
        <v>998284.0</v>
      </c>
      <c r="K395" s="11">
        <v>8.0</v>
      </c>
    </row>
    <row r="396">
      <c r="A396" s="5" t="s">
        <v>74</v>
      </c>
      <c r="B396" s="6" t="s">
        <v>203</v>
      </c>
      <c r="C396" s="7" t="s">
        <v>204</v>
      </c>
      <c r="D396" s="8">
        <v>1.0</v>
      </c>
      <c r="E396" s="7" t="s">
        <v>103</v>
      </c>
      <c r="F396" s="5" t="s">
        <v>104</v>
      </c>
      <c r="G396" s="9">
        <v>5.1100058E7</v>
      </c>
      <c r="H396" s="5" t="s">
        <v>36</v>
      </c>
      <c r="I396" s="10" t="s">
        <v>37</v>
      </c>
      <c r="J396" s="11">
        <v>9228226.0</v>
      </c>
      <c r="K396" s="11">
        <v>111.45</v>
      </c>
    </row>
    <row r="397">
      <c r="A397" s="5" t="s">
        <v>74</v>
      </c>
      <c r="B397" s="6" t="s">
        <v>203</v>
      </c>
      <c r="C397" s="7" t="s">
        <v>204</v>
      </c>
      <c r="D397" s="8">
        <v>1.0</v>
      </c>
      <c r="E397" s="7" t="s">
        <v>103</v>
      </c>
      <c r="F397" s="5" t="s">
        <v>104</v>
      </c>
      <c r="G397" s="9">
        <v>9.0043001E7</v>
      </c>
      <c r="H397" s="5" t="s">
        <v>18</v>
      </c>
      <c r="I397" s="10" t="s">
        <v>19</v>
      </c>
      <c r="J397" s="11">
        <v>2345188.0</v>
      </c>
      <c r="K397" s="11">
        <v>18.9</v>
      </c>
    </row>
    <row r="398">
      <c r="A398" s="5" t="s">
        <v>74</v>
      </c>
      <c r="B398" s="6" t="s">
        <v>203</v>
      </c>
      <c r="C398" s="7" t="s">
        <v>204</v>
      </c>
      <c r="D398" s="8">
        <v>1.0</v>
      </c>
      <c r="E398" s="7" t="s">
        <v>205</v>
      </c>
      <c r="F398" s="5" t="s">
        <v>206</v>
      </c>
      <c r="G398" s="9">
        <v>9.0043001E7</v>
      </c>
      <c r="H398" s="5" t="s">
        <v>18</v>
      </c>
      <c r="I398" s="10" t="s">
        <v>19</v>
      </c>
      <c r="J398" s="11">
        <v>6861792.0</v>
      </c>
      <c r="K398" s="11">
        <v>56.0</v>
      </c>
    </row>
    <row r="399">
      <c r="A399" s="5" t="s">
        <v>74</v>
      </c>
      <c r="B399" s="6" t="s">
        <v>203</v>
      </c>
      <c r="C399" s="7" t="s">
        <v>204</v>
      </c>
      <c r="D399" s="8">
        <v>1.0</v>
      </c>
      <c r="E399" s="7" t="s">
        <v>105</v>
      </c>
      <c r="F399" s="5" t="s">
        <v>106</v>
      </c>
      <c r="G399" s="9">
        <v>9.0043E7</v>
      </c>
      <c r="H399" s="5" t="s">
        <v>83</v>
      </c>
      <c r="I399" s="10" t="s">
        <v>19</v>
      </c>
      <c r="J399" s="11">
        <v>382159.0</v>
      </c>
      <c r="K399" s="11">
        <v>3.0</v>
      </c>
    </row>
    <row r="400">
      <c r="A400" s="5" t="s">
        <v>74</v>
      </c>
      <c r="B400" s="6" t="s">
        <v>203</v>
      </c>
      <c r="C400" s="7" t="s">
        <v>204</v>
      </c>
      <c r="D400" s="8">
        <v>1.0</v>
      </c>
      <c r="E400" s="7" t="s">
        <v>207</v>
      </c>
      <c r="F400" s="5" t="s">
        <v>208</v>
      </c>
      <c r="G400" s="9">
        <v>9.0043001E7</v>
      </c>
      <c r="H400" s="5" t="s">
        <v>18</v>
      </c>
      <c r="I400" s="10" t="s">
        <v>19</v>
      </c>
      <c r="J400" s="11">
        <v>222077.0</v>
      </c>
      <c r="K400" s="11">
        <v>1.8</v>
      </c>
    </row>
    <row r="401">
      <c r="A401" s="5" t="s">
        <v>74</v>
      </c>
      <c r="B401" s="6" t="s">
        <v>203</v>
      </c>
      <c r="C401" s="7" t="s">
        <v>204</v>
      </c>
      <c r="D401" s="8">
        <v>1.0</v>
      </c>
      <c r="E401" s="7" t="s">
        <v>209</v>
      </c>
      <c r="F401" s="5" t="s">
        <v>210</v>
      </c>
      <c r="G401" s="9">
        <v>5.1101999E7</v>
      </c>
      <c r="H401" s="5" t="s">
        <v>107</v>
      </c>
      <c r="I401" s="10" t="s">
        <v>25</v>
      </c>
      <c r="J401" s="11">
        <v>0.0</v>
      </c>
      <c r="K401" s="11">
        <v>0.0</v>
      </c>
    </row>
    <row r="402">
      <c r="A402" s="5" t="s">
        <v>74</v>
      </c>
      <c r="B402" s="6" t="s">
        <v>203</v>
      </c>
      <c r="C402" s="7" t="s">
        <v>204</v>
      </c>
      <c r="D402" s="8">
        <v>1.0</v>
      </c>
      <c r="E402" s="7" t="s">
        <v>209</v>
      </c>
      <c r="F402" s="5" t="s">
        <v>210</v>
      </c>
      <c r="G402" s="9">
        <v>5.1100774E7</v>
      </c>
      <c r="H402" s="5" t="s">
        <v>39</v>
      </c>
      <c r="I402" s="10" t="s">
        <v>17</v>
      </c>
      <c r="J402" s="11">
        <v>1369876.0</v>
      </c>
      <c r="K402" s="11">
        <v>24.6</v>
      </c>
    </row>
    <row r="403">
      <c r="A403" s="5" t="s">
        <v>74</v>
      </c>
      <c r="B403" s="6" t="s">
        <v>203</v>
      </c>
      <c r="C403" s="7" t="s">
        <v>204</v>
      </c>
      <c r="D403" s="8">
        <v>1.0</v>
      </c>
      <c r="E403" s="7" t="s">
        <v>175</v>
      </c>
      <c r="F403" s="5" t="s">
        <v>176</v>
      </c>
      <c r="G403" s="9">
        <v>9.0043002E7</v>
      </c>
      <c r="H403" s="5" t="s">
        <v>49</v>
      </c>
      <c r="I403" s="10" t="s">
        <v>50</v>
      </c>
      <c r="J403" s="11">
        <v>3317242.0</v>
      </c>
      <c r="K403" s="11">
        <v>238.0</v>
      </c>
    </row>
    <row r="404">
      <c r="A404" s="5" t="s">
        <v>74</v>
      </c>
      <c r="B404" s="6" t="s">
        <v>203</v>
      </c>
      <c r="C404" s="7" t="s">
        <v>204</v>
      </c>
      <c r="D404" s="8">
        <v>1.0</v>
      </c>
      <c r="E404" s="7" t="s">
        <v>115</v>
      </c>
      <c r="F404" s="5" t="s">
        <v>116</v>
      </c>
      <c r="G404" s="9">
        <v>9.0043002E7</v>
      </c>
      <c r="H404" s="5" t="s">
        <v>49</v>
      </c>
      <c r="I404" s="10" t="s">
        <v>50</v>
      </c>
      <c r="J404" s="11">
        <v>1806286.0</v>
      </c>
      <c r="K404" s="11">
        <v>168.0</v>
      </c>
    </row>
    <row r="405">
      <c r="A405" s="5" t="s">
        <v>74</v>
      </c>
      <c r="B405" s="6" t="s">
        <v>203</v>
      </c>
      <c r="C405" s="7" t="s">
        <v>204</v>
      </c>
      <c r="D405" s="8">
        <v>1.0</v>
      </c>
      <c r="E405" s="7" t="s">
        <v>117</v>
      </c>
      <c r="F405" s="5" t="s">
        <v>118</v>
      </c>
      <c r="G405" s="9">
        <v>5.1100058E7</v>
      </c>
      <c r="H405" s="5" t="s">
        <v>36</v>
      </c>
      <c r="I405" s="10" t="s">
        <v>37</v>
      </c>
      <c r="J405" s="11">
        <v>7.5406902E7</v>
      </c>
      <c r="K405" s="11">
        <v>12070.0</v>
      </c>
    </row>
    <row r="406">
      <c r="A406" s="5" t="s">
        <v>74</v>
      </c>
      <c r="B406" s="6" t="s">
        <v>203</v>
      </c>
      <c r="C406" s="7" t="s">
        <v>204</v>
      </c>
      <c r="D406" s="8">
        <v>1.0</v>
      </c>
      <c r="E406" s="7" t="s">
        <v>117</v>
      </c>
      <c r="F406" s="5" t="s">
        <v>118</v>
      </c>
      <c r="G406" s="9">
        <v>9.0043001E7</v>
      </c>
      <c r="H406" s="5" t="s">
        <v>18</v>
      </c>
      <c r="I406" s="10" t="s">
        <v>19</v>
      </c>
      <c r="J406" s="11">
        <v>1324751.0</v>
      </c>
      <c r="K406" s="11">
        <v>10.2</v>
      </c>
    </row>
    <row r="407">
      <c r="A407" s="5" t="s">
        <v>74</v>
      </c>
      <c r="B407" s="6" t="s">
        <v>203</v>
      </c>
      <c r="C407" s="7" t="s">
        <v>204</v>
      </c>
      <c r="D407" s="8">
        <v>1.0</v>
      </c>
      <c r="E407" s="7" t="s">
        <v>117</v>
      </c>
      <c r="F407" s="5" t="s">
        <v>118</v>
      </c>
      <c r="G407" s="9">
        <v>9.0043E7</v>
      </c>
      <c r="H407" s="5" t="s">
        <v>83</v>
      </c>
      <c r="I407" s="10" t="s">
        <v>19</v>
      </c>
      <c r="J407" s="11">
        <v>245600.0</v>
      </c>
      <c r="K407" s="11">
        <v>2.0</v>
      </c>
    </row>
    <row r="408">
      <c r="A408" s="5" t="s">
        <v>74</v>
      </c>
      <c r="B408" s="6" t="s">
        <v>203</v>
      </c>
      <c r="C408" s="7" t="s">
        <v>204</v>
      </c>
      <c r="D408" s="8">
        <v>1.0</v>
      </c>
      <c r="E408" s="7" t="s">
        <v>119</v>
      </c>
      <c r="F408" s="5" t="s">
        <v>120</v>
      </c>
      <c r="G408" s="9">
        <v>9.0043001E7</v>
      </c>
      <c r="H408" s="5" t="s">
        <v>18</v>
      </c>
      <c r="I408" s="10" t="s">
        <v>19</v>
      </c>
      <c r="J408" s="11">
        <v>1772270.0</v>
      </c>
      <c r="K408" s="11">
        <v>10.0</v>
      </c>
    </row>
    <row r="409">
      <c r="A409" s="5" t="s">
        <v>74</v>
      </c>
      <c r="B409" s="6" t="s">
        <v>203</v>
      </c>
      <c r="C409" s="7" t="s">
        <v>204</v>
      </c>
      <c r="D409" s="8">
        <v>1.0</v>
      </c>
      <c r="E409" s="7" t="s">
        <v>123</v>
      </c>
      <c r="F409" s="5" t="s">
        <v>124</v>
      </c>
      <c r="G409" s="9">
        <v>9.0043001E7</v>
      </c>
      <c r="H409" s="5" t="s">
        <v>18</v>
      </c>
      <c r="I409" s="10" t="s">
        <v>19</v>
      </c>
      <c r="J409" s="11">
        <v>4832963.0</v>
      </c>
      <c r="K409" s="11">
        <v>39.0</v>
      </c>
    </row>
    <row r="410">
      <c r="A410" s="5" t="s">
        <v>74</v>
      </c>
      <c r="B410" s="6" t="s">
        <v>203</v>
      </c>
      <c r="C410" s="7" t="s">
        <v>204</v>
      </c>
      <c r="D410" s="8">
        <v>1.0</v>
      </c>
      <c r="E410" s="7" t="s">
        <v>160</v>
      </c>
      <c r="F410" s="5" t="s">
        <v>161</v>
      </c>
      <c r="G410" s="9">
        <v>9.0043001E7</v>
      </c>
      <c r="H410" s="5" t="s">
        <v>18</v>
      </c>
      <c r="I410" s="10" t="s">
        <v>19</v>
      </c>
      <c r="J410" s="11">
        <v>535732.0</v>
      </c>
      <c r="K410" s="11">
        <v>4.0</v>
      </c>
    </row>
    <row r="411">
      <c r="A411" s="5" t="s">
        <v>74</v>
      </c>
      <c r="B411" s="6" t="s">
        <v>203</v>
      </c>
      <c r="C411" s="7" t="s">
        <v>204</v>
      </c>
      <c r="D411" s="8">
        <v>1.0</v>
      </c>
      <c r="E411" s="7" t="s">
        <v>125</v>
      </c>
      <c r="F411" s="5" t="s">
        <v>126</v>
      </c>
      <c r="G411" s="9">
        <v>9.0043001E7</v>
      </c>
      <c r="H411" s="5" t="s">
        <v>18</v>
      </c>
      <c r="I411" s="10" t="s">
        <v>19</v>
      </c>
      <c r="J411" s="11">
        <v>8.8878949E7</v>
      </c>
      <c r="K411" s="11">
        <v>726.0</v>
      </c>
    </row>
    <row r="412">
      <c r="A412" s="5" t="s">
        <v>74</v>
      </c>
      <c r="B412" s="6" t="s">
        <v>203</v>
      </c>
      <c r="C412" s="7" t="s">
        <v>204</v>
      </c>
      <c r="D412" s="8">
        <v>1.0</v>
      </c>
      <c r="E412" s="7" t="s">
        <v>127</v>
      </c>
      <c r="F412" s="5" t="s">
        <v>128</v>
      </c>
      <c r="G412" s="9">
        <v>5.1100153E7</v>
      </c>
      <c r="H412" s="5" t="s">
        <v>72</v>
      </c>
      <c r="I412" s="10" t="s">
        <v>17</v>
      </c>
      <c r="J412" s="11">
        <v>3.1948131E7</v>
      </c>
      <c r="K412" s="11">
        <v>318440.0</v>
      </c>
    </row>
    <row r="413">
      <c r="A413" s="5" t="s">
        <v>74</v>
      </c>
      <c r="B413" s="6" t="s">
        <v>203</v>
      </c>
      <c r="C413" s="7" t="s">
        <v>204</v>
      </c>
      <c r="D413" s="8">
        <v>1.0</v>
      </c>
      <c r="E413" s="7" t="s">
        <v>127</v>
      </c>
      <c r="F413" s="5" t="s">
        <v>128</v>
      </c>
      <c r="G413" s="9">
        <v>9.0043001E7</v>
      </c>
      <c r="H413" s="5" t="s">
        <v>18</v>
      </c>
      <c r="I413" s="10" t="s">
        <v>19</v>
      </c>
      <c r="J413" s="11">
        <v>2.4427242E7</v>
      </c>
      <c r="K413" s="11">
        <v>203.3</v>
      </c>
    </row>
    <row r="414">
      <c r="A414" s="5" t="s">
        <v>74</v>
      </c>
      <c r="B414" s="6" t="s">
        <v>203</v>
      </c>
      <c r="C414" s="7" t="s">
        <v>204</v>
      </c>
      <c r="D414" s="8">
        <v>1.0</v>
      </c>
      <c r="E414" s="7" t="s">
        <v>127</v>
      </c>
      <c r="F414" s="5" t="s">
        <v>128</v>
      </c>
      <c r="G414" s="9">
        <v>9.0043002E7</v>
      </c>
      <c r="H414" s="5" t="s">
        <v>49</v>
      </c>
      <c r="I414" s="10" t="s">
        <v>50</v>
      </c>
      <c r="J414" s="11">
        <v>1.14862459E8</v>
      </c>
      <c r="K414" s="11">
        <v>5910.0</v>
      </c>
    </row>
    <row r="415">
      <c r="A415" s="5" t="s">
        <v>74</v>
      </c>
      <c r="B415" s="6" t="s">
        <v>203</v>
      </c>
      <c r="C415" s="7" t="s">
        <v>204</v>
      </c>
      <c r="D415" s="8">
        <v>1.0</v>
      </c>
      <c r="E415" s="7" t="s">
        <v>127</v>
      </c>
      <c r="F415" s="5" t="s">
        <v>128</v>
      </c>
      <c r="G415" s="9">
        <v>9.0043E7</v>
      </c>
      <c r="H415" s="5" t="s">
        <v>83</v>
      </c>
      <c r="I415" s="10" t="s">
        <v>19</v>
      </c>
      <c r="J415" s="11">
        <v>221040.0</v>
      </c>
      <c r="K415" s="11">
        <v>1.8</v>
      </c>
    </row>
    <row r="416">
      <c r="A416" s="5" t="s">
        <v>74</v>
      </c>
      <c r="B416" s="6" t="s">
        <v>203</v>
      </c>
      <c r="C416" s="7" t="s">
        <v>204</v>
      </c>
      <c r="D416" s="8">
        <v>1.0</v>
      </c>
      <c r="E416" s="7" t="s">
        <v>129</v>
      </c>
      <c r="F416" s="5" t="s">
        <v>130</v>
      </c>
      <c r="G416" s="9">
        <v>5.1101056E7</v>
      </c>
      <c r="H416" s="5" t="s">
        <v>16</v>
      </c>
      <c r="I416" s="10" t="s">
        <v>17</v>
      </c>
      <c r="J416" s="11">
        <v>9.2080179E7</v>
      </c>
      <c r="K416" s="11">
        <v>300164.0</v>
      </c>
    </row>
    <row r="417">
      <c r="A417" s="5" t="s">
        <v>74</v>
      </c>
      <c r="B417" s="6" t="s">
        <v>203</v>
      </c>
      <c r="C417" s="7" t="s">
        <v>204</v>
      </c>
      <c r="D417" s="8">
        <v>1.0</v>
      </c>
      <c r="E417" s="7" t="s">
        <v>129</v>
      </c>
      <c r="F417" s="5" t="s">
        <v>130</v>
      </c>
      <c r="G417" s="9">
        <v>9.0043001E7</v>
      </c>
      <c r="H417" s="5" t="s">
        <v>18</v>
      </c>
      <c r="I417" s="10" t="s">
        <v>19</v>
      </c>
      <c r="J417" s="11">
        <v>5262609.0</v>
      </c>
      <c r="K417" s="11">
        <v>34.1</v>
      </c>
    </row>
    <row r="418">
      <c r="A418" s="5" t="s">
        <v>74</v>
      </c>
      <c r="B418" s="6" t="s">
        <v>203</v>
      </c>
      <c r="C418" s="7" t="s">
        <v>204</v>
      </c>
      <c r="D418" s="8">
        <v>1.0</v>
      </c>
      <c r="E418" s="7" t="s">
        <v>129</v>
      </c>
      <c r="F418" s="5" t="s">
        <v>130</v>
      </c>
      <c r="G418" s="9">
        <v>9.0043003E7</v>
      </c>
      <c r="H418" s="5" t="s">
        <v>90</v>
      </c>
      <c r="I418" s="10" t="s">
        <v>50</v>
      </c>
      <c r="J418" s="11">
        <v>1.1004759E7</v>
      </c>
      <c r="K418" s="11">
        <v>61.0</v>
      </c>
    </row>
    <row r="419">
      <c r="A419" s="5" t="s">
        <v>74</v>
      </c>
      <c r="B419" s="6" t="s">
        <v>203</v>
      </c>
      <c r="C419" s="7" t="s">
        <v>204</v>
      </c>
      <c r="D419" s="8">
        <v>1.0</v>
      </c>
      <c r="E419" s="7" t="s">
        <v>129</v>
      </c>
      <c r="F419" s="5" t="s">
        <v>130</v>
      </c>
      <c r="G419" s="9">
        <v>9.0043E7</v>
      </c>
      <c r="H419" s="5" t="s">
        <v>83</v>
      </c>
      <c r="I419" s="10" t="s">
        <v>19</v>
      </c>
      <c r="J419" s="11">
        <v>63693.0</v>
      </c>
      <c r="K419" s="11">
        <v>0.5</v>
      </c>
    </row>
    <row r="420">
      <c r="A420" s="5" t="s">
        <v>74</v>
      </c>
      <c r="B420" s="6" t="s">
        <v>203</v>
      </c>
      <c r="C420" s="7" t="s">
        <v>204</v>
      </c>
      <c r="D420" s="8">
        <v>1.0</v>
      </c>
      <c r="E420" s="7" t="s">
        <v>131</v>
      </c>
      <c r="F420" s="5" t="s">
        <v>132</v>
      </c>
      <c r="G420" s="9">
        <v>9.0043001E7</v>
      </c>
      <c r="H420" s="5" t="s">
        <v>18</v>
      </c>
      <c r="I420" s="10" t="s">
        <v>19</v>
      </c>
      <c r="J420" s="11">
        <v>1561592.0</v>
      </c>
      <c r="K420" s="11">
        <v>12.0</v>
      </c>
    </row>
    <row r="421">
      <c r="A421" s="5" t="s">
        <v>74</v>
      </c>
      <c r="B421" s="6" t="s">
        <v>203</v>
      </c>
      <c r="C421" s="7" t="s">
        <v>204</v>
      </c>
      <c r="D421" s="8">
        <v>1.0</v>
      </c>
      <c r="E421" s="7" t="s">
        <v>135</v>
      </c>
      <c r="F421" s="5" t="s">
        <v>136</v>
      </c>
      <c r="G421" s="9">
        <v>9.0043001E7</v>
      </c>
      <c r="H421" s="5" t="s">
        <v>18</v>
      </c>
      <c r="I421" s="10" t="s">
        <v>19</v>
      </c>
      <c r="J421" s="11">
        <v>8.3848635E7</v>
      </c>
      <c r="K421" s="11">
        <v>698.0</v>
      </c>
    </row>
    <row r="422">
      <c r="A422" s="5" t="s">
        <v>74</v>
      </c>
      <c r="B422" s="6" t="s">
        <v>203</v>
      </c>
      <c r="C422" s="7" t="s">
        <v>204</v>
      </c>
      <c r="D422" s="8">
        <v>1.0</v>
      </c>
      <c r="E422" s="7" t="s">
        <v>162</v>
      </c>
      <c r="F422" s="5" t="s">
        <v>163</v>
      </c>
      <c r="G422" s="9">
        <v>9.0043001E7</v>
      </c>
      <c r="H422" s="5" t="s">
        <v>18</v>
      </c>
      <c r="I422" s="10" t="s">
        <v>19</v>
      </c>
      <c r="J422" s="11">
        <v>2853932.0</v>
      </c>
      <c r="K422" s="11">
        <v>23.0</v>
      </c>
    </row>
    <row r="423">
      <c r="A423" s="5" t="s">
        <v>74</v>
      </c>
      <c r="B423" s="6" t="s">
        <v>203</v>
      </c>
      <c r="C423" s="7" t="s">
        <v>204</v>
      </c>
      <c r="D423" s="8">
        <v>1.0</v>
      </c>
      <c r="E423" s="7" t="s">
        <v>162</v>
      </c>
      <c r="F423" s="5" t="s">
        <v>163</v>
      </c>
      <c r="G423" s="9">
        <v>9.0043E7</v>
      </c>
      <c r="H423" s="5" t="s">
        <v>83</v>
      </c>
      <c r="I423" s="10" t="s">
        <v>19</v>
      </c>
      <c r="J423" s="11">
        <v>8505702.0</v>
      </c>
      <c r="K423" s="11">
        <v>66.7</v>
      </c>
    </row>
    <row r="424">
      <c r="A424" s="5" t="s">
        <v>74</v>
      </c>
      <c r="B424" s="6" t="s">
        <v>203</v>
      </c>
      <c r="C424" s="7" t="s">
        <v>204</v>
      </c>
      <c r="D424" s="8">
        <v>1.0</v>
      </c>
      <c r="E424" s="7" t="s">
        <v>54</v>
      </c>
      <c r="F424" s="5" t="s">
        <v>139</v>
      </c>
      <c r="G424" s="9">
        <v>9.0042011E7</v>
      </c>
      <c r="H424" s="5" t="s">
        <v>55</v>
      </c>
      <c r="I424" s="10" t="s">
        <v>19</v>
      </c>
      <c r="J424" s="11">
        <v>9.1673246E7</v>
      </c>
      <c r="K424" s="11">
        <v>0.0</v>
      </c>
    </row>
    <row r="425">
      <c r="A425" s="5" t="s">
        <v>74</v>
      </c>
      <c r="B425" s="6" t="s">
        <v>203</v>
      </c>
      <c r="C425" s="7" t="s">
        <v>204</v>
      </c>
      <c r="D425" s="8">
        <v>1.0</v>
      </c>
      <c r="E425" s="7" t="s">
        <v>20</v>
      </c>
      <c r="F425" s="5" t="s">
        <v>140</v>
      </c>
      <c r="G425" s="9">
        <v>9.0042014E7</v>
      </c>
      <c r="H425" s="5" t="s">
        <v>21</v>
      </c>
      <c r="I425" s="10" t="s">
        <v>19</v>
      </c>
      <c r="J425" s="11">
        <v>2.5917168E8</v>
      </c>
      <c r="K425" s="11">
        <v>0.0</v>
      </c>
    </row>
    <row r="426">
      <c r="A426" s="5" t="s">
        <v>74</v>
      </c>
      <c r="B426" s="6" t="s">
        <v>203</v>
      </c>
      <c r="C426" s="7" t="s">
        <v>204</v>
      </c>
      <c r="D426" s="8">
        <v>1.0</v>
      </c>
      <c r="E426" s="7" t="s">
        <v>20</v>
      </c>
      <c r="F426" s="5" t="s">
        <v>140</v>
      </c>
      <c r="G426" s="9">
        <v>9.0042077E7</v>
      </c>
      <c r="H426" s="5" t="s">
        <v>141</v>
      </c>
      <c r="I426" s="10" t="s">
        <v>19</v>
      </c>
      <c r="J426" s="11">
        <v>5.7091177E7</v>
      </c>
      <c r="K426" s="11">
        <v>0.0</v>
      </c>
    </row>
    <row r="427">
      <c r="A427" s="5" t="s">
        <v>74</v>
      </c>
      <c r="B427" s="6" t="s">
        <v>203</v>
      </c>
      <c r="C427" s="7" t="s">
        <v>204</v>
      </c>
      <c r="D427" s="8">
        <v>1.0</v>
      </c>
      <c r="E427" s="7" t="s">
        <v>142</v>
      </c>
      <c r="F427" s="5" t="s">
        <v>143</v>
      </c>
      <c r="G427" s="9">
        <v>9.0042013E7</v>
      </c>
      <c r="H427" s="5" t="s">
        <v>144</v>
      </c>
      <c r="I427" s="10" t="s">
        <v>19</v>
      </c>
      <c r="J427" s="11">
        <v>8958700.0</v>
      </c>
      <c r="K427" s="11">
        <v>0.0</v>
      </c>
    </row>
    <row r="428">
      <c r="A428" s="5" t="s">
        <v>74</v>
      </c>
      <c r="B428" s="6" t="s">
        <v>203</v>
      </c>
      <c r="C428" s="7" t="s">
        <v>204</v>
      </c>
      <c r="D428" s="8">
        <v>1.0</v>
      </c>
      <c r="E428" s="7" t="s">
        <v>142</v>
      </c>
      <c r="F428" s="5" t="s">
        <v>143</v>
      </c>
      <c r="G428" s="9">
        <v>9.0042084E7</v>
      </c>
      <c r="H428" s="5" t="s">
        <v>145</v>
      </c>
      <c r="I428" s="10" t="s">
        <v>19</v>
      </c>
      <c r="J428" s="11">
        <v>8180625.0</v>
      </c>
      <c r="K428" s="11">
        <v>0.0</v>
      </c>
    </row>
    <row r="429">
      <c r="A429" s="5" t="s">
        <v>74</v>
      </c>
      <c r="B429" s="6" t="s">
        <v>203</v>
      </c>
      <c r="C429" s="7" t="s">
        <v>204</v>
      </c>
      <c r="D429" s="8">
        <v>1.0</v>
      </c>
      <c r="E429" s="7" t="s">
        <v>22</v>
      </c>
      <c r="F429" s="5" t="s">
        <v>146</v>
      </c>
      <c r="G429" s="9">
        <v>9.0042012E7</v>
      </c>
      <c r="H429" s="5" t="s">
        <v>23</v>
      </c>
      <c r="I429" s="10" t="s">
        <v>19</v>
      </c>
      <c r="J429" s="11">
        <v>8.1957755E7</v>
      </c>
      <c r="K429" s="11">
        <v>0.0</v>
      </c>
    </row>
    <row r="430">
      <c r="A430" s="5" t="s">
        <v>74</v>
      </c>
      <c r="B430" s="6" t="s">
        <v>203</v>
      </c>
      <c r="C430" s="7" t="s">
        <v>204</v>
      </c>
      <c r="D430" s="8">
        <v>1.0</v>
      </c>
      <c r="E430" s="7" t="s">
        <v>22</v>
      </c>
      <c r="F430" s="5" t="s">
        <v>146</v>
      </c>
      <c r="G430" s="9">
        <v>9.0042121E7</v>
      </c>
      <c r="H430" s="5" t="s">
        <v>24</v>
      </c>
      <c r="I430" s="10" t="s">
        <v>25</v>
      </c>
      <c r="J430" s="11">
        <v>2.10196472E8</v>
      </c>
      <c r="K430" s="11">
        <v>0.0</v>
      </c>
    </row>
    <row r="431">
      <c r="A431" s="5" t="s">
        <v>74</v>
      </c>
      <c r="B431" s="6" t="s">
        <v>203</v>
      </c>
      <c r="C431" s="7" t="s">
        <v>204</v>
      </c>
      <c r="D431" s="8">
        <v>1.0</v>
      </c>
      <c r="E431" s="7" t="s">
        <v>22</v>
      </c>
      <c r="F431" s="5" t="s">
        <v>146</v>
      </c>
      <c r="G431" s="9">
        <v>9.0042122E7</v>
      </c>
      <c r="H431" s="5" t="s">
        <v>56</v>
      </c>
      <c r="I431" s="10" t="s">
        <v>25</v>
      </c>
      <c r="J431" s="11">
        <v>1.7895197E7</v>
      </c>
      <c r="K431" s="11">
        <v>0.0</v>
      </c>
    </row>
    <row r="432">
      <c r="A432" s="5" t="s">
        <v>74</v>
      </c>
      <c r="B432" s="6" t="s">
        <v>203</v>
      </c>
      <c r="C432" s="7" t="s">
        <v>204</v>
      </c>
      <c r="D432" s="8">
        <v>1.0</v>
      </c>
      <c r="E432" s="7" t="s">
        <v>22</v>
      </c>
      <c r="F432" s="5" t="s">
        <v>146</v>
      </c>
      <c r="G432" s="9">
        <v>9.0042124E7</v>
      </c>
      <c r="H432" s="5" t="s">
        <v>57</v>
      </c>
      <c r="I432" s="10" t="s">
        <v>25</v>
      </c>
      <c r="J432" s="11">
        <v>1.623868E7</v>
      </c>
      <c r="K432" s="11">
        <v>0.0</v>
      </c>
    </row>
    <row r="433">
      <c r="A433" s="5" t="s">
        <v>74</v>
      </c>
      <c r="B433" s="6" t="s">
        <v>203</v>
      </c>
      <c r="C433" s="7" t="s">
        <v>204</v>
      </c>
      <c r="D433" s="8">
        <v>1.0</v>
      </c>
      <c r="E433" s="7" t="s">
        <v>22</v>
      </c>
      <c r="F433" s="5" t="s">
        <v>146</v>
      </c>
      <c r="G433" s="9">
        <v>9.0042125E7</v>
      </c>
      <c r="H433" s="5" t="s">
        <v>26</v>
      </c>
      <c r="I433" s="10" t="s">
        <v>25</v>
      </c>
      <c r="J433" s="11">
        <v>5.371336E7</v>
      </c>
      <c r="K433" s="11">
        <v>0.0</v>
      </c>
    </row>
    <row r="434">
      <c r="A434" s="5" t="s">
        <v>74</v>
      </c>
      <c r="B434" s="6" t="s">
        <v>203</v>
      </c>
      <c r="C434" s="7" t="s">
        <v>204</v>
      </c>
      <c r="D434" s="8">
        <v>1.0</v>
      </c>
      <c r="E434" s="7" t="s">
        <v>22</v>
      </c>
      <c r="F434" s="5" t="s">
        <v>146</v>
      </c>
      <c r="G434" s="9">
        <v>9.0042127E7</v>
      </c>
      <c r="H434" s="5" t="s">
        <v>27</v>
      </c>
      <c r="I434" s="10" t="s">
        <v>25</v>
      </c>
      <c r="J434" s="11">
        <v>7622747.0</v>
      </c>
      <c r="K434" s="11">
        <v>0.0</v>
      </c>
    </row>
    <row r="435">
      <c r="A435" s="5" t="s">
        <v>74</v>
      </c>
      <c r="B435" s="6" t="s">
        <v>203</v>
      </c>
      <c r="C435" s="7" t="s">
        <v>204</v>
      </c>
      <c r="D435" s="8">
        <v>1.0</v>
      </c>
      <c r="E435" s="7" t="s">
        <v>22</v>
      </c>
      <c r="F435" s="5" t="s">
        <v>146</v>
      </c>
      <c r="G435" s="9">
        <v>9.0042133E7</v>
      </c>
      <c r="H435" s="5" t="s">
        <v>211</v>
      </c>
      <c r="I435" s="10" t="s">
        <v>25</v>
      </c>
      <c r="J435" s="11">
        <v>311143.0</v>
      </c>
      <c r="K435" s="11">
        <v>0.0</v>
      </c>
    </row>
    <row r="436">
      <c r="A436" s="5" t="s">
        <v>74</v>
      </c>
      <c r="B436" s="6" t="s">
        <v>203</v>
      </c>
      <c r="C436" s="7" t="s">
        <v>204</v>
      </c>
      <c r="D436" s="8">
        <v>1.0</v>
      </c>
      <c r="E436" s="7" t="s">
        <v>22</v>
      </c>
      <c r="F436" s="5" t="s">
        <v>146</v>
      </c>
      <c r="G436" s="9">
        <v>9.0042134E7</v>
      </c>
      <c r="H436" s="5" t="s">
        <v>29</v>
      </c>
      <c r="I436" s="10" t="s">
        <v>25</v>
      </c>
      <c r="J436" s="11">
        <v>1437000.0</v>
      </c>
      <c r="K436" s="11">
        <v>0.0</v>
      </c>
    </row>
    <row r="437">
      <c r="A437" s="5" t="s">
        <v>74</v>
      </c>
      <c r="B437" s="6" t="s">
        <v>203</v>
      </c>
      <c r="C437" s="7" t="s">
        <v>204</v>
      </c>
      <c r="D437" s="8">
        <v>1.0</v>
      </c>
      <c r="E437" s="7" t="s">
        <v>22</v>
      </c>
      <c r="F437" s="5" t="s">
        <v>146</v>
      </c>
      <c r="G437" s="9">
        <v>9.0042135E7</v>
      </c>
      <c r="H437" s="5" t="s">
        <v>30</v>
      </c>
      <c r="I437" s="10" t="s">
        <v>25</v>
      </c>
      <c r="J437" s="11">
        <v>2.02815269E8</v>
      </c>
      <c r="K437" s="11">
        <v>0.0</v>
      </c>
    </row>
    <row r="438">
      <c r="A438" s="5" t="s">
        <v>74</v>
      </c>
      <c r="B438" s="6" t="s">
        <v>203</v>
      </c>
      <c r="C438" s="7" t="s">
        <v>204</v>
      </c>
      <c r="D438" s="8">
        <v>1.0</v>
      </c>
      <c r="E438" s="7" t="s">
        <v>22</v>
      </c>
      <c r="F438" s="5" t="s">
        <v>146</v>
      </c>
      <c r="G438" s="9">
        <v>9.00422E7</v>
      </c>
      <c r="H438" s="5" t="s">
        <v>73</v>
      </c>
      <c r="I438" s="10" t="s">
        <v>60</v>
      </c>
      <c r="J438" s="11">
        <v>1.39650882E8</v>
      </c>
      <c r="K438" s="11">
        <v>0.0</v>
      </c>
    </row>
    <row r="439">
      <c r="A439" s="5" t="s">
        <v>74</v>
      </c>
      <c r="B439" s="6" t="s">
        <v>203</v>
      </c>
      <c r="C439" s="7" t="s">
        <v>204</v>
      </c>
      <c r="D439" s="8">
        <v>1.0</v>
      </c>
      <c r="E439" s="7" t="s">
        <v>22</v>
      </c>
      <c r="F439" s="5" t="s">
        <v>146</v>
      </c>
      <c r="G439" s="9">
        <v>9.0042223E7</v>
      </c>
      <c r="H439" s="5" t="s">
        <v>61</v>
      </c>
      <c r="I439" s="10" t="s">
        <v>60</v>
      </c>
      <c r="J439" s="11">
        <v>6647719.0</v>
      </c>
      <c r="K439" s="11">
        <v>0.0</v>
      </c>
    </row>
    <row r="440">
      <c r="A440" s="5" t="s">
        <v>74</v>
      </c>
      <c r="B440" s="6" t="s">
        <v>203</v>
      </c>
      <c r="C440" s="7" t="s">
        <v>204</v>
      </c>
      <c r="D440" s="8">
        <v>1.0</v>
      </c>
      <c r="E440" s="7" t="s">
        <v>22</v>
      </c>
      <c r="F440" s="5" t="s">
        <v>146</v>
      </c>
      <c r="G440" s="9">
        <v>9.0042224E7</v>
      </c>
      <c r="H440" s="5" t="s">
        <v>62</v>
      </c>
      <c r="I440" s="10" t="s">
        <v>60</v>
      </c>
      <c r="J440" s="11">
        <v>1130302.0</v>
      </c>
      <c r="K440" s="11">
        <v>0.0</v>
      </c>
    </row>
    <row r="441">
      <c r="A441" s="5" t="s">
        <v>74</v>
      </c>
      <c r="B441" s="6" t="s">
        <v>203</v>
      </c>
      <c r="C441" s="7" t="s">
        <v>204</v>
      </c>
      <c r="D441" s="8">
        <v>1.0</v>
      </c>
      <c r="E441" s="7" t="s">
        <v>22</v>
      </c>
      <c r="F441" s="5" t="s">
        <v>146</v>
      </c>
      <c r="G441" s="9">
        <v>9.0042226E7</v>
      </c>
      <c r="H441" s="5" t="s">
        <v>63</v>
      </c>
      <c r="I441" s="10" t="s">
        <v>60</v>
      </c>
      <c r="J441" s="11">
        <v>2065112.0</v>
      </c>
      <c r="K441" s="11">
        <v>0.0</v>
      </c>
    </row>
    <row r="442">
      <c r="A442" s="5" t="s">
        <v>74</v>
      </c>
      <c r="B442" s="6" t="s">
        <v>203</v>
      </c>
      <c r="C442" s="7" t="s">
        <v>204</v>
      </c>
      <c r="D442" s="8">
        <v>1.0</v>
      </c>
      <c r="E442" s="7" t="s">
        <v>22</v>
      </c>
      <c r="F442" s="5" t="s">
        <v>146</v>
      </c>
      <c r="G442" s="9">
        <v>9.0042228E7</v>
      </c>
      <c r="H442" s="5" t="s">
        <v>64</v>
      </c>
      <c r="I442" s="10" t="s">
        <v>60</v>
      </c>
      <c r="J442" s="11">
        <v>8.3326567E7</v>
      </c>
      <c r="K442" s="11">
        <v>0.0</v>
      </c>
    </row>
    <row r="443">
      <c r="A443" s="5" t="s">
        <v>74</v>
      </c>
      <c r="B443" s="6" t="s">
        <v>203</v>
      </c>
      <c r="C443" s="7" t="s">
        <v>204</v>
      </c>
      <c r="D443" s="8">
        <v>1.0</v>
      </c>
      <c r="E443" s="7" t="s">
        <v>22</v>
      </c>
      <c r="F443" s="5" t="s">
        <v>146</v>
      </c>
      <c r="G443" s="9">
        <v>9.0042231E7</v>
      </c>
      <c r="H443" s="5" t="s">
        <v>65</v>
      </c>
      <c r="I443" s="10" t="s">
        <v>60</v>
      </c>
      <c r="J443" s="11">
        <v>2182516.0</v>
      </c>
      <c r="K443" s="11">
        <v>0.0</v>
      </c>
    </row>
    <row r="444">
      <c r="A444" s="5" t="s">
        <v>74</v>
      </c>
      <c r="B444" s="6" t="s">
        <v>203</v>
      </c>
      <c r="C444" s="7" t="s">
        <v>204</v>
      </c>
      <c r="D444" s="8">
        <v>1.0</v>
      </c>
      <c r="E444" s="7" t="s">
        <v>22</v>
      </c>
      <c r="F444" s="5" t="s">
        <v>146</v>
      </c>
      <c r="G444" s="9">
        <v>9.0042126E7</v>
      </c>
      <c r="H444" s="5" t="s">
        <v>31</v>
      </c>
      <c r="I444" s="10" t="s">
        <v>25</v>
      </c>
      <c r="J444" s="11">
        <v>3.4534217E7</v>
      </c>
      <c r="K444" s="11">
        <v>0.0</v>
      </c>
    </row>
    <row r="445">
      <c r="A445" s="5" t="s">
        <v>74</v>
      </c>
      <c r="B445" s="6" t="s">
        <v>203</v>
      </c>
      <c r="C445" s="7" t="s">
        <v>204</v>
      </c>
      <c r="D445" s="8">
        <v>1.0</v>
      </c>
      <c r="E445" s="7" t="s">
        <v>201</v>
      </c>
      <c r="F445" s="5" t="s">
        <v>202</v>
      </c>
      <c r="G445" s="9">
        <v>5.1100058E7</v>
      </c>
      <c r="H445" s="5" t="s">
        <v>36</v>
      </c>
      <c r="I445" s="10" t="s">
        <v>37</v>
      </c>
      <c r="J445" s="11">
        <v>987651.0</v>
      </c>
      <c r="K445" s="11">
        <v>15.91</v>
      </c>
    </row>
    <row r="446">
      <c r="A446" s="5" t="s">
        <v>74</v>
      </c>
      <c r="B446" s="6" t="s">
        <v>212</v>
      </c>
      <c r="C446" s="7" t="s">
        <v>213</v>
      </c>
      <c r="D446" s="8">
        <v>1.0</v>
      </c>
      <c r="E446" s="13">
        <v>46038.0</v>
      </c>
      <c r="F446" s="5" t="s">
        <v>150</v>
      </c>
      <c r="G446" s="9">
        <v>9.0043001E7</v>
      </c>
      <c r="H446" s="5" t="s">
        <v>18</v>
      </c>
      <c r="I446" s="10" t="s">
        <v>19</v>
      </c>
      <c r="J446" s="11">
        <v>4565257.0</v>
      </c>
      <c r="K446" s="11">
        <v>35.0</v>
      </c>
    </row>
    <row r="447">
      <c r="A447" s="5" t="s">
        <v>74</v>
      </c>
      <c r="B447" s="6" t="s">
        <v>212</v>
      </c>
      <c r="C447" s="7" t="s">
        <v>213</v>
      </c>
      <c r="D447" s="8">
        <v>1.0</v>
      </c>
      <c r="E447" s="7" t="s">
        <v>84</v>
      </c>
      <c r="F447" s="5" t="s">
        <v>85</v>
      </c>
      <c r="G447" s="9">
        <v>9.0043001E7</v>
      </c>
      <c r="H447" s="5" t="s">
        <v>18</v>
      </c>
      <c r="I447" s="10" t="s">
        <v>19</v>
      </c>
      <c r="J447" s="11">
        <v>2.071969E7</v>
      </c>
      <c r="K447" s="11">
        <v>148.0</v>
      </c>
    </row>
    <row r="448">
      <c r="A448" s="5" t="s">
        <v>74</v>
      </c>
      <c r="B448" s="6" t="s">
        <v>212</v>
      </c>
      <c r="C448" s="7" t="s">
        <v>213</v>
      </c>
      <c r="D448" s="8">
        <v>1.0</v>
      </c>
      <c r="E448" s="7" t="s">
        <v>86</v>
      </c>
      <c r="F448" s="5" t="s">
        <v>87</v>
      </c>
      <c r="G448" s="9">
        <v>9.0043001E7</v>
      </c>
      <c r="H448" s="5" t="s">
        <v>18</v>
      </c>
      <c r="I448" s="10" t="s">
        <v>19</v>
      </c>
      <c r="J448" s="11">
        <v>2.4195615E7</v>
      </c>
      <c r="K448" s="11">
        <v>173.0</v>
      </c>
    </row>
    <row r="449">
      <c r="A449" s="5" t="s">
        <v>74</v>
      </c>
      <c r="B449" s="6" t="s">
        <v>212</v>
      </c>
      <c r="C449" s="7" t="s">
        <v>213</v>
      </c>
      <c r="D449" s="8">
        <v>1.0</v>
      </c>
      <c r="E449" s="7" t="s">
        <v>173</v>
      </c>
      <c r="F449" s="5" t="s">
        <v>174</v>
      </c>
      <c r="G449" s="9">
        <v>5.1100651E7</v>
      </c>
      <c r="H449" s="5" t="s">
        <v>38</v>
      </c>
      <c r="I449" s="10" t="s">
        <v>25</v>
      </c>
      <c r="J449" s="11">
        <v>-2.03880234E8</v>
      </c>
      <c r="K449" s="11">
        <v>-241.7</v>
      </c>
    </row>
    <row r="450">
      <c r="A450" s="5" t="s">
        <v>74</v>
      </c>
      <c r="B450" s="6" t="s">
        <v>212</v>
      </c>
      <c r="C450" s="7" t="s">
        <v>213</v>
      </c>
      <c r="D450" s="8">
        <v>1.0</v>
      </c>
      <c r="E450" s="7" t="s">
        <v>88</v>
      </c>
      <c r="F450" s="5" t="s">
        <v>89</v>
      </c>
      <c r="G450" s="9">
        <v>5.1100651E7</v>
      </c>
      <c r="H450" s="5" t="s">
        <v>38</v>
      </c>
      <c r="I450" s="10" t="s">
        <v>25</v>
      </c>
      <c r="J450" s="11">
        <v>0.0</v>
      </c>
      <c r="K450" s="11">
        <v>0.0</v>
      </c>
    </row>
    <row r="451">
      <c r="A451" s="5" t="s">
        <v>74</v>
      </c>
      <c r="B451" s="6" t="s">
        <v>212</v>
      </c>
      <c r="C451" s="7" t="s">
        <v>213</v>
      </c>
      <c r="D451" s="8">
        <v>1.0</v>
      </c>
      <c r="E451" s="7" t="s">
        <v>88</v>
      </c>
      <c r="F451" s="5" t="s">
        <v>89</v>
      </c>
      <c r="G451" s="9">
        <v>9.0043003E7</v>
      </c>
      <c r="H451" s="5" t="s">
        <v>90</v>
      </c>
      <c r="I451" s="10" t="s">
        <v>50</v>
      </c>
      <c r="J451" s="11">
        <v>3490652.0</v>
      </c>
      <c r="K451" s="11">
        <v>22.0</v>
      </c>
    </row>
    <row r="452">
      <c r="A452" s="5" t="s">
        <v>74</v>
      </c>
      <c r="B452" s="6" t="s">
        <v>212</v>
      </c>
      <c r="C452" s="7" t="s">
        <v>213</v>
      </c>
      <c r="D452" s="8">
        <v>1.0</v>
      </c>
      <c r="E452" s="7" t="s">
        <v>88</v>
      </c>
      <c r="F452" s="5" t="s">
        <v>89</v>
      </c>
      <c r="G452" s="9">
        <v>5.1100774E7</v>
      </c>
      <c r="H452" s="5" t="s">
        <v>39</v>
      </c>
      <c r="I452" s="10" t="s">
        <v>17</v>
      </c>
      <c r="J452" s="11">
        <v>1.6233658E8</v>
      </c>
      <c r="K452" s="11">
        <v>192.45</v>
      </c>
    </row>
    <row r="453">
      <c r="A453" s="5" t="s">
        <v>74</v>
      </c>
      <c r="B453" s="6" t="s">
        <v>212</v>
      </c>
      <c r="C453" s="7" t="s">
        <v>213</v>
      </c>
      <c r="D453" s="8">
        <v>1.0</v>
      </c>
      <c r="E453" s="7" t="s">
        <v>152</v>
      </c>
      <c r="F453" s="5" t="s">
        <v>153</v>
      </c>
      <c r="G453" s="9">
        <v>5.1100651E7</v>
      </c>
      <c r="H453" s="5" t="s">
        <v>38</v>
      </c>
      <c r="I453" s="10" t="s">
        <v>25</v>
      </c>
      <c r="J453" s="11">
        <v>-4.6309578E7</v>
      </c>
      <c r="K453" s="11">
        <v>-54.9</v>
      </c>
    </row>
    <row r="454">
      <c r="A454" s="5" t="s">
        <v>74</v>
      </c>
      <c r="B454" s="6" t="s">
        <v>212</v>
      </c>
      <c r="C454" s="7" t="s">
        <v>213</v>
      </c>
      <c r="D454" s="8">
        <v>1.0</v>
      </c>
      <c r="E454" s="7" t="s">
        <v>152</v>
      </c>
      <c r="F454" s="5" t="s">
        <v>153</v>
      </c>
      <c r="G454" s="9">
        <v>9.0043002E7</v>
      </c>
      <c r="H454" s="5" t="s">
        <v>49</v>
      </c>
      <c r="I454" s="10" t="s">
        <v>50</v>
      </c>
      <c r="J454" s="11">
        <v>3358125.0</v>
      </c>
      <c r="K454" s="11">
        <v>50.0</v>
      </c>
    </row>
    <row r="455">
      <c r="A455" s="5" t="s">
        <v>74</v>
      </c>
      <c r="B455" s="6" t="s">
        <v>212</v>
      </c>
      <c r="C455" s="7" t="s">
        <v>213</v>
      </c>
      <c r="D455" s="8">
        <v>1.0</v>
      </c>
      <c r="E455" s="7" t="s">
        <v>152</v>
      </c>
      <c r="F455" s="5" t="s">
        <v>153</v>
      </c>
      <c r="G455" s="9">
        <v>9.0043003E7</v>
      </c>
      <c r="H455" s="5" t="s">
        <v>90</v>
      </c>
      <c r="I455" s="10" t="s">
        <v>50</v>
      </c>
      <c r="J455" s="11">
        <v>1.2375948E7</v>
      </c>
      <c r="K455" s="11">
        <v>78.0</v>
      </c>
    </row>
    <row r="456">
      <c r="A456" s="5" t="s">
        <v>74</v>
      </c>
      <c r="B456" s="6" t="s">
        <v>212</v>
      </c>
      <c r="C456" s="7" t="s">
        <v>213</v>
      </c>
      <c r="D456" s="8">
        <v>1.0</v>
      </c>
      <c r="E456" s="7" t="s">
        <v>95</v>
      </c>
      <c r="F456" s="5" t="s">
        <v>96</v>
      </c>
      <c r="G456" s="9">
        <v>5.1100058E7</v>
      </c>
      <c r="H456" s="5" t="s">
        <v>36</v>
      </c>
      <c r="I456" s="10" t="s">
        <v>37</v>
      </c>
      <c r="J456" s="11">
        <v>1.3628379E7</v>
      </c>
      <c r="K456" s="11">
        <v>192.869</v>
      </c>
    </row>
    <row r="457">
      <c r="A457" s="5" t="s">
        <v>74</v>
      </c>
      <c r="B457" s="6" t="s">
        <v>212</v>
      </c>
      <c r="C457" s="7" t="s">
        <v>213</v>
      </c>
      <c r="D457" s="8">
        <v>1.0</v>
      </c>
      <c r="E457" s="7" t="s">
        <v>95</v>
      </c>
      <c r="F457" s="5" t="s">
        <v>96</v>
      </c>
      <c r="G457" s="9">
        <v>9.0043001E7</v>
      </c>
      <c r="H457" s="5" t="s">
        <v>18</v>
      </c>
      <c r="I457" s="10" t="s">
        <v>19</v>
      </c>
      <c r="J457" s="11">
        <v>4.6635399E7</v>
      </c>
      <c r="K457" s="11">
        <v>351.0</v>
      </c>
    </row>
    <row r="458">
      <c r="A458" s="5" t="s">
        <v>74</v>
      </c>
      <c r="B458" s="6" t="s">
        <v>212</v>
      </c>
      <c r="C458" s="7" t="s">
        <v>213</v>
      </c>
      <c r="D458" s="8">
        <v>1.0</v>
      </c>
      <c r="E458" s="7" t="s">
        <v>95</v>
      </c>
      <c r="F458" s="5" t="s">
        <v>96</v>
      </c>
      <c r="G458" s="9">
        <v>9.0043E7</v>
      </c>
      <c r="H458" s="5" t="s">
        <v>83</v>
      </c>
      <c r="I458" s="10" t="s">
        <v>19</v>
      </c>
      <c r="J458" s="11">
        <v>875042.0</v>
      </c>
      <c r="K458" s="11">
        <v>7.0</v>
      </c>
    </row>
    <row r="459">
      <c r="A459" s="5" t="s">
        <v>74</v>
      </c>
      <c r="B459" s="6" t="s">
        <v>212</v>
      </c>
      <c r="C459" s="7" t="s">
        <v>213</v>
      </c>
      <c r="D459" s="8">
        <v>1.0</v>
      </c>
      <c r="E459" s="7" t="s">
        <v>99</v>
      </c>
      <c r="F459" s="5" t="s">
        <v>100</v>
      </c>
      <c r="G459" s="9">
        <v>9.0043001E7</v>
      </c>
      <c r="H459" s="5" t="s">
        <v>18</v>
      </c>
      <c r="I459" s="10" t="s">
        <v>19</v>
      </c>
      <c r="J459" s="11">
        <v>1.8500422E7</v>
      </c>
      <c r="K459" s="11">
        <v>136.0</v>
      </c>
    </row>
    <row r="460">
      <c r="A460" s="5" t="s">
        <v>74</v>
      </c>
      <c r="B460" s="6" t="s">
        <v>212</v>
      </c>
      <c r="C460" s="7" t="s">
        <v>213</v>
      </c>
      <c r="D460" s="8">
        <v>1.0</v>
      </c>
      <c r="E460" s="7" t="s">
        <v>99</v>
      </c>
      <c r="F460" s="5" t="s">
        <v>100</v>
      </c>
      <c r="G460" s="9">
        <v>9.0043E7</v>
      </c>
      <c r="H460" s="5" t="s">
        <v>83</v>
      </c>
      <c r="I460" s="10" t="s">
        <v>19</v>
      </c>
      <c r="J460" s="11">
        <v>250012.0</v>
      </c>
      <c r="K460" s="11">
        <v>2.0</v>
      </c>
    </row>
    <row r="461">
      <c r="A461" s="5" t="s">
        <v>74</v>
      </c>
      <c r="B461" s="6" t="s">
        <v>212</v>
      </c>
      <c r="C461" s="7" t="s">
        <v>213</v>
      </c>
      <c r="D461" s="8">
        <v>1.0</v>
      </c>
      <c r="E461" s="7" t="s">
        <v>101</v>
      </c>
      <c r="F461" s="5" t="s">
        <v>102</v>
      </c>
      <c r="G461" s="9">
        <v>9.0043001E7</v>
      </c>
      <c r="H461" s="5" t="s">
        <v>18</v>
      </c>
      <c r="I461" s="10" t="s">
        <v>19</v>
      </c>
      <c r="J461" s="11">
        <v>2.4475315E7</v>
      </c>
      <c r="K461" s="11">
        <v>189.0</v>
      </c>
    </row>
    <row r="462">
      <c r="A462" s="5" t="s">
        <v>74</v>
      </c>
      <c r="B462" s="6" t="s">
        <v>212</v>
      </c>
      <c r="C462" s="7" t="s">
        <v>213</v>
      </c>
      <c r="D462" s="8">
        <v>1.0</v>
      </c>
      <c r="E462" s="7" t="s">
        <v>101</v>
      </c>
      <c r="F462" s="5" t="s">
        <v>102</v>
      </c>
      <c r="G462" s="9">
        <v>9.0043002E7</v>
      </c>
      <c r="H462" s="5" t="s">
        <v>49</v>
      </c>
      <c r="I462" s="10" t="s">
        <v>50</v>
      </c>
      <c r="J462" s="11">
        <v>767932.0</v>
      </c>
      <c r="K462" s="11">
        <v>62.0</v>
      </c>
    </row>
    <row r="463">
      <c r="A463" s="5" t="s">
        <v>74</v>
      </c>
      <c r="B463" s="6" t="s">
        <v>212</v>
      </c>
      <c r="C463" s="7" t="s">
        <v>213</v>
      </c>
      <c r="D463" s="8">
        <v>1.0</v>
      </c>
      <c r="E463" s="7" t="s">
        <v>103</v>
      </c>
      <c r="F463" s="5" t="s">
        <v>104</v>
      </c>
      <c r="G463" s="9">
        <v>5.1100058E7</v>
      </c>
      <c r="H463" s="5" t="s">
        <v>36</v>
      </c>
      <c r="I463" s="10" t="s">
        <v>37</v>
      </c>
      <c r="J463" s="11">
        <v>3739498.0</v>
      </c>
      <c r="K463" s="11">
        <v>11.075</v>
      </c>
    </row>
    <row r="464">
      <c r="A464" s="5" t="s">
        <v>74</v>
      </c>
      <c r="B464" s="6" t="s">
        <v>212</v>
      </c>
      <c r="C464" s="7" t="s">
        <v>213</v>
      </c>
      <c r="D464" s="8">
        <v>1.0</v>
      </c>
      <c r="E464" s="7" t="s">
        <v>207</v>
      </c>
      <c r="F464" s="5" t="s">
        <v>208</v>
      </c>
      <c r="G464" s="9">
        <v>9.0043001E7</v>
      </c>
      <c r="H464" s="5" t="s">
        <v>18</v>
      </c>
      <c r="I464" s="10" t="s">
        <v>19</v>
      </c>
      <c r="J464" s="11">
        <v>1467150.0</v>
      </c>
      <c r="K464" s="11">
        <v>10.0</v>
      </c>
    </row>
    <row r="465">
      <c r="A465" s="5" t="s">
        <v>74</v>
      </c>
      <c r="B465" s="6" t="s">
        <v>212</v>
      </c>
      <c r="C465" s="7" t="s">
        <v>213</v>
      </c>
      <c r="D465" s="8">
        <v>1.0</v>
      </c>
      <c r="E465" s="7" t="s">
        <v>209</v>
      </c>
      <c r="F465" s="5" t="s">
        <v>210</v>
      </c>
      <c r="G465" s="9">
        <v>5.1100058E7</v>
      </c>
      <c r="H465" s="5" t="s">
        <v>36</v>
      </c>
      <c r="I465" s="10" t="s">
        <v>37</v>
      </c>
      <c r="J465" s="11">
        <v>8030100.0</v>
      </c>
      <c r="K465" s="11">
        <v>1450.0</v>
      </c>
    </row>
    <row r="466">
      <c r="A466" s="5" t="s">
        <v>74</v>
      </c>
      <c r="B466" s="6" t="s">
        <v>212</v>
      </c>
      <c r="C466" s="7" t="s">
        <v>213</v>
      </c>
      <c r="D466" s="8">
        <v>1.0</v>
      </c>
      <c r="E466" s="7" t="s">
        <v>117</v>
      </c>
      <c r="F466" s="5" t="s">
        <v>118</v>
      </c>
      <c r="G466" s="9">
        <v>5.1100058E7</v>
      </c>
      <c r="H466" s="5" t="s">
        <v>36</v>
      </c>
      <c r="I466" s="10" t="s">
        <v>37</v>
      </c>
      <c r="J466" s="11">
        <v>2.60286E7</v>
      </c>
      <c r="K466" s="11">
        <v>4700.0</v>
      </c>
    </row>
    <row r="467">
      <c r="A467" s="5" t="s">
        <v>74</v>
      </c>
      <c r="B467" s="6" t="s">
        <v>212</v>
      </c>
      <c r="C467" s="7" t="s">
        <v>213</v>
      </c>
      <c r="D467" s="8">
        <v>1.0</v>
      </c>
      <c r="E467" s="7" t="s">
        <v>117</v>
      </c>
      <c r="F467" s="5" t="s">
        <v>118</v>
      </c>
      <c r="G467" s="9">
        <v>9.0043001E7</v>
      </c>
      <c r="H467" s="5" t="s">
        <v>18</v>
      </c>
      <c r="I467" s="10" t="s">
        <v>19</v>
      </c>
      <c r="J467" s="11">
        <v>4545437.0</v>
      </c>
      <c r="K467" s="11">
        <v>31.0</v>
      </c>
    </row>
    <row r="468">
      <c r="A468" s="5" t="s">
        <v>74</v>
      </c>
      <c r="B468" s="6" t="s">
        <v>212</v>
      </c>
      <c r="C468" s="7" t="s">
        <v>213</v>
      </c>
      <c r="D468" s="8">
        <v>1.0</v>
      </c>
      <c r="E468" s="7" t="s">
        <v>117</v>
      </c>
      <c r="F468" s="5" t="s">
        <v>118</v>
      </c>
      <c r="G468" s="9">
        <v>9.0043E7</v>
      </c>
      <c r="H468" s="5" t="s">
        <v>83</v>
      </c>
      <c r="I468" s="10" t="s">
        <v>19</v>
      </c>
      <c r="J468" s="11">
        <v>500024.0</v>
      </c>
      <c r="K468" s="11">
        <v>4.0</v>
      </c>
    </row>
    <row r="469">
      <c r="A469" s="5" t="s">
        <v>74</v>
      </c>
      <c r="B469" s="6" t="s">
        <v>212</v>
      </c>
      <c r="C469" s="7" t="s">
        <v>213</v>
      </c>
      <c r="D469" s="8">
        <v>1.0</v>
      </c>
      <c r="E469" s="7" t="s">
        <v>125</v>
      </c>
      <c r="F469" s="5" t="s">
        <v>126</v>
      </c>
      <c r="G469" s="9">
        <v>5.1100064E7</v>
      </c>
      <c r="H469" s="5" t="s">
        <v>53</v>
      </c>
      <c r="I469" s="10" t="s">
        <v>25</v>
      </c>
      <c r="J469" s="11">
        <v>-4000000.0</v>
      </c>
      <c r="K469" s="11">
        <v>0.0</v>
      </c>
    </row>
    <row r="470">
      <c r="A470" s="5" t="s">
        <v>74</v>
      </c>
      <c r="B470" s="6" t="s">
        <v>212</v>
      </c>
      <c r="C470" s="7" t="s">
        <v>213</v>
      </c>
      <c r="D470" s="8">
        <v>1.0</v>
      </c>
      <c r="E470" s="7" t="s">
        <v>125</v>
      </c>
      <c r="F470" s="5" t="s">
        <v>126</v>
      </c>
      <c r="G470" s="9">
        <v>9.0043001E7</v>
      </c>
      <c r="H470" s="5" t="s">
        <v>18</v>
      </c>
      <c r="I470" s="10" t="s">
        <v>19</v>
      </c>
      <c r="J470" s="11">
        <v>2.42573756E8</v>
      </c>
      <c r="K470" s="11">
        <v>1834.0</v>
      </c>
    </row>
    <row r="471">
      <c r="A471" s="5" t="s">
        <v>74</v>
      </c>
      <c r="B471" s="6" t="s">
        <v>212</v>
      </c>
      <c r="C471" s="7" t="s">
        <v>213</v>
      </c>
      <c r="D471" s="8">
        <v>1.0</v>
      </c>
      <c r="E471" s="7" t="s">
        <v>125</v>
      </c>
      <c r="F471" s="5" t="s">
        <v>126</v>
      </c>
      <c r="G471" s="9">
        <v>9.0043002E7</v>
      </c>
      <c r="H471" s="5" t="s">
        <v>49</v>
      </c>
      <c r="I471" s="10" t="s">
        <v>50</v>
      </c>
      <c r="J471" s="11">
        <v>8348164.0</v>
      </c>
      <c r="K471" s="11">
        <v>674.0</v>
      </c>
    </row>
    <row r="472">
      <c r="A472" s="5" t="s">
        <v>74</v>
      </c>
      <c r="B472" s="6" t="s">
        <v>212</v>
      </c>
      <c r="C472" s="7" t="s">
        <v>213</v>
      </c>
      <c r="D472" s="8">
        <v>1.0</v>
      </c>
      <c r="E472" s="7" t="s">
        <v>127</v>
      </c>
      <c r="F472" s="5" t="s">
        <v>128</v>
      </c>
      <c r="G472" s="9">
        <v>5.1100153E7</v>
      </c>
      <c r="H472" s="5" t="s">
        <v>72</v>
      </c>
      <c r="I472" s="10" t="s">
        <v>17</v>
      </c>
      <c r="J472" s="11">
        <v>7.6533462E7</v>
      </c>
      <c r="K472" s="11">
        <v>63988.0</v>
      </c>
    </row>
    <row r="473">
      <c r="A473" s="5" t="s">
        <v>74</v>
      </c>
      <c r="B473" s="6" t="s">
        <v>212</v>
      </c>
      <c r="C473" s="7" t="s">
        <v>213</v>
      </c>
      <c r="D473" s="8">
        <v>1.0</v>
      </c>
      <c r="E473" s="7" t="s">
        <v>127</v>
      </c>
      <c r="F473" s="5" t="s">
        <v>128</v>
      </c>
      <c r="G473" s="9">
        <v>9.0043002E7</v>
      </c>
      <c r="H473" s="5" t="s">
        <v>49</v>
      </c>
      <c r="I473" s="10" t="s">
        <v>50</v>
      </c>
      <c r="J473" s="11">
        <v>3.0059051E7</v>
      </c>
      <c r="K473" s="11">
        <v>2115.0</v>
      </c>
    </row>
    <row r="474">
      <c r="A474" s="5" t="s">
        <v>74</v>
      </c>
      <c r="B474" s="6" t="s">
        <v>212</v>
      </c>
      <c r="C474" s="7" t="s">
        <v>213</v>
      </c>
      <c r="D474" s="8">
        <v>1.0</v>
      </c>
      <c r="E474" s="7" t="s">
        <v>129</v>
      </c>
      <c r="F474" s="5" t="s">
        <v>130</v>
      </c>
      <c r="G474" s="9">
        <v>5.1100153E7</v>
      </c>
      <c r="H474" s="5" t="s">
        <v>72</v>
      </c>
      <c r="I474" s="10" t="s">
        <v>25</v>
      </c>
      <c r="J474" s="11">
        <v>0.0</v>
      </c>
      <c r="K474" s="11">
        <v>0.0</v>
      </c>
    </row>
    <row r="475">
      <c r="A475" s="5" t="s">
        <v>74</v>
      </c>
      <c r="B475" s="6" t="s">
        <v>212</v>
      </c>
      <c r="C475" s="7" t="s">
        <v>213</v>
      </c>
      <c r="D475" s="8">
        <v>1.0</v>
      </c>
      <c r="E475" s="7" t="s">
        <v>129</v>
      </c>
      <c r="F475" s="5" t="s">
        <v>130</v>
      </c>
      <c r="G475" s="9">
        <v>5.1101056E7</v>
      </c>
      <c r="H475" s="5" t="s">
        <v>16</v>
      </c>
      <c r="I475" s="10" t="s">
        <v>17</v>
      </c>
      <c r="J475" s="11">
        <v>5.56809E7</v>
      </c>
      <c r="K475" s="11">
        <v>506190.0</v>
      </c>
    </row>
    <row r="476">
      <c r="A476" s="5" t="s">
        <v>74</v>
      </c>
      <c r="B476" s="6" t="s">
        <v>212</v>
      </c>
      <c r="C476" s="7" t="s">
        <v>213</v>
      </c>
      <c r="D476" s="8">
        <v>1.0</v>
      </c>
      <c r="E476" s="7" t="s">
        <v>129</v>
      </c>
      <c r="F476" s="5" t="s">
        <v>130</v>
      </c>
      <c r="G476" s="9">
        <v>9.0043002E7</v>
      </c>
      <c r="H476" s="5" t="s">
        <v>49</v>
      </c>
      <c r="I476" s="10" t="s">
        <v>50</v>
      </c>
      <c r="J476" s="11">
        <v>1560005.0</v>
      </c>
      <c r="K476" s="11">
        <v>60.0</v>
      </c>
    </row>
    <row r="477">
      <c r="A477" s="5" t="s">
        <v>74</v>
      </c>
      <c r="B477" s="6" t="s">
        <v>212</v>
      </c>
      <c r="C477" s="7" t="s">
        <v>213</v>
      </c>
      <c r="D477" s="8">
        <v>1.0</v>
      </c>
      <c r="E477" s="7" t="s">
        <v>135</v>
      </c>
      <c r="F477" s="5" t="s">
        <v>136</v>
      </c>
      <c r="G477" s="9">
        <v>9.0043001E7</v>
      </c>
      <c r="H477" s="5" t="s">
        <v>18</v>
      </c>
      <c r="I477" s="10" t="s">
        <v>19</v>
      </c>
      <c r="J477" s="11">
        <v>1.4613222E7</v>
      </c>
      <c r="K477" s="11">
        <v>112.0</v>
      </c>
    </row>
    <row r="478">
      <c r="A478" s="5" t="s">
        <v>74</v>
      </c>
      <c r="B478" s="6" t="s">
        <v>212</v>
      </c>
      <c r="C478" s="7" t="s">
        <v>213</v>
      </c>
      <c r="D478" s="8">
        <v>1.0</v>
      </c>
      <c r="E478" s="7" t="s">
        <v>162</v>
      </c>
      <c r="F478" s="5" t="s">
        <v>163</v>
      </c>
      <c r="G478" s="9">
        <v>9.0043001E7</v>
      </c>
      <c r="H478" s="5" t="s">
        <v>18</v>
      </c>
      <c r="I478" s="10" t="s">
        <v>19</v>
      </c>
      <c r="J478" s="11">
        <v>2.2796642E7</v>
      </c>
      <c r="K478" s="11">
        <v>172.0</v>
      </c>
    </row>
    <row r="479">
      <c r="A479" s="5" t="s">
        <v>74</v>
      </c>
      <c r="B479" s="6" t="s">
        <v>212</v>
      </c>
      <c r="C479" s="7" t="s">
        <v>213</v>
      </c>
      <c r="D479" s="8">
        <v>1.0</v>
      </c>
      <c r="E479" s="7" t="s">
        <v>54</v>
      </c>
      <c r="F479" s="5" t="s">
        <v>139</v>
      </c>
      <c r="G479" s="9">
        <v>9.0042011E7</v>
      </c>
      <c r="H479" s="5" t="s">
        <v>55</v>
      </c>
      <c r="I479" s="10" t="s">
        <v>19</v>
      </c>
      <c r="J479" s="11">
        <v>1.62250065E8</v>
      </c>
      <c r="K479" s="11">
        <v>0.0</v>
      </c>
    </row>
    <row r="480">
      <c r="A480" s="5" t="s">
        <v>74</v>
      </c>
      <c r="B480" s="6" t="s">
        <v>212</v>
      </c>
      <c r="C480" s="7" t="s">
        <v>213</v>
      </c>
      <c r="D480" s="8">
        <v>1.0</v>
      </c>
      <c r="E480" s="7" t="s">
        <v>20</v>
      </c>
      <c r="F480" s="5" t="s">
        <v>140</v>
      </c>
      <c r="G480" s="9">
        <v>9.0042014E7</v>
      </c>
      <c r="H480" s="5" t="s">
        <v>21</v>
      </c>
      <c r="I480" s="10" t="s">
        <v>19</v>
      </c>
      <c r="J480" s="11">
        <v>3.09560085E8</v>
      </c>
      <c r="K480" s="11">
        <v>0.0</v>
      </c>
    </row>
    <row r="481">
      <c r="A481" s="5" t="s">
        <v>74</v>
      </c>
      <c r="B481" s="6" t="s">
        <v>212</v>
      </c>
      <c r="C481" s="7" t="s">
        <v>213</v>
      </c>
      <c r="D481" s="8">
        <v>1.0</v>
      </c>
      <c r="E481" s="7" t="s">
        <v>20</v>
      </c>
      <c r="F481" s="5" t="s">
        <v>140</v>
      </c>
      <c r="G481" s="9">
        <v>9.0042077E7</v>
      </c>
      <c r="H481" s="5" t="s">
        <v>141</v>
      </c>
      <c r="I481" s="10" t="s">
        <v>19</v>
      </c>
      <c r="J481" s="11">
        <v>2.3364475E7</v>
      </c>
      <c r="K481" s="11">
        <v>0.0</v>
      </c>
    </row>
    <row r="482">
      <c r="A482" s="5" t="s">
        <v>74</v>
      </c>
      <c r="B482" s="6" t="s">
        <v>212</v>
      </c>
      <c r="C482" s="7" t="s">
        <v>213</v>
      </c>
      <c r="D482" s="8">
        <v>1.0</v>
      </c>
      <c r="E482" s="7" t="s">
        <v>20</v>
      </c>
      <c r="F482" s="5" t="s">
        <v>140</v>
      </c>
      <c r="G482" s="9">
        <v>5.1100103E7</v>
      </c>
      <c r="H482" s="5" t="s">
        <v>214</v>
      </c>
      <c r="I482" s="10" t="s">
        <v>37</v>
      </c>
      <c r="J482" s="11">
        <v>0.0</v>
      </c>
      <c r="K482" s="11">
        <v>0.0</v>
      </c>
    </row>
    <row r="483">
      <c r="A483" s="5" t="s">
        <v>74</v>
      </c>
      <c r="B483" s="6" t="s">
        <v>212</v>
      </c>
      <c r="C483" s="7" t="s">
        <v>213</v>
      </c>
      <c r="D483" s="8">
        <v>1.0</v>
      </c>
      <c r="E483" s="7" t="s">
        <v>142</v>
      </c>
      <c r="F483" s="5" t="s">
        <v>143</v>
      </c>
      <c r="G483" s="9">
        <v>9.0042013E7</v>
      </c>
      <c r="H483" s="5" t="s">
        <v>144</v>
      </c>
      <c r="I483" s="10" t="s">
        <v>19</v>
      </c>
      <c r="J483" s="11">
        <v>4047422.0</v>
      </c>
      <c r="K483" s="11">
        <v>0.0</v>
      </c>
    </row>
    <row r="484">
      <c r="A484" s="5" t="s">
        <v>74</v>
      </c>
      <c r="B484" s="6" t="s">
        <v>212</v>
      </c>
      <c r="C484" s="7" t="s">
        <v>213</v>
      </c>
      <c r="D484" s="8">
        <v>1.0</v>
      </c>
      <c r="E484" s="7" t="s">
        <v>142</v>
      </c>
      <c r="F484" s="5" t="s">
        <v>143</v>
      </c>
      <c r="G484" s="9">
        <v>9.0042084E7</v>
      </c>
      <c r="H484" s="5" t="s">
        <v>145</v>
      </c>
      <c r="I484" s="10" t="s">
        <v>19</v>
      </c>
      <c r="J484" s="11">
        <v>1716250.0</v>
      </c>
      <c r="K484" s="11">
        <v>0.0</v>
      </c>
    </row>
    <row r="485">
      <c r="A485" s="5" t="s">
        <v>74</v>
      </c>
      <c r="B485" s="6" t="s">
        <v>212</v>
      </c>
      <c r="C485" s="7" t="s">
        <v>213</v>
      </c>
      <c r="D485" s="8">
        <v>1.0</v>
      </c>
      <c r="E485" s="7" t="s">
        <v>22</v>
      </c>
      <c r="F485" s="5" t="s">
        <v>146</v>
      </c>
      <c r="G485" s="9">
        <v>9.0042012E7</v>
      </c>
      <c r="H485" s="5" t="s">
        <v>23</v>
      </c>
      <c r="I485" s="10" t="s">
        <v>19</v>
      </c>
      <c r="J485" s="11">
        <v>1.09024659E8</v>
      </c>
      <c r="K485" s="11">
        <v>0.0</v>
      </c>
    </row>
    <row r="486">
      <c r="A486" s="5" t="s">
        <v>74</v>
      </c>
      <c r="B486" s="6" t="s">
        <v>212</v>
      </c>
      <c r="C486" s="7" t="s">
        <v>213</v>
      </c>
      <c r="D486" s="8">
        <v>1.0</v>
      </c>
      <c r="E486" s="7" t="s">
        <v>22</v>
      </c>
      <c r="F486" s="5" t="s">
        <v>146</v>
      </c>
      <c r="G486" s="9">
        <v>9.0042121E7</v>
      </c>
      <c r="H486" s="5" t="s">
        <v>24</v>
      </c>
      <c r="I486" s="10" t="s">
        <v>25</v>
      </c>
      <c r="J486" s="11">
        <v>1.8993263E8</v>
      </c>
      <c r="K486" s="11">
        <v>0.0</v>
      </c>
    </row>
    <row r="487">
      <c r="A487" s="5" t="s">
        <v>74</v>
      </c>
      <c r="B487" s="6" t="s">
        <v>212</v>
      </c>
      <c r="C487" s="7" t="s">
        <v>213</v>
      </c>
      <c r="D487" s="8">
        <v>1.0</v>
      </c>
      <c r="E487" s="7" t="s">
        <v>22</v>
      </c>
      <c r="F487" s="5" t="s">
        <v>146</v>
      </c>
      <c r="G487" s="9">
        <v>9.0042122E7</v>
      </c>
      <c r="H487" s="5" t="s">
        <v>56</v>
      </c>
      <c r="I487" s="10" t="s">
        <v>25</v>
      </c>
      <c r="J487" s="11">
        <v>5.881964E7</v>
      </c>
      <c r="K487" s="11">
        <v>0.0</v>
      </c>
    </row>
    <row r="488">
      <c r="A488" s="5" t="s">
        <v>74</v>
      </c>
      <c r="B488" s="6" t="s">
        <v>212</v>
      </c>
      <c r="C488" s="7" t="s">
        <v>213</v>
      </c>
      <c r="D488" s="8">
        <v>1.0</v>
      </c>
      <c r="E488" s="7" t="s">
        <v>22</v>
      </c>
      <c r="F488" s="5" t="s">
        <v>146</v>
      </c>
      <c r="G488" s="9">
        <v>9.0042124E7</v>
      </c>
      <c r="H488" s="5" t="s">
        <v>57</v>
      </c>
      <c r="I488" s="10" t="s">
        <v>25</v>
      </c>
      <c r="J488" s="11">
        <v>2.0462048E7</v>
      </c>
      <c r="K488" s="11">
        <v>0.0</v>
      </c>
    </row>
    <row r="489">
      <c r="A489" s="5" t="s">
        <v>74</v>
      </c>
      <c r="B489" s="6" t="s">
        <v>212</v>
      </c>
      <c r="C489" s="7" t="s">
        <v>213</v>
      </c>
      <c r="D489" s="8">
        <v>1.0</v>
      </c>
      <c r="E489" s="7" t="s">
        <v>22</v>
      </c>
      <c r="F489" s="5" t="s">
        <v>146</v>
      </c>
      <c r="G489" s="9">
        <v>9.0042125E7</v>
      </c>
      <c r="H489" s="5" t="s">
        <v>26</v>
      </c>
      <c r="I489" s="10" t="s">
        <v>25</v>
      </c>
      <c r="J489" s="11">
        <v>4.9711412E7</v>
      </c>
      <c r="K489" s="11">
        <v>0.0</v>
      </c>
    </row>
    <row r="490">
      <c r="A490" s="5" t="s">
        <v>74</v>
      </c>
      <c r="B490" s="6" t="s">
        <v>212</v>
      </c>
      <c r="C490" s="7" t="s">
        <v>213</v>
      </c>
      <c r="D490" s="8">
        <v>1.0</v>
      </c>
      <c r="E490" s="7" t="s">
        <v>22</v>
      </c>
      <c r="F490" s="5" t="s">
        <v>146</v>
      </c>
      <c r="G490" s="9">
        <v>9.0042127E7</v>
      </c>
      <c r="H490" s="5" t="s">
        <v>27</v>
      </c>
      <c r="I490" s="10" t="s">
        <v>25</v>
      </c>
      <c r="J490" s="11">
        <v>3.036034E7</v>
      </c>
      <c r="K490" s="11">
        <v>0.0</v>
      </c>
    </row>
    <row r="491">
      <c r="A491" s="5" t="s">
        <v>74</v>
      </c>
      <c r="B491" s="6" t="s">
        <v>212</v>
      </c>
      <c r="C491" s="7" t="s">
        <v>213</v>
      </c>
      <c r="D491" s="8">
        <v>1.0</v>
      </c>
      <c r="E491" s="7" t="s">
        <v>22</v>
      </c>
      <c r="F491" s="5" t="s">
        <v>146</v>
      </c>
      <c r="G491" s="9">
        <v>9.0042132E7</v>
      </c>
      <c r="H491" s="5" t="s">
        <v>28</v>
      </c>
      <c r="I491" s="10" t="s">
        <v>25</v>
      </c>
      <c r="J491" s="11">
        <v>9742091.0</v>
      </c>
      <c r="K491" s="11">
        <v>0.0</v>
      </c>
    </row>
    <row r="492">
      <c r="A492" s="5" t="s">
        <v>74</v>
      </c>
      <c r="B492" s="6" t="s">
        <v>212</v>
      </c>
      <c r="C492" s="7" t="s">
        <v>213</v>
      </c>
      <c r="D492" s="8">
        <v>1.0</v>
      </c>
      <c r="E492" s="7" t="s">
        <v>22</v>
      </c>
      <c r="F492" s="5" t="s">
        <v>146</v>
      </c>
      <c r="G492" s="9">
        <v>9.0042133E7</v>
      </c>
      <c r="H492" s="5" t="s">
        <v>211</v>
      </c>
      <c r="I492" s="10" t="s">
        <v>25</v>
      </c>
      <c r="J492" s="11">
        <v>2804000.0</v>
      </c>
      <c r="K492" s="11">
        <v>0.0</v>
      </c>
    </row>
    <row r="493">
      <c r="A493" s="5" t="s">
        <v>74</v>
      </c>
      <c r="B493" s="6" t="s">
        <v>212</v>
      </c>
      <c r="C493" s="7" t="s">
        <v>213</v>
      </c>
      <c r="D493" s="8">
        <v>1.0</v>
      </c>
      <c r="E493" s="7" t="s">
        <v>22</v>
      </c>
      <c r="F493" s="5" t="s">
        <v>146</v>
      </c>
      <c r="G493" s="9">
        <v>9.0042134E7</v>
      </c>
      <c r="H493" s="5" t="s">
        <v>29</v>
      </c>
      <c r="I493" s="10" t="s">
        <v>25</v>
      </c>
      <c r="J493" s="11">
        <v>3002200.0</v>
      </c>
      <c r="K493" s="11">
        <v>0.0</v>
      </c>
    </row>
    <row r="494">
      <c r="A494" s="5" t="s">
        <v>74</v>
      </c>
      <c r="B494" s="6" t="s">
        <v>212</v>
      </c>
      <c r="C494" s="7" t="s">
        <v>213</v>
      </c>
      <c r="D494" s="8">
        <v>1.0</v>
      </c>
      <c r="E494" s="7" t="s">
        <v>22</v>
      </c>
      <c r="F494" s="5" t="s">
        <v>146</v>
      </c>
      <c r="G494" s="9">
        <v>9.0042135E7</v>
      </c>
      <c r="H494" s="5" t="s">
        <v>30</v>
      </c>
      <c r="I494" s="10" t="s">
        <v>25</v>
      </c>
      <c r="J494" s="11">
        <v>1.69037424E8</v>
      </c>
      <c r="K494" s="11">
        <v>0.0</v>
      </c>
    </row>
    <row r="495">
      <c r="A495" s="5" t="s">
        <v>74</v>
      </c>
      <c r="B495" s="6" t="s">
        <v>212</v>
      </c>
      <c r="C495" s="7" t="s">
        <v>213</v>
      </c>
      <c r="D495" s="8">
        <v>1.0</v>
      </c>
      <c r="E495" s="7" t="s">
        <v>22</v>
      </c>
      <c r="F495" s="5" t="s">
        <v>146</v>
      </c>
      <c r="G495" s="9">
        <v>9.00422E7</v>
      </c>
      <c r="H495" s="5" t="s">
        <v>73</v>
      </c>
      <c r="I495" s="10" t="s">
        <v>60</v>
      </c>
      <c r="J495" s="11">
        <v>8.8449162E7</v>
      </c>
      <c r="K495" s="11">
        <v>0.0</v>
      </c>
    </row>
    <row r="496">
      <c r="A496" s="5" t="s">
        <v>74</v>
      </c>
      <c r="B496" s="6" t="s">
        <v>212</v>
      </c>
      <c r="C496" s="7" t="s">
        <v>213</v>
      </c>
      <c r="D496" s="8">
        <v>1.0</v>
      </c>
      <c r="E496" s="7" t="s">
        <v>22</v>
      </c>
      <c r="F496" s="5" t="s">
        <v>146</v>
      </c>
      <c r="G496" s="9">
        <v>9.0042223E7</v>
      </c>
      <c r="H496" s="5" t="s">
        <v>61</v>
      </c>
      <c r="I496" s="10" t="s">
        <v>60</v>
      </c>
      <c r="J496" s="11">
        <v>1.6311644E7</v>
      </c>
      <c r="K496" s="11">
        <v>0.0</v>
      </c>
    </row>
    <row r="497">
      <c r="A497" s="5" t="s">
        <v>74</v>
      </c>
      <c r="B497" s="6" t="s">
        <v>212</v>
      </c>
      <c r="C497" s="7" t="s">
        <v>213</v>
      </c>
      <c r="D497" s="8">
        <v>1.0</v>
      </c>
      <c r="E497" s="7" t="s">
        <v>22</v>
      </c>
      <c r="F497" s="5" t="s">
        <v>146</v>
      </c>
      <c r="G497" s="9">
        <v>9.0042224E7</v>
      </c>
      <c r="H497" s="5" t="s">
        <v>62</v>
      </c>
      <c r="I497" s="10" t="s">
        <v>60</v>
      </c>
      <c r="J497" s="11">
        <v>1.068924E7</v>
      </c>
      <c r="K497" s="11">
        <v>0.0</v>
      </c>
    </row>
    <row r="498">
      <c r="A498" s="5" t="s">
        <v>74</v>
      </c>
      <c r="B498" s="6" t="s">
        <v>212</v>
      </c>
      <c r="C498" s="7" t="s">
        <v>213</v>
      </c>
      <c r="D498" s="8">
        <v>1.0</v>
      </c>
      <c r="E498" s="7" t="s">
        <v>22</v>
      </c>
      <c r="F498" s="5" t="s">
        <v>146</v>
      </c>
      <c r="G498" s="9">
        <v>9.0042225E7</v>
      </c>
      <c r="H498" s="5" t="s">
        <v>147</v>
      </c>
      <c r="I498" s="10" t="s">
        <v>60</v>
      </c>
      <c r="J498" s="11">
        <v>2400083.0</v>
      </c>
      <c r="K498" s="11">
        <v>0.0</v>
      </c>
    </row>
    <row r="499">
      <c r="A499" s="5" t="s">
        <v>74</v>
      </c>
      <c r="B499" s="6" t="s">
        <v>212</v>
      </c>
      <c r="C499" s="7" t="s">
        <v>213</v>
      </c>
      <c r="D499" s="8">
        <v>1.0</v>
      </c>
      <c r="E499" s="7" t="s">
        <v>22</v>
      </c>
      <c r="F499" s="5" t="s">
        <v>146</v>
      </c>
      <c r="G499" s="9">
        <v>9.0042226E7</v>
      </c>
      <c r="H499" s="5" t="s">
        <v>63</v>
      </c>
      <c r="I499" s="10" t="s">
        <v>60</v>
      </c>
      <c r="J499" s="11">
        <v>294999.0</v>
      </c>
      <c r="K499" s="11">
        <v>0.0</v>
      </c>
    </row>
    <row r="500">
      <c r="A500" s="5" t="s">
        <v>74</v>
      </c>
      <c r="B500" s="6" t="s">
        <v>212</v>
      </c>
      <c r="C500" s="7" t="s">
        <v>213</v>
      </c>
      <c r="D500" s="8">
        <v>1.0</v>
      </c>
      <c r="E500" s="7" t="s">
        <v>22</v>
      </c>
      <c r="F500" s="5" t="s">
        <v>146</v>
      </c>
      <c r="G500" s="9">
        <v>9.0042228E7</v>
      </c>
      <c r="H500" s="5" t="s">
        <v>64</v>
      </c>
      <c r="I500" s="10" t="s">
        <v>60</v>
      </c>
      <c r="J500" s="11">
        <v>1.07609321E8</v>
      </c>
      <c r="K500" s="11">
        <v>0.0</v>
      </c>
    </row>
    <row r="501">
      <c r="A501" s="5" t="s">
        <v>74</v>
      </c>
      <c r="B501" s="6" t="s">
        <v>212</v>
      </c>
      <c r="C501" s="7" t="s">
        <v>213</v>
      </c>
      <c r="D501" s="8">
        <v>1.0</v>
      </c>
      <c r="E501" s="7" t="s">
        <v>22</v>
      </c>
      <c r="F501" s="5" t="s">
        <v>146</v>
      </c>
      <c r="G501" s="9">
        <v>9.0042231E7</v>
      </c>
      <c r="H501" s="5" t="s">
        <v>65</v>
      </c>
      <c r="I501" s="10" t="s">
        <v>60</v>
      </c>
      <c r="J501" s="11">
        <v>6521693.0</v>
      </c>
      <c r="K501" s="11">
        <v>0.0</v>
      </c>
    </row>
    <row r="502">
      <c r="A502" s="5" t="s">
        <v>74</v>
      </c>
      <c r="B502" s="6" t="s">
        <v>212</v>
      </c>
      <c r="C502" s="7" t="s">
        <v>213</v>
      </c>
      <c r="D502" s="8">
        <v>1.0</v>
      </c>
      <c r="E502" s="7" t="s">
        <v>22</v>
      </c>
      <c r="F502" s="5" t="s">
        <v>146</v>
      </c>
      <c r="G502" s="9">
        <v>9.0042126E7</v>
      </c>
      <c r="H502" s="5" t="s">
        <v>31</v>
      </c>
      <c r="I502" s="10" t="s">
        <v>25</v>
      </c>
      <c r="J502" s="11">
        <v>2.231785E7</v>
      </c>
      <c r="K502" s="11">
        <v>0.0</v>
      </c>
    </row>
    <row r="503">
      <c r="A503" s="5" t="s">
        <v>74</v>
      </c>
      <c r="B503" s="6" t="s">
        <v>212</v>
      </c>
      <c r="C503" s="7" t="s">
        <v>213</v>
      </c>
      <c r="D503" s="8">
        <v>1.0</v>
      </c>
      <c r="E503" s="7" t="s">
        <v>22</v>
      </c>
      <c r="F503" s="5" t="s">
        <v>146</v>
      </c>
      <c r="G503" s="9">
        <v>9.0042145E7</v>
      </c>
      <c r="H503" s="5" t="s">
        <v>215</v>
      </c>
      <c r="I503" s="10" t="s">
        <v>25</v>
      </c>
      <c r="J503" s="11">
        <v>356000.0</v>
      </c>
      <c r="K503" s="11">
        <v>0.0</v>
      </c>
    </row>
    <row r="504">
      <c r="A504" s="5" t="s">
        <v>74</v>
      </c>
      <c r="B504" s="6" t="s">
        <v>212</v>
      </c>
      <c r="C504" s="7" t="s">
        <v>213</v>
      </c>
      <c r="D504" s="8">
        <v>1.0</v>
      </c>
      <c r="E504" s="13">
        <v>46097.0</v>
      </c>
      <c r="F504" s="5" t="s">
        <v>216</v>
      </c>
      <c r="G504" s="9">
        <v>5.1101056E7</v>
      </c>
      <c r="H504" s="5" t="s">
        <v>16</v>
      </c>
      <c r="I504" s="10" t="s">
        <v>17</v>
      </c>
      <c r="J504" s="11">
        <v>4840000.0</v>
      </c>
      <c r="K504" s="11">
        <v>44000.0</v>
      </c>
    </row>
    <row r="505">
      <c r="A505" s="5" t="s">
        <v>74</v>
      </c>
      <c r="B505" s="6" t="s">
        <v>212</v>
      </c>
      <c r="C505" s="7" t="s">
        <v>213</v>
      </c>
      <c r="D505" s="8">
        <v>1.0</v>
      </c>
      <c r="E505" s="13">
        <v>46069.0</v>
      </c>
      <c r="F505" s="5" t="s">
        <v>217</v>
      </c>
      <c r="G505" s="9">
        <v>5.1100153E7</v>
      </c>
      <c r="H505" s="5" t="s">
        <v>72</v>
      </c>
      <c r="I505" s="10" t="s">
        <v>25</v>
      </c>
      <c r="J505" s="11">
        <v>0.0</v>
      </c>
      <c r="K505" s="11">
        <v>0.0</v>
      </c>
    </row>
    <row r="506">
      <c r="A506" s="5" t="s">
        <v>74</v>
      </c>
      <c r="B506" s="6" t="s">
        <v>212</v>
      </c>
      <c r="C506" s="7" t="s">
        <v>213</v>
      </c>
      <c r="D506" s="8">
        <v>1.0</v>
      </c>
      <c r="E506" s="13">
        <v>46069.0</v>
      </c>
      <c r="F506" s="5" t="s">
        <v>217</v>
      </c>
      <c r="G506" s="9">
        <v>5.1100153E7</v>
      </c>
      <c r="H506" s="5" t="s">
        <v>72</v>
      </c>
      <c r="I506" s="10" t="s">
        <v>17</v>
      </c>
      <c r="J506" s="11">
        <v>3769694.0</v>
      </c>
      <c r="K506" s="11">
        <v>3668.0</v>
      </c>
    </row>
    <row r="507">
      <c r="A507" s="5" t="s">
        <v>74</v>
      </c>
      <c r="B507" s="6" t="s">
        <v>212</v>
      </c>
      <c r="C507" s="7" t="s">
        <v>213</v>
      </c>
      <c r="D507" s="8">
        <v>1.0</v>
      </c>
      <c r="E507" s="13">
        <v>46069.0</v>
      </c>
      <c r="F507" s="5" t="s">
        <v>217</v>
      </c>
      <c r="G507" s="9">
        <v>5.1101056E7</v>
      </c>
      <c r="H507" s="5" t="s">
        <v>16</v>
      </c>
      <c r="I507" s="10" t="s">
        <v>25</v>
      </c>
      <c r="J507" s="11">
        <v>0.0</v>
      </c>
      <c r="K507" s="11">
        <v>0.0</v>
      </c>
    </row>
    <row r="508">
      <c r="A508" s="5" t="s">
        <v>74</v>
      </c>
      <c r="B508" s="6" t="s">
        <v>212</v>
      </c>
      <c r="C508" s="7" t="s">
        <v>213</v>
      </c>
      <c r="D508" s="8">
        <v>1.0</v>
      </c>
      <c r="E508" s="13">
        <v>46069.0</v>
      </c>
      <c r="F508" s="5" t="s">
        <v>217</v>
      </c>
      <c r="G508" s="9">
        <v>5.1101999E7</v>
      </c>
      <c r="H508" s="5" t="s">
        <v>107</v>
      </c>
      <c r="I508" s="10" t="s">
        <v>25</v>
      </c>
      <c r="J508" s="11">
        <v>0.0</v>
      </c>
      <c r="K508" s="11">
        <v>0.0</v>
      </c>
    </row>
    <row r="509">
      <c r="A509" s="5" t="s">
        <v>74</v>
      </c>
      <c r="B509" s="6" t="s">
        <v>212</v>
      </c>
      <c r="C509" s="7" t="s">
        <v>213</v>
      </c>
      <c r="D509" s="8">
        <v>1.0</v>
      </c>
      <c r="E509" s="13">
        <v>46069.0</v>
      </c>
      <c r="F509" s="5" t="s">
        <v>217</v>
      </c>
      <c r="G509" s="9">
        <v>9.0043002E7</v>
      </c>
      <c r="H509" s="5" t="s">
        <v>49</v>
      </c>
      <c r="I509" s="10" t="s">
        <v>50</v>
      </c>
      <c r="J509" s="11">
        <v>3485564.0</v>
      </c>
      <c r="K509" s="11">
        <v>154.0</v>
      </c>
    </row>
    <row r="510">
      <c r="A510" s="5" t="s">
        <v>74</v>
      </c>
      <c r="B510" s="6" t="s">
        <v>212</v>
      </c>
      <c r="C510" s="7" t="s">
        <v>213</v>
      </c>
      <c r="D510" s="8">
        <v>1.0</v>
      </c>
      <c r="E510" s="7" t="s">
        <v>218</v>
      </c>
      <c r="F510" s="5" t="s">
        <v>219</v>
      </c>
      <c r="G510" s="9">
        <v>9.0043001E7</v>
      </c>
      <c r="H510" s="5" t="s">
        <v>18</v>
      </c>
      <c r="I510" s="10" t="s">
        <v>19</v>
      </c>
      <c r="J510" s="11">
        <v>1.3317324E7</v>
      </c>
      <c r="K510" s="11">
        <v>102.0</v>
      </c>
    </row>
    <row r="511">
      <c r="A511" s="5" t="s">
        <v>74</v>
      </c>
      <c r="B511" s="6" t="s">
        <v>220</v>
      </c>
      <c r="C511" s="7" t="s">
        <v>221</v>
      </c>
      <c r="D511" s="8">
        <v>1.0</v>
      </c>
      <c r="E511" s="7" t="s">
        <v>222</v>
      </c>
      <c r="F511" s="5" t="s">
        <v>223</v>
      </c>
      <c r="G511" s="9">
        <v>5.1100153E7</v>
      </c>
      <c r="H511" s="5" t="s">
        <v>72</v>
      </c>
      <c r="I511" s="10" t="s">
        <v>17</v>
      </c>
      <c r="J511" s="11">
        <v>4218110.0</v>
      </c>
      <c r="K511" s="11">
        <v>15390.0</v>
      </c>
    </row>
    <row r="512">
      <c r="A512" s="5" t="s">
        <v>74</v>
      </c>
      <c r="B512" s="6" t="s">
        <v>220</v>
      </c>
      <c r="C512" s="7" t="s">
        <v>221</v>
      </c>
      <c r="D512" s="8">
        <v>1.0</v>
      </c>
      <c r="E512" s="7" t="s">
        <v>79</v>
      </c>
      <c r="F512" s="5" t="s">
        <v>80</v>
      </c>
      <c r="G512" s="9">
        <v>9.0043001E7</v>
      </c>
      <c r="H512" s="5" t="s">
        <v>18</v>
      </c>
      <c r="I512" s="10" t="s">
        <v>19</v>
      </c>
      <c r="J512" s="11">
        <v>1.0859219E7</v>
      </c>
      <c r="K512" s="11">
        <v>73.0</v>
      </c>
    </row>
    <row r="513">
      <c r="A513" s="5" t="s">
        <v>74</v>
      </c>
      <c r="B513" s="6" t="s">
        <v>220</v>
      </c>
      <c r="C513" s="7" t="s">
        <v>221</v>
      </c>
      <c r="D513" s="8">
        <v>1.0</v>
      </c>
      <c r="E513" s="7" t="s">
        <v>81</v>
      </c>
      <c r="F513" s="5" t="s">
        <v>82</v>
      </c>
      <c r="G513" s="9">
        <v>9.0043001E7</v>
      </c>
      <c r="H513" s="5" t="s">
        <v>18</v>
      </c>
      <c r="I513" s="10" t="s">
        <v>19</v>
      </c>
      <c r="J513" s="11">
        <v>1.9986602E7</v>
      </c>
      <c r="K513" s="11">
        <v>133.0</v>
      </c>
    </row>
    <row r="514">
      <c r="A514" s="5" t="s">
        <v>74</v>
      </c>
      <c r="B514" s="6" t="s">
        <v>220</v>
      </c>
      <c r="C514" s="7" t="s">
        <v>221</v>
      </c>
      <c r="D514" s="8">
        <v>1.0</v>
      </c>
      <c r="E514" s="7" t="s">
        <v>84</v>
      </c>
      <c r="F514" s="5" t="s">
        <v>85</v>
      </c>
      <c r="G514" s="9">
        <v>9.0043001E7</v>
      </c>
      <c r="H514" s="5" t="s">
        <v>18</v>
      </c>
      <c r="I514" s="10" t="s">
        <v>19</v>
      </c>
      <c r="J514" s="11">
        <v>1.203264E7</v>
      </c>
      <c r="K514" s="11">
        <v>72.0</v>
      </c>
    </row>
    <row r="515">
      <c r="A515" s="5" t="s">
        <v>74</v>
      </c>
      <c r="B515" s="6" t="s">
        <v>220</v>
      </c>
      <c r="C515" s="7" t="s">
        <v>221</v>
      </c>
      <c r="D515" s="8">
        <v>1.0</v>
      </c>
      <c r="E515" s="7" t="s">
        <v>88</v>
      </c>
      <c r="F515" s="5" t="s">
        <v>89</v>
      </c>
      <c r="G515" s="9">
        <v>5.1100651E7</v>
      </c>
      <c r="H515" s="5" t="s">
        <v>38</v>
      </c>
      <c r="I515" s="10" t="s">
        <v>25</v>
      </c>
      <c r="J515" s="11">
        <v>1.0</v>
      </c>
      <c r="K515" s="11">
        <v>0.0</v>
      </c>
    </row>
    <row r="516">
      <c r="A516" s="5" t="s">
        <v>74</v>
      </c>
      <c r="B516" s="6" t="s">
        <v>220</v>
      </c>
      <c r="C516" s="7" t="s">
        <v>221</v>
      </c>
      <c r="D516" s="8">
        <v>1.0</v>
      </c>
      <c r="E516" s="7" t="s">
        <v>224</v>
      </c>
      <c r="F516" s="5" t="s">
        <v>225</v>
      </c>
      <c r="G516" s="9">
        <v>5.1100651E7</v>
      </c>
      <c r="H516" s="5" t="s">
        <v>38</v>
      </c>
      <c r="I516" s="10" t="s">
        <v>25</v>
      </c>
      <c r="J516" s="11">
        <v>2.0</v>
      </c>
      <c r="K516" s="11">
        <v>0.0</v>
      </c>
    </row>
    <row r="517">
      <c r="A517" s="5" t="s">
        <v>74</v>
      </c>
      <c r="B517" s="6" t="s">
        <v>220</v>
      </c>
      <c r="C517" s="7" t="s">
        <v>221</v>
      </c>
      <c r="D517" s="8">
        <v>1.0</v>
      </c>
      <c r="E517" s="7" t="s">
        <v>91</v>
      </c>
      <c r="F517" s="5" t="s">
        <v>92</v>
      </c>
      <c r="G517" s="9">
        <v>9.0043001E7</v>
      </c>
      <c r="H517" s="5" t="s">
        <v>18</v>
      </c>
      <c r="I517" s="10" t="s">
        <v>19</v>
      </c>
      <c r="J517" s="11">
        <v>1.5656075E7</v>
      </c>
      <c r="K517" s="11">
        <v>100.0</v>
      </c>
    </row>
    <row r="518">
      <c r="A518" s="5" t="s">
        <v>74</v>
      </c>
      <c r="B518" s="6" t="s">
        <v>220</v>
      </c>
      <c r="C518" s="7" t="s">
        <v>221</v>
      </c>
      <c r="D518" s="8">
        <v>1.0</v>
      </c>
      <c r="E518" s="7" t="s">
        <v>226</v>
      </c>
      <c r="F518" s="5" t="s">
        <v>227</v>
      </c>
      <c r="G518" s="9">
        <v>5.1100003E7</v>
      </c>
      <c r="H518" s="5" t="s">
        <v>228</v>
      </c>
      <c r="I518" s="10" t="s">
        <v>37</v>
      </c>
      <c r="J518" s="11">
        <v>2500000.0</v>
      </c>
      <c r="K518" s="11">
        <v>8.0</v>
      </c>
    </row>
    <row r="519">
      <c r="A519" s="5" t="s">
        <v>74</v>
      </c>
      <c r="B519" s="6" t="s">
        <v>220</v>
      </c>
      <c r="C519" s="7" t="s">
        <v>221</v>
      </c>
      <c r="D519" s="8">
        <v>1.0</v>
      </c>
      <c r="E519" s="7" t="s">
        <v>95</v>
      </c>
      <c r="F519" s="5" t="s">
        <v>96</v>
      </c>
      <c r="G519" s="9">
        <v>5.1100058E7</v>
      </c>
      <c r="H519" s="5" t="s">
        <v>36</v>
      </c>
      <c r="I519" s="10" t="s">
        <v>37</v>
      </c>
      <c r="J519" s="11">
        <v>3.7282323E7</v>
      </c>
      <c r="K519" s="11">
        <v>559.908</v>
      </c>
    </row>
    <row r="520">
      <c r="A520" s="5" t="s">
        <v>74</v>
      </c>
      <c r="B520" s="6" t="s">
        <v>220</v>
      </c>
      <c r="C520" s="7" t="s">
        <v>221</v>
      </c>
      <c r="D520" s="8">
        <v>1.0</v>
      </c>
      <c r="E520" s="7" t="s">
        <v>95</v>
      </c>
      <c r="F520" s="5" t="s">
        <v>96</v>
      </c>
      <c r="G520" s="9">
        <v>9.0043001E7</v>
      </c>
      <c r="H520" s="5" t="s">
        <v>18</v>
      </c>
      <c r="I520" s="10" t="s">
        <v>19</v>
      </c>
      <c r="J520" s="11">
        <v>1.7905528E7</v>
      </c>
      <c r="K520" s="11">
        <v>116.0</v>
      </c>
    </row>
    <row r="521">
      <c r="A521" s="5" t="s">
        <v>74</v>
      </c>
      <c r="B521" s="6" t="s">
        <v>220</v>
      </c>
      <c r="C521" s="7" t="s">
        <v>221</v>
      </c>
      <c r="D521" s="8">
        <v>1.0</v>
      </c>
      <c r="E521" s="7" t="s">
        <v>95</v>
      </c>
      <c r="F521" s="5" t="s">
        <v>96</v>
      </c>
      <c r="G521" s="9">
        <v>5.1100774E7</v>
      </c>
      <c r="H521" s="5" t="s">
        <v>39</v>
      </c>
      <c r="I521" s="10" t="s">
        <v>17</v>
      </c>
      <c r="J521" s="11">
        <v>3.5839054E7</v>
      </c>
      <c r="K521" s="11">
        <v>529.85</v>
      </c>
    </row>
    <row r="522">
      <c r="A522" s="5" t="s">
        <v>74</v>
      </c>
      <c r="B522" s="6" t="s">
        <v>220</v>
      </c>
      <c r="C522" s="7" t="s">
        <v>221</v>
      </c>
      <c r="D522" s="8">
        <v>1.0</v>
      </c>
      <c r="E522" s="7" t="s">
        <v>97</v>
      </c>
      <c r="F522" s="5" t="s">
        <v>98</v>
      </c>
      <c r="G522" s="9">
        <v>5.1100651E7</v>
      </c>
      <c r="H522" s="5" t="s">
        <v>38</v>
      </c>
      <c r="I522" s="10" t="s">
        <v>25</v>
      </c>
      <c r="J522" s="11">
        <v>-168.0</v>
      </c>
      <c r="K522" s="11">
        <v>0.0</v>
      </c>
    </row>
    <row r="523">
      <c r="A523" s="5" t="s">
        <v>74</v>
      </c>
      <c r="B523" s="6" t="s">
        <v>220</v>
      </c>
      <c r="C523" s="7" t="s">
        <v>221</v>
      </c>
      <c r="D523" s="8">
        <v>1.0</v>
      </c>
      <c r="E523" s="7" t="s">
        <v>99</v>
      </c>
      <c r="F523" s="5" t="s">
        <v>100</v>
      </c>
      <c r="G523" s="9">
        <v>9.0043001E7</v>
      </c>
      <c r="H523" s="5" t="s">
        <v>18</v>
      </c>
      <c r="I523" s="10" t="s">
        <v>19</v>
      </c>
      <c r="J523" s="11">
        <v>2.1275333E7</v>
      </c>
      <c r="K523" s="11">
        <v>139.0</v>
      </c>
    </row>
    <row r="524">
      <c r="A524" s="5" t="s">
        <v>74</v>
      </c>
      <c r="B524" s="6" t="s">
        <v>220</v>
      </c>
      <c r="C524" s="7" t="s">
        <v>221</v>
      </c>
      <c r="D524" s="8">
        <v>1.0</v>
      </c>
      <c r="E524" s="7" t="s">
        <v>101</v>
      </c>
      <c r="F524" s="5" t="s">
        <v>102</v>
      </c>
      <c r="G524" s="9">
        <v>9.0043001E7</v>
      </c>
      <c r="H524" s="5" t="s">
        <v>18</v>
      </c>
      <c r="I524" s="10" t="s">
        <v>19</v>
      </c>
      <c r="J524" s="11">
        <v>3.8549181E7</v>
      </c>
      <c r="K524" s="11">
        <v>257.0</v>
      </c>
    </row>
    <row r="525">
      <c r="A525" s="5" t="s">
        <v>74</v>
      </c>
      <c r="B525" s="6" t="s">
        <v>220</v>
      </c>
      <c r="C525" s="7" t="s">
        <v>221</v>
      </c>
      <c r="D525" s="8">
        <v>1.0</v>
      </c>
      <c r="E525" s="7" t="s">
        <v>101</v>
      </c>
      <c r="F525" s="5" t="s">
        <v>102</v>
      </c>
      <c r="G525" s="9">
        <v>5.1100774E7</v>
      </c>
      <c r="H525" s="5" t="s">
        <v>39</v>
      </c>
      <c r="I525" s="10" t="s">
        <v>17</v>
      </c>
      <c r="J525" s="11">
        <v>4.1936955E7</v>
      </c>
      <c r="K525" s="11">
        <v>155.0</v>
      </c>
    </row>
    <row r="526">
      <c r="A526" s="5" t="s">
        <v>74</v>
      </c>
      <c r="B526" s="6" t="s">
        <v>220</v>
      </c>
      <c r="C526" s="7" t="s">
        <v>221</v>
      </c>
      <c r="D526" s="8">
        <v>1.0</v>
      </c>
      <c r="E526" s="7" t="s">
        <v>103</v>
      </c>
      <c r="F526" s="5" t="s">
        <v>104</v>
      </c>
      <c r="G526" s="9">
        <v>5.1100058E7</v>
      </c>
      <c r="H526" s="5" t="s">
        <v>36</v>
      </c>
      <c r="I526" s="10" t="s">
        <v>37</v>
      </c>
      <c r="J526" s="11">
        <v>1.5395679E7</v>
      </c>
      <c r="K526" s="11">
        <v>228.63</v>
      </c>
    </row>
    <row r="527">
      <c r="A527" s="5" t="s">
        <v>74</v>
      </c>
      <c r="B527" s="6" t="s">
        <v>220</v>
      </c>
      <c r="C527" s="7" t="s">
        <v>221</v>
      </c>
      <c r="D527" s="8">
        <v>1.0</v>
      </c>
      <c r="E527" s="7" t="s">
        <v>103</v>
      </c>
      <c r="F527" s="5" t="s">
        <v>104</v>
      </c>
      <c r="G527" s="9">
        <v>9.0043002E7</v>
      </c>
      <c r="H527" s="5" t="s">
        <v>49</v>
      </c>
      <c r="I527" s="10" t="s">
        <v>50</v>
      </c>
      <c r="J527" s="11">
        <v>2.4494336E7</v>
      </c>
      <c r="K527" s="11">
        <v>317.0</v>
      </c>
    </row>
    <row r="528">
      <c r="A528" s="5" t="s">
        <v>74</v>
      </c>
      <c r="B528" s="6" t="s">
        <v>220</v>
      </c>
      <c r="C528" s="7" t="s">
        <v>221</v>
      </c>
      <c r="D528" s="8">
        <v>1.0</v>
      </c>
      <c r="E528" s="7" t="s">
        <v>103</v>
      </c>
      <c r="F528" s="5" t="s">
        <v>104</v>
      </c>
      <c r="G528" s="9">
        <v>5.1100774E7</v>
      </c>
      <c r="H528" s="5" t="s">
        <v>39</v>
      </c>
      <c r="I528" s="10" t="s">
        <v>17</v>
      </c>
      <c r="J528" s="11">
        <v>3.9772467E7</v>
      </c>
      <c r="K528" s="11">
        <v>147.0</v>
      </c>
    </row>
    <row r="529">
      <c r="A529" s="5" t="s">
        <v>74</v>
      </c>
      <c r="B529" s="6" t="s">
        <v>220</v>
      </c>
      <c r="C529" s="7" t="s">
        <v>221</v>
      </c>
      <c r="D529" s="8">
        <v>1.0</v>
      </c>
      <c r="E529" s="7" t="s">
        <v>229</v>
      </c>
      <c r="F529" s="5" t="s">
        <v>230</v>
      </c>
      <c r="G529" s="9">
        <v>5.1100061E7</v>
      </c>
      <c r="H529" s="5" t="s">
        <v>42</v>
      </c>
      <c r="I529" s="10" t="s">
        <v>37</v>
      </c>
      <c r="J529" s="11">
        <v>4825039.0</v>
      </c>
      <c r="K529" s="11">
        <v>32.2</v>
      </c>
    </row>
    <row r="530">
      <c r="A530" s="5" t="s">
        <v>74</v>
      </c>
      <c r="B530" s="6" t="s">
        <v>220</v>
      </c>
      <c r="C530" s="7" t="s">
        <v>221</v>
      </c>
      <c r="D530" s="8">
        <v>1.0</v>
      </c>
      <c r="E530" s="7" t="s">
        <v>229</v>
      </c>
      <c r="F530" s="5" t="s">
        <v>230</v>
      </c>
      <c r="G530" s="9">
        <v>9.0043001E7</v>
      </c>
      <c r="H530" s="5" t="s">
        <v>18</v>
      </c>
      <c r="I530" s="10" t="s">
        <v>19</v>
      </c>
      <c r="J530" s="11">
        <v>1.1016166E7</v>
      </c>
      <c r="K530" s="11">
        <v>70.0</v>
      </c>
    </row>
    <row r="531">
      <c r="A531" s="5" t="s">
        <v>74</v>
      </c>
      <c r="B531" s="6" t="s">
        <v>220</v>
      </c>
      <c r="C531" s="7" t="s">
        <v>221</v>
      </c>
      <c r="D531" s="8">
        <v>1.0</v>
      </c>
      <c r="E531" s="7" t="s">
        <v>158</v>
      </c>
      <c r="F531" s="5" t="s">
        <v>159</v>
      </c>
      <c r="G531" s="9">
        <v>9.0043001E7</v>
      </c>
      <c r="H531" s="5" t="s">
        <v>18</v>
      </c>
      <c r="I531" s="10" t="s">
        <v>19</v>
      </c>
      <c r="J531" s="11">
        <v>1.2287834E7</v>
      </c>
      <c r="K531" s="11">
        <v>75.0</v>
      </c>
    </row>
    <row r="532">
      <c r="A532" s="5" t="s">
        <v>74</v>
      </c>
      <c r="B532" s="6" t="s">
        <v>220</v>
      </c>
      <c r="C532" s="7" t="s">
        <v>221</v>
      </c>
      <c r="D532" s="8">
        <v>1.0</v>
      </c>
      <c r="E532" s="7" t="s">
        <v>123</v>
      </c>
      <c r="F532" s="5" t="s">
        <v>124</v>
      </c>
      <c r="G532" s="9">
        <v>5.1100774E7</v>
      </c>
      <c r="H532" s="5" t="s">
        <v>39</v>
      </c>
      <c r="I532" s="10" t="s">
        <v>17</v>
      </c>
      <c r="J532" s="11">
        <v>8.38125E7</v>
      </c>
      <c r="K532" s="11">
        <v>22350.0</v>
      </c>
    </row>
    <row r="533">
      <c r="A533" s="5" t="s">
        <v>74</v>
      </c>
      <c r="B533" s="6" t="s">
        <v>220</v>
      </c>
      <c r="C533" s="7" t="s">
        <v>221</v>
      </c>
      <c r="D533" s="8">
        <v>1.0</v>
      </c>
      <c r="E533" s="7" t="s">
        <v>160</v>
      </c>
      <c r="F533" s="5" t="s">
        <v>161</v>
      </c>
      <c r="G533" s="9">
        <v>9.0043001E7</v>
      </c>
      <c r="H533" s="5" t="s">
        <v>18</v>
      </c>
      <c r="I533" s="10" t="s">
        <v>19</v>
      </c>
      <c r="J533" s="11">
        <v>1.2448416E7</v>
      </c>
      <c r="K533" s="11">
        <v>81.0</v>
      </c>
    </row>
    <row r="534">
      <c r="A534" s="5" t="s">
        <v>74</v>
      </c>
      <c r="B534" s="6" t="s">
        <v>220</v>
      </c>
      <c r="C534" s="7" t="s">
        <v>221</v>
      </c>
      <c r="D534" s="8">
        <v>1.0</v>
      </c>
      <c r="E534" s="7" t="s">
        <v>125</v>
      </c>
      <c r="F534" s="5" t="s">
        <v>126</v>
      </c>
      <c r="G534" s="9">
        <v>5.1100064E7</v>
      </c>
      <c r="H534" s="5" t="s">
        <v>53</v>
      </c>
      <c r="I534" s="10" t="s">
        <v>25</v>
      </c>
      <c r="J534" s="11">
        <v>1.9175715E7</v>
      </c>
      <c r="K534" s="11">
        <v>0.0</v>
      </c>
    </row>
    <row r="535">
      <c r="A535" s="5" t="s">
        <v>74</v>
      </c>
      <c r="B535" s="6" t="s">
        <v>220</v>
      </c>
      <c r="C535" s="7" t="s">
        <v>221</v>
      </c>
      <c r="D535" s="8">
        <v>1.0</v>
      </c>
      <c r="E535" s="7" t="s">
        <v>125</v>
      </c>
      <c r="F535" s="5" t="s">
        <v>126</v>
      </c>
      <c r="G535" s="9">
        <v>5.1101056E7</v>
      </c>
      <c r="H535" s="5" t="s">
        <v>16</v>
      </c>
      <c r="I535" s="10" t="s">
        <v>17</v>
      </c>
      <c r="J535" s="11">
        <v>5.0232345E7</v>
      </c>
      <c r="K535" s="11">
        <v>366546.0</v>
      </c>
    </row>
    <row r="536">
      <c r="A536" s="5" t="s">
        <v>74</v>
      </c>
      <c r="B536" s="6" t="s">
        <v>220</v>
      </c>
      <c r="C536" s="7" t="s">
        <v>221</v>
      </c>
      <c r="D536" s="8">
        <v>1.0</v>
      </c>
      <c r="E536" s="7" t="s">
        <v>127</v>
      </c>
      <c r="F536" s="5" t="s">
        <v>128</v>
      </c>
      <c r="G536" s="9">
        <v>5.1100153E7</v>
      </c>
      <c r="H536" s="5" t="s">
        <v>72</v>
      </c>
      <c r="I536" s="10" t="s">
        <v>17</v>
      </c>
      <c r="J536" s="11">
        <v>2.8724988E8</v>
      </c>
      <c r="K536" s="11">
        <v>1032480.0</v>
      </c>
    </row>
    <row r="537">
      <c r="A537" s="5" t="s">
        <v>74</v>
      </c>
      <c r="B537" s="6" t="s">
        <v>220</v>
      </c>
      <c r="C537" s="7" t="s">
        <v>221</v>
      </c>
      <c r="D537" s="8">
        <v>1.0</v>
      </c>
      <c r="E537" s="7" t="s">
        <v>129</v>
      </c>
      <c r="F537" s="5" t="s">
        <v>130</v>
      </c>
      <c r="G537" s="9">
        <v>5.1101056E7</v>
      </c>
      <c r="H537" s="5" t="s">
        <v>16</v>
      </c>
      <c r="I537" s="10" t="s">
        <v>17</v>
      </c>
      <c r="J537" s="11">
        <v>2.752997E7</v>
      </c>
      <c r="K537" s="11">
        <v>647764.0</v>
      </c>
    </row>
    <row r="538">
      <c r="A538" s="5" t="s">
        <v>74</v>
      </c>
      <c r="B538" s="6" t="s">
        <v>220</v>
      </c>
      <c r="C538" s="7" t="s">
        <v>221</v>
      </c>
      <c r="D538" s="8">
        <v>1.0</v>
      </c>
      <c r="E538" s="7" t="s">
        <v>135</v>
      </c>
      <c r="F538" s="5" t="s">
        <v>136</v>
      </c>
      <c r="G538" s="9">
        <v>9.0043001E7</v>
      </c>
      <c r="H538" s="5" t="s">
        <v>18</v>
      </c>
      <c r="I538" s="10" t="s">
        <v>19</v>
      </c>
      <c r="J538" s="11">
        <v>1.68828014E8</v>
      </c>
      <c r="K538" s="11">
        <v>1091.0</v>
      </c>
    </row>
    <row r="539">
      <c r="A539" s="5" t="s">
        <v>74</v>
      </c>
      <c r="B539" s="6" t="s">
        <v>220</v>
      </c>
      <c r="C539" s="7" t="s">
        <v>221</v>
      </c>
      <c r="D539" s="8">
        <v>1.0</v>
      </c>
      <c r="E539" s="7" t="s">
        <v>54</v>
      </c>
      <c r="F539" s="5" t="s">
        <v>139</v>
      </c>
      <c r="G539" s="9">
        <v>9.0042011E7</v>
      </c>
      <c r="H539" s="5" t="s">
        <v>55</v>
      </c>
      <c r="I539" s="10" t="s">
        <v>19</v>
      </c>
      <c r="J539" s="11">
        <v>2.81698069E8</v>
      </c>
      <c r="K539" s="11">
        <v>0.0</v>
      </c>
    </row>
    <row r="540">
      <c r="A540" s="5" t="s">
        <v>74</v>
      </c>
      <c r="B540" s="6" t="s">
        <v>220</v>
      </c>
      <c r="C540" s="7" t="s">
        <v>221</v>
      </c>
      <c r="D540" s="8">
        <v>1.0</v>
      </c>
      <c r="E540" s="7" t="s">
        <v>20</v>
      </c>
      <c r="F540" s="5" t="s">
        <v>140</v>
      </c>
      <c r="G540" s="9">
        <v>9.0042014E7</v>
      </c>
      <c r="H540" s="5" t="s">
        <v>21</v>
      </c>
      <c r="I540" s="10" t="s">
        <v>19</v>
      </c>
      <c r="J540" s="11">
        <v>2.43726617E8</v>
      </c>
      <c r="K540" s="11">
        <v>0.0</v>
      </c>
    </row>
    <row r="541">
      <c r="A541" s="5" t="s">
        <v>74</v>
      </c>
      <c r="B541" s="6" t="s">
        <v>220</v>
      </c>
      <c r="C541" s="7" t="s">
        <v>221</v>
      </c>
      <c r="D541" s="8">
        <v>1.0</v>
      </c>
      <c r="E541" s="7" t="s">
        <v>22</v>
      </c>
      <c r="F541" s="5" t="s">
        <v>146</v>
      </c>
      <c r="G541" s="9">
        <v>9.0042012E7</v>
      </c>
      <c r="H541" s="5" t="s">
        <v>23</v>
      </c>
      <c r="I541" s="10" t="s">
        <v>19</v>
      </c>
      <c r="J541" s="11">
        <v>1.58260379E8</v>
      </c>
      <c r="K541" s="11">
        <v>0.0</v>
      </c>
    </row>
    <row r="542">
      <c r="A542" s="5" t="s">
        <v>74</v>
      </c>
      <c r="B542" s="6" t="s">
        <v>220</v>
      </c>
      <c r="C542" s="7" t="s">
        <v>221</v>
      </c>
      <c r="D542" s="8">
        <v>1.0</v>
      </c>
      <c r="E542" s="7" t="s">
        <v>22</v>
      </c>
      <c r="F542" s="5" t="s">
        <v>146</v>
      </c>
      <c r="G542" s="9">
        <v>9.0042121E7</v>
      </c>
      <c r="H542" s="5" t="s">
        <v>24</v>
      </c>
      <c r="I542" s="10" t="s">
        <v>25</v>
      </c>
      <c r="J542" s="11">
        <v>1.7033291E7</v>
      </c>
      <c r="K542" s="11">
        <v>0.0</v>
      </c>
    </row>
    <row r="543">
      <c r="A543" s="5" t="s">
        <v>74</v>
      </c>
      <c r="B543" s="6" t="s">
        <v>220</v>
      </c>
      <c r="C543" s="7" t="s">
        <v>221</v>
      </c>
      <c r="D543" s="8">
        <v>1.0</v>
      </c>
      <c r="E543" s="7" t="s">
        <v>22</v>
      </c>
      <c r="F543" s="5" t="s">
        <v>146</v>
      </c>
      <c r="G543" s="9">
        <v>9.0042122E7</v>
      </c>
      <c r="H543" s="5" t="s">
        <v>56</v>
      </c>
      <c r="I543" s="10" t="s">
        <v>25</v>
      </c>
      <c r="J543" s="11">
        <v>1.8399892E7</v>
      </c>
      <c r="K543" s="11">
        <v>0.0</v>
      </c>
    </row>
    <row r="544">
      <c r="A544" s="5" t="s">
        <v>74</v>
      </c>
      <c r="B544" s="6" t="s">
        <v>220</v>
      </c>
      <c r="C544" s="7" t="s">
        <v>221</v>
      </c>
      <c r="D544" s="8">
        <v>1.0</v>
      </c>
      <c r="E544" s="7" t="s">
        <v>22</v>
      </c>
      <c r="F544" s="5" t="s">
        <v>146</v>
      </c>
      <c r="G544" s="9">
        <v>9.0042125E7</v>
      </c>
      <c r="H544" s="5" t="s">
        <v>26</v>
      </c>
      <c r="I544" s="10" t="s">
        <v>25</v>
      </c>
      <c r="J544" s="11">
        <v>5.8842709E7</v>
      </c>
      <c r="K544" s="11">
        <v>0.0</v>
      </c>
    </row>
    <row r="545">
      <c r="A545" s="5" t="s">
        <v>74</v>
      </c>
      <c r="B545" s="6" t="s">
        <v>220</v>
      </c>
      <c r="C545" s="7" t="s">
        <v>221</v>
      </c>
      <c r="D545" s="8">
        <v>1.0</v>
      </c>
      <c r="E545" s="7" t="s">
        <v>22</v>
      </c>
      <c r="F545" s="5" t="s">
        <v>146</v>
      </c>
      <c r="G545" s="9">
        <v>9.0042128E7</v>
      </c>
      <c r="H545" s="5" t="s">
        <v>58</v>
      </c>
      <c r="I545" s="10" t="s">
        <v>25</v>
      </c>
      <c r="J545" s="11">
        <v>2941725.0</v>
      </c>
      <c r="K545" s="11">
        <v>0.0</v>
      </c>
    </row>
    <row r="546">
      <c r="A546" s="5" t="s">
        <v>74</v>
      </c>
      <c r="B546" s="6" t="s">
        <v>220</v>
      </c>
      <c r="C546" s="7" t="s">
        <v>221</v>
      </c>
      <c r="D546" s="8">
        <v>1.0</v>
      </c>
      <c r="E546" s="7" t="s">
        <v>22</v>
      </c>
      <c r="F546" s="5" t="s">
        <v>146</v>
      </c>
      <c r="G546" s="9">
        <v>9.0042132E7</v>
      </c>
      <c r="H546" s="5" t="s">
        <v>28</v>
      </c>
      <c r="I546" s="10" t="s">
        <v>25</v>
      </c>
      <c r="J546" s="11">
        <v>5040098.0</v>
      </c>
      <c r="K546" s="11">
        <v>0.0</v>
      </c>
    </row>
    <row r="547">
      <c r="A547" s="5" t="s">
        <v>74</v>
      </c>
      <c r="B547" s="6" t="s">
        <v>220</v>
      </c>
      <c r="C547" s="7" t="s">
        <v>221</v>
      </c>
      <c r="D547" s="8">
        <v>1.0</v>
      </c>
      <c r="E547" s="7" t="s">
        <v>22</v>
      </c>
      <c r="F547" s="5" t="s">
        <v>146</v>
      </c>
      <c r="G547" s="9">
        <v>9.0042134E7</v>
      </c>
      <c r="H547" s="5" t="s">
        <v>29</v>
      </c>
      <c r="I547" s="10" t="s">
        <v>25</v>
      </c>
      <c r="J547" s="11">
        <v>1354405.0</v>
      </c>
      <c r="K547" s="11">
        <v>0.0</v>
      </c>
    </row>
    <row r="548">
      <c r="A548" s="5" t="s">
        <v>74</v>
      </c>
      <c r="B548" s="6" t="s">
        <v>220</v>
      </c>
      <c r="C548" s="7" t="s">
        <v>221</v>
      </c>
      <c r="D548" s="8">
        <v>1.0</v>
      </c>
      <c r="E548" s="7" t="s">
        <v>22</v>
      </c>
      <c r="F548" s="5" t="s">
        <v>146</v>
      </c>
      <c r="G548" s="9">
        <v>9.0042135E7</v>
      </c>
      <c r="H548" s="5" t="s">
        <v>30</v>
      </c>
      <c r="I548" s="10" t="s">
        <v>25</v>
      </c>
      <c r="J548" s="11">
        <v>1.65596854E8</v>
      </c>
      <c r="K548" s="11">
        <v>0.0</v>
      </c>
    </row>
    <row r="549">
      <c r="A549" s="5" t="s">
        <v>74</v>
      </c>
      <c r="B549" s="6" t="s">
        <v>220</v>
      </c>
      <c r="C549" s="7" t="s">
        <v>221</v>
      </c>
      <c r="D549" s="8">
        <v>1.0</v>
      </c>
      <c r="E549" s="7" t="s">
        <v>22</v>
      </c>
      <c r="F549" s="5" t="s">
        <v>146</v>
      </c>
      <c r="G549" s="9">
        <v>9.00422E7</v>
      </c>
      <c r="H549" s="5" t="s">
        <v>73</v>
      </c>
      <c r="I549" s="10" t="s">
        <v>60</v>
      </c>
      <c r="J549" s="11">
        <v>2.30018315E8</v>
      </c>
      <c r="K549" s="11">
        <v>0.0</v>
      </c>
    </row>
    <row r="550">
      <c r="A550" s="5" t="s">
        <v>74</v>
      </c>
      <c r="B550" s="6" t="s">
        <v>220</v>
      </c>
      <c r="C550" s="7" t="s">
        <v>221</v>
      </c>
      <c r="D550" s="8">
        <v>1.0</v>
      </c>
      <c r="E550" s="7" t="s">
        <v>22</v>
      </c>
      <c r="F550" s="5" t="s">
        <v>146</v>
      </c>
      <c r="G550" s="9">
        <v>9.0042223E7</v>
      </c>
      <c r="H550" s="5" t="s">
        <v>61</v>
      </c>
      <c r="I550" s="10" t="s">
        <v>60</v>
      </c>
      <c r="J550" s="11">
        <v>3019926.0</v>
      </c>
      <c r="K550" s="11">
        <v>0.0</v>
      </c>
    </row>
    <row r="551">
      <c r="A551" s="5" t="s">
        <v>74</v>
      </c>
      <c r="B551" s="6" t="s">
        <v>220</v>
      </c>
      <c r="C551" s="7" t="s">
        <v>221</v>
      </c>
      <c r="D551" s="8">
        <v>1.0</v>
      </c>
      <c r="E551" s="7" t="s">
        <v>22</v>
      </c>
      <c r="F551" s="5" t="s">
        <v>146</v>
      </c>
      <c r="G551" s="9">
        <v>9.0042226E7</v>
      </c>
      <c r="H551" s="5" t="s">
        <v>63</v>
      </c>
      <c r="I551" s="10" t="s">
        <v>60</v>
      </c>
      <c r="J551" s="11">
        <v>1025042.0</v>
      </c>
      <c r="K551" s="11">
        <v>0.0</v>
      </c>
    </row>
    <row r="552">
      <c r="A552" s="5" t="s">
        <v>74</v>
      </c>
      <c r="B552" s="6" t="s">
        <v>220</v>
      </c>
      <c r="C552" s="7" t="s">
        <v>221</v>
      </c>
      <c r="D552" s="8">
        <v>1.0</v>
      </c>
      <c r="E552" s="7" t="s">
        <v>22</v>
      </c>
      <c r="F552" s="5" t="s">
        <v>146</v>
      </c>
      <c r="G552" s="9">
        <v>9.0042228E7</v>
      </c>
      <c r="H552" s="5" t="s">
        <v>64</v>
      </c>
      <c r="I552" s="10" t="s">
        <v>60</v>
      </c>
      <c r="J552" s="11">
        <v>3.8673802E7</v>
      </c>
      <c r="K552" s="11">
        <v>0.0</v>
      </c>
    </row>
    <row r="553">
      <c r="A553" s="5" t="s">
        <v>74</v>
      </c>
      <c r="B553" s="6" t="s">
        <v>220</v>
      </c>
      <c r="C553" s="7" t="s">
        <v>221</v>
      </c>
      <c r="D553" s="8">
        <v>1.0</v>
      </c>
      <c r="E553" s="7" t="s">
        <v>22</v>
      </c>
      <c r="F553" s="5" t="s">
        <v>146</v>
      </c>
      <c r="G553" s="9">
        <v>9.0042231E7</v>
      </c>
      <c r="H553" s="5" t="s">
        <v>65</v>
      </c>
      <c r="I553" s="10" t="s">
        <v>60</v>
      </c>
      <c r="J553" s="11">
        <v>2518637.0</v>
      </c>
      <c r="K553" s="11">
        <v>0.0</v>
      </c>
    </row>
    <row r="554">
      <c r="A554" s="5" t="s">
        <v>74</v>
      </c>
      <c r="B554" s="6" t="s">
        <v>220</v>
      </c>
      <c r="C554" s="7" t="s">
        <v>221</v>
      </c>
      <c r="D554" s="8">
        <v>1.0</v>
      </c>
      <c r="E554" s="7" t="s">
        <v>22</v>
      </c>
      <c r="F554" s="5" t="s">
        <v>146</v>
      </c>
      <c r="G554" s="9">
        <v>9.0042126E7</v>
      </c>
      <c r="H554" s="5" t="s">
        <v>31</v>
      </c>
      <c r="I554" s="10" t="s">
        <v>25</v>
      </c>
      <c r="J554" s="11">
        <v>7.5146438E7</v>
      </c>
      <c r="K554" s="11">
        <v>0.0</v>
      </c>
    </row>
    <row r="555">
      <c r="A555" s="5" t="s">
        <v>74</v>
      </c>
      <c r="B555" s="6" t="s">
        <v>220</v>
      </c>
      <c r="C555" s="7" t="s">
        <v>221</v>
      </c>
      <c r="D555" s="8">
        <v>1.0</v>
      </c>
      <c r="E555" s="7" t="s">
        <v>218</v>
      </c>
      <c r="F555" s="5" t="s">
        <v>219</v>
      </c>
      <c r="G555" s="9">
        <v>5.1100058E7</v>
      </c>
      <c r="H555" s="5" t="s">
        <v>36</v>
      </c>
      <c r="I555" s="10" t="s">
        <v>37</v>
      </c>
      <c r="J555" s="11">
        <v>731600.0</v>
      </c>
      <c r="K555" s="11">
        <v>6.2</v>
      </c>
    </row>
    <row r="556">
      <c r="A556" s="5" t="s">
        <v>74</v>
      </c>
      <c r="B556" s="6" t="s">
        <v>231</v>
      </c>
      <c r="C556" s="7" t="s">
        <v>232</v>
      </c>
      <c r="D556" s="8">
        <v>1.0</v>
      </c>
      <c r="E556" s="13">
        <v>46038.0</v>
      </c>
      <c r="F556" s="5" t="s">
        <v>150</v>
      </c>
      <c r="G556" s="9">
        <v>5.1101056E7</v>
      </c>
      <c r="H556" s="5" t="s">
        <v>16</v>
      </c>
      <c r="I556" s="10" t="s">
        <v>17</v>
      </c>
      <c r="J556" s="11">
        <v>4684500.0</v>
      </c>
      <c r="K556" s="11">
        <v>18738.0</v>
      </c>
    </row>
    <row r="557">
      <c r="A557" s="5" t="s">
        <v>74</v>
      </c>
      <c r="B557" s="6" t="s">
        <v>231</v>
      </c>
      <c r="C557" s="7" t="s">
        <v>232</v>
      </c>
      <c r="D557" s="8">
        <v>1.0</v>
      </c>
      <c r="E557" s="13">
        <v>46038.0</v>
      </c>
      <c r="F557" s="5" t="s">
        <v>150</v>
      </c>
      <c r="G557" s="9">
        <v>9.0043001E7</v>
      </c>
      <c r="H557" s="5" t="s">
        <v>18</v>
      </c>
      <c r="I557" s="10" t="s">
        <v>19</v>
      </c>
      <c r="J557" s="11">
        <v>1.958649E7</v>
      </c>
      <c r="K557" s="11">
        <v>110.0</v>
      </c>
    </row>
    <row r="558">
      <c r="A558" s="5" t="s">
        <v>74</v>
      </c>
      <c r="B558" s="6" t="s">
        <v>231</v>
      </c>
      <c r="C558" s="7" t="s">
        <v>232</v>
      </c>
      <c r="D558" s="8">
        <v>1.0</v>
      </c>
      <c r="E558" s="13">
        <v>46158.0</v>
      </c>
      <c r="F558" s="5" t="s">
        <v>151</v>
      </c>
      <c r="G558" s="9">
        <v>9.0043001E7</v>
      </c>
      <c r="H558" s="5" t="s">
        <v>18</v>
      </c>
      <c r="I558" s="10" t="s">
        <v>19</v>
      </c>
      <c r="J558" s="11">
        <v>4095357.0</v>
      </c>
      <c r="K558" s="11">
        <v>23.0</v>
      </c>
    </row>
    <row r="559">
      <c r="A559" s="5" t="s">
        <v>74</v>
      </c>
      <c r="B559" s="6" t="s">
        <v>231</v>
      </c>
      <c r="C559" s="7" t="s">
        <v>232</v>
      </c>
      <c r="D559" s="8">
        <v>1.0</v>
      </c>
      <c r="E559" s="7" t="s">
        <v>84</v>
      </c>
      <c r="F559" s="5" t="s">
        <v>85</v>
      </c>
      <c r="G559" s="9">
        <v>5.1100064E7</v>
      </c>
      <c r="H559" s="5" t="s">
        <v>53</v>
      </c>
      <c r="I559" s="10" t="s">
        <v>25</v>
      </c>
      <c r="J559" s="11">
        <v>1200000.0</v>
      </c>
      <c r="K559" s="11">
        <v>0.0</v>
      </c>
    </row>
    <row r="560">
      <c r="A560" s="5" t="s">
        <v>74</v>
      </c>
      <c r="B560" s="6" t="s">
        <v>231</v>
      </c>
      <c r="C560" s="7" t="s">
        <v>232</v>
      </c>
      <c r="D560" s="8">
        <v>1.0</v>
      </c>
      <c r="E560" s="7" t="s">
        <v>84</v>
      </c>
      <c r="F560" s="5" t="s">
        <v>85</v>
      </c>
      <c r="G560" s="9">
        <v>5.1100064E7</v>
      </c>
      <c r="H560" s="5" t="s">
        <v>53</v>
      </c>
      <c r="I560" s="10" t="s">
        <v>37</v>
      </c>
      <c r="J560" s="11">
        <v>495000.0</v>
      </c>
      <c r="K560" s="11">
        <v>3.0</v>
      </c>
    </row>
    <row r="561">
      <c r="A561" s="5" t="s">
        <v>74</v>
      </c>
      <c r="B561" s="6" t="s">
        <v>231</v>
      </c>
      <c r="C561" s="7" t="s">
        <v>232</v>
      </c>
      <c r="D561" s="8">
        <v>1.0</v>
      </c>
      <c r="E561" s="7" t="s">
        <v>84</v>
      </c>
      <c r="F561" s="5" t="s">
        <v>85</v>
      </c>
      <c r="G561" s="9">
        <v>9.0043001E7</v>
      </c>
      <c r="H561" s="5" t="s">
        <v>18</v>
      </c>
      <c r="I561" s="10" t="s">
        <v>19</v>
      </c>
      <c r="J561" s="11">
        <v>1.4457333E7</v>
      </c>
      <c r="K561" s="11">
        <v>87.0</v>
      </c>
    </row>
    <row r="562">
      <c r="A562" s="5" t="s">
        <v>74</v>
      </c>
      <c r="B562" s="6" t="s">
        <v>231</v>
      </c>
      <c r="C562" s="7" t="s">
        <v>232</v>
      </c>
      <c r="D562" s="8">
        <v>1.0</v>
      </c>
      <c r="E562" s="7" t="s">
        <v>84</v>
      </c>
      <c r="F562" s="5" t="s">
        <v>85</v>
      </c>
      <c r="G562" s="9">
        <v>9.0043002E7</v>
      </c>
      <c r="H562" s="5" t="s">
        <v>49</v>
      </c>
      <c r="I562" s="10" t="s">
        <v>50</v>
      </c>
      <c r="J562" s="11">
        <v>3376216.0</v>
      </c>
      <c r="K562" s="11">
        <v>274.0</v>
      </c>
    </row>
    <row r="563">
      <c r="A563" s="5" t="s">
        <v>74</v>
      </c>
      <c r="B563" s="6" t="s">
        <v>231</v>
      </c>
      <c r="C563" s="7" t="s">
        <v>232</v>
      </c>
      <c r="D563" s="8">
        <v>1.0</v>
      </c>
      <c r="E563" s="7" t="s">
        <v>84</v>
      </c>
      <c r="F563" s="5" t="s">
        <v>85</v>
      </c>
      <c r="G563" s="9">
        <v>9.0043003E7</v>
      </c>
      <c r="H563" s="5" t="s">
        <v>90</v>
      </c>
      <c r="I563" s="10" t="s">
        <v>50</v>
      </c>
      <c r="J563" s="11">
        <v>1.45635E7</v>
      </c>
      <c r="K563" s="11">
        <v>48.0</v>
      </c>
    </row>
    <row r="564">
      <c r="A564" s="5" t="s">
        <v>74</v>
      </c>
      <c r="B564" s="6" t="s">
        <v>231</v>
      </c>
      <c r="C564" s="7" t="s">
        <v>232</v>
      </c>
      <c r="D564" s="8">
        <v>1.0</v>
      </c>
      <c r="E564" s="7" t="s">
        <v>86</v>
      </c>
      <c r="F564" s="5" t="s">
        <v>87</v>
      </c>
      <c r="G564" s="9">
        <v>9.0043001E7</v>
      </c>
      <c r="H564" s="5" t="s">
        <v>18</v>
      </c>
      <c r="I564" s="10" t="s">
        <v>19</v>
      </c>
      <c r="J564" s="11">
        <v>5964980.0</v>
      </c>
      <c r="K564" s="11">
        <v>33.5</v>
      </c>
    </row>
    <row r="565">
      <c r="A565" s="5" t="s">
        <v>74</v>
      </c>
      <c r="B565" s="6" t="s">
        <v>231</v>
      </c>
      <c r="C565" s="7" t="s">
        <v>232</v>
      </c>
      <c r="D565" s="8">
        <v>1.0</v>
      </c>
      <c r="E565" s="7" t="s">
        <v>86</v>
      </c>
      <c r="F565" s="5" t="s">
        <v>87</v>
      </c>
      <c r="G565" s="9">
        <v>9.0043003E7</v>
      </c>
      <c r="H565" s="5" t="s">
        <v>90</v>
      </c>
      <c r="I565" s="10" t="s">
        <v>50</v>
      </c>
      <c r="J565" s="11">
        <v>0.0</v>
      </c>
      <c r="K565" s="11">
        <v>0.0</v>
      </c>
    </row>
    <row r="566">
      <c r="A566" s="5" t="s">
        <v>74</v>
      </c>
      <c r="B566" s="6" t="s">
        <v>231</v>
      </c>
      <c r="C566" s="7" t="s">
        <v>232</v>
      </c>
      <c r="D566" s="8">
        <v>1.0</v>
      </c>
      <c r="E566" s="7" t="s">
        <v>95</v>
      </c>
      <c r="F566" s="5" t="s">
        <v>96</v>
      </c>
      <c r="G566" s="9">
        <v>5.1100058E7</v>
      </c>
      <c r="H566" s="5" t="s">
        <v>36</v>
      </c>
      <c r="I566" s="10" t="s">
        <v>37</v>
      </c>
      <c r="J566" s="11">
        <v>3389428.0</v>
      </c>
      <c r="K566" s="11">
        <v>28.36</v>
      </c>
    </row>
    <row r="567">
      <c r="A567" s="5" t="s">
        <v>74</v>
      </c>
      <c r="B567" s="6" t="s">
        <v>231</v>
      </c>
      <c r="C567" s="7" t="s">
        <v>232</v>
      </c>
      <c r="D567" s="8">
        <v>1.0</v>
      </c>
      <c r="E567" s="7" t="s">
        <v>95</v>
      </c>
      <c r="F567" s="5" t="s">
        <v>96</v>
      </c>
      <c r="G567" s="9">
        <v>9.0043001E7</v>
      </c>
      <c r="H567" s="5" t="s">
        <v>18</v>
      </c>
      <c r="I567" s="10" t="s">
        <v>19</v>
      </c>
      <c r="J567" s="11">
        <v>1.1059215E7</v>
      </c>
      <c r="K567" s="11">
        <v>74.0</v>
      </c>
    </row>
    <row r="568">
      <c r="A568" s="5" t="s">
        <v>74</v>
      </c>
      <c r="B568" s="6" t="s">
        <v>231</v>
      </c>
      <c r="C568" s="7" t="s">
        <v>232</v>
      </c>
      <c r="D568" s="8">
        <v>1.0</v>
      </c>
      <c r="E568" s="7" t="s">
        <v>101</v>
      </c>
      <c r="F568" s="5" t="s">
        <v>102</v>
      </c>
      <c r="G568" s="9">
        <v>9.0043001E7</v>
      </c>
      <c r="H568" s="5" t="s">
        <v>18</v>
      </c>
      <c r="I568" s="10" t="s">
        <v>19</v>
      </c>
      <c r="J568" s="11">
        <v>3.158394E7</v>
      </c>
      <c r="K568" s="11">
        <v>188.0</v>
      </c>
    </row>
    <row r="569">
      <c r="A569" s="5" t="s">
        <v>74</v>
      </c>
      <c r="B569" s="6" t="s">
        <v>231</v>
      </c>
      <c r="C569" s="7" t="s">
        <v>232</v>
      </c>
      <c r="D569" s="8">
        <v>1.0</v>
      </c>
      <c r="E569" s="7" t="s">
        <v>103</v>
      </c>
      <c r="F569" s="5" t="s">
        <v>104</v>
      </c>
      <c r="G569" s="9">
        <v>5.1100058E7</v>
      </c>
      <c r="H569" s="5" t="s">
        <v>36</v>
      </c>
      <c r="I569" s="10" t="s">
        <v>37</v>
      </c>
      <c r="J569" s="11">
        <v>3151431.0</v>
      </c>
      <c r="K569" s="11">
        <v>43.16</v>
      </c>
    </row>
    <row r="570">
      <c r="A570" s="5" t="s">
        <v>74</v>
      </c>
      <c r="B570" s="6" t="s">
        <v>231</v>
      </c>
      <c r="C570" s="7" t="s">
        <v>232</v>
      </c>
      <c r="D570" s="8">
        <v>1.0</v>
      </c>
      <c r="E570" s="7" t="s">
        <v>103</v>
      </c>
      <c r="F570" s="5" t="s">
        <v>104</v>
      </c>
      <c r="G570" s="9">
        <v>5.1100651E7</v>
      </c>
      <c r="H570" s="5" t="s">
        <v>38</v>
      </c>
      <c r="I570" s="10" t="s">
        <v>25</v>
      </c>
      <c r="J570" s="11">
        <v>0.0</v>
      </c>
      <c r="K570" s="11">
        <v>0.0</v>
      </c>
    </row>
    <row r="571">
      <c r="A571" s="5" t="s">
        <v>74</v>
      </c>
      <c r="B571" s="6" t="s">
        <v>231</v>
      </c>
      <c r="C571" s="7" t="s">
        <v>232</v>
      </c>
      <c r="D571" s="8">
        <v>1.0</v>
      </c>
      <c r="E571" s="7" t="s">
        <v>103</v>
      </c>
      <c r="F571" s="5" t="s">
        <v>104</v>
      </c>
      <c r="G571" s="9">
        <v>5.1100774E7</v>
      </c>
      <c r="H571" s="5" t="s">
        <v>39</v>
      </c>
      <c r="I571" s="10" t="s">
        <v>17</v>
      </c>
      <c r="J571" s="11">
        <v>7470000.0</v>
      </c>
      <c r="K571" s="11">
        <v>41.5</v>
      </c>
    </row>
    <row r="572">
      <c r="A572" s="5" t="s">
        <v>74</v>
      </c>
      <c r="B572" s="6" t="s">
        <v>231</v>
      </c>
      <c r="C572" s="7" t="s">
        <v>232</v>
      </c>
      <c r="D572" s="8">
        <v>1.0</v>
      </c>
      <c r="E572" s="7" t="s">
        <v>105</v>
      </c>
      <c r="F572" s="5" t="s">
        <v>106</v>
      </c>
      <c r="G572" s="9">
        <v>9.0043002E7</v>
      </c>
      <c r="H572" s="5" t="s">
        <v>49</v>
      </c>
      <c r="I572" s="10" t="s">
        <v>50</v>
      </c>
      <c r="J572" s="11">
        <v>8069193.0</v>
      </c>
      <c r="K572" s="11">
        <v>600.0</v>
      </c>
    </row>
    <row r="573">
      <c r="A573" s="5" t="s">
        <v>74</v>
      </c>
      <c r="B573" s="6" t="s">
        <v>231</v>
      </c>
      <c r="C573" s="7" t="s">
        <v>232</v>
      </c>
      <c r="D573" s="8">
        <v>1.0</v>
      </c>
      <c r="E573" s="7" t="s">
        <v>123</v>
      </c>
      <c r="F573" s="5" t="s">
        <v>124</v>
      </c>
      <c r="G573" s="9">
        <v>5.1100651E7</v>
      </c>
      <c r="H573" s="5" t="s">
        <v>38</v>
      </c>
      <c r="I573" s="10" t="s">
        <v>25</v>
      </c>
      <c r="J573" s="11">
        <v>0.0</v>
      </c>
      <c r="K573" s="11">
        <v>0.0</v>
      </c>
    </row>
    <row r="574">
      <c r="A574" s="5" t="s">
        <v>74</v>
      </c>
      <c r="B574" s="6" t="s">
        <v>231</v>
      </c>
      <c r="C574" s="7" t="s">
        <v>232</v>
      </c>
      <c r="D574" s="8">
        <v>1.0</v>
      </c>
      <c r="E574" s="7" t="s">
        <v>123</v>
      </c>
      <c r="F574" s="5" t="s">
        <v>124</v>
      </c>
      <c r="G574" s="9">
        <v>9.0043001E7</v>
      </c>
      <c r="H574" s="5" t="s">
        <v>18</v>
      </c>
      <c r="I574" s="10" t="s">
        <v>19</v>
      </c>
      <c r="J574" s="11">
        <v>1301904.0</v>
      </c>
      <c r="K574" s="11">
        <v>9.0</v>
      </c>
    </row>
    <row r="575">
      <c r="A575" s="5" t="s">
        <v>74</v>
      </c>
      <c r="B575" s="6" t="s">
        <v>231</v>
      </c>
      <c r="C575" s="7" t="s">
        <v>232</v>
      </c>
      <c r="D575" s="8">
        <v>1.0</v>
      </c>
      <c r="E575" s="7" t="s">
        <v>123</v>
      </c>
      <c r="F575" s="5" t="s">
        <v>124</v>
      </c>
      <c r="G575" s="9">
        <v>5.1100774E7</v>
      </c>
      <c r="H575" s="5" t="s">
        <v>39</v>
      </c>
      <c r="I575" s="10" t="s">
        <v>17</v>
      </c>
      <c r="J575" s="11">
        <v>1060000.0</v>
      </c>
      <c r="K575" s="11">
        <v>200.0</v>
      </c>
    </row>
    <row r="576">
      <c r="A576" s="5" t="s">
        <v>74</v>
      </c>
      <c r="B576" s="6" t="s">
        <v>231</v>
      </c>
      <c r="C576" s="7" t="s">
        <v>232</v>
      </c>
      <c r="D576" s="8">
        <v>1.0</v>
      </c>
      <c r="E576" s="7" t="s">
        <v>160</v>
      </c>
      <c r="F576" s="5" t="s">
        <v>161</v>
      </c>
      <c r="G576" s="9">
        <v>9.0043001E7</v>
      </c>
      <c r="H576" s="5" t="s">
        <v>18</v>
      </c>
      <c r="I576" s="10" t="s">
        <v>19</v>
      </c>
      <c r="J576" s="11">
        <v>3647266.0</v>
      </c>
      <c r="K576" s="11">
        <v>21.0</v>
      </c>
    </row>
    <row r="577">
      <c r="A577" s="5" t="s">
        <v>74</v>
      </c>
      <c r="B577" s="6" t="s">
        <v>231</v>
      </c>
      <c r="C577" s="7" t="s">
        <v>232</v>
      </c>
      <c r="D577" s="8">
        <v>1.0</v>
      </c>
      <c r="E577" s="7" t="s">
        <v>125</v>
      </c>
      <c r="F577" s="5" t="s">
        <v>126</v>
      </c>
      <c r="G577" s="9">
        <v>5.1100651E7</v>
      </c>
      <c r="H577" s="5" t="s">
        <v>38</v>
      </c>
      <c r="I577" s="10" t="s">
        <v>17</v>
      </c>
      <c r="J577" s="11">
        <v>1011250.0</v>
      </c>
      <c r="K577" s="11">
        <v>4045.0</v>
      </c>
    </row>
    <row r="578">
      <c r="A578" s="5" t="s">
        <v>74</v>
      </c>
      <c r="B578" s="6" t="s">
        <v>231</v>
      </c>
      <c r="C578" s="7" t="s">
        <v>232</v>
      </c>
      <c r="D578" s="8">
        <v>1.0</v>
      </c>
      <c r="E578" s="7" t="s">
        <v>125</v>
      </c>
      <c r="F578" s="5" t="s">
        <v>126</v>
      </c>
      <c r="G578" s="9">
        <v>5.1101056E7</v>
      </c>
      <c r="H578" s="5" t="s">
        <v>16</v>
      </c>
      <c r="I578" s="10" t="s">
        <v>17</v>
      </c>
      <c r="J578" s="11">
        <v>5.42745E7</v>
      </c>
      <c r="K578" s="11">
        <v>217098.0</v>
      </c>
    </row>
    <row r="579">
      <c r="A579" s="5" t="s">
        <v>74</v>
      </c>
      <c r="B579" s="6" t="s">
        <v>231</v>
      </c>
      <c r="C579" s="7" t="s">
        <v>232</v>
      </c>
      <c r="D579" s="8">
        <v>1.0</v>
      </c>
      <c r="E579" s="7" t="s">
        <v>125</v>
      </c>
      <c r="F579" s="5" t="s">
        <v>126</v>
      </c>
      <c r="G579" s="9">
        <v>9.0043001E7</v>
      </c>
      <c r="H579" s="5" t="s">
        <v>18</v>
      </c>
      <c r="I579" s="10" t="s">
        <v>19</v>
      </c>
      <c r="J579" s="11">
        <v>5.5972845E7</v>
      </c>
      <c r="K579" s="11">
        <v>332.0</v>
      </c>
    </row>
    <row r="580">
      <c r="A580" s="5" t="s">
        <v>74</v>
      </c>
      <c r="B580" s="6" t="s">
        <v>231</v>
      </c>
      <c r="C580" s="7" t="s">
        <v>232</v>
      </c>
      <c r="D580" s="8">
        <v>1.0</v>
      </c>
      <c r="E580" s="7" t="s">
        <v>127</v>
      </c>
      <c r="F580" s="5" t="s">
        <v>128</v>
      </c>
      <c r="G580" s="9">
        <v>9.0043001E7</v>
      </c>
      <c r="H580" s="5" t="s">
        <v>18</v>
      </c>
      <c r="I580" s="10" t="s">
        <v>19</v>
      </c>
      <c r="J580" s="11">
        <v>1.8365196E7</v>
      </c>
      <c r="K580" s="11">
        <v>96.5</v>
      </c>
    </row>
    <row r="581">
      <c r="A581" s="5" t="s">
        <v>74</v>
      </c>
      <c r="B581" s="6" t="s">
        <v>231</v>
      </c>
      <c r="C581" s="7" t="s">
        <v>232</v>
      </c>
      <c r="D581" s="8">
        <v>1.0</v>
      </c>
      <c r="E581" s="7" t="s">
        <v>127</v>
      </c>
      <c r="F581" s="5" t="s">
        <v>128</v>
      </c>
      <c r="G581" s="9">
        <v>9.0043002E7</v>
      </c>
      <c r="H581" s="5" t="s">
        <v>49</v>
      </c>
      <c r="I581" s="10" t="s">
        <v>50</v>
      </c>
      <c r="J581" s="11">
        <v>1.67686501E8</v>
      </c>
      <c r="K581" s="11">
        <v>12553.0</v>
      </c>
    </row>
    <row r="582">
      <c r="A582" s="5" t="s">
        <v>74</v>
      </c>
      <c r="B582" s="6" t="s">
        <v>231</v>
      </c>
      <c r="C582" s="7" t="s">
        <v>232</v>
      </c>
      <c r="D582" s="8">
        <v>1.0</v>
      </c>
      <c r="E582" s="7" t="s">
        <v>129</v>
      </c>
      <c r="F582" s="5" t="s">
        <v>130</v>
      </c>
      <c r="G582" s="9">
        <v>5.1100153E7</v>
      </c>
      <c r="H582" s="5" t="s">
        <v>72</v>
      </c>
      <c r="I582" s="10" t="s">
        <v>25</v>
      </c>
      <c r="J582" s="11">
        <v>0.0</v>
      </c>
      <c r="K582" s="11">
        <v>0.0</v>
      </c>
    </row>
    <row r="583">
      <c r="A583" s="5" t="s">
        <v>74</v>
      </c>
      <c r="B583" s="6" t="s">
        <v>231</v>
      </c>
      <c r="C583" s="7" t="s">
        <v>232</v>
      </c>
      <c r="D583" s="8">
        <v>1.0</v>
      </c>
      <c r="E583" s="7" t="s">
        <v>129</v>
      </c>
      <c r="F583" s="5" t="s">
        <v>130</v>
      </c>
      <c r="G583" s="9">
        <v>5.1101056E7</v>
      </c>
      <c r="H583" s="5" t="s">
        <v>16</v>
      </c>
      <c r="I583" s="10" t="s">
        <v>17</v>
      </c>
      <c r="J583" s="11">
        <v>6196850.0</v>
      </c>
      <c r="K583" s="11">
        <v>56335.0</v>
      </c>
    </row>
    <row r="584">
      <c r="A584" s="5" t="s">
        <v>74</v>
      </c>
      <c r="B584" s="6" t="s">
        <v>231</v>
      </c>
      <c r="C584" s="7" t="s">
        <v>232</v>
      </c>
      <c r="D584" s="8">
        <v>1.0</v>
      </c>
      <c r="E584" s="7" t="s">
        <v>129</v>
      </c>
      <c r="F584" s="5" t="s">
        <v>130</v>
      </c>
      <c r="G584" s="9">
        <v>9.0043001E7</v>
      </c>
      <c r="H584" s="5" t="s">
        <v>18</v>
      </c>
      <c r="I584" s="10" t="s">
        <v>19</v>
      </c>
      <c r="J584" s="11">
        <v>1.3612209E7</v>
      </c>
      <c r="K584" s="11">
        <v>69.5</v>
      </c>
    </row>
    <row r="585">
      <c r="A585" s="5" t="s">
        <v>74</v>
      </c>
      <c r="B585" s="6" t="s">
        <v>231</v>
      </c>
      <c r="C585" s="7" t="s">
        <v>232</v>
      </c>
      <c r="D585" s="8">
        <v>1.0</v>
      </c>
      <c r="E585" s="7" t="s">
        <v>129</v>
      </c>
      <c r="F585" s="5" t="s">
        <v>130</v>
      </c>
      <c r="G585" s="9">
        <v>9.0043003E7</v>
      </c>
      <c r="H585" s="5" t="s">
        <v>90</v>
      </c>
      <c r="I585" s="10" t="s">
        <v>50</v>
      </c>
      <c r="J585" s="11">
        <v>1.74523E7</v>
      </c>
      <c r="K585" s="11">
        <v>432.0</v>
      </c>
    </row>
    <row r="586">
      <c r="A586" s="5" t="s">
        <v>74</v>
      </c>
      <c r="B586" s="6" t="s">
        <v>231</v>
      </c>
      <c r="C586" s="7" t="s">
        <v>232</v>
      </c>
      <c r="D586" s="8">
        <v>1.0</v>
      </c>
      <c r="E586" s="7" t="s">
        <v>135</v>
      </c>
      <c r="F586" s="5" t="s">
        <v>136</v>
      </c>
      <c r="G586" s="9">
        <v>9.0043001E7</v>
      </c>
      <c r="H586" s="5" t="s">
        <v>18</v>
      </c>
      <c r="I586" s="10" t="s">
        <v>19</v>
      </c>
      <c r="J586" s="11">
        <v>3.5165083E7</v>
      </c>
      <c r="K586" s="11">
        <v>209.0</v>
      </c>
    </row>
    <row r="587">
      <c r="A587" s="5" t="s">
        <v>74</v>
      </c>
      <c r="B587" s="6" t="s">
        <v>231</v>
      </c>
      <c r="C587" s="7" t="s">
        <v>232</v>
      </c>
      <c r="D587" s="8">
        <v>1.0</v>
      </c>
      <c r="E587" s="7" t="s">
        <v>162</v>
      </c>
      <c r="F587" s="5" t="s">
        <v>163</v>
      </c>
      <c r="G587" s="9">
        <v>9.0043001E7</v>
      </c>
      <c r="H587" s="5" t="s">
        <v>18</v>
      </c>
      <c r="I587" s="10" t="s">
        <v>19</v>
      </c>
      <c r="J587" s="11">
        <v>5542550.0</v>
      </c>
      <c r="K587" s="11">
        <v>25.0</v>
      </c>
    </row>
    <row r="588">
      <c r="A588" s="5" t="s">
        <v>74</v>
      </c>
      <c r="B588" s="6" t="s">
        <v>231</v>
      </c>
      <c r="C588" s="7" t="s">
        <v>232</v>
      </c>
      <c r="D588" s="8">
        <v>1.0</v>
      </c>
      <c r="E588" s="7" t="s">
        <v>54</v>
      </c>
      <c r="F588" s="5" t="s">
        <v>139</v>
      </c>
      <c r="G588" s="9">
        <v>9.0042011E7</v>
      </c>
      <c r="H588" s="5" t="s">
        <v>55</v>
      </c>
      <c r="I588" s="10" t="s">
        <v>19</v>
      </c>
      <c r="J588" s="11">
        <v>5.1286202E7</v>
      </c>
      <c r="K588" s="11">
        <v>0.0</v>
      </c>
    </row>
    <row r="589">
      <c r="A589" s="5" t="s">
        <v>74</v>
      </c>
      <c r="B589" s="6" t="s">
        <v>231</v>
      </c>
      <c r="C589" s="7" t="s">
        <v>232</v>
      </c>
      <c r="D589" s="8">
        <v>1.0</v>
      </c>
      <c r="E589" s="7" t="s">
        <v>20</v>
      </c>
      <c r="F589" s="5" t="s">
        <v>140</v>
      </c>
      <c r="G589" s="9">
        <v>9.0042014E7</v>
      </c>
      <c r="H589" s="5" t="s">
        <v>21</v>
      </c>
      <c r="I589" s="10" t="s">
        <v>19</v>
      </c>
      <c r="J589" s="11">
        <v>1.42126989E8</v>
      </c>
      <c r="K589" s="11">
        <v>0.0</v>
      </c>
    </row>
    <row r="590">
      <c r="A590" s="5" t="s">
        <v>74</v>
      </c>
      <c r="B590" s="6" t="s">
        <v>231</v>
      </c>
      <c r="C590" s="7" t="s">
        <v>232</v>
      </c>
      <c r="D590" s="8">
        <v>1.0</v>
      </c>
      <c r="E590" s="7" t="s">
        <v>20</v>
      </c>
      <c r="F590" s="5" t="s">
        <v>140</v>
      </c>
      <c r="G590" s="9">
        <v>9.0042077E7</v>
      </c>
      <c r="H590" s="5" t="s">
        <v>141</v>
      </c>
      <c r="I590" s="10" t="s">
        <v>19</v>
      </c>
      <c r="J590" s="11">
        <v>3.6734403E7</v>
      </c>
      <c r="K590" s="11">
        <v>0.0</v>
      </c>
    </row>
    <row r="591">
      <c r="A591" s="5" t="s">
        <v>74</v>
      </c>
      <c r="B591" s="6" t="s">
        <v>231</v>
      </c>
      <c r="C591" s="7" t="s">
        <v>232</v>
      </c>
      <c r="D591" s="8">
        <v>1.0</v>
      </c>
      <c r="E591" s="7" t="s">
        <v>142</v>
      </c>
      <c r="F591" s="5" t="s">
        <v>143</v>
      </c>
      <c r="G591" s="9">
        <v>9.0042013E7</v>
      </c>
      <c r="H591" s="5" t="s">
        <v>144</v>
      </c>
      <c r="I591" s="10" t="s">
        <v>19</v>
      </c>
      <c r="J591" s="11">
        <v>1.6291152E7</v>
      </c>
      <c r="K591" s="11">
        <v>0.0</v>
      </c>
    </row>
    <row r="592">
      <c r="A592" s="5" t="s">
        <v>74</v>
      </c>
      <c r="B592" s="6" t="s">
        <v>231</v>
      </c>
      <c r="C592" s="7" t="s">
        <v>232</v>
      </c>
      <c r="D592" s="8">
        <v>1.0</v>
      </c>
      <c r="E592" s="7" t="s">
        <v>142</v>
      </c>
      <c r="F592" s="5" t="s">
        <v>143</v>
      </c>
      <c r="G592" s="9">
        <v>9.0042084E7</v>
      </c>
      <c r="H592" s="5" t="s">
        <v>145</v>
      </c>
      <c r="I592" s="10" t="s">
        <v>19</v>
      </c>
      <c r="J592" s="11">
        <v>7489810.0</v>
      </c>
      <c r="K592" s="11">
        <v>0.0</v>
      </c>
    </row>
    <row r="593">
      <c r="A593" s="5" t="s">
        <v>74</v>
      </c>
      <c r="B593" s="6" t="s">
        <v>231</v>
      </c>
      <c r="C593" s="7" t="s">
        <v>232</v>
      </c>
      <c r="D593" s="8">
        <v>1.0</v>
      </c>
      <c r="E593" s="7" t="s">
        <v>22</v>
      </c>
      <c r="F593" s="5" t="s">
        <v>146</v>
      </c>
      <c r="G593" s="9">
        <v>9.0042012E7</v>
      </c>
      <c r="H593" s="5" t="s">
        <v>23</v>
      </c>
      <c r="I593" s="10" t="s">
        <v>19</v>
      </c>
      <c r="J593" s="11">
        <v>5.7772915E7</v>
      </c>
      <c r="K593" s="11">
        <v>0.0</v>
      </c>
    </row>
    <row r="594">
      <c r="A594" s="5" t="s">
        <v>74</v>
      </c>
      <c r="B594" s="6" t="s">
        <v>231</v>
      </c>
      <c r="C594" s="7" t="s">
        <v>232</v>
      </c>
      <c r="D594" s="8">
        <v>1.0</v>
      </c>
      <c r="E594" s="7" t="s">
        <v>22</v>
      </c>
      <c r="F594" s="5" t="s">
        <v>146</v>
      </c>
      <c r="G594" s="9">
        <v>9.0042121E7</v>
      </c>
      <c r="H594" s="5" t="s">
        <v>24</v>
      </c>
      <c r="I594" s="10" t="s">
        <v>25</v>
      </c>
      <c r="J594" s="11">
        <v>8.6708001E7</v>
      </c>
      <c r="K594" s="11">
        <v>0.0</v>
      </c>
    </row>
    <row r="595">
      <c r="A595" s="5" t="s">
        <v>74</v>
      </c>
      <c r="B595" s="6" t="s">
        <v>231</v>
      </c>
      <c r="C595" s="7" t="s">
        <v>232</v>
      </c>
      <c r="D595" s="8">
        <v>1.0</v>
      </c>
      <c r="E595" s="7" t="s">
        <v>22</v>
      </c>
      <c r="F595" s="5" t="s">
        <v>146</v>
      </c>
      <c r="G595" s="9">
        <v>9.0042122E7</v>
      </c>
      <c r="H595" s="5" t="s">
        <v>56</v>
      </c>
      <c r="I595" s="10" t="s">
        <v>25</v>
      </c>
      <c r="J595" s="11">
        <v>4943000.0</v>
      </c>
      <c r="K595" s="11">
        <v>0.0</v>
      </c>
    </row>
    <row r="596">
      <c r="A596" s="5" t="s">
        <v>74</v>
      </c>
      <c r="B596" s="6" t="s">
        <v>231</v>
      </c>
      <c r="C596" s="7" t="s">
        <v>232</v>
      </c>
      <c r="D596" s="8">
        <v>1.0</v>
      </c>
      <c r="E596" s="7" t="s">
        <v>22</v>
      </c>
      <c r="F596" s="5" t="s">
        <v>146</v>
      </c>
      <c r="G596" s="9">
        <v>9.0042125E7</v>
      </c>
      <c r="H596" s="5" t="s">
        <v>26</v>
      </c>
      <c r="I596" s="10" t="s">
        <v>25</v>
      </c>
      <c r="J596" s="11">
        <v>6.2438632E7</v>
      </c>
      <c r="K596" s="11">
        <v>0.0</v>
      </c>
    </row>
    <row r="597">
      <c r="A597" s="5" t="s">
        <v>74</v>
      </c>
      <c r="B597" s="6" t="s">
        <v>231</v>
      </c>
      <c r="C597" s="7" t="s">
        <v>232</v>
      </c>
      <c r="D597" s="8">
        <v>1.0</v>
      </c>
      <c r="E597" s="7" t="s">
        <v>22</v>
      </c>
      <c r="F597" s="5" t="s">
        <v>146</v>
      </c>
      <c r="G597" s="9">
        <v>9.0042132E7</v>
      </c>
      <c r="H597" s="5" t="s">
        <v>28</v>
      </c>
      <c r="I597" s="10" t="s">
        <v>25</v>
      </c>
      <c r="J597" s="11">
        <v>1765000.0</v>
      </c>
      <c r="K597" s="11">
        <v>0.0</v>
      </c>
    </row>
    <row r="598">
      <c r="A598" s="5" t="s">
        <v>74</v>
      </c>
      <c r="B598" s="6" t="s">
        <v>231</v>
      </c>
      <c r="C598" s="7" t="s">
        <v>232</v>
      </c>
      <c r="D598" s="8">
        <v>1.0</v>
      </c>
      <c r="E598" s="7" t="s">
        <v>22</v>
      </c>
      <c r="F598" s="5" t="s">
        <v>146</v>
      </c>
      <c r="G598" s="9">
        <v>9.0042134E7</v>
      </c>
      <c r="H598" s="5" t="s">
        <v>29</v>
      </c>
      <c r="I598" s="10" t="s">
        <v>25</v>
      </c>
      <c r="J598" s="11">
        <v>2931000.0</v>
      </c>
      <c r="K598" s="11">
        <v>0.0</v>
      </c>
    </row>
    <row r="599">
      <c r="A599" s="5" t="s">
        <v>74</v>
      </c>
      <c r="B599" s="6" t="s">
        <v>231</v>
      </c>
      <c r="C599" s="7" t="s">
        <v>232</v>
      </c>
      <c r="D599" s="8">
        <v>1.0</v>
      </c>
      <c r="E599" s="7" t="s">
        <v>22</v>
      </c>
      <c r="F599" s="5" t="s">
        <v>146</v>
      </c>
      <c r="G599" s="9">
        <v>9.0042135E7</v>
      </c>
      <c r="H599" s="5" t="s">
        <v>30</v>
      </c>
      <c r="I599" s="10" t="s">
        <v>25</v>
      </c>
      <c r="J599" s="11">
        <v>5.2544619E7</v>
      </c>
      <c r="K599" s="11">
        <v>0.0</v>
      </c>
    </row>
    <row r="600">
      <c r="A600" s="5" t="s">
        <v>74</v>
      </c>
      <c r="B600" s="6" t="s">
        <v>231</v>
      </c>
      <c r="C600" s="7" t="s">
        <v>232</v>
      </c>
      <c r="D600" s="8">
        <v>1.0</v>
      </c>
      <c r="E600" s="7" t="s">
        <v>22</v>
      </c>
      <c r="F600" s="5" t="s">
        <v>146</v>
      </c>
      <c r="G600" s="9">
        <v>9.00422E7</v>
      </c>
      <c r="H600" s="5" t="s">
        <v>73</v>
      </c>
      <c r="I600" s="10" t="s">
        <v>60</v>
      </c>
      <c r="J600" s="11">
        <v>1.60641667E8</v>
      </c>
      <c r="K600" s="11">
        <v>0.0</v>
      </c>
    </row>
    <row r="601">
      <c r="A601" s="5" t="s">
        <v>74</v>
      </c>
      <c r="B601" s="6" t="s">
        <v>231</v>
      </c>
      <c r="C601" s="7" t="s">
        <v>232</v>
      </c>
      <c r="D601" s="8">
        <v>1.0</v>
      </c>
      <c r="E601" s="7" t="s">
        <v>22</v>
      </c>
      <c r="F601" s="5" t="s">
        <v>146</v>
      </c>
      <c r="G601" s="9">
        <v>9.0042223E7</v>
      </c>
      <c r="H601" s="5" t="s">
        <v>61</v>
      </c>
      <c r="I601" s="10" t="s">
        <v>60</v>
      </c>
      <c r="J601" s="11">
        <v>3340881.0</v>
      </c>
      <c r="K601" s="11">
        <v>0.0</v>
      </c>
    </row>
    <row r="602">
      <c r="A602" s="5" t="s">
        <v>74</v>
      </c>
      <c r="B602" s="6" t="s">
        <v>231</v>
      </c>
      <c r="C602" s="7" t="s">
        <v>232</v>
      </c>
      <c r="D602" s="8">
        <v>1.0</v>
      </c>
      <c r="E602" s="7" t="s">
        <v>22</v>
      </c>
      <c r="F602" s="5" t="s">
        <v>146</v>
      </c>
      <c r="G602" s="9">
        <v>9.0042224E7</v>
      </c>
      <c r="H602" s="5" t="s">
        <v>62</v>
      </c>
      <c r="I602" s="10" t="s">
        <v>60</v>
      </c>
      <c r="J602" s="11">
        <v>1088874.0</v>
      </c>
      <c r="K602" s="11">
        <v>0.0</v>
      </c>
    </row>
    <row r="603">
      <c r="A603" s="5" t="s">
        <v>74</v>
      </c>
      <c r="B603" s="6" t="s">
        <v>231</v>
      </c>
      <c r="C603" s="7" t="s">
        <v>232</v>
      </c>
      <c r="D603" s="8">
        <v>1.0</v>
      </c>
      <c r="E603" s="7" t="s">
        <v>22</v>
      </c>
      <c r="F603" s="5" t="s">
        <v>146</v>
      </c>
      <c r="G603" s="9">
        <v>9.0042226E7</v>
      </c>
      <c r="H603" s="5" t="s">
        <v>63</v>
      </c>
      <c r="I603" s="10" t="s">
        <v>60</v>
      </c>
      <c r="J603" s="11">
        <v>133333.0</v>
      </c>
      <c r="K603" s="11">
        <v>0.0</v>
      </c>
    </row>
    <row r="604">
      <c r="A604" s="5" t="s">
        <v>74</v>
      </c>
      <c r="B604" s="6" t="s">
        <v>231</v>
      </c>
      <c r="C604" s="7" t="s">
        <v>232</v>
      </c>
      <c r="D604" s="8">
        <v>1.0</v>
      </c>
      <c r="E604" s="7" t="s">
        <v>22</v>
      </c>
      <c r="F604" s="5" t="s">
        <v>146</v>
      </c>
      <c r="G604" s="9">
        <v>9.0042228E7</v>
      </c>
      <c r="H604" s="5" t="s">
        <v>64</v>
      </c>
      <c r="I604" s="10" t="s">
        <v>60</v>
      </c>
      <c r="J604" s="11">
        <v>2988805.0</v>
      </c>
      <c r="K604" s="11">
        <v>0.0</v>
      </c>
    </row>
    <row r="605">
      <c r="A605" s="5" t="s">
        <v>74</v>
      </c>
      <c r="B605" s="6" t="s">
        <v>231</v>
      </c>
      <c r="C605" s="7" t="s">
        <v>232</v>
      </c>
      <c r="D605" s="8">
        <v>1.0</v>
      </c>
      <c r="E605" s="7" t="s">
        <v>22</v>
      </c>
      <c r="F605" s="5" t="s">
        <v>146</v>
      </c>
      <c r="G605" s="9">
        <v>9.0042231E7</v>
      </c>
      <c r="H605" s="5" t="s">
        <v>65</v>
      </c>
      <c r="I605" s="10" t="s">
        <v>60</v>
      </c>
      <c r="J605" s="11">
        <v>2351901.0</v>
      </c>
      <c r="K605" s="11">
        <v>0.0</v>
      </c>
    </row>
    <row r="606">
      <c r="A606" s="5" t="s">
        <v>74</v>
      </c>
      <c r="B606" s="6" t="s">
        <v>231</v>
      </c>
      <c r="C606" s="7" t="s">
        <v>232</v>
      </c>
      <c r="D606" s="8">
        <v>1.0</v>
      </c>
      <c r="E606" s="7" t="s">
        <v>22</v>
      </c>
      <c r="F606" s="5" t="s">
        <v>146</v>
      </c>
      <c r="G606" s="9">
        <v>9.0042126E7</v>
      </c>
      <c r="H606" s="5" t="s">
        <v>31</v>
      </c>
      <c r="I606" s="10" t="s">
        <v>25</v>
      </c>
      <c r="J606" s="11">
        <v>4.1433398E7</v>
      </c>
      <c r="K606" s="11">
        <v>0.0</v>
      </c>
    </row>
    <row r="607">
      <c r="A607" s="5" t="s">
        <v>74</v>
      </c>
      <c r="B607" s="6" t="s">
        <v>231</v>
      </c>
      <c r="C607" s="7" t="s">
        <v>232</v>
      </c>
      <c r="D607" s="8">
        <v>1.0</v>
      </c>
      <c r="E607" s="13">
        <v>46097.0</v>
      </c>
      <c r="F607" s="5" t="s">
        <v>216</v>
      </c>
      <c r="G607" s="9">
        <v>5.1100153E7</v>
      </c>
      <c r="H607" s="5" t="s">
        <v>72</v>
      </c>
      <c r="I607" s="10" t="s">
        <v>25</v>
      </c>
      <c r="J607" s="11">
        <v>0.0</v>
      </c>
      <c r="K607" s="11">
        <v>0.0</v>
      </c>
    </row>
    <row r="608">
      <c r="A608" s="5" t="s">
        <v>74</v>
      </c>
      <c r="B608" s="6" t="s">
        <v>231</v>
      </c>
      <c r="C608" s="7" t="s">
        <v>232</v>
      </c>
      <c r="D608" s="8">
        <v>1.0</v>
      </c>
      <c r="E608" s="13">
        <v>46097.0</v>
      </c>
      <c r="F608" s="5" t="s">
        <v>216</v>
      </c>
      <c r="G608" s="9">
        <v>5.1101056E7</v>
      </c>
      <c r="H608" s="5" t="s">
        <v>16</v>
      </c>
      <c r="I608" s="10" t="s">
        <v>17</v>
      </c>
      <c r="J608" s="11">
        <v>9442950.0</v>
      </c>
      <c r="K608" s="11">
        <v>85845.0</v>
      </c>
    </row>
    <row r="609">
      <c r="A609" s="5" t="s">
        <v>74</v>
      </c>
      <c r="B609" s="6" t="s">
        <v>231</v>
      </c>
      <c r="C609" s="7" t="s">
        <v>232</v>
      </c>
      <c r="D609" s="8">
        <v>1.0</v>
      </c>
      <c r="E609" s="13">
        <v>46097.0</v>
      </c>
      <c r="F609" s="5" t="s">
        <v>216</v>
      </c>
      <c r="G609" s="9">
        <v>9.0043001E7</v>
      </c>
      <c r="H609" s="5" t="s">
        <v>18</v>
      </c>
      <c r="I609" s="10" t="s">
        <v>19</v>
      </c>
      <c r="J609" s="11">
        <v>221702.0</v>
      </c>
      <c r="K609" s="11">
        <v>1.0</v>
      </c>
    </row>
    <row r="610">
      <c r="A610" s="5" t="s">
        <v>74</v>
      </c>
      <c r="B610" s="6" t="s">
        <v>231</v>
      </c>
      <c r="C610" s="7" t="s">
        <v>232</v>
      </c>
      <c r="D610" s="8">
        <v>1.0</v>
      </c>
      <c r="E610" s="13">
        <v>46097.0</v>
      </c>
      <c r="F610" s="5" t="s">
        <v>216</v>
      </c>
      <c r="G610" s="9">
        <v>9.0043003E7</v>
      </c>
      <c r="H610" s="5" t="s">
        <v>90</v>
      </c>
      <c r="I610" s="10" t="s">
        <v>50</v>
      </c>
      <c r="J610" s="11">
        <v>157771.0</v>
      </c>
      <c r="K610" s="11">
        <v>3.0</v>
      </c>
    </row>
    <row r="611">
      <c r="A611" s="5" t="s">
        <v>74</v>
      </c>
      <c r="B611" s="6" t="s">
        <v>231</v>
      </c>
      <c r="C611" s="7" t="s">
        <v>232</v>
      </c>
      <c r="D611" s="8">
        <v>1.0</v>
      </c>
      <c r="E611" s="13">
        <v>46069.0</v>
      </c>
      <c r="F611" s="5" t="s">
        <v>217</v>
      </c>
      <c r="G611" s="9">
        <v>9.0043001E7</v>
      </c>
      <c r="H611" s="5" t="s">
        <v>18</v>
      </c>
      <c r="I611" s="10" t="s">
        <v>19</v>
      </c>
      <c r="J611" s="11">
        <v>6263506.0</v>
      </c>
      <c r="K611" s="11">
        <v>31.5</v>
      </c>
    </row>
    <row r="612">
      <c r="A612" s="5" t="s">
        <v>74</v>
      </c>
      <c r="B612" s="6" t="s">
        <v>231</v>
      </c>
      <c r="C612" s="7" t="s">
        <v>232</v>
      </c>
      <c r="D612" s="8">
        <v>1.0</v>
      </c>
      <c r="E612" s="13">
        <v>46069.0</v>
      </c>
      <c r="F612" s="5" t="s">
        <v>217</v>
      </c>
      <c r="G612" s="9">
        <v>9.0043002E7</v>
      </c>
      <c r="H612" s="5" t="s">
        <v>49</v>
      </c>
      <c r="I612" s="10" t="s">
        <v>50</v>
      </c>
      <c r="J612" s="11">
        <v>2.7418361E7</v>
      </c>
      <c r="K612" s="11">
        <v>2060.0</v>
      </c>
    </row>
    <row r="613">
      <c r="A613" s="5" t="s">
        <v>74</v>
      </c>
      <c r="B613" s="6" t="s">
        <v>233</v>
      </c>
      <c r="C613" s="7" t="s">
        <v>234</v>
      </c>
      <c r="D613" s="8">
        <v>1.0</v>
      </c>
      <c r="E613" s="7" t="s">
        <v>81</v>
      </c>
      <c r="F613" s="5" t="s">
        <v>82</v>
      </c>
      <c r="G613" s="9">
        <v>9.0043002E7</v>
      </c>
      <c r="H613" s="5" t="s">
        <v>49</v>
      </c>
      <c r="I613" s="10" t="s">
        <v>50</v>
      </c>
      <c r="J613" s="11">
        <v>528588.0</v>
      </c>
      <c r="K613" s="11">
        <v>25.0</v>
      </c>
    </row>
    <row r="614">
      <c r="A614" s="5" t="s">
        <v>74</v>
      </c>
      <c r="B614" s="6" t="s">
        <v>233</v>
      </c>
      <c r="C614" s="7" t="s">
        <v>234</v>
      </c>
      <c r="D614" s="8">
        <v>1.0</v>
      </c>
      <c r="E614" s="7" t="s">
        <v>173</v>
      </c>
      <c r="F614" s="5" t="s">
        <v>174</v>
      </c>
      <c r="G614" s="9">
        <v>9.0043002E7</v>
      </c>
      <c r="H614" s="5" t="s">
        <v>49</v>
      </c>
      <c r="I614" s="10" t="s">
        <v>50</v>
      </c>
      <c r="J614" s="11">
        <v>2639416.0</v>
      </c>
      <c r="K614" s="11">
        <v>127.0</v>
      </c>
    </row>
    <row r="615">
      <c r="A615" s="5" t="s">
        <v>74</v>
      </c>
      <c r="B615" s="6" t="s">
        <v>233</v>
      </c>
      <c r="C615" s="7" t="s">
        <v>234</v>
      </c>
      <c r="D615" s="8">
        <v>1.0</v>
      </c>
      <c r="E615" s="7" t="s">
        <v>173</v>
      </c>
      <c r="F615" s="5" t="s">
        <v>174</v>
      </c>
      <c r="G615" s="9">
        <v>9.0043003E7</v>
      </c>
      <c r="H615" s="5" t="s">
        <v>90</v>
      </c>
      <c r="I615" s="10" t="s">
        <v>50</v>
      </c>
      <c r="J615" s="11">
        <v>2427048.0</v>
      </c>
      <c r="K615" s="11">
        <v>12.0</v>
      </c>
    </row>
    <row r="616">
      <c r="A616" s="5" t="s">
        <v>74</v>
      </c>
      <c r="B616" s="6" t="s">
        <v>233</v>
      </c>
      <c r="C616" s="7" t="s">
        <v>234</v>
      </c>
      <c r="D616" s="8">
        <v>1.0</v>
      </c>
      <c r="E616" s="7" t="s">
        <v>88</v>
      </c>
      <c r="F616" s="5" t="s">
        <v>89</v>
      </c>
      <c r="G616" s="9">
        <v>9.0043003E7</v>
      </c>
      <c r="H616" s="5" t="s">
        <v>90</v>
      </c>
      <c r="I616" s="10" t="s">
        <v>50</v>
      </c>
      <c r="J616" s="11">
        <v>1.1816567E7</v>
      </c>
      <c r="K616" s="11">
        <v>55.0</v>
      </c>
    </row>
    <row r="617">
      <c r="A617" s="5" t="s">
        <v>74</v>
      </c>
      <c r="B617" s="6" t="s">
        <v>233</v>
      </c>
      <c r="C617" s="7" t="s">
        <v>234</v>
      </c>
      <c r="D617" s="8">
        <v>1.0</v>
      </c>
      <c r="E617" s="7" t="s">
        <v>152</v>
      </c>
      <c r="F617" s="5" t="s">
        <v>153</v>
      </c>
      <c r="G617" s="9">
        <v>9.0043003E7</v>
      </c>
      <c r="H617" s="5" t="s">
        <v>90</v>
      </c>
      <c r="I617" s="10" t="s">
        <v>50</v>
      </c>
      <c r="J617" s="11">
        <v>8696922.0</v>
      </c>
      <c r="K617" s="11">
        <v>43.0</v>
      </c>
    </row>
    <row r="618">
      <c r="A618" s="5" t="s">
        <v>74</v>
      </c>
      <c r="B618" s="6" t="s">
        <v>233</v>
      </c>
      <c r="C618" s="7" t="s">
        <v>234</v>
      </c>
      <c r="D618" s="8">
        <v>1.0</v>
      </c>
      <c r="E618" s="7" t="s">
        <v>154</v>
      </c>
      <c r="F618" s="5" t="s">
        <v>155</v>
      </c>
      <c r="G618" s="9">
        <v>9.0043003E7</v>
      </c>
      <c r="H618" s="5" t="s">
        <v>90</v>
      </c>
      <c r="I618" s="10" t="s">
        <v>50</v>
      </c>
      <c r="J618" s="11">
        <v>5674720.0</v>
      </c>
      <c r="K618" s="11">
        <v>20.0</v>
      </c>
    </row>
    <row r="619">
      <c r="A619" s="5" t="s">
        <v>74</v>
      </c>
      <c r="B619" s="6" t="s">
        <v>233</v>
      </c>
      <c r="C619" s="7" t="s">
        <v>234</v>
      </c>
      <c r="D619" s="8">
        <v>1.0</v>
      </c>
      <c r="E619" s="7" t="s">
        <v>235</v>
      </c>
      <c r="F619" s="5" t="s">
        <v>236</v>
      </c>
      <c r="G619" s="9">
        <v>5.1100064E7</v>
      </c>
      <c r="H619" s="5" t="s">
        <v>53</v>
      </c>
      <c r="I619" s="10" t="s">
        <v>37</v>
      </c>
      <c r="J619" s="11">
        <v>2500000.0</v>
      </c>
      <c r="K619" s="11">
        <v>10.0</v>
      </c>
    </row>
    <row r="620">
      <c r="A620" s="5" t="s">
        <v>74</v>
      </c>
      <c r="B620" s="6" t="s">
        <v>233</v>
      </c>
      <c r="C620" s="7" t="s">
        <v>234</v>
      </c>
      <c r="D620" s="8">
        <v>1.0</v>
      </c>
      <c r="E620" s="7" t="s">
        <v>95</v>
      </c>
      <c r="F620" s="5" t="s">
        <v>96</v>
      </c>
      <c r="G620" s="9">
        <v>5.1100058E7</v>
      </c>
      <c r="H620" s="5" t="s">
        <v>36</v>
      </c>
      <c r="I620" s="10" t="s">
        <v>37</v>
      </c>
      <c r="J620" s="11">
        <v>2.7198769E7</v>
      </c>
      <c r="K620" s="11">
        <v>396.62</v>
      </c>
    </row>
    <row r="621">
      <c r="A621" s="5" t="s">
        <v>74</v>
      </c>
      <c r="B621" s="6" t="s">
        <v>233</v>
      </c>
      <c r="C621" s="7" t="s">
        <v>234</v>
      </c>
      <c r="D621" s="8">
        <v>1.0</v>
      </c>
      <c r="E621" s="7" t="s">
        <v>95</v>
      </c>
      <c r="F621" s="5" t="s">
        <v>96</v>
      </c>
      <c r="G621" s="9">
        <v>5.1100064E7</v>
      </c>
      <c r="H621" s="5" t="s">
        <v>53</v>
      </c>
      <c r="I621" s="10" t="s">
        <v>37</v>
      </c>
      <c r="J621" s="11">
        <v>4849977.0</v>
      </c>
      <c r="K621" s="11">
        <v>70.73</v>
      </c>
    </row>
    <row r="622">
      <c r="A622" s="5" t="s">
        <v>74</v>
      </c>
      <c r="B622" s="6" t="s">
        <v>233</v>
      </c>
      <c r="C622" s="7" t="s">
        <v>234</v>
      </c>
      <c r="D622" s="8">
        <v>1.0</v>
      </c>
      <c r="E622" s="7" t="s">
        <v>95</v>
      </c>
      <c r="F622" s="5" t="s">
        <v>96</v>
      </c>
      <c r="G622" s="9">
        <v>5.1100651E7</v>
      </c>
      <c r="H622" s="5" t="s">
        <v>38</v>
      </c>
      <c r="I622" s="10" t="s">
        <v>25</v>
      </c>
      <c r="J622" s="11">
        <v>0.0</v>
      </c>
      <c r="K622" s="11">
        <v>0.0</v>
      </c>
    </row>
    <row r="623">
      <c r="A623" s="5" t="s">
        <v>74</v>
      </c>
      <c r="B623" s="6" t="s">
        <v>233</v>
      </c>
      <c r="C623" s="7" t="s">
        <v>234</v>
      </c>
      <c r="D623" s="8">
        <v>1.0</v>
      </c>
      <c r="E623" s="7" t="s">
        <v>95</v>
      </c>
      <c r="F623" s="5" t="s">
        <v>96</v>
      </c>
      <c r="G623" s="9">
        <v>5.1100774E7</v>
      </c>
      <c r="H623" s="5" t="s">
        <v>39</v>
      </c>
      <c r="I623" s="10" t="s">
        <v>17</v>
      </c>
      <c r="J623" s="11">
        <v>1.07665442E8</v>
      </c>
      <c r="K623" s="11">
        <v>1081.74</v>
      </c>
    </row>
    <row r="624">
      <c r="A624" s="5" t="s">
        <v>74</v>
      </c>
      <c r="B624" s="6" t="s">
        <v>233</v>
      </c>
      <c r="C624" s="7" t="s">
        <v>234</v>
      </c>
      <c r="D624" s="8">
        <v>1.0</v>
      </c>
      <c r="E624" s="7" t="s">
        <v>95</v>
      </c>
      <c r="F624" s="5" t="s">
        <v>96</v>
      </c>
      <c r="G624" s="9">
        <v>5.1100057E7</v>
      </c>
      <c r="H624" s="5" t="s">
        <v>237</v>
      </c>
      <c r="I624" s="10" t="s">
        <v>37</v>
      </c>
      <c r="J624" s="11">
        <v>2808763.0</v>
      </c>
      <c r="K624" s="11">
        <v>40.97</v>
      </c>
    </row>
    <row r="625">
      <c r="A625" s="5" t="s">
        <v>74</v>
      </c>
      <c r="B625" s="6" t="s">
        <v>233</v>
      </c>
      <c r="C625" s="7" t="s">
        <v>234</v>
      </c>
      <c r="D625" s="8">
        <v>1.0</v>
      </c>
      <c r="E625" s="7" t="s">
        <v>101</v>
      </c>
      <c r="F625" s="5" t="s">
        <v>102</v>
      </c>
      <c r="G625" s="9">
        <v>5.1100774E7</v>
      </c>
      <c r="H625" s="5" t="s">
        <v>39</v>
      </c>
      <c r="I625" s="10" t="s">
        <v>17</v>
      </c>
      <c r="J625" s="11">
        <v>6.8379783E7</v>
      </c>
      <c r="K625" s="11">
        <v>151.64</v>
      </c>
    </row>
    <row r="626">
      <c r="A626" s="5" t="s">
        <v>74</v>
      </c>
      <c r="B626" s="6" t="s">
        <v>233</v>
      </c>
      <c r="C626" s="7" t="s">
        <v>234</v>
      </c>
      <c r="D626" s="8">
        <v>1.0</v>
      </c>
      <c r="E626" s="7" t="s">
        <v>103</v>
      </c>
      <c r="F626" s="5" t="s">
        <v>104</v>
      </c>
      <c r="G626" s="9">
        <v>9.0043003E7</v>
      </c>
      <c r="H626" s="5" t="s">
        <v>90</v>
      </c>
      <c r="I626" s="10" t="s">
        <v>50</v>
      </c>
      <c r="J626" s="11">
        <v>1.0076532E7</v>
      </c>
      <c r="K626" s="11">
        <v>67.0</v>
      </c>
    </row>
    <row r="627">
      <c r="A627" s="5" t="s">
        <v>74</v>
      </c>
      <c r="B627" s="6" t="s">
        <v>233</v>
      </c>
      <c r="C627" s="7" t="s">
        <v>234</v>
      </c>
      <c r="D627" s="8">
        <v>1.0</v>
      </c>
      <c r="E627" s="7" t="s">
        <v>105</v>
      </c>
      <c r="F627" s="5" t="s">
        <v>106</v>
      </c>
      <c r="G627" s="9">
        <v>5.1100651E7</v>
      </c>
      <c r="H627" s="5" t="s">
        <v>38</v>
      </c>
      <c r="I627" s="10" t="s">
        <v>25</v>
      </c>
      <c r="J627" s="11">
        <v>0.0</v>
      </c>
      <c r="K627" s="11">
        <v>0.0</v>
      </c>
    </row>
    <row r="628">
      <c r="A628" s="5" t="s">
        <v>74</v>
      </c>
      <c r="B628" s="6" t="s">
        <v>233</v>
      </c>
      <c r="C628" s="7" t="s">
        <v>234</v>
      </c>
      <c r="D628" s="8">
        <v>1.0</v>
      </c>
      <c r="E628" s="7" t="s">
        <v>105</v>
      </c>
      <c r="F628" s="5" t="s">
        <v>106</v>
      </c>
      <c r="G628" s="9">
        <v>5.1100774E7</v>
      </c>
      <c r="H628" s="5" t="s">
        <v>39</v>
      </c>
      <c r="I628" s="10" t="s">
        <v>17</v>
      </c>
      <c r="J628" s="11">
        <v>2.9365E7</v>
      </c>
      <c r="K628" s="11">
        <v>3.356</v>
      </c>
    </row>
    <row r="629">
      <c r="A629" s="5" t="s">
        <v>74</v>
      </c>
      <c r="B629" s="6" t="s">
        <v>233</v>
      </c>
      <c r="C629" s="7" t="s">
        <v>234</v>
      </c>
      <c r="D629" s="8">
        <v>1.0</v>
      </c>
      <c r="E629" s="7" t="s">
        <v>115</v>
      </c>
      <c r="F629" s="5" t="s">
        <v>116</v>
      </c>
      <c r="G629" s="9">
        <v>9.0043002E7</v>
      </c>
      <c r="H629" s="5" t="s">
        <v>49</v>
      </c>
      <c r="I629" s="10" t="s">
        <v>50</v>
      </c>
      <c r="J629" s="11">
        <v>4.3709791E7</v>
      </c>
      <c r="K629" s="11">
        <v>2085.0</v>
      </c>
    </row>
    <row r="630">
      <c r="A630" s="5" t="s">
        <v>74</v>
      </c>
      <c r="B630" s="6" t="s">
        <v>233</v>
      </c>
      <c r="C630" s="7" t="s">
        <v>234</v>
      </c>
      <c r="D630" s="8">
        <v>1.0</v>
      </c>
      <c r="E630" s="7" t="s">
        <v>238</v>
      </c>
      <c r="F630" s="5" t="s">
        <v>239</v>
      </c>
      <c r="G630" s="9">
        <v>9.0043003E7</v>
      </c>
      <c r="H630" s="5" t="s">
        <v>90</v>
      </c>
      <c r="I630" s="10" t="s">
        <v>50</v>
      </c>
      <c r="J630" s="11">
        <v>8167556.0</v>
      </c>
      <c r="K630" s="11">
        <v>1.0</v>
      </c>
    </row>
    <row r="631">
      <c r="A631" s="5" t="s">
        <v>74</v>
      </c>
      <c r="B631" s="6" t="s">
        <v>233</v>
      </c>
      <c r="C631" s="7" t="s">
        <v>234</v>
      </c>
      <c r="D631" s="8">
        <v>1.0</v>
      </c>
      <c r="E631" s="7" t="s">
        <v>123</v>
      </c>
      <c r="F631" s="5" t="s">
        <v>124</v>
      </c>
      <c r="G631" s="9">
        <v>5.1100774E7</v>
      </c>
      <c r="H631" s="5" t="s">
        <v>39</v>
      </c>
      <c r="I631" s="10" t="s">
        <v>17</v>
      </c>
      <c r="J631" s="11">
        <v>1.7799459E7</v>
      </c>
      <c r="K631" s="11">
        <v>7157.0</v>
      </c>
    </row>
    <row r="632">
      <c r="A632" s="5" t="s">
        <v>74</v>
      </c>
      <c r="B632" s="6" t="s">
        <v>233</v>
      </c>
      <c r="C632" s="7" t="s">
        <v>234</v>
      </c>
      <c r="D632" s="8">
        <v>1.0</v>
      </c>
      <c r="E632" s="7" t="s">
        <v>160</v>
      </c>
      <c r="F632" s="5" t="s">
        <v>161</v>
      </c>
      <c r="G632" s="9">
        <v>5.1100774E7</v>
      </c>
      <c r="H632" s="5" t="s">
        <v>39</v>
      </c>
      <c r="I632" s="10" t="s">
        <v>17</v>
      </c>
      <c r="J632" s="11">
        <v>7.1696959E7</v>
      </c>
      <c r="K632" s="11">
        <v>22129.0</v>
      </c>
    </row>
    <row r="633">
      <c r="A633" s="5" t="s">
        <v>74</v>
      </c>
      <c r="B633" s="6" t="s">
        <v>233</v>
      </c>
      <c r="C633" s="7" t="s">
        <v>234</v>
      </c>
      <c r="D633" s="8">
        <v>1.0</v>
      </c>
      <c r="E633" s="7" t="s">
        <v>125</v>
      </c>
      <c r="F633" s="5" t="s">
        <v>126</v>
      </c>
      <c r="G633" s="9">
        <v>9.0043001E7</v>
      </c>
      <c r="H633" s="5" t="s">
        <v>18</v>
      </c>
      <c r="I633" s="10" t="s">
        <v>19</v>
      </c>
      <c r="J633" s="11">
        <v>1.90275956E8</v>
      </c>
      <c r="K633" s="11">
        <v>1483.0</v>
      </c>
    </row>
    <row r="634">
      <c r="A634" s="5" t="s">
        <v>74</v>
      </c>
      <c r="B634" s="6" t="s">
        <v>233</v>
      </c>
      <c r="C634" s="7" t="s">
        <v>234</v>
      </c>
      <c r="D634" s="8">
        <v>1.0</v>
      </c>
      <c r="E634" s="7" t="s">
        <v>127</v>
      </c>
      <c r="F634" s="5" t="s">
        <v>128</v>
      </c>
      <c r="G634" s="9">
        <v>5.1100153E7</v>
      </c>
      <c r="H634" s="5" t="s">
        <v>72</v>
      </c>
      <c r="I634" s="10" t="s">
        <v>17</v>
      </c>
      <c r="J634" s="11">
        <v>2.49994669E8</v>
      </c>
      <c r="K634" s="11">
        <v>3330210.0</v>
      </c>
    </row>
    <row r="635">
      <c r="A635" s="5" t="s">
        <v>74</v>
      </c>
      <c r="B635" s="6" t="s">
        <v>233</v>
      </c>
      <c r="C635" s="7" t="s">
        <v>234</v>
      </c>
      <c r="D635" s="8">
        <v>1.0</v>
      </c>
      <c r="E635" s="7" t="s">
        <v>133</v>
      </c>
      <c r="F635" s="5" t="s">
        <v>134</v>
      </c>
      <c r="G635" s="9">
        <v>9.0043002E7</v>
      </c>
      <c r="H635" s="5" t="s">
        <v>49</v>
      </c>
      <c r="I635" s="10" t="s">
        <v>50</v>
      </c>
      <c r="J635" s="11">
        <v>2.3214029E7</v>
      </c>
      <c r="K635" s="11">
        <v>1340.0</v>
      </c>
    </row>
    <row r="636">
      <c r="A636" s="5" t="s">
        <v>74</v>
      </c>
      <c r="B636" s="6" t="s">
        <v>233</v>
      </c>
      <c r="C636" s="7" t="s">
        <v>234</v>
      </c>
      <c r="D636" s="8">
        <v>1.0</v>
      </c>
      <c r="E636" s="7" t="s">
        <v>135</v>
      </c>
      <c r="F636" s="5" t="s">
        <v>136</v>
      </c>
      <c r="G636" s="9">
        <v>5.1101056E7</v>
      </c>
      <c r="H636" s="5" t="s">
        <v>16</v>
      </c>
      <c r="I636" s="10" t="s">
        <v>17</v>
      </c>
      <c r="J636" s="11">
        <v>4.7523825E7</v>
      </c>
      <c r="K636" s="11">
        <v>437930.0</v>
      </c>
    </row>
    <row r="637">
      <c r="A637" s="5" t="s">
        <v>74</v>
      </c>
      <c r="B637" s="6" t="s">
        <v>233</v>
      </c>
      <c r="C637" s="7" t="s">
        <v>234</v>
      </c>
      <c r="D637" s="8">
        <v>1.0</v>
      </c>
      <c r="E637" s="7" t="s">
        <v>135</v>
      </c>
      <c r="F637" s="5" t="s">
        <v>136</v>
      </c>
      <c r="G637" s="9">
        <v>9.0043001E7</v>
      </c>
      <c r="H637" s="5" t="s">
        <v>18</v>
      </c>
      <c r="I637" s="10" t="s">
        <v>19</v>
      </c>
      <c r="J637" s="11">
        <v>1.40913323E8</v>
      </c>
      <c r="K637" s="11">
        <v>1104.0</v>
      </c>
    </row>
    <row r="638">
      <c r="A638" s="5" t="s">
        <v>74</v>
      </c>
      <c r="B638" s="6" t="s">
        <v>233</v>
      </c>
      <c r="C638" s="7" t="s">
        <v>234</v>
      </c>
      <c r="D638" s="8">
        <v>1.0</v>
      </c>
      <c r="E638" s="7" t="s">
        <v>54</v>
      </c>
      <c r="F638" s="5" t="s">
        <v>139</v>
      </c>
      <c r="G638" s="9">
        <v>9.0042011E7</v>
      </c>
      <c r="H638" s="5" t="s">
        <v>55</v>
      </c>
      <c r="I638" s="10" t="s">
        <v>19</v>
      </c>
      <c r="J638" s="11">
        <v>2.587367E7</v>
      </c>
      <c r="K638" s="11">
        <v>0.0</v>
      </c>
    </row>
    <row r="639">
      <c r="A639" s="5" t="s">
        <v>74</v>
      </c>
      <c r="B639" s="6" t="s">
        <v>233</v>
      </c>
      <c r="C639" s="7" t="s">
        <v>234</v>
      </c>
      <c r="D639" s="8">
        <v>1.0</v>
      </c>
      <c r="E639" s="7" t="s">
        <v>54</v>
      </c>
      <c r="F639" s="5" t="s">
        <v>139</v>
      </c>
      <c r="G639" s="9">
        <v>9.004201E7</v>
      </c>
      <c r="H639" s="5" t="s">
        <v>240</v>
      </c>
      <c r="I639" s="10" t="s">
        <v>25</v>
      </c>
      <c r="J639" s="11">
        <v>0.0</v>
      </c>
      <c r="K639" s="11">
        <v>0.0</v>
      </c>
    </row>
    <row r="640">
      <c r="A640" s="5" t="s">
        <v>74</v>
      </c>
      <c r="B640" s="6" t="s">
        <v>233</v>
      </c>
      <c r="C640" s="7" t="s">
        <v>234</v>
      </c>
      <c r="D640" s="8">
        <v>1.0</v>
      </c>
      <c r="E640" s="7" t="s">
        <v>20</v>
      </c>
      <c r="F640" s="5" t="s">
        <v>140</v>
      </c>
      <c r="G640" s="9">
        <v>9.0042014E7</v>
      </c>
      <c r="H640" s="5" t="s">
        <v>21</v>
      </c>
      <c r="I640" s="10" t="s">
        <v>19</v>
      </c>
      <c r="J640" s="11">
        <v>3.4724006E8</v>
      </c>
      <c r="K640" s="11">
        <v>0.0</v>
      </c>
    </row>
    <row r="641">
      <c r="A641" s="5" t="s">
        <v>74</v>
      </c>
      <c r="B641" s="6" t="s">
        <v>233</v>
      </c>
      <c r="C641" s="7" t="s">
        <v>234</v>
      </c>
      <c r="D641" s="8">
        <v>1.0</v>
      </c>
      <c r="E641" s="7" t="s">
        <v>20</v>
      </c>
      <c r="F641" s="5" t="s">
        <v>140</v>
      </c>
      <c r="G641" s="9">
        <v>9.0042077E7</v>
      </c>
      <c r="H641" s="5" t="s">
        <v>141</v>
      </c>
      <c r="I641" s="10" t="s">
        <v>19</v>
      </c>
      <c r="J641" s="11">
        <v>1.79872025E8</v>
      </c>
      <c r="K641" s="11">
        <v>0.0</v>
      </c>
    </row>
    <row r="642">
      <c r="A642" s="5" t="s">
        <v>74</v>
      </c>
      <c r="B642" s="6" t="s">
        <v>233</v>
      </c>
      <c r="C642" s="7" t="s">
        <v>234</v>
      </c>
      <c r="D642" s="8">
        <v>1.0</v>
      </c>
      <c r="E642" s="7" t="s">
        <v>22</v>
      </c>
      <c r="F642" s="5" t="s">
        <v>146</v>
      </c>
      <c r="G642" s="9">
        <v>9.0042012E7</v>
      </c>
      <c r="H642" s="5" t="s">
        <v>23</v>
      </c>
      <c r="I642" s="10" t="s">
        <v>19</v>
      </c>
      <c r="J642" s="11">
        <v>8.0384578E7</v>
      </c>
      <c r="K642" s="11">
        <v>0.0</v>
      </c>
    </row>
    <row r="643">
      <c r="A643" s="5" t="s">
        <v>74</v>
      </c>
      <c r="B643" s="6" t="s">
        <v>233</v>
      </c>
      <c r="C643" s="7" t="s">
        <v>234</v>
      </c>
      <c r="D643" s="8">
        <v>1.0</v>
      </c>
      <c r="E643" s="7" t="s">
        <v>22</v>
      </c>
      <c r="F643" s="5" t="s">
        <v>146</v>
      </c>
      <c r="G643" s="9">
        <v>9.0042121E7</v>
      </c>
      <c r="H643" s="5" t="s">
        <v>24</v>
      </c>
      <c r="I643" s="10" t="s">
        <v>25</v>
      </c>
      <c r="J643" s="11">
        <v>2.9581309E8</v>
      </c>
      <c r="K643" s="11">
        <v>0.0</v>
      </c>
    </row>
    <row r="644">
      <c r="A644" s="5" t="s">
        <v>74</v>
      </c>
      <c r="B644" s="6" t="s">
        <v>233</v>
      </c>
      <c r="C644" s="7" t="s">
        <v>234</v>
      </c>
      <c r="D644" s="8">
        <v>1.0</v>
      </c>
      <c r="E644" s="7" t="s">
        <v>22</v>
      </c>
      <c r="F644" s="5" t="s">
        <v>146</v>
      </c>
      <c r="G644" s="9">
        <v>9.0042122E7</v>
      </c>
      <c r="H644" s="5" t="s">
        <v>56</v>
      </c>
      <c r="I644" s="10" t="s">
        <v>25</v>
      </c>
      <c r="J644" s="11">
        <v>1.374809E7</v>
      </c>
      <c r="K644" s="11">
        <v>0.0</v>
      </c>
    </row>
    <row r="645">
      <c r="A645" s="5" t="s">
        <v>74</v>
      </c>
      <c r="B645" s="6" t="s">
        <v>233</v>
      </c>
      <c r="C645" s="7" t="s">
        <v>234</v>
      </c>
      <c r="D645" s="8">
        <v>1.0</v>
      </c>
      <c r="E645" s="7" t="s">
        <v>22</v>
      </c>
      <c r="F645" s="5" t="s">
        <v>146</v>
      </c>
      <c r="G645" s="9">
        <v>9.0042125E7</v>
      </c>
      <c r="H645" s="5" t="s">
        <v>26</v>
      </c>
      <c r="I645" s="10" t="s">
        <v>25</v>
      </c>
      <c r="J645" s="11">
        <v>5.8418423E7</v>
      </c>
      <c r="K645" s="11">
        <v>0.0</v>
      </c>
    </row>
    <row r="646">
      <c r="A646" s="5" t="s">
        <v>74</v>
      </c>
      <c r="B646" s="6" t="s">
        <v>233</v>
      </c>
      <c r="C646" s="7" t="s">
        <v>234</v>
      </c>
      <c r="D646" s="8">
        <v>1.0</v>
      </c>
      <c r="E646" s="7" t="s">
        <v>22</v>
      </c>
      <c r="F646" s="5" t="s">
        <v>146</v>
      </c>
      <c r="G646" s="9">
        <v>9.0042127E7</v>
      </c>
      <c r="H646" s="5" t="s">
        <v>27</v>
      </c>
      <c r="I646" s="10" t="s">
        <v>25</v>
      </c>
      <c r="J646" s="11">
        <v>2.5076628E7</v>
      </c>
      <c r="K646" s="11">
        <v>0.0</v>
      </c>
    </row>
    <row r="647">
      <c r="A647" s="5" t="s">
        <v>74</v>
      </c>
      <c r="B647" s="6" t="s">
        <v>233</v>
      </c>
      <c r="C647" s="7" t="s">
        <v>234</v>
      </c>
      <c r="D647" s="8">
        <v>1.0</v>
      </c>
      <c r="E647" s="7" t="s">
        <v>22</v>
      </c>
      <c r="F647" s="5" t="s">
        <v>146</v>
      </c>
      <c r="G647" s="9">
        <v>9.0042132E7</v>
      </c>
      <c r="H647" s="5" t="s">
        <v>28</v>
      </c>
      <c r="I647" s="10" t="s">
        <v>25</v>
      </c>
      <c r="J647" s="11">
        <v>1.4565536E7</v>
      </c>
      <c r="K647" s="11">
        <v>0.0</v>
      </c>
    </row>
    <row r="648">
      <c r="A648" s="5" t="s">
        <v>74</v>
      </c>
      <c r="B648" s="6" t="s">
        <v>233</v>
      </c>
      <c r="C648" s="7" t="s">
        <v>234</v>
      </c>
      <c r="D648" s="8">
        <v>1.0</v>
      </c>
      <c r="E648" s="7" t="s">
        <v>22</v>
      </c>
      <c r="F648" s="5" t="s">
        <v>146</v>
      </c>
      <c r="G648" s="9">
        <v>9.0042134E7</v>
      </c>
      <c r="H648" s="5" t="s">
        <v>29</v>
      </c>
      <c r="I648" s="10" t="s">
        <v>25</v>
      </c>
      <c r="J648" s="11">
        <v>1065600.0</v>
      </c>
      <c r="K648" s="11">
        <v>0.0</v>
      </c>
    </row>
    <row r="649">
      <c r="A649" s="5" t="s">
        <v>74</v>
      </c>
      <c r="B649" s="6" t="s">
        <v>233</v>
      </c>
      <c r="C649" s="7" t="s">
        <v>234</v>
      </c>
      <c r="D649" s="8">
        <v>1.0</v>
      </c>
      <c r="E649" s="7" t="s">
        <v>22</v>
      </c>
      <c r="F649" s="5" t="s">
        <v>146</v>
      </c>
      <c r="G649" s="9">
        <v>9.0042135E7</v>
      </c>
      <c r="H649" s="5" t="s">
        <v>30</v>
      </c>
      <c r="I649" s="10" t="s">
        <v>25</v>
      </c>
      <c r="J649" s="11">
        <v>1.76986544E8</v>
      </c>
      <c r="K649" s="11">
        <v>0.0</v>
      </c>
    </row>
    <row r="650">
      <c r="A650" s="5" t="s">
        <v>74</v>
      </c>
      <c r="B650" s="6" t="s">
        <v>233</v>
      </c>
      <c r="C650" s="7" t="s">
        <v>234</v>
      </c>
      <c r="D650" s="8">
        <v>1.0</v>
      </c>
      <c r="E650" s="7" t="s">
        <v>22</v>
      </c>
      <c r="F650" s="5" t="s">
        <v>146</v>
      </c>
      <c r="G650" s="9">
        <v>9.00422E7</v>
      </c>
      <c r="H650" s="5" t="s">
        <v>73</v>
      </c>
      <c r="I650" s="10" t="s">
        <v>60</v>
      </c>
      <c r="J650" s="11">
        <v>3.67712825E8</v>
      </c>
      <c r="K650" s="11">
        <v>0.0</v>
      </c>
    </row>
    <row r="651">
      <c r="A651" s="5" t="s">
        <v>74</v>
      </c>
      <c r="B651" s="6" t="s">
        <v>233</v>
      </c>
      <c r="C651" s="7" t="s">
        <v>234</v>
      </c>
      <c r="D651" s="8">
        <v>1.0</v>
      </c>
      <c r="E651" s="7" t="s">
        <v>22</v>
      </c>
      <c r="F651" s="5" t="s">
        <v>146</v>
      </c>
      <c r="G651" s="9">
        <v>9.0042224E7</v>
      </c>
      <c r="H651" s="5" t="s">
        <v>62</v>
      </c>
      <c r="I651" s="10" t="s">
        <v>60</v>
      </c>
      <c r="J651" s="11">
        <v>6888580.0</v>
      </c>
      <c r="K651" s="11">
        <v>0.0</v>
      </c>
    </row>
    <row r="652">
      <c r="A652" s="5" t="s">
        <v>74</v>
      </c>
      <c r="B652" s="6" t="s">
        <v>233</v>
      </c>
      <c r="C652" s="7" t="s">
        <v>234</v>
      </c>
      <c r="D652" s="8">
        <v>1.0</v>
      </c>
      <c r="E652" s="7" t="s">
        <v>22</v>
      </c>
      <c r="F652" s="5" t="s">
        <v>146</v>
      </c>
      <c r="G652" s="9">
        <v>9.0042226E7</v>
      </c>
      <c r="H652" s="5" t="s">
        <v>63</v>
      </c>
      <c r="I652" s="10" t="s">
        <v>60</v>
      </c>
      <c r="J652" s="11">
        <v>408333.0</v>
      </c>
      <c r="K652" s="11">
        <v>0.0</v>
      </c>
    </row>
    <row r="653">
      <c r="A653" s="5" t="s">
        <v>74</v>
      </c>
      <c r="B653" s="6" t="s">
        <v>233</v>
      </c>
      <c r="C653" s="7" t="s">
        <v>234</v>
      </c>
      <c r="D653" s="8">
        <v>1.0</v>
      </c>
      <c r="E653" s="7" t="s">
        <v>22</v>
      </c>
      <c r="F653" s="5" t="s">
        <v>146</v>
      </c>
      <c r="G653" s="9">
        <v>9.0042227E7</v>
      </c>
      <c r="H653" s="5" t="s">
        <v>241</v>
      </c>
      <c r="I653" s="10" t="s">
        <v>60</v>
      </c>
      <c r="J653" s="11">
        <v>2930000.0</v>
      </c>
      <c r="K653" s="11">
        <v>0.0</v>
      </c>
    </row>
    <row r="654">
      <c r="A654" s="5" t="s">
        <v>74</v>
      </c>
      <c r="B654" s="6" t="s">
        <v>233</v>
      </c>
      <c r="C654" s="7" t="s">
        <v>234</v>
      </c>
      <c r="D654" s="8">
        <v>1.0</v>
      </c>
      <c r="E654" s="7" t="s">
        <v>22</v>
      </c>
      <c r="F654" s="5" t="s">
        <v>146</v>
      </c>
      <c r="G654" s="9">
        <v>9.0042228E7</v>
      </c>
      <c r="H654" s="5" t="s">
        <v>64</v>
      </c>
      <c r="I654" s="10" t="s">
        <v>60</v>
      </c>
      <c r="J654" s="11">
        <v>1.9746617E7</v>
      </c>
      <c r="K654" s="11">
        <v>0.0</v>
      </c>
    </row>
    <row r="655">
      <c r="A655" s="5" t="s">
        <v>74</v>
      </c>
      <c r="B655" s="6" t="s">
        <v>233</v>
      </c>
      <c r="C655" s="7" t="s">
        <v>234</v>
      </c>
      <c r="D655" s="8">
        <v>1.0</v>
      </c>
      <c r="E655" s="7" t="s">
        <v>22</v>
      </c>
      <c r="F655" s="5" t="s">
        <v>146</v>
      </c>
      <c r="G655" s="9">
        <v>9.0042231E7</v>
      </c>
      <c r="H655" s="5" t="s">
        <v>65</v>
      </c>
      <c r="I655" s="10" t="s">
        <v>60</v>
      </c>
      <c r="J655" s="11">
        <v>5162528.0</v>
      </c>
      <c r="K655" s="11">
        <v>0.0</v>
      </c>
    </row>
    <row r="656">
      <c r="A656" s="5" t="s">
        <v>74</v>
      </c>
      <c r="B656" s="6" t="s">
        <v>233</v>
      </c>
      <c r="C656" s="7" t="s">
        <v>234</v>
      </c>
      <c r="D656" s="8">
        <v>1.0</v>
      </c>
      <c r="E656" s="7" t="s">
        <v>22</v>
      </c>
      <c r="F656" s="5" t="s">
        <v>146</v>
      </c>
      <c r="G656" s="9">
        <v>9.0042126E7</v>
      </c>
      <c r="H656" s="5" t="s">
        <v>31</v>
      </c>
      <c r="I656" s="10" t="s">
        <v>25</v>
      </c>
      <c r="J656" s="11">
        <v>3.6872541E7</v>
      </c>
      <c r="K656" s="11">
        <v>0.0</v>
      </c>
    </row>
    <row r="657">
      <c r="A657" s="5" t="s">
        <v>74</v>
      </c>
      <c r="B657" s="6" t="s">
        <v>233</v>
      </c>
      <c r="C657" s="7" t="s">
        <v>234</v>
      </c>
      <c r="D657" s="8">
        <v>1.0</v>
      </c>
      <c r="E657" s="7" t="s">
        <v>242</v>
      </c>
      <c r="F657" s="5" t="s">
        <v>243</v>
      </c>
      <c r="G657" s="9">
        <v>9.0043003E7</v>
      </c>
      <c r="H657" s="5" t="s">
        <v>90</v>
      </c>
      <c r="I657" s="10" t="s">
        <v>50</v>
      </c>
      <c r="J657" s="11">
        <v>1654356.0</v>
      </c>
      <c r="K657" s="11">
        <v>11.0</v>
      </c>
    </row>
    <row r="658">
      <c r="A658" s="5" t="s">
        <v>74</v>
      </c>
      <c r="B658" s="6" t="s">
        <v>244</v>
      </c>
      <c r="C658" s="7" t="s">
        <v>245</v>
      </c>
      <c r="D658" s="8">
        <v>1.0</v>
      </c>
      <c r="E658" s="13">
        <v>46038.0</v>
      </c>
      <c r="F658" s="5" t="s">
        <v>150</v>
      </c>
      <c r="G658" s="9">
        <v>9.0043001E7</v>
      </c>
      <c r="H658" s="5" t="s">
        <v>18</v>
      </c>
      <c r="I658" s="10" t="s">
        <v>19</v>
      </c>
      <c r="J658" s="11">
        <v>2.4169792E7</v>
      </c>
      <c r="K658" s="11">
        <v>175.0</v>
      </c>
    </row>
    <row r="659">
      <c r="A659" s="5" t="s">
        <v>74</v>
      </c>
      <c r="B659" s="6" t="s">
        <v>244</v>
      </c>
      <c r="C659" s="7" t="s">
        <v>245</v>
      </c>
      <c r="D659" s="8">
        <v>1.0</v>
      </c>
      <c r="E659" s="13">
        <v>46158.0</v>
      </c>
      <c r="F659" s="5" t="s">
        <v>151</v>
      </c>
      <c r="G659" s="9">
        <v>9.0043001E7</v>
      </c>
      <c r="H659" s="5" t="s">
        <v>18</v>
      </c>
      <c r="I659" s="10" t="s">
        <v>19</v>
      </c>
      <c r="J659" s="11">
        <v>1929088.0</v>
      </c>
      <c r="K659" s="11">
        <v>14.0</v>
      </c>
    </row>
    <row r="660">
      <c r="A660" s="5" t="s">
        <v>74</v>
      </c>
      <c r="B660" s="6" t="s">
        <v>244</v>
      </c>
      <c r="C660" s="7" t="s">
        <v>245</v>
      </c>
      <c r="D660" s="8">
        <v>1.0</v>
      </c>
      <c r="E660" s="7" t="s">
        <v>77</v>
      </c>
      <c r="F660" s="5" t="s">
        <v>78</v>
      </c>
      <c r="G660" s="9">
        <v>9.0043001E7</v>
      </c>
      <c r="H660" s="5" t="s">
        <v>18</v>
      </c>
      <c r="I660" s="10" t="s">
        <v>19</v>
      </c>
      <c r="J660" s="11">
        <v>5900760.0</v>
      </c>
      <c r="K660" s="11">
        <v>42.0</v>
      </c>
    </row>
    <row r="661">
      <c r="A661" s="5" t="s">
        <v>74</v>
      </c>
      <c r="B661" s="6" t="s">
        <v>244</v>
      </c>
      <c r="C661" s="7" t="s">
        <v>245</v>
      </c>
      <c r="D661" s="8">
        <v>1.0</v>
      </c>
      <c r="E661" s="7" t="s">
        <v>222</v>
      </c>
      <c r="F661" s="5" t="s">
        <v>223</v>
      </c>
      <c r="G661" s="9">
        <v>5.1100153E7</v>
      </c>
      <c r="H661" s="5" t="s">
        <v>72</v>
      </c>
      <c r="I661" s="10" t="s">
        <v>17</v>
      </c>
      <c r="J661" s="11">
        <v>1851382.0</v>
      </c>
      <c r="K661" s="11">
        <v>11485.0</v>
      </c>
    </row>
    <row r="662">
      <c r="A662" s="5" t="s">
        <v>74</v>
      </c>
      <c r="B662" s="6" t="s">
        <v>244</v>
      </c>
      <c r="C662" s="7" t="s">
        <v>245</v>
      </c>
      <c r="D662" s="8">
        <v>1.0</v>
      </c>
      <c r="E662" s="7" t="s">
        <v>222</v>
      </c>
      <c r="F662" s="5" t="s">
        <v>223</v>
      </c>
      <c r="G662" s="9">
        <v>9.0043001E7</v>
      </c>
      <c r="H662" s="5" t="s">
        <v>18</v>
      </c>
      <c r="I662" s="10" t="s">
        <v>19</v>
      </c>
      <c r="J662" s="11">
        <v>77982.0</v>
      </c>
      <c r="K662" s="11">
        <v>0.5</v>
      </c>
    </row>
    <row r="663">
      <c r="A663" s="5" t="s">
        <v>74</v>
      </c>
      <c r="B663" s="6" t="s">
        <v>244</v>
      </c>
      <c r="C663" s="7" t="s">
        <v>245</v>
      </c>
      <c r="D663" s="8">
        <v>1.0</v>
      </c>
      <c r="E663" s="7" t="s">
        <v>81</v>
      </c>
      <c r="F663" s="5" t="s">
        <v>82</v>
      </c>
      <c r="G663" s="9">
        <v>9.0043001E7</v>
      </c>
      <c r="H663" s="5" t="s">
        <v>18</v>
      </c>
      <c r="I663" s="10" t="s">
        <v>19</v>
      </c>
      <c r="J663" s="11">
        <v>1.2598515E7</v>
      </c>
      <c r="K663" s="11">
        <v>87.0</v>
      </c>
    </row>
    <row r="664">
      <c r="A664" s="5" t="s">
        <v>74</v>
      </c>
      <c r="B664" s="6" t="s">
        <v>244</v>
      </c>
      <c r="C664" s="7" t="s">
        <v>245</v>
      </c>
      <c r="D664" s="8">
        <v>1.0</v>
      </c>
      <c r="E664" s="7" t="s">
        <v>84</v>
      </c>
      <c r="F664" s="5" t="s">
        <v>85</v>
      </c>
      <c r="G664" s="9">
        <v>9.0043001E7</v>
      </c>
      <c r="H664" s="5" t="s">
        <v>18</v>
      </c>
      <c r="I664" s="10" t="s">
        <v>19</v>
      </c>
      <c r="J664" s="11">
        <v>4.1753736E7</v>
      </c>
      <c r="K664" s="11">
        <v>285.5</v>
      </c>
    </row>
    <row r="665">
      <c r="A665" s="5" t="s">
        <v>74</v>
      </c>
      <c r="B665" s="6" t="s">
        <v>244</v>
      </c>
      <c r="C665" s="7" t="s">
        <v>245</v>
      </c>
      <c r="D665" s="8">
        <v>1.0</v>
      </c>
      <c r="E665" s="7" t="s">
        <v>84</v>
      </c>
      <c r="F665" s="5" t="s">
        <v>85</v>
      </c>
      <c r="G665" s="9">
        <v>9.0043E7</v>
      </c>
      <c r="H665" s="5" t="s">
        <v>83</v>
      </c>
      <c r="I665" s="10" t="s">
        <v>19</v>
      </c>
      <c r="J665" s="11">
        <v>4648571.0</v>
      </c>
      <c r="K665" s="11">
        <v>29.0</v>
      </c>
    </row>
    <row r="666">
      <c r="A666" s="5" t="s">
        <v>74</v>
      </c>
      <c r="B666" s="6" t="s">
        <v>244</v>
      </c>
      <c r="C666" s="7" t="s">
        <v>245</v>
      </c>
      <c r="D666" s="8">
        <v>1.0</v>
      </c>
      <c r="E666" s="7" t="s">
        <v>86</v>
      </c>
      <c r="F666" s="5" t="s">
        <v>87</v>
      </c>
      <c r="G666" s="9">
        <v>9.0043001E7</v>
      </c>
      <c r="H666" s="5" t="s">
        <v>18</v>
      </c>
      <c r="I666" s="10" t="s">
        <v>19</v>
      </c>
      <c r="J666" s="11">
        <v>3.5544906E7</v>
      </c>
      <c r="K666" s="11">
        <v>243.0</v>
      </c>
    </row>
    <row r="667">
      <c r="A667" s="5" t="s">
        <v>74</v>
      </c>
      <c r="B667" s="6" t="s">
        <v>244</v>
      </c>
      <c r="C667" s="7" t="s">
        <v>245</v>
      </c>
      <c r="D667" s="8">
        <v>1.0</v>
      </c>
      <c r="E667" s="7" t="s">
        <v>86</v>
      </c>
      <c r="F667" s="5" t="s">
        <v>87</v>
      </c>
      <c r="G667" s="9">
        <v>9.0043E7</v>
      </c>
      <c r="H667" s="5" t="s">
        <v>83</v>
      </c>
      <c r="I667" s="10" t="s">
        <v>19</v>
      </c>
      <c r="J667" s="11">
        <v>2542774.0</v>
      </c>
      <c r="K667" s="11">
        <v>16.0</v>
      </c>
    </row>
    <row r="668">
      <c r="A668" s="5" t="s">
        <v>74</v>
      </c>
      <c r="B668" s="6" t="s">
        <v>244</v>
      </c>
      <c r="C668" s="7" t="s">
        <v>245</v>
      </c>
      <c r="D668" s="8">
        <v>1.0</v>
      </c>
      <c r="E668" s="7" t="s">
        <v>91</v>
      </c>
      <c r="F668" s="5" t="s">
        <v>92</v>
      </c>
      <c r="G668" s="9">
        <v>9.0043001E7</v>
      </c>
      <c r="H668" s="5" t="s">
        <v>18</v>
      </c>
      <c r="I668" s="10" t="s">
        <v>19</v>
      </c>
      <c r="J668" s="11">
        <v>7508549.0</v>
      </c>
      <c r="K668" s="11">
        <v>53.0</v>
      </c>
    </row>
    <row r="669">
      <c r="A669" s="5" t="s">
        <v>74</v>
      </c>
      <c r="B669" s="6" t="s">
        <v>244</v>
      </c>
      <c r="C669" s="7" t="s">
        <v>245</v>
      </c>
      <c r="D669" s="8">
        <v>1.0</v>
      </c>
      <c r="E669" s="7" t="s">
        <v>246</v>
      </c>
      <c r="F669" s="5" t="s">
        <v>247</v>
      </c>
      <c r="G669" s="9">
        <v>9.0043001E7</v>
      </c>
      <c r="H669" s="5" t="s">
        <v>18</v>
      </c>
      <c r="I669" s="10" t="s">
        <v>19</v>
      </c>
      <c r="J669" s="11">
        <v>1.4862204E7</v>
      </c>
      <c r="K669" s="11">
        <v>99.0</v>
      </c>
    </row>
    <row r="670">
      <c r="A670" s="5" t="s">
        <v>74</v>
      </c>
      <c r="B670" s="6" t="s">
        <v>244</v>
      </c>
      <c r="C670" s="7" t="s">
        <v>245</v>
      </c>
      <c r="D670" s="8">
        <v>1.0</v>
      </c>
      <c r="E670" s="7" t="s">
        <v>156</v>
      </c>
      <c r="F670" s="5" t="s">
        <v>157</v>
      </c>
      <c r="G670" s="9">
        <v>9.0043001E7</v>
      </c>
      <c r="H670" s="5" t="s">
        <v>18</v>
      </c>
      <c r="I670" s="10" t="s">
        <v>19</v>
      </c>
      <c r="J670" s="11">
        <v>1.2659258E7</v>
      </c>
      <c r="K670" s="11">
        <v>86.0</v>
      </c>
    </row>
    <row r="671">
      <c r="A671" s="5" t="s">
        <v>74</v>
      </c>
      <c r="B671" s="6" t="s">
        <v>244</v>
      </c>
      <c r="C671" s="7" t="s">
        <v>245</v>
      </c>
      <c r="D671" s="8">
        <v>1.0</v>
      </c>
      <c r="E671" s="7" t="s">
        <v>95</v>
      </c>
      <c r="F671" s="5" t="s">
        <v>96</v>
      </c>
      <c r="G671" s="9">
        <v>5.1100058E7</v>
      </c>
      <c r="H671" s="5" t="s">
        <v>36</v>
      </c>
      <c r="I671" s="10" t="s">
        <v>37</v>
      </c>
      <c r="J671" s="11">
        <v>8116688.0</v>
      </c>
      <c r="K671" s="11">
        <v>108.25</v>
      </c>
    </row>
    <row r="672">
      <c r="A672" s="5" t="s">
        <v>74</v>
      </c>
      <c r="B672" s="6" t="s">
        <v>244</v>
      </c>
      <c r="C672" s="7" t="s">
        <v>245</v>
      </c>
      <c r="D672" s="8">
        <v>1.0</v>
      </c>
      <c r="E672" s="7" t="s">
        <v>95</v>
      </c>
      <c r="F672" s="5" t="s">
        <v>96</v>
      </c>
      <c r="G672" s="9">
        <v>5.1100651E7</v>
      </c>
      <c r="H672" s="5" t="s">
        <v>38</v>
      </c>
      <c r="I672" s="10" t="s">
        <v>25</v>
      </c>
      <c r="J672" s="11">
        <v>0.0</v>
      </c>
      <c r="K672" s="11">
        <v>0.0</v>
      </c>
    </row>
    <row r="673">
      <c r="A673" s="5" t="s">
        <v>74</v>
      </c>
      <c r="B673" s="6" t="s">
        <v>244</v>
      </c>
      <c r="C673" s="7" t="s">
        <v>245</v>
      </c>
      <c r="D673" s="8">
        <v>1.0</v>
      </c>
      <c r="E673" s="7" t="s">
        <v>95</v>
      </c>
      <c r="F673" s="5" t="s">
        <v>96</v>
      </c>
      <c r="G673" s="9">
        <v>9.0043001E7</v>
      </c>
      <c r="H673" s="5" t="s">
        <v>18</v>
      </c>
      <c r="I673" s="10" t="s">
        <v>19</v>
      </c>
      <c r="J673" s="11">
        <v>6351525.0</v>
      </c>
      <c r="K673" s="11">
        <v>45.0</v>
      </c>
    </row>
    <row r="674">
      <c r="A674" s="5" t="s">
        <v>74</v>
      </c>
      <c r="B674" s="6" t="s">
        <v>244</v>
      </c>
      <c r="C674" s="7" t="s">
        <v>245</v>
      </c>
      <c r="D674" s="8">
        <v>1.0</v>
      </c>
      <c r="E674" s="7" t="s">
        <v>95</v>
      </c>
      <c r="F674" s="5" t="s">
        <v>96</v>
      </c>
      <c r="G674" s="9">
        <v>5.1100774E7</v>
      </c>
      <c r="H674" s="5" t="s">
        <v>39</v>
      </c>
      <c r="I674" s="10" t="s">
        <v>17</v>
      </c>
      <c r="J674" s="11">
        <v>1.1675256E7</v>
      </c>
      <c r="K674" s="11">
        <v>168.6</v>
      </c>
    </row>
    <row r="675">
      <c r="A675" s="5" t="s">
        <v>74</v>
      </c>
      <c r="B675" s="6" t="s">
        <v>244</v>
      </c>
      <c r="C675" s="7" t="s">
        <v>245</v>
      </c>
      <c r="D675" s="8">
        <v>1.0</v>
      </c>
      <c r="E675" s="7" t="s">
        <v>99</v>
      </c>
      <c r="F675" s="5" t="s">
        <v>100</v>
      </c>
      <c r="G675" s="9">
        <v>9.0043001E7</v>
      </c>
      <c r="H675" s="5" t="s">
        <v>18</v>
      </c>
      <c r="I675" s="10" t="s">
        <v>19</v>
      </c>
      <c r="J675" s="11">
        <v>3.7595138E7</v>
      </c>
      <c r="K675" s="11">
        <v>269.0</v>
      </c>
    </row>
    <row r="676">
      <c r="A676" s="5" t="s">
        <v>74</v>
      </c>
      <c r="B676" s="6" t="s">
        <v>244</v>
      </c>
      <c r="C676" s="7" t="s">
        <v>245</v>
      </c>
      <c r="D676" s="8">
        <v>1.0</v>
      </c>
      <c r="E676" s="7" t="s">
        <v>101</v>
      </c>
      <c r="F676" s="5" t="s">
        <v>102</v>
      </c>
      <c r="G676" s="9">
        <v>5.1100651E7</v>
      </c>
      <c r="H676" s="5" t="s">
        <v>38</v>
      </c>
      <c r="I676" s="10" t="s">
        <v>25</v>
      </c>
      <c r="J676" s="11">
        <v>-2.0</v>
      </c>
      <c r="K676" s="11">
        <v>0.0</v>
      </c>
    </row>
    <row r="677">
      <c r="A677" s="5" t="s">
        <v>74</v>
      </c>
      <c r="B677" s="6" t="s">
        <v>244</v>
      </c>
      <c r="C677" s="7" t="s">
        <v>245</v>
      </c>
      <c r="D677" s="8">
        <v>1.0</v>
      </c>
      <c r="E677" s="7" t="s">
        <v>101</v>
      </c>
      <c r="F677" s="5" t="s">
        <v>102</v>
      </c>
      <c r="G677" s="9">
        <v>9.0043001E7</v>
      </c>
      <c r="H677" s="5" t="s">
        <v>18</v>
      </c>
      <c r="I677" s="10" t="s">
        <v>19</v>
      </c>
      <c r="J677" s="11">
        <v>1.38225025E8</v>
      </c>
      <c r="K677" s="11">
        <v>932.0</v>
      </c>
    </row>
    <row r="678">
      <c r="A678" s="5" t="s">
        <v>74</v>
      </c>
      <c r="B678" s="6" t="s">
        <v>244</v>
      </c>
      <c r="C678" s="7" t="s">
        <v>245</v>
      </c>
      <c r="D678" s="8">
        <v>1.0</v>
      </c>
      <c r="E678" s="7" t="s">
        <v>101</v>
      </c>
      <c r="F678" s="5" t="s">
        <v>102</v>
      </c>
      <c r="G678" s="9">
        <v>9.0043E7</v>
      </c>
      <c r="H678" s="5" t="s">
        <v>83</v>
      </c>
      <c r="I678" s="10" t="s">
        <v>19</v>
      </c>
      <c r="J678" s="11">
        <v>156829.0</v>
      </c>
      <c r="K678" s="11">
        <v>1.0</v>
      </c>
    </row>
    <row r="679">
      <c r="A679" s="5" t="s">
        <v>74</v>
      </c>
      <c r="B679" s="6" t="s">
        <v>244</v>
      </c>
      <c r="C679" s="7" t="s">
        <v>245</v>
      </c>
      <c r="D679" s="8">
        <v>1.0</v>
      </c>
      <c r="E679" s="7" t="s">
        <v>101</v>
      </c>
      <c r="F679" s="5" t="s">
        <v>102</v>
      </c>
      <c r="G679" s="9">
        <v>5.1100774E7</v>
      </c>
      <c r="H679" s="5" t="s">
        <v>39</v>
      </c>
      <c r="I679" s="10" t="s">
        <v>17</v>
      </c>
      <c r="J679" s="11">
        <v>5.0412726E7</v>
      </c>
      <c r="K679" s="11">
        <v>123.0</v>
      </c>
    </row>
    <row r="680">
      <c r="A680" s="5" t="s">
        <v>74</v>
      </c>
      <c r="B680" s="6" t="s">
        <v>244</v>
      </c>
      <c r="C680" s="7" t="s">
        <v>245</v>
      </c>
      <c r="D680" s="8">
        <v>1.0</v>
      </c>
      <c r="E680" s="7" t="s">
        <v>103</v>
      </c>
      <c r="F680" s="5" t="s">
        <v>104</v>
      </c>
      <c r="G680" s="9">
        <v>5.1100058E7</v>
      </c>
      <c r="H680" s="5" t="s">
        <v>36</v>
      </c>
      <c r="I680" s="10" t="s">
        <v>37</v>
      </c>
      <c r="J680" s="11">
        <v>3.1809115E7</v>
      </c>
      <c r="K680" s="11">
        <v>443.62</v>
      </c>
    </row>
    <row r="681">
      <c r="A681" s="5" t="s">
        <v>74</v>
      </c>
      <c r="B681" s="6" t="s">
        <v>244</v>
      </c>
      <c r="C681" s="7" t="s">
        <v>245</v>
      </c>
      <c r="D681" s="8">
        <v>1.0</v>
      </c>
      <c r="E681" s="7" t="s">
        <v>103</v>
      </c>
      <c r="F681" s="5" t="s">
        <v>104</v>
      </c>
      <c r="G681" s="9">
        <v>9.0043001E7</v>
      </c>
      <c r="H681" s="5" t="s">
        <v>18</v>
      </c>
      <c r="I681" s="10" t="s">
        <v>19</v>
      </c>
      <c r="J681" s="11">
        <v>2.5804134E7</v>
      </c>
      <c r="K681" s="11">
        <v>183.0</v>
      </c>
    </row>
    <row r="682">
      <c r="A682" s="5" t="s">
        <v>74</v>
      </c>
      <c r="B682" s="6" t="s">
        <v>244</v>
      </c>
      <c r="C682" s="7" t="s">
        <v>245</v>
      </c>
      <c r="D682" s="8">
        <v>1.0</v>
      </c>
      <c r="E682" s="7" t="s">
        <v>108</v>
      </c>
      <c r="F682" s="5" t="s">
        <v>109</v>
      </c>
      <c r="G682" s="9">
        <v>5.1100058E7</v>
      </c>
      <c r="H682" s="5" t="s">
        <v>36</v>
      </c>
      <c r="I682" s="10" t="s">
        <v>37</v>
      </c>
      <c r="J682" s="11">
        <v>1.132075E7</v>
      </c>
      <c r="K682" s="11">
        <v>143.0</v>
      </c>
    </row>
    <row r="683">
      <c r="A683" s="5" t="s">
        <v>74</v>
      </c>
      <c r="B683" s="6" t="s">
        <v>244</v>
      </c>
      <c r="C683" s="7" t="s">
        <v>245</v>
      </c>
      <c r="D683" s="8">
        <v>1.0</v>
      </c>
      <c r="E683" s="7" t="s">
        <v>108</v>
      </c>
      <c r="F683" s="5" t="s">
        <v>109</v>
      </c>
      <c r="G683" s="9">
        <v>5.1100651E7</v>
      </c>
      <c r="H683" s="5" t="s">
        <v>38</v>
      </c>
      <c r="I683" s="10" t="s">
        <v>25</v>
      </c>
      <c r="J683" s="11">
        <v>0.0</v>
      </c>
      <c r="K683" s="11">
        <v>0.0</v>
      </c>
    </row>
    <row r="684">
      <c r="A684" s="5" t="s">
        <v>74</v>
      </c>
      <c r="B684" s="6" t="s">
        <v>244</v>
      </c>
      <c r="C684" s="7" t="s">
        <v>245</v>
      </c>
      <c r="D684" s="8">
        <v>1.0</v>
      </c>
      <c r="E684" s="7" t="s">
        <v>108</v>
      </c>
      <c r="F684" s="5" t="s">
        <v>109</v>
      </c>
      <c r="G684" s="9">
        <v>5.1100774E7</v>
      </c>
      <c r="H684" s="5" t="s">
        <v>39</v>
      </c>
      <c r="I684" s="10" t="s">
        <v>17</v>
      </c>
      <c r="J684" s="11">
        <v>7438924.0</v>
      </c>
      <c r="K684" s="11">
        <v>201.42</v>
      </c>
    </row>
    <row r="685">
      <c r="A685" s="5" t="s">
        <v>74</v>
      </c>
      <c r="B685" s="6" t="s">
        <v>244</v>
      </c>
      <c r="C685" s="7" t="s">
        <v>245</v>
      </c>
      <c r="D685" s="8">
        <v>1.0</v>
      </c>
      <c r="E685" s="7" t="s">
        <v>123</v>
      </c>
      <c r="F685" s="5" t="s">
        <v>124</v>
      </c>
      <c r="G685" s="9">
        <v>5.1100651E7</v>
      </c>
      <c r="H685" s="5" t="s">
        <v>38</v>
      </c>
      <c r="I685" s="10" t="s">
        <v>25</v>
      </c>
      <c r="J685" s="11">
        <v>0.0</v>
      </c>
      <c r="K685" s="11">
        <v>0.0</v>
      </c>
    </row>
    <row r="686">
      <c r="A686" s="5" t="s">
        <v>74</v>
      </c>
      <c r="B686" s="6" t="s">
        <v>244</v>
      </c>
      <c r="C686" s="7" t="s">
        <v>245</v>
      </c>
      <c r="D686" s="8">
        <v>1.0</v>
      </c>
      <c r="E686" s="7" t="s">
        <v>123</v>
      </c>
      <c r="F686" s="5" t="s">
        <v>124</v>
      </c>
      <c r="G686" s="9">
        <v>9.0043001E7</v>
      </c>
      <c r="H686" s="5" t="s">
        <v>18</v>
      </c>
      <c r="I686" s="10" t="s">
        <v>19</v>
      </c>
      <c r="J686" s="11">
        <v>4345708.0</v>
      </c>
      <c r="K686" s="11">
        <v>31.0</v>
      </c>
    </row>
    <row r="687">
      <c r="A687" s="5" t="s">
        <v>74</v>
      </c>
      <c r="B687" s="6" t="s">
        <v>244</v>
      </c>
      <c r="C687" s="7" t="s">
        <v>245</v>
      </c>
      <c r="D687" s="8">
        <v>1.0</v>
      </c>
      <c r="E687" s="7" t="s">
        <v>123</v>
      </c>
      <c r="F687" s="5" t="s">
        <v>124</v>
      </c>
      <c r="G687" s="9">
        <v>5.1100774E7</v>
      </c>
      <c r="H687" s="5" t="s">
        <v>39</v>
      </c>
      <c r="I687" s="10" t="s">
        <v>17</v>
      </c>
      <c r="J687" s="11">
        <v>4.1556336E7</v>
      </c>
      <c r="K687" s="11">
        <v>56.26</v>
      </c>
    </row>
    <row r="688">
      <c r="A688" s="5" t="s">
        <v>74</v>
      </c>
      <c r="B688" s="6" t="s">
        <v>244</v>
      </c>
      <c r="C688" s="7" t="s">
        <v>245</v>
      </c>
      <c r="D688" s="8">
        <v>1.0</v>
      </c>
      <c r="E688" s="7" t="s">
        <v>125</v>
      </c>
      <c r="F688" s="5" t="s">
        <v>126</v>
      </c>
      <c r="G688" s="9">
        <v>9.0043001E7</v>
      </c>
      <c r="H688" s="5" t="s">
        <v>18</v>
      </c>
      <c r="I688" s="10" t="s">
        <v>19</v>
      </c>
      <c r="J688" s="11">
        <v>4.1427982E8</v>
      </c>
      <c r="K688" s="11">
        <v>2947.0</v>
      </c>
    </row>
    <row r="689">
      <c r="A689" s="5" t="s">
        <v>74</v>
      </c>
      <c r="B689" s="6" t="s">
        <v>244</v>
      </c>
      <c r="C689" s="7" t="s">
        <v>245</v>
      </c>
      <c r="D689" s="8">
        <v>1.0</v>
      </c>
      <c r="E689" s="7" t="s">
        <v>127</v>
      </c>
      <c r="F689" s="5" t="s">
        <v>128</v>
      </c>
      <c r="G689" s="9">
        <v>5.1100153E7</v>
      </c>
      <c r="H689" s="5" t="s">
        <v>72</v>
      </c>
      <c r="I689" s="10" t="s">
        <v>17</v>
      </c>
      <c r="J689" s="11">
        <v>4.25996257E8</v>
      </c>
      <c r="K689" s="11">
        <v>2261139.0</v>
      </c>
    </row>
    <row r="690">
      <c r="A690" s="5" t="s">
        <v>74</v>
      </c>
      <c r="B690" s="6" t="s">
        <v>244</v>
      </c>
      <c r="C690" s="7" t="s">
        <v>245</v>
      </c>
      <c r="D690" s="8">
        <v>1.0</v>
      </c>
      <c r="E690" s="7" t="s">
        <v>127</v>
      </c>
      <c r="F690" s="5" t="s">
        <v>128</v>
      </c>
      <c r="G690" s="9">
        <v>9.0043001E7</v>
      </c>
      <c r="H690" s="5" t="s">
        <v>18</v>
      </c>
      <c r="I690" s="10" t="s">
        <v>19</v>
      </c>
      <c r="J690" s="11">
        <v>857794.0</v>
      </c>
      <c r="K690" s="11">
        <v>5.5</v>
      </c>
    </row>
    <row r="691">
      <c r="A691" s="5" t="s">
        <v>74</v>
      </c>
      <c r="B691" s="6" t="s">
        <v>244</v>
      </c>
      <c r="C691" s="7" t="s">
        <v>245</v>
      </c>
      <c r="D691" s="8">
        <v>1.0</v>
      </c>
      <c r="E691" s="7" t="s">
        <v>129</v>
      </c>
      <c r="F691" s="5" t="s">
        <v>130</v>
      </c>
      <c r="G691" s="9">
        <v>5.1101056E7</v>
      </c>
      <c r="H691" s="5" t="s">
        <v>16</v>
      </c>
      <c r="I691" s="10" t="s">
        <v>17</v>
      </c>
      <c r="J691" s="11">
        <v>2.49084E7</v>
      </c>
      <c r="K691" s="11">
        <v>94.0</v>
      </c>
    </row>
    <row r="692">
      <c r="A692" s="5" t="s">
        <v>74</v>
      </c>
      <c r="B692" s="6" t="s">
        <v>244</v>
      </c>
      <c r="C692" s="7" t="s">
        <v>245</v>
      </c>
      <c r="D692" s="8">
        <v>1.0</v>
      </c>
      <c r="E692" s="7" t="s">
        <v>129</v>
      </c>
      <c r="F692" s="5" t="s">
        <v>130</v>
      </c>
      <c r="G692" s="9">
        <v>9.0043001E7</v>
      </c>
      <c r="H692" s="5" t="s">
        <v>18</v>
      </c>
      <c r="I692" s="10" t="s">
        <v>19</v>
      </c>
      <c r="J692" s="11">
        <v>1.2312801E7</v>
      </c>
      <c r="K692" s="11">
        <v>87.5</v>
      </c>
    </row>
    <row r="693">
      <c r="A693" s="5" t="s">
        <v>74</v>
      </c>
      <c r="B693" s="6" t="s">
        <v>244</v>
      </c>
      <c r="C693" s="7" t="s">
        <v>245</v>
      </c>
      <c r="D693" s="8">
        <v>1.0</v>
      </c>
      <c r="E693" s="7" t="s">
        <v>129</v>
      </c>
      <c r="F693" s="5" t="s">
        <v>130</v>
      </c>
      <c r="G693" s="9">
        <v>9.0043003E7</v>
      </c>
      <c r="H693" s="5" t="s">
        <v>90</v>
      </c>
      <c r="I693" s="10" t="s">
        <v>50</v>
      </c>
      <c r="J693" s="11">
        <v>5.4521128E7</v>
      </c>
      <c r="K693" s="11">
        <v>578.4</v>
      </c>
    </row>
    <row r="694">
      <c r="A694" s="5" t="s">
        <v>74</v>
      </c>
      <c r="B694" s="6" t="s">
        <v>244</v>
      </c>
      <c r="C694" s="7" t="s">
        <v>245</v>
      </c>
      <c r="D694" s="8">
        <v>1.0</v>
      </c>
      <c r="E694" s="7" t="s">
        <v>131</v>
      </c>
      <c r="F694" s="5" t="s">
        <v>132</v>
      </c>
      <c r="G694" s="9">
        <v>9.0043001E7</v>
      </c>
      <c r="H694" s="5" t="s">
        <v>18</v>
      </c>
      <c r="I694" s="10" t="s">
        <v>19</v>
      </c>
      <c r="J694" s="11">
        <v>1.4485983E7</v>
      </c>
      <c r="K694" s="11">
        <v>103.0</v>
      </c>
    </row>
    <row r="695">
      <c r="A695" s="5" t="s">
        <v>74</v>
      </c>
      <c r="B695" s="6" t="s">
        <v>244</v>
      </c>
      <c r="C695" s="7" t="s">
        <v>245</v>
      </c>
      <c r="D695" s="8">
        <v>1.0</v>
      </c>
      <c r="E695" s="7" t="s">
        <v>135</v>
      </c>
      <c r="F695" s="5" t="s">
        <v>136</v>
      </c>
      <c r="G695" s="9">
        <v>9.0043001E7</v>
      </c>
      <c r="H695" s="5" t="s">
        <v>18</v>
      </c>
      <c r="I695" s="10" t="s">
        <v>19</v>
      </c>
      <c r="J695" s="11">
        <v>3.5215068E7</v>
      </c>
      <c r="K695" s="11">
        <v>251.0</v>
      </c>
    </row>
    <row r="696">
      <c r="A696" s="5" t="s">
        <v>74</v>
      </c>
      <c r="B696" s="6" t="s">
        <v>244</v>
      </c>
      <c r="C696" s="7" t="s">
        <v>245</v>
      </c>
      <c r="D696" s="8">
        <v>1.0</v>
      </c>
      <c r="E696" s="7" t="s">
        <v>162</v>
      </c>
      <c r="F696" s="5" t="s">
        <v>163</v>
      </c>
      <c r="G696" s="9">
        <v>9.0043001E7</v>
      </c>
      <c r="H696" s="5" t="s">
        <v>18</v>
      </c>
      <c r="I696" s="10" t="s">
        <v>19</v>
      </c>
      <c r="J696" s="11">
        <v>1.3364405E7</v>
      </c>
      <c r="K696" s="11">
        <v>96.0</v>
      </c>
    </row>
    <row r="697">
      <c r="A697" s="5" t="s">
        <v>74</v>
      </c>
      <c r="B697" s="6" t="s">
        <v>244</v>
      </c>
      <c r="C697" s="7" t="s">
        <v>245</v>
      </c>
      <c r="D697" s="8">
        <v>1.0</v>
      </c>
      <c r="E697" s="7" t="s">
        <v>54</v>
      </c>
      <c r="F697" s="5" t="s">
        <v>139</v>
      </c>
      <c r="G697" s="9">
        <v>9.0042011E7</v>
      </c>
      <c r="H697" s="5" t="s">
        <v>55</v>
      </c>
      <c r="I697" s="10" t="s">
        <v>19</v>
      </c>
      <c r="J697" s="11">
        <v>3.25530587E8</v>
      </c>
      <c r="K697" s="11">
        <v>0.0</v>
      </c>
    </row>
    <row r="698">
      <c r="A698" s="5" t="s">
        <v>74</v>
      </c>
      <c r="B698" s="6" t="s">
        <v>244</v>
      </c>
      <c r="C698" s="7" t="s">
        <v>245</v>
      </c>
      <c r="D698" s="8">
        <v>1.0</v>
      </c>
      <c r="E698" s="7" t="s">
        <v>20</v>
      </c>
      <c r="F698" s="5" t="s">
        <v>140</v>
      </c>
      <c r="G698" s="9">
        <v>9.0042014E7</v>
      </c>
      <c r="H698" s="5" t="s">
        <v>21</v>
      </c>
      <c r="I698" s="10" t="s">
        <v>19</v>
      </c>
      <c r="J698" s="11">
        <v>4.9776378E8</v>
      </c>
      <c r="K698" s="11">
        <v>0.0</v>
      </c>
    </row>
    <row r="699">
      <c r="A699" s="5" t="s">
        <v>74</v>
      </c>
      <c r="B699" s="6" t="s">
        <v>244</v>
      </c>
      <c r="C699" s="7" t="s">
        <v>245</v>
      </c>
      <c r="D699" s="8">
        <v>1.0</v>
      </c>
      <c r="E699" s="7" t="s">
        <v>20</v>
      </c>
      <c r="F699" s="5" t="s">
        <v>140</v>
      </c>
      <c r="G699" s="9">
        <v>9.0042077E7</v>
      </c>
      <c r="H699" s="5" t="s">
        <v>141</v>
      </c>
      <c r="I699" s="10" t="s">
        <v>19</v>
      </c>
      <c r="J699" s="11">
        <v>2.39352774E8</v>
      </c>
      <c r="K699" s="11">
        <v>0.0</v>
      </c>
    </row>
    <row r="700">
      <c r="A700" s="5" t="s">
        <v>74</v>
      </c>
      <c r="B700" s="6" t="s">
        <v>244</v>
      </c>
      <c r="C700" s="7" t="s">
        <v>245</v>
      </c>
      <c r="D700" s="8">
        <v>1.0</v>
      </c>
      <c r="E700" s="7" t="s">
        <v>142</v>
      </c>
      <c r="F700" s="5" t="s">
        <v>143</v>
      </c>
      <c r="G700" s="9">
        <v>9.0042084E7</v>
      </c>
      <c r="H700" s="5" t="s">
        <v>145</v>
      </c>
      <c r="I700" s="10" t="s">
        <v>19</v>
      </c>
      <c r="J700" s="11">
        <v>7037040.0</v>
      </c>
      <c r="K700" s="11">
        <v>0.0</v>
      </c>
    </row>
    <row r="701">
      <c r="A701" s="5" t="s">
        <v>74</v>
      </c>
      <c r="B701" s="6" t="s">
        <v>244</v>
      </c>
      <c r="C701" s="7" t="s">
        <v>245</v>
      </c>
      <c r="D701" s="8">
        <v>1.0</v>
      </c>
      <c r="E701" s="7" t="s">
        <v>22</v>
      </c>
      <c r="F701" s="5" t="s">
        <v>146</v>
      </c>
      <c r="G701" s="9">
        <v>9.0042012E7</v>
      </c>
      <c r="H701" s="5" t="s">
        <v>23</v>
      </c>
      <c r="I701" s="10" t="s">
        <v>19</v>
      </c>
      <c r="J701" s="11">
        <v>1.19749317E8</v>
      </c>
      <c r="K701" s="11">
        <v>0.0</v>
      </c>
    </row>
    <row r="702">
      <c r="A702" s="5" t="s">
        <v>74</v>
      </c>
      <c r="B702" s="6" t="s">
        <v>244</v>
      </c>
      <c r="C702" s="7" t="s">
        <v>245</v>
      </c>
      <c r="D702" s="8">
        <v>1.0</v>
      </c>
      <c r="E702" s="7" t="s">
        <v>22</v>
      </c>
      <c r="F702" s="5" t="s">
        <v>146</v>
      </c>
      <c r="G702" s="9">
        <v>9.0042121E7</v>
      </c>
      <c r="H702" s="5" t="s">
        <v>24</v>
      </c>
      <c r="I702" s="10" t="s">
        <v>25</v>
      </c>
      <c r="J702" s="11">
        <v>4.47064222E8</v>
      </c>
      <c r="K702" s="11">
        <v>0.0</v>
      </c>
    </row>
    <row r="703">
      <c r="A703" s="5" t="s">
        <v>74</v>
      </c>
      <c r="B703" s="6" t="s">
        <v>244</v>
      </c>
      <c r="C703" s="7" t="s">
        <v>245</v>
      </c>
      <c r="D703" s="8">
        <v>1.0</v>
      </c>
      <c r="E703" s="7" t="s">
        <v>22</v>
      </c>
      <c r="F703" s="5" t="s">
        <v>146</v>
      </c>
      <c r="G703" s="9">
        <v>9.0042122E7</v>
      </c>
      <c r="H703" s="5" t="s">
        <v>56</v>
      </c>
      <c r="I703" s="10" t="s">
        <v>25</v>
      </c>
      <c r="J703" s="11">
        <v>9.0900189E7</v>
      </c>
      <c r="K703" s="11">
        <v>0.0</v>
      </c>
    </row>
    <row r="704">
      <c r="A704" s="5" t="s">
        <v>74</v>
      </c>
      <c r="B704" s="6" t="s">
        <v>244</v>
      </c>
      <c r="C704" s="7" t="s">
        <v>245</v>
      </c>
      <c r="D704" s="8">
        <v>1.0</v>
      </c>
      <c r="E704" s="7" t="s">
        <v>22</v>
      </c>
      <c r="F704" s="5" t="s">
        <v>146</v>
      </c>
      <c r="G704" s="9">
        <v>9.0042124E7</v>
      </c>
      <c r="H704" s="5" t="s">
        <v>57</v>
      </c>
      <c r="I704" s="10" t="s">
        <v>25</v>
      </c>
      <c r="J704" s="11">
        <v>7198530.0</v>
      </c>
      <c r="K704" s="11">
        <v>0.0</v>
      </c>
    </row>
    <row r="705">
      <c r="A705" s="5" t="s">
        <v>74</v>
      </c>
      <c r="B705" s="6" t="s">
        <v>244</v>
      </c>
      <c r="C705" s="7" t="s">
        <v>245</v>
      </c>
      <c r="D705" s="8">
        <v>1.0</v>
      </c>
      <c r="E705" s="7" t="s">
        <v>22</v>
      </c>
      <c r="F705" s="5" t="s">
        <v>146</v>
      </c>
      <c r="G705" s="9">
        <v>9.0042125E7</v>
      </c>
      <c r="H705" s="5" t="s">
        <v>26</v>
      </c>
      <c r="I705" s="10" t="s">
        <v>25</v>
      </c>
      <c r="J705" s="11">
        <v>6.2791339E7</v>
      </c>
      <c r="K705" s="11">
        <v>0.0</v>
      </c>
    </row>
    <row r="706">
      <c r="A706" s="5" t="s">
        <v>74</v>
      </c>
      <c r="B706" s="6" t="s">
        <v>244</v>
      </c>
      <c r="C706" s="7" t="s">
        <v>245</v>
      </c>
      <c r="D706" s="8">
        <v>1.0</v>
      </c>
      <c r="E706" s="7" t="s">
        <v>22</v>
      </c>
      <c r="F706" s="5" t="s">
        <v>146</v>
      </c>
      <c r="G706" s="9">
        <v>9.0042128E7</v>
      </c>
      <c r="H706" s="5" t="s">
        <v>58</v>
      </c>
      <c r="I706" s="10" t="s">
        <v>25</v>
      </c>
      <c r="J706" s="11">
        <v>5.4032016E7</v>
      </c>
      <c r="K706" s="11">
        <v>0.0</v>
      </c>
    </row>
    <row r="707">
      <c r="A707" s="5" t="s">
        <v>74</v>
      </c>
      <c r="B707" s="6" t="s">
        <v>244</v>
      </c>
      <c r="C707" s="7" t="s">
        <v>245</v>
      </c>
      <c r="D707" s="8">
        <v>1.0</v>
      </c>
      <c r="E707" s="7" t="s">
        <v>22</v>
      </c>
      <c r="F707" s="5" t="s">
        <v>146</v>
      </c>
      <c r="G707" s="9">
        <v>9.0042132E7</v>
      </c>
      <c r="H707" s="5" t="s">
        <v>28</v>
      </c>
      <c r="I707" s="10" t="s">
        <v>25</v>
      </c>
      <c r="J707" s="11">
        <v>2.1063949E7</v>
      </c>
      <c r="K707" s="11">
        <v>0.0</v>
      </c>
    </row>
    <row r="708">
      <c r="A708" s="5" t="s">
        <v>74</v>
      </c>
      <c r="B708" s="6" t="s">
        <v>244</v>
      </c>
      <c r="C708" s="7" t="s">
        <v>245</v>
      </c>
      <c r="D708" s="8">
        <v>1.0</v>
      </c>
      <c r="E708" s="7" t="s">
        <v>22</v>
      </c>
      <c r="F708" s="5" t="s">
        <v>146</v>
      </c>
      <c r="G708" s="9">
        <v>9.0042134E7</v>
      </c>
      <c r="H708" s="5" t="s">
        <v>29</v>
      </c>
      <c r="I708" s="10" t="s">
        <v>25</v>
      </c>
      <c r="J708" s="11">
        <v>1000000.0</v>
      </c>
      <c r="K708" s="11">
        <v>0.0</v>
      </c>
    </row>
    <row r="709">
      <c r="A709" s="5" t="s">
        <v>74</v>
      </c>
      <c r="B709" s="6" t="s">
        <v>244</v>
      </c>
      <c r="C709" s="7" t="s">
        <v>245</v>
      </c>
      <c r="D709" s="8">
        <v>1.0</v>
      </c>
      <c r="E709" s="7" t="s">
        <v>22</v>
      </c>
      <c r="F709" s="5" t="s">
        <v>146</v>
      </c>
      <c r="G709" s="9">
        <v>9.0042135E7</v>
      </c>
      <c r="H709" s="5" t="s">
        <v>30</v>
      </c>
      <c r="I709" s="10" t="s">
        <v>25</v>
      </c>
      <c r="J709" s="11">
        <v>4.248905E8</v>
      </c>
      <c r="K709" s="11">
        <v>0.0</v>
      </c>
    </row>
    <row r="710">
      <c r="A710" s="5" t="s">
        <v>74</v>
      </c>
      <c r="B710" s="6" t="s">
        <v>244</v>
      </c>
      <c r="C710" s="7" t="s">
        <v>245</v>
      </c>
      <c r="D710" s="8">
        <v>1.0</v>
      </c>
      <c r="E710" s="7" t="s">
        <v>22</v>
      </c>
      <c r="F710" s="5" t="s">
        <v>146</v>
      </c>
      <c r="G710" s="9">
        <v>9.00422E7</v>
      </c>
      <c r="H710" s="5" t="s">
        <v>73</v>
      </c>
      <c r="I710" s="10" t="s">
        <v>60</v>
      </c>
      <c r="J710" s="11">
        <v>3.34518213E8</v>
      </c>
      <c r="K710" s="11">
        <v>0.0</v>
      </c>
    </row>
    <row r="711">
      <c r="A711" s="5" t="s">
        <v>74</v>
      </c>
      <c r="B711" s="6" t="s">
        <v>244</v>
      </c>
      <c r="C711" s="7" t="s">
        <v>245</v>
      </c>
      <c r="D711" s="8">
        <v>1.0</v>
      </c>
      <c r="E711" s="7" t="s">
        <v>22</v>
      </c>
      <c r="F711" s="5" t="s">
        <v>146</v>
      </c>
      <c r="G711" s="9">
        <v>9.0042223E7</v>
      </c>
      <c r="H711" s="5" t="s">
        <v>61</v>
      </c>
      <c r="I711" s="10" t="s">
        <v>60</v>
      </c>
      <c r="J711" s="11">
        <v>4255769.0</v>
      </c>
      <c r="K711" s="11">
        <v>0.0</v>
      </c>
    </row>
    <row r="712">
      <c r="A712" s="5" t="s">
        <v>74</v>
      </c>
      <c r="B712" s="6" t="s">
        <v>244</v>
      </c>
      <c r="C712" s="7" t="s">
        <v>245</v>
      </c>
      <c r="D712" s="8">
        <v>1.0</v>
      </c>
      <c r="E712" s="7" t="s">
        <v>22</v>
      </c>
      <c r="F712" s="5" t="s">
        <v>146</v>
      </c>
      <c r="G712" s="9">
        <v>9.0042224E7</v>
      </c>
      <c r="H712" s="5" t="s">
        <v>62</v>
      </c>
      <c r="I712" s="10" t="s">
        <v>60</v>
      </c>
      <c r="J712" s="11">
        <v>7177726.0</v>
      </c>
      <c r="K712" s="11">
        <v>0.0</v>
      </c>
    </row>
    <row r="713">
      <c r="A713" s="5" t="s">
        <v>74</v>
      </c>
      <c r="B713" s="6" t="s">
        <v>244</v>
      </c>
      <c r="C713" s="7" t="s">
        <v>245</v>
      </c>
      <c r="D713" s="8">
        <v>1.0</v>
      </c>
      <c r="E713" s="7" t="s">
        <v>22</v>
      </c>
      <c r="F713" s="5" t="s">
        <v>146</v>
      </c>
      <c r="G713" s="9">
        <v>9.0042226E7</v>
      </c>
      <c r="H713" s="5" t="s">
        <v>63</v>
      </c>
      <c r="I713" s="10" t="s">
        <v>60</v>
      </c>
      <c r="J713" s="11">
        <v>133333.0</v>
      </c>
      <c r="K713" s="11">
        <v>0.0</v>
      </c>
    </row>
    <row r="714">
      <c r="A714" s="5" t="s">
        <v>74</v>
      </c>
      <c r="B714" s="6" t="s">
        <v>244</v>
      </c>
      <c r="C714" s="7" t="s">
        <v>245</v>
      </c>
      <c r="D714" s="8">
        <v>1.0</v>
      </c>
      <c r="E714" s="7" t="s">
        <v>22</v>
      </c>
      <c r="F714" s="5" t="s">
        <v>146</v>
      </c>
      <c r="G714" s="9">
        <v>9.0042228E7</v>
      </c>
      <c r="H714" s="5" t="s">
        <v>64</v>
      </c>
      <c r="I714" s="10" t="s">
        <v>60</v>
      </c>
      <c r="J714" s="11">
        <v>4.1960038E7</v>
      </c>
      <c r="K714" s="11">
        <v>0.0</v>
      </c>
    </row>
    <row r="715">
      <c r="A715" s="5" t="s">
        <v>74</v>
      </c>
      <c r="B715" s="6" t="s">
        <v>244</v>
      </c>
      <c r="C715" s="7" t="s">
        <v>245</v>
      </c>
      <c r="D715" s="8">
        <v>1.0</v>
      </c>
      <c r="E715" s="7" t="s">
        <v>22</v>
      </c>
      <c r="F715" s="5" t="s">
        <v>146</v>
      </c>
      <c r="G715" s="9">
        <v>9.0042231E7</v>
      </c>
      <c r="H715" s="5" t="s">
        <v>65</v>
      </c>
      <c r="I715" s="10" t="s">
        <v>60</v>
      </c>
      <c r="J715" s="11">
        <v>5.8308695E7</v>
      </c>
      <c r="K715" s="11">
        <v>0.0</v>
      </c>
    </row>
    <row r="716">
      <c r="A716" s="5" t="s">
        <v>74</v>
      </c>
      <c r="B716" s="6" t="s">
        <v>244</v>
      </c>
      <c r="C716" s="7" t="s">
        <v>245</v>
      </c>
      <c r="D716" s="8">
        <v>1.0</v>
      </c>
      <c r="E716" s="7" t="s">
        <v>22</v>
      </c>
      <c r="F716" s="5" t="s">
        <v>146</v>
      </c>
      <c r="G716" s="9">
        <v>9.0042126E7</v>
      </c>
      <c r="H716" s="5" t="s">
        <v>31</v>
      </c>
      <c r="I716" s="10" t="s">
        <v>25</v>
      </c>
      <c r="J716" s="11">
        <v>2.7537957E7</v>
      </c>
      <c r="K716" s="11">
        <v>0.0</v>
      </c>
    </row>
    <row r="717">
      <c r="A717" s="5" t="s">
        <v>74</v>
      </c>
      <c r="B717" s="6" t="s">
        <v>244</v>
      </c>
      <c r="C717" s="7" t="s">
        <v>245</v>
      </c>
      <c r="D717" s="8">
        <v>1.0</v>
      </c>
      <c r="E717" s="13">
        <v>46097.0</v>
      </c>
      <c r="F717" s="5" t="s">
        <v>216</v>
      </c>
      <c r="G717" s="9">
        <v>5.1101056E7</v>
      </c>
      <c r="H717" s="5" t="s">
        <v>16</v>
      </c>
      <c r="I717" s="10" t="s">
        <v>17</v>
      </c>
      <c r="J717" s="11">
        <v>3082200.0</v>
      </c>
      <c r="K717" s="11">
        <v>13.0</v>
      </c>
    </row>
    <row r="718">
      <c r="A718" s="5" t="s">
        <v>74</v>
      </c>
      <c r="B718" s="6" t="s">
        <v>244</v>
      </c>
      <c r="C718" s="7" t="s">
        <v>245</v>
      </c>
      <c r="D718" s="8">
        <v>1.0</v>
      </c>
      <c r="E718" s="13">
        <v>46097.0</v>
      </c>
      <c r="F718" s="5" t="s">
        <v>216</v>
      </c>
      <c r="G718" s="9">
        <v>9.0043003E7</v>
      </c>
      <c r="H718" s="5" t="s">
        <v>90</v>
      </c>
      <c r="I718" s="10" t="s">
        <v>50</v>
      </c>
      <c r="J718" s="11">
        <v>2971576.0</v>
      </c>
      <c r="K718" s="11">
        <v>23.65</v>
      </c>
    </row>
    <row r="719">
      <c r="A719" s="5" t="s">
        <v>74</v>
      </c>
      <c r="B719" s="6" t="s">
        <v>244</v>
      </c>
      <c r="C719" s="7" t="s">
        <v>245</v>
      </c>
      <c r="D719" s="8">
        <v>1.0</v>
      </c>
      <c r="E719" s="13">
        <v>46069.0</v>
      </c>
      <c r="F719" s="5" t="s">
        <v>217</v>
      </c>
      <c r="G719" s="9">
        <v>5.1100153E7</v>
      </c>
      <c r="H719" s="5" t="s">
        <v>72</v>
      </c>
      <c r="I719" s="10" t="s">
        <v>17</v>
      </c>
      <c r="J719" s="11">
        <v>3.4530896E7</v>
      </c>
      <c r="K719" s="11">
        <v>176556.0</v>
      </c>
    </row>
    <row r="720">
      <c r="A720" s="5" t="s">
        <v>74</v>
      </c>
      <c r="B720" s="6" t="s">
        <v>244</v>
      </c>
      <c r="C720" s="7" t="s">
        <v>245</v>
      </c>
      <c r="D720" s="8">
        <v>1.0</v>
      </c>
      <c r="E720" s="7" t="s">
        <v>248</v>
      </c>
      <c r="F720" s="5" t="s">
        <v>249</v>
      </c>
      <c r="G720" s="9">
        <v>9.0043001E7</v>
      </c>
      <c r="H720" s="5" t="s">
        <v>18</v>
      </c>
      <c r="I720" s="10" t="s">
        <v>19</v>
      </c>
      <c r="J720" s="11">
        <v>279918.0</v>
      </c>
      <c r="K720" s="11">
        <v>2.0</v>
      </c>
    </row>
    <row r="721">
      <c r="A721" s="5" t="s">
        <v>74</v>
      </c>
      <c r="B721" s="6" t="s">
        <v>244</v>
      </c>
      <c r="C721" s="7" t="s">
        <v>245</v>
      </c>
      <c r="D721" s="8">
        <v>1.0</v>
      </c>
      <c r="E721" s="7" t="s">
        <v>250</v>
      </c>
      <c r="F721" s="5" t="s">
        <v>251</v>
      </c>
      <c r="G721" s="9">
        <v>9.0043001E7</v>
      </c>
      <c r="H721" s="5" t="s">
        <v>18</v>
      </c>
      <c r="I721" s="10" t="s">
        <v>19</v>
      </c>
      <c r="J721" s="11">
        <v>2099385.0</v>
      </c>
      <c r="K721" s="11">
        <v>15.0</v>
      </c>
    </row>
    <row r="722">
      <c r="A722" s="5" t="s">
        <v>74</v>
      </c>
      <c r="B722" s="6" t="s">
        <v>244</v>
      </c>
      <c r="C722" s="7" t="s">
        <v>245</v>
      </c>
      <c r="D722" s="8">
        <v>1.0</v>
      </c>
      <c r="E722" s="7" t="s">
        <v>252</v>
      </c>
      <c r="F722" s="5" t="s">
        <v>253</v>
      </c>
      <c r="G722" s="9">
        <v>5.1101056E7</v>
      </c>
      <c r="H722" s="5" t="s">
        <v>16</v>
      </c>
      <c r="I722" s="10" t="s">
        <v>17</v>
      </c>
      <c r="J722" s="11">
        <v>294800.0</v>
      </c>
      <c r="K722" s="11">
        <v>4.0</v>
      </c>
    </row>
    <row r="723">
      <c r="A723" s="5" t="s">
        <v>74</v>
      </c>
      <c r="B723" s="6" t="s">
        <v>244</v>
      </c>
      <c r="C723" s="7" t="s">
        <v>245</v>
      </c>
      <c r="D723" s="8">
        <v>1.0</v>
      </c>
      <c r="E723" s="7" t="s">
        <v>201</v>
      </c>
      <c r="F723" s="5" t="s">
        <v>202</v>
      </c>
      <c r="G723" s="9">
        <v>9.0043001E7</v>
      </c>
      <c r="H723" s="5" t="s">
        <v>18</v>
      </c>
      <c r="I723" s="10" t="s">
        <v>19</v>
      </c>
      <c r="J723" s="11">
        <v>2.6094399E7</v>
      </c>
      <c r="K723" s="11">
        <v>180.0</v>
      </c>
    </row>
    <row r="724">
      <c r="A724" s="5" t="s">
        <v>74</v>
      </c>
      <c r="B724" s="6" t="s">
        <v>254</v>
      </c>
      <c r="C724" s="7" t="s">
        <v>255</v>
      </c>
      <c r="D724" s="8">
        <v>1.0</v>
      </c>
      <c r="E724" s="13">
        <v>46038.0</v>
      </c>
      <c r="F724" s="5" t="s">
        <v>150</v>
      </c>
      <c r="G724" s="9">
        <v>9.0043001E7</v>
      </c>
      <c r="H724" s="5" t="s">
        <v>18</v>
      </c>
      <c r="I724" s="10" t="s">
        <v>19</v>
      </c>
      <c r="J724" s="11">
        <v>7.507229E7</v>
      </c>
      <c r="K724" s="11">
        <v>478.0</v>
      </c>
    </row>
    <row r="725">
      <c r="A725" s="5" t="s">
        <v>74</v>
      </c>
      <c r="B725" s="6" t="s">
        <v>254</v>
      </c>
      <c r="C725" s="7" t="s">
        <v>255</v>
      </c>
      <c r="D725" s="8">
        <v>1.0</v>
      </c>
      <c r="E725" s="13">
        <v>46158.0</v>
      </c>
      <c r="F725" s="5" t="s">
        <v>151</v>
      </c>
      <c r="G725" s="9">
        <v>9.0043001E7</v>
      </c>
      <c r="H725" s="5" t="s">
        <v>18</v>
      </c>
      <c r="I725" s="10" t="s">
        <v>19</v>
      </c>
      <c r="J725" s="11">
        <v>1013810.0</v>
      </c>
      <c r="K725" s="11">
        <v>7.0</v>
      </c>
    </row>
    <row r="726">
      <c r="A726" s="5" t="s">
        <v>74</v>
      </c>
      <c r="B726" s="6" t="s">
        <v>254</v>
      </c>
      <c r="C726" s="7" t="s">
        <v>255</v>
      </c>
      <c r="D726" s="8">
        <v>1.0</v>
      </c>
      <c r="E726" s="7" t="s">
        <v>84</v>
      </c>
      <c r="F726" s="5" t="s">
        <v>85</v>
      </c>
      <c r="G726" s="9">
        <v>9.0043001E7</v>
      </c>
      <c r="H726" s="5" t="s">
        <v>18</v>
      </c>
      <c r="I726" s="10" t="s">
        <v>19</v>
      </c>
      <c r="J726" s="11">
        <v>7893235.0</v>
      </c>
      <c r="K726" s="11">
        <v>54.5</v>
      </c>
    </row>
    <row r="727">
      <c r="A727" s="5" t="s">
        <v>74</v>
      </c>
      <c r="B727" s="6" t="s">
        <v>254</v>
      </c>
      <c r="C727" s="7" t="s">
        <v>255</v>
      </c>
      <c r="D727" s="8">
        <v>1.0</v>
      </c>
      <c r="E727" s="7" t="s">
        <v>86</v>
      </c>
      <c r="F727" s="5" t="s">
        <v>87</v>
      </c>
      <c r="G727" s="9">
        <v>9.0043001E7</v>
      </c>
      <c r="H727" s="5" t="s">
        <v>18</v>
      </c>
      <c r="I727" s="10" t="s">
        <v>19</v>
      </c>
      <c r="J727" s="11">
        <v>3.1287535E7</v>
      </c>
      <c r="K727" s="11">
        <v>210.0</v>
      </c>
    </row>
    <row r="728">
      <c r="A728" s="5" t="s">
        <v>74</v>
      </c>
      <c r="B728" s="6" t="s">
        <v>254</v>
      </c>
      <c r="C728" s="7" t="s">
        <v>255</v>
      </c>
      <c r="D728" s="8">
        <v>1.0</v>
      </c>
      <c r="E728" s="7" t="s">
        <v>154</v>
      </c>
      <c r="F728" s="5" t="s">
        <v>155</v>
      </c>
      <c r="G728" s="9">
        <v>9.0043002E7</v>
      </c>
      <c r="H728" s="5" t="s">
        <v>49</v>
      </c>
      <c r="I728" s="10" t="s">
        <v>50</v>
      </c>
      <c r="J728" s="11">
        <v>5.8539745E7</v>
      </c>
      <c r="K728" s="11">
        <v>8538.0</v>
      </c>
    </row>
    <row r="729">
      <c r="A729" s="5" t="s">
        <v>74</v>
      </c>
      <c r="B729" s="6" t="s">
        <v>254</v>
      </c>
      <c r="C729" s="7" t="s">
        <v>255</v>
      </c>
      <c r="D729" s="8">
        <v>1.0</v>
      </c>
      <c r="E729" s="7" t="s">
        <v>235</v>
      </c>
      <c r="F729" s="5" t="s">
        <v>236</v>
      </c>
      <c r="G729" s="9">
        <v>5.1100774E7</v>
      </c>
      <c r="H729" s="5" t="s">
        <v>39</v>
      </c>
      <c r="I729" s="10" t="s">
        <v>25</v>
      </c>
      <c r="J729" s="11">
        <v>4000000.0</v>
      </c>
      <c r="K729" s="11">
        <v>0.0</v>
      </c>
    </row>
    <row r="730">
      <c r="A730" s="5" t="s">
        <v>74</v>
      </c>
      <c r="B730" s="6" t="s">
        <v>254</v>
      </c>
      <c r="C730" s="7" t="s">
        <v>255</v>
      </c>
      <c r="D730" s="8">
        <v>1.0</v>
      </c>
      <c r="E730" s="7" t="s">
        <v>95</v>
      </c>
      <c r="F730" s="5" t="s">
        <v>96</v>
      </c>
      <c r="G730" s="9">
        <v>5.1100058E7</v>
      </c>
      <c r="H730" s="5" t="s">
        <v>36</v>
      </c>
      <c r="I730" s="10" t="s">
        <v>37</v>
      </c>
      <c r="J730" s="11">
        <v>2.4737566E7</v>
      </c>
      <c r="K730" s="11">
        <v>258.16</v>
      </c>
    </row>
    <row r="731">
      <c r="A731" s="5" t="s">
        <v>74</v>
      </c>
      <c r="B731" s="6" t="s">
        <v>254</v>
      </c>
      <c r="C731" s="7" t="s">
        <v>255</v>
      </c>
      <c r="D731" s="8">
        <v>1.0</v>
      </c>
      <c r="E731" s="7" t="s">
        <v>95</v>
      </c>
      <c r="F731" s="5" t="s">
        <v>96</v>
      </c>
      <c r="G731" s="9">
        <v>9.0043001E7</v>
      </c>
      <c r="H731" s="5" t="s">
        <v>18</v>
      </c>
      <c r="I731" s="10" t="s">
        <v>19</v>
      </c>
      <c r="J731" s="11">
        <v>2.5905928E7</v>
      </c>
      <c r="K731" s="11">
        <v>185.0</v>
      </c>
    </row>
    <row r="732">
      <c r="A732" s="5" t="s">
        <v>74</v>
      </c>
      <c r="B732" s="6" t="s">
        <v>254</v>
      </c>
      <c r="C732" s="7" t="s">
        <v>255</v>
      </c>
      <c r="D732" s="8">
        <v>1.0</v>
      </c>
      <c r="E732" s="7" t="s">
        <v>95</v>
      </c>
      <c r="F732" s="5" t="s">
        <v>96</v>
      </c>
      <c r="G732" s="9">
        <v>5.1100774E7</v>
      </c>
      <c r="H732" s="5" t="s">
        <v>39</v>
      </c>
      <c r="I732" s="10" t="s">
        <v>17</v>
      </c>
      <c r="J732" s="11">
        <v>7892220.0</v>
      </c>
      <c r="K732" s="11">
        <v>114.38</v>
      </c>
    </row>
    <row r="733">
      <c r="A733" s="5" t="s">
        <v>74</v>
      </c>
      <c r="B733" s="6" t="s">
        <v>254</v>
      </c>
      <c r="C733" s="7" t="s">
        <v>255</v>
      </c>
      <c r="D733" s="8">
        <v>1.0</v>
      </c>
      <c r="E733" s="7" t="s">
        <v>101</v>
      </c>
      <c r="F733" s="5" t="s">
        <v>102</v>
      </c>
      <c r="G733" s="9">
        <v>9.0043001E7</v>
      </c>
      <c r="H733" s="5" t="s">
        <v>18</v>
      </c>
      <c r="I733" s="10" t="s">
        <v>19</v>
      </c>
      <c r="J733" s="11">
        <v>2.2758697E7</v>
      </c>
      <c r="K733" s="11">
        <v>157.0</v>
      </c>
    </row>
    <row r="734">
      <c r="A734" s="5" t="s">
        <v>74</v>
      </c>
      <c r="B734" s="6" t="s">
        <v>254</v>
      </c>
      <c r="C734" s="7" t="s">
        <v>255</v>
      </c>
      <c r="D734" s="8">
        <v>1.0</v>
      </c>
      <c r="E734" s="7" t="s">
        <v>103</v>
      </c>
      <c r="F734" s="5" t="s">
        <v>104</v>
      </c>
      <c r="G734" s="9">
        <v>5.1100058E7</v>
      </c>
      <c r="H734" s="5" t="s">
        <v>36</v>
      </c>
      <c r="I734" s="10" t="s">
        <v>37</v>
      </c>
      <c r="J734" s="11">
        <v>3.0541663E7</v>
      </c>
      <c r="K734" s="11">
        <v>303.24</v>
      </c>
    </row>
    <row r="735">
      <c r="A735" s="5" t="s">
        <v>74</v>
      </c>
      <c r="B735" s="6" t="s">
        <v>254</v>
      </c>
      <c r="C735" s="7" t="s">
        <v>255</v>
      </c>
      <c r="D735" s="8">
        <v>1.0</v>
      </c>
      <c r="E735" s="7" t="s">
        <v>103</v>
      </c>
      <c r="F735" s="5" t="s">
        <v>104</v>
      </c>
      <c r="G735" s="9">
        <v>9.0043001E7</v>
      </c>
      <c r="H735" s="5" t="s">
        <v>18</v>
      </c>
      <c r="I735" s="10" t="s">
        <v>19</v>
      </c>
      <c r="J735" s="11">
        <v>4.0985768E7</v>
      </c>
      <c r="K735" s="11">
        <v>307.0</v>
      </c>
    </row>
    <row r="736">
      <c r="A736" s="5" t="s">
        <v>74</v>
      </c>
      <c r="B736" s="6" t="s">
        <v>254</v>
      </c>
      <c r="C736" s="7" t="s">
        <v>255</v>
      </c>
      <c r="D736" s="8">
        <v>1.0</v>
      </c>
      <c r="E736" s="7" t="s">
        <v>158</v>
      </c>
      <c r="F736" s="5" t="s">
        <v>159</v>
      </c>
      <c r="G736" s="9">
        <v>9.0043001E7</v>
      </c>
      <c r="H736" s="5" t="s">
        <v>18</v>
      </c>
      <c r="I736" s="10" t="s">
        <v>19</v>
      </c>
      <c r="J736" s="11">
        <v>254304.0</v>
      </c>
      <c r="K736" s="11">
        <v>2.0</v>
      </c>
    </row>
    <row r="737">
      <c r="A737" s="5" t="s">
        <v>74</v>
      </c>
      <c r="B737" s="6" t="s">
        <v>254</v>
      </c>
      <c r="C737" s="7" t="s">
        <v>255</v>
      </c>
      <c r="D737" s="8">
        <v>1.0</v>
      </c>
      <c r="E737" s="7" t="s">
        <v>117</v>
      </c>
      <c r="F737" s="5" t="s">
        <v>118</v>
      </c>
      <c r="G737" s="9">
        <v>9.0043001E7</v>
      </c>
      <c r="H737" s="5" t="s">
        <v>18</v>
      </c>
      <c r="I737" s="10" t="s">
        <v>19</v>
      </c>
      <c r="J737" s="11">
        <v>254304.0</v>
      </c>
      <c r="K737" s="11">
        <v>2.0</v>
      </c>
    </row>
    <row r="738">
      <c r="A738" s="5" t="s">
        <v>74</v>
      </c>
      <c r="B738" s="6" t="s">
        <v>254</v>
      </c>
      <c r="C738" s="7" t="s">
        <v>255</v>
      </c>
      <c r="D738" s="8">
        <v>1.0</v>
      </c>
      <c r="E738" s="7" t="s">
        <v>123</v>
      </c>
      <c r="F738" s="5" t="s">
        <v>124</v>
      </c>
      <c r="G738" s="9">
        <v>5.1100774E7</v>
      </c>
      <c r="H738" s="5" t="s">
        <v>39</v>
      </c>
      <c r="I738" s="10" t="s">
        <v>17</v>
      </c>
      <c r="J738" s="11">
        <v>2.156299E7</v>
      </c>
      <c r="K738" s="11">
        <v>5592.0</v>
      </c>
    </row>
    <row r="739">
      <c r="A739" s="5" t="s">
        <v>74</v>
      </c>
      <c r="B739" s="6" t="s">
        <v>254</v>
      </c>
      <c r="C739" s="7" t="s">
        <v>255</v>
      </c>
      <c r="D739" s="8">
        <v>1.0</v>
      </c>
      <c r="E739" s="7" t="s">
        <v>125</v>
      </c>
      <c r="F739" s="5" t="s">
        <v>126</v>
      </c>
      <c r="G739" s="9">
        <v>9.0043001E7</v>
      </c>
      <c r="H739" s="5" t="s">
        <v>18</v>
      </c>
      <c r="I739" s="10" t="s">
        <v>19</v>
      </c>
      <c r="J739" s="11">
        <v>1.23562613E8</v>
      </c>
      <c r="K739" s="11">
        <v>870.0</v>
      </c>
    </row>
    <row r="740">
      <c r="A740" s="5" t="s">
        <v>74</v>
      </c>
      <c r="B740" s="6" t="s">
        <v>254</v>
      </c>
      <c r="C740" s="7" t="s">
        <v>255</v>
      </c>
      <c r="D740" s="8">
        <v>1.0</v>
      </c>
      <c r="E740" s="7" t="s">
        <v>127</v>
      </c>
      <c r="F740" s="5" t="s">
        <v>128</v>
      </c>
      <c r="G740" s="9">
        <v>5.1100153E7</v>
      </c>
      <c r="H740" s="5" t="s">
        <v>72</v>
      </c>
      <c r="I740" s="10" t="s">
        <v>25</v>
      </c>
      <c r="J740" s="11">
        <v>2.0</v>
      </c>
      <c r="K740" s="11">
        <v>0.0</v>
      </c>
    </row>
    <row r="741">
      <c r="A741" s="5" t="s">
        <v>74</v>
      </c>
      <c r="B741" s="6" t="s">
        <v>254</v>
      </c>
      <c r="C741" s="7" t="s">
        <v>255</v>
      </c>
      <c r="D741" s="8">
        <v>1.0</v>
      </c>
      <c r="E741" s="7" t="s">
        <v>127</v>
      </c>
      <c r="F741" s="5" t="s">
        <v>128</v>
      </c>
      <c r="G741" s="9">
        <v>5.1100153E7</v>
      </c>
      <c r="H741" s="5" t="s">
        <v>72</v>
      </c>
      <c r="I741" s="10" t="s">
        <v>17</v>
      </c>
      <c r="J741" s="11">
        <v>1.56187753E8</v>
      </c>
      <c r="K741" s="11">
        <v>701607.0</v>
      </c>
    </row>
    <row r="742">
      <c r="A742" s="5" t="s">
        <v>74</v>
      </c>
      <c r="B742" s="6" t="s">
        <v>254</v>
      </c>
      <c r="C742" s="7" t="s">
        <v>255</v>
      </c>
      <c r="D742" s="8">
        <v>1.0</v>
      </c>
      <c r="E742" s="7" t="s">
        <v>127</v>
      </c>
      <c r="F742" s="5" t="s">
        <v>128</v>
      </c>
      <c r="G742" s="9">
        <v>9.0043002E7</v>
      </c>
      <c r="H742" s="5" t="s">
        <v>49</v>
      </c>
      <c r="I742" s="10" t="s">
        <v>50</v>
      </c>
      <c r="J742" s="11">
        <v>3.4450795E7</v>
      </c>
      <c r="K742" s="11">
        <v>1657.0</v>
      </c>
    </row>
    <row r="743">
      <c r="A743" s="5" t="s">
        <v>74</v>
      </c>
      <c r="B743" s="6" t="s">
        <v>254</v>
      </c>
      <c r="C743" s="7" t="s">
        <v>255</v>
      </c>
      <c r="D743" s="8">
        <v>1.0</v>
      </c>
      <c r="E743" s="7" t="s">
        <v>129</v>
      </c>
      <c r="F743" s="5" t="s">
        <v>130</v>
      </c>
      <c r="G743" s="9">
        <v>5.1100153E7</v>
      </c>
      <c r="H743" s="5" t="s">
        <v>72</v>
      </c>
      <c r="I743" s="10" t="s">
        <v>25</v>
      </c>
      <c r="J743" s="11">
        <v>0.0</v>
      </c>
      <c r="K743" s="11">
        <v>0.0</v>
      </c>
    </row>
    <row r="744">
      <c r="A744" s="5" t="s">
        <v>74</v>
      </c>
      <c r="B744" s="6" t="s">
        <v>254</v>
      </c>
      <c r="C744" s="7" t="s">
        <v>255</v>
      </c>
      <c r="D744" s="8">
        <v>1.0</v>
      </c>
      <c r="E744" s="7" t="s">
        <v>129</v>
      </c>
      <c r="F744" s="5" t="s">
        <v>130</v>
      </c>
      <c r="G744" s="9">
        <v>5.1101056E7</v>
      </c>
      <c r="H744" s="5" t="s">
        <v>16</v>
      </c>
      <c r="I744" s="10" t="s">
        <v>17</v>
      </c>
      <c r="J744" s="11">
        <v>3.322913E7</v>
      </c>
      <c r="K744" s="11">
        <v>302083.0</v>
      </c>
    </row>
    <row r="745">
      <c r="A745" s="5" t="s">
        <v>74</v>
      </c>
      <c r="B745" s="6" t="s">
        <v>254</v>
      </c>
      <c r="C745" s="7" t="s">
        <v>255</v>
      </c>
      <c r="D745" s="8">
        <v>1.0</v>
      </c>
      <c r="E745" s="7" t="s">
        <v>129</v>
      </c>
      <c r="F745" s="5" t="s">
        <v>130</v>
      </c>
      <c r="G745" s="9">
        <v>9.0043003E7</v>
      </c>
      <c r="H745" s="5" t="s">
        <v>90</v>
      </c>
      <c r="I745" s="10" t="s">
        <v>50</v>
      </c>
      <c r="J745" s="11">
        <v>6.9393101E7</v>
      </c>
      <c r="K745" s="11">
        <v>458.0</v>
      </c>
    </row>
    <row r="746">
      <c r="A746" s="5" t="s">
        <v>74</v>
      </c>
      <c r="B746" s="6" t="s">
        <v>254</v>
      </c>
      <c r="C746" s="7" t="s">
        <v>255</v>
      </c>
      <c r="D746" s="8">
        <v>1.0</v>
      </c>
      <c r="E746" s="7" t="s">
        <v>135</v>
      </c>
      <c r="F746" s="5" t="s">
        <v>136</v>
      </c>
      <c r="G746" s="9">
        <v>9.0043001E7</v>
      </c>
      <c r="H746" s="5" t="s">
        <v>18</v>
      </c>
      <c r="I746" s="10" t="s">
        <v>19</v>
      </c>
      <c r="J746" s="11">
        <v>1.4415796E7</v>
      </c>
      <c r="K746" s="11">
        <v>110.0</v>
      </c>
    </row>
    <row r="747">
      <c r="A747" s="5" t="s">
        <v>74</v>
      </c>
      <c r="B747" s="6" t="s">
        <v>254</v>
      </c>
      <c r="C747" s="7" t="s">
        <v>255</v>
      </c>
      <c r="D747" s="8">
        <v>1.0</v>
      </c>
      <c r="E747" s="7" t="s">
        <v>54</v>
      </c>
      <c r="F747" s="5" t="s">
        <v>139</v>
      </c>
      <c r="G747" s="9">
        <v>9.0042011E7</v>
      </c>
      <c r="H747" s="5" t="s">
        <v>55</v>
      </c>
      <c r="I747" s="10" t="s">
        <v>19</v>
      </c>
      <c r="J747" s="11">
        <v>2.69415485E8</v>
      </c>
      <c r="K747" s="11">
        <v>0.0</v>
      </c>
    </row>
    <row r="748">
      <c r="A748" s="5" t="s">
        <v>74</v>
      </c>
      <c r="B748" s="6" t="s">
        <v>254</v>
      </c>
      <c r="C748" s="7" t="s">
        <v>255</v>
      </c>
      <c r="D748" s="8">
        <v>1.0</v>
      </c>
      <c r="E748" s="7" t="s">
        <v>164</v>
      </c>
      <c r="F748" s="5" t="s">
        <v>165</v>
      </c>
      <c r="G748" s="9">
        <v>9.0042079E7</v>
      </c>
      <c r="H748" s="5" t="s">
        <v>166</v>
      </c>
      <c r="I748" s="10" t="s">
        <v>19</v>
      </c>
      <c r="J748" s="11">
        <v>4377001.0</v>
      </c>
      <c r="K748" s="11">
        <v>0.0</v>
      </c>
    </row>
    <row r="749">
      <c r="A749" s="5" t="s">
        <v>74</v>
      </c>
      <c r="B749" s="6" t="s">
        <v>254</v>
      </c>
      <c r="C749" s="7" t="s">
        <v>255</v>
      </c>
      <c r="D749" s="8">
        <v>1.0</v>
      </c>
      <c r="E749" s="7" t="s">
        <v>20</v>
      </c>
      <c r="F749" s="5" t="s">
        <v>140</v>
      </c>
      <c r="G749" s="9">
        <v>9.0042014E7</v>
      </c>
      <c r="H749" s="5" t="s">
        <v>21</v>
      </c>
      <c r="I749" s="10" t="s">
        <v>19</v>
      </c>
      <c r="J749" s="11">
        <v>2.5046662E8</v>
      </c>
      <c r="K749" s="11">
        <v>0.0</v>
      </c>
    </row>
    <row r="750">
      <c r="A750" s="5" t="s">
        <v>74</v>
      </c>
      <c r="B750" s="6" t="s">
        <v>254</v>
      </c>
      <c r="C750" s="7" t="s">
        <v>255</v>
      </c>
      <c r="D750" s="8">
        <v>1.0</v>
      </c>
      <c r="E750" s="7" t="s">
        <v>20</v>
      </c>
      <c r="F750" s="5" t="s">
        <v>140</v>
      </c>
      <c r="G750" s="9">
        <v>9.0042077E7</v>
      </c>
      <c r="H750" s="5" t="s">
        <v>141</v>
      </c>
      <c r="I750" s="10" t="s">
        <v>19</v>
      </c>
      <c r="J750" s="11">
        <v>6.6832063E7</v>
      </c>
      <c r="K750" s="11">
        <v>0.0</v>
      </c>
    </row>
    <row r="751">
      <c r="A751" s="5" t="s">
        <v>74</v>
      </c>
      <c r="B751" s="6" t="s">
        <v>254</v>
      </c>
      <c r="C751" s="7" t="s">
        <v>255</v>
      </c>
      <c r="D751" s="8">
        <v>1.0</v>
      </c>
      <c r="E751" s="7" t="s">
        <v>142</v>
      </c>
      <c r="F751" s="5" t="s">
        <v>143</v>
      </c>
      <c r="G751" s="9">
        <v>9.0042084E7</v>
      </c>
      <c r="H751" s="5" t="s">
        <v>145</v>
      </c>
      <c r="I751" s="10" t="s">
        <v>19</v>
      </c>
      <c r="J751" s="11">
        <v>1.2722394E7</v>
      </c>
      <c r="K751" s="11">
        <v>0.0</v>
      </c>
    </row>
    <row r="752">
      <c r="A752" s="5" t="s">
        <v>74</v>
      </c>
      <c r="B752" s="6" t="s">
        <v>254</v>
      </c>
      <c r="C752" s="7" t="s">
        <v>255</v>
      </c>
      <c r="D752" s="8">
        <v>1.0</v>
      </c>
      <c r="E752" s="7" t="s">
        <v>22</v>
      </c>
      <c r="F752" s="5" t="s">
        <v>146</v>
      </c>
      <c r="G752" s="9">
        <v>9.0042012E7</v>
      </c>
      <c r="H752" s="5" t="s">
        <v>23</v>
      </c>
      <c r="I752" s="10" t="s">
        <v>19</v>
      </c>
      <c r="J752" s="11">
        <v>-9.7089283E7</v>
      </c>
      <c r="K752" s="11">
        <v>0.0</v>
      </c>
    </row>
    <row r="753">
      <c r="A753" s="5" t="s">
        <v>74</v>
      </c>
      <c r="B753" s="6" t="s">
        <v>254</v>
      </c>
      <c r="C753" s="7" t="s">
        <v>255</v>
      </c>
      <c r="D753" s="8">
        <v>1.0</v>
      </c>
      <c r="E753" s="7" t="s">
        <v>22</v>
      </c>
      <c r="F753" s="5" t="s">
        <v>146</v>
      </c>
      <c r="G753" s="9">
        <v>9.0042121E7</v>
      </c>
      <c r="H753" s="5" t="s">
        <v>24</v>
      </c>
      <c r="I753" s="10" t="s">
        <v>25</v>
      </c>
      <c r="J753" s="11">
        <v>4.05644249E8</v>
      </c>
      <c r="K753" s="11">
        <v>0.0</v>
      </c>
    </row>
    <row r="754">
      <c r="A754" s="5" t="s">
        <v>74</v>
      </c>
      <c r="B754" s="6" t="s">
        <v>254</v>
      </c>
      <c r="C754" s="7" t="s">
        <v>255</v>
      </c>
      <c r="D754" s="8">
        <v>1.0</v>
      </c>
      <c r="E754" s="7" t="s">
        <v>22</v>
      </c>
      <c r="F754" s="5" t="s">
        <v>146</v>
      </c>
      <c r="G754" s="9">
        <v>9.0042122E7</v>
      </c>
      <c r="H754" s="5" t="s">
        <v>56</v>
      </c>
      <c r="I754" s="10" t="s">
        <v>25</v>
      </c>
      <c r="J754" s="11">
        <v>2.3411437E7</v>
      </c>
      <c r="K754" s="11">
        <v>0.0</v>
      </c>
    </row>
    <row r="755">
      <c r="A755" s="5" t="s">
        <v>74</v>
      </c>
      <c r="B755" s="6" t="s">
        <v>254</v>
      </c>
      <c r="C755" s="7" t="s">
        <v>255</v>
      </c>
      <c r="D755" s="8">
        <v>1.0</v>
      </c>
      <c r="E755" s="7" t="s">
        <v>22</v>
      </c>
      <c r="F755" s="5" t="s">
        <v>146</v>
      </c>
      <c r="G755" s="9">
        <v>9.0042124E7</v>
      </c>
      <c r="H755" s="5" t="s">
        <v>57</v>
      </c>
      <c r="I755" s="10" t="s">
        <v>25</v>
      </c>
      <c r="J755" s="11">
        <v>2.3395452E7</v>
      </c>
      <c r="K755" s="11">
        <v>0.0</v>
      </c>
    </row>
    <row r="756">
      <c r="A756" s="5" t="s">
        <v>74</v>
      </c>
      <c r="B756" s="6" t="s">
        <v>254</v>
      </c>
      <c r="C756" s="7" t="s">
        <v>255</v>
      </c>
      <c r="D756" s="8">
        <v>1.0</v>
      </c>
      <c r="E756" s="7" t="s">
        <v>22</v>
      </c>
      <c r="F756" s="5" t="s">
        <v>146</v>
      </c>
      <c r="G756" s="9">
        <v>9.0042125E7</v>
      </c>
      <c r="H756" s="5" t="s">
        <v>26</v>
      </c>
      <c r="I756" s="10" t="s">
        <v>25</v>
      </c>
      <c r="J756" s="11">
        <v>4.2456929E7</v>
      </c>
      <c r="K756" s="11">
        <v>0.0</v>
      </c>
    </row>
    <row r="757">
      <c r="A757" s="5" t="s">
        <v>74</v>
      </c>
      <c r="B757" s="6" t="s">
        <v>254</v>
      </c>
      <c r="C757" s="7" t="s">
        <v>255</v>
      </c>
      <c r="D757" s="8">
        <v>1.0</v>
      </c>
      <c r="E757" s="7" t="s">
        <v>22</v>
      </c>
      <c r="F757" s="5" t="s">
        <v>146</v>
      </c>
      <c r="G757" s="9">
        <v>9.0042127E7</v>
      </c>
      <c r="H757" s="5" t="s">
        <v>27</v>
      </c>
      <c r="I757" s="10" t="s">
        <v>25</v>
      </c>
      <c r="J757" s="11">
        <v>3816000.0</v>
      </c>
      <c r="K757" s="11">
        <v>0.0</v>
      </c>
    </row>
    <row r="758">
      <c r="A758" s="5" t="s">
        <v>74</v>
      </c>
      <c r="B758" s="6" t="s">
        <v>254</v>
      </c>
      <c r="C758" s="7" t="s">
        <v>255</v>
      </c>
      <c r="D758" s="8">
        <v>1.0</v>
      </c>
      <c r="E758" s="7" t="s">
        <v>22</v>
      </c>
      <c r="F758" s="5" t="s">
        <v>146</v>
      </c>
      <c r="G758" s="9">
        <v>9.0042128E7</v>
      </c>
      <c r="H758" s="5" t="s">
        <v>58</v>
      </c>
      <c r="I758" s="10" t="s">
        <v>25</v>
      </c>
      <c r="J758" s="11">
        <v>5.2290822E7</v>
      </c>
      <c r="K758" s="11">
        <v>0.0</v>
      </c>
    </row>
    <row r="759">
      <c r="A759" s="5" t="s">
        <v>74</v>
      </c>
      <c r="B759" s="6" t="s">
        <v>254</v>
      </c>
      <c r="C759" s="7" t="s">
        <v>255</v>
      </c>
      <c r="D759" s="8">
        <v>1.0</v>
      </c>
      <c r="E759" s="7" t="s">
        <v>22</v>
      </c>
      <c r="F759" s="5" t="s">
        <v>146</v>
      </c>
      <c r="G759" s="9">
        <v>9.0042132E7</v>
      </c>
      <c r="H759" s="5" t="s">
        <v>28</v>
      </c>
      <c r="I759" s="10" t="s">
        <v>25</v>
      </c>
      <c r="J759" s="11">
        <v>6104954.0</v>
      </c>
      <c r="K759" s="11">
        <v>0.0</v>
      </c>
    </row>
    <row r="760">
      <c r="A760" s="5" t="s">
        <v>74</v>
      </c>
      <c r="B760" s="6" t="s">
        <v>254</v>
      </c>
      <c r="C760" s="7" t="s">
        <v>255</v>
      </c>
      <c r="D760" s="8">
        <v>1.0</v>
      </c>
      <c r="E760" s="7" t="s">
        <v>22</v>
      </c>
      <c r="F760" s="5" t="s">
        <v>146</v>
      </c>
      <c r="G760" s="9">
        <v>9.0042134E7</v>
      </c>
      <c r="H760" s="5" t="s">
        <v>29</v>
      </c>
      <c r="I760" s="10" t="s">
        <v>25</v>
      </c>
      <c r="J760" s="11">
        <v>2448175.0</v>
      </c>
      <c r="K760" s="11">
        <v>0.0</v>
      </c>
    </row>
    <row r="761">
      <c r="A761" s="5" t="s">
        <v>74</v>
      </c>
      <c r="B761" s="6" t="s">
        <v>254</v>
      </c>
      <c r="C761" s="7" t="s">
        <v>255</v>
      </c>
      <c r="D761" s="8">
        <v>1.0</v>
      </c>
      <c r="E761" s="7" t="s">
        <v>22</v>
      </c>
      <c r="F761" s="5" t="s">
        <v>146</v>
      </c>
      <c r="G761" s="9">
        <v>9.0042135E7</v>
      </c>
      <c r="H761" s="5" t="s">
        <v>30</v>
      </c>
      <c r="I761" s="10" t="s">
        <v>25</v>
      </c>
      <c r="J761" s="11">
        <v>2.1510822E8</v>
      </c>
      <c r="K761" s="11">
        <v>0.0</v>
      </c>
    </row>
    <row r="762">
      <c r="A762" s="5" t="s">
        <v>74</v>
      </c>
      <c r="B762" s="6" t="s">
        <v>254</v>
      </c>
      <c r="C762" s="7" t="s">
        <v>255</v>
      </c>
      <c r="D762" s="8">
        <v>1.0</v>
      </c>
      <c r="E762" s="7" t="s">
        <v>22</v>
      </c>
      <c r="F762" s="5" t="s">
        <v>146</v>
      </c>
      <c r="G762" s="9">
        <v>9.00422E7</v>
      </c>
      <c r="H762" s="5" t="s">
        <v>73</v>
      </c>
      <c r="I762" s="10" t="s">
        <v>60</v>
      </c>
      <c r="J762" s="11">
        <v>1.14010991E8</v>
      </c>
      <c r="K762" s="11">
        <v>0.0</v>
      </c>
    </row>
    <row r="763">
      <c r="A763" s="5" t="s">
        <v>74</v>
      </c>
      <c r="B763" s="6" t="s">
        <v>254</v>
      </c>
      <c r="C763" s="7" t="s">
        <v>255</v>
      </c>
      <c r="D763" s="8">
        <v>1.0</v>
      </c>
      <c r="E763" s="7" t="s">
        <v>22</v>
      </c>
      <c r="F763" s="5" t="s">
        <v>146</v>
      </c>
      <c r="G763" s="9">
        <v>9.0042223E7</v>
      </c>
      <c r="H763" s="5" t="s">
        <v>61</v>
      </c>
      <c r="I763" s="10" t="s">
        <v>60</v>
      </c>
      <c r="J763" s="11">
        <v>5778176.0</v>
      </c>
      <c r="K763" s="11">
        <v>0.0</v>
      </c>
    </row>
    <row r="764">
      <c r="A764" s="5" t="s">
        <v>74</v>
      </c>
      <c r="B764" s="6" t="s">
        <v>254</v>
      </c>
      <c r="C764" s="7" t="s">
        <v>255</v>
      </c>
      <c r="D764" s="8">
        <v>1.0</v>
      </c>
      <c r="E764" s="7" t="s">
        <v>22</v>
      </c>
      <c r="F764" s="5" t="s">
        <v>146</v>
      </c>
      <c r="G764" s="9">
        <v>9.0042224E7</v>
      </c>
      <c r="H764" s="5" t="s">
        <v>62</v>
      </c>
      <c r="I764" s="10" t="s">
        <v>60</v>
      </c>
      <c r="J764" s="11">
        <v>4465199.0</v>
      </c>
      <c r="K764" s="11">
        <v>0.0</v>
      </c>
    </row>
    <row r="765">
      <c r="A765" s="5" t="s">
        <v>74</v>
      </c>
      <c r="B765" s="6" t="s">
        <v>254</v>
      </c>
      <c r="C765" s="7" t="s">
        <v>255</v>
      </c>
      <c r="D765" s="8">
        <v>1.0</v>
      </c>
      <c r="E765" s="7" t="s">
        <v>22</v>
      </c>
      <c r="F765" s="5" t="s">
        <v>146</v>
      </c>
      <c r="G765" s="9">
        <v>9.0042226E7</v>
      </c>
      <c r="H765" s="5" t="s">
        <v>63</v>
      </c>
      <c r="I765" s="10" t="s">
        <v>60</v>
      </c>
      <c r="J765" s="11">
        <v>1744049.0</v>
      </c>
      <c r="K765" s="11">
        <v>0.0</v>
      </c>
    </row>
    <row r="766">
      <c r="A766" s="5" t="s">
        <v>74</v>
      </c>
      <c r="B766" s="6" t="s">
        <v>254</v>
      </c>
      <c r="C766" s="7" t="s">
        <v>255</v>
      </c>
      <c r="D766" s="8">
        <v>1.0</v>
      </c>
      <c r="E766" s="7" t="s">
        <v>22</v>
      </c>
      <c r="F766" s="5" t="s">
        <v>146</v>
      </c>
      <c r="G766" s="9">
        <v>9.0042228E7</v>
      </c>
      <c r="H766" s="5" t="s">
        <v>64</v>
      </c>
      <c r="I766" s="10" t="s">
        <v>60</v>
      </c>
      <c r="J766" s="11">
        <v>6.8770369E7</v>
      </c>
      <c r="K766" s="11">
        <v>0.0</v>
      </c>
    </row>
    <row r="767">
      <c r="A767" s="5" t="s">
        <v>74</v>
      </c>
      <c r="B767" s="6" t="s">
        <v>254</v>
      </c>
      <c r="C767" s="7" t="s">
        <v>255</v>
      </c>
      <c r="D767" s="8">
        <v>1.0</v>
      </c>
      <c r="E767" s="7" t="s">
        <v>22</v>
      </c>
      <c r="F767" s="5" t="s">
        <v>146</v>
      </c>
      <c r="G767" s="9">
        <v>9.0042231E7</v>
      </c>
      <c r="H767" s="5" t="s">
        <v>65</v>
      </c>
      <c r="I767" s="10" t="s">
        <v>60</v>
      </c>
      <c r="J767" s="11">
        <v>2240986.0</v>
      </c>
      <c r="K767" s="11">
        <v>0.0</v>
      </c>
    </row>
    <row r="768">
      <c r="A768" s="5" t="s">
        <v>74</v>
      </c>
      <c r="B768" s="6" t="s">
        <v>254</v>
      </c>
      <c r="C768" s="7" t="s">
        <v>255</v>
      </c>
      <c r="D768" s="8">
        <v>1.0</v>
      </c>
      <c r="E768" s="7" t="s">
        <v>22</v>
      </c>
      <c r="F768" s="5" t="s">
        <v>146</v>
      </c>
      <c r="G768" s="9">
        <v>9.0042126E7</v>
      </c>
      <c r="H768" s="5" t="s">
        <v>31</v>
      </c>
      <c r="I768" s="10" t="s">
        <v>25</v>
      </c>
      <c r="J768" s="11">
        <v>3.3070884E7</v>
      </c>
      <c r="K768" s="11">
        <v>0.0</v>
      </c>
    </row>
    <row r="769">
      <c r="A769" s="5" t="s">
        <v>74</v>
      </c>
      <c r="B769" s="6" t="s">
        <v>254</v>
      </c>
      <c r="C769" s="7" t="s">
        <v>255</v>
      </c>
      <c r="D769" s="8">
        <v>1.0</v>
      </c>
      <c r="E769" s="13">
        <v>46097.0</v>
      </c>
      <c r="F769" s="5" t="s">
        <v>216</v>
      </c>
      <c r="G769" s="9">
        <v>5.1101056E7</v>
      </c>
      <c r="H769" s="5" t="s">
        <v>16</v>
      </c>
      <c r="I769" s="10" t="s">
        <v>17</v>
      </c>
      <c r="J769" s="11">
        <v>1.837407E7</v>
      </c>
      <c r="K769" s="11">
        <v>167037.0</v>
      </c>
    </row>
    <row r="770">
      <c r="A770" s="5" t="s">
        <v>74</v>
      </c>
      <c r="B770" s="6" t="s">
        <v>254</v>
      </c>
      <c r="C770" s="7" t="s">
        <v>255</v>
      </c>
      <c r="D770" s="8">
        <v>1.0</v>
      </c>
      <c r="E770" s="13">
        <v>46097.0</v>
      </c>
      <c r="F770" s="5" t="s">
        <v>216</v>
      </c>
      <c r="G770" s="9">
        <v>5.4000001E7</v>
      </c>
      <c r="H770" s="5" t="s">
        <v>256</v>
      </c>
      <c r="I770" s="10" t="s">
        <v>25</v>
      </c>
      <c r="J770" s="11">
        <v>0.0</v>
      </c>
      <c r="K770" s="11">
        <v>0.0</v>
      </c>
    </row>
    <row r="771">
      <c r="A771" s="5" t="s">
        <v>74</v>
      </c>
      <c r="B771" s="6" t="s">
        <v>254</v>
      </c>
      <c r="C771" s="7" t="s">
        <v>255</v>
      </c>
      <c r="D771" s="8">
        <v>1.0</v>
      </c>
      <c r="E771" s="13">
        <v>46069.0</v>
      </c>
      <c r="F771" s="5" t="s">
        <v>217</v>
      </c>
      <c r="G771" s="9">
        <v>5.1100153E7</v>
      </c>
      <c r="H771" s="5" t="s">
        <v>72</v>
      </c>
      <c r="I771" s="10" t="s">
        <v>17</v>
      </c>
      <c r="J771" s="11">
        <v>1.9629233E7</v>
      </c>
      <c r="K771" s="11">
        <v>203843.0</v>
      </c>
    </row>
    <row r="772">
      <c r="A772" s="5" t="s">
        <v>74</v>
      </c>
      <c r="B772" s="6" t="s">
        <v>254</v>
      </c>
      <c r="C772" s="7" t="s">
        <v>255</v>
      </c>
      <c r="D772" s="8">
        <v>1.0</v>
      </c>
      <c r="E772" s="13">
        <v>46069.0</v>
      </c>
      <c r="F772" s="5" t="s">
        <v>217</v>
      </c>
      <c r="G772" s="9">
        <v>5.4000001E7</v>
      </c>
      <c r="H772" s="5" t="s">
        <v>256</v>
      </c>
      <c r="I772" s="10" t="s">
        <v>25</v>
      </c>
      <c r="J772" s="11">
        <v>0.0</v>
      </c>
      <c r="K772" s="11">
        <v>0.0</v>
      </c>
    </row>
    <row r="773">
      <c r="A773" s="5" t="s">
        <v>74</v>
      </c>
      <c r="B773" s="6" t="s">
        <v>254</v>
      </c>
      <c r="C773" s="7" t="s">
        <v>255</v>
      </c>
      <c r="D773" s="8">
        <v>1.0</v>
      </c>
      <c r="E773" s="7" t="s">
        <v>257</v>
      </c>
      <c r="F773" s="5" t="s">
        <v>258</v>
      </c>
      <c r="G773" s="9">
        <v>5.1100774E7</v>
      </c>
      <c r="H773" s="5" t="s">
        <v>39</v>
      </c>
      <c r="I773" s="10" t="s">
        <v>17</v>
      </c>
      <c r="J773" s="11">
        <v>1.75E7</v>
      </c>
      <c r="K773" s="11">
        <v>2.0</v>
      </c>
    </row>
    <row r="774">
      <c r="A774" s="5" t="s">
        <v>74</v>
      </c>
      <c r="B774" s="6" t="s">
        <v>259</v>
      </c>
      <c r="C774" s="7" t="s">
        <v>260</v>
      </c>
      <c r="D774" s="8">
        <v>1.0</v>
      </c>
      <c r="E774" s="13">
        <v>46038.0</v>
      </c>
      <c r="F774" s="5" t="s">
        <v>150</v>
      </c>
      <c r="G774" s="9">
        <v>9.0043001E7</v>
      </c>
      <c r="H774" s="5" t="s">
        <v>18</v>
      </c>
      <c r="I774" s="10" t="s">
        <v>19</v>
      </c>
      <c r="J774" s="11">
        <v>3.3720831E7</v>
      </c>
      <c r="K774" s="11">
        <v>209.0</v>
      </c>
    </row>
    <row r="775">
      <c r="A775" s="5" t="s">
        <v>74</v>
      </c>
      <c r="B775" s="6" t="s">
        <v>259</v>
      </c>
      <c r="C775" s="7" t="s">
        <v>260</v>
      </c>
      <c r="D775" s="8">
        <v>1.0</v>
      </c>
      <c r="E775" s="13">
        <v>46158.0</v>
      </c>
      <c r="F775" s="5" t="s">
        <v>151</v>
      </c>
      <c r="G775" s="9">
        <v>9.0043001E7</v>
      </c>
      <c r="H775" s="5" t="s">
        <v>18</v>
      </c>
      <c r="I775" s="10" t="s">
        <v>19</v>
      </c>
      <c r="J775" s="11">
        <v>3901416.0</v>
      </c>
      <c r="K775" s="11">
        <v>24.0</v>
      </c>
    </row>
    <row r="776">
      <c r="A776" s="5" t="s">
        <v>74</v>
      </c>
      <c r="B776" s="6" t="s">
        <v>259</v>
      </c>
      <c r="C776" s="7" t="s">
        <v>260</v>
      </c>
      <c r="D776" s="8">
        <v>1.0</v>
      </c>
      <c r="E776" s="7" t="s">
        <v>77</v>
      </c>
      <c r="F776" s="5" t="s">
        <v>78</v>
      </c>
      <c r="G776" s="9">
        <v>5.1101056E7</v>
      </c>
      <c r="H776" s="5" t="s">
        <v>16</v>
      </c>
      <c r="I776" s="10" t="s">
        <v>17</v>
      </c>
      <c r="J776" s="11">
        <v>159194.0</v>
      </c>
      <c r="K776" s="11">
        <v>1162.0</v>
      </c>
    </row>
    <row r="777">
      <c r="A777" s="5" t="s">
        <v>74</v>
      </c>
      <c r="B777" s="6" t="s">
        <v>259</v>
      </c>
      <c r="C777" s="7" t="s">
        <v>260</v>
      </c>
      <c r="D777" s="8">
        <v>1.0</v>
      </c>
      <c r="E777" s="7" t="s">
        <v>77</v>
      </c>
      <c r="F777" s="5" t="s">
        <v>78</v>
      </c>
      <c r="G777" s="9">
        <v>9.0043001E7</v>
      </c>
      <c r="H777" s="5" t="s">
        <v>18</v>
      </c>
      <c r="I777" s="10" t="s">
        <v>19</v>
      </c>
      <c r="J777" s="11">
        <v>1.234881E7</v>
      </c>
      <c r="K777" s="11">
        <v>90.0</v>
      </c>
    </row>
    <row r="778">
      <c r="A778" s="5" t="s">
        <v>74</v>
      </c>
      <c r="B778" s="6" t="s">
        <v>259</v>
      </c>
      <c r="C778" s="7" t="s">
        <v>260</v>
      </c>
      <c r="D778" s="8">
        <v>1.0</v>
      </c>
      <c r="E778" s="7" t="s">
        <v>79</v>
      </c>
      <c r="F778" s="5" t="s">
        <v>80</v>
      </c>
      <c r="G778" s="9">
        <v>9.0043001E7</v>
      </c>
      <c r="H778" s="5" t="s">
        <v>18</v>
      </c>
      <c r="I778" s="10" t="s">
        <v>19</v>
      </c>
      <c r="J778" s="11">
        <v>3293016.0</v>
      </c>
      <c r="K778" s="11">
        <v>24.0</v>
      </c>
    </row>
    <row r="779">
      <c r="A779" s="5" t="s">
        <v>74</v>
      </c>
      <c r="B779" s="6" t="s">
        <v>259</v>
      </c>
      <c r="C779" s="7" t="s">
        <v>260</v>
      </c>
      <c r="D779" s="8">
        <v>1.0</v>
      </c>
      <c r="E779" s="7" t="s">
        <v>81</v>
      </c>
      <c r="F779" s="5" t="s">
        <v>82</v>
      </c>
      <c r="G779" s="9">
        <v>9.0043001E7</v>
      </c>
      <c r="H779" s="5" t="s">
        <v>18</v>
      </c>
      <c r="I779" s="10" t="s">
        <v>19</v>
      </c>
      <c r="J779" s="11">
        <v>9511880.0</v>
      </c>
      <c r="K779" s="11">
        <v>70.0</v>
      </c>
    </row>
    <row r="780">
      <c r="A780" s="5" t="s">
        <v>74</v>
      </c>
      <c r="B780" s="6" t="s">
        <v>259</v>
      </c>
      <c r="C780" s="7" t="s">
        <v>260</v>
      </c>
      <c r="D780" s="8">
        <v>1.0</v>
      </c>
      <c r="E780" s="7" t="s">
        <v>84</v>
      </c>
      <c r="F780" s="5" t="s">
        <v>85</v>
      </c>
      <c r="G780" s="9">
        <v>9.0043001E7</v>
      </c>
      <c r="H780" s="5" t="s">
        <v>18</v>
      </c>
      <c r="I780" s="10" t="s">
        <v>19</v>
      </c>
      <c r="J780" s="11">
        <v>8508927.0</v>
      </c>
      <c r="K780" s="11">
        <v>53.0</v>
      </c>
    </row>
    <row r="781">
      <c r="A781" s="5" t="s">
        <v>74</v>
      </c>
      <c r="B781" s="6" t="s">
        <v>259</v>
      </c>
      <c r="C781" s="7" t="s">
        <v>260</v>
      </c>
      <c r="D781" s="8">
        <v>1.0</v>
      </c>
      <c r="E781" s="7" t="s">
        <v>86</v>
      </c>
      <c r="F781" s="5" t="s">
        <v>87</v>
      </c>
      <c r="G781" s="9">
        <v>9.0043001E7</v>
      </c>
      <c r="H781" s="5" t="s">
        <v>18</v>
      </c>
      <c r="I781" s="10" t="s">
        <v>19</v>
      </c>
      <c r="J781" s="11">
        <v>2.5166158E7</v>
      </c>
      <c r="K781" s="11">
        <v>162.0</v>
      </c>
    </row>
    <row r="782">
      <c r="A782" s="5" t="s">
        <v>74</v>
      </c>
      <c r="B782" s="6" t="s">
        <v>259</v>
      </c>
      <c r="C782" s="7" t="s">
        <v>260</v>
      </c>
      <c r="D782" s="8">
        <v>1.0</v>
      </c>
      <c r="E782" s="7" t="s">
        <v>88</v>
      </c>
      <c r="F782" s="5" t="s">
        <v>89</v>
      </c>
      <c r="G782" s="9">
        <v>9.0043003E7</v>
      </c>
      <c r="H782" s="5" t="s">
        <v>90</v>
      </c>
      <c r="I782" s="10" t="s">
        <v>50</v>
      </c>
      <c r="J782" s="11">
        <v>6.3129851E7</v>
      </c>
      <c r="K782" s="11">
        <v>109.0</v>
      </c>
    </row>
    <row r="783">
      <c r="A783" s="5" t="s">
        <v>74</v>
      </c>
      <c r="B783" s="6" t="s">
        <v>259</v>
      </c>
      <c r="C783" s="7" t="s">
        <v>260</v>
      </c>
      <c r="D783" s="8">
        <v>1.0</v>
      </c>
      <c r="E783" s="7" t="s">
        <v>154</v>
      </c>
      <c r="F783" s="5" t="s">
        <v>155</v>
      </c>
      <c r="G783" s="9">
        <v>9.0043002E7</v>
      </c>
      <c r="H783" s="5" t="s">
        <v>49</v>
      </c>
      <c r="I783" s="10" t="s">
        <v>50</v>
      </c>
      <c r="J783" s="11">
        <v>1.30029552E8</v>
      </c>
      <c r="K783" s="11">
        <v>14062.0</v>
      </c>
    </row>
    <row r="784">
      <c r="A784" s="5" t="s">
        <v>74</v>
      </c>
      <c r="B784" s="6" t="s">
        <v>259</v>
      </c>
      <c r="C784" s="7" t="s">
        <v>260</v>
      </c>
      <c r="D784" s="8">
        <v>1.0</v>
      </c>
      <c r="E784" s="7" t="s">
        <v>154</v>
      </c>
      <c r="F784" s="5" t="s">
        <v>155</v>
      </c>
      <c r="G784" s="9">
        <v>9.0043003E7</v>
      </c>
      <c r="H784" s="5" t="s">
        <v>90</v>
      </c>
      <c r="I784" s="10" t="s">
        <v>50</v>
      </c>
      <c r="J784" s="11">
        <v>3.0955905E7</v>
      </c>
      <c r="K784" s="11">
        <v>45.0</v>
      </c>
    </row>
    <row r="785">
      <c r="A785" s="5" t="s">
        <v>74</v>
      </c>
      <c r="B785" s="6" t="s">
        <v>259</v>
      </c>
      <c r="C785" s="7" t="s">
        <v>260</v>
      </c>
      <c r="D785" s="8">
        <v>1.0</v>
      </c>
      <c r="E785" s="7" t="s">
        <v>226</v>
      </c>
      <c r="F785" s="5" t="s">
        <v>227</v>
      </c>
      <c r="G785" s="9">
        <v>5.1100064E7</v>
      </c>
      <c r="H785" s="5" t="s">
        <v>53</v>
      </c>
      <c r="I785" s="10" t="s">
        <v>37</v>
      </c>
      <c r="J785" s="11">
        <v>8062000.0</v>
      </c>
      <c r="K785" s="11">
        <v>26.0</v>
      </c>
    </row>
    <row r="786">
      <c r="A786" s="5" t="s">
        <v>74</v>
      </c>
      <c r="B786" s="6" t="s">
        <v>259</v>
      </c>
      <c r="C786" s="7" t="s">
        <v>260</v>
      </c>
      <c r="D786" s="8">
        <v>1.0</v>
      </c>
      <c r="E786" s="7" t="s">
        <v>95</v>
      </c>
      <c r="F786" s="5" t="s">
        <v>96</v>
      </c>
      <c r="G786" s="9">
        <v>5.1100058E7</v>
      </c>
      <c r="H786" s="5" t="s">
        <v>36</v>
      </c>
      <c r="I786" s="10" t="s">
        <v>37</v>
      </c>
      <c r="J786" s="11">
        <v>5712309.0</v>
      </c>
      <c r="K786" s="11">
        <v>65.91</v>
      </c>
    </row>
    <row r="787">
      <c r="A787" s="5" t="s">
        <v>74</v>
      </c>
      <c r="B787" s="6" t="s">
        <v>259</v>
      </c>
      <c r="C787" s="7" t="s">
        <v>260</v>
      </c>
      <c r="D787" s="8">
        <v>1.0</v>
      </c>
      <c r="E787" s="7" t="s">
        <v>95</v>
      </c>
      <c r="F787" s="5" t="s">
        <v>96</v>
      </c>
      <c r="G787" s="9">
        <v>5.1100651E7</v>
      </c>
      <c r="H787" s="5" t="s">
        <v>38</v>
      </c>
      <c r="I787" s="10" t="s">
        <v>25</v>
      </c>
      <c r="J787" s="11">
        <v>0.0</v>
      </c>
      <c r="K787" s="11">
        <v>0.0</v>
      </c>
    </row>
    <row r="788">
      <c r="A788" s="5" t="s">
        <v>74</v>
      </c>
      <c r="B788" s="6" t="s">
        <v>259</v>
      </c>
      <c r="C788" s="7" t="s">
        <v>260</v>
      </c>
      <c r="D788" s="8">
        <v>1.0</v>
      </c>
      <c r="E788" s="7" t="s">
        <v>95</v>
      </c>
      <c r="F788" s="5" t="s">
        <v>96</v>
      </c>
      <c r="G788" s="9">
        <v>5.1101999E7</v>
      </c>
      <c r="H788" s="5" t="s">
        <v>107</v>
      </c>
      <c r="I788" s="10" t="s">
        <v>25</v>
      </c>
      <c r="J788" s="11">
        <v>8226640.0</v>
      </c>
      <c r="K788" s="11">
        <v>0.0</v>
      </c>
    </row>
    <row r="789">
      <c r="A789" s="5" t="s">
        <v>74</v>
      </c>
      <c r="B789" s="6" t="s">
        <v>259</v>
      </c>
      <c r="C789" s="7" t="s">
        <v>260</v>
      </c>
      <c r="D789" s="8">
        <v>1.0</v>
      </c>
      <c r="E789" s="7" t="s">
        <v>95</v>
      </c>
      <c r="F789" s="5" t="s">
        <v>96</v>
      </c>
      <c r="G789" s="9">
        <v>9.0043001E7</v>
      </c>
      <c r="H789" s="5" t="s">
        <v>18</v>
      </c>
      <c r="I789" s="10" t="s">
        <v>19</v>
      </c>
      <c r="J789" s="11">
        <v>1.229316E7</v>
      </c>
      <c r="K789" s="11">
        <v>90.0</v>
      </c>
    </row>
    <row r="790">
      <c r="A790" s="5" t="s">
        <v>74</v>
      </c>
      <c r="B790" s="6" t="s">
        <v>259</v>
      </c>
      <c r="C790" s="7" t="s">
        <v>260</v>
      </c>
      <c r="D790" s="8">
        <v>1.0</v>
      </c>
      <c r="E790" s="7" t="s">
        <v>95</v>
      </c>
      <c r="F790" s="5" t="s">
        <v>96</v>
      </c>
      <c r="G790" s="9">
        <v>5.1100774E7</v>
      </c>
      <c r="H790" s="5" t="s">
        <v>39</v>
      </c>
      <c r="I790" s="10" t="s">
        <v>17</v>
      </c>
      <c r="J790" s="11">
        <v>4813506.0</v>
      </c>
      <c r="K790" s="11">
        <v>69.66</v>
      </c>
    </row>
    <row r="791">
      <c r="A791" s="5" t="s">
        <v>74</v>
      </c>
      <c r="B791" s="6" t="s">
        <v>259</v>
      </c>
      <c r="C791" s="7" t="s">
        <v>260</v>
      </c>
      <c r="D791" s="8">
        <v>1.0</v>
      </c>
      <c r="E791" s="7" t="s">
        <v>101</v>
      </c>
      <c r="F791" s="5" t="s">
        <v>102</v>
      </c>
      <c r="G791" s="9">
        <v>5.1100401E7</v>
      </c>
      <c r="H791" s="5" t="s">
        <v>261</v>
      </c>
      <c r="I791" s="10" t="s">
        <v>25</v>
      </c>
      <c r="J791" s="11">
        <v>3979061.0</v>
      </c>
      <c r="K791" s="11">
        <v>0.0</v>
      </c>
    </row>
    <row r="792">
      <c r="A792" s="5" t="s">
        <v>74</v>
      </c>
      <c r="B792" s="6" t="s">
        <v>259</v>
      </c>
      <c r="C792" s="7" t="s">
        <v>260</v>
      </c>
      <c r="D792" s="8">
        <v>1.0</v>
      </c>
      <c r="E792" s="7" t="s">
        <v>101</v>
      </c>
      <c r="F792" s="5" t="s">
        <v>102</v>
      </c>
      <c r="G792" s="9">
        <v>9.0043001E7</v>
      </c>
      <c r="H792" s="5" t="s">
        <v>18</v>
      </c>
      <c r="I792" s="10" t="s">
        <v>19</v>
      </c>
      <c r="J792" s="11">
        <v>5.9510526E7</v>
      </c>
      <c r="K792" s="11">
        <v>394.0</v>
      </c>
    </row>
    <row r="793">
      <c r="A793" s="5" t="s">
        <v>74</v>
      </c>
      <c r="B793" s="6" t="s">
        <v>259</v>
      </c>
      <c r="C793" s="7" t="s">
        <v>260</v>
      </c>
      <c r="D793" s="8">
        <v>1.0</v>
      </c>
      <c r="E793" s="7" t="s">
        <v>103</v>
      </c>
      <c r="F793" s="5" t="s">
        <v>104</v>
      </c>
      <c r="G793" s="9">
        <v>5.1100058E7</v>
      </c>
      <c r="H793" s="5" t="s">
        <v>36</v>
      </c>
      <c r="I793" s="10" t="s">
        <v>37</v>
      </c>
      <c r="J793" s="11">
        <v>4.1161983E7</v>
      </c>
      <c r="K793" s="11">
        <v>531.34</v>
      </c>
    </row>
    <row r="794">
      <c r="A794" s="5" t="s">
        <v>74</v>
      </c>
      <c r="B794" s="6" t="s">
        <v>259</v>
      </c>
      <c r="C794" s="7" t="s">
        <v>260</v>
      </c>
      <c r="D794" s="8">
        <v>1.0</v>
      </c>
      <c r="E794" s="7" t="s">
        <v>103</v>
      </c>
      <c r="F794" s="5" t="s">
        <v>104</v>
      </c>
      <c r="G794" s="9">
        <v>5.1100651E7</v>
      </c>
      <c r="H794" s="5" t="s">
        <v>38</v>
      </c>
      <c r="I794" s="10" t="s">
        <v>25</v>
      </c>
      <c r="J794" s="11">
        <v>0.0</v>
      </c>
      <c r="K794" s="11">
        <v>0.0</v>
      </c>
    </row>
    <row r="795">
      <c r="A795" s="5" t="s">
        <v>74</v>
      </c>
      <c r="B795" s="6" t="s">
        <v>259</v>
      </c>
      <c r="C795" s="7" t="s">
        <v>260</v>
      </c>
      <c r="D795" s="8">
        <v>1.0</v>
      </c>
      <c r="E795" s="7" t="s">
        <v>103</v>
      </c>
      <c r="F795" s="5" t="s">
        <v>104</v>
      </c>
      <c r="G795" s="9">
        <v>9.0043001E7</v>
      </c>
      <c r="H795" s="5" t="s">
        <v>18</v>
      </c>
      <c r="I795" s="10" t="s">
        <v>19</v>
      </c>
      <c r="J795" s="11">
        <v>2.4777329E7</v>
      </c>
      <c r="K795" s="11">
        <v>181.0</v>
      </c>
    </row>
    <row r="796">
      <c r="A796" s="5" t="s">
        <v>74</v>
      </c>
      <c r="B796" s="6" t="s">
        <v>259</v>
      </c>
      <c r="C796" s="7" t="s">
        <v>260</v>
      </c>
      <c r="D796" s="8">
        <v>1.0</v>
      </c>
      <c r="E796" s="7" t="s">
        <v>103</v>
      </c>
      <c r="F796" s="5" t="s">
        <v>104</v>
      </c>
      <c r="G796" s="9">
        <v>5.1100774E7</v>
      </c>
      <c r="H796" s="5" t="s">
        <v>39</v>
      </c>
      <c r="I796" s="10" t="s">
        <v>17</v>
      </c>
      <c r="J796" s="11">
        <v>3.1311852E7</v>
      </c>
      <c r="K796" s="11">
        <v>169.62</v>
      </c>
    </row>
    <row r="797">
      <c r="A797" s="5" t="s">
        <v>74</v>
      </c>
      <c r="B797" s="6" t="s">
        <v>259</v>
      </c>
      <c r="C797" s="7" t="s">
        <v>260</v>
      </c>
      <c r="D797" s="8">
        <v>1.0</v>
      </c>
      <c r="E797" s="7" t="s">
        <v>205</v>
      </c>
      <c r="F797" s="5" t="s">
        <v>206</v>
      </c>
      <c r="G797" s="9">
        <v>9.0043001E7</v>
      </c>
      <c r="H797" s="5" t="s">
        <v>18</v>
      </c>
      <c r="I797" s="10" t="s">
        <v>19</v>
      </c>
      <c r="J797" s="11">
        <v>9264184.0</v>
      </c>
      <c r="K797" s="11">
        <v>68.0</v>
      </c>
    </row>
    <row r="798">
      <c r="A798" s="5" t="s">
        <v>74</v>
      </c>
      <c r="B798" s="6" t="s">
        <v>259</v>
      </c>
      <c r="C798" s="7" t="s">
        <v>260</v>
      </c>
      <c r="D798" s="8">
        <v>1.0</v>
      </c>
      <c r="E798" s="7" t="s">
        <v>117</v>
      </c>
      <c r="F798" s="5" t="s">
        <v>118</v>
      </c>
      <c r="G798" s="9">
        <v>9.0043001E7</v>
      </c>
      <c r="H798" s="5" t="s">
        <v>18</v>
      </c>
      <c r="I798" s="10" t="s">
        <v>19</v>
      </c>
      <c r="J798" s="11">
        <v>1089904.0</v>
      </c>
      <c r="K798" s="11">
        <v>8.0</v>
      </c>
    </row>
    <row r="799">
      <c r="A799" s="5" t="s">
        <v>74</v>
      </c>
      <c r="B799" s="6" t="s">
        <v>259</v>
      </c>
      <c r="C799" s="7" t="s">
        <v>260</v>
      </c>
      <c r="D799" s="8">
        <v>1.0</v>
      </c>
      <c r="E799" s="7" t="s">
        <v>123</v>
      </c>
      <c r="F799" s="5" t="s">
        <v>124</v>
      </c>
      <c r="G799" s="9">
        <v>5.1100651E7</v>
      </c>
      <c r="H799" s="5" t="s">
        <v>38</v>
      </c>
      <c r="I799" s="10" t="s">
        <v>25</v>
      </c>
      <c r="J799" s="11">
        <v>0.0</v>
      </c>
      <c r="K799" s="11">
        <v>0.0</v>
      </c>
    </row>
    <row r="800">
      <c r="A800" s="5" t="s">
        <v>74</v>
      </c>
      <c r="B800" s="6" t="s">
        <v>259</v>
      </c>
      <c r="C800" s="7" t="s">
        <v>260</v>
      </c>
      <c r="D800" s="8">
        <v>1.0</v>
      </c>
      <c r="E800" s="7" t="s">
        <v>123</v>
      </c>
      <c r="F800" s="5" t="s">
        <v>124</v>
      </c>
      <c r="G800" s="9">
        <v>9.0043001E7</v>
      </c>
      <c r="H800" s="5" t="s">
        <v>18</v>
      </c>
      <c r="I800" s="10" t="s">
        <v>19</v>
      </c>
      <c r="J800" s="11">
        <v>1645908.0</v>
      </c>
      <c r="K800" s="11">
        <v>12.0</v>
      </c>
    </row>
    <row r="801">
      <c r="A801" s="5" t="s">
        <v>74</v>
      </c>
      <c r="B801" s="6" t="s">
        <v>259</v>
      </c>
      <c r="C801" s="7" t="s">
        <v>260</v>
      </c>
      <c r="D801" s="8">
        <v>1.0</v>
      </c>
      <c r="E801" s="7" t="s">
        <v>123</v>
      </c>
      <c r="F801" s="5" t="s">
        <v>124</v>
      </c>
      <c r="G801" s="9">
        <v>5.1100774E7</v>
      </c>
      <c r="H801" s="5" t="s">
        <v>39</v>
      </c>
      <c r="I801" s="10" t="s">
        <v>17</v>
      </c>
      <c r="J801" s="11">
        <v>8645000.0</v>
      </c>
      <c r="K801" s="11">
        <v>1330.0</v>
      </c>
    </row>
    <row r="802">
      <c r="A802" s="5" t="s">
        <v>74</v>
      </c>
      <c r="B802" s="6" t="s">
        <v>259</v>
      </c>
      <c r="C802" s="7" t="s">
        <v>260</v>
      </c>
      <c r="D802" s="8">
        <v>1.0</v>
      </c>
      <c r="E802" s="7" t="s">
        <v>125</v>
      </c>
      <c r="F802" s="5" t="s">
        <v>126</v>
      </c>
      <c r="G802" s="9">
        <v>5.1101056E7</v>
      </c>
      <c r="H802" s="5" t="s">
        <v>16</v>
      </c>
      <c r="I802" s="10" t="s">
        <v>17</v>
      </c>
      <c r="J802" s="11">
        <v>9669186.0</v>
      </c>
      <c r="K802" s="11">
        <v>70578.0</v>
      </c>
    </row>
    <row r="803">
      <c r="A803" s="5" t="s">
        <v>74</v>
      </c>
      <c r="B803" s="6" t="s">
        <v>259</v>
      </c>
      <c r="C803" s="7" t="s">
        <v>260</v>
      </c>
      <c r="D803" s="8">
        <v>1.0</v>
      </c>
      <c r="E803" s="7" t="s">
        <v>125</v>
      </c>
      <c r="F803" s="5" t="s">
        <v>126</v>
      </c>
      <c r="G803" s="9">
        <v>9.0043001E7</v>
      </c>
      <c r="H803" s="5" t="s">
        <v>18</v>
      </c>
      <c r="I803" s="10" t="s">
        <v>19</v>
      </c>
      <c r="J803" s="11">
        <v>2.10031355E8</v>
      </c>
      <c r="K803" s="11">
        <v>1497.0</v>
      </c>
    </row>
    <row r="804">
      <c r="A804" s="5" t="s">
        <v>74</v>
      </c>
      <c r="B804" s="6" t="s">
        <v>259</v>
      </c>
      <c r="C804" s="7" t="s">
        <v>260</v>
      </c>
      <c r="D804" s="8">
        <v>1.0</v>
      </c>
      <c r="E804" s="7" t="s">
        <v>127</v>
      </c>
      <c r="F804" s="5" t="s">
        <v>128</v>
      </c>
      <c r="G804" s="9">
        <v>5.1100153E7</v>
      </c>
      <c r="H804" s="5" t="s">
        <v>72</v>
      </c>
      <c r="I804" s="10" t="s">
        <v>25</v>
      </c>
      <c r="J804" s="11">
        <v>1.5159287E7</v>
      </c>
      <c r="K804" s="11">
        <v>0.0</v>
      </c>
    </row>
    <row r="805">
      <c r="A805" s="5" t="s">
        <v>74</v>
      </c>
      <c r="B805" s="6" t="s">
        <v>259</v>
      </c>
      <c r="C805" s="7" t="s">
        <v>260</v>
      </c>
      <c r="D805" s="8">
        <v>1.0</v>
      </c>
      <c r="E805" s="7" t="s">
        <v>127</v>
      </c>
      <c r="F805" s="5" t="s">
        <v>128</v>
      </c>
      <c r="G805" s="9">
        <v>5.1100153E7</v>
      </c>
      <c r="H805" s="5" t="s">
        <v>72</v>
      </c>
      <c r="I805" s="10" t="s">
        <v>17</v>
      </c>
      <c r="J805" s="11">
        <v>2.07890333E8</v>
      </c>
      <c r="K805" s="11">
        <v>1182772.0</v>
      </c>
    </row>
    <row r="806">
      <c r="A806" s="5" t="s">
        <v>74</v>
      </c>
      <c r="B806" s="6" t="s">
        <v>259</v>
      </c>
      <c r="C806" s="7" t="s">
        <v>260</v>
      </c>
      <c r="D806" s="8">
        <v>1.0</v>
      </c>
      <c r="E806" s="7" t="s">
        <v>127</v>
      </c>
      <c r="F806" s="5" t="s">
        <v>128</v>
      </c>
      <c r="G806" s="9">
        <v>9.0043002E7</v>
      </c>
      <c r="H806" s="5" t="s">
        <v>49</v>
      </c>
      <c r="I806" s="10" t="s">
        <v>50</v>
      </c>
      <c r="J806" s="11">
        <v>4630892.0</v>
      </c>
      <c r="K806" s="11">
        <v>583.0</v>
      </c>
    </row>
    <row r="807">
      <c r="A807" s="5" t="s">
        <v>74</v>
      </c>
      <c r="B807" s="6" t="s">
        <v>259</v>
      </c>
      <c r="C807" s="7" t="s">
        <v>260</v>
      </c>
      <c r="D807" s="8">
        <v>1.0</v>
      </c>
      <c r="E807" s="7" t="s">
        <v>129</v>
      </c>
      <c r="F807" s="5" t="s">
        <v>130</v>
      </c>
      <c r="G807" s="9">
        <v>5.1100153E7</v>
      </c>
      <c r="H807" s="5" t="s">
        <v>72</v>
      </c>
      <c r="I807" s="10" t="s">
        <v>25</v>
      </c>
      <c r="J807" s="11">
        <v>0.0</v>
      </c>
      <c r="K807" s="11">
        <v>0.0</v>
      </c>
    </row>
    <row r="808">
      <c r="A808" s="5" t="s">
        <v>74</v>
      </c>
      <c r="B808" s="6" t="s">
        <v>259</v>
      </c>
      <c r="C808" s="7" t="s">
        <v>260</v>
      </c>
      <c r="D808" s="8">
        <v>1.0</v>
      </c>
      <c r="E808" s="7" t="s">
        <v>129</v>
      </c>
      <c r="F808" s="5" t="s">
        <v>130</v>
      </c>
      <c r="G808" s="9">
        <v>5.1101056E7</v>
      </c>
      <c r="H808" s="5" t="s">
        <v>16</v>
      </c>
      <c r="I808" s="10" t="s">
        <v>17</v>
      </c>
      <c r="J808" s="11">
        <v>5.830528E7</v>
      </c>
      <c r="K808" s="11">
        <v>530048.0</v>
      </c>
    </row>
    <row r="809">
      <c r="A809" s="5" t="s">
        <v>74</v>
      </c>
      <c r="B809" s="6" t="s">
        <v>259</v>
      </c>
      <c r="C809" s="7" t="s">
        <v>260</v>
      </c>
      <c r="D809" s="8">
        <v>1.0</v>
      </c>
      <c r="E809" s="7" t="s">
        <v>135</v>
      </c>
      <c r="F809" s="5" t="s">
        <v>136</v>
      </c>
      <c r="G809" s="9">
        <v>9.0043001E7</v>
      </c>
      <c r="H809" s="5" t="s">
        <v>18</v>
      </c>
      <c r="I809" s="10" t="s">
        <v>19</v>
      </c>
      <c r="J809" s="11">
        <v>4.0550319E7</v>
      </c>
      <c r="K809" s="11">
        <v>289.0</v>
      </c>
    </row>
    <row r="810">
      <c r="A810" s="5" t="s">
        <v>74</v>
      </c>
      <c r="B810" s="6" t="s">
        <v>259</v>
      </c>
      <c r="C810" s="7" t="s">
        <v>260</v>
      </c>
      <c r="D810" s="8">
        <v>1.0</v>
      </c>
      <c r="E810" s="7" t="s">
        <v>54</v>
      </c>
      <c r="F810" s="5" t="s">
        <v>139</v>
      </c>
      <c r="G810" s="9">
        <v>9.0042011E7</v>
      </c>
      <c r="H810" s="5" t="s">
        <v>55</v>
      </c>
      <c r="I810" s="10" t="s">
        <v>19</v>
      </c>
      <c r="J810" s="11">
        <v>1.75087887E8</v>
      </c>
      <c r="K810" s="11">
        <v>0.0</v>
      </c>
    </row>
    <row r="811">
      <c r="A811" s="5" t="s">
        <v>74</v>
      </c>
      <c r="B811" s="6" t="s">
        <v>259</v>
      </c>
      <c r="C811" s="7" t="s">
        <v>260</v>
      </c>
      <c r="D811" s="8">
        <v>1.0</v>
      </c>
      <c r="E811" s="7" t="s">
        <v>164</v>
      </c>
      <c r="F811" s="5" t="s">
        <v>165</v>
      </c>
      <c r="G811" s="9">
        <v>9.0042079E7</v>
      </c>
      <c r="H811" s="5" t="s">
        <v>166</v>
      </c>
      <c r="I811" s="10" t="s">
        <v>19</v>
      </c>
      <c r="J811" s="11">
        <v>1025000.0</v>
      </c>
      <c r="K811" s="11">
        <v>0.0</v>
      </c>
    </row>
    <row r="812">
      <c r="A812" s="5" t="s">
        <v>74</v>
      </c>
      <c r="B812" s="6" t="s">
        <v>259</v>
      </c>
      <c r="C812" s="7" t="s">
        <v>260</v>
      </c>
      <c r="D812" s="8">
        <v>1.0</v>
      </c>
      <c r="E812" s="7" t="s">
        <v>20</v>
      </c>
      <c r="F812" s="5" t="s">
        <v>140</v>
      </c>
      <c r="G812" s="9">
        <v>9.0042014E7</v>
      </c>
      <c r="H812" s="5" t="s">
        <v>21</v>
      </c>
      <c r="I812" s="10" t="s">
        <v>19</v>
      </c>
      <c r="J812" s="11">
        <v>2.74171967E8</v>
      </c>
      <c r="K812" s="11">
        <v>0.0</v>
      </c>
    </row>
    <row r="813">
      <c r="A813" s="5" t="s">
        <v>74</v>
      </c>
      <c r="B813" s="6" t="s">
        <v>259</v>
      </c>
      <c r="C813" s="7" t="s">
        <v>260</v>
      </c>
      <c r="D813" s="8">
        <v>1.0</v>
      </c>
      <c r="E813" s="7" t="s">
        <v>20</v>
      </c>
      <c r="F813" s="5" t="s">
        <v>140</v>
      </c>
      <c r="G813" s="9">
        <v>9.0042077E7</v>
      </c>
      <c r="H813" s="5" t="s">
        <v>141</v>
      </c>
      <c r="I813" s="10" t="s">
        <v>19</v>
      </c>
      <c r="J813" s="11">
        <v>3.1942066E7</v>
      </c>
      <c r="K813" s="11">
        <v>0.0</v>
      </c>
    </row>
    <row r="814">
      <c r="A814" s="5" t="s">
        <v>74</v>
      </c>
      <c r="B814" s="6" t="s">
        <v>259</v>
      </c>
      <c r="C814" s="7" t="s">
        <v>260</v>
      </c>
      <c r="D814" s="8">
        <v>1.0</v>
      </c>
      <c r="E814" s="7" t="s">
        <v>142</v>
      </c>
      <c r="F814" s="5" t="s">
        <v>143</v>
      </c>
      <c r="G814" s="9">
        <v>9.0042084E7</v>
      </c>
      <c r="H814" s="5" t="s">
        <v>145</v>
      </c>
      <c r="I814" s="10" t="s">
        <v>19</v>
      </c>
      <c r="J814" s="11">
        <v>884250.0</v>
      </c>
      <c r="K814" s="11">
        <v>0.0</v>
      </c>
    </row>
    <row r="815">
      <c r="A815" s="5" t="s">
        <v>74</v>
      </c>
      <c r="B815" s="6" t="s">
        <v>259</v>
      </c>
      <c r="C815" s="7" t="s">
        <v>260</v>
      </c>
      <c r="D815" s="8">
        <v>1.0</v>
      </c>
      <c r="E815" s="7" t="s">
        <v>22</v>
      </c>
      <c r="F815" s="5" t="s">
        <v>146</v>
      </c>
      <c r="G815" s="9">
        <v>9.0042012E7</v>
      </c>
      <c r="H815" s="5" t="s">
        <v>23</v>
      </c>
      <c r="I815" s="10" t="s">
        <v>19</v>
      </c>
      <c r="J815" s="11">
        <v>9.1377921E7</v>
      </c>
      <c r="K815" s="11">
        <v>0.0</v>
      </c>
    </row>
    <row r="816">
      <c r="A816" s="5" t="s">
        <v>74</v>
      </c>
      <c r="B816" s="6" t="s">
        <v>259</v>
      </c>
      <c r="C816" s="7" t="s">
        <v>260</v>
      </c>
      <c r="D816" s="8">
        <v>1.0</v>
      </c>
      <c r="E816" s="7" t="s">
        <v>22</v>
      </c>
      <c r="F816" s="5" t="s">
        <v>146</v>
      </c>
      <c r="G816" s="9">
        <v>9.0042121E7</v>
      </c>
      <c r="H816" s="5" t="s">
        <v>24</v>
      </c>
      <c r="I816" s="10" t="s">
        <v>25</v>
      </c>
      <c r="J816" s="11">
        <v>3.60907074E8</v>
      </c>
      <c r="K816" s="11">
        <v>0.0</v>
      </c>
    </row>
    <row r="817">
      <c r="A817" s="5" t="s">
        <v>74</v>
      </c>
      <c r="B817" s="6" t="s">
        <v>259</v>
      </c>
      <c r="C817" s="7" t="s">
        <v>260</v>
      </c>
      <c r="D817" s="8">
        <v>1.0</v>
      </c>
      <c r="E817" s="7" t="s">
        <v>22</v>
      </c>
      <c r="F817" s="5" t="s">
        <v>146</v>
      </c>
      <c r="G817" s="9">
        <v>9.0042122E7</v>
      </c>
      <c r="H817" s="5" t="s">
        <v>56</v>
      </c>
      <c r="I817" s="10" t="s">
        <v>25</v>
      </c>
      <c r="J817" s="11">
        <v>4.1260384E7</v>
      </c>
      <c r="K817" s="11">
        <v>0.0</v>
      </c>
    </row>
    <row r="818">
      <c r="A818" s="5" t="s">
        <v>74</v>
      </c>
      <c r="B818" s="6" t="s">
        <v>259</v>
      </c>
      <c r="C818" s="7" t="s">
        <v>260</v>
      </c>
      <c r="D818" s="8">
        <v>1.0</v>
      </c>
      <c r="E818" s="7" t="s">
        <v>22</v>
      </c>
      <c r="F818" s="5" t="s">
        <v>146</v>
      </c>
      <c r="G818" s="9">
        <v>9.0042125E7</v>
      </c>
      <c r="H818" s="5" t="s">
        <v>26</v>
      </c>
      <c r="I818" s="10" t="s">
        <v>25</v>
      </c>
      <c r="J818" s="11">
        <v>5.2096464E7</v>
      </c>
      <c r="K818" s="11">
        <v>0.0</v>
      </c>
    </row>
    <row r="819">
      <c r="A819" s="5" t="s">
        <v>74</v>
      </c>
      <c r="B819" s="6" t="s">
        <v>259</v>
      </c>
      <c r="C819" s="7" t="s">
        <v>260</v>
      </c>
      <c r="D819" s="8">
        <v>1.0</v>
      </c>
      <c r="E819" s="7" t="s">
        <v>22</v>
      </c>
      <c r="F819" s="5" t="s">
        <v>146</v>
      </c>
      <c r="G819" s="9">
        <v>9.0042128E7</v>
      </c>
      <c r="H819" s="5" t="s">
        <v>58</v>
      </c>
      <c r="I819" s="10" t="s">
        <v>25</v>
      </c>
      <c r="J819" s="11">
        <v>2.5923859E7</v>
      </c>
      <c r="K819" s="11">
        <v>0.0</v>
      </c>
    </row>
    <row r="820">
      <c r="A820" s="5" t="s">
        <v>74</v>
      </c>
      <c r="B820" s="6" t="s">
        <v>259</v>
      </c>
      <c r="C820" s="7" t="s">
        <v>260</v>
      </c>
      <c r="D820" s="8">
        <v>1.0</v>
      </c>
      <c r="E820" s="7" t="s">
        <v>22</v>
      </c>
      <c r="F820" s="5" t="s">
        <v>146</v>
      </c>
      <c r="G820" s="9">
        <v>9.0042132E7</v>
      </c>
      <c r="H820" s="5" t="s">
        <v>28</v>
      </c>
      <c r="I820" s="10" t="s">
        <v>25</v>
      </c>
      <c r="J820" s="11">
        <v>735909.0</v>
      </c>
      <c r="K820" s="11">
        <v>0.0</v>
      </c>
    </row>
    <row r="821">
      <c r="A821" s="5" t="s">
        <v>74</v>
      </c>
      <c r="B821" s="6" t="s">
        <v>259</v>
      </c>
      <c r="C821" s="7" t="s">
        <v>260</v>
      </c>
      <c r="D821" s="8">
        <v>1.0</v>
      </c>
      <c r="E821" s="7" t="s">
        <v>22</v>
      </c>
      <c r="F821" s="5" t="s">
        <v>146</v>
      </c>
      <c r="G821" s="9">
        <v>9.0042134E7</v>
      </c>
      <c r="H821" s="5" t="s">
        <v>29</v>
      </c>
      <c r="I821" s="10" t="s">
        <v>25</v>
      </c>
      <c r="J821" s="11">
        <v>2358175.0</v>
      </c>
      <c r="K821" s="11">
        <v>0.0</v>
      </c>
    </row>
    <row r="822">
      <c r="A822" s="5" t="s">
        <v>74</v>
      </c>
      <c r="B822" s="6" t="s">
        <v>259</v>
      </c>
      <c r="C822" s="7" t="s">
        <v>260</v>
      </c>
      <c r="D822" s="8">
        <v>1.0</v>
      </c>
      <c r="E822" s="7" t="s">
        <v>22</v>
      </c>
      <c r="F822" s="5" t="s">
        <v>146</v>
      </c>
      <c r="G822" s="9">
        <v>9.0042135E7</v>
      </c>
      <c r="H822" s="5" t="s">
        <v>30</v>
      </c>
      <c r="I822" s="10" t="s">
        <v>25</v>
      </c>
      <c r="J822" s="11">
        <v>1.04297418E8</v>
      </c>
      <c r="K822" s="11">
        <v>0.0</v>
      </c>
    </row>
    <row r="823">
      <c r="A823" s="5" t="s">
        <v>74</v>
      </c>
      <c r="B823" s="6" t="s">
        <v>259</v>
      </c>
      <c r="C823" s="7" t="s">
        <v>260</v>
      </c>
      <c r="D823" s="8">
        <v>1.0</v>
      </c>
      <c r="E823" s="7" t="s">
        <v>22</v>
      </c>
      <c r="F823" s="5" t="s">
        <v>146</v>
      </c>
      <c r="G823" s="9">
        <v>9.00422E7</v>
      </c>
      <c r="H823" s="5" t="s">
        <v>73</v>
      </c>
      <c r="I823" s="10" t="s">
        <v>60</v>
      </c>
      <c r="J823" s="11">
        <v>1.81316763E8</v>
      </c>
      <c r="K823" s="11">
        <v>0.0</v>
      </c>
    </row>
    <row r="824">
      <c r="A824" s="5" t="s">
        <v>74</v>
      </c>
      <c r="B824" s="6" t="s">
        <v>259</v>
      </c>
      <c r="C824" s="7" t="s">
        <v>260</v>
      </c>
      <c r="D824" s="8">
        <v>1.0</v>
      </c>
      <c r="E824" s="7" t="s">
        <v>22</v>
      </c>
      <c r="F824" s="5" t="s">
        <v>146</v>
      </c>
      <c r="G824" s="9">
        <v>9.0042223E7</v>
      </c>
      <c r="H824" s="5" t="s">
        <v>61</v>
      </c>
      <c r="I824" s="10" t="s">
        <v>60</v>
      </c>
      <c r="J824" s="11">
        <v>2.2007809E7</v>
      </c>
      <c r="K824" s="11">
        <v>0.0</v>
      </c>
    </row>
    <row r="825">
      <c r="A825" s="5" t="s">
        <v>74</v>
      </c>
      <c r="B825" s="6" t="s">
        <v>259</v>
      </c>
      <c r="C825" s="7" t="s">
        <v>260</v>
      </c>
      <c r="D825" s="8">
        <v>1.0</v>
      </c>
      <c r="E825" s="7" t="s">
        <v>22</v>
      </c>
      <c r="F825" s="5" t="s">
        <v>146</v>
      </c>
      <c r="G825" s="9">
        <v>9.0042226E7</v>
      </c>
      <c r="H825" s="5" t="s">
        <v>63</v>
      </c>
      <c r="I825" s="10" t="s">
        <v>60</v>
      </c>
      <c r="J825" s="11">
        <v>1233333.0</v>
      </c>
      <c r="K825" s="11">
        <v>0.0</v>
      </c>
    </row>
    <row r="826">
      <c r="A826" s="5" t="s">
        <v>74</v>
      </c>
      <c r="B826" s="6" t="s">
        <v>259</v>
      </c>
      <c r="C826" s="7" t="s">
        <v>260</v>
      </c>
      <c r="D826" s="8">
        <v>1.0</v>
      </c>
      <c r="E826" s="7" t="s">
        <v>22</v>
      </c>
      <c r="F826" s="5" t="s">
        <v>146</v>
      </c>
      <c r="G826" s="9">
        <v>9.0042228E7</v>
      </c>
      <c r="H826" s="5" t="s">
        <v>64</v>
      </c>
      <c r="I826" s="10" t="s">
        <v>60</v>
      </c>
      <c r="J826" s="11">
        <v>1.0590496E8</v>
      </c>
      <c r="K826" s="11">
        <v>0.0</v>
      </c>
    </row>
    <row r="827">
      <c r="A827" s="5" t="s">
        <v>74</v>
      </c>
      <c r="B827" s="6" t="s">
        <v>259</v>
      </c>
      <c r="C827" s="7" t="s">
        <v>260</v>
      </c>
      <c r="D827" s="8">
        <v>1.0</v>
      </c>
      <c r="E827" s="7" t="s">
        <v>22</v>
      </c>
      <c r="F827" s="5" t="s">
        <v>146</v>
      </c>
      <c r="G827" s="9">
        <v>9.0042231E7</v>
      </c>
      <c r="H827" s="5" t="s">
        <v>65</v>
      </c>
      <c r="I827" s="10" t="s">
        <v>60</v>
      </c>
      <c r="J827" s="11">
        <v>1.1424573E7</v>
      </c>
      <c r="K827" s="11">
        <v>0.0</v>
      </c>
    </row>
    <row r="828">
      <c r="A828" s="5" t="s">
        <v>74</v>
      </c>
      <c r="B828" s="6" t="s">
        <v>259</v>
      </c>
      <c r="C828" s="7" t="s">
        <v>260</v>
      </c>
      <c r="D828" s="8">
        <v>1.0</v>
      </c>
      <c r="E828" s="7" t="s">
        <v>22</v>
      </c>
      <c r="F828" s="5" t="s">
        <v>146</v>
      </c>
      <c r="G828" s="9">
        <v>9.0042126E7</v>
      </c>
      <c r="H828" s="5" t="s">
        <v>31</v>
      </c>
      <c r="I828" s="10" t="s">
        <v>25</v>
      </c>
      <c r="J828" s="11">
        <v>2.4255289E7</v>
      </c>
      <c r="K828" s="11">
        <v>0.0</v>
      </c>
    </row>
    <row r="829">
      <c r="A829" s="5" t="s">
        <v>74</v>
      </c>
      <c r="B829" s="6" t="s">
        <v>259</v>
      </c>
      <c r="C829" s="7" t="s">
        <v>260</v>
      </c>
      <c r="D829" s="8">
        <v>1.0</v>
      </c>
      <c r="E829" s="13">
        <v>46097.0</v>
      </c>
      <c r="F829" s="5" t="s">
        <v>216</v>
      </c>
      <c r="G829" s="9">
        <v>5.1100153E7</v>
      </c>
      <c r="H829" s="5" t="s">
        <v>72</v>
      </c>
      <c r="I829" s="10" t="s">
        <v>25</v>
      </c>
      <c r="J829" s="11">
        <v>0.0</v>
      </c>
      <c r="K829" s="11">
        <v>0.0</v>
      </c>
    </row>
    <row r="830">
      <c r="A830" s="5" t="s">
        <v>74</v>
      </c>
      <c r="B830" s="6" t="s">
        <v>259</v>
      </c>
      <c r="C830" s="7" t="s">
        <v>260</v>
      </c>
      <c r="D830" s="8">
        <v>1.0</v>
      </c>
      <c r="E830" s="13">
        <v>46097.0</v>
      </c>
      <c r="F830" s="5" t="s">
        <v>216</v>
      </c>
      <c r="G830" s="9">
        <v>5.1101056E7</v>
      </c>
      <c r="H830" s="5" t="s">
        <v>16</v>
      </c>
      <c r="I830" s="10" t="s">
        <v>17</v>
      </c>
      <c r="J830" s="11">
        <v>7623000.0</v>
      </c>
      <c r="K830" s="11">
        <v>69300.0</v>
      </c>
    </row>
    <row r="831">
      <c r="A831" s="5" t="s">
        <v>74</v>
      </c>
      <c r="B831" s="6" t="s">
        <v>259</v>
      </c>
      <c r="C831" s="7" t="s">
        <v>260</v>
      </c>
      <c r="D831" s="8">
        <v>1.0</v>
      </c>
      <c r="E831" s="13">
        <v>46069.0</v>
      </c>
      <c r="F831" s="5" t="s">
        <v>217</v>
      </c>
      <c r="G831" s="9">
        <v>5.1100153E7</v>
      </c>
      <c r="H831" s="5" t="s">
        <v>72</v>
      </c>
      <c r="I831" s="10" t="s">
        <v>17</v>
      </c>
      <c r="J831" s="11">
        <v>3.066324E7</v>
      </c>
      <c r="K831" s="11">
        <v>211953.0</v>
      </c>
    </row>
    <row r="832">
      <c r="A832" s="5" t="s">
        <v>74</v>
      </c>
      <c r="B832" s="6" t="s">
        <v>259</v>
      </c>
      <c r="C832" s="7" t="s">
        <v>260</v>
      </c>
      <c r="D832" s="8">
        <v>1.0</v>
      </c>
      <c r="E832" s="13">
        <v>46069.0</v>
      </c>
      <c r="F832" s="5" t="s">
        <v>217</v>
      </c>
      <c r="G832" s="9">
        <v>9.0043001E7</v>
      </c>
      <c r="H832" s="5" t="s">
        <v>18</v>
      </c>
      <c r="I832" s="10" t="s">
        <v>19</v>
      </c>
      <c r="J832" s="11">
        <v>1300472.0</v>
      </c>
      <c r="K832" s="11">
        <v>8.0</v>
      </c>
    </row>
    <row r="833">
      <c r="A833" s="5" t="s">
        <v>74</v>
      </c>
      <c r="B833" s="6" t="s">
        <v>259</v>
      </c>
      <c r="C833" s="7" t="s">
        <v>260</v>
      </c>
      <c r="D833" s="8">
        <v>1.0</v>
      </c>
      <c r="E833" s="13">
        <v>46069.0</v>
      </c>
      <c r="F833" s="5" t="s">
        <v>217</v>
      </c>
      <c r="G833" s="9">
        <v>5.4000001E7</v>
      </c>
      <c r="H833" s="5" t="s">
        <v>256</v>
      </c>
      <c r="I833" s="10" t="s">
        <v>25</v>
      </c>
      <c r="J833" s="11">
        <v>0.0</v>
      </c>
      <c r="K833" s="11">
        <v>0.0</v>
      </c>
    </row>
    <row r="834">
      <c r="A834" s="5" t="s">
        <v>74</v>
      </c>
      <c r="B834" s="6" t="s">
        <v>259</v>
      </c>
      <c r="C834" s="7" t="s">
        <v>260</v>
      </c>
      <c r="D834" s="8">
        <v>1.0</v>
      </c>
      <c r="E834" s="7" t="s">
        <v>252</v>
      </c>
      <c r="F834" s="5" t="s">
        <v>253</v>
      </c>
      <c r="G834" s="9">
        <v>5.1100153E7</v>
      </c>
      <c r="H834" s="5" t="s">
        <v>72</v>
      </c>
      <c r="I834" s="10" t="s">
        <v>25</v>
      </c>
      <c r="J834" s="11">
        <v>0.0</v>
      </c>
      <c r="K834" s="11">
        <v>0.0</v>
      </c>
    </row>
    <row r="835">
      <c r="A835" s="5" t="s">
        <v>74</v>
      </c>
      <c r="B835" s="6" t="s">
        <v>259</v>
      </c>
      <c r="C835" s="7" t="s">
        <v>260</v>
      </c>
      <c r="D835" s="8">
        <v>1.0</v>
      </c>
      <c r="E835" s="7" t="s">
        <v>252</v>
      </c>
      <c r="F835" s="5" t="s">
        <v>253</v>
      </c>
      <c r="G835" s="9">
        <v>5.1101056E7</v>
      </c>
      <c r="H835" s="5" t="s">
        <v>16</v>
      </c>
      <c r="I835" s="10" t="s">
        <v>17</v>
      </c>
      <c r="J835" s="11">
        <v>462000.0</v>
      </c>
      <c r="K835" s="11">
        <v>4200.0</v>
      </c>
    </row>
    <row r="836">
      <c r="A836" s="5" t="s">
        <v>74</v>
      </c>
      <c r="B836" s="6" t="s">
        <v>66</v>
      </c>
      <c r="C836" s="7" t="s">
        <v>67</v>
      </c>
      <c r="D836" s="8">
        <v>1.0</v>
      </c>
      <c r="E836" s="13">
        <v>46189.0</v>
      </c>
      <c r="F836" s="5" t="s">
        <v>262</v>
      </c>
      <c r="G836" s="9">
        <v>9.0043001E7</v>
      </c>
      <c r="H836" s="5" t="s">
        <v>18</v>
      </c>
      <c r="I836" s="10" t="s">
        <v>19</v>
      </c>
      <c r="J836" s="11">
        <v>2738610.0</v>
      </c>
      <c r="K836" s="11">
        <v>18.0</v>
      </c>
    </row>
    <row r="837">
      <c r="A837" s="5" t="s">
        <v>74</v>
      </c>
      <c r="B837" s="6" t="s">
        <v>66</v>
      </c>
      <c r="C837" s="7" t="s">
        <v>67</v>
      </c>
      <c r="D837" s="8">
        <v>1.0</v>
      </c>
      <c r="E837" s="7" t="s">
        <v>81</v>
      </c>
      <c r="F837" s="5" t="s">
        <v>82</v>
      </c>
      <c r="G837" s="9">
        <v>9.0043001E7</v>
      </c>
      <c r="H837" s="5" t="s">
        <v>18</v>
      </c>
      <c r="I837" s="10" t="s">
        <v>19</v>
      </c>
      <c r="J837" s="11">
        <v>8000383.0</v>
      </c>
      <c r="K837" s="11">
        <v>49.0</v>
      </c>
    </row>
    <row r="838">
      <c r="A838" s="5" t="s">
        <v>74</v>
      </c>
      <c r="B838" s="6" t="s">
        <v>66</v>
      </c>
      <c r="C838" s="7" t="s">
        <v>67</v>
      </c>
      <c r="D838" s="8">
        <v>1.0</v>
      </c>
      <c r="E838" s="7" t="s">
        <v>81</v>
      </c>
      <c r="F838" s="5" t="s">
        <v>82</v>
      </c>
      <c r="G838" s="9">
        <v>9.0043002E7</v>
      </c>
      <c r="H838" s="5" t="s">
        <v>49</v>
      </c>
      <c r="I838" s="10" t="s">
        <v>50</v>
      </c>
      <c r="J838" s="11">
        <v>3.5947584E7</v>
      </c>
      <c r="K838" s="11">
        <v>1728.0</v>
      </c>
    </row>
    <row r="839">
      <c r="A839" s="5" t="s">
        <v>74</v>
      </c>
      <c r="B839" s="6" t="s">
        <v>66</v>
      </c>
      <c r="C839" s="7" t="s">
        <v>67</v>
      </c>
      <c r="D839" s="8">
        <v>1.0</v>
      </c>
      <c r="E839" s="7" t="s">
        <v>81</v>
      </c>
      <c r="F839" s="5" t="s">
        <v>82</v>
      </c>
      <c r="G839" s="9">
        <v>9.0043E7</v>
      </c>
      <c r="H839" s="5" t="s">
        <v>83</v>
      </c>
      <c r="I839" s="10" t="s">
        <v>19</v>
      </c>
      <c r="J839" s="11">
        <v>3725625.0</v>
      </c>
      <c r="K839" s="11">
        <v>25.0</v>
      </c>
    </row>
    <row r="840">
      <c r="A840" s="5" t="s">
        <v>74</v>
      </c>
      <c r="B840" s="6" t="s">
        <v>66</v>
      </c>
      <c r="C840" s="7" t="s">
        <v>67</v>
      </c>
      <c r="D840" s="8">
        <v>1.0</v>
      </c>
      <c r="E840" s="7" t="s">
        <v>84</v>
      </c>
      <c r="F840" s="5" t="s">
        <v>85</v>
      </c>
      <c r="G840" s="9">
        <v>9.0043001E7</v>
      </c>
      <c r="H840" s="5" t="s">
        <v>18</v>
      </c>
      <c r="I840" s="10" t="s">
        <v>19</v>
      </c>
      <c r="J840" s="11">
        <v>6.1232095E7</v>
      </c>
      <c r="K840" s="11">
        <v>371.0</v>
      </c>
    </row>
    <row r="841">
      <c r="A841" s="5" t="s">
        <v>74</v>
      </c>
      <c r="B841" s="6" t="s">
        <v>66</v>
      </c>
      <c r="C841" s="7" t="s">
        <v>67</v>
      </c>
      <c r="D841" s="8">
        <v>1.0</v>
      </c>
      <c r="E841" s="7" t="s">
        <v>84</v>
      </c>
      <c r="F841" s="5" t="s">
        <v>85</v>
      </c>
      <c r="G841" s="9">
        <v>9.0043003E7</v>
      </c>
      <c r="H841" s="5" t="s">
        <v>90</v>
      </c>
      <c r="I841" s="10" t="s">
        <v>50</v>
      </c>
      <c r="J841" s="11">
        <v>5.371011E7</v>
      </c>
      <c r="K841" s="11">
        <v>40.5</v>
      </c>
    </row>
    <row r="842">
      <c r="A842" s="5" t="s">
        <v>74</v>
      </c>
      <c r="B842" s="6" t="s">
        <v>66</v>
      </c>
      <c r="C842" s="7" t="s">
        <v>67</v>
      </c>
      <c r="D842" s="8">
        <v>1.0</v>
      </c>
      <c r="E842" s="7" t="s">
        <v>86</v>
      </c>
      <c r="F842" s="5" t="s">
        <v>87</v>
      </c>
      <c r="G842" s="9">
        <v>9.0043001E7</v>
      </c>
      <c r="H842" s="5" t="s">
        <v>18</v>
      </c>
      <c r="I842" s="10" t="s">
        <v>19</v>
      </c>
      <c r="J842" s="11">
        <v>9.1073319E7</v>
      </c>
      <c r="K842" s="11">
        <v>616.0</v>
      </c>
    </row>
    <row r="843">
      <c r="A843" s="5" t="s">
        <v>74</v>
      </c>
      <c r="B843" s="6" t="s">
        <v>66</v>
      </c>
      <c r="C843" s="7" t="s">
        <v>67</v>
      </c>
      <c r="D843" s="8">
        <v>1.0</v>
      </c>
      <c r="E843" s="7" t="s">
        <v>86</v>
      </c>
      <c r="F843" s="5" t="s">
        <v>87</v>
      </c>
      <c r="G843" s="9">
        <v>9.0043E7</v>
      </c>
      <c r="H843" s="5" t="s">
        <v>83</v>
      </c>
      <c r="I843" s="10" t="s">
        <v>19</v>
      </c>
      <c r="J843" s="11">
        <v>3228510.0</v>
      </c>
      <c r="K843" s="11">
        <v>23.0</v>
      </c>
    </row>
    <row r="844">
      <c r="A844" s="5" t="s">
        <v>74</v>
      </c>
      <c r="B844" s="6" t="s">
        <v>66</v>
      </c>
      <c r="C844" s="7" t="s">
        <v>67</v>
      </c>
      <c r="D844" s="8">
        <v>1.0</v>
      </c>
      <c r="E844" s="7" t="s">
        <v>152</v>
      </c>
      <c r="F844" s="5" t="s">
        <v>153</v>
      </c>
      <c r="G844" s="9">
        <v>5.1100651E7</v>
      </c>
      <c r="H844" s="5" t="s">
        <v>38</v>
      </c>
      <c r="I844" s="10" t="s">
        <v>25</v>
      </c>
      <c r="J844" s="11">
        <v>-3.0</v>
      </c>
      <c r="K844" s="11">
        <v>0.0</v>
      </c>
    </row>
    <row r="845">
      <c r="A845" s="5" t="s">
        <v>74</v>
      </c>
      <c r="B845" s="6" t="s">
        <v>66</v>
      </c>
      <c r="C845" s="7" t="s">
        <v>67</v>
      </c>
      <c r="D845" s="8">
        <v>1.0</v>
      </c>
      <c r="E845" s="7" t="s">
        <v>95</v>
      </c>
      <c r="F845" s="5" t="s">
        <v>96</v>
      </c>
      <c r="G845" s="9">
        <v>5.1100058E7</v>
      </c>
      <c r="H845" s="5" t="s">
        <v>36</v>
      </c>
      <c r="I845" s="10" t="s">
        <v>37</v>
      </c>
      <c r="J845" s="11">
        <v>7204960.0</v>
      </c>
      <c r="K845" s="11">
        <v>105.11</v>
      </c>
    </row>
    <row r="846">
      <c r="A846" s="5" t="s">
        <v>74</v>
      </c>
      <c r="B846" s="6" t="s">
        <v>66</v>
      </c>
      <c r="C846" s="7" t="s">
        <v>67</v>
      </c>
      <c r="D846" s="8">
        <v>1.0</v>
      </c>
      <c r="E846" s="7" t="s">
        <v>95</v>
      </c>
      <c r="F846" s="5" t="s">
        <v>96</v>
      </c>
      <c r="G846" s="9">
        <v>9.0043001E7</v>
      </c>
      <c r="H846" s="5" t="s">
        <v>18</v>
      </c>
      <c r="I846" s="10" t="s">
        <v>19</v>
      </c>
      <c r="J846" s="11">
        <v>2.8007546E7</v>
      </c>
      <c r="K846" s="11">
        <v>193.0</v>
      </c>
    </row>
    <row r="847">
      <c r="A847" s="5" t="s">
        <v>74</v>
      </c>
      <c r="B847" s="6" t="s">
        <v>66</v>
      </c>
      <c r="C847" s="7" t="s">
        <v>67</v>
      </c>
      <c r="D847" s="8">
        <v>1.0</v>
      </c>
      <c r="E847" s="7" t="s">
        <v>95</v>
      </c>
      <c r="F847" s="5" t="s">
        <v>96</v>
      </c>
      <c r="G847" s="9">
        <v>5.1100057E7</v>
      </c>
      <c r="H847" s="5" t="s">
        <v>237</v>
      </c>
      <c r="I847" s="10" t="s">
        <v>37</v>
      </c>
      <c r="J847" s="11">
        <v>0.0</v>
      </c>
      <c r="K847" s="11">
        <v>0.0</v>
      </c>
    </row>
    <row r="848">
      <c r="A848" s="5" t="s">
        <v>74</v>
      </c>
      <c r="B848" s="6" t="s">
        <v>66</v>
      </c>
      <c r="C848" s="7" t="s">
        <v>67</v>
      </c>
      <c r="D848" s="8">
        <v>1.0</v>
      </c>
      <c r="E848" s="7" t="s">
        <v>101</v>
      </c>
      <c r="F848" s="5" t="s">
        <v>102</v>
      </c>
      <c r="G848" s="9">
        <v>9.0043001E7</v>
      </c>
      <c r="H848" s="5" t="s">
        <v>18</v>
      </c>
      <c r="I848" s="10" t="s">
        <v>19</v>
      </c>
      <c r="J848" s="11">
        <v>1.31158327E8</v>
      </c>
      <c r="K848" s="11">
        <v>935.0</v>
      </c>
    </row>
    <row r="849">
      <c r="A849" s="5" t="s">
        <v>74</v>
      </c>
      <c r="B849" s="6" t="s">
        <v>66</v>
      </c>
      <c r="C849" s="7" t="s">
        <v>67</v>
      </c>
      <c r="D849" s="8">
        <v>1.0</v>
      </c>
      <c r="E849" s="7" t="s">
        <v>101</v>
      </c>
      <c r="F849" s="5" t="s">
        <v>102</v>
      </c>
      <c r="G849" s="9">
        <v>9.0043E7</v>
      </c>
      <c r="H849" s="5" t="s">
        <v>83</v>
      </c>
      <c r="I849" s="10" t="s">
        <v>19</v>
      </c>
      <c r="J849" s="11">
        <v>2686823.0</v>
      </c>
      <c r="K849" s="11">
        <v>19.0</v>
      </c>
    </row>
    <row r="850">
      <c r="A850" s="5" t="s">
        <v>74</v>
      </c>
      <c r="B850" s="6" t="s">
        <v>66</v>
      </c>
      <c r="C850" s="7" t="s">
        <v>67</v>
      </c>
      <c r="D850" s="8">
        <v>1.0</v>
      </c>
      <c r="E850" s="7" t="s">
        <v>103</v>
      </c>
      <c r="F850" s="5" t="s">
        <v>104</v>
      </c>
      <c r="G850" s="9">
        <v>5.1100058E7</v>
      </c>
      <c r="H850" s="5" t="s">
        <v>36</v>
      </c>
      <c r="I850" s="10" t="s">
        <v>25</v>
      </c>
      <c r="J850" s="11">
        <v>-2.0</v>
      </c>
      <c r="K850" s="11">
        <v>0.0</v>
      </c>
    </row>
    <row r="851">
      <c r="A851" s="5" t="s">
        <v>74</v>
      </c>
      <c r="B851" s="6" t="s">
        <v>66</v>
      </c>
      <c r="C851" s="7" t="s">
        <v>67</v>
      </c>
      <c r="D851" s="8">
        <v>1.0</v>
      </c>
      <c r="E851" s="7" t="s">
        <v>103</v>
      </c>
      <c r="F851" s="5" t="s">
        <v>104</v>
      </c>
      <c r="G851" s="9">
        <v>5.1100058E7</v>
      </c>
      <c r="H851" s="5" t="s">
        <v>36</v>
      </c>
      <c r="I851" s="10" t="s">
        <v>37</v>
      </c>
      <c r="J851" s="11">
        <v>1.0382587E7</v>
      </c>
      <c r="K851" s="11">
        <v>114.35</v>
      </c>
    </row>
    <row r="852">
      <c r="A852" s="5" t="s">
        <v>74</v>
      </c>
      <c r="B852" s="6" t="s">
        <v>66</v>
      </c>
      <c r="C852" s="7" t="s">
        <v>67</v>
      </c>
      <c r="D852" s="8">
        <v>1.0</v>
      </c>
      <c r="E852" s="7" t="s">
        <v>103</v>
      </c>
      <c r="F852" s="5" t="s">
        <v>104</v>
      </c>
      <c r="G852" s="9">
        <v>5.1100064E7</v>
      </c>
      <c r="H852" s="5" t="s">
        <v>53</v>
      </c>
      <c r="I852" s="10" t="s">
        <v>25</v>
      </c>
      <c r="J852" s="11">
        <v>48650.0</v>
      </c>
      <c r="K852" s="11">
        <v>0.0</v>
      </c>
    </row>
    <row r="853">
      <c r="A853" s="5" t="s">
        <v>74</v>
      </c>
      <c r="B853" s="6" t="s">
        <v>66</v>
      </c>
      <c r="C853" s="7" t="s">
        <v>67</v>
      </c>
      <c r="D853" s="8">
        <v>1.0</v>
      </c>
      <c r="E853" s="7" t="s">
        <v>103</v>
      </c>
      <c r="F853" s="5" t="s">
        <v>104</v>
      </c>
      <c r="G853" s="9">
        <v>5.1101056E7</v>
      </c>
      <c r="H853" s="5" t="s">
        <v>16</v>
      </c>
      <c r="I853" s="10" t="s">
        <v>25</v>
      </c>
      <c r="J853" s="11">
        <v>1.0</v>
      </c>
      <c r="K853" s="11">
        <v>0.0</v>
      </c>
    </row>
    <row r="854">
      <c r="A854" s="5" t="s">
        <v>74</v>
      </c>
      <c r="B854" s="6" t="s">
        <v>66</v>
      </c>
      <c r="C854" s="7" t="s">
        <v>67</v>
      </c>
      <c r="D854" s="8">
        <v>1.0</v>
      </c>
      <c r="E854" s="7" t="s">
        <v>103</v>
      </c>
      <c r="F854" s="5" t="s">
        <v>104</v>
      </c>
      <c r="G854" s="9">
        <v>5.1100774E7</v>
      </c>
      <c r="H854" s="5" t="s">
        <v>39</v>
      </c>
      <c r="I854" s="10" t="s">
        <v>17</v>
      </c>
      <c r="J854" s="11">
        <v>5067276.0</v>
      </c>
      <c r="K854" s="11">
        <v>73.18</v>
      </c>
    </row>
    <row r="855">
      <c r="A855" s="5" t="s">
        <v>74</v>
      </c>
      <c r="B855" s="6" t="s">
        <v>66</v>
      </c>
      <c r="C855" s="7" t="s">
        <v>67</v>
      </c>
      <c r="D855" s="8">
        <v>1.0</v>
      </c>
      <c r="E855" s="7" t="s">
        <v>205</v>
      </c>
      <c r="F855" s="5" t="s">
        <v>206</v>
      </c>
      <c r="G855" s="9">
        <v>5.1100064E7</v>
      </c>
      <c r="H855" s="5" t="s">
        <v>53</v>
      </c>
      <c r="I855" s="10" t="s">
        <v>25</v>
      </c>
      <c r="J855" s="11">
        <v>486500.0</v>
      </c>
      <c r="K855" s="11">
        <v>0.0</v>
      </c>
    </row>
    <row r="856">
      <c r="A856" s="5" t="s">
        <v>74</v>
      </c>
      <c r="B856" s="6" t="s">
        <v>66</v>
      </c>
      <c r="C856" s="7" t="s">
        <v>67</v>
      </c>
      <c r="D856" s="8">
        <v>1.0</v>
      </c>
      <c r="E856" s="7" t="s">
        <v>209</v>
      </c>
      <c r="F856" s="5" t="s">
        <v>210</v>
      </c>
      <c r="G856" s="9">
        <v>5.1100774E7</v>
      </c>
      <c r="H856" s="5" t="s">
        <v>39</v>
      </c>
      <c r="I856" s="10" t="s">
        <v>17</v>
      </c>
      <c r="J856" s="11">
        <v>3000738.0</v>
      </c>
      <c r="K856" s="11">
        <v>26.0</v>
      </c>
    </row>
    <row r="857">
      <c r="A857" s="5" t="s">
        <v>74</v>
      </c>
      <c r="B857" s="6" t="s">
        <v>66</v>
      </c>
      <c r="C857" s="7" t="s">
        <v>67</v>
      </c>
      <c r="D857" s="8">
        <v>1.0</v>
      </c>
      <c r="E857" s="7" t="s">
        <v>263</v>
      </c>
      <c r="F857" s="5" t="s">
        <v>264</v>
      </c>
      <c r="G857" s="9">
        <v>5.1100058E7</v>
      </c>
      <c r="H857" s="5" t="s">
        <v>36</v>
      </c>
      <c r="I857" s="10" t="s">
        <v>37</v>
      </c>
      <c r="J857" s="11">
        <v>1.0539711E8</v>
      </c>
      <c r="K857" s="11">
        <v>15093.0</v>
      </c>
    </row>
    <row r="858">
      <c r="A858" s="5" t="s">
        <v>74</v>
      </c>
      <c r="B858" s="6" t="s">
        <v>66</v>
      </c>
      <c r="C858" s="7" t="s">
        <v>67</v>
      </c>
      <c r="D858" s="8">
        <v>1.0</v>
      </c>
      <c r="E858" s="7" t="s">
        <v>125</v>
      </c>
      <c r="F858" s="5" t="s">
        <v>126</v>
      </c>
      <c r="G858" s="9">
        <v>5.1100064E7</v>
      </c>
      <c r="H858" s="5" t="s">
        <v>53</v>
      </c>
      <c r="I858" s="10" t="s">
        <v>37</v>
      </c>
      <c r="J858" s="11">
        <v>0.0</v>
      </c>
      <c r="K858" s="11">
        <v>0.0</v>
      </c>
    </row>
    <row r="859">
      <c r="A859" s="5" t="s">
        <v>74</v>
      </c>
      <c r="B859" s="6" t="s">
        <v>66</v>
      </c>
      <c r="C859" s="7" t="s">
        <v>67</v>
      </c>
      <c r="D859" s="8">
        <v>1.0</v>
      </c>
      <c r="E859" s="7" t="s">
        <v>125</v>
      </c>
      <c r="F859" s="5" t="s">
        <v>126</v>
      </c>
      <c r="G859" s="9">
        <v>9.0043001E7</v>
      </c>
      <c r="H859" s="5" t="s">
        <v>18</v>
      </c>
      <c r="I859" s="10" t="s">
        <v>19</v>
      </c>
      <c r="J859" s="11">
        <v>2.56175407E8</v>
      </c>
      <c r="K859" s="11">
        <v>1803.0</v>
      </c>
    </row>
    <row r="860">
      <c r="A860" s="5" t="s">
        <v>74</v>
      </c>
      <c r="B860" s="6" t="s">
        <v>66</v>
      </c>
      <c r="C860" s="7" t="s">
        <v>67</v>
      </c>
      <c r="D860" s="8">
        <v>1.0</v>
      </c>
      <c r="E860" s="7" t="s">
        <v>127</v>
      </c>
      <c r="F860" s="5" t="s">
        <v>128</v>
      </c>
      <c r="G860" s="9">
        <v>5.1100153E7</v>
      </c>
      <c r="H860" s="5" t="s">
        <v>72</v>
      </c>
      <c r="I860" s="10" t="s">
        <v>17</v>
      </c>
      <c r="J860" s="11">
        <v>7.51399429E8</v>
      </c>
      <c r="K860" s="11">
        <v>1961400.0</v>
      </c>
    </row>
    <row r="861">
      <c r="A861" s="5" t="s">
        <v>74</v>
      </c>
      <c r="B861" s="6" t="s">
        <v>66</v>
      </c>
      <c r="C861" s="7" t="s">
        <v>67</v>
      </c>
      <c r="D861" s="8">
        <v>1.0</v>
      </c>
      <c r="E861" s="7" t="s">
        <v>129</v>
      </c>
      <c r="F861" s="5" t="s">
        <v>130</v>
      </c>
      <c r="G861" s="9">
        <v>5.1100401E7</v>
      </c>
      <c r="H861" s="5" t="s">
        <v>261</v>
      </c>
      <c r="I861" s="10" t="s">
        <v>25</v>
      </c>
      <c r="J861" s="11">
        <v>0.0</v>
      </c>
      <c r="K861" s="11">
        <v>0.0</v>
      </c>
    </row>
    <row r="862">
      <c r="A862" s="5" t="s">
        <v>74</v>
      </c>
      <c r="B862" s="6" t="s">
        <v>66</v>
      </c>
      <c r="C862" s="7" t="s">
        <v>67</v>
      </c>
      <c r="D862" s="8">
        <v>1.0</v>
      </c>
      <c r="E862" s="7" t="s">
        <v>129</v>
      </c>
      <c r="F862" s="5" t="s">
        <v>130</v>
      </c>
      <c r="G862" s="9">
        <v>5.1101056E7</v>
      </c>
      <c r="H862" s="5" t="s">
        <v>16</v>
      </c>
      <c r="I862" s="10" t="s">
        <v>17</v>
      </c>
      <c r="J862" s="11">
        <v>1.15529E8</v>
      </c>
      <c r="K862" s="11">
        <v>1155290.0</v>
      </c>
    </row>
    <row r="863">
      <c r="A863" s="5" t="s">
        <v>74</v>
      </c>
      <c r="B863" s="6" t="s">
        <v>66</v>
      </c>
      <c r="C863" s="7" t="s">
        <v>67</v>
      </c>
      <c r="D863" s="8">
        <v>1.0</v>
      </c>
      <c r="E863" s="7" t="s">
        <v>129</v>
      </c>
      <c r="F863" s="5" t="s">
        <v>130</v>
      </c>
      <c r="G863" s="9">
        <v>9.0043002E7</v>
      </c>
      <c r="H863" s="5" t="s">
        <v>49</v>
      </c>
      <c r="I863" s="10" t="s">
        <v>50</v>
      </c>
      <c r="J863" s="11">
        <v>428562.0</v>
      </c>
      <c r="K863" s="11">
        <v>28.0</v>
      </c>
    </row>
    <row r="864">
      <c r="A864" s="5" t="s">
        <v>74</v>
      </c>
      <c r="B864" s="6" t="s">
        <v>66</v>
      </c>
      <c r="C864" s="7" t="s">
        <v>67</v>
      </c>
      <c r="D864" s="8">
        <v>1.0</v>
      </c>
      <c r="E864" s="7" t="s">
        <v>129</v>
      </c>
      <c r="F864" s="5" t="s">
        <v>130</v>
      </c>
      <c r="G864" s="9">
        <v>9.0043003E7</v>
      </c>
      <c r="H864" s="5" t="s">
        <v>90</v>
      </c>
      <c r="I864" s="10" t="s">
        <v>50</v>
      </c>
      <c r="J864" s="11">
        <v>4.2955543E7</v>
      </c>
      <c r="K864" s="11">
        <v>371.0</v>
      </c>
    </row>
    <row r="865">
      <c r="A865" s="5" t="s">
        <v>74</v>
      </c>
      <c r="B865" s="6" t="s">
        <v>66</v>
      </c>
      <c r="C865" s="7" t="s">
        <v>67</v>
      </c>
      <c r="D865" s="8">
        <v>1.0</v>
      </c>
      <c r="E865" s="7" t="s">
        <v>131</v>
      </c>
      <c r="F865" s="5" t="s">
        <v>132</v>
      </c>
      <c r="G865" s="9">
        <v>9.0043001E7</v>
      </c>
      <c r="H865" s="5" t="s">
        <v>18</v>
      </c>
      <c r="I865" s="10" t="s">
        <v>19</v>
      </c>
      <c r="J865" s="11">
        <v>5.345385E7</v>
      </c>
      <c r="K865" s="11">
        <v>361.0</v>
      </c>
    </row>
    <row r="866">
      <c r="A866" s="5" t="s">
        <v>74</v>
      </c>
      <c r="B866" s="6" t="s">
        <v>66</v>
      </c>
      <c r="C866" s="7" t="s">
        <v>67</v>
      </c>
      <c r="D866" s="8">
        <v>1.0</v>
      </c>
      <c r="E866" s="7" t="s">
        <v>135</v>
      </c>
      <c r="F866" s="5" t="s">
        <v>136</v>
      </c>
      <c r="G866" s="9">
        <v>9.0043001E7</v>
      </c>
      <c r="H866" s="5" t="s">
        <v>18</v>
      </c>
      <c r="I866" s="10" t="s">
        <v>19</v>
      </c>
      <c r="J866" s="11">
        <v>8.278227E7</v>
      </c>
      <c r="K866" s="11">
        <v>585.0</v>
      </c>
    </row>
    <row r="867">
      <c r="A867" s="5" t="s">
        <v>74</v>
      </c>
      <c r="B867" s="6" t="s">
        <v>66</v>
      </c>
      <c r="C867" s="7" t="s">
        <v>67</v>
      </c>
      <c r="D867" s="8">
        <v>1.0</v>
      </c>
      <c r="E867" s="7" t="s">
        <v>162</v>
      </c>
      <c r="F867" s="5" t="s">
        <v>163</v>
      </c>
      <c r="G867" s="9">
        <v>9.0043001E7</v>
      </c>
      <c r="H867" s="5" t="s">
        <v>18</v>
      </c>
      <c r="I867" s="10" t="s">
        <v>19</v>
      </c>
      <c r="J867" s="11">
        <v>1.3305076E7</v>
      </c>
      <c r="K867" s="11">
        <v>95.0</v>
      </c>
    </row>
    <row r="868">
      <c r="A868" s="5" t="s">
        <v>74</v>
      </c>
      <c r="B868" s="6" t="s">
        <v>66</v>
      </c>
      <c r="C868" s="7" t="s">
        <v>67</v>
      </c>
      <c r="D868" s="8">
        <v>1.0</v>
      </c>
      <c r="E868" s="7" t="s">
        <v>162</v>
      </c>
      <c r="F868" s="5" t="s">
        <v>163</v>
      </c>
      <c r="G868" s="9">
        <v>9.0043E7</v>
      </c>
      <c r="H868" s="5" t="s">
        <v>83</v>
      </c>
      <c r="I868" s="10" t="s">
        <v>19</v>
      </c>
      <c r="J868" s="11">
        <v>2947770.0</v>
      </c>
      <c r="K868" s="11">
        <v>21.0</v>
      </c>
    </row>
    <row r="869">
      <c r="A869" s="5" t="s">
        <v>74</v>
      </c>
      <c r="B869" s="6" t="s">
        <v>66</v>
      </c>
      <c r="C869" s="7" t="s">
        <v>67</v>
      </c>
      <c r="D869" s="8">
        <v>1.0</v>
      </c>
      <c r="E869" s="7" t="s">
        <v>54</v>
      </c>
      <c r="F869" s="5" t="s">
        <v>139</v>
      </c>
      <c r="G869" s="9">
        <v>9.0042011E7</v>
      </c>
      <c r="H869" s="5" t="s">
        <v>55</v>
      </c>
      <c r="I869" s="10" t="s">
        <v>19</v>
      </c>
      <c r="J869" s="11">
        <v>2.64089015E8</v>
      </c>
      <c r="K869" s="11">
        <v>0.0</v>
      </c>
    </row>
    <row r="870">
      <c r="A870" s="5" t="s">
        <v>74</v>
      </c>
      <c r="B870" s="6" t="s">
        <v>66</v>
      </c>
      <c r="C870" s="7" t="s">
        <v>67</v>
      </c>
      <c r="D870" s="8">
        <v>1.0</v>
      </c>
      <c r="E870" s="7" t="s">
        <v>54</v>
      </c>
      <c r="F870" s="5" t="s">
        <v>139</v>
      </c>
      <c r="G870" s="9">
        <v>9.0042078E7</v>
      </c>
      <c r="H870" s="5" t="s">
        <v>265</v>
      </c>
      <c r="I870" s="10" t="s">
        <v>19</v>
      </c>
      <c r="J870" s="11">
        <v>285000.0</v>
      </c>
      <c r="K870" s="11">
        <v>0.0</v>
      </c>
    </row>
    <row r="871">
      <c r="A871" s="5" t="s">
        <v>74</v>
      </c>
      <c r="B871" s="6" t="s">
        <v>66</v>
      </c>
      <c r="C871" s="7" t="s">
        <v>67</v>
      </c>
      <c r="D871" s="8">
        <v>1.0</v>
      </c>
      <c r="E871" s="7" t="s">
        <v>20</v>
      </c>
      <c r="F871" s="5" t="s">
        <v>140</v>
      </c>
      <c r="G871" s="9">
        <v>9.0042014E7</v>
      </c>
      <c r="H871" s="5" t="s">
        <v>21</v>
      </c>
      <c r="I871" s="10" t="s">
        <v>19</v>
      </c>
      <c r="J871" s="11">
        <v>4.45525728E8</v>
      </c>
      <c r="K871" s="11">
        <v>0.0</v>
      </c>
    </row>
    <row r="872">
      <c r="A872" s="5" t="s">
        <v>74</v>
      </c>
      <c r="B872" s="6" t="s">
        <v>66</v>
      </c>
      <c r="C872" s="7" t="s">
        <v>67</v>
      </c>
      <c r="D872" s="8">
        <v>1.0</v>
      </c>
      <c r="E872" s="7" t="s">
        <v>20</v>
      </c>
      <c r="F872" s="5" t="s">
        <v>140</v>
      </c>
      <c r="G872" s="9">
        <v>9.0042077E7</v>
      </c>
      <c r="H872" s="5" t="s">
        <v>141</v>
      </c>
      <c r="I872" s="10" t="s">
        <v>19</v>
      </c>
      <c r="J872" s="11">
        <v>4.9771066E7</v>
      </c>
      <c r="K872" s="11">
        <v>0.0</v>
      </c>
    </row>
    <row r="873">
      <c r="A873" s="5" t="s">
        <v>74</v>
      </c>
      <c r="B873" s="6" t="s">
        <v>66</v>
      </c>
      <c r="C873" s="7" t="s">
        <v>67</v>
      </c>
      <c r="D873" s="8">
        <v>1.0</v>
      </c>
      <c r="E873" s="7" t="s">
        <v>142</v>
      </c>
      <c r="F873" s="5" t="s">
        <v>143</v>
      </c>
      <c r="G873" s="9">
        <v>9.0042013E7</v>
      </c>
      <c r="H873" s="5" t="s">
        <v>144</v>
      </c>
      <c r="I873" s="10" t="s">
        <v>19</v>
      </c>
      <c r="J873" s="11">
        <v>1.6347819E7</v>
      </c>
      <c r="K873" s="11">
        <v>0.0</v>
      </c>
    </row>
    <row r="874">
      <c r="A874" s="5" t="s">
        <v>74</v>
      </c>
      <c r="B874" s="6" t="s">
        <v>66</v>
      </c>
      <c r="C874" s="7" t="s">
        <v>67</v>
      </c>
      <c r="D874" s="8">
        <v>1.0</v>
      </c>
      <c r="E874" s="7" t="s">
        <v>142</v>
      </c>
      <c r="F874" s="5" t="s">
        <v>143</v>
      </c>
      <c r="G874" s="9">
        <v>9.0042084E7</v>
      </c>
      <c r="H874" s="5" t="s">
        <v>145</v>
      </c>
      <c r="I874" s="10" t="s">
        <v>19</v>
      </c>
      <c r="J874" s="11">
        <v>1.193801E7</v>
      </c>
      <c r="K874" s="11">
        <v>0.0</v>
      </c>
    </row>
    <row r="875">
      <c r="A875" s="5" t="s">
        <v>74</v>
      </c>
      <c r="B875" s="6" t="s">
        <v>66</v>
      </c>
      <c r="C875" s="7" t="s">
        <v>67</v>
      </c>
      <c r="D875" s="8">
        <v>1.0</v>
      </c>
      <c r="E875" s="7" t="s">
        <v>22</v>
      </c>
      <c r="F875" s="5" t="s">
        <v>146</v>
      </c>
      <c r="G875" s="9">
        <v>9.0042012E7</v>
      </c>
      <c r="H875" s="5" t="s">
        <v>23</v>
      </c>
      <c r="I875" s="10" t="s">
        <v>19</v>
      </c>
      <c r="J875" s="11">
        <v>1.13364102E8</v>
      </c>
      <c r="K875" s="11">
        <v>0.0</v>
      </c>
    </row>
    <row r="876">
      <c r="A876" s="5" t="s">
        <v>74</v>
      </c>
      <c r="B876" s="6" t="s">
        <v>66</v>
      </c>
      <c r="C876" s="7" t="s">
        <v>67</v>
      </c>
      <c r="D876" s="8">
        <v>1.0</v>
      </c>
      <c r="E876" s="7" t="s">
        <v>22</v>
      </c>
      <c r="F876" s="5" t="s">
        <v>146</v>
      </c>
      <c r="G876" s="9">
        <v>9.0042121E7</v>
      </c>
      <c r="H876" s="5" t="s">
        <v>24</v>
      </c>
      <c r="I876" s="10" t="s">
        <v>25</v>
      </c>
      <c r="J876" s="11">
        <v>4.9394578E8</v>
      </c>
      <c r="K876" s="11">
        <v>0.0</v>
      </c>
    </row>
    <row r="877">
      <c r="A877" s="5" t="s">
        <v>74</v>
      </c>
      <c r="B877" s="6" t="s">
        <v>66</v>
      </c>
      <c r="C877" s="7" t="s">
        <v>67</v>
      </c>
      <c r="D877" s="8">
        <v>1.0</v>
      </c>
      <c r="E877" s="7" t="s">
        <v>22</v>
      </c>
      <c r="F877" s="5" t="s">
        <v>146</v>
      </c>
      <c r="G877" s="9">
        <v>9.0042122E7</v>
      </c>
      <c r="H877" s="5" t="s">
        <v>56</v>
      </c>
      <c r="I877" s="10" t="s">
        <v>25</v>
      </c>
      <c r="J877" s="11">
        <v>7.1315095E7</v>
      </c>
      <c r="K877" s="11">
        <v>0.0</v>
      </c>
    </row>
    <row r="878">
      <c r="A878" s="5" t="s">
        <v>74</v>
      </c>
      <c r="B878" s="6" t="s">
        <v>66</v>
      </c>
      <c r="C878" s="7" t="s">
        <v>67</v>
      </c>
      <c r="D878" s="8">
        <v>1.0</v>
      </c>
      <c r="E878" s="7" t="s">
        <v>22</v>
      </c>
      <c r="F878" s="5" t="s">
        <v>146</v>
      </c>
      <c r="G878" s="9">
        <v>9.0042124E7</v>
      </c>
      <c r="H878" s="5" t="s">
        <v>57</v>
      </c>
      <c r="I878" s="10" t="s">
        <v>25</v>
      </c>
      <c r="J878" s="11">
        <v>2.4128398E7</v>
      </c>
      <c r="K878" s="11">
        <v>0.0</v>
      </c>
    </row>
    <row r="879">
      <c r="A879" s="5" t="s">
        <v>74</v>
      </c>
      <c r="B879" s="6" t="s">
        <v>66</v>
      </c>
      <c r="C879" s="7" t="s">
        <v>67</v>
      </c>
      <c r="D879" s="8">
        <v>1.0</v>
      </c>
      <c r="E879" s="7" t="s">
        <v>22</v>
      </c>
      <c r="F879" s="5" t="s">
        <v>146</v>
      </c>
      <c r="G879" s="9">
        <v>9.0042125E7</v>
      </c>
      <c r="H879" s="5" t="s">
        <v>26</v>
      </c>
      <c r="I879" s="10" t="s">
        <v>25</v>
      </c>
      <c r="J879" s="11">
        <v>4.7798049E7</v>
      </c>
      <c r="K879" s="11">
        <v>0.0</v>
      </c>
    </row>
    <row r="880">
      <c r="A880" s="5" t="s">
        <v>74</v>
      </c>
      <c r="B880" s="6" t="s">
        <v>66</v>
      </c>
      <c r="C880" s="7" t="s">
        <v>67</v>
      </c>
      <c r="D880" s="8">
        <v>1.0</v>
      </c>
      <c r="E880" s="7" t="s">
        <v>22</v>
      </c>
      <c r="F880" s="5" t="s">
        <v>146</v>
      </c>
      <c r="G880" s="9">
        <v>9.0042127E7</v>
      </c>
      <c r="H880" s="5" t="s">
        <v>27</v>
      </c>
      <c r="I880" s="10" t="s">
        <v>25</v>
      </c>
      <c r="J880" s="11">
        <v>1.8965572E7</v>
      </c>
      <c r="K880" s="11">
        <v>0.0</v>
      </c>
    </row>
    <row r="881">
      <c r="A881" s="5" t="s">
        <v>74</v>
      </c>
      <c r="B881" s="6" t="s">
        <v>66</v>
      </c>
      <c r="C881" s="7" t="s">
        <v>67</v>
      </c>
      <c r="D881" s="8">
        <v>1.0</v>
      </c>
      <c r="E881" s="7" t="s">
        <v>22</v>
      </c>
      <c r="F881" s="5" t="s">
        <v>146</v>
      </c>
      <c r="G881" s="9">
        <v>9.0042128E7</v>
      </c>
      <c r="H881" s="5" t="s">
        <v>58</v>
      </c>
      <c r="I881" s="10" t="s">
        <v>25</v>
      </c>
      <c r="J881" s="11">
        <v>1.7513161E7</v>
      </c>
      <c r="K881" s="11">
        <v>0.0</v>
      </c>
    </row>
    <row r="882">
      <c r="A882" s="5" t="s">
        <v>74</v>
      </c>
      <c r="B882" s="6" t="s">
        <v>66</v>
      </c>
      <c r="C882" s="7" t="s">
        <v>67</v>
      </c>
      <c r="D882" s="8">
        <v>1.0</v>
      </c>
      <c r="E882" s="7" t="s">
        <v>22</v>
      </c>
      <c r="F882" s="5" t="s">
        <v>146</v>
      </c>
      <c r="G882" s="9">
        <v>9.0042132E7</v>
      </c>
      <c r="H882" s="5" t="s">
        <v>28</v>
      </c>
      <c r="I882" s="10" t="s">
        <v>25</v>
      </c>
      <c r="J882" s="11">
        <v>1.5104192E7</v>
      </c>
      <c r="K882" s="11">
        <v>0.0</v>
      </c>
    </row>
    <row r="883">
      <c r="A883" s="5" t="s">
        <v>74</v>
      </c>
      <c r="B883" s="6" t="s">
        <v>66</v>
      </c>
      <c r="C883" s="7" t="s">
        <v>67</v>
      </c>
      <c r="D883" s="8">
        <v>1.0</v>
      </c>
      <c r="E883" s="7" t="s">
        <v>22</v>
      </c>
      <c r="F883" s="5" t="s">
        <v>146</v>
      </c>
      <c r="G883" s="9">
        <v>9.0042134E7</v>
      </c>
      <c r="H883" s="5" t="s">
        <v>29</v>
      </c>
      <c r="I883" s="10" t="s">
        <v>25</v>
      </c>
      <c r="J883" s="11">
        <v>2332000.0</v>
      </c>
      <c r="K883" s="11">
        <v>0.0</v>
      </c>
    </row>
    <row r="884">
      <c r="A884" s="5" t="s">
        <v>74</v>
      </c>
      <c r="B884" s="6" t="s">
        <v>66</v>
      </c>
      <c r="C884" s="7" t="s">
        <v>67</v>
      </c>
      <c r="D884" s="8">
        <v>1.0</v>
      </c>
      <c r="E884" s="7" t="s">
        <v>22</v>
      </c>
      <c r="F884" s="5" t="s">
        <v>146</v>
      </c>
      <c r="G884" s="9">
        <v>9.0042135E7</v>
      </c>
      <c r="H884" s="5" t="s">
        <v>30</v>
      </c>
      <c r="I884" s="10" t="s">
        <v>25</v>
      </c>
      <c r="J884" s="11">
        <v>2.73665162E8</v>
      </c>
      <c r="K884" s="11">
        <v>0.0</v>
      </c>
    </row>
    <row r="885">
      <c r="A885" s="12" t="s">
        <v>74</v>
      </c>
      <c r="B885" s="6" t="s">
        <v>66</v>
      </c>
      <c r="C885" s="7" t="s">
        <v>67</v>
      </c>
      <c r="D885" s="8">
        <v>1.0</v>
      </c>
      <c r="E885" s="7" t="s">
        <v>22</v>
      </c>
      <c r="F885" s="5" t="s">
        <v>146</v>
      </c>
      <c r="G885" s="9">
        <v>9.00422E7</v>
      </c>
      <c r="H885" s="5" t="s">
        <v>73</v>
      </c>
      <c r="I885" s="10" t="s">
        <v>60</v>
      </c>
      <c r="J885" s="11">
        <v>2.94484437E8</v>
      </c>
      <c r="K885" s="11">
        <v>0.0</v>
      </c>
    </row>
    <row r="886">
      <c r="A886" s="5" t="s">
        <v>74</v>
      </c>
      <c r="B886" s="6" t="s">
        <v>66</v>
      </c>
      <c r="C886" s="7" t="s">
        <v>67</v>
      </c>
      <c r="D886" s="8">
        <v>1.0</v>
      </c>
      <c r="E886" s="7" t="s">
        <v>22</v>
      </c>
      <c r="F886" s="5" t="s">
        <v>146</v>
      </c>
      <c r="G886" s="9">
        <v>9.0042223E7</v>
      </c>
      <c r="H886" s="5" t="s">
        <v>61</v>
      </c>
      <c r="I886" s="10" t="s">
        <v>60</v>
      </c>
      <c r="J886" s="11">
        <v>2.5040344E7</v>
      </c>
      <c r="K886" s="11">
        <v>0.0</v>
      </c>
    </row>
    <row r="887">
      <c r="A887" s="5" t="s">
        <v>74</v>
      </c>
      <c r="B887" s="6" t="s">
        <v>66</v>
      </c>
      <c r="C887" s="7" t="s">
        <v>67</v>
      </c>
      <c r="D887" s="8">
        <v>1.0</v>
      </c>
      <c r="E887" s="7" t="s">
        <v>22</v>
      </c>
      <c r="F887" s="5" t="s">
        <v>146</v>
      </c>
      <c r="G887" s="9">
        <v>9.0042224E7</v>
      </c>
      <c r="H887" s="5" t="s">
        <v>62</v>
      </c>
      <c r="I887" s="10" t="s">
        <v>60</v>
      </c>
      <c r="J887" s="11">
        <v>3947917.0</v>
      </c>
      <c r="K887" s="11">
        <v>0.0</v>
      </c>
    </row>
    <row r="888">
      <c r="A888" s="5" t="s">
        <v>74</v>
      </c>
      <c r="B888" s="6" t="s">
        <v>66</v>
      </c>
      <c r="C888" s="7" t="s">
        <v>67</v>
      </c>
      <c r="D888" s="8">
        <v>1.0</v>
      </c>
      <c r="E888" s="7" t="s">
        <v>22</v>
      </c>
      <c r="F888" s="5" t="s">
        <v>146</v>
      </c>
      <c r="G888" s="9">
        <v>9.0042226E7</v>
      </c>
      <c r="H888" s="5" t="s">
        <v>63</v>
      </c>
      <c r="I888" s="10" t="s">
        <v>60</v>
      </c>
      <c r="J888" s="11">
        <v>111354.0</v>
      </c>
      <c r="K888" s="11">
        <v>0.0</v>
      </c>
    </row>
    <row r="889">
      <c r="A889" s="5" t="s">
        <v>74</v>
      </c>
      <c r="B889" s="6" t="s">
        <v>66</v>
      </c>
      <c r="C889" s="7" t="s">
        <v>67</v>
      </c>
      <c r="D889" s="8">
        <v>1.0</v>
      </c>
      <c r="E889" s="7" t="s">
        <v>22</v>
      </c>
      <c r="F889" s="5" t="s">
        <v>146</v>
      </c>
      <c r="G889" s="9">
        <v>9.0042228E7</v>
      </c>
      <c r="H889" s="5" t="s">
        <v>64</v>
      </c>
      <c r="I889" s="10" t="s">
        <v>60</v>
      </c>
      <c r="J889" s="11">
        <v>5.7435277E7</v>
      </c>
      <c r="K889" s="11">
        <v>0.0</v>
      </c>
    </row>
    <row r="890">
      <c r="A890" s="5" t="s">
        <v>74</v>
      </c>
      <c r="B890" s="6" t="s">
        <v>66</v>
      </c>
      <c r="C890" s="7" t="s">
        <v>67</v>
      </c>
      <c r="D890" s="8">
        <v>1.0</v>
      </c>
      <c r="E890" s="7" t="s">
        <v>22</v>
      </c>
      <c r="F890" s="5" t="s">
        <v>146</v>
      </c>
      <c r="G890" s="9">
        <v>9.0042231E7</v>
      </c>
      <c r="H890" s="5" t="s">
        <v>65</v>
      </c>
      <c r="I890" s="10" t="s">
        <v>60</v>
      </c>
      <c r="J890" s="11">
        <v>5.0163883E7</v>
      </c>
      <c r="K890" s="11">
        <v>0.0</v>
      </c>
    </row>
    <row r="891">
      <c r="A891" s="5" t="s">
        <v>74</v>
      </c>
      <c r="B891" s="6" t="s">
        <v>66</v>
      </c>
      <c r="C891" s="7" t="s">
        <v>67</v>
      </c>
      <c r="D891" s="8">
        <v>1.0</v>
      </c>
      <c r="E891" s="7" t="s">
        <v>22</v>
      </c>
      <c r="F891" s="5" t="s">
        <v>146</v>
      </c>
      <c r="G891" s="9">
        <v>9.0042126E7</v>
      </c>
      <c r="H891" s="5" t="s">
        <v>31</v>
      </c>
      <c r="I891" s="10" t="s">
        <v>25</v>
      </c>
      <c r="J891" s="11">
        <v>3.8906949E7</v>
      </c>
      <c r="K891" s="11">
        <v>0.0</v>
      </c>
    </row>
    <row r="892">
      <c r="A892" s="5" t="s">
        <v>74</v>
      </c>
      <c r="B892" s="6" t="s">
        <v>66</v>
      </c>
      <c r="C892" s="7" t="s">
        <v>67</v>
      </c>
      <c r="D892" s="8">
        <v>1.0</v>
      </c>
      <c r="E892" s="14" t="s">
        <v>266</v>
      </c>
      <c r="F892" s="5" t="s">
        <v>217</v>
      </c>
      <c r="G892" s="9">
        <v>9.0043001E7</v>
      </c>
      <c r="H892" s="5" t="s">
        <v>18</v>
      </c>
      <c r="I892" s="10" t="s">
        <v>19</v>
      </c>
      <c r="J892" s="11">
        <v>7911540.0</v>
      </c>
      <c r="K892" s="11">
        <v>52.0</v>
      </c>
    </row>
    <row r="893">
      <c r="A893" s="5" t="s">
        <v>74</v>
      </c>
      <c r="B893" s="6" t="s">
        <v>66</v>
      </c>
      <c r="C893" s="7" t="s">
        <v>67</v>
      </c>
      <c r="D893" s="8">
        <v>1.0</v>
      </c>
      <c r="E893" s="7" t="s">
        <v>250</v>
      </c>
      <c r="F893" s="5" t="s">
        <v>251</v>
      </c>
      <c r="G893" s="9">
        <v>5.1100064E7</v>
      </c>
      <c r="H893" s="5" t="s">
        <v>53</v>
      </c>
      <c r="I893" s="10" t="s">
        <v>25</v>
      </c>
      <c r="J893" s="11">
        <v>48650.0</v>
      </c>
      <c r="K893" s="11">
        <v>0.0</v>
      </c>
    </row>
    <row r="894">
      <c r="A894" s="15" t="s">
        <v>11</v>
      </c>
      <c r="B894" s="16" t="s">
        <v>12</v>
      </c>
      <c r="C894" s="17" t="s">
        <v>13</v>
      </c>
      <c r="D894" s="18">
        <v>2.0</v>
      </c>
      <c r="E894" s="17" t="s">
        <v>14</v>
      </c>
      <c r="F894" s="15" t="s">
        <v>15</v>
      </c>
      <c r="G894" s="19">
        <v>5.1101056E7</v>
      </c>
      <c r="H894" s="15" t="s">
        <v>16</v>
      </c>
      <c r="I894" s="20" t="s">
        <v>17</v>
      </c>
      <c r="J894" s="21">
        <v>2191000.0</v>
      </c>
      <c r="K894" s="21">
        <v>313.0</v>
      </c>
    </row>
    <row r="895">
      <c r="A895" s="15" t="s">
        <v>11</v>
      </c>
      <c r="B895" s="16" t="s">
        <v>12</v>
      </c>
      <c r="C895" s="17" t="s">
        <v>13</v>
      </c>
      <c r="D895" s="18">
        <v>2.0</v>
      </c>
      <c r="E895" s="17" t="s">
        <v>14</v>
      </c>
      <c r="F895" s="15" t="s">
        <v>15</v>
      </c>
      <c r="G895" s="19">
        <v>9.0043001E7</v>
      </c>
      <c r="H895" s="15" t="s">
        <v>18</v>
      </c>
      <c r="I895" s="20" t="s">
        <v>19</v>
      </c>
      <c r="J895" s="21">
        <v>1.4461107E7</v>
      </c>
      <c r="K895" s="21">
        <v>97.0</v>
      </c>
    </row>
    <row r="896">
      <c r="A896" s="15" t="s">
        <v>11</v>
      </c>
      <c r="B896" s="16" t="s">
        <v>12</v>
      </c>
      <c r="C896" s="17" t="s">
        <v>13</v>
      </c>
      <c r="D896" s="18">
        <v>2.0</v>
      </c>
      <c r="E896" s="17" t="s">
        <v>20</v>
      </c>
      <c r="F896" s="22"/>
      <c r="G896" s="19">
        <v>9.0042014E7</v>
      </c>
      <c r="H896" s="15" t="s">
        <v>21</v>
      </c>
      <c r="I896" s="20" t="s">
        <v>19</v>
      </c>
      <c r="J896" s="21">
        <v>3.5890878E7</v>
      </c>
      <c r="K896" s="21">
        <v>0.0</v>
      </c>
    </row>
    <row r="897">
      <c r="A897" s="15" t="s">
        <v>11</v>
      </c>
      <c r="B897" s="16" t="s">
        <v>12</v>
      </c>
      <c r="C897" s="17" t="s">
        <v>13</v>
      </c>
      <c r="D897" s="18">
        <v>2.0</v>
      </c>
      <c r="E897" s="17" t="s">
        <v>142</v>
      </c>
      <c r="F897" s="22"/>
      <c r="G897" s="19">
        <v>9.0042013E7</v>
      </c>
      <c r="H897" s="15" t="s">
        <v>144</v>
      </c>
      <c r="I897" s="20" t="s">
        <v>19</v>
      </c>
      <c r="J897" s="21">
        <v>6333334.0</v>
      </c>
      <c r="K897" s="21">
        <v>0.0</v>
      </c>
    </row>
    <row r="898">
      <c r="A898" s="15" t="s">
        <v>11</v>
      </c>
      <c r="B898" s="16" t="s">
        <v>12</v>
      </c>
      <c r="C898" s="17" t="s">
        <v>13</v>
      </c>
      <c r="D898" s="18">
        <v>2.0</v>
      </c>
      <c r="E898" s="17" t="s">
        <v>22</v>
      </c>
      <c r="F898" s="22"/>
      <c r="G898" s="19">
        <v>9.0042012E7</v>
      </c>
      <c r="H898" s="15" t="s">
        <v>23</v>
      </c>
      <c r="I898" s="20" t="s">
        <v>19</v>
      </c>
      <c r="J898" s="21">
        <v>1.8978862E7</v>
      </c>
      <c r="K898" s="21">
        <v>0.0</v>
      </c>
    </row>
    <row r="899">
      <c r="A899" s="15" t="s">
        <v>11</v>
      </c>
      <c r="B899" s="16" t="s">
        <v>12</v>
      </c>
      <c r="C899" s="17" t="s">
        <v>13</v>
      </c>
      <c r="D899" s="18">
        <v>2.0</v>
      </c>
      <c r="E899" s="17" t="s">
        <v>22</v>
      </c>
      <c r="F899" s="22"/>
      <c r="G899" s="19">
        <v>9.0042121E7</v>
      </c>
      <c r="H899" s="15" t="s">
        <v>24</v>
      </c>
      <c r="I899" s="20" t="s">
        <v>25</v>
      </c>
      <c r="J899" s="21">
        <v>3.8127622E7</v>
      </c>
      <c r="K899" s="21">
        <v>0.0</v>
      </c>
    </row>
    <row r="900">
      <c r="A900" s="15" t="s">
        <v>11</v>
      </c>
      <c r="B900" s="16" t="s">
        <v>12</v>
      </c>
      <c r="C900" s="17" t="s">
        <v>13</v>
      </c>
      <c r="D900" s="18">
        <v>2.0</v>
      </c>
      <c r="E900" s="17" t="s">
        <v>22</v>
      </c>
      <c r="F900" s="22"/>
      <c r="G900" s="19">
        <v>9.0042122E7</v>
      </c>
      <c r="H900" s="15" t="s">
        <v>56</v>
      </c>
      <c r="I900" s="20" t="s">
        <v>25</v>
      </c>
      <c r="J900" s="21">
        <v>432000.0</v>
      </c>
      <c r="K900" s="21">
        <v>0.0</v>
      </c>
    </row>
    <row r="901">
      <c r="A901" s="15" t="s">
        <v>11</v>
      </c>
      <c r="B901" s="16" t="s">
        <v>12</v>
      </c>
      <c r="C901" s="17" t="s">
        <v>13</v>
      </c>
      <c r="D901" s="18">
        <v>2.0</v>
      </c>
      <c r="E901" s="17" t="s">
        <v>22</v>
      </c>
      <c r="F901" s="22"/>
      <c r="G901" s="19">
        <v>9.0042125E7</v>
      </c>
      <c r="H901" s="15" t="s">
        <v>26</v>
      </c>
      <c r="I901" s="20" t="s">
        <v>25</v>
      </c>
      <c r="J901" s="21">
        <v>1.1884966E7</v>
      </c>
      <c r="K901" s="21">
        <v>0.0</v>
      </c>
    </row>
    <row r="902">
      <c r="A902" s="15" t="s">
        <v>11</v>
      </c>
      <c r="B902" s="16" t="s">
        <v>12</v>
      </c>
      <c r="C902" s="17" t="s">
        <v>13</v>
      </c>
      <c r="D902" s="18">
        <v>2.0</v>
      </c>
      <c r="E902" s="17" t="s">
        <v>22</v>
      </c>
      <c r="F902" s="22"/>
      <c r="G902" s="19">
        <v>9.0042134E7</v>
      </c>
      <c r="H902" s="15" t="s">
        <v>29</v>
      </c>
      <c r="I902" s="20" t="s">
        <v>25</v>
      </c>
      <c r="J902" s="21">
        <v>1500000.0</v>
      </c>
      <c r="K902" s="21">
        <v>0.0</v>
      </c>
    </row>
    <row r="903">
      <c r="A903" s="15" t="s">
        <v>11</v>
      </c>
      <c r="B903" s="16" t="s">
        <v>12</v>
      </c>
      <c r="C903" s="17" t="s">
        <v>13</v>
      </c>
      <c r="D903" s="18">
        <v>2.0</v>
      </c>
      <c r="E903" s="17" t="s">
        <v>22</v>
      </c>
      <c r="F903" s="22"/>
      <c r="G903" s="19">
        <v>9.0042135E7</v>
      </c>
      <c r="H903" s="15" t="s">
        <v>30</v>
      </c>
      <c r="I903" s="20" t="s">
        <v>25</v>
      </c>
      <c r="J903" s="21">
        <v>6817379.0</v>
      </c>
      <c r="K903" s="21">
        <v>0.0</v>
      </c>
    </row>
    <row r="904">
      <c r="A904" s="15" t="s">
        <v>11</v>
      </c>
      <c r="B904" s="16" t="s">
        <v>12</v>
      </c>
      <c r="C904" s="17" t="s">
        <v>13</v>
      </c>
      <c r="D904" s="18">
        <v>2.0</v>
      </c>
      <c r="E904" s="17" t="s">
        <v>22</v>
      </c>
      <c r="F904" s="22"/>
      <c r="G904" s="19">
        <v>9.0042201E7</v>
      </c>
      <c r="H904" s="15" t="s">
        <v>59</v>
      </c>
      <c r="I904" s="20" t="s">
        <v>60</v>
      </c>
      <c r="J904" s="21">
        <v>3.06860274E8</v>
      </c>
      <c r="K904" s="21">
        <v>0.0</v>
      </c>
    </row>
    <row r="905">
      <c r="A905" s="15" t="s">
        <v>11</v>
      </c>
      <c r="B905" s="16" t="s">
        <v>12</v>
      </c>
      <c r="C905" s="17" t="s">
        <v>13</v>
      </c>
      <c r="D905" s="18">
        <v>2.0</v>
      </c>
      <c r="E905" s="17" t="s">
        <v>22</v>
      </c>
      <c r="F905" s="22"/>
      <c r="G905" s="19">
        <v>9.0042126E7</v>
      </c>
      <c r="H905" s="15" t="s">
        <v>31</v>
      </c>
      <c r="I905" s="20" t="s">
        <v>25</v>
      </c>
      <c r="J905" s="21">
        <v>1930000.0</v>
      </c>
      <c r="K905" s="21">
        <v>0.0</v>
      </c>
    </row>
    <row r="906">
      <c r="A906" s="15" t="s">
        <v>11</v>
      </c>
      <c r="B906" s="16" t="s">
        <v>32</v>
      </c>
      <c r="C906" s="17" t="s">
        <v>33</v>
      </c>
      <c r="D906" s="18">
        <v>2.0</v>
      </c>
      <c r="E906" s="17" t="s">
        <v>34</v>
      </c>
      <c r="F906" s="15" t="s">
        <v>35</v>
      </c>
      <c r="G906" s="19">
        <v>5.1100058E7</v>
      </c>
      <c r="H906" s="15" t="s">
        <v>36</v>
      </c>
      <c r="I906" s="20" t="s">
        <v>37</v>
      </c>
      <c r="J906" s="21">
        <v>1.3683372E7</v>
      </c>
      <c r="K906" s="21">
        <v>206.405</v>
      </c>
    </row>
    <row r="907">
      <c r="A907" s="15" t="s">
        <v>11</v>
      </c>
      <c r="B907" s="16" t="s">
        <v>32</v>
      </c>
      <c r="C907" s="17" t="s">
        <v>33</v>
      </c>
      <c r="D907" s="18">
        <v>2.0</v>
      </c>
      <c r="E907" s="17" t="s">
        <v>34</v>
      </c>
      <c r="F907" s="15" t="s">
        <v>35</v>
      </c>
      <c r="G907" s="19">
        <v>5.1100774E7</v>
      </c>
      <c r="H907" s="15" t="s">
        <v>39</v>
      </c>
      <c r="I907" s="20" t="s">
        <v>17</v>
      </c>
      <c r="J907" s="21">
        <v>1.9236816E7</v>
      </c>
      <c r="K907" s="21">
        <v>284.4</v>
      </c>
    </row>
    <row r="908">
      <c r="A908" s="15" t="s">
        <v>11</v>
      </c>
      <c r="B908" s="16" t="s">
        <v>32</v>
      </c>
      <c r="C908" s="17" t="s">
        <v>33</v>
      </c>
      <c r="D908" s="18">
        <v>2.0</v>
      </c>
      <c r="E908" s="17" t="s">
        <v>40</v>
      </c>
      <c r="F908" s="15" t="s">
        <v>41</v>
      </c>
      <c r="G908" s="19">
        <v>5.1100061E7</v>
      </c>
      <c r="H908" s="15" t="s">
        <v>42</v>
      </c>
      <c r="I908" s="20" t="s">
        <v>37</v>
      </c>
      <c r="J908" s="21">
        <v>3268250.0</v>
      </c>
      <c r="K908" s="21">
        <v>151.0</v>
      </c>
    </row>
    <row r="909">
      <c r="A909" s="15" t="s">
        <v>11</v>
      </c>
      <c r="B909" s="16" t="s">
        <v>32</v>
      </c>
      <c r="C909" s="17" t="s">
        <v>33</v>
      </c>
      <c r="D909" s="18">
        <v>2.0</v>
      </c>
      <c r="E909" s="17" t="s">
        <v>43</v>
      </c>
      <c r="F909" s="15" t="s">
        <v>44</v>
      </c>
      <c r="G909" s="19">
        <v>5.1101056E7</v>
      </c>
      <c r="H909" s="15" t="s">
        <v>16</v>
      </c>
      <c r="I909" s="20" t="s">
        <v>17</v>
      </c>
      <c r="J909" s="21">
        <v>2.08265E8</v>
      </c>
      <c r="K909" s="21">
        <v>38916.0</v>
      </c>
    </row>
    <row r="910">
      <c r="A910" s="15" t="s">
        <v>11</v>
      </c>
      <c r="B910" s="16" t="s">
        <v>32</v>
      </c>
      <c r="C910" s="17" t="s">
        <v>33</v>
      </c>
      <c r="D910" s="18">
        <v>2.0</v>
      </c>
      <c r="E910" s="17" t="s">
        <v>43</v>
      </c>
      <c r="F910" s="15" t="s">
        <v>44</v>
      </c>
      <c r="G910" s="19">
        <v>9.0043001E7</v>
      </c>
      <c r="H910" s="15" t="s">
        <v>18</v>
      </c>
      <c r="I910" s="20" t="s">
        <v>19</v>
      </c>
      <c r="J910" s="21">
        <v>1.6184856E7</v>
      </c>
      <c r="K910" s="21">
        <v>104.0</v>
      </c>
    </row>
    <row r="911">
      <c r="A911" s="15" t="s">
        <v>11</v>
      </c>
      <c r="B911" s="16" t="s">
        <v>32</v>
      </c>
      <c r="C911" s="17" t="s">
        <v>33</v>
      </c>
      <c r="D911" s="18">
        <v>2.0</v>
      </c>
      <c r="E911" s="17" t="s">
        <v>14</v>
      </c>
      <c r="F911" s="15" t="s">
        <v>15</v>
      </c>
      <c r="G911" s="19">
        <v>5.1101056E7</v>
      </c>
      <c r="H911" s="15" t="s">
        <v>16</v>
      </c>
      <c r="I911" s="20" t="s">
        <v>17</v>
      </c>
      <c r="J911" s="21">
        <v>6618000.0</v>
      </c>
      <c r="K911" s="21">
        <v>926.0</v>
      </c>
    </row>
    <row r="912">
      <c r="A912" s="15" t="s">
        <v>11</v>
      </c>
      <c r="B912" s="16" t="s">
        <v>32</v>
      </c>
      <c r="C912" s="17" t="s">
        <v>33</v>
      </c>
      <c r="D912" s="18">
        <v>2.0</v>
      </c>
      <c r="E912" s="17" t="s">
        <v>45</v>
      </c>
      <c r="F912" s="15" t="s">
        <v>46</v>
      </c>
      <c r="G912" s="19">
        <v>5.1101056E7</v>
      </c>
      <c r="H912" s="15" t="s">
        <v>16</v>
      </c>
      <c r="I912" s="20" t="s">
        <v>17</v>
      </c>
      <c r="J912" s="21">
        <v>8453838.0</v>
      </c>
      <c r="K912" s="21">
        <v>8934.2</v>
      </c>
    </row>
    <row r="913">
      <c r="A913" s="15" t="s">
        <v>11</v>
      </c>
      <c r="B913" s="16" t="s">
        <v>32</v>
      </c>
      <c r="C913" s="17" t="s">
        <v>33</v>
      </c>
      <c r="D913" s="18">
        <v>2.0</v>
      </c>
      <c r="E913" s="17" t="s">
        <v>45</v>
      </c>
      <c r="F913" s="15" t="s">
        <v>46</v>
      </c>
      <c r="G913" s="19">
        <v>9.0043001E7</v>
      </c>
      <c r="H913" s="15" t="s">
        <v>18</v>
      </c>
      <c r="I913" s="20" t="s">
        <v>19</v>
      </c>
      <c r="J913" s="21">
        <v>5791215.0</v>
      </c>
      <c r="K913" s="21">
        <v>37.0</v>
      </c>
    </row>
    <row r="914">
      <c r="A914" s="15" t="s">
        <v>11</v>
      </c>
      <c r="B914" s="16" t="s">
        <v>32</v>
      </c>
      <c r="C914" s="17" t="s">
        <v>33</v>
      </c>
      <c r="D914" s="18">
        <v>2.0</v>
      </c>
      <c r="E914" s="17" t="s">
        <v>47</v>
      </c>
      <c r="F914" s="15" t="s">
        <v>48</v>
      </c>
      <c r="G914" s="19">
        <v>9.0043002E7</v>
      </c>
      <c r="H914" s="15" t="s">
        <v>49</v>
      </c>
      <c r="I914" s="20" t="s">
        <v>50</v>
      </c>
      <c r="J914" s="21">
        <v>2.6458242E7</v>
      </c>
      <c r="K914" s="21">
        <v>2120.0</v>
      </c>
    </row>
    <row r="915">
      <c r="A915" s="15" t="s">
        <v>11</v>
      </c>
      <c r="B915" s="16" t="s">
        <v>32</v>
      </c>
      <c r="C915" s="17" t="s">
        <v>33</v>
      </c>
      <c r="D915" s="18">
        <v>2.0</v>
      </c>
      <c r="E915" s="17" t="s">
        <v>51</v>
      </c>
      <c r="F915" s="15" t="s">
        <v>52</v>
      </c>
      <c r="G915" s="19">
        <v>5.1100064E7</v>
      </c>
      <c r="H915" s="15" t="s">
        <v>53</v>
      </c>
      <c r="I915" s="20" t="s">
        <v>37</v>
      </c>
      <c r="J915" s="21">
        <v>322177.0</v>
      </c>
      <c r="K915" s="21">
        <v>2500.0</v>
      </c>
    </row>
    <row r="916">
      <c r="A916" s="15" t="s">
        <v>11</v>
      </c>
      <c r="B916" s="16" t="s">
        <v>32</v>
      </c>
      <c r="C916" s="17" t="s">
        <v>33</v>
      </c>
      <c r="D916" s="18">
        <v>2.0</v>
      </c>
      <c r="E916" s="17" t="s">
        <v>54</v>
      </c>
      <c r="F916" s="15"/>
      <c r="G916" s="19">
        <v>9.0042011E7</v>
      </c>
      <c r="H916" s="15" t="s">
        <v>55</v>
      </c>
      <c r="I916" s="20" t="s">
        <v>19</v>
      </c>
      <c r="J916" s="21">
        <v>2.2636628E7</v>
      </c>
      <c r="K916" s="21">
        <v>0.0</v>
      </c>
    </row>
    <row r="917">
      <c r="A917" s="15" t="s">
        <v>11</v>
      </c>
      <c r="B917" s="16" t="s">
        <v>32</v>
      </c>
      <c r="C917" s="17" t="s">
        <v>33</v>
      </c>
      <c r="D917" s="18">
        <v>2.0</v>
      </c>
      <c r="E917" s="17" t="s">
        <v>20</v>
      </c>
      <c r="F917" s="22"/>
      <c r="G917" s="19">
        <v>9.0042014E7</v>
      </c>
      <c r="H917" s="15" t="s">
        <v>21</v>
      </c>
      <c r="I917" s="20" t="s">
        <v>19</v>
      </c>
      <c r="J917" s="21">
        <v>1.28701576E8</v>
      </c>
      <c r="K917" s="21">
        <v>0.0</v>
      </c>
    </row>
    <row r="918">
      <c r="A918" s="15" t="s">
        <v>11</v>
      </c>
      <c r="B918" s="16" t="s">
        <v>32</v>
      </c>
      <c r="C918" s="17" t="s">
        <v>33</v>
      </c>
      <c r="D918" s="18">
        <v>2.0</v>
      </c>
      <c r="E918" s="17" t="s">
        <v>22</v>
      </c>
      <c r="F918" s="22"/>
      <c r="G918" s="19">
        <v>9.0042012E7</v>
      </c>
      <c r="H918" s="15" t="s">
        <v>23</v>
      </c>
      <c r="I918" s="20" t="s">
        <v>19</v>
      </c>
      <c r="J918" s="21">
        <v>7.9534911E7</v>
      </c>
      <c r="K918" s="21">
        <v>0.0</v>
      </c>
    </row>
    <row r="919">
      <c r="A919" s="15" t="s">
        <v>11</v>
      </c>
      <c r="B919" s="16" t="s">
        <v>32</v>
      </c>
      <c r="C919" s="17" t="s">
        <v>33</v>
      </c>
      <c r="D919" s="18">
        <v>2.0</v>
      </c>
      <c r="E919" s="17" t="s">
        <v>22</v>
      </c>
      <c r="F919" s="22"/>
      <c r="G919" s="19">
        <v>9.0042121E7</v>
      </c>
      <c r="H919" s="15" t="s">
        <v>24</v>
      </c>
      <c r="I919" s="20" t="s">
        <v>25</v>
      </c>
      <c r="J919" s="21">
        <v>6.3055978E7</v>
      </c>
      <c r="K919" s="21">
        <v>0.0</v>
      </c>
    </row>
    <row r="920">
      <c r="A920" s="15" t="s">
        <v>11</v>
      </c>
      <c r="B920" s="16" t="s">
        <v>32</v>
      </c>
      <c r="C920" s="17" t="s">
        <v>33</v>
      </c>
      <c r="D920" s="18">
        <v>2.0</v>
      </c>
      <c r="E920" s="17" t="s">
        <v>22</v>
      </c>
      <c r="F920" s="22"/>
      <c r="G920" s="19">
        <v>9.0042122E7</v>
      </c>
      <c r="H920" s="15" t="s">
        <v>56</v>
      </c>
      <c r="I920" s="20" t="s">
        <v>25</v>
      </c>
      <c r="J920" s="21">
        <v>1783480.0</v>
      </c>
      <c r="K920" s="21">
        <v>0.0</v>
      </c>
    </row>
    <row r="921">
      <c r="A921" s="15" t="s">
        <v>11</v>
      </c>
      <c r="B921" s="16" t="s">
        <v>32</v>
      </c>
      <c r="C921" s="17" t="s">
        <v>33</v>
      </c>
      <c r="D921" s="18">
        <v>2.0</v>
      </c>
      <c r="E921" s="17" t="s">
        <v>22</v>
      </c>
      <c r="F921" s="22"/>
      <c r="G921" s="19">
        <v>9.0042124E7</v>
      </c>
      <c r="H921" s="15" t="s">
        <v>57</v>
      </c>
      <c r="I921" s="20" t="s">
        <v>25</v>
      </c>
      <c r="J921" s="21">
        <v>7072000.0</v>
      </c>
      <c r="K921" s="21">
        <v>0.0</v>
      </c>
    </row>
    <row r="922">
      <c r="A922" s="15" t="s">
        <v>11</v>
      </c>
      <c r="B922" s="16" t="s">
        <v>32</v>
      </c>
      <c r="C922" s="17" t="s">
        <v>33</v>
      </c>
      <c r="D922" s="18">
        <v>2.0</v>
      </c>
      <c r="E922" s="17" t="s">
        <v>22</v>
      </c>
      <c r="F922" s="22"/>
      <c r="G922" s="19">
        <v>9.0042125E7</v>
      </c>
      <c r="H922" s="15" t="s">
        <v>26</v>
      </c>
      <c r="I922" s="20" t="s">
        <v>25</v>
      </c>
      <c r="J922" s="21">
        <v>5.6183597E7</v>
      </c>
      <c r="K922" s="21">
        <v>0.0</v>
      </c>
    </row>
    <row r="923">
      <c r="A923" s="15" t="s">
        <v>11</v>
      </c>
      <c r="B923" s="16" t="s">
        <v>32</v>
      </c>
      <c r="C923" s="17" t="s">
        <v>33</v>
      </c>
      <c r="D923" s="18">
        <v>2.0</v>
      </c>
      <c r="E923" s="17" t="s">
        <v>22</v>
      </c>
      <c r="F923" s="22"/>
      <c r="G923" s="19">
        <v>9.0042127E7</v>
      </c>
      <c r="H923" s="15" t="s">
        <v>27</v>
      </c>
      <c r="I923" s="20" t="s">
        <v>25</v>
      </c>
      <c r="J923" s="21">
        <v>1.391052E7</v>
      </c>
      <c r="K923" s="21">
        <v>0.0</v>
      </c>
    </row>
    <row r="924">
      <c r="A924" s="15" t="s">
        <v>11</v>
      </c>
      <c r="B924" s="16" t="s">
        <v>32</v>
      </c>
      <c r="C924" s="17" t="s">
        <v>33</v>
      </c>
      <c r="D924" s="18">
        <v>2.0</v>
      </c>
      <c r="E924" s="17" t="s">
        <v>22</v>
      </c>
      <c r="F924" s="22"/>
      <c r="G924" s="19">
        <v>9.0042128E7</v>
      </c>
      <c r="H924" s="15" t="s">
        <v>58</v>
      </c>
      <c r="I924" s="20" t="s">
        <v>25</v>
      </c>
      <c r="J924" s="21">
        <v>1071000.0</v>
      </c>
      <c r="K924" s="21">
        <v>0.0</v>
      </c>
    </row>
    <row r="925">
      <c r="A925" s="15" t="s">
        <v>11</v>
      </c>
      <c r="B925" s="16" t="s">
        <v>32</v>
      </c>
      <c r="C925" s="17" t="s">
        <v>33</v>
      </c>
      <c r="D925" s="18">
        <v>2.0</v>
      </c>
      <c r="E925" s="17" t="s">
        <v>22</v>
      </c>
      <c r="F925" s="22"/>
      <c r="G925" s="19">
        <v>9.0042132E7</v>
      </c>
      <c r="H925" s="15" t="s">
        <v>28</v>
      </c>
      <c r="I925" s="20" t="s">
        <v>25</v>
      </c>
      <c r="J925" s="21">
        <v>1461200.0</v>
      </c>
      <c r="K925" s="21">
        <v>0.0</v>
      </c>
    </row>
    <row r="926">
      <c r="A926" s="15" t="s">
        <v>11</v>
      </c>
      <c r="B926" s="16" t="s">
        <v>32</v>
      </c>
      <c r="C926" s="17" t="s">
        <v>33</v>
      </c>
      <c r="D926" s="18">
        <v>2.0</v>
      </c>
      <c r="E926" s="17" t="s">
        <v>22</v>
      </c>
      <c r="F926" s="22"/>
      <c r="G926" s="19">
        <v>9.0042134E7</v>
      </c>
      <c r="H926" s="15" t="s">
        <v>29</v>
      </c>
      <c r="I926" s="20" t="s">
        <v>25</v>
      </c>
      <c r="J926" s="21">
        <v>500000.0</v>
      </c>
      <c r="K926" s="21">
        <v>0.0</v>
      </c>
    </row>
    <row r="927">
      <c r="A927" s="15" t="s">
        <v>11</v>
      </c>
      <c r="B927" s="16" t="s">
        <v>32</v>
      </c>
      <c r="C927" s="17" t="s">
        <v>33</v>
      </c>
      <c r="D927" s="18">
        <v>2.0</v>
      </c>
      <c r="E927" s="17" t="s">
        <v>22</v>
      </c>
      <c r="F927" s="22"/>
      <c r="G927" s="19">
        <v>9.0042135E7</v>
      </c>
      <c r="H927" s="15" t="s">
        <v>30</v>
      </c>
      <c r="I927" s="20" t="s">
        <v>25</v>
      </c>
      <c r="J927" s="21">
        <v>5.9911292E7</v>
      </c>
      <c r="K927" s="21">
        <v>0.0</v>
      </c>
    </row>
    <row r="928">
      <c r="A928" s="15" t="s">
        <v>11</v>
      </c>
      <c r="B928" s="16" t="s">
        <v>32</v>
      </c>
      <c r="C928" s="17" t="s">
        <v>33</v>
      </c>
      <c r="D928" s="18">
        <v>2.0</v>
      </c>
      <c r="E928" s="17" t="s">
        <v>22</v>
      </c>
      <c r="F928" s="22"/>
      <c r="G928" s="19">
        <v>9.0042201E7</v>
      </c>
      <c r="H928" s="15" t="s">
        <v>59</v>
      </c>
      <c r="I928" s="20" t="s">
        <v>60</v>
      </c>
      <c r="J928" s="21">
        <v>2.11541935E8</v>
      </c>
      <c r="K928" s="21">
        <v>0.0</v>
      </c>
    </row>
    <row r="929">
      <c r="A929" s="15" t="s">
        <v>11</v>
      </c>
      <c r="B929" s="16" t="s">
        <v>32</v>
      </c>
      <c r="C929" s="17" t="s">
        <v>33</v>
      </c>
      <c r="D929" s="18">
        <v>2.0</v>
      </c>
      <c r="E929" s="17" t="s">
        <v>22</v>
      </c>
      <c r="F929" s="22"/>
      <c r="G929" s="19">
        <v>9.0042223E7</v>
      </c>
      <c r="H929" s="15" t="s">
        <v>61</v>
      </c>
      <c r="I929" s="20" t="s">
        <v>60</v>
      </c>
      <c r="J929" s="21">
        <v>2.0819374E7</v>
      </c>
      <c r="K929" s="21">
        <v>0.0</v>
      </c>
    </row>
    <row r="930">
      <c r="A930" s="15" t="s">
        <v>11</v>
      </c>
      <c r="B930" s="16" t="s">
        <v>32</v>
      </c>
      <c r="C930" s="17" t="s">
        <v>33</v>
      </c>
      <c r="D930" s="18">
        <v>2.0</v>
      </c>
      <c r="E930" s="17" t="s">
        <v>22</v>
      </c>
      <c r="F930" s="22"/>
      <c r="G930" s="19">
        <v>9.0042224E7</v>
      </c>
      <c r="H930" s="15" t="s">
        <v>62</v>
      </c>
      <c r="I930" s="20" t="s">
        <v>60</v>
      </c>
      <c r="J930" s="21">
        <v>1773343.0</v>
      </c>
      <c r="K930" s="21">
        <v>0.0</v>
      </c>
    </row>
    <row r="931">
      <c r="A931" s="15" t="s">
        <v>11</v>
      </c>
      <c r="B931" s="16" t="s">
        <v>32</v>
      </c>
      <c r="C931" s="17" t="s">
        <v>33</v>
      </c>
      <c r="D931" s="18">
        <v>2.0</v>
      </c>
      <c r="E931" s="17" t="s">
        <v>22</v>
      </c>
      <c r="F931" s="22"/>
      <c r="G931" s="19">
        <v>9.0042226E7</v>
      </c>
      <c r="H931" s="15" t="s">
        <v>63</v>
      </c>
      <c r="I931" s="20" t="s">
        <v>60</v>
      </c>
      <c r="J931" s="21">
        <v>133334.0</v>
      </c>
      <c r="K931" s="21">
        <v>0.0</v>
      </c>
    </row>
    <row r="932">
      <c r="A932" s="15" t="s">
        <v>11</v>
      </c>
      <c r="B932" s="16" t="s">
        <v>32</v>
      </c>
      <c r="C932" s="17" t="s">
        <v>33</v>
      </c>
      <c r="D932" s="18">
        <v>2.0</v>
      </c>
      <c r="E932" s="17" t="s">
        <v>22</v>
      </c>
      <c r="F932" s="22"/>
      <c r="G932" s="19">
        <v>9.0042228E7</v>
      </c>
      <c r="H932" s="15" t="s">
        <v>64</v>
      </c>
      <c r="I932" s="20" t="s">
        <v>60</v>
      </c>
      <c r="J932" s="21">
        <v>5.1768833E7</v>
      </c>
      <c r="K932" s="21">
        <v>0.0</v>
      </c>
    </row>
    <row r="933">
      <c r="A933" s="15" t="s">
        <v>11</v>
      </c>
      <c r="B933" s="16" t="s">
        <v>32</v>
      </c>
      <c r="C933" s="17" t="s">
        <v>33</v>
      </c>
      <c r="D933" s="18">
        <v>2.0</v>
      </c>
      <c r="E933" s="17" t="s">
        <v>22</v>
      </c>
      <c r="F933" s="22"/>
      <c r="G933" s="19">
        <v>9.0042231E7</v>
      </c>
      <c r="H933" s="15" t="s">
        <v>65</v>
      </c>
      <c r="I933" s="20" t="s">
        <v>60</v>
      </c>
      <c r="J933" s="21">
        <v>3931591.0</v>
      </c>
      <c r="K933" s="21">
        <v>0.0</v>
      </c>
    </row>
    <row r="934">
      <c r="A934" s="15" t="s">
        <v>11</v>
      </c>
      <c r="B934" s="16" t="s">
        <v>32</v>
      </c>
      <c r="C934" s="17" t="s">
        <v>33</v>
      </c>
      <c r="D934" s="18">
        <v>2.0</v>
      </c>
      <c r="E934" s="17" t="s">
        <v>22</v>
      </c>
      <c r="F934" s="22"/>
      <c r="G934" s="19">
        <v>9.0042126E7</v>
      </c>
      <c r="H934" s="15" t="s">
        <v>31</v>
      </c>
      <c r="I934" s="20" t="s">
        <v>25</v>
      </c>
      <c r="J934" s="21">
        <v>2.9512335E7</v>
      </c>
      <c r="K934" s="21">
        <v>0.0</v>
      </c>
    </row>
    <row r="935">
      <c r="A935" s="15" t="s">
        <v>11</v>
      </c>
      <c r="B935" s="16" t="s">
        <v>32</v>
      </c>
      <c r="C935" s="17" t="s">
        <v>33</v>
      </c>
      <c r="D935" s="18">
        <v>2.0</v>
      </c>
      <c r="E935" s="17" t="s">
        <v>22</v>
      </c>
      <c r="F935" s="22"/>
      <c r="G935" s="19">
        <v>9.004212E7</v>
      </c>
      <c r="H935" s="15" t="s">
        <v>182</v>
      </c>
      <c r="I935" s="20" t="s">
        <v>25</v>
      </c>
      <c r="J935" s="21">
        <v>1.11174E8</v>
      </c>
      <c r="K935" s="21">
        <v>0.0</v>
      </c>
    </row>
    <row r="936">
      <c r="A936" s="15" t="s">
        <v>11</v>
      </c>
      <c r="B936" s="16" t="s">
        <v>32</v>
      </c>
      <c r="C936" s="17" t="s">
        <v>33</v>
      </c>
      <c r="D936" s="18">
        <v>2.0</v>
      </c>
      <c r="E936" s="17" t="s">
        <v>267</v>
      </c>
      <c r="F936" s="15" t="s">
        <v>268</v>
      </c>
      <c r="G936" s="19">
        <v>5.1100774E7</v>
      </c>
      <c r="H936" s="15" t="s">
        <v>39</v>
      </c>
      <c r="I936" s="20" t="s">
        <v>17</v>
      </c>
      <c r="J936" s="21">
        <v>1.8262868E7</v>
      </c>
      <c r="K936" s="21">
        <v>40.5</v>
      </c>
    </row>
    <row r="937">
      <c r="A937" s="23" t="s">
        <v>11</v>
      </c>
      <c r="B937" s="16" t="s">
        <v>66</v>
      </c>
      <c r="C937" s="17" t="s">
        <v>67</v>
      </c>
      <c r="D937" s="18">
        <v>2.0</v>
      </c>
      <c r="E937" s="17" t="s">
        <v>68</v>
      </c>
      <c r="F937" s="15" t="s">
        <v>69</v>
      </c>
      <c r="G937" s="19">
        <v>5.1101056E7</v>
      </c>
      <c r="H937" s="15" t="s">
        <v>16</v>
      </c>
      <c r="I937" s="20" t="s">
        <v>17</v>
      </c>
      <c r="J937" s="21">
        <v>1984592.0</v>
      </c>
      <c r="K937" s="21">
        <v>142.0</v>
      </c>
    </row>
    <row r="938">
      <c r="A938" s="15" t="s">
        <v>11</v>
      </c>
      <c r="B938" s="16" t="s">
        <v>66</v>
      </c>
      <c r="C938" s="17" t="s">
        <v>67</v>
      </c>
      <c r="D938" s="18">
        <v>2.0</v>
      </c>
      <c r="E938" s="17" t="s">
        <v>70</v>
      </c>
      <c r="F938" s="15" t="s">
        <v>71</v>
      </c>
      <c r="G938" s="19">
        <v>5.1100153E7</v>
      </c>
      <c r="H938" s="15" t="s">
        <v>72</v>
      </c>
      <c r="I938" s="20" t="s">
        <v>17</v>
      </c>
      <c r="J938" s="21">
        <v>266400.0</v>
      </c>
      <c r="K938" s="21">
        <v>444.0</v>
      </c>
    </row>
    <row r="939">
      <c r="A939" s="15" t="s">
        <v>11</v>
      </c>
      <c r="B939" s="16" t="s">
        <v>66</v>
      </c>
      <c r="C939" s="17" t="s">
        <v>67</v>
      </c>
      <c r="D939" s="18">
        <v>2.0</v>
      </c>
      <c r="E939" s="17" t="s">
        <v>22</v>
      </c>
      <c r="F939" s="15"/>
      <c r="G939" s="19">
        <v>9.0042121E7</v>
      </c>
      <c r="H939" s="15" t="s">
        <v>24</v>
      </c>
      <c r="I939" s="20" t="s">
        <v>25</v>
      </c>
      <c r="J939" s="21">
        <v>6098512.0</v>
      </c>
      <c r="K939" s="21">
        <v>0.0</v>
      </c>
    </row>
    <row r="940">
      <c r="A940" s="15" t="s">
        <v>11</v>
      </c>
      <c r="B940" s="16" t="s">
        <v>66</v>
      </c>
      <c r="C940" s="17" t="s">
        <v>67</v>
      </c>
      <c r="D940" s="18">
        <v>2.0</v>
      </c>
      <c r="E940" s="17" t="s">
        <v>22</v>
      </c>
      <c r="F940" s="15"/>
      <c r="G940" s="19">
        <v>9.0042135E7</v>
      </c>
      <c r="H940" s="15" t="s">
        <v>30</v>
      </c>
      <c r="I940" s="20" t="s">
        <v>25</v>
      </c>
      <c r="J940" s="21">
        <v>8362928.0</v>
      </c>
      <c r="K940" s="21">
        <v>0.0</v>
      </c>
    </row>
    <row r="941">
      <c r="A941" s="15" t="s">
        <v>11</v>
      </c>
      <c r="B941" s="16" t="s">
        <v>66</v>
      </c>
      <c r="C941" s="17" t="s">
        <v>67</v>
      </c>
      <c r="D941" s="18">
        <v>2.0</v>
      </c>
      <c r="E941" s="17" t="s">
        <v>22</v>
      </c>
      <c r="F941" s="15"/>
      <c r="G941" s="19">
        <v>9.00422E7</v>
      </c>
      <c r="H941" s="15" t="s">
        <v>73</v>
      </c>
      <c r="I941" s="20" t="s">
        <v>60</v>
      </c>
      <c r="J941" s="21">
        <v>4.8415133E7</v>
      </c>
      <c r="K941" s="21">
        <v>0.0</v>
      </c>
    </row>
    <row r="942">
      <c r="A942" s="15" t="s">
        <v>11</v>
      </c>
      <c r="B942" s="16" t="s">
        <v>66</v>
      </c>
      <c r="C942" s="17" t="s">
        <v>67</v>
      </c>
      <c r="D942" s="18">
        <v>2.0</v>
      </c>
      <c r="E942" s="17" t="s">
        <v>22</v>
      </c>
      <c r="F942" s="15"/>
      <c r="G942" s="19">
        <v>9.0042223E7</v>
      </c>
      <c r="H942" s="15" t="s">
        <v>61</v>
      </c>
      <c r="I942" s="20" t="s">
        <v>60</v>
      </c>
      <c r="J942" s="21">
        <v>4116796.0</v>
      </c>
      <c r="K942" s="21">
        <v>0.0</v>
      </c>
    </row>
    <row r="943">
      <c r="A943" s="15" t="s">
        <v>11</v>
      </c>
      <c r="B943" s="16" t="s">
        <v>66</v>
      </c>
      <c r="C943" s="17" t="s">
        <v>67</v>
      </c>
      <c r="D943" s="18">
        <v>2.0</v>
      </c>
      <c r="E943" s="17" t="s">
        <v>22</v>
      </c>
      <c r="F943" s="15"/>
      <c r="G943" s="19">
        <v>9.0042224E7</v>
      </c>
      <c r="H943" s="15" t="s">
        <v>62</v>
      </c>
      <c r="I943" s="20" t="s">
        <v>60</v>
      </c>
      <c r="J943" s="21">
        <v>649062.0</v>
      </c>
      <c r="K943" s="21">
        <v>0.0</v>
      </c>
    </row>
    <row r="944">
      <c r="A944" s="15" t="s">
        <v>11</v>
      </c>
      <c r="B944" s="16" t="s">
        <v>66</v>
      </c>
      <c r="C944" s="17" t="s">
        <v>67</v>
      </c>
      <c r="D944" s="18">
        <v>2.0</v>
      </c>
      <c r="E944" s="17" t="s">
        <v>22</v>
      </c>
      <c r="F944" s="15"/>
      <c r="G944" s="19">
        <v>9.0042226E7</v>
      </c>
      <c r="H944" s="15" t="s">
        <v>63</v>
      </c>
      <c r="I944" s="20" t="s">
        <v>60</v>
      </c>
      <c r="J944" s="21">
        <v>18307.0</v>
      </c>
      <c r="K944" s="21">
        <v>0.0</v>
      </c>
    </row>
    <row r="945">
      <c r="A945" s="15" t="s">
        <v>11</v>
      </c>
      <c r="B945" s="16" t="s">
        <v>66</v>
      </c>
      <c r="C945" s="17" t="s">
        <v>67</v>
      </c>
      <c r="D945" s="18">
        <v>2.0</v>
      </c>
      <c r="E945" s="17" t="s">
        <v>22</v>
      </c>
      <c r="F945" s="15"/>
      <c r="G945" s="19">
        <v>9.0042228E7</v>
      </c>
      <c r="H945" s="15" t="s">
        <v>64</v>
      </c>
      <c r="I945" s="20" t="s">
        <v>60</v>
      </c>
      <c r="J945" s="21">
        <v>9442728.0</v>
      </c>
      <c r="K945" s="21">
        <v>0.0</v>
      </c>
    </row>
    <row r="946">
      <c r="A946" s="15" t="s">
        <v>11</v>
      </c>
      <c r="B946" s="16" t="s">
        <v>66</v>
      </c>
      <c r="C946" s="17" t="s">
        <v>67</v>
      </c>
      <c r="D946" s="18">
        <v>2.0</v>
      </c>
      <c r="E946" s="17" t="s">
        <v>22</v>
      </c>
      <c r="F946" s="15"/>
      <c r="G946" s="19">
        <v>9.0042231E7</v>
      </c>
      <c r="H946" s="15" t="s">
        <v>65</v>
      </c>
      <c r="I946" s="20" t="s">
        <v>60</v>
      </c>
      <c r="J946" s="21">
        <v>8247264.0</v>
      </c>
      <c r="K946" s="21">
        <v>0.0</v>
      </c>
    </row>
    <row r="947">
      <c r="A947" s="15" t="s">
        <v>74</v>
      </c>
      <c r="B947" s="16" t="s">
        <v>75</v>
      </c>
      <c r="C947" s="17" t="s">
        <v>76</v>
      </c>
      <c r="D947" s="18">
        <v>2.0</v>
      </c>
      <c r="E947" s="17" t="s">
        <v>77</v>
      </c>
      <c r="F947" s="15" t="s">
        <v>78</v>
      </c>
      <c r="G947" s="19">
        <v>9.0043001E7</v>
      </c>
      <c r="H947" s="15" t="s">
        <v>18</v>
      </c>
      <c r="I947" s="20" t="s">
        <v>19</v>
      </c>
      <c r="J947" s="21">
        <v>1683630.0</v>
      </c>
      <c r="K947" s="21">
        <v>13.0</v>
      </c>
    </row>
    <row r="948">
      <c r="A948" s="15" t="s">
        <v>74</v>
      </c>
      <c r="B948" s="16" t="s">
        <v>75</v>
      </c>
      <c r="C948" s="17" t="s">
        <v>76</v>
      </c>
      <c r="D948" s="18">
        <v>2.0</v>
      </c>
      <c r="E948" s="17" t="s">
        <v>222</v>
      </c>
      <c r="F948" s="15" t="s">
        <v>223</v>
      </c>
      <c r="G948" s="19">
        <v>9.0043002E7</v>
      </c>
      <c r="H948" s="15" t="s">
        <v>49</v>
      </c>
      <c r="I948" s="20" t="s">
        <v>50</v>
      </c>
      <c r="J948" s="21">
        <v>4065783.0</v>
      </c>
      <c r="K948" s="21">
        <v>184.0</v>
      </c>
    </row>
    <row r="949">
      <c r="A949" s="15" t="s">
        <v>74</v>
      </c>
      <c r="B949" s="16" t="s">
        <v>75</v>
      </c>
      <c r="C949" s="17" t="s">
        <v>76</v>
      </c>
      <c r="D949" s="18">
        <v>2.0</v>
      </c>
      <c r="E949" s="17" t="s">
        <v>79</v>
      </c>
      <c r="F949" s="15" t="s">
        <v>80</v>
      </c>
      <c r="G949" s="19">
        <v>9.0043001E7</v>
      </c>
      <c r="H949" s="15" t="s">
        <v>18</v>
      </c>
      <c r="I949" s="20" t="s">
        <v>19</v>
      </c>
      <c r="J949" s="21">
        <v>647550.0</v>
      </c>
      <c r="K949" s="21">
        <v>5.0</v>
      </c>
    </row>
    <row r="950">
      <c r="A950" s="15" t="s">
        <v>74</v>
      </c>
      <c r="B950" s="16" t="s">
        <v>75</v>
      </c>
      <c r="C950" s="17" t="s">
        <v>76</v>
      </c>
      <c r="D950" s="18">
        <v>2.0</v>
      </c>
      <c r="E950" s="17" t="s">
        <v>81</v>
      </c>
      <c r="F950" s="15" t="s">
        <v>82</v>
      </c>
      <c r="G950" s="19">
        <v>9.0043001E7</v>
      </c>
      <c r="H950" s="15" t="s">
        <v>18</v>
      </c>
      <c r="I950" s="20" t="s">
        <v>19</v>
      </c>
      <c r="J950" s="21">
        <v>1.2567629E8</v>
      </c>
      <c r="K950" s="21">
        <v>947.0</v>
      </c>
    </row>
    <row r="951">
      <c r="A951" s="15" t="s">
        <v>74</v>
      </c>
      <c r="B951" s="16" t="s">
        <v>75</v>
      </c>
      <c r="C951" s="17" t="s">
        <v>76</v>
      </c>
      <c r="D951" s="18">
        <v>2.0</v>
      </c>
      <c r="E951" s="17" t="s">
        <v>81</v>
      </c>
      <c r="F951" s="15" t="s">
        <v>82</v>
      </c>
      <c r="G951" s="19">
        <v>9.0043E7</v>
      </c>
      <c r="H951" s="15" t="s">
        <v>83</v>
      </c>
      <c r="I951" s="20" t="s">
        <v>19</v>
      </c>
      <c r="J951" s="21">
        <v>2946438.0</v>
      </c>
      <c r="K951" s="21">
        <v>22.0</v>
      </c>
    </row>
    <row r="952">
      <c r="A952" s="15" t="s">
        <v>74</v>
      </c>
      <c r="B952" s="16" t="s">
        <v>75</v>
      </c>
      <c r="C952" s="17" t="s">
        <v>76</v>
      </c>
      <c r="D952" s="18">
        <v>2.0</v>
      </c>
      <c r="E952" s="17" t="s">
        <v>84</v>
      </c>
      <c r="F952" s="15" t="s">
        <v>85</v>
      </c>
      <c r="G952" s="19">
        <v>9.0043001E7</v>
      </c>
      <c r="H952" s="15" t="s">
        <v>18</v>
      </c>
      <c r="I952" s="20" t="s">
        <v>19</v>
      </c>
      <c r="J952" s="21">
        <v>1.3094692E7</v>
      </c>
      <c r="K952" s="21">
        <v>92.0</v>
      </c>
    </row>
    <row r="953">
      <c r="A953" s="15" t="s">
        <v>74</v>
      </c>
      <c r="B953" s="16" t="s">
        <v>75</v>
      </c>
      <c r="C953" s="17" t="s">
        <v>76</v>
      </c>
      <c r="D953" s="18">
        <v>2.0</v>
      </c>
      <c r="E953" s="17" t="s">
        <v>152</v>
      </c>
      <c r="F953" s="15" t="s">
        <v>153</v>
      </c>
      <c r="G953" s="19">
        <v>9.0043003E7</v>
      </c>
      <c r="H953" s="15" t="s">
        <v>90</v>
      </c>
      <c r="I953" s="20" t="s">
        <v>50</v>
      </c>
      <c r="J953" s="21">
        <v>1.4039852E7</v>
      </c>
      <c r="K953" s="21">
        <v>4.5</v>
      </c>
    </row>
    <row r="954">
      <c r="A954" s="15" t="s">
        <v>74</v>
      </c>
      <c r="B954" s="16" t="s">
        <v>75</v>
      </c>
      <c r="C954" s="17" t="s">
        <v>76</v>
      </c>
      <c r="D954" s="18">
        <v>2.0</v>
      </c>
      <c r="E954" s="17" t="s">
        <v>154</v>
      </c>
      <c r="F954" s="15" t="s">
        <v>155</v>
      </c>
      <c r="G954" s="19">
        <v>5.1100102E7</v>
      </c>
      <c r="H954" s="15" t="s">
        <v>172</v>
      </c>
      <c r="I954" s="20" t="s">
        <v>25</v>
      </c>
      <c r="J954" s="21">
        <v>6.1286391E7</v>
      </c>
      <c r="K954" s="21">
        <v>0.0</v>
      </c>
    </row>
    <row r="955">
      <c r="A955" s="15" t="s">
        <v>74</v>
      </c>
      <c r="B955" s="16" t="s">
        <v>75</v>
      </c>
      <c r="C955" s="17" t="s">
        <v>76</v>
      </c>
      <c r="D955" s="18">
        <v>2.0</v>
      </c>
      <c r="E955" s="17" t="s">
        <v>154</v>
      </c>
      <c r="F955" s="15" t="s">
        <v>155</v>
      </c>
      <c r="G955" s="19">
        <v>5.1100651E7</v>
      </c>
      <c r="H955" s="15" t="s">
        <v>38</v>
      </c>
      <c r="I955" s="20" t="s">
        <v>25</v>
      </c>
      <c r="J955" s="21">
        <v>0.0</v>
      </c>
      <c r="K955" s="21">
        <v>0.0</v>
      </c>
    </row>
    <row r="956">
      <c r="A956" s="15" t="s">
        <v>74</v>
      </c>
      <c r="B956" s="16" t="s">
        <v>75</v>
      </c>
      <c r="C956" s="17" t="s">
        <v>76</v>
      </c>
      <c r="D956" s="18">
        <v>2.0</v>
      </c>
      <c r="E956" s="17" t="s">
        <v>154</v>
      </c>
      <c r="F956" s="15" t="s">
        <v>155</v>
      </c>
      <c r="G956" s="19">
        <v>5.1100774E7</v>
      </c>
      <c r="H956" s="15" t="s">
        <v>39</v>
      </c>
      <c r="I956" s="20" t="s">
        <v>17</v>
      </c>
      <c r="J956" s="21">
        <v>1.5453E8</v>
      </c>
      <c r="K956" s="21">
        <v>144.0</v>
      </c>
    </row>
    <row r="957">
      <c r="A957" s="15" t="s">
        <v>74</v>
      </c>
      <c r="B957" s="16" t="s">
        <v>75</v>
      </c>
      <c r="C957" s="17" t="s">
        <v>76</v>
      </c>
      <c r="D957" s="18">
        <v>2.0</v>
      </c>
      <c r="E957" s="17" t="s">
        <v>224</v>
      </c>
      <c r="F957" s="15" t="s">
        <v>225</v>
      </c>
      <c r="G957" s="19">
        <v>5.1100774E7</v>
      </c>
      <c r="H957" s="15" t="s">
        <v>39</v>
      </c>
      <c r="I957" s="20" t="s">
        <v>17</v>
      </c>
      <c r="J957" s="21">
        <v>2.66697823E8</v>
      </c>
      <c r="K957" s="21">
        <v>448.0</v>
      </c>
    </row>
    <row r="958">
      <c r="A958" s="15" t="s">
        <v>74</v>
      </c>
      <c r="B958" s="16" t="s">
        <v>75</v>
      </c>
      <c r="C958" s="17" t="s">
        <v>76</v>
      </c>
      <c r="D958" s="18">
        <v>2.0</v>
      </c>
      <c r="E958" s="17" t="s">
        <v>91</v>
      </c>
      <c r="F958" s="15" t="s">
        <v>92</v>
      </c>
      <c r="G958" s="19">
        <v>9.0043001E7</v>
      </c>
      <c r="H958" s="15" t="s">
        <v>18</v>
      </c>
      <c r="I958" s="20" t="s">
        <v>19</v>
      </c>
      <c r="J958" s="21">
        <v>1.4410813E7</v>
      </c>
      <c r="K958" s="21">
        <v>108.0</v>
      </c>
    </row>
    <row r="959">
      <c r="A959" s="15" t="s">
        <v>74</v>
      </c>
      <c r="B959" s="16" t="s">
        <v>75</v>
      </c>
      <c r="C959" s="17" t="s">
        <v>76</v>
      </c>
      <c r="D959" s="18">
        <v>2.0</v>
      </c>
      <c r="E959" s="17" t="s">
        <v>93</v>
      </c>
      <c r="F959" s="15" t="s">
        <v>94</v>
      </c>
      <c r="G959" s="19">
        <v>9.0043001E7</v>
      </c>
      <c r="H959" s="15" t="s">
        <v>18</v>
      </c>
      <c r="I959" s="20" t="s">
        <v>19</v>
      </c>
      <c r="J959" s="21">
        <v>9853538.0</v>
      </c>
      <c r="K959" s="21">
        <v>78.0</v>
      </c>
    </row>
    <row r="960">
      <c r="A960" s="15" t="s">
        <v>74</v>
      </c>
      <c r="B960" s="16" t="s">
        <v>75</v>
      </c>
      <c r="C960" s="17" t="s">
        <v>76</v>
      </c>
      <c r="D960" s="18">
        <v>2.0</v>
      </c>
      <c r="E960" s="17" t="s">
        <v>93</v>
      </c>
      <c r="F960" s="15" t="s">
        <v>94</v>
      </c>
      <c r="G960" s="19">
        <v>5.1100774E7</v>
      </c>
      <c r="H960" s="15" t="s">
        <v>39</v>
      </c>
      <c r="I960" s="20" t="s">
        <v>17</v>
      </c>
      <c r="J960" s="21">
        <v>6.6618729E7</v>
      </c>
      <c r="K960" s="21">
        <v>19293.0</v>
      </c>
    </row>
    <row r="961">
      <c r="A961" s="15" t="s">
        <v>74</v>
      </c>
      <c r="B961" s="16" t="s">
        <v>75</v>
      </c>
      <c r="C961" s="17" t="s">
        <v>76</v>
      </c>
      <c r="D961" s="18">
        <v>2.0</v>
      </c>
      <c r="E961" s="17" t="s">
        <v>156</v>
      </c>
      <c r="F961" s="15" t="s">
        <v>157</v>
      </c>
      <c r="G961" s="19">
        <v>9.0043001E7</v>
      </c>
      <c r="H961" s="15" t="s">
        <v>18</v>
      </c>
      <c r="I961" s="20" t="s">
        <v>19</v>
      </c>
      <c r="J961" s="21">
        <v>2644026.0</v>
      </c>
      <c r="K961" s="21">
        <v>21.0</v>
      </c>
    </row>
    <row r="962">
      <c r="A962" s="15" t="s">
        <v>74</v>
      </c>
      <c r="B962" s="16" t="s">
        <v>75</v>
      </c>
      <c r="C962" s="17" t="s">
        <v>76</v>
      </c>
      <c r="D962" s="18">
        <v>2.0</v>
      </c>
      <c r="E962" s="17" t="s">
        <v>95</v>
      </c>
      <c r="F962" s="15" t="s">
        <v>96</v>
      </c>
      <c r="G962" s="19">
        <v>5.1100058E7</v>
      </c>
      <c r="H962" s="15" t="s">
        <v>36</v>
      </c>
      <c r="I962" s="20" t="s">
        <v>25</v>
      </c>
      <c r="J962" s="21">
        <v>1625602.0</v>
      </c>
      <c r="K962" s="21">
        <v>0.0</v>
      </c>
    </row>
    <row r="963">
      <c r="A963" s="15" t="s">
        <v>74</v>
      </c>
      <c r="B963" s="16" t="s">
        <v>75</v>
      </c>
      <c r="C963" s="17" t="s">
        <v>76</v>
      </c>
      <c r="D963" s="18">
        <v>2.0</v>
      </c>
      <c r="E963" s="17" t="s">
        <v>95</v>
      </c>
      <c r="F963" s="15" t="s">
        <v>96</v>
      </c>
      <c r="G963" s="19">
        <v>5.1100058E7</v>
      </c>
      <c r="H963" s="15" t="s">
        <v>36</v>
      </c>
      <c r="I963" s="20" t="s">
        <v>37</v>
      </c>
      <c r="J963" s="21">
        <v>1.3774339E7</v>
      </c>
      <c r="K963" s="21">
        <v>203.88</v>
      </c>
    </row>
    <row r="964">
      <c r="A964" s="15" t="s">
        <v>74</v>
      </c>
      <c r="B964" s="16" t="s">
        <v>75</v>
      </c>
      <c r="C964" s="17" t="s">
        <v>76</v>
      </c>
      <c r="D964" s="18">
        <v>2.0</v>
      </c>
      <c r="E964" s="17" t="s">
        <v>95</v>
      </c>
      <c r="F964" s="15" t="s">
        <v>96</v>
      </c>
      <c r="G964" s="19">
        <v>5.1101999E7</v>
      </c>
      <c r="H964" s="15" t="s">
        <v>107</v>
      </c>
      <c r="I964" s="20" t="s">
        <v>25</v>
      </c>
      <c r="J964" s="21">
        <v>2354405.0</v>
      </c>
      <c r="K964" s="21">
        <v>0.0</v>
      </c>
    </row>
    <row r="965">
      <c r="A965" s="15" t="s">
        <v>74</v>
      </c>
      <c r="B965" s="16" t="s">
        <v>75</v>
      </c>
      <c r="C965" s="17" t="s">
        <v>76</v>
      </c>
      <c r="D965" s="18">
        <v>2.0</v>
      </c>
      <c r="E965" s="17" t="s">
        <v>97</v>
      </c>
      <c r="F965" s="15" t="s">
        <v>98</v>
      </c>
      <c r="G965" s="19">
        <v>9.0043001E7</v>
      </c>
      <c r="H965" s="15" t="s">
        <v>18</v>
      </c>
      <c r="I965" s="20" t="s">
        <v>19</v>
      </c>
      <c r="J965" s="21">
        <v>1.4317901E7</v>
      </c>
      <c r="K965" s="21">
        <v>111.0</v>
      </c>
    </row>
    <row r="966">
      <c r="A966" s="15" t="s">
        <v>74</v>
      </c>
      <c r="B966" s="16" t="s">
        <v>75</v>
      </c>
      <c r="C966" s="17" t="s">
        <v>76</v>
      </c>
      <c r="D966" s="18">
        <v>2.0</v>
      </c>
      <c r="E966" s="17" t="s">
        <v>101</v>
      </c>
      <c r="F966" s="15" t="s">
        <v>102</v>
      </c>
      <c r="G966" s="19">
        <v>9.0043001E7</v>
      </c>
      <c r="H966" s="15" t="s">
        <v>18</v>
      </c>
      <c r="I966" s="20" t="s">
        <v>19</v>
      </c>
      <c r="J966" s="21">
        <v>8.7288917E7</v>
      </c>
      <c r="K966" s="21">
        <v>650.0</v>
      </c>
    </row>
    <row r="967">
      <c r="A967" s="15" t="s">
        <v>74</v>
      </c>
      <c r="B967" s="16" t="s">
        <v>75</v>
      </c>
      <c r="C967" s="17" t="s">
        <v>76</v>
      </c>
      <c r="D967" s="18">
        <v>2.0</v>
      </c>
      <c r="E967" s="17" t="s">
        <v>103</v>
      </c>
      <c r="F967" s="15" t="s">
        <v>104</v>
      </c>
      <c r="G967" s="19">
        <v>5.1100058E7</v>
      </c>
      <c r="H967" s="15" t="s">
        <v>36</v>
      </c>
      <c r="I967" s="20" t="s">
        <v>37</v>
      </c>
      <c r="J967" s="21">
        <v>4.7469573E7</v>
      </c>
      <c r="K967" s="21">
        <v>595.66</v>
      </c>
    </row>
    <row r="968">
      <c r="A968" s="15" t="s">
        <v>74</v>
      </c>
      <c r="B968" s="16" t="s">
        <v>75</v>
      </c>
      <c r="C968" s="17" t="s">
        <v>76</v>
      </c>
      <c r="D968" s="18">
        <v>2.0</v>
      </c>
      <c r="E968" s="17" t="s">
        <v>103</v>
      </c>
      <c r="F968" s="15" t="s">
        <v>104</v>
      </c>
      <c r="G968" s="19">
        <v>5.1100651E7</v>
      </c>
      <c r="H968" s="15" t="s">
        <v>38</v>
      </c>
      <c r="I968" s="20" t="s">
        <v>25</v>
      </c>
      <c r="J968" s="21">
        <v>0.0</v>
      </c>
      <c r="K968" s="21">
        <v>0.0</v>
      </c>
    </row>
    <row r="969">
      <c r="A969" s="15" t="s">
        <v>74</v>
      </c>
      <c r="B969" s="16" t="s">
        <v>75</v>
      </c>
      <c r="C969" s="17" t="s">
        <v>76</v>
      </c>
      <c r="D969" s="18">
        <v>2.0</v>
      </c>
      <c r="E969" s="17" t="s">
        <v>103</v>
      </c>
      <c r="F969" s="15" t="s">
        <v>104</v>
      </c>
      <c r="G969" s="19">
        <v>5.1101999E7</v>
      </c>
      <c r="H969" s="15" t="s">
        <v>107</v>
      </c>
      <c r="I969" s="20" t="s">
        <v>25</v>
      </c>
      <c r="J969" s="21">
        <v>2354404.0</v>
      </c>
      <c r="K969" s="21">
        <v>0.0</v>
      </c>
    </row>
    <row r="970">
      <c r="A970" s="15" t="s">
        <v>74</v>
      </c>
      <c r="B970" s="16" t="s">
        <v>75</v>
      </c>
      <c r="C970" s="17" t="s">
        <v>76</v>
      </c>
      <c r="D970" s="18">
        <v>2.0</v>
      </c>
      <c r="E970" s="17" t="s">
        <v>103</v>
      </c>
      <c r="F970" s="15" t="s">
        <v>104</v>
      </c>
      <c r="G970" s="19">
        <v>9.0043001E7</v>
      </c>
      <c r="H970" s="15" t="s">
        <v>18</v>
      </c>
      <c r="I970" s="20" t="s">
        <v>19</v>
      </c>
      <c r="J970" s="21">
        <v>3.4798827E7</v>
      </c>
      <c r="K970" s="21">
        <v>261.0</v>
      </c>
    </row>
    <row r="971">
      <c r="A971" s="15" t="s">
        <v>74</v>
      </c>
      <c r="B971" s="16" t="s">
        <v>75</v>
      </c>
      <c r="C971" s="17" t="s">
        <v>76</v>
      </c>
      <c r="D971" s="18">
        <v>2.0</v>
      </c>
      <c r="E971" s="17" t="s">
        <v>103</v>
      </c>
      <c r="F971" s="15" t="s">
        <v>104</v>
      </c>
      <c r="G971" s="19">
        <v>5.1100774E7</v>
      </c>
      <c r="H971" s="15" t="s">
        <v>39</v>
      </c>
      <c r="I971" s="20" t="s">
        <v>17</v>
      </c>
      <c r="J971" s="21">
        <v>4.0862347E7</v>
      </c>
      <c r="K971" s="21">
        <v>275.26</v>
      </c>
    </row>
    <row r="972">
      <c r="A972" s="15" t="s">
        <v>74</v>
      </c>
      <c r="B972" s="16" t="s">
        <v>75</v>
      </c>
      <c r="C972" s="17" t="s">
        <v>76</v>
      </c>
      <c r="D972" s="18">
        <v>2.0</v>
      </c>
      <c r="E972" s="17" t="s">
        <v>110</v>
      </c>
      <c r="F972" s="15" t="s">
        <v>111</v>
      </c>
      <c r="G972" s="19">
        <v>5.1100058E7</v>
      </c>
      <c r="H972" s="15" t="s">
        <v>36</v>
      </c>
      <c r="I972" s="20" t="s">
        <v>25</v>
      </c>
      <c r="J972" s="21">
        <v>511228.0</v>
      </c>
      <c r="K972" s="21">
        <v>0.0</v>
      </c>
    </row>
    <row r="973">
      <c r="A973" s="15" t="s">
        <v>74</v>
      </c>
      <c r="B973" s="16" t="s">
        <v>75</v>
      </c>
      <c r="C973" s="17" t="s">
        <v>76</v>
      </c>
      <c r="D973" s="18">
        <v>2.0</v>
      </c>
      <c r="E973" s="17" t="s">
        <v>110</v>
      </c>
      <c r="F973" s="15" t="s">
        <v>111</v>
      </c>
      <c r="G973" s="19">
        <v>5.1101999E7</v>
      </c>
      <c r="H973" s="15" t="s">
        <v>107</v>
      </c>
      <c r="I973" s="20" t="s">
        <v>25</v>
      </c>
      <c r="J973" s="21">
        <v>1177202.0</v>
      </c>
      <c r="K973" s="21">
        <v>0.0</v>
      </c>
    </row>
    <row r="974">
      <c r="A974" s="15" t="s">
        <v>74</v>
      </c>
      <c r="B974" s="16" t="s">
        <v>75</v>
      </c>
      <c r="C974" s="17" t="s">
        <v>76</v>
      </c>
      <c r="D974" s="18">
        <v>2.0</v>
      </c>
      <c r="E974" s="17" t="s">
        <v>115</v>
      </c>
      <c r="F974" s="15" t="s">
        <v>116</v>
      </c>
      <c r="G974" s="19">
        <v>5.1100774E7</v>
      </c>
      <c r="H974" s="15" t="s">
        <v>39</v>
      </c>
      <c r="I974" s="20" t="s">
        <v>17</v>
      </c>
      <c r="J974" s="21">
        <v>3.8135492E7</v>
      </c>
      <c r="K974" s="21">
        <v>936070.0</v>
      </c>
    </row>
    <row r="975">
      <c r="A975" s="15" t="s">
        <v>74</v>
      </c>
      <c r="B975" s="16" t="s">
        <v>75</v>
      </c>
      <c r="C975" s="17" t="s">
        <v>76</v>
      </c>
      <c r="D975" s="18">
        <v>2.0</v>
      </c>
      <c r="E975" s="17" t="s">
        <v>117</v>
      </c>
      <c r="F975" s="15" t="s">
        <v>118</v>
      </c>
      <c r="G975" s="19">
        <v>5.1100058E7</v>
      </c>
      <c r="H975" s="15" t="s">
        <v>36</v>
      </c>
      <c r="I975" s="20" t="s">
        <v>37</v>
      </c>
      <c r="J975" s="21">
        <v>5.0621718E7</v>
      </c>
      <c r="K975" s="21">
        <v>36957.0</v>
      </c>
    </row>
    <row r="976">
      <c r="A976" s="15" t="s">
        <v>74</v>
      </c>
      <c r="B976" s="16" t="s">
        <v>75</v>
      </c>
      <c r="C976" s="17" t="s">
        <v>76</v>
      </c>
      <c r="D976" s="18">
        <v>2.0</v>
      </c>
      <c r="E976" s="17" t="s">
        <v>117</v>
      </c>
      <c r="F976" s="15" t="s">
        <v>118</v>
      </c>
      <c r="G976" s="19">
        <v>9.0043001E7</v>
      </c>
      <c r="H976" s="15" t="s">
        <v>18</v>
      </c>
      <c r="I976" s="20" t="s">
        <v>19</v>
      </c>
      <c r="J976" s="21">
        <v>1.2771293E7</v>
      </c>
      <c r="K976" s="21">
        <v>99.0</v>
      </c>
    </row>
    <row r="977">
      <c r="A977" s="15" t="s">
        <v>74</v>
      </c>
      <c r="B977" s="16" t="s">
        <v>75</v>
      </c>
      <c r="C977" s="17" t="s">
        <v>76</v>
      </c>
      <c r="D977" s="18">
        <v>2.0</v>
      </c>
      <c r="E977" s="17" t="s">
        <v>117</v>
      </c>
      <c r="F977" s="15" t="s">
        <v>118</v>
      </c>
      <c r="G977" s="19">
        <v>5.1100774E7</v>
      </c>
      <c r="H977" s="15" t="s">
        <v>39</v>
      </c>
      <c r="I977" s="20" t="s">
        <v>17</v>
      </c>
      <c r="J977" s="21">
        <v>7616560.0</v>
      </c>
      <c r="K977" s="21">
        <v>136.89</v>
      </c>
    </row>
    <row r="978">
      <c r="A978" s="15" t="s">
        <v>74</v>
      </c>
      <c r="B978" s="16" t="s">
        <v>75</v>
      </c>
      <c r="C978" s="17" t="s">
        <v>76</v>
      </c>
      <c r="D978" s="18">
        <v>2.0</v>
      </c>
      <c r="E978" s="17" t="s">
        <v>263</v>
      </c>
      <c r="F978" s="15" t="s">
        <v>264</v>
      </c>
      <c r="G978" s="19">
        <v>9.0043001E7</v>
      </c>
      <c r="H978" s="15" t="s">
        <v>18</v>
      </c>
      <c r="I978" s="20" t="s">
        <v>19</v>
      </c>
      <c r="J978" s="21">
        <v>1354070.0</v>
      </c>
      <c r="K978" s="21">
        <v>10.0</v>
      </c>
    </row>
    <row r="979">
      <c r="A979" s="15" t="s">
        <v>74</v>
      </c>
      <c r="B979" s="16" t="s">
        <v>75</v>
      </c>
      <c r="C979" s="17" t="s">
        <v>76</v>
      </c>
      <c r="D979" s="18">
        <v>2.0</v>
      </c>
      <c r="E979" s="17" t="s">
        <v>119</v>
      </c>
      <c r="F979" s="15" t="s">
        <v>120</v>
      </c>
      <c r="G979" s="19">
        <v>9.0043001E7</v>
      </c>
      <c r="H979" s="15" t="s">
        <v>18</v>
      </c>
      <c r="I979" s="20" t="s">
        <v>19</v>
      </c>
      <c r="J979" s="21">
        <v>130599.0</v>
      </c>
      <c r="K979" s="21">
        <v>1.0</v>
      </c>
    </row>
    <row r="980">
      <c r="A980" s="15" t="s">
        <v>74</v>
      </c>
      <c r="B980" s="16" t="s">
        <v>75</v>
      </c>
      <c r="C980" s="17" t="s">
        <v>76</v>
      </c>
      <c r="D980" s="18">
        <v>2.0</v>
      </c>
      <c r="E980" s="17" t="s">
        <v>119</v>
      </c>
      <c r="F980" s="15" t="s">
        <v>120</v>
      </c>
      <c r="G980" s="19">
        <v>5.1100774E7</v>
      </c>
      <c r="H980" s="15" t="s">
        <v>39</v>
      </c>
      <c r="I980" s="20" t="s">
        <v>17</v>
      </c>
      <c r="J980" s="21">
        <v>1.9055749E7</v>
      </c>
      <c r="K980" s="21">
        <v>17.11</v>
      </c>
    </row>
    <row r="981">
      <c r="A981" s="15" t="s">
        <v>74</v>
      </c>
      <c r="B981" s="16" t="s">
        <v>75</v>
      </c>
      <c r="C981" s="17" t="s">
        <v>76</v>
      </c>
      <c r="D981" s="18">
        <v>2.0</v>
      </c>
      <c r="E981" s="17" t="s">
        <v>121</v>
      </c>
      <c r="F981" s="15" t="s">
        <v>122</v>
      </c>
      <c r="G981" s="19">
        <v>9.0043002E7</v>
      </c>
      <c r="H981" s="15" t="s">
        <v>49</v>
      </c>
      <c r="I981" s="20" t="s">
        <v>50</v>
      </c>
      <c r="J981" s="21">
        <v>6.41441E7</v>
      </c>
      <c r="K981" s="21">
        <v>2784.0</v>
      </c>
    </row>
    <row r="982">
      <c r="A982" s="15" t="s">
        <v>74</v>
      </c>
      <c r="B982" s="16" t="s">
        <v>75</v>
      </c>
      <c r="C982" s="17" t="s">
        <v>76</v>
      </c>
      <c r="D982" s="18">
        <v>2.0</v>
      </c>
      <c r="E982" s="17" t="s">
        <v>123</v>
      </c>
      <c r="F982" s="15" t="s">
        <v>124</v>
      </c>
      <c r="G982" s="19">
        <v>9.0043001E7</v>
      </c>
      <c r="H982" s="15" t="s">
        <v>18</v>
      </c>
      <c r="I982" s="20" t="s">
        <v>19</v>
      </c>
      <c r="J982" s="21">
        <v>3189316.0</v>
      </c>
      <c r="K982" s="21">
        <v>24.0</v>
      </c>
    </row>
    <row r="983">
      <c r="A983" s="15" t="s">
        <v>74</v>
      </c>
      <c r="B983" s="16" t="s">
        <v>75</v>
      </c>
      <c r="C983" s="17" t="s">
        <v>76</v>
      </c>
      <c r="D983" s="18">
        <v>2.0</v>
      </c>
      <c r="E983" s="17" t="s">
        <v>125</v>
      </c>
      <c r="F983" s="15" t="s">
        <v>126</v>
      </c>
      <c r="G983" s="19">
        <v>5.1101056E7</v>
      </c>
      <c r="H983" s="15" t="s">
        <v>16</v>
      </c>
      <c r="I983" s="20" t="s">
        <v>17</v>
      </c>
      <c r="J983" s="21">
        <v>4.0904036E7</v>
      </c>
      <c r="K983" s="21">
        <v>409040.36</v>
      </c>
    </row>
    <row r="984">
      <c r="A984" s="15" t="s">
        <v>74</v>
      </c>
      <c r="B984" s="16" t="s">
        <v>75</v>
      </c>
      <c r="C984" s="17" t="s">
        <v>76</v>
      </c>
      <c r="D984" s="18">
        <v>2.0</v>
      </c>
      <c r="E984" s="17" t="s">
        <v>125</v>
      </c>
      <c r="F984" s="15" t="s">
        <v>126</v>
      </c>
      <c r="G984" s="19">
        <v>9.0043001E7</v>
      </c>
      <c r="H984" s="15" t="s">
        <v>18</v>
      </c>
      <c r="I984" s="20" t="s">
        <v>19</v>
      </c>
      <c r="J984" s="21">
        <v>3.97740125E8</v>
      </c>
      <c r="K984" s="21">
        <v>3036.0</v>
      </c>
    </row>
    <row r="985">
      <c r="A985" s="15" t="s">
        <v>74</v>
      </c>
      <c r="B985" s="16" t="s">
        <v>75</v>
      </c>
      <c r="C985" s="17" t="s">
        <v>76</v>
      </c>
      <c r="D985" s="18">
        <v>2.0</v>
      </c>
      <c r="E985" s="17" t="s">
        <v>125</v>
      </c>
      <c r="F985" s="15" t="s">
        <v>126</v>
      </c>
      <c r="G985" s="19">
        <v>9.0043E7</v>
      </c>
      <c r="H985" s="15" t="s">
        <v>83</v>
      </c>
      <c r="I985" s="20" t="s">
        <v>19</v>
      </c>
      <c r="J985" s="21">
        <v>3594396.0</v>
      </c>
      <c r="K985" s="21">
        <v>26.0</v>
      </c>
    </row>
    <row r="986">
      <c r="A986" s="15" t="s">
        <v>74</v>
      </c>
      <c r="B986" s="16" t="s">
        <v>75</v>
      </c>
      <c r="C986" s="17" t="s">
        <v>76</v>
      </c>
      <c r="D986" s="18">
        <v>2.0</v>
      </c>
      <c r="E986" s="17" t="s">
        <v>127</v>
      </c>
      <c r="F986" s="15" t="s">
        <v>128</v>
      </c>
      <c r="G986" s="19">
        <v>5.1100153E7</v>
      </c>
      <c r="H986" s="15" t="s">
        <v>72</v>
      </c>
      <c r="I986" s="20" t="s">
        <v>17</v>
      </c>
      <c r="J986" s="21">
        <v>3.30597725E8</v>
      </c>
      <c r="K986" s="21">
        <v>3098480.0</v>
      </c>
    </row>
    <row r="987">
      <c r="A987" s="15" t="s">
        <v>74</v>
      </c>
      <c r="B987" s="16" t="s">
        <v>75</v>
      </c>
      <c r="C987" s="17" t="s">
        <v>76</v>
      </c>
      <c r="D987" s="18">
        <v>2.0</v>
      </c>
      <c r="E987" s="17" t="s">
        <v>127</v>
      </c>
      <c r="F987" s="15" t="s">
        <v>128</v>
      </c>
      <c r="G987" s="19">
        <v>9.0043002E7</v>
      </c>
      <c r="H987" s="15" t="s">
        <v>49</v>
      </c>
      <c r="I987" s="20" t="s">
        <v>50</v>
      </c>
      <c r="J987" s="21">
        <v>1.29322028E8</v>
      </c>
      <c r="K987" s="21">
        <v>5843.0</v>
      </c>
    </row>
    <row r="988">
      <c r="A988" s="15" t="s">
        <v>74</v>
      </c>
      <c r="B988" s="16" t="s">
        <v>75</v>
      </c>
      <c r="C988" s="17" t="s">
        <v>76</v>
      </c>
      <c r="D988" s="18">
        <v>2.0</v>
      </c>
      <c r="E988" s="17" t="s">
        <v>129</v>
      </c>
      <c r="F988" s="15" t="s">
        <v>130</v>
      </c>
      <c r="G988" s="19">
        <v>5.1101056E7</v>
      </c>
      <c r="H988" s="15" t="s">
        <v>16</v>
      </c>
      <c r="I988" s="20" t="s">
        <v>17</v>
      </c>
      <c r="J988" s="21">
        <v>8.779645E7</v>
      </c>
      <c r="K988" s="21">
        <v>1254235.0</v>
      </c>
    </row>
    <row r="989">
      <c r="A989" s="15" t="s">
        <v>74</v>
      </c>
      <c r="B989" s="16" t="s">
        <v>75</v>
      </c>
      <c r="C989" s="17" t="s">
        <v>76</v>
      </c>
      <c r="D989" s="18">
        <v>2.0</v>
      </c>
      <c r="E989" s="17" t="s">
        <v>129</v>
      </c>
      <c r="F989" s="15" t="s">
        <v>130</v>
      </c>
      <c r="G989" s="19">
        <v>9.0043001E7</v>
      </c>
      <c r="H989" s="15" t="s">
        <v>18</v>
      </c>
      <c r="I989" s="20" t="s">
        <v>19</v>
      </c>
      <c r="J989" s="21">
        <v>8980949.0</v>
      </c>
      <c r="K989" s="21">
        <v>66.0</v>
      </c>
    </row>
    <row r="990">
      <c r="A990" s="15" t="s">
        <v>74</v>
      </c>
      <c r="B990" s="16" t="s">
        <v>75</v>
      </c>
      <c r="C990" s="17" t="s">
        <v>76</v>
      </c>
      <c r="D990" s="18">
        <v>2.0</v>
      </c>
      <c r="E990" s="17" t="s">
        <v>129</v>
      </c>
      <c r="F990" s="15" t="s">
        <v>130</v>
      </c>
      <c r="G990" s="19">
        <v>9.0043003E7</v>
      </c>
      <c r="H990" s="15" t="s">
        <v>90</v>
      </c>
      <c r="I990" s="20" t="s">
        <v>50</v>
      </c>
      <c r="J990" s="21">
        <v>2.6282114E7</v>
      </c>
      <c r="K990" s="21">
        <v>271.9</v>
      </c>
    </row>
    <row r="991">
      <c r="A991" s="15" t="s">
        <v>74</v>
      </c>
      <c r="B991" s="16" t="s">
        <v>75</v>
      </c>
      <c r="C991" s="17" t="s">
        <v>76</v>
      </c>
      <c r="D991" s="18">
        <v>2.0</v>
      </c>
      <c r="E991" s="17" t="s">
        <v>131</v>
      </c>
      <c r="F991" s="15" t="s">
        <v>132</v>
      </c>
      <c r="G991" s="19">
        <v>9.0043001E7</v>
      </c>
      <c r="H991" s="15" t="s">
        <v>18</v>
      </c>
      <c r="I991" s="20" t="s">
        <v>19</v>
      </c>
      <c r="J991" s="21">
        <v>1.7052706E7</v>
      </c>
      <c r="K991" s="21">
        <v>132.0</v>
      </c>
    </row>
    <row r="992">
      <c r="A992" s="15" t="s">
        <v>74</v>
      </c>
      <c r="B992" s="16" t="s">
        <v>75</v>
      </c>
      <c r="C992" s="17" t="s">
        <v>76</v>
      </c>
      <c r="D992" s="18">
        <v>2.0</v>
      </c>
      <c r="E992" s="17" t="s">
        <v>135</v>
      </c>
      <c r="F992" s="15" t="s">
        <v>136</v>
      </c>
      <c r="G992" s="19">
        <v>9.0043001E7</v>
      </c>
      <c r="H992" s="15" t="s">
        <v>18</v>
      </c>
      <c r="I992" s="20" t="s">
        <v>19</v>
      </c>
      <c r="J992" s="21">
        <v>1.07889722E8</v>
      </c>
      <c r="K992" s="21">
        <v>842.0</v>
      </c>
    </row>
    <row r="993">
      <c r="A993" s="15" t="s">
        <v>74</v>
      </c>
      <c r="B993" s="16" t="s">
        <v>75</v>
      </c>
      <c r="C993" s="17" t="s">
        <v>76</v>
      </c>
      <c r="D993" s="18">
        <v>2.0</v>
      </c>
      <c r="E993" s="17" t="s">
        <v>137</v>
      </c>
      <c r="F993" s="15" t="s">
        <v>138</v>
      </c>
      <c r="G993" s="19">
        <v>9.0043001E7</v>
      </c>
      <c r="H993" s="15" t="s">
        <v>18</v>
      </c>
      <c r="I993" s="20" t="s">
        <v>19</v>
      </c>
      <c r="J993" s="21">
        <v>3399462.0</v>
      </c>
      <c r="K993" s="21">
        <v>27.0</v>
      </c>
    </row>
    <row r="994">
      <c r="A994" s="15" t="s">
        <v>74</v>
      </c>
      <c r="B994" s="16" t="s">
        <v>75</v>
      </c>
      <c r="C994" s="17" t="s">
        <v>76</v>
      </c>
      <c r="D994" s="18">
        <v>2.0</v>
      </c>
      <c r="E994" s="17" t="s">
        <v>54</v>
      </c>
      <c r="F994" s="15" t="s">
        <v>139</v>
      </c>
      <c r="G994" s="19">
        <v>9.0042011E7</v>
      </c>
      <c r="H994" s="15" t="s">
        <v>55</v>
      </c>
      <c r="I994" s="20" t="s">
        <v>19</v>
      </c>
      <c r="J994" s="21">
        <v>3.67252207E8</v>
      </c>
      <c r="K994" s="21">
        <v>0.0</v>
      </c>
    </row>
    <row r="995">
      <c r="A995" s="15" t="s">
        <v>74</v>
      </c>
      <c r="B995" s="16" t="s">
        <v>75</v>
      </c>
      <c r="C995" s="17" t="s">
        <v>76</v>
      </c>
      <c r="D995" s="18">
        <v>2.0</v>
      </c>
      <c r="E995" s="17" t="s">
        <v>20</v>
      </c>
      <c r="F995" s="15" t="s">
        <v>140</v>
      </c>
      <c r="G995" s="19">
        <v>9.0042014E7</v>
      </c>
      <c r="H995" s="15" t="s">
        <v>21</v>
      </c>
      <c r="I995" s="20" t="s">
        <v>19</v>
      </c>
      <c r="J995" s="21">
        <v>4.23600765E8</v>
      </c>
      <c r="K995" s="21">
        <v>0.0</v>
      </c>
    </row>
    <row r="996">
      <c r="A996" s="15" t="s">
        <v>74</v>
      </c>
      <c r="B996" s="16" t="s">
        <v>75</v>
      </c>
      <c r="C996" s="17" t="s">
        <v>76</v>
      </c>
      <c r="D996" s="18">
        <v>2.0</v>
      </c>
      <c r="E996" s="17" t="s">
        <v>20</v>
      </c>
      <c r="F996" s="15" t="s">
        <v>140</v>
      </c>
      <c r="G996" s="19">
        <v>9.0042077E7</v>
      </c>
      <c r="H996" s="15" t="s">
        <v>141</v>
      </c>
      <c r="I996" s="20" t="s">
        <v>19</v>
      </c>
      <c r="J996" s="21">
        <v>2.79321397E8</v>
      </c>
      <c r="K996" s="21">
        <v>0.0</v>
      </c>
    </row>
    <row r="997">
      <c r="A997" s="15" t="s">
        <v>74</v>
      </c>
      <c r="B997" s="16" t="s">
        <v>75</v>
      </c>
      <c r="C997" s="17" t="s">
        <v>76</v>
      </c>
      <c r="D997" s="18">
        <v>2.0</v>
      </c>
      <c r="E997" s="17" t="s">
        <v>142</v>
      </c>
      <c r="F997" s="15" t="s">
        <v>143</v>
      </c>
      <c r="G997" s="19">
        <v>9.0042013E7</v>
      </c>
      <c r="H997" s="15" t="s">
        <v>144</v>
      </c>
      <c r="I997" s="20" t="s">
        <v>19</v>
      </c>
      <c r="J997" s="21">
        <v>4.8535153E7</v>
      </c>
      <c r="K997" s="21">
        <v>0.0</v>
      </c>
    </row>
    <row r="998">
      <c r="A998" s="15" t="s">
        <v>74</v>
      </c>
      <c r="B998" s="16" t="s">
        <v>75</v>
      </c>
      <c r="C998" s="17" t="s">
        <v>76</v>
      </c>
      <c r="D998" s="18">
        <v>2.0</v>
      </c>
      <c r="E998" s="17" t="s">
        <v>142</v>
      </c>
      <c r="F998" s="15" t="s">
        <v>143</v>
      </c>
      <c r="G998" s="19">
        <v>9.0042084E7</v>
      </c>
      <c r="H998" s="15" t="s">
        <v>145</v>
      </c>
      <c r="I998" s="20" t="s">
        <v>19</v>
      </c>
      <c r="J998" s="21">
        <v>3.9294695E7</v>
      </c>
      <c r="K998" s="21">
        <v>0.0</v>
      </c>
    </row>
    <row r="999">
      <c r="A999" s="15" t="s">
        <v>74</v>
      </c>
      <c r="B999" s="16" t="s">
        <v>75</v>
      </c>
      <c r="C999" s="17" t="s">
        <v>76</v>
      </c>
      <c r="D999" s="18">
        <v>2.0</v>
      </c>
      <c r="E999" s="17" t="s">
        <v>22</v>
      </c>
      <c r="F999" s="15" t="s">
        <v>146</v>
      </c>
      <c r="G999" s="19">
        <v>9.0042012E7</v>
      </c>
      <c r="H999" s="15" t="s">
        <v>23</v>
      </c>
      <c r="I999" s="20" t="s">
        <v>19</v>
      </c>
      <c r="J999" s="21">
        <v>1.64976325E8</v>
      </c>
      <c r="K999" s="21">
        <v>0.0</v>
      </c>
    </row>
    <row r="1000">
      <c r="A1000" s="15" t="s">
        <v>74</v>
      </c>
      <c r="B1000" s="16" t="s">
        <v>75</v>
      </c>
      <c r="C1000" s="17" t="s">
        <v>76</v>
      </c>
      <c r="D1000" s="18">
        <v>2.0</v>
      </c>
      <c r="E1000" s="17" t="s">
        <v>22</v>
      </c>
      <c r="F1000" s="15" t="s">
        <v>146</v>
      </c>
      <c r="G1000" s="19">
        <v>9.0042121E7</v>
      </c>
      <c r="H1000" s="15" t="s">
        <v>24</v>
      </c>
      <c r="I1000" s="20" t="s">
        <v>25</v>
      </c>
      <c r="J1000" s="21">
        <v>1.16077874E8</v>
      </c>
      <c r="K1000" s="21">
        <v>0.0</v>
      </c>
    </row>
    <row r="1001">
      <c r="A1001" s="15" t="s">
        <v>74</v>
      </c>
      <c r="B1001" s="16" t="s">
        <v>75</v>
      </c>
      <c r="C1001" s="17" t="s">
        <v>76</v>
      </c>
      <c r="D1001" s="18">
        <v>2.0</v>
      </c>
      <c r="E1001" s="17" t="s">
        <v>22</v>
      </c>
      <c r="F1001" s="15" t="s">
        <v>146</v>
      </c>
      <c r="G1001" s="19">
        <v>9.0042122E7</v>
      </c>
      <c r="H1001" s="15" t="s">
        <v>56</v>
      </c>
      <c r="I1001" s="20" t="s">
        <v>25</v>
      </c>
      <c r="J1001" s="21">
        <v>2.0073495E7</v>
      </c>
      <c r="K1001" s="21">
        <v>0.0</v>
      </c>
    </row>
    <row r="1002">
      <c r="A1002" s="15" t="s">
        <v>74</v>
      </c>
      <c r="B1002" s="16" t="s">
        <v>75</v>
      </c>
      <c r="C1002" s="17" t="s">
        <v>76</v>
      </c>
      <c r="D1002" s="18">
        <v>2.0</v>
      </c>
      <c r="E1002" s="17" t="s">
        <v>22</v>
      </c>
      <c r="F1002" s="15" t="s">
        <v>146</v>
      </c>
      <c r="G1002" s="19">
        <v>9.0042124E7</v>
      </c>
      <c r="H1002" s="15" t="s">
        <v>57</v>
      </c>
      <c r="I1002" s="20" t="s">
        <v>25</v>
      </c>
      <c r="J1002" s="21">
        <v>1920654.0</v>
      </c>
      <c r="K1002" s="21">
        <v>0.0</v>
      </c>
    </row>
    <row r="1003">
      <c r="A1003" s="15" t="s">
        <v>74</v>
      </c>
      <c r="B1003" s="16" t="s">
        <v>75</v>
      </c>
      <c r="C1003" s="17" t="s">
        <v>76</v>
      </c>
      <c r="D1003" s="18">
        <v>2.0</v>
      </c>
      <c r="E1003" s="17" t="s">
        <v>22</v>
      </c>
      <c r="F1003" s="15" t="s">
        <v>146</v>
      </c>
      <c r="G1003" s="19">
        <v>9.0042125E7</v>
      </c>
      <c r="H1003" s="15" t="s">
        <v>26</v>
      </c>
      <c r="I1003" s="20" t="s">
        <v>25</v>
      </c>
      <c r="J1003" s="21">
        <v>5.635879E7</v>
      </c>
      <c r="K1003" s="21">
        <v>0.0</v>
      </c>
    </row>
    <row r="1004">
      <c r="A1004" s="15" t="s">
        <v>74</v>
      </c>
      <c r="B1004" s="16" t="s">
        <v>75</v>
      </c>
      <c r="C1004" s="17" t="s">
        <v>76</v>
      </c>
      <c r="D1004" s="18">
        <v>2.0</v>
      </c>
      <c r="E1004" s="17" t="s">
        <v>22</v>
      </c>
      <c r="F1004" s="15" t="s">
        <v>146</v>
      </c>
      <c r="G1004" s="19">
        <v>9.0042127E7</v>
      </c>
      <c r="H1004" s="15" t="s">
        <v>27</v>
      </c>
      <c r="I1004" s="20" t="s">
        <v>25</v>
      </c>
      <c r="J1004" s="21">
        <v>6523814.0</v>
      </c>
      <c r="K1004" s="21">
        <v>0.0</v>
      </c>
    </row>
    <row r="1005">
      <c r="A1005" s="15" t="s">
        <v>74</v>
      </c>
      <c r="B1005" s="16" t="s">
        <v>75</v>
      </c>
      <c r="C1005" s="17" t="s">
        <v>76</v>
      </c>
      <c r="D1005" s="18">
        <v>2.0</v>
      </c>
      <c r="E1005" s="17" t="s">
        <v>22</v>
      </c>
      <c r="F1005" s="15" t="s">
        <v>146</v>
      </c>
      <c r="G1005" s="19">
        <v>9.0042128E7</v>
      </c>
      <c r="H1005" s="15" t="s">
        <v>58</v>
      </c>
      <c r="I1005" s="20" t="s">
        <v>25</v>
      </c>
      <c r="J1005" s="21">
        <v>853624.0</v>
      </c>
      <c r="K1005" s="21">
        <v>0.0</v>
      </c>
    </row>
    <row r="1006">
      <c r="A1006" s="15" t="s">
        <v>74</v>
      </c>
      <c r="B1006" s="16" t="s">
        <v>75</v>
      </c>
      <c r="C1006" s="17" t="s">
        <v>76</v>
      </c>
      <c r="D1006" s="18">
        <v>2.0</v>
      </c>
      <c r="E1006" s="17" t="s">
        <v>22</v>
      </c>
      <c r="F1006" s="15" t="s">
        <v>146</v>
      </c>
      <c r="G1006" s="19">
        <v>9.0042132E7</v>
      </c>
      <c r="H1006" s="15" t="s">
        <v>28</v>
      </c>
      <c r="I1006" s="20" t="s">
        <v>25</v>
      </c>
      <c r="J1006" s="21">
        <v>1.4649796E7</v>
      </c>
      <c r="K1006" s="21">
        <v>0.0</v>
      </c>
    </row>
    <row r="1007">
      <c r="A1007" s="15" t="s">
        <v>74</v>
      </c>
      <c r="B1007" s="16" t="s">
        <v>75</v>
      </c>
      <c r="C1007" s="17" t="s">
        <v>76</v>
      </c>
      <c r="D1007" s="18">
        <v>2.0</v>
      </c>
      <c r="E1007" s="17" t="s">
        <v>22</v>
      </c>
      <c r="F1007" s="15" t="s">
        <v>146</v>
      </c>
      <c r="G1007" s="19">
        <v>9.0042135E7</v>
      </c>
      <c r="H1007" s="15" t="s">
        <v>30</v>
      </c>
      <c r="I1007" s="20" t="s">
        <v>25</v>
      </c>
      <c r="J1007" s="21">
        <v>1.76414464E8</v>
      </c>
      <c r="K1007" s="21">
        <v>0.0</v>
      </c>
    </row>
    <row r="1008">
      <c r="A1008" s="15" t="s">
        <v>74</v>
      </c>
      <c r="B1008" s="16" t="s">
        <v>75</v>
      </c>
      <c r="C1008" s="17" t="s">
        <v>76</v>
      </c>
      <c r="D1008" s="18">
        <v>2.0</v>
      </c>
      <c r="E1008" s="17" t="s">
        <v>22</v>
      </c>
      <c r="F1008" s="15" t="s">
        <v>146</v>
      </c>
      <c r="G1008" s="19">
        <v>9.00422E7</v>
      </c>
      <c r="H1008" s="15" t="s">
        <v>73</v>
      </c>
      <c r="I1008" s="20" t="s">
        <v>60</v>
      </c>
      <c r="J1008" s="21">
        <v>4.87418439E8</v>
      </c>
      <c r="K1008" s="21">
        <v>0.0</v>
      </c>
    </row>
    <row r="1009">
      <c r="A1009" s="15" t="s">
        <v>74</v>
      </c>
      <c r="B1009" s="16" t="s">
        <v>75</v>
      </c>
      <c r="C1009" s="17" t="s">
        <v>76</v>
      </c>
      <c r="D1009" s="18">
        <v>2.0</v>
      </c>
      <c r="E1009" s="17" t="s">
        <v>22</v>
      </c>
      <c r="F1009" s="15" t="s">
        <v>146</v>
      </c>
      <c r="G1009" s="19">
        <v>9.0042223E7</v>
      </c>
      <c r="H1009" s="15" t="s">
        <v>61</v>
      </c>
      <c r="I1009" s="20" t="s">
        <v>60</v>
      </c>
      <c r="J1009" s="21">
        <v>4817570.0</v>
      </c>
      <c r="K1009" s="21">
        <v>0.0</v>
      </c>
    </row>
    <row r="1010">
      <c r="A1010" s="15" t="s">
        <v>74</v>
      </c>
      <c r="B1010" s="16" t="s">
        <v>75</v>
      </c>
      <c r="C1010" s="17" t="s">
        <v>76</v>
      </c>
      <c r="D1010" s="18">
        <v>2.0</v>
      </c>
      <c r="E1010" s="17" t="s">
        <v>22</v>
      </c>
      <c r="F1010" s="15" t="s">
        <v>146</v>
      </c>
      <c r="G1010" s="19">
        <v>9.0042224E7</v>
      </c>
      <c r="H1010" s="15" t="s">
        <v>62</v>
      </c>
      <c r="I1010" s="20" t="s">
        <v>60</v>
      </c>
      <c r="J1010" s="21">
        <v>8789290.0</v>
      </c>
      <c r="K1010" s="21">
        <v>0.0</v>
      </c>
    </row>
    <row r="1011">
      <c r="A1011" s="15" t="s">
        <v>74</v>
      </c>
      <c r="B1011" s="16" t="s">
        <v>75</v>
      </c>
      <c r="C1011" s="17" t="s">
        <v>76</v>
      </c>
      <c r="D1011" s="18">
        <v>2.0</v>
      </c>
      <c r="E1011" s="17" t="s">
        <v>22</v>
      </c>
      <c r="F1011" s="15" t="s">
        <v>146</v>
      </c>
      <c r="G1011" s="19">
        <v>9.0042225E7</v>
      </c>
      <c r="H1011" s="15" t="s">
        <v>147</v>
      </c>
      <c r="I1011" s="20" t="s">
        <v>60</v>
      </c>
      <c r="J1011" s="21">
        <v>4523284.0</v>
      </c>
      <c r="K1011" s="21">
        <v>0.0</v>
      </c>
    </row>
    <row r="1012">
      <c r="A1012" s="15" t="s">
        <v>74</v>
      </c>
      <c r="B1012" s="16" t="s">
        <v>75</v>
      </c>
      <c r="C1012" s="17" t="s">
        <v>76</v>
      </c>
      <c r="D1012" s="18">
        <v>2.0</v>
      </c>
      <c r="E1012" s="17" t="s">
        <v>22</v>
      </c>
      <c r="F1012" s="15" t="s">
        <v>146</v>
      </c>
      <c r="G1012" s="19">
        <v>9.0042226E7</v>
      </c>
      <c r="H1012" s="15" t="s">
        <v>63</v>
      </c>
      <c r="I1012" s="20" t="s">
        <v>60</v>
      </c>
      <c r="J1012" s="21">
        <v>4500281.0</v>
      </c>
      <c r="K1012" s="21">
        <v>0.0</v>
      </c>
    </row>
    <row r="1013">
      <c r="A1013" s="15" t="s">
        <v>74</v>
      </c>
      <c r="B1013" s="16" t="s">
        <v>75</v>
      </c>
      <c r="C1013" s="17" t="s">
        <v>76</v>
      </c>
      <c r="D1013" s="18">
        <v>2.0</v>
      </c>
      <c r="E1013" s="17" t="s">
        <v>22</v>
      </c>
      <c r="F1013" s="15" t="s">
        <v>146</v>
      </c>
      <c r="G1013" s="19">
        <v>9.0042228E7</v>
      </c>
      <c r="H1013" s="15" t="s">
        <v>64</v>
      </c>
      <c r="I1013" s="20" t="s">
        <v>60</v>
      </c>
      <c r="J1013" s="21">
        <v>5.7759455E7</v>
      </c>
      <c r="K1013" s="21">
        <v>0.0</v>
      </c>
    </row>
    <row r="1014">
      <c r="A1014" s="15" t="s">
        <v>74</v>
      </c>
      <c r="B1014" s="16" t="s">
        <v>75</v>
      </c>
      <c r="C1014" s="17" t="s">
        <v>76</v>
      </c>
      <c r="D1014" s="18">
        <v>2.0</v>
      </c>
      <c r="E1014" s="17" t="s">
        <v>22</v>
      </c>
      <c r="F1014" s="15" t="s">
        <v>146</v>
      </c>
      <c r="G1014" s="19">
        <v>9.0042231E7</v>
      </c>
      <c r="H1014" s="15" t="s">
        <v>65</v>
      </c>
      <c r="I1014" s="20" t="s">
        <v>60</v>
      </c>
      <c r="J1014" s="21">
        <v>5347830.0</v>
      </c>
      <c r="K1014" s="21">
        <v>0.0</v>
      </c>
    </row>
    <row r="1015">
      <c r="A1015" s="15" t="s">
        <v>74</v>
      </c>
      <c r="B1015" s="16" t="s">
        <v>75</v>
      </c>
      <c r="C1015" s="17" t="s">
        <v>76</v>
      </c>
      <c r="D1015" s="18">
        <v>2.0</v>
      </c>
      <c r="E1015" s="17" t="s">
        <v>22</v>
      </c>
      <c r="F1015" s="15" t="s">
        <v>146</v>
      </c>
      <c r="G1015" s="19">
        <v>9.0042126E7</v>
      </c>
      <c r="H1015" s="15" t="s">
        <v>31</v>
      </c>
      <c r="I1015" s="20" t="s">
        <v>25</v>
      </c>
      <c r="J1015" s="21">
        <v>2.9727405E7</v>
      </c>
      <c r="K1015" s="21">
        <v>0.0</v>
      </c>
    </row>
    <row r="1016">
      <c r="A1016" s="15" t="s">
        <v>74</v>
      </c>
      <c r="B1016" s="16" t="s">
        <v>75</v>
      </c>
      <c r="C1016" s="17" t="s">
        <v>76</v>
      </c>
      <c r="D1016" s="18">
        <v>2.0</v>
      </c>
      <c r="E1016" s="17" t="s">
        <v>22</v>
      </c>
      <c r="F1016" s="15" t="s">
        <v>146</v>
      </c>
      <c r="G1016" s="19">
        <v>9.004212E7</v>
      </c>
      <c r="H1016" s="15" t="s">
        <v>182</v>
      </c>
      <c r="I1016" s="20" t="s">
        <v>25</v>
      </c>
      <c r="J1016" s="21">
        <v>1.64600871E8</v>
      </c>
      <c r="K1016" s="21">
        <v>0.0</v>
      </c>
    </row>
    <row r="1017">
      <c r="A1017" s="15" t="s">
        <v>74</v>
      </c>
      <c r="B1017" s="16" t="s">
        <v>75</v>
      </c>
      <c r="C1017" s="17" t="s">
        <v>76</v>
      </c>
      <c r="D1017" s="18">
        <v>2.0</v>
      </c>
      <c r="E1017" s="17" t="s">
        <v>257</v>
      </c>
      <c r="F1017" s="15" t="s">
        <v>258</v>
      </c>
      <c r="G1017" s="19">
        <v>5.1101999E7</v>
      </c>
      <c r="H1017" s="15" t="s">
        <v>107</v>
      </c>
      <c r="I1017" s="20" t="s">
        <v>25</v>
      </c>
      <c r="J1017" s="21">
        <v>699600.0</v>
      </c>
      <c r="K1017" s="21">
        <v>0.0</v>
      </c>
    </row>
    <row r="1018">
      <c r="A1018" s="15" t="s">
        <v>74</v>
      </c>
      <c r="B1018" s="16" t="s">
        <v>75</v>
      </c>
      <c r="C1018" s="17" t="s">
        <v>76</v>
      </c>
      <c r="D1018" s="18">
        <v>2.0</v>
      </c>
      <c r="E1018" s="17" t="s">
        <v>257</v>
      </c>
      <c r="F1018" s="15" t="s">
        <v>258</v>
      </c>
      <c r="G1018" s="19">
        <v>5.1100774E7</v>
      </c>
      <c r="H1018" s="15" t="s">
        <v>39</v>
      </c>
      <c r="I1018" s="20" t="s">
        <v>17</v>
      </c>
      <c r="J1018" s="21">
        <v>2040000.0</v>
      </c>
      <c r="K1018" s="21">
        <v>0.24</v>
      </c>
    </row>
    <row r="1019">
      <c r="A1019" s="15" t="s">
        <v>74</v>
      </c>
      <c r="B1019" s="16" t="s">
        <v>148</v>
      </c>
      <c r="C1019" s="17" t="s">
        <v>149</v>
      </c>
      <c r="D1019" s="18">
        <v>2.0</v>
      </c>
      <c r="E1019" s="24">
        <v>46038.0</v>
      </c>
      <c r="F1019" s="15" t="s">
        <v>150</v>
      </c>
      <c r="G1019" s="19">
        <v>9.0043001E7</v>
      </c>
      <c r="H1019" s="15" t="s">
        <v>18</v>
      </c>
      <c r="I1019" s="20" t="s">
        <v>19</v>
      </c>
      <c r="J1019" s="21">
        <v>1.0178832E7</v>
      </c>
      <c r="K1019" s="21">
        <v>76.0</v>
      </c>
    </row>
    <row r="1020">
      <c r="A1020" s="15" t="s">
        <v>74</v>
      </c>
      <c r="B1020" s="16" t="s">
        <v>148</v>
      </c>
      <c r="C1020" s="17" t="s">
        <v>149</v>
      </c>
      <c r="D1020" s="18">
        <v>2.0</v>
      </c>
      <c r="E1020" s="24">
        <v>46158.0</v>
      </c>
      <c r="F1020" s="15" t="s">
        <v>151</v>
      </c>
      <c r="G1020" s="19">
        <v>9.0043001E7</v>
      </c>
      <c r="H1020" s="15" t="s">
        <v>18</v>
      </c>
      <c r="I1020" s="20" t="s">
        <v>19</v>
      </c>
      <c r="J1020" s="21">
        <v>2544708.0</v>
      </c>
      <c r="K1020" s="21">
        <v>19.0</v>
      </c>
    </row>
    <row r="1021">
      <c r="A1021" s="15" t="s">
        <v>74</v>
      </c>
      <c r="B1021" s="16" t="s">
        <v>148</v>
      </c>
      <c r="C1021" s="17" t="s">
        <v>149</v>
      </c>
      <c r="D1021" s="18">
        <v>2.0</v>
      </c>
      <c r="E1021" s="17" t="s">
        <v>77</v>
      </c>
      <c r="F1021" s="15" t="s">
        <v>78</v>
      </c>
      <c r="G1021" s="19">
        <v>5.1101999E7</v>
      </c>
      <c r="H1021" s="15" t="s">
        <v>107</v>
      </c>
      <c r="I1021" s="20" t="s">
        <v>25</v>
      </c>
      <c r="J1021" s="21">
        <v>5635000.0</v>
      </c>
      <c r="K1021" s="21">
        <v>0.0</v>
      </c>
    </row>
    <row r="1022">
      <c r="A1022" s="15" t="s">
        <v>74</v>
      </c>
      <c r="B1022" s="16" t="s">
        <v>148</v>
      </c>
      <c r="C1022" s="17" t="s">
        <v>149</v>
      </c>
      <c r="D1022" s="18">
        <v>2.0</v>
      </c>
      <c r="E1022" s="17" t="s">
        <v>77</v>
      </c>
      <c r="F1022" s="15" t="s">
        <v>78</v>
      </c>
      <c r="G1022" s="19">
        <v>9.0043001E7</v>
      </c>
      <c r="H1022" s="15" t="s">
        <v>18</v>
      </c>
      <c r="I1022" s="20" t="s">
        <v>19</v>
      </c>
      <c r="J1022" s="21">
        <v>1752023.0</v>
      </c>
      <c r="K1022" s="21">
        <v>13.0</v>
      </c>
    </row>
    <row r="1023">
      <c r="A1023" s="15" t="s">
        <v>74</v>
      </c>
      <c r="B1023" s="16" t="s">
        <v>148</v>
      </c>
      <c r="C1023" s="17" t="s">
        <v>149</v>
      </c>
      <c r="D1023" s="18">
        <v>2.0</v>
      </c>
      <c r="E1023" s="17" t="s">
        <v>222</v>
      </c>
      <c r="F1023" s="15" t="s">
        <v>223</v>
      </c>
      <c r="G1023" s="19">
        <v>5.1100153E7</v>
      </c>
      <c r="H1023" s="15" t="s">
        <v>72</v>
      </c>
      <c r="I1023" s="20" t="s">
        <v>17</v>
      </c>
      <c r="J1023" s="21">
        <v>2277660.0</v>
      </c>
      <c r="K1023" s="21">
        <v>14790.0</v>
      </c>
    </row>
    <row r="1024">
      <c r="A1024" s="15" t="s">
        <v>74</v>
      </c>
      <c r="B1024" s="16" t="s">
        <v>148</v>
      </c>
      <c r="C1024" s="17" t="s">
        <v>149</v>
      </c>
      <c r="D1024" s="18">
        <v>2.0</v>
      </c>
      <c r="E1024" s="17" t="s">
        <v>84</v>
      </c>
      <c r="F1024" s="15" t="s">
        <v>85</v>
      </c>
      <c r="G1024" s="19">
        <v>9.0043001E7</v>
      </c>
      <c r="H1024" s="15" t="s">
        <v>18</v>
      </c>
      <c r="I1024" s="20" t="s">
        <v>19</v>
      </c>
      <c r="J1024" s="21">
        <v>6.2264686E7</v>
      </c>
      <c r="K1024" s="21">
        <v>448.0</v>
      </c>
    </row>
    <row r="1025">
      <c r="A1025" s="15" t="s">
        <v>74</v>
      </c>
      <c r="B1025" s="16" t="s">
        <v>148</v>
      </c>
      <c r="C1025" s="17" t="s">
        <v>149</v>
      </c>
      <c r="D1025" s="18">
        <v>2.0</v>
      </c>
      <c r="E1025" s="17" t="s">
        <v>86</v>
      </c>
      <c r="F1025" s="15" t="s">
        <v>87</v>
      </c>
      <c r="G1025" s="19">
        <v>9.0043001E7</v>
      </c>
      <c r="H1025" s="15" t="s">
        <v>18</v>
      </c>
      <c r="I1025" s="20" t="s">
        <v>19</v>
      </c>
      <c r="J1025" s="21">
        <v>5.5918947E7</v>
      </c>
      <c r="K1025" s="21">
        <v>406.0</v>
      </c>
    </row>
    <row r="1026">
      <c r="A1026" s="15" t="s">
        <v>74</v>
      </c>
      <c r="B1026" s="16" t="s">
        <v>148</v>
      </c>
      <c r="C1026" s="17" t="s">
        <v>149</v>
      </c>
      <c r="D1026" s="18">
        <v>2.0</v>
      </c>
      <c r="E1026" s="17" t="s">
        <v>86</v>
      </c>
      <c r="F1026" s="15" t="s">
        <v>87</v>
      </c>
      <c r="G1026" s="19">
        <v>9.0043E7</v>
      </c>
      <c r="H1026" s="15" t="s">
        <v>83</v>
      </c>
      <c r="I1026" s="20" t="s">
        <v>19</v>
      </c>
      <c r="J1026" s="21">
        <v>2665260.0</v>
      </c>
      <c r="K1026" s="21">
        <v>20.0</v>
      </c>
    </row>
    <row r="1027">
      <c r="A1027" s="15" t="s">
        <v>74</v>
      </c>
      <c r="B1027" s="16" t="s">
        <v>148</v>
      </c>
      <c r="C1027" s="17" t="s">
        <v>149</v>
      </c>
      <c r="D1027" s="18">
        <v>2.0</v>
      </c>
      <c r="E1027" s="17" t="s">
        <v>152</v>
      </c>
      <c r="F1027" s="15" t="s">
        <v>153</v>
      </c>
      <c r="G1027" s="19">
        <v>9.0043003E7</v>
      </c>
      <c r="H1027" s="15" t="s">
        <v>90</v>
      </c>
      <c r="I1027" s="20" t="s">
        <v>50</v>
      </c>
      <c r="J1027" s="21">
        <v>1.8591844E7</v>
      </c>
      <c r="K1027" s="21">
        <v>45.4</v>
      </c>
    </row>
    <row r="1028">
      <c r="A1028" s="15" t="s">
        <v>74</v>
      </c>
      <c r="B1028" s="16" t="s">
        <v>148</v>
      </c>
      <c r="C1028" s="17" t="s">
        <v>149</v>
      </c>
      <c r="D1028" s="18">
        <v>2.0</v>
      </c>
      <c r="E1028" s="17" t="s">
        <v>154</v>
      </c>
      <c r="F1028" s="15" t="s">
        <v>155</v>
      </c>
      <c r="G1028" s="19">
        <v>5.1100651E7</v>
      </c>
      <c r="H1028" s="15" t="s">
        <v>38</v>
      </c>
      <c r="I1028" s="20" t="s">
        <v>25</v>
      </c>
      <c r="J1028" s="21">
        <v>2781863.0</v>
      </c>
      <c r="K1028" s="21">
        <v>0.0</v>
      </c>
    </row>
    <row r="1029">
      <c r="A1029" s="15" t="s">
        <v>74</v>
      </c>
      <c r="B1029" s="16" t="s">
        <v>148</v>
      </c>
      <c r="C1029" s="17" t="s">
        <v>149</v>
      </c>
      <c r="D1029" s="18">
        <v>2.0</v>
      </c>
      <c r="E1029" s="17" t="s">
        <v>154</v>
      </c>
      <c r="F1029" s="15" t="s">
        <v>155</v>
      </c>
      <c r="G1029" s="19">
        <v>9.0043002E7</v>
      </c>
      <c r="H1029" s="15" t="s">
        <v>49</v>
      </c>
      <c r="I1029" s="20" t="s">
        <v>50</v>
      </c>
      <c r="J1029" s="21">
        <v>2.1199748E7</v>
      </c>
      <c r="K1029" s="21">
        <v>710.0</v>
      </c>
    </row>
    <row r="1030">
      <c r="A1030" s="15" t="s">
        <v>74</v>
      </c>
      <c r="B1030" s="16" t="s">
        <v>148</v>
      </c>
      <c r="C1030" s="17" t="s">
        <v>149</v>
      </c>
      <c r="D1030" s="18">
        <v>2.0</v>
      </c>
      <c r="E1030" s="17" t="s">
        <v>91</v>
      </c>
      <c r="F1030" s="15" t="s">
        <v>92</v>
      </c>
      <c r="G1030" s="19">
        <v>9.0043001E7</v>
      </c>
      <c r="H1030" s="15" t="s">
        <v>18</v>
      </c>
      <c r="I1030" s="20" t="s">
        <v>19</v>
      </c>
      <c r="J1030" s="21">
        <v>1.8064119E7</v>
      </c>
      <c r="K1030" s="21">
        <v>138.0</v>
      </c>
    </row>
    <row r="1031">
      <c r="A1031" s="15" t="s">
        <v>74</v>
      </c>
      <c r="B1031" s="16" t="s">
        <v>148</v>
      </c>
      <c r="C1031" s="17" t="s">
        <v>149</v>
      </c>
      <c r="D1031" s="18">
        <v>2.0</v>
      </c>
      <c r="E1031" s="17" t="s">
        <v>156</v>
      </c>
      <c r="F1031" s="15" t="s">
        <v>157</v>
      </c>
      <c r="G1031" s="19">
        <v>9.0043001E7</v>
      </c>
      <c r="H1031" s="15" t="s">
        <v>18</v>
      </c>
      <c r="I1031" s="20" t="s">
        <v>19</v>
      </c>
      <c r="J1031" s="21">
        <v>2110400.0</v>
      </c>
      <c r="K1031" s="21">
        <v>16.0</v>
      </c>
    </row>
    <row r="1032">
      <c r="A1032" s="15" t="s">
        <v>74</v>
      </c>
      <c r="B1032" s="16" t="s">
        <v>148</v>
      </c>
      <c r="C1032" s="17" t="s">
        <v>149</v>
      </c>
      <c r="D1032" s="18">
        <v>2.0</v>
      </c>
      <c r="E1032" s="17" t="s">
        <v>95</v>
      </c>
      <c r="F1032" s="15" t="s">
        <v>96</v>
      </c>
      <c r="G1032" s="19">
        <v>5.1100058E7</v>
      </c>
      <c r="H1032" s="15" t="s">
        <v>36</v>
      </c>
      <c r="I1032" s="20" t="s">
        <v>37</v>
      </c>
      <c r="J1032" s="21">
        <v>8867370.0</v>
      </c>
      <c r="K1032" s="21">
        <v>107.94</v>
      </c>
    </row>
    <row r="1033">
      <c r="A1033" s="15" t="s">
        <v>74</v>
      </c>
      <c r="B1033" s="16" t="s">
        <v>148</v>
      </c>
      <c r="C1033" s="17" t="s">
        <v>149</v>
      </c>
      <c r="D1033" s="18">
        <v>2.0</v>
      </c>
      <c r="E1033" s="17" t="s">
        <v>95</v>
      </c>
      <c r="F1033" s="15" t="s">
        <v>96</v>
      </c>
      <c r="G1033" s="19">
        <v>9.0043001E7</v>
      </c>
      <c r="H1033" s="15" t="s">
        <v>18</v>
      </c>
      <c r="I1033" s="20" t="s">
        <v>19</v>
      </c>
      <c r="J1033" s="21">
        <v>1199844.0</v>
      </c>
      <c r="K1033" s="21">
        <v>9.0</v>
      </c>
    </row>
    <row r="1034">
      <c r="A1034" s="15" t="s">
        <v>74</v>
      </c>
      <c r="B1034" s="16" t="s">
        <v>148</v>
      </c>
      <c r="C1034" s="17" t="s">
        <v>149</v>
      </c>
      <c r="D1034" s="18">
        <v>2.0</v>
      </c>
      <c r="E1034" s="17" t="s">
        <v>99</v>
      </c>
      <c r="F1034" s="15" t="s">
        <v>100</v>
      </c>
      <c r="G1034" s="19">
        <v>9.0043001E7</v>
      </c>
      <c r="H1034" s="15" t="s">
        <v>18</v>
      </c>
      <c r="I1034" s="20" t="s">
        <v>19</v>
      </c>
      <c r="J1034" s="21">
        <v>1.2131756E7</v>
      </c>
      <c r="K1034" s="21">
        <v>91.0</v>
      </c>
    </row>
    <row r="1035">
      <c r="A1035" s="15" t="s">
        <v>74</v>
      </c>
      <c r="B1035" s="16" t="s">
        <v>148</v>
      </c>
      <c r="C1035" s="17" t="s">
        <v>149</v>
      </c>
      <c r="D1035" s="18">
        <v>2.0</v>
      </c>
      <c r="E1035" s="17" t="s">
        <v>101</v>
      </c>
      <c r="F1035" s="15" t="s">
        <v>102</v>
      </c>
      <c r="G1035" s="19">
        <v>9.0043001E7</v>
      </c>
      <c r="H1035" s="15" t="s">
        <v>18</v>
      </c>
      <c r="I1035" s="20" t="s">
        <v>19</v>
      </c>
      <c r="J1035" s="21">
        <v>1.01070712E8</v>
      </c>
      <c r="K1035" s="21">
        <v>736.0</v>
      </c>
    </row>
    <row r="1036">
      <c r="A1036" s="15" t="s">
        <v>74</v>
      </c>
      <c r="B1036" s="16" t="s">
        <v>148</v>
      </c>
      <c r="C1036" s="17" t="s">
        <v>149</v>
      </c>
      <c r="D1036" s="18">
        <v>2.0</v>
      </c>
      <c r="E1036" s="17" t="s">
        <v>103</v>
      </c>
      <c r="F1036" s="15" t="s">
        <v>104</v>
      </c>
      <c r="G1036" s="19">
        <v>5.1100058E7</v>
      </c>
      <c r="H1036" s="15" t="s">
        <v>36</v>
      </c>
      <c r="I1036" s="20" t="s">
        <v>37</v>
      </c>
      <c r="J1036" s="21">
        <v>5644164.0</v>
      </c>
      <c r="K1036" s="21">
        <v>67.65</v>
      </c>
    </row>
    <row r="1037">
      <c r="A1037" s="15" t="s">
        <v>74</v>
      </c>
      <c r="B1037" s="16" t="s">
        <v>148</v>
      </c>
      <c r="C1037" s="17" t="s">
        <v>149</v>
      </c>
      <c r="D1037" s="18">
        <v>2.0</v>
      </c>
      <c r="E1037" s="17" t="s">
        <v>103</v>
      </c>
      <c r="F1037" s="15" t="s">
        <v>104</v>
      </c>
      <c r="G1037" s="19">
        <v>9.0043001E7</v>
      </c>
      <c r="H1037" s="15" t="s">
        <v>18</v>
      </c>
      <c r="I1037" s="20" t="s">
        <v>19</v>
      </c>
      <c r="J1037" s="21">
        <v>3.7007737E7</v>
      </c>
      <c r="K1037" s="21">
        <v>282.0</v>
      </c>
    </row>
    <row r="1038">
      <c r="A1038" s="15" t="s">
        <v>74</v>
      </c>
      <c r="B1038" s="16" t="s">
        <v>148</v>
      </c>
      <c r="C1038" s="17" t="s">
        <v>149</v>
      </c>
      <c r="D1038" s="18">
        <v>2.0</v>
      </c>
      <c r="E1038" s="17" t="s">
        <v>175</v>
      </c>
      <c r="F1038" s="15" t="s">
        <v>176</v>
      </c>
      <c r="G1038" s="19">
        <v>5.1100651E7</v>
      </c>
      <c r="H1038" s="15" t="s">
        <v>38</v>
      </c>
      <c r="I1038" s="20" t="s">
        <v>25</v>
      </c>
      <c r="J1038" s="21">
        <v>0.0</v>
      </c>
      <c r="K1038" s="21">
        <v>0.0</v>
      </c>
    </row>
    <row r="1039">
      <c r="A1039" s="15" t="s">
        <v>74</v>
      </c>
      <c r="B1039" s="16" t="s">
        <v>148</v>
      </c>
      <c r="C1039" s="17" t="s">
        <v>149</v>
      </c>
      <c r="D1039" s="18">
        <v>2.0</v>
      </c>
      <c r="E1039" s="17" t="s">
        <v>175</v>
      </c>
      <c r="F1039" s="15" t="s">
        <v>176</v>
      </c>
      <c r="G1039" s="19">
        <v>5.1100774E7</v>
      </c>
      <c r="H1039" s="15" t="s">
        <v>39</v>
      </c>
      <c r="I1039" s="20" t="s">
        <v>17</v>
      </c>
      <c r="J1039" s="21">
        <v>1156545.0</v>
      </c>
      <c r="K1039" s="21">
        <v>12850.5</v>
      </c>
    </row>
    <row r="1040">
      <c r="A1040" s="15" t="s">
        <v>74</v>
      </c>
      <c r="B1040" s="16" t="s">
        <v>148</v>
      </c>
      <c r="C1040" s="17" t="s">
        <v>149</v>
      </c>
      <c r="D1040" s="18">
        <v>2.0</v>
      </c>
      <c r="E1040" s="17" t="s">
        <v>117</v>
      </c>
      <c r="F1040" s="15" t="s">
        <v>118</v>
      </c>
      <c r="G1040" s="19">
        <v>5.1100058E7</v>
      </c>
      <c r="H1040" s="15" t="s">
        <v>36</v>
      </c>
      <c r="I1040" s="20" t="s">
        <v>37</v>
      </c>
      <c r="J1040" s="21">
        <v>4.2022869E7</v>
      </c>
      <c r="K1040" s="21">
        <v>30521.75</v>
      </c>
    </row>
    <row r="1041">
      <c r="A1041" s="15" t="s">
        <v>74</v>
      </c>
      <c r="B1041" s="16" t="s">
        <v>148</v>
      </c>
      <c r="C1041" s="17" t="s">
        <v>149</v>
      </c>
      <c r="D1041" s="18">
        <v>2.0</v>
      </c>
      <c r="E1041" s="17" t="s">
        <v>117</v>
      </c>
      <c r="F1041" s="15" t="s">
        <v>118</v>
      </c>
      <c r="G1041" s="19">
        <v>5.1100651E7</v>
      </c>
      <c r="H1041" s="15" t="s">
        <v>38</v>
      </c>
      <c r="I1041" s="20" t="s">
        <v>25</v>
      </c>
      <c r="J1041" s="21">
        <v>0.0</v>
      </c>
      <c r="K1041" s="21">
        <v>0.0</v>
      </c>
    </row>
    <row r="1042">
      <c r="A1042" s="15" t="s">
        <v>74</v>
      </c>
      <c r="B1042" s="16" t="s">
        <v>148</v>
      </c>
      <c r="C1042" s="17" t="s">
        <v>149</v>
      </c>
      <c r="D1042" s="18">
        <v>2.0</v>
      </c>
      <c r="E1042" s="17" t="s">
        <v>117</v>
      </c>
      <c r="F1042" s="15" t="s">
        <v>118</v>
      </c>
      <c r="G1042" s="19">
        <v>9.0043001E7</v>
      </c>
      <c r="H1042" s="15" t="s">
        <v>18</v>
      </c>
      <c r="I1042" s="20" t="s">
        <v>19</v>
      </c>
      <c r="J1042" s="21">
        <v>8547760.0</v>
      </c>
      <c r="K1042" s="21">
        <v>66.0</v>
      </c>
    </row>
    <row r="1043">
      <c r="A1043" s="15" t="s">
        <v>74</v>
      </c>
      <c r="B1043" s="16" t="s">
        <v>148</v>
      </c>
      <c r="C1043" s="17" t="s">
        <v>149</v>
      </c>
      <c r="D1043" s="18">
        <v>2.0</v>
      </c>
      <c r="E1043" s="17" t="s">
        <v>117</v>
      </c>
      <c r="F1043" s="15" t="s">
        <v>118</v>
      </c>
      <c r="G1043" s="19">
        <v>5.1100774E7</v>
      </c>
      <c r="H1043" s="15" t="s">
        <v>39</v>
      </c>
      <c r="I1043" s="20" t="s">
        <v>17</v>
      </c>
      <c r="J1043" s="21">
        <v>952935.0</v>
      </c>
      <c r="K1043" s="21">
        <v>17.17</v>
      </c>
    </row>
    <row r="1044">
      <c r="A1044" s="15" t="s">
        <v>74</v>
      </c>
      <c r="B1044" s="16" t="s">
        <v>148</v>
      </c>
      <c r="C1044" s="17" t="s">
        <v>149</v>
      </c>
      <c r="D1044" s="18">
        <v>2.0</v>
      </c>
      <c r="E1044" s="17" t="s">
        <v>263</v>
      </c>
      <c r="F1044" s="15" t="s">
        <v>264</v>
      </c>
      <c r="G1044" s="19">
        <v>9.0043001E7</v>
      </c>
      <c r="H1044" s="15" t="s">
        <v>18</v>
      </c>
      <c r="I1044" s="20" t="s">
        <v>19</v>
      </c>
      <c r="J1044" s="21">
        <v>263800.0</v>
      </c>
      <c r="K1044" s="21">
        <v>2.0</v>
      </c>
    </row>
    <row r="1045">
      <c r="A1045" s="15" t="s">
        <v>74</v>
      </c>
      <c r="B1045" s="16" t="s">
        <v>148</v>
      </c>
      <c r="C1045" s="17" t="s">
        <v>149</v>
      </c>
      <c r="D1045" s="18">
        <v>2.0</v>
      </c>
      <c r="E1045" s="17" t="s">
        <v>123</v>
      </c>
      <c r="F1045" s="15" t="s">
        <v>124</v>
      </c>
      <c r="G1045" s="19">
        <v>9.0043001E7</v>
      </c>
      <c r="H1045" s="15" t="s">
        <v>18</v>
      </c>
      <c r="I1045" s="20" t="s">
        <v>19</v>
      </c>
      <c r="J1045" s="21">
        <v>2276844.0</v>
      </c>
      <c r="K1045" s="21">
        <v>17.0</v>
      </c>
    </row>
    <row r="1046">
      <c r="A1046" s="15" t="s">
        <v>74</v>
      </c>
      <c r="B1046" s="16" t="s">
        <v>148</v>
      </c>
      <c r="C1046" s="17" t="s">
        <v>149</v>
      </c>
      <c r="D1046" s="18">
        <v>2.0</v>
      </c>
      <c r="E1046" s="17" t="s">
        <v>123</v>
      </c>
      <c r="F1046" s="15" t="s">
        <v>124</v>
      </c>
      <c r="G1046" s="19">
        <v>9.0043E7</v>
      </c>
      <c r="H1046" s="15" t="s">
        <v>83</v>
      </c>
      <c r="I1046" s="20" t="s">
        <v>19</v>
      </c>
      <c r="J1046" s="21">
        <v>136923.0</v>
      </c>
      <c r="K1046" s="21">
        <v>1.0</v>
      </c>
    </row>
    <row r="1047">
      <c r="A1047" s="15" t="s">
        <v>74</v>
      </c>
      <c r="B1047" s="16" t="s">
        <v>148</v>
      </c>
      <c r="C1047" s="17" t="s">
        <v>149</v>
      </c>
      <c r="D1047" s="18">
        <v>2.0</v>
      </c>
      <c r="E1047" s="17" t="s">
        <v>160</v>
      </c>
      <c r="F1047" s="15" t="s">
        <v>161</v>
      </c>
      <c r="G1047" s="19">
        <v>9.0043001E7</v>
      </c>
      <c r="H1047" s="15" t="s">
        <v>18</v>
      </c>
      <c r="I1047" s="20" t="s">
        <v>19</v>
      </c>
      <c r="J1047" s="21">
        <v>1071456.0</v>
      </c>
      <c r="K1047" s="21">
        <v>8.0</v>
      </c>
    </row>
    <row r="1048">
      <c r="A1048" s="15" t="s">
        <v>74</v>
      </c>
      <c r="B1048" s="16" t="s">
        <v>148</v>
      </c>
      <c r="C1048" s="17" t="s">
        <v>149</v>
      </c>
      <c r="D1048" s="18">
        <v>2.0</v>
      </c>
      <c r="E1048" s="17" t="s">
        <v>125</v>
      </c>
      <c r="F1048" s="15" t="s">
        <v>126</v>
      </c>
      <c r="G1048" s="19">
        <v>9.0043001E7</v>
      </c>
      <c r="H1048" s="15" t="s">
        <v>18</v>
      </c>
      <c r="I1048" s="20" t="s">
        <v>19</v>
      </c>
      <c r="J1048" s="21">
        <v>2.48210045E8</v>
      </c>
      <c r="K1048" s="21">
        <v>1858.0</v>
      </c>
    </row>
    <row r="1049">
      <c r="A1049" s="15" t="s">
        <v>74</v>
      </c>
      <c r="B1049" s="16" t="s">
        <v>148</v>
      </c>
      <c r="C1049" s="17" t="s">
        <v>149</v>
      </c>
      <c r="D1049" s="18">
        <v>2.0</v>
      </c>
      <c r="E1049" s="17" t="s">
        <v>127</v>
      </c>
      <c r="F1049" s="15" t="s">
        <v>128</v>
      </c>
      <c r="G1049" s="19">
        <v>5.1100153E7</v>
      </c>
      <c r="H1049" s="15" t="s">
        <v>72</v>
      </c>
      <c r="I1049" s="20" t="s">
        <v>17</v>
      </c>
      <c r="J1049" s="21">
        <v>2.27046373E8</v>
      </c>
      <c r="K1049" s="21">
        <v>1495420.0</v>
      </c>
    </row>
    <row r="1050">
      <c r="A1050" s="15" t="s">
        <v>74</v>
      </c>
      <c r="B1050" s="16" t="s">
        <v>148</v>
      </c>
      <c r="C1050" s="17" t="s">
        <v>149</v>
      </c>
      <c r="D1050" s="18">
        <v>2.0</v>
      </c>
      <c r="E1050" s="17" t="s">
        <v>127</v>
      </c>
      <c r="F1050" s="15" t="s">
        <v>128</v>
      </c>
      <c r="G1050" s="19">
        <v>9.0043002E7</v>
      </c>
      <c r="H1050" s="15" t="s">
        <v>49</v>
      </c>
      <c r="I1050" s="20" t="s">
        <v>50</v>
      </c>
      <c r="J1050" s="21">
        <v>1.268999E7</v>
      </c>
      <c r="K1050" s="21">
        <v>425.0</v>
      </c>
    </row>
    <row r="1051">
      <c r="A1051" s="15" t="s">
        <v>74</v>
      </c>
      <c r="B1051" s="16" t="s">
        <v>148</v>
      </c>
      <c r="C1051" s="17" t="s">
        <v>149</v>
      </c>
      <c r="D1051" s="18">
        <v>2.0</v>
      </c>
      <c r="E1051" s="17" t="s">
        <v>129</v>
      </c>
      <c r="F1051" s="15" t="s">
        <v>130</v>
      </c>
      <c r="G1051" s="19">
        <v>5.1101056E7</v>
      </c>
      <c r="H1051" s="15" t="s">
        <v>16</v>
      </c>
      <c r="I1051" s="20" t="s">
        <v>17</v>
      </c>
      <c r="J1051" s="21">
        <v>5.112814E7</v>
      </c>
      <c r="K1051" s="21">
        <v>730402.0</v>
      </c>
    </row>
    <row r="1052">
      <c r="A1052" s="15" t="s">
        <v>74</v>
      </c>
      <c r="B1052" s="16" t="s">
        <v>148</v>
      </c>
      <c r="C1052" s="17" t="s">
        <v>149</v>
      </c>
      <c r="D1052" s="18">
        <v>2.0</v>
      </c>
      <c r="E1052" s="17" t="s">
        <v>129</v>
      </c>
      <c r="F1052" s="15" t="s">
        <v>130</v>
      </c>
      <c r="G1052" s="19">
        <v>9.0043001E7</v>
      </c>
      <c r="H1052" s="15" t="s">
        <v>18</v>
      </c>
      <c r="I1052" s="20" t="s">
        <v>19</v>
      </c>
      <c r="J1052" s="21">
        <v>1.1136321E7</v>
      </c>
      <c r="K1052" s="21">
        <v>74.5</v>
      </c>
    </row>
    <row r="1053">
      <c r="A1053" s="15" t="s">
        <v>74</v>
      </c>
      <c r="B1053" s="16" t="s">
        <v>148</v>
      </c>
      <c r="C1053" s="17" t="s">
        <v>149</v>
      </c>
      <c r="D1053" s="18">
        <v>2.0</v>
      </c>
      <c r="E1053" s="17" t="s">
        <v>129</v>
      </c>
      <c r="F1053" s="15" t="s">
        <v>130</v>
      </c>
      <c r="G1053" s="19">
        <v>9.0043003E7</v>
      </c>
      <c r="H1053" s="15" t="s">
        <v>90</v>
      </c>
      <c r="I1053" s="20" t="s">
        <v>50</v>
      </c>
      <c r="J1053" s="21">
        <v>2.9257146E7</v>
      </c>
      <c r="K1053" s="21">
        <v>193.0</v>
      </c>
    </row>
    <row r="1054">
      <c r="A1054" s="15" t="s">
        <v>74</v>
      </c>
      <c r="B1054" s="16" t="s">
        <v>148</v>
      </c>
      <c r="C1054" s="17" t="s">
        <v>149</v>
      </c>
      <c r="D1054" s="18">
        <v>2.0</v>
      </c>
      <c r="E1054" s="17" t="s">
        <v>129</v>
      </c>
      <c r="F1054" s="15" t="s">
        <v>130</v>
      </c>
      <c r="G1054" s="19">
        <v>9.0043E7</v>
      </c>
      <c r="H1054" s="15" t="s">
        <v>83</v>
      </c>
      <c r="I1054" s="20" t="s">
        <v>19</v>
      </c>
      <c r="J1054" s="21">
        <v>1163849.0</v>
      </c>
      <c r="K1054" s="21">
        <v>8.5</v>
      </c>
    </row>
    <row r="1055">
      <c r="A1055" s="15" t="s">
        <v>74</v>
      </c>
      <c r="B1055" s="16" t="s">
        <v>148</v>
      </c>
      <c r="C1055" s="17" t="s">
        <v>149</v>
      </c>
      <c r="D1055" s="18">
        <v>2.0</v>
      </c>
      <c r="E1055" s="17" t="s">
        <v>135</v>
      </c>
      <c r="F1055" s="15" t="s">
        <v>136</v>
      </c>
      <c r="G1055" s="19">
        <v>9.0043001E7</v>
      </c>
      <c r="H1055" s="15" t="s">
        <v>18</v>
      </c>
      <c r="I1055" s="20" t="s">
        <v>19</v>
      </c>
      <c r="J1055" s="21">
        <v>3.7509695E7</v>
      </c>
      <c r="K1055" s="21">
        <v>286.0</v>
      </c>
    </row>
    <row r="1056">
      <c r="A1056" s="15" t="s">
        <v>74</v>
      </c>
      <c r="B1056" s="16" t="s">
        <v>148</v>
      </c>
      <c r="C1056" s="17" t="s">
        <v>149</v>
      </c>
      <c r="D1056" s="18">
        <v>2.0</v>
      </c>
      <c r="E1056" s="17" t="s">
        <v>54</v>
      </c>
      <c r="F1056" s="15" t="s">
        <v>139</v>
      </c>
      <c r="G1056" s="19">
        <v>9.0042011E7</v>
      </c>
      <c r="H1056" s="15" t="s">
        <v>55</v>
      </c>
      <c r="I1056" s="20" t="s">
        <v>19</v>
      </c>
      <c r="J1056" s="21">
        <v>3.06450647E8</v>
      </c>
      <c r="K1056" s="21">
        <v>0.0</v>
      </c>
    </row>
    <row r="1057">
      <c r="A1057" s="15" t="s">
        <v>74</v>
      </c>
      <c r="B1057" s="16" t="s">
        <v>148</v>
      </c>
      <c r="C1057" s="17" t="s">
        <v>149</v>
      </c>
      <c r="D1057" s="18">
        <v>2.0</v>
      </c>
      <c r="E1057" s="17" t="s">
        <v>164</v>
      </c>
      <c r="F1057" s="15" t="s">
        <v>165</v>
      </c>
      <c r="G1057" s="19">
        <v>9.0042079E7</v>
      </c>
      <c r="H1057" s="15" t="s">
        <v>166</v>
      </c>
      <c r="I1057" s="20" t="s">
        <v>19</v>
      </c>
      <c r="J1057" s="21">
        <v>91000.0</v>
      </c>
      <c r="K1057" s="21">
        <v>0.0</v>
      </c>
    </row>
    <row r="1058">
      <c r="A1058" s="15" t="s">
        <v>74</v>
      </c>
      <c r="B1058" s="16" t="s">
        <v>148</v>
      </c>
      <c r="C1058" s="17" t="s">
        <v>149</v>
      </c>
      <c r="D1058" s="18">
        <v>2.0</v>
      </c>
      <c r="E1058" s="17" t="s">
        <v>20</v>
      </c>
      <c r="F1058" s="15" t="s">
        <v>140</v>
      </c>
      <c r="G1058" s="19">
        <v>9.0042014E7</v>
      </c>
      <c r="H1058" s="15" t="s">
        <v>21</v>
      </c>
      <c r="I1058" s="20" t="s">
        <v>19</v>
      </c>
      <c r="J1058" s="21">
        <v>3.74173451E8</v>
      </c>
      <c r="K1058" s="21">
        <v>0.0</v>
      </c>
    </row>
    <row r="1059">
      <c r="A1059" s="15" t="s">
        <v>74</v>
      </c>
      <c r="B1059" s="16" t="s">
        <v>148</v>
      </c>
      <c r="C1059" s="17" t="s">
        <v>149</v>
      </c>
      <c r="D1059" s="18">
        <v>2.0</v>
      </c>
      <c r="E1059" s="17" t="s">
        <v>20</v>
      </c>
      <c r="F1059" s="15" t="s">
        <v>140</v>
      </c>
      <c r="G1059" s="19">
        <v>9.0042077E7</v>
      </c>
      <c r="H1059" s="15" t="s">
        <v>141</v>
      </c>
      <c r="I1059" s="20" t="s">
        <v>19</v>
      </c>
      <c r="J1059" s="21">
        <v>1.28103916E8</v>
      </c>
      <c r="K1059" s="21">
        <v>0.0</v>
      </c>
    </row>
    <row r="1060">
      <c r="A1060" s="15" t="s">
        <v>74</v>
      </c>
      <c r="B1060" s="16" t="s">
        <v>148</v>
      </c>
      <c r="C1060" s="17" t="s">
        <v>149</v>
      </c>
      <c r="D1060" s="18">
        <v>2.0</v>
      </c>
      <c r="E1060" s="17" t="s">
        <v>142</v>
      </c>
      <c r="F1060" s="15" t="s">
        <v>143</v>
      </c>
      <c r="G1060" s="19">
        <v>9.0042013E7</v>
      </c>
      <c r="H1060" s="15" t="s">
        <v>144</v>
      </c>
      <c r="I1060" s="20" t="s">
        <v>19</v>
      </c>
      <c r="J1060" s="21">
        <v>1.8631336E7</v>
      </c>
      <c r="K1060" s="21">
        <v>0.0</v>
      </c>
    </row>
    <row r="1061">
      <c r="A1061" s="15" t="s">
        <v>74</v>
      </c>
      <c r="B1061" s="16" t="s">
        <v>148</v>
      </c>
      <c r="C1061" s="17" t="s">
        <v>149</v>
      </c>
      <c r="D1061" s="18">
        <v>2.0</v>
      </c>
      <c r="E1061" s="17" t="s">
        <v>142</v>
      </c>
      <c r="F1061" s="15" t="s">
        <v>143</v>
      </c>
      <c r="G1061" s="19">
        <v>9.0042084E7</v>
      </c>
      <c r="H1061" s="15" t="s">
        <v>145</v>
      </c>
      <c r="I1061" s="20" t="s">
        <v>19</v>
      </c>
      <c r="J1061" s="21">
        <v>3.7384118E7</v>
      </c>
      <c r="K1061" s="21">
        <v>0.0</v>
      </c>
    </row>
    <row r="1062">
      <c r="A1062" s="15" t="s">
        <v>74</v>
      </c>
      <c r="B1062" s="16" t="s">
        <v>148</v>
      </c>
      <c r="C1062" s="17" t="s">
        <v>149</v>
      </c>
      <c r="D1062" s="18">
        <v>2.0</v>
      </c>
      <c r="E1062" s="17" t="s">
        <v>22</v>
      </c>
      <c r="F1062" s="15" t="s">
        <v>146</v>
      </c>
      <c r="G1062" s="19">
        <v>9.0042012E7</v>
      </c>
      <c r="H1062" s="15" t="s">
        <v>23</v>
      </c>
      <c r="I1062" s="20" t="s">
        <v>19</v>
      </c>
      <c r="J1062" s="21">
        <v>1.21173634E8</v>
      </c>
      <c r="K1062" s="21">
        <v>0.0</v>
      </c>
    </row>
    <row r="1063">
      <c r="A1063" s="15" t="s">
        <v>74</v>
      </c>
      <c r="B1063" s="16" t="s">
        <v>148</v>
      </c>
      <c r="C1063" s="17" t="s">
        <v>149</v>
      </c>
      <c r="D1063" s="18">
        <v>2.0</v>
      </c>
      <c r="E1063" s="17" t="s">
        <v>22</v>
      </c>
      <c r="F1063" s="15" t="s">
        <v>146</v>
      </c>
      <c r="G1063" s="19">
        <v>9.0042121E7</v>
      </c>
      <c r="H1063" s="15" t="s">
        <v>24</v>
      </c>
      <c r="I1063" s="20" t="s">
        <v>25</v>
      </c>
      <c r="J1063" s="21">
        <v>-4887782.0</v>
      </c>
      <c r="K1063" s="21">
        <v>0.0</v>
      </c>
    </row>
    <row r="1064">
      <c r="A1064" s="15" t="s">
        <v>74</v>
      </c>
      <c r="B1064" s="16" t="s">
        <v>148</v>
      </c>
      <c r="C1064" s="17" t="s">
        <v>149</v>
      </c>
      <c r="D1064" s="18">
        <v>2.0</v>
      </c>
      <c r="E1064" s="17" t="s">
        <v>22</v>
      </c>
      <c r="F1064" s="15" t="s">
        <v>146</v>
      </c>
      <c r="G1064" s="19">
        <v>9.0042122E7</v>
      </c>
      <c r="H1064" s="15" t="s">
        <v>56</v>
      </c>
      <c r="I1064" s="20" t="s">
        <v>25</v>
      </c>
      <c r="J1064" s="21">
        <v>2683852.0</v>
      </c>
      <c r="K1064" s="21">
        <v>0.0</v>
      </c>
    </row>
    <row r="1065">
      <c r="A1065" s="15" t="s">
        <v>74</v>
      </c>
      <c r="B1065" s="16" t="s">
        <v>148</v>
      </c>
      <c r="C1065" s="17" t="s">
        <v>149</v>
      </c>
      <c r="D1065" s="18">
        <v>2.0</v>
      </c>
      <c r="E1065" s="17" t="s">
        <v>22</v>
      </c>
      <c r="F1065" s="15" t="s">
        <v>146</v>
      </c>
      <c r="G1065" s="19">
        <v>9.0042124E7</v>
      </c>
      <c r="H1065" s="15" t="s">
        <v>57</v>
      </c>
      <c r="I1065" s="20" t="s">
        <v>25</v>
      </c>
      <c r="J1065" s="21">
        <v>2.2175501E7</v>
      </c>
      <c r="K1065" s="21">
        <v>0.0</v>
      </c>
    </row>
    <row r="1066">
      <c r="A1066" s="15" t="s">
        <v>74</v>
      </c>
      <c r="B1066" s="16" t="s">
        <v>148</v>
      </c>
      <c r="C1066" s="17" t="s">
        <v>149</v>
      </c>
      <c r="D1066" s="18">
        <v>2.0</v>
      </c>
      <c r="E1066" s="17" t="s">
        <v>22</v>
      </c>
      <c r="F1066" s="15" t="s">
        <v>146</v>
      </c>
      <c r="G1066" s="19">
        <v>9.0042125E7</v>
      </c>
      <c r="H1066" s="15" t="s">
        <v>26</v>
      </c>
      <c r="I1066" s="20" t="s">
        <v>25</v>
      </c>
      <c r="J1066" s="21">
        <v>6.2498829E7</v>
      </c>
      <c r="K1066" s="21">
        <v>0.0</v>
      </c>
    </row>
    <row r="1067">
      <c r="A1067" s="15" t="s">
        <v>74</v>
      </c>
      <c r="B1067" s="16" t="s">
        <v>148</v>
      </c>
      <c r="C1067" s="17" t="s">
        <v>149</v>
      </c>
      <c r="D1067" s="18">
        <v>2.0</v>
      </c>
      <c r="E1067" s="17" t="s">
        <v>22</v>
      </c>
      <c r="F1067" s="15" t="s">
        <v>146</v>
      </c>
      <c r="G1067" s="19">
        <v>9.0042127E7</v>
      </c>
      <c r="H1067" s="15" t="s">
        <v>27</v>
      </c>
      <c r="I1067" s="20" t="s">
        <v>25</v>
      </c>
      <c r="J1067" s="21">
        <v>6349615.0</v>
      </c>
      <c r="K1067" s="21">
        <v>0.0</v>
      </c>
    </row>
    <row r="1068">
      <c r="A1068" s="15" t="s">
        <v>74</v>
      </c>
      <c r="B1068" s="16" t="s">
        <v>148</v>
      </c>
      <c r="C1068" s="17" t="s">
        <v>149</v>
      </c>
      <c r="D1068" s="18">
        <v>2.0</v>
      </c>
      <c r="E1068" s="17" t="s">
        <v>22</v>
      </c>
      <c r="F1068" s="15" t="s">
        <v>146</v>
      </c>
      <c r="G1068" s="19">
        <v>9.0042132E7</v>
      </c>
      <c r="H1068" s="15" t="s">
        <v>28</v>
      </c>
      <c r="I1068" s="20" t="s">
        <v>25</v>
      </c>
      <c r="J1068" s="21">
        <v>2.3402335E7</v>
      </c>
      <c r="K1068" s="21">
        <v>0.0</v>
      </c>
    </row>
    <row r="1069">
      <c r="A1069" s="15" t="s">
        <v>74</v>
      </c>
      <c r="B1069" s="16" t="s">
        <v>148</v>
      </c>
      <c r="C1069" s="17" t="s">
        <v>149</v>
      </c>
      <c r="D1069" s="18">
        <v>2.0</v>
      </c>
      <c r="E1069" s="17" t="s">
        <v>22</v>
      </c>
      <c r="F1069" s="15" t="s">
        <v>146</v>
      </c>
      <c r="G1069" s="19">
        <v>9.0042134E7</v>
      </c>
      <c r="H1069" s="15" t="s">
        <v>29</v>
      </c>
      <c r="I1069" s="20" t="s">
        <v>25</v>
      </c>
      <c r="J1069" s="21">
        <v>353000.0</v>
      </c>
      <c r="K1069" s="21">
        <v>0.0</v>
      </c>
    </row>
    <row r="1070">
      <c r="A1070" s="15" t="s">
        <v>74</v>
      </c>
      <c r="B1070" s="16" t="s">
        <v>148</v>
      </c>
      <c r="C1070" s="17" t="s">
        <v>149</v>
      </c>
      <c r="D1070" s="18">
        <v>2.0</v>
      </c>
      <c r="E1070" s="17" t="s">
        <v>22</v>
      </c>
      <c r="F1070" s="15" t="s">
        <v>146</v>
      </c>
      <c r="G1070" s="19">
        <v>9.0042135E7</v>
      </c>
      <c r="H1070" s="15" t="s">
        <v>30</v>
      </c>
      <c r="I1070" s="20" t="s">
        <v>25</v>
      </c>
      <c r="J1070" s="21">
        <v>1.4886617E8</v>
      </c>
      <c r="K1070" s="21">
        <v>0.0</v>
      </c>
    </row>
    <row r="1071">
      <c r="A1071" s="15" t="s">
        <v>74</v>
      </c>
      <c r="B1071" s="16" t="s">
        <v>148</v>
      </c>
      <c r="C1071" s="17" t="s">
        <v>149</v>
      </c>
      <c r="D1071" s="18">
        <v>2.0</v>
      </c>
      <c r="E1071" s="17" t="s">
        <v>22</v>
      </c>
      <c r="F1071" s="15" t="s">
        <v>146</v>
      </c>
      <c r="G1071" s="19">
        <v>9.00422E7</v>
      </c>
      <c r="H1071" s="15" t="s">
        <v>73</v>
      </c>
      <c r="I1071" s="20" t="s">
        <v>60</v>
      </c>
      <c r="J1071" s="21">
        <v>2.01681431E8</v>
      </c>
      <c r="K1071" s="21">
        <v>0.0</v>
      </c>
    </row>
    <row r="1072">
      <c r="A1072" s="15" t="s">
        <v>74</v>
      </c>
      <c r="B1072" s="16" t="s">
        <v>148</v>
      </c>
      <c r="C1072" s="17" t="s">
        <v>149</v>
      </c>
      <c r="D1072" s="18">
        <v>2.0</v>
      </c>
      <c r="E1072" s="17" t="s">
        <v>22</v>
      </c>
      <c r="F1072" s="15" t="s">
        <v>146</v>
      </c>
      <c r="G1072" s="19">
        <v>9.0042223E7</v>
      </c>
      <c r="H1072" s="15" t="s">
        <v>61</v>
      </c>
      <c r="I1072" s="20" t="s">
        <v>60</v>
      </c>
      <c r="J1072" s="21">
        <v>7723534.0</v>
      </c>
      <c r="K1072" s="21">
        <v>0.0</v>
      </c>
    </row>
    <row r="1073">
      <c r="A1073" s="15" t="s">
        <v>74</v>
      </c>
      <c r="B1073" s="16" t="s">
        <v>148</v>
      </c>
      <c r="C1073" s="17" t="s">
        <v>149</v>
      </c>
      <c r="D1073" s="18">
        <v>2.0</v>
      </c>
      <c r="E1073" s="17" t="s">
        <v>22</v>
      </c>
      <c r="F1073" s="15" t="s">
        <v>146</v>
      </c>
      <c r="G1073" s="19">
        <v>9.0042224E7</v>
      </c>
      <c r="H1073" s="15" t="s">
        <v>62</v>
      </c>
      <c r="I1073" s="20" t="s">
        <v>60</v>
      </c>
      <c r="J1073" s="21">
        <v>1349183.0</v>
      </c>
      <c r="K1073" s="21">
        <v>0.0</v>
      </c>
    </row>
    <row r="1074">
      <c r="A1074" s="15" t="s">
        <v>74</v>
      </c>
      <c r="B1074" s="16" t="s">
        <v>148</v>
      </c>
      <c r="C1074" s="17" t="s">
        <v>149</v>
      </c>
      <c r="D1074" s="18">
        <v>2.0</v>
      </c>
      <c r="E1074" s="17" t="s">
        <v>22</v>
      </c>
      <c r="F1074" s="15" t="s">
        <v>146</v>
      </c>
      <c r="G1074" s="19">
        <v>9.0042226E7</v>
      </c>
      <c r="H1074" s="15" t="s">
        <v>63</v>
      </c>
      <c r="I1074" s="20" t="s">
        <v>60</v>
      </c>
      <c r="J1074" s="21">
        <v>660418.0</v>
      </c>
      <c r="K1074" s="21">
        <v>0.0</v>
      </c>
    </row>
    <row r="1075">
      <c r="A1075" s="15" t="s">
        <v>74</v>
      </c>
      <c r="B1075" s="16" t="s">
        <v>148</v>
      </c>
      <c r="C1075" s="17" t="s">
        <v>149</v>
      </c>
      <c r="D1075" s="18">
        <v>2.0</v>
      </c>
      <c r="E1075" s="17" t="s">
        <v>22</v>
      </c>
      <c r="F1075" s="15" t="s">
        <v>146</v>
      </c>
      <c r="G1075" s="19">
        <v>9.0042228E7</v>
      </c>
      <c r="H1075" s="15" t="s">
        <v>64</v>
      </c>
      <c r="I1075" s="20" t="s">
        <v>60</v>
      </c>
      <c r="J1075" s="21">
        <v>5.2437833E7</v>
      </c>
      <c r="K1075" s="21">
        <v>0.0</v>
      </c>
    </row>
    <row r="1076">
      <c r="A1076" s="15" t="s">
        <v>74</v>
      </c>
      <c r="B1076" s="16" t="s">
        <v>148</v>
      </c>
      <c r="C1076" s="17" t="s">
        <v>149</v>
      </c>
      <c r="D1076" s="18">
        <v>2.0</v>
      </c>
      <c r="E1076" s="17" t="s">
        <v>22</v>
      </c>
      <c r="F1076" s="15" t="s">
        <v>146</v>
      </c>
      <c r="G1076" s="19">
        <v>9.0042231E7</v>
      </c>
      <c r="H1076" s="15" t="s">
        <v>65</v>
      </c>
      <c r="I1076" s="20" t="s">
        <v>60</v>
      </c>
      <c r="J1076" s="21">
        <v>5418392.0</v>
      </c>
      <c r="K1076" s="21">
        <v>0.0</v>
      </c>
    </row>
    <row r="1077">
      <c r="A1077" s="15" t="s">
        <v>74</v>
      </c>
      <c r="B1077" s="16" t="s">
        <v>148</v>
      </c>
      <c r="C1077" s="17" t="s">
        <v>149</v>
      </c>
      <c r="D1077" s="18">
        <v>2.0</v>
      </c>
      <c r="E1077" s="17" t="s">
        <v>22</v>
      </c>
      <c r="F1077" s="15" t="s">
        <v>146</v>
      </c>
      <c r="G1077" s="19">
        <v>9.0042126E7</v>
      </c>
      <c r="H1077" s="15" t="s">
        <v>31</v>
      </c>
      <c r="I1077" s="20" t="s">
        <v>25</v>
      </c>
      <c r="J1077" s="21">
        <v>4.677497E7</v>
      </c>
      <c r="K1077" s="21">
        <v>0.0</v>
      </c>
    </row>
    <row r="1078">
      <c r="A1078" s="15" t="s">
        <v>74</v>
      </c>
      <c r="B1078" s="16" t="s">
        <v>148</v>
      </c>
      <c r="C1078" s="17" t="s">
        <v>149</v>
      </c>
      <c r="D1078" s="18">
        <v>2.0</v>
      </c>
      <c r="E1078" s="17" t="s">
        <v>22</v>
      </c>
      <c r="F1078" s="15" t="s">
        <v>146</v>
      </c>
      <c r="G1078" s="19">
        <v>9.004212E7</v>
      </c>
      <c r="H1078" s="15" t="s">
        <v>182</v>
      </c>
      <c r="I1078" s="20" t="s">
        <v>25</v>
      </c>
      <c r="J1078" s="21">
        <v>5.9461E7</v>
      </c>
      <c r="K1078" s="21">
        <v>0.0</v>
      </c>
    </row>
    <row r="1079">
      <c r="A1079" s="15" t="s">
        <v>74</v>
      </c>
      <c r="B1079" s="16" t="s">
        <v>148</v>
      </c>
      <c r="C1079" s="17" t="s">
        <v>149</v>
      </c>
      <c r="D1079" s="18">
        <v>2.0</v>
      </c>
      <c r="E1079" s="17" t="s">
        <v>201</v>
      </c>
      <c r="F1079" s="15" t="s">
        <v>202</v>
      </c>
      <c r="G1079" s="19">
        <v>9.0043001E7</v>
      </c>
      <c r="H1079" s="15" t="s">
        <v>18</v>
      </c>
      <c r="I1079" s="20" t="s">
        <v>19</v>
      </c>
      <c r="J1079" s="21">
        <v>1182726.0</v>
      </c>
      <c r="K1079" s="21">
        <v>9.0</v>
      </c>
    </row>
    <row r="1080">
      <c r="A1080" s="15" t="s">
        <v>74</v>
      </c>
      <c r="B1080" s="16" t="s">
        <v>167</v>
      </c>
      <c r="C1080" s="17" t="s">
        <v>168</v>
      </c>
      <c r="D1080" s="18">
        <v>2.0</v>
      </c>
      <c r="E1080" s="17" t="s">
        <v>84</v>
      </c>
      <c r="F1080" s="15" t="s">
        <v>85</v>
      </c>
      <c r="G1080" s="19">
        <v>9.0043001E7</v>
      </c>
      <c r="H1080" s="15" t="s">
        <v>18</v>
      </c>
      <c r="I1080" s="20" t="s">
        <v>19</v>
      </c>
      <c r="J1080" s="21">
        <v>3.3215906E7</v>
      </c>
      <c r="K1080" s="21">
        <v>239.0</v>
      </c>
    </row>
    <row r="1081">
      <c r="A1081" s="15" t="s">
        <v>74</v>
      </c>
      <c r="B1081" s="16" t="s">
        <v>167</v>
      </c>
      <c r="C1081" s="17" t="s">
        <v>168</v>
      </c>
      <c r="D1081" s="18">
        <v>2.0</v>
      </c>
      <c r="E1081" s="17" t="s">
        <v>86</v>
      </c>
      <c r="F1081" s="15" t="s">
        <v>87</v>
      </c>
      <c r="G1081" s="19">
        <v>9.0043001E7</v>
      </c>
      <c r="H1081" s="15" t="s">
        <v>18</v>
      </c>
      <c r="I1081" s="20" t="s">
        <v>19</v>
      </c>
      <c r="J1081" s="21">
        <v>7.7325577E7</v>
      </c>
      <c r="K1081" s="21">
        <v>538.0</v>
      </c>
    </row>
    <row r="1082">
      <c r="A1082" s="15" t="s">
        <v>74</v>
      </c>
      <c r="B1082" s="16" t="s">
        <v>167</v>
      </c>
      <c r="C1082" s="17" t="s">
        <v>168</v>
      </c>
      <c r="D1082" s="18">
        <v>2.0</v>
      </c>
      <c r="E1082" s="17" t="s">
        <v>86</v>
      </c>
      <c r="F1082" s="15" t="s">
        <v>87</v>
      </c>
      <c r="G1082" s="19">
        <v>9.0043E7</v>
      </c>
      <c r="H1082" s="15" t="s">
        <v>83</v>
      </c>
      <c r="I1082" s="20" t="s">
        <v>19</v>
      </c>
      <c r="J1082" s="21">
        <v>689785.0</v>
      </c>
      <c r="K1082" s="21">
        <v>5.0</v>
      </c>
    </row>
    <row r="1083">
      <c r="A1083" s="15" t="s">
        <v>74</v>
      </c>
      <c r="B1083" s="16" t="s">
        <v>167</v>
      </c>
      <c r="C1083" s="17" t="s">
        <v>168</v>
      </c>
      <c r="D1083" s="18">
        <v>2.0</v>
      </c>
      <c r="E1083" s="17" t="s">
        <v>152</v>
      </c>
      <c r="F1083" s="15" t="s">
        <v>153</v>
      </c>
      <c r="G1083" s="19">
        <v>5.1100102E7</v>
      </c>
      <c r="H1083" s="15" t="s">
        <v>172</v>
      </c>
      <c r="I1083" s="20" t="s">
        <v>25</v>
      </c>
      <c r="J1083" s="21">
        <v>4.2391773E7</v>
      </c>
      <c r="K1083" s="21">
        <v>0.0</v>
      </c>
    </row>
    <row r="1084">
      <c r="A1084" s="15" t="s">
        <v>74</v>
      </c>
      <c r="B1084" s="16" t="s">
        <v>167</v>
      </c>
      <c r="C1084" s="17" t="s">
        <v>168</v>
      </c>
      <c r="D1084" s="18">
        <v>2.0</v>
      </c>
      <c r="E1084" s="17" t="s">
        <v>154</v>
      </c>
      <c r="F1084" s="15" t="s">
        <v>155</v>
      </c>
      <c r="G1084" s="19">
        <v>9.0043001E7</v>
      </c>
      <c r="H1084" s="15" t="s">
        <v>18</v>
      </c>
      <c r="I1084" s="20" t="s">
        <v>19</v>
      </c>
      <c r="J1084" s="21">
        <v>1.1009514E7</v>
      </c>
      <c r="K1084" s="21">
        <v>74.0</v>
      </c>
    </row>
    <row r="1085">
      <c r="A1085" s="15" t="s">
        <v>74</v>
      </c>
      <c r="B1085" s="16" t="s">
        <v>167</v>
      </c>
      <c r="C1085" s="17" t="s">
        <v>168</v>
      </c>
      <c r="D1085" s="18">
        <v>2.0</v>
      </c>
      <c r="E1085" s="17" t="s">
        <v>91</v>
      </c>
      <c r="F1085" s="15" t="s">
        <v>92</v>
      </c>
      <c r="G1085" s="19">
        <v>9.0043001E7</v>
      </c>
      <c r="H1085" s="15" t="s">
        <v>18</v>
      </c>
      <c r="I1085" s="20" t="s">
        <v>19</v>
      </c>
      <c r="J1085" s="21">
        <v>5.6885278E7</v>
      </c>
      <c r="K1085" s="21">
        <v>401.0</v>
      </c>
    </row>
    <row r="1086">
      <c r="A1086" s="15" t="s">
        <v>74</v>
      </c>
      <c r="B1086" s="16" t="s">
        <v>167</v>
      </c>
      <c r="C1086" s="17" t="s">
        <v>168</v>
      </c>
      <c r="D1086" s="18">
        <v>2.0</v>
      </c>
      <c r="E1086" s="17" t="s">
        <v>91</v>
      </c>
      <c r="F1086" s="15" t="s">
        <v>92</v>
      </c>
      <c r="G1086" s="19">
        <v>9.0043E7</v>
      </c>
      <c r="H1086" s="15" t="s">
        <v>83</v>
      </c>
      <c r="I1086" s="20" t="s">
        <v>19</v>
      </c>
      <c r="J1086" s="21">
        <v>551828.0</v>
      </c>
      <c r="K1086" s="21">
        <v>4.0</v>
      </c>
    </row>
    <row r="1087">
      <c r="A1087" s="15" t="s">
        <v>74</v>
      </c>
      <c r="B1087" s="16" t="s">
        <v>167</v>
      </c>
      <c r="C1087" s="17" t="s">
        <v>168</v>
      </c>
      <c r="D1087" s="18">
        <v>2.0</v>
      </c>
      <c r="E1087" s="17" t="s">
        <v>93</v>
      </c>
      <c r="F1087" s="15" t="s">
        <v>94</v>
      </c>
      <c r="G1087" s="19">
        <v>9.0043001E7</v>
      </c>
      <c r="H1087" s="15" t="s">
        <v>18</v>
      </c>
      <c r="I1087" s="20" t="s">
        <v>19</v>
      </c>
      <c r="J1087" s="21">
        <v>141717.0</v>
      </c>
      <c r="K1087" s="21">
        <v>1.0</v>
      </c>
    </row>
    <row r="1088">
      <c r="A1088" s="15" t="s">
        <v>74</v>
      </c>
      <c r="B1088" s="16" t="s">
        <v>167</v>
      </c>
      <c r="C1088" s="17" t="s">
        <v>168</v>
      </c>
      <c r="D1088" s="18">
        <v>2.0</v>
      </c>
      <c r="E1088" s="17" t="s">
        <v>95</v>
      </c>
      <c r="F1088" s="15" t="s">
        <v>96</v>
      </c>
      <c r="G1088" s="19">
        <v>5.1100061E7</v>
      </c>
      <c r="H1088" s="15" t="s">
        <v>42</v>
      </c>
      <c r="I1088" s="20" t="s">
        <v>37</v>
      </c>
      <c r="J1088" s="21">
        <v>4.5341825E7</v>
      </c>
      <c r="K1088" s="21">
        <v>605.386</v>
      </c>
    </row>
    <row r="1089">
      <c r="A1089" s="15" t="s">
        <v>74</v>
      </c>
      <c r="B1089" s="16" t="s">
        <v>167</v>
      </c>
      <c r="C1089" s="17" t="s">
        <v>168</v>
      </c>
      <c r="D1089" s="18">
        <v>2.0</v>
      </c>
      <c r="E1089" s="17" t="s">
        <v>95</v>
      </c>
      <c r="F1089" s="15" t="s">
        <v>96</v>
      </c>
      <c r="G1089" s="19">
        <v>5.1100651E7</v>
      </c>
      <c r="H1089" s="15" t="s">
        <v>38</v>
      </c>
      <c r="I1089" s="20" t="s">
        <v>25</v>
      </c>
      <c r="J1089" s="21">
        <v>0.0</v>
      </c>
      <c r="K1089" s="21">
        <v>0.0</v>
      </c>
    </row>
    <row r="1090">
      <c r="A1090" s="15" t="s">
        <v>74</v>
      </c>
      <c r="B1090" s="16" t="s">
        <v>167</v>
      </c>
      <c r="C1090" s="17" t="s">
        <v>168</v>
      </c>
      <c r="D1090" s="18">
        <v>2.0</v>
      </c>
      <c r="E1090" s="17" t="s">
        <v>95</v>
      </c>
      <c r="F1090" s="15" t="s">
        <v>96</v>
      </c>
      <c r="G1090" s="19">
        <v>9.0043001E7</v>
      </c>
      <c r="H1090" s="15" t="s">
        <v>18</v>
      </c>
      <c r="I1090" s="20" t="s">
        <v>19</v>
      </c>
      <c r="J1090" s="21">
        <v>1.7379775E7</v>
      </c>
      <c r="K1090" s="21">
        <v>133.0</v>
      </c>
    </row>
    <row r="1091">
      <c r="A1091" s="15" t="s">
        <v>74</v>
      </c>
      <c r="B1091" s="16" t="s">
        <v>167</v>
      </c>
      <c r="C1091" s="17" t="s">
        <v>168</v>
      </c>
      <c r="D1091" s="18">
        <v>2.0</v>
      </c>
      <c r="E1091" s="17" t="s">
        <v>95</v>
      </c>
      <c r="F1091" s="15" t="s">
        <v>96</v>
      </c>
      <c r="G1091" s="19">
        <v>5.1100774E7</v>
      </c>
      <c r="H1091" s="15" t="s">
        <v>39</v>
      </c>
      <c r="I1091" s="20" t="s">
        <v>17</v>
      </c>
      <c r="J1091" s="21">
        <v>5.6261818E7</v>
      </c>
      <c r="K1091" s="21">
        <v>757.99</v>
      </c>
    </row>
    <row r="1092">
      <c r="A1092" s="15" t="s">
        <v>74</v>
      </c>
      <c r="B1092" s="16" t="s">
        <v>167</v>
      </c>
      <c r="C1092" s="17" t="s">
        <v>168</v>
      </c>
      <c r="D1092" s="18">
        <v>2.0</v>
      </c>
      <c r="E1092" s="17" t="s">
        <v>99</v>
      </c>
      <c r="F1092" s="15" t="s">
        <v>100</v>
      </c>
      <c r="G1092" s="19">
        <v>5.1100651E7</v>
      </c>
      <c r="H1092" s="15" t="s">
        <v>38</v>
      </c>
      <c r="I1092" s="20" t="s">
        <v>25</v>
      </c>
      <c r="J1092" s="21">
        <v>-1.0</v>
      </c>
      <c r="K1092" s="21">
        <v>0.0</v>
      </c>
    </row>
    <row r="1093">
      <c r="A1093" s="15" t="s">
        <v>74</v>
      </c>
      <c r="B1093" s="16" t="s">
        <v>167</v>
      </c>
      <c r="C1093" s="17" t="s">
        <v>168</v>
      </c>
      <c r="D1093" s="18">
        <v>2.0</v>
      </c>
      <c r="E1093" s="17" t="s">
        <v>99</v>
      </c>
      <c r="F1093" s="15" t="s">
        <v>100</v>
      </c>
      <c r="G1093" s="19">
        <v>9.0043001E7</v>
      </c>
      <c r="H1093" s="15" t="s">
        <v>18</v>
      </c>
      <c r="I1093" s="20" t="s">
        <v>19</v>
      </c>
      <c r="J1093" s="21">
        <v>560924.0</v>
      </c>
      <c r="K1093" s="21">
        <v>4.0</v>
      </c>
    </row>
    <row r="1094">
      <c r="A1094" s="15" t="s">
        <v>74</v>
      </c>
      <c r="B1094" s="16" t="s">
        <v>167</v>
      </c>
      <c r="C1094" s="17" t="s">
        <v>168</v>
      </c>
      <c r="D1094" s="18">
        <v>2.0</v>
      </c>
      <c r="E1094" s="17" t="s">
        <v>103</v>
      </c>
      <c r="F1094" s="15" t="s">
        <v>104</v>
      </c>
      <c r="G1094" s="19">
        <v>5.1100061E7</v>
      </c>
      <c r="H1094" s="15" t="s">
        <v>42</v>
      </c>
      <c r="I1094" s="20" t="s">
        <v>37</v>
      </c>
      <c r="J1094" s="21">
        <v>1.25878101E8</v>
      </c>
      <c r="K1094" s="21">
        <v>1575.058</v>
      </c>
    </row>
    <row r="1095">
      <c r="A1095" s="15" t="s">
        <v>74</v>
      </c>
      <c r="B1095" s="16" t="s">
        <v>167</v>
      </c>
      <c r="C1095" s="17" t="s">
        <v>168</v>
      </c>
      <c r="D1095" s="18">
        <v>2.0</v>
      </c>
      <c r="E1095" s="17" t="s">
        <v>103</v>
      </c>
      <c r="F1095" s="15" t="s">
        <v>104</v>
      </c>
      <c r="G1095" s="19">
        <v>5.1100651E7</v>
      </c>
      <c r="H1095" s="15" t="s">
        <v>38</v>
      </c>
      <c r="I1095" s="20" t="s">
        <v>25</v>
      </c>
      <c r="J1095" s="21">
        <v>-9.0</v>
      </c>
      <c r="K1095" s="21">
        <v>0.0</v>
      </c>
    </row>
    <row r="1096">
      <c r="A1096" s="15" t="s">
        <v>74</v>
      </c>
      <c r="B1096" s="16" t="s">
        <v>167</v>
      </c>
      <c r="C1096" s="17" t="s">
        <v>168</v>
      </c>
      <c r="D1096" s="18">
        <v>2.0</v>
      </c>
      <c r="E1096" s="17" t="s">
        <v>103</v>
      </c>
      <c r="F1096" s="15" t="s">
        <v>104</v>
      </c>
      <c r="G1096" s="19">
        <v>9.0043001E7</v>
      </c>
      <c r="H1096" s="15" t="s">
        <v>18</v>
      </c>
      <c r="I1096" s="20" t="s">
        <v>19</v>
      </c>
      <c r="J1096" s="21">
        <v>1.8070973E7</v>
      </c>
      <c r="K1096" s="21">
        <v>125.0</v>
      </c>
    </row>
    <row r="1097">
      <c r="A1097" s="15" t="s">
        <v>74</v>
      </c>
      <c r="B1097" s="16" t="s">
        <v>167</v>
      </c>
      <c r="C1097" s="17" t="s">
        <v>168</v>
      </c>
      <c r="D1097" s="18">
        <v>2.0</v>
      </c>
      <c r="E1097" s="17" t="s">
        <v>103</v>
      </c>
      <c r="F1097" s="15" t="s">
        <v>104</v>
      </c>
      <c r="G1097" s="19">
        <v>5.1100774E7</v>
      </c>
      <c r="H1097" s="15" t="s">
        <v>39</v>
      </c>
      <c r="I1097" s="20" t="s">
        <v>17</v>
      </c>
      <c r="J1097" s="21">
        <v>1.45458746E8</v>
      </c>
      <c r="K1097" s="21">
        <v>979.85</v>
      </c>
    </row>
    <row r="1098">
      <c r="A1098" s="15" t="s">
        <v>74</v>
      </c>
      <c r="B1098" s="16" t="s">
        <v>167</v>
      </c>
      <c r="C1098" s="17" t="s">
        <v>168</v>
      </c>
      <c r="D1098" s="18">
        <v>2.0</v>
      </c>
      <c r="E1098" s="17" t="s">
        <v>108</v>
      </c>
      <c r="F1098" s="15" t="s">
        <v>109</v>
      </c>
      <c r="G1098" s="19">
        <v>5.1100061E7</v>
      </c>
      <c r="H1098" s="15" t="s">
        <v>42</v>
      </c>
      <c r="I1098" s="20" t="s">
        <v>37</v>
      </c>
      <c r="J1098" s="21">
        <v>1218750.0</v>
      </c>
      <c r="K1098" s="21">
        <v>15.0</v>
      </c>
    </row>
    <row r="1099">
      <c r="A1099" s="15" t="s">
        <v>74</v>
      </c>
      <c r="B1099" s="16" t="s">
        <v>167</v>
      </c>
      <c r="C1099" s="17" t="s">
        <v>168</v>
      </c>
      <c r="D1099" s="18">
        <v>2.0</v>
      </c>
      <c r="E1099" s="17" t="s">
        <v>108</v>
      </c>
      <c r="F1099" s="15" t="s">
        <v>109</v>
      </c>
      <c r="G1099" s="19">
        <v>5.1100651E7</v>
      </c>
      <c r="H1099" s="15" t="s">
        <v>38</v>
      </c>
      <c r="I1099" s="20" t="s">
        <v>25</v>
      </c>
      <c r="J1099" s="21">
        <v>0.0</v>
      </c>
      <c r="K1099" s="21">
        <v>0.0</v>
      </c>
    </row>
    <row r="1100">
      <c r="A1100" s="15" t="s">
        <v>74</v>
      </c>
      <c r="B1100" s="16" t="s">
        <v>167</v>
      </c>
      <c r="C1100" s="17" t="s">
        <v>168</v>
      </c>
      <c r="D1100" s="18">
        <v>2.0</v>
      </c>
      <c r="E1100" s="17" t="s">
        <v>108</v>
      </c>
      <c r="F1100" s="15" t="s">
        <v>109</v>
      </c>
      <c r="G1100" s="19">
        <v>5.1100774E7</v>
      </c>
      <c r="H1100" s="15" t="s">
        <v>39</v>
      </c>
      <c r="I1100" s="20" t="s">
        <v>17</v>
      </c>
      <c r="J1100" s="21">
        <v>721389.0</v>
      </c>
      <c r="K1100" s="21">
        <v>24.29</v>
      </c>
    </row>
    <row r="1101">
      <c r="A1101" s="15" t="s">
        <v>74</v>
      </c>
      <c r="B1101" s="16" t="s">
        <v>167</v>
      </c>
      <c r="C1101" s="17" t="s">
        <v>168</v>
      </c>
      <c r="D1101" s="18">
        <v>2.0</v>
      </c>
      <c r="E1101" s="17" t="s">
        <v>207</v>
      </c>
      <c r="F1101" s="15" t="s">
        <v>208</v>
      </c>
      <c r="G1101" s="19">
        <v>5.1100775E7</v>
      </c>
      <c r="H1101" s="15" t="s">
        <v>169</v>
      </c>
      <c r="I1101" s="20" t="s">
        <v>25</v>
      </c>
      <c r="J1101" s="21">
        <v>-1.0</v>
      </c>
      <c r="K1101" s="21">
        <v>0.0</v>
      </c>
    </row>
    <row r="1102">
      <c r="A1102" s="15" t="s">
        <v>74</v>
      </c>
      <c r="B1102" s="16" t="s">
        <v>167</v>
      </c>
      <c r="C1102" s="17" t="s">
        <v>168</v>
      </c>
      <c r="D1102" s="18">
        <v>2.0</v>
      </c>
      <c r="E1102" s="17" t="s">
        <v>175</v>
      </c>
      <c r="F1102" s="15" t="s">
        <v>176</v>
      </c>
      <c r="G1102" s="19">
        <v>5.1100651E7</v>
      </c>
      <c r="H1102" s="15" t="s">
        <v>38</v>
      </c>
      <c r="I1102" s="20" t="s">
        <v>25</v>
      </c>
      <c r="J1102" s="21">
        <v>0.0</v>
      </c>
      <c r="K1102" s="21">
        <v>0.0</v>
      </c>
    </row>
    <row r="1103">
      <c r="A1103" s="15" t="s">
        <v>74</v>
      </c>
      <c r="B1103" s="16" t="s">
        <v>167</v>
      </c>
      <c r="C1103" s="17" t="s">
        <v>168</v>
      </c>
      <c r="D1103" s="18">
        <v>2.0</v>
      </c>
      <c r="E1103" s="17" t="s">
        <v>175</v>
      </c>
      <c r="F1103" s="15" t="s">
        <v>176</v>
      </c>
      <c r="G1103" s="19">
        <v>9.0043002E7</v>
      </c>
      <c r="H1103" s="15" t="s">
        <v>49</v>
      </c>
      <c r="I1103" s="20" t="s">
        <v>50</v>
      </c>
      <c r="J1103" s="21">
        <v>1767042.0</v>
      </c>
      <c r="K1103" s="21">
        <v>129.0</v>
      </c>
    </row>
    <row r="1104">
      <c r="A1104" s="15" t="s">
        <v>74</v>
      </c>
      <c r="B1104" s="16" t="s">
        <v>167</v>
      </c>
      <c r="C1104" s="17" t="s">
        <v>168</v>
      </c>
      <c r="D1104" s="18">
        <v>2.0</v>
      </c>
      <c r="E1104" s="17" t="s">
        <v>175</v>
      </c>
      <c r="F1104" s="15" t="s">
        <v>176</v>
      </c>
      <c r="G1104" s="19">
        <v>5.1100774E7</v>
      </c>
      <c r="H1104" s="15" t="s">
        <v>39</v>
      </c>
      <c r="I1104" s="20" t="s">
        <v>17</v>
      </c>
      <c r="J1104" s="21">
        <v>1.4688638E7</v>
      </c>
      <c r="K1104" s="21">
        <v>97924.25</v>
      </c>
    </row>
    <row r="1105">
      <c r="A1105" s="15" t="s">
        <v>74</v>
      </c>
      <c r="B1105" s="16" t="s">
        <v>167</v>
      </c>
      <c r="C1105" s="17" t="s">
        <v>168</v>
      </c>
      <c r="D1105" s="18">
        <v>2.0</v>
      </c>
      <c r="E1105" s="17" t="s">
        <v>115</v>
      </c>
      <c r="F1105" s="15" t="s">
        <v>116</v>
      </c>
      <c r="G1105" s="19">
        <v>5.1100774E7</v>
      </c>
      <c r="H1105" s="15" t="s">
        <v>39</v>
      </c>
      <c r="I1105" s="20" t="s">
        <v>25</v>
      </c>
      <c r="J1105" s="21">
        <v>1.0</v>
      </c>
      <c r="K1105" s="21">
        <v>0.0</v>
      </c>
    </row>
    <row r="1106">
      <c r="A1106" s="15" t="s">
        <v>74</v>
      </c>
      <c r="B1106" s="16" t="s">
        <v>167</v>
      </c>
      <c r="C1106" s="17" t="s">
        <v>168</v>
      </c>
      <c r="D1106" s="18">
        <v>2.0</v>
      </c>
      <c r="E1106" s="17" t="s">
        <v>115</v>
      </c>
      <c r="F1106" s="15" t="s">
        <v>116</v>
      </c>
      <c r="G1106" s="19">
        <v>5.1100774E7</v>
      </c>
      <c r="H1106" s="15" t="s">
        <v>39</v>
      </c>
      <c r="I1106" s="20" t="s">
        <v>17</v>
      </c>
      <c r="J1106" s="21">
        <v>8.7556723E7</v>
      </c>
      <c r="K1106" s="21">
        <v>1285748.0</v>
      </c>
    </row>
    <row r="1107">
      <c r="A1107" s="15" t="s">
        <v>74</v>
      </c>
      <c r="B1107" s="16" t="s">
        <v>167</v>
      </c>
      <c r="C1107" s="17" t="s">
        <v>168</v>
      </c>
      <c r="D1107" s="18">
        <v>2.0</v>
      </c>
      <c r="E1107" s="17" t="s">
        <v>117</v>
      </c>
      <c r="F1107" s="15" t="s">
        <v>118</v>
      </c>
      <c r="G1107" s="19">
        <v>5.1100058E7</v>
      </c>
      <c r="H1107" s="15" t="s">
        <v>36</v>
      </c>
      <c r="I1107" s="20" t="s">
        <v>37</v>
      </c>
      <c r="J1107" s="21">
        <v>1.73283781E8</v>
      </c>
      <c r="K1107" s="21">
        <v>122183.25</v>
      </c>
    </row>
    <row r="1108">
      <c r="A1108" s="15" t="s">
        <v>74</v>
      </c>
      <c r="B1108" s="16" t="s">
        <v>167</v>
      </c>
      <c r="C1108" s="17" t="s">
        <v>168</v>
      </c>
      <c r="D1108" s="18">
        <v>2.0</v>
      </c>
      <c r="E1108" s="17" t="s">
        <v>117</v>
      </c>
      <c r="F1108" s="15" t="s">
        <v>118</v>
      </c>
      <c r="G1108" s="19">
        <v>5.1100651E7</v>
      </c>
      <c r="H1108" s="15" t="s">
        <v>38</v>
      </c>
      <c r="I1108" s="20" t="s">
        <v>25</v>
      </c>
      <c r="J1108" s="21">
        <v>0.0</v>
      </c>
      <c r="K1108" s="21">
        <v>0.0</v>
      </c>
    </row>
    <row r="1109">
      <c r="A1109" s="15" t="s">
        <v>74</v>
      </c>
      <c r="B1109" s="16" t="s">
        <v>167</v>
      </c>
      <c r="C1109" s="17" t="s">
        <v>168</v>
      </c>
      <c r="D1109" s="18">
        <v>2.0</v>
      </c>
      <c r="E1109" s="17" t="s">
        <v>117</v>
      </c>
      <c r="F1109" s="15" t="s">
        <v>118</v>
      </c>
      <c r="G1109" s="19">
        <v>9.0043001E7</v>
      </c>
      <c r="H1109" s="15" t="s">
        <v>18</v>
      </c>
      <c r="I1109" s="20" t="s">
        <v>19</v>
      </c>
      <c r="J1109" s="21">
        <v>2.0247015E7</v>
      </c>
      <c r="K1109" s="21">
        <v>142.0</v>
      </c>
    </row>
    <row r="1110">
      <c r="A1110" s="15" t="s">
        <v>74</v>
      </c>
      <c r="B1110" s="16" t="s">
        <v>167</v>
      </c>
      <c r="C1110" s="17" t="s">
        <v>168</v>
      </c>
      <c r="D1110" s="18">
        <v>2.0</v>
      </c>
      <c r="E1110" s="17" t="s">
        <v>117</v>
      </c>
      <c r="F1110" s="15" t="s">
        <v>118</v>
      </c>
      <c r="G1110" s="19">
        <v>9.0043E7</v>
      </c>
      <c r="H1110" s="15" t="s">
        <v>83</v>
      </c>
      <c r="I1110" s="20" t="s">
        <v>19</v>
      </c>
      <c r="J1110" s="21">
        <v>413871.0</v>
      </c>
      <c r="K1110" s="21">
        <v>3.0</v>
      </c>
    </row>
    <row r="1111">
      <c r="A1111" s="15" t="s">
        <v>74</v>
      </c>
      <c r="B1111" s="16" t="s">
        <v>167</v>
      </c>
      <c r="C1111" s="17" t="s">
        <v>168</v>
      </c>
      <c r="D1111" s="18">
        <v>2.0</v>
      </c>
      <c r="E1111" s="17" t="s">
        <v>117</v>
      </c>
      <c r="F1111" s="15" t="s">
        <v>118</v>
      </c>
      <c r="G1111" s="19">
        <v>5.1100774E7</v>
      </c>
      <c r="H1111" s="15" t="s">
        <v>39</v>
      </c>
      <c r="I1111" s="20" t="s">
        <v>17</v>
      </c>
      <c r="J1111" s="21">
        <v>4.428456E7</v>
      </c>
      <c r="K1111" s="21">
        <v>797.92</v>
      </c>
    </row>
    <row r="1112">
      <c r="A1112" s="15" t="s">
        <v>74</v>
      </c>
      <c r="B1112" s="16" t="s">
        <v>167</v>
      </c>
      <c r="C1112" s="17" t="s">
        <v>168</v>
      </c>
      <c r="D1112" s="18">
        <v>2.0</v>
      </c>
      <c r="E1112" s="17" t="s">
        <v>119</v>
      </c>
      <c r="F1112" s="15" t="s">
        <v>120</v>
      </c>
      <c r="G1112" s="19">
        <v>5.1100774E7</v>
      </c>
      <c r="H1112" s="15" t="s">
        <v>39</v>
      </c>
      <c r="I1112" s="20" t="s">
        <v>17</v>
      </c>
      <c r="J1112" s="21">
        <v>1.8331831E7</v>
      </c>
      <c r="K1112" s="21">
        <v>16.46</v>
      </c>
    </row>
    <row r="1113">
      <c r="A1113" s="15" t="s">
        <v>74</v>
      </c>
      <c r="B1113" s="16" t="s">
        <v>167</v>
      </c>
      <c r="C1113" s="17" t="s">
        <v>168</v>
      </c>
      <c r="D1113" s="18">
        <v>2.0</v>
      </c>
      <c r="E1113" s="17" t="s">
        <v>123</v>
      </c>
      <c r="F1113" s="15" t="s">
        <v>124</v>
      </c>
      <c r="G1113" s="19">
        <v>5.1100651E7</v>
      </c>
      <c r="H1113" s="15" t="s">
        <v>38</v>
      </c>
      <c r="I1113" s="20" t="s">
        <v>25</v>
      </c>
      <c r="J1113" s="21">
        <v>0.0</v>
      </c>
      <c r="K1113" s="21">
        <v>0.0</v>
      </c>
    </row>
    <row r="1114">
      <c r="A1114" s="15" t="s">
        <v>74</v>
      </c>
      <c r="B1114" s="16" t="s">
        <v>167</v>
      </c>
      <c r="C1114" s="17" t="s">
        <v>168</v>
      </c>
      <c r="D1114" s="18">
        <v>2.0</v>
      </c>
      <c r="E1114" s="17" t="s">
        <v>123</v>
      </c>
      <c r="F1114" s="15" t="s">
        <v>124</v>
      </c>
      <c r="G1114" s="19">
        <v>5.1100774E7</v>
      </c>
      <c r="H1114" s="15" t="s">
        <v>39</v>
      </c>
      <c r="I1114" s="20" t="s">
        <v>17</v>
      </c>
      <c r="J1114" s="21">
        <v>1.37306182E8</v>
      </c>
      <c r="K1114" s="21">
        <v>40066.0</v>
      </c>
    </row>
    <row r="1115">
      <c r="A1115" s="15" t="s">
        <v>74</v>
      </c>
      <c r="B1115" s="16" t="s">
        <v>167</v>
      </c>
      <c r="C1115" s="17" t="s">
        <v>168</v>
      </c>
      <c r="D1115" s="18">
        <v>2.0</v>
      </c>
      <c r="E1115" s="17" t="s">
        <v>125</v>
      </c>
      <c r="F1115" s="15" t="s">
        <v>126</v>
      </c>
      <c r="G1115" s="19">
        <v>5.1101056E7</v>
      </c>
      <c r="H1115" s="15" t="s">
        <v>16</v>
      </c>
      <c r="I1115" s="20" t="s">
        <v>17</v>
      </c>
      <c r="J1115" s="21">
        <v>1.29132157E8</v>
      </c>
      <c r="K1115" s="21">
        <v>942570.483</v>
      </c>
    </row>
    <row r="1116">
      <c r="A1116" s="15" t="s">
        <v>74</v>
      </c>
      <c r="B1116" s="16" t="s">
        <v>167</v>
      </c>
      <c r="C1116" s="17" t="s">
        <v>168</v>
      </c>
      <c r="D1116" s="18">
        <v>2.0</v>
      </c>
      <c r="E1116" s="17" t="s">
        <v>125</v>
      </c>
      <c r="F1116" s="15" t="s">
        <v>126</v>
      </c>
      <c r="G1116" s="19">
        <v>9.0043001E7</v>
      </c>
      <c r="H1116" s="15" t="s">
        <v>18</v>
      </c>
      <c r="I1116" s="20" t="s">
        <v>19</v>
      </c>
      <c r="J1116" s="21">
        <v>4.95221025E8</v>
      </c>
      <c r="K1116" s="21">
        <v>3549.5</v>
      </c>
    </row>
    <row r="1117">
      <c r="A1117" s="15" t="s">
        <v>74</v>
      </c>
      <c r="B1117" s="16" t="s">
        <v>167</v>
      </c>
      <c r="C1117" s="17" t="s">
        <v>168</v>
      </c>
      <c r="D1117" s="18">
        <v>2.0</v>
      </c>
      <c r="E1117" s="17" t="s">
        <v>125</v>
      </c>
      <c r="F1117" s="15" t="s">
        <v>126</v>
      </c>
      <c r="G1117" s="19">
        <v>9.0043E7</v>
      </c>
      <c r="H1117" s="15" t="s">
        <v>83</v>
      </c>
      <c r="I1117" s="20" t="s">
        <v>19</v>
      </c>
      <c r="J1117" s="21">
        <v>1.2662604E7</v>
      </c>
      <c r="K1117" s="21">
        <v>92.0</v>
      </c>
    </row>
    <row r="1118">
      <c r="A1118" s="15" t="s">
        <v>74</v>
      </c>
      <c r="B1118" s="16" t="s">
        <v>167</v>
      </c>
      <c r="C1118" s="17" t="s">
        <v>168</v>
      </c>
      <c r="D1118" s="18">
        <v>2.0</v>
      </c>
      <c r="E1118" s="17" t="s">
        <v>127</v>
      </c>
      <c r="F1118" s="15" t="s">
        <v>128</v>
      </c>
      <c r="G1118" s="19">
        <v>5.1100153E7</v>
      </c>
      <c r="H1118" s="15" t="s">
        <v>72</v>
      </c>
      <c r="I1118" s="20" t="s">
        <v>17</v>
      </c>
      <c r="J1118" s="21">
        <v>5.27710211E8</v>
      </c>
      <c r="K1118" s="21">
        <v>4285660.0</v>
      </c>
    </row>
    <row r="1119">
      <c r="A1119" s="15" t="s">
        <v>74</v>
      </c>
      <c r="B1119" s="16" t="s">
        <v>167</v>
      </c>
      <c r="C1119" s="17" t="s">
        <v>168</v>
      </c>
      <c r="D1119" s="18">
        <v>2.0</v>
      </c>
      <c r="E1119" s="17" t="s">
        <v>127</v>
      </c>
      <c r="F1119" s="15" t="s">
        <v>128</v>
      </c>
      <c r="G1119" s="19">
        <v>9.0043002E7</v>
      </c>
      <c r="H1119" s="15" t="s">
        <v>49</v>
      </c>
      <c r="I1119" s="20" t="s">
        <v>50</v>
      </c>
      <c r="J1119" s="21">
        <v>9.2484632E7</v>
      </c>
      <c r="K1119" s="21">
        <v>6749.0</v>
      </c>
    </row>
    <row r="1120">
      <c r="A1120" s="15" t="s">
        <v>74</v>
      </c>
      <c r="B1120" s="16" t="s">
        <v>167</v>
      </c>
      <c r="C1120" s="17" t="s">
        <v>168</v>
      </c>
      <c r="D1120" s="18">
        <v>2.0</v>
      </c>
      <c r="E1120" s="17" t="s">
        <v>129</v>
      </c>
      <c r="F1120" s="15" t="s">
        <v>130</v>
      </c>
      <c r="G1120" s="19">
        <v>5.1100153E7</v>
      </c>
      <c r="H1120" s="15" t="s">
        <v>72</v>
      </c>
      <c r="I1120" s="20" t="s">
        <v>25</v>
      </c>
      <c r="J1120" s="21">
        <v>0.0</v>
      </c>
      <c r="K1120" s="21">
        <v>0.0</v>
      </c>
    </row>
    <row r="1121">
      <c r="A1121" s="15" t="s">
        <v>74</v>
      </c>
      <c r="B1121" s="16" t="s">
        <v>167</v>
      </c>
      <c r="C1121" s="17" t="s">
        <v>168</v>
      </c>
      <c r="D1121" s="18">
        <v>2.0</v>
      </c>
      <c r="E1121" s="17" t="s">
        <v>129</v>
      </c>
      <c r="F1121" s="15" t="s">
        <v>130</v>
      </c>
      <c r="G1121" s="19">
        <v>5.1101056E7</v>
      </c>
      <c r="H1121" s="15" t="s">
        <v>16</v>
      </c>
      <c r="I1121" s="20" t="s">
        <v>17</v>
      </c>
      <c r="J1121" s="21">
        <v>5.555788E7</v>
      </c>
      <c r="K1121" s="21">
        <v>793684.0</v>
      </c>
    </row>
    <row r="1122">
      <c r="A1122" s="15" t="s">
        <v>74</v>
      </c>
      <c r="B1122" s="16" t="s">
        <v>167</v>
      </c>
      <c r="C1122" s="17" t="s">
        <v>168</v>
      </c>
      <c r="D1122" s="18">
        <v>2.0</v>
      </c>
      <c r="E1122" s="17" t="s">
        <v>129</v>
      </c>
      <c r="F1122" s="15" t="s">
        <v>130</v>
      </c>
      <c r="G1122" s="19">
        <v>9.0043001E7</v>
      </c>
      <c r="H1122" s="15" t="s">
        <v>18</v>
      </c>
      <c r="I1122" s="20" t="s">
        <v>19</v>
      </c>
      <c r="J1122" s="21">
        <v>3676450.0</v>
      </c>
      <c r="K1122" s="21">
        <v>25.0</v>
      </c>
    </row>
    <row r="1123">
      <c r="A1123" s="15" t="s">
        <v>74</v>
      </c>
      <c r="B1123" s="16" t="s">
        <v>167</v>
      </c>
      <c r="C1123" s="17" t="s">
        <v>168</v>
      </c>
      <c r="D1123" s="18">
        <v>2.0</v>
      </c>
      <c r="E1123" s="17" t="s">
        <v>129</v>
      </c>
      <c r="F1123" s="15" t="s">
        <v>130</v>
      </c>
      <c r="G1123" s="19">
        <v>9.0043003E7</v>
      </c>
      <c r="H1123" s="15" t="s">
        <v>90</v>
      </c>
      <c r="I1123" s="20" t="s">
        <v>50</v>
      </c>
      <c r="J1123" s="21">
        <v>3.8477646E7</v>
      </c>
      <c r="K1123" s="21">
        <v>325.0</v>
      </c>
    </row>
    <row r="1124">
      <c r="A1124" s="15" t="s">
        <v>74</v>
      </c>
      <c r="B1124" s="16" t="s">
        <v>167</v>
      </c>
      <c r="C1124" s="17" t="s">
        <v>168</v>
      </c>
      <c r="D1124" s="18">
        <v>2.0</v>
      </c>
      <c r="E1124" s="17" t="s">
        <v>131</v>
      </c>
      <c r="F1124" s="15" t="s">
        <v>132</v>
      </c>
      <c r="G1124" s="19">
        <v>9.0043001E7</v>
      </c>
      <c r="H1124" s="15" t="s">
        <v>18</v>
      </c>
      <c r="I1124" s="20" t="s">
        <v>19</v>
      </c>
      <c r="J1124" s="21">
        <v>2692623.0</v>
      </c>
      <c r="K1124" s="21">
        <v>19.0</v>
      </c>
    </row>
    <row r="1125">
      <c r="A1125" s="15" t="s">
        <v>74</v>
      </c>
      <c r="B1125" s="16" t="s">
        <v>167</v>
      </c>
      <c r="C1125" s="17" t="s">
        <v>168</v>
      </c>
      <c r="D1125" s="18">
        <v>2.0</v>
      </c>
      <c r="E1125" s="17" t="s">
        <v>135</v>
      </c>
      <c r="F1125" s="15" t="s">
        <v>136</v>
      </c>
      <c r="G1125" s="19">
        <v>9.0043001E7</v>
      </c>
      <c r="H1125" s="15" t="s">
        <v>18</v>
      </c>
      <c r="I1125" s="20" t="s">
        <v>19</v>
      </c>
      <c r="J1125" s="21">
        <v>1.38095089E8</v>
      </c>
      <c r="K1125" s="21">
        <v>996.0</v>
      </c>
    </row>
    <row r="1126">
      <c r="A1126" s="15" t="s">
        <v>74</v>
      </c>
      <c r="B1126" s="16" t="s">
        <v>167</v>
      </c>
      <c r="C1126" s="17" t="s">
        <v>168</v>
      </c>
      <c r="D1126" s="18">
        <v>2.0</v>
      </c>
      <c r="E1126" s="17" t="s">
        <v>137</v>
      </c>
      <c r="F1126" s="15" t="s">
        <v>138</v>
      </c>
      <c r="G1126" s="19">
        <v>5.1100153E7</v>
      </c>
      <c r="H1126" s="15" t="s">
        <v>72</v>
      </c>
      <c r="I1126" s="20" t="s">
        <v>17</v>
      </c>
      <c r="J1126" s="21">
        <v>5480513.0</v>
      </c>
      <c r="K1126" s="21">
        <v>48720.0</v>
      </c>
    </row>
    <row r="1127">
      <c r="A1127" s="15" t="s">
        <v>74</v>
      </c>
      <c r="B1127" s="16" t="s">
        <v>167</v>
      </c>
      <c r="C1127" s="17" t="s">
        <v>168</v>
      </c>
      <c r="D1127" s="18">
        <v>2.0</v>
      </c>
      <c r="E1127" s="17" t="s">
        <v>162</v>
      </c>
      <c r="F1127" s="15" t="s">
        <v>163</v>
      </c>
      <c r="G1127" s="19">
        <v>9.0043001E7</v>
      </c>
      <c r="H1127" s="15" t="s">
        <v>18</v>
      </c>
      <c r="I1127" s="20" t="s">
        <v>19</v>
      </c>
      <c r="J1127" s="21">
        <v>1.673521E7</v>
      </c>
      <c r="K1127" s="21">
        <v>121.0</v>
      </c>
    </row>
    <row r="1128">
      <c r="A1128" s="15" t="s">
        <v>74</v>
      </c>
      <c r="B1128" s="16" t="s">
        <v>167</v>
      </c>
      <c r="C1128" s="17" t="s">
        <v>168</v>
      </c>
      <c r="D1128" s="18">
        <v>2.0</v>
      </c>
      <c r="E1128" s="17" t="s">
        <v>54</v>
      </c>
      <c r="F1128" s="15" t="s">
        <v>139</v>
      </c>
      <c r="G1128" s="19">
        <v>9.0042011E7</v>
      </c>
      <c r="H1128" s="15" t="s">
        <v>55</v>
      </c>
      <c r="I1128" s="20" t="s">
        <v>19</v>
      </c>
      <c r="J1128" s="21">
        <v>2.31332397E8</v>
      </c>
      <c r="K1128" s="21">
        <v>0.0</v>
      </c>
    </row>
    <row r="1129">
      <c r="A1129" s="15" t="s">
        <v>74</v>
      </c>
      <c r="B1129" s="16" t="s">
        <v>167</v>
      </c>
      <c r="C1129" s="17" t="s">
        <v>168</v>
      </c>
      <c r="D1129" s="18">
        <v>2.0</v>
      </c>
      <c r="E1129" s="17" t="s">
        <v>20</v>
      </c>
      <c r="F1129" s="15" t="s">
        <v>140</v>
      </c>
      <c r="G1129" s="19">
        <v>5.1100064E7</v>
      </c>
      <c r="H1129" s="15" t="s">
        <v>53</v>
      </c>
      <c r="I1129" s="20" t="s">
        <v>37</v>
      </c>
      <c r="J1129" s="21">
        <v>0.0</v>
      </c>
      <c r="K1129" s="21">
        <v>0.0</v>
      </c>
    </row>
    <row r="1130">
      <c r="A1130" s="15" t="s">
        <v>74</v>
      </c>
      <c r="B1130" s="16" t="s">
        <v>167</v>
      </c>
      <c r="C1130" s="17" t="s">
        <v>168</v>
      </c>
      <c r="D1130" s="18">
        <v>2.0</v>
      </c>
      <c r="E1130" s="17" t="s">
        <v>20</v>
      </c>
      <c r="F1130" s="15" t="s">
        <v>140</v>
      </c>
      <c r="G1130" s="19">
        <v>9.0042014E7</v>
      </c>
      <c r="H1130" s="15" t="s">
        <v>21</v>
      </c>
      <c r="I1130" s="20" t="s">
        <v>19</v>
      </c>
      <c r="J1130" s="21">
        <v>5.2906793E8</v>
      </c>
      <c r="K1130" s="21">
        <v>0.0</v>
      </c>
    </row>
    <row r="1131">
      <c r="A1131" s="15" t="s">
        <v>74</v>
      </c>
      <c r="B1131" s="16" t="s">
        <v>167</v>
      </c>
      <c r="C1131" s="17" t="s">
        <v>168</v>
      </c>
      <c r="D1131" s="18">
        <v>2.0</v>
      </c>
      <c r="E1131" s="17" t="s">
        <v>20</v>
      </c>
      <c r="F1131" s="15" t="s">
        <v>140</v>
      </c>
      <c r="G1131" s="19">
        <v>9.0042077E7</v>
      </c>
      <c r="H1131" s="15" t="s">
        <v>141</v>
      </c>
      <c r="I1131" s="20" t="s">
        <v>19</v>
      </c>
      <c r="J1131" s="21">
        <v>2.55101578E8</v>
      </c>
      <c r="K1131" s="21">
        <v>0.0</v>
      </c>
    </row>
    <row r="1132">
      <c r="A1132" s="15" t="s">
        <v>74</v>
      </c>
      <c r="B1132" s="16" t="s">
        <v>167</v>
      </c>
      <c r="C1132" s="17" t="s">
        <v>168</v>
      </c>
      <c r="D1132" s="18">
        <v>2.0</v>
      </c>
      <c r="E1132" s="17" t="s">
        <v>142</v>
      </c>
      <c r="F1132" s="15" t="s">
        <v>143</v>
      </c>
      <c r="G1132" s="19">
        <v>9.0042084E7</v>
      </c>
      <c r="H1132" s="15" t="s">
        <v>145</v>
      </c>
      <c r="I1132" s="20" t="s">
        <v>19</v>
      </c>
      <c r="J1132" s="21">
        <v>1.5426945E7</v>
      </c>
      <c r="K1132" s="21">
        <v>0.0</v>
      </c>
    </row>
    <row r="1133">
      <c r="A1133" s="15" t="s">
        <v>74</v>
      </c>
      <c r="B1133" s="16" t="s">
        <v>167</v>
      </c>
      <c r="C1133" s="17" t="s">
        <v>168</v>
      </c>
      <c r="D1133" s="18">
        <v>2.0</v>
      </c>
      <c r="E1133" s="17" t="s">
        <v>22</v>
      </c>
      <c r="F1133" s="15" t="s">
        <v>146</v>
      </c>
      <c r="G1133" s="19">
        <v>9.0042012E7</v>
      </c>
      <c r="H1133" s="15" t="s">
        <v>23</v>
      </c>
      <c r="I1133" s="20" t="s">
        <v>19</v>
      </c>
      <c r="J1133" s="21">
        <v>1.6682308E8</v>
      </c>
      <c r="K1133" s="21">
        <v>0.0</v>
      </c>
    </row>
    <row r="1134">
      <c r="A1134" s="15" t="s">
        <v>74</v>
      </c>
      <c r="B1134" s="16" t="s">
        <v>167</v>
      </c>
      <c r="C1134" s="17" t="s">
        <v>168</v>
      </c>
      <c r="D1134" s="18">
        <v>2.0</v>
      </c>
      <c r="E1134" s="17" t="s">
        <v>22</v>
      </c>
      <c r="F1134" s="15" t="s">
        <v>146</v>
      </c>
      <c r="G1134" s="19">
        <v>9.0042121E7</v>
      </c>
      <c r="H1134" s="15" t="s">
        <v>24</v>
      </c>
      <c r="I1134" s="20" t="s">
        <v>25</v>
      </c>
      <c r="J1134" s="21">
        <v>7.5857171E7</v>
      </c>
      <c r="K1134" s="21">
        <v>0.0</v>
      </c>
    </row>
    <row r="1135">
      <c r="A1135" s="15" t="s">
        <v>74</v>
      </c>
      <c r="B1135" s="16" t="s">
        <v>167</v>
      </c>
      <c r="C1135" s="17" t="s">
        <v>168</v>
      </c>
      <c r="D1135" s="18">
        <v>2.0</v>
      </c>
      <c r="E1135" s="17" t="s">
        <v>22</v>
      </c>
      <c r="F1135" s="15" t="s">
        <v>146</v>
      </c>
      <c r="G1135" s="19">
        <v>9.0042122E7</v>
      </c>
      <c r="H1135" s="15" t="s">
        <v>56</v>
      </c>
      <c r="I1135" s="20" t="s">
        <v>25</v>
      </c>
      <c r="J1135" s="21">
        <v>8201539.0</v>
      </c>
      <c r="K1135" s="21">
        <v>0.0</v>
      </c>
    </row>
    <row r="1136">
      <c r="A1136" s="15" t="s">
        <v>74</v>
      </c>
      <c r="B1136" s="16" t="s">
        <v>167</v>
      </c>
      <c r="C1136" s="17" t="s">
        <v>168</v>
      </c>
      <c r="D1136" s="18">
        <v>2.0</v>
      </c>
      <c r="E1136" s="17" t="s">
        <v>22</v>
      </c>
      <c r="F1136" s="15" t="s">
        <v>146</v>
      </c>
      <c r="G1136" s="19">
        <v>9.0042124E7</v>
      </c>
      <c r="H1136" s="15" t="s">
        <v>57</v>
      </c>
      <c r="I1136" s="20" t="s">
        <v>25</v>
      </c>
      <c r="J1136" s="21">
        <v>5002449.0</v>
      </c>
      <c r="K1136" s="21">
        <v>0.0</v>
      </c>
    </row>
    <row r="1137">
      <c r="A1137" s="15" t="s">
        <v>74</v>
      </c>
      <c r="B1137" s="16" t="s">
        <v>167</v>
      </c>
      <c r="C1137" s="17" t="s">
        <v>168</v>
      </c>
      <c r="D1137" s="18">
        <v>2.0</v>
      </c>
      <c r="E1137" s="17" t="s">
        <v>22</v>
      </c>
      <c r="F1137" s="15" t="s">
        <v>146</v>
      </c>
      <c r="G1137" s="19">
        <v>9.0042125E7</v>
      </c>
      <c r="H1137" s="15" t="s">
        <v>26</v>
      </c>
      <c r="I1137" s="20" t="s">
        <v>25</v>
      </c>
      <c r="J1137" s="21">
        <v>5.4202629E7</v>
      </c>
      <c r="K1137" s="21">
        <v>0.0</v>
      </c>
    </row>
    <row r="1138">
      <c r="A1138" s="15" t="s">
        <v>74</v>
      </c>
      <c r="B1138" s="16" t="s">
        <v>167</v>
      </c>
      <c r="C1138" s="17" t="s">
        <v>168</v>
      </c>
      <c r="D1138" s="18">
        <v>2.0</v>
      </c>
      <c r="E1138" s="17" t="s">
        <v>22</v>
      </c>
      <c r="F1138" s="15" t="s">
        <v>146</v>
      </c>
      <c r="G1138" s="19">
        <v>9.0042127E7</v>
      </c>
      <c r="H1138" s="15" t="s">
        <v>27</v>
      </c>
      <c r="I1138" s="20" t="s">
        <v>25</v>
      </c>
      <c r="J1138" s="21">
        <v>6.7281047E7</v>
      </c>
      <c r="K1138" s="21">
        <v>0.0</v>
      </c>
    </row>
    <row r="1139">
      <c r="A1139" s="15" t="s">
        <v>74</v>
      </c>
      <c r="B1139" s="16" t="s">
        <v>167</v>
      </c>
      <c r="C1139" s="17" t="s">
        <v>168</v>
      </c>
      <c r="D1139" s="18">
        <v>2.0</v>
      </c>
      <c r="E1139" s="17" t="s">
        <v>22</v>
      </c>
      <c r="F1139" s="15" t="s">
        <v>146</v>
      </c>
      <c r="G1139" s="19">
        <v>9.0042128E7</v>
      </c>
      <c r="H1139" s="15" t="s">
        <v>58</v>
      </c>
      <c r="I1139" s="20" t="s">
        <v>25</v>
      </c>
      <c r="J1139" s="21">
        <v>8858106.0</v>
      </c>
      <c r="K1139" s="21">
        <v>0.0</v>
      </c>
    </row>
    <row r="1140">
      <c r="A1140" s="15" t="s">
        <v>74</v>
      </c>
      <c r="B1140" s="16" t="s">
        <v>167</v>
      </c>
      <c r="C1140" s="17" t="s">
        <v>168</v>
      </c>
      <c r="D1140" s="18">
        <v>2.0</v>
      </c>
      <c r="E1140" s="17" t="s">
        <v>22</v>
      </c>
      <c r="F1140" s="15" t="s">
        <v>146</v>
      </c>
      <c r="G1140" s="19">
        <v>9.0042132E7</v>
      </c>
      <c r="H1140" s="15" t="s">
        <v>28</v>
      </c>
      <c r="I1140" s="20" t="s">
        <v>25</v>
      </c>
      <c r="J1140" s="21">
        <v>5185930.0</v>
      </c>
      <c r="K1140" s="21">
        <v>0.0</v>
      </c>
    </row>
    <row r="1141">
      <c r="A1141" s="15" t="s">
        <v>74</v>
      </c>
      <c r="B1141" s="16" t="s">
        <v>167</v>
      </c>
      <c r="C1141" s="17" t="s">
        <v>168</v>
      </c>
      <c r="D1141" s="18">
        <v>2.0</v>
      </c>
      <c r="E1141" s="17" t="s">
        <v>22</v>
      </c>
      <c r="F1141" s="15" t="s">
        <v>146</v>
      </c>
      <c r="G1141" s="19">
        <v>9.0042135E7</v>
      </c>
      <c r="H1141" s="15" t="s">
        <v>30</v>
      </c>
      <c r="I1141" s="20" t="s">
        <v>25</v>
      </c>
      <c r="J1141" s="21">
        <v>1.97561034E8</v>
      </c>
      <c r="K1141" s="21">
        <v>0.0</v>
      </c>
    </row>
    <row r="1142">
      <c r="A1142" s="15" t="s">
        <v>74</v>
      </c>
      <c r="B1142" s="16" t="s">
        <v>167</v>
      </c>
      <c r="C1142" s="17" t="s">
        <v>168</v>
      </c>
      <c r="D1142" s="18">
        <v>2.0</v>
      </c>
      <c r="E1142" s="17" t="s">
        <v>22</v>
      </c>
      <c r="F1142" s="15" t="s">
        <v>146</v>
      </c>
      <c r="G1142" s="19">
        <v>9.00422E7</v>
      </c>
      <c r="H1142" s="15" t="s">
        <v>73</v>
      </c>
      <c r="I1142" s="20" t="s">
        <v>60</v>
      </c>
      <c r="J1142" s="21">
        <v>9.5700734E8</v>
      </c>
      <c r="K1142" s="21">
        <v>0.0</v>
      </c>
    </row>
    <row r="1143">
      <c r="A1143" s="15" t="s">
        <v>74</v>
      </c>
      <c r="B1143" s="16" t="s">
        <v>167</v>
      </c>
      <c r="C1143" s="17" t="s">
        <v>168</v>
      </c>
      <c r="D1143" s="18">
        <v>2.0</v>
      </c>
      <c r="E1143" s="17" t="s">
        <v>22</v>
      </c>
      <c r="F1143" s="15" t="s">
        <v>146</v>
      </c>
      <c r="G1143" s="19">
        <v>9.0042223E7</v>
      </c>
      <c r="H1143" s="15" t="s">
        <v>61</v>
      </c>
      <c r="I1143" s="20" t="s">
        <v>60</v>
      </c>
      <c r="J1143" s="21">
        <v>7852260.0</v>
      </c>
      <c r="K1143" s="21">
        <v>0.0</v>
      </c>
    </row>
    <row r="1144">
      <c r="A1144" s="15" t="s">
        <v>74</v>
      </c>
      <c r="B1144" s="16" t="s">
        <v>167</v>
      </c>
      <c r="C1144" s="17" t="s">
        <v>168</v>
      </c>
      <c r="D1144" s="18">
        <v>2.0</v>
      </c>
      <c r="E1144" s="17" t="s">
        <v>22</v>
      </c>
      <c r="F1144" s="15" t="s">
        <v>146</v>
      </c>
      <c r="G1144" s="19">
        <v>9.0042224E7</v>
      </c>
      <c r="H1144" s="15" t="s">
        <v>62</v>
      </c>
      <c r="I1144" s="20" t="s">
        <v>60</v>
      </c>
      <c r="J1144" s="21">
        <v>4757272.0</v>
      </c>
      <c r="K1144" s="21">
        <v>0.0</v>
      </c>
    </row>
    <row r="1145">
      <c r="A1145" s="15" t="s">
        <v>74</v>
      </c>
      <c r="B1145" s="16" t="s">
        <v>167</v>
      </c>
      <c r="C1145" s="17" t="s">
        <v>168</v>
      </c>
      <c r="D1145" s="18">
        <v>2.0</v>
      </c>
      <c r="E1145" s="17" t="s">
        <v>22</v>
      </c>
      <c r="F1145" s="15" t="s">
        <v>146</v>
      </c>
      <c r="G1145" s="19">
        <v>9.0042225E7</v>
      </c>
      <c r="H1145" s="15" t="s">
        <v>147</v>
      </c>
      <c r="I1145" s="20" t="s">
        <v>60</v>
      </c>
      <c r="J1145" s="21">
        <v>6123490.0</v>
      </c>
      <c r="K1145" s="21">
        <v>0.0</v>
      </c>
    </row>
    <row r="1146">
      <c r="A1146" s="15" t="s">
        <v>74</v>
      </c>
      <c r="B1146" s="16" t="s">
        <v>167</v>
      </c>
      <c r="C1146" s="17" t="s">
        <v>168</v>
      </c>
      <c r="D1146" s="18">
        <v>2.0</v>
      </c>
      <c r="E1146" s="17" t="s">
        <v>22</v>
      </c>
      <c r="F1146" s="15" t="s">
        <v>146</v>
      </c>
      <c r="G1146" s="19">
        <v>9.0042226E7</v>
      </c>
      <c r="H1146" s="15" t="s">
        <v>63</v>
      </c>
      <c r="I1146" s="20" t="s">
        <v>60</v>
      </c>
      <c r="J1146" s="21">
        <v>220000.0</v>
      </c>
      <c r="K1146" s="21">
        <v>0.0</v>
      </c>
    </row>
    <row r="1147">
      <c r="A1147" s="15" t="s">
        <v>74</v>
      </c>
      <c r="B1147" s="16" t="s">
        <v>167</v>
      </c>
      <c r="C1147" s="17" t="s">
        <v>168</v>
      </c>
      <c r="D1147" s="18">
        <v>2.0</v>
      </c>
      <c r="E1147" s="17" t="s">
        <v>22</v>
      </c>
      <c r="F1147" s="15" t="s">
        <v>146</v>
      </c>
      <c r="G1147" s="19">
        <v>9.0042228E7</v>
      </c>
      <c r="H1147" s="15" t="s">
        <v>64</v>
      </c>
      <c r="I1147" s="20" t="s">
        <v>60</v>
      </c>
      <c r="J1147" s="21">
        <v>1.10789923E8</v>
      </c>
      <c r="K1147" s="21">
        <v>0.0</v>
      </c>
    </row>
    <row r="1148">
      <c r="A1148" s="15" t="s">
        <v>74</v>
      </c>
      <c r="B1148" s="16" t="s">
        <v>167</v>
      </c>
      <c r="C1148" s="17" t="s">
        <v>168</v>
      </c>
      <c r="D1148" s="18">
        <v>2.0</v>
      </c>
      <c r="E1148" s="17" t="s">
        <v>22</v>
      </c>
      <c r="F1148" s="15" t="s">
        <v>146</v>
      </c>
      <c r="G1148" s="19">
        <v>9.0042231E7</v>
      </c>
      <c r="H1148" s="15" t="s">
        <v>65</v>
      </c>
      <c r="I1148" s="20" t="s">
        <v>60</v>
      </c>
      <c r="J1148" s="21">
        <v>8491630.0</v>
      </c>
      <c r="K1148" s="21">
        <v>0.0</v>
      </c>
    </row>
    <row r="1149">
      <c r="A1149" s="15" t="s">
        <v>74</v>
      </c>
      <c r="B1149" s="16" t="s">
        <v>167</v>
      </c>
      <c r="C1149" s="17" t="s">
        <v>168</v>
      </c>
      <c r="D1149" s="18">
        <v>2.0</v>
      </c>
      <c r="E1149" s="17" t="s">
        <v>22</v>
      </c>
      <c r="F1149" s="15" t="s">
        <v>146</v>
      </c>
      <c r="G1149" s="19">
        <v>9.0042126E7</v>
      </c>
      <c r="H1149" s="15" t="s">
        <v>31</v>
      </c>
      <c r="I1149" s="20" t="s">
        <v>25</v>
      </c>
      <c r="J1149" s="21">
        <v>5.9461021E7</v>
      </c>
      <c r="K1149" s="21">
        <v>0.0</v>
      </c>
    </row>
    <row r="1150">
      <c r="A1150" s="15" t="s">
        <v>74</v>
      </c>
      <c r="B1150" s="16" t="s">
        <v>170</v>
      </c>
      <c r="C1150" s="17" t="s">
        <v>171</v>
      </c>
      <c r="D1150" s="18">
        <v>2.0</v>
      </c>
      <c r="E1150" s="24">
        <v>46038.0</v>
      </c>
      <c r="F1150" s="15" t="s">
        <v>150</v>
      </c>
      <c r="G1150" s="19">
        <v>9.0043001E7</v>
      </c>
      <c r="H1150" s="15" t="s">
        <v>18</v>
      </c>
      <c r="I1150" s="20" t="s">
        <v>19</v>
      </c>
      <c r="J1150" s="21">
        <v>1425322.0</v>
      </c>
      <c r="K1150" s="21">
        <v>10.0</v>
      </c>
    </row>
    <row r="1151">
      <c r="A1151" s="15" t="s">
        <v>74</v>
      </c>
      <c r="B1151" s="16" t="s">
        <v>170</v>
      </c>
      <c r="C1151" s="17" t="s">
        <v>171</v>
      </c>
      <c r="D1151" s="18">
        <v>2.0</v>
      </c>
      <c r="E1151" s="17" t="s">
        <v>81</v>
      </c>
      <c r="F1151" s="15" t="s">
        <v>82</v>
      </c>
      <c r="G1151" s="19">
        <v>9.0043001E7</v>
      </c>
      <c r="H1151" s="15" t="s">
        <v>18</v>
      </c>
      <c r="I1151" s="20" t="s">
        <v>19</v>
      </c>
      <c r="J1151" s="21">
        <v>1.0580887E7</v>
      </c>
      <c r="K1151" s="21">
        <v>77.0</v>
      </c>
    </row>
    <row r="1152">
      <c r="A1152" s="15" t="s">
        <v>74</v>
      </c>
      <c r="B1152" s="16" t="s">
        <v>170</v>
      </c>
      <c r="C1152" s="17" t="s">
        <v>171</v>
      </c>
      <c r="D1152" s="18">
        <v>2.0</v>
      </c>
      <c r="E1152" s="17" t="s">
        <v>84</v>
      </c>
      <c r="F1152" s="15" t="s">
        <v>85</v>
      </c>
      <c r="G1152" s="19">
        <v>9.0043001E7</v>
      </c>
      <c r="H1152" s="15" t="s">
        <v>18</v>
      </c>
      <c r="I1152" s="20" t="s">
        <v>19</v>
      </c>
      <c r="J1152" s="21">
        <v>1.1535259E7</v>
      </c>
      <c r="K1152" s="21">
        <v>80.0</v>
      </c>
    </row>
    <row r="1153">
      <c r="A1153" s="15" t="s">
        <v>74</v>
      </c>
      <c r="B1153" s="16" t="s">
        <v>170</v>
      </c>
      <c r="C1153" s="17" t="s">
        <v>171</v>
      </c>
      <c r="D1153" s="18">
        <v>2.0</v>
      </c>
      <c r="E1153" s="17" t="s">
        <v>86</v>
      </c>
      <c r="F1153" s="15" t="s">
        <v>87</v>
      </c>
      <c r="G1153" s="19">
        <v>9.0043001E7</v>
      </c>
      <c r="H1153" s="15" t="s">
        <v>18</v>
      </c>
      <c r="I1153" s="20" t="s">
        <v>19</v>
      </c>
      <c r="J1153" s="21">
        <v>7960996.0</v>
      </c>
      <c r="K1153" s="21">
        <v>53.0</v>
      </c>
    </row>
    <row r="1154">
      <c r="A1154" s="15" t="s">
        <v>74</v>
      </c>
      <c r="B1154" s="16" t="s">
        <v>170</v>
      </c>
      <c r="C1154" s="17" t="s">
        <v>171</v>
      </c>
      <c r="D1154" s="18">
        <v>2.0</v>
      </c>
      <c r="E1154" s="17" t="s">
        <v>173</v>
      </c>
      <c r="F1154" s="15" t="s">
        <v>174</v>
      </c>
      <c r="G1154" s="19">
        <v>9.0043002E7</v>
      </c>
      <c r="H1154" s="15" t="s">
        <v>49</v>
      </c>
      <c r="I1154" s="20" t="s">
        <v>50</v>
      </c>
      <c r="J1154" s="21">
        <v>1065616.0</v>
      </c>
      <c r="K1154" s="21">
        <v>141.0</v>
      </c>
    </row>
    <row r="1155">
      <c r="A1155" s="15" t="s">
        <v>74</v>
      </c>
      <c r="B1155" s="16" t="s">
        <v>170</v>
      </c>
      <c r="C1155" s="17" t="s">
        <v>171</v>
      </c>
      <c r="D1155" s="18">
        <v>2.0</v>
      </c>
      <c r="E1155" s="17" t="s">
        <v>173</v>
      </c>
      <c r="F1155" s="15" t="s">
        <v>174</v>
      </c>
      <c r="G1155" s="19">
        <v>9.0043003E7</v>
      </c>
      <c r="H1155" s="15" t="s">
        <v>90</v>
      </c>
      <c r="I1155" s="20" t="s">
        <v>50</v>
      </c>
      <c r="J1155" s="21">
        <v>2.9662199E7</v>
      </c>
      <c r="K1155" s="21">
        <v>53.0</v>
      </c>
    </row>
    <row r="1156">
      <c r="A1156" s="15" t="s">
        <v>74</v>
      </c>
      <c r="B1156" s="16" t="s">
        <v>170</v>
      </c>
      <c r="C1156" s="17" t="s">
        <v>171</v>
      </c>
      <c r="D1156" s="18">
        <v>2.0</v>
      </c>
      <c r="E1156" s="17" t="s">
        <v>88</v>
      </c>
      <c r="F1156" s="15" t="s">
        <v>89</v>
      </c>
      <c r="G1156" s="19">
        <v>5.1100651E7</v>
      </c>
      <c r="H1156" s="15" t="s">
        <v>38</v>
      </c>
      <c r="I1156" s="20" t="s">
        <v>25</v>
      </c>
      <c r="J1156" s="21">
        <v>3.0</v>
      </c>
      <c r="K1156" s="21">
        <v>0.0</v>
      </c>
    </row>
    <row r="1157">
      <c r="A1157" s="15" t="s">
        <v>74</v>
      </c>
      <c r="B1157" s="16" t="s">
        <v>170</v>
      </c>
      <c r="C1157" s="17" t="s">
        <v>171</v>
      </c>
      <c r="D1157" s="18">
        <v>2.0</v>
      </c>
      <c r="E1157" s="17" t="s">
        <v>154</v>
      </c>
      <c r="F1157" s="15" t="s">
        <v>155</v>
      </c>
      <c r="G1157" s="19">
        <v>9.0043002E7</v>
      </c>
      <c r="H1157" s="15" t="s">
        <v>49</v>
      </c>
      <c r="I1157" s="20" t="s">
        <v>50</v>
      </c>
      <c r="J1157" s="21">
        <v>1.2231446E7</v>
      </c>
      <c r="K1157" s="21">
        <v>1613.0</v>
      </c>
    </row>
    <row r="1158">
      <c r="A1158" s="15" t="s">
        <v>74</v>
      </c>
      <c r="B1158" s="16" t="s">
        <v>170</v>
      </c>
      <c r="C1158" s="17" t="s">
        <v>171</v>
      </c>
      <c r="D1158" s="18">
        <v>2.0</v>
      </c>
      <c r="E1158" s="17" t="s">
        <v>154</v>
      </c>
      <c r="F1158" s="15" t="s">
        <v>155</v>
      </c>
      <c r="G1158" s="19">
        <v>9.0043003E7</v>
      </c>
      <c r="H1158" s="15" t="s">
        <v>90</v>
      </c>
      <c r="I1158" s="20" t="s">
        <v>50</v>
      </c>
      <c r="J1158" s="21">
        <v>6.2564807E7</v>
      </c>
      <c r="K1158" s="21">
        <v>99.0</v>
      </c>
    </row>
    <row r="1159">
      <c r="A1159" s="15" t="s">
        <v>74</v>
      </c>
      <c r="B1159" s="16" t="s">
        <v>170</v>
      </c>
      <c r="C1159" s="17" t="s">
        <v>171</v>
      </c>
      <c r="D1159" s="18">
        <v>2.0</v>
      </c>
      <c r="E1159" s="17" t="s">
        <v>95</v>
      </c>
      <c r="F1159" s="15" t="s">
        <v>96</v>
      </c>
      <c r="G1159" s="19">
        <v>5.1100061E7</v>
      </c>
      <c r="H1159" s="15" t="s">
        <v>42</v>
      </c>
      <c r="I1159" s="20" t="s">
        <v>37</v>
      </c>
      <c r="J1159" s="21">
        <v>1.6397946E7</v>
      </c>
      <c r="K1159" s="21">
        <v>187.48</v>
      </c>
    </row>
    <row r="1160">
      <c r="A1160" s="15" t="s">
        <v>74</v>
      </c>
      <c r="B1160" s="16" t="s">
        <v>170</v>
      </c>
      <c r="C1160" s="17" t="s">
        <v>171</v>
      </c>
      <c r="D1160" s="18">
        <v>2.0</v>
      </c>
      <c r="E1160" s="17" t="s">
        <v>95</v>
      </c>
      <c r="F1160" s="15" t="s">
        <v>96</v>
      </c>
      <c r="G1160" s="19">
        <v>9.0043001E7</v>
      </c>
      <c r="H1160" s="15" t="s">
        <v>18</v>
      </c>
      <c r="I1160" s="20" t="s">
        <v>19</v>
      </c>
      <c r="J1160" s="21">
        <v>3.8764079E7</v>
      </c>
      <c r="K1160" s="21">
        <v>269.0</v>
      </c>
    </row>
    <row r="1161">
      <c r="A1161" s="15" t="s">
        <v>74</v>
      </c>
      <c r="B1161" s="16" t="s">
        <v>170</v>
      </c>
      <c r="C1161" s="17" t="s">
        <v>171</v>
      </c>
      <c r="D1161" s="18">
        <v>2.0</v>
      </c>
      <c r="E1161" s="17" t="s">
        <v>95</v>
      </c>
      <c r="F1161" s="15" t="s">
        <v>96</v>
      </c>
      <c r="G1161" s="19">
        <v>5.1100774E7</v>
      </c>
      <c r="H1161" s="15" t="s">
        <v>39</v>
      </c>
      <c r="I1161" s="20" t="s">
        <v>17</v>
      </c>
      <c r="J1161" s="21">
        <v>2864488.0</v>
      </c>
      <c r="K1161" s="21">
        <v>51.44</v>
      </c>
    </row>
    <row r="1162">
      <c r="A1162" s="15" t="s">
        <v>74</v>
      </c>
      <c r="B1162" s="16" t="s">
        <v>170</v>
      </c>
      <c r="C1162" s="17" t="s">
        <v>171</v>
      </c>
      <c r="D1162" s="18">
        <v>2.0</v>
      </c>
      <c r="E1162" s="17" t="s">
        <v>99</v>
      </c>
      <c r="F1162" s="15" t="s">
        <v>100</v>
      </c>
      <c r="G1162" s="19">
        <v>9.0043001E7</v>
      </c>
      <c r="H1162" s="15" t="s">
        <v>18</v>
      </c>
      <c r="I1162" s="20" t="s">
        <v>19</v>
      </c>
      <c r="J1162" s="21">
        <v>6979250.0</v>
      </c>
      <c r="K1162" s="21">
        <v>49.0</v>
      </c>
    </row>
    <row r="1163">
      <c r="A1163" s="15" t="s">
        <v>74</v>
      </c>
      <c r="B1163" s="16" t="s">
        <v>170</v>
      </c>
      <c r="C1163" s="17" t="s">
        <v>171</v>
      </c>
      <c r="D1163" s="18">
        <v>2.0</v>
      </c>
      <c r="E1163" s="17" t="s">
        <v>101</v>
      </c>
      <c r="F1163" s="15" t="s">
        <v>102</v>
      </c>
      <c r="G1163" s="19">
        <v>9.0043001E7</v>
      </c>
      <c r="H1163" s="15" t="s">
        <v>18</v>
      </c>
      <c r="I1163" s="20" t="s">
        <v>19</v>
      </c>
      <c r="J1163" s="21">
        <v>1.1444098E7</v>
      </c>
      <c r="K1163" s="21">
        <v>79.0</v>
      </c>
    </row>
    <row r="1164">
      <c r="A1164" s="15" t="s">
        <v>74</v>
      </c>
      <c r="B1164" s="16" t="s">
        <v>170</v>
      </c>
      <c r="C1164" s="17" t="s">
        <v>171</v>
      </c>
      <c r="D1164" s="18">
        <v>2.0</v>
      </c>
      <c r="E1164" s="17" t="s">
        <v>103</v>
      </c>
      <c r="F1164" s="15" t="s">
        <v>104</v>
      </c>
      <c r="G1164" s="19">
        <v>5.1100061E7</v>
      </c>
      <c r="H1164" s="15" t="s">
        <v>42</v>
      </c>
      <c r="I1164" s="20" t="s">
        <v>37</v>
      </c>
      <c r="J1164" s="21">
        <v>1.6815617E7</v>
      </c>
      <c r="K1164" s="21">
        <v>205.32</v>
      </c>
    </row>
    <row r="1165">
      <c r="A1165" s="15" t="s">
        <v>74</v>
      </c>
      <c r="B1165" s="16" t="s">
        <v>170</v>
      </c>
      <c r="C1165" s="17" t="s">
        <v>171</v>
      </c>
      <c r="D1165" s="18">
        <v>2.0</v>
      </c>
      <c r="E1165" s="17" t="s">
        <v>103</v>
      </c>
      <c r="F1165" s="15" t="s">
        <v>104</v>
      </c>
      <c r="G1165" s="19">
        <v>9.0043001E7</v>
      </c>
      <c r="H1165" s="15" t="s">
        <v>18</v>
      </c>
      <c r="I1165" s="20" t="s">
        <v>19</v>
      </c>
      <c r="J1165" s="21">
        <v>1.2082056E7</v>
      </c>
      <c r="K1165" s="21">
        <v>84.0</v>
      </c>
    </row>
    <row r="1166">
      <c r="A1166" s="15" t="s">
        <v>74</v>
      </c>
      <c r="B1166" s="16" t="s">
        <v>170</v>
      </c>
      <c r="C1166" s="17" t="s">
        <v>171</v>
      </c>
      <c r="D1166" s="18">
        <v>2.0</v>
      </c>
      <c r="E1166" s="17" t="s">
        <v>103</v>
      </c>
      <c r="F1166" s="15" t="s">
        <v>104</v>
      </c>
      <c r="G1166" s="19">
        <v>5.1100774E7</v>
      </c>
      <c r="H1166" s="15" t="s">
        <v>39</v>
      </c>
      <c r="I1166" s="20" t="s">
        <v>17</v>
      </c>
      <c r="J1166" s="21">
        <v>1.11075E7</v>
      </c>
      <c r="K1166" s="21">
        <v>74.8</v>
      </c>
    </row>
    <row r="1167">
      <c r="A1167" s="15" t="s">
        <v>74</v>
      </c>
      <c r="B1167" s="16" t="s">
        <v>170</v>
      </c>
      <c r="C1167" s="17" t="s">
        <v>171</v>
      </c>
      <c r="D1167" s="18">
        <v>2.0</v>
      </c>
      <c r="E1167" s="17" t="s">
        <v>205</v>
      </c>
      <c r="F1167" s="15" t="s">
        <v>206</v>
      </c>
      <c r="G1167" s="19">
        <v>9.0043001E7</v>
      </c>
      <c r="H1167" s="15" t="s">
        <v>18</v>
      </c>
      <c r="I1167" s="20" t="s">
        <v>19</v>
      </c>
      <c r="J1167" s="21">
        <v>718817.0</v>
      </c>
      <c r="K1167" s="21">
        <v>5.0</v>
      </c>
    </row>
    <row r="1168">
      <c r="A1168" s="15" t="s">
        <v>74</v>
      </c>
      <c r="B1168" s="16" t="s">
        <v>170</v>
      </c>
      <c r="C1168" s="17" t="s">
        <v>171</v>
      </c>
      <c r="D1168" s="18">
        <v>2.0</v>
      </c>
      <c r="E1168" s="17" t="s">
        <v>108</v>
      </c>
      <c r="F1168" s="15" t="s">
        <v>109</v>
      </c>
      <c r="G1168" s="19">
        <v>9.0043001E7</v>
      </c>
      <c r="H1168" s="15" t="s">
        <v>18</v>
      </c>
      <c r="I1168" s="20" t="s">
        <v>19</v>
      </c>
      <c r="J1168" s="21">
        <v>7791824.0</v>
      </c>
      <c r="K1168" s="21">
        <v>49.0</v>
      </c>
    </row>
    <row r="1169">
      <c r="A1169" s="15" t="s">
        <v>74</v>
      </c>
      <c r="B1169" s="16" t="s">
        <v>170</v>
      </c>
      <c r="C1169" s="17" t="s">
        <v>171</v>
      </c>
      <c r="D1169" s="18">
        <v>2.0</v>
      </c>
      <c r="E1169" s="17" t="s">
        <v>175</v>
      </c>
      <c r="F1169" s="15" t="s">
        <v>176</v>
      </c>
      <c r="G1169" s="19">
        <v>9.0043001E7</v>
      </c>
      <c r="H1169" s="15" t="s">
        <v>18</v>
      </c>
      <c r="I1169" s="20" t="s">
        <v>19</v>
      </c>
      <c r="J1169" s="21">
        <v>1785677.0</v>
      </c>
      <c r="K1169" s="21">
        <v>11.0</v>
      </c>
    </row>
    <row r="1170">
      <c r="A1170" s="15" t="s">
        <v>74</v>
      </c>
      <c r="B1170" s="16" t="s">
        <v>170</v>
      </c>
      <c r="C1170" s="17" t="s">
        <v>171</v>
      </c>
      <c r="D1170" s="18">
        <v>2.0</v>
      </c>
      <c r="E1170" s="17" t="s">
        <v>175</v>
      </c>
      <c r="F1170" s="15" t="s">
        <v>176</v>
      </c>
      <c r="G1170" s="19">
        <v>9.0043002E7</v>
      </c>
      <c r="H1170" s="15" t="s">
        <v>49</v>
      </c>
      <c r="I1170" s="20" t="s">
        <v>50</v>
      </c>
      <c r="J1170" s="21">
        <v>1186281.0</v>
      </c>
      <c r="K1170" s="21">
        <v>156.0</v>
      </c>
    </row>
    <row r="1171">
      <c r="A1171" s="15" t="s">
        <v>74</v>
      </c>
      <c r="B1171" s="16" t="s">
        <v>170</v>
      </c>
      <c r="C1171" s="17" t="s">
        <v>171</v>
      </c>
      <c r="D1171" s="18">
        <v>2.0</v>
      </c>
      <c r="E1171" s="17" t="s">
        <v>115</v>
      </c>
      <c r="F1171" s="15" t="s">
        <v>116</v>
      </c>
      <c r="G1171" s="19">
        <v>9.0043002E7</v>
      </c>
      <c r="H1171" s="15" t="s">
        <v>49</v>
      </c>
      <c r="I1171" s="20" t="s">
        <v>50</v>
      </c>
      <c r="J1171" s="21">
        <v>5240317.0</v>
      </c>
      <c r="K1171" s="21">
        <v>692.0</v>
      </c>
    </row>
    <row r="1172">
      <c r="A1172" s="15" t="s">
        <v>74</v>
      </c>
      <c r="B1172" s="16" t="s">
        <v>170</v>
      </c>
      <c r="C1172" s="17" t="s">
        <v>171</v>
      </c>
      <c r="D1172" s="18">
        <v>2.0</v>
      </c>
      <c r="E1172" s="17" t="s">
        <v>117</v>
      </c>
      <c r="F1172" s="15" t="s">
        <v>118</v>
      </c>
      <c r="G1172" s="19">
        <v>5.1100058E7</v>
      </c>
      <c r="H1172" s="15" t="s">
        <v>36</v>
      </c>
      <c r="I1172" s="20" t="s">
        <v>37</v>
      </c>
      <c r="J1172" s="21">
        <v>1.2082541E7</v>
      </c>
      <c r="K1172" s="21">
        <v>8492.0</v>
      </c>
    </row>
    <row r="1173">
      <c r="A1173" s="15" t="s">
        <v>74</v>
      </c>
      <c r="B1173" s="16" t="s">
        <v>170</v>
      </c>
      <c r="C1173" s="17" t="s">
        <v>171</v>
      </c>
      <c r="D1173" s="18">
        <v>2.0</v>
      </c>
      <c r="E1173" s="17" t="s">
        <v>117</v>
      </c>
      <c r="F1173" s="15" t="s">
        <v>118</v>
      </c>
      <c r="G1173" s="19">
        <v>9.0043001E7</v>
      </c>
      <c r="H1173" s="15" t="s">
        <v>18</v>
      </c>
      <c r="I1173" s="20" t="s">
        <v>19</v>
      </c>
      <c r="J1173" s="21">
        <v>5754715.0</v>
      </c>
      <c r="K1173" s="21">
        <v>40.0</v>
      </c>
    </row>
    <row r="1174">
      <c r="A1174" s="15" t="s">
        <v>74</v>
      </c>
      <c r="B1174" s="16" t="s">
        <v>170</v>
      </c>
      <c r="C1174" s="17" t="s">
        <v>171</v>
      </c>
      <c r="D1174" s="18">
        <v>2.0</v>
      </c>
      <c r="E1174" s="17" t="s">
        <v>117</v>
      </c>
      <c r="F1174" s="15" t="s">
        <v>118</v>
      </c>
      <c r="G1174" s="19">
        <v>5.1100774E7</v>
      </c>
      <c r="H1174" s="15" t="s">
        <v>39</v>
      </c>
      <c r="I1174" s="20" t="s">
        <v>17</v>
      </c>
      <c r="J1174" s="21">
        <v>1169406.0</v>
      </c>
      <c r="K1174" s="21">
        <v>21.0</v>
      </c>
    </row>
    <row r="1175">
      <c r="A1175" s="15" t="s">
        <v>74</v>
      </c>
      <c r="B1175" s="16" t="s">
        <v>170</v>
      </c>
      <c r="C1175" s="17" t="s">
        <v>171</v>
      </c>
      <c r="D1175" s="18">
        <v>2.0</v>
      </c>
      <c r="E1175" s="17" t="s">
        <v>123</v>
      </c>
      <c r="F1175" s="15" t="s">
        <v>124</v>
      </c>
      <c r="G1175" s="19">
        <v>9.0043001E7</v>
      </c>
      <c r="H1175" s="15" t="s">
        <v>18</v>
      </c>
      <c r="I1175" s="20" t="s">
        <v>19</v>
      </c>
      <c r="J1175" s="21">
        <v>8951160.0</v>
      </c>
      <c r="K1175" s="21">
        <v>61.0</v>
      </c>
    </row>
    <row r="1176">
      <c r="A1176" s="15" t="s">
        <v>74</v>
      </c>
      <c r="B1176" s="16" t="s">
        <v>170</v>
      </c>
      <c r="C1176" s="17" t="s">
        <v>171</v>
      </c>
      <c r="D1176" s="18">
        <v>2.0</v>
      </c>
      <c r="E1176" s="17" t="s">
        <v>123</v>
      </c>
      <c r="F1176" s="15" t="s">
        <v>124</v>
      </c>
      <c r="G1176" s="19">
        <v>5.1100774E7</v>
      </c>
      <c r="H1176" s="15" t="s">
        <v>39</v>
      </c>
      <c r="I1176" s="20" t="s">
        <v>17</v>
      </c>
      <c r="J1176" s="21">
        <v>3.0796924E7</v>
      </c>
      <c r="K1176" s="21">
        <v>9205.0</v>
      </c>
    </row>
    <row r="1177">
      <c r="A1177" s="15" t="s">
        <v>74</v>
      </c>
      <c r="B1177" s="16" t="s">
        <v>170</v>
      </c>
      <c r="C1177" s="17" t="s">
        <v>171</v>
      </c>
      <c r="D1177" s="18">
        <v>2.0</v>
      </c>
      <c r="E1177" s="17" t="s">
        <v>125</v>
      </c>
      <c r="F1177" s="15" t="s">
        <v>126</v>
      </c>
      <c r="G1177" s="19">
        <v>5.1101056E7</v>
      </c>
      <c r="H1177" s="15" t="s">
        <v>16</v>
      </c>
      <c r="I1177" s="20" t="s">
        <v>17</v>
      </c>
      <c r="J1177" s="21">
        <v>1.0114405E7</v>
      </c>
      <c r="K1177" s="21">
        <v>80209.24</v>
      </c>
    </row>
    <row r="1178">
      <c r="A1178" s="15" t="s">
        <v>74</v>
      </c>
      <c r="B1178" s="16" t="s">
        <v>170</v>
      </c>
      <c r="C1178" s="17" t="s">
        <v>171</v>
      </c>
      <c r="D1178" s="18">
        <v>2.0</v>
      </c>
      <c r="E1178" s="17" t="s">
        <v>125</v>
      </c>
      <c r="F1178" s="15" t="s">
        <v>126</v>
      </c>
      <c r="G1178" s="19">
        <v>9.0043001E7</v>
      </c>
      <c r="H1178" s="15" t="s">
        <v>18</v>
      </c>
      <c r="I1178" s="20" t="s">
        <v>19</v>
      </c>
      <c r="J1178" s="21">
        <v>2.70785593E8</v>
      </c>
      <c r="K1178" s="21">
        <v>1892.5</v>
      </c>
    </row>
    <row r="1179">
      <c r="A1179" s="15" t="s">
        <v>74</v>
      </c>
      <c r="B1179" s="16" t="s">
        <v>170</v>
      </c>
      <c r="C1179" s="17" t="s">
        <v>171</v>
      </c>
      <c r="D1179" s="18">
        <v>2.0</v>
      </c>
      <c r="E1179" s="17" t="s">
        <v>127</v>
      </c>
      <c r="F1179" s="15" t="s">
        <v>128</v>
      </c>
      <c r="G1179" s="19">
        <v>5.1100153E7</v>
      </c>
      <c r="H1179" s="15" t="s">
        <v>72</v>
      </c>
      <c r="I1179" s="20" t="s">
        <v>17</v>
      </c>
      <c r="J1179" s="21">
        <v>7.5457735E7</v>
      </c>
      <c r="K1179" s="21">
        <v>991509.73</v>
      </c>
    </row>
    <row r="1180">
      <c r="A1180" s="15" t="s">
        <v>74</v>
      </c>
      <c r="B1180" s="16" t="s">
        <v>170</v>
      </c>
      <c r="C1180" s="17" t="s">
        <v>171</v>
      </c>
      <c r="D1180" s="18">
        <v>2.0</v>
      </c>
      <c r="E1180" s="17" t="s">
        <v>127</v>
      </c>
      <c r="F1180" s="15" t="s">
        <v>128</v>
      </c>
      <c r="G1180" s="19">
        <v>9.0043002E7</v>
      </c>
      <c r="H1180" s="15" t="s">
        <v>49</v>
      </c>
      <c r="I1180" s="20" t="s">
        <v>50</v>
      </c>
      <c r="J1180" s="21">
        <v>2.7109185E7</v>
      </c>
      <c r="K1180" s="21">
        <v>3577.0</v>
      </c>
    </row>
    <row r="1181">
      <c r="A1181" s="15" t="s">
        <v>74</v>
      </c>
      <c r="B1181" s="16" t="s">
        <v>170</v>
      </c>
      <c r="C1181" s="17" t="s">
        <v>171</v>
      </c>
      <c r="D1181" s="18">
        <v>2.0</v>
      </c>
      <c r="E1181" s="17" t="s">
        <v>129</v>
      </c>
      <c r="F1181" s="15" t="s">
        <v>130</v>
      </c>
      <c r="G1181" s="19">
        <v>5.1101056E7</v>
      </c>
      <c r="H1181" s="15" t="s">
        <v>16</v>
      </c>
      <c r="I1181" s="20" t="s">
        <v>17</v>
      </c>
      <c r="J1181" s="21">
        <v>1.114155E7</v>
      </c>
      <c r="K1181" s="21">
        <v>159165.0</v>
      </c>
    </row>
    <row r="1182">
      <c r="A1182" s="15" t="s">
        <v>74</v>
      </c>
      <c r="B1182" s="16" t="s">
        <v>170</v>
      </c>
      <c r="C1182" s="17" t="s">
        <v>171</v>
      </c>
      <c r="D1182" s="18">
        <v>2.0</v>
      </c>
      <c r="E1182" s="17" t="s">
        <v>129</v>
      </c>
      <c r="F1182" s="15" t="s">
        <v>130</v>
      </c>
      <c r="G1182" s="19">
        <v>9.0043001E7</v>
      </c>
      <c r="H1182" s="15" t="s">
        <v>18</v>
      </c>
      <c r="I1182" s="20" t="s">
        <v>19</v>
      </c>
      <c r="J1182" s="21">
        <v>2.8438827E7</v>
      </c>
      <c r="K1182" s="21">
        <v>181.0</v>
      </c>
    </row>
    <row r="1183">
      <c r="A1183" s="15" t="s">
        <v>74</v>
      </c>
      <c r="B1183" s="16" t="s">
        <v>170</v>
      </c>
      <c r="C1183" s="17" t="s">
        <v>171</v>
      </c>
      <c r="D1183" s="18">
        <v>2.0</v>
      </c>
      <c r="E1183" s="17" t="s">
        <v>129</v>
      </c>
      <c r="F1183" s="15" t="s">
        <v>130</v>
      </c>
      <c r="G1183" s="19">
        <v>9.0043002E7</v>
      </c>
      <c r="H1183" s="15" t="s">
        <v>49</v>
      </c>
      <c r="I1183" s="20" t="s">
        <v>50</v>
      </c>
      <c r="J1183" s="21">
        <v>302302.0</v>
      </c>
      <c r="K1183" s="21">
        <v>40.0</v>
      </c>
    </row>
    <row r="1184">
      <c r="A1184" s="15" t="s">
        <v>74</v>
      </c>
      <c r="B1184" s="16" t="s">
        <v>170</v>
      </c>
      <c r="C1184" s="17" t="s">
        <v>171</v>
      </c>
      <c r="D1184" s="18">
        <v>2.0</v>
      </c>
      <c r="E1184" s="17" t="s">
        <v>129</v>
      </c>
      <c r="F1184" s="15" t="s">
        <v>130</v>
      </c>
      <c r="G1184" s="19">
        <v>9.0043003E7</v>
      </c>
      <c r="H1184" s="15" t="s">
        <v>90</v>
      </c>
      <c r="I1184" s="20" t="s">
        <v>50</v>
      </c>
      <c r="J1184" s="21">
        <v>3.4927433E7</v>
      </c>
      <c r="K1184" s="21">
        <v>75.5</v>
      </c>
    </row>
    <row r="1185">
      <c r="A1185" s="15" t="s">
        <v>74</v>
      </c>
      <c r="B1185" s="16" t="s">
        <v>170</v>
      </c>
      <c r="C1185" s="17" t="s">
        <v>171</v>
      </c>
      <c r="D1185" s="18">
        <v>2.0</v>
      </c>
      <c r="E1185" s="17" t="s">
        <v>131</v>
      </c>
      <c r="F1185" s="15" t="s">
        <v>132</v>
      </c>
      <c r="G1185" s="19">
        <v>9.0043001E7</v>
      </c>
      <c r="H1185" s="15" t="s">
        <v>18</v>
      </c>
      <c r="I1185" s="20" t="s">
        <v>19</v>
      </c>
      <c r="J1185" s="21">
        <v>3160187.0</v>
      </c>
      <c r="K1185" s="21">
        <v>23.0</v>
      </c>
    </row>
    <row r="1186">
      <c r="A1186" s="15" t="s">
        <v>74</v>
      </c>
      <c r="B1186" s="16" t="s">
        <v>170</v>
      </c>
      <c r="C1186" s="17" t="s">
        <v>171</v>
      </c>
      <c r="D1186" s="18">
        <v>2.0</v>
      </c>
      <c r="E1186" s="17" t="s">
        <v>135</v>
      </c>
      <c r="F1186" s="15" t="s">
        <v>136</v>
      </c>
      <c r="G1186" s="19">
        <v>9.0043001E7</v>
      </c>
      <c r="H1186" s="15" t="s">
        <v>18</v>
      </c>
      <c r="I1186" s="20" t="s">
        <v>19</v>
      </c>
      <c r="J1186" s="21">
        <v>4.3030878E7</v>
      </c>
      <c r="K1186" s="21">
        <v>297.0</v>
      </c>
    </row>
    <row r="1187">
      <c r="A1187" s="15" t="s">
        <v>74</v>
      </c>
      <c r="B1187" s="16" t="s">
        <v>170</v>
      </c>
      <c r="C1187" s="17" t="s">
        <v>171</v>
      </c>
      <c r="D1187" s="18">
        <v>2.0</v>
      </c>
      <c r="E1187" s="17" t="s">
        <v>137</v>
      </c>
      <c r="F1187" s="15" t="s">
        <v>138</v>
      </c>
      <c r="G1187" s="19">
        <v>9.0043001E7</v>
      </c>
      <c r="H1187" s="15" t="s">
        <v>18</v>
      </c>
      <c r="I1187" s="20" t="s">
        <v>19</v>
      </c>
      <c r="J1187" s="21">
        <v>2897240.0</v>
      </c>
      <c r="K1187" s="21">
        <v>20.0</v>
      </c>
    </row>
    <row r="1188">
      <c r="A1188" s="15" t="s">
        <v>74</v>
      </c>
      <c r="B1188" s="16" t="s">
        <v>170</v>
      </c>
      <c r="C1188" s="17" t="s">
        <v>171</v>
      </c>
      <c r="D1188" s="18">
        <v>2.0</v>
      </c>
      <c r="E1188" s="17" t="s">
        <v>54</v>
      </c>
      <c r="F1188" s="15" t="s">
        <v>139</v>
      </c>
      <c r="G1188" s="19">
        <v>9.0042011E7</v>
      </c>
      <c r="H1188" s="15" t="s">
        <v>55</v>
      </c>
      <c r="I1188" s="20" t="s">
        <v>19</v>
      </c>
      <c r="J1188" s="21">
        <v>1.74221813E8</v>
      </c>
      <c r="K1188" s="21">
        <v>0.0</v>
      </c>
    </row>
    <row r="1189">
      <c r="A1189" s="15" t="s">
        <v>74</v>
      </c>
      <c r="B1189" s="16" t="s">
        <v>170</v>
      </c>
      <c r="C1189" s="17" t="s">
        <v>171</v>
      </c>
      <c r="D1189" s="18">
        <v>2.0</v>
      </c>
      <c r="E1189" s="17" t="s">
        <v>20</v>
      </c>
      <c r="F1189" s="15" t="s">
        <v>140</v>
      </c>
      <c r="G1189" s="19">
        <v>9.0042014E7</v>
      </c>
      <c r="H1189" s="15" t="s">
        <v>21</v>
      </c>
      <c r="I1189" s="20" t="s">
        <v>19</v>
      </c>
      <c r="J1189" s="21">
        <v>2.43416372E8</v>
      </c>
      <c r="K1189" s="21">
        <v>0.0</v>
      </c>
    </row>
    <row r="1190">
      <c r="A1190" s="15" t="s">
        <v>74</v>
      </c>
      <c r="B1190" s="16" t="s">
        <v>170</v>
      </c>
      <c r="C1190" s="17" t="s">
        <v>171</v>
      </c>
      <c r="D1190" s="18">
        <v>2.0</v>
      </c>
      <c r="E1190" s="17" t="s">
        <v>20</v>
      </c>
      <c r="F1190" s="15" t="s">
        <v>140</v>
      </c>
      <c r="G1190" s="19">
        <v>9.0042077E7</v>
      </c>
      <c r="H1190" s="15" t="s">
        <v>141</v>
      </c>
      <c r="I1190" s="20" t="s">
        <v>19</v>
      </c>
      <c r="J1190" s="21">
        <v>9.9227619E7</v>
      </c>
      <c r="K1190" s="21">
        <v>0.0</v>
      </c>
    </row>
    <row r="1191">
      <c r="A1191" s="15" t="s">
        <v>74</v>
      </c>
      <c r="B1191" s="16" t="s">
        <v>170</v>
      </c>
      <c r="C1191" s="17" t="s">
        <v>171</v>
      </c>
      <c r="D1191" s="18">
        <v>2.0</v>
      </c>
      <c r="E1191" s="17" t="s">
        <v>142</v>
      </c>
      <c r="F1191" s="15" t="s">
        <v>143</v>
      </c>
      <c r="G1191" s="19">
        <v>9.0042084E7</v>
      </c>
      <c r="H1191" s="15" t="s">
        <v>145</v>
      </c>
      <c r="I1191" s="20" t="s">
        <v>19</v>
      </c>
      <c r="J1191" s="21">
        <v>2845645.0</v>
      </c>
      <c r="K1191" s="21">
        <v>0.0</v>
      </c>
    </row>
    <row r="1192">
      <c r="A1192" s="15" t="s">
        <v>74</v>
      </c>
      <c r="B1192" s="16" t="s">
        <v>170</v>
      </c>
      <c r="C1192" s="17" t="s">
        <v>171</v>
      </c>
      <c r="D1192" s="18">
        <v>2.0</v>
      </c>
      <c r="E1192" s="17" t="s">
        <v>22</v>
      </c>
      <c r="F1192" s="15" t="s">
        <v>146</v>
      </c>
      <c r="G1192" s="19">
        <v>9.0042012E7</v>
      </c>
      <c r="H1192" s="15" t="s">
        <v>23</v>
      </c>
      <c r="I1192" s="20" t="s">
        <v>19</v>
      </c>
      <c r="J1192" s="21">
        <v>1.20372257E8</v>
      </c>
      <c r="K1192" s="21">
        <v>0.0</v>
      </c>
    </row>
    <row r="1193">
      <c r="A1193" s="15" t="s">
        <v>74</v>
      </c>
      <c r="B1193" s="16" t="s">
        <v>170</v>
      </c>
      <c r="C1193" s="17" t="s">
        <v>171</v>
      </c>
      <c r="D1193" s="18">
        <v>2.0</v>
      </c>
      <c r="E1193" s="17" t="s">
        <v>22</v>
      </c>
      <c r="F1193" s="15" t="s">
        <v>146</v>
      </c>
      <c r="G1193" s="19">
        <v>9.0042121E7</v>
      </c>
      <c r="H1193" s="15" t="s">
        <v>24</v>
      </c>
      <c r="I1193" s="20" t="s">
        <v>25</v>
      </c>
      <c r="J1193" s="21">
        <v>1.15734134E8</v>
      </c>
      <c r="K1193" s="21">
        <v>0.0</v>
      </c>
    </row>
    <row r="1194">
      <c r="A1194" s="15" t="s">
        <v>74</v>
      </c>
      <c r="B1194" s="16" t="s">
        <v>170</v>
      </c>
      <c r="C1194" s="17" t="s">
        <v>171</v>
      </c>
      <c r="D1194" s="18">
        <v>2.0</v>
      </c>
      <c r="E1194" s="17" t="s">
        <v>22</v>
      </c>
      <c r="F1194" s="15" t="s">
        <v>146</v>
      </c>
      <c r="G1194" s="19">
        <v>9.0042122E7</v>
      </c>
      <c r="H1194" s="15" t="s">
        <v>56</v>
      </c>
      <c r="I1194" s="20" t="s">
        <v>25</v>
      </c>
      <c r="J1194" s="21">
        <v>4772154.0</v>
      </c>
      <c r="K1194" s="21">
        <v>0.0</v>
      </c>
    </row>
    <row r="1195">
      <c r="A1195" s="15" t="s">
        <v>74</v>
      </c>
      <c r="B1195" s="16" t="s">
        <v>170</v>
      </c>
      <c r="C1195" s="17" t="s">
        <v>171</v>
      </c>
      <c r="D1195" s="18">
        <v>2.0</v>
      </c>
      <c r="E1195" s="17" t="s">
        <v>22</v>
      </c>
      <c r="F1195" s="15" t="s">
        <v>146</v>
      </c>
      <c r="G1195" s="19">
        <v>9.0042125E7</v>
      </c>
      <c r="H1195" s="15" t="s">
        <v>26</v>
      </c>
      <c r="I1195" s="20" t="s">
        <v>25</v>
      </c>
      <c r="J1195" s="21">
        <v>5.5181798E7</v>
      </c>
      <c r="K1195" s="21">
        <v>0.0</v>
      </c>
    </row>
    <row r="1196">
      <c r="A1196" s="15" t="s">
        <v>74</v>
      </c>
      <c r="B1196" s="16" t="s">
        <v>170</v>
      </c>
      <c r="C1196" s="17" t="s">
        <v>171</v>
      </c>
      <c r="D1196" s="18">
        <v>2.0</v>
      </c>
      <c r="E1196" s="17" t="s">
        <v>22</v>
      </c>
      <c r="F1196" s="15" t="s">
        <v>146</v>
      </c>
      <c r="G1196" s="19">
        <v>9.0042127E7</v>
      </c>
      <c r="H1196" s="15" t="s">
        <v>27</v>
      </c>
      <c r="I1196" s="20" t="s">
        <v>25</v>
      </c>
      <c r="J1196" s="21">
        <v>7949366.0</v>
      </c>
      <c r="K1196" s="21">
        <v>0.0</v>
      </c>
    </row>
    <row r="1197">
      <c r="A1197" s="15" t="s">
        <v>74</v>
      </c>
      <c r="B1197" s="16" t="s">
        <v>170</v>
      </c>
      <c r="C1197" s="17" t="s">
        <v>171</v>
      </c>
      <c r="D1197" s="18">
        <v>2.0</v>
      </c>
      <c r="E1197" s="17" t="s">
        <v>22</v>
      </c>
      <c r="F1197" s="15" t="s">
        <v>146</v>
      </c>
      <c r="G1197" s="19">
        <v>9.0042128E7</v>
      </c>
      <c r="H1197" s="15" t="s">
        <v>58</v>
      </c>
      <c r="I1197" s="20" t="s">
        <v>25</v>
      </c>
      <c r="J1197" s="21">
        <v>2.1752191E7</v>
      </c>
      <c r="K1197" s="21">
        <v>0.0</v>
      </c>
    </row>
    <row r="1198">
      <c r="A1198" s="15" t="s">
        <v>74</v>
      </c>
      <c r="B1198" s="16" t="s">
        <v>170</v>
      </c>
      <c r="C1198" s="17" t="s">
        <v>171</v>
      </c>
      <c r="D1198" s="18">
        <v>2.0</v>
      </c>
      <c r="E1198" s="17" t="s">
        <v>22</v>
      </c>
      <c r="F1198" s="15" t="s">
        <v>146</v>
      </c>
      <c r="G1198" s="19">
        <v>9.0042132E7</v>
      </c>
      <c r="H1198" s="15" t="s">
        <v>28</v>
      </c>
      <c r="I1198" s="20" t="s">
        <v>25</v>
      </c>
      <c r="J1198" s="21">
        <v>5282350.0</v>
      </c>
      <c r="K1198" s="21">
        <v>0.0</v>
      </c>
    </row>
    <row r="1199">
      <c r="A1199" s="15" t="s">
        <v>74</v>
      </c>
      <c r="B1199" s="16" t="s">
        <v>170</v>
      </c>
      <c r="C1199" s="17" t="s">
        <v>171</v>
      </c>
      <c r="D1199" s="18">
        <v>2.0</v>
      </c>
      <c r="E1199" s="17" t="s">
        <v>22</v>
      </c>
      <c r="F1199" s="15" t="s">
        <v>146</v>
      </c>
      <c r="G1199" s="19">
        <v>9.0042134E7</v>
      </c>
      <c r="H1199" s="15" t="s">
        <v>29</v>
      </c>
      <c r="I1199" s="20" t="s">
        <v>25</v>
      </c>
      <c r="J1199" s="21">
        <v>2850000.0</v>
      </c>
      <c r="K1199" s="21">
        <v>0.0</v>
      </c>
    </row>
    <row r="1200">
      <c r="A1200" s="15" t="s">
        <v>74</v>
      </c>
      <c r="B1200" s="16" t="s">
        <v>170</v>
      </c>
      <c r="C1200" s="17" t="s">
        <v>171</v>
      </c>
      <c r="D1200" s="18">
        <v>2.0</v>
      </c>
      <c r="E1200" s="17" t="s">
        <v>22</v>
      </c>
      <c r="F1200" s="15" t="s">
        <v>146</v>
      </c>
      <c r="G1200" s="19">
        <v>9.0042135E7</v>
      </c>
      <c r="H1200" s="15" t="s">
        <v>30</v>
      </c>
      <c r="I1200" s="20" t="s">
        <v>25</v>
      </c>
      <c r="J1200" s="21">
        <v>1.48330804E8</v>
      </c>
      <c r="K1200" s="21">
        <v>0.0</v>
      </c>
    </row>
    <row r="1201">
      <c r="A1201" s="15" t="s">
        <v>74</v>
      </c>
      <c r="B1201" s="16" t="s">
        <v>170</v>
      </c>
      <c r="C1201" s="17" t="s">
        <v>171</v>
      </c>
      <c r="D1201" s="18">
        <v>2.0</v>
      </c>
      <c r="E1201" s="17" t="s">
        <v>22</v>
      </c>
      <c r="F1201" s="15" t="s">
        <v>146</v>
      </c>
      <c r="G1201" s="19">
        <v>9.00422E7</v>
      </c>
      <c r="H1201" s="15" t="s">
        <v>73</v>
      </c>
      <c r="I1201" s="20" t="s">
        <v>60</v>
      </c>
      <c r="J1201" s="21">
        <v>1.56812353E8</v>
      </c>
      <c r="K1201" s="21">
        <v>0.0</v>
      </c>
    </row>
    <row r="1202">
      <c r="A1202" s="15" t="s">
        <v>74</v>
      </c>
      <c r="B1202" s="16" t="s">
        <v>170</v>
      </c>
      <c r="C1202" s="17" t="s">
        <v>171</v>
      </c>
      <c r="D1202" s="18">
        <v>2.0</v>
      </c>
      <c r="E1202" s="17" t="s">
        <v>22</v>
      </c>
      <c r="F1202" s="15" t="s">
        <v>146</v>
      </c>
      <c r="G1202" s="19">
        <v>9.0042223E7</v>
      </c>
      <c r="H1202" s="15" t="s">
        <v>61</v>
      </c>
      <c r="I1202" s="20" t="s">
        <v>60</v>
      </c>
      <c r="J1202" s="21">
        <v>9086492.0</v>
      </c>
      <c r="K1202" s="21">
        <v>0.0</v>
      </c>
    </row>
    <row r="1203">
      <c r="A1203" s="15" t="s">
        <v>74</v>
      </c>
      <c r="B1203" s="16" t="s">
        <v>170</v>
      </c>
      <c r="C1203" s="17" t="s">
        <v>171</v>
      </c>
      <c r="D1203" s="18">
        <v>2.0</v>
      </c>
      <c r="E1203" s="17" t="s">
        <v>22</v>
      </c>
      <c r="F1203" s="15" t="s">
        <v>146</v>
      </c>
      <c r="G1203" s="19">
        <v>9.0042224E7</v>
      </c>
      <c r="H1203" s="15" t="s">
        <v>62</v>
      </c>
      <c r="I1203" s="20" t="s">
        <v>60</v>
      </c>
      <c r="J1203" s="21">
        <v>9548650.0</v>
      </c>
      <c r="K1203" s="21">
        <v>0.0</v>
      </c>
    </row>
    <row r="1204">
      <c r="A1204" s="15" t="s">
        <v>74</v>
      </c>
      <c r="B1204" s="16" t="s">
        <v>170</v>
      </c>
      <c r="C1204" s="17" t="s">
        <v>171</v>
      </c>
      <c r="D1204" s="18">
        <v>2.0</v>
      </c>
      <c r="E1204" s="17" t="s">
        <v>22</v>
      </c>
      <c r="F1204" s="15" t="s">
        <v>146</v>
      </c>
      <c r="G1204" s="19">
        <v>9.0042226E7</v>
      </c>
      <c r="H1204" s="15" t="s">
        <v>63</v>
      </c>
      <c r="I1204" s="20" t="s">
        <v>60</v>
      </c>
      <c r="J1204" s="21">
        <v>1233334.0</v>
      </c>
      <c r="K1204" s="21">
        <v>0.0</v>
      </c>
    </row>
    <row r="1205">
      <c r="A1205" s="15" t="s">
        <v>74</v>
      </c>
      <c r="B1205" s="16" t="s">
        <v>170</v>
      </c>
      <c r="C1205" s="17" t="s">
        <v>171</v>
      </c>
      <c r="D1205" s="18">
        <v>2.0</v>
      </c>
      <c r="E1205" s="17" t="s">
        <v>22</v>
      </c>
      <c r="F1205" s="15" t="s">
        <v>146</v>
      </c>
      <c r="G1205" s="19">
        <v>9.0042228E7</v>
      </c>
      <c r="H1205" s="15" t="s">
        <v>64</v>
      </c>
      <c r="I1205" s="20" t="s">
        <v>60</v>
      </c>
      <c r="J1205" s="21">
        <v>6.7843735E7</v>
      </c>
      <c r="K1205" s="21">
        <v>0.0</v>
      </c>
    </row>
    <row r="1206">
      <c r="A1206" s="15" t="s">
        <v>74</v>
      </c>
      <c r="B1206" s="16" t="s">
        <v>170</v>
      </c>
      <c r="C1206" s="17" t="s">
        <v>171</v>
      </c>
      <c r="D1206" s="18">
        <v>2.0</v>
      </c>
      <c r="E1206" s="17" t="s">
        <v>22</v>
      </c>
      <c r="F1206" s="15" t="s">
        <v>146</v>
      </c>
      <c r="G1206" s="19">
        <v>9.0042231E7</v>
      </c>
      <c r="H1206" s="15" t="s">
        <v>65</v>
      </c>
      <c r="I1206" s="20" t="s">
        <v>60</v>
      </c>
      <c r="J1206" s="21">
        <v>1.3415773E7</v>
      </c>
      <c r="K1206" s="21">
        <v>0.0</v>
      </c>
    </row>
    <row r="1207">
      <c r="A1207" s="15" t="s">
        <v>74</v>
      </c>
      <c r="B1207" s="16" t="s">
        <v>170</v>
      </c>
      <c r="C1207" s="17" t="s">
        <v>171</v>
      </c>
      <c r="D1207" s="18">
        <v>2.0</v>
      </c>
      <c r="E1207" s="17" t="s">
        <v>22</v>
      </c>
      <c r="F1207" s="15" t="s">
        <v>146</v>
      </c>
      <c r="G1207" s="19">
        <v>9.0042126E7</v>
      </c>
      <c r="H1207" s="15" t="s">
        <v>31</v>
      </c>
      <c r="I1207" s="20" t="s">
        <v>25</v>
      </c>
      <c r="J1207" s="21">
        <v>5.7759351E7</v>
      </c>
      <c r="K1207" s="21">
        <v>0.0</v>
      </c>
    </row>
    <row r="1208">
      <c r="A1208" s="15" t="s">
        <v>74</v>
      </c>
      <c r="B1208" s="16" t="s">
        <v>170</v>
      </c>
      <c r="C1208" s="17" t="s">
        <v>171</v>
      </c>
      <c r="D1208" s="18">
        <v>2.0</v>
      </c>
      <c r="E1208" s="17" t="s">
        <v>269</v>
      </c>
      <c r="F1208" s="15" t="s">
        <v>270</v>
      </c>
      <c r="G1208" s="19">
        <v>9.0043001E7</v>
      </c>
      <c r="H1208" s="15" t="s">
        <v>18</v>
      </c>
      <c r="I1208" s="20" t="s">
        <v>19</v>
      </c>
      <c r="J1208" s="21">
        <v>864252.0</v>
      </c>
      <c r="K1208" s="21">
        <v>6.0</v>
      </c>
    </row>
    <row r="1209">
      <c r="A1209" s="15" t="s">
        <v>74</v>
      </c>
      <c r="B1209" s="16" t="s">
        <v>12</v>
      </c>
      <c r="C1209" s="17" t="s">
        <v>13</v>
      </c>
      <c r="D1209" s="18">
        <v>2.0</v>
      </c>
      <c r="E1209" s="17" t="s">
        <v>101</v>
      </c>
      <c r="F1209" s="15" t="s">
        <v>102</v>
      </c>
      <c r="G1209" s="19">
        <v>9.0043001E7</v>
      </c>
      <c r="H1209" s="15" t="s">
        <v>18</v>
      </c>
      <c r="I1209" s="20" t="s">
        <v>19</v>
      </c>
      <c r="J1209" s="21">
        <v>1825500.0</v>
      </c>
      <c r="K1209" s="21">
        <v>12.0</v>
      </c>
    </row>
    <row r="1210">
      <c r="A1210" s="15" t="s">
        <v>74</v>
      </c>
      <c r="B1210" s="16" t="s">
        <v>12</v>
      </c>
      <c r="C1210" s="17" t="s">
        <v>13</v>
      </c>
      <c r="D1210" s="18">
        <v>2.0</v>
      </c>
      <c r="E1210" s="17" t="s">
        <v>125</v>
      </c>
      <c r="F1210" s="15" t="s">
        <v>126</v>
      </c>
      <c r="G1210" s="19">
        <v>9.0043001E7</v>
      </c>
      <c r="H1210" s="15" t="s">
        <v>18</v>
      </c>
      <c r="I1210" s="20" t="s">
        <v>19</v>
      </c>
      <c r="J1210" s="21">
        <v>3042500.0</v>
      </c>
      <c r="K1210" s="21">
        <v>20.0</v>
      </c>
    </row>
    <row r="1211">
      <c r="A1211" s="15" t="s">
        <v>74</v>
      </c>
      <c r="B1211" s="16" t="s">
        <v>12</v>
      </c>
      <c r="C1211" s="17" t="s">
        <v>13</v>
      </c>
      <c r="D1211" s="18">
        <v>2.0</v>
      </c>
      <c r="E1211" s="17" t="s">
        <v>127</v>
      </c>
      <c r="F1211" s="15" t="s">
        <v>128</v>
      </c>
      <c r="G1211" s="19">
        <v>5.1100152E7</v>
      </c>
      <c r="H1211" s="15" t="s">
        <v>271</v>
      </c>
      <c r="I1211" s="20" t="s">
        <v>25</v>
      </c>
      <c r="J1211" s="21">
        <v>5000000.0</v>
      </c>
      <c r="K1211" s="21">
        <v>0.0</v>
      </c>
    </row>
    <row r="1212">
      <c r="A1212" s="15" t="s">
        <v>74</v>
      </c>
      <c r="B1212" s="16" t="s">
        <v>12</v>
      </c>
      <c r="C1212" s="17" t="s">
        <v>13</v>
      </c>
      <c r="D1212" s="18">
        <v>2.0</v>
      </c>
      <c r="E1212" s="17" t="s">
        <v>127</v>
      </c>
      <c r="F1212" s="15" t="s">
        <v>128</v>
      </c>
      <c r="G1212" s="19">
        <v>9.0043001E7</v>
      </c>
      <c r="H1212" s="15" t="s">
        <v>18</v>
      </c>
      <c r="I1212" s="20" t="s">
        <v>19</v>
      </c>
      <c r="J1212" s="21">
        <v>608500.0</v>
      </c>
      <c r="K1212" s="21">
        <v>4.0</v>
      </c>
    </row>
    <row r="1213">
      <c r="A1213" s="15" t="s">
        <v>74</v>
      </c>
      <c r="B1213" s="16" t="s">
        <v>12</v>
      </c>
      <c r="C1213" s="17" t="s">
        <v>13</v>
      </c>
      <c r="D1213" s="18">
        <v>2.0</v>
      </c>
      <c r="E1213" s="17" t="s">
        <v>142</v>
      </c>
      <c r="F1213" s="15" t="s">
        <v>143</v>
      </c>
      <c r="G1213" s="19">
        <v>9.0042013E7</v>
      </c>
      <c r="H1213" s="15" t="s">
        <v>144</v>
      </c>
      <c r="I1213" s="20" t="s">
        <v>19</v>
      </c>
      <c r="J1213" s="21">
        <v>3166667.0</v>
      </c>
      <c r="K1213" s="21">
        <v>0.0</v>
      </c>
    </row>
    <row r="1214">
      <c r="A1214" s="15" t="s">
        <v>74</v>
      </c>
      <c r="B1214" s="16" t="s">
        <v>12</v>
      </c>
      <c r="C1214" s="17" t="s">
        <v>13</v>
      </c>
      <c r="D1214" s="18">
        <v>2.0</v>
      </c>
      <c r="E1214" s="17" t="s">
        <v>22</v>
      </c>
      <c r="F1214" s="15" t="s">
        <v>146</v>
      </c>
      <c r="G1214" s="19">
        <v>9.0042135E7</v>
      </c>
      <c r="H1214" s="15" t="s">
        <v>30</v>
      </c>
      <c r="I1214" s="20" t="s">
        <v>25</v>
      </c>
      <c r="J1214" s="21">
        <v>2.0348581E7</v>
      </c>
      <c r="K1214" s="21">
        <v>0.0</v>
      </c>
    </row>
    <row r="1215">
      <c r="A1215" s="15" t="s">
        <v>74</v>
      </c>
      <c r="B1215" s="16" t="s">
        <v>12</v>
      </c>
      <c r="C1215" s="17" t="s">
        <v>13</v>
      </c>
      <c r="D1215" s="18">
        <v>2.0</v>
      </c>
      <c r="E1215" s="17" t="s">
        <v>22</v>
      </c>
      <c r="F1215" s="15" t="s">
        <v>146</v>
      </c>
      <c r="G1215" s="19">
        <v>9.00422E7</v>
      </c>
      <c r="H1215" s="15" t="s">
        <v>73</v>
      </c>
      <c r="I1215" s="20" t="s">
        <v>60</v>
      </c>
      <c r="J1215" s="21">
        <v>131460.0</v>
      </c>
      <c r="K1215" s="21">
        <v>0.0</v>
      </c>
    </row>
    <row r="1216">
      <c r="A1216" s="15" t="s">
        <v>74</v>
      </c>
      <c r="B1216" s="16" t="s">
        <v>12</v>
      </c>
      <c r="C1216" s="17" t="s">
        <v>13</v>
      </c>
      <c r="D1216" s="18">
        <v>2.0</v>
      </c>
      <c r="E1216" s="17" t="s">
        <v>22</v>
      </c>
      <c r="F1216" s="15" t="s">
        <v>146</v>
      </c>
      <c r="G1216" s="19">
        <v>9.0042201E7</v>
      </c>
      <c r="H1216" s="15" t="s">
        <v>59</v>
      </c>
      <c r="I1216" s="20" t="s">
        <v>60</v>
      </c>
      <c r="J1216" s="21">
        <v>-1.53430136E8</v>
      </c>
      <c r="K1216" s="21">
        <v>0.0</v>
      </c>
    </row>
    <row r="1217">
      <c r="A1217" s="15" t="s">
        <v>74</v>
      </c>
      <c r="B1217" s="16" t="s">
        <v>12</v>
      </c>
      <c r="C1217" s="17" t="s">
        <v>13</v>
      </c>
      <c r="D1217" s="18">
        <v>2.0</v>
      </c>
      <c r="E1217" s="17" t="s">
        <v>22</v>
      </c>
      <c r="F1217" s="15" t="s">
        <v>146</v>
      </c>
      <c r="G1217" s="19">
        <v>9.0042223E7</v>
      </c>
      <c r="H1217" s="15" t="s">
        <v>61</v>
      </c>
      <c r="I1217" s="20" t="s">
        <v>60</v>
      </c>
      <c r="J1217" s="21">
        <v>1107530.0</v>
      </c>
      <c r="K1217" s="21">
        <v>0.0</v>
      </c>
    </row>
    <row r="1218">
      <c r="A1218" s="15" t="s">
        <v>74</v>
      </c>
      <c r="B1218" s="16" t="s">
        <v>12</v>
      </c>
      <c r="C1218" s="17" t="s">
        <v>13</v>
      </c>
      <c r="D1218" s="18">
        <v>2.0</v>
      </c>
      <c r="E1218" s="17" t="s">
        <v>22</v>
      </c>
      <c r="F1218" s="15" t="s">
        <v>146</v>
      </c>
      <c r="G1218" s="19">
        <v>9.0042224E7</v>
      </c>
      <c r="H1218" s="15" t="s">
        <v>62</v>
      </c>
      <c r="I1218" s="20" t="s">
        <v>60</v>
      </c>
      <c r="J1218" s="21">
        <v>141850.0</v>
      </c>
      <c r="K1218" s="21">
        <v>0.0</v>
      </c>
    </row>
    <row r="1219">
      <c r="A1219" s="15" t="s">
        <v>74</v>
      </c>
      <c r="B1219" s="16" t="s">
        <v>12</v>
      </c>
      <c r="C1219" s="17" t="s">
        <v>13</v>
      </c>
      <c r="D1219" s="18">
        <v>2.0</v>
      </c>
      <c r="E1219" s="17" t="s">
        <v>22</v>
      </c>
      <c r="F1219" s="15" t="s">
        <v>146</v>
      </c>
      <c r="G1219" s="19">
        <v>9.0042228E7</v>
      </c>
      <c r="H1219" s="15" t="s">
        <v>64</v>
      </c>
      <c r="I1219" s="20" t="s">
        <v>60</v>
      </c>
      <c r="J1219" s="21">
        <v>8396383.0</v>
      </c>
      <c r="K1219" s="21">
        <v>0.0</v>
      </c>
    </row>
    <row r="1220">
      <c r="A1220" s="15" t="s">
        <v>74</v>
      </c>
      <c r="B1220" s="16" t="s">
        <v>12</v>
      </c>
      <c r="C1220" s="17" t="s">
        <v>13</v>
      </c>
      <c r="D1220" s="18">
        <v>2.0</v>
      </c>
      <c r="E1220" s="17" t="s">
        <v>22</v>
      </c>
      <c r="F1220" s="15" t="s">
        <v>146</v>
      </c>
      <c r="G1220" s="19">
        <v>9.0042231E7</v>
      </c>
      <c r="H1220" s="15" t="s">
        <v>65</v>
      </c>
      <c r="I1220" s="20" t="s">
        <v>60</v>
      </c>
      <c r="J1220" s="21">
        <v>2915924.0</v>
      </c>
      <c r="K1220" s="21">
        <v>0.0</v>
      </c>
    </row>
    <row r="1221">
      <c r="A1221" s="15" t="s">
        <v>74</v>
      </c>
      <c r="B1221" s="16" t="s">
        <v>12</v>
      </c>
      <c r="C1221" s="17" t="s">
        <v>13</v>
      </c>
      <c r="D1221" s="18">
        <v>2.0</v>
      </c>
      <c r="E1221" s="17" t="s">
        <v>22</v>
      </c>
      <c r="F1221" s="15" t="s">
        <v>146</v>
      </c>
      <c r="G1221" s="19">
        <v>9.0042126E7</v>
      </c>
      <c r="H1221" s="15" t="s">
        <v>31</v>
      </c>
      <c r="I1221" s="20" t="s">
        <v>25</v>
      </c>
      <c r="J1221" s="21">
        <v>2341136.0</v>
      </c>
      <c r="K1221" s="21">
        <v>0.0</v>
      </c>
    </row>
    <row r="1222">
      <c r="A1222" s="15" t="s">
        <v>74</v>
      </c>
      <c r="B1222" s="16" t="s">
        <v>187</v>
      </c>
      <c r="C1222" s="17" t="s">
        <v>188</v>
      </c>
      <c r="D1222" s="18">
        <v>2.0</v>
      </c>
      <c r="E1222" s="17" t="s">
        <v>79</v>
      </c>
      <c r="F1222" s="15" t="s">
        <v>80</v>
      </c>
      <c r="G1222" s="19">
        <v>9.0043001E7</v>
      </c>
      <c r="H1222" s="15" t="s">
        <v>18</v>
      </c>
      <c r="I1222" s="20" t="s">
        <v>19</v>
      </c>
      <c r="J1222" s="21">
        <v>134046.0</v>
      </c>
      <c r="K1222" s="21">
        <v>1.0</v>
      </c>
    </row>
    <row r="1223">
      <c r="A1223" s="15" t="s">
        <v>74</v>
      </c>
      <c r="B1223" s="16" t="s">
        <v>187</v>
      </c>
      <c r="C1223" s="17" t="s">
        <v>188</v>
      </c>
      <c r="D1223" s="18">
        <v>2.0</v>
      </c>
      <c r="E1223" s="17" t="s">
        <v>84</v>
      </c>
      <c r="F1223" s="15" t="s">
        <v>85</v>
      </c>
      <c r="G1223" s="19">
        <v>9.0043001E7</v>
      </c>
      <c r="H1223" s="15" t="s">
        <v>18</v>
      </c>
      <c r="I1223" s="20" t="s">
        <v>19</v>
      </c>
      <c r="J1223" s="21">
        <v>4.7189852E7</v>
      </c>
      <c r="K1223" s="21">
        <v>351.0</v>
      </c>
    </row>
    <row r="1224">
      <c r="A1224" s="15" t="s">
        <v>74</v>
      </c>
      <c r="B1224" s="16" t="s">
        <v>187</v>
      </c>
      <c r="C1224" s="17" t="s">
        <v>188</v>
      </c>
      <c r="D1224" s="18">
        <v>2.0</v>
      </c>
      <c r="E1224" s="17" t="s">
        <v>84</v>
      </c>
      <c r="F1224" s="15" t="s">
        <v>85</v>
      </c>
      <c r="G1224" s="19">
        <v>9.0043E7</v>
      </c>
      <c r="H1224" s="15" t="s">
        <v>83</v>
      </c>
      <c r="I1224" s="20" t="s">
        <v>19</v>
      </c>
      <c r="J1224" s="21">
        <v>4680480.0</v>
      </c>
      <c r="K1224" s="21">
        <v>35.0</v>
      </c>
    </row>
    <row r="1225">
      <c r="A1225" s="15" t="s">
        <v>74</v>
      </c>
      <c r="B1225" s="16" t="s">
        <v>187</v>
      </c>
      <c r="C1225" s="17" t="s">
        <v>188</v>
      </c>
      <c r="D1225" s="18">
        <v>2.0</v>
      </c>
      <c r="E1225" s="17" t="s">
        <v>272</v>
      </c>
      <c r="F1225" s="15" t="s">
        <v>273</v>
      </c>
      <c r="G1225" s="19">
        <v>5.1100064E7</v>
      </c>
      <c r="H1225" s="15" t="s">
        <v>53</v>
      </c>
      <c r="I1225" s="20" t="s">
        <v>37</v>
      </c>
      <c r="J1225" s="21">
        <v>2.6522375E7</v>
      </c>
      <c r="K1225" s="21">
        <v>4.0</v>
      </c>
    </row>
    <row r="1226">
      <c r="A1226" s="15" t="s">
        <v>74</v>
      </c>
      <c r="B1226" s="16" t="s">
        <v>187</v>
      </c>
      <c r="C1226" s="17" t="s">
        <v>188</v>
      </c>
      <c r="D1226" s="18">
        <v>2.0</v>
      </c>
      <c r="E1226" s="17" t="s">
        <v>91</v>
      </c>
      <c r="F1226" s="15" t="s">
        <v>92</v>
      </c>
      <c r="G1226" s="19">
        <v>9.0043001E7</v>
      </c>
      <c r="H1226" s="15" t="s">
        <v>18</v>
      </c>
      <c r="I1226" s="20" t="s">
        <v>19</v>
      </c>
      <c r="J1226" s="21">
        <v>536184.0</v>
      </c>
      <c r="K1226" s="21">
        <v>4.0</v>
      </c>
    </row>
    <row r="1227">
      <c r="A1227" s="15" t="s">
        <v>74</v>
      </c>
      <c r="B1227" s="16" t="s">
        <v>187</v>
      </c>
      <c r="C1227" s="17" t="s">
        <v>188</v>
      </c>
      <c r="D1227" s="18">
        <v>2.0</v>
      </c>
      <c r="E1227" s="17" t="s">
        <v>226</v>
      </c>
      <c r="F1227" s="15" t="s">
        <v>227</v>
      </c>
      <c r="G1227" s="19">
        <v>5.1100064E7</v>
      </c>
      <c r="H1227" s="15" t="s">
        <v>53</v>
      </c>
      <c r="I1227" s="20" t="s">
        <v>37</v>
      </c>
      <c r="J1227" s="21">
        <v>4.08277625E8</v>
      </c>
      <c r="K1227" s="21">
        <v>46.0</v>
      </c>
    </row>
    <row r="1228">
      <c r="A1228" s="15" t="s">
        <v>74</v>
      </c>
      <c r="B1228" s="16" t="s">
        <v>187</v>
      </c>
      <c r="C1228" s="17" t="s">
        <v>188</v>
      </c>
      <c r="D1228" s="18">
        <v>2.0</v>
      </c>
      <c r="E1228" s="17" t="s">
        <v>189</v>
      </c>
      <c r="F1228" s="15" t="s">
        <v>190</v>
      </c>
      <c r="G1228" s="19">
        <v>9.0043001E7</v>
      </c>
      <c r="H1228" s="15" t="s">
        <v>18</v>
      </c>
      <c r="I1228" s="20" t="s">
        <v>19</v>
      </c>
      <c r="J1228" s="21">
        <v>5867972.0</v>
      </c>
      <c r="K1228" s="21">
        <v>44.0</v>
      </c>
    </row>
    <row r="1229">
      <c r="A1229" s="15" t="s">
        <v>74</v>
      </c>
      <c r="B1229" s="16" t="s">
        <v>187</v>
      </c>
      <c r="C1229" s="17" t="s">
        <v>188</v>
      </c>
      <c r="D1229" s="18">
        <v>2.0</v>
      </c>
      <c r="E1229" s="17" t="s">
        <v>99</v>
      </c>
      <c r="F1229" s="15" t="s">
        <v>100</v>
      </c>
      <c r="G1229" s="19">
        <v>9.0043001E7</v>
      </c>
      <c r="H1229" s="15" t="s">
        <v>18</v>
      </c>
      <c r="I1229" s="20" t="s">
        <v>19</v>
      </c>
      <c r="J1229" s="21">
        <v>1.1280797E7</v>
      </c>
      <c r="K1229" s="21">
        <v>82.0</v>
      </c>
    </row>
    <row r="1230">
      <c r="A1230" s="15" t="s">
        <v>74</v>
      </c>
      <c r="B1230" s="16" t="s">
        <v>187</v>
      </c>
      <c r="C1230" s="17" t="s">
        <v>188</v>
      </c>
      <c r="D1230" s="18">
        <v>2.0</v>
      </c>
      <c r="E1230" s="17" t="s">
        <v>101</v>
      </c>
      <c r="F1230" s="15" t="s">
        <v>102</v>
      </c>
      <c r="G1230" s="19">
        <v>9.0043001E7</v>
      </c>
      <c r="H1230" s="15" t="s">
        <v>18</v>
      </c>
      <c r="I1230" s="20" t="s">
        <v>19</v>
      </c>
      <c r="J1230" s="21">
        <v>8870533.0</v>
      </c>
      <c r="K1230" s="21">
        <v>66.0</v>
      </c>
    </row>
    <row r="1231">
      <c r="A1231" s="15" t="s">
        <v>74</v>
      </c>
      <c r="B1231" s="16" t="s">
        <v>187</v>
      </c>
      <c r="C1231" s="17" t="s">
        <v>188</v>
      </c>
      <c r="D1231" s="18">
        <v>2.0</v>
      </c>
      <c r="E1231" s="17" t="s">
        <v>101</v>
      </c>
      <c r="F1231" s="15" t="s">
        <v>102</v>
      </c>
      <c r="G1231" s="19">
        <v>9.0043E7</v>
      </c>
      <c r="H1231" s="15" t="s">
        <v>83</v>
      </c>
      <c r="I1231" s="20" t="s">
        <v>19</v>
      </c>
      <c r="J1231" s="21">
        <v>401184.0</v>
      </c>
      <c r="K1231" s="21">
        <v>3.0</v>
      </c>
    </row>
    <row r="1232">
      <c r="A1232" s="15" t="s">
        <v>74</v>
      </c>
      <c r="B1232" s="16" t="s">
        <v>187</v>
      </c>
      <c r="C1232" s="17" t="s">
        <v>188</v>
      </c>
      <c r="D1232" s="18">
        <v>2.0</v>
      </c>
      <c r="E1232" s="17" t="s">
        <v>103</v>
      </c>
      <c r="F1232" s="15" t="s">
        <v>104</v>
      </c>
      <c r="G1232" s="19">
        <v>5.1100058E7</v>
      </c>
      <c r="H1232" s="15" t="s">
        <v>36</v>
      </c>
      <c r="I1232" s="20" t="s">
        <v>37</v>
      </c>
      <c r="J1232" s="21">
        <v>9.733837E7</v>
      </c>
      <c r="K1232" s="21">
        <v>1074.573</v>
      </c>
    </row>
    <row r="1233">
      <c r="A1233" s="15" t="s">
        <v>74</v>
      </c>
      <c r="B1233" s="16" t="s">
        <v>187</v>
      </c>
      <c r="C1233" s="17" t="s">
        <v>188</v>
      </c>
      <c r="D1233" s="18">
        <v>2.0</v>
      </c>
      <c r="E1233" s="17" t="s">
        <v>103</v>
      </c>
      <c r="F1233" s="15" t="s">
        <v>104</v>
      </c>
      <c r="G1233" s="19">
        <v>9.0043001E7</v>
      </c>
      <c r="H1233" s="15" t="s">
        <v>18</v>
      </c>
      <c r="I1233" s="20" t="s">
        <v>19</v>
      </c>
      <c r="J1233" s="21">
        <v>2.2494335E7</v>
      </c>
      <c r="K1233" s="21">
        <v>162.0</v>
      </c>
    </row>
    <row r="1234">
      <c r="A1234" s="15" t="s">
        <v>74</v>
      </c>
      <c r="B1234" s="16" t="s">
        <v>187</v>
      </c>
      <c r="C1234" s="17" t="s">
        <v>188</v>
      </c>
      <c r="D1234" s="18">
        <v>2.0</v>
      </c>
      <c r="E1234" s="17" t="s">
        <v>103</v>
      </c>
      <c r="F1234" s="15" t="s">
        <v>104</v>
      </c>
      <c r="G1234" s="19">
        <v>5.1100774E7</v>
      </c>
      <c r="H1234" s="15" t="s">
        <v>39</v>
      </c>
      <c r="I1234" s="20" t="s">
        <v>17</v>
      </c>
      <c r="J1234" s="21">
        <v>1.13262354E8</v>
      </c>
      <c r="K1234" s="21">
        <v>762.73</v>
      </c>
    </row>
    <row r="1235">
      <c r="A1235" s="15" t="s">
        <v>74</v>
      </c>
      <c r="B1235" s="16" t="s">
        <v>187</v>
      </c>
      <c r="C1235" s="17" t="s">
        <v>188</v>
      </c>
      <c r="D1235" s="18">
        <v>2.0</v>
      </c>
      <c r="E1235" s="17" t="s">
        <v>108</v>
      </c>
      <c r="F1235" s="15" t="s">
        <v>109</v>
      </c>
      <c r="G1235" s="19">
        <v>5.1100058E7</v>
      </c>
      <c r="H1235" s="15" t="s">
        <v>36</v>
      </c>
      <c r="I1235" s="20" t="s">
        <v>37</v>
      </c>
      <c r="J1235" s="21">
        <v>6020625.0</v>
      </c>
      <c r="K1235" s="21">
        <v>74.1</v>
      </c>
    </row>
    <row r="1236">
      <c r="A1236" s="15" t="s">
        <v>74</v>
      </c>
      <c r="B1236" s="16" t="s">
        <v>187</v>
      </c>
      <c r="C1236" s="17" t="s">
        <v>188</v>
      </c>
      <c r="D1236" s="18">
        <v>2.0</v>
      </c>
      <c r="E1236" s="17" t="s">
        <v>108</v>
      </c>
      <c r="F1236" s="15" t="s">
        <v>109</v>
      </c>
      <c r="G1236" s="19">
        <v>9.0043001E7</v>
      </c>
      <c r="H1236" s="15" t="s">
        <v>18</v>
      </c>
      <c r="I1236" s="20" t="s">
        <v>19</v>
      </c>
      <c r="J1236" s="21">
        <v>1188184.0</v>
      </c>
      <c r="K1236" s="21">
        <v>9.0</v>
      </c>
    </row>
    <row r="1237">
      <c r="A1237" s="15" t="s">
        <v>74</v>
      </c>
      <c r="B1237" s="16" t="s">
        <v>187</v>
      </c>
      <c r="C1237" s="17" t="s">
        <v>188</v>
      </c>
      <c r="D1237" s="18">
        <v>2.0</v>
      </c>
      <c r="E1237" s="17" t="s">
        <v>108</v>
      </c>
      <c r="F1237" s="15" t="s">
        <v>109</v>
      </c>
      <c r="G1237" s="19">
        <v>9.0043E7</v>
      </c>
      <c r="H1237" s="15" t="s">
        <v>83</v>
      </c>
      <c r="I1237" s="20" t="s">
        <v>19</v>
      </c>
      <c r="J1237" s="21">
        <v>133728.0</v>
      </c>
      <c r="K1237" s="21">
        <v>1.0</v>
      </c>
    </row>
    <row r="1238">
      <c r="A1238" s="15" t="s">
        <v>74</v>
      </c>
      <c r="B1238" s="16" t="s">
        <v>187</v>
      </c>
      <c r="C1238" s="17" t="s">
        <v>188</v>
      </c>
      <c r="D1238" s="18">
        <v>2.0</v>
      </c>
      <c r="E1238" s="17" t="s">
        <v>108</v>
      </c>
      <c r="F1238" s="15" t="s">
        <v>109</v>
      </c>
      <c r="G1238" s="19">
        <v>5.1100774E7</v>
      </c>
      <c r="H1238" s="15" t="s">
        <v>39</v>
      </c>
      <c r="I1238" s="20" t="s">
        <v>17</v>
      </c>
      <c r="J1238" s="21">
        <v>1034720.0</v>
      </c>
      <c r="K1238" s="21">
        <v>34.84</v>
      </c>
    </row>
    <row r="1239">
      <c r="A1239" s="15" t="s">
        <v>74</v>
      </c>
      <c r="B1239" s="16" t="s">
        <v>187</v>
      </c>
      <c r="C1239" s="17" t="s">
        <v>188</v>
      </c>
      <c r="D1239" s="18">
        <v>2.0</v>
      </c>
      <c r="E1239" s="17" t="s">
        <v>158</v>
      </c>
      <c r="F1239" s="15" t="s">
        <v>159</v>
      </c>
      <c r="G1239" s="19">
        <v>9.0043001E7</v>
      </c>
      <c r="H1239" s="15" t="s">
        <v>18</v>
      </c>
      <c r="I1239" s="20" t="s">
        <v>19</v>
      </c>
      <c r="J1239" s="21">
        <v>5455331.0</v>
      </c>
      <c r="K1239" s="21">
        <v>41.0</v>
      </c>
    </row>
    <row r="1240">
      <c r="A1240" s="15" t="s">
        <v>74</v>
      </c>
      <c r="B1240" s="16" t="s">
        <v>187</v>
      </c>
      <c r="C1240" s="17" t="s">
        <v>188</v>
      </c>
      <c r="D1240" s="18">
        <v>2.0</v>
      </c>
      <c r="E1240" s="17" t="s">
        <v>207</v>
      </c>
      <c r="F1240" s="15" t="s">
        <v>208</v>
      </c>
      <c r="G1240" s="19">
        <v>9.0043001E7</v>
      </c>
      <c r="H1240" s="15" t="s">
        <v>18</v>
      </c>
      <c r="I1240" s="20" t="s">
        <v>19</v>
      </c>
      <c r="J1240" s="21">
        <v>2428848.0</v>
      </c>
      <c r="K1240" s="21">
        <v>18.0</v>
      </c>
    </row>
    <row r="1241">
      <c r="A1241" s="15" t="s">
        <v>74</v>
      </c>
      <c r="B1241" s="16" t="s">
        <v>187</v>
      </c>
      <c r="C1241" s="17" t="s">
        <v>188</v>
      </c>
      <c r="D1241" s="18">
        <v>2.0</v>
      </c>
      <c r="E1241" s="17" t="s">
        <v>175</v>
      </c>
      <c r="F1241" s="15" t="s">
        <v>176</v>
      </c>
      <c r="G1241" s="19">
        <v>9.0043002E7</v>
      </c>
      <c r="H1241" s="15" t="s">
        <v>49</v>
      </c>
      <c r="I1241" s="20" t="s">
        <v>50</v>
      </c>
      <c r="J1241" s="21">
        <v>8621238.0</v>
      </c>
      <c r="K1241" s="21">
        <v>423.0</v>
      </c>
    </row>
    <row r="1242">
      <c r="A1242" s="15" t="s">
        <v>74</v>
      </c>
      <c r="B1242" s="16" t="s">
        <v>187</v>
      </c>
      <c r="C1242" s="17" t="s">
        <v>188</v>
      </c>
      <c r="D1242" s="18">
        <v>2.0</v>
      </c>
      <c r="E1242" s="17" t="s">
        <v>175</v>
      </c>
      <c r="F1242" s="15" t="s">
        <v>176</v>
      </c>
      <c r="G1242" s="19">
        <v>9.0043003E7</v>
      </c>
      <c r="H1242" s="15" t="s">
        <v>90</v>
      </c>
      <c r="I1242" s="20" t="s">
        <v>50</v>
      </c>
      <c r="J1242" s="21">
        <v>753644.0</v>
      </c>
      <c r="K1242" s="21">
        <v>8.0</v>
      </c>
    </row>
    <row r="1243">
      <c r="A1243" s="15" t="s">
        <v>74</v>
      </c>
      <c r="B1243" s="16" t="s">
        <v>187</v>
      </c>
      <c r="C1243" s="17" t="s">
        <v>188</v>
      </c>
      <c r="D1243" s="18">
        <v>2.0</v>
      </c>
      <c r="E1243" s="17" t="s">
        <v>175</v>
      </c>
      <c r="F1243" s="15" t="s">
        <v>176</v>
      </c>
      <c r="G1243" s="19">
        <v>5.1100774E7</v>
      </c>
      <c r="H1243" s="15" t="s">
        <v>39</v>
      </c>
      <c r="I1243" s="20" t="s">
        <v>17</v>
      </c>
      <c r="J1243" s="21">
        <v>863637.0</v>
      </c>
      <c r="K1243" s="21">
        <v>13560.0</v>
      </c>
    </row>
    <row r="1244">
      <c r="A1244" s="15" t="s">
        <v>74</v>
      </c>
      <c r="B1244" s="16" t="s">
        <v>187</v>
      </c>
      <c r="C1244" s="17" t="s">
        <v>188</v>
      </c>
      <c r="D1244" s="18">
        <v>2.0</v>
      </c>
      <c r="E1244" s="17" t="s">
        <v>115</v>
      </c>
      <c r="F1244" s="15" t="s">
        <v>116</v>
      </c>
      <c r="G1244" s="19">
        <v>9.0043002E7</v>
      </c>
      <c r="H1244" s="15" t="s">
        <v>49</v>
      </c>
      <c r="I1244" s="20" t="s">
        <v>50</v>
      </c>
      <c r="J1244" s="21">
        <v>5.5707611E7</v>
      </c>
      <c r="K1244" s="21">
        <v>2742.0</v>
      </c>
    </row>
    <row r="1245">
      <c r="A1245" s="15" t="s">
        <v>74</v>
      </c>
      <c r="B1245" s="16" t="s">
        <v>187</v>
      </c>
      <c r="C1245" s="17" t="s">
        <v>188</v>
      </c>
      <c r="D1245" s="18">
        <v>2.0</v>
      </c>
      <c r="E1245" s="17" t="s">
        <v>115</v>
      </c>
      <c r="F1245" s="15" t="s">
        <v>116</v>
      </c>
      <c r="G1245" s="19">
        <v>5.1100774E7</v>
      </c>
      <c r="H1245" s="15" t="s">
        <v>39</v>
      </c>
      <c r="I1245" s="20" t="s">
        <v>17</v>
      </c>
      <c r="J1245" s="21">
        <v>3.6074987E7</v>
      </c>
      <c r="K1245" s="21">
        <v>479290.0</v>
      </c>
    </row>
    <row r="1246">
      <c r="A1246" s="15" t="s">
        <v>74</v>
      </c>
      <c r="B1246" s="16" t="s">
        <v>187</v>
      </c>
      <c r="C1246" s="17" t="s">
        <v>188</v>
      </c>
      <c r="D1246" s="18">
        <v>2.0</v>
      </c>
      <c r="E1246" s="17" t="s">
        <v>117</v>
      </c>
      <c r="F1246" s="15" t="s">
        <v>118</v>
      </c>
      <c r="G1246" s="19">
        <v>5.1100058E7</v>
      </c>
      <c r="H1246" s="15" t="s">
        <v>36</v>
      </c>
      <c r="I1246" s="20" t="s">
        <v>37</v>
      </c>
      <c r="J1246" s="21">
        <v>6.4610823E7</v>
      </c>
      <c r="K1246" s="21">
        <v>46971.75</v>
      </c>
    </row>
    <row r="1247">
      <c r="A1247" s="15" t="s">
        <v>74</v>
      </c>
      <c r="B1247" s="16" t="s">
        <v>187</v>
      </c>
      <c r="C1247" s="17" t="s">
        <v>188</v>
      </c>
      <c r="D1247" s="18">
        <v>2.0</v>
      </c>
      <c r="E1247" s="17" t="s">
        <v>117</v>
      </c>
      <c r="F1247" s="15" t="s">
        <v>118</v>
      </c>
      <c r="G1247" s="19">
        <v>9.0043001E7</v>
      </c>
      <c r="H1247" s="15" t="s">
        <v>18</v>
      </c>
      <c r="I1247" s="20" t="s">
        <v>19</v>
      </c>
      <c r="J1247" s="21">
        <v>1851046.0</v>
      </c>
      <c r="K1247" s="21">
        <v>13.0</v>
      </c>
    </row>
    <row r="1248">
      <c r="A1248" s="15" t="s">
        <v>74</v>
      </c>
      <c r="B1248" s="16" t="s">
        <v>187</v>
      </c>
      <c r="C1248" s="17" t="s">
        <v>188</v>
      </c>
      <c r="D1248" s="18">
        <v>2.0</v>
      </c>
      <c r="E1248" s="17" t="s">
        <v>117</v>
      </c>
      <c r="F1248" s="15" t="s">
        <v>118</v>
      </c>
      <c r="G1248" s="19">
        <v>5.1100774E7</v>
      </c>
      <c r="H1248" s="15" t="s">
        <v>39</v>
      </c>
      <c r="I1248" s="20" t="s">
        <v>17</v>
      </c>
      <c r="J1248" s="21">
        <v>2.5618344E7</v>
      </c>
      <c r="K1248" s="21">
        <v>460.05</v>
      </c>
    </row>
    <row r="1249">
      <c r="A1249" s="15" t="s">
        <v>74</v>
      </c>
      <c r="B1249" s="16" t="s">
        <v>187</v>
      </c>
      <c r="C1249" s="17" t="s">
        <v>188</v>
      </c>
      <c r="D1249" s="18">
        <v>2.0</v>
      </c>
      <c r="E1249" s="17" t="s">
        <v>119</v>
      </c>
      <c r="F1249" s="15" t="s">
        <v>120</v>
      </c>
      <c r="G1249" s="19">
        <v>9.0043001E7</v>
      </c>
      <c r="H1249" s="15" t="s">
        <v>18</v>
      </c>
      <c r="I1249" s="20" t="s">
        <v>19</v>
      </c>
      <c r="J1249" s="21">
        <v>405336.0</v>
      </c>
      <c r="K1249" s="21">
        <v>3.0</v>
      </c>
    </row>
    <row r="1250">
      <c r="A1250" s="15" t="s">
        <v>74</v>
      </c>
      <c r="B1250" s="16" t="s">
        <v>187</v>
      </c>
      <c r="C1250" s="17" t="s">
        <v>188</v>
      </c>
      <c r="D1250" s="18">
        <v>2.0</v>
      </c>
      <c r="E1250" s="17" t="s">
        <v>123</v>
      </c>
      <c r="F1250" s="15" t="s">
        <v>124</v>
      </c>
      <c r="G1250" s="19">
        <v>9.0043001E7</v>
      </c>
      <c r="H1250" s="15" t="s">
        <v>18</v>
      </c>
      <c r="I1250" s="20" t="s">
        <v>19</v>
      </c>
      <c r="J1250" s="21">
        <v>1.6457863E7</v>
      </c>
      <c r="K1250" s="21">
        <v>124.0</v>
      </c>
    </row>
    <row r="1251">
      <c r="A1251" s="15" t="s">
        <v>74</v>
      </c>
      <c r="B1251" s="16" t="s">
        <v>187</v>
      </c>
      <c r="C1251" s="17" t="s">
        <v>188</v>
      </c>
      <c r="D1251" s="18">
        <v>2.0</v>
      </c>
      <c r="E1251" s="17" t="s">
        <v>123</v>
      </c>
      <c r="F1251" s="15" t="s">
        <v>124</v>
      </c>
      <c r="G1251" s="19">
        <v>5.1100774E7</v>
      </c>
      <c r="H1251" s="15" t="s">
        <v>39</v>
      </c>
      <c r="I1251" s="20" t="s">
        <v>17</v>
      </c>
      <c r="J1251" s="21">
        <v>9.702264E7</v>
      </c>
      <c r="K1251" s="21">
        <v>226.16</v>
      </c>
    </row>
    <row r="1252">
      <c r="A1252" s="15" t="s">
        <v>74</v>
      </c>
      <c r="B1252" s="16" t="s">
        <v>187</v>
      </c>
      <c r="C1252" s="17" t="s">
        <v>188</v>
      </c>
      <c r="D1252" s="18">
        <v>2.0</v>
      </c>
      <c r="E1252" s="17" t="s">
        <v>125</v>
      </c>
      <c r="F1252" s="15" t="s">
        <v>126</v>
      </c>
      <c r="G1252" s="19">
        <v>5.1101056E7</v>
      </c>
      <c r="H1252" s="15" t="s">
        <v>16</v>
      </c>
      <c r="I1252" s="20" t="s">
        <v>17</v>
      </c>
      <c r="J1252" s="21">
        <v>1.0965055E7</v>
      </c>
      <c r="K1252" s="21">
        <v>80578.0</v>
      </c>
    </row>
    <row r="1253">
      <c r="A1253" s="15" t="s">
        <v>74</v>
      </c>
      <c r="B1253" s="16" t="s">
        <v>187</v>
      </c>
      <c r="C1253" s="17" t="s">
        <v>188</v>
      </c>
      <c r="D1253" s="18">
        <v>2.0</v>
      </c>
      <c r="E1253" s="17" t="s">
        <v>125</v>
      </c>
      <c r="F1253" s="15" t="s">
        <v>126</v>
      </c>
      <c r="G1253" s="19">
        <v>9.0043001E7</v>
      </c>
      <c r="H1253" s="15" t="s">
        <v>18</v>
      </c>
      <c r="I1253" s="20" t="s">
        <v>19</v>
      </c>
      <c r="J1253" s="21">
        <v>2.08070699E8</v>
      </c>
      <c r="K1253" s="21">
        <v>1557.0</v>
      </c>
    </row>
    <row r="1254">
      <c r="A1254" s="15" t="s">
        <v>74</v>
      </c>
      <c r="B1254" s="16" t="s">
        <v>187</v>
      </c>
      <c r="C1254" s="17" t="s">
        <v>188</v>
      </c>
      <c r="D1254" s="18">
        <v>2.0</v>
      </c>
      <c r="E1254" s="17" t="s">
        <v>127</v>
      </c>
      <c r="F1254" s="15" t="s">
        <v>128</v>
      </c>
      <c r="G1254" s="19">
        <v>5.1100153E7</v>
      </c>
      <c r="H1254" s="15" t="s">
        <v>72</v>
      </c>
      <c r="I1254" s="20" t="s">
        <v>17</v>
      </c>
      <c r="J1254" s="21">
        <v>3.01053179E8</v>
      </c>
      <c r="K1254" s="21">
        <v>2805740.0</v>
      </c>
    </row>
    <row r="1255">
      <c r="A1255" s="15" t="s">
        <v>74</v>
      </c>
      <c r="B1255" s="16" t="s">
        <v>187</v>
      </c>
      <c r="C1255" s="17" t="s">
        <v>188</v>
      </c>
      <c r="D1255" s="18">
        <v>2.0</v>
      </c>
      <c r="E1255" s="17" t="s">
        <v>127</v>
      </c>
      <c r="F1255" s="15" t="s">
        <v>128</v>
      </c>
      <c r="G1255" s="19">
        <v>9.0043002E7</v>
      </c>
      <c r="H1255" s="15" t="s">
        <v>49</v>
      </c>
      <c r="I1255" s="20" t="s">
        <v>50</v>
      </c>
      <c r="J1255" s="21">
        <v>950897.0</v>
      </c>
      <c r="K1255" s="21">
        <v>44.0</v>
      </c>
    </row>
    <row r="1256">
      <c r="A1256" s="15" t="s">
        <v>74</v>
      </c>
      <c r="B1256" s="16" t="s">
        <v>187</v>
      </c>
      <c r="C1256" s="17" t="s">
        <v>188</v>
      </c>
      <c r="D1256" s="18">
        <v>2.0</v>
      </c>
      <c r="E1256" s="17" t="s">
        <v>129</v>
      </c>
      <c r="F1256" s="15" t="s">
        <v>130</v>
      </c>
      <c r="G1256" s="19">
        <v>9.0043001E7</v>
      </c>
      <c r="H1256" s="15" t="s">
        <v>18</v>
      </c>
      <c r="I1256" s="20" t="s">
        <v>19</v>
      </c>
      <c r="J1256" s="21">
        <v>268982.0</v>
      </c>
      <c r="K1256" s="21">
        <v>2.0</v>
      </c>
    </row>
    <row r="1257">
      <c r="A1257" s="15" t="s">
        <v>74</v>
      </c>
      <c r="B1257" s="16" t="s">
        <v>187</v>
      </c>
      <c r="C1257" s="17" t="s">
        <v>188</v>
      </c>
      <c r="D1257" s="18">
        <v>2.0</v>
      </c>
      <c r="E1257" s="17" t="s">
        <v>129</v>
      </c>
      <c r="F1257" s="15" t="s">
        <v>130</v>
      </c>
      <c r="G1257" s="19">
        <v>9.0043002E7</v>
      </c>
      <c r="H1257" s="15" t="s">
        <v>49</v>
      </c>
      <c r="I1257" s="20" t="s">
        <v>50</v>
      </c>
      <c r="J1257" s="21">
        <v>1.0650262E7</v>
      </c>
      <c r="K1257" s="21">
        <v>146.0</v>
      </c>
    </row>
    <row r="1258">
      <c r="A1258" s="15" t="s">
        <v>74</v>
      </c>
      <c r="B1258" s="16" t="s">
        <v>187</v>
      </c>
      <c r="C1258" s="17" t="s">
        <v>188</v>
      </c>
      <c r="D1258" s="18">
        <v>2.0</v>
      </c>
      <c r="E1258" s="17" t="s">
        <v>129</v>
      </c>
      <c r="F1258" s="15" t="s">
        <v>130</v>
      </c>
      <c r="G1258" s="19">
        <v>9.0043003E7</v>
      </c>
      <c r="H1258" s="15" t="s">
        <v>90</v>
      </c>
      <c r="I1258" s="20" t="s">
        <v>50</v>
      </c>
      <c r="J1258" s="21">
        <v>6.1459754E7</v>
      </c>
      <c r="K1258" s="21">
        <v>575.5</v>
      </c>
    </row>
    <row r="1259">
      <c r="A1259" s="15" t="s">
        <v>74</v>
      </c>
      <c r="B1259" s="16" t="s">
        <v>187</v>
      </c>
      <c r="C1259" s="17" t="s">
        <v>188</v>
      </c>
      <c r="D1259" s="18">
        <v>2.0</v>
      </c>
      <c r="E1259" s="17" t="s">
        <v>131</v>
      </c>
      <c r="F1259" s="15" t="s">
        <v>132</v>
      </c>
      <c r="G1259" s="19">
        <v>5.1101056E7</v>
      </c>
      <c r="H1259" s="15" t="s">
        <v>16</v>
      </c>
      <c r="I1259" s="20" t="s">
        <v>17</v>
      </c>
      <c r="J1259" s="21">
        <v>2.1481E7</v>
      </c>
      <c r="K1259" s="21">
        <v>214810.0</v>
      </c>
    </row>
    <row r="1260">
      <c r="A1260" s="15" t="s">
        <v>74</v>
      </c>
      <c r="B1260" s="16" t="s">
        <v>187</v>
      </c>
      <c r="C1260" s="17" t="s">
        <v>188</v>
      </c>
      <c r="D1260" s="18">
        <v>2.0</v>
      </c>
      <c r="E1260" s="17" t="s">
        <v>131</v>
      </c>
      <c r="F1260" s="15" t="s">
        <v>132</v>
      </c>
      <c r="G1260" s="19">
        <v>9.0043001E7</v>
      </c>
      <c r="H1260" s="15" t="s">
        <v>18</v>
      </c>
      <c r="I1260" s="20" t="s">
        <v>19</v>
      </c>
      <c r="J1260" s="21">
        <v>1754948.0</v>
      </c>
      <c r="K1260" s="21">
        <v>13.0</v>
      </c>
    </row>
    <row r="1261">
      <c r="A1261" s="15" t="s">
        <v>74</v>
      </c>
      <c r="B1261" s="16" t="s">
        <v>187</v>
      </c>
      <c r="C1261" s="17" t="s">
        <v>188</v>
      </c>
      <c r="D1261" s="18">
        <v>2.0</v>
      </c>
      <c r="E1261" s="17" t="s">
        <v>135</v>
      </c>
      <c r="F1261" s="15" t="s">
        <v>136</v>
      </c>
      <c r="G1261" s="19">
        <v>9.0043001E7</v>
      </c>
      <c r="H1261" s="15" t="s">
        <v>18</v>
      </c>
      <c r="I1261" s="20" t="s">
        <v>19</v>
      </c>
      <c r="J1261" s="21">
        <v>9.9095699E7</v>
      </c>
      <c r="K1261" s="21">
        <v>743.0</v>
      </c>
    </row>
    <row r="1262">
      <c r="A1262" s="15" t="s">
        <v>74</v>
      </c>
      <c r="B1262" s="16" t="s">
        <v>187</v>
      </c>
      <c r="C1262" s="17" t="s">
        <v>188</v>
      </c>
      <c r="D1262" s="18">
        <v>2.0</v>
      </c>
      <c r="E1262" s="17" t="s">
        <v>193</v>
      </c>
      <c r="F1262" s="15" t="s">
        <v>194</v>
      </c>
      <c r="G1262" s="19">
        <v>9.0043001E7</v>
      </c>
      <c r="H1262" s="15" t="s">
        <v>18</v>
      </c>
      <c r="I1262" s="20" t="s">
        <v>19</v>
      </c>
      <c r="J1262" s="21">
        <v>1.5945821E7</v>
      </c>
      <c r="K1262" s="21">
        <v>96.0</v>
      </c>
    </row>
    <row r="1263">
      <c r="A1263" s="15" t="s">
        <v>74</v>
      </c>
      <c r="B1263" s="16" t="s">
        <v>187</v>
      </c>
      <c r="C1263" s="17" t="s">
        <v>188</v>
      </c>
      <c r="D1263" s="18">
        <v>2.0</v>
      </c>
      <c r="E1263" s="17" t="s">
        <v>162</v>
      </c>
      <c r="F1263" s="15" t="s">
        <v>163</v>
      </c>
      <c r="G1263" s="19">
        <v>9.0043001E7</v>
      </c>
      <c r="H1263" s="15" t="s">
        <v>18</v>
      </c>
      <c r="I1263" s="20" t="s">
        <v>19</v>
      </c>
      <c r="J1263" s="21">
        <v>9873500.0</v>
      </c>
      <c r="K1263" s="21">
        <v>63.0</v>
      </c>
    </row>
    <row r="1264">
      <c r="A1264" s="15" t="s">
        <v>74</v>
      </c>
      <c r="B1264" s="16" t="s">
        <v>187</v>
      </c>
      <c r="C1264" s="17" t="s">
        <v>188</v>
      </c>
      <c r="D1264" s="18">
        <v>2.0</v>
      </c>
      <c r="E1264" s="17" t="s">
        <v>54</v>
      </c>
      <c r="F1264" s="15" t="s">
        <v>139</v>
      </c>
      <c r="G1264" s="19">
        <v>9.0042011E7</v>
      </c>
      <c r="H1264" s="15" t="s">
        <v>55</v>
      </c>
      <c r="I1264" s="20" t="s">
        <v>19</v>
      </c>
      <c r="J1264" s="21">
        <v>2.33244255E8</v>
      </c>
      <c r="K1264" s="21">
        <v>0.0</v>
      </c>
    </row>
    <row r="1265">
      <c r="A1265" s="15" t="s">
        <v>74</v>
      </c>
      <c r="B1265" s="16" t="s">
        <v>187</v>
      </c>
      <c r="C1265" s="17" t="s">
        <v>188</v>
      </c>
      <c r="D1265" s="18">
        <v>2.0</v>
      </c>
      <c r="E1265" s="17" t="s">
        <v>20</v>
      </c>
      <c r="F1265" s="15" t="s">
        <v>140</v>
      </c>
      <c r="G1265" s="19">
        <v>9.0042014E7</v>
      </c>
      <c r="H1265" s="15" t="s">
        <v>21</v>
      </c>
      <c r="I1265" s="20" t="s">
        <v>19</v>
      </c>
      <c r="J1265" s="21">
        <v>2.39073961E8</v>
      </c>
      <c r="K1265" s="21">
        <v>0.0</v>
      </c>
    </row>
    <row r="1266">
      <c r="A1266" s="15" t="s">
        <v>74</v>
      </c>
      <c r="B1266" s="16" t="s">
        <v>187</v>
      </c>
      <c r="C1266" s="17" t="s">
        <v>188</v>
      </c>
      <c r="D1266" s="18">
        <v>2.0</v>
      </c>
      <c r="E1266" s="17" t="s">
        <v>20</v>
      </c>
      <c r="F1266" s="15" t="s">
        <v>140</v>
      </c>
      <c r="G1266" s="19">
        <v>9.0042077E7</v>
      </c>
      <c r="H1266" s="15" t="s">
        <v>141</v>
      </c>
      <c r="I1266" s="20" t="s">
        <v>19</v>
      </c>
      <c r="J1266" s="21">
        <v>2.1998147E8</v>
      </c>
      <c r="K1266" s="21">
        <v>0.0</v>
      </c>
    </row>
    <row r="1267">
      <c r="A1267" s="15" t="s">
        <v>74</v>
      </c>
      <c r="B1267" s="16" t="s">
        <v>187</v>
      </c>
      <c r="C1267" s="17" t="s">
        <v>188</v>
      </c>
      <c r="D1267" s="18">
        <v>2.0</v>
      </c>
      <c r="E1267" s="17" t="s">
        <v>142</v>
      </c>
      <c r="F1267" s="15" t="s">
        <v>143</v>
      </c>
      <c r="G1267" s="19">
        <v>9.0042084E7</v>
      </c>
      <c r="H1267" s="15" t="s">
        <v>145</v>
      </c>
      <c r="I1267" s="20" t="s">
        <v>19</v>
      </c>
      <c r="J1267" s="21">
        <v>8760837.0</v>
      </c>
      <c r="K1267" s="21">
        <v>0.0</v>
      </c>
    </row>
    <row r="1268">
      <c r="A1268" s="15" t="s">
        <v>74</v>
      </c>
      <c r="B1268" s="16" t="s">
        <v>187</v>
      </c>
      <c r="C1268" s="17" t="s">
        <v>188</v>
      </c>
      <c r="D1268" s="18">
        <v>2.0</v>
      </c>
      <c r="E1268" s="17" t="s">
        <v>22</v>
      </c>
      <c r="F1268" s="15" t="s">
        <v>146</v>
      </c>
      <c r="G1268" s="19">
        <v>9.0042012E7</v>
      </c>
      <c r="H1268" s="15" t="s">
        <v>23</v>
      </c>
      <c r="I1268" s="20" t="s">
        <v>19</v>
      </c>
      <c r="J1268" s="21">
        <v>8.9508912E7</v>
      </c>
      <c r="K1268" s="21">
        <v>0.0</v>
      </c>
    </row>
    <row r="1269">
      <c r="A1269" s="15" t="s">
        <v>74</v>
      </c>
      <c r="B1269" s="16" t="s">
        <v>187</v>
      </c>
      <c r="C1269" s="17" t="s">
        <v>188</v>
      </c>
      <c r="D1269" s="18">
        <v>2.0</v>
      </c>
      <c r="E1269" s="17" t="s">
        <v>22</v>
      </c>
      <c r="F1269" s="15" t="s">
        <v>146</v>
      </c>
      <c r="G1269" s="19">
        <v>9.0042121E7</v>
      </c>
      <c r="H1269" s="15" t="s">
        <v>24</v>
      </c>
      <c r="I1269" s="20" t="s">
        <v>25</v>
      </c>
      <c r="J1269" s="21">
        <v>-5.6699295E7</v>
      </c>
      <c r="K1269" s="21">
        <v>0.0</v>
      </c>
    </row>
    <row r="1270">
      <c r="A1270" s="15" t="s">
        <v>74</v>
      </c>
      <c r="B1270" s="16" t="s">
        <v>187</v>
      </c>
      <c r="C1270" s="17" t="s">
        <v>188</v>
      </c>
      <c r="D1270" s="18">
        <v>2.0</v>
      </c>
      <c r="E1270" s="17" t="s">
        <v>22</v>
      </c>
      <c r="F1270" s="15" t="s">
        <v>146</v>
      </c>
      <c r="G1270" s="19">
        <v>9.0042122E7</v>
      </c>
      <c r="H1270" s="15" t="s">
        <v>56</v>
      </c>
      <c r="I1270" s="20" t="s">
        <v>25</v>
      </c>
      <c r="J1270" s="21">
        <v>8587006.0</v>
      </c>
      <c r="K1270" s="21">
        <v>0.0</v>
      </c>
    </row>
    <row r="1271">
      <c r="A1271" s="15" t="s">
        <v>74</v>
      </c>
      <c r="B1271" s="16" t="s">
        <v>187</v>
      </c>
      <c r="C1271" s="17" t="s">
        <v>188</v>
      </c>
      <c r="D1271" s="18">
        <v>2.0</v>
      </c>
      <c r="E1271" s="17" t="s">
        <v>22</v>
      </c>
      <c r="F1271" s="15" t="s">
        <v>146</v>
      </c>
      <c r="G1271" s="19">
        <v>9.0042124E7</v>
      </c>
      <c r="H1271" s="15" t="s">
        <v>57</v>
      </c>
      <c r="I1271" s="20" t="s">
        <v>25</v>
      </c>
      <c r="J1271" s="21">
        <v>-5.49427031E8</v>
      </c>
      <c r="K1271" s="21">
        <v>0.0</v>
      </c>
    </row>
    <row r="1272">
      <c r="A1272" s="15" t="s">
        <v>74</v>
      </c>
      <c r="B1272" s="16" t="s">
        <v>187</v>
      </c>
      <c r="C1272" s="17" t="s">
        <v>188</v>
      </c>
      <c r="D1272" s="18">
        <v>2.0</v>
      </c>
      <c r="E1272" s="17" t="s">
        <v>22</v>
      </c>
      <c r="F1272" s="15" t="s">
        <v>146</v>
      </c>
      <c r="G1272" s="19">
        <v>9.0042125E7</v>
      </c>
      <c r="H1272" s="15" t="s">
        <v>26</v>
      </c>
      <c r="I1272" s="20" t="s">
        <v>25</v>
      </c>
      <c r="J1272" s="21">
        <v>2.4340536E7</v>
      </c>
      <c r="K1272" s="21">
        <v>0.0</v>
      </c>
    </row>
    <row r="1273">
      <c r="A1273" s="15" t="s">
        <v>74</v>
      </c>
      <c r="B1273" s="16" t="s">
        <v>187</v>
      </c>
      <c r="C1273" s="17" t="s">
        <v>188</v>
      </c>
      <c r="D1273" s="18">
        <v>2.0</v>
      </c>
      <c r="E1273" s="17" t="s">
        <v>22</v>
      </c>
      <c r="F1273" s="15" t="s">
        <v>146</v>
      </c>
      <c r="G1273" s="19">
        <v>9.0042127E7</v>
      </c>
      <c r="H1273" s="15" t="s">
        <v>27</v>
      </c>
      <c r="I1273" s="20" t="s">
        <v>25</v>
      </c>
      <c r="J1273" s="21">
        <v>2.4776782E7</v>
      </c>
      <c r="K1273" s="21">
        <v>0.0</v>
      </c>
    </row>
    <row r="1274">
      <c r="A1274" s="15" t="s">
        <v>74</v>
      </c>
      <c r="B1274" s="16" t="s">
        <v>187</v>
      </c>
      <c r="C1274" s="17" t="s">
        <v>188</v>
      </c>
      <c r="D1274" s="18">
        <v>2.0</v>
      </c>
      <c r="E1274" s="17" t="s">
        <v>22</v>
      </c>
      <c r="F1274" s="15" t="s">
        <v>146</v>
      </c>
      <c r="G1274" s="19">
        <v>9.0042128E7</v>
      </c>
      <c r="H1274" s="15" t="s">
        <v>58</v>
      </c>
      <c r="I1274" s="20" t="s">
        <v>25</v>
      </c>
      <c r="J1274" s="21">
        <v>9411572.0</v>
      </c>
      <c r="K1274" s="21">
        <v>0.0</v>
      </c>
    </row>
    <row r="1275">
      <c r="A1275" s="15" t="s">
        <v>74</v>
      </c>
      <c r="B1275" s="16" t="s">
        <v>187</v>
      </c>
      <c r="C1275" s="17" t="s">
        <v>188</v>
      </c>
      <c r="D1275" s="18">
        <v>2.0</v>
      </c>
      <c r="E1275" s="17" t="s">
        <v>22</v>
      </c>
      <c r="F1275" s="15" t="s">
        <v>146</v>
      </c>
      <c r="G1275" s="19">
        <v>9.0042132E7</v>
      </c>
      <c r="H1275" s="15" t="s">
        <v>28</v>
      </c>
      <c r="I1275" s="20" t="s">
        <v>25</v>
      </c>
      <c r="J1275" s="21">
        <v>4676346.0</v>
      </c>
      <c r="K1275" s="21">
        <v>0.0</v>
      </c>
    </row>
    <row r="1276">
      <c r="A1276" s="15" t="s">
        <v>74</v>
      </c>
      <c r="B1276" s="16" t="s">
        <v>187</v>
      </c>
      <c r="C1276" s="17" t="s">
        <v>188</v>
      </c>
      <c r="D1276" s="18">
        <v>2.0</v>
      </c>
      <c r="E1276" s="17" t="s">
        <v>22</v>
      </c>
      <c r="F1276" s="15" t="s">
        <v>146</v>
      </c>
      <c r="G1276" s="19">
        <v>9.0042134E7</v>
      </c>
      <c r="H1276" s="15" t="s">
        <v>29</v>
      </c>
      <c r="I1276" s="20" t="s">
        <v>25</v>
      </c>
      <c r="J1276" s="21">
        <v>7125000.0</v>
      </c>
      <c r="K1276" s="21">
        <v>0.0</v>
      </c>
    </row>
    <row r="1277">
      <c r="A1277" s="15" t="s">
        <v>74</v>
      </c>
      <c r="B1277" s="16" t="s">
        <v>187</v>
      </c>
      <c r="C1277" s="17" t="s">
        <v>188</v>
      </c>
      <c r="D1277" s="18">
        <v>2.0</v>
      </c>
      <c r="E1277" s="17" t="s">
        <v>22</v>
      </c>
      <c r="F1277" s="15" t="s">
        <v>146</v>
      </c>
      <c r="G1277" s="19">
        <v>9.0042135E7</v>
      </c>
      <c r="H1277" s="15" t="s">
        <v>30</v>
      </c>
      <c r="I1277" s="20" t="s">
        <v>25</v>
      </c>
      <c r="J1277" s="21">
        <v>1.6636998E8</v>
      </c>
      <c r="K1277" s="21">
        <v>0.0</v>
      </c>
    </row>
    <row r="1278">
      <c r="A1278" s="15" t="s">
        <v>74</v>
      </c>
      <c r="B1278" s="16" t="s">
        <v>187</v>
      </c>
      <c r="C1278" s="17" t="s">
        <v>188</v>
      </c>
      <c r="D1278" s="18">
        <v>2.0</v>
      </c>
      <c r="E1278" s="17" t="s">
        <v>22</v>
      </c>
      <c r="F1278" s="15" t="s">
        <v>146</v>
      </c>
      <c r="G1278" s="19">
        <v>9.00422E7</v>
      </c>
      <c r="H1278" s="15" t="s">
        <v>73</v>
      </c>
      <c r="I1278" s="20" t="s">
        <v>60</v>
      </c>
      <c r="J1278" s="21">
        <v>5.74458434E8</v>
      </c>
      <c r="K1278" s="21">
        <v>0.0</v>
      </c>
    </row>
    <row r="1279">
      <c r="A1279" s="15" t="s">
        <v>74</v>
      </c>
      <c r="B1279" s="16" t="s">
        <v>187</v>
      </c>
      <c r="C1279" s="17" t="s">
        <v>188</v>
      </c>
      <c r="D1279" s="18">
        <v>2.0</v>
      </c>
      <c r="E1279" s="17" t="s">
        <v>22</v>
      </c>
      <c r="F1279" s="15" t="s">
        <v>146</v>
      </c>
      <c r="G1279" s="19">
        <v>9.0042223E7</v>
      </c>
      <c r="H1279" s="15" t="s">
        <v>61</v>
      </c>
      <c r="I1279" s="20" t="s">
        <v>60</v>
      </c>
      <c r="J1279" s="21">
        <v>1036735.0</v>
      </c>
      <c r="K1279" s="21">
        <v>0.0</v>
      </c>
    </row>
    <row r="1280">
      <c r="A1280" s="15" t="s">
        <v>74</v>
      </c>
      <c r="B1280" s="16" t="s">
        <v>187</v>
      </c>
      <c r="C1280" s="17" t="s">
        <v>188</v>
      </c>
      <c r="D1280" s="18">
        <v>2.0</v>
      </c>
      <c r="E1280" s="17" t="s">
        <v>22</v>
      </c>
      <c r="F1280" s="15" t="s">
        <v>146</v>
      </c>
      <c r="G1280" s="19">
        <v>9.0042224E7</v>
      </c>
      <c r="H1280" s="15" t="s">
        <v>62</v>
      </c>
      <c r="I1280" s="20" t="s">
        <v>60</v>
      </c>
      <c r="J1280" s="21">
        <v>4131387.0</v>
      </c>
      <c r="K1280" s="21">
        <v>0.0</v>
      </c>
    </row>
    <row r="1281">
      <c r="A1281" s="15" t="s">
        <v>74</v>
      </c>
      <c r="B1281" s="16" t="s">
        <v>187</v>
      </c>
      <c r="C1281" s="17" t="s">
        <v>188</v>
      </c>
      <c r="D1281" s="18">
        <v>2.0</v>
      </c>
      <c r="E1281" s="17" t="s">
        <v>22</v>
      </c>
      <c r="F1281" s="15" t="s">
        <v>146</v>
      </c>
      <c r="G1281" s="19">
        <v>9.0042226E7</v>
      </c>
      <c r="H1281" s="15" t="s">
        <v>63</v>
      </c>
      <c r="I1281" s="20" t="s">
        <v>60</v>
      </c>
      <c r="J1281" s="21">
        <v>1528668.0</v>
      </c>
      <c r="K1281" s="21">
        <v>0.0</v>
      </c>
    </row>
    <row r="1282">
      <c r="A1282" s="15" t="s">
        <v>74</v>
      </c>
      <c r="B1282" s="16" t="s">
        <v>187</v>
      </c>
      <c r="C1282" s="17" t="s">
        <v>188</v>
      </c>
      <c r="D1282" s="18">
        <v>2.0</v>
      </c>
      <c r="E1282" s="17" t="s">
        <v>22</v>
      </c>
      <c r="F1282" s="15" t="s">
        <v>146</v>
      </c>
      <c r="G1282" s="19">
        <v>9.0042228E7</v>
      </c>
      <c r="H1282" s="15" t="s">
        <v>64</v>
      </c>
      <c r="I1282" s="20" t="s">
        <v>60</v>
      </c>
      <c r="J1282" s="21">
        <v>1.24974057E8</v>
      </c>
      <c r="K1282" s="21">
        <v>0.0</v>
      </c>
    </row>
    <row r="1283">
      <c r="A1283" s="15" t="s">
        <v>74</v>
      </c>
      <c r="B1283" s="16" t="s">
        <v>187</v>
      </c>
      <c r="C1283" s="17" t="s">
        <v>188</v>
      </c>
      <c r="D1283" s="18">
        <v>2.0</v>
      </c>
      <c r="E1283" s="17" t="s">
        <v>22</v>
      </c>
      <c r="F1283" s="15" t="s">
        <v>146</v>
      </c>
      <c r="G1283" s="19">
        <v>9.0042231E7</v>
      </c>
      <c r="H1283" s="15" t="s">
        <v>65</v>
      </c>
      <c r="I1283" s="20" t="s">
        <v>60</v>
      </c>
      <c r="J1283" s="21">
        <v>2.5199012E7</v>
      </c>
      <c r="K1283" s="21">
        <v>0.0</v>
      </c>
    </row>
    <row r="1284">
      <c r="A1284" s="15" t="s">
        <v>74</v>
      </c>
      <c r="B1284" s="16" t="s">
        <v>187</v>
      </c>
      <c r="C1284" s="17" t="s">
        <v>188</v>
      </c>
      <c r="D1284" s="18">
        <v>2.0</v>
      </c>
      <c r="E1284" s="17" t="s">
        <v>22</v>
      </c>
      <c r="F1284" s="15" t="s">
        <v>146</v>
      </c>
      <c r="G1284" s="19">
        <v>9.0042126E7</v>
      </c>
      <c r="H1284" s="15" t="s">
        <v>31</v>
      </c>
      <c r="I1284" s="20" t="s">
        <v>25</v>
      </c>
      <c r="J1284" s="21">
        <v>6.2825025E7</v>
      </c>
      <c r="K1284" s="21">
        <v>0.0</v>
      </c>
    </row>
    <row r="1285">
      <c r="A1285" s="15" t="s">
        <v>74</v>
      </c>
      <c r="B1285" s="16" t="s">
        <v>187</v>
      </c>
      <c r="C1285" s="17" t="s">
        <v>188</v>
      </c>
      <c r="D1285" s="18">
        <v>2.0</v>
      </c>
      <c r="E1285" s="17" t="s">
        <v>269</v>
      </c>
      <c r="F1285" s="15" t="s">
        <v>270</v>
      </c>
      <c r="G1285" s="19">
        <v>9.0043001E7</v>
      </c>
      <c r="H1285" s="15" t="s">
        <v>18</v>
      </c>
      <c r="I1285" s="20" t="s">
        <v>19</v>
      </c>
      <c r="J1285" s="21">
        <v>134936.0</v>
      </c>
      <c r="K1285" s="21">
        <v>1.0</v>
      </c>
    </row>
    <row r="1286">
      <c r="A1286" s="15" t="s">
        <v>74</v>
      </c>
      <c r="B1286" s="16" t="s">
        <v>187</v>
      </c>
      <c r="C1286" s="17" t="s">
        <v>188</v>
      </c>
      <c r="D1286" s="18">
        <v>2.0</v>
      </c>
      <c r="E1286" s="17" t="s">
        <v>199</v>
      </c>
      <c r="F1286" s="15" t="s">
        <v>200</v>
      </c>
      <c r="G1286" s="19">
        <v>9.0043001E7</v>
      </c>
      <c r="H1286" s="15" t="s">
        <v>18</v>
      </c>
      <c r="I1286" s="20" t="s">
        <v>19</v>
      </c>
      <c r="J1286" s="21">
        <v>268092.0</v>
      </c>
      <c r="K1286" s="21">
        <v>2.0</v>
      </c>
    </row>
    <row r="1287">
      <c r="A1287" s="15" t="s">
        <v>74</v>
      </c>
      <c r="B1287" s="16" t="s">
        <v>187</v>
      </c>
      <c r="C1287" s="17" t="s">
        <v>188</v>
      </c>
      <c r="D1287" s="18">
        <v>2.0</v>
      </c>
      <c r="E1287" s="17" t="s">
        <v>185</v>
      </c>
      <c r="F1287" s="15" t="s">
        <v>186</v>
      </c>
      <c r="G1287" s="19">
        <v>9.0043001E7</v>
      </c>
      <c r="H1287" s="15" t="s">
        <v>18</v>
      </c>
      <c r="I1287" s="20" t="s">
        <v>19</v>
      </c>
      <c r="J1287" s="21">
        <v>906494.0</v>
      </c>
      <c r="K1287" s="21">
        <v>6.0</v>
      </c>
    </row>
    <row r="1288">
      <c r="A1288" s="15" t="s">
        <v>74</v>
      </c>
      <c r="B1288" s="16" t="s">
        <v>187</v>
      </c>
      <c r="C1288" s="17" t="s">
        <v>188</v>
      </c>
      <c r="D1288" s="18">
        <v>2.0</v>
      </c>
      <c r="E1288" s="17" t="s">
        <v>201</v>
      </c>
      <c r="F1288" s="15" t="s">
        <v>202</v>
      </c>
      <c r="G1288" s="19">
        <v>9.0043001E7</v>
      </c>
      <c r="H1288" s="15" t="s">
        <v>18</v>
      </c>
      <c r="I1288" s="20" t="s">
        <v>19</v>
      </c>
      <c r="J1288" s="21">
        <v>2158976.0</v>
      </c>
      <c r="K1288" s="21">
        <v>16.0</v>
      </c>
    </row>
    <row r="1289">
      <c r="A1289" s="15" t="s">
        <v>74</v>
      </c>
      <c r="B1289" s="16" t="s">
        <v>203</v>
      </c>
      <c r="C1289" s="17" t="s">
        <v>204</v>
      </c>
      <c r="D1289" s="18">
        <v>2.0</v>
      </c>
      <c r="E1289" s="17" t="s">
        <v>81</v>
      </c>
      <c r="F1289" s="15" t="s">
        <v>82</v>
      </c>
      <c r="G1289" s="19">
        <v>9.0043001E7</v>
      </c>
      <c r="H1289" s="15" t="s">
        <v>18</v>
      </c>
      <c r="I1289" s="20" t="s">
        <v>19</v>
      </c>
      <c r="J1289" s="21">
        <v>4174068.0</v>
      </c>
      <c r="K1289" s="21">
        <v>27.6</v>
      </c>
    </row>
    <row r="1290">
      <c r="A1290" s="15" t="s">
        <v>74</v>
      </c>
      <c r="B1290" s="16" t="s">
        <v>203</v>
      </c>
      <c r="C1290" s="17" t="s">
        <v>204</v>
      </c>
      <c r="D1290" s="18">
        <v>2.0</v>
      </c>
      <c r="E1290" s="17" t="s">
        <v>81</v>
      </c>
      <c r="F1290" s="15" t="s">
        <v>82</v>
      </c>
      <c r="G1290" s="19">
        <v>9.0043E7</v>
      </c>
      <c r="H1290" s="15" t="s">
        <v>83</v>
      </c>
      <c r="I1290" s="20" t="s">
        <v>19</v>
      </c>
      <c r="J1290" s="21">
        <v>859760.0</v>
      </c>
      <c r="K1290" s="21">
        <v>5.0</v>
      </c>
    </row>
    <row r="1291">
      <c r="A1291" s="15" t="s">
        <v>74</v>
      </c>
      <c r="B1291" s="16" t="s">
        <v>203</v>
      </c>
      <c r="C1291" s="17" t="s">
        <v>204</v>
      </c>
      <c r="D1291" s="18">
        <v>2.0</v>
      </c>
      <c r="E1291" s="17" t="s">
        <v>84</v>
      </c>
      <c r="F1291" s="15" t="s">
        <v>85</v>
      </c>
      <c r="G1291" s="19">
        <v>9.0043001E7</v>
      </c>
      <c r="H1291" s="15" t="s">
        <v>18</v>
      </c>
      <c r="I1291" s="20" t="s">
        <v>19</v>
      </c>
      <c r="J1291" s="21">
        <v>1.1629801E7</v>
      </c>
      <c r="K1291" s="21">
        <v>73.5</v>
      </c>
    </row>
    <row r="1292">
      <c r="A1292" s="15" t="s">
        <v>74</v>
      </c>
      <c r="B1292" s="16" t="s">
        <v>203</v>
      </c>
      <c r="C1292" s="17" t="s">
        <v>204</v>
      </c>
      <c r="D1292" s="18">
        <v>2.0</v>
      </c>
      <c r="E1292" s="17" t="s">
        <v>84</v>
      </c>
      <c r="F1292" s="15" t="s">
        <v>85</v>
      </c>
      <c r="G1292" s="19">
        <v>9.0043E7</v>
      </c>
      <c r="H1292" s="15" t="s">
        <v>83</v>
      </c>
      <c r="I1292" s="20" t="s">
        <v>19</v>
      </c>
      <c r="J1292" s="21">
        <v>2816923.0</v>
      </c>
      <c r="K1292" s="21">
        <v>16.6</v>
      </c>
    </row>
    <row r="1293">
      <c r="A1293" s="15" t="s">
        <v>74</v>
      </c>
      <c r="B1293" s="16" t="s">
        <v>203</v>
      </c>
      <c r="C1293" s="17" t="s">
        <v>204</v>
      </c>
      <c r="D1293" s="18">
        <v>2.0</v>
      </c>
      <c r="E1293" s="17" t="s">
        <v>86</v>
      </c>
      <c r="F1293" s="15" t="s">
        <v>87</v>
      </c>
      <c r="G1293" s="19">
        <v>9.0043001E7</v>
      </c>
      <c r="H1293" s="15" t="s">
        <v>18</v>
      </c>
      <c r="I1293" s="20" t="s">
        <v>19</v>
      </c>
      <c r="J1293" s="21">
        <v>210791.0</v>
      </c>
      <c r="K1293" s="21">
        <v>1.2</v>
      </c>
    </row>
    <row r="1294">
      <c r="A1294" s="15" t="s">
        <v>74</v>
      </c>
      <c r="B1294" s="16" t="s">
        <v>203</v>
      </c>
      <c r="C1294" s="17" t="s">
        <v>204</v>
      </c>
      <c r="D1294" s="18">
        <v>2.0</v>
      </c>
      <c r="E1294" s="17" t="s">
        <v>86</v>
      </c>
      <c r="F1294" s="15" t="s">
        <v>87</v>
      </c>
      <c r="G1294" s="19">
        <v>9.0043E7</v>
      </c>
      <c r="H1294" s="15" t="s">
        <v>83</v>
      </c>
      <c r="I1294" s="20" t="s">
        <v>19</v>
      </c>
      <c r="J1294" s="21">
        <v>515856.0</v>
      </c>
      <c r="K1294" s="21">
        <v>3.0</v>
      </c>
    </row>
    <row r="1295">
      <c r="A1295" s="15" t="s">
        <v>74</v>
      </c>
      <c r="B1295" s="16" t="s">
        <v>203</v>
      </c>
      <c r="C1295" s="17" t="s">
        <v>204</v>
      </c>
      <c r="D1295" s="18">
        <v>2.0</v>
      </c>
      <c r="E1295" s="17" t="s">
        <v>173</v>
      </c>
      <c r="F1295" s="15" t="s">
        <v>174</v>
      </c>
      <c r="G1295" s="19">
        <v>9.0043003E7</v>
      </c>
      <c r="H1295" s="15" t="s">
        <v>90</v>
      </c>
      <c r="I1295" s="20" t="s">
        <v>50</v>
      </c>
      <c r="J1295" s="21">
        <v>2.1210176E7</v>
      </c>
      <c r="K1295" s="21">
        <v>37.0</v>
      </c>
    </row>
    <row r="1296">
      <c r="A1296" s="15" t="s">
        <v>74</v>
      </c>
      <c r="B1296" s="16" t="s">
        <v>203</v>
      </c>
      <c r="C1296" s="17" t="s">
        <v>204</v>
      </c>
      <c r="D1296" s="18">
        <v>2.0</v>
      </c>
      <c r="E1296" s="17" t="s">
        <v>88</v>
      </c>
      <c r="F1296" s="15" t="s">
        <v>89</v>
      </c>
      <c r="G1296" s="19">
        <v>9.0043E7</v>
      </c>
      <c r="H1296" s="15" t="s">
        <v>83</v>
      </c>
      <c r="I1296" s="20" t="s">
        <v>19</v>
      </c>
      <c r="J1296" s="21">
        <v>270834.0</v>
      </c>
      <c r="K1296" s="21">
        <v>1.7</v>
      </c>
    </row>
    <row r="1297">
      <c r="A1297" s="15" t="s">
        <v>74</v>
      </c>
      <c r="B1297" s="16" t="s">
        <v>203</v>
      </c>
      <c r="C1297" s="17" t="s">
        <v>204</v>
      </c>
      <c r="D1297" s="18">
        <v>2.0</v>
      </c>
      <c r="E1297" s="17" t="s">
        <v>93</v>
      </c>
      <c r="F1297" s="15" t="s">
        <v>94</v>
      </c>
      <c r="G1297" s="19">
        <v>9.0043001E7</v>
      </c>
      <c r="H1297" s="15" t="s">
        <v>18</v>
      </c>
      <c r="I1297" s="20" t="s">
        <v>19</v>
      </c>
      <c r="J1297" s="21">
        <v>1119432.0</v>
      </c>
      <c r="K1297" s="21">
        <v>7.0</v>
      </c>
    </row>
    <row r="1298">
      <c r="A1298" s="15" t="s">
        <v>74</v>
      </c>
      <c r="B1298" s="16" t="s">
        <v>203</v>
      </c>
      <c r="C1298" s="17" t="s">
        <v>204</v>
      </c>
      <c r="D1298" s="18">
        <v>2.0</v>
      </c>
      <c r="E1298" s="17" t="s">
        <v>93</v>
      </c>
      <c r="F1298" s="15" t="s">
        <v>94</v>
      </c>
      <c r="G1298" s="19">
        <v>9.0043E7</v>
      </c>
      <c r="H1298" s="15" t="s">
        <v>83</v>
      </c>
      <c r="I1298" s="20" t="s">
        <v>19</v>
      </c>
      <c r="J1298" s="21">
        <v>51586.0</v>
      </c>
      <c r="K1298" s="21">
        <v>0.3</v>
      </c>
    </row>
    <row r="1299">
      <c r="A1299" s="15" t="s">
        <v>74</v>
      </c>
      <c r="B1299" s="16" t="s">
        <v>203</v>
      </c>
      <c r="C1299" s="17" t="s">
        <v>204</v>
      </c>
      <c r="D1299" s="18">
        <v>2.0</v>
      </c>
      <c r="E1299" s="17" t="s">
        <v>95</v>
      </c>
      <c r="F1299" s="15" t="s">
        <v>96</v>
      </c>
      <c r="G1299" s="19">
        <v>5.1100058E7</v>
      </c>
      <c r="H1299" s="15" t="s">
        <v>36</v>
      </c>
      <c r="I1299" s="20" t="s">
        <v>37</v>
      </c>
      <c r="J1299" s="21">
        <v>5296892.0</v>
      </c>
      <c r="K1299" s="21">
        <v>65.82</v>
      </c>
    </row>
    <row r="1300">
      <c r="A1300" s="15" t="s">
        <v>74</v>
      </c>
      <c r="B1300" s="16" t="s">
        <v>203</v>
      </c>
      <c r="C1300" s="17" t="s">
        <v>204</v>
      </c>
      <c r="D1300" s="18">
        <v>2.0</v>
      </c>
      <c r="E1300" s="17" t="s">
        <v>95</v>
      </c>
      <c r="F1300" s="15" t="s">
        <v>96</v>
      </c>
      <c r="G1300" s="19">
        <v>9.0043001E7</v>
      </c>
      <c r="H1300" s="15" t="s">
        <v>18</v>
      </c>
      <c r="I1300" s="20" t="s">
        <v>19</v>
      </c>
      <c r="J1300" s="21">
        <v>1.379463E7</v>
      </c>
      <c r="K1300" s="21">
        <v>86.0</v>
      </c>
    </row>
    <row r="1301">
      <c r="A1301" s="15" t="s">
        <v>74</v>
      </c>
      <c r="B1301" s="16" t="s">
        <v>203</v>
      </c>
      <c r="C1301" s="17" t="s">
        <v>204</v>
      </c>
      <c r="D1301" s="18">
        <v>2.0</v>
      </c>
      <c r="E1301" s="17" t="s">
        <v>99</v>
      </c>
      <c r="F1301" s="15" t="s">
        <v>100</v>
      </c>
      <c r="G1301" s="19">
        <v>9.0043001E7</v>
      </c>
      <c r="H1301" s="15" t="s">
        <v>18</v>
      </c>
      <c r="I1301" s="20" t="s">
        <v>19</v>
      </c>
      <c r="J1301" s="21">
        <v>966930.0</v>
      </c>
      <c r="K1301" s="21">
        <v>6.0</v>
      </c>
    </row>
    <row r="1302">
      <c r="A1302" s="15" t="s">
        <v>74</v>
      </c>
      <c r="B1302" s="16" t="s">
        <v>203</v>
      </c>
      <c r="C1302" s="17" t="s">
        <v>204</v>
      </c>
      <c r="D1302" s="18">
        <v>2.0</v>
      </c>
      <c r="E1302" s="17" t="s">
        <v>101</v>
      </c>
      <c r="F1302" s="15" t="s">
        <v>102</v>
      </c>
      <c r="G1302" s="19">
        <v>9.0043001E7</v>
      </c>
      <c r="H1302" s="15" t="s">
        <v>18</v>
      </c>
      <c r="I1302" s="20" t="s">
        <v>19</v>
      </c>
      <c r="J1302" s="21">
        <v>3.542148E7</v>
      </c>
      <c r="K1302" s="21">
        <v>228.0</v>
      </c>
    </row>
    <row r="1303">
      <c r="A1303" s="15" t="s">
        <v>74</v>
      </c>
      <c r="B1303" s="16" t="s">
        <v>203</v>
      </c>
      <c r="C1303" s="17" t="s">
        <v>204</v>
      </c>
      <c r="D1303" s="18">
        <v>2.0</v>
      </c>
      <c r="E1303" s="17" t="s">
        <v>101</v>
      </c>
      <c r="F1303" s="15" t="s">
        <v>102</v>
      </c>
      <c r="G1303" s="19">
        <v>9.0043E7</v>
      </c>
      <c r="H1303" s="15" t="s">
        <v>83</v>
      </c>
      <c r="I1303" s="20" t="s">
        <v>19</v>
      </c>
      <c r="J1303" s="21">
        <v>5561006.0</v>
      </c>
      <c r="K1303" s="21">
        <v>33.0</v>
      </c>
    </row>
    <row r="1304">
      <c r="A1304" s="15" t="s">
        <v>74</v>
      </c>
      <c r="B1304" s="16" t="s">
        <v>203</v>
      </c>
      <c r="C1304" s="17" t="s">
        <v>204</v>
      </c>
      <c r="D1304" s="18">
        <v>2.0</v>
      </c>
      <c r="E1304" s="17" t="s">
        <v>103</v>
      </c>
      <c r="F1304" s="15" t="s">
        <v>104</v>
      </c>
      <c r="G1304" s="19">
        <v>5.1100058E7</v>
      </c>
      <c r="H1304" s="15" t="s">
        <v>36</v>
      </c>
      <c r="I1304" s="20" t="s">
        <v>37</v>
      </c>
      <c r="J1304" s="21">
        <v>6854807.0</v>
      </c>
      <c r="K1304" s="21">
        <v>80.99</v>
      </c>
    </row>
    <row r="1305">
      <c r="A1305" s="15" t="s">
        <v>74</v>
      </c>
      <c r="B1305" s="16" t="s">
        <v>203</v>
      </c>
      <c r="C1305" s="17" t="s">
        <v>204</v>
      </c>
      <c r="D1305" s="18">
        <v>2.0</v>
      </c>
      <c r="E1305" s="17" t="s">
        <v>103</v>
      </c>
      <c r="F1305" s="15" t="s">
        <v>104</v>
      </c>
      <c r="G1305" s="19">
        <v>9.0043001E7</v>
      </c>
      <c r="H1305" s="15" t="s">
        <v>18</v>
      </c>
      <c r="I1305" s="20" t="s">
        <v>19</v>
      </c>
      <c r="J1305" s="21">
        <v>7047309.0</v>
      </c>
      <c r="K1305" s="21">
        <v>42.2</v>
      </c>
    </row>
    <row r="1306">
      <c r="A1306" s="15" t="s">
        <v>74</v>
      </c>
      <c r="B1306" s="16" t="s">
        <v>203</v>
      </c>
      <c r="C1306" s="17" t="s">
        <v>204</v>
      </c>
      <c r="D1306" s="18">
        <v>2.0</v>
      </c>
      <c r="E1306" s="17" t="s">
        <v>207</v>
      </c>
      <c r="F1306" s="15" t="s">
        <v>208</v>
      </c>
      <c r="G1306" s="19">
        <v>9.0043001E7</v>
      </c>
      <c r="H1306" s="15" t="s">
        <v>18</v>
      </c>
      <c r="I1306" s="20" t="s">
        <v>19</v>
      </c>
      <c r="J1306" s="21">
        <v>483465.0</v>
      </c>
      <c r="K1306" s="21">
        <v>3.0</v>
      </c>
    </row>
    <row r="1307">
      <c r="A1307" s="15" t="s">
        <v>74</v>
      </c>
      <c r="B1307" s="16" t="s">
        <v>203</v>
      </c>
      <c r="C1307" s="17" t="s">
        <v>204</v>
      </c>
      <c r="D1307" s="18">
        <v>2.0</v>
      </c>
      <c r="E1307" s="17" t="s">
        <v>207</v>
      </c>
      <c r="F1307" s="15" t="s">
        <v>208</v>
      </c>
      <c r="G1307" s="19">
        <v>9.0043E7</v>
      </c>
      <c r="H1307" s="15" t="s">
        <v>83</v>
      </c>
      <c r="I1307" s="20" t="s">
        <v>19</v>
      </c>
      <c r="J1307" s="21">
        <v>154757.0</v>
      </c>
      <c r="K1307" s="21">
        <v>0.9</v>
      </c>
    </row>
    <row r="1308">
      <c r="A1308" s="15" t="s">
        <v>74</v>
      </c>
      <c r="B1308" s="16" t="s">
        <v>203</v>
      </c>
      <c r="C1308" s="17" t="s">
        <v>204</v>
      </c>
      <c r="D1308" s="18">
        <v>2.0</v>
      </c>
      <c r="E1308" s="17" t="s">
        <v>209</v>
      </c>
      <c r="F1308" s="15" t="s">
        <v>210</v>
      </c>
      <c r="G1308" s="19">
        <v>5.1100774E7</v>
      </c>
      <c r="H1308" s="15" t="s">
        <v>39</v>
      </c>
      <c r="I1308" s="20" t="s">
        <v>17</v>
      </c>
      <c r="J1308" s="21">
        <v>1.297648E7</v>
      </c>
      <c r="K1308" s="21">
        <v>247.16</v>
      </c>
    </row>
    <row r="1309">
      <c r="A1309" s="15" t="s">
        <v>74</v>
      </c>
      <c r="B1309" s="16" t="s">
        <v>203</v>
      </c>
      <c r="C1309" s="17" t="s">
        <v>204</v>
      </c>
      <c r="D1309" s="18">
        <v>2.0</v>
      </c>
      <c r="E1309" s="17" t="s">
        <v>175</v>
      </c>
      <c r="F1309" s="15" t="s">
        <v>176</v>
      </c>
      <c r="G1309" s="19">
        <v>9.0043002E7</v>
      </c>
      <c r="H1309" s="15" t="s">
        <v>49</v>
      </c>
      <c r="I1309" s="20" t="s">
        <v>50</v>
      </c>
      <c r="J1309" s="21">
        <v>4162400.0</v>
      </c>
      <c r="K1309" s="21">
        <v>202.0</v>
      </c>
    </row>
    <row r="1310">
      <c r="A1310" s="15" t="s">
        <v>74</v>
      </c>
      <c r="B1310" s="16" t="s">
        <v>203</v>
      </c>
      <c r="C1310" s="17" t="s">
        <v>204</v>
      </c>
      <c r="D1310" s="18">
        <v>2.0</v>
      </c>
      <c r="E1310" s="17" t="s">
        <v>117</v>
      </c>
      <c r="F1310" s="15" t="s">
        <v>118</v>
      </c>
      <c r="G1310" s="19">
        <v>5.1100058E7</v>
      </c>
      <c r="H1310" s="15" t="s">
        <v>36</v>
      </c>
      <c r="I1310" s="20" t="s">
        <v>37</v>
      </c>
      <c r="J1310" s="21">
        <v>3.8247212E7</v>
      </c>
      <c r="K1310" s="21">
        <v>21498.0</v>
      </c>
    </row>
    <row r="1311">
      <c r="A1311" s="15" t="s">
        <v>74</v>
      </c>
      <c r="B1311" s="16" t="s">
        <v>203</v>
      </c>
      <c r="C1311" s="17" t="s">
        <v>204</v>
      </c>
      <c r="D1311" s="18">
        <v>2.0</v>
      </c>
      <c r="E1311" s="17" t="s">
        <v>117</v>
      </c>
      <c r="F1311" s="15" t="s">
        <v>118</v>
      </c>
      <c r="G1311" s="19">
        <v>9.0043E7</v>
      </c>
      <c r="H1311" s="15" t="s">
        <v>83</v>
      </c>
      <c r="I1311" s="20" t="s">
        <v>19</v>
      </c>
      <c r="J1311" s="21">
        <v>171952.0</v>
      </c>
      <c r="K1311" s="21">
        <v>1.0</v>
      </c>
    </row>
    <row r="1312">
      <c r="A1312" s="15" t="s">
        <v>74</v>
      </c>
      <c r="B1312" s="16" t="s">
        <v>203</v>
      </c>
      <c r="C1312" s="17" t="s">
        <v>204</v>
      </c>
      <c r="D1312" s="18">
        <v>2.0</v>
      </c>
      <c r="E1312" s="17" t="s">
        <v>119</v>
      </c>
      <c r="F1312" s="15" t="s">
        <v>120</v>
      </c>
      <c r="G1312" s="19">
        <v>9.0043001E7</v>
      </c>
      <c r="H1312" s="15" t="s">
        <v>18</v>
      </c>
      <c r="I1312" s="20" t="s">
        <v>19</v>
      </c>
      <c r="J1312" s="21">
        <v>1289240.0</v>
      </c>
      <c r="K1312" s="21">
        <v>8.0</v>
      </c>
    </row>
    <row r="1313">
      <c r="A1313" s="15" t="s">
        <v>74</v>
      </c>
      <c r="B1313" s="16" t="s">
        <v>203</v>
      </c>
      <c r="C1313" s="17" t="s">
        <v>204</v>
      </c>
      <c r="D1313" s="18">
        <v>2.0</v>
      </c>
      <c r="E1313" s="17" t="s">
        <v>123</v>
      </c>
      <c r="F1313" s="15" t="s">
        <v>124</v>
      </c>
      <c r="G1313" s="19">
        <v>9.0043001E7</v>
      </c>
      <c r="H1313" s="15" t="s">
        <v>18</v>
      </c>
      <c r="I1313" s="20" t="s">
        <v>19</v>
      </c>
      <c r="J1313" s="21">
        <v>8828990.0</v>
      </c>
      <c r="K1313" s="21">
        <v>55.0</v>
      </c>
    </row>
    <row r="1314">
      <c r="A1314" s="15" t="s">
        <v>74</v>
      </c>
      <c r="B1314" s="16" t="s">
        <v>203</v>
      </c>
      <c r="C1314" s="17" t="s">
        <v>204</v>
      </c>
      <c r="D1314" s="18">
        <v>2.0</v>
      </c>
      <c r="E1314" s="17" t="s">
        <v>123</v>
      </c>
      <c r="F1314" s="15" t="s">
        <v>124</v>
      </c>
      <c r="G1314" s="19">
        <v>9.0043E7</v>
      </c>
      <c r="H1314" s="15" t="s">
        <v>83</v>
      </c>
      <c r="I1314" s="20" t="s">
        <v>19</v>
      </c>
      <c r="J1314" s="21">
        <v>169996.0</v>
      </c>
      <c r="K1314" s="21">
        <v>1.0</v>
      </c>
    </row>
    <row r="1315">
      <c r="A1315" s="15" t="s">
        <v>74</v>
      </c>
      <c r="B1315" s="16" t="s">
        <v>203</v>
      </c>
      <c r="C1315" s="17" t="s">
        <v>204</v>
      </c>
      <c r="D1315" s="18">
        <v>2.0</v>
      </c>
      <c r="E1315" s="17" t="s">
        <v>123</v>
      </c>
      <c r="F1315" s="15" t="s">
        <v>124</v>
      </c>
      <c r="G1315" s="19">
        <v>5.1100774E7</v>
      </c>
      <c r="H1315" s="15" t="s">
        <v>39</v>
      </c>
      <c r="I1315" s="20" t="s">
        <v>17</v>
      </c>
      <c r="J1315" s="21">
        <v>3122497.0</v>
      </c>
      <c r="K1315" s="21">
        <v>636.0</v>
      </c>
    </row>
    <row r="1316">
      <c r="A1316" s="15" t="s">
        <v>74</v>
      </c>
      <c r="B1316" s="16" t="s">
        <v>203</v>
      </c>
      <c r="C1316" s="17" t="s">
        <v>204</v>
      </c>
      <c r="D1316" s="18">
        <v>2.0</v>
      </c>
      <c r="E1316" s="17" t="s">
        <v>160</v>
      </c>
      <c r="F1316" s="15" t="s">
        <v>161</v>
      </c>
      <c r="G1316" s="19">
        <v>9.0043001E7</v>
      </c>
      <c r="H1316" s="15" t="s">
        <v>18</v>
      </c>
      <c r="I1316" s="20" t="s">
        <v>19</v>
      </c>
      <c r="J1316" s="21">
        <v>878295.0</v>
      </c>
      <c r="K1316" s="21">
        <v>5.0</v>
      </c>
    </row>
    <row r="1317">
      <c r="A1317" s="15" t="s">
        <v>74</v>
      </c>
      <c r="B1317" s="16" t="s">
        <v>203</v>
      </c>
      <c r="C1317" s="17" t="s">
        <v>204</v>
      </c>
      <c r="D1317" s="18">
        <v>2.0</v>
      </c>
      <c r="E1317" s="17" t="s">
        <v>125</v>
      </c>
      <c r="F1317" s="15" t="s">
        <v>126</v>
      </c>
      <c r="G1317" s="19">
        <v>9.0043001E7</v>
      </c>
      <c r="H1317" s="15" t="s">
        <v>18</v>
      </c>
      <c r="I1317" s="20" t="s">
        <v>19</v>
      </c>
      <c r="J1317" s="21">
        <v>1.33962604E8</v>
      </c>
      <c r="K1317" s="21">
        <v>858.0</v>
      </c>
    </row>
    <row r="1318">
      <c r="A1318" s="15" t="s">
        <v>74</v>
      </c>
      <c r="B1318" s="16" t="s">
        <v>203</v>
      </c>
      <c r="C1318" s="17" t="s">
        <v>204</v>
      </c>
      <c r="D1318" s="18">
        <v>2.0</v>
      </c>
      <c r="E1318" s="17" t="s">
        <v>125</v>
      </c>
      <c r="F1318" s="15" t="s">
        <v>126</v>
      </c>
      <c r="G1318" s="19">
        <v>9.0043E7</v>
      </c>
      <c r="H1318" s="15" t="s">
        <v>83</v>
      </c>
      <c r="I1318" s="20" t="s">
        <v>19</v>
      </c>
      <c r="J1318" s="21">
        <v>254995.0</v>
      </c>
      <c r="K1318" s="21">
        <v>1.5</v>
      </c>
    </row>
    <row r="1319">
      <c r="A1319" s="15" t="s">
        <v>74</v>
      </c>
      <c r="B1319" s="16" t="s">
        <v>203</v>
      </c>
      <c r="C1319" s="17" t="s">
        <v>204</v>
      </c>
      <c r="D1319" s="18">
        <v>2.0</v>
      </c>
      <c r="E1319" s="17" t="s">
        <v>127</v>
      </c>
      <c r="F1319" s="15" t="s">
        <v>128</v>
      </c>
      <c r="G1319" s="19">
        <v>5.1100153E7</v>
      </c>
      <c r="H1319" s="15" t="s">
        <v>72</v>
      </c>
      <c r="I1319" s="20" t="s">
        <v>17</v>
      </c>
      <c r="J1319" s="21">
        <v>2.7018916E7</v>
      </c>
      <c r="K1319" s="21">
        <v>286360.0</v>
      </c>
    </row>
    <row r="1320">
      <c r="A1320" s="15" t="s">
        <v>74</v>
      </c>
      <c r="B1320" s="16" t="s">
        <v>203</v>
      </c>
      <c r="C1320" s="17" t="s">
        <v>204</v>
      </c>
      <c r="D1320" s="18">
        <v>2.0</v>
      </c>
      <c r="E1320" s="17" t="s">
        <v>127</v>
      </c>
      <c r="F1320" s="15" t="s">
        <v>128</v>
      </c>
      <c r="G1320" s="19">
        <v>9.0043001E7</v>
      </c>
      <c r="H1320" s="15" t="s">
        <v>18</v>
      </c>
      <c r="I1320" s="20" t="s">
        <v>19</v>
      </c>
      <c r="J1320" s="21">
        <v>3.2950206E7</v>
      </c>
      <c r="K1320" s="21">
        <v>205.7</v>
      </c>
    </row>
    <row r="1321">
      <c r="A1321" s="15" t="s">
        <v>74</v>
      </c>
      <c r="B1321" s="16" t="s">
        <v>203</v>
      </c>
      <c r="C1321" s="17" t="s">
        <v>204</v>
      </c>
      <c r="D1321" s="18">
        <v>2.0</v>
      </c>
      <c r="E1321" s="17" t="s">
        <v>127</v>
      </c>
      <c r="F1321" s="15" t="s">
        <v>128</v>
      </c>
      <c r="G1321" s="19">
        <v>9.0043002E7</v>
      </c>
      <c r="H1321" s="15" t="s">
        <v>49</v>
      </c>
      <c r="I1321" s="20" t="s">
        <v>50</v>
      </c>
      <c r="J1321" s="21">
        <v>1.50824187E8</v>
      </c>
      <c r="K1321" s="21">
        <v>6585.0</v>
      </c>
    </row>
    <row r="1322">
      <c r="A1322" s="15" t="s">
        <v>74</v>
      </c>
      <c r="B1322" s="16" t="s">
        <v>203</v>
      </c>
      <c r="C1322" s="17" t="s">
        <v>204</v>
      </c>
      <c r="D1322" s="18">
        <v>2.0</v>
      </c>
      <c r="E1322" s="17" t="s">
        <v>129</v>
      </c>
      <c r="F1322" s="15" t="s">
        <v>130</v>
      </c>
      <c r="G1322" s="19">
        <v>5.1101056E7</v>
      </c>
      <c r="H1322" s="15" t="s">
        <v>16</v>
      </c>
      <c r="I1322" s="20" t="s">
        <v>17</v>
      </c>
      <c r="J1322" s="21">
        <v>7.7057736E7</v>
      </c>
      <c r="K1322" s="21">
        <v>246867.0</v>
      </c>
    </row>
    <row r="1323">
      <c r="A1323" s="15" t="s">
        <v>74</v>
      </c>
      <c r="B1323" s="16" t="s">
        <v>203</v>
      </c>
      <c r="C1323" s="17" t="s">
        <v>204</v>
      </c>
      <c r="D1323" s="18">
        <v>2.0</v>
      </c>
      <c r="E1323" s="17" t="s">
        <v>129</v>
      </c>
      <c r="F1323" s="15" t="s">
        <v>130</v>
      </c>
      <c r="G1323" s="19">
        <v>9.0043001E7</v>
      </c>
      <c r="H1323" s="15" t="s">
        <v>18</v>
      </c>
      <c r="I1323" s="20" t="s">
        <v>19</v>
      </c>
      <c r="J1323" s="21">
        <v>6028702.0</v>
      </c>
      <c r="K1323" s="21">
        <v>31.0</v>
      </c>
    </row>
    <row r="1324">
      <c r="A1324" s="15" t="s">
        <v>74</v>
      </c>
      <c r="B1324" s="16" t="s">
        <v>203</v>
      </c>
      <c r="C1324" s="17" t="s">
        <v>204</v>
      </c>
      <c r="D1324" s="18">
        <v>2.0</v>
      </c>
      <c r="E1324" s="17" t="s">
        <v>129</v>
      </c>
      <c r="F1324" s="15" t="s">
        <v>130</v>
      </c>
      <c r="G1324" s="19">
        <v>9.0043003E7</v>
      </c>
      <c r="H1324" s="15" t="s">
        <v>90</v>
      </c>
      <c r="I1324" s="20" t="s">
        <v>50</v>
      </c>
      <c r="J1324" s="21">
        <v>1.4697432E7</v>
      </c>
      <c r="K1324" s="21">
        <v>58.0</v>
      </c>
    </row>
    <row r="1325">
      <c r="A1325" s="15" t="s">
        <v>74</v>
      </c>
      <c r="B1325" s="16" t="s">
        <v>203</v>
      </c>
      <c r="C1325" s="17" t="s">
        <v>204</v>
      </c>
      <c r="D1325" s="18">
        <v>2.0</v>
      </c>
      <c r="E1325" s="17" t="s">
        <v>131</v>
      </c>
      <c r="F1325" s="15" t="s">
        <v>132</v>
      </c>
      <c r="G1325" s="19">
        <v>9.0043001E7</v>
      </c>
      <c r="H1325" s="15" t="s">
        <v>18</v>
      </c>
      <c r="I1325" s="20" t="s">
        <v>19</v>
      </c>
      <c r="J1325" s="21">
        <v>1176915.0</v>
      </c>
      <c r="K1325" s="21">
        <v>6.7</v>
      </c>
    </row>
    <row r="1326">
      <c r="A1326" s="15" t="s">
        <v>74</v>
      </c>
      <c r="B1326" s="16" t="s">
        <v>203</v>
      </c>
      <c r="C1326" s="17" t="s">
        <v>204</v>
      </c>
      <c r="D1326" s="18">
        <v>2.0</v>
      </c>
      <c r="E1326" s="17" t="s">
        <v>135</v>
      </c>
      <c r="F1326" s="15" t="s">
        <v>136</v>
      </c>
      <c r="G1326" s="19">
        <v>9.0043001E7</v>
      </c>
      <c r="H1326" s="15" t="s">
        <v>18</v>
      </c>
      <c r="I1326" s="20" t="s">
        <v>19</v>
      </c>
      <c r="J1326" s="21">
        <v>7.5397157E7</v>
      </c>
      <c r="K1326" s="21">
        <v>490.0</v>
      </c>
    </row>
    <row r="1327">
      <c r="A1327" s="15" t="s">
        <v>74</v>
      </c>
      <c r="B1327" s="16" t="s">
        <v>203</v>
      </c>
      <c r="C1327" s="17" t="s">
        <v>204</v>
      </c>
      <c r="D1327" s="18">
        <v>2.0</v>
      </c>
      <c r="E1327" s="17" t="s">
        <v>162</v>
      </c>
      <c r="F1327" s="15" t="s">
        <v>163</v>
      </c>
      <c r="G1327" s="19">
        <v>9.0043001E7</v>
      </c>
      <c r="H1327" s="15" t="s">
        <v>18</v>
      </c>
      <c r="I1327" s="20" t="s">
        <v>19</v>
      </c>
      <c r="J1327" s="21">
        <v>3214447.0</v>
      </c>
      <c r="K1327" s="21">
        <v>20.0</v>
      </c>
    </row>
    <row r="1328">
      <c r="A1328" s="15" t="s">
        <v>74</v>
      </c>
      <c r="B1328" s="16" t="s">
        <v>203</v>
      </c>
      <c r="C1328" s="17" t="s">
        <v>204</v>
      </c>
      <c r="D1328" s="18">
        <v>2.0</v>
      </c>
      <c r="E1328" s="17" t="s">
        <v>162</v>
      </c>
      <c r="F1328" s="15" t="s">
        <v>163</v>
      </c>
      <c r="G1328" s="19">
        <v>9.0043E7</v>
      </c>
      <c r="H1328" s="15" t="s">
        <v>83</v>
      </c>
      <c r="I1328" s="20" t="s">
        <v>19</v>
      </c>
      <c r="J1328" s="21">
        <v>9829233.0</v>
      </c>
      <c r="K1328" s="21">
        <v>59.9</v>
      </c>
    </row>
    <row r="1329">
      <c r="A1329" s="15" t="s">
        <v>74</v>
      </c>
      <c r="B1329" s="16" t="s">
        <v>203</v>
      </c>
      <c r="C1329" s="17" t="s">
        <v>204</v>
      </c>
      <c r="D1329" s="18">
        <v>2.0</v>
      </c>
      <c r="E1329" s="17" t="s">
        <v>54</v>
      </c>
      <c r="F1329" s="15" t="s">
        <v>139</v>
      </c>
      <c r="G1329" s="19">
        <v>9.0042011E7</v>
      </c>
      <c r="H1329" s="15" t="s">
        <v>55</v>
      </c>
      <c r="I1329" s="20" t="s">
        <v>19</v>
      </c>
      <c r="J1329" s="21">
        <v>8.298632E7</v>
      </c>
      <c r="K1329" s="21">
        <v>0.0</v>
      </c>
    </row>
    <row r="1330">
      <c r="A1330" s="15" t="s">
        <v>74</v>
      </c>
      <c r="B1330" s="16" t="s">
        <v>203</v>
      </c>
      <c r="C1330" s="17" t="s">
        <v>204</v>
      </c>
      <c r="D1330" s="18">
        <v>2.0</v>
      </c>
      <c r="E1330" s="17" t="s">
        <v>20</v>
      </c>
      <c r="F1330" s="15" t="s">
        <v>140</v>
      </c>
      <c r="G1330" s="19">
        <v>9.0042014E7</v>
      </c>
      <c r="H1330" s="15" t="s">
        <v>21</v>
      </c>
      <c r="I1330" s="20" t="s">
        <v>19</v>
      </c>
      <c r="J1330" s="21">
        <v>2.04198016E8</v>
      </c>
      <c r="K1330" s="21">
        <v>0.0</v>
      </c>
    </row>
    <row r="1331">
      <c r="A1331" s="15" t="s">
        <v>74</v>
      </c>
      <c r="B1331" s="16" t="s">
        <v>203</v>
      </c>
      <c r="C1331" s="17" t="s">
        <v>204</v>
      </c>
      <c r="D1331" s="18">
        <v>2.0</v>
      </c>
      <c r="E1331" s="17" t="s">
        <v>20</v>
      </c>
      <c r="F1331" s="15" t="s">
        <v>140</v>
      </c>
      <c r="G1331" s="19">
        <v>9.0042077E7</v>
      </c>
      <c r="H1331" s="15" t="s">
        <v>141</v>
      </c>
      <c r="I1331" s="20" t="s">
        <v>19</v>
      </c>
      <c r="J1331" s="21">
        <v>7.4614988E7</v>
      </c>
      <c r="K1331" s="21">
        <v>0.0</v>
      </c>
    </row>
    <row r="1332">
      <c r="A1332" s="15" t="s">
        <v>74</v>
      </c>
      <c r="B1332" s="16" t="s">
        <v>203</v>
      </c>
      <c r="C1332" s="17" t="s">
        <v>204</v>
      </c>
      <c r="D1332" s="18">
        <v>2.0</v>
      </c>
      <c r="E1332" s="17" t="s">
        <v>142</v>
      </c>
      <c r="F1332" s="15" t="s">
        <v>143</v>
      </c>
      <c r="G1332" s="19">
        <v>9.0042013E7</v>
      </c>
      <c r="H1332" s="15" t="s">
        <v>144</v>
      </c>
      <c r="I1332" s="20" t="s">
        <v>19</v>
      </c>
      <c r="J1332" s="21">
        <v>3083545.0</v>
      </c>
      <c r="K1332" s="21">
        <v>0.0</v>
      </c>
    </row>
    <row r="1333">
      <c r="A1333" s="15" t="s">
        <v>74</v>
      </c>
      <c r="B1333" s="16" t="s">
        <v>203</v>
      </c>
      <c r="C1333" s="17" t="s">
        <v>204</v>
      </c>
      <c r="D1333" s="18">
        <v>2.0</v>
      </c>
      <c r="E1333" s="17" t="s">
        <v>142</v>
      </c>
      <c r="F1333" s="15" t="s">
        <v>143</v>
      </c>
      <c r="G1333" s="19">
        <v>9.0042084E7</v>
      </c>
      <c r="H1333" s="15" t="s">
        <v>145</v>
      </c>
      <c r="I1333" s="20" t="s">
        <v>19</v>
      </c>
      <c r="J1333" s="21">
        <v>9089070.0</v>
      </c>
      <c r="K1333" s="21">
        <v>0.0</v>
      </c>
    </row>
    <row r="1334">
      <c r="A1334" s="15" t="s">
        <v>74</v>
      </c>
      <c r="B1334" s="16" t="s">
        <v>203</v>
      </c>
      <c r="C1334" s="17" t="s">
        <v>204</v>
      </c>
      <c r="D1334" s="18">
        <v>2.0</v>
      </c>
      <c r="E1334" s="17" t="s">
        <v>22</v>
      </c>
      <c r="F1334" s="15" t="s">
        <v>146</v>
      </c>
      <c r="G1334" s="19">
        <v>9.0042012E7</v>
      </c>
      <c r="H1334" s="15" t="s">
        <v>23</v>
      </c>
      <c r="I1334" s="20" t="s">
        <v>19</v>
      </c>
      <c r="J1334" s="21">
        <v>8.2542873E7</v>
      </c>
      <c r="K1334" s="21">
        <v>0.0</v>
      </c>
    </row>
    <row r="1335">
      <c r="A1335" s="15" t="s">
        <v>74</v>
      </c>
      <c r="B1335" s="16" t="s">
        <v>203</v>
      </c>
      <c r="C1335" s="17" t="s">
        <v>204</v>
      </c>
      <c r="D1335" s="18">
        <v>2.0</v>
      </c>
      <c r="E1335" s="17" t="s">
        <v>22</v>
      </c>
      <c r="F1335" s="15" t="s">
        <v>146</v>
      </c>
      <c r="G1335" s="19">
        <v>9.0042121E7</v>
      </c>
      <c r="H1335" s="15" t="s">
        <v>24</v>
      </c>
      <c r="I1335" s="20" t="s">
        <v>25</v>
      </c>
      <c r="J1335" s="21">
        <v>7.1475399E7</v>
      </c>
      <c r="K1335" s="21">
        <v>0.0</v>
      </c>
    </row>
    <row r="1336">
      <c r="A1336" s="15" t="s">
        <v>74</v>
      </c>
      <c r="B1336" s="16" t="s">
        <v>203</v>
      </c>
      <c r="C1336" s="17" t="s">
        <v>204</v>
      </c>
      <c r="D1336" s="18">
        <v>2.0</v>
      </c>
      <c r="E1336" s="17" t="s">
        <v>22</v>
      </c>
      <c r="F1336" s="15" t="s">
        <v>146</v>
      </c>
      <c r="G1336" s="19">
        <v>9.0042122E7</v>
      </c>
      <c r="H1336" s="15" t="s">
        <v>56</v>
      </c>
      <c r="I1336" s="20" t="s">
        <v>25</v>
      </c>
      <c r="J1336" s="21">
        <v>2.2985316E7</v>
      </c>
      <c r="K1336" s="21">
        <v>0.0</v>
      </c>
    </row>
    <row r="1337">
      <c r="A1337" s="15" t="s">
        <v>74</v>
      </c>
      <c r="B1337" s="16" t="s">
        <v>203</v>
      </c>
      <c r="C1337" s="17" t="s">
        <v>204</v>
      </c>
      <c r="D1337" s="18">
        <v>2.0</v>
      </c>
      <c r="E1337" s="17" t="s">
        <v>22</v>
      </c>
      <c r="F1337" s="15" t="s">
        <v>146</v>
      </c>
      <c r="G1337" s="19">
        <v>9.0042124E7</v>
      </c>
      <c r="H1337" s="15" t="s">
        <v>57</v>
      </c>
      <c r="I1337" s="20" t="s">
        <v>25</v>
      </c>
      <c r="J1337" s="21">
        <v>120000.0</v>
      </c>
      <c r="K1337" s="21">
        <v>0.0</v>
      </c>
    </row>
    <row r="1338">
      <c r="A1338" s="15" t="s">
        <v>74</v>
      </c>
      <c r="B1338" s="16" t="s">
        <v>203</v>
      </c>
      <c r="C1338" s="17" t="s">
        <v>204</v>
      </c>
      <c r="D1338" s="18">
        <v>2.0</v>
      </c>
      <c r="E1338" s="17" t="s">
        <v>22</v>
      </c>
      <c r="F1338" s="15" t="s">
        <v>146</v>
      </c>
      <c r="G1338" s="19">
        <v>9.0042125E7</v>
      </c>
      <c r="H1338" s="15" t="s">
        <v>26</v>
      </c>
      <c r="I1338" s="20" t="s">
        <v>25</v>
      </c>
      <c r="J1338" s="21">
        <v>5.3955362E7</v>
      </c>
      <c r="K1338" s="21">
        <v>0.0</v>
      </c>
    </row>
    <row r="1339">
      <c r="A1339" s="15" t="s">
        <v>74</v>
      </c>
      <c r="B1339" s="16" t="s">
        <v>203</v>
      </c>
      <c r="C1339" s="17" t="s">
        <v>204</v>
      </c>
      <c r="D1339" s="18">
        <v>2.0</v>
      </c>
      <c r="E1339" s="17" t="s">
        <v>22</v>
      </c>
      <c r="F1339" s="15" t="s">
        <v>146</v>
      </c>
      <c r="G1339" s="19">
        <v>9.0042127E7</v>
      </c>
      <c r="H1339" s="15" t="s">
        <v>27</v>
      </c>
      <c r="I1339" s="20" t="s">
        <v>25</v>
      </c>
      <c r="J1339" s="21">
        <v>6635530.0</v>
      </c>
      <c r="K1339" s="21">
        <v>0.0</v>
      </c>
    </row>
    <row r="1340">
      <c r="A1340" s="15" t="s">
        <v>74</v>
      </c>
      <c r="B1340" s="16" t="s">
        <v>203</v>
      </c>
      <c r="C1340" s="17" t="s">
        <v>204</v>
      </c>
      <c r="D1340" s="18">
        <v>2.0</v>
      </c>
      <c r="E1340" s="17" t="s">
        <v>22</v>
      </c>
      <c r="F1340" s="15" t="s">
        <v>146</v>
      </c>
      <c r="G1340" s="19">
        <v>9.0042134E7</v>
      </c>
      <c r="H1340" s="15" t="s">
        <v>29</v>
      </c>
      <c r="I1340" s="20" t="s">
        <v>25</v>
      </c>
      <c r="J1340" s="21">
        <v>500000.0</v>
      </c>
      <c r="K1340" s="21">
        <v>0.0</v>
      </c>
    </row>
    <row r="1341">
      <c r="A1341" s="15" t="s">
        <v>74</v>
      </c>
      <c r="B1341" s="16" t="s">
        <v>203</v>
      </c>
      <c r="C1341" s="17" t="s">
        <v>204</v>
      </c>
      <c r="D1341" s="18">
        <v>2.0</v>
      </c>
      <c r="E1341" s="17" t="s">
        <v>22</v>
      </c>
      <c r="F1341" s="15" t="s">
        <v>146</v>
      </c>
      <c r="G1341" s="19">
        <v>9.0042135E7</v>
      </c>
      <c r="H1341" s="15" t="s">
        <v>30</v>
      </c>
      <c r="I1341" s="20" t="s">
        <v>25</v>
      </c>
      <c r="J1341" s="21">
        <v>2.14145728E8</v>
      </c>
      <c r="K1341" s="21">
        <v>0.0</v>
      </c>
    </row>
    <row r="1342">
      <c r="A1342" s="15" t="s">
        <v>74</v>
      </c>
      <c r="B1342" s="16" t="s">
        <v>203</v>
      </c>
      <c r="C1342" s="17" t="s">
        <v>204</v>
      </c>
      <c r="D1342" s="18">
        <v>2.0</v>
      </c>
      <c r="E1342" s="17" t="s">
        <v>22</v>
      </c>
      <c r="F1342" s="15" t="s">
        <v>146</v>
      </c>
      <c r="G1342" s="19">
        <v>9.00422E7</v>
      </c>
      <c r="H1342" s="15" t="s">
        <v>73</v>
      </c>
      <c r="I1342" s="20" t="s">
        <v>60</v>
      </c>
      <c r="J1342" s="21">
        <v>1.39650878E8</v>
      </c>
      <c r="K1342" s="21">
        <v>0.0</v>
      </c>
    </row>
    <row r="1343">
      <c r="A1343" s="15" t="s">
        <v>74</v>
      </c>
      <c r="B1343" s="16" t="s">
        <v>203</v>
      </c>
      <c r="C1343" s="17" t="s">
        <v>204</v>
      </c>
      <c r="D1343" s="18">
        <v>2.0</v>
      </c>
      <c r="E1343" s="17" t="s">
        <v>22</v>
      </c>
      <c r="F1343" s="15" t="s">
        <v>146</v>
      </c>
      <c r="G1343" s="19">
        <v>9.0042223E7</v>
      </c>
      <c r="H1343" s="15" t="s">
        <v>61</v>
      </c>
      <c r="I1343" s="20" t="s">
        <v>60</v>
      </c>
      <c r="J1343" s="21">
        <v>6647718.0</v>
      </c>
      <c r="K1343" s="21">
        <v>0.0</v>
      </c>
    </row>
    <row r="1344">
      <c r="A1344" s="15" t="s">
        <v>74</v>
      </c>
      <c r="B1344" s="16" t="s">
        <v>203</v>
      </c>
      <c r="C1344" s="17" t="s">
        <v>204</v>
      </c>
      <c r="D1344" s="18">
        <v>2.0</v>
      </c>
      <c r="E1344" s="17" t="s">
        <v>22</v>
      </c>
      <c r="F1344" s="15" t="s">
        <v>146</v>
      </c>
      <c r="G1344" s="19">
        <v>9.0042224E7</v>
      </c>
      <c r="H1344" s="15" t="s">
        <v>62</v>
      </c>
      <c r="I1344" s="20" t="s">
        <v>60</v>
      </c>
      <c r="J1344" s="21">
        <v>1130301.0</v>
      </c>
      <c r="K1344" s="21">
        <v>0.0</v>
      </c>
    </row>
    <row r="1345">
      <c r="A1345" s="15" t="s">
        <v>74</v>
      </c>
      <c r="B1345" s="16" t="s">
        <v>203</v>
      </c>
      <c r="C1345" s="17" t="s">
        <v>204</v>
      </c>
      <c r="D1345" s="18">
        <v>2.0</v>
      </c>
      <c r="E1345" s="17" t="s">
        <v>22</v>
      </c>
      <c r="F1345" s="15" t="s">
        <v>146</v>
      </c>
      <c r="G1345" s="19">
        <v>9.0042226E7</v>
      </c>
      <c r="H1345" s="15" t="s">
        <v>63</v>
      </c>
      <c r="I1345" s="20" t="s">
        <v>60</v>
      </c>
      <c r="J1345" s="21">
        <v>2065111.0</v>
      </c>
      <c r="K1345" s="21">
        <v>0.0</v>
      </c>
    </row>
    <row r="1346">
      <c r="A1346" s="15" t="s">
        <v>74</v>
      </c>
      <c r="B1346" s="16" t="s">
        <v>203</v>
      </c>
      <c r="C1346" s="17" t="s">
        <v>204</v>
      </c>
      <c r="D1346" s="18">
        <v>2.0</v>
      </c>
      <c r="E1346" s="17" t="s">
        <v>22</v>
      </c>
      <c r="F1346" s="15" t="s">
        <v>146</v>
      </c>
      <c r="G1346" s="19">
        <v>9.0042228E7</v>
      </c>
      <c r="H1346" s="15" t="s">
        <v>64</v>
      </c>
      <c r="I1346" s="20" t="s">
        <v>60</v>
      </c>
      <c r="J1346" s="21">
        <v>9.5889073E7</v>
      </c>
      <c r="K1346" s="21">
        <v>0.0</v>
      </c>
    </row>
    <row r="1347">
      <c r="A1347" s="15" t="s">
        <v>74</v>
      </c>
      <c r="B1347" s="16" t="s">
        <v>203</v>
      </c>
      <c r="C1347" s="17" t="s">
        <v>204</v>
      </c>
      <c r="D1347" s="18">
        <v>2.0</v>
      </c>
      <c r="E1347" s="17" t="s">
        <v>22</v>
      </c>
      <c r="F1347" s="15" t="s">
        <v>146</v>
      </c>
      <c r="G1347" s="19">
        <v>9.0042231E7</v>
      </c>
      <c r="H1347" s="15" t="s">
        <v>65</v>
      </c>
      <c r="I1347" s="20" t="s">
        <v>60</v>
      </c>
      <c r="J1347" s="21">
        <v>2182513.0</v>
      </c>
      <c r="K1347" s="21">
        <v>0.0</v>
      </c>
    </row>
    <row r="1348">
      <c r="A1348" s="15" t="s">
        <v>74</v>
      </c>
      <c r="B1348" s="16" t="s">
        <v>203</v>
      </c>
      <c r="C1348" s="17" t="s">
        <v>204</v>
      </c>
      <c r="D1348" s="18">
        <v>2.0</v>
      </c>
      <c r="E1348" s="17" t="s">
        <v>22</v>
      </c>
      <c r="F1348" s="15" t="s">
        <v>146</v>
      </c>
      <c r="G1348" s="19">
        <v>9.0042126E7</v>
      </c>
      <c r="H1348" s="15" t="s">
        <v>31</v>
      </c>
      <c r="I1348" s="20" t="s">
        <v>25</v>
      </c>
      <c r="J1348" s="21">
        <v>2.9320048E7</v>
      </c>
      <c r="K1348" s="21">
        <v>0.0</v>
      </c>
    </row>
    <row r="1349">
      <c r="A1349" s="15" t="s">
        <v>74</v>
      </c>
      <c r="B1349" s="16" t="s">
        <v>203</v>
      </c>
      <c r="C1349" s="17" t="s">
        <v>204</v>
      </c>
      <c r="D1349" s="18">
        <v>2.0</v>
      </c>
      <c r="E1349" s="17" t="s">
        <v>22</v>
      </c>
      <c r="F1349" s="15" t="s">
        <v>146</v>
      </c>
      <c r="G1349" s="19">
        <v>9.004212E7</v>
      </c>
      <c r="H1349" s="15" t="s">
        <v>182</v>
      </c>
      <c r="I1349" s="20" t="s">
        <v>25</v>
      </c>
      <c r="J1349" s="21">
        <v>5.5392E7</v>
      </c>
      <c r="K1349" s="21">
        <v>0.0</v>
      </c>
    </row>
    <row r="1350">
      <c r="A1350" s="15" t="s">
        <v>74</v>
      </c>
      <c r="B1350" s="16" t="s">
        <v>203</v>
      </c>
      <c r="C1350" s="17" t="s">
        <v>204</v>
      </c>
      <c r="D1350" s="18">
        <v>2.0</v>
      </c>
      <c r="E1350" s="17" t="s">
        <v>250</v>
      </c>
      <c r="F1350" s="15" t="s">
        <v>251</v>
      </c>
      <c r="G1350" s="19">
        <v>9.0043001E7</v>
      </c>
      <c r="H1350" s="15" t="s">
        <v>18</v>
      </c>
      <c r="I1350" s="20" t="s">
        <v>19</v>
      </c>
      <c r="J1350" s="21">
        <v>966930.0</v>
      </c>
      <c r="K1350" s="21">
        <v>6.0</v>
      </c>
    </row>
    <row r="1351">
      <c r="A1351" s="15" t="s">
        <v>74</v>
      </c>
      <c r="B1351" s="16" t="s">
        <v>203</v>
      </c>
      <c r="C1351" s="17" t="s">
        <v>204</v>
      </c>
      <c r="D1351" s="18">
        <v>2.0</v>
      </c>
      <c r="E1351" s="17" t="s">
        <v>250</v>
      </c>
      <c r="F1351" s="15" t="s">
        <v>251</v>
      </c>
      <c r="G1351" s="19">
        <v>9.0043E7</v>
      </c>
      <c r="H1351" s="15" t="s">
        <v>83</v>
      </c>
      <c r="I1351" s="20" t="s">
        <v>19</v>
      </c>
      <c r="J1351" s="21">
        <v>51586.0</v>
      </c>
      <c r="K1351" s="21">
        <v>0.3</v>
      </c>
    </row>
    <row r="1352">
      <c r="A1352" s="15" t="s">
        <v>74</v>
      </c>
      <c r="B1352" s="16" t="s">
        <v>203</v>
      </c>
      <c r="C1352" s="17" t="s">
        <v>204</v>
      </c>
      <c r="D1352" s="18">
        <v>2.0</v>
      </c>
      <c r="E1352" s="17" t="s">
        <v>269</v>
      </c>
      <c r="F1352" s="15" t="s">
        <v>270</v>
      </c>
      <c r="G1352" s="19">
        <v>9.0043001E7</v>
      </c>
      <c r="H1352" s="15" t="s">
        <v>18</v>
      </c>
      <c r="I1352" s="20" t="s">
        <v>19</v>
      </c>
      <c r="J1352" s="21">
        <v>2317455.0</v>
      </c>
      <c r="K1352" s="21">
        <v>15.0</v>
      </c>
    </row>
    <row r="1353">
      <c r="A1353" s="15" t="s">
        <v>74</v>
      </c>
      <c r="B1353" s="16" t="s">
        <v>203</v>
      </c>
      <c r="C1353" s="17" t="s">
        <v>204</v>
      </c>
      <c r="D1353" s="18">
        <v>2.0</v>
      </c>
      <c r="E1353" s="17" t="s">
        <v>201</v>
      </c>
      <c r="F1353" s="15" t="s">
        <v>202</v>
      </c>
      <c r="G1353" s="19">
        <v>5.1100058E7</v>
      </c>
      <c r="H1353" s="15" t="s">
        <v>36</v>
      </c>
      <c r="I1353" s="20" t="s">
        <v>37</v>
      </c>
      <c r="J1353" s="21">
        <v>1394859.0</v>
      </c>
      <c r="K1353" s="21">
        <v>15.66</v>
      </c>
    </row>
    <row r="1354">
      <c r="A1354" s="15" t="s">
        <v>74</v>
      </c>
      <c r="B1354" s="16" t="s">
        <v>212</v>
      </c>
      <c r="C1354" s="17" t="s">
        <v>213</v>
      </c>
      <c r="D1354" s="18">
        <v>2.0</v>
      </c>
      <c r="E1354" s="24">
        <v>46038.0</v>
      </c>
      <c r="F1354" s="15" t="s">
        <v>150</v>
      </c>
      <c r="G1354" s="19">
        <v>9.0043001E7</v>
      </c>
      <c r="H1354" s="15" t="s">
        <v>18</v>
      </c>
      <c r="I1354" s="20" t="s">
        <v>19</v>
      </c>
      <c r="J1354" s="21">
        <v>692070.0</v>
      </c>
      <c r="K1354" s="21">
        <v>5.0</v>
      </c>
    </row>
    <row r="1355">
      <c r="A1355" s="15" t="s">
        <v>74</v>
      </c>
      <c r="B1355" s="16" t="s">
        <v>212</v>
      </c>
      <c r="C1355" s="17" t="s">
        <v>213</v>
      </c>
      <c r="D1355" s="18">
        <v>2.0</v>
      </c>
      <c r="E1355" s="17" t="s">
        <v>77</v>
      </c>
      <c r="F1355" s="15" t="s">
        <v>78</v>
      </c>
      <c r="G1355" s="19">
        <v>9.0043001E7</v>
      </c>
      <c r="H1355" s="15" t="s">
        <v>18</v>
      </c>
      <c r="I1355" s="20" t="s">
        <v>19</v>
      </c>
      <c r="J1355" s="21">
        <v>296454.0</v>
      </c>
      <c r="K1355" s="21">
        <v>2.0</v>
      </c>
    </row>
    <row r="1356">
      <c r="A1356" s="15" t="s">
        <v>74</v>
      </c>
      <c r="B1356" s="16" t="s">
        <v>212</v>
      </c>
      <c r="C1356" s="17" t="s">
        <v>213</v>
      </c>
      <c r="D1356" s="18">
        <v>2.0</v>
      </c>
      <c r="E1356" s="17" t="s">
        <v>84</v>
      </c>
      <c r="F1356" s="15" t="s">
        <v>85</v>
      </c>
      <c r="G1356" s="19">
        <v>9.0043001E7</v>
      </c>
      <c r="H1356" s="15" t="s">
        <v>18</v>
      </c>
      <c r="I1356" s="20" t="s">
        <v>19</v>
      </c>
      <c r="J1356" s="21">
        <v>2.0924864E7</v>
      </c>
      <c r="K1356" s="21">
        <v>136.0</v>
      </c>
    </row>
    <row r="1357">
      <c r="A1357" s="15" t="s">
        <v>74</v>
      </c>
      <c r="B1357" s="16" t="s">
        <v>212</v>
      </c>
      <c r="C1357" s="17" t="s">
        <v>213</v>
      </c>
      <c r="D1357" s="18">
        <v>2.0</v>
      </c>
      <c r="E1357" s="17" t="s">
        <v>86</v>
      </c>
      <c r="F1357" s="15" t="s">
        <v>87</v>
      </c>
      <c r="G1357" s="19">
        <v>9.0043001E7</v>
      </c>
      <c r="H1357" s="15" t="s">
        <v>18</v>
      </c>
      <c r="I1357" s="20" t="s">
        <v>19</v>
      </c>
      <c r="J1357" s="21">
        <v>2.4297308E7</v>
      </c>
      <c r="K1357" s="21">
        <v>155.0</v>
      </c>
    </row>
    <row r="1358">
      <c r="A1358" s="15" t="s">
        <v>74</v>
      </c>
      <c r="B1358" s="16" t="s">
        <v>212</v>
      </c>
      <c r="C1358" s="17" t="s">
        <v>213</v>
      </c>
      <c r="D1358" s="18">
        <v>2.0</v>
      </c>
      <c r="E1358" s="17" t="s">
        <v>152</v>
      </c>
      <c r="F1358" s="15" t="s">
        <v>153</v>
      </c>
      <c r="G1358" s="19">
        <v>9.0043003E7</v>
      </c>
      <c r="H1358" s="15" t="s">
        <v>90</v>
      </c>
      <c r="I1358" s="20" t="s">
        <v>50</v>
      </c>
      <c r="J1358" s="21">
        <v>931662.0</v>
      </c>
      <c r="K1358" s="21">
        <v>6.0</v>
      </c>
    </row>
    <row r="1359">
      <c r="A1359" s="15" t="s">
        <v>74</v>
      </c>
      <c r="B1359" s="16" t="s">
        <v>212</v>
      </c>
      <c r="C1359" s="17" t="s">
        <v>213</v>
      </c>
      <c r="D1359" s="18">
        <v>2.0</v>
      </c>
      <c r="E1359" s="17" t="s">
        <v>226</v>
      </c>
      <c r="F1359" s="15" t="s">
        <v>227</v>
      </c>
      <c r="G1359" s="19">
        <v>9.0043002E7</v>
      </c>
      <c r="H1359" s="15" t="s">
        <v>49</v>
      </c>
      <c r="I1359" s="20" t="s">
        <v>50</v>
      </c>
      <c r="J1359" s="21">
        <v>183866.0</v>
      </c>
      <c r="K1359" s="21">
        <v>15.0</v>
      </c>
    </row>
    <row r="1360">
      <c r="A1360" s="15" t="s">
        <v>74</v>
      </c>
      <c r="B1360" s="16" t="s">
        <v>212</v>
      </c>
      <c r="C1360" s="17" t="s">
        <v>213</v>
      </c>
      <c r="D1360" s="18">
        <v>2.0</v>
      </c>
      <c r="E1360" s="17" t="s">
        <v>95</v>
      </c>
      <c r="F1360" s="15" t="s">
        <v>96</v>
      </c>
      <c r="G1360" s="19">
        <v>5.1100058E7</v>
      </c>
      <c r="H1360" s="15" t="s">
        <v>36</v>
      </c>
      <c r="I1360" s="20" t="s">
        <v>37</v>
      </c>
      <c r="J1360" s="21">
        <v>1.2072243E7</v>
      </c>
      <c r="K1360" s="21">
        <v>169.39</v>
      </c>
    </row>
    <row r="1361">
      <c r="A1361" s="15" t="s">
        <v>74</v>
      </c>
      <c r="B1361" s="16" t="s">
        <v>212</v>
      </c>
      <c r="C1361" s="17" t="s">
        <v>213</v>
      </c>
      <c r="D1361" s="18">
        <v>2.0</v>
      </c>
      <c r="E1361" s="17" t="s">
        <v>95</v>
      </c>
      <c r="F1361" s="15" t="s">
        <v>96</v>
      </c>
      <c r="G1361" s="19">
        <v>9.0043001E7</v>
      </c>
      <c r="H1361" s="15" t="s">
        <v>18</v>
      </c>
      <c r="I1361" s="20" t="s">
        <v>19</v>
      </c>
      <c r="J1361" s="21">
        <v>4.0577816E7</v>
      </c>
      <c r="K1361" s="21">
        <v>283.0</v>
      </c>
    </row>
    <row r="1362">
      <c r="A1362" s="15" t="s">
        <v>74</v>
      </c>
      <c r="B1362" s="16" t="s">
        <v>212</v>
      </c>
      <c r="C1362" s="17" t="s">
        <v>213</v>
      </c>
      <c r="D1362" s="18">
        <v>2.0</v>
      </c>
      <c r="E1362" s="17" t="s">
        <v>97</v>
      </c>
      <c r="F1362" s="15" t="s">
        <v>98</v>
      </c>
      <c r="G1362" s="19">
        <v>5.1100058E7</v>
      </c>
      <c r="H1362" s="15" t="s">
        <v>36</v>
      </c>
      <c r="I1362" s="20" t="s">
        <v>37</v>
      </c>
      <c r="J1362" s="21">
        <v>6236536.0</v>
      </c>
      <c r="K1362" s="21">
        <v>93.833</v>
      </c>
    </row>
    <row r="1363">
      <c r="A1363" s="15" t="s">
        <v>74</v>
      </c>
      <c r="B1363" s="16" t="s">
        <v>212</v>
      </c>
      <c r="C1363" s="17" t="s">
        <v>213</v>
      </c>
      <c r="D1363" s="18">
        <v>2.0</v>
      </c>
      <c r="E1363" s="17" t="s">
        <v>99</v>
      </c>
      <c r="F1363" s="15" t="s">
        <v>100</v>
      </c>
      <c r="G1363" s="19">
        <v>9.0043001E7</v>
      </c>
      <c r="H1363" s="15" t="s">
        <v>18</v>
      </c>
      <c r="I1363" s="20" t="s">
        <v>19</v>
      </c>
      <c r="J1363" s="21">
        <v>1.1542923E7</v>
      </c>
      <c r="K1363" s="21">
        <v>80.0</v>
      </c>
    </row>
    <row r="1364">
      <c r="A1364" s="15" t="s">
        <v>74</v>
      </c>
      <c r="B1364" s="16" t="s">
        <v>212</v>
      </c>
      <c r="C1364" s="17" t="s">
        <v>213</v>
      </c>
      <c r="D1364" s="18">
        <v>2.0</v>
      </c>
      <c r="E1364" s="17" t="s">
        <v>101</v>
      </c>
      <c r="F1364" s="15" t="s">
        <v>102</v>
      </c>
      <c r="G1364" s="19">
        <v>9.0043001E7</v>
      </c>
      <c r="H1364" s="15" t="s">
        <v>18</v>
      </c>
      <c r="I1364" s="20" t="s">
        <v>19</v>
      </c>
      <c r="J1364" s="21">
        <v>2.3018241E7</v>
      </c>
      <c r="K1364" s="21">
        <v>166.0</v>
      </c>
    </row>
    <row r="1365">
      <c r="A1365" s="15" t="s">
        <v>74</v>
      </c>
      <c r="B1365" s="16" t="s">
        <v>212</v>
      </c>
      <c r="C1365" s="17" t="s">
        <v>213</v>
      </c>
      <c r="D1365" s="18">
        <v>2.0</v>
      </c>
      <c r="E1365" s="17" t="s">
        <v>103</v>
      </c>
      <c r="F1365" s="15" t="s">
        <v>104</v>
      </c>
      <c r="G1365" s="19">
        <v>5.1100058E7</v>
      </c>
      <c r="H1365" s="15" t="s">
        <v>36</v>
      </c>
      <c r="I1365" s="20" t="s">
        <v>37</v>
      </c>
      <c r="J1365" s="21">
        <v>2968729.0</v>
      </c>
      <c r="K1365" s="21">
        <v>43.3</v>
      </c>
    </row>
    <row r="1366">
      <c r="A1366" s="15" t="s">
        <v>74</v>
      </c>
      <c r="B1366" s="16" t="s">
        <v>212</v>
      </c>
      <c r="C1366" s="17" t="s">
        <v>213</v>
      </c>
      <c r="D1366" s="18">
        <v>2.0</v>
      </c>
      <c r="E1366" s="17" t="s">
        <v>175</v>
      </c>
      <c r="F1366" s="15" t="s">
        <v>176</v>
      </c>
      <c r="G1366" s="19">
        <v>9.0043002E7</v>
      </c>
      <c r="H1366" s="15" t="s">
        <v>49</v>
      </c>
      <c r="I1366" s="20" t="s">
        <v>50</v>
      </c>
      <c r="J1366" s="21">
        <v>1225770.0</v>
      </c>
      <c r="K1366" s="21">
        <v>100.0</v>
      </c>
    </row>
    <row r="1367">
      <c r="A1367" s="15" t="s">
        <v>74</v>
      </c>
      <c r="B1367" s="16" t="s">
        <v>212</v>
      </c>
      <c r="C1367" s="17" t="s">
        <v>213</v>
      </c>
      <c r="D1367" s="18">
        <v>2.0</v>
      </c>
      <c r="E1367" s="17" t="s">
        <v>117</v>
      </c>
      <c r="F1367" s="15" t="s">
        <v>118</v>
      </c>
      <c r="G1367" s="19">
        <v>5.1100058E7</v>
      </c>
      <c r="H1367" s="15" t="s">
        <v>36</v>
      </c>
      <c r="I1367" s="20" t="s">
        <v>37</v>
      </c>
      <c r="J1367" s="21">
        <v>1.0825945E7</v>
      </c>
      <c r="K1367" s="21">
        <v>7870.0</v>
      </c>
    </row>
    <row r="1368">
      <c r="A1368" s="15" t="s">
        <v>74</v>
      </c>
      <c r="B1368" s="16" t="s">
        <v>212</v>
      </c>
      <c r="C1368" s="17" t="s">
        <v>213</v>
      </c>
      <c r="D1368" s="18">
        <v>2.0</v>
      </c>
      <c r="E1368" s="17" t="s">
        <v>117</v>
      </c>
      <c r="F1368" s="15" t="s">
        <v>118</v>
      </c>
      <c r="G1368" s="19">
        <v>9.0043001E7</v>
      </c>
      <c r="H1368" s="15" t="s">
        <v>18</v>
      </c>
      <c r="I1368" s="20" t="s">
        <v>19</v>
      </c>
      <c r="J1368" s="21">
        <v>8054685.0</v>
      </c>
      <c r="K1368" s="21">
        <v>55.0</v>
      </c>
    </row>
    <row r="1369">
      <c r="A1369" s="15" t="s">
        <v>74</v>
      </c>
      <c r="B1369" s="16" t="s">
        <v>212</v>
      </c>
      <c r="C1369" s="17" t="s">
        <v>213</v>
      </c>
      <c r="D1369" s="18">
        <v>2.0</v>
      </c>
      <c r="E1369" s="17" t="s">
        <v>274</v>
      </c>
      <c r="F1369" s="15" t="s">
        <v>275</v>
      </c>
      <c r="G1369" s="19">
        <v>9.0043E7</v>
      </c>
      <c r="H1369" s="15" t="s">
        <v>83</v>
      </c>
      <c r="I1369" s="20" t="s">
        <v>19</v>
      </c>
      <c r="J1369" s="21">
        <v>841734.0</v>
      </c>
      <c r="K1369" s="21">
        <v>6.0</v>
      </c>
    </row>
    <row r="1370">
      <c r="A1370" s="15" t="s">
        <v>74</v>
      </c>
      <c r="B1370" s="16" t="s">
        <v>212</v>
      </c>
      <c r="C1370" s="17" t="s">
        <v>213</v>
      </c>
      <c r="D1370" s="18">
        <v>2.0</v>
      </c>
      <c r="E1370" s="17" t="s">
        <v>125</v>
      </c>
      <c r="F1370" s="15" t="s">
        <v>126</v>
      </c>
      <c r="G1370" s="19">
        <v>9.0043001E7</v>
      </c>
      <c r="H1370" s="15" t="s">
        <v>18</v>
      </c>
      <c r="I1370" s="20" t="s">
        <v>19</v>
      </c>
      <c r="J1370" s="21">
        <v>1.89602163E8</v>
      </c>
      <c r="K1370" s="21">
        <v>1346.0</v>
      </c>
    </row>
    <row r="1371">
      <c r="A1371" s="15" t="s">
        <v>74</v>
      </c>
      <c r="B1371" s="16" t="s">
        <v>212</v>
      </c>
      <c r="C1371" s="17" t="s">
        <v>213</v>
      </c>
      <c r="D1371" s="18">
        <v>2.0</v>
      </c>
      <c r="E1371" s="17" t="s">
        <v>127</v>
      </c>
      <c r="F1371" s="15" t="s">
        <v>128</v>
      </c>
      <c r="G1371" s="19">
        <v>9.0043002E7</v>
      </c>
      <c r="H1371" s="15" t="s">
        <v>49</v>
      </c>
      <c r="I1371" s="20" t="s">
        <v>50</v>
      </c>
      <c r="J1371" s="21">
        <v>1.5616309E7</v>
      </c>
      <c r="K1371" s="21">
        <v>1274.0</v>
      </c>
    </row>
    <row r="1372">
      <c r="A1372" s="15" t="s">
        <v>74</v>
      </c>
      <c r="B1372" s="16" t="s">
        <v>212</v>
      </c>
      <c r="C1372" s="17" t="s">
        <v>213</v>
      </c>
      <c r="D1372" s="18">
        <v>2.0</v>
      </c>
      <c r="E1372" s="17" t="s">
        <v>129</v>
      </c>
      <c r="F1372" s="15" t="s">
        <v>130</v>
      </c>
      <c r="G1372" s="19">
        <v>5.1100153E7</v>
      </c>
      <c r="H1372" s="15" t="s">
        <v>72</v>
      </c>
      <c r="I1372" s="20" t="s">
        <v>25</v>
      </c>
      <c r="J1372" s="21">
        <v>0.0</v>
      </c>
      <c r="K1372" s="21">
        <v>0.0</v>
      </c>
    </row>
    <row r="1373">
      <c r="A1373" s="15" t="s">
        <v>74</v>
      </c>
      <c r="B1373" s="16" t="s">
        <v>212</v>
      </c>
      <c r="C1373" s="17" t="s">
        <v>213</v>
      </c>
      <c r="D1373" s="18">
        <v>2.0</v>
      </c>
      <c r="E1373" s="17" t="s">
        <v>129</v>
      </c>
      <c r="F1373" s="15" t="s">
        <v>130</v>
      </c>
      <c r="G1373" s="19">
        <v>5.1101056E7</v>
      </c>
      <c r="H1373" s="15" t="s">
        <v>16</v>
      </c>
      <c r="I1373" s="20" t="s">
        <v>17</v>
      </c>
      <c r="J1373" s="21">
        <v>8.1745697E7</v>
      </c>
      <c r="K1373" s="21">
        <v>416423.0</v>
      </c>
    </row>
    <row r="1374">
      <c r="A1374" s="15" t="s">
        <v>74</v>
      </c>
      <c r="B1374" s="16" t="s">
        <v>212</v>
      </c>
      <c r="C1374" s="17" t="s">
        <v>213</v>
      </c>
      <c r="D1374" s="18">
        <v>2.0</v>
      </c>
      <c r="E1374" s="17" t="s">
        <v>135</v>
      </c>
      <c r="F1374" s="15" t="s">
        <v>136</v>
      </c>
      <c r="G1374" s="19">
        <v>9.0043001E7</v>
      </c>
      <c r="H1374" s="15" t="s">
        <v>18</v>
      </c>
      <c r="I1374" s="20" t="s">
        <v>19</v>
      </c>
      <c r="J1374" s="21">
        <v>1.0862357E7</v>
      </c>
      <c r="K1374" s="21">
        <v>76.0</v>
      </c>
    </row>
    <row r="1375">
      <c r="A1375" s="15" t="s">
        <v>74</v>
      </c>
      <c r="B1375" s="16" t="s">
        <v>212</v>
      </c>
      <c r="C1375" s="17" t="s">
        <v>213</v>
      </c>
      <c r="D1375" s="18">
        <v>2.0</v>
      </c>
      <c r="E1375" s="17" t="s">
        <v>162</v>
      </c>
      <c r="F1375" s="15" t="s">
        <v>163</v>
      </c>
      <c r="G1375" s="19">
        <v>9.0043001E7</v>
      </c>
      <c r="H1375" s="15" t="s">
        <v>18</v>
      </c>
      <c r="I1375" s="20" t="s">
        <v>19</v>
      </c>
      <c r="J1375" s="21">
        <v>2.1624592E7</v>
      </c>
      <c r="K1375" s="21">
        <v>152.0</v>
      </c>
    </row>
    <row r="1376">
      <c r="A1376" s="15" t="s">
        <v>74</v>
      </c>
      <c r="B1376" s="16" t="s">
        <v>212</v>
      </c>
      <c r="C1376" s="17" t="s">
        <v>213</v>
      </c>
      <c r="D1376" s="18">
        <v>2.0</v>
      </c>
      <c r="E1376" s="17" t="s">
        <v>54</v>
      </c>
      <c r="F1376" s="15" t="s">
        <v>139</v>
      </c>
      <c r="G1376" s="19">
        <v>9.0042011E7</v>
      </c>
      <c r="H1376" s="15" t="s">
        <v>55</v>
      </c>
      <c r="I1376" s="20" t="s">
        <v>19</v>
      </c>
      <c r="J1376" s="21">
        <v>1.71956377E8</v>
      </c>
      <c r="K1376" s="21">
        <v>0.0</v>
      </c>
    </row>
    <row r="1377">
      <c r="A1377" s="15" t="s">
        <v>74</v>
      </c>
      <c r="B1377" s="16" t="s">
        <v>212</v>
      </c>
      <c r="C1377" s="17" t="s">
        <v>213</v>
      </c>
      <c r="D1377" s="18">
        <v>2.0</v>
      </c>
      <c r="E1377" s="17" t="s">
        <v>20</v>
      </c>
      <c r="F1377" s="15" t="s">
        <v>140</v>
      </c>
      <c r="G1377" s="19">
        <v>9.0042014E7</v>
      </c>
      <c r="H1377" s="15" t="s">
        <v>21</v>
      </c>
      <c r="I1377" s="20" t="s">
        <v>19</v>
      </c>
      <c r="J1377" s="21">
        <v>2.6250106E8</v>
      </c>
      <c r="K1377" s="21">
        <v>0.0</v>
      </c>
    </row>
    <row r="1378">
      <c r="A1378" s="15" t="s">
        <v>74</v>
      </c>
      <c r="B1378" s="16" t="s">
        <v>212</v>
      </c>
      <c r="C1378" s="17" t="s">
        <v>213</v>
      </c>
      <c r="D1378" s="18">
        <v>2.0</v>
      </c>
      <c r="E1378" s="17" t="s">
        <v>20</v>
      </c>
      <c r="F1378" s="15" t="s">
        <v>140</v>
      </c>
      <c r="G1378" s="19">
        <v>9.0042077E7</v>
      </c>
      <c r="H1378" s="15" t="s">
        <v>141</v>
      </c>
      <c r="I1378" s="20" t="s">
        <v>19</v>
      </c>
      <c r="J1378" s="21">
        <v>5.7888446E7</v>
      </c>
      <c r="K1378" s="21">
        <v>0.0</v>
      </c>
    </row>
    <row r="1379">
      <c r="A1379" s="15" t="s">
        <v>74</v>
      </c>
      <c r="B1379" s="16" t="s">
        <v>212</v>
      </c>
      <c r="C1379" s="17" t="s">
        <v>213</v>
      </c>
      <c r="D1379" s="18">
        <v>2.0</v>
      </c>
      <c r="E1379" s="17" t="s">
        <v>142</v>
      </c>
      <c r="F1379" s="15" t="s">
        <v>143</v>
      </c>
      <c r="G1379" s="19">
        <v>9.0042013E7</v>
      </c>
      <c r="H1379" s="15" t="s">
        <v>144</v>
      </c>
      <c r="I1379" s="20" t="s">
        <v>19</v>
      </c>
      <c r="J1379" s="21">
        <v>4186000.0</v>
      </c>
      <c r="K1379" s="21">
        <v>0.0</v>
      </c>
    </row>
    <row r="1380">
      <c r="A1380" s="15" t="s">
        <v>74</v>
      </c>
      <c r="B1380" s="16" t="s">
        <v>212</v>
      </c>
      <c r="C1380" s="17" t="s">
        <v>213</v>
      </c>
      <c r="D1380" s="18">
        <v>2.0</v>
      </c>
      <c r="E1380" s="17" t="s">
        <v>142</v>
      </c>
      <c r="F1380" s="15" t="s">
        <v>143</v>
      </c>
      <c r="G1380" s="19">
        <v>9.0042084E7</v>
      </c>
      <c r="H1380" s="15" t="s">
        <v>145</v>
      </c>
      <c r="I1380" s="20" t="s">
        <v>19</v>
      </c>
      <c r="J1380" s="21">
        <v>792600.0</v>
      </c>
      <c r="K1380" s="21">
        <v>0.0</v>
      </c>
    </row>
    <row r="1381">
      <c r="A1381" s="15" t="s">
        <v>74</v>
      </c>
      <c r="B1381" s="16" t="s">
        <v>212</v>
      </c>
      <c r="C1381" s="17" t="s">
        <v>213</v>
      </c>
      <c r="D1381" s="18">
        <v>2.0</v>
      </c>
      <c r="E1381" s="17" t="s">
        <v>22</v>
      </c>
      <c r="F1381" s="15" t="s">
        <v>146</v>
      </c>
      <c r="G1381" s="19">
        <v>9.0042012E7</v>
      </c>
      <c r="H1381" s="15" t="s">
        <v>23</v>
      </c>
      <c r="I1381" s="20" t="s">
        <v>19</v>
      </c>
      <c r="J1381" s="21">
        <v>1.14726245E8</v>
      </c>
      <c r="K1381" s="21">
        <v>0.0</v>
      </c>
    </row>
    <row r="1382">
      <c r="A1382" s="15" t="s">
        <v>74</v>
      </c>
      <c r="B1382" s="16" t="s">
        <v>212</v>
      </c>
      <c r="C1382" s="17" t="s">
        <v>213</v>
      </c>
      <c r="D1382" s="18">
        <v>2.0</v>
      </c>
      <c r="E1382" s="17" t="s">
        <v>22</v>
      </c>
      <c r="F1382" s="15" t="s">
        <v>146</v>
      </c>
      <c r="G1382" s="19">
        <v>9.0042121E7</v>
      </c>
      <c r="H1382" s="15" t="s">
        <v>24</v>
      </c>
      <c r="I1382" s="20" t="s">
        <v>25</v>
      </c>
      <c r="J1382" s="21">
        <v>8.3904385E7</v>
      </c>
      <c r="K1382" s="21">
        <v>0.0</v>
      </c>
    </row>
    <row r="1383">
      <c r="A1383" s="15" t="s">
        <v>74</v>
      </c>
      <c r="B1383" s="16" t="s">
        <v>212</v>
      </c>
      <c r="C1383" s="17" t="s">
        <v>213</v>
      </c>
      <c r="D1383" s="18">
        <v>2.0</v>
      </c>
      <c r="E1383" s="17" t="s">
        <v>22</v>
      </c>
      <c r="F1383" s="15" t="s">
        <v>146</v>
      </c>
      <c r="G1383" s="19">
        <v>9.0042122E7</v>
      </c>
      <c r="H1383" s="15" t="s">
        <v>56</v>
      </c>
      <c r="I1383" s="20" t="s">
        <v>25</v>
      </c>
      <c r="J1383" s="21">
        <v>5.2719706E7</v>
      </c>
      <c r="K1383" s="21">
        <v>0.0</v>
      </c>
    </row>
    <row r="1384">
      <c r="A1384" s="15" t="s">
        <v>74</v>
      </c>
      <c r="B1384" s="16" t="s">
        <v>212</v>
      </c>
      <c r="C1384" s="17" t="s">
        <v>213</v>
      </c>
      <c r="D1384" s="18">
        <v>2.0</v>
      </c>
      <c r="E1384" s="17" t="s">
        <v>22</v>
      </c>
      <c r="F1384" s="15" t="s">
        <v>146</v>
      </c>
      <c r="G1384" s="19">
        <v>9.0042124E7</v>
      </c>
      <c r="H1384" s="15" t="s">
        <v>57</v>
      </c>
      <c r="I1384" s="20" t="s">
        <v>25</v>
      </c>
      <c r="J1384" s="21">
        <v>2.2716838E7</v>
      </c>
      <c r="K1384" s="21">
        <v>0.0</v>
      </c>
    </row>
    <row r="1385">
      <c r="A1385" s="15" t="s">
        <v>74</v>
      </c>
      <c r="B1385" s="16" t="s">
        <v>212</v>
      </c>
      <c r="C1385" s="17" t="s">
        <v>213</v>
      </c>
      <c r="D1385" s="18">
        <v>2.0</v>
      </c>
      <c r="E1385" s="17" t="s">
        <v>22</v>
      </c>
      <c r="F1385" s="15" t="s">
        <v>146</v>
      </c>
      <c r="G1385" s="19">
        <v>9.0042125E7</v>
      </c>
      <c r="H1385" s="15" t="s">
        <v>26</v>
      </c>
      <c r="I1385" s="20" t="s">
        <v>25</v>
      </c>
      <c r="J1385" s="21">
        <v>5.1931142E7</v>
      </c>
      <c r="K1385" s="21">
        <v>0.0</v>
      </c>
    </row>
    <row r="1386">
      <c r="A1386" s="15" t="s">
        <v>74</v>
      </c>
      <c r="B1386" s="16" t="s">
        <v>212</v>
      </c>
      <c r="C1386" s="17" t="s">
        <v>213</v>
      </c>
      <c r="D1386" s="18">
        <v>2.0</v>
      </c>
      <c r="E1386" s="17" t="s">
        <v>22</v>
      </c>
      <c r="F1386" s="15" t="s">
        <v>146</v>
      </c>
      <c r="G1386" s="19">
        <v>9.0042127E7</v>
      </c>
      <c r="H1386" s="15" t="s">
        <v>27</v>
      </c>
      <c r="I1386" s="20" t="s">
        <v>25</v>
      </c>
      <c r="J1386" s="21">
        <v>2.7215327E7</v>
      </c>
      <c r="K1386" s="21">
        <v>0.0</v>
      </c>
    </row>
    <row r="1387">
      <c r="A1387" s="15" t="s">
        <v>74</v>
      </c>
      <c r="B1387" s="16" t="s">
        <v>212</v>
      </c>
      <c r="C1387" s="17" t="s">
        <v>213</v>
      </c>
      <c r="D1387" s="18">
        <v>2.0</v>
      </c>
      <c r="E1387" s="17" t="s">
        <v>22</v>
      </c>
      <c r="F1387" s="15" t="s">
        <v>146</v>
      </c>
      <c r="G1387" s="19">
        <v>9.0042132E7</v>
      </c>
      <c r="H1387" s="15" t="s">
        <v>28</v>
      </c>
      <c r="I1387" s="20" t="s">
        <v>25</v>
      </c>
      <c r="J1387" s="21">
        <v>1.0173244E7</v>
      </c>
      <c r="K1387" s="21">
        <v>0.0</v>
      </c>
    </row>
    <row r="1388">
      <c r="A1388" s="15" t="s">
        <v>74</v>
      </c>
      <c r="B1388" s="16" t="s">
        <v>212</v>
      </c>
      <c r="C1388" s="17" t="s">
        <v>213</v>
      </c>
      <c r="D1388" s="18">
        <v>2.0</v>
      </c>
      <c r="E1388" s="17" t="s">
        <v>22</v>
      </c>
      <c r="F1388" s="15" t="s">
        <v>146</v>
      </c>
      <c r="G1388" s="19">
        <v>9.0042133E7</v>
      </c>
      <c r="H1388" s="15" t="s">
        <v>211</v>
      </c>
      <c r="I1388" s="20" t="s">
        <v>25</v>
      </c>
      <c r="J1388" s="21">
        <v>900000.0</v>
      </c>
      <c r="K1388" s="21">
        <v>0.0</v>
      </c>
    </row>
    <row r="1389">
      <c r="A1389" s="15" t="s">
        <v>74</v>
      </c>
      <c r="B1389" s="16" t="s">
        <v>212</v>
      </c>
      <c r="C1389" s="17" t="s">
        <v>213</v>
      </c>
      <c r="D1389" s="18">
        <v>2.0</v>
      </c>
      <c r="E1389" s="17" t="s">
        <v>22</v>
      </c>
      <c r="F1389" s="15" t="s">
        <v>146</v>
      </c>
      <c r="G1389" s="19">
        <v>9.0042134E7</v>
      </c>
      <c r="H1389" s="15" t="s">
        <v>29</v>
      </c>
      <c r="I1389" s="20" t="s">
        <v>25</v>
      </c>
      <c r="J1389" s="21">
        <v>2762200.0</v>
      </c>
      <c r="K1389" s="21">
        <v>0.0</v>
      </c>
    </row>
    <row r="1390">
      <c r="A1390" s="15" t="s">
        <v>74</v>
      </c>
      <c r="B1390" s="16" t="s">
        <v>212</v>
      </c>
      <c r="C1390" s="17" t="s">
        <v>213</v>
      </c>
      <c r="D1390" s="18">
        <v>2.0</v>
      </c>
      <c r="E1390" s="17" t="s">
        <v>22</v>
      </c>
      <c r="F1390" s="15" t="s">
        <v>146</v>
      </c>
      <c r="G1390" s="19">
        <v>9.0042135E7</v>
      </c>
      <c r="H1390" s="15" t="s">
        <v>30</v>
      </c>
      <c r="I1390" s="20" t="s">
        <v>25</v>
      </c>
      <c r="J1390" s="21">
        <v>1.69174712E8</v>
      </c>
      <c r="K1390" s="21">
        <v>0.0</v>
      </c>
    </row>
    <row r="1391">
      <c r="A1391" s="15" t="s">
        <v>74</v>
      </c>
      <c r="B1391" s="16" t="s">
        <v>212</v>
      </c>
      <c r="C1391" s="17" t="s">
        <v>213</v>
      </c>
      <c r="D1391" s="18">
        <v>2.0</v>
      </c>
      <c r="E1391" s="17" t="s">
        <v>22</v>
      </c>
      <c r="F1391" s="15" t="s">
        <v>146</v>
      </c>
      <c r="G1391" s="19">
        <v>9.00422E7</v>
      </c>
      <c r="H1391" s="15" t="s">
        <v>73</v>
      </c>
      <c r="I1391" s="20" t="s">
        <v>60</v>
      </c>
      <c r="J1391" s="21">
        <v>8.8449166E7</v>
      </c>
      <c r="K1391" s="21">
        <v>0.0</v>
      </c>
    </row>
    <row r="1392">
      <c r="A1392" s="15" t="s">
        <v>74</v>
      </c>
      <c r="B1392" s="16" t="s">
        <v>212</v>
      </c>
      <c r="C1392" s="17" t="s">
        <v>213</v>
      </c>
      <c r="D1392" s="18">
        <v>2.0</v>
      </c>
      <c r="E1392" s="17" t="s">
        <v>22</v>
      </c>
      <c r="F1392" s="15" t="s">
        <v>146</v>
      </c>
      <c r="G1392" s="19">
        <v>9.0042223E7</v>
      </c>
      <c r="H1392" s="15" t="s">
        <v>61</v>
      </c>
      <c r="I1392" s="20" t="s">
        <v>60</v>
      </c>
      <c r="J1392" s="21">
        <v>1.6311643E7</v>
      </c>
      <c r="K1392" s="21">
        <v>0.0</v>
      </c>
    </row>
    <row r="1393">
      <c r="A1393" s="15" t="s">
        <v>74</v>
      </c>
      <c r="B1393" s="16" t="s">
        <v>212</v>
      </c>
      <c r="C1393" s="17" t="s">
        <v>213</v>
      </c>
      <c r="D1393" s="18">
        <v>2.0</v>
      </c>
      <c r="E1393" s="17" t="s">
        <v>22</v>
      </c>
      <c r="F1393" s="15" t="s">
        <v>146</v>
      </c>
      <c r="G1393" s="19">
        <v>9.0042224E7</v>
      </c>
      <c r="H1393" s="15" t="s">
        <v>62</v>
      </c>
      <c r="I1393" s="20" t="s">
        <v>60</v>
      </c>
      <c r="J1393" s="21">
        <v>1.0689242E7</v>
      </c>
      <c r="K1393" s="21">
        <v>0.0</v>
      </c>
    </row>
    <row r="1394">
      <c r="A1394" s="15" t="s">
        <v>74</v>
      </c>
      <c r="B1394" s="16" t="s">
        <v>212</v>
      </c>
      <c r="C1394" s="17" t="s">
        <v>213</v>
      </c>
      <c r="D1394" s="18">
        <v>2.0</v>
      </c>
      <c r="E1394" s="17" t="s">
        <v>22</v>
      </c>
      <c r="F1394" s="15" t="s">
        <v>146</v>
      </c>
      <c r="G1394" s="19">
        <v>9.0042225E7</v>
      </c>
      <c r="H1394" s="15" t="s">
        <v>147</v>
      </c>
      <c r="I1394" s="20" t="s">
        <v>60</v>
      </c>
      <c r="J1394" s="21">
        <v>2400084.0</v>
      </c>
      <c r="K1394" s="21">
        <v>0.0</v>
      </c>
    </row>
    <row r="1395">
      <c r="A1395" s="15" t="s">
        <v>74</v>
      </c>
      <c r="B1395" s="16" t="s">
        <v>212</v>
      </c>
      <c r="C1395" s="17" t="s">
        <v>213</v>
      </c>
      <c r="D1395" s="18">
        <v>2.0</v>
      </c>
      <c r="E1395" s="17" t="s">
        <v>22</v>
      </c>
      <c r="F1395" s="15" t="s">
        <v>146</v>
      </c>
      <c r="G1395" s="19">
        <v>9.0042226E7</v>
      </c>
      <c r="H1395" s="15" t="s">
        <v>63</v>
      </c>
      <c r="I1395" s="20" t="s">
        <v>60</v>
      </c>
      <c r="J1395" s="21">
        <v>295002.0</v>
      </c>
      <c r="K1395" s="21">
        <v>0.0</v>
      </c>
    </row>
    <row r="1396">
      <c r="A1396" s="15" t="s">
        <v>74</v>
      </c>
      <c r="B1396" s="16" t="s">
        <v>212</v>
      </c>
      <c r="C1396" s="17" t="s">
        <v>213</v>
      </c>
      <c r="D1396" s="18">
        <v>2.0</v>
      </c>
      <c r="E1396" s="17" t="s">
        <v>22</v>
      </c>
      <c r="F1396" s="15" t="s">
        <v>146</v>
      </c>
      <c r="G1396" s="19">
        <v>9.0042228E7</v>
      </c>
      <c r="H1396" s="15" t="s">
        <v>64</v>
      </c>
      <c r="I1396" s="20" t="s">
        <v>60</v>
      </c>
      <c r="J1396" s="21">
        <v>1.07609318E8</v>
      </c>
      <c r="K1396" s="21">
        <v>0.0</v>
      </c>
    </row>
    <row r="1397">
      <c r="A1397" s="15" t="s">
        <v>74</v>
      </c>
      <c r="B1397" s="16" t="s">
        <v>212</v>
      </c>
      <c r="C1397" s="17" t="s">
        <v>213</v>
      </c>
      <c r="D1397" s="18">
        <v>2.0</v>
      </c>
      <c r="E1397" s="17" t="s">
        <v>22</v>
      </c>
      <c r="F1397" s="15" t="s">
        <v>146</v>
      </c>
      <c r="G1397" s="19">
        <v>9.0042231E7</v>
      </c>
      <c r="H1397" s="15" t="s">
        <v>65</v>
      </c>
      <c r="I1397" s="20" t="s">
        <v>60</v>
      </c>
      <c r="J1397" s="21">
        <v>6521693.0</v>
      </c>
      <c r="K1397" s="21">
        <v>0.0</v>
      </c>
    </row>
    <row r="1398">
      <c r="A1398" s="15" t="s">
        <v>74</v>
      </c>
      <c r="B1398" s="16" t="s">
        <v>212</v>
      </c>
      <c r="C1398" s="17" t="s">
        <v>213</v>
      </c>
      <c r="D1398" s="18">
        <v>2.0</v>
      </c>
      <c r="E1398" s="17" t="s">
        <v>22</v>
      </c>
      <c r="F1398" s="15" t="s">
        <v>146</v>
      </c>
      <c r="G1398" s="19">
        <v>9.0042126E7</v>
      </c>
      <c r="H1398" s="15" t="s">
        <v>31</v>
      </c>
      <c r="I1398" s="20" t="s">
        <v>25</v>
      </c>
      <c r="J1398" s="21">
        <v>2.4573472E7</v>
      </c>
      <c r="K1398" s="21">
        <v>0.0</v>
      </c>
    </row>
    <row r="1399">
      <c r="A1399" s="15" t="s">
        <v>74</v>
      </c>
      <c r="B1399" s="16" t="s">
        <v>212</v>
      </c>
      <c r="C1399" s="17" t="s">
        <v>213</v>
      </c>
      <c r="D1399" s="18">
        <v>2.0</v>
      </c>
      <c r="E1399" s="17" t="s">
        <v>22</v>
      </c>
      <c r="F1399" s="15" t="s">
        <v>146</v>
      </c>
      <c r="G1399" s="19">
        <v>9.004212E7</v>
      </c>
      <c r="H1399" s="15" t="s">
        <v>182</v>
      </c>
      <c r="I1399" s="20" t="s">
        <v>25</v>
      </c>
      <c r="J1399" s="21">
        <v>1.47072E8</v>
      </c>
      <c r="K1399" s="21">
        <v>0.0</v>
      </c>
    </row>
    <row r="1400">
      <c r="A1400" s="15" t="s">
        <v>74</v>
      </c>
      <c r="B1400" s="16" t="s">
        <v>212</v>
      </c>
      <c r="C1400" s="17" t="s">
        <v>213</v>
      </c>
      <c r="D1400" s="18">
        <v>2.0</v>
      </c>
      <c r="E1400" s="17" t="s">
        <v>22</v>
      </c>
      <c r="F1400" s="15" t="s">
        <v>146</v>
      </c>
      <c r="G1400" s="19">
        <v>9.0042145E7</v>
      </c>
      <c r="H1400" s="15" t="s">
        <v>215</v>
      </c>
      <c r="I1400" s="20" t="s">
        <v>25</v>
      </c>
      <c r="J1400" s="21">
        <v>400000.0</v>
      </c>
      <c r="K1400" s="21">
        <v>0.0</v>
      </c>
    </row>
    <row r="1401">
      <c r="A1401" s="15" t="s">
        <v>74</v>
      </c>
      <c r="B1401" s="16" t="s">
        <v>212</v>
      </c>
      <c r="C1401" s="17" t="s">
        <v>213</v>
      </c>
      <c r="D1401" s="18">
        <v>2.0</v>
      </c>
      <c r="E1401" s="17" t="s">
        <v>218</v>
      </c>
      <c r="F1401" s="15" t="s">
        <v>219</v>
      </c>
      <c r="G1401" s="19">
        <v>9.0043001E7</v>
      </c>
      <c r="H1401" s="15" t="s">
        <v>18</v>
      </c>
      <c r="I1401" s="20" t="s">
        <v>19</v>
      </c>
      <c r="J1401" s="21">
        <v>8222500.0</v>
      </c>
      <c r="K1401" s="21">
        <v>55.0</v>
      </c>
    </row>
    <row r="1402">
      <c r="A1402" s="15" t="s">
        <v>74</v>
      </c>
      <c r="B1402" s="16" t="s">
        <v>220</v>
      </c>
      <c r="C1402" s="17" t="s">
        <v>221</v>
      </c>
      <c r="D1402" s="18">
        <v>2.0</v>
      </c>
      <c r="E1402" s="17" t="s">
        <v>79</v>
      </c>
      <c r="F1402" s="15" t="s">
        <v>80</v>
      </c>
      <c r="G1402" s="19">
        <v>9.0043001E7</v>
      </c>
      <c r="H1402" s="15" t="s">
        <v>18</v>
      </c>
      <c r="I1402" s="20" t="s">
        <v>19</v>
      </c>
      <c r="J1402" s="21">
        <v>1.507484E7</v>
      </c>
      <c r="K1402" s="21">
        <v>88.0</v>
      </c>
    </row>
    <row r="1403">
      <c r="A1403" s="15" t="s">
        <v>74</v>
      </c>
      <c r="B1403" s="16" t="s">
        <v>220</v>
      </c>
      <c r="C1403" s="17" t="s">
        <v>221</v>
      </c>
      <c r="D1403" s="18">
        <v>2.0</v>
      </c>
      <c r="E1403" s="17" t="s">
        <v>81</v>
      </c>
      <c r="F1403" s="15" t="s">
        <v>82</v>
      </c>
      <c r="G1403" s="19">
        <v>9.0043001E7</v>
      </c>
      <c r="H1403" s="15" t="s">
        <v>18</v>
      </c>
      <c r="I1403" s="20" t="s">
        <v>19</v>
      </c>
      <c r="J1403" s="21">
        <v>2.6150347E7</v>
      </c>
      <c r="K1403" s="21">
        <v>148.0</v>
      </c>
    </row>
    <row r="1404">
      <c r="A1404" s="15" t="s">
        <v>74</v>
      </c>
      <c r="B1404" s="16" t="s">
        <v>220</v>
      </c>
      <c r="C1404" s="17" t="s">
        <v>221</v>
      </c>
      <c r="D1404" s="18">
        <v>2.0</v>
      </c>
      <c r="E1404" s="17" t="s">
        <v>84</v>
      </c>
      <c r="F1404" s="15" t="s">
        <v>85</v>
      </c>
      <c r="G1404" s="19">
        <v>9.0043001E7</v>
      </c>
      <c r="H1404" s="15" t="s">
        <v>18</v>
      </c>
      <c r="I1404" s="20" t="s">
        <v>19</v>
      </c>
      <c r="J1404" s="21">
        <v>1.3380223E7</v>
      </c>
      <c r="K1404" s="21">
        <v>64.0</v>
      </c>
    </row>
    <row r="1405">
      <c r="A1405" s="15" t="s">
        <v>74</v>
      </c>
      <c r="B1405" s="16" t="s">
        <v>220</v>
      </c>
      <c r="C1405" s="17" t="s">
        <v>221</v>
      </c>
      <c r="D1405" s="18">
        <v>2.0</v>
      </c>
      <c r="E1405" s="17" t="s">
        <v>86</v>
      </c>
      <c r="F1405" s="15" t="s">
        <v>87</v>
      </c>
      <c r="G1405" s="19">
        <v>9.0043001E7</v>
      </c>
      <c r="H1405" s="15" t="s">
        <v>18</v>
      </c>
      <c r="I1405" s="20" t="s">
        <v>19</v>
      </c>
      <c r="J1405" s="21">
        <v>6858058.0</v>
      </c>
      <c r="K1405" s="21">
        <v>38.0</v>
      </c>
    </row>
    <row r="1406">
      <c r="A1406" s="15" t="s">
        <v>74</v>
      </c>
      <c r="B1406" s="16" t="s">
        <v>220</v>
      </c>
      <c r="C1406" s="17" t="s">
        <v>221</v>
      </c>
      <c r="D1406" s="18">
        <v>2.0</v>
      </c>
      <c r="E1406" s="17" t="s">
        <v>91</v>
      </c>
      <c r="F1406" s="15" t="s">
        <v>92</v>
      </c>
      <c r="G1406" s="19">
        <v>9.0043001E7</v>
      </c>
      <c r="H1406" s="15" t="s">
        <v>18</v>
      </c>
      <c r="I1406" s="20" t="s">
        <v>19</v>
      </c>
      <c r="J1406" s="21">
        <v>1.1539522E7</v>
      </c>
      <c r="K1406" s="21">
        <v>63.0</v>
      </c>
    </row>
    <row r="1407">
      <c r="A1407" s="15" t="s">
        <v>74</v>
      </c>
      <c r="B1407" s="16" t="s">
        <v>220</v>
      </c>
      <c r="C1407" s="17" t="s">
        <v>221</v>
      </c>
      <c r="D1407" s="18">
        <v>2.0</v>
      </c>
      <c r="E1407" s="17" t="s">
        <v>95</v>
      </c>
      <c r="F1407" s="15" t="s">
        <v>96</v>
      </c>
      <c r="G1407" s="19">
        <v>5.1100058E7</v>
      </c>
      <c r="H1407" s="15" t="s">
        <v>36</v>
      </c>
      <c r="I1407" s="20" t="s">
        <v>37</v>
      </c>
      <c r="J1407" s="21">
        <v>3.3335739E7</v>
      </c>
      <c r="K1407" s="21">
        <v>512.21</v>
      </c>
    </row>
    <row r="1408">
      <c r="A1408" s="15" t="s">
        <v>74</v>
      </c>
      <c r="B1408" s="16" t="s">
        <v>220</v>
      </c>
      <c r="C1408" s="17" t="s">
        <v>221</v>
      </c>
      <c r="D1408" s="18">
        <v>2.0</v>
      </c>
      <c r="E1408" s="17" t="s">
        <v>95</v>
      </c>
      <c r="F1408" s="15" t="s">
        <v>96</v>
      </c>
      <c r="G1408" s="19">
        <v>9.0043001E7</v>
      </c>
      <c r="H1408" s="15" t="s">
        <v>18</v>
      </c>
      <c r="I1408" s="20" t="s">
        <v>19</v>
      </c>
      <c r="J1408" s="21">
        <v>2.2865988E7</v>
      </c>
      <c r="K1408" s="21">
        <v>126.0</v>
      </c>
    </row>
    <row r="1409">
      <c r="A1409" s="15" t="s">
        <v>74</v>
      </c>
      <c r="B1409" s="16" t="s">
        <v>220</v>
      </c>
      <c r="C1409" s="17" t="s">
        <v>221</v>
      </c>
      <c r="D1409" s="18">
        <v>2.0</v>
      </c>
      <c r="E1409" s="17" t="s">
        <v>95</v>
      </c>
      <c r="F1409" s="15" t="s">
        <v>96</v>
      </c>
      <c r="G1409" s="19">
        <v>5.1100774E7</v>
      </c>
      <c r="H1409" s="15" t="s">
        <v>39</v>
      </c>
      <c r="I1409" s="20" t="s">
        <v>17</v>
      </c>
      <c r="J1409" s="21">
        <v>3.3723275E7</v>
      </c>
      <c r="K1409" s="21">
        <v>498.57</v>
      </c>
    </row>
    <row r="1410">
      <c r="A1410" s="15" t="s">
        <v>74</v>
      </c>
      <c r="B1410" s="16" t="s">
        <v>220</v>
      </c>
      <c r="C1410" s="17" t="s">
        <v>221</v>
      </c>
      <c r="D1410" s="18">
        <v>2.0</v>
      </c>
      <c r="E1410" s="17" t="s">
        <v>99</v>
      </c>
      <c r="F1410" s="15" t="s">
        <v>100</v>
      </c>
      <c r="G1410" s="19">
        <v>9.0043001E7</v>
      </c>
      <c r="H1410" s="15" t="s">
        <v>18</v>
      </c>
      <c r="I1410" s="20" t="s">
        <v>19</v>
      </c>
      <c r="J1410" s="21">
        <v>2.2440955E7</v>
      </c>
      <c r="K1410" s="21">
        <v>131.0</v>
      </c>
    </row>
    <row r="1411">
      <c r="A1411" s="15" t="s">
        <v>74</v>
      </c>
      <c r="B1411" s="16" t="s">
        <v>220</v>
      </c>
      <c r="C1411" s="17" t="s">
        <v>221</v>
      </c>
      <c r="D1411" s="18">
        <v>2.0</v>
      </c>
      <c r="E1411" s="17" t="s">
        <v>101</v>
      </c>
      <c r="F1411" s="15" t="s">
        <v>102</v>
      </c>
      <c r="G1411" s="19">
        <v>9.0043001E7</v>
      </c>
      <c r="H1411" s="15" t="s">
        <v>18</v>
      </c>
      <c r="I1411" s="20" t="s">
        <v>19</v>
      </c>
      <c r="J1411" s="21">
        <v>2.1402929E7</v>
      </c>
      <c r="K1411" s="21">
        <v>127.0</v>
      </c>
    </row>
    <row r="1412">
      <c r="A1412" s="15" t="s">
        <v>74</v>
      </c>
      <c r="B1412" s="16" t="s">
        <v>220</v>
      </c>
      <c r="C1412" s="17" t="s">
        <v>221</v>
      </c>
      <c r="D1412" s="18">
        <v>2.0</v>
      </c>
      <c r="E1412" s="17" t="s">
        <v>101</v>
      </c>
      <c r="F1412" s="15" t="s">
        <v>102</v>
      </c>
      <c r="G1412" s="19">
        <v>5.1100774E7</v>
      </c>
      <c r="H1412" s="15" t="s">
        <v>39</v>
      </c>
      <c r="I1412" s="20" t="s">
        <v>17</v>
      </c>
      <c r="J1412" s="21">
        <v>5.41122E7</v>
      </c>
      <c r="K1412" s="21">
        <v>200.0</v>
      </c>
    </row>
    <row r="1413">
      <c r="A1413" s="15" t="s">
        <v>74</v>
      </c>
      <c r="B1413" s="16" t="s">
        <v>220</v>
      </c>
      <c r="C1413" s="17" t="s">
        <v>221</v>
      </c>
      <c r="D1413" s="18">
        <v>2.0</v>
      </c>
      <c r="E1413" s="17" t="s">
        <v>103</v>
      </c>
      <c r="F1413" s="15" t="s">
        <v>104</v>
      </c>
      <c r="G1413" s="19">
        <v>5.1100058E7</v>
      </c>
      <c r="H1413" s="15" t="s">
        <v>36</v>
      </c>
      <c r="I1413" s="20" t="s">
        <v>37</v>
      </c>
      <c r="J1413" s="21">
        <v>5.0768135E7</v>
      </c>
      <c r="K1413" s="21">
        <v>683.42</v>
      </c>
    </row>
    <row r="1414">
      <c r="A1414" s="15" t="s">
        <v>74</v>
      </c>
      <c r="B1414" s="16" t="s">
        <v>220</v>
      </c>
      <c r="C1414" s="17" t="s">
        <v>221</v>
      </c>
      <c r="D1414" s="18">
        <v>2.0</v>
      </c>
      <c r="E1414" s="17" t="s">
        <v>103</v>
      </c>
      <c r="F1414" s="15" t="s">
        <v>104</v>
      </c>
      <c r="G1414" s="19">
        <v>9.0043002E7</v>
      </c>
      <c r="H1414" s="15" t="s">
        <v>49</v>
      </c>
      <c r="I1414" s="20" t="s">
        <v>50</v>
      </c>
      <c r="J1414" s="21">
        <v>4829611.0</v>
      </c>
      <c r="K1414" s="21">
        <v>139.0</v>
      </c>
    </row>
    <row r="1415">
      <c r="A1415" s="15" t="s">
        <v>74</v>
      </c>
      <c r="B1415" s="16" t="s">
        <v>220</v>
      </c>
      <c r="C1415" s="17" t="s">
        <v>221</v>
      </c>
      <c r="D1415" s="18">
        <v>2.0</v>
      </c>
      <c r="E1415" s="17" t="s">
        <v>103</v>
      </c>
      <c r="F1415" s="15" t="s">
        <v>104</v>
      </c>
      <c r="G1415" s="19">
        <v>5.1100774E7</v>
      </c>
      <c r="H1415" s="15" t="s">
        <v>39</v>
      </c>
      <c r="I1415" s="20" t="s">
        <v>17</v>
      </c>
      <c r="J1415" s="21">
        <v>6.6693287E7</v>
      </c>
      <c r="K1415" s="21">
        <v>246.5</v>
      </c>
    </row>
    <row r="1416">
      <c r="A1416" s="15" t="s">
        <v>74</v>
      </c>
      <c r="B1416" s="16" t="s">
        <v>220</v>
      </c>
      <c r="C1416" s="17" t="s">
        <v>221</v>
      </c>
      <c r="D1416" s="18">
        <v>2.0</v>
      </c>
      <c r="E1416" s="17" t="s">
        <v>108</v>
      </c>
      <c r="F1416" s="15" t="s">
        <v>109</v>
      </c>
      <c r="G1416" s="19">
        <v>5.1100058E7</v>
      </c>
      <c r="H1416" s="15" t="s">
        <v>36</v>
      </c>
      <c r="I1416" s="20" t="s">
        <v>37</v>
      </c>
      <c r="J1416" s="21">
        <v>3345063.0</v>
      </c>
      <c r="K1416" s="21">
        <v>41.17</v>
      </c>
    </row>
    <row r="1417">
      <c r="A1417" s="15" t="s">
        <v>74</v>
      </c>
      <c r="B1417" s="16" t="s">
        <v>220</v>
      </c>
      <c r="C1417" s="17" t="s">
        <v>221</v>
      </c>
      <c r="D1417" s="18">
        <v>2.0</v>
      </c>
      <c r="E1417" s="17" t="s">
        <v>108</v>
      </c>
      <c r="F1417" s="15" t="s">
        <v>109</v>
      </c>
      <c r="G1417" s="19">
        <v>9.0043001E7</v>
      </c>
      <c r="H1417" s="15" t="s">
        <v>18</v>
      </c>
      <c r="I1417" s="20" t="s">
        <v>19</v>
      </c>
      <c r="J1417" s="21">
        <v>1.1528654E7</v>
      </c>
      <c r="K1417" s="21">
        <v>54.0</v>
      </c>
    </row>
    <row r="1418">
      <c r="A1418" s="15" t="s">
        <v>74</v>
      </c>
      <c r="B1418" s="16" t="s">
        <v>220</v>
      </c>
      <c r="C1418" s="17" t="s">
        <v>221</v>
      </c>
      <c r="D1418" s="18">
        <v>2.0</v>
      </c>
      <c r="E1418" s="17" t="s">
        <v>229</v>
      </c>
      <c r="F1418" s="15" t="s">
        <v>230</v>
      </c>
      <c r="G1418" s="19">
        <v>5.1100061E7</v>
      </c>
      <c r="H1418" s="15" t="s">
        <v>42</v>
      </c>
      <c r="I1418" s="20" t="s">
        <v>37</v>
      </c>
      <c r="J1418" s="21">
        <v>4967392.0</v>
      </c>
      <c r="K1418" s="21">
        <v>33.15</v>
      </c>
    </row>
    <row r="1419">
      <c r="A1419" s="15" t="s">
        <v>74</v>
      </c>
      <c r="B1419" s="16" t="s">
        <v>220</v>
      </c>
      <c r="C1419" s="17" t="s">
        <v>221</v>
      </c>
      <c r="D1419" s="18">
        <v>2.0</v>
      </c>
      <c r="E1419" s="17" t="s">
        <v>229</v>
      </c>
      <c r="F1419" s="15" t="s">
        <v>230</v>
      </c>
      <c r="G1419" s="19">
        <v>9.0043001E7</v>
      </c>
      <c r="H1419" s="15" t="s">
        <v>18</v>
      </c>
      <c r="I1419" s="20" t="s">
        <v>19</v>
      </c>
      <c r="J1419" s="21">
        <v>1.2612917E7</v>
      </c>
      <c r="K1419" s="21">
        <v>72.0</v>
      </c>
    </row>
    <row r="1420">
      <c r="A1420" s="15" t="s">
        <v>74</v>
      </c>
      <c r="B1420" s="16" t="s">
        <v>220</v>
      </c>
      <c r="C1420" s="17" t="s">
        <v>221</v>
      </c>
      <c r="D1420" s="18">
        <v>2.0</v>
      </c>
      <c r="E1420" s="17" t="s">
        <v>158</v>
      </c>
      <c r="F1420" s="15" t="s">
        <v>159</v>
      </c>
      <c r="G1420" s="19">
        <v>9.0043001E7</v>
      </c>
      <c r="H1420" s="15" t="s">
        <v>18</v>
      </c>
      <c r="I1420" s="20" t="s">
        <v>19</v>
      </c>
      <c r="J1420" s="21">
        <v>9136184.0</v>
      </c>
      <c r="K1420" s="21">
        <v>43.7</v>
      </c>
    </row>
    <row r="1421">
      <c r="A1421" s="15" t="s">
        <v>74</v>
      </c>
      <c r="B1421" s="16" t="s">
        <v>220</v>
      </c>
      <c r="C1421" s="17" t="s">
        <v>221</v>
      </c>
      <c r="D1421" s="18">
        <v>2.0</v>
      </c>
      <c r="E1421" s="17" t="s">
        <v>175</v>
      </c>
      <c r="F1421" s="15" t="s">
        <v>176</v>
      </c>
      <c r="G1421" s="19">
        <v>9.0043002E7</v>
      </c>
      <c r="H1421" s="15" t="s">
        <v>49</v>
      </c>
      <c r="I1421" s="20" t="s">
        <v>50</v>
      </c>
      <c r="J1421" s="21">
        <v>4063180.0</v>
      </c>
      <c r="K1421" s="21">
        <v>200.0</v>
      </c>
    </row>
    <row r="1422">
      <c r="A1422" s="15" t="s">
        <v>74</v>
      </c>
      <c r="B1422" s="16" t="s">
        <v>220</v>
      </c>
      <c r="C1422" s="17" t="s">
        <v>221</v>
      </c>
      <c r="D1422" s="18">
        <v>2.0</v>
      </c>
      <c r="E1422" s="17" t="s">
        <v>175</v>
      </c>
      <c r="F1422" s="15" t="s">
        <v>176</v>
      </c>
      <c r="G1422" s="19">
        <v>5.1100774E7</v>
      </c>
      <c r="H1422" s="15" t="s">
        <v>39</v>
      </c>
      <c r="I1422" s="20" t="s">
        <v>17</v>
      </c>
      <c r="J1422" s="21">
        <v>1.381828E7</v>
      </c>
      <c r="K1422" s="21">
        <v>168728.0</v>
      </c>
    </row>
    <row r="1423">
      <c r="A1423" s="15" t="s">
        <v>74</v>
      </c>
      <c r="B1423" s="16" t="s">
        <v>220</v>
      </c>
      <c r="C1423" s="17" t="s">
        <v>221</v>
      </c>
      <c r="D1423" s="18">
        <v>2.0</v>
      </c>
      <c r="E1423" s="17" t="s">
        <v>117</v>
      </c>
      <c r="F1423" s="15" t="s">
        <v>118</v>
      </c>
      <c r="G1423" s="19">
        <v>5.1100058E7</v>
      </c>
      <c r="H1423" s="15" t="s">
        <v>36</v>
      </c>
      <c r="I1423" s="20" t="s">
        <v>37</v>
      </c>
      <c r="J1423" s="21">
        <v>1.68426663E8</v>
      </c>
      <c r="K1423" s="21">
        <v>133239.5</v>
      </c>
    </row>
    <row r="1424">
      <c r="A1424" s="15" t="s">
        <v>74</v>
      </c>
      <c r="B1424" s="16" t="s">
        <v>220</v>
      </c>
      <c r="C1424" s="17" t="s">
        <v>221</v>
      </c>
      <c r="D1424" s="18">
        <v>2.0</v>
      </c>
      <c r="E1424" s="17" t="s">
        <v>117</v>
      </c>
      <c r="F1424" s="15" t="s">
        <v>118</v>
      </c>
      <c r="G1424" s="19">
        <v>5.1100774E7</v>
      </c>
      <c r="H1424" s="15" t="s">
        <v>39</v>
      </c>
      <c r="I1424" s="20" t="s">
        <v>17</v>
      </c>
      <c r="J1424" s="21">
        <v>5.3503438E7</v>
      </c>
      <c r="K1424" s="21">
        <v>791.0</v>
      </c>
    </row>
    <row r="1425">
      <c r="A1425" s="15" t="s">
        <v>74</v>
      </c>
      <c r="B1425" s="16" t="s">
        <v>220</v>
      </c>
      <c r="C1425" s="17" t="s">
        <v>221</v>
      </c>
      <c r="D1425" s="18">
        <v>2.0</v>
      </c>
      <c r="E1425" s="17" t="s">
        <v>123</v>
      </c>
      <c r="F1425" s="15" t="s">
        <v>124</v>
      </c>
      <c r="G1425" s="19">
        <v>5.1100774E7</v>
      </c>
      <c r="H1425" s="15" t="s">
        <v>39</v>
      </c>
      <c r="I1425" s="20" t="s">
        <v>17</v>
      </c>
      <c r="J1425" s="21">
        <v>1.3341375E8</v>
      </c>
      <c r="K1425" s="21">
        <v>35577.0</v>
      </c>
    </row>
    <row r="1426">
      <c r="A1426" s="15" t="s">
        <v>74</v>
      </c>
      <c r="B1426" s="16" t="s">
        <v>220</v>
      </c>
      <c r="C1426" s="17" t="s">
        <v>221</v>
      </c>
      <c r="D1426" s="18">
        <v>2.0</v>
      </c>
      <c r="E1426" s="17" t="s">
        <v>160</v>
      </c>
      <c r="F1426" s="15" t="s">
        <v>161</v>
      </c>
      <c r="G1426" s="19">
        <v>9.0043001E7</v>
      </c>
      <c r="H1426" s="15" t="s">
        <v>18</v>
      </c>
      <c r="I1426" s="20" t="s">
        <v>19</v>
      </c>
      <c r="J1426" s="21">
        <v>1.3019703E7</v>
      </c>
      <c r="K1426" s="21">
        <v>77.0</v>
      </c>
    </row>
    <row r="1427">
      <c r="A1427" s="15" t="s">
        <v>74</v>
      </c>
      <c r="B1427" s="16" t="s">
        <v>220</v>
      </c>
      <c r="C1427" s="17" t="s">
        <v>221</v>
      </c>
      <c r="D1427" s="18">
        <v>2.0</v>
      </c>
      <c r="E1427" s="17" t="s">
        <v>125</v>
      </c>
      <c r="F1427" s="15" t="s">
        <v>126</v>
      </c>
      <c r="G1427" s="19">
        <v>5.1101056E7</v>
      </c>
      <c r="H1427" s="15" t="s">
        <v>16</v>
      </c>
      <c r="I1427" s="20" t="s">
        <v>17</v>
      </c>
      <c r="J1427" s="21">
        <v>7.20121E7</v>
      </c>
      <c r="K1427" s="21">
        <v>465043.0</v>
      </c>
    </row>
    <row r="1428">
      <c r="A1428" s="15" t="s">
        <v>74</v>
      </c>
      <c r="B1428" s="16" t="s">
        <v>220</v>
      </c>
      <c r="C1428" s="17" t="s">
        <v>221</v>
      </c>
      <c r="D1428" s="18">
        <v>2.0</v>
      </c>
      <c r="E1428" s="17" t="s">
        <v>127</v>
      </c>
      <c r="F1428" s="15" t="s">
        <v>128</v>
      </c>
      <c r="G1428" s="19">
        <v>5.1100153E7</v>
      </c>
      <c r="H1428" s="15" t="s">
        <v>72</v>
      </c>
      <c r="I1428" s="20" t="s">
        <v>17</v>
      </c>
      <c r="J1428" s="21">
        <v>3.61459E8</v>
      </c>
      <c r="K1428" s="21">
        <v>1300830.0</v>
      </c>
    </row>
    <row r="1429">
      <c r="A1429" s="15" t="s">
        <v>74</v>
      </c>
      <c r="B1429" s="16" t="s">
        <v>220</v>
      </c>
      <c r="C1429" s="17" t="s">
        <v>221</v>
      </c>
      <c r="D1429" s="18">
        <v>2.0</v>
      </c>
      <c r="E1429" s="17" t="s">
        <v>129</v>
      </c>
      <c r="F1429" s="15" t="s">
        <v>130</v>
      </c>
      <c r="G1429" s="19">
        <v>5.1100153E7</v>
      </c>
      <c r="H1429" s="15" t="s">
        <v>72</v>
      </c>
      <c r="I1429" s="20" t="s">
        <v>25</v>
      </c>
      <c r="J1429" s="21">
        <v>0.0</v>
      </c>
      <c r="K1429" s="21">
        <v>0.0</v>
      </c>
    </row>
    <row r="1430">
      <c r="A1430" s="15" t="s">
        <v>74</v>
      </c>
      <c r="B1430" s="16" t="s">
        <v>220</v>
      </c>
      <c r="C1430" s="17" t="s">
        <v>221</v>
      </c>
      <c r="D1430" s="18">
        <v>2.0</v>
      </c>
      <c r="E1430" s="17" t="s">
        <v>129</v>
      </c>
      <c r="F1430" s="15" t="s">
        <v>130</v>
      </c>
      <c r="G1430" s="19">
        <v>5.1101056E7</v>
      </c>
      <c r="H1430" s="15" t="s">
        <v>16</v>
      </c>
      <c r="I1430" s="20" t="s">
        <v>17</v>
      </c>
      <c r="J1430" s="21">
        <v>3.8860215E7</v>
      </c>
      <c r="K1430" s="21">
        <v>914358.0</v>
      </c>
    </row>
    <row r="1431">
      <c r="A1431" s="15" t="s">
        <v>74</v>
      </c>
      <c r="B1431" s="16" t="s">
        <v>220</v>
      </c>
      <c r="C1431" s="17" t="s">
        <v>221</v>
      </c>
      <c r="D1431" s="18">
        <v>2.0</v>
      </c>
      <c r="E1431" s="17" t="s">
        <v>135</v>
      </c>
      <c r="F1431" s="15" t="s">
        <v>136</v>
      </c>
      <c r="G1431" s="19">
        <v>9.0043001E7</v>
      </c>
      <c r="H1431" s="15" t="s">
        <v>18</v>
      </c>
      <c r="I1431" s="20" t="s">
        <v>19</v>
      </c>
      <c r="J1431" s="21">
        <v>1.88151774E8</v>
      </c>
      <c r="K1431" s="21">
        <v>1026.0</v>
      </c>
    </row>
    <row r="1432">
      <c r="A1432" s="15" t="s">
        <v>74</v>
      </c>
      <c r="B1432" s="16" t="s">
        <v>220</v>
      </c>
      <c r="C1432" s="17" t="s">
        <v>221</v>
      </c>
      <c r="D1432" s="18">
        <v>2.0</v>
      </c>
      <c r="E1432" s="17" t="s">
        <v>54</v>
      </c>
      <c r="F1432" s="15" t="s">
        <v>139</v>
      </c>
      <c r="G1432" s="19">
        <v>9.0042011E7</v>
      </c>
      <c r="H1432" s="15" t="s">
        <v>55</v>
      </c>
      <c r="I1432" s="20" t="s">
        <v>19</v>
      </c>
      <c r="J1432" s="21">
        <v>2.02812476E8</v>
      </c>
      <c r="K1432" s="21">
        <v>0.0</v>
      </c>
    </row>
    <row r="1433">
      <c r="A1433" s="15" t="s">
        <v>74</v>
      </c>
      <c r="B1433" s="16" t="s">
        <v>220</v>
      </c>
      <c r="C1433" s="17" t="s">
        <v>221</v>
      </c>
      <c r="D1433" s="18">
        <v>2.0</v>
      </c>
      <c r="E1433" s="17" t="s">
        <v>20</v>
      </c>
      <c r="F1433" s="15" t="s">
        <v>140</v>
      </c>
      <c r="G1433" s="19">
        <v>9.0042014E7</v>
      </c>
      <c r="H1433" s="15" t="s">
        <v>21</v>
      </c>
      <c r="I1433" s="20" t="s">
        <v>19</v>
      </c>
      <c r="J1433" s="21">
        <v>2.30901305E8</v>
      </c>
      <c r="K1433" s="21">
        <v>0.0</v>
      </c>
    </row>
    <row r="1434">
      <c r="A1434" s="15" t="s">
        <v>74</v>
      </c>
      <c r="B1434" s="16" t="s">
        <v>220</v>
      </c>
      <c r="C1434" s="17" t="s">
        <v>221</v>
      </c>
      <c r="D1434" s="18">
        <v>2.0</v>
      </c>
      <c r="E1434" s="17" t="s">
        <v>22</v>
      </c>
      <c r="F1434" s="15" t="s">
        <v>146</v>
      </c>
      <c r="G1434" s="19">
        <v>9.0042012E7</v>
      </c>
      <c r="H1434" s="15" t="s">
        <v>23</v>
      </c>
      <c r="I1434" s="20" t="s">
        <v>19</v>
      </c>
      <c r="J1434" s="21">
        <v>1.74748557E8</v>
      </c>
      <c r="K1434" s="21">
        <v>0.0</v>
      </c>
    </row>
    <row r="1435">
      <c r="A1435" s="15" t="s">
        <v>74</v>
      </c>
      <c r="B1435" s="16" t="s">
        <v>220</v>
      </c>
      <c r="C1435" s="17" t="s">
        <v>221</v>
      </c>
      <c r="D1435" s="18">
        <v>2.0</v>
      </c>
      <c r="E1435" s="17" t="s">
        <v>22</v>
      </c>
      <c r="F1435" s="15" t="s">
        <v>146</v>
      </c>
      <c r="G1435" s="19">
        <v>9.0042121E7</v>
      </c>
      <c r="H1435" s="15" t="s">
        <v>24</v>
      </c>
      <c r="I1435" s="20" t="s">
        <v>25</v>
      </c>
      <c r="J1435" s="21">
        <v>3.5235341E7</v>
      </c>
      <c r="K1435" s="21">
        <v>0.0</v>
      </c>
    </row>
    <row r="1436">
      <c r="A1436" s="15" t="s">
        <v>74</v>
      </c>
      <c r="B1436" s="16" t="s">
        <v>220</v>
      </c>
      <c r="C1436" s="17" t="s">
        <v>221</v>
      </c>
      <c r="D1436" s="18">
        <v>2.0</v>
      </c>
      <c r="E1436" s="17" t="s">
        <v>22</v>
      </c>
      <c r="F1436" s="15" t="s">
        <v>146</v>
      </c>
      <c r="G1436" s="19">
        <v>9.0042122E7</v>
      </c>
      <c r="H1436" s="15" t="s">
        <v>56</v>
      </c>
      <c r="I1436" s="20" t="s">
        <v>25</v>
      </c>
      <c r="J1436" s="21">
        <v>1.7264768E7</v>
      </c>
      <c r="K1436" s="21">
        <v>0.0</v>
      </c>
    </row>
    <row r="1437">
      <c r="A1437" s="15" t="s">
        <v>74</v>
      </c>
      <c r="B1437" s="16" t="s">
        <v>220</v>
      </c>
      <c r="C1437" s="17" t="s">
        <v>221</v>
      </c>
      <c r="D1437" s="18">
        <v>2.0</v>
      </c>
      <c r="E1437" s="17" t="s">
        <v>22</v>
      </c>
      <c r="F1437" s="15" t="s">
        <v>146</v>
      </c>
      <c r="G1437" s="19">
        <v>9.0042125E7</v>
      </c>
      <c r="H1437" s="15" t="s">
        <v>26</v>
      </c>
      <c r="I1437" s="20" t="s">
        <v>25</v>
      </c>
      <c r="J1437" s="21">
        <v>5.8977789E7</v>
      </c>
      <c r="K1437" s="21">
        <v>0.0</v>
      </c>
    </row>
    <row r="1438">
      <c r="A1438" s="15" t="s">
        <v>74</v>
      </c>
      <c r="B1438" s="16" t="s">
        <v>220</v>
      </c>
      <c r="C1438" s="17" t="s">
        <v>221</v>
      </c>
      <c r="D1438" s="18">
        <v>2.0</v>
      </c>
      <c r="E1438" s="17" t="s">
        <v>22</v>
      </c>
      <c r="F1438" s="15" t="s">
        <v>146</v>
      </c>
      <c r="G1438" s="19">
        <v>9.0042127E7</v>
      </c>
      <c r="H1438" s="15" t="s">
        <v>27</v>
      </c>
      <c r="I1438" s="20" t="s">
        <v>25</v>
      </c>
      <c r="J1438" s="21">
        <v>4004390.0</v>
      </c>
      <c r="K1438" s="21">
        <v>0.0</v>
      </c>
    </row>
    <row r="1439">
      <c r="A1439" s="15" t="s">
        <v>74</v>
      </c>
      <c r="B1439" s="16" t="s">
        <v>220</v>
      </c>
      <c r="C1439" s="17" t="s">
        <v>221</v>
      </c>
      <c r="D1439" s="18">
        <v>2.0</v>
      </c>
      <c r="E1439" s="17" t="s">
        <v>22</v>
      </c>
      <c r="F1439" s="15" t="s">
        <v>146</v>
      </c>
      <c r="G1439" s="19">
        <v>9.0042128E7</v>
      </c>
      <c r="H1439" s="15" t="s">
        <v>58</v>
      </c>
      <c r="I1439" s="20" t="s">
        <v>25</v>
      </c>
      <c r="J1439" s="21">
        <v>1969986.0</v>
      </c>
      <c r="K1439" s="21">
        <v>0.0</v>
      </c>
    </row>
    <row r="1440">
      <c r="A1440" s="15" t="s">
        <v>74</v>
      </c>
      <c r="B1440" s="16" t="s">
        <v>220</v>
      </c>
      <c r="C1440" s="17" t="s">
        <v>221</v>
      </c>
      <c r="D1440" s="18">
        <v>2.0</v>
      </c>
      <c r="E1440" s="17" t="s">
        <v>22</v>
      </c>
      <c r="F1440" s="15" t="s">
        <v>146</v>
      </c>
      <c r="G1440" s="19">
        <v>9.0042132E7</v>
      </c>
      <c r="H1440" s="15" t="s">
        <v>28</v>
      </c>
      <c r="I1440" s="20" t="s">
        <v>25</v>
      </c>
      <c r="J1440" s="21">
        <v>5034960.0</v>
      </c>
      <c r="K1440" s="21">
        <v>0.0</v>
      </c>
    </row>
    <row r="1441">
      <c r="A1441" s="15" t="s">
        <v>74</v>
      </c>
      <c r="B1441" s="16" t="s">
        <v>220</v>
      </c>
      <c r="C1441" s="17" t="s">
        <v>221</v>
      </c>
      <c r="D1441" s="18">
        <v>2.0</v>
      </c>
      <c r="E1441" s="17" t="s">
        <v>22</v>
      </c>
      <c r="F1441" s="15" t="s">
        <v>146</v>
      </c>
      <c r="G1441" s="19">
        <v>9.0042135E7</v>
      </c>
      <c r="H1441" s="15" t="s">
        <v>30</v>
      </c>
      <c r="I1441" s="20" t="s">
        <v>25</v>
      </c>
      <c r="J1441" s="21">
        <v>1.51886112E8</v>
      </c>
      <c r="K1441" s="21">
        <v>0.0</v>
      </c>
    </row>
    <row r="1442">
      <c r="A1442" s="15" t="s">
        <v>74</v>
      </c>
      <c r="B1442" s="16" t="s">
        <v>220</v>
      </c>
      <c r="C1442" s="17" t="s">
        <v>221</v>
      </c>
      <c r="D1442" s="18">
        <v>2.0</v>
      </c>
      <c r="E1442" s="17" t="s">
        <v>22</v>
      </c>
      <c r="F1442" s="15" t="s">
        <v>146</v>
      </c>
      <c r="G1442" s="19">
        <v>9.00422E7</v>
      </c>
      <c r="H1442" s="15" t="s">
        <v>73</v>
      </c>
      <c r="I1442" s="20" t="s">
        <v>60</v>
      </c>
      <c r="J1442" s="21">
        <v>3.95164778E8</v>
      </c>
      <c r="K1442" s="21">
        <v>0.0</v>
      </c>
    </row>
    <row r="1443">
      <c r="A1443" s="15" t="s">
        <v>74</v>
      </c>
      <c r="B1443" s="16" t="s">
        <v>220</v>
      </c>
      <c r="C1443" s="17" t="s">
        <v>221</v>
      </c>
      <c r="D1443" s="18">
        <v>2.0</v>
      </c>
      <c r="E1443" s="17" t="s">
        <v>22</v>
      </c>
      <c r="F1443" s="15" t="s">
        <v>146</v>
      </c>
      <c r="G1443" s="19">
        <v>9.0042223E7</v>
      </c>
      <c r="H1443" s="15" t="s">
        <v>61</v>
      </c>
      <c r="I1443" s="20" t="s">
        <v>60</v>
      </c>
      <c r="J1443" s="21">
        <v>3019927.0</v>
      </c>
      <c r="K1443" s="21">
        <v>0.0</v>
      </c>
    </row>
    <row r="1444">
      <c r="A1444" s="15" t="s">
        <v>74</v>
      </c>
      <c r="B1444" s="16" t="s">
        <v>220</v>
      </c>
      <c r="C1444" s="17" t="s">
        <v>221</v>
      </c>
      <c r="D1444" s="18">
        <v>2.0</v>
      </c>
      <c r="E1444" s="17" t="s">
        <v>22</v>
      </c>
      <c r="F1444" s="15" t="s">
        <v>146</v>
      </c>
      <c r="G1444" s="19">
        <v>9.0042226E7</v>
      </c>
      <c r="H1444" s="15" t="s">
        <v>63</v>
      </c>
      <c r="I1444" s="20" t="s">
        <v>60</v>
      </c>
      <c r="J1444" s="21">
        <v>1025043.0</v>
      </c>
      <c r="K1444" s="21">
        <v>0.0</v>
      </c>
    </row>
    <row r="1445">
      <c r="A1445" s="15" t="s">
        <v>74</v>
      </c>
      <c r="B1445" s="16" t="s">
        <v>220</v>
      </c>
      <c r="C1445" s="17" t="s">
        <v>221</v>
      </c>
      <c r="D1445" s="18">
        <v>2.0</v>
      </c>
      <c r="E1445" s="17" t="s">
        <v>22</v>
      </c>
      <c r="F1445" s="15" t="s">
        <v>146</v>
      </c>
      <c r="G1445" s="19">
        <v>9.0042228E7</v>
      </c>
      <c r="H1445" s="15" t="s">
        <v>64</v>
      </c>
      <c r="I1445" s="20" t="s">
        <v>60</v>
      </c>
      <c r="J1445" s="21">
        <v>3.8673808E7</v>
      </c>
      <c r="K1445" s="21">
        <v>0.0</v>
      </c>
    </row>
    <row r="1446">
      <c r="A1446" s="15" t="s">
        <v>74</v>
      </c>
      <c r="B1446" s="16" t="s">
        <v>220</v>
      </c>
      <c r="C1446" s="17" t="s">
        <v>221</v>
      </c>
      <c r="D1446" s="18">
        <v>2.0</v>
      </c>
      <c r="E1446" s="17" t="s">
        <v>22</v>
      </c>
      <c r="F1446" s="15" t="s">
        <v>146</v>
      </c>
      <c r="G1446" s="19">
        <v>9.0042231E7</v>
      </c>
      <c r="H1446" s="15" t="s">
        <v>65</v>
      </c>
      <c r="I1446" s="20" t="s">
        <v>60</v>
      </c>
      <c r="J1446" s="21">
        <v>2518635.0</v>
      </c>
      <c r="K1446" s="21">
        <v>0.0</v>
      </c>
    </row>
    <row r="1447">
      <c r="A1447" s="15" t="s">
        <v>74</v>
      </c>
      <c r="B1447" s="16" t="s">
        <v>220</v>
      </c>
      <c r="C1447" s="17" t="s">
        <v>221</v>
      </c>
      <c r="D1447" s="18">
        <v>2.0</v>
      </c>
      <c r="E1447" s="17" t="s">
        <v>22</v>
      </c>
      <c r="F1447" s="15" t="s">
        <v>146</v>
      </c>
      <c r="G1447" s="19">
        <v>9.0042126E7</v>
      </c>
      <c r="H1447" s="15" t="s">
        <v>31</v>
      </c>
      <c r="I1447" s="20" t="s">
        <v>25</v>
      </c>
      <c r="J1447" s="21">
        <v>5.3683572E7</v>
      </c>
      <c r="K1447" s="21">
        <v>0.0</v>
      </c>
    </row>
    <row r="1448">
      <c r="A1448" s="15" t="s">
        <v>74</v>
      </c>
      <c r="B1448" s="16" t="s">
        <v>231</v>
      </c>
      <c r="C1448" s="17" t="s">
        <v>232</v>
      </c>
      <c r="D1448" s="18">
        <v>2.0</v>
      </c>
      <c r="E1448" s="24">
        <v>46038.0</v>
      </c>
      <c r="F1448" s="15" t="s">
        <v>150</v>
      </c>
      <c r="G1448" s="19">
        <v>5.1100651E7</v>
      </c>
      <c r="H1448" s="15" t="s">
        <v>38</v>
      </c>
      <c r="I1448" s="20" t="s">
        <v>25</v>
      </c>
      <c r="J1448" s="21">
        <v>0.0</v>
      </c>
      <c r="K1448" s="21">
        <v>0.0</v>
      </c>
    </row>
    <row r="1449">
      <c r="A1449" s="15" t="s">
        <v>74</v>
      </c>
      <c r="B1449" s="16" t="s">
        <v>231</v>
      </c>
      <c r="C1449" s="17" t="s">
        <v>232</v>
      </c>
      <c r="D1449" s="18">
        <v>2.0</v>
      </c>
      <c r="E1449" s="24">
        <v>46038.0</v>
      </c>
      <c r="F1449" s="15" t="s">
        <v>150</v>
      </c>
      <c r="G1449" s="19">
        <v>5.1101056E7</v>
      </c>
      <c r="H1449" s="15" t="s">
        <v>16</v>
      </c>
      <c r="I1449" s="20" t="s">
        <v>25</v>
      </c>
      <c r="J1449" s="21">
        <v>-777.0</v>
      </c>
      <c r="K1449" s="21">
        <v>0.0</v>
      </c>
    </row>
    <row r="1450">
      <c r="A1450" s="15" t="s">
        <v>74</v>
      </c>
      <c r="B1450" s="16" t="s">
        <v>231</v>
      </c>
      <c r="C1450" s="17" t="s">
        <v>232</v>
      </c>
      <c r="D1450" s="18">
        <v>2.0</v>
      </c>
      <c r="E1450" s="24">
        <v>46038.0</v>
      </c>
      <c r="F1450" s="15" t="s">
        <v>150</v>
      </c>
      <c r="G1450" s="19">
        <v>5.1101056E7</v>
      </c>
      <c r="H1450" s="15" t="s">
        <v>16</v>
      </c>
      <c r="I1450" s="20" t="s">
        <v>17</v>
      </c>
      <c r="J1450" s="21">
        <v>7631854.0</v>
      </c>
      <c r="K1450" s="21">
        <v>30623.0</v>
      </c>
    </row>
    <row r="1451">
      <c r="A1451" s="15" t="s">
        <v>74</v>
      </c>
      <c r="B1451" s="16" t="s">
        <v>231</v>
      </c>
      <c r="C1451" s="17" t="s">
        <v>232</v>
      </c>
      <c r="D1451" s="18">
        <v>2.0</v>
      </c>
      <c r="E1451" s="24">
        <v>46038.0</v>
      </c>
      <c r="F1451" s="15" t="s">
        <v>150</v>
      </c>
      <c r="G1451" s="19">
        <v>9.0043001E7</v>
      </c>
      <c r="H1451" s="15" t="s">
        <v>18</v>
      </c>
      <c r="I1451" s="20" t="s">
        <v>19</v>
      </c>
      <c r="J1451" s="21">
        <v>1.0734524E7</v>
      </c>
      <c r="K1451" s="21">
        <v>58.0</v>
      </c>
    </row>
    <row r="1452">
      <c r="A1452" s="15" t="s">
        <v>74</v>
      </c>
      <c r="B1452" s="16" t="s">
        <v>231</v>
      </c>
      <c r="C1452" s="17" t="s">
        <v>232</v>
      </c>
      <c r="D1452" s="18">
        <v>2.0</v>
      </c>
      <c r="E1452" s="24">
        <v>46158.0</v>
      </c>
      <c r="F1452" s="15" t="s">
        <v>151</v>
      </c>
      <c r="G1452" s="19">
        <v>9.0043001E7</v>
      </c>
      <c r="H1452" s="15" t="s">
        <v>18</v>
      </c>
      <c r="I1452" s="20" t="s">
        <v>19</v>
      </c>
      <c r="J1452" s="21">
        <v>5737418.0</v>
      </c>
      <c r="K1452" s="21">
        <v>31.0</v>
      </c>
    </row>
    <row r="1453">
      <c r="A1453" s="15" t="s">
        <v>74</v>
      </c>
      <c r="B1453" s="16" t="s">
        <v>231</v>
      </c>
      <c r="C1453" s="17" t="s">
        <v>232</v>
      </c>
      <c r="D1453" s="18">
        <v>2.0</v>
      </c>
      <c r="E1453" s="17" t="s">
        <v>84</v>
      </c>
      <c r="F1453" s="15" t="s">
        <v>85</v>
      </c>
      <c r="G1453" s="19">
        <v>9.0043001E7</v>
      </c>
      <c r="H1453" s="15" t="s">
        <v>18</v>
      </c>
      <c r="I1453" s="20" t="s">
        <v>19</v>
      </c>
      <c r="J1453" s="21">
        <v>2.5247161E7</v>
      </c>
      <c r="K1453" s="21">
        <v>139.0</v>
      </c>
    </row>
    <row r="1454">
      <c r="A1454" s="15" t="s">
        <v>74</v>
      </c>
      <c r="B1454" s="16" t="s">
        <v>231</v>
      </c>
      <c r="C1454" s="17" t="s">
        <v>232</v>
      </c>
      <c r="D1454" s="18">
        <v>2.0</v>
      </c>
      <c r="E1454" s="17" t="s">
        <v>84</v>
      </c>
      <c r="F1454" s="15" t="s">
        <v>85</v>
      </c>
      <c r="G1454" s="19">
        <v>9.0043002E7</v>
      </c>
      <c r="H1454" s="15" t="s">
        <v>49</v>
      </c>
      <c r="I1454" s="20" t="s">
        <v>50</v>
      </c>
      <c r="J1454" s="21">
        <v>948834.0</v>
      </c>
      <c r="K1454" s="21">
        <v>90.0</v>
      </c>
    </row>
    <row r="1455">
      <c r="A1455" s="15" t="s">
        <v>74</v>
      </c>
      <c r="B1455" s="16" t="s">
        <v>231</v>
      </c>
      <c r="C1455" s="17" t="s">
        <v>232</v>
      </c>
      <c r="D1455" s="18">
        <v>2.0</v>
      </c>
      <c r="E1455" s="17" t="s">
        <v>84</v>
      </c>
      <c r="F1455" s="15" t="s">
        <v>85</v>
      </c>
      <c r="G1455" s="19">
        <v>9.0043003E7</v>
      </c>
      <c r="H1455" s="15" t="s">
        <v>90</v>
      </c>
      <c r="I1455" s="20" t="s">
        <v>50</v>
      </c>
      <c r="J1455" s="21">
        <v>386602.0</v>
      </c>
      <c r="K1455" s="21">
        <v>4.0</v>
      </c>
    </row>
    <row r="1456">
      <c r="A1456" s="15" t="s">
        <v>74</v>
      </c>
      <c r="B1456" s="16" t="s">
        <v>231</v>
      </c>
      <c r="C1456" s="17" t="s">
        <v>232</v>
      </c>
      <c r="D1456" s="18">
        <v>2.0</v>
      </c>
      <c r="E1456" s="17" t="s">
        <v>86</v>
      </c>
      <c r="F1456" s="15" t="s">
        <v>87</v>
      </c>
      <c r="G1456" s="19">
        <v>9.0043001E7</v>
      </c>
      <c r="H1456" s="15" t="s">
        <v>18</v>
      </c>
      <c r="I1456" s="20" t="s">
        <v>19</v>
      </c>
      <c r="J1456" s="21">
        <v>2868709.0</v>
      </c>
      <c r="K1456" s="21">
        <v>15.5</v>
      </c>
    </row>
    <row r="1457">
      <c r="A1457" s="15" t="s">
        <v>74</v>
      </c>
      <c r="B1457" s="16" t="s">
        <v>231</v>
      </c>
      <c r="C1457" s="17" t="s">
        <v>232</v>
      </c>
      <c r="D1457" s="18">
        <v>2.0</v>
      </c>
      <c r="E1457" s="17" t="s">
        <v>88</v>
      </c>
      <c r="F1457" s="15" t="s">
        <v>89</v>
      </c>
      <c r="G1457" s="19">
        <v>9.0043003E7</v>
      </c>
      <c r="H1457" s="15" t="s">
        <v>90</v>
      </c>
      <c r="I1457" s="20" t="s">
        <v>50</v>
      </c>
      <c r="J1457" s="21">
        <v>289952.0</v>
      </c>
      <c r="K1457" s="21">
        <v>3.0</v>
      </c>
    </row>
    <row r="1458">
      <c r="A1458" s="15" t="s">
        <v>74</v>
      </c>
      <c r="B1458" s="16" t="s">
        <v>231</v>
      </c>
      <c r="C1458" s="17" t="s">
        <v>232</v>
      </c>
      <c r="D1458" s="18">
        <v>2.0</v>
      </c>
      <c r="E1458" s="17" t="s">
        <v>95</v>
      </c>
      <c r="F1458" s="15" t="s">
        <v>96</v>
      </c>
      <c r="G1458" s="19">
        <v>5.1100058E7</v>
      </c>
      <c r="H1458" s="15" t="s">
        <v>36</v>
      </c>
      <c r="I1458" s="20" t="s">
        <v>37</v>
      </c>
      <c r="J1458" s="21">
        <v>3287792.0</v>
      </c>
      <c r="K1458" s="21">
        <v>45.0</v>
      </c>
    </row>
    <row r="1459">
      <c r="A1459" s="15" t="s">
        <v>74</v>
      </c>
      <c r="B1459" s="16" t="s">
        <v>231</v>
      </c>
      <c r="C1459" s="17" t="s">
        <v>232</v>
      </c>
      <c r="D1459" s="18">
        <v>2.0</v>
      </c>
      <c r="E1459" s="17" t="s">
        <v>95</v>
      </c>
      <c r="F1459" s="15" t="s">
        <v>96</v>
      </c>
      <c r="G1459" s="19">
        <v>5.1100651E7</v>
      </c>
      <c r="H1459" s="15" t="s">
        <v>38</v>
      </c>
      <c r="I1459" s="20" t="s">
        <v>25</v>
      </c>
      <c r="J1459" s="21">
        <v>0.0</v>
      </c>
      <c r="K1459" s="21">
        <v>0.0</v>
      </c>
    </row>
    <row r="1460">
      <c r="A1460" s="15" t="s">
        <v>74</v>
      </c>
      <c r="B1460" s="16" t="s">
        <v>231</v>
      </c>
      <c r="C1460" s="17" t="s">
        <v>232</v>
      </c>
      <c r="D1460" s="18">
        <v>2.0</v>
      </c>
      <c r="E1460" s="17" t="s">
        <v>95</v>
      </c>
      <c r="F1460" s="15" t="s">
        <v>96</v>
      </c>
      <c r="G1460" s="19">
        <v>9.0043001E7</v>
      </c>
      <c r="H1460" s="15" t="s">
        <v>18</v>
      </c>
      <c r="I1460" s="20" t="s">
        <v>19</v>
      </c>
      <c r="J1460" s="21">
        <v>5940008.0</v>
      </c>
      <c r="K1460" s="21">
        <v>38.0</v>
      </c>
    </row>
    <row r="1461">
      <c r="A1461" s="15" t="s">
        <v>74</v>
      </c>
      <c r="B1461" s="16" t="s">
        <v>231</v>
      </c>
      <c r="C1461" s="17" t="s">
        <v>232</v>
      </c>
      <c r="D1461" s="18">
        <v>2.0</v>
      </c>
      <c r="E1461" s="17" t="s">
        <v>95</v>
      </c>
      <c r="F1461" s="15" t="s">
        <v>96</v>
      </c>
      <c r="G1461" s="19">
        <v>5.1100774E7</v>
      </c>
      <c r="H1461" s="15" t="s">
        <v>39</v>
      </c>
      <c r="I1461" s="20" t="s">
        <v>17</v>
      </c>
      <c r="J1461" s="21">
        <v>3727654.0</v>
      </c>
      <c r="K1461" s="21">
        <v>55.11</v>
      </c>
    </row>
    <row r="1462">
      <c r="A1462" s="15" t="s">
        <v>74</v>
      </c>
      <c r="B1462" s="16" t="s">
        <v>231</v>
      </c>
      <c r="C1462" s="17" t="s">
        <v>232</v>
      </c>
      <c r="D1462" s="18">
        <v>2.0</v>
      </c>
      <c r="E1462" s="17" t="s">
        <v>101</v>
      </c>
      <c r="F1462" s="15" t="s">
        <v>102</v>
      </c>
      <c r="G1462" s="19">
        <v>9.0043001E7</v>
      </c>
      <c r="H1462" s="15" t="s">
        <v>18</v>
      </c>
      <c r="I1462" s="20" t="s">
        <v>19</v>
      </c>
      <c r="J1462" s="21">
        <v>3.0614618E7</v>
      </c>
      <c r="K1462" s="21">
        <v>172.0</v>
      </c>
    </row>
    <row r="1463">
      <c r="A1463" s="15" t="s">
        <v>74</v>
      </c>
      <c r="B1463" s="16" t="s">
        <v>231</v>
      </c>
      <c r="C1463" s="17" t="s">
        <v>232</v>
      </c>
      <c r="D1463" s="18">
        <v>2.0</v>
      </c>
      <c r="E1463" s="17" t="s">
        <v>103</v>
      </c>
      <c r="F1463" s="15" t="s">
        <v>104</v>
      </c>
      <c r="G1463" s="19">
        <v>5.1100058E7</v>
      </c>
      <c r="H1463" s="15" t="s">
        <v>36</v>
      </c>
      <c r="I1463" s="20" t="s">
        <v>37</v>
      </c>
      <c r="J1463" s="21">
        <v>3082933.0</v>
      </c>
      <c r="K1463" s="21">
        <v>42.24</v>
      </c>
    </row>
    <row r="1464">
      <c r="A1464" s="15" t="s">
        <v>74</v>
      </c>
      <c r="B1464" s="16" t="s">
        <v>231</v>
      </c>
      <c r="C1464" s="17" t="s">
        <v>232</v>
      </c>
      <c r="D1464" s="18">
        <v>2.0</v>
      </c>
      <c r="E1464" s="17" t="s">
        <v>103</v>
      </c>
      <c r="F1464" s="15" t="s">
        <v>104</v>
      </c>
      <c r="G1464" s="19">
        <v>5.1100651E7</v>
      </c>
      <c r="H1464" s="15" t="s">
        <v>38</v>
      </c>
      <c r="I1464" s="20" t="s">
        <v>25</v>
      </c>
      <c r="J1464" s="21">
        <v>0.0</v>
      </c>
      <c r="K1464" s="21">
        <v>0.0</v>
      </c>
    </row>
    <row r="1465">
      <c r="A1465" s="15" t="s">
        <v>74</v>
      </c>
      <c r="B1465" s="16" t="s">
        <v>231</v>
      </c>
      <c r="C1465" s="17" t="s">
        <v>232</v>
      </c>
      <c r="D1465" s="18">
        <v>2.0</v>
      </c>
      <c r="E1465" s="17" t="s">
        <v>103</v>
      </c>
      <c r="F1465" s="15" t="s">
        <v>104</v>
      </c>
      <c r="G1465" s="19">
        <v>5.1100774E7</v>
      </c>
      <c r="H1465" s="15" t="s">
        <v>39</v>
      </c>
      <c r="I1465" s="20" t="s">
        <v>17</v>
      </c>
      <c r="J1465" s="21">
        <v>7311600.0</v>
      </c>
      <c r="K1465" s="21">
        <v>40.62</v>
      </c>
    </row>
    <row r="1466">
      <c r="A1466" s="15" t="s">
        <v>74</v>
      </c>
      <c r="B1466" s="16" t="s">
        <v>231</v>
      </c>
      <c r="C1466" s="17" t="s">
        <v>232</v>
      </c>
      <c r="D1466" s="18">
        <v>2.0</v>
      </c>
      <c r="E1466" s="17" t="s">
        <v>108</v>
      </c>
      <c r="F1466" s="15" t="s">
        <v>109</v>
      </c>
      <c r="G1466" s="19">
        <v>5.1100058E7</v>
      </c>
      <c r="H1466" s="15" t="s">
        <v>36</v>
      </c>
      <c r="I1466" s="20" t="s">
        <v>37</v>
      </c>
      <c r="J1466" s="21">
        <v>8556513.0</v>
      </c>
      <c r="K1466" s="21">
        <v>182.5</v>
      </c>
    </row>
    <row r="1467">
      <c r="A1467" s="15" t="s">
        <v>74</v>
      </c>
      <c r="B1467" s="16" t="s">
        <v>231</v>
      </c>
      <c r="C1467" s="17" t="s">
        <v>232</v>
      </c>
      <c r="D1467" s="18">
        <v>2.0</v>
      </c>
      <c r="E1467" s="17" t="s">
        <v>108</v>
      </c>
      <c r="F1467" s="15" t="s">
        <v>109</v>
      </c>
      <c r="G1467" s="19">
        <v>5.1100651E7</v>
      </c>
      <c r="H1467" s="15" t="s">
        <v>38</v>
      </c>
      <c r="I1467" s="20" t="s">
        <v>25</v>
      </c>
      <c r="J1467" s="21">
        <v>0.0</v>
      </c>
      <c r="K1467" s="21">
        <v>0.0</v>
      </c>
    </row>
    <row r="1468">
      <c r="A1468" s="15" t="s">
        <v>74</v>
      </c>
      <c r="B1468" s="16" t="s">
        <v>231</v>
      </c>
      <c r="C1468" s="17" t="s">
        <v>232</v>
      </c>
      <c r="D1468" s="18">
        <v>2.0</v>
      </c>
      <c r="E1468" s="17" t="s">
        <v>108</v>
      </c>
      <c r="F1468" s="15" t="s">
        <v>109</v>
      </c>
      <c r="G1468" s="19">
        <v>5.1100774E7</v>
      </c>
      <c r="H1468" s="15" t="s">
        <v>39</v>
      </c>
      <c r="I1468" s="20" t="s">
        <v>17</v>
      </c>
      <c r="J1468" s="21">
        <v>9378720.0</v>
      </c>
      <c r="K1468" s="21">
        <v>260.52</v>
      </c>
    </row>
    <row r="1469">
      <c r="A1469" s="15" t="s">
        <v>74</v>
      </c>
      <c r="B1469" s="16" t="s">
        <v>231</v>
      </c>
      <c r="C1469" s="17" t="s">
        <v>232</v>
      </c>
      <c r="D1469" s="18">
        <v>2.0</v>
      </c>
      <c r="E1469" s="17" t="s">
        <v>123</v>
      </c>
      <c r="F1469" s="15" t="s">
        <v>124</v>
      </c>
      <c r="G1469" s="19">
        <v>5.1100651E7</v>
      </c>
      <c r="H1469" s="15" t="s">
        <v>38</v>
      </c>
      <c r="I1469" s="20" t="s">
        <v>25</v>
      </c>
      <c r="J1469" s="21">
        <v>0.0</v>
      </c>
      <c r="K1469" s="21">
        <v>0.0</v>
      </c>
    </row>
    <row r="1470">
      <c r="A1470" s="15" t="s">
        <v>74</v>
      </c>
      <c r="B1470" s="16" t="s">
        <v>231</v>
      </c>
      <c r="C1470" s="17" t="s">
        <v>232</v>
      </c>
      <c r="D1470" s="18">
        <v>2.0</v>
      </c>
      <c r="E1470" s="17" t="s">
        <v>123</v>
      </c>
      <c r="F1470" s="15" t="s">
        <v>124</v>
      </c>
      <c r="G1470" s="19">
        <v>9.0043001E7</v>
      </c>
      <c r="H1470" s="15" t="s">
        <v>18</v>
      </c>
      <c r="I1470" s="20" t="s">
        <v>19</v>
      </c>
      <c r="J1470" s="21">
        <v>505105.0</v>
      </c>
      <c r="K1470" s="21">
        <v>3.0</v>
      </c>
    </row>
    <row r="1471">
      <c r="A1471" s="15" t="s">
        <v>74</v>
      </c>
      <c r="B1471" s="16" t="s">
        <v>231</v>
      </c>
      <c r="C1471" s="17" t="s">
        <v>232</v>
      </c>
      <c r="D1471" s="18">
        <v>2.0</v>
      </c>
      <c r="E1471" s="17" t="s">
        <v>123</v>
      </c>
      <c r="F1471" s="15" t="s">
        <v>124</v>
      </c>
      <c r="G1471" s="19">
        <v>5.1100774E7</v>
      </c>
      <c r="H1471" s="15" t="s">
        <v>39</v>
      </c>
      <c r="I1471" s="20" t="s">
        <v>17</v>
      </c>
      <c r="J1471" s="21">
        <v>8289200.0</v>
      </c>
      <c r="K1471" s="21">
        <v>1564.0</v>
      </c>
    </row>
    <row r="1472">
      <c r="A1472" s="15" t="s">
        <v>74</v>
      </c>
      <c r="B1472" s="16" t="s">
        <v>231</v>
      </c>
      <c r="C1472" s="17" t="s">
        <v>232</v>
      </c>
      <c r="D1472" s="18">
        <v>2.0</v>
      </c>
      <c r="E1472" s="17" t="s">
        <v>160</v>
      </c>
      <c r="F1472" s="15" t="s">
        <v>161</v>
      </c>
      <c r="G1472" s="19">
        <v>9.0043001E7</v>
      </c>
      <c r="H1472" s="15" t="s">
        <v>18</v>
      </c>
      <c r="I1472" s="20" t="s">
        <v>19</v>
      </c>
      <c r="J1472" s="21">
        <v>3563649.0</v>
      </c>
      <c r="K1472" s="21">
        <v>18.0</v>
      </c>
    </row>
    <row r="1473">
      <c r="A1473" s="15" t="s">
        <v>74</v>
      </c>
      <c r="B1473" s="16" t="s">
        <v>231</v>
      </c>
      <c r="C1473" s="17" t="s">
        <v>232</v>
      </c>
      <c r="D1473" s="18">
        <v>2.0</v>
      </c>
      <c r="E1473" s="17" t="s">
        <v>125</v>
      </c>
      <c r="F1473" s="15" t="s">
        <v>126</v>
      </c>
      <c r="G1473" s="19">
        <v>5.1100651E7</v>
      </c>
      <c r="H1473" s="15" t="s">
        <v>38</v>
      </c>
      <c r="I1473" s="20" t="s">
        <v>25</v>
      </c>
      <c r="J1473" s="21">
        <v>-1011250.0</v>
      </c>
      <c r="K1473" s="21">
        <v>-4045.0</v>
      </c>
    </row>
    <row r="1474">
      <c r="A1474" s="15" t="s">
        <v>74</v>
      </c>
      <c r="B1474" s="16" t="s">
        <v>231</v>
      </c>
      <c r="C1474" s="17" t="s">
        <v>232</v>
      </c>
      <c r="D1474" s="18">
        <v>2.0</v>
      </c>
      <c r="E1474" s="17" t="s">
        <v>125</v>
      </c>
      <c r="F1474" s="15" t="s">
        <v>126</v>
      </c>
      <c r="G1474" s="19">
        <v>5.1101056E7</v>
      </c>
      <c r="H1474" s="15" t="s">
        <v>16</v>
      </c>
      <c r="I1474" s="20" t="s">
        <v>25</v>
      </c>
      <c r="J1474" s="21">
        <v>-2677.0</v>
      </c>
      <c r="K1474" s="21">
        <v>0.0</v>
      </c>
    </row>
    <row r="1475">
      <c r="A1475" s="15" t="s">
        <v>74</v>
      </c>
      <c r="B1475" s="16" t="s">
        <v>231</v>
      </c>
      <c r="C1475" s="17" t="s">
        <v>232</v>
      </c>
      <c r="D1475" s="18">
        <v>2.0</v>
      </c>
      <c r="E1475" s="17" t="s">
        <v>125</v>
      </c>
      <c r="F1475" s="15" t="s">
        <v>126</v>
      </c>
      <c r="G1475" s="19">
        <v>5.1101056E7</v>
      </c>
      <c r="H1475" s="15" t="s">
        <v>16</v>
      </c>
      <c r="I1475" s="20" t="s">
        <v>17</v>
      </c>
      <c r="J1475" s="21">
        <v>3.1860841E7</v>
      </c>
      <c r="K1475" s="21">
        <v>128123.0</v>
      </c>
    </row>
    <row r="1476">
      <c r="A1476" s="15" t="s">
        <v>74</v>
      </c>
      <c r="B1476" s="16" t="s">
        <v>231</v>
      </c>
      <c r="C1476" s="17" t="s">
        <v>232</v>
      </c>
      <c r="D1476" s="18">
        <v>2.0</v>
      </c>
      <c r="E1476" s="17" t="s">
        <v>125</v>
      </c>
      <c r="F1476" s="15" t="s">
        <v>126</v>
      </c>
      <c r="G1476" s="19">
        <v>9.0043001E7</v>
      </c>
      <c r="H1476" s="15" t="s">
        <v>18</v>
      </c>
      <c r="I1476" s="20" t="s">
        <v>19</v>
      </c>
      <c r="J1476" s="21">
        <v>5.4308138E7</v>
      </c>
      <c r="K1476" s="21">
        <v>304.0</v>
      </c>
    </row>
    <row r="1477">
      <c r="A1477" s="15" t="s">
        <v>74</v>
      </c>
      <c r="B1477" s="16" t="s">
        <v>231</v>
      </c>
      <c r="C1477" s="17" t="s">
        <v>232</v>
      </c>
      <c r="D1477" s="18">
        <v>2.0</v>
      </c>
      <c r="E1477" s="17" t="s">
        <v>127</v>
      </c>
      <c r="F1477" s="15" t="s">
        <v>128</v>
      </c>
      <c r="G1477" s="19">
        <v>9.0043001E7</v>
      </c>
      <c r="H1477" s="15" t="s">
        <v>18</v>
      </c>
      <c r="I1477" s="20" t="s">
        <v>19</v>
      </c>
      <c r="J1477" s="21">
        <v>1.8344877E7</v>
      </c>
      <c r="K1477" s="21">
        <v>95.0</v>
      </c>
    </row>
    <row r="1478">
      <c r="A1478" s="15" t="s">
        <v>74</v>
      </c>
      <c r="B1478" s="16" t="s">
        <v>231</v>
      </c>
      <c r="C1478" s="17" t="s">
        <v>232</v>
      </c>
      <c r="D1478" s="18">
        <v>2.0</v>
      </c>
      <c r="E1478" s="17" t="s">
        <v>127</v>
      </c>
      <c r="F1478" s="15" t="s">
        <v>128</v>
      </c>
      <c r="G1478" s="19">
        <v>9.0043002E7</v>
      </c>
      <c r="H1478" s="15" t="s">
        <v>49</v>
      </c>
      <c r="I1478" s="20" t="s">
        <v>50</v>
      </c>
      <c r="J1478" s="21">
        <v>1.33704437E8</v>
      </c>
      <c r="K1478" s="21">
        <v>10372.0</v>
      </c>
    </row>
    <row r="1479">
      <c r="A1479" s="15" t="s">
        <v>74</v>
      </c>
      <c r="B1479" s="16" t="s">
        <v>231</v>
      </c>
      <c r="C1479" s="17" t="s">
        <v>232</v>
      </c>
      <c r="D1479" s="18">
        <v>2.0</v>
      </c>
      <c r="E1479" s="17" t="s">
        <v>129</v>
      </c>
      <c r="F1479" s="15" t="s">
        <v>130</v>
      </c>
      <c r="G1479" s="19">
        <v>5.1100153E7</v>
      </c>
      <c r="H1479" s="15" t="s">
        <v>72</v>
      </c>
      <c r="I1479" s="20" t="s">
        <v>25</v>
      </c>
      <c r="J1479" s="21">
        <v>0.0</v>
      </c>
      <c r="K1479" s="21">
        <v>0.0</v>
      </c>
    </row>
    <row r="1480">
      <c r="A1480" s="15" t="s">
        <v>74</v>
      </c>
      <c r="B1480" s="16" t="s">
        <v>231</v>
      </c>
      <c r="C1480" s="17" t="s">
        <v>232</v>
      </c>
      <c r="D1480" s="18">
        <v>2.0</v>
      </c>
      <c r="E1480" s="17" t="s">
        <v>129</v>
      </c>
      <c r="F1480" s="15" t="s">
        <v>130</v>
      </c>
      <c r="G1480" s="19">
        <v>5.1101056E7</v>
      </c>
      <c r="H1480" s="15" t="s">
        <v>16</v>
      </c>
      <c r="I1480" s="20" t="s">
        <v>17</v>
      </c>
      <c r="J1480" s="21">
        <v>1.052205E7</v>
      </c>
      <c r="K1480" s="21">
        <v>95655.0</v>
      </c>
    </row>
    <row r="1481">
      <c r="A1481" s="15" t="s">
        <v>74</v>
      </c>
      <c r="B1481" s="16" t="s">
        <v>231</v>
      </c>
      <c r="C1481" s="17" t="s">
        <v>232</v>
      </c>
      <c r="D1481" s="18">
        <v>2.0</v>
      </c>
      <c r="E1481" s="17" t="s">
        <v>129</v>
      </c>
      <c r="F1481" s="15" t="s">
        <v>130</v>
      </c>
      <c r="G1481" s="19">
        <v>9.0043001E7</v>
      </c>
      <c r="H1481" s="15" t="s">
        <v>18</v>
      </c>
      <c r="I1481" s="20" t="s">
        <v>19</v>
      </c>
      <c r="J1481" s="21">
        <v>1.1529508E7</v>
      </c>
      <c r="K1481" s="21">
        <v>56.0</v>
      </c>
    </row>
    <row r="1482">
      <c r="A1482" s="15" t="s">
        <v>74</v>
      </c>
      <c r="B1482" s="16" t="s">
        <v>231</v>
      </c>
      <c r="C1482" s="17" t="s">
        <v>232</v>
      </c>
      <c r="D1482" s="18">
        <v>2.0</v>
      </c>
      <c r="E1482" s="17" t="s">
        <v>129</v>
      </c>
      <c r="F1482" s="15" t="s">
        <v>130</v>
      </c>
      <c r="G1482" s="19">
        <v>9.0043003E7</v>
      </c>
      <c r="H1482" s="15" t="s">
        <v>90</v>
      </c>
      <c r="I1482" s="20" t="s">
        <v>50</v>
      </c>
      <c r="J1482" s="21">
        <v>7693645.0</v>
      </c>
      <c r="K1482" s="21">
        <v>268.0</v>
      </c>
    </row>
    <row r="1483">
      <c r="A1483" s="15" t="s">
        <v>74</v>
      </c>
      <c r="B1483" s="16" t="s">
        <v>231</v>
      </c>
      <c r="C1483" s="17" t="s">
        <v>232</v>
      </c>
      <c r="D1483" s="18">
        <v>2.0</v>
      </c>
      <c r="E1483" s="17" t="s">
        <v>135</v>
      </c>
      <c r="F1483" s="15" t="s">
        <v>136</v>
      </c>
      <c r="G1483" s="19">
        <v>9.0043001E7</v>
      </c>
      <c r="H1483" s="15" t="s">
        <v>18</v>
      </c>
      <c r="I1483" s="20" t="s">
        <v>19</v>
      </c>
      <c r="J1483" s="21">
        <v>4.3167308E7</v>
      </c>
      <c r="K1483" s="21">
        <v>239.0</v>
      </c>
    </row>
    <row r="1484">
      <c r="A1484" s="15" t="s">
        <v>74</v>
      </c>
      <c r="B1484" s="16" t="s">
        <v>231</v>
      </c>
      <c r="C1484" s="17" t="s">
        <v>232</v>
      </c>
      <c r="D1484" s="18">
        <v>2.0</v>
      </c>
      <c r="E1484" s="17" t="s">
        <v>162</v>
      </c>
      <c r="F1484" s="15" t="s">
        <v>163</v>
      </c>
      <c r="G1484" s="19">
        <v>9.0043001E7</v>
      </c>
      <c r="H1484" s="15" t="s">
        <v>18</v>
      </c>
      <c r="I1484" s="20" t="s">
        <v>19</v>
      </c>
      <c r="J1484" s="21">
        <v>5186914.0</v>
      </c>
      <c r="K1484" s="21">
        <v>23.0</v>
      </c>
    </row>
    <row r="1485">
      <c r="A1485" s="15" t="s">
        <v>74</v>
      </c>
      <c r="B1485" s="16" t="s">
        <v>231</v>
      </c>
      <c r="C1485" s="17" t="s">
        <v>232</v>
      </c>
      <c r="D1485" s="18">
        <v>2.0</v>
      </c>
      <c r="E1485" s="17" t="s">
        <v>54</v>
      </c>
      <c r="F1485" s="15" t="s">
        <v>139</v>
      </c>
      <c r="G1485" s="19">
        <v>9.0042011E7</v>
      </c>
      <c r="H1485" s="15" t="s">
        <v>55</v>
      </c>
      <c r="I1485" s="20" t="s">
        <v>19</v>
      </c>
      <c r="J1485" s="21">
        <v>4.4366174E7</v>
      </c>
      <c r="K1485" s="21">
        <v>0.0</v>
      </c>
    </row>
    <row r="1486">
      <c r="A1486" s="15" t="s">
        <v>74</v>
      </c>
      <c r="B1486" s="16" t="s">
        <v>231</v>
      </c>
      <c r="C1486" s="17" t="s">
        <v>232</v>
      </c>
      <c r="D1486" s="18">
        <v>2.0</v>
      </c>
      <c r="E1486" s="17" t="s">
        <v>20</v>
      </c>
      <c r="F1486" s="15" t="s">
        <v>140</v>
      </c>
      <c r="G1486" s="19">
        <v>9.0042014E7</v>
      </c>
      <c r="H1486" s="15" t="s">
        <v>21</v>
      </c>
      <c r="I1486" s="20" t="s">
        <v>19</v>
      </c>
      <c r="J1486" s="21">
        <v>1.37633102E8</v>
      </c>
      <c r="K1486" s="21">
        <v>0.0</v>
      </c>
    </row>
    <row r="1487">
      <c r="A1487" s="15" t="s">
        <v>74</v>
      </c>
      <c r="B1487" s="16" t="s">
        <v>231</v>
      </c>
      <c r="C1487" s="17" t="s">
        <v>232</v>
      </c>
      <c r="D1487" s="18">
        <v>2.0</v>
      </c>
      <c r="E1487" s="17" t="s">
        <v>20</v>
      </c>
      <c r="F1487" s="15" t="s">
        <v>140</v>
      </c>
      <c r="G1487" s="19">
        <v>9.0042077E7</v>
      </c>
      <c r="H1487" s="15" t="s">
        <v>141</v>
      </c>
      <c r="I1487" s="20" t="s">
        <v>19</v>
      </c>
      <c r="J1487" s="21">
        <v>2.9614972E7</v>
      </c>
      <c r="K1487" s="21">
        <v>0.0</v>
      </c>
    </row>
    <row r="1488">
      <c r="A1488" s="15" t="s">
        <v>74</v>
      </c>
      <c r="B1488" s="16" t="s">
        <v>231</v>
      </c>
      <c r="C1488" s="17" t="s">
        <v>232</v>
      </c>
      <c r="D1488" s="18">
        <v>2.0</v>
      </c>
      <c r="E1488" s="17" t="s">
        <v>142</v>
      </c>
      <c r="F1488" s="15" t="s">
        <v>143</v>
      </c>
      <c r="G1488" s="19">
        <v>9.0042013E7</v>
      </c>
      <c r="H1488" s="15" t="s">
        <v>144</v>
      </c>
      <c r="I1488" s="20" t="s">
        <v>19</v>
      </c>
      <c r="J1488" s="21">
        <v>6864788.0</v>
      </c>
      <c r="K1488" s="21">
        <v>0.0</v>
      </c>
    </row>
    <row r="1489">
      <c r="A1489" s="15" t="s">
        <v>74</v>
      </c>
      <c r="B1489" s="16" t="s">
        <v>231</v>
      </c>
      <c r="C1489" s="17" t="s">
        <v>232</v>
      </c>
      <c r="D1489" s="18">
        <v>2.0</v>
      </c>
      <c r="E1489" s="17" t="s">
        <v>142</v>
      </c>
      <c r="F1489" s="15" t="s">
        <v>143</v>
      </c>
      <c r="G1489" s="19">
        <v>9.0042084E7</v>
      </c>
      <c r="H1489" s="15" t="s">
        <v>145</v>
      </c>
      <c r="I1489" s="20" t="s">
        <v>19</v>
      </c>
      <c r="J1489" s="21">
        <v>6954215.0</v>
      </c>
      <c r="K1489" s="21">
        <v>0.0</v>
      </c>
    </row>
    <row r="1490">
      <c r="A1490" s="15" t="s">
        <v>74</v>
      </c>
      <c r="B1490" s="16" t="s">
        <v>231</v>
      </c>
      <c r="C1490" s="17" t="s">
        <v>232</v>
      </c>
      <c r="D1490" s="18">
        <v>2.0</v>
      </c>
      <c r="E1490" s="17" t="s">
        <v>22</v>
      </c>
      <c r="F1490" s="15" t="s">
        <v>146</v>
      </c>
      <c r="G1490" s="19">
        <v>9.0042012E7</v>
      </c>
      <c r="H1490" s="15" t="s">
        <v>23</v>
      </c>
      <c r="I1490" s="20" t="s">
        <v>19</v>
      </c>
      <c r="J1490" s="21">
        <v>7.7112666E7</v>
      </c>
      <c r="K1490" s="21">
        <v>0.0</v>
      </c>
    </row>
    <row r="1491">
      <c r="A1491" s="15" t="s">
        <v>74</v>
      </c>
      <c r="B1491" s="16" t="s">
        <v>231</v>
      </c>
      <c r="C1491" s="17" t="s">
        <v>232</v>
      </c>
      <c r="D1491" s="18">
        <v>2.0</v>
      </c>
      <c r="E1491" s="17" t="s">
        <v>22</v>
      </c>
      <c r="F1491" s="15" t="s">
        <v>146</v>
      </c>
      <c r="G1491" s="19">
        <v>9.0042121E7</v>
      </c>
      <c r="H1491" s="15" t="s">
        <v>24</v>
      </c>
      <c r="I1491" s="20" t="s">
        <v>25</v>
      </c>
      <c r="J1491" s="21">
        <v>9.9688001E7</v>
      </c>
      <c r="K1491" s="21">
        <v>0.0</v>
      </c>
    </row>
    <row r="1492">
      <c r="A1492" s="15" t="s">
        <v>74</v>
      </c>
      <c r="B1492" s="16" t="s">
        <v>231</v>
      </c>
      <c r="C1492" s="17" t="s">
        <v>232</v>
      </c>
      <c r="D1492" s="18">
        <v>2.0</v>
      </c>
      <c r="E1492" s="17" t="s">
        <v>22</v>
      </c>
      <c r="F1492" s="15" t="s">
        <v>146</v>
      </c>
      <c r="G1492" s="19">
        <v>9.0042122E7</v>
      </c>
      <c r="H1492" s="15" t="s">
        <v>56</v>
      </c>
      <c r="I1492" s="20" t="s">
        <v>25</v>
      </c>
      <c r="J1492" s="21">
        <v>2515000.0</v>
      </c>
      <c r="K1492" s="21">
        <v>0.0</v>
      </c>
    </row>
    <row r="1493">
      <c r="A1493" s="15" t="s">
        <v>74</v>
      </c>
      <c r="B1493" s="16" t="s">
        <v>231</v>
      </c>
      <c r="C1493" s="17" t="s">
        <v>232</v>
      </c>
      <c r="D1493" s="18">
        <v>2.0</v>
      </c>
      <c r="E1493" s="17" t="s">
        <v>22</v>
      </c>
      <c r="F1493" s="15" t="s">
        <v>146</v>
      </c>
      <c r="G1493" s="19">
        <v>9.0042125E7</v>
      </c>
      <c r="H1493" s="15" t="s">
        <v>26</v>
      </c>
      <c r="I1493" s="20" t="s">
        <v>25</v>
      </c>
      <c r="J1493" s="21">
        <v>6.2446441E7</v>
      </c>
      <c r="K1493" s="21">
        <v>0.0</v>
      </c>
    </row>
    <row r="1494">
      <c r="A1494" s="15" t="s">
        <v>74</v>
      </c>
      <c r="B1494" s="16" t="s">
        <v>231</v>
      </c>
      <c r="C1494" s="17" t="s">
        <v>232</v>
      </c>
      <c r="D1494" s="18">
        <v>2.0</v>
      </c>
      <c r="E1494" s="17" t="s">
        <v>22</v>
      </c>
      <c r="F1494" s="15" t="s">
        <v>146</v>
      </c>
      <c r="G1494" s="19">
        <v>9.0042127E7</v>
      </c>
      <c r="H1494" s="15" t="s">
        <v>27</v>
      </c>
      <c r="I1494" s="20" t="s">
        <v>25</v>
      </c>
      <c r="J1494" s="21">
        <v>5235000.0</v>
      </c>
      <c r="K1494" s="21">
        <v>0.0</v>
      </c>
    </row>
    <row r="1495">
      <c r="A1495" s="15" t="s">
        <v>74</v>
      </c>
      <c r="B1495" s="16" t="s">
        <v>231</v>
      </c>
      <c r="C1495" s="17" t="s">
        <v>232</v>
      </c>
      <c r="D1495" s="18">
        <v>2.0</v>
      </c>
      <c r="E1495" s="17" t="s">
        <v>22</v>
      </c>
      <c r="F1495" s="15" t="s">
        <v>146</v>
      </c>
      <c r="G1495" s="19">
        <v>9.0042128E7</v>
      </c>
      <c r="H1495" s="15" t="s">
        <v>58</v>
      </c>
      <c r="I1495" s="20" t="s">
        <v>25</v>
      </c>
      <c r="J1495" s="21">
        <v>352500.0</v>
      </c>
      <c r="K1495" s="21">
        <v>0.0</v>
      </c>
    </row>
    <row r="1496">
      <c r="A1496" s="15" t="s">
        <v>74</v>
      </c>
      <c r="B1496" s="16" t="s">
        <v>231</v>
      </c>
      <c r="C1496" s="17" t="s">
        <v>232</v>
      </c>
      <c r="D1496" s="18">
        <v>2.0</v>
      </c>
      <c r="E1496" s="17" t="s">
        <v>22</v>
      </c>
      <c r="F1496" s="15" t="s">
        <v>146</v>
      </c>
      <c r="G1496" s="19">
        <v>9.0042135E7</v>
      </c>
      <c r="H1496" s="15" t="s">
        <v>30</v>
      </c>
      <c r="I1496" s="20" t="s">
        <v>25</v>
      </c>
      <c r="J1496" s="21">
        <v>4.6936056E7</v>
      </c>
      <c r="K1496" s="21">
        <v>0.0</v>
      </c>
    </row>
    <row r="1497">
      <c r="A1497" s="15" t="s">
        <v>74</v>
      </c>
      <c r="B1497" s="16" t="s">
        <v>231</v>
      </c>
      <c r="C1497" s="17" t="s">
        <v>232</v>
      </c>
      <c r="D1497" s="18">
        <v>2.0</v>
      </c>
      <c r="E1497" s="17" t="s">
        <v>22</v>
      </c>
      <c r="F1497" s="15" t="s">
        <v>146</v>
      </c>
      <c r="G1497" s="19">
        <v>9.00422E7</v>
      </c>
      <c r="H1497" s="15" t="s">
        <v>73</v>
      </c>
      <c r="I1497" s="20" t="s">
        <v>60</v>
      </c>
      <c r="J1497" s="21">
        <v>1.60641665E8</v>
      </c>
      <c r="K1497" s="21">
        <v>0.0</v>
      </c>
    </row>
    <row r="1498">
      <c r="A1498" s="15" t="s">
        <v>74</v>
      </c>
      <c r="B1498" s="16" t="s">
        <v>231</v>
      </c>
      <c r="C1498" s="17" t="s">
        <v>232</v>
      </c>
      <c r="D1498" s="18">
        <v>2.0</v>
      </c>
      <c r="E1498" s="17" t="s">
        <v>22</v>
      </c>
      <c r="F1498" s="15" t="s">
        <v>146</v>
      </c>
      <c r="G1498" s="19">
        <v>9.0042223E7</v>
      </c>
      <c r="H1498" s="15" t="s">
        <v>61</v>
      </c>
      <c r="I1498" s="20" t="s">
        <v>60</v>
      </c>
      <c r="J1498" s="21">
        <v>3340880.0</v>
      </c>
      <c r="K1498" s="21">
        <v>0.0</v>
      </c>
    </row>
    <row r="1499">
      <c r="A1499" s="15" t="s">
        <v>74</v>
      </c>
      <c r="B1499" s="16" t="s">
        <v>231</v>
      </c>
      <c r="C1499" s="17" t="s">
        <v>232</v>
      </c>
      <c r="D1499" s="18">
        <v>2.0</v>
      </c>
      <c r="E1499" s="17" t="s">
        <v>22</v>
      </c>
      <c r="F1499" s="15" t="s">
        <v>146</v>
      </c>
      <c r="G1499" s="19">
        <v>9.0042224E7</v>
      </c>
      <c r="H1499" s="15" t="s">
        <v>62</v>
      </c>
      <c r="I1499" s="20" t="s">
        <v>60</v>
      </c>
      <c r="J1499" s="21">
        <v>1088874.0</v>
      </c>
      <c r="K1499" s="21">
        <v>0.0</v>
      </c>
    </row>
    <row r="1500">
      <c r="A1500" s="15" t="s">
        <v>74</v>
      </c>
      <c r="B1500" s="16" t="s">
        <v>231</v>
      </c>
      <c r="C1500" s="17" t="s">
        <v>232</v>
      </c>
      <c r="D1500" s="18">
        <v>2.0</v>
      </c>
      <c r="E1500" s="17" t="s">
        <v>22</v>
      </c>
      <c r="F1500" s="15" t="s">
        <v>146</v>
      </c>
      <c r="G1500" s="19">
        <v>9.0042226E7</v>
      </c>
      <c r="H1500" s="15" t="s">
        <v>63</v>
      </c>
      <c r="I1500" s="20" t="s">
        <v>60</v>
      </c>
      <c r="J1500" s="21">
        <v>133334.0</v>
      </c>
      <c r="K1500" s="21">
        <v>0.0</v>
      </c>
    </row>
    <row r="1501">
      <c r="A1501" s="15" t="s">
        <v>74</v>
      </c>
      <c r="B1501" s="16" t="s">
        <v>231</v>
      </c>
      <c r="C1501" s="17" t="s">
        <v>232</v>
      </c>
      <c r="D1501" s="18">
        <v>2.0</v>
      </c>
      <c r="E1501" s="17" t="s">
        <v>22</v>
      </c>
      <c r="F1501" s="15" t="s">
        <v>146</v>
      </c>
      <c r="G1501" s="19">
        <v>9.0042228E7</v>
      </c>
      <c r="H1501" s="15" t="s">
        <v>64</v>
      </c>
      <c r="I1501" s="20" t="s">
        <v>60</v>
      </c>
      <c r="J1501" s="21">
        <v>2988806.0</v>
      </c>
      <c r="K1501" s="21">
        <v>0.0</v>
      </c>
    </row>
    <row r="1502">
      <c r="A1502" s="15" t="s">
        <v>74</v>
      </c>
      <c r="B1502" s="16" t="s">
        <v>231</v>
      </c>
      <c r="C1502" s="17" t="s">
        <v>232</v>
      </c>
      <c r="D1502" s="18">
        <v>2.0</v>
      </c>
      <c r="E1502" s="17" t="s">
        <v>22</v>
      </c>
      <c r="F1502" s="15" t="s">
        <v>146</v>
      </c>
      <c r="G1502" s="19">
        <v>9.0042231E7</v>
      </c>
      <c r="H1502" s="15" t="s">
        <v>65</v>
      </c>
      <c r="I1502" s="20" t="s">
        <v>60</v>
      </c>
      <c r="J1502" s="21">
        <v>2351901.0</v>
      </c>
      <c r="K1502" s="21">
        <v>0.0</v>
      </c>
    </row>
    <row r="1503">
      <c r="A1503" s="15" t="s">
        <v>74</v>
      </c>
      <c r="B1503" s="16" t="s">
        <v>231</v>
      </c>
      <c r="C1503" s="17" t="s">
        <v>232</v>
      </c>
      <c r="D1503" s="18">
        <v>2.0</v>
      </c>
      <c r="E1503" s="17" t="s">
        <v>22</v>
      </c>
      <c r="F1503" s="15" t="s">
        <v>146</v>
      </c>
      <c r="G1503" s="19">
        <v>9.0042126E7</v>
      </c>
      <c r="H1503" s="15" t="s">
        <v>31</v>
      </c>
      <c r="I1503" s="20" t="s">
        <v>25</v>
      </c>
      <c r="J1503" s="21">
        <v>3.654486E7</v>
      </c>
      <c r="K1503" s="21">
        <v>0.0</v>
      </c>
    </row>
    <row r="1504">
      <c r="A1504" s="15" t="s">
        <v>74</v>
      </c>
      <c r="B1504" s="16" t="s">
        <v>231</v>
      </c>
      <c r="C1504" s="17" t="s">
        <v>232</v>
      </c>
      <c r="D1504" s="18">
        <v>2.0</v>
      </c>
      <c r="E1504" s="17" t="s">
        <v>22</v>
      </c>
      <c r="F1504" s="15" t="s">
        <v>146</v>
      </c>
      <c r="G1504" s="19">
        <v>9.004212E7</v>
      </c>
      <c r="H1504" s="15" t="s">
        <v>182</v>
      </c>
      <c r="I1504" s="20" t="s">
        <v>25</v>
      </c>
      <c r="J1504" s="21">
        <v>3.5337E7</v>
      </c>
      <c r="K1504" s="21">
        <v>0.0</v>
      </c>
    </row>
    <row r="1505">
      <c r="A1505" s="15" t="s">
        <v>74</v>
      </c>
      <c r="B1505" s="16" t="s">
        <v>231</v>
      </c>
      <c r="C1505" s="17" t="s">
        <v>232</v>
      </c>
      <c r="D1505" s="18">
        <v>2.0</v>
      </c>
      <c r="E1505" s="24">
        <v>46097.0</v>
      </c>
      <c r="F1505" s="15" t="s">
        <v>216</v>
      </c>
      <c r="G1505" s="19">
        <v>5.1100153E7</v>
      </c>
      <c r="H1505" s="15" t="s">
        <v>72</v>
      </c>
      <c r="I1505" s="20" t="s">
        <v>25</v>
      </c>
      <c r="J1505" s="21">
        <v>0.0</v>
      </c>
      <c r="K1505" s="21">
        <v>0.0</v>
      </c>
    </row>
    <row r="1506">
      <c r="A1506" s="15" t="s">
        <v>74</v>
      </c>
      <c r="B1506" s="16" t="s">
        <v>231</v>
      </c>
      <c r="C1506" s="17" t="s">
        <v>232</v>
      </c>
      <c r="D1506" s="18">
        <v>2.0</v>
      </c>
      <c r="E1506" s="24">
        <v>46097.0</v>
      </c>
      <c r="F1506" s="15" t="s">
        <v>216</v>
      </c>
      <c r="G1506" s="19">
        <v>5.1101056E7</v>
      </c>
      <c r="H1506" s="15" t="s">
        <v>16</v>
      </c>
      <c r="I1506" s="20" t="s">
        <v>17</v>
      </c>
      <c r="J1506" s="21">
        <v>6647850.0</v>
      </c>
      <c r="K1506" s="21">
        <v>60435.0</v>
      </c>
    </row>
    <row r="1507">
      <c r="A1507" s="15" t="s">
        <v>74</v>
      </c>
      <c r="B1507" s="16" t="s">
        <v>231</v>
      </c>
      <c r="C1507" s="17" t="s">
        <v>232</v>
      </c>
      <c r="D1507" s="18">
        <v>2.0</v>
      </c>
      <c r="E1507" s="24">
        <v>46097.0</v>
      </c>
      <c r="F1507" s="15" t="s">
        <v>216</v>
      </c>
      <c r="G1507" s="19">
        <v>9.0043001E7</v>
      </c>
      <c r="H1507" s="15" t="s">
        <v>18</v>
      </c>
      <c r="I1507" s="20" t="s">
        <v>19</v>
      </c>
      <c r="J1507" s="21">
        <v>902072.0</v>
      </c>
      <c r="K1507" s="21">
        <v>4.0</v>
      </c>
    </row>
    <row r="1508">
      <c r="A1508" s="15" t="s">
        <v>74</v>
      </c>
      <c r="B1508" s="16" t="s">
        <v>231</v>
      </c>
      <c r="C1508" s="17" t="s">
        <v>232</v>
      </c>
      <c r="D1508" s="18">
        <v>2.0</v>
      </c>
      <c r="E1508" s="24">
        <v>46097.0</v>
      </c>
      <c r="F1508" s="15" t="s">
        <v>216</v>
      </c>
      <c r="G1508" s="19">
        <v>9.0043003E7</v>
      </c>
      <c r="H1508" s="15" t="s">
        <v>90</v>
      </c>
      <c r="I1508" s="20" t="s">
        <v>50</v>
      </c>
      <c r="J1508" s="21">
        <v>146239.0</v>
      </c>
      <c r="K1508" s="21">
        <v>12.0</v>
      </c>
    </row>
    <row r="1509">
      <c r="A1509" s="15" t="s">
        <v>74</v>
      </c>
      <c r="B1509" s="16" t="s">
        <v>231</v>
      </c>
      <c r="C1509" s="17" t="s">
        <v>232</v>
      </c>
      <c r="D1509" s="18">
        <v>2.0</v>
      </c>
      <c r="E1509" s="24">
        <v>46069.0</v>
      </c>
      <c r="F1509" s="15" t="s">
        <v>217</v>
      </c>
      <c r="G1509" s="19">
        <v>9.0043001E7</v>
      </c>
      <c r="H1509" s="15" t="s">
        <v>18</v>
      </c>
      <c r="I1509" s="20" t="s">
        <v>19</v>
      </c>
      <c r="J1509" s="21">
        <v>4198499.0</v>
      </c>
      <c r="K1509" s="21">
        <v>20.5</v>
      </c>
    </row>
    <row r="1510">
      <c r="A1510" s="15" t="s">
        <v>74</v>
      </c>
      <c r="B1510" s="16" t="s">
        <v>231</v>
      </c>
      <c r="C1510" s="17" t="s">
        <v>232</v>
      </c>
      <c r="D1510" s="18">
        <v>2.0</v>
      </c>
      <c r="E1510" s="24">
        <v>46069.0</v>
      </c>
      <c r="F1510" s="15" t="s">
        <v>217</v>
      </c>
      <c r="G1510" s="19">
        <v>9.0043002E7</v>
      </c>
      <c r="H1510" s="15" t="s">
        <v>49</v>
      </c>
      <c r="I1510" s="20" t="s">
        <v>50</v>
      </c>
      <c r="J1510" s="21">
        <v>1.911476E7</v>
      </c>
      <c r="K1510" s="21">
        <v>1610.0</v>
      </c>
    </row>
    <row r="1511">
      <c r="A1511" s="15" t="s">
        <v>74</v>
      </c>
      <c r="B1511" s="16" t="s">
        <v>233</v>
      </c>
      <c r="C1511" s="17" t="s">
        <v>234</v>
      </c>
      <c r="D1511" s="18">
        <v>2.0</v>
      </c>
      <c r="E1511" s="17" t="s">
        <v>173</v>
      </c>
      <c r="F1511" s="15" t="s">
        <v>174</v>
      </c>
      <c r="G1511" s="19">
        <v>9.0043002E7</v>
      </c>
      <c r="H1511" s="15" t="s">
        <v>49</v>
      </c>
      <c r="I1511" s="20" t="s">
        <v>50</v>
      </c>
      <c r="J1511" s="21">
        <v>3824685.0</v>
      </c>
      <c r="K1511" s="21">
        <v>150.0</v>
      </c>
    </row>
    <row r="1512">
      <c r="A1512" s="15" t="s">
        <v>74</v>
      </c>
      <c r="B1512" s="16" t="s">
        <v>233</v>
      </c>
      <c r="C1512" s="17" t="s">
        <v>234</v>
      </c>
      <c r="D1512" s="18">
        <v>2.0</v>
      </c>
      <c r="E1512" s="17" t="s">
        <v>173</v>
      </c>
      <c r="F1512" s="15" t="s">
        <v>174</v>
      </c>
      <c r="G1512" s="19">
        <v>9.0043003E7</v>
      </c>
      <c r="H1512" s="15" t="s">
        <v>90</v>
      </c>
      <c r="I1512" s="20" t="s">
        <v>50</v>
      </c>
      <c r="J1512" s="21">
        <v>1.0961232E7</v>
      </c>
      <c r="K1512" s="21">
        <v>48.0</v>
      </c>
    </row>
    <row r="1513">
      <c r="A1513" s="15" t="s">
        <v>74</v>
      </c>
      <c r="B1513" s="16" t="s">
        <v>233</v>
      </c>
      <c r="C1513" s="17" t="s">
        <v>234</v>
      </c>
      <c r="D1513" s="18">
        <v>2.0</v>
      </c>
      <c r="E1513" s="17" t="s">
        <v>154</v>
      </c>
      <c r="F1513" s="15" t="s">
        <v>155</v>
      </c>
      <c r="G1513" s="19">
        <v>9.0043003E7</v>
      </c>
      <c r="H1513" s="15" t="s">
        <v>90</v>
      </c>
      <c r="I1513" s="20" t="s">
        <v>50</v>
      </c>
      <c r="J1513" s="21">
        <v>6266065.0</v>
      </c>
      <c r="K1513" s="21">
        <v>36.5</v>
      </c>
    </row>
    <row r="1514">
      <c r="A1514" s="15" t="s">
        <v>74</v>
      </c>
      <c r="B1514" s="16" t="s">
        <v>233</v>
      </c>
      <c r="C1514" s="17" t="s">
        <v>234</v>
      </c>
      <c r="D1514" s="18">
        <v>2.0</v>
      </c>
      <c r="E1514" s="17" t="s">
        <v>224</v>
      </c>
      <c r="F1514" s="15" t="s">
        <v>225</v>
      </c>
      <c r="G1514" s="19">
        <v>9.0043002E7</v>
      </c>
      <c r="H1514" s="15" t="s">
        <v>49</v>
      </c>
      <c r="I1514" s="20" t="s">
        <v>50</v>
      </c>
      <c r="J1514" s="21">
        <v>2.6587044E7</v>
      </c>
      <c r="K1514" s="21">
        <v>990.0</v>
      </c>
    </row>
    <row r="1515">
      <c r="A1515" s="15" t="s">
        <v>74</v>
      </c>
      <c r="B1515" s="16" t="s">
        <v>233</v>
      </c>
      <c r="C1515" s="17" t="s">
        <v>234</v>
      </c>
      <c r="D1515" s="18">
        <v>2.0</v>
      </c>
      <c r="E1515" s="17" t="s">
        <v>235</v>
      </c>
      <c r="F1515" s="15" t="s">
        <v>236</v>
      </c>
      <c r="G1515" s="19">
        <v>5.1100064E7</v>
      </c>
      <c r="H1515" s="15" t="s">
        <v>53</v>
      </c>
      <c r="I1515" s="20" t="s">
        <v>37</v>
      </c>
      <c r="J1515" s="21">
        <v>900000.0</v>
      </c>
      <c r="K1515" s="21">
        <v>15.0</v>
      </c>
    </row>
    <row r="1516">
      <c r="A1516" s="15" t="s">
        <v>74</v>
      </c>
      <c r="B1516" s="16" t="s">
        <v>233</v>
      </c>
      <c r="C1516" s="17" t="s">
        <v>234</v>
      </c>
      <c r="D1516" s="18">
        <v>2.0</v>
      </c>
      <c r="E1516" s="17" t="s">
        <v>95</v>
      </c>
      <c r="F1516" s="15" t="s">
        <v>96</v>
      </c>
      <c r="G1516" s="19">
        <v>5.1100058E7</v>
      </c>
      <c r="H1516" s="15" t="s">
        <v>36</v>
      </c>
      <c r="I1516" s="20" t="s">
        <v>37</v>
      </c>
      <c r="J1516" s="21">
        <v>3.5764354E7</v>
      </c>
      <c r="K1516" s="21">
        <v>521.82</v>
      </c>
    </row>
    <row r="1517">
      <c r="A1517" s="15" t="s">
        <v>74</v>
      </c>
      <c r="B1517" s="16" t="s">
        <v>233</v>
      </c>
      <c r="C1517" s="17" t="s">
        <v>234</v>
      </c>
      <c r="D1517" s="18">
        <v>2.0</v>
      </c>
      <c r="E1517" s="17" t="s">
        <v>95</v>
      </c>
      <c r="F1517" s="15" t="s">
        <v>96</v>
      </c>
      <c r="G1517" s="19">
        <v>5.1100774E7</v>
      </c>
      <c r="H1517" s="15" t="s">
        <v>39</v>
      </c>
      <c r="I1517" s="20" t="s">
        <v>17</v>
      </c>
      <c r="J1517" s="21">
        <v>7.3507093E7</v>
      </c>
      <c r="K1517" s="21">
        <v>1086.74</v>
      </c>
    </row>
    <row r="1518">
      <c r="A1518" s="15" t="s">
        <v>74</v>
      </c>
      <c r="B1518" s="16" t="s">
        <v>233</v>
      </c>
      <c r="C1518" s="17" t="s">
        <v>234</v>
      </c>
      <c r="D1518" s="18">
        <v>2.0</v>
      </c>
      <c r="E1518" s="17" t="s">
        <v>101</v>
      </c>
      <c r="F1518" s="15" t="s">
        <v>102</v>
      </c>
      <c r="G1518" s="19">
        <v>5.1100774E7</v>
      </c>
      <c r="H1518" s="15" t="s">
        <v>39</v>
      </c>
      <c r="I1518" s="20" t="s">
        <v>17</v>
      </c>
      <c r="J1518" s="21">
        <v>1.24683528E8</v>
      </c>
      <c r="K1518" s="21">
        <v>276.5</v>
      </c>
    </row>
    <row r="1519">
      <c r="A1519" s="15" t="s">
        <v>74</v>
      </c>
      <c r="B1519" s="16" t="s">
        <v>233</v>
      </c>
      <c r="C1519" s="17" t="s">
        <v>234</v>
      </c>
      <c r="D1519" s="18">
        <v>2.0</v>
      </c>
      <c r="E1519" s="17" t="s">
        <v>103</v>
      </c>
      <c r="F1519" s="15" t="s">
        <v>104</v>
      </c>
      <c r="G1519" s="19">
        <v>9.0043003E7</v>
      </c>
      <c r="H1519" s="15" t="s">
        <v>90</v>
      </c>
      <c r="I1519" s="20" t="s">
        <v>50</v>
      </c>
      <c r="J1519" s="21">
        <v>6686928.0</v>
      </c>
      <c r="K1519" s="21">
        <v>48.0</v>
      </c>
    </row>
    <row r="1520">
      <c r="A1520" s="15" t="s">
        <v>74</v>
      </c>
      <c r="B1520" s="16" t="s">
        <v>233</v>
      </c>
      <c r="C1520" s="17" t="s">
        <v>234</v>
      </c>
      <c r="D1520" s="18">
        <v>2.0</v>
      </c>
      <c r="E1520" s="17" t="s">
        <v>205</v>
      </c>
      <c r="F1520" s="15" t="s">
        <v>206</v>
      </c>
      <c r="G1520" s="19">
        <v>5.1100058E7</v>
      </c>
      <c r="H1520" s="15" t="s">
        <v>36</v>
      </c>
      <c r="I1520" s="20" t="s">
        <v>37</v>
      </c>
      <c r="J1520" s="21">
        <v>1967436.0</v>
      </c>
      <c r="K1520" s="21">
        <v>28.7</v>
      </c>
    </row>
    <row r="1521">
      <c r="A1521" s="15" t="s">
        <v>74</v>
      </c>
      <c r="B1521" s="16" t="s">
        <v>233</v>
      </c>
      <c r="C1521" s="17" t="s">
        <v>234</v>
      </c>
      <c r="D1521" s="18">
        <v>2.0</v>
      </c>
      <c r="E1521" s="17" t="s">
        <v>105</v>
      </c>
      <c r="F1521" s="15" t="s">
        <v>106</v>
      </c>
      <c r="G1521" s="19">
        <v>5.1100774E7</v>
      </c>
      <c r="H1521" s="15" t="s">
        <v>39</v>
      </c>
      <c r="I1521" s="20" t="s">
        <v>17</v>
      </c>
      <c r="J1521" s="21">
        <v>3.070375E7</v>
      </c>
      <c r="K1521" s="21">
        <v>3.509</v>
      </c>
    </row>
    <row r="1522">
      <c r="A1522" s="15" t="s">
        <v>74</v>
      </c>
      <c r="B1522" s="16" t="s">
        <v>233</v>
      </c>
      <c r="C1522" s="17" t="s">
        <v>234</v>
      </c>
      <c r="D1522" s="18">
        <v>2.0</v>
      </c>
      <c r="E1522" s="17" t="s">
        <v>175</v>
      </c>
      <c r="F1522" s="15" t="s">
        <v>176</v>
      </c>
      <c r="G1522" s="19">
        <v>9.0043002E7</v>
      </c>
      <c r="H1522" s="15" t="s">
        <v>49</v>
      </c>
      <c r="I1522" s="20" t="s">
        <v>50</v>
      </c>
      <c r="J1522" s="21">
        <v>1427337.0</v>
      </c>
      <c r="K1522" s="21">
        <v>55.0</v>
      </c>
    </row>
    <row r="1523">
      <c r="A1523" s="15" t="s">
        <v>74</v>
      </c>
      <c r="B1523" s="16" t="s">
        <v>233</v>
      </c>
      <c r="C1523" s="17" t="s">
        <v>234</v>
      </c>
      <c r="D1523" s="18">
        <v>2.0</v>
      </c>
      <c r="E1523" s="17" t="s">
        <v>175</v>
      </c>
      <c r="F1523" s="15" t="s">
        <v>176</v>
      </c>
      <c r="G1523" s="19">
        <v>5.1100774E7</v>
      </c>
      <c r="H1523" s="15" t="s">
        <v>39</v>
      </c>
      <c r="I1523" s="20" t="s">
        <v>17</v>
      </c>
      <c r="J1523" s="21">
        <v>1.26E7</v>
      </c>
      <c r="K1523" s="21">
        <v>126000.0</v>
      </c>
    </row>
    <row r="1524">
      <c r="A1524" s="15" t="s">
        <v>74</v>
      </c>
      <c r="B1524" s="16" t="s">
        <v>233</v>
      </c>
      <c r="C1524" s="17" t="s">
        <v>234</v>
      </c>
      <c r="D1524" s="18">
        <v>2.0</v>
      </c>
      <c r="E1524" s="17" t="s">
        <v>115</v>
      </c>
      <c r="F1524" s="15" t="s">
        <v>116</v>
      </c>
      <c r="G1524" s="19">
        <v>9.0043002E7</v>
      </c>
      <c r="H1524" s="15" t="s">
        <v>49</v>
      </c>
      <c r="I1524" s="20" t="s">
        <v>50</v>
      </c>
      <c r="J1524" s="21">
        <v>4.4982005E7</v>
      </c>
      <c r="K1524" s="21">
        <v>1754.0</v>
      </c>
    </row>
    <row r="1525">
      <c r="A1525" s="15" t="s">
        <v>74</v>
      </c>
      <c r="B1525" s="16" t="s">
        <v>233</v>
      </c>
      <c r="C1525" s="17" t="s">
        <v>234</v>
      </c>
      <c r="D1525" s="18">
        <v>2.0</v>
      </c>
      <c r="E1525" s="17" t="s">
        <v>117</v>
      </c>
      <c r="F1525" s="15" t="s">
        <v>118</v>
      </c>
      <c r="G1525" s="19">
        <v>5.1100058E7</v>
      </c>
      <c r="H1525" s="15" t="s">
        <v>36</v>
      </c>
      <c r="I1525" s="20" t="s">
        <v>37</v>
      </c>
      <c r="J1525" s="21">
        <v>1.46749613E8</v>
      </c>
      <c r="K1525" s="21">
        <v>120039.46</v>
      </c>
    </row>
    <row r="1526">
      <c r="A1526" s="15" t="s">
        <v>74</v>
      </c>
      <c r="B1526" s="16" t="s">
        <v>233</v>
      </c>
      <c r="C1526" s="17" t="s">
        <v>234</v>
      </c>
      <c r="D1526" s="18">
        <v>2.0</v>
      </c>
      <c r="E1526" s="17" t="s">
        <v>117</v>
      </c>
      <c r="F1526" s="15" t="s">
        <v>118</v>
      </c>
      <c r="G1526" s="19">
        <v>5.1100774E7</v>
      </c>
      <c r="H1526" s="15" t="s">
        <v>39</v>
      </c>
      <c r="I1526" s="20" t="s">
        <v>17</v>
      </c>
      <c r="J1526" s="21">
        <v>4.4956248E7</v>
      </c>
      <c r="K1526" s="21">
        <v>664.64</v>
      </c>
    </row>
    <row r="1527">
      <c r="A1527" s="15" t="s">
        <v>74</v>
      </c>
      <c r="B1527" s="16" t="s">
        <v>233</v>
      </c>
      <c r="C1527" s="17" t="s">
        <v>234</v>
      </c>
      <c r="D1527" s="18">
        <v>2.0</v>
      </c>
      <c r="E1527" s="17" t="s">
        <v>238</v>
      </c>
      <c r="F1527" s="15" t="s">
        <v>239</v>
      </c>
      <c r="G1527" s="19">
        <v>5.1100058E7</v>
      </c>
      <c r="H1527" s="15" t="s">
        <v>36</v>
      </c>
      <c r="I1527" s="20" t="s">
        <v>37</v>
      </c>
      <c r="J1527" s="21">
        <v>7202261.0</v>
      </c>
      <c r="K1527" s="21">
        <v>6000.0</v>
      </c>
    </row>
    <row r="1528">
      <c r="A1528" s="15" t="s">
        <v>74</v>
      </c>
      <c r="B1528" s="16" t="s">
        <v>233</v>
      </c>
      <c r="C1528" s="17" t="s">
        <v>234</v>
      </c>
      <c r="D1528" s="18">
        <v>2.0</v>
      </c>
      <c r="E1528" s="17" t="s">
        <v>238</v>
      </c>
      <c r="F1528" s="15" t="s">
        <v>239</v>
      </c>
      <c r="G1528" s="19">
        <v>9.0043003E7</v>
      </c>
      <c r="H1528" s="15" t="s">
        <v>90</v>
      </c>
      <c r="I1528" s="20" t="s">
        <v>50</v>
      </c>
      <c r="J1528" s="21">
        <v>6268995.0</v>
      </c>
      <c r="K1528" s="21">
        <v>45.0</v>
      </c>
    </row>
    <row r="1529">
      <c r="A1529" s="15" t="s">
        <v>74</v>
      </c>
      <c r="B1529" s="16" t="s">
        <v>233</v>
      </c>
      <c r="C1529" s="17" t="s">
        <v>234</v>
      </c>
      <c r="D1529" s="18">
        <v>2.0</v>
      </c>
      <c r="E1529" s="17" t="s">
        <v>123</v>
      </c>
      <c r="F1529" s="15" t="s">
        <v>124</v>
      </c>
      <c r="G1529" s="19">
        <v>5.1100774E7</v>
      </c>
      <c r="H1529" s="15" t="s">
        <v>39</v>
      </c>
      <c r="I1529" s="20" t="s">
        <v>17</v>
      </c>
      <c r="J1529" s="21">
        <v>3.2000787E7</v>
      </c>
      <c r="K1529" s="21">
        <v>8577.0</v>
      </c>
    </row>
    <row r="1530">
      <c r="A1530" s="15" t="s">
        <v>74</v>
      </c>
      <c r="B1530" s="16" t="s">
        <v>233</v>
      </c>
      <c r="C1530" s="17" t="s">
        <v>234</v>
      </c>
      <c r="D1530" s="18">
        <v>2.0</v>
      </c>
      <c r="E1530" s="17" t="s">
        <v>160</v>
      </c>
      <c r="F1530" s="15" t="s">
        <v>161</v>
      </c>
      <c r="G1530" s="19">
        <v>5.1100774E7</v>
      </c>
      <c r="H1530" s="15" t="s">
        <v>39</v>
      </c>
      <c r="I1530" s="20" t="s">
        <v>17</v>
      </c>
      <c r="J1530" s="21">
        <v>8.05693E7</v>
      </c>
      <c r="K1530" s="21">
        <v>24484.0</v>
      </c>
    </row>
    <row r="1531">
      <c r="A1531" s="15" t="s">
        <v>74</v>
      </c>
      <c r="B1531" s="16" t="s">
        <v>233</v>
      </c>
      <c r="C1531" s="17" t="s">
        <v>234</v>
      </c>
      <c r="D1531" s="18">
        <v>2.0</v>
      </c>
      <c r="E1531" s="17" t="s">
        <v>125</v>
      </c>
      <c r="F1531" s="15" t="s">
        <v>126</v>
      </c>
      <c r="G1531" s="19">
        <v>9.0043001E7</v>
      </c>
      <c r="H1531" s="15" t="s">
        <v>18</v>
      </c>
      <c r="I1531" s="20" t="s">
        <v>19</v>
      </c>
      <c r="J1531" s="21">
        <v>2.10181797E8</v>
      </c>
      <c r="K1531" s="21">
        <v>1505.0</v>
      </c>
    </row>
    <row r="1532">
      <c r="A1532" s="15" t="s">
        <v>74</v>
      </c>
      <c r="B1532" s="16" t="s">
        <v>233</v>
      </c>
      <c r="C1532" s="17" t="s">
        <v>234</v>
      </c>
      <c r="D1532" s="18">
        <v>2.0</v>
      </c>
      <c r="E1532" s="17" t="s">
        <v>127</v>
      </c>
      <c r="F1532" s="15" t="s">
        <v>128</v>
      </c>
      <c r="G1532" s="19">
        <v>5.1100153E7</v>
      </c>
      <c r="H1532" s="15" t="s">
        <v>72</v>
      </c>
      <c r="I1532" s="20" t="s">
        <v>25</v>
      </c>
      <c r="J1532" s="21">
        <v>5649982.0</v>
      </c>
      <c r="K1532" s="21">
        <v>0.0</v>
      </c>
    </row>
    <row r="1533">
      <c r="A1533" s="15" t="s">
        <v>74</v>
      </c>
      <c r="B1533" s="16" t="s">
        <v>233</v>
      </c>
      <c r="C1533" s="17" t="s">
        <v>234</v>
      </c>
      <c r="D1533" s="18">
        <v>2.0</v>
      </c>
      <c r="E1533" s="17" t="s">
        <v>127</v>
      </c>
      <c r="F1533" s="15" t="s">
        <v>128</v>
      </c>
      <c r="G1533" s="19">
        <v>5.1100153E7</v>
      </c>
      <c r="H1533" s="15" t="s">
        <v>72</v>
      </c>
      <c r="I1533" s="20" t="s">
        <v>17</v>
      </c>
      <c r="J1533" s="21">
        <v>2.53364422E8</v>
      </c>
      <c r="K1533" s="21">
        <v>3730200.0</v>
      </c>
    </row>
    <row r="1534">
      <c r="A1534" s="15" t="s">
        <v>74</v>
      </c>
      <c r="B1534" s="16" t="s">
        <v>233</v>
      </c>
      <c r="C1534" s="17" t="s">
        <v>234</v>
      </c>
      <c r="D1534" s="18">
        <v>2.0</v>
      </c>
      <c r="E1534" s="17" t="s">
        <v>135</v>
      </c>
      <c r="F1534" s="15" t="s">
        <v>136</v>
      </c>
      <c r="G1534" s="19">
        <v>5.1101056E7</v>
      </c>
      <c r="H1534" s="15" t="s">
        <v>16</v>
      </c>
      <c r="I1534" s="20" t="s">
        <v>17</v>
      </c>
      <c r="J1534" s="21">
        <v>6.07351E7</v>
      </c>
      <c r="K1534" s="21">
        <v>500238.0</v>
      </c>
    </row>
    <row r="1535">
      <c r="A1535" s="15" t="s">
        <v>74</v>
      </c>
      <c r="B1535" s="16" t="s">
        <v>233</v>
      </c>
      <c r="C1535" s="17" t="s">
        <v>234</v>
      </c>
      <c r="D1535" s="18">
        <v>2.0</v>
      </c>
      <c r="E1535" s="17" t="s">
        <v>135</v>
      </c>
      <c r="F1535" s="15" t="s">
        <v>136</v>
      </c>
      <c r="G1535" s="19">
        <v>9.0043001E7</v>
      </c>
      <c r="H1535" s="15" t="s">
        <v>18</v>
      </c>
      <c r="I1535" s="20" t="s">
        <v>19</v>
      </c>
      <c r="J1535" s="21">
        <v>1.48228012E8</v>
      </c>
      <c r="K1535" s="21">
        <v>1076.0</v>
      </c>
    </row>
    <row r="1536">
      <c r="A1536" s="15" t="s">
        <v>74</v>
      </c>
      <c r="B1536" s="16" t="s">
        <v>233</v>
      </c>
      <c r="C1536" s="17" t="s">
        <v>234</v>
      </c>
      <c r="D1536" s="18">
        <v>2.0</v>
      </c>
      <c r="E1536" s="17" t="s">
        <v>54</v>
      </c>
      <c r="F1536" s="15" t="s">
        <v>139</v>
      </c>
      <c r="G1536" s="19">
        <v>9.0042011E7</v>
      </c>
      <c r="H1536" s="15" t="s">
        <v>55</v>
      </c>
      <c r="I1536" s="20" t="s">
        <v>19</v>
      </c>
      <c r="J1536" s="21">
        <v>1.9118428E7</v>
      </c>
      <c r="K1536" s="21">
        <v>0.0</v>
      </c>
    </row>
    <row r="1537">
      <c r="A1537" s="15" t="s">
        <v>74</v>
      </c>
      <c r="B1537" s="16" t="s">
        <v>233</v>
      </c>
      <c r="C1537" s="17" t="s">
        <v>234</v>
      </c>
      <c r="D1537" s="18">
        <v>2.0</v>
      </c>
      <c r="E1537" s="17" t="s">
        <v>20</v>
      </c>
      <c r="F1537" s="15" t="s">
        <v>140</v>
      </c>
      <c r="G1537" s="19">
        <v>9.0042014E7</v>
      </c>
      <c r="H1537" s="15" t="s">
        <v>21</v>
      </c>
      <c r="I1537" s="20" t="s">
        <v>19</v>
      </c>
      <c r="J1537" s="21">
        <v>3.17133701E8</v>
      </c>
      <c r="K1537" s="21">
        <v>0.0</v>
      </c>
    </row>
    <row r="1538">
      <c r="A1538" s="15" t="s">
        <v>74</v>
      </c>
      <c r="B1538" s="16" t="s">
        <v>233</v>
      </c>
      <c r="C1538" s="17" t="s">
        <v>234</v>
      </c>
      <c r="D1538" s="18">
        <v>2.0</v>
      </c>
      <c r="E1538" s="17" t="s">
        <v>20</v>
      </c>
      <c r="F1538" s="15" t="s">
        <v>140</v>
      </c>
      <c r="G1538" s="19">
        <v>9.0042077E7</v>
      </c>
      <c r="H1538" s="15" t="s">
        <v>141</v>
      </c>
      <c r="I1538" s="20" t="s">
        <v>19</v>
      </c>
      <c r="J1538" s="21">
        <v>2.4050821E8</v>
      </c>
      <c r="K1538" s="21">
        <v>0.0</v>
      </c>
    </row>
    <row r="1539">
      <c r="A1539" s="15" t="s">
        <v>74</v>
      </c>
      <c r="B1539" s="16" t="s">
        <v>233</v>
      </c>
      <c r="C1539" s="17" t="s">
        <v>234</v>
      </c>
      <c r="D1539" s="18">
        <v>2.0</v>
      </c>
      <c r="E1539" s="17" t="s">
        <v>22</v>
      </c>
      <c r="F1539" s="15" t="s">
        <v>146</v>
      </c>
      <c r="G1539" s="19">
        <v>9.0042012E7</v>
      </c>
      <c r="H1539" s="15" t="s">
        <v>23</v>
      </c>
      <c r="I1539" s="20" t="s">
        <v>19</v>
      </c>
      <c r="J1539" s="21">
        <v>8.7143853E7</v>
      </c>
      <c r="K1539" s="21">
        <v>0.0</v>
      </c>
    </row>
    <row r="1540">
      <c r="A1540" s="15" t="s">
        <v>74</v>
      </c>
      <c r="B1540" s="16" t="s">
        <v>233</v>
      </c>
      <c r="C1540" s="17" t="s">
        <v>234</v>
      </c>
      <c r="D1540" s="18">
        <v>2.0</v>
      </c>
      <c r="E1540" s="17" t="s">
        <v>22</v>
      </c>
      <c r="F1540" s="15" t="s">
        <v>146</v>
      </c>
      <c r="G1540" s="19">
        <v>9.0042121E7</v>
      </c>
      <c r="H1540" s="15" t="s">
        <v>24</v>
      </c>
      <c r="I1540" s="20" t="s">
        <v>25</v>
      </c>
      <c r="J1540" s="21">
        <v>2.78380232E8</v>
      </c>
      <c r="K1540" s="21">
        <v>0.0</v>
      </c>
    </row>
    <row r="1541">
      <c r="A1541" s="15" t="s">
        <v>74</v>
      </c>
      <c r="B1541" s="16" t="s">
        <v>233</v>
      </c>
      <c r="C1541" s="17" t="s">
        <v>234</v>
      </c>
      <c r="D1541" s="18">
        <v>2.0</v>
      </c>
      <c r="E1541" s="17" t="s">
        <v>22</v>
      </c>
      <c r="F1541" s="15" t="s">
        <v>146</v>
      </c>
      <c r="G1541" s="19">
        <v>9.0042122E7</v>
      </c>
      <c r="H1541" s="15" t="s">
        <v>56</v>
      </c>
      <c r="I1541" s="20" t="s">
        <v>25</v>
      </c>
      <c r="J1541" s="21">
        <v>1.1808953E7</v>
      </c>
      <c r="K1541" s="21">
        <v>0.0</v>
      </c>
    </row>
    <row r="1542">
      <c r="A1542" s="15" t="s">
        <v>74</v>
      </c>
      <c r="B1542" s="16" t="s">
        <v>233</v>
      </c>
      <c r="C1542" s="17" t="s">
        <v>234</v>
      </c>
      <c r="D1542" s="18">
        <v>2.0</v>
      </c>
      <c r="E1542" s="17" t="s">
        <v>22</v>
      </c>
      <c r="F1542" s="15" t="s">
        <v>146</v>
      </c>
      <c r="G1542" s="19">
        <v>9.0042124E7</v>
      </c>
      <c r="H1542" s="15" t="s">
        <v>57</v>
      </c>
      <c r="I1542" s="20" t="s">
        <v>25</v>
      </c>
      <c r="J1542" s="21">
        <v>9517100.0</v>
      </c>
      <c r="K1542" s="21">
        <v>0.0</v>
      </c>
    </row>
    <row r="1543">
      <c r="A1543" s="15" t="s">
        <v>74</v>
      </c>
      <c r="B1543" s="16" t="s">
        <v>233</v>
      </c>
      <c r="C1543" s="17" t="s">
        <v>234</v>
      </c>
      <c r="D1543" s="18">
        <v>2.0</v>
      </c>
      <c r="E1543" s="17" t="s">
        <v>22</v>
      </c>
      <c r="F1543" s="15" t="s">
        <v>146</v>
      </c>
      <c r="G1543" s="19">
        <v>9.0042125E7</v>
      </c>
      <c r="H1543" s="15" t="s">
        <v>26</v>
      </c>
      <c r="I1543" s="20" t="s">
        <v>25</v>
      </c>
      <c r="J1543" s="21">
        <v>5.3763604E7</v>
      </c>
      <c r="K1543" s="21">
        <v>0.0</v>
      </c>
    </row>
    <row r="1544">
      <c r="A1544" s="15" t="s">
        <v>74</v>
      </c>
      <c r="B1544" s="16" t="s">
        <v>233</v>
      </c>
      <c r="C1544" s="17" t="s">
        <v>234</v>
      </c>
      <c r="D1544" s="18">
        <v>2.0</v>
      </c>
      <c r="E1544" s="17" t="s">
        <v>22</v>
      </c>
      <c r="F1544" s="15" t="s">
        <v>146</v>
      </c>
      <c r="G1544" s="19">
        <v>9.0042127E7</v>
      </c>
      <c r="H1544" s="15" t="s">
        <v>27</v>
      </c>
      <c r="I1544" s="20" t="s">
        <v>25</v>
      </c>
      <c r="J1544" s="21">
        <v>2021223.0</v>
      </c>
      <c r="K1544" s="21">
        <v>0.0</v>
      </c>
    </row>
    <row r="1545">
      <c r="A1545" s="15" t="s">
        <v>74</v>
      </c>
      <c r="B1545" s="16" t="s">
        <v>233</v>
      </c>
      <c r="C1545" s="17" t="s">
        <v>234</v>
      </c>
      <c r="D1545" s="18">
        <v>2.0</v>
      </c>
      <c r="E1545" s="17" t="s">
        <v>22</v>
      </c>
      <c r="F1545" s="15" t="s">
        <v>146</v>
      </c>
      <c r="G1545" s="19">
        <v>9.0042132E7</v>
      </c>
      <c r="H1545" s="15" t="s">
        <v>28</v>
      </c>
      <c r="I1545" s="20" t="s">
        <v>25</v>
      </c>
      <c r="J1545" s="21">
        <v>6115374.0</v>
      </c>
      <c r="K1545" s="21">
        <v>0.0</v>
      </c>
    </row>
    <row r="1546">
      <c r="A1546" s="15" t="s">
        <v>74</v>
      </c>
      <c r="B1546" s="16" t="s">
        <v>233</v>
      </c>
      <c r="C1546" s="17" t="s">
        <v>234</v>
      </c>
      <c r="D1546" s="18">
        <v>2.0</v>
      </c>
      <c r="E1546" s="17" t="s">
        <v>22</v>
      </c>
      <c r="F1546" s="15" t="s">
        <v>146</v>
      </c>
      <c r="G1546" s="19">
        <v>9.0042134E7</v>
      </c>
      <c r="H1546" s="15" t="s">
        <v>29</v>
      </c>
      <c r="I1546" s="20" t="s">
        <v>25</v>
      </c>
      <c r="J1546" s="21">
        <v>1065600.0</v>
      </c>
      <c r="K1546" s="21">
        <v>0.0</v>
      </c>
    </row>
    <row r="1547">
      <c r="A1547" s="15" t="s">
        <v>74</v>
      </c>
      <c r="B1547" s="16" t="s">
        <v>233</v>
      </c>
      <c r="C1547" s="17" t="s">
        <v>234</v>
      </c>
      <c r="D1547" s="18">
        <v>2.0</v>
      </c>
      <c r="E1547" s="17" t="s">
        <v>22</v>
      </c>
      <c r="F1547" s="15" t="s">
        <v>146</v>
      </c>
      <c r="G1547" s="19">
        <v>9.0042135E7</v>
      </c>
      <c r="H1547" s="15" t="s">
        <v>30</v>
      </c>
      <c r="I1547" s="20" t="s">
        <v>25</v>
      </c>
      <c r="J1547" s="21">
        <v>1.70533556E8</v>
      </c>
      <c r="K1547" s="21">
        <v>0.0</v>
      </c>
    </row>
    <row r="1548">
      <c r="A1548" s="15" t="s">
        <v>74</v>
      </c>
      <c r="B1548" s="16" t="s">
        <v>233</v>
      </c>
      <c r="C1548" s="17" t="s">
        <v>234</v>
      </c>
      <c r="D1548" s="18">
        <v>2.0</v>
      </c>
      <c r="E1548" s="17" t="s">
        <v>22</v>
      </c>
      <c r="F1548" s="15" t="s">
        <v>146</v>
      </c>
      <c r="G1548" s="19">
        <v>9.00422E7</v>
      </c>
      <c r="H1548" s="15" t="s">
        <v>73</v>
      </c>
      <c r="I1548" s="20" t="s">
        <v>60</v>
      </c>
      <c r="J1548" s="21">
        <v>3.67712828E8</v>
      </c>
      <c r="K1548" s="21">
        <v>0.0</v>
      </c>
    </row>
    <row r="1549">
      <c r="A1549" s="15" t="s">
        <v>74</v>
      </c>
      <c r="B1549" s="16" t="s">
        <v>233</v>
      </c>
      <c r="C1549" s="17" t="s">
        <v>234</v>
      </c>
      <c r="D1549" s="18">
        <v>2.0</v>
      </c>
      <c r="E1549" s="17" t="s">
        <v>22</v>
      </c>
      <c r="F1549" s="15" t="s">
        <v>146</v>
      </c>
      <c r="G1549" s="19">
        <v>9.0042224E7</v>
      </c>
      <c r="H1549" s="15" t="s">
        <v>62</v>
      </c>
      <c r="I1549" s="20" t="s">
        <v>60</v>
      </c>
      <c r="J1549" s="21">
        <v>7438770.0</v>
      </c>
      <c r="K1549" s="21">
        <v>0.0</v>
      </c>
    </row>
    <row r="1550">
      <c r="A1550" s="15" t="s">
        <v>74</v>
      </c>
      <c r="B1550" s="16" t="s">
        <v>233</v>
      </c>
      <c r="C1550" s="17" t="s">
        <v>234</v>
      </c>
      <c r="D1550" s="18">
        <v>2.0</v>
      </c>
      <c r="E1550" s="17" t="s">
        <v>22</v>
      </c>
      <c r="F1550" s="15" t="s">
        <v>146</v>
      </c>
      <c r="G1550" s="19">
        <v>9.0042226E7</v>
      </c>
      <c r="H1550" s="15" t="s">
        <v>63</v>
      </c>
      <c r="I1550" s="20" t="s">
        <v>60</v>
      </c>
      <c r="J1550" s="21">
        <v>408334.0</v>
      </c>
      <c r="K1550" s="21">
        <v>0.0</v>
      </c>
    </row>
    <row r="1551">
      <c r="A1551" s="15" t="s">
        <v>74</v>
      </c>
      <c r="B1551" s="16" t="s">
        <v>233</v>
      </c>
      <c r="C1551" s="17" t="s">
        <v>234</v>
      </c>
      <c r="D1551" s="18">
        <v>2.0</v>
      </c>
      <c r="E1551" s="17" t="s">
        <v>22</v>
      </c>
      <c r="F1551" s="15" t="s">
        <v>146</v>
      </c>
      <c r="G1551" s="19">
        <v>9.0042227E7</v>
      </c>
      <c r="H1551" s="15" t="s">
        <v>241</v>
      </c>
      <c r="I1551" s="20" t="s">
        <v>60</v>
      </c>
      <c r="J1551" s="21">
        <v>2930000.0</v>
      </c>
      <c r="K1551" s="21">
        <v>0.0</v>
      </c>
    </row>
    <row r="1552">
      <c r="A1552" s="15" t="s">
        <v>74</v>
      </c>
      <c r="B1552" s="16" t="s">
        <v>233</v>
      </c>
      <c r="C1552" s="17" t="s">
        <v>234</v>
      </c>
      <c r="D1552" s="18">
        <v>2.0</v>
      </c>
      <c r="E1552" s="17" t="s">
        <v>22</v>
      </c>
      <c r="F1552" s="15" t="s">
        <v>146</v>
      </c>
      <c r="G1552" s="19">
        <v>9.0042228E7</v>
      </c>
      <c r="H1552" s="15" t="s">
        <v>64</v>
      </c>
      <c r="I1552" s="20" t="s">
        <v>60</v>
      </c>
      <c r="J1552" s="21">
        <v>3.0863451E7</v>
      </c>
      <c r="K1552" s="21">
        <v>0.0</v>
      </c>
    </row>
    <row r="1553">
      <c r="A1553" s="15" t="s">
        <v>74</v>
      </c>
      <c r="B1553" s="16" t="s">
        <v>233</v>
      </c>
      <c r="C1553" s="17" t="s">
        <v>234</v>
      </c>
      <c r="D1553" s="18">
        <v>2.0</v>
      </c>
      <c r="E1553" s="17" t="s">
        <v>22</v>
      </c>
      <c r="F1553" s="15" t="s">
        <v>146</v>
      </c>
      <c r="G1553" s="19">
        <v>9.0042231E7</v>
      </c>
      <c r="H1553" s="15" t="s">
        <v>65</v>
      </c>
      <c r="I1553" s="20" t="s">
        <v>60</v>
      </c>
      <c r="J1553" s="21">
        <v>5162528.0</v>
      </c>
      <c r="K1553" s="21">
        <v>0.0</v>
      </c>
    </row>
    <row r="1554">
      <c r="A1554" s="15" t="s">
        <v>74</v>
      </c>
      <c r="B1554" s="16" t="s">
        <v>233</v>
      </c>
      <c r="C1554" s="17" t="s">
        <v>234</v>
      </c>
      <c r="D1554" s="18">
        <v>2.0</v>
      </c>
      <c r="E1554" s="17" t="s">
        <v>22</v>
      </c>
      <c r="F1554" s="15" t="s">
        <v>146</v>
      </c>
      <c r="G1554" s="19">
        <v>9.0042126E7</v>
      </c>
      <c r="H1554" s="15" t="s">
        <v>31</v>
      </c>
      <c r="I1554" s="20" t="s">
        <v>25</v>
      </c>
      <c r="J1554" s="21">
        <v>3.6148372E7</v>
      </c>
      <c r="K1554" s="21">
        <v>0.0</v>
      </c>
    </row>
    <row r="1555">
      <c r="A1555" s="15" t="s">
        <v>74</v>
      </c>
      <c r="B1555" s="16" t="s">
        <v>233</v>
      </c>
      <c r="C1555" s="17" t="s">
        <v>234</v>
      </c>
      <c r="D1555" s="18">
        <v>2.0</v>
      </c>
      <c r="E1555" s="17" t="s">
        <v>22</v>
      </c>
      <c r="F1555" s="15" t="s">
        <v>146</v>
      </c>
      <c r="G1555" s="19">
        <v>9.004212E7</v>
      </c>
      <c r="H1555" s="15" t="s">
        <v>182</v>
      </c>
      <c r="I1555" s="20" t="s">
        <v>25</v>
      </c>
      <c r="J1555" s="21">
        <v>1.466955E8</v>
      </c>
      <c r="K1555" s="21">
        <v>0.0</v>
      </c>
    </row>
    <row r="1556">
      <c r="A1556" s="15" t="s">
        <v>74</v>
      </c>
      <c r="B1556" s="16" t="s">
        <v>233</v>
      </c>
      <c r="C1556" s="17" t="s">
        <v>234</v>
      </c>
      <c r="D1556" s="18">
        <v>2.0</v>
      </c>
      <c r="E1556" s="17" t="s">
        <v>257</v>
      </c>
      <c r="F1556" s="15" t="s">
        <v>258</v>
      </c>
      <c r="G1556" s="19">
        <v>5.1100774E7</v>
      </c>
      <c r="H1556" s="15" t="s">
        <v>39</v>
      </c>
      <c r="I1556" s="20" t="s">
        <v>17</v>
      </c>
      <c r="J1556" s="21">
        <v>175000.0</v>
      </c>
      <c r="K1556" s="21">
        <v>0.02</v>
      </c>
    </row>
    <row r="1557">
      <c r="A1557" s="15" t="s">
        <v>74</v>
      </c>
      <c r="B1557" s="16" t="s">
        <v>244</v>
      </c>
      <c r="C1557" s="17" t="s">
        <v>245</v>
      </c>
      <c r="D1557" s="18">
        <v>2.0</v>
      </c>
      <c r="E1557" s="24">
        <v>46038.0</v>
      </c>
      <c r="F1557" s="15" t="s">
        <v>150</v>
      </c>
      <c r="G1557" s="19">
        <v>9.0043001E7</v>
      </c>
      <c r="H1557" s="15" t="s">
        <v>18</v>
      </c>
      <c r="I1557" s="20" t="s">
        <v>19</v>
      </c>
      <c r="J1557" s="21">
        <v>2.478074E7</v>
      </c>
      <c r="K1557" s="21">
        <v>170.0</v>
      </c>
    </row>
    <row r="1558">
      <c r="A1558" s="15" t="s">
        <v>74</v>
      </c>
      <c r="B1558" s="16" t="s">
        <v>244</v>
      </c>
      <c r="C1558" s="17" t="s">
        <v>245</v>
      </c>
      <c r="D1558" s="18">
        <v>2.0</v>
      </c>
      <c r="E1558" s="24">
        <v>46158.0</v>
      </c>
      <c r="F1558" s="15" t="s">
        <v>151</v>
      </c>
      <c r="G1558" s="19">
        <v>9.0043001E7</v>
      </c>
      <c r="H1558" s="15" t="s">
        <v>18</v>
      </c>
      <c r="I1558" s="20" t="s">
        <v>19</v>
      </c>
      <c r="J1558" s="21">
        <v>3171407.0</v>
      </c>
      <c r="K1558" s="21">
        <v>22.0</v>
      </c>
    </row>
    <row r="1559">
      <c r="A1559" s="15" t="s">
        <v>74</v>
      </c>
      <c r="B1559" s="16" t="s">
        <v>244</v>
      </c>
      <c r="C1559" s="17" t="s">
        <v>245</v>
      </c>
      <c r="D1559" s="18">
        <v>2.0</v>
      </c>
      <c r="E1559" s="17" t="s">
        <v>77</v>
      </c>
      <c r="F1559" s="15" t="s">
        <v>78</v>
      </c>
      <c r="G1559" s="19">
        <v>9.0043001E7</v>
      </c>
      <c r="H1559" s="15" t="s">
        <v>18</v>
      </c>
      <c r="I1559" s="20" t="s">
        <v>19</v>
      </c>
      <c r="J1559" s="21">
        <v>1.1051355E7</v>
      </c>
      <c r="K1559" s="21">
        <v>72.5</v>
      </c>
    </row>
    <row r="1560">
      <c r="A1560" s="15" t="s">
        <v>74</v>
      </c>
      <c r="B1560" s="16" t="s">
        <v>244</v>
      </c>
      <c r="C1560" s="17" t="s">
        <v>245</v>
      </c>
      <c r="D1560" s="18">
        <v>2.0</v>
      </c>
      <c r="E1560" s="17" t="s">
        <v>222</v>
      </c>
      <c r="F1560" s="15" t="s">
        <v>223</v>
      </c>
      <c r="G1560" s="19">
        <v>5.1100153E7</v>
      </c>
      <c r="H1560" s="15" t="s">
        <v>72</v>
      </c>
      <c r="I1560" s="20" t="s">
        <v>17</v>
      </c>
      <c r="J1560" s="21">
        <v>1270417.0</v>
      </c>
      <c r="K1560" s="21">
        <v>7881.0</v>
      </c>
    </row>
    <row r="1561">
      <c r="A1561" s="15" t="s">
        <v>74</v>
      </c>
      <c r="B1561" s="16" t="s">
        <v>244</v>
      </c>
      <c r="C1561" s="17" t="s">
        <v>245</v>
      </c>
      <c r="D1561" s="18">
        <v>2.0</v>
      </c>
      <c r="E1561" s="17" t="s">
        <v>79</v>
      </c>
      <c r="F1561" s="15" t="s">
        <v>80</v>
      </c>
      <c r="G1561" s="19">
        <v>9.0043001E7</v>
      </c>
      <c r="H1561" s="15" t="s">
        <v>18</v>
      </c>
      <c r="I1561" s="20" t="s">
        <v>19</v>
      </c>
      <c r="J1561" s="21">
        <v>1206112.0</v>
      </c>
      <c r="K1561" s="21">
        <v>8.0</v>
      </c>
    </row>
    <row r="1562">
      <c r="A1562" s="15" t="s">
        <v>74</v>
      </c>
      <c r="B1562" s="16" t="s">
        <v>244</v>
      </c>
      <c r="C1562" s="17" t="s">
        <v>245</v>
      </c>
      <c r="D1562" s="18">
        <v>2.0</v>
      </c>
      <c r="E1562" s="17" t="s">
        <v>81</v>
      </c>
      <c r="F1562" s="15" t="s">
        <v>82</v>
      </c>
      <c r="G1562" s="19">
        <v>9.0043001E7</v>
      </c>
      <c r="H1562" s="15" t="s">
        <v>18</v>
      </c>
      <c r="I1562" s="20" t="s">
        <v>19</v>
      </c>
      <c r="J1562" s="21">
        <v>1.680888E7</v>
      </c>
      <c r="K1562" s="21">
        <v>102.0</v>
      </c>
    </row>
    <row r="1563">
      <c r="A1563" s="15" t="s">
        <v>74</v>
      </c>
      <c r="B1563" s="16" t="s">
        <v>244</v>
      </c>
      <c r="C1563" s="17" t="s">
        <v>245</v>
      </c>
      <c r="D1563" s="18">
        <v>2.0</v>
      </c>
      <c r="E1563" s="17" t="s">
        <v>84</v>
      </c>
      <c r="F1563" s="15" t="s">
        <v>85</v>
      </c>
      <c r="G1563" s="19">
        <v>9.0043001E7</v>
      </c>
      <c r="H1563" s="15" t="s">
        <v>18</v>
      </c>
      <c r="I1563" s="20" t="s">
        <v>19</v>
      </c>
      <c r="J1563" s="21">
        <v>3.0719584E7</v>
      </c>
      <c r="K1563" s="21">
        <v>200.5</v>
      </c>
    </row>
    <row r="1564">
      <c r="A1564" s="15" t="s">
        <v>74</v>
      </c>
      <c r="B1564" s="16" t="s">
        <v>244</v>
      </c>
      <c r="C1564" s="17" t="s">
        <v>245</v>
      </c>
      <c r="D1564" s="18">
        <v>2.0</v>
      </c>
      <c r="E1564" s="17" t="s">
        <v>84</v>
      </c>
      <c r="F1564" s="15" t="s">
        <v>85</v>
      </c>
      <c r="G1564" s="19">
        <v>9.0043E7</v>
      </c>
      <c r="H1564" s="15" t="s">
        <v>83</v>
      </c>
      <c r="I1564" s="20" t="s">
        <v>19</v>
      </c>
      <c r="J1564" s="21">
        <v>2667878.0</v>
      </c>
      <c r="K1564" s="21">
        <v>17.0</v>
      </c>
    </row>
    <row r="1565">
      <c r="A1565" s="15" t="s">
        <v>74</v>
      </c>
      <c r="B1565" s="16" t="s">
        <v>244</v>
      </c>
      <c r="C1565" s="17" t="s">
        <v>245</v>
      </c>
      <c r="D1565" s="18">
        <v>2.0</v>
      </c>
      <c r="E1565" s="17" t="s">
        <v>86</v>
      </c>
      <c r="F1565" s="15" t="s">
        <v>87</v>
      </c>
      <c r="G1565" s="19">
        <v>9.0043001E7</v>
      </c>
      <c r="H1565" s="15" t="s">
        <v>18</v>
      </c>
      <c r="I1565" s="20" t="s">
        <v>19</v>
      </c>
      <c r="J1565" s="21">
        <v>3.227656E7</v>
      </c>
      <c r="K1565" s="21">
        <v>206.0</v>
      </c>
    </row>
    <row r="1566">
      <c r="A1566" s="15" t="s">
        <v>74</v>
      </c>
      <c r="B1566" s="16" t="s">
        <v>244</v>
      </c>
      <c r="C1566" s="17" t="s">
        <v>245</v>
      </c>
      <c r="D1566" s="18">
        <v>2.0</v>
      </c>
      <c r="E1566" s="17" t="s">
        <v>86</v>
      </c>
      <c r="F1566" s="15" t="s">
        <v>87</v>
      </c>
      <c r="G1566" s="19">
        <v>9.0043E7</v>
      </c>
      <c r="H1566" s="15" t="s">
        <v>83</v>
      </c>
      <c r="I1566" s="20" t="s">
        <v>19</v>
      </c>
      <c r="J1566" s="21">
        <v>2323106.0</v>
      </c>
      <c r="K1566" s="21">
        <v>14.0</v>
      </c>
    </row>
    <row r="1567">
      <c r="A1567" s="15" t="s">
        <v>74</v>
      </c>
      <c r="B1567" s="16" t="s">
        <v>244</v>
      </c>
      <c r="C1567" s="17" t="s">
        <v>245</v>
      </c>
      <c r="D1567" s="18">
        <v>2.0</v>
      </c>
      <c r="E1567" s="17" t="s">
        <v>88</v>
      </c>
      <c r="F1567" s="15" t="s">
        <v>89</v>
      </c>
      <c r="G1567" s="19">
        <v>9.0043002E7</v>
      </c>
      <c r="H1567" s="15" t="s">
        <v>49</v>
      </c>
      <c r="I1567" s="20" t="s">
        <v>50</v>
      </c>
      <c r="J1567" s="21">
        <v>1.6471287E7</v>
      </c>
      <c r="K1567" s="21">
        <v>621.0</v>
      </c>
    </row>
    <row r="1568">
      <c r="A1568" s="15" t="s">
        <v>74</v>
      </c>
      <c r="B1568" s="16" t="s">
        <v>244</v>
      </c>
      <c r="C1568" s="17" t="s">
        <v>245</v>
      </c>
      <c r="D1568" s="18">
        <v>2.0</v>
      </c>
      <c r="E1568" s="17" t="s">
        <v>91</v>
      </c>
      <c r="F1568" s="15" t="s">
        <v>92</v>
      </c>
      <c r="G1568" s="19">
        <v>9.0043001E7</v>
      </c>
      <c r="H1568" s="15" t="s">
        <v>18</v>
      </c>
      <c r="I1568" s="20" t="s">
        <v>19</v>
      </c>
      <c r="J1568" s="21">
        <v>1.3065134E7</v>
      </c>
      <c r="K1568" s="21">
        <v>86.0</v>
      </c>
    </row>
    <row r="1569">
      <c r="A1569" s="15" t="s">
        <v>74</v>
      </c>
      <c r="B1569" s="16" t="s">
        <v>244</v>
      </c>
      <c r="C1569" s="17" t="s">
        <v>245</v>
      </c>
      <c r="D1569" s="18">
        <v>2.0</v>
      </c>
      <c r="E1569" s="17" t="s">
        <v>91</v>
      </c>
      <c r="F1569" s="15" t="s">
        <v>92</v>
      </c>
      <c r="G1569" s="19">
        <v>5.1100774E7</v>
      </c>
      <c r="H1569" s="15" t="s">
        <v>39</v>
      </c>
      <c r="I1569" s="20" t="s">
        <v>17</v>
      </c>
      <c r="J1569" s="21">
        <v>954000.0</v>
      </c>
      <c r="K1569" s="21">
        <v>106.0</v>
      </c>
    </row>
    <row r="1570">
      <c r="A1570" s="15" t="s">
        <v>74</v>
      </c>
      <c r="B1570" s="16" t="s">
        <v>244</v>
      </c>
      <c r="C1570" s="17" t="s">
        <v>245</v>
      </c>
      <c r="D1570" s="18">
        <v>2.0</v>
      </c>
      <c r="E1570" s="17" t="s">
        <v>246</v>
      </c>
      <c r="F1570" s="15" t="s">
        <v>247</v>
      </c>
      <c r="G1570" s="19">
        <v>9.0043001E7</v>
      </c>
      <c r="H1570" s="15" t="s">
        <v>18</v>
      </c>
      <c r="I1570" s="20" t="s">
        <v>19</v>
      </c>
      <c r="J1570" s="21">
        <v>1.3065228E7</v>
      </c>
      <c r="K1570" s="21">
        <v>83.0</v>
      </c>
    </row>
    <row r="1571">
      <c r="A1571" s="15" t="s">
        <v>74</v>
      </c>
      <c r="B1571" s="16" t="s">
        <v>244</v>
      </c>
      <c r="C1571" s="17" t="s">
        <v>245</v>
      </c>
      <c r="D1571" s="18">
        <v>2.0</v>
      </c>
      <c r="E1571" s="17" t="s">
        <v>156</v>
      </c>
      <c r="F1571" s="15" t="s">
        <v>157</v>
      </c>
      <c r="G1571" s="19">
        <v>9.0043001E7</v>
      </c>
      <c r="H1571" s="15" t="s">
        <v>18</v>
      </c>
      <c r="I1571" s="20" t="s">
        <v>19</v>
      </c>
      <c r="J1571" s="21">
        <v>3806246.0</v>
      </c>
      <c r="K1571" s="21">
        <v>23.0</v>
      </c>
    </row>
    <row r="1572">
      <c r="A1572" s="15" t="s">
        <v>74</v>
      </c>
      <c r="B1572" s="16" t="s">
        <v>244</v>
      </c>
      <c r="C1572" s="17" t="s">
        <v>245</v>
      </c>
      <c r="D1572" s="18">
        <v>2.0</v>
      </c>
      <c r="E1572" s="17" t="s">
        <v>95</v>
      </c>
      <c r="F1572" s="15" t="s">
        <v>96</v>
      </c>
      <c r="G1572" s="19">
        <v>9.0043001E7</v>
      </c>
      <c r="H1572" s="15" t="s">
        <v>18</v>
      </c>
      <c r="I1572" s="20" t="s">
        <v>19</v>
      </c>
      <c r="J1572" s="21">
        <v>4.1906022E7</v>
      </c>
      <c r="K1572" s="21">
        <v>278.0</v>
      </c>
    </row>
    <row r="1573">
      <c r="A1573" s="15" t="s">
        <v>74</v>
      </c>
      <c r="B1573" s="16" t="s">
        <v>244</v>
      </c>
      <c r="C1573" s="17" t="s">
        <v>245</v>
      </c>
      <c r="D1573" s="18">
        <v>2.0</v>
      </c>
      <c r="E1573" s="17" t="s">
        <v>99</v>
      </c>
      <c r="F1573" s="15" t="s">
        <v>100</v>
      </c>
      <c r="G1573" s="19">
        <v>9.0043001E7</v>
      </c>
      <c r="H1573" s="15" t="s">
        <v>18</v>
      </c>
      <c r="I1573" s="20" t="s">
        <v>19</v>
      </c>
      <c r="J1573" s="21">
        <v>4.288406E7</v>
      </c>
      <c r="K1573" s="21">
        <v>284.0</v>
      </c>
    </row>
    <row r="1574">
      <c r="A1574" s="15" t="s">
        <v>74</v>
      </c>
      <c r="B1574" s="16" t="s">
        <v>244</v>
      </c>
      <c r="C1574" s="17" t="s">
        <v>245</v>
      </c>
      <c r="D1574" s="18">
        <v>2.0</v>
      </c>
      <c r="E1574" s="17" t="s">
        <v>101</v>
      </c>
      <c r="F1574" s="15" t="s">
        <v>102</v>
      </c>
      <c r="G1574" s="19">
        <v>9.0043001E7</v>
      </c>
      <c r="H1574" s="15" t="s">
        <v>18</v>
      </c>
      <c r="I1574" s="20" t="s">
        <v>19</v>
      </c>
      <c r="J1574" s="21">
        <v>1.15487378E8</v>
      </c>
      <c r="K1574" s="21">
        <v>733.0</v>
      </c>
    </row>
    <row r="1575">
      <c r="A1575" s="15" t="s">
        <v>74</v>
      </c>
      <c r="B1575" s="16" t="s">
        <v>244</v>
      </c>
      <c r="C1575" s="17" t="s">
        <v>245</v>
      </c>
      <c r="D1575" s="18">
        <v>2.0</v>
      </c>
      <c r="E1575" s="17" t="s">
        <v>101</v>
      </c>
      <c r="F1575" s="15" t="s">
        <v>102</v>
      </c>
      <c r="G1575" s="19">
        <v>5.1100774E7</v>
      </c>
      <c r="H1575" s="15" t="s">
        <v>39</v>
      </c>
      <c r="I1575" s="20" t="s">
        <v>17</v>
      </c>
      <c r="J1575" s="21">
        <v>9.9811428E7</v>
      </c>
      <c r="K1575" s="21">
        <v>574.69</v>
      </c>
    </row>
    <row r="1576">
      <c r="A1576" s="15" t="s">
        <v>74</v>
      </c>
      <c r="B1576" s="16" t="s">
        <v>244</v>
      </c>
      <c r="C1576" s="17" t="s">
        <v>245</v>
      </c>
      <c r="D1576" s="18">
        <v>2.0</v>
      </c>
      <c r="E1576" s="17" t="s">
        <v>103</v>
      </c>
      <c r="F1576" s="15" t="s">
        <v>104</v>
      </c>
      <c r="G1576" s="19">
        <v>5.1100058E7</v>
      </c>
      <c r="H1576" s="15" t="s">
        <v>36</v>
      </c>
      <c r="I1576" s="20" t="s">
        <v>37</v>
      </c>
      <c r="J1576" s="21">
        <v>6.1858505E7</v>
      </c>
      <c r="K1576" s="21">
        <v>844.89</v>
      </c>
    </row>
    <row r="1577">
      <c r="A1577" s="15" t="s">
        <v>74</v>
      </c>
      <c r="B1577" s="16" t="s">
        <v>244</v>
      </c>
      <c r="C1577" s="17" t="s">
        <v>245</v>
      </c>
      <c r="D1577" s="18">
        <v>2.0</v>
      </c>
      <c r="E1577" s="17" t="s">
        <v>103</v>
      </c>
      <c r="F1577" s="15" t="s">
        <v>104</v>
      </c>
      <c r="G1577" s="19">
        <v>9.0043001E7</v>
      </c>
      <c r="H1577" s="15" t="s">
        <v>18</v>
      </c>
      <c r="I1577" s="20" t="s">
        <v>19</v>
      </c>
      <c r="J1577" s="21">
        <v>1.8734614E7</v>
      </c>
      <c r="K1577" s="21">
        <v>123.0</v>
      </c>
    </row>
    <row r="1578">
      <c r="A1578" s="15" t="s">
        <v>74</v>
      </c>
      <c r="B1578" s="16" t="s">
        <v>244</v>
      </c>
      <c r="C1578" s="17" t="s">
        <v>245</v>
      </c>
      <c r="D1578" s="18">
        <v>2.0</v>
      </c>
      <c r="E1578" s="17" t="s">
        <v>103</v>
      </c>
      <c r="F1578" s="15" t="s">
        <v>104</v>
      </c>
      <c r="G1578" s="19">
        <v>5.1100774E7</v>
      </c>
      <c r="H1578" s="15" t="s">
        <v>39</v>
      </c>
      <c r="I1578" s="20" t="s">
        <v>17</v>
      </c>
      <c r="J1578" s="21">
        <v>2.0920358E7</v>
      </c>
      <c r="K1578" s="21">
        <v>113.29</v>
      </c>
    </row>
    <row r="1579">
      <c r="A1579" s="15" t="s">
        <v>74</v>
      </c>
      <c r="B1579" s="16" t="s">
        <v>244</v>
      </c>
      <c r="C1579" s="17" t="s">
        <v>245</v>
      </c>
      <c r="D1579" s="18">
        <v>2.0</v>
      </c>
      <c r="E1579" s="17" t="s">
        <v>108</v>
      </c>
      <c r="F1579" s="15" t="s">
        <v>109</v>
      </c>
      <c r="G1579" s="19">
        <v>5.1100058E7</v>
      </c>
      <c r="H1579" s="15" t="s">
        <v>36</v>
      </c>
      <c r="I1579" s="20" t="s">
        <v>37</v>
      </c>
      <c r="J1579" s="21">
        <v>2.145E7</v>
      </c>
      <c r="K1579" s="21">
        <v>264.0</v>
      </c>
    </row>
    <row r="1580">
      <c r="A1580" s="15" t="s">
        <v>74</v>
      </c>
      <c r="B1580" s="16" t="s">
        <v>244</v>
      </c>
      <c r="C1580" s="17" t="s">
        <v>245</v>
      </c>
      <c r="D1580" s="18">
        <v>2.0</v>
      </c>
      <c r="E1580" s="17" t="s">
        <v>108</v>
      </c>
      <c r="F1580" s="15" t="s">
        <v>109</v>
      </c>
      <c r="G1580" s="19">
        <v>5.1100774E7</v>
      </c>
      <c r="H1580" s="15" t="s">
        <v>39</v>
      </c>
      <c r="I1580" s="20" t="s">
        <v>17</v>
      </c>
      <c r="J1580" s="21">
        <v>1.4203091E7</v>
      </c>
      <c r="K1580" s="21">
        <v>384.57</v>
      </c>
    </row>
    <row r="1581">
      <c r="A1581" s="15" t="s">
        <v>74</v>
      </c>
      <c r="B1581" s="16" t="s">
        <v>244</v>
      </c>
      <c r="C1581" s="17" t="s">
        <v>245</v>
      </c>
      <c r="D1581" s="18">
        <v>2.0</v>
      </c>
      <c r="E1581" s="17" t="s">
        <v>207</v>
      </c>
      <c r="F1581" s="15" t="s">
        <v>208</v>
      </c>
      <c r="G1581" s="19">
        <v>9.0043002E7</v>
      </c>
      <c r="H1581" s="15" t="s">
        <v>49</v>
      </c>
      <c r="I1581" s="20" t="s">
        <v>50</v>
      </c>
      <c r="J1581" s="21">
        <v>5742563.0</v>
      </c>
      <c r="K1581" s="21">
        <v>233.0</v>
      </c>
    </row>
    <row r="1582">
      <c r="A1582" s="15" t="s">
        <v>74</v>
      </c>
      <c r="B1582" s="16" t="s">
        <v>244</v>
      </c>
      <c r="C1582" s="17" t="s">
        <v>245</v>
      </c>
      <c r="D1582" s="18">
        <v>2.0</v>
      </c>
      <c r="E1582" s="17" t="s">
        <v>117</v>
      </c>
      <c r="F1582" s="15" t="s">
        <v>118</v>
      </c>
      <c r="G1582" s="19">
        <v>5.1100058E7</v>
      </c>
      <c r="H1582" s="15" t="s">
        <v>36</v>
      </c>
      <c r="I1582" s="20" t="s">
        <v>37</v>
      </c>
      <c r="J1582" s="21">
        <v>5.0359342E7</v>
      </c>
      <c r="K1582" s="21">
        <v>35931.0</v>
      </c>
    </row>
    <row r="1583">
      <c r="A1583" s="15" t="s">
        <v>74</v>
      </c>
      <c r="B1583" s="16" t="s">
        <v>244</v>
      </c>
      <c r="C1583" s="17" t="s">
        <v>245</v>
      </c>
      <c r="D1583" s="18">
        <v>2.0</v>
      </c>
      <c r="E1583" s="17" t="s">
        <v>117</v>
      </c>
      <c r="F1583" s="15" t="s">
        <v>118</v>
      </c>
      <c r="G1583" s="19">
        <v>5.1100774E7</v>
      </c>
      <c r="H1583" s="15" t="s">
        <v>39</v>
      </c>
      <c r="I1583" s="20" t="s">
        <v>17</v>
      </c>
      <c r="J1583" s="21">
        <v>1.5236001E7</v>
      </c>
      <c r="K1583" s="21">
        <v>220.02</v>
      </c>
    </row>
    <row r="1584">
      <c r="A1584" s="15" t="s">
        <v>74</v>
      </c>
      <c r="B1584" s="16" t="s">
        <v>244</v>
      </c>
      <c r="C1584" s="17" t="s">
        <v>245</v>
      </c>
      <c r="D1584" s="18">
        <v>2.0</v>
      </c>
      <c r="E1584" s="17" t="s">
        <v>123</v>
      </c>
      <c r="F1584" s="15" t="s">
        <v>124</v>
      </c>
      <c r="G1584" s="19">
        <v>9.0043001E7</v>
      </c>
      <c r="H1584" s="15" t="s">
        <v>18</v>
      </c>
      <c r="I1584" s="20" t="s">
        <v>19</v>
      </c>
      <c r="J1584" s="21">
        <v>1740021.0</v>
      </c>
      <c r="K1584" s="21">
        <v>12.0</v>
      </c>
    </row>
    <row r="1585">
      <c r="A1585" s="15" t="s">
        <v>74</v>
      </c>
      <c r="B1585" s="16" t="s">
        <v>244</v>
      </c>
      <c r="C1585" s="17" t="s">
        <v>245</v>
      </c>
      <c r="D1585" s="18">
        <v>2.0</v>
      </c>
      <c r="E1585" s="17" t="s">
        <v>123</v>
      </c>
      <c r="F1585" s="15" t="s">
        <v>124</v>
      </c>
      <c r="G1585" s="19">
        <v>5.1100774E7</v>
      </c>
      <c r="H1585" s="15" t="s">
        <v>39</v>
      </c>
      <c r="I1585" s="20" t="s">
        <v>17</v>
      </c>
      <c r="J1585" s="21">
        <v>3.2744266E7</v>
      </c>
      <c r="K1585" s="21">
        <v>44.33</v>
      </c>
    </row>
    <row r="1586">
      <c r="A1586" s="15" t="s">
        <v>74</v>
      </c>
      <c r="B1586" s="16" t="s">
        <v>244</v>
      </c>
      <c r="C1586" s="17" t="s">
        <v>245</v>
      </c>
      <c r="D1586" s="18">
        <v>2.0</v>
      </c>
      <c r="E1586" s="17" t="s">
        <v>125</v>
      </c>
      <c r="F1586" s="15" t="s">
        <v>126</v>
      </c>
      <c r="G1586" s="19">
        <v>9.0043001E7</v>
      </c>
      <c r="H1586" s="15" t="s">
        <v>18</v>
      </c>
      <c r="I1586" s="20" t="s">
        <v>19</v>
      </c>
      <c r="J1586" s="21">
        <v>4.15710982E8</v>
      </c>
      <c r="K1586" s="21">
        <v>2772.47</v>
      </c>
    </row>
    <row r="1587">
      <c r="A1587" s="15" t="s">
        <v>74</v>
      </c>
      <c r="B1587" s="16" t="s">
        <v>244</v>
      </c>
      <c r="C1587" s="17" t="s">
        <v>245</v>
      </c>
      <c r="D1587" s="18">
        <v>2.0</v>
      </c>
      <c r="E1587" s="17" t="s">
        <v>127</v>
      </c>
      <c r="F1587" s="15" t="s">
        <v>128</v>
      </c>
      <c r="G1587" s="19">
        <v>5.1100153E7</v>
      </c>
      <c r="H1587" s="15" t="s">
        <v>72</v>
      </c>
      <c r="I1587" s="20" t="s">
        <v>17</v>
      </c>
      <c r="J1587" s="21">
        <v>3.13547231E8</v>
      </c>
      <c r="K1587" s="21">
        <v>1660332.0</v>
      </c>
    </row>
    <row r="1588">
      <c r="A1588" s="15" t="s">
        <v>74</v>
      </c>
      <c r="B1588" s="16" t="s">
        <v>244</v>
      </c>
      <c r="C1588" s="17" t="s">
        <v>245</v>
      </c>
      <c r="D1588" s="18">
        <v>2.0</v>
      </c>
      <c r="E1588" s="17" t="s">
        <v>129</v>
      </c>
      <c r="F1588" s="15" t="s">
        <v>130</v>
      </c>
      <c r="G1588" s="19">
        <v>5.1101056E7</v>
      </c>
      <c r="H1588" s="15" t="s">
        <v>16</v>
      </c>
      <c r="I1588" s="20" t="s">
        <v>17</v>
      </c>
      <c r="J1588" s="21">
        <v>1.92181E7</v>
      </c>
      <c r="K1588" s="21">
        <v>76.0</v>
      </c>
    </row>
    <row r="1589">
      <c r="A1589" s="15" t="s">
        <v>74</v>
      </c>
      <c r="B1589" s="16" t="s">
        <v>244</v>
      </c>
      <c r="C1589" s="17" t="s">
        <v>245</v>
      </c>
      <c r="D1589" s="18">
        <v>2.0</v>
      </c>
      <c r="E1589" s="17" t="s">
        <v>129</v>
      </c>
      <c r="F1589" s="15" t="s">
        <v>130</v>
      </c>
      <c r="G1589" s="19">
        <v>9.0043001E7</v>
      </c>
      <c r="H1589" s="15" t="s">
        <v>18</v>
      </c>
      <c r="I1589" s="20" t="s">
        <v>19</v>
      </c>
      <c r="J1589" s="21">
        <v>1.2093058E7</v>
      </c>
      <c r="K1589" s="21">
        <v>73.5</v>
      </c>
    </row>
    <row r="1590">
      <c r="A1590" s="15" t="s">
        <v>74</v>
      </c>
      <c r="B1590" s="16" t="s">
        <v>244</v>
      </c>
      <c r="C1590" s="17" t="s">
        <v>245</v>
      </c>
      <c r="D1590" s="18">
        <v>2.0</v>
      </c>
      <c r="E1590" s="17" t="s">
        <v>129</v>
      </c>
      <c r="F1590" s="15" t="s">
        <v>130</v>
      </c>
      <c r="G1590" s="19">
        <v>9.0043003E7</v>
      </c>
      <c r="H1590" s="15" t="s">
        <v>90</v>
      </c>
      <c r="I1590" s="20" t="s">
        <v>50</v>
      </c>
      <c r="J1590" s="21">
        <v>5.3881546E7</v>
      </c>
      <c r="K1590" s="21">
        <v>504.0</v>
      </c>
    </row>
    <row r="1591">
      <c r="A1591" s="15" t="s">
        <v>74</v>
      </c>
      <c r="B1591" s="16" t="s">
        <v>244</v>
      </c>
      <c r="C1591" s="17" t="s">
        <v>245</v>
      </c>
      <c r="D1591" s="18">
        <v>2.0</v>
      </c>
      <c r="E1591" s="17" t="s">
        <v>131</v>
      </c>
      <c r="F1591" s="15" t="s">
        <v>132</v>
      </c>
      <c r="G1591" s="19">
        <v>9.0043001E7</v>
      </c>
      <c r="H1591" s="15" t="s">
        <v>18</v>
      </c>
      <c r="I1591" s="20" t="s">
        <v>19</v>
      </c>
      <c r="J1591" s="21">
        <v>1.2123144E7</v>
      </c>
      <c r="K1591" s="21">
        <v>79.5</v>
      </c>
    </row>
    <row r="1592">
      <c r="A1592" s="15" t="s">
        <v>74</v>
      </c>
      <c r="B1592" s="16" t="s">
        <v>244</v>
      </c>
      <c r="C1592" s="17" t="s">
        <v>245</v>
      </c>
      <c r="D1592" s="18">
        <v>2.0</v>
      </c>
      <c r="E1592" s="17" t="s">
        <v>135</v>
      </c>
      <c r="F1592" s="15" t="s">
        <v>136</v>
      </c>
      <c r="G1592" s="19">
        <v>9.0043001E7</v>
      </c>
      <c r="H1592" s="15" t="s">
        <v>18</v>
      </c>
      <c r="I1592" s="20" t="s">
        <v>19</v>
      </c>
      <c r="J1592" s="21">
        <v>4.0380897E7</v>
      </c>
      <c r="K1592" s="21">
        <v>272.5</v>
      </c>
    </row>
    <row r="1593">
      <c r="A1593" s="15" t="s">
        <v>74</v>
      </c>
      <c r="B1593" s="16" t="s">
        <v>244</v>
      </c>
      <c r="C1593" s="17" t="s">
        <v>245</v>
      </c>
      <c r="D1593" s="18">
        <v>2.0</v>
      </c>
      <c r="E1593" s="17" t="s">
        <v>162</v>
      </c>
      <c r="F1593" s="15" t="s">
        <v>163</v>
      </c>
      <c r="G1593" s="19">
        <v>9.0043001E7</v>
      </c>
      <c r="H1593" s="15" t="s">
        <v>18</v>
      </c>
      <c r="I1593" s="20" t="s">
        <v>19</v>
      </c>
      <c r="J1593" s="21">
        <v>1.3098747E7</v>
      </c>
      <c r="K1593" s="21">
        <v>89.0</v>
      </c>
    </row>
    <row r="1594">
      <c r="A1594" s="15" t="s">
        <v>74</v>
      </c>
      <c r="B1594" s="16" t="s">
        <v>244</v>
      </c>
      <c r="C1594" s="17" t="s">
        <v>245</v>
      </c>
      <c r="D1594" s="18">
        <v>2.0</v>
      </c>
      <c r="E1594" s="17" t="s">
        <v>54</v>
      </c>
      <c r="F1594" s="15" t="s">
        <v>139</v>
      </c>
      <c r="G1594" s="19">
        <v>9.0042011E7</v>
      </c>
      <c r="H1594" s="15" t="s">
        <v>55</v>
      </c>
      <c r="I1594" s="20" t="s">
        <v>19</v>
      </c>
      <c r="J1594" s="21">
        <v>3.15363228E8</v>
      </c>
      <c r="K1594" s="21">
        <v>0.0</v>
      </c>
    </row>
    <row r="1595">
      <c r="A1595" s="15" t="s">
        <v>74</v>
      </c>
      <c r="B1595" s="16" t="s">
        <v>244</v>
      </c>
      <c r="C1595" s="17" t="s">
        <v>245</v>
      </c>
      <c r="D1595" s="18">
        <v>2.0</v>
      </c>
      <c r="E1595" s="17" t="s">
        <v>20</v>
      </c>
      <c r="F1595" s="15" t="s">
        <v>140</v>
      </c>
      <c r="G1595" s="19">
        <v>9.0042014E7</v>
      </c>
      <c r="H1595" s="15" t="s">
        <v>21</v>
      </c>
      <c r="I1595" s="20" t="s">
        <v>19</v>
      </c>
      <c r="J1595" s="21">
        <v>5.23144244E8</v>
      </c>
      <c r="K1595" s="21">
        <v>0.0</v>
      </c>
    </row>
    <row r="1596">
      <c r="A1596" s="15" t="s">
        <v>74</v>
      </c>
      <c r="B1596" s="16" t="s">
        <v>244</v>
      </c>
      <c r="C1596" s="17" t="s">
        <v>245</v>
      </c>
      <c r="D1596" s="18">
        <v>2.0</v>
      </c>
      <c r="E1596" s="17" t="s">
        <v>20</v>
      </c>
      <c r="F1596" s="15" t="s">
        <v>140</v>
      </c>
      <c r="G1596" s="19">
        <v>9.0042077E7</v>
      </c>
      <c r="H1596" s="15" t="s">
        <v>141</v>
      </c>
      <c r="I1596" s="20" t="s">
        <v>19</v>
      </c>
      <c r="J1596" s="21">
        <v>1.08694269E8</v>
      </c>
      <c r="K1596" s="21">
        <v>0.0</v>
      </c>
    </row>
    <row r="1597">
      <c r="A1597" s="15" t="s">
        <v>74</v>
      </c>
      <c r="B1597" s="16" t="s">
        <v>244</v>
      </c>
      <c r="C1597" s="17" t="s">
        <v>245</v>
      </c>
      <c r="D1597" s="18">
        <v>2.0</v>
      </c>
      <c r="E1597" s="17" t="s">
        <v>142</v>
      </c>
      <c r="F1597" s="15" t="s">
        <v>143</v>
      </c>
      <c r="G1597" s="19">
        <v>9.0042084E7</v>
      </c>
      <c r="H1597" s="15" t="s">
        <v>145</v>
      </c>
      <c r="I1597" s="20" t="s">
        <v>19</v>
      </c>
      <c r="J1597" s="21">
        <v>5213610.0</v>
      </c>
      <c r="K1597" s="21">
        <v>0.0</v>
      </c>
    </row>
    <row r="1598">
      <c r="A1598" s="15" t="s">
        <v>74</v>
      </c>
      <c r="B1598" s="16" t="s">
        <v>244</v>
      </c>
      <c r="C1598" s="17" t="s">
        <v>245</v>
      </c>
      <c r="D1598" s="18">
        <v>2.0</v>
      </c>
      <c r="E1598" s="17" t="s">
        <v>22</v>
      </c>
      <c r="F1598" s="15" t="s">
        <v>146</v>
      </c>
      <c r="G1598" s="19">
        <v>9.0042012E7</v>
      </c>
      <c r="H1598" s="15" t="s">
        <v>23</v>
      </c>
      <c r="I1598" s="20" t="s">
        <v>19</v>
      </c>
      <c r="J1598" s="21">
        <v>1.29108392E8</v>
      </c>
      <c r="K1598" s="21">
        <v>0.0</v>
      </c>
    </row>
    <row r="1599">
      <c r="A1599" s="15" t="s">
        <v>74</v>
      </c>
      <c r="B1599" s="16" t="s">
        <v>244</v>
      </c>
      <c r="C1599" s="17" t="s">
        <v>245</v>
      </c>
      <c r="D1599" s="18">
        <v>2.0</v>
      </c>
      <c r="E1599" s="17" t="s">
        <v>22</v>
      </c>
      <c r="F1599" s="15" t="s">
        <v>146</v>
      </c>
      <c r="G1599" s="19">
        <v>9.0042121E7</v>
      </c>
      <c r="H1599" s="15" t="s">
        <v>24</v>
      </c>
      <c r="I1599" s="20" t="s">
        <v>25</v>
      </c>
      <c r="J1599" s="21">
        <v>-1.35573068E8</v>
      </c>
      <c r="K1599" s="21">
        <v>0.0</v>
      </c>
    </row>
    <row r="1600">
      <c r="A1600" s="15" t="s">
        <v>74</v>
      </c>
      <c r="B1600" s="16" t="s">
        <v>244</v>
      </c>
      <c r="C1600" s="17" t="s">
        <v>245</v>
      </c>
      <c r="D1600" s="18">
        <v>2.0</v>
      </c>
      <c r="E1600" s="17" t="s">
        <v>22</v>
      </c>
      <c r="F1600" s="15" t="s">
        <v>146</v>
      </c>
      <c r="G1600" s="19">
        <v>9.0042122E7</v>
      </c>
      <c r="H1600" s="15" t="s">
        <v>56</v>
      </c>
      <c r="I1600" s="20" t="s">
        <v>25</v>
      </c>
      <c r="J1600" s="21">
        <v>1.1484734E8</v>
      </c>
      <c r="K1600" s="21">
        <v>0.0</v>
      </c>
    </row>
    <row r="1601">
      <c r="A1601" s="15" t="s">
        <v>74</v>
      </c>
      <c r="B1601" s="16" t="s">
        <v>244</v>
      </c>
      <c r="C1601" s="17" t="s">
        <v>245</v>
      </c>
      <c r="D1601" s="18">
        <v>2.0</v>
      </c>
      <c r="E1601" s="17" t="s">
        <v>22</v>
      </c>
      <c r="F1601" s="15" t="s">
        <v>146</v>
      </c>
      <c r="G1601" s="19">
        <v>9.0042124E7</v>
      </c>
      <c r="H1601" s="15" t="s">
        <v>57</v>
      </c>
      <c r="I1601" s="20" t="s">
        <v>25</v>
      </c>
      <c r="J1601" s="21">
        <v>4917609.0</v>
      </c>
      <c r="K1601" s="21">
        <v>0.0</v>
      </c>
    </row>
    <row r="1602">
      <c r="A1602" s="15" t="s">
        <v>74</v>
      </c>
      <c r="B1602" s="16" t="s">
        <v>244</v>
      </c>
      <c r="C1602" s="17" t="s">
        <v>245</v>
      </c>
      <c r="D1602" s="18">
        <v>2.0</v>
      </c>
      <c r="E1602" s="17" t="s">
        <v>22</v>
      </c>
      <c r="F1602" s="15" t="s">
        <v>146</v>
      </c>
      <c r="G1602" s="19">
        <v>9.0042125E7</v>
      </c>
      <c r="H1602" s="15" t="s">
        <v>26</v>
      </c>
      <c r="I1602" s="20" t="s">
        <v>25</v>
      </c>
      <c r="J1602" s="21">
        <v>6.3450983E7</v>
      </c>
      <c r="K1602" s="21">
        <v>0.0</v>
      </c>
    </row>
    <row r="1603">
      <c r="A1603" s="15" t="s">
        <v>74</v>
      </c>
      <c r="B1603" s="16" t="s">
        <v>244</v>
      </c>
      <c r="C1603" s="17" t="s">
        <v>245</v>
      </c>
      <c r="D1603" s="18">
        <v>2.0</v>
      </c>
      <c r="E1603" s="17" t="s">
        <v>22</v>
      </c>
      <c r="F1603" s="15" t="s">
        <v>146</v>
      </c>
      <c r="G1603" s="19">
        <v>9.0042128E7</v>
      </c>
      <c r="H1603" s="15" t="s">
        <v>58</v>
      </c>
      <c r="I1603" s="20" t="s">
        <v>25</v>
      </c>
      <c r="J1603" s="21">
        <v>6.3900614E7</v>
      </c>
      <c r="K1603" s="21">
        <v>0.0</v>
      </c>
    </row>
    <row r="1604">
      <c r="A1604" s="15" t="s">
        <v>74</v>
      </c>
      <c r="B1604" s="16" t="s">
        <v>244</v>
      </c>
      <c r="C1604" s="17" t="s">
        <v>245</v>
      </c>
      <c r="D1604" s="18">
        <v>2.0</v>
      </c>
      <c r="E1604" s="17" t="s">
        <v>22</v>
      </c>
      <c r="F1604" s="15" t="s">
        <v>146</v>
      </c>
      <c r="G1604" s="19">
        <v>9.0042132E7</v>
      </c>
      <c r="H1604" s="15" t="s">
        <v>28</v>
      </c>
      <c r="I1604" s="20" t="s">
        <v>25</v>
      </c>
      <c r="J1604" s="21">
        <v>2.2978924E7</v>
      </c>
      <c r="K1604" s="21">
        <v>0.0</v>
      </c>
    </row>
    <row r="1605">
      <c r="A1605" s="15" t="s">
        <v>74</v>
      </c>
      <c r="B1605" s="16" t="s">
        <v>244</v>
      </c>
      <c r="C1605" s="17" t="s">
        <v>245</v>
      </c>
      <c r="D1605" s="18">
        <v>2.0</v>
      </c>
      <c r="E1605" s="17" t="s">
        <v>22</v>
      </c>
      <c r="F1605" s="15" t="s">
        <v>146</v>
      </c>
      <c r="G1605" s="19">
        <v>9.0042133E7</v>
      </c>
      <c r="H1605" s="15" t="s">
        <v>211</v>
      </c>
      <c r="I1605" s="20" t="s">
        <v>25</v>
      </c>
      <c r="J1605" s="21">
        <v>2943715.0</v>
      </c>
      <c r="K1605" s="21">
        <v>0.0</v>
      </c>
    </row>
    <row r="1606">
      <c r="A1606" s="15" t="s">
        <v>74</v>
      </c>
      <c r="B1606" s="16" t="s">
        <v>244</v>
      </c>
      <c r="C1606" s="17" t="s">
        <v>245</v>
      </c>
      <c r="D1606" s="18">
        <v>2.0</v>
      </c>
      <c r="E1606" s="17" t="s">
        <v>22</v>
      </c>
      <c r="F1606" s="15" t="s">
        <v>146</v>
      </c>
      <c r="G1606" s="19">
        <v>9.0042135E7</v>
      </c>
      <c r="H1606" s="15" t="s">
        <v>30</v>
      </c>
      <c r="I1606" s="20" t="s">
        <v>25</v>
      </c>
      <c r="J1606" s="21">
        <v>4.11882991E8</v>
      </c>
      <c r="K1606" s="21">
        <v>0.0</v>
      </c>
    </row>
    <row r="1607">
      <c r="A1607" s="15" t="s">
        <v>74</v>
      </c>
      <c r="B1607" s="16" t="s">
        <v>244</v>
      </c>
      <c r="C1607" s="17" t="s">
        <v>245</v>
      </c>
      <c r="D1607" s="18">
        <v>2.0</v>
      </c>
      <c r="E1607" s="17" t="s">
        <v>22</v>
      </c>
      <c r="F1607" s="15" t="s">
        <v>146</v>
      </c>
      <c r="G1607" s="19">
        <v>9.00422E7</v>
      </c>
      <c r="H1607" s="15" t="s">
        <v>73</v>
      </c>
      <c r="I1607" s="20" t="s">
        <v>60</v>
      </c>
      <c r="J1607" s="21">
        <v>2.93915333E8</v>
      </c>
      <c r="K1607" s="21">
        <v>0.0</v>
      </c>
    </row>
    <row r="1608">
      <c r="A1608" s="15" t="s">
        <v>74</v>
      </c>
      <c r="B1608" s="16" t="s">
        <v>244</v>
      </c>
      <c r="C1608" s="17" t="s">
        <v>245</v>
      </c>
      <c r="D1608" s="18">
        <v>2.0</v>
      </c>
      <c r="E1608" s="17" t="s">
        <v>22</v>
      </c>
      <c r="F1608" s="15" t="s">
        <v>146</v>
      </c>
      <c r="G1608" s="19">
        <v>9.0042223E7</v>
      </c>
      <c r="H1608" s="15" t="s">
        <v>61</v>
      </c>
      <c r="I1608" s="20" t="s">
        <v>60</v>
      </c>
      <c r="J1608" s="21">
        <v>4255769.0</v>
      </c>
      <c r="K1608" s="21">
        <v>0.0</v>
      </c>
    </row>
    <row r="1609">
      <c r="A1609" s="15" t="s">
        <v>74</v>
      </c>
      <c r="B1609" s="16" t="s">
        <v>244</v>
      </c>
      <c r="C1609" s="17" t="s">
        <v>245</v>
      </c>
      <c r="D1609" s="18">
        <v>2.0</v>
      </c>
      <c r="E1609" s="17" t="s">
        <v>22</v>
      </c>
      <c r="F1609" s="15" t="s">
        <v>146</v>
      </c>
      <c r="G1609" s="19">
        <v>9.0042224E7</v>
      </c>
      <c r="H1609" s="15" t="s">
        <v>62</v>
      </c>
      <c r="I1609" s="20" t="s">
        <v>60</v>
      </c>
      <c r="J1609" s="21">
        <v>1.0447193E7</v>
      </c>
      <c r="K1609" s="21">
        <v>0.0</v>
      </c>
    </row>
    <row r="1610">
      <c r="A1610" s="15" t="s">
        <v>74</v>
      </c>
      <c r="B1610" s="16" t="s">
        <v>244</v>
      </c>
      <c r="C1610" s="17" t="s">
        <v>245</v>
      </c>
      <c r="D1610" s="18">
        <v>2.0</v>
      </c>
      <c r="E1610" s="17" t="s">
        <v>22</v>
      </c>
      <c r="F1610" s="15" t="s">
        <v>146</v>
      </c>
      <c r="G1610" s="19">
        <v>9.0042226E7</v>
      </c>
      <c r="H1610" s="15" t="s">
        <v>63</v>
      </c>
      <c r="I1610" s="20" t="s">
        <v>60</v>
      </c>
      <c r="J1610" s="21">
        <v>133334.0</v>
      </c>
      <c r="K1610" s="21">
        <v>0.0</v>
      </c>
    </row>
    <row r="1611">
      <c r="A1611" s="15" t="s">
        <v>74</v>
      </c>
      <c r="B1611" s="16" t="s">
        <v>244</v>
      </c>
      <c r="C1611" s="17" t="s">
        <v>245</v>
      </c>
      <c r="D1611" s="18">
        <v>2.0</v>
      </c>
      <c r="E1611" s="17" t="s">
        <v>22</v>
      </c>
      <c r="F1611" s="15" t="s">
        <v>146</v>
      </c>
      <c r="G1611" s="19">
        <v>9.0042228E7</v>
      </c>
      <c r="H1611" s="15" t="s">
        <v>64</v>
      </c>
      <c r="I1611" s="20" t="s">
        <v>60</v>
      </c>
      <c r="J1611" s="21">
        <v>4.1960041E7</v>
      </c>
      <c r="K1611" s="21">
        <v>0.0</v>
      </c>
    </row>
    <row r="1612">
      <c r="A1612" s="15" t="s">
        <v>74</v>
      </c>
      <c r="B1612" s="16" t="s">
        <v>244</v>
      </c>
      <c r="C1612" s="17" t="s">
        <v>245</v>
      </c>
      <c r="D1612" s="18">
        <v>2.0</v>
      </c>
      <c r="E1612" s="17" t="s">
        <v>22</v>
      </c>
      <c r="F1612" s="15" t="s">
        <v>146</v>
      </c>
      <c r="G1612" s="19">
        <v>9.0042231E7</v>
      </c>
      <c r="H1612" s="15" t="s">
        <v>65</v>
      </c>
      <c r="I1612" s="20" t="s">
        <v>60</v>
      </c>
      <c r="J1612" s="21">
        <v>5.8308695E7</v>
      </c>
      <c r="K1612" s="21">
        <v>0.0</v>
      </c>
    </row>
    <row r="1613">
      <c r="A1613" s="15" t="s">
        <v>74</v>
      </c>
      <c r="B1613" s="16" t="s">
        <v>244</v>
      </c>
      <c r="C1613" s="17" t="s">
        <v>245</v>
      </c>
      <c r="D1613" s="18">
        <v>2.0</v>
      </c>
      <c r="E1613" s="17" t="s">
        <v>22</v>
      </c>
      <c r="F1613" s="15" t="s">
        <v>146</v>
      </c>
      <c r="G1613" s="19">
        <v>9.0042126E7</v>
      </c>
      <c r="H1613" s="15" t="s">
        <v>31</v>
      </c>
      <c r="I1613" s="20" t="s">
        <v>25</v>
      </c>
      <c r="J1613" s="21">
        <v>3.4199692E7</v>
      </c>
      <c r="K1613" s="21">
        <v>0.0</v>
      </c>
    </row>
    <row r="1614">
      <c r="A1614" s="15" t="s">
        <v>74</v>
      </c>
      <c r="B1614" s="16" t="s">
        <v>244</v>
      </c>
      <c r="C1614" s="17" t="s">
        <v>245</v>
      </c>
      <c r="D1614" s="18">
        <v>2.0</v>
      </c>
      <c r="E1614" s="24">
        <v>46097.0</v>
      </c>
      <c r="F1614" s="15" t="s">
        <v>216</v>
      </c>
      <c r="G1614" s="19">
        <v>5.1101056E7</v>
      </c>
      <c r="H1614" s="15" t="s">
        <v>16</v>
      </c>
      <c r="I1614" s="20" t="s">
        <v>17</v>
      </c>
      <c r="J1614" s="21">
        <v>3027200.0</v>
      </c>
      <c r="K1614" s="21">
        <v>14.0</v>
      </c>
    </row>
    <row r="1615">
      <c r="A1615" s="15" t="s">
        <v>74</v>
      </c>
      <c r="B1615" s="16" t="s">
        <v>244</v>
      </c>
      <c r="C1615" s="17" t="s">
        <v>245</v>
      </c>
      <c r="D1615" s="18">
        <v>2.0</v>
      </c>
      <c r="E1615" s="24">
        <v>46097.0</v>
      </c>
      <c r="F1615" s="15" t="s">
        <v>216</v>
      </c>
      <c r="G1615" s="19">
        <v>9.0043001E7</v>
      </c>
      <c r="H1615" s="15" t="s">
        <v>18</v>
      </c>
      <c r="I1615" s="20" t="s">
        <v>19</v>
      </c>
      <c r="J1615" s="21">
        <v>581412.0</v>
      </c>
      <c r="K1615" s="21">
        <v>4.0</v>
      </c>
    </row>
    <row r="1616">
      <c r="A1616" s="15" t="s">
        <v>74</v>
      </c>
      <c r="B1616" s="16" t="s">
        <v>244</v>
      </c>
      <c r="C1616" s="17" t="s">
        <v>245</v>
      </c>
      <c r="D1616" s="18">
        <v>2.0</v>
      </c>
      <c r="E1616" s="24">
        <v>46097.0</v>
      </c>
      <c r="F1616" s="15" t="s">
        <v>216</v>
      </c>
      <c r="G1616" s="19">
        <v>9.0043003E7</v>
      </c>
      <c r="H1616" s="15" t="s">
        <v>90</v>
      </c>
      <c r="I1616" s="20" t="s">
        <v>50</v>
      </c>
      <c r="J1616" s="21">
        <v>4585715.0</v>
      </c>
      <c r="K1616" s="21">
        <v>34.0</v>
      </c>
    </row>
    <row r="1617">
      <c r="A1617" s="15" t="s">
        <v>74</v>
      </c>
      <c r="B1617" s="16" t="s">
        <v>244</v>
      </c>
      <c r="C1617" s="17" t="s">
        <v>245</v>
      </c>
      <c r="D1617" s="18">
        <v>2.0</v>
      </c>
      <c r="E1617" s="24">
        <v>46069.0</v>
      </c>
      <c r="F1617" s="15" t="s">
        <v>217</v>
      </c>
      <c r="G1617" s="19">
        <v>5.1100153E7</v>
      </c>
      <c r="H1617" s="15" t="s">
        <v>72</v>
      </c>
      <c r="I1617" s="20" t="s">
        <v>17</v>
      </c>
      <c r="J1617" s="21">
        <v>2.427141E7</v>
      </c>
      <c r="K1617" s="21">
        <v>124027.0</v>
      </c>
    </row>
    <row r="1618">
      <c r="A1618" s="15" t="s">
        <v>74</v>
      </c>
      <c r="B1618" s="16" t="s">
        <v>244</v>
      </c>
      <c r="C1618" s="17" t="s">
        <v>245</v>
      </c>
      <c r="D1618" s="18">
        <v>2.0</v>
      </c>
      <c r="E1618" s="17" t="s">
        <v>276</v>
      </c>
      <c r="F1618" s="15" t="s">
        <v>277</v>
      </c>
      <c r="G1618" s="19">
        <v>9.0043001E7</v>
      </c>
      <c r="H1618" s="15" t="s">
        <v>18</v>
      </c>
      <c r="I1618" s="20" t="s">
        <v>19</v>
      </c>
      <c r="J1618" s="21">
        <v>6894658.0</v>
      </c>
      <c r="K1618" s="21">
        <v>44.0</v>
      </c>
    </row>
    <row r="1619">
      <c r="A1619" s="15" t="s">
        <v>74</v>
      </c>
      <c r="B1619" s="16" t="s">
        <v>244</v>
      </c>
      <c r="C1619" s="17" t="s">
        <v>245</v>
      </c>
      <c r="D1619" s="18">
        <v>2.0</v>
      </c>
      <c r="E1619" s="17" t="s">
        <v>250</v>
      </c>
      <c r="F1619" s="15" t="s">
        <v>251</v>
      </c>
      <c r="G1619" s="19">
        <v>9.0043001E7</v>
      </c>
      <c r="H1619" s="15" t="s">
        <v>18</v>
      </c>
      <c r="I1619" s="20" t="s">
        <v>19</v>
      </c>
      <c r="J1619" s="21">
        <v>2953398.0</v>
      </c>
      <c r="K1619" s="21">
        <v>19.0</v>
      </c>
    </row>
    <row r="1620">
      <c r="A1620" s="15" t="s">
        <v>74</v>
      </c>
      <c r="B1620" s="16" t="s">
        <v>244</v>
      </c>
      <c r="C1620" s="17" t="s">
        <v>245</v>
      </c>
      <c r="D1620" s="18">
        <v>2.0</v>
      </c>
      <c r="E1620" s="17" t="s">
        <v>252</v>
      </c>
      <c r="F1620" s="15" t="s">
        <v>253</v>
      </c>
      <c r="G1620" s="19">
        <v>5.1101056E7</v>
      </c>
      <c r="H1620" s="15" t="s">
        <v>16</v>
      </c>
      <c r="I1620" s="20" t="s">
        <v>17</v>
      </c>
      <c r="J1620" s="21">
        <v>524700.0</v>
      </c>
      <c r="K1620" s="21">
        <v>2.0</v>
      </c>
    </row>
    <row r="1621">
      <c r="A1621" s="15" t="s">
        <v>74</v>
      </c>
      <c r="B1621" s="16" t="s">
        <v>244</v>
      </c>
      <c r="C1621" s="17" t="s">
        <v>245</v>
      </c>
      <c r="D1621" s="18">
        <v>2.0</v>
      </c>
      <c r="E1621" s="17" t="s">
        <v>201</v>
      </c>
      <c r="F1621" s="15" t="s">
        <v>202</v>
      </c>
      <c r="G1621" s="19">
        <v>9.0043001E7</v>
      </c>
      <c r="H1621" s="15" t="s">
        <v>18</v>
      </c>
      <c r="I1621" s="20" t="s">
        <v>19</v>
      </c>
      <c r="J1621" s="21">
        <v>5012232.0</v>
      </c>
      <c r="K1621" s="21">
        <v>32.0</v>
      </c>
    </row>
    <row r="1622">
      <c r="A1622" s="15" t="s">
        <v>74</v>
      </c>
      <c r="B1622" s="16" t="s">
        <v>244</v>
      </c>
      <c r="C1622" s="17" t="s">
        <v>245</v>
      </c>
      <c r="D1622" s="18">
        <v>2.0</v>
      </c>
      <c r="E1622" s="17" t="s">
        <v>201</v>
      </c>
      <c r="F1622" s="15" t="s">
        <v>202</v>
      </c>
      <c r="G1622" s="19">
        <v>9.0043E7</v>
      </c>
      <c r="H1622" s="15" t="s">
        <v>83</v>
      </c>
      <c r="I1622" s="20" t="s">
        <v>19</v>
      </c>
      <c r="J1622" s="21">
        <v>1695370.0</v>
      </c>
      <c r="K1622" s="21">
        <v>10.0</v>
      </c>
    </row>
    <row r="1623">
      <c r="A1623" s="15" t="s">
        <v>74</v>
      </c>
      <c r="B1623" s="16" t="s">
        <v>244</v>
      </c>
      <c r="C1623" s="17" t="s">
        <v>245</v>
      </c>
      <c r="D1623" s="18">
        <v>2.0</v>
      </c>
      <c r="E1623" s="24">
        <v>46128.0</v>
      </c>
      <c r="F1623" s="15" t="s">
        <v>278</v>
      </c>
      <c r="G1623" s="19">
        <v>9.0043001E7</v>
      </c>
      <c r="H1623" s="15" t="s">
        <v>18</v>
      </c>
      <c r="I1623" s="20" t="s">
        <v>19</v>
      </c>
      <c r="J1623" s="21">
        <v>145353.0</v>
      </c>
      <c r="K1623" s="21">
        <v>1.0</v>
      </c>
    </row>
    <row r="1624">
      <c r="A1624" s="15" t="s">
        <v>74</v>
      </c>
      <c r="B1624" s="16" t="s">
        <v>254</v>
      </c>
      <c r="C1624" s="17" t="s">
        <v>255</v>
      </c>
      <c r="D1624" s="18">
        <v>2.0</v>
      </c>
      <c r="E1624" s="24">
        <v>46038.0</v>
      </c>
      <c r="F1624" s="15" t="s">
        <v>150</v>
      </c>
      <c r="G1624" s="19">
        <v>9.0043001E7</v>
      </c>
      <c r="H1624" s="15" t="s">
        <v>18</v>
      </c>
      <c r="I1624" s="20" t="s">
        <v>19</v>
      </c>
      <c r="J1624" s="21">
        <v>6.5249754E7</v>
      </c>
      <c r="K1624" s="21">
        <v>386.0</v>
      </c>
    </row>
    <row r="1625">
      <c r="A1625" s="15" t="s">
        <v>74</v>
      </c>
      <c r="B1625" s="16" t="s">
        <v>254</v>
      </c>
      <c r="C1625" s="17" t="s">
        <v>255</v>
      </c>
      <c r="D1625" s="18">
        <v>2.0</v>
      </c>
      <c r="E1625" s="24">
        <v>46158.0</v>
      </c>
      <c r="F1625" s="15" t="s">
        <v>151</v>
      </c>
      <c r="G1625" s="19">
        <v>9.0043001E7</v>
      </c>
      <c r="H1625" s="15" t="s">
        <v>18</v>
      </c>
      <c r="I1625" s="20" t="s">
        <v>19</v>
      </c>
      <c r="J1625" s="21">
        <v>1297592.0</v>
      </c>
      <c r="K1625" s="21">
        <v>8.0</v>
      </c>
    </row>
    <row r="1626">
      <c r="A1626" s="15" t="s">
        <v>74</v>
      </c>
      <c r="B1626" s="16" t="s">
        <v>254</v>
      </c>
      <c r="C1626" s="17" t="s">
        <v>255</v>
      </c>
      <c r="D1626" s="18">
        <v>2.0</v>
      </c>
      <c r="E1626" s="17" t="s">
        <v>77</v>
      </c>
      <c r="F1626" s="15" t="s">
        <v>78</v>
      </c>
      <c r="G1626" s="19">
        <v>9.0043001E7</v>
      </c>
      <c r="H1626" s="15" t="s">
        <v>18</v>
      </c>
      <c r="I1626" s="20" t="s">
        <v>19</v>
      </c>
      <c r="J1626" s="21">
        <v>1033662.0</v>
      </c>
      <c r="K1626" s="21">
        <v>6.0</v>
      </c>
    </row>
    <row r="1627">
      <c r="A1627" s="15" t="s">
        <v>74</v>
      </c>
      <c r="B1627" s="16" t="s">
        <v>254</v>
      </c>
      <c r="C1627" s="17" t="s">
        <v>255</v>
      </c>
      <c r="D1627" s="18">
        <v>2.0</v>
      </c>
      <c r="E1627" s="17" t="s">
        <v>84</v>
      </c>
      <c r="F1627" s="15" t="s">
        <v>85</v>
      </c>
      <c r="G1627" s="19">
        <v>9.0043001E7</v>
      </c>
      <c r="H1627" s="15" t="s">
        <v>18</v>
      </c>
      <c r="I1627" s="20" t="s">
        <v>19</v>
      </c>
      <c r="J1627" s="21">
        <v>1.2730731E7</v>
      </c>
      <c r="K1627" s="21">
        <v>79.0</v>
      </c>
    </row>
    <row r="1628">
      <c r="A1628" s="15" t="s">
        <v>74</v>
      </c>
      <c r="B1628" s="16" t="s">
        <v>254</v>
      </c>
      <c r="C1628" s="17" t="s">
        <v>255</v>
      </c>
      <c r="D1628" s="18">
        <v>2.0</v>
      </c>
      <c r="E1628" s="17" t="s">
        <v>86</v>
      </c>
      <c r="F1628" s="15" t="s">
        <v>87</v>
      </c>
      <c r="G1628" s="19">
        <v>9.0043001E7</v>
      </c>
      <c r="H1628" s="15" t="s">
        <v>18</v>
      </c>
      <c r="I1628" s="20" t="s">
        <v>19</v>
      </c>
      <c r="J1628" s="21">
        <v>3.723611E7</v>
      </c>
      <c r="K1628" s="21">
        <v>219.0</v>
      </c>
    </row>
    <row r="1629">
      <c r="A1629" s="15" t="s">
        <v>74</v>
      </c>
      <c r="B1629" s="16" t="s">
        <v>254</v>
      </c>
      <c r="C1629" s="17" t="s">
        <v>255</v>
      </c>
      <c r="D1629" s="18">
        <v>2.0</v>
      </c>
      <c r="E1629" s="17" t="s">
        <v>154</v>
      </c>
      <c r="F1629" s="15" t="s">
        <v>155</v>
      </c>
      <c r="G1629" s="19">
        <v>9.0043002E7</v>
      </c>
      <c r="H1629" s="15" t="s">
        <v>49</v>
      </c>
      <c r="I1629" s="20" t="s">
        <v>50</v>
      </c>
      <c r="J1629" s="21">
        <v>4.2950811E7</v>
      </c>
      <c r="K1629" s="21">
        <v>6546.0</v>
      </c>
    </row>
    <row r="1630">
      <c r="A1630" s="15" t="s">
        <v>74</v>
      </c>
      <c r="B1630" s="16" t="s">
        <v>254</v>
      </c>
      <c r="C1630" s="17" t="s">
        <v>255</v>
      </c>
      <c r="D1630" s="18">
        <v>2.0</v>
      </c>
      <c r="E1630" s="17" t="s">
        <v>95</v>
      </c>
      <c r="F1630" s="15" t="s">
        <v>96</v>
      </c>
      <c r="G1630" s="19">
        <v>5.1100058E7</v>
      </c>
      <c r="H1630" s="15" t="s">
        <v>36</v>
      </c>
      <c r="I1630" s="20" t="s">
        <v>37</v>
      </c>
      <c r="J1630" s="21">
        <v>3.1219617E7</v>
      </c>
      <c r="K1630" s="21">
        <v>307.84</v>
      </c>
    </row>
    <row r="1631">
      <c r="A1631" s="15" t="s">
        <v>74</v>
      </c>
      <c r="B1631" s="16" t="s">
        <v>254</v>
      </c>
      <c r="C1631" s="17" t="s">
        <v>255</v>
      </c>
      <c r="D1631" s="18">
        <v>2.0</v>
      </c>
      <c r="E1631" s="17" t="s">
        <v>95</v>
      </c>
      <c r="F1631" s="15" t="s">
        <v>96</v>
      </c>
      <c r="G1631" s="19">
        <v>9.0043001E7</v>
      </c>
      <c r="H1631" s="15" t="s">
        <v>18</v>
      </c>
      <c r="I1631" s="20" t="s">
        <v>19</v>
      </c>
      <c r="J1631" s="21">
        <v>3.9169098E7</v>
      </c>
      <c r="K1631" s="21">
        <v>253.0</v>
      </c>
    </row>
    <row r="1632">
      <c r="A1632" s="15" t="s">
        <v>74</v>
      </c>
      <c r="B1632" s="16" t="s">
        <v>254</v>
      </c>
      <c r="C1632" s="17" t="s">
        <v>255</v>
      </c>
      <c r="D1632" s="18">
        <v>2.0</v>
      </c>
      <c r="E1632" s="17" t="s">
        <v>95</v>
      </c>
      <c r="F1632" s="15" t="s">
        <v>96</v>
      </c>
      <c r="G1632" s="19">
        <v>5.1100774E7</v>
      </c>
      <c r="H1632" s="15" t="s">
        <v>39</v>
      </c>
      <c r="I1632" s="20" t="s">
        <v>17</v>
      </c>
      <c r="J1632" s="21">
        <v>6917940.0</v>
      </c>
      <c r="K1632" s="21">
        <v>100.26</v>
      </c>
    </row>
    <row r="1633">
      <c r="A1633" s="15" t="s">
        <v>74</v>
      </c>
      <c r="B1633" s="16" t="s">
        <v>254</v>
      </c>
      <c r="C1633" s="17" t="s">
        <v>255</v>
      </c>
      <c r="D1633" s="18">
        <v>2.0</v>
      </c>
      <c r="E1633" s="17" t="s">
        <v>101</v>
      </c>
      <c r="F1633" s="15" t="s">
        <v>102</v>
      </c>
      <c r="G1633" s="19">
        <v>9.0043001E7</v>
      </c>
      <c r="H1633" s="15" t="s">
        <v>18</v>
      </c>
      <c r="I1633" s="20" t="s">
        <v>19</v>
      </c>
      <c r="J1633" s="21">
        <v>2.4505982E7</v>
      </c>
      <c r="K1633" s="21">
        <v>153.0</v>
      </c>
    </row>
    <row r="1634">
      <c r="A1634" s="15" t="s">
        <v>74</v>
      </c>
      <c r="B1634" s="16" t="s">
        <v>254</v>
      </c>
      <c r="C1634" s="17" t="s">
        <v>255</v>
      </c>
      <c r="D1634" s="18">
        <v>2.0</v>
      </c>
      <c r="E1634" s="17" t="s">
        <v>103</v>
      </c>
      <c r="F1634" s="15" t="s">
        <v>104</v>
      </c>
      <c r="G1634" s="19">
        <v>5.1100058E7</v>
      </c>
      <c r="H1634" s="15" t="s">
        <v>36</v>
      </c>
      <c r="I1634" s="20" t="s">
        <v>37</v>
      </c>
      <c r="J1634" s="21">
        <v>4.5800743E7</v>
      </c>
      <c r="K1634" s="21">
        <v>427.62</v>
      </c>
    </row>
    <row r="1635">
      <c r="A1635" s="15" t="s">
        <v>74</v>
      </c>
      <c r="B1635" s="16" t="s">
        <v>254</v>
      </c>
      <c r="C1635" s="17" t="s">
        <v>255</v>
      </c>
      <c r="D1635" s="18">
        <v>2.0</v>
      </c>
      <c r="E1635" s="17" t="s">
        <v>103</v>
      </c>
      <c r="F1635" s="15" t="s">
        <v>104</v>
      </c>
      <c r="G1635" s="19">
        <v>9.0043001E7</v>
      </c>
      <c r="H1635" s="15" t="s">
        <v>18</v>
      </c>
      <c r="I1635" s="20" t="s">
        <v>19</v>
      </c>
      <c r="J1635" s="21">
        <v>1.9168664E7</v>
      </c>
      <c r="K1635" s="21">
        <v>128.0</v>
      </c>
    </row>
    <row r="1636">
      <c r="A1636" s="15" t="s">
        <v>74</v>
      </c>
      <c r="B1636" s="16" t="s">
        <v>254</v>
      </c>
      <c r="C1636" s="17" t="s">
        <v>255</v>
      </c>
      <c r="D1636" s="18">
        <v>2.0</v>
      </c>
      <c r="E1636" s="17" t="s">
        <v>103</v>
      </c>
      <c r="F1636" s="15" t="s">
        <v>104</v>
      </c>
      <c r="G1636" s="19">
        <v>5.1100774E7</v>
      </c>
      <c r="H1636" s="15" t="s">
        <v>39</v>
      </c>
      <c r="I1636" s="20" t="s">
        <v>17</v>
      </c>
      <c r="J1636" s="21">
        <v>2.2473945E7</v>
      </c>
      <c r="K1636" s="21">
        <v>121.81</v>
      </c>
    </row>
    <row r="1637">
      <c r="A1637" s="15" t="s">
        <v>74</v>
      </c>
      <c r="B1637" s="16" t="s">
        <v>254</v>
      </c>
      <c r="C1637" s="17" t="s">
        <v>255</v>
      </c>
      <c r="D1637" s="18">
        <v>2.0</v>
      </c>
      <c r="E1637" s="17" t="s">
        <v>108</v>
      </c>
      <c r="F1637" s="15" t="s">
        <v>109</v>
      </c>
      <c r="G1637" s="19">
        <v>5.1100061E7</v>
      </c>
      <c r="H1637" s="15" t="s">
        <v>42</v>
      </c>
      <c r="I1637" s="20" t="s">
        <v>37</v>
      </c>
      <c r="J1637" s="21">
        <v>880000.0</v>
      </c>
      <c r="K1637" s="21">
        <v>20.0</v>
      </c>
    </row>
    <row r="1638">
      <c r="A1638" s="15" t="s">
        <v>74</v>
      </c>
      <c r="B1638" s="16" t="s">
        <v>254</v>
      </c>
      <c r="C1638" s="17" t="s">
        <v>255</v>
      </c>
      <c r="D1638" s="18">
        <v>2.0</v>
      </c>
      <c r="E1638" s="17" t="s">
        <v>158</v>
      </c>
      <c r="F1638" s="15" t="s">
        <v>159</v>
      </c>
      <c r="G1638" s="19">
        <v>9.0043001E7</v>
      </c>
      <c r="H1638" s="15" t="s">
        <v>18</v>
      </c>
      <c r="I1638" s="20" t="s">
        <v>19</v>
      </c>
      <c r="J1638" s="21">
        <v>582404.0</v>
      </c>
      <c r="K1638" s="21">
        <v>4.0</v>
      </c>
    </row>
    <row r="1639">
      <c r="A1639" s="15" t="s">
        <v>74</v>
      </c>
      <c r="B1639" s="16" t="s">
        <v>254</v>
      </c>
      <c r="C1639" s="17" t="s">
        <v>255</v>
      </c>
      <c r="D1639" s="18">
        <v>2.0</v>
      </c>
      <c r="E1639" s="17" t="s">
        <v>175</v>
      </c>
      <c r="F1639" s="15" t="s">
        <v>176</v>
      </c>
      <c r="G1639" s="19">
        <v>9.0043002E7</v>
      </c>
      <c r="H1639" s="15" t="s">
        <v>49</v>
      </c>
      <c r="I1639" s="20" t="s">
        <v>50</v>
      </c>
      <c r="J1639" s="21">
        <v>916947.0</v>
      </c>
      <c r="K1639" s="21">
        <v>540.0</v>
      </c>
    </row>
    <row r="1640">
      <c r="A1640" s="15" t="s">
        <v>74</v>
      </c>
      <c r="B1640" s="16" t="s">
        <v>254</v>
      </c>
      <c r="C1640" s="17" t="s">
        <v>255</v>
      </c>
      <c r="D1640" s="18">
        <v>2.0</v>
      </c>
      <c r="E1640" s="17" t="s">
        <v>115</v>
      </c>
      <c r="F1640" s="15" t="s">
        <v>116</v>
      </c>
      <c r="G1640" s="19">
        <v>5.1100774E7</v>
      </c>
      <c r="H1640" s="15" t="s">
        <v>39</v>
      </c>
      <c r="I1640" s="20" t="s">
        <v>17</v>
      </c>
      <c r="J1640" s="21">
        <v>4.082181E7</v>
      </c>
      <c r="K1640" s="21">
        <v>223070.0</v>
      </c>
    </row>
    <row r="1641">
      <c r="A1641" s="15" t="s">
        <v>74</v>
      </c>
      <c r="B1641" s="16" t="s">
        <v>254</v>
      </c>
      <c r="C1641" s="17" t="s">
        <v>255</v>
      </c>
      <c r="D1641" s="18">
        <v>2.0</v>
      </c>
      <c r="E1641" s="17" t="s">
        <v>117</v>
      </c>
      <c r="F1641" s="15" t="s">
        <v>118</v>
      </c>
      <c r="G1641" s="19">
        <v>5.1100058E7</v>
      </c>
      <c r="H1641" s="15" t="s">
        <v>36</v>
      </c>
      <c r="I1641" s="20" t="s">
        <v>37</v>
      </c>
      <c r="J1641" s="21">
        <v>2.445962E7</v>
      </c>
      <c r="K1641" s="21">
        <v>17451.75</v>
      </c>
    </row>
    <row r="1642">
      <c r="A1642" s="15" t="s">
        <v>74</v>
      </c>
      <c r="B1642" s="16" t="s">
        <v>254</v>
      </c>
      <c r="C1642" s="17" t="s">
        <v>255</v>
      </c>
      <c r="D1642" s="18">
        <v>2.0</v>
      </c>
      <c r="E1642" s="17" t="s">
        <v>117</v>
      </c>
      <c r="F1642" s="15" t="s">
        <v>118</v>
      </c>
      <c r="G1642" s="19">
        <v>5.1100774E7</v>
      </c>
      <c r="H1642" s="15" t="s">
        <v>39</v>
      </c>
      <c r="I1642" s="20" t="s">
        <v>17</v>
      </c>
      <c r="J1642" s="21">
        <v>9686220.0</v>
      </c>
      <c r="K1642" s="21">
        <v>140.38</v>
      </c>
    </row>
    <row r="1643">
      <c r="A1643" s="15" t="s">
        <v>74</v>
      </c>
      <c r="B1643" s="16" t="s">
        <v>254</v>
      </c>
      <c r="C1643" s="17" t="s">
        <v>255</v>
      </c>
      <c r="D1643" s="18">
        <v>2.0</v>
      </c>
      <c r="E1643" s="17" t="s">
        <v>119</v>
      </c>
      <c r="F1643" s="15" t="s">
        <v>120</v>
      </c>
      <c r="G1643" s="19">
        <v>5.1100774E7</v>
      </c>
      <c r="H1643" s="15" t="s">
        <v>39</v>
      </c>
      <c r="I1643" s="20" t="s">
        <v>17</v>
      </c>
      <c r="J1643" s="21">
        <v>9180000.0</v>
      </c>
      <c r="K1643" s="21">
        <v>7.65</v>
      </c>
    </row>
    <row r="1644">
      <c r="A1644" s="15" t="s">
        <v>74</v>
      </c>
      <c r="B1644" s="16" t="s">
        <v>254</v>
      </c>
      <c r="C1644" s="17" t="s">
        <v>255</v>
      </c>
      <c r="D1644" s="18">
        <v>2.0</v>
      </c>
      <c r="E1644" s="17" t="s">
        <v>123</v>
      </c>
      <c r="F1644" s="15" t="s">
        <v>124</v>
      </c>
      <c r="G1644" s="19">
        <v>5.1100774E7</v>
      </c>
      <c r="H1644" s="15" t="s">
        <v>39</v>
      </c>
      <c r="I1644" s="20" t="s">
        <v>17</v>
      </c>
      <c r="J1644" s="21">
        <v>2.7812E7</v>
      </c>
      <c r="K1644" s="21">
        <v>3296.0</v>
      </c>
    </row>
    <row r="1645">
      <c r="A1645" s="15" t="s">
        <v>74</v>
      </c>
      <c r="B1645" s="16" t="s">
        <v>254</v>
      </c>
      <c r="C1645" s="17" t="s">
        <v>255</v>
      </c>
      <c r="D1645" s="18">
        <v>2.0</v>
      </c>
      <c r="E1645" s="17" t="s">
        <v>125</v>
      </c>
      <c r="F1645" s="15" t="s">
        <v>126</v>
      </c>
      <c r="G1645" s="19">
        <v>9.0043001E7</v>
      </c>
      <c r="H1645" s="15" t="s">
        <v>18</v>
      </c>
      <c r="I1645" s="20" t="s">
        <v>19</v>
      </c>
      <c r="J1645" s="21">
        <v>1.34967874E8</v>
      </c>
      <c r="K1645" s="21">
        <v>853.0</v>
      </c>
    </row>
    <row r="1646">
      <c r="A1646" s="15" t="s">
        <v>74</v>
      </c>
      <c r="B1646" s="16" t="s">
        <v>254</v>
      </c>
      <c r="C1646" s="17" t="s">
        <v>255</v>
      </c>
      <c r="D1646" s="18">
        <v>2.0</v>
      </c>
      <c r="E1646" s="17" t="s">
        <v>127</v>
      </c>
      <c r="F1646" s="15" t="s">
        <v>128</v>
      </c>
      <c r="G1646" s="19">
        <v>5.1100153E7</v>
      </c>
      <c r="H1646" s="15" t="s">
        <v>72</v>
      </c>
      <c r="I1646" s="20" t="s">
        <v>17</v>
      </c>
      <c r="J1646" s="21">
        <v>1.37134145E8</v>
      </c>
      <c r="K1646" s="21">
        <v>629125.0</v>
      </c>
    </row>
    <row r="1647">
      <c r="A1647" s="15" t="s">
        <v>74</v>
      </c>
      <c r="B1647" s="16" t="s">
        <v>254</v>
      </c>
      <c r="C1647" s="17" t="s">
        <v>255</v>
      </c>
      <c r="D1647" s="18">
        <v>2.0</v>
      </c>
      <c r="E1647" s="17" t="s">
        <v>127</v>
      </c>
      <c r="F1647" s="15" t="s">
        <v>128</v>
      </c>
      <c r="G1647" s="19">
        <v>9.0043002E7</v>
      </c>
      <c r="H1647" s="15" t="s">
        <v>49</v>
      </c>
      <c r="I1647" s="20" t="s">
        <v>50</v>
      </c>
      <c r="J1647" s="21">
        <v>2433828.0</v>
      </c>
      <c r="K1647" s="21">
        <v>233.0</v>
      </c>
    </row>
    <row r="1648">
      <c r="A1648" s="15" t="s">
        <v>74</v>
      </c>
      <c r="B1648" s="16" t="s">
        <v>254</v>
      </c>
      <c r="C1648" s="17" t="s">
        <v>255</v>
      </c>
      <c r="D1648" s="18">
        <v>2.0</v>
      </c>
      <c r="E1648" s="17" t="s">
        <v>129</v>
      </c>
      <c r="F1648" s="15" t="s">
        <v>130</v>
      </c>
      <c r="G1648" s="19">
        <v>5.1100153E7</v>
      </c>
      <c r="H1648" s="15" t="s">
        <v>72</v>
      </c>
      <c r="I1648" s="20" t="s">
        <v>25</v>
      </c>
      <c r="J1648" s="21">
        <v>0.0</v>
      </c>
      <c r="K1648" s="21">
        <v>0.0</v>
      </c>
    </row>
    <row r="1649">
      <c r="A1649" s="15" t="s">
        <v>74</v>
      </c>
      <c r="B1649" s="16" t="s">
        <v>254</v>
      </c>
      <c r="C1649" s="17" t="s">
        <v>255</v>
      </c>
      <c r="D1649" s="18">
        <v>2.0</v>
      </c>
      <c r="E1649" s="17" t="s">
        <v>129</v>
      </c>
      <c r="F1649" s="15" t="s">
        <v>130</v>
      </c>
      <c r="G1649" s="19">
        <v>5.1101056E7</v>
      </c>
      <c r="H1649" s="15" t="s">
        <v>16</v>
      </c>
      <c r="I1649" s="20" t="s">
        <v>17</v>
      </c>
      <c r="J1649" s="21">
        <v>2.664145E7</v>
      </c>
      <c r="K1649" s="21">
        <v>242195.0</v>
      </c>
    </row>
    <row r="1650">
      <c r="A1650" s="15" t="s">
        <v>74</v>
      </c>
      <c r="B1650" s="16" t="s">
        <v>254</v>
      </c>
      <c r="C1650" s="17" t="s">
        <v>255</v>
      </c>
      <c r="D1650" s="18">
        <v>2.0</v>
      </c>
      <c r="E1650" s="17" t="s">
        <v>129</v>
      </c>
      <c r="F1650" s="15" t="s">
        <v>130</v>
      </c>
      <c r="G1650" s="19">
        <v>9.0043003E7</v>
      </c>
      <c r="H1650" s="15" t="s">
        <v>90</v>
      </c>
      <c r="I1650" s="20" t="s">
        <v>50</v>
      </c>
      <c r="J1650" s="21">
        <v>7.7867168E7</v>
      </c>
      <c r="K1650" s="21">
        <v>378.0</v>
      </c>
    </row>
    <row r="1651">
      <c r="A1651" s="15" t="s">
        <v>74</v>
      </c>
      <c r="B1651" s="16" t="s">
        <v>254</v>
      </c>
      <c r="C1651" s="17" t="s">
        <v>255</v>
      </c>
      <c r="D1651" s="18">
        <v>2.0</v>
      </c>
      <c r="E1651" s="17" t="s">
        <v>135</v>
      </c>
      <c r="F1651" s="15" t="s">
        <v>136</v>
      </c>
      <c r="G1651" s="19">
        <v>9.0043001E7</v>
      </c>
      <c r="H1651" s="15" t="s">
        <v>18</v>
      </c>
      <c r="I1651" s="20" t="s">
        <v>19</v>
      </c>
      <c r="J1651" s="21">
        <v>1.3773265E7</v>
      </c>
      <c r="K1651" s="21">
        <v>93.0</v>
      </c>
    </row>
    <row r="1652">
      <c r="A1652" s="15" t="s">
        <v>74</v>
      </c>
      <c r="B1652" s="16" t="s">
        <v>254</v>
      </c>
      <c r="C1652" s="17" t="s">
        <v>255</v>
      </c>
      <c r="D1652" s="18">
        <v>2.0</v>
      </c>
      <c r="E1652" s="17" t="s">
        <v>54</v>
      </c>
      <c r="F1652" s="15" t="s">
        <v>139</v>
      </c>
      <c r="G1652" s="19">
        <v>9.0042011E7</v>
      </c>
      <c r="H1652" s="15" t="s">
        <v>55</v>
      </c>
      <c r="I1652" s="20" t="s">
        <v>19</v>
      </c>
      <c r="J1652" s="21">
        <v>2.78377381E8</v>
      </c>
      <c r="K1652" s="21">
        <v>0.0</v>
      </c>
    </row>
    <row r="1653">
      <c r="A1653" s="15" t="s">
        <v>74</v>
      </c>
      <c r="B1653" s="16" t="s">
        <v>254</v>
      </c>
      <c r="C1653" s="17" t="s">
        <v>255</v>
      </c>
      <c r="D1653" s="18">
        <v>2.0</v>
      </c>
      <c r="E1653" s="17" t="s">
        <v>164</v>
      </c>
      <c r="F1653" s="15" t="s">
        <v>165</v>
      </c>
      <c r="G1653" s="19">
        <v>9.0042079E7</v>
      </c>
      <c r="H1653" s="15" t="s">
        <v>166</v>
      </c>
      <c r="I1653" s="20" t="s">
        <v>19</v>
      </c>
      <c r="J1653" s="21">
        <v>917850.0</v>
      </c>
      <c r="K1653" s="21">
        <v>0.0</v>
      </c>
    </row>
    <row r="1654">
      <c r="A1654" s="15" t="s">
        <v>74</v>
      </c>
      <c r="B1654" s="16" t="s">
        <v>254</v>
      </c>
      <c r="C1654" s="17" t="s">
        <v>255</v>
      </c>
      <c r="D1654" s="18">
        <v>2.0</v>
      </c>
      <c r="E1654" s="17" t="s">
        <v>20</v>
      </c>
      <c r="F1654" s="15" t="s">
        <v>140</v>
      </c>
      <c r="G1654" s="19">
        <v>9.0042014E7</v>
      </c>
      <c r="H1654" s="15" t="s">
        <v>21</v>
      </c>
      <c r="I1654" s="20" t="s">
        <v>19</v>
      </c>
      <c r="J1654" s="21">
        <v>2.39121784E8</v>
      </c>
      <c r="K1654" s="21">
        <v>0.0</v>
      </c>
    </row>
    <row r="1655">
      <c r="A1655" s="15" t="s">
        <v>74</v>
      </c>
      <c r="B1655" s="16" t="s">
        <v>254</v>
      </c>
      <c r="C1655" s="17" t="s">
        <v>255</v>
      </c>
      <c r="D1655" s="18">
        <v>2.0</v>
      </c>
      <c r="E1655" s="17" t="s">
        <v>20</v>
      </c>
      <c r="F1655" s="15" t="s">
        <v>140</v>
      </c>
      <c r="G1655" s="19">
        <v>9.0042077E7</v>
      </c>
      <c r="H1655" s="15" t="s">
        <v>141</v>
      </c>
      <c r="I1655" s="20" t="s">
        <v>19</v>
      </c>
      <c r="J1655" s="21">
        <v>4.348412E7</v>
      </c>
      <c r="K1655" s="21">
        <v>0.0</v>
      </c>
    </row>
    <row r="1656">
      <c r="A1656" s="15" t="s">
        <v>74</v>
      </c>
      <c r="B1656" s="16" t="s">
        <v>254</v>
      </c>
      <c r="C1656" s="17" t="s">
        <v>255</v>
      </c>
      <c r="D1656" s="18">
        <v>2.0</v>
      </c>
      <c r="E1656" s="17" t="s">
        <v>142</v>
      </c>
      <c r="F1656" s="15" t="s">
        <v>143</v>
      </c>
      <c r="G1656" s="19">
        <v>9.0042084E7</v>
      </c>
      <c r="H1656" s="15" t="s">
        <v>145</v>
      </c>
      <c r="I1656" s="20" t="s">
        <v>19</v>
      </c>
      <c r="J1656" s="21">
        <v>8544945.0</v>
      </c>
      <c r="K1656" s="21">
        <v>0.0</v>
      </c>
    </row>
    <row r="1657">
      <c r="A1657" s="15" t="s">
        <v>74</v>
      </c>
      <c r="B1657" s="16" t="s">
        <v>254</v>
      </c>
      <c r="C1657" s="17" t="s">
        <v>255</v>
      </c>
      <c r="D1657" s="18">
        <v>2.0</v>
      </c>
      <c r="E1657" s="17" t="s">
        <v>22</v>
      </c>
      <c r="F1657" s="15" t="s">
        <v>146</v>
      </c>
      <c r="G1657" s="19">
        <v>9.0042012E7</v>
      </c>
      <c r="H1657" s="15" t="s">
        <v>23</v>
      </c>
      <c r="I1657" s="20" t="s">
        <v>19</v>
      </c>
      <c r="J1657" s="21">
        <v>8.4989938E7</v>
      </c>
      <c r="K1657" s="21">
        <v>0.0</v>
      </c>
    </row>
    <row r="1658">
      <c r="A1658" s="15" t="s">
        <v>74</v>
      </c>
      <c r="B1658" s="16" t="s">
        <v>254</v>
      </c>
      <c r="C1658" s="17" t="s">
        <v>255</v>
      </c>
      <c r="D1658" s="18">
        <v>2.0</v>
      </c>
      <c r="E1658" s="17" t="s">
        <v>22</v>
      </c>
      <c r="F1658" s="15" t="s">
        <v>146</v>
      </c>
      <c r="G1658" s="19">
        <v>9.0042121E7</v>
      </c>
      <c r="H1658" s="15" t="s">
        <v>24</v>
      </c>
      <c r="I1658" s="20" t="s">
        <v>25</v>
      </c>
      <c r="J1658" s="21">
        <v>2.46992028E8</v>
      </c>
      <c r="K1658" s="21">
        <v>0.0</v>
      </c>
    </row>
    <row r="1659">
      <c r="A1659" s="15" t="s">
        <v>74</v>
      </c>
      <c r="B1659" s="16" t="s">
        <v>254</v>
      </c>
      <c r="C1659" s="17" t="s">
        <v>255</v>
      </c>
      <c r="D1659" s="18">
        <v>2.0</v>
      </c>
      <c r="E1659" s="17" t="s">
        <v>22</v>
      </c>
      <c r="F1659" s="15" t="s">
        <v>146</v>
      </c>
      <c r="G1659" s="19">
        <v>9.0042122E7</v>
      </c>
      <c r="H1659" s="15" t="s">
        <v>56</v>
      </c>
      <c r="I1659" s="20" t="s">
        <v>25</v>
      </c>
      <c r="J1659" s="21">
        <v>4.1201037E7</v>
      </c>
      <c r="K1659" s="21">
        <v>0.0</v>
      </c>
    </row>
    <row r="1660">
      <c r="A1660" s="15" t="s">
        <v>74</v>
      </c>
      <c r="B1660" s="16" t="s">
        <v>254</v>
      </c>
      <c r="C1660" s="17" t="s">
        <v>255</v>
      </c>
      <c r="D1660" s="18">
        <v>2.0</v>
      </c>
      <c r="E1660" s="17" t="s">
        <v>22</v>
      </c>
      <c r="F1660" s="15" t="s">
        <v>146</v>
      </c>
      <c r="G1660" s="19">
        <v>9.0042124E7</v>
      </c>
      <c r="H1660" s="15" t="s">
        <v>57</v>
      </c>
      <c r="I1660" s="20" t="s">
        <v>25</v>
      </c>
      <c r="J1660" s="21">
        <v>1.082004E7</v>
      </c>
      <c r="K1660" s="21">
        <v>0.0</v>
      </c>
    </row>
    <row r="1661">
      <c r="A1661" s="15" t="s">
        <v>74</v>
      </c>
      <c r="B1661" s="16" t="s">
        <v>254</v>
      </c>
      <c r="C1661" s="17" t="s">
        <v>255</v>
      </c>
      <c r="D1661" s="18">
        <v>2.0</v>
      </c>
      <c r="E1661" s="17" t="s">
        <v>22</v>
      </c>
      <c r="F1661" s="15" t="s">
        <v>146</v>
      </c>
      <c r="G1661" s="19">
        <v>9.0042125E7</v>
      </c>
      <c r="H1661" s="15" t="s">
        <v>26</v>
      </c>
      <c r="I1661" s="20" t="s">
        <v>25</v>
      </c>
      <c r="J1661" s="21">
        <v>4.2456929E7</v>
      </c>
      <c r="K1661" s="21">
        <v>0.0</v>
      </c>
    </row>
    <row r="1662">
      <c r="A1662" s="15" t="s">
        <v>74</v>
      </c>
      <c r="B1662" s="16" t="s">
        <v>254</v>
      </c>
      <c r="C1662" s="17" t="s">
        <v>255</v>
      </c>
      <c r="D1662" s="18">
        <v>2.0</v>
      </c>
      <c r="E1662" s="17" t="s">
        <v>22</v>
      </c>
      <c r="F1662" s="15" t="s">
        <v>146</v>
      </c>
      <c r="G1662" s="19">
        <v>9.0042127E7</v>
      </c>
      <c r="H1662" s="15" t="s">
        <v>27</v>
      </c>
      <c r="I1662" s="20" t="s">
        <v>25</v>
      </c>
      <c r="J1662" s="21">
        <v>8624220.0</v>
      </c>
      <c r="K1662" s="21">
        <v>0.0</v>
      </c>
    </row>
    <row r="1663">
      <c r="A1663" s="15" t="s">
        <v>74</v>
      </c>
      <c r="B1663" s="16" t="s">
        <v>254</v>
      </c>
      <c r="C1663" s="17" t="s">
        <v>255</v>
      </c>
      <c r="D1663" s="18">
        <v>2.0</v>
      </c>
      <c r="E1663" s="17" t="s">
        <v>22</v>
      </c>
      <c r="F1663" s="15" t="s">
        <v>146</v>
      </c>
      <c r="G1663" s="19">
        <v>9.0042128E7</v>
      </c>
      <c r="H1663" s="15" t="s">
        <v>58</v>
      </c>
      <c r="I1663" s="20" t="s">
        <v>25</v>
      </c>
      <c r="J1663" s="21">
        <v>3.822572E7</v>
      </c>
      <c r="K1663" s="21">
        <v>0.0</v>
      </c>
    </row>
    <row r="1664">
      <c r="A1664" s="15" t="s">
        <v>74</v>
      </c>
      <c r="B1664" s="16" t="s">
        <v>254</v>
      </c>
      <c r="C1664" s="17" t="s">
        <v>255</v>
      </c>
      <c r="D1664" s="18">
        <v>2.0</v>
      </c>
      <c r="E1664" s="17" t="s">
        <v>22</v>
      </c>
      <c r="F1664" s="15" t="s">
        <v>146</v>
      </c>
      <c r="G1664" s="19">
        <v>9.0042132E7</v>
      </c>
      <c r="H1664" s="15" t="s">
        <v>28</v>
      </c>
      <c r="I1664" s="20" t="s">
        <v>25</v>
      </c>
      <c r="J1664" s="21">
        <v>1.7988852E7</v>
      </c>
      <c r="K1664" s="21">
        <v>0.0</v>
      </c>
    </row>
    <row r="1665">
      <c r="A1665" s="15" t="s">
        <v>74</v>
      </c>
      <c r="B1665" s="16" t="s">
        <v>254</v>
      </c>
      <c r="C1665" s="17" t="s">
        <v>255</v>
      </c>
      <c r="D1665" s="18">
        <v>2.0</v>
      </c>
      <c r="E1665" s="17" t="s">
        <v>22</v>
      </c>
      <c r="F1665" s="15" t="s">
        <v>146</v>
      </c>
      <c r="G1665" s="19">
        <v>9.0042134E7</v>
      </c>
      <c r="H1665" s="15" t="s">
        <v>29</v>
      </c>
      <c r="I1665" s="20" t="s">
        <v>25</v>
      </c>
      <c r="J1665" s="21">
        <v>2448175.0</v>
      </c>
      <c r="K1665" s="21">
        <v>0.0</v>
      </c>
    </row>
    <row r="1666">
      <c r="A1666" s="15" t="s">
        <v>74</v>
      </c>
      <c r="B1666" s="16" t="s">
        <v>254</v>
      </c>
      <c r="C1666" s="17" t="s">
        <v>255</v>
      </c>
      <c r="D1666" s="18">
        <v>2.0</v>
      </c>
      <c r="E1666" s="17" t="s">
        <v>22</v>
      </c>
      <c r="F1666" s="15" t="s">
        <v>146</v>
      </c>
      <c r="G1666" s="19">
        <v>9.0042135E7</v>
      </c>
      <c r="H1666" s="15" t="s">
        <v>30</v>
      </c>
      <c r="I1666" s="20" t="s">
        <v>25</v>
      </c>
      <c r="J1666" s="21">
        <v>2.20216416E8</v>
      </c>
      <c r="K1666" s="21">
        <v>0.0</v>
      </c>
    </row>
    <row r="1667">
      <c r="A1667" s="15" t="s">
        <v>74</v>
      </c>
      <c r="B1667" s="16" t="s">
        <v>254</v>
      </c>
      <c r="C1667" s="17" t="s">
        <v>255</v>
      </c>
      <c r="D1667" s="18">
        <v>2.0</v>
      </c>
      <c r="E1667" s="17" t="s">
        <v>22</v>
      </c>
      <c r="F1667" s="15" t="s">
        <v>146</v>
      </c>
      <c r="G1667" s="19">
        <v>9.00422E7</v>
      </c>
      <c r="H1667" s="15" t="s">
        <v>73</v>
      </c>
      <c r="I1667" s="20" t="s">
        <v>60</v>
      </c>
      <c r="J1667" s="21">
        <v>1.14010991E8</v>
      </c>
      <c r="K1667" s="21">
        <v>0.0</v>
      </c>
    </row>
    <row r="1668">
      <c r="A1668" s="15" t="s">
        <v>74</v>
      </c>
      <c r="B1668" s="16" t="s">
        <v>254</v>
      </c>
      <c r="C1668" s="17" t="s">
        <v>255</v>
      </c>
      <c r="D1668" s="18">
        <v>2.0</v>
      </c>
      <c r="E1668" s="17" t="s">
        <v>22</v>
      </c>
      <c r="F1668" s="15" t="s">
        <v>146</v>
      </c>
      <c r="G1668" s="19">
        <v>9.0042223E7</v>
      </c>
      <c r="H1668" s="15" t="s">
        <v>61</v>
      </c>
      <c r="I1668" s="20" t="s">
        <v>60</v>
      </c>
      <c r="J1668" s="21">
        <v>5778180.0</v>
      </c>
      <c r="K1668" s="21">
        <v>0.0</v>
      </c>
    </row>
    <row r="1669">
      <c r="A1669" s="15" t="s">
        <v>74</v>
      </c>
      <c r="B1669" s="16" t="s">
        <v>254</v>
      </c>
      <c r="C1669" s="17" t="s">
        <v>255</v>
      </c>
      <c r="D1669" s="18">
        <v>2.0</v>
      </c>
      <c r="E1669" s="17" t="s">
        <v>22</v>
      </c>
      <c r="F1669" s="15" t="s">
        <v>146</v>
      </c>
      <c r="G1669" s="19">
        <v>9.0042224E7</v>
      </c>
      <c r="H1669" s="15" t="s">
        <v>62</v>
      </c>
      <c r="I1669" s="20" t="s">
        <v>60</v>
      </c>
      <c r="J1669" s="21">
        <v>4465199.0</v>
      </c>
      <c r="K1669" s="21">
        <v>0.0</v>
      </c>
    </row>
    <row r="1670">
      <c r="A1670" s="15" t="s">
        <v>74</v>
      </c>
      <c r="B1670" s="16" t="s">
        <v>254</v>
      </c>
      <c r="C1670" s="17" t="s">
        <v>255</v>
      </c>
      <c r="D1670" s="18">
        <v>2.0</v>
      </c>
      <c r="E1670" s="17" t="s">
        <v>22</v>
      </c>
      <c r="F1670" s="15" t="s">
        <v>146</v>
      </c>
      <c r="G1670" s="19">
        <v>9.0042226E7</v>
      </c>
      <c r="H1670" s="15" t="s">
        <v>63</v>
      </c>
      <c r="I1670" s="20" t="s">
        <v>60</v>
      </c>
      <c r="J1670" s="21">
        <v>1744050.0</v>
      </c>
      <c r="K1670" s="21">
        <v>0.0</v>
      </c>
    </row>
    <row r="1671">
      <c r="A1671" s="15" t="s">
        <v>74</v>
      </c>
      <c r="B1671" s="16" t="s">
        <v>254</v>
      </c>
      <c r="C1671" s="17" t="s">
        <v>255</v>
      </c>
      <c r="D1671" s="18">
        <v>2.0</v>
      </c>
      <c r="E1671" s="17" t="s">
        <v>22</v>
      </c>
      <c r="F1671" s="15" t="s">
        <v>146</v>
      </c>
      <c r="G1671" s="19">
        <v>9.0042228E7</v>
      </c>
      <c r="H1671" s="15" t="s">
        <v>64</v>
      </c>
      <c r="I1671" s="20" t="s">
        <v>60</v>
      </c>
      <c r="J1671" s="21">
        <v>6.8770356E7</v>
      </c>
      <c r="K1671" s="21">
        <v>0.0</v>
      </c>
    </row>
    <row r="1672">
      <c r="A1672" s="15" t="s">
        <v>74</v>
      </c>
      <c r="B1672" s="16" t="s">
        <v>254</v>
      </c>
      <c r="C1672" s="17" t="s">
        <v>255</v>
      </c>
      <c r="D1672" s="18">
        <v>2.0</v>
      </c>
      <c r="E1672" s="17" t="s">
        <v>22</v>
      </c>
      <c r="F1672" s="15" t="s">
        <v>146</v>
      </c>
      <c r="G1672" s="19">
        <v>9.0042231E7</v>
      </c>
      <c r="H1672" s="15" t="s">
        <v>65</v>
      </c>
      <c r="I1672" s="20" t="s">
        <v>60</v>
      </c>
      <c r="J1672" s="21">
        <v>2240985.0</v>
      </c>
      <c r="K1672" s="21">
        <v>0.0</v>
      </c>
    </row>
    <row r="1673">
      <c r="A1673" s="15" t="s">
        <v>74</v>
      </c>
      <c r="B1673" s="16" t="s">
        <v>254</v>
      </c>
      <c r="C1673" s="17" t="s">
        <v>255</v>
      </c>
      <c r="D1673" s="18">
        <v>2.0</v>
      </c>
      <c r="E1673" s="17" t="s">
        <v>22</v>
      </c>
      <c r="F1673" s="15" t="s">
        <v>146</v>
      </c>
      <c r="G1673" s="19">
        <v>9.0042126E7</v>
      </c>
      <c r="H1673" s="15" t="s">
        <v>31</v>
      </c>
      <c r="I1673" s="20" t="s">
        <v>25</v>
      </c>
      <c r="J1673" s="21">
        <v>3.1831889E7</v>
      </c>
      <c r="K1673" s="21">
        <v>0.0</v>
      </c>
    </row>
    <row r="1674">
      <c r="A1674" s="15" t="s">
        <v>74</v>
      </c>
      <c r="B1674" s="16" t="s">
        <v>254</v>
      </c>
      <c r="C1674" s="17" t="s">
        <v>255</v>
      </c>
      <c r="D1674" s="18">
        <v>2.0</v>
      </c>
      <c r="E1674" s="24">
        <v>46097.0</v>
      </c>
      <c r="F1674" s="15" t="s">
        <v>216</v>
      </c>
      <c r="G1674" s="19">
        <v>5.1101056E7</v>
      </c>
      <c r="H1674" s="15" t="s">
        <v>16</v>
      </c>
      <c r="I1674" s="20" t="s">
        <v>17</v>
      </c>
      <c r="J1674" s="21">
        <v>1.374065E7</v>
      </c>
      <c r="K1674" s="21">
        <v>124915.0</v>
      </c>
    </row>
    <row r="1675">
      <c r="A1675" s="15" t="s">
        <v>74</v>
      </c>
      <c r="B1675" s="16" t="s">
        <v>254</v>
      </c>
      <c r="C1675" s="17" t="s">
        <v>255</v>
      </c>
      <c r="D1675" s="18">
        <v>2.0</v>
      </c>
      <c r="E1675" s="24">
        <v>46097.0</v>
      </c>
      <c r="F1675" s="15" t="s">
        <v>216</v>
      </c>
      <c r="G1675" s="19">
        <v>5.4000001E7</v>
      </c>
      <c r="H1675" s="15" t="s">
        <v>256</v>
      </c>
      <c r="I1675" s="20" t="s">
        <v>25</v>
      </c>
      <c r="J1675" s="21">
        <v>0.0</v>
      </c>
      <c r="K1675" s="21">
        <v>0.0</v>
      </c>
    </row>
    <row r="1676">
      <c r="A1676" s="15" t="s">
        <v>74</v>
      </c>
      <c r="B1676" s="16" t="s">
        <v>254</v>
      </c>
      <c r="C1676" s="17" t="s">
        <v>255</v>
      </c>
      <c r="D1676" s="18">
        <v>2.0</v>
      </c>
      <c r="E1676" s="24">
        <v>46069.0</v>
      </c>
      <c r="F1676" s="15" t="s">
        <v>217</v>
      </c>
      <c r="G1676" s="19">
        <v>5.1100153E7</v>
      </c>
      <c r="H1676" s="15" t="s">
        <v>72</v>
      </c>
      <c r="I1676" s="20" t="s">
        <v>17</v>
      </c>
      <c r="J1676" s="21">
        <v>1.446443E7</v>
      </c>
      <c r="K1676" s="21">
        <v>149615.0</v>
      </c>
    </row>
    <row r="1677">
      <c r="A1677" s="15" t="s">
        <v>74</v>
      </c>
      <c r="B1677" s="16" t="s">
        <v>254</v>
      </c>
      <c r="C1677" s="17" t="s">
        <v>255</v>
      </c>
      <c r="D1677" s="18">
        <v>2.0</v>
      </c>
      <c r="E1677" s="17" t="s">
        <v>257</v>
      </c>
      <c r="F1677" s="15" t="s">
        <v>258</v>
      </c>
      <c r="G1677" s="19">
        <v>5.1100774E7</v>
      </c>
      <c r="H1677" s="15" t="s">
        <v>39</v>
      </c>
      <c r="I1677" s="20" t="s">
        <v>17</v>
      </c>
      <c r="J1677" s="21">
        <v>1.75E7</v>
      </c>
      <c r="K1677" s="21">
        <v>2.0</v>
      </c>
    </row>
    <row r="1678">
      <c r="A1678" s="15" t="s">
        <v>74</v>
      </c>
      <c r="B1678" s="16" t="s">
        <v>259</v>
      </c>
      <c r="C1678" s="17" t="s">
        <v>260</v>
      </c>
      <c r="D1678" s="18">
        <v>2.0</v>
      </c>
      <c r="E1678" s="24">
        <v>46038.0</v>
      </c>
      <c r="F1678" s="15" t="s">
        <v>150</v>
      </c>
      <c r="G1678" s="19">
        <v>9.0043001E7</v>
      </c>
      <c r="H1678" s="15" t="s">
        <v>18</v>
      </c>
      <c r="I1678" s="20" t="s">
        <v>19</v>
      </c>
      <c r="J1678" s="21">
        <v>4.3915527E7</v>
      </c>
      <c r="K1678" s="21">
        <v>276.0</v>
      </c>
    </row>
    <row r="1679">
      <c r="A1679" s="15" t="s">
        <v>74</v>
      </c>
      <c r="B1679" s="16" t="s">
        <v>259</v>
      </c>
      <c r="C1679" s="17" t="s">
        <v>260</v>
      </c>
      <c r="D1679" s="18">
        <v>2.0</v>
      </c>
      <c r="E1679" s="24">
        <v>46158.0</v>
      </c>
      <c r="F1679" s="15" t="s">
        <v>151</v>
      </c>
      <c r="G1679" s="19">
        <v>9.0043001E7</v>
      </c>
      <c r="H1679" s="15" t="s">
        <v>18</v>
      </c>
      <c r="I1679" s="20" t="s">
        <v>19</v>
      </c>
      <c r="J1679" s="21">
        <v>7019276.0</v>
      </c>
      <c r="K1679" s="21">
        <v>44.0</v>
      </c>
    </row>
    <row r="1680">
      <c r="A1680" s="15" t="s">
        <v>74</v>
      </c>
      <c r="B1680" s="16" t="s">
        <v>259</v>
      </c>
      <c r="C1680" s="17" t="s">
        <v>260</v>
      </c>
      <c r="D1680" s="18">
        <v>2.0</v>
      </c>
      <c r="E1680" s="17" t="s">
        <v>77</v>
      </c>
      <c r="F1680" s="15" t="s">
        <v>78</v>
      </c>
      <c r="G1680" s="19">
        <v>9.0043001E7</v>
      </c>
      <c r="H1680" s="15" t="s">
        <v>18</v>
      </c>
      <c r="I1680" s="20" t="s">
        <v>19</v>
      </c>
      <c r="J1680" s="21">
        <v>9200203.0</v>
      </c>
      <c r="K1680" s="21">
        <v>61.0</v>
      </c>
    </row>
    <row r="1681">
      <c r="A1681" s="15" t="s">
        <v>74</v>
      </c>
      <c r="B1681" s="16" t="s">
        <v>259</v>
      </c>
      <c r="C1681" s="17" t="s">
        <v>260</v>
      </c>
      <c r="D1681" s="18">
        <v>2.0</v>
      </c>
      <c r="E1681" s="17" t="s">
        <v>222</v>
      </c>
      <c r="F1681" s="15" t="s">
        <v>223</v>
      </c>
      <c r="G1681" s="19">
        <v>5.1100153E7</v>
      </c>
      <c r="H1681" s="15" t="s">
        <v>72</v>
      </c>
      <c r="I1681" s="20" t="s">
        <v>25</v>
      </c>
      <c r="J1681" s="21">
        <v>-6928.0</v>
      </c>
      <c r="K1681" s="21">
        <v>0.0</v>
      </c>
    </row>
    <row r="1682">
      <c r="A1682" s="15" t="s">
        <v>74</v>
      </c>
      <c r="B1682" s="16" t="s">
        <v>259</v>
      </c>
      <c r="C1682" s="17" t="s">
        <v>260</v>
      </c>
      <c r="D1682" s="18">
        <v>2.0</v>
      </c>
      <c r="E1682" s="17" t="s">
        <v>79</v>
      </c>
      <c r="F1682" s="15" t="s">
        <v>80</v>
      </c>
      <c r="G1682" s="19">
        <v>9.0043001E7</v>
      </c>
      <c r="H1682" s="15" t="s">
        <v>18</v>
      </c>
      <c r="I1682" s="20" t="s">
        <v>19</v>
      </c>
      <c r="J1682" s="21">
        <v>1809876.0</v>
      </c>
      <c r="K1682" s="21">
        <v>12.0</v>
      </c>
    </row>
    <row r="1683">
      <c r="A1683" s="15" t="s">
        <v>74</v>
      </c>
      <c r="B1683" s="16" t="s">
        <v>259</v>
      </c>
      <c r="C1683" s="17" t="s">
        <v>260</v>
      </c>
      <c r="D1683" s="18">
        <v>2.0</v>
      </c>
      <c r="E1683" s="17" t="s">
        <v>81</v>
      </c>
      <c r="F1683" s="15" t="s">
        <v>82</v>
      </c>
      <c r="G1683" s="19">
        <v>9.0043001E7</v>
      </c>
      <c r="H1683" s="15" t="s">
        <v>18</v>
      </c>
      <c r="I1683" s="20" t="s">
        <v>19</v>
      </c>
      <c r="J1683" s="21">
        <v>8002638.0</v>
      </c>
      <c r="K1683" s="21">
        <v>54.0</v>
      </c>
    </row>
    <row r="1684">
      <c r="A1684" s="15" t="s">
        <v>74</v>
      </c>
      <c r="B1684" s="16" t="s">
        <v>259</v>
      </c>
      <c r="C1684" s="17" t="s">
        <v>260</v>
      </c>
      <c r="D1684" s="18">
        <v>2.0</v>
      </c>
      <c r="E1684" s="17" t="s">
        <v>84</v>
      </c>
      <c r="F1684" s="15" t="s">
        <v>85</v>
      </c>
      <c r="G1684" s="19">
        <v>9.0043001E7</v>
      </c>
      <c r="H1684" s="15" t="s">
        <v>18</v>
      </c>
      <c r="I1684" s="20" t="s">
        <v>19</v>
      </c>
      <c r="J1684" s="21">
        <v>1.0631783E7</v>
      </c>
      <c r="K1684" s="21">
        <v>67.0</v>
      </c>
    </row>
    <row r="1685">
      <c r="A1685" s="15" t="s">
        <v>74</v>
      </c>
      <c r="B1685" s="16" t="s">
        <v>259</v>
      </c>
      <c r="C1685" s="17" t="s">
        <v>260</v>
      </c>
      <c r="D1685" s="18">
        <v>2.0</v>
      </c>
      <c r="E1685" s="17" t="s">
        <v>86</v>
      </c>
      <c r="F1685" s="15" t="s">
        <v>87</v>
      </c>
      <c r="G1685" s="19">
        <v>9.0043001E7</v>
      </c>
      <c r="H1685" s="15" t="s">
        <v>18</v>
      </c>
      <c r="I1685" s="20" t="s">
        <v>19</v>
      </c>
      <c r="J1685" s="21">
        <v>2.1546687E7</v>
      </c>
      <c r="K1685" s="21">
        <v>138.0</v>
      </c>
    </row>
    <row r="1686">
      <c r="A1686" s="15" t="s">
        <v>74</v>
      </c>
      <c r="B1686" s="16" t="s">
        <v>259</v>
      </c>
      <c r="C1686" s="17" t="s">
        <v>260</v>
      </c>
      <c r="D1686" s="18">
        <v>2.0</v>
      </c>
      <c r="E1686" s="17" t="s">
        <v>88</v>
      </c>
      <c r="F1686" s="15" t="s">
        <v>89</v>
      </c>
      <c r="G1686" s="19">
        <v>9.0043003E7</v>
      </c>
      <c r="H1686" s="15" t="s">
        <v>90</v>
      </c>
      <c r="I1686" s="20" t="s">
        <v>50</v>
      </c>
      <c r="J1686" s="21">
        <v>5.7119298E7</v>
      </c>
      <c r="K1686" s="21">
        <v>93.0</v>
      </c>
    </row>
    <row r="1687">
      <c r="A1687" s="15" t="s">
        <v>74</v>
      </c>
      <c r="B1687" s="16" t="s">
        <v>259</v>
      </c>
      <c r="C1687" s="17" t="s">
        <v>260</v>
      </c>
      <c r="D1687" s="18">
        <v>2.0</v>
      </c>
      <c r="E1687" s="17" t="s">
        <v>154</v>
      </c>
      <c r="F1687" s="15" t="s">
        <v>155</v>
      </c>
      <c r="G1687" s="19">
        <v>9.0043002E7</v>
      </c>
      <c r="H1687" s="15" t="s">
        <v>49</v>
      </c>
      <c r="I1687" s="20" t="s">
        <v>50</v>
      </c>
      <c r="J1687" s="21">
        <v>1.02441311E8</v>
      </c>
      <c r="K1687" s="21">
        <v>5757.0</v>
      </c>
    </row>
    <row r="1688">
      <c r="A1688" s="15" t="s">
        <v>74</v>
      </c>
      <c r="B1688" s="16" t="s">
        <v>259</v>
      </c>
      <c r="C1688" s="17" t="s">
        <v>260</v>
      </c>
      <c r="D1688" s="18">
        <v>2.0</v>
      </c>
      <c r="E1688" s="17" t="s">
        <v>154</v>
      </c>
      <c r="F1688" s="15" t="s">
        <v>155</v>
      </c>
      <c r="G1688" s="19">
        <v>9.0043003E7</v>
      </c>
      <c r="H1688" s="15" t="s">
        <v>90</v>
      </c>
      <c r="I1688" s="20" t="s">
        <v>50</v>
      </c>
      <c r="J1688" s="21">
        <v>3.3835992E7</v>
      </c>
      <c r="K1688" s="21">
        <v>24.0</v>
      </c>
    </row>
    <row r="1689">
      <c r="A1689" s="15" t="s">
        <v>74</v>
      </c>
      <c r="B1689" s="16" t="s">
        <v>259</v>
      </c>
      <c r="C1689" s="17" t="s">
        <v>260</v>
      </c>
      <c r="D1689" s="18">
        <v>2.0</v>
      </c>
      <c r="E1689" s="17" t="s">
        <v>91</v>
      </c>
      <c r="F1689" s="15" t="s">
        <v>92</v>
      </c>
      <c r="G1689" s="19">
        <v>5.1100651E7</v>
      </c>
      <c r="H1689" s="15" t="s">
        <v>38</v>
      </c>
      <c r="I1689" s="20" t="s">
        <v>25</v>
      </c>
      <c r="J1689" s="21">
        <v>0.0</v>
      </c>
      <c r="K1689" s="21">
        <v>0.0</v>
      </c>
    </row>
    <row r="1690">
      <c r="A1690" s="15" t="s">
        <v>74</v>
      </c>
      <c r="B1690" s="16" t="s">
        <v>259</v>
      </c>
      <c r="C1690" s="17" t="s">
        <v>260</v>
      </c>
      <c r="D1690" s="18">
        <v>2.0</v>
      </c>
      <c r="E1690" s="17" t="s">
        <v>91</v>
      </c>
      <c r="F1690" s="15" t="s">
        <v>92</v>
      </c>
      <c r="G1690" s="19">
        <v>5.1100774E7</v>
      </c>
      <c r="H1690" s="15" t="s">
        <v>39</v>
      </c>
      <c r="I1690" s="20" t="s">
        <v>17</v>
      </c>
      <c r="J1690" s="21">
        <v>418600.0</v>
      </c>
      <c r="K1690" s="21">
        <v>45.5</v>
      </c>
    </row>
    <row r="1691">
      <c r="A1691" s="15" t="s">
        <v>74</v>
      </c>
      <c r="B1691" s="16" t="s">
        <v>259</v>
      </c>
      <c r="C1691" s="17" t="s">
        <v>260</v>
      </c>
      <c r="D1691" s="18">
        <v>2.0</v>
      </c>
      <c r="E1691" s="17" t="s">
        <v>95</v>
      </c>
      <c r="F1691" s="15" t="s">
        <v>96</v>
      </c>
      <c r="G1691" s="19">
        <v>5.1100058E7</v>
      </c>
      <c r="H1691" s="15" t="s">
        <v>36</v>
      </c>
      <c r="I1691" s="20" t="s">
        <v>37</v>
      </c>
      <c r="J1691" s="21">
        <v>3.9827654E7</v>
      </c>
      <c r="K1691" s="21">
        <v>573.57</v>
      </c>
    </row>
    <row r="1692">
      <c r="A1692" s="15" t="s">
        <v>74</v>
      </c>
      <c r="B1692" s="16" t="s">
        <v>259</v>
      </c>
      <c r="C1692" s="17" t="s">
        <v>260</v>
      </c>
      <c r="D1692" s="18">
        <v>2.0</v>
      </c>
      <c r="E1692" s="17" t="s">
        <v>95</v>
      </c>
      <c r="F1692" s="15" t="s">
        <v>96</v>
      </c>
      <c r="G1692" s="19">
        <v>5.1100651E7</v>
      </c>
      <c r="H1692" s="15" t="s">
        <v>38</v>
      </c>
      <c r="I1692" s="20" t="s">
        <v>25</v>
      </c>
      <c r="J1692" s="21">
        <v>0.0</v>
      </c>
      <c r="K1692" s="21">
        <v>0.0</v>
      </c>
    </row>
    <row r="1693">
      <c r="A1693" s="15" t="s">
        <v>74</v>
      </c>
      <c r="B1693" s="16" t="s">
        <v>259</v>
      </c>
      <c r="C1693" s="17" t="s">
        <v>260</v>
      </c>
      <c r="D1693" s="18">
        <v>2.0</v>
      </c>
      <c r="E1693" s="17" t="s">
        <v>95</v>
      </c>
      <c r="F1693" s="15" t="s">
        <v>96</v>
      </c>
      <c r="G1693" s="19">
        <v>5.1101999E7</v>
      </c>
      <c r="H1693" s="15" t="s">
        <v>107</v>
      </c>
      <c r="I1693" s="20" t="s">
        <v>25</v>
      </c>
      <c r="J1693" s="21">
        <v>0.0</v>
      </c>
      <c r="K1693" s="21">
        <v>0.0</v>
      </c>
    </row>
    <row r="1694">
      <c r="A1694" s="15" t="s">
        <v>74</v>
      </c>
      <c r="B1694" s="16" t="s">
        <v>259</v>
      </c>
      <c r="C1694" s="17" t="s">
        <v>260</v>
      </c>
      <c r="D1694" s="18">
        <v>2.0</v>
      </c>
      <c r="E1694" s="17" t="s">
        <v>95</v>
      </c>
      <c r="F1694" s="15" t="s">
        <v>96</v>
      </c>
      <c r="G1694" s="19">
        <v>9.0043001E7</v>
      </c>
      <c r="H1694" s="15" t="s">
        <v>18</v>
      </c>
      <c r="I1694" s="20" t="s">
        <v>19</v>
      </c>
      <c r="J1694" s="21">
        <v>3.2961226E7</v>
      </c>
      <c r="K1694" s="21">
        <v>221.0</v>
      </c>
    </row>
    <row r="1695">
      <c r="A1695" s="15" t="s">
        <v>74</v>
      </c>
      <c r="B1695" s="16" t="s">
        <v>259</v>
      </c>
      <c r="C1695" s="17" t="s">
        <v>260</v>
      </c>
      <c r="D1695" s="18">
        <v>2.0</v>
      </c>
      <c r="E1695" s="17" t="s">
        <v>95</v>
      </c>
      <c r="F1695" s="15" t="s">
        <v>96</v>
      </c>
      <c r="G1695" s="19">
        <v>5.1100774E7</v>
      </c>
      <c r="H1695" s="15" t="s">
        <v>39</v>
      </c>
      <c r="I1695" s="20" t="s">
        <v>17</v>
      </c>
      <c r="J1695" s="21">
        <v>2.4122435E7</v>
      </c>
      <c r="K1695" s="21">
        <v>214.44</v>
      </c>
    </row>
    <row r="1696">
      <c r="A1696" s="15" t="s">
        <v>74</v>
      </c>
      <c r="B1696" s="16" t="s">
        <v>259</v>
      </c>
      <c r="C1696" s="17" t="s">
        <v>260</v>
      </c>
      <c r="D1696" s="18">
        <v>2.0</v>
      </c>
      <c r="E1696" s="17" t="s">
        <v>101</v>
      </c>
      <c r="F1696" s="15" t="s">
        <v>102</v>
      </c>
      <c r="G1696" s="19">
        <v>9.0043001E7</v>
      </c>
      <c r="H1696" s="15" t="s">
        <v>18</v>
      </c>
      <c r="I1696" s="20" t="s">
        <v>19</v>
      </c>
      <c r="J1696" s="21">
        <v>3.8023206E7</v>
      </c>
      <c r="K1696" s="21">
        <v>250.0</v>
      </c>
    </row>
    <row r="1697">
      <c r="A1697" s="15" t="s">
        <v>74</v>
      </c>
      <c r="B1697" s="16" t="s">
        <v>259</v>
      </c>
      <c r="C1697" s="17" t="s">
        <v>260</v>
      </c>
      <c r="D1697" s="18">
        <v>2.0</v>
      </c>
      <c r="E1697" s="17" t="s">
        <v>103</v>
      </c>
      <c r="F1697" s="15" t="s">
        <v>104</v>
      </c>
      <c r="G1697" s="19">
        <v>5.1100058E7</v>
      </c>
      <c r="H1697" s="15" t="s">
        <v>36</v>
      </c>
      <c r="I1697" s="20" t="s">
        <v>37</v>
      </c>
      <c r="J1697" s="21">
        <v>2.3775151E7</v>
      </c>
      <c r="K1697" s="21">
        <v>293.35</v>
      </c>
    </row>
    <row r="1698">
      <c r="A1698" s="15" t="s">
        <v>74</v>
      </c>
      <c r="B1698" s="16" t="s">
        <v>259</v>
      </c>
      <c r="C1698" s="17" t="s">
        <v>260</v>
      </c>
      <c r="D1698" s="18">
        <v>2.0</v>
      </c>
      <c r="E1698" s="17" t="s">
        <v>103</v>
      </c>
      <c r="F1698" s="15" t="s">
        <v>104</v>
      </c>
      <c r="G1698" s="19">
        <v>5.1100651E7</v>
      </c>
      <c r="H1698" s="15" t="s">
        <v>38</v>
      </c>
      <c r="I1698" s="20" t="s">
        <v>25</v>
      </c>
      <c r="J1698" s="21">
        <v>0.0</v>
      </c>
      <c r="K1698" s="21">
        <v>0.0</v>
      </c>
    </row>
    <row r="1699">
      <c r="A1699" s="15" t="s">
        <v>74</v>
      </c>
      <c r="B1699" s="16" t="s">
        <v>259</v>
      </c>
      <c r="C1699" s="17" t="s">
        <v>260</v>
      </c>
      <c r="D1699" s="18">
        <v>2.0</v>
      </c>
      <c r="E1699" s="17" t="s">
        <v>103</v>
      </c>
      <c r="F1699" s="15" t="s">
        <v>104</v>
      </c>
      <c r="G1699" s="19">
        <v>5.1101999E7</v>
      </c>
      <c r="H1699" s="15" t="s">
        <v>107</v>
      </c>
      <c r="I1699" s="20" t="s">
        <v>25</v>
      </c>
      <c r="J1699" s="21">
        <v>0.0</v>
      </c>
      <c r="K1699" s="21">
        <v>0.0</v>
      </c>
    </row>
    <row r="1700">
      <c r="A1700" s="15" t="s">
        <v>74</v>
      </c>
      <c r="B1700" s="16" t="s">
        <v>259</v>
      </c>
      <c r="C1700" s="17" t="s">
        <v>260</v>
      </c>
      <c r="D1700" s="18">
        <v>2.0</v>
      </c>
      <c r="E1700" s="17" t="s">
        <v>103</v>
      </c>
      <c r="F1700" s="15" t="s">
        <v>104</v>
      </c>
      <c r="G1700" s="19">
        <v>9.0043001E7</v>
      </c>
      <c r="H1700" s="15" t="s">
        <v>18</v>
      </c>
      <c r="I1700" s="20" t="s">
        <v>19</v>
      </c>
      <c r="J1700" s="21">
        <v>1.5061322E7</v>
      </c>
      <c r="K1700" s="21">
        <v>101.0</v>
      </c>
    </row>
    <row r="1701">
      <c r="A1701" s="15" t="s">
        <v>74</v>
      </c>
      <c r="B1701" s="16" t="s">
        <v>259</v>
      </c>
      <c r="C1701" s="17" t="s">
        <v>260</v>
      </c>
      <c r="D1701" s="18">
        <v>2.0</v>
      </c>
      <c r="E1701" s="17" t="s">
        <v>103</v>
      </c>
      <c r="F1701" s="15" t="s">
        <v>104</v>
      </c>
      <c r="G1701" s="19">
        <v>5.1100774E7</v>
      </c>
      <c r="H1701" s="15" t="s">
        <v>39</v>
      </c>
      <c r="I1701" s="20" t="s">
        <v>17</v>
      </c>
      <c r="J1701" s="21">
        <v>5.6089454E7</v>
      </c>
      <c r="K1701" s="21">
        <v>288.45</v>
      </c>
    </row>
    <row r="1702">
      <c r="A1702" s="15" t="s">
        <v>74</v>
      </c>
      <c r="B1702" s="16" t="s">
        <v>259</v>
      </c>
      <c r="C1702" s="17" t="s">
        <v>260</v>
      </c>
      <c r="D1702" s="18">
        <v>2.0</v>
      </c>
      <c r="E1702" s="17" t="s">
        <v>205</v>
      </c>
      <c r="F1702" s="15" t="s">
        <v>206</v>
      </c>
      <c r="G1702" s="19">
        <v>9.0043001E7</v>
      </c>
      <c r="H1702" s="15" t="s">
        <v>18</v>
      </c>
      <c r="I1702" s="20" t="s">
        <v>19</v>
      </c>
      <c r="J1702" s="21">
        <v>7208250.0</v>
      </c>
      <c r="K1702" s="21">
        <v>50.0</v>
      </c>
    </row>
    <row r="1703">
      <c r="A1703" s="15" t="s">
        <v>74</v>
      </c>
      <c r="B1703" s="16" t="s">
        <v>259</v>
      </c>
      <c r="C1703" s="17" t="s">
        <v>260</v>
      </c>
      <c r="D1703" s="18">
        <v>2.0</v>
      </c>
      <c r="E1703" s="17" t="s">
        <v>175</v>
      </c>
      <c r="F1703" s="15" t="s">
        <v>176</v>
      </c>
      <c r="G1703" s="19">
        <v>9.0043002E7</v>
      </c>
      <c r="H1703" s="15" t="s">
        <v>49</v>
      </c>
      <c r="I1703" s="20" t="s">
        <v>50</v>
      </c>
      <c r="J1703" s="21">
        <v>2695056.0</v>
      </c>
      <c r="K1703" s="21">
        <v>210.0</v>
      </c>
    </row>
    <row r="1704">
      <c r="A1704" s="15" t="s">
        <v>74</v>
      </c>
      <c r="B1704" s="16" t="s">
        <v>259</v>
      </c>
      <c r="C1704" s="17" t="s">
        <v>260</v>
      </c>
      <c r="D1704" s="18">
        <v>2.0</v>
      </c>
      <c r="E1704" s="17" t="s">
        <v>117</v>
      </c>
      <c r="F1704" s="15" t="s">
        <v>118</v>
      </c>
      <c r="G1704" s="19">
        <v>9.0043001E7</v>
      </c>
      <c r="H1704" s="15" t="s">
        <v>18</v>
      </c>
      <c r="I1704" s="20" t="s">
        <v>19</v>
      </c>
      <c r="J1704" s="21">
        <v>2018310.0</v>
      </c>
      <c r="K1704" s="21">
        <v>14.0</v>
      </c>
    </row>
    <row r="1705">
      <c r="A1705" s="15" t="s">
        <v>74</v>
      </c>
      <c r="B1705" s="16" t="s">
        <v>259</v>
      </c>
      <c r="C1705" s="17" t="s">
        <v>260</v>
      </c>
      <c r="D1705" s="18">
        <v>2.0</v>
      </c>
      <c r="E1705" s="17" t="s">
        <v>123</v>
      </c>
      <c r="F1705" s="15" t="s">
        <v>124</v>
      </c>
      <c r="G1705" s="19">
        <v>5.1100651E7</v>
      </c>
      <c r="H1705" s="15" t="s">
        <v>38</v>
      </c>
      <c r="I1705" s="20" t="s">
        <v>25</v>
      </c>
      <c r="J1705" s="21">
        <v>0.0</v>
      </c>
      <c r="K1705" s="21">
        <v>0.0</v>
      </c>
    </row>
    <row r="1706">
      <c r="A1706" s="15" t="s">
        <v>74</v>
      </c>
      <c r="B1706" s="16" t="s">
        <v>259</v>
      </c>
      <c r="C1706" s="17" t="s">
        <v>260</v>
      </c>
      <c r="D1706" s="18">
        <v>2.0</v>
      </c>
      <c r="E1706" s="17" t="s">
        <v>123</v>
      </c>
      <c r="F1706" s="15" t="s">
        <v>124</v>
      </c>
      <c r="G1706" s="19">
        <v>9.0043001E7</v>
      </c>
      <c r="H1706" s="15" t="s">
        <v>18</v>
      </c>
      <c r="I1706" s="20" t="s">
        <v>19</v>
      </c>
      <c r="J1706" s="21">
        <v>5785233.0</v>
      </c>
      <c r="K1706" s="21">
        <v>39.0</v>
      </c>
    </row>
    <row r="1707">
      <c r="A1707" s="15" t="s">
        <v>74</v>
      </c>
      <c r="B1707" s="16" t="s">
        <v>259</v>
      </c>
      <c r="C1707" s="17" t="s">
        <v>260</v>
      </c>
      <c r="D1707" s="18">
        <v>2.0</v>
      </c>
      <c r="E1707" s="17" t="s">
        <v>123</v>
      </c>
      <c r="F1707" s="15" t="s">
        <v>124</v>
      </c>
      <c r="G1707" s="19">
        <v>5.1100774E7</v>
      </c>
      <c r="H1707" s="15" t="s">
        <v>39</v>
      </c>
      <c r="I1707" s="20" t="s">
        <v>17</v>
      </c>
      <c r="J1707" s="21">
        <v>1.494994E7</v>
      </c>
      <c r="K1707" s="21">
        <v>2590.0</v>
      </c>
    </row>
    <row r="1708">
      <c r="A1708" s="15" t="s">
        <v>74</v>
      </c>
      <c r="B1708" s="16" t="s">
        <v>259</v>
      </c>
      <c r="C1708" s="17" t="s">
        <v>260</v>
      </c>
      <c r="D1708" s="18">
        <v>2.0</v>
      </c>
      <c r="E1708" s="17" t="s">
        <v>125</v>
      </c>
      <c r="F1708" s="15" t="s">
        <v>126</v>
      </c>
      <c r="G1708" s="19">
        <v>5.1101056E7</v>
      </c>
      <c r="H1708" s="15" t="s">
        <v>16</v>
      </c>
      <c r="I1708" s="20" t="s">
        <v>17</v>
      </c>
      <c r="J1708" s="21">
        <v>4118905.0</v>
      </c>
      <c r="K1708" s="21">
        <v>30065.0</v>
      </c>
    </row>
    <row r="1709">
      <c r="A1709" s="15" t="s">
        <v>74</v>
      </c>
      <c r="B1709" s="16" t="s">
        <v>259</v>
      </c>
      <c r="C1709" s="17" t="s">
        <v>260</v>
      </c>
      <c r="D1709" s="18">
        <v>2.0</v>
      </c>
      <c r="E1709" s="17" t="s">
        <v>125</v>
      </c>
      <c r="F1709" s="15" t="s">
        <v>126</v>
      </c>
      <c r="G1709" s="19">
        <v>9.0043001E7</v>
      </c>
      <c r="H1709" s="15" t="s">
        <v>18</v>
      </c>
      <c r="I1709" s="20" t="s">
        <v>19</v>
      </c>
      <c r="J1709" s="21">
        <v>1.88157527E8</v>
      </c>
      <c r="K1709" s="21">
        <v>1262.0</v>
      </c>
    </row>
    <row r="1710">
      <c r="A1710" s="15" t="s">
        <v>74</v>
      </c>
      <c r="B1710" s="16" t="s">
        <v>259</v>
      </c>
      <c r="C1710" s="17" t="s">
        <v>260</v>
      </c>
      <c r="D1710" s="18">
        <v>2.0</v>
      </c>
      <c r="E1710" s="17" t="s">
        <v>127</v>
      </c>
      <c r="F1710" s="15" t="s">
        <v>128</v>
      </c>
      <c r="G1710" s="19">
        <v>5.1100153E7</v>
      </c>
      <c r="H1710" s="15" t="s">
        <v>72</v>
      </c>
      <c r="I1710" s="20" t="s">
        <v>25</v>
      </c>
      <c r="J1710" s="21">
        <v>-125603.0</v>
      </c>
      <c r="K1710" s="21">
        <v>0.0</v>
      </c>
    </row>
    <row r="1711">
      <c r="A1711" s="15" t="s">
        <v>74</v>
      </c>
      <c r="B1711" s="16" t="s">
        <v>259</v>
      </c>
      <c r="C1711" s="17" t="s">
        <v>260</v>
      </c>
      <c r="D1711" s="18">
        <v>2.0</v>
      </c>
      <c r="E1711" s="17" t="s">
        <v>127</v>
      </c>
      <c r="F1711" s="15" t="s">
        <v>128</v>
      </c>
      <c r="G1711" s="19">
        <v>5.1100153E7</v>
      </c>
      <c r="H1711" s="15" t="s">
        <v>72</v>
      </c>
      <c r="I1711" s="20" t="s">
        <v>17</v>
      </c>
      <c r="J1711" s="21">
        <v>1.35218295E8</v>
      </c>
      <c r="K1711" s="21">
        <v>776195.0</v>
      </c>
    </row>
    <row r="1712">
      <c r="A1712" s="15" t="s">
        <v>74</v>
      </c>
      <c r="B1712" s="16" t="s">
        <v>259</v>
      </c>
      <c r="C1712" s="17" t="s">
        <v>260</v>
      </c>
      <c r="D1712" s="18">
        <v>2.0</v>
      </c>
      <c r="E1712" s="17" t="s">
        <v>127</v>
      </c>
      <c r="F1712" s="15" t="s">
        <v>128</v>
      </c>
      <c r="G1712" s="19">
        <v>9.0043002E7</v>
      </c>
      <c r="H1712" s="15" t="s">
        <v>49</v>
      </c>
      <c r="I1712" s="20" t="s">
        <v>50</v>
      </c>
      <c r="J1712" s="21">
        <v>5576273.0</v>
      </c>
      <c r="K1712" s="21">
        <v>445.0</v>
      </c>
    </row>
    <row r="1713">
      <c r="A1713" s="15" t="s">
        <v>74</v>
      </c>
      <c r="B1713" s="16" t="s">
        <v>259</v>
      </c>
      <c r="C1713" s="17" t="s">
        <v>260</v>
      </c>
      <c r="D1713" s="18">
        <v>2.0</v>
      </c>
      <c r="E1713" s="17" t="s">
        <v>129</v>
      </c>
      <c r="F1713" s="15" t="s">
        <v>130</v>
      </c>
      <c r="G1713" s="19">
        <v>5.1101056E7</v>
      </c>
      <c r="H1713" s="15" t="s">
        <v>16</v>
      </c>
      <c r="I1713" s="20" t="s">
        <v>17</v>
      </c>
      <c r="J1713" s="21">
        <v>3.76464E7</v>
      </c>
      <c r="K1713" s="21">
        <v>342240.0</v>
      </c>
    </row>
    <row r="1714">
      <c r="A1714" s="15" t="s">
        <v>74</v>
      </c>
      <c r="B1714" s="16" t="s">
        <v>259</v>
      </c>
      <c r="C1714" s="17" t="s">
        <v>260</v>
      </c>
      <c r="D1714" s="18">
        <v>2.0</v>
      </c>
      <c r="E1714" s="17" t="s">
        <v>135</v>
      </c>
      <c r="F1714" s="15" t="s">
        <v>136</v>
      </c>
      <c r="G1714" s="19">
        <v>9.0043001E7</v>
      </c>
      <c r="H1714" s="15" t="s">
        <v>18</v>
      </c>
      <c r="I1714" s="20" t="s">
        <v>19</v>
      </c>
      <c r="J1714" s="21">
        <v>4.9919997E7</v>
      </c>
      <c r="K1714" s="21">
        <v>335.0</v>
      </c>
    </row>
    <row r="1715">
      <c r="A1715" s="15" t="s">
        <v>74</v>
      </c>
      <c r="B1715" s="16" t="s">
        <v>259</v>
      </c>
      <c r="C1715" s="17" t="s">
        <v>260</v>
      </c>
      <c r="D1715" s="18">
        <v>2.0</v>
      </c>
      <c r="E1715" s="17" t="s">
        <v>54</v>
      </c>
      <c r="F1715" s="15" t="s">
        <v>139</v>
      </c>
      <c r="G1715" s="19">
        <v>9.0042011E7</v>
      </c>
      <c r="H1715" s="15" t="s">
        <v>55</v>
      </c>
      <c r="I1715" s="20" t="s">
        <v>19</v>
      </c>
      <c r="J1715" s="21">
        <v>1.68710791E8</v>
      </c>
      <c r="K1715" s="21">
        <v>0.0</v>
      </c>
    </row>
    <row r="1716">
      <c r="A1716" s="15" t="s">
        <v>74</v>
      </c>
      <c r="B1716" s="16" t="s">
        <v>259</v>
      </c>
      <c r="C1716" s="17" t="s">
        <v>260</v>
      </c>
      <c r="D1716" s="18">
        <v>2.0</v>
      </c>
      <c r="E1716" s="17" t="s">
        <v>164</v>
      </c>
      <c r="F1716" s="15" t="s">
        <v>165</v>
      </c>
      <c r="G1716" s="19">
        <v>9.0042079E7</v>
      </c>
      <c r="H1716" s="15" t="s">
        <v>166</v>
      </c>
      <c r="I1716" s="20" t="s">
        <v>19</v>
      </c>
      <c r="J1716" s="21">
        <v>77000.0</v>
      </c>
      <c r="K1716" s="21">
        <v>0.0</v>
      </c>
    </row>
    <row r="1717">
      <c r="A1717" s="15" t="s">
        <v>74</v>
      </c>
      <c r="B1717" s="16" t="s">
        <v>259</v>
      </c>
      <c r="C1717" s="17" t="s">
        <v>260</v>
      </c>
      <c r="D1717" s="18">
        <v>2.0</v>
      </c>
      <c r="E1717" s="17" t="s">
        <v>20</v>
      </c>
      <c r="F1717" s="15" t="s">
        <v>140</v>
      </c>
      <c r="G1717" s="19">
        <v>9.0042014E7</v>
      </c>
      <c r="H1717" s="15" t="s">
        <v>21</v>
      </c>
      <c r="I1717" s="20" t="s">
        <v>19</v>
      </c>
      <c r="J1717" s="21">
        <v>2.38645612E8</v>
      </c>
      <c r="K1717" s="21">
        <v>0.0</v>
      </c>
    </row>
    <row r="1718">
      <c r="A1718" s="15" t="s">
        <v>74</v>
      </c>
      <c r="B1718" s="16" t="s">
        <v>259</v>
      </c>
      <c r="C1718" s="17" t="s">
        <v>260</v>
      </c>
      <c r="D1718" s="18">
        <v>2.0</v>
      </c>
      <c r="E1718" s="17" t="s">
        <v>20</v>
      </c>
      <c r="F1718" s="15" t="s">
        <v>140</v>
      </c>
      <c r="G1718" s="19">
        <v>9.0042077E7</v>
      </c>
      <c r="H1718" s="15" t="s">
        <v>141</v>
      </c>
      <c r="I1718" s="20" t="s">
        <v>19</v>
      </c>
      <c r="J1718" s="21">
        <v>2.7172804E7</v>
      </c>
      <c r="K1718" s="21">
        <v>0.0</v>
      </c>
    </row>
    <row r="1719">
      <c r="A1719" s="15" t="s">
        <v>74</v>
      </c>
      <c r="B1719" s="16" t="s">
        <v>259</v>
      </c>
      <c r="C1719" s="17" t="s">
        <v>260</v>
      </c>
      <c r="D1719" s="18">
        <v>2.0</v>
      </c>
      <c r="E1719" s="17" t="s">
        <v>142</v>
      </c>
      <c r="F1719" s="15" t="s">
        <v>143</v>
      </c>
      <c r="G1719" s="19">
        <v>9.0042084E7</v>
      </c>
      <c r="H1719" s="15" t="s">
        <v>145</v>
      </c>
      <c r="I1719" s="20" t="s">
        <v>19</v>
      </c>
      <c r="J1719" s="21">
        <v>491425.0</v>
      </c>
      <c r="K1719" s="21">
        <v>0.0</v>
      </c>
    </row>
    <row r="1720">
      <c r="A1720" s="15" t="s">
        <v>74</v>
      </c>
      <c r="B1720" s="16" t="s">
        <v>259</v>
      </c>
      <c r="C1720" s="17" t="s">
        <v>260</v>
      </c>
      <c r="D1720" s="18">
        <v>2.0</v>
      </c>
      <c r="E1720" s="17" t="s">
        <v>22</v>
      </c>
      <c r="F1720" s="15" t="s">
        <v>146</v>
      </c>
      <c r="G1720" s="19">
        <v>9.0042012E7</v>
      </c>
      <c r="H1720" s="15" t="s">
        <v>23</v>
      </c>
      <c r="I1720" s="20" t="s">
        <v>19</v>
      </c>
      <c r="J1720" s="21">
        <v>1.03655731E8</v>
      </c>
      <c r="K1720" s="21">
        <v>0.0</v>
      </c>
    </row>
    <row r="1721">
      <c r="A1721" s="15" t="s">
        <v>74</v>
      </c>
      <c r="B1721" s="16" t="s">
        <v>259</v>
      </c>
      <c r="C1721" s="17" t="s">
        <v>260</v>
      </c>
      <c r="D1721" s="18">
        <v>2.0</v>
      </c>
      <c r="E1721" s="17" t="s">
        <v>22</v>
      </c>
      <c r="F1721" s="15" t="s">
        <v>146</v>
      </c>
      <c r="G1721" s="19">
        <v>9.0042121E7</v>
      </c>
      <c r="H1721" s="15" t="s">
        <v>24</v>
      </c>
      <c r="I1721" s="20" t="s">
        <v>25</v>
      </c>
      <c r="J1721" s="21">
        <v>1.38390678E8</v>
      </c>
      <c r="K1721" s="21">
        <v>0.0</v>
      </c>
    </row>
    <row r="1722">
      <c r="A1722" s="15" t="s">
        <v>74</v>
      </c>
      <c r="B1722" s="16" t="s">
        <v>259</v>
      </c>
      <c r="C1722" s="17" t="s">
        <v>260</v>
      </c>
      <c r="D1722" s="18">
        <v>2.0</v>
      </c>
      <c r="E1722" s="17" t="s">
        <v>22</v>
      </c>
      <c r="F1722" s="15" t="s">
        <v>146</v>
      </c>
      <c r="G1722" s="19">
        <v>9.0042122E7</v>
      </c>
      <c r="H1722" s="15" t="s">
        <v>56</v>
      </c>
      <c r="I1722" s="20" t="s">
        <v>25</v>
      </c>
      <c r="J1722" s="21">
        <v>3.5490173E7</v>
      </c>
      <c r="K1722" s="21">
        <v>0.0</v>
      </c>
    </row>
    <row r="1723">
      <c r="A1723" s="15" t="s">
        <v>74</v>
      </c>
      <c r="B1723" s="16" t="s">
        <v>259</v>
      </c>
      <c r="C1723" s="17" t="s">
        <v>260</v>
      </c>
      <c r="D1723" s="18">
        <v>2.0</v>
      </c>
      <c r="E1723" s="17" t="s">
        <v>22</v>
      </c>
      <c r="F1723" s="15" t="s">
        <v>146</v>
      </c>
      <c r="G1723" s="19">
        <v>9.0042125E7</v>
      </c>
      <c r="H1723" s="15" t="s">
        <v>26</v>
      </c>
      <c r="I1723" s="20" t="s">
        <v>25</v>
      </c>
      <c r="J1723" s="21">
        <v>5.526751E7</v>
      </c>
      <c r="K1723" s="21">
        <v>0.0</v>
      </c>
    </row>
    <row r="1724">
      <c r="A1724" s="15" t="s">
        <v>74</v>
      </c>
      <c r="B1724" s="16" t="s">
        <v>259</v>
      </c>
      <c r="C1724" s="17" t="s">
        <v>260</v>
      </c>
      <c r="D1724" s="18">
        <v>2.0</v>
      </c>
      <c r="E1724" s="17" t="s">
        <v>22</v>
      </c>
      <c r="F1724" s="15" t="s">
        <v>146</v>
      </c>
      <c r="G1724" s="19">
        <v>9.0042128E7</v>
      </c>
      <c r="H1724" s="15" t="s">
        <v>58</v>
      </c>
      <c r="I1724" s="20" t="s">
        <v>25</v>
      </c>
      <c r="J1724" s="21">
        <v>2.6264835E7</v>
      </c>
      <c r="K1724" s="21">
        <v>0.0</v>
      </c>
    </row>
    <row r="1725">
      <c r="A1725" s="15" t="s">
        <v>74</v>
      </c>
      <c r="B1725" s="16" t="s">
        <v>259</v>
      </c>
      <c r="C1725" s="17" t="s">
        <v>260</v>
      </c>
      <c r="D1725" s="18">
        <v>2.0</v>
      </c>
      <c r="E1725" s="17" t="s">
        <v>22</v>
      </c>
      <c r="F1725" s="15" t="s">
        <v>146</v>
      </c>
      <c r="G1725" s="19">
        <v>9.0042134E7</v>
      </c>
      <c r="H1725" s="15" t="s">
        <v>29</v>
      </c>
      <c r="I1725" s="20" t="s">
        <v>25</v>
      </c>
      <c r="J1725" s="21">
        <v>2310175.0</v>
      </c>
      <c r="K1725" s="21">
        <v>0.0</v>
      </c>
    </row>
    <row r="1726">
      <c r="A1726" s="15" t="s">
        <v>74</v>
      </c>
      <c r="B1726" s="16" t="s">
        <v>259</v>
      </c>
      <c r="C1726" s="17" t="s">
        <v>260</v>
      </c>
      <c r="D1726" s="18">
        <v>2.0</v>
      </c>
      <c r="E1726" s="17" t="s">
        <v>22</v>
      </c>
      <c r="F1726" s="15" t="s">
        <v>146</v>
      </c>
      <c r="G1726" s="19">
        <v>9.0042135E7</v>
      </c>
      <c r="H1726" s="15" t="s">
        <v>30</v>
      </c>
      <c r="I1726" s="20" t="s">
        <v>25</v>
      </c>
      <c r="J1726" s="21">
        <v>1.01417484E8</v>
      </c>
      <c r="K1726" s="21">
        <v>0.0</v>
      </c>
    </row>
    <row r="1727">
      <c r="A1727" s="15" t="s">
        <v>74</v>
      </c>
      <c r="B1727" s="16" t="s">
        <v>259</v>
      </c>
      <c r="C1727" s="17" t="s">
        <v>260</v>
      </c>
      <c r="D1727" s="18">
        <v>2.0</v>
      </c>
      <c r="E1727" s="17" t="s">
        <v>22</v>
      </c>
      <c r="F1727" s="15" t="s">
        <v>146</v>
      </c>
      <c r="G1727" s="19">
        <v>9.00422E7</v>
      </c>
      <c r="H1727" s="15" t="s">
        <v>73</v>
      </c>
      <c r="I1727" s="20" t="s">
        <v>60</v>
      </c>
      <c r="J1727" s="21">
        <v>1.77469097E8</v>
      </c>
      <c r="K1727" s="21">
        <v>0.0</v>
      </c>
    </row>
    <row r="1728">
      <c r="A1728" s="15" t="s">
        <v>74</v>
      </c>
      <c r="B1728" s="16" t="s">
        <v>259</v>
      </c>
      <c r="C1728" s="17" t="s">
        <v>260</v>
      </c>
      <c r="D1728" s="18">
        <v>2.0</v>
      </c>
      <c r="E1728" s="17" t="s">
        <v>22</v>
      </c>
      <c r="F1728" s="15" t="s">
        <v>146</v>
      </c>
      <c r="G1728" s="19">
        <v>9.0042223E7</v>
      </c>
      <c r="H1728" s="15" t="s">
        <v>61</v>
      </c>
      <c r="I1728" s="20" t="s">
        <v>60</v>
      </c>
      <c r="J1728" s="21">
        <v>2.2007823E7</v>
      </c>
      <c r="K1728" s="21">
        <v>0.0</v>
      </c>
    </row>
    <row r="1729">
      <c r="A1729" s="15" t="s">
        <v>74</v>
      </c>
      <c r="B1729" s="16" t="s">
        <v>259</v>
      </c>
      <c r="C1729" s="17" t="s">
        <v>260</v>
      </c>
      <c r="D1729" s="18">
        <v>2.0</v>
      </c>
      <c r="E1729" s="17" t="s">
        <v>22</v>
      </c>
      <c r="F1729" s="15" t="s">
        <v>146</v>
      </c>
      <c r="G1729" s="19">
        <v>9.0042226E7</v>
      </c>
      <c r="H1729" s="15" t="s">
        <v>63</v>
      </c>
      <c r="I1729" s="20" t="s">
        <v>60</v>
      </c>
      <c r="J1729" s="21">
        <v>1233334.0</v>
      </c>
      <c r="K1729" s="21">
        <v>0.0</v>
      </c>
    </row>
    <row r="1730">
      <c r="A1730" s="15" t="s">
        <v>74</v>
      </c>
      <c r="B1730" s="16" t="s">
        <v>259</v>
      </c>
      <c r="C1730" s="17" t="s">
        <v>260</v>
      </c>
      <c r="D1730" s="18">
        <v>2.0</v>
      </c>
      <c r="E1730" s="17" t="s">
        <v>22</v>
      </c>
      <c r="F1730" s="15" t="s">
        <v>146</v>
      </c>
      <c r="G1730" s="19">
        <v>9.0042228E7</v>
      </c>
      <c r="H1730" s="15" t="s">
        <v>64</v>
      </c>
      <c r="I1730" s="20" t="s">
        <v>60</v>
      </c>
      <c r="J1730" s="21">
        <v>1.05904961E8</v>
      </c>
      <c r="K1730" s="21">
        <v>0.0</v>
      </c>
    </row>
    <row r="1731">
      <c r="A1731" s="15" t="s">
        <v>74</v>
      </c>
      <c r="B1731" s="16" t="s">
        <v>259</v>
      </c>
      <c r="C1731" s="17" t="s">
        <v>260</v>
      </c>
      <c r="D1731" s="18">
        <v>2.0</v>
      </c>
      <c r="E1731" s="17" t="s">
        <v>22</v>
      </c>
      <c r="F1731" s="15" t="s">
        <v>146</v>
      </c>
      <c r="G1731" s="19">
        <v>9.0042231E7</v>
      </c>
      <c r="H1731" s="15" t="s">
        <v>65</v>
      </c>
      <c r="I1731" s="20" t="s">
        <v>60</v>
      </c>
      <c r="J1731" s="21">
        <v>1.1424575E7</v>
      </c>
      <c r="K1731" s="21">
        <v>0.0</v>
      </c>
    </row>
    <row r="1732">
      <c r="A1732" s="15" t="s">
        <v>74</v>
      </c>
      <c r="B1732" s="16" t="s">
        <v>259</v>
      </c>
      <c r="C1732" s="17" t="s">
        <v>260</v>
      </c>
      <c r="D1732" s="18">
        <v>2.0</v>
      </c>
      <c r="E1732" s="17" t="s">
        <v>22</v>
      </c>
      <c r="F1732" s="15" t="s">
        <v>146</v>
      </c>
      <c r="G1732" s="19">
        <v>9.0042126E7</v>
      </c>
      <c r="H1732" s="15" t="s">
        <v>31</v>
      </c>
      <c r="I1732" s="20" t="s">
        <v>25</v>
      </c>
      <c r="J1732" s="21">
        <v>3.5396525E7</v>
      </c>
      <c r="K1732" s="21">
        <v>0.0</v>
      </c>
    </row>
    <row r="1733">
      <c r="A1733" s="15" t="s">
        <v>74</v>
      </c>
      <c r="B1733" s="16" t="s">
        <v>259</v>
      </c>
      <c r="C1733" s="17" t="s">
        <v>260</v>
      </c>
      <c r="D1733" s="18">
        <v>2.0</v>
      </c>
      <c r="E1733" s="17" t="s">
        <v>22</v>
      </c>
      <c r="F1733" s="15" t="s">
        <v>146</v>
      </c>
      <c r="G1733" s="19">
        <v>9.004212E7</v>
      </c>
      <c r="H1733" s="15" t="s">
        <v>182</v>
      </c>
      <c r="I1733" s="20" t="s">
        <v>25</v>
      </c>
      <c r="J1733" s="21">
        <v>8.3697975E7</v>
      </c>
      <c r="K1733" s="21">
        <v>0.0</v>
      </c>
    </row>
    <row r="1734">
      <c r="A1734" s="15" t="s">
        <v>74</v>
      </c>
      <c r="B1734" s="16" t="s">
        <v>259</v>
      </c>
      <c r="C1734" s="17" t="s">
        <v>260</v>
      </c>
      <c r="D1734" s="18">
        <v>2.0</v>
      </c>
      <c r="E1734" s="24">
        <v>46097.0</v>
      </c>
      <c r="F1734" s="15" t="s">
        <v>216</v>
      </c>
      <c r="G1734" s="19">
        <v>5.1101056E7</v>
      </c>
      <c r="H1734" s="15" t="s">
        <v>16</v>
      </c>
      <c r="I1734" s="20" t="s">
        <v>17</v>
      </c>
      <c r="J1734" s="21">
        <v>7341400.0</v>
      </c>
      <c r="K1734" s="21">
        <v>66740.0</v>
      </c>
    </row>
    <row r="1735">
      <c r="A1735" s="15" t="s">
        <v>74</v>
      </c>
      <c r="B1735" s="16" t="s">
        <v>259</v>
      </c>
      <c r="C1735" s="17" t="s">
        <v>260</v>
      </c>
      <c r="D1735" s="18">
        <v>2.0</v>
      </c>
      <c r="E1735" s="24">
        <v>46069.0</v>
      </c>
      <c r="F1735" s="15" t="s">
        <v>217</v>
      </c>
      <c r="G1735" s="19">
        <v>5.1100153E7</v>
      </c>
      <c r="H1735" s="15" t="s">
        <v>72</v>
      </c>
      <c r="I1735" s="20" t="s">
        <v>25</v>
      </c>
      <c r="J1735" s="21">
        <v>-10800.0</v>
      </c>
      <c r="K1735" s="21">
        <v>0.0</v>
      </c>
    </row>
    <row r="1736">
      <c r="A1736" s="15" t="s">
        <v>74</v>
      </c>
      <c r="B1736" s="16" t="s">
        <v>259</v>
      </c>
      <c r="C1736" s="17" t="s">
        <v>260</v>
      </c>
      <c r="D1736" s="18">
        <v>2.0</v>
      </c>
      <c r="E1736" s="24">
        <v>46069.0</v>
      </c>
      <c r="F1736" s="15" t="s">
        <v>217</v>
      </c>
      <c r="G1736" s="19">
        <v>5.1100153E7</v>
      </c>
      <c r="H1736" s="15" t="s">
        <v>72</v>
      </c>
      <c r="I1736" s="20" t="s">
        <v>17</v>
      </c>
      <c r="J1736" s="21">
        <v>2.3182643E7</v>
      </c>
      <c r="K1736" s="21">
        <v>160245.0</v>
      </c>
    </row>
    <row r="1737">
      <c r="A1737" s="15" t="s">
        <v>74</v>
      </c>
      <c r="B1737" s="16" t="s">
        <v>66</v>
      </c>
      <c r="C1737" s="17" t="s">
        <v>67</v>
      </c>
      <c r="D1737" s="18">
        <v>2.0</v>
      </c>
      <c r="E1737" s="24">
        <v>46038.0</v>
      </c>
      <c r="F1737" s="15" t="s">
        <v>150</v>
      </c>
      <c r="G1737" s="19">
        <v>9.0043001E7</v>
      </c>
      <c r="H1737" s="15" t="s">
        <v>18</v>
      </c>
      <c r="I1737" s="20" t="s">
        <v>19</v>
      </c>
      <c r="J1737" s="21">
        <v>1.4564186E7</v>
      </c>
      <c r="K1737" s="21">
        <v>96.0</v>
      </c>
    </row>
    <row r="1738">
      <c r="A1738" s="15" t="s">
        <v>74</v>
      </c>
      <c r="B1738" s="16" t="s">
        <v>66</v>
      </c>
      <c r="C1738" s="17" t="s">
        <v>67</v>
      </c>
      <c r="D1738" s="18">
        <v>2.0</v>
      </c>
      <c r="E1738" s="24">
        <v>46158.0</v>
      </c>
      <c r="F1738" s="15" t="s">
        <v>151</v>
      </c>
      <c r="G1738" s="19">
        <v>9.0043001E7</v>
      </c>
      <c r="H1738" s="15" t="s">
        <v>18</v>
      </c>
      <c r="I1738" s="20" t="s">
        <v>19</v>
      </c>
      <c r="J1738" s="21">
        <v>1633401.0</v>
      </c>
      <c r="K1738" s="21">
        <v>11.0</v>
      </c>
    </row>
    <row r="1739">
      <c r="A1739" s="15" t="s">
        <v>74</v>
      </c>
      <c r="B1739" s="16" t="s">
        <v>66</v>
      </c>
      <c r="C1739" s="17" t="s">
        <v>67</v>
      </c>
      <c r="D1739" s="18">
        <v>2.0</v>
      </c>
      <c r="E1739" s="24">
        <v>46189.0</v>
      </c>
      <c r="F1739" s="15" t="s">
        <v>262</v>
      </c>
      <c r="G1739" s="19">
        <v>9.0043001E7</v>
      </c>
      <c r="H1739" s="15" t="s">
        <v>18</v>
      </c>
      <c r="I1739" s="20" t="s">
        <v>19</v>
      </c>
      <c r="J1739" s="21">
        <v>4485140.0</v>
      </c>
      <c r="K1739" s="21">
        <v>29.0</v>
      </c>
    </row>
    <row r="1740">
      <c r="A1740" s="15" t="s">
        <v>74</v>
      </c>
      <c r="B1740" s="16" t="s">
        <v>66</v>
      </c>
      <c r="C1740" s="17" t="s">
        <v>67</v>
      </c>
      <c r="D1740" s="18">
        <v>2.0</v>
      </c>
      <c r="E1740" s="17" t="s">
        <v>81</v>
      </c>
      <c r="F1740" s="15" t="s">
        <v>82</v>
      </c>
      <c r="G1740" s="19">
        <v>9.0043001E7</v>
      </c>
      <c r="H1740" s="15" t="s">
        <v>18</v>
      </c>
      <c r="I1740" s="20" t="s">
        <v>19</v>
      </c>
      <c r="J1740" s="21">
        <v>3805476.0</v>
      </c>
      <c r="K1740" s="21">
        <v>24.0</v>
      </c>
    </row>
    <row r="1741">
      <c r="A1741" s="15" t="s">
        <v>74</v>
      </c>
      <c r="B1741" s="16" t="s">
        <v>66</v>
      </c>
      <c r="C1741" s="17" t="s">
        <v>67</v>
      </c>
      <c r="D1741" s="18">
        <v>2.0</v>
      </c>
      <c r="E1741" s="17" t="s">
        <v>81</v>
      </c>
      <c r="F1741" s="15" t="s">
        <v>82</v>
      </c>
      <c r="G1741" s="19">
        <v>9.0043002E7</v>
      </c>
      <c r="H1741" s="15" t="s">
        <v>49</v>
      </c>
      <c r="I1741" s="20" t="s">
        <v>50</v>
      </c>
      <c r="J1741" s="21">
        <v>2.190176E7</v>
      </c>
      <c r="K1741" s="21">
        <v>1361.0</v>
      </c>
    </row>
    <row r="1742">
      <c r="A1742" s="15" t="s">
        <v>74</v>
      </c>
      <c r="B1742" s="16" t="s">
        <v>66</v>
      </c>
      <c r="C1742" s="17" t="s">
        <v>67</v>
      </c>
      <c r="D1742" s="18">
        <v>2.0</v>
      </c>
      <c r="E1742" s="17" t="s">
        <v>81</v>
      </c>
      <c r="F1742" s="15" t="s">
        <v>82</v>
      </c>
      <c r="G1742" s="19">
        <v>9.0043E7</v>
      </c>
      <c r="H1742" s="15" t="s">
        <v>83</v>
      </c>
      <c r="I1742" s="20" t="s">
        <v>19</v>
      </c>
      <c r="J1742" s="21">
        <v>3609782.0</v>
      </c>
      <c r="K1742" s="21">
        <v>22.0</v>
      </c>
    </row>
    <row r="1743">
      <c r="A1743" s="15" t="s">
        <v>74</v>
      </c>
      <c r="B1743" s="16" t="s">
        <v>66</v>
      </c>
      <c r="C1743" s="17" t="s">
        <v>67</v>
      </c>
      <c r="D1743" s="18">
        <v>2.0</v>
      </c>
      <c r="E1743" s="17" t="s">
        <v>84</v>
      </c>
      <c r="F1743" s="15" t="s">
        <v>85</v>
      </c>
      <c r="G1743" s="19">
        <v>9.0043001E7</v>
      </c>
      <c r="H1743" s="15" t="s">
        <v>18</v>
      </c>
      <c r="I1743" s="20" t="s">
        <v>19</v>
      </c>
      <c r="J1743" s="21">
        <v>6.5851541E7</v>
      </c>
      <c r="K1743" s="21">
        <v>378.0</v>
      </c>
    </row>
    <row r="1744">
      <c r="A1744" s="15" t="s">
        <v>74</v>
      </c>
      <c r="B1744" s="16" t="s">
        <v>66</v>
      </c>
      <c r="C1744" s="17" t="s">
        <v>67</v>
      </c>
      <c r="D1744" s="18">
        <v>2.0</v>
      </c>
      <c r="E1744" s="17" t="s">
        <v>84</v>
      </c>
      <c r="F1744" s="15" t="s">
        <v>85</v>
      </c>
      <c r="G1744" s="19">
        <v>9.0043003E7</v>
      </c>
      <c r="H1744" s="15" t="s">
        <v>90</v>
      </c>
      <c r="I1744" s="20" t="s">
        <v>50</v>
      </c>
      <c r="J1744" s="21">
        <v>2.3886592E7</v>
      </c>
      <c r="K1744" s="21">
        <v>44.0</v>
      </c>
    </row>
    <row r="1745">
      <c r="A1745" s="15" t="s">
        <v>74</v>
      </c>
      <c r="B1745" s="16" t="s">
        <v>66</v>
      </c>
      <c r="C1745" s="17" t="s">
        <v>67</v>
      </c>
      <c r="D1745" s="18">
        <v>2.0</v>
      </c>
      <c r="E1745" s="17" t="s">
        <v>86</v>
      </c>
      <c r="F1745" s="15" t="s">
        <v>87</v>
      </c>
      <c r="G1745" s="19">
        <v>9.0043001E7</v>
      </c>
      <c r="H1745" s="15" t="s">
        <v>18</v>
      </c>
      <c r="I1745" s="20" t="s">
        <v>19</v>
      </c>
      <c r="J1745" s="21">
        <v>1.02928669E8</v>
      </c>
      <c r="K1745" s="21">
        <v>655.0</v>
      </c>
    </row>
    <row r="1746">
      <c r="A1746" s="15" t="s">
        <v>74</v>
      </c>
      <c r="B1746" s="16" t="s">
        <v>66</v>
      </c>
      <c r="C1746" s="17" t="s">
        <v>67</v>
      </c>
      <c r="D1746" s="18">
        <v>2.0</v>
      </c>
      <c r="E1746" s="17" t="s">
        <v>86</v>
      </c>
      <c r="F1746" s="15" t="s">
        <v>87</v>
      </c>
      <c r="G1746" s="19">
        <v>9.0043E7</v>
      </c>
      <c r="H1746" s="15" t="s">
        <v>83</v>
      </c>
      <c r="I1746" s="20" t="s">
        <v>19</v>
      </c>
      <c r="J1746" s="21">
        <v>1752492.0</v>
      </c>
      <c r="K1746" s="21">
        <v>12.0</v>
      </c>
    </row>
    <row r="1747">
      <c r="A1747" s="15" t="s">
        <v>74</v>
      </c>
      <c r="B1747" s="16" t="s">
        <v>66</v>
      </c>
      <c r="C1747" s="17" t="s">
        <v>67</v>
      </c>
      <c r="D1747" s="18">
        <v>2.0</v>
      </c>
      <c r="E1747" s="17" t="s">
        <v>95</v>
      </c>
      <c r="F1747" s="15" t="s">
        <v>96</v>
      </c>
      <c r="G1747" s="19">
        <v>5.1100058E7</v>
      </c>
      <c r="H1747" s="15" t="s">
        <v>36</v>
      </c>
      <c r="I1747" s="20" t="s">
        <v>37</v>
      </c>
      <c r="J1747" s="21">
        <v>1.3176952E7</v>
      </c>
      <c r="K1747" s="21">
        <v>193.982</v>
      </c>
    </row>
    <row r="1748">
      <c r="A1748" s="15" t="s">
        <v>74</v>
      </c>
      <c r="B1748" s="16" t="s">
        <v>66</v>
      </c>
      <c r="C1748" s="17" t="s">
        <v>67</v>
      </c>
      <c r="D1748" s="18">
        <v>2.0</v>
      </c>
      <c r="E1748" s="17" t="s">
        <v>95</v>
      </c>
      <c r="F1748" s="15" t="s">
        <v>96</v>
      </c>
      <c r="G1748" s="19">
        <v>5.1100064E7</v>
      </c>
      <c r="H1748" s="15" t="s">
        <v>53</v>
      </c>
      <c r="I1748" s="20" t="s">
        <v>37</v>
      </c>
      <c r="J1748" s="21">
        <v>1996500.0</v>
      </c>
      <c r="K1748" s="21">
        <v>3.0</v>
      </c>
    </row>
    <row r="1749">
      <c r="A1749" s="15" t="s">
        <v>74</v>
      </c>
      <c r="B1749" s="16" t="s">
        <v>66</v>
      </c>
      <c r="C1749" s="17" t="s">
        <v>67</v>
      </c>
      <c r="D1749" s="18">
        <v>2.0</v>
      </c>
      <c r="E1749" s="17" t="s">
        <v>95</v>
      </c>
      <c r="F1749" s="15" t="s">
        <v>96</v>
      </c>
      <c r="G1749" s="19">
        <v>5.1100651E7</v>
      </c>
      <c r="H1749" s="15" t="s">
        <v>38</v>
      </c>
      <c r="I1749" s="20" t="s">
        <v>25</v>
      </c>
      <c r="J1749" s="21">
        <v>0.0</v>
      </c>
      <c r="K1749" s="21">
        <v>0.0</v>
      </c>
    </row>
    <row r="1750">
      <c r="A1750" s="15" t="s">
        <v>74</v>
      </c>
      <c r="B1750" s="16" t="s">
        <v>66</v>
      </c>
      <c r="C1750" s="17" t="s">
        <v>67</v>
      </c>
      <c r="D1750" s="18">
        <v>2.0</v>
      </c>
      <c r="E1750" s="17" t="s">
        <v>95</v>
      </c>
      <c r="F1750" s="15" t="s">
        <v>96</v>
      </c>
      <c r="G1750" s="19">
        <v>9.0043001E7</v>
      </c>
      <c r="H1750" s="15" t="s">
        <v>18</v>
      </c>
      <c r="I1750" s="20" t="s">
        <v>19</v>
      </c>
      <c r="J1750" s="21">
        <v>2.2175061E7</v>
      </c>
      <c r="K1750" s="21">
        <v>145.0</v>
      </c>
    </row>
    <row r="1751">
      <c r="A1751" s="15" t="s">
        <v>74</v>
      </c>
      <c r="B1751" s="16" t="s">
        <v>66</v>
      </c>
      <c r="C1751" s="17" t="s">
        <v>67</v>
      </c>
      <c r="D1751" s="18">
        <v>2.0</v>
      </c>
      <c r="E1751" s="17" t="s">
        <v>95</v>
      </c>
      <c r="F1751" s="15" t="s">
        <v>96</v>
      </c>
      <c r="G1751" s="19">
        <v>5.1100774E7</v>
      </c>
      <c r="H1751" s="15" t="s">
        <v>39</v>
      </c>
      <c r="I1751" s="20" t="s">
        <v>17</v>
      </c>
      <c r="J1751" s="21">
        <v>7225611.0</v>
      </c>
      <c r="K1751" s="21">
        <v>104.35</v>
      </c>
    </row>
    <row r="1752">
      <c r="A1752" s="15" t="s">
        <v>74</v>
      </c>
      <c r="B1752" s="16" t="s">
        <v>66</v>
      </c>
      <c r="C1752" s="17" t="s">
        <v>67</v>
      </c>
      <c r="D1752" s="18">
        <v>2.0</v>
      </c>
      <c r="E1752" s="17" t="s">
        <v>97</v>
      </c>
      <c r="F1752" s="15" t="s">
        <v>98</v>
      </c>
      <c r="G1752" s="19">
        <v>5.1100058E7</v>
      </c>
      <c r="H1752" s="15" t="s">
        <v>36</v>
      </c>
      <c r="I1752" s="20" t="s">
        <v>37</v>
      </c>
      <c r="J1752" s="21">
        <v>6312725.0</v>
      </c>
      <c r="K1752" s="21">
        <v>92.25</v>
      </c>
    </row>
    <row r="1753">
      <c r="A1753" s="15" t="s">
        <v>74</v>
      </c>
      <c r="B1753" s="16" t="s">
        <v>66</v>
      </c>
      <c r="C1753" s="17" t="s">
        <v>67</v>
      </c>
      <c r="D1753" s="18">
        <v>2.0</v>
      </c>
      <c r="E1753" s="17" t="s">
        <v>101</v>
      </c>
      <c r="F1753" s="15" t="s">
        <v>102</v>
      </c>
      <c r="G1753" s="19">
        <v>9.0043001E7</v>
      </c>
      <c r="H1753" s="15" t="s">
        <v>18</v>
      </c>
      <c r="I1753" s="20" t="s">
        <v>19</v>
      </c>
      <c r="J1753" s="21">
        <v>1.20848563E8</v>
      </c>
      <c r="K1753" s="21">
        <v>800.0</v>
      </c>
    </row>
    <row r="1754">
      <c r="A1754" s="15" t="s">
        <v>74</v>
      </c>
      <c r="B1754" s="16" t="s">
        <v>66</v>
      </c>
      <c r="C1754" s="17" t="s">
        <v>67</v>
      </c>
      <c r="D1754" s="18">
        <v>2.0</v>
      </c>
      <c r="E1754" s="17" t="s">
        <v>101</v>
      </c>
      <c r="F1754" s="15" t="s">
        <v>102</v>
      </c>
      <c r="G1754" s="19">
        <v>9.0043E7</v>
      </c>
      <c r="H1754" s="15" t="s">
        <v>83</v>
      </c>
      <c r="I1754" s="20" t="s">
        <v>19</v>
      </c>
      <c r="J1754" s="21">
        <v>2237247.0</v>
      </c>
      <c r="K1754" s="21">
        <v>15.0</v>
      </c>
    </row>
    <row r="1755">
      <c r="A1755" s="15" t="s">
        <v>74</v>
      </c>
      <c r="B1755" s="16" t="s">
        <v>66</v>
      </c>
      <c r="C1755" s="17" t="s">
        <v>67</v>
      </c>
      <c r="D1755" s="18">
        <v>2.0</v>
      </c>
      <c r="E1755" s="17" t="s">
        <v>103</v>
      </c>
      <c r="F1755" s="15" t="s">
        <v>104</v>
      </c>
      <c r="G1755" s="19">
        <v>5.1100058E7</v>
      </c>
      <c r="H1755" s="15" t="s">
        <v>36</v>
      </c>
      <c r="I1755" s="20" t="s">
        <v>37</v>
      </c>
      <c r="J1755" s="21">
        <v>2244525.0</v>
      </c>
      <c r="K1755" s="21">
        <v>32.8</v>
      </c>
    </row>
    <row r="1756">
      <c r="A1756" s="15" t="s">
        <v>74</v>
      </c>
      <c r="B1756" s="16" t="s">
        <v>66</v>
      </c>
      <c r="C1756" s="17" t="s">
        <v>67</v>
      </c>
      <c r="D1756" s="18">
        <v>2.0</v>
      </c>
      <c r="E1756" s="17" t="s">
        <v>103</v>
      </c>
      <c r="F1756" s="15" t="s">
        <v>104</v>
      </c>
      <c r="G1756" s="19">
        <v>5.1100064E7</v>
      </c>
      <c r="H1756" s="15" t="s">
        <v>53</v>
      </c>
      <c r="I1756" s="20" t="s">
        <v>25</v>
      </c>
      <c r="J1756" s="21">
        <v>387800.0</v>
      </c>
      <c r="K1756" s="21">
        <v>0.0</v>
      </c>
    </row>
    <row r="1757">
      <c r="A1757" s="15" t="s">
        <v>74</v>
      </c>
      <c r="B1757" s="16" t="s">
        <v>66</v>
      </c>
      <c r="C1757" s="17" t="s">
        <v>67</v>
      </c>
      <c r="D1757" s="18">
        <v>2.0</v>
      </c>
      <c r="E1757" s="17" t="s">
        <v>103</v>
      </c>
      <c r="F1757" s="15" t="s">
        <v>104</v>
      </c>
      <c r="G1757" s="19">
        <v>5.1100651E7</v>
      </c>
      <c r="H1757" s="15" t="s">
        <v>38</v>
      </c>
      <c r="I1757" s="20" t="s">
        <v>25</v>
      </c>
      <c r="J1757" s="21">
        <v>0.0</v>
      </c>
      <c r="K1757" s="21">
        <v>0.0</v>
      </c>
    </row>
    <row r="1758">
      <c r="A1758" s="15" t="s">
        <v>74</v>
      </c>
      <c r="B1758" s="16" t="s">
        <v>66</v>
      </c>
      <c r="C1758" s="17" t="s">
        <v>67</v>
      </c>
      <c r="D1758" s="18">
        <v>2.0</v>
      </c>
      <c r="E1758" s="17" t="s">
        <v>103</v>
      </c>
      <c r="F1758" s="15" t="s">
        <v>104</v>
      </c>
      <c r="G1758" s="19">
        <v>9.0043001E7</v>
      </c>
      <c r="H1758" s="15" t="s">
        <v>18</v>
      </c>
      <c r="I1758" s="20" t="s">
        <v>19</v>
      </c>
      <c r="J1758" s="21">
        <v>1.2607176E7</v>
      </c>
      <c r="K1758" s="21">
        <v>84.0</v>
      </c>
    </row>
    <row r="1759">
      <c r="A1759" s="15" t="s">
        <v>74</v>
      </c>
      <c r="B1759" s="16" t="s">
        <v>66</v>
      </c>
      <c r="C1759" s="17" t="s">
        <v>67</v>
      </c>
      <c r="D1759" s="18">
        <v>2.0</v>
      </c>
      <c r="E1759" s="17" t="s">
        <v>103</v>
      </c>
      <c r="F1759" s="15" t="s">
        <v>104</v>
      </c>
      <c r="G1759" s="19">
        <v>9.0043E7</v>
      </c>
      <c r="H1759" s="15" t="s">
        <v>83</v>
      </c>
      <c r="I1759" s="20" t="s">
        <v>19</v>
      </c>
      <c r="J1759" s="21">
        <v>2838582.0</v>
      </c>
      <c r="K1759" s="21">
        <v>18.0</v>
      </c>
    </row>
    <row r="1760">
      <c r="A1760" s="15" t="s">
        <v>74</v>
      </c>
      <c r="B1760" s="16" t="s">
        <v>66</v>
      </c>
      <c r="C1760" s="17" t="s">
        <v>67</v>
      </c>
      <c r="D1760" s="18">
        <v>2.0</v>
      </c>
      <c r="E1760" s="17" t="s">
        <v>103</v>
      </c>
      <c r="F1760" s="15" t="s">
        <v>104</v>
      </c>
      <c r="G1760" s="19">
        <v>5.1100774E7</v>
      </c>
      <c r="H1760" s="15" t="s">
        <v>39</v>
      </c>
      <c r="I1760" s="20" t="s">
        <v>17</v>
      </c>
      <c r="J1760" s="21">
        <v>2045468.0</v>
      </c>
      <c r="K1760" s="21">
        <v>29.54</v>
      </c>
    </row>
    <row r="1761">
      <c r="A1761" s="15" t="s">
        <v>74</v>
      </c>
      <c r="B1761" s="16" t="s">
        <v>66</v>
      </c>
      <c r="C1761" s="17" t="s">
        <v>67</v>
      </c>
      <c r="D1761" s="18">
        <v>2.0</v>
      </c>
      <c r="E1761" s="17" t="s">
        <v>205</v>
      </c>
      <c r="F1761" s="15" t="s">
        <v>206</v>
      </c>
      <c r="G1761" s="19">
        <v>5.1100064E7</v>
      </c>
      <c r="H1761" s="15" t="s">
        <v>53</v>
      </c>
      <c r="I1761" s="20" t="s">
        <v>25</v>
      </c>
      <c r="J1761" s="21">
        <v>1260350.0</v>
      </c>
      <c r="K1761" s="21">
        <v>0.0</v>
      </c>
    </row>
    <row r="1762">
      <c r="A1762" s="15" t="s">
        <v>74</v>
      </c>
      <c r="B1762" s="16" t="s">
        <v>66</v>
      </c>
      <c r="C1762" s="17" t="s">
        <v>67</v>
      </c>
      <c r="D1762" s="18">
        <v>2.0</v>
      </c>
      <c r="E1762" s="17" t="s">
        <v>123</v>
      </c>
      <c r="F1762" s="15" t="s">
        <v>124</v>
      </c>
      <c r="G1762" s="19">
        <v>9.0043001E7</v>
      </c>
      <c r="H1762" s="15" t="s">
        <v>18</v>
      </c>
      <c r="I1762" s="20" t="s">
        <v>19</v>
      </c>
      <c r="J1762" s="21">
        <v>1.0322754E7</v>
      </c>
      <c r="K1762" s="21">
        <v>62.0</v>
      </c>
    </row>
    <row r="1763">
      <c r="A1763" s="15" t="s">
        <v>74</v>
      </c>
      <c r="B1763" s="16" t="s">
        <v>66</v>
      </c>
      <c r="C1763" s="17" t="s">
        <v>67</v>
      </c>
      <c r="D1763" s="18">
        <v>2.0</v>
      </c>
      <c r="E1763" s="17" t="s">
        <v>123</v>
      </c>
      <c r="F1763" s="15" t="s">
        <v>124</v>
      </c>
      <c r="G1763" s="19">
        <v>9.0043E7</v>
      </c>
      <c r="H1763" s="15" t="s">
        <v>83</v>
      </c>
      <c r="I1763" s="20" t="s">
        <v>19</v>
      </c>
      <c r="J1763" s="21">
        <v>438123.0</v>
      </c>
      <c r="K1763" s="21">
        <v>3.0</v>
      </c>
    </row>
    <row r="1764">
      <c r="A1764" s="15" t="s">
        <v>74</v>
      </c>
      <c r="B1764" s="16" t="s">
        <v>66</v>
      </c>
      <c r="C1764" s="17" t="s">
        <v>67</v>
      </c>
      <c r="D1764" s="18">
        <v>2.0</v>
      </c>
      <c r="E1764" s="17" t="s">
        <v>125</v>
      </c>
      <c r="F1764" s="15" t="s">
        <v>126</v>
      </c>
      <c r="G1764" s="19">
        <v>9.0043001E7</v>
      </c>
      <c r="H1764" s="15" t="s">
        <v>18</v>
      </c>
      <c r="I1764" s="20" t="s">
        <v>19</v>
      </c>
      <c r="J1764" s="21">
        <v>2.43317689E8</v>
      </c>
      <c r="K1764" s="21">
        <v>1611.0</v>
      </c>
    </row>
    <row r="1765">
      <c r="A1765" s="15" t="s">
        <v>74</v>
      </c>
      <c r="B1765" s="16" t="s">
        <v>66</v>
      </c>
      <c r="C1765" s="17" t="s">
        <v>67</v>
      </c>
      <c r="D1765" s="18">
        <v>2.0</v>
      </c>
      <c r="E1765" s="17" t="s">
        <v>127</v>
      </c>
      <c r="F1765" s="15" t="s">
        <v>128</v>
      </c>
      <c r="G1765" s="19">
        <v>5.1100153E7</v>
      </c>
      <c r="H1765" s="15" t="s">
        <v>72</v>
      </c>
      <c r="I1765" s="20" t="s">
        <v>17</v>
      </c>
      <c r="J1765" s="21">
        <v>5.45212445E8</v>
      </c>
      <c r="K1765" s="21">
        <v>1423900.0</v>
      </c>
    </row>
    <row r="1766">
      <c r="A1766" s="15" t="s">
        <v>74</v>
      </c>
      <c r="B1766" s="16" t="s">
        <v>66</v>
      </c>
      <c r="C1766" s="17" t="s">
        <v>67</v>
      </c>
      <c r="D1766" s="18">
        <v>2.0</v>
      </c>
      <c r="E1766" s="17" t="s">
        <v>129</v>
      </c>
      <c r="F1766" s="15" t="s">
        <v>130</v>
      </c>
      <c r="G1766" s="19">
        <v>5.1101056E7</v>
      </c>
      <c r="H1766" s="15" t="s">
        <v>16</v>
      </c>
      <c r="I1766" s="20" t="s">
        <v>17</v>
      </c>
      <c r="J1766" s="21">
        <v>1.07825E8</v>
      </c>
      <c r="K1766" s="21">
        <v>1078250.0</v>
      </c>
    </row>
    <row r="1767">
      <c r="A1767" s="15" t="s">
        <v>74</v>
      </c>
      <c r="B1767" s="16" t="s">
        <v>66</v>
      </c>
      <c r="C1767" s="17" t="s">
        <v>67</v>
      </c>
      <c r="D1767" s="18">
        <v>2.0</v>
      </c>
      <c r="E1767" s="17" t="s">
        <v>129</v>
      </c>
      <c r="F1767" s="15" t="s">
        <v>130</v>
      </c>
      <c r="G1767" s="19">
        <v>9.0043002E7</v>
      </c>
      <c r="H1767" s="15" t="s">
        <v>49</v>
      </c>
      <c r="I1767" s="20" t="s">
        <v>50</v>
      </c>
      <c r="J1767" s="21">
        <v>1.5768931E7</v>
      </c>
      <c r="K1767" s="21">
        <v>89.0</v>
      </c>
    </row>
    <row r="1768">
      <c r="A1768" s="15" t="s">
        <v>74</v>
      </c>
      <c r="B1768" s="16" t="s">
        <v>66</v>
      </c>
      <c r="C1768" s="17" t="s">
        <v>67</v>
      </c>
      <c r="D1768" s="18">
        <v>2.0</v>
      </c>
      <c r="E1768" s="17" t="s">
        <v>129</v>
      </c>
      <c r="F1768" s="15" t="s">
        <v>130</v>
      </c>
      <c r="G1768" s="19">
        <v>9.0043003E7</v>
      </c>
      <c r="H1768" s="15" t="s">
        <v>90</v>
      </c>
      <c r="I1768" s="20" t="s">
        <v>50</v>
      </c>
      <c r="J1768" s="21">
        <v>1.3539584E7</v>
      </c>
      <c r="K1768" s="21">
        <v>156.0</v>
      </c>
    </row>
    <row r="1769">
      <c r="A1769" s="23" t="s">
        <v>74</v>
      </c>
      <c r="B1769" s="16" t="s">
        <v>66</v>
      </c>
      <c r="C1769" s="17" t="s">
        <v>67</v>
      </c>
      <c r="D1769" s="18">
        <v>2.0</v>
      </c>
      <c r="E1769" s="17" t="s">
        <v>131</v>
      </c>
      <c r="F1769" s="15" t="s">
        <v>132</v>
      </c>
      <c r="G1769" s="19">
        <v>9.0043001E7</v>
      </c>
      <c r="H1769" s="15" t="s">
        <v>18</v>
      </c>
      <c r="I1769" s="20" t="s">
        <v>19</v>
      </c>
      <c r="J1769" s="21">
        <v>2.4216073E7</v>
      </c>
      <c r="K1769" s="21">
        <v>159.0</v>
      </c>
    </row>
    <row r="1770">
      <c r="A1770" s="15" t="s">
        <v>74</v>
      </c>
      <c r="B1770" s="16" t="s">
        <v>66</v>
      </c>
      <c r="C1770" s="17" t="s">
        <v>67</v>
      </c>
      <c r="D1770" s="18">
        <v>2.0</v>
      </c>
      <c r="E1770" s="17" t="s">
        <v>135</v>
      </c>
      <c r="F1770" s="15" t="s">
        <v>136</v>
      </c>
      <c r="G1770" s="19">
        <v>9.0043001E7</v>
      </c>
      <c r="H1770" s="15" t="s">
        <v>18</v>
      </c>
      <c r="I1770" s="20" t="s">
        <v>19</v>
      </c>
      <c r="J1770" s="21">
        <v>7.3199193E7</v>
      </c>
      <c r="K1770" s="21">
        <v>484.0</v>
      </c>
    </row>
    <row r="1771">
      <c r="A1771" s="15" t="s">
        <v>74</v>
      </c>
      <c r="B1771" s="16" t="s">
        <v>66</v>
      </c>
      <c r="C1771" s="17" t="s">
        <v>67</v>
      </c>
      <c r="D1771" s="18">
        <v>2.0</v>
      </c>
      <c r="E1771" s="17" t="s">
        <v>162</v>
      </c>
      <c r="F1771" s="15" t="s">
        <v>163</v>
      </c>
      <c r="G1771" s="19">
        <v>9.0043001E7</v>
      </c>
      <c r="H1771" s="15" t="s">
        <v>18</v>
      </c>
      <c r="I1771" s="20" t="s">
        <v>19</v>
      </c>
      <c r="J1771" s="21">
        <v>1.5439263E7</v>
      </c>
      <c r="K1771" s="21">
        <v>105.0</v>
      </c>
    </row>
    <row r="1772">
      <c r="A1772" s="15" t="s">
        <v>74</v>
      </c>
      <c r="B1772" s="16" t="s">
        <v>66</v>
      </c>
      <c r="C1772" s="17" t="s">
        <v>67</v>
      </c>
      <c r="D1772" s="18">
        <v>2.0</v>
      </c>
      <c r="E1772" s="17" t="s">
        <v>162</v>
      </c>
      <c r="F1772" s="15" t="s">
        <v>163</v>
      </c>
      <c r="G1772" s="19">
        <v>9.0043E7</v>
      </c>
      <c r="H1772" s="15" t="s">
        <v>83</v>
      </c>
      <c r="I1772" s="20" t="s">
        <v>19</v>
      </c>
      <c r="J1772" s="21">
        <v>2628738.0</v>
      </c>
      <c r="K1772" s="21">
        <v>18.0</v>
      </c>
    </row>
    <row r="1773">
      <c r="A1773" s="15" t="s">
        <v>74</v>
      </c>
      <c r="B1773" s="16" t="s">
        <v>66</v>
      </c>
      <c r="C1773" s="17" t="s">
        <v>67</v>
      </c>
      <c r="D1773" s="18">
        <v>2.0</v>
      </c>
      <c r="E1773" s="17" t="s">
        <v>54</v>
      </c>
      <c r="F1773" s="15" t="s">
        <v>139</v>
      </c>
      <c r="G1773" s="19">
        <v>9.0042011E7</v>
      </c>
      <c r="H1773" s="15" t="s">
        <v>55</v>
      </c>
      <c r="I1773" s="20" t="s">
        <v>19</v>
      </c>
      <c r="J1773" s="21">
        <v>2.86454985E8</v>
      </c>
      <c r="K1773" s="21">
        <v>0.0</v>
      </c>
    </row>
    <row r="1774">
      <c r="A1774" s="15" t="s">
        <v>74</v>
      </c>
      <c r="B1774" s="16" t="s">
        <v>66</v>
      </c>
      <c r="C1774" s="17" t="s">
        <v>67</v>
      </c>
      <c r="D1774" s="18">
        <v>2.0</v>
      </c>
      <c r="E1774" s="17" t="s">
        <v>54</v>
      </c>
      <c r="F1774" s="15" t="s">
        <v>139</v>
      </c>
      <c r="G1774" s="19">
        <v>9.0042078E7</v>
      </c>
      <c r="H1774" s="15" t="s">
        <v>265</v>
      </c>
      <c r="I1774" s="20" t="s">
        <v>19</v>
      </c>
      <c r="J1774" s="21">
        <v>690000.0</v>
      </c>
      <c r="K1774" s="21">
        <v>0.0</v>
      </c>
    </row>
    <row r="1775">
      <c r="A1775" s="15" t="s">
        <v>74</v>
      </c>
      <c r="B1775" s="16" t="s">
        <v>66</v>
      </c>
      <c r="C1775" s="17" t="s">
        <v>67</v>
      </c>
      <c r="D1775" s="18">
        <v>2.0</v>
      </c>
      <c r="E1775" s="17" t="s">
        <v>20</v>
      </c>
      <c r="F1775" s="15" t="s">
        <v>140</v>
      </c>
      <c r="G1775" s="19">
        <v>9.0042014E7</v>
      </c>
      <c r="H1775" s="15" t="s">
        <v>21</v>
      </c>
      <c r="I1775" s="20" t="s">
        <v>19</v>
      </c>
      <c r="J1775" s="21">
        <v>3.85903644E8</v>
      </c>
      <c r="K1775" s="21">
        <v>0.0</v>
      </c>
    </row>
    <row r="1776">
      <c r="A1776" s="15" t="s">
        <v>74</v>
      </c>
      <c r="B1776" s="16" t="s">
        <v>66</v>
      </c>
      <c r="C1776" s="17" t="s">
        <v>67</v>
      </c>
      <c r="D1776" s="18">
        <v>2.0</v>
      </c>
      <c r="E1776" s="17" t="s">
        <v>20</v>
      </c>
      <c r="F1776" s="15" t="s">
        <v>140</v>
      </c>
      <c r="G1776" s="19">
        <v>9.0042077E7</v>
      </c>
      <c r="H1776" s="15" t="s">
        <v>141</v>
      </c>
      <c r="I1776" s="20" t="s">
        <v>19</v>
      </c>
      <c r="J1776" s="21">
        <v>5.5175958E7</v>
      </c>
      <c r="K1776" s="21">
        <v>0.0</v>
      </c>
    </row>
    <row r="1777">
      <c r="A1777" s="15" t="s">
        <v>74</v>
      </c>
      <c r="B1777" s="16" t="s">
        <v>66</v>
      </c>
      <c r="C1777" s="17" t="s">
        <v>67</v>
      </c>
      <c r="D1777" s="18">
        <v>2.0</v>
      </c>
      <c r="E1777" s="17" t="s">
        <v>142</v>
      </c>
      <c r="F1777" s="15" t="s">
        <v>143</v>
      </c>
      <c r="G1777" s="19">
        <v>9.0042013E7</v>
      </c>
      <c r="H1777" s="15" t="s">
        <v>144</v>
      </c>
      <c r="I1777" s="20" t="s">
        <v>19</v>
      </c>
      <c r="J1777" s="21">
        <v>3.369539E7</v>
      </c>
      <c r="K1777" s="21">
        <v>0.0</v>
      </c>
    </row>
    <row r="1778">
      <c r="A1778" s="15" t="s">
        <v>74</v>
      </c>
      <c r="B1778" s="16" t="s">
        <v>66</v>
      </c>
      <c r="C1778" s="17" t="s">
        <v>67</v>
      </c>
      <c r="D1778" s="18">
        <v>2.0</v>
      </c>
      <c r="E1778" s="17" t="s">
        <v>142</v>
      </c>
      <c r="F1778" s="15" t="s">
        <v>143</v>
      </c>
      <c r="G1778" s="19">
        <v>9.0042084E7</v>
      </c>
      <c r="H1778" s="15" t="s">
        <v>145</v>
      </c>
      <c r="I1778" s="20" t="s">
        <v>19</v>
      </c>
      <c r="J1778" s="21">
        <v>1.355533E7</v>
      </c>
      <c r="K1778" s="21">
        <v>0.0</v>
      </c>
    </row>
    <row r="1779">
      <c r="A1779" s="15" t="s">
        <v>74</v>
      </c>
      <c r="B1779" s="16" t="s">
        <v>66</v>
      </c>
      <c r="C1779" s="17" t="s">
        <v>67</v>
      </c>
      <c r="D1779" s="18">
        <v>2.0</v>
      </c>
      <c r="E1779" s="17" t="s">
        <v>22</v>
      </c>
      <c r="F1779" s="15" t="s">
        <v>146</v>
      </c>
      <c r="G1779" s="19">
        <v>9.0042012E7</v>
      </c>
      <c r="H1779" s="15" t="s">
        <v>23</v>
      </c>
      <c r="I1779" s="20" t="s">
        <v>19</v>
      </c>
      <c r="J1779" s="21">
        <v>1.1342538E8</v>
      </c>
      <c r="K1779" s="21">
        <v>0.0</v>
      </c>
    </row>
    <row r="1780">
      <c r="A1780" s="15" t="s">
        <v>74</v>
      </c>
      <c r="B1780" s="16" t="s">
        <v>66</v>
      </c>
      <c r="C1780" s="17" t="s">
        <v>67</v>
      </c>
      <c r="D1780" s="18">
        <v>2.0</v>
      </c>
      <c r="E1780" s="17" t="s">
        <v>22</v>
      </c>
      <c r="F1780" s="15" t="s">
        <v>146</v>
      </c>
      <c r="G1780" s="19">
        <v>9.0042121E7</v>
      </c>
      <c r="H1780" s="15" t="s">
        <v>24</v>
      </c>
      <c r="I1780" s="20" t="s">
        <v>25</v>
      </c>
      <c r="J1780" s="21">
        <v>2.88948635E8</v>
      </c>
      <c r="K1780" s="21">
        <v>0.0</v>
      </c>
    </row>
    <row r="1781">
      <c r="A1781" s="15" t="s">
        <v>74</v>
      </c>
      <c r="B1781" s="16" t="s">
        <v>66</v>
      </c>
      <c r="C1781" s="17" t="s">
        <v>67</v>
      </c>
      <c r="D1781" s="18">
        <v>2.0</v>
      </c>
      <c r="E1781" s="17" t="s">
        <v>22</v>
      </c>
      <c r="F1781" s="15" t="s">
        <v>146</v>
      </c>
      <c r="G1781" s="19">
        <v>9.0042122E7</v>
      </c>
      <c r="H1781" s="15" t="s">
        <v>56</v>
      </c>
      <c r="I1781" s="20" t="s">
        <v>25</v>
      </c>
      <c r="J1781" s="21">
        <v>8.6828927E7</v>
      </c>
      <c r="K1781" s="21">
        <v>0.0</v>
      </c>
    </row>
    <row r="1782">
      <c r="A1782" s="15" t="s">
        <v>74</v>
      </c>
      <c r="B1782" s="16" t="s">
        <v>66</v>
      </c>
      <c r="C1782" s="17" t="s">
        <v>67</v>
      </c>
      <c r="D1782" s="18">
        <v>2.0</v>
      </c>
      <c r="E1782" s="17" t="s">
        <v>22</v>
      </c>
      <c r="F1782" s="15" t="s">
        <v>146</v>
      </c>
      <c r="G1782" s="19">
        <v>9.0042124E7</v>
      </c>
      <c r="H1782" s="15" t="s">
        <v>57</v>
      </c>
      <c r="I1782" s="20" t="s">
        <v>25</v>
      </c>
      <c r="J1782" s="21">
        <v>4.4488304E7</v>
      </c>
      <c r="K1782" s="21">
        <v>0.0</v>
      </c>
    </row>
    <row r="1783">
      <c r="A1783" s="15" t="s">
        <v>74</v>
      </c>
      <c r="B1783" s="16" t="s">
        <v>66</v>
      </c>
      <c r="C1783" s="17" t="s">
        <v>67</v>
      </c>
      <c r="D1783" s="18">
        <v>2.0</v>
      </c>
      <c r="E1783" s="17" t="s">
        <v>22</v>
      </c>
      <c r="F1783" s="15" t="s">
        <v>146</v>
      </c>
      <c r="G1783" s="19">
        <v>9.0042125E7</v>
      </c>
      <c r="H1783" s="15" t="s">
        <v>26</v>
      </c>
      <c r="I1783" s="20" t="s">
        <v>25</v>
      </c>
      <c r="J1783" s="21">
        <v>5.6835792E7</v>
      </c>
      <c r="K1783" s="21">
        <v>0.0</v>
      </c>
    </row>
    <row r="1784">
      <c r="A1784" s="15" t="s">
        <v>74</v>
      </c>
      <c r="B1784" s="16" t="s">
        <v>66</v>
      </c>
      <c r="C1784" s="17" t="s">
        <v>67</v>
      </c>
      <c r="D1784" s="18">
        <v>2.0</v>
      </c>
      <c r="E1784" s="17" t="s">
        <v>22</v>
      </c>
      <c r="F1784" s="15" t="s">
        <v>146</v>
      </c>
      <c r="G1784" s="19">
        <v>9.0042127E7</v>
      </c>
      <c r="H1784" s="15" t="s">
        <v>27</v>
      </c>
      <c r="I1784" s="20" t="s">
        <v>25</v>
      </c>
      <c r="J1784" s="21">
        <v>2.8439228E7</v>
      </c>
      <c r="K1784" s="21">
        <v>0.0</v>
      </c>
    </row>
    <row r="1785">
      <c r="A1785" s="15" t="s">
        <v>74</v>
      </c>
      <c r="B1785" s="16" t="s">
        <v>66</v>
      </c>
      <c r="C1785" s="17" t="s">
        <v>67</v>
      </c>
      <c r="D1785" s="18">
        <v>2.0</v>
      </c>
      <c r="E1785" s="17" t="s">
        <v>22</v>
      </c>
      <c r="F1785" s="15" t="s">
        <v>146</v>
      </c>
      <c r="G1785" s="19">
        <v>9.0042128E7</v>
      </c>
      <c r="H1785" s="15" t="s">
        <v>58</v>
      </c>
      <c r="I1785" s="20" t="s">
        <v>25</v>
      </c>
      <c r="J1785" s="21">
        <v>2.001159E7</v>
      </c>
      <c r="K1785" s="21">
        <v>0.0</v>
      </c>
    </row>
    <row r="1786">
      <c r="A1786" s="15" t="s">
        <v>74</v>
      </c>
      <c r="B1786" s="16" t="s">
        <v>66</v>
      </c>
      <c r="C1786" s="17" t="s">
        <v>67</v>
      </c>
      <c r="D1786" s="18">
        <v>2.0</v>
      </c>
      <c r="E1786" s="17" t="s">
        <v>22</v>
      </c>
      <c r="F1786" s="15" t="s">
        <v>146</v>
      </c>
      <c r="G1786" s="19">
        <v>9.0042132E7</v>
      </c>
      <c r="H1786" s="15" t="s">
        <v>28</v>
      </c>
      <c r="I1786" s="20" t="s">
        <v>25</v>
      </c>
      <c r="J1786" s="21">
        <v>1.6144688E7</v>
      </c>
      <c r="K1786" s="21">
        <v>0.0</v>
      </c>
    </row>
    <row r="1787">
      <c r="A1787" s="15" t="s">
        <v>74</v>
      </c>
      <c r="B1787" s="16" t="s">
        <v>66</v>
      </c>
      <c r="C1787" s="17" t="s">
        <v>67</v>
      </c>
      <c r="D1787" s="18">
        <v>2.0</v>
      </c>
      <c r="E1787" s="17" t="s">
        <v>22</v>
      </c>
      <c r="F1787" s="15" t="s">
        <v>146</v>
      </c>
      <c r="G1787" s="19">
        <v>9.0042134E7</v>
      </c>
      <c r="H1787" s="15" t="s">
        <v>29</v>
      </c>
      <c r="I1787" s="20" t="s">
        <v>25</v>
      </c>
      <c r="J1787" s="21">
        <v>5936000.0</v>
      </c>
      <c r="K1787" s="21">
        <v>0.0</v>
      </c>
    </row>
    <row r="1788">
      <c r="A1788" s="15" t="s">
        <v>74</v>
      </c>
      <c r="B1788" s="16" t="s">
        <v>66</v>
      </c>
      <c r="C1788" s="17" t="s">
        <v>67</v>
      </c>
      <c r="D1788" s="18">
        <v>2.0</v>
      </c>
      <c r="E1788" s="17" t="s">
        <v>22</v>
      </c>
      <c r="F1788" s="15" t="s">
        <v>146</v>
      </c>
      <c r="G1788" s="19">
        <v>9.0042135E7</v>
      </c>
      <c r="H1788" s="15" t="s">
        <v>30</v>
      </c>
      <c r="I1788" s="20" t="s">
        <v>25</v>
      </c>
      <c r="J1788" s="21">
        <v>2.6694344E8</v>
      </c>
      <c r="K1788" s="21">
        <v>0.0</v>
      </c>
    </row>
    <row r="1789">
      <c r="A1789" s="15" t="s">
        <v>74</v>
      </c>
      <c r="B1789" s="16" t="s">
        <v>66</v>
      </c>
      <c r="C1789" s="17" t="s">
        <v>67</v>
      </c>
      <c r="D1789" s="18">
        <v>2.0</v>
      </c>
      <c r="E1789" s="17" t="s">
        <v>22</v>
      </c>
      <c r="F1789" s="15" t="s">
        <v>146</v>
      </c>
      <c r="G1789" s="19">
        <v>9.00422E7</v>
      </c>
      <c r="H1789" s="15" t="s">
        <v>73</v>
      </c>
      <c r="I1789" s="20" t="s">
        <v>60</v>
      </c>
      <c r="J1789" s="21">
        <v>3.04193944E8</v>
      </c>
      <c r="K1789" s="21">
        <v>0.0</v>
      </c>
    </row>
    <row r="1790">
      <c r="A1790" s="15" t="s">
        <v>74</v>
      </c>
      <c r="B1790" s="16" t="s">
        <v>66</v>
      </c>
      <c r="C1790" s="17" t="s">
        <v>67</v>
      </c>
      <c r="D1790" s="18">
        <v>2.0</v>
      </c>
      <c r="E1790" s="17" t="s">
        <v>22</v>
      </c>
      <c r="F1790" s="15" t="s">
        <v>146</v>
      </c>
      <c r="G1790" s="19">
        <v>9.0042223E7</v>
      </c>
      <c r="H1790" s="15" t="s">
        <v>61</v>
      </c>
      <c r="I1790" s="20" t="s">
        <v>60</v>
      </c>
      <c r="J1790" s="21">
        <v>2.5865973E7</v>
      </c>
      <c r="K1790" s="21">
        <v>0.0</v>
      </c>
    </row>
    <row r="1791">
      <c r="A1791" s="15" t="s">
        <v>74</v>
      </c>
      <c r="B1791" s="16" t="s">
        <v>66</v>
      </c>
      <c r="C1791" s="17" t="s">
        <v>67</v>
      </c>
      <c r="D1791" s="18">
        <v>2.0</v>
      </c>
      <c r="E1791" s="17" t="s">
        <v>22</v>
      </c>
      <c r="F1791" s="15" t="s">
        <v>146</v>
      </c>
      <c r="G1791" s="19">
        <v>9.0042224E7</v>
      </c>
      <c r="H1791" s="15" t="s">
        <v>62</v>
      </c>
      <c r="I1791" s="20" t="s">
        <v>60</v>
      </c>
      <c r="J1791" s="21">
        <v>4078086.0</v>
      </c>
      <c r="K1791" s="21">
        <v>0.0</v>
      </c>
    </row>
    <row r="1792">
      <c r="A1792" s="15" t="s">
        <v>74</v>
      </c>
      <c r="B1792" s="16" t="s">
        <v>66</v>
      </c>
      <c r="C1792" s="17" t="s">
        <v>67</v>
      </c>
      <c r="D1792" s="18">
        <v>2.0</v>
      </c>
      <c r="E1792" s="17" t="s">
        <v>22</v>
      </c>
      <c r="F1792" s="15" t="s">
        <v>146</v>
      </c>
      <c r="G1792" s="19">
        <v>9.0042226E7</v>
      </c>
      <c r="H1792" s="15" t="s">
        <v>63</v>
      </c>
      <c r="I1792" s="20" t="s">
        <v>60</v>
      </c>
      <c r="J1792" s="21">
        <v>115027.0</v>
      </c>
      <c r="K1792" s="21">
        <v>0.0</v>
      </c>
    </row>
    <row r="1793">
      <c r="A1793" s="15" t="s">
        <v>74</v>
      </c>
      <c r="B1793" s="16" t="s">
        <v>66</v>
      </c>
      <c r="C1793" s="17" t="s">
        <v>67</v>
      </c>
      <c r="D1793" s="18">
        <v>2.0</v>
      </c>
      <c r="E1793" s="17" t="s">
        <v>22</v>
      </c>
      <c r="F1793" s="15" t="s">
        <v>146</v>
      </c>
      <c r="G1793" s="19">
        <v>9.0042228E7</v>
      </c>
      <c r="H1793" s="15" t="s">
        <v>64</v>
      </c>
      <c r="I1793" s="20" t="s">
        <v>60</v>
      </c>
      <c r="J1793" s="21">
        <v>5.9328985E7</v>
      </c>
      <c r="K1793" s="21">
        <v>0.0</v>
      </c>
    </row>
    <row r="1794">
      <c r="A1794" s="15" t="s">
        <v>74</v>
      </c>
      <c r="B1794" s="16" t="s">
        <v>66</v>
      </c>
      <c r="C1794" s="17" t="s">
        <v>67</v>
      </c>
      <c r="D1794" s="18">
        <v>2.0</v>
      </c>
      <c r="E1794" s="17" t="s">
        <v>22</v>
      </c>
      <c r="F1794" s="15" t="s">
        <v>146</v>
      </c>
      <c r="G1794" s="19">
        <v>9.0042231E7</v>
      </c>
      <c r="H1794" s="15" t="s">
        <v>65</v>
      </c>
      <c r="I1794" s="20" t="s">
        <v>60</v>
      </c>
      <c r="J1794" s="21">
        <v>5.1817843E7</v>
      </c>
      <c r="K1794" s="21">
        <v>0.0</v>
      </c>
    </row>
    <row r="1795">
      <c r="A1795" s="15" t="s">
        <v>74</v>
      </c>
      <c r="B1795" s="16" t="s">
        <v>66</v>
      </c>
      <c r="C1795" s="17" t="s">
        <v>67</v>
      </c>
      <c r="D1795" s="18">
        <v>2.0</v>
      </c>
      <c r="E1795" s="17" t="s">
        <v>22</v>
      </c>
      <c r="F1795" s="15" t="s">
        <v>146</v>
      </c>
      <c r="G1795" s="19">
        <v>9.0042126E7</v>
      </c>
      <c r="H1795" s="15" t="s">
        <v>31</v>
      </c>
      <c r="I1795" s="20" t="s">
        <v>25</v>
      </c>
      <c r="J1795" s="21">
        <v>3.7510895E7</v>
      </c>
      <c r="K1795" s="21">
        <v>0.0</v>
      </c>
    </row>
    <row r="1796">
      <c r="A1796" s="15" t="s">
        <v>74</v>
      </c>
      <c r="B1796" s="16" t="s">
        <v>66</v>
      </c>
      <c r="C1796" s="17" t="s">
        <v>67</v>
      </c>
      <c r="D1796" s="18">
        <v>2.0</v>
      </c>
      <c r="E1796" s="24">
        <v>46069.0</v>
      </c>
      <c r="F1796" s="15" t="s">
        <v>217</v>
      </c>
      <c r="G1796" s="19">
        <v>9.0043001E7</v>
      </c>
      <c r="H1796" s="15" t="s">
        <v>18</v>
      </c>
      <c r="I1796" s="20" t="s">
        <v>19</v>
      </c>
      <c r="J1796" s="21">
        <v>1855920.0</v>
      </c>
      <c r="K1796" s="21">
        <v>12.0</v>
      </c>
    </row>
    <row r="1797">
      <c r="A1797" s="15"/>
      <c r="B1797" s="16" t="s">
        <v>259</v>
      </c>
      <c r="C1797" s="17" t="s">
        <v>260</v>
      </c>
      <c r="D1797" s="18">
        <v>2.0</v>
      </c>
      <c r="E1797" s="17" t="s">
        <v>77</v>
      </c>
      <c r="F1797" s="15"/>
      <c r="G1797" s="19">
        <v>9.0043001E7</v>
      </c>
      <c r="H1797" s="15" t="s">
        <v>18</v>
      </c>
      <c r="I1797" s="20" t="s">
        <v>19</v>
      </c>
      <c r="J1797" s="21">
        <v>4223044.0</v>
      </c>
      <c r="K1797" s="21">
        <v>28.0</v>
      </c>
    </row>
    <row r="1798">
      <c r="A1798" s="15"/>
      <c r="B1798" s="16" t="s">
        <v>259</v>
      </c>
      <c r="C1798" s="17" t="s">
        <v>260</v>
      </c>
      <c r="D1798" s="18">
        <v>2.0</v>
      </c>
      <c r="E1798" s="17" t="s">
        <v>222</v>
      </c>
      <c r="F1798" s="15"/>
      <c r="G1798" s="19">
        <v>5.1100153E7</v>
      </c>
      <c r="H1798" s="15" t="s">
        <v>72</v>
      </c>
      <c r="I1798" s="20" t="s">
        <v>25</v>
      </c>
      <c r="J1798" s="21">
        <v>-19429.0</v>
      </c>
      <c r="K1798" s="21">
        <v>0.0</v>
      </c>
    </row>
    <row r="1799">
      <c r="A1799" s="15"/>
      <c r="B1799" s="16" t="s">
        <v>259</v>
      </c>
      <c r="C1799" s="17" t="s">
        <v>260</v>
      </c>
      <c r="D1799" s="18">
        <v>2.0</v>
      </c>
      <c r="E1799" s="17" t="s">
        <v>79</v>
      </c>
      <c r="F1799" s="15"/>
      <c r="G1799" s="19">
        <v>9.0043001E7</v>
      </c>
      <c r="H1799" s="15" t="s">
        <v>18</v>
      </c>
      <c r="I1799" s="20" t="s">
        <v>19</v>
      </c>
      <c r="J1799" s="21">
        <v>904938.0</v>
      </c>
      <c r="K1799" s="21">
        <v>6.0</v>
      </c>
    </row>
    <row r="1800">
      <c r="A1800" s="15" t="s">
        <v>11</v>
      </c>
      <c r="B1800" s="16" t="s">
        <v>12</v>
      </c>
      <c r="C1800" s="17" t="s">
        <v>13</v>
      </c>
      <c r="D1800" s="18">
        <v>3.0</v>
      </c>
      <c r="E1800" s="17" t="s">
        <v>14</v>
      </c>
      <c r="F1800" s="15" t="s">
        <v>15</v>
      </c>
      <c r="G1800" s="19">
        <v>5.1101056E7</v>
      </c>
      <c r="H1800" s="15" t="s">
        <v>16</v>
      </c>
      <c r="I1800" s="20" t="s">
        <v>17</v>
      </c>
      <c r="J1800" s="21">
        <v>1491000.0</v>
      </c>
      <c r="K1800" s="21">
        <v>213.0</v>
      </c>
    </row>
    <row r="1801">
      <c r="A1801" s="15" t="s">
        <v>11</v>
      </c>
      <c r="B1801" s="16" t="s">
        <v>12</v>
      </c>
      <c r="C1801" s="17" t="s">
        <v>13</v>
      </c>
      <c r="D1801" s="18">
        <v>3.0</v>
      </c>
      <c r="E1801" s="17" t="s">
        <v>14</v>
      </c>
      <c r="F1801" s="15" t="s">
        <v>15</v>
      </c>
      <c r="G1801" s="19">
        <v>9.0043001E7</v>
      </c>
      <c r="H1801" s="15" t="s">
        <v>18</v>
      </c>
      <c r="I1801" s="20" t="s">
        <v>19</v>
      </c>
      <c r="J1801" s="21">
        <v>1.0650969E7</v>
      </c>
      <c r="K1801" s="21">
        <v>63.0</v>
      </c>
    </row>
    <row r="1802">
      <c r="A1802" s="15" t="s">
        <v>11</v>
      </c>
      <c r="B1802" s="16" t="s">
        <v>12</v>
      </c>
      <c r="C1802" s="17" t="s">
        <v>13</v>
      </c>
      <c r="D1802" s="18">
        <v>3.0</v>
      </c>
      <c r="E1802" s="17" t="s">
        <v>20</v>
      </c>
      <c r="F1802" s="15"/>
      <c r="G1802" s="19">
        <v>9.0042014E7</v>
      </c>
      <c r="H1802" s="15" t="s">
        <v>21</v>
      </c>
      <c r="I1802" s="20" t="s">
        <v>19</v>
      </c>
      <c r="J1802" s="21">
        <v>4.0984147E7</v>
      </c>
      <c r="K1802" s="21">
        <v>0.0</v>
      </c>
    </row>
    <row r="1803">
      <c r="A1803" s="15" t="s">
        <v>11</v>
      </c>
      <c r="B1803" s="16" t="s">
        <v>12</v>
      </c>
      <c r="C1803" s="17" t="s">
        <v>13</v>
      </c>
      <c r="D1803" s="18">
        <v>3.0</v>
      </c>
      <c r="E1803" s="17" t="s">
        <v>22</v>
      </c>
      <c r="F1803" s="15"/>
      <c r="G1803" s="19">
        <v>9.0042012E7</v>
      </c>
      <c r="H1803" s="15" t="s">
        <v>23</v>
      </c>
      <c r="I1803" s="20" t="s">
        <v>19</v>
      </c>
      <c r="J1803" s="21">
        <v>2.4188336E7</v>
      </c>
      <c r="K1803" s="21">
        <v>0.0</v>
      </c>
    </row>
    <row r="1804">
      <c r="A1804" s="15" t="s">
        <v>11</v>
      </c>
      <c r="B1804" s="16" t="s">
        <v>12</v>
      </c>
      <c r="C1804" s="17" t="s">
        <v>13</v>
      </c>
      <c r="D1804" s="18">
        <v>3.0</v>
      </c>
      <c r="E1804" s="17" t="s">
        <v>22</v>
      </c>
      <c r="F1804" s="15"/>
      <c r="G1804" s="19">
        <v>9.0042121E7</v>
      </c>
      <c r="H1804" s="15" t="s">
        <v>24</v>
      </c>
      <c r="I1804" s="20" t="s">
        <v>25</v>
      </c>
      <c r="J1804" s="21">
        <v>4.0574516E7</v>
      </c>
      <c r="K1804" s="21">
        <v>0.0</v>
      </c>
    </row>
    <row r="1805">
      <c r="A1805" s="15" t="s">
        <v>11</v>
      </c>
      <c r="B1805" s="16" t="s">
        <v>12</v>
      </c>
      <c r="C1805" s="17" t="s">
        <v>13</v>
      </c>
      <c r="D1805" s="18">
        <v>3.0</v>
      </c>
      <c r="E1805" s="17" t="s">
        <v>22</v>
      </c>
      <c r="F1805" s="15"/>
      <c r="G1805" s="19">
        <v>9.0042125E7</v>
      </c>
      <c r="H1805" s="15" t="s">
        <v>26</v>
      </c>
      <c r="I1805" s="20" t="s">
        <v>25</v>
      </c>
      <c r="J1805" s="21">
        <v>1.4545121E7</v>
      </c>
      <c r="K1805" s="21">
        <v>0.0</v>
      </c>
    </row>
    <row r="1806">
      <c r="A1806" s="15" t="s">
        <v>11</v>
      </c>
      <c r="B1806" s="16" t="s">
        <v>12</v>
      </c>
      <c r="C1806" s="17" t="s">
        <v>13</v>
      </c>
      <c r="D1806" s="18">
        <v>3.0</v>
      </c>
      <c r="E1806" s="17" t="s">
        <v>22</v>
      </c>
      <c r="F1806" s="15"/>
      <c r="G1806" s="19">
        <v>9.0042134E7</v>
      </c>
      <c r="H1806" s="15" t="s">
        <v>29</v>
      </c>
      <c r="I1806" s="20" t="s">
        <v>25</v>
      </c>
      <c r="J1806" s="21">
        <v>1000000.0</v>
      </c>
      <c r="K1806" s="21">
        <v>0.0</v>
      </c>
    </row>
    <row r="1807">
      <c r="A1807" s="15" t="s">
        <v>11</v>
      </c>
      <c r="B1807" s="16" t="s">
        <v>12</v>
      </c>
      <c r="C1807" s="17" t="s">
        <v>13</v>
      </c>
      <c r="D1807" s="18">
        <v>3.0</v>
      </c>
      <c r="E1807" s="17" t="s">
        <v>22</v>
      </c>
      <c r="F1807" s="15"/>
      <c r="G1807" s="19">
        <v>9.0042135E7</v>
      </c>
      <c r="H1807" s="15" t="s">
        <v>30</v>
      </c>
      <c r="I1807" s="20" t="s">
        <v>25</v>
      </c>
      <c r="J1807" s="21">
        <v>6216576.0</v>
      </c>
      <c r="K1807" s="21">
        <v>0.0</v>
      </c>
    </row>
    <row r="1808">
      <c r="A1808" s="15" t="s">
        <v>11</v>
      </c>
      <c r="B1808" s="16" t="s">
        <v>12</v>
      </c>
      <c r="C1808" s="17" t="s">
        <v>13</v>
      </c>
      <c r="D1808" s="18">
        <v>3.0</v>
      </c>
      <c r="E1808" s="17" t="s">
        <v>22</v>
      </c>
      <c r="F1808" s="15"/>
      <c r="G1808" s="19">
        <v>9.0042201E7</v>
      </c>
      <c r="H1808" s="15" t="s">
        <v>59</v>
      </c>
      <c r="I1808" s="20" t="s">
        <v>60</v>
      </c>
      <c r="J1808" s="21">
        <v>1.53430136E8</v>
      </c>
      <c r="K1808" s="21">
        <v>0.0</v>
      </c>
    </row>
    <row r="1809">
      <c r="A1809" s="15" t="s">
        <v>11</v>
      </c>
      <c r="B1809" s="16" t="s">
        <v>32</v>
      </c>
      <c r="C1809" s="17" t="s">
        <v>33</v>
      </c>
      <c r="D1809" s="18">
        <v>3.0</v>
      </c>
      <c r="E1809" s="17" t="s">
        <v>34</v>
      </c>
      <c r="F1809" s="15" t="s">
        <v>35</v>
      </c>
      <c r="G1809" s="19">
        <v>5.1100058E7</v>
      </c>
      <c r="H1809" s="15" t="s">
        <v>36</v>
      </c>
      <c r="I1809" s="20" t="s">
        <v>37</v>
      </c>
      <c r="J1809" s="21">
        <v>1.5163797E7</v>
      </c>
      <c r="K1809" s="21">
        <v>228.635</v>
      </c>
    </row>
    <row r="1810">
      <c r="A1810" s="15" t="s">
        <v>11</v>
      </c>
      <c r="B1810" s="16" t="s">
        <v>32</v>
      </c>
      <c r="C1810" s="17" t="s">
        <v>33</v>
      </c>
      <c r="D1810" s="18">
        <v>3.0</v>
      </c>
      <c r="E1810" s="17" t="s">
        <v>34</v>
      </c>
      <c r="F1810" s="15" t="s">
        <v>35</v>
      </c>
      <c r="G1810" s="19">
        <v>5.1100774E7</v>
      </c>
      <c r="H1810" s="15" t="s">
        <v>39</v>
      </c>
      <c r="I1810" s="20" t="s">
        <v>17</v>
      </c>
      <c r="J1810" s="21">
        <v>2.0204068E7</v>
      </c>
      <c r="K1810" s="21">
        <v>298.7</v>
      </c>
    </row>
    <row r="1811">
      <c r="A1811" s="15" t="s">
        <v>11</v>
      </c>
      <c r="B1811" s="16" t="s">
        <v>32</v>
      </c>
      <c r="C1811" s="17" t="s">
        <v>33</v>
      </c>
      <c r="D1811" s="18">
        <v>3.0</v>
      </c>
      <c r="E1811" s="17" t="s">
        <v>40</v>
      </c>
      <c r="F1811" s="15" t="s">
        <v>41</v>
      </c>
      <c r="G1811" s="19">
        <v>5.1100061E7</v>
      </c>
      <c r="H1811" s="15" t="s">
        <v>42</v>
      </c>
      <c r="I1811" s="20" t="s">
        <v>37</v>
      </c>
      <c r="J1811" s="21">
        <v>3160029.0</v>
      </c>
      <c r="K1811" s="21">
        <v>146.0</v>
      </c>
    </row>
    <row r="1812">
      <c r="A1812" s="15" t="s">
        <v>11</v>
      </c>
      <c r="B1812" s="16" t="s">
        <v>32</v>
      </c>
      <c r="C1812" s="17" t="s">
        <v>33</v>
      </c>
      <c r="D1812" s="18">
        <v>3.0</v>
      </c>
      <c r="E1812" s="17" t="s">
        <v>43</v>
      </c>
      <c r="F1812" s="15" t="s">
        <v>44</v>
      </c>
      <c r="G1812" s="19">
        <v>5.1101056E7</v>
      </c>
      <c r="H1812" s="15" t="s">
        <v>16</v>
      </c>
      <c r="I1812" s="20" t="s">
        <v>17</v>
      </c>
      <c r="J1812" s="21">
        <v>1.6693485E8</v>
      </c>
      <c r="K1812" s="21">
        <v>29710.8</v>
      </c>
    </row>
    <row r="1813">
      <c r="A1813" s="15" t="s">
        <v>11</v>
      </c>
      <c r="B1813" s="16" t="s">
        <v>32</v>
      </c>
      <c r="C1813" s="17" t="s">
        <v>33</v>
      </c>
      <c r="D1813" s="18">
        <v>3.0</v>
      </c>
      <c r="E1813" s="17" t="s">
        <v>43</v>
      </c>
      <c r="F1813" s="15" t="s">
        <v>44</v>
      </c>
      <c r="G1813" s="19">
        <v>9.0043001E7</v>
      </c>
      <c r="H1813" s="15" t="s">
        <v>18</v>
      </c>
      <c r="I1813" s="20" t="s">
        <v>19</v>
      </c>
      <c r="J1813" s="21">
        <v>1.3446508E7</v>
      </c>
      <c r="K1813" s="21">
        <v>82.5</v>
      </c>
    </row>
    <row r="1814">
      <c r="A1814" s="15" t="s">
        <v>11</v>
      </c>
      <c r="B1814" s="16" t="s">
        <v>32</v>
      </c>
      <c r="C1814" s="17" t="s">
        <v>33</v>
      </c>
      <c r="D1814" s="18">
        <v>3.0</v>
      </c>
      <c r="E1814" s="17" t="s">
        <v>14</v>
      </c>
      <c r="F1814" s="15" t="s">
        <v>15</v>
      </c>
      <c r="G1814" s="19">
        <v>5.1101056E7</v>
      </c>
      <c r="H1814" s="15" t="s">
        <v>16</v>
      </c>
      <c r="I1814" s="20" t="s">
        <v>17</v>
      </c>
      <c r="J1814" s="21">
        <v>4852500.0</v>
      </c>
      <c r="K1814" s="21">
        <v>685.0</v>
      </c>
    </row>
    <row r="1815">
      <c r="A1815" s="15" t="s">
        <v>11</v>
      </c>
      <c r="B1815" s="16" t="s">
        <v>32</v>
      </c>
      <c r="C1815" s="17" t="s">
        <v>33</v>
      </c>
      <c r="D1815" s="18">
        <v>3.0</v>
      </c>
      <c r="E1815" s="17" t="s">
        <v>45</v>
      </c>
      <c r="F1815" s="15" t="s">
        <v>46</v>
      </c>
      <c r="G1815" s="19">
        <v>5.1101056E7</v>
      </c>
      <c r="H1815" s="15" t="s">
        <v>16</v>
      </c>
      <c r="I1815" s="20" t="s">
        <v>17</v>
      </c>
      <c r="J1815" s="21">
        <v>6596755.0</v>
      </c>
      <c r="K1815" s="21">
        <v>6979.3</v>
      </c>
    </row>
    <row r="1816">
      <c r="A1816" s="15" t="s">
        <v>11</v>
      </c>
      <c r="B1816" s="16" t="s">
        <v>32</v>
      </c>
      <c r="C1816" s="17" t="s">
        <v>33</v>
      </c>
      <c r="D1816" s="18">
        <v>3.0</v>
      </c>
      <c r="E1816" s="17" t="s">
        <v>45</v>
      </c>
      <c r="F1816" s="15" t="s">
        <v>46</v>
      </c>
      <c r="G1816" s="19">
        <v>9.0043001E7</v>
      </c>
      <c r="H1816" s="15" t="s">
        <v>18</v>
      </c>
      <c r="I1816" s="20" t="s">
        <v>19</v>
      </c>
      <c r="J1816" s="21">
        <v>6268358.0</v>
      </c>
      <c r="K1816" s="21">
        <v>38.5</v>
      </c>
    </row>
    <row r="1817">
      <c r="A1817" s="15" t="s">
        <v>11</v>
      </c>
      <c r="B1817" s="16" t="s">
        <v>32</v>
      </c>
      <c r="C1817" s="17" t="s">
        <v>33</v>
      </c>
      <c r="D1817" s="18">
        <v>3.0</v>
      </c>
      <c r="E1817" s="17" t="s">
        <v>47</v>
      </c>
      <c r="F1817" s="15" t="s">
        <v>48</v>
      </c>
      <c r="G1817" s="19">
        <v>9.0043002E7</v>
      </c>
      <c r="H1817" s="15" t="s">
        <v>49</v>
      </c>
      <c r="I1817" s="20" t="s">
        <v>50</v>
      </c>
      <c r="J1817" s="21">
        <v>3.4290144E7</v>
      </c>
      <c r="K1817" s="21">
        <v>2190.0</v>
      </c>
    </row>
    <row r="1818">
      <c r="A1818" s="15" t="s">
        <v>11</v>
      </c>
      <c r="B1818" s="16" t="s">
        <v>32</v>
      </c>
      <c r="C1818" s="17" t="s">
        <v>33</v>
      </c>
      <c r="D1818" s="18">
        <v>3.0</v>
      </c>
      <c r="E1818" s="17" t="s">
        <v>51</v>
      </c>
      <c r="F1818" s="15" t="s">
        <v>52</v>
      </c>
      <c r="G1818" s="19">
        <v>5.1100064E7</v>
      </c>
      <c r="H1818" s="15" t="s">
        <v>53</v>
      </c>
      <c r="I1818" s="20" t="s">
        <v>37</v>
      </c>
      <c r="J1818" s="21">
        <v>193308.0</v>
      </c>
      <c r="K1818" s="21">
        <v>1500.0</v>
      </c>
    </row>
    <row r="1819">
      <c r="A1819" s="15" t="s">
        <v>11</v>
      </c>
      <c r="B1819" s="16" t="s">
        <v>32</v>
      </c>
      <c r="C1819" s="17" t="s">
        <v>33</v>
      </c>
      <c r="D1819" s="18">
        <v>3.0</v>
      </c>
      <c r="E1819" s="17" t="s">
        <v>54</v>
      </c>
      <c r="F1819" s="15"/>
      <c r="G1819" s="19">
        <v>9.0042011E7</v>
      </c>
      <c r="H1819" s="15" t="s">
        <v>55</v>
      </c>
      <c r="I1819" s="20" t="s">
        <v>19</v>
      </c>
      <c r="J1819" s="21">
        <v>3.0367839E7</v>
      </c>
      <c r="K1819" s="21">
        <v>0.0</v>
      </c>
    </row>
    <row r="1820">
      <c r="A1820" s="15" t="s">
        <v>11</v>
      </c>
      <c r="B1820" s="16" t="s">
        <v>32</v>
      </c>
      <c r="C1820" s="17" t="s">
        <v>33</v>
      </c>
      <c r="D1820" s="18">
        <v>3.0</v>
      </c>
      <c r="E1820" s="17" t="s">
        <v>20</v>
      </c>
      <c r="F1820" s="15"/>
      <c r="G1820" s="19">
        <v>9.0042014E7</v>
      </c>
      <c r="H1820" s="15" t="s">
        <v>21</v>
      </c>
      <c r="I1820" s="20" t="s">
        <v>19</v>
      </c>
      <c r="J1820" s="21">
        <v>3.89566149E8</v>
      </c>
      <c r="K1820" s="21">
        <v>0.0</v>
      </c>
    </row>
    <row r="1821">
      <c r="A1821" s="15" t="s">
        <v>11</v>
      </c>
      <c r="B1821" s="16" t="s">
        <v>32</v>
      </c>
      <c r="C1821" s="17" t="s">
        <v>33</v>
      </c>
      <c r="D1821" s="18">
        <v>3.0</v>
      </c>
      <c r="E1821" s="17" t="s">
        <v>22</v>
      </c>
      <c r="F1821" s="15"/>
      <c r="G1821" s="19">
        <v>9.0042012E7</v>
      </c>
      <c r="H1821" s="15" t="s">
        <v>23</v>
      </c>
      <c r="I1821" s="20" t="s">
        <v>19</v>
      </c>
      <c r="J1821" s="21">
        <v>1.00520771E8</v>
      </c>
      <c r="K1821" s="21">
        <v>0.0</v>
      </c>
    </row>
    <row r="1822">
      <c r="A1822" s="15" t="s">
        <v>11</v>
      </c>
      <c r="B1822" s="16" t="s">
        <v>32</v>
      </c>
      <c r="C1822" s="17" t="s">
        <v>33</v>
      </c>
      <c r="D1822" s="18">
        <v>3.0</v>
      </c>
      <c r="E1822" s="17" t="s">
        <v>22</v>
      </c>
      <c r="F1822" s="15"/>
      <c r="G1822" s="19">
        <v>9.0042121E7</v>
      </c>
      <c r="H1822" s="15" t="s">
        <v>24</v>
      </c>
      <c r="I1822" s="20" t="s">
        <v>25</v>
      </c>
      <c r="J1822" s="21">
        <v>7.088511E7</v>
      </c>
      <c r="K1822" s="21">
        <v>0.0</v>
      </c>
    </row>
    <row r="1823">
      <c r="A1823" s="15" t="s">
        <v>11</v>
      </c>
      <c r="B1823" s="16" t="s">
        <v>32</v>
      </c>
      <c r="C1823" s="17" t="s">
        <v>33</v>
      </c>
      <c r="D1823" s="18">
        <v>3.0</v>
      </c>
      <c r="E1823" s="17" t="s">
        <v>22</v>
      </c>
      <c r="F1823" s="15"/>
      <c r="G1823" s="19">
        <v>9.0042122E7</v>
      </c>
      <c r="H1823" s="15" t="s">
        <v>56</v>
      </c>
      <c r="I1823" s="20" t="s">
        <v>25</v>
      </c>
      <c r="J1823" s="21">
        <v>1591707.0</v>
      </c>
      <c r="K1823" s="21">
        <v>0.0</v>
      </c>
    </row>
    <row r="1824">
      <c r="A1824" s="15" t="s">
        <v>11</v>
      </c>
      <c r="B1824" s="16" t="s">
        <v>32</v>
      </c>
      <c r="C1824" s="17" t="s">
        <v>33</v>
      </c>
      <c r="D1824" s="18">
        <v>3.0</v>
      </c>
      <c r="E1824" s="17" t="s">
        <v>22</v>
      </c>
      <c r="F1824" s="15"/>
      <c r="G1824" s="19">
        <v>9.0042124E7</v>
      </c>
      <c r="H1824" s="15" t="s">
        <v>57</v>
      </c>
      <c r="I1824" s="20" t="s">
        <v>25</v>
      </c>
      <c r="J1824" s="21">
        <v>1.066E7</v>
      </c>
      <c r="K1824" s="21">
        <v>0.0</v>
      </c>
    </row>
    <row r="1825">
      <c r="A1825" s="15" t="s">
        <v>11</v>
      </c>
      <c r="B1825" s="16" t="s">
        <v>32</v>
      </c>
      <c r="C1825" s="17" t="s">
        <v>33</v>
      </c>
      <c r="D1825" s="18">
        <v>3.0</v>
      </c>
      <c r="E1825" s="17" t="s">
        <v>22</v>
      </c>
      <c r="F1825" s="15"/>
      <c r="G1825" s="19">
        <v>9.0042125E7</v>
      </c>
      <c r="H1825" s="15" t="s">
        <v>26</v>
      </c>
      <c r="I1825" s="20" t="s">
        <v>25</v>
      </c>
      <c r="J1825" s="21">
        <v>8.1472254E7</v>
      </c>
      <c r="K1825" s="21">
        <v>0.0</v>
      </c>
    </row>
    <row r="1826">
      <c r="A1826" s="15" t="s">
        <v>11</v>
      </c>
      <c r="B1826" s="16" t="s">
        <v>32</v>
      </c>
      <c r="C1826" s="17" t="s">
        <v>33</v>
      </c>
      <c r="D1826" s="18">
        <v>3.0</v>
      </c>
      <c r="E1826" s="17" t="s">
        <v>22</v>
      </c>
      <c r="F1826" s="15"/>
      <c r="G1826" s="19">
        <v>9.0042127E7</v>
      </c>
      <c r="H1826" s="15" t="s">
        <v>27</v>
      </c>
      <c r="I1826" s="20" t="s">
        <v>25</v>
      </c>
      <c r="J1826" s="21">
        <v>1.572503E7</v>
      </c>
      <c r="K1826" s="21">
        <v>0.0</v>
      </c>
    </row>
    <row r="1827">
      <c r="A1827" s="15" t="s">
        <v>11</v>
      </c>
      <c r="B1827" s="16" t="s">
        <v>32</v>
      </c>
      <c r="C1827" s="17" t="s">
        <v>33</v>
      </c>
      <c r="D1827" s="18">
        <v>3.0</v>
      </c>
      <c r="E1827" s="17" t="s">
        <v>22</v>
      </c>
      <c r="F1827" s="15"/>
      <c r="G1827" s="19">
        <v>9.0042128E7</v>
      </c>
      <c r="H1827" s="15" t="s">
        <v>58</v>
      </c>
      <c r="I1827" s="20" t="s">
        <v>25</v>
      </c>
      <c r="J1827" s="21">
        <v>1501300.0</v>
      </c>
      <c r="K1827" s="21">
        <v>0.0</v>
      </c>
    </row>
    <row r="1828">
      <c r="A1828" s="15" t="s">
        <v>11</v>
      </c>
      <c r="B1828" s="16" t="s">
        <v>32</v>
      </c>
      <c r="C1828" s="17" t="s">
        <v>33</v>
      </c>
      <c r="D1828" s="18">
        <v>3.0</v>
      </c>
      <c r="E1828" s="17" t="s">
        <v>22</v>
      </c>
      <c r="F1828" s="15"/>
      <c r="G1828" s="19">
        <v>9.0042132E7</v>
      </c>
      <c r="H1828" s="15" t="s">
        <v>28</v>
      </c>
      <c r="I1828" s="20" t="s">
        <v>25</v>
      </c>
      <c r="J1828" s="21">
        <v>2854800.0</v>
      </c>
      <c r="K1828" s="21">
        <v>0.0</v>
      </c>
    </row>
    <row r="1829">
      <c r="A1829" s="15" t="s">
        <v>11</v>
      </c>
      <c r="B1829" s="16" t="s">
        <v>32</v>
      </c>
      <c r="C1829" s="17" t="s">
        <v>33</v>
      </c>
      <c r="D1829" s="18">
        <v>3.0</v>
      </c>
      <c r="E1829" s="17" t="s">
        <v>22</v>
      </c>
      <c r="F1829" s="15"/>
      <c r="G1829" s="19">
        <v>9.0042134E7</v>
      </c>
      <c r="H1829" s="15" t="s">
        <v>29</v>
      </c>
      <c r="I1829" s="20" t="s">
        <v>25</v>
      </c>
      <c r="J1829" s="21">
        <v>1117500.0</v>
      </c>
      <c r="K1829" s="21">
        <v>0.0</v>
      </c>
    </row>
    <row r="1830">
      <c r="A1830" s="15" t="s">
        <v>11</v>
      </c>
      <c r="B1830" s="16" t="s">
        <v>32</v>
      </c>
      <c r="C1830" s="17" t="s">
        <v>33</v>
      </c>
      <c r="D1830" s="18">
        <v>3.0</v>
      </c>
      <c r="E1830" s="17" t="s">
        <v>22</v>
      </c>
      <c r="F1830" s="15"/>
      <c r="G1830" s="19">
        <v>9.0042135E7</v>
      </c>
      <c r="H1830" s="15" t="s">
        <v>30</v>
      </c>
      <c r="I1830" s="20" t="s">
        <v>25</v>
      </c>
      <c r="J1830" s="21">
        <v>6.7030835E7</v>
      </c>
      <c r="K1830" s="21">
        <v>0.0</v>
      </c>
    </row>
    <row r="1831">
      <c r="A1831" s="15" t="s">
        <v>11</v>
      </c>
      <c r="B1831" s="16" t="s">
        <v>32</v>
      </c>
      <c r="C1831" s="17" t="s">
        <v>33</v>
      </c>
      <c r="D1831" s="18">
        <v>3.0</v>
      </c>
      <c r="E1831" s="17" t="s">
        <v>22</v>
      </c>
      <c r="F1831" s="15"/>
      <c r="G1831" s="19">
        <v>9.0042201E7</v>
      </c>
      <c r="H1831" s="15" t="s">
        <v>59</v>
      </c>
      <c r="I1831" s="20" t="s">
        <v>60</v>
      </c>
      <c r="J1831" s="21">
        <v>2.11541934E8</v>
      </c>
      <c r="K1831" s="21">
        <v>0.0</v>
      </c>
    </row>
    <row r="1832">
      <c r="A1832" s="15" t="s">
        <v>11</v>
      </c>
      <c r="B1832" s="16" t="s">
        <v>32</v>
      </c>
      <c r="C1832" s="17" t="s">
        <v>33</v>
      </c>
      <c r="D1832" s="18">
        <v>3.0</v>
      </c>
      <c r="E1832" s="17" t="s">
        <v>22</v>
      </c>
      <c r="F1832" s="15"/>
      <c r="G1832" s="19">
        <v>9.0042223E7</v>
      </c>
      <c r="H1832" s="15" t="s">
        <v>61</v>
      </c>
      <c r="I1832" s="20" t="s">
        <v>60</v>
      </c>
      <c r="J1832" s="21">
        <v>2.0819376E7</v>
      </c>
      <c r="K1832" s="21">
        <v>0.0</v>
      </c>
    </row>
    <row r="1833">
      <c r="A1833" s="15" t="s">
        <v>11</v>
      </c>
      <c r="B1833" s="16" t="s">
        <v>32</v>
      </c>
      <c r="C1833" s="17" t="s">
        <v>33</v>
      </c>
      <c r="D1833" s="18">
        <v>3.0</v>
      </c>
      <c r="E1833" s="17" t="s">
        <v>22</v>
      </c>
      <c r="F1833" s="15"/>
      <c r="G1833" s="19">
        <v>9.0042224E7</v>
      </c>
      <c r="H1833" s="15" t="s">
        <v>62</v>
      </c>
      <c r="I1833" s="20" t="s">
        <v>60</v>
      </c>
      <c r="J1833" s="21">
        <v>1773340.0</v>
      </c>
      <c r="K1833" s="21">
        <v>0.0</v>
      </c>
    </row>
    <row r="1834">
      <c r="A1834" s="15" t="s">
        <v>11</v>
      </c>
      <c r="B1834" s="16" t="s">
        <v>32</v>
      </c>
      <c r="C1834" s="17" t="s">
        <v>33</v>
      </c>
      <c r="D1834" s="18">
        <v>3.0</v>
      </c>
      <c r="E1834" s="17" t="s">
        <v>22</v>
      </c>
      <c r="F1834" s="15"/>
      <c r="G1834" s="19">
        <v>9.0042226E7</v>
      </c>
      <c r="H1834" s="15" t="s">
        <v>63</v>
      </c>
      <c r="I1834" s="20" t="s">
        <v>60</v>
      </c>
      <c r="J1834" s="21">
        <v>133333.0</v>
      </c>
      <c r="K1834" s="21">
        <v>0.0</v>
      </c>
    </row>
    <row r="1835">
      <c r="A1835" s="15" t="s">
        <v>11</v>
      </c>
      <c r="B1835" s="16" t="s">
        <v>32</v>
      </c>
      <c r="C1835" s="17" t="s">
        <v>33</v>
      </c>
      <c r="D1835" s="18">
        <v>3.0</v>
      </c>
      <c r="E1835" s="17" t="s">
        <v>22</v>
      </c>
      <c r="F1835" s="15"/>
      <c r="G1835" s="19">
        <v>9.0042228E7</v>
      </c>
      <c r="H1835" s="15" t="s">
        <v>64</v>
      </c>
      <c r="I1835" s="20" t="s">
        <v>60</v>
      </c>
      <c r="J1835" s="21">
        <v>5.1768825E7</v>
      </c>
      <c r="K1835" s="21">
        <v>0.0</v>
      </c>
    </row>
    <row r="1836">
      <c r="A1836" s="15" t="s">
        <v>11</v>
      </c>
      <c r="B1836" s="16" t="s">
        <v>32</v>
      </c>
      <c r="C1836" s="17" t="s">
        <v>33</v>
      </c>
      <c r="D1836" s="18">
        <v>3.0</v>
      </c>
      <c r="E1836" s="17" t="s">
        <v>22</v>
      </c>
      <c r="F1836" s="15"/>
      <c r="G1836" s="19">
        <v>9.0042231E7</v>
      </c>
      <c r="H1836" s="15" t="s">
        <v>65</v>
      </c>
      <c r="I1836" s="20" t="s">
        <v>60</v>
      </c>
      <c r="J1836" s="21">
        <v>3931590.0</v>
      </c>
      <c r="K1836" s="21">
        <v>0.0</v>
      </c>
    </row>
    <row r="1837">
      <c r="A1837" s="15" t="s">
        <v>11</v>
      </c>
      <c r="B1837" s="16" t="s">
        <v>32</v>
      </c>
      <c r="C1837" s="17" t="s">
        <v>33</v>
      </c>
      <c r="D1837" s="18">
        <v>3.0</v>
      </c>
      <c r="E1837" s="17" t="s">
        <v>22</v>
      </c>
      <c r="F1837" s="15"/>
      <c r="G1837" s="19">
        <v>9.0042126E7</v>
      </c>
      <c r="H1837" s="15" t="s">
        <v>31</v>
      </c>
      <c r="I1837" s="20" t="s">
        <v>25</v>
      </c>
      <c r="J1837" s="21">
        <v>3.0159284E7</v>
      </c>
      <c r="K1837" s="21">
        <v>0.0</v>
      </c>
    </row>
    <row r="1838">
      <c r="A1838" s="15" t="s">
        <v>11</v>
      </c>
      <c r="B1838" s="16" t="s">
        <v>32</v>
      </c>
      <c r="C1838" s="17" t="s">
        <v>33</v>
      </c>
      <c r="D1838" s="18">
        <v>3.0</v>
      </c>
      <c r="E1838" s="17" t="s">
        <v>22</v>
      </c>
      <c r="F1838" s="15"/>
      <c r="G1838" s="19">
        <v>9.004212E7</v>
      </c>
      <c r="H1838" s="15" t="s">
        <v>182</v>
      </c>
      <c r="I1838" s="20" t="s">
        <v>25</v>
      </c>
      <c r="J1838" s="21">
        <v>1.11174E8</v>
      </c>
      <c r="K1838" s="21">
        <v>0.0</v>
      </c>
    </row>
    <row r="1839">
      <c r="A1839" s="15" t="s">
        <v>11</v>
      </c>
      <c r="B1839" s="16" t="s">
        <v>32</v>
      </c>
      <c r="C1839" s="17" t="s">
        <v>33</v>
      </c>
      <c r="D1839" s="18">
        <v>3.0</v>
      </c>
      <c r="E1839" s="17" t="s">
        <v>267</v>
      </c>
      <c r="F1839" s="15" t="s">
        <v>268</v>
      </c>
      <c r="G1839" s="19">
        <v>5.1100774E7</v>
      </c>
      <c r="H1839" s="15" t="s">
        <v>39</v>
      </c>
      <c r="I1839" s="20" t="s">
        <v>17</v>
      </c>
      <c r="J1839" s="21">
        <v>4.5995371E7</v>
      </c>
      <c r="K1839" s="21">
        <v>102.0</v>
      </c>
    </row>
    <row r="1840">
      <c r="A1840" s="15" t="s">
        <v>11</v>
      </c>
      <c r="B1840" s="16" t="s">
        <v>66</v>
      </c>
      <c r="C1840" s="17" t="s">
        <v>67</v>
      </c>
      <c r="D1840" s="18">
        <v>3.0</v>
      </c>
      <c r="E1840" s="17" t="s">
        <v>68</v>
      </c>
      <c r="F1840" s="15" t="s">
        <v>69</v>
      </c>
      <c r="G1840" s="19">
        <v>5.1101056E7</v>
      </c>
      <c r="H1840" s="15" t="s">
        <v>16</v>
      </c>
      <c r="I1840" s="20" t="s">
        <v>17</v>
      </c>
      <c r="J1840" s="21">
        <v>698800.0</v>
      </c>
      <c r="K1840" s="21">
        <v>50.0</v>
      </c>
    </row>
    <row r="1841">
      <c r="A1841" s="15" t="s">
        <v>11</v>
      </c>
      <c r="B1841" s="16" t="s">
        <v>66</v>
      </c>
      <c r="C1841" s="17" t="s">
        <v>67</v>
      </c>
      <c r="D1841" s="18">
        <v>3.0</v>
      </c>
      <c r="E1841" s="17" t="s">
        <v>70</v>
      </c>
      <c r="F1841" s="15" t="s">
        <v>71</v>
      </c>
      <c r="G1841" s="19">
        <v>5.1100153E7</v>
      </c>
      <c r="H1841" s="15" t="s">
        <v>72</v>
      </c>
      <c r="I1841" s="20" t="s">
        <v>17</v>
      </c>
      <c r="J1841" s="21">
        <v>93000.0</v>
      </c>
      <c r="K1841" s="21">
        <v>155.0</v>
      </c>
    </row>
    <row r="1842">
      <c r="A1842" s="15" t="s">
        <v>11</v>
      </c>
      <c r="B1842" s="16" t="s">
        <v>66</v>
      </c>
      <c r="C1842" s="17" t="s">
        <v>67</v>
      </c>
      <c r="D1842" s="18">
        <v>3.0</v>
      </c>
      <c r="E1842" s="17" t="s">
        <v>22</v>
      </c>
      <c r="F1842" s="15"/>
      <c r="G1842" s="19">
        <v>9.0042121E7</v>
      </c>
      <c r="H1842" s="15" t="s">
        <v>24</v>
      </c>
      <c r="I1842" s="20" t="s">
        <v>25</v>
      </c>
      <c r="J1842" s="21">
        <v>6917743.0</v>
      </c>
      <c r="K1842" s="21">
        <v>0.0</v>
      </c>
    </row>
    <row r="1843">
      <c r="A1843" s="15" t="s">
        <v>11</v>
      </c>
      <c r="B1843" s="16" t="s">
        <v>66</v>
      </c>
      <c r="C1843" s="17" t="s">
        <v>67</v>
      </c>
      <c r="D1843" s="18">
        <v>3.0</v>
      </c>
      <c r="E1843" s="17" t="s">
        <v>22</v>
      </c>
      <c r="F1843" s="15"/>
      <c r="G1843" s="19">
        <v>9.0042135E7</v>
      </c>
      <c r="H1843" s="15" t="s">
        <v>30</v>
      </c>
      <c r="I1843" s="20" t="s">
        <v>25</v>
      </c>
      <c r="J1843" s="21">
        <v>9530640.0</v>
      </c>
      <c r="K1843" s="21">
        <v>0.0</v>
      </c>
    </row>
    <row r="1844">
      <c r="A1844" s="15" t="s">
        <v>11</v>
      </c>
      <c r="B1844" s="16" t="s">
        <v>66</v>
      </c>
      <c r="C1844" s="17" t="s">
        <v>67</v>
      </c>
      <c r="D1844" s="18">
        <v>3.0</v>
      </c>
      <c r="E1844" s="17" t="s">
        <v>22</v>
      </c>
      <c r="F1844" s="15"/>
      <c r="G1844" s="19">
        <v>9.00422E7</v>
      </c>
      <c r="H1844" s="15" t="s">
        <v>73</v>
      </c>
      <c r="I1844" s="20" t="s">
        <v>60</v>
      </c>
      <c r="J1844" s="21">
        <v>4.8415133E7</v>
      </c>
      <c r="K1844" s="21">
        <v>0.0</v>
      </c>
    </row>
    <row r="1845">
      <c r="A1845" s="15" t="s">
        <v>11</v>
      </c>
      <c r="B1845" s="16" t="s">
        <v>66</v>
      </c>
      <c r="C1845" s="17" t="s">
        <v>67</v>
      </c>
      <c r="D1845" s="18">
        <v>3.0</v>
      </c>
      <c r="E1845" s="17" t="s">
        <v>22</v>
      </c>
      <c r="F1845" s="15"/>
      <c r="G1845" s="19">
        <v>9.0042223E7</v>
      </c>
      <c r="H1845" s="15" t="s">
        <v>61</v>
      </c>
      <c r="I1845" s="20" t="s">
        <v>60</v>
      </c>
      <c r="J1845" s="21">
        <v>4116793.0</v>
      </c>
      <c r="K1845" s="21">
        <v>0.0</v>
      </c>
    </row>
    <row r="1846">
      <c r="A1846" s="15" t="s">
        <v>11</v>
      </c>
      <c r="B1846" s="16" t="s">
        <v>66</v>
      </c>
      <c r="C1846" s="17" t="s">
        <v>67</v>
      </c>
      <c r="D1846" s="18">
        <v>3.0</v>
      </c>
      <c r="E1846" s="17" t="s">
        <v>22</v>
      </c>
      <c r="F1846" s="15"/>
      <c r="G1846" s="19">
        <v>9.0042224E7</v>
      </c>
      <c r="H1846" s="15" t="s">
        <v>62</v>
      </c>
      <c r="I1846" s="20" t="s">
        <v>60</v>
      </c>
      <c r="J1846" s="21">
        <v>649061.0</v>
      </c>
      <c r="K1846" s="21">
        <v>0.0</v>
      </c>
    </row>
    <row r="1847">
      <c r="A1847" s="15" t="s">
        <v>11</v>
      </c>
      <c r="B1847" s="16" t="s">
        <v>66</v>
      </c>
      <c r="C1847" s="17" t="s">
        <v>67</v>
      </c>
      <c r="D1847" s="18">
        <v>3.0</v>
      </c>
      <c r="E1847" s="17" t="s">
        <v>22</v>
      </c>
      <c r="F1847" s="15"/>
      <c r="G1847" s="19">
        <v>9.0042226E7</v>
      </c>
      <c r="H1847" s="15" t="s">
        <v>63</v>
      </c>
      <c r="I1847" s="20" t="s">
        <v>60</v>
      </c>
      <c r="J1847" s="21">
        <v>18307.0</v>
      </c>
      <c r="K1847" s="21">
        <v>0.0</v>
      </c>
    </row>
    <row r="1848">
      <c r="A1848" s="15" t="s">
        <v>11</v>
      </c>
      <c r="B1848" s="16" t="s">
        <v>66</v>
      </c>
      <c r="C1848" s="17" t="s">
        <v>67</v>
      </c>
      <c r="D1848" s="18">
        <v>3.0</v>
      </c>
      <c r="E1848" s="17" t="s">
        <v>22</v>
      </c>
      <c r="F1848" s="15"/>
      <c r="G1848" s="19">
        <v>9.0042228E7</v>
      </c>
      <c r="H1848" s="15" t="s">
        <v>64</v>
      </c>
      <c r="I1848" s="20" t="s">
        <v>60</v>
      </c>
      <c r="J1848" s="21">
        <v>9442727.0</v>
      </c>
      <c r="K1848" s="21">
        <v>0.0</v>
      </c>
    </row>
    <row r="1849">
      <c r="A1849" s="15" t="s">
        <v>11</v>
      </c>
      <c r="B1849" s="16" t="s">
        <v>66</v>
      </c>
      <c r="C1849" s="17" t="s">
        <v>67</v>
      </c>
      <c r="D1849" s="18">
        <v>3.0</v>
      </c>
      <c r="E1849" s="17" t="s">
        <v>22</v>
      </c>
      <c r="F1849" s="15"/>
      <c r="G1849" s="19">
        <v>9.0042231E7</v>
      </c>
      <c r="H1849" s="15" t="s">
        <v>65</v>
      </c>
      <c r="I1849" s="20" t="s">
        <v>60</v>
      </c>
      <c r="J1849" s="21">
        <v>8247264.0</v>
      </c>
      <c r="K1849" s="21">
        <v>0.0</v>
      </c>
    </row>
    <row r="1850">
      <c r="A1850" s="15" t="s">
        <v>74</v>
      </c>
      <c r="B1850" s="16" t="s">
        <v>75</v>
      </c>
      <c r="C1850" s="17" t="s">
        <v>76</v>
      </c>
      <c r="D1850" s="18">
        <v>3.0</v>
      </c>
      <c r="E1850" s="17" t="s">
        <v>222</v>
      </c>
      <c r="F1850" s="15" t="s">
        <v>223</v>
      </c>
      <c r="G1850" s="19">
        <v>9.0043002E7</v>
      </c>
      <c r="H1850" s="15" t="s">
        <v>49</v>
      </c>
      <c r="I1850" s="20" t="s">
        <v>50</v>
      </c>
      <c r="J1850" s="21">
        <v>2648193.0</v>
      </c>
      <c r="K1850" s="21">
        <v>138.0</v>
      </c>
    </row>
    <row r="1851">
      <c r="A1851" s="15" t="s">
        <v>74</v>
      </c>
      <c r="B1851" s="16" t="s">
        <v>75</v>
      </c>
      <c r="C1851" s="17" t="s">
        <v>76</v>
      </c>
      <c r="D1851" s="18">
        <v>3.0</v>
      </c>
      <c r="E1851" s="17" t="s">
        <v>81</v>
      </c>
      <c r="F1851" s="15" t="s">
        <v>82</v>
      </c>
      <c r="G1851" s="19">
        <v>9.0043001E7</v>
      </c>
      <c r="H1851" s="15" t="s">
        <v>18</v>
      </c>
      <c r="I1851" s="20" t="s">
        <v>19</v>
      </c>
      <c r="J1851" s="21">
        <v>8.3066316E7</v>
      </c>
      <c r="K1851" s="21">
        <v>557.0</v>
      </c>
    </row>
    <row r="1852">
      <c r="A1852" s="15" t="s">
        <v>74</v>
      </c>
      <c r="B1852" s="16" t="s">
        <v>75</v>
      </c>
      <c r="C1852" s="17" t="s">
        <v>76</v>
      </c>
      <c r="D1852" s="18">
        <v>3.0</v>
      </c>
      <c r="E1852" s="17" t="s">
        <v>81</v>
      </c>
      <c r="F1852" s="15" t="s">
        <v>82</v>
      </c>
      <c r="G1852" s="19">
        <v>9.0043E7</v>
      </c>
      <c r="H1852" s="15" t="s">
        <v>83</v>
      </c>
      <c r="I1852" s="20" t="s">
        <v>19</v>
      </c>
      <c r="J1852" s="21">
        <v>3667720.0</v>
      </c>
      <c r="K1852" s="21">
        <v>25.0</v>
      </c>
    </row>
    <row r="1853">
      <c r="A1853" s="15" t="s">
        <v>74</v>
      </c>
      <c r="B1853" s="16" t="s">
        <v>75</v>
      </c>
      <c r="C1853" s="17" t="s">
        <v>76</v>
      </c>
      <c r="D1853" s="18">
        <v>3.0</v>
      </c>
      <c r="E1853" s="17" t="s">
        <v>84</v>
      </c>
      <c r="F1853" s="15" t="s">
        <v>85</v>
      </c>
      <c r="G1853" s="19">
        <v>9.0043001E7</v>
      </c>
      <c r="H1853" s="15" t="s">
        <v>18</v>
      </c>
      <c r="I1853" s="20" t="s">
        <v>19</v>
      </c>
      <c r="J1853" s="21">
        <v>1.002949E7</v>
      </c>
      <c r="K1853" s="21">
        <v>65.0</v>
      </c>
    </row>
    <row r="1854">
      <c r="A1854" s="15" t="s">
        <v>74</v>
      </c>
      <c r="B1854" s="16" t="s">
        <v>75</v>
      </c>
      <c r="C1854" s="17" t="s">
        <v>76</v>
      </c>
      <c r="D1854" s="18">
        <v>3.0</v>
      </c>
      <c r="E1854" s="17" t="s">
        <v>88</v>
      </c>
      <c r="F1854" s="15" t="s">
        <v>89</v>
      </c>
      <c r="G1854" s="19">
        <v>9.0043003E7</v>
      </c>
      <c r="H1854" s="15" t="s">
        <v>90</v>
      </c>
      <c r="I1854" s="20" t="s">
        <v>50</v>
      </c>
      <c r="J1854" s="21">
        <v>1.973498E7</v>
      </c>
      <c r="K1854" s="21">
        <v>32.99</v>
      </c>
    </row>
    <row r="1855">
      <c r="A1855" s="15" t="s">
        <v>74</v>
      </c>
      <c r="B1855" s="16" t="s">
        <v>75</v>
      </c>
      <c r="C1855" s="17" t="s">
        <v>76</v>
      </c>
      <c r="D1855" s="18">
        <v>3.0</v>
      </c>
      <c r="E1855" s="17" t="s">
        <v>224</v>
      </c>
      <c r="F1855" s="15" t="s">
        <v>225</v>
      </c>
      <c r="G1855" s="19">
        <v>5.1100774E7</v>
      </c>
      <c r="H1855" s="15" t="s">
        <v>39</v>
      </c>
      <c r="I1855" s="20" t="s">
        <v>25</v>
      </c>
      <c r="J1855" s="21">
        <v>3.0</v>
      </c>
      <c r="K1855" s="21">
        <v>0.0</v>
      </c>
    </row>
    <row r="1856">
      <c r="A1856" s="15" t="s">
        <v>74</v>
      </c>
      <c r="B1856" s="16" t="s">
        <v>75</v>
      </c>
      <c r="C1856" s="17" t="s">
        <v>76</v>
      </c>
      <c r="D1856" s="18">
        <v>3.0</v>
      </c>
      <c r="E1856" s="17" t="s">
        <v>91</v>
      </c>
      <c r="F1856" s="15" t="s">
        <v>92</v>
      </c>
      <c r="G1856" s="19">
        <v>9.0043001E7</v>
      </c>
      <c r="H1856" s="15" t="s">
        <v>18</v>
      </c>
      <c r="I1856" s="20" t="s">
        <v>19</v>
      </c>
      <c r="J1856" s="21">
        <v>3.781326E7</v>
      </c>
      <c r="K1856" s="21">
        <v>246.0</v>
      </c>
    </row>
    <row r="1857">
      <c r="A1857" s="15" t="s">
        <v>74</v>
      </c>
      <c r="B1857" s="16" t="s">
        <v>75</v>
      </c>
      <c r="C1857" s="17" t="s">
        <v>76</v>
      </c>
      <c r="D1857" s="18">
        <v>3.0</v>
      </c>
      <c r="E1857" s="17" t="s">
        <v>91</v>
      </c>
      <c r="F1857" s="15" t="s">
        <v>92</v>
      </c>
      <c r="G1857" s="19">
        <v>9.0043E7</v>
      </c>
      <c r="H1857" s="15" t="s">
        <v>83</v>
      </c>
      <c r="I1857" s="20" t="s">
        <v>19</v>
      </c>
      <c r="J1857" s="21">
        <v>1302651.0</v>
      </c>
      <c r="K1857" s="21">
        <v>9.0</v>
      </c>
    </row>
    <row r="1858">
      <c r="A1858" s="15" t="s">
        <v>74</v>
      </c>
      <c r="B1858" s="16" t="s">
        <v>75</v>
      </c>
      <c r="C1858" s="17" t="s">
        <v>76</v>
      </c>
      <c r="D1858" s="18">
        <v>3.0</v>
      </c>
      <c r="E1858" s="17" t="s">
        <v>93</v>
      </c>
      <c r="F1858" s="15" t="s">
        <v>94</v>
      </c>
      <c r="G1858" s="19">
        <v>5.1100651E7</v>
      </c>
      <c r="H1858" s="15" t="s">
        <v>38</v>
      </c>
      <c r="I1858" s="20" t="s">
        <v>25</v>
      </c>
      <c r="J1858" s="21">
        <v>0.0</v>
      </c>
      <c r="K1858" s="21">
        <v>0.0</v>
      </c>
    </row>
    <row r="1859">
      <c r="A1859" s="15" t="s">
        <v>74</v>
      </c>
      <c r="B1859" s="16" t="s">
        <v>75</v>
      </c>
      <c r="C1859" s="17" t="s">
        <v>76</v>
      </c>
      <c r="D1859" s="18">
        <v>3.0</v>
      </c>
      <c r="E1859" s="17" t="s">
        <v>93</v>
      </c>
      <c r="F1859" s="15" t="s">
        <v>94</v>
      </c>
      <c r="G1859" s="19">
        <v>9.0043001E7</v>
      </c>
      <c r="H1859" s="15" t="s">
        <v>18</v>
      </c>
      <c r="I1859" s="20" t="s">
        <v>19</v>
      </c>
      <c r="J1859" s="21">
        <v>3265922.0</v>
      </c>
      <c r="K1859" s="21">
        <v>22.0</v>
      </c>
    </row>
    <row r="1860">
      <c r="A1860" s="15" t="s">
        <v>74</v>
      </c>
      <c r="B1860" s="16" t="s">
        <v>75</v>
      </c>
      <c r="C1860" s="17" t="s">
        <v>76</v>
      </c>
      <c r="D1860" s="18">
        <v>3.0</v>
      </c>
      <c r="E1860" s="17" t="s">
        <v>93</v>
      </c>
      <c r="F1860" s="15" t="s">
        <v>94</v>
      </c>
      <c r="G1860" s="19">
        <v>5.1100774E7</v>
      </c>
      <c r="H1860" s="15" t="s">
        <v>39</v>
      </c>
      <c r="I1860" s="20" t="s">
        <v>17</v>
      </c>
      <c r="J1860" s="21">
        <v>8.5078467E7</v>
      </c>
      <c r="K1860" s="21">
        <v>24639.0</v>
      </c>
    </row>
    <row r="1861">
      <c r="A1861" s="15" t="s">
        <v>74</v>
      </c>
      <c r="B1861" s="16" t="s">
        <v>75</v>
      </c>
      <c r="C1861" s="17" t="s">
        <v>76</v>
      </c>
      <c r="D1861" s="18">
        <v>3.0</v>
      </c>
      <c r="E1861" s="17" t="s">
        <v>156</v>
      </c>
      <c r="F1861" s="15" t="s">
        <v>157</v>
      </c>
      <c r="G1861" s="19">
        <v>9.0043001E7</v>
      </c>
      <c r="H1861" s="15" t="s">
        <v>18</v>
      </c>
      <c r="I1861" s="20" t="s">
        <v>19</v>
      </c>
      <c r="J1861" s="21">
        <v>5365334.0</v>
      </c>
      <c r="K1861" s="21">
        <v>38.0</v>
      </c>
    </row>
    <row r="1862">
      <c r="A1862" s="15" t="s">
        <v>74</v>
      </c>
      <c r="B1862" s="16" t="s">
        <v>75</v>
      </c>
      <c r="C1862" s="17" t="s">
        <v>76</v>
      </c>
      <c r="D1862" s="18">
        <v>3.0</v>
      </c>
      <c r="E1862" s="17" t="s">
        <v>95</v>
      </c>
      <c r="F1862" s="15" t="s">
        <v>96</v>
      </c>
      <c r="G1862" s="19">
        <v>5.1100058E7</v>
      </c>
      <c r="H1862" s="15" t="s">
        <v>36</v>
      </c>
      <c r="I1862" s="20" t="s">
        <v>37</v>
      </c>
      <c r="J1862" s="21">
        <v>5082910.0</v>
      </c>
      <c r="K1862" s="21">
        <v>73.89</v>
      </c>
    </row>
    <row r="1863">
      <c r="A1863" s="15" t="s">
        <v>74</v>
      </c>
      <c r="B1863" s="16" t="s">
        <v>75</v>
      </c>
      <c r="C1863" s="17" t="s">
        <v>76</v>
      </c>
      <c r="D1863" s="18">
        <v>3.0</v>
      </c>
      <c r="E1863" s="17" t="s">
        <v>95</v>
      </c>
      <c r="F1863" s="15" t="s">
        <v>96</v>
      </c>
      <c r="G1863" s="19">
        <v>5.1100651E7</v>
      </c>
      <c r="H1863" s="15" t="s">
        <v>38</v>
      </c>
      <c r="I1863" s="20" t="s">
        <v>25</v>
      </c>
      <c r="J1863" s="21">
        <v>0.0</v>
      </c>
      <c r="K1863" s="21">
        <v>0.0</v>
      </c>
    </row>
    <row r="1864">
      <c r="A1864" s="15" t="s">
        <v>74</v>
      </c>
      <c r="B1864" s="16" t="s">
        <v>75</v>
      </c>
      <c r="C1864" s="17" t="s">
        <v>76</v>
      </c>
      <c r="D1864" s="18">
        <v>3.0</v>
      </c>
      <c r="E1864" s="17" t="s">
        <v>95</v>
      </c>
      <c r="F1864" s="15" t="s">
        <v>96</v>
      </c>
      <c r="G1864" s="19">
        <v>9.0043001E7</v>
      </c>
      <c r="H1864" s="15" t="s">
        <v>18</v>
      </c>
      <c r="I1864" s="20" t="s">
        <v>19</v>
      </c>
      <c r="J1864" s="21">
        <v>1694316.0</v>
      </c>
      <c r="K1864" s="21">
        <v>12.0</v>
      </c>
    </row>
    <row r="1865">
      <c r="A1865" s="15" t="s">
        <v>74</v>
      </c>
      <c r="B1865" s="16" t="s">
        <v>75</v>
      </c>
      <c r="C1865" s="17" t="s">
        <v>76</v>
      </c>
      <c r="D1865" s="18">
        <v>3.0</v>
      </c>
      <c r="E1865" s="17" t="s">
        <v>95</v>
      </c>
      <c r="F1865" s="15" t="s">
        <v>96</v>
      </c>
      <c r="G1865" s="19">
        <v>5.1100774E7</v>
      </c>
      <c r="H1865" s="15" t="s">
        <v>39</v>
      </c>
      <c r="I1865" s="20" t="s">
        <v>17</v>
      </c>
      <c r="J1865" s="21">
        <v>2.9515796E7</v>
      </c>
      <c r="K1865" s="21">
        <v>530.478</v>
      </c>
    </row>
    <row r="1866">
      <c r="A1866" s="15" t="s">
        <v>74</v>
      </c>
      <c r="B1866" s="16" t="s">
        <v>75</v>
      </c>
      <c r="C1866" s="17" t="s">
        <v>76</v>
      </c>
      <c r="D1866" s="18">
        <v>3.0</v>
      </c>
      <c r="E1866" s="17" t="s">
        <v>97</v>
      </c>
      <c r="F1866" s="15" t="s">
        <v>98</v>
      </c>
      <c r="G1866" s="19">
        <v>9.0043001E7</v>
      </c>
      <c r="H1866" s="15" t="s">
        <v>18</v>
      </c>
      <c r="I1866" s="20" t="s">
        <v>19</v>
      </c>
      <c r="J1866" s="21">
        <v>2743524.0</v>
      </c>
      <c r="K1866" s="21">
        <v>19.0</v>
      </c>
    </row>
    <row r="1867">
      <c r="A1867" s="15" t="s">
        <v>74</v>
      </c>
      <c r="B1867" s="16" t="s">
        <v>75</v>
      </c>
      <c r="C1867" s="17" t="s">
        <v>76</v>
      </c>
      <c r="D1867" s="18">
        <v>3.0</v>
      </c>
      <c r="E1867" s="17" t="s">
        <v>99</v>
      </c>
      <c r="F1867" s="15" t="s">
        <v>100</v>
      </c>
      <c r="G1867" s="19">
        <v>9.0043001E7</v>
      </c>
      <c r="H1867" s="15" t="s">
        <v>18</v>
      </c>
      <c r="I1867" s="20" t="s">
        <v>19</v>
      </c>
      <c r="J1867" s="21">
        <v>2743524.0</v>
      </c>
      <c r="K1867" s="21">
        <v>19.0</v>
      </c>
    </row>
    <row r="1868">
      <c r="A1868" s="15" t="s">
        <v>74</v>
      </c>
      <c r="B1868" s="16" t="s">
        <v>75</v>
      </c>
      <c r="C1868" s="17" t="s">
        <v>76</v>
      </c>
      <c r="D1868" s="18">
        <v>3.0</v>
      </c>
      <c r="E1868" s="17" t="s">
        <v>101</v>
      </c>
      <c r="F1868" s="15" t="s">
        <v>102</v>
      </c>
      <c r="G1868" s="19">
        <v>9.0043001E7</v>
      </c>
      <c r="H1868" s="15" t="s">
        <v>18</v>
      </c>
      <c r="I1868" s="20" t="s">
        <v>19</v>
      </c>
      <c r="J1868" s="21">
        <v>8.0149336E7</v>
      </c>
      <c r="K1868" s="21">
        <v>520.0</v>
      </c>
    </row>
    <row r="1869">
      <c r="A1869" s="15" t="s">
        <v>74</v>
      </c>
      <c r="B1869" s="16" t="s">
        <v>75</v>
      </c>
      <c r="C1869" s="17" t="s">
        <v>76</v>
      </c>
      <c r="D1869" s="18">
        <v>3.0</v>
      </c>
      <c r="E1869" s="17" t="s">
        <v>103</v>
      </c>
      <c r="F1869" s="15" t="s">
        <v>104</v>
      </c>
      <c r="G1869" s="19">
        <v>5.1100058E7</v>
      </c>
      <c r="H1869" s="15" t="s">
        <v>36</v>
      </c>
      <c r="I1869" s="20" t="s">
        <v>37</v>
      </c>
      <c r="J1869" s="21">
        <v>1.9023974E7</v>
      </c>
      <c r="K1869" s="21">
        <v>254.94</v>
      </c>
    </row>
    <row r="1870">
      <c r="A1870" s="15" t="s">
        <v>74</v>
      </c>
      <c r="B1870" s="16" t="s">
        <v>75</v>
      </c>
      <c r="C1870" s="17" t="s">
        <v>76</v>
      </c>
      <c r="D1870" s="18">
        <v>3.0</v>
      </c>
      <c r="E1870" s="17" t="s">
        <v>103</v>
      </c>
      <c r="F1870" s="15" t="s">
        <v>104</v>
      </c>
      <c r="G1870" s="19">
        <v>5.1100651E7</v>
      </c>
      <c r="H1870" s="15" t="s">
        <v>38</v>
      </c>
      <c r="I1870" s="20" t="s">
        <v>25</v>
      </c>
      <c r="J1870" s="21">
        <v>0.0</v>
      </c>
      <c r="K1870" s="21">
        <v>0.0</v>
      </c>
    </row>
    <row r="1871">
      <c r="A1871" s="15" t="s">
        <v>74</v>
      </c>
      <c r="B1871" s="16" t="s">
        <v>75</v>
      </c>
      <c r="C1871" s="17" t="s">
        <v>76</v>
      </c>
      <c r="D1871" s="18">
        <v>3.0</v>
      </c>
      <c r="E1871" s="17" t="s">
        <v>103</v>
      </c>
      <c r="F1871" s="15" t="s">
        <v>104</v>
      </c>
      <c r="G1871" s="19">
        <v>9.0043001E7</v>
      </c>
      <c r="H1871" s="15" t="s">
        <v>18</v>
      </c>
      <c r="I1871" s="20" t="s">
        <v>19</v>
      </c>
      <c r="J1871" s="21">
        <v>2.5472121E7</v>
      </c>
      <c r="K1871" s="21">
        <v>171.0</v>
      </c>
    </row>
    <row r="1872">
      <c r="A1872" s="15" t="s">
        <v>74</v>
      </c>
      <c r="B1872" s="16" t="s">
        <v>75</v>
      </c>
      <c r="C1872" s="17" t="s">
        <v>76</v>
      </c>
      <c r="D1872" s="18">
        <v>3.0</v>
      </c>
      <c r="E1872" s="17" t="s">
        <v>103</v>
      </c>
      <c r="F1872" s="15" t="s">
        <v>104</v>
      </c>
      <c r="G1872" s="19">
        <v>5.1100774E7</v>
      </c>
      <c r="H1872" s="15" t="s">
        <v>39</v>
      </c>
      <c r="I1872" s="20" t="s">
        <v>17</v>
      </c>
      <c r="J1872" s="21">
        <v>1.5906418E7</v>
      </c>
      <c r="K1872" s="21">
        <v>107.15</v>
      </c>
    </row>
    <row r="1873">
      <c r="A1873" s="15" t="s">
        <v>74</v>
      </c>
      <c r="B1873" s="16" t="s">
        <v>75</v>
      </c>
      <c r="C1873" s="17" t="s">
        <v>76</v>
      </c>
      <c r="D1873" s="18">
        <v>3.0</v>
      </c>
      <c r="E1873" s="17" t="s">
        <v>205</v>
      </c>
      <c r="F1873" s="15" t="s">
        <v>206</v>
      </c>
      <c r="G1873" s="19">
        <v>9.0043001E7</v>
      </c>
      <c r="H1873" s="15" t="s">
        <v>18</v>
      </c>
      <c r="I1873" s="20" t="s">
        <v>19</v>
      </c>
      <c r="J1873" s="21">
        <v>149099.0</v>
      </c>
      <c r="K1873" s="21">
        <v>1.0</v>
      </c>
    </row>
    <row r="1874">
      <c r="A1874" s="15" t="s">
        <v>74</v>
      </c>
      <c r="B1874" s="16" t="s">
        <v>75</v>
      </c>
      <c r="C1874" s="17" t="s">
        <v>76</v>
      </c>
      <c r="D1874" s="18">
        <v>3.0</v>
      </c>
      <c r="E1874" s="17" t="s">
        <v>108</v>
      </c>
      <c r="F1874" s="15" t="s">
        <v>109</v>
      </c>
      <c r="G1874" s="19">
        <v>5.1100058E7</v>
      </c>
      <c r="H1874" s="15" t="s">
        <v>36</v>
      </c>
      <c r="I1874" s="20" t="s">
        <v>37</v>
      </c>
      <c r="J1874" s="21">
        <v>1.673565E7</v>
      </c>
      <c r="K1874" s="21">
        <v>170.0</v>
      </c>
    </row>
    <row r="1875">
      <c r="A1875" s="15" t="s">
        <v>74</v>
      </c>
      <c r="B1875" s="16" t="s">
        <v>75</v>
      </c>
      <c r="C1875" s="17" t="s">
        <v>76</v>
      </c>
      <c r="D1875" s="18">
        <v>3.0</v>
      </c>
      <c r="E1875" s="17" t="s">
        <v>108</v>
      </c>
      <c r="F1875" s="15" t="s">
        <v>109</v>
      </c>
      <c r="G1875" s="19">
        <v>9.0043001E7</v>
      </c>
      <c r="H1875" s="15" t="s">
        <v>18</v>
      </c>
      <c r="I1875" s="20" t="s">
        <v>19</v>
      </c>
      <c r="J1875" s="21">
        <v>8353856.0</v>
      </c>
      <c r="K1875" s="21">
        <v>56.0</v>
      </c>
    </row>
    <row r="1876">
      <c r="A1876" s="15" t="s">
        <v>74</v>
      </c>
      <c r="B1876" s="16" t="s">
        <v>75</v>
      </c>
      <c r="C1876" s="17" t="s">
        <v>76</v>
      </c>
      <c r="D1876" s="18">
        <v>3.0</v>
      </c>
      <c r="E1876" s="17" t="s">
        <v>207</v>
      </c>
      <c r="F1876" s="15" t="s">
        <v>208</v>
      </c>
      <c r="G1876" s="19">
        <v>9.0043001E7</v>
      </c>
      <c r="H1876" s="15" t="s">
        <v>18</v>
      </c>
      <c r="I1876" s="20" t="s">
        <v>19</v>
      </c>
      <c r="J1876" s="21">
        <v>1484510.0</v>
      </c>
      <c r="K1876" s="21">
        <v>10.0</v>
      </c>
    </row>
    <row r="1877">
      <c r="A1877" s="15" t="s">
        <v>74</v>
      </c>
      <c r="B1877" s="16" t="s">
        <v>75</v>
      </c>
      <c r="C1877" s="17" t="s">
        <v>76</v>
      </c>
      <c r="D1877" s="18">
        <v>3.0</v>
      </c>
      <c r="E1877" s="17" t="s">
        <v>115</v>
      </c>
      <c r="F1877" s="15" t="s">
        <v>116</v>
      </c>
      <c r="G1877" s="19">
        <v>5.1100774E7</v>
      </c>
      <c r="H1877" s="15" t="s">
        <v>39</v>
      </c>
      <c r="I1877" s="20" t="s">
        <v>17</v>
      </c>
      <c r="J1877" s="21">
        <v>4.5341583E7</v>
      </c>
      <c r="K1877" s="21">
        <v>1112950.0</v>
      </c>
    </row>
    <row r="1878">
      <c r="A1878" s="15" t="s">
        <v>74</v>
      </c>
      <c r="B1878" s="16" t="s">
        <v>75</v>
      </c>
      <c r="C1878" s="17" t="s">
        <v>76</v>
      </c>
      <c r="D1878" s="18">
        <v>3.0</v>
      </c>
      <c r="E1878" s="17" t="s">
        <v>117</v>
      </c>
      <c r="F1878" s="15" t="s">
        <v>118</v>
      </c>
      <c r="G1878" s="19">
        <v>5.1100058E7</v>
      </c>
      <c r="H1878" s="15" t="s">
        <v>36</v>
      </c>
      <c r="I1878" s="20" t="s">
        <v>37</v>
      </c>
      <c r="J1878" s="21">
        <v>2.09958845E8</v>
      </c>
      <c r="K1878" s="21">
        <v>153283.0</v>
      </c>
    </row>
    <row r="1879">
      <c r="A1879" s="15" t="s">
        <v>74</v>
      </c>
      <c r="B1879" s="16" t="s">
        <v>75</v>
      </c>
      <c r="C1879" s="17" t="s">
        <v>76</v>
      </c>
      <c r="D1879" s="18">
        <v>3.0</v>
      </c>
      <c r="E1879" s="17" t="s">
        <v>117</v>
      </c>
      <c r="F1879" s="15" t="s">
        <v>118</v>
      </c>
      <c r="G1879" s="19">
        <v>5.1100651E7</v>
      </c>
      <c r="H1879" s="15" t="s">
        <v>38</v>
      </c>
      <c r="I1879" s="20" t="s">
        <v>25</v>
      </c>
      <c r="J1879" s="21">
        <v>0.0</v>
      </c>
      <c r="K1879" s="21">
        <v>0.0</v>
      </c>
    </row>
    <row r="1880">
      <c r="A1880" s="15" t="s">
        <v>74</v>
      </c>
      <c r="B1880" s="16" t="s">
        <v>75</v>
      </c>
      <c r="C1880" s="17" t="s">
        <v>76</v>
      </c>
      <c r="D1880" s="18">
        <v>3.0</v>
      </c>
      <c r="E1880" s="17" t="s">
        <v>117</v>
      </c>
      <c r="F1880" s="15" t="s">
        <v>118</v>
      </c>
      <c r="G1880" s="19">
        <v>9.0043001E7</v>
      </c>
      <c r="H1880" s="15" t="s">
        <v>18</v>
      </c>
      <c r="I1880" s="20" t="s">
        <v>19</v>
      </c>
      <c r="J1880" s="21">
        <v>5.7137985E7</v>
      </c>
      <c r="K1880" s="21">
        <v>384.0</v>
      </c>
    </row>
    <row r="1881">
      <c r="A1881" s="15" t="s">
        <v>74</v>
      </c>
      <c r="B1881" s="16" t="s">
        <v>75</v>
      </c>
      <c r="C1881" s="17" t="s">
        <v>76</v>
      </c>
      <c r="D1881" s="18">
        <v>3.0</v>
      </c>
      <c r="E1881" s="17" t="s">
        <v>117</v>
      </c>
      <c r="F1881" s="15" t="s">
        <v>118</v>
      </c>
      <c r="G1881" s="19">
        <v>5.1100774E7</v>
      </c>
      <c r="H1881" s="15" t="s">
        <v>39</v>
      </c>
      <c r="I1881" s="20" t="s">
        <v>17</v>
      </c>
      <c r="J1881" s="21">
        <v>4.2630255E7</v>
      </c>
      <c r="K1881" s="21">
        <v>766.18</v>
      </c>
    </row>
    <row r="1882">
      <c r="A1882" s="15" t="s">
        <v>74</v>
      </c>
      <c r="B1882" s="16" t="s">
        <v>75</v>
      </c>
      <c r="C1882" s="17" t="s">
        <v>76</v>
      </c>
      <c r="D1882" s="18">
        <v>3.0</v>
      </c>
      <c r="E1882" s="17" t="s">
        <v>263</v>
      </c>
      <c r="F1882" s="15" t="s">
        <v>264</v>
      </c>
      <c r="G1882" s="19">
        <v>9.0043001E7</v>
      </c>
      <c r="H1882" s="15" t="s">
        <v>18</v>
      </c>
      <c r="I1882" s="20" t="s">
        <v>19</v>
      </c>
      <c r="J1882" s="21">
        <v>1.0889848E7</v>
      </c>
      <c r="K1882" s="21">
        <v>73.0</v>
      </c>
    </row>
    <row r="1883">
      <c r="A1883" s="15" t="s">
        <v>74</v>
      </c>
      <c r="B1883" s="16" t="s">
        <v>75</v>
      </c>
      <c r="C1883" s="17" t="s">
        <v>76</v>
      </c>
      <c r="D1883" s="18">
        <v>3.0</v>
      </c>
      <c r="E1883" s="17" t="s">
        <v>119</v>
      </c>
      <c r="F1883" s="15" t="s">
        <v>120</v>
      </c>
      <c r="G1883" s="19">
        <v>5.1100774E7</v>
      </c>
      <c r="H1883" s="15" t="s">
        <v>39</v>
      </c>
      <c r="I1883" s="20" t="s">
        <v>17</v>
      </c>
      <c r="J1883" s="21">
        <v>3.4926259E7</v>
      </c>
      <c r="K1883" s="21">
        <v>31.36</v>
      </c>
    </row>
    <row r="1884">
      <c r="A1884" s="15" t="s">
        <v>74</v>
      </c>
      <c r="B1884" s="16" t="s">
        <v>75</v>
      </c>
      <c r="C1884" s="17" t="s">
        <v>76</v>
      </c>
      <c r="D1884" s="18">
        <v>3.0</v>
      </c>
      <c r="E1884" s="17" t="s">
        <v>121</v>
      </c>
      <c r="F1884" s="15" t="s">
        <v>122</v>
      </c>
      <c r="G1884" s="19">
        <v>9.0043002E7</v>
      </c>
      <c r="H1884" s="15" t="s">
        <v>49</v>
      </c>
      <c r="I1884" s="20" t="s">
        <v>50</v>
      </c>
      <c r="J1884" s="21">
        <v>2.0511618E7</v>
      </c>
      <c r="K1884" s="21">
        <v>1080.0</v>
      </c>
    </row>
    <row r="1885">
      <c r="A1885" s="15" t="s">
        <v>74</v>
      </c>
      <c r="B1885" s="16" t="s">
        <v>75</v>
      </c>
      <c r="C1885" s="17" t="s">
        <v>76</v>
      </c>
      <c r="D1885" s="18">
        <v>3.0</v>
      </c>
      <c r="E1885" s="17" t="s">
        <v>123</v>
      </c>
      <c r="F1885" s="15" t="s">
        <v>124</v>
      </c>
      <c r="G1885" s="19">
        <v>9.0043001E7</v>
      </c>
      <c r="H1885" s="15" t="s">
        <v>18</v>
      </c>
      <c r="I1885" s="20" t="s">
        <v>19</v>
      </c>
      <c r="J1885" s="21">
        <v>2983520.0</v>
      </c>
      <c r="K1885" s="21">
        <v>20.0</v>
      </c>
    </row>
    <row r="1886">
      <c r="A1886" s="15" t="s">
        <v>74</v>
      </c>
      <c r="B1886" s="16" t="s">
        <v>75</v>
      </c>
      <c r="C1886" s="17" t="s">
        <v>76</v>
      </c>
      <c r="D1886" s="18">
        <v>3.0</v>
      </c>
      <c r="E1886" s="17" t="s">
        <v>125</v>
      </c>
      <c r="F1886" s="15" t="s">
        <v>126</v>
      </c>
      <c r="G1886" s="19">
        <v>5.1101056E7</v>
      </c>
      <c r="H1886" s="15" t="s">
        <v>16</v>
      </c>
      <c r="I1886" s="20" t="s">
        <v>17</v>
      </c>
      <c r="J1886" s="21">
        <v>5.5787793E7</v>
      </c>
      <c r="K1886" s="21">
        <v>557877.93</v>
      </c>
    </row>
    <row r="1887">
      <c r="A1887" s="15" t="s">
        <v>74</v>
      </c>
      <c r="B1887" s="16" t="s">
        <v>75</v>
      </c>
      <c r="C1887" s="17" t="s">
        <v>76</v>
      </c>
      <c r="D1887" s="18">
        <v>3.0</v>
      </c>
      <c r="E1887" s="17" t="s">
        <v>125</v>
      </c>
      <c r="F1887" s="15" t="s">
        <v>126</v>
      </c>
      <c r="G1887" s="19">
        <v>9.0043001E7</v>
      </c>
      <c r="H1887" s="15" t="s">
        <v>18</v>
      </c>
      <c r="I1887" s="20" t="s">
        <v>19</v>
      </c>
      <c r="J1887" s="21">
        <v>4.81748087E8</v>
      </c>
      <c r="K1887" s="21">
        <v>3306.0</v>
      </c>
    </row>
    <row r="1888">
      <c r="A1888" s="15" t="s">
        <v>74</v>
      </c>
      <c r="B1888" s="16" t="s">
        <v>75</v>
      </c>
      <c r="C1888" s="17" t="s">
        <v>76</v>
      </c>
      <c r="D1888" s="18">
        <v>3.0</v>
      </c>
      <c r="E1888" s="17" t="s">
        <v>125</v>
      </c>
      <c r="F1888" s="15" t="s">
        <v>126</v>
      </c>
      <c r="G1888" s="19">
        <v>9.0043E7</v>
      </c>
      <c r="H1888" s="15" t="s">
        <v>83</v>
      </c>
      <c r="I1888" s="20" t="s">
        <v>19</v>
      </c>
      <c r="J1888" s="21">
        <v>4077750.0</v>
      </c>
      <c r="K1888" s="21">
        <v>25.0</v>
      </c>
    </row>
    <row r="1889">
      <c r="A1889" s="15" t="s">
        <v>74</v>
      </c>
      <c r="B1889" s="16" t="s">
        <v>75</v>
      </c>
      <c r="C1889" s="17" t="s">
        <v>76</v>
      </c>
      <c r="D1889" s="18">
        <v>3.0</v>
      </c>
      <c r="E1889" s="17" t="s">
        <v>127</v>
      </c>
      <c r="F1889" s="15" t="s">
        <v>128</v>
      </c>
      <c r="G1889" s="19">
        <v>5.1100153E7</v>
      </c>
      <c r="H1889" s="15" t="s">
        <v>72</v>
      </c>
      <c r="I1889" s="20" t="s">
        <v>17</v>
      </c>
      <c r="J1889" s="21">
        <v>2.7144454E8</v>
      </c>
      <c r="K1889" s="21">
        <v>3106490.0</v>
      </c>
    </row>
    <row r="1890">
      <c r="A1890" s="15" t="s">
        <v>74</v>
      </c>
      <c r="B1890" s="16" t="s">
        <v>75</v>
      </c>
      <c r="C1890" s="17" t="s">
        <v>76</v>
      </c>
      <c r="D1890" s="18">
        <v>3.0</v>
      </c>
      <c r="E1890" s="17" t="s">
        <v>127</v>
      </c>
      <c r="F1890" s="15" t="s">
        <v>128</v>
      </c>
      <c r="G1890" s="19">
        <v>9.0043002E7</v>
      </c>
      <c r="H1890" s="15" t="s">
        <v>49</v>
      </c>
      <c r="I1890" s="20" t="s">
        <v>50</v>
      </c>
      <c r="J1890" s="21">
        <v>8.7757167E7</v>
      </c>
      <c r="K1890" s="21">
        <v>4638.0</v>
      </c>
    </row>
    <row r="1891">
      <c r="A1891" s="15" t="s">
        <v>74</v>
      </c>
      <c r="B1891" s="16" t="s">
        <v>75</v>
      </c>
      <c r="C1891" s="17" t="s">
        <v>76</v>
      </c>
      <c r="D1891" s="18">
        <v>3.0</v>
      </c>
      <c r="E1891" s="17" t="s">
        <v>129</v>
      </c>
      <c r="F1891" s="15" t="s">
        <v>130</v>
      </c>
      <c r="G1891" s="19">
        <v>5.1101056E7</v>
      </c>
      <c r="H1891" s="15" t="s">
        <v>16</v>
      </c>
      <c r="I1891" s="20" t="s">
        <v>17</v>
      </c>
      <c r="J1891" s="21">
        <v>8.885016E7</v>
      </c>
      <c r="K1891" s="21">
        <v>1269288.0</v>
      </c>
    </row>
    <row r="1892">
      <c r="A1892" s="15" t="s">
        <v>74</v>
      </c>
      <c r="B1892" s="16" t="s">
        <v>75</v>
      </c>
      <c r="C1892" s="17" t="s">
        <v>76</v>
      </c>
      <c r="D1892" s="18">
        <v>3.0</v>
      </c>
      <c r="E1892" s="17" t="s">
        <v>129</v>
      </c>
      <c r="F1892" s="15" t="s">
        <v>130</v>
      </c>
      <c r="G1892" s="19">
        <v>9.0043001E7</v>
      </c>
      <c r="H1892" s="15" t="s">
        <v>18</v>
      </c>
      <c r="I1892" s="20" t="s">
        <v>19</v>
      </c>
      <c r="J1892" s="21">
        <v>9990033.0</v>
      </c>
      <c r="K1892" s="21">
        <v>63.0</v>
      </c>
    </row>
    <row r="1893">
      <c r="A1893" s="15" t="s">
        <v>74</v>
      </c>
      <c r="B1893" s="16" t="s">
        <v>75</v>
      </c>
      <c r="C1893" s="17" t="s">
        <v>76</v>
      </c>
      <c r="D1893" s="18">
        <v>3.0</v>
      </c>
      <c r="E1893" s="17" t="s">
        <v>129</v>
      </c>
      <c r="F1893" s="15" t="s">
        <v>130</v>
      </c>
      <c r="G1893" s="19">
        <v>9.0043003E7</v>
      </c>
      <c r="H1893" s="15" t="s">
        <v>90</v>
      </c>
      <c r="I1893" s="20" t="s">
        <v>50</v>
      </c>
      <c r="J1893" s="21">
        <v>3.0497196E7</v>
      </c>
      <c r="K1893" s="21">
        <v>235.6</v>
      </c>
    </row>
    <row r="1894">
      <c r="A1894" s="15" t="s">
        <v>74</v>
      </c>
      <c r="B1894" s="16" t="s">
        <v>75</v>
      </c>
      <c r="C1894" s="17" t="s">
        <v>76</v>
      </c>
      <c r="D1894" s="18">
        <v>3.0</v>
      </c>
      <c r="E1894" s="17" t="s">
        <v>131</v>
      </c>
      <c r="F1894" s="15" t="s">
        <v>132</v>
      </c>
      <c r="G1894" s="19">
        <v>9.0043001E7</v>
      </c>
      <c r="H1894" s="15" t="s">
        <v>18</v>
      </c>
      <c r="I1894" s="20" t="s">
        <v>19</v>
      </c>
      <c r="J1894" s="21">
        <v>1.4806545E7</v>
      </c>
      <c r="K1894" s="21">
        <v>111.0</v>
      </c>
    </row>
    <row r="1895">
      <c r="A1895" s="15" t="s">
        <v>74</v>
      </c>
      <c r="B1895" s="16" t="s">
        <v>75</v>
      </c>
      <c r="C1895" s="17" t="s">
        <v>76</v>
      </c>
      <c r="D1895" s="18">
        <v>3.0</v>
      </c>
      <c r="E1895" s="17" t="s">
        <v>135</v>
      </c>
      <c r="F1895" s="15" t="s">
        <v>136</v>
      </c>
      <c r="G1895" s="19">
        <v>9.0043001E7</v>
      </c>
      <c r="H1895" s="15" t="s">
        <v>18</v>
      </c>
      <c r="I1895" s="20" t="s">
        <v>19</v>
      </c>
      <c r="J1895" s="21">
        <v>4.0452726E7</v>
      </c>
      <c r="K1895" s="21">
        <v>284.0</v>
      </c>
    </row>
    <row r="1896">
      <c r="A1896" s="15" t="s">
        <v>74</v>
      </c>
      <c r="B1896" s="16" t="s">
        <v>75</v>
      </c>
      <c r="C1896" s="17" t="s">
        <v>76</v>
      </c>
      <c r="D1896" s="18">
        <v>3.0</v>
      </c>
      <c r="E1896" s="17" t="s">
        <v>137</v>
      </c>
      <c r="F1896" s="15" t="s">
        <v>138</v>
      </c>
      <c r="G1896" s="19">
        <v>9.0043001E7</v>
      </c>
      <c r="H1896" s="15" t="s">
        <v>18</v>
      </c>
      <c r="I1896" s="20" t="s">
        <v>19</v>
      </c>
      <c r="J1896" s="21">
        <v>3529825.0</v>
      </c>
      <c r="K1896" s="21">
        <v>25.0</v>
      </c>
    </row>
    <row r="1897">
      <c r="A1897" s="15" t="s">
        <v>74</v>
      </c>
      <c r="B1897" s="16" t="s">
        <v>75</v>
      </c>
      <c r="C1897" s="17" t="s">
        <v>76</v>
      </c>
      <c r="D1897" s="18">
        <v>3.0</v>
      </c>
      <c r="E1897" s="17" t="s">
        <v>54</v>
      </c>
      <c r="F1897" s="15" t="s">
        <v>139</v>
      </c>
      <c r="G1897" s="19">
        <v>9.0042011E7</v>
      </c>
      <c r="H1897" s="15" t="s">
        <v>55</v>
      </c>
      <c r="I1897" s="20" t="s">
        <v>19</v>
      </c>
      <c r="J1897" s="21">
        <v>4.49794859E8</v>
      </c>
      <c r="K1897" s="21">
        <v>0.0</v>
      </c>
    </row>
    <row r="1898">
      <c r="A1898" s="15" t="s">
        <v>74</v>
      </c>
      <c r="B1898" s="16" t="s">
        <v>75</v>
      </c>
      <c r="C1898" s="17" t="s">
        <v>76</v>
      </c>
      <c r="D1898" s="18">
        <v>3.0</v>
      </c>
      <c r="E1898" s="17" t="s">
        <v>164</v>
      </c>
      <c r="F1898" s="15" t="s">
        <v>165</v>
      </c>
      <c r="G1898" s="19">
        <v>9.0042079E7</v>
      </c>
      <c r="H1898" s="15" t="s">
        <v>166</v>
      </c>
      <c r="I1898" s="20" t="s">
        <v>19</v>
      </c>
      <c r="J1898" s="21">
        <v>445444.0</v>
      </c>
      <c r="K1898" s="21">
        <v>0.0</v>
      </c>
    </row>
    <row r="1899">
      <c r="A1899" s="15" t="s">
        <v>74</v>
      </c>
      <c r="B1899" s="16" t="s">
        <v>75</v>
      </c>
      <c r="C1899" s="17" t="s">
        <v>76</v>
      </c>
      <c r="D1899" s="18">
        <v>3.0</v>
      </c>
      <c r="E1899" s="17" t="s">
        <v>20</v>
      </c>
      <c r="F1899" s="15" t="s">
        <v>140</v>
      </c>
      <c r="G1899" s="19">
        <v>9.0042014E7</v>
      </c>
      <c r="H1899" s="15" t="s">
        <v>21</v>
      </c>
      <c r="I1899" s="20" t="s">
        <v>19</v>
      </c>
      <c r="J1899" s="21">
        <v>5.08796349E8</v>
      </c>
      <c r="K1899" s="21">
        <v>0.0</v>
      </c>
    </row>
    <row r="1900">
      <c r="A1900" s="15" t="s">
        <v>74</v>
      </c>
      <c r="B1900" s="16" t="s">
        <v>75</v>
      </c>
      <c r="C1900" s="17" t="s">
        <v>76</v>
      </c>
      <c r="D1900" s="18">
        <v>3.0</v>
      </c>
      <c r="E1900" s="17" t="s">
        <v>20</v>
      </c>
      <c r="F1900" s="15" t="s">
        <v>140</v>
      </c>
      <c r="G1900" s="19">
        <v>9.0042077E7</v>
      </c>
      <c r="H1900" s="15" t="s">
        <v>141</v>
      </c>
      <c r="I1900" s="20" t="s">
        <v>19</v>
      </c>
      <c r="J1900" s="21">
        <v>1.23520218E8</v>
      </c>
      <c r="K1900" s="21">
        <v>0.0</v>
      </c>
    </row>
    <row r="1901">
      <c r="A1901" s="15" t="s">
        <v>74</v>
      </c>
      <c r="B1901" s="16" t="s">
        <v>75</v>
      </c>
      <c r="C1901" s="17" t="s">
        <v>76</v>
      </c>
      <c r="D1901" s="18">
        <v>3.0</v>
      </c>
      <c r="E1901" s="17" t="s">
        <v>142</v>
      </c>
      <c r="F1901" s="15" t="s">
        <v>143</v>
      </c>
      <c r="G1901" s="19">
        <v>9.0042013E7</v>
      </c>
      <c r="H1901" s="15" t="s">
        <v>144</v>
      </c>
      <c r="I1901" s="20" t="s">
        <v>19</v>
      </c>
      <c r="J1901" s="21">
        <v>5.4872323E7</v>
      </c>
      <c r="K1901" s="21">
        <v>0.0</v>
      </c>
    </row>
    <row r="1902">
      <c r="A1902" s="15" t="s">
        <v>74</v>
      </c>
      <c r="B1902" s="16" t="s">
        <v>75</v>
      </c>
      <c r="C1902" s="17" t="s">
        <v>76</v>
      </c>
      <c r="D1902" s="18">
        <v>3.0</v>
      </c>
      <c r="E1902" s="17" t="s">
        <v>142</v>
      </c>
      <c r="F1902" s="15" t="s">
        <v>143</v>
      </c>
      <c r="G1902" s="19">
        <v>9.0042084E7</v>
      </c>
      <c r="H1902" s="15" t="s">
        <v>145</v>
      </c>
      <c r="I1902" s="20" t="s">
        <v>19</v>
      </c>
      <c r="J1902" s="21">
        <v>2.1940915E7</v>
      </c>
      <c r="K1902" s="21">
        <v>0.0</v>
      </c>
    </row>
    <row r="1903">
      <c r="A1903" s="15" t="s">
        <v>74</v>
      </c>
      <c r="B1903" s="16" t="s">
        <v>75</v>
      </c>
      <c r="C1903" s="17" t="s">
        <v>76</v>
      </c>
      <c r="D1903" s="18">
        <v>3.0</v>
      </c>
      <c r="E1903" s="17" t="s">
        <v>22</v>
      </c>
      <c r="F1903" s="15" t="s">
        <v>146</v>
      </c>
      <c r="G1903" s="19">
        <v>9.0042012E7</v>
      </c>
      <c r="H1903" s="15" t="s">
        <v>23</v>
      </c>
      <c r="I1903" s="20" t="s">
        <v>19</v>
      </c>
      <c r="J1903" s="21">
        <v>1.89703957E8</v>
      </c>
      <c r="K1903" s="21">
        <v>0.0</v>
      </c>
    </row>
    <row r="1904">
      <c r="A1904" s="15" t="s">
        <v>74</v>
      </c>
      <c r="B1904" s="16" t="s">
        <v>75</v>
      </c>
      <c r="C1904" s="17" t="s">
        <v>76</v>
      </c>
      <c r="D1904" s="18">
        <v>3.0</v>
      </c>
      <c r="E1904" s="17" t="s">
        <v>22</v>
      </c>
      <c r="F1904" s="15" t="s">
        <v>146</v>
      </c>
      <c r="G1904" s="19">
        <v>9.0042121E7</v>
      </c>
      <c r="H1904" s="15" t="s">
        <v>24</v>
      </c>
      <c r="I1904" s="20" t="s">
        <v>25</v>
      </c>
      <c r="J1904" s="21">
        <v>1.90302822E8</v>
      </c>
      <c r="K1904" s="21">
        <v>0.0</v>
      </c>
    </row>
    <row r="1905">
      <c r="A1905" s="15" t="s">
        <v>74</v>
      </c>
      <c r="B1905" s="16" t="s">
        <v>75</v>
      </c>
      <c r="C1905" s="17" t="s">
        <v>76</v>
      </c>
      <c r="D1905" s="18">
        <v>3.0</v>
      </c>
      <c r="E1905" s="17" t="s">
        <v>22</v>
      </c>
      <c r="F1905" s="15" t="s">
        <v>146</v>
      </c>
      <c r="G1905" s="19">
        <v>9.0042122E7</v>
      </c>
      <c r="H1905" s="15" t="s">
        <v>56</v>
      </c>
      <c r="I1905" s="20" t="s">
        <v>25</v>
      </c>
      <c r="J1905" s="21">
        <v>1.4777011E7</v>
      </c>
      <c r="K1905" s="21">
        <v>0.0</v>
      </c>
    </row>
    <row r="1906">
      <c r="A1906" s="15" t="s">
        <v>74</v>
      </c>
      <c r="B1906" s="16" t="s">
        <v>75</v>
      </c>
      <c r="C1906" s="17" t="s">
        <v>76</v>
      </c>
      <c r="D1906" s="18">
        <v>3.0</v>
      </c>
      <c r="E1906" s="17" t="s">
        <v>22</v>
      </c>
      <c r="F1906" s="15" t="s">
        <v>146</v>
      </c>
      <c r="G1906" s="19">
        <v>9.0042124E7</v>
      </c>
      <c r="H1906" s="15" t="s">
        <v>57</v>
      </c>
      <c r="I1906" s="20" t="s">
        <v>25</v>
      </c>
      <c r="J1906" s="21">
        <v>1541718.0</v>
      </c>
      <c r="K1906" s="21">
        <v>0.0</v>
      </c>
    </row>
    <row r="1907">
      <c r="A1907" s="15" t="s">
        <v>74</v>
      </c>
      <c r="B1907" s="16" t="s">
        <v>75</v>
      </c>
      <c r="C1907" s="17" t="s">
        <v>76</v>
      </c>
      <c r="D1907" s="18">
        <v>3.0</v>
      </c>
      <c r="E1907" s="17" t="s">
        <v>22</v>
      </c>
      <c r="F1907" s="15" t="s">
        <v>146</v>
      </c>
      <c r="G1907" s="19">
        <v>9.0042125E7</v>
      </c>
      <c r="H1907" s="15" t="s">
        <v>26</v>
      </c>
      <c r="I1907" s="20" t="s">
        <v>25</v>
      </c>
      <c r="J1907" s="21">
        <v>7.7430368E7</v>
      </c>
      <c r="K1907" s="21">
        <v>0.0</v>
      </c>
    </row>
    <row r="1908">
      <c r="A1908" s="15" t="s">
        <v>74</v>
      </c>
      <c r="B1908" s="16" t="s">
        <v>75</v>
      </c>
      <c r="C1908" s="17" t="s">
        <v>76</v>
      </c>
      <c r="D1908" s="18">
        <v>3.0</v>
      </c>
      <c r="E1908" s="17" t="s">
        <v>22</v>
      </c>
      <c r="F1908" s="15" t="s">
        <v>146</v>
      </c>
      <c r="G1908" s="19">
        <v>9.0042127E7</v>
      </c>
      <c r="H1908" s="15" t="s">
        <v>27</v>
      </c>
      <c r="I1908" s="20" t="s">
        <v>25</v>
      </c>
      <c r="J1908" s="21">
        <v>1.1729895E7</v>
      </c>
      <c r="K1908" s="21">
        <v>0.0</v>
      </c>
    </row>
    <row r="1909">
      <c r="A1909" s="15" t="s">
        <v>74</v>
      </c>
      <c r="B1909" s="16" t="s">
        <v>75</v>
      </c>
      <c r="C1909" s="17" t="s">
        <v>76</v>
      </c>
      <c r="D1909" s="18">
        <v>3.0</v>
      </c>
      <c r="E1909" s="17" t="s">
        <v>22</v>
      </c>
      <c r="F1909" s="15" t="s">
        <v>146</v>
      </c>
      <c r="G1909" s="19">
        <v>9.0042128E7</v>
      </c>
      <c r="H1909" s="15" t="s">
        <v>58</v>
      </c>
      <c r="I1909" s="20" t="s">
        <v>25</v>
      </c>
      <c r="J1909" s="21">
        <v>3854295.0</v>
      </c>
      <c r="K1909" s="21">
        <v>0.0</v>
      </c>
    </row>
    <row r="1910">
      <c r="A1910" s="15" t="s">
        <v>74</v>
      </c>
      <c r="B1910" s="16" t="s">
        <v>75</v>
      </c>
      <c r="C1910" s="17" t="s">
        <v>76</v>
      </c>
      <c r="D1910" s="18">
        <v>3.0</v>
      </c>
      <c r="E1910" s="17" t="s">
        <v>22</v>
      </c>
      <c r="F1910" s="15" t="s">
        <v>146</v>
      </c>
      <c r="G1910" s="19">
        <v>9.0042132E7</v>
      </c>
      <c r="H1910" s="15" t="s">
        <v>28</v>
      </c>
      <c r="I1910" s="20" t="s">
        <v>25</v>
      </c>
      <c r="J1910" s="21">
        <v>2.9571744E7</v>
      </c>
      <c r="K1910" s="21">
        <v>0.0</v>
      </c>
    </row>
    <row r="1911">
      <c r="A1911" s="15" t="s">
        <v>74</v>
      </c>
      <c r="B1911" s="16" t="s">
        <v>75</v>
      </c>
      <c r="C1911" s="17" t="s">
        <v>76</v>
      </c>
      <c r="D1911" s="18">
        <v>3.0</v>
      </c>
      <c r="E1911" s="17" t="s">
        <v>22</v>
      </c>
      <c r="F1911" s="15" t="s">
        <v>146</v>
      </c>
      <c r="G1911" s="19">
        <v>9.0042135E7</v>
      </c>
      <c r="H1911" s="15" t="s">
        <v>30</v>
      </c>
      <c r="I1911" s="20" t="s">
        <v>25</v>
      </c>
      <c r="J1911" s="21">
        <v>1.75114039E8</v>
      </c>
      <c r="K1911" s="21">
        <v>0.0</v>
      </c>
    </row>
    <row r="1912">
      <c r="A1912" s="15" t="s">
        <v>74</v>
      </c>
      <c r="B1912" s="16" t="s">
        <v>75</v>
      </c>
      <c r="C1912" s="17" t="s">
        <v>76</v>
      </c>
      <c r="D1912" s="18">
        <v>3.0</v>
      </c>
      <c r="E1912" s="17" t="s">
        <v>22</v>
      </c>
      <c r="F1912" s="15" t="s">
        <v>146</v>
      </c>
      <c r="G1912" s="19">
        <v>9.00422E7</v>
      </c>
      <c r="H1912" s="15" t="s">
        <v>73</v>
      </c>
      <c r="I1912" s="20" t="s">
        <v>60</v>
      </c>
      <c r="J1912" s="21">
        <v>4.87597162E8</v>
      </c>
      <c r="K1912" s="21">
        <v>0.0</v>
      </c>
    </row>
    <row r="1913">
      <c r="A1913" s="15" t="s">
        <v>74</v>
      </c>
      <c r="B1913" s="16" t="s">
        <v>75</v>
      </c>
      <c r="C1913" s="17" t="s">
        <v>76</v>
      </c>
      <c r="D1913" s="18">
        <v>3.0</v>
      </c>
      <c r="E1913" s="17" t="s">
        <v>22</v>
      </c>
      <c r="F1913" s="15" t="s">
        <v>146</v>
      </c>
      <c r="G1913" s="19">
        <v>9.0042223E7</v>
      </c>
      <c r="H1913" s="15" t="s">
        <v>61</v>
      </c>
      <c r="I1913" s="20" t="s">
        <v>60</v>
      </c>
      <c r="J1913" s="21">
        <v>4817570.0</v>
      </c>
      <c r="K1913" s="21">
        <v>0.0</v>
      </c>
    </row>
    <row r="1914">
      <c r="A1914" s="15" t="s">
        <v>74</v>
      </c>
      <c r="B1914" s="16" t="s">
        <v>75</v>
      </c>
      <c r="C1914" s="17" t="s">
        <v>76</v>
      </c>
      <c r="D1914" s="18">
        <v>3.0</v>
      </c>
      <c r="E1914" s="17" t="s">
        <v>22</v>
      </c>
      <c r="F1914" s="15" t="s">
        <v>146</v>
      </c>
      <c r="G1914" s="19">
        <v>9.0042224E7</v>
      </c>
      <c r="H1914" s="15" t="s">
        <v>62</v>
      </c>
      <c r="I1914" s="20" t="s">
        <v>60</v>
      </c>
      <c r="J1914" s="21">
        <v>8789288.0</v>
      </c>
      <c r="K1914" s="21">
        <v>0.0</v>
      </c>
    </row>
    <row r="1915">
      <c r="A1915" s="15" t="s">
        <v>74</v>
      </c>
      <c r="B1915" s="16" t="s">
        <v>75</v>
      </c>
      <c r="C1915" s="17" t="s">
        <v>76</v>
      </c>
      <c r="D1915" s="18">
        <v>3.0</v>
      </c>
      <c r="E1915" s="17" t="s">
        <v>22</v>
      </c>
      <c r="F1915" s="15" t="s">
        <v>146</v>
      </c>
      <c r="G1915" s="19">
        <v>9.0042225E7</v>
      </c>
      <c r="H1915" s="15" t="s">
        <v>147</v>
      </c>
      <c r="I1915" s="20" t="s">
        <v>60</v>
      </c>
      <c r="J1915" s="21">
        <v>4523282.0</v>
      </c>
      <c r="K1915" s="21">
        <v>0.0</v>
      </c>
    </row>
    <row r="1916">
      <c r="A1916" s="15" t="s">
        <v>74</v>
      </c>
      <c r="B1916" s="16" t="s">
        <v>75</v>
      </c>
      <c r="C1916" s="17" t="s">
        <v>76</v>
      </c>
      <c r="D1916" s="18">
        <v>3.0</v>
      </c>
      <c r="E1916" s="17" t="s">
        <v>22</v>
      </c>
      <c r="F1916" s="15" t="s">
        <v>146</v>
      </c>
      <c r="G1916" s="19">
        <v>9.0042226E7</v>
      </c>
      <c r="H1916" s="15" t="s">
        <v>63</v>
      </c>
      <c r="I1916" s="20" t="s">
        <v>60</v>
      </c>
      <c r="J1916" s="21">
        <v>4500281.0</v>
      </c>
      <c r="K1916" s="21">
        <v>0.0</v>
      </c>
    </row>
    <row r="1917">
      <c r="A1917" s="15" t="s">
        <v>74</v>
      </c>
      <c r="B1917" s="16" t="s">
        <v>75</v>
      </c>
      <c r="C1917" s="17" t="s">
        <v>76</v>
      </c>
      <c r="D1917" s="18">
        <v>3.0</v>
      </c>
      <c r="E1917" s="17" t="s">
        <v>22</v>
      </c>
      <c r="F1917" s="15" t="s">
        <v>146</v>
      </c>
      <c r="G1917" s="19">
        <v>9.0042228E7</v>
      </c>
      <c r="H1917" s="15" t="s">
        <v>64</v>
      </c>
      <c r="I1917" s="20" t="s">
        <v>60</v>
      </c>
      <c r="J1917" s="21">
        <v>6.084431E7</v>
      </c>
      <c r="K1917" s="21">
        <v>0.0</v>
      </c>
    </row>
    <row r="1918">
      <c r="A1918" s="15" t="s">
        <v>74</v>
      </c>
      <c r="B1918" s="16" t="s">
        <v>75</v>
      </c>
      <c r="C1918" s="17" t="s">
        <v>76</v>
      </c>
      <c r="D1918" s="18">
        <v>3.0</v>
      </c>
      <c r="E1918" s="17" t="s">
        <v>22</v>
      </c>
      <c r="F1918" s="15" t="s">
        <v>146</v>
      </c>
      <c r="G1918" s="19">
        <v>9.0042231E7</v>
      </c>
      <c r="H1918" s="15" t="s">
        <v>65</v>
      </c>
      <c r="I1918" s="20" t="s">
        <v>60</v>
      </c>
      <c r="J1918" s="21">
        <v>5347828.0</v>
      </c>
      <c r="K1918" s="21">
        <v>0.0</v>
      </c>
    </row>
    <row r="1919">
      <c r="A1919" s="15" t="s">
        <v>74</v>
      </c>
      <c r="B1919" s="16" t="s">
        <v>75</v>
      </c>
      <c r="C1919" s="17" t="s">
        <v>76</v>
      </c>
      <c r="D1919" s="18">
        <v>3.0</v>
      </c>
      <c r="E1919" s="17" t="s">
        <v>22</v>
      </c>
      <c r="F1919" s="15" t="s">
        <v>146</v>
      </c>
      <c r="G1919" s="19">
        <v>9.0042126E7</v>
      </c>
      <c r="H1919" s="15" t="s">
        <v>31</v>
      </c>
      <c r="I1919" s="20" t="s">
        <v>25</v>
      </c>
      <c r="J1919" s="21">
        <v>2.6577009E7</v>
      </c>
      <c r="K1919" s="21">
        <v>0.0</v>
      </c>
    </row>
    <row r="1920">
      <c r="A1920" s="15" t="s">
        <v>74</v>
      </c>
      <c r="B1920" s="16" t="s">
        <v>75</v>
      </c>
      <c r="C1920" s="17" t="s">
        <v>76</v>
      </c>
      <c r="D1920" s="18">
        <v>3.0</v>
      </c>
      <c r="E1920" s="17" t="s">
        <v>22</v>
      </c>
      <c r="F1920" s="15" t="s">
        <v>146</v>
      </c>
      <c r="G1920" s="19">
        <v>9.004212E7</v>
      </c>
      <c r="H1920" s="15" t="s">
        <v>182</v>
      </c>
      <c r="I1920" s="20" t="s">
        <v>25</v>
      </c>
      <c r="J1920" s="21">
        <v>2.19463828E8</v>
      </c>
      <c r="K1920" s="21">
        <v>0.0</v>
      </c>
    </row>
    <row r="1921">
      <c r="A1921" s="15" t="s">
        <v>74</v>
      </c>
      <c r="B1921" s="16" t="s">
        <v>75</v>
      </c>
      <c r="C1921" s="17" t="s">
        <v>76</v>
      </c>
      <c r="D1921" s="18">
        <v>3.0</v>
      </c>
      <c r="E1921" s="17" t="s">
        <v>257</v>
      </c>
      <c r="F1921" s="15" t="s">
        <v>258</v>
      </c>
      <c r="G1921" s="19">
        <v>5.1100774E7</v>
      </c>
      <c r="H1921" s="15" t="s">
        <v>39</v>
      </c>
      <c r="I1921" s="20" t="s">
        <v>17</v>
      </c>
      <c r="J1921" s="21">
        <v>1275000.0</v>
      </c>
      <c r="K1921" s="21">
        <v>0.15</v>
      </c>
    </row>
    <row r="1922">
      <c r="A1922" s="15" t="s">
        <v>74</v>
      </c>
      <c r="B1922" s="16" t="s">
        <v>148</v>
      </c>
      <c r="C1922" s="17" t="s">
        <v>149</v>
      </c>
      <c r="D1922" s="18">
        <v>3.0</v>
      </c>
      <c r="E1922" s="24">
        <v>46038.0</v>
      </c>
      <c r="F1922" s="15" t="s">
        <v>150</v>
      </c>
      <c r="G1922" s="19">
        <v>9.0043001E7</v>
      </c>
      <c r="H1922" s="15" t="s">
        <v>18</v>
      </c>
      <c r="I1922" s="20" t="s">
        <v>19</v>
      </c>
      <c r="J1922" s="21">
        <v>1.2542975E7</v>
      </c>
      <c r="K1922" s="21">
        <v>91.0</v>
      </c>
    </row>
    <row r="1923">
      <c r="A1923" s="15" t="s">
        <v>74</v>
      </c>
      <c r="B1923" s="16" t="s">
        <v>148</v>
      </c>
      <c r="C1923" s="17" t="s">
        <v>149</v>
      </c>
      <c r="D1923" s="18">
        <v>3.0</v>
      </c>
      <c r="E1923" s="24">
        <v>46158.0</v>
      </c>
      <c r="F1923" s="15" t="s">
        <v>151</v>
      </c>
      <c r="G1923" s="19">
        <v>9.0043001E7</v>
      </c>
      <c r="H1923" s="15" t="s">
        <v>18</v>
      </c>
      <c r="I1923" s="20" t="s">
        <v>19</v>
      </c>
      <c r="J1923" s="21">
        <v>542732.0</v>
      </c>
      <c r="K1923" s="21">
        <v>4.0</v>
      </c>
    </row>
    <row r="1924">
      <c r="A1924" s="15" t="s">
        <v>74</v>
      </c>
      <c r="B1924" s="16" t="s">
        <v>148</v>
      </c>
      <c r="C1924" s="17" t="s">
        <v>149</v>
      </c>
      <c r="D1924" s="18">
        <v>3.0</v>
      </c>
      <c r="E1924" s="17" t="s">
        <v>77</v>
      </c>
      <c r="F1924" s="15" t="s">
        <v>78</v>
      </c>
      <c r="G1924" s="19">
        <v>9.0043001E7</v>
      </c>
      <c r="H1924" s="15" t="s">
        <v>18</v>
      </c>
      <c r="I1924" s="20" t="s">
        <v>19</v>
      </c>
      <c r="J1924" s="21">
        <v>3517488.0</v>
      </c>
      <c r="K1924" s="21">
        <v>24.0</v>
      </c>
    </row>
    <row r="1925">
      <c r="A1925" s="15" t="s">
        <v>74</v>
      </c>
      <c r="B1925" s="16" t="s">
        <v>148</v>
      </c>
      <c r="C1925" s="17" t="s">
        <v>149</v>
      </c>
      <c r="D1925" s="18">
        <v>3.0</v>
      </c>
      <c r="E1925" s="17" t="s">
        <v>222</v>
      </c>
      <c r="F1925" s="15" t="s">
        <v>223</v>
      </c>
      <c r="G1925" s="19">
        <v>5.1100153E7</v>
      </c>
      <c r="H1925" s="15" t="s">
        <v>72</v>
      </c>
      <c r="I1925" s="20" t="s">
        <v>17</v>
      </c>
      <c r="J1925" s="21">
        <v>2691920.0</v>
      </c>
      <c r="K1925" s="21">
        <v>17480.0</v>
      </c>
    </row>
    <row r="1926">
      <c r="A1926" s="15" t="s">
        <v>74</v>
      </c>
      <c r="B1926" s="16" t="s">
        <v>148</v>
      </c>
      <c r="C1926" s="17" t="s">
        <v>149</v>
      </c>
      <c r="D1926" s="18">
        <v>3.0</v>
      </c>
      <c r="E1926" s="17" t="s">
        <v>84</v>
      </c>
      <c r="F1926" s="15" t="s">
        <v>85</v>
      </c>
      <c r="G1926" s="19">
        <v>9.0043001E7</v>
      </c>
      <c r="H1926" s="15" t="s">
        <v>18</v>
      </c>
      <c r="I1926" s="20" t="s">
        <v>19</v>
      </c>
      <c r="J1926" s="21">
        <v>5.9107473E7</v>
      </c>
      <c r="K1926" s="21">
        <v>419.0</v>
      </c>
    </row>
    <row r="1927">
      <c r="A1927" s="15" t="s">
        <v>74</v>
      </c>
      <c r="B1927" s="16" t="s">
        <v>148</v>
      </c>
      <c r="C1927" s="17" t="s">
        <v>149</v>
      </c>
      <c r="D1927" s="18">
        <v>3.0</v>
      </c>
      <c r="E1927" s="17" t="s">
        <v>84</v>
      </c>
      <c r="F1927" s="15" t="s">
        <v>85</v>
      </c>
      <c r="G1927" s="19">
        <v>9.0043E7</v>
      </c>
      <c r="H1927" s="15" t="s">
        <v>83</v>
      </c>
      <c r="I1927" s="20" t="s">
        <v>19</v>
      </c>
      <c r="J1927" s="21">
        <v>572208.0</v>
      </c>
      <c r="K1927" s="21">
        <v>4.0</v>
      </c>
    </row>
    <row r="1928">
      <c r="A1928" s="15" t="s">
        <v>74</v>
      </c>
      <c r="B1928" s="16" t="s">
        <v>148</v>
      </c>
      <c r="C1928" s="17" t="s">
        <v>149</v>
      </c>
      <c r="D1928" s="18">
        <v>3.0</v>
      </c>
      <c r="E1928" s="17" t="s">
        <v>86</v>
      </c>
      <c r="F1928" s="15" t="s">
        <v>87</v>
      </c>
      <c r="G1928" s="19">
        <v>9.0043001E7</v>
      </c>
      <c r="H1928" s="15" t="s">
        <v>18</v>
      </c>
      <c r="I1928" s="20" t="s">
        <v>19</v>
      </c>
      <c r="J1928" s="21">
        <v>4.8438251E7</v>
      </c>
      <c r="K1928" s="21">
        <v>347.0</v>
      </c>
    </row>
    <row r="1929">
      <c r="A1929" s="15" t="s">
        <v>74</v>
      </c>
      <c r="B1929" s="16" t="s">
        <v>148</v>
      </c>
      <c r="C1929" s="17" t="s">
        <v>149</v>
      </c>
      <c r="D1929" s="18">
        <v>3.0</v>
      </c>
      <c r="E1929" s="17" t="s">
        <v>86</v>
      </c>
      <c r="F1929" s="15" t="s">
        <v>87</v>
      </c>
      <c r="G1929" s="19">
        <v>9.0043E7</v>
      </c>
      <c r="H1929" s="15" t="s">
        <v>83</v>
      </c>
      <c r="I1929" s="20" t="s">
        <v>19</v>
      </c>
      <c r="J1929" s="21">
        <v>2002728.0</v>
      </c>
      <c r="K1929" s="21">
        <v>14.0</v>
      </c>
    </row>
    <row r="1930">
      <c r="A1930" s="15" t="s">
        <v>74</v>
      </c>
      <c r="B1930" s="16" t="s">
        <v>148</v>
      </c>
      <c r="C1930" s="17" t="s">
        <v>149</v>
      </c>
      <c r="D1930" s="18">
        <v>3.0</v>
      </c>
      <c r="E1930" s="17" t="s">
        <v>152</v>
      </c>
      <c r="F1930" s="15" t="s">
        <v>153</v>
      </c>
      <c r="G1930" s="19">
        <v>9.0043003E7</v>
      </c>
      <c r="H1930" s="15" t="s">
        <v>90</v>
      </c>
      <c r="I1930" s="20" t="s">
        <v>50</v>
      </c>
      <c r="J1930" s="21">
        <v>4659197.0</v>
      </c>
      <c r="K1930" s="21">
        <v>13.9</v>
      </c>
    </row>
    <row r="1931">
      <c r="A1931" s="15" t="s">
        <v>74</v>
      </c>
      <c r="B1931" s="16" t="s">
        <v>148</v>
      </c>
      <c r="C1931" s="17" t="s">
        <v>149</v>
      </c>
      <c r="D1931" s="18">
        <v>3.0</v>
      </c>
      <c r="E1931" s="17" t="s">
        <v>154</v>
      </c>
      <c r="F1931" s="15" t="s">
        <v>155</v>
      </c>
      <c r="G1931" s="19">
        <v>5.1100651E7</v>
      </c>
      <c r="H1931" s="15" t="s">
        <v>38</v>
      </c>
      <c r="I1931" s="20" t="s">
        <v>25</v>
      </c>
      <c r="J1931" s="21">
        <v>2478285.0</v>
      </c>
      <c r="K1931" s="21">
        <v>0.0</v>
      </c>
    </row>
    <row r="1932">
      <c r="A1932" s="15" t="s">
        <v>74</v>
      </c>
      <c r="B1932" s="16" t="s">
        <v>148</v>
      </c>
      <c r="C1932" s="17" t="s">
        <v>149</v>
      </c>
      <c r="D1932" s="18">
        <v>3.0</v>
      </c>
      <c r="E1932" s="17" t="s">
        <v>154</v>
      </c>
      <c r="F1932" s="15" t="s">
        <v>155</v>
      </c>
      <c r="G1932" s="19">
        <v>9.0043002E7</v>
      </c>
      <c r="H1932" s="15" t="s">
        <v>49</v>
      </c>
      <c r="I1932" s="20" t="s">
        <v>50</v>
      </c>
      <c r="J1932" s="21">
        <v>2.4340961E7</v>
      </c>
      <c r="K1932" s="21">
        <v>2240.0</v>
      </c>
    </row>
    <row r="1933">
      <c r="A1933" s="15" t="s">
        <v>74</v>
      </c>
      <c r="B1933" s="16" t="s">
        <v>148</v>
      </c>
      <c r="C1933" s="17" t="s">
        <v>149</v>
      </c>
      <c r="D1933" s="18">
        <v>3.0</v>
      </c>
      <c r="E1933" s="17" t="s">
        <v>91</v>
      </c>
      <c r="F1933" s="15" t="s">
        <v>92</v>
      </c>
      <c r="G1933" s="19">
        <v>9.0043001E7</v>
      </c>
      <c r="H1933" s="15" t="s">
        <v>18</v>
      </c>
      <c r="I1933" s="20" t="s">
        <v>19</v>
      </c>
      <c r="J1933" s="21">
        <v>1.2104537E7</v>
      </c>
      <c r="K1933" s="21">
        <v>90.0</v>
      </c>
    </row>
    <row r="1934">
      <c r="A1934" s="15" t="s">
        <v>74</v>
      </c>
      <c r="B1934" s="16" t="s">
        <v>148</v>
      </c>
      <c r="C1934" s="17" t="s">
        <v>149</v>
      </c>
      <c r="D1934" s="18">
        <v>3.0</v>
      </c>
      <c r="E1934" s="17" t="s">
        <v>235</v>
      </c>
      <c r="F1934" s="15" t="s">
        <v>236</v>
      </c>
      <c r="G1934" s="19">
        <v>5.1100651E7</v>
      </c>
      <c r="H1934" s="15" t="s">
        <v>38</v>
      </c>
      <c r="I1934" s="20" t="s">
        <v>25</v>
      </c>
      <c r="J1934" s="21">
        <v>2250000.0</v>
      </c>
      <c r="K1934" s="21">
        <v>0.0</v>
      </c>
    </row>
    <row r="1935">
      <c r="A1935" s="15" t="s">
        <v>74</v>
      </c>
      <c r="B1935" s="16" t="s">
        <v>148</v>
      </c>
      <c r="C1935" s="17" t="s">
        <v>149</v>
      </c>
      <c r="D1935" s="18">
        <v>3.0</v>
      </c>
      <c r="E1935" s="17" t="s">
        <v>156</v>
      </c>
      <c r="F1935" s="15" t="s">
        <v>157</v>
      </c>
      <c r="G1935" s="19">
        <v>9.0043001E7</v>
      </c>
      <c r="H1935" s="15" t="s">
        <v>18</v>
      </c>
      <c r="I1935" s="20" t="s">
        <v>19</v>
      </c>
      <c r="J1935" s="21">
        <v>1.4990058E7</v>
      </c>
      <c r="K1935" s="21">
        <v>107.0</v>
      </c>
    </row>
    <row r="1936">
      <c r="A1936" s="15" t="s">
        <v>74</v>
      </c>
      <c r="B1936" s="16" t="s">
        <v>148</v>
      </c>
      <c r="C1936" s="17" t="s">
        <v>149</v>
      </c>
      <c r="D1936" s="18">
        <v>3.0</v>
      </c>
      <c r="E1936" s="17" t="s">
        <v>95</v>
      </c>
      <c r="F1936" s="15" t="s">
        <v>96</v>
      </c>
      <c r="G1936" s="19">
        <v>5.1100058E7</v>
      </c>
      <c r="H1936" s="15" t="s">
        <v>36</v>
      </c>
      <c r="I1936" s="20" t="s">
        <v>37</v>
      </c>
      <c r="J1936" s="21">
        <v>6525960.0</v>
      </c>
      <c r="K1936" s="21">
        <v>80.08</v>
      </c>
    </row>
    <row r="1937">
      <c r="A1937" s="15" t="s">
        <v>74</v>
      </c>
      <c r="B1937" s="16" t="s">
        <v>148</v>
      </c>
      <c r="C1937" s="17" t="s">
        <v>149</v>
      </c>
      <c r="D1937" s="18">
        <v>3.0</v>
      </c>
      <c r="E1937" s="17" t="s">
        <v>99</v>
      </c>
      <c r="F1937" s="15" t="s">
        <v>100</v>
      </c>
      <c r="G1937" s="19">
        <v>9.0043E7</v>
      </c>
      <c r="H1937" s="15" t="s">
        <v>83</v>
      </c>
      <c r="I1937" s="20" t="s">
        <v>19</v>
      </c>
      <c r="J1937" s="21">
        <v>706500.0</v>
      </c>
      <c r="K1937" s="21">
        <v>4.0</v>
      </c>
    </row>
    <row r="1938">
      <c r="A1938" s="15" t="s">
        <v>74</v>
      </c>
      <c r="B1938" s="16" t="s">
        <v>148</v>
      </c>
      <c r="C1938" s="17" t="s">
        <v>149</v>
      </c>
      <c r="D1938" s="18">
        <v>3.0</v>
      </c>
      <c r="E1938" s="17" t="s">
        <v>101</v>
      </c>
      <c r="F1938" s="15" t="s">
        <v>102</v>
      </c>
      <c r="G1938" s="19">
        <v>9.0043001E7</v>
      </c>
      <c r="H1938" s="15" t="s">
        <v>18</v>
      </c>
      <c r="I1938" s="20" t="s">
        <v>19</v>
      </c>
      <c r="J1938" s="21">
        <v>8.3436987E7</v>
      </c>
      <c r="K1938" s="21">
        <v>599.0</v>
      </c>
    </row>
    <row r="1939">
      <c r="A1939" s="15" t="s">
        <v>74</v>
      </c>
      <c r="B1939" s="16" t="s">
        <v>148</v>
      </c>
      <c r="C1939" s="17" t="s">
        <v>149</v>
      </c>
      <c r="D1939" s="18">
        <v>3.0</v>
      </c>
      <c r="E1939" s="17" t="s">
        <v>103</v>
      </c>
      <c r="F1939" s="15" t="s">
        <v>104</v>
      </c>
      <c r="G1939" s="19">
        <v>5.1100058E7</v>
      </c>
      <c r="H1939" s="15" t="s">
        <v>36</v>
      </c>
      <c r="I1939" s="20" t="s">
        <v>37</v>
      </c>
      <c r="J1939" s="21">
        <v>1.4956126E7</v>
      </c>
      <c r="K1939" s="21">
        <v>178.57</v>
      </c>
    </row>
    <row r="1940">
      <c r="A1940" s="15" t="s">
        <v>74</v>
      </c>
      <c r="B1940" s="16" t="s">
        <v>148</v>
      </c>
      <c r="C1940" s="17" t="s">
        <v>149</v>
      </c>
      <c r="D1940" s="18">
        <v>3.0</v>
      </c>
      <c r="E1940" s="17" t="s">
        <v>103</v>
      </c>
      <c r="F1940" s="15" t="s">
        <v>104</v>
      </c>
      <c r="G1940" s="19">
        <v>9.0043001E7</v>
      </c>
      <c r="H1940" s="15" t="s">
        <v>18</v>
      </c>
      <c r="I1940" s="20" t="s">
        <v>19</v>
      </c>
      <c r="J1940" s="21">
        <v>2.1711462E7</v>
      </c>
      <c r="K1940" s="21">
        <v>162.0</v>
      </c>
    </row>
    <row r="1941">
      <c r="A1941" s="15" t="s">
        <v>74</v>
      </c>
      <c r="B1941" s="16" t="s">
        <v>148</v>
      </c>
      <c r="C1941" s="17" t="s">
        <v>149</v>
      </c>
      <c r="D1941" s="18">
        <v>3.0</v>
      </c>
      <c r="E1941" s="17" t="s">
        <v>103</v>
      </c>
      <c r="F1941" s="15" t="s">
        <v>104</v>
      </c>
      <c r="G1941" s="19">
        <v>5.1100774E7</v>
      </c>
      <c r="H1941" s="15" t="s">
        <v>39</v>
      </c>
      <c r="I1941" s="20" t="s">
        <v>17</v>
      </c>
      <c r="J1941" s="21">
        <v>6357856.0</v>
      </c>
      <c r="K1941" s="21">
        <v>85.63</v>
      </c>
    </row>
    <row r="1942">
      <c r="A1942" s="15" t="s">
        <v>74</v>
      </c>
      <c r="B1942" s="16" t="s">
        <v>148</v>
      </c>
      <c r="C1942" s="17" t="s">
        <v>149</v>
      </c>
      <c r="D1942" s="18">
        <v>3.0</v>
      </c>
      <c r="E1942" s="17" t="s">
        <v>158</v>
      </c>
      <c r="F1942" s="15" t="s">
        <v>159</v>
      </c>
      <c r="G1942" s="19">
        <v>9.0043001E7</v>
      </c>
      <c r="H1942" s="15" t="s">
        <v>18</v>
      </c>
      <c r="I1942" s="20" t="s">
        <v>19</v>
      </c>
      <c r="J1942" s="21">
        <v>405396.0</v>
      </c>
      <c r="K1942" s="21">
        <v>3.0</v>
      </c>
    </row>
    <row r="1943">
      <c r="A1943" s="15" t="s">
        <v>74</v>
      </c>
      <c r="B1943" s="16" t="s">
        <v>148</v>
      </c>
      <c r="C1943" s="17" t="s">
        <v>149</v>
      </c>
      <c r="D1943" s="18">
        <v>3.0</v>
      </c>
      <c r="E1943" s="17" t="s">
        <v>158</v>
      </c>
      <c r="F1943" s="15" t="s">
        <v>159</v>
      </c>
      <c r="G1943" s="19">
        <v>9.0043E7</v>
      </c>
      <c r="H1943" s="15" t="s">
        <v>83</v>
      </c>
      <c r="I1943" s="20" t="s">
        <v>19</v>
      </c>
      <c r="J1943" s="21">
        <v>2826000.0</v>
      </c>
      <c r="K1943" s="21">
        <v>16.0</v>
      </c>
    </row>
    <row r="1944">
      <c r="A1944" s="15" t="s">
        <v>74</v>
      </c>
      <c r="B1944" s="16" t="s">
        <v>148</v>
      </c>
      <c r="C1944" s="17" t="s">
        <v>149</v>
      </c>
      <c r="D1944" s="18">
        <v>3.0</v>
      </c>
      <c r="E1944" s="17" t="s">
        <v>207</v>
      </c>
      <c r="F1944" s="15" t="s">
        <v>208</v>
      </c>
      <c r="G1944" s="19">
        <v>9.0043001E7</v>
      </c>
      <c r="H1944" s="15" t="s">
        <v>18</v>
      </c>
      <c r="I1944" s="20" t="s">
        <v>19</v>
      </c>
      <c r="J1944" s="21">
        <v>5552772.0</v>
      </c>
      <c r="K1944" s="21">
        <v>41.0</v>
      </c>
    </row>
    <row r="1945">
      <c r="A1945" s="15" t="s">
        <v>74</v>
      </c>
      <c r="B1945" s="16" t="s">
        <v>148</v>
      </c>
      <c r="C1945" s="17" t="s">
        <v>149</v>
      </c>
      <c r="D1945" s="18">
        <v>3.0</v>
      </c>
      <c r="E1945" s="17" t="s">
        <v>209</v>
      </c>
      <c r="F1945" s="15" t="s">
        <v>210</v>
      </c>
      <c r="G1945" s="19">
        <v>5.1100774E7</v>
      </c>
      <c r="H1945" s="15" t="s">
        <v>39</v>
      </c>
      <c r="I1945" s="20" t="s">
        <v>17</v>
      </c>
      <c r="J1945" s="21">
        <v>4906200.0</v>
      </c>
      <c r="K1945" s="21">
        <v>88.4</v>
      </c>
    </row>
    <row r="1946">
      <c r="A1946" s="15" t="s">
        <v>74</v>
      </c>
      <c r="B1946" s="16" t="s">
        <v>148</v>
      </c>
      <c r="C1946" s="17" t="s">
        <v>149</v>
      </c>
      <c r="D1946" s="18">
        <v>3.0</v>
      </c>
      <c r="E1946" s="17" t="s">
        <v>175</v>
      </c>
      <c r="F1946" s="15" t="s">
        <v>176</v>
      </c>
      <c r="G1946" s="19">
        <v>9.0043002E7</v>
      </c>
      <c r="H1946" s="15" t="s">
        <v>49</v>
      </c>
      <c r="I1946" s="20" t="s">
        <v>50</v>
      </c>
      <c r="J1946" s="21">
        <v>1140984.0</v>
      </c>
      <c r="K1946" s="21">
        <v>105.0</v>
      </c>
    </row>
    <row r="1947">
      <c r="A1947" s="15" t="s">
        <v>74</v>
      </c>
      <c r="B1947" s="16" t="s">
        <v>148</v>
      </c>
      <c r="C1947" s="17" t="s">
        <v>149</v>
      </c>
      <c r="D1947" s="18">
        <v>3.0</v>
      </c>
      <c r="E1947" s="17" t="s">
        <v>175</v>
      </c>
      <c r="F1947" s="15" t="s">
        <v>176</v>
      </c>
      <c r="G1947" s="19">
        <v>5.1100774E7</v>
      </c>
      <c r="H1947" s="15" t="s">
        <v>39</v>
      </c>
      <c r="I1947" s="20" t="s">
        <v>17</v>
      </c>
      <c r="J1947" s="21">
        <v>1719000.0</v>
      </c>
      <c r="K1947" s="21">
        <v>19100.0</v>
      </c>
    </row>
    <row r="1948">
      <c r="A1948" s="15" t="s">
        <v>74</v>
      </c>
      <c r="B1948" s="16" t="s">
        <v>148</v>
      </c>
      <c r="C1948" s="17" t="s">
        <v>149</v>
      </c>
      <c r="D1948" s="18">
        <v>3.0</v>
      </c>
      <c r="E1948" s="17" t="s">
        <v>117</v>
      </c>
      <c r="F1948" s="15" t="s">
        <v>118</v>
      </c>
      <c r="G1948" s="19">
        <v>5.1100058E7</v>
      </c>
      <c r="H1948" s="15" t="s">
        <v>36</v>
      </c>
      <c r="I1948" s="20" t="s">
        <v>37</v>
      </c>
      <c r="J1948" s="21">
        <v>9.2605477E7</v>
      </c>
      <c r="K1948" s="21">
        <v>65386.87</v>
      </c>
    </row>
    <row r="1949">
      <c r="A1949" s="15" t="s">
        <v>74</v>
      </c>
      <c r="B1949" s="16" t="s">
        <v>148</v>
      </c>
      <c r="C1949" s="17" t="s">
        <v>149</v>
      </c>
      <c r="D1949" s="18">
        <v>3.0</v>
      </c>
      <c r="E1949" s="17" t="s">
        <v>117</v>
      </c>
      <c r="F1949" s="15" t="s">
        <v>118</v>
      </c>
      <c r="G1949" s="19">
        <v>9.0043001E7</v>
      </c>
      <c r="H1949" s="15" t="s">
        <v>18</v>
      </c>
      <c r="I1949" s="20" t="s">
        <v>19</v>
      </c>
      <c r="J1949" s="21">
        <v>3.0436403E7</v>
      </c>
      <c r="K1949" s="21">
        <v>229.0</v>
      </c>
    </row>
    <row r="1950">
      <c r="A1950" s="15" t="s">
        <v>74</v>
      </c>
      <c r="B1950" s="16" t="s">
        <v>148</v>
      </c>
      <c r="C1950" s="17" t="s">
        <v>149</v>
      </c>
      <c r="D1950" s="18">
        <v>3.0</v>
      </c>
      <c r="E1950" s="17" t="s">
        <v>117</v>
      </c>
      <c r="F1950" s="15" t="s">
        <v>118</v>
      </c>
      <c r="G1950" s="19">
        <v>5.1100774E7</v>
      </c>
      <c r="H1950" s="15" t="s">
        <v>39</v>
      </c>
      <c r="I1950" s="20" t="s">
        <v>17</v>
      </c>
      <c r="J1950" s="21">
        <v>1085580.0</v>
      </c>
      <c r="K1950" s="21">
        <v>19.56</v>
      </c>
    </row>
    <row r="1951">
      <c r="A1951" s="15" t="s">
        <v>74</v>
      </c>
      <c r="B1951" s="16" t="s">
        <v>148</v>
      </c>
      <c r="C1951" s="17" t="s">
        <v>149</v>
      </c>
      <c r="D1951" s="18">
        <v>3.0</v>
      </c>
      <c r="E1951" s="17" t="s">
        <v>123</v>
      </c>
      <c r="F1951" s="15" t="s">
        <v>124</v>
      </c>
      <c r="G1951" s="19">
        <v>9.0043001E7</v>
      </c>
      <c r="H1951" s="15" t="s">
        <v>18</v>
      </c>
      <c r="I1951" s="20" t="s">
        <v>19</v>
      </c>
      <c r="J1951" s="21">
        <v>2713660.0</v>
      </c>
      <c r="K1951" s="21">
        <v>20.0</v>
      </c>
    </row>
    <row r="1952">
      <c r="A1952" s="15" t="s">
        <v>74</v>
      </c>
      <c r="B1952" s="16" t="s">
        <v>148</v>
      </c>
      <c r="C1952" s="17" t="s">
        <v>149</v>
      </c>
      <c r="D1952" s="18">
        <v>3.0</v>
      </c>
      <c r="E1952" s="17" t="s">
        <v>123</v>
      </c>
      <c r="F1952" s="15" t="s">
        <v>124</v>
      </c>
      <c r="G1952" s="19">
        <v>5.1100774E7</v>
      </c>
      <c r="H1952" s="15" t="s">
        <v>39</v>
      </c>
      <c r="I1952" s="20" t="s">
        <v>17</v>
      </c>
      <c r="J1952" s="21">
        <v>2.541645E7</v>
      </c>
      <c r="K1952" s="21">
        <v>7587.0</v>
      </c>
    </row>
    <row r="1953">
      <c r="A1953" s="15" t="s">
        <v>74</v>
      </c>
      <c r="B1953" s="16" t="s">
        <v>148</v>
      </c>
      <c r="C1953" s="17" t="s">
        <v>149</v>
      </c>
      <c r="D1953" s="18">
        <v>3.0</v>
      </c>
      <c r="E1953" s="17" t="s">
        <v>125</v>
      </c>
      <c r="F1953" s="15" t="s">
        <v>126</v>
      </c>
      <c r="G1953" s="19">
        <v>9.0043001E7</v>
      </c>
      <c r="H1953" s="15" t="s">
        <v>18</v>
      </c>
      <c r="I1953" s="20" t="s">
        <v>19</v>
      </c>
      <c r="J1953" s="21">
        <v>2.49445876E8</v>
      </c>
      <c r="K1953" s="21">
        <v>1828.0</v>
      </c>
    </row>
    <row r="1954">
      <c r="A1954" s="15" t="s">
        <v>74</v>
      </c>
      <c r="B1954" s="16" t="s">
        <v>148</v>
      </c>
      <c r="C1954" s="17" t="s">
        <v>149</v>
      </c>
      <c r="D1954" s="18">
        <v>3.0</v>
      </c>
      <c r="E1954" s="17" t="s">
        <v>127</v>
      </c>
      <c r="F1954" s="15" t="s">
        <v>128</v>
      </c>
      <c r="G1954" s="19">
        <v>5.1100153E7</v>
      </c>
      <c r="H1954" s="15" t="s">
        <v>72</v>
      </c>
      <c r="I1954" s="20" t="s">
        <v>17</v>
      </c>
      <c r="J1954" s="21">
        <v>1.98781808E8</v>
      </c>
      <c r="K1954" s="21">
        <v>1313990.0</v>
      </c>
    </row>
    <row r="1955">
      <c r="A1955" s="15" t="s">
        <v>74</v>
      </c>
      <c r="B1955" s="16" t="s">
        <v>148</v>
      </c>
      <c r="C1955" s="17" t="s">
        <v>149</v>
      </c>
      <c r="D1955" s="18">
        <v>3.0</v>
      </c>
      <c r="E1955" s="17" t="s">
        <v>127</v>
      </c>
      <c r="F1955" s="15" t="s">
        <v>128</v>
      </c>
      <c r="G1955" s="19">
        <v>9.0043002E7</v>
      </c>
      <c r="H1955" s="15" t="s">
        <v>49</v>
      </c>
      <c r="I1955" s="20" t="s">
        <v>50</v>
      </c>
      <c r="J1955" s="21">
        <v>1.494144E7</v>
      </c>
      <c r="K1955" s="21">
        <v>1375.0</v>
      </c>
    </row>
    <row r="1956">
      <c r="A1956" s="15" t="s">
        <v>74</v>
      </c>
      <c r="B1956" s="16" t="s">
        <v>148</v>
      </c>
      <c r="C1956" s="17" t="s">
        <v>149</v>
      </c>
      <c r="D1956" s="18">
        <v>3.0</v>
      </c>
      <c r="E1956" s="17" t="s">
        <v>129</v>
      </c>
      <c r="F1956" s="15" t="s">
        <v>130</v>
      </c>
      <c r="G1956" s="19">
        <v>5.1100153E7</v>
      </c>
      <c r="H1956" s="15" t="s">
        <v>72</v>
      </c>
      <c r="I1956" s="20" t="s">
        <v>25</v>
      </c>
      <c r="J1956" s="21">
        <v>0.0</v>
      </c>
      <c r="K1956" s="21">
        <v>0.0</v>
      </c>
    </row>
    <row r="1957">
      <c r="A1957" s="15" t="s">
        <v>74</v>
      </c>
      <c r="B1957" s="16" t="s">
        <v>148</v>
      </c>
      <c r="C1957" s="17" t="s">
        <v>149</v>
      </c>
      <c r="D1957" s="18">
        <v>3.0</v>
      </c>
      <c r="E1957" s="17" t="s">
        <v>129</v>
      </c>
      <c r="F1957" s="15" t="s">
        <v>130</v>
      </c>
      <c r="G1957" s="19">
        <v>5.1101056E7</v>
      </c>
      <c r="H1957" s="15" t="s">
        <v>16</v>
      </c>
      <c r="I1957" s="20" t="s">
        <v>17</v>
      </c>
      <c r="J1957" s="21">
        <v>4.859022E7</v>
      </c>
      <c r="K1957" s="21">
        <v>694146.0</v>
      </c>
    </row>
    <row r="1958">
      <c r="A1958" s="15" t="s">
        <v>74</v>
      </c>
      <c r="B1958" s="16" t="s">
        <v>148</v>
      </c>
      <c r="C1958" s="17" t="s">
        <v>149</v>
      </c>
      <c r="D1958" s="18">
        <v>3.0</v>
      </c>
      <c r="E1958" s="17" t="s">
        <v>129</v>
      </c>
      <c r="F1958" s="15" t="s">
        <v>130</v>
      </c>
      <c r="G1958" s="19">
        <v>9.0043001E7</v>
      </c>
      <c r="H1958" s="15" t="s">
        <v>18</v>
      </c>
      <c r="I1958" s="20" t="s">
        <v>19</v>
      </c>
      <c r="J1958" s="21">
        <v>8918217.0</v>
      </c>
      <c r="K1958" s="21">
        <v>56.0</v>
      </c>
    </row>
    <row r="1959">
      <c r="A1959" s="15" t="s">
        <v>74</v>
      </c>
      <c r="B1959" s="16" t="s">
        <v>148</v>
      </c>
      <c r="C1959" s="17" t="s">
        <v>149</v>
      </c>
      <c r="D1959" s="18">
        <v>3.0</v>
      </c>
      <c r="E1959" s="17" t="s">
        <v>129</v>
      </c>
      <c r="F1959" s="15" t="s">
        <v>130</v>
      </c>
      <c r="G1959" s="19">
        <v>9.0043003E7</v>
      </c>
      <c r="H1959" s="15" t="s">
        <v>90</v>
      </c>
      <c r="I1959" s="20" t="s">
        <v>50</v>
      </c>
      <c r="J1959" s="21">
        <v>3.8797686E7</v>
      </c>
      <c r="K1959" s="21">
        <v>192.0</v>
      </c>
    </row>
    <row r="1960">
      <c r="A1960" s="15" t="s">
        <v>74</v>
      </c>
      <c r="B1960" s="16" t="s">
        <v>148</v>
      </c>
      <c r="C1960" s="17" t="s">
        <v>149</v>
      </c>
      <c r="D1960" s="18">
        <v>3.0</v>
      </c>
      <c r="E1960" s="17" t="s">
        <v>129</v>
      </c>
      <c r="F1960" s="15" t="s">
        <v>130</v>
      </c>
      <c r="G1960" s="19">
        <v>9.0043E7</v>
      </c>
      <c r="H1960" s="15" t="s">
        <v>83</v>
      </c>
      <c r="I1960" s="20" t="s">
        <v>19</v>
      </c>
      <c r="J1960" s="21">
        <v>975643.0</v>
      </c>
      <c r="K1960" s="21">
        <v>7.0</v>
      </c>
    </row>
    <row r="1961">
      <c r="A1961" s="15" t="s">
        <v>74</v>
      </c>
      <c r="B1961" s="16" t="s">
        <v>148</v>
      </c>
      <c r="C1961" s="17" t="s">
        <v>149</v>
      </c>
      <c r="D1961" s="18">
        <v>3.0</v>
      </c>
      <c r="E1961" s="17" t="s">
        <v>135</v>
      </c>
      <c r="F1961" s="15" t="s">
        <v>136</v>
      </c>
      <c r="G1961" s="19">
        <v>9.0043001E7</v>
      </c>
      <c r="H1961" s="15" t="s">
        <v>18</v>
      </c>
      <c r="I1961" s="20" t="s">
        <v>19</v>
      </c>
      <c r="J1961" s="21">
        <v>7261642.0</v>
      </c>
      <c r="K1961" s="21">
        <v>55.0</v>
      </c>
    </row>
    <row r="1962">
      <c r="A1962" s="15" t="s">
        <v>74</v>
      </c>
      <c r="B1962" s="16" t="s">
        <v>148</v>
      </c>
      <c r="C1962" s="17" t="s">
        <v>149</v>
      </c>
      <c r="D1962" s="18">
        <v>3.0</v>
      </c>
      <c r="E1962" s="17" t="s">
        <v>54</v>
      </c>
      <c r="F1962" s="15" t="s">
        <v>139</v>
      </c>
      <c r="G1962" s="19">
        <v>9.0042011E7</v>
      </c>
      <c r="H1962" s="15" t="s">
        <v>55</v>
      </c>
      <c r="I1962" s="20" t="s">
        <v>19</v>
      </c>
      <c r="J1962" s="21">
        <v>4.29992926E8</v>
      </c>
      <c r="K1962" s="21">
        <v>0.0</v>
      </c>
    </row>
    <row r="1963">
      <c r="A1963" s="15" t="s">
        <v>74</v>
      </c>
      <c r="B1963" s="16" t="s">
        <v>148</v>
      </c>
      <c r="C1963" s="17" t="s">
        <v>149</v>
      </c>
      <c r="D1963" s="18">
        <v>3.0</v>
      </c>
      <c r="E1963" s="17" t="s">
        <v>164</v>
      </c>
      <c r="F1963" s="15" t="s">
        <v>165</v>
      </c>
      <c r="G1963" s="19">
        <v>9.0042079E7</v>
      </c>
      <c r="H1963" s="15" t="s">
        <v>166</v>
      </c>
      <c r="I1963" s="20" t="s">
        <v>19</v>
      </c>
      <c r="J1963" s="21">
        <v>35000.0</v>
      </c>
      <c r="K1963" s="21">
        <v>0.0</v>
      </c>
    </row>
    <row r="1964">
      <c r="A1964" s="15" t="s">
        <v>74</v>
      </c>
      <c r="B1964" s="16" t="s">
        <v>148</v>
      </c>
      <c r="C1964" s="17" t="s">
        <v>149</v>
      </c>
      <c r="D1964" s="18">
        <v>3.0</v>
      </c>
      <c r="E1964" s="17" t="s">
        <v>20</v>
      </c>
      <c r="F1964" s="15" t="s">
        <v>140</v>
      </c>
      <c r="G1964" s="19">
        <v>9.0042014E7</v>
      </c>
      <c r="H1964" s="15" t="s">
        <v>21</v>
      </c>
      <c r="I1964" s="20" t="s">
        <v>19</v>
      </c>
      <c r="J1964" s="21">
        <v>4.95373864E8</v>
      </c>
      <c r="K1964" s="21">
        <v>0.0</v>
      </c>
    </row>
    <row r="1965">
      <c r="A1965" s="15" t="s">
        <v>74</v>
      </c>
      <c r="B1965" s="16" t="s">
        <v>148</v>
      </c>
      <c r="C1965" s="17" t="s">
        <v>149</v>
      </c>
      <c r="D1965" s="18">
        <v>3.0</v>
      </c>
      <c r="E1965" s="17" t="s">
        <v>20</v>
      </c>
      <c r="F1965" s="15" t="s">
        <v>140</v>
      </c>
      <c r="G1965" s="19">
        <v>9.0042077E7</v>
      </c>
      <c r="H1965" s="15" t="s">
        <v>141</v>
      </c>
      <c r="I1965" s="20" t="s">
        <v>19</v>
      </c>
      <c r="J1965" s="21">
        <v>5.7749404E7</v>
      </c>
      <c r="K1965" s="21">
        <v>0.0</v>
      </c>
    </row>
    <row r="1966">
      <c r="A1966" s="15" t="s">
        <v>74</v>
      </c>
      <c r="B1966" s="16" t="s">
        <v>148</v>
      </c>
      <c r="C1966" s="17" t="s">
        <v>149</v>
      </c>
      <c r="D1966" s="18">
        <v>3.0</v>
      </c>
      <c r="E1966" s="17" t="s">
        <v>142</v>
      </c>
      <c r="F1966" s="15" t="s">
        <v>143</v>
      </c>
      <c r="G1966" s="19">
        <v>9.0042013E7</v>
      </c>
      <c r="H1966" s="15" t="s">
        <v>144</v>
      </c>
      <c r="I1966" s="20" t="s">
        <v>19</v>
      </c>
      <c r="J1966" s="21">
        <v>1.5299003E7</v>
      </c>
      <c r="K1966" s="21">
        <v>0.0</v>
      </c>
    </row>
    <row r="1967">
      <c r="A1967" s="15" t="s">
        <v>74</v>
      </c>
      <c r="B1967" s="16" t="s">
        <v>148</v>
      </c>
      <c r="C1967" s="17" t="s">
        <v>149</v>
      </c>
      <c r="D1967" s="18">
        <v>3.0</v>
      </c>
      <c r="E1967" s="17" t="s">
        <v>142</v>
      </c>
      <c r="F1967" s="15" t="s">
        <v>143</v>
      </c>
      <c r="G1967" s="19">
        <v>9.0042084E7</v>
      </c>
      <c r="H1967" s="15" t="s">
        <v>145</v>
      </c>
      <c r="I1967" s="20" t="s">
        <v>19</v>
      </c>
      <c r="J1967" s="21">
        <v>1.6524071E7</v>
      </c>
      <c r="K1967" s="21">
        <v>0.0</v>
      </c>
    </row>
    <row r="1968">
      <c r="A1968" s="15" t="s">
        <v>74</v>
      </c>
      <c r="B1968" s="16" t="s">
        <v>148</v>
      </c>
      <c r="C1968" s="17" t="s">
        <v>149</v>
      </c>
      <c r="D1968" s="18">
        <v>3.0</v>
      </c>
      <c r="E1968" s="17" t="s">
        <v>22</v>
      </c>
      <c r="F1968" s="15" t="s">
        <v>146</v>
      </c>
      <c r="G1968" s="19">
        <v>9.0042012E7</v>
      </c>
      <c r="H1968" s="15" t="s">
        <v>23</v>
      </c>
      <c r="I1968" s="20" t="s">
        <v>19</v>
      </c>
      <c r="J1968" s="21">
        <v>1.477432E8</v>
      </c>
      <c r="K1968" s="21">
        <v>0.0</v>
      </c>
    </row>
    <row r="1969">
      <c r="A1969" s="15" t="s">
        <v>74</v>
      </c>
      <c r="B1969" s="16" t="s">
        <v>148</v>
      </c>
      <c r="C1969" s="17" t="s">
        <v>149</v>
      </c>
      <c r="D1969" s="18">
        <v>3.0</v>
      </c>
      <c r="E1969" s="17" t="s">
        <v>22</v>
      </c>
      <c r="F1969" s="15" t="s">
        <v>146</v>
      </c>
      <c r="G1969" s="19">
        <v>9.0042121E7</v>
      </c>
      <c r="H1969" s="15" t="s">
        <v>24</v>
      </c>
      <c r="I1969" s="20" t="s">
        <v>25</v>
      </c>
      <c r="J1969" s="21">
        <v>8.734496E7</v>
      </c>
      <c r="K1969" s="21">
        <v>0.0</v>
      </c>
    </row>
    <row r="1970">
      <c r="A1970" s="15" t="s">
        <v>74</v>
      </c>
      <c r="B1970" s="16" t="s">
        <v>148</v>
      </c>
      <c r="C1970" s="17" t="s">
        <v>149</v>
      </c>
      <c r="D1970" s="18">
        <v>3.0</v>
      </c>
      <c r="E1970" s="17" t="s">
        <v>22</v>
      </c>
      <c r="F1970" s="15" t="s">
        <v>146</v>
      </c>
      <c r="G1970" s="19">
        <v>9.0042122E7</v>
      </c>
      <c r="H1970" s="15" t="s">
        <v>56</v>
      </c>
      <c r="I1970" s="20" t="s">
        <v>25</v>
      </c>
      <c r="J1970" s="21">
        <v>2963602.0</v>
      </c>
      <c r="K1970" s="21">
        <v>0.0</v>
      </c>
    </row>
    <row r="1971">
      <c r="A1971" s="15" t="s">
        <v>74</v>
      </c>
      <c r="B1971" s="16" t="s">
        <v>148</v>
      </c>
      <c r="C1971" s="17" t="s">
        <v>149</v>
      </c>
      <c r="D1971" s="18">
        <v>3.0</v>
      </c>
      <c r="E1971" s="17" t="s">
        <v>22</v>
      </c>
      <c r="F1971" s="15" t="s">
        <v>146</v>
      </c>
      <c r="G1971" s="19">
        <v>9.0042124E7</v>
      </c>
      <c r="H1971" s="15" t="s">
        <v>57</v>
      </c>
      <c r="I1971" s="20" t="s">
        <v>25</v>
      </c>
      <c r="J1971" s="21">
        <v>1.9464746E7</v>
      </c>
      <c r="K1971" s="21">
        <v>0.0</v>
      </c>
    </row>
    <row r="1972">
      <c r="A1972" s="15" t="s">
        <v>74</v>
      </c>
      <c r="B1972" s="16" t="s">
        <v>148</v>
      </c>
      <c r="C1972" s="17" t="s">
        <v>149</v>
      </c>
      <c r="D1972" s="18">
        <v>3.0</v>
      </c>
      <c r="E1972" s="17" t="s">
        <v>22</v>
      </c>
      <c r="F1972" s="15" t="s">
        <v>146</v>
      </c>
      <c r="G1972" s="19">
        <v>9.0042125E7</v>
      </c>
      <c r="H1972" s="15" t="s">
        <v>26</v>
      </c>
      <c r="I1972" s="20" t="s">
        <v>25</v>
      </c>
      <c r="J1972" s="21">
        <v>8.7932813E7</v>
      </c>
      <c r="K1972" s="21">
        <v>0.0</v>
      </c>
    </row>
    <row r="1973">
      <c r="A1973" s="15" t="s">
        <v>74</v>
      </c>
      <c r="B1973" s="16" t="s">
        <v>148</v>
      </c>
      <c r="C1973" s="17" t="s">
        <v>149</v>
      </c>
      <c r="D1973" s="18">
        <v>3.0</v>
      </c>
      <c r="E1973" s="17" t="s">
        <v>22</v>
      </c>
      <c r="F1973" s="15" t="s">
        <v>146</v>
      </c>
      <c r="G1973" s="19">
        <v>9.0042127E7</v>
      </c>
      <c r="H1973" s="15" t="s">
        <v>27</v>
      </c>
      <c r="I1973" s="20" t="s">
        <v>25</v>
      </c>
      <c r="J1973" s="21">
        <v>2.5684996E7</v>
      </c>
      <c r="K1973" s="21">
        <v>0.0</v>
      </c>
    </row>
    <row r="1974">
      <c r="A1974" s="15" t="s">
        <v>74</v>
      </c>
      <c r="B1974" s="16" t="s">
        <v>148</v>
      </c>
      <c r="C1974" s="17" t="s">
        <v>149</v>
      </c>
      <c r="D1974" s="18">
        <v>3.0</v>
      </c>
      <c r="E1974" s="17" t="s">
        <v>22</v>
      </c>
      <c r="F1974" s="15" t="s">
        <v>146</v>
      </c>
      <c r="G1974" s="19">
        <v>9.0042132E7</v>
      </c>
      <c r="H1974" s="15" t="s">
        <v>28</v>
      </c>
      <c r="I1974" s="20" t="s">
        <v>25</v>
      </c>
      <c r="J1974" s="21">
        <v>2.4271254E7</v>
      </c>
      <c r="K1974" s="21">
        <v>0.0</v>
      </c>
    </row>
    <row r="1975">
      <c r="A1975" s="15" t="s">
        <v>74</v>
      </c>
      <c r="B1975" s="16" t="s">
        <v>148</v>
      </c>
      <c r="C1975" s="17" t="s">
        <v>149</v>
      </c>
      <c r="D1975" s="18">
        <v>3.0</v>
      </c>
      <c r="E1975" s="17" t="s">
        <v>22</v>
      </c>
      <c r="F1975" s="15" t="s">
        <v>146</v>
      </c>
      <c r="G1975" s="19">
        <v>9.0042134E7</v>
      </c>
      <c r="H1975" s="15" t="s">
        <v>29</v>
      </c>
      <c r="I1975" s="20" t="s">
        <v>25</v>
      </c>
      <c r="J1975" s="21">
        <v>685000.0</v>
      </c>
      <c r="K1975" s="21">
        <v>0.0</v>
      </c>
    </row>
    <row r="1976">
      <c r="A1976" s="15" t="s">
        <v>74</v>
      </c>
      <c r="B1976" s="16" t="s">
        <v>148</v>
      </c>
      <c r="C1976" s="17" t="s">
        <v>149</v>
      </c>
      <c r="D1976" s="18">
        <v>3.0</v>
      </c>
      <c r="E1976" s="17" t="s">
        <v>22</v>
      </c>
      <c r="F1976" s="15" t="s">
        <v>146</v>
      </c>
      <c r="G1976" s="19">
        <v>9.0042135E7</v>
      </c>
      <c r="H1976" s="15" t="s">
        <v>30</v>
      </c>
      <c r="I1976" s="20" t="s">
        <v>25</v>
      </c>
      <c r="J1976" s="21">
        <v>1.46994222E8</v>
      </c>
      <c r="K1976" s="21">
        <v>0.0</v>
      </c>
    </row>
    <row r="1977">
      <c r="A1977" s="15" t="s">
        <v>74</v>
      </c>
      <c r="B1977" s="16" t="s">
        <v>148</v>
      </c>
      <c r="C1977" s="17" t="s">
        <v>149</v>
      </c>
      <c r="D1977" s="18">
        <v>3.0</v>
      </c>
      <c r="E1977" s="17" t="s">
        <v>22</v>
      </c>
      <c r="F1977" s="15" t="s">
        <v>146</v>
      </c>
      <c r="G1977" s="19">
        <v>9.00422E7</v>
      </c>
      <c r="H1977" s="15" t="s">
        <v>73</v>
      </c>
      <c r="I1977" s="20" t="s">
        <v>60</v>
      </c>
      <c r="J1977" s="21">
        <v>2.01681431E8</v>
      </c>
      <c r="K1977" s="21">
        <v>0.0</v>
      </c>
    </row>
    <row r="1978">
      <c r="A1978" s="15" t="s">
        <v>74</v>
      </c>
      <c r="B1978" s="16" t="s">
        <v>148</v>
      </c>
      <c r="C1978" s="17" t="s">
        <v>149</v>
      </c>
      <c r="D1978" s="18">
        <v>3.0</v>
      </c>
      <c r="E1978" s="17" t="s">
        <v>22</v>
      </c>
      <c r="F1978" s="15" t="s">
        <v>146</v>
      </c>
      <c r="G1978" s="19">
        <v>9.0042223E7</v>
      </c>
      <c r="H1978" s="15" t="s">
        <v>61</v>
      </c>
      <c r="I1978" s="20" t="s">
        <v>60</v>
      </c>
      <c r="J1978" s="21">
        <v>7723529.0</v>
      </c>
      <c r="K1978" s="21">
        <v>0.0</v>
      </c>
    </row>
    <row r="1979">
      <c r="A1979" s="15" t="s">
        <v>74</v>
      </c>
      <c r="B1979" s="16" t="s">
        <v>148</v>
      </c>
      <c r="C1979" s="17" t="s">
        <v>149</v>
      </c>
      <c r="D1979" s="18">
        <v>3.0</v>
      </c>
      <c r="E1979" s="17" t="s">
        <v>22</v>
      </c>
      <c r="F1979" s="15" t="s">
        <v>146</v>
      </c>
      <c r="G1979" s="19">
        <v>9.0042224E7</v>
      </c>
      <c r="H1979" s="15" t="s">
        <v>62</v>
      </c>
      <c r="I1979" s="20" t="s">
        <v>60</v>
      </c>
      <c r="J1979" s="21">
        <v>1349182.0</v>
      </c>
      <c r="K1979" s="21">
        <v>0.0</v>
      </c>
    </row>
    <row r="1980">
      <c r="A1980" s="15" t="s">
        <v>74</v>
      </c>
      <c r="B1980" s="16" t="s">
        <v>148</v>
      </c>
      <c r="C1980" s="17" t="s">
        <v>149</v>
      </c>
      <c r="D1980" s="18">
        <v>3.0</v>
      </c>
      <c r="E1980" s="17" t="s">
        <v>22</v>
      </c>
      <c r="F1980" s="15" t="s">
        <v>146</v>
      </c>
      <c r="G1980" s="19">
        <v>9.0042226E7</v>
      </c>
      <c r="H1980" s="15" t="s">
        <v>63</v>
      </c>
      <c r="I1980" s="20" t="s">
        <v>60</v>
      </c>
      <c r="J1980" s="21">
        <v>660416.0</v>
      </c>
      <c r="K1980" s="21">
        <v>0.0</v>
      </c>
    </row>
    <row r="1981">
      <c r="A1981" s="15" t="s">
        <v>74</v>
      </c>
      <c r="B1981" s="16" t="s">
        <v>148</v>
      </c>
      <c r="C1981" s="17" t="s">
        <v>149</v>
      </c>
      <c r="D1981" s="18">
        <v>3.0</v>
      </c>
      <c r="E1981" s="17" t="s">
        <v>22</v>
      </c>
      <c r="F1981" s="15" t="s">
        <v>146</v>
      </c>
      <c r="G1981" s="19">
        <v>9.0042228E7</v>
      </c>
      <c r="H1981" s="15" t="s">
        <v>64</v>
      </c>
      <c r="I1981" s="20" t="s">
        <v>60</v>
      </c>
      <c r="J1981" s="21">
        <v>5.2437836E7</v>
      </c>
      <c r="K1981" s="21">
        <v>0.0</v>
      </c>
    </row>
    <row r="1982">
      <c r="A1982" s="15" t="s">
        <v>74</v>
      </c>
      <c r="B1982" s="16" t="s">
        <v>148</v>
      </c>
      <c r="C1982" s="17" t="s">
        <v>149</v>
      </c>
      <c r="D1982" s="18">
        <v>3.0</v>
      </c>
      <c r="E1982" s="17" t="s">
        <v>22</v>
      </c>
      <c r="F1982" s="15" t="s">
        <v>146</v>
      </c>
      <c r="G1982" s="19">
        <v>9.0042231E7</v>
      </c>
      <c r="H1982" s="15" t="s">
        <v>65</v>
      </c>
      <c r="I1982" s="20" t="s">
        <v>60</v>
      </c>
      <c r="J1982" s="21">
        <v>5418390.0</v>
      </c>
      <c r="K1982" s="21">
        <v>0.0</v>
      </c>
    </row>
    <row r="1983">
      <c r="A1983" s="15" t="s">
        <v>74</v>
      </c>
      <c r="B1983" s="16" t="s">
        <v>148</v>
      </c>
      <c r="C1983" s="17" t="s">
        <v>149</v>
      </c>
      <c r="D1983" s="18">
        <v>3.0</v>
      </c>
      <c r="E1983" s="17" t="s">
        <v>22</v>
      </c>
      <c r="F1983" s="15" t="s">
        <v>146</v>
      </c>
      <c r="G1983" s="19">
        <v>9.0042126E7</v>
      </c>
      <c r="H1983" s="15" t="s">
        <v>31</v>
      </c>
      <c r="I1983" s="20" t="s">
        <v>25</v>
      </c>
      <c r="J1983" s="21">
        <v>3.8350668E7</v>
      </c>
      <c r="K1983" s="21">
        <v>0.0</v>
      </c>
    </row>
    <row r="1984">
      <c r="A1984" s="15" t="s">
        <v>74</v>
      </c>
      <c r="B1984" s="16" t="s">
        <v>148</v>
      </c>
      <c r="C1984" s="17" t="s">
        <v>149</v>
      </c>
      <c r="D1984" s="18">
        <v>3.0</v>
      </c>
      <c r="E1984" s="17" t="s">
        <v>22</v>
      </c>
      <c r="F1984" s="15" t="s">
        <v>146</v>
      </c>
      <c r="G1984" s="19">
        <v>9.004212E7</v>
      </c>
      <c r="H1984" s="15" t="s">
        <v>182</v>
      </c>
      <c r="I1984" s="20" t="s">
        <v>25</v>
      </c>
      <c r="J1984" s="21">
        <v>5.9461E7</v>
      </c>
      <c r="K1984" s="21">
        <v>0.0</v>
      </c>
    </row>
    <row r="1985">
      <c r="A1985" s="15" t="s">
        <v>74</v>
      </c>
      <c r="B1985" s="16" t="s">
        <v>148</v>
      </c>
      <c r="C1985" s="17" t="s">
        <v>149</v>
      </c>
      <c r="D1985" s="18">
        <v>3.0</v>
      </c>
      <c r="E1985" s="17" t="s">
        <v>22</v>
      </c>
      <c r="F1985" s="15" t="s">
        <v>146</v>
      </c>
      <c r="G1985" s="19">
        <v>9.0042119E7</v>
      </c>
      <c r="H1985" s="15" t="s">
        <v>279</v>
      </c>
      <c r="I1985" s="20" t="s">
        <v>25</v>
      </c>
      <c r="J1985" s="21">
        <v>267000.0</v>
      </c>
      <c r="K1985" s="21">
        <v>0.0</v>
      </c>
    </row>
    <row r="1986">
      <c r="A1986" s="15" t="s">
        <v>74</v>
      </c>
      <c r="B1986" s="16" t="s">
        <v>167</v>
      </c>
      <c r="C1986" s="17" t="s">
        <v>168</v>
      </c>
      <c r="D1986" s="18">
        <v>3.0</v>
      </c>
      <c r="E1986" s="17" t="s">
        <v>84</v>
      </c>
      <c r="F1986" s="15" t="s">
        <v>85</v>
      </c>
      <c r="G1986" s="19">
        <v>9.0043001E7</v>
      </c>
      <c r="H1986" s="15" t="s">
        <v>18</v>
      </c>
      <c r="I1986" s="20" t="s">
        <v>19</v>
      </c>
      <c r="J1986" s="21">
        <v>9632181.0</v>
      </c>
      <c r="K1986" s="21">
        <v>71.0</v>
      </c>
    </row>
    <row r="1987">
      <c r="A1987" s="15" t="s">
        <v>74</v>
      </c>
      <c r="B1987" s="16" t="s">
        <v>167</v>
      </c>
      <c r="C1987" s="17" t="s">
        <v>168</v>
      </c>
      <c r="D1987" s="18">
        <v>3.0</v>
      </c>
      <c r="E1987" s="17" t="s">
        <v>86</v>
      </c>
      <c r="F1987" s="15" t="s">
        <v>87</v>
      </c>
      <c r="G1987" s="19">
        <v>9.0043001E7</v>
      </c>
      <c r="H1987" s="15" t="s">
        <v>18</v>
      </c>
      <c r="I1987" s="20" t="s">
        <v>19</v>
      </c>
      <c r="J1987" s="21">
        <v>6.527722E7</v>
      </c>
      <c r="K1987" s="21">
        <v>452.0</v>
      </c>
    </row>
    <row r="1988">
      <c r="A1988" s="15" t="s">
        <v>74</v>
      </c>
      <c r="B1988" s="16" t="s">
        <v>167</v>
      </c>
      <c r="C1988" s="17" t="s">
        <v>168</v>
      </c>
      <c r="D1988" s="18">
        <v>3.0</v>
      </c>
      <c r="E1988" s="17" t="s">
        <v>86</v>
      </c>
      <c r="F1988" s="15" t="s">
        <v>87</v>
      </c>
      <c r="G1988" s="19">
        <v>9.0043E7</v>
      </c>
      <c r="H1988" s="15" t="s">
        <v>83</v>
      </c>
      <c r="I1988" s="20" t="s">
        <v>19</v>
      </c>
      <c r="J1988" s="21">
        <v>315730.0</v>
      </c>
      <c r="K1988" s="21">
        <v>2.0</v>
      </c>
    </row>
    <row r="1989">
      <c r="A1989" s="15" t="s">
        <v>74</v>
      </c>
      <c r="B1989" s="16" t="s">
        <v>167</v>
      </c>
      <c r="C1989" s="17" t="s">
        <v>168</v>
      </c>
      <c r="D1989" s="18">
        <v>3.0</v>
      </c>
      <c r="E1989" s="17" t="s">
        <v>88</v>
      </c>
      <c r="F1989" s="15" t="s">
        <v>89</v>
      </c>
      <c r="G1989" s="19">
        <v>5.1100102E7</v>
      </c>
      <c r="H1989" s="15" t="s">
        <v>172</v>
      </c>
      <c r="I1989" s="20" t="s">
        <v>25</v>
      </c>
      <c r="J1989" s="21">
        <v>1.7240378E7</v>
      </c>
      <c r="K1989" s="21">
        <v>0.0</v>
      </c>
    </row>
    <row r="1990">
      <c r="A1990" s="15" t="s">
        <v>74</v>
      </c>
      <c r="B1990" s="16" t="s">
        <v>167</v>
      </c>
      <c r="C1990" s="17" t="s">
        <v>168</v>
      </c>
      <c r="D1990" s="18">
        <v>3.0</v>
      </c>
      <c r="E1990" s="17" t="s">
        <v>88</v>
      </c>
      <c r="F1990" s="15" t="s">
        <v>89</v>
      </c>
      <c r="G1990" s="19">
        <v>9.0043001E7</v>
      </c>
      <c r="H1990" s="15" t="s">
        <v>18</v>
      </c>
      <c r="I1990" s="20" t="s">
        <v>19</v>
      </c>
      <c r="J1990" s="21">
        <v>2.7140824E7</v>
      </c>
      <c r="K1990" s="21">
        <v>200.0</v>
      </c>
    </row>
    <row r="1991">
      <c r="A1991" s="15" t="s">
        <v>74</v>
      </c>
      <c r="B1991" s="16" t="s">
        <v>167</v>
      </c>
      <c r="C1991" s="17" t="s">
        <v>168</v>
      </c>
      <c r="D1991" s="18">
        <v>3.0</v>
      </c>
      <c r="E1991" s="17" t="s">
        <v>152</v>
      </c>
      <c r="F1991" s="15" t="s">
        <v>153</v>
      </c>
      <c r="G1991" s="19">
        <v>5.1100651E7</v>
      </c>
      <c r="H1991" s="15" t="s">
        <v>38</v>
      </c>
      <c r="I1991" s="20" t="s">
        <v>25</v>
      </c>
      <c r="J1991" s="21">
        <v>2.0</v>
      </c>
      <c r="K1991" s="21">
        <v>0.0</v>
      </c>
    </row>
    <row r="1992">
      <c r="A1992" s="15" t="s">
        <v>74</v>
      </c>
      <c r="B1992" s="16" t="s">
        <v>167</v>
      </c>
      <c r="C1992" s="17" t="s">
        <v>168</v>
      </c>
      <c r="D1992" s="18">
        <v>3.0</v>
      </c>
      <c r="E1992" s="17" t="s">
        <v>152</v>
      </c>
      <c r="F1992" s="15" t="s">
        <v>153</v>
      </c>
      <c r="G1992" s="19">
        <v>9.0043001E7</v>
      </c>
      <c r="H1992" s="15" t="s">
        <v>18</v>
      </c>
      <c r="I1992" s="20" t="s">
        <v>19</v>
      </c>
      <c r="J1992" s="21">
        <v>2302559.0</v>
      </c>
      <c r="K1992" s="21">
        <v>14.0</v>
      </c>
    </row>
    <row r="1993">
      <c r="A1993" s="15" t="s">
        <v>74</v>
      </c>
      <c r="B1993" s="16" t="s">
        <v>167</v>
      </c>
      <c r="C1993" s="17" t="s">
        <v>168</v>
      </c>
      <c r="D1993" s="18">
        <v>3.0</v>
      </c>
      <c r="E1993" s="17" t="s">
        <v>154</v>
      </c>
      <c r="F1993" s="15" t="s">
        <v>155</v>
      </c>
      <c r="G1993" s="19">
        <v>5.1100651E7</v>
      </c>
      <c r="H1993" s="15" t="s">
        <v>38</v>
      </c>
      <c r="I1993" s="20" t="s">
        <v>25</v>
      </c>
      <c r="J1993" s="21">
        <v>7.0</v>
      </c>
      <c r="K1993" s="21">
        <v>0.0</v>
      </c>
    </row>
    <row r="1994">
      <c r="A1994" s="15" t="s">
        <v>74</v>
      </c>
      <c r="B1994" s="16" t="s">
        <v>167</v>
      </c>
      <c r="C1994" s="17" t="s">
        <v>168</v>
      </c>
      <c r="D1994" s="18">
        <v>3.0</v>
      </c>
      <c r="E1994" s="17" t="s">
        <v>154</v>
      </c>
      <c r="F1994" s="15" t="s">
        <v>155</v>
      </c>
      <c r="G1994" s="19">
        <v>9.0043001E7</v>
      </c>
      <c r="H1994" s="15" t="s">
        <v>18</v>
      </c>
      <c r="I1994" s="20" t="s">
        <v>19</v>
      </c>
      <c r="J1994" s="21">
        <v>1.0049722E7</v>
      </c>
      <c r="K1994" s="21">
        <v>70.0</v>
      </c>
    </row>
    <row r="1995">
      <c r="A1995" s="15" t="s">
        <v>74</v>
      </c>
      <c r="B1995" s="16" t="s">
        <v>167</v>
      </c>
      <c r="C1995" s="17" t="s">
        <v>168</v>
      </c>
      <c r="D1995" s="18">
        <v>3.0</v>
      </c>
      <c r="E1995" s="17" t="s">
        <v>154</v>
      </c>
      <c r="F1995" s="15" t="s">
        <v>155</v>
      </c>
      <c r="G1995" s="19">
        <v>9.0043002E7</v>
      </c>
      <c r="H1995" s="15" t="s">
        <v>49</v>
      </c>
      <c r="I1995" s="20" t="s">
        <v>50</v>
      </c>
      <c r="J1995" s="21">
        <v>2.7676969E7</v>
      </c>
      <c r="K1995" s="21">
        <v>1452.0</v>
      </c>
    </row>
    <row r="1996">
      <c r="A1996" s="15" t="s">
        <v>74</v>
      </c>
      <c r="B1996" s="16" t="s">
        <v>167</v>
      </c>
      <c r="C1996" s="17" t="s">
        <v>168</v>
      </c>
      <c r="D1996" s="18">
        <v>3.0</v>
      </c>
      <c r="E1996" s="17" t="s">
        <v>91</v>
      </c>
      <c r="F1996" s="15" t="s">
        <v>92</v>
      </c>
      <c r="G1996" s="19">
        <v>9.0043001E7</v>
      </c>
      <c r="H1996" s="15" t="s">
        <v>18</v>
      </c>
      <c r="I1996" s="20" t="s">
        <v>19</v>
      </c>
      <c r="J1996" s="21">
        <v>1.9785804E7</v>
      </c>
      <c r="K1996" s="21">
        <v>145.0</v>
      </c>
    </row>
    <row r="1997">
      <c r="A1997" s="15" t="s">
        <v>74</v>
      </c>
      <c r="B1997" s="16" t="s">
        <v>167</v>
      </c>
      <c r="C1997" s="17" t="s">
        <v>168</v>
      </c>
      <c r="D1997" s="18">
        <v>3.0</v>
      </c>
      <c r="E1997" s="17" t="s">
        <v>91</v>
      </c>
      <c r="F1997" s="15" t="s">
        <v>92</v>
      </c>
      <c r="G1997" s="19">
        <v>9.0043E7</v>
      </c>
      <c r="H1997" s="15" t="s">
        <v>83</v>
      </c>
      <c r="I1997" s="20" t="s">
        <v>19</v>
      </c>
      <c r="J1997" s="21">
        <v>315730.0</v>
      </c>
      <c r="K1997" s="21">
        <v>2.0</v>
      </c>
    </row>
    <row r="1998">
      <c r="A1998" s="15" t="s">
        <v>74</v>
      </c>
      <c r="B1998" s="16" t="s">
        <v>167</v>
      </c>
      <c r="C1998" s="17" t="s">
        <v>168</v>
      </c>
      <c r="D1998" s="18">
        <v>3.0</v>
      </c>
      <c r="E1998" s="17" t="s">
        <v>95</v>
      </c>
      <c r="F1998" s="15" t="s">
        <v>96</v>
      </c>
      <c r="G1998" s="19">
        <v>5.1100058E7</v>
      </c>
      <c r="H1998" s="15" t="s">
        <v>36</v>
      </c>
      <c r="I1998" s="20" t="s">
        <v>37</v>
      </c>
      <c r="J1998" s="21">
        <v>453840.0</v>
      </c>
      <c r="K1998" s="21">
        <v>7.32</v>
      </c>
    </row>
    <row r="1999">
      <c r="A1999" s="15" t="s">
        <v>74</v>
      </c>
      <c r="B1999" s="16" t="s">
        <v>167</v>
      </c>
      <c r="C1999" s="17" t="s">
        <v>168</v>
      </c>
      <c r="D1999" s="18">
        <v>3.0</v>
      </c>
      <c r="E1999" s="17" t="s">
        <v>95</v>
      </c>
      <c r="F1999" s="15" t="s">
        <v>96</v>
      </c>
      <c r="G1999" s="19">
        <v>5.1100061E7</v>
      </c>
      <c r="H1999" s="15" t="s">
        <v>42</v>
      </c>
      <c r="I1999" s="20" t="s">
        <v>37</v>
      </c>
      <c r="J1999" s="21">
        <v>2.5943726E7</v>
      </c>
      <c r="K1999" s="21">
        <v>348.84</v>
      </c>
    </row>
    <row r="2000">
      <c r="A2000" s="15" t="s">
        <v>74</v>
      </c>
      <c r="B2000" s="16" t="s">
        <v>167</v>
      </c>
      <c r="C2000" s="17" t="s">
        <v>168</v>
      </c>
      <c r="D2000" s="18">
        <v>3.0</v>
      </c>
      <c r="E2000" s="17" t="s">
        <v>95</v>
      </c>
      <c r="F2000" s="15" t="s">
        <v>96</v>
      </c>
      <c r="G2000" s="19">
        <v>5.1100651E7</v>
      </c>
      <c r="H2000" s="15" t="s">
        <v>38</v>
      </c>
      <c r="I2000" s="20" t="s">
        <v>25</v>
      </c>
      <c r="J2000" s="21">
        <v>0.0</v>
      </c>
      <c r="K2000" s="21">
        <v>0.0</v>
      </c>
    </row>
    <row r="2001">
      <c r="A2001" s="15" t="s">
        <v>74</v>
      </c>
      <c r="B2001" s="16" t="s">
        <v>167</v>
      </c>
      <c r="C2001" s="17" t="s">
        <v>168</v>
      </c>
      <c r="D2001" s="18">
        <v>3.0</v>
      </c>
      <c r="E2001" s="17" t="s">
        <v>95</v>
      </c>
      <c r="F2001" s="15" t="s">
        <v>96</v>
      </c>
      <c r="G2001" s="19">
        <v>5.1101056E7</v>
      </c>
      <c r="H2001" s="15" t="s">
        <v>16</v>
      </c>
      <c r="I2001" s="20" t="s">
        <v>25</v>
      </c>
      <c r="J2001" s="21">
        <v>0.0</v>
      </c>
      <c r="K2001" s="21">
        <v>0.0</v>
      </c>
    </row>
    <row r="2002">
      <c r="A2002" s="15" t="s">
        <v>74</v>
      </c>
      <c r="B2002" s="16" t="s">
        <v>167</v>
      </c>
      <c r="C2002" s="17" t="s">
        <v>168</v>
      </c>
      <c r="D2002" s="18">
        <v>3.0</v>
      </c>
      <c r="E2002" s="17" t="s">
        <v>95</v>
      </c>
      <c r="F2002" s="15" t="s">
        <v>96</v>
      </c>
      <c r="G2002" s="19">
        <v>9.0043001E7</v>
      </c>
      <c r="H2002" s="15" t="s">
        <v>18</v>
      </c>
      <c r="I2002" s="20" t="s">
        <v>19</v>
      </c>
      <c r="J2002" s="21">
        <v>8634296.0</v>
      </c>
      <c r="K2002" s="21">
        <v>59.0</v>
      </c>
    </row>
    <row r="2003">
      <c r="A2003" s="15" t="s">
        <v>74</v>
      </c>
      <c r="B2003" s="16" t="s">
        <v>167</v>
      </c>
      <c r="C2003" s="17" t="s">
        <v>168</v>
      </c>
      <c r="D2003" s="18">
        <v>3.0</v>
      </c>
      <c r="E2003" s="17" t="s">
        <v>95</v>
      </c>
      <c r="F2003" s="15" t="s">
        <v>96</v>
      </c>
      <c r="G2003" s="19">
        <v>5.1100774E7</v>
      </c>
      <c r="H2003" s="15" t="s">
        <v>39</v>
      </c>
      <c r="I2003" s="20" t="s">
        <v>25</v>
      </c>
      <c r="J2003" s="21">
        <v>-4.0</v>
      </c>
      <c r="K2003" s="21">
        <v>0.0</v>
      </c>
    </row>
    <row r="2004">
      <c r="A2004" s="15" t="s">
        <v>74</v>
      </c>
      <c r="B2004" s="16" t="s">
        <v>167</v>
      </c>
      <c r="C2004" s="17" t="s">
        <v>168</v>
      </c>
      <c r="D2004" s="18">
        <v>3.0</v>
      </c>
      <c r="E2004" s="17" t="s">
        <v>95</v>
      </c>
      <c r="F2004" s="15" t="s">
        <v>96</v>
      </c>
      <c r="G2004" s="19">
        <v>5.1100774E7</v>
      </c>
      <c r="H2004" s="15" t="s">
        <v>39</v>
      </c>
      <c r="I2004" s="20" t="s">
        <v>17</v>
      </c>
      <c r="J2004" s="21">
        <v>5.6442182E7</v>
      </c>
      <c r="K2004" s="21">
        <v>760.42</v>
      </c>
    </row>
    <row r="2005">
      <c r="A2005" s="15" t="s">
        <v>74</v>
      </c>
      <c r="B2005" s="16" t="s">
        <v>167</v>
      </c>
      <c r="C2005" s="17" t="s">
        <v>168</v>
      </c>
      <c r="D2005" s="18">
        <v>3.0</v>
      </c>
      <c r="E2005" s="17" t="s">
        <v>103</v>
      </c>
      <c r="F2005" s="15" t="s">
        <v>104</v>
      </c>
      <c r="G2005" s="19">
        <v>5.1100061E7</v>
      </c>
      <c r="H2005" s="15" t="s">
        <v>42</v>
      </c>
      <c r="I2005" s="20" t="s">
        <v>37</v>
      </c>
      <c r="J2005" s="21">
        <v>5.603045E7</v>
      </c>
      <c r="K2005" s="21">
        <v>658.392</v>
      </c>
    </row>
    <row r="2006">
      <c r="A2006" s="15" t="s">
        <v>74</v>
      </c>
      <c r="B2006" s="16" t="s">
        <v>167</v>
      </c>
      <c r="C2006" s="17" t="s">
        <v>168</v>
      </c>
      <c r="D2006" s="18">
        <v>3.0</v>
      </c>
      <c r="E2006" s="17" t="s">
        <v>103</v>
      </c>
      <c r="F2006" s="15" t="s">
        <v>104</v>
      </c>
      <c r="G2006" s="19">
        <v>5.1100651E7</v>
      </c>
      <c r="H2006" s="15" t="s">
        <v>38</v>
      </c>
      <c r="I2006" s="20" t="s">
        <v>25</v>
      </c>
      <c r="J2006" s="21">
        <v>0.0</v>
      </c>
      <c r="K2006" s="21">
        <v>0.0</v>
      </c>
    </row>
    <row r="2007">
      <c r="A2007" s="15" t="s">
        <v>74</v>
      </c>
      <c r="B2007" s="16" t="s">
        <v>167</v>
      </c>
      <c r="C2007" s="17" t="s">
        <v>168</v>
      </c>
      <c r="D2007" s="18">
        <v>3.0</v>
      </c>
      <c r="E2007" s="17" t="s">
        <v>103</v>
      </c>
      <c r="F2007" s="15" t="s">
        <v>104</v>
      </c>
      <c r="G2007" s="19">
        <v>5.1101056E7</v>
      </c>
      <c r="H2007" s="15" t="s">
        <v>16</v>
      </c>
      <c r="I2007" s="20" t="s">
        <v>25</v>
      </c>
      <c r="J2007" s="21">
        <v>0.0</v>
      </c>
      <c r="K2007" s="21">
        <v>0.0</v>
      </c>
    </row>
    <row r="2008">
      <c r="A2008" s="15" t="s">
        <v>74</v>
      </c>
      <c r="B2008" s="16" t="s">
        <v>167</v>
      </c>
      <c r="C2008" s="17" t="s">
        <v>168</v>
      </c>
      <c r="D2008" s="18">
        <v>3.0</v>
      </c>
      <c r="E2008" s="17" t="s">
        <v>103</v>
      </c>
      <c r="F2008" s="15" t="s">
        <v>104</v>
      </c>
      <c r="G2008" s="19">
        <v>5.1100774E7</v>
      </c>
      <c r="H2008" s="15" t="s">
        <v>39</v>
      </c>
      <c r="I2008" s="20" t="s">
        <v>25</v>
      </c>
      <c r="J2008" s="21">
        <v>-15.0</v>
      </c>
      <c r="K2008" s="21">
        <v>0.0</v>
      </c>
    </row>
    <row r="2009">
      <c r="A2009" s="15" t="s">
        <v>74</v>
      </c>
      <c r="B2009" s="16" t="s">
        <v>167</v>
      </c>
      <c r="C2009" s="17" t="s">
        <v>168</v>
      </c>
      <c r="D2009" s="18">
        <v>3.0</v>
      </c>
      <c r="E2009" s="17" t="s">
        <v>103</v>
      </c>
      <c r="F2009" s="15" t="s">
        <v>104</v>
      </c>
      <c r="G2009" s="19">
        <v>5.1100774E7</v>
      </c>
      <c r="H2009" s="15" t="s">
        <v>39</v>
      </c>
      <c r="I2009" s="20" t="s">
        <v>17</v>
      </c>
      <c r="J2009" s="21">
        <v>8.0378257E7</v>
      </c>
      <c r="K2009" s="21">
        <v>541.45</v>
      </c>
    </row>
    <row r="2010">
      <c r="A2010" s="15" t="s">
        <v>74</v>
      </c>
      <c r="B2010" s="16" t="s">
        <v>167</v>
      </c>
      <c r="C2010" s="17" t="s">
        <v>168</v>
      </c>
      <c r="D2010" s="18">
        <v>3.0</v>
      </c>
      <c r="E2010" s="17" t="s">
        <v>205</v>
      </c>
      <c r="F2010" s="15" t="s">
        <v>206</v>
      </c>
      <c r="G2010" s="19">
        <v>5.1100061E7</v>
      </c>
      <c r="H2010" s="15" t="s">
        <v>42</v>
      </c>
      <c r="I2010" s="20" t="s">
        <v>37</v>
      </c>
      <c r="J2010" s="21">
        <v>1.5276369E7</v>
      </c>
      <c r="K2010" s="21">
        <v>179.19</v>
      </c>
    </row>
    <row r="2011">
      <c r="A2011" s="15" t="s">
        <v>74</v>
      </c>
      <c r="B2011" s="16" t="s">
        <v>167</v>
      </c>
      <c r="C2011" s="17" t="s">
        <v>168</v>
      </c>
      <c r="D2011" s="18">
        <v>3.0</v>
      </c>
      <c r="E2011" s="17" t="s">
        <v>108</v>
      </c>
      <c r="F2011" s="15" t="s">
        <v>109</v>
      </c>
      <c r="G2011" s="19">
        <v>5.1100061E7</v>
      </c>
      <c r="H2011" s="15" t="s">
        <v>42</v>
      </c>
      <c r="I2011" s="20" t="s">
        <v>37</v>
      </c>
      <c r="J2011" s="21">
        <v>1.421875E7</v>
      </c>
      <c r="K2011" s="21">
        <v>175.0</v>
      </c>
    </row>
    <row r="2012">
      <c r="A2012" s="15" t="s">
        <v>74</v>
      </c>
      <c r="B2012" s="16" t="s">
        <v>167</v>
      </c>
      <c r="C2012" s="17" t="s">
        <v>168</v>
      </c>
      <c r="D2012" s="18">
        <v>3.0</v>
      </c>
      <c r="E2012" s="17" t="s">
        <v>108</v>
      </c>
      <c r="F2012" s="15" t="s">
        <v>109</v>
      </c>
      <c r="G2012" s="19">
        <v>5.1100651E7</v>
      </c>
      <c r="H2012" s="15" t="s">
        <v>38</v>
      </c>
      <c r="I2012" s="20" t="s">
        <v>25</v>
      </c>
      <c r="J2012" s="21">
        <v>0.0</v>
      </c>
      <c r="K2012" s="21">
        <v>0.0</v>
      </c>
    </row>
    <row r="2013">
      <c r="A2013" s="15" t="s">
        <v>74</v>
      </c>
      <c r="B2013" s="16" t="s">
        <v>167</v>
      </c>
      <c r="C2013" s="17" t="s">
        <v>168</v>
      </c>
      <c r="D2013" s="18">
        <v>3.0</v>
      </c>
      <c r="E2013" s="17" t="s">
        <v>108</v>
      </c>
      <c r="F2013" s="15" t="s">
        <v>109</v>
      </c>
      <c r="G2013" s="19">
        <v>5.1101056E7</v>
      </c>
      <c r="H2013" s="15" t="s">
        <v>16</v>
      </c>
      <c r="I2013" s="20" t="s">
        <v>25</v>
      </c>
      <c r="J2013" s="21">
        <v>0.0</v>
      </c>
      <c r="K2013" s="21">
        <v>0.0</v>
      </c>
    </row>
    <row r="2014">
      <c r="A2014" s="15" t="s">
        <v>74</v>
      </c>
      <c r="B2014" s="16" t="s">
        <v>167</v>
      </c>
      <c r="C2014" s="17" t="s">
        <v>168</v>
      </c>
      <c r="D2014" s="18">
        <v>3.0</v>
      </c>
      <c r="E2014" s="17" t="s">
        <v>108</v>
      </c>
      <c r="F2014" s="15" t="s">
        <v>109</v>
      </c>
      <c r="G2014" s="19">
        <v>9.0043001E7</v>
      </c>
      <c r="H2014" s="15" t="s">
        <v>18</v>
      </c>
      <c r="I2014" s="20" t="s">
        <v>19</v>
      </c>
      <c r="J2014" s="21">
        <v>5438445.0</v>
      </c>
      <c r="K2014" s="21">
        <v>35.0</v>
      </c>
    </row>
    <row r="2015">
      <c r="A2015" s="15" t="s">
        <v>74</v>
      </c>
      <c r="B2015" s="16" t="s">
        <v>167</v>
      </c>
      <c r="C2015" s="17" t="s">
        <v>168</v>
      </c>
      <c r="D2015" s="18">
        <v>3.0</v>
      </c>
      <c r="E2015" s="17" t="s">
        <v>108</v>
      </c>
      <c r="F2015" s="15" t="s">
        <v>109</v>
      </c>
      <c r="G2015" s="19">
        <v>5.1100774E7</v>
      </c>
      <c r="H2015" s="15" t="s">
        <v>39</v>
      </c>
      <c r="I2015" s="20" t="s">
        <v>17</v>
      </c>
      <c r="J2015" s="21">
        <v>5042592.0</v>
      </c>
      <c r="K2015" s="21">
        <v>169.79</v>
      </c>
    </row>
    <row r="2016">
      <c r="A2016" s="15" t="s">
        <v>74</v>
      </c>
      <c r="B2016" s="16" t="s">
        <v>167</v>
      </c>
      <c r="C2016" s="17" t="s">
        <v>168</v>
      </c>
      <c r="D2016" s="18">
        <v>3.0</v>
      </c>
      <c r="E2016" s="17" t="s">
        <v>175</v>
      </c>
      <c r="F2016" s="15" t="s">
        <v>176</v>
      </c>
      <c r="G2016" s="19">
        <v>5.1100651E7</v>
      </c>
      <c r="H2016" s="15" t="s">
        <v>38</v>
      </c>
      <c r="I2016" s="20" t="s">
        <v>25</v>
      </c>
      <c r="J2016" s="21">
        <v>0.0</v>
      </c>
      <c r="K2016" s="21">
        <v>0.0</v>
      </c>
    </row>
    <row r="2017">
      <c r="A2017" s="15" t="s">
        <v>74</v>
      </c>
      <c r="B2017" s="16" t="s">
        <v>167</v>
      </c>
      <c r="C2017" s="17" t="s">
        <v>168</v>
      </c>
      <c r="D2017" s="18">
        <v>3.0</v>
      </c>
      <c r="E2017" s="17" t="s">
        <v>175</v>
      </c>
      <c r="F2017" s="15" t="s">
        <v>176</v>
      </c>
      <c r="G2017" s="19">
        <v>5.1101056E7</v>
      </c>
      <c r="H2017" s="15" t="s">
        <v>16</v>
      </c>
      <c r="I2017" s="20" t="s">
        <v>25</v>
      </c>
      <c r="J2017" s="21">
        <v>0.0</v>
      </c>
      <c r="K2017" s="21">
        <v>0.0</v>
      </c>
    </row>
    <row r="2018">
      <c r="A2018" s="15" t="s">
        <v>74</v>
      </c>
      <c r="B2018" s="16" t="s">
        <v>167</v>
      </c>
      <c r="C2018" s="17" t="s">
        <v>168</v>
      </c>
      <c r="D2018" s="18">
        <v>3.0</v>
      </c>
      <c r="E2018" s="17" t="s">
        <v>175</v>
      </c>
      <c r="F2018" s="15" t="s">
        <v>176</v>
      </c>
      <c r="G2018" s="19">
        <v>9.0043002E7</v>
      </c>
      <c r="H2018" s="15" t="s">
        <v>49</v>
      </c>
      <c r="I2018" s="20" t="s">
        <v>50</v>
      </c>
      <c r="J2018" s="21">
        <v>9469427.0</v>
      </c>
      <c r="K2018" s="21">
        <v>550.0</v>
      </c>
    </row>
    <row r="2019">
      <c r="A2019" s="15" t="s">
        <v>74</v>
      </c>
      <c r="B2019" s="16" t="s">
        <v>167</v>
      </c>
      <c r="C2019" s="17" t="s">
        <v>168</v>
      </c>
      <c r="D2019" s="18">
        <v>3.0</v>
      </c>
      <c r="E2019" s="17" t="s">
        <v>175</v>
      </c>
      <c r="F2019" s="15" t="s">
        <v>176</v>
      </c>
      <c r="G2019" s="19">
        <v>5.1100774E7</v>
      </c>
      <c r="H2019" s="15" t="s">
        <v>39</v>
      </c>
      <c r="I2019" s="20" t="s">
        <v>17</v>
      </c>
      <c r="J2019" s="21">
        <v>3.3436331E7</v>
      </c>
      <c r="K2019" s="21">
        <v>222908.75</v>
      </c>
    </row>
    <row r="2020">
      <c r="A2020" s="15" t="s">
        <v>74</v>
      </c>
      <c r="B2020" s="16" t="s">
        <v>167</v>
      </c>
      <c r="C2020" s="17" t="s">
        <v>168</v>
      </c>
      <c r="D2020" s="18">
        <v>3.0</v>
      </c>
      <c r="E2020" s="17" t="s">
        <v>115</v>
      </c>
      <c r="F2020" s="15" t="s">
        <v>116</v>
      </c>
      <c r="G2020" s="19">
        <v>9.0043002E7</v>
      </c>
      <c r="H2020" s="15" t="s">
        <v>49</v>
      </c>
      <c r="I2020" s="20" t="s">
        <v>50</v>
      </c>
      <c r="J2020" s="21">
        <v>1633591.0</v>
      </c>
      <c r="K2020" s="21">
        <v>92.0</v>
      </c>
    </row>
    <row r="2021">
      <c r="A2021" s="15" t="s">
        <v>74</v>
      </c>
      <c r="B2021" s="16" t="s">
        <v>167</v>
      </c>
      <c r="C2021" s="17" t="s">
        <v>168</v>
      </c>
      <c r="D2021" s="18">
        <v>3.0</v>
      </c>
      <c r="E2021" s="17" t="s">
        <v>115</v>
      </c>
      <c r="F2021" s="15" t="s">
        <v>116</v>
      </c>
      <c r="G2021" s="19">
        <v>5.1100774E7</v>
      </c>
      <c r="H2021" s="15" t="s">
        <v>39</v>
      </c>
      <c r="I2021" s="20" t="s">
        <v>25</v>
      </c>
      <c r="J2021" s="21">
        <v>-1.0</v>
      </c>
      <c r="K2021" s="21">
        <v>0.0</v>
      </c>
    </row>
    <row r="2022">
      <c r="A2022" s="15" t="s">
        <v>74</v>
      </c>
      <c r="B2022" s="16" t="s">
        <v>167</v>
      </c>
      <c r="C2022" s="17" t="s">
        <v>168</v>
      </c>
      <c r="D2022" s="18">
        <v>3.0</v>
      </c>
      <c r="E2022" s="17" t="s">
        <v>115</v>
      </c>
      <c r="F2022" s="15" t="s">
        <v>116</v>
      </c>
      <c r="G2022" s="19">
        <v>5.1100774E7</v>
      </c>
      <c r="H2022" s="15" t="s">
        <v>39</v>
      </c>
      <c r="I2022" s="20" t="s">
        <v>17</v>
      </c>
      <c r="J2022" s="21">
        <v>8.6905806E7</v>
      </c>
      <c r="K2022" s="21">
        <v>903367.0</v>
      </c>
    </row>
    <row r="2023">
      <c r="A2023" s="15" t="s">
        <v>74</v>
      </c>
      <c r="B2023" s="16" t="s">
        <v>167</v>
      </c>
      <c r="C2023" s="17" t="s">
        <v>168</v>
      </c>
      <c r="D2023" s="18">
        <v>3.0</v>
      </c>
      <c r="E2023" s="17" t="s">
        <v>117</v>
      </c>
      <c r="F2023" s="15" t="s">
        <v>118</v>
      </c>
      <c r="G2023" s="19">
        <v>5.1100058E7</v>
      </c>
      <c r="H2023" s="15" t="s">
        <v>36</v>
      </c>
      <c r="I2023" s="20" t="s">
        <v>37</v>
      </c>
      <c r="J2023" s="21">
        <v>4.07603512E8</v>
      </c>
      <c r="K2023" s="21">
        <v>287403.25</v>
      </c>
    </row>
    <row r="2024">
      <c r="A2024" s="15" t="s">
        <v>74</v>
      </c>
      <c r="B2024" s="16" t="s">
        <v>167</v>
      </c>
      <c r="C2024" s="17" t="s">
        <v>168</v>
      </c>
      <c r="D2024" s="18">
        <v>3.0</v>
      </c>
      <c r="E2024" s="17" t="s">
        <v>117</v>
      </c>
      <c r="F2024" s="15" t="s">
        <v>118</v>
      </c>
      <c r="G2024" s="19">
        <v>5.1100651E7</v>
      </c>
      <c r="H2024" s="15" t="s">
        <v>38</v>
      </c>
      <c r="I2024" s="20" t="s">
        <v>25</v>
      </c>
      <c r="J2024" s="21">
        <v>0.0</v>
      </c>
      <c r="K2024" s="21">
        <v>0.0</v>
      </c>
    </row>
    <row r="2025">
      <c r="A2025" s="15" t="s">
        <v>74</v>
      </c>
      <c r="B2025" s="16" t="s">
        <v>167</v>
      </c>
      <c r="C2025" s="17" t="s">
        <v>168</v>
      </c>
      <c r="D2025" s="18">
        <v>3.0</v>
      </c>
      <c r="E2025" s="17" t="s">
        <v>117</v>
      </c>
      <c r="F2025" s="15" t="s">
        <v>118</v>
      </c>
      <c r="G2025" s="19">
        <v>5.1101056E7</v>
      </c>
      <c r="H2025" s="15" t="s">
        <v>16</v>
      </c>
      <c r="I2025" s="20" t="s">
        <v>25</v>
      </c>
      <c r="J2025" s="21">
        <v>0.0</v>
      </c>
      <c r="K2025" s="21">
        <v>0.0</v>
      </c>
    </row>
    <row r="2026">
      <c r="A2026" s="15" t="s">
        <v>74</v>
      </c>
      <c r="B2026" s="16" t="s">
        <v>167</v>
      </c>
      <c r="C2026" s="17" t="s">
        <v>168</v>
      </c>
      <c r="D2026" s="18">
        <v>3.0</v>
      </c>
      <c r="E2026" s="17" t="s">
        <v>117</v>
      </c>
      <c r="F2026" s="15" t="s">
        <v>118</v>
      </c>
      <c r="G2026" s="19">
        <v>9.0043001E7</v>
      </c>
      <c r="H2026" s="15" t="s">
        <v>18</v>
      </c>
      <c r="I2026" s="20" t="s">
        <v>19</v>
      </c>
      <c r="J2026" s="21">
        <v>4.7808097E7</v>
      </c>
      <c r="K2026" s="21">
        <v>337.0</v>
      </c>
    </row>
    <row r="2027">
      <c r="A2027" s="15" t="s">
        <v>74</v>
      </c>
      <c r="B2027" s="16" t="s">
        <v>167</v>
      </c>
      <c r="C2027" s="17" t="s">
        <v>168</v>
      </c>
      <c r="D2027" s="18">
        <v>3.0</v>
      </c>
      <c r="E2027" s="17" t="s">
        <v>117</v>
      </c>
      <c r="F2027" s="15" t="s">
        <v>118</v>
      </c>
      <c r="G2027" s="19">
        <v>9.0043E7</v>
      </c>
      <c r="H2027" s="15" t="s">
        <v>83</v>
      </c>
      <c r="I2027" s="20" t="s">
        <v>19</v>
      </c>
      <c r="J2027" s="21">
        <v>631460.0</v>
      </c>
      <c r="K2027" s="21">
        <v>4.0</v>
      </c>
    </row>
    <row r="2028">
      <c r="A2028" s="15" t="s">
        <v>74</v>
      </c>
      <c r="B2028" s="16" t="s">
        <v>167</v>
      </c>
      <c r="C2028" s="17" t="s">
        <v>168</v>
      </c>
      <c r="D2028" s="18">
        <v>3.0</v>
      </c>
      <c r="E2028" s="17" t="s">
        <v>117</v>
      </c>
      <c r="F2028" s="15" t="s">
        <v>118</v>
      </c>
      <c r="G2028" s="19">
        <v>5.1100774E7</v>
      </c>
      <c r="H2028" s="15" t="s">
        <v>39</v>
      </c>
      <c r="I2028" s="20" t="s">
        <v>17</v>
      </c>
      <c r="J2028" s="21">
        <v>1.03164733E8</v>
      </c>
      <c r="K2028" s="21">
        <v>1858.824</v>
      </c>
    </row>
    <row r="2029">
      <c r="A2029" s="15" t="s">
        <v>74</v>
      </c>
      <c r="B2029" s="16" t="s">
        <v>167</v>
      </c>
      <c r="C2029" s="17" t="s">
        <v>168</v>
      </c>
      <c r="D2029" s="18">
        <v>3.0</v>
      </c>
      <c r="E2029" s="17" t="s">
        <v>119</v>
      </c>
      <c r="F2029" s="15" t="s">
        <v>120</v>
      </c>
      <c r="G2029" s="19">
        <v>5.1100774E7</v>
      </c>
      <c r="H2029" s="15" t="s">
        <v>39</v>
      </c>
      <c r="I2029" s="20" t="s">
        <v>17</v>
      </c>
      <c r="J2029" s="21">
        <v>2.6061048E7</v>
      </c>
      <c r="K2029" s="21">
        <v>23.4</v>
      </c>
    </row>
    <row r="2030">
      <c r="A2030" s="15" t="s">
        <v>74</v>
      </c>
      <c r="B2030" s="16" t="s">
        <v>167</v>
      </c>
      <c r="C2030" s="17" t="s">
        <v>168</v>
      </c>
      <c r="D2030" s="18">
        <v>3.0</v>
      </c>
      <c r="E2030" s="17" t="s">
        <v>123</v>
      </c>
      <c r="F2030" s="15" t="s">
        <v>124</v>
      </c>
      <c r="G2030" s="19">
        <v>5.1100651E7</v>
      </c>
      <c r="H2030" s="15" t="s">
        <v>38</v>
      </c>
      <c r="I2030" s="20" t="s">
        <v>25</v>
      </c>
      <c r="J2030" s="21">
        <v>0.0</v>
      </c>
      <c r="K2030" s="21">
        <v>0.0</v>
      </c>
    </row>
    <row r="2031">
      <c r="A2031" s="15" t="s">
        <v>74</v>
      </c>
      <c r="B2031" s="16" t="s">
        <v>167</v>
      </c>
      <c r="C2031" s="17" t="s">
        <v>168</v>
      </c>
      <c r="D2031" s="18">
        <v>3.0</v>
      </c>
      <c r="E2031" s="17" t="s">
        <v>123</v>
      </c>
      <c r="F2031" s="15" t="s">
        <v>124</v>
      </c>
      <c r="G2031" s="19">
        <v>5.1101056E7</v>
      </c>
      <c r="H2031" s="15" t="s">
        <v>16</v>
      </c>
      <c r="I2031" s="20" t="s">
        <v>25</v>
      </c>
      <c r="J2031" s="21">
        <v>0.0</v>
      </c>
      <c r="K2031" s="21">
        <v>0.0</v>
      </c>
    </row>
    <row r="2032">
      <c r="A2032" s="15" t="s">
        <v>74</v>
      </c>
      <c r="B2032" s="16" t="s">
        <v>167</v>
      </c>
      <c r="C2032" s="17" t="s">
        <v>168</v>
      </c>
      <c r="D2032" s="18">
        <v>3.0</v>
      </c>
      <c r="E2032" s="17" t="s">
        <v>123</v>
      </c>
      <c r="F2032" s="15" t="s">
        <v>124</v>
      </c>
      <c r="G2032" s="19">
        <v>5.1100774E7</v>
      </c>
      <c r="H2032" s="15" t="s">
        <v>39</v>
      </c>
      <c r="I2032" s="20" t="s">
        <v>17</v>
      </c>
      <c r="J2032" s="21">
        <v>1.85791378E8</v>
      </c>
      <c r="K2032" s="21">
        <v>54214.0</v>
      </c>
    </row>
    <row r="2033">
      <c r="A2033" s="15" t="s">
        <v>74</v>
      </c>
      <c r="B2033" s="16" t="s">
        <v>167</v>
      </c>
      <c r="C2033" s="17" t="s">
        <v>168</v>
      </c>
      <c r="D2033" s="18">
        <v>3.0</v>
      </c>
      <c r="E2033" s="17" t="s">
        <v>125</v>
      </c>
      <c r="F2033" s="15" t="s">
        <v>126</v>
      </c>
      <c r="G2033" s="19">
        <v>5.1101056E7</v>
      </c>
      <c r="H2033" s="15" t="s">
        <v>16</v>
      </c>
      <c r="I2033" s="20" t="s">
        <v>25</v>
      </c>
      <c r="J2033" s="21">
        <v>0.0</v>
      </c>
      <c r="K2033" s="21">
        <v>0.0</v>
      </c>
    </row>
    <row r="2034">
      <c r="A2034" s="15" t="s">
        <v>74</v>
      </c>
      <c r="B2034" s="16" t="s">
        <v>167</v>
      </c>
      <c r="C2034" s="17" t="s">
        <v>168</v>
      </c>
      <c r="D2034" s="18">
        <v>3.0</v>
      </c>
      <c r="E2034" s="17" t="s">
        <v>125</v>
      </c>
      <c r="F2034" s="15" t="s">
        <v>126</v>
      </c>
      <c r="G2034" s="19">
        <v>5.1101056E7</v>
      </c>
      <c r="H2034" s="15" t="s">
        <v>16</v>
      </c>
      <c r="I2034" s="20" t="s">
        <v>17</v>
      </c>
      <c r="J2034" s="21">
        <v>1.26226838E8</v>
      </c>
      <c r="K2034" s="21">
        <v>972024.596</v>
      </c>
    </row>
    <row r="2035">
      <c r="A2035" s="15" t="s">
        <v>74</v>
      </c>
      <c r="B2035" s="16" t="s">
        <v>167</v>
      </c>
      <c r="C2035" s="17" t="s">
        <v>168</v>
      </c>
      <c r="D2035" s="18">
        <v>3.0</v>
      </c>
      <c r="E2035" s="17" t="s">
        <v>125</v>
      </c>
      <c r="F2035" s="15" t="s">
        <v>126</v>
      </c>
      <c r="G2035" s="19">
        <v>9.0043001E7</v>
      </c>
      <c r="H2035" s="15" t="s">
        <v>18</v>
      </c>
      <c r="I2035" s="20" t="s">
        <v>19</v>
      </c>
      <c r="J2035" s="21">
        <v>4.35459678E8</v>
      </c>
      <c r="K2035" s="21">
        <v>3142.5</v>
      </c>
    </row>
    <row r="2036">
      <c r="A2036" s="15" t="s">
        <v>74</v>
      </c>
      <c r="B2036" s="16" t="s">
        <v>167</v>
      </c>
      <c r="C2036" s="17" t="s">
        <v>168</v>
      </c>
      <c r="D2036" s="18">
        <v>3.0</v>
      </c>
      <c r="E2036" s="17" t="s">
        <v>125</v>
      </c>
      <c r="F2036" s="15" t="s">
        <v>126</v>
      </c>
      <c r="G2036" s="19">
        <v>9.0043E7</v>
      </c>
      <c r="H2036" s="15" t="s">
        <v>83</v>
      </c>
      <c r="I2036" s="20" t="s">
        <v>19</v>
      </c>
      <c r="J2036" s="21">
        <v>9857892.0</v>
      </c>
      <c r="K2036" s="21">
        <v>69.0</v>
      </c>
    </row>
    <row r="2037">
      <c r="A2037" s="15" t="s">
        <v>74</v>
      </c>
      <c r="B2037" s="16" t="s">
        <v>167</v>
      </c>
      <c r="C2037" s="17" t="s">
        <v>168</v>
      </c>
      <c r="D2037" s="18">
        <v>3.0</v>
      </c>
      <c r="E2037" s="17" t="s">
        <v>127</v>
      </c>
      <c r="F2037" s="15" t="s">
        <v>128</v>
      </c>
      <c r="G2037" s="19">
        <v>5.1100153E7</v>
      </c>
      <c r="H2037" s="15" t="s">
        <v>72</v>
      </c>
      <c r="I2037" s="20" t="s">
        <v>17</v>
      </c>
      <c r="J2037" s="21">
        <v>4.95934016E8</v>
      </c>
      <c r="K2037" s="21">
        <v>4034550.0</v>
      </c>
    </row>
    <row r="2038">
      <c r="A2038" s="15" t="s">
        <v>74</v>
      </c>
      <c r="B2038" s="16" t="s">
        <v>167</v>
      </c>
      <c r="C2038" s="17" t="s">
        <v>168</v>
      </c>
      <c r="D2038" s="18">
        <v>3.0</v>
      </c>
      <c r="E2038" s="17" t="s">
        <v>127</v>
      </c>
      <c r="F2038" s="15" t="s">
        <v>128</v>
      </c>
      <c r="G2038" s="19">
        <v>9.0043002E7</v>
      </c>
      <c r="H2038" s="15" t="s">
        <v>49</v>
      </c>
      <c r="I2038" s="20" t="s">
        <v>50</v>
      </c>
      <c r="J2038" s="21">
        <v>5.0493497E7</v>
      </c>
      <c r="K2038" s="21">
        <v>2832.0</v>
      </c>
    </row>
    <row r="2039">
      <c r="A2039" s="15" t="s">
        <v>74</v>
      </c>
      <c r="B2039" s="16" t="s">
        <v>167</v>
      </c>
      <c r="C2039" s="17" t="s">
        <v>168</v>
      </c>
      <c r="D2039" s="18">
        <v>3.0</v>
      </c>
      <c r="E2039" s="17" t="s">
        <v>129</v>
      </c>
      <c r="F2039" s="15" t="s">
        <v>130</v>
      </c>
      <c r="G2039" s="19">
        <v>5.1100153E7</v>
      </c>
      <c r="H2039" s="15" t="s">
        <v>72</v>
      </c>
      <c r="I2039" s="20" t="s">
        <v>25</v>
      </c>
      <c r="J2039" s="21">
        <v>0.0</v>
      </c>
      <c r="K2039" s="21">
        <v>0.0</v>
      </c>
    </row>
    <row r="2040">
      <c r="A2040" s="15" t="s">
        <v>74</v>
      </c>
      <c r="B2040" s="16" t="s">
        <v>167</v>
      </c>
      <c r="C2040" s="17" t="s">
        <v>168</v>
      </c>
      <c r="D2040" s="18">
        <v>3.0</v>
      </c>
      <c r="E2040" s="17" t="s">
        <v>129</v>
      </c>
      <c r="F2040" s="15" t="s">
        <v>130</v>
      </c>
      <c r="G2040" s="19">
        <v>5.1101056E7</v>
      </c>
      <c r="H2040" s="15" t="s">
        <v>16</v>
      </c>
      <c r="I2040" s="20" t="s">
        <v>17</v>
      </c>
      <c r="J2040" s="21">
        <v>4.884299E7</v>
      </c>
      <c r="K2040" s="21">
        <v>697757.0</v>
      </c>
    </row>
    <row r="2041">
      <c r="A2041" s="15" t="s">
        <v>74</v>
      </c>
      <c r="B2041" s="16" t="s">
        <v>167</v>
      </c>
      <c r="C2041" s="17" t="s">
        <v>168</v>
      </c>
      <c r="D2041" s="18">
        <v>3.0</v>
      </c>
      <c r="E2041" s="17" t="s">
        <v>129</v>
      </c>
      <c r="F2041" s="15" t="s">
        <v>130</v>
      </c>
      <c r="G2041" s="19">
        <v>9.0043001E7</v>
      </c>
      <c r="H2041" s="15" t="s">
        <v>18</v>
      </c>
      <c r="I2041" s="20" t="s">
        <v>19</v>
      </c>
      <c r="J2041" s="21">
        <v>2469078.0</v>
      </c>
      <c r="K2041" s="21">
        <v>18.0</v>
      </c>
    </row>
    <row r="2042">
      <c r="A2042" s="15" t="s">
        <v>74</v>
      </c>
      <c r="B2042" s="16" t="s">
        <v>167</v>
      </c>
      <c r="C2042" s="17" t="s">
        <v>168</v>
      </c>
      <c r="D2042" s="18">
        <v>3.0</v>
      </c>
      <c r="E2042" s="17" t="s">
        <v>129</v>
      </c>
      <c r="F2042" s="15" t="s">
        <v>130</v>
      </c>
      <c r="G2042" s="19">
        <v>9.0043003E7</v>
      </c>
      <c r="H2042" s="15" t="s">
        <v>90</v>
      </c>
      <c r="I2042" s="20" t="s">
        <v>50</v>
      </c>
      <c r="J2042" s="21">
        <v>4.216978E7</v>
      </c>
      <c r="K2042" s="21">
        <v>194.0</v>
      </c>
    </row>
    <row r="2043">
      <c r="A2043" s="15" t="s">
        <v>74</v>
      </c>
      <c r="B2043" s="16" t="s">
        <v>167</v>
      </c>
      <c r="C2043" s="17" t="s">
        <v>168</v>
      </c>
      <c r="D2043" s="18">
        <v>3.0</v>
      </c>
      <c r="E2043" s="17" t="s">
        <v>131</v>
      </c>
      <c r="F2043" s="15" t="s">
        <v>132</v>
      </c>
      <c r="G2043" s="19">
        <v>9.0043001E7</v>
      </c>
      <c r="H2043" s="15" t="s">
        <v>18</v>
      </c>
      <c r="I2043" s="20" t="s">
        <v>19</v>
      </c>
      <c r="J2043" s="21">
        <v>674630.0</v>
      </c>
      <c r="K2043" s="21">
        <v>5.0</v>
      </c>
    </row>
    <row r="2044">
      <c r="A2044" s="15" t="s">
        <v>74</v>
      </c>
      <c r="B2044" s="16" t="s">
        <v>167</v>
      </c>
      <c r="C2044" s="17" t="s">
        <v>168</v>
      </c>
      <c r="D2044" s="18">
        <v>3.0</v>
      </c>
      <c r="E2044" s="17" t="s">
        <v>135</v>
      </c>
      <c r="F2044" s="15" t="s">
        <v>136</v>
      </c>
      <c r="G2044" s="19">
        <v>9.0043001E7</v>
      </c>
      <c r="H2044" s="15" t="s">
        <v>18</v>
      </c>
      <c r="I2044" s="20" t="s">
        <v>19</v>
      </c>
      <c r="J2044" s="21">
        <v>7.3285062E7</v>
      </c>
      <c r="K2044" s="21">
        <v>536.0</v>
      </c>
    </row>
    <row r="2045">
      <c r="A2045" s="15" t="s">
        <v>74</v>
      </c>
      <c r="B2045" s="16" t="s">
        <v>167</v>
      </c>
      <c r="C2045" s="17" t="s">
        <v>168</v>
      </c>
      <c r="D2045" s="18">
        <v>3.0</v>
      </c>
      <c r="E2045" s="17" t="s">
        <v>162</v>
      </c>
      <c r="F2045" s="15" t="s">
        <v>163</v>
      </c>
      <c r="G2045" s="19">
        <v>9.0043001E7</v>
      </c>
      <c r="H2045" s="15" t="s">
        <v>18</v>
      </c>
      <c r="I2045" s="20" t="s">
        <v>19</v>
      </c>
      <c r="J2045" s="21">
        <v>1.6201552E7</v>
      </c>
      <c r="K2045" s="21">
        <v>117.0</v>
      </c>
    </row>
    <row r="2046">
      <c r="A2046" s="15" t="s">
        <v>74</v>
      </c>
      <c r="B2046" s="16" t="s">
        <v>167</v>
      </c>
      <c r="C2046" s="17" t="s">
        <v>168</v>
      </c>
      <c r="D2046" s="18">
        <v>3.0</v>
      </c>
      <c r="E2046" s="17" t="s">
        <v>54</v>
      </c>
      <c r="F2046" s="15" t="s">
        <v>139</v>
      </c>
      <c r="G2046" s="19">
        <v>9.0042011E7</v>
      </c>
      <c r="H2046" s="15" t="s">
        <v>55</v>
      </c>
      <c r="I2046" s="20" t="s">
        <v>19</v>
      </c>
      <c r="J2046" s="21">
        <v>3.04652116E8</v>
      </c>
      <c r="K2046" s="21">
        <v>0.0</v>
      </c>
    </row>
    <row r="2047">
      <c r="A2047" s="15" t="s">
        <v>74</v>
      </c>
      <c r="B2047" s="16" t="s">
        <v>167</v>
      </c>
      <c r="C2047" s="17" t="s">
        <v>168</v>
      </c>
      <c r="D2047" s="18">
        <v>3.0</v>
      </c>
      <c r="E2047" s="17" t="s">
        <v>20</v>
      </c>
      <c r="F2047" s="15" t="s">
        <v>140</v>
      </c>
      <c r="G2047" s="19">
        <v>5.1100064E7</v>
      </c>
      <c r="H2047" s="15" t="s">
        <v>53</v>
      </c>
      <c r="I2047" s="20" t="s">
        <v>37</v>
      </c>
      <c r="J2047" s="21">
        <v>0.0</v>
      </c>
      <c r="K2047" s="21">
        <v>0.0</v>
      </c>
    </row>
    <row r="2048">
      <c r="A2048" s="15" t="s">
        <v>74</v>
      </c>
      <c r="B2048" s="16" t="s">
        <v>167</v>
      </c>
      <c r="C2048" s="17" t="s">
        <v>168</v>
      </c>
      <c r="D2048" s="18">
        <v>3.0</v>
      </c>
      <c r="E2048" s="17" t="s">
        <v>20</v>
      </c>
      <c r="F2048" s="15" t="s">
        <v>140</v>
      </c>
      <c r="G2048" s="19">
        <v>5.1101056E7</v>
      </c>
      <c r="H2048" s="15" t="s">
        <v>16</v>
      </c>
      <c r="I2048" s="20" t="s">
        <v>37</v>
      </c>
      <c r="J2048" s="21">
        <v>0.0</v>
      </c>
      <c r="K2048" s="21">
        <v>0.0</v>
      </c>
    </row>
    <row r="2049">
      <c r="A2049" s="15" t="s">
        <v>74</v>
      </c>
      <c r="B2049" s="16" t="s">
        <v>167</v>
      </c>
      <c r="C2049" s="17" t="s">
        <v>168</v>
      </c>
      <c r="D2049" s="18">
        <v>3.0</v>
      </c>
      <c r="E2049" s="17" t="s">
        <v>20</v>
      </c>
      <c r="F2049" s="15" t="s">
        <v>140</v>
      </c>
      <c r="G2049" s="19">
        <v>9.0042014E7</v>
      </c>
      <c r="H2049" s="15" t="s">
        <v>21</v>
      </c>
      <c r="I2049" s="20" t="s">
        <v>19</v>
      </c>
      <c r="J2049" s="21">
        <v>6.93357998E8</v>
      </c>
      <c r="K2049" s="21">
        <v>0.0</v>
      </c>
    </row>
    <row r="2050">
      <c r="A2050" s="15" t="s">
        <v>74</v>
      </c>
      <c r="B2050" s="16" t="s">
        <v>167</v>
      </c>
      <c r="C2050" s="17" t="s">
        <v>168</v>
      </c>
      <c r="D2050" s="18">
        <v>3.0</v>
      </c>
      <c r="E2050" s="17" t="s">
        <v>20</v>
      </c>
      <c r="F2050" s="15" t="s">
        <v>140</v>
      </c>
      <c r="G2050" s="19">
        <v>9.0042077E7</v>
      </c>
      <c r="H2050" s="15" t="s">
        <v>141</v>
      </c>
      <c r="I2050" s="20" t="s">
        <v>19</v>
      </c>
      <c r="J2050" s="21">
        <v>1.08676753E8</v>
      </c>
      <c r="K2050" s="21">
        <v>0.0</v>
      </c>
    </row>
    <row r="2051">
      <c r="A2051" s="15" t="s">
        <v>74</v>
      </c>
      <c r="B2051" s="16" t="s">
        <v>167</v>
      </c>
      <c r="C2051" s="17" t="s">
        <v>168</v>
      </c>
      <c r="D2051" s="18">
        <v>3.0</v>
      </c>
      <c r="E2051" s="17" t="s">
        <v>142</v>
      </c>
      <c r="F2051" s="15" t="s">
        <v>143</v>
      </c>
      <c r="G2051" s="19">
        <v>9.0042013E7</v>
      </c>
      <c r="H2051" s="15" t="s">
        <v>144</v>
      </c>
      <c r="I2051" s="20" t="s">
        <v>19</v>
      </c>
      <c r="J2051" s="21">
        <v>801738.0</v>
      </c>
      <c r="K2051" s="21">
        <v>0.0</v>
      </c>
    </row>
    <row r="2052">
      <c r="A2052" s="15" t="s">
        <v>74</v>
      </c>
      <c r="B2052" s="16" t="s">
        <v>167</v>
      </c>
      <c r="C2052" s="17" t="s">
        <v>168</v>
      </c>
      <c r="D2052" s="18">
        <v>3.0</v>
      </c>
      <c r="E2052" s="17" t="s">
        <v>142</v>
      </c>
      <c r="F2052" s="15" t="s">
        <v>143</v>
      </c>
      <c r="G2052" s="19">
        <v>9.0042084E7</v>
      </c>
      <c r="H2052" s="15" t="s">
        <v>145</v>
      </c>
      <c r="I2052" s="20" t="s">
        <v>19</v>
      </c>
      <c r="J2052" s="21">
        <v>5938246.0</v>
      </c>
      <c r="K2052" s="21">
        <v>0.0</v>
      </c>
    </row>
    <row r="2053">
      <c r="A2053" s="15" t="s">
        <v>74</v>
      </c>
      <c r="B2053" s="16" t="s">
        <v>167</v>
      </c>
      <c r="C2053" s="17" t="s">
        <v>168</v>
      </c>
      <c r="D2053" s="18">
        <v>3.0</v>
      </c>
      <c r="E2053" s="17" t="s">
        <v>22</v>
      </c>
      <c r="F2053" s="15" t="s">
        <v>146</v>
      </c>
      <c r="G2053" s="19">
        <v>9.0042012E7</v>
      </c>
      <c r="H2053" s="15" t="s">
        <v>23</v>
      </c>
      <c r="I2053" s="20" t="s">
        <v>19</v>
      </c>
      <c r="J2053" s="21">
        <v>1.75477362E8</v>
      </c>
      <c r="K2053" s="21">
        <v>0.0</v>
      </c>
    </row>
    <row r="2054">
      <c r="A2054" s="15" t="s">
        <v>74</v>
      </c>
      <c r="B2054" s="16" t="s">
        <v>167</v>
      </c>
      <c r="C2054" s="17" t="s">
        <v>168</v>
      </c>
      <c r="D2054" s="18">
        <v>3.0</v>
      </c>
      <c r="E2054" s="17" t="s">
        <v>22</v>
      </c>
      <c r="F2054" s="15" t="s">
        <v>146</v>
      </c>
      <c r="G2054" s="19">
        <v>9.0042121E7</v>
      </c>
      <c r="H2054" s="15" t="s">
        <v>24</v>
      </c>
      <c r="I2054" s="20" t="s">
        <v>25</v>
      </c>
      <c r="J2054" s="21">
        <v>1.41362999E8</v>
      </c>
      <c r="K2054" s="21">
        <v>0.0</v>
      </c>
    </row>
    <row r="2055">
      <c r="A2055" s="15" t="s">
        <v>74</v>
      </c>
      <c r="B2055" s="16" t="s">
        <v>167</v>
      </c>
      <c r="C2055" s="17" t="s">
        <v>168</v>
      </c>
      <c r="D2055" s="18">
        <v>3.0</v>
      </c>
      <c r="E2055" s="17" t="s">
        <v>22</v>
      </c>
      <c r="F2055" s="15" t="s">
        <v>146</v>
      </c>
      <c r="G2055" s="19">
        <v>9.0042122E7</v>
      </c>
      <c r="H2055" s="15" t="s">
        <v>56</v>
      </c>
      <c r="I2055" s="20" t="s">
        <v>25</v>
      </c>
      <c r="J2055" s="21">
        <v>7259161.0</v>
      </c>
      <c r="K2055" s="21">
        <v>0.0</v>
      </c>
    </row>
    <row r="2056">
      <c r="A2056" s="15" t="s">
        <v>74</v>
      </c>
      <c r="B2056" s="16" t="s">
        <v>167</v>
      </c>
      <c r="C2056" s="17" t="s">
        <v>168</v>
      </c>
      <c r="D2056" s="18">
        <v>3.0</v>
      </c>
      <c r="E2056" s="17" t="s">
        <v>22</v>
      </c>
      <c r="F2056" s="15" t="s">
        <v>146</v>
      </c>
      <c r="G2056" s="19">
        <v>9.0042124E7</v>
      </c>
      <c r="H2056" s="15" t="s">
        <v>57</v>
      </c>
      <c r="I2056" s="20" t="s">
        <v>25</v>
      </c>
      <c r="J2056" s="21">
        <v>2.9707032E7</v>
      </c>
      <c r="K2056" s="21">
        <v>0.0</v>
      </c>
    </row>
    <row r="2057">
      <c r="A2057" s="15" t="s">
        <v>74</v>
      </c>
      <c r="B2057" s="16" t="s">
        <v>167</v>
      </c>
      <c r="C2057" s="17" t="s">
        <v>168</v>
      </c>
      <c r="D2057" s="18">
        <v>3.0</v>
      </c>
      <c r="E2057" s="17" t="s">
        <v>22</v>
      </c>
      <c r="F2057" s="15" t="s">
        <v>146</v>
      </c>
      <c r="G2057" s="19">
        <v>9.0042125E7</v>
      </c>
      <c r="H2057" s="15" t="s">
        <v>26</v>
      </c>
      <c r="I2057" s="20" t="s">
        <v>25</v>
      </c>
      <c r="J2057" s="21">
        <v>7.5480335E7</v>
      </c>
      <c r="K2057" s="21">
        <v>0.0</v>
      </c>
    </row>
    <row r="2058">
      <c r="A2058" s="15" t="s">
        <v>74</v>
      </c>
      <c r="B2058" s="16" t="s">
        <v>167</v>
      </c>
      <c r="C2058" s="17" t="s">
        <v>168</v>
      </c>
      <c r="D2058" s="18">
        <v>3.0</v>
      </c>
      <c r="E2058" s="17" t="s">
        <v>22</v>
      </c>
      <c r="F2058" s="15" t="s">
        <v>146</v>
      </c>
      <c r="G2058" s="19">
        <v>9.0042127E7</v>
      </c>
      <c r="H2058" s="15" t="s">
        <v>27</v>
      </c>
      <c r="I2058" s="20" t="s">
        <v>25</v>
      </c>
      <c r="J2058" s="21">
        <v>1.6287407E7</v>
      </c>
      <c r="K2058" s="21">
        <v>0.0</v>
      </c>
    </row>
    <row r="2059">
      <c r="A2059" s="15" t="s">
        <v>74</v>
      </c>
      <c r="B2059" s="16" t="s">
        <v>167</v>
      </c>
      <c r="C2059" s="17" t="s">
        <v>168</v>
      </c>
      <c r="D2059" s="18">
        <v>3.0</v>
      </c>
      <c r="E2059" s="17" t="s">
        <v>22</v>
      </c>
      <c r="F2059" s="15" t="s">
        <v>146</v>
      </c>
      <c r="G2059" s="19">
        <v>9.0042128E7</v>
      </c>
      <c r="H2059" s="15" t="s">
        <v>58</v>
      </c>
      <c r="I2059" s="20" t="s">
        <v>25</v>
      </c>
      <c r="J2059" s="21">
        <v>9806326.0</v>
      </c>
      <c r="K2059" s="21">
        <v>0.0</v>
      </c>
    </row>
    <row r="2060">
      <c r="A2060" s="15" t="s">
        <v>74</v>
      </c>
      <c r="B2060" s="16" t="s">
        <v>167</v>
      </c>
      <c r="C2060" s="17" t="s">
        <v>168</v>
      </c>
      <c r="D2060" s="18">
        <v>3.0</v>
      </c>
      <c r="E2060" s="17" t="s">
        <v>22</v>
      </c>
      <c r="F2060" s="15" t="s">
        <v>146</v>
      </c>
      <c r="G2060" s="19">
        <v>9.0042132E7</v>
      </c>
      <c r="H2060" s="15" t="s">
        <v>28</v>
      </c>
      <c r="I2060" s="20" t="s">
        <v>25</v>
      </c>
      <c r="J2060" s="21">
        <v>3.4053016E7</v>
      </c>
      <c r="K2060" s="21">
        <v>0.0</v>
      </c>
    </row>
    <row r="2061">
      <c r="A2061" s="15" t="s">
        <v>74</v>
      </c>
      <c r="B2061" s="16" t="s">
        <v>167</v>
      </c>
      <c r="C2061" s="17" t="s">
        <v>168</v>
      </c>
      <c r="D2061" s="18">
        <v>3.0</v>
      </c>
      <c r="E2061" s="17" t="s">
        <v>22</v>
      </c>
      <c r="F2061" s="15" t="s">
        <v>146</v>
      </c>
      <c r="G2061" s="19">
        <v>9.0042135E7</v>
      </c>
      <c r="H2061" s="15" t="s">
        <v>30</v>
      </c>
      <c r="I2061" s="20" t="s">
        <v>25</v>
      </c>
      <c r="J2061" s="21">
        <v>2.23145002E8</v>
      </c>
      <c r="K2061" s="21">
        <v>0.0</v>
      </c>
    </row>
    <row r="2062">
      <c r="A2062" s="15" t="s">
        <v>74</v>
      </c>
      <c r="B2062" s="16" t="s">
        <v>167</v>
      </c>
      <c r="C2062" s="17" t="s">
        <v>168</v>
      </c>
      <c r="D2062" s="18">
        <v>3.0</v>
      </c>
      <c r="E2062" s="17" t="s">
        <v>22</v>
      </c>
      <c r="F2062" s="15" t="s">
        <v>146</v>
      </c>
      <c r="G2062" s="19">
        <v>9.00422E7</v>
      </c>
      <c r="H2062" s="15" t="s">
        <v>73</v>
      </c>
      <c r="I2062" s="20" t="s">
        <v>60</v>
      </c>
      <c r="J2062" s="21">
        <v>1.048353768E9</v>
      </c>
      <c r="K2062" s="21">
        <v>0.0</v>
      </c>
    </row>
    <row r="2063">
      <c r="A2063" s="15" t="s">
        <v>74</v>
      </c>
      <c r="B2063" s="16" t="s">
        <v>167</v>
      </c>
      <c r="C2063" s="17" t="s">
        <v>168</v>
      </c>
      <c r="D2063" s="18">
        <v>3.0</v>
      </c>
      <c r="E2063" s="17" t="s">
        <v>22</v>
      </c>
      <c r="F2063" s="15" t="s">
        <v>146</v>
      </c>
      <c r="G2063" s="19">
        <v>9.0042223E7</v>
      </c>
      <c r="H2063" s="15" t="s">
        <v>61</v>
      </c>
      <c r="I2063" s="20" t="s">
        <v>60</v>
      </c>
      <c r="J2063" s="21">
        <v>7852260.0</v>
      </c>
      <c r="K2063" s="21">
        <v>0.0</v>
      </c>
    </row>
    <row r="2064">
      <c r="A2064" s="15" t="s">
        <v>74</v>
      </c>
      <c r="B2064" s="16" t="s">
        <v>167</v>
      </c>
      <c r="C2064" s="17" t="s">
        <v>168</v>
      </c>
      <c r="D2064" s="18">
        <v>3.0</v>
      </c>
      <c r="E2064" s="17" t="s">
        <v>22</v>
      </c>
      <c r="F2064" s="15" t="s">
        <v>146</v>
      </c>
      <c r="G2064" s="19">
        <v>9.0042224E7</v>
      </c>
      <c r="H2064" s="15" t="s">
        <v>62</v>
      </c>
      <c r="I2064" s="20" t="s">
        <v>60</v>
      </c>
      <c r="J2064" s="21">
        <v>4757271.0</v>
      </c>
      <c r="K2064" s="21">
        <v>0.0</v>
      </c>
    </row>
    <row r="2065">
      <c r="A2065" s="15" t="s">
        <v>74</v>
      </c>
      <c r="B2065" s="16" t="s">
        <v>167</v>
      </c>
      <c r="C2065" s="17" t="s">
        <v>168</v>
      </c>
      <c r="D2065" s="18">
        <v>3.0</v>
      </c>
      <c r="E2065" s="17" t="s">
        <v>22</v>
      </c>
      <c r="F2065" s="15" t="s">
        <v>146</v>
      </c>
      <c r="G2065" s="19">
        <v>9.0042225E7</v>
      </c>
      <c r="H2065" s="15" t="s">
        <v>147</v>
      </c>
      <c r="I2065" s="20" t="s">
        <v>60</v>
      </c>
      <c r="J2065" s="21">
        <v>6123493.0</v>
      </c>
      <c r="K2065" s="21">
        <v>0.0</v>
      </c>
    </row>
    <row r="2066">
      <c r="A2066" s="15" t="s">
        <v>74</v>
      </c>
      <c r="B2066" s="16" t="s">
        <v>167</v>
      </c>
      <c r="C2066" s="17" t="s">
        <v>168</v>
      </c>
      <c r="D2066" s="18">
        <v>3.0</v>
      </c>
      <c r="E2066" s="17" t="s">
        <v>22</v>
      </c>
      <c r="F2066" s="15" t="s">
        <v>146</v>
      </c>
      <c r="G2066" s="19">
        <v>9.0042226E7</v>
      </c>
      <c r="H2066" s="15" t="s">
        <v>63</v>
      </c>
      <c r="I2066" s="20" t="s">
        <v>60</v>
      </c>
      <c r="J2066" s="21">
        <v>220000.0</v>
      </c>
      <c r="K2066" s="21">
        <v>0.0</v>
      </c>
    </row>
    <row r="2067">
      <c r="A2067" s="15" t="s">
        <v>74</v>
      </c>
      <c r="B2067" s="16" t="s">
        <v>167</v>
      </c>
      <c r="C2067" s="17" t="s">
        <v>168</v>
      </c>
      <c r="D2067" s="18">
        <v>3.0</v>
      </c>
      <c r="E2067" s="17" t="s">
        <v>22</v>
      </c>
      <c r="F2067" s="15" t="s">
        <v>146</v>
      </c>
      <c r="G2067" s="19">
        <v>9.0042228E7</v>
      </c>
      <c r="H2067" s="15" t="s">
        <v>64</v>
      </c>
      <c r="I2067" s="20" t="s">
        <v>60</v>
      </c>
      <c r="J2067" s="21">
        <v>1.10789911E8</v>
      </c>
      <c r="K2067" s="21">
        <v>0.0</v>
      </c>
    </row>
    <row r="2068">
      <c r="A2068" s="15" t="s">
        <v>74</v>
      </c>
      <c r="B2068" s="16" t="s">
        <v>167</v>
      </c>
      <c r="C2068" s="17" t="s">
        <v>168</v>
      </c>
      <c r="D2068" s="18">
        <v>3.0</v>
      </c>
      <c r="E2068" s="17" t="s">
        <v>22</v>
      </c>
      <c r="F2068" s="15" t="s">
        <v>146</v>
      </c>
      <c r="G2068" s="19">
        <v>9.0042231E7</v>
      </c>
      <c r="H2068" s="15" t="s">
        <v>65</v>
      </c>
      <c r="I2068" s="20" t="s">
        <v>60</v>
      </c>
      <c r="J2068" s="21">
        <v>8491629.0</v>
      </c>
      <c r="K2068" s="21">
        <v>0.0</v>
      </c>
    </row>
    <row r="2069">
      <c r="A2069" s="15" t="s">
        <v>74</v>
      </c>
      <c r="B2069" s="16" t="s">
        <v>167</v>
      </c>
      <c r="C2069" s="17" t="s">
        <v>168</v>
      </c>
      <c r="D2069" s="18">
        <v>3.0</v>
      </c>
      <c r="E2069" s="17" t="s">
        <v>22</v>
      </c>
      <c r="F2069" s="15" t="s">
        <v>146</v>
      </c>
      <c r="G2069" s="19">
        <v>9.0042126E7</v>
      </c>
      <c r="H2069" s="15" t="s">
        <v>31</v>
      </c>
      <c r="I2069" s="20" t="s">
        <v>25</v>
      </c>
      <c r="J2069" s="21">
        <v>6.9984235E7</v>
      </c>
      <c r="K2069" s="21">
        <v>0.0</v>
      </c>
    </row>
    <row r="2070">
      <c r="A2070" s="15" t="s">
        <v>74</v>
      </c>
      <c r="B2070" s="16" t="s">
        <v>170</v>
      </c>
      <c r="C2070" s="17" t="s">
        <v>171</v>
      </c>
      <c r="D2070" s="18">
        <v>3.0</v>
      </c>
      <c r="E2070" s="24">
        <v>46038.0</v>
      </c>
      <c r="F2070" s="15" t="s">
        <v>150</v>
      </c>
      <c r="G2070" s="19">
        <v>9.0043001E7</v>
      </c>
      <c r="H2070" s="15" t="s">
        <v>18</v>
      </c>
      <c r="I2070" s="20" t="s">
        <v>19</v>
      </c>
      <c r="J2070" s="21">
        <v>3787213.0</v>
      </c>
      <c r="K2070" s="21">
        <v>25.0</v>
      </c>
    </row>
    <row r="2071">
      <c r="A2071" s="15" t="s">
        <v>74</v>
      </c>
      <c r="B2071" s="16" t="s">
        <v>170</v>
      </c>
      <c r="C2071" s="17" t="s">
        <v>171</v>
      </c>
      <c r="D2071" s="18">
        <v>3.0</v>
      </c>
      <c r="E2071" s="17" t="s">
        <v>81</v>
      </c>
      <c r="F2071" s="15" t="s">
        <v>82</v>
      </c>
      <c r="G2071" s="19">
        <v>9.0043001E7</v>
      </c>
      <c r="H2071" s="15" t="s">
        <v>18</v>
      </c>
      <c r="I2071" s="20" t="s">
        <v>19</v>
      </c>
      <c r="J2071" s="21">
        <v>8935276.0</v>
      </c>
      <c r="K2071" s="21">
        <v>61.0</v>
      </c>
    </row>
    <row r="2072">
      <c r="A2072" s="15" t="s">
        <v>74</v>
      </c>
      <c r="B2072" s="16" t="s">
        <v>170</v>
      </c>
      <c r="C2072" s="17" t="s">
        <v>171</v>
      </c>
      <c r="D2072" s="18">
        <v>3.0</v>
      </c>
      <c r="E2072" s="17" t="s">
        <v>84</v>
      </c>
      <c r="F2072" s="15" t="s">
        <v>85</v>
      </c>
      <c r="G2072" s="19">
        <v>9.0043001E7</v>
      </c>
      <c r="H2072" s="15" t="s">
        <v>18</v>
      </c>
      <c r="I2072" s="20" t="s">
        <v>19</v>
      </c>
      <c r="J2072" s="21">
        <v>1.344191E7</v>
      </c>
      <c r="K2072" s="21">
        <v>89.0</v>
      </c>
    </row>
    <row r="2073">
      <c r="A2073" s="15" t="s">
        <v>74</v>
      </c>
      <c r="B2073" s="16" t="s">
        <v>170</v>
      </c>
      <c r="C2073" s="17" t="s">
        <v>171</v>
      </c>
      <c r="D2073" s="18">
        <v>3.0</v>
      </c>
      <c r="E2073" s="17" t="s">
        <v>86</v>
      </c>
      <c r="F2073" s="15" t="s">
        <v>87</v>
      </c>
      <c r="G2073" s="19">
        <v>9.0043001E7</v>
      </c>
      <c r="H2073" s="15" t="s">
        <v>18</v>
      </c>
      <c r="I2073" s="20" t="s">
        <v>19</v>
      </c>
      <c r="J2073" s="21">
        <v>8752177.0</v>
      </c>
      <c r="K2073" s="21">
        <v>58.0</v>
      </c>
    </row>
    <row r="2074">
      <c r="A2074" s="15" t="s">
        <v>74</v>
      </c>
      <c r="B2074" s="16" t="s">
        <v>170</v>
      </c>
      <c r="C2074" s="17" t="s">
        <v>171</v>
      </c>
      <c r="D2074" s="18">
        <v>3.0</v>
      </c>
      <c r="E2074" s="17" t="s">
        <v>173</v>
      </c>
      <c r="F2074" s="15" t="s">
        <v>174</v>
      </c>
      <c r="G2074" s="19">
        <v>9.0043003E7</v>
      </c>
      <c r="H2074" s="15" t="s">
        <v>90</v>
      </c>
      <c r="I2074" s="20" t="s">
        <v>50</v>
      </c>
      <c r="J2074" s="21">
        <v>1.019548E7</v>
      </c>
      <c r="K2074" s="21">
        <v>31.0</v>
      </c>
    </row>
    <row r="2075">
      <c r="A2075" s="15" t="s">
        <v>74</v>
      </c>
      <c r="B2075" s="16" t="s">
        <v>170</v>
      </c>
      <c r="C2075" s="17" t="s">
        <v>171</v>
      </c>
      <c r="D2075" s="18">
        <v>3.0</v>
      </c>
      <c r="E2075" s="17" t="s">
        <v>88</v>
      </c>
      <c r="F2075" s="15" t="s">
        <v>89</v>
      </c>
      <c r="G2075" s="19">
        <v>9.0043003E7</v>
      </c>
      <c r="H2075" s="15" t="s">
        <v>90</v>
      </c>
      <c r="I2075" s="20" t="s">
        <v>50</v>
      </c>
      <c r="J2075" s="21">
        <v>2028396.0</v>
      </c>
      <c r="K2075" s="21">
        <v>6.0</v>
      </c>
    </row>
    <row r="2076">
      <c r="A2076" s="15" t="s">
        <v>74</v>
      </c>
      <c r="B2076" s="16" t="s">
        <v>170</v>
      </c>
      <c r="C2076" s="17" t="s">
        <v>171</v>
      </c>
      <c r="D2076" s="18">
        <v>3.0</v>
      </c>
      <c r="E2076" s="17" t="s">
        <v>154</v>
      </c>
      <c r="F2076" s="15" t="s">
        <v>155</v>
      </c>
      <c r="G2076" s="19">
        <v>9.0043002E7</v>
      </c>
      <c r="H2076" s="15" t="s">
        <v>49</v>
      </c>
      <c r="I2076" s="20" t="s">
        <v>50</v>
      </c>
      <c r="J2076" s="21">
        <v>2.8169116E7</v>
      </c>
      <c r="K2076" s="21">
        <v>2734.0</v>
      </c>
    </row>
    <row r="2077">
      <c r="A2077" s="15" t="s">
        <v>74</v>
      </c>
      <c r="B2077" s="16" t="s">
        <v>170</v>
      </c>
      <c r="C2077" s="17" t="s">
        <v>171</v>
      </c>
      <c r="D2077" s="18">
        <v>3.0</v>
      </c>
      <c r="E2077" s="17" t="s">
        <v>154</v>
      </c>
      <c r="F2077" s="15" t="s">
        <v>155</v>
      </c>
      <c r="G2077" s="19">
        <v>9.0043003E7</v>
      </c>
      <c r="H2077" s="15" t="s">
        <v>90</v>
      </c>
      <c r="I2077" s="20" t="s">
        <v>50</v>
      </c>
      <c r="J2077" s="21">
        <v>1.0339549E7</v>
      </c>
      <c r="K2077" s="21">
        <v>78.5</v>
      </c>
    </row>
    <row r="2078">
      <c r="A2078" s="15" t="s">
        <v>74</v>
      </c>
      <c r="B2078" s="16" t="s">
        <v>170</v>
      </c>
      <c r="C2078" s="17" t="s">
        <v>171</v>
      </c>
      <c r="D2078" s="18">
        <v>3.0</v>
      </c>
      <c r="E2078" s="17" t="s">
        <v>93</v>
      </c>
      <c r="F2078" s="15" t="s">
        <v>94</v>
      </c>
      <c r="G2078" s="19">
        <v>9.0043001E7</v>
      </c>
      <c r="H2078" s="15" t="s">
        <v>18</v>
      </c>
      <c r="I2078" s="20" t="s">
        <v>19</v>
      </c>
      <c r="J2078" s="21">
        <v>1360251.0</v>
      </c>
      <c r="K2078" s="21">
        <v>9.0</v>
      </c>
    </row>
    <row r="2079">
      <c r="A2079" s="15" t="s">
        <v>74</v>
      </c>
      <c r="B2079" s="16" t="s">
        <v>170</v>
      </c>
      <c r="C2079" s="17" t="s">
        <v>171</v>
      </c>
      <c r="D2079" s="18">
        <v>3.0</v>
      </c>
      <c r="E2079" s="17" t="s">
        <v>95</v>
      </c>
      <c r="F2079" s="15" t="s">
        <v>96</v>
      </c>
      <c r="G2079" s="19">
        <v>5.1100061E7</v>
      </c>
      <c r="H2079" s="15" t="s">
        <v>42</v>
      </c>
      <c r="I2079" s="20" t="s">
        <v>37</v>
      </c>
      <c r="J2079" s="21">
        <v>2.2268734E7</v>
      </c>
      <c r="K2079" s="21">
        <v>246.19</v>
      </c>
    </row>
    <row r="2080">
      <c r="A2080" s="15" t="s">
        <v>74</v>
      </c>
      <c r="B2080" s="16" t="s">
        <v>170</v>
      </c>
      <c r="C2080" s="17" t="s">
        <v>171</v>
      </c>
      <c r="D2080" s="18">
        <v>3.0</v>
      </c>
      <c r="E2080" s="17" t="s">
        <v>95</v>
      </c>
      <c r="F2080" s="15" t="s">
        <v>96</v>
      </c>
      <c r="G2080" s="19">
        <v>5.1100064E7</v>
      </c>
      <c r="H2080" s="15" t="s">
        <v>53</v>
      </c>
      <c r="I2080" s="20" t="s">
        <v>37</v>
      </c>
      <c r="J2080" s="21">
        <v>1200000.0</v>
      </c>
      <c r="K2080" s="21">
        <v>2.0</v>
      </c>
    </row>
    <row r="2081">
      <c r="A2081" s="15" t="s">
        <v>74</v>
      </c>
      <c r="B2081" s="16" t="s">
        <v>170</v>
      </c>
      <c r="C2081" s="17" t="s">
        <v>171</v>
      </c>
      <c r="D2081" s="18">
        <v>3.0</v>
      </c>
      <c r="E2081" s="17" t="s">
        <v>95</v>
      </c>
      <c r="F2081" s="15" t="s">
        <v>96</v>
      </c>
      <c r="G2081" s="19">
        <v>9.0043001E7</v>
      </c>
      <c r="H2081" s="15" t="s">
        <v>18</v>
      </c>
      <c r="I2081" s="20" t="s">
        <v>19</v>
      </c>
      <c r="J2081" s="21">
        <v>2.5905355E7</v>
      </c>
      <c r="K2081" s="21">
        <v>171.0</v>
      </c>
    </row>
    <row r="2082">
      <c r="A2082" s="15" t="s">
        <v>74</v>
      </c>
      <c r="B2082" s="16" t="s">
        <v>170</v>
      </c>
      <c r="C2082" s="17" t="s">
        <v>171</v>
      </c>
      <c r="D2082" s="18">
        <v>3.0</v>
      </c>
      <c r="E2082" s="17" t="s">
        <v>95</v>
      </c>
      <c r="F2082" s="15" t="s">
        <v>96</v>
      </c>
      <c r="G2082" s="19">
        <v>5.1100774E7</v>
      </c>
      <c r="H2082" s="15" t="s">
        <v>39</v>
      </c>
      <c r="I2082" s="20" t="s">
        <v>17</v>
      </c>
      <c r="J2082" s="21">
        <v>7807178.0</v>
      </c>
      <c r="K2082" s="21">
        <v>140.2</v>
      </c>
    </row>
    <row r="2083">
      <c r="A2083" s="15" t="s">
        <v>74</v>
      </c>
      <c r="B2083" s="16" t="s">
        <v>170</v>
      </c>
      <c r="C2083" s="17" t="s">
        <v>171</v>
      </c>
      <c r="D2083" s="18">
        <v>3.0</v>
      </c>
      <c r="E2083" s="17" t="s">
        <v>99</v>
      </c>
      <c r="F2083" s="15" t="s">
        <v>100</v>
      </c>
      <c r="G2083" s="19">
        <v>9.0043001E7</v>
      </c>
      <c r="H2083" s="15" t="s">
        <v>18</v>
      </c>
      <c r="I2083" s="20" t="s">
        <v>19</v>
      </c>
      <c r="J2083" s="21">
        <v>3471367.0</v>
      </c>
      <c r="K2083" s="21">
        <v>23.0</v>
      </c>
    </row>
    <row r="2084">
      <c r="A2084" s="15" t="s">
        <v>74</v>
      </c>
      <c r="B2084" s="16" t="s">
        <v>170</v>
      </c>
      <c r="C2084" s="17" t="s">
        <v>171</v>
      </c>
      <c r="D2084" s="18">
        <v>3.0</v>
      </c>
      <c r="E2084" s="17" t="s">
        <v>101</v>
      </c>
      <c r="F2084" s="15" t="s">
        <v>102</v>
      </c>
      <c r="G2084" s="19">
        <v>9.0043001E7</v>
      </c>
      <c r="H2084" s="15" t="s">
        <v>18</v>
      </c>
      <c r="I2084" s="20" t="s">
        <v>19</v>
      </c>
      <c r="J2084" s="21">
        <v>2.2948904E7</v>
      </c>
      <c r="K2084" s="21">
        <v>150.0</v>
      </c>
    </row>
    <row r="2085">
      <c r="A2085" s="15" t="s">
        <v>74</v>
      </c>
      <c r="B2085" s="16" t="s">
        <v>170</v>
      </c>
      <c r="C2085" s="17" t="s">
        <v>171</v>
      </c>
      <c r="D2085" s="18">
        <v>3.0</v>
      </c>
      <c r="E2085" s="17" t="s">
        <v>108</v>
      </c>
      <c r="F2085" s="15" t="s">
        <v>109</v>
      </c>
      <c r="G2085" s="19">
        <v>5.1100061E7</v>
      </c>
      <c r="H2085" s="15" t="s">
        <v>42</v>
      </c>
      <c r="I2085" s="20" t="s">
        <v>37</v>
      </c>
      <c r="J2085" s="21">
        <v>492225.0</v>
      </c>
      <c r="K2085" s="21">
        <v>5.0</v>
      </c>
    </row>
    <row r="2086">
      <c r="A2086" s="15" t="s">
        <v>74</v>
      </c>
      <c r="B2086" s="16" t="s">
        <v>170</v>
      </c>
      <c r="C2086" s="17" t="s">
        <v>171</v>
      </c>
      <c r="D2086" s="18">
        <v>3.0</v>
      </c>
      <c r="E2086" s="17" t="s">
        <v>108</v>
      </c>
      <c r="F2086" s="15" t="s">
        <v>109</v>
      </c>
      <c r="G2086" s="19">
        <v>9.0043001E7</v>
      </c>
      <c r="H2086" s="15" t="s">
        <v>18</v>
      </c>
      <c r="I2086" s="20" t="s">
        <v>19</v>
      </c>
      <c r="J2086" s="21">
        <v>2611643.0</v>
      </c>
      <c r="K2086" s="21">
        <v>16.0</v>
      </c>
    </row>
    <row r="2087">
      <c r="A2087" s="15" t="s">
        <v>74</v>
      </c>
      <c r="B2087" s="16" t="s">
        <v>170</v>
      </c>
      <c r="C2087" s="17" t="s">
        <v>171</v>
      </c>
      <c r="D2087" s="18">
        <v>3.0</v>
      </c>
      <c r="E2087" s="17" t="s">
        <v>175</v>
      </c>
      <c r="F2087" s="15" t="s">
        <v>176</v>
      </c>
      <c r="G2087" s="19">
        <v>9.0043002E7</v>
      </c>
      <c r="H2087" s="15" t="s">
        <v>49</v>
      </c>
      <c r="I2087" s="20" t="s">
        <v>50</v>
      </c>
      <c r="J2087" s="21">
        <v>4430864.0</v>
      </c>
      <c r="K2087" s="21">
        <v>585.0</v>
      </c>
    </row>
    <row r="2088">
      <c r="A2088" s="15" t="s">
        <v>74</v>
      </c>
      <c r="B2088" s="16" t="s">
        <v>170</v>
      </c>
      <c r="C2088" s="17" t="s">
        <v>171</v>
      </c>
      <c r="D2088" s="18">
        <v>3.0</v>
      </c>
      <c r="E2088" s="17" t="s">
        <v>115</v>
      </c>
      <c r="F2088" s="15" t="s">
        <v>116</v>
      </c>
      <c r="G2088" s="19">
        <v>9.0043002E7</v>
      </c>
      <c r="H2088" s="15" t="s">
        <v>49</v>
      </c>
      <c r="I2088" s="20" t="s">
        <v>50</v>
      </c>
      <c r="J2088" s="21">
        <v>1407924.0</v>
      </c>
      <c r="K2088" s="21">
        <v>105.0</v>
      </c>
    </row>
    <row r="2089">
      <c r="A2089" s="15" t="s">
        <v>74</v>
      </c>
      <c r="B2089" s="16" t="s">
        <v>170</v>
      </c>
      <c r="C2089" s="17" t="s">
        <v>171</v>
      </c>
      <c r="D2089" s="18">
        <v>3.0</v>
      </c>
      <c r="E2089" s="17" t="s">
        <v>117</v>
      </c>
      <c r="F2089" s="15" t="s">
        <v>118</v>
      </c>
      <c r="G2089" s="19">
        <v>5.1100058E7</v>
      </c>
      <c r="H2089" s="15" t="s">
        <v>36</v>
      </c>
      <c r="I2089" s="20" t="s">
        <v>37</v>
      </c>
      <c r="J2089" s="21">
        <v>3.8679925E7</v>
      </c>
      <c r="K2089" s="21">
        <v>27185.5</v>
      </c>
    </row>
    <row r="2090">
      <c r="A2090" s="15" t="s">
        <v>74</v>
      </c>
      <c r="B2090" s="16" t="s">
        <v>170</v>
      </c>
      <c r="C2090" s="17" t="s">
        <v>171</v>
      </c>
      <c r="D2090" s="18">
        <v>3.0</v>
      </c>
      <c r="E2090" s="17" t="s">
        <v>117</v>
      </c>
      <c r="F2090" s="15" t="s">
        <v>118</v>
      </c>
      <c r="G2090" s="19">
        <v>9.0043001E7</v>
      </c>
      <c r="H2090" s="15" t="s">
        <v>18</v>
      </c>
      <c r="I2090" s="20" t="s">
        <v>19</v>
      </c>
      <c r="J2090" s="21">
        <v>1.6237363E7</v>
      </c>
      <c r="K2090" s="21">
        <v>107.0</v>
      </c>
    </row>
    <row r="2091">
      <c r="A2091" s="15" t="s">
        <v>74</v>
      </c>
      <c r="B2091" s="16" t="s">
        <v>170</v>
      </c>
      <c r="C2091" s="17" t="s">
        <v>171</v>
      </c>
      <c r="D2091" s="18">
        <v>3.0</v>
      </c>
      <c r="E2091" s="17" t="s">
        <v>117</v>
      </c>
      <c r="F2091" s="15" t="s">
        <v>118</v>
      </c>
      <c r="G2091" s="19">
        <v>5.1100774E7</v>
      </c>
      <c r="H2091" s="15" t="s">
        <v>39</v>
      </c>
      <c r="I2091" s="20" t="s">
        <v>17</v>
      </c>
      <c r="J2091" s="21">
        <v>3287702.0</v>
      </c>
      <c r="K2091" s="21">
        <v>59.04</v>
      </c>
    </row>
    <row r="2092">
      <c r="A2092" s="15" t="s">
        <v>74</v>
      </c>
      <c r="B2092" s="16" t="s">
        <v>170</v>
      </c>
      <c r="C2092" s="17" t="s">
        <v>171</v>
      </c>
      <c r="D2092" s="18">
        <v>3.0</v>
      </c>
      <c r="E2092" s="17" t="s">
        <v>263</v>
      </c>
      <c r="F2092" s="15" t="s">
        <v>264</v>
      </c>
      <c r="G2092" s="19">
        <v>9.0043001E7</v>
      </c>
      <c r="H2092" s="15" t="s">
        <v>18</v>
      </c>
      <c r="I2092" s="20" t="s">
        <v>19</v>
      </c>
      <c r="J2092" s="21">
        <v>3854135.0</v>
      </c>
      <c r="K2092" s="21">
        <v>23.0</v>
      </c>
    </row>
    <row r="2093">
      <c r="A2093" s="15" t="s">
        <v>74</v>
      </c>
      <c r="B2093" s="16" t="s">
        <v>170</v>
      </c>
      <c r="C2093" s="17" t="s">
        <v>171</v>
      </c>
      <c r="D2093" s="18">
        <v>3.0</v>
      </c>
      <c r="E2093" s="17" t="s">
        <v>123</v>
      </c>
      <c r="F2093" s="15" t="s">
        <v>124</v>
      </c>
      <c r="G2093" s="19">
        <v>9.0043001E7</v>
      </c>
      <c r="H2093" s="15" t="s">
        <v>18</v>
      </c>
      <c r="I2093" s="20" t="s">
        <v>19</v>
      </c>
      <c r="J2093" s="21">
        <v>2.2683801E7</v>
      </c>
      <c r="K2093" s="21">
        <v>148.0</v>
      </c>
    </row>
    <row r="2094">
      <c r="A2094" s="15" t="s">
        <v>74</v>
      </c>
      <c r="B2094" s="16" t="s">
        <v>170</v>
      </c>
      <c r="C2094" s="17" t="s">
        <v>171</v>
      </c>
      <c r="D2094" s="18">
        <v>3.0</v>
      </c>
      <c r="E2094" s="17" t="s">
        <v>125</v>
      </c>
      <c r="F2094" s="15" t="s">
        <v>126</v>
      </c>
      <c r="G2094" s="19">
        <v>5.1101056E7</v>
      </c>
      <c r="H2094" s="15" t="s">
        <v>16</v>
      </c>
      <c r="I2094" s="20" t="s">
        <v>25</v>
      </c>
      <c r="J2094" s="21">
        <v>7811699.0</v>
      </c>
      <c r="K2094" s="21">
        <v>0.0</v>
      </c>
    </row>
    <row r="2095">
      <c r="A2095" s="15" t="s">
        <v>74</v>
      </c>
      <c r="B2095" s="16" t="s">
        <v>170</v>
      </c>
      <c r="C2095" s="17" t="s">
        <v>171</v>
      </c>
      <c r="D2095" s="18">
        <v>3.0</v>
      </c>
      <c r="E2095" s="17" t="s">
        <v>125</v>
      </c>
      <c r="F2095" s="15" t="s">
        <v>126</v>
      </c>
      <c r="G2095" s="19">
        <v>5.1101056E7</v>
      </c>
      <c r="H2095" s="15" t="s">
        <v>16</v>
      </c>
      <c r="I2095" s="20" t="s">
        <v>17</v>
      </c>
      <c r="J2095" s="21">
        <v>8830069.0</v>
      </c>
      <c r="K2095" s="21">
        <v>71234.395</v>
      </c>
    </row>
    <row r="2096">
      <c r="A2096" s="15" t="s">
        <v>74</v>
      </c>
      <c r="B2096" s="16" t="s">
        <v>170</v>
      </c>
      <c r="C2096" s="17" t="s">
        <v>171</v>
      </c>
      <c r="D2096" s="18">
        <v>3.0</v>
      </c>
      <c r="E2096" s="17" t="s">
        <v>125</v>
      </c>
      <c r="F2096" s="15" t="s">
        <v>126</v>
      </c>
      <c r="G2096" s="19">
        <v>9.0043001E7</v>
      </c>
      <c r="H2096" s="15" t="s">
        <v>18</v>
      </c>
      <c r="I2096" s="20" t="s">
        <v>19</v>
      </c>
      <c r="J2096" s="21">
        <v>3.01163892E8</v>
      </c>
      <c r="K2096" s="21">
        <v>1997.0</v>
      </c>
    </row>
    <row r="2097">
      <c r="A2097" s="15" t="s">
        <v>74</v>
      </c>
      <c r="B2097" s="16" t="s">
        <v>170</v>
      </c>
      <c r="C2097" s="17" t="s">
        <v>171</v>
      </c>
      <c r="D2097" s="18">
        <v>3.0</v>
      </c>
      <c r="E2097" s="17" t="s">
        <v>127</v>
      </c>
      <c r="F2097" s="15" t="s">
        <v>128</v>
      </c>
      <c r="G2097" s="19">
        <v>5.1100153E7</v>
      </c>
      <c r="H2097" s="15" t="s">
        <v>72</v>
      </c>
      <c r="I2097" s="20" t="s">
        <v>17</v>
      </c>
      <c r="J2097" s="21">
        <v>7.1197939E7</v>
      </c>
      <c r="K2097" s="21">
        <v>934919.86</v>
      </c>
    </row>
    <row r="2098">
      <c r="A2098" s="15" t="s">
        <v>74</v>
      </c>
      <c r="B2098" s="16" t="s">
        <v>170</v>
      </c>
      <c r="C2098" s="17" t="s">
        <v>171</v>
      </c>
      <c r="D2098" s="18">
        <v>3.0</v>
      </c>
      <c r="E2098" s="17" t="s">
        <v>127</v>
      </c>
      <c r="F2098" s="15" t="s">
        <v>128</v>
      </c>
      <c r="G2098" s="19">
        <v>9.0043002E7</v>
      </c>
      <c r="H2098" s="15" t="s">
        <v>49</v>
      </c>
      <c r="I2098" s="20" t="s">
        <v>50</v>
      </c>
      <c r="J2098" s="21">
        <v>4.9305362E7</v>
      </c>
      <c r="K2098" s="21">
        <v>4856.0</v>
      </c>
    </row>
    <row r="2099">
      <c r="A2099" s="15" t="s">
        <v>74</v>
      </c>
      <c r="B2099" s="16" t="s">
        <v>170</v>
      </c>
      <c r="C2099" s="17" t="s">
        <v>171</v>
      </c>
      <c r="D2099" s="18">
        <v>3.0</v>
      </c>
      <c r="E2099" s="17" t="s">
        <v>129</v>
      </c>
      <c r="F2099" s="15" t="s">
        <v>130</v>
      </c>
      <c r="G2099" s="19">
        <v>5.1101056E7</v>
      </c>
      <c r="H2099" s="15" t="s">
        <v>16</v>
      </c>
      <c r="I2099" s="20" t="s">
        <v>17</v>
      </c>
      <c r="J2099" s="21">
        <v>1.041019E7</v>
      </c>
      <c r="K2099" s="21">
        <v>148717.0</v>
      </c>
    </row>
    <row r="2100">
      <c r="A2100" s="15" t="s">
        <v>74</v>
      </c>
      <c r="B2100" s="16" t="s">
        <v>170</v>
      </c>
      <c r="C2100" s="17" t="s">
        <v>171</v>
      </c>
      <c r="D2100" s="18">
        <v>3.0</v>
      </c>
      <c r="E2100" s="17" t="s">
        <v>129</v>
      </c>
      <c r="F2100" s="15" t="s">
        <v>130</v>
      </c>
      <c r="G2100" s="19">
        <v>9.0043001E7</v>
      </c>
      <c r="H2100" s="15" t="s">
        <v>18</v>
      </c>
      <c r="I2100" s="20" t="s">
        <v>19</v>
      </c>
      <c r="J2100" s="21">
        <v>2.360627E7</v>
      </c>
      <c r="K2100" s="21">
        <v>147.0</v>
      </c>
    </row>
    <row r="2101">
      <c r="A2101" s="15" t="s">
        <v>74</v>
      </c>
      <c r="B2101" s="16" t="s">
        <v>170</v>
      </c>
      <c r="C2101" s="17" t="s">
        <v>171</v>
      </c>
      <c r="D2101" s="18">
        <v>3.0</v>
      </c>
      <c r="E2101" s="17" t="s">
        <v>129</v>
      </c>
      <c r="F2101" s="15" t="s">
        <v>130</v>
      </c>
      <c r="G2101" s="19">
        <v>9.0043003E7</v>
      </c>
      <c r="H2101" s="15" t="s">
        <v>90</v>
      </c>
      <c r="I2101" s="20" t="s">
        <v>50</v>
      </c>
      <c r="J2101" s="21">
        <v>3.627135E7</v>
      </c>
      <c r="K2101" s="21">
        <v>50.0</v>
      </c>
    </row>
    <row r="2102">
      <c r="A2102" s="15" t="s">
        <v>74</v>
      </c>
      <c r="B2102" s="16" t="s">
        <v>170</v>
      </c>
      <c r="C2102" s="17" t="s">
        <v>171</v>
      </c>
      <c r="D2102" s="18">
        <v>3.0</v>
      </c>
      <c r="E2102" s="17" t="s">
        <v>131</v>
      </c>
      <c r="F2102" s="15" t="s">
        <v>132</v>
      </c>
      <c r="G2102" s="19">
        <v>9.0043001E7</v>
      </c>
      <c r="H2102" s="15" t="s">
        <v>18</v>
      </c>
      <c r="I2102" s="20" t="s">
        <v>19</v>
      </c>
      <c r="J2102" s="21">
        <v>5859725.0</v>
      </c>
      <c r="K2102" s="21">
        <v>39.0</v>
      </c>
    </row>
    <row r="2103">
      <c r="A2103" s="15" t="s">
        <v>74</v>
      </c>
      <c r="B2103" s="16" t="s">
        <v>170</v>
      </c>
      <c r="C2103" s="17" t="s">
        <v>171</v>
      </c>
      <c r="D2103" s="18">
        <v>3.0</v>
      </c>
      <c r="E2103" s="17" t="s">
        <v>135</v>
      </c>
      <c r="F2103" s="15" t="s">
        <v>136</v>
      </c>
      <c r="G2103" s="19">
        <v>9.0043001E7</v>
      </c>
      <c r="H2103" s="15" t="s">
        <v>18</v>
      </c>
      <c r="I2103" s="20" t="s">
        <v>19</v>
      </c>
      <c r="J2103" s="21">
        <v>9964956.0</v>
      </c>
      <c r="K2103" s="21">
        <v>67.0</v>
      </c>
    </row>
    <row r="2104">
      <c r="A2104" s="15" t="s">
        <v>74</v>
      </c>
      <c r="B2104" s="16" t="s">
        <v>170</v>
      </c>
      <c r="C2104" s="17" t="s">
        <v>171</v>
      </c>
      <c r="D2104" s="18">
        <v>3.0</v>
      </c>
      <c r="E2104" s="17" t="s">
        <v>137</v>
      </c>
      <c r="F2104" s="15" t="s">
        <v>138</v>
      </c>
      <c r="G2104" s="19">
        <v>9.0043001E7</v>
      </c>
      <c r="H2104" s="15" t="s">
        <v>18</v>
      </c>
      <c r="I2104" s="20" t="s">
        <v>19</v>
      </c>
      <c r="J2104" s="21">
        <v>3080637.0</v>
      </c>
      <c r="K2104" s="21">
        <v>21.0</v>
      </c>
    </row>
    <row r="2105">
      <c r="A2105" s="15" t="s">
        <v>74</v>
      </c>
      <c r="B2105" s="16" t="s">
        <v>170</v>
      </c>
      <c r="C2105" s="17" t="s">
        <v>171</v>
      </c>
      <c r="D2105" s="18">
        <v>3.0</v>
      </c>
      <c r="E2105" s="17" t="s">
        <v>54</v>
      </c>
      <c r="F2105" s="15" t="s">
        <v>139</v>
      </c>
      <c r="G2105" s="19">
        <v>9.0042011E7</v>
      </c>
      <c r="H2105" s="15" t="s">
        <v>55</v>
      </c>
      <c r="I2105" s="20" t="s">
        <v>19</v>
      </c>
      <c r="J2105" s="21">
        <v>2.05489783E8</v>
      </c>
      <c r="K2105" s="21">
        <v>0.0</v>
      </c>
    </row>
    <row r="2106">
      <c r="A2106" s="15" t="s">
        <v>74</v>
      </c>
      <c r="B2106" s="16" t="s">
        <v>170</v>
      </c>
      <c r="C2106" s="17" t="s">
        <v>171</v>
      </c>
      <c r="D2106" s="18">
        <v>3.0</v>
      </c>
      <c r="E2106" s="17" t="s">
        <v>164</v>
      </c>
      <c r="F2106" s="15" t="s">
        <v>165</v>
      </c>
      <c r="G2106" s="19">
        <v>9.0042079E7</v>
      </c>
      <c r="H2106" s="15" t="s">
        <v>166</v>
      </c>
      <c r="I2106" s="20" t="s">
        <v>19</v>
      </c>
      <c r="J2106" s="21">
        <v>1093950.0</v>
      </c>
      <c r="K2106" s="21">
        <v>0.0</v>
      </c>
    </row>
    <row r="2107">
      <c r="A2107" s="15" t="s">
        <v>74</v>
      </c>
      <c r="B2107" s="16" t="s">
        <v>170</v>
      </c>
      <c r="C2107" s="17" t="s">
        <v>171</v>
      </c>
      <c r="D2107" s="18">
        <v>3.0</v>
      </c>
      <c r="E2107" s="17" t="s">
        <v>20</v>
      </c>
      <c r="F2107" s="15" t="s">
        <v>140</v>
      </c>
      <c r="G2107" s="19">
        <v>9.0042014E7</v>
      </c>
      <c r="H2107" s="15" t="s">
        <v>21</v>
      </c>
      <c r="I2107" s="20" t="s">
        <v>19</v>
      </c>
      <c r="J2107" s="21">
        <v>3.09598781E8</v>
      </c>
      <c r="K2107" s="21">
        <v>0.0</v>
      </c>
    </row>
    <row r="2108">
      <c r="A2108" s="15" t="s">
        <v>74</v>
      </c>
      <c r="B2108" s="16" t="s">
        <v>170</v>
      </c>
      <c r="C2108" s="17" t="s">
        <v>171</v>
      </c>
      <c r="D2108" s="18">
        <v>3.0</v>
      </c>
      <c r="E2108" s="17" t="s">
        <v>20</v>
      </c>
      <c r="F2108" s="15" t="s">
        <v>140</v>
      </c>
      <c r="G2108" s="19">
        <v>9.0042077E7</v>
      </c>
      <c r="H2108" s="15" t="s">
        <v>141</v>
      </c>
      <c r="I2108" s="20" t="s">
        <v>19</v>
      </c>
      <c r="J2108" s="21">
        <v>4.8853612E7</v>
      </c>
      <c r="K2108" s="21">
        <v>0.0</v>
      </c>
    </row>
    <row r="2109">
      <c r="A2109" s="15" t="s">
        <v>74</v>
      </c>
      <c r="B2109" s="16" t="s">
        <v>170</v>
      </c>
      <c r="C2109" s="17" t="s">
        <v>171</v>
      </c>
      <c r="D2109" s="18">
        <v>3.0</v>
      </c>
      <c r="E2109" s="17" t="s">
        <v>142</v>
      </c>
      <c r="F2109" s="15" t="s">
        <v>143</v>
      </c>
      <c r="G2109" s="19">
        <v>9.0042084E7</v>
      </c>
      <c r="H2109" s="15" t="s">
        <v>145</v>
      </c>
      <c r="I2109" s="20" t="s">
        <v>19</v>
      </c>
      <c r="J2109" s="21">
        <v>1730495.0</v>
      </c>
      <c r="K2109" s="21">
        <v>0.0</v>
      </c>
    </row>
    <row r="2110">
      <c r="A2110" s="15" t="s">
        <v>74</v>
      </c>
      <c r="B2110" s="16" t="s">
        <v>170</v>
      </c>
      <c r="C2110" s="17" t="s">
        <v>171</v>
      </c>
      <c r="D2110" s="18">
        <v>3.0</v>
      </c>
      <c r="E2110" s="17" t="s">
        <v>22</v>
      </c>
      <c r="F2110" s="15" t="s">
        <v>146</v>
      </c>
      <c r="G2110" s="19">
        <v>9.0042012E7</v>
      </c>
      <c r="H2110" s="15" t="s">
        <v>23</v>
      </c>
      <c r="I2110" s="20" t="s">
        <v>19</v>
      </c>
      <c r="J2110" s="21">
        <v>1.38347173E8</v>
      </c>
      <c r="K2110" s="21">
        <v>0.0</v>
      </c>
    </row>
    <row r="2111">
      <c r="A2111" s="15" t="s">
        <v>74</v>
      </c>
      <c r="B2111" s="16" t="s">
        <v>170</v>
      </c>
      <c r="C2111" s="17" t="s">
        <v>171</v>
      </c>
      <c r="D2111" s="18">
        <v>3.0</v>
      </c>
      <c r="E2111" s="17" t="s">
        <v>22</v>
      </c>
      <c r="F2111" s="15" t="s">
        <v>146</v>
      </c>
      <c r="G2111" s="19">
        <v>9.0042121E7</v>
      </c>
      <c r="H2111" s="15" t="s">
        <v>24</v>
      </c>
      <c r="I2111" s="20" t="s">
        <v>25</v>
      </c>
      <c r="J2111" s="21">
        <v>1.48879676E8</v>
      </c>
      <c r="K2111" s="21">
        <v>0.0</v>
      </c>
    </row>
    <row r="2112">
      <c r="A2112" s="15" t="s">
        <v>74</v>
      </c>
      <c r="B2112" s="16" t="s">
        <v>170</v>
      </c>
      <c r="C2112" s="17" t="s">
        <v>171</v>
      </c>
      <c r="D2112" s="18">
        <v>3.0</v>
      </c>
      <c r="E2112" s="17" t="s">
        <v>22</v>
      </c>
      <c r="F2112" s="15" t="s">
        <v>146</v>
      </c>
      <c r="G2112" s="19">
        <v>9.0042122E7</v>
      </c>
      <c r="H2112" s="15" t="s">
        <v>56</v>
      </c>
      <c r="I2112" s="20" t="s">
        <v>25</v>
      </c>
      <c r="J2112" s="21">
        <v>4418448.0</v>
      </c>
      <c r="K2112" s="21">
        <v>0.0</v>
      </c>
    </row>
    <row r="2113">
      <c r="A2113" s="15" t="s">
        <v>74</v>
      </c>
      <c r="B2113" s="16" t="s">
        <v>170</v>
      </c>
      <c r="C2113" s="17" t="s">
        <v>171</v>
      </c>
      <c r="D2113" s="18">
        <v>3.0</v>
      </c>
      <c r="E2113" s="17" t="s">
        <v>22</v>
      </c>
      <c r="F2113" s="15" t="s">
        <v>146</v>
      </c>
      <c r="G2113" s="19">
        <v>9.0042125E7</v>
      </c>
      <c r="H2113" s="15" t="s">
        <v>26</v>
      </c>
      <c r="I2113" s="20" t="s">
        <v>25</v>
      </c>
      <c r="J2113" s="21">
        <v>7.5502315E7</v>
      </c>
      <c r="K2113" s="21">
        <v>0.0</v>
      </c>
    </row>
    <row r="2114">
      <c r="A2114" s="15" t="s">
        <v>74</v>
      </c>
      <c r="B2114" s="16" t="s">
        <v>170</v>
      </c>
      <c r="C2114" s="17" t="s">
        <v>171</v>
      </c>
      <c r="D2114" s="18">
        <v>3.0</v>
      </c>
      <c r="E2114" s="17" t="s">
        <v>22</v>
      </c>
      <c r="F2114" s="15" t="s">
        <v>146</v>
      </c>
      <c r="G2114" s="19">
        <v>9.0042127E7</v>
      </c>
      <c r="H2114" s="15" t="s">
        <v>27</v>
      </c>
      <c r="I2114" s="20" t="s">
        <v>25</v>
      </c>
      <c r="J2114" s="21">
        <v>1.3238752E7</v>
      </c>
      <c r="K2114" s="21">
        <v>0.0</v>
      </c>
    </row>
    <row r="2115">
      <c r="A2115" s="15" t="s">
        <v>74</v>
      </c>
      <c r="B2115" s="16" t="s">
        <v>170</v>
      </c>
      <c r="C2115" s="17" t="s">
        <v>171</v>
      </c>
      <c r="D2115" s="18">
        <v>3.0</v>
      </c>
      <c r="E2115" s="17" t="s">
        <v>22</v>
      </c>
      <c r="F2115" s="15" t="s">
        <v>146</v>
      </c>
      <c r="G2115" s="19">
        <v>9.0042128E7</v>
      </c>
      <c r="H2115" s="15" t="s">
        <v>58</v>
      </c>
      <c r="I2115" s="20" t="s">
        <v>25</v>
      </c>
      <c r="J2115" s="21">
        <v>1.8763227E7</v>
      </c>
      <c r="K2115" s="21">
        <v>0.0</v>
      </c>
    </row>
    <row r="2116">
      <c r="A2116" s="15" t="s">
        <v>74</v>
      </c>
      <c r="B2116" s="16" t="s">
        <v>170</v>
      </c>
      <c r="C2116" s="17" t="s">
        <v>171</v>
      </c>
      <c r="D2116" s="18">
        <v>3.0</v>
      </c>
      <c r="E2116" s="17" t="s">
        <v>22</v>
      </c>
      <c r="F2116" s="15" t="s">
        <v>146</v>
      </c>
      <c r="G2116" s="19">
        <v>9.0042134E7</v>
      </c>
      <c r="H2116" s="15" t="s">
        <v>29</v>
      </c>
      <c r="I2116" s="20" t="s">
        <v>25</v>
      </c>
      <c r="J2116" s="21">
        <v>3780000.0</v>
      </c>
      <c r="K2116" s="21">
        <v>0.0</v>
      </c>
    </row>
    <row r="2117">
      <c r="A2117" s="15" t="s">
        <v>74</v>
      </c>
      <c r="B2117" s="16" t="s">
        <v>170</v>
      </c>
      <c r="C2117" s="17" t="s">
        <v>171</v>
      </c>
      <c r="D2117" s="18">
        <v>3.0</v>
      </c>
      <c r="E2117" s="17" t="s">
        <v>22</v>
      </c>
      <c r="F2117" s="15" t="s">
        <v>146</v>
      </c>
      <c r="G2117" s="19">
        <v>9.0042135E7</v>
      </c>
      <c r="H2117" s="15" t="s">
        <v>30</v>
      </c>
      <c r="I2117" s="20" t="s">
        <v>25</v>
      </c>
      <c r="J2117" s="21">
        <v>1.64679964E8</v>
      </c>
      <c r="K2117" s="21">
        <v>0.0</v>
      </c>
    </row>
    <row r="2118">
      <c r="A2118" s="15" t="s">
        <v>74</v>
      </c>
      <c r="B2118" s="16" t="s">
        <v>170</v>
      </c>
      <c r="C2118" s="17" t="s">
        <v>171</v>
      </c>
      <c r="D2118" s="18">
        <v>3.0</v>
      </c>
      <c r="E2118" s="17" t="s">
        <v>22</v>
      </c>
      <c r="F2118" s="15" t="s">
        <v>146</v>
      </c>
      <c r="G2118" s="19">
        <v>9.00422E7</v>
      </c>
      <c r="H2118" s="15" t="s">
        <v>73</v>
      </c>
      <c r="I2118" s="20" t="s">
        <v>60</v>
      </c>
      <c r="J2118" s="21">
        <v>1.59424706E8</v>
      </c>
      <c r="K2118" s="21">
        <v>0.0</v>
      </c>
    </row>
    <row r="2119">
      <c r="A2119" s="15" t="s">
        <v>74</v>
      </c>
      <c r="B2119" s="16" t="s">
        <v>170</v>
      </c>
      <c r="C2119" s="17" t="s">
        <v>171</v>
      </c>
      <c r="D2119" s="18">
        <v>3.0</v>
      </c>
      <c r="E2119" s="17" t="s">
        <v>22</v>
      </c>
      <c r="F2119" s="15" t="s">
        <v>146</v>
      </c>
      <c r="G2119" s="19">
        <v>9.0042223E7</v>
      </c>
      <c r="H2119" s="15" t="s">
        <v>61</v>
      </c>
      <c r="I2119" s="20" t="s">
        <v>60</v>
      </c>
      <c r="J2119" s="21">
        <v>9086496.0</v>
      </c>
      <c r="K2119" s="21">
        <v>0.0</v>
      </c>
    </row>
    <row r="2120">
      <c r="A2120" s="15" t="s">
        <v>74</v>
      </c>
      <c r="B2120" s="16" t="s">
        <v>170</v>
      </c>
      <c r="C2120" s="17" t="s">
        <v>171</v>
      </c>
      <c r="D2120" s="18">
        <v>3.0</v>
      </c>
      <c r="E2120" s="17" t="s">
        <v>22</v>
      </c>
      <c r="F2120" s="15" t="s">
        <v>146</v>
      </c>
      <c r="G2120" s="19">
        <v>9.0042224E7</v>
      </c>
      <c r="H2120" s="15" t="s">
        <v>62</v>
      </c>
      <c r="I2120" s="20" t="s">
        <v>60</v>
      </c>
      <c r="J2120" s="21">
        <v>9548647.0</v>
      </c>
      <c r="K2120" s="21">
        <v>0.0</v>
      </c>
    </row>
    <row r="2121">
      <c r="A2121" s="15" t="s">
        <v>74</v>
      </c>
      <c r="B2121" s="16" t="s">
        <v>170</v>
      </c>
      <c r="C2121" s="17" t="s">
        <v>171</v>
      </c>
      <c r="D2121" s="18">
        <v>3.0</v>
      </c>
      <c r="E2121" s="17" t="s">
        <v>22</v>
      </c>
      <c r="F2121" s="15" t="s">
        <v>146</v>
      </c>
      <c r="G2121" s="19">
        <v>9.0042226E7</v>
      </c>
      <c r="H2121" s="15" t="s">
        <v>63</v>
      </c>
      <c r="I2121" s="20" t="s">
        <v>60</v>
      </c>
      <c r="J2121" s="21">
        <v>1233333.0</v>
      </c>
      <c r="K2121" s="21">
        <v>0.0</v>
      </c>
    </row>
    <row r="2122">
      <c r="A2122" s="15" t="s">
        <v>74</v>
      </c>
      <c r="B2122" s="16" t="s">
        <v>170</v>
      </c>
      <c r="C2122" s="17" t="s">
        <v>171</v>
      </c>
      <c r="D2122" s="18">
        <v>3.0</v>
      </c>
      <c r="E2122" s="17" t="s">
        <v>22</v>
      </c>
      <c r="F2122" s="15" t="s">
        <v>146</v>
      </c>
      <c r="G2122" s="19">
        <v>9.0042228E7</v>
      </c>
      <c r="H2122" s="15" t="s">
        <v>64</v>
      </c>
      <c r="I2122" s="20" t="s">
        <v>60</v>
      </c>
      <c r="J2122" s="21">
        <v>6.784373E7</v>
      </c>
      <c r="K2122" s="21">
        <v>0.0</v>
      </c>
    </row>
    <row r="2123">
      <c r="A2123" s="15" t="s">
        <v>74</v>
      </c>
      <c r="B2123" s="16" t="s">
        <v>170</v>
      </c>
      <c r="C2123" s="17" t="s">
        <v>171</v>
      </c>
      <c r="D2123" s="18">
        <v>3.0</v>
      </c>
      <c r="E2123" s="17" t="s">
        <v>22</v>
      </c>
      <c r="F2123" s="15" t="s">
        <v>146</v>
      </c>
      <c r="G2123" s="19">
        <v>9.0042231E7</v>
      </c>
      <c r="H2123" s="15" t="s">
        <v>65</v>
      </c>
      <c r="I2123" s="20" t="s">
        <v>60</v>
      </c>
      <c r="J2123" s="21">
        <v>1.3415774E7</v>
      </c>
      <c r="K2123" s="21">
        <v>0.0</v>
      </c>
    </row>
    <row r="2124">
      <c r="A2124" s="15" t="s">
        <v>74</v>
      </c>
      <c r="B2124" s="16" t="s">
        <v>170</v>
      </c>
      <c r="C2124" s="17" t="s">
        <v>171</v>
      </c>
      <c r="D2124" s="18">
        <v>3.0</v>
      </c>
      <c r="E2124" s="17" t="s">
        <v>22</v>
      </c>
      <c r="F2124" s="15" t="s">
        <v>146</v>
      </c>
      <c r="G2124" s="19">
        <v>9.0042126E7</v>
      </c>
      <c r="H2124" s="15" t="s">
        <v>31</v>
      </c>
      <c r="I2124" s="20" t="s">
        <v>25</v>
      </c>
      <c r="J2124" s="21">
        <v>6.2966474E7</v>
      </c>
      <c r="K2124" s="21">
        <v>0.0</v>
      </c>
    </row>
    <row r="2125">
      <c r="A2125" s="15" t="s">
        <v>74</v>
      </c>
      <c r="B2125" s="16" t="s">
        <v>170</v>
      </c>
      <c r="C2125" s="17" t="s">
        <v>171</v>
      </c>
      <c r="D2125" s="18">
        <v>3.0</v>
      </c>
      <c r="E2125" s="17" t="s">
        <v>22</v>
      </c>
      <c r="F2125" s="15" t="s">
        <v>146</v>
      </c>
      <c r="G2125" s="19">
        <v>9.004212E7</v>
      </c>
      <c r="H2125" s="15" t="s">
        <v>182</v>
      </c>
      <c r="I2125" s="20" t="s">
        <v>25</v>
      </c>
      <c r="J2125" s="21">
        <v>1.58806527E8</v>
      </c>
      <c r="K2125" s="21">
        <v>0.0</v>
      </c>
    </row>
    <row r="2126">
      <c r="A2126" s="15" t="s">
        <v>74</v>
      </c>
      <c r="B2126" s="16" t="s">
        <v>170</v>
      </c>
      <c r="C2126" s="17" t="s">
        <v>171</v>
      </c>
      <c r="D2126" s="18">
        <v>3.0</v>
      </c>
      <c r="E2126" s="17" t="s">
        <v>22</v>
      </c>
      <c r="F2126" s="15" t="s">
        <v>146</v>
      </c>
      <c r="G2126" s="19">
        <v>9.0042119E7</v>
      </c>
      <c r="H2126" s="15" t="s">
        <v>279</v>
      </c>
      <c r="I2126" s="20" t="s">
        <v>25</v>
      </c>
      <c r="J2126" s="21">
        <v>21000.0</v>
      </c>
      <c r="K2126" s="21">
        <v>0.0</v>
      </c>
    </row>
    <row r="2127">
      <c r="A2127" s="15" t="s">
        <v>74</v>
      </c>
      <c r="B2127" s="16" t="s">
        <v>12</v>
      </c>
      <c r="C2127" s="17" t="s">
        <v>13</v>
      </c>
      <c r="D2127" s="18">
        <v>3.0</v>
      </c>
      <c r="E2127" s="17" t="s">
        <v>84</v>
      </c>
      <c r="F2127" s="15" t="s">
        <v>85</v>
      </c>
      <c r="G2127" s="19">
        <v>9.0043001E7</v>
      </c>
      <c r="H2127" s="15" t="s">
        <v>18</v>
      </c>
      <c r="I2127" s="20" t="s">
        <v>19</v>
      </c>
      <c r="J2127" s="21">
        <v>1352504.0</v>
      </c>
      <c r="K2127" s="21">
        <v>8.0</v>
      </c>
    </row>
    <row r="2128">
      <c r="A2128" s="15" t="s">
        <v>74</v>
      </c>
      <c r="B2128" s="16" t="s">
        <v>12</v>
      </c>
      <c r="C2128" s="17" t="s">
        <v>13</v>
      </c>
      <c r="D2128" s="18">
        <v>3.0</v>
      </c>
      <c r="E2128" s="17" t="s">
        <v>117</v>
      </c>
      <c r="F2128" s="15" t="s">
        <v>118</v>
      </c>
      <c r="G2128" s="19">
        <v>9.0043001E7</v>
      </c>
      <c r="H2128" s="15" t="s">
        <v>18</v>
      </c>
      <c r="I2128" s="20" t="s">
        <v>19</v>
      </c>
      <c r="J2128" s="21">
        <v>2366882.0</v>
      </c>
      <c r="K2128" s="21">
        <v>14.0</v>
      </c>
    </row>
    <row r="2129">
      <c r="A2129" s="15" t="s">
        <v>74</v>
      </c>
      <c r="B2129" s="16" t="s">
        <v>12</v>
      </c>
      <c r="C2129" s="17" t="s">
        <v>13</v>
      </c>
      <c r="D2129" s="18">
        <v>3.0</v>
      </c>
      <c r="E2129" s="17" t="s">
        <v>125</v>
      </c>
      <c r="F2129" s="15" t="s">
        <v>126</v>
      </c>
      <c r="G2129" s="19">
        <v>9.0043001E7</v>
      </c>
      <c r="H2129" s="15" t="s">
        <v>18</v>
      </c>
      <c r="I2129" s="20" t="s">
        <v>19</v>
      </c>
      <c r="J2129" s="21">
        <v>6086268.0</v>
      </c>
      <c r="K2129" s="21">
        <v>36.0</v>
      </c>
    </row>
    <row r="2130">
      <c r="A2130" s="15" t="s">
        <v>74</v>
      </c>
      <c r="B2130" s="16" t="s">
        <v>12</v>
      </c>
      <c r="C2130" s="17" t="s">
        <v>13</v>
      </c>
      <c r="D2130" s="18">
        <v>3.0</v>
      </c>
      <c r="E2130" s="17" t="s">
        <v>127</v>
      </c>
      <c r="F2130" s="15" t="s">
        <v>128</v>
      </c>
      <c r="G2130" s="19">
        <v>5.1100153E7</v>
      </c>
      <c r="H2130" s="15" t="s">
        <v>72</v>
      </c>
      <c r="I2130" s="20" t="s">
        <v>25</v>
      </c>
      <c r="J2130" s="21">
        <v>2500000.0</v>
      </c>
      <c r="K2130" s="21">
        <v>0.0</v>
      </c>
    </row>
    <row r="2131">
      <c r="A2131" s="15" t="s">
        <v>74</v>
      </c>
      <c r="B2131" s="16" t="s">
        <v>12</v>
      </c>
      <c r="C2131" s="17" t="s">
        <v>13</v>
      </c>
      <c r="D2131" s="18">
        <v>3.0</v>
      </c>
      <c r="E2131" s="17" t="s">
        <v>22</v>
      </c>
      <c r="F2131" s="15" t="s">
        <v>146</v>
      </c>
      <c r="G2131" s="19">
        <v>9.0042121E7</v>
      </c>
      <c r="H2131" s="15" t="s">
        <v>24</v>
      </c>
      <c r="I2131" s="20" t="s">
        <v>25</v>
      </c>
      <c r="J2131" s="21">
        <v>1.0E7</v>
      </c>
      <c r="K2131" s="21">
        <v>0.0</v>
      </c>
    </row>
    <row r="2132">
      <c r="A2132" s="15" t="s">
        <v>74</v>
      </c>
      <c r="B2132" s="16" t="s">
        <v>12</v>
      </c>
      <c r="C2132" s="17" t="s">
        <v>13</v>
      </c>
      <c r="D2132" s="18">
        <v>3.0</v>
      </c>
      <c r="E2132" s="17" t="s">
        <v>22</v>
      </c>
      <c r="F2132" s="15" t="s">
        <v>146</v>
      </c>
      <c r="G2132" s="19">
        <v>9.0042122E7</v>
      </c>
      <c r="H2132" s="15" t="s">
        <v>56</v>
      </c>
      <c r="I2132" s="20" t="s">
        <v>25</v>
      </c>
      <c r="J2132" s="21">
        <v>1350000.0</v>
      </c>
      <c r="K2132" s="21">
        <v>0.0</v>
      </c>
    </row>
    <row r="2133">
      <c r="A2133" s="15" t="s">
        <v>74</v>
      </c>
      <c r="B2133" s="16" t="s">
        <v>12</v>
      </c>
      <c r="C2133" s="17" t="s">
        <v>13</v>
      </c>
      <c r="D2133" s="18">
        <v>3.0</v>
      </c>
      <c r="E2133" s="17" t="s">
        <v>22</v>
      </c>
      <c r="F2133" s="15" t="s">
        <v>146</v>
      </c>
      <c r="G2133" s="19">
        <v>9.0042135E7</v>
      </c>
      <c r="H2133" s="15" t="s">
        <v>30</v>
      </c>
      <c r="I2133" s="20" t="s">
        <v>25</v>
      </c>
      <c r="J2133" s="21">
        <v>2.3530302E7</v>
      </c>
      <c r="K2133" s="21">
        <v>0.0</v>
      </c>
    </row>
    <row r="2134">
      <c r="A2134" s="15" t="s">
        <v>74</v>
      </c>
      <c r="B2134" s="16" t="s">
        <v>12</v>
      </c>
      <c r="C2134" s="17" t="s">
        <v>13</v>
      </c>
      <c r="D2134" s="18">
        <v>3.0</v>
      </c>
      <c r="E2134" s="17" t="s">
        <v>22</v>
      </c>
      <c r="F2134" s="15" t="s">
        <v>146</v>
      </c>
      <c r="G2134" s="19">
        <v>9.00422E7</v>
      </c>
      <c r="H2134" s="15" t="s">
        <v>73</v>
      </c>
      <c r="I2134" s="20" t="s">
        <v>60</v>
      </c>
      <c r="J2134" s="21">
        <v>461296.0</v>
      </c>
      <c r="K2134" s="21">
        <v>0.0</v>
      </c>
    </row>
    <row r="2135">
      <c r="A2135" s="15" t="s">
        <v>74</v>
      </c>
      <c r="B2135" s="16" t="s">
        <v>12</v>
      </c>
      <c r="C2135" s="17" t="s">
        <v>13</v>
      </c>
      <c r="D2135" s="18">
        <v>3.0</v>
      </c>
      <c r="E2135" s="17" t="s">
        <v>22</v>
      </c>
      <c r="F2135" s="15" t="s">
        <v>146</v>
      </c>
      <c r="G2135" s="19">
        <v>9.0042223E7</v>
      </c>
      <c r="H2135" s="15" t="s">
        <v>61</v>
      </c>
      <c r="I2135" s="20" t="s">
        <v>60</v>
      </c>
      <c r="J2135" s="21">
        <v>1107529.0</v>
      </c>
      <c r="K2135" s="21">
        <v>0.0</v>
      </c>
    </row>
    <row r="2136">
      <c r="A2136" s="15" t="s">
        <v>74</v>
      </c>
      <c r="B2136" s="16" t="s">
        <v>12</v>
      </c>
      <c r="C2136" s="17" t="s">
        <v>13</v>
      </c>
      <c r="D2136" s="18">
        <v>3.0</v>
      </c>
      <c r="E2136" s="17" t="s">
        <v>22</v>
      </c>
      <c r="F2136" s="15" t="s">
        <v>146</v>
      </c>
      <c r="G2136" s="19">
        <v>9.0042224E7</v>
      </c>
      <c r="H2136" s="15" t="s">
        <v>62</v>
      </c>
      <c r="I2136" s="20" t="s">
        <v>60</v>
      </c>
      <c r="J2136" s="21">
        <v>141852.0</v>
      </c>
      <c r="K2136" s="21">
        <v>0.0</v>
      </c>
    </row>
    <row r="2137">
      <c r="A2137" s="15" t="s">
        <v>74</v>
      </c>
      <c r="B2137" s="16" t="s">
        <v>12</v>
      </c>
      <c r="C2137" s="17" t="s">
        <v>13</v>
      </c>
      <c r="D2137" s="18">
        <v>3.0</v>
      </c>
      <c r="E2137" s="17" t="s">
        <v>22</v>
      </c>
      <c r="F2137" s="15" t="s">
        <v>146</v>
      </c>
      <c r="G2137" s="19">
        <v>9.0042228E7</v>
      </c>
      <c r="H2137" s="15" t="s">
        <v>64</v>
      </c>
      <c r="I2137" s="20" t="s">
        <v>60</v>
      </c>
      <c r="J2137" s="21">
        <v>8396385.0</v>
      </c>
      <c r="K2137" s="21">
        <v>0.0</v>
      </c>
    </row>
    <row r="2138">
      <c r="A2138" s="15" t="s">
        <v>74</v>
      </c>
      <c r="B2138" s="16" t="s">
        <v>12</v>
      </c>
      <c r="C2138" s="17" t="s">
        <v>13</v>
      </c>
      <c r="D2138" s="18">
        <v>3.0</v>
      </c>
      <c r="E2138" s="17" t="s">
        <v>22</v>
      </c>
      <c r="F2138" s="15" t="s">
        <v>146</v>
      </c>
      <c r="G2138" s="19">
        <v>9.0042231E7</v>
      </c>
      <c r="H2138" s="15" t="s">
        <v>65</v>
      </c>
      <c r="I2138" s="20" t="s">
        <v>60</v>
      </c>
      <c r="J2138" s="21">
        <v>2915925.0</v>
      </c>
      <c r="K2138" s="21">
        <v>0.0</v>
      </c>
    </row>
    <row r="2139">
      <c r="A2139" s="15" t="s">
        <v>74</v>
      </c>
      <c r="B2139" s="16" t="s">
        <v>12</v>
      </c>
      <c r="C2139" s="17" t="s">
        <v>13</v>
      </c>
      <c r="D2139" s="18">
        <v>3.0</v>
      </c>
      <c r="E2139" s="17" t="s">
        <v>22</v>
      </c>
      <c r="F2139" s="15" t="s">
        <v>146</v>
      </c>
      <c r="G2139" s="19">
        <v>9.0042126E7</v>
      </c>
      <c r="H2139" s="15" t="s">
        <v>31</v>
      </c>
      <c r="I2139" s="20" t="s">
        <v>25</v>
      </c>
      <c r="J2139" s="21">
        <v>1.0191116E7</v>
      </c>
      <c r="K2139" s="21">
        <v>0.0</v>
      </c>
    </row>
    <row r="2140">
      <c r="A2140" s="15" t="s">
        <v>74</v>
      </c>
      <c r="B2140" s="16" t="s">
        <v>187</v>
      </c>
      <c r="C2140" s="17" t="s">
        <v>188</v>
      </c>
      <c r="D2140" s="18">
        <v>3.0</v>
      </c>
      <c r="E2140" s="17" t="s">
        <v>81</v>
      </c>
      <c r="F2140" s="15" t="s">
        <v>82</v>
      </c>
      <c r="G2140" s="19">
        <v>9.0043001E7</v>
      </c>
      <c r="H2140" s="15" t="s">
        <v>18</v>
      </c>
      <c r="I2140" s="20" t="s">
        <v>19</v>
      </c>
      <c r="J2140" s="21">
        <v>133356.0</v>
      </c>
      <c r="K2140" s="21">
        <v>1.0</v>
      </c>
    </row>
    <row r="2141">
      <c r="A2141" s="15" t="s">
        <v>74</v>
      </c>
      <c r="B2141" s="16" t="s">
        <v>187</v>
      </c>
      <c r="C2141" s="17" t="s">
        <v>188</v>
      </c>
      <c r="D2141" s="18">
        <v>3.0</v>
      </c>
      <c r="E2141" s="17" t="s">
        <v>84</v>
      </c>
      <c r="F2141" s="15" t="s">
        <v>85</v>
      </c>
      <c r="G2141" s="19">
        <v>9.0043001E7</v>
      </c>
      <c r="H2141" s="15" t="s">
        <v>18</v>
      </c>
      <c r="I2141" s="20" t="s">
        <v>19</v>
      </c>
      <c r="J2141" s="21">
        <v>2.1964173E7</v>
      </c>
      <c r="K2141" s="21">
        <v>163.0</v>
      </c>
    </row>
    <row r="2142">
      <c r="A2142" s="15" t="s">
        <v>74</v>
      </c>
      <c r="B2142" s="16" t="s">
        <v>187</v>
      </c>
      <c r="C2142" s="17" t="s">
        <v>188</v>
      </c>
      <c r="D2142" s="18">
        <v>3.0</v>
      </c>
      <c r="E2142" s="17" t="s">
        <v>84</v>
      </c>
      <c r="F2142" s="15" t="s">
        <v>85</v>
      </c>
      <c r="G2142" s="19">
        <v>9.0043E7</v>
      </c>
      <c r="H2142" s="15" t="s">
        <v>83</v>
      </c>
      <c r="I2142" s="20" t="s">
        <v>19</v>
      </c>
      <c r="J2142" s="21">
        <v>2784440.0</v>
      </c>
      <c r="K2142" s="21">
        <v>20.0</v>
      </c>
    </row>
    <row r="2143">
      <c r="A2143" s="15" t="s">
        <v>74</v>
      </c>
      <c r="B2143" s="16" t="s">
        <v>187</v>
      </c>
      <c r="C2143" s="17" t="s">
        <v>188</v>
      </c>
      <c r="D2143" s="18">
        <v>3.0</v>
      </c>
      <c r="E2143" s="17" t="s">
        <v>156</v>
      </c>
      <c r="F2143" s="15" t="s">
        <v>157</v>
      </c>
      <c r="G2143" s="19">
        <v>9.0043001E7</v>
      </c>
      <c r="H2143" s="15" t="s">
        <v>18</v>
      </c>
      <c r="I2143" s="20" t="s">
        <v>19</v>
      </c>
      <c r="J2143" s="21">
        <v>533424.0</v>
      </c>
      <c r="K2143" s="21">
        <v>4.0</v>
      </c>
    </row>
    <row r="2144">
      <c r="A2144" s="15" t="s">
        <v>74</v>
      </c>
      <c r="B2144" s="16" t="s">
        <v>187</v>
      </c>
      <c r="C2144" s="17" t="s">
        <v>188</v>
      </c>
      <c r="D2144" s="18">
        <v>3.0</v>
      </c>
      <c r="E2144" s="17" t="s">
        <v>189</v>
      </c>
      <c r="F2144" s="15" t="s">
        <v>190</v>
      </c>
      <c r="G2144" s="19">
        <v>9.0043001E7</v>
      </c>
      <c r="H2144" s="15" t="s">
        <v>18</v>
      </c>
      <c r="I2144" s="20" t="s">
        <v>19</v>
      </c>
      <c r="J2144" s="21">
        <v>5724138.0</v>
      </c>
      <c r="K2144" s="21">
        <v>42.0</v>
      </c>
    </row>
    <row r="2145">
      <c r="A2145" s="15" t="s">
        <v>74</v>
      </c>
      <c r="B2145" s="16" t="s">
        <v>187</v>
      </c>
      <c r="C2145" s="17" t="s">
        <v>188</v>
      </c>
      <c r="D2145" s="18">
        <v>3.0</v>
      </c>
      <c r="E2145" s="17" t="s">
        <v>280</v>
      </c>
      <c r="F2145" s="15" t="s">
        <v>281</v>
      </c>
      <c r="G2145" s="19">
        <v>9.0043001E7</v>
      </c>
      <c r="H2145" s="15" t="s">
        <v>18</v>
      </c>
      <c r="I2145" s="20" t="s">
        <v>19</v>
      </c>
      <c r="J2145" s="21">
        <v>401111.0</v>
      </c>
      <c r="K2145" s="21">
        <v>3.0</v>
      </c>
    </row>
    <row r="2146">
      <c r="A2146" s="15" t="s">
        <v>74</v>
      </c>
      <c r="B2146" s="16" t="s">
        <v>187</v>
      </c>
      <c r="C2146" s="17" t="s">
        <v>188</v>
      </c>
      <c r="D2146" s="18">
        <v>3.0</v>
      </c>
      <c r="E2146" s="17" t="s">
        <v>280</v>
      </c>
      <c r="F2146" s="15" t="s">
        <v>281</v>
      </c>
      <c r="G2146" s="19">
        <v>9.0043E7</v>
      </c>
      <c r="H2146" s="15" t="s">
        <v>83</v>
      </c>
      <c r="I2146" s="20" t="s">
        <v>19</v>
      </c>
      <c r="J2146" s="21">
        <v>139222.0</v>
      </c>
      <c r="K2146" s="21">
        <v>1.0</v>
      </c>
    </row>
    <row r="2147">
      <c r="A2147" s="15" t="s">
        <v>74</v>
      </c>
      <c r="B2147" s="16" t="s">
        <v>187</v>
      </c>
      <c r="C2147" s="17" t="s">
        <v>188</v>
      </c>
      <c r="D2147" s="18">
        <v>3.0</v>
      </c>
      <c r="E2147" s="17" t="s">
        <v>282</v>
      </c>
      <c r="F2147" s="15" t="s">
        <v>283</v>
      </c>
      <c r="G2147" s="19">
        <v>9.0043002E7</v>
      </c>
      <c r="H2147" s="15" t="s">
        <v>49</v>
      </c>
      <c r="I2147" s="20" t="s">
        <v>50</v>
      </c>
      <c r="J2147" s="21">
        <v>721704.0</v>
      </c>
      <c r="K2147" s="21">
        <v>40.0</v>
      </c>
    </row>
    <row r="2148">
      <c r="A2148" s="15" t="s">
        <v>74</v>
      </c>
      <c r="B2148" s="16" t="s">
        <v>187</v>
      </c>
      <c r="C2148" s="17" t="s">
        <v>188</v>
      </c>
      <c r="D2148" s="18">
        <v>3.0</v>
      </c>
      <c r="E2148" s="17" t="s">
        <v>95</v>
      </c>
      <c r="F2148" s="15" t="s">
        <v>96</v>
      </c>
      <c r="G2148" s="19">
        <v>9.0043001E7</v>
      </c>
      <c r="H2148" s="15" t="s">
        <v>18</v>
      </c>
      <c r="I2148" s="20" t="s">
        <v>19</v>
      </c>
      <c r="J2148" s="21">
        <v>6538860.0</v>
      </c>
      <c r="K2148" s="21">
        <v>46.0</v>
      </c>
    </row>
    <row r="2149">
      <c r="A2149" s="15" t="s">
        <v>74</v>
      </c>
      <c r="B2149" s="16" t="s">
        <v>187</v>
      </c>
      <c r="C2149" s="17" t="s">
        <v>188</v>
      </c>
      <c r="D2149" s="18">
        <v>3.0</v>
      </c>
      <c r="E2149" s="17" t="s">
        <v>99</v>
      </c>
      <c r="F2149" s="15" t="s">
        <v>100</v>
      </c>
      <c r="G2149" s="19">
        <v>9.0043001E7</v>
      </c>
      <c r="H2149" s="15" t="s">
        <v>18</v>
      </c>
      <c r="I2149" s="20" t="s">
        <v>19</v>
      </c>
      <c r="J2149" s="21">
        <v>1.1123798E7</v>
      </c>
      <c r="K2149" s="21">
        <v>83.0</v>
      </c>
    </row>
    <row r="2150">
      <c r="A2150" s="15" t="s">
        <v>74</v>
      </c>
      <c r="B2150" s="16" t="s">
        <v>187</v>
      </c>
      <c r="C2150" s="17" t="s">
        <v>188</v>
      </c>
      <c r="D2150" s="18">
        <v>3.0</v>
      </c>
      <c r="E2150" s="17" t="s">
        <v>101</v>
      </c>
      <c r="F2150" s="15" t="s">
        <v>102</v>
      </c>
      <c r="G2150" s="19">
        <v>9.0043001E7</v>
      </c>
      <c r="H2150" s="15" t="s">
        <v>18</v>
      </c>
      <c r="I2150" s="20" t="s">
        <v>19</v>
      </c>
      <c r="J2150" s="21">
        <v>3.1625847E7</v>
      </c>
      <c r="K2150" s="21">
        <v>232.0</v>
      </c>
    </row>
    <row r="2151">
      <c r="A2151" s="15" t="s">
        <v>74</v>
      </c>
      <c r="B2151" s="16" t="s">
        <v>187</v>
      </c>
      <c r="C2151" s="17" t="s">
        <v>188</v>
      </c>
      <c r="D2151" s="18">
        <v>3.0</v>
      </c>
      <c r="E2151" s="17" t="s">
        <v>101</v>
      </c>
      <c r="F2151" s="15" t="s">
        <v>102</v>
      </c>
      <c r="G2151" s="19">
        <v>9.0043E7</v>
      </c>
      <c r="H2151" s="15" t="s">
        <v>83</v>
      </c>
      <c r="I2151" s="20" t="s">
        <v>19</v>
      </c>
      <c r="J2151" s="21">
        <v>835332.0</v>
      </c>
      <c r="K2151" s="21">
        <v>6.0</v>
      </c>
    </row>
    <row r="2152">
      <c r="A2152" s="15" t="s">
        <v>74</v>
      </c>
      <c r="B2152" s="16" t="s">
        <v>187</v>
      </c>
      <c r="C2152" s="17" t="s">
        <v>188</v>
      </c>
      <c r="D2152" s="18">
        <v>3.0</v>
      </c>
      <c r="E2152" s="17" t="s">
        <v>103</v>
      </c>
      <c r="F2152" s="15" t="s">
        <v>104</v>
      </c>
      <c r="G2152" s="19">
        <v>5.1100058E7</v>
      </c>
      <c r="H2152" s="15" t="s">
        <v>36</v>
      </c>
      <c r="I2152" s="20" t="s">
        <v>37</v>
      </c>
      <c r="J2152" s="21">
        <v>4.2366298E7</v>
      </c>
      <c r="K2152" s="21">
        <v>477.057</v>
      </c>
    </row>
    <row r="2153">
      <c r="A2153" s="15" t="s">
        <v>74</v>
      </c>
      <c r="B2153" s="16" t="s">
        <v>187</v>
      </c>
      <c r="C2153" s="17" t="s">
        <v>188</v>
      </c>
      <c r="D2153" s="18">
        <v>3.0</v>
      </c>
      <c r="E2153" s="17" t="s">
        <v>103</v>
      </c>
      <c r="F2153" s="15" t="s">
        <v>104</v>
      </c>
      <c r="G2153" s="19">
        <v>9.0043001E7</v>
      </c>
      <c r="H2153" s="15" t="s">
        <v>18</v>
      </c>
      <c r="I2153" s="20" t="s">
        <v>19</v>
      </c>
      <c r="J2153" s="21">
        <v>2.6237896E7</v>
      </c>
      <c r="K2153" s="21">
        <v>191.0</v>
      </c>
    </row>
    <row r="2154">
      <c r="A2154" s="15" t="s">
        <v>74</v>
      </c>
      <c r="B2154" s="16" t="s">
        <v>187</v>
      </c>
      <c r="C2154" s="17" t="s">
        <v>188</v>
      </c>
      <c r="D2154" s="18">
        <v>3.0</v>
      </c>
      <c r="E2154" s="17" t="s">
        <v>103</v>
      </c>
      <c r="F2154" s="15" t="s">
        <v>104</v>
      </c>
      <c r="G2154" s="19">
        <v>5.1100774E7</v>
      </c>
      <c r="H2154" s="15" t="s">
        <v>39</v>
      </c>
      <c r="I2154" s="20" t="s">
        <v>25</v>
      </c>
      <c r="J2154" s="21">
        <v>-8761264.0</v>
      </c>
      <c r="K2154" s="21">
        <v>-59.0</v>
      </c>
    </row>
    <row r="2155">
      <c r="A2155" s="15" t="s">
        <v>74</v>
      </c>
      <c r="B2155" s="16" t="s">
        <v>187</v>
      </c>
      <c r="C2155" s="17" t="s">
        <v>188</v>
      </c>
      <c r="D2155" s="18">
        <v>3.0</v>
      </c>
      <c r="E2155" s="17" t="s">
        <v>103</v>
      </c>
      <c r="F2155" s="15" t="s">
        <v>104</v>
      </c>
      <c r="G2155" s="19">
        <v>5.1100774E7</v>
      </c>
      <c r="H2155" s="15" t="s">
        <v>39</v>
      </c>
      <c r="I2155" s="20" t="s">
        <v>17</v>
      </c>
      <c r="J2155" s="21">
        <v>3.4183778E7</v>
      </c>
      <c r="K2155" s="21">
        <v>230.2</v>
      </c>
    </row>
    <row r="2156">
      <c r="A2156" s="15" t="s">
        <v>74</v>
      </c>
      <c r="B2156" s="16" t="s">
        <v>187</v>
      </c>
      <c r="C2156" s="17" t="s">
        <v>188</v>
      </c>
      <c r="D2156" s="18">
        <v>3.0</v>
      </c>
      <c r="E2156" s="17" t="s">
        <v>108</v>
      </c>
      <c r="F2156" s="15" t="s">
        <v>109</v>
      </c>
      <c r="G2156" s="19">
        <v>5.1100061E7</v>
      </c>
      <c r="H2156" s="15" t="s">
        <v>42</v>
      </c>
      <c r="I2156" s="20" t="s">
        <v>37</v>
      </c>
      <c r="J2156" s="21">
        <v>1.27179E7</v>
      </c>
      <c r="K2156" s="21">
        <v>271.75</v>
      </c>
    </row>
    <row r="2157">
      <c r="A2157" s="15" t="s">
        <v>74</v>
      </c>
      <c r="B2157" s="16" t="s">
        <v>187</v>
      </c>
      <c r="C2157" s="17" t="s">
        <v>188</v>
      </c>
      <c r="D2157" s="18">
        <v>3.0</v>
      </c>
      <c r="E2157" s="17" t="s">
        <v>108</v>
      </c>
      <c r="F2157" s="15" t="s">
        <v>109</v>
      </c>
      <c r="G2157" s="19">
        <v>9.0043001E7</v>
      </c>
      <c r="H2157" s="15" t="s">
        <v>18</v>
      </c>
      <c r="I2157" s="20" t="s">
        <v>19</v>
      </c>
      <c r="J2157" s="21">
        <v>6285891.0</v>
      </c>
      <c r="K2157" s="21">
        <v>48.0</v>
      </c>
    </row>
    <row r="2158">
      <c r="A2158" s="15" t="s">
        <v>74</v>
      </c>
      <c r="B2158" s="16" t="s">
        <v>187</v>
      </c>
      <c r="C2158" s="17" t="s">
        <v>188</v>
      </c>
      <c r="D2158" s="18">
        <v>3.0</v>
      </c>
      <c r="E2158" s="17" t="s">
        <v>108</v>
      </c>
      <c r="F2158" s="15" t="s">
        <v>109</v>
      </c>
      <c r="G2158" s="19">
        <v>9.0043E7</v>
      </c>
      <c r="H2158" s="15" t="s">
        <v>83</v>
      </c>
      <c r="I2158" s="20" t="s">
        <v>19</v>
      </c>
      <c r="J2158" s="21">
        <v>1809886.0</v>
      </c>
      <c r="K2158" s="21">
        <v>13.0</v>
      </c>
    </row>
    <row r="2159">
      <c r="A2159" s="15" t="s">
        <v>74</v>
      </c>
      <c r="B2159" s="16" t="s">
        <v>187</v>
      </c>
      <c r="C2159" s="17" t="s">
        <v>188</v>
      </c>
      <c r="D2159" s="18">
        <v>3.0</v>
      </c>
      <c r="E2159" s="17" t="s">
        <v>108</v>
      </c>
      <c r="F2159" s="15" t="s">
        <v>109</v>
      </c>
      <c r="G2159" s="19">
        <v>5.1100774E7</v>
      </c>
      <c r="H2159" s="15" t="s">
        <v>39</v>
      </c>
      <c r="I2159" s="20" t="s">
        <v>17</v>
      </c>
      <c r="J2159" s="21">
        <v>4157888.0</v>
      </c>
      <c r="K2159" s="21">
        <v>140.0</v>
      </c>
    </row>
    <row r="2160">
      <c r="A2160" s="15" t="s">
        <v>74</v>
      </c>
      <c r="B2160" s="16" t="s">
        <v>187</v>
      </c>
      <c r="C2160" s="17" t="s">
        <v>188</v>
      </c>
      <c r="D2160" s="18">
        <v>3.0</v>
      </c>
      <c r="E2160" s="17" t="s">
        <v>158</v>
      </c>
      <c r="F2160" s="15" t="s">
        <v>159</v>
      </c>
      <c r="G2160" s="19">
        <v>9.0043001E7</v>
      </c>
      <c r="H2160" s="15" t="s">
        <v>18</v>
      </c>
      <c r="I2160" s="20" t="s">
        <v>19</v>
      </c>
      <c r="J2160" s="21">
        <v>4868335.0</v>
      </c>
      <c r="K2160" s="21">
        <v>37.0</v>
      </c>
    </row>
    <row r="2161">
      <c r="A2161" s="15" t="s">
        <v>74</v>
      </c>
      <c r="B2161" s="16" t="s">
        <v>187</v>
      </c>
      <c r="C2161" s="17" t="s">
        <v>188</v>
      </c>
      <c r="D2161" s="18">
        <v>3.0</v>
      </c>
      <c r="E2161" s="17" t="s">
        <v>284</v>
      </c>
      <c r="F2161" s="15" t="s">
        <v>285</v>
      </c>
      <c r="G2161" s="19">
        <v>9.0043001E7</v>
      </c>
      <c r="H2161" s="15" t="s">
        <v>18</v>
      </c>
      <c r="I2161" s="20" t="s">
        <v>19</v>
      </c>
      <c r="J2161" s="21">
        <v>534956.0</v>
      </c>
      <c r="K2161" s="21">
        <v>4.0</v>
      </c>
    </row>
    <row r="2162">
      <c r="A2162" s="15" t="s">
        <v>74</v>
      </c>
      <c r="B2162" s="16" t="s">
        <v>187</v>
      </c>
      <c r="C2162" s="17" t="s">
        <v>188</v>
      </c>
      <c r="D2162" s="18">
        <v>3.0</v>
      </c>
      <c r="E2162" s="17" t="s">
        <v>207</v>
      </c>
      <c r="F2162" s="15" t="s">
        <v>208</v>
      </c>
      <c r="G2162" s="19">
        <v>9.0043001E7</v>
      </c>
      <c r="H2162" s="15" t="s">
        <v>18</v>
      </c>
      <c r="I2162" s="20" t="s">
        <v>19</v>
      </c>
      <c r="J2162" s="21">
        <v>3588375.0</v>
      </c>
      <c r="K2162" s="21">
        <v>27.0</v>
      </c>
    </row>
    <row r="2163">
      <c r="A2163" s="15" t="s">
        <v>74</v>
      </c>
      <c r="B2163" s="16" t="s">
        <v>187</v>
      </c>
      <c r="C2163" s="17" t="s">
        <v>188</v>
      </c>
      <c r="D2163" s="18">
        <v>3.0</v>
      </c>
      <c r="E2163" s="17" t="s">
        <v>175</v>
      </c>
      <c r="F2163" s="15" t="s">
        <v>176</v>
      </c>
      <c r="G2163" s="19">
        <v>9.0043001E7</v>
      </c>
      <c r="H2163" s="15" t="s">
        <v>18</v>
      </c>
      <c r="I2163" s="20" t="s">
        <v>19</v>
      </c>
      <c r="J2163" s="21">
        <v>806766.0</v>
      </c>
      <c r="K2163" s="21">
        <v>6.0</v>
      </c>
    </row>
    <row r="2164">
      <c r="A2164" s="15" t="s">
        <v>74</v>
      </c>
      <c r="B2164" s="16" t="s">
        <v>187</v>
      </c>
      <c r="C2164" s="17" t="s">
        <v>188</v>
      </c>
      <c r="D2164" s="18">
        <v>3.0</v>
      </c>
      <c r="E2164" s="17" t="s">
        <v>175</v>
      </c>
      <c r="F2164" s="15" t="s">
        <v>176</v>
      </c>
      <c r="G2164" s="19">
        <v>9.0043002E7</v>
      </c>
      <c r="H2164" s="15" t="s">
        <v>49</v>
      </c>
      <c r="I2164" s="20" t="s">
        <v>50</v>
      </c>
      <c r="J2164" s="21">
        <v>60433.0</v>
      </c>
      <c r="K2164" s="21">
        <v>1.0</v>
      </c>
    </row>
    <row r="2165">
      <c r="A2165" s="15" t="s">
        <v>74</v>
      </c>
      <c r="B2165" s="16" t="s">
        <v>187</v>
      </c>
      <c r="C2165" s="17" t="s">
        <v>188</v>
      </c>
      <c r="D2165" s="18">
        <v>3.0</v>
      </c>
      <c r="E2165" s="17" t="s">
        <v>175</v>
      </c>
      <c r="F2165" s="15" t="s">
        <v>176</v>
      </c>
      <c r="G2165" s="19">
        <v>9.0043003E7</v>
      </c>
      <c r="H2165" s="15" t="s">
        <v>90</v>
      </c>
      <c r="I2165" s="20" t="s">
        <v>50</v>
      </c>
      <c r="J2165" s="21">
        <v>763081.0</v>
      </c>
      <c r="K2165" s="21">
        <v>9.0</v>
      </c>
    </row>
    <row r="2166">
      <c r="A2166" s="15" t="s">
        <v>74</v>
      </c>
      <c r="B2166" s="16" t="s">
        <v>187</v>
      </c>
      <c r="C2166" s="17" t="s">
        <v>188</v>
      </c>
      <c r="D2166" s="18">
        <v>3.0</v>
      </c>
      <c r="E2166" s="17" t="s">
        <v>175</v>
      </c>
      <c r="F2166" s="15" t="s">
        <v>176</v>
      </c>
      <c r="G2166" s="19">
        <v>5.1100774E7</v>
      </c>
      <c r="H2166" s="15" t="s">
        <v>39</v>
      </c>
      <c r="I2166" s="20" t="s">
        <v>17</v>
      </c>
      <c r="J2166" s="21">
        <v>9956961.0</v>
      </c>
      <c r="K2166" s="21">
        <v>132877.5</v>
      </c>
    </row>
    <row r="2167">
      <c r="A2167" s="15" t="s">
        <v>74</v>
      </c>
      <c r="B2167" s="16" t="s">
        <v>187</v>
      </c>
      <c r="C2167" s="17" t="s">
        <v>188</v>
      </c>
      <c r="D2167" s="18">
        <v>3.0</v>
      </c>
      <c r="E2167" s="17" t="s">
        <v>115</v>
      </c>
      <c r="F2167" s="15" t="s">
        <v>116</v>
      </c>
      <c r="G2167" s="19">
        <v>9.0043002E7</v>
      </c>
      <c r="H2167" s="15" t="s">
        <v>49</v>
      </c>
      <c r="I2167" s="20" t="s">
        <v>50</v>
      </c>
      <c r="J2167" s="21">
        <v>5.0216029E7</v>
      </c>
      <c r="K2167" s="21">
        <v>2779.0</v>
      </c>
    </row>
    <row r="2168">
      <c r="A2168" s="15" t="s">
        <v>74</v>
      </c>
      <c r="B2168" s="16" t="s">
        <v>187</v>
      </c>
      <c r="C2168" s="17" t="s">
        <v>188</v>
      </c>
      <c r="D2168" s="18">
        <v>3.0</v>
      </c>
      <c r="E2168" s="17" t="s">
        <v>115</v>
      </c>
      <c r="F2168" s="15" t="s">
        <v>116</v>
      </c>
      <c r="G2168" s="19">
        <v>5.1100774E7</v>
      </c>
      <c r="H2168" s="15" t="s">
        <v>39</v>
      </c>
      <c r="I2168" s="20" t="s">
        <v>25</v>
      </c>
      <c r="J2168" s="21">
        <v>1.0</v>
      </c>
      <c r="K2168" s="21">
        <v>0.0</v>
      </c>
    </row>
    <row r="2169">
      <c r="A2169" s="15" t="s">
        <v>74</v>
      </c>
      <c r="B2169" s="16" t="s">
        <v>187</v>
      </c>
      <c r="C2169" s="17" t="s">
        <v>188</v>
      </c>
      <c r="D2169" s="18">
        <v>3.0</v>
      </c>
      <c r="E2169" s="17" t="s">
        <v>115</v>
      </c>
      <c r="F2169" s="15" t="s">
        <v>116</v>
      </c>
      <c r="G2169" s="19">
        <v>5.1100774E7</v>
      </c>
      <c r="H2169" s="15" t="s">
        <v>39</v>
      </c>
      <c r="I2169" s="20" t="s">
        <v>17</v>
      </c>
      <c r="J2169" s="21">
        <v>1.12018341E8</v>
      </c>
      <c r="K2169" s="21">
        <v>1522110.0</v>
      </c>
    </row>
    <row r="2170">
      <c r="A2170" s="15" t="s">
        <v>74</v>
      </c>
      <c r="B2170" s="16" t="s">
        <v>187</v>
      </c>
      <c r="C2170" s="17" t="s">
        <v>188</v>
      </c>
      <c r="D2170" s="18">
        <v>3.0</v>
      </c>
      <c r="E2170" s="17" t="s">
        <v>117</v>
      </c>
      <c r="F2170" s="15" t="s">
        <v>118</v>
      </c>
      <c r="G2170" s="19">
        <v>5.1100058E7</v>
      </c>
      <c r="H2170" s="15" t="s">
        <v>36</v>
      </c>
      <c r="I2170" s="20" t="s">
        <v>37</v>
      </c>
      <c r="J2170" s="21">
        <v>1.94655034E8</v>
      </c>
      <c r="K2170" s="21">
        <v>141513.25</v>
      </c>
    </row>
    <row r="2171">
      <c r="A2171" s="15" t="s">
        <v>74</v>
      </c>
      <c r="B2171" s="16" t="s">
        <v>187</v>
      </c>
      <c r="C2171" s="17" t="s">
        <v>188</v>
      </c>
      <c r="D2171" s="18">
        <v>3.0</v>
      </c>
      <c r="E2171" s="17" t="s">
        <v>117</v>
      </c>
      <c r="F2171" s="15" t="s">
        <v>118</v>
      </c>
      <c r="G2171" s="19">
        <v>9.0043001E7</v>
      </c>
      <c r="H2171" s="15" t="s">
        <v>18</v>
      </c>
      <c r="I2171" s="20" t="s">
        <v>19</v>
      </c>
      <c r="J2171" s="21">
        <v>802434.0</v>
      </c>
      <c r="K2171" s="21">
        <v>6.0</v>
      </c>
    </row>
    <row r="2172">
      <c r="A2172" s="15" t="s">
        <v>74</v>
      </c>
      <c r="B2172" s="16" t="s">
        <v>187</v>
      </c>
      <c r="C2172" s="17" t="s">
        <v>188</v>
      </c>
      <c r="D2172" s="18">
        <v>3.0</v>
      </c>
      <c r="E2172" s="17" t="s">
        <v>117</v>
      </c>
      <c r="F2172" s="15" t="s">
        <v>118</v>
      </c>
      <c r="G2172" s="19">
        <v>5.1100774E7</v>
      </c>
      <c r="H2172" s="15" t="s">
        <v>39</v>
      </c>
      <c r="I2172" s="20" t="s">
        <v>17</v>
      </c>
      <c r="J2172" s="21">
        <v>6.762094E7</v>
      </c>
      <c r="K2172" s="21">
        <v>2110.67</v>
      </c>
    </row>
    <row r="2173">
      <c r="A2173" s="15" t="s">
        <v>74</v>
      </c>
      <c r="B2173" s="16" t="s">
        <v>187</v>
      </c>
      <c r="C2173" s="17" t="s">
        <v>188</v>
      </c>
      <c r="D2173" s="18">
        <v>3.0</v>
      </c>
      <c r="E2173" s="17" t="s">
        <v>286</v>
      </c>
      <c r="F2173" s="15" t="s">
        <v>287</v>
      </c>
      <c r="G2173" s="19">
        <v>9.0043001E7</v>
      </c>
      <c r="H2173" s="15" t="s">
        <v>18</v>
      </c>
      <c r="I2173" s="20" t="s">
        <v>19</v>
      </c>
      <c r="J2173" s="21">
        <v>1069912.0</v>
      </c>
      <c r="K2173" s="21">
        <v>8.0</v>
      </c>
    </row>
    <row r="2174">
      <c r="A2174" s="15" t="s">
        <v>74</v>
      </c>
      <c r="B2174" s="16" t="s">
        <v>187</v>
      </c>
      <c r="C2174" s="17" t="s">
        <v>188</v>
      </c>
      <c r="D2174" s="18">
        <v>3.0</v>
      </c>
      <c r="E2174" s="17" t="s">
        <v>123</v>
      </c>
      <c r="F2174" s="15" t="s">
        <v>124</v>
      </c>
      <c r="G2174" s="19">
        <v>9.0043001E7</v>
      </c>
      <c r="H2174" s="15" t="s">
        <v>18</v>
      </c>
      <c r="I2174" s="20" t="s">
        <v>19</v>
      </c>
      <c r="J2174" s="21">
        <v>9600530.0</v>
      </c>
      <c r="K2174" s="21">
        <v>73.0</v>
      </c>
    </row>
    <row r="2175">
      <c r="A2175" s="15" t="s">
        <v>74</v>
      </c>
      <c r="B2175" s="16" t="s">
        <v>187</v>
      </c>
      <c r="C2175" s="17" t="s">
        <v>188</v>
      </c>
      <c r="D2175" s="18">
        <v>3.0</v>
      </c>
      <c r="E2175" s="17" t="s">
        <v>123</v>
      </c>
      <c r="F2175" s="15" t="s">
        <v>124</v>
      </c>
      <c r="G2175" s="19">
        <v>5.1100774E7</v>
      </c>
      <c r="H2175" s="15" t="s">
        <v>39</v>
      </c>
      <c r="I2175" s="20" t="s">
        <v>25</v>
      </c>
      <c r="J2175" s="21">
        <v>0.0</v>
      </c>
      <c r="K2175" s="21">
        <v>0.0</v>
      </c>
    </row>
    <row r="2176">
      <c r="A2176" s="15" t="s">
        <v>74</v>
      </c>
      <c r="B2176" s="16" t="s">
        <v>187</v>
      </c>
      <c r="C2176" s="17" t="s">
        <v>188</v>
      </c>
      <c r="D2176" s="18">
        <v>3.0</v>
      </c>
      <c r="E2176" s="17" t="s">
        <v>123</v>
      </c>
      <c r="F2176" s="15" t="s">
        <v>124</v>
      </c>
      <c r="G2176" s="19">
        <v>5.1100774E7</v>
      </c>
      <c r="H2176" s="15" t="s">
        <v>39</v>
      </c>
      <c r="I2176" s="20" t="s">
        <v>17</v>
      </c>
      <c r="J2176" s="21">
        <v>8.480472E7</v>
      </c>
      <c r="K2176" s="21">
        <v>197.68</v>
      </c>
    </row>
    <row r="2177">
      <c r="A2177" s="15" t="s">
        <v>74</v>
      </c>
      <c r="B2177" s="16" t="s">
        <v>187</v>
      </c>
      <c r="C2177" s="17" t="s">
        <v>188</v>
      </c>
      <c r="D2177" s="18">
        <v>3.0</v>
      </c>
      <c r="E2177" s="17" t="s">
        <v>125</v>
      </c>
      <c r="F2177" s="15" t="s">
        <v>126</v>
      </c>
      <c r="G2177" s="19">
        <v>5.1101056E7</v>
      </c>
      <c r="H2177" s="15" t="s">
        <v>16</v>
      </c>
      <c r="I2177" s="20" t="s">
        <v>17</v>
      </c>
      <c r="J2177" s="21">
        <v>1.519553E7</v>
      </c>
      <c r="K2177" s="21">
        <v>106946.0</v>
      </c>
    </row>
    <row r="2178">
      <c r="A2178" s="15" t="s">
        <v>74</v>
      </c>
      <c r="B2178" s="16" t="s">
        <v>187</v>
      </c>
      <c r="C2178" s="17" t="s">
        <v>188</v>
      </c>
      <c r="D2178" s="18">
        <v>3.0</v>
      </c>
      <c r="E2178" s="17" t="s">
        <v>125</v>
      </c>
      <c r="F2178" s="15" t="s">
        <v>126</v>
      </c>
      <c r="G2178" s="19">
        <v>9.0043001E7</v>
      </c>
      <c r="H2178" s="15" t="s">
        <v>18</v>
      </c>
      <c r="I2178" s="20" t="s">
        <v>19</v>
      </c>
      <c r="J2178" s="21">
        <v>2.86753154E8</v>
      </c>
      <c r="K2178" s="21">
        <v>2161.0</v>
      </c>
    </row>
    <row r="2179">
      <c r="A2179" s="15" t="s">
        <v>74</v>
      </c>
      <c r="B2179" s="16" t="s">
        <v>187</v>
      </c>
      <c r="C2179" s="17" t="s">
        <v>188</v>
      </c>
      <c r="D2179" s="18">
        <v>3.0</v>
      </c>
      <c r="E2179" s="17" t="s">
        <v>127</v>
      </c>
      <c r="F2179" s="15" t="s">
        <v>128</v>
      </c>
      <c r="G2179" s="19">
        <v>5.1100153E7</v>
      </c>
      <c r="H2179" s="15" t="s">
        <v>72</v>
      </c>
      <c r="I2179" s="20" t="s">
        <v>17</v>
      </c>
      <c r="J2179" s="21">
        <v>3.0110018E8</v>
      </c>
      <c r="K2179" s="21">
        <v>2787790.0</v>
      </c>
    </row>
    <row r="2180">
      <c r="A2180" s="15" t="s">
        <v>74</v>
      </c>
      <c r="B2180" s="16" t="s">
        <v>187</v>
      </c>
      <c r="C2180" s="17" t="s">
        <v>188</v>
      </c>
      <c r="D2180" s="18">
        <v>3.0</v>
      </c>
      <c r="E2180" s="17" t="s">
        <v>127</v>
      </c>
      <c r="F2180" s="15" t="s">
        <v>128</v>
      </c>
      <c r="G2180" s="19">
        <v>9.0043002E7</v>
      </c>
      <c r="H2180" s="15" t="s">
        <v>49</v>
      </c>
      <c r="I2180" s="20" t="s">
        <v>50</v>
      </c>
      <c r="J2180" s="21">
        <v>9685209.0</v>
      </c>
      <c r="K2180" s="21">
        <v>522.0</v>
      </c>
    </row>
    <row r="2181">
      <c r="A2181" s="15" t="s">
        <v>74</v>
      </c>
      <c r="B2181" s="16" t="s">
        <v>187</v>
      </c>
      <c r="C2181" s="17" t="s">
        <v>188</v>
      </c>
      <c r="D2181" s="18">
        <v>3.0</v>
      </c>
      <c r="E2181" s="17" t="s">
        <v>129</v>
      </c>
      <c r="F2181" s="15" t="s">
        <v>130</v>
      </c>
      <c r="G2181" s="19">
        <v>9.0043002E7</v>
      </c>
      <c r="H2181" s="15" t="s">
        <v>49</v>
      </c>
      <c r="I2181" s="20" t="s">
        <v>50</v>
      </c>
      <c r="J2181" s="21">
        <v>1.4383054E7</v>
      </c>
      <c r="K2181" s="21">
        <v>238.0</v>
      </c>
    </row>
    <row r="2182">
      <c r="A2182" s="15" t="s">
        <v>74</v>
      </c>
      <c r="B2182" s="16" t="s">
        <v>187</v>
      </c>
      <c r="C2182" s="17" t="s">
        <v>188</v>
      </c>
      <c r="D2182" s="18">
        <v>3.0</v>
      </c>
      <c r="E2182" s="17" t="s">
        <v>129</v>
      </c>
      <c r="F2182" s="15" t="s">
        <v>130</v>
      </c>
      <c r="G2182" s="19">
        <v>9.0043003E7</v>
      </c>
      <c r="H2182" s="15" t="s">
        <v>90</v>
      </c>
      <c r="I2182" s="20" t="s">
        <v>50</v>
      </c>
      <c r="J2182" s="21">
        <v>5.538966E7</v>
      </c>
      <c r="K2182" s="21">
        <v>560.0</v>
      </c>
    </row>
    <row r="2183">
      <c r="A2183" s="15" t="s">
        <v>74</v>
      </c>
      <c r="B2183" s="16" t="s">
        <v>187</v>
      </c>
      <c r="C2183" s="17" t="s">
        <v>188</v>
      </c>
      <c r="D2183" s="18">
        <v>3.0</v>
      </c>
      <c r="E2183" s="17" t="s">
        <v>131</v>
      </c>
      <c r="F2183" s="15" t="s">
        <v>132</v>
      </c>
      <c r="G2183" s="19">
        <v>5.1101056E7</v>
      </c>
      <c r="H2183" s="15" t="s">
        <v>16</v>
      </c>
      <c r="I2183" s="20" t="s">
        <v>17</v>
      </c>
      <c r="J2183" s="21">
        <v>1.93517E7</v>
      </c>
      <c r="K2183" s="21">
        <v>193517.0</v>
      </c>
    </row>
    <row r="2184">
      <c r="A2184" s="15" t="s">
        <v>74</v>
      </c>
      <c r="B2184" s="16" t="s">
        <v>187</v>
      </c>
      <c r="C2184" s="17" t="s">
        <v>188</v>
      </c>
      <c r="D2184" s="18">
        <v>3.0</v>
      </c>
      <c r="E2184" s="17" t="s">
        <v>131</v>
      </c>
      <c r="F2184" s="15" t="s">
        <v>132</v>
      </c>
      <c r="G2184" s="19">
        <v>9.0043001E7</v>
      </c>
      <c r="H2184" s="15" t="s">
        <v>18</v>
      </c>
      <c r="I2184" s="20" t="s">
        <v>19</v>
      </c>
      <c r="J2184" s="21">
        <v>1344610.0</v>
      </c>
      <c r="K2184" s="21">
        <v>10.0</v>
      </c>
    </row>
    <row r="2185">
      <c r="A2185" s="15" t="s">
        <v>74</v>
      </c>
      <c r="B2185" s="16" t="s">
        <v>187</v>
      </c>
      <c r="C2185" s="17" t="s">
        <v>188</v>
      </c>
      <c r="D2185" s="18">
        <v>3.0</v>
      </c>
      <c r="E2185" s="17" t="s">
        <v>135</v>
      </c>
      <c r="F2185" s="15" t="s">
        <v>136</v>
      </c>
      <c r="G2185" s="19">
        <v>9.0043001E7</v>
      </c>
      <c r="H2185" s="15" t="s">
        <v>18</v>
      </c>
      <c r="I2185" s="20" t="s">
        <v>19</v>
      </c>
      <c r="J2185" s="21">
        <v>1.90919E7</v>
      </c>
      <c r="K2185" s="21">
        <v>144.0</v>
      </c>
    </row>
    <row r="2186">
      <c r="A2186" s="15" t="s">
        <v>74</v>
      </c>
      <c r="B2186" s="16" t="s">
        <v>187</v>
      </c>
      <c r="C2186" s="17" t="s">
        <v>188</v>
      </c>
      <c r="D2186" s="18">
        <v>3.0</v>
      </c>
      <c r="E2186" s="17" t="s">
        <v>193</v>
      </c>
      <c r="F2186" s="15" t="s">
        <v>194</v>
      </c>
      <c r="G2186" s="19">
        <v>9.0043001E7</v>
      </c>
      <c r="H2186" s="15" t="s">
        <v>18</v>
      </c>
      <c r="I2186" s="20" t="s">
        <v>19</v>
      </c>
      <c r="J2186" s="21">
        <v>1.4847847E7</v>
      </c>
      <c r="K2186" s="21">
        <v>90.0</v>
      </c>
    </row>
    <row r="2187">
      <c r="A2187" s="15" t="s">
        <v>74</v>
      </c>
      <c r="B2187" s="16" t="s">
        <v>187</v>
      </c>
      <c r="C2187" s="17" t="s">
        <v>188</v>
      </c>
      <c r="D2187" s="18">
        <v>3.0</v>
      </c>
      <c r="E2187" s="17" t="s">
        <v>162</v>
      </c>
      <c r="F2187" s="15" t="s">
        <v>163</v>
      </c>
      <c r="G2187" s="19">
        <v>9.0043001E7</v>
      </c>
      <c r="H2187" s="15" t="s">
        <v>18</v>
      </c>
      <c r="I2187" s="20" t="s">
        <v>19</v>
      </c>
      <c r="J2187" s="21">
        <v>8862745.0</v>
      </c>
      <c r="K2187" s="21">
        <v>58.0</v>
      </c>
    </row>
    <row r="2188">
      <c r="A2188" s="15" t="s">
        <v>74</v>
      </c>
      <c r="B2188" s="16" t="s">
        <v>187</v>
      </c>
      <c r="C2188" s="17" t="s">
        <v>188</v>
      </c>
      <c r="D2188" s="18">
        <v>3.0</v>
      </c>
      <c r="E2188" s="17" t="s">
        <v>54</v>
      </c>
      <c r="F2188" s="15" t="s">
        <v>139</v>
      </c>
      <c r="G2188" s="19">
        <v>9.0042011E7</v>
      </c>
      <c r="H2188" s="15" t="s">
        <v>55</v>
      </c>
      <c r="I2188" s="20" t="s">
        <v>19</v>
      </c>
      <c r="J2188" s="21">
        <v>3.50140173E8</v>
      </c>
      <c r="K2188" s="21">
        <v>0.0</v>
      </c>
    </row>
    <row r="2189">
      <c r="A2189" s="15" t="s">
        <v>74</v>
      </c>
      <c r="B2189" s="16" t="s">
        <v>187</v>
      </c>
      <c r="C2189" s="17" t="s">
        <v>188</v>
      </c>
      <c r="D2189" s="18">
        <v>3.0</v>
      </c>
      <c r="E2189" s="17" t="s">
        <v>20</v>
      </c>
      <c r="F2189" s="15" t="s">
        <v>140</v>
      </c>
      <c r="G2189" s="19">
        <v>9.0042014E7</v>
      </c>
      <c r="H2189" s="15" t="s">
        <v>21</v>
      </c>
      <c r="I2189" s="20" t="s">
        <v>19</v>
      </c>
      <c r="J2189" s="21">
        <v>2.93063362E8</v>
      </c>
      <c r="K2189" s="21">
        <v>0.0</v>
      </c>
    </row>
    <row r="2190">
      <c r="A2190" s="15" t="s">
        <v>74</v>
      </c>
      <c r="B2190" s="16" t="s">
        <v>187</v>
      </c>
      <c r="C2190" s="17" t="s">
        <v>188</v>
      </c>
      <c r="D2190" s="18">
        <v>3.0</v>
      </c>
      <c r="E2190" s="17" t="s">
        <v>20</v>
      </c>
      <c r="F2190" s="15" t="s">
        <v>140</v>
      </c>
      <c r="G2190" s="19">
        <v>9.0042077E7</v>
      </c>
      <c r="H2190" s="15" t="s">
        <v>141</v>
      </c>
      <c r="I2190" s="20" t="s">
        <v>19</v>
      </c>
      <c r="J2190" s="21">
        <v>1.13687989E8</v>
      </c>
      <c r="K2190" s="21">
        <v>0.0</v>
      </c>
    </row>
    <row r="2191">
      <c r="A2191" s="15" t="s">
        <v>74</v>
      </c>
      <c r="B2191" s="16" t="s">
        <v>187</v>
      </c>
      <c r="C2191" s="17" t="s">
        <v>188</v>
      </c>
      <c r="D2191" s="18">
        <v>3.0</v>
      </c>
      <c r="E2191" s="17" t="s">
        <v>142</v>
      </c>
      <c r="F2191" s="15" t="s">
        <v>143</v>
      </c>
      <c r="G2191" s="19">
        <v>9.0042084E7</v>
      </c>
      <c r="H2191" s="15" t="s">
        <v>145</v>
      </c>
      <c r="I2191" s="20" t="s">
        <v>19</v>
      </c>
      <c r="J2191" s="21">
        <v>6291952.0</v>
      </c>
      <c r="K2191" s="21">
        <v>0.0</v>
      </c>
    </row>
    <row r="2192">
      <c r="A2192" s="15" t="s">
        <v>74</v>
      </c>
      <c r="B2192" s="16" t="s">
        <v>187</v>
      </c>
      <c r="C2192" s="17" t="s">
        <v>188</v>
      </c>
      <c r="D2192" s="18">
        <v>3.0</v>
      </c>
      <c r="E2192" s="17" t="s">
        <v>22</v>
      </c>
      <c r="F2192" s="15" t="s">
        <v>146</v>
      </c>
      <c r="G2192" s="19">
        <v>9.0042012E7</v>
      </c>
      <c r="H2192" s="15" t="s">
        <v>23</v>
      </c>
      <c r="I2192" s="20" t="s">
        <v>19</v>
      </c>
      <c r="J2192" s="21">
        <v>1.14194161E8</v>
      </c>
      <c r="K2192" s="21">
        <v>0.0</v>
      </c>
    </row>
    <row r="2193">
      <c r="A2193" s="15" t="s">
        <v>74</v>
      </c>
      <c r="B2193" s="16" t="s">
        <v>187</v>
      </c>
      <c r="C2193" s="17" t="s">
        <v>188</v>
      </c>
      <c r="D2193" s="18">
        <v>3.0</v>
      </c>
      <c r="E2193" s="17" t="s">
        <v>22</v>
      </c>
      <c r="F2193" s="15" t="s">
        <v>146</v>
      </c>
      <c r="G2193" s="19">
        <v>9.0042121E7</v>
      </c>
      <c r="H2193" s="15" t="s">
        <v>24</v>
      </c>
      <c r="I2193" s="20" t="s">
        <v>25</v>
      </c>
      <c r="J2193" s="21">
        <v>1.41845459E8</v>
      </c>
      <c r="K2193" s="21">
        <v>0.0</v>
      </c>
    </row>
    <row r="2194">
      <c r="A2194" s="15" t="s">
        <v>74</v>
      </c>
      <c r="B2194" s="16" t="s">
        <v>187</v>
      </c>
      <c r="C2194" s="17" t="s">
        <v>188</v>
      </c>
      <c r="D2194" s="18">
        <v>3.0</v>
      </c>
      <c r="E2194" s="17" t="s">
        <v>22</v>
      </c>
      <c r="F2194" s="15" t="s">
        <v>146</v>
      </c>
      <c r="G2194" s="19">
        <v>9.0042122E7</v>
      </c>
      <c r="H2194" s="15" t="s">
        <v>56</v>
      </c>
      <c r="I2194" s="20" t="s">
        <v>25</v>
      </c>
      <c r="J2194" s="21">
        <v>9343302.0</v>
      </c>
      <c r="K2194" s="21">
        <v>0.0</v>
      </c>
    </row>
    <row r="2195">
      <c r="A2195" s="15" t="s">
        <v>74</v>
      </c>
      <c r="B2195" s="16" t="s">
        <v>187</v>
      </c>
      <c r="C2195" s="17" t="s">
        <v>188</v>
      </c>
      <c r="D2195" s="18">
        <v>3.0</v>
      </c>
      <c r="E2195" s="17" t="s">
        <v>22</v>
      </c>
      <c r="F2195" s="15" t="s">
        <v>146</v>
      </c>
      <c r="G2195" s="19">
        <v>9.0042124E7</v>
      </c>
      <c r="H2195" s="15" t="s">
        <v>57</v>
      </c>
      <c r="I2195" s="20" t="s">
        <v>25</v>
      </c>
      <c r="J2195" s="21">
        <v>3352800.0</v>
      </c>
      <c r="K2195" s="21">
        <v>0.0</v>
      </c>
    </row>
    <row r="2196">
      <c r="A2196" s="15" t="s">
        <v>74</v>
      </c>
      <c r="B2196" s="16" t="s">
        <v>187</v>
      </c>
      <c r="C2196" s="17" t="s">
        <v>188</v>
      </c>
      <c r="D2196" s="18">
        <v>3.0</v>
      </c>
      <c r="E2196" s="17" t="s">
        <v>22</v>
      </c>
      <c r="F2196" s="15" t="s">
        <v>146</v>
      </c>
      <c r="G2196" s="19">
        <v>9.0042125E7</v>
      </c>
      <c r="H2196" s="15" t="s">
        <v>26</v>
      </c>
      <c r="I2196" s="20" t="s">
        <v>25</v>
      </c>
      <c r="J2196" s="21">
        <v>3.1204195E7</v>
      </c>
      <c r="K2196" s="21">
        <v>0.0</v>
      </c>
    </row>
    <row r="2197">
      <c r="A2197" s="15" t="s">
        <v>74</v>
      </c>
      <c r="B2197" s="16" t="s">
        <v>187</v>
      </c>
      <c r="C2197" s="17" t="s">
        <v>188</v>
      </c>
      <c r="D2197" s="18">
        <v>3.0</v>
      </c>
      <c r="E2197" s="17" t="s">
        <v>22</v>
      </c>
      <c r="F2197" s="15" t="s">
        <v>146</v>
      </c>
      <c r="G2197" s="19">
        <v>9.0042127E7</v>
      </c>
      <c r="H2197" s="15" t="s">
        <v>27</v>
      </c>
      <c r="I2197" s="20" t="s">
        <v>25</v>
      </c>
      <c r="J2197" s="21">
        <v>2.2333092E7</v>
      </c>
      <c r="K2197" s="21">
        <v>0.0</v>
      </c>
    </row>
    <row r="2198">
      <c r="A2198" s="15" t="s">
        <v>74</v>
      </c>
      <c r="B2198" s="16" t="s">
        <v>187</v>
      </c>
      <c r="C2198" s="17" t="s">
        <v>188</v>
      </c>
      <c r="D2198" s="18">
        <v>3.0</v>
      </c>
      <c r="E2198" s="17" t="s">
        <v>22</v>
      </c>
      <c r="F2198" s="15" t="s">
        <v>146</v>
      </c>
      <c r="G2198" s="19">
        <v>9.0042128E7</v>
      </c>
      <c r="H2198" s="15" t="s">
        <v>58</v>
      </c>
      <c r="I2198" s="20" t="s">
        <v>25</v>
      </c>
      <c r="J2198" s="21">
        <v>7898965.0</v>
      </c>
      <c r="K2198" s="21">
        <v>0.0</v>
      </c>
    </row>
    <row r="2199">
      <c r="A2199" s="15" t="s">
        <v>74</v>
      </c>
      <c r="B2199" s="16" t="s">
        <v>187</v>
      </c>
      <c r="C2199" s="17" t="s">
        <v>188</v>
      </c>
      <c r="D2199" s="18">
        <v>3.0</v>
      </c>
      <c r="E2199" s="17" t="s">
        <v>22</v>
      </c>
      <c r="F2199" s="15" t="s">
        <v>146</v>
      </c>
      <c r="G2199" s="19">
        <v>9.0042132E7</v>
      </c>
      <c r="H2199" s="15" t="s">
        <v>28</v>
      </c>
      <c r="I2199" s="20" t="s">
        <v>25</v>
      </c>
      <c r="J2199" s="21">
        <v>7740546.0</v>
      </c>
      <c r="K2199" s="21">
        <v>0.0</v>
      </c>
    </row>
    <row r="2200">
      <c r="A2200" s="15" t="s">
        <v>74</v>
      </c>
      <c r="B2200" s="16" t="s">
        <v>187</v>
      </c>
      <c r="C2200" s="17" t="s">
        <v>188</v>
      </c>
      <c r="D2200" s="18">
        <v>3.0</v>
      </c>
      <c r="E2200" s="17" t="s">
        <v>22</v>
      </c>
      <c r="F2200" s="15" t="s">
        <v>146</v>
      </c>
      <c r="G2200" s="19">
        <v>9.0042134E7</v>
      </c>
      <c r="H2200" s="15" t="s">
        <v>29</v>
      </c>
      <c r="I2200" s="20" t="s">
        <v>25</v>
      </c>
      <c r="J2200" s="21">
        <v>6765000.0</v>
      </c>
      <c r="K2200" s="21">
        <v>0.0</v>
      </c>
    </row>
    <row r="2201">
      <c r="A2201" s="15" t="s">
        <v>74</v>
      </c>
      <c r="B2201" s="16" t="s">
        <v>187</v>
      </c>
      <c r="C2201" s="17" t="s">
        <v>188</v>
      </c>
      <c r="D2201" s="18">
        <v>3.0</v>
      </c>
      <c r="E2201" s="17" t="s">
        <v>22</v>
      </c>
      <c r="F2201" s="15" t="s">
        <v>146</v>
      </c>
      <c r="G2201" s="19">
        <v>9.0042135E7</v>
      </c>
      <c r="H2201" s="15" t="s">
        <v>30</v>
      </c>
      <c r="I2201" s="20" t="s">
        <v>25</v>
      </c>
      <c r="J2201" s="21">
        <v>1.91563037E8</v>
      </c>
      <c r="K2201" s="21">
        <v>0.0</v>
      </c>
    </row>
    <row r="2202">
      <c r="A2202" s="15" t="s">
        <v>74</v>
      </c>
      <c r="B2202" s="16" t="s">
        <v>187</v>
      </c>
      <c r="C2202" s="17" t="s">
        <v>188</v>
      </c>
      <c r="D2202" s="18">
        <v>3.0</v>
      </c>
      <c r="E2202" s="17" t="s">
        <v>22</v>
      </c>
      <c r="F2202" s="15" t="s">
        <v>146</v>
      </c>
      <c r="G2202" s="19">
        <v>9.00422E7</v>
      </c>
      <c r="H2202" s="15" t="s">
        <v>73</v>
      </c>
      <c r="I2202" s="20" t="s">
        <v>60</v>
      </c>
      <c r="J2202" s="21">
        <v>5.83050029E8</v>
      </c>
      <c r="K2202" s="21">
        <v>0.0</v>
      </c>
    </row>
    <row r="2203">
      <c r="A2203" s="15" t="s">
        <v>74</v>
      </c>
      <c r="B2203" s="16" t="s">
        <v>187</v>
      </c>
      <c r="C2203" s="17" t="s">
        <v>188</v>
      </c>
      <c r="D2203" s="18">
        <v>3.0</v>
      </c>
      <c r="E2203" s="17" t="s">
        <v>22</v>
      </c>
      <c r="F2203" s="15" t="s">
        <v>146</v>
      </c>
      <c r="G2203" s="19">
        <v>9.0042223E7</v>
      </c>
      <c r="H2203" s="15" t="s">
        <v>61</v>
      </c>
      <c r="I2203" s="20" t="s">
        <v>60</v>
      </c>
      <c r="J2203" s="21">
        <v>1036733.0</v>
      </c>
      <c r="K2203" s="21">
        <v>0.0</v>
      </c>
    </row>
    <row r="2204">
      <c r="A2204" s="15" t="s">
        <v>74</v>
      </c>
      <c r="B2204" s="16" t="s">
        <v>187</v>
      </c>
      <c r="C2204" s="17" t="s">
        <v>188</v>
      </c>
      <c r="D2204" s="18">
        <v>3.0</v>
      </c>
      <c r="E2204" s="17" t="s">
        <v>22</v>
      </c>
      <c r="F2204" s="15" t="s">
        <v>146</v>
      </c>
      <c r="G2204" s="19">
        <v>9.0042224E7</v>
      </c>
      <c r="H2204" s="15" t="s">
        <v>62</v>
      </c>
      <c r="I2204" s="20" t="s">
        <v>60</v>
      </c>
      <c r="J2204" s="21">
        <v>4131387.0</v>
      </c>
      <c r="K2204" s="21">
        <v>0.0</v>
      </c>
    </row>
    <row r="2205">
      <c r="A2205" s="15" t="s">
        <v>74</v>
      </c>
      <c r="B2205" s="16" t="s">
        <v>187</v>
      </c>
      <c r="C2205" s="17" t="s">
        <v>188</v>
      </c>
      <c r="D2205" s="18">
        <v>3.0</v>
      </c>
      <c r="E2205" s="17" t="s">
        <v>22</v>
      </c>
      <c r="F2205" s="15" t="s">
        <v>146</v>
      </c>
      <c r="G2205" s="19">
        <v>9.0042226E7</v>
      </c>
      <c r="H2205" s="15" t="s">
        <v>63</v>
      </c>
      <c r="I2205" s="20" t="s">
        <v>60</v>
      </c>
      <c r="J2205" s="21">
        <v>1528666.0</v>
      </c>
      <c r="K2205" s="21">
        <v>0.0</v>
      </c>
    </row>
    <row r="2206">
      <c r="A2206" s="15" t="s">
        <v>74</v>
      </c>
      <c r="B2206" s="16" t="s">
        <v>187</v>
      </c>
      <c r="C2206" s="17" t="s">
        <v>188</v>
      </c>
      <c r="D2206" s="18">
        <v>3.0</v>
      </c>
      <c r="E2206" s="17" t="s">
        <v>22</v>
      </c>
      <c r="F2206" s="15" t="s">
        <v>146</v>
      </c>
      <c r="G2206" s="19">
        <v>9.0042228E7</v>
      </c>
      <c r="H2206" s="15" t="s">
        <v>64</v>
      </c>
      <c r="I2206" s="20" t="s">
        <v>60</v>
      </c>
      <c r="J2206" s="21">
        <v>1.24974057E8</v>
      </c>
      <c r="K2206" s="21">
        <v>0.0</v>
      </c>
    </row>
    <row r="2207">
      <c r="A2207" s="15" t="s">
        <v>74</v>
      </c>
      <c r="B2207" s="16" t="s">
        <v>187</v>
      </c>
      <c r="C2207" s="17" t="s">
        <v>188</v>
      </c>
      <c r="D2207" s="18">
        <v>3.0</v>
      </c>
      <c r="E2207" s="17" t="s">
        <v>22</v>
      </c>
      <c r="F2207" s="15" t="s">
        <v>146</v>
      </c>
      <c r="G2207" s="19">
        <v>9.0042231E7</v>
      </c>
      <c r="H2207" s="15" t="s">
        <v>65</v>
      </c>
      <c r="I2207" s="20" t="s">
        <v>60</v>
      </c>
      <c r="J2207" s="21">
        <v>2.519901E7</v>
      </c>
      <c r="K2207" s="21">
        <v>0.0</v>
      </c>
    </row>
    <row r="2208">
      <c r="A2208" s="15" t="s">
        <v>74</v>
      </c>
      <c r="B2208" s="16" t="s">
        <v>187</v>
      </c>
      <c r="C2208" s="17" t="s">
        <v>188</v>
      </c>
      <c r="D2208" s="18">
        <v>3.0</v>
      </c>
      <c r="E2208" s="17" t="s">
        <v>22</v>
      </c>
      <c r="F2208" s="15" t="s">
        <v>146</v>
      </c>
      <c r="G2208" s="19">
        <v>9.0042126E7</v>
      </c>
      <c r="H2208" s="15" t="s">
        <v>31</v>
      </c>
      <c r="I2208" s="20" t="s">
        <v>25</v>
      </c>
      <c r="J2208" s="21">
        <v>5.5927197E7</v>
      </c>
      <c r="K2208" s="21">
        <v>0.0</v>
      </c>
    </row>
    <row r="2209">
      <c r="A2209" s="15" t="s">
        <v>74</v>
      </c>
      <c r="B2209" s="16" t="s">
        <v>187</v>
      </c>
      <c r="C2209" s="17" t="s">
        <v>188</v>
      </c>
      <c r="D2209" s="18">
        <v>3.0</v>
      </c>
      <c r="E2209" s="17" t="s">
        <v>288</v>
      </c>
      <c r="F2209" s="15" t="s">
        <v>289</v>
      </c>
      <c r="G2209" s="19">
        <v>9.0043001E7</v>
      </c>
      <c r="H2209" s="15" t="s">
        <v>18</v>
      </c>
      <c r="I2209" s="20" t="s">
        <v>19</v>
      </c>
      <c r="J2209" s="21">
        <v>400068.0</v>
      </c>
      <c r="K2209" s="21">
        <v>3.0</v>
      </c>
    </row>
    <row r="2210">
      <c r="A2210" s="15" t="s">
        <v>74</v>
      </c>
      <c r="B2210" s="16" t="s">
        <v>203</v>
      </c>
      <c r="C2210" s="17" t="s">
        <v>204</v>
      </c>
      <c r="D2210" s="18">
        <v>3.0</v>
      </c>
      <c r="E2210" s="17" t="s">
        <v>81</v>
      </c>
      <c r="F2210" s="15" t="s">
        <v>82</v>
      </c>
      <c r="G2210" s="19">
        <v>9.0043001E7</v>
      </c>
      <c r="H2210" s="15" t="s">
        <v>18</v>
      </c>
      <c r="I2210" s="20" t="s">
        <v>19</v>
      </c>
      <c r="J2210" s="21">
        <v>924771.0</v>
      </c>
      <c r="K2210" s="21">
        <v>6.3</v>
      </c>
    </row>
    <row r="2211">
      <c r="A2211" s="15" t="s">
        <v>74</v>
      </c>
      <c r="B2211" s="16" t="s">
        <v>203</v>
      </c>
      <c r="C2211" s="17" t="s">
        <v>204</v>
      </c>
      <c r="D2211" s="18">
        <v>3.0</v>
      </c>
      <c r="E2211" s="17" t="s">
        <v>84</v>
      </c>
      <c r="F2211" s="15" t="s">
        <v>85</v>
      </c>
      <c r="G2211" s="19">
        <v>5.1100064E7</v>
      </c>
      <c r="H2211" s="15" t="s">
        <v>53</v>
      </c>
      <c r="I2211" s="20" t="s">
        <v>25</v>
      </c>
      <c r="J2211" s="21">
        <v>1200000.0</v>
      </c>
      <c r="K2211" s="21">
        <v>0.0</v>
      </c>
    </row>
    <row r="2212">
      <c r="A2212" s="15" t="s">
        <v>74</v>
      </c>
      <c r="B2212" s="16" t="s">
        <v>203</v>
      </c>
      <c r="C2212" s="17" t="s">
        <v>204</v>
      </c>
      <c r="D2212" s="18">
        <v>3.0</v>
      </c>
      <c r="E2212" s="17" t="s">
        <v>84</v>
      </c>
      <c r="F2212" s="15" t="s">
        <v>85</v>
      </c>
      <c r="G2212" s="19">
        <v>9.0043001E7</v>
      </c>
      <c r="H2212" s="15" t="s">
        <v>18</v>
      </c>
      <c r="I2212" s="20" t="s">
        <v>19</v>
      </c>
      <c r="J2212" s="21">
        <v>1.241701E7</v>
      </c>
      <c r="K2212" s="21">
        <v>75.5</v>
      </c>
    </row>
    <row r="2213">
      <c r="A2213" s="15" t="s">
        <v>74</v>
      </c>
      <c r="B2213" s="16" t="s">
        <v>203</v>
      </c>
      <c r="C2213" s="17" t="s">
        <v>204</v>
      </c>
      <c r="D2213" s="18">
        <v>3.0</v>
      </c>
      <c r="E2213" s="17" t="s">
        <v>84</v>
      </c>
      <c r="F2213" s="15" t="s">
        <v>85</v>
      </c>
      <c r="G2213" s="19">
        <v>9.0043E7</v>
      </c>
      <c r="H2213" s="15" t="s">
        <v>83</v>
      </c>
      <c r="I2213" s="20" t="s">
        <v>19</v>
      </c>
      <c r="J2213" s="21">
        <v>1170944.0</v>
      </c>
      <c r="K2213" s="21">
        <v>7.0</v>
      </c>
    </row>
    <row r="2214">
      <c r="A2214" s="15" t="s">
        <v>74</v>
      </c>
      <c r="B2214" s="16" t="s">
        <v>203</v>
      </c>
      <c r="C2214" s="17" t="s">
        <v>204</v>
      </c>
      <c r="D2214" s="18">
        <v>3.0</v>
      </c>
      <c r="E2214" s="17" t="s">
        <v>86</v>
      </c>
      <c r="F2214" s="15" t="s">
        <v>87</v>
      </c>
      <c r="G2214" s="19">
        <v>9.0043E7</v>
      </c>
      <c r="H2214" s="15" t="s">
        <v>83</v>
      </c>
      <c r="I2214" s="20" t="s">
        <v>19</v>
      </c>
      <c r="J2214" s="21">
        <v>184073.0</v>
      </c>
      <c r="K2214" s="21">
        <v>1.0</v>
      </c>
    </row>
    <row r="2215">
      <c r="A2215" s="15" t="s">
        <v>74</v>
      </c>
      <c r="B2215" s="16" t="s">
        <v>203</v>
      </c>
      <c r="C2215" s="17" t="s">
        <v>204</v>
      </c>
      <c r="D2215" s="18">
        <v>3.0</v>
      </c>
      <c r="E2215" s="17" t="s">
        <v>173</v>
      </c>
      <c r="F2215" s="15" t="s">
        <v>174</v>
      </c>
      <c r="G2215" s="19">
        <v>9.0043003E7</v>
      </c>
      <c r="H2215" s="15" t="s">
        <v>90</v>
      </c>
      <c r="I2215" s="20" t="s">
        <v>50</v>
      </c>
      <c r="J2215" s="21">
        <v>3420590.0</v>
      </c>
      <c r="K2215" s="21">
        <v>5.0</v>
      </c>
    </row>
    <row r="2216">
      <c r="A2216" s="15" t="s">
        <v>74</v>
      </c>
      <c r="B2216" s="16" t="s">
        <v>203</v>
      </c>
      <c r="C2216" s="17" t="s">
        <v>204</v>
      </c>
      <c r="D2216" s="18">
        <v>3.0</v>
      </c>
      <c r="E2216" s="17" t="s">
        <v>88</v>
      </c>
      <c r="F2216" s="15" t="s">
        <v>89</v>
      </c>
      <c r="G2216" s="19">
        <v>5.1100102E7</v>
      </c>
      <c r="H2216" s="15" t="s">
        <v>172</v>
      </c>
      <c r="I2216" s="20" t="s">
        <v>25</v>
      </c>
      <c r="J2216" s="21">
        <v>1641942.0</v>
      </c>
      <c r="K2216" s="21">
        <v>0.0</v>
      </c>
    </row>
    <row r="2217">
      <c r="A2217" s="15" t="s">
        <v>74</v>
      </c>
      <c r="B2217" s="16" t="s">
        <v>203</v>
      </c>
      <c r="C2217" s="17" t="s">
        <v>204</v>
      </c>
      <c r="D2217" s="18">
        <v>3.0</v>
      </c>
      <c r="E2217" s="17" t="s">
        <v>93</v>
      </c>
      <c r="F2217" s="15" t="s">
        <v>94</v>
      </c>
      <c r="G2217" s="19">
        <v>9.0043001E7</v>
      </c>
      <c r="H2217" s="15" t="s">
        <v>18</v>
      </c>
      <c r="I2217" s="20" t="s">
        <v>19</v>
      </c>
      <c r="J2217" s="21">
        <v>1016262.0</v>
      </c>
      <c r="K2217" s="21">
        <v>6.0</v>
      </c>
    </row>
    <row r="2218">
      <c r="A2218" s="15" t="s">
        <v>74</v>
      </c>
      <c r="B2218" s="16" t="s">
        <v>203</v>
      </c>
      <c r="C2218" s="17" t="s">
        <v>204</v>
      </c>
      <c r="D2218" s="18">
        <v>3.0</v>
      </c>
      <c r="E2218" s="17" t="s">
        <v>93</v>
      </c>
      <c r="F2218" s="15" t="s">
        <v>94</v>
      </c>
      <c r="G2218" s="19">
        <v>9.0043E7</v>
      </c>
      <c r="H2218" s="15" t="s">
        <v>83</v>
      </c>
      <c r="I2218" s="20" t="s">
        <v>19</v>
      </c>
      <c r="J2218" s="21">
        <v>349739.0</v>
      </c>
      <c r="K2218" s="21">
        <v>1.9</v>
      </c>
    </row>
    <row r="2219">
      <c r="A2219" s="15" t="s">
        <v>74</v>
      </c>
      <c r="B2219" s="16" t="s">
        <v>203</v>
      </c>
      <c r="C2219" s="17" t="s">
        <v>204</v>
      </c>
      <c r="D2219" s="18">
        <v>3.0</v>
      </c>
      <c r="E2219" s="17" t="s">
        <v>95</v>
      </c>
      <c r="F2219" s="15" t="s">
        <v>96</v>
      </c>
      <c r="G2219" s="19">
        <v>5.1100058E7</v>
      </c>
      <c r="H2219" s="15" t="s">
        <v>36</v>
      </c>
      <c r="I2219" s="20" t="s">
        <v>37</v>
      </c>
      <c r="J2219" s="21">
        <v>5876034.0</v>
      </c>
      <c r="K2219" s="21">
        <v>73.25</v>
      </c>
    </row>
    <row r="2220">
      <c r="A2220" s="15" t="s">
        <v>74</v>
      </c>
      <c r="B2220" s="16" t="s">
        <v>203</v>
      </c>
      <c r="C2220" s="17" t="s">
        <v>204</v>
      </c>
      <c r="D2220" s="18">
        <v>3.0</v>
      </c>
      <c r="E2220" s="17" t="s">
        <v>95</v>
      </c>
      <c r="F2220" s="15" t="s">
        <v>96</v>
      </c>
      <c r="G2220" s="19">
        <v>9.0043001E7</v>
      </c>
      <c r="H2220" s="15" t="s">
        <v>18</v>
      </c>
      <c r="I2220" s="20" t="s">
        <v>19</v>
      </c>
      <c r="J2220" s="21">
        <v>1.1534328E7</v>
      </c>
      <c r="K2220" s="21">
        <v>69.0</v>
      </c>
    </row>
    <row r="2221">
      <c r="A2221" s="15" t="s">
        <v>74</v>
      </c>
      <c r="B2221" s="16" t="s">
        <v>203</v>
      </c>
      <c r="C2221" s="17" t="s">
        <v>204</v>
      </c>
      <c r="D2221" s="18">
        <v>3.0</v>
      </c>
      <c r="E2221" s="17" t="s">
        <v>97</v>
      </c>
      <c r="F2221" s="15" t="s">
        <v>98</v>
      </c>
      <c r="G2221" s="19">
        <v>9.0043E7</v>
      </c>
      <c r="H2221" s="15" t="s">
        <v>83</v>
      </c>
      <c r="I2221" s="20" t="s">
        <v>19</v>
      </c>
      <c r="J2221" s="21">
        <v>2024803.0</v>
      </c>
      <c r="K2221" s="21">
        <v>11.0</v>
      </c>
    </row>
    <row r="2222">
      <c r="A2222" s="15" t="s">
        <v>74</v>
      </c>
      <c r="B2222" s="16" t="s">
        <v>203</v>
      </c>
      <c r="C2222" s="17" t="s">
        <v>204</v>
      </c>
      <c r="D2222" s="18">
        <v>3.0</v>
      </c>
      <c r="E2222" s="17" t="s">
        <v>99</v>
      </c>
      <c r="F2222" s="15" t="s">
        <v>100</v>
      </c>
      <c r="G2222" s="19">
        <v>9.0043001E7</v>
      </c>
      <c r="H2222" s="15" t="s">
        <v>18</v>
      </c>
      <c r="I2222" s="20" t="s">
        <v>19</v>
      </c>
      <c r="J2222" s="21">
        <v>338754.0</v>
      </c>
      <c r="K2222" s="21">
        <v>2.0</v>
      </c>
    </row>
    <row r="2223">
      <c r="A2223" s="15" t="s">
        <v>74</v>
      </c>
      <c r="B2223" s="16" t="s">
        <v>203</v>
      </c>
      <c r="C2223" s="17" t="s">
        <v>204</v>
      </c>
      <c r="D2223" s="18">
        <v>3.0</v>
      </c>
      <c r="E2223" s="17" t="s">
        <v>101</v>
      </c>
      <c r="F2223" s="15" t="s">
        <v>102</v>
      </c>
      <c r="G2223" s="19">
        <v>9.0043001E7</v>
      </c>
      <c r="H2223" s="15" t="s">
        <v>18</v>
      </c>
      <c r="I2223" s="20" t="s">
        <v>19</v>
      </c>
      <c r="J2223" s="21">
        <v>3.1026455E7</v>
      </c>
      <c r="K2223" s="21">
        <v>195.3</v>
      </c>
    </row>
    <row r="2224">
      <c r="A2224" s="15" t="s">
        <v>74</v>
      </c>
      <c r="B2224" s="16" t="s">
        <v>203</v>
      </c>
      <c r="C2224" s="17" t="s">
        <v>204</v>
      </c>
      <c r="D2224" s="18">
        <v>3.0</v>
      </c>
      <c r="E2224" s="17" t="s">
        <v>101</v>
      </c>
      <c r="F2224" s="15" t="s">
        <v>102</v>
      </c>
      <c r="G2224" s="19">
        <v>9.0043E7</v>
      </c>
      <c r="H2224" s="15" t="s">
        <v>83</v>
      </c>
      <c r="I2224" s="20" t="s">
        <v>19</v>
      </c>
      <c r="J2224" s="21">
        <v>5183744.0</v>
      </c>
      <c r="K2224" s="21">
        <v>31.0</v>
      </c>
    </row>
    <row r="2225">
      <c r="A2225" s="15" t="s">
        <v>74</v>
      </c>
      <c r="B2225" s="16" t="s">
        <v>203</v>
      </c>
      <c r="C2225" s="17" t="s">
        <v>204</v>
      </c>
      <c r="D2225" s="18">
        <v>3.0</v>
      </c>
      <c r="E2225" s="17" t="s">
        <v>103</v>
      </c>
      <c r="F2225" s="15" t="s">
        <v>104</v>
      </c>
      <c r="G2225" s="19">
        <v>5.1100058E7</v>
      </c>
      <c r="H2225" s="15" t="s">
        <v>36</v>
      </c>
      <c r="I2225" s="20" t="s">
        <v>37</v>
      </c>
      <c r="J2225" s="21">
        <v>2563844.0</v>
      </c>
      <c r="K2225" s="21">
        <v>23.8</v>
      </c>
    </row>
    <row r="2226">
      <c r="A2226" s="15" t="s">
        <v>74</v>
      </c>
      <c r="B2226" s="16" t="s">
        <v>203</v>
      </c>
      <c r="C2226" s="17" t="s">
        <v>204</v>
      </c>
      <c r="D2226" s="18">
        <v>3.0</v>
      </c>
      <c r="E2226" s="17" t="s">
        <v>103</v>
      </c>
      <c r="F2226" s="15" t="s">
        <v>104</v>
      </c>
      <c r="G2226" s="19">
        <v>5.1100064E7</v>
      </c>
      <c r="H2226" s="15" t="s">
        <v>53</v>
      </c>
      <c r="I2226" s="20" t="s">
        <v>37</v>
      </c>
      <c r="J2226" s="21">
        <v>600000.0</v>
      </c>
      <c r="K2226" s="21">
        <v>1.0</v>
      </c>
    </row>
    <row r="2227">
      <c r="A2227" s="15" t="s">
        <v>74</v>
      </c>
      <c r="B2227" s="16" t="s">
        <v>203</v>
      </c>
      <c r="C2227" s="17" t="s">
        <v>204</v>
      </c>
      <c r="D2227" s="18">
        <v>3.0</v>
      </c>
      <c r="E2227" s="17" t="s">
        <v>103</v>
      </c>
      <c r="F2227" s="15" t="s">
        <v>104</v>
      </c>
      <c r="G2227" s="19">
        <v>9.0043001E7</v>
      </c>
      <c r="H2227" s="15" t="s">
        <v>18</v>
      </c>
      <c r="I2227" s="20" t="s">
        <v>19</v>
      </c>
      <c r="J2227" s="21">
        <v>4566727.0</v>
      </c>
      <c r="K2227" s="21">
        <v>25.8</v>
      </c>
    </row>
    <row r="2228">
      <c r="A2228" s="15" t="s">
        <v>74</v>
      </c>
      <c r="B2228" s="16" t="s">
        <v>203</v>
      </c>
      <c r="C2228" s="17" t="s">
        <v>204</v>
      </c>
      <c r="D2228" s="18">
        <v>3.0</v>
      </c>
      <c r="E2228" s="17" t="s">
        <v>103</v>
      </c>
      <c r="F2228" s="15" t="s">
        <v>104</v>
      </c>
      <c r="G2228" s="19">
        <v>5.1100057E7</v>
      </c>
      <c r="H2228" s="15" t="s">
        <v>237</v>
      </c>
      <c r="I2228" s="20" t="s">
        <v>37</v>
      </c>
      <c r="J2228" s="21">
        <v>286277.0</v>
      </c>
      <c r="K2228" s="21">
        <v>20.0</v>
      </c>
    </row>
    <row r="2229">
      <c r="A2229" s="15" t="s">
        <v>74</v>
      </c>
      <c r="B2229" s="16" t="s">
        <v>203</v>
      </c>
      <c r="C2229" s="17" t="s">
        <v>204</v>
      </c>
      <c r="D2229" s="18">
        <v>3.0</v>
      </c>
      <c r="E2229" s="17" t="s">
        <v>205</v>
      </c>
      <c r="F2229" s="15" t="s">
        <v>206</v>
      </c>
      <c r="G2229" s="19">
        <v>9.0043001E7</v>
      </c>
      <c r="H2229" s="15" t="s">
        <v>18</v>
      </c>
      <c r="I2229" s="20" t="s">
        <v>19</v>
      </c>
      <c r="J2229" s="21">
        <v>956544.0</v>
      </c>
      <c r="K2229" s="21">
        <v>6.0</v>
      </c>
    </row>
    <row r="2230">
      <c r="A2230" s="15" t="s">
        <v>74</v>
      </c>
      <c r="B2230" s="16" t="s">
        <v>203</v>
      </c>
      <c r="C2230" s="17" t="s">
        <v>204</v>
      </c>
      <c r="D2230" s="18">
        <v>3.0</v>
      </c>
      <c r="E2230" s="17" t="s">
        <v>207</v>
      </c>
      <c r="F2230" s="15" t="s">
        <v>208</v>
      </c>
      <c r="G2230" s="19">
        <v>9.0043001E7</v>
      </c>
      <c r="H2230" s="15" t="s">
        <v>18</v>
      </c>
      <c r="I2230" s="20" t="s">
        <v>19</v>
      </c>
      <c r="J2230" s="21">
        <v>286963.0</v>
      </c>
      <c r="K2230" s="21">
        <v>1.8</v>
      </c>
    </row>
    <row r="2231">
      <c r="A2231" s="15" t="s">
        <v>74</v>
      </c>
      <c r="B2231" s="16" t="s">
        <v>203</v>
      </c>
      <c r="C2231" s="17" t="s">
        <v>204</v>
      </c>
      <c r="D2231" s="18">
        <v>3.0</v>
      </c>
      <c r="E2231" s="17" t="s">
        <v>209</v>
      </c>
      <c r="F2231" s="15" t="s">
        <v>210</v>
      </c>
      <c r="G2231" s="19">
        <v>5.1100774E7</v>
      </c>
      <c r="H2231" s="15" t="s">
        <v>39</v>
      </c>
      <c r="I2231" s="20" t="s">
        <v>17</v>
      </c>
      <c r="J2231" s="21">
        <v>4178382.0</v>
      </c>
      <c r="K2231" s="21">
        <v>77.83</v>
      </c>
    </row>
    <row r="2232">
      <c r="A2232" s="15" t="s">
        <v>74</v>
      </c>
      <c r="B2232" s="16" t="s">
        <v>203</v>
      </c>
      <c r="C2232" s="17" t="s">
        <v>204</v>
      </c>
      <c r="D2232" s="18">
        <v>3.0</v>
      </c>
      <c r="E2232" s="17" t="s">
        <v>175</v>
      </c>
      <c r="F2232" s="15" t="s">
        <v>176</v>
      </c>
      <c r="G2232" s="19">
        <v>9.0043002E7</v>
      </c>
      <c r="H2232" s="15" t="s">
        <v>49</v>
      </c>
      <c r="I2232" s="20" t="s">
        <v>50</v>
      </c>
      <c r="J2232" s="21">
        <v>9233340.0</v>
      </c>
      <c r="K2232" s="21">
        <v>495.0</v>
      </c>
    </row>
    <row r="2233">
      <c r="A2233" s="15" t="s">
        <v>74</v>
      </c>
      <c r="B2233" s="16" t="s">
        <v>203</v>
      </c>
      <c r="C2233" s="17" t="s">
        <v>204</v>
      </c>
      <c r="D2233" s="18">
        <v>3.0</v>
      </c>
      <c r="E2233" s="17" t="s">
        <v>117</v>
      </c>
      <c r="F2233" s="15" t="s">
        <v>118</v>
      </c>
      <c r="G2233" s="19">
        <v>5.1100058E7</v>
      </c>
      <c r="H2233" s="15" t="s">
        <v>36</v>
      </c>
      <c r="I2233" s="20" t="s">
        <v>37</v>
      </c>
      <c r="J2233" s="21">
        <v>3.4027433E7</v>
      </c>
      <c r="K2233" s="21">
        <v>25734.0</v>
      </c>
    </row>
    <row r="2234">
      <c r="A2234" s="15" t="s">
        <v>74</v>
      </c>
      <c r="B2234" s="16" t="s">
        <v>203</v>
      </c>
      <c r="C2234" s="17" t="s">
        <v>204</v>
      </c>
      <c r="D2234" s="18">
        <v>3.0</v>
      </c>
      <c r="E2234" s="17" t="s">
        <v>119</v>
      </c>
      <c r="F2234" s="15" t="s">
        <v>120</v>
      </c>
      <c r="G2234" s="19">
        <v>9.0043001E7</v>
      </c>
      <c r="H2234" s="15" t="s">
        <v>18</v>
      </c>
      <c r="I2234" s="20" t="s">
        <v>19</v>
      </c>
      <c r="J2234" s="21">
        <v>169377.0</v>
      </c>
      <c r="K2234" s="21">
        <v>1.0</v>
      </c>
    </row>
    <row r="2235">
      <c r="A2235" s="15" t="s">
        <v>74</v>
      </c>
      <c r="B2235" s="16" t="s">
        <v>203</v>
      </c>
      <c r="C2235" s="17" t="s">
        <v>204</v>
      </c>
      <c r="D2235" s="18">
        <v>3.0</v>
      </c>
      <c r="E2235" s="17" t="s">
        <v>119</v>
      </c>
      <c r="F2235" s="15" t="s">
        <v>120</v>
      </c>
      <c r="G2235" s="19">
        <v>9.0043E7</v>
      </c>
      <c r="H2235" s="15" t="s">
        <v>83</v>
      </c>
      <c r="I2235" s="20" t="s">
        <v>19</v>
      </c>
      <c r="J2235" s="21">
        <v>184073.0</v>
      </c>
      <c r="K2235" s="21">
        <v>1.0</v>
      </c>
    </row>
    <row r="2236">
      <c r="A2236" s="15" t="s">
        <v>74</v>
      </c>
      <c r="B2236" s="16" t="s">
        <v>203</v>
      </c>
      <c r="C2236" s="17" t="s">
        <v>204</v>
      </c>
      <c r="D2236" s="18">
        <v>3.0</v>
      </c>
      <c r="E2236" s="17" t="s">
        <v>123</v>
      </c>
      <c r="F2236" s="15" t="s">
        <v>124</v>
      </c>
      <c r="G2236" s="19">
        <v>9.0043001E7</v>
      </c>
      <c r="H2236" s="15" t="s">
        <v>18</v>
      </c>
      <c r="I2236" s="20" t="s">
        <v>19</v>
      </c>
      <c r="J2236" s="21">
        <v>2492171.0</v>
      </c>
      <c r="K2236" s="21">
        <v>15.0</v>
      </c>
    </row>
    <row r="2237">
      <c r="A2237" s="15" t="s">
        <v>74</v>
      </c>
      <c r="B2237" s="16" t="s">
        <v>203</v>
      </c>
      <c r="C2237" s="17" t="s">
        <v>204</v>
      </c>
      <c r="D2237" s="18">
        <v>3.0</v>
      </c>
      <c r="E2237" s="17" t="s">
        <v>125</v>
      </c>
      <c r="F2237" s="15" t="s">
        <v>126</v>
      </c>
      <c r="G2237" s="19">
        <v>9.0043001E7</v>
      </c>
      <c r="H2237" s="15" t="s">
        <v>18</v>
      </c>
      <c r="I2237" s="20" t="s">
        <v>19</v>
      </c>
      <c r="J2237" s="21">
        <v>1.74236284E8</v>
      </c>
      <c r="K2237" s="21">
        <v>1084.0</v>
      </c>
    </row>
    <row r="2238">
      <c r="A2238" s="15" t="s">
        <v>74</v>
      </c>
      <c r="B2238" s="16" t="s">
        <v>203</v>
      </c>
      <c r="C2238" s="17" t="s">
        <v>204</v>
      </c>
      <c r="D2238" s="18">
        <v>3.0</v>
      </c>
      <c r="E2238" s="17" t="s">
        <v>127</v>
      </c>
      <c r="F2238" s="15" t="s">
        <v>128</v>
      </c>
      <c r="G2238" s="19">
        <v>5.1100153E7</v>
      </c>
      <c r="H2238" s="15" t="s">
        <v>72</v>
      </c>
      <c r="I2238" s="20" t="s">
        <v>17</v>
      </c>
      <c r="J2238" s="21">
        <v>2.5048264E7</v>
      </c>
      <c r="K2238" s="21">
        <v>269670.0</v>
      </c>
    </row>
    <row r="2239">
      <c r="A2239" s="15" t="s">
        <v>74</v>
      </c>
      <c r="B2239" s="16" t="s">
        <v>203</v>
      </c>
      <c r="C2239" s="17" t="s">
        <v>204</v>
      </c>
      <c r="D2239" s="18">
        <v>3.0</v>
      </c>
      <c r="E2239" s="17" t="s">
        <v>127</v>
      </c>
      <c r="F2239" s="15" t="s">
        <v>128</v>
      </c>
      <c r="G2239" s="19">
        <v>9.0043001E7</v>
      </c>
      <c r="H2239" s="15" t="s">
        <v>18</v>
      </c>
      <c r="I2239" s="20" t="s">
        <v>19</v>
      </c>
      <c r="J2239" s="21">
        <v>3.2848581E7</v>
      </c>
      <c r="K2239" s="21">
        <v>202.6</v>
      </c>
    </row>
    <row r="2240">
      <c r="A2240" s="15" t="s">
        <v>74</v>
      </c>
      <c r="B2240" s="16" t="s">
        <v>203</v>
      </c>
      <c r="C2240" s="17" t="s">
        <v>204</v>
      </c>
      <c r="D2240" s="18">
        <v>3.0</v>
      </c>
      <c r="E2240" s="17" t="s">
        <v>127</v>
      </c>
      <c r="F2240" s="15" t="s">
        <v>128</v>
      </c>
      <c r="G2240" s="19">
        <v>9.0043002E7</v>
      </c>
      <c r="H2240" s="15" t="s">
        <v>49</v>
      </c>
      <c r="I2240" s="20" t="s">
        <v>50</v>
      </c>
      <c r="J2240" s="21">
        <v>1.34793805E8</v>
      </c>
      <c r="K2240" s="21">
        <v>5890.0</v>
      </c>
    </row>
    <row r="2241">
      <c r="A2241" s="15" t="s">
        <v>74</v>
      </c>
      <c r="B2241" s="16" t="s">
        <v>203</v>
      </c>
      <c r="C2241" s="17" t="s">
        <v>204</v>
      </c>
      <c r="D2241" s="18">
        <v>3.0</v>
      </c>
      <c r="E2241" s="17" t="s">
        <v>127</v>
      </c>
      <c r="F2241" s="15" t="s">
        <v>128</v>
      </c>
      <c r="G2241" s="19">
        <v>9.0043E7</v>
      </c>
      <c r="H2241" s="15" t="s">
        <v>83</v>
      </c>
      <c r="I2241" s="20" t="s">
        <v>19</v>
      </c>
      <c r="J2241" s="21">
        <v>386554.0</v>
      </c>
      <c r="K2241" s="21">
        <v>2.1</v>
      </c>
    </row>
    <row r="2242">
      <c r="A2242" s="15" t="s">
        <v>74</v>
      </c>
      <c r="B2242" s="16" t="s">
        <v>203</v>
      </c>
      <c r="C2242" s="17" t="s">
        <v>204</v>
      </c>
      <c r="D2242" s="18">
        <v>3.0</v>
      </c>
      <c r="E2242" s="17" t="s">
        <v>129</v>
      </c>
      <c r="F2242" s="15" t="s">
        <v>130</v>
      </c>
      <c r="G2242" s="19">
        <v>5.1101056E7</v>
      </c>
      <c r="H2242" s="15" t="s">
        <v>16</v>
      </c>
      <c r="I2242" s="20" t="s">
        <v>17</v>
      </c>
      <c r="J2242" s="21">
        <v>6.7421548E7</v>
      </c>
      <c r="K2242" s="21">
        <v>241880.0</v>
      </c>
    </row>
    <row r="2243">
      <c r="A2243" s="15" t="s">
        <v>74</v>
      </c>
      <c r="B2243" s="16" t="s">
        <v>203</v>
      </c>
      <c r="C2243" s="17" t="s">
        <v>204</v>
      </c>
      <c r="D2243" s="18">
        <v>3.0</v>
      </c>
      <c r="E2243" s="17" t="s">
        <v>129</v>
      </c>
      <c r="F2243" s="15" t="s">
        <v>130</v>
      </c>
      <c r="G2243" s="19">
        <v>9.0043001E7</v>
      </c>
      <c r="H2243" s="15" t="s">
        <v>18</v>
      </c>
      <c r="I2243" s="20" t="s">
        <v>19</v>
      </c>
      <c r="J2243" s="21">
        <v>8034033.0</v>
      </c>
      <c r="K2243" s="21">
        <v>46.0</v>
      </c>
    </row>
    <row r="2244">
      <c r="A2244" s="15" t="s">
        <v>74</v>
      </c>
      <c r="B2244" s="16" t="s">
        <v>203</v>
      </c>
      <c r="C2244" s="17" t="s">
        <v>204</v>
      </c>
      <c r="D2244" s="18">
        <v>3.0</v>
      </c>
      <c r="E2244" s="17" t="s">
        <v>129</v>
      </c>
      <c r="F2244" s="15" t="s">
        <v>130</v>
      </c>
      <c r="G2244" s="19">
        <v>9.0043003E7</v>
      </c>
      <c r="H2244" s="15" t="s">
        <v>90</v>
      </c>
      <c r="I2244" s="20" t="s">
        <v>50</v>
      </c>
      <c r="J2244" s="21">
        <v>1.4270949E7</v>
      </c>
      <c r="K2244" s="21">
        <v>63.0</v>
      </c>
    </row>
    <row r="2245">
      <c r="A2245" s="15" t="s">
        <v>74</v>
      </c>
      <c r="B2245" s="16" t="s">
        <v>203</v>
      </c>
      <c r="C2245" s="17" t="s">
        <v>204</v>
      </c>
      <c r="D2245" s="18">
        <v>3.0</v>
      </c>
      <c r="E2245" s="17" t="s">
        <v>131</v>
      </c>
      <c r="F2245" s="15" t="s">
        <v>132</v>
      </c>
      <c r="G2245" s="19">
        <v>9.0043001E7</v>
      </c>
      <c r="H2245" s="15" t="s">
        <v>18</v>
      </c>
      <c r="I2245" s="20" t="s">
        <v>19</v>
      </c>
      <c r="J2245" s="21">
        <v>1580590.0</v>
      </c>
      <c r="K2245" s="21">
        <v>8.7</v>
      </c>
    </row>
    <row r="2246">
      <c r="A2246" s="15" t="s">
        <v>74</v>
      </c>
      <c r="B2246" s="16" t="s">
        <v>203</v>
      </c>
      <c r="C2246" s="17" t="s">
        <v>204</v>
      </c>
      <c r="D2246" s="18">
        <v>3.0</v>
      </c>
      <c r="E2246" s="17" t="s">
        <v>135</v>
      </c>
      <c r="F2246" s="15" t="s">
        <v>136</v>
      </c>
      <c r="G2246" s="19">
        <v>9.0043001E7</v>
      </c>
      <c r="H2246" s="15" t="s">
        <v>18</v>
      </c>
      <c r="I2246" s="20" t="s">
        <v>19</v>
      </c>
      <c r="J2246" s="21">
        <v>3.8016232E7</v>
      </c>
      <c r="K2246" s="21">
        <v>236.0</v>
      </c>
    </row>
    <row r="2247">
      <c r="A2247" s="15" t="s">
        <v>74</v>
      </c>
      <c r="B2247" s="16" t="s">
        <v>203</v>
      </c>
      <c r="C2247" s="17" t="s">
        <v>204</v>
      </c>
      <c r="D2247" s="18">
        <v>3.0</v>
      </c>
      <c r="E2247" s="17" t="s">
        <v>162</v>
      </c>
      <c r="F2247" s="15" t="s">
        <v>163</v>
      </c>
      <c r="G2247" s="19">
        <v>9.0043001E7</v>
      </c>
      <c r="H2247" s="15" t="s">
        <v>18</v>
      </c>
      <c r="I2247" s="20" t="s">
        <v>19</v>
      </c>
      <c r="J2247" s="21">
        <v>2252715.0</v>
      </c>
      <c r="K2247" s="21">
        <v>13.3</v>
      </c>
    </row>
    <row r="2248">
      <c r="A2248" s="15" t="s">
        <v>74</v>
      </c>
      <c r="B2248" s="16" t="s">
        <v>203</v>
      </c>
      <c r="C2248" s="17" t="s">
        <v>204</v>
      </c>
      <c r="D2248" s="18">
        <v>3.0</v>
      </c>
      <c r="E2248" s="17" t="s">
        <v>162</v>
      </c>
      <c r="F2248" s="15" t="s">
        <v>163</v>
      </c>
      <c r="G2248" s="19">
        <v>9.0043E7</v>
      </c>
      <c r="H2248" s="15" t="s">
        <v>83</v>
      </c>
      <c r="I2248" s="20" t="s">
        <v>19</v>
      </c>
      <c r="J2248" s="21">
        <v>1.0947207E7</v>
      </c>
      <c r="K2248" s="21">
        <v>63.3</v>
      </c>
    </row>
    <row r="2249">
      <c r="A2249" s="15" t="s">
        <v>74</v>
      </c>
      <c r="B2249" s="16" t="s">
        <v>203</v>
      </c>
      <c r="C2249" s="17" t="s">
        <v>204</v>
      </c>
      <c r="D2249" s="18">
        <v>3.0</v>
      </c>
      <c r="E2249" s="17" t="s">
        <v>54</v>
      </c>
      <c r="F2249" s="15" t="s">
        <v>139</v>
      </c>
      <c r="G2249" s="19">
        <v>9.0042011E7</v>
      </c>
      <c r="H2249" s="15" t="s">
        <v>55</v>
      </c>
      <c r="I2249" s="20" t="s">
        <v>19</v>
      </c>
      <c r="J2249" s="21">
        <v>1.21829927E8</v>
      </c>
      <c r="K2249" s="21">
        <v>0.0</v>
      </c>
    </row>
    <row r="2250">
      <c r="A2250" s="15" t="s">
        <v>74</v>
      </c>
      <c r="B2250" s="16" t="s">
        <v>203</v>
      </c>
      <c r="C2250" s="17" t="s">
        <v>204</v>
      </c>
      <c r="D2250" s="18">
        <v>3.0</v>
      </c>
      <c r="E2250" s="17" t="s">
        <v>20</v>
      </c>
      <c r="F2250" s="15" t="s">
        <v>140</v>
      </c>
      <c r="G2250" s="19">
        <v>9.0042014E7</v>
      </c>
      <c r="H2250" s="15" t="s">
        <v>21</v>
      </c>
      <c r="I2250" s="20" t="s">
        <v>19</v>
      </c>
      <c r="J2250" s="21">
        <v>2.58791864E8</v>
      </c>
      <c r="K2250" s="21">
        <v>0.0</v>
      </c>
    </row>
    <row r="2251">
      <c r="A2251" s="15" t="s">
        <v>74</v>
      </c>
      <c r="B2251" s="16" t="s">
        <v>203</v>
      </c>
      <c r="C2251" s="17" t="s">
        <v>204</v>
      </c>
      <c r="D2251" s="18">
        <v>3.0</v>
      </c>
      <c r="E2251" s="17" t="s">
        <v>20</v>
      </c>
      <c r="F2251" s="15" t="s">
        <v>140</v>
      </c>
      <c r="G2251" s="19">
        <v>9.0042077E7</v>
      </c>
      <c r="H2251" s="15" t="s">
        <v>141</v>
      </c>
      <c r="I2251" s="20" t="s">
        <v>19</v>
      </c>
      <c r="J2251" s="21">
        <v>3.4425335E7</v>
      </c>
      <c r="K2251" s="21">
        <v>0.0</v>
      </c>
    </row>
    <row r="2252">
      <c r="A2252" s="15" t="s">
        <v>74</v>
      </c>
      <c r="B2252" s="16" t="s">
        <v>203</v>
      </c>
      <c r="C2252" s="17" t="s">
        <v>204</v>
      </c>
      <c r="D2252" s="18">
        <v>3.0</v>
      </c>
      <c r="E2252" s="17" t="s">
        <v>142</v>
      </c>
      <c r="F2252" s="15" t="s">
        <v>143</v>
      </c>
      <c r="G2252" s="19">
        <v>9.0042013E7</v>
      </c>
      <c r="H2252" s="15" t="s">
        <v>144</v>
      </c>
      <c r="I2252" s="20" t="s">
        <v>19</v>
      </c>
      <c r="J2252" s="21">
        <v>8448622.0</v>
      </c>
      <c r="K2252" s="21">
        <v>0.0</v>
      </c>
    </row>
    <row r="2253">
      <c r="A2253" s="15" t="s">
        <v>74</v>
      </c>
      <c r="B2253" s="16" t="s">
        <v>203</v>
      </c>
      <c r="C2253" s="17" t="s">
        <v>204</v>
      </c>
      <c r="D2253" s="18">
        <v>3.0</v>
      </c>
      <c r="E2253" s="17" t="s">
        <v>142</v>
      </c>
      <c r="F2253" s="15" t="s">
        <v>143</v>
      </c>
      <c r="G2253" s="19">
        <v>9.0042084E7</v>
      </c>
      <c r="H2253" s="15" t="s">
        <v>145</v>
      </c>
      <c r="I2253" s="20" t="s">
        <v>19</v>
      </c>
      <c r="J2253" s="21">
        <v>4527725.0</v>
      </c>
      <c r="K2253" s="21">
        <v>0.0</v>
      </c>
    </row>
    <row r="2254">
      <c r="A2254" s="15" t="s">
        <v>74</v>
      </c>
      <c r="B2254" s="16" t="s">
        <v>203</v>
      </c>
      <c r="C2254" s="17" t="s">
        <v>204</v>
      </c>
      <c r="D2254" s="18">
        <v>3.0</v>
      </c>
      <c r="E2254" s="17" t="s">
        <v>22</v>
      </c>
      <c r="F2254" s="15" t="s">
        <v>146</v>
      </c>
      <c r="G2254" s="19">
        <v>9.0042012E7</v>
      </c>
      <c r="H2254" s="15" t="s">
        <v>23</v>
      </c>
      <c r="I2254" s="20" t="s">
        <v>19</v>
      </c>
      <c r="J2254" s="21">
        <v>1.0622321E8</v>
      </c>
      <c r="K2254" s="21">
        <v>0.0</v>
      </c>
    </row>
    <row r="2255">
      <c r="A2255" s="15" t="s">
        <v>74</v>
      </c>
      <c r="B2255" s="16" t="s">
        <v>203</v>
      </c>
      <c r="C2255" s="17" t="s">
        <v>204</v>
      </c>
      <c r="D2255" s="18">
        <v>3.0</v>
      </c>
      <c r="E2255" s="17" t="s">
        <v>22</v>
      </c>
      <c r="F2255" s="15" t="s">
        <v>146</v>
      </c>
      <c r="G2255" s="19">
        <v>9.0042121E7</v>
      </c>
      <c r="H2255" s="15" t="s">
        <v>24</v>
      </c>
      <c r="I2255" s="20" t="s">
        <v>25</v>
      </c>
      <c r="J2255" s="21">
        <v>1.48708196E8</v>
      </c>
      <c r="K2255" s="21">
        <v>0.0</v>
      </c>
    </row>
    <row r="2256">
      <c r="A2256" s="15" t="s">
        <v>74</v>
      </c>
      <c r="B2256" s="16" t="s">
        <v>203</v>
      </c>
      <c r="C2256" s="17" t="s">
        <v>204</v>
      </c>
      <c r="D2256" s="18">
        <v>3.0</v>
      </c>
      <c r="E2256" s="17" t="s">
        <v>22</v>
      </c>
      <c r="F2256" s="15" t="s">
        <v>146</v>
      </c>
      <c r="G2256" s="19">
        <v>9.0042122E7</v>
      </c>
      <c r="H2256" s="15" t="s">
        <v>56</v>
      </c>
      <c r="I2256" s="20" t="s">
        <v>25</v>
      </c>
      <c r="J2256" s="21">
        <v>5.3780018E7</v>
      </c>
      <c r="K2256" s="21">
        <v>0.0</v>
      </c>
    </row>
    <row r="2257">
      <c r="A2257" s="15" t="s">
        <v>74</v>
      </c>
      <c r="B2257" s="16" t="s">
        <v>203</v>
      </c>
      <c r="C2257" s="17" t="s">
        <v>204</v>
      </c>
      <c r="D2257" s="18">
        <v>3.0</v>
      </c>
      <c r="E2257" s="17" t="s">
        <v>22</v>
      </c>
      <c r="F2257" s="15" t="s">
        <v>146</v>
      </c>
      <c r="G2257" s="19">
        <v>9.0042125E7</v>
      </c>
      <c r="H2257" s="15" t="s">
        <v>26</v>
      </c>
      <c r="I2257" s="20" t="s">
        <v>25</v>
      </c>
      <c r="J2257" s="21">
        <v>6.8302896E7</v>
      </c>
      <c r="K2257" s="21">
        <v>0.0</v>
      </c>
    </row>
    <row r="2258">
      <c r="A2258" s="15" t="s">
        <v>74</v>
      </c>
      <c r="B2258" s="16" t="s">
        <v>203</v>
      </c>
      <c r="C2258" s="17" t="s">
        <v>204</v>
      </c>
      <c r="D2258" s="18">
        <v>3.0</v>
      </c>
      <c r="E2258" s="17" t="s">
        <v>22</v>
      </c>
      <c r="F2258" s="15" t="s">
        <v>146</v>
      </c>
      <c r="G2258" s="19">
        <v>9.0042127E7</v>
      </c>
      <c r="H2258" s="15" t="s">
        <v>27</v>
      </c>
      <c r="I2258" s="20" t="s">
        <v>25</v>
      </c>
      <c r="J2258" s="21">
        <v>8735374.0</v>
      </c>
      <c r="K2258" s="21">
        <v>0.0</v>
      </c>
    </row>
    <row r="2259">
      <c r="A2259" s="15" t="s">
        <v>74</v>
      </c>
      <c r="B2259" s="16" t="s">
        <v>203</v>
      </c>
      <c r="C2259" s="17" t="s">
        <v>204</v>
      </c>
      <c r="D2259" s="18">
        <v>3.0</v>
      </c>
      <c r="E2259" s="17" t="s">
        <v>22</v>
      </c>
      <c r="F2259" s="15" t="s">
        <v>146</v>
      </c>
      <c r="G2259" s="19">
        <v>9.0042134E7</v>
      </c>
      <c r="H2259" s="15" t="s">
        <v>29</v>
      </c>
      <c r="I2259" s="20" t="s">
        <v>25</v>
      </c>
      <c r="J2259" s="21">
        <v>900000.0</v>
      </c>
      <c r="K2259" s="21">
        <v>0.0</v>
      </c>
    </row>
    <row r="2260">
      <c r="A2260" s="15" t="s">
        <v>74</v>
      </c>
      <c r="B2260" s="16" t="s">
        <v>203</v>
      </c>
      <c r="C2260" s="17" t="s">
        <v>204</v>
      </c>
      <c r="D2260" s="18">
        <v>3.0</v>
      </c>
      <c r="E2260" s="17" t="s">
        <v>22</v>
      </c>
      <c r="F2260" s="15" t="s">
        <v>146</v>
      </c>
      <c r="G2260" s="19">
        <v>9.0042135E7</v>
      </c>
      <c r="H2260" s="15" t="s">
        <v>30</v>
      </c>
      <c r="I2260" s="20" t="s">
        <v>25</v>
      </c>
      <c r="J2260" s="21">
        <v>2.45161451E8</v>
      </c>
      <c r="K2260" s="21">
        <v>0.0</v>
      </c>
    </row>
    <row r="2261">
      <c r="A2261" s="15" t="s">
        <v>74</v>
      </c>
      <c r="B2261" s="16" t="s">
        <v>203</v>
      </c>
      <c r="C2261" s="17" t="s">
        <v>204</v>
      </c>
      <c r="D2261" s="18">
        <v>3.0</v>
      </c>
      <c r="E2261" s="17" t="s">
        <v>22</v>
      </c>
      <c r="F2261" s="15" t="s">
        <v>146</v>
      </c>
      <c r="G2261" s="19">
        <v>9.00422E7</v>
      </c>
      <c r="H2261" s="15" t="s">
        <v>73</v>
      </c>
      <c r="I2261" s="20" t="s">
        <v>60</v>
      </c>
      <c r="J2261" s="21">
        <v>1.39650881E8</v>
      </c>
      <c r="K2261" s="21">
        <v>0.0</v>
      </c>
    </row>
    <row r="2262">
      <c r="A2262" s="15" t="s">
        <v>74</v>
      </c>
      <c r="B2262" s="16" t="s">
        <v>203</v>
      </c>
      <c r="C2262" s="17" t="s">
        <v>204</v>
      </c>
      <c r="D2262" s="18">
        <v>3.0</v>
      </c>
      <c r="E2262" s="17" t="s">
        <v>22</v>
      </c>
      <c r="F2262" s="15" t="s">
        <v>146</v>
      </c>
      <c r="G2262" s="19">
        <v>9.0042223E7</v>
      </c>
      <c r="H2262" s="15" t="s">
        <v>61</v>
      </c>
      <c r="I2262" s="20" t="s">
        <v>60</v>
      </c>
      <c r="J2262" s="21">
        <v>6647720.0</v>
      </c>
      <c r="K2262" s="21">
        <v>0.0</v>
      </c>
    </row>
    <row r="2263">
      <c r="A2263" s="15" t="s">
        <v>74</v>
      </c>
      <c r="B2263" s="16" t="s">
        <v>203</v>
      </c>
      <c r="C2263" s="17" t="s">
        <v>204</v>
      </c>
      <c r="D2263" s="18">
        <v>3.0</v>
      </c>
      <c r="E2263" s="17" t="s">
        <v>22</v>
      </c>
      <c r="F2263" s="15" t="s">
        <v>146</v>
      </c>
      <c r="G2263" s="19">
        <v>9.0042224E7</v>
      </c>
      <c r="H2263" s="15" t="s">
        <v>62</v>
      </c>
      <c r="I2263" s="20" t="s">
        <v>60</v>
      </c>
      <c r="J2263" s="21">
        <v>1130302.0</v>
      </c>
      <c r="K2263" s="21">
        <v>0.0</v>
      </c>
    </row>
    <row r="2264">
      <c r="A2264" s="15" t="s">
        <v>74</v>
      </c>
      <c r="B2264" s="16" t="s">
        <v>203</v>
      </c>
      <c r="C2264" s="17" t="s">
        <v>204</v>
      </c>
      <c r="D2264" s="18">
        <v>3.0</v>
      </c>
      <c r="E2264" s="17" t="s">
        <v>22</v>
      </c>
      <c r="F2264" s="15" t="s">
        <v>146</v>
      </c>
      <c r="G2264" s="19">
        <v>9.0042226E7</v>
      </c>
      <c r="H2264" s="15" t="s">
        <v>63</v>
      </c>
      <c r="I2264" s="20" t="s">
        <v>60</v>
      </c>
      <c r="J2264" s="21">
        <v>2065112.0</v>
      </c>
      <c r="K2264" s="21">
        <v>0.0</v>
      </c>
    </row>
    <row r="2265">
      <c r="A2265" s="15" t="s">
        <v>74</v>
      </c>
      <c r="B2265" s="16" t="s">
        <v>203</v>
      </c>
      <c r="C2265" s="17" t="s">
        <v>204</v>
      </c>
      <c r="D2265" s="18">
        <v>3.0</v>
      </c>
      <c r="E2265" s="17" t="s">
        <v>22</v>
      </c>
      <c r="F2265" s="15" t="s">
        <v>146</v>
      </c>
      <c r="G2265" s="19">
        <v>9.0042228E7</v>
      </c>
      <c r="H2265" s="15" t="s">
        <v>64</v>
      </c>
      <c r="I2265" s="20" t="s">
        <v>60</v>
      </c>
      <c r="J2265" s="21">
        <v>9.5889076E7</v>
      </c>
      <c r="K2265" s="21">
        <v>0.0</v>
      </c>
    </row>
    <row r="2266">
      <c r="A2266" s="15" t="s">
        <v>74</v>
      </c>
      <c r="B2266" s="16" t="s">
        <v>203</v>
      </c>
      <c r="C2266" s="17" t="s">
        <v>204</v>
      </c>
      <c r="D2266" s="18">
        <v>3.0</v>
      </c>
      <c r="E2266" s="17" t="s">
        <v>22</v>
      </c>
      <c r="F2266" s="15" t="s">
        <v>146</v>
      </c>
      <c r="G2266" s="19">
        <v>9.0042231E7</v>
      </c>
      <c r="H2266" s="15" t="s">
        <v>65</v>
      </c>
      <c r="I2266" s="20" t="s">
        <v>60</v>
      </c>
      <c r="J2266" s="21">
        <v>2182516.0</v>
      </c>
      <c r="K2266" s="21">
        <v>0.0</v>
      </c>
    </row>
    <row r="2267">
      <c r="A2267" s="15" t="s">
        <v>74</v>
      </c>
      <c r="B2267" s="16" t="s">
        <v>203</v>
      </c>
      <c r="C2267" s="17" t="s">
        <v>204</v>
      </c>
      <c r="D2267" s="18">
        <v>3.0</v>
      </c>
      <c r="E2267" s="17" t="s">
        <v>22</v>
      </c>
      <c r="F2267" s="15" t="s">
        <v>146</v>
      </c>
      <c r="G2267" s="19">
        <v>9.0042126E7</v>
      </c>
      <c r="H2267" s="15" t="s">
        <v>31</v>
      </c>
      <c r="I2267" s="20" t="s">
        <v>25</v>
      </c>
      <c r="J2267" s="21">
        <v>3.032926E7</v>
      </c>
      <c r="K2267" s="21">
        <v>0.0</v>
      </c>
    </row>
    <row r="2268">
      <c r="A2268" s="15" t="s">
        <v>74</v>
      </c>
      <c r="B2268" s="16" t="s">
        <v>203</v>
      </c>
      <c r="C2268" s="17" t="s">
        <v>204</v>
      </c>
      <c r="D2268" s="18">
        <v>3.0</v>
      </c>
      <c r="E2268" s="17" t="s">
        <v>22</v>
      </c>
      <c r="F2268" s="15" t="s">
        <v>146</v>
      </c>
      <c r="G2268" s="19">
        <v>9.004212E7</v>
      </c>
      <c r="H2268" s="15" t="s">
        <v>182</v>
      </c>
      <c r="I2268" s="20" t="s">
        <v>25</v>
      </c>
      <c r="J2268" s="21">
        <v>8.3088E7</v>
      </c>
      <c r="K2268" s="21">
        <v>0.0</v>
      </c>
    </row>
    <row r="2269">
      <c r="A2269" s="15" t="s">
        <v>74</v>
      </c>
      <c r="B2269" s="16" t="s">
        <v>203</v>
      </c>
      <c r="C2269" s="17" t="s">
        <v>204</v>
      </c>
      <c r="D2269" s="18">
        <v>3.0</v>
      </c>
      <c r="E2269" s="17" t="s">
        <v>250</v>
      </c>
      <c r="F2269" s="15" t="s">
        <v>251</v>
      </c>
      <c r="G2269" s="19">
        <v>9.0043001E7</v>
      </c>
      <c r="H2269" s="15" t="s">
        <v>18</v>
      </c>
      <c r="I2269" s="20" t="s">
        <v>19</v>
      </c>
      <c r="J2269" s="21">
        <v>254066.0</v>
      </c>
      <c r="K2269" s="21">
        <v>1.5</v>
      </c>
    </row>
    <row r="2270">
      <c r="A2270" s="15" t="s">
        <v>74</v>
      </c>
      <c r="B2270" s="16" t="s">
        <v>203</v>
      </c>
      <c r="C2270" s="17" t="s">
        <v>204</v>
      </c>
      <c r="D2270" s="18">
        <v>3.0</v>
      </c>
      <c r="E2270" s="17" t="s">
        <v>250</v>
      </c>
      <c r="F2270" s="15" t="s">
        <v>251</v>
      </c>
      <c r="G2270" s="19">
        <v>9.0043E7</v>
      </c>
      <c r="H2270" s="15" t="s">
        <v>83</v>
      </c>
      <c r="I2270" s="20" t="s">
        <v>19</v>
      </c>
      <c r="J2270" s="21">
        <v>184073.0</v>
      </c>
      <c r="K2270" s="21">
        <v>1.0</v>
      </c>
    </row>
    <row r="2271">
      <c r="A2271" s="15" t="s">
        <v>74</v>
      </c>
      <c r="B2271" s="16" t="s">
        <v>203</v>
      </c>
      <c r="C2271" s="17" t="s">
        <v>204</v>
      </c>
      <c r="D2271" s="18">
        <v>3.0</v>
      </c>
      <c r="E2271" s="17" t="s">
        <v>269</v>
      </c>
      <c r="F2271" s="15" t="s">
        <v>270</v>
      </c>
      <c r="G2271" s="19">
        <v>9.0043001E7</v>
      </c>
      <c r="H2271" s="15" t="s">
        <v>18</v>
      </c>
      <c r="I2271" s="20" t="s">
        <v>19</v>
      </c>
      <c r="J2271" s="21">
        <v>3029056.0</v>
      </c>
      <c r="K2271" s="21">
        <v>19.0</v>
      </c>
    </row>
    <row r="2272">
      <c r="A2272" s="15" t="s">
        <v>74</v>
      </c>
      <c r="B2272" s="16" t="s">
        <v>203</v>
      </c>
      <c r="C2272" s="17" t="s">
        <v>204</v>
      </c>
      <c r="D2272" s="18">
        <v>3.0</v>
      </c>
      <c r="E2272" s="17" t="s">
        <v>201</v>
      </c>
      <c r="F2272" s="15" t="s">
        <v>202</v>
      </c>
      <c r="G2272" s="19">
        <v>5.1100058E7</v>
      </c>
      <c r="H2272" s="15" t="s">
        <v>36</v>
      </c>
      <c r="I2272" s="20" t="s">
        <v>37</v>
      </c>
      <c r="J2272" s="21">
        <v>744293.0</v>
      </c>
      <c r="K2272" s="21">
        <v>12.0</v>
      </c>
    </row>
    <row r="2273">
      <c r="A2273" s="15" t="s">
        <v>74</v>
      </c>
      <c r="B2273" s="16" t="s">
        <v>203</v>
      </c>
      <c r="C2273" s="17" t="s">
        <v>204</v>
      </c>
      <c r="D2273" s="18">
        <v>3.0</v>
      </c>
      <c r="E2273" s="17" t="s">
        <v>218</v>
      </c>
      <c r="F2273" s="15" t="s">
        <v>219</v>
      </c>
      <c r="G2273" s="19">
        <v>9.0043001E7</v>
      </c>
      <c r="H2273" s="15" t="s">
        <v>18</v>
      </c>
      <c r="I2273" s="20" t="s">
        <v>19</v>
      </c>
      <c r="J2273" s="21">
        <v>338754.0</v>
      </c>
      <c r="K2273" s="21">
        <v>2.0</v>
      </c>
    </row>
    <row r="2274">
      <c r="A2274" s="15" t="s">
        <v>74</v>
      </c>
      <c r="B2274" s="16" t="s">
        <v>203</v>
      </c>
      <c r="C2274" s="17" t="s">
        <v>204</v>
      </c>
      <c r="D2274" s="18">
        <v>3.0</v>
      </c>
      <c r="E2274" s="17" t="s">
        <v>290</v>
      </c>
      <c r="F2274" s="15" t="s">
        <v>291</v>
      </c>
      <c r="G2274" s="19">
        <v>9.0043001E7</v>
      </c>
      <c r="H2274" s="15" t="s">
        <v>18</v>
      </c>
      <c r="I2274" s="20" t="s">
        <v>19</v>
      </c>
      <c r="J2274" s="21">
        <v>338754.0</v>
      </c>
      <c r="K2274" s="21">
        <v>2.0</v>
      </c>
    </row>
    <row r="2275">
      <c r="A2275" s="15" t="s">
        <v>74</v>
      </c>
      <c r="B2275" s="16" t="s">
        <v>203</v>
      </c>
      <c r="C2275" s="17" t="s">
        <v>204</v>
      </c>
      <c r="D2275" s="18">
        <v>3.0</v>
      </c>
      <c r="E2275" s="17" t="s">
        <v>290</v>
      </c>
      <c r="F2275" s="15" t="s">
        <v>291</v>
      </c>
      <c r="G2275" s="19">
        <v>9.0043E7</v>
      </c>
      <c r="H2275" s="15" t="s">
        <v>83</v>
      </c>
      <c r="I2275" s="20" t="s">
        <v>19</v>
      </c>
      <c r="J2275" s="21">
        <v>147258.0</v>
      </c>
      <c r="K2275" s="21">
        <v>0.8</v>
      </c>
    </row>
    <row r="2276">
      <c r="A2276" s="15" t="s">
        <v>74</v>
      </c>
      <c r="B2276" s="16" t="s">
        <v>212</v>
      </c>
      <c r="C2276" s="17" t="s">
        <v>213</v>
      </c>
      <c r="D2276" s="18">
        <v>3.0</v>
      </c>
      <c r="E2276" s="17" t="s">
        <v>222</v>
      </c>
      <c r="F2276" s="15" t="s">
        <v>223</v>
      </c>
      <c r="G2276" s="19">
        <v>5.1100153E7</v>
      </c>
      <c r="H2276" s="15" t="s">
        <v>72</v>
      </c>
      <c r="I2276" s="20" t="s">
        <v>17</v>
      </c>
      <c r="J2276" s="21">
        <v>360770.0</v>
      </c>
      <c r="K2276" s="21">
        <v>430.0</v>
      </c>
    </row>
    <row r="2277">
      <c r="A2277" s="15" t="s">
        <v>74</v>
      </c>
      <c r="B2277" s="16" t="s">
        <v>212</v>
      </c>
      <c r="C2277" s="17" t="s">
        <v>213</v>
      </c>
      <c r="D2277" s="18">
        <v>3.0</v>
      </c>
      <c r="E2277" s="17" t="s">
        <v>222</v>
      </c>
      <c r="F2277" s="15" t="s">
        <v>223</v>
      </c>
      <c r="G2277" s="19">
        <v>5.1101056E7</v>
      </c>
      <c r="H2277" s="15" t="s">
        <v>16</v>
      </c>
      <c r="I2277" s="20" t="s">
        <v>25</v>
      </c>
      <c r="J2277" s="21">
        <v>0.0</v>
      </c>
      <c r="K2277" s="21">
        <v>0.0</v>
      </c>
    </row>
    <row r="2278">
      <c r="A2278" s="15" t="s">
        <v>74</v>
      </c>
      <c r="B2278" s="16" t="s">
        <v>212</v>
      </c>
      <c r="C2278" s="17" t="s">
        <v>213</v>
      </c>
      <c r="D2278" s="18">
        <v>3.0</v>
      </c>
      <c r="E2278" s="17" t="s">
        <v>84</v>
      </c>
      <c r="F2278" s="15" t="s">
        <v>85</v>
      </c>
      <c r="G2278" s="19">
        <v>9.0043001E7</v>
      </c>
      <c r="H2278" s="15" t="s">
        <v>18</v>
      </c>
      <c r="I2278" s="20" t="s">
        <v>19</v>
      </c>
      <c r="J2278" s="21">
        <v>2.1951603E7</v>
      </c>
      <c r="K2278" s="21">
        <v>132.0</v>
      </c>
    </row>
    <row r="2279">
      <c r="A2279" s="15" t="s">
        <v>74</v>
      </c>
      <c r="B2279" s="16" t="s">
        <v>212</v>
      </c>
      <c r="C2279" s="17" t="s">
        <v>213</v>
      </c>
      <c r="D2279" s="18">
        <v>3.0</v>
      </c>
      <c r="E2279" s="17" t="s">
        <v>86</v>
      </c>
      <c r="F2279" s="15" t="s">
        <v>87</v>
      </c>
      <c r="G2279" s="19">
        <v>9.0043001E7</v>
      </c>
      <c r="H2279" s="15" t="s">
        <v>18</v>
      </c>
      <c r="I2279" s="20" t="s">
        <v>19</v>
      </c>
      <c r="J2279" s="21">
        <v>2.0778262E7</v>
      </c>
      <c r="K2279" s="21">
        <v>121.0</v>
      </c>
    </row>
    <row r="2280">
      <c r="A2280" s="15" t="s">
        <v>74</v>
      </c>
      <c r="B2280" s="16" t="s">
        <v>212</v>
      </c>
      <c r="C2280" s="17" t="s">
        <v>213</v>
      </c>
      <c r="D2280" s="18">
        <v>3.0</v>
      </c>
      <c r="E2280" s="17" t="s">
        <v>86</v>
      </c>
      <c r="F2280" s="15" t="s">
        <v>87</v>
      </c>
      <c r="G2280" s="19">
        <v>9.0043002E7</v>
      </c>
      <c r="H2280" s="15" t="s">
        <v>49</v>
      </c>
      <c r="I2280" s="20" t="s">
        <v>50</v>
      </c>
      <c r="J2280" s="21">
        <v>173325.0</v>
      </c>
      <c r="K2280" s="21">
        <v>15.0</v>
      </c>
    </row>
    <row r="2281">
      <c r="A2281" s="15" t="s">
        <v>74</v>
      </c>
      <c r="B2281" s="16" t="s">
        <v>212</v>
      </c>
      <c r="C2281" s="17" t="s">
        <v>213</v>
      </c>
      <c r="D2281" s="18">
        <v>3.0</v>
      </c>
      <c r="E2281" s="17" t="s">
        <v>88</v>
      </c>
      <c r="F2281" s="15" t="s">
        <v>89</v>
      </c>
      <c r="G2281" s="19">
        <v>5.1100102E7</v>
      </c>
      <c r="H2281" s="15" t="s">
        <v>172</v>
      </c>
      <c r="I2281" s="20" t="s">
        <v>25</v>
      </c>
      <c r="J2281" s="21">
        <v>1641942.0</v>
      </c>
      <c r="K2281" s="21">
        <v>0.0</v>
      </c>
    </row>
    <row r="2282">
      <c r="A2282" s="15" t="s">
        <v>74</v>
      </c>
      <c r="B2282" s="16" t="s">
        <v>212</v>
      </c>
      <c r="C2282" s="17" t="s">
        <v>213</v>
      </c>
      <c r="D2282" s="18">
        <v>3.0</v>
      </c>
      <c r="E2282" s="17" t="s">
        <v>91</v>
      </c>
      <c r="F2282" s="15" t="s">
        <v>92</v>
      </c>
      <c r="G2282" s="19">
        <v>9.0043001E7</v>
      </c>
      <c r="H2282" s="15" t="s">
        <v>18</v>
      </c>
      <c r="I2282" s="20" t="s">
        <v>19</v>
      </c>
      <c r="J2282" s="21">
        <v>1953954.0</v>
      </c>
      <c r="K2282" s="21">
        <v>12.0</v>
      </c>
    </row>
    <row r="2283">
      <c r="A2283" s="15" t="s">
        <v>74</v>
      </c>
      <c r="B2283" s="16" t="s">
        <v>212</v>
      </c>
      <c r="C2283" s="17" t="s">
        <v>213</v>
      </c>
      <c r="D2283" s="18">
        <v>3.0</v>
      </c>
      <c r="E2283" s="17" t="s">
        <v>156</v>
      </c>
      <c r="F2283" s="15" t="s">
        <v>157</v>
      </c>
      <c r="G2283" s="19">
        <v>9.0043001E7</v>
      </c>
      <c r="H2283" s="15" t="s">
        <v>18</v>
      </c>
      <c r="I2283" s="20" t="s">
        <v>19</v>
      </c>
      <c r="J2283" s="21">
        <v>2705628.0</v>
      </c>
      <c r="K2283" s="21">
        <v>16.0</v>
      </c>
    </row>
    <row r="2284">
      <c r="A2284" s="15" t="s">
        <v>74</v>
      </c>
      <c r="B2284" s="16" t="s">
        <v>212</v>
      </c>
      <c r="C2284" s="17" t="s">
        <v>213</v>
      </c>
      <c r="D2284" s="18">
        <v>3.0</v>
      </c>
      <c r="E2284" s="17" t="s">
        <v>95</v>
      </c>
      <c r="F2284" s="15" t="s">
        <v>96</v>
      </c>
      <c r="G2284" s="19">
        <v>5.1100058E7</v>
      </c>
      <c r="H2284" s="15" t="s">
        <v>36</v>
      </c>
      <c r="I2284" s="20" t="s">
        <v>37</v>
      </c>
      <c r="J2284" s="21">
        <v>7317002.0</v>
      </c>
      <c r="K2284" s="21">
        <v>100.995</v>
      </c>
    </row>
    <row r="2285">
      <c r="A2285" s="15" t="s">
        <v>74</v>
      </c>
      <c r="B2285" s="16" t="s">
        <v>212</v>
      </c>
      <c r="C2285" s="17" t="s">
        <v>213</v>
      </c>
      <c r="D2285" s="18">
        <v>3.0</v>
      </c>
      <c r="E2285" s="17" t="s">
        <v>95</v>
      </c>
      <c r="F2285" s="15" t="s">
        <v>96</v>
      </c>
      <c r="G2285" s="19">
        <v>9.0043001E7</v>
      </c>
      <c r="H2285" s="15" t="s">
        <v>18</v>
      </c>
      <c r="I2285" s="20" t="s">
        <v>19</v>
      </c>
      <c r="J2285" s="21">
        <v>2.3973708E7</v>
      </c>
      <c r="K2285" s="21">
        <v>147.0</v>
      </c>
    </row>
    <row r="2286">
      <c r="A2286" s="15" t="s">
        <v>74</v>
      </c>
      <c r="B2286" s="16" t="s">
        <v>212</v>
      </c>
      <c r="C2286" s="17" t="s">
        <v>213</v>
      </c>
      <c r="D2286" s="18">
        <v>3.0</v>
      </c>
      <c r="E2286" s="17" t="s">
        <v>97</v>
      </c>
      <c r="F2286" s="15" t="s">
        <v>98</v>
      </c>
      <c r="G2286" s="19">
        <v>9.0043001E7</v>
      </c>
      <c r="H2286" s="15" t="s">
        <v>18</v>
      </c>
      <c r="I2286" s="20" t="s">
        <v>19</v>
      </c>
      <c r="J2286" s="21">
        <v>6262571.0</v>
      </c>
      <c r="K2286" s="21">
        <v>39.0</v>
      </c>
    </row>
    <row r="2287">
      <c r="A2287" s="15" t="s">
        <v>74</v>
      </c>
      <c r="B2287" s="16" t="s">
        <v>212</v>
      </c>
      <c r="C2287" s="17" t="s">
        <v>213</v>
      </c>
      <c r="D2287" s="18">
        <v>3.0</v>
      </c>
      <c r="E2287" s="17" t="s">
        <v>99</v>
      </c>
      <c r="F2287" s="15" t="s">
        <v>100</v>
      </c>
      <c r="G2287" s="19">
        <v>9.0043001E7</v>
      </c>
      <c r="H2287" s="15" t="s">
        <v>18</v>
      </c>
      <c r="I2287" s="20" t="s">
        <v>19</v>
      </c>
      <c r="J2287" s="21">
        <v>1.1228568E7</v>
      </c>
      <c r="K2287" s="21">
        <v>73.0</v>
      </c>
    </row>
    <row r="2288">
      <c r="A2288" s="15" t="s">
        <v>74</v>
      </c>
      <c r="B2288" s="16" t="s">
        <v>212</v>
      </c>
      <c r="C2288" s="17" t="s">
        <v>213</v>
      </c>
      <c r="D2288" s="18">
        <v>3.0</v>
      </c>
      <c r="E2288" s="17" t="s">
        <v>101</v>
      </c>
      <c r="F2288" s="15" t="s">
        <v>102</v>
      </c>
      <c r="G2288" s="19">
        <v>9.0043001E7</v>
      </c>
      <c r="H2288" s="15" t="s">
        <v>18</v>
      </c>
      <c r="I2288" s="20" t="s">
        <v>19</v>
      </c>
      <c r="J2288" s="21">
        <v>4.0135006E7</v>
      </c>
      <c r="K2288" s="21">
        <v>249.0</v>
      </c>
    </row>
    <row r="2289">
      <c r="A2289" s="15" t="s">
        <v>74</v>
      </c>
      <c r="B2289" s="16" t="s">
        <v>212</v>
      </c>
      <c r="C2289" s="17" t="s">
        <v>213</v>
      </c>
      <c r="D2289" s="18">
        <v>3.0</v>
      </c>
      <c r="E2289" s="17" t="s">
        <v>101</v>
      </c>
      <c r="F2289" s="15" t="s">
        <v>102</v>
      </c>
      <c r="G2289" s="19">
        <v>9.0043E7</v>
      </c>
      <c r="H2289" s="15" t="s">
        <v>83</v>
      </c>
      <c r="I2289" s="20" t="s">
        <v>19</v>
      </c>
      <c r="J2289" s="21">
        <v>1953006.0</v>
      </c>
      <c r="K2289" s="21">
        <v>11.0</v>
      </c>
    </row>
    <row r="2290">
      <c r="A2290" s="15" t="s">
        <v>74</v>
      </c>
      <c r="B2290" s="16" t="s">
        <v>212</v>
      </c>
      <c r="C2290" s="17" t="s">
        <v>213</v>
      </c>
      <c r="D2290" s="18">
        <v>3.0</v>
      </c>
      <c r="E2290" s="17" t="s">
        <v>103</v>
      </c>
      <c r="F2290" s="15" t="s">
        <v>104</v>
      </c>
      <c r="G2290" s="19">
        <v>5.1100058E7</v>
      </c>
      <c r="H2290" s="15" t="s">
        <v>36</v>
      </c>
      <c r="I2290" s="20" t="s">
        <v>37</v>
      </c>
      <c r="J2290" s="21">
        <v>2930602.0</v>
      </c>
      <c r="K2290" s="21">
        <v>8.65</v>
      </c>
    </row>
    <row r="2291">
      <c r="A2291" s="15" t="s">
        <v>74</v>
      </c>
      <c r="B2291" s="16" t="s">
        <v>212</v>
      </c>
      <c r="C2291" s="17" t="s">
        <v>213</v>
      </c>
      <c r="D2291" s="18">
        <v>3.0</v>
      </c>
      <c r="E2291" s="17" t="s">
        <v>103</v>
      </c>
      <c r="F2291" s="15" t="s">
        <v>104</v>
      </c>
      <c r="G2291" s="19">
        <v>9.0043001E7</v>
      </c>
      <c r="H2291" s="15" t="s">
        <v>18</v>
      </c>
      <c r="I2291" s="20" t="s">
        <v>19</v>
      </c>
      <c r="J2291" s="21">
        <v>1.9822902E7</v>
      </c>
      <c r="K2291" s="21">
        <v>125.0</v>
      </c>
    </row>
    <row r="2292">
      <c r="A2292" s="15" t="s">
        <v>74</v>
      </c>
      <c r="B2292" s="16" t="s">
        <v>212</v>
      </c>
      <c r="C2292" s="17" t="s">
        <v>213</v>
      </c>
      <c r="D2292" s="18">
        <v>3.0</v>
      </c>
      <c r="E2292" s="17" t="s">
        <v>207</v>
      </c>
      <c r="F2292" s="15" t="s">
        <v>208</v>
      </c>
      <c r="G2292" s="19">
        <v>9.0043001E7</v>
      </c>
      <c r="H2292" s="15" t="s">
        <v>18</v>
      </c>
      <c r="I2292" s="20" t="s">
        <v>19</v>
      </c>
      <c r="J2292" s="21">
        <v>4651036.0</v>
      </c>
      <c r="K2292" s="21">
        <v>27.0</v>
      </c>
    </row>
    <row r="2293">
      <c r="A2293" s="15" t="s">
        <v>74</v>
      </c>
      <c r="B2293" s="16" t="s">
        <v>212</v>
      </c>
      <c r="C2293" s="17" t="s">
        <v>213</v>
      </c>
      <c r="D2293" s="18">
        <v>3.0</v>
      </c>
      <c r="E2293" s="17" t="s">
        <v>175</v>
      </c>
      <c r="F2293" s="15" t="s">
        <v>176</v>
      </c>
      <c r="G2293" s="19">
        <v>9.0043002E7</v>
      </c>
      <c r="H2293" s="15" t="s">
        <v>49</v>
      </c>
      <c r="I2293" s="20" t="s">
        <v>50</v>
      </c>
      <c r="J2293" s="21">
        <v>1525260.0</v>
      </c>
      <c r="K2293" s="21">
        <v>132.0</v>
      </c>
    </row>
    <row r="2294">
      <c r="A2294" s="15" t="s">
        <v>74</v>
      </c>
      <c r="B2294" s="16" t="s">
        <v>212</v>
      </c>
      <c r="C2294" s="17" t="s">
        <v>213</v>
      </c>
      <c r="D2294" s="18">
        <v>3.0</v>
      </c>
      <c r="E2294" s="17" t="s">
        <v>117</v>
      </c>
      <c r="F2294" s="15" t="s">
        <v>118</v>
      </c>
      <c r="G2294" s="19">
        <v>5.1100058E7</v>
      </c>
      <c r="H2294" s="15" t="s">
        <v>36</v>
      </c>
      <c r="I2294" s="20" t="s">
        <v>37</v>
      </c>
      <c r="J2294" s="21">
        <v>8.0018316E7</v>
      </c>
      <c r="K2294" s="21">
        <v>24850.0</v>
      </c>
    </row>
    <row r="2295">
      <c r="A2295" s="15" t="s">
        <v>74</v>
      </c>
      <c r="B2295" s="16" t="s">
        <v>212</v>
      </c>
      <c r="C2295" s="17" t="s">
        <v>213</v>
      </c>
      <c r="D2295" s="18">
        <v>3.0</v>
      </c>
      <c r="E2295" s="17" t="s">
        <v>117</v>
      </c>
      <c r="F2295" s="15" t="s">
        <v>118</v>
      </c>
      <c r="G2295" s="19">
        <v>5.1100775E7</v>
      </c>
      <c r="H2295" s="15" t="s">
        <v>169</v>
      </c>
      <c r="I2295" s="20" t="s">
        <v>25</v>
      </c>
      <c r="J2295" s="21">
        <v>0.0</v>
      </c>
      <c r="K2295" s="21">
        <v>0.0</v>
      </c>
    </row>
    <row r="2296">
      <c r="A2296" s="15" t="s">
        <v>74</v>
      </c>
      <c r="B2296" s="16" t="s">
        <v>212</v>
      </c>
      <c r="C2296" s="17" t="s">
        <v>213</v>
      </c>
      <c r="D2296" s="18">
        <v>3.0</v>
      </c>
      <c r="E2296" s="17" t="s">
        <v>117</v>
      </c>
      <c r="F2296" s="15" t="s">
        <v>118</v>
      </c>
      <c r="G2296" s="19">
        <v>9.0043001E7</v>
      </c>
      <c r="H2296" s="15" t="s">
        <v>18</v>
      </c>
      <c r="I2296" s="20" t="s">
        <v>19</v>
      </c>
      <c r="J2296" s="21">
        <v>5208611.0</v>
      </c>
      <c r="K2296" s="21">
        <v>32.0</v>
      </c>
    </row>
    <row r="2297">
      <c r="A2297" s="15" t="s">
        <v>74</v>
      </c>
      <c r="B2297" s="16" t="s">
        <v>212</v>
      </c>
      <c r="C2297" s="17" t="s">
        <v>213</v>
      </c>
      <c r="D2297" s="18">
        <v>3.0</v>
      </c>
      <c r="E2297" s="17" t="s">
        <v>117</v>
      </c>
      <c r="F2297" s="15" t="s">
        <v>118</v>
      </c>
      <c r="G2297" s="19">
        <v>5.1100774E7</v>
      </c>
      <c r="H2297" s="15" t="s">
        <v>39</v>
      </c>
      <c r="I2297" s="20" t="s">
        <v>17</v>
      </c>
      <c r="J2297" s="21">
        <v>7312471.0</v>
      </c>
      <c r="K2297" s="21">
        <v>123.06</v>
      </c>
    </row>
    <row r="2298">
      <c r="A2298" s="15" t="s">
        <v>74</v>
      </c>
      <c r="B2298" s="16" t="s">
        <v>212</v>
      </c>
      <c r="C2298" s="17" t="s">
        <v>213</v>
      </c>
      <c r="D2298" s="18">
        <v>3.0</v>
      </c>
      <c r="E2298" s="17" t="s">
        <v>274</v>
      </c>
      <c r="F2298" s="15" t="s">
        <v>275</v>
      </c>
      <c r="G2298" s="19">
        <v>9.0043E7</v>
      </c>
      <c r="H2298" s="15" t="s">
        <v>83</v>
      </c>
      <c r="I2298" s="20" t="s">
        <v>19</v>
      </c>
      <c r="J2298" s="21">
        <v>710456.0</v>
      </c>
      <c r="K2298" s="21">
        <v>4.0</v>
      </c>
    </row>
    <row r="2299">
      <c r="A2299" s="15" t="s">
        <v>74</v>
      </c>
      <c r="B2299" s="16" t="s">
        <v>212</v>
      </c>
      <c r="C2299" s="17" t="s">
        <v>213</v>
      </c>
      <c r="D2299" s="18">
        <v>3.0</v>
      </c>
      <c r="E2299" s="17" t="s">
        <v>125</v>
      </c>
      <c r="F2299" s="15" t="s">
        <v>126</v>
      </c>
      <c r="G2299" s="19">
        <v>9.0043001E7</v>
      </c>
      <c r="H2299" s="15" t="s">
        <v>18</v>
      </c>
      <c r="I2299" s="20" t="s">
        <v>19</v>
      </c>
      <c r="J2299" s="21">
        <v>2.73873363E8</v>
      </c>
      <c r="K2299" s="21">
        <v>1730.0</v>
      </c>
    </row>
    <row r="2300">
      <c r="A2300" s="15" t="s">
        <v>74</v>
      </c>
      <c r="B2300" s="16" t="s">
        <v>212</v>
      </c>
      <c r="C2300" s="17" t="s">
        <v>213</v>
      </c>
      <c r="D2300" s="18">
        <v>3.0</v>
      </c>
      <c r="E2300" s="17" t="s">
        <v>127</v>
      </c>
      <c r="F2300" s="15" t="s">
        <v>128</v>
      </c>
      <c r="G2300" s="19">
        <v>5.1100153E7</v>
      </c>
      <c r="H2300" s="15" t="s">
        <v>72</v>
      </c>
      <c r="I2300" s="20" t="s">
        <v>25</v>
      </c>
      <c r="J2300" s="21">
        <v>0.0</v>
      </c>
      <c r="K2300" s="21">
        <v>0.0</v>
      </c>
    </row>
    <row r="2301">
      <c r="A2301" s="15" t="s">
        <v>74</v>
      </c>
      <c r="B2301" s="16" t="s">
        <v>212</v>
      </c>
      <c r="C2301" s="17" t="s">
        <v>213</v>
      </c>
      <c r="D2301" s="18">
        <v>3.0</v>
      </c>
      <c r="E2301" s="17" t="s">
        <v>127</v>
      </c>
      <c r="F2301" s="15" t="s">
        <v>128</v>
      </c>
      <c r="G2301" s="19">
        <v>5.1100153E7</v>
      </c>
      <c r="H2301" s="15" t="s">
        <v>72</v>
      </c>
      <c r="I2301" s="20" t="s">
        <v>17</v>
      </c>
      <c r="J2301" s="21">
        <v>5.0279958E7</v>
      </c>
      <c r="K2301" s="21">
        <v>97880.0</v>
      </c>
    </row>
    <row r="2302">
      <c r="A2302" s="15" t="s">
        <v>74</v>
      </c>
      <c r="B2302" s="16" t="s">
        <v>212</v>
      </c>
      <c r="C2302" s="17" t="s">
        <v>213</v>
      </c>
      <c r="D2302" s="18">
        <v>3.0</v>
      </c>
      <c r="E2302" s="17" t="s">
        <v>127</v>
      </c>
      <c r="F2302" s="15" t="s">
        <v>128</v>
      </c>
      <c r="G2302" s="19">
        <v>5.1101056E7</v>
      </c>
      <c r="H2302" s="15" t="s">
        <v>16</v>
      </c>
      <c r="I2302" s="20" t="s">
        <v>25</v>
      </c>
      <c r="J2302" s="21">
        <v>0.0</v>
      </c>
      <c r="K2302" s="21">
        <v>0.0</v>
      </c>
    </row>
    <row r="2303">
      <c r="A2303" s="15" t="s">
        <v>74</v>
      </c>
      <c r="B2303" s="16" t="s">
        <v>212</v>
      </c>
      <c r="C2303" s="17" t="s">
        <v>213</v>
      </c>
      <c r="D2303" s="18">
        <v>3.0</v>
      </c>
      <c r="E2303" s="17" t="s">
        <v>127</v>
      </c>
      <c r="F2303" s="15" t="s">
        <v>128</v>
      </c>
      <c r="G2303" s="19">
        <v>9.0043002E7</v>
      </c>
      <c r="H2303" s="15" t="s">
        <v>49</v>
      </c>
      <c r="I2303" s="20" t="s">
        <v>50</v>
      </c>
      <c r="J2303" s="21">
        <v>2.42655E7</v>
      </c>
      <c r="K2303" s="21">
        <v>2100.0</v>
      </c>
    </row>
    <row r="2304">
      <c r="A2304" s="15" t="s">
        <v>74</v>
      </c>
      <c r="B2304" s="16" t="s">
        <v>212</v>
      </c>
      <c r="C2304" s="17" t="s">
        <v>213</v>
      </c>
      <c r="D2304" s="18">
        <v>3.0</v>
      </c>
      <c r="E2304" s="17" t="s">
        <v>129</v>
      </c>
      <c r="F2304" s="15" t="s">
        <v>130</v>
      </c>
      <c r="G2304" s="19">
        <v>5.1100153E7</v>
      </c>
      <c r="H2304" s="15" t="s">
        <v>72</v>
      </c>
      <c r="I2304" s="20" t="s">
        <v>25</v>
      </c>
      <c r="J2304" s="21">
        <v>0.0</v>
      </c>
      <c r="K2304" s="21">
        <v>0.0</v>
      </c>
    </row>
    <row r="2305">
      <c r="A2305" s="15" t="s">
        <v>74</v>
      </c>
      <c r="B2305" s="16" t="s">
        <v>212</v>
      </c>
      <c r="C2305" s="17" t="s">
        <v>213</v>
      </c>
      <c r="D2305" s="18">
        <v>3.0</v>
      </c>
      <c r="E2305" s="17" t="s">
        <v>129</v>
      </c>
      <c r="F2305" s="15" t="s">
        <v>130</v>
      </c>
      <c r="G2305" s="19">
        <v>5.1101056E7</v>
      </c>
      <c r="H2305" s="15" t="s">
        <v>16</v>
      </c>
      <c r="I2305" s="20" t="s">
        <v>17</v>
      </c>
      <c r="J2305" s="21">
        <v>4.42475E7</v>
      </c>
      <c r="K2305" s="21">
        <v>402250.0</v>
      </c>
    </row>
    <row r="2306">
      <c r="A2306" s="15" t="s">
        <v>74</v>
      </c>
      <c r="B2306" s="16" t="s">
        <v>212</v>
      </c>
      <c r="C2306" s="17" t="s">
        <v>213</v>
      </c>
      <c r="D2306" s="18">
        <v>3.0</v>
      </c>
      <c r="E2306" s="17" t="s">
        <v>135</v>
      </c>
      <c r="F2306" s="15" t="s">
        <v>136</v>
      </c>
      <c r="G2306" s="19">
        <v>9.0043001E7</v>
      </c>
      <c r="H2306" s="15" t="s">
        <v>18</v>
      </c>
      <c r="I2306" s="20" t="s">
        <v>19</v>
      </c>
      <c r="J2306" s="21">
        <v>9752139.0</v>
      </c>
      <c r="K2306" s="21">
        <v>62.0</v>
      </c>
    </row>
    <row r="2307">
      <c r="A2307" s="15" t="s">
        <v>74</v>
      </c>
      <c r="B2307" s="16" t="s">
        <v>212</v>
      </c>
      <c r="C2307" s="17" t="s">
        <v>213</v>
      </c>
      <c r="D2307" s="18">
        <v>3.0</v>
      </c>
      <c r="E2307" s="17" t="s">
        <v>137</v>
      </c>
      <c r="F2307" s="15" t="s">
        <v>138</v>
      </c>
      <c r="G2307" s="19">
        <v>5.1100153E7</v>
      </c>
      <c r="H2307" s="15" t="s">
        <v>72</v>
      </c>
      <c r="I2307" s="20" t="s">
        <v>17</v>
      </c>
      <c r="J2307" s="21">
        <v>475830.0</v>
      </c>
      <c r="K2307" s="21">
        <v>510.0</v>
      </c>
    </row>
    <row r="2308">
      <c r="A2308" s="15" t="s">
        <v>74</v>
      </c>
      <c r="B2308" s="16" t="s">
        <v>212</v>
      </c>
      <c r="C2308" s="17" t="s">
        <v>213</v>
      </c>
      <c r="D2308" s="18">
        <v>3.0</v>
      </c>
      <c r="E2308" s="17" t="s">
        <v>137</v>
      </c>
      <c r="F2308" s="15" t="s">
        <v>138</v>
      </c>
      <c r="G2308" s="19">
        <v>5.1101056E7</v>
      </c>
      <c r="H2308" s="15" t="s">
        <v>16</v>
      </c>
      <c r="I2308" s="20" t="s">
        <v>25</v>
      </c>
      <c r="J2308" s="21">
        <v>0.0</v>
      </c>
      <c r="K2308" s="21">
        <v>0.0</v>
      </c>
    </row>
    <row r="2309">
      <c r="A2309" s="15" t="s">
        <v>74</v>
      </c>
      <c r="B2309" s="16" t="s">
        <v>212</v>
      </c>
      <c r="C2309" s="17" t="s">
        <v>213</v>
      </c>
      <c r="D2309" s="18">
        <v>3.0</v>
      </c>
      <c r="E2309" s="17" t="s">
        <v>162</v>
      </c>
      <c r="F2309" s="15" t="s">
        <v>163</v>
      </c>
      <c r="G2309" s="19">
        <v>9.0043001E7</v>
      </c>
      <c r="H2309" s="15" t="s">
        <v>18</v>
      </c>
      <c r="I2309" s="20" t="s">
        <v>19</v>
      </c>
      <c r="J2309" s="21">
        <v>2.4502081E7</v>
      </c>
      <c r="K2309" s="21">
        <v>155.0</v>
      </c>
    </row>
    <row r="2310">
      <c r="A2310" s="15" t="s">
        <v>74</v>
      </c>
      <c r="B2310" s="16" t="s">
        <v>212</v>
      </c>
      <c r="C2310" s="17" t="s">
        <v>213</v>
      </c>
      <c r="D2310" s="18">
        <v>3.0</v>
      </c>
      <c r="E2310" s="17" t="s">
        <v>54</v>
      </c>
      <c r="F2310" s="15" t="s">
        <v>139</v>
      </c>
      <c r="G2310" s="19">
        <v>9.0042011E7</v>
      </c>
      <c r="H2310" s="15" t="s">
        <v>55</v>
      </c>
      <c r="I2310" s="20" t="s">
        <v>19</v>
      </c>
      <c r="J2310" s="21">
        <v>2.93816219E8</v>
      </c>
      <c r="K2310" s="21">
        <v>0.0</v>
      </c>
    </row>
    <row r="2311">
      <c r="A2311" s="15" t="s">
        <v>74</v>
      </c>
      <c r="B2311" s="16" t="s">
        <v>212</v>
      </c>
      <c r="C2311" s="17" t="s">
        <v>213</v>
      </c>
      <c r="D2311" s="18">
        <v>3.0</v>
      </c>
      <c r="E2311" s="17" t="s">
        <v>164</v>
      </c>
      <c r="F2311" s="15" t="s">
        <v>165</v>
      </c>
      <c r="G2311" s="19">
        <v>9.0042079E7</v>
      </c>
      <c r="H2311" s="15" t="s">
        <v>166</v>
      </c>
      <c r="I2311" s="20" t="s">
        <v>19</v>
      </c>
      <c r="J2311" s="21">
        <v>59500.0</v>
      </c>
      <c r="K2311" s="21">
        <v>0.0</v>
      </c>
    </row>
    <row r="2312">
      <c r="A2312" s="15" t="s">
        <v>74</v>
      </c>
      <c r="B2312" s="16" t="s">
        <v>212</v>
      </c>
      <c r="C2312" s="17" t="s">
        <v>213</v>
      </c>
      <c r="D2312" s="18">
        <v>3.0</v>
      </c>
      <c r="E2312" s="17" t="s">
        <v>20</v>
      </c>
      <c r="F2312" s="15" t="s">
        <v>140</v>
      </c>
      <c r="G2312" s="19">
        <v>9.0042014E7</v>
      </c>
      <c r="H2312" s="15" t="s">
        <v>21</v>
      </c>
      <c r="I2312" s="20" t="s">
        <v>19</v>
      </c>
      <c r="J2312" s="21">
        <v>3.70915768E8</v>
      </c>
      <c r="K2312" s="21">
        <v>0.0</v>
      </c>
    </row>
    <row r="2313">
      <c r="A2313" s="15" t="s">
        <v>74</v>
      </c>
      <c r="B2313" s="16" t="s">
        <v>212</v>
      </c>
      <c r="C2313" s="17" t="s">
        <v>213</v>
      </c>
      <c r="D2313" s="18">
        <v>3.0</v>
      </c>
      <c r="E2313" s="17" t="s">
        <v>20</v>
      </c>
      <c r="F2313" s="15" t="s">
        <v>140</v>
      </c>
      <c r="G2313" s="19">
        <v>9.0042077E7</v>
      </c>
      <c r="H2313" s="15" t="s">
        <v>141</v>
      </c>
      <c r="I2313" s="20" t="s">
        <v>19</v>
      </c>
      <c r="J2313" s="21">
        <v>3.1756377E7</v>
      </c>
      <c r="K2313" s="21">
        <v>0.0</v>
      </c>
    </row>
    <row r="2314">
      <c r="A2314" s="15" t="s">
        <v>74</v>
      </c>
      <c r="B2314" s="16" t="s">
        <v>212</v>
      </c>
      <c r="C2314" s="17" t="s">
        <v>213</v>
      </c>
      <c r="D2314" s="18">
        <v>3.0</v>
      </c>
      <c r="E2314" s="17" t="s">
        <v>142</v>
      </c>
      <c r="F2314" s="15" t="s">
        <v>143</v>
      </c>
      <c r="G2314" s="19">
        <v>9.0042013E7</v>
      </c>
      <c r="H2314" s="15" t="s">
        <v>144</v>
      </c>
      <c r="I2314" s="20" t="s">
        <v>19</v>
      </c>
      <c r="J2314" s="21">
        <v>1125390.0</v>
      </c>
      <c r="K2314" s="21">
        <v>0.0</v>
      </c>
    </row>
    <row r="2315">
      <c r="A2315" s="15" t="s">
        <v>74</v>
      </c>
      <c r="B2315" s="16" t="s">
        <v>212</v>
      </c>
      <c r="C2315" s="17" t="s">
        <v>213</v>
      </c>
      <c r="D2315" s="18">
        <v>3.0</v>
      </c>
      <c r="E2315" s="17" t="s">
        <v>142</v>
      </c>
      <c r="F2315" s="15" t="s">
        <v>143</v>
      </c>
      <c r="G2315" s="19">
        <v>9.0042084E7</v>
      </c>
      <c r="H2315" s="15" t="s">
        <v>145</v>
      </c>
      <c r="I2315" s="20" t="s">
        <v>19</v>
      </c>
      <c r="J2315" s="21">
        <v>400575.0</v>
      </c>
      <c r="K2315" s="21">
        <v>0.0</v>
      </c>
    </row>
    <row r="2316">
      <c r="A2316" s="15" t="s">
        <v>74</v>
      </c>
      <c r="B2316" s="16" t="s">
        <v>212</v>
      </c>
      <c r="C2316" s="17" t="s">
        <v>213</v>
      </c>
      <c r="D2316" s="18">
        <v>3.0</v>
      </c>
      <c r="E2316" s="17" t="s">
        <v>22</v>
      </c>
      <c r="F2316" s="15" t="s">
        <v>146</v>
      </c>
      <c r="G2316" s="19">
        <v>9.0042012E7</v>
      </c>
      <c r="H2316" s="15" t="s">
        <v>23</v>
      </c>
      <c r="I2316" s="20" t="s">
        <v>19</v>
      </c>
      <c r="J2316" s="21">
        <v>1.50979083E8</v>
      </c>
      <c r="K2316" s="21">
        <v>0.0</v>
      </c>
    </row>
    <row r="2317">
      <c r="A2317" s="15" t="s">
        <v>74</v>
      </c>
      <c r="B2317" s="16" t="s">
        <v>212</v>
      </c>
      <c r="C2317" s="17" t="s">
        <v>213</v>
      </c>
      <c r="D2317" s="18">
        <v>3.0</v>
      </c>
      <c r="E2317" s="17" t="s">
        <v>22</v>
      </c>
      <c r="F2317" s="15" t="s">
        <v>146</v>
      </c>
      <c r="G2317" s="19">
        <v>9.0042121E7</v>
      </c>
      <c r="H2317" s="15" t="s">
        <v>24</v>
      </c>
      <c r="I2317" s="20" t="s">
        <v>25</v>
      </c>
      <c r="J2317" s="21">
        <v>1.54314394E8</v>
      </c>
      <c r="K2317" s="21">
        <v>0.0</v>
      </c>
    </row>
    <row r="2318">
      <c r="A2318" s="15" t="s">
        <v>74</v>
      </c>
      <c r="B2318" s="16" t="s">
        <v>212</v>
      </c>
      <c r="C2318" s="17" t="s">
        <v>213</v>
      </c>
      <c r="D2318" s="18">
        <v>3.0</v>
      </c>
      <c r="E2318" s="17" t="s">
        <v>22</v>
      </c>
      <c r="F2318" s="15" t="s">
        <v>146</v>
      </c>
      <c r="G2318" s="19">
        <v>9.0042122E7</v>
      </c>
      <c r="H2318" s="15" t="s">
        <v>56</v>
      </c>
      <c r="I2318" s="20" t="s">
        <v>25</v>
      </c>
      <c r="J2318" s="21">
        <v>1.00602939E8</v>
      </c>
      <c r="K2318" s="21">
        <v>0.0</v>
      </c>
    </row>
    <row r="2319">
      <c r="A2319" s="15" t="s">
        <v>74</v>
      </c>
      <c r="B2319" s="16" t="s">
        <v>212</v>
      </c>
      <c r="C2319" s="17" t="s">
        <v>213</v>
      </c>
      <c r="D2319" s="18">
        <v>3.0</v>
      </c>
      <c r="E2319" s="17" t="s">
        <v>22</v>
      </c>
      <c r="F2319" s="15" t="s">
        <v>146</v>
      </c>
      <c r="G2319" s="19">
        <v>9.0042124E7</v>
      </c>
      <c r="H2319" s="15" t="s">
        <v>57</v>
      </c>
      <c r="I2319" s="20" t="s">
        <v>25</v>
      </c>
      <c r="J2319" s="21">
        <v>6347500.0</v>
      </c>
      <c r="K2319" s="21">
        <v>0.0</v>
      </c>
    </row>
    <row r="2320">
      <c r="A2320" s="15" t="s">
        <v>74</v>
      </c>
      <c r="B2320" s="16" t="s">
        <v>212</v>
      </c>
      <c r="C2320" s="17" t="s">
        <v>213</v>
      </c>
      <c r="D2320" s="18">
        <v>3.0</v>
      </c>
      <c r="E2320" s="17" t="s">
        <v>22</v>
      </c>
      <c r="F2320" s="15" t="s">
        <v>146</v>
      </c>
      <c r="G2320" s="19">
        <v>9.0042125E7</v>
      </c>
      <c r="H2320" s="15" t="s">
        <v>26</v>
      </c>
      <c r="I2320" s="20" t="s">
        <v>25</v>
      </c>
      <c r="J2320" s="21">
        <v>7.331101E7</v>
      </c>
      <c r="K2320" s="21">
        <v>0.0</v>
      </c>
    </row>
    <row r="2321">
      <c r="A2321" s="15" t="s">
        <v>74</v>
      </c>
      <c r="B2321" s="16" t="s">
        <v>212</v>
      </c>
      <c r="C2321" s="17" t="s">
        <v>213</v>
      </c>
      <c r="D2321" s="18">
        <v>3.0</v>
      </c>
      <c r="E2321" s="17" t="s">
        <v>22</v>
      </c>
      <c r="F2321" s="15" t="s">
        <v>146</v>
      </c>
      <c r="G2321" s="19">
        <v>9.0042127E7</v>
      </c>
      <c r="H2321" s="15" t="s">
        <v>27</v>
      </c>
      <c r="I2321" s="20" t="s">
        <v>25</v>
      </c>
      <c r="J2321" s="21">
        <v>6.2725932E7</v>
      </c>
      <c r="K2321" s="21">
        <v>0.0</v>
      </c>
    </row>
    <row r="2322">
      <c r="A2322" s="15" t="s">
        <v>74</v>
      </c>
      <c r="B2322" s="16" t="s">
        <v>212</v>
      </c>
      <c r="C2322" s="17" t="s">
        <v>213</v>
      </c>
      <c r="D2322" s="18">
        <v>3.0</v>
      </c>
      <c r="E2322" s="17" t="s">
        <v>22</v>
      </c>
      <c r="F2322" s="15" t="s">
        <v>146</v>
      </c>
      <c r="G2322" s="19">
        <v>9.0042132E7</v>
      </c>
      <c r="H2322" s="15" t="s">
        <v>28</v>
      </c>
      <c r="I2322" s="20" t="s">
        <v>25</v>
      </c>
      <c r="J2322" s="21">
        <v>8931094.0</v>
      </c>
      <c r="K2322" s="21">
        <v>0.0</v>
      </c>
    </row>
    <row r="2323">
      <c r="A2323" s="15" t="s">
        <v>74</v>
      </c>
      <c r="B2323" s="16" t="s">
        <v>212</v>
      </c>
      <c r="C2323" s="17" t="s">
        <v>213</v>
      </c>
      <c r="D2323" s="18">
        <v>3.0</v>
      </c>
      <c r="E2323" s="17" t="s">
        <v>22</v>
      </c>
      <c r="F2323" s="15" t="s">
        <v>146</v>
      </c>
      <c r="G2323" s="19">
        <v>9.0042134E7</v>
      </c>
      <c r="H2323" s="15" t="s">
        <v>29</v>
      </c>
      <c r="I2323" s="20" t="s">
        <v>25</v>
      </c>
      <c r="J2323" s="21">
        <v>8489000.0</v>
      </c>
      <c r="K2323" s="21">
        <v>0.0</v>
      </c>
    </row>
    <row r="2324">
      <c r="A2324" s="15" t="s">
        <v>74</v>
      </c>
      <c r="B2324" s="16" t="s">
        <v>212</v>
      </c>
      <c r="C2324" s="17" t="s">
        <v>213</v>
      </c>
      <c r="D2324" s="18">
        <v>3.0</v>
      </c>
      <c r="E2324" s="17" t="s">
        <v>22</v>
      </c>
      <c r="F2324" s="15" t="s">
        <v>146</v>
      </c>
      <c r="G2324" s="19">
        <v>9.0042135E7</v>
      </c>
      <c r="H2324" s="15" t="s">
        <v>30</v>
      </c>
      <c r="I2324" s="20" t="s">
        <v>25</v>
      </c>
      <c r="J2324" s="21">
        <v>2.28193036E8</v>
      </c>
      <c r="K2324" s="21">
        <v>0.0</v>
      </c>
    </row>
    <row r="2325">
      <c r="A2325" s="15" t="s">
        <v>74</v>
      </c>
      <c r="B2325" s="16" t="s">
        <v>212</v>
      </c>
      <c r="C2325" s="17" t="s">
        <v>213</v>
      </c>
      <c r="D2325" s="18">
        <v>3.0</v>
      </c>
      <c r="E2325" s="17" t="s">
        <v>22</v>
      </c>
      <c r="F2325" s="15" t="s">
        <v>146</v>
      </c>
      <c r="G2325" s="19">
        <v>9.00422E7</v>
      </c>
      <c r="H2325" s="15" t="s">
        <v>73</v>
      </c>
      <c r="I2325" s="20" t="s">
        <v>60</v>
      </c>
      <c r="J2325" s="21">
        <v>8.8449162E7</v>
      </c>
      <c r="K2325" s="21">
        <v>0.0</v>
      </c>
    </row>
    <row r="2326">
      <c r="A2326" s="15" t="s">
        <v>74</v>
      </c>
      <c r="B2326" s="16" t="s">
        <v>212</v>
      </c>
      <c r="C2326" s="17" t="s">
        <v>213</v>
      </c>
      <c r="D2326" s="18">
        <v>3.0</v>
      </c>
      <c r="E2326" s="17" t="s">
        <v>22</v>
      </c>
      <c r="F2326" s="15" t="s">
        <v>146</v>
      </c>
      <c r="G2326" s="19">
        <v>9.0042223E7</v>
      </c>
      <c r="H2326" s="15" t="s">
        <v>61</v>
      </c>
      <c r="I2326" s="20" t="s">
        <v>60</v>
      </c>
      <c r="J2326" s="21">
        <v>1.6311644E7</v>
      </c>
      <c r="K2326" s="21">
        <v>0.0</v>
      </c>
    </row>
    <row r="2327">
      <c r="A2327" s="15" t="s">
        <v>74</v>
      </c>
      <c r="B2327" s="16" t="s">
        <v>212</v>
      </c>
      <c r="C2327" s="17" t="s">
        <v>213</v>
      </c>
      <c r="D2327" s="18">
        <v>3.0</v>
      </c>
      <c r="E2327" s="17" t="s">
        <v>22</v>
      </c>
      <c r="F2327" s="15" t="s">
        <v>146</v>
      </c>
      <c r="G2327" s="19">
        <v>9.0042224E7</v>
      </c>
      <c r="H2327" s="15" t="s">
        <v>62</v>
      </c>
      <c r="I2327" s="20" t="s">
        <v>60</v>
      </c>
      <c r="J2327" s="21">
        <v>1.0689239E7</v>
      </c>
      <c r="K2327" s="21">
        <v>0.0</v>
      </c>
    </row>
    <row r="2328">
      <c r="A2328" s="15" t="s">
        <v>74</v>
      </c>
      <c r="B2328" s="16" t="s">
        <v>212</v>
      </c>
      <c r="C2328" s="17" t="s">
        <v>213</v>
      </c>
      <c r="D2328" s="18">
        <v>3.0</v>
      </c>
      <c r="E2328" s="17" t="s">
        <v>22</v>
      </c>
      <c r="F2328" s="15" t="s">
        <v>146</v>
      </c>
      <c r="G2328" s="19">
        <v>9.0042225E7</v>
      </c>
      <c r="H2328" s="15" t="s">
        <v>147</v>
      </c>
      <c r="I2328" s="20" t="s">
        <v>60</v>
      </c>
      <c r="J2328" s="21">
        <v>2400083.0</v>
      </c>
      <c r="K2328" s="21">
        <v>0.0</v>
      </c>
    </row>
    <row r="2329">
      <c r="A2329" s="15" t="s">
        <v>74</v>
      </c>
      <c r="B2329" s="16" t="s">
        <v>212</v>
      </c>
      <c r="C2329" s="17" t="s">
        <v>213</v>
      </c>
      <c r="D2329" s="18">
        <v>3.0</v>
      </c>
      <c r="E2329" s="17" t="s">
        <v>22</v>
      </c>
      <c r="F2329" s="15" t="s">
        <v>146</v>
      </c>
      <c r="G2329" s="19">
        <v>9.0042226E7</v>
      </c>
      <c r="H2329" s="15" t="s">
        <v>63</v>
      </c>
      <c r="I2329" s="20" t="s">
        <v>60</v>
      </c>
      <c r="J2329" s="21">
        <v>294999.0</v>
      </c>
      <c r="K2329" s="21">
        <v>0.0</v>
      </c>
    </row>
    <row r="2330">
      <c r="A2330" s="15" t="s">
        <v>74</v>
      </c>
      <c r="B2330" s="16" t="s">
        <v>212</v>
      </c>
      <c r="C2330" s="17" t="s">
        <v>213</v>
      </c>
      <c r="D2330" s="18">
        <v>3.0</v>
      </c>
      <c r="E2330" s="17" t="s">
        <v>22</v>
      </c>
      <c r="F2330" s="15" t="s">
        <v>146</v>
      </c>
      <c r="G2330" s="19">
        <v>9.0042228E7</v>
      </c>
      <c r="H2330" s="15" t="s">
        <v>64</v>
      </c>
      <c r="I2330" s="20" t="s">
        <v>60</v>
      </c>
      <c r="J2330" s="21">
        <v>1.0760932E8</v>
      </c>
      <c r="K2330" s="21">
        <v>0.0</v>
      </c>
    </row>
    <row r="2331">
      <c r="A2331" s="15" t="s">
        <v>74</v>
      </c>
      <c r="B2331" s="16" t="s">
        <v>212</v>
      </c>
      <c r="C2331" s="17" t="s">
        <v>213</v>
      </c>
      <c r="D2331" s="18">
        <v>3.0</v>
      </c>
      <c r="E2331" s="17" t="s">
        <v>22</v>
      </c>
      <c r="F2331" s="15" t="s">
        <v>146</v>
      </c>
      <c r="G2331" s="19">
        <v>9.0042231E7</v>
      </c>
      <c r="H2331" s="15" t="s">
        <v>65</v>
      </c>
      <c r="I2331" s="20" t="s">
        <v>60</v>
      </c>
      <c r="J2331" s="21">
        <v>6521693.0</v>
      </c>
      <c r="K2331" s="21">
        <v>0.0</v>
      </c>
    </row>
    <row r="2332">
      <c r="A2332" s="15" t="s">
        <v>74</v>
      </c>
      <c r="B2332" s="16" t="s">
        <v>212</v>
      </c>
      <c r="C2332" s="17" t="s">
        <v>213</v>
      </c>
      <c r="D2332" s="18">
        <v>3.0</v>
      </c>
      <c r="E2332" s="17" t="s">
        <v>22</v>
      </c>
      <c r="F2332" s="15" t="s">
        <v>146</v>
      </c>
      <c r="G2332" s="19">
        <v>9.0042126E7</v>
      </c>
      <c r="H2332" s="15" t="s">
        <v>31</v>
      </c>
      <c r="I2332" s="20" t="s">
        <v>25</v>
      </c>
      <c r="J2332" s="21">
        <v>4.203632E7</v>
      </c>
      <c r="K2332" s="21">
        <v>0.0</v>
      </c>
    </row>
    <row r="2333">
      <c r="A2333" s="15" t="s">
        <v>74</v>
      </c>
      <c r="B2333" s="16" t="s">
        <v>212</v>
      </c>
      <c r="C2333" s="17" t="s">
        <v>213</v>
      </c>
      <c r="D2333" s="18">
        <v>3.0</v>
      </c>
      <c r="E2333" s="17" t="s">
        <v>22</v>
      </c>
      <c r="F2333" s="15" t="s">
        <v>146</v>
      </c>
      <c r="G2333" s="19">
        <v>9.004212E7</v>
      </c>
      <c r="H2333" s="15" t="s">
        <v>182</v>
      </c>
      <c r="I2333" s="20" t="s">
        <v>25</v>
      </c>
      <c r="J2333" s="21">
        <v>1.47072E8</v>
      </c>
      <c r="K2333" s="21">
        <v>0.0</v>
      </c>
    </row>
    <row r="2334">
      <c r="A2334" s="15" t="s">
        <v>74</v>
      </c>
      <c r="B2334" s="16" t="s">
        <v>212</v>
      </c>
      <c r="C2334" s="17" t="s">
        <v>213</v>
      </c>
      <c r="D2334" s="18">
        <v>3.0</v>
      </c>
      <c r="E2334" s="17" t="s">
        <v>292</v>
      </c>
      <c r="F2334" s="15" t="s">
        <v>293</v>
      </c>
      <c r="G2334" s="19">
        <v>9.0043002E7</v>
      </c>
      <c r="H2334" s="15" t="s">
        <v>49</v>
      </c>
      <c r="I2334" s="20" t="s">
        <v>50</v>
      </c>
      <c r="J2334" s="21">
        <v>1676718.0</v>
      </c>
      <c r="K2334" s="21">
        <v>45.0</v>
      </c>
    </row>
    <row r="2335">
      <c r="A2335" s="15" t="s">
        <v>74</v>
      </c>
      <c r="B2335" s="16" t="s">
        <v>212</v>
      </c>
      <c r="C2335" s="17" t="s">
        <v>213</v>
      </c>
      <c r="D2335" s="18">
        <v>3.0</v>
      </c>
      <c r="E2335" s="17" t="s">
        <v>294</v>
      </c>
      <c r="F2335" s="15" t="s">
        <v>295</v>
      </c>
      <c r="G2335" s="19">
        <v>9.0043001E7</v>
      </c>
      <c r="H2335" s="15" t="s">
        <v>18</v>
      </c>
      <c r="I2335" s="20" t="s">
        <v>19</v>
      </c>
      <c r="J2335" s="21">
        <v>629172.0</v>
      </c>
      <c r="K2335" s="21">
        <v>4.0</v>
      </c>
    </row>
    <row r="2336">
      <c r="A2336" s="15" t="s">
        <v>74</v>
      </c>
      <c r="B2336" s="16" t="s">
        <v>220</v>
      </c>
      <c r="C2336" s="17" t="s">
        <v>221</v>
      </c>
      <c r="D2336" s="18">
        <v>3.0</v>
      </c>
      <c r="E2336" s="17" t="s">
        <v>77</v>
      </c>
      <c r="F2336" s="15" t="s">
        <v>78</v>
      </c>
      <c r="G2336" s="19">
        <v>9.0043001E7</v>
      </c>
      <c r="H2336" s="15" t="s">
        <v>18</v>
      </c>
      <c r="I2336" s="20" t="s">
        <v>19</v>
      </c>
      <c r="J2336" s="21">
        <v>4000549.0</v>
      </c>
      <c r="K2336" s="21">
        <v>24.0</v>
      </c>
    </row>
    <row r="2337">
      <c r="A2337" s="15" t="s">
        <v>74</v>
      </c>
      <c r="B2337" s="16" t="s">
        <v>220</v>
      </c>
      <c r="C2337" s="17" t="s">
        <v>221</v>
      </c>
      <c r="D2337" s="18">
        <v>3.0</v>
      </c>
      <c r="E2337" s="17" t="s">
        <v>222</v>
      </c>
      <c r="F2337" s="15" t="s">
        <v>223</v>
      </c>
      <c r="G2337" s="19">
        <v>5.1100153E7</v>
      </c>
      <c r="H2337" s="15" t="s">
        <v>72</v>
      </c>
      <c r="I2337" s="20" t="s">
        <v>17</v>
      </c>
      <c r="J2337" s="21">
        <v>1387220.0</v>
      </c>
      <c r="K2337" s="21">
        <v>4990.0</v>
      </c>
    </row>
    <row r="2338">
      <c r="A2338" s="15" t="s">
        <v>74</v>
      </c>
      <c r="B2338" s="16" t="s">
        <v>220</v>
      </c>
      <c r="C2338" s="17" t="s">
        <v>221</v>
      </c>
      <c r="D2338" s="18">
        <v>3.0</v>
      </c>
      <c r="E2338" s="17" t="s">
        <v>79</v>
      </c>
      <c r="F2338" s="15" t="s">
        <v>80</v>
      </c>
      <c r="G2338" s="19">
        <v>9.0043001E7</v>
      </c>
      <c r="H2338" s="15" t="s">
        <v>18</v>
      </c>
      <c r="I2338" s="20" t="s">
        <v>19</v>
      </c>
      <c r="J2338" s="21">
        <v>1494594.0</v>
      </c>
      <c r="K2338" s="21">
        <v>9.0</v>
      </c>
    </row>
    <row r="2339">
      <c r="A2339" s="15" t="s">
        <v>74</v>
      </c>
      <c r="B2339" s="16" t="s">
        <v>220</v>
      </c>
      <c r="C2339" s="17" t="s">
        <v>221</v>
      </c>
      <c r="D2339" s="18">
        <v>3.0</v>
      </c>
      <c r="E2339" s="17" t="s">
        <v>154</v>
      </c>
      <c r="F2339" s="15" t="s">
        <v>155</v>
      </c>
      <c r="G2339" s="19">
        <v>5.1100003E7</v>
      </c>
      <c r="H2339" s="15" t="s">
        <v>228</v>
      </c>
      <c r="I2339" s="20" t="s">
        <v>25</v>
      </c>
      <c r="J2339" s="21">
        <v>1500000.0</v>
      </c>
      <c r="K2339" s="21">
        <v>0.0</v>
      </c>
    </row>
    <row r="2340">
      <c r="A2340" s="15" t="s">
        <v>74</v>
      </c>
      <c r="B2340" s="16" t="s">
        <v>220</v>
      </c>
      <c r="C2340" s="17" t="s">
        <v>221</v>
      </c>
      <c r="D2340" s="18">
        <v>3.0</v>
      </c>
      <c r="E2340" s="17" t="s">
        <v>95</v>
      </c>
      <c r="F2340" s="15" t="s">
        <v>96</v>
      </c>
      <c r="G2340" s="19">
        <v>5.1100058E7</v>
      </c>
      <c r="H2340" s="15" t="s">
        <v>36</v>
      </c>
      <c r="I2340" s="20" t="s">
        <v>37</v>
      </c>
      <c r="J2340" s="21">
        <v>1.5835516E7</v>
      </c>
      <c r="K2340" s="21">
        <v>246.04</v>
      </c>
    </row>
    <row r="2341">
      <c r="A2341" s="15" t="s">
        <v>74</v>
      </c>
      <c r="B2341" s="16" t="s">
        <v>220</v>
      </c>
      <c r="C2341" s="17" t="s">
        <v>221</v>
      </c>
      <c r="D2341" s="18">
        <v>3.0</v>
      </c>
      <c r="E2341" s="17" t="s">
        <v>95</v>
      </c>
      <c r="F2341" s="15" t="s">
        <v>96</v>
      </c>
      <c r="G2341" s="19">
        <v>5.1100774E7</v>
      </c>
      <c r="H2341" s="15" t="s">
        <v>39</v>
      </c>
      <c r="I2341" s="20" t="s">
        <v>17</v>
      </c>
      <c r="J2341" s="21">
        <v>2.0366403E7</v>
      </c>
      <c r="K2341" s="21">
        <v>301.1</v>
      </c>
    </row>
    <row r="2342">
      <c r="A2342" s="15" t="s">
        <v>74</v>
      </c>
      <c r="B2342" s="16" t="s">
        <v>220</v>
      </c>
      <c r="C2342" s="17" t="s">
        <v>221</v>
      </c>
      <c r="D2342" s="18">
        <v>3.0</v>
      </c>
      <c r="E2342" s="17" t="s">
        <v>99</v>
      </c>
      <c r="F2342" s="15" t="s">
        <v>100</v>
      </c>
      <c r="G2342" s="19">
        <v>9.0043001E7</v>
      </c>
      <c r="H2342" s="15" t="s">
        <v>18</v>
      </c>
      <c r="I2342" s="20" t="s">
        <v>19</v>
      </c>
      <c r="J2342" s="21">
        <v>9848969.0</v>
      </c>
      <c r="K2342" s="21">
        <v>59.0</v>
      </c>
    </row>
    <row r="2343">
      <c r="A2343" s="15" t="s">
        <v>74</v>
      </c>
      <c r="B2343" s="16" t="s">
        <v>220</v>
      </c>
      <c r="C2343" s="17" t="s">
        <v>221</v>
      </c>
      <c r="D2343" s="18">
        <v>3.0</v>
      </c>
      <c r="E2343" s="17" t="s">
        <v>101</v>
      </c>
      <c r="F2343" s="15" t="s">
        <v>102</v>
      </c>
      <c r="G2343" s="19">
        <v>9.0043001E7</v>
      </c>
      <c r="H2343" s="15" t="s">
        <v>18</v>
      </c>
      <c r="I2343" s="20" t="s">
        <v>19</v>
      </c>
      <c r="J2343" s="21">
        <v>4.7555576E7</v>
      </c>
      <c r="K2343" s="21">
        <v>280.0</v>
      </c>
    </row>
    <row r="2344">
      <c r="A2344" s="15" t="s">
        <v>74</v>
      </c>
      <c r="B2344" s="16" t="s">
        <v>220</v>
      </c>
      <c r="C2344" s="17" t="s">
        <v>221</v>
      </c>
      <c r="D2344" s="18">
        <v>3.0</v>
      </c>
      <c r="E2344" s="17" t="s">
        <v>101</v>
      </c>
      <c r="F2344" s="15" t="s">
        <v>102</v>
      </c>
      <c r="G2344" s="19">
        <v>5.1100774E7</v>
      </c>
      <c r="H2344" s="15" t="s">
        <v>39</v>
      </c>
      <c r="I2344" s="20" t="s">
        <v>17</v>
      </c>
      <c r="J2344" s="21">
        <v>3.1504123E7</v>
      </c>
      <c r="K2344" s="21">
        <v>116.44</v>
      </c>
    </row>
    <row r="2345">
      <c r="A2345" s="15" t="s">
        <v>74</v>
      </c>
      <c r="B2345" s="16" t="s">
        <v>220</v>
      </c>
      <c r="C2345" s="17" t="s">
        <v>221</v>
      </c>
      <c r="D2345" s="18">
        <v>3.0</v>
      </c>
      <c r="E2345" s="17" t="s">
        <v>103</v>
      </c>
      <c r="F2345" s="15" t="s">
        <v>104</v>
      </c>
      <c r="G2345" s="19">
        <v>5.1100058E7</v>
      </c>
      <c r="H2345" s="15" t="s">
        <v>36</v>
      </c>
      <c r="I2345" s="20" t="s">
        <v>37</v>
      </c>
      <c r="J2345" s="21">
        <v>3.3296414E7</v>
      </c>
      <c r="K2345" s="21">
        <v>413.56</v>
      </c>
    </row>
    <row r="2346">
      <c r="A2346" s="15" t="s">
        <v>74</v>
      </c>
      <c r="B2346" s="16" t="s">
        <v>220</v>
      </c>
      <c r="C2346" s="17" t="s">
        <v>221</v>
      </c>
      <c r="D2346" s="18">
        <v>3.0</v>
      </c>
      <c r="E2346" s="17" t="s">
        <v>103</v>
      </c>
      <c r="F2346" s="15" t="s">
        <v>104</v>
      </c>
      <c r="G2346" s="19">
        <v>9.0043001E7</v>
      </c>
      <c r="H2346" s="15" t="s">
        <v>18</v>
      </c>
      <c r="I2346" s="20" t="s">
        <v>19</v>
      </c>
      <c r="J2346" s="21">
        <v>3.4805471E7</v>
      </c>
      <c r="K2346" s="21">
        <v>206.0</v>
      </c>
    </row>
    <row r="2347">
      <c r="A2347" s="15" t="s">
        <v>74</v>
      </c>
      <c r="B2347" s="16" t="s">
        <v>220</v>
      </c>
      <c r="C2347" s="17" t="s">
        <v>221</v>
      </c>
      <c r="D2347" s="18">
        <v>3.0</v>
      </c>
      <c r="E2347" s="17" t="s">
        <v>103</v>
      </c>
      <c r="F2347" s="15" t="s">
        <v>104</v>
      </c>
      <c r="G2347" s="19">
        <v>9.0043002E7</v>
      </c>
      <c r="H2347" s="15" t="s">
        <v>49</v>
      </c>
      <c r="I2347" s="20" t="s">
        <v>50</v>
      </c>
      <c r="J2347" s="21">
        <v>3779106.0</v>
      </c>
      <c r="K2347" s="21">
        <v>111.0</v>
      </c>
    </row>
    <row r="2348">
      <c r="A2348" s="15" t="s">
        <v>74</v>
      </c>
      <c r="B2348" s="16" t="s">
        <v>220</v>
      </c>
      <c r="C2348" s="17" t="s">
        <v>221</v>
      </c>
      <c r="D2348" s="18">
        <v>3.0</v>
      </c>
      <c r="E2348" s="17" t="s">
        <v>103</v>
      </c>
      <c r="F2348" s="15" t="s">
        <v>104</v>
      </c>
      <c r="G2348" s="19">
        <v>5.1100774E7</v>
      </c>
      <c r="H2348" s="15" t="s">
        <v>39</v>
      </c>
      <c r="I2348" s="20" t="s">
        <v>17</v>
      </c>
      <c r="J2348" s="21">
        <v>4.1390422E7</v>
      </c>
      <c r="K2348" s="21">
        <v>152.98</v>
      </c>
    </row>
    <row r="2349">
      <c r="A2349" s="15" t="s">
        <v>74</v>
      </c>
      <c r="B2349" s="16" t="s">
        <v>220</v>
      </c>
      <c r="C2349" s="17" t="s">
        <v>221</v>
      </c>
      <c r="D2349" s="18">
        <v>3.0</v>
      </c>
      <c r="E2349" s="17" t="s">
        <v>108</v>
      </c>
      <c r="F2349" s="15" t="s">
        <v>109</v>
      </c>
      <c r="G2349" s="19">
        <v>5.1100058E7</v>
      </c>
      <c r="H2349" s="15" t="s">
        <v>36</v>
      </c>
      <c r="I2349" s="20" t="s">
        <v>37</v>
      </c>
      <c r="J2349" s="21">
        <v>6422000.0</v>
      </c>
      <c r="K2349" s="21">
        <v>79.04</v>
      </c>
    </row>
    <row r="2350">
      <c r="A2350" s="15" t="s">
        <v>74</v>
      </c>
      <c r="B2350" s="16" t="s">
        <v>220</v>
      </c>
      <c r="C2350" s="17" t="s">
        <v>221</v>
      </c>
      <c r="D2350" s="18">
        <v>3.0</v>
      </c>
      <c r="E2350" s="17" t="s">
        <v>108</v>
      </c>
      <c r="F2350" s="15" t="s">
        <v>109</v>
      </c>
      <c r="G2350" s="19">
        <v>9.0043001E7</v>
      </c>
      <c r="H2350" s="15" t="s">
        <v>18</v>
      </c>
      <c r="I2350" s="20" t="s">
        <v>19</v>
      </c>
      <c r="J2350" s="21">
        <v>2.5058684E7</v>
      </c>
      <c r="K2350" s="21">
        <v>145.0</v>
      </c>
    </row>
    <row r="2351">
      <c r="A2351" s="15" t="s">
        <v>74</v>
      </c>
      <c r="B2351" s="16" t="s">
        <v>220</v>
      </c>
      <c r="C2351" s="17" t="s">
        <v>221</v>
      </c>
      <c r="D2351" s="18">
        <v>3.0</v>
      </c>
      <c r="E2351" s="17" t="s">
        <v>158</v>
      </c>
      <c r="F2351" s="15" t="s">
        <v>159</v>
      </c>
      <c r="G2351" s="19">
        <v>9.0043001E7</v>
      </c>
      <c r="H2351" s="15" t="s">
        <v>18</v>
      </c>
      <c r="I2351" s="20" t="s">
        <v>19</v>
      </c>
      <c r="J2351" s="21">
        <v>4215808.0</v>
      </c>
      <c r="K2351" s="21">
        <v>24.0</v>
      </c>
    </row>
    <row r="2352">
      <c r="A2352" s="15" t="s">
        <v>74</v>
      </c>
      <c r="B2352" s="16" t="s">
        <v>220</v>
      </c>
      <c r="C2352" s="17" t="s">
        <v>221</v>
      </c>
      <c r="D2352" s="18">
        <v>3.0</v>
      </c>
      <c r="E2352" s="17" t="s">
        <v>175</v>
      </c>
      <c r="F2352" s="15" t="s">
        <v>176</v>
      </c>
      <c r="G2352" s="19">
        <v>9.0043002E7</v>
      </c>
      <c r="H2352" s="15" t="s">
        <v>49</v>
      </c>
      <c r="I2352" s="20" t="s">
        <v>50</v>
      </c>
      <c r="J2352" s="21">
        <v>1.1725847E7</v>
      </c>
      <c r="K2352" s="21">
        <v>490.0</v>
      </c>
    </row>
    <row r="2353">
      <c r="A2353" s="15" t="s">
        <v>74</v>
      </c>
      <c r="B2353" s="16" t="s">
        <v>220</v>
      </c>
      <c r="C2353" s="17" t="s">
        <v>221</v>
      </c>
      <c r="D2353" s="18">
        <v>3.0</v>
      </c>
      <c r="E2353" s="17" t="s">
        <v>175</v>
      </c>
      <c r="F2353" s="15" t="s">
        <v>176</v>
      </c>
      <c r="G2353" s="19">
        <v>5.1100774E7</v>
      </c>
      <c r="H2353" s="15" t="s">
        <v>39</v>
      </c>
      <c r="I2353" s="20" t="s">
        <v>17</v>
      </c>
      <c r="J2353" s="21">
        <v>5227485.0</v>
      </c>
      <c r="K2353" s="21">
        <v>64446.2</v>
      </c>
    </row>
    <row r="2354">
      <c r="A2354" s="15" t="s">
        <v>74</v>
      </c>
      <c r="B2354" s="16" t="s">
        <v>220</v>
      </c>
      <c r="C2354" s="17" t="s">
        <v>221</v>
      </c>
      <c r="D2354" s="18">
        <v>3.0</v>
      </c>
      <c r="E2354" s="17" t="s">
        <v>117</v>
      </c>
      <c r="F2354" s="15" t="s">
        <v>118</v>
      </c>
      <c r="G2354" s="19">
        <v>5.1100058E7</v>
      </c>
      <c r="H2354" s="15" t="s">
        <v>36</v>
      </c>
      <c r="I2354" s="20" t="s">
        <v>37</v>
      </c>
      <c r="J2354" s="21">
        <v>6.2355264E7</v>
      </c>
      <c r="K2354" s="21">
        <v>49328.2</v>
      </c>
    </row>
    <row r="2355">
      <c r="A2355" s="15" t="s">
        <v>74</v>
      </c>
      <c r="B2355" s="16" t="s">
        <v>220</v>
      </c>
      <c r="C2355" s="17" t="s">
        <v>221</v>
      </c>
      <c r="D2355" s="18">
        <v>3.0</v>
      </c>
      <c r="E2355" s="17" t="s">
        <v>117</v>
      </c>
      <c r="F2355" s="15" t="s">
        <v>118</v>
      </c>
      <c r="G2355" s="19">
        <v>5.1100774E7</v>
      </c>
      <c r="H2355" s="15" t="s">
        <v>39</v>
      </c>
      <c r="I2355" s="20" t="s">
        <v>17</v>
      </c>
      <c r="J2355" s="21">
        <v>2.1090906E7</v>
      </c>
      <c r="K2355" s="21">
        <v>311.81</v>
      </c>
    </row>
    <row r="2356">
      <c r="A2356" s="15" t="s">
        <v>74</v>
      </c>
      <c r="B2356" s="16" t="s">
        <v>220</v>
      </c>
      <c r="C2356" s="17" t="s">
        <v>221</v>
      </c>
      <c r="D2356" s="18">
        <v>3.0</v>
      </c>
      <c r="E2356" s="17" t="s">
        <v>274</v>
      </c>
      <c r="F2356" s="15" t="s">
        <v>275</v>
      </c>
      <c r="G2356" s="19">
        <v>9.0043001E7</v>
      </c>
      <c r="H2356" s="15" t="s">
        <v>18</v>
      </c>
      <c r="I2356" s="20" t="s">
        <v>19</v>
      </c>
      <c r="J2356" s="21">
        <v>3110484.0</v>
      </c>
      <c r="K2356" s="21">
        <v>13.0</v>
      </c>
    </row>
    <row r="2357">
      <c r="A2357" s="15" t="s">
        <v>74</v>
      </c>
      <c r="B2357" s="16" t="s">
        <v>220</v>
      </c>
      <c r="C2357" s="17" t="s">
        <v>221</v>
      </c>
      <c r="D2357" s="18">
        <v>3.0</v>
      </c>
      <c r="E2357" s="17" t="s">
        <v>123</v>
      </c>
      <c r="F2357" s="15" t="s">
        <v>124</v>
      </c>
      <c r="G2357" s="19">
        <v>5.1100774E7</v>
      </c>
      <c r="H2357" s="15" t="s">
        <v>39</v>
      </c>
      <c r="I2357" s="20" t="s">
        <v>17</v>
      </c>
      <c r="J2357" s="21">
        <v>8.742375E7</v>
      </c>
      <c r="K2357" s="21">
        <v>23313.0</v>
      </c>
    </row>
    <row r="2358">
      <c r="A2358" s="15" t="s">
        <v>74</v>
      </c>
      <c r="B2358" s="16" t="s">
        <v>220</v>
      </c>
      <c r="C2358" s="17" t="s">
        <v>221</v>
      </c>
      <c r="D2358" s="18">
        <v>3.0</v>
      </c>
      <c r="E2358" s="17" t="s">
        <v>160</v>
      </c>
      <c r="F2358" s="15" t="s">
        <v>161</v>
      </c>
      <c r="G2358" s="19">
        <v>9.0043001E7</v>
      </c>
      <c r="H2358" s="15" t="s">
        <v>18</v>
      </c>
      <c r="I2358" s="20" t="s">
        <v>19</v>
      </c>
      <c r="J2358" s="21">
        <v>1.1174287E7</v>
      </c>
      <c r="K2358" s="21">
        <v>69.0</v>
      </c>
    </row>
    <row r="2359">
      <c r="A2359" s="15" t="s">
        <v>74</v>
      </c>
      <c r="B2359" s="16" t="s">
        <v>220</v>
      </c>
      <c r="C2359" s="17" t="s">
        <v>221</v>
      </c>
      <c r="D2359" s="18">
        <v>3.0</v>
      </c>
      <c r="E2359" s="17" t="s">
        <v>125</v>
      </c>
      <c r="F2359" s="15" t="s">
        <v>126</v>
      </c>
      <c r="G2359" s="19">
        <v>5.1101056E7</v>
      </c>
      <c r="H2359" s="15" t="s">
        <v>16</v>
      </c>
      <c r="I2359" s="20" t="s">
        <v>25</v>
      </c>
      <c r="J2359" s="21">
        <v>1.8180706E7</v>
      </c>
      <c r="K2359" s="21">
        <v>0.0</v>
      </c>
    </row>
    <row r="2360">
      <c r="A2360" s="15" t="s">
        <v>74</v>
      </c>
      <c r="B2360" s="16" t="s">
        <v>220</v>
      </c>
      <c r="C2360" s="17" t="s">
        <v>221</v>
      </c>
      <c r="D2360" s="18">
        <v>3.0</v>
      </c>
      <c r="E2360" s="17" t="s">
        <v>125</v>
      </c>
      <c r="F2360" s="15" t="s">
        <v>126</v>
      </c>
      <c r="G2360" s="19">
        <v>5.1101056E7</v>
      </c>
      <c r="H2360" s="15" t="s">
        <v>16</v>
      </c>
      <c r="I2360" s="20" t="s">
        <v>17</v>
      </c>
      <c r="J2360" s="21">
        <v>8.9513975E7</v>
      </c>
      <c r="K2360" s="21">
        <v>529441.0</v>
      </c>
    </row>
    <row r="2361">
      <c r="A2361" s="15" t="s">
        <v>74</v>
      </c>
      <c r="B2361" s="16" t="s">
        <v>220</v>
      </c>
      <c r="C2361" s="17" t="s">
        <v>221</v>
      </c>
      <c r="D2361" s="18">
        <v>3.0</v>
      </c>
      <c r="E2361" s="17" t="s">
        <v>125</v>
      </c>
      <c r="F2361" s="15" t="s">
        <v>126</v>
      </c>
      <c r="G2361" s="19">
        <v>9.0043001E7</v>
      </c>
      <c r="H2361" s="15" t="s">
        <v>18</v>
      </c>
      <c r="I2361" s="20" t="s">
        <v>19</v>
      </c>
      <c r="J2361" s="21">
        <v>1.25463581E8</v>
      </c>
      <c r="K2361" s="21">
        <v>733.0</v>
      </c>
    </row>
    <row r="2362">
      <c r="A2362" s="15" t="s">
        <v>74</v>
      </c>
      <c r="B2362" s="16" t="s">
        <v>220</v>
      </c>
      <c r="C2362" s="17" t="s">
        <v>221</v>
      </c>
      <c r="D2362" s="18">
        <v>3.0</v>
      </c>
      <c r="E2362" s="17" t="s">
        <v>127</v>
      </c>
      <c r="F2362" s="15" t="s">
        <v>128</v>
      </c>
      <c r="G2362" s="19">
        <v>5.1100153E7</v>
      </c>
      <c r="H2362" s="15" t="s">
        <v>72</v>
      </c>
      <c r="I2362" s="20" t="s">
        <v>17</v>
      </c>
      <c r="J2362" s="21">
        <v>4.1731624E8</v>
      </c>
      <c r="K2362" s="21">
        <v>1505890.0</v>
      </c>
    </row>
    <row r="2363">
      <c r="A2363" s="15" t="s">
        <v>74</v>
      </c>
      <c r="B2363" s="16" t="s">
        <v>220</v>
      </c>
      <c r="C2363" s="17" t="s">
        <v>221</v>
      </c>
      <c r="D2363" s="18">
        <v>3.0</v>
      </c>
      <c r="E2363" s="17" t="s">
        <v>129</v>
      </c>
      <c r="F2363" s="15" t="s">
        <v>130</v>
      </c>
      <c r="G2363" s="19">
        <v>5.1101056E7</v>
      </c>
      <c r="H2363" s="15" t="s">
        <v>16</v>
      </c>
      <c r="I2363" s="20" t="s">
        <v>17</v>
      </c>
      <c r="J2363" s="21">
        <v>4.388159E7</v>
      </c>
      <c r="K2363" s="21">
        <v>1032508.0</v>
      </c>
    </row>
    <row r="2364">
      <c r="A2364" s="15" t="s">
        <v>74</v>
      </c>
      <c r="B2364" s="16" t="s">
        <v>220</v>
      </c>
      <c r="C2364" s="17" t="s">
        <v>221</v>
      </c>
      <c r="D2364" s="18">
        <v>3.0</v>
      </c>
      <c r="E2364" s="17" t="s">
        <v>135</v>
      </c>
      <c r="F2364" s="15" t="s">
        <v>136</v>
      </c>
      <c r="G2364" s="19">
        <v>9.0043001E7</v>
      </c>
      <c r="H2364" s="15" t="s">
        <v>18</v>
      </c>
      <c r="I2364" s="20" t="s">
        <v>19</v>
      </c>
      <c r="J2364" s="21">
        <v>7.2683629E7</v>
      </c>
      <c r="K2364" s="21">
        <v>428.0</v>
      </c>
    </row>
    <row r="2365">
      <c r="A2365" s="15" t="s">
        <v>74</v>
      </c>
      <c r="B2365" s="16" t="s">
        <v>220</v>
      </c>
      <c r="C2365" s="17" t="s">
        <v>221</v>
      </c>
      <c r="D2365" s="18">
        <v>3.0</v>
      </c>
      <c r="E2365" s="17" t="s">
        <v>54</v>
      </c>
      <c r="F2365" s="15" t="s">
        <v>139</v>
      </c>
      <c r="G2365" s="19">
        <v>9.0042011E7</v>
      </c>
      <c r="H2365" s="15" t="s">
        <v>55</v>
      </c>
      <c r="I2365" s="20" t="s">
        <v>19</v>
      </c>
      <c r="J2365" s="21">
        <v>2.84644669E8</v>
      </c>
      <c r="K2365" s="21">
        <v>0.0</v>
      </c>
    </row>
    <row r="2366">
      <c r="A2366" s="15" t="s">
        <v>74</v>
      </c>
      <c r="B2366" s="16" t="s">
        <v>220</v>
      </c>
      <c r="C2366" s="17" t="s">
        <v>221</v>
      </c>
      <c r="D2366" s="18">
        <v>3.0</v>
      </c>
      <c r="E2366" s="17" t="s">
        <v>20</v>
      </c>
      <c r="F2366" s="15" t="s">
        <v>140</v>
      </c>
      <c r="G2366" s="19">
        <v>9.0042014E7</v>
      </c>
      <c r="H2366" s="15" t="s">
        <v>21</v>
      </c>
      <c r="I2366" s="20" t="s">
        <v>19</v>
      </c>
      <c r="J2366" s="21">
        <v>2.881673E8</v>
      </c>
      <c r="K2366" s="21">
        <v>0.0</v>
      </c>
    </row>
    <row r="2367">
      <c r="A2367" s="15" t="s">
        <v>74</v>
      </c>
      <c r="B2367" s="16" t="s">
        <v>220</v>
      </c>
      <c r="C2367" s="17" t="s">
        <v>221</v>
      </c>
      <c r="D2367" s="18">
        <v>3.0</v>
      </c>
      <c r="E2367" s="17" t="s">
        <v>22</v>
      </c>
      <c r="F2367" s="15" t="s">
        <v>146</v>
      </c>
      <c r="G2367" s="19">
        <v>9.0042012E7</v>
      </c>
      <c r="H2367" s="15" t="s">
        <v>23</v>
      </c>
      <c r="I2367" s="20" t="s">
        <v>19</v>
      </c>
      <c r="J2367" s="21">
        <v>2.18694963E8</v>
      </c>
      <c r="K2367" s="21">
        <v>0.0</v>
      </c>
    </row>
    <row r="2368">
      <c r="A2368" s="15" t="s">
        <v>74</v>
      </c>
      <c r="B2368" s="16" t="s">
        <v>220</v>
      </c>
      <c r="C2368" s="17" t="s">
        <v>221</v>
      </c>
      <c r="D2368" s="18">
        <v>3.0</v>
      </c>
      <c r="E2368" s="17" t="s">
        <v>22</v>
      </c>
      <c r="F2368" s="15" t="s">
        <v>146</v>
      </c>
      <c r="G2368" s="19">
        <v>9.0042121E7</v>
      </c>
      <c r="H2368" s="15" t="s">
        <v>24</v>
      </c>
      <c r="I2368" s="20" t="s">
        <v>25</v>
      </c>
      <c r="J2368" s="21">
        <v>6.8025639E7</v>
      </c>
      <c r="K2368" s="21">
        <v>0.0</v>
      </c>
    </row>
    <row r="2369">
      <c r="A2369" s="15" t="s">
        <v>74</v>
      </c>
      <c r="B2369" s="16" t="s">
        <v>220</v>
      </c>
      <c r="C2369" s="17" t="s">
        <v>221</v>
      </c>
      <c r="D2369" s="18">
        <v>3.0</v>
      </c>
      <c r="E2369" s="17" t="s">
        <v>22</v>
      </c>
      <c r="F2369" s="15" t="s">
        <v>146</v>
      </c>
      <c r="G2369" s="19">
        <v>9.0042122E7</v>
      </c>
      <c r="H2369" s="15" t="s">
        <v>56</v>
      </c>
      <c r="I2369" s="20" t="s">
        <v>25</v>
      </c>
      <c r="J2369" s="21">
        <v>1.7736574E7</v>
      </c>
      <c r="K2369" s="21">
        <v>0.0</v>
      </c>
    </row>
    <row r="2370">
      <c r="A2370" s="15" t="s">
        <v>74</v>
      </c>
      <c r="B2370" s="16" t="s">
        <v>220</v>
      </c>
      <c r="C2370" s="17" t="s">
        <v>221</v>
      </c>
      <c r="D2370" s="18">
        <v>3.0</v>
      </c>
      <c r="E2370" s="17" t="s">
        <v>22</v>
      </c>
      <c r="F2370" s="15" t="s">
        <v>146</v>
      </c>
      <c r="G2370" s="19">
        <v>9.0042125E7</v>
      </c>
      <c r="H2370" s="15" t="s">
        <v>26</v>
      </c>
      <c r="I2370" s="20" t="s">
        <v>25</v>
      </c>
      <c r="J2370" s="21">
        <v>8.1888274E7</v>
      </c>
      <c r="K2370" s="21">
        <v>0.0</v>
      </c>
    </row>
    <row r="2371">
      <c r="A2371" s="15" t="s">
        <v>74</v>
      </c>
      <c r="B2371" s="16" t="s">
        <v>220</v>
      </c>
      <c r="C2371" s="17" t="s">
        <v>221</v>
      </c>
      <c r="D2371" s="18">
        <v>3.0</v>
      </c>
      <c r="E2371" s="17" t="s">
        <v>22</v>
      </c>
      <c r="F2371" s="15" t="s">
        <v>146</v>
      </c>
      <c r="G2371" s="19">
        <v>9.0042127E7</v>
      </c>
      <c r="H2371" s="15" t="s">
        <v>27</v>
      </c>
      <c r="I2371" s="20" t="s">
        <v>25</v>
      </c>
      <c r="J2371" s="21">
        <v>1354405.0</v>
      </c>
      <c r="K2371" s="21">
        <v>0.0</v>
      </c>
    </row>
    <row r="2372">
      <c r="A2372" s="15" t="s">
        <v>74</v>
      </c>
      <c r="B2372" s="16" t="s">
        <v>220</v>
      </c>
      <c r="C2372" s="17" t="s">
        <v>221</v>
      </c>
      <c r="D2372" s="18">
        <v>3.0</v>
      </c>
      <c r="E2372" s="17" t="s">
        <v>22</v>
      </c>
      <c r="F2372" s="15" t="s">
        <v>146</v>
      </c>
      <c r="G2372" s="19">
        <v>9.0042128E7</v>
      </c>
      <c r="H2372" s="15" t="s">
        <v>58</v>
      </c>
      <c r="I2372" s="20" t="s">
        <v>25</v>
      </c>
      <c r="J2372" s="21">
        <v>2600524.0</v>
      </c>
      <c r="K2372" s="21">
        <v>0.0</v>
      </c>
    </row>
    <row r="2373">
      <c r="A2373" s="15" t="s">
        <v>74</v>
      </c>
      <c r="B2373" s="16" t="s">
        <v>220</v>
      </c>
      <c r="C2373" s="17" t="s">
        <v>221</v>
      </c>
      <c r="D2373" s="18">
        <v>3.0</v>
      </c>
      <c r="E2373" s="17" t="s">
        <v>22</v>
      </c>
      <c r="F2373" s="15" t="s">
        <v>146</v>
      </c>
      <c r="G2373" s="19">
        <v>9.0042132E7</v>
      </c>
      <c r="H2373" s="15" t="s">
        <v>28</v>
      </c>
      <c r="I2373" s="20" t="s">
        <v>25</v>
      </c>
      <c r="J2373" s="21">
        <v>5323971.0</v>
      </c>
      <c r="K2373" s="21">
        <v>0.0</v>
      </c>
    </row>
    <row r="2374">
      <c r="A2374" s="15" t="s">
        <v>74</v>
      </c>
      <c r="B2374" s="16" t="s">
        <v>220</v>
      </c>
      <c r="C2374" s="17" t="s">
        <v>221</v>
      </c>
      <c r="D2374" s="18">
        <v>3.0</v>
      </c>
      <c r="E2374" s="17" t="s">
        <v>22</v>
      </c>
      <c r="F2374" s="15" t="s">
        <v>146</v>
      </c>
      <c r="G2374" s="19">
        <v>9.0042135E7</v>
      </c>
      <c r="H2374" s="15" t="s">
        <v>30</v>
      </c>
      <c r="I2374" s="20" t="s">
        <v>25</v>
      </c>
      <c r="J2374" s="21">
        <v>1.70915028E8</v>
      </c>
      <c r="K2374" s="21">
        <v>0.0</v>
      </c>
    </row>
    <row r="2375">
      <c r="A2375" s="15" t="s">
        <v>74</v>
      </c>
      <c r="B2375" s="16" t="s">
        <v>220</v>
      </c>
      <c r="C2375" s="17" t="s">
        <v>221</v>
      </c>
      <c r="D2375" s="18">
        <v>3.0</v>
      </c>
      <c r="E2375" s="17" t="s">
        <v>22</v>
      </c>
      <c r="F2375" s="15" t="s">
        <v>146</v>
      </c>
      <c r="G2375" s="19">
        <v>9.00422E7</v>
      </c>
      <c r="H2375" s="15" t="s">
        <v>73</v>
      </c>
      <c r="I2375" s="20" t="s">
        <v>60</v>
      </c>
      <c r="J2375" s="21">
        <v>3.95295374E8</v>
      </c>
      <c r="K2375" s="21">
        <v>0.0</v>
      </c>
    </row>
    <row r="2376">
      <c r="A2376" s="15" t="s">
        <v>74</v>
      </c>
      <c r="B2376" s="16" t="s">
        <v>220</v>
      </c>
      <c r="C2376" s="17" t="s">
        <v>221</v>
      </c>
      <c r="D2376" s="18">
        <v>3.0</v>
      </c>
      <c r="E2376" s="17" t="s">
        <v>22</v>
      </c>
      <c r="F2376" s="15" t="s">
        <v>146</v>
      </c>
      <c r="G2376" s="19">
        <v>9.0042223E7</v>
      </c>
      <c r="H2376" s="15" t="s">
        <v>61</v>
      </c>
      <c r="I2376" s="20" t="s">
        <v>60</v>
      </c>
      <c r="J2376" s="21">
        <v>3019927.0</v>
      </c>
      <c r="K2376" s="21">
        <v>0.0</v>
      </c>
    </row>
    <row r="2377">
      <c r="A2377" s="15" t="s">
        <v>74</v>
      </c>
      <c r="B2377" s="16" t="s">
        <v>220</v>
      </c>
      <c r="C2377" s="17" t="s">
        <v>221</v>
      </c>
      <c r="D2377" s="18">
        <v>3.0</v>
      </c>
      <c r="E2377" s="17" t="s">
        <v>22</v>
      </c>
      <c r="F2377" s="15" t="s">
        <v>146</v>
      </c>
      <c r="G2377" s="19">
        <v>9.0042226E7</v>
      </c>
      <c r="H2377" s="15" t="s">
        <v>63</v>
      </c>
      <c r="I2377" s="20" t="s">
        <v>60</v>
      </c>
      <c r="J2377" s="21">
        <v>1025042.0</v>
      </c>
      <c r="K2377" s="21">
        <v>0.0</v>
      </c>
    </row>
    <row r="2378">
      <c r="A2378" s="15" t="s">
        <v>74</v>
      </c>
      <c r="B2378" s="16" t="s">
        <v>220</v>
      </c>
      <c r="C2378" s="17" t="s">
        <v>221</v>
      </c>
      <c r="D2378" s="18">
        <v>3.0</v>
      </c>
      <c r="E2378" s="17" t="s">
        <v>22</v>
      </c>
      <c r="F2378" s="15" t="s">
        <v>146</v>
      </c>
      <c r="G2378" s="19">
        <v>9.0042228E7</v>
      </c>
      <c r="H2378" s="15" t="s">
        <v>64</v>
      </c>
      <c r="I2378" s="20" t="s">
        <v>60</v>
      </c>
      <c r="J2378" s="21">
        <v>3.8673799E7</v>
      </c>
      <c r="K2378" s="21">
        <v>0.0</v>
      </c>
    </row>
    <row r="2379">
      <c r="A2379" s="15" t="s">
        <v>74</v>
      </c>
      <c r="B2379" s="16" t="s">
        <v>220</v>
      </c>
      <c r="C2379" s="17" t="s">
        <v>221</v>
      </c>
      <c r="D2379" s="18">
        <v>3.0</v>
      </c>
      <c r="E2379" s="17" t="s">
        <v>22</v>
      </c>
      <c r="F2379" s="15" t="s">
        <v>146</v>
      </c>
      <c r="G2379" s="19">
        <v>9.0042231E7</v>
      </c>
      <c r="H2379" s="15" t="s">
        <v>65</v>
      </c>
      <c r="I2379" s="20" t="s">
        <v>60</v>
      </c>
      <c r="J2379" s="21">
        <v>2518637.0</v>
      </c>
      <c r="K2379" s="21">
        <v>0.0</v>
      </c>
    </row>
    <row r="2380">
      <c r="A2380" s="15" t="s">
        <v>74</v>
      </c>
      <c r="B2380" s="16" t="s">
        <v>220</v>
      </c>
      <c r="C2380" s="17" t="s">
        <v>221</v>
      </c>
      <c r="D2380" s="18">
        <v>3.0</v>
      </c>
      <c r="E2380" s="17" t="s">
        <v>22</v>
      </c>
      <c r="F2380" s="15" t="s">
        <v>146</v>
      </c>
      <c r="G2380" s="19">
        <v>9.0042126E7</v>
      </c>
      <c r="H2380" s="15" t="s">
        <v>31</v>
      </c>
      <c r="I2380" s="20" t="s">
        <v>25</v>
      </c>
      <c r="J2380" s="21">
        <v>5.0715086E7</v>
      </c>
      <c r="K2380" s="21">
        <v>0.0</v>
      </c>
    </row>
    <row r="2381">
      <c r="A2381" s="15" t="s">
        <v>74</v>
      </c>
      <c r="B2381" s="16" t="s">
        <v>231</v>
      </c>
      <c r="C2381" s="17" t="s">
        <v>232</v>
      </c>
      <c r="D2381" s="18">
        <v>3.0</v>
      </c>
      <c r="E2381" s="24">
        <v>46038.0</v>
      </c>
      <c r="F2381" s="15" t="s">
        <v>150</v>
      </c>
      <c r="G2381" s="19">
        <v>5.1100651E7</v>
      </c>
      <c r="H2381" s="15" t="s">
        <v>38</v>
      </c>
      <c r="I2381" s="20" t="s">
        <v>25</v>
      </c>
      <c r="J2381" s="21">
        <v>0.0</v>
      </c>
      <c r="K2381" s="21">
        <v>0.0</v>
      </c>
    </row>
    <row r="2382">
      <c r="A2382" s="15" t="s">
        <v>74</v>
      </c>
      <c r="B2382" s="16" t="s">
        <v>231</v>
      </c>
      <c r="C2382" s="17" t="s">
        <v>232</v>
      </c>
      <c r="D2382" s="18">
        <v>3.0</v>
      </c>
      <c r="E2382" s="24">
        <v>46038.0</v>
      </c>
      <c r="F2382" s="15" t="s">
        <v>150</v>
      </c>
      <c r="G2382" s="19">
        <v>5.1101056E7</v>
      </c>
      <c r="H2382" s="15" t="s">
        <v>16</v>
      </c>
      <c r="I2382" s="20" t="s">
        <v>17</v>
      </c>
      <c r="J2382" s="21">
        <v>6067594.0</v>
      </c>
      <c r="K2382" s="21">
        <v>24319.0</v>
      </c>
    </row>
    <row r="2383">
      <c r="A2383" s="15" t="s">
        <v>74</v>
      </c>
      <c r="B2383" s="16" t="s">
        <v>231</v>
      </c>
      <c r="C2383" s="17" t="s">
        <v>232</v>
      </c>
      <c r="D2383" s="18">
        <v>3.0</v>
      </c>
      <c r="E2383" s="24">
        <v>46038.0</v>
      </c>
      <c r="F2383" s="15" t="s">
        <v>150</v>
      </c>
      <c r="G2383" s="19">
        <v>9.0043001E7</v>
      </c>
      <c r="H2383" s="15" t="s">
        <v>18</v>
      </c>
      <c r="I2383" s="20" t="s">
        <v>19</v>
      </c>
      <c r="J2383" s="21">
        <v>1.8470648E7</v>
      </c>
      <c r="K2383" s="21">
        <v>98.0</v>
      </c>
    </row>
    <row r="2384">
      <c r="A2384" s="15" t="s">
        <v>74</v>
      </c>
      <c r="B2384" s="16" t="s">
        <v>231</v>
      </c>
      <c r="C2384" s="17" t="s">
        <v>232</v>
      </c>
      <c r="D2384" s="18">
        <v>3.0</v>
      </c>
      <c r="E2384" s="24">
        <v>46158.0</v>
      </c>
      <c r="F2384" s="15" t="s">
        <v>151</v>
      </c>
      <c r="G2384" s="19">
        <v>9.0043001E7</v>
      </c>
      <c r="H2384" s="15" t="s">
        <v>18</v>
      </c>
      <c r="I2384" s="20" t="s">
        <v>19</v>
      </c>
      <c r="J2384" s="21">
        <v>3015616.0</v>
      </c>
      <c r="K2384" s="21">
        <v>16.0</v>
      </c>
    </row>
    <row r="2385">
      <c r="A2385" s="15" t="s">
        <v>74</v>
      </c>
      <c r="B2385" s="16" t="s">
        <v>231</v>
      </c>
      <c r="C2385" s="17" t="s">
        <v>232</v>
      </c>
      <c r="D2385" s="18">
        <v>3.0</v>
      </c>
      <c r="E2385" s="17" t="s">
        <v>84</v>
      </c>
      <c r="F2385" s="15" t="s">
        <v>85</v>
      </c>
      <c r="G2385" s="19">
        <v>9.0043001E7</v>
      </c>
      <c r="H2385" s="15" t="s">
        <v>18</v>
      </c>
      <c r="I2385" s="20" t="s">
        <v>19</v>
      </c>
      <c r="J2385" s="21">
        <v>4437025.0</v>
      </c>
      <c r="K2385" s="21">
        <v>25.0</v>
      </c>
    </row>
    <row r="2386">
      <c r="A2386" s="15" t="s">
        <v>74</v>
      </c>
      <c r="B2386" s="16" t="s">
        <v>231</v>
      </c>
      <c r="C2386" s="17" t="s">
        <v>232</v>
      </c>
      <c r="D2386" s="18">
        <v>3.0</v>
      </c>
      <c r="E2386" s="17" t="s">
        <v>84</v>
      </c>
      <c r="F2386" s="15" t="s">
        <v>85</v>
      </c>
      <c r="G2386" s="19">
        <v>9.0043002E7</v>
      </c>
      <c r="H2386" s="15" t="s">
        <v>49</v>
      </c>
      <c r="I2386" s="20" t="s">
        <v>50</v>
      </c>
      <c r="J2386" s="21">
        <v>1162025.0</v>
      </c>
      <c r="K2386" s="21">
        <v>120.0</v>
      </c>
    </row>
    <row r="2387">
      <c r="A2387" s="15" t="s">
        <v>74</v>
      </c>
      <c r="B2387" s="16" t="s">
        <v>231</v>
      </c>
      <c r="C2387" s="17" t="s">
        <v>232</v>
      </c>
      <c r="D2387" s="18">
        <v>3.0</v>
      </c>
      <c r="E2387" s="17" t="s">
        <v>86</v>
      </c>
      <c r="F2387" s="15" t="s">
        <v>87</v>
      </c>
      <c r="G2387" s="19">
        <v>9.0043001E7</v>
      </c>
      <c r="H2387" s="15" t="s">
        <v>18</v>
      </c>
      <c r="I2387" s="20" t="s">
        <v>19</v>
      </c>
      <c r="J2387" s="21">
        <v>5748518.0</v>
      </c>
      <c r="K2387" s="21">
        <v>30.5</v>
      </c>
    </row>
    <row r="2388">
      <c r="A2388" s="15" t="s">
        <v>74</v>
      </c>
      <c r="B2388" s="16" t="s">
        <v>231</v>
      </c>
      <c r="C2388" s="17" t="s">
        <v>232</v>
      </c>
      <c r="D2388" s="18">
        <v>3.0</v>
      </c>
      <c r="E2388" s="17" t="s">
        <v>88</v>
      </c>
      <c r="F2388" s="15" t="s">
        <v>89</v>
      </c>
      <c r="G2388" s="19">
        <v>9.0043003E7</v>
      </c>
      <c r="H2388" s="15" t="s">
        <v>90</v>
      </c>
      <c r="I2388" s="20" t="s">
        <v>50</v>
      </c>
      <c r="J2388" s="21">
        <v>347184.0</v>
      </c>
      <c r="K2388" s="21">
        <v>3.0</v>
      </c>
    </row>
    <row r="2389">
      <c r="A2389" s="15" t="s">
        <v>74</v>
      </c>
      <c r="B2389" s="16" t="s">
        <v>231</v>
      </c>
      <c r="C2389" s="17" t="s">
        <v>232</v>
      </c>
      <c r="D2389" s="18">
        <v>3.0</v>
      </c>
      <c r="E2389" s="17" t="s">
        <v>95</v>
      </c>
      <c r="F2389" s="15" t="s">
        <v>96</v>
      </c>
      <c r="G2389" s="19">
        <v>9.0043001E7</v>
      </c>
      <c r="H2389" s="15" t="s">
        <v>18</v>
      </c>
      <c r="I2389" s="20" t="s">
        <v>19</v>
      </c>
      <c r="J2389" s="21">
        <v>6785357.0</v>
      </c>
      <c r="K2389" s="21">
        <v>43.0</v>
      </c>
    </row>
    <row r="2390">
      <c r="A2390" s="15" t="s">
        <v>74</v>
      </c>
      <c r="B2390" s="16" t="s">
        <v>231</v>
      </c>
      <c r="C2390" s="17" t="s">
        <v>232</v>
      </c>
      <c r="D2390" s="18">
        <v>3.0</v>
      </c>
      <c r="E2390" s="17" t="s">
        <v>101</v>
      </c>
      <c r="F2390" s="15" t="s">
        <v>102</v>
      </c>
      <c r="G2390" s="19">
        <v>9.0043001E7</v>
      </c>
      <c r="H2390" s="15" t="s">
        <v>18</v>
      </c>
      <c r="I2390" s="20" t="s">
        <v>19</v>
      </c>
      <c r="J2390" s="21">
        <v>4.069208E7</v>
      </c>
      <c r="K2390" s="21">
        <v>227.4</v>
      </c>
    </row>
    <row r="2391">
      <c r="A2391" s="15" t="s">
        <v>74</v>
      </c>
      <c r="B2391" s="16" t="s">
        <v>231</v>
      </c>
      <c r="C2391" s="17" t="s">
        <v>232</v>
      </c>
      <c r="D2391" s="18">
        <v>3.0</v>
      </c>
      <c r="E2391" s="17" t="s">
        <v>108</v>
      </c>
      <c r="F2391" s="15" t="s">
        <v>109</v>
      </c>
      <c r="G2391" s="19">
        <v>5.1100058E7</v>
      </c>
      <c r="H2391" s="15" t="s">
        <v>36</v>
      </c>
      <c r="I2391" s="20" t="s">
        <v>37</v>
      </c>
      <c r="J2391" s="21">
        <v>6352657.0</v>
      </c>
      <c r="K2391" s="21">
        <v>124.5</v>
      </c>
    </row>
    <row r="2392">
      <c r="A2392" s="15" t="s">
        <v>74</v>
      </c>
      <c r="B2392" s="16" t="s">
        <v>231</v>
      </c>
      <c r="C2392" s="17" t="s">
        <v>232</v>
      </c>
      <c r="D2392" s="18">
        <v>3.0</v>
      </c>
      <c r="E2392" s="17" t="s">
        <v>108</v>
      </c>
      <c r="F2392" s="15" t="s">
        <v>109</v>
      </c>
      <c r="G2392" s="19">
        <v>5.1100651E7</v>
      </c>
      <c r="H2392" s="15" t="s">
        <v>38</v>
      </c>
      <c r="I2392" s="20" t="s">
        <v>25</v>
      </c>
      <c r="J2392" s="21">
        <v>0.0</v>
      </c>
      <c r="K2392" s="21">
        <v>0.0</v>
      </c>
    </row>
    <row r="2393">
      <c r="A2393" s="15" t="s">
        <v>74</v>
      </c>
      <c r="B2393" s="16" t="s">
        <v>231</v>
      </c>
      <c r="C2393" s="17" t="s">
        <v>232</v>
      </c>
      <c r="D2393" s="18">
        <v>3.0</v>
      </c>
      <c r="E2393" s="17" t="s">
        <v>108</v>
      </c>
      <c r="F2393" s="15" t="s">
        <v>109</v>
      </c>
      <c r="G2393" s="19">
        <v>5.1100774E7</v>
      </c>
      <c r="H2393" s="15" t="s">
        <v>39</v>
      </c>
      <c r="I2393" s="20" t="s">
        <v>17</v>
      </c>
      <c r="J2393" s="21">
        <v>6393240.0</v>
      </c>
      <c r="K2393" s="21">
        <v>177.59</v>
      </c>
    </row>
    <row r="2394">
      <c r="A2394" s="15" t="s">
        <v>74</v>
      </c>
      <c r="B2394" s="16" t="s">
        <v>231</v>
      </c>
      <c r="C2394" s="17" t="s">
        <v>232</v>
      </c>
      <c r="D2394" s="18">
        <v>3.0</v>
      </c>
      <c r="E2394" s="17" t="s">
        <v>123</v>
      </c>
      <c r="F2394" s="15" t="s">
        <v>124</v>
      </c>
      <c r="G2394" s="19">
        <v>5.1100651E7</v>
      </c>
      <c r="H2394" s="15" t="s">
        <v>38</v>
      </c>
      <c r="I2394" s="20" t="s">
        <v>25</v>
      </c>
      <c r="J2394" s="21">
        <v>0.0</v>
      </c>
      <c r="K2394" s="21">
        <v>0.0</v>
      </c>
    </row>
    <row r="2395">
      <c r="A2395" s="15" t="s">
        <v>74</v>
      </c>
      <c r="B2395" s="16" t="s">
        <v>231</v>
      </c>
      <c r="C2395" s="17" t="s">
        <v>232</v>
      </c>
      <c r="D2395" s="18">
        <v>3.0</v>
      </c>
      <c r="E2395" s="17" t="s">
        <v>123</v>
      </c>
      <c r="F2395" s="15" t="s">
        <v>124</v>
      </c>
      <c r="G2395" s="19">
        <v>5.1100774E7</v>
      </c>
      <c r="H2395" s="15" t="s">
        <v>39</v>
      </c>
      <c r="I2395" s="20" t="s">
        <v>17</v>
      </c>
      <c r="J2395" s="21">
        <v>1.06E7</v>
      </c>
      <c r="K2395" s="21">
        <v>2000.0</v>
      </c>
    </row>
    <row r="2396">
      <c r="A2396" s="15" t="s">
        <v>74</v>
      </c>
      <c r="B2396" s="16" t="s">
        <v>231</v>
      </c>
      <c r="C2396" s="17" t="s">
        <v>232</v>
      </c>
      <c r="D2396" s="18">
        <v>3.0</v>
      </c>
      <c r="E2396" s="17" t="s">
        <v>160</v>
      </c>
      <c r="F2396" s="15" t="s">
        <v>161</v>
      </c>
      <c r="G2396" s="19">
        <v>9.0043001E7</v>
      </c>
      <c r="H2396" s="15" t="s">
        <v>18</v>
      </c>
      <c r="I2396" s="20" t="s">
        <v>19</v>
      </c>
      <c r="J2396" s="21">
        <v>3429906.0</v>
      </c>
      <c r="K2396" s="21">
        <v>17.0</v>
      </c>
    </row>
    <row r="2397">
      <c r="A2397" s="15" t="s">
        <v>74</v>
      </c>
      <c r="B2397" s="16" t="s">
        <v>231</v>
      </c>
      <c r="C2397" s="17" t="s">
        <v>232</v>
      </c>
      <c r="D2397" s="18">
        <v>3.0</v>
      </c>
      <c r="E2397" s="17" t="s">
        <v>125</v>
      </c>
      <c r="F2397" s="15" t="s">
        <v>126</v>
      </c>
      <c r="G2397" s="19">
        <v>5.1100651E7</v>
      </c>
      <c r="H2397" s="15" t="s">
        <v>38</v>
      </c>
      <c r="I2397" s="20" t="s">
        <v>25</v>
      </c>
      <c r="J2397" s="21">
        <v>0.0</v>
      </c>
      <c r="K2397" s="21">
        <v>0.0</v>
      </c>
    </row>
    <row r="2398">
      <c r="A2398" s="15" t="s">
        <v>74</v>
      </c>
      <c r="B2398" s="16" t="s">
        <v>231</v>
      </c>
      <c r="C2398" s="17" t="s">
        <v>232</v>
      </c>
      <c r="D2398" s="18">
        <v>3.0</v>
      </c>
      <c r="E2398" s="17" t="s">
        <v>125</v>
      </c>
      <c r="F2398" s="15" t="s">
        <v>126</v>
      </c>
      <c r="G2398" s="19">
        <v>5.1101056E7</v>
      </c>
      <c r="H2398" s="15" t="s">
        <v>16</v>
      </c>
      <c r="I2398" s="20" t="s">
        <v>17</v>
      </c>
      <c r="J2398" s="21">
        <v>2.2401633E7</v>
      </c>
      <c r="K2398" s="21">
        <v>89786.0</v>
      </c>
    </row>
    <row r="2399">
      <c r="A2399" s="15" t="s">
        <v>74</v>
      </c>
      <c r="B2399" s="16" t="s">
        <v>231</v>
      </c>
      <c r="C2399" s="17" t="s">
        <v>232</v>
      </c>
      <c r="D2399" s="18">
        <v>3.0</v>
      </c>
      <c r="E2399" s="17" t="s">
        <v>125</v>
      </c>
      <c r="F2399" s="15" t="s">
        <v>126</v>
      </c>
      <c r="G2399" s="19">
        <v>9.0043001E7</v>
      </c>
      <c r="H2399" s="15" t="s">
        <v>18</v>
      </c>
      <c r="I2399" s="20" t="s">
        <v>19</v>
      </c>
      <c r="J2399" s="21">
        <v>7.9419421E7</v>
      </c>
      <c r="K2399" s="21">
        <v>436.0</v>
      </c>
    </row>
    <row r="2400">
      <c r="A2400" s="15" t="s">
        <v>74</v>
      </c>
      <c r="B2400" s="16" t="s">
        <v>231</v>
      </c>
      <c r="C2400" s="17" t="s">
        <v>232</v>
      </c>
      <c r="D2400" s="18">
        <v>3.0</v>
      </c>
      <c r="E2400" s="17" t="s">
        <v>127</v>
      </c>
      <c r="F2400" s="15" t="s">
        <v>128</v>
      </c>
      <c r="G2400" s="19">
        <v>9.0043001E7</v>
      </c>
      <c r="H2400" s="15" t="s">
        <v>18</v>
      </c>
      <c r="I2400" s="20" t="s">
        <v>19</v>
      </c>
      <c r="J2400" s="21">
        <v>1.6388304E7</v>
      </c>
      <c r="K2400" s="21">
        <v>84.5</v>
      </c>
    </row>
    <row r="2401">
      <c r="A2401" s="15" t="s">
        <v>74</v>
      </c>
      <c r="B2401" s="16" t="s">
        <v>231</v>
      </c>
      <c r="C2401" s="17" t="s">
        <v>232</v>
      </c>
      <c r="D2401" s="18">
        <v>3.0</v>
      </c>
      <c r="E2401" s="17" t="s">
        <v>127</v>
      </c>
      <c r="F2401" s="15" t="s">
        <v>128</v>
      </c>
      <c r="G2401" s="19">
        <v>9.0043002E7</v>
      </c>
      <c r="H2401" s="15" t="s">
        <v>49</v>
      </c>
      <c r="I2401" s="20" t="s">
        <v>50</v>
      </c>
      <c r="J2401" s="21">
        <v>1.3815311E8</v>
      </c>
      <c r="K2401" s="21">
        <v>9902.0</v>
      </c>
    </row>
    <row r="2402">
      <c r="A2402" s="15" t="s">
        <v>74</v>
      </c>
      <c r="B2402" s="16" t="s">
        <v>231</v>
      </c>
      <c r="C2402" s="17" t="s">
        <v>232</v>
      </c>
      <c r="D2402" s="18">
        <v>3.0</v>
      </c>
      <c r="E2402" s="17" t="s">
        <v>129</v>
      </c>
      <c r="F2402" s="15" t="s">
        <v>130</v>
      </c>
      <c r="G2402" s="19">
        <v>5.1100153E7</v>
      </c>
      <c r="H2402" s="15" t="s">
        <v>72</v>
      </c>
      <c r="I2402" s="20" t="s">
        <v>25</v>
      </c>
      <c r="J2402" s="21">
        <v>0.0</v>
      </c>
      <c r="K2402" s="21">
        <v>0.0</v>
      </c>
    </row>
    <row r="2403">
      <c r="A2403" s="15" t="s">
        <v>74</v>
      </c>
      <c r="B2403" s="16" t="s">
        <v>231</v>
      </c>
      <c r="C2403" s="17" t="s">
        <v>232</v>
      </c>
      <c r="D2403" s="18">
        <v>3.0</v>
      </c>
      <c r="E2403" s="17" t="s">
        <v>129</v>
      </c>
      <c r="F2403" s="15" t="s">
        <v>130</v>
      </c>
      <c r="G2403" s="19">
        <v>5.1101056E7</v>
      </c>
      <c r="H2403" s="15" t="s">
        <v>16</v>
      </c>
      <c r="I2403" s="20" t="s">
        <v>17</v>
      </c>
      <c r="J2403" s="21">
        <v>679800.0</v>
      </c>
      <c r="K2403" s="21">
        <v>6180.0</v>
      </c>
    </row>
    <row r="2404">
      <c r="A2404" s="15" t="s">
        <v>74</v>
      </c>
      <c r="B2404" s="16" t="s">
        <v>231</v>
      </c>
      <c r="C2404" s="17" t="s">
        <v>232</v>
      </c>
      <c r="D2404" s="18">
        <v>3.0</v>
      </c>
      <c r="E2404" s="17" t="s">
        <v>129</v>
      </c>
      <c r="F2404" s="15" t="s">
        <v>130</v>
      </c>
      <c r="G2404" s="19">
        <v>9.0043001E7</v>
      </c>
      <c r="H2404" s="15" t="s">
        <v>18</v>
      </c>
      <c r="I2404" s="20" t="s">
        <v>19</v>
      </c>
      <c r="J2404" s="21">
        <v>9924928.0</v>
      </c>
      <c r="K2404" s="21">
        <v>49.3</v>
      </c>
    </row>
    <row r="2405">
      <c r="A2405" s="15" t="s">
        <v>74</v>
      </c>
      <c r="B2405" s="16" t="s">
        <v>231</v>
      </c>
      <c r="C2405" s="17" t="s">
        <v>232</v>
      </c>
      <c r="D2405" s="18">
        <v>3.0</v>
      </c>
      <c r="E2405" s="17" t="s">
        <v>129</v>
      </c>
      <c r="F2405" s="15" t="s">
        <v>130</v>
      </c>
      <c r="G2405" s="19">
        <v>9.0043003E7</v>
      </c>
      <c r="H2405" s="15" t="s">
        <v>90</v>
      </c>
      <c r="I2405" s="20" t="s">
        <v>50</v>
      </c>
      <c r="J2405" s="21">
        <v>5758673.0</v>
      </c>
      <c r="K2405" s="21">
        <v>287.0</v>
      </c>
    </row>
    <row r="2406">
      <c r="A2406" s="15" t="s">
        <v>74</v>
      </c>
      <c r="B2406" s="16" t="s">
        <v>231</v>
      </c>
      <c r="C2406" s="17" t="s">
        <v>232</v>
      </c>
      <c r="D2406" s="18">
        <v>3.0</v>
      </c>
      <c r="E2406" s="17" t="s">
        <v>135</v>
      </c>
      <c r="F2406" s="15" t="s">
        <v>136</v>
      </c>
      <c r="G2406" s="19">
        <v>9.0043001E7</v>
      </c>
      <c r="H2406" s="15" t="s">
        <v>18</v>
      </c>
      <c r="I2406" s="20" t="s">
        <v>19</v>
      </c>
      <c r="J2406" s="21">
        <v>7547616.0</v>
      </c>
      <c r="K2406" s="21">
        <v>43.0</v>
      </c>
    </row>
    <row r="2407">
      <c r="A2407" s="15" t="s">
        <v>74</v>
      </c>
      <c r="B2407" s="16" t="s">
        <v>231</v>
      </c>
      <c r="C2407" s="17" t="s">
        <v>232</v>
      </c>
      <c r="D2407" s="18">
        <v>3.0</v>
      </c>
      <c r="E2407" s="17" t="s">
        <v>162</v>
      </c>
      <c r="F2407" s="15" t="s">
        <v>163</v>
      </c>
      <c r="G2407" s="19">
        <v>9.0043001E7</v>
      </c>
      <c r="H2407" s="15" t="s">
        <v>18</v>
      </c>
      <c r="I2407" s="20" t="s">
        <v>19</v>
      </c>
      <c r="J2407" s="21">
        <v>4603116.0</v>
      </c>
      <c r="K2407" s="21">
        <v>21.0</v>
      </c>
    </row>
    <row r="2408">
      <c r="A2408" s="15" t="s">
        <v>74</v>
      </c>
      <c r="B2408" s="16" t="s">
        <v>231</v>
      </c>
      <c r="C2408" s="17" t="s">
        <v>232</v>
      </c>
      <c r="D2408" s="18">
        <v>3.0</v>
      </c>
      <c r="E2408" s="17" t="s">
        <v>54</v>
      </c>
      <c r="F2408" s="15" t="s">
        <v>139</v>
      </c>
      <c r="G2408" s="19">
        <v>9.0042011E7</v>
      </c>
      <c r="H2408" s="15" t="s">
        <v>55</v>
      </c>
      <c r="I2408" s="20" t="s">
        <v>19</v>
      </c>
      <c r="J2408" s="21">
        <v>3.2487076E7</v>
      </c>
      <c r="K2408" s="21">
        <v>0.0</v>
      </c>
    </row>
    <row r="2409">
      <c r="A2409" s="15" t="s">
        <v>74</v>
      </c>
      <c r="B2409" s="16" t="s">
        <v>231</v>
      </c>
      <c r="C2409" s="17" t="s">
        <v>232</v>
      </c>
      <c r="D2409" s="18">
        <v>3.0</v>
      </c>
      <c r="E2409" s="17" t="s">
        <v>20</v>
      </c>
      <c r="F2409" s="15" t="s">
        <v>140</v>
      </c>
      <c r="G2409" s="19">
        <v>9.0042014E7</v>
      </c>
      <c r="H2409" s="15" t="s">
        <v>21</v>
      </c>
      <c r="I2409" s="20" t="s">
        <v>19</v>
      </c>
      <c r="J2409" s="21">
        <v>1.63049186E8</v>
      </c>
      <c r="K2409" s="21">
        <v>0.0</v>
      </c>
    </row>
    <row r="2410">
      <c r="A2410" s="15" t="s">
        <v>74</v>
      </c>
      <c r="B2410" s="16" t="s">
        <v>231</v>
      </c>
      <c r="C2410" s="17" t="s">
        <v>232</v>
      </c>
      <c r="D2410" s="18">
        <v>3.0</v>
      </c>
      <c r="E2410" s="17" t="s">
        <v>20</v>
      </c>
      <c r="F2410" s="15" t="s">
        <v>140</v>
      </c>
      <c r="G2410" s="19">
        <v>9.0042077E7</v>
      </c>
      <c r="H2410" s="15" t="s">
        <v>141</v>
      </c>
      <c r="I2410" s="20" t="s">
        <v>19</v>
      </c>
      <c r="J2410" s="21">
        <v>9516117.0</v>
      </c>
      <c r="K2410" s="21">
        <v>0.0</v>
      </c>
    </row>
    <row r="2411">
      <c r="A2411" s="15" t="s">
        <v>74</v>
      </c>
      <c r="B2411" s="16" t="s">
        <v>231</v>
      </c>
      <c r="C2411" s="17" t="s">
        <v>232</v>
      </c>
      <c r="D2411" s="18">
        <v>3.0</v>
      </c>
      <c r="E2411" s="17" t="s">
        <v>142</v>
      </c>
      <c r="F2411" s="15" t="s">
        <v>143</v>
      </c>
      <c r="G2411" s="19">
        <v>9.0042013E7</v>
      </c>
      <c r="H2411" s="15" t="s">
        <v>144</v>
      </c>
      <c r="I2411" s="20" t="s">
        <v>19</v>
      </c>
      <c r="J2411" s="21">
        <v>1.0320896E7</v>
      </c>
      <c r="K2411" s="21">
        <v>0.0</v>
      </c>
    </row>
    <row r="2412">
      <c r="A2412" s="15" t="s">
        <v>74</v>
      </c>
      <c r="B2412" s="16" t="s">
        <v>231</v>
      </c>
      <c r="C2412" s="17" t="s">
        <v>232</v>
      </c>
      <c r="D2412" s="18">
        <v>3.0</v>
      </c>
      <c r="E2412" s="17" t="s">
        <v>142</v>
      </c>
      <c r="F2412" s="15" t="s">
        <v>143</v>
      </c>
      <c r="G2412" s="19">
        <v>9.0042084E7</v>
      </c>
      <c r="H2412" s="15" t="s">
        <v>145</v>
      </c>
      <c r="I2412" s="20" t="s">
        <v>19</v>
      </c>
      <c r="J2412" s="21">
        <v>3023020.0</v>
      </c>
      <c r="K2412" s="21">
        <v>0.0</v>
      </c>
    </row>
    <row r="2413">
      <c r="A2413" s="15" t="s">
        <v>74</v>
      </c>
      <c r="B2413" s="16" t="s">
        <v>231</v>
      </c>
      <c r="C2413" s="17" t="s">
        <v>232</v>
      </c>
      <c r="D2413" s="18">
        <v>3.0</v>
      </c>
      <c r="E2413" s="17" t="s">
        <v>22</v>
      </c>
      <c r="F2413" s="15" t="s">
        <v>146</v>
      </c>
      <c r="G2413" s="19">
        <v>9.0042012E7</v>
      </c>
      <c r="H2413" s="15" t="s">
        <v>23</v>
      </c>
      <c r="I2413" s="20" t="s">
        <v>19</v>
      </c>
      <c r="J2413" s="21">
        <v>8.7216258E7</v>
      </c>
      <c r="K2413" s="21">
        <v>0.0</v>
      </c>
    </row>
    <row r="2414">
      <c r="A2414" s="15" t="s">
        <v>74</v>
      </c>
      <c r="B2414" s="16" t="s">
        <v>231</v>
      </c>
      <c r="C2414" s="17" t="s">
        <v>232</v>
      </c>
      <c r="D2414" s="18">
        <v>3.0</v>
      </c>
      <c r="E2414" s="17" t="s">
        <v>22</v>
      </c>
      <c r="F2414" s="15" t="s">
        <v>146</v>
      </c>
      <c r="G2414" s="19">
        <v>9.0042121E7</v>
      </c>
      <c r="H2414" s="15" t="s">
        <v>24</v>
      </c>
      <c r="I2414" s="20" t="s">
        <v>25</v>
      </c>
      <c r="J2414" s="21">
        <v>1.07825705E8</v>
      </c>
      <c r="K2414" s="21">
        <v>0.0</v>
      </c>
    </row>
    <row r="2415">
      <c r="A2415" s="15" t="s">
        <v>74</v>
      </c>
      <c r="B2415" s="16" t="s">
        <v>231</v>
      </c>
      <c r="C2415" s="17" t="s">
        <v>232</v>
      </c>
      <c r="D2415" s="18">
        <v>3.0</v>
      </c>
      <c r="E2415" s="17" t="s">
        <v>22</v>
      </c>
      <c r="F2415" s="15" t="s">
        <v>146</v>
      </c>
      <c r="G2415" s="19">
        <v>9.0042122E7</v>
      </c>
      <c r="H2415" s="15" t="s">
        <v>56</v>
      </c>
      <c r="I2415" s="20" t="s">
        <v>25</v>
      </c>
      <c r="J2415" s="21">
        <v>2515000.0</v>
      </c>
      <c r="K2415" s="21">
        <v>0.0</v>
      </c>
    </row>
    <row r="2416">
      <c r="A2416" s="15" t="s">
        <v>74</v>
      </c>
      <c r="B2416" s="16" t="s">
        <v>231</v>
      </c>
      <c r="C2416" s="17" t="s">
        <v>232</v>
      </c>
      <c r="D2416" s="18">
        <v>3.0</v>
      </c>
      <c r="E2416" s="17" t="s">
        <v>22</v>
      </c>
      <c r="F2416" s="15" t="s">
        <v>146</v>
      </c>
      <c r="G2416" s="19">
        <v>9.0042125E7</v>
      </c>
      <c r="H2416" s="15" t="s">
        <v>26</v>
      </c>
      <c r="I2416" s="20" t="s">
        <v>25</v>
      </c>
      <c r="J2416" s="21">
        <v>8.6648799E7</v>
      </c>
      <c r="K2416" s="21">
        <v>0.0</v>
      </c>
    </row>
    <row r="2417">
      <c r="A2417" s="15" t="s">
        <v>74</v>
      </c>
      <c r="B2417" s="16" t="s">
        <v>231</v>
      </c>
      <c r="C2417" s="17" t="s">
        <v>232</v>
      </c>
      <c r="D2417" s="18">
        <v>3.0</v>
      </c>
      <c r="E2417" s="17" t="s">
        <v>22</v>
      </c>
      <c r="F2417" s="15" t="s">
        <v>146</v>
      </c>
      <c r="G2417" s="19">
        <v>9.0042135E7</v>
      </c>
      <c r="H2417" s="15" t="s">
        <v>30</v>
      </c>
      <c r="I2417" s="20" t="s">
        <v>25</v>
      </c>
      <c r="J2417" s="21">
        <v>5.2785561E7</v>
      </c>
      <c r="K2417" s="21">
        <v>0.0</v>
      </c>
    </row>
    <row r="2418">
      <c r="A2418" s="15" t="s">
        <v>74</v>
      </c>
      <c r="B2418" s="16" t="s">
        <v>231</v>
      </c>
      <c r="C2418" s="17" t="s">
        <v>232</v>
      </c>
      <c r="D2418" s="18">
        <v>3.0</v>
      </c>
      <c r="E2418" s="17" t="s">
        <v>22</v>
      </c>
      <c r="F2418" s="15" t="s">
        <v>146</v>
      </c>
      <c r="G2418" s="19">
        <v>9.00422E7</v>
      </c>
      <c r="H2418" s="15" t="s">
        <v>73</v>
      </c>
      <c r="I2418" s="20" t="s">
        <v>60</v>
      </c>
      <c r="J2418" s="21">
        <v>1.60641665E8</v>
      </c>
      <c r="K2418" s="21">
        <v>0.0</v>
      </c>
    </row>
    <row r="2419">
      <c r="A2419" s="15" t="s">
        <v>74</v>
      </c>
      <c r="B2419" s="16" t="s">
        <v>231</v>
      </c>
      <c r="C2419" s="17" t="s">
        <v>232</v>
      </c>
      <c r="D2419" s="18">
        <v>3.0</v>
      </c>
      <c r="E2419" s="17" t="s">
        <v>22</v>
      </c>
      <c r="F2419" s="15" t="s">
        <v>146</v>
      </c>
      <c r="G2419" s="19">
        <v>9.0042223E7</v>
      </c>
      <c r="H2419" s="15" t="s">
        <v>61</v>
      </c>
      <c r="I2419" s="20" t="s">
        <v>60</v>
      </c>
      <c r="J2419" s="21">
        <v>3340881.0</v>
      </c>
      <c r="K2419" s="21">
        <v>0.0</v>
      </c>
    </row>
    <row r="2420">
      <c r="A2420" s="15" t="s">
        <v>74</v>
      </c>
      <c r="B2420" s="16" t="s">
        <v>231</v>
      </c>
      <c r="C2420" s="17" t="s">
        <v>232</v>
      </c>
      <c r="D2420" s="18">
        <v>3.0</v>
      </c>
      <c r="E2420" s="17" t="s">
        <v>22</v>
      </c>
      <c r="F2420" s="15" t="s">
        <v>146</v>
      </c>
      <c r="G2420" s="19">
        <v>9.0042224E7</v>
      </c>
      <c r="H2420" s="15" t="s">
        <v>62</v>
      </c>
      <c r="I2420" s="20" t="s">
        <v>60</v>
      </c>
      <c r="J2420" s="21">
        <v>1088874.0</v>
      </c>
      <c r="K2420" s="21">
        <v>0.0</v>
      </c>
    </row>
    <row r="2421">
      <c r="A2421" s="15" t="s">
        <v>74</v>
      </c>
      <c r="B2421" s="16" t="s">
        <v>231</v>
      </c>
      <c r="C2421" s="17" t="s">
        <v>232</v>
      </c>
      <c r="D2421" s="18">
        <v>3.0</v>
      </c>
      <c r="E2421" s="17" t="s">
        <v>22</v>
      </c>
      <c r="F2421" s="15" t="s">
        <v>146</v>
      </c>
      <c r="G2421" s="19">
        <v>9.0042226E7</v>
      </c>
      <c r="H2421" s="15" t="s">
        <v>63</v>
      </c>
      <c r="I2421" s="20" t="s">
        <v>60</v>
      </c>
      <c r="J2421" s="21">
        <v>133333.0</v>
      </c>
      <c r="K2421" s="21">
        <v>0.0</v>
      </c>
    </row>
    <row r="2422">
      <c r="A2422" s="15" t="s">
        <v>74</v>
      </c>
      <c r="B2422" s="16" t="s">
        <v>231</v>
      </c>
      <c r="C2422" s="17" t="s">
        <v>232</v>
      </c>
      <c r="D2422" s="18">
        <v>3.0</v>
      </c>
      <c r="E2422" s="17" t="s">
        <v>22</v>
      </c>
      <c r="F2422" s="15" t="s">
        <v>146</v>
      </c>
      <c r="G2422" s="19">
        <v>9.0042228E7</v>
      </c>
      <c r="H2422" s="15" t="s">
        <v>64</v>
      </c>
      <c r="I2422" s="20" t="s">
        <v>60</v>
      </c>
      <c r="J2422" s="21">
        <v>2988805.0</v>
      </c>
      <c r="K2422" s="21">
        <v>0.0</v>
      </c>
    </row>
    <row r="2423">
      <c r="A2423" s="15" t="s">
        <v>74</v>
      </c>
      <c r="B2423" s="16" t="s">
        <v>231</v>
      </c>
      <c r="C2423" s="17" t="s">
        <v>232</v>
      </c>
      <c r="D2423" s="18">
        <v>3.0</v>
      </c>
      <c r="E2423" s="17" t="s">
        <v>22</v>
      </c>
      <c r="F2423" s="15" t="s">
        <v>146</v>
      </c>
      <c r="G2423" s="19">
        <v>9.0042231E7</v>
      </c>
      <c r="H2423" s="15" t="s">
        <v>65</v>
      </c>
      <c r="I2423" s="20" t="s">
        <v>60</v>
      </c>
      <c r="J2423" s="21">
        <v>2351901.0</v>
      </c>
      <c r="K2423" s="21">
        <v>0.0</v>
      </c>
    </row>
    <row r="2424">
      <c r="A2424" s="15" t="s">
        <v>74</v>
      </c>
      <c r="B2424" s="16" t="s">
        <v>231</v>
      </c>
      <c r="C2424" s="17" t="s">
        <v>232</v>
      </c>
      <c r="D2424" s="18">
        <v>3.0</v>
      </c>
      <c r="E2424" s="17" t="s">
        <v>22</v>
      </c>
      <c r="F2424" s="15" t="s">
        <v>146</v>
      </c>
      <c r="G2424" s="19">
        <v>9.0042126E7</v>
      </c>
      <c r="H2424" s="15" t="s">
        <v>31</v>
      </c>
      <c r="I2424" s="20" t="s">
        <v>25</v>
      </c>
      <c r="J2424" s="21">
        <v>4.4275473E7</v>
      </c>
      <c r="K2424" s="21">
        <v>0.0</v>
      </c>
    </row>
    <row r="2425">
      <c r="A2425" s="15" t="s">
        <v>74</v>
      </c>
      <c r="B2425" s="16" t="s">
        <v>231</v>
      </c>
      <c r="C2425" s="17" t="s">
        <v>232</v>
      </c>
      <c r="D2425" s="18">
        <v>3.0</v>
      </c>
      <c r="E2425" s="24">
        <v>46097.0</v>
      </c>
      <c r="F2425" s="15" t="s">
        <v>216</v>
      </c>
      <c r="G2425" s="19">
        <v>5.1100153E7</v>
      </c>
      <c r="H2425" s="15" t="s">
        <v>72</v>
      </c>
      <c r="I2425" s="20" t="s">
        <v>25</v>
      </c>
      <c r="J2425" s="21">
        <v>0.0</v>
      </c>
      <c r="K2425" s="21">
        <v>0.0</v>
      </c>
    </row>
    <row r="2426">
      <c r="A2426" s="15" t="s">
        <v>74</v>
      </c>
      <c r="B2426" s="16" t="s">
        <v>231</v>
      </c>
      <c r="C2426" s="17" t="s">
        <v>232</v>
      </c>
      <c r="D2426" s="18">
        <v>3.0</v>
      </c>
      <c r="E2426" s="24">
        <v>46097.0</v>
      </c>
      <c r="F2426" s="15" t="s">
        <v>216</v>
      </c>
      <c r="G2426" s="19">
        <v>5.1101056E7</v>
      </c>
      <c r="H2426" s="15" t="s">
        <v>16</v>
      </c>
      <c r="I2426" s="20" t="s">
        <v>17</v>
      </c>
      <c r="J2426" s="21">
        <v>1232000.0</v>
      </c>
      <c r="K2426" s="21">
        <v>11200.0</v>
      </c>
    </row>
    <row r="2427">
      <c r="A2427" s="15" t="s">
        <v>74</v>
      </c>
      <c r="B2427" s="16" t="s">
        <v>231</v>
      </c>
      <c r="C2427" s="17" t="s">
        <v>232</v>
      </c>
      <c r="D2427" s="18">
        <v>3.0</v>
      </c>
      <c r="E2427" s="24">
        <v>46097.0</v>
      </c>
      <c r="F2427" s="15" t="s">
        <v>216</v>
      </c>
      <c r="G2427" s="19">
        <v>9.0043001E7</v>
      </c>
      <c r="H2427" s="15" t="s">
        <v>18</v>
      </c>
      <c r="I2427" s="20" t="s">
        <v>19</v>
      </c>
      <c r="J2427" s="21">
        <v>1972764.0</v>
      </c>
      <c r="K2427" s="21">
        <v>9.0</v>
      </c>
    </row>
    <row r="2428">
      <c r="A2428" s="15" t="s">
        <v>74</v>
      </c>
      <c r="B2428" s="16" t="s">
        <v>231</v>
      </c>
      <c r="C2428" s="17" t="s">
        <v>232</v>
      </c>
      <c r="D2428" s="18">
        <v>3.0</v>
      </c>
      <c r="E2428" s="24">
        <v>46097.0</v>
      </c>
      <c r="F2428" s="15" t="s">
        <v>216</v>
      </c>
      <c r="G2428" s="19">
        <v>9.0043003E7</v>
      </c>
      <c r="H2428" s="15" t="s">
        <v>90</v>
      </c>
      <c r="I2428" s="20" t="s">
        <v>50</v>
      </c>
      <c r="J2428" s="21">
        <v>423568.0</v>
      </c>
      <c r="K2428" s="21">
        <v>27.0</v>
      </c>
    </row>
    <row r="2429">
      <c r="A2429" s="15" t="s">
        <v>74</v>
      </c>
      <c r="B2429" s="16" t="s">
        <v>231</v>
      </c>
      <c r="C2429" s="17" t="s">
        <v>232</v>
      </c>
      <c r="D2429" s="18">
        <v>3.0</v>
      </c>
      <c r="E2429" s="24">
        <v>46069.0</v>
      </c>
      <c r="F2429" s="15" t="s">
        <v>217</v>
      </c>
      <c r="G2429" s="19">
        <v>9.0043001E7</v>
      </c>
      <c r="H2429" s="15" t="s">
        <v>18</v>
      </c>
      <c r="I2429" s="20" t="s">
        <v>19</v>
      </c>
      <c r="J2429" s="21">
        <v>5174778.0</v>
      </c>
      <c r="K2429" s="21">
        <v>25.5</v>
      </c>
    </row>
    <row r="2430">
      <c r="A2430" s="15" t="s">
        <v>74</v>
      </c>
      <c r="B2430" s="16" t="s">
        <v>231</v>
      </c>
      <c r="C2430" s="17" t="s">
        <v>232</v>
      </c>
      <c r="D2430" s="18">
        <v>3.0</v>
      </c>
      <c r="E2430" s="24">
        <v>46069.0</v>
      </c>
      <c r="F2430" s="15" t="s">
        <v>217</v>
      </c>
      <c r="G2430" s="19">
        <v>9.0043002E7</v>
      </c>
      <c r="H2430" s="15" t="s">
        <v>49</v>
      </c>
      <c r="I2430" s="20" t="s">
        <v>50</v>
      </c>
      <c r="J2430" s="21">
        <v>2.3358209E7</v>
      </c>
      <c r="K2430" s="21">
        <v>1320.0</v>
      </c>
    </row>
    <row r="2431">
      <c r="A2431" s="15" t="s">
        <v>74</v>
      </c>
      <c r="B2431" s="16" t="s">
        <v>233</v>
      </c>
      <c r="C2431" s="17" t="s">
        <v>234</v>
      </c>
      <c r="D2431" s="18">
        <v>3.0</v>
      </c>
      <c r="E2431" s="17" t="s">
        <v>173</v>
      </c>
      <c r="F2431" s="15" t="s">
        <v>174</v>
      </c>
      <c r="G2431" s="19">
        <v>9.0043002E7</v>
      </c>
      <c r="H2431" s="15" t="s">
        <v>49</v>
      </c>
      <c r="I2431" s="20" t="s">
        <v>50</v>
      </c>
      <c r="J2431" s="21">
        <v>3174489.0</v>
      </c>
      <c r="K2431" s="21">
        <v>108.0</v>
      </c>
    </row>
    <row r="2432">
      <c r="A2432" s="15" t="s">
        <v>74</v>
      </c>
      <c r="B2432" s="16" t="s">
        <v>233</v>
      </c>
      <c r="C2432" s="17" t="s">
        <v>234</v>
      </c>
      <c r="D2432" s="18">
        <v>3.0</v>
      </c>
      <c r="E2432" s="17" t="s">
        <v>173</v>
      </c>
      <c r="F2432" s="15" t="s">
        <v>174</v>
      </c>
      <c r="G2432" s="19">
        <v>9.0043003E7</v>
      </c>
      <c r="H2432" s="15" t="s">
        <v>90</v>
      </c>
      <c r="I2432" s="20" t="s">
        <v>50</v>
      </c>
      <c r="J2432" s="21">
        <v>2.1101587E7</v>
      </c>
      <c r="K2432" s="21">
        <v>95.5</v>
      </c>
    </row>
    <row r="2433">
      <c r="A2433" s="15" t="s">
        <v>74</v>
      </c>
      <c r="B2433" s="16" t="s">
        <v>233</v>
      </c>
      <c r="C2433" s="17" t="s">
        <v>234</v>
      </c>
      <c r="D2433" s="18">
        <v>3.0</v>
      </c>
      <c r="E2433" s="17" t="s">
        <v>154</v>
      </c>
      <c r="F2433" s="15" t="s">
        <v>155</v>
      </c>
      <c r="G2433" s="19">
        <v>9.0043003E7</v>
      </c>
      <c r="H2433" s="15" t="s">
        <v>90</v>
      </c>
      <c r="I2433" s="20" t="s">
        <v>50</v>
      </c>
      <c r="J2433" s="21">
        <v>2902808.0</v>
      </c>
      <c r="K2433" s="21">
        <v>44.0</v>
      </c>
    </row>
    <row r="2434">
      <c r="A2434" s="15" t="s">
        <v>74</v>
      </c>
      <c r="B2434" s="16" t="s">
        <v>233</v>
      </c>
      <c r="C2434" s="17" t="s">
        <v>234</v>
      </c>
      <c r="D2434" s="18">
        <v>3.0</v>
      </c>
      <c r="E2434" s="17" t="s">
        <v>224</v>
      </c>
      <c r="F2434" s="15" t="s">
        <v>225</v>
      </c>
      <c r="G2434" s="19">
        <v>9.0043002E7</v>
      </c>
      <c r="H2434" s="15" t="s">
        <v>49</v>
      </c>
      <c r="I2434" s="20" t="s">
        <v>50</v>
      </c>
      <c r="J2434" s="21">
        <v>2.1916689E7</v>
      </c>
      <c r="K2434" s="21">
        <v>1036.0</v>
      </c>
    </row>
    <row r="2435">
      <c r="A2435" s="15" t="s">
        <v>74</v>
      </c>
      <c r="B2435" s="16" t="s">
        <v>233</v>
      </c>
      <c r="C2435" s="17" t="s">
        <v>234</v>
      </c>
      <c r="D2435" s="18">
        <v>3.0</v>
      </c>
      <c r="E2435" s="17" t="s">
        <v>95</v>
      </c>
      <c r="F2435" s="15" t="s">
        <v>96</v>
      </c>
      <c r="G2435" s="19">
        <v>5.1100058E7</v>
      </c>
      <c r="H2435" s="15" t="s">
        <v>36</v>
      </c>
      <c r="I2435" s="20" t="s">
        <v>37</v>
      </c>
      <c r="J2435" s="21">
        <v>3.1418839E7</v>
      </c>
      <c r="K2435" s="21">
        <v>458.23</v>
      </c>
    </row>
    <row r="2436">
      <c r="A2436" s="15" t="s">
        <v>74</v>
      </c>
      <c r="B2436" s="16" t="s">
        <v>233</v>
      </c>
      <c r="C2436" s="17" t="s">
        <v>234</v>
      </c>
      <c r="D2436" s="18">
        <v>3.0</v>
      </c>
      <c r="E2436" s="17" t="s">
        <v>95</v>
      </c>
      <c r="F2436" s="15" t="s">
        <v>96</v>
      </c>
      <c r="G2436" s="19">
        <v>5.1100774E7</v>
      </c>
      <c r="H2436" s="15" t="s">
        <v>39</v>
      </c>
      <c r="I2436" s="20" t="s">
        <v>17</v>
      </c>
      <c r="J2436" s="21">
        <v>7.411653E7</v>
      </c>
      <c r="K2436" s="21">
        <v>1095.75</v>
      </c>
    </row>
    <row r="2437">
      <c r="A2437" s="15" t="s">
        <v>74</v>
      </c>
      <c r="B2437" s="16" t="s">
        <v>233</v>
      </c>
      <c r="C2437" s="17" t="s">
        <v>234</v>
      </c>
      <c r="D2437" s="18">
        <v>3.0</v>
      </c>
      <c r="E2437" s="17" t="s">
        <v>97</v>
      </c>
      <c r="F2437" s="15" t="s">
        <v>98</v>
      </c>
      <c r="G2437" s="19">
        <v>5.1100774E7</v>
      </c>
      <c r="H2437" s="15" t="s">
        <v>39</v>
      </c>
      <c r="I2437" s="20" t="s">
        <v>17</v>
      </c>
      <c r="J2437" s="21">
        <v>1.379861E7</v>
      </c>
      <c r="K2437" s="21">
        <v>34.0</v>
      </c>
    </row>
    <row r="2438">
      <c r="A2438" s="15" t="s">
        <v>74</v>
      </c>
      <c r="B2438" s="16" t="s">
        <v>233</v>
      </c>
      <c r="C2438" s="17" t="s">
        <v>234</v>
      </c>
      <c r="D2438" s="18">
        <v>3.0</v>
      </c>
      <c r="E2438" s="17" t="s">
        <v>101</v>
      </c>
      <c r="F2438" s="15" t="s">
        <v>102</v>
      </c>
      <c r="G2438" s="19">
        <v>5.1100774E7</v>
      </c>
      <c r="H2438" s="15" t="s">
        <v>39</v>
      </c>
      <c r="I2438" s="20" t="s">
        <v>17</v>
      </c>
      <c r="J2438" s="21">
        <v>7.936456E7</v>
      </c>
      <c r="K2438" s="21">
        <v>176.0</v>
      </c>
    </row>
    <row r="2439">
      <c r="A2439" s="15" t="s">
        <v>74</v>
      </c>
      <c r="B2439" s="16" t="s">
        <v>233</v>
      </c>
      <c r="C2439" s="17" t="s">
        <v>234</v>
      </c>
      <c r="D2439" s="18">
        <v>3.0</v>
      </c>
      <c r="E2439" s="17" t="s">
        <v>103</v>
      </c>
      <c r="F2439" s="15" t="s">
        <v>104</v>
      </c>
      <c r="G2439" s="19">
        <v>9.0043003E7</v>
      </c>
      <c r="H2439" s="15" t="s">
        <v>90</v>
      </c>
      <c r="I2439" s="20" t="s">
        <v>50</v>
      </c>
      <c r="J2439" s="21">
        <v>677500.0</v>
      </c>
      <c r="K2439" s="21">
        <v>4.0</v>
      </c>
    </row>
    <row r="2440">
      <c r="A2440" s="15" t="s">
        <v>74</v>
      </c>
      <c r="B2440" s="16" t="s">
        <v>233</v>
      </c>
      <c r="C2440" s="17" t="s">
        <v>234</v>
      </c>
      <c r="D2440" s="18">
        <v>3.0</v>
      </c>
      <c r="E2440" s="17" t="s">
        <v>205</v>
      </c>
      <c r="F2440" s="15" t="s">
        <v>206</v>
      </c>
      <c r="G2440" s="19">
        <v>5.1100058E7</v>
      </c>
      <c r="H2440" s="15" t="s">
        <v>36</v>
      </c>
      <c r="I2440" s="20" t="s">
        <v>37</v>
      </c>
      <c r="J2440" s="21">
        <v>7233014.0</v>
      </c>
      <c r="K2440" s="21">
        <v>105.44</v>
      </c>
    </row>
    <row r="2441">
      <c r="A2441" s="15" t="s">
        <v>74</v>
      </c>
      <c r="B2441" s="16" t="s">
        <v>233</v>
      </c>
      <c r="C2441" s="17" t="s">
        <v>234</v>
      </c>
      <c r="D2441" s="18">
        <v>3.0</v>
      </c>
      <c r="E2441" s="17" t="s">
        <v>105</v>
      </c>
      <c r="F2441" s="15" t="s">
        <v>106</v>
      </c>
      <c r="G2441" s="19">
        <v>5.1100774E7</v>
      </c>
      <c r="H2441" s="15" t="s">
        <v>39</v>
      </c>
      <c r="I2441" s="20" t="s">
        <v>17</v>
      </c>
      <c r="J2441" s="21">
        <v>3.09575E7</v>
      </c>
      <c r="K2441" s="21">
        <v>3.538</v>
      </c>
    </row>
    <row r="2442">
      <c r="A2442" s="15" t="s">
        <v>74</v>
      </c>
      <c r="B2442" s="16" t="s">
        <v>233</v>
      </c>
      <c r="C2442" s="17" t="s">
        <v>234</v>
      </c>
      <c r="D2442" s="18">
        <v>3.0</v>
      </c>
      <c r="E2442" s="17" t="s">
        <v>175</v>
      </c>
      <c r="F2442" s="15" t="s">
        <v>176</v>
      </c>
      <c r="G2442" s="19">
        <v>9.0043002E7</v>
      </c>
      <c r="H2442" s="15" t="s">
        <v>49</v>
      </c>
      <c r="I2442" s="20" t="s">
        <v>50</v>
      </c>
      <c r="J2442" s="21">
        <v>1.4321812E7</v>
      </c>
      <c r="K2442" s="21">
        <v>480.0</v>
      </c>
    </row>
    <row r="2443">
      <c r="A2443" s="15" t="s">
        <v>74</v>
      </c>
      <c r="B2443" s="16" t="s">
        <v>233</v>
      </c>
      <c r="C2443" s="17" t="s">
        <v>234</v>
      </c>
      <c r="D2443" s="18">
        <v>3.0</v>
      </c>
      <c r="E2443" s="17" t="s">
        <v>175</v>
      </c>
      <c r="F2443" s="15" t="s">
        <v>176</v>
      </c>
      <c r="G2443" s="19">
        <v>5.1100774E7</v>
      </c>
      <c r="H2443" s="15" t="s">
        <v>39</v>
      </c>
      <c r="I2443" s="20" t="s">
        <v>17</v>
      </c>
      <c r="J2443" s="21">
        <v>2.520255E7</v>
      </c>
      <c r="K2443" s="21">
        <v>252025.5</v>
      </c>
    </row>
    <row r="2444">
      <c r="A2444" s="15" t="s">
        <v>74</v>
      </c>
      <c r="B2444" s="16" t="s">
        <v>233</v>
      </c>
      <c r="C2444" s="17" t="s">
        <v>234</v>
      </c>
      <c r="D2444" s="18">
        <v>3.0</v>
      </c>
      <c r="E2444" s="17" t="s">
        <v>115</v>
      </c>
      <c r="F2444" s="15" t="s">
        <v>116</v>
      </c>
      <c r="G2444" s="19">
        <v>9.0043002E7</v>
      </c>
      <c r="H2444" s="15" t="s">
        <v>49</v>
      </c>
      <c r="I2444" s="20" t="s">
        <v>50</v>
      </c>
      <c r="J2444" s="21">
        <v>3.6274088E7</v>
      </c>
      <c r="K2444" s="21">
        <v>1235.0</v>
      </c>
    </row>
    <row r="2445">
      <c r="A2445" s="15" t="s">
        <v>74</v>
      </c>
      <c r="B2445" s="16" t="s">
        <v>233</v>
      </c>
      <c r="C2445" s="17" t="s">
        <v>234</v>
      </c>
      <c r="D2445" s="18">
        <v>3.0</v>
      </c>
      <c r="E2445" s="17" t="s">
        <v>117</v>
      </c>
      <c r="F2445" s="15" t="s">
        <v>118</v>
      </c>
      <c r="G2445" s="19">
        <v>5.1100058E7</v>
      </c>
      <c r="H2445" s="15" t="s">
        <v>36</v>
      </c>
      <c r="I2445" s="20" t="s">
        <v>37</v>
      </c>
      <c r="J2445" s="21">
        <v>1.53079245E8</v>
      </c>
      <c r="K2445" s="21">
        <v>127526.0</v>
      </c>
    </row>
    <row r="2446">
      <c r="A2446" s="15" t="s">
        <v>74</v>
      </c>
      <c r="B2446" s="16" t="s">
        <v>233</v>
      </c>
      <c r="C2446" s="17" t="s">
        <v>234</v>
      </c>
      <c r="D2446" s="18">
        <v>3.0</v>
      </c>
      <c r="E2446" s="17" t="s">
        <v>117</v>
      </c>
      <c r="F2446" s="15" t="s">
        <v>118</v>
      </c>
      <c r="G2446" s="19">
        <v>5.1100774E7</v>
      </c>
      <c r="H2446" s="15" t="s">
        <v>39</v>
      </c>
      <c r="I2446" s="20" t="s">
        <v>17</v>
      </c>
      <c r="J2446" s="21">
        <v>9.7150655E7</v>
      </c>
      <c r="K2446" s="21">
        <v>1436.29</v>
      </c>
    </row>
    <row r="2447">
      <c r="A2447" s="15" t="s">
        <v>74</v>
      </c>
      <c r="B2447" s="16" t="s">
        <v>233</v>
      </c>
      <c r="C2447" s="17" t="s">
        <v>234</v>
      </c>
      <c r="D2447" s="18">
        <v>3.0</v>
      </c>
      <c r="E2447" s="17" t="s">
        <v>238</v>
      </c>
      <c r="F2447" s="15" t="s">
        <v>239</v>
      </c>
      <c r="G2447" s="19">
        <v>5.1100058E7</v>
      </c>
      <c r="H2447" s="15" t="s">
        <v>36</v>
      </c>
      <c r="I2447" s="20" t="s">
        <v>37</v>
      </c>
      <c r="J2447" s="21">
        <v>1.44645404E8</v>
      </c>
      <c r="K2447" s="21">
        <v>120500.0</v>
      </c>
    </row>
    <row r="2448">
      <c r="A2448" s="15" t="s">
        <v>74</v>
      </c>
      <c r="B2448" s="16" t="s">
        <v>233</v>
      </c>
      <c r="C2448" s="17" t="s">
        <v>234</v>
      </c>
      <c r="D2448" s="18">
        <v>3.0</v>
      </c>
      <c r="E2448" s="17" t="s">
        <v>238</v>
      </c>
      <c r="F2448" s="15" t="s">
        <v>239</v>
      </c>
      <c r="G2448" s="19">
        <v>9.0043003E7</v>
      </c>
      <c r="H2448" s="15" t="s">
        <v>90</v>
      </c>
      <c r="I2448" s="20" t="s">
        <v>50</v>
      </c>
      <c r="J2448" s="21">
        <v>1.084E7</v>
      </c>
      <c r="K2448" s="21">
        <v>64.0</v>
      </c>
    </row>
    <row r="2449">
      <c r="A2449" s="15" t="s">
        <v>74</v>
      </c>
      <c r="B2449" s="16" t="s">
        <v>233</v>
      </c>
      <c r="C2449" s="17" t="s">
        <v>234</v>
      </c>
      <c r="D2449" s="18">
        <v>3.0</v>
      </c>
      <c r="E2449" s="17" t="s">
        <v>123</v>
      </c>
      <c r="F2449" s="15" t="s">
        <v>124</v>
      </c>
      <c r="G2449" s="19">
        <v>5.1100774E7</v>
      </c>
      <c r="H2449" s="15" t="s">
        <v>39</v>
      </c>
      <c r="I2449" s="20" t="s">
        <v>25</v>
      </c>
      <c r="J2449" s="21">
        <v>2.0</v>
      </c>
      <c r="K2449" s="21">
        <v>0.0</v>
      </c>
    </row>
    <row r="2450">
      <c r="A2450" s="15" t="s">
        <v>74</v>
      </c>
      <c r="B2450" s="16" t="s">
        <v>233</v>
      </c>
      <c r="C2450" s="17" t="s">
        <v>234</v>
      </c>
      <c r="D2450" s="18">
        <v>3.0</v>
      </c>
      <c r="E2450" s="17" t="s">
        <v>123</v>
      </c>
      <c r="F2450" s="15" t="s">
        <v>124</v>
      </c>
      <c r="G2450" s="19">
        <v>5.1100774E7</v>
      </c>
      <c r="H2450" s="15" t="s">
        <v>39</v>
      </c>
      <c r="I2450" s="20" t="s">
        <v>17</v>
      </c>
      <c r="J2450" s="21">
        <v>2.8004886E7</v>
      </c>
      <c r="K2450" s="21">
        <v>7506.0</v>
      </c>
    </row>
    <row r="2451">
      <c r="A2451" s="15" t="s">
        <v>74</v>
      </c>
      <c r="B2451" s="16" t="s">
        <v>233</v>
      </c>
      <c r="C2451" s="17" t="s">
        <v>234</v>
      </c>
      <c r="D2451" s="18">
        <v>3.0</v>
      </c>
      <c r="E2451" s="17" t="s">
        <v>160</v>
      </c>
      <c r="F2451" s="15" t="s">
        <v>161</v>
      </c>
      <c r="G2451" s="19">
        <v>5.1100774E7</v>
      </c>
      <c r="H2451" s="15" t="s">
        <v>39</v>
      </c>
      <c r="I2451" s="20" t="s">
        <v>17</v>
      </c>
      <c r="J2451" s="21">
        <v>8.0943926E7</v>
      </c>
      <c r="K2451" s="21">
        <v>19544.0</v>
      </c>
    </row>
    <row r="2452">
      <c r="A2452" s="15" t="s">
        <v>74</v>
      </c>
      <c r="B2452" s="16" t="s">
        <v>233</v>
      </c>
      <c r="C2452" s="17" t="s">
        <v>234</v>
      </c>
      <c r="D2452" s="18">
        <v>3.0</v>
      </c>
      <c r="E2452" s="17" t="s">
        <v>125</v>
      </c>
      <c r="F2452" s="15" t="s">
        <v>126</v>
      </c>
      <c r="G2452" s="19">
        <v>9.0043001E7</v>
      </c>
      <c r="H2452" s="15" t="s">
        <v>18</v>
      </c>
      <c r="I2452" s="20" t="s">
        <v>19</v>
      </c>
      <c r="J2452" s="21">
        <v>3.04758783E8</v>
      </c>
      <c r="K2452" s="21">
        <v>1988.5</v>
      </c>
    </row>
    <row r="2453">
      <c r="A2453" s="15" t="s">
        <v>74</v>
      </c>
      <c r="B2453" s="16" t="s">
        <v>233</v>
      </c>
      <c r="C2453" s="17" t="s">
        <v>234</v>
      </c>
      <c r="D2453" s="18">
        <v>3.0</v>
      </c>
      <c r="E2453" s="17" t="s">
        <v>127</v>
      </c>
      <c r="F2453" s="15" t="s">
        <v>128</v>
      </c>
      <c r="G2453" s="19">
        <v>5.1100153E7</v>
      </c>
      <c r="H2453" s="15" t="s">
        <v>72</v>
      </c>
      <c r="I2453" s="20" t="s">
        <v>25</v>
      </c>
      <c r="J2453" s="21">
        <v>-7.0</v>
      </c>
      <c r="K2453" s="21">
        <v>0.0</v>
      </c>
    </row>
    <row r="2454">
      <c r="A2454" s="15" t="s">
        <v>74</v>
      </c>
      <c r="B2454" s="16" t="s">
        <v>233</v>
      </c>
      <c r="C2454" s="17" t="s">
        <v>234</v>
      </c>
      <c r="D2454" s="18">
        <v>3.0</v>
      </c>
      <c r="E2454" s="17" t="s">
        <v>127</v>
      </c>
      <c r="F2454" s="15" t="s">
        <v>128</v>
      </c>
      <c r="G2454" s="19">
        <v>5.1100153E7</v>
      </c>
      <c r="H2454" s="15" t="s">
        <v>72</v>
      </c>
      <c r="I2454" s="20" t="s">
        <v>17</v>
      </c>
      <c r="J2454" s="21">
        <v>1.92210061E8</v>
      </c>
      <c r="K2454" s="21">
        <v>2830670.0</v>
      </c>
    </row>
    <row r="2455">
      <c r="A2455" s="15" t="s">
        <v>74</v>
      </c>
      <c r="B2455" s="16" t="s">
        <v>233</v>
      </c>
      <c r="C2455" s="17" t="s">
        <v>234</v>
      </c>
      <c r="D2455" s="18">
        <v>3.0</v>
      </c>
      <c r="E2455" s="17" t="s">
        <v>127</v>
      </c>
      <c r="F2455" s="15" t="s">
        <v>128</v>
      </c>
      <c r="G2455" s="19">
        <v>9.0043002E7</v>
      </c>
      <c r="H2455" s="15" t="s">
        <v>49</v>
      </c>
      <c r="I2455" s="20" t="s">
        <v>50</v>
      </c>
      <c r="J2455" s="21">
        <v>745625.0</v>
      </c>
      <c r="K2455" s="21">
        <v>24.0</v>
      </c>
    </row>
    <row r="2456">
      <c r="A2456" s="15" t="s">
        <v>74</v>
      </c>
      <c r="B2456" s="16" t="s">
        <v>233</v>
      </c>
      <c r="C2456" s="17" t="s">
        <v>234</v>
      </c>
      <c r="D2456" s="18">
        <v>3.0</v>
      </c>
      <c r="E2456" s="17" t="s">
        <v>135</v>
      </c>
      <c r="F2456" s="15" t="s">
        <v>136</v>
      </c>
      <c r="G2456" s="19">
        <v>5.1101056E7</v>
      </c>
      <c r="H2456" s="15" t="s">
        <v>16</v>
      </c>
      <c r="I2456" s="20" t="s">
        <v>25</v>
      </c>
      <c r="J2456" s="21">
        <v>844550.0</v>
      </c>
      <c r="K2456" s="21">
        <v>0.0</v>
      </c>
    </row>
    <row r="2457">
      <c r="A2457" s="15" t="s">
        <v>74</v>
      </c>
      <c r="B2457" s="16" t="s">
        <v>233</v>
      </c>
      <c r="C2457" s="17" t="s">
        <v>234</v>
      </c>
      <c r="D2457" s="18">
        <v>3.0</v>
      </c>
      <c r="E2457" s="17" t="s">
        <v>135</v>
      </c>
      <c r="F2457" s="15" t="s">
        <v>136</v>
      </c>
      <c r="G2457" s="19">
        <v>5.1101056E7</v>
      </c>
      <c r="H2457" s="15" t="s">
        <v>16</v>
      </c>
      <c r="I2457" s="20" t="s">
        <v>17</v>
      </c>
      <c r="J2457" s="21">
        <v>7.2626275E7</v>
      </c>
      <c r="K2457" s="21">
        <v>572426.0</v>
      </c>
    </row>
    <row r="2458">
      <c r="A2458" s="15" t="s">
        <v>74</v>
      </c>
      <c r="B2458" s="16" t="s">
        <v>233</v>
      </c>
      <c r="C2458" s="17" t="s">
        <v>234</v>
      </c>
      <c r="D2458" s="18">
        <v>3.0</v>
      </c>
      <c r="E2458" s="17" t="s">
        <v>135</v>
      </c>
      <c r="F2458" s="15" t="s">
        <v>136</v>
      </c>
      <c r="G2458" s="19">
        <v>9.0043001E7</v>
      </c>
      <c r="H2458" s="15" t="s">
        <v>18</v>
      </c>
      <c r="I2458" s="20" t="s">
        <v>19</v>
      </c>
      <c r="J2458" s="21">
        <v>2.6189063E7</v>
      </c>
      <c r="K2458" s="21">
        <v>173.0</v>
      </c>
    </row>
    <row r="2459">
      <c r="A2459" s="15" t="s">
        <v>74</v>
      </c>
      <c r="B2459" s="16" t="s">
        <v>233</v>
      </c>
      <c r="C2459" s="17" t="s">
        <v>234</v>
      </c>
      <c r="D2459" s="18">
        <v>3.0</v>
      </c>
      <c r="E2459" s="17" t="s">
        <v>54</v>
      </c>
      <c r="F2459" s="15" t="s">
        <v>139</v>
      </c>
      <c r="G2459" s="19">
        <v>9.0042011E7</v>
      </c>
      <c r="H2459" s="15" t="s">
        <v>55</v>
      </c>
      <c r="I2459" s="20" t="s">
        <v>19</v>
      </c>
      <c r="J2459" s="21">
        <v>2.0924096E7</v>
      </c>
      <c r="K2459" s="21">
        <v>0.0</v>
      </c>
    </row>
    <row r="2460">
      <c r="A2460" s="15" t="s">
        <v>74</v>
      </c>
      <c r="B2460" s="16" t="s">
        <v>233</v>
      </c>
      <c r="C2460" s="17" t="s">
        <v>234</v>
      </c>
      <c r="D2460" s="18">
        <v>3.0</v>
      </c>
      <c r="E2460" s="17" t="s">
        <v>20</v>
      </c>
      <c r="F2460" s="15" t="s">
        <v>140</v>
      </c>
      <c r="G2460" s="19">
        <v>9.0042014E7</v>
      </c>
      <c r="H2460" s="15" t="s">
        <v>21</v>
      </c>
      <c r="I2460" s="20" t="s">
        <v>19</v>
      </c>
      <c r="J2460" s="21">
        <v>3.92853353E8</v>
      </c>
      <c r="K2460" s="21">
        <v>0.0</v>
      </c>
    </row>
    <row r="2461">
      <c r="A2461" s="15" t="s">
        <v>74</v>
      </c>
      <c r="B2461" s="16" t="s">
        <v>233</v>
      </c>
      <c r="C2461" s="17" t="s">
        <v>234</v>
      </c>
      <c r="D2461" s="18">
        <v>3.0</v>
      </c>
      <c r="E2461" s="17" t="s">
        <v>20</v>
      </c>
      <c r="F2461" s="15" t="s">
        <v>140</v>
      </c>
      <c r="G2461" s="19">
        <v>9.0042077E7</v>
      </c>
      <c r="H2461" s="15" t="s">
        <v>141</v>
      </c>
      <c r="I2461" s="20" t="s">
        <v>19</v>
      </c>
      <c r="J2461" s="21">
        <v>9.451493E7</v>
      </c>
      <c r="K2461" s="21">
        <v>0.0</v>
      </c>
    </row>
    <row r="2462">
      <c r="A2462" s="15" t="s">
        <v>74</v>
      </c>
      <c r="B2462" s="16" t="s">
        <v>233</v>
      </c>
      <c r="C2462" s="17" t="s">
        <v>234</v>
      </c>
      <c r="D2462" s="18">
        <v>3.0</v>
      </c>
      <c r="E2462" s="17" t="s">
        <v>22</v>
      </c>
      <c r="F2462" s="15" t="s">
        <v>146</v>
      </c>
      <c r="G2462" s="19">
        <v>9.0042012E7</v>
      </c>
      <c r="H2462" s="15" t="s">
        <v>23</v>
      </c>
      <c r="I2462" s="20" t="s">
        <v>19</v>
      </c>
      <c r="J2462" s="21">
        <v>1.07939736E8</v>
      </c>
      <c r="K2462" s="21">
        <v>0.0</v>
      </c>
    </row>
    <row r="2463">
      <c r="A2463" s="15" t="s">
        <v>74</v>
      </c>
      <c r="B2463" s="16" t="s">
        <v>233</v>
      </c>
      <c r="C2463" s="17" t="s">
        <v>234</v>
      </c>
      <c r="D2463" s="18">
        <v>3.0</v>
      </c>
      <c r="E2463" s="17" t="s">
        <v>22</v>
      </c>
      <c r="F2463" s="15" t="s">
        <v>146</v>
      </c>
      <c r="G2463" s="19">
        <v>9.0042121E7</v>
      </c>
      <c r="H2463" s="15" t="s">
        <v>24</v>
      </c>
      <c r="I2463" s="20" t="s">
        <v>25</v>
      </c>
      <c r="J2463" s="21">
        <v>2.87227797E8</v>
      </c>
      <c r="K2463" s="21">
        <v>0.0</v>
      </c>
    </row>
    <row r="2464">
      <c r="A2464" s="15" t="s">
        <v>74</v>
      </c>
      <c r="B2464" s="16" t="s">
        <v>233</v>
      </c>
      <c r="C2464" s="17" t="s">
        <v>234</v>
      </c>
      <c r="D2464" s="18">
        <v>3.0</v>
      </c>
      <c r="E2464" s="17" t="s">
        <v>22</v>
      </c>
      <c r="F2464" s="15" t="s">
        <v>146</v>
      </c>
      <c r="G2464" s="19">
        <v>9.0042122E7</v>
      </c>
      <c r="H2464" s="15" t="s">
        <v>56</v>
      </c>
      <c r="I2464" s="20" t="s">
        <v>25</v>
      </c>
      <c r="J2464" s="21">
        <v>1.2790164E7</v>
      </c>
      <c r="K2464" s="21">
        <v>0.0</v>
      </c>
    </row>
    <row r="2465">
      <c r="A2465" s="15" t="s">
        <v>74</v>
      </c>
      <c r="B2465" s="16" t="s">
        <v>233</v>
      </c>
      <c r="C2465" s="17" t="s">
        <v>234</v>
      </c>
      <c r="D2465" s="18">
        <v>3.0</v>
      </c>
      <c r="E2465" s="17" t="s">
        <v>22</v>
      </c>
      <c r="F2465" s="15" t="s">
        <v>146</v>
      </c>
      <c r="G2465" s="19">
        <v>9.0042124E7</v>
      </c>
      <c r="H2465" s="15" t="s">
        <v>57</v>
      </c>
      <c r="I2465" s="20" t="s">
        <v>25</v>
      </c>
      <c r="J2465" s="21">
        <v>1.0852E7</v>
      </c>
      <c r="K2465" s="21">
        <v>0.0</v>
      </c>
    </row>
    <row r="2466">
      <c r="A2466" s="15" t="s">
        <v>74</v>
      </c>
      <c r="B2466" s="16" t="s">
        <v>233</v>
      </c>
      <c r="C2466" s="17" t="s">
        <v>234</v>
      </c>
      <c r="D2466" s="18">
        <v>3.0</v>
      </c>
      <c r="E2466" s="17" t="s">
        <v>22</v>
      </c>
      <c r="F2466" s="15" t="s">
        <v>146</v>
      </c>
      <c r="G2466" s="19">
        <v>9.0042125E7</v>
      </c>
      <c r="H2466" s="15" t="s">
        <v>26</v>
      </c>
      <c r="I2466" s="20" t="s">
        <v>25</v>
      </c>
      <c r="J2466" s="21">
        <v>7.3680884E7</v>
      </c>
      <c r="K2466" s="21">
        <v>0.0</v>
      </c>
    </row>
    <row r="2467">
      <c r="A2467" s="15" t="s">
        <v>74</v>
      </c>
      <c r="B2467" s="16" t="s">
        <v>233</v>
      </c>
      <c r="C2467" s="17" t="s">
        <v>234</v>
      </c>
      <c r="D2467" s="18">
        <v>3.0</v>
      </c>
      <c r="E2467" s="17" t="s">
        <v>22</v>
      </c>
      <c r="F2467" s="15" t="s">
        <v>146</v>
      </c>
      <c r="G2467" s="19">
        <v>9.0042132E7</v>
      </c>
      <c r="H2467" s="15" t="s">
        <v>28</v>
      </c>
      <c r="I2467" s="20" t="s">
        <v>25</v>
      </c>
      <c r="J2467" s="21">
        <v>6299262.0</v>
      </c>
      <c r="K2467" s="21">
        <v>0.0</v>
      </c>
    </row>
    <row r="2468">
      <c r="A2468" s="15" t="s">
        <v>74</v>
      </c>
      <c r="B2468" s="16" t="s">
        <v>233</v>
      </c>
      <c r="C2468" s="17" t="s">
        <v>234</v>
      </c>
      <c r="D2468" s="18">
        <v>3.0</v>
      </c>
      <c r="E2468" s="17" t="s">
        <v>22</v>
      </c>
      <c r="F2468" s="15" t="s">
        <v>146</v>
      </c>
      <c r="G2468" s="19">
        <v>9.0042134E7</v>
      </c>
      <c r="H2468" s="15" t="s">
        <v>29</v>
      </c>
      <c r="I2468" s="20" t="s">
        <v>25</v>
      </c>
      <c r="J2468" s="21">
        <v>1465600.0</v>
      </c>
      <c r="K2468" s="21">
        <v>0.0</v>
      </c>
    </row>
    <row r="2469">
      <c r="A2469" s="15" t="s">
        <v>74</v>
      </c>
      <c r="B2469" s="16" t="s">
        <v>233</v>
      </c>
      <c r="C2469" s="17" t="s">
        <v>234</v>
      </c>
      <c r="D2469" s="18">
        <v>3.0</v>
      </c>
      <c r="E2469" s="17" t="s">
        <v>22</v>
      </c>
      <c r="F2469" s="15" t="s">
        <v>146</v>
      </c>
      <c r="G2469" s="19">
        <v>9.0042135E7</v>
      </c>
      <c r="H2469" s="15" t="s">
        <v>30</v>
      </c>
      <c r="I2469" s="20" t="s">
        <v>25</v>
      </c>
      <c r="J2469" s="21">
        <v>1.82945944E8</v>
      </c>
      <c r="K2469" s="21">
        <v>0.0</v>
      </c>
    </row>
    <row r="2470">
      <c r="A2470" s="15" t="s">
        <v>74</v>
      </c>
      <c r="B2470" s="16" t="s">
        <v>233</v>
      </c>
      <c r="C2470" s="17" t="s">
        <v>234</v>
      </c>
      <c r="D2470" s="18">
        <v>3.0</v>
      </c>
      <c r="E2470" s="17" t="s">
        <v>22</v>
      </c>
      <c r="F2470" s="15" t="s">
        <v>146</v>
      </c>
      <c r="G2470" s="19">
        <v>9.00422E7</v>
      </c>
      <c r="H2470" s="15" t="s">
        <v>73</v>
      </c>
      <c r="I2470" s="20" t="s">
        <v>60</v>
      </c>
      <c r="J2470" s="21">
        <v>3.67712826E8</v>
      </c>
      <c r="K2470" s="21">
        <v>0.0</v>
      </c>
    </row>
    <row r="2471">
      <c r="A2471" s="15" t="s">
        <v>74</v>
      </c>
      <c r="B2471" s="16" t="s">
        <v>233</v>
      </c>
      <c r="C2471" s="17" t="s">
        <v>234</v>
      </c>
      <c r="D2471" s="18">
        <v>3.0</v>
      </c>
      <c r="E2471" s="17" t="s">
        <v>22</v>
      </c>
      <c r="F2471" s="15" t="s">
        <v>146</v>
      </c>
      <c r="G2471" s="19">
        <v>9.0042224E7</v>
      </c>
      <c r="H2471" s="15" t="s">
        <v>62</v>
      </c>
      <c r="I2471" s="20" t="s">
        <v>60</v>
      </c>
      <c r="J2471" s="21">
        <v>7438769.0</v>
      </c>
      <c r="K2471" s="21">
        <v>0.0</v>
      </c>
    </row>
    <row r="2472">
      <c r="A2472" s="15" t="s">
        <v>74</v>
      </c>
      <c r="B2472" s="16" t="s">
        <v>233</v>
      </c>
      <c r="C2472" s="17" t="s">
        <v>234</v>
      </c>
      <c r="D2472" s="18">
        <v>3.0</v>
      </c>
      <c r="E2472" s="17" t="s">
        <v>22</v>
      </c>
      <c r="F2472" s="15" t="s">
        <v>146</v>
      </c>
      <c r="G2472" s="19">
        <v>9.0042226E7</v>
      </c>
      <c r="H2472" s="15" t="s">
        <v>63</v>
      </c>
      <c r="I2472" s="20" t="s">
        <v>60</v>
      </c>
      <c r="J2472" s="21">
        <v>408333.0</v>
      </c>
      <c r="K2472" s="21">
        <v>0.0</v>
      </c>
    </row>
    <row r="2473">
      <c r="A2473" s="15" t="s">
        <v>74</v>
      </c>
      <c r="B2473" s="16" t="s">
        <v>233</v>
      </c>
      <c r="C2473" s="17" t="s">
        <v>234</v>
      </c>
      <c r="D2473" s="18">
        <v>3.0</v>
      </c>
      <c r="E2473" s="17" t="s">
        <v>22</v>
      </c>
      <c r="F2473" s="15" t="s">
        <v>146</v>
      </c>
      <c r="G2473" s="19">
        <v>9.0042227E7</v>
      </c>
      <c r="H2473" s="15" t="s">
        <v>241</v>
      </c>
      <c r="I2473" s="20" t="s">
        <v>60</v>
      </c>
      <c r="J2473" s="21">
        <v>2930000.0</v>
      </c>
      <c r="K2473" s="21">
        <v>0.0</v>
      </c>
    </row>
    <row r="2474">
      <c r="A2474" s="15" t="s">
        <v>74</v>
      </c>
      <c r="B2474" s="16" t="s">
        <v>233</v>
      </c>
      <c r="C2474" s="17" t="s">
        <v>234</v>
      </c>
      <c r="D2474" s="18">
        <v>3.0</v>
      </c>
      <c r="E2474" s="17" t="s">
        <v>22</v>
      </c>
      <c r="F2474" s="15" t="s">
        <v>146</v>
      </c>
      <c r="G2474" s="19">
        <v>9.0042228E7</v>
      </c>
      <c r="H2474" s="15" t="s">
        <v>64</v>
      </c>
      <c r="I2474" s="20" t="s">
        <v>60</v>
      </c>
      <c r="J2474" s="21">
        <v>3.0863447E7</v>
      </c>
      <c r="K2474" s="21">
        <v>0.0</v>
      </c>
    </row>
    <row r="2475">
      <c r="A2475" s="15" t="s">
        <v>74</v>
      </c>
      <c r="B2475" s="16" t="s">
        <v>233</v>
      </c>
      <c r="C2475" s="17" t="s">
        <v>234</v>
      </c>
      <c r="D2475" s="18">
        <v>3.0</v>
      </c>
      <c r="E2475" s="17" t="s">
        <v>22</v>
      </c>
      <c r="F2475" s="15" t="s">
        <v>146</v>
      </c>
      <c r="G2475" s="19">
        <v>9.0042231E7</v>
      </c>
      <c r="H2475" s="15" t="s">
        <v>65</v>
      </c>
      <c r="I2475" s="20" t="s">
        <v>60</v>
      </c>
      <c r="J2475" s="21">
        <v>5162527.0</v>
      </c>
      <c r="K2475" s="21">
        <v>0.0</v>
      </c>
    </row>
    <row r="2476">
      <c r="A2476" s="15" t="s">
        <v>74</v>
      </c>
      <c r="B2476" s="16" t="s">
        <v>233</v>
      </c>
      <c r="C2476" s="17" t="s">
        <v>234</v>
      </c>
      <c r="D2476" s="18">
        <v>3.0</v>
      </c>
      <c r="E2476" s="17" t="s">
        <v>22</v>
      </c>
      <c r="F2476" s="15" t="s">
        <v>146</v>
      </c>
      <c r="G2476" s="19">
        <v>9.0042126E7</v>
      </c>
      <c r="H2476" s="15" t="s">
        <v>31</v>
      </c>
      <c r="I2476" s="20" t="s">
        <v>25</v>
      </c>
      <c r="J2476" s="21">
        <v>3.5307185E7</v>
      </c>
      <c r="K2476" s="21">
        <v>0.0</v>
      </c>
    </row>
    <row r="2477">
      <c r="A2477" s="15" t="s">
        <v>74</v>
      </c>
      <c r="B2477" s="16" t="s">
        <v>233</v>
      </c>
      <c r="C2477" s="17" t="s">
        <v>234</v>
      </c>
      <c r="D2477" s="18">
        <v>3.0</v>
      </c>
      <c r="E2477" s="17" t="s">
        <v>22</v>
      </c>
      <c r="F2477" s="15" t="s">
        <v>146</v>
      </c>
      <c r="G2477" s="19">
        <v>9.004212E7</v>
      </c>
      <c r="H2477" s="15" t="s">
        <v>182</v>
      </c>
      <c r="I2477" s="20" t="s">
        <v>25</v>
      </c>
      <c r="J2477" s="21">
        <v>1.466955E8</v>
      </c>
      <c r="K2477" s="21">
        <v>0.0</v>
      </c>
    </row>
    <row r="2478">
      <c r="A2478" s="15" t="s">
        <v>74</v>
      </c>
      <c r="B2478" s="16" t="s">
        <v>233</v>
      </c>
      <c r="C2478" s="17" t="s">
        <v>234</v>
      </c>
      <c r="D2478" s="18">
        <v>3.0</v>
      </c>
      <c r="E2478" s="17" t="s">
        <v>257</v>
      </c>
      <c r="F2478" s="15" t="s">
        <v>258</v>
      </c>
      <c r="G2478" s="19">
        <v>5.1100774E7</v>
      </c>
      <c r="H2478" s="15" t="s">
        <v>39</v>
      </c>
      <c r="I2478" s="20" t="s">
        <v>17</v>
      </c>
      <c r="J2478" s="21">
        <v>805000.0</v>
      </c>
      <c r="K2478" s="21">
        <v>0.092</v>
      </c>
    </row>
    <row r="2479">
      <c r="A2479" s="15" t="s">
        <v>74</v>
      </c>
      <c r="B2479" s="16" t="s">
        <v>244</v>
      </c>
      <c r="C2479" s="17" t="s">
        <v>245</v>
      </c>
      <c r="D2479" s="18">
        <v>3.0</v>
      </c>
      <c r="E2479" s="24">
        <v>46038.0</v>
      </c>
      <c r="F2479" s="15" t="s">
        <v>150</v>
      </c>
      <c r="G2479" s="19">
        <v>9.0043001E7</v>
      </c>
      <c r="H2479" s="15" t="s">
        <v>18</v>
      </c>
      <c r="I2479" s="20" t="s">
        <v>19</v>
      </c>
      <c r="J2479" s="21">
        <v>2.534042E7</v>
      </c>
      <c r="K2479" s="21">
        <v>168.0</v>
      </c>
    </row>
    <row r="2480">
      <c r="A2480" s="15" t="s">
        <v>74</v>
      </c>
      <c r="B2480" s="16" t="s">
        <v>244</v>
      </c>
      <c r="C2480" s="17" t="s">
        <v>245</v>
      </c>
      <c r="D2480" s="18">
        <v>3.0</v>
      </c>
      <c r="E2480" s="24">
        <v>46158.0</v>
      </c>
      <c r="F2480" s="15" t="s">
        <v>151</v>
      </c>
      <c r="G2480" s="19">
        <v>9.0043001E7</v>
      </c>
      <c r="H2480" s="15" t="s">
        <v>18</v>
      </c>
      <c r="I2480" s="20" t="s">
        <v>19</v>
      </c>
      <c r="J2480" s="21">
        <v>311692.0</v>
      </c>
      <c r="K2480" s="21">
        <v>2.0</v>
      </c>
    </row>
    <row r="2481">
      <c r="A2481" s="15" t="s">
        <v>74</v>
      </c>
      <c r="B2481" s="16" t="s">
        <v>244</v>
      </c>
      <c r="C2481" s="17" t="s">
        <v>245</v>
      </c>
      <c r="D2481" s="18">
        <v>3.0</v>
      </c>
      <c r="E2481" s="17" t="s">
        <v>77</v>
      </c>
      <c r="F2481" s="15" t="s">
        <v>78</v>
      </c>
      <c r="G2481" s="19">
        <v>9.0043001E7</v>
      </c>
      <c r="H2481" s="15" t="s">
        <v>18</v>
      </c>
      <c r="I2481" s="20" t="s">
        <v>19</v>
      </c>
      <c r="J2481" s="21">
        <v>6240271.0</v>
      </c>
      <c r="K2481" s="21">
        <v>40.0</v>
      </c>
    </row>
    <row r="2482">
      <c r="A2482" s="15" t="s">
        <v>74</v>
      </c>
      <c r="B2482" s="16" t="s">
        <v>244</v>
      </c>
      <c r="C2482" s="17" t="s">
        <v>245</v>
      </c>
      <c r="D2482" s="18">
        <v>3.0</v>
      </c>
      <c r="E2482" s="17" t="s">
        <v>222</v>
      </c>
      <c r="F2482" s="15" t="s">
        <v>223</v>
      </c>
      <c r="G2482" s="19">
        <v>5.1100153E7</v>
      </c>
      <c r="H2482" s="15" t="s">
        <v>72</v>
      </c>
      <c r="I2482" s="20" t="s">
        <v>17</v>
      </c>
      <c r="J2482" s="21">
        <v>4264997.0</v>
      </c>
      <c r="K2482" s="21">
        <v>26262.0</v>
      </c>
    </row>
    <row r="2483">
      <c r="A2483" s="15" t="s">
        <v>74</v>
      </c>
      <c r="B2483" s="16" t="s">
        <v>244</v>
      </c>
      <c r="C2483" s="17" t="s">
        <v>245</v>
      </c>
      <c r="D2483" s="18">
        <v>3.0</v>
      </c>
      <c r="E2483" s="17" t="s">
        <v>296</v>
      </c>
      <c r="F2483" s="15" t="s">
        <v>297</v>
      </c>
      <c r="G2483" s="19">
        <v>9.0043001E7</v>
      </c>
      <c r="H2483" s="15" t="s">
        <v>18</v>
      </c>
      <c r="I2483" s="20" t="s">
        <v>19</v>
      </c>
      <c r="J2483" s="21">
        <v>155846.0</v>
      </c>
      <c r="K2483" s="21">
        <v>1.0</v>
      </c>
    </row>
    <row r="2484">
      <c r="A2484" s="15" t="s">
        <v>74</v>
      </c>
      <c r="B2484" s="16" t="s">
        <v>244</v>
      </c>
      <c r="C2484" s="17" t="s">
        <v>245</v>
      </c>
      <c r="D2484" s="18">
        <v>3.0</v>
      </c>
      <c r="E2484" s="17" t="s">
        <v>79</v>
      </c>
      <c r="F2484" s="15" t="s">
        <v>80</v>
      </c>
      <c r="G2484" s="19">
        <v>9.0043001E7</v>
      </c>
      <c r="H2484" s="15" t="s">
        <v>18</v>
      </c>
      <c r="I2484" s="20" t="s">
        <v>19</v>
      </c>
      <c r="J2484" s="21">
        <v>467511.0</v>
      </c>
      <c r="K2484" s="21">
        <v>3.0</v>
      </c>
    </row>
    <row r="2485">
      <c r="A2485" s="15" t="s">
        <v>74</v>
      </c>
      <c r="B2485" s="16" t="s">
        <v>244</v>
      </c>
      <c r="C2485" s="17" t="s">
        <v>245</v>
      </c>
      <c r="D2485" s="18">
        <v>3.0</v>
      </c>
      <c r="E2485" s="17" t="s">
        <v>81</v>
      </c>
      <c r="F2485" s="15" t="s">
        <v>82</v>
      </c>
      <c r="G2485" s="19">
        <v>9.0043001E7</v>
      </c>
      <c r="H2485" s="15" t="s">
        <v>18</v>
      </c>
      <c r="I2485" s="20" t="s">
        <v>19</v>
      </c>
      <c r="J2485" s="21">
        <v>1.5607923E7</v>
      </c>
      <c r="K2485" s="21">
        <v>98.0</v>
      </c>
    </row>
    <row r="2486">
      <c r="A2486" s="15" t="s">
        <v>74</v>
      </c>
      <c r="B2486" s="16" t="s">
        <v>244</v>
      </c>
      <c r="C2486" s="17" t="s">
        <v>245</v>
      </c>
      <c r="D2486" s="18">
        <v>3.0</v>
      </c>
      <c r="E2486" s="17" t="s">
        <v>84</v>
      </c>
      <c r="F2486" s="15" t="s">
        <v>85</v>
      </c>
      <c r="G2486" s="19">
        <v>9.0043001E7</v>
      </c>
      <c r="H2486" s="15" t="s">
        <v>18</v>
      </c>
      <c r="I2486" s="20" t="s">
        <v>19</v>
      </c>
      <c r="J2486" s="21">
        <v>2.5215588E7</v>
      </c>
      <c r="K2486" s="21">
        <v>160.0</v>
      </c>
    </row>
    <row r="2487">
      <c r="A2487" s="15" t="s">
        <v>74</v>
      </c>
      <c r="B2487" s="16" t="s">
        <v>244</v>
      </c>
      <c r="C2487" s="17" t="s">
        <v>245</v>
      </c>
      <c r="D2487" s="18">
        <v>3.0</v>
      </c>
      <c r="E2487" s="17" t="s">
        <v>84</v>
      </c>
      <c r="F2487" s="15" t="s">
        <v>85</v>
      </c>
      <c r="G2487" s="19">
        <v>9.0043E7</v>
      </c>
      <c r="H2487" s="15" t="s">
        <v>83</v>
      </c>
      <c r="I2487" s="20" t="s">
        <v>19</v>
      </c>
      <c r="J2487" s="21">
        <v>483531.0</v>
      </c>
      <c r="K2487" s="21">
        <v>3.0</v>
      </c>
    </row>
    <row r="2488">
      <c r="A2488" s="15" t="s">
        <v>74</v>
      </c>
      <c r="B2488" s="16" t="s">
        <v>244</v>
      </c>
      <c r="C2488" s="17" t="s">
        <v>245</v>
      </c>
      <c r="D2488" s="18">
        <v>3.0</v>
      </c>
      <c r="E2488" s="17" t="s">
        <v>86</v>
      </c>
      <c r="F2488" s="15" t="s">
        <v>87</v>
      </c>
      <c r="G2488" s="19">
        <v>9.0043001E7</v>
      </c>
      <c r="H2488" s="15" t="s">
        <v>18</v>
      </c>
      <c r="I2488" s="20" t="s">
        <v>19</v>
      </c>
      <c r="J2488" s="21">
        <v>3.145302E7</v>
      </c>
      <c r="K2488" s="21">
        <v>197.0</v>
      </c>
    </row>
    <row r="2489">
      <c r="A2489" s="15" t="s">
        <v>74</v>
      </c>
      <c r="B2489" s="16" t="s">
        <v>244</v>
      </c>
      <c r="C2489" s="17" t="s">
        <v>245</v>
      </c>
      <c r="D2489" s="18">
        <v>3.0</v>
      </c>
      <c r="E2489" s="17" t="s">
        <v>86</v>
      </c>
      <c r="F2489" s="15" t="s">
        <v>87</v>
      </c>
      <c r="G2489" s="19">
        <v>9.0043E7</v>
      </c>
      <c r="H2489" s="15" t="s">
        <v>83</v>
      </c>
      <c r="I2489" s="20" t="s">
        <v>19</v>
      </c>
      <c r="J2489" s="21">
        <v>5017380.0</v>
      </c>
      <c r="K2489" s="21">
        <v>30.0</v>
      </c>
    </row>
    <row r="2490">
      <c r="A2490" s="15" t="s">
        <v>74</v>
      </c>
      <c r="B2490" s="16" t="s">
        <v>244</v>
      </c>
      <c r="C2490" s="17" t="s">
        <v>245</v>
      </c>
      <c r="D2490" s="18">
        <v>3.0</v>
      </c>
      <c r="E2490" s="17" t="s">
        <v>88</v>
      </c>
      <c r="F2490" s="15" t="s">
        <v>89</v>
      </c>
      <c r="G2490" s="19">
        <v>5.1100102E7</v>
      </c>
      <c r="H2490" s="15" t="s">
        <v>172</v>
      </c>
      <c r="I2490" s="20" t="s">
        <v>25</v>
      </c>
      <c r="J2490" s="21">
        <v>820971.0</v>
      </c>
      <c r="K2490" s="21">
        <v>0.0</v>
      </c>
    </row>
    <row r="2491">
      <c r="A2491" s="15" t="s">
        <v>74</v>
      </c>
      <c r="B2491" s="16" t="s">
        <v>244</v>
      </c>
      <c r="C2491" s="17" t="s">
        <v>245</v>
      </c>
      <c r="D2491" s="18">
        <v>3.0</v>
      </c>
      <c r="E2491" s="17" t="s">
        <v>88</v>
      </c>
      <c r="F2491" s="15" t="s">
        <v>89</v>
      </c>
      <c r="G2491" s="19">
        <v>9.0043002E7</v>
      </c>
      <c r="H2491" s="15" t="s">
        <v>49</v>
      </c>
      <c r="I2491" s="20" t="s">
        <v>50</v>
      </c>
      <c r="J2491" s="21">
        <v>1.1196169E7</v>
      </c>
      <c r="K2491" s="21">
        <v>481.0</v>
      </c>
    </row>
    <row r="2492">
      <c r="A2492" s="15" t="s">
        <v>74</v>
      </c>
      <c r="B2492" s="16" t="s">
        <v>244</v>
      </c>
      <c r="C2492" s="17" t="s">
        <v>245</v>
      </c>
      <c r="D2492" s="18">
        <v>3.0</v>
      </c>
      <c r="E2492" s="17" t="s">
        <v>91</v>
      </c>
      <c r="F2492" s="15" t="s">
        <v>92</v>
      </c>
      <c r="G2492" s="19">
        <v>9.0043001E7</v>
      </c>
      <c r="H2492" s="15" t="s">
        <v>18</v>
      </c>
      <c r="I2492" s="20" t="s">
        <v>19</v>
      </c>
      <c r="J2492" s="21">
        <v>1.3420092E7</v>
      </c>
      <c r="K2492" s="21">
        <v>86.0</v>
      </c>
    </row>
    <row r="2493">
      <c r="A2493" s="15" t="s">
        <v>74</v>
      </c>
      <c r="B2493" s="16" t="s">
        <v>244</v>
      </c>
      <c r="C2493" s="17" t="s">
        <v>245</v>
      </c>
      <c r="D2493" s="18">
        <v>3.0</v>
      </c>
      <c r="E2493" s="17" t="s">
        <v>91</v>
      </c>
      <c r="F2493" s="15" t="s">
        <v>92</v>
      </c>
      <c r="G2493" s="19">
        <v>5.1100774E7</v>
      </c>
      <c r="H2493" s="15" t="s">
        <v>39</v>
      </c>
      <c r="I2493" s="20" t="s">
        <v>17</v>
      </c>
      <c r="J2493" s="21">
        <v>1197000.0</v>
      </c>
      <c r="K2493" s="21">
        <v>133.0</v>
      </c>
    </row>
    <row r="2494">
      <c r="A2494" s="15" t="s">
        <v>74</v>
      </c>
      <c r="B2494" s="16" t="s">
        <v>244</v>
      </c>
      <c r="C2494" s="17" t="s">
        <v>245</v>
      </c>
      <c r="D2494" s="18">
        <v>3.0</v>
      </c>
      <c r="E2494" s="17" t="s">
        <v>246</v>
      </c>
      <c r="F2494" s="15" t="s">
        <v>247</v>
      </c>
      <c r="G2494" s="19">
        <v>9.0043001E7</v>
      </c>
      <c r="H2494" s="15" t="s">
        <v>18</v>
      </c>
      <c r="I2494" s="20" t="s">
        <v>19</v>
      </c>
      <c r="J2494" s="21">
        <v>1.1900121E7</v>
      </c>
      <c r="K2494" s="21">
        <v>75.0</v>
      </c>
    </row>
    <row r="2495">
      <c r="A2495" s="15" t="s">
        <v>74</v>
      </c>
      <c r="B2495" s="16" t="s">
        <v>244</v>
      </c>
      <c r="C2495" s="17" t="s">
        <v>245</v>
      </c>
      <c r="D2495" s="18">
        <v>3.0</v>
      </c>
      <c r="E2495" s="17" t="s">
        <v>235</v>
      </c>
      <c r="F2495" s="15" t="s">
        <v>236</v>
      </c>
      <c r="G2495" s="19">
        <v>5.1100064E7</v>
      </c>
      <c r="H2495" s="15" t="s">
        <v>53</v>
      </c>
      <c r="I2495" s="20" t="s">
        <v>25</v>
      </c>
      <c r="J2495" s="21">
        <v>-58.0</v>
      </c>
      <c r="K2495" s="21">
        <v>0.0</v>
      </c>
    </row>
    <row r="2496">
      <c r="A2496" s="15" t="s">
        <v>74</v>
      </c>
      <c r="B2496" s="16" t="s">
        <v>244</v>
      </c>
      <c r="C2496" s="17" t="s">
        <v>245</v>
      </c>
      <c r="D2496" s="18">
        <v>3.0</v>
      </c>
      <c r="E2496" s="17" t="s">
        <v>95</v>
      </c>
      <c r="F2496" s="15" t="s">
        <v>96</v>
      </c>
      <c r="G2496" s="19">
        <v>5.1100058E7</v>
      </c>
      <c r="H2496" s="15" t="s">
        <v>36</v>
      </c>
      <c r="I2496" s="20" t="s">
        <v>37</v>
      </c>
      <c r="J2496" s="21">
        <v>9660136.0</v>
      </c>
      <c r="K2496" s="21">
        <v>131.55</v>
      </c>
    </row>
    <row r="2497">
      <c r="A2497" s="15" t="s">
        <v>74</v>
      </c>
      <c r="B2497" s="16" t="s">
        <v>244</v>
      </c>
      <c r="C2497" s="17" t="s">
        <v>245</v>
      </c>
      <c r="D2497" s="18">
        <v>3.0</v>
      </c>
      <c r="E2497" s="17" t="s">
        <v>95</v>
      </c>
      <c r="F2497" s="15" t="s">
        <v>96</v>
      </c>
      <c r="G2497" s="19">
        <v>9.0043001E7</v>
      </c>
      <c r="H2497" s="15" t="s">
        <v>18</v>
      </c>
      <c r="I2497" s="20" t="s">
        <v>19</v>
      </c>
      <c r="J2497" s="21">
        <v>4231285.0</v>
      </c>
      <c r="K2497" s="21">
        <v>27.0</v>
      </c>
    </row>
    <row r="2498">
      <c r="A2498" s="15" t="s">
        <v>74</v>
      </c>
      <c r="B2498" s="16" t="s">
        <v>244</v>
      </c>
      <c r="C2498" s="17" t="s">
        <v>245</v>
      </c>
      <c r="D2498" s="18">
        <v>3.0</v>
      </c>
      <c r="E2498" s="17" t="s">
        <v>97</v>
      </c>
      <c r="F2498" s="15" t="s">
        <v>98</v>
      </c>
      <c r="G2498" s="19">
        <v>9.0043001E7</v>
      </c>
      <c r="H2498" s="15" t="s">
        <v>18</v>
      </c>
      <c r="I2498" s="20" t="s">
        <v>19</v>
      </c>
      <c r="J2498" s="21">
        <v>1456593.0</v>
      </c>
      <c r="K2498" s="21">
        <v>9.0</v>
      </c>
    </row>
    <row r="2499">
      <c r="A2499" s="15" t="s">
        <v>74</v>
      </c>
      <c r="B2499" s="16" t="s">
        <v>244</v>
      </c>
      <c r="C2499" s="17" t="s">
        <v>245</v>
      </c>
      <c r="D2499" s="18">
        <v>3.0</v>
      </c>
      <c r="E2499" s="17" t="s">
        <v>99</v>
      </c>
      <c r="F2499" s="15" t="s">
        <v>100</v>
      </c>
      <c r="G2499" s="19">
        <v>9.0043001E7</v>
      </c>
      <c r="H2499" s="15" t="s">
        <v>18</v>
      </c>
      <c r="I2499" s="20" t="s">
        <v>19</v>
      </c>
      <c r="J2499" s="21">
        <v>3.7765373E7</v>
      </c>
      <c r="K2499" s="21">
        <v>242.0</v>
      </c>
    </row>
    <row r="2500">
      <c r="A2500" s="15" t="s">
        <v>74</v>
      </c>
      <c r="B2500" s="16" t="s">
        <v>244</v>
      </c>
      <c r="C2500" s="17" t="s">
        <v>245</v>
      </c>
      <c r="D2500" s="18">
        <v>3.0</v>
      </c>
      <c r="E2500" s="17" t="s">
        <v>101</v>
      </c>
      <c r="F2500" s="15" t="s">
        <v>102</v>
      </c>
      <c r="G2500" s="19">
        <v>5.1101056E7</v>
      </c>
      <c r="H2500" s="15" t="s">
        <v>16</v>
      </c>
      <c r="I2500" s="20" t="s">
        <v>25</v>
      </c>
      <c r="J2500" s="21">
        <v>0.0</v>
      </c>
      <c r="K2500" s="21">
        <v>0.0</v>
      </c>
    </row>
    <row r="2501">
      <c r="A2501" s="15" t="s">
        <v>74</v>
      </c>
      <c r="B2501" s="16" t="s">
        <v>244</v>
      </c>
      <c r="C2501" s="17" t="s">
        <v>245</v>
      </c>
      <c r="D2501" s="18">
        <v>3.0</v>
      </c>
      <c r="E2501" s="17" t="s">
        <v>101</v>
      </c>
      <c r="F2501" s="15" t="s">
        <v>102</v>
      </c>
      <c r="G2501" s="19">
        <v>9.0043001E7</v>
      </c>
      <c r="H2501" s="15" t="s">
        <v>18</v>
      </c>
      <c r="I2501" s="20" t="s">
        <v>19</v>
      </c>
      <c r="J2501" s="21">
        <v>1.22250689E8</v>
      </c>
      <c r="K2501" s="21">
        <v>767.0</v>
      </c>
    </row>
    <row r="2502">
      <c r="A2502" s="15" t="s">
        <v>74</v>
      </c>
      <c r="B2502" s="16" t="s">
        <v>244</v>
      </c>
      <c r="C2502" s="17" t="s">
        <v>245</v>
      </c>
      <c r="D2502" s="18">
        <v>3.0</v>
      </c>
      <c r="E2502" s="17" t="s">
        <v>101</v>
      </c>
      <c r="F2502" s="15" t="s">
        <v>102</v>
      </c>
      <c r="G2502" s="19">
        <v>5.1100774E7</v>
      </c>
      <c r="H2502" s="15" t="s">
        <v>39</v>
      </c>
      <c r="I2502" s="20" t="s">
        <v>17</v>
      </c>
      <c r="J2502" s="21">
        <v>1.335314E7</v>
      </c>
      <c r="K2502" s="21">
        <v>192.83</v>
      </c>
    </row>
    <row r="2503">
      <c r="A2503" s="15" t="s">
        <v>74</v>
      </c>
      <c r="B2503" s="16" t="s">
        <v>244</v>
      </c>
      <c r="C2503" s="17" t="s">
        <v>245</v>
      </c>
      <c r="D2503" s="18">
        <v>3.0</v>
      </c>
      <c r="E2503" s="17" t="s">
        <v>103</v>
      </c>
      <c r="F2503" s="15" t="s">
        <v>104</v>
      </c>
      <c r="G2503" s="19">
        <v>5.1100058E7</v>
      </c>
      <c r="H2503" s="15" t="s">
        <v>36</v>
      </c>
      <c r="I2503" s="20" t="s">
        <v>37</v>
      </c>
      <c r="J2503" s="21">
        <v>2.8405355E7</v>
      </c>
      <c r="K2503" s="21">
        <v>359.32</v>
      </c>
    </row>
    <row r="2504">
      <c r="A2504" s="15" t="s">
        <v>74</v>
      </c>
      <c r="B2504" s="16" t="s">
        <v>244</v>
      </c>
      <c r="C2504" s="17" t="s">
        <v>245</v>
      </c>
      <c r="D2504" s="18">
        <v>3.0</v>
      </c>
      <c r="E2504" s="17" t="s">
        <v>103</v>
      </c>
      <c r="F2504" s="15" t="s">
        <v>104</v>
      </c>
      <c r="G2504" s="19">
        <v>5.1101056E7</v>
      </c>
      <c r="H2504" s="15" t="s">
        <v>16</v>
      </c>
      <c r="I2504" s="20" t="s">
        <v>25</v>
      </c>
      <c r="J2504" s="21">
        <v>0.0</v>
      </c>
      <c r="K2504" s="21">
        <v>0.0</v>
      </c>
    </row>
    <row r="2505">
      <c r="A2505" s="15" t="s">
        <v>74</v>
      </c>
      <c r="B2505" s="16" t="s">
        <v>244</v>
      </c>
      <c r="C2505" s="17" t="s">
        <v>245</v>
      </c>
      <c r="D2505" s="18">
        <v>3.0</v>
      </c>
      <c r="E2505" s="17" t="s">
        <v>103</v>
      </c>
      <c r="F2505" s="15" t="s">
        <v>104</v>
      </c>
      <c r="G2505" s="19">
        <v>9.0043001E7</v>
      </c>
      <c r="H2505" s="15" t="s">
        <v>18</v>
      </c>
      <c r="I2505" s="20" t="s">
        <v>19</v>
      </c>
      <c r="J2505" s="21">
        <v>2.5996087E7</v>
      </c>
      <c r="K2505" s="21">
        <v>164.0</v>
      </c>
    </row>
    <row r="2506">
      <c r="A2506" s="15" t="s">
        <v>74</v>
      </c>
      <c r="B2506" s="16" t="s">
        <v>244</v>
      </c>
      <c r="C2506" s="17" t="s">
        <v>245</v>
      </c>
      <c r="D2506" s="18">
        <v>3.0</v>
      </c>
      <c r="E2506" s="17" t="s">
        <v>103</v>
      </c>
      <c r="F2506" s="15" t="s">
        <v>104</v>
      </c>
      <c r="G2506" s="19">
        <v>5.1100774E7</v>
      </c>
      <c r="H2506" s="15" t="s">
        <v>39</v>
      </c>
      <c r="I2506" s="20" t="s">
        <v>17</v>
      </c>
      <c r="J2506" s="21">
        <v>2.6033649E7</v>
      </c>
      <c r="K2506" s="21">
        <v>140.98</v>
      </c>
    </row>
    <row r="2507">
      <c r="A2507" s="15" t="s">
        <v>74</v>
      </c>
      <c r="B2507" s="16" t="s">
        <v>244</v>
      </c>
      <c r="C2507" s="17" t="s">
        <v>245</v>
      </c>
      <c r="D2507" s="18">
        <v>3.0</v>
      </c>
      <c r="E2507" s="17" t="s">
        <v>108</v>
      </c>
      <c r="F2507" s="15" t="s">
        <v>109</v>
      </c>
      <c r="G2507" s="19">
        <v>5.1100058E7</v>
      </c>
      <c r="H2507" s="15" t="s">
        <v>36</v>
      </c>
      <c r="I2507" s="20" t="s">
        <v>37</v>
      </c>
      <c r="J2507" s="21">
        <v>9242188.0</v>
      </c>
      <c r="K2507" s="21">
        <v>113.75</v>
      </c>
    </row>
    <row r="2508">
      <c r="A2508" s="15" t="s">
        <v>74</v>
      </c>
      <c r="B2508" s="16" t="s">
        <v>244</v>
      </c>
      <c r="C2508" s="17" t="s">
        <v>245</v>
      </c>
      <c r="D2508" s="18">
        <v>3.0</v>
      </c>
      <c r="E2508" s="17" t="s">
        <v>108</v>
      </c>
      <c r="F2508" s="15" t="s">
        <v>109</v>
      </c>
      <c r="G2508" s="19">
        <v>5.1101056E7</v>
      </c>
      <c r="H2508" s="15" t="s">
        <v>16</v>
      </c>
      <c r="I2508" s="20" t="s">
        <v>25</v>
      </c>
      <c r="J2508" s="21">
        <v>0.0</v>
      </c>
      <c r="K2508" s="21">
        <v>0.0</v>
      </c>
    </row>
    <row r="2509">
      <c r="A2509" s="15" t="s">
        <v>74</v>
      </c>
      <c r="B2509" s="16" t="s">
        <v>244</v>
      </c>
      <c r="C2509" s="17" t="s">
        <v>245</v>
      </c>
      <c r="D2509" s="18">
        <v>3.0</v>
      </c>
      <c r="E2509" s="17" t="s">
        <v>108</v>
      </c>
      <c r="F2509" s="15" t="s">
        <v>109</v>
      </c>
      <c r="G2509" s="19">
        <v>5.1100774E7</v>
      </c>
      <c r="H2509" s="15" t="s">
        <v>39</v>
      </c>
      <c r="I2509" s="20" t="s">
        <v>17</v>
      </c>
      <c r="J2509" s="21">
        <v>3271103.0</v>
      </c>
      <c r="K2509" s="21">
        <v>88.57</v>
      </c>
    </row>
    <row r="2510">
      <c r="A2510" s="15" t="s">
        <v>74</v>
      </c>
      <c r="B2510" s="16" t="s">
        <v>244</v>
      </c>
      <c r="C2510" s="17" t="s">
        <v>245</v>
      </c>
      <c r="D2510" s="18">
        <v>3.0</v>
      </c>
      <c r="E2510" s="17" t="s">
        <v>110</v>
      </c>
      <c r="F2510" s="15" t="s">
        <v>111</v>
      </c>
      <c r="G2510" s="19">
        <v>5.1100058E7</v>
      </c>
      <c r="H2510" s="15" t="s">
        <v>36</v>
      </c>
      <c r="I2510" s="20" t="s">
        <v>37</v>
      </c>
      <c r="J2510" s="21">
        <v>161098.0</v>
      </c>
      <c r="K2510" s="21">
        <v>0.76</v>
      </c>
    </row>
    <row r="2511">
      <c r="A2511" s="15" t="s">
        <v>74</v>
      </c>
      <c r="B2511" s="16" t="s">
        <v>244</v>
      </c>
      <c r="C2511" s="17" t="s">
        <v>245</v>
      </c>
      <c r="D2511" s="18">
        <v>3.0</v>
      </c>
      <c r="E2511" s="17" t="s">
        <v>207</v>
      </c>
      <c r="F2511" s="15" t="s">
        <v>208</v>
      </c>
      <c r="G2511" s="19">
        <v>9.0043001E7</v>
      </c>
      <c r="H2511" s="15" t="s">
        <v>18</v>
      </c>
      <c r="I2511" s="20" t="s">
        <v>19</v>
      </c>
      <c r="J2511" s="21">
        <v>957132.0</v>
      </c>
      <c r="K2511" s="21">
        <v>6.0</v>
      </c>
    </row>
    <row r="2512">
      <c r="A2512" s="15" t="s">
        <v>74</v>
      </c>
      <c r="B2512" s="16" t="s">
        <v>244</v>
      </c>
      <c r="C2512" s="17" t="s">
        <v>245</v>
      </c>
      <c r="D2512" s="18">
        <v>3.0</v>
      </c>
      <c r="E2512" s="17" t="s">
        <v>175</v>
      </c>
      <c r="F2512" s="15" t="s">
        <v>176</v>
      </c>
      <c r="G2512" s="19">
        <v>5.1100651E7</v>
      </c>
      <c r="H2512" s="15" t="s">
        <v>38</v>
      </c>
      <c r="I2512" s="20" t="s">
        <v>25</v>
      </c>
      <c r="J2512" s="21">
        <v>0.0</v>
      </c>
      <c r="K2512" s="21">
        <v>0.0</v>
      </c>
    </row>
    <row r="2513">
      <c r="A2513" s="15" t="s">
        <v>74</v>
      </c>
      <c r="B2513" s="16" t="s">
        <v>244</v>
      </c>
      <c r="C2513" s="17" t="s">
        <v>245</v>
      </c>
      <c r="D2513" s="18">
        <v>3.0</v>
      </c>
      <c r="E2513" s="17" t="s">
        <v>175</v>
      </c>
      <c r="F2513" s="15" t="s">
        <v>176</v>
      </c>
      <c r="G2513" s="19">
        <v>9.0043002E7</v>
      </c>
      <c r="H2513" s="15" t="s">
        <v>49</v>
      </c>
      <c r="I2513" s="20" t="s">
        <v>50</v>
      </c>
      <c r="J2513" s="21">
        <v>625278.0</v>
      </c>
      <c r="K2513" s="21">
        <v>30.0</v>
      </c>
    </row>
    <row r="2514">
      <c r="A2514" s="15" t="s">
        <v>74</v>
      </c>
      <c r="B2514" s="16" t="s">
        <v>244</v>
      </c>
      <c r="C2514" s="17" t="s">
        <v>245</v>
      </c>
      <c r="D2514" s="18">
        <v>3.0</v>
      </c>
      <c r="E2514" s="17" t="s">
        <v>175</v>
      </c>
      <c r="F2514" s="15" t="s">
        <v>176</v>
      </c>
      <c r="G2514" s="19">
        <v>5.1100774E7</v>
      </c>
      <c r="H2514" s="15" t="s">
        <v>39</v>
      </c>
      <c r="I2514" s="20" t="s">
        <v>17</v>
      </c>
      <c r="J2514" s="21">
        <v>315000.0</v>
      </c>
      <c r="K2514" s="21">
        <v>4500.0</v>
      </c>
    </row>
    <row r="2515">
      <c r="A2515" s="15" t="s">
        <v>74</v>
      </c>
      <c r="B2515" s="16" t="s">
        <v>244</v>
      </c>
      <c r="C2515" s="17" t="s">
        <v>245</v>
      </c>
      <c r="D2515" s="18">
        <v>3.0</v>
      </c>
      <c r="E2515" s="17" t="s">
        <v>117</v>
      </c>
      <c r="F2515" s="15" t="s">
        <v>118</v>
      </c>
      <c r="G2515" s="19">
        <v>5.1100058E7</v>
      </c>
      <c r="H2515" s="15" t="s">
        <v>36</v>
      </c>
      <c r="I2515" s="20" t="s">
        <v>37</v>
      </c>
      <c r="J2515" s="21">
        <v>7.0665642E7</v>
      </c>
      <c r="K2515" s="21">
        <v>18322.4</v>
      </c>
    </row>
    <row r="2516">
      <c r="A2516" s="15" t="s">
        <v>74</v>
      </c>
      <c r="B2516" s="16" t="s">
        <v>244</v>
      </c>
      <c r="C2516" s="17" t="s">
        <v>245</v>
      </c>
      <c r="D2516" s="18">
        <v>3.0</v>
      </c>
      <c r="E2516" s="17" t="s">
        <v>117</v>
      </c>
      <c r="F2516" s="15" t="s">
        <v>118</v>
      </c>
      <c r="G2516" s="19">
        <v>5.1101056E7</v>
      </c>
      <c r="H2516" s="15" t="s">
        <v>16</v>
      </c>
      <c r="I2516" s="20" t="s">
        <v>25</v>
      </c>
      <c r="J2516" s="21">
        <v>0.0</v>
      </c>
      <c r="K2516" s="21">
        <v>0.0</v>
      </c>
    </row>
    <row r="2517">
      <c r="A2517" s="15" t="s">
        <v>74</v>
      </c>
      <c r="B2517" s="16" t="s">
        <v>244</v>
      </c>
      <c r="C2517" s="17" t="s">
        <v>245</v>
      </c>
      <c r="D2517" s="18">
        <v>3.0</v>
      </c>
      <c r="E2517" s="17" t="s">
        <v>117</v>
      </c>
      <c r="F2517" s="15" t="s">
        <v>118</v>
      </c>
      <c r="G2517" s="19">
        <v>9.0043001E7</v>
      </c>
      <c r="H2517" s="15" t="s">
        <v>18</v>
      </c>
      <c r="I2517" s="20" t="s">
        <v>19</v>
      </c>
      <c r="J2517" s="21">
        <v>4651348.0</v>
      </c>
      <c r="K2517" s="21">
        <v>29.0</v>
      </c>
    </row>
    <row r="2518">
      <c r="A2518" s="15" t="s">
        <v>74</v>
      </c>
      <c r="B2518" s="16" t="s">
        <v>244</v>
      </c>
      <c r="C2518" s="17" t="s">
        <v>245</v>
      </c>
      <c r="D2518" s="18">
        <v>3.0</v>
      </c>
      <c r="E2518" s="17" t="s">
        <v>117</v>
      </c>
      <c r="F2518" s="15" t="s">
        <v>118</v>
      </c>
      <c r="G2518" s="19">
        <v>5.1100774E7</v>
      </c>
      <c r="H2518" s="15" t="s">
        <v>39</v>
      </c>
      <c r="I2518" s="20" t="s">
        <v>17</v>
      </c>
      <c r="J2518" s="21">
        <v>3637842.0</v>
      </c>
      <c r="K2518" s="21">
        <v>43.2</v>
      </c>
    </row>
    <row r="2519">
      <c r="A2519" s="15" t="s">
        <v>74</v>
      </c>
      <c r="B2519" s="16" t="s">
        <v>244</v>
      </c>
      <c r="C2519" s="17" t="s">
        <v>245</v>
      </c>
      <c r="D2519" s="18">
        <v>3.0</v>
      </c>
      <c r="E2519" s="17" t="s">
        <v>123</v>
      </c>
      <c r="F2519" s="15" t="s">
        <v>124</v>
      </c>
      <c r="G2519" s="19">
        <v>5.1100651E7</v>
      </c>
      <c r="H2519" s="15" t="s">
        <v>38</v>
      </c>
      <c r="I2519" s="20" t="s">
        <v>25</v>
      </c>
      <c r="J2519" s="21">
        <v>0.0</v>
      </c>
      <c r="K2519" s="21">
        <v>0.0</v>
      </c>
    </row>
    <row r="2520">
      <c r="A2520" s="15" t="s">
        <v>74</v>
      </c>
      <c r="B2520" s="16" t="s">
        <v>244</v>
      </c>
      <c r="C2520" s="17" t="s">
        <v>245</v>
      </c>
      <c r="D2520" s="18">
        <v>3.0</v>
      </c>
      <c r="E2520" s="17" t="s">
        <v>123</v>
      </c>
      <c r="F2520" s="15" t="s">
        <v>124</v>
      </c>
      <c r="G2520" s="19">
        <v>5.1100774E7</v>
      </c>
      <c r="H2520" s="15" t="s">
        <v>39</v>
      </c>
      <c r="I2520" s="20" t="s">
        <v>17</v>
      </c>
      <c r="J2520" s="21">
        <v>5.4911092E7</v>
      </c>
      <c r="K2520" s="21">
        <v>74.34</v>
      </c>
    </row>
    <row r="2521">
      <c r="A2521" s="15" t="s">
        <v>74</v>
      </c>
      <c r="B2521" s="16" t="s">
        <v>244</v>
      </c>
      <c r="C2521" s="17" t="s">
        <v>245</v>
      </c>
      <c r="D2521" s="18">
        <v>3.0</v>
      </c>
      <c r="E2521" s="17" t="s">
        <v>125</v>
      </c>
      <c r="F2521" s="15" t="s">
        <v>126</v>
      </c>
      <c r="G2521" s="19">
        <v>9.0043001E7</v>
      </c>
      <c r="H2521" s="15" t="s">
        <v>18</v>
      </c>
      <c r="I2521" s="20" t="s">
        <v>19</v>
      </c>
      <c r="J2521" s="21">
        <v>4.42662E8</v>
      </c>
      <c r="K2521" s="21">
        <v>2872.94</v>
      </c>
    </row>
    <row r="2522">
      <c r="A2522" s="15" t="s">
        <v>74</v>
      </c>
      <c r="B2522" s="16" t="s">
        <v>244</v>
      </c>
      <c r="C2522" s="17" t="s">
        <v>245</v>
      </c>
      <c r="D2522" s="18">
        <v>3.0</v>
      </c>
      <c r="E2522" s="17" t="s">
        <v>127</v>
      </c>
      <c r="F2522" s="15" t="s">
        <v>128</v>
      </c>
      <c r="G2522" s="19">
        <v>5.1100153E7</v>
      </c>
      <c r="H2522" s="15" t="s">
        <v>72</v>
      </c>
      <c r="I2522" s="20" t="s">
        <v>17</v>
      </c>
      <c r="J2522" s="21">
        <v>3.0774048E8</v>
      </c>
      <c r="K2522" s="21">
        <v>1646201.0</v>
      </c>
    </row>
    <row r="2523">
      <c r="A2523" s="15" t="s">
        <v>74</v>
      </c>
      <c r="B2523" s="16" t="s">
        <v>244</v>
      </c>
      <c r="C2523" s="17" t="s">
        <v>245</v>
      </c>
      <c r="D2523" s="18">
        <v>3.0</v>
      </c>
      <c r="E2523" s="17" t="s">
        <v>129</v>
      </c>
      <c r="F2523" s="15" t="s">
        <v>130</v>
      </c>
      <c r="G2523" s="19">
        <v>5.1100153E7</v>
      </c>
      <c r="H2523" s="15" t="s">
        <v>72</v>
      </c>
      <c r="I2523" s="20" t="s">
        <v>25</v>
      </c>
      <c r="J2523" s="21">
        <v>0.0</v>
      </c>
      <c r="K2523" s="21">
        <v>0.0</v>
      </c>
    </row>
    <row r="2524">
      <c r="A2524" s="15" t="s">
        <v>74</v>
      </c>
      <c r="B2524" s="16" t="s">
        <v>244</v>
      </c>
      <c r="C2524" s="17" t="s">
        <v>245</v>
      </c>
      <c r="D2524" s="18">
        <v>3.0</v>
      </c>
      <c r="E2524" s="17" t="s">
        <v>129</v>
      </c>
      <c r="F2524" s="15" t="s">
        <v>130</v>
      </c>
      <c r="G2524" s="19">
        <v>5.1101056E7</v>
      </c>
      <c r="H2524" s="15" t="s">
        <v>16</v>
      </c>
      <c r="I2524" s="20" t="s">
        <v>17</v>
      </c>
      <c r="J2524" s="21">
        <v>1.82358E7</v>
      </c>
      <c r="K2524" s="21">
        <v>183.0</v>
      </c>
    </row>
    <row r="2525">
      <c r="A2525" s="15" t="s">
        <v>74</v>
      </c>
      <c r="B2525" s="16" t="s">
        <v>244</v>
      </c>
      <c r="C2525" s="17" t="s">
        <v>245</v>
      </c>
      <c r="D2525" s="18">
        <v>3.0</v>
      </c>
      <c r="E2525" s="17" t="s">
        <v>129</v>
      </c>
      <c r="F2525" s="15" t="s">
        <v>130</v>
      </c>
      <c r="G2525" s="19">
        <v>9.0043001E7</v>
      </c>
      <c r="H2525" s="15" t="s">
        <v>18</v>
      </c>
      <c r="I2525" s="20" t="s">
        <v>19</v>
      </c>
      <c r="J2525" s="21">
        <v>1.1380994E7</v>
      </c>
      <c r="K2525" s="21">
        <v>71.5</v>
      </c>
    </row>
    <row r="2526">
      <c r="A2526" s="15" t="s">
        <v>74</v>
      </c>
      <c r="B2526" s="16" t="s">
        <v>244</v>
      </c>
      <c r="C2526" s="17" t="s">
        <v>245</v>
      </c>
      <c r="D2526" s="18">
        <v>3.0</v>
      </c>
      <c r="E2526" s="17" t="s">
        <v>129</v>
      </c>
      <c r="F2526" s="15" t="s">
        <v>130</v>
      </c>
      <c r="G2526" s="19">
        <v>9.0043002E7</v>
      </c>
      <c r="H2526" s="15" t="s">
        <v>49</v>
      </c>
      <c r="I2526" s="20" t="s">
        <v>50</v>
      </c>
      <c r="J2526" s="21">
        <v>1458982.0</v>
      </c>
      <c r="K2526" s="21">
        <v>70.0</v>
      </c>
    </row>
    <row r="2527">
      <c r="A2527" s="15" t="s">
        <v>74</v>
      </c>
      <c r="B2527" s="16" t="s">
        <v>244</v>
      </c>
      <c r="C2527" s="17" t="s">
        <v>245</v>
      </c>
      <c r="D2527" s="18">
        <v>3.0</v>
      </c>
      <c r="E2527" s="17" t="s">
        <v>129</v>
      </c>
      <c r="F2527" s="15" t="s">
        <v>130</v>
      </c>
      <c r="G2527" s="19">
        <v>9.0043003E7</v>
      </c>
      <c r="H2527" s="15" t="s">
        <v>90</v>
      </c>
      <c r="I2527" s="20" t="s">
        <v>50</v>
      </c>
      <c r="J2527" s="21">
        <v>5.5912592E7</v>
      </c>
      <c r="K2527" s="21">
        <v>450.35</v>
      </c>
    </row>
    <row r="2528">
      <c r="A2528" s="15" t="s">
        <v>74</v>
      </c>
      <c r="B2528" s="16" t="s">
        <v>244</v>
      </c>
      <c r="C2528" s="17" t="s">
        <v>245</v>
      </c>
      <c r="D2528" s="18">
        <v>3.0</v>
      </c>
      <c r="E2528" s="17" t="s">
        <v>131</v>
      </c>
      <c r="F2528" s="15" t="s">
        <v>132</v>
      </c>
      <c r="G2528" s="19">
        <v>9.0043001E7</v>
      </c>
      <c r="H2528" s="15" t="s">
        <v>18</v>
      </c>
      <c r="I2528" s="20" t="s">
        <v>19</v>
      </c>
      <c r="J2528" s="21">
        <v>8210624.0</v>
      </c>
      <c r="K2528" s="21">
        <v>53.0</v>
      </c>
    </row>
    <row r="2529">
      <c r="A2529" s="15" t="s">
        <v>74</v>
      </c>
      <c r="B2529" s="16" t="s">
        <v>244</v>
      </c>
      <c r="C2529" s="17" t="s">
        <v>245</v>
      </c>
      <c r="D2529" s="18">
        <v>3.0</v>
      </c>
      <c r="E2529" s="17" t="s">
        <v>135</v>
      </c>
      <c r="F2529" s="15" t="s">
        <v>136</v>
      </c>
      <c r="G2529" s="19">
        <v>9.0043001E7</v>
      </c>
      <c r="H2529" s="15" t="s">
        <v>18</v>
      </c>
      <c r="I2529" s="20" t="s">
        <v>19</v>
      </c>
      <c r="J2529" s="21">
        <v>7465819.0</v>
      </c>
      <c r="K2529" s="21">
        <v>48.0</v>
      </c>
    </row>
    <row r="2530">
      <c r="A2530" s="15" t="s">
        <v>74</v>
      </c>
      <c r="B2530" s="16" t="s">
        <v>244</v>
      </c>
      <c r="C2530" s="17" t="s">
        <v>245</v>
      </c>
      <c r="D2530" s="18">
        <v>3.0</v>
      </c>
      <c r="E2530" s="17" t="s">
        <v>162</v>
      </c>
      <c r="F2530" s="15" t="s">
        <v>163</v>
      </c>
      <c r="G2530" s="19">
        <v>9.0043001E7</v>
      </c>
      <c r="H2530" s="15" t="s">
        <v>18</v>
      </c>
      <c r="I2530" s="20" t="s">
        <v>19</v>
      </c>
      <c r="J2530" s="21">
        <v>1.2657672E7</v>
      </c>
      <c r="K2530" s="21">
        <v>83.0</v>
      </c>
    </row>
    <row r="2531">
      <c r="A2531" s="15" t="s">
        <v>74</v>
      </c>
      <c r="B2531" s="16" t="s">
        <v>244</v>
      </c>
      <c r="C2531" s="17" t="s">
        <v>245</v>
      </c>
      <c r="D2531" s="18">
        <v>3.0</v>
      </c>
      <c r="E2531" s="17" t="s">
        <v>54</v>
      </c>
      <c r="F2531" s="15" t="s">
        <v>139</v>
      </c>
      <c r="G2531" s="19">
        <v>9.0042011E7</v>
      </c>
      <c r="H2531" s="15" t="s">
        <v>55</v>
      </c>
      <c r="I2531" s="20" t="s">
        <v>19</v>
      </c>
      <c r="J2531" s="21">
        <v>4.45292024E8</v>
      </c>
      <c r="K2531" s="21">
        <v>0.0</v>
      </c>
    </row>
    <row r="2532">
      <c r="A2532" s="15" t="s">
        <v>74</v>
      </c>
      <c r="B2532" s="16" t="s">
        <v>244</v>
      </c>
      <c r="C2532" s="17" t="s">
        <v>245</v>
      </c>
      <c r="D2532" s="18">
        <v>3.0</v>
      </c>
      <c r="E2532" s="17" t="s">
        <v>20</v>
      </c>
      <c r="F2532" s="15" t="s">
        <v>140</v>
      </c>
      <c r="G2532" s="19">
        <v>9.0042014E7</v>
      </c>
      <c r="H2532" s="15" t="s">
        <v>21</v>
      </c>
      <c r="I2532" s="20" t="s">
        <v>19</v>
      </c>
      <c r="J2532" s="21">
        <v>6.03998288E8</v>
      </c>
      <c r="K2532" s="21">
        <v>0.0</v>
      </c>
    </row>
    <row r="2533">
      <c r="A2533" s="15" t="s">
        <v>74</v>
      </c>
      <c r="B2533" s="16" t="s">
        <v>244</v>
      </c>
      <c r="C2533" s="17" t="s">
        <v>245</v>
      </c>
      <c r="D2533" s="18">
        <v>3.0</v>
      </c>
      <c r="E2533" s="17" t="s">
        <v>20</v>
      </c>
      <c r="F2533" s="15" t="s">
        <v>140</v>
      </c>
      <c r="G2533" s="19">
        <v>9.0042077E7</v>
      </c>
      <c r="H2533" s="15" t="s">
        <v>141</v>
      </c>
      <c r="I2533" s="20" t="s">
        <v>19</v>
      </c>
      <c r="J2533" s="21">
        <v>3.8483047E7</v>
      </c>
      <c r="K2533" s="21">
        <v>0.0</v>
      </c>
    </row>
    <row r="2534">
      <c r="A2534" s="15" t="s">
        <v>74</v>
      </c>
      <c r="B2534" s="16" t="s">
        <v>244</v>
      </c>
      <c r="C2534" s="17" t="s">
        <v>245</v>
      </c>
      <c r="D2534" s="18">
        <v>3.0</v>
      </c>
      <c r="E2534" s="17" t="s">
        <v>142</v>
      </c>
      <c r="F2534" s="15" t="s">
        <v>143</v>
      </c>
      <c r="G2534" s="19">
        <v>9.0042084E7</v>
      </c>
      <c r="H2534" s="15" t="s">
        <v>145</v>
      </c>
      <c r="I2534" s="20" t="s">
        <v>19</v>
      </c>
      <c r="J2534" s="21">
        <v>2659130.0</v>
      </c>
      <c r="K2534" s="21">
        <v>0.0</v>
      </c>
    </row>
    <row r="2535">
      <c r="A2535" s="15" t="s">
        <v>74</v>
      </c>
      <c r="B2535" s="16" t="s">
        <v>244</v>
      </c>
      <c r="C2535" s="17" t="s">
        <v>245</v>
      </c>
      <c r="D2535" s="18">
        <v>3.0</v>
      </c>
      <c r="E2535" s="17" t="s">
        <v>22</v>
      </c>
      <c r="F2535" s="15" t="s">
        <v>146</v>
      </c>
      <c r="G2535" s="19">
        <v>9.0042012E7</v>
      </c>
      <c r="H2535" s="15" t="s">
        <v>23</v>
      </c>
      <c r="I2535" s="20" t="s">
        <v>19</v>
      </c>
      <c r="J2535" s="21">
        <v>1.64478577E8</v>
      </c>
      <c r="K2535" s="21">
        <v>0.0</v>
      </c>
    </row>
    <row r="2536">
      <c r="A2536" s="15" t="s">
        <v>74</v>
      </c>
      <c r="B2536" s="16" t="s">
        <v>244</v>
      </c>
      <c r="C2536" s="17" t="s">
        <v>245</v>
      </c>
      <c r="D2536" s="18">
        <v>3.0</v>
      </c>
      <c r="E2536" s="17" t="s">
        <v>22</v>
      </c>
      <c r="F2536" s="15" t="s">
        <v>146</v>
      </c>
      <c r="G2536" s="19">
        <v>9.0042121E7</v>
      </c>
      <c r="H2536" s="15" t="s">
        <v>24</v>
      </c>
      <c r="I2536" s="20" t="s">
        <v>25</v>
      </c>
      <c r="J2536" s="21">
        <v>1.32745332E8</v>
      </c>
      <c r="K2536" s="21">
        <v>0.0</v>
      </c>
    </row>
    <row r="2537">
      <c r="A2537" s="15" t="s">
        <v>74</v>
      </c>
      <c r="B2537" s="16" t="s">
        <v>244</v>
      </c>
      <c r="C2537" s="17" t="s">
        <v>245</v>
      </c>
      <c r="D2537" s="18">
        <v>3.0</v>
      </c>
      <c r="E2537" s="17" t="s">
        <v>22</v>
      </c>
      <c r="F2537" s="15" t="s">
        <v>146</v>
      </c>
      <c r="G2537" s="19">
        <v>9.0042122E7</v>
      </c>
      <c r="H2537" s="15" t="s">
        <v>56</v>
      </c>
      <c r="I2537" s="20" t="s">
        <v>25</v>
      </c>
      <c r="J2537" s="21">
        <v>8.8170156E7</v>
      </c>
      <c r="K2537" s="21">
        <v>0.0</v>
      </c>
    </row>
    <row r="2538">
      <c r="A2538" s="15" t="s">
        <v>74</v>
      </c>
      <c r="B2538" s="16" t="s">
        <v>244</v>
      </c>
      <c r="C2538" s="17" t="s">
        <v>245</v>
      </c>
      <c r="D2538" s="18">
        <v>3.0</v>
      </c>
      <c r="E2538" s="17" t="s">
        <v>22</v>
      </c>
      <c r="F2538" s="15" t="s">
        <v>146</v>
      </c>
      <c r="G2538" s="19">
        <v>9.0042124E7</v>
      </c>
      <c r="H2538" s="15" t="s">
        <v>57</v>
      </c>
      <c r="I2538" s="20" t="s">
        <v>25</v>
      </c>
      <c r="J2538" s="21">
        <v>5086978.0</v>
      </c>
      <c r="K2538" s="21">
        <v>0.0</v>
      </c>
    </row>
    <row r="2539">
      <c r="A2539" s="15" t="s">
        <v>74</v>
      </c>
      <c r="B2539" s="16" t="s">
        <v>244</v>
      </c>
      <c r="C2539" s="17" t="s">
        <v>245</v>
      </c>
      <c r="D2539" s="18">
        <v>3.0</v>
      </c>
      <c r="E2539" s="17" t="s">
        <v>22</v>
      </c>
      <c r="F2539" s="15" t="s">
        <v>146</v>
      </c>
      <c r="G2539" s="19">
        <v>9.0042125E7</v>
      </c>
      <c r="H2539" s="15" t="s">
        <v>26</v>
      </c>
      <c r="I2539" s="20" t="s">
        <v>25</v>
      </c>
      <c r="J2539" s="21">
        <v>1.04458735E8</v>
      </c>
      <c r="K2539" s="21">
        <v>0.0</v>
      </c>
    </row>
    <row r="2540">
      <c r="A2540" s="15" t="s">
        <v>74</v>
      </c>
      <c r="B2540" s="16" t="s">
        <v>244</v>
      </c>
      <c r="C2540" s="17" t="s">
        <v>245</v>
      </c>
      <c r="D2540" s="18">
        <v>3.0</v>
      </c>
      <c r="E2540" s="17" t="s">
        <v>22</v>
      </c>
      <c r="F2540" s="15" t="s">
        <v>146</v>
      </c>
      <c r="G2540" s="19">
        <v>9.0042128E7</v>
      </c>
      <c r="H2540" s="15" t="s">
        <v>58</v>
      </c>
      <c r="I2540" s="20" t="s">
        <v>25</v>
      </c>
      <c r="J2540" s="21">
        <v>5.2645351E7</v>
      </c>
      <c r="K2540" s="21">
        <v>0.0</v>
      </c>
    </row>
    <row r="2541">
      <c r="A2541" s="15" t="s">
        <v>74</v>
      </c>
      <c r="B2541" s="16" t="s">
        <v>244</v>
      </c>
      <c r="C2541" s="17" t="s">
        <v>245</v>
      </c>
      <c r="D2541" s="18">
        <v>3.0</v>
      </c>
      <c r="E2541" s="17" t="s">
        <v>22</v>
      </c>
      <c r="F2541" s="15" t="s">
        <v>146</v>
      </c>
      <c r="G2541" s="19">
        <v>9.0042132E7</v>
      </c>
      <c r="H2541" s="15" t="s">
        <v>28</v>
      </c>
      <c r="I2541" s="20" t="s">
        <v>25</v>
      </c>
      <c r="J2541" s="21">
        <v>2.5414486E7</v>
      </c>
      <c r="K2541" s="21">
        <v>0.0</v>
      </c>
    </row>
    <row r="2542">
      <c r="A2542" s="15" t="s">
        <v>74</v>
      </c>
      <c r="B2542" s="16" t="s">
        <v>244</v>
      </c>
      <c r="C2542" s="17" t="s">
        <v>245</v>
      </c>
      <c r="D2542" s="18">
        <v>3.0</v>
      </c>
      <c r="E2542" s="17" t="s">
        <v>22</v>
      </c>
      <c r="F2542" s="15" t="s">
        <v>146</v>
      </c>
      <c r="G2542" s="19">
        <v>9.0042133E7</v>
      </c>
      <c r="H2542" s="15" t="s">
        <v>211</v>
      </c>
      <c r="I2542" s="20" t="s">
        <v>25</v>
      </c>
      <c r="J2542" s="21">
        <v>3170000.0</v>
      </c>
      <c r="K2542" s="21">
        <v>0.0</v>
      </c>
    </row>
    <row r="2543">
      <c r="A2543" s="15" t="s">
        <v>74</v>
      </c>
      <c r="B2543" s="16" t="s">
        <v>244</v>
      </c>
      <c r="C2543" s="17" t="s">
        <v>245</v>
      </c>
      <c r="D2543" s="18">
        <v>3.0</v>
      </c>
      <c r="E2543" s="17" t="s">
        <v>22</v>
      </c>
      <c r="F2543" s="15" t="s">
        <v>146</v>
      </c>
      <c r="G2543" s="19">
        <v>9.0042135E7</v>
      </c>
      <c r="H2543" s="15" t="s">
        <v>30</v>
      </c>
      <c r="I2543" s="20" t="s">
        <v>25</v>
      </c>
      <c r="J2543" s="21">
        <v>4.83138239E8</v>
      </c>
      <c r="K2543" s="21">
        <v>0.0</v>
      </c>
    </row>
    <row r="2544">
      <c r="A2544" s="15" t="s">
        <v>74</v>
      </c>
      <c r="B2544" s="16" t="s">
        <v>244</v>
      </c>
      <c r="C2544" s="17" t="s">
        <v>245</v>
      </c>
      <c r="D2544" s="18">
        <v>3.0</v>
      </c>
      <c r="E2544" s="17" t="s">
        <v>22</v>
      </c>
      <c r="F2544" s="15" t="s">
        <v>146</v>
      </c>
      <c r="G2544" s="19">
        <v>9.00422E7</v>
      </c>
      <c r="H2544" s="15" t="s">
        <v>73</v>
      </c>
      <c r="I2544" s="20" t="s">
        <v>60</v>
      </c>
      <c r="J2544" s="21">
        <v>3.14216778E8</v>
      </c>
      <c r="K2544" s="21">
        <v>0.0</v>
      </c>
    </row>
    <row r="2545">
      <c r="A2545" s="15" t="s">
        <v>74</v>
      </c>
      <c r="B2545" s="16" t="s">
        <v>244</v>
      </c>
      <c r="C2545" s="17" t="s">
        <v>245</v>
      </c>
      <c r="D2545" s="18">
        <v>3.0</v>
      </c>
      <c r="E2545" s="17" t="s">
        <v>22</v>
      </c>
      <c r="F2545" s="15" t="s">
        <v>146</v>
      </c>
      <c r="G2545" s="19">
        <v>9.0042223E7</v>
      </c>
      <c r="H2545" s="15" t="s">
        <v>61</v>
      </c>
      <c r="I2545" s="20" t="s">
        <v>60</v>
      </c>
      <c r="J2545" s="21">
        <v>4255768.0</v>
      </c>
      <c r="K2545" s="21">
        <v>0.0</v>
      </c>
    </row>
    <row r="2546">
      <c r="A2546" s="15" t="s">
        <v>74</v>
      </c>
      <c r="B2546" s="16" t="s">
        <v>244</v>
      </c>
      <c r="C2546" s="17" t="s">
        <v>245</v>
      </c>
      <c r="D2546" s="18">
        <v>3.0</v>
      </c>
      <c r="E2546" s="17" t="s">
        <v>22</v>
      </c>
      <c r="F2546" s="15" t="s">
        <v>146</v>
      </c>
      <c r="G2546" s="19">
        <v>9.0042224E7</v>
      </c>
      <c r="H2546" s="15" t="s">
        <v>62</v>
      </c>
      <c r="I2546" s="20" t="s">
        <v>60</v>
      </c>
      <c r="J2546" s="21">
        <v>1.0447195E7</v>
      </c>
      <c r="K2546" s="21">
        <v>0.0</v>
      </c>
    </row>
    <row r="2547">
      <c r="A2547" s="15" t="s">
        <v>74</v>
      </c>
      <c r="B2547" s="16" t="s">
        <v>244</v>
      </c>
      <c r="C2547" s="17" t="s">
        <v>245</v>
      </c>
      <c r="D2547" s="18">
        <v>3.0</v>
      </c>
      <c r="E2547" s="17" t="s">
        <v>22</v>
      </c>
      <c r="F2547" s="15" t="s">
        <v>146</v>
      </c>
      <c r="G2547" s="19">
        <v>9.0042226E7</v>
      </c>
      <c r="H2547" s="15" t="s">
        <v>63</v>
      </c>
      <c r="I2547" s="20" t="s">
        <v>60</v>
      </c>
      <c r="J2547" s="21">
        <v>133333.0</v>
      </c>
      <c r="K2547" s="21">
        <v>0.0</v>
      </c>
    </row>
    <row r="2548">
      <c r="A2548" s="15" t="s">
        <v>74</v>
      </c>
      <c r="B2548" s="16" t="s">
        <v>244</v>
      </c>
      <c r="C2548" s="17" t="s">
        <v>245</v>
      </c>
      <c r="D2548" s="18">
        <v>3.0</v>
      </c>
      <c r="E2548" s="17" t="s">
        <v>22</v>
      </c>
      <c r="F2548" s="15" t="s">
        <v>146</v>
      </c>
      <c r="G2548" s="19">
        <v>9.0042228E7</v>
      </c>
      <c r="H2548" s="15" t="s">
        <v>64</v>
      </c>
      <c r="I2548" s="20" t="s">
        <v>60</v>
      </c>
      <c r="J2548" s="21">
        <v>4.1960038E7</v>
      </c>
      <c r="K2548" s="21">
        <v>0.0</v>
      </c>
    </row>
    <row r="2549">
      <c r="A2549" s="15" t="s">
        <v>74</v>
      </c>
      <c r="B2549" s="16" t="s">
        <v>244</v>
      </c>
      <c r="C2549" s="17" t="s">
        <v>245</v>
      </c>
      <c r="D2549" s="18">
        <v>3.0</v>
      </c>
      <c r="E2549" s="17" t="s">
        <v>22</v>
      </c>
      <c r="F2549" s="15" t="s">
        <v>146</v>
      </c>
      <c r="G2549" s="19">
        <v>9.0042231E7</v>
      </c>
      <c r="H2549" s="15" t="s">
        <v>65</v>
      </c>
      <c r="I2549" s="20" t="s">
        <v>60</v>
      </c>
      <c r="J2549" s="21">
        <v>5.8308693E7</v>
      </c>
      <c r="K2549" s="21">
        <v>0.0</v>
      </c>
    </row>
    <row r="2550">
      <c r="A2550" s="15" t="s">
        <v>74</v>
      </c>
      <c r="B2550" s="16" t="s">
        <v>244</v>
      </c>
      <c r="C2550" s="17" t="s">
        <v>245</v>
      </c>
      <c r="D2550" s="18">
        <v>3.0</v>
      </c>
      <c r="E2550" s="17" t="s">
        <v>22</v>
      </c>
      <c r="F2550" s="15" t="s">
        <v>146</v>
      </c>
      <c r="G2550" s="19">
        <v>9.0042126E7</v>
      </c>
      <c r="H2550" s="15" t="s">
        <v>31</v>
      </c>
      <c r="I2550" s="20" t="s">
        <v>25</v>
      </c>
      <c r="J2550" s="21">
        <v>3.8684569E7</v>
      </c>
      <c r="K2550" s="21">
        <v>0.0</v>
      </c>
    </row>
    <row r="2551">
      <c r="A2551" s="15" t="s">
        <v>74</v>
      </c>
      <c r="B2551" s="16" t="s">
        <v>244</v>
      </c>
      <c r="C2551" s="17" t="s">
        <v>245</v>
      </c>
      <c r="D2551" s="18">
        <v>3.0</v>
      </c>
      <c r="E2551" s="24">
        <v>46097.0</v>
      </c>
      <c r="F2551" s="15" t="s">
        <v>216</v>
      </c>
      <c r="G2551" s="19">
        <v>5.1101056E7</v>
      </c>
      <c r="H2551" s="15" t="s">
        <v>16</v>
      </c>
      <c r="I2551" s="20" t="s">
        <v>17</v>
      </c>
      <c r="J2551" s="21">
        <v>388300.0</v>
      </c>
      <c r="K2551" s="21">
        <v>3.0</v>
      </c>
    </row>
    <row r="2552">
      <c r="A2552" s="15" t="s">
        <v>74</v>
      </c>
      <c r="B2552" s="16" t="s">
        <v>244</v>
      </c>
      <c r="C2552" s="17" t="s">
        <v>245</v>
      </c>
      <c r="D2552" s="18">
        <v>3.0</v>
      </c>
      <c r="E2552" s="24">
        <v>46097.0</v>
      </c>
      <c r="F2552" s="15" t="s">
        <v>216</v>
      </c>
      <c r="G2552" s="19">
        <v>9.0043001E7</v>
      </c>
      <c r="H2552" s="15" t="s">
        <v>18</v>
      </c>
      <c r="I2552" s="20" t="s">
        <v>19</v>
      </c>
      <c r="J2552" s="21">
        <v>890574.0</v>
      </c>
      <c r="K2552" s="21">
        <v>6.0</v>
      </c>
    </row>
    <row r="2553">
      <c r="A2553" s="15" t="s">
        <v>74</v>
      </c>
      <c r="B2553" s="16" t="s">
        <v>244</v>
      </c>
      <c r="C2553" s="17" t="s">
        <v>245</v>
      </c>
      <c r="D2553" s="18">
        <v>3.0</v>
      </c>
      <c r="E2553" s="24">
        <v>46097.0</v>
      </c>
      <c r="F2553" s="15" t="s">
        <v>216</v>
      </c>
      <c r="G2553" s="19">
        <v>9.0043003E7</v>
      </c>
      <c r="H2553" s="15" t="s">
        <v>90</v>
      </c>
      <c r="I2553" s="20" t="s">
        <v>50</v>
      </c>
      <c r="J2553" s="21">
        <v>5721351.0</v>
      </c>
      <c r="K2553" s="21">
        <v>38.05</v>
      </c>
    </row>
    <row r="2554">
      <c r="A2554" s="15" t="s">
        <v>74</v>
      </c>
      <c r="B2554" s="16" t="s">
        <v>244</v>
      </c>
      <c r="C2554" s="17" t="s">
        <v>245</v>
      </c>
      <c r="D2554" s="18">
        <v>3.0</v>
      </c>
      <c r="E2554" s="24">
        <v>46069.0</v>
      </c>
      <c r="F2554" s="15" t="s">
        <v>217</v>
      </c>
      <c r="G2554" s="19">
        <v>5.1100153E7</v>
      </c>
      <c r="H2554" s="15" t="s">
        <v>72</v>
      </c>
      <c r="I2554" s="20" t="s">
        <v>17</v>
      </c>
      <c r="J2554" s="21">
        <v>1.9230758E7</v>
      </c>
      <c r="K2554" s="21">
        <v>98367.0</v>
      </c>
    </row>
    <row r="2555">
      <c r="A2555" s="15" t="s">
        <v>74</v>
      </c>
      <c r="B2555" s="16" t="s">
        <v>244</v>
      </c>
      <c r="C2555" s="17" t="s">
        <v>245</v>
      </c>
      <c r="D2555" s="18">
        <v>3.0</v>
      </c>
      <c r="E2555" s="17" t="s">
        <v>276</v>
      </c>
      <c r="F2555" s="15" t="s">
        <v>277</v>
      </c>
      <c r="G2555" s="19">
        <v>9.0043001E7</v>
      </c>
      <c r="H2555" s="15" t="s">
        <v>18</v>
      </c>
      <c r="I2555" s="20" t="s">
        <v>19</v>
      </c>
      <c r="J2555" s="21">
        <v>7341071.0</v>
      </c>
      <c r="K2555" s="21">
        <v>47.0</v>
      </c>
    </row>
    <row r="2556">
      <c r="A2556" s="15" t="s">
        <v>74</v>
      </c>
      <c r="B2556" s="16" t="s">
        <v>244</v>
      </c>
      <c r="C2556" s="17" t="s">
        <v>245</v>
      </c>
      <c r="D2556" s="18">
        <v>3.0</v>
      </c>
      <c r="E2556" s="17" t="s">
        <v>250</v>
      </c>
      <c r="F2556" s="15" t="s">
        <v>251</v>
      </c>
      <c r="G2556" s="19">
        <v>9.0043001E7</v>
      </c>
      <c r="H2556" s="15" t="s">
        <v>18</v>
      </c>
      <c r="I2556" s="20" t="s">
        <v>19</v>
      </c>
      <c r="J2556" s="21">
        <v>2967667.0</v>
      </c>
      <c r="K2556" s="21">
        <v>19.0</v>
      </c>
    </row>
    <row r="2557">
      <c r="A2557" s="15" t="s">
        <v>74</v>
      </c>
      <c r="B2557" s="16" t="s">
        <v>244</v>
      </c>
      <c r="C2557" s="17" t="s">
        <v>245</v>
      </c>
      <c r="D2557" s="18">
        <v>3.0</v>
      </c>
      <c r="E2557" s="17" t="s">
        <v>252</v>
      </c>
      <c r="F2557" s="15" t="s">
        <v>253</v>
      </c>
      <c r="G2557" s="19">
        <v>5.1100153E7</v>
      </c>
      <c r="H2557" s="15" t="s">
        <v>72</v>
      </c>
      <c r="I2557" s="20" t="s">
        <v>25</v>
      </c>
      <c r="J2557" s="21">
        <v>0.0</v>
      </c>
      <c r="K2557" s="21">
        <v>0.0</v>
      </c>
    </row>
    <row r="2558">
      <c r="A2558" s="15" t="s">
        <v>74</v>
      </c>
      <c r="B2558" s="16" t="s">
        <v>244</v>
      </c>
      <c r="C2558" s="17" t="s">
        <v>245</v>
      </c>
      <c r="D2558" s="18">
        <v>3.0</v>
      </c>
      <c r="E2558" s="17" t="s">
        <v>252</v>
      </c>
      <c r="F2558" s="15" t="s">
        <v>253</v>
      </c>
      <c r="G2558" s="19">
        <v>5.1101056E7</v>
      </c>
      <c r="H2558" s="15" t="s">
        <v>16</v>
      </c>
      <c r="I2558" s="20" t="s">
        <v>17</v>
      </c>
      <c r="J2558" s="21">
        <v>459800.0</v>
      </c>
      <c r="K2558" s="21">
        <v>5.0</v>
      </c>
    </row>
    <row r="2559">
      <c r="A2559" s="15" t="s">
        <v>74</v>
      </c>
      <c r="B2559" s="16" t="s">
        <v>244</v>
      </c>
      <c r="C2559" s="17" t="s">
        <v>245</v>
      </c>
      <c r="D2559" s="18">
        <v>3.0</v>
      </c>
      <c r="E2559" s="24">
        <v>46128.0</v>
      </c>
      <c r="F2559" s="15" t="s">
        <v>278</v>
      </c>
      <c r="G2559" s="19">
        <v>9.0043001E7</v>
      </c>
      <c r="H2559" s="15" t="s">
        <v>18</v>
      </c>
      <c r="I2559" s="20" t="s">
        <v>19</v>
      </c>
      <c r="J2559" s="21">
        <v>148429.0</v>
      </c>
      <c r="K2559" s="21">
        <v>1.0</v>
      </c>
    </row>
    <row r="2560">
      <c r="A2560" s="15" t="s">
        <v>74</v>
      </c>
      <c r="B2560" s="16" t="s">
        <v>254</v>
      </c>
      <c r="C2560" s="17" t="s">
        <v>255</v>
      </c>
      <c r="D2560" s="18">
        <v>3.0</v>
      </c>
      <c r="E2560" s="24">
        <v>46038.0</v>
      </c>
      <c r="F2560" s="15" t="s">
        <v>150</v>
      </c>
      <c r="G2560" s="19">
        <v>9.0043001E7</v>
      </c>
      <c r="H2560" s="15" t="s">
        <v>18</v>
      </c>
      <c r="I2560" s="20" t="s">
        <v>19</v>
      </c>
      <c r="J2560" s="21">
        <v>5.7204338E7</v>
      </c>
      <c r="K2560" s="21">
        <v>352.0</v>
      </c>
    </row>
    <row r="2561">
      <c r="A2561" s="15" t="s">
        <v>74</v>
      </c>
      <c r="B2561" s="16" t="s">
        <v>254</v>
      </c>
      <c r="C2561" s="17" t="s">
        <v>255</v>
      </c>
      <c r="D2561" s="18">
        <v>3.0</v>
      </c>
      <c r="E2561" s="24">
        <v>46158.0</v>
      </c>
      <c r="F2561" s="15" t="s">
        <v>151</v>
      </c>
      <c r="G2561" s="19">
        <v>9.0043001E7</v>
      </c>
      <c r="H2561" s="15" t="s">
        <v>18</v>
      </c>
      <c r="I2561" s="20" t="s">
        <v>19</v>
      </c>
      <c r="J2561" s="21">
        <v>936294.0</v>
      </c>
      <c r="K2561" s="21">
        <v>6.0</v>
      </c>
    </row>
    <row r="2562">
      <c r="A2562" s="15" t="s">
        <v>74</v>
      </c>
      <c r="B2562" s="16" t="s">
        <v>254</v>
      </c>
      <c r="C2562" s="17" t="s">
        <v>255</v>
      </c>
      <c r="D2562" s="18">
        <v>3.0</v>
      </c>
      <c r="E2562" s="17" t="s">
        <v>84</v>
      </c>
      <c r="F2562" s="15" t="s">
        <v>85</v>
      </c>
      <c r="G2562" s="19">
        <v>9.0043001E7</v>
      </c>
      <c r="H2562" s="15" t="s">
        <v>18</v>
      </c>
      <c r="I2562" s="20" t="s">
        <v>19</v>
      </c>
      <c r="J2562" s="21">
        <v>1.03931E7</v>
      </c>
      <c r="K2562" s="21">
        <v>68.0</v>
      </c>
    </row>
    <row r="2563">
      <c r="A2563" s="15" t="s">
        <v>74</v>
      </c>
      <c r="B2563" s="16" t="s">
        <v>254</v>
      </c>
      <c r="C2563" s="17" t="s">
        <v>255</v>
      </c>
      <c r="D2563" s="18">
        <v>3.0</v>
      </c>
      <c r="E2563" s="17" t="s">
        <v>86</v>
      </c>
      <c r="F2563" s="15" t="s">
        <v>87</v>
      </c>
      <c r="G2563" s="19">
        <v>9.0043001E7</v>
      </c>
      <c r="H2563" s="15" t="s">
        <v>18</v>
      </c>
      <c r="I2563" s="20" t="s">
        <v>19</v>
      </c>
      <c r="J2563" s="21">
        <v>2.5436868E7</v>
      </c>
      <c r="K2563" s="21">
        <v>155.0</v>
      </c>
    </row>
    <row r="2564">
      <c r="A2564" s="15" t="s">
        <v>74</v>
      </c>
      <c r="B2564" s="16" t="s">
        <v>254</v>
      </c>
      <c r="C2564" s="17" t="s">
        <v>255</v>
      </c>
      <c r="D2564" s="18">
        <v>3.0</v>
      </c>
      <c r="E2564" s="17" t="s">
        <v>173</v>
      </c>
      <c r="F2564" s="15" t="s">
        <v>174</v>
      </c>
      <c r="G2564" s="19">
        <v>9.0043001E7</v>
      </c>
      <c r="H2564" s="15" t="s">
        <v>18</v>
      </c>
      <c r="I2564" s="20" t="s">
        <v>19</v>
      </c>
      <c r="J2564" s="21">
        <v>1027978.0</v>
      </c>
      <c r="K2564" s="21">
        <v>7.0</v>
      </c>
    </row>
    <row r="2565">
      <c r="A2565" s="15" t="s">
        <v>74</v>
      </c>
      <c r="B2565" s="16" t="s">
        <v>254</v>
      </c>
      <c r="C2565" s="17" t="s">
        <v>255</v>
      </c>
      <c r="D2565" s="18">
        <v>3.0</v>
      </c>
      <c r="E2565" s="17" t="s">
        <v>154</v>
      </c>
      <c r="F2565" s="15" t="s">
        <v>155</v>
      </c>
      <c r="G2565" s="19">
        <v>9.0043002E7</v>
      </c>
      <c r="H2565" s="15" t="s">
        <v>49</v>
      </c>
      <c r="I2565" s="20" t="s">
        <v>50</v>
      </c>
      <c r="J2565" s="21">
        <v>5.2040998E7</v>
      </c>
      <c r="K2565" s="21">
        <v>224.0</v>
      </c>
    </row>
    <row r="2566">
      <c r="A2566" s="15" t="s">
        <v>74</v>
      </c>
      <c r="B2566" s="16" t="s">
        <v>254</v>
      </c>
      <c r="C2566" s="17" t="s">
        <v>255</v>
      </c>
      <c r="D2566" s="18">
        <v>3.0</v>
      </c>
      <c r="E2566" s="17" t="s">
        <v>95</v>
      </c>
      <c r="F2566" s="15" t="s">
        <v>96</v>
      </c>
      <c r="G2566" s="19">
        <v>5.1100058E7</v>
      </c>
      <c r="H2566" s="15" t="s">
        <v>36</v>
      </c>
      <c r="I2566" s="20" t="s">
        <v>37</v>
      </c>
      <c r="J2566" s="21">
        <v>3.1290599E7</v>
      </c>
      <c r="K2566" s="21">
        <v>329.64</v>
      </c>
    </row>
    <row r="2567">
      <c r="A2567" s="15" t="s">
        <v>74</v>
      </c>
      <c r="B2567" s="16" t="s">
        <v>254</v>
      </c>
      <c r="C2567" s="17" t="s">
        <v>255</v>
      </c>
      <c r="D2567" s="18">
        <v>3.0</v>
      </c>
      <c r="E2567" s="17" t="s">
        <v>95</v>
      </c>
      <c r="F2567" s="15" t="s">
        <v>96</v>
      </c>
      <c r="G2567" s="19">
        <v>9.0043001E7</v>
      </c>
      <c r="H2567" s="15" t="s">
        <v>18</v>
      </c>
      <c r="I2567" s="20" t="s">
        <v>19</v>
      </c>
      <c r="J2567" s="21">
        <v>5.0998064E7</v>
      </c>
      <c r="K2567" s="21">
        <v>336.0</v>
      </c>
    </row>
    <row r="2568">
      <c r="A2568" s="15" t="s">
        <v>74</v>
      </c>
      <c r="B2568" s="16" t="s">
        <v>254</v>
      </c>
      <c r="C2568" s="17" t="s">
        <v>255</v>
      </c>
      <c r="D2568" s="18">
        <v>3.0</v>
      </c>
      <c r="E2568" s="17" t="s">
        <v>95</v>
      </c>
      <c r="F2568" s="15" t="s">
        <v>96</v>
      </c>
      <c r="G2568" s="19">
        <v>5.1100774E7</v>
      </c>
      <c r="H2568" s="15" t="s">
        <v>39</v>
      </c>
      <c r="I2568" s="20" t="s">
        <v>17</v>
      </c>
      <c r="J2568" s="21">
        <v>2339100.0</v>
      </c>
      <c r="K2568" s="21">
        <v>33.9</v>
      </c>
    </row>
    <row r="2569">
      <c r="A2569" s="15" t="s">
        <v>74</v>
      </c>
      <c r="B2569" s="16" t="s">
        <v>254</v>
      </c>
      <c r="C2569" s="17" t="s">
        <v>255</v>
      </c>
      <c r="D2569" s="18">
        <v>3.0</v>
      </c>
      <c r="E2569" s="17" t="s">
        <v>97</v>
      </c>
      <c r="F2569" s="15" t="s">
        <v>98</v>
      </c>
      <c r="G2569" s="19">
        <v>5.1100774E7</v>
      </c>
      <c r="H2569" s="15" t="s">
        <v>39</v>
      </c>
      <c r="I2569" s="20" t="s">
        <v>17</v>
      </c>
      <c r="J2569" s="21">
        <v>1696020.0</v>
      </c>
      <c r="K2569" s="21">
        <v>24.58</v>
      </c>
    </row>
    <row r="2570">
      <c r="A2570" s="15" t="s">
        <v>74</v>
      </c>
      <c r="B2570" s="16" t="s">
        <v>254</v>
      </c>
      <c r="C2570" s="17" t="s">
        <v>255</v>
      </c>
      <c r="D2570" s="18">
        <v>3.0</v>
      </c>
      <c r="E2570" s="17" t="s">
        <v>101</v>
      </c>
      <c r="F2570" s="15" t="s">
        <v>102</v>
      </c>
      <c r="G2570" s="19">
        <v>9.0043001E7</v>
      </c>
      <c r="H2570" s="15" t="s">
        <v>18</v>
      </c>
      <c r="I2570" s="20" t="s">
        <v>19</v>
      </c>
      <c r="J2570" s="21">
        <v>312098.0</v>
      </c>
      <c r="K2570" s="21">
        <v>2.0</v>
      </c>
    </row>
    <row r="2571">
      <c r="A2571" s="15" t="s">
        <v>74</v>
      </c>
      <c r="B2571" s="16" t="s">
        <v>254</v>
      </c>
      <c r="C2571" s="17" t="s">
        <v>255</v>
      </c>
      <c r="D2571" s="18">
        <v>3.0</v>
      </c>
      <c r="E2571" s="17" t="s">
        <v>103</v>
      </c>
      <c r="F2571" s="15" t="s">
        <v>104</v>
      </c>
      <c r="G2571" s="19">
        <v>5.1100058E7</v>
      </c>
      <c r="H2571" s="15" t="s">
        <v>36</v>
      </c>
      <c r="I2571" s="20" t="s">
        <v>37</v>
      </c>
      <c r="J2571" s="21">
        <v>3.4568592E7</v>
      </c>
      <c r="K2571" s="21">
        <v>321.42</v>
      </c>
    </row>
    <row r="2572">
      <c r="A2572" s="15" t="s">
        <v>74</v>
      </c>
      <c r="B2572" s="16" t="s">
        <v>254</v>
      </c>
      <c r="C2572" s="17" t="s">
        <v>255</v>
      </c>
      <c r="D2572" s="18">
        <v>3.0</v>
      </c>
      <c r="E2572" s="17" t="s">
        <v>103</v>
      </c>
      <c r="F2572" s="15" t="s">
        <v>104</v>
      </c>
      <c r="G2572" s="19">
        <v>9.0043001E7</v>
      </c>
      <c r="H2572" s="15" t="s">
        <v>18</v>
      </c>
      <c r="I2572" s="20" t="s">
        <v>19</v>
      </c>
      <c r="J2572" s="21">
        <v>1.2667742E7</v>
      </c>
      <c r="K2572" s="21">
        <v>86.0</v>
      </c>
    </row>
    <row r="2573">
      <c r="A2573" s="15" t="s">
        <v>74</v>
      </c>
      <c r="B2573" s="16" t="s">
        <v>254</v>
      </c>
      <c r="C2573" s="17" t="s">
        <v>255</v>
      </c>
      <c r="D2573" s="18">
        <v>3.0</v>
      </c>
      <c r="E2573" s="17" t="s">
        <v>103</v>
      </c>
      <c r="F2573" s="15" t="s">
        <v>104</v>
      </c>
      <c r="G2573" s="19">
        <v>5.1100774E7</v>
      </c>
      <c r="H2573" s="15" t="s">
        <v>39</v>
      </c>
      <c r="I2573" s="20" t="s">
        <v>17</v>
      </c>
      <c r="J2573" s="21">
        <v>1.949427E7</v>
      </c>
      <c r="K2573" s="21">
        <v>105.66</v>
      </c>
    </row>
    <row r="2574">
      <c r="A2574" s="15" t="s">
        <v>74</v>
      </c>
      <c r="B2574" s="16" t="s">
        <v>254</v>
      </c>
      <c r="C2574" s="17" t="s">
        <v>255</v>
      </c>
      <c r="D2574" s="18">
        <v>3.0</v>
      </c>
      <c r="E2574" s="17" t="s">
        <v>175</v>
      </c>
      <c r="F2574" s="15" t="s">
        <v>176</v>
      </c>
      <c r="G2574" s="19">
        <v>9.0043002E7</v>
      </c>
      <c r="H2574" s="15" t="s">
        <v>49</v>
      </c>
      <c r="I2574" s="20" t="s">
        <v>50</v>
      </c>
      <c r="J2574" s="21">
        <v>2.980305E7</v>
      </c>
      <c r="K2574" s="21">
        <v>1738.0</v>
      </c>
    </row>
    <row r="2575">
      <c r="A2575" s="15" t="s">
        <v>74</v>
      </c>
      <c r="B2575" s="16" t="s">
        <v>254</v>
      </c>
      <c r="C2575" s="17" t="s">
        <v>255</v>
      </c>
      <c r="D2575" s="18">
        <v>3.0</v>
      </c>
      <c r="E2575" s="17" t="s">
        <v>115</v>
      </c>
      <c r="F2575" s="15" t="s">
        <v>116</v>
      </c>
      <c r="G2575" s="19">
        <v>5.1100774E7</v>
      </c>
      <c r="H2575" s="15" t="s">
        <v>39</v>
      </c>
      <c r="I2575" s="20" t="s">
        <v>17</v>
      </c>
      <c r="J2575" s="21">
        <v>2.322819E7</v>
      </c>
      <c r="K2575" s="21">
        <v>126930.0</v>
      </c>
    </row>
    <row r="2576">
      <c r="A2576" s="15" t="s">
        <v>74</v>
      </c>
      <c r="B2576" s="16" t="s">
        <v>254</v>
      </c>
      <c r="C2576" s="17" t="s">
        <v>255</v>
      </c>
      <c r="D2576" s="18">
        <v>3.0</v>
      </c>
      <c r="E2576" s="17" t="s">
        <v>117</v>
      </c>
      <c r="F2576" s="15" t="s">
        <v>118</v>
      </c>
      <c r="G2576" s="19">
        <v>5.1100058E7</v>
      </c>
      <c r="H2576" s="15" t="s">
        <v>36</v>
      </c>
      <c r="I2576" s="20" t="s">
        <v>37</v>
      </c>
      <c r="J2576" s="21">
        <v>6.2765533E8</v>
      </c>
      <c r="K2576" s="21">
        <v>86921.38</v>
      </c>
    </row>
    <row r="2577">
      <c r="A2577" s="15" t="s">
        <v>74</v>
      </c>
      <c r="B2577" s="16" t="s">
        <v>254</v>
      </c>
      <c r="C2577" s="17" t="s">
        <v>255</v>
      </c>
      <c r="D2577" s="18">
        <v>3.0</v>
      </c>
      <c r="E2577" s="17" t="s">
        <v>117</v>
      </c>
      <c r="F2577" s="15" t="s">
        <v>118</v>
      </c>
      <c r="G2577" s="19">
        <v>5.1100774E7</v>
      </c>
      <c r="H2577" s="15" t="s">
        <v>39</v>
      </c>
      <c r="I2577" s="20" t="s">
        <v>17</v>
      </c>
      <c r="J2577" s="21">
        <v>2.7630298E7</v>
      </c>
      <c r="K2577" s="21">
        <v>254.77</v>
      </c>
    </row>
    <row r="2578">
      <c r="A2578" s="15" t="s">
        <v>74</v>
      </c>
      <c r="B2578" s="16" t="s">
        <v>254</v>
      </c>
      <c r="C2578" s="17" t="s">
        <v>255</v>
      </c>
      <c r="D2578" s="18">
        <v>3.0</v>
      </c>
      <c r="E2578" s="17" t="s">
        <v>119</v>
      </c>
      <c r="F2578" s="15" t="s">
        <v>120</v>
      </c>
      <c r="G2578" s="19">
        <v>5.1100774E7</v>
      </c>
      <c r="H2578" s="15" t="s">
        <v>39</v>
      </c>
      <c r="I2578" s="20" t="s">
        <v>17</v>
      </c>
      <c r="J2578" s="21">
        <v>5220000.0</v>
      </c>
      <c r="K2578" s="21">
        <v>4.35</v>
      </c>
    </row>
    <row r="2579">
      <c r="A2579" s="15" t="s">
        <v>74</v>
      </c>
      <c r="B2579" s="16" t="s">
        <v>254</v>
      </c>
      <c r="C2579" s="17" t="s">
        <v>255</v>
      </c>
      <c r="D2579" s="18">
        <v>3.0</v>
      </c>
      <c r="E2579" s="17" t="s">
        <v>123</v>
      </c>
      <c r="F2579" s="15" t="s">
        <v>124</v>
      </c>
      <c r="G2579" s="19">
        <v>5.1100774E7</v>
      </c>
      <c r="H2579" s="15" t="s">
        <v>39</v>
      </c>
      <c r="I2579" s="20" t="s">
        <v>17</v>
      </c>
      <c r="J2579" s="21">
        <v>5760000.0</v>
      </c>
      <c r="K2579" s="21">
        <v>576.0</v>
      </c>
    </row>
    <row r="2580">
      <c r="A2580" s="15" t="s">
        <v>74</v>
      </c>
      <c r="B2580" s="16" t="s">
        <v>254</v>
      </c>
      <c r="C2580" s="17" t="s">
        <v>255</v>
      </c>
      <c r="D2580" s="18">
        <v>3.0</v>
      </c>
      <c r="E2580" s="17" t="s">
        <v>125</v>
      </c>
      <c r="F2580" s="15" t="s">
        <v>126</v>
      </c>
      <c r="G2580" s="19">
        <v>9.0043001E7</v>
      </c>
      <c r="H2580" s="15" t="s">
        <v>18</v>
      </c>
      <c r="I2580" s="20" t="s">
        <v>19</v>
      </c>
      <c r="J2580" s="21">
        <v>1.10758238E8</v>
      </c>
      <c r="K2580" s="21">
        <v>724.0</v>
      </c>
    </row>
    <row r="2581">
      <c r="A2581" s="15" t="s">
        <v>74</v>
      </c>
      <c r="B2581" s="16" t="s">
        <v>254</v>
      </c>
      <c r="C2581" s="17" t="s">
        <v>255</v>
      </c>
      <c r="D2581" s="18">
        <v>3.0</v>
      </c>
      <c r="E2581" s="17" t="s">
        <v>127</v>
      </c>
      <c r="F2581" s="15" t="s">
        <v>128</v>
      </c>
      <c r="G2581" s="19">
        <v>5.1100153E7</v>
      </c>
      <c r="H2581" s="15" t="s">
        <v>72</v>
      </c>
      <c r="I2581" s="20" t="s">
        <v>25</v>
      </c>
      <c r="J2581" s="21">
        <v>1.0</v>
      </c>
      <c r="K2581" s="21">
        <v>0.0</v>
      </c>
    </row>
    <row r="2582">
      <c r="A2582" s="15" t="s">
        <v>74</v>
      </c>
      <c r="B2582" s="16" t="s">
        <v>254</v>
      </c>
      <c r="C2582" s="17" t="s">
        <v>255</v>
      </c>
      <c r="D2582" s="18">
        <v>3.0</v>
      </c>
      <c r="E2582" s="17" t="s">
        <v>127</v>
      </c>
      <c r="F2582" s="15" t="s">
        <v>128</v>
      </c>
      <c r="G2582" s="19">
        <v>5.1100153E7</v>
      </c>
      <c r="H2582" s="15" t="s">
        <v>72</v>
      </c>
      <c r="I2582" s="20" t="s">
        <v>17</v>
      </c>
      <c r="J2582" s="21">
        <v>1.24735247E8</v>
      </c>
      <c r="K2582" s="21">
        <v>571858.0</v>
      </c>
    </row>
    <row r="2583">
      <c r="A2583" s="15" t="s">
        <v>74</v>
      </c>
      <c r="B2583" s="16" t="s">
        <v>254</v>
      </c>
      <c r="C2583" s="17" t="s">
        <v>255</v>
      </c>
      <c r="D2583" s="18">
        <v>3.0</v>
      </c>
      <c r="E2583" s="17" t="s">
        <v>127</v>
      </c>
      <c r="F2583" s="15" t="s">
        <v>128</v>
      </c>
      <c r="G2583" s="19">
        <v>9.0043002E7</v>
      </c>
      <c r="H2583" s="15" t="s">
        <v>49</v>
      </c>
      <c r="I2583" s="20" t="s">
        <v>50</v>
      </c>
      <c r="J2583" s="21">
        <v>3395285.0</v>
      </c>
      <c r="K2583" s="21">
        <v>198.0</v>
      </c>
    </row>
    <row r="2584">
      <c r="A2584" s="15" t="s">
        <v>74</v>
      </c>
      <c r="B2584" s="16" t="s">
        <v>254</v>
      </c>
      <c r="C2584" s="17" t="s">
        <v>255</v>
      </c>
      <c r="D2584" s="18">
        <v>3.0</v>
      </c>
      <c r="E2584" s="17" t="s">
        <v>129</v>
      </c>
      <c r="F2584" s="15" t="s">
        <v>130</v>
      </c>
      <c r="G2584" s="19">
        <v>5.1100153E7</v>
      </c>
      <c r="H2584" s="15" t="s">
        <v>72</v>
      </c>
      <c r="I2584" s="20" t="s">
        <v>25</v>
      </c>
      <c r="J2584" s="21">
        <v>0.0</v>
      </c>
      <c r="K2584" s="21">
        <v>0.0</v>
      </c>
    </row>
    <row r="2585">
      <c r="A2585" s="15" t="s">
        <v>74</v>
      </c>
      <c r="B2585" s="16" t="s">
        <v>254</v>
      </c>
      <c r="C2585" s="17" t="s">
        <v>255</v>
      </c>
      <c r="D2585" s="18">
        <v>3.0</v>
      </c>
      <c r="E2585" s="17" t="s">
        <v>129</v>
      </c>
      <c r="F2585" s="15" t="s">
        <v>130</v>
      </c>
      <c r="G2585" s="19">
        <v>5.1101056E7</v>
      </c>
      <c r="H2585" s="15" t="s">
        <v>16</v>
      </c>
      <c r="I2585" s="20" t="s">
        <v>17</v>
      </c>
      <c r="J2585" s="21">
        <v>2.320571E7</v>
      </c>
      <c r="K2585" s="21">
        <v>210961.0</v>
      </c>
    </row>
    <row r="2586">
      <c r="A2586" s="15" t="s">
        <v>74</v>
      </c>
      <c r="B2586" s="16" t="s">
        <v>254</v>
      </c>
      <c r="C2586" s="17" t="s">
        <v>255</v>
      </c>
      <c r="D2586" s="18">
        <v>3.0</v>
      </c>
      <c r="E2586" s="17" t="s">
        <v>129</v>
      </c>
      <c r="F2586" s="15" t="s">
        <v>130</v>
      </c>
      <c r="G2586" s="19">
        <v>9.0043003E7</v>
      </c>
      <c r="H2586" s="15" t="s">
        <v>90</v>
      </c>
      <c r="I2586" s="20" t="s">
        <v>50</v>
      </c>
      <c r="J2586" s="21">
        <v>5.9935011E7</v>
      </c>
      <c r="K2586" s="21">
        <v>385.0</v>
      </c>
    </row>
    <row r="2587">
      <c r="A2587" s="15" t="s">
        <v>74</v>
      </c>
      <c r="B2587" s="16" t="s">
        <v>254</v>
      </c>
      <c r="C2587" s="17" t="s">
        <v>255</v>
      </c>
      <c r="D2587" s="18">
        <v>3.0</v>
      </c>
      <c r="E2587" s="17" t="s">
        <v>135</v>
      </c>
      <c r="F2587" s="15" t="s">
        <v>136</v>
      </c>
      <c r="G2587" s="19">
        <v>9.0043001E7</v>
      </c>
      <c r="H2587" s="15" t="s">
        <v>18</v>
      </c>
      <c r="I2587" s="20" t="s">
        <v>19</v>
      </c>
      <c r="J2587" s="21">
        <v>1.305943E7</v>
      </c>
      <c r="K2587" s="21">
        <v>88.0</v>
      </c>
    </row>
    <row r="2588">
      <c r="A2588" s="15" t="s">
        <v>74</v>
      </c>
      <c r="B2588" s="16" t="s">
        <v>254</v>
      </c>
      <c r="C2588" s="17" t="s">
        <v>255</v>
      </c>
      <c r="D2588" s="18">
        <v>3.0</v>
      </c>
      <c r="E2588" s="17" t="s">
        <v>54</v>
      </c>
      <c r="F2588" s="15" t="s">
        <v>139</v>
      </c>
      <c r="G2588" s="19">
        <v>9.0042011E7</v>
      </c>
      <c r="H2588" s="15" t="s">
        <v>55</v>
      </c>
      <c r="I2588" s="20" t="s">
        <v>19</v>
      </c>
      <c r="J2588" s="21">
        <v>3.33020891E8</v>
      </c>
      <c r="K2588" s="21">
        <v>0.0</v>
      </c>
    </row>
    <row r="2589">
      <c r="A2589" s="15" t="s">
        <v>74</v>
      </c>
      <c r="B2589" s="16" t="s">
        <v>254</v>
      </c>
      <c r="C2589" s="17" t="s">
        <v>255</v>
      </c>
      <c r="D2589" s="18">
        <v>3.0</v>
      </c>
      <c r="E2589" s="17" t="s">
        <v>164</v>
      </c>
      <c r="F2589" s="15" t="s">
        <v>165</v>
      </c>
      <c r="G2589" s="19">
        <v>9.0042079E7</v>
      </c>
      <c r="H2589" s="15" t="s">
        <v>166</v>
      </c>
      <c r="I2589" s="20" t="s">
        <v>19</v>
      </c>
      <c r="J2589" s="21">
        <v>126025.0</v>
      </c>
      <c r="K2589" s="21">
        <v>0.0</v>
      </c>
    </row>
    <row r="2590">
      <c r="A2590" s="15" t="s">
        <v>74</v>
      </c>
      <c r="B2590" s="16" t="s">
        <v>254</v>
      </c>
      <c r="C2590" s="17" t="s">
        <v>255</v>
      </c>
      <c r="D2590" s="18">
        <v>3.0</v>
      </c>
      <c r="E2590" s="17" t="s">
        <v>20</v>
      </c>
      <c r="F2590" s="15" t="s">
        <v>140</v>
      </c>
      <c r="G2590" s="19">
        <v>9.0042014E7</v>
      </c>
      <c r="H2590" s="15" t="s">
        <v>21</v>
      </c>
      <c r="I2590" s="20" t="s">
        <v>19</v>
      </c>
      <c r="J2590" s="21">
        <v>3.05034839E8</v>
      </c>
      <c r="K2590" s="21">
        <v>0.0</v>
      </c>
    </row>
    <row r="2591">
      <c r="A2591" s="15" t="s">
        <v>74</v>
      </c>
      <c r="B2591" s="16" t="s">
        <v>254</v>
      </c>
      <c r="C2591" s="17" t="s">
        <v>255</v>
      </c>
      <c r="D2591" s="18">
        <v>3.0</v>
      </c>
      <c r="E2591" s="17" t="s">
        <v>20</v>
      </c>
      <c r="F2591" s="15" t="s">
        <v>140</v>
      </c>
      <c r="G2591" s="19">
        <v>9.0042077E7</v>
      </c>
      <c r="H2591" s="15" t="s">
        <v>141</v>
      </c>
      <c r="I2591" s="20" t="s">
        <v>19</v>
      </c>
      <c r="J2591" s="21">
        <v>1.9454448E7</v>
      </c>
      <c r="K2591" s="21">
        <v>0.0</v>
      </c>
    </row>
    <row r="2592">
      <c r="A2592" s="15" t="s">
        <v>74</v>
      </c>
      <c r="B2592" s="16" t="s">
        <v>254</v>
      </c>
      <c r="C2592" s="17" t="s">
        <v>255</v>
      </c>
      <c r="D2592" s="18">
        <v>3.0</v>
      </c>
      <c r="E2592" s="17" t="s">
        <v>142</v>
      </c>
      <c r="F2592" s="15" t="s">
        <v>143</v>
      </c>
      <c r="G2592" s="19">
        <v>9.0042084E7</v>
      </c>
      <c r="H2592" s="15" t="s">
        <v>145</v>
      </c>
      <c r="I2592" s="20" t="s">
        <v>19</v>
      </c>
      <c r="J2592" s="21">
        <v>3540164.0</v>
      </c>
      <c r="K2592" s="21">
        <v>0.0</v>
      </c>
    </row>
    <row r="2593">
      <c r="A2593" s="15" t="s">
        <v>74</v>
      </c>
      <c r="B2593" s="16" t="s">
        <v>254</v>
      </c>
      <c r="C2593" s="17" t="s">
        <v>255</v>
      </c>
      <c r="D2593" s="18">
        <v>3.0</v>
      </c>
      <c r="E2593" s="17" t="s">
        <v>22</v>
      </c>
      <c r="F2593" s="15" t="s">
        <v>146</v>
      </c>
      <c r="G2593" s="19">
        <v>9.0042012E7</v>
      </c>
      <c r="H2593" s="15" t="s">
        <v>23</v>
      </c>
      <c r="I2593" s="20" t="s">
        <v>19</v>
      </c>
      <c r="J2593" s="21">
        <v>1.12213701E8</v>
      </c>
      <c r="K2593" s="21">
        <v>0.0</v>
      </c>
    </row>
    <row r="2594">
      <c r="A2594" s="15" t="s">
        <v>74</v>
      </c>
      <c r="B2594" s="16" t="s">
        <v>254</v>
      </c>
      <c r="C2594" s="17" t="s">
        <v>255</v>
      </c>
      <c r="D2594" s="18">
        <v>3.0</v>
      </c>
      <c r="E2594" s="17" t="s">
        <v>22</v>
      </c>
      <c r="F2594" s="15" t="s">
        <v>146</v>
      </c>
      <c r="G2594" s="19">
        <v>9.0042121E7</v>
      </c>
      <c r="H2594" s="15" t="s">
        <v>24</v>
      </c>
      <c r="I2594" s="20" t="s">
        <v>25</v>
      </c>
      <c r="J2594" s="21">
        <v>2.99091783E8</v>
      </c>
      <c r="K2594" s="21">
        <v>0.0</v>
      </c>
    </row>
    <row r="2595">
      <c r="A2595" s="15" t="s">
        <v>74</v>
      </c>
      <c r="B2595" s="16" t="s">
        <v>254</v>
      </c>
      <c r="C2595" s="17" t="s">
        <v>255</v>
      </c>
      <c r="D2595" s="18">
        <v>3.0</v>
      </c>
      <c r="E2595" s="17" t="s">
        <v>22</v>
      </c>
      <c r="F2595" s="15" t="s">
        <v>146</v>
      </c>
      <c r="G2595" s="19">
        <v>9.0042122E7</v>
      </c>
      <c r="H2595" s="15" t="s">
        <v>56</v>
      </c>
      <c r="I2595" s="20" t="s">
        <v>25</v>
      </c>
      <c r="J2595" s="21">
        <v>3.503414E7</v>
      </c>
      <c r="K2595" s="21">
        <v>0.0</v>
      </c>
    </row>
    <row r="2596">
      <c r="A2596" s="15" t="s">
        <v>74</v>
      </c>
      <c r="B2596" s="16" t="s">
        <v>254</v>
      </c>
      <c r="C2596" s="17" t="s">
        <v>255</v>
      </c>
      <c r="D2596" s="18">
        <v>3.0</v>
      </c>
      <c r="E2596" s="17" t="s">
        <v>22</v>
      </c>
      <c r="F2596" s="15" t="s">
        <v>146</v>
      </c>
      <c r="G2596" s="19">
        <v>9.0042124E7</v>
      </c>
      <c r="H2596" s="15" t="s">
        <v>57</v>
      </c>
      <c r="I2596" s="20" t="s">
        <v>25</v>
      </c>
      <c r="J2596" s="21">
        <v>1.1660588E7</v>
      </c>
      <c r="K2596" s="21">
        <v>0.0</v>
      </c>
    </row>
    <row r="2597">
      <c r="A2597" s="15" t="s">
        <v>74</v>
      </c>
      <c r="B2597" s="16" t="s">
        <v>254</v>
      </c>
      <c r="C2597" s="17" t="s">
        <v>255</v>
      </c>
      <c r="D2597" s="18">
        <v>3.0</v>
      </c>
      <c r="E2597" s="17" t="s">
        <v>22</v>
      </c>
      <c r="F2597" s="15" t="s">
        <v>146</v>
      </c>
      <c r="G2597" s="19">
        <v>9.0042125E7</v>
      </c>
      <c r="H2597" s="15" t="s">
        <v>26</v>
      </c>
      <c r="I2597" s="20" t="s">
        <v>25</v>
      </c>
      <c r="J2597" s="21">
        <v>5.9820714E7</v>
      </c>
      <c r="K2597" s="21">
        <v>0.0</v>
      </c>
    </row>
    <row r="2598">
      <c r="A2598" s="15" t="s">
        <v>74</v>
      </c>
      <c r="B2598" s="16" t="s">
        <v>254</v>
      </c>
      <c r="C2598" s="17" t="s">
        <v>255</v>
      </c>
      <c r="D2598" s="18">
        <v>3.0</v>
      </c>
      <c r="E2598" s="17" t="s">
        <v>22</v>
      </c>
      <c r="F2598" s="15" t="s">
        <v>146</v>
      </c>
      <c r="G2598" s="19">
        <v>9.0042127E7</v>
      </c>
      <c r="H2598" s="15" t="s">
        <v>27</v>
      </c>
      <c r="I2598" s="20" t="s">
        <v>25</v>
      </c>
      <c r="J2598" s="21">
        <v>808405.0</v>
      </c>
      <c r="K2598" s="21">
        <v>0.0</v>
      </c>
    </row>
    <row r="2599">
      <c r="A2599" s="15" t="s">
        <v>74</v>
      </c>
      <c r="B2599" s="16" t="s">
        <v>254</v>
      </c>
      <c r="C2599" s="17" t="s">
        <v>255</v>
      </c>
      <c r="D2599" s="18">
        <v>3.0</v>
      </c>
      <c r="E2599" s="17" t="s">
        <v>22</v>
      </c>
      <c r="F2599" s="15" t="s">
        <v>146</v>
      </c>
      <c r="G2599" s="19">
        <v>9.0042128E7</v>
      </c>
      <c r="H2599" s="15" t="s">
        <v>58</v>
      </c>
      <c r="I2599" s="20" t="s">
        <v>25</v>
      </c>
      <c r="J2599" s="21">
        <v>5.0151529E7</v>
      </c>
      <c r="K2599" s="21">
        <v>0.0</v>
      </c>
    </row>
    <row r="2600">
      <c r="A2600" s="15" t="s">
        <v>74</v>
      </c>
      <c r="B2600" s="16" t="s">
        <v>254</v>
      </c>
      <c r="C2600" s="17" t="s">
        <v>255</v>
      </c>
      <c r="D2600" s="18">
        <v>3.0</v>
      </c>
      <c r="E2600" s="17" t="s">
        <v>22</v>
      </c>
      <c r="F2600" s="15" t="s">
        <v>146</v>
      </c>
      <c r="G2600" s="19">
        <v>9.0042132E7</v>
      </c>
      <c r="H2600" s="15" t="s">
        <v>28</v>
      </c>
      <c r="I2600" s="20" t="s">
        <v>25</v>
      </c>
      <c r="J2600" s="21">
        <v>1.9547019E7</v>
      </c>
      <c r="K2600" s="21">
        <v>0.0</v>
      </c>
    </row>
    <row r="2601">
      <c r="A2601" s="15" t="s">
        <v>74</v>
      </c>
      <c r="B2601" s="16" t="s">
        <v>254</v>
      </c>
      <c r="C2601" s="17" t="s">
        <v>255</v>
      </c>
      <c r="D2601" s="18">
        <v>3.0</v>
      </c>
      <c r="E2601" s="17" t="s">
        <v>22</v>
      </c>
      <c r="F2601" s="15" t="s">
        <v>146</v>
      </c>
      <c r="G2601" s="19">
        <v>9.0042134E7</v>
      </c>
      <c r="H2601" s="15" t="s">
        <v>29</v>
      </c>
      <c r="I2601" s="20" t="s">
        <v>25</v>
      </c>
      <c r="J2601" s="21">
        <v>2448175.0</v>
      </c>
      <c r="K2601" s="21">
        <v>0.0</v>
      </c>
    </row>
    <row r="2602">
      <c r="A2602" s="15" t="s">
        <v>74</v>
      </c>
      <c r="B2602" s="16" t="s">
        <v>254</v>
      </c>
      <c r="C2602" s="17" t="s">
        <v>255</v>
      </c>
      <c r="D2602" s="18">
        <v>3.0</v>
      </c>
      <c r="E2602" s="17" t="s">
        <v>22</v>
      </c>
      <c r="F2602" s="15" t="s">
        <v>146</v>
      </c>
      <c r="G2602" s="19">
        <v>9.0042135E7</v>
      </c>
      <c r="H2602" s="15" t="s">
        <v>30</v>
      </c>
      <c r="I2602" s="20" t="s">
        <v>25</v>
      </c>
      <c r="J2602" s="21">
        <v>2.38538687E8</v>
      </c>
      <c r="K2602" s="21">
        <v>0.0</v>
      </c>
    </row>
    <row r="2603">
      <c r="A2603" s="15" t="s">
        <v>74</v>
      </c>
      <c r="B2603" s="16" t="s">
        <v>254</v>
      </c>
      <c r="C2603" s="17" t="s">
        <v>255</v>
      </c>
      <c r="D2603" s="18">
        <v>3.0</v>
      </c>
      <c r="E2603" s="17" t="s">
        <v>22</v>
      </c>
      <c r="F2603" s="15" t="s">
        <v>146</v>
      </c>
      <c r="G2603" s="19">
        <v>9.00422E7</v>
      </c>
      <c r="H2603" s="15" t="s">
        <v>73</v>
      </c>
      <c r="I2603" s="20" t="s">
        <v>60</v>
      </c>
      <c r="J2603" s="21">
        <v>1.14010994E8</v>
      </c>
      <c r="K2603" s="21">
        <v>0.0</v>
      </c>
    </row>
    <row r="2604">
      <c r="A2604" s="15" t="s">
        <v>74</v>
      </c>
      <c r="B2604" s="16" t="s">
        <v>254</v>
      </c>
      <c r="C2604" s="17" t="s">
        <v>255</v>
      </c>
      <c r="D2604" s="18">
        <v>3.0</v>
      </c>
      <c r="E2604" s="17" t="s">
        <v>22</v>
      </c>
      <c r="F2604" s="15" t="s">
        <v>146</v>
      </c>
      <c r="G2604" s="19">
        <v>9.0042223E7</v>
      </c>
      <c r="H2604" s="15" t="s">
        <v>61</v>
      </c>
      <c r="I2604" s="20" t="s">
        <v>60</v>
      </c>
      <c r="J2604" s="21">
        <v>5778176.0</v>
      </c>
      <c r="K2604" s="21">
        <v>0.0</v>
      </c>
    </row>
    <row r="2605">
      <c r="A2605" s="15" t="s">
        <v>74</v>
      </c>
      <c r="B2605" s="16" t="s">
        <v>254</v>
      </c>
      <c r="C2605" s="17" t="s">
        <v>255</v>
      </c>
      <c r="D2605" s="18">
        <v>3.0</v>
      </c>
      <c r="E2605" s="17" t="s">
        <v>22</v>
      </c>
      <c r="F2605" s="15" t="s">
        <v>146</v>
      </c>
      <c r="G2605" s="19">
        <v>9.0042224E7</v>
      </c>
      <c r="H2605" s="15" t="s">
        <v>62</v>
      </c>
      <c r="I2605" s="20" t="s">
        <v>60</v>
      </c>
      <c r="J2605" s="21">
        <v>4465199.0</v>
      </c>
      <c r="K2605" s="21">
        <v>0.0</v>
      </c>
    </row>
    <row r="2606">
      <c r="A2606" s="15" t="s">
        <v>74</v>
      </c>
      <c r="B2606" s="16" t="s">
        <v>254</v>
      </c>
      <c r="C2606" s="17" t="s">
        <v>255</v>
      </c>
      <c r="D2606" s="18">
        <v>3.0</v>
      </c>
      <c r="E2606" s="17" t="s">
        <v>22</v>
      </c>
      <c r="F2606" s="15" t="s">
        <v>146</v>
      </c>
      <c r="G2606" s="19">
        <v>9.0042226E7</v>
      </c>
      <c r="H2606" s="15" t="s">
        <v>63</v>
      </c>
      <c r="I2606" s="20" t="s">
        <v>60</v>
      </c>
      <c r="J2606" s="21">
        <v>1744049.0</v>
      </c>
      <c r="K2606" s="21">
        <v>0.0</v>
      </c>
    </row>
    <row r="2607">
      <c r="A2607" s="15" t="s">
        <v>74</v>
      </c>
      <c r="B2607" s="16" t="s">
        <v>254</v>
      </c>
      <c r="C2607" s="17" t="s">
        <v>255</v>
      </c>
      <c r="D2607" s="18">
        <v>3.0</v>
      </c>
      <c r="E2607" s="17" t="s">
        <v>22</v>
      </c>
      <c r="F2607" s="15" t="s">
        <v>146</v>
      </c>
      <c r="G2607" s="19">
        <v>9.0042228E7</v>
      </c>
      <c r="H2607" s="15" t="s">
        <v>64</v>
      </c>
      <c r="I2607" s="20" t="s">
        <v>60</v>
      </c>
      <c r="J2607" s="21">
        <v>6.8770372E7</v>
      </c>
      <c r="K2607" s="21">
        <v>0.0</v>
      </c>
    </row>
    <row r="2608">
      <c r="A2608" s="15" t="s">
        <v>74</v>
      </c>
      <c r="B2608" s="16" t="s">
        <v>254</v>
      </c>
      <c r="C2608" s="17" t="s">
        <v>255</v>
      </c>
      <c r="D2608" s="18">
        <v>3.0</v>
      </c>
      <c r="E2608" s="17" t="s">
        <v>22</v>
      </c>
      <c r="F2608" s="15" t="s">
        <v>146</v>
      </c>
      <c r="G2608" s="19">
        <v>9.0042231E7</v>
      </c>
      <c r="H2608" s="15" t="s">
        <v>65</v>
      </c>
      <c r="I2608" s="20" t="s">
        <v>60</v>
      </c>
      <c r="J2608" s="21">
        <v>8235483.0</v>
      </c>
      <c r="K2608" s="21">
        <v>0.0</v>
      </c>
    </row>
    <row r="2609">
      <c r="A2609" s="15" t="s">
        <v>74</v>
      </c>
      <c r="B2609" s="16" t="s">
        <v>254</v>
      </c>
      <c r="C2609" s="17" t="s">
        <v>255</v>
      </c>
      <c r="D2609" s="18">
        <v>3.0</v>
      </c>
      <c r="E2609" s="17" t="s">
        <v>22</v>
      </c>
      <c r="F2609" s="15" t="s">
        <v>146</v>
      </c>
      <c r="G2609" s="19">
        <v>9.0042126E7</v>
      </c>
      <c r="H2609" s="15" t="s">
        <v>31</v>
      </c>
      <c r="I2609" s="20" t="s">
        <v>25</v>
      </c>
      <c r="J2609" s="21">
        <v>1.7753703E7</v>
      </c>
      <c r="K2609" s="21">
        <v>0.0</v>
      </c>
    </row>
    <row r="2610">
      <c r="A2610" s="15" t="s">
        <v>74</v>
      </c>
      <c r="B2610" s="16" t="s">
        <v>254</v>
      </c>
      <c r="C2610" s="17" t="s">
        <v>255</v>
      </c>
      <c r="D2610" s="18">
        <v>3.0</v>
      </c>
      <c r="E2610" s="24">
        <v>46097.0</v>
      </c>
      <c r="F2610" s="15" t="s">
        <v>216</v>
      </c>
      <c r="G2610" s="19">
        <v>5.1101056E7</v>
      </c>
      <c r="H2610" s="15" t="s">
        <v>16</v>
      </c>
      <c r="I2610" s="20" t="s">
        <v>17</v>
      </c>
      <c r="J2610" s="21">
        <v>1.388629E7</v>
      </c>
      <c r="K2610" s="21">
        <v>126239.0</v>
      </c>
    </row>
    <row r="2611">
      <c r="A2611" s="15" t="s">
        <v>74</v>
      </c>
      <c r="B2611" s="16" t="s">
        <v>254</v>
      </c>
      <c r="C2611" s="17" t="s">
        <v>255</v>
      </c>
      <c r="D2611" s="18">
        <v>3.0</v>
      </c>
      <c r="E2611" s="24">
        <v>46069.0</v>
      </c>
      <c r="F2611" s="15" t="s">
        <v>217</v>
      </c>
      <c r="G2611" s="19">
        <v>5.1100153E7</v>
      </c>
      <c r="H2611" s="15" t="s">
        <v>72</v>
      </c>
      <c r="I2611" s="20" t="s">
        <v>17</v>
      </c>
      <c r="J2611" s="21">
        <v>1.688593E7</v>
      </c>
      <c r="K2611" s="21">
        <v>174812.0</v>
      </c>
    </row>
    <row r="2612">
      <c r="A2612" s="15" t="s">
        <v>74</v>
      </c>
      <c r="B2612" s="16" t="s">
        <v>254</v>
      </c>
      <c r="C2612" s="17" t="s">
        <v>255</v>
      </c>
      <c r="D2612" s="18">
        <v>3.0</v>
      </c>
      <c r="E2612" s="17" t="s">
        <v>257</v>
      </c>
      <c r="F2612" s="15" t="s">
        <v>258</v>
      </c>
      <c r="G2612" s="19">
        <v>5.1100774E7</v>
      </c>
      <c r="H2612" s="15" t="s">
        <v>39</v>
      </c>
      <c r="I2612" s="20" t="s">
        <v>17</v>
      </c>
      <c r="J2612" s="21">
        <v>1.75E7</v>
      </c>
      <c r="K2612" s="21">
        <v>2.0</v>
      </c>
    </row>
    <row r="2613">
      <c r="A2613" s="15" t="s">
        <v>74</v>
      </c>
      <c r="B2613" s="16" t="s">
        <v>259</v>
      </c>
      <c r="C2613" s="17" t="s">
        <v>260</v>
      </c>
      <c r="D2613" s="18">
        <v>3.0</v>
      </c>
      <c r="E2613" s="24">
        <v>46038.0</v>
      </c>
      <c r="F2613" s="15" t="s">
        <v>150</v>
      </c>
      <c r="G2613" s="19">
        <v>9.0043001E7</v>
      </c>
      <c r="H2613" s="15" t="s">
        <v>18</v>
      </c>
      <c r="I2613" s="20" t="s">
        <v>19</v>
      </c>
      <c r="J2613" s="21">
        <v>3.2326682E7</v>
      </c>
      <c r="K2613" s="21">
        <v>216.0</v>
      </c>
    </row>
    <row r="2614">
      <c r="A2614" s="15" t="s">
        <v>74</v>
      </c>
      <c r="B2614" s="16" t="s">
        <v>259</v>
      </c>
      <c r="C2614" s="17" t="s">
        <v>260</v>
      </c>
      <c r="D2614" s="18">
        <v>3.0</v>
      </c>
      <c r="E2614" s="24">
        <v>46158.0</v>
      </c>
      <c r="F2614" s="15" t="s">
        <v>151</v>
      </c>
      <c r="G2614" s="19">
        <v>9.0043001E7</v>
      </c>
      <c r="H2614" s="15" t="s">
        <v>18</v>
      </c>
      <c r="I2614" s="20" t="s">
        <v>19</v>
      </c>
      <c r="J2614" s="21">
        <v>1797984.0</v>
      </c>
      <c r="K2614" s="21">
        <v>12.0</v>
      </c>
    </row>
    <row r="2615">
      <c r="A2615" s="15" t="s">
        <v>74</v>
      </c>
      <c r="B2615" s="16" t="s">
        <v>259</v>
      </c>
      <c r="C2615" s="17" t="s">
        <v>260</v>
      </c>
      <c r="D2615" s="18">
        <v>3.0</v>
      </c>
      <c r="E2615" s="17" t="s">
        <v>81</v>
      </c>
      <c r="F2615" s="15" t="s">
        <v>82</v>
      </c>
      <c r="G2615" s="19">
        <v>9.0043001E7</v>
      </c>
      <c r="H2615" s="15" t="s">
        <v>18</v>
      </c>
      <c r="I2615" s="20" t="s">
        <v>19</v>
      </c>
      <c r="J2615" s="21">
        <v>6183969.0</v>
      </c>
      <c r="K2615" s="21">
        <v>42.0</v>
      </c>
    </row>
    <row r="2616">
      <c r="A2616" s="15" t="s">
        <v>74</v>
      </c>
      <c r="B2616" s="16" t="s">
        <v>259</v>
      </c>
      <c r="C2616" s="17" t="s">
        <v>260</v>
      </c>
      <c r="D2616" s="18">
        <v>3.0</v>
      </c>
      <c r="E2616" s="17" t="s">
        <v>84</v>
      </c>
      <c r="F2616" s="15" t="s">
        <v>85</v>
      </c>
      <c r="G2616" s="19">
        <v>9.0043001E7</v>
      </c>
      <c r="H2616" s="15" t="s">
        <v>18</v>
      </c>
      <c r="I2616" s="20" t="s">
        <v>19</v>
      </c>
      <c r="J2616" s="21">
        <v>5843448.0</v>
      </c>
      <c r="K2616" s="21">
        <v>39.0</v>
      </c>
    </row>
    <row r="2617">
      <c r="A2617" s="15" t="s">
        <v>74</v>
      </c>
      <c r="B2617" s="16" t="s">
        <v>259</v>
      </c>
      <c r="C2617" s="17" t="s">
        <v>260</v>
      </c>
      <c r="D2617" s="18">
        <v>3.0</v>
      </c>
      <c r="E2617" s="17" t="s">
        <v>86</v>
      </c>
      <c r="F2617" s="15" t="s">
        <v>87</v>
      </c>
      <c r="G2617" s="19">
        <v>9.0043001E7</v>
      </c>
      <c r="H2617" s="15" t="s">
        <v>18</v>
      </c>
      <c r="I2617" s="20" t="s">
        <v>19</v>
      </c>
      <c r="J2617" s="21">
        <v>1.6425975E7</v>
      </c>
      <c r="K2617" s="21">
        <v>110.0</v>
      </c>
    </row>
    <row r="2618">
      <c r="A2618" s="15" t="s">
        <v>74</v>
      </c>
      <c r="B2618" s="16" t="s">
        <v>259</v>
      </c>
      <c r="C2618" s="17" t="s">
        <v>260</v>
      </c>
      <c r="D2618" s="18">
        <v>3.0</v>
      </c>
      <c r="E2618" s="17" t="s">
        <v>88</v>
      </c>
      <c r="F2618" s="15" t="s">
        <v>89</v>
      </c>
      <c r="G2618" s="19">
        <v>9.0043003E7</v>
      </c>
      <c r="H2618" s="15" t="s">
        <v>90</v>
      </c>
      <c r="I2618" s="20" t="s">
        <v>50</v>
      </c>
      <c r="J2618" s="21">
        <v>5.6998437E7</v>
      </c>
      <c r="K2618" s="21">
        <v>29.0</v>
      </c>
    </row>
    <row r="2619">
      <c r="A2619" s="15" t="s">
        <v>74</v>
      </c>
      <c r="B2619" s="16" t="s">
        <v>259</v>
      </c>
      <c r="C2619" s="17" t="s">
        <v>260</v>
      </c>
      <c r="D2619" s="18">
        <v>3.0</v>
      </c>
      <c r="E2619" s="17" t="s">
        <v>154</v>
      </c>
      <c r="F2619" s="15" t="s">
        <v>155</v>
      </c>
      <c r="G2619" s="19">
        <v>9.0043002E7</v>
      </c>
      <c r="H2619" s="15" t="s">
        <v>49</v>
      </c>
      <c r="I2619" s="20" t="s">
        <v>50</v>
      </c>
      <c r="J2619" s="21">
        <v>9.4962851E7</v>
      </c>
      <c r="K2619" s="21">
        <v>4160.0</v>
      </c>
    </row>
    <row r="2620">
      <c r="A2620" s="15" t="s">
        <v>74</v>
      </c>
      <c r="B2620" s="16" t="s">
        <v>259</v>
      </c>
      <c r="C2620" s="17" t="s">
        <v>260</v>
      </c>
      <c r="D2620" s="18">
        <v>3.0</v>
      </c>
      <c r="E2620" s="17" t="s">
        <v>154</v>
      </c>
      <c r="F2620" s="15" t="s">
        <v>155</v>
      </c>
      <c r="G2620" s="19">
        <v>9.0043003E7</v>
      </c>
      <c r="H2620" s="15" t="s">
        <v>90</v>
      </c>
      <c r="I2620" s="20" t="s">
        <v>50</v>
      </c>
      <c r="J2620" s="21">
        <v>3.1888608E7</v>
      </c>
      <c r="K2620" s="21">
        <v>16.0</v>
      </c>
    </row>
    <row r="2621">
      <c r="A2621" s="15" t="s">
        <v>74</v>
      </c>
      <c r="B2621" s="16" t="s">
        <v>259</v>
      </c>
      <c r="C2621" s="17" t="s">
        <v>260</v>
      </c>
      <c r="D2621" s="18">
        <v>3.0</v>
      </c>
      <c r="E2621" s="17" t="s">
        <v>91</v>
      </c>
      <c r="F2621" s="15" t="s">
        <v>92</v>
      </c>
      <c r="G2621" s="19">
        <v>5.1100651E7</v>
      </c>
      <c r="H2621" s="15" t="s">
        <v>38</v>
      </c>
      <c r="I2621" s="20" t="s">
        <v>25</v>
      </c>
      <c r="J2621" s="21">
        <v>0.0</v>
      </c>
      <c r="K2621" s="21">
        <v>0.0</v>
      </c>
    </row>
    <row r="2622">
      <c r="A2622" s="15" t="s">
        <v>74</v>
      </c>
      <c r="B2622" s="16" t="s">
        <v>259</v>
      </c>
      <c r="C2622" s="17" t="s">
        <v>260</v>
      </c>
      <c r="D2622" s="18">
        <v>3.0</v>
      </c>
      <c r="E2622" s="17" t="s">
        <v>91</v>
      </c>
      <c r="F2622" s="15" t="s">
        <v>92</v>
      </c>
      <c r="G2622" s="19">
        <v>5.1100774E7</v>
      </c>
      <c r="H2622" s="15" t="s">
        <v>39</v>
      </c>
      <c r="I2622" s="20" t="s">
        <v>17</v>
      </c>
      <c r="J2622" s="21">
        <v>650624.0</v>
      </c>
      <c r="K2622" s="21">
        <v>70.72</v>
      </c>
    </row>
    <row r="2623">
      <c r="A2623" s="15" t="s">
        <v>74</v>
      </c>
      <c r="B2623" s="16" t="s">
        <v>259</v>
      </c>
      <c r="C2623" s="17" t="s">
        <v>260</v>
      </c>
      <c r="D2623" s="18">
        <v>3.0</v>
      </c>
      <c r="E2623" s="17" t="s">
        <v>95</v>
      </c>
      <c r="F2623" s="15" t="s">
        <v>96</v>
      </c>
      <c r="G2623" s="19">
        <v>5.1100058E7</v>
      </c>
      <c r="H2623" s="15" t="s">
        <v>36</v>
      </c>
      <c r="I2623" s="20" t="s">
        <v>37</v>
      </c>
      <c r="J2623" s="21">
        <v>3.4642678E7</v>
      </c>
      <c r="K2623" s="21">
        <v>495.33</v>
      </c>
    </row>
    <row r="2624">
      <c r="A2624" s="15" t="s">
        <v>74</v>
      </c>
      <c r="B2624" s="16" t="s">
        <v>259</v>
      </c>
      <c r="C2624" s="17" t="s">
        <v>260</v>
      </c>
      <c r="D2624" s="18">
        <v>3.0</v>
      </c>
      <c r="E2624" s="17" t="s">
        <v>95</v>
      </c>
      <c r="F2624" s="15" t="s">
        <v>96</v>
      </c>
      <c r="G2624" s="19">
        <v>5.1100651E7</v>
      </c>
      <c r="H2624" s="15" t="s">
        <v>38</v>
      </c>
      <c r="I2624" s="20" t="s">
        <v>25</v>
      </c>
      <c r="J2624" s="21">
        <v>0.0</v>
      </c>
      <c r="K2624" s="21">
        <v>0.0</v>
      </c>
    </row>
    <row r="2625">
      <c r="A2625" s="15" t="s">
        <v>74</v>
      </c>
      <c r="B2625" s="16" t="s">
        <v>259</v>
      </c>
      <c r="C2625" s="17" t="s">
        <v>260</v>
      </c>
      <c r="D2625" s="18">
        <v>3.0</v>
      </c>
      <c r="E2625" s="17" t="s">
        <v>95</v>
      </c>
      <c r="F2625" s="15" t="s">
        <v>96</v>
      </c>
      <c r="G2625" s="19">
        <v>9.0043001E7</v>
      </c>
      <c r="H2625" s="15" t="s">
        <v>18</v>
      </c>
      <c r="I2625" s="20" t="s">
        <v>19</v>
      </c>
      <c r="J2625" s="21">
        <v>1.918678E7</v>
      </c>
      <c r="K2625" s="21">
        <v>128.0</v>
      </c>
    </row>
    <row r="2626">
      <c r="A2626" s="15" t="s">
        <v>74</v>
      </c>
      <c r="B2626" s="16" t="s">
        <v>259</v>
      </c>
      <c r="C2626" s="17" t="s">
        <v>260</v>
      </c>
      <c r="D2626" s="18">
        <v>3.0</v>
      </c>
      <c r="E2626" s="17" t="s">
        <v>95</v>
      </c>
      <c r="F2626" s="15" t="s">
        <v>96</v>
      </c>
      <c r="G2626" s="19">
        <v>5.1100774E7</v>
      </c>
      <c r="H2626" s="15" t="s">
        <v>39</v>
      </c>
      <c r="I2626" s="20" t="s">
        <v>17</v>
      </c>
      <c r="J2626" s="21">
        <v>1.6115987E7</v>
      </c>
      <c r="K2626" s="21">
        <v>201.82</v>
      </c>
    </row>
    <row r="2627">
      <c r="A2627" s="15" t="s">
        <v>74</v>
      </c>
      <c r="B2627" s="16" t="s">
        <v>259</v>
      </c>
      <c r="C2627" s="17" t="s">
        <v>260</v>
      </c>
      <c r="D2627" s="18">
        <v>3.0</v>
      </c>
      <c r="E2627" s="17" t="s">
        <v>101</v>
      </c>
      <c r="F2627" s="15" t="s">
        <v>102</v>
      </c>
      <c r="G2627" s="19">
        <v>9.0043001E7</v>
      </c>
      <c r="H2627" s="15" t="s">
        <v>18</v>
      </c>
      <c r="I2627" s="20" t="s">
        <v>19</v>
      </c>
      <c r="J2627" s="21">
        <v>4.5527601E7</v>
      </c>
      <c r="K2627" s="21">
        <v>307.0</v>
      </c>
    </row>
    <row r="2628">
      <c r="A2628" s="15" t="s">
        <v>74</v>
      </c>
      <c r="B2628" s="16" t="s">
        <v>259</v>
      </c>
      <c r="C2628" s="17" t="s">
        <v>260</v>
      </c>
      <c r="D2628" s="18">
        <v>3.0</v>
      </c>
      <c r="E2628" s="17" t="s">
        <v>103</v>
      </c>
      <c r="F2628" s="15" t="s">
        <v>104</v>
      </c>
      <c r="G2628" s="19">
        <v>5.1100058E7</v>
      </c>
      <c r="H2628" s="15" t="s">
        <v>36</v>
      </c>
      <c r="I2628" s="20" t="s">
        <v>37</v>
      </c>
      <c r="J2628" s="21">
        <v>2.0591559E7</v>
      </c>
      <c r="K2628" s="21">
        <v>260.78</v>
      </c>
    </row>
    <row r="2629">
      <c r="A2629" s="15" t="s">
        <v>74</v>
      </c>
      <c r="B2629" s="16" t="s">
        <v>259</v>
      </c>
      <c r="C2629" s="17" t="s">
        <v>260</v>
      </c>
      <c r="D2629" s="18">
        <v>3.0</v>
      </c>
      <c r="E2629" s="17" t="s">
        <v>103</v>
      </c>
      <c r="F2629" s="15" t="s">
        <v>104</v>
      </c>
      <c r="G2629" s="19">
        <v>5.1100651E7</v>
      </c>
      <c r="H2629" s="15" t="s">
        <v>38</v>
      </c>
      <c r="I2629" s="20" t="s">
        <v>25</v>
      </c>
      <c r="J2629" s="21">
        <v>0.0</v>
      </c>
      <c r="K2629" s="21">
        <v>0.0</v>
      </c>
    </row>
    <row r="2630">
      <c r="A2630" s="15" t="s">
        <v>74</v>
      </c>
      <c r="B2630" s="16" t="s">
        <v>259</v>
      </c>
      <c r="C2630" s="17" t="s">
        <v>260</v>
      </c>
      <c r="D2630" s="18">
        <v>3.0</v>
      </c>
      <c r="E2630" s="17" t="s">
        <v>103</v>
      </c>
      <c r="F2630" s="15" t="s">
        <v>104</v>
      </c>
      <c r="G2630" s="19">
        <v>9.0043001E7</v>
      </c>
      <c r="H2630" s="15" t="s">
        <v>18</v>
      </c>
      <c r="I2630" s="20" t="s">
        <v>19</v>
      </c>
      <c r="J2630" s="21">
        <v>2.3490008E7</v>
      </c>
      <c r="K2630" s="21">
        <v>160.0</v>
      </c>
    </row>
    <row r="2631">
      <c r="A2631" s="15" t="s">
        <v>74</v>
      </c>
      <c r="B2631" s="16" t="s">
        <v>259</v>
      </c>
      <c r="C2631" s="17" t="s">
        <v>260</v>
      </c>
      <c r="D2631" s="18">
        <v>3.0</v>
      </c>
      <c r="E2631" s="17" t="s">
        <v>103</v>
      </c>
      <c r="F2631" s="15" t="s">
        <v>104</v>
      </c>
      <c r="G2631" s="19">
        <v>5.1100774E7</v>
      </c>
      <c r="H2631" s="15" t="s">
        <v>39</v>
      </c>
      <c r="I2631" s="20" t="s">
        <v>17</v>
      </c>
      <c r="J2631" s="21">
        <v>6.3127632E7</v>
      </c>
      <c r="K2631" s="21">
        <v>307.17</v>
      </c>
    </row>
    <row r="2632">
      <c r="A2632" s="15" t="s">
        <v>74</v>
      </c>
      <c r="B2632" s="16" t="s">
        <v>259</v>
      </c>
      <c r="C2632" s="17" t="s">
        <v>260</v>
      </c>
      <c r="D2632" s="18">
        <v>3.0</v>
      </c>
      <c r="E2632" s="17" t="s">
        <v>205</v>
      </c>
      <c r="F2632" s="15" t="s">
        <v>206</v>
      </c>
      <c r="G2632" s="19">
        <v>9.0043001E7</v>
      </c>
      <c r="H2632" s="15" t="s">
        <v>18</v>
      </c>
      <c r="I2632" s="20" t="s">
        <v>19</v>
      </c>
      <c r="J2632" s="21">
        <v>3800394.0</v>
      </c>
      <c r="K2632" s="21">
        <v>26.0</v>
      </c>
    </row>
    <row r="2633">
      <c r="A2633" s="15" t="s">
        <v>74</v>
      </c>
      <c r="B2633" s="16" t="s">
        <v>259</v>
      </c>
      <c r="C2633" s="17" t="s">
        <v>260</v>
      </c>
      <c r="D2633" s="18">
        <v>3.0</v>
      </c>
      <c r="E2633" s="17" t="s">
        <v>117</v>
      </c>
      <c r="F2633" s="15" t="s">
        <v>118</v>
      </c>
      <c r="G2633" s="19">
        <v>9.0043001E7</v>
      </c>
      <c r="H2633" s="15" t="s">
        <v>18</v>
      </c>
      <c r="I2633" s="20" t="s">
        <v>19</v>
      </c>
      <c r="J2633" s="21">
        <v>584676.0</v>
      </c>
      <c r="K2633" s="21">
        <v>4.0</v>
      </c>
    </row>
    <row r="2634">
      <c r="A2634" s="15" t="s">
        <v>74</v>
      </c>
      <c r="B2634" s="16" t="s">
        <v>259</v>
      </c>
      <c r="C2634" s="17" t="s">
        <v>260</v>
      </c>
      <c r="D2634" s="18">
        <v>3.0</v>
      </c>
      <c r="E2634" s="17" t="s">
        <v>123</v>
      </c>
      <c r="F2634" s="15" t="s">
        <v>124</v>
      </c>
      <c r="G2634" s="19">
        <v>5.1100651E7</v>
      </c>
      <c r="H2634" s="15" t="s">
        <v>38</v>
      </c>
      <c r="I2634" s="20" t="s">
        <v>25</v>
      </c>
      <c r="J2634" s="21">
        <v>0.0</v>
      </c>
      <c r="K2634" s="21">
        <v>0.0</v>
      </c>
    </row>
    <row r="2635">
      <c r="A2635" s="15" t="s">
        <v>74</v>
      </c>
      <c r="B2635" s="16" t="s">
        <v>259</v>
      </c>
      <c r="C2635" s="17" t="s">
        <v>260</v>
      </c>
      <c r="D2635" s="18">
        <v>3.0</v>
      </c>
      <c r="E2635" s="17" t="s">
        <v>123</v>
      </c>
      <c r="F2635" s="15" t="s">
        <v>124</v>
      </c>
      <c r="G2635" s="19">
        <v>9.0043001E7</v>
      </c>
      <c r="H2635" s="15" t="s">
        <v>18</v>
      </c>
      <c r="I2635" s="20" t="s">
        <v>19</v>
      </c>
      <c r="J2635" s="21">
        <v>1469220.0</v>
      </c>
      <c r="K2635" s="21">
        <v>10.0</v>
      </c>
    </row>
    <row r="2636">
      <c r="A2636" s="15" t="s">
        <v>74</v>
      </c>
      <c r="B2636" s="16" t="s">
        <v>259</v>
      </c>
      <c r="C2636" s="17" t="s">
        <v>260</v>
      </c>
      <c r="D2636" s="18">
        <v>3.0</v>
      </c>
      <c r="E2636" s="17" t="s">
        <v>123</v>
      </c>
      <c r="F2636" s="15" t="s">
        <v>124</v>
      </c>
      <c r="G2636" s="19">
        <v>5.1100774E7</v>
      </c>
      <c r="H2636" s="15" t="s">
        <v>39</v>
      </c>
      <c r="I2636" s="20" t="s">
        <v>17</v>
      </c>
      <c r="J2636" s="21">
        <v>1.95136E7</v>
      </c>
      <c r="K2636" s="21">
        <v>2660.0</v>
      </c>
    </row>
    <row r="2637">
      <c r="A2637" s="15" t="s">
        <v>74</v>
      </c>
      <c r="B2637" s="16" t="s">
        <v>259</v>
      </c>
      <c r="C2637" s="17" t="s">
        <v>260</v>
      </c>
      <c r="D2637" s="18">
        <v>3.0</v>
      </c>
      <c r="E2637" s="17" t="s">
        <v>125</v>
      </c>
      <c r="F2637" s="15" t="s">
        <v>126</v>
      </c>
      <c r="G2637" s="19">
        <v>5.1101056E7</v>
      </c>
      <c r="H2637" s="15" t="s">
        <v>16</v>
      </c>
      <c r="I2637" s="20" t="s">
        <v>17</v>
      </c>
      <c r="J2637" s="21">
        <v>7182636.0</v>
      </c>
      <c r="K2637" s="21">
        <v>52428.0</v>
      </c>
    </row>
    <row r="2638">
      <c r="A2638" s="15" t="s">
        <v>74</v>
      </c>
      <c r="B2638" s="16" t="s">
        <v>259</v>
      </c>
      <c r="C2638" s="17" t="s">
        <v>260</v>
      </c>
      <c r="D2638" s="18">
        <v>3.0</v>
      </c>
      <c r="E2638" s="17" t="s">
        <v>125</v>
      </c>
      <c r="F2638" s="15" t="s">
        <v>126</v>
      </c>
      <c r="G2638" s="19">
        <v>9.0043001E7</v>
      </c>
      <c r="H2638" s="15" t="s">
        <v>18</v>
      </c>
      <c r="I2638" s="20" t="s">
        <v>19</v>
      </c>
      <c r="J2638" s="21">
        <v>2.36323298E8</v>
      </c>
      <c r="K2638" s="21">
        <v>1604.0</v>
      </c>
    </row>
    <row r="2639">
      <c r="A2639" s="15" t="s">
        <v>74</v>
      </c>
      <c r="B2639" s="16" t="s">
        <v>259</v>
      </c>
      <c r="C2639" s="17" t="s">
        <v>260</v>
      </c>
      <c r="D2639" s="18">
        <v>3.0</v>
      </c>
      <c r="E2639" s="17" t="s">
        <v>127</v>
      </c>
      <c r="F2639" s="15" t="s">
        <v>128</v>
      </c>
      <c r="G2639" s="19">
        <v>5.1100153E7</v>
      </c>
      <c r="H2639" s="15" t="s">
        <v>72</v>
      </c>
      <c r="I2639" s="20" t="s">
        <v>25</v>
      </c>
      <c r="J2639" s="21">
        <v>-44603.0</v>
      </c>
      <c r="K2639" s="21">
        <v>0.0</v>
      </c>
    </row>
    <row r="2640">
      <c r="A2640" s="15" t="s">
        <v>74</v>
      </c>
      <c r="B2640" s="16" t="s">
        <v>259</v>
      </c>
      <c r="C2640" s="17" t="s">
        <v>260</v>
      </c>
      <c r="D2640" s="18">
        <v>3.0</v>
      </c>
      <c r="E2640" s="17" t="s">
        <v>127</v>
      </c>
      <c r="F2640" s="15" t="s">
        <v>128</v>
      </c>
      <c r="G2640" s="19">
        <v>5.1100153E7</v>
      </c>
      <c r="H2640" s="15" t="s">
        <v>72</v>
      </c>
      <c r="I2640" s="20" t="s">
        <v>17</v>
      </c>
      <c r="J2640" s="21">
        <v>1.7951981E8</v>
      </c>
      <c r="K2640" s="21">
        <v>995667.0</v>
      </c>
    </row>
    <row r="2641">
      <c r="A2641" s="15" t="s">
        <v>74</v>
      </c>
      <c r="B2641" s="16" t="s">
        <v>259</v>
      </c>
      <c r="C2641" s="17" t="s">
        <v>260</v>
      </c>
      <c r="D2641" s="18">
        <v>3.0</v>
      </c>
      <c r="E2641" s="17" t="s">
        <v>129</v>
      </c>
      <c r="F2641" s="15" t="s">
        <v>130</v>
      </c>
      <c r="G2641" s="19">
        <v>5.1101056E7</v>
      </c>
      <c r="H2641" s="15" t="s">
        <v>16</v>
      </c>
      <c r="I2641" s="20" t="s">
        <v>17</v>
      </c>
      <c r="J2641" s="21">
        <v>4.2845E7</v>
      </c>
      <c r="K2641" s="21">
        <v>389500.0</v>
      </c>
    </row>
    <row r="2642">
      <c r="A2642" s="15" t="s">
        <v>74</v>
      </c>
      <c r="B2642" s="16" t="s">
        <v>259</v>
      </c>
      <c r="C2642" s="17" t="s">
        <v>260</v>
      </c>
      <c r="D2642" s="18">
        <v>3.0</v>
      </c>
      <c r="E2642" s="17" t="s">
        <v>135</v>
      </c>
      <c r="F2642" s="15" t="s">
        <v>136</v>
      </c>
      <c r="G2642" s="19">
        <v>9.0043001E7</v>
      </c>
      <c r="H2642" s="15" t="s">
        <v>18</v>
      </c>
      <c r="I2642" s="20" t="s">
        <v>19</v>
      </c>
      <c r="J2642" s="21">
        <v>1.1606933E7</v>
      </c>
      <c r="K2642" s="21">
        <v>79.0</v>
      </c>
    </row>
    <row r="2643">
      <c r="A2643" s="15" t="s">
        <v>74</v>
      </c>
      <c r="B2643" s="16" t="s">
        <v>259</v>
      </c>
      <c r="C2643" s="17" t="s">
        <v>260</v>
      </c>
      <c r="D2643" s="18">
        <v>3.0</v>
      </c>
      <c r="E2643" s="17" t="s">
        <v>54</v>
      </c>
      <c r="F2643" s="15" t="s">
        <v>139</v>
      </c>
      <c r="G2643" s="19">
        <v>9.0042011E7</v>
      </c>
      <c r="H2643" s="15" t="s">
        <v>55</v>
      </c>
      <c r="I2643" s="20" t="s">
        <v>19</v>
      </c>
      <c r="J2643" s="21">
        <v>2.10889604E8</v>
      </c>
      <c r="K2643" s="21">
        <v>0.0</v>
      </c>
    </row>
    <row r="2644">
      <c r="A2644" s="15" t="s">
        <v>74</v>
      </c>
      <c r="B2644" s="16" t="s">
        <v>259</v>
      </c>
      <c r="C2644" s="17" t="s">
        <v>260</v>
      </c>
      <c r="D2644" s="18">
        <v>3.0</v>
      </c>
      <c r="E2644" s="17" t="s">
        <v>20</v>
      </c>
      <c r="F2644" s="15" t="s">
        <v>140</v>
      </c>
      <c r="G2644" s="19">
        <v>9.0042014E7</v>
      </c>
      <c r="H2644" s="15" t="s">
        <v>21</v>
      </c>
      <c r="I2644" s="20" t="s">
        <v>19</v>
      </c>
      <c r="J2644" s="21">
        <v>3.01535016E8</v>
      </c>
      <c r="K2644" s="21">
        <v>0.0</v>
      </c>
    </row>
    <row r="2645">
      <c r="A2645" s="15" t="s">
        <v>74</v>
      </c>
      <c r="B2645" s="16" t="s">
        <v>259</v>
      </c>
      <c r="C2645" s="17" t="s">
        <v>260</v>
      </c>
      <c r="D2645" s="18">
        <v>3.0</v>
      </c>
      <c r="E2645" s="17" t="s">
        <v>20</v>
      </c>
      <c r="F2645" s="15" t="s">
        <v>140</v>
      </c>
      <c r="G2645" s="19">
        <v>9.0042077E7</v>
      </c>
      <c r="H2645" s="15" t="s">
        <v>141</v>
      </c>
      <c r="I2645" s="20" t="s">
        <v>19</v>
      </c>
      <c r="J2645" s="21">
        <v>6954684.0</v>
      </c>
      <c r="K2645" s="21">
        <v>0.0</v>
      </c>
    </row>
    <row r="2646">
      <c r="A2646" s="15" t="s">
        <v>74</v>
      </c>
      <c r="B2646" s="16" t="s">
        <v>259</v>
      </c>
      <c r="C2646" s="17" t="s">
        <v>260</v>
      </c>
      <c r="D2646" s="18">
        <v>3.0</v>
      </c>
      <c r="E2646" s="17" t="s">
        <v>22</v>
      </c>
      <c r="F2646" s="15" t="s">
        <v>146</v>
      </c>
      <c r="G2646" s="19">
        <v>9.0042012E7</v>
      </c>
      <c r="H2646" s="15" t="s">
        <v>23</v>
      </c>
      <c r="I2646" s="20" t="s">
        <v>19</v>
      </c>
      <c r="J2646" s="21">
        <v>1.06494515E8</v>
      </c>
      <c r="K2646" s="21">
        <v>0.0</v>
      </c>
    </row>
    <row r="2647">
      <c r="A2647" s="15" t="s">
        <v>74</v>
      </c>
      <c r="B2647" s="16" t="s">
        <v>259</v>
      </c>
      <c r="C2647" s="17" t="s">
        <v>260</v>
      </c>
      <c r="D2647" s="18">
        <v>3.0</v>
      </c>
      <c r="E2647" s="17" t="s">
        <v>22</v>
      </c>
      <c r="F2647" s="15" t="s">
        <v>146</v>
      </c>
      <c r="G2647" s="19">
        <v>9.0042121E7</v>
      </c>
      <c r="H2647" s="15" t="s">
        <v>24</v>
      </c>
      <c r="I2647" s="20" t="s">
        <v>25</v>
      </c>
      <c r="J2647" s="21">
        <v>2.40331985E8</v>
      </c>
      <c r="K2647" s="21">
        <v>0.0</v>
      </c>
    </row>
    <row r="2648">
      <c r="A2648" s="15" t="s">
        <v>74</v>
      </c>
      <c r="B2648" s="16" t="s">
        <v>259</v>
      </c>
      <c r="C2648" s="17" t="s">
        <v>260</v>
      </c>
      <c r="D2648" s="18">
        <v>3.0</v>
      </c>
      <c r="E2648" s="17" t="s">
        <v>22</v>
      </c>
      <c r="F2648" s="15" t="s">
        <v>146</v>
      </c>
      <c r="G2648" s="19">
        <v>9.0042122E7</v>
      </c>
      <c r="H2648" s="15" t="s">
        <v>56</v>
      </c>
      <c r="I2648" s="20" t="s">
        <v>25</v>
      </c>
      <c r="J2648" s="21">
        <v>5.9227042E7</v>
      </c>
      <c r="K2648" s="21">
        <v>0.0</v>
      </c>
    </row>
    <row r="2649">
      <c r="A2649" s="15" t="s">
        <v>74</v>
      </c>
      <c r="B2649" s="16" t="s">
        <v>259</v>
      </c>
      <c r="C2649" s="17" t="s">
        <v>260</v>
      </c>
      <c r="D2649" s="18">
        <v>3.0</v>
      </c>
      <c r="E2649" s="17" t="s">
        <v>22</v>
      </c>
      <c r="F2649" s="15" t="s">
        <v>146</v>
      </c>
      <c r="G2649" s="19">
        <v>9.0042125E7</v>
      </c>
      <c r="H2649" s="15" t="s">
        <v>26</v>
      </c>
      <c r="I2649" s="20" t="s">
        <v>25</v>
      </c>
      <c r="J2649" s="21">
        <v>7.9917836E7</v>
      </c>
      <c r="K2649" s="21">
        <v>0.0</v>
      </c>
    </row>
    <row r="2650">
      <c r="A2650" s="15" t="s">
        <v>74</v>
      </c>
      <c r="B2650" s="16" t="s">
        <v>259</v>
      </c>
      <c r="C2650" s="17" t="s">
        <v>260</v>
      </c>
      <c r="D2650" s="18">
        <v>3.0</v>
      </c>
      <c r="E2650" s="17" t="s">
        <v>22</v>
      </c>
      <c r="F2650" s="15" t="s">
        <v>146</v>
      </c>
      <c r="G2650" s="19">
        <v>9.0042128E7</v>
      </c>
      <c r="H2650" s="15" t="s">
        <v>58</v>
      </c>
      <c r="I2650" s="20" t="s">
        <v>25</v>
      </c>
      <c r="J2650" s="21">
        <v>1.8563245E7</v>
      </c>
      <c r="K2650" s="21">
        <v>0.0</v>
      </c>
    </row>
    <row r="2651">
      <c r="A2651" s="15" t="s">
        <v>74</v>
      </c>
      <c r="B2651" s="16" t="s">
        <v>259</v>
      </c>
      <c r="C2651" s="17" t="s">
        <v>260</v>
      </c>
      <c r="D2651" s="18">
        <v>3.0</v>
      </c>
      <c r="E2651" s="17" t="s">
        <v>22</v>
      </c>
      <c r="F2651" s="15" t="s">
        <v>146</v>
      </c>
      <c r="G2651" s="19">
        <v>9.0042134E7</v>
      </c>
      <c r="H2651" s="15" t="s">
        <v>29</v>
      </c>
      <c r="I2651" s="20" t="s">
        <v>25</v>
      </c>
      <c r="J2651" s="21">
        <v>1898175.0</v>
      </c>
      <c r="K2651" s="21">
        <v>0.0</v>
      </c>
    </row>
    <row r="2652">
      <c r="A2652" s="15" t="s">
        <v>74</v>
      </c>
      <c r="B2652" s="16" t="s">
        <v>259</v>
      </c>
      <c r="C2652" s="17" t="s">
        <v>260</v>
      </c>
      <c r="D2652" s="18">
        <v>3.0</v>
      </c>
      <c r="E2652" s="17" t="s">
        <v>22</v>
      </c>
      <c r="F2652" s="15" t="s">
        <v>146</v>
      </c>
      <c r="G2652" s="19">
        <v>9.0042135E7</v>
      </c>
      <c r="H2652" s="15" t="s">
        <v>30</v>
      </c>
      <c r="I2652" s="20" t="s">
        <v>25</v>
      </c>
      <c r="J2652" s="21">
        <v>1.0931375E8</v>
      </c>
      <c r="K2652" s="21">
        <v>0.0</v>
      </c>
    </row>
    <row r="2653">
      <c r="A2653" s="15" t="s">
        <v>74</v>
      </c>
      <c r="B2653" s="16" t="s">
        <v>259</v>
      </c>
      <c r="C2653" s="17" t="s">
        <v>260</v>
      </c>
      <c r="D2653" s="18">
        <v>3.0</v>
      </c>
      <c r="E2653" s="17" t="s">
        <v>22</v>
      </c>
      <c r="F2653" s="15" t="s">
        <v>146</v>
      </c>
      <c r="G2653" s="19">
        <v>9.00422E7</v>
      </c>
      <c r="H2653" s="15" t="s">
        <v>73</v>
      </c>
      <c r="I2653" s="20" t="s">
        <v>60</v>
      </c>
      <c r="J2653" s="21">
        <v>1.79392928E8</v>
      </c>
      <c r="K2653" s="21">
        <v>0.0</v>
      </c>
    </row>
    <row r="2654">
      <c r="A2654" s="15" t="s">
        <v>74</v>
      </c>
      <c r="B2654" s="16" t="s">
        <v>259</v>
      </c>
      <c r="C2654" s="17" t="s">
        <v>260</v>
      </c>
      <c r="D2654" s="18">
        <v>3.0</v>
      </c>
      <c r="E2654" s="17" t="s">
        <v>22</v>
      </c>
      <c r="F2654" s="15" t="s">
        <v>146</v>
      </c>
      <c r="G2654" s="19">
        <v>9.0042223E7</v>
      </c>
      <c r="H2654" s="15" t="s">
        <v>61</v>
      </c>
      <c r="I2654" s="20" t="s">
        <v>60</v>
      </c>
      <c r="J2654" s="21">
        <v>2.9468067E7</v>
      </c>
      <c r="K2654" s="21">
        <v>0.0</v>
      </c>
    </row>
    <row r="2655">
      <c r="A2655" s="15" t="s">
        <v>74</v>
      </c>
      <c r="B2655" s="16" t="s">
        <v>259</v>
      </c>
      <c r="C2655" s="17" t="s">
        <v>260</v>
      </c>
      <c r="D2655" s="18">
        <v>3.0</v>
      </c>
      <c r="E2655" s="17" t="s">
        <v>22</v>
      </c>
      <c r="F2655" s="15" t="s">
        <v>146</v>
      </c>
      <c r="G2655" s="19">
        <v>9.0042226E7</v>
      </c>
      <c r="H2655" s="15" t="s">
        <v>63</v>
      </c>
      <c r="I2655" s="20" t="s">
        <v>60</v>
      </c>
      <c r="J2655" s="21">
        <v>1233333.0</v>
      </c>
      <c r="K2655" s="21">
        <v>0.0</v>
      </c>
    </row>
    <row r="2656">
      <c r="A2656" s="15" t="s">
        <v>74</v>
      </c>
      <c r="B2656" s="16" t="s">
        <v>259</v>
      </c>
      <c r="C2656" s="17" t="s">
        <v>260</v>
      </c>
      <c r="D2656" s="18">
        <v>3.0</v>
      </c>
      <c r="E2656" s="17" t="s">
        <v>22</v>
      </c>
      <c r="F2656" s="15" t="s">
        <v>146</v>
      </c>
      <c r="G2656" s="19">
        <v>9.0042228E7</v>
      </c>
      <c r="H2656" s="15" t="s">
        <v>64</v>
      </c>
      <c r="I2656" s="20" t="s">
        <v>60</v>
      </c>
      <c r="J2656" s="21">
        <v>1.05904968E8</v>
      </c>
      <c r="K2656" s="21">
        <v>0.0</v>
      </c>
    </row>
    <row r="2657">
      <c r="A2657" s="15" t="s">
        <v>74</v>
      </c>
      <c r="B2657" s="16" t="s">
        <v>259</v>
      </c>
      <c r="C2657" s="17" t="s">
        <v>260</v>
      </c>
      <c r="D2657" s="18">
        <v>3.0</v>
      </c>
      <c r="E2657" s="17" t="s">
        <v>22</v>
      </c>
      <c r="F2657" s="15" t="s">
        <v>146</v>
      </c>
      <c r="G2657" s="19">
        <v>9.0042231E7</v>
      </c>
      <c r="H2657" s="15" t="s">
        <v>65</v>
      </c>
      <c r="I2657" s="20" t="s">
        <v>60</v>
      </c>
      <c r="J2657" s="21">
        <v>1.1424572E7</v>
      </c>
      <c r="K2657" s="21">
        <v>0.0</v>
      </c>
    </row>
    <row r="2658">
      <c r="A2658" s="15" t="s">
        <v>74</v>
      </c>
      <c r="B2658" s="16" t="s">
        <v>259</v>
      </c>
      <c r="C2658" s="17" t="s">
        <v>260</v>
      </c>
      <c r="D2658" s="18">
        <v>3.0</v>
      </c>
      <c r="E2658" s="17" t="s">
        <v>22</v>
      </c>
      <c r="F2658" s="15" t="s">
        <v>146</v>
      </c>
      <c r="G2658" s="19">
        <v>9.0042126E7</v>
      </c>
      <c r="H2658" s="15" t="s">
        <v>31</v>
      </c>
      <c r="I2658" s="20" t="s">
        <v>25</v>
      </c>
      <c r="J2658" s="21">
        <v>3.7317989E7</v>
      </c>
      <c r="K2658" s="21">
        <v>0.0</v>
      </c>
    </row>
    <row r="2659">
      <c r="A2659" s="15" t="s">
        <v>74</v>
      </c>
      <c r="B2659" s="16" t="s">
        <v>259</v>
      </c>
      <c r="C2659" s="17" t="s">
        <v>260</v>
      </c>
      <c r="D2659" s="18">
        <v>3.0</v>
      </c>
      <c r="E2659" s="17" t="s">
        <v>22</v>
      </c>
      <c r="F2659" s="15" t="s">
        <v>146</v>
      </c>
      <c r="G2659" s="19">
        <v>9.004212E7</v>
      </c>
      <c r="H2659" s="15" t="s">
        <v>182</v>
      </c>
      <c r="I2659" s="20" t="s">
        <v>25</v>
      </c>
      <c r="J2659" s="21">
        <v>8.3697975E7</v>
      </c>
      <c r="K2659" s="21">
        <v>0.0</v>
      </c>
    </row>
    <row r="2660">
      <c r="A2660" s="15" t="s">
        <v>74</v>
      </c>
      <c r="B2660" s="16" t="s">
        <v>259</v>
      </c>
      <c r="C2660" s="17" t="s">
        <v>260</v>
      </c>
      <c r="D2660" s="18">
        <v>3.0</v>
      </c>
      <c r="E2660" s="24">
        <v>46097.0</v>
      </c>
      <c r="F2660" s="15" t="s">
        <v>216</v>
      </c>
      <c r="G2660" s="19">
        <v>5.1101056E7</v>
      </c>
      <c r="H2660" s="15" t="s">
        <v>16</v>
      </c>
      <c r="I2660" s="20" t="s">
        <v>17</v>
      </c>
      <c r="J2660" s="21">
        <v>5604500.0</v>
      </c>
      <c r="K2660" s="21">
        <v>50950.0</v>
      </c>
    </row>
    <row r="2661">
      <c r="A2661" s="15" t="s">
        <v>74</v>
      </c>
      <c r="B2661" s="16" t="s">
        <v>259</v>
      </c>
      <c r="C2661" s="17" t="s">
        <v>260</v>
      </c>
      <c r="D2661" s="18">
        <v>3.0</v>
      </c>
      <c r="E2661" s="24">
        <v>46069.0</v>
      </c>
      <c r="F2661" s="15" t="s">
        <v>217</v>
      </c>
      <c r="G2661" s="19">
        <v>5.1100153E7</v>
      </c>
      <c r="H2661" s="15" t="s">
        <v>72</v>
      </c>
      <c r="I2661" s="20" t="s">
        <v>17</v>
      </c>
      <c r="J2661" s="21">
        <v>1.425332E7</v>
      </c>
      <c r="K2661" s="21">
        <v>98523.0</v>
      </c>
    </row>
    <row r="2662">
      <c r="A2662" s="15" t="s">
        <v>74</v>
      </c>
      <c r="B2662" s="16" t="s">
        <v>66</v>
      </c>
      <c r="C2662" s="17" t="s">
        <v>67</v>
      </c>
      <c r="D2662" s="18">
        <v>3.0</v>
      </c>
      <c r="E2662" s="24">
        <v>46038.0</v>
      </c>
      <c r="F2662" s="15" t="s">
        <v>150</v>
      </c>
      <c r="G2662" s="19">
        <v>9.0043001E7</v>
      </c>
      <c r="H2662" s="15" t="s">
        <v>18</v>
      </c>
      <c r="I2662" s="20" t="s">
        <v>19</v>
      </c>
      <c r="J2662" s="21">
        <v>8620764.0</v>
      </c>
      <c r="K2662" s="21">
        <v>54.0</v>
      </c>
    </row>
    <row r="2663">
      <c r="A2663" s="15" t="s">
        <v>74</v>
      </c>
      <c r="B2663" s="16" t="s">
        <v>66</v>
      </c>
      <c r="C2663" s="17" t="s">
        <v>67</v>
      </c>
      <c r="D2663" s="18">
        <v>3.0</v>
      </c>
      <c r="E2663" s="24">
        <v>46158.0</v>
      </c>
      <c r="F2663" s="15" t="s">
        <v>151</v>
      </c>
      <c r="G2663" s="19">
        <v>9.0043001E7</v>
      </c>
      <c r="H2663" s="15" t="s">
        <v>18</v>
      </c>
      <c r="I2663" s="20" t="s">
        <v>19</v>
      </c>
      <c r="J2663" s="21">
        <v>316622.0</v>
      </c>
      <c r="K2663" s="21">
        <v>2.0</v>
      </c>
    </row>
    <row r="2664">
      <c r="A2664" s="15" t="s">
        <v>74</v>
      </c>
      <c r="B2664" s="16" t="s">
        <v>66</v>
      </c>
      <c r="C2664" s="17" t="s">
        <v>67</v>
      </c>
      <c r="D2664" s="18">
        <v>3.0</v>
      </c>
      <c r="E2664" s="24">
        <v>46189.0</v>
      </c>
      <c r="F2664" s="15" t="s">
        <v>262</v>
      </c>
      <c r="G2664" s="19">
        <v>9.0043001E7</v>
      </c>
      <c r="H2664" s="15" t="s">
        <v>18</v>
      </c>
      <c r="I2664" s="20" t="s">
        <v>19</v>
      </c>
      <c r="J2664" s="21">
        <v>4627066.0</v>
      </c>
      <c r="K2664" s="21">
        <v>29.0</v>
      </c>
    </row>
    <row r="2665">
      <c r="A2665" s="15" t="s">
        <v>74</v>
      </c>
      <c r="B2665" s="16" t="s">
        <v>66</v>
      </c>
      <c r="C2665" s="17" t="s">
        <v>67</v>
      </c>
      <c r="D2665" s="18">
        <v>3.0</v>
      </c>
      <c r="E2665" s="17" t="s">
        <v>81</v>
      </c>
      <c r="F2665" s="15" t="s">
        <v>82</v>
      </c>
      <c r="G2665" s="19">
        <v>9.0043001E7</v>
      </c>
      <c r="H2665" s="15" t="s">
        <v>18</v>
      </c>
      <c r="I2665" s="20" t="s">
        <v>19</v>
      </c>
      <c r="J2665" s="21">
        <v>1420794.0</v>
      </c>
      <c r="K2665" s="21">
        <v>9.0</v>
      </c>
    </row>
    <row r="2666">
      <c r="A2666" s="15" t="s">
        <v>74</v>
      </c>
      <c r="B2666" s="16" t="s">
        <v>66</v>
      </c>
      <c r="C2666" s="17" t="s">
        <v>67</v>
      </c>
      <c r="D2666" s="18">
        <v>3.0</v>
      </c>
      <c r="E2666" s="17" t="s">
        <v>81</v>
      </c>
      <c r="F2666" s="15" t="s">
        <v>82</v>
      </c>
      <c r="G2666" s="19">
        <v>9.0043002E7</v>
      </c>
      <c r="H2666" s="15" t="s">
        <v>49</v>
      </c>
      <c r="I2666" s="20" t="s">
        <v>50</v>
      </c>
      <c r="J2666" s="21">
        <v>2.3352625E7</v>
      </c>
      <c r="K2666" s="21">
        <v>472.0</v>
      </c>
    </row>
    <row r="2667">
      <c r="A2667" s="15" t="s">
        <v>74</v>
      </c>
      <c r="B2667" s="16" t="s">
        <v>66</v>
      </c>
      <c r="C2667" s="17" t="s">
        <v>67</v>
      </c>
      <c r="D2667" s="18">
        <v>3.0</v>
      </c>
      <c r="E2667" s="17" t="s">
        <v>81</v>
      </c>
      <c r="F2667" s="15" t="s">
        <v>82</v>
      </c>
      <c r="G2667" s="19">
        <v>9.0043E7</v>
      </c>
      <c r="H2667" s="15" t="s">
        <v>83</v>
      </c>
      <c r="I2667" s="20" t="s">
        <v>19</v>
      </c>
      <c r="J2667" s="21">
        <v>3414540.0</v>
      </c>
      <c r="K2667" s="21">
        <v>20.0</v>
      </c>
    </row>
    <row r="2668">
      <c r="A2668" s="15" t="s">
        <v>74</v>
      </c>
      <c r="B2668" s="16" t="s">
        <v>66</v>
      </c>
      <c r="C2668" s="17" t="s">
        <v>67</v>
      </c>
      <c r="D2668" s="18">
        <v>3.0</v>
      </c>
      <c r="E2668" s="17" t="s">
        <v>84</v>
      </c>
      <c r="F2668" s="15" t="s">
        <v>85</v>
      </c>
      <c r="G2668" s="19">
        <v>9.0043001E7</v>
      </c>
      <c r="H2668" s="15" t="s">
        <v>18</v>
      </c>
      <c r="I2668" s="20" t="s">
        <v>19</v>
      </c>
      <c r="J2668" s="21">
        <v>5.7682703E7</v>
      </c>
      <c r="K2668" s="21">
        <v>322.0</v>
      </c>
    </row>
    <row r="2669">
      <c r="A2669" s="15" t="s">
        <v>74</v>
      </c>
      <c r="B2669" s="16" t="s">
        <v>66</v>
      </c>
      <c r="C2669" s="17" t="s">
        <v>67</v>
      </c>
      <c r="D2669" s="18">
        <v>3.0</v>
      </c>
      <c r="E2669" s="17" t="s">
        <v>84</v>
      </c>
      <c r="F2669" s="15" t="s">
        <v>85</v>
      </c>
      <c r="G2669" s="19">
        <v>9.0043003E7</v>
      </c>
      <c r="H2669" s="15" t="s">
        <v>90</v>
      </c>
      <c r="I2669" s="20" t="s">
        <v>50</v>
      </c>
      <c r="J2669" s="21">
        <v>2.071939E7</v>
      </c>
      <c r="K2669" s="21">
        <v>15.0</v>
      </c>
    </row>
    <row r="2670">
      <c r="A2670" s="15" t="s">
        <v>74</v>
      </c>
      <c r="B2670" s="16" t="s">
        <v>66</v>
      </c>
      <c r="C2670" s="17" t="s">
        <v>67</v>
      </c>
      <c r="D2670" s="18">
        <v>3.0</v>
      </c>
      <c r="E2670" s="17" t="s">
        <v>86</v>
      </c>
      <c r="F2670" s="15" t="s">
        <v>87</v>
      </c>
      <c r="G2670" s="19">
        <v>9.0043001E7</v>
      </c>
      <c r="H2670" s="15" t="s">
        <v>18</v>
      </c>
      <c r="I2670" s="20" t="s">
        <v>19</v>
      </c>
      <c r="J2670" s="21">
        <v>9.1197986E7</v>
      </c>
      <c r="K2670" s="21">
        <v>567.0</v>
      </c>
    </row>
    <row r="2671">
      <c r="A2671" s="15" t="s">
        <v>74</v>
      </c>
      <c r="B2671" s="16" t="s">
        <v>66</v>
      </c>
      <c r="C2671" s="17" t="s">
        <v>67</v>
      </c>
      <c r="D2671" s="18">
        <v>3.0</v>
      </c>
      <c r="E2671" s="17" t="s">
        <v>86</v>
      </c>
      <c r="F2671" s="15" t="s">
        <v>87</v>
      </c>
      <c r="G2671" s="19">
        <v>9.0043E7</v>
      </c>
      <c r="H2671" s="15" t="s">
        <v>83</v>
      </c>
      <c r="I2671" s="20" t="s">
        <v>19</v>
      </c>
      <c r="J2671" s="21">
        <v>2885562.0</v>
      </c>
      <c r="K2671" s="21">
        <v>18.0</v>
      </c>
    </row>
    <row r="2672">
      <c r="A2672" s="15" t="s">
        <v>74</v>
      </c>
      <c r="B2672" s="16" t="s">
        <v>66</v>
      </c>
      <c r="C2672" s="17" t="s">
        <v>67</v>
      </c>
      <c r="D2672" s="18">
        <v>3.0</v>
      </c>
      <c r="E2672" s="17" t="s">
        <v>95</v>
      </c>
      <c r="F2672" s="15" t="s">
        <v>96</v>
      </c>
      <c r="G2672" s="19">
        <v>5.1100058E7</v>
      </c>
      <c r="H2672" s="15" t="s">
        <v>36</v>
      </c>
      <c r="I2672" s="20" t="s">
        <v>37</v>
      </c>
      <c r="J2672" s="21">
        <v>3472813.0</v>
      </c>
      <c r="K2672" s="21">
        <v>50.74</v>
      </c>
    </row>
    <row r="2673">
      <c r="A2673" s="15" t="s">
        <v>74</v>
      </c>
      <c r="B2673" s="16" t="s">
        <v>66</v>
      </c>
      <c r="C2673" s="17" t="s">
        <v>67</v>
      </c>
      <c r="D2673" s="18">
        <v>3.0</v>
      </c>
      <c r="E2673" s="17" t="s">
        <v>95</v>
      </c>
      <c r="F2673" s="15" t="s">
        <v>96</v>
      </c>
      <c r="G2673" s="19">
        <v>9.0043001E7</v>
      </c>
      <c r="H2673" s="15" t="s">
        <v>18</v>
      </c>
      <c r="I2673" s="20" t="s">
        <v>19</v>
      </c>
      <c r="J2673" s="21">
        <v>2.2602694E7</v>
      </c>
      <c r="K2673" s="21">
        <v>141.0</v>
      </c>
    </row>
    <row r="2674">
      <c r="A2674" s="15" t="s">
        <v>74</v>
      </c>
      <c r="B2674" s="16" t="s">
        <v>66</v>
      </c>
      <c r="C2674" s="17" t="s">
        <v>67</v>
      </c>
      <c r="D2674" s="18">
        <v>3.0</v>
      </c>
      <c r="E2674" s="17" t="s">
        <v>97</v>
      </c>
      <c r="F2674" s="15" t="s">
        <v>98</v>
      </c>
      <c r="G2674" s="19">
        <v>5.1100058E7</v>
      </c>
      <c r="H2674" s="15" t="s">
        <v>36</v>
      </c>
      <c r="I2674" s="20" t="s">
        <v>37</v>
      </c>
      <c r="J2674" s="21">
        <v>2244525.0</v>
      </c>
      <c r="K2674" s="21">
        <v>32.8</v>
      </c>
    </row>
    <row r="2675">
      <c r="A2675" s="15" t="s">
        <v>74</v>
      </c>
      <c r="B2675" s="16" t="s">
        <v>66</v>
      </c>
      <c r="C2675" s="17" t="s">
        <v>67</v>
      </c>
      <c r="D2675" s="18">
        <v>3.0</v>
      </c>
      <c r="E2675" s="17" t="s">
        <v>101</v>
      </c>
      <c r="F2675" s="15" t="s">
        <v>102</v>
      </c>
      <c r="G2675" s="19">
        <v>9.0043001E7</v>
      </c>
      <c r="H2675" s="15" t="s">
        <v>18</v>
      </c>
      <c r="I2675" s="20" t="s">
        <v>19</v>
      </c>
      <c r="J2675" s="21">
        <v>1.09119366E8</v>
      </c>
      <c r="K2675" s="21">
        <v>686.0</v>
      </c>
    </row>
    <row r="2676">
      <c r="A2676" s="15" t="s">
        <v>74</v>
      </c>
      <c r="B2676" s="16" t="s">
        <v>66</v>
      </c>
      <c r="C2676" s="17" t="s">
        <v>67</v>
      </c>
      <c r="D2676" s="18">
        <v>3.0</v>
      </c>
      <c r="E2676" s="17" t="s">
        <v>101</v>
      </c>
      <c r="F2676" s="15" t="s">
        <v>102</v>
      </c>
      <c r="G2676" s="19">
        <v>9.0043E7</v>
      </c>
      <c r="H2676" s="15" t="s">
        <v>83</v>
      </c>
      <c r="I2676" s="20" t="s">
        <v>19</v>
      </c>
      <c r="J2676" s="21">
        <v>1122163.0</v>
      </c>
      <c r="K2676" s="21">
        <v>7.0</v>
      </c>
    </row>
    <row r="2677">
      <c r="A2677" s="15" t="s">
        <v>74</v>
      </c>
      <c r="B2677" s="16" t="s">
        <v>66</v>
      </c>
      <c r="C2677" s="17" t="s">
        <v>67</v>
      </c>
      <c r="D2677" s="18">
        <v>3.0</v>
      </c>
      <c r="E2677" s="17" t="s">
        <v>101</v>
      </c>
      <c r="F2677" s="15" t="s">
        <v>102</v>
      </c>
      <c r="G2677" s="19">
        <v>5.1100774E7</v>
      </c>
      <c r="H2677" s="15" t="s">
        <v>39</v>
      </c>
      <c r="I2677" s="20" t="s">
        <v>17</v>
      </c>
      <c r="J2677" s="21">
        <v>2.640495E7</v>
      </c>
      <c r="K2677" s="21">
        <v>143.0</v>
      </c>
    </row>
    <row r="2678">
      <c r="A2678" s="15" t="s">
        <v>74</v>
      </c>
      <c r="B2678" s="16" t="s">
        <v>66</v>
      </c>
      <c r="C2678" s="17" t="s">
        <v>67</v>
      </c>
      <c r="D2678" s="18">
        <v>3.0</v>
      </c>
      <c r="E2678" s="17" t="s">
        <v>103</v>
      </c>
      <c r="F2678" s="15" t="s">
        <v>104</v>
      </c>
      <c r="G2678" s="19">
        <v>5.1100058E7</v>
      </c>
      <c r="H2678" s="15" t="s">
        <v>36</v>
      </c>
      <c r="I2678" s="20" t="s">
        <v>37</v>
      </c>
      <c r="J2678" s="21">
        <v>2.1555907E7</v>
      </c>
      <c r="K2678" s="21">
        <v>295.37</v>
      </c>
    </row>
    <row r="2679">
      <c r="A2679" s="15" t="s">
        <v>74</v>
      </c>
      <c r="B2679" s="16" t="s">
        <v>66</v>
      </c>
      <c r="C2679" s="17" t="s">
        <v>67</v>
      </c>
      <c r="D2679" s="18">
        <v>3.0</v>
      </c>
      <c r="E2679" s="17" t="s">
        <v>103</v>
      </c>
      <c r="F2679" s="15" t="s">
        <v>104</v>
      </c>
      <c r="G2679" s="19">
        <v>5.1100651E7</v>
      </c>
      <c r="H2679" s="15" t="s">
        <v>38</v>
      </c>
      <c r="I2679" s="20" t="s">
        <v>25</v>
      </c>
      <c r="J2679" s="21">
        <v>0.0</v>
      </c>
      <c r="K2679" s="21">
        <v>0.0</v>
      </c>
    </row>
    <row r="2680">
      <c r="A2680" s="15" t="s">
        <v>74</v>
      </c>
      <c r="B2680" s="16" t="s">
        <v>66</v>
      </c>
      <c r="C2680" s="17" t="s">
        <v>67</v>
      </c>
      <c r="D2680" s="18">
        <v>3.0</v>
      </c>
      <c r="E2680" s="17" t="s">
        <v>103</v>
      </c>
      <c r="F2680" s="15" t="s">
        <v>104</v>
      </c>
      <c r="G2680" s="19">
        <v>9.0043001E7</v>
      </c>
      <c r="H2680" s="15" t="s">
        <v>18</v>
      </c>
      <c r="I2680" s="20" t="s">
        <v>19</v>
      </c>
      <c r="J2680" s="21">
        <v>1.4590992E7</v>
      </c>
      <c r="K2680" s="21">
        <v>95.0</v>
      </c>
    </row>
    <row r="2681">
      <c r="A2681" s="15" t="s">
        <v>74</v>
      </c>
      <c r="B2681" s="16" t="s">
        <v>66</v>
      </c>
      <c r="C2681" s="17" t="s">
        <v>67</v>
      </c>
      <c r="D2681" s="18">
        <v>3.0</v>
      </c>
      <c r="E2681" s="17" t="s">
        <v>103</v>
      </c>
      <c r="F2681" s="15" t="s">
        <v>104</v>
      </c>
      <c r="G2681" s="19">
        <v>9.0043E7</v>
      </c>
      <c r="H2681" s="15" t="s">
        <v>83</v>
      </c>
      <c r="I2681" s="20" t="s">
        <v>19</v>
      </c>
      <c r="J2681" s="21">
        <v>3328120.0</v>
      </c>
      <c r="K2681" s="21">
        <v>20.0</v>
      </c>
    </row>
    <row r="2682">
      <c r="A2682" s="15" t="s">
        <v>74</v>
      </c>
      <c r="B2682" s="16" t="s">
        <v>66</v>
      </c>
      <c r="C2682" s="17" t="s">
        <v>67</v>
      </c>
      <c r="D2682" s="18">
        <v>3.0</v>
      </c>
      <c r="E2682" s="17" t="s">
        <v>103</v>
      </c>
      <c r="F2682" s="15" t="s">
        <v>104</v>
      </c>
      <c r="G2682" s="19">
        <v>5.1100774E7</v>
      </c>
      <c r="H2682" s="15" t="s">
        <v>39</v>
      </c>
      <c r="I2682" s="20" t="s">
        <v>17</v>
      </c>
      <c r="J2682" s="21">
        <v>1.1830526E7</v>
      </c>
      <c r="K2682" s="21">
        <v>64.07</v>
      </c>
    </row>
    <row r="2683">
      <c r="A2683" s="15" t="s">
        <v>74</v>
      </c>
      <c r="B2683" s="16" t="s">
        <v>66</v>
      </c>
      <c r="C2683" s="17" t="s">
        <v>67</v>
      </c>
      <c r="D2683" s="18">
        <v>3.0</v>
      </c>
      <c r="E2683" s="17" t="s">
        <v>117</v>
      </c>
      <c r="F2683" s="15" t="s">
        <v>118</v>
      </c>
      <c r="G2683" s="19">
        <v>5.1100651E7</v>
      </c>
      <c r="H2683" s="15" t="s">
        <v>38</v>
      </c>
      <c r="I2683" s="20" t="s">
        <v>25</v>
      </c>
      <c r="J2683" s="21">
        <v>0.0</v>
      </c>
      <c r="K2683" s="21">
        <v>0.0</v>
      </c>
    </row>
    <row r="2684">
      <c r="A2684" s="15" t="s">
        <v>74</v>
      </c>
      <c r="B2684" s="16" t="s">
        <v>66</v>
      </c>
      <c r="C2684" s="17" t="s">
        <v>67</v>
      </c>
      <c r="D2684" s="18">
        <v>3.0</v>
      </c>
      <c r="E2684" s="17" t="s">
        <v>117</v>
      </c>
      <c r="F2684" s="15" t="s">
        <v>118</v>
      </c>
      <c r="G2684" s="19">
        <v>5.1100774E7</v>
      </c>
      <c r="H2684" s="15" t="s">
        <v>39</v>
      </c>
      <c r="I2684" s="20" t="s">
        <v>17</v>
      </c>
      <c r="J2684" s="21">
        <v>2654499.0</v>
      </c>
      <c r="K2684" s="21">
        <v>23.0</v>
      </c>
    </row>
    <row r="2685">
      <c r="A2685" s="15" t="s">
        <v>74</v>
      </c>
      <c r="B2685" s="16" t="s">
        <v>66</v>
      </c>
      <c r="C2685" s="17" t="s">
        <v>67</v>
      </c>
      <c r="D2685" s="18">
        <v>3.0</v>
      </c>
      <c r="E2685" s="17" t="s">
        <v>125</v>
      </c>
      <c r="F2685" s="15" t="s">
        <v>126</v>
      </c>
      <c r="G2685" s="19">
        <v>9.0043001E7</v>
      </c>
      <c r="H2685" s="15" t="s">
        <v>18</v>
      </c>
      <c r="I2685" s="20" t="s">
        <v>19</v>
      </c>
      <c r="J2685" s="21">
        <v>2.3583897E8</v>
      </c>
      <c r="K2685" s="21">
        <v>1497.0</v>
      </c>
    </row>
    <row r="2686">
      <c r="A2686" s="15" t="s">
        <v>74</v>
      </c>
      <c r="B2686" s="16" t="s">
        <v>66</v>
      </c>
      <c r="C2686" s="17" t="s">
        <v>67</v>
      </c>
      <c r="D2686" s="18">
        <v>3.0</v>
      </c>
      <c r="E2686" s="17" t="s">
        <v>127</v>
      </c>
      <c r="F2686" s="15" t="s">
        <v>128</v>
      </c>
      <c r="G2686" s="19">
        <v>5.1100153E7</v>
      </c>
      <c r="H2686" s="15" t="s">
        <v>72</v>
      </c>
      <c r="I2686" s="20" t="s">
        <v>17</v>
      </c>
      <c r="J2686" s="21">
        <v>4.76141922E8</v>
      </c>
      <c r="K2686" s="21">
        <v>1244320.0</v>
      </c>
    </row>
    <row r="2687">
      <c r="A2687" s="15" t="s">
        <v>74</v>
      </c>
      <c r="B2687" s="16" t="s">
        <v>66</v>
      </c>
      <c r="C2687" s="17" t="s">
        <v>67</v>
      </c>
      <c r="D2687" s="18">
        <v>3.0</v>
      </c>
      <c r="E2687" s="17" t="s">
        <v>129</v>
      </c>
      <c r="F2687" s="15" t="s">
        <v>130</v>
      </c>
      <c r="G2687" s="19">
        <v>5.1101056E7</v>
      </c>
      <c r="H2687" s="15" t="s">
        <v>16</v>
      </c>
      <c r="I2687" s="20" t="s">
        <v>17</v>
      </c>
      <c r="J2687" s="21">
        <v>1.00628E8</v>
      </c>
      <c r="K2687" s="21">
        <v>1006280.0</v>
      </c>
    </row>
    <row r="2688">
      <c r="A2688" s="15" t="s">
        <v>74</v>
      </c>
      <c r="B2688" s="16" t="s">
        <v>66</v>
      </c>
      <c r="C2688" s="17" t="s">
        <v>67</v>
      </c>
      <c r="D2688" s="18">
        <v>3.0</v>
      </c>
      <c r="E2688" s="17" t="s">
        <v>129</v>
      </c>
      <c r="F2688" s="15" t="s">
        <v>130</v>
      </c>
      <c r="G2688" s="19">
        <v>9.0043003E7</v>
      </c>
      <c r="H2688" s="15" t="s">
        <v>90</v>
      </c>
      <c r="I2688" s="20" t="s">
        <v>50</v>
      </c>
      <c r="J2688" s="21">
        <v>2.996946E7</v>
      </c>
      <c r="K2688" s="21">
        <v>246.0</v>
      </c>
    </row>
    <row r="2689">
      <c r="A2689" s="15" t="s">
        <v>74</v>
      </c>
      <c r="B2689" s="16" t="s">
        <v>66</v>
      </c>
      <c r="C2689" s="17" t="s">
        <v>67</v>
      </c>
      <c r="D2689" s="18">
        <v>3.0</v>
      </c>
      <c r="E2689" s="17" t="s">
        <v>131</v>
      </c>
      <c r="F2689" s="15" t="s">
        <v>132</v>
      </c>
      <c r="G2689" s="19">
        <v>9.0043001E7</v>
      </c>
      <c r="H2689" s="15" t="s">
        <v>18</v>
      </c>
      <c r="I2689" s="20" t="s">
        <v>19</v>
      </c>
      <c r="J2689" s="21">
        <v>1.1296688E7</v>
      </c>
      <c r="K2689" s="21">
        <v>72.0</v>
      </c>
    </row>
    <row r="2690">
      <c r="A2690" s="15" t="s">
        <v>74</v>
      </c>
      <c r="B2690" s="16" t="s">
        <v>66</v>
      </c>
      <c r="C2690" s="17" t="s">
        <v>67</v>
      </c>
      <c r="D2690" s="18">
        <v>3.0</v>
      </c>
      <c r="E2690" s="17" t="s">
        <v>135</v>
      </c>
      <c r="F2690" s="15" t="s">
        <v>136</v>
      </c>
      <c r="G2690" s="19">
        <v>9.0043001E7</v>
      </c>
      <c r="H2690" s="15" t="s">
        <v>18</v>
      </c>
      <c r="I2690" s="20" t="s">
        <v>19</v>
      </c>
      <c r="J2690" s="21">
        <v>5.5465535E7</v>
      </c>
      <c r="K2690" s="21">
        <v>354.0</v>
      </c>
    </row>
    <row r="2691">
      <c r="A2691" s="15" t="s">
        <v>74</v>
      </c>
      <c r="B2691" s="16" t="s">
        <v>66</v>
      </c>
      <c r="C2691" s="17" t="s">
        <v>67</v>
      </c>
      <c r="D2691" s="18">
        <v>3.0</v>
      </c>
      <c r="E2691" s="17" t="s">
        <v>162</v>
      </c>
      <c r="F2691" s="15" t="s">
        <v>163</v>
      </c>
      <c r="G2691" s="19">
        <v>9.0043001E7</v>
      </c>
      <c r="H2691" s="15" t="s">
        <v>18</v>
      </c>
      <c r="I2691" s="20" t="s">
        <v>19</v>
      </c>
      <c r="J2691" s="21">
        <v>1.1457269E7</v>
      </c>
      <c r="K2691" s="21">
        <v>73.0</v>
      </c>
    </row>
    <row r="2692">
      <c r="A2692" s="15" t="s">
        <v>74</v>
      </c>
      <c r="B2692" s="16" t="s">
        <v>66</v>
      </c>
      <c r="C2692" s="17" t="s">
        <v>67</v>
      </c>
      <c r="D2692" s="18">
        <v>3.0</v>
      </c>
      <c r="E2692" s="17" t="s">
        <v>162</v>
      </c>
      <c r="F2692" s="15" t="s">
        <v>163</v>
      </c>
      <c r="G2692" s="19">
        <v>9.0043E7</v>
      </c>
      <c r="H2692" s="15" t="s">
        <v>83</v>
      </c>
      <c r="I2692" s="20" t="s">
        <v>19</v>
      </c>
      <c r="J2692" s="21">
        <v>1603090.0</v>
      </c>
      <c r="K2692" s="21">
        <v>10.0</v>
      </c>
    </row>
    <row r="2693">
      <c r="A2693" s="15" t="s">
        <v>74</v>
      </c>
      <c r="B2693" s="16" t="s">
        <v>66</v>
      </c>
      <c r="C2693" s="17" t="s">
        <v>67</v>
      </c>
      <c r="D2693" s="18">
        <v>3.0</v>
      </c>
      <c r="E2693" s="17" t="s">
        <v>54</v>
      </c>
      <c r="F2693" s="15" t="s">
        <v>139</v>
      </c>
      <c r="G2693" s="19">
        <v>9.0042011E7</v>
      </c>
      <c r="H2693" s="15" t="s">
        <v>55</v>
      </c>
      <c r="I2693" s="20" t="s">
        <v>19</v>
      </c>
      <c r="J2693" s="21">
        <v>3.93902521E8</v>
      </c>
      <c r="K2693" s="21">
        <v>0.0</v>
      </c>
    </row>
    <row r="2694">
      <c r="A2694" s="15" t="s">
        <v>74</v>
      </c>
      <c r="B2694" s="16" t="s">
        <v>66</v>
      </c>
      <c r="C2694" s="17" t="s">
        <v>67</v>
      </c>
      <c r="D2694" s="18">
        <v>3.0</v>
      </c>
      <c r="E2694" s="17" t="s">
        <v>54</v>
      </c>
      <c r="F2694" s="15" t="s">
        <v>139</v>
      </c>
      <c r="G2694" s="19">
        <v>9.0042078E7</v>
      </c>
      <c r="H2694" s="15" t="s">
        <v>265</v>
      </c>
      <c r="I2694" s="20" t="s">
        <v>19</v>
      </c>
      <c r="J2694" s="21">
        <v>330000.0</v>
      </c>
      <c r="K2694" s="21">
        <v>0.0</v>
      </c>
    </row>
    <row r="2695">
      <c r="A2695" s="15" t="s">
        <v>74</v>
      </c>
      <c r="B2695" s="16" t="s">
        <v>66</v>
      </c>
      <c r="C2695" s="17" t="s">
        <v>67</v>
      </c>
      <c r="D2695" s="18">
        <v>3.0</v>
      </c>
      <c r="E2695" s="17" t="s">
        <v>20</v>
      </c>
      <c r="F2695" s="15" t="s">
        <v>140</v>
      </c>
      <c r="G2695" s="19">
        <v>9.0042014E7</v>
      </c>
      <c r="H2695" s="15" t="s">
        <v>21</v>
      </c>
      <c r="I2695" s="20" t="s">
        <v>19</v>
      </c>
      <c r="J2695" s="21">
        <v>5.12021234E8</v>
      </c>
      <c r="K2695" s="21">
        <v>0.0</v>
      </c>
    </row>
    <row r="2696">
      <c r="A2696" s="15" t="s">
        <v>74</v>
      </c>
      <c r="B2696" s="16" t="s">
        <v>66</v>
      </c>
      <c r="C2696" s="17" t="s">
        <v>67</v>
      </c>
      <c r="D2696" s="18">
        <v>3.0</v>
      </c>
      <c r="E2696" s="17" t="s">
        <v>20</v>
      </c>
      <c r="F2696" s="15" t="s">
        <v>140</v>
      </c>
      <c r="G2696" s="19">
        <v>9.0042077E7</v>
      </c>
      <c r="H2696" s="15" t="s">
        <v>141</v>
      </c>
      <c r="I2696" s="20" t="s">
        <v>19</v>
      </c>
      <c r="J2696" s="21">
        <v>1.7422465E7</v>
      </c>
      <c r="K2696" s="21">
        <v>0.0</v>
      </c>
    </row>
    <row r="2697">
      <c r="A2697" s="15" t="s">
        <v>74</v>
      </c>
      <c r="B2697" s="16" t="s">
        <v>66</v>
      </c>
      <c r="C2697" s="17" t="s">
        <v>67</v>
      </c>
      <c r="D2697" s="18">
        <v>3.0</v>
      </c>
      <c r="E2697" s="17" t="s">
        <v>142</v>
      </c>
      <c r="F2697" s="15" t="s">
        <v>143</v>
      </c>
      <c r="G2697" s="19">
        <v>9.0042013E7</v>
      </c>
      <c r="H2697" s="15" t="s">
        <v>144</v>
      </c>
      <c r="I2697" s="20" t="s">
        <v>19</v>
      </c>
      <c r="J2697" s="21">
        <v>1.7515248E7</v>
      </c>
      <c r="K2697" s="21">
        <v>0.0</v>
      </c>
    </row>
    <row r="2698">
      <c r="A2698" s="15" t="s">
        <v>74</v>
      </c>
      <c r="B2698" s="16" t="s">
        <v>66</v>
      </c>
      <c r="C2698" s="17" t="s">
        <v>67</v>
      </c>
      <c r="D2698" s="18">
        <v>3.0</v>
      </c>
      <c r="E2698" s="17" t="s">
        <v>142</v>
      </c>
      <c r="F2698" s="15" t="s">
        <v>143</v>
      </c>
      <c r="G2698" s="19">
        <v>9.0042084E7</v>
      </c>
      <c r="H2698" s="15" t="s">
        <v>145</v>
      </c>
      <c r="I2698" s="20" t="s">
        <v>19</v>
      </c>
      <c r="J2698" s="21">
        <v>4640890.0</v>
      </c>
      <c r="K2698" s="21">
        <v>0.0</v>
      </c>
    </row>
    <row r="2699">
      <c r="A2699" s="15" t="s">
        <v>74</v>
      </c>
      <c r="B2699" s="16" t="s">
        <v>66</v>
      </c>
      <c r="C2699" s="17" t="s">
        <v>67</v>
      </c>
      <c r="D2699" s="18">
        <v>3.0</v>
      </c>
      <c r="E2699" s="17" t="s">
        <v>22</v>
      </c>
      <c r="F2699" s="15" t="s">
        <v>146</v>
      </c>
      <c r="G2699" s="19">
        <v>9.0042012E7</v>
      </c>
      <c r="H2699" s="15" t="s">
        <v>23</v>
      </c>
      <c r="I2699" s="20" t="s">
        <v>19</v>
      </c>
      <c r="J2699" s="21">
        <v>1.48801866E8</v>
      </c>
      <c r="K2699" s="21">
        <v>0.0</v>
      </c>
    </row>
    <row r="2700">
      <c r="A2700" s="15" t="s">
        <v>74</v>
      </c>
      <c r="B2700" s="16" t="s">
        <v>66</v>
      </c>
      <c r="C2700" s="17" t="s">
        <v>67</v>
      </c>
      <c r="D2700" s="18">
        <v>3.0</v>
      </c>
      <c r="E2700" s="17" t="s">
        <v>22</v>
      </c>
      <c r="F2700" s="15" t="s">
        <v>146</v>
      </c>
      <c r="G2700" s="19">
        <v>9.0042121E7</v>
      </c>
      <c r="H2700" s="15" t="s">
        <v>24</v>
      </c>
      <c r="I2700" s="20" t="s">
        <v>25</v>
      </c>
      <c r="J2700" s="21">
        <v>3.91365875E8</v>
      </c>
      <c r="K2700" s="21">
        <v>0.0</v>
      </c>
    </row>
    <row r="2701">
      <c r="A2701" s="15" t="s">
        <v>74</v>
      </c>
      <c r="B2701" s="16" t="s">
        <v>66</v>
      </c>
      <c r="C2701" s="17" t="s">
        <v>67</v>
      </c>
      <c r="D2701" s="18">
        <v>3.0</v>
      </c>
      <c r="E2701" s="17" t="s">
        <v>22</v>
      </c>
      <c r="F2701" s="15" t="s">
        <v>146</v>
      </c>
      <c r="G2701" s="19">
        <v>9.0042122E7</v>
      </c>
      <c r="H2701" s="15" t="s">
        <v>56</v>
      </c>
      <c r="I2701" s="20" t="s">
        <v>25</v>
      </c>
      <c r="J2701" s="21">
        <v>1.4670558E8</v>
      </c>
      <c r="K2701" s="21">
        <v>0.0</v>
      </c>
    </row>
    <row r="2702">
      <c r="A2702" s="15" t="s">
        <v>74</v>
      </c>
      <c r="B2702" s="16" t="s">
        <v>66</v>
      </c>
      <c r="C2702" s="17" t="s">
        <v>67</v>
      </c>
      <c r="D2702" s="18">
        <v>3.0</v>
      </c>
      <c r="E2702" s="17" t="s">
        <v>22</v>
      </c>
      <c r="F2702" s="15" t="s">
        <v>146</v>
      </c>
      <c r="G2702" s="19">
        <v>9.0042124E7</v>
      </c>
      <c r="H2702" s="15" t="s">
        <v>57</v>
      </c>
      <c r="I2702" s="20" t="s">
        <v>25</v>
      </c>
      <c r="J2702" s="21">
        <v>4.7350779E7</v>
      </c>
      <c r="K2702" s="21">
        <v>0.0</v>
      </c>
    </row>
    <row r="2703">
      <c r="A2703" s="15" t="s">
        <v>74</v>
      </c>
      <c r="B2703" s="16" t="s">
        <v>66</v>
      </c>
      <c r="C2703" s="17" t="s">
        <v>67</v>
      </c>
      <c r="D2703" s="18">
        <v>3.0</v>
      </c>
      <c r="E2703" s="17" t="s">
        <v>22</v>
      </c>
      <c r="F2703" s="15" t="s">
        <v>146</v>
      </c>
      <c r="G2703" s="19">
        <v>9.0042125E7</v>
      </c>
      <c r="H2703" s="15" t="s">
        <v>26</v>
      </c>
      <c r="I2703" s="20" t="s">
        <v>25</v>
      </c>
      <c r="J2703" s="21">
        <v>8.1262928E7</v>
      </c>
      <c r="K2703" s="21">
        <v>0.0</v>
      </c>
    </row>
    <row r="2704">
      <c r="A2704" s="15" t="s">
        <v>74</v>
      </c>
      <c r="B2704" s="16" t="s">
        <v>66</v>
      </c>
      <c r="C2704" s="17" t="s">
        <v>67</v>
      </c>
      <c r="D2704" s="18">
        <v>3.0</v>
      </c>
      <c r="E2704" s="17" t="s">
        <v>22</v>
      </c>
      <c r="F2704" s="15" t="s">
        <v>146</v>
      </c>
      <c r="G2704" s="19">
        <v>9.0042127E7</v>
      </c>
      <c r="H2704" s="15" t="s">
        <v>27</v>
      </c>
      <c r="I2704" s="20" t="s">
        <v>25</v>
      </c>
      <c r="J2704" s="21">
        <v>2.1301729E7</v>
      </c>
      <c r="K2704" s="21">
        <v>0.0</v>
      </c>
    </row>
    <row r="2705">
      <c r="A2705" s="15" t="s">
        <v>74</v>
      </c>
      <c r="B2705" s="16" t="s">
        <v>66</v>
      </c>
      <c r="C2705" s="17" t="s">
        <v>67</v>
      </c>
      <c r="D2705" s="18">
        <v>3.0</v>
      </c>
      <c r="E2705" s="17" t="s">
        <v>22</v>
      </c>
      <c r="F2705" s="15" t="s">
        <v>146</v>
      </c>
      <c r="G2705" s="19">
        <v>9.0042128E7</v>
      </c>
      <c r="H2705" s="15" t="s">
        <v>58</v>
      </c>
      <c r="I2705" s="20" t="s">
        <v>25</v>
      </c>
      <c r="J2705" s="21">
        <v>1.6292588E7</v>
      </c>
      <c r="K2705" s="21">
        <v>0.0</v>
      </c>
    </row>
    <row r="2706">
      <c r="A2706" s="15" t="s">
        <v>74</v>
      </c>
      <c r="B2706" s="16" t="s">
        <v>66</v>
      </c>
      <c r="C2706" s="17" t="s">
        <v>67</v>
      </c>
      <c r="D2706" s="18">
        <v>3.0</v>
      </c>
      <c r="E2706" s="17" t="s">
        <v>22</v>
      </c>
      <c r="F2706" s="15" t="s">
        <v>146</v>
      </c>
      <c r="G2706" s="19">
        <v>9.0042132E7</v>
      </c>
      <c r="H2706" s="15" t="s">
        <v>28</v>
      </c>
      <c r="I2706" s="20" t="s">
        <v>25</v>
      </c>
      <c r="J2706" s="21">
        <v>1.8220405E7</v>
      </c>
      <c r="K2706" s="21">
        <v>0.0</v>
      </c>
    </row>
    <row r="2707">
      <c r="A2707" s="15" t="s">
        <v>74</v>
      </c>
      <c r="B2707" s="16" t="s">
        <v>66</v>
      </c>
      <c r="C2707" s="17" t="s">
        <v>67</v>
      </c>
      <c r="D2707" s="18">
        <v>3.0</v>
      </c>
      <c r="E2707" s="17" t="s">
        <v>22</v>
      </c>
      <c r="F2707" s="15" t="s">
        <v>146</v>
      </c>
      <c r="G2707" s="19">
        <v>9.0042134E7</v>
      </c>
      <c r="H2707" s="15" t="s">
        <v>29</v>
      </c>
      <c r="I2707" s="20" t="s">
        <v>25</v>
      </c>
      <c r="J2707" s="21">
        <v>1.3038E7</v>
      </c>
      <c r="K2707" s="21">
        <v>0.0</v>
      </c>
    </row>
    <row r="2708">
      <c r="A2708" s="15" t="s">
        <v>74</v>
      </c>
      <c r="B2708" s="16" t="s">
        <v>66</v>
      </c>
      <c r="C2708" s="17" t="s">
        <v>67</v>
      </c>
      <c r="D2708" s="18">
        <v>3.0</v>
      </c>
      <c r="E2708" s="17" t="s">
        <v>22</v>
      </c>
      <c r="F2708" s="15" t="s">
        <v>146</v>
      </c>
      <c r="G2708" s="19">
        <v>9.0042135E7</v>
      </c>
      <c r="H2708" s="15" t="s">
        <v>30</v>
      </c>
      <c r="I2708" s="20" t="s">
        <v>25</v>
      </c>
      <c r="J2708" s="21">
        <v>3.08262887E8</v>
      </c>
      <c r="K2708" s="21">
        <v>0.0</v>
      </c>
    </row>
    <row r="2709">
      <c r="A2709" s="15" t="s">
        <v>74</v>
      </c>
      <c r="B2709" s="16" t="s">
        <v>66</v>
      </c>
      <c r="C2709" s="17" t="s">
        <v>67</v>
      </c>
      <c r="D2709" s="18">
        <v>3.0</v>
      </c>
      <c r="E2709" s="17" t="s">
        <v>22</v>
      </c>
      <c r="F2709" s="15" t="s">
        <v>146</v>
      </c>
      <c r="G2709" s="19">
        <v>9.00422E7</v>
      </c>
      <c r="H2709" s="15" t="s">
        <v>73</v>
      </c>
      <c r="I2709" s="20" t="s">
        <v>60</v>
      </c>
      <c r="J2709" s="21">
        <v>3.04193944E8</v>
      </c>
      <c r="K2709" s="21">
        <v>0.0</v>
      </c>
    </row>
    <row r="2710">
      <c r="A2710" s="15" t="s">
        <v>74</v>
      </c>
      <c r="B2710" s="16" t="s">
        <v>66</v>
      </c>
      <c r="C2710" s="17" t="s">
        <v>67</v>
      </c>
      <c r="D2710" s="18">
        <v>3.0</v>
      </c>
      <c r="E2710" s="17" t="s">
        <v>22</v>
      </c>
      <c r="F2710" s="15" t="s">
        <v>146</v>
      </c>
      <c r="G2710" s="19">
        <v>9.0042223E7</v>
      </c>
      <c r="H2710" s="15" t="s">
        <v>61</v>
      </c>
      <c r="I2710" s="20" t="s">
        <v>60</v>
      </c>
      <c r="J2710" s="21">
        <v>2.5865951E7</v>
      </c>
      <c r="K2710" s="21">
        <v>0.0</v>
      </c>
    </row>
    <row r="2711">
      <c r="A2711" s="15" t="s">
        <v>74</v>
      </c>
      <c r="B2711" s="16" t="s">
        <v>66</v>
      </c>
      <c r="C2711" s="17" t="s">
        <v>67</v>
      </c>
      <c r="D2711" s="18">
        <v>3.0</v>
      </c>
      <c r="E2711" s="17" t="s">
        <v>22</v>
      </c>
      <c r="F2711" s="15" t="s">
        <v>146</v>
      </c>
      <c r="G2711" s="19">
        <v>9.0042224E7</v>
      </c>
      <c r="H2711" s="15" t="s">
        <v>62</v>
      </c>
      <c r="I2711" s="20" t="s">
        <v>60</v>
      </c>
      <c r="J2711" s="21">
        <v>4078080.0</v>
      </c>
      <c r="K2711" s="21">
        <v>0.0</v>
      </c>
    </row>
    <row r="2712">
      <c r="A2712" s="15" t="s">
        <v>74</v>
      </c>
      <c r="B2712" s="16" t="s">
        <v>66</v>
      </c>
      <c r="C2712" s="17" t="s">
        <v>67</v>
      </c>
      <c r="D2712" s="18">
        <v>3.0</v>
      </c>
      <c r="E2712" s="17" t="s">
        <v>22</v>
      </c>
      <c r="F2712" s="15" t="s">
        <v>146</v>
      </c>
      <c r="G2712" s="19">
        <v>9.0042226E7</v>
      </c>
      <c r="H2712" s="15" t="s">
        <v>63</v>
      </c>
      <c r="I2712" s="20" t="s">
        <v>60</v>
      </c>
      <c r="J2712" s="21">
        <v>115026.0</v>
      </c>
      <c r="K2712" s="21">
        <v>0.0</v>
      </c>
    </row>
    <row r="2713">
      <c r="A2713" s="15" t="s">
        <v>74</v>
      </c>
      <c r="B2713" s="16" t="s">
        <v>66</v>
      </c>
      <c r="C2713" s="17" t="s">
        <v>67</v>
      </c>
      <c r="D2713" s="18">
        <v>3.0</v>
      </c>
      <c r="E2713" s="17" t="s">
        <v>22</v>
      </c>
      <c r="F2713" s="15" t="s">
        <v>146</v>
      </c>
      <c r="G2713" s="19">
        <v>9.0042228E7</v>
      </c>
      <c r="H2713" s="15" t="s">
        <v>64</v>
      </c>
      <c r="I2713" s="20" t="s">
        <v>60</v>
      </c>
      <c r="J2713" s="21">
        <v>5.9328979E7</v>
      </c>
      <c r="K2713" s="21">
        <v>0.0</v>
      </c>
    </row>
    <row r="2714">
      <c r="A2714" s="15" t="s">
        <v>74</v>
      </c>
      <c r="B2714" s="16" t="s">
        <v>66</v>
      </c>
      <c r="C2714" s="17" t="s">
        <v>67</v>
      </c>
      <c r="D2714" s="18">
        <v>3.0</v>
      </c>
      <c r="E2714" s="17" t="s">
        <v>22</v>
      </c>
      <c r="F2714" s="15" t="s">
        <v>146</v>
      </c>
      <c r="G2714" s="19">
        <v>9.0042231E7</v>
      </c>
      <c r="H2714" s="15" t="s">
        <v>65</v>
      </c>
      <c r="I2714" s="20" t="s">
        <v>60</v>
      </c>
      <c r="J2714" s="21">
        <v>5.1817846E7</v>
      </c>
      <c r="K2714" s="21">
        <v>0.0</v>
      </c>
    </row>
    <row r="2715">
      <c r="A2715" s="15" t="s">
        <v>74</v>
      </c>
      <c r="B2715" s="16" t="s">
        <v>66</v>
      </c>
      <c r="C2715" s="17" t="s">
        <v>67</v>
      </c>
      <c r="D2715" s="18">
        <v>3.0</v>
      </c>
      <c r="E2715" s="17" t="s">
        <v>22</v>
      </c>
      <c r="F2715" s="15" t="s">
        <v>146</v>
      </c>
      <c r="G2715" s="19">
        <v>9.0042126E7</v>
      </c>
      <c r="H2715" s="15" t="s">
        <v>31</v>
      </c>
      <c r="I2715" s="20" t="s">
        <v>25</v>
      </c>
      <c r="J2715" s="21">
        <v>3.9222745E7</v>
      </c>
      <c r="K2715" s="21">
        <v>0.0</v>
      </c>
    </row>
    <row r="2716">
      <c r="A2716" s="15" t="s">
        <v>74</v>
      </c>
      <c r="B2716" s="16" t="s">
        <v>66</v>
      </c>
      <c r="C2716" s="17" t="s">
        <v>67</v>
      </c>
      <c r="D2716" s="18">
        <v>3.0</v>
      </c>
      <c r="E2716" s="17" t="s">
        <v>22</v>
      </c>
      <c r="F2716" s="15" t="s">
        <v>146</v>
      </c>
      <c r="G2716" s="19">
        <v>9.004212E7</v>
      </c>
      <c r="H2716" s="15" t="s">
        <v>182</v>
      </c>
      <c r="I2716" s="20" t="s">
        <v>25</v>
      </c>
      <c r="J2716" s="21">
        <v>3.3678125E8</v>
      </c>
      <c r="K2716" s="21">
        <v>0.0</v>
      </c>
    </row>
    <row r="2717">
      <c r="A2717" s="15" t="s">
        <v>74</v>
      </c>
      <c r="B2717" s="16" t="s">
        <v>66</v>
      </c>
      <c r="C2717" s="17" t="s">
        <v>67</v>
      </c>
      <c r="D2717" s="18">
        <v>3.0</v>
      </c>
      <c r="E2717" s="24">
        <v>46069.0</v>
      </c>
      <c r="F2717" s="15" t="s">
        <v>217</v>
      </c>
      <c r="G2717" s="19">
        <v>9.0043001E7</v>
      </c>
      <c r="H2717" s="15" t="s">
        <v>18</v>
      </c>
      <c r="I2717" s="20" t="s">
        <v>19</v>
      </c>
      <c r="J2717" s="21">
        <v>1435986.0</v>
      </c>
      <c r="K2717" s="21">
        <v>9.0</v>
      </c>
    </row>
    <row r="2718">
      <c r="A2718" s="15" t="s">
        <v>74</v>
      </c>
      <c r="B2718" s="16" t="s">
        <v>66</v>
      </c>
      <c r="C2718" s="17" t="s">
        <v>67</v>
      </c>
      <c r="D2718" s="18">
        <v>3.0</v>
      </c>
      <c r="E2718" s="17" t="s">
        <v>298</v>
      </c>
      <c r="F2718" s="15" t="s">
        <v>299</v>
      </c>
      <c r="G2718" s="19">
        <v>5.1100058E7</v>
      </c>
      <c r="H2718" s="15" t="s">
        <v>36</v>
      </c>
      <c r="I2718" s="20" t="s">
        <v>37</v>
      </c>
      <c r="J2718" s="21">
        <v>5.8000815E7</v>
      </c>
      <c r="K2718" s="21">
        <v>7764.5</v>
      </c>
    </row>
    <row r="2719">
      <c r="A2719" s="15" t="s">
        <v>11</v>
      </c>
      <c r="B2719" s="16" t="s">
        <v>12</v>
      </c>
      <c r="C2719" s="17" t="s">
        <v>13</v>
      </c>
      <c r="D2719" s="18">
        <v>4.0</v>
      </c>
      <c r="E2719" s="17" t="s">
        <v>14</v>
      </c>
      <c r="F2719" s="15" t="s">
        <v>15</v>
      </c>
      <c r="G2719" s="19">
        <v>5.1100003E7</v>
      </c>
      <c r="H2719" s="15" t="s">
        <v>228</v>
      </c>
      <c r="I2719" s="20" t="s">
        <v>25</v>
      </c>
      <c r="J2719" s="21">
        <v>575000.0</v>
      </c>
      <c r="K2719" s="21">
        <v>0.0</v>
      </c>
    </row>
    <row r="2720">
      <c r="A2720" s="15" t="s">
        <v>11</v>
      </c>
      <c r="B2720" s="16" t="s">
        <v>12</v>
      </c>
      <c r="C2720" s="17" t="s">
        <v>13</v>
      </c>
      <c r="D2720" s="18">
        <v>4.0</v>
      </c>
      <c r="E2720" s="17" t="s">
        <v>14</v>
      </c>
      <c r="F2720" s="15" t="s">
        <v>15</v>
      </c>
      <c r="G2720" s="19">
        <v>5.1101056E7</v>
      </c>
      <c r="H2720" s="15" t="s">
        <v>16</v>
      </c>
      <c r="I2720" s="20" t="s">
        <v>17</v>
      </c>
      <c r="J2720" s="21">
        <v>1547000.0</v>
      </c>
      <c r="K2720" s="21">
        <v>221.0</v>
      </c>
    </row>
    <row r="2721">
      <c r="A2721" s="15" t="s">
        <v>11</v>
      </c>
      <c r="B2721" s="16" t="s">
        <v>12</v>
      </c>
      <c r="C2721" s="17" t="s">
        <v>13</v>
      </c>
      <c r="D2721" s="18">
        <v>4.0</v>
      </c>
      <c r="E2721" s="17" t="s">
        <v>14</v>
      </c>
      <c r="F2721" s="15" t="s">
        <v>15</v>
      </c>
      <c r="G2721" s="19">
        <v>9.0043001E7</v>
      </c>
      <c r="H2721" s="15" t="s">
        <v>18</v>
      </c>
      <c r="I2721" s="20" t="s">
        <v>19</v>
      </c>
      <c r="J2721" s="21">
        <v>1.0489152E7</v>
      </c>
      <c r="K2721" s="21">
        <v>64.0</v>
      </c>
    </row>
    <row r="2722">
      <c r="A2722" s="15" t="s">
        <v>11</v>
      </c>
      <c r="B2722" s="16" t="s">
        <v>12</v>
      </c>
      <c r="C2722" s="17" t="s">
        <v>13</v>
      </c>
      <c r="D2722" s="18">
        <v>4.0</v>
      </c>
      <c r="E2722" s="17" t="s">
        <v>20</v>
      </c>
      <c r="F2722" s="15"/>
      <c r="G2722" s="19">
        <v>9.0042014E7</v>
      </c>
      <c r="H2722" s="15" t="s">
        <v>21</v>
      </c>
      <c r="I2722" s="20" t="s">
        <v>19</v>
      </c>
      <c r="J2722" s="21">
        <v>3.7255259E7</v>
      </c>
      <c r="K2722" s="21">
        <v>0.0</v>
      </c>
    </row>
    <row r="2723">
      <c r="A2723" s="15" t="s">
        <v>11</v>
      </c>
      <c r="B2723" s="16" t="s">
        <v>12</v>
      </c>
      <c r="C2723" s="17" t="s">
        <v>13</v>
      </c>
      <c r="D2723" s="18">
        <v>4.0</v>
      </c>
      <c r="E2723" s="17" t="s">
        <v>22</v>
      </c>
      <c r="F2723" s="15"/>
      <c r="G2723" s="19">
        <v>9.0042012E7</v>
      </c>
      <c r="H2723" s="15" t="s">
        <v>23</v>
      </c>
      <c r="I2723" s="20" t="s">
        <v>19</v>
      </c>
      <c r="J2723" s="21">
        <v>2.2669758E7</v>
      </c>
      <c r="K2723" s="21">
        <v>0.0</v>
      </c>
    </row>
    <row r="2724">
      <c r="A2724" s="15" t="s">
        <v>11</v>
      </c>
      <c r="B2724" s="16" t="s">
        <v>12</v>
      </c>
      <c r="C2724" s="17" t="s">
        <v>13</v>
      </c>
      <c r="D2724" s="18">
        <v>4.0</v>
      </c>
      <c r="E2724" s="17" t="s">
        <v>22</v>
      </c>
      <c r="F2724" s="15"/>
      <c r="G2724" s="19">
        <v>9.0042121E7</v>
      </c>
      <c r="H2724" s="15" t="s">
        <v>24</v>
      </c>
      <c r="I2724" s="20" t="s">
        <v>25</v>
      </c>
      <c r="J2724" s="21">
        <v>4.0107511E7</v>
      </c>
      <c r="K2724" s="21">
        <v>0.0</v>
      </c>
    </row>
    <row r="2725">
      <c r="A2725" s="15" t="s">
        <v>11</v>
      </c>
      <c r="B2725" s="16" t="s">
        <v>12</v>
      </c>
      <c r="C2725" s="17" t="s">
        <v>13</v>
      </c>
      <c r="D2725" s="18">
        <v>4.0</v>
      </c>
      <c r="E2725" s="17" t="s">
        <v>22</v>
      </c>
      <c r="F2725" s="15"/>
      <c r="G2725" s="19">
        <v>9.0042125E7</v>
      </c>
      <c r="H2725" s="15" t="s">
        <v>26</v>
      </c>
      <c r="I2725" s="20" t="s">
        <v>25</v>
      </c>
      <c r="J2725" s="21">
        <v>1.5562982E7</v>
      </c>
      <c r="K2725" s="21">
        <v>0.0</v>
      </c>
    </row>
    <row r="2726">
      <c r="A2726" s="15" t="s">
        <v>11</v>
      </c>
      <c r="B2726" s="16" t="s">
        <v>12</v>
      </c>
      <c r="C2726" s="17" t="s">
        <v>13</v>
      </c>
      <c r="D2726" s="18">
        <v>4.0</v>
      </c>
      <c r="E2726" s="17" t="s">
        <v>22</v>
      </c>
      <c r="F2726" s="15"/>
      <c r="G2726" s="19">
        <v>9.0042135E7</v>
      </c>
      <c r="H2726" s="15" t="s">
        <v>30</v>
      </c>
      <c r="I2726" s="20" t="s">
        <v>25</v>
      </c>
      <c r="J2726" s="21">
        <v>6287350.0</v>
      </c>
      <c r="K2726" s="21">
        <v>0.0</v>
      </c>
    </row>
    <row r="2727">
      <c r="A2727" s="15" t="s">
        <v>11</v>
      </c>
      <c r="B2727" s="16" t="s">
        <v>12</v>
      </c>
      <c r="C2727" s="17" t="s">
        <v>13</v>
      </c>
      <c r="D2727" s="18">
        <v>4.0</v>
      </c>
      <c r="E2727" s="17" t="s">
        <v>22</v>
      </c>
      <c r="F2727" s="15"/>
      <c r="G2727" s="19">
        <v>9.0042201E7</v>
      </c>
      <c r="H2727" s="15" t="s">
        <v>59</v>
      </c>
      <c r="I2727" s="20" t="s">
        <v>60</v>
      </c>
      <c r="J2727" s="21">
        <v>1.53430136E8</v>
      </c>
      <c r="K2727" s="21">
        <v>0.0</v>
      </c>
    </row>
    <row r="2728">
      <c r="A2728" s="15" t="s">
        <v>11</v>
      </c>
      <c r="B2728" s="16" t="s">
        <v>32</v>
      </c>
      <c r="C2728" s="17" t="s">
        <v>33</v>
      </c>
      <c r="D2728" s="18">
        <v>4.0</v>
      </c>
      <c r="E2728" s="17" t="s">
        <v>40</v>
      </c>
      <c r="F2728" s="15" t="s">
        <v>41</v>
      </c>
      <c r="G2728" s="19">
        <v>5.1100061E7</v>
      </c>
      <c r="H2728" s="15" t="s">
        <v>42</v>
      </c>
      <c r="I2728" s="20" t="s">
        <v>37</v>
      </c>
      <c r="J2728" s="21">
        <v>2900301.0</v>
      </c>
      <c r="K2728" s="21">
        <v>134.0</v>
      </c>
    </row>
    <row r="2729">
      <c r="A2729" s="15" t="s">
        <v>11</v>
      </c>
      <c r="B2729" s="16" t="s">
        <v>32</v>
      </c>
      <c r="C2729" s="17" t="s">
        <v>33</v>
      </c>
      <c r="D2729" s="18">
        <v>4.0</v>
      </c>
      <c r="E2729" s="17" t="s">
        <v>43</v>
      </c>
      <c r="F2729" s="15" t="s">
        <v>44</v>
      </c>
      <c r="G2729" s="19">
        <v>5.1101056E7</v>
      </c>
      <c r="H2729" s="15" t="s">
        <v>16</v>
      </c>
      <c r="I2729" s="20" t="s">
        <v>17</v>
      </c>
      <c r="J2729" s="21">
        <v>2.52129E8</v>
      </c>
      <c r="K2729" s="21">
        <v>46876.0</v>
      </c>
    </row>
    <row r="2730">
      <c r="A2730" s="15" t="s">
        <v>11</v>
      </c>
      <c r="B2730" s="16" t="s">
        <v>32</v>
      </c>
      <c r="C2730" s="17" t="s">
        <v>33</v>
      </c>
      <c r="D2730" s="18">
        <v>4.0</v>
      </c>
      <c r="E2730" s="17" t="s">
        <v>43</v>
      </c>
      <c r="F2730" s="15" t="s">
        <v>44</v>
      </c>
      <c r="G2730" s="19">
        <v>9.0043001E7</v>
      </c>
      <c r="H2730" s="15" t="s">
        <v>18</v>
      </c>
      <c r="I2730" s="20" t="s">
        <v>19</v>
      </c>
      <c r="J2730" s="21">
        <v>1.8163924E7</v>
      </c>
      <c r="K2730" s="21">
        <v>100.5</v>
      </c>
    </row>
    <row r="2731">
      <c r="A2731" s="15" t="s">
        <v>11</v>
      </c>
      <c r="B2731" s="16" t="s">
        <v>32</v>
      </c>
      <c r="C2731" s="17" t="s">
        <v>33</v>
      </c>
      <c r="D2731" s="18">
        <v>4.0</v>
      </c>
      <c r="E2731" s="17" t="s">
        <v>14</v>
      </c>
      <c r="F2731" s="15" t="s">
        <v>15</v>
      </c>
      <c r="G2731" s="19">
        <v>5.1101056E7</v>
      </c>
      <c r="H2731" s="15" t="s">
        <v>16</v>
      </c>
      <c r="I2731" s="20" t="s">
        <v>17</v>
      </c>
      <c r="J2731" s="21">
        <v>9494000.0</v>
      </c>
      <c r="K2731" s="21">
        <v>1336.0</v>
      </c>
    </row>
    <row r="2732">
      <c r="A2732" s="15" t="s">
        <v>11</v>
      </c>
      <c r="B2732" s="16" t="s">
        <v>32</v>
      </c>
      <c r="C2732" s="17" t="s">
        <v>33</v>
      </c>
      <c r="D2732" s="18">
        <v>4.0</v>
      </c>
      <c r="E2732" s="17" t="s">
        <v>45</v>
      </c>
      <c r="F2732" s="15" t="s">
        <v>46</v>
      </c>
      <c r="G2732" s="19">
        <v>5.1101056E7</v>
      </c>
      <c r="H2732" s="15" t="s">
        <v>16</v>
      </c>
      <c r="I2732" s="20" t="s">
        <v>17</v>
      </c>
      <c r="J2732" s="21">
        <v>1.1622157E7</v>
      </c>
      <c r="K2732" s="21">
        <v>12079.9</v>
      </c>
    </row>
    <row r="2733">
      <c r="A2733" s="15" t="s">
        <v>11</v>
      </c>
      <c r="B2733" s="16" t="s">
        <v>32</v>
      </c>
      <c r="C2733" s="17" t="s">
        <v>33</v>
      </c>
      <c r="D2733" s="18">
        <v>4.0</v>
      </c>
      <c r="E2733" s="17" t="s">
        <v>45</v>
      </c>
      <c r="F2733" s="15" t="s">
        <v>46</v>
      </c>
      <c r="G2733" s="19">
        <v>9.0043001E7</v>
      </c>
      <c r="H2733" s="15" t="s">
        <v>18</v>
      </c>
      <c r="I2733" s="20" t="s">
        <v>19</v>
      </c>
      <c r="J2733" s="21">
        <v>8237282.0</v>
      </c>
      <c r="K2733" s="21">
        <v>43.5</v>
      </c>
    </row>
    <row r="2734">
      <c r="A2734" s="15" t="s">
        <v>11</v>
      </c>
      <c r="B2734" s="16" t="s">
        <v>32</v>
      </c>
      <c r="C2734" s="17" t="s">
        <v>33</v>
      </c>
      <c r="D2734" s="18">
        <v>4.0</v>
      </c>
      <c r="E2734" s="17" t="s">
        <v>47</v>
      </c>
      <c r="F2734" s="15" t="s">
        <v>48</v>
      </c>
      <c r="G2734" s="19">
        <v>9.0043002E7</v>
      </c>
      <c r="H2734" s="15" t="s">
        <v>49</v>
      </c>
      <c r="I2734" s="20" t="s">
        <v>50</v>
      </c>
      <c r="J2734" s="21">
        <v>2.6321376E7</v>
      </c>
      <c r="K2734" s="21">
        <v>2435.0</v>
      </c>
    </row>
    <row r="2735">
      <c r="A2735" s="15" t="s">
        <v>11</v>
      </c>
      <c r="B2735" s="16" t="s">
        <v>32</v>
      </c>
      <c r="C2735" s="17" t="s">
        <v>33</v>
      </c>
      <c r="D2735" s="18">
        <v>4.0</v>
      </c>
      <c r="E2735" s="17" t="s">
        <v>54</v>
      </c>
      <c r="F2735" s="15"/>
      <c r="G2735" s="19">
        <v>9.0042011E7</v>
      </c>
      <c r="H2735" s="15" t="s">
        <v>55</v>
      </c>
      <c r="I2735" s="20" t="s">
        <v>19</v>
      </c>
      <c r="J2735" s="21">
        <v>2.62713E7</v>
      </c>
      <c r="K2735" s="21">
        <v>0.0</v>
      </c>
    </row>
    <row r="2736">
      <c r="A2736" s="15" t="s">
        <v>11</v>
      </c>
      <c r="B2736" s="16" t="s">
        <v>32</v>
      </c>
      <c r="C2736" s="17" t="s">
        <v>33</v>
      </c>
      <c r="D2736" s="18">
        <v>4.0</v>
      </c>
      <c r="E2736" s="17" t="s">
        <v>20</v>
      </c>
      <c r="F2736" s="15"/>
      <c r="G2736" s="19">
        <v>9.0042014E7</v>
      </c>
      <c r="H2736" s="15" t="s">
        <v>21</v>
      </c>
      <c r="I2736" s="20" t="s">
        <v>19</v>
      </c>
      <c r="J2736" s="21">
        <v>1.39605542E8</v>
      </c>
      <c r="K2736" s="21">
        <v>0.0</v>
      </c>
    </row>
    <row r="2737">
      <c r="A2737" s="15" t="s">
        <v>11</v>
      </c>
      <c r="B2737" s="16" t="s">
        <v>32</v>
      </c>
      <c r="C2737" s="17" t="s">
        <v>33</v>
      </c>
      <c r="D2737" s="18">
        <v>4.0</v>
      </c>
      <c r="E2737" s="17" t="s">
        <v>22</v>
      </c>
      <c r="F2737" s="15"/>
      <c r="G2737" s="19">
        <v>9.0042012E7</v>
      </c>
      <c r="H2737" s="15" t="s">
        <v>23</v>
      </c>
      <c r="I2737" s="20" t="s">
        <v>19</v>
      </c>
      <c r="J2737" s="21">
        <v>9.7814423E7</v>
      </c>
      <c r="K2737" s="21">
        <v>0.0</v>
      </c>
    </row>
    <row r="2738">
      <c r="A2738" s="15" t="s">
        <v>11</v>
      </c>
      <c r="B2738" s="16" t="s">
        <v>32</v>
      </c>
      <c r="C2738" s="17" t="s">
        <v>33</v>
      </c>
      <c r="D2738" s="18">
        <v>4.0</v>
      </c>
      <c r="E2738" s="17" t="s">
        <v>22</v>
      </c>
      <c r="F2738" s="15"/>
      <c r="G2738" s="19">
        <v>9.0042121E7</v>
      </c>
      <c r="H2738" s="15" t="s">
        <v>24</v>
      </c>
      <c r="I2738" s="20" t="s">
        <v>25</v>
      </c>
      <c r="J2738" s="21">
        <v>6.9891788E7</v>
      </c>
      <c r="K2738" s="21">
        <v>0.0</v>
      </c>
    </row>
    <row r="2739">
      <c r="A2739" s="15" t="s">
        <v>11</v>
      </c>
      <c r="B2739" s="16" t="s">
        <v>32</v>
      </c>
      <c r="C2739" s="17" t="s">
        <v>33</v>
      </c>
      <c r="D2739" s="18">
        <v>4.0</v>
      </c>
      <c r="E2739" s="17" t="s">
        <v>22</v>
      </c>
      <c r="F2739" s="15"/>
      <c r="G2739" s="19">
        <v>9.0042122E7</v>
      </c>
      <c r="H2739" s="15" t="s">
        <v>56</v>
      </c>
      <c r="I2739" s="20" t="s">
        <v>25</v>
      </c>
      <c r="J2739" s="21">
        <v>1062968.0</v>
      </c>
      <c r="K2739" s="21">
        <v>0.0</v>
      </c>
    </row>
    <row r="2740">
      <c r="A2740" s="15" t="s">
        <v>11</v>
      </c>
      <c r="B2740" s="16" t="s">
        <v>32</v>
      </c>
      <c r="C2740" s="17" t="s">
        <v>33</v>
      </c>
      <c r="D2740" s="18">
        <v>4.0</v>
      </c>
      <c r="E2740" s="17" t="s">
        <v>22</v>
      </c>
      <c r="F2740" s="15"/>
      <c r="G2740" s="19">
        <v>9.0042124E7</v>
      </c>
      <c r="H2740" s="15" t="s">
        <v>57</v>
      </c>
      <c r="I2740" s="20" t="s">
        <v>25</v>
      </c>
      <c r="J2740" s="21">
        <v>1.5184E7</v>
      </c>
      <c r="K2740" s="21">
        <v>0.0</v>
      </c>
    </row>
    <row r="2741">
      <c r="A2741" s="15" t="s">
        <v>11</v>
      </c>
      <c r="B2741" s="16" t="s">
        <v>32</v>
      </c>
      <c r="C2741" s="17" t="s">
        <v>33</v>
      </c>
      <c r="D2741" s="18">
        <v>4.0</v>
      </c>
      <c r="E2741" s="17" t="s">
        <v>22</v>
      </c>
      <c r="F2741" s="15"/>
      <c r="G2741" s="19">
        <v>9.0042125E7</v>
      </c>
      <c r="H2741" s="15" t="s">
        <v>26</v>
      </c>
      <c r="I2741" s="20" t="s">
        <v>25</v>
      </c>
      <c r="J2741" s="21">
        <v>6.88373E7</v>
      </c>
      <c r="K2741" s="21">
        <v>0.0</v>
      </c>
    </row>
    <row r="2742">
      <c r="A2742" s="15" t="s">
        <v>11</v>
      </c>
      <c r="B2742" s="16" t="s">
        <v>32</v>
      </c>
      <c r="C2742" s="17" t="s">
        <v>33</v>
      </c>
      <c r="D2742" s="18">
        <v>4.0</v>
      </c>
      <c r="E2742" s="17" t="s">
        <v>22</v>
      </c>
      <c r="F2742" s="15"/>
      <c r="G2742" s="19">
        <v>9.0042127E7</v>
      </c>
      <c r="H2742" s="15" t="s">
        <v>27</v>
      </c>
      <c r="I2742" s="20" t="s">
        <v>25</v>
      </c>
      <c r="J2742" s="21">
        <v>1.414634E7</v>
      </c>
      <c r="K2742" s="21">
        <v>0.0</v>
      </c>
    </row>
    <row r="2743">
      <c r="A2743" s="15" t="s">
        <v>11</v>
      </c>
      <c r="B2743" s="16" t="s">
        <v>32</v>
      </c>
      <c r="C2743" s="17" t="s">
        <v>33</v>
      </c>
      <c r="D2743" s="18">
        <v>4.0</v>
      </c>
      <c r="E2743" s="17" t="s">
        <v>22</v>
      </c>
      <c r="F2743" s="15"/>
      <c r="G2743" s="19">
        <v>9.0042128E7</v>
      </c>
      <c r="H2743" s="15" t="s">
        <v>58</v>
      </c>
      <c r="I2743" s="20" t="s">
        <v>25</v>
      </c>
      <c r="J2743" s="21">
        <v>784900.0</v>
      </c>
      <c r="K2743" s="21">
        <v>0.0</v>
      </c>
    </row>
    <row r="2744">
      <c r="A2744" s="15" t="s">
        <v>11</v>
      </c>
      <c r="B2744" s="16" t="s">
        <v>32</v>
      </c>
      <c r="C2744" s="17" t="s">
        <v>33</v>
      </c>
      <c r="D2744" s="18">
        <v>4.0</v>
      </c>
      <c r="E2744" s="17" t="s">
        <v>22</v>
      </c>
      <c r="F2744" s="15"/>
      <c r="G2744" s="19">
        <v>9.0042132E7</v>
      </c>
      <c r="H2744" s="15" t="s">
        <v>28</v>
      </c>
      <c r="I2744" s="20" t="s">
        <v>25</v>
      </c>
      <c r="J2744" s="21">
        <v>518960.0</v>
      </c>
      <c r="K2744" s="21">
        <v>0.0</v>
      </c>
    </row>
    <row r="2745">
      <c r="A2745" s="15" t="s">
        <v>11</v>
      </c>
      <c r="B2745" s="16" t="s">
        <v>32</v>
      </c>
      <c r="C2745" s="17" t="s">
        <v>33</v>
      </c>
      <c r="D2745" s="18">
        <v>4.0</v>
      </c>
      <c r="E2745" s="17" t="s">
        <v>22</v>
      </c>
      <c r="F2745" s="15"/>
      <c r="G2745" s="19">
        <v>9.0042134E7</v>
      </c>
      <c r="H2745" s="15" t="s">
        <v>29</v>
      </c>
      <c r="I2745" s="20" t="s">
        <v>25</v>
      </c>
      <c r="J2745" s="21">
        <v>425000.0</v>
      </c>
      <c r="K2745" s="21">
        <v>0.0</v>
      </c>
    </row>
    <row r="2746">
      <c r="A2746" s="15" t="s">
        <v>11</v>
      </c>
      <c r="B2746" s="16" t="s">
        <v>32</v>
      </c>
      <c r="C2746" s="17" t="s">
        <v>33</v>
      </c>
      <c r="D2746" s="18">
        <v>4.0</v>
      </c>
      <c r="E2746" s="17" t="s">
        <v>22</v>
      </c>
      <c r="F2746" s="15"/>
      <c r="G2746" s="19">
        <v>9.0042135E7</v>
      </c>
      <c r="H2746" s="15" t="s">
        <v>30</v>
      </c>
      <c r="I2746" s="20" t="s">
        <v>25</v>
      </c>
      <c r="J2746" s="21">
        <v>6.645117E7</v>
      </c>
      <c r="K2746" s="21">
        <v>0.0</v>
      </c>
    </row>
    <row r="2747">
      <c r="A2747" s="15" t="s">
        <v>11</v>
      </c>
      <c r="B2747" s="16" t="s">
        <v>32</v>
      </c>
      <c r="C2747" s="17" t="s">
        <v>33</v>
      </c>
      <c r="D2747" s="18">
        <v>4.0</v>
      </c>
      <c r="E2747" s="17" t="s">
        <v>22</v>
      </c>
      <c r="F2747" s="15"/>
      <c r="G2747" s="19">
        <v>9.0042201E7</v>
      </c>
      <c r="H2747" s="15" t="s">
        <v>59</v>
      </c>
      <c r="I2747" s="20" t="s">
        <v>60</v>
      </c>
      <c r="J2747" s="21">
        <v>2.11541934E8</v>
      </c>
      <c r="K2747" s="21">
        <v>0.0</v>
      </c>
    </row>
    <row r="2748">
      <c r="A2748" s="15" t="s">
        <v>11</v>
      </c>
      <c r="B2748" s="16" t="s">
        <v>32</v>
      </c>
      <c r="C2748" s="17" t="s">
        <v>33</v>
      </c>
      <c r="D2748" s="18">
        <v>4.0</v>
      </c>
      <c r="E2748" s="17" t="s">
        <v>22</v>
      </c>
      <c r="F2748" s="15"/>
      <c r="G2748" s="19">
        <v>9.0042223E7</v>
      </c>
      <c r="H2748" s="15" t="s">
        <v>61</v>
      </c>
      <c r="I2748" s="20" t="s">
        <v>60</v>
      </c>
      <c r="J2748" s="21">
        <v>2.0819376E7</v>
      </c>
      <c r="K2748" s="21">
        <v>0.0</v>
      </c>
    </row>
    <row r="2749">
      <c r="A2749" s="15" t="s">
        <v>11</v>
      </c>
      <c r="B2749" s="16" t="s">
        <v>32</v>
      </c>
      <c r="C2749" s="17" t="s">
        <v>33</v>
      </c>
      <c r="D2749" s="18">
        <v>4.0</v>
      </c>
      <c r="E2749" s="17" t="s">
        <v>22</v>
      </c>
      <c r="F2749" s="15"/>
      <c r="G2749" s="19">
        <v>9.0042224E7</v>
      </c>
      <c r="H2749" s="15" t="s">
        <v>62</v>
      </c>
      <c r="I2749" s="20" t="s">
        <v>60</v>
      </c>
      <c r="J2749" s="21">
        <v>1773342.0</v>
      </c>
      <c r="K2749" s="21">
        <v>0.0</v>
      </c>
    </row>
    <row r="2750">
      <c r="A2750" s="15" t="s">
        <v>11</v>
      </c>
      <c r="B2750" s="16" t="s">
        <v>32</v>
      </c>
      <c r="C2750" s="17" t="s">
        <v>33</v>
      </c>
      <c r="D2750" s="18">
        <v>4.0</v>
      </c>
      <c r="E2750" s="17" t="s">
        <v>22</v>
      </c>
      <c r="F2750" s="15"/>
      <c r="G2750" s="19">
        <v>9.0042226E7</v>
      </c>
      <c r="H2750" s="15" t="s">
        <v>63</v>
      </c>
      <c r="I2750" s="20" t="s">
        <v>60</v>
      </c>
      <c r="J2750" s="21">
        <v>133333.0</v>
      </c>
      <c r="K2750" s="21">
        <v>0.0</v>
      </c>
    </row>
    <row r="2751">
      <c r="A2751" s="15" t="s">
        <v>11</v>
      </c>
      <c r="B2751" s="16" t="s">
        <v>32</v>
      </c>
      <c r="C2751" s="17" t="s">
        <v>33</v>
      </c>
      <c r="D2751" s="18">
        <v>4.0</v>
      </c>
      <c r="E2751" s="17" t="s">
        <v>22</v>
      </c>
      <c r="F2751" s="15"/>
      <c r="G2751" s="19">
        <v>9.0042228E7</v>
      </c>
      <c r="H2751" s="15" t="s">
        <v>64</v>
      </c>
      <c r="I2751" s="20" t="s">
        <v>60</v>
      </c>
      <c r="J2751" s="21">
        <v>5.1768822E7</v>
      </c>
      <c r="K2751" s="21">
        <v>0.0</v>
      </c>
    </row>
    <row r="2752">
      <c r="A2752" s="15" t="s">
        <v>11</v>
      </c>
      <c r="B2752" s="16" t="s">
        <v>32</v>
      </c>
      <c r="C2752" s="17" t="s">
        <v>33</v>
      </c>
      <c r="D2752" s="18">
        <v>4.0</v>
      </c>
      <c r="E2752" s="17" t="s">
        <v>22</v>
      </c>
      <c r="F2752" s="15"/>
      <c r="G2752" s="19">
        <v>9.0042231E7</v>
      </c>
      <c r="H2752" s="15" t="s">
        <v>65</v>
      </c>
      <c r="I2752" s="20" t="s">
        <v>60</v>
      </c>
      <c r="J2752" s="21">
        <v>3931589.0</v>
      </c>
      <c r="K2752" s="21">
        <v>0.0</v>
      </c>
    </row>
    <row r="2753">
      <c r="A2753" s="15" t="s">
        <v>11</v>
      </c>
      <c r="B2753" s="16" t="s">
        <v>32</v>
      </c>
      <c r="C2753" s="17" t="s">
        <v>33</v>
      </c>
      <c r="D2753" s="18">
        <v>4.0</v>
      </c>
      <c r="E2753" s="17" t="s">
        <v>22</v>
      </c>
      <c r="F2753" s="15"/>
      <c r="G2753" s="19">
        <v>9.0042126E7</v>
      </c>
      <c r="H2753" s="15" t="s">
        <v>31</v>
      </c>
      <c r="I2753" s="20" t="s">
        <v>25</v>
      </c>
      <c r="J2753" s="21">
        <v>2.6237103E7</v>
      </c>
      <c r="K2753" s="21">
        <v>0.0</v>
      </c>
    </row>
    <row r="2754">
      <c r="A2754" s="15" t="s">
        <v>11</v>
      </c>
      <c r="B2754" s="16" t="s">
        <v>32</v>
      </c>
      <c r="C2754" s="17" t="s">
        <v>33</v>
      </c>
      <c r="D2754" s="18">
        <v>4.0</v>
      </c>
      <c r="E2754" s="17" t="s">
        <v>22</v>
      </c>
      <c r="F2754" s="15"/>
      <c r="G2754" s="19">
        <v>9.004212E7</v>
      </c>
      <c r="H2754" s="15" t="s">
        <v>182</v>
      </c>
      <c r="I2754" s="20" t="s">
        <v>25</v>
      </c>
      <c r="J2754" s="21">
        <v>7.4115892E7</v>
      </c>
      <c r="K2754" s="21">
        <v>0.0</v>
      </c>
    </row>
    <row r="2755">
      <c r="A2755" s="15" t="s">
        <v>11</v>
      </c>
      <c r="B2755" s="16" t="s">
        <v>32</v>
      </c>
      <c r="C2755" s="17" t="s">
        <v>33</v>
      </c>
      <c r="D2755" s="18">
        <v>4.0</v>
      </c>
      <c r="E2755" s="17" t="s">
        <v>267</v>
      </c>
      <c r="F2755" s="15" t="s">
        <v>268</v>
      </c>
      <c r="G2755" s="19">
        <v>5.1100774E7</v>
      </c>
      <c r="H2755" s="15" t="s">
        <v>39</v>
      </c>
      <c r="I2755" s="20" t="s">
        <v>17</v>
      </c>
      <c r="J2755" s="21">
        <v>3.9005879E7</v>
      </c>
      <c r="K2755" s="21">
        <v>86.5</v>
      </c>
    </row>
    <row r="2756">
      <c r="A2756" s="15" t="s">
        <v>11</v>
      </c>
      <c r="B2756" s="16" t="s">
        <v>66</v>
      </c>
      <c r="C2756" s="17" t="s">
        <v>67</v>
      </c>
      <c r="D2756" s="18">
        <v>4.0</v>
      </c>
      <c r="E2756" s="17" t="s">
        <v>68</v>
      </c>
      <c r="F2756" s="15" t="s">
        <v>69</v>
      </c>
      <c r="G2756" s="19">
        <v>5.1101056E7</v>
      </c>
      <c r="H2756" s="15" t="s">
        <v>16</v>
      </c>
      <c r="I2756" s="20" t="s">
        <v>17</v>
      </c>
      <c r="J2756" s="21">
        <v>1872784.0</v>
      </c>
      <c r="K2756" s="21">
        <v>134.0</v>
      </c>
    </row>
    <row r="2757">
      <c r="A2757" s="15" t="s">
        <v>11</v>
      </c>
      <c r="B2757" s="16" t="s">
        <v>66</v>
      </c>
      <c r="C2757" s="17" t="s">
        <v>67</v>
      </c>
      <c r="D2757" s="18">
        <v>4.0</v>
      </c>
      <c r="E2757" s="17" t="s">
        <v>70</v>
      </c>
      <c r="F2757" s="15" t="s">
        <v>71</v>
      </c>
      <c r="G2757" s="19">
        <v>5.1100153E7</v>
      </c>
      <c r="H2757" s="15" t="s">
        <v>72</v>
      </c>
      <c r="I2757" s="20" t="s">
        <v>17</v>
      </c>
      <c r="J2757" s="21">
        <v>252000.0</v>
      </c>
      <c r="K2757" s="21">
        <v>420.0</v>
      </c>
    </row>
    <row r="2758">
      <c r="A2758" s="15" t="s">
        <v>11</v>
      </c>
      <c r="B2758" s="16" t="s">
        <v>66</v>
      </c>
      <c r="C2758" s="17" t="s">
        <v>67</v>
      </c>
      <c r="D2758" s="18">
        <v>4.0</v>
      </c>
      <c r="E2758" s="17" t="s">
        <v>22</v>
      </c>
      <c r="F2758" s="15"/>
      <c r="G2758" s="19">
        <v>9.0042121E7</v>
      </c>
      <c r="H2758" s="15" t="s">
        <v>24</v>
      </c>
      <c r="I2758" s="20" t="s">
        <v>25</v>
      </c>
      <c r="J2758" s="21">
        <v>3889024.0</v>
      </c>
      <c r="K2758" s="21">
        <v>0.0</v>
      </c>
    </row>
    <row r="2759">
      <c r="A2759" s="15" t="s">
        <v>11</v>
      </c>
      <c r="B2759" s="16" t="s">
        <v>66</v>
      </c>
      <c r="C2759" s="17" t="s">
        <v>67</v>
      </c>
      <c r="D2759" s="18">
        <v>4.0</v>
      </c>
      <c r="E2759" s="17" t="s">
        <v>22</v>
      </c>
      <c r="F2759" s="15"/>
      <c r="G2759" s="19">
        <v>9.0042135E7</v>
      </c>
      <c r="H2759" s="15" t="s">
        <v>30</v>
      </c>
      <c r="I2759" s="20" t="s">
        <v>25</v>
      </c>
      <c r="J2759" s="21">
        <v>5709408.0</v>
      </c>
      <c r="K2759" s="21">
        <v>0.0</v>
      </c>
    </row>
    <row r="2760">
      <c r="A2760" s="15" t="s">
        <v>11</v>
      </c>
      <c r="B2760" s="16" t="s">
        <v>66</v>
      </c>
      <c r="C2760" s="17" t="s">
        <v>67</v>
      </c>
      <c r="D2760" s="18">
        <v>4.0</v>
      </c>
      <c r="E2760" s="17" t="s">
        <v>22</v>
      </c>
      <c r="F2760" s="15"/>
      <c r="G2760" s="19">
        <v>9.00422E7</v>
      </c>
      <c r="H2760" s="15" t="s">
        <v>73</v>
      </c>
      <c r="I2760" s="20" t="s">
        <v>60</v>
      </c>
      <c r="J2760" s="21">
        <v>4.8415133E7</v>
      </c>
      <c r="K2760" s="21">
        <v>0.0</v>
      </c>
    </row>
    <row r="2761">
      <c r="A2761" s="15" t="s">
        <v>11</v>
      </c>
      <c r="B2761" s="16" t="s">
        <v>66</v>
      </c>
      <c r="C2761" s="17" t="s">
        <v>67</v>
      </c>
      <c r="D2761" s="18">
        <v>4.0</v>
      </c>
      <c r="E2761" s="17" t="s">
        <v>22</v>
      </c>
      <c r="F2761" s="15"/>
      <c r="G2761" s="19">
        <v>9.0042223E7</v>
      </c>
      <c r="H2761" s="15" t="s">
        <v>61</v>
      </c>
      <c r="I2761" s="20" t="s">
        <v>60</v>
      </c>
      <c r="J2761" s="21">
        <v>4116796.0</v>
      </c>
      <c r="K2761" s="21">
        <v>0.0</v>
      </c>
    </row>
    <row r="2762">
      <c r="A2762" s="15" t="s">
        <v>11</v>
      </c>
      <c r="B2762" s="16" t="s">
        <v>66</v>
      </c>
      <c r="C2762" s="17" t="s">
        <v>67</v>
      </c>
      <c r="D2762" s="18">
        <v>4.0</v>
      </c>
      <c r="E2762" s="17" t="s">
        <v>22</v>
      </c>
      <c r="F2762" s="15"/>
      <c r="G2762" s="19">
        <v>9.0042224E7</v>
      </c>
      <c r="H2762" s="15" t="s">
        <v>62</v>
      </c>
      <c r="I2762" s="20" t="s">
        <v>60</v>
      </c>
      <c r="J2762" s="21">
        <v>649062.0</v>
      </c>
      <c r="K2762" s="21">
        <v>0.0</v>
      </c>
    </row>
    <row r="2763">
      <c r="A2763" s="15" t="s">
        <v>11</v>
      </c>
      <c r="B2763" s="16" t="s">
        <v>66</v>
      </c>
      <c r="C2763" s="17" t="s">
        <v>67</v>
      </c>
      <c r="D2763" s="18">
        <v>4.0</v>
      </c>
      <c r="E2763" s="17" t="s">
        <v>22</v>
      </c>
      <c r="F2763" s="15"/>
      <c r="G2763" s="19">
        <v>9.0042226E7</v>
      </c>
      <c r="H2763" s="15" t="s">
        <v>63</v>
      </c>
      <c r="I2763" s="20" t="s">
        <v>60</v>
      </c>
      <c r="J2763" s="21">
        <v>18307.0</v>
      </c>
      <c r="K2763" s="21">
        <v>0.0</v>
      </c>
    </row>
    <row r="2764">
      <c r="A2764" s="15" t="s">
        <v>11</v>
      </c>
      <c r="B2764" s="16" t="s">
        <v>66</v>
      </c>
      <c r="C2764" s="17" t="s">
        <v>67</v>
      </c>
      <c r="D2764" s="18">
        <v>4.0</v>
      </c>
      <c r="E2764" s="17" t="s">
        <v>22</v>
      </c>
      <c r="F2764" s="15"/>
      <c r="G2764" s="19">
        <v>9.0042228E7</v>
      </c>
      <c r="H2764" s="15" t="s">
        <v>64</v>
      </c>
      <c r="I2764" s="20" t="s">
        <v>60</v>
      </c>
      <c r="J2764" s="21">
        <v>9442727.0</v>
      </c>
      <c r="K2764" s="21">
        <v>0.0</v>
      </c>
    </row>
    <row r="2765">
      <c r="A2765" s="15" t="s">
        <v>11</v>
      </c>
      <c r="B2765" s="16" t="s">
        <v>66</v>
      </c>
      <c r="C2765" s="17" t="s">
        <v>67</v>
      </c>
      <c r="D2765" s="18">
        <v>4.0</v>
      </c>
      <c r="E2765" s="17" t="s">
        <v>22</v>
      </c>
      <c r="F2765" s="15"/>
      <c r="G2765" s="19">
        <v>9.0042231E7</v>
      </c>
      <c r="H2765" s="15" t="s">
        <v>65</v>
      </c>
      <c r="I2765" s="20" t="s">
        <v>60</v>
      </c>
      <c r="J2765" s="21">
        <v>8247264.0</v>
      </c>
      <c r="K2765" s="21">
        <v>0.0</v>
      </c>
    </row>
    <row r="2766">
      <c r="A2766" s="15" t="s">
        <v>74</v>
      </c>
      <c r="B2766" s="16" t="s">
        <v>75</v>
      </c>
      <c r="C2766" s="17" t="s">
        <v>76</v>
      </c>
      <c r="D2766" s="18">
        <v>4.0</v>
      </c>
      <c r="E2766" s="17" t="s">
        <v>81</v>
      </c>
      <c r="F2766" s="15" t="s">
        <v>82</v>
      </c>
      <c r="G2766" s="19">
        <v>9.0043001E7</v>
      </c>
      <c r="H2766" s="15" t="s">
        <v>18</v>
      </c>
      <c r="I2766" s="20" t="s">
        <v>19</v>
      </c>
      <c r="J2766" s="21">
        <v>1.06656227E8</v>
      </c>
      <c r="K2766" s="21">
        <v>748.0</v>
      </c>
    </row>
    <row r="2767">
      <c r="A2767" s="15" t="s">
        <v>74</v>
      </c>
      <c r="B2767" s="16" t="s">
        <v>75</v>
      </c>
      <c r="C2767" s="17" t="s">
        <v>76</v>
      </c>
      <c r="D2767" s="18">
        <v>4.0</v>
      </c>
      <c r="E2767" s="17" t="s">
        <v>81</v>
      </c>
      <c r="F2767" s="15" t="s">
        <v>82</v>
      </c>
      <c r="G2767" s="19">
        <v>9.0043E7</v>
      </c>
      <c r="H2767" s="15" t="s">
        <v>83</v>
      </c>
      <c r="I2767" s="20" t="s">
        <v>19</v>
      </c>
      <c r="J2767" s="21">
        <v>7444285.0</v>
      </c>
      <c r="K2767" s="21">
        <v>46.0</v>
      </c>
    </row>
    <row r="2768">
      <c r="A2768" s="15" t="s">
        <v>74</v>
      </c>
      <c r="B2768" s="16" t="s">
        <v>75</v>
      </c>
      <c r="C2768" s="17" t="s">
        <v>76</v>
      </c>
      <c r="D2768" s="18">
        <v>4.0</v>
      </c>
      <c r="E2768" s="17" t="s">
        <v>84</v>
      </c>
      <c r="F2768" s="15" t="s">
        <v>85</v>
      </c>
      <c r="G2768" s="19">
        <v>9.0043001E7</v>
      </c>
      <c r="H2768" s="15" t="s">
        <v>18</v>
      </c>
      <c r="I2768" s="20" t="s">
        <v>19</v>
      </c>
      <c r="J2768" s="21">
        <v>1.257081E7</v>
      </c>
      <c r="K2768" s="21">
        <v>93.0</v>
      </c>
    </row>
    <row r="2769">
      <c r="A2769" s="15" t="s">
        <v>74</v>
      </c>
      <c r="B2769" s="16" t="s">
        <v>75</v>
      </c>
      <c r="C2769" s="17" t="s">
        <v>76</v>
      </c>
      <c r="D2769" s="18">
        <v>4.0</v>
      </c>
      <c r="E2769" s="17" t="s">
        <v>154</v>
      </c>
      <c r="F2769" s="15" t="s">
        <v>155</v>
      </c>
      <c r="G2769" s="19">
        <v>9.0043002E7</v>
      </c>
      <c r="H2769" s="15" t="s">
        <v>49</v>
      </c>
      <c r="I2769" s="20" t="s">
        <v>50</v>
      </c>
      <c r="J2769" s="21">
        <v>4622072.0</v>
      </c>
      <c r="K2769" s="21">
        <v>232.0</v>
      </c>
    </row>
    <row r="2770">
      <c r="A2770" s="15" t="s">
        <v>74</v>
      </c>
      <c r="B2770" s="16" t="s">
        <v>75</v>
      </c>
      <c r="C2770" s="17" t="s">
        <v>76</v>
      </c>
      <c r="D2770" s="18">
        <v>4.0</v>
      </c>
      <c r="E2770" s="17" t="s">
        <v>154</v>
      </c>
      <c r="F2770" s="15" t="s">
        <v>155</v>
      </c>
      <c r="G2770" s="19">
        <v>5.1100774E7</v>
      </c>
      <c r="H2770" s="15" t="s">
        <v>39</v>
      </c>
      <c r="I2770" s="20" t="s">
        <v>17</v>
      </c>
      <c r="J2770" s="21">
        <v>1.73261856E8</v>
      </c>
      <c r="K2770" s="21">
        <v>209.0</v>
      </c>
    </row>
    <row r="2771">
      <c r="A2771" s="15" t="s">
        <v>74</v>
      </c>
      <c r="B2771" s="16" t="s">
        <v>75</v>
      </c>
      <c r="C2771" s="17" t="s">
        <v>76</v>
      </c>
      <c r="D2771" s="18">
        <v>4.0</v>
      </c>
      <c r="E2771" s="17" t="s">
        <v>91</v>
      </c>
      <c r="F2771" s="15" t="s">
        <v>92</v>
      </c>
      <c r="G2771" s="19">
        <v>9.0043001E7</v>
      </c>
      <c r="H2771" s="15" t="s">
        <v>18</v>
      </c>
      <c r="I2771" s="20" t="s">
        <v>19</v>
      </c>
      <c r="J2771" s="21">
        <v>3.4500815E7</v>
      </c>
      <c r="K2771" s="21">
        <v>244.0</v>
      </c>
    </row>
    <row r="2772">
      <c r="A2772" s="15" t="s">
        <v>74</v>
      </c>
      <c r="B2772" s="16" t="s">
        <v>75</v>
      </c>
      <c r="C2772" s="17" t="s">
        <v>76</v>
      </c>
      <c r="D2772" s="18">
        <v>4.0</v>
      </c>
      <c r="E2772" s="17" t="s">
        <v>91</v>
      </c>
      <c r="F2772" s="15" t="s">
        <v>92</v>
      </c>
      <c r="G2772" s="19">
        <v>9.0043E7</v>
      </c>
      <c r="H2772" s="15" t="s">
        <v>83</v>
      </c>
      <c r="I2772" s="20" t="s">
        <v>19</v>
      </c>
      <c r="J2772" s="21">
        <v>495180.0</v>
      </c>
      <c r="K2772" s="21">
        <v>3.0</v>
      </c>
    </row>
    <row r="2773">
      <c r="A2773" s="15" t="s">
        <v>74</v>
      </c>
      <c r="B2773" s="16" t="s">
        <v>75</v>
      </c>
      <c r="C2773" s="17" t="s">
        <v>76</v>
      </c>
      <c r="D2773" s="18">
        <v>4.0</v>
      </c>
      <c r="E2773" s="17" t="s">
        <v>93</v>
      </c>
      <c r="F2773" s="15" t="s">
        <v>94</v>
      </c>
      <c r="G2773" s="19">
        <v>9.0043001E7</v>
      </c>
      <c r="H2773" s="15" t="s">
        <v>18</v>
      </c>
      <c r="I2773" s="20" t="s">
        <v>19</v>
      </c>
      <c r="J2773" s="21">
        <v>5548701.0</v>
      </c>
      <c r="K2773" s="21">
        <v>41.0</v>
      </c>
    </row>
    <row r="2774">
      <c r="A2774" s="15" t="s">
        <v>74</v>
      </c>
      <c r="B2774" s="16" t="s">
        <v>75</v>
      </c>
      <c r="C2774" s="17" t="s">
        <v>76</v>
      </c>
      <c r="D2774" s="18">
        <v>4.0</v>
      </c>
      <c r="E2774" s="17" t="s">
        <v>95</v>
      </c>
      <c r="F2774" s="15" t="s">
        <v>96</v>
      </c>
      <c r="G2774" s="19">
        <v>5.1100058E7</v>
      </c>
      <c r="H2774" s="15" t="s">
        <v>36</v>
      </c>
      <c r="I2774" s="20" t="s">
        <v>37</v>
      </c>
      <c r="J2774" s="21">
        <v>6.2054508E7</v>
      </c>
      <c r="K2774" s="21">
        <v>781.31</v>
      </c>
    </row>
    <row r="2775">
      <c r="A2775" s="15" t="s">
        <v>74</v>
      </c>
      <c r="B2775" s="16" t="s">
        <v>75</v>
      </c>
      <c r="C2775" s="17" t="s">
        <v>76</v>
      </c>
      <c r="D2775" s="18">
        <v>4.0</v>
      </c>
      <c r="E2775" s="17" t="s">
        <v>95</v>
      </c>
      <c r="F2775" s="15" t="s">
        <v>96</v>
      </c>
      <c r="G2775" s="19">
        <v>5.1100651E7</v>
      </c>
      <c r="H2775" s="15" t="s">
        <v>38</v>
      </c>
      <c r="I2775" s="20" t="s">
        <v>25</v>
      </c>
      <c r="J2775" s="21">
        <v>0.0</v>
      </c>
      <c r="K2775" s="21">
        <v>0.0</v>
      </c>
    </row>
    <row r="2776">
      <c r="A2776" s="15" t="s">
        <v>74</v>
      </c>
      <c r="B2776" s="16" t="s">
        <v>75</v>
      </c>
      <c r="C2776" s="17" t="s">
        <v>76</v>
      </c>
      <c r="D2776" s="18">
        <v>4.0</v>
      </c>
      <c r="E2776" s="17" t="s">
        <v>95</v>
      </c>
      <c r="F2776" s="15" t="s">
        <v>96</v>
      </c>
      <c r="G2776" s="19">
        <v>9.0043001E7</v>
      </c>
      <c r="H2776" s="15" t="s">
        <v>18</v>
      </c>
      <c r="I2776" s="20" t="s">
        <v>19</v>
      </c>
      <c r="J2776" s="21">
        <v>1.4415372E7</v>
      </c>
      <c r="K2776" s="21">
        <v>106.0</v>
      </c>
    </row>
    <row r="2777">
      <c r="A2777" s="15" t="s">
        <v>74</v>
      </c>
      <c r="B2777" s="16" t="s">
        <v>75</v>
      </c>
      <c r="C2777" s="17" t="s">
        <v>76</v>
      </c>
      <c r="D2777" s="18">
        <v>4.0</v>
      </c>
      <c r="E2777" s="17" t="s">
        <v>95</v>
      </c>
      <c r="F2777" s="15" t="s">
        <v>96</v>
      </c>
      <c r="G2777" s="19">
        <v>5.1100774E7</v>
      </c>
      <c r="H2777" s="15" t="s">
        <v>39</v>
      </c>
      <c r="I2777" s="20" t="s">
        <v>17</v>
      </c>
      <c r="J2777" s="21">
        <v>2.7112816E7</v>
      </c>
      <c r="K2777" s="21">
        <v>487.29</v>
      </c>
    </row>
    <row r="2778">
      <c r="A2778" s="15" t="s">
        <v>74</v>
      </c>
      <c r="B2778" s="16" t="s">
        <v>75</v>
      </c>
      <c r="C2778" s="17" t="s">
        <v>76</v>
      </c>
      <c r="D2778" s="18">
        <v>4.0</v>
      </c>
      <c r="E2778" s="17" t="s">
        <v>97</v>
      </c>
      <c r="F2778" s="15" t="s">
        <v>98</v>
      </c>
      <c r="G2778" s="19">
        <v>9.0043001E7</v>
      </c>
      <c r="H2778" s="15" t="s">
        <v>18</v>
      </c>
      <c r="I2778" s="20" t="s">
        <v>19</v>
      </c>
      <c r="J2778" s="21">
        <v>5108436.0</v>
      </c>
      <c r="K2778" s="21">
        <v>36.0</v>
      </c>
    </row>
    <row r="2779">
      <c r="A2779" s="15" t="s">
        <v>74</v>
      </c>
      <c r="B2779" s="16" t="s">
        <v>75</v>
      </c>
      <c r="C2779" s="17" t="s">
        <v>76</v>
      </c>
      <c r="D2779" s="18">
        <v>4.0</v>
      </c>
      <c r="E2779" s="17" t="s">
        <v>99</v>
      </c>
      <c r="F2779" s="15" t="s">
        <v>100</v>
      </c>
      <c r="G2779" s="19">
        <v>9.0043001E7</v>
      </c>
      <c r="H2779" s="15" t="s">
        <v>18</v>
      </c>
      <c r="I2779" s="20" t="s">
        <v>19</v>
      </c>
      <c r="J2779" s="21">
        <v>3.2621006E7</v>
      </c>
      <c r="K2779" s="21">
        <v>230.0</v>
      </c>
    </row>
    <row r="2780">
      <c r="A2780" s="15" t="s">
        <v>74</v>
      </c>
      <c r="B2780" s="16" t="s">
        <v>75</v>
      </c>
      <c r="C2780" s="17" t="s">
        <v>76</v>
      </c>
      <c r="D2780" s="18">
        <v>4.0</v>
      </c>
      <c r="E2780" s="17" t="s">
        <v>101</v>
      </c>
      <c r="F2780" s="15" t="s">
        <v>102</v>
      </c>
      <c r="G2780" s="19">
        <v>9.0043001E7</v>
      </c>
      <c r="H2780" s="15" t="s">
        <v>18</v>
      </c>
      <c r="I2780" s="20" t="s">
        <v>19</v>
      </c>
      <c r="J2780" s="21">
        <v>7.9754566E7</v>
      </c>
      <c r="K2780" s="21">
        <v>563.0</v>
      </c>
    </row>
    <row r="2781">
      <c r="A2781" s="15" t="s">
        <v>74</v>
      </c>
      <c r="B2781" s="16" t="s">
        <v>75</v>
      </c>
      <c r="C2781" s="17" t="s">
        <v>76</v>
      </c>
      <c r="D2781" s="18">
        <v>4.0</v>
      </c>
      <c r="E2781" s="17" t="s">
        <v>103</v>
      </c>
      <c r="F2781" s="15" t="s">
        <v>104</v>
      </c>
      <c r="G2781" s="19">
        <v>5.1100058E7</v>
      </c>
      <c r="H2781" s="15" t="s">
        <v>36</v>
      </c>
      <c r="I2781" s="20" t="s">
        <v>37</v>
      </c>
      <c r="J2781" s="21">
        <v>1.3576433E7</v>
      </c>
      <c r="K2781" s="21">
        <v>161.65</v>
      </c>
    </row>
    <row r="2782">
      <c r="A2782" s="15" t="s">
        <v>74</v>
      </c>
      <c r="B2782" s="16" t="s">
        <v>75</v>
      </c>
      <c r="C2782" s="17" t="s">
        <v>76</v>
      </c>
      <c r="D2782" s="18">
        <v>4.0</v>
      </c>
      <c r="E2782" s="17" t="s">
        <v>103</v>
      </c>
      <c r="F2782" s="15" t="s">
        <v>104</v>
      </c>
      <c r="G2782" s="19">
        <v>5.1100651E7</v>
      </c>
      <c r="H2782" s="15" t="s">
        <v>38</v>
      </c>
      <c r="I2782" s="20" t="s">
        <v>25</v>
      </c>
      <c r="J2782" s="21">
        <v>0.0</v>
      </c>
      <c r="K2782" s="21">
        <v>0.0</v>
      </c>
    </row>
    <row r="2783">
      <c r="A2783" s="15" t="s">
        <v>74</v>
      </c>
      <c r="B2783" s="16" t="s">
        <v>75</v>
      </c>
      <c r="C2783" s="17" t="s">
        <v>76</v>
      </c>
      <c r="D2783" s="18">
        <v>4.0</v>
      </c>
      <c r="E2783" s="17" t="s">
        <v>103</v>
      </c>
      <c r="F2783" s="15" t="s">
        <v>104</v>
      </c>
      <c r="G2783" s="19">
        <v>9.0043001E7</v>
      </c>
      <c r="H2783" s="15" t="s">
        <v>18</v>
      </c>
      <c r="I2783" s="20" t="s">
        <v>19</v>
      </c>
      <c r="J2783" s="21">
        <v>1.712812E7</v>
      </c>
      <c r="K2783" s="21">
        <v>124.0</v>
      </c>
    </row>
    <row r="2784">
      <c r="A2784" s="15" t="s">
        <v>74</v>
      </c>
      <c r="B2784" s="16" t="s">
        <v>75</v>
      </c>
      <c r="C2784" s="17" t="s">
        <v>76</v>
      </c>
      <c r="D2784" s="18">
        <v>4.0</v>
      </c>
      <c r="E2784" s="17" t="s">
        <v>103</v>
      </c>
      <c r="F2784" s="15" t="s">
        <v>104</v>
      </c>
      <c r="G2784" s="19">
        <v>5.1100774E7</v>
      </c>
      <c r="H2784" s="15" t="s">
        <v>39</v>
      </c>
      <c r="I2784" s="20" t="s">
        <v>17</v>
      </c>
      <c r="J2784" s="21">
        <v>2.498562E7</v>
      </c>
      <c r="K2784" s="21">
        <v>168.31</v>
      </c>
    </row>
    <row r="2785">
      <c r="A2785" s="15" t="s">
        <v>74</v>
      </c>
      <c r="B2785" s="16" t="s">
        <v>75</v>
      </c>
      <c r="C2785" s="17" t="s">
        <v>76</v>
      </c>
      <c r="D2785" s="18">
        <v>4.0</v>
      </c>
      <c r="E2785" s="17" t="s">
        <v>115</v>
      </c>
      <c r="F2785" s="15" t="s">
        <v>116</v>
      </c>
      <c r="G2785" s="19">
        <v>5.1100774E7</v>
      </c>
      <c r="H2785" s="15" t="s">
        <v>39</v>
      </c>
      <c r="I2785" s="20" t="s">
        <v>17</v>
      </c>
      <c r="J2785" s="21">
        <v>1.17077462E8</v>
      </c>
      <c r="K2785" s="21">
        <v>1781960.0</v>
      </c>
    </row>
    <row r="2786">
      <c r="A2786" s="15" t="s">
        <v>74</v>
      </c>
      <c r="B2786" s="16" t="s">
        <v>75</v>
      </c>
      <c r="C2786" s="17" t="s">
        <v>76</v>
      </c>
      <c r="D2786" s="18">
        <v>4.0</v>
      </c>
      <c r="E2786" s="17" t="s">
        <v>117</v>
      </c>
      <c r="F2786" s="15" t="s">
        <v>118</v>
      </c>
      <c r="G2786" s="19">
        <v>5.1100058E7</v>
      </c>
      <c r="H2786" s="15" t="s">
        <v>36</v>
      </c>
      <c r="I2786" s="20" t="s">
        <v>37</v>
      </c>
      <c r="J2786" s="21">
        <v>7.70430205E8</v>
      </c>
      <c r="K2786" s="21">
        <v>173421.25</v>
      </c>
    </row>
    <row r="2787">
      <c r="A2787" s="15" t="s">
        <v>74</v>
      </c>
      <c r="B2787" s="16" t="s">
        <v>75</v>
      </c>
      <c r="C2787" s="17" t="s">
        <v>76</v>
      </c>
      <c r="D2787" s="18">
        <v>4.0</v>
      </c>
      <c r="E2787" s="17" t="s">
        <v>117</v>
      </c>
      <c r="F2787" s="15" t="s">
        <v>118</v>
      </c>
      <c r="G2787" s="19">
        <v>5.1100651E7</v>
      </c>
      <c r="H2787" s="15" t="s">
        <v>38</v>
      </c>
      <c r="I2787" s="20" t="s">
        <v>25</v>
      </c>
      <c r="J2787" s="21">
        <v>0.0</v>
      </c>
      <c r="K2787" s="21">
        <v>0.0</v>
      </c>
    </row>
    <row r="2788">
      <c r="A2788" s="15" t="s">
        <v>74</v>
      </c>
      <c r="B2788" s="16" t="s">
        <v>75</v>
      </c>
      <c r="C2788" s="17" t="s">
        <v>76</v>
      </c>
      <c r="D2788" s="18">
        <v>4.0</v>
      </c>
      <c r="E2788" s="17" t="s">
        <v>117</v>
      </c>
      <c r="F2788" s="15" t="s">
        <v>118</v>
      </c>
      <c r="G2788" s="19">
        <v>9.0043001E7</v>
      </c>
      <c r="H2788" s="15" t="s">
        <v>18</v>
      </c>
      <c r="I2788" s="20" t="s">
        <v>19</v>
      </c>
      <c r="J2788" s="21">
        <v>4.6776057E7</v>
      </c>
      <c r="K2788" s="21">
        <v>330.0</v>
      </c>
    </row>
    <row r="2789">
      <c r="A2789" s="15" t="s">
        <v>74</v>
      </c>
      <c r="B2789" s="16" t="s">
        <v>75</v>
      </c>
      <c r="C2789" s="17" t="s">
        <v>76</v>
      </c>
      <c r="D2789" s="18">
        <v>4.0</v>
      </c>
      <c r="E2789" s="17" t="s">
        <v>117</v>
      </c>
      <c r="F2789" s="15" t="s">
        <v>118</v>
      </c>
      <c r="G2789" s="19">
        <v>5.1100774E7</v>
      </c>
      <c r="H2789" s="15" t="s">
        <v>39</v>
      </c>
      <c r="I2789" s="20" t="s">
        <v>17</v>
      </c>
      <c r="J2789" s="21">
        <v>3.7491251E7</v>
      </c>
      <c r="K2789" s="21">
        <v>614.491</v>
      </c>
    </row>
    <row r="2790">
      <c r="A2790" s="15" t="s">
        <v>74</v>
      </c>
      <c r="B2790" s="16" t="s">
        <v>75</v>
      </c>
      <c r="C2790" s="17" t="s">
        <v>76</v>
      </c>
      <c r="D2790" s="18">
        <v>4.0</v>
      </c>
      <c r="E2790" s="17" t="s">
        <v>263</v>
      </c>
      <c r="F2790" s="15" t="s">
        <v>264</v>
      </c>
      <c r="G2790" s="19">
        <v>9.0043001E7</v>
      </c>
      <c r="H2790" s="15" t="s">
        <v>18</v>
      </c>
      <c r="I2790" s="20" t="s">
        <v>19</v>
      </c>
      <c r="J2790" s="21">
        <v>7735280.0</v>
      </c>
      <c r="K2790" s="21">
        <v>56.0</v>
      </c>
    </row>
    <row r="2791">
      <c r="A2791" s="15" t="s">
        <v>74</v>
      </c>
      <c r="B2791" s="16" t="s">
        <v>75</v>
      </c>
      <c r="C2791" s="17" t="s">
        <v>76</v>
      </c>
      <c r="D2791" s="18">
        <v>4.0</v>
      </c>
      <c r="E2791" s="17" t="s">
        <v>119</v>
      </c>
      <c r="F2791" s="15" t="s">
        <v>120</v>
      </c>
      <c r="G2791" s="19">
        <v>5.1100774E7</v>
      </c>
      <c r="H2791" s="15" t="s">
        <v>39</v>
      </c>
      <c r="I2791" s="20" t="s">
        <v>17</v>
      </c>
      <c r="J2791" s="21">
        <v>4.1107405E7</v>
      </c>
      <c r="K2791" s="21">
        <v>36.91</v>
      </c>
    </row>
    <row r="2792">
      <c r="A2792" s="15" t="s">
        <v>74</v>
      </c>
      <c r="B2792" s="16" t="s">
        <v>75</v>
      </c>
      <c r="C2792" s="17" t="s">
        <v>76</v>
      </c>
      <c r="D2792" s="18">
        <v>4.0</v>
      </c>
      <c r="E2792" s="17" t="s">
        <v>121</v>
      </c>
      <c r="F2792" s="15" t="s">
        <v>122</v>
      </c>
      <c r="G2792" s="19">
        <v>9.0043002E7</v>
      </c>
      <c r="H2792" s="15" t="s">
        <v>49</v>
      </c>
      <c r="I2792" s="20" t="s">
        <v>50</v>
      </c>
      <c r="J2792" s="21">
        <v>2.6040816E7</v>
      </c>
      <c r="K2792" s="21">
        <v>1128.0</v>
      </c>
    </row>
    <row r="2793">
      <c r="A2793" s="15" t="s">
        <v>74</v>
      </c>
      <c r="B2793" s="16" t="s">
        <v>75</v>
      </c>
      <c r="C2793" s="17" t="s">
        <v>76</v>
      </c>
      <c r="D2793" s="18">
        <v>4.0</v>
      </c>
      <c r="E2793" s="17" t="s">
        <v>123</v>
      </c>
      <c r="F2793" s="15" t="s">
        <v>124</v>
      </c>
      <c r="G2793" s="19">
        <v>9.0043001E7</v>
      </c>
      <c r="H2793" s="15" t="s">
        <v>18</v>
      </c>
      <c r="I2793" s="20" t="s">
        <v>19</v>
      </c>
      <c r="J2793" s="21">
        <v>8564060.0</v>
      </c>
      <c r="K2793" s="21">
        <v>62.0</v>
      </c>
    </row>
    <row r="2794">
      <c r="A2794" s="15" t="s">
        <v>74</v>
      </c>
      <c r="B2794" s="16" t="s">
        <v>75</v>
      </c>
      <c r="C2794" s="17" t="s">
        <v>76</v>
      </c>
      <c r="D2794" s="18">
        <v>4.0</v>
      </c>
      <c r="E2794" s="17" t="s">
        <v>125</v>
      </c>
      <c r="F2794" s="15" t="s">
        <v>126</v>
      </c>
      <c r="G2794" s="19">
        <v>5.1101056E7</v>
      </c>
      <c r="H2794" s="15" t="s">
        <v>16</v>
      </c>
      <c r="I2794" s="20" t="s">
        <v>17</v>
      </c>
      <c r="J2794" s="21">
        <v>8.412391E7</v>
      </c>
      <c r="K2794" s="21">
        <v>841239.1</v>
      </c>
    </row>
    <row r="2795">
      <c r="A2795" s="15" t="s">
        <v>74</v>
      </c>
      <c r="B2795" s="16" t="s">
        <v>75</v>
      </c>
      <c r="C2795" s="17" t="s">
        <v>76</v>
      </c>
      <c r="D2795" s="18">
        <v>4.0</v>
      </c>
      <c r="E2795" s="17" t="s">
        <v>125</v>
      </c>
      <c r="F2795" s="15" t="s">
        <v>126</v>
      </c>
      <c r="G2795" s="19">
        <v>9.0043001E7</v>
      </c>
      <c r="H2795" s="15" t="s">
        <v>18</v>
      </c>
      <c r="I2795" s="20" t="s">
        <v>19</v>
      </c>
      <c r="J2795" s="21">
        <v>5.58400172E8</v>
      </c>
      <c r="K2795" s="21">
        <v>4063.0</v>
      </c>
    </row>
    <row r="2796">
      <c r="A2796" s="15" t="s">
        <v>74</v>
      </c>
      <c r="B2796" s="16" t="s">
        <v>75</v>
      </c>
      <c r="C2796" s="17" t="s">
        <v>76</v>
      </c>
      <c r="D2796" s="18">
        <v>4.0</v>
      </c>
      <c r="E2796" s="17" t="s">
        <v>125</v>
      </c>
      <c r="F2796" s="15" t="s">
        <v>126</v>
      </c>
      <c r="G2796" s="19">
        <v>9.0043E7</v>
      </c>
      <c r="H2796" s="15" t="s">
        <v>83</v>
      </c>
      <c r="I2796" s="20" t="s">
        <v>19</v>
      </c>
      <c r="J2796" s="21">
        <v>3872502.0</v>
      </c>
      <c r="K2796" s="21">
        <v>27.0</v>
      </c>
    </row>
    <row r="2797">
      <c r="A2797" s="15" t="s">
        <v>74</v>
      </c>
      <c r="B2797" s="16" t="s">
        <v>75</v>
      </c>
      <c r="C2797" s="17" t="s">
        <v>76</v>
      </c>
      <c r="D2797" s="18">
        <v>4.0</v>
      </c>
      <c r="E2797" s="17" t="s">
        <v>127</v>
      </c>
      <c r="F2797" s="15" t="s">
        <v>128</v>
      </c>
      <c r="G2797" s="19">
        <v>5.1100153E7</v>
      </c>
      <c r="H2797" s="15" t="s">
        <v>72</v>
      </c>
      <c r="I2797" s="20" t="s">
        <v>17</v>
      </c>
      <c r="J2797" s="21">
        <v>4.04311983E8</v>
      </c>
      <c r="K2797" s="21">
        <v>3795760.0</v>
      </c>
    </row>
    <row r="2798">
      <c r="A2798" s="15" t="s">
        <v>74</v>
      </c>
      <c r="B2798" s="16" t="s">
        <v>75</v>
      </c>
      <c r="C2798" s="17" t="s">
        <v>76</v>
      </c>
      <c r="D2798" s="18">
        <v>4.0</v>
      </c>
      <c r="E2798" s="17" t="s">
        <v>127</v>
      </c>
      <c r="F2798" s="15" t="s">
        <v>128</v>
      </c>
      <c r="G2798" s="19">
        <v>9.0043002E7</v>
      </c>
      <c r="H2798" s="15" t="s">
        <v>49</v>
      </c>
      <c r="I2798" s="20" t="s">
        <v>50</v>
      </c>
      <c r="J2798" s="21">
        <v>1.0255657E8</v>
      </c>
      <c r="K2798" s="21">
        <v>4728.0</v>
      </c>
    </row>
    <row r="2799">
      <c r="A2799" s="15" t="s">
        <v>74</v>
      </c>
      <c r="B2799" s="16" t="s">
        <v>75</v>
      </c>
      <c r="C2799" s="17" t="s">
        <v>76</v>
      </c>
      <c r="D2799" s="18">
        <v>4.0</v>
      </c>
      <c r="E2799" s="17" t="s">
        <v>129</v>
      </c>
      <c r="F2799" s="15" t="s">
        <v>130</v>
      </c>
      <c r="G2799" s="19">
        <v>5.1101056E7</v>
      </c>
      <c r="H2799" s="15" t="s">
        <v>16</v>
      </c>
      <c r="I2799" s="20" t="s">
        <v>17</v>
      </c>
      <c r="J2799" s="21">
        <v>1.3022604E8</v>
      </c>
      <c r="K2799" s="21">
        <v>1860372.0</v>
      </c>
    </row>
    <row r="2800">
      <c r="A2800" s="15" t="s">
        <v>74</v>
      </c>
      <c r="B2800" s="16" t="s">
        <v>75</v>
      </c>
      <c r="C2800" s="17" t="s">
        <v>76</v>
      </c>
      <c r="D2800" s="18">
        <v>4.0</v>
      </c>
      <c r="E2800" s="17" t="s">
        <v>129</v>
      </c>
      <c r="F2800" s="15" t="s">
        <v>130</v>
      </c>
      <c r="G2800" s="19">
        <v>9.0043001E7</v>
      </c>
      <c r="H2800" s="15" t="s">
        <v>18</v>
      </c>
      <c r="I2800" s="20" t="s">
        <v>19</v>
      </c>
      <c r="J2800" s="21">
        <v>1.0074848E7</v>
      </c>
      <c r="K2800" s="21">
        <v>73.0</v>
      </c>
    </row>
    <row r="2801">
      <c r="A2801" s="15" t="s">
        <v>74</v>
      </c>
      <c r="B2801" s="16" t="s">
        <v>75</v>
      </c>
      <c r="C2801" s="17" t="s">
        <v>76</v>
      </c>
      <c r="D2801" s="18">
        <v>4.0</v>
      </c>
      <c r="E2801" s="17" t="s">
        <v>129</v>
      </c>
      <c r="F2801" s="15" t="s">
        <v>130</v>
      </c>
      <c r="G2801" s="19">
        <v>9.0043003E7</v>
      </c>
      <c r="H2801" s="15" t="s">
        <v>90</v>
      </c>
      <c r="I2801" s="20" t="s">
        <v>50</v>
      </c>
      <c r="J2801" s="21">
        <v>2.3735701E7</v>
      </c>
      <c r="K2801" s="21">
        <v>167.6</v>
      </c>
    </row>
    <row r="2802">
      <c r="A2802" s="15" t="s">
        <v>74</v>
      </c>
      <c r="B2802" s="16" t="s">
        <v>75</v>
      </c>
      <c r="C2802" s="17" t="s">
        <v>76</v>
      </c>
      <c r="D2802" s="18">
        <v>4.0</v>
      </c>
      <c r="E2802" s="17" t="s">
        <v>131</v>
      </c>
      <c r="F2802" s="15" t="s">
        <v>132</v>
      </c>
      <c r="G2802" s="19">
        <v>9.0043001E7</v>
      </c>
      <c r="H2802" s="15" t="s">
        <v>18</v>
      </c>
      <c r="I2802" s="20" t="s">
        <v>19</v>
      </c>
      <c r="J2802" s="21">
        <v>1.3927472E7</v>
      </c>
      <c r="K2802" s="21">
        <v>104.0</v>
      </c>
    </row>
    <row r="2803">
      <c r="A2803" s="15" t="s">
        <v>74</v>
      </c>
      <c r="B2803" s="16" t="s">
        <v>75</v>
      </c>
      <c r="C2803" s="17" t="s">
        <v>76</v>
      </c>
      <c r="D2803" s="18">
        <v>4.0</v>
      </c>
      <c r="E2803" s="17" t="s">
        <v>135</v>
      </c>
      <c r="F2803" s="15" t="s">
        <v>136</v>
      </c>
      <c r="G2803" s="19">
        <v>9.0043001E7</v>
      </c>
      <c r="H2803" s="15" t="s">
        <v>18</v>
      </c>
      <c r="I2803" s="20" t="s">
        <v>19</v>
      </c>
      <c r="J2803" s="21">
        <v>1.5702623E7</v>
      </c>
      <c r="K2803" s="21">
        <v>113.0</v>
      </c>
    </row>
    <row r="2804">
      <c r="A2804" s="15" t="s">
        <v>74</v>
      </c>
      <c r="B2804" s="16" t="s">
        <v>75</v>
      </c>
      <c r="C2804" s="17" t="s">
        <v>76</v>
      </c>
      <c r="D2804" s="18">
        <v>4.0</v>
      </c>
      <c r="E2804" s="17" t="s">
        <v>137</v>
      </c>
      <c r="F2804" s="15" t="s">
        <v>138</v>
      </c>
      <c r="G2804" s="19">
        <v>9.0043001E7</v>
      </c>
      <c r="H2804" s="15" t="s">
        <v>18</v>
      </c>
      <c r="I2804" s="20" t="s">
        <v>19</v>
      </c>
      <c r="J2804" s="21">
        <v>3860103.0</v>
      </c>
      <c r="K2804" s="21">
        <v>29.0</v>
      </c>
    </row>
    <row r="2805">
      <c r="A2805" s="15" t="s">
        <v>74</v>
      </c>
      <c r="B2805" s="16" t="s">
        <v>75</v>
      </c>
      <c r="C2805" s="17" t="s">
        <v>76</v>
      </c>
      <c r="D2805" s="18">
        <v>4.0</v>
      </c>
      <c r="E2805" s="17" t="s">
        <v>54</v>
      </c>
      <c r="F2805" s="15" t="s">
        <v>139</v>
      </c>
      <c r="G2805" s="19">
        <v>9.0042011E7</v>
      </c>
      <c r="H2805" s="15" t="s">
        <v>55</v>
      </c>
      <c r="I2805" s="20" t="s">
        <v>19</v>
      </c>
      <c r="J2805" s="21">
        <v>4.22212962E8</v>
      </c>
      <c r="K2805" s="21">
        <v>0.0</v>
      </c>
    </row>
    <row r="2806">
      <c r="A2806" s="15" t="s">
        <v>74</v>
      </c>
      <c r="B2806" s="16" t="s">
        <v>75</v>
      </c>
      <c r="C2806" s="17" t="s">
        <v>76</v>
      </c>
      <c r="D2806" s="18">
        <v>4.0</v>
      </c>
      <c r="E2806" s="17" t="s">
        <v>164</v>
      </c>
      <c r="F2806" s="15" t="s">
        <v>165</v>
      </c>
      <c r="G2806" s="19">
        <v>9.0042079E7</v>
      </c>
      <c r="H2806" s="15" t="s">
        <v>166</v>
      </c>
      <c r="I2806" s="20" t="s">
        <v>19</v>
      </c>
      <c r="J2806" s="21">
        <v>537045.0</v>
      </c>
      <c r="K2806" s="21">
        <v>0.0</v>
      </c>
    </row>
    <row r="2807">
      <c r="A2807" s="15" t="s">
        <v>74</v>
      </c>
      <c r="B2807" s="16" t="s">
        <v>75</v>
      </c>
      <c r="C2807" s="17" t="s">
        <v>76</v>
      </c>
      <c r="D2807" s="18">
        <v>4.0</v>
      </c>
      <c r="E2807" s="17" t="s">
        <v>20</v>
      </c>
      <c r="F2807" s="15" t="s">
        <v>140</v>
      </c>
      <c r="G2807" s="19">
        <v>9.0042014E7</v>
      </c>
      <c r="H2807" s="15" t="s">
        <v>21</v>
      </c>
      <c r="I2807" s="20" t="s">
        <v>19</v>
      </c>
      <c r="J2807" s="21">
        <v>4.88203975E8</v>
      </c>
      <c r="K2807" s="21">
        <v>0.0</v>
      </c>
    </row>
    <row r="2808">
      <c r="A2808" s="15" t="s">
        <v>74</v>
      </c>
      <c r="B2808" s="16" t="s">
        <v>75</v>
      </c>
      <c r="C2808" s="17" t="s">
        <v>76</v>
      </c>
      <c r="D2808" s="18">
        <v>4.0</v>
      </c>
      <c r="E2808" s="17" t="s">
        <v>20</v>
      </c>
      <c r="F2808" s="15" t="s">
        <v>140</v>
      </c>
      <c r="G2808" s="19">
        <v>9.0042077E7</v>
      </c>
      <c r="H2808" s="15" t="s">
        <v>141</v>
      </c>
      <c r="I2808" s="20" t="s">
        <v>19</v>
      </c>
      <c r="J2808" s="21">
        <v>2.99297308E8</v>
      </c>
      <c r="K2808" s="21">
        <v>0.0</v>
      </c>
    </row>
    <row r="2809">
      <c r="A2809" s="15" t="s">
        <v>74</v>
      </c>
      <c r="B2809" s="16" t="s">
        <v>75</v>
      </c>
      <c r="C2809" s="17" t="s">
        <v>76</v>
      </c>
      <c r="D2809" s="18">
        <v>4.0</v>
      </c>
      <c r="E2809" s="17" t="s">
        <v>142</v>
      </c>
      <c r="F2809" s="15" t="s">
        <v>143</v>
      </c>
      <c r="G2809" s="19">
        <v>9.0042013E7</v>
      </c>
      <c r="H2809" s="15" t="s">
        <v>144</v>
      </c>
      <c r="I2809" s="20" t="s">
        <v>19</v>
      </c>
      <c r="J2809" s="21">
        <v>5.5537419E7</v>
      </c>
      <c r="K2809" s="21">
        <v>0.0</v>
      </c>
    </row>
    <row r="2810">
      <c r="A2810" s="15" t="s">
        <v>74</v>
      </c>
      <c r="B2810" s="16" t="s">
        <v>75</v>
      </c>
      <c r="C2810" s="17" t="s">
        <v>76</v>
      </c>
      <c r="D2810" s="18">
        <v>4.0</v>
      </c>
      <c r="E2810" s="17" t="s">
        <v>142</v>
      </c>
      <c r="F2810" s="15" t="s">
        <v>143</v>
      </c>
      <c r="G2810" s="19">
        <v>9.0042084E7</v>
      </c>
      <c r="H2810" s="15" t="s">
        <v>145</v>
      </c>
      <c r="I2810" s="20" t="s">
        <v>19</v>
      </c>
      <c r="J2810" s="21">
        <v>4.0650327E7</v>
      </c>
      <c r="K2810" s="21">
        <v>0.0</v>
      </c>
    </row>
    <row r="2811">
      <c r="A2811" s="15" t="s">
        <v>74</v>
      </c>
      <c r="B2811" s="16" t="s">
        <v>75</v>
      </c>
      <c r="C2811" s="17" t="s">
        <v>76</v>
      </c>
      <c r="D2811" s="18">
        <v>4.0</v>
      </c>
      <c r="E2811" s="17" t="s">
        <v>22</v>
      </c>
      <c r="F2811" s="15" t="s">
        <v>146</v>
      </c>
      <c r="G2811" s="19">
        <v>9.0042012E7</v>
      </c>
      <c r="H2811" s="15" t="s">
        <v>23</v>
      </c>
      <c r="I2811" s="20" t="s">
        <v>19</v>
      </c>
      <c r="J2811" s="21">
        <v>2.17189151E8</v>
      </c>
      <c r="K2811" s="21">
        <v>0.0</v>
      </c>
    </row>
    <row r="2812">
      <c r="A2812" s="15" t="s">
        <v>74</v>
      </c>
      <c r="B2812" s="16" t="s">
        <v>75</v>
      </c>
      <c r="C2812" s="17" t="s">
        <v>76</v>
      </c>
      <c r="D2812" s="18">
        <v>4.0</v>
      </c>
      <c r="E2812" s="17" t="s">
        <v>22</v>
      </c>
      <c r="F2812" s="15" t="s">
        <v>146</v>
      </c>
      <c r="G2812" s="19">
        <v>9.0042121E7</v>
      </c>
      <c r="H2812" s="15" t="s">
        <v>24</v>
      </c>
      <c r="I2812" s="20" t="s">
        <v>25</v>
      </c>
      <c r="J2812" s="21">
        <v>1.85414948E8</v>
      </c>
      <c r="K2812" s="21">
        <v>0.0</v>
      </c>
    </row>
    <row r="2813">
      <c r="A2813" s="15" t="s">
        <v>74</v>
      </c>
      <c r="B2813" s="16" t="s">
        <v>75</v>
      </c>
      <c r="C2813" s="17" t="s">
        <v>76</v>
      </c>
      <c r="D2813" s="18">
        <v>4.0</v>
      </c>
      <c r="E2813" s="17" t="s">
        <v>22</v>
      </c>
      <c r="F2813" s="15" t="s">
        <v>146</v>
      </c>
      <c r="G2813" s="19">
        <v>9.0042122E7</v>
      </c>
      <c r="H2813" s="15" t="s">
        <v>56</v>
      </c>
      <c r="I2813" s="20" t="s">
        <v>25</v>
      </c>
      <c r="J2813" s="21">
        <v>1.8177016E7</v>
      </c>
      <c r="K2813" s="21">
        <v>0.0</v>
      </c>
    </row>
    <row r="2814">
      <c r="A2814" s="15" t="s">
        <v>74</v>
      </c>
      <c r="B2814" s="16" t="s">
        <v>75</v>
      </c>
      <c r="C2814" s="17" t="s">
        <v>76</v>
      </c>
      <c r="D2814" s="18">
        <v>4.0</v>
      </c>
      <c r="E2814" s="17" t="s">
        <v>22</v>
      </c>
      <c r="F2814" s="15" t="s">
        <v>146</v>
      </c>
      <c r="G2814" s="19">
        <v>9.0042124E7</v>
      </c>
      <c r="H2814" s="15" t="s">
        <v>57</v>
      </c>
      <c r="I2814" s="20" t="s">
        <v>25</v>
      </c>
      <c r="J2814" s="21">
        <v>4795402.0</v>
      </c>
      <c r="K2814" s="21">
        <v>0.0</v>
      </c>
    </row>
    <row r="2815">
      <c r="A2815" s="15" t="s">
        <v>74</v>
      </c>
      <c r="B2815" s="16" t="s">
        <v>75</v>
      </c>
      <c r="C2815" s="17" t="s">
        <v>76</v>
      </c>
      <c r="D2815" s="18">
        <v>4.0</v>
      </c>
      <c r="E2815" s="17" t="s">
        <v>22</v>
      </c>
      <c r="F2815" s="15" t="s">
        <v>146</v>
      </c>
      <c r="G2815" s="19">
        <v>9.0042125E7</v>
      </c>
      <c r="H2815" s="15" t="s">
        <v>26</v>
      </c>
      <c r="I2815" s="20" t="s">
        <v>25</v>
      </c>
      <c r="J2815" s="21">
        <v>8.0539927E7</v>
      </c>
      <c r="K2815" s="21">
        <v>0.0</v>
      </c>
    </row>
    <row r="2816">
      <c r="A2816" s="15" t="s">
        <v>74</v>
      </c>
      <c r="B2816" s="16" t="s">
        <v>75</v>
      </c>
      <c r="C2816" s="17" t="s">
        <v>76</v>
      </c>
      <c r="D2816" s="18">
        <v>4.0</v>
      </c>
      <c r="E2816" s="17" t="s">
        <v>22</v>
      </c>
      <c r="F2816" s="15" t="s">
        <v>146</v>
      </c>
      <c r="G2816" s="19">
        <v>9.0042127E7</v>
      </c>
      <c r="H2816" s="15" t="s">
        <v>27</v>
      </c>
      <c r="I2816" s="20" t="s">
        <v>25</v>
      </c>
      <c r="J2816" s="21">
        <v>5409586.0</v>
      </c>
      <c r="K2816" s="21">
        <v>0.0</v>
      </c>
    </row>
    <row r="2817">
      <c r="A2817" s="15" t="s">
        <v>74</v>
      </c>
      <c r="B2817" s="16" t="s">
        <v>75</v>
      </c>
      <c r="C2817" s="17" t="s">
        <v>76</v>
      </c>
      <c r="D2817" s="18">
        <v>4.0</v>
      </c>
      <c r="E2817" s="17" t="s">
        <v>22</v>
      </c>
      <c r="F2817" s="15" t="s">
        <v>146</v>
      </c>
      <c r="G2817" s="19">
        <v>9.0042128E7</v>
      </c>
      <c r="H2817" s="15" t="s">
        <v>58</v>
      </c>
      <c r="I2817" s="20" t="s">
        <v>25</v>
      </c>
      <c r="J2817" s="21">
        <v>2963032.0</v>
      </c>
      <c r="K2817" s="21">
        <v>0.0</v>
      </c>
    </row>
    <row r="2818">
      <c r="A2818" s="15" t="s">
        <v>74</v>
      </c>
      <c r="B2818" s="16" t="s">
        <v>75</v>
      </c>
      <c r="C2818" s="17" t="s">
        <v>76</v>
      </c>
      <c r="D2818" s="18">
        <v>4.0</v>
      </c>
      <c r="E2818" s="17" t="s">
        <v>22</v>
      </c>
      <c r="F2818" s="15" t="s">
        <v>146</v>
      </c>
      <c r="G2818" s="19">
        <v>9.0042132E7</v>
      </c>
      <c r="H2818" s="15" t="s">
        <v>28</v>
      </c>
      <c r="I2818" s="20" t="s">
        <v>25</v>
      </c>
      <c r="J2818" s="21">
        <v>9.12513243E8</v>
      </c>
      <c r="K2818" s="21">
        <v>0.0</v>
      </c>
    </row>
    <row r="2819">
      <c r="A2819" s="15" t="s">
        <v>74</v>
      </c>
      <c r="B2819" s="16" t="s">
        <v>75</v>
      </c>
      <c r="C2819" s="17" t="s">
        <v>76</v>
      </c>
      <c r="D2819" s="18">
        <v>4.0</v>
      </c>
      <c r="E2819" s="17" t="s">
        <v>22</v>
      </c>
      <c r="F2819" s="15" t="s">
        <v>146</v>
      </c>
      <c r="G2819" s="19">
        <v>9.0042135E7</v>
      </c>
      <c r="H2819" s="15" t="s">
        <v>30</v>
      </c>
      <c r="I2819" s="20" t="s">
        <v>25</v>
      </c>
      <c r="J2819" s="21">
        <v>2.09994235E8</v>
      </c>
      <c r="K2819" s="21">
        <v>0.0</v>
      </c>
    </row>
    <row r="2820">
      <c r="A2820" s="15" t="s">
        <v>74</v>
      </c>
      <c r="B2820" s="16" t="s">
        <v>75</v>
      </c>
      <c r="C2820" s="17" t="s">
        <v>76</v>
      </c>
      <c r="D2820" s="18">
        <v>4.0</v>
      </c>
      <c r="E2820" s="17" t="s">
        <v>22</v>
      </c>
      <c r="F2820" s="15" t="s">
        <v>146</v>
      </c>
      <c r="G2820" s="19">
        <v>9.00422E7</v>
      </c>
      <c r="H2820" s="15" t="s">
        <v>73</v>
      </c>
      <c r="I2820" s="20" t="s">
        <v>60</v>
      </c>
      <c r="J2820" s="21">
        <v>4.87597173E8</v>
      </c>
      <c r="K2820" s="21">
        <v>0.0</v>
      </c>
    </row>
    <row r="2821">
      <c r="A2821" s="15" t="s">
        <v>74</v>
      </c>
      <c r="B2821" s="16" t="s">
        <v>75</v>
      </c>
      <c r="C2821" s="17" t="s">
        <v>76</v>
      </c>
      <c r="D2821" s="18">
        <v>4.0</v>
      </c>
      <c r="E2821" s="17" t="s">
        <v>22</v>
      </c>
      <c r="F2821" s="15" t="s">
        <v>146</v>
      </c>
      <c r="G2821" s="19">
        <v>9.0042223E7</v>
      </c>
      <c r="H2821" s="15" t="s">
        <v>61</v>
      </c>
      <c r="I2821" s="20" t="s">
        <v>60</v>
      </c>
      <c r="J2821" s="21">
        <v>4817569.0</v>
      </c>
      <c r="K2821" s="21">
        <v>0.0</v>
      </c>
    </row>
    <row r="2822">
      <c r="A2822" s="15" t="s">
        <v>74</v>
      </c>
      <c r="B2822" s="16" t="s">
        <v>75</v>
      </c>
      <c r="C2822" s="17" t="s">
        <v>76</v>
      </c>
      <c r="D2822" s="18">
        <v>4.0</v>
      </c>
      <c r="E2822" s="17" t="s">
        <v>22</v>
      </c>
      <c r="F2822" s="15" t="s">
        <v>146</v>
      </c>
      <c r="G2822" s="19">
        <v>9.0042224E7</v>
      </c>
      <c r="H2822" s="15" t="s">
        <v>62</v>
      </c>
      <c r="I2822" s="20" t="s">
        <v>60</v>
      </c>
      <c r="J2822" s="21">
        <v>8789289.0</v>
      </c>
      <c r="K2822" s="21">
        <v>0.0</v>
      </c>
    </row>
    <row r="2823">
      <c r="A2823" s="15" t="s">
        <v>74</v>
      </c>
      <c r="B2823" s="16" t="s">
        <v>75</v>
      </c>
      <c r="C2823" s="17" t="s">
        <v>76</v>
      </c>
      <c r="D2823" s="18">
        <v>4.0</v>
      </c>
      <c r="E2823" s="17" t="s">
        <v>22</v>
      </c>
      <c r="F2823" s="15" t="s">
        <v>146</v>
      </c>
      <c r="G2823" s="19">
        <v>9.0042225E7</v>
      </c>
      <c r="H2823" s="15" t="s">
        <v>147</v>
      </c>
      <c r="I2823" s="20" t="s">
        <v>60</v>
      </c>
      <c r="J2823" s="21">
        <v>4523282.0</v>
      </c>
      <c r="K2823" s="21">
        <v>0.0</v>
      </c>
    </row>
    <row r="2824">
      <c r="A2824" s="15" t="s">
        <v>74</v>
      </c>
      <c r="B2824" s="16" t="s">
        <v>75</v>
      </c>
      <c r="C2824" s="17" t="s">
        <v>76</v>
      </c>
      <c r="D2824" s="18">
        <v>4.0</v>
      </c>
      <c r="E2824" s="17" t="s">
        <v>22</v>
      </c>
      <c r="F2824" s="15" t="s">
        <v>146</v>
      </c>
      <c r="G2824" s="19">
        <v>9.0042226E7</v>
      </c>
      <c r="H2824" s="15" t="s">
        <v>63</v>
      </c>
      <c r="I2824" s="20" t="s">
        <v>60</v>
      </c>
      <c r="J2824" s="21">
        <v>4500280.0</v>
      </c>
      <c r="K2824" s="21">
        <v>0.0</v>
      </c>
    </row>
    <row r="2825">
      <c r="A2825" s="15" t="s">
        <v>74</v>
      </c>
      <c r="B2825" s="16" t="s">
        <v>75</v>
      </c>
      <c r="C2825" s="17" t="s">
        <v>76</v>
      </c>
      <c r="D2825" s="18">
        <v>4.0</v>
      </c>
      <c r="E2825" s="17" t="s">
        <v>22</v>
      </c>
      <c r="F2825" s="15" t="s">
        <v>146</v>
      </c>
      <c r="G2825" s="19">
        <v>9.0042228E7</v>
      </c>
      <c r="H2825" s="15" t="s">
        <v>64</v>
      </c>
      <c r="I2825" s="20" t="s">
        <v>60</v>
      </c>
      <c r="J2825" s="21">
        <v>6.1906249E7</v>
      </c>
      <c r="K2825" s="21">
        <v>0.0</v>
      </c>
    </row>
    <row r="2826">
      <c r="A2826" s="15" t="s">
        <v>74</v>
      </c>
      <c r="B2826" s="16" t="s">
        <v>75</v>
      </c>
      <c r="C2826" s="17" t="s">
        <v>76</v>
      </c>
      <c r="D2826" s="18">
        <v>4.0</v>
      </c>
      <c r="E2826" s="17" t="s">
        <v>22</v>
      </c>
      <c r="F2826" s="15" t="s">
        <v>146</v>
      </c>
      <c r="G2826" s="19">
        <v>9.0042231E7</v>
      </c>
      <c r="H2826" s="15" t="s">
        <v>65</v>
      </c>
      <c r="I2826" s="20" t="s">
        <v>60</v>
      </c>
      <c r="J2826" s="21">
        <v>5347829.0</v>
      </c>
      <c r="K2826" s="21">
        <v>0.0</v>
      </c>
    </row>
    <row r="2827">
      <c r="A2827" s="15" t="s">
        <v>74</v>
      </c>
      <c r="B2827" s="16" t="s">
        <v>75</v>
      </c>
      <c r="C2827" s="17" t="s">
        <v>76</v>
      </c>
      <c r="D2827" s="18">
        <v>4.0</v>
      </c>
      <c r="E2827" s="17" t="s">
        <v>22</v>
      </c>
      <c r="F2827" s="15" t="s">
        <v>146</v>
      </c>
      <c r="G2827" s="19">
        <v>9.0042126E7</v>
      </c>
      <c r="H2827" s="15" t="s">
        <v>31</v>
      </c>
      <c r="I2827" s="20" t="s">
        <v>25</v>
      </c>
      <c r="J2827" s="21">
        <v>4.189524E7</v>
      </c>
      <c r="K2827" s="21">
        <v>0.0</v>
      </c>
    </row>
    <row r="2828">
      <c r="A2828" s="15" t="s">
        <v>74</v>
      </c>
      <c r="B2828" s="16" t="s">
        <v>75</v>
      </c>
      <c r="C2828" s="17" t="s">
        <v>76</v>
      </c>
      <c r="D2828" s="18">
        <v>4.0</v>
      </c>
      <c r="E2828" s="17" t="s">
        <v>22</v>
      </c>
      <c r="F2828" s="15" t="s">
        <v>146</v>
      </c>
      <c r="G2828" s="19">
        <v>9.004212E7</v>
      </c>
      <c r="H2828" s="15" t="s">
        <v>182</v>
      </c>
      <c r="I2828" s="20" t="s">
        <v>25</v>
      </c>
      <c r="J2828" s="21">
        <v>1.09734E8</v>
      </c>
      <c r="K2828" s="21">
        <v>0.0</v>
      </c>
    </row>
    <row r="2829">
      <c r="A2829" s="15" t="s">
        <v>74</v>
      </c>
      <c r="B2829" s="16" t="s">
        <v>75</v>
      </c>
      <c r="C2829" s="17" t="s">
        <v>76</v>
      </c>
      <c r="D2829" s="18">
        <v>4.0</v>
      </c>
      <c r="E2829" s="17" t="s">
        <v>257</v>
      </c>
      <c r="F2829" s="15" t="s">
        <v>258</v>
      </c>
      <c r="G2829" s="19">
        <v>5.1100774E7</v>
      </c>
      <c r="H2829" s="15" t="s">
        <v>39</v>
      </c>
      <c r="I2829" s="20" t="s">
        <v>17</v>
      </c>
      <c r="J2829" s="21">
        <v>9520000.0</v>
      </c>
      <c r="K2829" s="21">
        <v>1.12</v>
      </c>
    </row>
    <row r="2830">
      <c r="A2830" s="15" t="s">
        <v>74</v>
      </c>
      <c r="B2830" s="16" t="s">
        <v>148</v>
      </c>
      <c r="C2830" s="17" t="s">
        <v>149</v>
      </c>
      <c r="D2830" s="18">
        <v>4.0</v>
      </c>
      <c r="E2830" s="24">
        <v>46038.0</v>
      </c>
      <c r="F2830" s="15" t="s">
        <v>150</v>
      </c>
      <c r="G2830" s="19">
        <v>9.0043001E7</v>
      </c>
      <c r="H2830" s="15" t="s">
        <v>18</v>
      </c>
      <c r="I2830" s="20" t="s">
        <v>19</v>
      </c>
      <c r="J2830" s="21">
        <v>1.322937E7</v>
      </c>
      <c r="K2830" s="21">
        <v>99.0</v>
      </c>
    </row>
    <row r="2831">
      <c r="A2831" s="15" t="s">
        <v>74</v>
      </c>
      <c r="B2831" s="16" t="s">
        <v>148</v>
      </c>
      <c r="C2831" s="17" t="s">
        <v>149</v>
      </c>
      <c r="D2831" s="18">
        <v>4.0</v>
      </c>
      <c r="E2831" s="17" t="s">
        <v>77</v>
      </c>
      <c r="F2831" s="15" t="s">
        <v>78</v>
      </c>
      <c r="G2831" s="19">
        <v>9.0043001E7</v>
      </c>
      <c r="H2831" s="15" t="s">
        <v>18</v>
      </c>
      <c r="I2831" s="20" t="s">
        <v>19</v>
      </c>
      <c r="J2831" s="21">
        <v>1.5839985E7</v>
      </c>
      <c r="K2831" s="21">
        <v>105.0</v>
      </c>
    </row>
    <row r="2832">
      <c r="A2832" s="15" t="s">
        <v>74</v>
      </c>
      <c r="B2832" s="16" t="s">
        <v>148</v>
      </c>
      <c r="C2832" s="17" t="s">
        <v>149</v>
      </c>
      <c r="D2832" s="18">
        <v>4.0</v>
      </c>
      <c r="E2832" s="17" t="s">
        <v>222</v>
      </c>
      <c r="F2832" s="15" t="s">
        <v>223</v>
      </c>
      <c r="G2832" s="19">
        <v>5.1100153E7</v>
      </c>
      <c r="H2832" s="15" t="s">
        <v>72</v>
      </c>
      <c r="I2832" s="20" t="s">
        <v>17</v>
      </c>
      <c r="J2832" s="21">
        <v>5104197.0</v>
      </c>
      <c r="K2832" s="21">
        <v>24840.0</v>
      </c>
    </row>
    <row r="2833">
      <c r="A2833" s="15" t="s">
        <v>74</v>
      </c>
      <c r="B2833" s="16" t="s">
        <v>148</v>
      </c>
      <c r="C2833" s="17" t="s">
        <v>149</v>
      </c>
      <c r="D2833" s="18">
        <v>4.0</v>
      </c>
      <c r="E2833" s="17" t="s">
        <v>84</v>
      </c>
      <c r="F2833" s="15" t="s">
        <v>85</v>
      </c>
      <c r="G2833" s="19">
        <v>9.0043001E7</v>
      </c>
      <c r="H2833" s="15" t="s">
        <v>18</v>
      </c>
      <c r="I2833" s="20" t="s">
        <v>19</v>
      </c>
      <c r="J2833" s="21">
        <v>6.9415661E7</v>
      </c>
      <c r="K2833" s="21">
        <v>502.0</v>
      </c>
    </row>
    <row r="2834">
      <c r="A2834" s="15" t="s">
        <v>74</v>
      </c>
      <c r="B2834" s="16" t="s">
        <v>148</v>
      </c>
      <c r="C2834" s="17" t="s">
        <v>149</v>
      </c>
      <c r="D2834" s="18">
        <v>4.0</v>
      </c>
      <c r="E2834" s="17" t="s">
        <v>86</v>
      </c>
      <c r="F2834" s="15" t="s">
        <v>87</v>
      </c>
      <c r="G2834" s="19">
        <v>9.0043001E7</v>
      </c>
      <c r="H2834" s="15" t="s">
        <v>18</v>
      </c>
      <c r="I2834" s="20" t="s">
        <v>19</v>
      </c>
      <c r="J2834" s="21">
        <v>6.9283195E7</v>
      </c>
      <c r="K2834" s="21">
        <v>496.0</v>
      </c>
    </row>
    <row r="2835">
      <c r="A2835" s="15" t="s">
        <v>74</v>
      </c>
      <c r="B2835" s="16" t="s">
        <v>148</v>
      </c>
      <c r="C2835" s="17" t="s">
        <v>149</v>
      </c>
      <c r="D2835" s="18">
        <v>4.0</v>
      </c>
      <c r="E2835" s="17" t="s">
        <v>86</v>
      </c>
      <c r="F2835" s="15" t="s">
        <v>87</v>
      </c>
      <c r="G2835" s="19">
        <v>9.0043E7</v>
      </c>
      <c r="H2835" s="15" t="s">
        <v>83</v>
      </c>
      <c r="I2835" s="20" t="s">
        <v>19</v>
      </c>
      <c r="J2835" s="21">
        <v>3454300.0</v>
      </c>
      <c r="K2835" s="21">
        <v>25.0</v>
      </c>
    </row>
    <row r="2836">
      <c r="A2836" s="15" t="s">
        <v>74</v>
      </c>
      <c r="B2836" s="16" t="s">
        <v>148</v>
      </c>
      <c r="C2836" s="17" t="s">
        <v>149</v>
      </c>
      <c r="D2836" s="18">
        <v>4.0</v>
      </c>
      <c r="E2836" s="17" t="s">
        <v>152</v>
      </c>
      <c r="F2836" s="15" t="s">
        <v>153</v>
      </c>
      <c r="G2836" s="19">
        <v>9.0043003E7</v>
      </c>
      <c r="H2836" s="15" t="s">
        <v>90</v>
      </c>
      <c r="I2836" s="20" t="s">
        <v>50</v>
      </c>
      <c r="J2836" s="21">
        <v>2643489.0</v>
      </c>
      <c r="K2836" s="21">
        <v>5.7</v>
      </c>
    </row>
    <row r="2837">
      <c r="A2837" s="15" t="s">
        <v>74</v>
      </c>
      <c r="B2837" s="16" t="s">
        <v>148</v>
      </c>
      <c r="C2837" s="17" t="s">
        <v>149</v>
      </c>
      <c r="D2837" s="18">
        <v>4.0</v>
      </c>
      <c r="E2837" s="17" t="s">
        <v>154</v>
      </c>
      <c r="F2837" s="15" t="s">
        <v>155</v>
      </c>
      <c r="G2837" s="19">
        <v>5.1100651E7</v>
      </c>
      <c r="H2837" s="15" t="s">
        <v>38</v>
      </c>
      <c r="I2837" s="20" t="s">
        <v>25</v>
      </c>
      <c r="J2837" s="21">
        <v>3.4796302E7</v>
      </c>
      <c r="K2837" s="21">
        <v>0.0</v>
      </c>
    </row>
    <row r="2838">
      <c r="A2838" s="15" t="s">
        <v>74</v>
      </c>
      <c r="B2838" s="16" t="s">
        <v>148</v>
      </c>
      <c r="C2838" s="17" t="s">
        <v>149</v>
      </c>
      <c r="D2838" s="18">
        <v>4.0</v>
      </c>
      <c r="E2838" s="17" t="s">
        <v>154</v>
      </c>
      <c r="F2838" s="15" t="s">
        <v>155</v>
      </c>
      <c r="G2838" s="19">
        <v>5.1101999E7</v>
      </c>
      <c r="H2838" s="15" t="s">
        <v>107</v>
      </c>
      <c r="I2838" s="20" t="s">
        <v>25</v>
      </c>
      <c r="J2838" s="21">
        <v>1.5064807E7</v>
      </c>
      <c r="K2838" s="21">
        <v>0.0</v>
      </c>
    </row>
    <row r="2839">
      <c r="A2839" s="15" t="s">
        <v>74</v>
      </c>
      <c r="B2839" s="16" t="s">
        <v>148</v>
      </c>
      <c r="C2839" s="17" t="s">
        <v>149</v>
      </c>
      <c r="D2839" s="18">
        <v>4.0</v>
      </c>
      <c r="E2839" s="17" t="s">
        <v>154</v>
      </c>
      <c r="F2839" s="15" t="s">
        <v>155</v>
      </c>
      <c r="G2839" s="19">
        <v>9.0043002E7</v>
      </c>
      <c r="H2839" s="15" t="s">
        <v>49</v>
      </c>
      <c r="I2839" s="20" t="s">
        <v>50</v>
      </c>
      <c r="J2839" s="21">
        <v>1.1947521E7</v>
      </c>
      <c r="K2839" s="21">
        <v>1260.0</v>
      </c>
    </row>
    <row r="2840">
      <c r="A2840" s="15" t="s">
        <v>74</v>
      </c>
      <c r="B2840" s="16" t="s">
        <v>148</v>
      </c>
      <c r="C2840" s="17" t="s">
        <v>149</v>
      </c>
      <c r="D2840" s="18">
        <v>4.0</v>
      </c>
      <c r="E2840" s="17" t="s">
        <v>91</v>
      </c>
      <c r="F2840" s="15" t="s">
        <v>92</v>
      </c>
      <c r="G2840" s="19">
        <v>9.0043001E7</v>
      </c>
      <c r="H2840" s="15" t="s">
        <v>18</v>
      </c>
      <c r="I2840" s="20" t="s">
        <v>19</v>
      </c>
      <c r="J2840" s="21">
        <v>1.1407608E7</v>
      </c>
      <c r="K2840" s="21">
        <v>86.0</v>
      </c>
    </row>
    <row r="2841">
      <c r="A2841" s="15" t="s">
        <v>74</v>
      </c>
      <c r="B2841" s="16" t="s">
        <v>148</v>
      </c>
      <c r="C2841" s="17" t="s">
        <v>149</v>
      </c>
      <c r="D2841" s="18">
        <v>4.0</v>
      </c>
      <c r="E2841" s="17" t="s">
        <v>235</v>
      </c>
      <c r="F2841" s="15" t="s">
        <v>236</v>
      </c>
      <c r="G2841" s="19">
        <v>9.0043001E7</v>
      </c>
      <c r="H2841" s="15" t="s">
        <v>18</v>
      </c>
      <c r="I2841" s="20" t="s">
        <v>19</v>
      </c>
      <c r="J2841" s="21">
        <v>2225052.0</v>
      </c>
      <c r="K2841" s="21">
        <v>12.0</v>
      </c>
    </row>
    <row r="2842">
      <c r="A2842" s="15" t="s">
        <v>74</v>
      </c>
      <c r="B2842" s="16" t="s">
        <v>148</v>
      </c>
      <c r="C2842" s="17" t="s">
        <v>149</v>
      </c>
      <c r="D2842" s="18">
        <v>4.0</v>
      </c>
      <c r="E2842" s="17" t="s">
        <v>235</v>
      </c>
      <c r="F2842" s="15" t="s">
        <v>236</v>
      </c>
      <c r="G2842" s="19">
        <v>9.0043002E7</v>
      </c>
      <c r="H2842" s="15" t="s">
        <v>49</v>
      </c>
      <c r="I2842" s="20" t="s">
        <v>50</v>
      </c>
      <c r="J2842" s="21">
        <v>265500.0</v>
      </c>
      <c r="K2842" s="21">
        <v>28.0</v>
      </c>
    </row>
    <row r="2843">
      <c r="A2843" s="15" t="s">
        <v>74</v>
      </c>
      <c r="B2843" s="16" t="s">
        <v>148</v>
      </c>
      <c r="C2843" s="17" t="s">
        <v>149</v>
      </c>
      <c r="D2843" s="18">
        <v>4.0</v>
      </c>
      <c r="E2843" s="17" t="s">
        <v>156</v>
      </c>
      <c r="F2843" s="15" t="s">
        <v>157</v>
      </c>
      <c r="G2843" s="19">
        <v>9.0043001E7</v>
      </c>
      <c r="H2843" s="15" t="s">
        <v>18</v>
      </c>
      <c r="I2843" s="20" t="s">
        <v>19</v>
      </c>
      <c r="J2843" s="21">
        <v>1914668.0</v>
      </c>
      <c r="K2843" s="21">
        <v>14.0</v>
      </c>
    </row>
    <row r="2844">
      <c r="A2844" s="15" t="s">
        <v>74</v>
      </c>
      <c r="B2844" s="16" t="s">
        <v>148</v>
      </c>
      <c r="C2844" s="17" t="s">
        <v>149</v>
      </c>
      <c r="D2844" s="18">
        <v>4.0</v>
      </c>
      <c r="E2844" s="17" t="s">
        <v>95</v>
      </c>
      <c r="F2844" s="15" t="s">
        <v>96</v>
      </c>
      <c r="G2844" s="19">
        <v>5.1100058E7</v>
      </c>
      <c r="H2844" s="15" t="s">
        <v>36</v>
      </c>
      <c r="I2844" s="20" t="s">
        <v>37</v>
      </c>
      <c r="J2844" s="21">
        <v>1.0304602E7</v>
      </c>
      <c r="K2844" s="21">
        <v>129.11</v>
      </c>
    </row>
    <row r="2845">
      <c r="A2845" s="15" t="s">
        <v>74</v>
      </c>
      <c r="B2845" s="16" t="s">
        <v>148</v>
      </c>
      <c r="C2845" s="17" t="s">
        <v>149</v>
      </c>
      <c r="D2845" s="18">
        <v>4.0</v>
      </c>
      <c r="E2845" s="17" t="s">
        <v>101</v>
      </c>
      <c r="F2845" s="15" t="s">
        <v>102</v>
      </c>
      <c r="G2845" s="19">
        <v>9.0043001E7</v>
      </c>
      <c r="H2845" s="15" t="s">
        <v>18</v>
      </c>
      <c r="I2845" s="20" t="s">
        <v>19</v>
      </c>
      <c r="J2845" s="21">
        <v>1.15696436E8</v>
      </c>
      <c r="K2845" s="21">
        <v>848.0</v>
      </c>
    </row>
    <row r="2846">
      <c r="A2846" s="15" t="s">
        <v>74</v>
      </c>
      <c r="B2846" s="16" t="s">
        <v>148</v>
      </c>
      <c r="C2846" s="17" t="s">
        <v>149</v>
      </c>
      <c r="D2846" s="18">
        <v>4.0</v>
      </c>
      <c r="E2846" s="17" t="s">
        <v>103</v>
      </c>
      <c r="F2846" s="15" t="s">
        <v>104</v>
      </c>
      <c r="G2846" s="19">
        <v>5.1100058E7</v>
      </c>
      <c r="H2846" s="15" t="s">
        <v>36</v>
      </c>
      <c r="I2846" s="20" t="s">
        <v>37</v>
      </c>
      <c r="J2846" s="21">
        <v>1.590769E7</v>
      </c>
      <c r="K2846" s="21">
        <v>188.245</v>
      </c>
    </row>
    <row r="2847">
      <c r="A2847" s="15" t="s">
        <v>74</v>
      </c>
      <c r="B2847" s="16" t="s">
        <v>148</v>
      </c>
      <c r="C2847" s="17" t="s">
        <v>149</v>
      </c>
      <c r="D2847" s="18">
        <v>4.0</v>
      </c>
      <c r="E2847" s="17" t="s">
        <v>103</v>
      </c>
      <c r="F2847" s="15" t="s">
        <v>104</v>
      </c>
      <c r="G2847" s="19">
        <v>9.0043001E7</v>
      </c>
      <c r="H2847" s="15" t="s">
        <v>18</v>
      </c>
      <c r="I2847" s="20" t="s">
        <v>19</v>
      </c>
      <c r="J2847" s="21">
        <v>7.3378348E7</v>
      </c>
      <c r="K2847" s="21">
        <v>536.0</v>
      </c>
    </row>
    <row r="2848">
      <c r="A2848" s="15" t="s">
        <v>74</v>
      </c>
      <c r="B2848" s="16" t="s">
        <v>148</v>
      </c>
      <c r="C2848" s="17" t="s">
        <v>149</v>
      </c>
      <c r="D2848" s="18">
        <v>4.0</v>
      </c>
      <c r="E2848" s="17" t="s">
        <v>103</v>
      </c>
      <c r="F2848" s="15" t="s">
        <v>104</v>
      </c>
      <c r="G2848" s="19">
        <v>5.1100774E7</v>
      </c>
      <c r="H2848" s="15" t="s">
        <v>39</v>
      </c>
      <c r="I2848" s="20" t="s">
        <v>17</v>
      </c>
      <c r="J2848" s="21">
        <v>5197360.0</v>
      </c>
      <c r="K2848" s="21">
        <v>70.0</v>
      </c>
    </row>
    <row r="2849">
      <c r="A2849" s="15" t="s">
        <v>74</v>
      </c>
      <c r="B2849" s="16" t="s">
        <v>148</v>
      </c>
      <c r="C2849" s="17" t="s">
        <v>149</v>
      </c>
      <c r="D2849" s="18">
        <v>4.0</v>
      </c>
      <c r="E2849" s="17" t="s">
        <v>158</v>
      </c>
      <c r="F2849" s="15" t="s">
        <v>159</v>
      </c>
      <c r="G2849" s="19">
        <v>9.0043E7</v>
      </c>
      <c r="H2849" s="15" t="s">
        <v>83</v>
      </c>
      <c r="I2849" s="20" t="s">
        <v>19</v>
      </c>
      <c r="J2849" s="21">
        <v>3601600.0</v>
      </c>
      <c r="K2849" s="21">
        <v>25.0</v>
      </c>
    </row>
    <row r="2850">
      <c r="A2850" s="15" t="s">
        <v>74</v>
      </c>
      <c r="B2850" s="16" t="s">
        <v>148</v>
      </c>
      <c r="C2850" s="17" t="s">
        <v>149</v>
      </c>
      <c r="D2850" s="18">
        <v>4.0</v>
      </c>
      <c r="E2850" s="17" t="s">
        <v>207</v>
      </c>
      <c r="F2850" s="15" t="s">
        <v>208</v>
      </c>
      <c r="G2850" s="19">
        <v>9.0043001E7</v>
      </c>
      <c r="H2850" s="15" t="s">
        <v>18</v>
      </c>
      <c r="I2850" s="20" t="s">
        <v>19</v>
      </c>
      <c r="J2850" s="21">
        <v>4019400.0</v>
      </c>
      <c r="K2850" s="21">
        <v>30.0</v>
      </c>
    </row>
    <row r="2851">
      <c r="A2851" s="15" t="s">
        <v>74</v>
      </c>
      <c r="B2851" s="16" t="s">
        <v>148</v>
      </c>
      <c r="C2851" s="17" t="s">
        <v>149</v>
      </c>
      <c r="D2851" s="18">
        <v>4.0</v>
      </c>
      <c r="E2851" s="17" t="s">
        <v>209</v>
      </c>
      <c r="F2851" s="15" t="s">
        <v>210</v>
      </c>
      <c r="G2851" s="19">
        <v>5.1100774E7</v>
      </c>
      <c r="H2851" s="15" t="s">
        <v>39</v>
      </c>
      <c r="I2851" s="20" t="s">
        <v>17</v>
      </c>
      <c r="J2851" s="21">
        <v>8030739.0</v>
      </c>
      <c r="K2851" s="21">
        <v>87.41</v>
      </c>
    </row>
    <row r="2852">
      <c r="A2852" s="15" t="s">
        <v>74</v>
      </c>
      <c r="B2852" s="16" t="s">
        <v>148</v>
      </c>
      <c r="C2852" s="17" t="s">
        <v>149</v>
      </c>
      <c r="D2852" s="18">
        <v>4.0</v>
      </c>
      <c r="E2852" s="17" t="s">
        <v>175</v>
      </c>
      <c r="F2852" s="15" t="s">
        <v>176</v>
      </c>
      <c r="G2852" s="19">
        <v>9.0043002E7</v>
      </c>
      <c r="H2852" s="15" t="s">
        <v>49</v>
      </c>
      <c r="I2852" s="20" t="s">
        <v>50</v>
      </c>
      <c r="J2852" s="21">
        <v>1137859.0</v>
      </c>
      <c r="K2852" s="21">
        <v>120.0</v>
      </c>
    </row>
    <row r="2853">
      <c r="A2853" s="15" t="s">
        <v>74</v>
      </c>
      <c r="B2853" s="16" t="s">
        <v>148</v>
      </c>
      <c r="C2853" s="17" t="s">
        <v>149</v>
      </c>
      <c r="D2853" s="18">
        <v>4.0</v>
      </c>
      <c r="E2853" s="17" t="s">
        <v>175</v>
      </c>
      <c r="F2853" s="15" t="s">
        <v>176</v>
      </c>
      <c r="G2853" s="19">
        <v>5.1100774E7</v>
      </c>
      <c r="H2853" s="15" t="s">
        <v>39</v>
      </c>
      <c r="I2853" s="20" t="s">
        <v>17</v>
      </c>
      <c r="J2853" s="21">
        <v>8680500.0</v>
      </c>
      <c r="K2853" s="21">
        <v>96450.0</v>
      </c>
    </row>
    <row r="2854">
      <c r="A2854" s="15" t="s">
        <v>74</v>
      </c>
      <c r="B2854" s="16" t="s">
        <v>148</v>
      </c>
      <c r="C2854" s="17" t="s">
        <v>149</v>
      </c>
      <c r="D2854" s="18">
        <v>4.0</v>
      </c>
      <c r="E2854" s="17" t="s">
        <v>117</v>
      </c>
      <c r="F2854" s="15" t="s">
        <v>118</v>
      </c>
      <c r="G2854" s="19">
        <v>5.1100058E7</v>
      </c>
      <c r="H2854" s="15" t="s">
        <v>36</v>
      </c>
      <c r="I2854" s="20" t="s">
        <v>37</v>
      </c>
      <c r="J2854" s="21">
        <v>9.83411932E8</v>
      </c>
      <c r="K2854" s="21">
        <v>140510.0</v>
      </c>
    </row>
    <row r="2855">
      <c r="A2855" s="15" t="s">
        <v>74</v>
      </c>
      <c r="B2855" s="16" t="s">
        <v>148</v>
      </c>
      <c r="C2855" s="17" t="s">
        <v>149</v>
      </c>
      <c r="D2855" s="18">
        <v>4.0</v>
      </c>
      <c r="E2855" s="17" t="s">
        <v>117</v>
      </c>
      <c r="F2855" s="15" t="s">
        <v>118</v>
      </c>
      <c r="G2855" s="19">
        <v>9.0043001E7</v>
      </c>
      <c r="H2855" s="15" t="s">
        <v>18</v>
      </c>
      <c r="I2855" s="20" t="s">
        <v>19</v>
      </c>
      <c r="J2855" s="21">
        <v>3.4019812E7</v>
      </c>
      <c r="K2855" s="21">
        <v>256.0</v>
      </c>
    </row>
    <row r="2856">
      <c r="A2856" s="15" t="s">
        <v>74</v>
      </c>
      <c r="B2856" s="16" t="s">
        <v>148</v>
      </c>
      <c r="C2856" s="17" t="s">
        <v>149</v>
      </c>
      <c r="D2856" s="18">
        <v>4.0</v>
      </c>
      <c r="E2856" s="17" t="s">
        <v>263</v>
      </c>
      <c r="F2856" s="15" t="s">
        <v>264</v>
      </c>
      <c r="G2856" s="19">
        <v>9.0043001E7</v>
      </c>
      <c r="H2856" s="15" t="s">
        <v>18</v>
      </c>
      <c r="I2856" s="20" t="s">
        <v>19</v>
      </c>
      <c r="J2856" s="21">
        <v>820572.0</v>
      </c>
      <c r="K2856" s="21">
        <v>6.0</v>
      </c>
    </row>
    <row r="2857">
      <c r="A2857" s="15" t="s">
        <v>74</v>
      </c>
      <c r="B2857" s="16" t="s">
        <v>148</v>
      </c>
      <c r="C2857" s="17" t="s">
        <v>149</v>
      </c>
      <c r="D2857" s="18">
        <v>4.0</v>
      </c>
      <c r="E2857" s="17" t="s">
        <v>263</v>
      </c>
      <c r="F2857" s="15" t="s">
        <v>264</v>
      </c>
      <c r="G2857" s="19">
        <v>5.1100774E7</v>
      </c>
      <c r="H2857" s="15" t="s">
        <v>39</v>
      </c>
      <c r="I2857" s="20" t="s">
        <v>17</v>
      </c>
      <c r="J2857" s="21">
        <v>398790.0</v>
      </c>
      <c r="K2857" s="21">
        <v>4431.0</v>
      </c>
    </row>
    <row r="2858">
      <c r="A2858" s="15" t="s">
        <v>74</v>
      </c>
      <c r="B2858" s="16" t="s">
        <v>148</v>
      </c>
      <c r="C2858" s="17" t="s">
        <v>149</v>
      </c>
      <c r="D2858" s="18">
        <v>4.0</v>
      </c>
      <c r="E2858" s="17" t="s">
        <v>123</v>
      </c>
      <c r="F2858" s="15" t="s">
        <v>124</v>
      </c>
      <c r="G2858" s="19">
        <v>9.0043001E7</v>
      </c>
      <c r="H2858" s="15" t="s">
        <v>18</v>
      </c>
      <c r="I2858" s="20" t="s">
        <v>19</v>
      </c>
      <c r="J2858" s="21">
        <v>1.3597908E7</v>
      </c>
      <c r="K2858" s="21">
        <v>98.0</v>
      </c>
    </row>
    <row r="2859">
      <c r="A2859" s="15" t="s">
        <v>74</v>
      </c>
      <c r="B2859" s="16" t="s">
        <v>148</v>
      </c>
      <c r="C2859" s="17" t="s">
        <v>149</v>
      </c>
      <c r="D2859" s="18">
        <v>4.0</v>
      </c>
      <c r="E2859" s="17" t="s">
        <v>125</v>
      </c>
      <c r="F2859" s="15" t="s">
        <v>126</v>
      </c>
      <c r="G2859" s="19">
        <v>9.0043001E7</v>
      </c>
      <c r="H2859" s="15" t="s">
        <v>18</v>
      </c>
      <c r="I2859" s="20" t="s">
        <v>19</v>
      </c>
      <c r="J2859" s="21">
        <v>3.11355516E8</v>
      </c>
      <c r="K2859" s="21">
        <v>2297.0</v>
      </c>
    </row>
    <row r="2860">
      <c r="A2860" s="15" t="s">
        <v>74</v>
      </c>
      <c r="B2860" s="16" t="s">
        <v>148</v>
      </c>
      <c r="C2860" s="17" t="s">
        <v>149</v>
      </c>
      <c r="D2860" s="18">
        <v>4.0</v>
      </c>
      <c r="E2860" s="17" t="s">
        <v>127</v>
      </c>
      <c r="F2860" s="15" t="s">
        <v>128</v>
      </c>
      <c r="G2860" s="19">
        <v>5.1100153E7</v>
      </c>
      <c r="H2860" s="15" t="s">
        <v>72</v>
      </c>
      <c r="I2860" s="20" t="s">
        <v>17</v>
      </c>
      <c r="J2860" s="21">
        <v>3.06301646E8</v>
      </c>
      <c r="K2860" s="21">
        <v>1680850.0</v>
      </c>
    </row>
    <row r="2861">
      <c r="A2861" s="15" t="s">
        <v>74</v>
      </c>
      <c r="B2861" s="16" t="s">
        <v>148</v>
      </c>
      <c r="C2861" s="17" t="s">
        <v>149</v>
      </c>
      <c r="D2861" s="18">
        <v>4.0</v>
      </c>
      <c r="E2861" s="17" t="s">
        <v>127</v>
      </c>
      <c r="F2861" s="15" t="s">
        <v>128</v>
      </c>
      <c r="G2861" s="19">
        <v>9.0043002E7</v>
      </c>
      <c r="H2861" s="15" t="s">
        <v>49</v>
      </c>
      <c r="I2861" s="20" t="s">
        <v>50</v>
      </c>
      <c r="J2861" s="21">
        <v>2.1695183E7</v>
      </c>
      <c r="K2861" s="21">
        <v>2288.0</v>
      </c>
    </row>
    <row r="2862">
      <c r="A2862" s="15" t="s">
        <v>74</v>
      </c>
      <c r="B2862" s="16" t="s">
        <v>148</v>
      </c>
      <c r="C2862" s="17" t="s">
        <v>149</v>
      </c>
      <c r="D2862" s="18">
        <v>4.0</v>
      </c>
      <c r="E2862" s="17" t="s">
        <v>129</v>
      </c>
      <c r="F2862" s="15" t="s">
        <v>130</v>
      </c>
      <c r="G2862" s="19">
        <v>5.1101056E7</v>
      </c>
      <c r="H2862" s="15" t="s">
        <v>16</v>
      </c>
      <c r="I2862" s="20" t="s">
        <v>17</v>
      </c>
      <c r="J2862" s="21">
        <v>6.414758E7</v>
      </c>
      <c r="K2862" s="21">
        <v>916394.0</v>
      </c>
    </row>
    <row r="2863">
      <c r="A2863" s="15" t="s">
        <v>74</v>
      </c>
      <c r="B2863" s="16" t="s">
        <v>148</v>
      </c>
      <c r="C2863" s="17" t="s">
        <v>149</v>
      </c>
      <c r="D2863" s="18">
        <v>4.0</v>
      </c>
      <c r="E2863" s="17" t="s">
        <v>129</v>
      </c>
      <c r="F2863" s="15" t="s">
        <v>130</v>
      </c>
      <c r="G2863" s="19">
        <v>9.0043001E7</v>
      </c>
      <c r="H2863" s="15" t="s">
        <v>18</v>
      </c>
      <c r="I2863" s="20" t="s">
        <v>19</v>
      </c>
      <c r="J2863" s="21">
        <v>1.0939029E7</v>
      </c>
      <c r="K2863" s="21">
        <v>70.0</v>
      </c>
    </row>
    <row r="2864">
      <c r="A2864" s="15" t="s">
        <v>74</v>
      </c>
      <c r="B2864" s="16" t="s">
        <v>148</v>
      </c>
      <c r="C2864" s="17" t="s">
        <v>149</v>
      </c>
      <c r="D2864" s="18">
        <v>4.0</v>
      </c>
      <c r="E2864" s="17" t="s">
        <v>129</v>
      </c>
      <c r="F2864" s="15" t="s">
        <v>130</v>
      </c>
      <c r="G2864" s="19">
        <v>9.0043003E7</v>
      </c>
      <c r="H2864" s="15" t="s">
        <v>90</v>
      </c>
      <c r="I2864" s="20" t="s">
        <v>50</v>
      </c>
      <c r="J2864" s="21">
        <v>4.0046645E7</v>
      </c>
      <c r="K2864" s="21">
        <v>251.0</v>
      </c>
    </row>
    <row r="2865">
      <c r="A2865" s="15" t="s">
        <v>74</v>
      </c>
      <c r="B2865" s="16" t="s">
        <v>148</v>
      </c>
      <c r="C2865" s="17" t="s">
        <v>149</v>
      </c>
      <c r="D2865" s="18">
        <v>4.0</v>
      </c>
      <c r="E2865" s="17" t="s">
        <v>135</v>
      </c>
      <c r="F2865" s="15" t="s">
        <v>136</v>
      </c>
      <c r="G2865" s="19">
        <v>5.1101056E7</v>
      </c>
      <c r="H2865" s="15" t="s">
        <v>16</v>
      </c>
      <c r="I2865" s="20" t="s">
        <v>25</v>
      </c>
      <c r="J2865" s="21">
        <v>2750000.0</v>
      </c>
      <c r="K2865" s="21">
        <v>0.0</v>
      </c>
    </row>
    <row r="2866">
      <c r="A2866" s="15" t="s">
        <v>74</v>
      </c>
      <c r="B2866" s="16" t="s">
        <v>148</v>
      </c>
      <c r="C2866" s="17" t="s">
        <v>149</v>
      </c>
      <c r="D2866" s="18">
        <v>4.0</v>
      </c>
      <c r="E2866" s="17" t="s">
        <v>135</v>
      </c>
      <c r="F2866" s="15" t="s">
        <v>136</v>
      </c>
      <c r="G2866" s="19">
        <v>9.0043001E7</v>
      </c>
      <c r="H2866" s="15" t="s">
        <v>18</v>
      </c>
      <c r="I2866" s="20" t="s">
        <v>19</v>
      </c>
      <c r="J2866" s="21">
        <v>136762.0</v>
      </c>
      <c r="K2866" s="21">
        <v>1.0</v>
      </c>
    </row>
    <row r="2867">
      <c r="A2867" s="15" t="s">
        <v>74</v>
      </c>
      <c r="B2867" s="16" t="s">
        <v>148</v>
      </c>
      <c r="C2867" s="17" t="s">
        <v>149</v>
      </c>
      <c r="D2867" s="18">
        <v>4.0</v>
      </c>
      <c r="E2867" s="17" t="s">
        <v>54</v>
      </c>
      <c r="F2867" s="15" t="s">
        <v>139</v>
      </c>
      <c r="G2867" s="19">
        <v>9.0042011E7</v>
      </c>
      <c r="H2867" s="15" t="s">
        <v>55</v>
      </c>
      <c r="I2867" s="20" t="s">
        <v>19</v>
      </c>
      <c r="J2867" s="21">
        <v>3.09331666E8</v>
      </c>
      <c r="K2867" s="21">
        <v>0.0</v>
      </c>
    </row>
    <row r="2868">
      <c r="A2868" s="15" t="s">
        <v>74</v>
      </c>
      <c r="B2868" s="16" t="s">
        <v>148</v>
      </c>
      <c r="C2868" s="17" t="s">
        <v>149</v>
      </c>
      <c r="D2868" s="18">
        <v>4.0</v>
      </c>
      <c r="E2868" s="17" t="s">
        <v>20</v>
      </c>
      <c r="F2868" s="15" t="s">
        <v>140</v>
      </c>
      <c r="G2868" s="19">
        <v>9.0042014E7</v>
      </c>
      <c r="H2868" s="15" t="s">
        <v>21</v>
      </c>
      <c r="I2868" s="20" t="s">
        <v>19</v>
      </c>
      <c r="J2868" s="21">
        <v>3.96670388E8</v>
      </c>
      <c r="K2868" s="21">
        <v>0.0</v>
      </c>
    </row>
    <row r="2869">
      <c r="A2869" s="15" t="s">
        <v>74</v>
      </c>
      <c r="B2869" s="16" t="s">
        <v>148</v>
      </c>
      <c r="C2869" s="17" t="s">
        <v>149</v>
      </c>
      <c r="D2869" s="18">
        <v>4.0</v>
      </c>
      <c r="E2869" s="17" t="s">
        <v>20</v>
      </c>
      <c r="F2869" s="15" t="s">
        <v>140</v>
      </c>
      <c r="G2869" s="19">
        <v>9.0042077E7</v>
      </c>
      <c r="H2869" s="15" t="s">
        <v>141</v>
      </c>
      <c r="I2869" s="20" t="s">
        <v>19</v>
      </c>
      <c r="J2869" s="21">
        <v>1.82111966E8</v>
      </c>
      <c r="K2869" s="21">
        <v>0.0</v>
      </c>
    </row>
    <row r="2870">
      <c r="A2870" s="15" t="s">
        <v>74</v>
      </c>
      <c r="B2870" s="16" t="s">
        <v>148</v>
      </c>
      <c r="C2870" s="17" t="s">
        <v>149</v>
      </c>
      <c r="D2870" s="18">
        <v>4.0</v>
      </c>
      <c r="E2870" s="17" t="s">
        <v>142</v>
      </c>
      <c r="F2870" s="15" t="s">
        <v>143</v>
      </c>
      <c r="G2870" s="19">
        <v>9.0042013E7</v>
      </c>
      <c r="H2870" s="15" t="s">
        <v>144</v>
      </c>
      <c r="I2870" s="20" t="s">
        <v>19</v>
      </c>
      <c r="J2870" s="21">
        <v>1.6522899E7</v>
      </c>
      <c r="K2870" s="21">
        <v>0.0</v>
      </c>
    </row>
    <row r="2871">
      <c r="A2871" s="15" t="s">
        <v>74</v>
      </c>
      <c r="B2871" s="16" t="s">
        <v>148</v>
      </c>
      <c r="C2871" s="17" t="s">
        <v>149</v>
      </c>
      <c r="D2871" s="18">
        <v>4.0</v>
      </c>
      <c r="E2871" s="17" t="s">
        <v>142</v>
      </c>
      <c r="F2871" s="15" t="s">
        <v>143</v>
      </c>
      <c r="G2871" s="19">
        <v>9.0042084E7</v>
      </c>
      <c r="H2871" s="15" t="s">
        <v>145</v>
      </c>
      <c r="I2871" s="20" t="s">
        <v>19</v>
      </c>
      <c r="J2871" s="21">
        <v>2.6651254E7</v>
      </c>
      <c r="K2871" s="21">
        <v>0.0</v>
      </c>
    </row>
    <row r="2872">
      <c r="A2872" s="15" t="s">
        <v>74</v>
      </c>
      <c r="B2872" s="16" t="s">
        <v>148</v>
      </c>
      <c r="C2872" s="17" t="s">
        <v>149</v>
      </c>
      <c r="D2872" s="18">
        <v>4.0</v>
      </c>
      <c r="E2872" s="17" t="s">
        <v>22</v>
      </c>
      <c r="F2872" s="15" t="s">
        <v>146</v>
      </c>
      <c r="G2872" s="19">
        <v>9.0042012E7</v>
      </c>
      <c r="H2872" s="15" t="s">
        <v>23</v>
      </c>
      <c r="I2872" s="20" t="s">
        <v>19</v>
      </c>
      <c r="J2872" s="21">
        <v>1.49684347E8</v>
      </c>
      <c r="K2872" s="21">
        <v>0.0</v>
      </c>
    </row>
    <row r="2873">
      <c r="A2873" s="15" t="s">
        <v>74</v>
      </c>
      <c r="B2873" s="16" t="s">
        <v>148</v>
      </c>
      <c r="C2873" s="17" t="s">
        <v>149</v>
      </c>
      <c r="D2873" s="18">
        <v>4.0</v>
      </c>
      <c r="E2873" s="17" t="s">
        <v>22</v>
      </c>
      <c r="F2873" s="15" t="s">
        <v>146</v>
      </c>
      <c r="G2873" s="19">
        <v>9.0042121E7</v>
      </c>
      <c r="H2873" s="15" t="s">
        <v>24</v>
      </c>
      <c r="I2873" s="20" t="s">
        <v>25</v>
      </c>
      <c r="J2873" s="21">
        <v>4209815.0</v>
      </c>
      <c r="K2873" s="21">
        <v>0.0</v>
      </c>
    </row>
    <row r="2874">
      <c r="A2874" s="15" t="s">
        <v>74</v>
      </c>
      <c r="B2874" s="16" t="s">
        <v>148</v>
      </c>
      <c r="C2874" s="17" t="s">
        <v>149</v>
      </c>
      <c r="D2874" s="18">
        <v>4.0</v>
      </c>
      <c r="E2874" s="17" t="s">
        <v>22</v>
      </c>
      <c r="F2874" s="15" t="s">
        <v>146</v>
      </c>
      <c r="G2874" s="19">
        <v>9.0042122E7</v>
      </c>
      <c r="H2874" s="15" t="s">
        <v>56</v>
      </c>
      <c r="I2874" s="20" t="s">
        <v>25</v>
      </c>
      <c r="J2874" s="21">
        <v>2273352.0</v>
      </c>
      <c r="K2874" s="21">
        <v>0.0</v>
      </c>
    </row>
    <row r="2875">
      <c r="A2875" s="15" t="s">
        <v>74</v>
      </c>
      <c r="B2875" s="16" t="s">
        <v>148</v>
      </c>
      <c r="C2875" s="17" t="s">
        <v>149</v>
      </c>
      <c r="D2875" s="18">
        <v>4.0</v>
      </c>
      <c r="E2875" s="17" t="s">
        <v>22</v>
      </c>
      <c r="F2875" s="15" t="s">
        <v>146</v>
      </c>
      <c r="G2875" s="19">
        <v>9.0042124E7</v>
      </c>
      <c r="H2875" s="15" t="s">
        <v>57</v>
      </c>
      <c r="I2875" s="20" t="s">
        <v>25</v>
      </c>
      <c r="J2875" s="21">
        <v>-2.5355977E7</v>
      </c>
      <c r="K2875" s="21">
        <v>0.0</v>
      </c>
    </row>
    <row r="2876">
      <c r="A2876" s="15" t="s">
        <v>74</v>
      </c>
      <c r="B2876" s="16" t="s">
        <v>148</v>
      </c>
      <c r="C2876" s="17" t="s">
        <v>149</v>
      </c>
      <c r="D2876" s="18">
        <v>4.0</v>
      </c>
      <c r="E2876" s="17" t="s">
        <v>22</v>
      </c>
      <c r="F2876" s="15" t="s">
        <v>146</v>
      </c>
      <c r="G2876" s="19">
        <v>9.0042125E7</v>
      </c>
      <c r="H2876" s="15" t="s">
        <v>26</v>
      </c>
      <c r="I2876" s="20" t="s">
        <v>25</v>
      </c>
      <c r="J2876" s="21">
        <v>7.8125272E7</v>
      </c>
      <c r="K2876" s="21">
        <v>0.0</v>
      </c>
    </row>
    <row r="2877">
      <c r="A2877" s="15" t="s">
        <v>74</v>
      </c>
      <c r="B2877" s="16" t="s">
        <v>148</v>
      </c>
      <c r="C2877" s="17" t="s">
        <v>149</v>
      </c>
      <c r="D2877" s="18">
        <v>4.0</v>
      </c>
      <c r="E2877" s="17" t="s">
        <v>22</v>
      </c>
      <c r="F2877" s="15" t="s">
        <v>146</v>
      </c>
      <c r="G2877" s="19">
        <v>9.0042127E7</v>
      </c>
      <c r="H2877" s="15" t="s">
        <v>27</v>
      </c>
      <c r="I2877" s="20" t="s">
        <v>25</v>
      </c>
      <c r="J2877" s="21">
        <v>1.5654898E7</v>
      </c>
      <c r="K2877" s="21">
        <v>0.0</v>
      </c>
    </row>
    <row r="2878">
      <c r="A2878" s="15" t="s">
        <v>74</v>
      </c>
      <c r="B2878" s="16" t="s">
        <v>148</v>
      </c>
      <c r="C2878" s="17" t="s">
        <v>149</v>
      </c>
      <c r="D2878" s="18">
        <v>4.0</v>
      </c>
      <c r="E2878" s="17" t="s">
        <v>22</v>
      </c>
      <c r="F2878" s="15" t="s">
        <v>146</v>
      </c>
      <c r="G2878" s="19">
        <v>9.0042132E7</v>
      </c>
      <c r="H2878" s="15" t="s">
        <v>28</v>
      </c>
      <c r="I2878" s="20" t="s">
        <v>25</v>
      </c>
      <c r="J2878" s="21">
        <v>1.4299894E7</v>
      </c>
      <c r="K2878" s="21">
        <v>0.0</v>
      </c>
    </row>
    <row r="2879">
      <c r="A2879" s="15" t="s">
        <v>74</v>
      </c>
      <c r="B2879" s="16" t="s">
        <v>148</v>
      </c>
      <c r="C2879" s="17" t="s">
        <v>149</v>
      </c>
      <c r="D2879" s="18">
        <v>4.0</v>
      </c>
      <c r="E2879" s="17" t="s">
        <v>22</v>
      </c>
      <c r="F2879" s="15" t="s">
        <v>146</v>
      </c>
      <c r="G2879" s="19">
        <v>9.0042134E7</v>
      </c>
      <c r="H2879" s="15" t="s">
        <v>29</v>
      </c>
      <c r="I2879" s="20" t="s">
        <v>25</v>
      </c>
      <c r="J2879" s="21">
        <v>350000.0</v>
      </c>
      <c r="K2879" s="21">
        <v>0.0</v>
      </c>
    </row>
    <row r="2880">
      <c r="A2880" s="15" t="s">
        <v>74</v>
      </c>
      <c r="B2880" s="16" t="s">
        <v>148</v>
      </c>
      <c r="C2880" s="17" t="s">
        <v>149</v>
      </c>
      <c r="D2880" s="18">
        <v>4.0</v>
      </c>
      <c r="E2880" s="17" t="s">
        <v>22</v>
      </c>
      <c r="F2880" s="15" t="s">
        <v>146</v>
      </c>
      <c r="G2880" s="19">
        <v>9.0042135E7</v>
      </c>
      <c r="H2880" s="15" t="s">
        <v>30</v>
      </c>
      <c r="I2880" s="20" t="s">
        <v>25</v>
      </c>
      <c r="J2880" s="21">
        <v>1.39302296E8</v>
      </c>
      <c r="K2880" s="21">
        <v>0.0</v>
      </c>
    </row>
    <row r="2881">
      <c r="A2881" s="15" t="s">
        <v>74</v>
      </c>
      <c r="B2881" s="16" t="s">
        <v>148</v>
      </c>
      <c r="C2881" s="17" t="s">
        <v>149</v>
      </c>
      <c r="D2881" s="18">
        <v>4.0</v>
      </c>
      <c r="E2881" s="17" t="s">
        <v>22</v>
      </c>
      <c r="F2881" s="15" t="s">
        <v>146</v>
      </c>
      <c r="G2881" s="19">
        <v>9.00422E7</v>
      </c>
      <c r="H2881" s="15" t="s">
        <v>73</v>
      </c>
      <c r="I2881" s="20" t="s">
        <v>60</v>
      </c>
      <c r="J2881" s="21">
        <v>2.01681429E8</v>
      </c>
      <c r="K2881" s="21">
        <v>0.0</v>
      </c>
    </row>
    <row r="2882">
      <c r="A2882" s="15" t="s">
        <v>74</v>
      </c>
      <c r="B2882" s="16" t="s">
        <v>148</v>
      </c>
      <c r="C2882" s="17" t="s">
        <v>149</v>
      </c>
      <c r="D2882" s="18">
        <v>4.0</v>
      </c>
      <c r="E2882" s="17" t="s">
        <v>22</v>
      </c>
      <c r="F2882" s="15" t="s">
        <v>146</v>
      </c>
      <c r="G2882" s="19">
        <v>9.0042223E7</v>
      </c>
      <c r="H2882" s="15" t="s">
        <v>61</v>
      </c>
      <c r="I2882" s="20" t="s">
        <v>60</v>
      </c>
      <c r="J2882" s="21">
        <v>7723536.0</v>
      </c>
      <c r="K2882" s="21">
        <v>0.0</v>
      </c>
    </row>
    <row r="2883">
      <c r="A2883" s="15" t="s">
        <v>74</v>
      </c>
      <c r="B2883" s="16" t="s">
        <v>148</v>
      </c>
      <c r="C2883" s="17" t="s">
        <v>149</v>
      </c>
      <c r="D2883" s="18">
        <v>4.0</v>
      </c>
      <c r="E2883" s="17" t="s">
        <v>22</v>
      </c>
      <c r="F2883" s="15" t="s">
        <v>146</v>
      </c>
      <c r="G2883" s="19">
        <v>9.0042224E7</v>
      </c>
      <c r="H2883" s="15" t="s">
        <v>62</v>
      </c>
      <c r="I2883" s="20" t="s">
        <v>60</v>
      </c>
      <c r="J2883" s="21">
        <v>1349182.0</v>
      </c>
      <c r="K2883" s="21">
        <v>0.0</v>
      </c>
    </row>
    <row r="2884">
      <c r="A2884" s="15" t="s">
        <v>74</v>
      </c>
      <c r="B2884" s="16" t="s">
        <v>148</v>
      </c>
      <c r="C2884" s="17" t="s">
        <v>149</v>
      </c>
      <c r="D2884" s="18">
        <v>4.0</v>
      </c>
      <c r="E2884" s="17" t="s">
        <v>22</v>
      </c>
      <c r="F2884" s="15" t="s">
        <v>146</v>
      </c>
      <c r="G2884" s="19">
        <v>9.0042226E7</v>
      </c>
      <c r="H2884" s="15" t="s">
        <v>63</v>
      </c>
      <c r="I2884" s="20" t="s">
        <v>60</v>
      </c>
      <c r="J2884" s="21">
        <v>660416.0</v>
      </c>
      <c r="K2884" s="21">
        <v>0.0</v>
      </c>
    </row>
    <row r="2885">
      <c r="A2885" s="15" t="s">
        <v>74</v>
      </c>
      <c r="B2885" s="16" t="s">
        <v>148</v>
      </c>
      <c r="C2885" s="17" t="s">
        <v>149</v>
      </c>
      <c r="D2885" s="18">
        <v>4.0</v>
      </c>
      <c r="E2885" s="17" t="s">
        <v>22</v>
      </c>
      <c r="F2885" s="15" t="s">
        <v>146</v>
      </c>
      <c r="G2885" s="19">
        <v>9.0042228E7</v>
      </c>
      <c r="H2885" s="15" t="s">
        <v>64</v>
      </c>
      <c r="I2885" s="20" t="s">
        <v>60</v>
      </c>
      <c r="J2885" s="21">
        <v>5.2437831E7</v>
      </c>
      <c r="K2885" s="21">
        <v>0.0</v>
      </c>
    </row>
    <row r="2886">
      <c r="A2886" s="15" t="s">
        <v>74</v>
      </c>
      <c r="B2886" s="16" t="s">
        <v>148</v>
      </c>
      <c r="C2886" s="17" t="s">
        <v>149</v>
      </c>
      <c r="D2886" s="18">
        <v>4.0</v>
      </c>
      <c r="E2886" s="17" t="s">
        <v>22</v>
      </c>
      <c r="F2886" s="15" t="s">
        <v>146</v>
      </c>
      <c r="G2886" s="19">
        <v>9.0042231E7</v>
      </c>
      <c r="H2886" s="15" t="s">
        <v>65</v>
      </c>
      <c r="I2886" s="20" t="s">
        <v>60</v>
      </c>
      <c r="J2886" s="21">
        <v>5418390.0</v>
      </c>
      <c r="K2886" s="21">
        <v>0.0</v>
      </c>
    </row>
    <row r="2887">
      <c r="A2887" s="15" t="s">
        <v>74</v>
      </c>
      <c r="B2887" s="16" t="s">
        <v>148</v>
      </c>
      <c r="C2887" s="17" t="s">
        <v>149</v>
      </c>
      <c r="D2887" s="18">
        <v>4.0</v>
      </c>
      <c r="E2887" s="17" t="s">
        <v>22</v>
      </c>
      <c r="F2887" s="15" t="s">
        <v>146</v>
      </c>
      <c r="G2887" s="19">
        <v>9.0042126E7</v>
      </c>
      <c r="H2887" s="15" t="s">
        <v>31</v>
      </c>
      <c r="I2887" s="20" t="s">
        <v>25</v>
      </c>
      <c r="J2887" s="21">
        <v>4.3375012E7</v>
      </c>
      <c r="K2887" s="21">
        <v>0.0</v>
      </c>
    </row>
    <row r="2888">
      <c r="A2888" s="15" t="s">
        <v>74</v>
      </c>
      <c r="B2888" s="16" t="s">
        <v>148</v>
      </c>
      <c r="C2888" s="17" t="s">
        <v>149</v>
      </c>
      <c r="D2888" s="18">
        <v>4.0</v>
      </c>
      <c r="E2888" s="17" t="s">
        <v>22</v>
      </c>
      <c r="F2888" s="15" t="s">
        <v>146</v>
      </c>
      <c r="G2888" s="19">
        <v>9.004212E7</v>
      </c>
      <c r="H2888" s="15" t="s">
        <v>182</v>
      </c>
      <c r="I2888" s="20" t="s">
        <v>25</v>
      </c>
      <c r="J2888" s="21">
        <v>5.9461E7</v>
      </c>
      <c r="K2888" s="21">
        <v>0.0</v>
      </c>
    </row>
    <row r="2889">
      <c r="A2889" s="15" t="s">
        <v>74</v>
      </c>
      <c r="B2889" s="16" t="s">
        <v>148</v>
      </c>
      <c r="C2889" s="17" t="s">
        <v>149</v>
      </c>
      <c r="D2889" s="18">
        <v>4.0</v>
      </c>
      <c r="E2889" s="17" t="s">
        <v>22</v>
      </c>
      <c r="F2889" s="15" t="s">
        <v>146</v>
      </c>
      <c r="G2889" s="19">
        <v>9.0042119E7</v>
      </c>
      <c r="H2889" s="15" t="s">
        <v>279</v>
      </c>
      <c r="I2889" s="20" t="s">
        <v>25</v>
      </c>
      <c r="J2889" s="21">
        <v>89000.0</v>
      </c>
      <c r="K2889" s="21">
        <v>0.0</v>
      </c>
    </row>
    <row r="2890">
      <c r="A2890" s="15" t="s">
        <v>74</v>
      </c>
      <c r="B2890" s="16" t="s">
        <v>148</v>
      </c>
      <c r="C2890" s="17" t="s">
        <v>149</v>
      </c>
      <c r="D2890" s="18">
        <v>4.0</v>
      </c>
      <c r="E2890" s="17" t="s">
        <v>201</v>
      </c>
      <c r="F2890" s="15" t="s">
        <v>202</v>
      </c>
      <c r="G2890" s="19">
        <v>9.0043001E7</v>
      </c>
      <c r="H2890" s="15" t="s">
        <v>18</v>
      </c>
      <c r="I2890" s="20" t="s">
        <v>19</v>
      </c>
      <c r="J2890" s="21">
        <v>3885420.0</v>
      </c>
      <c r="K2890" s="21">
        <v>29.0</v>
      </c>
    </row>
    <row r="2891">
      <c r="A2891" s="15" t="s">
        <v>74</v>
      </c>
      <c r="B2891" s="16" t="s">
        <v>148</v>
      </c>
      <c r="C2891" s="17" t="s">
        <v>149</v>
      </c>
      <c r="D2891" s="18">
        <v>4.0</v>
      </c>
      <c r="E2891" s="24">
        <v>46248.0</v>
      </c>
      <c r="F2891" s="15" t="s">
        <v>300</v>
      </c>
      <c r="G2891" s="19">
        <v>5.1101999E7</v>
      </c>
      <c r="H2891" s="15" t="s">
        <v>107</v>
      </c>
      <c r="I2891" s="20" t="s">
        <v>25</v>
      </c>
      <c r="J2891" s="21">
        <v>0.0</v>
      </c>
      <c r="K2891" s="21">
        <v>0.0</v>
      </c>
    </row>
    <row r="2892">
      <c r="A2892" s="15" t="s">
        <v>74</v>
      </c>
      <c r="B2892" s="16" t="s">
        <v>148</v>
      </c>
      <c r="C2892" s="17" t="s">
        <v>149</v>
      </c>
      <c r="D2892" s="18">
        <v>4.0</v>
      </c>
      <c r="E2892" s="24">
        <v>46064.0</v>
      </c>
      <c r="F2892" s="15" t="s">
        <v>301</v>
      </c>
      <c r="G2892" s="19">
        <v>5.1101999E7</v>
      </c>
      <c r="H2892" s="15" t="s">
        <v>107</v>
      </c>
      <c r="I2892" s="20" t="s">
        <v>25</v>
      </c>
      <c r="J2892" s="21">
        <v>0.0</v>
      </c>
      <c r="K2892" s="21">
        <v>0.0</v>
      </c>
    </row>
    <row r="2893">
      <c r="A2893" s="15" t="s">
        <v>74</v>
      </c>
      <c r="B2893" s="16" t="s">
        <v>148</v>
      </c>
      <c r="C2893" s="17" t="s">
        <v>149</v>
      </c>
      <c r="D2893" s="18">
        <v>4.0</v>
      </c>
      <c r="E2893" s="24">
        <v>46246.0</v>
      </c>
      <c r="F2893" s="15" t="s">
        <v>302</v>
      </c>
      <c r="G2893" s="19">
        <v>5.1101999E7</v>
      </c>
      <c r="H2893" s="15" t="s">
        <v>107</v>
      </c>
      <c r="I2893" s="20" t="s">
        <v>25</v>
      </c>
      <c r="J2893" s="21">
        <v>0.0</v>
      </c>
      <c r="K2893" s="21">
        <v>0.0</v>
      </c>
    </row>
    <row r="2894">
      <c r="A2894" s="15" t="s">
        <v>74</v>
      </c>
      <c r="B2894" s="16" t="s">
        <v>148</v>
      </c>
      <c r="C2894" s="17" t="s">
        <v>149</v>
      </c>
      <c r="D2894" s="18">
        <v>4.0</v>
      </c>
      <c r="E2894" s="24">
        <v>46036.0</v>
      </c>
      <c r="F2894" s="15" t="s">
        <v>303</v>
      </c>
      <c r="G2894" s="19">
        <v>5.1101999E7</v>
      </c>
      <c r="H2894" s="15" t="s">
        <v>107</v>
      </c>
      <c r="I2894" s="20" t="s">
        <v>25</v>
      </c>
      <c r="J2894" s="21">
        <v>0.0</v>
      </c>
      <c r="K2894" s="21">
        <v>0.0</v>
      </c>
    </row>
    <row r="2895">
      <c r="A2895" s="15" t="s">
        <v>74</v>
      </c>
      <c r="B2895" s="16" t="s">
        <v>148</v>
      </c>
      <c r="C2895" s="17" t="s">
        <v>149</v>
      </c>
      <c r="D2895" s="18">
        <v>4.0</v>
      </c>
      <c r="E2895" s="24">
        <v>46279.0</v>
      </c>
      <c r="F2895" s="15" t="s">
        <v>304</v>
      </c>
      <c r="G2895" s="19">
        <v>5.1101999E7</v>
      </c>
      <c r="H2895" s="15" t="s">
        <v>107</v>
      </c>
      <c r="I2895" s="20" t="s">
        <v>25</v>
      </c>
      <c r="J2895" s="21">
        <v>0.0</v>
      </c>
      <c r="K2895" s="21">
        <v>0.0</v>
      </c>
    </row>
    <row r="2896">
      <c r="A2896" s="15" t="s">
        <v>74</v>
      </c>
      <c r="B2896" s="16" t="s">
        <v>148</v>
      </c>
      <c r="C2896" s="17" t="s">
        <v>149</v>
      </c>
      <c r="D2896" s="18">
        <v>4.0</v>
      </c>
      <c r="E2896" s="24">
        <v>46215.0</v>
      </c>
      <c r="F2896" s="15" t="s">
        <v>305</v>
      </c>
      <c r="G2896" s="19">
        <v>5.1101999E7</v>
      </c>
      <c r="H2896" s="15" t="s">
        <v>107</v>
      </c>
      <c r="I2896" s="20" t="s">
        <v>25</v>
      </c>
      <c r="J2896" s="21">
        <v>0.0</v>
      </c>
      <c r="K2896" s="21">
        <v>0.0</v>
      </c>
    </row>
    <row r="2897">
      <c r="A2897" s="15" t="s">
        <v>74</v>
      </c>
      <c r="B2897" s="16" t="s">
        <v>148</v>
      </c>
      <c r="C2897" s="17" t="s">
        <v>149</v>
      </c>
      <c r="D2897" s="18">
        <v>4.0</v>
      </c>
      <c r="E2897" s="24">
        <v>46277.0</v>
      </c>
      <c r="F2897" s="15" t="s">
        <v>306</v>
      </c>
      <c r="G2897" s="19">
        <v>5.1101999E7</v>
      </c>
      <c r="H2897" s="15" t="s">
        <v>107</v>
      </c>
      <c r="I2897" s="20" t="s">
        <v>25</v>
      </c>
      <c r="J2897" s="21">
        <v>0.0</v>
      </c>
      <c r="K2897" s="21">
        <v>0.0</v>
      </c>
    </row>
    <row r="2898">
      <c r="A2898" s="15" t="s">
        <v>74</v>
      </c>
      <c r="B2898" s="16" t="s">
        <v>148</v>
      </c>
      <c r="C2898" s="17" t="s">
        <v>149</v>
      </c>
      <c r="D2898" s="18">
        <v>4.0</v>
      </c>
      <c r="E2898" s="24">
        <v>46037.0</v>
      </c>
      <c r="F2898" s="15" t="s">
        <v>307</v>
      </c>
      <c r="G2898" s="19">
        <v>5.1101999E7</v>
      </c>
      <c r="H2898" s="15" t="s">
        <v>107</v>
      </c>
      <c r="I2898" s="20" t="s">
        <v>25</v>
      </c>
      <c r="J2898" s="21">
        <v>0.0</v>
      </c>
      <c r="K2898" s="21">
        <v>0.0</v>
      </c>
    </row>
    <row r="2899">
      <c r="A2899" s="15" t="s">
        <v>74</v>
      </c>
      <c r="B2899" s="16" t="s">
        <v>148</v>
      </c>
      <c r="C2899" s="17" t="s">
        <v>149</v>
      </c>
      <c r="D2899" s="18">
        <v>4.0</v>
      </c>
      <c r="E2899" s="24">
        <v>46094.0</v>
      </c>
      <c r="F2899" s="15" t="s">
        <v>308</v>
      </c>
      <c r="G2899" s="19">
        <v>5.1101999E7</v>
      </c>
      <c r="H2899" s="15" t="s">
        <v>107</v>
      </c>
      <c r="I2899" s="20" t="s">
        <v>25</v>
      </c>
      <c r="J2899" s="21">
        <v>0.0</v>
      </c>
      <c r="K2899" s="21">
        <v>0.0</v>
      </c>
    </row>
    <row r="2900">
      <c r="A2900" s="15" t="s">
        <v>74</v>
      </c>
      <c r="B2900" s="16" t="s">
        <v>148</v>
      </c>
      <c r="C2900" s="17" t="s">
        <v>149</v>
      </c>
      <c r="D2900" s="18">
        <v>4.0</v>
      </c>
      <c r="E2900" s="24">
        <v>46184.0</v>
      </c>
      <c r="F2900" s="15" t="s">
        <v>309</v>
      </c>
      <c r="G2900" s="19">
        <v>5.1101999E7</v>
      </c>
      <c r="H2900" s="15" t="s">
        <v>107</v>
      </c>
      <c r="I2900" s="20" t="s">
        <v>25</v>
      </c>
      <c r="J2900" s="21">
        <v>0.0</v>
      </c>
      <c r="K2900" s="21">
        <v>0.0</v>
      </c>
    </row>
    <row r="2901">
      <c r="A2901" s="15" t="s">
        <v>74</v>
      </c>
      <c r="B2901" s="16" t="s">
        <v>148</v>
      </c>
      <c r="C2901" s="17" t="s">
        <v>149</v>
      </c>
      <c r="D2901" s="18">
        <v>4.0</v>
      </c>
      <c r="E2901" s="24">
        <v>46096.0</v>
      </c>
      <c r="F2901" s="15" t="s">
        <v>310</v>
      </c>
      <c r="G2901" s="19">
        <v>5.1101999E7</v>
      </c>
      <c r="H2901" s="15" t="s">
        <v>107</v>
      </c>
      <c r="I2901" s="20" t="s">
        <v>25</v>
      </c>
      <c r="J2901" s="21">
        <v>0.0</v>
      </c>
      <c r="K2901" s="21">
        <v>0.0</v>
      </c>
    </row>
    <row r="2902">
      <c r="A2902" s="15" t="s">
        <v>74</v>
      </c>
      <c r="B2902" s="16" t="s">
        <v>148</v>
      </c>
      <c r="C2902" s="17" t="s">
        <v>149</v>
      </c>
      <c r="D2902" s="18">
        <v>4.0</v>
      </c>
      <c r="E2902" s="24">
        <v>46130.0</v>
      </c>
      <c r="F2902" s="15" t="s">
        <v>311</v>
      </c>
      <c r="G2902" s="19">
        <v>5.1101999E7</v>
      </c>
      <c r="H2902" s="15" t="s">
        <v>107</v>
      </c>
      <c r="I2902" s="20" t="s">
        <v>25</v>
      </c>
      <c r="J2902" s="21">
        <v>0.0</v>
      </c>
      <c r="K2902" s="21">
        <v>0.0</v>
      </c>
    </row>
    <row r="2903">
      <c r="A2903" s="15" t="s">
        <v>74</v>
      </c>
      <c r="B2903" s="16" t="s">
        <v>148</v>
      </c>
      <c r="C2903" s="17" t="s">
        <v>149</v>
      </c>
      <c r="D2903" s="18">
        <v>4.0</v>
      </c>
      <c r="E2903" s="24">
        <v>46033.0</v>
      </c>
      <c r="F2903" s="15" t="s">
        <v>312</v>
      </c>
      <c r="G2903" s="19">
        <v>5.1101999E7</v>
      </c>
      <c r="H2903" s="15" t="s">
        <v>107</v>
      </c>
      <c r="I2903" s="20" t="s">
        <v>25</v>
      </c>
      <c r="J2903" s="21">
        <v>0.0</v>
      </c>
      <c r="K2903" s="21">
        <v>0.0</v>
      </c>
    </row>
    <row r="2904">
      <c r="A2904" s="15" t="s">
        <v>74</v>
      </c>
      <c r="B2904" s="16" t="s">
        <v>148</v>
      </c>
      <c r="C2904" s="17" t="s">
        <v>149</v>
      </c>
      <c r="D2904" s="18">
        <v>4.0</v>
      </c>
      <c r="E2904" s="25">
        <v>46367.0</v>
      </c>
      <c r="F2904" s="15" t="s">
        <v>313</v>
      </c>
      <c r="G2904" s="19">
        <v>5.1101999E7</v>
      </c>
      <c r="H2904" s="15" t="s">
        <v>107</v>
      </c>
      <c r="I2904" s="20" t="s">
        <v>25</v>
      </c>
      <c r="J2904" s="21">
        <v>0.0</v>
      </c>
      <c r="K2904" s="21">
        <v>0.0</v>
      </c>
    </row>
    <row r="2905">
      <c r="A2905" s="15" t="s">
        <v>74</v>
      </c>
      <c r="B2905" s="16" t="s">
        <v>148</v>
      </c>
      <c r="C2905" s="17" t="s">
        <v>149</v>
      </c>
      <c r="D2905" s="18">
        <v>4.0</v>
      </c>
      <c r="E2905" s="24">
        <v>46034.0</v>
      </c>
      <c r="F2905" s="15" t="s">
        <v>314</v>
      </c>
      <c r="G2905" s="19">
        <v>5.1101999E7</v>
      </c>
      <c r="H2905" s="15" t="s">
        <v>107</v>
      </c>
      <c r="I2905" s="20" t="s">
        <v>25</v>
      </c>
      <c r="J2905" s="21">
        <v>0.0</v>
      </c>
      <c r="K2905" s="21">
        <v>0.0</v>
      </c>
    </row>
    <row r="2906">
      <c r="A2906" s="15" t="s">
        <v>74</v>
      </c>
      <c r="B2906" s="16" t="s">
        <v>148</v>
      </c>
      <c r="C2906" s="17" t="s">
        <v>149</v>
      </c>
      <c r="D2906" s="18">
        <v>4.0</v>
      </c>
      <c r="E2906" s="24">
        <v>46092.0</v>
      </c>
      <c r="F2906" s="15" t="s">
        <v>315</v>
      </c>
      <c r="G2906" s="19">
        <v>5.1101999E7</v>
      </c>
      <c r="H2906" s="15" t="s">
        <v>107</v>
      </c>
      <c r="I2906" s="20" t="s">
        <v>25</v>
      </c>
      <c r="J2906" s="21">
        <v>0.0</v>
      </c>
      <c r="K2906" s="21">
        <v>0.0</v>
      </c>
    </row>
    <row r="2907">
      <c r="A2907" s="15" t="s">
        <v>74</v>
      </c>
      <c r="B2907" s="16" t="s">
        <v>148</v>
      </c>
      <c r="C2907" s="17" t="s">
        <v>149</v>
      </c>
      <c r="D2907" s="18">
        <v>4.0</v>
      </c>
      <c r="E2907" s="24">
        <v>46214.0</v>
      </c>
      <c r="F2907" s="15" t="s">
        <v>316</v>
      </c>
      <c r="G2907" s="19">
        <v>5.1101999E7</v>
      </c>
      <c r="H2907" s="15" t="s">
        <v>107</v>
      </c>
      <c r="I2907" s="20" t="s">
        <v>25</v>
      </c>
      <c r="J2907" s="21">
        <v>0.0</v>
      </c>
      <c r="K2907" s="21">
        <v>0.0</v>
      </c>
    </row>
    <row r="2908">
      <c r="A2908" s="15" t="s">
        <v>74</v>
      </c>
      <c r="B2908" s="16" t="s">
        <v>148</v>
      </c>
      <c r="C2908" s="17" t="s">
        <v>149</v>
      </c>
      <c r="D2908" s="18">
        <v>4.0</v>
      </c>
      <c r="E2908" s="24">
        <v>46093.0</v>
      </c>
      <c r="F2908" s="15" t="s">
        <v>317</v>
      </c>
      <c r="G2908" s="19">
        <v>5.1101999E7</v>
      </c>
      <c r="H2908" s="15" t="s">
        <v>107</v>
      </c>
      <c r="I2908" s="20" t="s">
        <v>25</v>
      </c>
      <c r="J2908" s="21">
        <v>0.0</v>
      </c>
      <c r="K2908" s="21">
        <v>0.0</v>
      </c>
    </row>
    <row r="2909">
      <c r="A2909" s="15" t="s">
        <v>74</v>
      </c>
      <c r="B2909" s="16" t="s">
        <v>148</v>
      </c>
      <c r="C2909" s="17" t="s">
        <v>149</v>
      </c>
      <c r="D2909" s="18">
        <v>4.0</v>
      </c>
      <c r="E2909" s="24">
        <v>46126.0</v>
      </c>
      <c r="F2909" s="15" t="s">
        <v>318</v>
      </c>
      <c r="G2909" s="19">
        <v>5.1101999E7</v>
      </c>
      <c r="H2909" s="15" t="s">
        <v>107</v>
      </c>
      <c r="I2909" s="20" t="s">
        <v>25</v>
      </c>
      <c r="J2909" s="21">
        <v>0.0</v>
      </c>
      <c r="K2909" s="21">
        <v>0.0</v>
      </c>
    </row>
    <row r="2910">
      <c r="A2910" s="15" t="s">
        <v>74</v>
      </c>
      <c r="B2910" s="16" t="s">
        <v>148</v>
      </c>
      <c r="C2910" s="17" t="s">
        <v>149</v>
      </c>
      <c r="D2910" s="18">
        <v>4.0</v>
      </c>
      <c r="E2910" s="24">
        <v>46156.0</v>
      </c>
      <c r="F2910" s="15" t="s">
        <v>319</v>
      </c>
      <c r="G2910" s="19">
        <v>5.1101999E7</v>
      </c>
      <c r="H2910" s="15" t="s">
        <v>107</v>
      </c>
      <c r="I2910" s="20" t="s">
        <v>25</v>
      </c>
      <c r="J2910" s="21">
        <v>0.0</v>
      </c>
      <c r="K2910" s="21">
        <v>0.0</v>
      </c>
    </row>
    <row r="2911">
      <c r="A2911" s="15" t="s">
        <v>74</v>
      </c>
      <c r="B2911" s="16" t="s">
        <v>148</v>
      </c>
      <c r="C2911" s="17" t="s">
        <v>149</v>
      </c>
      <c r="D2911" s="18">
        <v>4.0</v>
      </c>
      <c r="E2911" s="25">
        <v>46307.0</v>
      </c>
      <c r="F2911" s="15" t="s">
        <v>320</v>
      </c>
      <c r="G2911" s="19">
        <v>5.1101999E7</v>
      </c>
      <c r="H2911" s="15" t="s">
        <v>107</v>
      </c>
      <c r="I2911" s="20" t="s">
        <v>25</v>
      </c>
      <c r="J2911" s="21">
        <v>0.0</v>
      </c>
      <c r="K2911" s="21">
        <v>0.0</v>
      </c>
    </row>
    <row r="2912">
      <c r="A2912" s="15" t="s">
        <v>74</v>
      </c>
      <c r="B2912" s="16" t="s">
        <v>148</v>
      </c>
      <c r="C2912" s="17" t="s">
        <v>149</v>
      </c>
      <c r="D2912" s="18">
        <v>4.0</v>
      </c>
      <c r="E2912" s="24">
        <v>46154.0</v>
      </c>
      <c r="F2912" s="15" t="s">
        <v>321</v>
      </c>
      <c r="G2912" s="19">
        <v>5.1101999E7</v>
      </c>
      <c r="H2912" s="15" t="s">
        <v>107</v>
      </c>
      <c r="I2912" s="20" t="s">
        <v>25</v>
      </c>
      <c r="J2912" s="21">
        <v>0.0</v>
      </c>
      <c r="K2912" s="21">
        <v>0.0</v>
      </c>
    </row>
    <row r="2913">
      <c r="A2913" s="15" t="s">
        <v>74</v>
      </c>
      <c r="B2913" s="16" t="s">
        <v>148</v>
      </c>
      <c r="C2913" s="17" t="s">
        <v>149</v>
      </c>
      <c r="D2913" s="18">
        <v>4.0</v>
      </c>
      <c r="E2913" s="24">
        <v>46072.0</v>
      </c>
      <c r="F2913" s="15" t="s">
        <v>322</v>
      </c>
      <c r="G2913" s="19">
        <v>5.1101999E7</v>
      </c>
      <c r="H2913" s="15" t="s">
        <v>107</v>
      </c>
      <c r="I2913" s="20" t="s">
        <v>25</v>
      </c>
      <c r="J2913" s="21">
        <v>0.0</v>
      </c>
      <c r="K2913" s="21">
        <v>0.0</v>
      </c>
    </row>
    <row r="2914">
      <c r="A2914" s="15" t="s">
        <v>74</v>
      </c>
      <c r="B2914" s="16" t="s">
        <v>148</v>
      </c>
      <c r="C2914" s="17" t="s">
        <v>149</v>
      </c>
      <c r="D2914" s="18">
        <v>4.0</v>
      </c>
      <c r="E2914" s="24">
        <v>46161.0</v>
      </c>
      <c r="F2914" s="15" t="s">
        <v>323</v>
      </c>
      <c r="G2914" s="19">
        <v>5.1101999E7</v>
      </c>
      <c r="H2914" s="15" t="s">
        <v>107</v>
      </c>
      <c r="I2914" s="20" t="s">
        <v>25</v>
      </c>
      <c r="J2914" s="21">
        <v>0.0</v>
      </c>
      <c r="K2914" s="21">
        <v>0.0</v>
      </c>
    </row>
    <row r="2915">
      <c r="A2915" s="15" t="s">
        <v>74</v>
      </c>
      <c r="B2915" s="16" t="s">
        <v>148</v>
      </c>
      <c r="C2915" s="17" t="s">
        <v>149</v>
      </c>
      <c r="D2915" s="18">
        <v>4.0</v>
      </c>
      <c r="E2915" s="24">
        <v>46125.0</v>
      </c>
      <c r="F2915" s="15" t="s">
        <v>324</v>
      </c>
      <c r="G2915" s="19">
        <v>5.1101999E7</v>
      </c>
      <c r="H2915" s="15" t="s">
        <v>107</v>
      </c>
      <c r="I2915" s="20" t="s">
        <v>25</v>
      </c>
      <c r="J2915" s="21">
        <v>0.0</v>
      </c>
      <c r="K2915" s="21">
        <v>0.0</v>
      </c>
    </row>
    <row r="2916">
      <c r="A2916" s="15" t="s">
        <v>74</v>
      </c>
      <c r="B2916" s="16" t="s">
        <v>148</v>
      </c>
      <c r="C2916" s="17" t="s">
        <v>149</v>
      </c>
      <c r="D2916" s="18">
        <v>4.0</v>
      </c>
      <c r="E2916" s="24">
        <v>46068.0</v>
      </c>
      <c r="F2916" s="15" t="s">
        <v>325</v>
      </c>
      <c r="G2916" s="19">
        <v>5.1101999E7</v>
      </c>
      <c r="H2916" s="15" t="s">
        <v>107</v>
      </c>
      <c r="I2916" s="20" t="s">
        <v>25</v>
      </c>
      <c r="J2916" s="21">
        <v>0.0</v>
      </c>
      <c r="K2916" s="21">
        <v>0.0</v>
      </c>
    </row>
    <row r="2917">
      <c r="A2917" s="15" t="s">
        <v>74</v>
      </c>
      <c r="B2917" s="16" t="s">
        <v>148</v>
      </c>
      <c r="C2917" s="17" t="s">
        <v>149</v>
      </c>
      <c r="D2917" s="18">
        <v>4.0</v>
      </c>
      <c r="E2917" s="24">
        <v>46127.0</v>
      </c>
      <c r="F2917" s="15" t="s">
        <v>326</v>
      </c>
      <c r="G2917" s="19">
        <v>5.1101999E7</v>
      </c>
      <c r="H2917" s="15" t="s">
        <v>107</v>
      </c>
      <c r="I2917" s="20" t="s">
        <v>25</v>
      </c>
      <c r="J2917" s="21">
        <v>0.0</v>
      </c>
      <c r="K2917" s="21">
        <v>0.0</v>
      </c>
    </row>
    <row r="2918">
      <c r="A2918" s="15" t="s">
        <v>74</v>
      </c>
      <c r="B2918" s="16" t="s">
        <v>148</v>
      </c>
      <c r="C2918" s="17" t="s">
        <v>149</v>
      </c>
      <c r="D2918" s="18">
        <v>4.0</v>
      </c>
      <c r="E2918" s="17" t="s">
        <v>327</v>
      </c>
      <c r="F2918" s="15" t="s">
        <v>328</v>
      </c>
      <c r="G2918" s="19">
        <v>5.1100058E7</v>
      </c>
      <c r="H2918" s="15" t="s">
        <v>36</v>
      </c>
      <c r="I2918" s="20" t="s">
        <v>37</v>
      </c>
      <c r="J2918" s="21">
        <v>0.0</v>
      </c>
      <c r="K2918" s="21">
        <v>0.0</v>
      </c>
    </row>
    <row r="2919">
      <c r="A2919" s="15" t="s">
        <v>74</v>
      </c>
      <c r="B2919" s="16" t="s">
        <v>167</v>
      </c>
      <c r="C2919" s="17" t="s">
        <v>168</v>
      </c>
      <c r="D2919" s="18">
        <v>4.0</v>
      </c>
      <c r="E2919" s="17" t="s">
        <v>86</v>
      </c>
      <c r="F2919" s="15" t="s">
        <v>87</v>
      </c>
      <c r="G2919" s="19">
        <v>9.0043001E7</v>
      </c>
      <c r="H2919" s="15" t="s">
        <v>18</v>
      </c>
      <c r="I2919" s="20" t="s">
        <v>19</v>
      </c>
      <c r="J2919" s="21">
        <v>6.4896348E7</v>
      </c>
      <c r="K2919" s="21">
        <v>439.0</v>
      </c>
    </row>
    <row r="2920">
      <c r="A2920" s="15" t="s">
        <v>74</v>
      </c>
      <c r="B2920" s="16" t="s">
        <v>167</v>
      </c>
      <c r="C2920" s="17" t="s">
        <v>168</v>
      </c>
      <c r="D2920" s="18">
        <v>4.0</v>
      </c>
      <c r="E2920" s="17" t="s">
        <v>86</v>
      </c>
      <c r="F2920" s="15" t="s">
        <v>87</v>
      </c>
      <c r="G2920" s="19">
        <v>9.0043E7</v>
      </c>
      <c r="H2920" s="15" t="s">
        <v>83</v>
      </c>
      <c r="I2920" s="20" t="s">
        <v>19</v>
      </c>
      <c r="J2920" s="21">
        <v>455471.0</v>
      </c>
      <c r="K2920" s="21">
        <v>3.0</v>
      </c>
    </row>
    <row r="2921">
      <c r="A2921" s="15" t="s">
        <v>74</v>
      </c>
      <c r="B2921" s="16" t="s">
        <v>167</v>
      </c>
      <c r="C2921" s="17" t="s">
        <v>168</v>
      </c>
      <c r="D2921" s="18">
        <v>4.0</v>
      </c>
      <c r="E2921" s="17" t="s">
        <v>88</v>
      </c>
      <c r="F2921" s="15" t="s">
        <v>89</v>
      </c>
      <c r="G2921" s="19">
        <v>5.1100102E7</v>
      </c>
      <c r="H2921" s="15" t="s">
        <v>172</v>
      </c>
      <c r="I2921" s="20" t="s">
        <v>25</v>
      </c>
      <c r="J2921" s="21">
        <v>5.7244845E7</v>
      </c>
      <c r="K2921" s="21">
        <v>0.0</v>
      </c>
    </row>
    <row r="2922">
      <c r="A2922" s="15" t="s">
        <v>74</v>
      </c>
      <c r="B2922" s="16" t="s">
        <v>167</v>
      </c>
      <c r="C2922" s="17" t="s">
        <v>168</v>
      </c>
      <c r="D2922" s="18">
        <v>4.0</v>
      </c>
      <c r="E2922" s="17" t="s">
        <v>88</v>
      </c>
      <c r="F2922" s="15" t="s">
        <v>89</v>
      </c>
      <c r="G2922" s="19">
        <v>9.0043001E7</v>
      </c>
      <c r="H2922" s="15" t="s">
        <v>18</v>
      </c>
      <c r="I2922" s="20" t="s">
        <v>19</v>
      </c>
      <c r="J2922" s="21">
        <v>5.1427206E7</v>
      </c>
      <c r="K2922" s="21">
        <v>357.0</v>
      </c>
    </row>
    <row r="2923">
      <c r="A2923" s="15" t="s">
        <v>74</v>
      </c>
      <c r="B2923" s="16" t="s">
        <v>167</v>
      </c>
      <c r="C2923" s="17" t="s">
        <v>168</v>
      </c>
      <c r="D2923" s="18">
        <v>4.0</v>
      </c>
      <c r="E2923" s="17" t="s">
        <v>152</v>
      </c>
      <c r="F2923" s="15" t="s">
        <v>153</v>
      </c>
      <c r="G2923" s="19">
        <v>9.0043001E7</v>
      </c>
      <c r="H2923" s="15" t="s">
        <v>18</v>
      </c>
      <c r="I2923" s="20" t="s">
        <v>19</v>
      </c>
      <c r="J2923" s="21">
        <v>2.2113039E7</v>
      </c>
      <c r="K2923" s="21">
        <v>149.0</v>
      </c>
    </row>
    <row r="2924">
      <c r="A2924" s="15" t="s">
        <v>74</v>
      </c>
      <c r="B2924" s="16" t="s">
        <v>167</v>
      </c>
      <c r="C2924" s="17" t="s">
        <v>168</v>
      </c>
      <c r="D2924" s="18">
        <v>4.0</v>
      </c>
      <c r="E2924" s="17" t="s">
        <v>152</v>
      </c>
      <c r="F2924" s="15" t="s">
        <v>153</v>
      </c>
      <c r="G2924" s="19">
        <v>9.0043E7</v>
      </c>
      <c r="H2924" s="15" t="s">
        <v>83</v>
      </c>
      <c r="I2924" s="20" t="s">
        <v>19</v>
      </c>
      <c r="J2924" s="21">
        <v>150927.0</v>
      </c>
      <c r="K2924" s="21">
        <v>1.0</v>
      </c>
    </row>
    <row r="2925">
      <c r="A2925" s="15" t="s">
        <v>74</v>
      </c>
      <c r="B2925" s="16" t="s">
        <v>167</v>
      </c>
      <c r="C2925" s="17" t="s">
        <v>168</v>
      </c>
      <c r="D2925" s="18">
        <v>4.0</v>
      </c>
      <c r="E2925" s="17" t="s">
        <v>154</v>
      </c>
      <c r="F2925" s="15" t="s">
        <v>155</v>
      </c>
      <c r="G2925" s="19">
        <v>9.0043001E7</v>
      </c>
      <c r="H2925" s="15" t="s">
        <v>18</v>
      </c>
      <c r="I2925" s="20" t="s">
        <v>19</v>
      </c>
      <c r="J2925" s="21">
        <v>2.0150464E7</v>
      </c>
      <c r="K2925" s="21">
        <v>136.0</v>
      </c>
    </row>
    <row r="2926">
      <c r="A2926" s="15" t="s">
        <v>74</v>
      </c>
      <c r="B2926" s="16" t="s">
        <v>167</v>
      </c>
      <c r="C2926" s="17" t="s">
        <v>168</v>
      </c>
      <c r="D2926" s="18">
        <v>4.0</v>
      </c>
      <c r="E2926" s="17" t="s">
        <v>154</v>
      </c>
      <c r="F2926" s="15" t="s">
        <v>155</v>
      </c>
      <c r="G2926" s="19">
        <v>9.0043002E7</v>
      </c>
      <c r="H2926" s="15" t="s">
        <v>49</v>
      </c>
      <c r="I2926" s="20" t="s">
        <v>50</v>
      </c>
      <c r="J2926" s="21">
        <v>9033317.0</v>
      </c>
      <c r="K2926" s="21">
        <v>556.0</v>
      </c>
    </row>
    <row r="2927">
      <c r="A2927" s="15" t="s">
        <v>74</v>
      </c>
      <c r="B2927" s="16" t="s">
        <v>167</v>
      </c>
      <c r="C2927" s="17" t="s">
        <v>168</v>
      </c>
      <c r="D2927" s="18">
        <v>4.0</v>
      </c>
      <c r="E2927" s="17" t="s">
        <v>91</v>
      </c>
      <c r="F2927" s="15" t="s">
        <v>92</v>
      </c>
      <c r="G2927" s="19">
        <v>9.0043001E7</v>
      </c>
      <c r="H2927" s="15" t="s">
        <v>18</v>
      </c>
      <c r="I2927" s="20" t="s">
        <v>19</v>
      </c>
      <c r="J2927" s="21">
        <v>6770133.0</v>
      </c>
      <c r="K2927" s="21">
        <v>46.0</v>
      </c>
    </row>
    <row r="2928">
      <c r="A2928" s="15" t="s">
        <v>74</v>
      </c>
      <c r="B2928" s="16" t="s">
        <v>167</v>
      </c>
      <c r="C2928" s="17" t="s">
        <v>168</v>
      </c>
      <c r="D2928" s="18">
        <v>4.0</v>
      </c>
      <c r="E2928" s="17" t="s">
        <v>280</v>
      </c>
      <c r="F2928" s="15" t="s">
        <v>281</v>
      </c>
      <c r="G2928" s="19">
        <v>9.0043001E7</v>
      </c>
      <c r="H2928" s="15" t="s">
        <v>18</v>
      </c>
      <c r="I2928" s="20" t="s">
        <v>19</v>
      </c>
      <c r="J2928" s="21">
        <v>593448.0</v>
      </c>
      <c r="K2928" s="21">
        <v>4.0</v>
      </c>
    </row>
    <row r="2929">
      <c r="A2929" s="15" t="s">
        <v>74</v>
      </c>
      <c r="B2929" s="16" t="s">
        <v>167</v>
      </c>
      <c r="C2929" s="17" t="s">
        <v>168</v>
      </c>
      <c r="D2929" s="18">
        <v>4.0</v>
      </c>
      <c r="E2929" s="17" t="s">
        <v>180</v>
      </c>
      <c r="F2929" s="15" t="s">
        <v>181</v>
      </c>
      <c r="G2929" s="19">
        <v>9.0043001E7</v>
      </c>
      <c r="H2929" s="15" t="s">
        <v>18</v>
      </c>
      <c r="I2929" s="20" t="s">
        <v>19</v>
      </c>
      <c r="J2929" s="21">
        <v>593448.0</v>
      </c>
      <c r="K2929" s="21">
        <v>4.0</v>
      </c>
    </row>
    <row r="2930">
      <c r="A2930" s="15" t="s">
        <v>74</v>
      </c>
      <c r="B2930" s="16" t="s">
        <v>167</v>
      </c>
      <c r="C2930" s="17" t="s">
        <v>168</v>
      </c>
      <c r="D2930" s="18">
        <v>4.0</v>
      </c>
      <c r="E2930" s="17" t="s">
        <v>95</v>
      </c>
      <c r="F2930" s="15" t="s">
        <v>96</v>
      </c>
      <c r="G2930" s="19">
        <v>5.1100061E7</v>
      </c>
      <c r="H2930" s="15" t="s">
        <v>42</v>
      </c>
      <c r="I2930" s="20" t="s">
        <v>37</v>
      </c>
      <c r="J2930" s="21">
        <v>8671628.0</v>
      </c>
      <c r="K2930" s="21">
        <v>126.63</v>
      </c>
    </row>
    <row r="2931">
      <c r="A2931" s="15" t="s">
        <v>74</v>
      </c>
      <c r="B2931" s="16" t="s">
        <v>167</v>
      </c>
      <c r="C2931" s="17" t="s">
        <v>168</v>
      </c>
      <c r="D2931" s="18">
        <v>4.0</v>
      </c>
      <c r="E2931" s="17" t="s">
        <v>95</v>
      </c>
      <c r="F2931" s="15" t="s">
        <v>96</v>
      </c>
      <c r="G2931" s="19">
        <v>9.0043001E7</v>
      </c>
      <c r="H2931" s="15" t="s">
        <v>18</v>
      </c>
      <c r="I2931" s="20" t="s">
        <v>19</v>
      </c>
      <c r="J2931" s="21">
        <v>0.0</v>
      </c>
      <c r="K2931" s="21">
        <v>0.0</v>
      </c>
    </row>
    <row r="2932">
      <c r="A2932" s="15" t="s">
        <v>74</v>
      </c>
      <c r="B2932" s="16" t="s">
        <v>167</v>
      </c>
      <c r="C2932" s="17" t="s">
        <v>168</v>
      </c>
      <c r="D2932" s="18">
        <v>4.0</v>
      </c>
      <c r="E2932" s="17" t="s">
        <v>95</v>
      </c>
      <c r="F2932" s="15" t="s">
        <v>96</v>
      </c>
      <c r="G2932" s="19">
        <v>5.1100774E7</v>
      </c>
      <c r="H2932" s="15" t="s">
        <v>39</v>
      </c>
      <c r="I2932" s="20" t="s">
        <v>17</v>
      </c>
      <c r="J2932" s="21">
        <v>1.3760202E7</v>
      </c>
      <c r="K2932" s="21">
        <v>247.18</v>
      </c>
    </row>
    <row r="2933">
      <c r="A2933" s="15" t="s">
        <v>74</v>
      </c>
      <c r="B2933" s="16" t="s">
        <v>167</v>
      </c>
      <c r="C2933" s="17" t="s">
        <v>168</v>
      </c>
      <c r="D2933" s="18">
        <v>4.0</v>
      </c>
      <c r="E2933" s="17" t="s">
        <v>103</v>
      </c>
      <c r="F2933" s="15" t="s">
        <v>104</v>
      </c>
      <c r="G2933" s="19">
        <v>5.1100058E7</v>
      </c>
      <c r="H2933" s="15" t="s">
        <v>36</v>
      </c>
      <c r="I2933" s="20" t="s">
        <v>37</v>
      </c>
      <c r="J2933" s="21">
        <v>0.0</v>
      </c>
      <c r="K2933" s="21">
        <v>0.0</v>
      </c>
    </row>
    <row r="2934">
      <c r="A2934" s="15" t="s">
        <v>74</v>
      </c>
      <c r="B2934" s="16" t="s">
        <v>167</v>
      </c>
      <c r="C2934" s="17" t="s">
        <v>168</v>
      </c>
      <c r="D2934" s="18">
        <v>4.0</v>
      </c>
      <c r="E2934" s="17" t="s">
        <v>103</v>
      </c>
      <c r="F2934" s="15" t="s">
        <v>104</v>
      </c>
      <c r="G2934" s="19">
        <v>5.1100061E7</v>
      </c>
      <c r="H2934" s="15" t="s">
        <v>42</v>
      </c>
      <c r="I2934" s="20" t="s">
        <v>37</v>
      </c>
      <c r="J2934" s="21">
        <v>8.301402E7</v>
      </c>
      <c r="K2934" s="21">
        <v>992.739</v>
      </c>
    </row>
    <row r="2935">
      <c r="A2935" s="15" t="s">
        <v>74</v>
      </c>
      <c r="B2935" s="16" t="s">
        <v>167</v>
      </c>
      <c r="C2935" s="17" t="s">
        <v>168</v>
      </c>
      <c r="D2935" s="18">
        <v>4.0</v>
      </c>
      <c r="E2935" s="17" t="s">
        <v>103</v>
      </c>
      <c r="F2935" s="15" t="s">
        <v>104</v>
      </c>
      <c r="G2935" s="19">
        <v>5.1100651E7</v>
      </c>
      <c r="H2935" s="15" t="s">
        <v>38</v>
      </c>
      <c r="I2935" s="20" t="s">
        <v>25</v>
      </c>
      <c r="J2935" s="21">
        <v>0.0</v>
      </c>
      <c r="K2935" s="21">
        <v>0.0</v>
      </c>
    </row>
    <row r="2936">
      <c r="A2936" s="15" t="s">
        <v>74</v>
      </c>
      <c r="B2936" s="16" t="s">
        <v>167</v>
      </c>
      <c r="C2936" s="17" t="s">
        <v>168</v>
      </c>
      <c r="D2936" s="18">
        <v>4.0</v>
      </c>
      <c r="E2936" s="17" t="s">
        <v>103</v>
      </c>
      <c r="F2936" s="15" t="s">
        <v>104</v>
      </c>
      <c r="G2936" s="19">
        <v>9.0043001E7</v>
      </c>
      <c r="H2936" s="15" t="s">
        <v>18</v>
      </c>
      <c r="I2936" s="20" t="s">
        <v>19</v>
      </c>
      <c r="J2936" s="21">
        <v>1.3378761E7</v>
      </c>
      <c r="K2936" s="21">
        <v>99.0</v>
      </c>
    </row>
    <row r="2937">
      <c r="A2937" s="15" t="s">
        <v>74</v>
      </c>
      <c r="B2937" s="16" t="s">
        <v>167</v>
      </c>
      <c r="C2937" s="17" t="s">
        <v>168</v>
      </c>
      <c r="D2937" s="18">
        <v>4.0</v>
      </c>
      <c r="E2937" s="17" t="s">
        <v>103</v>
      </c>
      <c r="F2937" s="15" t="s">
        <v>104</v>
      </c>
      <c r="G2937" s="19">
        <v>5.1100774E7</v>
      </c>
      <c r="H2937" s="15" t="s">
        <v>39</v>
      </c>
      <c r="I2937" s="20" t="s">
        <v>25</v>
      </c>
      <c r="J2937" s="21">
        <v>-30.0</v>
      </c>
      <c r="K2937" s="21">
        <v>0.0</v>
      </c>
    </row>
    <row r="2938">
      <c r="A2938" s="15" t="s">
        <v>74</v>
      </c>
      <c r="B2938" s="16" t="s">
        <v>167</v>
      </c>
      <c r="C2938" s="17" t="s">
        <v>168</v>
      </c>
      <c r="D2938" s="18">
        <v>4.0</v>
      </c>
      <c r="E2938" s="17" t="s">
        <v>103</v>
      </c>
      <c r="F2938" s="15" t="s">
        <v>104</v>
      </c>
      <c r="G2938" s="19">
        <v>5.1100774E7</v>
      </c>
      <c r="H2938" s="15" t="s">
        <v>39</v>
      </c>
      <c r="I2938" s="20" t="s">
        <v>17</v>
      </c>
      <c r="J2938" s="21">
        <v>8.8691456E7</v>
      </c>
      <c r="K2938" s="21">
        <v>597.45</v>
      </c>
    </row>
    <row r="2939">
      <c r="A2939" s="15" t="s">
        <v>74</v>
      </c>
      <c r="B2939" s="16" t="s">
        <v>167</v>
      </c>
      <c r="C2939" s="17" t="s">
        <v>168</v>
      </c>
      <c r="D2939" s="18">
        <v>4.0</v>
      </c>
      <c r="E2939" s="17" t="s">
        <v>175</v>
      </c>
      <c r="F2939" s="15" t="s">
        <v>176</v>
      </c>
      <c r="G2939" s="19">
        <v>5.1100651E7</v>
      </c>
      <c r="H2939" s="15" t="s">
        <v>38</v>
      </c>
      <c r="I2939" s="20" t="s">
        <v>25</v>
      </c>
      <c r="J2939" s="21">
        <v>0.0</v>
      </c>
      <c r="K2939" s="21">
        <v>0.0</v>
      </c>
    </row>
    <row r="2940">
      <c r="A2940" s="15" t="s">
        <v>74</v>
      </c>
      <c r="B2940" s="16" t="s">
        <v>167</v>
      </c>
      <c r="C2940" s="17" t="s">
        <v>168</v>
      </c>
      <c r="D2940" s="18">
        <v>4.0</v>
      </c>
      <c r="E2940" s="17" t="s">
        <v>175</v>
      </c>
      <c r="F2940" s="15" t="s">
        <v>176</v>
      </c>
      <c r="G2940" s="19">
        <v>9.0043002E7</v>
      </c>
      <c r="H2940" s="15" t="s">
        <v>49</v>
      </c>
      <c r="I2940" s="20" t="s">
        <v>50</v>
      </c>
      <c r="J2940" s="21">
        <v>1.2267069E7</v>
      </c>
      <c r="K2940" s="21">
        <v>707.0</v>
      </c>
    </row>
    <row r="2941">
      <c r="A2941" s="15" t="s">
        <v>74</v>
      </c>
      <c r="B2941" s="16" t="s">
        <v>167</v>
      </c>
      <c r="C2941" s="17" t="s">
        <v>168</v>
      </c>
      <c r="D2941" s="18">
        <v>4.0</v>
      </c>
      <c r="E2941" s="17" t="s">
        <v>175</v>
      </c>
      <c r="F2941" s="15" t="s">
        <v>176</v>
      </c>
      <c r="G2941" s="19">
        <v>5.1100774E7</v>
      </c>
      <c r="H2941" s="15" t="s">
        <v>39</v>
      </c>
      <c r="I2941" s="20" t="s">
        <v>17</v>
      </c>
      <c r="J2941" s="21">
        <v>8.3701162E7</v>
      </c>
      <c r="K2941" s="21">
        <v>558007.738</v>
      </c>
    </row>
    <row r="2942">
      <c r="A2942" s="15" t="s">
        <v>74</v>
      </c>
      <c r="B2942" s="16" t="s">
        <v>167</v>
      </c>
      <c r="C2942" s="17" t="s">
        <v>168</v>
      </c>
      <c r="D2942" s="18">
        <v>4.0</v>
      </c>
      <c r="E2942" s="17" t="s">
        <v>115</v>
      </c>
      <c r="F2942" s="15" t="s">
        <v>116</v>
      </c>
      <c r="G2942" s="19">
        <v>9.0043002E7</v>
      </c>
      <c r="H2942" s="15" t="s">
        <v>49</v>
      </c>
      <c r="I2942" s="20" t="s">
        <v>50</v>
      </c>
      <c r="J2942" s="21">
        <v>769191.0</v>
      </c>
      <c r="K2942" s="21">
        <v>45.0</v>
      </c>
    </row>
    <row r="2943">
      <c r="A2943" s="15" t="s">
        <v>74</v>
      </c>
      <c r="B2943" s="16" t="s">
        <v>167</v>
      </c>
      <c r="C2943" s="17" t="s">
        <v>168</v>
      </c>
      <c r="D2943" s="18">
        <v>4.0</v>
      </c>
      <c r="E2943" s="17" t="s">
        <v>117</v>
      </c>
      <c r="F2943" s="15" t="s">
        <v>118</v>
      </c>
      <c r="G2943" s="19">
        <v>5.1100058E7</v>
      </c>
      <c r="H2943" s="15" t="s">
        <v>36</v>
      </c>
      <c r="I2943" s="20" t="s">
        <v>37</v>
      </c>
      <c r="J2943" s="21">
        <v>5.035117322E9</v>
      </c>
      <c r="K2943" s="21">
        <v>669103.25</v>
      </c>
    </row>
    <row r="2944">
      <c r="A2944" s="15" t="s">
        <v>74</v>
      </c>
      <c r="B2944" s="16" t="s">
        <v>167</v>
      </c>
      <c r="C2944" s="17" t="s">
        <v>168</v>
      </c>
      <c r="D2944" s="18">
        <v>4.0</v>
      </c>
      <c r="E2944" s="17" t="s">
        <v>117</v>
      </c>
      <c r="F2944" s="15" t="s">
        <v>118</v>
      </c>
      <c r="G2944" s="19">
        <v>5.1100651E7</v>
      </c>
      <c r="H2944" s="15" t="s">
        <v>38</v>
      </c>
      <c r="I2944" s="20" t="s">
        <v>25</v>
      </c>
      <c r="J2944" s="21">
        <v>0.0</v>
      </c>
      <c r="K2944" s="21">
        <v>0.0</v>
      </c>
    </row>
    <row r="2945">
      <c r="A2945" s="15" t="s">
        <v>74</v>
      </c>
      <c r="B2945" s="16" t="s">
        <v>167</v>
      </c>
      <c r="C2945" s="17" t="s">
        <v>168</v>
      </c>
      <c r="D2945" s="18">
        <v>4.0</v>
      </c>
      <c r="E2945" s="17" t="s">
        <v>117</v>
      </c>
      <c r="F2945" s="15" t="s">
        <v>118</v>
      </c>
      <c r="G2945" s="19">
        <v>9.0043001E7</v>
      </c>
      <c r="H2945" s="15" t="s">
        <v>18</v>
      </c>
      <c r="I2945" s="20" t="s">
        <v>19</v>
      </c>
      <c r="J2945" s="21">
        <v>7.0294314E7</v>
      </c>
      <c r="K2945" s="21">
        <v>482.0</v>
      </c>
    </row>
    <row r="2946">
      <c r="A2946" s="15" t="s">
        <v>74</v>
      </c>
      <c r="B2946" s="16" t="s">
        <v>167</v>
      </c>
      <c r="C2946" s="17" t="s">
        <v>168</v>
      </c>
      <c r="D2946" s="18">
        <v>4.0</v>
      </c>
      <c r="E2946" s="17" t="s">
        <v>117</v>
      </c>
      <c r="F2946" s="15" t="s">
        <v>118</v>
      </c>
      <c r="G2946" s="19">
        <v>9.0043E7</v>
      </c>
      <c r="H2946" s="15" t="s">
        <v>83</v>
      </c>
      <c r="I2946" s="20" t="s">
        <v>19</v>
      </c>
      <c r="J2946" s="21">
        <v>2131808.0</v>
      </c>
      <c r="K2946" s="21">
        <v>14.0</v>
      </c>
    </row>
    <row r="2947">
      <c r="A2947" s="15" t="s">
        <v>74</v>
      </c>
      <c r="B2947" s="16" t="s">
        <v>167</v>
      </c>
      <c r="C2947" s="17" t="s">
        <v>168</v>
      </c>
      <c r="D2947" s="18">
        <v>4.0</v>
      </c>
      <c r="E2947" s="17" t="s">
        <v>117</v>
      </c>
      <c r="F2947" s="15" t="s">
        <v>118</v>
      </c>
      <c r="G2947" s="19">
        <v>5.1100774E7</v>
      </c>
      <c r="H2947" s="15" t="s">
        <v>39</v>
      </c>
      <c r="I2947" s="20" t="s">
        <v>25</v>
      </c>
      <c r="J2947" s="21">
        <v>-35.0</v>
      </c>
      <c r="K2947" s="21">
        <v>0.0</v>
      </c>
    </row>
    <row r="2948">
      <c r="A2948" s="15" t="s">
        <v>74</v>
      </c>
      <c r="B2948" s="16" t="s">
        <v>167</v>
      </c>
      <c r="C2948" s="17" t="s">
        <v>168</v>
      </c>
      <c r="D2948" s="18">
        <v>4.0</v>
      </c>
      <c r="E2948" s="17" t="s">
        <v>117</v>
      </c>
      <c r="F2948" s="15" t="s">
        <v>118</v>
      </c>
      <c r="G2948" s="19">
        <v>5.1100774E7</v>
      </c>
      <c r="H2948" s="15" t="s">
        <v>39</v>
      </c>
      <c r="I2948" s="20" t="s">
        <v>17</v>
      </c>
      <c r="J2948" s="21">
        <v>1.32074328E8</v>
      </c>
      <c r="K2948" s="21">
        <v>1601.48</v>
      </c>
    </row>
    <row r="2949">
      <c r="A2949" s="15" t="s">
        <v>74</v>
      </c>
      <c r="B2949" s="16" t="s">
        <v>167</v>
      </c>
      <c r="C2949" s="17" t="s">
        <v>168</v>
      </c>
      <c r="D2949" s="18">
        <v>4.0</v>
      </c>
      <c r="E2949" s="17" t="s">
        <v>119</v>
      </c>
      <c r="F2949" s="15" t="s">
        <v>120</v>
      </c>
      <c r="G2949" s="19">
        <v>9.0043001E7</v>
      </c>
      <c r="H2949" s="15" t="s">
        <v>18</v>
      </c>
      <c r="I2949" s="20" t="s">
        <v>19</v>
      </c>
      <c r="J2949" s="21">
        <v>6530177.0</v>
      </c>
      <c r="K2949" s="21">
        <v>47.0</v>
      </c>
    </row>
    <row r="2950">
      <c r="A2950" s="15" t="s">
        <v>74</v>
      </c>
      <c r="B2950" s="16" t="s">
        <v>167</v>
      </c>
      <c r="C2950" s="17" t="s">
        <v>168</v>
      </c>
      <c r="D2950" s="18">
        <v>4.0</v>
      </c>
      <c r="E2950" s="17" t="s">
        <v>119</v>
      </c>
      <c r="F2950" s="15" t="s">
        <v>120</v>
      </c>
      <c r="G2950" s="19">
        <v>5.1100774E7</v>
      </c>
      <c r="H2950" s="15" t="s">
        <v>39</v>
      </c>
      <c r="I2950" s="20" t="s">
        <v>17</v>
      </c>
      <c r="J2950" s="21">
        <v>4633075.0</v>
      </c>
      <c r="K2950" s="21">
        <v>4.16</v>
      </c>
    </row>
    <row r="2951">
      <c r="A2951" s="15" t="s">
        <v>74</v>
      </c>
      <c r="B2951" s="16" t="s">
        <v>167</v>
      </c>
      <c r="C2951" s="17" t="s">
        <v>168</v>
      </c>
      <c r="D2951" s="18">
        <v>4.0</v>
      </c>
      <c r="E2951" s="17" t="s">
        <v>123</v>
      </c>
      <c r="F2951" s="15" t="s">
        <v>124</v>
      </c>
      <c r="G2951" s="19">
        <v>5.1100774E7</v>
      </c>
      <c r="H2951" s="15" t="s">
        <v>39</v>
      </c>
      <c r="I2951" s="20" t="s">
        <v>25</v>
      </c>
      <c r="J2951" s="21">
        <v>-10.0</v>
      </c>
      <c r="K2951" s="21">
        <v>0.0</v>
      </c>
    </row>
    <row r="2952">
      <c r="A2952" s="15" t="s">
        <v>74</v>
      </c>
      <c r="B2952" s="16" t="s">
        <v>167</v>
      </c>
      <c r="C2952" s="17" t="s">
        <v>168</v>
      </c>
      <c r="D2952" s="18">
        <v>4.0</v>
      </c>
      <c r="E2952" s="17" t="s">
        <v>125</v>
      </c>
      <c r="F2952" s="15" t="s">
        <v>126</v>
      </c>
      <c r="G2952" s="19">
        <v>5.1100064E7</v>
      </c>
      <c r="H2952" s="15" t="s">
        <v>53</v>
      </c>
      <c r="I2952" s="20" t="s">
        <v>25</v>
      </c>
      <c r="J2952" s="21">
        <v>1.245E7</v>
      </c>
      <c r="K2952" s="21">
        <v>0.0</v>
      </c>
    </row>
    <row r="2953">
      <c r="A2953" s="15" t="s">
        <v>74</v>
      </c>
      <c r="B2953" s="16" t="s">
        <v>167</v>
      </c>
      <c r="C2953" s="17" t="s">
        <v>168</v>
      </c>
      <c r="D2953" s="18">
        <v>4.0</v>
      </c>
      <c r="E2953" s="17" t="s">
        <v>125</v>
      </c>
      <c r="F2953" s="15" t="s">
        <v>126</v>
      </c>
      <c r="G2953" s="19">
        <v>5.1101056E7</v>
      </c>
      <c r="H2953" s="15" t="s">
        <v>16</v>
      </c>
      <c r="I2953" s="20" t="s">
        <v>25</v>
      </c>
      <c r="J2953" s="21">
        <v>0.0</v>
      </c>
      <c r="K2953" s="21">
        <v>0.0</v>
      </c>
    </row>
    <row r="2954">
      <c r="A2954" s="15" t="s">
        <v>74</v>
      </c>
      <c r="B2954" s="16" t="s">
        <v>167</v>
      </c>
      <c r="C2954" s="17" t="s">
        <v>168</v>
      </c>
      <c r="D2954" s="18">
        <v>4.0</v>
      </c>
      <c r="E2954" s="17" t="s">
        <v>125</v>
      </c>
      <c r="F2954" s="15" t="s">
        <v>126</v>
      </c>
      <c r="G2954" s="19">
        <v>5.1101056E7</v>
      </c>
      <c r="H2954" s="15" t="s">
        <v>16</v>
      </c>
      <c r="I2954" s="20" t="s">
        <v>17</v>
      </c>
      <c r="J2954" s="21">
        <v>1.61485699E8</v>
      </c>
      <c r="K2954" s="21">
        <v>1178727.748</v>
      </c>
    </row>
    <row r="2955">
      <c r="A2955" s="15" t="s">
        <v>74</v>
      </c>
      <c r="B2955" s="16" t="s">
        <v>167</v>
      </c>
      <c r="C2955" s="17" t="s">
        <v>168</v>
      </c>
      <c r="D2955" s="18">
        <v>4.0</v>
      </c>
      <c r="E2955" s="17" t="s">
        <v>125</v>
      </c>
      <c r="F2955" s="15" t="s">
        <v>126</v>
      </c>
      <c r="G2955" s="19">
        <v>9.0043001E7</v>
      </c>
      <c r="H2955" s="15" t="s">
        <v>18</v>
      </c>
      <c r="I2955" s="20" t="s">
        <v>19</v>
      </c>
      <c r="J2955" s="21">
        <v>6.242668E8</v>
      </c>
      <c r="K2955" s="21">
        <v>4340.5</v>
      </c>
    </row>
    <row r="2956">
      <c r="A2956" s="15" t="s">
        <v>74</v>
      </c>
      <c r="B2956" s="16" t="s">
        <v>167</v>
      </c>
      <c r="C2956" s="17" t="s">
        <v>168</v>
      </c>
      <c r="D2956" s="18">
        <v>4.0</v>
      </c>
      <c r="E2956" s="17" t="s">
        <v>125</v>
      </c>
      <c r="F2956" s="15" t="s">
        <v>126</v>
      </c>
      <c r="G2956" s="19">
        <v>9.0043E7</v>
      </c>
      <c r="H2956" s="15" t="s">
        <v>83</v>
      </c>
      <c r="I2956" s="20" t="s">
        <v>19</v>
      </c>
      <c r="J2956" s="21">
        <v>1.2532534E7</v>
      </c>
      <c r="K2956" s="21">
        <v>82.0</v>
      </c>
    </row>
    <row r="2957">
      <c r="A2957" s="15" t="s">
        <v>74</v>
      </c>
      <c r="B2957" s="16" t="s">
        <v>167</v>
      </c>
      <c r="C2957" s="17" t="s">
        <v>168</v>
      </c>
      <c r="D2957" s="18">
        <v>4.0</v>
      </c>
      <c r="E2957" s="17" t="s">
        <v>127</v>
      </c>
      <c r="F2957" s="15" t="s">
        <v>128</v>
      </c>
      <c r="G2957" s="19">
        <v>5.1100153E7</v>
      </c>
      <c r="H2957" s="15" t="s">
        <v>72</v>
      </c>
      <c r="I2957" s="20" t="s">
        <v>17</v>
      </c>
      <c r="J2957" s="21">
        <v>6.88541706E8</v>
      </c>
      <c r="K2957" s="21">
        <v>5030390.0</v>
      </c>
    </row>
    <row r="2958">
      <c r="A2958" s="15" t="s">
        <v>74</v>
      </c>
      <c r="B2958" s="16" t="s">
        <v>167</v>
      </c>
      <c r="C2958" s="17" t="s">
        <v>168</v>
      </c>
      <c r="D2958" s="18">
        <v>4.0</v>
      </c>
      <c r="E2958" s="17" t="s">
        <v>127</v>
      </c>
      <c r="F2958" s="15" t="s">
        <v>128</v>
      </c>
      <c r="G2958" s="19">
        <v>9.0043002E7</v>
      </c>
      <c r="H2958" s="15" t="s">
        <v>49</v>
      </c>
      <c r="I2958" s="20" t="s">
        <v>50</v>
      </c>
      <c r="J2958" s="21">
        <v>8.1020433E7</v>
      </c>
      <c r="K2958" s="21">
        <v>4818.0</v>
      </c>
    </row>
    <row r="2959">
      <c r="A2959" s="15" t="s">
        <v>74</v>
      </c>
      <c r="B2959" s="16" t="s">
        <v>167</v>
      </c>
      <c r="C2959" s="17" t="s">
        <v>168</v>
      </c>
      <c r="D2959" s="18">
        <v>4.0</v>
      </c>
      <c r="E2959" s="17" t="s">
        <v>129</v>
      </c>
      <c r="F2959" s="15" t="s">
        <v>130</v>
      </c>
      <c r="G2959" s="19">
        <v>5.1101056E7</v>
      </c>
      <c r="H2959" s="15" t="s">
        <v>16</v>
      </c>
      <c r="I2959" s="20" t="s">
        <v>17</v>
      </c>
      <c r="J2959" s="21">
        <v>8.105132E7</v>
      </c>
      <c r="K2959" s="21">
        <v>1157876.0</v>
      </c>
    </row>
    <row r="2960">
      <c r="A2960" s="15" t="s">
        <v>74</v>
      </c>
      <c r="B2960" s="16" t="s">
        <v>167</v>
      </c>
      <c r="C2960" s="17" t="s">
        <v>168</v>
      </c>
      <c r="D2960" s="18">
        <v>4.0</v>
      </c>
      <c r="E2960" s="17" t="s">
        <v>129</v>
      </c>
      <c r="F2960" s="15" t="s">
        <v>130</v>
      </c>
      <c r="G2960" s="19">
        <v>9.0043001E7</v>
      </c>
      <c r="H2960" s="15" t="s">
        <v>18</v>
      </c>
      <c r="I2960" s="20" t="s">
        <v>19</v>
      </c>
      <c r="J2960" s="21">
        <v>3792750.0</v>
      </c>
      <c r="K2960" s="21">
        <v>25.0</v>
      </c>
    </row>
    <row r="2961">
      <c r="A2961" s="15" t="s">
        <v>74</v>
      </c>
      <c r="B2961" s="16" t="s">
        <v>167</v>
      </c>
      <c r="C2961" s="17" t="s">
        <v>168</v>
      </c>
      <c r="D2961" s="18">
        <v>4.0</v>
      </c>
      <c r="E2961" s="17" t="s">
        <v>129</v>
      </c>
      <c r="F2961" s="15" t="s">
        <v>130</v>
      </c>
      <c r="G2961" s="19">
        <v>9.0043003E7</v>
      </c>
      <c r="H2961" s="15" t="s">
        <v>90</v>
      </c>
      <c r="I2961" s="20" t="s">
        <v>50</v>
      </c>
      <c r="J2961" s="21">
        <v>4.6812373E7</v>
      </c>
      <c r="K2961" s="21">
        <v>327.0</v>
      </c>
    </row>
    <row r="2962">
      <c r="A2962" s="15" t="s">
        <v>74</v>
      </c>
      <c r="B2962" s="16" t="s">
        <v>167</v>
      </c>
      <c r="C2962" s="17" t="s">
        <v>168</v>
      </c>
      <c r="D2962" s="18">
        <v>4.0</v>
      </c>
      <c r="E2962" s="17" t="s">
        <v>135</v>
      </c>
      <c r="F2962" s="15" t="s">
        <v>136</v>
      </c>
      <c r="G2962" s="19">
        <v>9.0043001E7</v>
      </c>
      <c r="H2962" s="15" t="s">
        <v>18</v>
      </c>
      <c r="I2962" s="20" t="s">
        <v>19</v>
      </c>
      <c r="J2962" s="21">
        <v>5.84098E7</v>
      </c>
      <c r="K2962" s="21">
        <v>404.0</v>
      </c>
    </row>
    <row r="2963">
      <c r="A2963" s="15" t="s">
        <v>74</v>
      </c>
      <c r="B2963" s="16" t="s">
        <v>167</v>
      </c>
      <c r="C2963" s="17" t="s">
        <v>168</v>
      </c>
      <c r="D2963" s="18">
        <v>4.0</v>
      </c>
      <c r="E2963" s="17" t="s">
        <v>162</v>
      </c>
      <c r="F2963" s="15" t="s">
        <v>163</v>
      </c>
      <c r="G2963" s="19">
        <v>9.0043001E7</v>
      </c>
      <c r="H2963" s="15" t="s">
        <v>18</v>
      </c>
      <c r="I2963" s="20" t="s">
        <v>19</v>
      </c>
      <c r="J2963" s="21">
        <v>1.9645526E7</v>
      </c>
      <c r="K2963" s="21">
        <v>137.0</v>
      </c>
    </row>
    <row r="2964">
      <c r="A2964" s="15" t="s">
        <v>74</v>
      </c>
      <c r="B2964" s="16" t="s">
        <v>167</v>
      </c>
      <c r="C2964" s="17" t="s">
        <v>168</v>
      </c>
      <c r="D2964" s="18">
        <v>4.0</v>
      </c>
      <c r="E2964" s="17" t="s">
        <v>54</v>
      </c>
      <c r="F2964" s="15" t="s">
        <v>139</v>
      </c>
      <c r="G2964" s="19">
        <v>9.0042011E7</v>
      </c>
      <c r="H2964" s="15" t="s">
        <v>55</v>
      </c>
      <c r="I2964" s="20" t="s">
        <v>19</v>
      </c>
      <c r="J2964" s="21">
        <v>2.49831375E8</v>
      </c>
      <c r="K2964" s="21">
        <v>0.0</v>
      </c>
    </row>
    <row r="2965">
      <c r="A2965" s="15" t="s">
        <v>74</v>
      </c>
      <c r="B2965" s="16" t="s">
        <v>167</v>
      </c>
      <c r="C2965" s="17" t="s">
        <v>168</v>
      </c>
      <c r="D2965" s="18">
        <v>4.0</v>
      </c>
      <c r="E2965" s="17" t="s">
        <v>20</v>
      </c>
      <c r="F2965" s="15" t="s">
        <v>140</v>
      </c>
      <c r="G2965" s="19">
        <v>9.0042014E7</v>
      </c>
      <c r="H2965" s="15" t="s">
        <v>21</v>
      </c>
      <c r="I2965" s="20" t="s">
        <v>19</v>
      </c>
      <c r="J2965" s="21">
        <v>5.78029837E8</v>
      </c>
      <c r="K2965" s="21">
        <v>0.0</v>
      </c>
    </row>
    <row r="2966">
      <c r="A2966" s="15" t="s">
        <v>74</v>
      </c>
      <c r="B2966" s="16" t="s">
        <v>167</v>
      </c>
      <c r="C2966" s="17" t="s">
        <v>168</v>
      </c>
      <c r="D2966" s="18">
        <v>4.0</v>
      </c>
      <c r="E2966" s="17" t="s">
        <v>20</v>
      </c>
      <c r="F2966" s="15" t="s">
        <v>140</v>
      </c>
      <c r="G2966" s="19">
        <v>9.0042077E7</v>
      </c>
      <c r="H2966" s="15" t="s">
        <v>141</v>
      </c>
      <c r="I2966" s="20" t="s">
        <v>19</v>
      </c>
      <c r="J2966" s="21">
        <v>2.66354751E8</v>
      </c>
      <c r="K2966" s="21">
        <v>0.0</v>
      </c>
    </row>
    <row r="2967">
      <c r="A2967" s="15" t="s">
        <v>74</v>
      </c>
      <c r="B2967" s="16" t="s">
        <v>167</v>
      </c>
      <c r="C2967" s="17" t="s">
        <v>168</v>
      </c>
      <c r="D2967" s="18">
        <v>4.0</v>
      </c>
      <c r="E2967" s="17" t="s">
        <v>142</v>
      </c>
      <c r="F2967" s="15" t="s">
        <v>143</v>
      </c>
      <c r="G2967" s="19">
        <v>9.0042013E7</v>
      </c>
      <c r="H2967" s="15" t="s">
        <v>144</v>
      </c>
      <c r="I2967" s="20" t="s">
        <v>19</v>
      </c>
      <c r="J2967" s="21">
        <v>1612589.0</v>
      </c>
      <c r="K2967" s="21">
        <v>0.0</v>
      </c>
    </row>
    <row r="2968">
      <c r="A2968" s="15" t="s">
        <v>74</v>
      </c>
      <c r="B2968" s="16" t="s">
        <v>167</v>
      </c>
      <c r="C2968" s="17" t="s">
        <v>168</v>
      </c>
      <c r="D2968" s="18">
        <v>4.0</v>
      </c>
      <c r="E2968" s="17" t="s">
        <v>142</v>
      </c>
      <c r="F2968" s="15" t="s">
        <v>143</v>
      </c>
      <c r="G2968" s="19">
        <v>9.0042084E7</v>
      </c>
      <c r="H2968" s="15" t="s">
        <v>145</v>
      </c>
      <c r="I2968" s="20" t="s">
        <v>19</v>
      </c>
      <c r="J2968" s="21">
        <v>1.258144E7</v>
      </c>
      <c r="K2968" s="21">
        <v>0.0</v>
      </c>
    </row>
    <row r="2969">
      <c r="A2969" s="15" t="s">
        <v>74</v>
      </c>
      <c r="B2969" s="16" t="s">
        <v>167</v>
      </c>
      <c r="C2969" s="17" t="s">
        <v>168</v>
      </c>
      <c r="D2969" s="18">
        <v>4.0</v>
      </c>
      <c r="E2969" s="17" t="s">
        <v>22</v>
      </c>
      <c r="F2969" s="15" t="s">
        <v>146</v>
      </c>
      <c r="G2969" s="19">
        <v>9.0042012E7</v>
      </c>
      <c r="H2969" s="15" t="s">
        <v>23</v>
      </c>
      <c r="I2969" s="20" t="s">
        <v>19</v>
      </c>
      <c r="J2969" s="21">
        <v>2.15439654E8</v>
      </c>
      <c r="K2969" s="21">
        <v>0.0</v>
      </c>
    </row>
    <row r="2970">
      <c r="A2970" s="15" t="s">
        <v>74</v>
      </c>
      <c r="B2970" s="16" t="s">
        <v>167</v>
      </c>
      <c r="C2970" s="17" t="s">
        <v>168</v>
      </c>
      <c r="D2970" s="18">
        <v>4.0</v>
      </c>
      <c r="E2970" s="17" t="s">
        <v>22</v>
      </c>
      <c r="F2970" s="15" t="s">
        <v>146</v>
      </c>
      <c r="G2970" s="19">
        <v>9.0042121E7</v>
      </c>
      <c r="H2970" s="15" t="s">
        <v>24</v>
      </c>
      <c r="I2970" s="20" t="s">
        <v>25</v>
      </c>
      <c r="J2970" s="21">
        <v>1.4033739E8</v>
      </c>
      <c r="K2970" s="21">
        <v>0.0</v>
      </c>
    </row>
    <row r="2971">
      <c r="A2971" s="15" t="s">
        <v>74</v>
      </c>
      <c r="B2971" s="16" t="s">
        <v>167</v>
      </c>
      <c r="C2971" s="17" t="s">
        <v>168</v>
      </c>
      <c r="D2971" s="18">
        <v>4.0</v>
      </c>
      <c r="E2971" s="17" t="s">
        <v>22</v>
      </c>
      <c r="F2971" s="15" t="s">
        <v>146</v>
      </c>
      <c r="G2971" s="19">
        <v>9.0042122E7</v>
      </c>
      <c r="H2971" s="15" t="s">
        <v>56</v>
      </c>
      <c r="I2971" s="20" t="s">
        <v>25</v>
      </c>
      <c r="J2971" s="21">
        <v>8279408.0</v>
      </c>
      <c r="K2971" s="21">
        <v>0.0</v>
      </c>
    </row>
    <row r="2972">
      <c r="A2972" s="15" t="s">
        <v>74</v>
      </c>
      <c r="B2972" s="16" t="s">
        <v>167</v>
      </c>
      <c r="C2972" s="17" t="s">
        <v>168</v>
      </c>
      <c r="D2972" s="18">
        <v>4.0</v>
      </c>
      <c r="E2972" s="17" t="s">
        <v>22</v>
      </c>
      <c r="F2972" s="15" t="s">
        <v>146</v>
      </c>
      <c r="G2972" s="19">
        <v>9.0042124E7</v>
      </c>
      <c r="H2972" s="15" t="s">
        <v>57</v>
      </c>
      <c r="I2972" s="20" t="s">
        <v>25</v>
      </c>
      <c r="J2972" s="21">
        <v>1.8366559E7</v>
      </c>
      <c r="K2972" s="21">
        <v>0.0</v>
      </c>
    </row>
    <row r="2973">
      <c r="A2973" s="15" t="s">
        <v>74</v>
      </c>
      <c r="B2973" s="16" t="s">
        <v>167</v>
      </c>
      <c r="C2973" s="17" t="s">
        <v>168</v>
      </c>
      <c r="D2973" s="18">
        <v>4.0</v>
      </c>
      <c r="E2973" s="17" t="s">
        <v>22</v>
      </c>
      <c r="F2973" s="15" t="s">
        <v>146</v>
      </c>
      <c r="G2973" s="19">
        <v>9.0042125E7</v>
      </c>
      <c r="H2973" s="15" t="s">
        <v>26</v>
      </c>
      <c r="I2973" s="20" t="s">
        <v>25</v>
      </c>
      <c r="J2973" s="21">
        <v>6.9279156E7</v>
      </c>
      <c r="K2973" s="21">
        <v>0.0</v>
      </c>
    </row>
    <row r="2974">
      <c r="A2974" s="15" t="s">
        <v>74</v>
      </c>
      <c r="B2974" s="16" t="s">
        <v>167</v>
      </c>
      <c r="C2974" s="17" t="s">
        <v>168</v>
      </c>
      <c r="D2974" s="18">
        <v>4.0</v>
      </c>
      <c r="E2974" s="17" t="s">
        <v>22</v>
      </c>
      <c r="F2974" s="15" t="s">
        <v>146</v>
      </c>
      <c r="G2974" s="19">
        <v>9.0042127E7</v>
      </c>
      <c r="H2974" s="15" t="s">
        <v>27</v>
      </c>
      <c r="I2974" s="20" t="s">
        <v>25</v>
      </c>
      <c r="J2974" s="21">
        <v>3.3687685E7</v>
      </c>
      <c r="K2974" s="21">
        <v>0.0</v>
      </c>
    </row>
    <row r="2975">
      <c r="A2975" s="15" t="s">
        <v>74</v>
      </c>
      <c r="B2975" s="16" t="s">
        <v>167</v>
      </c>
      <c r="C2975" s="17" t="s">
        <v>168</v>
      </c>
      <c r="D2975" s="18">
        <v>4.0</v>
      </c>
      <c r="E2975" s="17" t="s">
        <v>22</v>
      </c>
      <c r="F2975" s="15" t="s">
        <v>146</v>
      </c>
      <c r="G2975" s="19">
        <v>9.0042128E7</v>
      </c>
      <c r="H2975" s="15" t="s">
        <v>58</v>
      </c>
      <c r="I2975" s="20" t="s">
        <v>25</v>
      </c>
      <c r="J2975" s="21">
        <v>9585532.0</v>
      </c>
      <c r="K2975" s="21">
        <v>0.0</v>
      </c>
    </row>
    <row r="2976">
      <c r="A2976" s="15" t="s">
        <v>74</v>
      </c>
      <c r="B2976" s="16" t="s">
        <v>167</v>
      </c>
      <c r="C2976" s="17" t="s">
        <v>168</v>
      </c>
      <c r="D2976" s="18">
        <v>4.0</v>
      </c>
      <c r="E2976" s="17" t="s">
        <v>22</v>
      </c>
      <c r="F2976" s="15" t="s">
        <v>146</v>
      </c>
      <c r="G2976" s="19">
        <v>9.0042132E7</v>
      </c>
      <c r="H2976" s="15" t="s">
        <v>28</v>
      </c>
      <c r="I2976" s="20" t="s">
        <v>25</v>
      </c>
      <c r="J2976" s="21">
        <v>8189354.0</v>
      </c>
      <c r="K2976" s="21">
        <v>0.0</v>
      </c>
    </row>
    <row r="2977">
      <c r="A2977" s="15" t="s">
        <v>74</v>
      </c>
      <c r="B2977" s="16" t="s">
        <v>167</v>
      </c>
      <c r="C2977" s="17" t="s">
        <v>168</v>
      </c>
      <c r="D2977" s="18">
        <v>4.0</v>
      </c>
      <c r="E2977" s="17" t="s">
        <v>22</v>
      </c>
      <c r="F2977" s="15" t="s">
        <v>146</v>
      </c>
      <c r="G2977" s="19">
        <v>9.0042135E7</v>
      </c>
      <c r="H2977" s="15" t="s">
        <v>30</v>
      </c>
      <c r="I2977" s="20" t="s">
        <v>25</v>
      </c>
      <c r="J2977" s="21">
        <v>2.19470688E8</v>
      </c>
      <c r="K2977" s="21">
        <v>0.0</v>
      </c>
    </row>
    <row r="2978">
      <c r="A2978" s="15" t="s">
        <v>74</v>
      </c>
      <c r="B2978" s="16" t="s">
        <v>167</v>
      </c>
      <c r="C2978" s="17" t="s">
        <v>168</v>
      </c>
      <c r="D2978" s="18">
        <v>4.0</v>
      </c>
      <c r="E2978" s="17" t="s">
        <v>22</v>
      </c>
      <c r="F2978" s="15" t="s">
        <v>146</v>
      </c>
      <c r="G2978" s="19">
        <v>9.00422E7</v>
      </c>
      <c r="H2978" s="15" t="s">
        <v>73</v>
      </c>
      <c r="I2978" s="20" t="s">
        <v>60</v>
      </c>
      <c r="J2978" s="21">
        <v>1.048353761E9</v>
      </c>
      <c r="K2978" s="21">
        <v>0.0</v>
      </c>
    </row>
    <row r="2979">
      <c r="A2979" s="15" t="s">
        <v>74</v>
      </c>
      <c r="B2979" s="16" t="s">
        <v>167</v>
      </c>
      <c r="C2979" s="17" t="s">
        <v>168</v>
      </c>
      <c r="D2979" s="18">
        <v>4.0</v>
      </c>
      <c r="E2979" s="17" t="s">
        <v>22</v>
      </c>
      <c r="F2979" s="15" t="s">
        <v>146</v>
      </c>
      <c r="G2979" s="19">
        <v>9.0042223E7</v>
      </c>
      <c r="H2979" s="15" t="s">
        <v>61</v>
      </c>
      <c r="I2979" s="20" t="s">
        <v>60</v>
      </c>
      <c r="J2979" s="21">
        <v>7852266.0</v>
      </c>
      <c r="K2979" s="21">
        <v>0.0</v>
      </c>
    </row>
    <row r="2980">
      <c r="A2980" s="15" t="s">
        <v>74</v>
      </c>
      <c r="B2980" s="16" t="s">
        <v>167</v>
      </c>
      <c r="C2980" s="17" t="s">
        <v>168</v>
      </c>
      <c r="D2980" s="18">
        <v>4.0</v>
      </c>
      <c r="E2980" s="17" t="s">
        <v>22</v>
      </c>
      <c r="F2980" s="15" t="s">
        <v>146</v>
      </c>
      <c r="G2980" s="19">
        <v>9.0042224E7</v>
      </c>
      <c r="H2980" s="15" t="s">
        <v>62</v>
      </c>
      <c r="I2980" s="20" t="s">
        <v>60</v>
      </c>
      <c r="J2980" s="21">
        <v>4757271.0</v>
      </c>
      <c r="K2980" s="21">
        <v>0.0</v>
      </c>
    </row>
    <row r="2981">
      <c r="A2981" s="15" t="s">
        <v>74</v>
      </c>
      <c r="B2981" s="16" t="s">
        <v>167</v>
      </c>
      <c r="C2981" s="17" t="s">
        <v>168</v>
      </c>
      <c r="D2981" s="18">
        <v>4.0</v>
      </c>
      <c r="E2981" s="17" t="s">
        <v>22</v>
      </c>
      <c r="F2981" s="15" t="s">
        <v>146</v>
      </c>
      <c r="G2981" s="19">
        <v>9.0042225E7</v>
      </c>
      <c r="H2981" s="15" t="s">
        <v>147</v>
      </c>
      <c r="I2981" s="20" t="s">
        <v>60</v>
      </c>
      <c r="J2981" s="21">
        <v>6123491.0</v>
      </c>
      <c r="K2981" s="21">
        <v>0.0</v>
      </c>
    </row>
    <row r="2982">
      <c r="A2982" s="15" t="s">
        <v>74</v>
      </c>
      <c r="B2982" s="16" t="s">
        <v>167</v>
      </c>
      <c r="C2982" s="17" t="s">
        <v>168</v>
      </c>
      <c r="D2982" s="18">
        <v>4.0</v>
      </c>
      <c r="E2982" s="17" t="s">
        <v>22</v>
      </c>
      <c r="F2982" s="15" t="s">
        <v>146</v>
      </c>
      <c r="G2982" s="19">
        <v>9.0042226E7</v>
      </c>
      <c r="H2982" s="15" t="s">
        <v>63</v>
      </c>
      <c r="I2982" s="20" t="s">
        <v>60</v>
      </c>
      <c r="J2982" s="21">
        <v>220000.0</v>
      </c>
      <c r="K2982" s="21">
        <v>0.0</v>
      </c>
    </row>
    <row r="2983">
      <c r="A2983" s="15" t="s">
        <v>74</v>
      </c>
      <c r="B2983" s="16" t="s">
        <v>167</v>
      </c>
      <c r="C2983" s="17" t="s">
        <v>168</v>
      </c>
      <c r="D2983" s="18">
        <v>4.0</v>
      </c>
      <c r="E2983" s="17" t="s">
        <v>22</v>
      </c>
      <c r="F2983" s="15" t="s">
        <v>146</v>
      </c>
      <c r="G2983" s="19">
        <v>9.0042228E7</v>
      </c>
      <c r="H2983" s="15" t="s">
        <v>64</v>
      </c>
      <c r="I2983" s="20" t="s">
        <v>60</v>
      </c>
      <c r="J2983" s="21">
        <v>1.10789925E8</v>
      </c>
      <c r="K2983" s="21">
        <v>0.0</v>
      </c>
    </row>
    <row r="2984">
      <c r="A2984" s="15" t="s">
        <v>74</v>
      </c>
      <c r="B2984" s="16" t="s">
        <v>167</v>
      </c>
      <c r="C2984" s="17" t="s">
        <v>168</v>
      </c>
      <c r="D2984" s="18">
        <v>4.0</v>
      </c>
      <c r="E2984" s="17" t="s">
        <v>22</v>
      </c>
      <c r="F2984" s="15" t="s">
        <v>146</v>
      </c>
      <c r="G2984" s="19">
        <v>9.0042231E7</v>
      </c>
      <c r="H2984" s="15" t="s">
        <v>65</v>
      </c>
      <c r="I2984" s="20" t="s">
        <v>60</v>
      </c>
      <c r="J2984" s="21">
        <v>8491629.0</v>
      </c>
      <c r="K2984" s="21">
        <v>0.0</v>
      </c>
    </row>
    <row r="2985">
      <c r="A2985" s="15" t="s">
        <v>74</v>
      </c>
      <c r="B2985" s="16" t="s">
        <v>167</v>
      </c>
      <c r="C2985" s="17" t="s">
        <v>168</v>
      </c>
      <c r="D2985" s="18">
        <v>4.0</v>
      </c>
      <c r="E2985" s="17" t="s">
        <v>22</v>
      </c>
      <c r="F2985" s="15" t="s">
        <v>146</v>
      </c>
      <c r="G2985" s="19">
        <v>9.0042126E7</v>
      </c>
      <c r="H2985" s="15" t="s">
        <v>31</v>
      </c>
      <c r="I2985" s="20" t="s">
        <v>25</v>
      </c>
      <c r="J2985" s="21">
        <v>8.882158E7</v>
      </c>
      <c r="K2985" s="21">
        <v>0.0</v>
      </c>
    </row>
    <row r="2986">
      <c r="A2986" s="15" t="s">
        <v>74</v>
      </c>
      <c r="B2986" s="16" t="s">
        <v>167</v>
      </c>
      <c r="C2986" s="17" t="s">
        <v>168</v>
      </c>
      <c r="D2986" s="18">
        <v>4.0</v>
      </c>
      <c r="E2986" s="17" t="s">
        <v>183</v>
      </c>
      <c r="F2986" s="15" t="s">
        <v>184</v>
      </c>
      <c r="G2986" s="19">
        <v>9.0043001E7</v>
      </c>
      <c r="H2986" s="15" t="s">
        <v>18</v>
      </c>
      <c r="I2986" s="20" t="s">
        <v>19</v>
      </c>
      <c r="J2986" s="21">
        <v>296724.0</v>
      </c>
      <c r="K2986" s="21">
        <v>2.0</v>
      </c>
    </row>
    <row r="2987">
      <c r="A2987" s="15" t="s">
        <v>74</v>
      </c>
      <c r="B2987" s="16" t="s">
        <v>167</v>
      </c>
      <c r="C2987" s="17" t="s">
        <v>168</v>
      </c>
      <c r="D2987" s="18">
        <v>4.0</v>
      </c>
      <c r="E2987" s="24">
        <v>46246.0</v>
      </c>
      <c r="F2987" s="15" t="s">
        <v>302</v>
      </c>
      <c r="G2987" s="19">
        <v>5.1101999E7</v>
      </c>
      <c r="H2987" s="15" t="s">
        <v>107</v>
      </c>
      <c r="I2987" s="20" t="s">
        <v>25</v>
      </c>
      <c r="J2987" s="21">
        <v>0.0</v>
      </c>
      <c r="K2987" s="21">
        <v>0.0</v>
      </c>
    </row>
    <row r="2988">
      <c r="A2988" s="15" t="s">
        <v>74</v>
      </c>
      <c r="B2988" s="16" t="s">
        <v>167</v>
      </c>
      <c r="C2988" s="17" t="s">
        <v>168</v>
      </c>
      <c r="D2988" s="18">
        <v>4.0</v>
      </c>
      <c r="E2988" s="24">
        <v>46036.0</v>
      </c>
      <c r="F2988" s="15" t="s">
        <v>303</v>
      </c>
      <c r="G2988" s="19">
        <v>5.1101999E7</v>
      </c>
      <c r="H2988" s="15" t="s">
        <v>107</v>
      </c>
      <c r="I2988" s="20" t="s">
        <v>25</v>
      </c>
      <c r="J2988" s="21">
        <v>0.0</v>
      </c>
      <c r="K2988" s="21">
        <v>0.0</v>
      </c>
    </row>
    <row r="2989">
      <c r="A2989" s="15" t="s">
        <v>74</v>
      </c>
      <c r="B2989" s="16" t="s">
        <v>167</v>
      </c>
      <c r="C2989" s="17" t="s">
        <v>168</v>
      </c>
      <c r="D2989" s="18">
        <v>4.0</v>
      </c>
      <c r="E2989" s="24">
        <v>46215.0</v>
      </c>
      <c r="F2989" s="15" t="s">
        <v>305</v>
      </c>
      <c r="G2989" s="19">
        <v>5.1101999E7</v>
      </c>
      <c r="H2989" s="15" t="s">
        <v>107</v>
      </c>
      <c r="I2989" s="20" t="s">
        <v>25</v>
      </c>
      <c r="J2989" s="21">
        <v>0.0</v>
      </c>
      <c r="K2989" s="21">
        <v>0.0</v>
      </c>
    </row>
    <row r="2990">
      <c r="A2990" s="15" t="s">
        <v>74</v>
      </c>
      <c r="B2990" s="16" t="s">
        <v>167</v>
      </c>
      <c r="C2990" s="17" t="s">
        <v>168</v>
      </c>
      <c r="D2990" s="18">
        <v>4.0</v>
      </c>
      <c r="E2990" s="24">
        <v>46277.0</v>
      </c>
      <c r="F2990" s="15" t="s">
        <v>306</v>
      </c>
      <c r="G2990" s="19">
        <v>5.1101999E7</v>
      </c>
      <c r="H2990" s="15" t="s">
        <v>107</v>
      </c>
      <c r="I2990" s="20" t="s">
        <v>25</v>
      </c>
      <c r="J2990" s="21">
        <v>0.0</v>
      </c>
      <c r="K2990" s="21">
        <v>0.0</v>
      </c>
    </row>
    <row r="2991">
      <c r="A2991" s="15" t="s">
        <v>74</v>
      </c>
      <c r="B2991" s="16" t="s">
        <v>167</v>
      </c>
      <c r="C2991" s="17" t="s">
        <v>168</v>
      </c>
      <c r="D2991" s="18">
        <v>4.0</v>
      </c>
      <c r="E2991" s="24">
        <v>46037.0</v>
      </c>
      <c r="F2991" s="15" t="s">
        <v>307</v>
      </c>
      <c r="G2991" s="19">
        <v>5.1101999E7</v>
      </c>
      <c r="H2991" s="15" t="s">
        <v>107</v>
      </c>
      <c r="I2991" s="20" t="s">
        <v>25</v>
      </c>
      <c r="J2991" s="21">
        <v>0.0</v>
      </c>
      <c r="K2991" s="21">
        <v>0.0</v>
      </c>
    </row>
    <row r="2992">
      <c r="A2992" s="15" t="s">
        <v>74</v>
      </c>
      <c r="B2992" s="16" t="s">
        <v>167</v>
      </c>
      <c r="C2992" s="17" t="s">
        <v>168</v>
      </c>
      <c r="D2992" s="18">
        <v>4.0</v>
      </c>
      <c r="E2992" s="24">
        <v>46184.0</v>
      </c>
      <c r="F2992" s="15" t="s">
        <v>309</v>
      </c>
      <c r="G2992" s="19">
        <v>5.1101999E7</v>
      </c>
      <c r="H2992" s="15" t="s">
        <v>107</v>
      </c>
      <c r="I2992" s="20" t="s">
        <v>25</v>
      </c>
      <c r="J2992" s="21">
        <v>0.0</v>
      </c>
      <c r="K2992" s="21">
        <v>0.0</v>
      </c>
    </row>
    <row r="2993">
      <c r="A2993" s="15" t="s">
        <v>74</v>
      </c>
      <c r="B2993" s="16" t="s">
        <v>167</v>
      </c>
      <c r="C2993" s="17" t="s">
        <v>168</v>
      </c>
      <c r="D2993" s="18">
        <v>4.0</v>
      </c>
      <c r="E2993" s="24">
        <v>46096.0</v>
      </c>
      <c r="F2993" s="15" t="s">
        <v>310</v>
      </c>
      <c r="G2993" s="19">
        <v>5.1101999E7</v>
      </c>
      <c r="H2993" s="15" t="s">
        <v>107</v>
      </c>
      <c r="I2993" s="20" t="s">
        <v>25</v>
      </c>
      <c r="J2993" s="21">
        <v>0.0</v>
      </c>
      <c r="K2993" s="21">
        <v>0.0</v>
      </c>
    </row>
    <row r="2994">
      <c r="A2994" s="15" t="s">
        <v>74</v>
      </c>
      <c r="B2994" s="16" t="s">
        <v>167</v>
      </c>
      <c r="C2994" s="17" t="s">
        <v>168</v>
      </c>
      <c r="D2994" s="18">
        <v>4.0</v>
      </c>
      <c r="E2994" s="24">
        <v>46033.0</v>
      </c>
      <c r="F2994" s="15" t="s">
        <v>312</v>
      </c>
      <c r="G2994" s="19">
        <v>5.1101999E7</v>
      </c>
      <c r="H2994" s="15" t="s">
        <v>107</v>
      </c>
      <c r="I2994" s="20" t="s">
        <v>25</v>
      </c>
      <c r="J2994" s="21">
        <v>0.0</v>
      </c>
      <c r="K2994" s="21">
        <v>0.0</v>
      </c>
    </row>
    <row r="2995">
      <c r="A2995" s="15" t="s">
        <v>74</v>
      </c>
      <c r="B2995" s="16" t="s">
        <v>167</v>
      </c>
      <c r="C2995" s="17" t="s">
        <v>168</v>
      </c>
      <c r="D2995" s="18">
        <v>4.0</v>
      </c>
      <c r="E2995" s="24">
        <v>46034.0</v>
      </c>
      <c r="F2995" s="15" t="s">
        <v>314</v>
      </c>
      <c r="G2995" s="19">
        <v>5.1101999E7</v>
      </c>
      <c r="H2995" s="15" t="s">
        <v>107</v>
      </c>
      <c r="I2995" s="20" t="s">
        <v>25</v>
      </c>
      <c r="J2995" s="21">
        <v>0.0</v>
      </c>
      <c r="K2995" s="21">
        <v>0.0</v>
      </c>
    </row>
    <row r="2996">
      <c r="A2996" s="15" t="s">
        <v>74</v>
      </c>
      <c r="B2996" s="16" t="s">
        <v>167</v>
      </c>
      <c r="C2996" s="17" t="s">
        <v>168</v>
      </c>
      <c r="D2996" s="18">
        <v>4.0</v>
      </c>
      <c r="E2996" s="24">
        <v>46092.0</v>
      </c>
      <c r="F2996" s="15" t="s">
        <v>315</v>
      </c>
      <c r="G2996" s="19">
        <v>5.1101999E7</v>
      </c>
      <c r="H2996" s="15" t="s">
        <v>107</v>
      </c>
      <c r="I2996" s="20" t="s">
        <v>25</v>
      </c>
      <c r="J2996" s="21">
        <v>0.0</v>
      </c>
      <c r="K2996" s="21">
        <v>0.0</v>
      </c>
    </row>
    <row r="2997">
      <c r="A2997" s="15" t="s">
        <v>74</v>
      </c>
      <c r="B2997" s="16" t="s">
        <v>167</v>
      </c>
      <c r="C2997" s="17" t="s">
        <v>168</v>
      </c>
      <c r="D2997" s="18">
        <v>4.0</v>
      </c>
      <c r="E2997" s="24">
        <v>46093.0</v>
      </c>
      <c r="F2997" s="15" t="s">
        <v>317</v>
      </c>
      <c r="G2997" s="19">
        <v>5.1101999E7</v>
      </c>
      <c r="H2997" s="15" t="s">
        <v>107</v>
      </c>
      <c r="I2997" s="20" t="s">
        <v>25</v>
      </c>
      <c r="J2997" s="21">
        <v>0.0</v>
      </c>
      <c r="K2997" s="21">
        <v>0.0</v>
      </c>
    </row>
    <row r="2998">
      <c r="A2998" s="15" t="s">
        <v>74</v>
      </c>
      <c r="B2998" s="16" t="s">
        <v>167</v>
      </c>
      <c r="C2998" s="17" t="s">
        <v>168</v>
      </c>
      <c r="D2998" s="18">
        <v>4.0</v>
      </c>
      <c r="E2998" s="25">
        <v>46307.0</v>
      </c>
      <c r="F2998" s="15" t="s">
        <v>320</v>
      </c>
      <c r="G2998" s="19">
        <v>5.1101999E7</v>
      </c>
      <c r="H2998" s="15" t="s">
        <v>107</v>
      </c>
      <c r="I2998" s="20" t="s">
        <v>25</v>
      </c>
      <c r="J2998" s="21">
        <v>0.0</v>
      </c>
      <c r="K2998" s="21">
        <v>0.0</v>
      </c>
    </row>
    <row r="2999">
      <c r="A2999" s="15" t="s">
        <v>74</v>
      </c>
      <c r="B2999" s="16" t="s">
        <v>167</v>
      </c>
      <c r="C2999" s="17" t="s">
        <v>168</v>
      </c>
      <c r="D2999" s="18">
        <v>4.0</v>
      </c>
      <c r="E2999" s="24">
        <v>46154.0</v>
      </c>
      <c r="F2999" s="15" t="s">
        <v>321</v>
      </c>
      <c r="G2999" s="19">
        <v>5.1101999E7</v>
      </c>
      <c r="H2999" s="15" t="s">
        <v>107</v>
      </c>
      <c r="I2999" s="20" t="s">
        <v>25</v>
      </c>
      <c r="J2999" s="21">
        <v>0.0</v>
      </c>
      <c r="K2999" s="21">
        <v>0.0</v>
      </c>
    </row>
    <row r="3000">
      <c r="A3000" s="15" t="s">
        <v>74</v>
      </c>
      <c r="B3000" s="16" t="s">
        <v>167</v>
      </c>
      <c r="C3000" s="17" t="s">
        <v>168</v>
      </c>
      <c r="D3000" s="18">
        <v>4.0</v>
      </c>
      <c r="E3000" s="24">
        <v>46072.0</v>
      </c>
      <c r="F3000" s="15" t="s">
        <v>322</v>
      </c>
      <c r="G3000" s="19">
        <v>5.1101999E7</v>
      </c>
      <c r="H3000" s="15" t="s">
        <v>107</v>
      </c>
      <c r="I3000" s="20" t="s">
        <v>25</v>
      </c>
      <c r="J3000" s="21">
        <v>0.0</v>
      </c>
      <c r="K3000" s="21">
        <v>0.0</v>
      </c>
    </row>
    <row r="3001">
      <c r="A3001" s="15" t="s">
        <v>74</v>
      </c>
      <c r="B3001" s="16" t="s">
        <v>167</v>
      </c>
      <c r="C3001" s="17" t="s">
        <v>168</v>
      </c>
      <c r="D3001" s="18">
        <v>4.0</v>
      </c>
      <c r="E3001" s="24">
        <v>46127.0</v>
      </c>
      <c r="F3001" s="15" t="s">
        <v>326</v>
      </c>
      <c r="G3001" s="19">
        <v>5.1101999E7</v>
      </c>
      <c r="H3001" s="15" t="s">
        <v>107</v>
      </c>
      <c r="I3001" s="20" t="s">
        <v>25</v>
      </c>
      <c r="J3001" s="21">
        <v>0.0</v>
      </c>
      <c r="K3001" s="21">
        <v>0.0</v>
      </c>
    </row>
    <row r="3002">
      <c r="A3002" s="15" t="s">
        <v>74</v>
      </c>
      <c r="B3002" s="16" t="s">
        <v>167</v>
      </c>
      <c r="C3002" s="17" t="s">
        <v>168</v>
      </c>
      <c r="D3002" s="18">
        <v>4.0</v>
      </c>
      <c r="E3002" s="24">
        <v>46073.0</v>
      </c>
      <c r="F3002" s="15" t="s">
        <v>329</v>
      </c>
      <c r="G3002" s="19">
        <v>5.1101999E7</v>
      </c>
      <c r="H3002" s="15" t="s">
        <v>107</v>
      </c>
      <c r="I3002" s="20" t="s">
        <v>25</v>
      </c>
      <c r="J3002" s="21">
        <v>0.0</v>
      </c>
      <c r="K3002" s="21">
        <v>0.0</v>
      </c>
    </row>
    <row r="3003">
      <c r="A3003" s="15" t="s">
        <v>74</v>
      </c>
      <c r="B3003" s="16" t="s">
        <v>167</v>
      </c>
      <c r="C3003" s="17" t="s">
        <v>168</v>
      </c>
      <c r="D3003" s="18">
        <v>4.0</v>
      </c>
      <c r="E3003" s="24">
        <v>46065.0</v>
      </c>
      <c r="F3003" s="15" t="s">
        <v>330</v>
      </c>
      <c r="G3003" s="19">
        <v>5.1101999E7</v>
      </c>
      <c r="H3003" s="15" t="s">
        <v>107</v>
      </c>
      <c r="I3003" s="20" t="s">
        <v>25</v>
      </c>
      <c r="J3003" s="21">
        <v>0.0</v>
      </c>
      <c r="K3003" s="21">
        <v>0.0</v>
      </c>
    </row>
    <row r="3004">
      <c r="A3004" s="15" t="s">
        <v>74</v>
      </c>
      <c r="B3004" s="16" t="s">
        <v>167</v>
      </c>
      <c r="C3004" s="17" t="s">
        <v>168</v>
      </c>
      <c r="D3004" s="18">
        <v>4.0</v>
      </c>
      <c r="E3004" s="24">
        <v>46066.0</v>
      </c>
      <c r="F3004" s="15" t="s">
        <v>331</v>
      </c>
      <c r="G3004" s="19">
        <v>5.1101999E7</v>
      </c>
      <c r="H3004" s="15" t="s">
        <v>107</v>
      </c>
      <c r="I3004" s="20" t="s">
        <v>25</v>
      </c>
      <c r="J3004" s="21">
        <v>0.0</v>
      </c>
      <c r="K3004" s="21">
        <v>0.0</v>
      </c>
    </row>
    <row r="3005">
      <c r="A3005" s="15" t="s">
        <v>74</v>
      </c>
      <c r="B3005" s="16" t="s">
        <v>167</v>
      </c>
      <c r="C3005" s="17" t="s">
        <v>168</v>
      </c>
      <c r="D3005" s="18">
        <v>4.0</v>
      </c>
      <c r="E3005" s="24">
        <v>46035.0</v>
      </c>
      <c r="F3005" s="15" t="s">
        <v>332</v>
      </c>
      <c r="G3005" s="19">
        <v>5.1101999E7</v>
      </c>
      <c r="H3005" s="15" t="s">
        <v>107</v>
      </c>
      <c r="I3005" s="20" t="s">
        <v>25</v>
      </c>
      <c r="J3005" s="21">
        <v>0.0</v>
      </c>
      <c r="K3005" s="21">
        <v>0.0</v>
      </c>
    </row>
    <row r="3006">
      <c r="A3006" s="15" t="s">
        <v>74</v>
      </c>
      <c r="B3006" s="16" t="s">
        <v>167</v>
      </c>
      <c r="C3006" s="17" t="s">
        <v>168</v>
      </c>
      <c r="D3006" s="18">
        <v>4.0</v>
      </c>
      <c r="E3006" s="24">
        <v>46042.0</v>
      </c>
      <c r="F3006" s="15" t="s">
        <v>333</v>
      </c>
      <c r="G3006" s="19">
        <v>5.1101999E7</v>
      </c>
      <c r="H3006" s="15" t="s">
        <v>107</v>
      </c>
      <c r="I3006" s="20" t="s">
        <v>25</v>
      </c>
      <c r="J3006" s="21">
        <v>0.0</v>
      </c>
      <c r="K3006" s="21">
        <v>0.0</v>
      </c>
    </row>
    <row r="3007">
      <c r="A3007" s="15" t="s">
        <v>74</v>
      </c>
      <c r="B3007" s="16" t="s">
        <v>167</v>
      </c>
      <c r="C3007" s="17" t="s">
        <v>168</v>
      </c>
      <c r="D3007" s="18">
        <v>4.0</v>
      </c>
      <c r="E3007" s="24">
        <v>46098.0</v>
      </c>
      <c r="F3007" s="15" t="s">
        <v>334</v>
      </c>
      <c r="G3007" s="19">
        <v>5.1101999E7</v>
      </c>
      <c r="H3007" s="15" t="s">
        <v>107</v>
      </c>
      <c r="I3007" s="20" t="s">
        <v>25</v>
      </c>
      <c r="J3007" s="21">
        <v>0.0</v>
      </c>
      <c r="K3007" s="21">
        <v>0.0</v>
      </c>
    </row>
    <row r="3008">
      <c r="A3008" s="15" t="s">
        <v>74</v>
      </c>
      <c r="B3008" s="16" t="s">
        <v>167</v>
      </c>
      <c r="C3008" s="17" t="s">
        <v>168</v>
      </c>
      <c r="D3008" s="18">
        <v>4.0</v>
      </c>
      <c r="E3008" s="24">
        <v>46245.0</v>
      </c>
      <c r="F3008" s="15" t="s">
        <v>335</v>
      </c>
      <c r="G3008" s="19">
        <v>5.1101999E7</v>
      </c>
      <c r="H3008" s="15" t="s">
        <v>107</v>
      </c>
      <c r="I3008" s="20" t="s">
        <v>25</v>
      </c>
      <c r="J3008" s="21">
        <v>0.0</v>
      </c>
      <c r="K3008" s="21">
        <v>0.0</v>
      </c>
    </row>
    <row r="3009">
      <c r="A3009" s="15" t="s">
        <v>74</v>
      </c>
      <c r="B3009" s="16" t="s">
        <v>167</v>
      </c>
      <c r="C3009" s="17" t="s">
        <v>168</v>
      </c>
      <c r="D3009" s="18">
        <v>4.0</v>
      </c>
      <c r="E3009" s="24">
        <v>46100.0</v>
      </c>
      <c r="F3009" s="15" t="s">
        <v>336</v>
      </c>
      <c r="G3009" s="19">
        <v>5.1101999E7</v>
      </c>
      <c r="H3009" s="15" t="s">
        <v>107</v>
      </c>
      <c r="I3009" s="20" t="s">
        <v>25</v>
      </c>
      <c r="J3009" s="21">
        <v>0.0</v>
      </c>
      <c r="K3009" s="21">
        <v>0.0</v>
      </c>
    </row>
    <row r="3010">
      <c r="A3010" s="15" t="s">
        <v>74</v>
      </c>
      <c r="B3010" s="16" t="s">
        <v>170</v>
      </c>
      <c r="C3010" s="17" t="s">
        <v>171</v>
      </c>
      <c r="D3010" s="18">
        <v>4.0</v>
      </c>
      <c r="E3010" s="17" t="s">
        <v>81</v>
      </c>
      <c r="F3010" s="15" t="s">
        <v>82</v>
      </c>
      <c r="G3010" s="19">
        <v>9.0043001E7</v>
      </c>
      <c r="H3010" s="15" t="s">
        <v>18</v>
      </c>
      <c r="I3010" s="20" t="s">
        <v>19</v>
      </c>
      <c r="J3010" s="21">
        <v>8026975.0</v>
      </c>
      <c r="K3010" s="21">
        <v>55.0</v>
      </c>
    </row>
    <row r="3011">
      <c r="A3011" s="15" t="s">
        <v>74</v>
      </c>
      <c r="B3011" s="16" t="s">
        <v>170</v>
      </c>
      <c r="C3011" s="17" t="s">
        <v>171</v>
      </c>
      <c r="D3011" s="18">
        <v>4.0</v>
      </c>
      <c r="E3011" s="17" t="s">
        <v>84</v>
      </c>
      <c r="F3011" s="15" t="s">
        <v>85</v>
      </c>
      <c r="G3011" s="19">
        <v>9.0043001E7</v>
      </c>
      <c r="H3011" s="15" t="s">
        <v>18</v>
      </c>
      <c r="I3011" s="20" t="s">
        <v>19</v>
      </c>
      <c r="J3011" s="21">
        <v>1.9899415E7</v>
      </c>
      <c r="K3011" s="21">
        <v>130.0</v>
      </c>
    </row>
    <row r="3012">
      <c r="A3012" s="15" t="s">
        <v>74</v>
      </c>
      <c r="B3012" s="16" t="s">
        <v>170</v>
      </c>
      <c r="C3012" s="17" t="s">
        <v>171</v>
      </c>
      <c r="D3012" s="18">
        <v>4.0</v>
      </c>
      <c r="E3012" s="17" t="s">
        <v>86</v>
      </c>
      <c r="F3012" s="15" t="s">
        <v>87</v>
      </c>
      <c r="G3012" s="19">
        <v>9.0043001E7</v>
      </c>
      <c r="H3012" s="15" t="s">
        <v>18</v>
      </c>
      <c r="I3012" s="20" t="s">
        <v>19</v>
      </c>
      <c r="J3012" s="21">
        <v>9852954.0</v>
      </c>
      <c r="K3012" s="21">
        <v>66.0</v>
      </c>
    </row>
    <row r="3013">
      <c r="A3013" s="15" t="s">
        <v>74</v>
      </c>
      <c r="B3013" s="16" t="s">
        <v>170</v>
      </c>
      <c r="C3013" s="17" t="s">
        <v>171</v>
      </c>
      <c r="D3013" s="18">
        <v>4.0</v>
      </c>
      <c r="E3013" s="17" t="s">
        <v>173</v>
      </c>
      <c r="F3013" s="15" t="s">
        <v>174</v>
      </c>
      <c r="G3013" s="19">
        <v>9.0043003E7</v>
      </c>
      <c r="H3013" s="15" t="s">
        <v>90</v>
      </c>
      <c r="I3013" s="20" t="s">
        <v>50</v>
      </c>
      <c r="J3013" s="21">
        <v>2.1838032E7</v>
      </c>
      <c r="K3013" s="21">
        <v>72.0</v>
      </c>
    </row>
    <row r="3014">
      <c r="A3014" s="15" t="s">
        <v>74</v>
      </c>
      <c r="B3014" s="16" t="s">
        <v>170</v>
      </c>
      <c r="C3014" s="17" t="s">
        <v>171</v>
      </c>
      <c r="D3014" s="18">
        <v>4.0</v>
      </c>
      <c r="E3014" s="17" t="s">
        <v>154</v>
      </c>
      <c r="F3014" s="15" t="s">
        <v>155</v>
      </c>
      <c r="G3014" s="19">
        <v>9.0043002E7</v>
      </c>
      <c r="H3014" s="15" t="s">
        <v>49</v>
      </c>
      <c r="I3014" s="20" t="s">
        <v>50</v>
      </c>
      <c r="J3014" s="21">
        <v>1.9129745E7</v>
      </c>
      <c r="K3014" s="21">
        <v>2847.0</v>
      </c>
    </row>
    <row r="3015">
      <c r="A3015" s="15" t="s">
        <v>74</v>
      </c>
      <c r="B3015" s="16" t="s">
        <v>170</v>
      </c>
      <c r="C3015" s="17" t="s">
        <v>171</v>
      </c>
      <c r="D3015" s="18">
        <v>4.0</v>
      </c>
      <c r="E3015" s="17" t="s">
        <v>154</v>
      </c>
      <c r="F3015" s="15" t="s">
        <v>155</v>
      </c>
      <c r="G3015" s="19">
        <v>9.0043003E7</v>
      </c>
      <c r="H3015" s="15" t="s">
        <v>90</v>
      </c>
      <c r="I3015" s="20" t="s">
        <v>50</v>
      </c>
      <c r="J3015" s="21">
        <v>3.0788456E7</v>
      </c>
      <c r="K3015" s="21">
        <v>62.0</v>
      </c>
    </row>
    <row r="3016">
      <c r="A3016" s="15" t="s">
        <v>74</v>
      </c>
      <c r="B3016" s="16" t="s">
        <v>170</v>
      </c>
      <c r="C3016" s="17" t="s">
        <v>171</v>
      </c>
      <c r="D3016" s="18">
        <v>4.0</v>
      </c>
      <c r="E3016" s="17" t="s">
        <v>154</v>
      </c>
      <c r="F3016" s="15" t="s">
        <v>155</v>
      </c>
      <c r="G3016" s="19">
        <v>5.1100774E7</v>
      </c>
      <c r="H3016" s="15" t="s">
        <v>39</v>
      </c>
      <c r="I3016" s="20" t="s">
        <v>25</v>
      </c>
      <c r="J3016" s="21">
        <v>-1.1191E8</v>
      </c>
      <c r="K3016" s="21">
        <v>0.0</v>
      </c>
    </row>
    <row r="3017">
      <c r="A3017" s="15" t="s">
        <v>74</v>
      </c>
      <c r="B3017" s="16" t="s">
        <v>170</v>
      </c>
      <c r="C3017" s="17" t="s">
        <v>171</v>
      </c>
      <c r="D3017" s="18">
        <v>4.0</v>
      </c>
      <c r="E3017" s="17" t="s">
        <v>154</v>
      </c>
      <c r="F3017" s="15" t="s">
        <v>155</v>
      </c>
      <c r="G3017" s="19">
        <v>5.1100774E7</v>
      </c>
      <c r="H3017" s="15" t="s">
        <v>39</v>
      </c>
      <c r="I3017" s="20" t="s">
        <v>17</v>
      </c>
      <c r="J3017" s="21">
        <v>1.67865E8</v>
      </c>
      <c r="K3017" s="21">
        <v>200.0</v>
      </c>
    </row>
    <row r="3018">
      <c r="A3018" s="15" t="s">
        <v>74</v>
      </c>
      <c r="B3018" s="16" t="s">
        <v>170</v>
      </c>
      <c r="C3018" s="17" t="s">
        <v>171</v>
      </c>
      <c r="D3018" s="18">
        <v>4.0</v>
      </c>
      <c r="E3018" s="17" t="s">
        <v>93</v>
      </c>
      <c r="F3018" s="15" t="s">
        <v>94</v>
      </c>
      <c r="G3018" s="19">
        <v>9.0043001E7</v>
      </c>
      <c r="H3018" s="15" t="s">
        <v>18</v>
      </c>
      <c r="I3018" s="20" t="s">
        <v>19</v>
      </c>
      <c r="J3018" s="21">
        <v>1795584.0</v>
      </c>
      <c r="K3018" s="21">
        <v>12.0</v>
      </c>
    </row>
    <row r="3019">
      <c r="A3019" s="15" t="s">
        <v>74</v>
      </c>
      <c r="B3019" s="16" t="s">
        <v>170</v>
      </c>
      <c r="C3019" s="17" t="s">
        <v>171</v>
      </c>
      <c r="D3019" s="18">
        <v>4.0</v>
      </c>
      <c r="E3019" s="17" t="s">
        <v>95</v>
      </c>
      <c r="F3019" s="15" t="s">
        <v>96</v>
      </c>
      <c r="G3019" s="19">
        <v>5.1100061E7</v>
      </c>
      <c r="H3019" s="15" t="s">
        <v>42</v>
      </c>
      <c r="I3019" s="20" t="s">
        <v>37</v>
      </c>
      <c r="J3019" s="21">
        <v>7357533.0</v>
      </c>
      <c r="K3019" s="21">
        <v>79.21</v>
      </c>
    </row>
    <row r="3020">
      <c r="A3020" s="15" t="s">
        <v>74</v>
      </c>
      <c r="B3020" s="16" t="s">
        <v>170</v>
      </c>
      <c r="C3020" s="17" t="s">
        <v>171</v>
      </c>
      <c r="D3020" s="18">
        <v>4.0</v>
      </c>
      <c r="E3020" s="17" t="s">
        <v>95</v>
      </c>
      <c r="F3020" s="15" t="s">
        <v>96</v>
      </c>
      <c r="G3020" s="19">
        <v>9.0043001E7</v>
      </c>
      <c r="H3020" s="15" t="s">
        <v>18</v>
      </c>
      <c r="I3020" s="20" t="s">
        <v>19</v>
      </c>
      <c r="J3020" s="21">
        <v>1.8221588E7</v>
      </c>
      <c r="K3020" s="21">
        <v>119.0</v>
      </c>
    </row>
    <row r="3021">
      <c r="A3021" s="15" t="s">
        <v>74</v>
      </c>
      <c r="B3021" s="16" t="s">
        <v>170</v>
      </c>
      <c r="C3021" s="17" t="s">
        <v>171</v>
      </c>
      <c r="D3021" s="18">
        <v>4.0</v>
      </c>
      <c r="E3021" s="17" t="s">
        <v>95</v>
      </c>
      <c r="F3021" s="15" t="s">
        <v>96</v>
      </c>
      <c r="G3021" s="19">
        <v>5.1100774E7</v>
      </c>
      <c r="H3021" s="15" t="s">
        <v>39</v>
      </c>
      <c r="I3021" s="20" t="s">
        <v>17</v>
      </c>
      <c r="J3021" s="21">
        <v>3083334.0</v>
      </c>
      <c r="K3021" s="21">
        <v>55.37</v>
      </c>
    </row>
    <row r="3022">
      <c r="A3022" s="15" t="s">
        <v>74</v>
      </c>
      <c r="B3022" s="16" t="s">
        <v>170</v>
      </c>
      <c r="C3022" s="17" t="s">
        <v>171</v>
      </c>
      <c r="D3022" s="18">
        <v>4.0</v>
      </c>
      <c r="E3022" s="17" t="s">
        <v>99</v>
      </c>
      <c r="F3022" s="15" t="s">
        <v>100</v>
      </c>
      <c r="G3022" s="19">
        <v>9.0043001E7</v>
      </c>
      <c r="H3022" s="15" t="s">
        <v>18</v>
      </c>
      <c r="I3022" s="20" t="s">
        <v>19</v>
      </c>
      <c r="J3022" s="21">
        <v>8268590.0</v>
      </c>
      <c r="K3022" s="21">
        <v>55.0</v>
      </c>
    </row>
    <row r="3023">
      <c r="A3023" s="15" t="s">
        <v>74</v>
      </c>
      <c r="B3023" s="16" t="s">
        <v>170</v>
      </c>
      <c r="C3023" s="17" t="s">
        <v>171</v>
      </c>
      <c r="D3023" s="18">
        <v>4.0</v>
      </c>
      <c r="E3023" s="17" t="s">
        <v>101</v>
      </c>
      <c r="F3023" s="15" t="s">
        <v>102</v>
      </c>
      <c r="G3023" s="19">
        <v>9.0043001E7</v>
      </c>
      <c r="H3023" s="15" t="s">
        <v>18</v>
      </c>
      <c r="I3023" s="20" t="s">
        <v>19</v>
      </c>
      <c r="J3023" s="21">
        <v>1.6630048E7</v>
      </c>
      <c r="K3023" s="21">
        <v>110.0</v>
      </c>
    </row>
    <row r="3024">
      <c r="A3024" s="15" t="s">
        <v>74</v>
      </c>
      <c r="B3024" s="16" t="s">
        <v>170</v>
      </c>
      <c r="C3024" s="17" t="s">
        <v>171</v>
      </c>
      <c r="D3024" s="18">
        <v>4.0</v>
      </c>
      <c r="E3024" s="17" t="s">
        <v>103</v>
      </c>
      <c r="F3024" s="15" t="s">
        <v>104</v>
      </c>
      <c r="G3024" s="19">
        <v>5.1100058E7</v>
      </c>
      <c r="H3024" s="15" t="s">
        <v>36</v>
      </c>
      <c r="I3024" s="20" t="s">
        <v>37</v>
      </c>
      <c r="J3024" s="21">
        <v>3.4683188E7</v>
      </c>
      <c r="K3024" s="21">
        <v>4387.5</v>
      </c>
    </row>
    <row r="3025">
      <c r="A3025" s="15" t="s">
        <v>74</v>
      </c>
      <c r="B3025" s="16" t="s">
        <v>170</v>
      </c>
      <c r="C3025" s="17" t="s">
        <v>171</v>
      </c>
      <c r="D3025" s="18">
        <v>4.0</v>
      </c>
      <c r="E3025" s="17" t="s">
        <v>103</v>
      </c>
      <c r="F3025" s="15" t="s">
        <v>104</v>
      </c>
      <c r="G3025" s="19">
        <v>5.1100061E7</v>
      </c>
      <c r="H3025" s="15" t="s">
        <v>42</v>
      </c>
      <c r="I3025" s="20" t="s">
        <v>37</v>
      </c>
      <c r="J3025" s="21">
        <v>1.6222691E7</v>
      </c>
      <c r="K3025" s="21">
        <v>203.72</v>
      </c>
    </row>
    <row r="3026">
      <c r="A3026" s="15" t="s">
        <v>74</v>
      </c>
      <c r="B3026" s="16" t="s">
        <v>170</v>
      </c>
      <c r="C3026" s="17" t="s">
        <v>171</v>
      </c>
      <c r="D3026" s="18">
        <v>4.0</v>
      </c>
      <c r="E3026" s="17" t="s">
        <v>103</v>
      </c>
      <c r="F3026" s="15" t="s">
        <v>104</v>
      </c>
      <c r="G3026" s="19">
        <v>9.0043001E7</v>
      </c>
      <c r="H3026" s="15" t="s">
        <v>18</v>
      </c>
      <c r="I3026" s="20" t="s">
        <v>19</v>
      </c>
      <c r="J3026" s="21">
        <v>1.1628856E7</v>
      </c>
      <c r="K3026" s="21">
        <v>78.0</v>
      </c>
    </row>
    <row r="3027">
      <c r="A3027" s="15" t="s">
        <v>74</v>
      </c>
      <c r="B3027" s="16" t="s">
        <v>170</v>
      </c>
      <c r="C3027" s="17" t="s">
        <v>171</v>
      </c>
      <c r="D3027" s="18">
        <v>4.0</v>
      </c>
      <c r="E3027" s="17" t="s">
        <v>103</v>
      </c>
      <c r="F3027" s="15" t="s">
        <v>104</v>
      </c>
      <c r="G3027" s="19">
        <v>5.1100774E7</v>
      </c>
      <c r="H3027" s="15" t="s">
        <v>39</v>
      </c>
      <c r="I3027" s="20" t="s">
        <v>17</v>
      </c>
      <c r="J3027" s="21">
        <v>1.0575885E7</v>
      </c>
      <c r="K3027" s="21">
        <v>71.22</v>
      </c>
    </row>
    <row r="3028">
      <c r="A3028" s="15" t="s">
        <v>74</v>
      </c>
      <c r="B3028" s="16" t="s">
        <v>170</v>
      </c>
      <c r="C3028" s="17" t="s">
        <v>171</v>
      </c>
      <c r="D3028" s="18">
        <v>4.0</v>
      </c>
      <c r="E3028" s="17" t="s">
        <v>108</v>
      </c>
      <c r="F3028" s="15" t="s">
        <v>109</v>
      </c>
      <c r="G3028" s="19">
        <v>5.1100061E7</v>
      </c>
      <c r="H3028" s="15" t="s">
        <v>42</v>
      </c>
      <c r="I3028" s="20" t="s">
        <v>37</v>
      </c>
      <c r="J3028" s="21">
        <v>4060857.0</v>
      </c>
      <c r="K3028" s="21">
        <v>41.25</v>
      </c>
    </row>
    <row r="3029">
      <c r="A3029" s="15" t="s">
        <v>74</v>
      </c>
      <c r="B3029" s="16" t="s">
        <v>170</v>
      </c>
      <c r="C3029" s="17" t="s">
        <v>171</v>
      </c>
      <c r="D3029" s="18">
        <v>4.0</v>
      </c>
      <c r="E3029" s="17" t="s">
        <v>108</v>
      </c>
      <c r="F3029" s="15" t="s">
        <v>109</v>
      </c>
      <c r="G3029" s="19">
        <v>9.0043001E7</v>
      </c>
      <c r="H3029" s="15" t="s">
        <v>18</v>
      </c>
      <c r="I3029" s="20" t="s">
        <v>19</v>
      </c>
      <c r="J3029" s="21">
        <v>7529568.0</v>
      </c>
      <c r="K3029" s="21">
        <v>46.0</v>
      </c>
    </row>
    <row r="3030">
      <c r="A3030" s="15" t="s">
        <v>74</v>
      </c>
      <c r="B3030" s="16" t="s">
        <v>170</v>
      </c>
      <c r="C3030" s="17" t="s">
        <v>171</v>
      </c>
      <c r="D3030" s="18">
        <v>4.0</v>
      </c>
      <c r="E3030" s="17" t="s">
        <v>158</v>
      </c>
      <c r="F3030" s="15" t="s">
        <v>159</v>
      </c>
      <c r="G3030" s="19">
        <v>9.0043001E7</v>
      </c>
      <c r="H3030" s="15" t="s">
        <v>18</v>
      </c>
      <c r="I3030" s="20" t="s">
        <v>19</v>
      </c>
      <c r="J3030" s="21">
        <v>902028.0</v>
      </c>
      <c r="K3030" s="21">
        <v>6.0</v>
      </c>
    </row>
    <row r="3031">
      <c r="A3031" s="15" t="s">
        <v>74</v>
      </c>
      <c r="B3031" s="16" t="s">
        <v>170</v>
      </c>
      <c r="C3031" s="17" t="s">
        <v>171</v>
      </c>
      <c r="D3031" s="18">
        <v>4.0</v>
      </c>
      <c r="E3031" s="17" t="s">
        <v>284</v>
      </c>
      <c r="F3031" s="15" t="s">
        <v>285</v>
      </c>
      <c r="G3031" s="19">
        <v>9.0043001E7</v>
      </c>
      <c r="H3031" s="15" t="s">
        <v>18</v>
      </c>
      <c r="I3031" s="20" t="s">
        <v>19</v>
      </c>
      <c r="J3031" s="21">
        <v>1763480.0</v>
      </c>
      <c r="K3031" s="21">
        <v>10.0</v>
      </c>
    </row>
    <row r="3032">
      <c r="A3032" s="15" t="s">
        <v>74</v>
      </c>
      <c r="B3032" s="16" t="s">
        <v>170</v>
      </c>
      <c r="C3032" s="17" t="s">
        <v>171</v>
      </c>
      <c r="D3032" s="18">
        <v>4.0</v>
      </c>
      <c r="E3032" s="17" t="s">
        <v>112</v>
      </c>
      <c r="F3032" s="15" t="s">
        <v>113</v>
      </c>
      <c r="G3032" s="19">
        <v>5.1100064E7</v>
      </c>
      <c r="H3032" s="15" t="s">
        <v>53</v>
      </c>
      <c r="I3032" s="20" t="s">
        <v>25</v>
      </c>
      <c r="J3032" s="21">
        <v>587000.0</v>
      </c>
      <c r="K3032" s="21">
        <v>0.0</v>
      </c>
    </row>
    <row r="3033">
      <c r="A3033" s="15" t="s">
        <v>74</v>
      </c>
      <c r="B3033" s="16" t="s">
        <v>170</v>
      </c>
      <c r="C3033" s="17" t="s">
        <v>171</v>
      </c>
      <c r="D3033" s="18">
        <v>4.0</v>
      </c>
      <c r="E3033" s="17" t="s">
        <v>112</v>
      </c>
      <c r="F3033" s="15" t="s">
        <v>113</v>
      </c>
      <c r="G3033" s="19">
        <v>9.0043001E7</v>
      </c>
      <c r="H3033" s="15" t="s">
        <v>18</v>
      </c>
      <c r="I3033" s="20" t="s">
        <v>19</v>
      </c>
      <c r="J3033" s="21">
        <v>2920736.0</v>
      </c>
      <c r="K3033" s="21">
        <v>19.0</v>
      </c>
    </row>
    <row r="3034">
      <c r="A3034" s="15" t="s">
        <v>74</v>
      </c>
      <c r="B3034" s="16" t="s">
        <v>170</v>
      </c>
      <c r="C3034" s="17" t="s">
        <v>171</v>
      </c>
      <c r="D3034" s="18">
        <v>4.0</v>
      </c>
      <c r="E3034" s="17" t="s">
        <v>207</v>
      </c>
      <c r="F3034" s="15" t="s">
        <v>208</v>
      </c>
      <c r="G3034" s="19">
        <v>9.0043001E7</v>
      </c>
      <c r="H3034" s="15" t="s">
        <v>18</v>
      </c>
      <c r="I3034" s="20" t="s">
        <v>19</v>
      </c>
      <c r="J3034" s="21">
        <v>1042804.0</v>
      </c>
      <c r="K3034" s="21">
        <v>7.0</v>
      </c>
    </row>
    <row r="3035">
      <c r="A3035" s="15" t="s">
        <v>74</v>
      </c>
      <c r="B3035" s="16" t="s">
        <v>170</v>
      </c>
      <c r="C3035" s="17" t="s">
        <v>171</v>
      </c>
      <c r="D3035" s="18">
        <v>4.0</v>
      </c>
      <c r="E3035" s="17" t="s">
        <v>175</v>
      </c>
      <c r="F3035" s="15" t="s">
        <v>176</v>
      </c>
      <c r="G3035" s="19">
        <v>9.0043001E7</v>
      </c>
      <c r="H3035" s="15" t="s">
        <v>18</v>
      </c>
      <c r="I3035" s="20" t="s">
        <v>19</v>
      </c>
      <c r="J3035" s="21">
        <v>2943164.0</v>
      </c>
      <c r="K3035" s="21">
        <v>17.0</v>
      </c>
    </row>
    <row r="3036">
      <c r="A3036" s="15" t="s">
        <v>74</v>
      </c>
      <c r="B3036" s="16" t="s">
        <v>170</v>
      </c>
      <c r="C3036" s="17" t="s">
        <v>171</v>
      </c>
      <c r="D3036" s="18">
        <v>4.0</v>
      </c>
      <c r="E3036" s="17" t="s">
        <v>175</v>
      </c>
      <c r="F3036" s="15" t="s">
        <v>176</v>
      </c>
      <c r="G3036" s="19">
        <v>9.0043002E7</v>
      </c>
      <c r="H3036" s="15" t="s">
        <v>49</v>
      </c>
      <c r="I3036" s="20" t="s">
        <v>50</v>
      </c>
      <c r="J3036" s="21">
        <v>8220352.0</v>
      </c>
      <c r="K3036" s="21">
        <v>1233.0</v>
      </c>
    </row>
    <row r="3037">
      <c r="A3037" s="15" t="s">
        <v>74</v>
      </c>
      <c r="B3037" s="16" t="s">
        <v>170</v>
      </c>
      <c r="C3037" s="17" t="s">
        <v>171</v>
      </c>
      <c r="D3037" s="18">
        <v>4.0</v>
      </c>
      <c r="E3037" s="17" t="s">
        <v>115</v>
      </c>
      <c r="F3037" s="15" t="s">
        <v>116</v>
      </c>
      <c r="G3037" s="19">
        <v>9.0043002E7</v>
      </c>
      <c r="H3037" s="15" t="s">
        <v>49</v>
      </c>
      <c r="I3037" s="20" t="s">
        <v>50</v>
      </c>
      <c r="J3037" s="21">
        <v>1664471.0</v>
      </c>
      <c r="K3037" s="21">
        <v>109.0</v>
      </c>
    </row>
    <row r="3038">
      <c r="A3038" s="15" t="s">
        <v>74</v>
      </c>
      <c r="B3038" s="16" t="s">
        <v>170</v>
      </c>
      <c r="C3038" s="17" t="s">
        <v>171</v>
      </c>
      <c r="D3038" s="18">
        <v>4.0</v>
      </c>
      <c r="E3038" s="17" t="s">
        <v>117</v>
      </c>
      <c r="F3038" s="15" t="s">
        <v>118</v>
      </c>
      <c r="G3038" s="19">
        <v>5.1100058E7</v>
      </c>
      <c r="H3038" s="15" t="s">
        <v>36</v>
      </c>
      <c r="I3038" s="20" t="s">
        <v>37</v>
      </c>
      <c r="J3038" s="21">
        <v>1.065594209E9</v>
      </c>
      <c r="K3038" s="21">
        <v>136591.75</v>
      </c>
    </row>
    <row r="3039">
      <c r="A3039" s="15" t="s">
        <v>74</v>
      </c>
      <c r="B3039" s="16" t="s">
        <v>170</v>
      </c>
      <c r="C3039" s="17" t="s">
        <v>171</v>
      </c>
      <c r="D3039" s="18">
        <v>4.0</v>
      </c>
      <c r="E3039" s="17" t="s">
        <v>117</v>
      </c>
      <c r="F3039" s="15" t="s">
        <v>118</v>
      </c>
      <c r="G3039" s="19">
        <v>9.0043001E7</v>
      </c>
      <c r="H3039" s="15" t="s">
        <v>18</v>
      </c>
      <c r="I3039" s="20" t="s">
        <v>19</v>
      </c>
      <c r="J3039" s="21">
        <v>3.3176956E7</v>
      </c>
      <c r="K3039" s="21">
        <v>221.0</v>
      </c>
    </row>
    <row r="3040">
      <c r="A3040" s="15" t="s">
        <v>74</v>
      </c>
      <c r="B3040" s="16" t="s">
        <v>170</v>
      </c>
      <c r="C3040" s="17" t="s">
        <v>171</v>
      </c>
      <c r="D3040" s="18">
        <v>4.0</v>
      </c>
      <c r="E3040" s="17" t="s">
        <v>117</v>
      </c>
      <c r="F3040" s="15" t="s">
        <v>118</v>
      </c>
      <c r="G3040" s="19">
        <v>5.1100774E7</v>
      </c>
      <c r="H3040" s="15" t="s">
        <v>39</v>
      </c>
      <c r="I3040" s="20" t="s">
        <v>17</v>
      </c>
      <c r="J3040" s="21">
        <v>3837694.0</v>
      </c>
      <c r="K3040" s="21">
        <v>41.35</v>
      </c>
    </row>
    <row r="3041">
      <c r="A3041" s="15" t="s">
        <v>74</v>
      </c>
      <c r="B3041" s="16" t="s">
        <v>170</v>
      </c>
      <c r="C3041" s="17" t="s">
        <v>171</v>
      </c>
      <c r="D3041" s="18">
        <v>4.0</v>
      </c>
      <c r="E3041" s="17" t="s">
        <v>263</v>
      </c>
      <c r="F3041" s="15" t="s">
        <v>264</v>
      </c>
      <c r="G3041" s="19">
        <v>9.0043001E7</v>
      </c>
      <c r="H3041" s="15" t="s">
        <v>18</v>
      </c>
      <c r="I3041" s="20" t="s">
        <v>19</v>
      </c>
      <c r="J3041" s="21">
        <v>796852.0</v>
      </c>
      <c r="K3041" s="21">
        <v>5.0</v>
      </c>
    </row>
    <row r="3042">
      <c r="A3042" s="15" t="s">
        <v>74</v>
      </c>
      <c r="B3042" s="16" t="s">
        <v>170</v>
      </c>
      <c r="C3042" s="17" t="s">
        <v>171</v>
      </c>
      <c r="D3042" s="18">
        <v>4.0</v>
      </c>
      <c r="E3042" s="17" t="s">
        <v>123</v>
      </c>
      <c r="F3042" s="15" t="s">
        <v>124</v>
      </c>
      <c r="G3042" s="19">
        <v>9.0043001E7</v>
      </c>
      <c r="H3042" s="15" t="s">
        <v>18</v>
      </c>
      <c r="I3042" s="20" t="s">
        <v>19</v>
      </c>
      <c r="J3042" s="21">
        <v>2977686.0</v>
      </c>
      <c r="K3042" s="21">
        <v>19.0</v>
      </c>
    </row>
    <row r="3043">
      <c r="A3043" s="15" t="s">
        <v>74</v>
      </c>
      <c r="B3043" s="16" t="s">
        <v>170</v>
      </c>
      <c r="C3043" s="17" t="s">
        <v>171</v>
      </c>
      <c r="D3043" s="18">
        <v>4.0</v>
      </c>
      <c r="E3043" s="17" t="s">
        <v>125</v>
      </c>
      <c r="F3043" s="15" t="s">
        <v>126</v>
      </c>
      <c r="G3043" s="19">
        <v>5.1101056E7</v>
      </c>
      <c r="H3043" s="15" t="s">
        <v>16</v>
      </c>
      <c r="I3043" s="20" t="s">
        <v>25</v>
      </c>
      <c r="J3043" s="21">
        <v>9790436.0</v>
      </c>
      <c r="K3043" s="21">
        <v>0.0</v>
      </c>
    </row>
    <row r="3044">
      <c r="A3044" s="15" t="s">
        <v>74</v>
      </c>
      <c r="B3044" s="16" t="s">
        <v>170</v>
      </c>
      <c r="C3044" s="17" t="s">
        <v>171</v>
      </c>
      <c r="D3044" s="18">
        <v>4.0</v>
      </c>
      <c r="E3044" s="17" t="s">
        <v>125</v>
      </c>
      <c r="F3044" s="15" t="s">
        <v>126</v>
      </c>
      <c r="G3044" s="19">
        <v>5.1101056E7</v>
      </c>
      <c r="H3044" s="15" t="s">
        <v>16</v>
      </c>
      <c r="I3044" s="20" t="s">
        <v>17</v>
      </c>
      <c r="J3044" s="21">
        <v>1.186859E7</v>
      </c>
      <c r="K3044" s="21">
        <v>95885.307</v>
      </c>
    </row>
    <row r="3045">
      <c r="A3045" s="15" t="s">
        <v>74</v>
      </c>
      <c r="B3045" s="16" t="s">
        <v>170</v>
      </c>
      <c r="C3045" s="17" t="s">
        <v>171</v>
      </c>
      <c r="D3045" s="18">
        <v>4.0</v>
      </c>
      <c r="E3045" s="17" t="s">
        <v>125</v>
      </c>
      <c r="F3045" s="15" t="s">
        <v>126</v>
      </c>
      <c r="G3045" s="19">
        <v>9.0043001E7</v>
      </c>
      <c r="H3045" s="15" t="s">
        <v>18</v>
      </c>
      <c r="I3045" s="20" t="s">
        <v>19</v>
      </c>
      <c r="J3045" s="21">
        <v>3.71391266E8</v>
      </c>
      <c r="K3045" s="21">
        <v>2460.0</v>
      </c>
    </row>
    <row r="3046">
      <c r="A3046" s="15" t="s">
        <v>74</v>
      </c>
      <c r="B3046" s="16" t="s">
        <v>170</v>
      </c>
      <c r="C3046" s="17" t="s">
        <v>171</v>
      </c>
      <c r="D3046" s="18">
        <v>4.0</v>
      </c>
      <c r="E3046" s="17" t="s">
        <v>127</v>
      </c>
      <c r="F3046" s="15" t="s">
        <v>128</v>
      </c>
      <c r="G3046" s="19">
        <v>5.1100153E7</v>
      </c>
      <c r="H3046" s="15" t="s">
        <v>72</v>
      </c>
      <c r="I3046" s="20" t="s">
        <v>17</v>
      </c>
      <c r="J3046" s="21">
        <v>9.968621E7</v>
      </c>
      <c r="K3046" s="21">
        <v>1035729.815</v>
      </c>
    </row>
    <row r="3047">
      <c r="A3047" s="15" t="s">
        <v>74</v>
      </c>
      <c r="B3047" s="16" t="s">
        <v>170</v>
      </c>
      <c r="C3047" s="17" t="s">
        <v>171</v>
      </c>
      <c r="D3047" s="18">
        <v>4.0</v>
      </c>
      <c r="E3047" s="17" t="s">
        <v>127</v>
      </c>
      <c r="F3047" s="15" t="s">
        <v>128</v>
      </c>
      <c r="G3047" s="19">
        <v>9.0043001E7</v>
      </c>
      <c r="H3047" s="15" t="s">
        <v>18</v>
      </c>
      <c r="I3047" s="20" t="s">
        <v>19</v>
      </c>
      <c r="J3047" s="21">
        <v>297944.0</v>
      </c>
      <c r="K3047" s="21">
        <v>2.0</v>
      </c>
    </row>
    <row r="3048">
      <c r="A3048" s="15" t="s">
        <v>74</v>
      </c>
      <c r="B3048" s="16" t="s">
        <v>170</v>
      </c>
      <c r="C3048" s="17" t="s">
        <v>171</v>
      </c>
      <c r="D3048" s="18">
        <v>4.0</v>
      </c>
      <c r="E3048" s="17" t="s">
        <v>127</v>
      </c>
      <c r="F3048" s="15" t="s">
        <v>128</v>
      </c>
      <c r="G3048" s="19">
        <v>9.0043002E7</v>
      </c>
      <c r="H3048" s="15" t="s">
        <v>49</v>
      </c>
      <c r="I3048" s="20" t="s">
        <v>50</v>
      </c>
      <c r="J3048" s="21">
        <v>3.6231966E7</v>
      </c>
      <c r="K3048" s="21">
        <v>5386.0</v>
      </c>
    </row>
    <row r="3049">
      <c r="A3049" s="15" t="s">
        <v>74</v>
      </c>
      <c r="B3049" s="16" t="s">
        <v>170</v>
      </c>
      <c r="C3049" s="17" t="s">
        <v>171</v>
      </c>
      <c r="D3049" s="18">
        <v>4.0</v>
      </c>
      <c r="E3049" s="17" t="s">
        <v>129</v>
      </c>
      <c r="F3049" s="15" t="s">
        <v>130</v>
      </c>
      <c r="G3049" s="19">
        <v>5.1101056E7</v>
      </c>
      <c r="H3049" s="15" t="s">
        <v>16</v>
      </c>
      <c r="I3049" s="20" t="s">
        <v>17</v>
      </c>
      <c r="J3049" s="21">
        <v>1.544494E7</v>
      </c>
      <c r="K3049" s="21">
        <v>220642.0</v>
      </c>
    </row>
    <row r="3050">
      <c r="A3050" s="15" t="s">
        <v>74</v>
      </c>
      <c r="B3050" s="16" t="s">
        <v>170</v>
      </c>
      <c r="C3050" s="17" t="s">
        <v>171</v>
      </c>
      <c r="D3050" s="18">
        <v>4.0</v>
      </c>
      <c r="E3050" s="17" t="s">
        <v>129</v>
      </c>
      <c r="F3050" s="15" t="s">
        <v>130</v>
      </c>
      <c r="G3050" s="19">
        <v>9.0043001E7</v>
      </c>
      <c r="H3050" s="15" t="s">
        <v>18</v>
      </c>
      <c r="I3050" s="20" t="s">
        <v>19</v>
      </c>
      <c r="J3050" s="21">
        <v>3.1542802E7</v>
      </c>
      <c r="K3050" s="21">
        <v>194.0</v>
      </c>
    </row>
    <row r="3051">
      <c r="A3051" s="15" t="s">
        <v>74</v>
      </c>
      <c r="B3051" s="16" t="s">
        <v>170</v>
      </c>
      <c r="C3051" s="17" t="s">
        <v>171</v>
      </c>
      <c r="D3051" s="18">
        <v>4.0</v>
      </c>
      <c r="E3051" s="17" t="s">
        <v>129</v>
      </c>
      <c r="F3051" s="15" t="s">
        <v>130</v>
      </c>
      <c r="G3051" s="19">
        <v>9.0043003E7</v>
      </c>
      <c r="H3051" s="15" t="s">
        <v>90</v>
      </c>
      <c r="I3051" s="20" t="s">
        <v>50</v>
      </c>
      <c r="J3051" s="21">
        <v>1.982925E7</v>
      </c>
      <c r="K3051" s="21">
        <v>15.0</v>
      </c>
    </row>
    <row r="3052">
      <c r="A3052" s="15" t="s">
        <v>74</v>
      </c>
      <c r="B3052" s="16" t="s">
        <v>170</v>
      </c>
      <c r="C3052" s="17" t="s">
        <v>171</v>
      </c>
      <c r="D3052" s="18">
        <v>4.0</v>
      </c>
      <c r="E3052" s="17" t="s">
        <v>131</v>
      </c>
      <c r="F3052" s="15" t="s">
        <v>132</v>
      </c>
      <c r="G3052" s="19">
        <v>9.0043001E7</v>
      </c>
      <c r="H3052" s="15" t="s">
        <v>18</v>
      </c>
      <c r="I3052" s="20" t="s">
        <v>19</v>
      </c>
      <c r="J3052" s="21">
        <v>6625356.0</v>
      </c>
      <c r="K3052" s="21">
        <v>44.0</v>
      </c>
    </row>
    <row r="3053">
      <c r="A3053" s="15" t="s">
        <v>74</v>
      </c>
      <c r="B3053" s="16" t="s">
        <v>170</v>
      </c>
      <c r="C3053" s="17" t="s">
        <v>171</v>
      </c>
      <c r="D3053" s="18">
        <v>4.0</v>
      </c>
      <c r="E3053" s="17" t="s">
        <v>137</v>
      </c>
      <c r="F3053" s="15" t="s">
        <v>138</v>
      </c>
      <c r="G3053" s="19">
        <v>9.0043001E7</v>
      </c>
      <c r="H3053" s="15" t="s">
        <v>18</v>
      </c>
      <c r="I3053" s="20" t="s">
        <v>19</v>
      </c>
      <c r="J3053" s="21">
        <v>3724300.0</v>
      </c>
      <c r="K3053" s="21">
        <v>25.0</v>
      </c>
    </row>
    <row r="3054">
      <c r="A3054" s="15" t="s">
        <v>74</v>
      </c>
      <c r="B3054" s="16" t="s">
        <v>170</v>
      </c>
      <c r="C3054" s="17" t="s">
        <v>171</v>
      </c>
      <c r="D3054" s="18">
        <v>4.0</v>
      </c>
      <c r="E3054" s="17" t="s">
        <v>54</v>
      </c>
      <c r="F3054" s="15" t="s">
        <v>139</v>
      </c>
      <c r="G3054" s="19">
        <v>9.0042011E7</v>
      </c>
      <c r="H3054" s="15" t="s">
        <v>55</v>
      </c>
      <c r="I3054" s="20" t="s">
        <v>19</v>
      </c>
      <c r="J3054" s="21">
        <v>1.83564731E8</v>
      </c>
      <c r="K3054" s="21">
        <v>0.0</v>
      </c>
    </row>
    <row r="3055">
      <c r="A3055" s="15" t="s">
        <v>74</v>
      </c>
      <c r="B3055" s="16" t="s">
        <v>170</v>
      </c>
      <c r="C3055" s="17" t="s">
        <v>171</v>
      </c>
      <c r="D3055" s="18">
        <v>4.0</v>
      </c>
      <c r="E3055" s="17" t="s">
        <v>164</v>
      </c>
      <c r="F3055" s="15" t="s">
        <v>165</v>
      </c>
      <c r="G3055" s="19">
        <v>9.0042079E7</v>
      </c>
      <c r="H3055" s="15" t="s">
        <v>166</v>
      </c>
      <c r="I3055" s="20" t="s">
        <v>19</v>
      </c>
      <c r="J3055" s="21">
        <v>3162866.0</v>
      </c>
      <c r="K3055" s="21">
        <v>0.0</v>
      </c>
    </row>
    <row r="3056">
      <c r="A3056" s="15" t="s">
        <v>74</v>
      </c>
      <c r="B3056" s="16" t="s">
        <v>170</v>
      </c>
      <c r="C3056" s="17" t="s">
        <v>171</v>
      </c>
      <c r="D3056" s="18">
        <v>4.0</v>
      </c>
      <c r="E3056" s="17" t="s">
        <v>20</v>
      </c>
      <c r="F3056" s="15" t="s">
        <v>140</v>
      </c>
      <c r="G3056" s="19">
        <v>9.0042014E7</v>
      </c>
      <c r="H3056" s="15" t="s">
        <v>21</v>
      </c>
      <c r="I3056" s="20" t="s">
        <v>19</v>
      </c>
      <c r="J3056" s="21">
        <v>2.60639635E8</v>
      </c>
      <c r="K3056" s="21">
        <v>0.0</v>
      </c>
    </row>
    <row r="3057">
      <c r="A3057" s="15" t="s">
        <v>74</v>
      </c>
      <c r="B3057" s="16" t="s">
        <v>170</v>
      </c>
      <c r="C3057" s="17" t="s">
        <v>171</v>
      </c>
      <c r="D3057" s="18">
        <v>4.0</v>
      </c>
      <c r="E3057" s="17" t="s">
        <v>20</v>
      </c>
      <c r="F3057" s="15" t="s">
        <v>140</v>
      </c>
      <c r="G3057" s="19">
        <v>9.0042077E7</v>
      </c>
      <c r="H3057" s="15" t="s">
        <v>141</v>
      </c>
      <c r="I3057" s="20" t="s">
        <v>19</v>
      </c>
      <c r="J3057" s="21">
        <v>1.33368305E8</v>
      </c>
      <c r="K3057" s="21">
        <v>0.0</v>
      </c>
    </row>
    <row r="3058">
      <c r="A3058" s="15" t="s">
        <v>74</v>
      </c>
      <c r="B3058" s="16" t="s">
        <v>170</v>
      </c>
      <c r="C3058" s="17" t="s">
        <v>171</v>
      </c>
      <c r="D3058" s="18">
        <v>4.0</v>
      </c>
      <c r="E3058" s="17" t="s">
        <v>142</v>
      </c>
      <c r="F3058" s="15" t="s">
        <v>143</v>
      </c>
      <c r="G3058" s="19">
        <v>9.0042084E7</v>
      </c>
      <c r="H3058" s="15" t="s">
        <v>145</v>
      </c>
      <c r="I3058" s="20" t="s">
        <v>19</v>
      </c>
      <c r="J3058" s="21">
        <v>3322575.0</v>
      </c>
      <c r="K3058" s="21">
        <v>0.0</v>
      </c>
    </row>
    <row r="3059">
      <c r="A3059" s="15" t="s">
        <v>74</v>
      </c>
      <c r="B3059" s="16" t="s">
        <v>170</v>
      </c>
      <c r="C3059" s="17" t="s">
        <v>171</v>
      </c>
      <c r="D3059" s="18">
        <v>4.0</v>
      </c>
      <c r="E3059" s="17" t="s">
        <v>22</v>
      </c>
      <c r="F3059" s="15" t="s">
        <v>146</v>
      </c>
      <c r="G3059" s="19">
        <v>9.0042012E7</v>
      </c>
      <c r="H3059" s="15" t="s">
        <v>23</v>
      </c>
      <c r="I3059" s="20" t="s">
        <v>19</v>
      </c>
      <c r="J3059" s="21">
        <v>1.41958475E8</v>
      </c>
      <c r="K3059" s="21">
        <v>0.0</v>
      </c>
    </row>
    <row r="3060">
      <c r="A3060" s="15" t="s">
        <v>74</v>
      </c>
      <c r="B3060" s="16" t="s">
        <v>170</v>
      </c>
      <c r="C3060" s="17" t="s">
        <v>171</v>
      </c>
      <c r="D3060" s="18">
        <v>4.0</v>
      </c>
      <c r="E3060" s="17" t="s">
        <v>22</v>
      </c>
      <c r="F3060" s="15" t="s">
        <v>146</v>
      </c>
      <c r="G3060" s="19">
        <v>9.0042121E7</v>
      </c>
      <c r="H3060" s="15" t="s">
        <v>24</v>
      </c>
      <c r="I3060" s="20" t="s">
        <v>25</v>
      </c>
      <c r="J3060" s="21">
        <v>1.36530186E8</v>
      </c>
      <c r="K3060" s="21">
        <v>0.0</v>
      </c>
    </row>
    <row r="3061">
      <c r="A3061" s="15" t="s">
        <v>74</v>
      </c>
      <c r="B3061" s="16" t="s">
        <v>170</v>
      </c>
      <c r="C3061" s="17" t="s">
        <v>171</v>
      </c>
      <c r="D3061" s="18">
        <v>4.0</v>
      </c>
      <c r="E3061" s="17" t="s">
        <v>22</v>
      </c>
      <c r="F3061" s="15" t="s">
        <v>146</v>
      </c>
      <c r="G3061" s="19">
        <v>9.0042122E7</v>
      </c>
      <c r="H3061" s="15" t="s">
        <v>56</v>
      </c>
      <c r="I3061" s="20" t="s">
        <v>25</v>
      </c>
      <c r="J3061" s="21">
        <v>1.3994276E7</v>
      </c>
      <c r="K3061" s="21">
        <v>0.0</v>
      </c>
    </row>
    <row r="3062">
      <c r="A3062" s="15" t="s">
        <v>74</v>
      </c>
      <c r="B3062" s="16" t="s">
        <v>170</v>
      </c>
      <c r="C3062" s="17" t="s">
        <v>171</v>
      </c>
      <c r="D3062" s="18">
        <v>4.0</v>
      </c>
      <c r="E3062" s="17" t="s">
        <v>22</v>
      </c>
      <c r="F3062" s="15" t="s">
        <v>146</v>
      </c>
      <c r="G3062" s="19">
        <v>9.0042125E7</v>
      </c>
      <c r="H3062" s="15" t="s">
        <v>26</v>
      </c>
      <c r="I3062" s="20" t="s">
        <v>25</v>
      </c>
      <c r="J3062" s="21">
        <v>7.2174922E7</v>
      </c>
      <c r="K3062" s="21">
        <v>0.0</v>
      </c>
    </row>
    <row r="3063">
      <c r="A3063" s="15" t="s">
        <v>74</v>
      </c>
      <c r="B3063" s="16" t="s">
        <v>170</v>
      </c>
      <c r="C3063" s="17" t="s">
        <v>171</v>
      </c>
      <c r="D3063" s="18">
        <v>4.0</v>
      </c>
      <c r="E3063" s="17" t="s">
        <v>22</v>
      </c>
      <c r="F3063" s="15" t="s">
        <v>146</v>
      </c>
      <c r="G3063" s="19">
        <v>9.0042127E7</v>
      </c>
      <c r="H3063" s="15" t="s">
        <v>27</v>
      </c>
      <c r="I3063" s="20" t="s">
        <v>25</v>
      </c>
      <c r="J3063" s="21">
        <v>2.002763E7</v>
      </c>
      <c r="K3063" s="21">
        <v>0.0</v>
      </c>
    </row>
    <row r="3064">
      <c r="A3064" s="15" t="s">
        <v>74</v>
      </c>
      <c r="B3064" s="16" t="s">
        <v>170</v>
      </c>
      <c r="C3064" s="17" t="s">
        <v>171</v>
      </c>
      <c r="D3064" s="18">
        <v>4.0</v>
      </c>
      <c r="E3064" s="17" t="s">
        <v>22</v>
      </c>
      <c r="F3064" s="15" t="s">
        <v>146</v>
      </c>
      <c r="G3064" s="19">
        <v>9.0042128E7</v>
      </c>
      <c r="H3064" s="15" t="s">
        <v>58</v>
      </c>
      <c r="I3064" s="20" t="s">
        <v>25</v>
      </c>
      <c r="J3064" s="21">
        <v>1.6644349E7</v>
      </c>
      <c r="K3064" s="21">
        <v>0.0</v>
      </c>
    </row>
    <row r="3065">
      <c r="A3065" s="15" t="s">
        <v>74</v>
      </c>
      <c r="B3065" s="16" t="s">
        <v>170</v>
      </c>
      <c r="C3065" s="17" t="s">
        <v>171</v>
      </c>
      <c r="D3065" s="18">
        <v>4.0</v>
      </c>
      <c r="E3065" s="17" t="s">
        <v>22</v>
      </c>
      <c r="F3065" s="15" t="s">
        <v>146</v>
      </c>
      <c r="G3065" s="19">
        <v>9.0042132E7</v>
      </c>
      <c r="H3065" s="15" t="s">
        <v>28</v>
      </c>
      <c r="I3065" s="20" t="s">
        <v>25</v>
      </c>
      <c r="J3065" s="21">
        <v>1829000.0</v>
      </c>
      <c r="K3065" s="21">
        <v>0.0</v>
      </c>
    </row>
    <row r="3066">
      <c r="A3066" s="15" t="s">
        <v>74</v>
      </c>
      <c r="B3066" s="16" t="s">
        <v>170</v>
      </c>
      <c r="C3066" s="17" t="s">
        <v>171</v>
      </c>
      <c r="D3066" s="18">
        <v>4.0</v>
      </c>
      <c r="E3066" s="17" t="s">
        <v>22</v>
      </c>
      <c r="F3066" s="15" t="s">
        <v>146</v>
      </c>
      <c r="G3066" s="19">
        <v>9.0042134E7</v>
      </c>
      <c r="H3066" s="15" t="s">
        <v>29</v>
      </c>
      <c r="I3066" s="20" t="s">
        <v>25</v>
      </c>
      <c r="J3066" s="21">
        <v>3770000.0</v>
      </c>
      <c r="K3066" s="21">
        <v>0.0</v>
      </c>
    </row>
    <row r="3067">
      <c r="A3067" s="15" t="s">
        <v>74</v>
      </c>
      <c r="B3067" s="16" t="s">
        <v>170</v>
      </c>
      <c r="C3067" s="17" t="s">
        <v>171</v>
      </c>
      <c r="D3067" s="18">
        <v>4.0</v>
      </c>
      <c r="E3067" s="17" t="s">
        <v>22</v>
      </c>
      <c r="F3067" s="15" t="s">
        <v>146</v>
      </c>
      <c r="G3067" s="19">
        <v>9.0042135E7</v>
      </c>
      <c r="H3067" s="15" t="s">
        <v>30</v>
      </c>
      <c r="I3067" s="20" t="s">
        <v>25</v>
      </c>
      <c r="J3067" s="21">
        <v>1.6816925E8</v>
      </c>
      <c r="K3067" s="21">
        <v>0.0</v>
      </c>
    </row>
    <row r="3068">
      <c r="A3068" s="15" t="s">
        <v>74</v>
      </c>
      <c r="B3068" s="16" t="s">
        <v>170</v>
      </c>
      <c r="C3068" s="17" t="s">
        <v>171</v>
      </c>
      <c r="D3068" s="18">
        <v>4.0</v>
      </c>
      <c r="E3068" s="17" t="s">
        <v>22</v>
      </c>
      <c r="F3068" s="15" t="s">
        <v>146</v>
      </c>
      <c r="G3068" s="19">
        <v>9.00422E7</v>
      </c>
      <c r="H3068" s="15" t="s">
        <v>73</v>
      </c>
      <c r="I3068" s="20" t="s">
        <v>60</v>
      </c>
      <c r="J3068" s="21">
        <v>1.59424702E8</v>
      </c>
      <c r="K3068" s="21">
        <v>0.0</v>
      </c>
    </row>
    <row r="3069">
      <c r="A3069" s="15" t="s">
        <v>74</v>
      </c>
      <c r="B3069" s="16" t="s">
        <v>170</v>
      </c>
      <c r="C3069" s="17" t="s">
        <v>171</v>
      </c>
      <c r="D3069" s="18">
        <v>4.0</v>
      </c>
      <c r="E3069" s="17" t="s">
        <v>22</v>
      </c>
      <c r="F3069" s="15" t="s">
        <v>146</v>
      </c>
      <c r="G3069" s="19">
        <v>9.0042223E7</v>
      </c>
      <c r="H3069" s="15" t="s">
        <v>61</v>
      </c>
      <c r="I3069" s="20" t="s">
        <v>60</v>
      </c>
      <c r="J3069" s="21">
        <v>9086493.0</v>
      </c>
      <c r="K3069" s="21">
        <v>0.0</v>
      </c>
    </row>
    <row r="3070">
      <c r="A3070" s="15" t="s">
        <v>74</v>
      </c>
      <c r="B3070" s="16" t="s">
        <v>170</v>
      </c>
      <c r="C3070" s="17" t="s">
        <v>171</v>
      </c>
      <c r="D3070" s="18">
        <v>4.0</v>
      </c>
      <c r="E3070" s="17" t="s">
        <v>22</v>
      </c>
      <c r="F3070" s="15" t="s">
        <v>146</v>
      </c>
      <c r="G3070" s="19">
        <v>9.0042224E7</v>
      </c>
      <c r="H3070" s="15" t="s">
        <v>62</v>
      </c>
      <c r="I3070" s="20" t="s">
        <v>60</v>
      </c>
      <c r="J3070" s="21">
        <v>9548651.0</v>
      </c>
      <c r="K3070" s="21">
        <v>0.0</v>
      </c>
    </row>
    <row r="3071">
      <c r="A3071" s="15" t="s">
        <v>74</v>
      </c>
      <c r="B3071" s="16" t="s">
        <v>170</v>
      </c>
      <c r="C3071" s="17" t="s">
        <v>171</v>
      </c>
      <c r="D3071" s="18">
        <v>4.0</v>
      </c>
      <c r="E3071" s="17" t="s">
        <v>22</v>
      </c>
      <c r="F3071" s="15" t="s">
        <v>146</v>
      </c>
      <c r="G3071" s="19">
        <v>9.0042226E7</v>
      </c>
      <c r="H3071" s="15" t="s">
        <v>63</v>
      </c>
      <c r="I3071" s="20" t="s">
        <v>60</v>
      </c>
      <c r="J3071" s="21">
        <v>1233333.0</v>
      </c>
      <c r="K3071" s="21">
        <v>0.0</v>
      </c>
    </row>
    <row r="3072">
      <c r="A3072" s="15" t="s">
        <v>74</v>
      </c>
      <c r="B3072" s="16" t="s">
        <v>170</v>
      </c>
      <c r="C3072" s="17" t="s">
        <v>171</v>
      </c>
      <c r="D3072" s="18">
        <v>4.0</v>
      </c>
      <c r="E3072" s="17" t="s">
        <v>22</v>
      </c>
      <c r="F3072" s="15" t="s">
        <v>146</v>
      </c>
      <c r="G3072" s="19">
        <v>9.0042228E7</v>
      </c>
      <c r="H3072" s="15" t="s">
        <v>64</v>
      </c>
      <c r="I3072" s="20" t="s">
        <v>60</v>
      </c>
      <c r="J3072" s="21">
        <v>6.784373E7</v>
      </c>
      <c r="K3072" s="21">
        <v>0.0</v>
      </c>
    </row>
    <row r="3073">
      <c r="A3073" s="15" t="s">
        <v>74</v>
      </c>
      <c r="B3073" s="16" t="s">
        <v>170</v>
      </c>
      <c r="C3073" s="17" t="s">
        <v>171</v>
      </c>
      <c r="D3073" s="18">
        <v>4.0</v>
      </c>
      <c r="E3073" s="17" t="s">
        <v>22</v>
      </c>
      <c r="F3073" s="15" t="s">
        <v>146</v>
      </c>
      <c r="G3073" s="19">
        <v>9.0042231E7</v>
      </c>
      <c r="H3073" s="15" t="s">
        <v>65</v>
      </c>
      <c r="I3073" s="20" t="s">
        <v>60</v>
      </c>
      <c r="J3073" s="21">
        <v>1.3415775E7</v>
      </c>
      <c r="K3073" s="21">
        <v>0.0</v>
      </c>
    </row>
    <row r="3074">
      <c r="A3074" s="15" t="s">
        <v>74</v>
      </c>
      <c r="B3074" s="16" t="s">
        <v>170</v>
      </c>
      <c r="C3074" s="17" t="s">
        <v>171</v>
      </c>
      <c r="D3074" s="18">
        <v>4.0</v>
      </c>
      <c r="E3074" s="17" t="s">
        <v>22</v>
      </c>
      <c r="F3074" s="15" t="s">
        <v>146</v>
      </c>
      <c r="G3074" s="19">
        <v>9.0042126E7</v>
      </c>
      <c r="H3074" s="15" t="s">
        <v>31</v>
      </c>
      <c r="I3074" s="20" t="s">
        <v>25</v>
      </c>
      <c r="J3074" s="21">
        <v>5.6198551E7</v>
      </c>
      <c r="K3074" s="21">
        <v>0.0</v>
      </c>
    </row>
    <row r="3075">
      <c r="A3075" s="15" t="s">
        <v>74</v>
      </c>
      <c r="B3075" s="16" t="s">
        <v>170</v>
      </c>
      <c r="C3075" s="17" t="s">
        <v>171</v>
      </c>
      <c r="D3075" s="18">
        <v>4.0</v>
      </c>
      <c r="E3075" s="17" t="s">
        <v>252</v>
      </c>
      <c r="F3075" s="15" t="s">
        <v>253</v>
      </c>
      <c r="G3075" s="19">
        <v>9.0043003E7</v>
      </c>
      <c r="H3075" s="15" t="s">
        <v>90</v>
      </c>
      <c r="I3075" s="20" t="s">
        <v>50</v>
      </c>
      <c r="J3075" s="21">
        <v>2643900.0</v>
      </c>
      <c r="K3075" s="21">
        <v>2.0</v>
      </c>
    </row>
    <row r="3076">
      <c r="A3076" s="15" t="s">
        <v>74</v>
      </c>
      <c r="B3076" s="16" t="s">
        <v>170</v>
      </c>
      <c r="C3076" s="17" t="s">
        <v>171</v>
      </c>
      <c r="D3076" s="18">
        <v>4.0</v>
      </c>
      <c r="E3076" s="24">
        <v>46246.0</v>
      </c>
      <c r="F3076" s="15" t="s">
        <v>302</v>
      </c>
      <c r="G3076" s="19">
        <v>5.1100005E7</v>
      </c>
      <c r="H3076" s="15" t="s">
        <v>337</v>
      </c>
      <c r="I3076" s="20" t="s">
        <v>37</v>
      </c>
      <c r="J3076" s="21">
        <v>0.0</v>
      </c>
      <c r="K3076" s="21">
        <v>0.0</v>
      </c>
    </row>
    <row r="3077">
      <c r="A3077" s="15" t="s">
        <v>74</v>
      </c>
      <c r="B3077" s="16" t="s">
        <v>12</v>
      </c>
      <c r="C3077" s="17" t="s">
        <v>13</v>
      </c>
      <c r="D3077" s="18">
        <v>4.0</v>
      </c>
      <c r="E3077" s="17" t="s">
        <v>101</v>
      </c>
      <c r="F3077" s="15" t="s">
        <v>102</v>
      </c>
      <c r="G3077" s="19">
        <v>9.0043001E7</v>
      </c>
      <c r="H3077" s="15" t="s">
        <v>18</v>
      </c>
      <c r="I3077" s="20" t="s">
        <v>19</v>
      </c>
      <c r="J3077" s="21">
        <v>3933432.0</v>
      </c>
      <c r="K3077" s="21">
        <v>24.0</v>
      </c>
    </row>
    <row r="3078">
      <c r="A3078" s="15" t="s">
        <v>74</v>
      </c>
      <c r="B3078" s="16" t="s">
        <v>12</v>
      </c>
      <c r="C3078" s="17" t="s">
        <v>13</v>
      </c>
      <c r="D3078" s="18">
        <v>4.0</v>
      </c>
      <c r="E3078" s="17" t="s">
        <v>117</v>
      </c>
      <c r="F3078" s="15" t="s">
        <v>118</v>
      </c>
      <c r="G3078" s="19">
        <v>9.0043001E7</v>
      </c>
      <c r="H3078" s="15" t="s">
        <v>18</v>
      </c>
      <c r="I3078" s="20" t="s">
        <v>19</v>
      </c>
      <c r="J3078" s="21">
        <v>655572.0</v>
      </c>
      <c r="K3078" s="21">
        <v>4.0</v>
      </c>
    </row>
    <row r="3079">
      <c r="A3079" s="15" t="s">
        <v>74</v>
      </c>
      <c r="B3079" s="16" t="s">
        <v>12</v>
      </c>
      <c r="C3079" s="17" t="s">
        <v>13</v>
      </c>
      <c r="D3079" s="18">
        <v>4.0</v>
      </c>
      <c r="E3079" s="17" t="s">
        <v>125</v>
      </c>
      <c r="F3079" s="15" t="s">
        <v>126</v>
      </c>
      <c r="G3079" s="19">
        <v>9.0043001E7</v>
      </c>
      <c r="H3079" s="15" t="s">
        <v>18</v>
      </c>
      <c r="I3079" s="20" t="s">
        <v>19</v>
      </c>
      <c r="J3079" s="21">
        <v>5572362.0</v>
      </c>
      <c r="K3079" s="21">
        <v>34.0</v>
      </c>
    </row>
    <row r="3080">
      <c r="A3080" s="15" t="s">
        <v>74</v>
      </c>
      <c r="B3080" s="16" t="s">
        <v>12</v>
      </c>
      <c r="C3080" s="17" t="s">
        <v>13</v>
      </c>
      <c r="D3080" s="18">
        <v>4.0</v>
      </c>
      <c r="E3080" s="17" t="s">
        <v>127</v>
      </c>
      <c r="F3080" s="15" t="s">
        <v>128</v>
      </c>
      <c r="G3080" s="19">
        <v>5.1100153E7</v>
      </c>
      <c r="H3080" s="15" t="s">
        <v>72</v>
      </c>
      <c r="I3080" s="20" t="s">
        <v>25</v>
      </c>
      <c r="J3080" s="21">
        <v>2500000.0</v>
      </c>
      <c r="K3080" s="21">
        <v>0.0</v>
      </c>
    </row>
    <row r="3081">
      <c r="A3081" s="15" t="s">
        <v>74</v>
      </c>
      <c r="B3081" s="16" t="s">
        <v>12</v>
      </c>
      <c r="C3081" s="17" t="s">
        <v>13</v>
      </c>
      <c r="D3081" s="18">
        <v>4.0</v>
      </c>
      <c r="E3081" s="17" t="s">
        <v>22</v>
      </c>
      <c r="F3081" s="15" t="s">
        <v>146</v>
      </c>
      <c r="G3081" s="19">
        <v>9.0042121E7</v>
      </c>
      <c r="H3081" s="15" t="s">
        <v>24</v>
      </c>
      <c r="I3081" s="20" t="s">
        <v>25</v>
      </c>
      <c r="J3081" s="21">
        <v>1.0E7</v>
      </c>
      <c r="K3081" s="21">
        <v>0.0</v>
      </c>
    </row>
    <row r="3082">
      <c r="A3082" s="15" t="s">
        <v>74</v>
      </c>
      <c r="B3082" s="16" t="s">
        <v>12</v>
      </c>
      <c r="C3082" s="17" t="s">
        <v>13</v>
      </c>
      <c r="D3082" s="18">
        <v>4.0</v>
      </c>
      <c r="E3082" s="17" t="s">
        <v>22</v>
      </c>
      <c r="F3082" s="15" t="s">
        <v>146</v>
      </c>
      <c r="G3082" s="19">
        <v>9.0042122E7</v>
      </c>
      <c r="H3082" s="15" t="s">
        <v>56</v>
      </c>
      <c r="I3082" s="20" t="s">
        <v>25</v>
      </c>
      <c r="J3082" s="21">
        <v>1268578.0</v>
      </c>
      <c r="K3082" s="21">
        <v>0.0</v>
      </c>
    </row>
    <row r="3083">
      <c r="A3083" s="15" t="s">
        <v>74</v>
      </c>
      <c r="B3083" s="16" t="s">
        <v>12</v>
      </c>
      <c r="C3083" s="17" t="s">
        <v>13</v>
      </c>
      <c r="D3083" s="18">
        <v>4.0</v>
      </c>
      <c r="E3083" s="17" t="s">
        <v>22</v>
      </c>
      <c r="F3083" s="15" t="s">
        <v>146</v>
      </c>
      <c r="G3083" s="19">
        <v>9.0042135E7</v>
      </c>
      <c r="H3083" s="15" t="s">
        <v>30</v>
      </c>
      <c r="I3083" s="20" t="s">
        <v>25</v>
      </c>
      <c r="J3083" s="21">
        <v>1.9114011E7</v>
      </c>
      <c r="K3083" s="21">
        <v>0.0</v>
      </c>
    </row>
    <row r="3084">
      <c r="A3084" s="15" t="s">
        <v>74</v>
      </c>
      <c r="B3084" s="16" t="s">
        <v>12</v>
      </c>
      <c r="C3084" s="17" t="s">
        <v>13</v>
      </c>
      <c r="D3084" s="18">
        <v>4.0</v>
      </c>
      <c r="E3084" s="17" t="s">
        <v>22</v>
      </c>
      <c r="F3084" s="15" t="s">
        <v>146</v>
      </c>
      <c r="G3084" s="19">
        <v>9.00422E7</v>
      </c>
      <c r="H3084" s="15" t="s">
        <v>73</v>
      </c>
      <c r="I3084" s="20" t="s">
        <v>60</v>
      </c>
      <c r="J3084" s="21">
        <v>461296.0</v>
      </c>
      <c r="K3084" s="21">
        <v>0.0</v>
      </c>
    </row>
    <row r="3085">
      <c r="A3085" s="15" t="s">
        <v>74</v>
      </c>
      <c r="B3085" s="16" t="s">
        <v>12</v>
      </c>
      <c r="C3085" s="17" t="s">
        <v>13</v>
      </c>
      <c r="D3085" s="18">
        <v>4.0</v>
      </c>
      <c r="E3085" s="17" t="s">
        <v>22</v>
      </c>
      <c r="F3085" s="15" t="s">
        <v>146</v>
      </c>
      <c r="G3085" s="19">
        <v>9.0042223E7</v>
      </c>
      <c r="H3085" s="15" t="s">
        <v>61</v>
      </c>
      <c r="I3085" s="20" t="s">
        <v>60</v>
      </c>
      <c r="J3085" s="21">
        <v>1107530.0</v>
      </c>
      <c r="K3085" s="21">
        <v>0.0</v>
      </c>
    </row>
    <row r="3086">
      <c r="A3086" s="15" t="s">
        <v>74</v>
      </c>
      <c r="B3086" s="16" t="s">
        <v>12</v>
      </c>
      <c r="C3086" s="17" t="s">
        <v>13</v>
      </c>
      <c r="D3086" s="18">
        <v>4.0</v>
      </c>
      <c r="E3086" s="17" t="s">
        <v>22</v>
      </c>
      <c r="F3086" s="15" t="s">
        <v>146</v>
      </c>
      <c r="G3086" s="19">
        <v>9.0042224E7</v>
      </c>
      <c r="H3086" s="15" t="s">
        <v>62</v>
      </c>
      <c r="I3086" s="20" t="s">
        <v>60</v>
      </c>
      <c r="J3086" s="21">
        <v>141852.0</v>
      </c>
      <c r="K3086" s="21">
        <v>0.0</v>
      </c>
    </row>
    <row r="3087">
      <c r="A3087" s="15" t="s">
        <v>74</v>
      </c>
      <c r="B3087" s="16" t="s">
        <v>12</v>
      </c>
      <c r="C3087" s="17" t="s">
        <v>13</v>
      </c>
      <c r="D3087" s="18">
        <v>4.0</v>
      </c>
      <c r="E3087" s="17" t="s">
        <v>22</v>
      </c>
      <c r="F3087" s="15" t="s">
        <v>146</v>
      </c>
      <c r="G3087" s="19">
        <v>9.0042228E7</v>
      </c>
      <c r="H3087" s="15" t="s">
        <v>64</v>
      </c>
      <c r="I3087" s="20" t="s">
        <v>60</v>
      </c>
      <c r="J3087" s="21">
        <v>8396384.0</v>
      </c>
      <c r="K3087" s="21">
        <v>0.0</v>
      </c>
    </row>
    <row r="3088">
      <c r="A3088" s="15" t="s">
        <v>74</v>
      </c>
      <c r="B3088" s="16" t="s">
        <v>12</v>
      </c>
      <c r="C3088" s="17" t="s">
        <v>13</v>
      </c>
      <c r="D3088" s="18">
        <v>4.0</v>
      </c>
      <c r="E3088" s="17" t="s">
        <v>22</v>
      </c>
      <c r="F3088" s="15" t="s">
        <v>146</v>
      </c>
      <c r="G3088" s="19">
        <v>9.0042231E7</v>
      </c>
      <c r="H3088" s="15" t="s">
        <v>65</v>
      </c>
      <c r="I3088" s="20" t="s">
        <v>60</v>
      </c>
      <c r="J3088" s="21">
        <v>2915926.0</v>
      </c>
      <c r="K3088" s="21">
        <v>0.0</v>
      </c>
    </row>
    <row r="3089">
      <c r="A3089" s="15" t="s">
        <v>74</v>
      </c>
      <c r="B3089" s="16" t="s">
        <v>12</v>
      </c>
      <c r="C3089" s="17" t="s">
        <v>13</v>
      </c>
      <c r="D3089" s="18">
        <v>4.0</v>
      </c>
      <c r="E3089" s="17" t="s">
        <v>22</v>
      </c>
      <c r="F3089" s="15" t="s">
        <v>146</v>
      </c>
      <c r="G3089" s="19">
        <v>9.0042126E7</v>
      </c>
      <c r="H3089" s="15" t="s">
        <v>31</v>
      </c>
      <c r="I3089" s="20" t="s">
        <v>25</v>
      </c>
      <c r="J3089" s="21">
        <v>1.7714104E7</v>
      </c>
      <c r="K3089" s="21">
        <v>0.0</v>
      </c>
    </row>
    <row r="3090">
      <c r="A3090" s="15" t="s">
        <v>74</v>
      </c>
      <c r="B3090" s="16" t="s">
        <v>187</v>
      </c>
      <c r="C3090" s="17" t="s">
        <v>188</v>
      </c>
      <c r="D3090" s="18">
        <v>4.0</v>
      </c>
      <c r="E3090" s="17" t="s">
        <v>77</v>
      </c>
      <c r="F3090" s="15" t="s">
        <v>78</v>
      </c>
      <c r="G3090" s="19">
        <v>9.0043001E7</v>
      </c>
      <c r="H3090" s="15" t="s">
        <v>18</v>
      </c>
      <c r="I3090" s="20" t="s">
        <v>19</v>
      </c>
      <c r="J3090" s="21">
        <v>3748246.0</v>
      </c>
      <c r="K3090" s="21">
        <v>25.0</v>
      </c>
    </row>
    <row r="3091">
      <c r="A3091" s="15" t="s">
        <v>74</v>
      </c>
      <c r="B3091" s="16" t="s">
        <v>187</v>
      </c>
      <c r="C3091" s="17" t="s">
        <v>188</v>
      </c>
      <c r="D3091" s="18">
        <v>4.0</v>
      </c>
      <c r="E3091" s="17" t="s">
        <v>84</v>
      </c>
      <c r="F3091" s="15" t="s">
        <v>85</v>
      </c>
      <c r="G3091" s="19">
        <v>9.0043001E7</v>
      </c>
      <c r="H3091" s="15" t="s">
        <v>18</v>
      </c>
      <c r="I3091" s="20" t="s">
        <v>19</v>
      </c>
      <c r="J3091" s="21">
        <v>3.3242016E7</v>
      </c>
      <c r="K3091" s="21">
        <v>228.0</v>
      </c>
    </row>
    <row r="3092">
      <c r="A3092" s="15" t="s">
        <v>74</v>
      </c>
      <c r="B3092" s="16" t="s">
        <v>187</v>
      </c>
      <c r="C3092" s="17" t="s">
        <v>188</v>
      </c>
      <c r="D3092" s="18">
        <v>4.0</v>
      </c>
      <c r="E3092" s="17" t="s">
        <v>84</v>
      </c>
      <c r="F3092" s="15" t="s">
        <v>85</v>
      </c>
      <c r="G3092" s="19">
        <v>9.0043E7</v>
      </c>
      <c r="H3092" s="15" t="s">
        <v>83</v>
      </c>
      <c r="I3092" s="20" t="s">
        <v>19</v>
      </c>
      <c r="J3092" s="21">
        <v>3797950.0</v>
      </c>
      <c r="K3092" s="21">
        <v>25.0</v>
      </c>
    </row>
    <row r="3093">
      <c r="A3093" s="15" t="s">
        <v>74</v>
      </c>
      <c r="B3093" s="16" t="s">
        <v>187</v>
      </c>
      <c r="C3093" s="17" t="s">
        <v>188</v>
      </c>
      <c r="D3093" s="18">
        <v>4.0</v>
      </c>
      <c r="E3093" s="17" t="s">
        <v>173</v>
      </c>
      <c r="F3093" s="15" t="s">
        <v>174</v>
      </c>
      <c r="G3093" s="19">
        <v>9.0043002E7</v>
      </c>
      <c r="H3093" s="15" t="s">
        <v>49</v>
      </c>
      <c r="I3093" s="20" t="s">
        <v>50</v>
      </c>
      <c r="J3093" s="21">
        <v>5074919.0</v>
      </c>
      <c r="K3093" s="21">
        <v>470.0</v>
      </c>
    </row>
    <row r="3094">
      <c r="A3094" s="15" t="s">
        <v>74</v>
      </c>
      <c r="B3094" s="16" t="s">
        <v>187</v>
      </c>
      <c r="C3094" s="17" t="s">
        <v>188</v>
      </c>
      <c r="D3094" s="18">
        <v>4.0</v>
      </c>
      <c r="E3094" s="17" t="s">
        <v>189</v>
      </c>
      <c r="F3094" s="15" t="s">
        <v>190</v>
      </c>
      <c r="G3094" s="19">
        <v>9.0043001E7</v>
      </c>
      <c r="H3094" s="15" t="s">
        <v>18</v>
      </c>
      <c r="I3094" s="20" t="s">
        <v>19</v>
      </c>
      <c r="J3094" s="21">
        <v>8014084.0</v>
      </c>
      <c r="K3094" s="21">
        <v>52.0</v>
      </c>
    </row>
    <row r="3095">
      <c r="A3095" s="15" t="s">
        <v>74</v>
      </c>
      <c r="B3095" s="16" t="s">
        <v>187</v>
      </c>
      <c r="C3095" s="17" t="s">
        <v>188</v>
      </c>
      <c r="D3095" s="18">
        <v>4.0</v>
      </c>
      <c r="E3095" s="17" t="s">
        <v>180</v>
      </c>
      <c r="F3095" s="15" t="s">
        <v>181</v>
      </c>
      <c r="G3095" s="19">
        <v>9.0043001E7</v>
      </c>
      <c r="H3095" s="15" t="s">
        <v>18</v>
      </c>
      <c r="I3095" s="20" t="s">
        <v>19</v>
      </c>
      <c r="J3095" s="21">
        <v>436914.0</v>
      </c>
      <c r="K3095" s="21">
        <v>3.0</v>
      </c>
    </row>
    <row r="3096">
      <c r="A3096" s="15" t="s">
        <v>74</v>
      </c>
      <c r="B3096" s="16" t="s">
        <v>187</v>
      </c>
      <c r="C3096" s="17" t="s">
        <v>188</v>
      </c>
      <c r="D3096" s="18">
        <v>4.0</v>
      </c>
      <c r="E3096" s="17" t="s">
        <v>282</v>
      </c>
      <c r="F3096" s="15" t="s">
        <v>283</v>
      </c>
      <c r="G3096" s="19">
        <v>9.0043002E7</v>
      </c>
      <c r="H3096" s="15" t="s">
        <v>49</v>
      </c>
      <c r="I3096" s="20" t="s">
        <v>50</v>
      </c>
      <c r="J3096" s="21">
        <v>51720.0</v>
      </c>
      <c r="K3096" s="21">
        <v>5.0</v>
      </c>
    </row>
    <row r="3097">
      <c r="A3097" s="15" t="s">
        <v>74</v>
      </c>
      <c r="B3097" s="16" t="s">
        <v>187</v>
      </c>
      <c r="C3097" s="17" t="s">
        <v>188</v>
      </c>
      <c r="D3097" s="18">
        <v>4.0</v>
      </c>
      <c r="E3097" s="17" t="s">
        <v>95</v>
      </c>
      <c r="F3097" s="15" t="s">
        <v>96</v>
      </c>
      <c r="G3097" s="19">
        <v>5.1100058E7</v>
      </c>
      <c r="H3097" s="15" t="s">
        <v>36</v>
      </c>
      <c r="I3097" s="20" t="s">
        <v>37</v>
      </c>
      <c r="J3097" s="21">
        <v>2825743.0</v>
      </c>
      <c r="K3097" s="21">
        <v>32.0</v>
      </c>
    </row>
    <row r="3098">
      <c r="A3098" s="15" t="s">
        <v>74</v>
      </c>
      <c r="B3098" s="16" t="s">
        <v>187</v>
      </c>
      <c r="C3098" s="17" t="s">
        <v>188</v>
      </c>
      <c r="D3098" s="18">
        <v>4.0</v>
      </c>
      <c r="E3098" s="17" t="s">
        <v>95</v>
      </c>
      <c r="F3098" s="15" t="s">
        <v>96</v>
      </c>
      <c r="G3098" s="19">
        <v>9.0043001E7</v>
      </c>
      <c r="H3098" s="15" t="s">
        <v>18</v>
      </c>
      <c r="I3098" s="20" t="s">
        <v>19</v>
      </c>
      <c r="J3098" s="21">
        <v>4078448.0</v>
      </c>
      <c r="K3098" s="21">
        <v>26.0</v>
      </c>
    </row>
    <row r="3099">
      <c r="A3099" s="15" t="s">
        <v>74</v>
      </c>
      <c r="B3099" s="16" t="s">
        <v>187</v>
      </c>
      <c r="C3099" s="17" t="s">
        <v>188</v>
      </c>
      <c r="D3099" s="18">
        <v>4.0</v>
      </c>
      <c r="E3099" s="17" t="s">
        <v>99</v>
      </c>
      <c r="F3099" s="15" t="s">
        <v>100</v>
      </c>
      <c r="G3099" s="19">
        <v>9.0043001E7</v>
      </c>
      <c r="H3099" s="15" t="s">
        <v>18</v>
      </c>
      <c r="I3099" s="20" t="s">
        <v>19</v>
      </c>
      <c r="J3099" s="21">
        <v>1695330.0</v>
      </c>
      <c r="K3099" s="21">
        <v>11.0</v>
      </c>
    </row>
    <row r="3100">
      <c r="A3100" s="15" t="s">
        <v>74</v>
      </c>
      <c r="B3100" s="16" t="s">
        <v>187</v>
      </c>
      <c r="C3100" s="17" t="s">
        <v>188</v>
      </c>
      <c r="D3100" s="18">
        <v>4.0</v>
      </c>
      <c r="E3100" s="17" t="s">
        <v>101</v>
      </c>
      <c r="F3100" s="15" t="s">
        <v>102</v>
      </c>
      <c r="G3100" s="19">
        <v>5.1100651E7</v>
      </c>
      <c r="H3100" s="15" t="s">
        <v>38</v>
      </c>
      <c r="I3100" s="20" t="s">
        <v>25</v>
      </c>
      <c r="J3100" s="21">
        <v>-4.88883501E8</v>
      </c>
      <c r="K3100" s="21">
        <v>-651.0</v>
      </c>
    </row>
    <row r="3101">
      <c r="A3101" s="15" t="s">
        <v>74</v>
      </c>
      <c r="B3101" s="16" t="s">
        <v>187</v>
      </c>
      <c r="C3101" s="17" t="s">
        <v>188</v>
      </c>
      <c r="D3101" s="18">
        <v>4.0</v>
      </c>
      <c r="E3101" s="17" t="s">
        <v>101</v>
      </c>
      <c r="F3101" s="15" t="s">
        <v>102</v>
      </c>
      <c r="G3101" s="19">
        <v>9.0043001E7</v>
      </c>
      <c r="H3101" s="15" t="s">
        <v>18</v>
      </c>
      <c r="I3101" s="20" t="s">
        <v>19</v>
      </c>
      <c r="J3101" s="21">
        <v>8487489.0</v>
      </c>
      <c r="K3101" s="21">
        <v>58.0</v>
      </c>
    </row>
    <row r="3102">
      <c r="A3102" s="15" t="s">
        <v>74</v>
      </c>
      <c r="B3102" s="16" t="s">
        <v>187</v>
      </c>
      <c r="C3102" s="17" t="s">
        <v>188</v>
      </c>
      <c r="D3102" s="18">
        <v>4.0</v>
      </c>
      <c r="E3102" s="17" t="s">
        <v>103</v>
      </c>
      <c r="F3102" s="15" t="s">
        <v>104</v>
      </c>
      <c r="G3102" s="19">
        <v>5.1100058E7</v>
      </c>
      <c r="H3102" s="15" t="s">
        <v>36</v>
      </c>
      <c r="I3102" s="20" t="s">
        <v>37</v>
      </c>
      <c r="J3102" s="21">
        <v>6.3482984E7</v>
      </c>
      <c r="K3102" s="21">
        <v>717.025</v>
      </c>
    </row>
    <row r="3103">
      <c r="A3103" s="15" t="s">
        <v>74</v>
      </c>
      <c r="B3103" s="16" t="s">
        <v>187</v>
      </c>
      <c r="C3103" s="17" t="s">
        <v>188</v>
      </c>
      <c r="D3103" s="18">
        <v>4.0</v>
      </c>
      <c r="E3103" s="17" t="s">
        <v>103</v>
      </c>
      <c r="F3103" s="15" t="s">
        <v>104</v>
      </c>
      <c r="G3103" s="19">
        <v>5.1100651E7</v>
      </c>
      <c r="H3103" s="15" t="s">
        <v>38</v>
      </c>
      <c r="I3103" s="20" t="s">
        <v>25</v>
      </c>
      <c r="J3103" s="21">
        <v>0.0</v>
      </c>
      <c r="K3103" s="21">
        <v>0.0</v>
      </c>
    </row>
    <row r="3104">
      <c r="A3104" s="15" t="s">
        <v>74</v>
      </c>
      <c r="B3104" s="16" t="s">
        <v>187</v>
      </c>
      <c r="C3104" s="17" t="s">
        <v>188</v>
      </c>
      <c r="D3104" s="18">
        <v>4.0</v>
      </c>
      <c r="E3104" s="17" t="s">
        <v>103</v>
      </c>
      <c r="F3104" s="15" t="s">
        <v>104</v>
      </c>
      <c r="G3104" s="19">
        <v>9.0043001E7</v>
      </c>
      <c r="H3104" s="15" t="s">
        <v>18</v>
      </c>
      <c r="I3104" s="20" t="s">
        <v>19</v>
      </c>
      <c r="J3104" s="21">
        <v>1.7144536E7</v>
      </c>
      <c r="K3104" s="21">
        <v>115.5</v>
      </c>
    </row>
    <row r="3105">
      <c r="A3105" s="15" t="s">
        <v>74</v>
      </c>
      <c r="B3105" s="16" t="s">
        <v>187</v>
      </c>
      <c r="C3105" s="17" t="s">
        <v>188</v>
      </c>
      <c r="D3105" s="18">
        <v>4.0</v>
      </c>
      <c r="E3105" s="17" t="s">
        <v>103</v>
      </c>
      <c r="F3105" s="15" t="s">
        <v>104</v>
      </c>
      <c r="G3105" s="19">
        <v>9.0043E7</v>
      </c>
      <c r="H3105" s="15" t="s">
        <v>83</v>
      </c>
      <c r="I3105" s="20" t="s">
        <v>19</v>
      </c>
      <c r="J3105" s="21">
        <v>1974934.0</v>
      </c>
      <c r="K3105" s="21">
        <v>13.0</v>
      </c>
    </row>
    <row r="3106">
      <c r="A3106" s="15" t="s">
        <v>74</v>
      </c>
      <c r="B3106" s="16" t="s">
        <v>187</v>
      </c>
      <c r="C3106" s="17" t="s">
        <v>188</v>
      </c>
      <c r="D3106" s="18">
        <v>4.0</v>
      </c>
      <c r="E3106" s="17" t="s">
        <v>103</v>
      </c>
      <c r="F3106" s="15" t="s">
        <v>104</v>
      </c>
      <c r="G3106" s="19">
        <v>5.1100774E7</v>
      </c>
      <c r="H3106" s="15" t="s">
        <v>39</v>
      </c>
      <c r="I3106" s="20" t="s">
        <v>25</v>
      </c>
      <c r="J3106" s="21">
        <v>-1.0</v>
      </c>
      <c r="K3106" s="21">
        <v>0.0</v>
      </c>
    </row>
    <row r="3107">
      <c r="A3107" s="15" t="s">
        <v>74</v>
      </c>
      <c r="B3107" s="16" t="s">
        <v>187</v>
      </c>
      <c r="C3107" s="17" t="s">
        <v>188</v>
      </c>
      <c r="D3107" s="18">
        <v>4.0</v>
      </c>
      <c r="E3107" s="17" t="s">
        <v>103</v>
      </c>
      <c r="F3107" s="15" t="s">
        <v>104</v>
      </c>
      <c r="G3107" s="19">
        <v>5.1100774E7</v>
      </c>
      <c r="H3107" s="15" t="s">
        <v>39</v>
      </c>
      <c r="I3107" s="20" t="s">
        <v>17</v>
      </c>
      <c r="J3107" s="21">
        <v>5.3572903E7</v>
      </c>
      <c r="K3107" s="21">
        <v>360.77</v>
      </c>
    </row>
    <row r="3108">
      <c r="A3108" s="15" t="s">
        <v>74</v>
      </c>
      <c r="B3108" s="16" t="s">
        <v>187</v>
      </c>
      <c r="C3108" s="17" t="s">
        <v>188</v>
      </c>
      <c r="D3108" s="18">
        <v>4.0</v>
      </c>
      <c r="E3108" s="17" t="s">
        <v>108</v>
      </c>
      <c r="F3108" s="15" t="s">
        <v>109</v>
      </c>
      <c r="G3108" s="19">
        <v>5.1100061E7</v>
      </c>
      <c r="H3108" s="15" t="s">
        <v>42</v>
      </c>
      <c r="I3108" s="20" t="s">
        <v>37</v>
      </c>
      <c r="J3108" s="21">
        <v>8971560.0</v>
      </c>
      <c r="K3108" s="21">
        <v>191.7</v>
      </c>
    </row>
    <row r="3109">
      <c r="A3109" s="15" t="s">
        <v>74</v>
      </c>
      <c r="B3109" s="16" t="s">
        <v>187</v>
      </c>
      <c r="C3109" s="17" t="s">
        <v>188</v>
      </c>
      <c r="D3109" s="18">
        <v>4.0</v>
      </c>
      <c r="E3109" s="17" t="s">
        <v>108</v>
      </c>
      <c r="F3109" s="15" t="s">
        <v>109</v>
      </c>
      <c r="G3109" s="19">
        <v>5.1100651E7</v>
      </c>
      <c r="H3109" s="15" t="s">
        <v>38</v>
      </c>
      <c r="I3109" s="20" t="s">
        <v>25</v>
      </c>
      <c r="J3109" s="21">
        <v>0.0</v>
      </c>
      <c r="K3109" s="21">
        <v>0.0</v>
      </c>
    </row>
    <row r="3110">
      <c r="A3110" s="15" t="s">
        <v>74</v>
      </c>
      <c r="B3110" s="16" t="s">
        <v>187</v>
      </c>
      <c r="C3110" s="17" t="s">
        <v>188</v>
      </c>
      <c r="D3110" s="18">
        <v>4.0</v>
      </c>
      <c r="E3110" s="17" t="s">
        <v>108</v>
      </c>
      <c r="F3110" s="15" t="s">
        <v>109</v>
      </c>
      <c r="G3110" s="19">
        <v>9.0043001E7</v>
      </c>
      <c r="H3110" s="15" t="s">
        <v>18</v>
      </c>
      <c r="I3110" s="20" t="s">
        <v>19</v>
      </c>
      <c r="J3110" s="21">
        <v>1.1176915E7</v>
      </c>
      <c r="K3110" s="21">
        <v>75.7</v>
      </c>
    </row>
    <row r="3111">
      <c r="A3111" s="15" t="s">
        <v>74</v>
      </c>
      <c r="B3111" s="16" t="s">
        <v>187</v>
      </c>
      <c r="C3111" s="17" t="s">
        <v>188</v>
      </c>
      <c r="D3111" s="18">
        <v>4.0</v>
      </c>
      <c r="E3111" s="17" t="s">
        <v>108</v>
      </c>
      <c r="F3111" s="15" t="s">
        <v>109</v>
      </c>
      <c r="G3111" s="19">
        <v>9.0043E7</v>
      </c>
      <c r="H3111" s="15" t="s">
        <v>83</v>
      </c>
      <c r="I3111" s="20" t="s">
        <v>19</v>
      </c>
      <c r="J3111" s="21">
        <v>1215344.0</v>
      </c>
      <c r="K3111" s="21">
        <v>8.0</v>
      </c>
    </row>
    <row r="3112">
      <c r="A3112" s="15" t="s">
        <v>74</v>
      </c>
      <c r="B3112" s="16" t="s">
        <v>187</v>
      </c>
      <c r="C3112" s="17" t="s">
        <v>188</v>
      </c>
      <c r="D3112" s="18">
        <v>4.0</v>
      </c>
      <c r="E3112" s="17" t="s">
        <v>108</v>
      </c>
      <c r="F3112" s="15" t="s">
        <v>109</v>
      </c>
      <c r="G3112" s="19">
        <v>5.1100774E7</v>
      </c>
      <c r="H3112" s="15" t="s">
        <v>39</v>
      </c>
      <c r="I3112" s="20" t="s">
        <v>17</v>
      </c>
      <c r="J3112" s="21">
        <v>1098871.0</v>
      </c>
      <c r="K3112" s="21">
        <v>37.0</v>
      </c>
    </row>
    <row r="3113">
      <c r="A3113" s="15" t="s">
        <v>74</v>
      </c>
      <c r="B3113" s="16" t="s">
        <v>187</v>
      </c>
      <c r="C3113" s="17" t="s">
        <v>188</v>
      </c>
      <c r="D3113" s="18">
        <v>4.0</v>
      </c>
      <c r="E3113" s="17" t="s">
        <v>158</v>
      </c>
      <c r="F3113" s="15" t="s">
        <v>159</v>
      </c>
      <c r="G3113" s="19">
        <v>9.0043001E7</v>
      </c>
      <c r="H3113" s="15" t="s">
        <v>18</v>
      </c>
      <c r="I3113" s="20" t="s">
        <v>19</v>
      </c>
      <c r="J3113" s="21">
        <v>3038316.0</v>
      </c>
      <c r="K3113" s="21">
        <v>21.4</v>
      </c>
    </row>
    <row r="3114">
      <c r="A3114" s="15" t="s">
        <v>74</v>
      </c>
      <c r="B3114" s="16" t="s">
        <v>187</v>
      </c>
      <c r="C3114" s="17" t="s">
        <v>188</v>
      </c>
      <c r="D3114" s="18">
        <v>4.0</v>
      </c>
      <c r="E3114" s="17" t="s">
        <v>112</v>
      </c>
      <c r="F3114" s="15" t="s">
        <v>113</v>
      </c>
      <c r="G3114" s="19">
        <v>9.0043001E7</v>
      </c>
      <c r="H3114" s="15" t="s">
        <v>18</v>
      </c>
      <c r="I3114" s="20" t="s">
        <v>19</v>
      </c>
      <c r="J3114" s="21">
        <v>714566.0</v>
      </c>
      <c r="K3114" s="21">
        <v>5.0</v>
      </c>
    </row>
    <row r="3115">
      <c r="A3115" s="15" t="s">
        <v>74</v>
      </c>
      <c r="B3115" s="16" t="s">
        <v>187</v>
      </c>
      <c r="C3115" s="17" t="s">
        <v>188</v>
      </c>
      <c r="D3115" s="18">
        <v>4.0</v>
      </c>
      <c r="E3115" s="17" t="s">
        <v>207</v>
      </c>
      <c r="F3115" s="15" t="s">
        <v>208</v>
      </c>
      <c r="G3115" s="19">
        <v>9.0043001E7</v>
      </c>
      <c r="H3115" s="15" t="s">
        <v>18</v>
      </c>
      <c r="I3115" s="20" t="s">
        <v>19</v>
      </c>
      <c r="J3115" s="21">
        <v>1.28199E7</v>
      </c>
      <c r="K3115" s="21">
        <v>87.0</v>
      </c>
    </row>
    <row r="3116">
      <c r="A3116" s="15" t="s">
        <v>74</v>
      </c>
      <c r="B3116" s="16" t="s">
        <v>187</v>
      </c>
      <c r="C3116" s="17" t="s">
        <v>188</v>
      </c>
      <c r="D3116" s="18">
        <v>4.0</v>
      </c>
      <c r="E3116" s="17" t="s">
        <v>209</v>
      </c>
      <c r="F3116" s="15" t="s">
        <v>210</v>
      </c>
      <c r="G3116" s="19">
        <v>9.0043001E7</v>
      </c>
      <c r="H3116" s="15" t="s">
        <v>18</v>
      </c>
      <c r="I3116" s="20" t="s">
        <v>19</v>
      </c>
      <c r="J3116" s="21">
        <v>308234.0</v>
      </c>
      <c r="K3116" s="21">
        <v>2.0</v>
      </c>
    </row>
    <row r="3117">
      <c r="A3117" s="15" t="s">
        <v>74</v>
      </c>
      <c r="B3117" s="16" t="s">
        <v>187</v>
      </c>
      <c r="C3117" s="17" t="s">
        <v>188</v>
      </c>
      <c r="D3117" s="18">
        <v>4.0</v>
      </c>
      <c r="E3117" s="17" t="s">
        <v>175</v>
      </c>
      <c r="F3117" s="15" t="s">
        <v>176</v>
      </c>
      <c r="G3117" s="19">
        <v>9.0043001E7</v>
      </c>
      <c r="H3117" s="15" t="s">
        <v>18</v>
      </c>
      <c r="I3117" s="20" t="s">
        <v>19</v>
      </c>
      <c r="J3117" s="21">
        <v>1807080.0</v>
      </c>
      <c r="K3117" s="21">
        <v>12.0</v>
      </c>
    </row>
    <row r="3118">
      <c r="A3118" s="15" t="s">
        <v>74</v>
      </c>
      <c r="B3118" s="16" t="s">
        <v>187</v>
      </c>
      <c r="C3118" s="17" t="s">
        <v>188</v>
      </c>
      <c r="D3118" s="18">
        <v>4.0</v>
      </c>
      <c r="E3118" s="17" t="s">
        <v>175</v>
      </c>
      <c r="F3118" s="15" t="s">
        <v>176</v>
      </c>
      <c r="G3118" s="19">
        <v>9.0043002E7</v>
      </c>
      <c r="H3118" s="15" t="s">
        <v>49</v>
      </c>
      <c r="I3118" s="20" t="s">
        <v>50</v>
      </c>
      <c r="J3118" s="21">
        <v>4848784.0</v>
      </c>
      <c r="K3118" s="21">
        <v>434.0</v>
      </c>
    </row>
    <row r="3119">
      <c r="A3119" s="15" t="s">
        <v>74</v>
      </c>
      <c r="B3119" s="16" t="s">
        <v>187</v>
      </c>
      <c r="C3119" s="17" t="s">
        <v>188</v>
      </c>
      <c r="D3119" s="18">
        <v>4.0</v>
      </c>
      <c r="E3119" s="17" t="s">
        <v>175</v>
      </c>
      <c r="F3119" s="15" t="s">
        <v>176</v>
      </c>
      <c r="G3119" s="19">
        <v>9.0043003E7</v>
      </c>
      <c r="H3119" s="15" t="s">
        <v>90</v>
      </c>
      <c r="I3119" s="20" t="s">
        <v>50</v>
      </c>
      <c r="J3119" s="21">
        <v>7090026.0</v>
      </c>
      <c r="K3119" s="21">
        <v>91.0</v>
      </c>
    </row>
    <row r="3120">
      <c r="A3120" s="15" t="s">
        <v>74</v>
      </c>
      <c r="B3120" s="16" t="s">
        <v>187</v>
      </c>
      <c r="C3120" s="17" t="s">
        <v>188</v>
      </c>
      <c r="D3120" s="18">
        <v>4.0</v>
      </c>
      <c r="E3120" s="17" t="s">
        <v>175</v>
      </c>
      <c r="F3120" s="15" t="s">
        <v>176</v>
      </c>
      <c r="G3120" s="19">
        <v>5.1100774E7</v>
      </c>
      <c r="H3120" s="15" t="s">
        <v>39</v>
      </c>
      <c r="I3120" s="20" t="s">
        <v>25</v>
      </c>
      <c r="J3120" s="21">
        <v>0.0</v>
      </c>
      <c r="K3120" s="21">
        <v>0.0</v>
      </c>
    </row>
    <row r="3121">
      <c r="A3121" s="15" t="s">
        <v>74</v>
      </c>
      <c r="B3121" s="16" t="s">
        <v>187</v>
      </c>
      <c r="C3121" s="17" t="s">
        <v>188</v>
      </c>
      <c r="D3121" s="18">
        <v>4.0</v>
      </c>
      <c r="E3121" s="17" t="s">
        <v>175</v>
      </c>
      <c r="F3121" s="15" t="s">
        <v>176</v>
      </c>
      <c r="G3121" s="19">
        <v>5.1100774E7</v>
      </c>
      <c r="H3121" s="15" t="s">
        <v>39</v>
      </c>
      <c r="I3121" s="20" t="s">
        <v>17</v>
      </c>
      <c r="J3121" s="21">
        <v>3.2698067E7</v>
      </c>
      <c r="K3121" s="21">
        <v>431791.35</v>
      </c>
    </row>
    <row r="3122">
      <c r="A3122" s="15" t="s">
        <v>74</v>
      </c>
      <c r="B3122" s="16" t="s">
        <v>187</v>
      </c>
      <c r="C3122" s="17" t="s">
        <v>188</v>
      </c>
      <c r="D3122" s="18">
        <v>4.0</v>
      </c>
      <c r="E3122" s="17" t="s">
        <v>115</v>
      </c>
      <c r="F3122" s="15" t="s">
        <v>116</v>
      </c>
      <c r="G3122" s="19">
        <v>9.0043002E7</v>
      </c>
      <c r="H3122" s="15" t="s">
        <v>49</v>
      </c>
      <c r="I3122" s="20" t="s">
        <v>50</v>
      </c>
      <c r="J3122" s="21">
        <v>5162024.0</v>
      </c>
      <c r="K3122" s="21">
        <v>485.0</v>
      </c>
    </row>
    <row r="3123">
      <c r="A3123" s="15" t="s">
        <v>74</v>
      </c>
      <c r="B3123" s="16" t="s">
        <v>187</v>
      </c>
      <c r="C3123" s="17" t="s">
        <v>188</v>
      </c>
      <c r="D3123" s="18">
        <v>4.0</v>
      </c>
      <c r="E3123" s="17" t="s">
        <v>115</v>
      </c>
      <c r="F3123" s="15" t="s">
        <v>116</v>
      </c>
      <c r="G3123" s="19">
        <v>5.1100774E7</v>
      </c>
      <c r="H3123" s="15" t="s">
        <v>39</v>
      </c>
      <c r="I3123" s="20" t="s">
        <v>17</v>
      </c>
      <c r="J3123" s="21">
        <v>3.9554848E7</v>
      </c>
      <c r="K3123" s="21">
        <v>519660.0</v>
      </c>
    </row>
    <row r="3124">
      <c r="A3124" s="15" t="s">
        <v>74</v>
      </c>
      <c r="B3124" s="16" t="s">
        <v>187</v>
      </c>
      <c r="C3124" s="17" t="s">
        <v>188</v>
      </c>
      <c r="D3124" s="18">
        <v>4.0</v>
      </c>
      <c r="E3124" s="17" t="s">
        <v>117</v>
      </c>
      <c r="F3124" s="15" t="s">
        <v>118</v>
      </c>
      <c r="G3124" s="19">
        <v>5.1100058E7</v>
      </c>
      <c r="H3124" s="15" t="s">
        <v>36</v>
      </c>
      <c r="I3124" s="20" t="s">
        <v>37</v>
      </c>
      <c r="J3124" s="21">
        <v>6147222.0</v>
      </c>
      <c r="K3124" s="21">
        <v>4469.0</v>
      </c>
    </row>
    <row r="3125">
      <c r="A3125" s="15" t="s">
        <v>74</v>
      </c>
      <c r="B3125" s="16" t="s">
        <v>187</v>
      </c>
      <c r="C3125" s="17" t="s">
        <v>188</v>
      </c>
      <c r="D3125" s="18">
        <v>4.0</v>
      </c>
      <c r="E3125" s="17" t="s">
        <v>117</v>
      </c>
      <c r="F3125" s="15" t="s">
        <v>118</v>
      </c>
      <c r="G3125" s="19">
        <v>9.0043001E7</v>
      </c>
      <c r="H3125" s="15" t="s">
        <v>18</v>
      </c>
      <c r="I3125" s="20" t="s">
        <v>19</v>
      </c>
      <c r="J3125" s="21">
        <v>9916150.0</v>
      </c>
      <c r="K3125" s="21">
        <v>65.0</v>
      </c>
    </row>
    <row r="3126">
      <c r="A3126" s="15" t="s">
        <v>74</v>
      </c>
      <c r="B3126" s="16" t="s">
        <v>187</v>
      </c>
      <c r="C3126" s="17" t="s">
        <v>188</v>
      </c>
      <c r="D3126" s="18">
        <v>4.0</v>
      </c>
      <c r="E3126" s="17" t="s">
        <v>117</v>
      </c>
      <c r="F3126" s="15" t="s">
        <v>118</v>
      </c>
      <c r="G3126" s="19">
        <v>5.1100774E7</v>
      </c>
      <c r="H3126" s="15" t="s">
        <v>39</v>
      </c>
      <c r="I3126" s="20" t="s">
        <v>25</v>
      </c>
      <c r="J3126" s="21">
        <v>0.0</v>
      </c>
      <c r="K3126" s="21">
        <v>0.0</v>
      </c>
    </row>
    <row r="3127">
      <c r="A3127" s="15" t="s">
        <v>74</v>
      </c>
      <c r="B3127" s="16" t="s">
        <v>187</v>
      </c>
      <c r="C3127" s="17" t="s">
        <v>188</v>
      </c>
      <c r="D3127" s="18">
        <v>4.0</v>
      </c>
      <c r="E3127" s="17" t="s">
        <v>117</v>
      </c>
      <c r="F3127" s="15" t="s">
        <v>118</v>
      </c>
      <c r="G3127" s="19">
        <v>5.1100774E7</v>
      </c>
      <c r="H3127" s="15" t="s">
        <v>39</v>
      </c>
      <c r="I3127" s="20" t="s">
        <v>17</v>
      </c>
      <c r="J3127" s="21">
        <v>1.4487715E8</v>
      </c>
      <c r="K3127" s="21">
        <v>1318.34</v>
      </c>
    </row>
    <row r="3128">
      <c r="A3128" s="15" t="s">
        <v>74</v>
      </c>
      <c r="B3128" s="16" t="s">
        <v>187</v>
      </c>
      <c r="C3128" s="17" t="s">
        <v>188</v>
      </c>
      <c r="D3128" s="18">
        <v>4.0</v>
      </c>
      <c r="E3128" s="17" t="s">
        <v>286</v>
      </c>
      <c r="F3128" s="15" t="s">
        <v>287</v>
      </c>
      <c r="G3128" s="19">
        <v>9.0043001E7</v>
      </c>
      <c r="H3128" s="15" t="s">
        <v>18</v>
      </c>
      <c r="I3128" s="20" t="s">
        <v>19</v>
      </c>
      <c r="J3128" s="21">
        <v>3131436.0</v>
      </c>
      <c r="K3128" s="21">
        <v>22.0</v>
      </c>
    </row>
    <row r="3129">
      <c r="A3129" s="15" t="s">
        <v>74</v>
      </c>
      <c r="B3129" s="16" t="s">
        <v>187</v>
      </c>
      <c r="C3129" s="17" t="s">
        <v>188</v>
      </c>
      <c r="D3129" s="18">
        <v>4.0</v>
      </c>
      <c r="E3129" s="17" t="s">
        <v>263</v>
      </c>
      <c r="F3129" s="15" t="s">
        <v>264</v>
      </c>
      <c r="G3129" s="19">
        <v>9.0043001E7</v>
      </c>
      <c r="H3129" s="15" t="s">
        <v>18</v>
      </c>
      <c r="I3129" s="20" t="s">
        <v>19</v>
      </c>
      <c r="J3129" s="21">
        <v>569352.0</v>
      </c>
      <c r="K3129" s="21">
        <v>4.0</v>
      </c>
    </row>
    <row r="3130">
      <c r="A3130" s="15" t="s">
        <v>74</v>
      </c>
      <c r="B3130" s="16" t="s">
        <v>187</v>
      </c>
      <c r="C3130" s="17" t="s">
        <v>188</v>
      </c>
      <c r="D3130" s="18">
        <v>4.0</v>
      </c>
      <c r="E3130" s="17" t="s">
        <v>119</v>
      </c>
      <c r="F3130" s="15" t="s">
        <v>120</v>
      </c>
      <c r="G3130" s="19">
        <v>9.0043001E7</v>
      </c>
      <c r="H3130" s="15" t="s">
        <v>18</v>
      </c>
      <c r="I3130" s="20" t="s">
        <v>19</v>
      </c>
      <c r="J3130" s="21">
        <v>1602018.0</v>
      </c>
      <c r="K3130" s="21">
        <v>11.0</v>
      </c>
    </row>
    <row r="3131">
      <c r="A3131" s="15" t="s">
        <v>74</v>
      </c>
      <c r="B3131" s="16" t="s">
        <v>187</v>
      </c>
      <c r="C3131" s="17" t="s">
        <v>188</v>
      </c>
      <c r="D3131" s="18">
        <v>4.0</v>
      </c>
      <c r="E3131" s="17" t="s">
        <v>123</v>
      </c>
      <c r="F3131" s="15" t="s">
        <v>124</v>
      </c>
      <c r="G3131" s="19">
        <v>9.0043001E7</v>
      </c>
      <c r="H3131" s="15" t="s">
        <v>18</v>
      </c>
      <c r="I3131" s="20" t="s">
        <v>19</v>
      </c>
      <c r="J3131" s="21">
        <v>1.1866796E7</v>
      </c>
      <c r="K3131" s="21">
        <v>83.0</v>
      </c>
    </row>
    <row r="3132">
      <c r="A3132" s="15" t="s">
        <v>74</v>
      </c>
      <c r="B3132" s="16" t="s">
        <v>187</v>
      </c>
      <c r="C3132" s="17" t="s">
        <v>188</v>
      </c>
      <c r="D3132" s="18">
        <v>4.0</v>
      </c>
      <c r="E3132" s="17" t="s">
        <v>125</v>
      </c>
      <c r="F3132" s="15" t="s">
        <v>126</v>
      </c>
      <c r="G3132" s="19">
        <v>5.1101056E7</v>
      </c>
      <c r="H3132" s="15" t="s">
        <v>16</v>
      </c>
      <c r="I3132" s="20" t="s">
        <v>17</v>
      </c>
      <c r="J3132" s="21">
        <v>1.1542115E7</v>
      </c>
      <c r="K3132" s="21">
        <v>88091.0</v>
      </c>
    </row>
    <row r="3133">
      <c r="A3133" s="15" t="s">
        <v>74</v>
      </c>
      <c r="B3133" s="16" t="s">
        <v>187</v>
      </c>
      <c r="C3133" s="17" t="s">
        <v>188</v>
      </c>
      <c r="D3133" s="18">
        <v>4.0</v>
      </c>
      <c r="E3133" s="17" t="s">
        <v>125</v>
      </c>
      <c r="F3133" s="15" t="s">
        <v>126</v>
      </c>
      <c r="G3133" s="19">
        <v>9.0043001E7</v>
      </c>
      <c r="H3133" s="15" t="s">
        <v>18</v>
      </c>
      <c r="I3133" s="20" t="s">
        <v>19</v>
      </c>
      <c r="J3133" s="21">
        <v>3.66099606E8</v>
      </c>
      <c r="K3133" s="21">
        <v>2529.5</v>
      </c>
    </row>
    <row r="3134">
      <c r="A3134" s="15" t="s">
        <v>74</v>
      </c>
      <c r="B3134" s="16" t="s">
        <v>187</v>
      </c>
      <c r="C3134" s="17" t="s">
        <v>188</v>
      </c>
      <c r="D3134" s="18">
        <v>4.0</v>
      </c>
      <c r="E3134" s="17" t="s">
        <v>127</v>
      </c>
      <c r="F3134" s="15" t="s">
        <v>128</v>
      </c>
      <c r="G3134" s="19">
        <v>5.1100153E7</v>
      </c>
      <c r="H3134" s="15" t="s">
        <v>72</v>
      </c>
      <c r="I3134" s="20" t="s">
        <v>17</v>
      </c>
      <c r="J3134" s="21">
        <v>4.83493784E8</v>
      </c>
      <c r="K3134" s="21">
        <v>3447300.0</v>
      </c>
    </row>
    <row r="3135">
      <c r="A3135" s="15" t="s">
        <v>74</v>
      </c>
      <c r="B3135" s="16" t="s">
        <v>187</v>
      </c>
      <c r="C3135" s="17" t="s">
        <v>188</v>
      </c>
      <c r="D3135" s="18">
        <v>4.0</v>
      </c>
      <c r="E3135" s="17" t="s">
        <v>127</v>
      </c>
      <c r="F3135" s="15" t="s">
        <v>128</v>
      </c>
      <c r="G3135" s="19">
        <v>9.0043002E7</v>
      </c>
      <c r="H3135" s="15" t="s">
        <v>49</v>
      </c>
      <c r="I3135" s="20" t="s">
        <v>50</v>
      </c>
      <c r="J3135" s="21">
        <v>9261603.0</v>
      </c>
      <c r="K3135" s="21">
        <v>889.0</v>
      </c>
    </row>
    <row r="3136">
      <c r="A3136" s="15" t="s">
        <v>74</v>
      </c>
      <c r="B3136" s="16" t="s">
        <v>187</v>
      </c>
      <c r="C3136" s="17" t="s">
        <v>188</v>
      </c>
      <c r="D3136" s="18">
        <v>4.0</v>
      </c>
      <c r="E3136" s="17" t="s">
        <v>129</v>
      </c>
      <c r="F3136" s="15" t="s">
        <v>130</v>
      </c>
      <c r="G3136" s="19">
        <v>9.0043001E7</v>
      </c>
      <c r="H3136" s="15" t="s">
        <v>18</v>
      </c>
      <c r="I3136" s="20" t="s">
        <v>19</v>
      </c>
      <c r="J3136" s="21">
        <v>462351.0</v>
      </c>
      <c r="K3136" s="21">
        <v>3.0</v>
      </c>
    </row>
    <row r="3137">
      <c r="A3137" s="15" t="s">
        <v>74</v>
      </c>
      <c r="B3137" s="16" t="s">
        <v>187</v>
      </c>
      <c r="C3137" s="17" t="s">
        <v>188</v>
      </c>
      <c r="D3137" s="18">
        <v>4.0</v>
      </c>
      <c r="E3137" s="17" t="s">
        <v>129</v>
      </c>
      <c r="F3137" s="15" t="s">
        <v>130</v>
      </c>
      <c r="G3137" s="19">
        <v>9.0043002E7</v>
      </c>
      <c r="H3137" s="15" t="s">
        <v>49</v>
      </c>
      <c r="I3137" s="20" t="s">
        <v>50</v>
      </c>
      <c r="J3137" s="21">
        <v>5416259.0</v>
      </c>
      <c r="K3137" s="21">
        <v>293.0</v>
      </c>
    </row>
    <row r="3138">
      <c r="A3138" s="15" t="s">
        <v>74</v>
      </c>
      <c r="B3138" s="16" t="s">
        <v>187</v>
      </c>
      <c r="C3138" s="17" t="s">
        <v>188</v>
      </c>
      <c r="D3138" s="18">
        <v>4.0</v>
      </c>
      <c r="E3138" s="17" t="s">
        <v>129</v>
      </c>
      <c r="F3138" s="15" t="s">
        <v>130</v>
      </c>
      <c r="G3138" s="19">
        <v>9.0043003E7</v>
      </c>
      <c r="H3138" s="15" t="s">
        <v>90</v>
      </c>
      <c r="I3138" s="20" t="s">
        <v>50</v>
      </c>
      <c r="J3138" s="21">
        <v>5.7613354E7</v>
      </c>
      <c r="K3138" s="21">
        <v>745.4</v>
      </c>
    </row>
    <row r="3139">
      <c r="A3139" s="15" t="s">
        <v>74</v>
      </c>
      <c r="B3139" s="16" t="s">
        <v>187</v>
      </c>
      <c r="C3139" s="17" t="s">
        <v>188</v>
      </c>
      <c r="D3139" s="18">
        <v>4.0</v>
      </c>
      <c r="E3139" s="17" t="s">
        <v>131</v>
      </c>
      <c r="F3139" s="15" t="s">
        <v>132</v>
      </c>
      <c r="G3139" s="19">
        <v>5.1101056E7</v>
      </c>
      <c r="H3139" s="15" t="s">
        <v>16</v>
      </c>
      <c r="I3139" s="20" t="s">
        <v>17</v>
      </c>
      <c r="J3139" s="21">
        <v>2.72766E7</v>
      </c>
      <c r="K3139" s="21">
        <v>272766.0</v>
      </c>
    </row>
    <row r="3140">
      <c r="A3140" s="15" t="s">
        <v>74</v>
      </c>
      <c r="B3140" s="16" t="s">
        <v>187</v>
      </c>
      <c r="C3140" s="17" t="s">
        <v>188</v>
      </c>
      <c r="D3140" s="18">
        <v>4.0</v>
      </c>
      <c r="E3140" s="17" t="s">
        <v>131</v>
      </c>
      <c r="F3140" s="15" t="s">
        <v>132</v>
      </c>
      <c r="G3140" s="19">
        <v>9.0043001E7</v>
      </c>
      <c r="H3140" s="15" t="s">
        <v>18</v>
      </c>
      <c r="I3140" s="20" t="s">
        <v>19</v>
      </c>
      <c r="J3140" s="21">
        <v>1054130.0</v>
      </c>
      <c r="K3140" s="21">
        <v>7.0</v>
      </c>
    </row>
    <row r="3141">
      <c r="A3141" s="15" t="s">
        <v>74</v>
      </c>
      <c r="B3141" s="16" t="s">
        <v>187</v>
      </c>
      <c r="C3141" s="17" t="s">
        <v>188</v>
      </c>
      <c r="D3141" s="18">
        <v>4.0</v>
      </c>
      <c r="E3141" s="17" t="s">
        <v>193</v>
      </c>
      <c r="F3141" s="15" t="s">
        <v>194</v>
      </c>
      <c r="G3141" s="19">
        <v>9.0043001E7</v>
      </c>
      <c r="H3141" s="15" t="s">
        <v>18</v>
      </c>
      <c r="I3141" s="20" t="s">
        <v>19</v>
      </c>
      <c r="J3141" s="21">
        <v>1.9455679E7</v>
      </c>
      <c r="K3141" s="21">
        <v>109.0</v>
      </c>
    </row>
    <row r="3142">
      <c r="A3142" s="15" t="s">
        <v>74</v>
      </c>
      <c r="B3142" s="16" t="s">
        <v>187</v>
      </c>
      <c r="C3142" s="17" t="s">
        <v>188</v>
      </c>
      <c r="D3142" s="18">
        <v>4.0</v>
      </c>
      <c r="E3142" s="17" t="s">
        <v>162</v>
      </c>
      <c r="F3142" s="15" t="s">
        <v>163</v>
      </c>
      <c r="G3142" s="19">
        <v>9.0043001E7</v>
      </c>
      <c r="H3142" s="15" t="s">
        <v>18</v>
      </c>
      <c r="I3142" s="20" t="s">
        <v>19</v>
      </c>
      <c r="J3142" s="21">
        <v>1.3200456E7</v>
      </c>
      <c r="K3142" s="21">
        <v>75.0</v>
      </c>
    </row>
    <row r="3143">
      <c r="A3143" s="15" t="s">
        <v>74</v>
      </c>
      <c r="B3143" s="16" t="s">
        <v>187</v>
      </c>
      <c r="C3143" s="17" t="s">
        <v>188</v>
      </c>
      <c r="D3143" s="18">
        <v>4.0</v>
      </c>
      <c r="E3143" s="17" t="s">
        <v>54</v>
      </c>
      <c r="F3143" s="15" t="s">
        <v>139</v>
      </c>
      <c r="G3143" s="19">
        <v>9.0042011E7</v>
      </c>
      <c r="H3143" s="15" t="s">
        <v>55</v>
      </c>
      <c r="I3143" s="20" t="s">
        <v>19</v>
      </c>
      <c r="J3143" s="21">
        <v>2.65146569E8</v>
      </c>
      <c r="K3143" s="21">
        <v>0.0</v>
      </c>
    </row>
    <row r="3144">
      <c r="A3144" s="15" t="s">
        <v>74</v>
      </c>
      <c r="B3144" s="16" t="s">
        <v>187</v>
      </c>
      <c r="C3144" s="17" t="s">
        <v>188</v>
      </c>
      <c r="D3144" s="18">
        <v>4.0</v>
      </c>
      <c r="E3144" s="17" t="s">
        <v>20</v>
      </c>
      <c r="F3144" s="15" t="s">
        <v>140</v>
      </c>
      <c r="G3144" s="19">
        <v>9.0042014E7</v>
      </c>
      <c r="H3144" s="15" t="s">
        <v>21</v>
      </c>
      <c r="I3144" s="20" t="s">
        <v>19</v>
      </c>
      <c r="J3144" s="21">
        <v>2.65522166E8</v>
      </c>
      <c r="K3144" s="21">
        <v>0.0</v>
      </c>
    </row>
    <row r="3145">
      <c r="A3145" s="15" t="s">
        <v>74</v>
      </c>
      <c r="B3145" s="16" t="s">
        <v>187</v>
      </c>
      <c r="C3145" s="17" t="s">
        <v>188</v>
      </c>
      <c r="D3145" s="18">
        <v>4.0</v>
      </c>
      <c r="E3145" s="17" t="s">
        <v>20</v>
      </c>
      <c r="F3145" s="15" t="s">
        <v>140</v>
      </c>
      <c r="G3145" s="19">
        <v>9.0042077E7</v>
      </c>
      <c r="H3145" s="15" t="s">
        <v>141</v>
      </c>
      <c r="I3145" s="20" t="s">
        <v>19</v>
      </c>
      <c r="J3145" s="21">
        <v>3.5220515E8</v>
      </c>
      <c r="K3145" s="21">
        <v>0.0</v>
      </c>
    </row>
    <row r="3146">
      <c r="A3146" s="15" t="s">
        <v>74</v>
      </c>
      <c r="B3146" s="16" t="s">
        <v>187</v>
      </c>
      <c r="C3146" s="17" t="s">
        <v>188</v>
      </c>
      <c r="D3146" s="18">
        <v>4.0</v>
      </c>
      <c r="E3146" s="17" t="s">
        <v>142</v>
      </c>
      <c r="F3146" s="15" t="s">
        <v>143</v>
      </c>
      <c r="G3146" s="19">
        <v>9.0042084E7</v>
      </c>
      <c r="H3146" s="15" t="s">
        <v>145</v>
      </c>
      <c r="I3146" s="20" t="s">
        <v>19</v>
      </c>
      <c r="J3146" s="21">
        <v>1.8504471E7</v>
      </c>
      <c r="K3146" s="21">
        <v>0.0</v>
      </c>
    </row>
    <row r="3147">
      <c r="A3147" s="15" t="s">
        <v>74</v>
      </c>
      <c r="B3147" s="16" t="s">
        <v>187</v>
      </c>
      <c r="C3147" s="17" t="s">
        <v>188</v>
      </c>
      <c r="D3147" s="18">
        <v>4.0</v>
      </c>
      <c r="E3147" s="17" t="s">
        <v>22</v>
      </c>
      <c r="F3147" s="15" t="s">
        <v>146</v>
      </c>
      <c r="G3147" s="19">
        <v>9.0042012E7</v>
      </c>
      <c r="H3147" s="15" t="s">
        <v>23</v>
      </c>
      <c r="I3147" s="20" t="s">
        <v>19</v>
      </c>
      <c r="J3147" s="21">
        <v>1.13828655E8</v>
      </c>
      <c r="K3147" s="21">
        <v>0.0</v>
      </c>
    </row>
    <row r="3148">
      <c r="A3148" s="15" t="s">
        <v>74</v>
      </c>
      <c r="B3148" s="16" t="s">
        <v>187</v>
      </c>
      <c r="C3148" s="17" t="s">
        <v>188</v>
      </c>
      <c r="D3148" s="18">
        <v>4.0</v>
      </c>
      <c r="E3148" s="17" t="s">
        <v>22</v>
      </c>
      <c r="F3148" s="15" t="s">
        <v>146</v>
      </c>
      <c r="G3148" s="19">
        <v>9.0042121E7</v>
      </c>
      <c r="H3148" s="15" t="s">
        <v>24</v>
      </c>
      <c r="I3148" s="20" t="s">
        <v>25</v>
      </c>
      <c r="J3148" s="21">
        <v>1.43439961E8</v>
      </c>
      <c r="K3148" s="21">
        <v>0.0</v>
      </c>
    </row>
    <row r="3149">
      <c r="A3149" s="15" t="s">
        <v>74</v>
      </c>
      <c r="B3149" s="16" t="s">
        <v>187</v>
      </c>
      <c r="C3149" s="17" t="s">
        <v>188</v>
      </c>
      <c r="D3149" s="18">
        <v>4.0</v>
      </c>
      <c r="E3149" s="17" t="s">
        <v>22</v>
      </c>
      <c r="F3149" s="15" t="s">
        <v>146</v>
      </c>
      <c r="G3149" s="19">
        <v>9.0042122E7</v>
      </c>
      <c r="H3149" s="15" t="s">
        <v>56</v>
      </c>
      <c r="I3149" s="20" t="s">
        <v>25</v>
      </c>
      <c r="J3149" s="21">
        <v>9274042.0</v>
      </c>
      <c r="K3149" s="21">
        <v>0.0</v>
      </c>
    </row>
    <row r="3150">
      <c r="A3150" s="15" t="s">
        <v>74</v>
      </c>
      <c r="B3150" s="16" t="s">
        <v>187</v>
      </c>
      <c r="C3150" s="17" t="s">
        <v>188</v>
      </c>
      <c r="D3150" s="18">
        <v>4.0</v>
      </c>
      <c r="E3150" s="17" t="s">
        <v>22</v>
      </c>
      <c r="F3150" s="15" t="s">
        <v>146</v>
      </c>
      <c r="G3150" s="19">
        <v>9.0042124E7</v>
      </c>
      <c r="H3150" s="15" t="s">
        <v>57</v>
      </c>
      <c r="I3150" s="20" t="s">
        <v>25</v>
      </c>
      <c r="J3150" s="21">
        <v>5830080.0</v>
      </c>
      <c r="K3150" s="21">
        <v>0.0</v>
      </c>
    </row>
    <row r="3151">
      <c r="A3151" s="15" t="s">
        <v>74</v>
      </c>
      <c r="B3151" s="16" t="s">
        <v>187</v>
      </c>
      <c r="C3151" s="17" t="s">
        <v>188</v>
      </c>
      <c r="D3151" s="18">
        <v>4.0</v>
      </c>
      <c r="E3151" s="17" t="s">
        <v>22</v>
      </c>
      <c r="F3151" s="15" t="s">
        <v>146</v>
      </c>
      <c r="G3151" s="19">
        <v>9.0042125E7</v>
      </c>
      <c r="H3151" s="15" t="s">
        <v>26</v>
      </c>
      <c r="I3151" s="20" t="s">
        <v>25</v>
      </c>
      <c r="J3151" s="21">
        <v>3.2693336E7</v>
      </c>
      <c r="K3151" s="21">
        <v>0.0</v>
      </c>
    </row>
    <row r="3152">
      <c r="A3152" s="15" t="s">
        <v>74</v>
      </c>
      <c r="B3152" s="16" t="s">
        <v>187</v>
      </c>
      <c r="C3152" s="17" t="s">
        <v>188</v>
      </c>
      <c r="D3152" s="18">
        <v>4.0</v>
      </c>
      <c r="E3152" s="17" t="s">
        <v>22</v>
      </c>
      <c r="F3152" s="15" t="s">
        <v>146</v>
      </c>
      <c r="G3152" s="19">
        <v>9.0042127E7</v>
      </c>
      <c r="H3152" s="15" t="s">
        <v>27</v>
      </c>
      <c r="I3152" s="20" t="s">
        <v>25</v>
      </c>
      <c r="J3152" s="21">
        <v>4.2069254E7</v>
      </c>
      <c r="K3152" s="21">
        <v>0.0</v>
      </c>
    </row>
    <row r="3153">
      <c r="A3153" s="15" t="s">
        <v>74</v>
      </c>
      <c r="B3153" s="16" t="s">
        <v>187</v>
      </c>
      <c r="C3153" s="17" t="s">
        <v>188</v>
      </c>
      <c r="D3153" s="18">
        <v>4.0</v>
      </c>
      <c r="E3153" s="17" t="s">
        <v>22</v>
      </c>
      <c r="F3153" s="15" t="s">
        <v>146</v>
      </c>
      <c r="G3153" s="19">
        <v>9.0042128E7</v>
      </c>
      <c r="H3153" s="15" t="s">
        <v>58</v>
      </c>
      <c r="I3153" s="20" t="s">
        <v>25</v>
      </c>
      <c r="J3153" s="21">
        <v>7439645.0</v>
      </c>
      <c r="K3153" s="21">
        <v>0.0</v>
      </c>
    </row>
    <row r="3154">
      <c r="A3154" s="15" t="s">
        <v>74</v>
      </c>
      <c r="B3154" s="16" t="s">
        <v>187</v>
      </c>
      <c r="C3154" s="17" t="s">
        <v>188</v>
      </c>
      <c r="D3154" s="18">
        <v>4.0</v>
      </c>
      <c r="E3154" s="17" t="s">
        <v>22</v>
      </c>
      <c r="F3154" s="15" t="s">
        <v>146</v>
      </c>
      <c r="G3154" s="19">
        <v>9.0042132E7</v>
      </c>
      <c r="H3154" s="15" t="s">
        <v>28</v>
      </c>
      <c r="I3154" s="20" t="s">
        <v>25</v>
      </c>
      <c r="J3154" s="21">
        <v>8162112.0</v>
      </c>
      <c r="K3154" s="21">
        <v>0.0</v>
      </c>
    </row>
    <row r="3155">
      <c r="A3155" s="15" t="s">
        <v>74</v>
      </c>
      <c r="B3155" s="16" t="s">
        <v>187</v>
      </c>
      <c r="C3155" s="17" t="s">
        <v>188</v>
      </c>
      <c r="D3155" s="18">
        <v>4.0</v>
      </c>
      <c r="E3155" s="17" t="s">
        <v>22</v>
      </c>
      <c r="F3155" s="15" t="s">
        <v>146</v>
      </c>
      <c r="G3155" s="19">
        <v>9.0042135E7</v>
      </c>
      <c r="H3155" s="15" t="s">
        <v>30</v>
      </c>
      <c r="I3155" s="20" t="s">
        <v>25</v>
      </c>
      <c r="J3155" s="21">
        <v>1.88864864E8</v>
      </c>
      <c r="K3155" s="21">
        <v>0.0</v>
      </c>
    </row>
    <row r="3156">
      <c r="A3156" s="15" t="s">
        <v>74</v>
      </c>
      <c r="B3156" s="16" t="s">
        <v>187</v>
      </c>
      <c r="C3156" s="17" t="s">
        <v>188</v>
      </c>
      <c r="D3156" s="18">
        <v>4.0</v>
      </c>
      <c r="E3156" s="17" t="s">
        <v>22</v>
      </c>
      <c r="F3156" s="15" t="s">
        <v>146</v>
      </c>
      <c r="G3156" s="19">
        <v>9.00422E7</v>
      </c>
      <c r="H3156" s="15" t="s">
        <v>73</v>
      </c>
      <c r="I3156" s="20" t="s">
        <v>60</v>
      </c>
      <c r="J3156" s="21">
        <v>5.83050033E8</v>
      </c>
      <c r="K3156" s="21">
        <v>0.0</v>
      </c>
    </row>
    <row r="3157">
      <c r="A3157" s="15" t="s">
        <v>74</v>
      </c>
      <c r="B3157" s="16" t="s">
        <v>187</v>
      </c>
      <c r="C3157" s="17" t="s">
        <v>188</v>
      </c>
      <c r="D3157" s="18">
        <v>4.0</v>
      </c>
      <c r="E3157" s="17" t="s">
        <v>22</v>
      </c>
      <c r="F3157" s="15" t="s">
        <v>146</v>
      </c>
      <c r="G3157" s="19">
        <v>9.0042223E7</v>
      </c>
      <c r="H3157" s="15" t="s">
        <v>61</v>
      </c>
      <c r="I3157" s="20" t="s">
        <v>60</v>
      </c>
      <c r="J3157" s="21">
        <v>1036734.0</v>
      </c>
      <c r="K3157" s="21">
        <v>0.0</v>
      </c>
    </row>
    <row r="3158">
      <c r="A3158" s="15" t="s">
        <v>74</v>
      </c>
      <c r="B3158" s="16" t="s">
        <v>187</v>
      </c>
      <c r="C3158" s="17" t="s">
        <v>188</v>
      </c>
      <c r="D3158" s="18">
        <v>4.0</v>
      </c>
      <c r="E3158" s="17" t="s">
        <v>22</v>
      </c>
      <c r="F3158" s="15" t="s">
        <v>146</v>
      </c>
      <c r="G3158" s="19">
        <v>9.0042224E7</v>
      </c>
      <c r="H3158" s="15" t="s">
        <v>62</v>
      </c>
      <c r="I3158" s="20" t="s">
        <v>60</v>
      </c>
      <c r="J3158" s="21">
        <v>4131388.0</v>
      </c>
      <c r="K3158" s="21">
        <v>0.0</v>
      </c>
    </row>
    <row r="3159">
      <c r="A3159" s="15" t="s">
        <v>74</v>
      </c>
      <c r="B3159" s="16" t="s">
        <v>187</v>
      </c>
      <c r="C3159" s="17" t="s">
        <v>188</v>
      </c>
      <c r="D3159" s="18">
        <v>4.0</v>
      </c>
      <c r="E3159" s="17" t="s">
        <v>22</v>
      </c>
      <c r="F3159" s="15" t="s">
        <v>146</v>
      </c>
      <c r="G3159" s="19">
        <v>9.0042226E7</v>
      </c>
      <c r="H3159" s="15" t="s">
        <v>63</v>
      </c>
      <c r="I3159" s="20" t="s">
        <v>60</v>
      </c>
      <c r="J3159" s="21">
        <v>1528666.0</v>
      </c>
      <c r="K3159" s="21">
        <v>0.0</v>
      </c>
    </row>
    <row r="3160">
      <c r="A3160" s="15" t="s">
        <v>74</v>
      </c>
      <c r="B3160" s="16" t="s">
        <v>187</v>
      </c>
      <c r="C3160" s="17" t="s">
        <v>188</v>
      </c>
      <c r="D3160" s="18">
        <v>4.0</v>
      </c>
      <c r="E3160" s="17" t="s">
        <v>22</v>
      </c>
      <c r="F3160" s="15" t="s">
        <v>146</v>
      </c>
      <c r="G3160" s="19">
        <v>9.0042228E7</v>
      </c>
      <c r="H3160" s="15" t="s">
        <v>64</v>
      </c>
      <c r="I3160" s="20" t="s">
        <v>60</v>
      </c>
      <c r="J3160" s="21">
        <v>1.24974052E8</v>
      </c>
      <c r="K3160" s="21">
        <v>0.0</v>
      </c>
    </row>
    <row r="3161">
      <c r="A3161" s="15" t="s">
        <v>74</v>
      </c>
      <c r="B3161" s="16" t="s">
        <v>187</v>
      </c>
      <c r="C3161" s="17" t="s">
        <v>188</v>
      </c>
      <c r="D3161" s="18">
        <v>4.0</v>
      </c>
      <c r="E3161" s="17" t="s">
        <v>22</v>
      </c>
      <c r="F3161" s="15" t="s">
        <v>146</v>
      </c>
      <c r="G3161" s="19">
        <v>9.0042231E7</v>
      </c>
      <c r="H3161" s="15" t="s">
        <v>65</v>
      </c>
      <c r="I3161" s="20" t="s">
        <v>60</v>
      </c>
      <c r="J3161" s="21">
        <v>2.5199013E7</v>
      </c>
      <c r="K3161" s="21">
        <v>0.0</v>
      </c>
    </row>
    <row r="3162">
      <c r="A3162" s="15" t="s">
        <v>74</v>
      </c>
      <c r="B3162" s="16" t="s">
        <v>187</v>
      </c>
      <c r="C3162" s="17" t="s">
        <v>188</v>
      </c>
      <c r="D3162" s="18">
        <v>4.0</v>
      </c>
      <c r="E3162" s="17" t="s">
        <v>22</v>
      </c>
      <c r="F3162" s="15" t="s">
        <v>146</v>
      </c>
      <c r="G3162" s="19">
        <v>9.0042126E7</v>
      </c>
      <c r="H3162" s="15" t="s">
        <v>31</v>
      </c>
      <c r="I3162" s="20" t="s">
        <v>25</v>
      </c>
      <c r="J3162" s="21">
        <v>9.5847949E7</v>
      </c>
      <c r="K3162" s="21">
        <v>0.0</v>
      </c>
    </row>
    <row r="3163">
      <c r="A3163" s="15" t="s">
        <v>74</v>
      </c>
      <c r="B3163" s="16" t="s">
        <v>187</v>
      </c>
      <c r="C3163" s="17" t="s">
        <v>188</v>
      </c>
      <c r="D3163" s="18">
        <v>4.0</v>
      </c>
      <c r="E3163" s="17" t="s">
        <v>199</v>
      </c>
      <c r="F3163" s="15" t="s">
        <v>200</v>
      </c>
      <c r="G3163" s="19">
        <v>9.0043001E7</v>
      </c>
      <c r="H3163" s="15" t="s">
        <v>18</v>
      </c>
      <c r="I3163" s="20" t="s">
        <v>19</v>
      </c>
      <c r="J3163" s="21">
        <v>150590.0</v>
      </c>
      <c r="K3163" s="21">
        <v>1.0</v>
      </c>
    </row>
    <row r="3164">
      <c r="A3164" s="15" t="s">
        <v>74</v>
      </c>
      <c r="B3164" s="16" t="s">
        <v>187</v>
      </c>
      <c r="C3164" s="17" t="s">
        <v>188</v>
      </c>
      <c r="D3164" s="18">
        <v>4.0</v>
      </c>
      <c r="E3164" s="17" t="s">
        <v>201</v>
      </c>
      <c r="F3164" s="15" t="s">
        <v>202</v>
      </c>
      <c r="G3164" s="19">
        <v>9.0043001E7</v>
      </c>
      <c r="H3164" s="15" t="s">
        <v>18</v>
      </c>
      <c r="I3164" s="20" t="s">
        <v>19</v>
      </c>
      <c r="J3164" s="21">
        <v>1162262.0</v>
      </c>
      <c r="K3164" s="21">
        <v>8.0</v>
      </c>
    </row>
    <row r="3165">
      <c r="A3165" s="15" t="s">
        <v>74</v>
      </c>
      <c r="B3165" s="16" t="s">
        <v>187</v>
      </c>
      <c r="C3165" s="17" t="s">
        <v>188</v>
      </c>
      <c r="D3165" s="18">
        <v>4.0</v>
      </c>
      <c r="E3165" s="17" t="s">
        <v>338</v>
      </c>
      <c r="F3165" s="15" t="s">
        <v>339</v>
      </c>
      <c r="G3165" s="19">
        <v>5.1101999E7</v>
      </c>
      <c r="H3165" s="15" t="s">
        <v>107</v>
      </c>
      <c r="I3165" s="20" t="s">
        <v>25</v>
      </c>
      <c r="J3165" s="21">
        <v>0.0</v>
      </c>
      <c r="K3165" s="21">
        <v>0.0</v>
      </c>
    </row>
    <row r="3166">
      <c r="A3166" s="15" t="s">
        <v>74</v>
      </c>
      <c r="B3166" s="16" t="s">
        <v>187</v>
      </c>
      <c r="C3166" s="17" t="s">
        <v>188</v>
      </c>
      <c r="D3166" s="18">
        <v>4.0</v>
      </c>
      <c r="E3166" s="17" t="s">
        <v>340</v>
      </c>
      <c r="F3166" s="15" t="s">
        <v>341</v>
      </c>
      <c r="G3166" s="19">
        <v>5.1101999E7</v>
      </c>
      <c r="H3166" s="15" t="s">
        <v>107</v>
      </c>
      <c r="I3166" s="20" t="s">
        <v>25</v>
      </c>
      <c r="J3166" s="21">
        <v>0.0</v>
      </c>
      <c r="K3166" s="21">
        <v>0.0</v>
      </c>
    </row>
    <row r="3167">
      <c r="A3167" s="15" t="s">
        <v>74</v>
      </c>
      <c r="B3167" s="16" t="s">
        <v>187</v>
      </c>
      <c r="C3167" s="17" t="s">
        <v>188</v>
      </c>
      <c r="D3167" s="18">
        <v>4.0</v>
      </c>
      <c r="E3167" s="24">
        <v>46292.0</v>
      </c>
      <c r="F3167" s="15" t="s">
        <v>342</v>
      </c>
      <c r="G3167" s="19">
        <v>5.1101999E7</v>
      </c>
      <c r="H3167" s="15" t="s">
        <v>107</v>
      </c>
      <c r="I3167" s="20" t="s">
        <v>25</v>
      </c>
      <c r="J3167" s="21">
        <v>0.0</v>
      </c>
      <c r="K3167" s="21">
        <v>0.0</v>
      </c>
    </row>
    <row r="3168">
      <c r="A3168" s="15" t="s">
        <v>74</v>
      </c>
      <c r="B3168" s="16" t="s">
        <v>187</v>
      </c>
      <c r="C3168" s="17" t="s">
        <v>188</v>
      </c>
      <c r="D3168" s="18">
        <v>4.0</v>
      </c>
      <c r="E3168" s="24">
        <v>46107.0</v>
      </c>
      <c r="F3168" s="15" t="s">
        <v>343</v>
      </c>
      <c r="G3168" s="19">
        <v>5.1101999E7</v>
      </c>
      <c r="H3168" s="15" t="s">
        <v>107</v>
      </c>
      <c r="I3168" s="20" t="s">
        <v>25</v>
      </c>
      <c r="J3168" s="21">
        <v>0.0</v>
      </c>
      <c r="K3168" s="21">
        <v>0.0</v>
      </c>
    </row>
    <row r="3169">
      <c r="A3169" s="15" t="s">
        <v>74</v>
      </c>
      <c r="B3169" s="16" t="s">
        <v>187</v>
      </c>
      <c r="C3169" s="17" t="s">
        <v>188</v>
      </c>
      <c r="D3169" s="18">
        <v>4.0</v>
      </c>
      <c r="E3169" s="17" t="s">
        <v>344</v>
      </c>
      <c r="F3169" s="15" t="s">
        <v>345</v>
      </c>
      <c r="G3169" s="19">
        <v>5.1100058E7</v>
      </c>
      <c r="H3169" s="15" t="s">
        <v>36</v>
      </c>
      <c r="I3169" s="20" t="s">
        <v>37</v>
      </c>
      <c r="J3169" s="21">
        <v>0.0</v>
      </c>
      <c r="K3169" s="21">
        <v>0.0</v>
      </c>
    </row>
    <row r="3170">
      <c r="A3170" s="15" t="s">
        <v>74</v>
      </c>
      <c r="B3170" s="16" t="s">
        <v>187</v>
      </c>
      <c r="C3170" s="17" t="s">
        <v>188</v>
      </c>
      <c r="D3170" s="18">
        <v>4.0</v>
      </c>
      <c r="E3170" s="17" t="s">
        <v>346</v>
      </c>
      <c r="F3170" s="15" t="s">
        <v>347</v>
      </c>
      <c r="G3170" s="19">
        <v>5.1101999E7</v>
      </c>
      <c r="H3170" s="15" t="s">
        <v>107</v>
      </c>
      <c r="I3170" s="20" t="s">
        <v>25</v>
      </c>
      <c r="J3170" s="21">
        <v>0.0</v>
      </c>
      <c r="K3170" s="21">
        <v>0.0</v>
      </c>
    </row>
    <row r="3171">
      <c r="A3171" s="15" t="s">
        <v>74</v>
      </c>
      <c r="B3171" s="16" t="s">
        <v>203</v>
      </c>
      <c r="C3171" s="17" t="s">
        <v>204</v>
      </c>
      <c r="D3171" s="18">
        <v>4.0</v>
      </c>
      <c r="E3171" s="17" t="s">
        <v>81</v>
      </c>
      <c r="F3171" s="15" t="s">
        <v>82</v>
      </c>
      <c r="G3171" s="19">
        <v>5.1100064E7</v>
      </c>
      <c r="H3171" s="15" t="s">
        <v>53</v>
      </c>
      <c r="I3171" s="20" t="s">
        <v>25</v>
      </c>
      <c r="J3171" s="21">
        <v>1200000.0</v>
      </c>
      <c r="K3171" s="21">
        <v>0.0</v>
      </c>
    </row>
    <row r="3172">
      <c r="A3172" s="15" t="s">
        <v>74</v>
      </c>
      <c r="B3172" s="16" t="s">
        <v>203</v>
      </c>
      <c r="C3172" s="17" t="s">
        <v>204</v>
      </c>
      <c r="D3172" s="18">
        <v>4.0</v>
      </c>
      <c r="E3172" s="17" t="s">
        <v>81</v>
      </c>
      <c r="F3172" s="15" t="s">
        <v>82</v>
      </c>
      <c r="G3172" s="19">
        <v>9.0043001E7</v>
      </c>
      <c r="H3172" s="15" t="s">
        <v>18</v>
      </c>
      <c r="I3172" s="20" t="s">
        <v>19</v>
      </c>
      <c r="J3172" s="21">
        <v>785458.0</v>
      </c>
      <c r="K3172" s="21">
        <v>5.3</v>
      </c>
    </row>
    <row r="3173">
      <c r="A3173" s="15" t="s">
        <v>74</v>
      </c>
      <c r="B3173" s="16" t="s">
        <v>203</v>
      </c>
      <c r="C3173" s="17" t="s">
        <v>204</v>
      </c>
      <c r="D3173" s="18">
        <v>4.0</v>
      </c>
      <c r="E3173" s="17" t="s">
        <v>81</v>
      </c>
      <c r="F3173" s="15" t="s">
        <v>82</v>
      </c>
      <c r="G3173" s="19">
        <v>9.0043E7</v>
      </c>
      <c r="H3173" s="15" t="s">
        <v>83</v>
      </c>
      <c r="I3173" s="20" t="s">
        <v>19</v>
      </c>
      <c r="J3173" s="21">
        <v>2853059.0</v>
      </c>
      <c r="K3173" s="21">
        <v>17.0</v>
      </c>
    </row>
    <row r="3174">
      <c r="A3174" s="15" t="s">
        <v>74</v>
      </c>
      <c r="B3174" s="16" t="s">
        <v>203</v>
      </c>
      <c r="C3174" s="17" t="s">
        <v>204</v>
      </c>
      <c r="D3174" s="18">
        <v>4.0</v>
      </c>
      <c r="E3174" s="17" t="s">
        <v>84</v>
      </c>
      <c r="F3174" s="15" t="s">
        <v>85</v>
      </c>
      <c r="G3174" s="19">
        <v>5.1100064E7</v>
      </c>
      <c r="H3174" s="15" t="s">
        <v>53</v>
      </c>
      <c r="I3174" s="20" t="s">
        <v>25</v>
      </c>
      <c r="J3174" s="21">
        <v>2100000.0</v>
      </c>
      <c r="K3174" s="21">
        <v>0.0</v>
      </c>
    </row>
    <row r="3175">
      <c r="A3175" s="15" t="s">
        <v>74</v>
      </c>
      <c r="B3175" s="16" t="s">
        <v>203</v>
      </c>
      <c r="C3175" s="17" t="s">
        <v>204</v>
      </c>
      <c r="D3175" s="18">
        <v>4.0</v>
      </c>
      <c r="E3175" s="17" t="s">
        <v>84</v>
      </c>
      <c r="F3175" s="15" t="s">
        <v>85</v>
      </c>
      <c r="G3175" s="19">
        <v>9.0043001E7</v>
      </c>
      <c r="H3175" s="15" t="s">
        <v>18</v>
      </c>
      <c r="I3175" s="20" t="s">
        <v>19</v>
      </c>
      <c r="J3175" s="21">
        <v>9823916.0</v>
      </c>
      <c r="K3175" s="21">
        <v>58.3</v>
      </c>
    </row>
    <row r="3176">
      <c r="A3176" s="15" t="s">
        <v>74</v>
      </c>
      <c r="B3176" s="16" t="s">
        <v>203</v>
      </c>
      <c r="C3176" s="17" t="s">
        <v>204</v>
      </c>
      <c r="D3176" s="18">
        <v>4.0</v>
      </c>
      <c r="E3176" s="17" t="s">
        <v>84</v>
      </c>
      <c r="F3176" s="15" t="s">
        <v>85</v>
      </c>
      <c r="G3176" s="19">
        <v>9.0043E7</v>
      </c>
      <c r="H3176" s="15" t="s">
        <v>83</v>
      </c>
      <c r="I3176" s="20" t="s">
        <v>19</v>
      </c>
      <c r="J3176" s="21">
        <v>1006962.0</v>
      </c>
      <c r="K3176" s="21">
        <v>6.0</v>
      </c>
    </row>
    <row r="3177">
      <c r="A3177" s="15" t="s">
        <v>74</v>
      </c>
      <c r="B3177" s="16" t="s">
        <v>203</v>
      </c>
      <c r="C3177" s="17" t="s">
        <v>204</v>
      </c>
      <c r="D3177" s="18">
        <v>4.0</v>
      </c>
      <c r="E3177" s="17" t="s">
        <v>86</v>
      </c>
      <c r="F3177" s="15" t="s">
        <v>87</v>
      </c>
      <c r="G3177" s="19">
        <v>5.1100064E7</v>
      </c>
      <c r="H3177" s="15" t="s">
        <v>53</v>
      </c>
      <c r="I3177" s="20" t="s">
        <v>25</v>
      </c>
      <c r="J3177" s="21">
        <v>900000.0</v>
      </c>
      <c r="K3177" s="21">
        <v>0.0</v>
      </c>
    </row>
    <row r="3178">
      <c r="A3178" s="15" t="s">
        <v>74</v>
      </c>
      <c r="B3178" s="16" t="s">
        <v>203</v>
      </c>
      <c r="C3178" s="17" t="s">
        <v>204</v>
      </c>
      <c r="D3178" s="18">
        <v>4.0</v>
      </c>
      <c r="E3178" s="17" t="s">
        <v>86</v>
      </c>
      <c r="F3178" s="15" t="s">
        <v>87</v>
      </c>
      <c r="G3178" s="19">
        <v>9.0043001E7</v>
      </c>
      <c r="H3178" s="15" t="s">
        <v>18</v>
      </c>
      <c r="I3178" s="20" t="s">
        <v>19</v>
      </c>
      <c r="J3178" s="21">
        <v>188936.0</v>
      </c>
      <c r="K3178" s="21">
        <v>1.0</v>
      </c>
    </row>
    <row r="3179">
      <c r="A3179" s="15" t="s">
        <v>74</v>
      </c>
      <c r="B3179" s="16" t="s">
        <v>203</v>
      </c>
      <c r="C3179" s="17" t="s">
        <v>204</v>
      </c>
      <c r="D3179" s="18">
        <v>4.0</v>
      </c>
      <c r="E3179" s="17" t="s">
        <v>173</v>
      </c>
      <c r="F3179" s="15" t="s">
        <v>174</v>
      </c>
      <c r="G3179" s="19">
        <v>9.0043003E7</v>
      </c>
      <c r="H3179" s="15" t="s">
        <v>90</v>
      </c>
      <c r="I3179" s="20" t="s">
        <v>50</v>
      </c>
      <c r="J3179" s="21">
        <v>3038340.0</v>
      </c>
      <c r="K3179" s="21">
        <v>1.0</v>
      </c>
    </row>
    <row r="3180">
      <c r="A3180" s="15" t="s">
        <v>74</v>
      </c>
      <c r="B3180" s="16" t="s">
        <v>203</v>
      </c>
      <c r="C3180" s="17" t="s">
        <v>204</v>
      </c>
      <c r="D3180" s="18">
        <v>4.0</v>
      </c>
      <c r="E3180" s="17" t="s">
        <v>226</v>
      </c>
      <c r="F3180" s="15" t="s">
        <v>227</v>
      </c>
      <c r="G3180" s="19">
        <v>5.1100774E7</v>
      </c>
      <c r="H3180" s="15" t="s">
        <v>39</v>
      </c>
      <c r="I3180" s="20" t="s">
        <v>17</v>
      </c>
      <c r="J3180" s="21">
        <v>3.21506E7</v>
      </c>
      <c r="K3180" s="21">
        <v>8.0</v>
      </c>
    </row>
    <row r="3181">
      <c r="A3181" s="15" t="s">
        <v>74</v>
      </c>
      <c r="B3181" s="16" t="s">
        <v>203</v>
      </c>
      <c r="C3181" s="17" t="s">
        <v>204</v>
      </c>
      <c r="D3181" s="18">
        <v>4.0</v>
      </c>
      <c r="E3181" s="17" t="s">
        <v>95</v>
      </c>
      <c r="F3181" s="15" t="s">
        <v>96</v>
      </c>
      <c r="G3181" s="19">
        <v>5.1100058E7</v>
      </c>
      <c r="H3181" s="15" t="s">
        <v>36</v>
      </c>
      <c r="I3181" s="20" t="s">
        <v>37</v>
      </c>
      <c r="J3181" s="21">
        <v>1.0349119E7</v>
      </c>
      <c r="K3181" s="21">
        <v>129.51</v>
      </c>
    </row>
    <row r="3182">
      <c r="A3182" s="15" t="s">
        <v>74</v>
      </c>
      <c r="B3182" s="16" t="s">
        <v>203</v>
      </c>
      <c r="C3182" s="17" t="s">
        <v>204</v>
      </c>
      <c r="D3182" s="18">
        <v>4.0</v>
      </c>
      <c r="E3182" s="17" t="s">
        <v>95</v>
      </c>
      <c r="F3182" s="15" t="s">
        <v>96</v>
      </c>
      <c r="G3182" s="19">
        <v>9.0043001E7</v>
      </c>
      <c r="H3182" s="15" t="s">
        <v>18</v>
      </c>
      <c r="I3182" s="20" t="s">
        <v>19</v>
      </c>
      <c r="J3182" s="21">
        <v>1657992.0</v>
      </c>
      <c r="K3182" s="21">
        <v>10.5</v>
      </c>
    </row>
    <row r="3183">
      <c r="A3183" s="15" t="s">
        <v>74</v>
      </c>
      <c r="B3183" s="16" t="s">
        <v>203</v>
      </c>
      <c r="C3183" s="17" t="s">
        <v>204</v>
      </c>
      <c r="D3183" s="18">
        <v>4.0</v>
      </c>
      <c r="E3183" s="17" t="s">
        <v>97</v>
      </c>
      <c r="F3183" s="15" t="s">
        <v>98</v>
      </c>
      <c r="G3183" s="19">
        <v>9.0043001E7</v>
      </c>
      <c r="H3183" s="15" t="s">
        <v>18</v>
      </c>
      <c r="I3183" s="20" t="s">
        <v>19</v>
      </c>
      <c r="J3183" s="21">
        <v>4130932.0</v>
      </c>
      <c r="K3183" s="21">
        <v>26.0</v>
      </c>
    </row>
    <row r="3184">
      <c r="A3184" s="15" t="s">
        <v>74</v>
      </c>
      <c r="B3184" s="16" t="s">
        <v>203</v>
      </c>
      <c r="C3184" s="17" t="s">
        <v>204</v>
      </c>
      <c r="D3184" s="18">
        <v>4.0</v>
      </c>
      <c r="E3184" s="17" t="s">
        <v>99</v>
      </c>
      <c r="F3184" s="15" t="s">
        <v>100</v>
      </c>
      <c r="G3184" s="19">
        <v>9.0043001E7</v>
      </c>
      <c r="H3184" s="15" t="s">
        <v>18</v>
      </c>
      <c r="I3184" s="20" t="s">
        <v>19</v>
      </c>
      <c r="J3184" s="21">
        <v>779008.0</v>
      </c>
      <c r="K3184" s="21">
        <v>5.0</v>
      </c>
    </row>
    <row r="3185">
      <c r="A3185" s="15" t="s">
        <v>74</v>
      </c>
      <c r="B3185" s="16" t="s">
        <v>203</v>
      </c>
      <c r="C3185" s="17" t="s">
        <v>204</v>
      </c>
      <c r="D3185" s="18">
        <v>4.0</v>
      </c>
      <c r="E3185" s="17" t="s">
        <v>101</v>
      </c>
      <c r="F3185" s="15" t="s">
        <v>102</v>
      </c>
      <c r="G3185" s="19">
        <v>9.0043001E7</v>
      </c>
      <c r="H3185" s="15" t="s">
        <v>18</v>
      </c>
      <c r="I3185" s="20" t="s">
        <v>19</v>
      </c>
      <c r="J3185" s="21">
        <v>3.1385883E7</v>
      </c>
      <c r="K3185" s="21">
        <v>206.0</v>
      </c>
    </row>
    <row r="3186">
      <c r="A3186" s="15" t="s">
        <v>74</v>
      </c>
      <c r="B3186" s="16" t="s">
        <v>203</v>
      </c>
      <c r="C3186" s="17" t="s">
        <v>204</v>
      </c>
      <c r="D3186" s="18">
        <v>4.0</v>
      </c>
      <c r="E3186" s="17" t="s">
        <v>101</v>
      </c>
      <c r="F3186" s="15" t="s">
        <v>102</v>
      </c>
      <c r="G3186" s="19">
        <v>9.0043E7</v>
      </c>
      <c r="H3186" s="15" t="s">
        <v>83</v>
      </c>
      <c r="I3186" s="20" t="s">
        <v>19</v>
      </c>
      <c r="J3186" s="21">
        <v>2454452.0</v>
      </c>
      <c r="K3186" s="21">
        <v>15.0</v>
      </c>
    </row>
    <row r="3187">
      <c r="A3187" s="15" t="s">
        <v>74</v>
      </c>
      <c r="B3187" s="16" t="s">
        <v>203</v>
      </c>
      <c r="C3187" s="17" t="s">
        <v>204</v>
      </c>
      <c r="D3187" s="18">
        <v>4.0</v>
      </c>
      <c r="E3187" s="17" t="s">
        <v>103</v>
      </c>
      <c r="F3187" s="15" t="s">
        <v>104</v>
      </c>
      <c r="G3187" s="19">
        <v>9.0043001E7</v>
      </c>
      <c r="H3187" s="15" t="s">
        <v>18</v>
      </c>
      <c r="I3187" s="20" t="s">
        <v>19</v>
      </c>
      <c r="J3187" s="21">
        <v>7557440.0</v>
      </c>
      <c r="K3187" s="21">
        <v>40.0</v>
      </c>
    </row>
    <row r="3188">
      <c r="A3188" s="15" t="s">
        <v>74</v>
      </c>
      <c r="B3188" s="16" t="s">
        <v>203</v>
      </c>
      <c r="C3188" s="17" t="s">
        <v>204</v>
      </c>
      <c r="D3188" s="18">
        <v>4.0</v>
      </c>
      <c r="E3188" s="17" t="s">
        <v>205</v>
      </c>
      <c r="F3188" s="15" t="s">
        <v>206</v>
      </c>
      <c r="G3188" s="19">
        <v>9.0043001E7</v>
      </c>
      <c r="H3188" s="15" t="s">
        <v>18</v>
      </c>
      <c r="I3188" s="20" t="s">
        <v>19</v>
      </c>
      <c r="J3188" s="21">
        <v>5084224.0</v>
      </c>
      <c r="K3188" s="21">
        <v>32.0</v>
      </c>
    </row>
    <row r="3189">
      <c r="A3189" s="15" t="s">
        <v>74</v>
      </c>
      <c r="B3189" s="16" t="s">
        <v>203</v>
      </c>
      <c r="C3189" s="17" t="s">
        <v>204</v>
      </c>
      <c r="D3189" s="18">
        <v>4.0</v>
      </c>
      <c r="E3189" s="17" t="s">
        <v>207</v>
      </c>
      <c r="F3189" s="15" t="s">
        <v>208</v>
      </c>
      <c r="G3189" s="19">
        <v>9.0043001E7</v>
      </c>
      <c r="H3189" s="15" t="s">
        <v>18</v>
      </c>
      <c r="I3189" s="20" t="s">
        <v>19</v>
      </c>
      <c r="J3189" s="21">
        <v>1581973.0</v>
      </c>
      <c r="K3189" s="21">
        <v>10.0</v>
      </c>
    </row>
    <row r="3190">
      <c r="A3190" s="15" t="s">
        <v>74</v>
      </c>
      <c r="B3190" s="16" t="s">
        <v>203</v>
      </c>
      <c r="C3190" s="17" t="s">
        <v>204</v>
      </c>
      <c r="D3190" s="18">
        <v>4.0</v>
      </c>
      <c r="E3190" s="17" t="s">
        <v>207</v>
      </c>
      <c r="F3190" s="15" t="s">
        <v>208</v>
      </c>
      <c r="G3190" s="19">
        <v>9.0043E7</v>
      </c>
      <c r="H3190" s="15" t="s">
        <v>83</v>
      </c>
      <c r="I3190" s="20" t="s">
        <v>19</v>
      </c>
      <c r="J3190" s="21">
        <v>681902.0</v>
      </c>
      <c r="K3190" s="21">
        <v>3.8</v>
      </c>
    </row>
    <row r="3191">
      <c r="A3191" s="15" t="s">
        <v>74</v>
      </c>
      <c r="B3191" s="16" t="s">
        <v>203</v>
      </c>
      <c r="C3191" s="17" t="s">
        <v>204</v>
      </c>
      <c r="D3191" s="18">
        <v>4.0</v>
      </c>
      <c r="E3191" s="17" t="s">
        <v>209</v>
      </c>
      <c r="F3191" s="15" t="s">
        <v>210</v>
      </c>
      <c r="G3191" s="19">
        <v>5.1100774E7</v>
      </c>
      <c r="H3191" s="15" t="s">
        <v>39</v>
      </c>
      <c r="I3191" s="20" t="s">
        <v>17</v>
      </c>
      <c r="J3191" s="21">
        <v>3.1487111E7</v>
      </c>
      <c r="K3191" s="21">
        <v>440.68</v>
      </c>
    </row>
    <row r="3192">
      <c r="A3192" s="15" t="s">
        <v>74</v>
      </c>
      <c r="B3192" s="16" t="s">
        <v>203</v>
      </c>
      <c r="C3192" s="17" t="s">
        <v>204</v>
      </c>
      <c r="D3192" s="18">
        <v>4.0</v>
      </c>
      <c r="E3192" s="17" t="s">
        <v>175</v>
      </c>
      <c r="F3192" s="15" t="s">
        <v>176</v>
      </c>
      <c r="G3192" s="19">
        <v>9.0043002E7</v>
      </c>
      <c r="H3192" s="15" t="s">
        <v>49</v>
      </c>
      <c r="I3192" s="20" t="s">
        <v>50</v>
      </c>
      <c r="J3192" s="21">
        <v>1.963437E7</v>
      </c>
      <c r="K3192" s="21">
        <v>1206.0</v>
      </c>
    </row>
    <row r="3193">
      <c r="A3193" s="15" t="s">
        <v>74</v>
      </c>
      <c r="B3193" s="16" t="s">
        <v>203</v>
      </c>
      <c r="C3193" s="17" t="s">
        <v>204</v>
      </c>
      <c r="D3193" s="18">
        <v>4.0</v>
      </c>
      <c r="E3193" s="17" t="s">
        <v>115</v>
      </c>
      <c r="F3193" s="15" t="s">
        <v>116</v>
      </c>
      <c r="G3193" s="19">
        <v>9.0043002E7</v>
      </c>
      <c r="H3193" s="15" t="s">
        <v>49</v>
      </c>
      <c r="I3193" s="20" t="s">
        <v>50</v>
      </c>
      <c r="J3193" s="21">
        <v>3202349.0</v>
      </c>
      <c r="K3193" s="21">
        <v>166.0</v>
      </c>
    </row>
    <row r="3194">
      <c r="A3194" s="15" t="s">
        <v>74</v>
      </c>
      <c r="B3194" s="16" t="s">
        <v>203</v>
      </c>
      <c r="C3194" s="17" t="s">
        <v>204</v>
      </c>
      <c r="D3194" s="18">
        <v>4.0</v>
      </c>
      <c r="E3194" s="17" t="s">
        <v>115</v>
      </c>
      <c r="F3194" s="15" t="s">
        <v>116</v>
      </c>
      <c r="G3194" s="19">
        <v>5.1100774E7</v>
      </c>
      <c r="H3194" s="15" t="s">
        <v>39</v>
      </c>
      <c r="I3194" s="20" t="s">
        <v>17</v>
      </c>
      <c r="J3194" s="21">
        <v>1092000.0</v>
      </c>
      <c r="K3194" s="21">
        <v>14560.0</v>
      </c>
    </row>
    <row r="3195">
      <c r="A3195" s="15" t="s">
        <v>74</v>
      </c>
      <c r="B3195" s="16" t="s">
        <v>203</v>
      </c>
      <c r="C3195" s="17" t="s">
        <v>204</v>
      </c>
      <c r="D3195" s="18">
        <v>4.0</v>
      </c>
      <c r="E3195" s="17" t="s">
        <v>117</v>
      </c>
      <c r="F3195" s="15" t="s">
        <v>118</v>
      </c>
      <c r="G3195" s="19">
        <v>5.1100058E7</v>
      </c>
      <c r="H3195" s="15" t="s">
        <v>36</v>
      </c>
      <c r="I3195" s="20" t="s">
        <v>37</v>
      </c>
      <c r="J3195" s="21">
        <v>6.46499439E8</v>
      </c>
      <c r="K3195" s="21">
        <v>98184.0</v>
      </c>
    </row>
    <row r="3196">
      <c r="A3196" s="15" t="s">
        <v>74</v>
      </c>
      <c r="B3196" s="16" t="s">
        <v>203</v>
      </c>
      <c r="C3196" s="17" t="s">
        <v>204</v>
      </c>
      <c r="D3196" s="18">
        <v>4.0</v>
      </c>
      <c r="E3196" s="17" t="s">
        <v>117</v>
      </c>
      <c r="F3196" s="15" t="s">
        <v>118</v>
      </c>
      <c r="G3196" s="19">
        <v>9.0043001E7</v>
      </c>
      <c r="H3196" s="15" t="s">
        <v>18</v>
      </c>
      <c r="I3196" s="20" t="s">
        <v>19</v>
      </c>
      <c r="J3196" s="21">
        <v>1800105.0</v>
      </c>
      <c r="K3196" s="21">
        <v>11.4</v>
      </c>
    </row>
    <row r="3197">
      <c r="A3197" s="15" t="s">
        <v>74</v>
      </c>
      <c r="B3197" s="16" t="s">
        <v>203</v>
      </c>
      <c r="C3197" s="17" t="s">
        <v>204</v>
      </c>
      <c r="D3197" s="18">
        <v>4.0</v>
      </c>
      <c r="E3197" s="17" t="s">
        <v>263</v>
      </c>
      <c r="F3197" s="15" t="s">
        <v>264</v>
      </c>
      <c r="G3197" s="19">
        <v>9.0043001E7</v>
      </c>
      <c r="H3197" s="15" t="s">
        <v>18</v>
      </c>
      <c r="I3197" s="20" t="s">
        <v>19</v>
      </c>
      <c r="J3197" s="21">
        <v>157904.0</v>
      </c>
      <c r="K3197" s="21">
        <v>1.0</v>
      </c>
    </row>
    <row r="3198">
      <c r="A3198" s="15" t="s">
        <v>74</v>
      </c>
      <c r="B3198" s="16" t="s">
        <v>203</v>
      </c>
      <c r="C3198" s="17" t="s">
        <v>204</v>
      </c>
      <c r="D3198" s="18">
        <v>4.0</v>
      </c>
      <c r="E3198" s="17" t="s">
        <v>263</v>
      </c>
      <c r="F3198" s="15" t="s">
        <v>264</v>
      </c>
      <c r="G3198" s="19">
        <v>9.0043E7</v>
      </c>
      <c r="H3198" s="15" t="s">
        <v>83</v>
      </c>
      <c r="I3198" s="20" t="s">
        <v>19</v>
      </c>
      <c r="J3198" s="21">
        <v>53834.0</v>
      </c>
      <c r="K3198" s="21">
        <v>0.3</v>
      </c>
    </row>
    <row r="3199">
      <c r="A3199" s="15" t="s">
        <v>74</v>
      </c>
      <c r="B3199" s="16" t="s">
        <v>203</v>
      </c>
      <c r="C3199" s="17" t="s">
        <v>204</v>
      </c>
      <c r="D3199" s="18">
        <v>4.0</v>
      </c>
      <c r="E3199" s="17" t="s">
        <v>119</v>
      </c>
      <c r="F3199" s="15" t="s">
        <v>120</v>
      </c>
      <c r="G3199" s="19">
        <v>9.0043001E7</v>
      </c>
      <c r="H3199" s="15" t="s">
        <v>18</v>
      </c>
      <c r="I3199" s="20" t="s">
        <v>19</v>
      </c>
      <c r="J3199" s="21">
        <v>3814658.0</v>
      </c>
      <c r="K3199" s="21">
        <v>20.0</v>
      </c>
    </row>
    <row r="3200">
      <c r="A3200" s="15" t="s">
        <v>74</v>
      </c>
      <c r="B3200" s="16" t="s">
        <v>203</v>
      </c>
      <c r="C3200" s="17" t="s">
        <v>204</v>
      </c>
      <c r="D3200" s="18">
        <v>4.0</v>
      </c>
      <c r="E3200" s="17" t="s">
        <v>274</v>
      </c>
      <c r="F3200" s="15" t="s">
        <v>275</v>
      </c>
      <c r="G3200" s="19">
        <v>9.0043001E7</v>
      </c>
      <c r="H3200" s="15" t="s">
        <v>18</v>
      </c>
      <c r="I3200" s="20" t="s">
        <v>19</v>
      </c>
      <c r="J3200" s="21">
        <v>473712.0</v>
      </c>
      <c r="K3200" s="21">
        <v>3.0</v>
      </c>
    </row>
    <row r="3201">
      <c r="A3201" s="15" t="s">
        <v>74</v>
      </c>
      <c r="B3201" s="16" t="s">
        <v>203</v>
      </c>
      <c r="C3201" s="17" t="s">
        <v>204</v>
      </c>
      <c r="D3201" s="18">
        <v>4.0</v>
      </c>
      <c r="E3201" s="17" t="s">
        <v>123</v>
      </c>
      <c r="F3201" s="15" t="s">
        <v>124</v>
      </c>
      <c r="G3201" s="19">
        <v>9.0043001E7</v>
      </c>
      <c r="H3201" s="15" t="s">
        <v>18</v>
      </c>
      <c r="I3201" s="20" t="s">
        <v>19</v>
      </c>
      <c r="J3201" s="21">
        <v>1579040.0</v>
      </c>
      <c r="K3201" s="21">
        <v>10.0</v>
      </c>
    </row>
    <row r="3202">
      <c r="A3202" s="15" t="s">
        <v>74</v>
      </c>
      <c r="B3202" s="16" t="s">
        <v>203</v>
      </c>
      <c r="C3202" s="17" t="s">
        <v>204</v>
      </c>
      <c r="D3202" s="18">
        <v>4.0</v>
      </c>
      <c r="E3202" s="17" t="s">
        <v>160</v>
      </c>
      <c r="F3202" s="15" t="s">
        <v>161</v>
      </c>
      <c r="G3202" s="19">
        <v>9.0043001E7</v>
      </c>
      <c r="H3202" s="15" t="s">
        <v>18</v>
      </c>
      <c r="I3202" s="20" t="s">
        <v>19</v>
      </c>
      <c r="J3202" s="21">
        <v>1579040.0</v>
      </c>
      <c r="K3202" s="21">
        <v>10.0</v>
      </c>
    </row>
    <row r="3203">
      <c r="A3203" s="15" t="s">
        <v>74</v>
      </c>
      <c r="B3203" s="16" t="s">
        <v>203</v>
      </c>
      <c r="C3203" s="17" t="s">
        <v>204</v>
      </c>
      <c r="D3203" s="18">
        <v>4.0</v>
      </c>
      <c r="E3203" s="17" t="s">
        <v>160</v>
      </c>
      <c r="F3203" s="15" t="s">
        <v>161</v>
      </c>
      <c r="G3203" s="19">
        <v>9.0043E7</v>
      </c>
      <c r="H3203" s="15" t="s">
        <v>83</v>
      </c>
      <c r="I3203" s="20" t="s">
        <v>19</v>
      </c>
      <c r="J3203" s="21">
        <v>179448.0</v>
      </c>
      <c r="K3203" s="21">
        <v>1.0</v>
      </c>
    </row>
    <row r="3204">
      <c r="A3204" s="15" t="s">
        <v>74</v>
      </c>
      <c r="B3204" s="16" t="s">
        <v>203</v>
      </c>
      <c r="C3204" s="17" t="s">
        <v>204</v>
      </c>
      <c r="D3204" s="18">
        <v>4.0</v>
      </c>
      <c r="E3204" s="17" t="s">
        <v>125</v>
      </c>
      <c r="F3204" s="15" t="s">
        <v>126</v>
      </c>
      <c r="G3204" s="19">
        <v>5.1101056E7</v>
      </c>
      <c r="H3204" s="15" t="s">
        <v>16</v>
      </c>
      <c r="I3204" s="20" t="s">
        <v>25</v>
      </c>
      <c r="J3204" s="21">
        <v>-751000.0</v>
      </c>
      <c r="K3204" s="21">
        <v>0.0</v>
      </c>
    </row>
    <row r="3205">
      <c r="A3205" s="15" t="s">
        <v>74</v>
      </c>
      <c r="B3205" s="16" t="s">
        <v>203</v>
      </c>
      <c r="C3205" s="17" t="s">
        <v>204</v>
      </c>
      <c r="D3205" s="18">
        <v>4.0</v>
      </c>
      <c r="E3205" s="17" t="s">
        <v>125</v>
      </c>
      <c r="F3205" s="15" t="s">
        <v>126</v>
      </c>
      <c r="G3205" s="19">
        <v>9.0043001E7</v>
      </c>
      <c r="H3205" s="15" t="s">
        <v>18</v>
      </c>
      <c r="I3205" s="20" t="s">
        <v>19</v>
      </c>
      <c r="J3205" s="21">
        <v>2.14534616E8</v>
      </c>
      <c r="K3205" s="21">
        <v>1352.0</v>
      </c>
    </row>
    <row r="3206">
      <c r="A3206" s="15" t="s">
        <v>74</v>
      </c>
      <c r="B3206" s="16" t="s">
        <v>203</v>
      </c>
      <c r="C3206" s="17" t="s">
        <v>204</v>
      </c>
      <c r="D3206" s="18">
        <v>4.0</v>
      </c>
      <c r="E3206" s="17" t="s">
        <v>127</v>
      </c>
      <c r="F3206" s="15" t="s">
        <v>128</v>
      </c>
      <c r="G3206" s="19">
        <v>5.1100153E7</v>
      </c>
      <c r="H3206" s="15" t="s">
        <v>72</v>
      </c>
      <c r="I3206" s="20" t="s">
        <v>17</v>
      </c>
      <c r="J3206" s="21">
        <v>2.8480353E7</v>
      </c>
      <c r="K3206" s="21">
        <v>283470.0</v>
      </c>
    </row>
    <row r="3207">
      <c r="A3207" s="15" t="s">
        <v>74</v>
      </c>
      <c r="B3207" s="16" t="s">
        <v>203</v>
      </c>
      <c r="C3207" s="17" t="s">
        <v>204</v>
      </c>
      <c r="D3207" s="18">
        <v>4.0</v>
      </c>
      <c r="E3207" s="17" t="s">
        <v>127</v>
      </c>
      <c r="F3207" s="15" t="s">
        <v>128</v>
      </c>
      <c r="G3207" s="19">
        <v>9.0043001E7</v>
      </c>
      <c r="H3207" s="15" t="s">
        <v>18</v>
      </c>
      <c r="I3207" s="20" t="s">
        <v>19</v>
      </c>
      <c r="J3207" s="21">
        <v>3.6324029E7</v>
      </c>
      <c r="K3207" s="21">
        <v>225.0</v>
      </c>
    </row>
    <row r="3208">
      <c r="A3208" s="15" t="s">
        <v>74</v>
      </c>
      <c r="B3208" s="16" t="s">
        <v>203</v>
      </c>
      <c r="C3208" s="17" t="s">
        <v>204</v>
      </c>
      <c r="D3208" s="18">
        <v>4.0</v>
      </c>
      <c r="E3208" s="17" t="s">
        <v>127</v>
      </c>
      <c r="F3208" s="15" t="s">
        <v>128</v>
      </c>
      <c r="G3208" s="19">
        <v>9.0043002E7</v>
      </c>
      <c r="H3208" s="15" t="s">
        <v>49</v>
      </c>
      <c r="I3208" s="20" t="s">
        <v>50</v>
      </c>
      <c r="J3208" s="21">
        <v>1.15741716E8</v>
      </c>
      <c r="K3208" s="21">
        <v>7095.0</v>
      </c>
    </row>
    <row r="3209">
      <c r="A3209" s="15" t="s">
        <v>74</v>
      </c>
      <c r="B3209" s="16" t="s">
        <v>203</v>
      </c>
      <c r="C3209" s="17" t="s">
        <v>204</v>
      </c>
      <c r="D3209" s="18">
        <v>4.0</v>
      </c>
      <c r="E3209" s="17" t="s">
        <v>127</v>
      </c>
      <c r="F3209" s="15" t="s">
        <v>128</v>
      </c>
      <c r="G3209" s="19">
        <v>9.0043E7</v>
      </c>
      <c r="H3209" s="15" t="s">
        <v>83</v>
      </c>
      <c r="I3209" s="20" t="s">
        <v>19</v>
      </c>
      <c r="J3209" s="21">
        <v>861350.0</v>
      </c>
      <c r="K3209" s="21">
        <v>4.8</v>
      </c>
    </row>
    <row r="3210">
      <c r="A3210" s="15" t="s">
        <v>74</v>
      </c>
      <c r="B3210" s="16" t="s">
        <v>203</v>
      </c>
      <c r="C3210" s="17" t="s">
        <v>204</v>
      </c>
      <c r="D3210" s="18">
        <v>4.0</v>
      </c>
      <c r="E3210" s="17" t="s">
        <v>129</v>
      </c>
      <c r="F3210" s="15" t="s">
        <v>130</v>
      </c>
      <c r="G3210" s="19">
        <v>5.1101056E7</v>
      </c>
      <c r="H3210" s="15" t="s">
        <v>16</v>
      </c>
      <c r="I3210" s="20" t="s">
        <v>17</v>
      </c>
      <c r="J3210" s="21">
        <v>9.0355435E7</v>
      </c>
      <c r="K3210" s="21">
        <v>320744.0</v>
      </c>
    </row>
    <row r="3211">
      <c r="A3211" s="15" t="s">
        <v>74</v>
      </c>
      <c r="B3211" s="16" t="s">
        <v>203</v>
      </c>
      <c r="C3211" s="17" t="s">
        <v>204</v>
      </c>
      <c r="D3211" s="18">
        <v>4.0</v>
      </c>
      <c r="E3211" s="17" t="s">
        <v>129</v>
      </c>
      <c r="F3211" s="15" t="s">
        <v>130</v>
      </c>
      <c r="G3211" s="19">
        <v>9.0043001E7</v>
      </c>
      <c r="H3211" s="15" t="s">
        <v>18</v>
      </c>
      <c r="I3211" s="20" t="s">
        <v>19</v>
      </c>
      <c r="J3211" s="21">
        <v>1.1488401E7</v>
      </c>
      <c r="K3211" s="21">
        <v>66.5</v>
      </c>
    </row>
    <row r="3212">
      <c r="A3212" s="15" t="s">
        <v>74</v>
      </c>
      <c r="B3212" s="16" t="s">
        <v>203</v>
      </c>
      <c r="C3212" s="17" t="s">
        <v>204</v>
      </c>
      <c r="D3212" s="18">
        <v>4.0</v>
      </c>
      <c r="E3212" s="17" t="s">
        <v>129</v>
      </c>
      <c r="F3212" s="15" t="s">
        <v>130</v>
      </c>
      <c r="G3212" s="19">
        <v>9.0043003E7</v>
      </c>
      <c r="H3212" s="15" t="s">
        <v>90</v>
      </c>
      <c r="I3212" s="20" t="s">
        <v>50</v>
      </c>
      <c r="J3212" s="21">
        <v>1.364664E7</v>
      </c>
      <c r="K3212" s="21">
        <v>28.0</v>
      </c>
    </row>
    <row r="3213">
      <c r="A3213" s="15" t="s">
        <v>74</v>
      </c>
      <c r="B3213" s="16" t="s">
        <v>203</v>
      </c>
      <c r="C3213" s="17" t="s">
        <v>204</v>
      </c>
      <c r="D3213" s="18">
        <v>4.0</v>
      </c>
      <c r="E3213" s="17" t="s">
        <v>131</v>
      </c>
      <c r="F3213" s="15" t="s">
        <v>132</v>
      </c>
      <c r="G3213" s="19">
        <v>9.0043001E7</v>
      </c>
      <c r="H3213" s="15" t="s">
        <v>18</v>
      </c>
      <c r="I3213" s="20" t="s">
        <v>19</v>
      </c>
      <c r="J3213" s="21">
        <v>1794892.0</v>
      </c>
      <c r="K3213" s="21">
        <v>9.5</v>
      </c>
    </row>
    <row r="3214">
      <c r="A3214" s="15" t="s">
        <v>74</v>
      </c>
      <c r="B3214" s="16" t="s">
        <v>203</v>
      </c>
      <c r="C3214" s="17" t="s">
        <v>204</v>
      </c>
      <c r="D3214" s="18">
        <v>4.0</v>
      </c>
      <c r="E3214" s="17" t="s">
        <v>135</v>
      </c>
      <c r="F3214" s="15" t="s">
        <v>136</v>
      </c>
      <c r="G3214" s="19">
        <v>9.0043001E7</v>
      </c>
      <c r="H3214" s="15" t="s">
        <v>18</v>
      </c>
      <c r="I3214" s="20" t="s">
        <v>19</v>
      </c>
      <c r="J3214" s="21">
        <v>2.6586175E7</v>
      </c>
      <c r="K3214" s="21">
        <v>167.0</v>
      </c>
    </row>
    <row r="3215">
      <c r="A3215" s="15" t="s">
        <v>74</v>
      </c>
      <c r="B3215" s="16" t="s">
        <v>203</v>
      </c>
      <c r="C3215" s="17" t="s">
        <v>204</v>
      </c>
      <c r="D3215" s="18">
        <v>4.0</v>
      </c>
      <c r="E3215" s="17" t="s">
        <v>162</v>
      </c>
      <c r="F3215" s="15" t="s">
        <v>163</v>
      </c>
      <c r="G3215" s="19">
        <v>9.0043001E7</v>
      </c>
      <c r="H3215" s="15" t="s">
        <v>18</v>
      </c>
      <c r="I3215" s="20" t="s">
        <v>19</v>
      </c>
      <c r="J3215" s="21">
        <v>3112502.0</v>
      </c>
      <c r="K3215" s="21">
        <v>19.7</v>
      </c>
    </row>
    <row r="3216">
      <c r="A3216" s="15" t="s">
        <v>74</v>
      </c>
      <c r="B3216" s="16" t="s">
        <v>203</v>
      </c>
      <c r="C3216" s="17" t="s">
        <v>204</v>
      </c>
      <c r="D3216" s="18">
        <v>4.0</v>
      </c>
      <c r="E3216" s="17" t="s">
        <v>162</v>
      </c>
      <c r="F3216" s="15" t="s">
        <v>163</v>
      </c>
      <c r="G3216" s="19">
        <v>9.0043E7</v>
      </c>
      <c r="H3216" s="15" t="s">
        <v>83</v>
      </c>
      <c r="I3216" s="20" t="s">
        <v>19</v>
      </c>
      <c r="J3216" s="21">
        <v>9624649.0</v>
      </c>
      <c r="K3216" s="21">
        <v>57.3</v>
      </c>
    </row>
    <row r="3217">
      <c r="A3217" s="15" t="s">
        <v>74</v>
      </c>
      <c r="B3217" s="16" t="s">
        <v>203</v>
      </c>
      <c r="C3217" s="17" t="s">
        <v>204</v>
      </c>
      <c r="D3217" s="18">
        <v>4.0</v>
      </c>
      <c r="E3217" s="17" t="s">
        <v>54</v>
      </c>
      <c r="F3217" s="15" t="s">
        <v>139</v>
      </c>
      <c r="G3217" s="19">
        <v>9.0042011E7</v>
      </c>
      <c r="H3217" s="15" t="s">
        <v>55</v>
      </c>
      <c r="I3217" s="20" t="s">
        <v>19</v>
      </c>
      <c r="J3217" s="21">
        <v>8.8240586E7</v>
      </c>
      <c r="K3217" s="21">
        <v>0.0</v>
      </c>
    </row>
    <row r="3218">
      <c r="A3218" s="15" t="s">
        <v>74</v>
      </c>
      <c r="B3218" s="16" t="s">
        <v>203</v>
      </c>
      <c r="C3218" s="17" t="s">
        <v>204</v>
      </c>
      <c r="D3218" s="18">
        <v>4.0</v>
      </c>
      <c r="E3218" s="17" t="s">
        <v>20</v>
      </c>
      <c r="F3218" s="15" t="s">
        <v>140</v>
      </c>
      <c r="G3218" s="19">
        <v>9.0042014E7</v>
      </c>
      <c r="H3218" s="15" t="s">
        <v>21</v>
      </c>
      <c r="I3218" s="20" t="s">
        <v>19</v>
      </c>
      <c r="J3218" s="21">
        <v>2.32132872E8</v>
      </c>
      <c r="K3218" s="21">
        <v>0.0</v>
      </c>
    </row>
    <row r="3219">
      <c r="A3219" s="15" t="s">
        <v>74</v>
      </c>
      <c r="B3219" s="16" t="s">
        <v>203</v>
      </c>
      <c r="C3219" s="17" t="s">
        <v>204</v>
      </c>
      <c r="D3219" s="18">
        <v>4.0</v>
      </c>
      <c r="E3219" s="17" t="s">
        <v>20</v>
      </c>
      <c r="F3219" s="15" t="s">
        <v>140</v>
      </c>
      <c r="G3219" s="19">
        <v>9.0042077E7</v>
      </c>
      <c r="H3219" s="15" t="s">
        <v>141</v>
      </c>
      <c r="I3219" s="20" t="s">
        <v>19</v>
      </c>
      <c r="J3219" s="21">
        <v>9.92062E7</v>
      </c>
      <c r="K3219" s="21">
        <v>0.0</v>
      </c>
    </row>
    <row r="3220">
      <c r="A3220" s="15" t="s">
        <v>74</v>
      </c>
      <c r="B3220" s="16" t="s">
        <v>203</v>
      </c>
      <c r="C3220" s="17" t="s">
        <v>204</v>
      </c>
      <c r="D3220" s="18">
        <v>4.0</v>
      </c>
      <c r="E3220" s="17" t="s">
        <v>142</v>
      </c>
      <c r="F3220" s="15" t="s">
        <v>143</v>
      </c>
      <c r="G3220" s="19">
        <v>9.0042013E7</v>
      </c>
      <c r="H3220" s="15" t="s">
        <v>144</v>
      </c>
      <c r="I3220" s="20" t="s">
        <v>19</v>
      </c>
      <c r="J3220" s="21">
        <v>4166791.0</v>
      </c>
      <c r="K3220" s="21">
        <v>0.0</v>
      </c>
    </row>
    <row r="3221">
      <c r="A3221" s="15" t="s">
        <v>74</v>
      </c>
      <c r="B3221" s="16" t="s">
        <v>203</v>
      </c>
      <c r="C3221" s="17" t="s">
        <v>204</v>
      </c>
      <c r="D3221" s="18">
        <v>4.0</v>
      </c>
      <c r="E3221" s="17" t="s">
        <v>142</v>
      </c>
      <c r="F3221" s="15" t="s">
        <v>143</v>
      </c>
      <c r="G3221" s="19">
        <v>9.0042084E7</v>
      </c>
      <c r="H3221" s="15" t="s">
        <v>145</v>
      </c>
      <c r="I3221" s="20" t="s">
        <v>19</v>
      </c>
      <c r="J3221" s="21">
        <v>1.5062335E7</v>
      </c>
      <c r="K3221" s="21">
        <v>0.0</v>
      </c>
    </row>
    <row r="3222">
      <c r="A3222" s="15" t="s">
        <v>74</v>
      </c>
      <c r="B3222" s="16" t="s">
        <v>203</v>
      </c>
      <c r="C3222" s="17" t="s">
        <v>204</v>
      </c>
      <c r="D3222" s="18">
        <v>4.0</v>
      </c>
      <c r="E3222" s="17" t="s">
        <v>22</v>
      </c>
      <c r="F3222" s="15" t="s">
        <v>146</v>
      </c>
      <c r="G3222" s="19">
        <v>9.0042012E7</v>
      </c>
      <c r="H3222" s="15" t="s">
        <v>23</v>
      </c>
      <c r="I3222" s="20" t="s">
        <v>19</v>
      </c>
      <c r="J3222" s="21">
        <v>1.23575806E8</v>
      </c>
      <c r="K3222" s="21">
        <v>0.0</v>
      </c>
    </row>
    <row r="3223">
      <c r="A3223" s="15" t="s">
        <v>74</v>
      </c>
      <c r="B3223" s="16" t="s">
        <v>203</v>
      </c>
      <c r="C3223" s="17" t="s">
        <v>204</v>
      </c>
      <c r="D3223" s="18">
        <v>4.0</v>
      </c>
      <c r="E3223" s="17" t="s">
        <v>22</v>
      </c>
      <c r="F3223" s="15" t="s">
        <v>146</v>
      </c>
      <c r="G3223" s="19">
        <v>9.0042121E7</v>
      </c>
      <c r="H3223" s="15" t="s">
        <v>24</v>
      </c>
      <c r="I3223" s="20" t="s">
        <v>25</v>
      </c>
      <c r="J3223" s="21">
        <v>1.56117293E8</v>
      </c>
      <c r="K3223" s="21">
        <v>0.0</v>
      </c>
    </row>
    <row r="3224">
      <c r="A3224" s="15" t="s">
        <v>74</v>
      </c>
      <c r="B3224" s="16" t="s">
        <v>203</v>
      </c>
      <c r="C3224" s="17" t="s">
        <v>204</v>
      </c>
      <c r="D3224" s="18">
        <v>4.0</v>
      </c>
      <c r="E3224" s="17" t="s">
        <v>22</v>
      </c>
      <c r="F3224" s="15" t="s">
        <v>146</v>
      </c>
      <c r="G3224" s="19">
        <v>9.0042122E7</v>
      </c>
      <c r="H3224" s="15" t="s">
        <v>56</v>
      </c>
      <c r="I3224" s="20" t="s">
        <v>25</v>
      </c>
      <c r="J3224" s="21">
        <v>2.219288E7</v>
      </c>
      <c r="K3224" s="21">
        <v>0.0</v>
      </c>
    </row>
    <row r="3225">
      <c r="A3225" s="15" t="s">
        <v>74</v>
      </c>
      <c r="B3225" s="16" t="s">
        <v>203</v>
      </c>
      <c r="C3225" s="17" t="s">
        <v>204</v>
      </c>
      <c r="D3225" s="18">
        <v>4.0</v>
      </c>
      <c r="E3225" s="17" t="s">
        <v>22</v>
      </c>
      <c r="F3225" s="15" t="s">
        <v>146</v>
      </c>
      <c r="G3225" s="19">
        <v>9.0042125E7</v>
      </c>
      <c r="H3225" s="15" t="s">
        <v>26</v>
      </c>
      <c r="I3225" s="20" t="s">
        <v>25</v>
      </c>
      <c r="J3225" s="21">
        <v>6.8347194E7</v>
      </c>
      <c r="K3225" s="21">
        <v>0.0</v>
      </c>
    </row>
    <row r="3226">
      <c r="A3226" s="15" t="s">
        <v>74</v>
      </c>
      <c r="B3226" s="16" t="s">
        <v>203</v>
      </c>
      <c r="C3226" s="17" t="s">
        <v>204</v>
      </c>
      <c r="D3226" s="18">
        <v>4.0</v>
      </c>
      <c r="E3226" s="17" t="s">
        <v>22</v>
      </c>
      <c r="F3226" s="15" t="s">
        <v>146</v>
      </c>
      <c r="G3226" s="19">
        <v>9.0042127E7</v>
      </c>
      <c r="H3226" s="15" t="s">
        <v>27</v>
      </c>
      <c r="I3226" s="20" t="s">
        <v>25</v>
      </c>
      <c r="J3226" s="21">
        <v>1.0278697E7</v>
      </c>
      <c r="K3226" s="21">
        <v>0.0</v>
      </c>
    </row>
    <row r="3227">
      <c r="A3227" s="15" t="s">
        <v>74</v>
      </c>
      <c r="B3227" s="16" t="s">
        <v>203</v>
      </c>
      <c r="C3227" s="17" t="s">
        <v>204</v>
      </c>
      <c r="D3227" s="18">
        <v>4.0</v>
      </c>
      <c r="E3227" s="17" t="s">
        <v>22</v>
      </c>
      <c r="F3227" s="15" t="s">
        <v>146</v>
      </c>
      <c r="G3227" s="19">
        <v>9.0042134E7</v>
      </c>
      <c r="H3227" s="15" t="s">
        <v>29</v>
      </c>
      <c r="I3227" s="20" t="s">
        <v>25</v>
      </c>
      <c r="J3227" s="21">
        <v>725000.0</v>
      </c>
      <c r="K3227" s="21">
        <v>0.0</v>
      </c>
    </row>
    <row r="3228">
      <c r="A3228" s="15" t="s">
        <v>74</v>
      </c>
      <c r="B3228" s="16" t="s">
        <v>203</v>
      </c>
      <c r="C3228" s="17" t="s">
        <v>204</v>
      </c>
      <c r="D3228" s="18">
        <v>4.0</v>
      </c>
      <c r="E3228" s="17" t="s">
        <v>22</v>
      </c>
      <c r="F3228" s="15" t="s">
        <v>146</v>
      </c>
      <c r="G3228" s="19">
        <v>9.0042135E7</v>
      </c>
      <c r="H3228" s="15" t="s">
        <v>30</v>
      </c>
      <c r="I3228" s="20" t="s">
        <v>25</v>
      </c>
      <c r="J3228" s="21">
        <v>2.31288116E8</v>
      </c>
      <c r="K3228" s="21">
        <v>0.0</v>
      </c>
    </row>
    <row r="3229">
      <c r="A3229" s="15" t="s">
        <v>74</v>
      </c>
      <c r="B3229" s="16" t="s">
        <v>203</v>
      </c>
      <c r="C3229" s="17" t="s">
        <v>204</v>
      </c>
      <c r="D3229" s="18">
        <v>4.0</v>
      </c>
      <c r="E3229" s="17" t="s">
        <v>22</v>
      </c>
      <c r="F3229" s="15" t="s">
        <v>146</v>
      </c>
      <c r="G3229" s="19">
        <v>9.00422E7</v>
      </c>
      <c r="H3229" s="15" t="s">
        <v>73</v>
      </c>
      <c r="I3229" s="20" t="s">
        <v>60</v>
      </c>
      <c r="J3229" s="21">
        <v>1.39650881E8</v>
      </c>
      <c r="K3229" s="21">
        <v>0.0</v>
      </c>
    </row>
    <row r="3230">
      <c r="A3230" s="15" t="s">
        <v>74</v>
      </c>
      <c r="B3230" s="16" t="s">
        <v>203</v>
      </c>
      <c r="C3230" s="17" t="s">
        <v>204</v>
      </c>
      <c r="D3230" s="18">
        <v>4.0</v>
      </c>
      <c r="E3230" s="17" t="s">
        <v>22</v>
      </c>
      <c r="F3230" s="15" t="s">
        <v>146</v>
      </c>
      <c r="G3230" s="19">
        <v>9.0042223E7</v>
      </c>
      <c r="H3230" s="15" t="s">
        <v>61</v>
      </c>
      <c r="I3230" s="20" t="s">
        <v>60</v>
      </c>
      <c r="J3230" s="21">
        <v>6647718.0</v>
      </c>
      <c r="K3230" s="21">
        <v>0.0</v>
      </c>
    </row>
    <row r="3231">
      <c r="A3231" s="15" t="s">
        <v>74</v>
      </c>
      <c r="B3231" s="16" t="s">
        <v>203</v>
      </c>
      <c r="C3231" s="17" t="s">
        <v>204</v>
      </c>
      <c r="D3231" s="18">
        <v>4.0</v>
      </c>
      <c r="E3231" s="17" t="s">
        <v>22</v>
      </c>
      <c r="F3231" s="15" t="s">
        <v>146</v>
      </c>
      <c r="G3231" s="19">
        <v>9.0042224E7</v>
      </c>
      <c r="H3231" s="15" t="s">
        <v>62</v>
      </c>
      <c r="I3231" s="20" t="s">
        <v>60</v>
      </c>
      <c r="J3231" s="21">
        <v>1130302.0</v>
      </c>
      <c r="K3231" s="21">
        <v>0.0</v>
      </c>
    </row>
    <row r="3232">
      <c r="A3232" s="15" t="s">
        <v>74</v>
      </c>
      <c r="B3232" s="16" t="s">
        <v>203</v>
      </c>
      <c r="C3232" s="17" t="s">
        <v>204</v>
      </c>
      <c r="D3232" s="18">
        <v>4.0</v>
      </c>
      <c r="E3232" s="17" t="s">
        <v>22</v>
      </c>
      <c r="F3232" s="15" t="s">
        <v>146</v>
      </c>
      <c r="G3232" s="19">
        <v>9.0042226E7</v>
      </c>
      <c r="H3232" s="15" t="s">
        <v>63</v>
      </c>
      <c r="I3232" s="20" t="s">
        <v>60</v>
      </c>
      <c r="J3232" s="21">
        <v>2065112.0</v>
      </c>
      <c r="K3232" s="21">
        <v>0.0</v>
      </c>
    </row>
    <row r="3233">
      <c r="A3233" s="15" t="s">
        <v>74</v>
      </c>
      <c r="B3233" s="16" t="s">
        <v>203</v>
      </c>
      <c r="C3233" s="17" t="s">
        <v>204</v>
      </c>
      <c r="D3233" s="18">
        <v>4.0</v>
      </c>
      <c r="E3233" s="17" t="s">
        <v>22</v>
      </c>
      <c r="F3233" s="15" t="s">
        <v>146</v>
      </c>
      <c r="G3233" s="19">
        <v>9.0042228E7</v>
      </c>
      <c r="H3233" s="15" t="s">
        <v>64</v>
      </c>
      <c r="I3233" s="20" t="s">
        <v>60</v>
      </c>
      <c r="J3233" s="21">
        <v>9.5889072E7</v>
      </c>
      <c r="K3233" s="21">
        <v>0.0</v>
      </c>
    </row>
    <row r="3234">
      <c r="A3234" s="15" t="s">
        <v>74</v>
      </c>
      <c r="B3234" s="16" t="s">
        <v>203</v>
      </c>
      <c r="C3234" s="17" t="s">
        <v>204</v>
      </c>
      <c r="D3234" s="18">
        <v>4.0</v>
      </c>
      <c r="E3234" s="17" t="s">
        <v>22</v>
      </c>
      <c r="F3234" s="15" t="s">
        <v>146</v>
      </c>
      <c r="G3234" s="19">
        <v>9.0042231E7</v>
      </c>
      <c r="H3234" s="15" t="s">
        <v>65</v>
      </c>
      <c r="I3234" s="20" t="s">
        <v>60</v>
      </c>
      <c r="J3234" s="21">
        <v>2182515.0</v>
      </c>
      <c r="K3234" s="21">
        <v>0.0</v>
      </c>
    </row>
    <row r="3235">
      <c r="A3235" s="15" t="s">
        <v>74</v>
      </c>
      <c r="B3235" s="16" t="s">
        <v>203</v>
      </c>
      <c r="C3235" s="17" t="s">
        <v>204</v>
      </c>
      <c r="D3235" s="18">
        <v>4.0</v>
      </c>
      <c r="E3235" s="17" t="s">
        <v>22</v>
      </c>
      <c r="F3235" s="15" t="s">
        <v>146</v>
      </c>
      <c r="G3235" s="19">
        <v>9.0042126E7</v>
      </c>
      <c r="H3235" s="15" t="s">
        <v>31</v>
      </c>
      <c r="I3235" s="20" t="s">
        <v>25</v>
      </c>
      <c r="J3235" s="21">
        <v>3.2735506E7</v>
      </c>
      <c r="K3235" s="21">
        <v>0.0</v>
      </c>
    </row>
    <row r="3236">
      <c r="A3236" s="15" t="s">
        <v>74</v>
      </c>
      <c r="B3236" s="16" t="s">
        <v>203</v>
      </c>
      <c r="C3236" s="17" t="s">
        <v>204</v>
      </c>
      <c r="D3236" s="18">
        <v>4.0</v>
      </c>
      <c r="E3236" s="17" t="s">
        <v>22</v>
      </c>
      <c r="F3236" s="15" t="s">
        <v>146</v>
      </c>
      <c r="G3236" s="19">
        <v>9.004212E7</v>
      </c>
      <c r="H3236" s="15" t="s">
        <v>182</v>
      </c>
      <c r="I3236" s="20" t="s">
        <v>25</v>
      </c>
      <c r="J3236" s="21">
        <v>8.3088E7</v>
      </c>
      <c r="K3236" s="21">
        <v>0.0</v>
      </c>
    </row>
    <row r="3237">
      <c r="A3237" s="15" t="s">
        <v>74</v>
      </c>
      <c r="B3237" s="16" t="s">
        <v>203</v>
      </c>
      <c r="C3237" s="17" t="s">
        <v>204</v>
      </c>
      <c r="D3237" s="18">
        <v>4.0</v>
      </c>
      <c r="E3237" s="17" t="s">
        <v>269</v>
      </c>
      <c r="F3237" s="15" t="s">
        <v>270</v>
      </c>
      <c r="G3237" s="19">
        <v>9.0043001E7</v>
      </c>
      <c r="H3237" s="15" t="s">
        <v>18</v>
      </c>
      <c r="I3237" s="20" t="s">
        <v>19</v>
      </c>
      <c r="J3237" s="21">
        <v>3972050.0</v>
      </c>
      <c r="K3237" s="21">
        <v>25.0</v>
      </c>
    </row>
    <row r="3238">
      <c r="A3238" s="15" t="s">
        <v>74</v>
      </c>
      <c r="B3238" s="16" t="s">
        <v>203</v>
      </c>
      <c r="C3238" s="17" t="s">
        <v>204</v>
      </c>
      <c r="D3238" s="18">
        <v>4.0</v>
      </c>
      <c r="E3238" s="17" t="s">
        <v>201</v>
      </c>
      <c r="F3238" s="15" t="s">
        <v>202</v>
      </c>
      <c r="G3238" s="19">
        <v>5.1100058E7</v>
      </c>
      <c r="H3238" s="15" t="s">
        <v>36</v>
      </c>
      <c r="I3238" s="20" t="s">
        <v>37</v>
      </c>
      <c r="J3238" s="21">
        <v>769577.0</v>
      </c>
      <c r="K3238" s="21">
        <v>8.64</v>
      </c>
    </row>
    <row r="3239">
      <c r="A3239" s="15" t="s">
        <v>74</v>
      </c>
      <c r="B3239" s="16" t="s">
        <v>212</v>
      </c>
      <c r="C3239" s="17" t="s">
        <v>213</v>
      </c>
      <c r="D3239" s="18">
        <v>4.0</v>
      </c>
      <c r="E3239" s="17" t="s">
        <v>84</v>
      </c>
      <c r="F3239" s="15" t="s">
        <v>85</v>
      </c>
      <c r="G3239" s="19">
        <v>9.0043001E7</v>
      </c>
      <c r="H3239" s="15" t="s">
        <v>18</v>
      </c>
      <c r="I3239" s="20" t="s">
        <v>19</v>
      </c>
      <c r="J3239" s="21">
        <v>2.7017456E7</v>
      </c>
      <c r="K3239" s="21">
        <v>174.0</v>
      </c>
    </row>
    <row r="3240">
      <c r="A3240" s="15" t="s">
        <v>74</v>
      </c>
      <c r="B3240" s="16" t="s">
        <v>212</v>
      </c>
      <c r="C3240" s="17" t="s">
        <v>213</v>
      </c>
      <c r="D3240" s="18">
        <v>4.0</v>
      </c>
      <c r="E3240" s="17" t="s">
        <v>86</v>
      </c>
      <c r="F3240" s="15" t="s">
        <v>87</v>
      </c>
      <c r="G3240" s="19">
        <v>9.0043001E7</v>
      </c>
      <c r="H3240" s="15" t="s">
        <v>18</v>
      </c>
      <c r="I3240" s="20" t="s">
        <v>19</v>
      </c>
      <c r="J3240" s="21">
        <v>2.2359042E7</v>
      </c>
      <c r="K3240" s="21">
        <v>137.0</v>
      </c>
    </row>
    <row r="3241">
      <c r="A3241" s="15" t="s">
        <v>74</v>
      </c>
      <c r="B3241" s="16" t="s">
        <v>212</v>
      </c>
      <c r="C3241" s="17" t="s">
        <v>213</v>
      </c>
      <c r="D3241" s="18">
        <v>4.0</v>
      </c>
      <c r="E3241" s="17" t="s">
        <v>91</v>
      </c>
      <c r="F3241" s="15" t="s">
        <v>92</v>
      </c>
      <c r="G3241" s="19">
        <v>9.0043001E7</v>
      </c>
      <c r="H3241" s="15" t="s">
        <v>18</v>
      </c>
      <c r="I3241" s="20" t="s">
        <v>19</v>
      </c>
      <c r="J3241" s="21">
        <v>5204667.0</v>
      </c>
      <c r="K3241" s="21">
        <v>32.0</v>
      </c>
    </row>
    <row r="3242">
      <c r="A3242" s="15" t="s">
        <v>74</v>
      </c>
      <c r="B3242" s="16" t="s">
        <v>212</v>
      </c>
      <c r="C3242" s="17" t="s">
        <v>213</v>
      </c>
      <c r="D3242" s="18">
        <v>4.0</v>
      </c>
      <c r="E3242" s="17" t="s">
        <v>91</v>
      </c>
      <c r="F3242" s="15" t="s">
        <v>92</v>
      </c>
      <c r="G3242" s="19">
        <v>9.0043E7</v>
      </c>
      <c r="H3242" s="15" t="s">
        <v>83</v>
      </c>
      <c r="I3242" s="20" t="s">
        <v>19</v>
      </c>
      <c r="J3242" s="21">
        <v>1689780.0</v>
      </c>
      <c r="K3242" s="21">
        <v>10.0</v>
      </c>
    </row>
    <row r="3243">
      <c r="A3243" s="15" t="s">
        <v>74</v>
      </c>
      <c r="B3243" s="16" t="s">
        <v>212</v>
      </c>
      <c r="C3243" s="17" t="s">
        <v>213</v>
      </c>
      <c r="D3243" s="18">
        <v>4.0</v>
      </c>
      <c r="E3243" s="17" t="s">
        <v>226</v>
      </c>
      <c r="F3243" s="15" t="s">
        <v>227</v>
      </c>
      <c r="G3243" s="19">
        <v>9.0043002E7</v>
      </c>
      <c r="H3243" s="15" t="s">
        <v>49</v>
      </c>
      <c r="I3243" s="20" t="s">
        <v>50</v>
      </c>
      <c r="J3243" s="21">
        <v>391161.0</v>
      </c>
      <c r="K3243" s="21">
        <v>30.0</v>
      </c>
    </row>
    <row r="3244">
      <c r="A3244" s="15" t="s">
        <v>74</v>
      </c>
      <c r="B3244" s="16" t="s">
        <v>212</v>
      </c>
      <c r="C3244" s="17" t="s">
        <v>213</v>
      </c>
      <c r="D3244" s="18">
        <v>4.0</v>
      </c>
      <c r="E3244" s="17" t="s">
        <v>189</v>
      </c>
      <c r="F3244" s="15" t="s">
        <v>190</v>
      </c>
      <c r="G3244" s="19">
        <v>9.0043E7</v>
      </c>
      <c r="H3244" s="15" t="s">
        <v>83</v>
      </c>
      <c r="I3244" s="20" t="s">
        <v>19</v>
      </c>
      <c r="J3244" s="21">
        <v>1305567.0</v>
      </c>
      <c r="K3244" s="21">
        <v>9.0</v>
      </c>
    </row>
    <row r="3245">
      <c r="A3245" s="15" t="s">
        <v>74</v>
      </c>
      <c r="B3245" s="16" t="s">
        <v>212</v>
      </c>
      <c r="C3245" s="17" t="s">
        <v>213</v>
      </c>
      <c r="D3245" s="18">
        <v>4.0</v>
      </c>
      <c r="E3245" s="17" t="s">
        <v>95</v>
      </c>
      <c r="F3245" s="15" t="s">
        <v>96</v>
      </c>
      <c r="G3245" s="19">
        <v>5.1100058E7</v>
      </c>
      <c r="H3245" s="15" t="s">
        <v>36</v>
      </c>
      <c r="I3245" s="20" t="s">
        <v>37</v>
      </c>
      <c r="J3245" s="21">
        <v>1.9938255E7</v>
      </c>
      <c r="K3245" s="21">
        <v>294.065</v>
      </c>
    </row>
    <row r="3246">
      <c r="A3246" s="15" t="s">
        <v>74</v>
      </c>
      <c r="B3246" s="16" t="s">
        <v>212</v>
      </c>
      <c r="C3246" s="17" t="s">
        <v>213</v>
      </c>
      <c r="D3246" s="18">
        <v>4.0</v>
      </c>
      <c r="E3246" s="17" t="s">
        <v>95</v>
      </c>
      <c r="F3246" s="15" t="s">
        <v>96</v>
      </c>
      <c r="G3246" s="19">
        <v>5.1101999E7</v>
      </c>
      <c r="H3246" s="15" t="s">
        <v>107</v>
      </c>
      <c r="I3246" s="20" t="s">
        <v>25</v>
      </c>
      <c r="J3246" s="21">
        <v>0.0</v>
      </c>
      <c r="K3246" s="21">
        <v>0.0</v>
      </c>
    </row>
    <row r="3247">
      <c r="A3247" s="15" t="s">
        <v>74</v>
      </c>
      <c r="B3247" s="16" t="s">
        <v>212</v>
      </c>
      <c r="C3247" s="17" t="s">
        <v>213</v>
      </c>
      <c r="D3247" s="18">
        <v>4.0</v>
      </c>
      <c r="E3247" s="17" t="s">
        <v>95</v>
      </c>
      <c r="F3247" s="15" t="s">
        <v>96</v>
      </c>
      <c r="G3247" s="19">
        <v>9.0043001E7</v>
      </c>
      <c r="H3247" s="15" t="s">
        <v>18</v>
      </c>
      <c r="I3247" s="20" t="s">
        <v>19</v>
      </c>
      <c r="J3247" s="21">
        <v>5.8706995E7</v>
      </c>
      <c r="K3247" s="21">
        <v>369.0</v>
      </c>
    </row>
    <row r="3248">
      <c r="A3248" s="15" t="s">
        <v>74</v>
      </c>
      <c r="B3248" s="16" t="s">
        <v>212</v>
      </c>
      <c r="C3248" s="17" t="s">
        <v>213</v>
      </c>
      <c r="D3248" s="18">
        <v>4.0</v>
      </c>
      <c r="E3248" s="17" t="s">
        <v>95</v>
      </c>
      <c r="F3248" s="15" t="s">
        <v>96</v>
      </c>
      <c r="G3248" s="19">
        <v>5.1100774E7</v>
      </c>
      <c r="H3248" s="15" t="s">
        <v>39</v>
      </c>
      <c r="I3248" s="20" t="s">
        <v>17</v>
      </c>
      <c r="J3248" s="21">
        <v>2238020.0</v>
      </c>
      <c r="K3248" s="21">
        <v>40.19</v>
      </c>
    </row>
    <row r="3249">
      <c r="A3249" s="15" t="s">
        <v>74</v>
      </c>
      <c r="B3249" s="16" t="s">
        <v>212</v>
      </c>
      <c r="C3249" s="17" t="s">
        <v>213</v>
      </c>
      <c r="D3249" s="18">
        <v>4.0</v>
      </c>
      <c r="E3249" s="17" t="s">
        <v>97</v>
      </c>
      <c r="F3249" s="15" t="s">
        <v>98</v>
      </c>
      <c r="G3249" s="19">
        <v>9.0043001E7</v>
      </c>
      <c r="H3249" s="15" t="s">
        <v>18</v>
      </c>
      <c r="I3249" s="20" t="s">
        <v>19</v>
      </c>
      <c r="J3249" s="21">
        <v>4213340.0</v>
      </c>
      <c r="K3249" s="21">
        <v>27.0</v>
      </c>
    </row>
    <row r="3250">
      <c r="A3250" s="15" t="s">
        <v>74</v>
      </c>
      <c r="B3250" s="16" t="s">
        <v>212</v>
      </c>
      <c r="C3250" s="17" t="s">
        <v>213</v>
      </c>
      <c r="D3250" s="18">
        <v>4.0</v>
      </c>
      <c r="E3250" s="17" t="s">
        <v>99</v>
      </c>
      <c r="F3250" s="15" t="s">
        <v>100</v>
      </c>
      <c r="G3250" s="19">
        <v>9.0043001E7</v>
      </c>
      <c r="H3250" s="15" t="s">
        <v>18</v>
      </c>
      <c r="I3250" s="20" t="s">
        <v>19</v>
      </c>
      <c r="J3250" s="21">
        <v>1.2190494E7</v>
      </c>
      <c r="K3250" s="21">
        <v>78.0</v>
      </c>
    </row>
    <row r="3251">
      <c r="A3251" s="15" t="s">
        <v>74</v>
      </c>
      <c r="B3251" s="16" t="s">
        <v>212</v>
      </c>
      <c r="C3251" s="17" t="s">
        <v>213</v>
      </c>
      <c r="D3251" s="18">
        <v>4.0</v>
      </c>
      <c r="E3251" s="17" t="s">
        <v>101</v>
      </c>
      <c r="F3251" s="15" t="s">
        <v>102</v>
      </c>
      <c r="G3251" s="19">
        <v>9.0043001E7</v>
      </c>
      <c r="H3251" s="15" t="s">
        <v>18</v>
      </c>
      <c r="I3251" s="20" t="s">
        <v>19</v>
      </c>
      <c r="J3251" s="21">
        <v>6.1523715E7</v>
      </c>
      <c r="K3251" s="21">
        <v>398.0</v>
      </c>
    </row>
    <row r="3252">
      <c r="A3252" s="15" t="s">
        <v>74</v>
      </c>
      <c r="B3252" s="16" t="s">
        <v>212</v>
      </c>
      <c r="C3252" s="17" t="s">
        <v>213</v>
      </c>
      <c r="D3252" s="18">
        <v>4.0</v>
      </c>
      <c r="E3252" s="17" t="s">
        <v>101</v>
      </c>
      <c r="F3252" s="15" t="s">
        <v>102</v>
      </c>
      <c r="G3252" s="19">
        <v>9.0043E7</v>
      </c>
      <c r="H3252" s="15" t="s">
        <v>83</v>
      </c>
      <c r="I3252" s="20" t="s">
        <v>19</v>
      </c>
      <c r="J3252" s="21">
        <v>2198287.0</v>
      </c>
      <c r="K3252" s="21">
        <v>14.0</v>
      </c>
    </row>
    <row r="3253">
      <c r="A3253" s="15" t="s">
        <v>74</v>
      </c>
      <c r="B3253" s="16" t="s">
        <v>212</v>
      </c>
      <c r="C3253" s="17" t="s">
        <v>213</v>
      </c>
      <c r="D3253" s="18">
        <v>4.0</v>
      </c>
      <c r="E3253" s="17" t="s">
        <v>103</v>
      </c>
      <c r="F3253" s="15" t="s">
        <v>104</v>
      </c>
      <c r="G3253" s="19">
        <v>5.1100058E7</v>
      </c>
      <c r="H3253" s="15" t="s">
        <v>36</v>
      </c>
      <c r="I3253" s="20" t="s">
        <v>37</v>
      </c>
      <c r="J3253" s="21">
        <v>0.0</v>
      </c>
      <c r="K3253" s="21">
        <v>0.0</v>
      </c>
    </row>
    <row r="3254">
      <c r="A3254" s="15" t="s">
        <v>74</v>
      </c>
      <c r="B3254" s="16" t="s">
        <v>212</v>
      </c>
      <c r="C3254" s="17" t="s">
        <v>213</v>
      </c>
      <c r="D3254" s="18">
        <v>4.0</v>
      </c>
      <c r="E3254" s="17" t="s">
        <v>105</v>
      </c>
      <c r="F3254" s="15" t="s">
        <v>106</v>
      </c>
      <c r="G3254" s="19">
        <v>5.1101999E7</v>
      </c>
      <c r="H3254" s="15" t="s">
        <v>107</v>
      </c>
      <c r="I3254" s="20" t="s">
        <v>25</v>
      </c>
      <c r="J3254" s="21">
        <v>0.0</v>
      </c>
      <c r="K3254" s="21">
        <v>0.0</v>
      </c>
    </row>
    <row r="3255">
      <c r="A3255" s="15" t="s">
        <v>74</v>
      </c>
      <c r="B3255" s="16" t="s">
        <v>212</v>
      </c>
      <c r="C3255" s="17" t="s">
        <v>213</v>
      </c>
      <c r="D3255" s="18">
        <v>4.0</v>
      </c>
      <c r="E3255" s="17" t="s">
        <v>105</v>
      </c>
      <c r="F3255" s="15" t="s">
        <v>106</v>
      </c>
      <c r="G3255" s="19">
        <v>5.1100774E7</v>
      </c>
      <c r="H3255" s="15" t="s">
        <v>39</v>
      </c>
      <c r="I3255" s="20" t="s">
        <v>17</v>
      </c>
      <c r="J3255" s="21">
        <v>150000.0</v>
      </c>
      <c r="K3255" s="21">
        <v>30.0</v>
      </c>
    </row>
    <row r="3256">
      <c r="A3256" s="15" t="s">
        <v>74</v>
      </c>
      <c r="B3256" s="16" t="s">
        <v>212</v>
      </c>
      <c r="C3256" s="17" t="s">
        <v>213</v>
      </c>
      <c r="D3256" s="18">
        <v>4.0</v>
      </c>
      <c r="E3256" s="17" t="s">
        <v>112</v>
      </c>
      <c r="F3256" s="15" t="s">
        <v>113</v>
      </c>
      <c r="G3256" s="19">
        <v>9.0043001E7</v>
      </c>
      <c r="H3256" s="15" t="s">
        <v>18</v>
      </c>
      <c r="I3256" s="20" t="s">
        <v>19</v>
      </c>
      <c r="J3256" s="21">
        <v>1788666.0</v>
      </c>
      <c r="K3256" s="21">
        <v>11.0</v>
      </c>
    </row>
    <row r="3257">
      <c r="A3257" s="15" t="s">
        <v>74</v>
      </c>
      <c r="B3257" s="16" t="s">
        <v>212</v>
      </c>
      <c r="C3257" s="17" t="s">
        <v>213</v>
      </c>
      <c r="D3257" s="18">
        <v>4.0</v>
      </c>
      <c r="E3257" s="17" t="s">
        <v>207</v>
      </c>
      <c r="F3257" s="15" t="s">
        <v>208</v>
      </c>
      <c r="G3257" s="19">
        <v>9.0043001E7</v>
      </c>
      <c r="H3257" s="15" t="s">
        <v>18</v>
      </c>
      <c r="I3257" s="20" t="s">
        <v>19</v>
      </c>
      <c r="J3257" s="21">
        <v>3515322.0</v>
      </c>
      <c r="K3257" s="21">
        <v>22.0</v>
      </c>
    </row>
    <row r="3258">
      <c r="A3258" s="15" t="s">
        <v>74</v>
      </c>
      <c r="B3258" s="16" t="s">
        <v>212</v>
      </c>
      <c r="C3258" s="17" t="s">
        <v>213</v>
      </c>
      <c r="D3258" s="18">
        <v>4.0</v>
      </c>
      <c r="E3258" s="17" t="s">
        <v>175</v>
      </c>
      <c r="F3258" s="15" t="s">
        <v>176</v>
      </c>
      <c r="G3258" s="19">
        <v>9.0043002E7</v>
      </c>
      <c r="H3258" s="15" t="s">
        <v>49</v>
      </c>
      <c r="I3258" s="20" t="s">
        <v>50</v>
      </c>
      <c r="J3258" s="21">
        <v>1629839.0</v>
      </c>
      <c r="K3258" s="21">
        <v>125.0</v>
      </c>
    </row>
    <row r="3259">
      <c r="A3259" s="15" t="s">
        <v>74</v>
      </c>
      <c r="B3259" s="16" t="s">
        <v>212</v>
      </c>
      <c r="C3259" s="17" t="s">
        <v>213</v>
      </c>
      <c r="D3259" s="18">
        <v>4.0</v>
      </c>
      <c r="E3259" s="17" t="s">
        <v>117</v>
      </c>
      <c r="F3259" s="15" t="s">
        <v>118</v>
      </c>
      <c r="G3259" s="19">
        <v>5.1100058E7</v>
      </c>
      <c r="H3259" s="15" t="s">
        <v>36</v>
      </c>
      <c r="I3259" s="20" t="s">
        <v>37</v>
      </c>
      <c r="J3259" s="21">
        <v>1.88488798E8</v>
      </c>
      <c r="K3259" s="21">
        <v>24093.86</v>
      </c>
    </row>
    <row r="3260">
      <c r="A3260" s="15" t="s">
        <v>74</v>
      </c>
      <c r="B3260" s="16" t="s">
        <v>212</v>
      </c>
      <c r="C3260" s="17" t="s">
        <v>213</v>
      </c>
      <c r="D3260" s="18">
        <v>4.0</v>
      </c>
      <c r="E3260" s="17" t="s">
        <v>117</v>
      </c>
      <c r="F3260" s="15" t="s">
        <v>118</v>
      </c>
      <c r="G3260" s="19">
        <v>5.1101999E7</v>
      </c>
      <c r="H3260" s="15" t="s">
        <v>107</v>
      </c>
      <c r="I3260" s="20" t="s">
        <v>25</v>
      </c>
      <c r="J3260" s="21">
        <v>0.0</v>
      </c>
      <c r="K3260" s="21">
        <v>0.0</v>
      </c>
    </row>
    <row r="3261">
      <c r="A3261" s="15" t="s">
        <v>74</v>
      </c>
      <c r="B3261" s="16" t="s">
        <v>212</v>
      </c>
      <c r="C3261" s="17" t="s">
        <v>213</v>
      </c>
      <c r="D3261" s="18">
        <v>4.0</v>
      </c>
      <c r="E3261" s="17" t="s">
        <v>117</v>
      </c>
      <c r="F3261" s="15" t="s">
        <v>118</v>
      </c>
      <c r="G3261" s="19">
        <v>9.0043001E7</v>
      </c>
      <c r="H3261" s="15" t="s">
        <v>18</v>
      </c>
      <c r="I3261" s="20" t="s">
        <v>19</v>
      </c>
      <c r="J3261" s="21">
        <v>5898031.0</v>
      </c>
      <c r="K3261" s="21">
        <v>37.0</v>
      </c>
    </row>
    <row r="3262">
      <c r="A3262" s="15" t="s">
        <v>74</v>
      </c>
      <c r="B3262" s="16" t="s">
        <v>212</v>
      </c>
      <c r="C3262" s="17" t="s">
        <v>213</v>
      </c>
      <c r="D3262" s="18">
        <v>4.0</v>
      </c>
      <c r="E3262" s="17" t="s">
        <v>117</v>
      </c>
      <c r="F3262" s="15" t="s">
        <v>118</v>
      </c>
      <c r="G3262" s="19">
        <v>5.1100774E7</v>
      </c>
      <c r="H3262" s="15" t="s">
        <v>39</v>
      </c>
      <c r="I3262" s="20" t="s">
        <v>17</v>
      </c>
      <c r="J3262" s="21">
        <v>1.9511579E7</v>
      </c>
      <c r="K3262" s="21">
        <v>72699.061</v>
      </c>
    </row>
    <row r="3263">
      <c r="A3263" s="15" t="s">
        <v>74</v>
      </c>
      <c r="B3263" s="16" t="s">
        <v>212</v>
      </c>
      <c r="C3263" s="17" t="s">
        <v>213</v>
      </c>
      <c r="D3263" s="18">
        <v>4.0</v>
      </c>
      <c r="E3263" s="17" t="s">
        <v>274</v>
      </c>
      <c r="F3263" s="15" t="s">
        <v>275</v>
      </c>
      <c r="G3263" s="19">
        <v>9.0043E7</v>
      </c>
      <c r="H3263" s="15" t="s">
        <v>83</v>
      </c>
      <c r="I3263" s="20" t="s">
        <v>19</v>
      </c>
      <c r="J3263" s="21">
        <v>725315.0</v>
      </c>
      <c r="K3263" s="21">
        <v>5.0</v>
      </c>
    </row>
    <row r="3264">
      <c r="A3264" s="15" t="s">
        <v>74</v>
      </c>
      <c r="B3264" s="16" t="s">
        <v>212</v>
      </c>
      <c r="C3264" s="17" t="s">
        <v>213</v>
      </c>
      <c r="D3264" s="18">
        <v>4.0</v>
      </c>
      <c r="E3264" s="17" t="s">
        <v>123</v>
      </c>
      <c r="F3264" s="15" t="s">
        <v>124</v>
      </c>
      <c r="G3264" s="19">
        <v>9.0043001E7</v>
      </c>
      <c r="H3264" s="15" t="s">
        <v>18</v>
      </c>
      <c r="I3264" s="20" t="s">
        <v>19</v>
      </c>
      <c r="J3264" s="21">
        <v>3742321.0</v>
      </c>
      <c r="K3264" s="21">
        <v>24.0</v>
      </c>
    </row>
    <row r="3265">
      <c r="A3265" s="15" t="s">
        <v>74</v>
      </c>
      <c r="B3265" s="16" t="s">
        <v>212</v>
      </c>
      <c r="C3265" s="17" t="s">
        <v>213</v>
      </c>
      <c r="D3265" s="18">
        <v>4.0</v>
      </c>
      <c r="E3265" s="17" t="s">
        <v>123</v>
      </c>
      <c r="F3265" s="15" t="s">
        <v>124</v>
      </c>
      <c r="G3265" s="19">
        <v>9.0043E7</v>
      </c>
      <c r="H3265" s="15" t="s">
        <v>83</v>
      </c>
      <c r="I3265" s="20" t="s">
        <v>19</v>
      </c>
      <c r="J3265" s="21">
        <v>1425142.0</v>
      </c>
      <c r="K3265" s="21">
        <v>9.0</v>
      </c>
    </row>
    <row r="3266">
      <c r="A3266" s="15" t="s">
        <v>74</v>
      </c>
      <c r="B3266" s="16" t="s">
        <v>212</v>
      </c>
      <c r="C3266" s="17" t="s">
        <v>213</v>
      </c>
      <c r="D3266" s="18">
        <v>4.0</v>
      </c>
      <c r="E3266" s="17" t="s">
        <v>125</v>
      </c>
      <c r="F3266" s="15" t="s">
        <v>126</v>
      </c>
      <c r="G3266" s="19">
        <v>9.0043001E7</v>
      </c>
      <c r="H3266" s="15" t="s">
        <v>18</v>
      </c>
      <c r="I3266" s="20" t="s">
        <v>19</v>
      </c>
      <c r="J3266" s="21">
        <v>2.71558785E8</v>
      </c>
      <c r="K3266" s="21">
        <v>1778.0</v>
      </c>
    </row>
    <row r="3267">
      <c r="A3267" s="15" t="s">
        <v>74</v>
      </c>
      <c r="B3267" s="16" t="s">
        <v>212</v>
      </c>
      <c r="C3267" s="17" t="s">
        <v>213</v>
      </c>
      <c r="D3267" s="18">
        <v>4.0</v>
      </c>
      <c r="E3267" s="17" t="s">
        <v>127</v>
      </c>
      <c r="F3267" s="15" t="s">
        <v>128</v>
      </c>
      <c r="G3267" s="19">
        <v>5.1100153E7</v>
      </c>
      <c r="H3267" s="15" t="s">
        <v>72</v>
      </c>
      <c r="I3267" s="20" t="s">
        <v>17</v>
      </c>
      <c r="J3267" s="21">
        <v>7.9624868E7</v>
      </c>
      <c r="K3267" s="21">
        <v>222108.877</v>
      </c>
    </row>
    <row r="3268">
      <c r="A3268" s="15" t="s">
        <v>74</v>
      </c>
      <c r="B3268" s="16" t="s">
        <v>212</v>
      </c>
      <c r="C3268" s="17" t="s">
        <v>213</v>
      </c>
      <c r="D3268" s="18">
        <v>4.0</v>
      </c>
      <c r="E3268" s="17" t="s">
        <v>127</v>
      </c>
      <c r="F3268" s="15" t="s">
        <v>128</v>
      </c>
      <c r="G3268" s="19">
        <v>9.0043002E7</v>
      </c>
      <c r="H3268" s="15" t="s">
        <v>49</v>
      </c>
      <c r="I3268" s="20" t="s">
        <v>50</v>
      </c>
      <c r="J3268" s="21">
        <v>2.2713414E7</v>
      </c>
      <c r="K3268" s="21">
        <v>1742.0</v>
      </c>
    </row>
    <row r="3269">
      <c r="A3269" s="15" t="s">
        <v>74</v>
      </c>
      <c r="B3269" s="16" t="s">
        <v>212</v>
      </c>
      <c r="C3269" s="17" t="s">
        <v>213</v>
      </c>
      <c r="D3269" s="18">
        <v>4.0</v>
      </c>
      <c r="E3269" s="17" t="s">
        <v>129</v>
      </c>
      <c r="F3269" s="15" t="s">
        <v>130</v>
      </c>
      <c r="G3269" s="19">
        <v>5.1101056E7</v>
      </c>
      <c r="H3269" s="15" t="s">
        <v>16</v>
      </c>
      <c r="I3269" s="20" t="s">
        <v>17</v>
      </c>
      <c r="J3269" s="21">
        <v>5.24634E7</v>
      </c>
      <c r="K3269" s="21">
        <v>476940.0</v>
      </c>
    </row>
    <row r="3270">
      <c r="A3270" s="15" t="s">
        <v>74</v>
      </c>
      <c r="B3270" s="16" t="s">
        <v>212</v>
      </c>
      <c r="C3270" s="17" t="s">
        <v>213</v>
      </c>
      <c r="D3270" s="18">
        <v>4.0</v>
      </c>
      <c r="E3270" s="17" t="s">
        <v>135</v>
      </c>
      <c r="F3270" s="15" t="s">
        <v>136</v>
      </c>
      <c r="G3270" s="19">
        <v>9.0043001E7</v>
      </c>
      <c r="H3270" s="15" t="s">
        <v>18</v>
      </c>
      <c r="I3270" s="20" t="s">
        <v>19</v>
      </c>
      <c r="J3270" s="21">
        <v>9845046.0</v>
      </c>
      <c r="K3270" s="21">
        <v>62.0</v>
      </c>
    </row>
    <row r="3271">
      <c r="A3271" s="15" t="s">
        <v>74</v>
      </c>
      <c r="B3271" s="16" t="s">
        <v>212</v>
      </c>
      <c r="C3271" s="17" t="s">
        <v>213</v>
      </c>
      <c r="D3271" s="18">
        <v>4.0</v>
      </c>
      <c r="E3271" s="17" t="s">
        <v>162</v>
      </c>
      <c r="F3271" s="15" t="s">
        <v>163</v>
      </c>
      <c r="G3271" s="19">
        <v>9.0043001E7</v>
      </c>
      <c r="H3271" s="15" t="s">
        <v>18</v>
      </c>
      <c r="I3271" s="20" t="s">
        <v>19</v>
      </c>
      <c r="J3271" s="21">
        <v>2.9317178E7</v>
      </c>
      <c r="K3271" s="21">
        <v>190.0</v>
      </c>
    </row>
    <row r="3272">
      <c r="A3272" s="15" t="s">
        <v>74</v>
      </c>
      <c r="B3272" s="16" t="s">
        <v>212</v>
      </c>
      <c r="C3272" s="17" t="s">
        <v>213</v>
      </c>
      <c r="D3272" s="18">
        <v>4.0</v>
      </c>
      <c r="E3272" s="17" t="s">
        <v>54</v>
      </c>
      <c r="F3272" s="15" t="s">
        <v>139</v>
      </c>
      <c r="G3272" s="19">
        <v>9.0042011E7</v>
      </c>
      <c r="H3272" s="15" t="s">
        <v>55</v>
      </c>
      <c r="I3272" s="20" t="s">
        <v>19</v>
      </c>
      <c r="J3272" s="21">
        <v>2.15285325E8</v>
      </c>
      <c r="K3272" s="21">
        <v>0.0</v>
      </c>
    </row>
    <row r="3273">
      <c r="A3273" s="15" t="s">
        <v>74</v>
      </c>
      <c r="B3273" s="16" t="s">
        <v>212</v>
      </c>
      <c r="C3273" s="17" t="s">
        <v>213</v>
      </c>
      <c r="D3273" s="18">
        <v>4.0</v>
      </c>
      <c r="E3273" s="17" t="s">
        <v>20</v>
      </c>
      <c r="F3273" s="15" t="s">
        <v>140</v>
      </c>
      <c r="G3273" s="19">
        <v>5.1100107E7</v>
      </c>
      <c r="H3273" s="15" t="s">
        <v>348</v>
      </c>
      <c r="I3273" s="20" t="s">
        <v>37</v>
      </c>
      <c r="J3273" s="21">
        <v>0.0</v>
      </c>
      <c r="K3273" s="21">
        <v>0.0</v>
      </c>
    </row>
    <row r="3274">
      <c r="A3274" s="15" t="s">
        <v>74</v>
      </c>
      <c r="B3274" s="16" t="s">
        <v>212</v>
      </c>
      <c r="C3274" s="17" t="s">
        <v>213</v>
      </c>
      <c r="D3274" s="18">
        <v>4.0</v>
      </c>
      <c r="E3274" s="17" t="s">
        <v>20</v>
      </c>
      <c r="F3274" s="15" t="s">
        <v>140</v>
      </c>
      <c r="G3274" s="19">
        <v>9.0042014E7</v>
      </c>
      <c r="H3274" s="15" t="s">
        <v>21</v>
      </c>
      <c r="I3274" s="20" t="s">
        <v>19</v>
      </c>
      <c r="J3274" s="21">
        <v>3.53334804E8</v>
      </c>
      <c r="K3274" s="21">
        <v>0.0</v>
      </c>
    </row>
    <row r="3275">
      <c r="A3275" s="15" t="s">
        <v>74</v>
      </c>
      <c r="B3275" s="16" t="s">
        <v>212</v>
      </c>
      <c r="C3275" s="17" t="s">
        <v>213</v>
      </c>
      <c r="D3275" s="18">
        <v>4.0</v>
      </c>
      <c r="E3275" s="17" t="s">
        <v>20</v>
      </c>
      <c r="F3275" s="15" t="s">
        <v>140</v>
      </c>
      <c r="G3275" s="19">
        <v>9.0042077E7</v>
      </c>
      <c r="H3275" s="15" t="s">
        <v>141</v>
      </c>
      <c r="I3275" s="20" t="s">
        <v>19</v>
      </c>
      <c r="J3275" s="21">
        <v>5.748622E7</v>
      </c>
      <c r="K3275" s="21">
        <v>0.0</v>
      </c>
    </row>
    <row r="3276">
      <c r="A3276" s="15" t="s">
        <v>74</v>
      </c>
      <c r="B3276" s="16" t="s">
        <v>212</v>
      </c>
      <c r="C3276" s="17" t="s">
        <v>213</v>
      </c>
      <c r="D3276" s="18">
        <v>4.0</v>
      </c>
      <c r="E3276" s="17" t="s">
        <v>142</v>
      </c>
      <c r="F3276" s="15" t="s">
        <v>143</v>
      </c>
      <c r="G3276" s="19">
        <v>9.0042084E7</v>
      </c>
      <c r="H3276" s="15" t="s">
        <v>145</v>
      </c>
      <c r="I3276" s="20" t="s">
        <v>19</v>
      </c>
      <c r="J3276" s="21">
        <v>1557175.0</v>
      </c>
      <c r="K3276" s="21">
        <v>0.0</v>
      </c>
    </row>
    <row r="3277">
      <c r="A3277" s="15" t="s">
        <v>74</v>
      </c>
      <c r="B3277" s="16" t="s">
        <v>212</v>
      </c>
      <c r="C3277" s="17" t="s">
        <v>213</v>
      </c>
      <c r="D3277" s="18">
        <v>4.0</v>
      </c>
      <c r="E3277" s="17" t="s">
        <v>22</v>
      </c>
      <c r="F3277" s="15" t="s">
        <v>146</v>
      </c>
      <c r="G3277" s="19">
        <v>9.0042012E7</v>
      </c>
      <c r="H3277" s="15" t="s">
        <v>23</v>
      </c>
      <c r="I3277" s="20" t="s">
        <v>19</v>
      </c>
      <c r="J3277" s="21">
        <v>1.50220814E8</v>
      </c>
      <c r="K3277" s="21">
        <v>0.0</v>
      </c>
    </row>
    <row r="3278">
      <c r="A3278" s="15" t="s">
        <v>74</v>
      </c>
      <c r="B3278" s="16" t="s">
        <v>212</v>
      </c>
      <c r="C3278" s="17" t="s">
        <v>213</v>
      </c>
      <c r="D3278" s="18">
        <v>4.0</v>
      </c>
      <c r="E3278" s="17" t="s">
        <v>22</v>
      </c>
      <c r="F3278" s="15" t="s">
        <v>146</v>
      </c>
      <c r="G3278" s="19">
        <v>9.0042121E7</v>
      </c>
      <c r="H3278" s="15" t="s">
        <v>24</v>
      </c>
      <c r="I3278" s="20" t="s">
        <v>25</v>
      </c>
      <c r="J3278" s="21">
        <v>1.41111954E8</v>
      </c>
      <c r="K3278" s="21">
        <v>0.0</v>
      </c>
    </row>
    <row r="3279">
      <c r="A3279" s="15" t="s">
        <v>74</v>
      </c>
      <c r="B3279" s="16" t="s">
        <v>212</v>
      </c>
      <c r="C3279" s="17" t="s">
        <v>213</v>
      </c>
      <c r="D3279" s="18">
        <v>4.0</v>
      </c>
      <c r="E3279" s="17" t="s">
        <v>22</v>
      </c>
      <c r="F3279" s="15" t="s">
        <v>146</v>
      </c>
      <c r="G3279" s="19">
        <v>9.0042122E7</v>
      </c>
      <c r="H3279" s="15" t="s">
        <v>56</v>
      </c>
      <c r="I3279" s="20" t="s">
        <v>25</v>
      </c>
      <c r="J3279" s="21">
        <v>5.3194232E7</v>
      </c>
      <c r="K3279" s="21">
        <v>0.0</v>
      </c>
    </row>
    <row r="3280">
      <c r="A3280" s="15" t="s">
        <v>74</v>
      </c>
      <c r="B3280" s="16" t="s">
        <v>212</v>
      </c>
      <c r="C3280" s="17" t="s">
        <v>213</v>
      </c>
      <c r="D3280" s="18">
        <v>4.0</v>
      </c>
      <c r="E3280" s="17" t="s">
        <v>22</v>
      </c>
      <c r="F3280" s="15" t="s">
        <v>146</v>
      </c>
      <c r="G3280" s="19">
        <v>9.0042124E7</v>
      </c>
      <c r="H3280" s="15" t="s">
        <v>57</v>
      </c>
      <c r="I3280" s="20" t="s">
        <v>25</v>
      </c>
      <c r="J3280" s="21">
        <v>1.5544255E7</v>
      </c>
      <c r="K3280" s="21">
        <v>0.0</v>
      </c>
    </row>
    <row r="3281">
      <c r="A3281" s="15" t="s">
        <v>74</v>
      </c>
      <c r="B3281" s="16" t="s">
        <v>212</v>
      </c>
      <c r="C3281" s="17" t="s">
        <v>213</v>
      </c>
      <c r="D3281" s="18">
        <v>4.0</v>
      </c>
      <c r="E3281" s="17" t="s">
        <v>22</v>
      </c>
      <c r="F3281" s="15" t="s">
        <v>146</v>
      </c>
      <c r="G3281" s="19">
        <v>9.0042125E7</v>
      </c>
      <c r="H3281" s="15" t="s">
        <v>26</v>
      </c>
      <c r="I3281" s="20" t="s">
        <v>25</v>
      </c>
      <c r="J3281" s="21">
        <v>6.36181E7</v>
      </c>
      <c r="K3281" s="21">
        <v>0.0</v>
      </c>
    </row>
    <row r="3282">
      <c r="A3282" s="15" t="s">
        <v>74</v>
      </c>
      <c r="B3282" s="16" t="s">
        <v>212</v>
      </c>
      <c r="C3282" s="17" t="s">
        <v>213</v>
      </c>
      <c r="D3282" s="18">
        <v>4.0</v>
      </c>
      <c r="E3282" s="17" t="s">
        <v>22</v>
      </c>
      <c r="F3282" s="15" t="s">
        <v>146</v>
      </c>
      <c r="G3282" s="19">
        <v>9.0042127E7</v>
      </c>
      <c r="H3282" s="15" t="s">
        <v>27</v>
      </c>
      <c r="I3282" s="20" t="s">
        <v>25</v>
      </c>
      <c r="J3282" s="21">
        <v>4.7757104E7</v>
      </c>
      <c r="K3282" s="21">
        <v>0.0</v>
      </c>
    </row>
    <row r="3283">
      <c r="A3283" s="15" t="s">
        <v>74</v>
      </c>
      <c r="B3283" s="16" t="s">
        <v>212</v>
      </c>
      <c r="C3283" s="17" t="s">
        <v>213</v>
      </c>
      <c r="D3283" s="18">
        <v>4.0</v>
      </c>
      <c r="E3283" s="17" t="s">
        <v>22</v>
      </c>
      <c r="F3283" s="15" t="s">
        <v>146</v>
      </c>
      <c r="G3283" s="19">
        <v>9.0042132E7</v>
      </c>
      <c r="H3283" s="15" t="s">
        <v>28</v>
      </c>
      <c r="I3283" s="20" t="s">
        <v>25</v>
      </c>
      <c r="J3283" s="21">
        <v>6346800.0</v>
      </c>
      <c r="K3283" s="21">
        <v>0.0</v>
      </c>
    </row>
    <row r="3284">
      <c r="A3284" s="15" t="s">
        <v>74</v>
      </c>
      <c r="B3284" s="16" t="s">
        <v>212</v>
      </c>
      <c r="C3284" s="17" t="s">
        <v>213</v>
      </c>
      <c r="D3284" s="18">
        <v>4.0</v>
      </c>
      <c r="E3284" s="17" t="s">
        <v>22</v>
      </c>
      <c r="F3284" s="15" t="s">
        <v>146</v>
      </c>
      <c r="G3284" s="19">
        <v>9.0042134E7</v>
      </c>
      <c r="H3284" s="15" t="s">
        <v>29</v>
      </c>
      <c r="I3284" s="20" t="s">
        <v>25</v>
      </c>
      <c r="J3284" s="21">
        <v>2706200.0</v>
      </c>
      <c r="K3284" s="21">
        <v>0.0</v>
      </c>
    </row>
    <row r="3285">
      <c r="A3285" s="15" t="s">
        <v>74</v>
      </c>
      <c r="B3285" s="16" t="s">
        <v>212</v>
      </c>
      <c r="C3285" s="17" t="s">
        <v>213</v>
      </c>
      <c r="D3285" s="18">
        <v>4.0</v>
      </c>
      <c r="E3285" s="17" t="s">
        <v>22</v>
      </c>
      <c r="F3285" s="15" t="s">
        <v>146</v>
      </c>
      <c r="G3285" s="19">
        <v>9.0042135E7</v>
      </c>
      <c r="H3285" s="15" t="s">
        <v>30</v>
      </c>
      <c r="I3285" s="20" t="s">
        <v>25</v>
      </c>
      <c r="J3285" s="21">
        <v>2.17293172E8</v>
      </c>
      <c r="K3285" s="21">
        <v>0.0</v>
      </c>
    </row>
    <row r="3286">
      <c r="A3286" s="15" t="s">
        <v>74</v>
      </c>
      <c r="B3286" s="16" t="s">
        <v>212</v>
      </c>
      <c r="C3286" s="17" t="s">
        <v>213</v>
      </c>
      <c r="D3286" s="18">
        <v>4.0</v>
      </c>
      <c r="E3286" s="17" t="s">
        <v>22</v>
      </c>
      <c r="F3286" s="15" t="s">
        <v>146</v>
      </c>
      <c r="G3286" s="19">
        <v>9.00422E7</v>
      </c>
      <c r="H3286" s="15" t="s">
        <v>73</v>
      </c>
      <c r="I3286" s="20" t="s">
        <v>60</v>
      </c>
      <c r="J3286" s="21">
        <v>8.8449163E7</v>
      </c>
      <c r="K3286" s="21">
        <v>0.0</v>
      </c>
    </row>
    <row r="3287">
      <c r="A3287" s="15" t="s">
        <v>74</v>
      </c>
      <c r="B3287" s="16" t="s">
        <v>212</v>
      </c>
      <c r="C3287" s="17" t="s">
        <v>213</v>
      </c>
      <c r="D3287" s="18">
        <v>4.0</v>
      </c>
      <c r="E3287" s="17" t="s">
        <v>22</v>
      </c>
      <c r="F3287" s="15" t="s">
        <v>146</v>
      </c>
      <c r="G3287" s="19">
        <v>9.0042223E7</v>
      </c>
      <c r="H3287" s="15" t="s">
        <v>61</v>
      </c>
      <c r="I3287" s="20" t="s">
        <v>60</v>
      </c>
      <c r="J3287" s="21">
        <v>1.631165E7</v>
      </c>
      <c r="K3287" s="21">
        <v>0.0</v>
      </c>
    </row>
    <row r="3288">
      <c r="A3288" s="15" t="s">
        <v>74</v>
      </c>
      <c r="B3288" s="16" t="s">
        <v>212</v>
      </c>
      <c r="C3288" s="17" t="s">
        <v>213</v>
      </c>
      <c r="D3288" s="18">
        <v>4.0</v>
      </c>
      <c r="E3288" s="17" t="s">
        <v>22</v>
      </c>
      <c r="F3288" s="15" t="s">
        <v>146</v>
      </c>
      <c r="G3288" s="19">
        <v>9.0042224E7</v>
      </c>
      <c r="H3288" s="15" t="s">
        <v>62</v>
      </c>
      <c r="I3288" s="20" t="s">
        <v>60</v>
      </c>
      <c r="J3288" s="21">
        <v>1.0689243E7</v>
      </c>
      <c r="K3288" s="21">
        <v>0.0</v>
      </c>
    </row>
    <row r="3289">
      <c r="A3289" s="15" t="s">
        <v>74</v>
      </c>
      <c r="B3289" s="16" t="s">
        <v>212</v>
      </c>
      <c r="C3289" s="17" t="s">
        <v>213</v>
      </c>
      <c r="D3289" s="18">
        <v>4.0</v>
      </c>
      <c r="E3289" s="17" t="s">
        <v>22</v>
      </c>
      <c r="F3289" s="15" t="s">
        <v>146</v>
      </c>
      <c r="G3289" s="19">
        <v>9.0042225E7</v>
      </c>
      <c r="H3289" s="15" t="s">
        <v>147</v>
      </c>
      <c r="I3289" s="20" t="s">
        <v>60</v>
      </c>
      <c r="J3289" s="21">
        <v>2400083.0</v>
      </c>
      <c r="K3289" s="21">
        <v>0.0</v>
      </c>
    </row>
    <row r="3290">
      <c r="A3290" s="15" t="s">
        <v>74</v>
      </c>
      <c r="B3290" s="16" t="s">
        <v>212</v>
      </c>
      <c r="C3290" s="17" t="s">
        <v>213</v>
      </c>
      <c r="D3290" s="18">
        <v>4.0</v>
      </c>
      <c r="E3290" s="17" t="s">
        <v>22</v>
      </c>
      <c r="F3290" s="15" t="s">
        <v>146</v>
      </c>
      <c r="G3290" s="19">
        <v>9.0042226E7</v>
      </c>
      <c r="H3290" s="15" t="s">
        <v>63</v>
      </c>
      <c r="I3290" s="20" t="s">
        <v>60</v>
      </c>
      <c r="J3290" s="21">
        <v>236666.0</v>
      </c>
      <c r="K3290" s="21">
        <v>0.0</v>
      </c>
    </row>
    <row r="3291">
      <c r="A3291" s="15" t="s">
        <v>74</v>
      </c>
      <c r="B3291" s="16" t="s">
        <v>212</v>
      </c>
      <c r="C3291" s="17" t="s">
        <v>213</v>
      </c>
      <c r="D3291" s="18">
        <v>4.0</v>
      </c>
      <c r="E3291" s="17" t="s">
        <v>22</v>
      </c>
      <c r="F3291" s="15" t="s">
        <v>146</v>
      </c>
      <c r="G3291" s="19">
        <v>9.0042228E7</v>
      </c>
      <c r="H3291" s="15" t="s">
        <v>64</v>
      </c>
      <c r="I3291" s="20" t="s">
        <v>60</v>
      </c>
      <c r="J3291" s="21">
        <v>1.07609313E8</v>
      </c>
      <c r="K3291" s="21">
        <v>0.0</v>
      </c>
    </row>
    <row r="3292">
      <c r="A3292" s="15" t="s">
        <v>74</v>
      </c>
      <c r="B3292" s="16" t="s">
        <v>212</v>
      </c>
      <c r="C3292" s="17" t="s">
        <v>213</v>
      </c>
      <c r="D3292" s="18">
        <v>4.0</v>
      </c>
      <c r="E3292" s="17" t="s">
        <v>22</v>
      </c>
      <c r="F3292" s="15" t="s">
        <v>146</v>
      </c>
      <c r="G3292" s="19">
        <v>9.0042231E7</v>
      </c>
      <c r="H3292" s="15" t="s">
        <v>65</v>
      </c>
      <c r="I3292" s="20" t="s">
        <v>60</v>
      </c>
      <c r="J3292" s="21">
        <v>6521694.0</v>
      </c>
      <c r="K3292" s="21">
        <v>0.0</v>
      </c>
    </row>
    <row r="3293">
      <c r="A3293" s="15" t="s">
        <v>74</v>
      </c>
      <c r="B3293" s="16" t="s">
        <v>212</v>
      </c>
      <c r="C3293" s="17" t="s">
        <v>213</v>
      </c>
      <c r="D3293" s="18">
        <v>4.0</v>
      </c>
      <c r="E3293" s="17" t="s">
        <v>22</v>
      </c>
      <c r="F3293" s="15" t="s">
        <v>146</v>
      </c>
      <c r="G3293" s="19">
        <v>9.0042126E7</v>
      </c>
      <c r="H3293" s="15" t="s">
        <v>31</v>
      </c>
      <c r="I3293" s="20" t="s">
        <v>25</v>
      </c>
      <c r="J3293" s="21">
        <v>4.132161E7</v>
      </c>
      <c r="K3293" s="21">
        <v>0.0</v>
      </c>
    </row>
    <row r="3294">
      <c r="A3294" s="15" t="s">
        <v>74</v>
      </c>
      <c r="B3294" s="16" t="s">
        <v>212</v>
      </c>
      <c r="C3294" s="17" t="s">
        <v>213</v>
      </c>
      <c r="D3294" s="18">
        <v>4.0</v>
      </c>
      <c r="E3294" s="17" t="s">
        <v>22</v>
      </c>
      <c r="F3294" s="15" t="s">
        <v>146</v>
      </c>
      <c r="G3294" s="19">
        <v>9.004212E7</v>
      </c>
      <c r="H3294" s="15" t="s">
        <v>182</v>
      </c>
      <c r="I3294" s="20" t="s">
        <v>25</v>
      </c>
      <c r="J3294" s="21">
        <v>9.3048E7</v>
      </c>
      <c r="K3294" s="21">
        <v>0.0</v>
      </c>
    </row>
    <row r="3295">
      <c r="A3295" s="15" t="s">
        <v>74</v>
      </c>
      <c r="B3295" s="16" t="s">
        <v>212</v>
      </c>
      <c r="C3295" s="17" t="s">
        <v>213</v>
      </c>
      <c r="D3295" s="18">
        <v>4.0</v>
      </c>
      <c r="E3295" s="17" t="s">
        <v>22</v>
      </c>
      <c r="F3295" s="15" t="s">
        <v>146</v>
      </c>
      <c r="G3295" s="19">
        <v>9.0042145E7</v>
      </c>
      <c r="H3295" s="15" t="s">
        <v>215</v>
      </c>
      <c r="I3295" s="20" t="s">
        <v>25</v>
      </c>
      <c r="J3295" s="21">
        <v>1385000.0</v>
      </c>
      <c r="K3295" s="21">
        <v>0.0</v>
      </c>
    </row>
    <row r="3296">
      <c r="A3296" s="15" t="s">
        <v>74</v>
      </c>
      <c r="B3296" s="16" t="s">
        <v>212</v>
      </c>
      <c r="C3296" s="17" t="s">
        <v>213</v>
      </c>
      <c r="D3296" s="18">
        <v>4.0</v>
      </c>
      <c r="E3296" s="17" t="s">
        <v>218</v>
      </c>
      <c r="F3296" s="15" t="s">
        <v>219</v>
      </c>
      <c r="G3296" s="19">
        <v>9.0043001E7</v>
      </c>
      <c r="H3296" s="15" t="s">
        <v>18</v>
      </c>
      <c r="I3296" s="20" t="s">
        <v>19</v>
      </c>
      <c r="J3296" s="21">
        <v>7931993.0</v>
      </c>
      <c r="K3296" s="21">
        <v>49.0</v>
      </c>
    </row>
    <row r="3297">
      <c r="A3297" s="15" t="s">
        <v>74</v>
      </c>
      <c r="B3297" s="16" t="s">
        <v>212</v>
      </c>
      <c r="C3297" s="17" t="s">
        <v>213</v>
      </c>
      <c r="D3297" s="18">
        <v>4.0</v>
      </c>
      <c r="E3297" s="17" t="s">
        <v>257</v>
      </c>
      <c r="F3297" s="15" t="s">
        <v>258</v>
      </c>
      <c r="G3297" s="19">
        <v>5.1101999E7</v>
      </c>
      <c r="H3297" s="15" t="s">
        <v>107</v>
      </c>
      <c r="I3297" s="20" t="s">
        <v>25</v>
      </c>
      <c r="J3297" s="21">
        <v>0.0</v>
      </c>
      <c r="K3297" s="21">
        <v>0.0</v>
      </c>
    </row>
    <row r="3298">
      <c r="A3298" s="15" t="s">
        <v>74</v>
      </c>
      <c r="B3298" s="16" t="s">
        <v>212</v>
      </c>
      <c r="C3298" s="17" t="s">
        <v>213</v>
      </c>
      <c r="D3298" s="18">
        <v>4.0</v>
      </c>
      <c r="E3298" s="17" t="s">
        <v>257</v>
      </c>
      <c r="F3298" s="15" t="s">
        <v>258</v>
      </c>
      <c r="G3298" s="19">
        <v>9.0043002E7</v>
      </c>
      <c r="H3298" s="15" t="s">
        <v>49</v>
      </c>
      <c r="I3298" s="20" t="s">
        <v>50</v>
      </c>
      <c r="J3298" s="21">
        <v>1825418.0</v>
      </c>
      <c r="K3298" s="21">
        <v>140.0</v>
      </c>
    </row>
    <row r="3299">
      <c r="A3299" s="15" t="s">
        <v>74</v>
      </c>
      <c r="B3299" s="16" t="s">
        <v>212</v>
      </c>
      <c r="C3299" s="17" t="s">
        <v>213</v>
      </c>
      <c r="D3299" s="18">
        <v>4.0</v>
      </c>
      <c r="E3299" s="17" t="s">
        <v>257</v>
      </c>
      <c r="F3299" s="15" t="s">
        <v>258</v>
      </c>
      <c r="G3299" s="19">
        <v>5.1100774E7</v>
      </c>
      <c r="H3299" s="15" t="s">
        <v>39</v>
      </c>
      <c r="I3299" s="20" t="s">
        <v>17</v>
      </c>
      <c r="J3299" s="21">
        <v>922950.0</v>
      </c>
      <c r="K3299" s="21">
        <v>184.59</v>
      </c>
    </row>
    <row r="3300">
      <c r="A3300" s="15" t="s">
        <v>74</v>
      </c>
      <c r="B3300" s="16" t="s">
        <v>212</v>
      </c>
      <c r="C3300" s="17" t="s">
        <v>213</v>
      </c>
      <c r="D3300" s="18">
        <v>4.0</v>
      </c>
      <c r="E3300" s="17" t="s">
        <v>292</v>
      </c>
      <c r="F3300" s="15" t="s">
        <v>293</v>
      </c>
      <c r="G3300" s="19">
        <v>9.0043002E7</v>
      </c>
      <c r="H3300" s="15" t="s">
        <v>49</v>
      </c>
      <c r="I3300" s="20" t="s">
        <v>50</v>
      </c>
      <c r="J3300" s="21">
        <v>570675.0</v>
      </c>
      <c r="K3300" s="21">
        <v>15.0</v>
      </c>
    </row>
    <row r="3301">
      <c r="A3301" s="15" t="s">
        <v>74</v>
      </c>
      <c r="B3301" s="16" t="s">
        <v>220</v>
      </c>
      <c r="C3301" s="17" t="s">
        <v>221</v>
      </c>
      <c r="D3301" s="18">
        <v>4.0</v>
      </c>
      <c r="E3301" s="17" t="s">
        <v>77</v>
      </c>
      <c r="F3301" s="15" t="s">
        <v>78</v>
      </c>
      <c r="G3301" s="19">
        <v>5.1101056E7</v>
      </c>
      <c r="H3301" s="15" t="s">
        <v>16</v>
      </c>
      <c r="I3301" s="20" t="s">
        <v>17</v>
      </c>
      <c r="J3301" s="21">
        <v>9988900.0</v>
      </c>
      <c r="K3301" s="21">
        <v>37231.0</v>
      </c>
    </row>
    <row r="3302">
      <c r="A3302" s="15" t="s">
        <v>74</v>
      </c>
      <c r="B3302" s="16" t="s">
        <v>220</v>
      </c>
      <c r="C3302" s="17" t="s">
        <v>221</v>
      </c>
      <c r="D3302" s="18">
        <v>4.0</v>
      </c>
      <c r="E3302" s="17" t="s">
        <v>77</v>
      </c>
      <c r="F3302" s="15" t="s">
        <v>78</v>
      </c>
      <c r="G3302" s="19">
        <v>9.0043001E7</v>
      </c>
      <c r="H3302" s="15" t="s">
        <v>18</v>
      </c>
      <c r="I3302" s="20" t="s">
        <v>19</v>
      </c>
      <c r="J3302" s="21">
        <v>1.4965989E7</v>
      </c>
      <c r="K3302" s="21">
        <v>71.0</v>
      </c>
    </row>
    <row r="3303">
      <c r="A3303" s="15" t="s">
        <v>74</v>
      </c>
      <c r="B3303" s="16" t="s">
        <v>220</v>
      </c>
      <c r="C3303" s="17" t="s">
        <v>221</v>
      </c>
      <c r="D3303" s="18">
        <v>4.0</v>
      </c>
      <c r="E3303" s="17" t="s">
        <v>222</v>
      </c>
      <c r="F3303" s="15" t="s">
        <v>223</v>
      </c>
      <c r="G3303" s="19">
        <v>5.1100153E7</v>
      </c>
      <c r="H3303" s="15" t="s">
        <v>72</v>
      </c>
      <c r="I3303" s="20" t="s">
        <v>17</v>
      </c>
      <c r="J3303" s="21">
        <v>3.4229097E7</v>
      </c>
      <c r="K3303" s="21">
        <v>110570.0</v>
      </c>
    </row>
    <row r="3304">
      <c r="A3304" s="15" t="s">
        <v>74</v>
      </c>
      <c r="B3304" s="16" t="s">
        <v>220</v>
      </c>
      <c r="C3304" s="17" t="s">
        <v>221</v>
      </c>
      <c r="D3304" s="18">
        <v>4.0</v>
      </c>
      <c r="E3304" s="17" t="s">
        <v>81</v>
      </c>
      <c r="F3304" s="15" t="s">
        <v>82</v>
      </c>
      <c r="G3304" s="19">
        <v>9.0043001E7</v>
      </c>
      <c r="H3304" s="15" t="s">
        <v>18</v>
      </c>
      <c r="I3304" s="20" t="s">
        <v>19</v>
      </c>
      <c r="J3304" s="21">
        <v>6269436.0</v>
      </c>
      <c r="K3304" s="21">
        <v>36.0</v>
      </c>
    </row>
    <row r="3305">
      <c r="A3305" s="15" t="s">
        <v>74</v>
      </c>
      <c r="B3305" s="16" t="s">
        <v>220</v>
      </c>
      <c r="C3305" s="17" t="s">
        <v>221</v>
      </c>
      <c r="D3305" s="18">
        <v>4.0</v>
      </c>
      <c r="E3305" s="17" t="s">
        <v>95</v>
      </c>
      <c r="F3305" s="15" t="s">
        <v>96</v>
      </c>
      <c r="G3305" s="19">
        <v>5.1100058E7</v>
      </c>
      <c r="H3305" s="15" t="s">
        <v>36</v>
      </c>
      <c r="I3305" s="20" t="s">
        <v>37</v>
      </c>
      <c r="J3305" s="21">
        <v>1.9661528E7</v>
      </c>
      <c r="K3305" s="21">
        <v>298.89</v>
      </c>
    </row>
    <row r="3306">
      <c r="A3306" s="15" t="s">
        <v>74</v>
      </c>
      <c r="B3306" s="16" t="s">
        <v>220</v>
      </c>
      <c r="C3306" s="17" t="s">
        <v>221</v>
      </c>
      <c r="D3306" s="18">
        <v>4.0</v>
      </c>
      <c r="E3306" s="17" t="s">
        <v>95</v>
      </c>
      <c r="F3306" s="15" t="s">
        <v>96</v>
      </c>
      <c r="G3306" s="19">
        <v>9.0043001E7</v>
      </c>
      <c r="H3306" s="15" t="s">
        <v>18</v>
      </c>
      <c r="I3306" s="20" t="s">
        <v>19</v>
      </c>
      <c r="J3306" s="21">
        <v>1.0154665E7</v>
      </c>
      <c r="K3306" s="21">
        <v>43.0</v>
      </c>
    </row>
    <row r="3307">
      <c r="A3307" s="15" t="s">
        <v>74</v>
      </c>
      <c r="B3307" s="16" t="s">
        <v>220</v>
      </c>
      <c r="C3307" s="17" t="s">
        <v>221</v>
      </c>
      <c r="D3307" s="18">
        <v>4.0</v>
      </c>
      <c r="E3307" s="17" t="s">
        <v>95</v>
      </c>
      <c r="F3307" s="15" t="s">
        <v>96</v>
      </c>
      <c r="G3307" s="19">
        <v>5.1100774E7</v>
      </c>
      <c r="H3307" s="15" t="s">
        <v>39</v>
      </c>
      <c r="I3307" s="20" t="s">
        <v>17</v>
      </c>
      <c r="J3307" s="21">
        <v>1.8408902E7</v>
      </c>
      <c r="K3307" s="21">
        <v>272.16</v>
      </c>
    </row>
    <row r="3308">
      <c r="A3308" s="15" t="s">
        <v>74</v>
      </c>
      <c r="B3308" s="16" t="s">
        <v>220</v>
      </c>
      <c r="C3308" s="17" t="s">
        <v>221</v>
      </c>
      <c r="D3308" s="18">
        <v>4.0</v>
      </c>
      <c r="E3308" s="17" t="s">
        <v>99</v>
      </c>
      <c r="F3308" s="15" t="s">
        <v>100</v>
      </c>
      <c r="G3308" s="19">
        <v>9.0043001E7</v>
      </c>
      <c r="H3308" s="15" t="s">
        <v>18</v>
      </c>
      <c r="I3308" s="20" t="s">
        <v>19</v>
      </c>
      <c r="J3308" s="21">
        <v>8202660.0</v>
      </c>
      <c r="K3308" s="21">
        <v>47.0</v>
      </c>
    </row>
    <row r="3309">
      <c r="A3309" s="15" t="s">
        <v>74</v>
      </c>
      <c r="B3309" s="16" t="s">
        <v>220</v>
      </c>
      <c r="C3309" s="17" t="s">
        <v>221</v>
      </c>
      <c r="D3309" s="18">
        <v>4.0</v>
      </c>
      <c r="E3309" s="17" t="s">
        <v>101</v>
      </c>
      <c r="F3309" s="15" t="s">
        <v>102</v>
      </c>
      <c r="G3309" s="19">
        <v>9.0043001E7</v>
      </c>
      <c r="H3309" s="15" t="s">
        <v>18</v>
      </c>
      <c r="I3309" s="20" t="s">
        <v>19</v>
      </c>
      <c r="J3309" s="21">
        <v>5.131934E7</v>
      </c>
      <c r="K3309" s="21">
        <v>236.0</v>
      </c>
    </row>
    <row r="3310">
      <c r="A3310" s="15" t="s">
        <v>74</v>
      </c>
      <c r="B3310" s="16" t="s">
        <v>220</v>
      </c>
      <c r="C3310" s="17" t="s">
        <v>221</v>
      </c>
      <c r="D3310" s="18">
        <v>4.0</v>
      </c>
      <c r="E3310" s="17" t="s">
        <v>101</v>
      </c>
      <c r="F3310" s="15" t="s">
        <v>102</v>
      </c>
      <c r="G3310" s="19">
        <v>5.1100774E7</v>
      </c>
      <c r="H3310" s="15" t="s">
        <v>39</v>
      </c>
      <c r="I3310" s="20" t="s">
        <v>17</v>
      </c>
      <c r="J3310" s="21">
        <v>3.1065815E7</v>
      </c>
      <c r="K3310" s="21">
        <v>114.82</v>
      </c>
    </row>
    <row r="3311">
      <c r="A3311" s="15" t="s">
        <v>74</v>
      </c>
      <c r="B3311" s="16" t="s">
        <v>220</v>
      </c>
      <c r="C3311" s="17" t="s">
        <v>221</v>
      </c>
      <c r="D3311" s="18">
        <v>4.0</v>
      </c>
      <c r="E3311" s="17" t="s">
        <v>103</v>
      </c>
      <c r="F3311" s="15" t="s">
        <v>104</v>
      </c>
      <c r="G3311" s="19">
        <v>5.1100058E7</v>
      </c>
      <c r="H3311" s="15" t="s">
        <v>36</v>
      </c>
      <c r="I3311" s="20" t="s">
        <v>37</v>
      </c>
      <c r="J3311" s="21">
        <v>5.8042527E7</v>
      </c>
      <c r="K3311" s="21">
        <v>746.22</v>
      </c>
    </row>
    <row r="3312">
      <c r="A3312" s="15" t="s">
        <v>74</v>
      </c>
      <c r="B3312" s="16" t="s">
        <v>220</v>
      </c>
      <c r="C3312" s="17" t="s">
        <v>221</v>
      </c>
      <c r="D3312" s="18">
        <v>4.0</v>
      </c>
      <c r="E3312" s="17" t="s">
        <v>103</v>
      </c>
      <c r="F3312" s="15" t="s">
        <v>104</v>
      </c>
      <c r="G3312" s="19">
        <v>9.0043001E7</v>
      </c>
      <c r="H3312" s="15" t="s">
        <v>18</v>
      </c>
      <c r="I3312" s="20" t="s">
        <v>19</v>
      </c>
      <c r="J3312" s="21">
        <v>4.6447413E7</v>
      </c>
      <c r="K3312" s="21">
        <v>251.0</v>
      </c>
    </row>
    <row r="3313">
      <c r="A3313" s="15" t="s">
        <v>74</v>
      </c>
      <c r="B3313" s="16" t="s">
        <v>220</v>
      </c>
      <c r="C3313" s="17" t="s">
        <v>221</v>
      </c>
      <c r="D3313" s="18">
        <v>4.0</v>
      </c>
      <c r="E3313" s="17" t="s">
        <v>103</v>
      </c>
      <c r="F3313" s="15" t="s">
        <v>104</v>
      </c>
      <c r="G3313" s="19">
        <v>9.0043002E7</v>
      </c>
      <c r="H3313" s="15" t="s">
        <v>49</v>
      </c>
      <c r="I3313" s="20" t="s">
        <v>50</v>
      </c>
      <c r="J3313" s="21">
        <v>2137791.0</v>
      </c>
      <c r="K3313" s="21">
        <v>93.0</v>
      </c>
    </row>
    <row r="3314">
      <c r="A3314" s="15" t="s">
        <v>74</v>
      </c>
      <c r="B3314" s="16" t="s">
        <v>220</v>
      </c>
      <c r="C3314" s="17" t="s">
        <v>221</v>
      </c>
      <c r="D3314" s="18">
        <v>4.0</v>
      </c>
      <c r="E3314" s="17" t="s">
        <v>103</v>
      </c>
      <c r="F3314" s="15" t="s">
        <v>104</v>
      </c>
      <c r="G3314" s="19">
        <v>5.1100774E7</v>
      </c>
      <c r="H3314" s="15" t="s">
        <v>39</v>
      </c>
      <c r="I3314" s="20" t="s">
        <v>25</v>
      </c>
      <c r="J3314" s="21">
        <v>-1.0</v>
      </c>
      <c r="K3314" s="21">
        <v>0.0</v>
      </c>
    </row>
    <row r="3315">
      <c r="A3315" s="15" t="s">
        <v>74</v>
      </c>
      <c r="B3315" s="16" t="s">
        <v>220</v>
      </c>
      <c r="C3315" s="17" t="s">
        <v>221</v>
      </c>
      <c r="D3315" s="18">
        <v>4.0</v>
      </c>
      <c r="E3315" s="17" t="s">
        <v>103</v>
      </c>
      <c r="F3315" s="15" t="s">
        <v>104</v>
      </c>
      <c r="G3315" s="19">
        <v>5.1100774E7</v>
      </c>
      <c r="H3315" s="15" t="s">
        <v>39</v>
      </c>
      <c r="I3315" s="20" t="s">
        <v>17</v>
      </c>
      <c r="J3315" s="21">
        <v>9.9266127E7</v>
      </c>
      <c r="K3315" s="21">
        <v>366.89</v>
      </c>
    </row>
    <row r="3316">
      <c r="A3316" s="15" t="s">
        <v>74</v>
      </c>
      <c r="B3316" s="16" t="s">
        <v>220</v>
      </c>
      <c r="C3316" s="17" t="s">
        <v>221</v>
      </c>
      <c r="D3316" s="18">
        <v>4.0</v>
      </c>
      <c r="E3316" s="17" t="s">
        <v>108</v>
      </c>
      <c r="F3316" s="15" t="s">
        <v>109</v>
      </c>
      <c r="G3316" s="19">
        <v>5.1100058E7</v>
      </c>
      <c r="H3316" s="15" t="s">
        <v>36</v>
      </c>
      <c r="I3316" s="20" t="s">
        <v>37</v>
      </c>
      <c r="J3316" s="21">
        <v>1.22135E7</v>
      </c>
      <c r="K3316" s="21">
        <v>150.32</v>
      </c>
    </row>
    <row r="3317">
      <c r="A3317" s="15" t="s">
        <v>74</v>
      </c>
      <c r="B3317" s="16" t="s">
        <v>220</v>
      </c>
      <c r="C3317" s="17" t="s">
        <v>221</v>
      </c>
      <c r="D3317" s="18">
        <v>4.0</v>
      </c>
      <c r="E3317" s="17" t="s">
        <v>108</v>
      </c>
      <c r="F3317" s="15" t="s">
        <v>109</v>
      </c>
      <c r="G3317" s="19">
        <v>9.0043001E7</v>
      </c>
      <c r="H3317" s="15" t="s">
        <v>18</v>
      </c>
      <c r="I3317" s="20" t="s">
        <v>19</v>
      </c>
      <c r="J3317" s="21">
        <v>2.3152085E7</v>
      </c>
      <c r="K3317" s="21">
        <v>115.0</v>
      </c>
    </row>
    <row r="3318">
      <c r="A3318" s="15" t="s">
        <v>74</v>
      </c>
      <c r="B3318" s="16" t="s">
        <v>220</v>
      </c>
      <c r="C3318" s="17" t="s">
        <v>221</v>
      </c>
      <c r="D3318" s="18">
        <v>4.0</v>
      </c>
      <c r="E3318" s="17" t="s">
        <v>229</v>
      </c>
      <c r="F3318" s="15" t="s">
        <v>230</v>
      </c>
      <c r="G3318" s="19">
        <v>5.1100061E7</v>
      </c>
      <c r="H3318" s="15" t="s">
        <v>42</v>
      </c>
      <c r="I3318" s="20" t="s">
        <v>37</v>
      </c>
      <c r="J3318" s="21">
        <v>1327635.0</v>
      </c>
      <c r="K3318" s="21">
        <v>8.86</v>
      </c>
    </row>
    <row r="3319">
      <c r="A3319" s="15" t="s">
        <v>74</v>
      </c>
      <c r="B3319" s="16" t="s">
        <v>220</v>
      </c>
      <c r="C3319" s="17" t="s">
        <v>221</v>
      </c>
      <c r="D3319" s="18">
        <v>4.0</v>
      </c>
      <c r="E3319" s="17" t="s">
        <v>229</v>
      </c>
      <c r="F3319" s="15" t="s">
        <v>230</v>
      </c>
      <c r="G3319" s="19">
        <v>9.0043001E7</v>
      </c>
      <c r="H3319" s="15" t="s">
        <v>18</v>
      </c>
      <c r="I3319" s="20" t="s">
        <v>19</v>
      </c>
      <c r="J3319" s="21">
        <v>3477159.0</v>
      </c>
      <c r="K3319" s="21">
        <v>19.0</v>
      </c>
    </row>
    <row r="3320">
      <c r="A3320" s="15" t="s">
        <v>74</v>
      </c>
      <c r="B3320" s="16" t="s">
        <v>220</v>
      </c>
      <c r="C3320" s="17" t="s">
        <v>221</v>
      </c>
      <c r="D3320" s="18">
        <v>4.0</v>
      </c>
      <c r="E3320" s="17" t="s">
        <v>158</v>
      </c>
      <c r="F3320" s="15" t="s">
        <v>159</v>
      </c>
      <c r="G3320" s="19">
        <v>9.0043001E7</v>
      </c>
      <c r="H3320" s="15" t="s">
        <v>18</v>
      </c>
      <c r="I3320" s="20" t="s">
        <v>19</v>
      </c>
      <c r="J3320" s="21">
        <v>8816787.0</v>
      </c>
      <c r="K3320" s="21">
        <v>49.0</v>
      </c>
    </row>
    <row r="3321">
      <c r="A3321" s="15" t="s">
        <v>74</v>
      </c>
      <c r="B3321" s="16" t="s">
        <v>220</v>
      </c>
      <c r="C3321" s="17" t="s">
        <v>221</v>
      </c>
      <c r="D3321" s="18">
        <v>4.0</v>
      </c>
      <c r="E3321" s="17" t="s">
        <v>112</v>
      </c>
      <c r="F3321" s="15" t="s">
        <v>113</v>
      </c>
      <c r="G3321" s="19">
        <v>9.0043001E7</v>
      </c>
      <c r="H3321" s="15" t="s">
        <v>18</v>
      </c>
      <c r="I3321" s="20" t="s">
        <v>19</v>
      </c>
      <c r="J3321" s="21">
        <v>5110233.0</v>
      </c>
      <c r="K3321" s="21">
        <v>28.0</v>
      </c>
    </row>
    <row r="3322">
      <c r="A3322" s="15" t="s">
        <v>74</v>
      </c>
      <c r="B3322" s="16" t="s">
        <v>220</v>
      </c>
      <c r="C3322" s="17" t="s">
        <v>221</v>
      </c>
      <c r="D3322" s="18">
        <v>4.0</v>
      </c>
      <c r="E3322" s="17" t="s">
        <v>175</v>
      </c>
      <c r="F3322" s="15" t="s">
        <v>176</v>
      </c>
      <c r="G3322" s="19">
        <v>5.1100774E7</v>
      </c>
      <c r="H3322" s="15" t="s">
        <v>39</v>
      </c>
      <c r="I3322" s="20" t="s">
        <v>17</v>
      </c>
      <c r="J3322" s="21">
        <v>1.4155937E7</v>
      </c>
      <c r="K3322" s="21">
        <v>168738.125</v>
      </c>
    </row>
    <row r="3323">
      <c r="A3323" s="15" t="s">
        <v>74</v>
      </c>
      <c r="B3323" s="16" t="s">
        <v>220</v>
      </c>
      <c r="C3323" s="17" t="s">
        <v>221</v>
      </c>
      <c r="D3323" s="18">
        <v>4.0</v>
      </c>
      <c r="E3323" s="17" t="s">
        <v>117</v>
      </c>
      <c r="F3323" s="15" t="s">
        <v>118</v>
      </c>
      <c r="G3323" s="19">
        <v>5.1100058E7</v>
      </c>
      <c r="H3323" s="15" t="s">
        <v>36</v>
      </c>
      <c r="I3323" s="20" t="s">
        <v>37</v>
      </c>
      <c r="J3323" s="21">
        <v>8.53894941E8</v>
      </c>
      <c r="K3323" s="21">
        <v>129804.0</v>
      </c>
    </row>
    <row r="3324">
      <c r="A3324" s="15" t="s">
        <v>74</v>
      </c>
      <c r="B3324" s="16" t="s">
        <v>220</v>
      </c>
      <c r="C3324" s="17" t="s">
        <v>221</v>
      </c>
      <c r="D3324" s="18">
        <v>4.0</v>
      </c>
      <c r="E3324" s="17" t="s">
        <v>117</v>
      </c>
      <c r="F3324" s="15" t="s">
        <v>118</v>
      </c>
      <c r="G3324" s="19">
        <v>5.1100774E7</v>
      </c>
      <c r="H3324" s="15" t="s">
        <v>39</v>
      </c>
      <c r="I3324" s="20" t="s">
        <v>17</v>
      </c>
      <c r="J3324" s="21">
        <v>3.8132867E7</v>
      </c>
      <c r="K3324" s="21">
        <v>410.18</v>
      </c>
    </row>
    <row r="3325">
      <c r="A3325" s="15" t="s">
        <v>74</v>
      </c>
      <c r="B3325" s="16" t="s">
        <v>220</v>
      </c>
      <c r="C3325" s="17" t="s">
        <v>221</v>
      </c>
      <c r="D3325" s="18">
        <v>4.0</v>
      </c>
      <c r="E3325" s="17" t="s">
        <v>274</v>
      </c>
      <c r="F3325" s="15" t="s">
        <v>275</v>
      </c>
      <c r="G3325" s="19">
        <v>9.0043001E7</v>
      </c>
      <c r="H3325" s="15" t="s">
        <v>18</v>
      </c>
      <c r="I3325" s="20" t="s">
        <v>19</v>
      </c>
      <c r="J3325" s="21">
        <v>239533.0</v>
      </c>
      <c r="K3325" s="21">
        <v>1.0</v>
      </c>
    </row>
    <row r="3326">
      <c r="A3326" s="15" t="s">
        <v>74</v>
      </c>
      <c r="B3326" s="16" t="s">
        <v>220</v>
      </c>
      <c r="C3326" s="17" t="s">
        <v>221</v>
      </c>
      <c r="D3326" s="18">
        <v>4.0</v>
      </c>
      <c r="E3326" s="17" t="s">
        <v>160</v>
      </c>
      <c r="F3326" s="15" t="s">
        <v>161</v>
      </c>
      <c r="G3326" s="19">
        <v>9.0043001E7</v>
      </c>
      <c r="H3326" s="15" t="s">
        <v>18</v>
      </c>
      <c r="I3326" s="20" t="s">
        <v>19</v>
      </c>
      <c r="J3326" s="21">
        <v>1.3968042E7</v>
      </c>
      <c r="K3326" s="21">
        <v>66.0</v>
      </c>
    </row>
    <row r="3327">
      <c r="A3327" s="15" t="s">
        <v>74</v>
      </c>
      <c r="B3327" s="16" t="s">
        <v>220</v>
      </c>
      <c r="C3327" s="17" t="s">
        <v>221</v>
      </c>
      <c r="D3327" s="18">
        <v>4.0</v>
      </c>
      <c r="E3327" s="17" t="s">
        <v>125</v>
      </c>
      <c r="F3327" s="15" t="s">
        <v>126</v>
      </c>
      <c r="G3327" s="19">
        <v>5.1101056E7</v>
      </c>
      <c r="H3327" s="15" t="s">
        <v>16</v>
      </c>
      <c r="I3327" s="20" t="s">
        <v>25</v>
      </c>
      <c r="J3327" s="21">
        <v>4.6090389E7</v>
      </c>
      <c r="K3327" s="21">
        <v>0.0</v>
      </c>
    </row>
    <row r="3328">
      <c r="A3328" s="15" t="s">
        <v>74</v>
      </c>
      <c r="B3328" s="16" t="s">
        <v>220</v>
      </c>
      <c r="C3328" s="17" t="s">
        <v>221</v>
      </c>
      <c r="D3328" s="18">
        <v>4.0</v>
      </c>
      <c r="E3328" s="17" t="s">
        <v>125</v>
      </c>
      <c r="F3328" s="15" t="s">
        <v>126</v>
      </c>
      <c r="G3328" s="19">
        <v>5.1101056E7</v>
      </c>
      <c r="H3328" s="15" t="s">
        <v>16</v>
      </c>
      <c r="I3328" s="20" t="s">
        <v>17</v>
      </c>
      <c r="J3328" s="21">
        <v>6.6107175E7</v>
      </c>
      <c r="K3328" s="21">
        <v>417445.0</v>
      </c>
    </row>
    <row r="3329">
      <c r="A3329" s="15" t="s">
        <v>74</v>
      </c>
      <c r="B3329" s="16" t="s">
        <v>220</v>
      </c>
      <c r="C3329" s="17" t="s">
        <v>221</v>
      </c>
      <c r="D3329" s="18">
        <v>4.0</v>
      </c>
      <c r="E3329" s="17" t="s">
        <v>125</v>
      </c>
      <c r="F3329" s="15" t="s">
        <v>126</v>
      </c>
      <c r="G3329" s="19">
        <v>9.0043001E7</v>
      </c>
      <c r="H3329" s="15" t="s">
        <v>18</v>
      </c>
      <c r="I3329" s="20" t="s">
        <v>19</v>
      </c>
      <c r="J3329" s="21">
        <v>2.0985396E8</v>
      </c>
      <c r="K3329" s="21">
        <v>1011.0</v>
      </c>
    </row>
    <row r="3330">
      <c r="A3330" s="15" t="s">
        <v>74</v>
      </c>
      <c r="B3330" s="16" t="s">
        <v>220</v>
      </c>
      <c r="C3330" s="17" t="s">
        <v>221</v>
      </c>
      <c r="D3330" s="18">
        <v>4.0</v>
      </c>
      <c r="E3330" s="17" t="s">
        <v>127</v>
      </c>
      <c r="F3330" s="15" t="s">
        <v>128</v>
      </c>
      <c r="G3330" s="19">
        <v>5.1100153E7</v>
      </c>
      <c r="H3330" s="15" t="s">
        <v>72</v>
      </c>
      <c r="I3330" s="20" t="s">
        <v>17</v>
      </c>
      <c r="J3330" s="21">
        <v>5.07376511E8</v>
      </c>
      <c r="K3330" s="21">
        <v>1731810.0</v>
      </c>
    </row>
    <row r="3331">
      <c r="A3331" s="15" t="s">
        <v>74</v>
      </c>
      <c r="B3331" s="16" t="s">
        <v>220</v>
      </c>
      <c r="C3331" s="17" t="s">
        <v>221</v>
      </c>
      <c r="D3331" s="18">
        <v>4.0</v>
      </c>
      <c r="E3331" s="17" t="s">
        <v>129</v>
      </c>
      <c r="F3331" s="15" t="s">
        <v>130</v>
      </c>
      <c r="G3331" s="19">
        <v>5.1101056E7</v>
      </c>
      <c r="H3331" s="15" t="s">
        <v>16</v>
      </c>
      <c r="I3331" s="20" t="s">
        <v>17</v>
      </c>
      <c r="J3331" s="21">
        <v>4.920021E7</v>
      </c>
      <c r="K3331" s="21">
        <v>1157652.0</v>
      </c>
    </row>
    <row r="3332">
      <c r="A3332" s="15" t="s">
        <v>74</v>
      </c>
      <c r="B3332" s="16" t="s">
        <v>220</v>
      </c>
      <c r="C3332" s="17" t="s">
        <v>221</v>
      </c>
      <c r="D3332" s="18">
        <v>4.0</v>
      </c>
      <c r="E3332" s="17" t="s">
        <v>135</v>
      </c>
      <c r="F3332" s="15" t="s">
        <v>136</v>
      </c>
      <c r="G3332" s="19">
        <v>9.0043001E7</v>
      </c>
      <c r="H3332" s="15" t="s">
        <v>18</v>
      </c>
      <c r="I3332" s="20" t="s">
        <v>19</v>
      </c>
      <c r="J3332" s="21">
        <v>5.6092608E7</v>
      </c>
      <c r="K3332" s="21">
        <v>281.0</v>
      </c>
    </row>
    <row r="3333">
      <c r="A3333" s="15" t="s">
        <v>74</v>
      </c>
      <c r="B3333" s="16" t="s">
        <v>220</v>
      </c>
      <c r="C3333" s="17" t="s">
        <v>221</v>
      </c>
      <c r="D3333" s="18">
        <v>4.0</v>
      </c>
      <c r="E3333" s="17" t="s">
        <v>54</v>
      </c>
      <c r="F3333" s="15" t="s">
        <v>139</v>
      </c>
      <c r="G3333" s="19">
        <v>9.0042011E7</v>
      </c>
      <c r="H3333" s="15" t="s">
        <v>55</v>
      </c>
      <c r="I3333" s="20" t="s">
        <v>19</v>
      </c>
      <c r="J3333" s="21">
        <v>2.11385536E8</v>
      </c>
      <c r="K3333" s="21">
        <v>0.0</v>
      </c>
    </row>
    <row r="3334">
      <c r="A3334" s="15" t="s">
        <v>74</v>
      </c>
      <c r="B3334" s="16" t="s">
        <v>220</v>
      </c>
      <c r="C3334" s="17" t="s">
        <v>221</v>
      </c>
      <c r="D3334" s="18">
        <v>4.0</v>
      </c>
      <c r="E3334" s="17" t="s">
        <v>20</v>
      </c>
      <c r="F3334" s="15" t="s">
        <v>140</v>
      </c>
      <c r="G3334" s="19">
        <v>9.0042014E7</v>
      </c>
      <c r="H3334" s="15" t="s">
        <v>21</v>
      </c>
      <c r="I3334" s="20" t="s">
        <v>19</v>
      </c>
      <c r="J3334" s="21">
        <v>2.72108753E8</v>
      </c>
      <c r="K3334" s="21">
        <v>0.0</v>
      </c>
    </row>
    <row r="3335">
      <c r="A3335" s="15" t="s">
        <v>74</v>
      </c>
      <c r="B3335" s="16" t="s">
        <v>220</v>
      </c>
      <c r="C3335" s="17" t="s">
        <v>221</v>
      </c>
      <c r="D3335" s="18">
        <v>4.0</v>
      </c>
      <c r="E3335" s="17" t="s">
        <v>22</v>
      </c>
      <c r="F3335" s="15" t="s">
        <v>146</v>
      </c>
      <c r="G3335" s="19">
        <v>9.0042012E7</v>
      </c>
      <c r="H3335" s="15" t="s">
        <v>23</v>
      </c>
      <c r="I3335" s="20" t="s">
        <v>19</v>
      </c>
      <c r="J3335" s="21">
        <v>2.1942181E8</v>
      </c>
      <c r="K3335" s="21">
        <v>0.0</v>
      </c>
    </row>
    <row r="3336">
      <c r="A3336" s="15" t="s">
        <v>74</v>
      </c>
      <c r="B3336" s="16" t="s">
        <v>220</v>
      </c>
      <c r="C3336" s="17" t="s">
        <v>221</v>
      </c>
      <c r="D3336" s="18">
        <v>4.0</v>
      </c>
      <c r="E3336" s="17" t="s">
        <v>22</v>
      </c>
      <c r="F3336" s="15" t="s">
        <v>146</v>
      </c>
      <c r="G3336" s="19">
        <v>9.0042121E7</v>
      </c>
      <c r="H3336" s="15" t="s">
        <v>24</v>
      </c>
      <c r="I3336" s="20" t="s">
        <v>25</v>
      </c>
      <c r="J3336" s="21">
        <v>1.7663291E7</v>
      </c>
      <c r="K3336" s="21">
        <v>0.0</v>
      </c>
    </row>
    <row r="3337">
      <c r="A3337" s="15" t="s">
        <v>74</v>
      </c>
      <c r="B3337" s="16" t="s">
        <v>220</v>
      </c>
      <c r="C3337" s="17" t="s">
        <v>221</v>
      </c>
      <c r="D3337" s="18">
        <v>4.0</v>
      </c>
      <c r="E3337" s="17" t="s">
        <v>22</v>
      </c>
      <c r="F3337" s="15" t="s">
        <v>146</v>
      </c>
      <c r="G3337" s="19">
        <v>9.0042122E7</v>
      </c>
      <c r="H3337" s="15" t="s">
        <v>56</v>
      </c>
      <c r="I3337" s="20" t="s">
        <v>25</v>
      </c>
      <c r="J3337" s="21">
        <v>1.7638044E7</v>
      </c>
      <c r="K3337" s="21">
        <v>0.0</v>
      </c>
    </row>
    <row r="3338">
      <c r="A3338" s="15" t="s">
        <v>74</v>
      </c>
      <c r="B3338" s="16" t="s">
        <v>220</v>
      </c>
      <c r="C3338" s="17" t="s">
        <v>221</v>
      </c>
      <c r="D3338" s="18">
        <v>4.0</v>
      </c>
      <c r="E3338" s="17" t="s">
        <v>22</v>
      </c>
      <c r="F3338" s="15" t="s">
        <v>146</v>
      </c>
      <c r="G3338" s="19">
        <v>9.0042125E7</v>
      </c>
      <c r="H3338" s="15" t="s">
        <v>26</v>
      </c>
      <c r="I3338" s="20" t="s">
        <v>25</v>
      </c>
      <c r="J3338" s="21">
        <v>7.3821034E7</v>
      </c>
      <c r="K3338" s="21">
        <v>0.0</v>
      </c>
    </row>
    <row r="3339">
      <c r="A3339" s="15" t="s">
        <v>74</v>
      </c>
      <c r="B3339" s="16" t="s">
        <v>220</v>
      </c>
      <c r="C3339" s="17" t="s">
        <v>221</v>
      </c>
      <c r="D3339" s="18">
        <v>4.0</v>
      </c>
      <c r="E3339" s="17" t="s">
        <v>22</v>
      </c>
      <c r="F3339" s="15" t="s">
        <v>146</v>
      </c>
      <c r="G3339" s="19">
        <v>9.0042127E7</v>
      </c>
      <c r="H3339" s="15" t="s">
        <v>27</v>
      </c>
      <c r="I3339" s="20" t="s">
        <v>25</v>
      </c>
      <c r="J3339" s="21">
        <v>2691393.0</v>
      </c>
      <c r="K3339" s="21">
        <v>0.0</v>
      </c>
    </row>
    <row r="3340">
      <c r="A3340" s="15" t="s">
        <v>74</v>
      </c>
      <c r="B3340" s="16" t="s">
        <v>220</v>
      </c>
      <c r="C3340" s="17" t="s">
        <v>221</v>
      </c>
      <c r="D3340" s="18">
        <v>4.0</v>
      </c>
      <c r="E3340" s="17" t="s">
        <v>22</v>
      </c>
      <c r="F3340" s="15" t="s">
        <v>146</v>
      </c>
      <c r="G3340" s="19">
        <v>9.0042128E7</v>
      </c>
      <c r="H3340" s="15" t="s">
        <v>58</v>
      </c>
      <c r="I3340" s="20" t="s">
        <v>25</v>
      </c>
      <c r="J3340" s="21">
        <v>2849388.0</v>
      </c>
      <c r="K3340" s="21">
        <v>0.0</v>
      </c>
    </row>
    <row r="3341">
      <c r="A3341" s="15" t="s">
        <v>74</v>
      </c>
      <c r="B3341" s="16" t="s">
        <v>220</v>
      </c>
      <c r="C3341" s="17" t="s">
        <v>221</v>
      </c>
      <c r="D3341" s="18">
        <v>4.0</v>
      </c>
      <c r="E3341" s="17" t="s">
        <v>22</v>
      </c>
      <c r="F3341" s="15" t="s">
        <v>146</v>
      </c>
      <c r="G3341" s="19">
        <v>9.0042132E7</v>
      </c>
      <c r="H3341" s="15" t="s">
        <v>28</v>
      </c>
      <c r="I3341" s="20" t="s">
        <v>25</v>
      </c>
      <c r="J3341" s="21">
        <v>5889420.0</v>
      </c>
      <c r="K3341" s="21">
        <v>0.0</v>
      </c>
    </row>
    <row r="3342">
      <c r="A3342" s="15" t="s">
        <v>74</v>
      </c>
      <c r="B3342" s="16" t="s">
        <v>220</v>
      </c>
      <c r="C3342" s="17" t="s">
        <v>221</v>
      </c>
      <c r="D3342" s="18">
        <v>4.0</v>
      </c>
      <c r="E3342" s="17" t="s">
        <v>22</v>
      </c>
      <c r="F3342" s="15" t="s">
        <v>146</v>
      </c>
      <c r="G3342" s="19">
        <v>9.0042135E7</v>
      </c>
      <c r="H3342" s="15" t="s">
        <v>30</v>
      </c>
      <c r="I3342" s="20" t="s">
        <v>25</v>
      </c>
      <c r="J3342" s="21">
        <v>1.6695684E8</v>
      </c>
      <c r="K3342" s="21">
        <v>0.0</v>
      </c>
    </row>
    <row r="3343">
      <c r="A3343" s="15" t="s">
        <v>74</v>
      </c>
      <c r="B3343" s="16" t="s">
        <v>220</v>
      </c>
      <c r="C3343" s="17" t="s">
        <v>221</v>
      </c>
      <c r="D3343" s="18">
        <v>4.0</v>
      </c>
      <c r="E3343" s="17" t="s">
        <v>22</v>
      </c>
      <c r="F3343" s="15" t="s">
        <v>146</v>
      </c>
      <c r="G3343" s="19">
        <v>9.00422E7</v>
      </c>
      <c r="H3343" s="15" t="s">
        <v>73</v>
      </c>
      <c r="I3343" s="20" t="s">
        <v>60</v>
      </c>
      <c r="J3343" s="21">
        <v>3.95295377E8</v>
      </c>
      <c r="K3343" s="21">
        <v>0.0</v>
      </c>
    </row>
    <row r="3344">
      <c r="A3344" s="15" t="s">
        <v>74</v>
      </c>
      <c r="B3344" s="16" t="s">
        <v>220</v>
      </c>
      <c r="C3344" s="17" t="s">
        <v>221</v>
      </c>
      <c r="D3344" s="18">
        <v>4.0</v>
      </c>
      <c r="E3344" s="17" t="s">
        <v>22</v>
      </c>
      <c r="F3344" s="15" t="s">
        <v>146</v>
      </c>
      <c r="G3344" s="19">
        <v>9.0042223E7</v>
      </c>
      <c r="H3344" s="15" t="s">
        <v>61</v>
      </c>
      <c r="I3344" s="20" t="s">
        <v>60</v>
      </c>
      <c r="J3344" s="21">
        <v>3019926.0</v>
      </c>
      <c r="K3344" s="21">
        <v>0.0</v>
      </c>
    </row>
    <row r="3345">
      <c r="A3345" s="15" t="s">
        <v>74</v>
      </c>
      <c r="B3345" s="16" t="s">
        <v>220</v>
      </c>
      <c r="C3345" s="17" t="s">
        <v>221</v>
      </c>
      <c r="D3345" s="18">
        <v>4.0</v>
      </c>
      <c r="E3345" s="17" t="s">
        <v>22</v>
      </c>
      <c r="F3345" s="15" t="s">
        <v>146</v>
      </c>
      <c r="G3345" s="19">
        <v>9.0042226E7</v>
      </c>
      <c r="H3345" s="15" t="s">
        <v>63</v>
      </c>
      <c r="I3345" s="20" t="s">
        <v>60</v>
      </c>
      <c r="J3345" s="21">
        <v>1025043.0</v>
      </c>
      <c r="K3345" s="21">
        <v>0.0</v>
      </c>
    </row>
    <row r="3346">
      <c r="A3346" s="15" t="s">
        <v>74</v>
      </c>
      <c r="B3346" s="16" t="s">
        <v>220</v>
      </c>
      <c r="C3346" s="17" t="s">
        <v>221</v>
      </c>
      <c r="D3346" s="18">
        <v>4.0</v>
      </c>
      <c r="E3346" s="17" t="s">
        <v>22</v>
      </c>
      <c r="F3346" s="15" t="s">
        <v>146</v>
      </c>
      <c r="G3346" s="19">
        <v>9.0042228E7</v>
      </c>
      <c r="H3346" s="15" t="s">
        <v>64</v>
      </c>
      <c r="I3346" s="20" t="s">
        <v>60</v>
      </c>
      <c r="J3346" s="21">
        <v>3.86738E7</v>
      </c>
      <c r="K3346" s="21">
        <v>0.0</v>
      </c>
    </row>
    <row r="3347">
      <c r="A3347" s="15" t="s">
        <v>74</v>
      </c>
      <c r="B3347" s="16" t="s">
        <v>220</v>
      </c>
      <c r="C3347" s="17" t="s">
        <v>221</v>
      </c>
      <c r="D3347" s="18">
        <v>4.0</v>
      </c>
      <c r="E3347" s="17" t="s">
        <v>22</v>
      </c>
      <c r="F3347" s="15" t="s">
        <v>146</v>
      </c>
      <c r="G3347" s="19">
        <v>9.0042231E7</v>
      </c>
      <c r="H3347" s="15" t="s">
        <v>65</v>
      </c>
      <c r="I3347" s="20" t="s">
        <v>60</v>
      </c>
      <c r="J3347" s="21">
        <v>2518637.0</v>
      </c>
      <c r="K3347" s="21">
        <v>0.0</v>
      </c>
    </row>
    <row r="3348">
      <c r="A3348" s="15" t="s">
        <v>74</v>
      </c>
      <c r="B3348" s="16" t="s">
        <v>220</v>
      </c>
      <c r="C3348" s="17" t="s">
        <v>221</v>
      </c>
      <c r="D3348" s="18">
        <v>4.0</v>
      </c>
      <c r="E3348" s="17" t="s">
        <v>22</v>
      </c>
      <c r="F3348" s="15" t="s">
        <v>146</v>
      </c>
      <c r="G3348" s="19">
        <v>9.0042126E7</v>
      </c>
      <c r="H3348" s="15" t="s">
        <v>31</v>
      </c>
      <c r="I3348" s="20" t="s">
        <v>25</v>
      </c>
      <c r="J3348" s="21">
        <v>6.55221E7</v>
      </c>
      <c r="K3348" s="21">
        <v>0.0</v>
      </c>
    </row>
    <row r="3349">
      <c r="A3349" s="15" t="s">
        <v>74</v>
      </c>
      <c r="B3349" s="16" t="s">
        <v>220</v>
      </c>
      <c r="C3349" s="17" t="s">
        <v>221</v>
      </c>
      <c r="D3349" s="18">
        <v>4.0</v>
      </c>
      <c r="E3349" s="17" t="s">
        <v>252</v>
      </c>
      <c r="F3349" s="15" t="s">
        <v>253</v>
      </c>
      <c r="G3349" s="19">
        <v>5.1101056E7</v>
      </c>
      <c r="H3349" s="15" t="s">
        <v>16</v>
      </c>
      <c r="I3349" s="20" t="s">
        <v>17</v>
      </c>
      <c r="J3349" s="21">
        <v>1079160.0</v>
      </c>
      <c r="K3349" s="21">
        <v>25392.0</v>
      </c>
    </row>
    <row r="3350">
      <c r="A3350" s="15" t="s">
        <v>74</v>
      </c>
      <c r="B3350" s="16" t="s">
        <v>220</v>
      </c>
      <c r="C3350" s="17" t="s">
        <v>221</v>
      </c>
      <c r="D3350" s="18">
        <v>4.0</v>
      </c>
      <c r="E3350" s="17" t="s">
        <v>349</v>
      </c>
      <c r="F3350" s="15" t="s">
        <v>350</v>
      </c>
      <c r="G3350" s="19">
        <v>9.0043001E7</v>
      </c>
      <c r="H3350" s="15" t="s">
        <v>18</v>
      </c>
      <c r="I3350" s="20" t="s">
        <v>19</v>
      </c>
      <c r="J3350" s="21">
        <v>0.0</v>
      </c>
      <c r="K3350" s="21">
        <v>0.0</v>
      </c>
    </row>
    <row r="3351">
      <c r="A3351" s="15" t="s">
        <v>74</v>
      </c>
      <c r="B3351" s="16" t="s">
        <v>220</v>
      </c>
      <c r="C3351" s="17" t="s">
        <v>221</v>
      </c>
      <c r="D3351" s="18">
        <v>4.0</v>
      </c>
      <c r="E3351" s="24">
        <v>46112.0</v>
      </c>
      <c r="F3351" s="15" t="s">
        <v>351</v>
      </c>
      <c r="G3351" s="19">
        <v>9.0043001E7</v>
      </c>
      <c r="H3351" s="15" t="s">
        <v>18</v>
      </c>
      <c r="I3351" s="20" t="s">
        <v>19</v>
      </c>
      <c r="J3351" s="21">
        <v>0.0</v>
      </c>
      <c r="K3351" s="21">
        <v>0.0</v>
      </c>
    </row>
    <row r="3352">
      <c r="A3352" s="15" t="s">
        <v>74</v>
      </c>
      <c r="B3352" s="16" t="s">
        <v>220</v>
      </c>
      <c r="C3352" s="17" t="s">
        <v>221</v>
      </c>
      <c r="D3352" s="18">
        <v>4.0</v>
      </c>
      <c r="E3352" s="17" t="s">
        <v>352</v>
      </c>
      <c r="F3352" s="15" t="s">
        <v>353</v>
      </c>
      <c r="G3352" s="19">
        <v>9.0043001E7</v>
      </c>
      <c r="H3352" s="15" t="s">
        <v>18</v>
      </c>
      <c r="I3352" s="20" t="s">
        <v>19</v>
      </c>
      <c r="J3352" s="21">
        <v>0.0</v>
      </c>
      <c r="K3352" s="21">
        <v>0.0</v>
      </c>
    </row>
    <row r="3353">
      <c r="A3353" s="15" t="s">
        <v>74</v>
      </c>
      <c r="B3353" s="16" t="s">
        <v>231</v>
      </c>
      <c r="C3353" s="17" t="s">
        <v>232</v>
      </c>
      <c r="D3353" s="18">
        <v>4.0</v>
      </c>
      <c r="E3353" s="24">
        <v>46038.0</v>
      </c>
      <c r="F3353" s="15" t="s">
        <v>150</v>
      </c>
      <c r="G3353" s="19">
        <v>5.1100651E7</v>
      </c>
      <c r="H3353" s="15" t="s">
        <v>38</v>
      </c>
      <c r="I3353" s="20" t="s">
        <v>25</v>
      </c>
      <c r="J3353" s="21">
        <v>0.0</v>
      </c>
      <c r="K3353" s="21">
        <v>0.0</v>
      </c>
    </row>
    <row r="3354">
      <c r="A3354" s="15" t="s">
        <v>74</v>
      </c>
      <c r="B3354" s="16" t="s">
        <v>231</v>
      </c>
      <c r="C3354" s="17" t="s">
        <v>232</v>
      </c>
      <c r="D3354" s="18">
        <v>4.0</v>
      </c>
      <c r="E3354" s="24">
        <v>46038.0</v>
      </c>
      <c r="F3354" s="15" t="s">
        <v>150</v>
      </c>
      <c r="G3354" s="19">
        <v>5.1101056E7</v>
      </c>
      <c r="H3354" s="15" t="s">
        <v>16</v>
      </c>
      <c r="I3354" s="20" t="s">
        <v>17</v>
      </c>
      <c r="J3354" s="21">
        <v>5500736.0</v>
      </c>
      <c r="K3354" s="21">
        <v>22047.0</v>
      </c>
    </row>
    <row r="3355">
      <c r="A3355" s="15" t="s">
        <v>74</v>
      </c>
      <c r="B3355" s="16" t="s">
        <v>231</v>
      </c>
      <c r="C3355" s="17" t="s">
        <v>232</v>
      </c>
      <c r="D3355" s="18">
        <v>4.0</v>
      </c>
      <c r="E3355" s="24">
        <v>46038.0</v>
      </c>
      <c r="F3355" s="15" t="s">
        <v>150</v>
      </c>
      <c r="G3355" s="19">
        <v>9.0043001E7</v>
      </c>
      <c r="H3355" s="15" t="s">
        <v>18</v>
      </c>
      <c r="I3355" s="20" t="s">
        <v>19</v>
      </c>
      <c r="J3355" s="21">
        <v>1.9454505E7</v>
      </c>
      <c r="K3355" s="21">
        <v>105.0</v>
      </c>
    </row>
    <row r="3356">
      <c r="A3356" s="15" t="s">
        <v>74</v>
      </c>
      <c r="B3356" s="16" t="s">
        <v>231</v>
      </c>
      <c r="C3356" s="17" t="s">
        <v>232</v>
      </c>
      <c r="D3356" s="18">
        <v>4.0</v>
      </c>
      <c r="E3356" s="24">
        <v>46038.0</v>
      </c>
      <c r="F3356" s="15" t="s">
        <v>150</v>
      </c>
      <c r="G3356" s="19">
        <v>5.1100774E7</v>
      </c>
      <c r="H3356" s="15" t="s">
        <v>39</v>
      </c>
      <c r="I3356" s="20" t="s">
        <v>25</v>
      </c>
      <c r="J3356" s="21">
        <v>0.0</v>
      </c>
      <c r="K3356" s="21">
        <v>0.0</v>
      </c>
    </row>
    <row r="3357">
      <c r="A3357" s="15" t="s">
        <v>74</v>
      </c>
      <c r="B3357" s="16" t="s">
        <v>231</v>
      </c>
      <c r="C3357" s="17" t="s">
        <v>232</v>
      </c>
      <c r="D3357" s="18">
        <v>4.0</v>
      </c>
      <c r="E3357" s="17" t="s">
        <v>84</v>
      </c>
      <c r="F3357" s="15" t="s">
        <v>85</v>
      </c>
      <c r="G3357" s="19">
        <v>9.0043001E7</v>
      </c>
      <c r="H3357" s="15" t="s">
        <v>18</v>
      </c>
      <c r="I3357" s="20" t="s">
        <v>19</v>
      </c>
      <c r="J3357" s="21">
        <v>9608856.0</v>
      </c>
      <c r="K3357" s="21">
        <v>54.0</v>
      </c>
    </row>
    <row r="3358">
      <c r="A3358" s="15" t="s">
        <v>74</v>
      </c>
      <c r="B3358" s="16" t="s">
        <v>231</v>
      </c>
      <c r="C3358" s="17" t="s">
        <v>232</v>
      </c>
      <c r="D3358" s="18">
        <v>4.0</v>
      </c>
      <c r="E3358" s="17" t="s">
        <v>84</v>
      </c>
      <c r="F3358" s="15" t="s">
        <v>85</v>
      </c>
      <c r="G3358" s="19">
        <v>9.0043002E7</v>
      </c>
      <c r="H3358" s="15" t="s">
        <v>49</v>
      </c>
      <c r="I3358" s="20" t="s">
        <v>50</v>
      </c>
      <c r="J3358" s="21">
        <v>3064088.0</v>
      </c>
      <c r="K3358" s="21">
        <v>290.0</v>
      </c>
    </row>
    <row r="3359">
      <c r="A3359" s="15" t="s">
        <v>74</v>
      </c>
      <c r="B3359" s="16" t="s">
        <v>231</v>
      </c>
      <c r="C3359" s="17" t="s">
        <v>232</v>
      </c>
      <c r="D3359" s="18">
        <v>4.0</v>
      </c>
      <c r="E3359" s="17" t="s">
        <v>86</v>
      </c>
      <c r="F3359" s="15" t="s">
        <v>87</v>
      </c>
      <c r="G3359" s="19">
        <v>9.0043001E7</v>
      </c>
      <c r="H3359" s="15" t="s">
        <v>18</v>
      </c>
      <c r="I3359" s="20" t="s">
        <v>19</v>
      </c>
      <c r="J3359" s="21">
        <v>4632025.0</v>
      </c>
      <c r="K3359" s="21">
        <v>25.0</v>
      </c>
    </row>
    <row r="3360">
      <c r="A3360" s="15" t="s">
        <v>74</v>
      </c>
      <c r="B3360" s="16" t="s">
        <v>231</v>
      </c>
      <c r="C3360" s="17" t="s">
        <v>232</v>
      </c>
      <c r="D3360" s="18">
        <v>4.0</v>
      </c>
      <c r="E3360" s="17" t="s">
        <v>95</v>
      </c>
      <c r="F3360" s="15" t="s">
        <v>96</v>
      </c>
      <c r="G3360" s="19">
        <v>5.1100058E7</v>
      </c>
      <c r="H3360" s="15" t="s">
        <v>36</v>
      </c>
      <c r="I3360" s="20" t="s">
        <v>37</v>
      </c>
      <c r="J3360" s="21">
        <v>6608756.0</v>
      </c>
      <c r="K3360" s="21">
        <v>94.1</v>
      </c>
    </row>
    <row r="3361">
      <c r="A3361" s="15" t="s">
        <v>74</v>
      </c>
      <c r="B3361" s="16" t="s">
        <v>231</v>
      </c>
      <c r="C3361" s="17" t="s">
        <v>232</v>
      </c>
      <c r="D3361" s="18">
        <v>4.0</v>
      </c>
      <c r="E3361" s="17" t="s">
        <v>95</v>
      </c>
      <c r="F3361" s="15" t="s">
        <v>96</v>
      </c>
      <c r="G3361" s="19">
        <v>5.1100651E7</v>
      </c>
      <c r="H3361" s="15" t="s">
        <v>38</v>
      </c>
      <c r="I3361" s="20" t="s">
        <v>25</v>
      </c>
      <c r="J3361" s="21">
        <v>0.0</v>
      </c>
      <c r="K3361" s="21">
        <v>0.0</v>
      </c>
    </row>
    <row r="3362">
      <c r="A3362" s="15" t="s">
        <v>74</v>
      </c>
      <c r="B3362" s="16" t="s">
        <v>231</v>
      </c>
      <c r="C3362" s="17" t="s">
        <v>232</v>
      </c>
      <c r="D3362" s="18">
        <v>4.0</v>
      </c>
      <c r="E3362" s="17" t="s">
        <v>95</v>
      </c>
      <c r="F3362" s="15" t="s">
        <v>96</v>
      </c>
      <c r="G3362" s="19">
        <v>9.0043001E7</v>
      </c>
      <c r="H3362" s="15" t="s">
        <v>18</v>
      </c>
      <c r="I3362" s="20" t="s">
        <v>19</v>
      </c>
      <c r="J3362" s="21">
        <v>1142414.0</v>
      </c>
      <c r="K3362" s="21">
        <v>7.0</v>
      </c>
    </row>
    <row r="3363">
      <c r="A3363" s="15" t="s">
        <v>74</v>
      </c>
      <c r="B3363" s="16" t="s">
        <v>231</v>
      </c>
      <c r="C3363" s="17" t="s">
        <v>232</v>
      </c>
      <c r="D3363" s="18">
        <v>4.0</v>
      </c>
      <c r="E3363" s="17" t="s">
        <v>95</v>
      </c>
      <c r="F3363" s="15" t="s">
        <v>96</v>
      </c>
      <c r="G3363" s="19">
        <v>5.1100774E7</v>
      </c>
      <c r="H3363" s="15" t="s">
        <v>39</v>
      </c>
      <c r="I3363" s="20" t="s">
        <v>17</v>
      </c>
      <c r="J3363" s="21">
        <v>6793110.0</v>
      </c>
      <c r="K3363" s="21">
        <v>100.43</v>
      </c>
    </row>
    <row r="3364">
      <c r="A3364" s="15" t="s">
        <v>74</v>
      </c>
      <c r="B3364" s="16" t="s">
        <v>231</v>
      </c>
      <c r="C3364" s="17" t="s">
        <v>232</v>
      </c>
      <c r="D3364" s="18">
        <v>4.0</v>
      </c>
      <c r="E3364" s="17" t="s">
        <v>95</v>
      </c>
      <c r="F3364" s="15" t="s">
        <v>96</v>
      </c>
      <c r="G3364" s="19">
        <v>5.1100057E7</v>
      </c>
      <c r="H3364" s="15" t="s">
        <v>237</v>
      </c>
      <c r="I3364" s="20" t="s">
        <v>37</v>
      </c>
      <c r="J3364" s="21">
        <v>0.0</v>
      </c>
      <c r="K3364" s="21">
        <v>0.0</v>
      </c>
    </row>
    <row r="3365">
      <c r="A3365" s="15" t="s">
        <v>74</v>
      </c>
      <c r="B3365" s="16" t="s">
        <v>231</v>
      </c>
      <c r="C3365" s="17" t="s">
        <v>232</v>
      </c>
      <c r="D3365" s="18">
        <v>4.0</v>
      </c>
      <c r="E3365" s="17" t="s">
        <v>101</v>
      </c>
      <c r="F3365" s="15" t="s">
        <v>102</v>
      </c>
      <c r="G3365" s="19">
        <v>9.0043001E7</v>
      </c>
      <c r="H3365" s="15" t="s">
        <v>18</v>
      </c>
      <c r="I3365" s="20" t="s">
        <v>19</v>
      </c>
      <c r="J3365" s="21">
        <v>1.1584818E7</v>
      </c>
      <c r="K3365" s="21">
        <v>69.0</v>
      </c>
    </row>
    <row r="3366">
      <c r="A3366" s="15" t="s">
        <v>74</v>
      </c>
      <c r="B3366" s="16" t="s">
        <v>231</v>
      </c>
      <c r="C3366" s="17" t="s">
        <v>232</v>
      </c>
      <c r="D3366" s="18">
        <v>4.0</v>
      </c>
      <c r="E3366" s="17" t="s">
        <v>207</v>
      </c>
      <c r="F3366" s="15" t="s">
        <v>208</v>
      </c>
      <c r="G3366" s="19">
        <v>5.1100651E7</v>
      </c>
      <c r="H3366" s="15" t="s">
        <v>38</v>
      </c>
      <c r="I3366" s="20" t="s">
        <v>25</v>
      </c>
      <c r="J3366" s="21">
        <v>0.0</v>
      </c>
      <c r="K3366" s="21">
        <v>0.0</v>
      </c>
    </row>
    <row r="3367">
      <c r="A3367" s="15" t="s">
        <v>74</v>
      </c>
      <c r="B3367" s="16" t="s">
        <v>231</v>
      </c>
      <c r="C3367" s="17" t="s">
        <v>232</v>
      </c>
      <c r="D3367" s="18">
        <v>4.0</v>
      </c>
      <c r="E3367" s="17" t="s">
        <v>207</v>
      </c>
      <c r="F3367" s="15" t="s">
        <v>208</v>
      </c>
      <c r="G3367" s="19">
        <v>5.1100774E7</v>
      </c>
      <c r="H3367" s="15" t="s">
        <v>39</v>
      </c>
      <c r="I3367" s="20" t="s">
        <v>17</v>
      </c>
      <c r="J3367" s="21">
        <v>719000.0</v>
      </c>
      <c r="K3367" s="21">
        <v>17975.0</v>
      </c>
    </row>
    <row r="3368">
      <c r="A3368" s="15" t="s">
        <v>74</v>
      </c>
      <c r="B3368" s="16" t="s">
        <v>231</v>
      </c>
      <c r="C3368" s="17" t="s">
        <v>232</v>
      </c>
      <c r="D3368" s="18">
        <v>4.0</v>
      </c>
      <c r="E3368" s="17" t="s">
        <v>209</v>
      </c>
      <c r="F3368" s="15" t="s">
        <v>210</v>
      </c>
      <c r="G3368" s="19">
        <v>5.1100058E7</v>
      </c>
      <c r="H3368" s="15" t="s">
        <v>36</v>
      </c>
      <c r="I3368" s="20" t="s">
        <v>37</v>
      </c>
      <c r="J3368" s="21">
        <v>1.68670952E8</v>
      </c>
      <c r="K3368" s="21">
        <v>21870.0</v>
      </c>
    </row>
    <row r="3369">
      <c r="A3369" s="15" t="s">
        <v>74</v>
      </c>
      <c r="B3369" s="16" t="s">
        <v>231</v>
      </c>
      <c r="C3369" s="17" t="s">
        <v>232</v>
      </c>
      <c r="D3369" s="18">
        <v>4.0</v>
      </c>
      <c r="E3369" s="17" t="s">
        <v>175</v>
      </c>
      <c r="F3369" s="15" t="s">
        <v>176</v>
      </c>
      <c r="G3369" s="19">
        <v>9.0043002E7</v>
      </c>
      <c r="H3369" s="15" t="s">
        <v>49</v>
      </c>
      <c r="I3369" s="20" t="s">
        <v>50</v>
      </c>
      <c r="J3369" s="21">
        <v>4131464.0</v>
      </c>
      <c r="K3369" s="21">
        <v>360.0</v>
      </c>
    </row>
    <row r="3370">
      <c r="A3370" s="15" t="s">
        <v>74</v>
      </c>
      <c r="B3370" s="16" t="s">
        <v>231</v>
      </c>
      <c r="C3370" s="17" t="s">
        <v>232</v>
      </c>
      <c r="D3370" s="18">
        <v>4.0</v>
      </c>
      <c r="E3370" s="17" t="s">
        <v>117</v>
      </c>
      <c r="F3370" s="15" t="s">
        <v>118</v>
      </c>
      <c r="G3370" s="19">
        <v>5.1100651E7</v>
      </c>
      <c r="H3370" s="15" t="s">
        <v>38</v>
      </c>
      <c r="I3370" s="20" t="s">
        <v>25</v>
      </c>
      <c r="J3370" s="21">
        <v>0.0</v>
      </c>
      <c r="K3370" s="21">
        <v>0.0</v>
      </c>
    </row>
    <row r="3371">
      <c r="A3371" s="15" t="s">
        <v>74</v>
      </c>
      <c r="B3371" s="16" t="s">
        <v>231</v>
      </c>
      <c r="C3371" s="17" t="s">
        <v>232</v>
      </c>
      <c r="D3371" s="18">
        <v>4.0</v>
      </c>
      <c r="E3371" s="17" t="s">
        <v>117</v>
      </c>
      <c r="F3371" s="15" t="s">
        <v>118</v>
      </c>
      <c r="G3371" s="19">
        <v>5.1100774E7</v>
      </c>
      <c r="H3371" s="15" t="s">
        <v>39</v>
      </c>
      <c r="I3371" s="20" t="s">
        <v>17</v>
      </c>
      <c r="J3371" s="21">
        <v>4822875.0</v>
      </c>
      <c r="K3371" s="21">
        <v>42.87</v>
      </c>
    </row>
    <row r="3372">
      <c r="A3372" s="15" t="s">
        <v>74</v>
      </c>
      <c r="B3372" s="16" t="s">
        <v>231</v>
      </c>
      <c r="C3372" s="17" t="s">
        <v>232</v>
      </c>
      <c r="D3372" s="18">
        <v>4.0</v>
      </c>
      <c r="E3372" s="17" t="s">
        <v>123</v>
      </c>
      <c r="F3372" s="15" t="s">
        <v>124</v>
      </c>
      <c r="G3372" s="19">
        <v>9.0043001E7</v>
      </c>
      <c r="H3372" s="15" t="s">
        <v>18</v>
      </c>
      <c r="I3372" s="20" t="s">
        <v>19</v>
      </c>
      <c r="J3372" s="21">
        <v>816010.0</v>
      </c>
      <c r="K3372" s="21">
        <v>5.0</v>
      </c>
    </row>
    <row r="3373">
      <c r="A3373" s="15" t="s">
        <v>74</v>
      </c>
      <c r="B3373" s="16" t="s">
        <v>231</v>
      </c>
      <c r="C3373" s="17" t="s">
        <v>232</v>
      </c>
      <c r="D3373" s="18">
        <v>4.0</v>
      </c>
      <c r="E3373" s="17" t="s">
        <v>125</v>
      </c>
      <c r="F3373" s="15" t="s">
        <v>126</v>
      </c>
      <c r="G3373" s="19">
        <v>5.1100651E7</v>
      </c>
      <c r="H3373" s="15" t="s">
        <v>38</v>
      </c>
      <c r="I3373" s="20" t="s">
        <v>25</v>
      </c>
      <c r="J3373" s="21">
        <v>0.0</v>
      </c>
      <c r="K3373" s="21">
        <v>0.0</v>
      </c>
    </row>
    <row r="3374">
      <c r="A3374" s="15" t="s">
        <v>74</v>
      </c>
      <c r="B3374" s="16" t="s">
        <v>231</v>
      </c>
      <c r="C3374" s="17" t="s">
        <v>232</v>
      </c>
      <c r="D3374" s="18">
        <v>4.0</v>
      </c>
      <c r="E3374" s="17" t="s">
        <v>125</v>
      </c>
      <c r="F3374" s="15" t="s">
        <v>126</v>
      </c>
      <c r="G3374" s="19">
        <v>5.1101056E7</v>
      </c>
      <c r="H3374" s="15" t="s">
        <v>16</v>
      </c>
      <c r="I3374" s="20" t="s">
        <v>17</v>
      </c>
      <c r="J3374" s="21">
        <v>2.4262913E7</v>
      </c>
      <c r="K3374" s="21">
        <v>97246.0</v>
      </c>
    </row>
    <row r="3375">
      <c r="A3375" s="15" t="s">
        <v>74</v>
      </c>
      <c r="B3375" s="16" t="s">
        <v>231</v>
      </c>
      <c r="C3375" s="17" t="s">
        <v>232</v>
      </c>
      <c r="D3375" s="18">
        <v>4.0</v>
      </c>
      <c r="E3375" s="17" t="s">
        <v>125</v>
      </c>
      <c r="F3375" s="15" t="s">
        <v>126</v>
      </c>
      <c r="G3375" s="19">
        <v>9.0043001E7</v>
      </c>
      <c r="H3375" s="15" t="s">
        <v>18</v>
      </c>
      <c r="I3375" s="20" t="s">
        <v>19</v>
      </c>
      <c r="J3375" s="21">
        <v>1.16858762E8</v>
      </c>
      <c r="K3375" s="21">
        <v>639.0</v>
      </c>
    </row>
    <row r="3376">
      <c r="A3376" s="15" t="s">
        <v>74</v>
      </c>
      <c r="B3376" s="16" t="s">
        <v>231</v>
      </c>
      <c r="C3376" s="17" t="s">
        <v>232</v>
      </c>
      <c r="D3376" s="18">
        <v>4.0</v>
      </c>
      <c r="E3376" s="17" t="s">
        <v>125</v>
      </c>
      <c r="F3376" s="15" t="s">
        <v>126</v>
      </c>
      <c r="G3376" s="19">
        <v>5.1100774E7</v>
      </c>
      <c r="H3376" s="15" t="s">
        <v>39</v>
      </c>
      <c r="I3376" s="20" t="s">
        <v>25</v>
      </c>
      <c r="J3376" s="21">
        <v>0.0</v>
      </c>
      <c r="K3376" s="21">
        <v>0.0</v>
      </c>
    </row>
    <row r="3377">
      <c r="A3377" s="15" t="s">
        <v>74</v>
      </c>
      <c r="B3377" s="16" t="s">
        <v>231</v>
      </c>
      <c r="C3377" s="17" t="s">
        <v>232</v>
      </c>
      <c r="D3377" s="18">
        <v>4.0</v>
      </c>
      <c r="E3377" s="17" t="s">
        <v>127</v>
      </c>
      <c r="F3377" s="15" t="s">
        <v>128</v>
      </c>
      <c r="G3377" s="19">
        <v>9.0043001E7</v>
      </c>
      <c r="H3377" s="15" t="s">
        <v>18</v>
      </c>
      <c r="I3377" s="20" t="s">
        <v>19</v>
      </c>
      <c r="J3377" s="21">
        <v>1.8615384E7</v>
      </c>
      <c r="K3377" s="21">
        <v>91.6</v>
      </c>
    </row>
    <row r="3378">
      <c r="A3378" s="15" t="s">
        <v>74</v>
      </c>
      <c r="B3378" s="16" t="s">
        <v>231</v>
      </c>
      <c r="C3378" s="17" t="s">
        <v>232</v>
      </c>
      <c r="D3378" s="18">
        <v>4.0</v>
      </c>
      <c r="E3378" s="17" t="s">
        <v>127</v>
      </c>
      <c r="F3378" s="15" t="s">
        <v>128</v>
      </c>
      <c r="G3378" s="19">
        <v>9.0043002E7</v>
      </c>
      <c r="H3378" s="15" t="s">
        <v>49</v>
      </c>
      <c r="I3378" s="20" t="s">
        <v>50</v>
      </c>
      <c r="J3378" s="21">
        <v>1.55927481E8</v>
      </c>
      <c r="K3378" s="21">
        <v>13663.0</v>
      </c>
    </row>
    <row r="3379">
      <c r="A3379" s="15" t="s">
        <v>74</v>
      </c>
      <c r="B3379" s="16" t="s">
        <v>231</v>
      </c>
      <c r="C3379" s="17" t="s">
        <v>232</v>
      </c>
      <c r="D3379" s="18">
        <v>4.0</v>
      </c>
      <c r="E3379" s="17" t="s">
        <v>129</v>
      </c>
      <c r="F3379" s="15" t="s">
        <v>130</v>
      </c>
      <c r="G3379" s="19">
        <v>9.0043001E7</v>
      </c>
      <c r="H3379" s="15" t="s">
        <v>18</v>
      </c>
      <c r="I3379" s="20" t="s">
        <v>19</v>
      </c>
      <c r="J3379" s="21">
        <v>1.4792931E7</v>
      </c>
      <c r="K3379" s="21">
        <v>69.4</v>
      </c>
    </row>
    <row r="3380">
      <c r="A3380" s="15" t="s">
        <v>74</v>
      </c>
      <c r="B3380" s="16" t="s">
        <v>231</v>
      </c>
      <c r="C3380" s="17" t="s">
        <v>232</v>
      </c>
      <c r="D3380" s="18">
        <v>4.0</v>
      </c>
      <c r="E3380" s="17" t="s">
        <v>129</v>
      </c>
      <c r="F3380" s="15" t="s">
        <v>130</v>
      </c>
      <c r="G3380" s="19">
        <v>9.0043003E7</v>
      </c>
      <c r="H3380" s="15" t="s">
        <v>90</v>
      </c>
      <c r="I3380" s="20" t="s">
        <v>50</v>
      </c>
      <c r="J3380" s="21">
        <v>1.1189506E7</v>
      </c>
      <c r="K3380" s="21">
        <v>395.0</v>
      </c>
    </row>
    <row r="3381">
      <c r="A3381" s="15" t="s">
        <v>74</v>
      </c>
      <c r="B3381" s="16" t="s">
        <v>231</v>
      </c>
      <c r="C3381" s="17" t="s">
        <v>232</v>
      </c>
      <c r="D3381" s="18">
        <v>4.0</v>
      </c>
      <c r="E3381" s="17" t="s">
        <v>135</v>
      </c>
      <c r="F3381" s="15" t="s">
        <v>136</v>
      </c>
      <c r="G3381" s="19">
        <v>9.0043001E7</v>
      </c>
      <c r="H3381" s="15" t="s">
        <v>18</v>
      </c>
      <c r="I3381" s="20" t="s">
        <v>19</v>
      </c>
      <c r="J3381" s="21">
        <v>1305616.0</v>
      </c>
      <c r="K3381" s="21">
        <v>8.0</v>
      </c>
    </row>
    <row r="3382">
      <c r="A3382" s="15" t="s">
        <v>74</v>
      </c>
      <c r="B3382" s="16" t="s">
        <v>231</v>
      </c>
      <c r="C3382" s="17" t="s">
        <v>232</v>
      </c>
      <c r="D3382" s="18">
        <v>4.0</v>
      </c>
      <c r="E3382" s="17" t="s">
        <v>354</v>
      </c>
      <c r="F3382" s="15" t="s">
        <v>355</v>
      </c>
      <c r="G3382" s="19">
        <v>5.1100651E7</v>
      </c>
      <c r="H3382" s="15" t="s">
        <v>38</v>
      </c>
      <c r="I3382" s="20" t="s">
        <v>25</v>
      </c>
      <c r="J3382" s="21">
        <v>0.0</v>
      </c>
      <c r="K3382" s="21">
        <v>0.0</v>
      </c>
    </row>
    <row r="3383">
      <c r="A3383" s="15" t="s">
        <v>74</v>
      </c>
      <c r="B3383" s="16" t="s">
        <v>231</v>
      </c>
      <c r="C3383" s="17" t="s">
        <v>232</v>
      </c>
      <c r="D3383" s="18">
        <v>4.0</v>
      </c>
      <c r="E3383" s="17" t="s">
        <v>354</v>
      </c>
      <c r="F3383" s="15" t="s">
        <v>355</v>
      </c>
      <c r="G3383" s="19">
        <v>5.1100774E7</v>
      </c>
      <c r="H3383" s="15" t="s">
        <v>39</v>
      </c>
      <c r="I3383" s="20" t="s">
        <v>17</v>
      </c>
      <c r="J3383" s="21">
        <v>4.1613354E7</v>
      </c>
      <c r="K3383" s="21">
        <v>87.9</v>
      </c>
    </row>
    <row r="3384">
      <c r="A3384" s="15" t="s">
        <v>74</v>
      </c>
      <c r="B3384" s="16" t="s">
        <v>231</v>
      </c>
      <c r="C3384" s="17" t="s">
        <v>232</v>
      </c>
      <c r="D3384" s="18">
        <v>4.0</v>
      </c>
      <c r="E3384" s="17" t="s">
        <v>162</v>
      </c>
      <c r="F3384" s="15" t="s">
        <v>163</v>
      </c>
      <c r="G3384" s="19">
        <v>9.0043001E7</v>
      </c>
      <c r="H3384" s="15" t="s">
        <v>18</v>
      </c>
      <c r="I3384" s="20" t="s">
        <v>19</v>
      </c>
      <c r="J3384" s="21">
        <v>5919200.0</v>
      </c>
      <c r="K3384" s="21">
        <v>25.0</v>
      </c>
    </row>
    <row r="3385">
      <c r="A3385" s="15" t="s">
        <v>74</v>
      </c>
      <c r="B3385" s="16" t="s">
        <v>231</v>
      </c>
      <c r="C3385" s="17" t="s">
        <v>232</v>
      </c>
      <c r="D3385" s="18">
        <v>4.0</v>
      </c>
      <c r="E3385" s="17" t="s">
        <v>54</v>
      </c>
      <c r="F3385" s="15" t="s">
        <v>139</v>
      </c>
      <c r="G3385" s="19">
        <v>9.0042011E7</v>
      </c>
      <c r="H3385" s="15" t="s">
        <v>55</v>
      </c>
      <c r="I3385" s="20" t="s">
        <v>19</v>
      </c>
      <c r="J3385" s="21">
        <v>2.89284E7</v>
      </c>
      <c r="K3385" s="21">
        <v>0.0</v>
      </c>
    </row>
    <row r="3386">
      <c r="A3386" s="15" t="s">
        <v>74</v>
      </c>
      <c r="B3386" s="16" t="s">
        <v>231</v>
      </c>
      <c r="C3386" s="17" t="s">
        <v>232</v>
      </c>
      <c r="D3386" s="18">
        <v>4.0</v>
      </c>
      <c r="E3386" s="17" t="s">
        <v>20</v>
      </c>
      <c r="F3386" s="15" t="s">
        <v>140</v>
      </c>
      <c r="G3386" s="19">
        <v>9.0042014E7</v>
      </c>
      <c r="H3386" s="15" t="s">
        <v>21</v>
      </c>
      <c r="I3386" s="20" t="s">
        <v>19</v>
      </c>
      <c r="J3386" s="21">
        <v>1.57972275E8</v>
      </c>
      <c r="K3386" s="21">
        <v>0.0</v>
      </c>
    </row>
    <row r="3387">
      <c r="A3387" s="15" t="s">
        <v>74</v>
      </c>
      <c r="B3387" s="16" t="s">
        <v>231</v>
      </c>
      <c r="C3387" s="17" t="s">
        <v>232</v>
      </c>
      <c r="D3387" s="18">
        <v>4.0</v>
      </c>
      <c r="E3387" s="17" t="s">
        <v>20</v>
      </c>
      <c r="F3387" s="15" t="s">
        <v>140</v>
      </c>
      <c r="G3387" s="19">
        <v>9.0042077E7</v>
      </c>
      <c r="H3387" s="15" t="s">
        <v>141</v>
      </c>
      <c r="I3387" s="20" t="s">
        <v>19</v>
      </c>
      <c r="J3387" s="21">
        <v>1.90053E7</v>
      </c>
      <c r="K3387" s="21">
        <v>0.0</v>
      </c>
    </row>
    <row r="3388">
      <c r="A3388" s="15" t="s">
        <v>74</v>
      </c>
      <c r="B3388" s="16" t="s">
        <v>231</v>
      </c>
      <c r="C3388" s="17" t="s">
        <v>232</v>
      </c>
      <c r="D3388" s="18">
        <v>4.0</v>
      </c>
      <c r="E3388" s="17" t="s">
        <v>142</v>
      </c>
      <c r="F3388" s="15" t="s">
        <v>143</v>
      </c>
      <c r="G3388" s="19">
        <v>9.0042013E7</v>
      </c>
      <c r="H3388" s="15" t="s">
        <v>144</v>
      </c>
      <c r="I3388" s="20" t="s">
        <v>19</v>
      </c>
      <c r="J3388" s="21">
        <v>3878431.0</v>
      </c>
      <c r="K3388" s="21">
        <v>0.0</v>
      </c>
    </row>
    <row r="3389">
      <c r="A3389" s="15" t="s">
        <v>74</v>
      </c>
      <c r="B3389" s="16" t="s">
        <v>231</v>
      </c>
      <c r="C3389" s="17" t="s">
        <v>232</v>
      </c>
      <c r="D3389" s="18">
        <v>4.0</v>
      </c>
      <c r="E3389" s="17" t="s">
        <v>142</v>
      </c>
      <c r="F3389" s="15" t="s">
        <v>143</v>
      </c>
      <c r="G3389" s="19">
        <v>9.0042084E7</v>
      </c>
      <c r="H3389" s="15" t="s">
        <v>145</v>
      </c>
      <c r="I3389" s="20" t="s">
        <v>19</v>
      </c>
      <c r="J3389" s="21">
        <v>7524045.0</v>
      </c>
      <c r="K3389" s="21">
        <v>0.0</v>
      </c>
    </row>
    <row r="3390">
      <c r="A3390" s="15" t="s">
        <v>74</v>
      </c>
      <c r="B3390" s="16" t="s">
        <v>231</v>
      </c>
      <c r="C3390" s="17" t="s">
        <v>232</v>
      </c>
      <c r="D3390" s="18">
        <v>4.0</v>
      </c>
      <c r="E3390" s="17" t="s">
        <v>22</v>
      </c>
      <c r="F3390" s="15" t="s">
        <v>146</v>
      </c>
      <c r="G3390" s="19">
        <v>9.0042012E7</v>
      </c>
      <c r="H3390" s="15" t="s">
        <v>23</v>
      </c>
      <c r="I3390" s="20" t="s">
        <v>19</v>
      </c>
      <c r="J3390" s="21">
        <v>1.01148282E8</v>
      </c>
      <c r="K3390" s="21">
        <v>0.0</v>
      </c>
    </row>
    <row r="3391">
      <c r="A3391" s="15" t="s">
        <v>74</v>
      </c>
      <c r="B3391" s="16" t="s">
        <v>231</v>
      </c>
      <c r="C3391" s="17" t="s">
        <v>232</v>
      </c>
      <c r="D3391" s="18">
        <v>4.0</v>
      </c>
      <c r="E3391" s="17" t="s">
        <v>22</v>
      </c>
      <c r="F3391" s="15" t="s">
        <v>146</v>
      </c>
      <c r="G3391" s="19">
        <v>9.0042121E7</v>
      </c>
      <c r="H3391" s="15" t="s">
        <v>24</v>
      </c>
      <c r="I3391" s="20" t="s">
        <v>25</v>
      </c>
      <c r="J3391" s="21">
        <v>8.3548001E7</v>
      </c>
      <c r="K3391" s="21">
        <v>0.0</v>
      </c>
    </row>
    <row r="3392">
      <c r="A3392" s="15" t="s">
        <v>74</v>
      </c>
      <c r="B3392" s="16" t="s">
        <v>231</v>
      </c>
      <c r="C3392" s="17" t="s">
        <v>232</v>
      </c>
      <c r="D3392" s="18">
        <v>4.0</v>
      </c>
      <c r="E3392" s="17" t="s">
        <v>22</v>
      </c>
      <c r="F3392" s="15" t="s">
        <v>146</v>
      </c>
      <c r="G3392" s="19">
        <v>9.0042122E7</v>
      </c>
      <c r="H3392" s="15" t="s">
        <v>56</v>
      </c>
      <c r="I3392" s="20" t="s">
        <v>25</v>
      </c>
      <c r="J3392" s="21">
        <v>3018000.0</v>
      </c>
      <c r="K3392" s="21">
        <v>0.0</v>
      </c>
    </row>
    <row r="3393">
      <c r="A3393" s="15" t="s">
        <v>74</v>
      </c>
      <c r="B3393" s="16" t="s">
        <v>231</v>
      </c>
      <c r="C3393" s="17" t="s">
        <v>232</v>
      </c>
      <c r="D3393" s="18">
        <v>4.0</v>
      </c>
      <c r="E3393" s="17" t="s">
        <v>22</v>
      </c>
      <c r="F3393" s="15" t="s">
        <v>146</v>
      </c>
      <c r="G3393" s="19">
        <v>9.0042125E7</v>
      </c>
      <c r="H3393" s="15" t="s">
        <v>26</v>
      </c>
      <c r="I3393" s="20" t="s">
        <v>25</v>
      </c>
      <c r="J3393" s="21">
        <v>7.8231137E7</v>
      </c>
      <c r="K3393" s="21">
        <v>0.0</v>
      </c>
    </row>
    <row r="3394">
      <c r="A3394" s="15" t="s">
        <v>74</v>
      </c>
      <c r="B3394" s="16" t="s">
        <v>231</v>
      </c>
      <c r="C3394" s="17" t="s">
        <v>232</v>
      </c>
      <c r="D3394" s="18">
        <v>4.0</v>
      </c>
      <c r="E3394" s="17" t="s">
        <v>22</v>
      </c>
      <c r="F3394" s="15" t="s">
        <v>146</v>
      </c>
      <c r="G3394" s="19">
        <v>9.0042135E7</v>
      </c>
      <c r="H3394" s="15" t="s">
        <v>30</v>
      </c>
      <c r="I3394" s="20" t="s">
        <v>25</v>
      </c>
      <c r="J3394" s="21">
        <v>5.0648151E7</v>
      </c>
      <c r="K3394" s="21">
        <v>0.0</v>
      </c>
    </row>
    <row r="3395">
      <c r="A3395" s="15" t="s">
        <v>74</v>
      </c>
      <c r="B3395" s="16" t="s">
        <v>231</v>
      </c>
      <c r="C3395" s="17" t="s">
        <v>232</v>
      </c>
      <c r="D3395" s="18">
        <v>4.0</v>
      </c>
      <c r="E3395" s="17" t="s">
        <v>22</v>
      </c>
      <c r="F3395" s="15" t="s">
        <v>146</v>
      </c>
      <c r="G3395" s="19">
        <v>9.00422E7</v>
      </c>
      <c r="H3395" s="15" t="s">
        <v>73</v>
      </c>
      <c r="I3395" s="20" t="s">
        <v>60</v>
      </c>
      <c r="J3395" s="21">
        <v>1.60641669E8</v>
      </c>
      <c r="K3395" s="21">
        <v>0.0</v>
      </c>
    </row>
    <row r="3396">
      <c r="A3396" s="15" t="s">
        <v>74</v>
      </c>
      <c r="B3396" s="16" t="s">
        <v>231</v>
      </c>
      <c r="C3396" s="17" t="s">
        <v>232</v>
      </c>
      <c r="D3396" s="18">
        <v>4.0</v>
      </c>
      <c r="E3396" s="17" t="s">
        <v>22</v>
      </c>
      <c r="F3396" s="15" t="s">
        <v>146</v>
      </c>
      <c r="G3396" s="19">
        <v>9.0042223E7</v>
      </c>
      <c r="H3396" s="15" t="s">
        <v>61</v>
      </c>
      <c r="I3396" s="20" t="s">
        <v>60</v>
      </c>
      <c r="J3396" s="21">
        <v>3340880.0</v>
      </c>
      <c r="K3396" s="21">
        <v>0.0</v>
      </c>
    </row>
    <row r="3397">
      <c r="A3397" s="15" t="s">
        <v>74</v>
      </c>
      <c r="B3397" s="16" t="s">
        <v>231</v>
      </c>
      <c r="C3397" s="17" t="s">
        <v>232</v>
      </c>
      <c r="D3397" s="18">
        <v>4.0</v>
      </c>
      <c r="E3397" s="17" t="s">
        <v>22</v>
      </c>
      <c r="F3397" s="15" t="s">
        <v>146</v>
      </c>
      <c r="G3397" s="19">
        <v>9.0042224E7</v>
      </c>
      <c r="H3397" s="15" t="s">
        <v>62</v>
      </c>
      <c r="I3397" s="20" t="s">
        <v>60</v>
      </c>
      <c r="J3397" s="21">
        <v>1088874.0</v>
      </c>
      <c r="K3397" s="21">
        <v>0.0</v>
      </c>
    </row>
    <row r="3398">
      <c r="A3398" s="15" t="s">
        <v>74</v>
      </c>
      <c r="B3398" s="16" t="s">
        <v>231</v>
      </c>
      <c r="C3398" s="17" t="s">
        <v>232</v>
      </c>
      <c r="D3398" s="18">
        <v>4.0</v>
      </c>
      <c r="E3398" s="17" t="s">
        <v>22</v>
      </c>
      <c r="F3398" s="15" t="s">
        <v>146</v>
      </c>
      <c r="G3398" s="19">
        <v>9.0042226E7</v>
      </c>
      <c r="H3398" s="15" t="s">
        <v>63</v>
      </c>
      <c r="I3398" s="20" t="s">
        <v>60</v>
      </c>
      <c r="J3398" s="21">
        <v>133333.0</v>
      </c>
      <c r="K3398" s="21">
        <v>0.0</v>
      </c>
    </row>
    <row r="3399">
      <c r="A3399" s="15" t="s">
        <v>74</v>
      </c>
      <c r="B3399" s="16" t="s">
        <v>231</v>
      </c>
      <c r="C3399" s="17" t="s">
        <v>232</v>
      </c>
      <c r="D3399" s="18">
        <v>4.0</v>
      </c>
      <c r="E3399" s="17" t="s">
        <v>22</v>
      </c>
      <c r="F3399" s="15" t="s">
        <v>146</v>
      </c>
      <c r="G3399" s="19">
        <v>9.0042228E7</v>
      </c>
      <c r="H3399" s="15" t="s">
        <v>64</v>
      </c>
      <c r="I3399" s="20" t="s">
        <v>60</v>
      </c>
      <c r="J3399" s="21">
        <v>2988806.0</v>
      </c>
      <c r="K3399" s="21">
        <v>0.0</v>
      </c>
    </row>
    <row r="3400">
      <c r="A3400" s="15" t="s">
        <v>74</v>
      </c>
      <c r="B3400" s="16" t="s">
        <v>231</v>
      </c>
      <c r="C3400" s="17" t="s">
        <v>232</v>
      </c>
      <c r="D3400" s="18">
        <v>4.0</v>
      </c>
      <c r="E3400" s="17" t="s">
        <v>22</v>
      </c>
      <c r="F3400" s="15" t="s">
        <v>146</v>
      </c>
      <c r="G3400" s="19">
        <v>9.0042231E7</v>
      </c>
      <c r="H3400" s="15" t="s">
        <v>65</v>
      </c>
      <c r="I3400" s="20" t="s">
        <v>60</v>
      </c>
      <c r="J3400" s="21">
        <v>2351901.0</v>
      </c>
      <c r="K3400" s="21">
        <v>0.0</v>
      </c>
    </row>
    <row r="3401">
      <c r="A3401" s="15" t="s">
        <v>74</v>
      </c>
      <c r="B3401" s="16" t="s">
        <v>231</v>
      </c>
      <c r="C3401" s="17" t="s">
        <v>232</v>
      </c>
      <c r="D3401" s="18">
        <v>4.0</v>
      </c>
      <c r="E3401" s="17" t="s">
        <v>22</v>
      </c>
      <c r="F3401" s="15" t="s">
        <v>146</v>
      </c>
      <c r="G3401" s="19">
        <v>9.0042126E7</v>
      </c>
      <c r="H3401" s="15" t="s">
        <v>31</v>
      </c>
      <c r="I3401" s="20" t="s">
        <v>25</v>
      </c>
      <c r="J3401" s="21">
        <v>5.3010543E7</v>
      </c>
      <c r="K3401" s="21">
        <v>0.0</v>
      </c>
    </row>
    <row r="3402">
      <c r="A3402" s="15" t="s">
        <v>74</v>
      </c>
      <c r="B3402" s="16" t="s">
        <v>231</v>
      </c>
      <c r="C3402" s="17" t="s">
        <v>232</v>
      </c>
      <c r="D3402" s="18">
        <v>4.0</v>
      </c>
      <c r="E3402" s="17" t="s">
        <v>22</v>
      </c>
      <c r="F3402" s="15" t="s">
        <v>146</v>
      </c>
      <c r="G3402" s="19">
        <v>9.004212E7</v>
      </c>
      <c r="H3402" s="15" t="s">
        <v>182</v>
      </c>
      <c r="I3402" s="20" t="s">
        <v>25</v>
      </c>
      <c r="J3402" s="21">
        <v>3.5337E7</v>
      </c>
      <c r="K3402" s="21">
        <v>0.0</v>
      </c>
    </row>
    <row r="3403">
      <c r="A3403" s="15" t="s">
        <v>74</v>
      </c>
      <c r="B3403" s="16" t="s">
        <v>231</v>
      </c>
      <c r="C3403" s="17" t="s">
        <v>232</v>
      </c>
      <c r="D3403" s="18">
        <v>4.0</v>
      </c>
      <c r="E3403" s="17" t="s">
        <v>22</v>
      </c>
      <c r="F3403" s="15" t="s">
        <v>146</v>
      </c>
      <c r="G3403" s="19">
        <v>9.0042119E7</v>
      </c>
      <c r="H3403" s="15" t="s">
        <v>279</v>
      </c>
      <c r="I3403" s="20" t="s">
        <v>25</v>
      </c>
      <c r="J3403" s="21">
        <v>280000.0</v>
      </c>
      <c r="K3403" s="21">
        <v>0.0</v>
      </c>
    </row>
    <row r="3404">
      <c r="A3404" s="15" t="s">
        <v>74</v>
      </c>
      <c r="B3404" s="16" t="s">
        <v>231</v>
      </c>
      <c r="C3404" s="17" t="s">
        <v>232</v>
      </c>
      <c r="D3404" s="18">
        <v>4.0</v>
      </c>
      <c r="E3404" s="24">
        <v>46097.0</v>
      </c>
      <c r="F3404" s="15" t="s">
        <v>216</v>
      </c>
      <c r="G3404" s="19">
        <v>9.0043001E7</v>
      </c>
      <c r="H3404" s="15" t="s">
        <v>18</v>
      </c>
      <c r="I3404" s="20" t="s">
        <v>19</v>
      </c>
      <c r="J3404" s="21">
        <v>1420608.0</v>
      </c>
      <c r="K3404" s="21">
        <v>6.0</v>
      </c>
    </row>
    <row r="3405">
      <c r="A3405" s="15" t="s">
        <v>74</v>
      </c>
      <c r="B3405" s="16" t="s">
        <v>231</v>
      </c>
      <c r="C3405" s="17" t="s">
        <v>232</v>
      </c>
      <c r="D3405" s="18">
        <v>4.0</v>
      </c>
      <c r="E3405" s="24">
        <v>46097.0</v>
      </c>
      <c r="F3405" s="15" t="s">
        <v>216</v>
      </c>
      <c r="G3405" s="19">
        <v>9.0043003E7</v>
      </c>
      <c r="H3405" s="15" t="s">
        <v>90</v>
      </c>
      <c r="I3405" s="20" t="s">
        <v>50</v>
      </c>
      <c r="J3405" s="21">
        <v>857372.0</v>
      </c>
      <c r="K3405" s="21">
        <v>49.0</v>
      </c>
    </row>
    <row r="3406">
      <c r="A3406" s="15" t="s">
        <v>74</v>
      </c>
      <c r="B3406" s="16" t="s">
        <v>231</v>
      </c>
      <c r="C3406" s="17" t="s">
        <v>232</v>
      </c>
      <c r="D3406" s="18">
        <v>4.0</v>
      </c>
      <c r="E3406" s="24">
        <v>46069.0</v>
      </c>
      <c r="F3406" s="15" t="s">
        <v>217</v>
      </c>
      <c r="G3406" s="19">
        <v>9.0043001E7</v>
      </c>
      <c r="H3406" s="15" t="s">
        <v>18</v>
      </c>
      <c r="I3406" s="20" t="s">
        <v>19</v>
      </c>
      <c r="J3406" s="21">
        <v>5713076.0</v>
      </c>
      <c r="K3406" s="21">
        <v>27.5</v>
      </c>
    </row>
    <row r="3407">
      <c r="A3407" s="15" t="s">
        <v>74</v>
      </c>
      <c r="B3407" s="16" t="s">
        <v>231</v>
      </c>
      <c r="C3407" s="17" t="s">
        <v>232</v>
      </c>
      <c r="D3407" s="18">
        <v>4.0</v>
      </c>
      <c r="E3407" s="24">
        <v>46069.0</v>
      </c>
      <c r="F3407" s="15" t="s">
        <v>217</v>
      </c>
      <c r="G3407" s="19">
        <v>9.0043002E7</v>
      </c>
      <c r="H3407" s="15" t="s">
        <v>49</v>
      </c>
      <c r="I3407" s="20" t="s">
        <v>50</v>
      </c>
      <c r="J3407" s="21">
        <v>1.2922464E7</v>
      </c>
      <c r="K3407" s="21">
        <v>1180.0</v>
      </c>
    </row>
    <row r="3408">
      <c r="A3408" s="15" t="s">
        <v>74</v>
      </c>
      <c r="B3408" s="16" t="s">
        <v>231</v>
      </c>
      <c r="C3408" s="17" t="s">
        <v>232</v>
      </c>
      <c r="D3408" s="18">
        <v>4.0</v>
      </c>
      <c r="E3408" s="24">
        <v>46265.0</v>
      </c>
      <c r="F3408" s="15" t="s">
        <v>356</v>
      </c>
      <c r="G3408" s="19">
        <v>5.1101999E7</v>
      </c>
      <c r="H3408" s="15" t="s">
        <v>107</v>
      </c>
      <c r="I3408" s="20" t="s">
        <v>25</v>
      </c>
      <c r="J3408" s="21">
        <v>0.0</v>
      </c>
      <c r="K3408" s="21">
        <v>0.0</v>
      </c>
    </row>
    <row r="3409">
      <c r="A3409" s="15" t="s">
        <v>74</v>
      </c>
      <c r="B3409" s="16" t="s">
        <v>231</v>
      </c>
      <c r="C3409" s="17" t="s">
        <v>232</v>
      </c>
      <c r="D3409" s="18">
        <v>4.0</v>
      </c>
      <c r="E3409" s="24">
        <v>46234.0</v>
      </c>
      <c r="F3409" s="15" t="s">
        <v>357</v>
      </c>
      <c r="G3409" s="19">
        <v>9.0043001E7</v>
      </c>
      <c r="H3409" s="15" t="s">
        <v>18</v>
      </c>
      <c r="I3409" s="20" t="s">
        <v>19</v>
      </c>
      <c r="J3409" s="21">
        <v>0.0</v>
      </c>
      <c r="K3409" s="21">
        <v>0.0</v>
      </c>
    </row>
    <row r="3410">
      <c r="A3410" s="15" t="s">
        <v>74</v>
      </c>
      <c r="B3410" s="16" t="s">
        <v>231</v>
      </c>
      <c r="C3410" s="17" t="s">
        <v>232</v>
      </c>
      <c r="D3410" s="18">
        <v>4.0</v>
      </c>
      <c r="E3410" s="24">
        <v>46050.0</v>
      </c>
      <c r="F3410" s="15" t="s">
        <v>358</v>
      </c>
      <c r="G3410" s="19">
        <v>5.1101999E7</v>
      </c>
      <c r="H3410" s="15" t="s">
        <v>107</v>
      </c>
      <c r="I3410" s="20" t="s">
        <v>25</v>
      </c>
      <c r="J3410" s="21">
        <v>0.0</v>
      </c>
      <c r="K3410" s="21">
        <v>0.0</v>
      </c>
    </row>
    <row r="3411">
      <c r="A3411" s="15" t="s">
        <v>74</v>
      </c>
      <c r="B3411" s="16" t="s">
        <v>233</v>
      </c>
      <c r="C3411" s="17" t="s">
        <v>234</v>
      </c>
      <c r="D3411" s="18">
        <v>4.0</v>
      </c>
      <c r="E3411" s="17" t="s">
        <v>173</v>
      </c>
      <c r="F3411" s="15" t="s">
        <v>174</v>
      </c>
      <c r="G3411" s="19">
        <v>9.0043002E7</v>
      </c>
      <c r="H3411" s="15" t="s">
        <v>49</v>
      </c>
      <c r="I3411" s="20" t="s">
        <v>50</v>
      </c>
      <c r="J3411" s="21">
        <v>1571841.0</v>
      </c>
      <c r="K3411" s="21">
        <v>92.0</v>
      </c>
    </row>
    <row r="3412">
      <c r="A3412" s="15" t="s">
        <v>74</v>
      </c>
      <c r="B3412" s="16" t="s">
        <v>233</v>
      </c>
      <c r="C3412" s="17" t="s">
        <v>234</v>
      </c>
      <c r="D3412" s="18">
        <v>4.0</v>
      </c>
      <c r="E3412" s="17" t="s">
        <v>173</v>
      </c>
      <c r="F3412" s="15" t="s">
        <v>174</v>
      </c>
      <c r="G3412" s="19">
        <v>9.0043003E7</v>
      </c>
      <c r="H3412" s="15" t="s">
        <v>90</v>
      </c>
      <c r="I3412" s="20" t="s">
        <v>50</v>
      </c>
      <c r="J3412" s="21">
        <v>1.4346384E7</v>
      </c>
      <c r="K3412" s="21">
        <v>83.0</v>
      </c>
    </row>
    <row r="3413">
      <c r="A3413" s="15" t="s">
        <v>74</v>
      </c>
      <c r="B3413" s="16" t="s">
        <v>233</v>
      </c>
      <c r="C3413" s="17" t="s">
        <v>234</v>
      </c>
      <c r="D3413" s="18">
        <v>4.0</v>
      </c>
      <c r="E3413" s="17" t="s">
        <v>152</v>
      </c>
      <c r="F3413" s="15" t="s">
        <v>153</v>
      </c>
      <c r="G3413" s="19">
        <v>9.0043003E7</v>
      </c>
      <c r="H3413" s="15" t="s">
        <v>90</v>
      </c>
      <c r="I3413" s="20" t="s">
        <v>50</v>
      </c>
      <c r="J3413" s="21">
        <v>1.1753664E7</v>
      </c>
      <c r="K3413" s="21">
        <v>68.0</v>
      </c>
    </row>
    <row r="3414">
      <c r="A3414" s="15" t="s">
        <v>74</v>
      </c>
      <c r="B3414" s="16" t="s">
        <v>233</v>
      </c>
      <c r="C3414" s="17" t="s">
        <v>234</v>
      </c>
      <c r="D3414" s="18">
        <v>4.0</v>
      </c>
      <c r="E3414" s="17" t="s">
        <v>154</v>
      </c>
      <c r="F3414" s="15" t="s">
        <v>155</v>
      </c>
      <c r="G3414" s="19">
        <v>9.0043003E7</v>
      </c>
      <c r="H3414" s="15" t="s">
        <v>90</v>
      </c>
      <c r="I3414" s="20" t="s">
        <v>50</v>
      </c>
      <c r="J3414" s="21">
        <v>3897083.0</v>
      </c>
      <c r="K3414" s="21">
        <v>2627.5</v>
      </c>
    </row>
    <row r="3415">
      <c r="A3415" s="15" t="s">
        <v>74</v>
      </c>
      <c r="B3415" s="16" t="s">
        <v>233</v>
      </c>
      <c r="C3415" s="17" t="s">
        <v>234</v>
      </c>
      <c r="D3415" s="18">
        <v>4.0</v>
      </c>
      <c r="E3415" s="17" t="s">
        <v>95</v>
      </c>
      <c r="F3415" s="15" t="s">
        <v>96</v>
      </c>
      <c r="G3415" s="19">
        <v>5.1100058E7</v>
      </c>
      <c r="H3415" s="15" t="s">
        <v>36</v>
      </c>
      <c r="I3415" s="20" t="s">
        <v>37</v>
      </c>
      <c r="J3415" s="21">
        <v>3.5773653E7</v>
      </c>
      <c r="K3415" s="21">
        <v>521.84</v>
      </c>
    </row>
    <row r="3416">
      <c r="A3416" s="15" t="s">
        <v>74</v>
      </c>
      <c r="B3416" s="16" t="s">
        <v>233</v>
      </c>
      <c r="C3416" s="17" t="s">
        <v>234</v>
      </c>
      <c r="D3416" s="18">
        <v>4.0</v>
      </c>
      <c r="E3416" s="17" t="s">
        <v>95</v>
      </c>
      <c r="F3416" s="15" t="s">
        <v>96</v>
      </c>
      <c r="G3416" s="19">
        <v>5.1100774E7</v>
      </c>
      <c r="H3416" s="15" t="s">
        <v>39</v>
      </c>
      <c r="I3416" s="20" t="s">
        <v>17</v>
      </c>
      <c r="J3416" s="21">
        <v>7.7411949E7</v>
      </c>
      <c r="K3416" s="21">
        <v>1144.47</v>
      </c>
    </row>
    <row r="3417">
      <c r="A3417" s="15" t="s">
        <v>74</v>
      </c>
      <c r="B3417" s="16" t="s">
        <v>233</v>
      </c>
      <c r="C3417" s="17" t="s">
        <v>234</v>
      </c>
      <c r="D3417" s="18">
        <v>4.0</v>
      </c>
      <c r="E3417" s="17" t="s">
        <v>103</v>
      </c>
      <c r="F3417" s="15" t="s">
        <v>104</v>
      </c>
      <c r="G3417" s="19">
        <v>9.0043003E7</v>
      </c>
      <c r="H3417" s="15" t="s">
        <v>90</v>
      </c>
      <c r="I3417" s="20" t="s">
        <v>50</v>
      </c>
      <c r="J3417" s="21">
        <v>8708270.0</v>
      </c>
      <c r="K3417" s="21">
        <v>31.5</v>
      </c>
    </row>
    <row r="3418">
      <c r="A3418" s="15" t="s">
        <v>74</v>
      </c>
      <c r="B3418" s="16" t="s">
        <v>233</v>
      </c>
      <c r="C3418" s="17" t="s">
        <v>234</v>
      </c>
      <c r="D3418" s="18">
        <v>4.0</v>
      </c>
      <c r="E3418" s="17" t="s">
        <v>105</v>
      </c>
      <c r="F3418" s="15" t="s">
        <v>106</v>
      </c>
      <c r="G3418" s="19">
        <v>5.1100774E7</v>
      </c>
      <c r="H3418" s="15" t="s">
        <v>39</v>
      </c>
      <c r="I3418" s="20" t="s">
        <v>17</v>
      </c>
      <c r="J3418" s="21">
        <v>2.8875E7</v>
      </c>
      <c r="K3418" s="21">
        <v>3.3</v>
      </c>
    </row>
    <row r="3419">
      <c r="A3419" s="15" t="s">
        <v>74</v>
      </c>
      <c r="B3419" s="16" t="s">
        <v>233</v>
      </c>
      <c r="C3419" s="17" t="s">
        <v>234</v>
      </c>
      <c r="D3419" s="18">
        <v>4.0</v>
      </c>
      <c r="E3419" s="17" t="s">
        <v>175</v>
      </c>
      <c r="F3419" s="15" t="s">
        <v>176</v>
      </c>
      <c r="G3419" s="19">
        <v>9.0043002E7</v>
      </c>
      <c r="H3419" s="15" t="s">
        <v>49</v>
      </c>
      <c r="I3419" s="20" t="s">
        <v>50</v>
      </c>
      <c r="J3419" s="21">
        <v>1102009.0</v>
      </c>
      <c r="K3419" s="21">
        <v>65.0</v>
      </c>
    </row>
    <row r="3420">
      <c r="A3420" s="15" t="s">
        <v>74</v>
      </c>
      <c r="B3420" s="16" t="s">
        <v>233</v>
      </c>
      <c r="C3420" s="17" t="s">
        <v>234</v>
      </c>
      <c r="D3420" s="18">
        <v>4.0</v>
      </c>
      <c r="E3420" s="17" t="s">
        <v>175</v>
      </c>
      <c r="F3420" s="15" t="s">
        <v>176</v>
      </c>
      <c r="G3420" s="19">
        <v>5.1100774E7</v>
      </c>
      <c r="H3420" s="15" t="s">
        <v>39</v>
      </c>
      <c r="I3420" s="20" t="s">
        <v>17</v>
      </c>
      <c r="J3420" s="21">
        <v>2.083E7</v>
      </c>
      <c r="K3420" s="21">
        <v>208300.0</v>
      </c>
    </row>
    <row r="3421">
      <c r="A3421" s="15" t="s">
        <v>74</v>
      </c>
      <c r="B3421" s="16" t="s">
        <v>233</v>
      </c>
      <c r="C3421" s="17" t="s">
        <v>234</v>
      </c>
      <c r="D3421" s="18">
        <v>4.0</v>
      </c>
      <c r="E3421" s="17" t="s">
        <v>115</v>
      </c>
      <c r="F3421" s="15" t="s">
        <v>116</v>
      </c>
      <c r="G3421" s="19">
        <v>9.0043002E7</v>
      </c>
      <c r="H3421" s="15" t="s">
        <v>49</v>
      </c>
      <c r="I3421" s="20" t="s">
        <v>50</v>
      </c>
      <c r="J3421" s="21">
        <v>4.2738444E7</v>
      </c>
      <c r="K3421" s="21">
        <v>2499.0</v>
      </c>
    </row>
    <row r="3422">
      <c r="A3422" s="15" t="s">
        <v>74</v>
      </c>
      <c r="B3422" s="16" t="s">
        <v>233</v>
      </c>
      <c r="C3422" s="17" t="s">
        <v>234</v>
      </c>
      <c r="D3422" s="18">
        <v>4.0</v>
      </c>
      <c r="E3422" s="17" t="s">
        <v>117</v>
      </c>
      <c r="F3422" s="15" t="s">
        <v>118</v>
      </c>
      <c r="G3422" s="19">
        <v>5.1100058E7</v>
      </c>
      <c r="H3422" s="15" t="s">
        <v>36</v>
      </c>
      <c r="I3422" s="20" t="s">
        <v>37</v>
      </c>
      <c r="J3422" s="21">
        <v>1.118162932E9</v>
      </c>
      <c r="K3422" s="21">
        <v>222980.51</v>
      </c>
    </row>
    <row r="3423">
      <c r="A3423" s="15" t="s">
        <v>74</v>
      </c>
      <c r="B3423" s="16" t="s">
        <v>233</v>
      </c>
      <c r="C3423" s="17" t="s">
        <v>234</v>
      </c>
      <c r="D3423" s="18">
        <v>4.0</v>
      </c>
      <c r="E3423" s="17" t="s">
        <v>117</v>
      </c>
      <c r="F3423" s="15" t="s">
        <v>118</v>
      </c>
      <c r="G3423" s="19">
        <v>5.1100774E7</v>
      </c>
      <c r="H3423" s="15" t="s">
        <v>39</v>
      </c>
      <c r="I3423" s="20" t="s">
        <v>17</v>
      </c>
      <c r="J3423" s="21">
        <v>6.4055313E7</v>
      </c>
      <c r="K3423" s="21">
        <v>13598.41</v>
      </c>
    </row>
    <row r="3424">
      <c r="A3424" s="15" t="s">
        <v>74</v>
      </c>
      <c r="B3424" s="16" t="s">
        <v>233</v>
      </c>
      <c r="C3424" s="17" t="s">
        <v>234</v>
      </c>
      <c r="D3424" s="18">
        <v>4.0</v>
      </c>
      <c r="E3424" s="17" t="s">
        <v>238</v>
      </c>
      <c r="F3424" s="15" t="s">
        <v>239</v>
      </c>
      <c r="G3424" s="19">
        <v>5.1100058E7</v>
      </c>
      <c r="H3424" s="15" t="s">
        <v>36</v>
      </c>
      <c r="I3424" s="20" t="s">
        <v>37</v>
      </c>
      <c r="J3424" s="21">
        <v>6.6640409E7</v>
      </c>
      <c r="K3424" s="21">
        <v>14000.0</v>
      </c>
    </row>
    <row r="3425">
      <c r="A3425" s="15" t="s">
        <v>74</v>
      </c>
      <c r="B3425" s="16" t="s">
        <v>233</v>
      </c>
      <c r="C3425" s="17" t="s">
        <v>234</v>
      </c>
      <c r="D3425" s="18">
        <v>4.0</v>
      </c>
      <c r="E3425" s="17" t="s">
        <v>238</v>
      </c>
      <c r="F3425" s="15" t="s">
        <v>239</v>
      </c>
      <c r="G3425" s="19">
        <v>9.0043003E7</v>
      </c>
      <c r="H3425" s="15" t="s">
        <v>90</v>
      </c>
      <c r="I3425" s="20" t="s">
        <v>50</v>
      </c>
      <c r="J3425" s="21">
        <v>3501289.0</v>
      </c>
      <c r="K3425" s="21">
        <v>27.0</v>
      </c>
    </row>
    <row r="3426">
      <c r="A3426" s="15" t="s">
        <v>74</v>
      </c>
      <c r="B3426" s="16" t="s">
        <v>233</v>
      </c>
      <c r="C3426" s="17" t="s">
        <v>234</v>
      </c>
      <c r="D3426" s="18">
        <v>4.0</v>
      </c>
      <c r="E3426" s="17" t="s">
        <v>123</v>
      </c>
      <c r="F3426" s="15" t="s">
        <v>124</v>
      </c>
      <c r="G3426" s="19">
        <v>9.0043001E7</v>
      </c>
      <c r="H3426" s="15" t="s">
        <v>18</v>
      </c>
      <c r="I3426" s="20" t="s">
        <v>19</v>
      </c>
      <c r="J3426" s="21">
        <v>3.3772705E7</v>
      </c>
      <c r="K3426" s="21">
        <v>225.4</v>
      </c>
    </row>
    <row r="3427">
      <c r="A3427" s="15" t="s">
        <v>74</v>
      </c>
      <c r="B3427" s="16" t="s">
        <v>233</v>
      </c>
      <c r="C3427" s="17" t="s">
        <v>234</v>
      </c>
      <c r="D3427" s="18">
        <v>4.0</v>
      </c>
      <c r="E3427" s="17" t="s">
        <v>123</v>
      </c>
      <c r="F3427" s="15" t="s">
        <v>124</v>
      </c>
      <c r="G3427" s="19">
        <v>5.1100774E7</v>
      </c>
      <c r="H3427" s="15" t="s">
        <v>39</v>
      </c>
      <c r="I3427" s="20" t="s">
        <v>25</v>
      </c>
      <c r="J3427" s="21">
        <v>2.0</v>
      </c>
      <c r="K3427" s="21">
        <v>0.0</v>
      </c>
    </row>
    <row r="3428">
      <c r="A3428" s="15" t="s">
        <v>74</v>
      </c>
      <c r="B3428" s="16" t="s">
        <v>233</v>
      </c>
      <c r="C3428" s="17" t="s">
        <v>234</v>
      </c>
      <c r="D3428" s="18">
        <v>4.0</v>
      </c>
      <c r="E3428" s="17" t="s">
        <v>125</v>
      </c>
      <c r="F3428" s="15" t="s">
        <v>126</v>
      </c>
      <c r="G3428" s="19">
        <v>9.0043001E7</v>
      </c>
      <c r="H3428" s="15" t="s">
        <v>18</v>
      </c>
      <c r="I3428" s="20" t="s">
        <v>19</v>
      </c>
      <c r="J3428" s="21">
        <v>3.66930879E8</v>
      </c>
      <c r="K3428" s="21">
        <v>2497.65</v>
      </c>
    </row>
    <row r="3429">
      <c r="A3429" s="15" t="s">
        <v>74</v>
      </c>
      <c r="B3429" s="16" t="s">
        <v>233</v>
      </c>
      <c r="C3429" s="17" t="s">
        <v>234</v>
      </c>
      <c r="D3429" s="18">
        <v>4.0</v>
      </c>
      <c r="E3429" s="17" t="s">
        <v>127</v>
      </c>
      <c r="F3429" s="15" t="s">
        <v>128</v>
      </c>
      <c r="G3429" s="19">
        <v>5.1100153E7</v>
      </c>
      <c r="H3429" s="15" t="s">
        <v>72</v>
      </c>
      <c r="I3429" s="20" t="s">
        <v>17</v>
      </c>
      <c r="J3429" s="21">
        <v>2.70171011E8</v>
      </c>
      <c r="K3429" s="21">
        <v>3553490.0</v>
      </c>
    </row>
    <row r="3430">
      <c r="A3430" s="15" t="s">
        <v>74</v>
      </c>
      <c r="B3430" s="16" t="s">
        <v>233</v>
      </c>
      <c r="C3430" s="17" t="s">
        <v>234</v>
      </c>
      <c r="D3430" s="18">
        <v>4.0</v>
      </c>
      <c r="E3430" s="17" t="s">
        <v>133</v>
      </c>
      <c r="F3430" s="15" t="s">
        <v>134</v>
      </c>
      <c r="G3430" s="19">
        <v>9.0043002E7</v>
      </c>
      <c r="H3430" s="15" t="s">
        <v>49</v>
      </c>
      <c r="I3430" s="20" t="s">
        <v>50</v>
      </c>
      <c r="J3430" s="21">
        <v>6294528.0</v>
      </c>
      <c r="K3430" s="21">
        <v>576.0</v>
      </c>
    </row>
    <row r="3431">
      <c r="A3431" s="15" t="s">
        <v>74</v>
      </c>
      <c r="B3431" s="16" t="s">
        <v>233</v>
      </c>
      <c r="C3431" s="17" t="s">
        <v>234</v>
      </c>
      <c r="D3431" s="18">
        <v>4.0</v>
      </c>
      <c r="E3431" s="17" t="s">
        <v>135</v>
      </c>
      <c r="F3431" s="15" t="s">
        <v>136</v>
      </c>
      <c r="G3431" s="19">
        <v>5.1101056E7</v>
      </c>
      <c r="H3431" s="15" t="s">
        <v>16</v>
      </c>
      <c r="I3431" s="20" t="s">
        <v>17</v>
      </c>
      <c r="J3431" s="21">
        <v>1.0693785E8</v>
      </c>
      <c r="K3431" s="21">
        <v>935429.0</v>
      </c>
    </row>
    <row r="3432">
      <c r="A3432" s="15" t="s">
        <v>74</v>
      </c>
      <c r="B3432" s="16" t="s">
        <v>233</v>
      </c>
      <c r="C3432" s="17" t="s">
        <v>234</v>
      </c>
      <c r="D3432" s="18">
        <v>4.0</v>
      </c>
      <c r="E3432" s="17" t="s">
        <v>54</v>
      </c>
      <c r="F3432" s="15" t="s">
        <v>139</v>
      </c>
      <c r="G3432" s="19">
        <v>9.0042011E7</v>
      </c>
      <c r="H3432" s="15" t="s">
        <v>55</v>
      </c>
      <c r="I3432" s="20" t="s">
        <v>19</v>
      </c>
      <c r="J3432" s="21">
        <v>2.263804E7</v>
      </c>
      <c r="K3432" s="21">
        <v>0.0</v>
      </c>
    </row>
    <row r="3433">
      <c r="A3433" s="15" t="s">
        <v>74</v>
      </c>
      <c r="B3433" s="16" t="s">
        <v>233</v>
      </c>
      <c r="C3433" s="17" t="s">
        <v>234</v>
      </c>
      <c r="D3433" s="18">
        <v>4.0</v>
      </c>
      <c r="E3433" s="17" t="s">
        <v>20</v>
      </c>
      <c r="F3433" s="15" t="s">
        <v>140</v>
      </c>
      <c r="G3433" s="19">
        <v>9.0042014E7</v>
      </c>
      <c r="H3433" s="15" t="s">
        <v>21</v>
      </c>
      <c r="I3433" s="20" t="s">
        <v>19</v>
      </c>
      <c r="J3433" s="21">
        <v>3.96635857E8</v>
      </c>
      <c r="K3433" s="21">
        <v>0.0</v>
      </c>
    </row>
    <row r="3434">
      <c r="A3434" s="15" t="s">
        <v>74</v>
      </c>
      <c r="B3434" s="16" t="s">
        <v>233</v>
      </c>
      <c r="C3434" s="17" t="s">
        <v>234</v>
      </c>
      <c r="D3434" s="18">
        <v>4.0</v>
      </c>
      <c r="E3434" s="17" t="s">
        <v>20</v>
      </c>
      <c r="F3434" s="15" t="s">
        <v>140</v>
      </c>
      <c r="G3434" s="19">
        <v>9.0042077E7</v>
      </c>
      <c r="H3434" s="15" t="s">
        <v>141</v>
      </c>
      <c r="I3434" s="20" t="s">
        <v>19</v>
      </c>
      <c r="J3434" s="21">
        <v>2.40074645E8</v>
      </c>
      <c r="K3434" s="21">
        <v>0.0</v>
      </c>
    </row>
    <row r="3435">
      <c r="A3435" s="15" t="s">
        <v>74</v>
      </c>
      <c r="B3435" s="16" t="s">
        <v>233</v>
      </c>
      <c r="C3435" s="17" t="s">
        <v>234</v>
      </c>
      <c r="D3435" s="18">
        <v>4.0</v>
      </c>
      <c r="E3435" s="17" t="s">
        <v>22</v>
      </c>
      <c r="F3435" s="15" t="s">
        <v>146</v>
      </c>
      <c r="G3435" s="19">
        <v>9.0042012E7</v>
      </c>
      <c r="H3435" s="15" t="s">
        <v>23</v>
      </c>
      <c r="I3435" s="20" t="s">
        <v>19</v>
      </c>
      <c r="J3435" s="21">
        <v>1.06067021E8</v>
      </c>
      <c r="K3435" s="21">
        <v>0.0</v>
      </c>
    </row>
    <row r="3436">
      <c r="A3436" s="15" t="s">
        <v>74</v>
      </c>
      <c r="B3436" s="16" t="s">
        <v>233</v>
      </c>
      <c r="C3436" s="17" t="s">
        <v>234</v>
      </c>
      <c r="D3436" s="18">
        <v>4.0</v>
      </c>
      <c r="E3436" s="17" t="s">
        <v>22</v>
      </c>
      <c r="F3436" s="15" t="s">
        <v>146</v>
      </c>
      <c r="G3436" s="19">
        <v>9.0042121E7</v>
      </c>
      <c r="H3436" s="15" t="s">
        <v>24</v>
      </c>
      <c r="I3436" s="20" t="s">
        <v>25</v>
      </c>
      <c r="J3436" s="21">
        <v>2.85623453E8</v>
      </c>
      <c r="K3436" s="21">
        <v>0.0</v>
      </c>
    </row>
    <row r="3437">
      <c r="A3437" s="15" t="s">
        <v>74</v>
      </c>
      <c r="B3437" s="16" t="s">
        <v>233</v>
      </c>
      <c r="C3437" s="17" t="s">
        <v>234</v>
      </c>
      <c r="D3437" s="18">
        <v>4.0</v>
      </c>
      <c r="E3437" s="17" t="s">
        <v>22</v>
      </c>
      <c r="F3437" s="15" t="s">
        <v>146</v>
      </c>
      <c r="G3437" s="19">
        <v>9.0042122E7</v>
      </c>
      <c r="H3437" s="15" t="s">
        <v>56</v>
      </c>
      <c r="I3437" s="20" t="s">
        <v>25</v>
      </c>
      <c r="J3437" s="21">
        <v>1.2734991E7</v>
      </c>
      <c r="K3437" s="21">
        <v>0.0</v>
      </c>
    </row>
    <row r="3438">
      <c r="A3438" s="15" t="s">
        <v>74</v>
      </c>
      <c r="B3438" s="16" t="s">
        <v>233</v>
      </c>
      <c r="C3438" s="17" t="s">
        <v>234</v>
      </c>
      <c r="D3438" s="18">
        <v>4.0</v>
      </c>
      <c r="E3438" s="17" t="s">
        <v>22</v>
      </c>
      <c r="F3438" s="15" t="s">
        <v>146</v>
      </c>
      <c r="G3438" s="19">
        <v>9.0042124E7</v>
      </c>
      <c r="H3438" s="15" t="s">
        <v>57</v>
      </c>
      <c r="I3438" s="20" t="s">
        <v>25</v>
      </c>
      <c r="J3438" s="21">
        <v>3.124102E7</v>
      </c>
      <c r="K3438" s="21">
        <v>0.0</v>
      </c>
    </row>
    <row r="3439">
      <c r="A3439" s="15" t="s">
        <v>74</v>
      </c>
      <c r="B3439" s="16" t="s">
        <v>233</v>
      </c>
      <c r="C3439" s="17" t="s">
        <v>234</v>
      </c>
      <c r="D3439" s="18">
        <v>4.0</v>
      </c>
      <c r="E3439" s="17" t="s">
        <v>22</v>
      </c>
      <c r="F3439" s="15" t="s">
        <v>146</v>
      </c>
      <c r="G3439" s="19">
        <v>9.0042125E7</v>
      </c>
      <c r="H3439" s="15" t="s">
        <v>26</v>
      </c>
      <c r="I3439" s="20" t="s">
        <v>25</v>
      </c>
      <c r="J3439" s="21">
        <v>7.9156372E7</v>
      </c>
      <c r="K3439" s="21">
        <v>0.0</v>
      </c>
    </row>
    <row r="3440">
      <c r="A3440" s="15" t="s">
        <v>74</v>
      </c>
      <c r="B3440" s="16" t="s">
        <v>233</v>
      </c>
      <c r="C3440" s="17" t="s">
        <v>234</v>
      </c>
      <c r="D3440" s="18">
        <v>4.0</v>
      </c>
      <c r="E3440" s="17" t="s">
        <v>22</v>
      </c>
      <c r="F3440" s="15" t="s">
        <v>146</v>
      </c>
      <c r="G3440" s="19">
        <v>9.0042127E7</v>
      </c>
      <c r="H3440" s="15" t="s">
        <v>27</v>
      </c>
      <c r="I3440" s="20" t="s">
        <v>25</v>
      </c>
      <c r="J3440" s="21">
        <v>1447190.0</v>
      </c>
      <c r="K3440" s="21">
        <v>0.0</v>
      </c>
    </row>
    <row r="3441">
      <c r="A3441" s="15" t="s">
        <v>74</v>
      </c>
      <c r="B3441" s="16" t="s">
        <v>233</v>
      </c>
      <c r="C3441" s="17" t="s">
        <v>234</v>
      </c>
      <c r="D3441" s="18">
        <v>4.0</v>
      </c>
      <c r="E3441" s="17" t="s">
        <v>22</v>
      </c>
      <c r="F3441" s="15" t="s">
        <v>146</v>
      </c>
      <c r="G3441" s="19">
        <v>9.0042132E7</v>
      </c>
      <c r="H3441" s="15" t="s">
        <v>28</v>
      </c>
      <c r="I3441" s="20" t="s">
        <v>25</v>
      </c>
      <c r="J3441" s="21">
        <v>6381870.0</v>
      </c>
      <c r="K3441" s="21">
        <v>0.0</v>
      </c>
    </row>
    <row r="3442">
      <c r="A3442" s="15" t="s">
        <v>74</v>
      </c>
      <c r="B3442" s="16" t="s">
        <v>233</v>
      </c>
      <c r="C3442" s="17" t="s">
        <v>234</v>
      </c>
      <c r="D3442" s="18">
        <v>4.0</v>
      </c>
      <c r="E3442" s="17" t="s">
        <v>22</v>
      </c>
      <c r="F3442" s="15" t="s">
        <v>146</v>
      </c>
      <c r="G3442" s="19">
        <v>9.0042134E7</v>
      </c>
      <c r="H3442" s="15" t="s">
        <v>29</v>
      </c>
      <c r="I3442" s="20" t="s">
        <v>25</v>
      </c>
      <c r="J3442" s="21">
        <v>1065600.0</v>
      </c>
      <c r="K3442" s="21">
        <v>0.0</v>
      </c>
    </row>
    <row r="3443">
      <c r="A3443" s="15" t="s">
        <v>74</v>
      </c>
      <c r="B3443" s="16" t="s">
        <v>233</v>
      </c>
      <c r="C3443" s="17" t="s">
        <v>234</v>
      </c>
      <c r="D3443" s="18">
        <v>4.0</v>
      </c>
      <c r="E3443" s="17" t="s">
        <v>22</v>
      </c>
      <c r="F3443" s="15" t="s">
        <v>146</v>
      </c>
      <c r="G3443" s="19">
        <v>9.0042135E7</v>
      </c>
      <c r="H3443" s="15" t="s">
        <v>30</v>
      </c>
      <c r="I3443" s="20" t="s">
        <v>25</v>
      </c>
      <c r="J3443" s="21">
        <v>1.78149743E8</v>
      </c>
      <c r="K3443" s="21">
        <v>0.0</v>
      </c>
    </row>
    <row r="3444">
      <c r="A3444" s="15" t="s">
        <v>74</v>
      </c>
      <c r="B3444" s="16" t="s">
        <v>233</v>
      </c>
      <c r="C3444" s="17" t="s">
        <v>234</v>
      </c>
      <c r="D3444" s="18">
        <v>4.0</v>
      </c>
      <c r="E3444" s="17" t="s">
        <v>22</v>
      </c>
      <c r="F3444" s="15" t="s">
        <v>146</v>
      </c>
      <c r="G3444" s="19">
        <v>9.00422E7</v>
      </c>
      <c r="H3444" s="15" t="s">
        <v>73</v>
      </c>
      <c r="I3444" s="20" t="s">
        <v>60</v>
      </c>
      <c r="J3444" s="21">
        <v>3.67712827E8</v>
      </c>
      <c r="K3444" s="21">
        <v>0.0</v>
      </c>
    </row>
    <row r="3445">
      <c r="A3445" s="15" t="s">
        <v>74</v>
      </c>
      <c r="B3445" s="16" t="s">
        <v>233</v>
      </c>
      <c r="C3445" s="17" t="s">
        <v>234</v>
      </c>
      <c r="D3445" s="18">
        <v>4.0</v>
      </c>
      <c r="E3445" s="17" t="s">
        <v>22</v>
      </c>
      <c r="F3445" s="15" t="s">
        <v>146</v>
      </c>
      <c r="G3445" s="19">
        <v>9.0042224E7</v>
      </c>
      <c r="H3445" s="15" t="s">
        <v>62</v>
      </c>
      <c r="I3445" s="20" t="s">
        <v>60</v>
      </c>
      <c r="J3445" s="21">
        <v>7438770.0</v>
      </c>
      <c r="K3445" s="21">
        <v>0.0</v>
      </c>
    </row>
    <row r="3446">
      <c r="A3446" s="15" t="s">
        <v>74</v>
      </c>
      <c r="B3446" s="16" t="s">
        <v>233</v>
      </c>
      <c r="C3446" s="17" t="s">
        <v>234</v>
      </c>
      <c r="D3446" s="18">
        <v>4.0</v>
      </c>
      <c r="E3446" s="17" t="s">
        <v>22</v>
      </c>
      <c r="F3446" s="15" t="s">
        <v>146</v>
      </c>
      <c r="G3446" s="19">
        <v>9.0042226E7</v>
      </c>
      <c r="H3446" s="15" t="s">
        <v>63</v>
      </c>
      <c r="I3446" s="20" t="s">
        <v>60</v>
      </c>
      <c r="J3446" s="21">
        <v>408333.0</v>
      </c>
      <c r="K3446" s="21">
        <v>0.0</v>
      </c>
    </row>
    <row r="3447">
      <c r="A3447" s="15" t="s">
        <v>74</v>
      </c>
      <c r="B3447" s="16" t="s">
        <v>233</v>
      </c>
      <c r="C3447" s="17" t="s">
        <v>234</v>
      </c>
      <c r="D3447" s="18">
        <v>4.0</v>
      </c>
      <c r="E3447" s="17" t="s">
        <v>22</v>
      </c>
      <c r="F3447" s="15" t="s">
        <v>146</v>
      </c>
      <c r="G3447" s="19">
        <v>9.0042227E7</v>
      </c>
      <c r="H3447" s="15" t="s">
        <v>241</v>
      </c>
      <c r="I3447" s="20" t="s">
        <v>60</v>
      </c>
      <c r="J3447" s="21">
        <v>2930000.0</v>
      </c>
      <c r="K3447" s="21">
        <v>0.0</v>
      </c>
    </row>
    <row r="3448">
      <c r="A3448" s="15" t="s">
        <v>74</v>
      </c>
      <c r="B3448" s="16" t="s">
        <v>233</v>
      </c>
      <c r="C3448" s="17" t="s">
        <v>234</v>
      </c>
      <c r="D3448" s="18">
        <v>4.0</v>
      </c>
      <c r="E3448" s="17" t="s">
        <v>22</v>
      </c>
      <c r="F3448" s="15" t="s">
        <v>146</v>
      </c>
      <c r="G3448" s="19">
        <v>9.0042228E7</v>
      </c>
      <c r="H3448" s="15" t="s">
        <v>64</v>
      </c>
      <c r="I3448" s="20" t="s">
        <v>60</v>
      </c>
      <c r="J3448" s="21">
        <v>3.0863451E7</v>
      </c>
      <c r="K3448" s="21">
        <v>0.0</v>
      </c>
    </row>
    <row r="3449">
      <c r="A3449" s="15" t="s">
        <v>74</v>
      </c>
      <c r="B3449" s="16" t="s">
        <v>233</v>
      </c>
      <c r="C3449" s="17" t="s">
        <v>234</v>
      </c>
      <c r="D3449" s="18">
        <v>4.0</v>
      </c>
      <c r="E3449" s="17" t="s">
        <v>22</v>
      </c>
      <c r="F3449" s="15" t="s">
        <v>146</v>
      </c>
      <c r="G3449" s="19">
        <v>9.0042231E7</v>
      </c>
      <c r="H3449" s="15" t="s">
        <v>65</v>
      </c>
      <c r="I3449" s="20" t="s">
        <v>60</v>
      </c>
      <c r="J3449" s="21">
        <v>5162529.0</v>
      </c>
      <c r="K3449" s="21">
        <v>0.0</v>
      </c>
    </row>
    <row r="3450">
      <c r="A3450" s="15" t="s">
        <v>74</v>
      </c>
      <c r="B3450" s="16" t="s">
        <v>233</v>
      </c>
      <c r="C3450" s="17" t="s">
        <v>234</v>
      </c>
      <c r="D3450" s="18">
        <v>4.0</v>
      </c>
      <c r="E3450" s="17" t="s">
        <v>22</v>
      </c>
      <c r="F3450" s="15" t="s">
        <v>146</v>
      </c>
      <c r="G3450" s="19">
        <v>9.0042126E7</v>
      </c>
      <c r="H3450" s="15" t="s">
        <v>31</v>
      </c>
      <c r="I3450" s="20" t="s">
        <v>25</v>
      </c>
      <c r="J3450" s="21">
        <v>6.6046984E7</v>
      </c>
      <c r="K3450" s="21">
        <v>0.0</v>
      </c>
    </row>
    <row r="3451">
      <c r="A3451" s="15" t="s">
        <v>74</v>
      </c>
      <c r="B3451" s="16" t="s">
        <v>233</v>
      </c>
      <c r="C3451" s="17" t="s">
        <v>234</v>
      </c>
      <c r="D3451" s="18">
        <v>4.0</v>
      </c>
      <c r="E3451" s="17" t="s">
        <v>22</v>
      </c>
      <c r="F3451" s="15" t="s">
        <v>146</v>
      </c>
      <c r="G3451" s="19">
        <v>9.004212E7</v>
      </c>
      <c r="H3451" s="15" t="s">
        <v>182</v>
      </c>
      <c r="I3451" s="20" t="s">
        <v>25</v>
      </c>
      <c r="J3451" s="21">
        <v>9.7797E7</v>
      </c>
      <c r="K3451" s="21">
        <v>0.0</v>
      </c>
    </row>
    <row r="3452">
      <c r="A3452" s="15" t="s">
        <v>74</v>
      </c>
      <c r="B3452" s="16" t="s">
        <v>233</v>
      </c>
      <c r="C3452" s="17" t="s">
        <v>234</v>
      </c>
      <c r="D3452" s="18">
        <v>4.0</v>
      </c>
      <c r="E3452" s="17" t="s">
        <v>242</v>
      </c>
      <c r="F3452" s="15" t="s">
        <v>243</v>
      </c>
      <c r="G3452" s="19">
        <v>9.0043003E7</v>
      </c>
      <c r="H3452" s="15" t="s">
        <v>90</v>
      </c>
      <c r="I3452" s="20" t="s">
        <v>50</v>
      </c>
      <c r="J3452" s="21">
        <v>2211624.0</v>
      </c>
      <c r="K3452" s="21">
        <v>8.0</v>
      </c>
    </row>
    <row r="3453">
      <c r="A3453" s="15" t="s">
        <v>74</v>
      </c>
      <c r="B3453" s="16" t="s">
        <v>244</v>
      </c>
      <c r="C3453" s="17" t="s">
        <v>245</v>
      </c>
      <c r="D3453" s="18">
        <v>4.0</v>
      </c>
      <c r="E3453" s="24">
        <v>46038.0</v>
      </c>
      <c r="F3453" s="15" t="s">
        <v>150</v>
      </c>
      <c r="G3453" s="19">
        <v>9.0043001E7</v>
      </c>
      <c r="H3453" s="15" t="s">
        <v>18</v>
      </c>
      <c r="I3453" s="20" t="s">
        <v>19</v>
      </c>
      <c r="J3453" s="21">
        <v>2.8378904E7</v>
      </c>
      <c r="K3453" s="21">
        <v>178.0</v>
      </c>
    </row>
    <row r="3454">
      <c r="A3454" s="15" t="s">
        <v>74</v>
      </c>
      <c r="B3454" s="16" t="s">
        <v>244</v>
      </c>
      <c r="C3454" s="17" t="s">
        <v>245</v>
      </c>
      <c r="D3454" s="18">
        <v>4.0</v>
      </c>
      <c r="E3454" s="17" t="s">
        <v>77</v>
      </c>
      <c r="F3454" s="15" t="s">
        <v>78</v>
      </c>
      <c r="G3454" s="19">
        <v>9.0043001E7</v>
      </c>
      <c r="H3454" s="15" t="s">
        <v>18</v>
      </c>
      <c r="I3454" s="20" t="s">
        <v>19</v>
      </c>
      <c r="J3454" s="21">
        <v>1.0732543E7</v>
      </c>
      <c r="K3454" s="21">
        <v>66.0</v>
      </c>
    </row>
    <row r="3455">
      <c r="A3455" s="15" t="s">
        <v>74</v>
      </c>
      <c r="B3455" s="16" t="s">
        <v>244</v>
      </c>
      <c r="C3455" s="17" t="s">
        <v>245</v>
      </c>
      <c r="D3455" s="18">
        <v>4.0</v>
      </c>
      <c r="E3455" s="17" t="s">
        <v>222</v>
      </c>
      <c r="F3455" s="15" t="s">
        <v>223</v>
      </c>
      <c r="G3455" s="19">
        <v>5.1100153E7</v>
      </c>
      <c r="H3455" s="15" t="s">
        <v>72</v>
      </c>
      <c r="I3455" s="20" t="s">
        <v>17</v>
      </c>
      <c r="J3455" s="21">
        <v>8493742.0</v>
      </c>
      <c r="K3455" s="21">
        <v>39724.0</v>
      </c>
    </row>
    <row r="3456">
      <c r="A3456" s="15" t="s">
        <v>74</v>
      </c>
      <c r="B3456" s="16" t="s">
        <v>244</v>
      </c>
      <c r="C3456" s="17" t="s">
        <v>245</v>
      </c>
      <c r="D3456" s="18">
        <v>4.0</v>
      </c>
      <c r="E3456" s="17" t="s">
        <v>79</v>
      </c>
      <c r="F3456" s="15" t="s">
        <v>80</v>
      </c>
      <c r="G3456" s="19">
        <v>9.0043001E7</v>
      </c>
      <c r="H3456" s="15" t="s">
        <v>18</v>
      </c>
      <c r="I3456" s="20" t="s">
        <v>19</v>
      </c>
      <c r="J3456" s="21">
        <v>813722.0</v>
      </c>
      <c r="K3456" s="21">
        <v>5.0</v>
      </c>
    </row>
    <row r="3457">
      <c r="A3457" s="15" t="s">
        <v>74</v>
      </c>
      <c r="B3457" s="16" t="s">
        <v>244</v>
      </c>
      <c r="C3457" s="17" t="s">
        <v>245</v>
      </c>
      <c r="D3457" s="18">
        <v>4.0</v>
      </c>
      <c r="E3457" s="17" t="s">
        <v>81</v>
      </c>
      <c r="F3457" s="15" t="s">
        <v>82</v>
      </c>
      <c r="G3457" s="19">
        <v>9.0043001E7</v>
      </c>
      <c r="H3457" s="15" t="s">
        <v>18</v>
      </c>
      <c r="I3457" s="20" t="s">
        <v>19</v>
      </c>
      <c r="J3457" s="21">
        <v>1.3918271E7</v>
      </c>
      <c r="K3457" s="21">
        <v>84.0</v>
      </c>
    </row>
    <row r="3458">
      <c r="A3458" s="15" t="s">
        <v>74</v>
      </c>
      <c r="B3458" s="16" t="s">
        <v>244</v>
      </c>
      <c r="C3458" s="17" t="s">
        <v>245</v>
      </c>
      <c r="D3458" s="18">
        <v>4.0</v>
      </c>
      <c r="E3458" s="17" t="s">
        <v>84</v>
      </c>
      <c r="F3458" s="15" t="s">
        <v>85</v>
      </c>
      <c r="G3458" s="19">
        <v>9.0043001E7</v>
      </c>
      <c r="H3458" s="15" t="s">
        <v>18</v>
      </c>
      <c r="I3458" s="20" t="s">
        <v>19</v>
      </c>
      <c r="J3458" s="21">
        <v>3.3892812E7</v>
      </c>
      <c r="K3458" s="21">
        <v>207.5</v>
      </c>
    </row>
    <row r="3459">
      <c r="A3459" s="15" t="s">
        <v>74</v>
      </c>
      <c r="B3459" s="16" t="s">
        <v>244</v>
      </c>
      <c r="C3459" s="17" t="s">
        <v>245</v>
      </c>
      <c r="D3459" s="18">
        <v>4.0</v>
      </c>
      <c r="E3459" s="17" t="s">
        <v>84</v>
      </c>
      <c r="F3459" s="15" t="s">
        <v>85</v>
      </c>
      <c r="G3459" s="19">
        <v>9.0043E7</v>
      </c>
      <c r="H3459" s="15" t="s">
        <v>83</v>
      </c>
      <c r="I3459" s="20" t="s">
        <v>19</v>
      </c>
      <c r="J3459" s="21">
        <v>6677436.0</v>
      </c>
      <c r="K3459" s="21">
        <v>36.0</v>
      </c>
    </row>
    <row r="3460">
      <c r="A3460" s="15" t="s">
        <v>74</v>
      </c>
      <c r="B3460" s="16" t="s">
        <v>244</v>
      </c>
      <c r="C3460" s="17" t="s">
        <v>245</v>
      </c>
      <c r="D3460" s="18">
        <v>4.0</v>
      </c>
      <c r="E3460" s="17" t="s">
        <v>86</v>
      </c>
      <c r="F3460" s="15" t="s">
        <v>87</v>
      </c>
      <c r="G3460" s="19">
        <v>9.0043001E7</v>
      </c>
      <c r="H3460" s="15" t="s">
        <v>18</v>
      </c>
      <c r="I3460" s="20" t="s">
        <v>19</v>
      </c>
      <c r="J3460" s="21">
        <v>3.6923677E7</v>
      </c>
      <c r="K3460" s="21">
        <v>220.0</v>
      </c>
    </row>
    <row r="3461">
      <c r="A3461" s="15" t="s">
        <v>74</v>
      </c>
      <c r="B3461" s="16" t="s">
        <v>244</v>
      </c>
      <c r="C3461" s="17" t="s">
        <v>245</v>
      </c>
      <c r="D3461" s="18">
        <v>4.0</v>
      </c>
      <c r="E3461" s="17" t="s">
        <v>86</v>
      </c>
      <c r="F3461" s="15" t="s">
        <v>87</v>
      </c>
      <c r="G3461" s="19">
        <v>9.0043E7</v>
      </c>
      <c r="H3461" s="15" t="s">
        <v>83</v>
      </c>
      <c r="I3461" s="20" t="s">
        <v>19</v>
      </c>
      <c r="J3461" s="21">
        <v>1914759.0</v>
      </c>
      <c r="K3461" s="21">
        <v>11.0</v>
      </c>
    </row>
    <row r="3462">
      <c r="A3462" s="15" t="s">
        <v>74</v>
      </c>
      <c r="B3462" s="16" t="s">
        <v>244</v>
      </c>
      <c r="C3462" s="17" t="s">
        <v>245</v>
      </c>
      <c r="D3462" s="18">
        <v>4.0</v>
      </c>
      <c r="E3462" s="17" t="s">
        <v>173</v>
      </c>
      <c r="F3462" s="15" t="s">
        <v>174</v>
      </c>
      <c r="G3462" s="19">
        <v>9.0043003E7</v>
      </c>
      <c r="H3462" s="15" t="s">
        <v>90</v>
      </c>
      <c r="I3462" s="20" t="s">
        <v>50</v>
      </c>
      <c r="J3462" s="21">
        <v>2.8825745E7</v>
      </c>
      <c r="K3462" s="21">
        <v>5.0</v>
      </c>
    </row>
    <row r="3463">
      <c r="A3463" s="15" t="s">
        <v>74</v>
      </c>
      <c r="B3463" s="16" t="s">
        <v>244</v>
      </c>
      <c r="C3463" s="17" t="s">
        <v>245</v>
      </c>
      <c r="D3463" s="18">
        <v>4.0</v>
      </c>
      <c r="E3463" s="17" t="s">
        <v>88</v>
      </c>
      <c r="F3463" s="15" t="s">
        <v>89</v>
      </c>
      <c r="G3463" s="19">
        <v>9.0043002E7</v>
      </c>
      <c r="H3463" s="15" t="s">
        <v>49</v>
      </c>
      <c r="I3463" s="20" t="s">
        <v>50</v>
      </c>
      <c r="J3463" s="21">
        <v>8701088.0</v>
      </c>
      <c r="K3463" s="21">
        <v>465.0</v>
      </c>
    </row>
    <row r="3464">
      <c r="A3464" s="15" t="s">
        <v>74</v>
      </c>
      <c r="B3464" s="16" t="s">
        <v>244</v>
      </c>
      <c r="C3464" s="17" t="s">
        <v>245</v>
      </c>
      <c r="D3464" s="18">
        <v>4.0</v>
      </c>
      <c r="E3464" s="17" t="s">
        <v>91</v>
      </c>
      <c r="F3464" s="15" t="s">
        <v>92</v>
      </c>
      <c r="G3464" s="19">
        <v>9.0043001E7</v>
      </c>
      <c r="H3464" s="15" t="s">
        <v>18</v>
      </c>
      <c r="I3464" s="20" t="s">
        <v>19</v>
      </c>
      <c r="J3464" s="21">
        <v>1.159907E7</v>
      </c>
      <c r="K3464" s="21">
        <v>72.0</v>
      </c>
    </row>
    <row r="3465">
      <c r="A3465" s="15" t="s">
        <v>74</v>
      </c>
      <c r="B3465" s="16" t="s">
        <v>244</v>
      </c>
      <c r="C3465" s="17" t="s">
        <v>245</v>
      </c>
      <c r="D3465" s="18">
        <v>4.0</v>
      </c>
      <c r="E3465" s="17" t="s">
        <v>91</v>
      </c>
      <c r="F3465" s="15" t="s">
        <v>92</v>
      </c>
      <c r="G3465" s="19">
        <v>5.1100774E7</v>
      </c>
      <c r="H3465" s="15" t="s">
        <v>39</v>
      </c>
      <c r="I3465" s="20" t="s">
        <v>17</v>
      </c>
      <c r="J3465" s="21">
        <v>1404000.0</v>
      </c>
      <c r="K3465" s="21">
        <v>156.0</v>
      </c>
    </row>
    <row r="3466">
      <c r="A3466" s="15" t="s">
        <v>74</v>
      </c>
      <c r="B3466" s="16" t="s">
        <v>244</v>
      </c>
      <c r="C3466" s="17" t="s">
        <v>245</v>
      </c>
      <c r="D3466" s="18">
        <v>4.0</v>
      </c>
      <c r="E3466" s="17" t="s">
        <v>246</v>
      </c>
      <c r="F3466" s="15" t="s">
        <v>247</v>
      </c>
      <c r="G3466" s="19">
        <v>9.0043001E7</v>
      </c>
      <c r="H3466" s="15" t="s">
        <v>18</v>
      </c>
      <c r="I3466" s="20" t="s">
        <v>19</v>
      </c>
      <c r="J3466" s="21">
        <v>1.6584377E7</v>
      </c>
      <c r="K3466" s="21">
        <v>99.0</v>
      </c>
    </row>
    <row r="3467">
      <c r="A3467" s="15" t="s">
        <v>74</v>
      </c>
      <c r="B3467" s="16" t="s">
        <v>244</v>
      </c>
      <c r="C3467" s="17" t="s">
        <v>245</v>
      </c>
      <c r="D3467" s="18">
        <v>4.0</v>
      </c>
      <c r="E3467" s="17" t="s">
        <v>156</v>
      </c>
      <c r="F3467" s="15" t="s">
        <v>157</v>
      </c>
      <c r="G3467" s="19">
        <v>9.0043001E7</v>
      </c>
      <c r="H3467" s="15" t="s">
        <v>18</v>
      </c>
      <c r="I3467" s="20" t="s">
        <v>19</v>
      </c>
      <c r="J3467" s="21">
        <v>9937724.0</v>
      </c>
      <c r="K3467" s="21">
        <v>59.0</v>
      </c>
    </row>
    <row r="3468">
      <c r="A3468" s="15" t="s">
        <v>74</v>
      </c>
      <c r="B3468" s="16" t="s">
        <v>244</v>
      </c>
      <c r="C3468" s="17" t="s">
        <v>245</v>
      </c>
      <c r="D3468" s="18">
        <v>4.0</v>
      </c>
      <c r="E3468" s="17" t="s">
        <v>95</v>
      </c>
      <c r="F3468" s="15" t="s">
        <v>96</v>
      </c>
      <c r="G3468" s="19">
        <v>5.1100058E7</v>
      </c>
      <c r="H3468" s="15" t="s">
        <v>36</v>
      </c>
      <c r="I3468" s="20" t="s">
        <v>37</v>
      </c>
      <c r="J3468" s="21">
        <v>3957624.0</v>
      </c>
      <c r="K3468" s="21">
        <v>55.05</v>
      </c>
    </row>
    <row r="3469">
      <c r="A3469" s="15" t="s">
        <v>74</v>
      </c>
      <c r="B3469" s="16" t="s">
        <v>244</v>
      </c>
      <c r="C3469" s="17" t="s">
        <v>245</v>
      </c>
      <c r="D3469" s="18">
        <v>4.0</v>
      </c>
      <c r="E3469" s="17" t="s">
        <v>95</v>
      </c>
      <c r="F3469" s="15" t="s">
        <v>96</v>
      </c>
      <c r="G3469" s="19">
        <v>9.0043001E7</v>
      </c>
      <c r="H3469" s="15" t="s">
        <v>18</v>
      </c>
      <c r="I3469" s="20" t="s">
        <v>19</v>
      </c>
      <c r="J3469" s="21">
        <v>1.4476223E7</v>
      </c>
      <c r="K3469" s="21">
        <v>90.0</v>
      </c>
    </row>
    <row r="3470">
      <c r="A3470" s="15" t="s">
        <v>74</v>
      </c>
      <c r="B3470" s="16" t="s">
        <v>244</v>
      </c>
      <c r="C3470" s="17" t="s">
        <v>245</v>
      </c>
      <c r="D3470" s="18">
        <v>4.0</v>
      </c>
      <c r="E3470" s="17" t="s">
        <v>99</v>
      </c>
      <c r="F3470" s="15" t="s">
        <v>100</v>
      </c>
      <c r="G3470" s="19">
        <v>9.0043001E7</v>
      </c>
      <c r="H3470" s="15" t="s">
        <v>18</v>
      </c>
      <c r="I3470" s="20" t="s">
        <v>19</v>
      </c>
      <c r="J3470" s="21">
        <v>4.8247877E7</v>
      </c>
      <c r="K3470" s="21">
        <v>302.0</v>
      </c>
    </row>
    <row r="3471">
      <c r="A3471" s="15" t="s">
        <v>74</v>
      </c>
      <c r="B3471" s="16" t="s">
        <v>244</v>
      </c>
      <c r="C3471" s="17" t="s">
        <v>245</v>
      </c>
      <c r="D3471" s="18">
        <v>4.0</v>
      </c>
      <c r="E3471" s="17" t="s">
        <v>101</v>
      </c>
      <c r="F3471" s="15" t="s">
        <v>102</v>
      </c>
      <c r="G3471" s="19">
        <v>9.0043001E7</v>
      </c>
      <c r="H3471" s="15" t="s">
        <v>18</v>
      </c>
      <c r="I3471" s="20" t="s">
        <v>19</v>
      </c>
      <c r="J3471" s="21">
        <v>1.27157955E8</v>
      </c>
      <c r="K3471" s="21">
        <v>750.0</v>
      </c>
    </row>
    <row r="3472">
      <c r="A3472" s="15" t="s">
        <v>74</v>
      </c>
      <c r="B3472" s="16" t="s">
        <v>244</v>
      </c>
      <c r="C3472" s="17" t="s">
        <v>245</v>
      </c>
      <c r="D3472" s="18">
        <v>4.0</v>
      </c>
      <c r="E3472" s="17" t="s">
        <v>101</v>
      </c>
      <c r="F3472" s="15" t="s">
        <v>102</v>
      </c>
      <c r="G3472" s="19">
        <v>5.1100774E7</v>
      </c>
      <c r="H3472" s="15" t="s">
        <v>39</v>
      </c>
      <c r="I3472" s="20" t="s">
        <v>17</v>
      </c>
      <c r="J3472" s="21">
        <v>4566922.0</v>
      </c>
      <c r="K3472" s="21">
        <v>65.95</v>
      </c>
    </row>
    <row r="3473">
      <c r="A3473" s="15" t="s">
        <v>74</v>
      </c>
      <c r="B3473" s="16" t="s">
        <v>244</v>
      </c>
      <c r="C3473" s="17" t="s">
        <v>245</v>
      </c>
      <c r="D3473" s="18">
        <v>4.0</v>
      </c>
      <c r="E3473" s="17" t="s">
        <v>103</v>
      </c>
      <c r="F3473" s="15" t="s">
        <v>104</v>
      </c>
      <c r="G3473" s="19">
        <v>5.1100058E7</v>
      </c>
      <c r="H3473" s="15" t="s">
        <v>36</v>
      </c>
      <c r="I3473" s="20" t="s">
        <v>37</v>
      </c>
      <c r="J3473" s="21">
        <v>3.6569712E7</v>
      </c>
      <c r="K3473" s="21">
        <v>484.62</v>
      </c>
    </row>
    <row r="3474">
      <c r="A3474" s="15" t="s">
        <v>74</v>
      </c>
      <c r="B3474" s="16" t="s">
        <v>244</v>
      </c>
      <c r="C3474" s="17" t="s">
        <v>245</v>
      </c>
      <c r="D3474" s="18">
        <v>4.0</v>
      </c>
      <c r="E3474" s="17" t="s">
        <v>103</v>
      </c>
      <c r="F3474" s="15" t="s">
        <v>104</v>
      </c>
      <c r="G3474" s="19">
        <v>9.0043001E7</v>
      </c>
      <c r="H3474" s="15" t="s">
        <v>18</v>
      </c>
      <c r="I3474" s="20" t="s">
        <v>19</v>
      </c>
      <c r="J3474" s="21">
        <v>3.0661566E7</v>
      </c>
      <c r="K3474" s="21">
        <v>192.0</v>
      </c>
    </row>
    <row r="3475">
      <c r="A3475" s="15" t="s">
        <v>74</v>
      </c>
      <c r="B3475" s="16" t="s">
        <v>244</v>
      </c>
      <c r="C3475" s="17" t="s">
        <v>245</v>
      </c>
      <c r="D3475" s="18">
        <v>4.0</v>
      </c>
      <c r="E3475" s="17" t="s">
        <v>103</v>
      </c>
      <c r="F3475" s="15" t="s">
        <v>104</v>
      </c>
      <c r="G3475" s="19">
        <v>5.1100774E7</v>
      </c>
      <c r="H3475" s="15" t="s">
        <v>39</v>
      </c>
      <c r="I3475" s="20" t="s">
        <v>17</v>
      </c>
      <c r="J3475" s="21">
        <v>1.9540932E7</v>
      </c>
      <c r="K3475" s="21">
        <v>105.82</v>
      </c>
    </row>
    <row r="3476">
      <c r="A3476" s="15" t="s">
        <v>74</v>
      </c>
      <c r="B3476" s="16" t="s">
        <v>244</v>
      </c>
      <c r="C3476" s="17" t="s">
        <v>245</v>
      </c>
      <c r="D3476" s="18">
        <v>4.0</v>
      </c>
      <c r="E3476" s="17" t="s">
        <v>108</v>
      </c>
      <c r="F3476" s="15" t="s">
        <v>109</v>
      </c>
      <c r="G3476" s="19">
        <v>5.1100058E7</v>
      </c>
      <c r="H3476" s="15" t="s">
        <v>36</v>
      </c>
      <c r="I3476" s="20" t="s">
        <v>37</v>
      </c>
      <c r="J3476" s="21">
        <v>9181250.0</v>
      </c>
      <c r="K3476" s="21">
        <v>113.0</v>
      </c>
    </row>
    <row r="3477">
      <c r="A3477" s="15" t="s">
        <v>74</v>
      </c>
      <c r="B3477" s="16" t="s">
        <v>244</v>
      </c>
      <c r="C3477" s="17" t="s">
        <v>245</v>
      </c>
      <c r="D3477" s="18">
        <v>4.0</v>
      </c>
      <c r="E3477" s="17" t="s">
        <v>108</v>
      </c>
      <c r="F3477" s="15" t="s">
        <v>109</v>
      </c>
      <c r="G3477" s="19">
        <v>5.1100774E7</v>
      </c>
      <c r="H3477" s="15" t="s">
        <v>39</v>
      </c>
      <c r="I3477" s="20" t="s">
        <v>17</v>
      </c>
      <c r="J3477" s="21">
        <v>5946117.0</v>
      </c>
      <c r="K3477" s="21">
        <v>161.0</v>
      </c>
    </row>
    <row r="3478">
      <c r="A3478" s="15" t="s">
        <v>74</v>
      </c>
      <c r="B3478" s="16" t="s">
        <v>244</v>
      </c>
      <c r="C3478" s="17" t="s">
        <v>245</v>
      </c>
      <c r="D3478" s="18">
        <v>4.0</v>
      </c>
      <c r="E3478" s="17" t="s">
        <v>110</v>
      </c>
      <c r="F3478" s="15" t="s">
        <v>111</v>
      </c>
      <c r="G3478" s="19">
        <v>5.1100058E7</v>
      </c>
      <c r="H3478" s="15" t="s">
        <v>36</v>
      </c>
      <c r="I3478" s="20" t="s">
        <v>37</v>
      </c>
      <c r="J3478" s="21">
        <v>134055.0</v>
      </c>
      <c r="K3478" s="21">
        <v>0.77</v>
      </c>
    </row>
    <row r="3479">
      <c r="A3479" s="15" t="s">
        <v>74</v>
      </c>
      <c r="B3479" s="16" t="s">
        <v>244</v>
      </c>
      <c r="C3479" s="17" t="s">
        <v>245</v>
      </c>
      <c r="D3479" s="18">
        <v>4.0</v>
      </c>
      <c r="E3479" s="17" t="s">
        <v>112</v>
      </c>
      <c r="F3479" s="15" t="s">
        <v>113</v>
      </c>
      <c r="G3479" s="19">
        <v>9.0043001E7</v>
      </c>
      <c r="H3479" s="15" t="s">
        <v>18</v>
      </c>
      <c r="I3479" s="20" t="s">
        <v>19</v>
      </c>
      <c r="J3479" s="21">
        <v>1228108.0</v>
      </c>
      <c r="K3479" s="21">
        <v>7.0</v>
      </c>
    </row>
    <row r="3480">
      <c r="A3480" s="15" t="s">
        <v>74</v>
      </c>
      <c r="B3480" s="16" t="s">
        <v>244</v>
      </c>
      <c r="C3480" s="17" t="s">
        <v>245</v>
      </c>
      <c r="D3480" s="18">
        <v>4.0</v>
      </c>
      <c r="E3480" s="17" t="s">
        <v>207</v>
      </c>
      <c r="F3480" s="15" t="s">
        <v>208</v>
      </c>
      <c r="G3480" s="19">
        <v>9.0043001E7</v>
      </c>
      <c r="H3480" s="15" t="s">
        <v>18</v>
      </c>
      <c r="I3480" s="20" t="s">
        <v>19</v>
      </c>
      <c r="J3480" s="21">
        <v>967299.0</v>
      </c>
      <c r="K3480" s="21">
        <v>6.0</v>
      </c>
    </row>
    <row r="3481">
      <c r="A3481" s="15" t="s">
        <v>74</v>
      </c>
      <c r="B3481" s="16" t="s">
        <v>244</v>
      </c>
      <c r="C3481" s="17" t="s">
        <v>245</v>
      </c>
      <c r="D3481" s="18">
        <v>4.0</v>
      </c>
      <c r="E3481" s="17" t="s">
        <v>175</v>
      </c>
      <c r="F3481" s="15" t="s">
        <v>176</v>
      </c>
      <c r="G3481" s="19">
        <v>9.0043002E7</v>
      </c>
      <c r="H3481" s="15" t="s">
        <v>49</v>
      </c>
      <c r="I3481" s="20" t="s">
        <v>50</v>
      </c>
      <c r="J3481" s="21">
        <v>5204374.0</v>
      </c>
      <c r="K3481" s="21">
        <v>308.0</v>
      </c>
    </row>
    <row r="3482">
      <c r="A3482" s="15" t="s">
        <v>74</v>
      </c>
      <c r="B3482" s="16" t="s">
        <v>244</v>
      </c>
      <c r="C3482" s="17" t="s">
        <v>245</v>
      </c>
      <c r="D3482" s="18">
        <v>4.0</v>
      </c>
      <c r="E3482" s="17" t="s">
        <v>117</v>
      </c>
      <c r="F3482" s="15" t="s">
        <v>118</v>
      </c>
      <c r="G3482" s="19">
        <v>5.1100058E7</v>
      </c>
      <c r="H3482" s="15" t="s">
        <v>36</v>
      </c>
      <c r="I3482" s="20" t="s">
        <v>37</v>
      </c>
      <c r="J3482" s="21">
        <v>3.79161549E8</v>
      </c>
      <c r="K3482" s="21">
        <v>47876.0</v>
      </c>
    </row>
    <row r="3483">
      <c r="A3483" s="15" t="s">
        <v>74</v>
      </c>
      <c r="B3483" s="16" t="s">
        <v>244</v>
      </c>
      <c r="C3483" s="17" t="s">
        <v>245</v>
      </c>
      <c r="D3483" s="18">
        <v>4.0</v>
      </c>
      <c r="E3483" s="17" t="s">
        <v>117</v>
      </c>
      <c r="F3483" s="15" t="s">
        <v>118</v>
      </c>
      <c r="G3483" s="19">
        <v>9.0043001E7</v>
      </c>
      <c r="H3483" s="15" t="s">
        <v>18</v>
      </c>
      <c r="I3483" s="20" t="s">
        <v>19</v>
      </c>
      <c r="J3483" s="21">
        <v>6923544.0</v>
      </c>
      <c r="K3483" s="21">
        <v>42.0</v>
      </c>
    </row>
    <row r="3484">
      <c r="A3484" s="15" t="s">
        <v>74</v>
      </c>
      <c r="B3484" s="16" t="s">
        <v>244</v>
      </c>
      <c r="C3484" s="17" t="s">
        <v>245</v>
      </c>
      <c r="D3484" s="18">
        <v>4.0</v>
      </c>
      <c r="E3484" s="17" t="s">
        <v>117</v>
      </c>
      <c r="F3484" s="15" t="s">
        <v>118</v>
      </c>
      <c r="G3484" s="19">
        <v>5.1100774E7</v>
      </c>
      <c r="H3484" s="15" t="s">
        <v>39</v>
      </c>
      <c r="I3484" s="20" t="s">
        <v>17</v>
      </c>
      <c r="J3484" s="21">
        <v>9150002.0</v>
      </c>
      <c r="K3484" s="21">
        <v>79.28</v>
      </c>
    </row>
    <row r="3485">
      <c r="A3485" s="15" t="s">
        <v>74</v>
      </c>
      <c r="B3485" s="16" t="s">
        <v>244</v>
      </c>
      <c r="C3485" s="17" t="s">
        <v>245</v>
      </c>
      <c r="D3485" s="18">
        <v>4.0</v>
      </c>
      <c r="E3485" s="17" t="s">
        <v>123</v>
      </c>
      <c r="F3485" s="15" t="s">
        <v>124</v>
      </c>
      <c r="G3485" s="19">
        <v>5.1100774E7</v>
      </c>
      <c r="H3485" s="15" t="s">
        <v>39</v>
      </c>
      <c r="I3485" s="20" t="s">
        <v>17</v>
      </c>
      <c r="J3485" s="21">
        <v>1979577.0</v>
      </c>
      <c r="K3485" s="21">
        <v>2.68</v>
      </c>
    </row>
    <row r="3486">
      <c r="A3486" s="15" t="s">
        <v>74</v>
      </c>
      <c r="B3486" s="16" t="s">
        <v>244</v>
      </c>
      <c r="C3486" s="17" t="s">
        <v>245</v>
      </c>
      <c r="D3486" s="18">
        <v>4.0</v>
      </c>
      <c r="E3486" s="17" t="s">
        <v>125</v>
      </c>
      <c r="F3486" s="15" t="s">
        <v>126</v>
      </c>
      <c r="G3486" s="19">
        <v>9.0043001E7</v>
      </c>
      <c r="H3486" s="15" t="s">
        <v>18</v>
      </c>
      <c r="I3486" s="20" t="s">
        <v>19</v>
      </c>
      <c r="J3486" s="21">
        <v>5.58762576E8</v>
      </c>
      <c r="K3486" s="21">
        <v>3476.98</v>
      </c>
    </row>
    <row r="3487">
      <c r="A3487" s="15" t="s">
        <v>74</v>
      </c>
      <c r="B3487" s="16" t="s">
        <v>244</v>
      </c>
      <c r="C3487" s="17" t="s">
        <v>245</v>
      </c>
      <c r="D3487" s="18">
        <v>4.0</v>
      </c>
      <c r="E3487" s="17" t="s">
        <v>127</v>
      </c>
      <c r="F3487" s="15" t="s">
        <v>128</v>
      </c>
      <c r="G3487" s="19">
        <v>5.1100153E7</v>
      </c>
      <c r="H3487" s="15" t="s">
        <v>72</v>
      </c>
      <c r="I3487" s="20" t="s">
        <v>17</v>
      </c>
      <c r="J3487" s="21">
        <v>4.75556539E8</v>
      </c>
      <c r="K3487" s="21">
        <v>2068914.0</v>
      </c>
    </row>
    <row r="3488">
      <c r="A3488" s="15" t="s">
        <v>74</v>
      </c>
      <c r="B3488" s="16" t="s">
        <v>244</v>
      </c>
      <c r="C3488" s="17" t="s">
        <v>245</v>
      </c>
      <c r="D3488" s="18">
        <v>4.0</v>
      </c>
      <c r="E3488" s="17" t="s">
        <v>127</v>
      </c>
      <c r="F3488" s="15" t="s">
        <v>128</v>
      </c>
      <c r="G3488" s="19">
        <v>5.1101056E7</v>
      </c>
      <c r="H3488" s="15" t="s">
        <v>16</v>
      </c>
      <c r="I3488" s="20" t="s">
        <v>25</v>
      </c>
      <c r="J3488" s="21">
        <v>3575000.0</v>
      </c>
      <c r="K3488" s="21">
        <v>0.0</v>
      </c>
    </row>
    <row r="3489">
      <c r="A3489" s="15" t="s">
        <v>74</v>
      </c>
      <c r="B3489" s="16" t="s">
        <v>244</v>
      </c>
      <c r="C3489" s="17" t="s">
        <v>245</v>
      </c>
      <c r="D3489" s="18">
        <v>4.0</v>
      </c>
      <c r="E3489" s="17" t="s">
        <v>127</v>
      </c>
      <c r="F3489" s="15" t="s">
        <v>128</v>
      </c>
      <c r="G3489" s="19">
        <v>9.0043002E7</v>
      </c>
      <c r="H3489" s="15" t="s">
        <v>49</v>
      </c>
      <c r="I3489" s="20" t="s">
        <v>50</v>
      </c>
      <c r="J3489" s="21">
        <v>1.7180003E7</v>
      </c>
      <c r="K3489" s="21">
        <v>990.0</v>
      </c>
    </row>
    <row r="3490">
      <c r="A3490" s="15" t="s">
        <v>74</v>
      </c>
      <c r="B3490" s="16" t="s">
        <v>244</v>
      </c>
      <c r="C3490" s="17" t="s">
        <v>245</v>
      </c>
      <c r="D3490" s="18">
        <v>4.0</v>
      </c>
      <c r="E3490" s="17" t="s">
        <v>129</v>
      </c>
      <c r="F3490" s="15" t="s">
        <v>130</v>
      </c>
      <c r="G3490" s="19">
        <v>5.1101056E7</v>
      </c>
      <c r="H3490" s="15" t="s">
        <v>16</v>
      </c>
      <c r="I3490" s="20" t="s">
        <v>17</v>
      </c>
      <c r="J3490" s="21">
        <v>2.51823E7</v>
      </c>
      <c r="K3490" s="21">
        <v>238.0</v>
      </c>
    </row>
    <row r="3491">
      <c r="A3491" s="15" t="s">
        <v>74</v>
      </c>
      <c r="B3491" s="16" t="s">
        <v>244</v>
      </c>
      <c r="C3491" s="17" t="s">
        <v>245</v>
      </c>
      <c r="D3491" s="18">
        <v>4.0</v>
      </c>
      <c r="E3491" s="17" t="s">
        <v>129</v>
      </c>
      <c r="F3491" s="15" t="s">
        <v>130</v>
      </c>
      <c r="G3491" s="19">
        <v>9.0043001E7</v>
      </c>
      <c r="H3491" s="15" t="s">
        <v>18</v>
      </c>
      <c r="I3491" s="20" t="s">
        <v>19</v>
      </c>
      <c r="J3491" s="21">
        <v>1.3380797E7</v>
      </c>
      <c r="K3491" s="21">
        <v>81.5</v>
      </c>
    </row>
    <row r="3492">
      <c r="A3492" s="15" t="s">
        <v>74</v>
      </c>
      <c r="B3492" s="16" t="s">
        <v>244</v>
      </c>
      <c r="C3492" s="17" t="s">
        <v>245</v>
      </c>
      <c r="D3492" s="18">
        <v>4.0</v>
      </c>
      <c r="E3492" s="17" t="s">
        <v>129</v>
      </c>
      <c r="F3492" s="15" t="s">
        <v>130</v>
      </c>
      <c r="G3492" s="19">
        <v>9.0043002E7</v>
      </c>
      <c r="H3492" s="15" t="s">
        <v>49</v>
      </c>
      <c r="I3492" s="20" t="s">
        <v>50</v>
      </c>
      <c r="J3492" s="21">
        <v>568408.0</v>
      </c>
      <c r="K3492" s="21">
        <v>34.0</v>
      </c>
    </row>
    <row r="3493">
      <c r="A3493" s="15" t="s">
        <v>74</v>
      </c>
      <c r="B3493" s="16" t="s">
        <v>244</v>
      </c>
      <c r="C3493" s="17" t="s">
        <v>245</v>
      </c>
      <c r="D3493" s="18">
        <v>4.0</v>
      </c>
      <c r="E3493" s="17" t="s">
        <v>129</v>
      </c>
      <c r="F3493" s="15" t="s">
        <v>130</v>
      </c>
      <c r="G3493" s="19">
        <v>9.0043003E7</v>
      </c>
      <c r="H3493" s="15" t="s">
        <v>90</v>
      </c>
      <c r="I3493" s="20" t="s">
        <v>50</v>
      </c>
      <c r="J3493" s="21">
        <v>6.0412791E7</v>
      </c>
      <c r="K3493" s="21">
        <v>581.68</v>
      </c>
    </row>
    <row r="3494">
      <c r="A3494" s="15" t="s">
        <v>74</v>
      </c>
      <c r="B3494" s="16" t="s">
        <v>244</v>
      </c>
      <c r="C3494" s="17" t="s">
        <v>245</v>
      </c>
      <c r="D3494" s="18">
        <v>4.0</v>
      </c>
      <c r="E3494" s="17" t="s">
        <v>131</v>
      </c>
      <c r="F3494" s="15" t="s">
        <v>132</v>
      </c>
      <c r="G3494" s="19">
        <v>9.0043001E7</v>
      </c>
      <c r="H3494" s="15" t="s">
        <v>18</v>
      </c>
      <c r="I3494" s="20" t="s">
        <v>19</v>
      </c>
      <c r="J3494" s="21">
        <v>8162316.0</v>
      </c>
      <c r="K3494" s="21">
        <v>50.0</v>
      </c>
    </row>
    <row r="3495">
      <c r="A3495" s="15" t="s">
        <v>74</v>
      </c>
      <c r="B3495" s="16" t="s">
        <v>244</v>
      </c>
      <c r="C3495" s="17" t="s">
        <v>245</v>
      </c>
      <c r="D3495" s="18">
        <v>4.0</v>
      </c>
      <c r="E3495" s="17" t="s">
        <v>162</v>
      </c>
      <c r="F3495" s="15" t="s">
        <v>163</v>
      </c>
      <c r="G3495" s="19">
        <v>9.0043001E7</v>
      </c>
      <c r="H3495" s="15" t="s">
        <v>18</v>
      </c>
      <c r="I3495" s="20" t="s">
        <v>19</v>
      </c>
      <c r="J3495" s="21">
        <v>1.5366424E7</v>
      </c>
      <c r="K3495" s="21">
        <v>96.0</v>
      </c>
    </row>
    <row r="3496">
      <c r="A3496" s="15" t="s">
        <v>74</v>
      </c>
      <c r="B3496" s="16" t="s">
        <v>244</v>
      </c>
      <c r="C3496" s="17" t="s">
        <v>245</v>
      </c>
      <c r="D3496" s="18">
        <v>4.0</v>
      </c>
      <c r="E3496" s="17" t="s">
        <v>54</v>
      </c>
      <c r="F3496" s="15" t="s">
        <v>139</v>
      </c>
      <c r="G3496" s="19">
        <v>9.0042011E7</v>
      </c>
      <c r="H3496" s="15" t="s">
        <v>55</v>
      </c>
      <c r="I3496" s="20" t="s">
        <v>19</v>
      </c>
      <c r="J3496" s="21">
        <v>3.52768007E8</v>
      </c>
      <c r="K3496" s="21">
        <v>0.0</v>
      </c>
    </row>
    <row r="3497">
      <c r="A3497" s="15" t="s">
        <v>74</v>
      </c>
      <c r="B3497" s="16" t="s">
        <v>244</v>
      </c>
      <c r="C3497" s="17" t="s">
        <v>245</v>
      </c>
      <c r="D3497" s="18">
        <v>4.0</v>
      </c>
      <c r="E3497" s="17" t="s">
        <v>20</v>
      </c>
      <c r="F3497" s="15" t="s">
        <v>140</v>
      </c>
      <c r="G3497" s="19">
        <v>9.0042014E7</v>
      </c>
      <c r="H3497" s="15" t="s">
        <v>21</v>
      </c>
      <c r="I3497" s="20" t="s">
        <v>19</v>
      </c>
      <c r="J3497" s="21">
        <v>5.32957625E8</v>
      </c>
      <c r="K3497" s="21">
        <v>0.0</v>
      </c>
    </row>
    <row r="3498">
      <c r="A3498" s="15" t="s">
        <v>74</v>
      </c>
      <c r="B3498" s="16" t="s">
        <v>244</v>
      </c>
      <c r="C3498" s="17" t="s">
        <v>245</v>
      </c>
      <c r="D3498" s="18">
        <v>4.0</v>
      </c>
      <c r="E3498" s="17" t="s">
        <v>20</v>
      </c>
      <c r="F3498" s="15" t="s">
        <v>140</v>
      </c>
      <c r="G3498" s="19">
        <v>9.0042077E7</v>
      </c>
      <c r="H3498" s="15" t="s">
        <v>141</v>
      </c>
      <c r="I3498" s="20" t="s">
        <v>19</v>
      </c>
      <c r="J3498" s="21">
        <v>1.54039732E8</v>
      </c>
      <c r="K3498" s="21">
        <v>0.0</v>
      </c>
    </row>
    <row r="3499">
      <c r="A3499" s="15" t="s">
        <v>74</v>
      </c>
      <c r="B3499" s="16" t="s">
        <v>244</v>
      </c>
      <c r="C3499" s="17" t="s">
        <v>245</v>
      </c>
      <c r="D3499" s="18">
        <v>4.0</v>
      </c>
      <c r="E3499" s="17" t="s">
        <v>142</v>
      </c>
      <c r="F3499" s="15" t="s">
        <v>143</v>
      </c>
      <c r="G3499" s="19">
        <v>9.0042084E7</v>
      </c>
      <c r="H3499" s="15" t="s">
        <v>145</v>
      </c>
      <c r="I3499" s="20" t="s">
        <v>19</v>
      </c>
      <c r="J3499" s="21">
        <v>8438580.0</v>
      </c>
      <c r="K3499" s="21">
        <v>0.0</v>
      </c>
    </row>
    <row r="3500">
      <c r="A3500" s="15" t="s">
        <v>74</v>
      </c>
      <c r="B3500" s="16" t="s">
        <v>244</v>
      </c>
      <c r="C3500" s="17" t="s">
        <v>245</v>
      </c>
      <c r="D3500" s="18">
        <v>4.0</v>
      </c>
      <c r="E3500" s="17" t="s">
        <v>22</v>
      </c>
      <c r="F3500" s="15" t="s">
        <v>146</v>
      </c>
      <c r="G3500" s="19">
        <v>9.0042012E7</v>
      </c>
      <c r="H3500" s="15" t="s">
        <v>23</v>
      </c>
      <c r="I3500" s="20" t="s">
        <v>19</v>
      </c>
      <c r="J3500" s="21">
        <v>1.7217486E8</v>
      </c>
      <c r="K3500" s="21">
        <v>0.0</v>
      </c>
    </row>
    <row r="3501">
      <c r="A3501" s="15" t="s">
        <v>74</v>
      </c>
      <c r="B3501" s="16" t="s">
        <v>244</v>
      </c>
      <c r="C3501" s="17" t="s">
        <v>245</v>
      </c>
      <c r="D3501" s="18">
        <v>4.0</v>
      </c>
      <c r="E3501" s="17" t="s">
        <v>22</v>
      </c>
      <c r="F3501" s="15" t="s">
        <v>146</v>
      </c>
      <c r="G3501" s="19">
        <v>9.0042121E7</v>
      </c>
      <c r="H3501" s="15" t="s">
        <v>24</v>
      </c>
      <c r="I3501" s="20" t="s">
        <v>25</v>
      </c>
      <c r="J3501" s="21">
        <v>1.32914554E8</v>
      </c>
      <c r="K3501" s="21">
        <v>0.0</v>
      </c>
    </row>
    <row r="3502">
      <c r="A3502" s="15" t="s">
        <v>74</v>
      </c>
      <c r="B3502" s="16" t="s">
        <v>244</v>
      </c>
      <c r="C3502" s="17" t="s">
        <v>245</v>
      </c>
      <c r="D3502" s="18">
        <v>4.0</v>
      </c>
      <c r="E3502" s="17" t="s">
        <v>22</v>
      </c>
      <c r="F3502" s="15" t="s">
        <v>146</v>
      </c>
      <c r="G3502" s="19">
        <v>9.0042122E7</v>
      </c>
      <c r="H3502" s="15" t="s">
        <v>56</v>
      </c>
      <c r="I3502" s="20" t="s">
        <v>25</v>
      </c>
      <c r="J3502" s="21">
        <v>2.07200728E8</v>
      </c>
      <c r="K3502" s="21">
        <v>0.0</v>
      </c>
    </row>
    <row r="3503">
      <c r="A3503" s="15" t="s">
        <v>74</v>
      </c>
      <c r="B3503" s="16" t="s">
        <v>244</v>
      </c>
      <c r="C3503" s="17" t="s">
        <v>245</v>
      </c>
      <c r="D3503" s="18">
        <v>4.0</v>
      </c>
      <c r="E3503" s="17" t="s">
        <v>22</v>
      </c>
      <c r="F3503" s="15" t="s">
        <v>146</v>
      </c>
      <c r="G3503" s="19">
        <v>9.0042124E7</v>
      </c>
      <c r="H3503" s="15" t="s">
        <v>57</v>
      </c>
      <c r="I3503" s="20" t="s">
        <v>25</v>
      </c>
      <c r="J3503" s="21">
        <v>7600200.0</v>
      </c>
      <c r="K3503" s="21">
        <v>0.0</v>
      </c>
    </row>
    <row r="3504">
      <c r="A3504" s="15" t="s">
        <v>74</v>
      </c>
      <c r="B3504" s="16" t="s">
        <v>244</v>
      </c>
      <c r="C3504" s="17" t="s">
        <v>245</v>
      </c>
      <c r="D3504" s="18">
        <v>4.0</v>
      </c>
      <c r="E3504" s="17" t="s">
        <v>22</v>
      </c>
      <c r="F3504" s="15" t="s">
        <v>146</v>
      </c>
      <c r="G3504" s="19">
        <v>9.0042125E7</v>
      </c>
      <c r="H3504" s="15" t="s">
        <v>26</v>
      </c>
      <c r="I3504" s="20" t="s">
        <v>25</v>
      </c>
      <c r="J3504" s="21">
        <v>1.2964183E7</v>
      </c>
      <c r="K3504" s="21">
        <v>0.0</v>
      </c>
    </row>
    <row r="3505">
      <c r="A3505" s="15" t="s">
        <v>74</v>
      </c>
      <c r="B3505" s="16" t="s">
        <v>244</v>
      </c>
      <c r="C3505" s="17" t="s">
        <v>245</v>
      </c>
      <c r="D3505" s="18">
        <v>4.0</v>
      </c>
      <c r="E3505" s="17" t="s">
        <v>22</v>
      </c>
      <c r="F3505" s="15" t="s">
        <v>146</v>
      </c>
      <c r="G3505" s="19">
        <v>9.0042128E7</v>
      </c>
      <c r="H3505" s="15" t="s">
        <v>58</v>
      </c>
      <c r="I3505" s="20" t="s">
        <v>25</v>
      </c>
      <c r="J3505" s="21">
        <v>9.0239626E7</v>
      </c>
      <c r="K3505" s="21">
        <v>0.0</v>
      </c>
    </row>
    <row r="3506">
      <c r="A3506" s="15" t="s">
        <v>74</v>
      </c>
      <c r="B3506" s="16" t="s">
        <v>244</v>
      </c>
      <c r="C3506" s="17" t="s">
        <v>245</v>
      </c>
      <c r="D3506" s="18">
        <v>4.0</v>
      </c>
      <c r="E3506" s="17" t="s">
        <v>22</v>
      </c>
      <c r="F3506" s="15" t="s">
        <v>146</v>
      </c>
      <c r="G3506" s="19">
        <v>9.0042132E7</v>
      </c>
      <c r="H3506" s="15" t="s">
        <v>28</v>
      </c>
      <c r="I3506" s="20" t="s">
        <v>25</v>
      </c>
      <c r="J3506" s="21">
        <v>2.6252575E7</v>
      </c>
      <c r="K3506" s="21">
        <v>0.0</v>
      </c>
    </row>
    <row r="3507">
      <c r="A3507" s="15" t="s">
        <v>74</v>
      </c>
      <c r="B3507" s="16" t="s">
        <v>244</v>
      </c>
      <c r="C3507" s="17" t="s">
        <v>245</v>
      </c>
      <c r="D3507" s="18">
        <v>4.0</v>
      </c>
      <c r="E3507" s="17" t="s">
        <v>22</v>
      </c>
      <c r="F3507" s="15" t="s">
        <v>146</v>
      </c>
      <c r="G3507" s="19">
        <v>9.0042135E7</v>
      </c>
      <c r="H3507" s="15" t="s">
        <v>30</v>
      </c>
      <c r="I3507" s="20" t="s">
        <v>25</v>
      </c>
      <c r="J3507" s="21">
        <v>4.65773883E8</v>
      </c>
      <c r="K3507" s="21">
        <v>0.0</v>
      </c>
    </row>
    <row r="3508">
      <c r="A3508" s="15" t="s">
        <v>74</v>
      </c>
      <c r="B3508" s="16" t="s">
        <v>244</v>
      </c>
      <c r="C3508" s="17" t="s">
        <v>245</v>
      </c>
      <c r="D3508" s="18">
        <v>4.0</v>
      </c>
      <c r="E3508" s="17" t="s">
        <v>22</v>
      </c>
      <c r="F3508" s="15" t="s">
        <v>146</v>
      </c>
      <c r="G3508" s="19">
        <v>9.00422E7</v>
      </c>
      <c r="H3508" s="15" t="s">
        <v>73</v>
      </c>
      <c r="I3508" s="20" t="s">
        <v>60</v>
      </c>
      <c r="J3508" s="21">
        <v>3.14216771E8</v>
      </c>
      <c r="K3508" s="21">
        <v>0.0</v>
      </c>
    </row>
    <row r="3509">
      <c r="A3509" s="15" t="s">
        <v>74</v>
      </c>
      <c r="B3509" s="16" t="s">
        <v>244</v>
      </c>
      <c r="C3509" s="17" t="s">
        <v>245</v>
      </c>
      <c r="D3509" s="18">
        <v>4.0</v>
      </c>
      <c r="E3509" s="17" t="s">
        <v>22</v>
      </c>
      <c r="F3509" s="15" t="s">
        <v>146</v>
      </c>
      <c r="G3509" s="19">
        <v>9.0042223E7</v>
      </c>
      <c r="H3509" s="15" t="s">
        <v>61</v>
      </c>
      <c r="I3509" s="20" t="s">
        <v>60</v>
      </c>
      <c r="J3509" s="21">
        <v>4255769.0</v>
      </c>
      <c r="K3509" s="21">
        <v>0.0</v>
      </c>
    </row>
    <row r="3510">
      <c r="A3510" s="15" t="s">
        <v>74</v>
      </c>
      <c r="B3510" s="16" t="s">
        <v>244</v>
      </c>
      <c r="C3510" s="17" t="s">
        <v>245</v>
      </c>
      <c r="D3510" s="18">
        <v>4.0</v>
      </c>
      <c r="E3510" s="17" t="s">
        <v>22</v>
      </c>
      <c r="F3510" s="15" t="s">
        <v>146</v>
      </c>
      <c r="G3510" s="19">
        <v>9.0042224E7</v>
      </c>
      <c r="H3510" s="15" t="s">
        <v>62</v>
      </c>
      <c r="I3510" s="20" t="s">
        <v>60</v>
      </c>
      <c r="J3510" s="21">
        <v>1.0447193E7</v>
      </c>
      <c r="K3510" s="21">
        <v>0.0</v>
      </c>
    </row>
    <row r="3511">
      <c r="A3511" s="15" t="s">
        <v>74</v>
      </c>
      <c r="B3511" s="16" t="s">
        <v>244</v>
      </c>
      <c r="C3511" s="17" t="s">
        <v>245</v>
      </c>
      <c r="D3511" s="18">
        <v>4.0</v>
      </c>
      <c r="E3511" s="17" t="s">
        <v>22</v>
      </c>
      <c r="F3511" s="15" t="s">
        <v>146</v>
      </c>
      <c r="G3511" s="19">
        <v>9.0042226E7</v>
      </c>
      <c r="H3511" s="15" t="s">
        <v>63</v>
      </c>
      <c r="I3511" s="20" t="s">
        <v>60</v>
      </c>
      <c r="J3511" s="21">
        <v>133333.0</v>
      </c>
      <c r="K3511" s="21">
        <v>0.0</v>
      </c>
    </row>
    <row r="3512">
      <c r="A3512" s="15" t="s">
        <v>74</v>
      </c>
      <c r="B3512" s="16" t="s">
        <v>244</v>
      </c>
      <c r="C3512" s="17" t="s">
        <v>245</v>
      </c>
      <c r="D3512" s="18">
        <v>4.0</v>
      </c>
      <c r="E3512" s="17" t="s">
        <v>22</v>
      </c>
      <c r="F3512" s="15" t="s">
        <v>146</v>
      </c>
      <c r="G3512" s="19">
        <v>9.0042228E7</v>
      </c>
      <c r="H3512" s="15" t="s">
        <v>64</v>
      </c>
      <c r="I3512" s="20" t="s">
        <v>60</v>
      </c>
      <c r="J3512" s="21">
        <v>4.1960041E7</v>
      </c>
      <c r="K3512" s="21">
        <v>0.0</v>
      </c>
    </row>
    <row r="3513">
      <c r="A3513" s="15" t="s">
        <v>74</v>
      </c>
      <c r="B3513" s="16" t="s">
        <v>244</v>
      </c>
      <c r="C3513" s="17" t="s">
        <v>245</v>
      </c>
      <c r="D3513" s="18">
        <v>4.0</v>
      </c>
      <c r="E3513" s="17" t="s">
        <v>22</v>
      </c>
      <c r="F3513" s="15" t="s">
        <v>146</v>
      </c>
      <c r="G3513" s="19">
        <v>9.0042231E7</v>
      </c>
      <c r="H3513" s="15" t="s">
        <v>65</v>
      </c>
      <c r="I3513" s="20" t="s">
        <v>60</v>
      </c>
      <c r="J3513" s="21">
        <v>5.8308695E7</v>
      </c>
      <c r="K3513" s="21">
        <v>0.0</v>
      </c>
    </row>
    <row r="3514">
      <c r="A3514" s="15" t="s">
        <v>74</v>
      </c>
      <c r="B3514" s="16" t="s">
        <v>244</v>
      </c>
      <c r="C3514" s="17" t="s">
        <v>245</v>
      </c>
      <c r="D3514" s="18">
        <v>4.0</v>
      </c>
      <c r="E3514" s="17" t="s">
        <v>22</v>
      </c>
      <c r="F3514" s="15" t="s">
        <v>146</v>
      </c>
      <c r="G3514" s="19">
        <v>9.0042126E7</v>
      </c>
      <c r="H3514" s="15" t="s">
        <v>31</v>
      </c>
      <c r="I3514" s="20" t="s">
        <v>25</v>
      </c>
      <c r="J3514" s="21">
        <v>5.0277719E7</v>
      </c>
      <c r="K3514" s="21">
        <v>0.0</v>
      </c>
    </row>
    <row r="3515">
      <c r="A3515" s="15" t="s">
        <v>74</v>
      </c>
      <c r="B3515" s="16" t="s">
        <v>244</v>
      </c>
      <c r="C3515" s="17" t="s">
        <v>245</v>
      </c>
      <c r="D3515" s="18">
        <v>4.0</v>
      </c>
      <c r="E3515" s="17" t="s">
        <v>22</v>
      </c>
      <c r="F3515" s="15" t="s">
        <v>146</v>
      </c>
      <c r="G3515" s="19">
        <v>9.004212E7</v>
      </c>
      <c r="H3515" s="15" t="s">
        <v>182</v>
      </c>
      <c r="I3515" s="20" t="s">
        <v>25</v>
      </c>
      <c r="J3515" s="21">
        <v>1.64879E8</v>
      </c>
      <c r="K3515" s="21">
        <v>0.0</v>
      </c>
    </row>
    <row r="3516">
      <c r="A3516" s="15" t="s">
        <v>74</v>
      </c>
      <c r="B3516" s="16" t="s">
        <v>244</v>
      </c>
      <c r="C3516" s="17" t="s">
        <v>245</v>
      </c>
      <c r="D3516" s="18">
        <v>4.0</v>
      </c>
      <c r="E3516" s="24">
        <v>46097.0</v>
      </c>
      <c r="F3516" s="15" t="s">
        <v>216</v>
      </c>
      <c r="G3516" s="19">
        <v>5.1101056E7</v>
      </c>
      <c r="H3516" s="15" t="s">
        <v>16</v>
      </c>
      <c r="I3516" s="20" t="s">
        <v>17</v>
      </c>
      <c r="J3516" s="21">
        <v>477400.0</v>
      </c>
      <c r="K3516" s="21">
        <v>2.0</v>
      </c>
    </row>
    <row r="3517">
      <c r="A3517" s="15" t="s">
        <v>74</v>
      </c>
      <c r="B3517" s="16" t="s">
        <v>244</v>
      </c>
      <c r="C3517" s="17" t="s">
        <v>245</v>
      </c>
      <c r="D3517" s="18">
        <v>4.0</v>
      </c>
      <c r="E3517" s="24">
        <v>46097.0</v>
      </c>
      <c r="F3517" s="15" t="s">
        <v>216</v>
      </c>
      <c r="G3517" s="19">
        <v>9.0043001E7</v>
      </c>
      <c r="H3517" s="15" t="s">
        <v>18</v>
      </c>
      <c r="I3517" s="20" t="s">
        <v>19</v>
      </c>
      <c r="J3517" s="21">
        <v>643712.0</v>
      </c>
      <c r="K3517" s="21">
        <v>4.0</v>
      </c>
    </row>
    <row r="3518">
      <c r="A3518" s="15" t="s">
        <v>74</v>
      </c>
      <c r="B3518" s="16" t="s">
        <v>244</v>
      </c>
      <c r="C3518" s="17" t="s">
        <v>245</v>
      </c>
      <c r="D3518" s="18">
        <v>4.0</v>
      </c>
      <c r="E3518" s="24">
        <v>46097.0</v>
      </c>
      <c r="F3518" s="15" t="s">
        <v>216</v>
      </c>
      <c r="G3518" s="19">
        <v>9.0043003E7</v>
      </c>
      <c r="H3518" s="15" t="s">
        <v>90</v>
      </c>
      <c r="I3518" s="20" t="s">
        <v>50</v>
      </c>
      <c r="J3518" s="21">
        <v>4568255.0</v>
      </c>
      <c r="K3518" s="21">
        <v>41.55</v>
      </c>
    </row>
    <row r="3519">
      <c r="A3519" s="15" t="s">
        <v>74</v>
      </c>
      <c r="B3519" s="16" t="s">
        <v>244</v>
      </c>
      <c r="C3519" s="17" t="s">
        <v>245</v>
      </c>
      <c r="D3519" s="18">
        <v>4.0</v>
      </c>
      <c r="E3519" s="24">
        <v>46069.0</v>
      </c>
      <c r="F3519" s="15" t="s">
        <v>217</v>
      </c>
      <c r="G3519" s="19">
        <v>5.1100153E7</v>
      </c>
      <c r="H3519" s="15" t="s">
        <v>72</v>
      </c>
      <c r="I3519" s="20" t="s">
        <v>17</v>
      </c>
      <c r="J3519" s="21">
        <v>2.664283E7</v>
      </c>
      <c r="K3519" s="21">
        <v>114582.0</v>
      </c>
    </row>
    <row r="3520">
      <c r="A3520" s="15" t="s">
        <v>74</v>
      </c>
      <c r="B3520" s="16" t="s">
        <v>244</v>
      </c>
      <c r="C3520" s="17" t="s">
        <v>245</v>
      </c>
      <c r="D3520" s="18">
        <v>4.0</v>
      </c>
      <c r="E3520" s="17" t="s">
        <v>276</v>
      </c>
      <c r="F3520" s="15" t="s">
        <v>277</v>
      </c>
      <c r="G3520" s="19">
        <v>9.0043001E7</v>
      </c>
      <c r="H3520" s="15" t="s">
        <v>18</v>
      </c>
      <c r="I3520" s="20" t="s">
        <v>19</v>
      </c>
      <c r="J3520" s="21">
        <v>5053080.0</v>
      </c>
      <c r="K3520" s="21">
        <v>30.0</v>
      </c>
    </row>
    <row r="3521">
      <c r="A3521" s="15" t="s">
        <v>74</v>
      </c>
      <c r="B3521" s="16" t="s">
        <v>244</v>
      </c>
      <c r="C3521" s="17" t="s">
        <v>245</v>
      </c>
      <c r="D3521" s="18">
        <v>4.0</v>
      </c>
      <c r="E3521" s="17" t="s">
        <v>250</v>
      </c>
      <c r="F3521" s="15" t="s">
        <v>251</v>
      </c>
      <c r="G3521" s="19">
        <v>9.0043001E7</v>
      </c>
      <c r="H3521" s="15" t="s">
        <v>18</v>
      </c>
      <c r="I3521" s="20" t="s">
        <v>19</v>
      </c>
      <c r="J3521" s="21">
        <v>1179052.0</v>
      </c>
      <c r="K3521" s="21">
        <v>7.0</v>
      </c>
    </row>
    <row r="3522">
      <c r="A3522" s="15" t="s">
        <v>74</v>
      </c>
      <c r="B3522" s="16" t="s">
        <v>244</v>
      </c>
      <c r="C3522" s="17" t="s">
        <v>245</v>
      </c>
      <c r="D3522" s="18">
        <v>4.0</v>
      </c>
      <c r="E3522" s="17" t="s">
        <v>252</v>
      </c>
      <c r="F3522" s="15" t="s">
        <v>253</v>
      </c>
      <c r="G3522" s="19">
        <v>5.1101056E7</v>
      </c>
      <c r="H3522" s="15" t="s">
        <v>16</v>
      </c>
      <c r="I3522" s="20" t="s">
        <v>17</v>
      </c>
      <c r="J3522" s="21">
        <v>231000.0</v>
      </c>
      <c r="K3522" s="21">
        <v>3.0</v>
      </c>
    </row>
    <row r="3523">
      <c r="A3523" s="15" t="s">
        <v>74</v>
      </c>
      <c r="B3523" s="16" t="s">
        <v>244</v>
      </c>
      <c r="C3523" s="17" t="s">
        <v>245</v>
      </c>
      <c r="D3523" s="18">
        <v>4.0</v>
      </c>
      <c r="E3523" s="17" t="s">
        <v>359</v>
      </c>
      <c r="F3523" s="15" t="s">
        <v>360</v>
      </c>
      <c r="G3523" s="19">
        <v>5.1100005E7</v>
      </c>
      <c r="H3523" s="15" t="s">
        <v>337</v>
      </c>
      <c r="I3523" s="20" t="s">
        <v>37</v>
      </c>
      <c r="J3523" s="21">
        <v>0.0</v>
      </c>
      <c r="K3523" s="21">
        <v>0.0</v>
      </c>
    </row>
    <row r="3524">
      <c r="A3524" s="15" t="s">
        <v>74</v>
      </c>
      <c r="B3524" s="16" t="s">
        <v>254</v>
      </c>
      <c r="C3524" s="17" t="s">
        <v>255</v>
      </c>
      <c r="D3524" s="18">
        <v>4.0</v>
      </c>
      <c r="E3524" s="24">
        <v>46038.0</v>
      </c>
      <c r="F3524" s="15" t="s">
        <v>150</v>
      </c>
      <c r="G3524" s="19">
        <v>9.0043001E7</v>
      </c>
      <c r="H3524" s="15" t="s">
        <v>18</v>
      </c>
      <c r="I3524" s="20" t="s">
        <v>19</v>
      </c>
      <c r="J3524" s="21">
        <v>8.7717609E7</v>
      </c>
      <c r="K3524" s="21">
        <v>472.0</v>
      </c>
    </row>
    <row r="3525">
      <c r="A3525" s="15" t="s">
        <v>74</v>
      </c>
      <c r="B3525" s="16" t="s">
        <v>254</v>
      </c>
      <c r="C3525" s="17" t="s">
        <v>255</v>
      </c>
      <c r="D3525" s="18">
        <v>4.0</v>
      </c>
      <c r="E3525" s="24">
        <v>46158.0</v>
      </c>
      <c r="F3525" s="15" t="s">
        <v>151</v>
      </c>
      <c r="G3525" s="19">
        <v>9.0043001E7</v>
      </c>
      <c r="H3525" s="15" t="s">
        <v>18</v>
      </c>
      <c r="I3525" s="20" t="s">
        <v>19</v>
      </c>
      <c r="J3525" s="21">
        <v>1215711.0</v>
      </c>
      <c r="K3525" s="21">
        <v>7.0</v>
      </c>
    </row>
    <row r="3526">
      <c r="A3526" s="15" t="s">
        <v>74</v>
      </c>
      <c r="B3526" s="16" t="s">
        <v>254</v>
      </c>
      <c r="C3526" s="17" t="s">
        <v>255</v>
      </c>
      <c r="D3526" s="18">
        <v>4.0</v>
      </c>
      <c r="E3526" s="17" t="s">
        <v>77</v>
      </c>
      <c r="F3526" s="15" t="s">
        <v>78</v>
      </c>
      <c r="G3526" s="19">
        <v>9.0043001E7</v>
      </c>
      <c r="H3526" s="15" t="s">
        <v>18</v>
      </c>
      <c r="I3526" s="20" t="s">
        <v>19</v>
      </c>
      <c r="J3526" s="21">
        <v>386964.0</v>
      </c>
      <c r="K3526" s="21">
        <v>2.0</v>
      </c>
    </row>
    <row r="3527">
      <c r="A3527" s="15" t="s">
        <v>74</v>
      </c>
      <c r="B3527" s="16" t="s">
        <v>254</v>
      </c>
      <c r="C3527" s="17" t="s">
        <v>255</v>
      </c>
      <c r="D3527" s="18">
        <v>4.0</v>
      </c>
      <c r="E3527" s="17" t="s">
        <v>84</v>
      </c>
      <c r="F3527" s="15" t="s">
        <v>85</v>
      </c>
      <c r="G3527" s="19">
        <v>9.0043001E7</v>
      </c>
      <c r="H3527" s="15" t="s">
        <v>18</v>
      </c>
      <c r="I3527" s="20" t="s">
        <v>19</v>
      </c>
      <c r="J3527" s="21">
        <v>2.0652658E7</v>
      </c>
      <c r="K3527" s="21">
        <v>125.0</v>
      </c>
    </row>
    <row r="3528">
      <c r="A3528" s="15" t="s">
        <v>74</v>
      </c>
      <c r="B3528" s="16" t="s">
        <v>254</v>
      </c>
      <c r="C3528" s="17" t="s">
        <v>255</v>
      </c>
      <c r="D3528" s="18">
        <v>4.0</v>
      </c>
      <c r="E3528" s="17" t="s">
        <v>86</v>
      </c>
      <c r="F3528" s="15" t="s">
        <v>87</v>
      </c>
      <c r="G3528" s="19">
        <v>9.0043001E7</v>
      </c>
      <c r="H3528" s="15" t="s">
        <v>18</v>
      </c>
      <c r="I3528" s="20" t="s">
        <v>19</v>
      </c>
      <c r="J3528" s="21">
        <v>3.4036527E7</v>
      </c>
      <c r="K3528" s="21">
        <v>179.0</v>
      </c>
    </row>
    <row r="3529">
      <c r="A3529" s="15" t="s">
        <v>74</v>
      </c>
      <c r="B3529" s="16" t="s">
        <v>254</v>
      </c>
      <c r="C3529" s="17" t="s">
        <v>255</v>
      </c>
      <c r="D3529" s="18">
        <v>4.0</v>
      </c>
      <c r="E3529" s="17" t="s">
        <v>154</v>
      </c>
      <c r="F3529" s="15" t="s">
        <v>155</v>
      </c>
      <c r="G3529" s="19">
        <v>9.0043002E7</v>
      </c>
      <c r="H3529" s="15" t="s">
        <v>49</v>
      </c>
      <c r="I3529" s="20" t="s">
        <v>50</v>
      </c>
      <c r="J3529" s="21">
        <v>7.2865113E7</v>
      </c>
      <c r="K3529" s="21">
        <v>6618.0</v>
      </c>
    </row>
    <row r="3530">
      <c r="A3530" s="15" t="s">
        <v>74</v>
      </c>
      <c r="B3530" s="16" t="s">
        <v>254</v>
      </c>
      <c r="C3530" s="17" t="s">
        <v>255</v>
      </c>
      <c r="D3530" s="18">
        <v>4.0</v>
      </c>
      <c r="E3530" s="17" t="s">
        <v>154</v>
      </c>
      <c r="F3530" s="15" t="s">
        <v>155</v>
      </c>
      <c r="G3530" s="19">
        <v>9.0043003E7</v>
      </c>
      <c r="H3530" s="15" t="s">
        <v>90</v>
      </c>
      <c r="I3530" s="20" t="s">
        <v>50</v>
      </c>
      <c r="J3530" s="21">
        <v>1.807383E7</v>
      </c>
      <c r="K3530" s="21">
        <v>296.0</v>
      </c>
    </row>
    <row r="3531">
      <c r="A3531" s="15" t="s">
        <v>74</v>
      </c>
      <c r="B3531" s="16" t="s">
        <v>254</v>
      </c>
      <c r="C3531" s="17" t="s">
        <v>255</v>
      </c>
      <c r="D3531" s="18">
        <v>4.0</v>
      </c>
      <c r="E3531" s="17" t="s">
        <v>95</v>
      </c>
      <c r="F3531" s="15" t="s">
        <v>96</v>
      </c>
      <c r="G3531" s="19">
        <v>5.1100058E7</v>
      </c>
      <c r="H3531" s="15" t="s">
        <v>36</v>
      </c>
      <c r="I3531" s="20" t="s">
        <v>37</v>
      </c>
      <c r="J3531" s="21">
        <v>2.0423787E7</v>
      </c>
      <c r="K3531" s="21">
        <v>269.67</v>
      </c>
    </row>
    <row r="3532">
      <c r="A3532" s="15" t="s">
        <v>74</v>
      </c>
      <c r="B3532" s="16" t="s">
        <v>254</v>
      </c>
      <c r="C3532" s="17" t="s">
        <v>255</v>
      </c>
      <c r="D3532" s="18">
        <v>4.0</v>
      </c>
      <c r="E3532" s="17" t="s">
        <v>95</v>
      </c>
      <c r="F3532" s="15" t="s">
        <v>96</v>
      </c>
      <c r="G3532" s="19">
        <v>9.0043001E7</v>
      </c>
      <c r="H3532" s="15" t="s">
        <v>18</v>
      </c>
      <c r="I3532" s="20" t="s">
        <v>19</v>
      </c>
      <c r="J3532" s="21">
        <v>5.0828272E7</v>
      </c>
      <c r="K3532" s="21">
        <v>294.0</v>
      </c>
    </row>
    <row r="3533">
      <c r="A3533" s="15" t="s">
        <v>74</v>
      </c>
      <c r="B3533" s="16" t="s">
        <v>254</v>
      </c>
      <c r="C3533" s="17" t="s">
        <v>255</v>
      </c>
      <c r="D3533" s="18">
        <v>4.0</v>
      </c>
      <c r="E3533" s="17" t="s">
        <v>95</v>
      </c>
      <c r="F3533" s="15" t="s">
        <v>96</v>
      </c>
      <c r="G3533" s="19">
        <v>5.1100774E7</v>
      </c>
      <c r="H3533" s="15" t="s">
        <v>39</v>
      </c>
      <c r="I3533" s="20" t="s">
        <v>17</v>
      </c>
      <c r="J3533" s="21">
        <v>1543530.0</v>
      </c>
      <c r="K3533" s="21">
        <v>22.37</v>
      </c>
    </row>
    <row r="3534">
      <c r="A3534" s="15" t="s">
        <v>74</v>
      </c>
      <c r="B3534" s="16" t="s">
        <v>254</v>
      </c>
      <c r="C3534" s="17" t="s">
        <v>255</v>
      </c>
      <c r="D3534" s="18">
        <v>4.0</v>
      </c>
      <c r="E3534" s="17" t="s">
        <v>103</v>
      </c>
      <c r="F3534" s="15" t="s">
        <v>104</v>
      </c>
      <c r="G3534" s="19">
        <v>5.1100058E7</v>
      </c>
      <c r="H3534" s="15" t="s">
        <v>36</v>
      </c>
      <c r="I3534" s="20" t="s">
        <v>37</v>
      </c>
      <c r="J3534" s="21">
        <v>2.1218716E7</v>
      </c>
      <c r="K3534" s="21">
        <v>197.21</v>
      </c>
    </row>
    <row r="3535">
      <c r="A3535" s="15" t="s">
        <v>74</v>
      </c>
      <c r="B3535" s="16" t="s">
        <v>254</v>
      </c>
      <c r="C3535" s="17" t="s">
        <v>255</v>
      </c>
      <c r="D3535" s="18">
        <v>4.0</v>
      </c>
      <c r="E3535" s="17" t="s">
        <v>103</v>
      </c>
      <c r="F3535" s="15" t="s">
        <v>104</v>
      </c>
      <c r="G3535" s="19">
        <v>9.0043001E7</v>
      </c>
      <c r="H3535" s="15" t="s">
        <v>18</v>
      </c>
      <c r="I3535" s="20" t="s">
        <v>19</v>
      </c>
      <c r="J3535" s="21">
        <v>1.094664E7</v>
      </c>
      <c r="K3535" s="21">
        <v>64.0</v>
      </c>
    </row>
    <row r="3536">
      <c r="A3536" s="15" t="s">
        <v>74</v>
      </c>
      <c r="B3536" s="16" t="s">
        <v>254</v>
      </c>
      <c r="C3536" s="17" t="s">
        <v>255</v>
      </c>
      <c r="D3536" s="18">
        <v>4.0</v>
      </c>
      <c r="E3536" s="17" t="s">
        <v>103</v>
      </c>
      <c r="F3536" s="15" t="s">
        <v>104</v>
      </c>
      <c r="G3536" s="19">
        <v>5.1100774E7</v>
      </c>
      <c r="H3536" s="15" t="s">
        <v>39</v>
      </c>
      <c r="I3536" s="20" t="s">
        <v>17</v>
      </c>
      <c r="J3536" s="21">
        <v>1.0950075E7</v>
      </c>
      <c r="K3536" s="21">
        <v>59.35</v>
      </c>
    </row>
    <row r="3537">
      <c r="A3537" s="15" t="s">
        <v>74</v>
      </c>
      <c r="B3537" s="16" t="s">
        <v>254</v>
      </c>
      <c r="C3537" s="17" t="s">
        <v>255</v>
      </c>
      <c r="D3537" s="18">
        <v>4.0</v>
      </c>
      <c r="E3537" s="17" t="s">
        <v>105</v>
      </c>
      <c r="F3537" s="15" t="s">
        <v>106</v>
      </c>
      <c r="G3537" s="19">
        <v>5.1100774E7</v>
      </c>
      <c r="H3537" s="15" t="s">
        <v>39</v>
      </c>
      <c r="I3537" s="20" t="s">
        <v>17</v>
      </c>
      <c r="J3537" s="21">
        <v>8750000.0</v>
      </c>
      <c r="K3537" s="21">
        <v>1.0</v>
      </c>
    </row>
    <row r="3538">
      <c r="A3538" s="15" t="s">
        <v>74</v>
      </c>
      <c r="B3538" s="16" t="s">
        <v>254</v>
      </c>
      <c r="C3538" s="17" t="s">
        <v>255</v>
      </c>
      <c r="D3538" s="18">
        <v>4.0</v>
      </c>
      <c r="E3538" s="17" t="s">
        <v>108</v>
      </c>
      <c r="F3538" s="15" t="s">
        <v>109</v>
      </c>
      <c r="G3538" s="19">
        <v>5.1100058E7</v>
      </c>
      <c r="H3538" s="15" t="s">
        <v>36</v>
      </c>
      <c r="I3538" s="20" t="s">
        <v>37</v>
      </c>
      <c r="J3538" s="21">
        <v>1228798.0</v>
      </c>
      <c r="K3538" s="21">
        <v>15.16</v>
      </c>
    </row>
    <row r="3539">
      <c r="A3539" s="15" t="s">
        <v>74</v>
      </c>
      <c r="B3539" s="16" t="s">
        <v>254</v>
      </c>
      <c r="C3539" s="17" t="s">
        <v>255</v>
      </c>
      <c r="D3539" s="18">
        <v>4.0</v>
      </c>
      <c r="E3539" s="17" t="s">
        <v>112</v>
      </c>
      <c r="F3539" s="15" t="s">
        <v>113</v>
      </c>
      <c r="G3539" s="19">
        <v>9.0043001E7</v>
      </c>
      <c r="H3539" s="15" t="s">
        <v>18</v>
      </c>
      <c r="I3539" s="20" t="s">
        <v>19</v>
      </c>
      <c r="J3539" s="21">
        <v>1752726.0</v>
      </c>
      <c r="K3539" s="21">
        <v>10.0</v>
      </c>
    </row>
    <row r="3540">
      <c r="A3540" s="15" t="s">
        <v>74</v>
      </c>
      <c r="B3540" s="16" t="s">
        <v>254</v>
      </c>
      <c r="C3540" s="17" t="s">
        <v>255</v>
      </c>
      <c r="D3540" s="18">
        <v>4.0</v>
      </c>
      <c r="E3540" s="17" t="s">
        <v>209</v>
      </c>
      <c r="F3540" s="15" t="s">
        <v>210</v>
      </c>
      <c r="G3540" s="19">
        <v>5.1100058E7</v>
      </c>
      <c r="H3540" s="15" t="s">
        <v>36</v>
      </c>
      <c r="I3540" s="20" t="s">
        <v>37</v>
      </c>
      <c r="J3540" s="21">
        <v>2.1316176E7</v>
      </c>
      <c r="K3540" s="21">
        <v>3816.0</v>
      </c>
    </row>
    <row r="3541">
      <c r="A3541" s="15" t="s">
        <v>74</v>
      </c>
      <c r="B3541" s="16" t="s">
        <v>254</v>
      </c>
      <c r="C3541" s="17" t="s">
        <v>255</v>
      </c>
      <c r="D3541" s="18">
        <v>4.0</v>
      </c>
      <c r="E3541" s="17" t="s">
        <v>209</v>
      </c>
      <c r="F3541" s="15" t="s">
        <v>210</v>
      </c>
      <c r="G3541" s="19">
        <v>9.0043001E7</v>
      </c>
      <c r="H3541" s="15" t="s">
        <v>18</v>
      </c>
      <c r="I3541" s="20" t="s">
        <v>19</v>
      </c>
      <c r="J3541" s="21">
        <v>2552040.0</v>
      </c>
      <c r="K3541" s="21">
        <v>14.0</v>
      </c>
    </row>
    <row r="3542">
      <c r="A3542" s="15" t="s">
        <v>74</v>
      </c>
      <c r="B3542" s="16" t="s">
        <v>254</v>
      </c>
      <c r="C3542" s="17" t="s">
        <v>255</v>
      </c>
      <c r="D3542" s="18">
        <v>4.0</v>
      </c>
      <c r="E3542" s="17" t="s">
        <v>125</v>
      </c>
      <c r="F3542" s="15" t="s">
        <v>126</v>
      </c>
      <c r="G3542" s="19">
        <v>9.0043001E7</v>
      </c>
      <c r="H3542" s="15" t="s">
        <v>18</v>
      </c>
      <c r="I3542" s="20" t="s">
        <v>19</v>
      </c>
      <c r="J3542" s="21">
        <v>1.60655943E8</v>
      </c>
      <c r="K3542" s="21">
        <v>909.0</v>
      </c>
    </row>
    <row r="3543">
      <c r="A3543" s="15" t="s">
        <v>74</v>
      </c>
      <c r="B3543" s="16" t="s">
        <v>254</v>
      </c>
      <c r="C3543" s="17" t="s">
        <v>255</v>
      </c>
      <c r="D3543" s="18">
        <v>4.0</v>
      </c>
      <c r="E3543" s="17" t="s">
        <v>127</v>
      </c>
      <c r="F3543" s="15" t="s">
        <v>128</v>
      </c>
      <c r="G3543" s="19">
        <v>5.1100153E7</v>
      </c>
      <c r="H3543" s="15" t="s">
        <v>72</v>
      </c>
      <c r="I3543" s="20" t="s">
        <v>25</v>
      </c>
      <c r="J3543" s="21">
        <v>0.0</v>
      </c>
      <c r="K3543" s="21">
        <v>0.0</v>
      </c>
    </row>
    <row r="3544">
      <c r="A3544" s="15" t="s">
        <v>74</v>
      </c>
      <c r="B3544" s="16" t="s">
        <v>254</v>
      </c>
      <c r="C3544" s="17" t="s">
        <v>255</v>
      </c>
      <c r="D3544" s="18">
        <v>4.0</v>
      </c>
      <c r="E3544" s="17" t="s">
        <v>127</v>
      </c>
      <c r="F3544" s="15" t="s">
        <v>128</v>
      </c>
      <c r="G3544" s="19">
        <v>5.1100153E7</v>
      </c>
      <c r="H3544" s="15" t="s">
        <v>72</v>
      </c>
      <c r="I3544" s="20" t="s">
        <v>17</v>
      </c>
      <c r="J3544" s="21">
        <v>2.2131048E8</v>
      </c>
      <c r="K3544" s="21">
        <v>824892.0</v>
      </c>
    </row>
    <row r="3545">
      <c r="A3545" s="15" t="s">
        <v>74</v>
      </c>
      <c r="B3545" s="16" t="s">
        <v>254</v>
      </c>
      <c r="C3545" s="17" t="s">
        <v>255</v>
      </c>
      <c r="D3545" s="18">
        <v>4.0</v>
      </c>
      <c r="E3545" s="17" t="s">
        <v>127</v>
      </c>
      <c r="F3545" s="15" t="s">
        <v>128</v>
      </c>
      <c r="G3545" s="19">
        <v>9.0043002E7</v>
      </c>
      <c r="H3545" s="15" t="s">
        <v>49</v>
      </c>
      <c r="I3545" s="20" t="s">
        <v>50</v>
      </c>
      <c r="J3545" s="21">
        <v>3.3628643E7</v>
      </c>
      <c r="K3545" s="21">
        <v>3386.0</v>
      </c>
    </row>
    <row r="3546">
      <c r="A3546" s="15" t="s">
        <v>74</v>
      </c>
      <c r="B3546" s="16" t="s">
        <v>254</v>
      </c>
      <c r="C3546" s="17" t="s">
        <v>255</v>
      </c>
      <c r="D3546" s="18">
        <v>4.0</v>
      </c>
      <c r="E3546" s="17" t="s">
        <v>129</v>
      </c>
      <c r="F3546" s="15" t="s">
        <v>130</v>
      </c>
      <c r="G3546" s="19">
        <v>5.1101056E7</v>
      </c>
      <c r="H3546" s="15" t="s">
        <v>16</v>
      </c>
      <c r="I3546" s="20" t="s">
        <v>17</v>
      </c>
      <c r="J3546" s="21">
        <v>2.945261E7</v>
      </c>
      <c r="K3546" s="21">
        <v>267751.0</v>
      </c>
    </row>
    <row r="3547">
      <c r="A3547" s="15" t="s">
        <v>74</v>
      </c>
      <c r="B3547" s="16" t="s">
        <v>254</v>
      </c>
      <c r="C3547" s="17" t="s">
        <v>255</v>
      </c>
      <c r="D3547" s="18">
        <v>4.0</v>
      </c>
      <c r="E3547" s="17" t="s">
        <v>129</v>
      </c>
      <c r="F3547" s="15" t="s">
        <v>130</v>
      </c>
      <c r="G3547" s="19">
        <v>9.0043003E7</v>
      </c>
      <c r="H3547" s="15" t="s">
        <v>90</v>
      </c>
      <c r="I3547" s="20" t="s">
        <v>50</v>
      </c>
      <c r="J3547" s="21">
        <v>6.0699423E7</v>
      </c>
      <c r="K3547" s="21">
        <v>556.0</v>
      </c>
    </row>
    <row r="3548">
      <c r="A3548" s="15" t="s">
        <v>74</v>
      </c>
      <c r="B3548" s="16" t="s">
        <v>254</v>
      </c>
      <c r="C3548" s="17" t="s">
        <v>255</v>
      </c>
      <c r="D3548" s="18">
        <v>4.0</v>
      </c>
      <c r="E3548" s="17" t="s">
        <v>135</v>
      </c>
      <c r="F3548" s="15" t="s">
        <v>136</v>
      </c>
      <c r="G3548" s="19">
        <v>9.0043001E7</v>
      </c>
      <c r="H3548" s="15" t="s">
        <v>18</v>
      </c>
      <c r="I3548" s="20" t="s">
        <v>19</v>
      </c>
      <c r="J3548" s="21">
        <v>1.4186814E7</v>
      </c>
      <c r="K3548" s="21">
        <v>87.0</v>
      </c>
    </row>
    <row r="3549">
      <c r="A3549" s="15" t="s">
        <v>74</v>
      </c>
      <c r="B3549" s="16" t="s">
        <v>254</v>
      </c>
      <c r="C3549" s="17" t="s">
        <v>255</v>
      </c>
      <c r="D3549" s="18">
        <v>4.0</v>
      </c>
      <c r="E3549" s="17" t="s">
        <v>162</v>
      </c>
      <c r="F3549" s="15" t="s">
        <v>163</v>
      </c>
      <c r="G3549" s="19">
        <v>9.0043001E7</v>
      </c>
      <c r="H3549" s="15" t="s">
        <v>18</v>
      </c>
      <c r="I3549" s="20" t="s">
        <v>19</v>
      </c>
      <c r="J3549" s="21">
        <v>1018570.0</v>
      </c>
      <c r="K3549" s="21">
        <v>5.0</v>
      </c>
    </row>
    <row r="3550">
      <c r="A3550" s="15" t="s">
        <v>74</v>
      </c>
      <c r="B3550" s="16" t="s">
        <v>254</v>
      </c>
      <c r="C3550" s="17" t="s">
        <v>255</v>
      </c>
      <c r="D3550" s="18">
        <v>4.0</v>
      </c>
      <c r="E3550" s="17" t="s">
        <v>54</v>
      </c>
      <c r="F3550" s="15" t="s">
        <v>139</v>
      </c>
      <c r="G3550" s="19">
        <v>9.0042011E7</v>
      </c>
      <c r="H3550" s="15" t="s">
        <v>55</v>
      </c>
      <c r="I3550" s="20" t="s">
        <v>19</v>
      </c>
      <c r="J3550" s="21">
        <v>2.89553968E8</v>
      </c>
      <c r="K3550" s="21">
        <v>0.0</v>
      </c>
    </row>
    <row r="3551">
      <c r="A3551" s="15" t="s">
        <v>74</v>
      </c>
      <c r="B3551" s="16" t="s">
        <v>254</v>
      </c>
      <c r="C3551" s="17" t="s">
        <v>255</v>
      </c>
      <c r="D3551" s="18">
        <v>4.0</v>
      </c>
      <c r="E3551" s="17" t="s">
        <v>20</v>
      </c>
      <c r="F3551" s="15" t="s">
        <v>140</v>
      </c>
      <c r="G3551" s="19">
        <v>9.0042014E7</v>
      </c>
      <c r="H3551" s="15" t="s">
        <v>21</v>
      </c>
      <c r="I3551" s="20" t="s">
        <v>19</v>
      </c>
      <c r="J3551" s="21">
        <v>2.97708607E8</v>
      </c>
      <c r="K3551" s="21">
        <v>0.0</v>
      </c>
    </row>
    <row r="3552">
      <c r="A3552" s="15" t="s">
        <v>74</v>
      </c>
      <c r="B3552" s="16" t="s">
        <v>254</v>
      </c>
      <c r="C3552" s="17" t="s">
        <v>255</v>
      </c>
      <c r="D3552" s="18">
        <v>4.0</v>
      </c>
      <c r="E3552" s="17" t="s">
        <v>20</v>
      </c>
      <c r="F3552" s="15" t="s">
        <v>140</v>
      </c>
      <c r="G3552" s="19">
        <v>9.0042077E7</v>
      </c>
      <c r="H3552" s="15" t="s">
        <v>141</v>
      </c>
      <c r="I3552" s="20" t="s">
        <v>19</v>
      </c>
      <c r="J3552" s="21">
        <v>7.412497E7</v>
      </c>
      <c r="K3552" s="21">
        <v>0.0</v>
      </c>
    </row>
    <row r="3553">
      <c r="A3553" s="15" t="s">
        <v>74</v>
      </c>
      <c r="B3553" s="16" t="s">
        <v>254</v>
      </c>
      <c r="C3553" s="17" t="s">
        <v>255</v>
      </c>
      <c r="D3553" s="18">
        <v>4.0</v>
      </c>
      <c r="E3553" s="17" t="s">
        <v>142</v>
      </c>
      <c r="F3553" s="15" t="s">
        <v>143</v>
      </c>
      <c r="G3553" s="19">
        <v>9.0042013E7</v>
      </c>
      <c r="H3553" s="15" t="s">
        <v>144</v>
      </c>
      <c r="I3553" s="20" t="s">
        <v>19</v>
      </c>
      <c r="J3553" s="21">
        <v>2128000.0</v>
      </c>
      <c r="K3553" s="21">
        <v>0.0</v>
      </c>
    </row>
    <row r="3554">
      <c r="A3554" s="15" t="s">
        <v>74</v>
      </c>
      <c r="B3554" s="16" t="s">
        <v>254</v>
      </c>
      <c r="C3554" s="17" t="s">
        <v>255</v>
      </c>
      <c r="D3554" s="18">
        <v>4.0</v>
      </c>
      <c r="E3554" s="17" t="s">
        <v>142</v>
      </c>
      <c r="F3554" s="15" t="s">
        <v>143</v>
      </c>
      <c r="G3554" s="19">
        <v>9.0042084E7</v>
      </c>
      <c r="H3554" s="15" t="s">
        <v>145</v>
      </c>
      <c r="I3554" s="20" t="s">
        <v>19</v>
      </c>
      <c r="J3554" s="21">
        <v>1.4008181E7</v>
      </c>
      <c r="K3554" s="21">
        <v>0.0</v>
      </c>
    </row>
    <row r="3555">
      <c r="A3555" s="15" t="s">
        <v>74</v>
      </c>
      <c r="B3555" s="16" t="s">
        <v>254</v>
      </c>
      <c r="C3555" s="17" t="s">
        <v>255</v>
      </c>
      <c r="D3555" s="18">
        <v>4.0</v>
      </c>
      <c r="E3555" s="17" t="s">
        <v>22</v>
      </c>
      <c r="F3555" s="15" t="s">
        <v>146</v>
      </c>
      <c r="G3555" s="19">
        <v>9.0042012E7</v>
      </c>
      <c r="H3555" s="15" t="s">
        <v>23</v>
      </c>
      <c r="I3555" s="20" t="s">
        <v>19</v>
      </c>
      <c r="J3555" s="21">
        <v>1.39122289E8</v>
      </c>
      <c r="K3555" s="21">
        <v>0.0</v>
      </c>
    </row>
    <row r="3556">
      <c r="A3556" s="15" t="s">
        <v>74</v>
      </c>
      <c r="B3556" s="16" t="s">
        <v>254</v>
      </c>
      <c r="C3556" s="17" t="s">
        <v>255</v>
      </c>
      <c r="D3556" s="18">
        <v>4.0</v>
      </c>
      <c r="E3556" s="17" t="s">
        <v>22</v>
      </c>
      <c r="F3556" s="15" t="s">
        <v>146</v>
      </c>
      <c r="G3556" s="19">
        <v>9.0042121E7</v>
      </c>
      <c r="H3556" s="15" t="s">
        <v>24</v>
      </c>
      <c r="I3556" s="20" t="s">
        <v>25</v>
      </c>
      <c r="J3556" s="21">
        <v>3.03670499E8</v>
      </c>
      <c r="K3556" s="21">
        <v>0.0</v>
      </c>
    </row>
    <row r="3557">
      <c r="A3557" s="15" t="s">
        <v>74</v>
      </c>
      <c r="B3557" s="16" t="s">
        <v>254</v>
      </c>
      <c r="C3557" s="17" t="s">
        <v>255</v>
      </c>
      <c r="D3557" s="18">
        <v>4.0</v>
      </c>
      <c r="E3557" s="17" t="s">
        <v>22</v>
      </c>
      <c r="F3557" s="15" t="s">
        <v>146</v>
      </c>
      <c r="G3557" s="19">
        <v>9.0042122E7</v>
      </c>
      <c r="H3557" s="15" t="s">
        <v>56</v>
      </c>
      <c r="I3557" s="20" t="s">
        <v>25</v>
      </c>
      <c r="J3557" s="21">
        <v>4.4494435E7</v>
      </c>
      <c r="K3557" s="21">
        <v>0.0</v>
      </c>
    </row>
    <row r="3558">
      <c r="A3558" s="15" t="s">
        <v>74</v>
      </c>
      <c r="B3558" s="16" t="s">
        <v>254</v>
      </c>
      <c r="C3558" s="17" t="s">
        <v>255</v>
      </c>
      <c r="D3558" s="18">
        <v>4.0</v>
      </c>
      <c r="E3558" s="17" t="s">
        <v>22</v>
      </c>
      <c r="F3558" s="15" t="s">
        <v>146</v>
      </c>
      <c r="G3558" s="19">
        <v>9.0042124E7</v>
      </c>
      <c r="H3558" s="15" t="s">
        <v>57</v>
      </c>
      <c r="I3558" s="20" t="s">
        <v>25</v>
      </c>
      <c r="J3558" s="21">
        <v>1.268229E7</v>
      </c>
      <c r="K3558" s="21">
        <v>0.0</v>
      </c>
    </row>
    <row r="3559">
      <c r="A3559" s="15" t="s">
        <v>74</v>
      </c>
      <c r="B3559" s="16" t="s">
        <v>254</v>
      </c>
      <c r="C3559" s="17" t="s">
        <v>255</v>
      </c>
      <c r="D3559" s="18">
        <v>4.0</v>
      </c>
      <c r="E3559" s="17" t="s">
        <v>22</v>
      </c>
      <c r="F3559" s="15" t="s">
        <v>146</v>
      </c>
      <c r="G3559" s="19">
        <v>9.0042125E7</v>
      </c>
      <c r="H3559" s="15" t="s">
        <v>26</v>
      </c>
      <c r="I3559" s="20" t="s">
        <v>25</v>
      </c>
      <c r="J3559" s="21">
        <v>5.3245672E7</v>
      </c>
      <c r="K3559" s="21">
        <v>0.0</v>
      </c>
    </row>
    <row r="3560">
      <c r="A3560" s="15" t="s">
        <v>74</v>
      </c>
      <c r="B3560" s="16" t="s">
        <v>254</v>
      </c>
      <c r="C3560" s="17" t="s">
        <v>255</v>
      </c>
      <c r="D3560" s="18">
        <v>4.0</v>
      </c>
      <c r="E3560" s="17" t="s">
        <v>22</v>
      </c>
      <c r="F3560" s="15" t="s">
        <v>146</v>
      </c>
      <c r="G3560" s="19">
        <v>9.0042127E7</v>
      </c>
      <c r="H3560" s="15" t="s">
        <v>27</v>
      </c>
      <c r="I3560" s="20" t="s">
        <v>25</v>
      </c>
      <c r="J3560" s="21">
        <v>6809946.0</v>
      </c>
      <c r="K3560" s="21">
        <v>0.0</v>
      </c>
    </row>
    <row r="3561">
      <c r="A3561" s="15" t="s">
        <v>74</v>
      </c>
      <c r="B3561" s="16" t="s">
        <v>254</v>
      </c>
      <c r="C3561" s="17" t="s">
        <v>255</v>
      </c>
      <c r="D3561" s="18">
        <v>4.0</v>
      </c>
      <c r="E3561" s="17" t="s">
        <v>22</v>
      </c>
      <c r="F3561" s="15" t="s">
        <v>146</v>
      </c>
      <c r="G3561" s="19">
        <v>9.0042128E7</v>
      </c>
      <c r="H3561" s="15" t="s">
        <v>58</v>
      </c>
      <c r="I3561" s="20" t="s">
        <v>25</v>
      </c>
      <c r="J3561" s="21">
        <v>5.4294032E7</v>
      </c>
      <c r="K3561" s="21">
        <v>0.0</v>
      </c>
    </row>
    <row r="3562">
      <c r="A3562" s="15" t="s">
        <v>74</v>
      </c>
      <c r="B3562" s="16" t="s">
        <v>254</v>
      </c>
      <c r="C3562" s="17" t="s">
        <v>255</v>
      </c>
      <c r="D3562" s="18">
        <v>4.0</v>
      </c>
      <c r="E3562" s="17" t="s">
        <v>22</v>
      </c>
      <c r="F3562" s="15" t="s">
        <v>146</v>
      </c>
      <c r="G3562" s="19">
        <v>9.0042132E7</v>
      </c>
      <c r="H3562" s="15" t="s">
        <v>28</v>
      </c>
      <c r="I3562" s="20" t="s">
        <v>25</v>
      </c>
      <c r="J3562" s="21">
        <v>1.4443443E7</v>
      </c>
      <c r="K3562" s="21">
        <v>0.0</v>
      </c>
    </row>
    <row r="3563">
      <c r="A3563" s="15" t="s">
        <v>74</v>
      </c>
      <c r="B3563" s="16" t="s">
        <v>254</v>
      </c>
      <c r="C3563" s="17" t="s">
        <v>255</v>
      </c>
      <c r="D3563" s="18">
        <v>4.0</v>
      </c>
      <c r="E3563" s="17" t="s">
        <v>22</v>
      </c>
      <c r="F3563" s="15" t="s">
        <v>146</v>
      </c>
      <c r="G3563" s="19">
        <v>9.0042134E7</v>
      </c>
      <c r="H3563" s="15" t="s">
        <v>29</v>
      </c>
      <c r="I3563" s="20" t="s">
        <v>25</v>
      </c>
      <c r="J3563" s="21">
        <v>4148175.0</v>
      </c>
      <c r="K3563" s="21">
        <v>0.0</v>
      </c>
    </row>
    <row r="3564">
      <c r="A3564" s="15" t="s">
        <v>74</v>
      </c>
      <c r="B3564" s="16" t="s">
        <v>254</v>
      </c>
      <c r="C3564" s="17" t="s">
        <v>255</v>
      </c>
      <c r="D3564" s="18">
        <v>4.0</v>
      </c>
      <c r="E3564" s="17" t="s">
        <v>22</v>
      </c>
      <c r="F3564" s="15" t="s">
        <v>146</v>
      </c>
      <c r="G3564" s="19">
        <v>9.0042135E7</v>
      </c>
      <c r="H3564" s="15" t="s">
        <v>30</v>
      </c>
      <c r="I3564" s="20" t="s">
        <v>25</v>
      </c>
      <c r="J3564" s="21">
        <v>2.5491357E8</v>
      </c>
      <c r="K3564" s="21">
        <v>0.0</v>
      </c>
    </row>
    <row r="3565">
      <c r="A3565" s="15" t="s">
        <v>74</v>
      </c>
      <c r="B3565" s="16" t="s">
        <v>254</v>
      </c>
      <c r="C3565" s="17" t="s">
        <v>255</v>
      </c>
      <c r="D3565" s="18">
        <v>4.0</v>
      </c>
      <c r="E3565" s="17" t="s">
        <v>22</v>
      </c>
      <c r="F3565" s="15" t="s">
        <v>146</v>
      </c>
      <c r="G3565" s="19">
        <v>9.00422E7</v>
      </c>
      <c r="H3565" s="15" t="s">
        <v>73</v>
      </c>
      <c r="I3565" s="20" t="s">
        <v>60</v>
      </c>
      <c r="J3565" s="21">
        <v>1.14010995E8</v>
      </c>
      <c r="K3565" s="21">
        <v>0.0</v>
      </c>
    </row>
    <row r="3566">
      <c r="A3566" s="15" t="s">
        <v>74</v>
      </c>
      <c r="B3566" s="16" t="s">
        <v>254</v>
      </c>
      <c r="C3566" s="17" t="s">
        <v>255</v>
      </c>
      <c r="D3566" s="18">
        <v>4.0</v>
      </c>
      <c r="E3566" s="17" t="s">
        <v>22</v>
      </c>
      <c r="F3566" s="15" t="s">
        <v>146</v>
      </c>
      <c r="G3566" s="19">
        <v>9.0042223E7</v>
      </c>
      <c r="H3566" s="15" t="s">
        <v>61</v>
      </c>
      <c r="I3566" s="20" t="s">
        <v>60</v>
      </c>
      <c r="J3566" s="21">
        <v>5778177.0</v>
      </c>
      <c r="K3566" s="21">
        <v>0.0</v>
      </c>
    </row>
    <row r="3567">
      <c r="A3567" s="15" t="s">
        <v>74</v>
      </c>
      <c r="B3567" s="16" t="s">
        <v>254</v>
      </c>
      <c r="C3567" s="17" t="s">
        <v>255</v>
      </c>
      <c r="D3567" s="18">
        <v>4.0</v>
      </c>
      <c r="E3567" s="17" t="s">
        <v>22</v>
      </c>
      <c r="F3567" s="15" t="s">
        <v>146</v>
      </c>
      <c r="G3567" s="19">
        <v>9.0042224E7</v>
      </c>
      <c r="H3567" s="15" t="s">
        <v>62</v>
      </c>
      <c r="I3567" s="20" t="s">
        <v>60</v>
      </c>
      <c r="J3567" s="21">
        <v>4465201.0</v>
      </c>
      <c r="K3567" s="21">
        <v>0.0</v>
      </c>
    </row>
    <row r="3568">
      <c r="A3568" s="15" t="s">
        <v>74</v>
      </c>
      <c r="B3568" s="16" t="s">
        <v>254</v>
      </c>
      <c r="C3568" s="17" t="s">
        <v>255</v>
      </c>
      <c r="D3568" s="18">
        <v>4.0</v>
      </c>
      <c r="E3568" s="17" t="s">
        <v>22</v>
      </c>
      <c r="F3568" s="15" t="s">
        <v>146</v>
      </c>
      <c r="G3568" s="19">
        <v>9.0042226E7</v>
      </c>
      <c r="H3568" s="15" t="s">
        <v>63</v>
      </c>
      <c r="I3568" s="20" t="s">
        <v>60</v>
      </c>
      <c r="J3568" s="21">
        <v>1744050.0</v>
      </c>
      <c r="K3568" s="21">
        <v>0.0</v>
      </c>
    </row>
    <row r="3569">
      <c r="A3569" s="15" t="s">
        <v>74</v>
      </c>
      <c r="B3569" s="16" t="s">
        <v>254</v>
      </c>
      <c r="C3569" s="17" t="s">
        <v>255</v>
      </c>
      <c r="D3569" s="18">
        <v>4.0</v>
      </c>
      <c r="E3569" s="17" t="s">
        <v>22</v>
      </c>
      <c r="F3569" s="15" t="s">
        <v>146</v>
      </c>
      <c r="G3569" s="19">
        <v>9.0042228E7</v>
      </c>
      <c r="H3569" s="15" t="s">
        <v>64</v>
      </c>
      <c r="I3569" s="20" t="s">
        <v>60</v>
      </c>
      <c r="J3569" s="21">
        <v>6.8770365E7</v>
      </c>
      <c r="K3569" s="21">
        <v>0.0</v>
      </c>
    </row>
    <row r="3570">
      <c r="A3570" s="15" t="s">
        <v>74</v>
      </c>
      <c r="B3570" s="16" t="s">
        <v>254</v>
      </c>
      <c r="C3570" s="17" t="s">
        <v>255</v>
      </c>
      <c r="D3570" s="18">
        <v>4.0</v>
      </c>
      <c r="E3570" s="17" t="s">
        <v>22</v>
      </c>
      <c r="F3570" s="15" t="s">
        <v>146</v>
      </c>
      <c r="G3570" s="19">
        <v>9.0042231E7</v>
      </c>
      <c r="H3570" s="15" t="s">
        <v>65</v>
      </c>
      <c r="I3570" s="20" t="s">
        <v>60</v>
      </c>
      <c r="J3570" s="21">
        <v>8235481.0</v>
      </c>
      <c r="K3570" s="21">
        <v>0.0</v>
      </c>
    </row>
    <row r="3571">
      <c r="A3571" s="15" t="s">
        <v>74</v>
      </c>
      <c r="B3571" s="16" t="s">
        <v>254</v>
      </c>
      <c r="C3571" s="17" t="s">
        <v>255</v>
      </c>
      <c r="D3571" s="18">
        <v>4.0</v>
      </c>
      <c r="E3571" s="17" t="s">
        <v>22</v>
      </c>
      <c r="F3571" s="15" t="s">
        <v>146</v>
      </c>
      <c r="G3571" s="19">
        <v>9.0042126E7</v>
      </c>
      <c r="H3571" s="15" t="s">
        <v>31</v>
      </c>
      <c r="I3571" s="20" t="s">
        <v>25</v>
      </c>
      <c r="J3571" s="21">
        <v>3.4656095E7</v>
      </c>
      <c r="K3571" s="21">
        <v>0.0</v>
      </c>
    </row>
    <row r="3572">
      <c r="A3572" s="15" t="s">
        <v>74</v>
      </c>
      <c r="B3572" s="16" t="s">
        <v>254</v>
      </c>
      <c r="C3572" s="17" t="s">
        <v>255</v>
      </c>
      <c r="D3572" s="18">
        <v>4.0</v>
      </c>
      <c r="E3572" s="24">
        <v>46097.0</v>
      </c>
      <c r="F3572" s="15" t="s">
        <v>216</v>
      </c>
      <c r="G3572" s="19">
        <v>5.1101056E7</v>
      </c>
      <c r="H3572" s="15" t="s">
        <v>16</v>
      </c>
      <c r="I3572" s="20" t="s">
        <v>17</v>
      </c>
      <c r="J3572" s="21">
        <v>1.774729E7</v>
      </c>
      <c r="K3572" s="21">
        <v>161339.0</v>
      </c>
    </row>
    <row r="3573">
      <c r="A3573" s="15" t="s">
        <v>74</v>
      </c>
      <c r="B3573" s="16" t="s">
        <v>254</v>
      </c>
      <c r="C3573" s="17" t="s">
        <v>255</v>
      </c>
      <c r="D3573" s="18">
        <v>4.0</v>
      </c>
      <c r="E3573" s="24">
        <v>46069.0</v>
      </c>
      <c r="F3573" s="15" t="s">
        <v>217</v>
      </c>
      <c r="G3573" s="19">
        <v>5.1100153E7</v>
      </c>
      <c r="H3573" s="15" t="s">
        <v>72</v>
      </c>
      <c r="I3573" s="20" t="s">
        <v>17</v>
      </c>
      <c r="J3573" s="21">
        <v>2.8329549E7</v>
      </c>
      <c r="K3573" s="21">
        <v>221748.0</v>
      </c>
    </row>
    <row r="3574">
      <c r="A3574" s="15" t="s">
        <v>74</v>
      </c>
      <c r="B3574" s="16" t="s">
        <v>254</v>
      </c>
      <c r="C3574" s="17" t="s">
        <v>255</v>
      </c>
      <c r="D3574" s="18">
        <v>4.0</v>
      </c>
      <c r="E3574" s="25">
        <v>46383.0</v>
      </c>
      <c r="F3574" s="15" t="s">
        <v>361</v>
      </c>
      <c r="G3574" s="19">
        <v>5.1101999E7</v>
      </c>
      <c r="H3574" s="15" t="s">
        <v>107</v>
      </c>
      <c r="I3574" s="20" t="s">
        <v>25</v>
      </c>
      <c r="J3574" s="21">
        <v>0.0</v>
      </c>
      <c r="K3574" s="21">
        <v>0.0</v>
      </c>
    </row>
    <row r="3575">
      <c r="A3575" s="15" t="s">
        <v>74</v>
      </c>
      <c r="B3575" s="16" t="s">
        <v>254</v>
      </c>
      <c r="C3575" s="17" t="s">
        <v>255</v>
      </c>
      <c r="D3575" s="18">
        <v>4.0</v>
      </c>
      <c r="E3575" s="17" t="s">
        <v>362</v>
      </c>
      <c r="F3575" s="15" t="s">
        <v>363</v>
      </c>
      <c r="G3575" s="19">
        <v>5.1101999E7</v>
      </c>
      <c r="H3575" s="15" t="s">
        <v>107</v>
      </c>
      <c r="I3575" s="20" t="s">
        <v>25</v>
      </c>
      <c r="J3575" s="21">
        <v>0.0</v>
      </c>
      <c r="K3575" s="21">
        <v>0.0</v>
      </c>
    </row>
    <row r="3576">
      <c r="A3576" s="15" t="s">
        <v>74</v>
      </c>
      <c r="B3576" s="16" t="s">
        <v>254</v>
      </c>
      <c r="C3576" s="17" t="s">
        <v>255</v>
      </c>
      <c r="D3576" s="18">
        <v>4.0</v>
      </c>
      <c r="E3576" s="17" t="s">
        <v>364</v>
      </c>
      <c r="F3576" s="15" t="s">
        <v>365</v>
      </c>
      <c r="G3576" s="19">
        <v>5.1101999E7</v>
      </c>
      <c r="H3576" s="15" t="s">
        <v>107</v>
      </c>
      <c r="I3576" s="20" t="s">
        <v>25</v>
      </c>
      <c r="J3576" s="21">
        <v>0.0</v>
      </c>
      <c r="K3576" s="21">
        <v>0.0</v>
      </c>
    </row>
    <row r="3577">
      <c r="A3577" s="15" t="s">
        <v>74</v>
      </c>
      <c r="B3577" s="16" t="s">
        <v>259</v>
      </c>
      <c r="C3577" s="17" t="s">
        <v>260</v>
      </c>
      <c r="D3577" s="18">
        <v>4.0</v>
      </c>
      <c r="E3577" s="24">
        <v>46038.0</v>
      </c>
      <c r="F3577" s="15" t="s">
        <v>150</v>
      </c>
      <c r="G3577" s="19">
        <v>9.0043001E7</v>
      </c>
      <c r="H3577" s="15" t="s">
        <v>18</v>
      </c>
      <c r="I3577" s="20" t="s">
        <v>19</v>
      </c>
      <c r="J3577" s="21">
        <v>4.108394E7</v>
      </c>
      <c r="K3577" s="21">
        <v>269.0</v>
      </c>
    </row>
    <row r="3578">
      <c r="A3578" s="15" t="s">
        <v>74</v>
      </c>
      <c r="B3578" s="16" t="s">
        <v>259</v>
      </c>
      <c r="C3578" s="17" t="s">
        <v>260</v>
      </c>
      <c r="D3578" s="18">
        <v>4.0</v>
      </c>
      <c r="E3578" s="17" t="s">
        <v>81</v>
      </c>
      <c r="F3578" s="15" t="s">
        <v>82</v>
      </c>
      <c r="G3578" s="19">
        <v>9.0043001E7</v>
      </c>
      <c r="H3578" s="15" t="s">
        <v>18</v>
      </c>
      <c r="I3578" s="20" t="s">
        <v>19</v>
      </c>
      <c r="J3578" s="21">
        <v>8372504.0</v>
      </c>
      <c r="K3578" s="21">
        <v>56.0</v>
      </c>
    </row>
    <row r="3579">
      <c r="A3579" s="15" t="s">
        <v>74</v>
      </c>
      <c r="B3579" s="16" t="s">
        <v>259</v>
      </c>
      <c r="C3579" s="17" t="s">
        <v>260</v>
      </c>
      <c r="D3579" s="18">
        <v>4.0</v>
      </c>
      <c r="E3579" s="17" t="s">
        <v>84</v>
      </c>
      <c r="F3579" s="15" t="s">
        <v>85</v>
      </c>
      <c r="G3579" s="19">
        <v>9.0043001E7</v>
      </c>
      <c r="H3579" s="15" t="s">
        <v>18</v>
      </c>
      <c r="I3579" s="20" t="s">
        <v>19</v>
      </c>
      <c r="J3579" s="21">
        <v>7027144.0</v>
      </c>
      <c r="K3579" s="21">
        <v>46.0</v>
      </c>
    </row>
    <row r="3580">
      <c r="A3580" s="15" t="s">
        <v>74</v>
      </c>
      <c r="B3580" s="16" t="s">
        <v>259</v>
      </c>
      <c r="C3580" s="17" t="s">
        <v>260</v>
      </c>
      <c r="D3580" s="18">
        <v>4.0</v>
      </c>
      <c r="E3580" s="17" t="s">
        <v>86</v>
      </c>
      <c r="F3580" s="15" t="s">
        <v>87</v>
      </c>
      <c r="G3580" s="19">
        <v>9.0043001E7</v>
      </c>
      <c r="H3580" s="15" t="s">
        <v>18</v>
      </c>
      <c r="I3580" s="20" t="s">
        <v>19</v>
      </c>
      <c r="J3580" s="21">
        <v>1.8606946E7</v>
      </c>
      <c r="K3580" s="21">
        <v>118.0</v>
      </c>
    </row>
    <row r="3581">
      <c r="A3581" s="15" t="s">
        <v>74</v>
      </c>
      <c r="B3581" s="16" t="s">
        <v>259</v>
      </c>
      <c r="C3581" s="17" t="s">
        <v>260</v>
      </c>
      <c r="D3581" s="18">
        <v>4.0</v>
      </c>
      <c r="E3581" s="17" t="s">
        <v>88</v>
      </c>
      <c r="F3581" s="15" t="s">
        <v>89</v>
      </c>
      <c r="G3581" s="19">
        <v>9.0043002E7</v>
      </c>
      <c r="H3581" s="15" t="s">
        <v>49</v>
      </c>
      <c r="I3581" s="20" t="s">
        <v>50</v>
      </c>
      <c r="J3581" s="21">
        <v>8780545.0</v>
      </c>
      <c r="K3581" s="21">
        <v>468.0</v>
      </c>
    </row>
    <row r="3582">
      <c r="A3582" s="15" t="s">
        <v>74</v>
      </c>
      <c r="B3582" s="16" t="s">
        <v>259</v>
      </c>
      <c r="C3582" s="17" t="s">
        <v>260</v>
      </c>
      <c r="D3582" s="18">
        <v>4.0</v>
      </c>
      <c r="E3582" s="17" t="s">
        <v>88</v>
      </c>
      <c r="F3582" s="15" t="s">
        <v>89</v>
      </c>
      <c r="G3582" s="19">
        <v>9.0043003E7</v>
      </c>
      <c r="H3582" s="15" t="s">
        <v>90</v>
      </c>
      <c r="I3582" s="20" t="s">
        <v>50</v>
      </c>
      <c r="J3582" s="21">
        <v>4.6198929E7</v>
      </c>
      <c r="K3582" s="21">
        <v>29.0</v>
      </c>
    </row>
    <row r="3583">
      <c r="A3583" s="15" t="s">
        <v>74</v>
      </c>
      <c r="B3583" s="16" t="s">
        <v>259</v>
      </c>
      <c r="C3583" s="17" t="s">
        <v>260</v>
      </c>
      <c r="D3583" s="18">
        <v>4.0</v>
      </c>
      <c r="E3583" s="17" t="s">
        <v>154</v>
      </c>
      <c r="F3583" s="15" t="s">
        <v>155</v>
      </c>
      <c r="G3583" s="19">
        <v>9.0043002E7</v>
      </c>
      <c r="H3583" s="15" t="s">
        <v>49</v>
      </c>
      <c r="I3583" s="20" t="s">
        <v>50</v>
      </c>
      <c r="J3583" s="21">
        <v>6.3862928E7</v>
      </c>
      <c r="K3583" s="21">
        <v>3132.0</v>
      </c>
    </row>
    <row r="3584">
      <c r="A3584" s="15" t="s">
        <v>74</v>
      </c>
      <c r="B3584" s="16" t="s">
        <v>259</v>
      </c>
      <c r="C3584" s="17" t="s">
        <v>260</v>
      </c>
      <c r="D3584" s="18">
        <v>4.0</v>
      </c>
      <c r="E3584" s="17" t="s">
        <v>154</v>
      </c>
      <c r="F3584" s="15" t="s">
        <v>155</v>
      </c>
      <c r="G3584" s="19">
        <v>9.0043003E7</v>
      </c>
      <c r="H3584" s="15" t="s">
        <v>90</v>
      </c>
      <c r="I3584" s="20" t="s">
        <v>50</v>
      </c>
      <c r="J3584" s="21">
        <v>2.561496E7</v>
      </c>
      <c r="K3584" s="21">
        <v>10.0</v>
      </c>
    </row>
    <row r="3585">
      <c r="A3585" s="15" t="s">
        <v>74</v>
      </c>
      <c r="B3585" s="16" t="s">
        <v>259</v>
      </c>
      <c r="C3585" s="17" t="s">
        <v>260</v>
      </c>
      <c r="D3585" s="18">
        <v>4.0</v>
      </c>
      <c r="E3585" s="17" t="s">
        <v>95</v>
      </c>
      <c r="F3585" s="15" t="s">
        <v>96</v>
      </c>
      <c r="G3585" s="19">
        <v>5.1100058E7</v>
      </c>
      <c r="H3585" s="15" t="s">
        <v>36</v>
      </c>
      <c r="I3585" s="20" t="s">
        <v>37</v>
      </c>
      <c r="J3585" s="21">
        <v>2.4079868E7</v>
      </c>
      <c r="K3585" s="21">
        <v>350.59</v>
      </c>
    </row>
    <row r="3586">
      <c r="A3586" s="15" t="s">
        <v>74</v>
      </c>
      <c r="B3586" s="16" t="s">
        <v>259</v>
      </c>
      <c r="C3586" s="17" t="s">
        <v>260</v>
      </c>
      <c r="D3586" s="18">
        <v>4.0</v>
      </c>
      <c r="E3586" s="17" t="s">
        <v>95</v>
      </c>
      <c r="F3586" s="15" t="s">
        <v>96</v>
      </c>
      <c r="G3586" s="19">
        <v>5.1100651E7</v>
      </c>
      <c r="H3586" s="15" t="s">
        <v>38</v>
      </c>
      <c r="I3586" s="20" t="s">
        <v>25</v>
      </c>
      <c r="J3586" s="21">
        <v>0.0</v>
      </c>
      <c r="K3586" s="21">
        <v>0.0</v>
      </c>
    </row>
    <row r="3587">
      <c r="A3587" s="15" t="s">
        <v>74</v>
      </c>
      <c r="B3587" s="16" t="s">
        <v>259</v>
      </c>
      <c r="C3587" s="17" t="s">
        <v>260</v>
      </c>
      <c r="D3587" s="18">
        <v>4.0</v>
      </c>
      <c r="E3587" s="17" t="s">
        <v>95</v>
      </c>
      <c r="F3587" s="15" t="s">
        <v>96</v>
      </c>
      <c r="G3587" s="19">
        <v>9.0043001E7</v>
      </c>
      <c r="H3587" s="15" t="s">
        <v>18</v>
      </c>
      <c r="I3587" s="20" t="s">
        <v>19</v>
      </c>
      <c r="J3587" s="21">
        <v>2.4836852E7</v>
      </c>
      <c r="K3587" s="21">
        <v>164.0</v>
      </c>
    </row>
    <row r="3588">
      <c r="A3588" s="15" t="s">
        <v>74</v>
      </c>
      <c r="B3588" s="16" t="s">
        <v>259</v>
      </c>
      <c r="C3588" s="17" t="s">
        <v>260</v>
      </c>
      <c r="D3588" s="18">
        <v>4.0</v>
      </c>
      <c r="E3588" s="17" t="s">
        <v>95</v>
      </c>
      <c r="F3588" s="15" t="s">
        <v>96</v>
      </c>
      <c r="G3588" s="19">
        <v>5.1100774E7</v>
      </c>
      <c r="H3588" s="15" t="s">
        <v>39</v>
      </c>
      <c r="I3588" s="20" t="s">
        <v>17</v>
      </c>
      <c r="J3588" s="21">
        <v>5219814.0</v>
      </c>
      <c r="K3588" s="21">
        <v>75.54</v>
      </c>
    </row>
    <row r="3589">
      <c r="A3589" s="15" t="s">
        <v>74</v>
      </c>
      <c r="B3589" s="16" t="s">
        <v>259</v>
      </c>
      <c r="C3589" s="17" t="s">
        <v>260</v>
      </c>
      <c r="D3589" s="18">
        <v>4.0</v>
      </c>
      <c r="E3589" s="17" t="s">
        <v>101</v>
      </c>
      <c r="F3589" s="15" t="s">
        <v>102</v>
      </c>
      <c r="G3589" s="19">
        <v>9.0043001E7</v>
      </c>
      <c r="H3589" s="15" t="s">
        <v>18</v>
      </c>
      <c r="I3589" s="20" t="s">
        <v>19</v>
      </c>
      <c r="J3589" s="21">
        <v>2.9183226E7</v>
      </c>
      <c r="K3589" s="21">
        <v>192.0</v>
      </c>
    </row>
    <row r="3590">
      <c r="A3590" s="15" t="s">
        <v>74</v>
      </c>
      <c r="B3590" s="16" t="s">
        <v>259</v>
      </c>
      <c r="C3590" s="17" t="s">
        <v>260</v>
      </c>
      <c r="D3590" s="18">
        <v>4.0</v>
      </c>
      <c r="E3590" s="17" t="s">
        <v>103</v>
      </c>
      <c r="F3590" s="15" t="s">
        <v>104</v>
      </c>
      <c r="G3590" s="19">
        <v>5.1100058E7</v>
      </c>
      <c r="H3590" s="15" t="s">
        <v>36</v>
      </c>
      <c r="I3590" s="20" t="s">
        <v>37</v>
      </c>
      <c r="J3590" s="21">
        <v>5656559.0</v>
      </c>
      <c r="K3590" s="21">
        <v>69.49</v>
      </c>
    </row>
    <row r="3591">
      <c r="A3591" s="15" t="s">
        <v>74</v>
      </c>
      <c r="B3591" s="16" t="s">
        <v>259</v>
      </c>
      <c r="C3591" s="17" t="s">
        <v>260</v>
      </c>
      <c r="D3591" s="18">
        <v>4.0</v>
      </c>
      <c r="E3591" s="17" t="s">
        <v>103</v>
      </c>
      <c r="F3591" s="15" t="s">
        <v>104</v>
      </c>
      <c r="G3591" s="19">
        <v>5.1100651E7</v>
      </c>
      <c r="H3591" s="15" t="s">
        <v>38</v>
      </c>
      <c r="I3591" s="20" t="s">
        <v>25</v>
      </c>
      <c r="J3591" s="21">
        <v>0.0</v>
      </c>
      <c r="K3591" s="21">
        <v>0.0</v>
      </c>
    </row>
    <row r="3592">
      <c r="A3592" s="15" t="s">
        <v>74</v>
      </c>
      <c r="B3592" s="16" t="s">
        <v>259</v>
      </c>
      <c r="C3592" s="17" t="s">
        <v>260</v>
      </c>
      <c r="D3592" s="18">
        <v>4.0</v>
      </c>
      <c r="E3592" s="17" t="s">
        <v>103</v>
      </c>
      <c r="F3592" s="15" t="s">
        <v>104</v>
      </c>
      <c r="G3592" s="19">
        <v>9.0043001E7</v>
      </c>
      <c r="H3592" s="15" t="s">
        <v>18</v>
      </c>
      <c r="I3592" s="20" t="s">
        <v>19</v>
      </c>
      <c r="J3592" s="21">
        <v>2.174744E7</v>
      </c>
      <c r="K3592" s="21">
        <v>143.0</v>
      </c>
    </row>
    <row r="3593">
      <c r="A3593" s="15" t="s">
        <v>74</v>
      </c>
      <c r="B3593" s="16" t="s">
        <v>259</v>
      </c>
      <c r="C3593" s="17" t="s">
        <v>260</v>
      </c>
      <c r="D3593" s="18">
        <v>4.0</v>
      </c>
      <c r="E3593" s="17" t="s">
        <v>103</v>
      </c>
      <c r="F3593" s="15" t="s">
        <v>104</v>
      </c>
      <c r="G3593" s="19">
        <v>5.1100774E7</v>
      </c>
      <c r="H3593" s="15" t="s">
        <v>39</v>
      </c>
      <c r="I3593" s="20" t="s">
        <v>17</v>
      </c>
      <c r="J3593" s="21">
        <v>7993180.0</v>
      </c>
      <c r="K3593" s="21">
        <v>43.3</v>
      </c>
    </row>
    <row r="3594">
      <c r="A3594" s="15" t="s">
        <v>74</v>
      </c>
      <c r="B3594" s="16" t="s">
        <v>259</v>
      </c>
      <c r="C3594" s="17" t="s">
        <v>260</v>
      </c>
      <c r="D3594" s="18">
        <v>4.0</v>
      </c>
      <c r="E3594" s="17" t="s">
        <v>205</v>
      </c>
      <c r="F3594" s="15" t="s">
        <v>206</v>
      </c>
      <c r="G3594" s="19">
        <v>9.0043001E7</v>
      </c>
      <c r="H3594" s="15" t="s">
        <v>18</v>
      </c>
      <c r="I3594" s="20" t="s">
        <v>19</v>
      </c>
      <c r="J3594" s="21">
        <v>9492909.0</v>
      </c>
      <c r="K3594" s="21">
        <v>63.0</v>
      </c>
    </row>
    <row r="3595">
      <c r="A3595" s="15" t="s">
        <v>74</v>
      </c>
      <c r="B3595" s="16" t="s">
        <v>259</v>
      </c>
      <c r="C3595" s="17" t="s">
        <v>260</v>
      </c>
      <c r="D3595" s="18">
        <v>4.0</v>
      </c>
      <c r="E3595" s="17" t="s">
        <v>175</v>
      </c>
      <c r="F3595" s="15" t="s">
        <v>176</v>
      </c>
      <c r="G3595" s="19">
        <v>9.0043002E7</v>
      </c>
      <c r="H3595" s="15" t="s">
        <v>49</v>
      </c>
      <c r="I3595" s="20" t="s">
        <v>50</v>
      </c>
      <c r="J3595" s="21">
        <v>3.3301035E7</v>
      </c>
      <c r="K3595" s="21">
        <v>1732.0</v>
      </c>
    </row>
    <row r="3596">
      <c r="A3596" s="15" t="s">
        <v>74</v>
      </c>
      <c r="B3596" s="16" t="s">
        <v>259</v>
      </c>
      <c r="C3596" s="17" t="s">
        <v>260</v>
      </c>
      <c r="D3596" s="18">
        <v>4.0</v>
      </c>
      <c r="E3596" s="17" t="s">
        <v>117</v>
      </c>
      <c r="F3596" s="15" t="s">
        <v>118</v>
      </c>
      <c r="G3596" s="19">
        <v>5.1100058E7</v>
      </c>
      <c r="H3596" s="15" t="s">
        <v>36</v>
      </c>
      <c r="I3596" s="20" t="s">
        <v>37</v>
      </c>
      <c r="J3596" s="21">
        <v>7.72993E8</v>
      </c>
      <c r="K3596" s="21">
        <v>97000.0</v>
      </c>
    </row>
    <row r="3597">
      <c r="A3597" s="15" t="s">
        <v>74</v>
      </c>
      <c r="B3597" s="16" t="s">
        <v>259</v>
      </c>
      <c r="C3597" s="17" t="s">
        <v>260</v>
      </c>
      <c r="D3597" s="18">
        <v>4.0</v>
      </c>
      <c r="E3597" s="17" t="s">
        <v>117</v>
      </c>
      <c r="F3597" s="15" t="s">
        <v>118</v>
      </c>
      <c r="G3597" s="19">
        <v>5.1100651E7</v>
      </c>
      <c r="H3597" s="15" t="s">
        <v>38</v>
      </c>
      <c r="I3597" s="20" t="s">
        <v>25</v>
      </c>
      <c r="J3597" s="21">
        <v>0.0</v>
      </c>
      <c r="K3597" s="21">
        <v>0.0</v>
      </c>
    </row>
    <row r="3598">
      <c r="A3598" s="15" t="s">
        <v>74</v>
      </c>
      <c r="B3598" s="16" t="s">
        <v>259</v>
      </c>
      <c r="C3598" s="17" t="s">
        <v>260</v>
      </c>
      <c r="D3598" s="18">
        <v>4.0</v>
      </c>
      <c r="E3598" s="17" t="s">
        <v>117</v>
      </c>
      <c r="F3598" s="15" t="s">
        <v>118</v>
      </c>
      <c r="G3598" s="19">
        <v>9.0043001E7</v>
      </c>
      <c r="H3598" s="15" t="s">
        <v>18</v>
      </c>
      <c r="I3598" s="20" t="s">
        <v>19</v>
      </c>
      <c r="J3598" s="21">
        <v>1.5413121E7</v>
      </c>
      <c r="K3598" s="21">
        <v>102.0</v>
      </c>
    </row>
    <row r="3599">
      <c r="A3599" s="15" t="s">
        <v>74</v>
      </c>
      <c r="B3599" s="16" t="s">
        <v>259</v>
      </c>
      <c r="C3599" s="17" t="s">
        <v>260</v>
      </c>
      <c r="D3599" s="18">
        <v>4.0</v>
      </c>
      <c r="E3599" s="17" t="s">
        <v>117</v>
      </c>
      <c r="F3599" s="15" t="s">
        <v>118</v>
      </c>
      <c r="G3599" s="19">
        <v>5.1100774E7</v>
      </c>
      <c r="H3599" s="15" t="s">
        <v>39</v>
      </c>
      <c r="I3599" s="20" t="s">
        <v>17</v>
      </c>
      <c r="J3599" s="21">
        <v>3.1826166E7</v>
      </c>
      <c r="K3599" s="21">
        <v>275.79</v>
      </c>
    </row>
    <row r="3600">
      <c r="A3600" s="15" t="s">
        <v>74</v>
      </c>
      <c r="B3600" s="16" t="s">
        <v>259</v>
      </c>
      <c r="C3600" s="17" t="s">
        <v>260</v>
      </c>
      <c r="D3600" s="18">
        <v>4.0</v>
      </c>
      <c r="E3600" s="17" t="s">
        <v>123</v>
      </c>
      <c r="F3600" s="15" t="s">
        <v>124</v>
      </c>
      <c r="G3600" s="19">
        <v>9.0043001E7</v>
      </c>
      <c r="H3600" s="15" t="s">
        <v>18</v>
      </c>
      <c r="I3600" s="20" t="s">
        <v>19</v>
      </c>
      <c r="J3600" s="21">
        <v>448527.0</v>
      </c>
      <c r="K3600" s="21">
        <v>3.0</v>
      </c>
    </row>
    <row r="3601">
      <c r="A3601" s="15" t="s">
        <v>74</v>
      </c>
      <c r="B3601" s="16" t="s">
        <v>259</v>
      </c>
      <c r="C3601" s="17" t="s">
        <v>260</v>
      </c>
      <c r="D3601" s="18">
        <v>4.0</v>
      </c>
      <c r="E3601" s="17" t="s">
        <v>125</v>
      </c>
      <c r="F3601" s="15" t="s">
        <v>126</v>
      </c>
      <c r="G3601" s="19">
        <v>5.1101056E7</v>
      </c>
      <c r="H3601" s="15" t="s">
        <v>16</v>
      </c>
      <c r="I3601" s="20" t="s">
        <v>17</v>
      </c>
      <c r="J3601" s="21">
        <v>1.5144528E7</v>
      </c>
      <c r="K3601" s="21">
        <v>110544.0</v>
      </c>
    </row>
    <row r="3602">
      <c r="A3602" s="15" t="s">
        <v>74</v>
      </c>
      <c r="B3602" s="16" t="s">
        <v>259</v>
      </c>
      <c r="C3602" s="17" t="s">
        <v>260</v>
      </c>
      <c r="D3602" s="18">
        <v>4.0</v>
      </c>
      <c r="E3602" s="17" t="s">
        <v>125</v>
      </c>
      <c r="F3602" s="15" t="s">
        <v>126</v>
      </c>
      <c r="G3602" s="19">
        <v>9.0043001E7</v>
      </c>
      <c r="H3602" s="15" t="s">
        <v>18</v>
      </c>
      <c r="I3602" s="20" t="s">
        <v>19</v>
      </c>
      <c r="J3602" s="21">
        <v>3.08859502E8</v>
      </c>
      <c r="K3602" s="21">
        <v>2036.0</v>
      </c>
    </row>
    <row r="3603">
      <c r="A3603" s="15" t="s">
        <v>74</v>
      </c>
      <c r="B3603" s="16" t="s">
        <v>259</v>
      </c>
      <c r="C3603" s="17" t="s">
        <v>260</v>
      </c>
      <c r="D3603" s="18">
        <v>4.0</v>
      </c>
      <c r="E3603" s="17" t="s">
        <v>127</v>
      </c>
      <c r="F3603" s="15" t="s">
        <v>128</v>
      </c>
      <c r="G3603" s="19">
        <v>5.1100153E7</v>
      </c>
      <c r="H3603" s="15" t="s">
        <v>72</v>
      </c>
      <c r="I3603" s="20" t="s">
        <v>25</v>
      </c>
      <c r="J3603" s="21">
        <v>-16568.0</v>
      </c>
      <c r="K3603" s="21">
        <v>0.0</v>
      </c>
    </row>
    <row r="3604">
      <c r="A3604" s="15" t="s">
        <v>74</v>
      </c>
      <c r="B3604" s="16" t="s">
        <v>259</v>
      </c>
      <c r="C3604" s="17" t="s">
        <v>260</v>
      </c>
      <c r="D3604" s="18">
        <v>4.0</v>
      </c>
      <c r="E3604" s="17" t="s">
        <v>127</v>
      </c>
      <c r="F3604" s="15" t="s">
        <v>128</v>
      </c>
      <c r="G3604" s="19">
        <v>5.1100153E7</v>
      </c>
      <c r="H3604" s="15" t="s">
        <v>72</v>
      </c>
      <c r="I3604" s="20" t="s">
        <v>17</v>
      </c>
      <c r="J3604" s="21">
        <v>2.84682371E8</v>
      </c>
      <c r="K3604" s="21">
        <v>1315297.0</v>
      </c>
    </row>
    <row r="3605">
      <c r="A3605" s="15" t="s">
        <v>74</v>
      </c>
      <c r="B3605" s="16" t="s">
        <v>259</v>
      </c>
      <c r="C3605" s="17" t="s">
        <v>260</v>
      </c>
      <c r="D3605" s="18">
        <v>4.0</v>
      </c>
      <c r="E3605" s="17" t="s">
        <v>127</v>
      </c>
      <c r="F3605" s="15" t="s">
        <v>128</v>
      </c>
      <c r="G3605" s="19">
        <v>9.0043002E7</v>
      </c>
      <c r="H3605" s="15" t="s">
        <v>49</v>
      </c>
      <c r="I3605" s="20" t="s">
        <v>50</v>
      </c>
      <c r="J3605" s="21">
        <v>2.9187037E7</v>
      </c>
      <c r="K3605" s="21">
        <v>1474.0</v>
      </c>
    </row>
    <row r="3606">
      <c r="A3606" s="15" t="s">
        <v>74</v>
      </c>
      <c r="B3606" s="16" t="s">
        <v>259</v>
      </c>
      <c r="C3606" s="17" t="s">
        <v>260</v>
      </c>
      <c r="D3606" s="18">
        <v>4.0</v>
      </c>
      <c r="E3606" s="17" t="s">
        <v>129</v>
      </c>
      <c r="F3606" s="15" t="s">
        <v>130</v>
      </c>
      <c r="G3606" s="19">
        <v>5.1101056E7</v>
      </c>
      <c r="H3606" s="15" t="s">
        <v>16</v>
      </c>
      <c r="I3606" s="20" t="s">
        <v>17</v>
      </c>
      <c r="J3606" s="21">
        <v>6.561302E7</v>
      </c>
      <c r="K3606" s="21">
        <v>596482.0</v>
      </c>
    </row>
    <row r="3607">
      <c r="A3607" s="15" t="s">
        <v>74</v>
      </c>
      <c r="B3607" s="16" t="s">
        <v>259</v>
      </c>
      <c r="C3607" s="17" t="s">
        <v>260</v>
      </c>
      <c r="D3607" s="18">
        <v>4.0</v>
      </c>
      <c r="E3607" s="17" t="s">
        <v>54</v>
      </c>
      <c r="F3607" s="15" t="s">
        <v>139</v>
      </c>
      <c r="G3607" s="19">
        <v>9.0042011E7</v>
      </c>
      <c r="H3607" s="15" t="s">
        <v>55</v>
      </c>
      <c r="I3607" s="20" t="s">
        <v>19</v>
      </c>
      <c r="J3607" s="21">
        <v>1.7698726E8</v>
      </c>
      <c r="K3607" s="21">
        <v>0.0</v>
      </c>
    </row>
    <row r="3608">
      <c r="A3608" s="15" t="s">
        <v>74</v>
      </c>
      <c r="B3608" s="16" t="s">
        <v>259</v>
      </c>
      <c r="C3608" s="17" t="s">
        <v>260</v>
      </c>
      <c r="D3608" s="18">
        <v>4.0</v>
      </c>
      <c r="E3608" s="17" t="s">
        <v>164</v>
      </c>
      <c r="F3608" s="15" t="s">
        <v>165</v>
      </c>
      <c r="G3608" s="19">
        <v>9.0042079E7</v>
      </c>
      <c r="H3608" s="15" t="s">
        <v>166</v>
      </c>
      <c r="I3608" s="20" t="s">
        <v>19</v>
      </c>
      <c r="J3608" s="21">
        <v>96950.0</v>
      </c>
      <c r="K3608" s="21">
        <v>0.0</v>
      </c>
    </row>
    <row r="3609">
      <c r="A3609" s="15" t="s">
        <v>74</v>
      </c>
      <c r="B3609" s="16" t="s">
        <v>259</v>
      </c>
      <c r="C3609" s="17" t="s">
        <v>260</v>
      </c>
      <c r="D3609" s="18">
        <v>4.0</v>
      </c>
      <c r="E3609" s="17" t="s">
        <v>20</v>
      </c>
      <c r="F3609" s="15" t="s">
        <v>140</v>
      </c>
      <c r="G3609" s="19">
        <v>9.0042014E7</v>
      </c>
      <c r="H3609" s="15" t="s">
        <v>21</v>
      </c>
      <c r="I3609" s="20" t="s">
        <v>19</v>
      </c>
      <c r="J3609" s="21">
        <v>2.69877523E8</v>
      </c>
      <c r="K3609" s="21">
        <v>0.0</v>
      </c>
    </row>
    <row r="3610">
      <c r="A3610" s="15" t="s">
        <v>74</v>
      </c>
      <c r="B3610" s="16" t="s">
        <v>259</v>
      </c>
      <c r="C3610" s="17" t="s">
        <v>260</v>
      </c>
      <c r="D3610" s="18">
        <v>4.0</v>
      </c>
      <c r="E3610" s="17" t="s">
        <v>20</v>
      </c>
      <c r="F3610" s="15" t="s">
        <v>140</v>
      </c>
      <c r="G3610" s="19">
        <v>9.0042077E7</v>
      </c>
      <c r="H3610" s="15" t="s">
        <v>141</v>
      </c>
      <c r="I3610" s="20" t="s">
        <v>19</v>
      </c>
      <c r="J3610" s="21">
        <v>6.6450701E7</v>
      </c>
      <c r="K3610" s="21">
        <v>0.0</v>
      </c>
    </row>
    <row r="3611">
      <c r="A3611" s="15" t="s">
        <v>74</v>
      </c>
      <c r="B3611" s="16" t="s">
        <v>259</v>
      </c>
      <c r="C3611" s="17" t="s">
        <v>260</v>
      </c>
      <c r="D3611" s="18">
        <v>4.0</v>
      </c>
      <c r="E3611" s="17" t="s">
        <v>142</v>
      </c>
      <c r="F3611" s="15" t="s">
        <v>143</v>
      </c>
      <c r="G3611" s="19">
        <v>9.0042084E7</v>
      </c>
      <c r="H3611" s="15" t="s">
        <v>145</v>
      </c>
      <c r="I3611" s="20" t="s">
        <v>19</v>
      </c>
      <c r="J3611" s="21">
        <v>125460.0</v>
      </c>
      <c r="K3611" s="21">
        <v>0.0</v>
      </c>
    </row>
    <row r="3612">
      <c r="A3612" s="15" t="s">
        <v>74</v>
      </c>
      <c r="B3612" s="16" t="s">
        <v>259</v>
      </c>
      <c r="C3612" s="17" t="s">
        <v>260</v>
      </c>
      <c r="D3612" s="18">
        <v>4.0</v>
      </c>
      <c r="E3612" s="17" t="s">
        <v>22</v>
      </c>
      <c r="F3612" s="15" t="s">
        <v>146</v>
      </c>
      <c r="G3612" s="19">
        <v>9.0042012E7</v>
      </c>
      <c r="H3612" s="15" t="s">
        <v>23</v>
      </c>
      <c r="I3612" s="20" t="s">
        <v>19</v>
      </c>
      <c r="J3612" s="21">
        <v>1.1799794E8</v>
      </c>
      <c r="K3612" s="21">
        <v>0.0</v>
      </c>
    </row>
    <row r="3613">
      <c r="A3613" s="15" t="s">
        <v>74</v>
      </c>
      <c r="B3613" s="16" t="s">
        <v>259</v>
      </c>
      <c r="C3613" s="17" t="s">
        <v>260</v>
      </c>
      <c r="D3613" s="18">
        <v>4.0</v>
      </c>
      <c r="E3613" s="17" t="s">
        <v>22</v>
      </c>
      <c r="F3613" s="15" t="s">
        <v>146</v>
      </c>
      <c r="G3613" s="19">
        <v>9.0042121E7</v>
      </c>
      <c r="H3613" s="15" t="s">
        <v>24</v>
      </c>
      <c r="I3613" s="20" t="s">
        <v>25</v>
      </c>
      <c r="J3613" s="21">
        <v>2.40847643E8</v>
      </c>
      <c r="K3613" s="21">
        <v>0.0</v>
      </c>
    </row>
    <row r="3614">
      <c r="A3614" s="15" t="s">
        <v>74</v>
      </c>
      <c r="B3614" s="16" t="s">
        <v>259</v>
      </c>
      <c r="C3614" s="17" t="s">
        <v>260</v>
      </c>
      <c r="D3614" s="18">
        <v>4.0</v>
      </c>
      <c r="E3614" s="17" t="s">
        <v>22</v>
      </c>
      <c r="F3614" s="15" t="s">
        <v>146</v>
      </c>
      <c r="G3614" s="19">
        <v>9.0042122E7</v>
      </c>
      <c r="H3614" s="15" t="s">
        <v>56</v>
      </c>
      <c r="I3614" s="20" t="s">
        <v>25</v>
      </c>
      <c r="J3614" s="21">
        <v>5.0375665E7</v>
      </c>
      <c r="K3614" s="21">
        <v>0.0</v>
      </c>
    </row>
    <row r="3615">
      <c r="A3615" s="15" t="s">
        <v>74</v>
      </c>
      <c r="B3615" s="16" t="s">
        <v>259</v>
      </c>
      <c r="C3615" s="17" t="s">
        <v>260</v>
      </c>
      <c r="D3615" s="18">
        <v>4.0</v>
      </c>
      <c r="E3615" s="17" t="s">
        <v>22</v>
      </c>
      <c r="F3615" s="15" t="s">
        <v>146</v>
      </c>
      <c r="G3615" s="19">
        <v>9.0042125E7</v>
      </c>
      <c r="H3615" s="15" t="s">
        <v>26</v>
      </c>
      <c r="I3615" s="20" t="s">
        <v>25</v>
      </c>
      <c r="J3615" s="21">
        <v>6.7508028E7</v>
      </c>
      <c r="K3615" s="21">
        <v>0.0</v>
      </c>
    </row>
    <row r="3616">
      <c r="A3616" s="15" t="s">
        <v>74</v>
      </c>
      <c r="B3616" s="16" t="s">
        <v>259</v>
      </c>
      <c r="C3616" s="17" t="s">
        <v>260</v>
      </c>
      <c r="D3616" s="18">
        <v>4.0</v>
      </c>
      <c r="E3616" s="17" t="s">
        <v>22</v>
      </c>
      <c r="F3616" s="15" t="s">
        <v>146</v>
      </c>
      <c r="G3616" s="19">
        <v>9.0042128E7</v>
      </c>
      <c r="H3616" s="15" t="s">
        <v>58</v>
      </c>
      <c r="I3616" s="20" t="s">
        <v>25</v>
      </c>
      <c r="J3616" s="21">
        <v>4.6425156E7</v>
      </c>
      <c r="K3616" s="21">
        <v>0.0</v>
      </c>
    </row>
    <row r="3617">
      <c r="A3617" s="15" t="s">
        <v>74</v>
      </c>
      <c r="B3617" s="16" t="s">
        <v>259</v>
      </c>
      <c r="C3617" s="17" t="s">
        <v>260</v>
      </c>
      <c r="D3617" s="18">
        <v>4.0</v>
      </c>
      <c r="E3617" s="17" t="s">
        <v>22</v>
      </c>
      <c r="F3617" s="15" t="s">
        <v>146</v>
      </c>
      <c r="G3617" s="19">
        <v>9.0042134E7</v>
      </c>
      <c r="H3617" s="15" t="s">
        <v>29</v>
      </c>
      <c r="I3617" s="20" t="s">
        <v>25</v>
      </c>
      <c r="J3617" s="21">
        <v>2098175.0</v>
      </c>
      <c r="K3617" s="21">
        <v>0.0</v>
      </c>
    </row>
    <row r="3618">
      <c r="A3618" s="15" t="s">
        <v>74</v>
      </c>
      <c r="B3618" s="16" t="s">
        <v>259</v>
      </c>
      <c r="C3618" s="17" t="s">
        <v>260</v>
      </c>
      <c r="D3618" s="18">
        <v>4.0</v>
      </c>
      <c r="E3618" s="17" t="s">
        <v>22</v>
      </c>
      <c r="F3618" s="15" t="s">
        <v>146</v>
      </c>
      <c r="G3618" s="19">
        <v>9.0042135E7</v>
      </c>
      <c r="H3618" s="15" t="s">
        <v>30</v>
      </c>
      <c r="I3618" s="20" t="s">
        <v>25</v>
      </c>
      <c r="J3618" s="21">
        <v>1.1114799E8</v>
      </c>
      <c r="K3618" s="21">
        <v>0.0</v>
      </c>
    </row>
    <row r="3619">
      <c r="A3619" s="15" t="s">
        <v>74</v>
      </c>
      <c r="B3619" s="16" t="s">
        <v>259</v>
      </c>
      <c r="C3619" s="17" t="s">
        <v>260</v>
      </c>
      <c r="D3619" s="18">
        <v>4.0</v>
      </c>
      <c r="E3619" s="17" t="s">
        <v>22</v>
      </c>
      <c r="F3619" s="15" t="s">
        <v>146</v>
      </c>
      <c r="G3619" s="19">
        <v>9.00422E7</v>
      </c>
      <c r="H3619" s="15" t="s">
        <v>73</v>
      </c>
      <c r="I3619" s="20" t="s">
        <v>60</v>
      </c>
      <c r="J3619" s="21">
        <v>1.79392932E8</v>
      </c>
      <c r="K3619" s="21">
        <v>0.0</v>
      </c>
    </row>
    <row r="3620">
      <c r="A3620" s="15" t="s">
        <v>74</v>
      </c>
      <c r="B3620" s="16" t="s">
        <v>259</v>
      </c>
      <c r="C3620" s="17" t="s">
        <v>260</v>
      </c>
      <c r="D3620" s="18">
        <v>4.0</v>
      </c>
      <c r="E3620" s="17" t="s">
        <v>22</v>
      </c>
      <c r="F3620" s="15" t="s">
        <v>146</v>
      </c>
      <c r="G3620" s="19">
        <v>9.0042223E7</v>
      </c>
      <c r="H3620" s="15" t="s">
        <v>61</v>
      </c>
      <c r="I3620" s="20" t="s">
        <v>60</v>
      </c>
      <c r="J3620" s="21">
        <v>2.5737943E7</v>
      </c>
      <c r="K3620" s="21">
        <v>0.0</v>
      </c>
    </row>
    <row r="3621">
      <c r="A3621" s="15" t="s">
        <v>74</v>
      </c>
      <c r="B3621" s="16" t="s">
        <v>259</v>
      </c>
      <c r="C3621" s="17" t="s">
        <v>260</v>
      </c>
      <c r="D3621" s="18">
        <v>4.0</v>
      </c>
      <c r="E3621" s="17" t="s">
        <v>22</v>
      </c>
      <c r="F3621" s="15" t="s">
        <v>146</v>
      </c>
      <c r="G3621" s="19">
        <v>9.0042226E7</v>
      </c>
      <c r="H3621" s="15" t="s">
        <v>63</v>
      </c>
      <c r="I3621" s="20" t="s">
        <v>60</v>
      </c>
      <c r="J3621" s="21">
        <v>1233333.0</v>
      </c>
      <c r="K3621" s="21">
        <v>0.0</v>
      </c>
    </row>
    <row r="3622">
      <c r="A3622" s="15" t="s">
        <v>74</v>
      </c>
      <c r="B3622" s="16" t="s">
        <v>259</v>
      </c>
      <c r="C3622" s="17" t="s">
        <v>260</v>
      </c>
      <c r="D3622" s="18">
        <v>4.0</v>
      </c>
      <c r="E3622" s="17" t="s">
        <v>22</v>
      </c>
      <c r="F3622" s="15" t="s">
        <v>146</v>
      </c>
      <c r="G3622" s="19">
        <v>9.0042228E7</v>
      </c>
      <c r="H3622" s="15" t="s">
        <v>64</v>
      </c>
      <c r="I3622" s="20" t="s">
        <v>60</v>
      </c>
      <c r="J3622" s="21">
        <v>1.1935243E8</v>
      </c>
      <c r="K3622" s="21">
        <v>0.0</v>
      </c>
    </row>
    <row r="3623">
      <c r="A3623" s="15" t="s">
        <v>74</v>
      </c>
      <c r="B3623" s="16" t="s">
        <v>259</v>
      </c>
      <c r="C3623" s="17" t="s">
        <v>260</v>
      </c>
      <c r="D3623" s="18">
        <v>4.0</v>
      </c>
      <c r="E3623" s="17" t="s">
        <v>22</v>
      </c>
      <c r="F3623" s="15" t="s">
        <v>146</v>
      </c>
      <c r="G3623" s="19">
        <v>9.0042231E7</v>
      </c>
      <c r="H3623" s="15" t="s">
        <v>65</v>
      </c>
      <c r="I3623" s="20" t="s">
        <v>60</v>
      </c>
      <c r="J3623" s="21">
        <v>1.1424574E7</v>
      </c>
      <c r="K3623" s="21">
        <v>0.0</v>
      </c>
    </row>
    <row r="3624">
      <c r="A3624" s="15" t="s">
        <v>74</v>
      </c>
      <c r="B3624" s="16" t="s">
        <v>259</v>
      </c>
      <c r="C3624" s="17" t="s">
        <v>260</v>
      </c>
      <c r="D3624" s="18">
        <v>4.0</v>
      </c>
      <c r="E3624" s="17" t="s">
        <v>22</v>
      </c>
      <c r="F3624" s="15" t="s">
        <v>146</v>
      </c>
      <c r="G3624" s="19">
        <v>9.0042126E7</v>
      </c>
      <c r="H3624" s="15" t="s">
        <v>31</v>
      </c>
      <c r="I3624" s="20" t="s">
        <v>25</v>
      </c>
      <c r="J3624" s="21">
        <v>6.1765164E7</v>
      </c>
      <c r="K3624" s="21">
        <v>0.0</v>
      </c>
    </row>
    <row r="3625">
      <c r="A3625" s="15" t="s">
        <v>74</v>
      </c>
      <c r="B3625" s="16" t="s">
        <v>259</v>
      </c>
      <c r="C3625" s="17" t="s">
        <v>260</v>
      </c>
      <c r="D3625" s="18">
        <v>4.0</v>
      </c>
      <c r="E3625" s="17" t="s">
        <v>22</v>
      </c>
      <c r="F3625" s="15" t="s">
        <v>146</v>
      </c>
      <c r="G3625" s="19">
        <v>9.004212E7</v>
      </c>
      <c r="H3625" s="15" t="s">
        <v>182</v>
      </c>
      <c r="I3625" s="20" t="s">
        <v>25</v>
      </c>
      <c r="J3625" s="21">
        <v>8.3697975E7</v>
      </c>
      <c r="K3625" s="21">
        <v>0.0</v>
      </c>
    </row>
    <row r="3626">
      <c r="A3626" s="15" t="s">
        <v>74</v>
      </c>
      <c r="B3626" s="16" t="s">
        <v>259</v>
      </c>
      <c r="C3626" s="17" t="s">
        <v>260</v>
      </c>
      <c r="D3626" s="18">
        <v>4.0</v>
      </c>
      <c r="E3626" s="24">
        <v>46097.0</v>
      </c>
      <c r="F3626" s="15" t="s">
        <v>216</v>
      </c>
      <c r="G3626" s="19">
        <v>5.1101056E7</v>
      </c>
      <c r="H3626" s="15" t="s">
        <v>16</v>
      </c>
      <c r="I3626" s="20" t="s">
        <v>17</v>
      </c>
      <c r="J3626" s="21">
        <v>9533700.0</v>
      </c>
      <c r="K3626" s="21">
        <v>86670.0</v>
      </c>
    </row>
    <row r="3627">
      <c r="A3627" s="15" t="s">
        <v>74</v>
      </c>
      <c r="B3627" s="16" t="s">
        <v>259</v>
      </c>
      <c r="C3627" s="17" t="s">
        <v>260</v>
      </c>
      <c r="D3627" s="18">
        <v>4.0</v>
      </c>
      <c r="E3627" s="24">
        <v>46069.0</v>
      </c>
      <c r="F3627" s="15" t="s">
        <v>217</v>
      </c>
      <c r="G3627" s="19">
        <v>5.1100153E7</v>
      </c>
      <c r="H3627" s="15" t="s">
        <v>72</v>
      </c>
      <c r="I3627" s="20" t="s">
        <v>17</v>
      </c>
      <c r="J3627" s="21">
        <v>2.7264633E7</v>
      </c>
      <c r="K3627" s="21">
        <v>145123.0</v>
      </c>
    </row>
    <row r="3628">
      <c r="A3628" s="15" t="s">
        <v>74</v>
      </c>
      <c r="B3628" s="16" t="s">
        <v>66</v>
      </c>
      <c r="C3628" s="17" t="s">
        <v>67</v>
      </c>
      <c r="D3628" s="18">
        <v>4.0</v>
      </c>
      <c r="E3628" s="24">
        <v>46038.0</v>
      </c>
      <c r="F3628" s="15" t="s">
        <v>150</v>
      </c>
      <c r="G3628" s="19">
        <v>9.0043001E7</v>
      </c>
      <c r="H3628" s="15" t="s">
        <v>18</v>
      </c>
      <c r="I3628" s="20" t="s">
        <v>19</v>
      </c>
      <c r="J3628" s="21">
        <v>1.9145404E7</v>
      </c>
      <c r="K3628" s="21">
        <v>116.0</v>
      </c>
    </row>
    <row r="3629">
      <c r="A3629" s="15" t="s">
        <v>74</v>
      </c>
      <c r="B3629" s="16" t="s">
        <v>66</v>
      </c>
      <c r="C3629" s="17" t="s">
        <v>67</v>
      </c>
      <c r="D3629" s="18">
        <v>4.0</v>
      </c>
      <c r="E3629" s="24">
        <v>46189.0</v>
      </c>
      <c r="F3629" s="15" t="s">
        <v>262</v>
      </c>
      <c r="G3629" s="19">
        <v>9.0043001E7</v>
      </c>
      <c r="H3629" s="15" t="s">
        <v>18</v>
      </c>
      <c r="I3629" s="20" t="s">
        <v>19</v>
      </c>
      <c r="J3629" s="21">
        <v>7253400.0</v>
      </c>
      <c r="K3629" s="21">
        <v>42.0</v>
      </c>
    </row>
    <row r="3630">
      <c r="A3630" s="15" t="s">
        <v>74</v>
      </c>
      <c r="B3630" s="16" t="s">
        <v>66</v>
      </c>
      <c r="C3630" s="17" t="s">
        <v>67</v>
      </c>
      <c r="D3630" s="18">
        <v>4.0</v>
      </c>
      <c r="E3630" s="17" t="s">
        <v>81</v>
      </c>
      <c r="F3630" s="15" t="s">
        <v>82</v>
      </c>
      <c r="G3630" s="19">
        <v>9.0043001E7</v>
      </c>
      <c r="H3630" s="15" t="s">
        <v>18</v>
      </c>
      <c r="I3630" s="20" t="s">
        <v>19</v>
      </c>
      <c r="J3630" s="21">
        <v>3714922.0</v>
      </c>
      <c r="K3630" s="21">
        <v>21.0</v>
      </c>
    </row>
    <row r="3631">
      <c r="A3631" s="15" t="s">
        <v>74</v>
      </c>
      <c r="B3631" s="16" t="s">
        <v>66</v>
      </c>
      <c r="C3631" s="17" t="s">
        <v>67</v>
      </c>
      <c r="D3631" s="18">
        <v>4.0</v>
      </c>
      <c r="E3631" s="17" t="s">
        <v>81</v>
      </c>
      <c r="F3631" s="15" t="s">
        <v>82</v>
      </c>
      <c r="G3631" s="19">
        <v>9.0043002E7</v>
      </c>
      <c r="H3631" s="15" t="s">
        <v>49</v>
      </c>
      <c r="I3631" s="20" t="s">
        <v>50</v>
      </c>
      <c r="J3631" s="21">
        <v>1.7496708E7</v>
      </c>
      <c r="K3631" s="21">
        <v>752.0</v>
      </c>
    </row>
    <row r="3632">
      <c r="A3632" s="15" t="s">
        <v>74</v>
      </c>
      <c r="B3632" s="16" t="s">
        <v>66</v>
      </c>
      <c r="C3632" s="17" t="s">
        <v>67</v>
      </c>
      <c r="D3632" s="18">
        <v>4.0</v>
      </c>
      <c r="E3632" s="17" t="s">
        <v>81</v>
      </c>
      <c r="F3632" s="15" t="s">
        <v>82</v>
      </c>
      <c r="G3632" s="19">
        <v>9.0043E7</v>
      </c>
      <c r="H3632" s="15" t="s">
        <v>83</v>
      </c>
      <c r="I3632" s="20" t="s">
        <v>19</v>
      </c>
      <c r="J3632" s="21">
        <v>4610450.0</v>
      </c>
      <c r="K3632" s="21">
        <v>25.0</v>
      </c>
    </row>
    <row r="3633">
      <c r="A3633" s="15" t="s">
        <v>74</v>
      </c>
      <c r="B3633" s="16" t="s">
        <v>66</v>
      </c>
      <c r="C3633" s="17" t="s">
        <v>67</v>
      </c>
      <c r="D3633" s="18">
        <v>4.0</v>
      </c>
      <c r="E3633" s="17" t="s">
        <v>84</v>
      </c>
      <c r="F3633" s="15" t="s">
        <v>85</v>
      </c>
      <c r="G3633" s="19">
        <v>9.0043001E7</v>
      </c>
      <c r="H3633" s="15" t="s">
        <v>18</v>
      </c>
      <c r="I3633" s="20" t="s">
        <v>19</v>
      </c>
      <c r="J3633" s="21">
        <v>7.8061105E7</v>
      </c>
      <c r="K3633" s="21">
        <v>403.0</v>
      </c>
    </row>
    <row r="3634">
      <c r="A3634" s="15" t="s">
        <v>74</v>
      </c>
      <c r="B3634" s="16" t="s">
        <v>66</v>
      </c>
      <c r="C3634" s="17" t="s">
        <v>67</v>
      </c>
      <c r="D3634" s="18">
        <v>4.0</v>
      </c>
      <c r="E3634" s="17" t="s">
        <v>84</v>
      </c>
      <c r="F3634" s="15" t="s">
        <v>85</v>
      </c>
      <c r="G3634" s="19">
        <v>9.0043003E7</v>
      </c>
      <c r="H3634" s="15" t="s">
        <v>90</v>
      </c>
      <c r="I3634" s="20" t="s">
        <v>50</v>
      </c>
      <c r="J3634" s="21">
        <v>1.7172023E7</v>
      </c>
      <c r="K3634" s="21">
        <v>2.0</v>
      </c>
    </row>
    <row r="3635">
      <c r="A3635" s="15" t="s">
        <v>74</v>
      </c>
      <c r="B3635" s="16" t="s">
        <v>66</v>
      </c>
      <c r="C3635" s="17" t="s">
        <v>67</v>
      </c>
      <c r="D3635" s="18">
        <v>4.0</v>
      </c>
      <c r="E3635" s="17" t="s">
        <v>86</v>
      </c>
      <c r="F3635" s="15" t="s">
        <v>87</v>
      </c>
      <c r="G3635" s="19">
        <v>9.0043001E7</v>
      </c>
      <c r="H3635" s="15" t="s">
        <v>18</v>
      </c>
      <c r="I3635" s="20" t="s">
        <v>19</v>
      </c>
      <c r="J3635" s="21">
        <v>1.35593827E8</v>
      </c>
      <c r="K3635" s="21">
        <v>751.0</v>
      </c>
    </row>
    <row r="3636">
      <c r="A3636" s="15" t="s">
        <v>74</v>
      </c>
      <c r="B3636" s="16" t="s">
        <v>66</v>
      </c>
      <c r="C3636" s="17" t="s">
        <v>67</v>
      </c>
      <c r="D3636" s="18">
        <v>4.0</v>
      </c>
      <c r="E3636" s="17" t="s">
        <v>86</v>
      </c>
      <c r="F3636" s="15" t="s">
        <v>87</v>
      </c>
      <c r="G3636" s="19">
        <v>9.0043E7</v>
      </c>
      <c r="H3636" s="15" t="s">
        <v>83</v>
      </c>
      <c r="I3636" s="20" t="s">
        <v>19</v>
      </c>
      <c r="J3636" s="21">
        <v>2404935.0</v>
      </c>
      <c r="K3636" s="21">
        <v>13.0</v>
      </c>
    </row>
    <row r="3637">
      <c r="A3637" s="15" t="s">
        <v>74</v>
      </c>
      <c r="B3637" s="16" t="s">
        <v>66</v>
      </c>
      <c r="C3637" s="17" t="s">
        <v>67</v>
      </c>
      <c r="D3637" s="18">
        <v>4.0</v>
      </c>
      <c r="E3637" s="17" t="s">
        <v>95</v>
      </c>
      <c r="F3637" s="15" t="s">
        <v>96</v>
      </c>
      <c r="G3637" s="19">
        <v>5.1100058E7</v>
      </c>
      <c r="H3637" s="15" t="s">
        <v>36</v>
      </c>
      <c r="I3637" s="20" t="s">
        <v>37</v>
      </c>
      <c r="J3637" s="21">
        <v>4237204.0</v>
      </c>
      <c r="K3637" s="21">
        <v>61.993</v>
      </c>
    </row>
    <row r="3638">
      <c r="A3638" s="15" t="s">
        <v>74</v>
      </c>
      <c r="B3638" s="16" t="s">
        <v>66</v>
      </c>
      <c r="C3638" s="17" t="s">
        <v>67</v>
      </c>
      <c r="D3638" s="18">
        <v>4.0</v>
      </c>
      <c r="E3638" s="17" t="s">
        <v>95</v>
      </c>
      <c r="F3638" s="15" t="s">
        <v>96</v>
      </c>
      <c r="G3638" s="19">
        <v>9.0043001E7</v>
      </c>
      <c r="H3638" s="15" t="s">
        <v>18</v>
      </c>
      <c r="I3638" s="20" t="s">
        <v>19</v>
      </c>
      <c r="J3638" s="21">
        <v>1.8171736E7</v>
      </c>
      <c r="K3638" s="21">
        <v>104.0</v>
      </c>
    </row>
    <row r="3639">
      <c r="A3639" s="15" t="s">
        <v>74</v>
      </c>
      <c r="B3639" s="16" t="s">
        <v>66</v>
      </c>
      <c r="C3639" s="17" t="s">
        <v>67</v>
      </c>
      <c r="D3639" s="18">
        <v>4.0</v>
      </c>
      <c r="E3639" s="17" t="s">
        <v>95</v>
      </c>
      <c r="F3639" s="15" t="s">
        <v>96</v>
      </c>
      <c r="G3639" s="19">
        <v>9.0043E7</v>
      </c>
      <c r="H3639" s="15" t="s">
        <v>83</v>
      </c>
      <c r="I3639" s="20" t="s">
        <v>19</v>
      </c>
      <c r="J3639" s="21">
        <v>1479960.0</v>
      </c>
      <c r="K3639" s="21">
        <v>8.0</v>
      </c>
    </row>
    <row r="3640">
      <c r="A3640" s="15" t="s">
        <v>74</v>
      </c>
      <c r="B3640" s="16" t="s">
        <v>66</v>
      </c>
      <c r="C3640" s="17" t="s">
        <v>67</v>
      </c>
      <c r="D3640" s="18">
        <v>4.0</v>
      </c>
      <c r="E3640" s="17" t="s">
        <v>97</v>
      </c>
      <c r="F3640" s="15" t="s">
        <v>98</v>
      </c>
      <c r="G3640" s="19">
        <v>5.1100058E7</v>
      </c>
      <c r="H3640" s="15" t="s">
        <v>36</v>
      </c>
      <c r="I3640" s="20" t="s">
        <v>37</v>
      </c>
      <c r="J3640" s="21">
        <v>1639242.0</v>
      </c>
      <c r="K3640" s="21">
        <v>23.25</v>
      </c>
    </row>
    <row r="3641">
      <c r="A3641" s="15" t="s">
        <v>74</v>
      </c>
      <c r="B3641" s="16" t="s">
        <v>66</v>
      </c>
      <c r="C3641" s="17" t="s">
        <v>67</v>
      </c>
      <c r="D3641" s="18">
        <v>4.0</v>
      </c>
      <c r="E3641" s="17" t="s">
        <v>101</v>
      </c>
      <c r="F3641" s="15" t="s">
        <v>102</v>
      </c>
      <c r="G3641" s="19">
        <v>9.0043001E7</v>
      </c>
      <c r="H3641" s="15" t="s">
        <v>18</v>
      </c>
      <c r="I3641" s="20" t="s">
        <v>19</v>
      </c>
      <c r="J3641" s="21">
        <v>1.52997749E8</v>
      </c>
      <c r="K3641" s="21">
        <v>895.0</v>
      </c>
    </row>
    <row r="3642">
      <c r="A3642" s="15" t="s">
        <v>74</v>
      </c>
      <c r="B3642" s="16" t="s">
        <v>66</v>
      </c>
      <c r="C3642" s="17" t="s">
        <v>67</v>
      </c>
      <c r="D3642" s="18">
        <v>4.0</v>
      </c>
      <c r="E3642" s="17" t="s">
        <v>101</v>
      </c>
      <c r="F3642" s="15" t="s">
        <v>102</v>
      </c>
      <c r="G3642" s="19">
        <v>9.0043E7</v>
      </c>
      <c r="H3642" s="15" t="s">
        <v>83</v>
      </c>
      <c r="I3642" s="20" t="s">
        <v>19</v>
      </c>
      <c r="J3642" s="21">
        <v>3494267.0</v>
      </c>
      <c r="K3642" s="21">
        <v>19.0</v>
      </c>
    </row>
    <row r="3643">
      <c r="A3643" s="15" t="s">
        <v>74</v>
      </c>
      <c r="B3643" s="16" t="s">
        <v>66</v>
      </c>
      <c r="C3643" s="17" t="s">
        <v>67</v>
      </c>
      <c r="D3643" s="18">
        <v>4.0</v>
      </c>
      <c r="E3643" s="17" t="s">
        <v>103</v>
      </c>
      <c r="F3643" s="15" t="s">
        <v>104</v>
      </c>
      <c r="G3643" s="19">
        <v>5.1100058E7</v>
      </c>
      <c r="H3643" s="15" t="s">
        <v>36</v>
      </c>
      <c r="I3643" s="20" t="s">
        <v>37</v>
      </c>
      <c r="J3643" s="21">
        <v>6284857.0</v>
      </c>
      <c r="K3643" s="21">
        <v>90.95</v>
      </c>
    </row>
    <row r="3644">
      <c r="A3644" s="15" t="s">
        <v>74</v>
      </c>
      <c r="B3644" s="16" t="s">
        <v>66</v>
      </c>
      <c r="C3644" s="17" t="s">
        <v>67</v>
      </c>
      <c r="D3644" s="18">
        <v>4.0</v>
      </c>
      <c r="E3644" s="17" t="s">
        <v>103</v>
      </c>
      <c r="F3644" s="15" t="s">
        <v>104</v>
      </c>
      <c r="G3644" s="19">
        <v>5.1100064E7</v>
      </c>
      <c r="H3644" s="15" t="s">
        <v>53</v>
      </c>
      <c r="I3644" s="20" t="s">
        <v>25</v>
      </c>
      <c r="J3644" s="21">
        <v>1241959.0</v>
      </c>
      <c r="K3644" s="21">
        <v>0.0</v>
      </c>
    </row>
    <row r="3645">
      <c r="A3645" s="15" t="s">
        <v>74</v>
      </c>
      <c r="B3645" s="16" t="s">
        <v>66</v>
      </c>
      <c r="C3645" s="17" t="s">
        <v>67</v>
      </c>
      <c r="D3645" s="18">
        <v>4.0</v>
      </c>
      <c r="E3645" s="17" t="s">
        <v>103</v>
      </c>
      <c r="F3645" s="15" t="s">
        <v>104</v>
      </c>
      <c r="G3645" s="19">
        <v>9.0043001E7</v>
      </c>
      <c r="H3645" s="15" t="s">
        <v>18</v>
      </c>
      <c r="I3645" s="20" t="s">
        <v>19</v>
      </c>
      <c r="J3645" s="21">
        <v>2.3022387E7</v>
      </c>
      <c r="K3645" s="21">
        <v>129.0</v>
      </c>
    </row>
    <row r="3646">
      <c r="A3646" s="15" t="s">
        <v>74</v>
      </c>
      <c r="B3646" s="16" t="s">
        <v>66</v>
      </c>
      <c r="C3646" s="17" t="s">
        <v>67</v>
      </c>
      <c r="D3646" s="18">
        <v>4.0</v>
      </c>
      <c r="E3646" s="17" t="s">
        <v>103</v>
      </c>
      <c r="F3646" s="15" t="s">
        <v>104</v>
      </c>
      <c r="G3646" s="19">
        <v>9.0043E7</v>
      </c>
      <c r="H3646" s="15" t="s">
        <v>83</v>
      </c>
      <c r="I3646" s="20" t="s">
        <v>19</v>
      </c>
      <c r="J3646" s="21">
        <v>4017548.0</v>
      </c>
      <c r="K3646" s="21">
        <v>23.0</v>
      </c>
    </row>
    <row r="3647">
      <c r="A3647" s="15" t="s">
        <v>74</v>
      </c>
      <c r="B3647" s="16" t="s">
        <v>66</v>
      </c>
      <c r="C3647" s="17" t="s">
        <v>67</v>
      </c>
      <c r="D3647" s="18">
        <v>4.0</v>
      </c>
      <c r="E3647" s="17" t="s">
        <v>205</v>
      </c>
      <c r="F3647" s="15" t="s">
        <v>206</v>
      </c>
      <c r="G3647" s="19">
        <v>5.1100064E7</v>
      </c>
      <c r="H3647" s="15" t="s">
        <v>53</v>
      </c>
      <c r="I3647" s="20" t="s">
        <v>25</v>
      </c>
      <c r="J3647" s="21">
        <v>1481041.0</v>
      </c>
      <c r="K3647" s="21">
        <v>0.0</v>
      </c>
    </row>
    <row r="3648">
      <c r="A3648" s="15" t="s">
        <v>74</v>
      </c>
      <c r="B3648" s="16" t="s">
        <v>66</v>
      </c>
      <c r="C3648" s="17" t="s">
        <v>67</v>
      </c>
      <c r="D3648" s="18">
        <v>4.0</v>
      </c>
      <c r="E3648" s="17" t="s">
        <v>209</v>
      </c>
      <c r="F3648" s="15" t="s">
        <v>210</v>
      </c>
      <c r="G3648" s="19">
        <v>5.1100058E7</v>
      </c>
      <c r="H3648" s="15" t="s">
        <v>36</v>
      </c>
      <c r="I3648" s="20" t="s">
        <v>37</v>
      </c>
      <c r="J3648" s="21">
        <v>2.04510357E8</v>
      </c>
      <c r="K3648" s="21">
        <v>26000.0</v>
      </c>
    </row>
    <row r="3649">
      <c r="A3649" s="15" t="s">
        <v>74</v>
      </c>
      <c r="B3649" s="16" t="s">
        <v>66</v>
      </c>
      <c r="C3649" s="17" t="s">
        <v>67</v>
      </c>
      <c r="D3649" s="18">
        <v>4.0</v>
      </c>
      <c r="E3649" s="17" t="s">
        <v>209</v>
      </c>
      <c r="F3649" s="15" t="s">
        <v>210</v>
      </c>
      <c r="G3649" s="19">
        <v>5.1100774E7</v>
      </c>
      <c r="H3649" s="15" t="s">
        <v>39</v>
      </c>
      <c r="I3649" s="20" t="s">
        <v>17</v>
      </c>
      <c r="J3649" s="21">
        <v>6773178.0</v>
      </c>
      <c r="K3649" s="21">
        <v>58.69</v>
      </c>
    </row>
    <row r="3650">
      <c r="A3650" s="15" t="s">
        <v>74</v>
      </c>
      <c r="B3650" s="16" t="s">
        <v>66</v>
      </c>
      <c r="C3650" s="17" t="s">
        <v>67</v>
      </c>
      <c r="D3650" s="18">
        <v>4.0</v>
      </c>
      <c r="E3650" s="17" t="s">
        <v>175</v>
      </c>
      <c r="F3650" s="15" t="s">
        <v>176</v>
      </c>
      <c r="G3650" s="19">
        <v>5.1100774E7</v>
      </c>
      <c r="H3650" s="15" t="s">
        <v>39</v>
      </c>
      <c r="I3650" s="20" t="s">
        <v>17</v>
      </c>
      <c r="J3650" s="21">
        <v>884000.0</v>
      </c>
      <c r="K3650" s="21">
        <v>26000.0</v>
      </c>
    </row>
    <row r="3651">
      <c r="A3651" s="15" t="s">
        <v>74</v>
      </c>
      <c r="B3651" s="16" t="s">
        <v>66</v>
      </c>
      <c r="C3651" s="17" t="s">
        <v>67</v>
      </c>
      <c r="D3651" s="18">
        <v>4.0</v>
      </c>
      <c r="E3651" s="17" t="s">
        <v>123</v>
      </c>
      <c r="F3651" s="15" t="s">
        <v>124</v>
      </c>
      <c r="G3651" s="19">
        <v>9.0043001E7</v>
      </c>
      <c r="H3651" s="15" t="s">
        <v>18</v>
      </c>
      <c r="I3651" s="20" t="s">
        <v>19</v>
      </c>
      <c r="J3651" s="21">
        <v>1782350.0</v>
      </c>
      <c r="K3651" s="21">
        <v>10.0</v>
      </c>
    </row>
    <row r="3652">
      <c r="A3652" s="15" t="s">
        <v>74</v>
      </c>
      <c r="B3652" s="16" t="s">
        <v>66</v>
      </c>
      <c r="C3652" s="17" t="s">
        <v>67</v>
      </c>
      <c r="D3652" s="18">
        <v>4.0</v>
      </c>
      <c r="E3652" s="17" t="s">
        <v>125</v>
      </c>
      <c r="F3652" s="15" t="s">
        <v>126</v>
      </c>
      <c r="G3652" s="19">
        <v>9.0043001E7</v>
      </c>
      <c r="H3652" s="15" t="s">
        <v>18</v>
      </c>
      <c r="I3652" s="20" t="s">
        <v>19</v>
      </c>
      <c r="J3652" s="21">
        <v>3.33087082E8</v>
      </c>
      <c r="K3652" s="21">
        <v>1907.0</v>
      </c>
    </row>
    <row r="3653">
      <c r="A3653" s="15" t="s">
        <v>74</v>
      </c>
      <c r="B3653" s="16" t="s">
        <v>66</v>
      </c>
      <c r="C3653" s="17" t="s">
        <v>67</v>
      </c>
      <c r="D3653" s="18">
        <v>4.0</v>
      </c>
      <c r="E3653" s="17" t="s">
        <v>127</v>
      </c>
      <c r="F3653" s="15" t="s">
        <v>128</v>
      </c>
      <c r="G3653" s="19">
        <v>5.1100153E7</v>
      </c>
      <c r="H3653" s="15" t="s">
        <v>72</v>
      </c>
      <c r="I3653" s="20" t="s">
        <v>25</v>
      </c>
      <c r="J3653" s="21">
        <v>-18.0</v>
      </c>
      <c r="K3653" s="21">
        <v>0.0</v>
      </c>
    </row>
    <row r="3654">
      <c r="A3654" s="15" t="s">
        <v>74</v>
      </c>
      <c r="B3654" s="16" t="s">
        <v>66</v>
      </c>
      <c r="C3654" s="17" t="s">
        <v>67</v>
      </c>
      <c r="D3654" s="18">
        <v>4.0</v>
      </c>
      <c r="E3654" s="17" t="s">
        <v>127</v>
      </c>
      <c r="F3654" s="15" t="s">
        <v>128</v>
      </c>
      <c r="G3654" s="19">
        <v>5.1100153E7</v>
      </c>
      <c r="H3654" s="15" t="s">
        <v>72</v>
      </c>
      <c r="I3654" s="20" t="s">
        <v>17</v>
      </c>
      <c r="J3654" s="21">
        <v>6.99150431E8</v>
      </c>
      <c r="K3654" s="21">
        <v>1489410.0</v>
      </c>
    </row>
    <row r="3655">
      <c r="A3655" s="15" t="s">
        <v>74</v>
      </c>
      <c r="B3655" s="16" t="s">
        <v>66</v>
      </c>
      <c r="C3655" s="17" t="s">
        <v>67</v>
      </c>
      <c r="D3655" s="18">
        <v>4.0</v>
      </c>
      <c r="E3655" s="17" t="s">
        <v>129</v>
      </c>
      <c r="F3655" s="15" t="s">
        <v>130</v>
      </c>
      <c r="G3655" s="19">
        <v>5.1101056E7</v>
      </c>
      <c r="H3655" s="15" t="s">
        <v>16</v>
      </c>
      <c r="I3655" s="20" t="s">
        <v>25</v>
      </c>
      <c r="J3655" s="21">
        <v>0.0</v>
      </c>
      <c r="K3655" s="21">
        <v>0.0</v>
      </c>
    </row>
    <row r="3656">
      <c r="A3656" s="15" t="s">
        <v>74</v>
      </c>
      <c r="B3656" s="16" t="s">
        <v>66</v>
      </c>
      <c r="C3656" s="17" t="s">
        <v>67</v>
      </c>
      <c r="D3656" s="18">
        <v>4.0</v>
      </c>
      <c r="E3656" s="17" t="s">
        <v>129</v>
      </c>
      <c r="F3656" s="15" t="s">
        <v>130</v>
      </c>
      <c r="G3656" s="19">
        <v>5.1101056E7</v>
      </c>
      <c r="H3656" s="15" t="s">
        <v>16</v>
      </c>
      <c r="I3656" s="20" t="s">
        <v>17</v>
      </c>
      <c r="J3656" s="21">
        <v>1.21529E8</v>
      </c>
      <c r="K3656" s="21">
        <v>1215290.0</v>
      </c>
    </row>
    <row r="3657">
      <c r="A3657" s="15" t="s">
        <v>74</v>
      </c>
      <c r="B3657" s="16" t="s">
        <v>66</v>
      </c>
      <c r="C3657" s="17" t="s">
        <v>67</v>
      </c>
      <c r="D3657" s="18">
        <v>4.0</v>
      </c>
      <c r="E3657" s="17" t="s">
        <v>129</v>
      </c>
      <c r="F3657" s="15" t="s">
        <v>130</v>
      </c>
      <c r="G3657" s="19">
        <v>9.0043003E7</v>
      </c>
      <c r="H3657" s="15" t="s">
        <v>90</v>
      </c>
      <c r="I3657" s="20" t="s">
        <v>50</v>
      </c>
      <c r="J3657" s="21">
        <v>3.4002144E7</v>
      </c>
      <c r="K3657" s="21">
        <v>325.0</v>
      </c>
    </row>
    <row r="3658">
      <c r="A3658" s="15" t="s">
        <v>74</v>
      </c>
      <c r="B3658" s="16" t="s">
        <v>66</v>
      </c>
      <c r="C3658" s="17" t="s">
        <v>67</v>
      </c>
      <c r="D3658" s="18">
        <v>4.0</v>
      </c>
      <c r="E3658" s="17" t="s">
        <v>131</v>
      </c>
      <c r="F3658" s="15" t="s">
        <v>132</v>
      </c>
      <c r="G3658" s="19">
        <v>9.0043001E7</v>
      </c>
      <c r="H3658" s="15" t="s">
        <v>18</v>
      </c>
      <c r="I3658" s="20" t="s">
        <v>19</v>
      </c>
      <c r="J3658" s="21">
        <v>1.5069522E7</v>
      </c>
      <c r="K3658" s="21">
        <v>86.0</v>
      </c>
    </row>
    <row r="3659">
      <c r="A3659" s="15" t="s">
        <v>74</v>
      </c>
      <c r="B3659" s="16" t="s">
        <v>66</v>
      </c>
      <c r="C3659" s="17" t="s">
        <v>67</v>
      </c>
      <c r="D3659" s="18">
        <v>4.0</v>
      </c>
      <c r="E3659" s="17" t="s">
        <v>135</v>
      </c>
      <c r="F3659" s="15" t="s">
        <v>136</v>
      </c>
      <c r="G3659" s="19">
        <v>9.0043001E7</v>
      </c>
      <c r="H3659" s="15" t="s">
        <v>18</v>
      </c>
      <c r="I3659" s="20" t="s">
        <v>19</v>
      </c>
      <c r="J3659" s="21">
        <v>4.6912551E7</v>
      </c>
      <c r="K3659" s="21">
        <v>267.0</v>
      </c>
    </row>
    <row r="3660">
      <c r="A3660" s="15" t="s">
        <v>74</v>
      </c>
      <c r="B3660" s="16" t="s">
        <v>66</v>
      </c>
      <c r="C3660" s="17" t="s">
        <v>67</v>
      </c>
      <c r="D3660" s="18">
        <v>4.0</v>
      </c>
      <c r="E3660" s="17" t="s">
        <v>162</v>
      </c>
      <c r="F3660" s="15" t="s">
        <v>163</v>
      </c>
      <c r="G3660" s="19">
        <v>9.0043001E7</v>
      </c>
      <c r="H3660" s="15" t="s">
        <v>18</v>
      </c>
      <c r="I3660" s="20" t="s">
        <v>19</v>
      </c>
      <c r="J3660" s="21">
        <v>1.2841384E7</v>
      </c>
      <c r="K3660" s="21">
        <v>72.0</v>
      </c>
    </row>
    <row r="3661">
      <c r="A3661" s="15" t="s">
        <v>74</v>
      </c>
      <c r="B3661" s="16" t="s">
        <v>66</v>
      </c>
      <c r="C3661" s="17" t="s">
        <v>67</v>
      </c>
      <c r="D3661" s="18">
        <v>4.0</v>
      </c>
      <c r="E3661" s="17" t="s">
        <v>162</v>
      </c>
      <c r="F3661" s="15" t="s">
        <v>163</v>
      </c>
      <c r="G3661" s="19">
        <v>9.0043E7</v>
      </c>
      <c r="H3661" s="15" t="s">
        <v>83</v>
      </c>
      <c r="I3661" s="20" t="s">
        <v>19</v>
      </c>
      <c r="J3661" s="21">
        <v>184995.0</v>
      </c>
      <c r="K3661" s="21">
        <v>1.0</v>
      </c>
    </row>
    <row r="3662">
      <c r="A3662" s="15" t="s">
        <v>74</v>
      </c>
      <c r="B3662" s="16" t="s">
        <v>66</v>
      </c>
      <c r="C3662" s="17" t="s">
        <v>67</v>
      </c>
      <c r="D3662" s="18">
        <v>4.0</v>
      </c>
      <c r="E3662" s="17" t="s">
        <v>54</v>
      </c>
      <c r="F3662" s="15" t="s">
        <v>139</v>
      </c>
      <c r="G3662" s="19">
        <v>9.0042011E7</v>
      </c>
      <c r="H3662" s="15" t="s">
        <v>55</v>
      </c>
      <c r="I3662" s="20" t="s">
        <v>19</v>
      </c>
      <c r="J3662" s="21">
        <v>3.18923453E8</v>
      </c>
      <c r="K3662" s="21">
        <v>0.0</v>
      </c>
    </row>
    <row r="3663">
      <c r="A3663" s="15" t="s">
        <v>74</v>
      </c>
      <c r="B3663" s="16" t="s">
        <v>66</v>
      </c>
      <c r="C3663" s="17" t="s">
        <v>67</v>
      </c>
      <c r="D3663" s="18">
        <v>4.0</v>
      </c>
      <c r="E3663" s="17" t="s">
        <v>54</v>
      </c>
      <c r="F3663" s="15" t="s">
        <v>139</v>
      </c>
      <c r="G3663" s="19">
        <v>9.0042078E7</v>
      </c>
      <c r="H3663" s="15" t="s">
        <v>265</v>
      </c>
      <c r="I3663" s="20" t="s">
        <v>19</v>
      </c>
      <c r="J3663" s="21">
        <v>330000.0</v>
      </c>
      <c r="K3663" s="21">
        <v>0.0</v>
      </c>
    </row>
    <row r="3664">
      <c r="A3664" s="15" t="s">
        <v>74</v>
      </c>
      <c r="B3664" s="16" t="s">
        <v>66</v>
      </c>
      <c r="C3664" s="17" t="s">
        <v>67</v>
      </c>
      <c r="D3664" s="18">
        <v>4.0</v>
      </c>
      <c r="E3664" s="17" t="s">
        <v>20</v>
      </c>
      <c r="F3664" s="15" t="s">
        <v>140</v>
      </c>
      <c r="G3664" s="19">
        <v>9.0042014E7</v>
      </c>
      <c r="H3664" s="15" t="s">
        <v>21</v>
      </c>
      <c r="I3664" s="20" t="s">
        <v>19</v>
      </c>
      <c r="J3664" s="21">
        <v>4.45806244E8</v>
      </c>
      <c r="K3664" s="21">
        <v>0.0</v>
      </c>
    </row>
    <row r="3665">
      <c r="A3665" s="15" t="s">
        <v>74</v>
      </c>
      <c r="B3665" s="16" t="s">
        <v>66</v>
      </c>
      <c r="C3665" s="17" t="s">
        <v>67</v>
      </c>
      <c r="D3665" s="18">
        <v>4.0</v>
      </c>
      <c r="E3665" s="17" t="s">
        <v>20</v>
      </c>
      <c r="F3665" s="15" t="s">
        <v>140</v>
      </c>
      <c r="G3665" s="19">
        <v>9.0042077E7</v>
      </c>
      <c r="H3665" s="15" t="s">
        <v>141</v>
      </c>
      <c r="I3665" s="20" t="s">
        <v>19</v>
      </c>
      <c r="J3665" s="21">
        <v>4.2264038E7</v>
      </c>
      <c r="K3665" s="21">
        <v>0.0</v>
      </c>
    </row>
    <row r="3666">
      <c r="A3666" s="15" t="s">
        <v>74</v>
      </c>
      <c r="B3666" s="16" t="s">
        <v>66</v>
      </c>
      <c r="C3666" s="17" t="s">
        <v>67</v>
      </c>
      <c r="D3666" s="18">
        <v>4.0</v>
      </c>
      <c r="E3666" s="17" t="s">
        <v>142</v>
      </c>
      <c r="F3666" s="15" t="s">
        <v>143</v>
      </c>
      <c r="G3666" s="19">
        <v>9.0042013E7</v>
      </c>
      <c r="H3666" s="15" t="s">
        <v>144</v>
      </c>
      <c r="I3666" s="20" t="s">
        <v>19</v>
      </c>
      <c r="J3666" s="21">
        <v>1.83813E7</v>
      </c>
      <c r="K3666" s="21">
        <v>0.0</v>
      </c>
    </row>
    <row r="3667">
      <c r="A3667" s="15" t="s">
        <v>74</v>
      </c>
      <c r="B3667" s="16" t="s">
        <v>66</v>
      </c>
      <c r="C3667" s="17" t="s">
        <v>67</v>
      </c>
      <c r="D3667" s="18">
        <v>4.0</v>
      </c>
      <c r="E3667" s="17" t="s">
        <v>142</v>
      </c>
      <c r="F3667" s="15" t="s">
        <v>143</v>
      </c>
      <c r="G3667" s="19">
        <v>9.0042084E7</v>
      </c>
      <c r="H3667" s="15" t="s">
        <v>145</v>
      </c>
      <c r="I3667" s="20" t="s">
        <v>19</v>
      </c>
      <c r="J3667" s="21">
        <v>1182730.0</v>
      </c>
      <c r="K3667" s="21">
        <v>0.0</v>
      </c>
    </row>
    <row r="3668">
      <c r="A3668" s="15" t="s">
        <v>74</v>
      </c>
      <c r="B3668" s="16" t="s">
        <v>66</v>
      </c>
      <c r="C3668" s="17" t="s">
        <v>67</v>
      </c>
      <c r="D3668" s="18">
        <v>4.0</v>
      </c>
      <c r="E3668" s="17" t="s">
        <v>22</v>
      </c>
      <c r="F3668" s="15" t="s">
        <v>146</v>
      </c>
      <c r="G3668" s="19">
        <v>9.0042012E7</v>
      </c>
      <c r="H3668" s="15" t="s">
        <v>23</v>
      </c>
      <c r="I3668" s="20" t="s">
        <v>19</v>
      </c>
      <c r="J3668" s="21">
        <v>1.43407018E8</v>
      </c>
      <c r="K3668" s="21">
        <v>0.0</v>
      </c>
    </row>
    <row r="3669">
      <c r="A3669" s="15" t="s">
        <v>74</v>
      </c>
      <c r="B3669" s="16" t="s">
        <v>66</v>
      </c>
      <c r="C3669" s="17" t="s">
        <v>67</v>
      </c>
      <c r="D3669" s="18">
        <v>4.0</v>
      </c>
      <c r="E3669" s="17" t="s">
        <v>22</v>
      </c>
      <c r="F3669" s="15" t="s">
        <v>146</v>
      </c>
      <c r="G3669" s="19">
        <v>9.0042121E7</v>
      </c>
      <c r="H3669" s="15" t="s">
        <v>24</v>
      </c>
      <c r="I3669" s="20" t="s">
        <v>25</v>
      </c>
      <c r="J3669" s="21">
        <v>4.0729947E8</v>
      </c>
      <c r="K3669" s="21">
        <v>0.0</v>
      </c>
    </row>
    <row r="3670">
      <c r="A3670" s="15" t="s">
        <v>74</v>
      </c>
      <c r="B3670" s="16" t="s">
        <v>66</v>
      </c>
      <c r="C3670" s="17" t="s">
        <v>67</v>
      </c>
      <c r="D3670" s="18">
        <v>4.0</v>
      </c>
      <c r="E3670" s="17" t="s">
        <v>22</v>
      </c>
      <c r="F3670" s="15" t="s">
        <v>146</v>
      </c>
      <c r="G3670" s="19">
        <v>9.0042122E7</v>
      </c>
      <c r="H3670" s="15" t="s">
        <v>56</v>
      </c>
      <c r="I3670" s="20" t="s">
        <v>25</v>
      </c>
      <c r="J3670" s="21">
        <v>1.16228299E8</v>
      </c>
      <c r="K3670" s="21">
        <v>0.0</v>
      </c>
    </row>
    <row r="3671">
      <c r="A3671" s="15" t="s">
        <v>74</v>
      </c>
      <c r="B3671" s="16" t="s">
        <v>66</v>
      </c>
      <c r="C3671" s="17" t="s">
        <v>67</v>
      </c>
      <c r="D3671" s="18">
        <v>4.0</v>
      </c>
      <c r="E3671" s="17" t="s">
        <v>22</v>
      </c>
      <c r="F3671" s="15" t="s">
        <v>146</v>
      </c>
      <c r="G3671" s="19">
        <v>9.0042124E7</v>
      </c>
      <c r="H3671" s="15" t="s">
        <v>57</v>
      </c>
      <c r="I3671" s="20" t="s">
        <v>25</v>
      </c>
      <c r="J3671" s="21">
        <v>5.783227E7</v>
      </c>
      <c r="K3671" s="21">
        <v>0.0</v>
      </c>
    </row>
    <row r="3672">
      <c r="A3672" s="15" t="s">
        <v>74</v>
      </c>
      <c r="B3672" s="16" t="s">
        <v>66</v>
      </c>
      <c r="C3672" s="17" t="s">
        <v>67</v>
      </c>
      <c r="D3672" s="18">
        <v>4.0</v>
      </c>
      <c r="E3672" s="17" t="s">
        <v>22</v>
      </c>
      <c r="F3672" s="15" t="s">
        <v>146</v>
      </c>
      <c r="G3672" s="19">
        <v>9.0042125E7</v>
      </c>
      <c r="H3672" s="15" t="s">
        <v>26</v>
      </c>
      <c r="I3672" s="20" t="s">
        <v>25</v>
      </c>
      <c r="J3672" s="21">
        <v>7.6820359E7</v>
      </c>
      <c r="K3672" s="21">
        <v>0.0</v>
      </c>
    </row>
    <row r="3673">
      <c r="A3673" s="15" t="s">
        <v>74</v>
      </c>
      <c r="B3673" s="16" t="s">
        <v>66</v>
      </c>
      <c r="C3673" s="17" t="s">
        <v>67</v>
      </c>
      <c r="D3673" s="18">
        <v>4.0</v>
      </c>
      <c r="E3673" s="17" t="s">
        <v>22</v>
      </c>
      <c r="F3673" s="15" t="s">
        <v>146</v>
      </c>
      <c r="G3673" s="19">
        <v>9.0042127E7</v>
      </c>
      <c r="H3673" s="15" t="s">
        <v>27</v>
      </c>
      <c r="I3673" s="20" t="s">
        <v>25</v>
      </c>
      <c r="J3673" s="21">
        <v>2.353678E7</v>
      </c>
      <c r="K3673" s="21">
        <v>0.0</v>
      </c>
    </row>
    <row r="3674">
      <c r="A3674" s="15" t="s">
        <v>74</v>
      </c>
      <c r="B3674" s="16" t="s">
        <v>66</v>
      </c>
      <c r="C3674" s="17" t="s">
        <v>67</v>
      </c>
      <c r="D3674" s="18">
        <v>4.0</v>
      </c>
      <c r="E3674" s="17" t="s">
        <v>22</v>
      </c>
      <c r="F3674" s="15" t="s">
        <v>146</v>
      </c>
      <c r="G3674" s="19">
        <v>9.0042128E7</v>
      </c>
      <c r="H3674" s="15" t="s">
        <v>58</v>
      </c>
      <c r="I3674" s="20" t="s">
        <v>25</v>
      </c>
      <c r="J3674" s="21">
        <v>2.8851131E7</v>
      </c>
      <c r="K3674" s="21">
        <v>0.0</v>
      </c>
    </row>
    <row r="3675">
      <c r="A3675" s="15" t="s">
        <v>74</v>
      </c>
      <c r="B3675" s="16" t="s">
        <v>66</v>
      </c>
      <c r="C3675" s="17" t="s">
        <v>67</v>
      </c>
      <c r="D3675" s="18">
        <v>4.0</v>
      </c>
      <c r="E3675" s="17" t="s">
        <v>22</v>
      </c>
      <c r="F3675" s="15" t="s">
        <v>146</v>
      </c>
      <c r="G3675" s="19">
        <v>9.0042132E7</v>
      </c>
      <c r="H3675" s="15" t="s">
        <v>28</v>
      </c>
      <c r="I3675" s="20" t="s">
        <v>25</v>
      </c>
      <c r="J3675" s="21">
        <v>1.910868E7</v>
      </c>
      <c r="K3675" s="21">
        <v>0.0</v>
      </c>
    </row>
    <row r="3676">
      <c r="A3676" s="15" t="s">
        <v>74</v>
      </c>
      <c r="B3676" s="16" t="s">
        <v>66</v>
      </c>
      <c r="C3676" s="17" t="s">
        <v>67</v>
      </c>
      <c r="D3676" s="18">
        <v>4.0</v>
      </c>
      <c r="E3676" s="17" t="s">
        <v>22</v>
      </c>
      <c r="F3676" s="15" t="s">
        <v>146</v>
      </c>
      <c r="G3676" s="19">
        <v>9.0042135E7</v>
      </c>
      <c r="H3676" s="15" t="s">
        <v>30</v>
      </c>
      <c r="I3676" s="20" t="s">
        <v>25</v>
      </c>
      <c r="J3676" s="21">
        <v>3.28990752E8</v>
      </c>
      <c r="K3676" s="21">
        <v>0.0</v>
      </c>
    </row>
    <row r="3677">
      <c r="A3677" s="15" t="s">
        <v>74</v>
      </c>
      <c r="B3677" s="16" t="s">
        <v>66</v>
      </c>
      <c r="C3677" s="17" t="s">
        <v>67</v>
      </c>
      <c r="D3677" s="18">
        <v>4.0</v>
      </c>
      <c r="E3677" s="17" t="s">
        <v>22</v>
      </c>
      <c r="F3677" s="15" t="s">
        <v>146</v>
      </c>
      <c r="G3677" s="19">
        <v>9.00422E7</v>
      </c>
      <c r="H3677" s="15" t="s">
        <v>73</v>
      </c>
      <c r="I3677" s="20" t="s">
        <v>60</v>
      </c>
      <c r="J3677" s="21">
        <v>3.04193947E8</v>
      </c>
      <c r="K3677" s="21">
        <v>0.0</v>
      </c>
    </row>
    <row r="3678">
      <c r="A3678" s="15" t="s">
        <v>74</v>
      </c>
      <c r="B3678" s="16" t="s">
        <v>66</v>
      </c>
      <c r="C3678" s="17" t="s">
        <v>67</v>
      </c>
      <c r="D3678" s="18">
        <v>4.0</v>
      </c>
      <c r="E3678" s="17" t="s">
        <v>22</v>
      </c>
      <c r="F3678" s="15" t="s">
        <v>146</v>
      </c>
      <c r="G3678" s="19">
        <v>9.0042223E7</v>
      </c>
      <c r="H3678" s="15" t="s">
        <v>61</v>
      </c>
      <c r="I3678" s="20" t="s">
        <v>60</v>
      </c>
      <c r="J3678" s="21">
        <v>2.5865971E7</v>
      </c>
      <c r="K3678" s="21">
        <v>0.0</v>
      </c>
    </row>
    <row r="3679">
      <c r="A3679" s="15" t="s">
        <v>74</v>
      </c>
      <c r="B3679" s="16" t="s">
        <v>66</v>
      </c>
      <c r="C3679" s="17" t="s">
        <v>67</v>
      </c>
      <c r="D3679" s="18">
        <v>4.0</v>
      </c>
      <c r="E3679" s="17" t="s">
        <v>22</v>
      </c>
      <c r="F3679" s="15" t="s">
        <v>146</v>
      </c>
      <c r="G3679" s="19">
        <v>9.0042224E7</v>
      </c>
      <c r="H3679" s="15" t="s">
        <v>62</v>
      </c>
      <c r="I3679" s="20" t="s">
        <v>60</v>
      </c>
      <c r="J3679" s="21">
        <v>4078084.0</v>
      </c>
      <c r="K3679" s="21">
        <v>0.0</v>
      </c>
    </row>
    <row r="3680">
      <c r="A3680" s="15" t="s">
        <v>74</v>
      </c>
      <c r="B3680" s="16" t="s">
        <v>66</v>
      </c>
      <c r="C3680" s="17" t="s">
        <v>67</v>
      </c>
      <c r="D3680" s="18">
        <v>4.0</v>
      </c>
      <c r="E3680" s="17" t="s">
        <v>22</v>
      </c>
      <c r="F3680" s="15" t="s">
        <v>146</v>
      </c>
      <c r="G3680" s="19">
        <v>9.0042226E7</v>
      </c>
      <c r="H3680" s="15" t="s">
        <v>63</v>
      </c>
      <c r="I3680" s="20" t="s">
        <v>60</v>
      </c>
      <c r="J3680" s="21">
        <v>115026.0</v>
      </c>
      <c r="K3680" s="21">
        <v>0.0</v>
      </c>
    </row>
    <row r="3681">
      <c r="A3681" s="15" t="s">
        <v>74</v>
      </c>
      <c r="B3681" s="16" t="s">
        <v>66</v>
      </c>
      <c r="C3681" s="17" t="s">
        <v>67</v>
      </c>
      <c r="D3681" s="18">
        <v>4.0</v>
      </c>
      <c r="E3681" s="17" t="s">
        <v>22</v>
      </c>
      <c r="F3681" s="15" t="s">
        <v>146</v>
      </c>
      <c r="G3681" s="19">
        <v>9.0042228E7</v>
      </c>
      <c r="H3681" s="15" t="s">
        <v>64</v>
      </c>
      <c r="I3681" s="20" t="s">
        <v>60</v>
      </c>
      <c r="J3681" s="21">
        <v>5.9328981E7</v>
      </c>
      <c r="K3681" s="21">
        <v>0.0</v>
      </c>
    </row>
    <row r="3682">
      <c r="A3682" s="15" t="s">
        <v>74</v>
      </c>
      <c r="B3682" s="16" t="s">
        <v>66</v>
      </c>
      <c r="C3682" s="17" t="s">
        <v>67</v>
      </c>
      <c r="D3682" s="18">
        <v>4.0</v>
      </c>
      <c r="E3682" s="17" t="s">
        <v>22</v>
      </c>
      <c r="F3682" s="15" t="s">
        <v>146</v>
      </c>
      <c r="G3682" s="19">
        <v>9.0042231E7</v>
      </c>
      <c r="H3682" s="15" t="s">
        <v>65</v>
      </c>
      <c r="I3682" s="20" t="s">
        <v>60</v>
      </c>
      <c r="J3682" s="21">
        <v>5.1817846E7</v>
      </c>
      <c r="K3682" s="21">
        <v>0.0</v>
      </c>
    </row>
    <row r="3683">
      <c r="A3683" s="15" t="s">
        <v>74</v>
      </c>
      <c r="B3683" s="16" t="s">
        <v>66</v>
      </c>
      <c r="C3683" s="17" t="s">
        <v>67</v>
      </c>
      <c r="D3683" s="18">
        <v>4.0</v>
      </c>
      <c r="E3683" s="17" t="s">
        <v>22</v>
      </c>
      <c r="F3683" s="15" t="s">
        <v>146</v>
      </c>
      <c r="G3683" s="19">
        <v>9.0042126E7</v>
      </c>
      <c r="H3683" s="15" t="s">
        <v>31</v>
      </c>
      <c r="I3683" s="20" t="s">
        <v>25</v>
      </c>
      <c r="J3683" s="21">
        <v>4.6514271E7</v>
      </c>
      <c r="K3683" s="21">
        <v>0.0</v>
      </c>
    </row>
    <row r="3684">
      <c r="A3684" s="15" t="s">
        <v>74</v>
      </c>
      <c r="B3684" s="16" t="s">
        <v>66</v>
      </c>
      <c r="C3684" s="17" t="s">
        <v>67</v>
      </c>
      <c r="D3684" s="18">
        <v>4.0</v>
      </c>
      <c r="E3684" s="17" t="s">
        <v>22</v>
      </c>
      <c r="F3684" s="15" t="s">
        <v>146</v>
      </c>
      <c r="G3684" s="19">
        <v>9.004212E7</v>
      </c>
      <c r="H3684" s="15" t="s">
        <v>182</v>
      </c>
      <c r="I3684" s="20" t="s">
        <v>25</v>
      </c>
      <c r="J3684" s="21">
        <v>1.12260417E8</v>
      </c>
      <c r="K3684" s="21">
        <v>0.0</v>
      </c>
    </row>
    <row r="3685">
      <c r="A3685" s="15" t="s">
        <v>74</v>
      </c>
      <c r="B3685" s="16" t="s">
        <v>66</v>
      </c>
      <c r="C3685" s="17" t="s">
        <v>67</v>
      </c>
      <c r="D3685" s="18">
        <v>4.0</v>
      </c>
      <c r="E3685" s="24">
        <v>46069.0</v>
      </c>
      <c r="F3685" s="15" t="s">
        <v>217</v>
      </c>
      <c r="G3685" s="19">
        <v>9.0043001E7</v>
      </c>
      <c r="H3685" s="15" t="s">
        <v>18</v>
      </c>
      <c r="I3685" s="20" t="s">
        <v>19</v>
      </c>
      <c r="J3685" s="21">
        <v>863500.0</v>
      </c>
      <c r="K3685" s="21">
        <v>5.0</v>
      </c>
    </row>
    <row r="3686">
      <c r="A3686" s="15" t="s">
        <v>11</v>
      </c>
      <c r="B3686" s="16" t="s">
        <v>12</v>
      </c>
      <c r="C3686" s="17" t="s">
        <v>13</v>
      </c>
      <c r="D3686" s="18">
        <v>5.0</v>
      </c>
      <c r="E3686" s="17" t="s">
        <v>14</v>
      </c>
      <c r="F3686" s="15" t="s">
        <v>15</v>
      </c>
      <c r="G3686" s="19">
        <v>5.1101056E7</v>
      </c>
      <c r="H3686" s="15" t="s">
        <v>16</v>
      </c>
      <c r="I3686" s="20" t="s">
        <v>17</v>
      </c>
      <c r="J3686" s="21">
        <v>1309000.0</v>
      </c>
      <c r="K3686" s="21">
        <v>187.0</v>
      </c>
    </row>
    <row r="3687">
      <c r="A3687" s="15" t="s">
        <v>11</v>
      </c>
      <c r="B3687" s="16" t="s">
        <v>12</v>
      </c>
      <c r="C3687" s="17" t="s">
        <v>13</v>
      </c>
      <c r="D3687" s="18">
        <v>5.0</v>
      </c>
      <c r="E3687" s="17" t="s">
        <v>14</v>
      </c>
      <c r="F3687" s="15" t="s">
        <v>15</v>
      </c>
      <c r="G3687" s="19">
        <v>9.0043001E7</v>
      </c>
      <c r="H3687" s="15" t="s">
        <v>18</v>
      </c>
      <c r="I3687" s="20" t="s">
        <v>19</v>
      </c>
      <c r="J3687" s="21">
        <v>1.0586796E7</v>
      </c>
      <c r="K3687" s="21">
        <v>44.0</v>
      </c>
    </row>
    <row r="3688">
      <c r="A3688" s="15" t="s">
        <v>11</v>
      </c>
      <c r="B3688" s="16" t="s">
        <v>12</v>
      </c>
      <c r="C3688" s="17" t="s">
        <v>13</v>
      </c>
      <c r="D3688" s="18">
        <v>5.0</v>
      </c>
      <c r="E3688" s="17" t="s">
        <v>20</v>
      </c>
      <c r="F3688" s="15"/>
      <c r="G3688" s="19">
        <v>9.0042014E7</v>
      </c>
      <c r="H3688" s="15" t="s">
        <v>21</v>
      </c>
      <c r="I3688" s="20" t="s">
        <v>19</v>
      </c>
      <c r="J3688" s="21">
        <v>5.6161062E7</v>
      </c>
      <c r="K3688" s="21">
        <v>0.0</v>
      </c>
    </row>
    <row r="3689">
      <c r="A3689" s="15" t="s">
        <v>11</v>
      </c>
      <c r="B3689" s="16" t="s">
        <v>12</v>
      </c>
      <c r="C3689" s="17" t="s">
        <v>13</v>
      </c>
      <c r="D3689" s="18">
        <v>5.0</v>
      </c>
      <c r="E3689" s="17" t="s">
        <v>22</v>
      </c>
      <c r="F3689" s="15"/>
      <c r="G3689" s="19">
        <v>9.0042012E7</v>
      </c>
      <c r="H3689" s="15" t="s">
        <v>23</v>
      </c>
      <c r="I3689" s="20" t="s">
        <v>19</v>
      </c>
      <c r="J3689" s="21">
        <v>2.4059534E7</v>
      </c>
      <c r="K3689" s="21">
        <v>0.0</v>
      </c>
    </row>
    <row r="3690">
      <c r="A3690" s="15" t="s">
        <v>11</v>
      </c>
      <c r="B3690" s="16" t="s">
        <v>12</v>
      </c>
      <c r="C3690" s="17" t="s">
        <v>13</v>
      </c>
      <c r="D3690" s="18">
        <v>5.0</v>
      </c>
      <c r="E3690" s="17" t="s">
        <v>22</v>
      </c>
      <c r="F3690" s="15"/>
      <c r="G3690" s="19">
        <v>9.0042121E7</v>
      </c>
      <c r="H3690" s="15" t="s">
        <v>24</v>
      </c>
      <c r="I3690" s="20" t="s">
        <v>25</v>
      </c>
      <c r="J3690" s="21">
        <v>7.4621074E7</v>
      </c>
      <c r="K3690" s="21">
        <v>0.0</v>
      </c>
    </row>
    <row r="3691">
      <c r="A3691" s="15" t="s">
        <v>11</v>
      </c>
      <c r="B3691" s="16" t="s">
        <v>12</v>
      </c>
      <c r="C3691" s="17" t="s">
        <v>13</v>
      </c>
      <c r="D3691" s="18">
        <v>5.0</v>
      </c>
      <c r="E3691" s="17" t="s">
        <v>22</v>
      </c>
      <c r="F3691" s="15"/>
      <c r="G3691" s="19">
        <v>9.0042125E7</v>
      </c>
      <c r="H3691" s="15" t="s">
        <v>26</v>
      </c>
      <c r="I3691" s="20" t="s">
        <v>25</v>
      </c>
      <c r="J3691" s="21">
        <v>1.6895706E7</v>
      </c>
      <c r="K3691" s="21">
        <v>0.0</v>
      </c>
    </row>
    <row r="3692">
      <c r="A3692" s="15" t="s">
        <v>11</v>
      </c>
      <c r="B3692" s="16" t="s">
        <v>12</v>
      </c>
      <c r="C3692" s="17" t="s">
        <v>13</v>
      </c>
      <c r="D3692" s="18">
        <v>5.0</v>
      </c>
      <c r="E3692" s="17" t="s">
        <v>22</v>
      </c>
      <c r="F3692" s="15"/>
      <c r="G3692" s="19">
        <v>9.0042133E7</v>
      </c>
      <c r="H3692" s="15" t="s">
        <v>211</v>
      </c>
      <c r="I3692" s="20" t="s">
        <v>25</v>
      </c>
      <c r="J3692" s="21">
        <v>245000.0</v>
      </c>
      <c r="K3692" s="21">
        <v>0.0</v>
      </c>
    </row>
    <row r="3693">
      <c r="A3693" s="15" t="s">
        <v>11</v>
      </c>
      <c r="B3693" s="16" t="s">
        <v>12</v>
      </c>
      <c r="C3693" s="17" t="s">
        <v>13</v>
      </c>
      <c r="D3693" s="18">
        <v>5.0</v>
      </c>
      <c r="E3693" s="17" t="s">
        <v>22</v>
      </c>
      <c r="F3693" s="15"/>
      <c r="G3693" s="19">
        <v>9.0042134E7</v>
      </c>
      <c r="H3693" s="15" t="s">
        <v>29</v>
      </c>
      <c r="I3693" s="20" t="s">
        <v>25</v>
      </c>
      <c r="J3693" s="21">
        <v>700000.0</v>
      </c>
      <c r="K3693" s="21">
        <v>0.0</v>
      </c>
    </row>
    <row r="3694">
      <c r="A3694" s="15" t="s">
        <v>11</v>
      </c>
      <c r="B3694" s="16" t="s">
        <v>12</v>
      </c>
      <c r="C3694" s="17" t="s">
        <v>13</v>
      </c>
      <c r="D3694" s="18">
        <v>5.0</v>
      </c>
      <c r="E3694" s="17" t="s">
        <v>22</v>
      </c>
      <c r="F3694" s="15"/>
      <c r="G3694" s="19">
        <v>9.0042135E7</v>
      </c>
      <c r="H3694" s="15" t="s">
        <v>30</v>
      </c>
      <c r="I3694" s="20" t="s">
        <v>25</v>
      </c>
      <c r="J3694" s="21">
        <v>7003155.0</v>
      </c>
      <c r="K3694" s="21">
        <v>0.0</v>
      </c>
    </row>
    <row r="3695">
      <c r="A3695" s="15" t="s">
        <v>11</v>
      </c>
      <c r="B3695" s="16" t="s">
        <v>12</v>
      </c>
      <c r="C3695" s="17" t="s">
        <v>13</v>
      </c>
      <c r="D3695" s="18">
        <v>5.0</v>
      </c>
      <c r="E3695" s="17" t="s">
        <v>22</v>
      </c>
      <c r="F3695" s="15"/>
      <c r="G3695" s="19">
        <v>9.0042201E7</v>
      </c>
      <c r="H3695" s="15" t="s">
        <v>59</v>
      </c>
      <c r="I3695" s="20" t="s">
        <v>60</v>
      </c>
      <c r="J3695" s="21">
        <v>1.53430139E8</v>
      </c>
      <c r="K3695" s="21">
        <v>0.0</v>
      </c>
    </row>
    <row r="3696">
      <c r="A3696" s="15" t="s">
        <v>11</v>
      </c>
      <c r="B3696" s="16" t="s">
        <v>32</v>
      </c>
      <c r="C3696" s="17" t="s">
        <v>33</v>
      </c>
      <c r="D3696" s="18">
        <v>5.0</v>
      </c>
      <c r="E3696" s="17" t="s">
        <v>34</v>
      </c>
      <c r="F3696" s="15" t="s">
        <v>35</v>
      </c>
      <c r="G3696" s="19">
        <v>5.1100058E7</v>
      </c>
      <c r="H3696" s="15" t="s">
        <v>36</v>
      </c>
      <c r="I3696" s="20" t="s">
        <v>37</v>
      </c>
      <c r="J3696" s="21">
        <v>2.0506408E7</v>
      </c>
      <c r="K3696" s="21">
        <v>309.435</v>
      </c>
    </row>
    <row r="3697">
      <c r="A3697" s="15" t="s">
        <v>11</v>
      </c>
      <c r="B3697" s="16" t="s">
        <v>32</v>
      </c>
      <c r="C3697" s="17" t="s">
        <v>33</v>
      </c>
      <c r="D3697" s="18">
        <v>5.0</v>
      </c>
      <c r="E3697" s="17" t="s">
        <v>34</v>
      </c>
      <c r="F3697" s="15" t="s">
        <v>35</v>
      </c>
      <c r="G3697" s="19">
        <v>5.1100774E7</v>
      </c>
      <c r="H3697" s="15" t="s">
        <v>39</v>
      </c>
      <c r="I3697" s="20" t="s">
        <v>17</v>
      </c>
      <c r="J3697" s="21">
        <v>2.6631E7</v>
      </c>
      <c r="K3697" s="21">
        <v>403.5</v>
      </c>
    </row>
    <row r="3698">
      <c r="A3698" s="15" t="s">
        <v>11</v>
      </c>
      <c r="B3698" s="16" t="s">
        <v>32</v>
      </c>
      <c r="C3698" s="17" t="s">
        <v>33</v>
      </c>
      <c r="D3698" s="18">
        <v>5.0</v>
      </c>
      <c r="E3698" s="17" t="s">
        <v>40</v>
      </c>
      <c r="F3698" s="15" t="s">
        <v>41</v>
      </c>
      <c r="G3698" s="19">
        <v>5.1100061E7</v>
      </c>
      <c r="H3698" s="15" t="s">
        <v>42</v>
      </c>
      <c r="I3698" s="20" t="s">
        <v>37</v>
      </c>
      <c r="J3698" s="21">
        <v>2943589.0</v>
      </c>
      <c r="K3698" s="21">
        <v>136.0</v>
      </c>
    </row>
    <row r="3699">
      <c r="A3699" s="15" t="s">
        <v>11</v>
      </c>
      <c r="B3699" s="16" t="s">
        <v>32</v>
      </c>
      <c r="C3699" s="17" t="s">
        <v>33</v>
      </c>
      <c r="D3699" s="18">
        <v>5.0</v>
      </c>
      <c r="E3699" s="17" t="s">
        <v>43</v>
      </c>
      <c r="F3699" s="15" t="s">
        <v>44</v>
      </c>
      <c r="G3699" s="19">
        <v>5.1101056E7</v>
      </c>
      <c r="H3699" s="15" t="s">
        <v>16</v>
      </c>
      <c r="I3699" s="20" t="s">
        <v>17</v>
      </c>
      <c r="J3699" s="21">
        <v>2.07402E8</v>
      </c>
      <c r="K3699" s="21">
        <v>38206.0</v>
      </c>
    </row>
    <row r="3700">
      <c r="A3700" s="15" t="s">
        <v>11</v>
      </c>
      <c r="B3700" s="16" t="s">
        <v>32</v>
      </c>
      <c r="C3700" s="17" t="s">
        <v>33</v>
      </c>
      <c r="D3700" s="18">
        <v>5.0</v>
      </c>
      <c r="E3700" s="17" t="s">
        <v>43</v>
      </c>
      <c r="F3700" s="15" t="s">
        <v>44</v>
      </c>
      <c r="G3700" s="19">
        <v>9.0043001E7</v>
      </c>
      <c r="H3700" s="15" t="s">
        <v>18</v>
      </c>
      <c r="I3700" s="20" t="s">
        <v>19</v>
      </c>
      <c r="J3700" s="21">
        <v>1.5120697E7</v>
      </c>
      <c r="K3700" s="21">
        <v>78.0</v>
      </c>
    </row>
    <row r="3701">
      <c r="A3701" s="15" t="s">
        <v>11</v>
      </c>
      <c r="B3701" s="16" t="s">
        <v>32</v>
      </c>
      <c r="C3701" s="17" t="s">
        <v>33</v>
      </c>
      <c r="D3701" s="18">
        <v>5.0</v>
      </c>
      <c r="E3701" s="17" t="s">
        <v>14</v>
      </c>
      <c r="F3701" s="15" t="s">
        <v>15</v>
      </c>
      <c r="G3701" s="19">
        <v>5.1101056E7</v>
      </c>
      <c r="H3701" s="15" t="s">
        <v>16</v>
      </c>
      <c r="I3701" s="20" t="s">
        <v>17</v>
      </c>
      <c r="J3701" s="21">
        <v>1.0173E7</v>
      </c>
      <c r="K3701" s="21">
        <v>1423.0</v>
      </c>
    </row>
    <row r="3702">
      <c r="A3702" s="15" t="s">
        <v>11</v>
      </c>
      <c r="B3702" s="16" t="s">
        <v>32</v>
      </c>
      <c r="C3702" s="17" t="s">
        <v>33</v>
      </c>
      <c r="D3702" s="18">
        <v>5.0</v>
      </c>
      <c r="E3702" s="17" t="s">
        <v>45</v>
      </c>
      <c r="F3702" s="15" t="s">
        <v>46</v>
      </c>
      <c r="G3702" s="19">
        <v>5.1101056E7</v>
      </c>
      <c r="H3702" s="15" t="s">
        <v>16</v>
      </c>
      <c r="I3702" s="20" t="s">
        <v>17</v>
      </c>
      <c r="J3702" s="21">
        <v>9161852.0</v>
      </c>
      <c r="K3702" s="21">
        <v>9515.0</v>
      </c>
    </row>
    <row r="3703">
      <c r="A3703" s="15" t="s">
        <v>11</v>
      </c>
      <c r="B3703" s="16" t="s">
        <v>32</v>
      </c>
      <c r="C3703" s="17" t="s">
        <v>33</v>
      </c>
      <c r="D3703" s="18">
        <v>5.0</v>
      </c>
      <c r="E3703" s="17" t="s">
        <v>45</v>
      </c>
      <c r="F3703" s="15" t="s">
        <v>46</v>
      </c>
      <c r="G3703" s="19">
        <v>9.0043001E7</v>
      </c>
      <c r="H3703" s="15" t="s">
        <v>18</v>
      </c>
      <c r="I3703" s="20" t="s">
        <v>19</v>
      </c>
      <c r="J3703" s="21">
        <v>6849316.0</v>
      </c>
      <c r="K3703" s="21">
        <v>35.0</v>
      </c>
    </row>
    <row r="3704">
      <c r="A3704" s="15" t="s">
        <v>11</v>
      </c>
      <c r="B3704" s="16" t="s">
        <v>32</v>
      </c>
      <c r="C3704" s="17" t="s">
        <v>33</v>
      </c>
      <c r="D3704" s="18">
        <v>5.0</v>
      </c>
      <c r="E3704" s="17" t="s">
        <v>47</v>
      </c>
      <c r="F3704" s="15" t="s">
        <v>48</v>
      </c>
      <c r="G3704" s="19">
        <v>9.0043002E7</v>
      </c>
      <c r="H3704" s="15" t="s">
        <v>49</v>
      </c>
      <c r="I3704" s="20" t="s">
        <v>50</v>
      </c>
      <c r="J3704" s="21">
        <v>3.0312085E7</v>
      </c>
      <c r="K3704" s="21">
        <v>2170.0</v>
      </c>
    </row>
    <row r="3705">
      <c r="A3705" s="15" t="s">
        <v>11</v>
      </c>
      <c r="B3705" s="16" t="s">
        <v>32</v>
      </c>
      <c r="C3705" s="17" t="s">
        <v>33</v>
      </c>
      <c r="D3705" s="18">
        <v>5.0</v>
      </c>
      <c r="E3705" s="17" t="s">
        <v>54</v>
      </c>
      <c r="F3705" s="15"/>
      <c r="G3705" s="19">
        <v>9.0042011E7</v>
      </c>
      <c r="H3705" s="15" t="s">
        <v>55</v>
      </c>
      <c r="I3705" s="20" t="s">
        <v>19</v>
      </c>
      <c r="J3705" s="21">
        <v>3.1997642E7</v>
      </c>
      <c r="K3705" s="21">
        <v>0.0</v>
      </c>
    </row>
    <row r="3706">
      <c r="A3706" s="15" t="s">
        <v>11</v>
      </c>
      <c r="B3706" s="16" t="s">
        <v>32</v>
      </c>
      <c r="C3706" s="17" t="s">
        <v>33</v>
      </c>
      <c r="D3706" s="18">
        <v>5.0</v>
      </c>
      <c r="E3706" s="17" t="s">
        <v>20</v>
      </c>
      <c r="F3706" s="15"/>
      <c r="G3706" s="19">
        <v>9.0042014E7</v>
      </c>
      <c r="H3706" s="15" t="s">
        <v>21</v>
      </c>
      <c r="I3706" s="20" t="s">
        <v>19</v>
      </c>
      <c r="J3706" s="21">
        <v>1.72822714E8</v>
      </c>
      <c r="K3706" s="21">
        <v>0.0</v>
      </c>
    </row>
    <row r="3707">
      <c r="A3707" s="15" t="s">
        <v>11</v>
      </c>
      <c r="B3707" s="16" t="s">
        <v>32</v>
      </c>
      <c r="C3707" s="17" t="s">
        <v>33</v>
      </c>
      <c r="D3707" s="18">
        <v>5.0</v>
      </c>
      <c r="E3707" s="17" t="s">
        <v>22</v>
      </c>
      <c r="F3707" s="15"/>
      <c r="G3707" s="19">
        <v>9.0042012E7</v>
      </c>
      <c r="H3707" s="15" t="s">
        <v>23</v>
      </c>
      <c r="I3707" s="20" t="s">
        <v>19</v>
      </c>
      <c r="J3707" s="21">
        <v>1.05921179E8</v>
      </c>
      <c r="K3707" s="21">
        <v>0.0</v>
      </c>
    </row>
    <row r="3708">
      <c r="A3708" s="15" t="s">
        <v>11</v>
      </c>
      <c r="B3708" s="16" t="s">
        <v>32</v>
      </c>
      <c r="C3708" s="17" t="s">
        <v>33</v>
      </c>
      <c r="D3708" s="18">
        <v>5.0</v>
      </c>
      <c r="E3708" s="17" t="s">
        <v>22</v>
      </c>
      <c r="F3708" s="15"/>
      <c r="G3708" s="19">
        <v>9.0042121E7</v>
      </c>
      <c r="H3708" s="15" t="s">
        <v>24</v>
      </c>
      <c r="I3708" s="20" t="s">
        <v>25</v>
      </c>
      <c r="J3708" s="21">
        <v>9.1100501E7</v>
      </c>
      <c r="K3708" s="21">
        <v>0.0</v>
      </c>
    </row>
    <row r="3709">
      <c r="A3709" s="15" t="s">
        <v>11</v>
      </c>
      <c r="B3709" s="16" t="s">
        <v>32</v>
      </c>
      <c r="C3709" s="17" t="s">
        <v>33</v>
      </c>
      <c r="D3709" s="18">
        <v>5.0</v>
      </c>
      <c r="E3709" s="17" t="s">
        <v>22</v>
      </c>
      <c r="F3709" s="15"/>
      <c r="G3709" s="19">
        <v>9.0042122E7</v>
      </c>
      <c r="H3709" s="15" t="s">
        <v>56</v>
      </c>
      <c r="I3709" s="20" t="s">
        <v>25</v>
      </c>
      <c r="J3709" s="21">
        <v>2058988.0</v>
      </c>
      <c r="K3709" s="21">
        <v>0.0</v>
      </c>
    </row>
    <row r="3710">
      <c r="A3710" s="15" t="s">
        <v>11</v>
      </c>
      <c r="B3710" s="16" t="s">
        <v>32</v>
      </c>
      <c r="C3710" s="17" t="s">
        <v>33</v>
      </c>
      <c r="D3710" s="18">
        <v>5.0</v>
      </c>
      <c r="E3710" s="17" t="s">
        <v>22</v>
      </c>
      <c r="F3710" s="15"/>
      <c r="G3710" s="19">
        <v>9.0042124E7</v>
      </c>
      <c r="H3710" s="15" t="s">
        <v>57</v>
      </c>
      <c r="I3710" s="20" t="s">
        <v>25</v>
      </c>
      <c r="J3710" s="21">
        <v>1.1492E7</v>
      </c>
      <c r="K3710" s="21">
        <v>0.0</v>
      </c>
    </row>
    <row r="3711">
      <c r="A3711" s="15" t="s">
        <v>11</v>
      </c>
      <c r="B3711" s="16" t="s">
        <v>32</v>
      </c>
      <c r="C3711" s="17" t="s">
        <v>33</v>
      </c>
      <c r="D3711" s="18">
        <v>5.0</v>
      </c>
      <c r="E3711" s="17" t="s">
        <v>22</v>
      </c>
      <c r="F3711" s="15"/>
      <c r="G3711" s="19">
        <v>9.0042125E7</v>
      </c>
      <c r="H3711" s="15" t="s">
        <v>26</v>
      </c>
      <c r="I3711" s="20" t="s">
        <v>25</v>
      </c>
      <c r="J3711" s="21">
        <v>7.4631627E7</v>
      </c>
      <c r="K3711" s="21">
        <v>0.0</v>
      </c>
    </row>
    <row r="3712">
      <c r="A3712" s="15" t="s">
        <v>11</v>
      </c>
      <c r="B3712" s="16" t="s">
        <v>32</v>
      </c>
      <c r="C3712" s="17" t="s">
        <v>33</v>
      </c>
      <c r="D3712" s="18">
        <v>5.0</v>
      </c>
      <c r="E3712" s="17" t="s">
        <v>22</v>
      </c>
      <c r="F3712" s="15"/>
      <c r="G3712" s="19">
        <v>9.0042127E7</v>
      </c>
      <c r="H3712" s="15" t="s">
        <v>27</v>
      </c>
      <c r="I3712" s="20" t="s">
        <v>25</v>
      </c>
      <c r="J3712" s="21">
        <v>1.7108848E7</v>
      </c>
      <c r="K3712" s="21">
        <v>0.0</v>
      </c>
    </row>
    <row r="3713">
      <c r="A3713" s="15" t="s">
        <v>11</v>
      </c>
      <c r="B3713" s="16" t="s">
        <v>32</v>
      </c>
      <c r="C3713" s="17" t="s">
        <v>33</v>
      </c>
      <c r="D3713" s="18">
        <v>5.0</v>
      </c>
      <c r="E3713" s="17" t="s">
        <v>22</v>
      </c>
      <c r="F3713" s="15"/>
      <c r="G3713" s="19">
        <v>9.0042128E7</v>
      </c>
      <c r="H3713" s="15" t="s">
        <v>58</v>
      </c>
      <c r="I3713" s="20" t="s">
        <v>25</v>
      </c>
      <c r="J3713" s="21">
        <v>1050700.0</v>
      </c>
      <c r="K3713" s="21">
        <v>0.0</v>
      </c>
    </row>
    <row r="3714">
      <c r="A3714" s="15" t="s">
        <v>11</v>
      </c>
      <c r="B3714" s="16" t="s">
        <v>32</v>
      </c>
      <c r="C3714" s="17" t="s">
        <v>33</v>
      </c>
      <c r="D3714" s="18">
        <v>5.0</v>
      </c>
      <c r="E3714" s="17" t="s">
        <v>22</v>
      </c>
      <c r="F3714" s="15"/>
      <c r="G3714" s="19">
        <v>9.0042135E7</v>
      </c>
      <c r="H3714" s="15" t="s">
        <v>30</v>
      </c>
      <c r="I3714" s="20" t="s">
        <v>25</v>
      </c>
      <c r="J3714" s="21">
        <v>8.5750216E7</v>
      </c>
      <c r="K3714" s="21">
        <v>0.0</v>
      </c>
    </row>
    <row r="3715">
      <c r="A3715" s="15" t="s">
        <v>11</v>
      </c>
      <c r="B3715" s="16" t="s">
        <v>32</v>
      </c>
      <c r="C3715" s="17" t="s">
        <v>33</v>
      </c>
      <c r="D3715" s="18">
        <v>5.0</v>
      </c>
      <c r="E3715" s="17" t="s">
        <v>22</v>
      </c>
      <c r="F3715" s="15"/>
      <c r="G3715" s="19">
        <v>9.0042201E7</v>
      </c>
      <c r="H3715" s="15" t="s">
        <v>59</v>
      </c>
      <c r="I3715" s="20" t="s">
        <v>60</v>
      </c>
      <c r="J3715" s="21">
        <v>2.11541937E8</v>
      </c>
      <c r="K3715" s="21">
        <v>0.0</v>
      </c>
    </row>
    <row r="3716">
      <c r="A3716" s="15" t="s">
        <v>11</v>
      </c>
      <c r="B3716" s="16" t="s">
        <v>32</v>
      </c>
      <c r="C3716" s="17" t="s">
        <v>33</v>
      </c>
      <c r="D3716" s="18">
        <v>5.0</v>
      </c>
      <c r="E3716" s="17" t="s">
        <v>22</v>
      </c>
      <c r="F3716" s="15"/>
      <c r="G3716" s="19">
        <v>9.0042223E7</v>
      </c>
      <c r="H3716" s="15" t="s">
        <v>61</v>
      </c>
      <c r="I3716" s="20" t="s">
        <v>60</v>
      </c>
      <c r="J3716" s="21">
        <v>2.0819374E7</v>
      </c>
      <c r="K3716" s="21">
        <v>0.0</v>
      </c>
    </row>
    <row r="3717">
      <c r="A3717" s="15" t="s">
        <v>11</v>
      </c>
      <c r="B3717" s="16" t="s">
        <v>32</v>
      </c>
      <c r="C3717" s="17" t="s">
        <v>33</v>
      </c>
      <c r="D3717" s="18">
        <v>5.0</v>
      </c>
      <c r="E3717" s="17" t="s">
        <v>22</v>
      </c>
      <c r="F3717" s="15"/>
      <c r="G3717" s="19">
        <v>9.0042224E7</v>
      </c>
      <c r="H3717" s="15" t="s">
        <v>62</v>
      </c>
      <c r="I3717" s="20" t="s">
        <v>60</v>
      </c>
      <c r="J3717" s="21">
        <v>1773341.0</v>
      </c>
      <c r="K3717" s="21">
        <v>0.0</v>
      </c>
    </row>
    <row r="3718">
      <c r="A3718" s="15" t="s">
        <v>11</v>
      </c>
      <c r="B3718" s="16" t="s">
        <v>32</v>
      </c>
      <c r="C3718" s="17" t="s">
        <v>33</v>
      </c>
      <c r="D3718" s="18">
        <v>5.0</v>
      </c>
      <c r="E3718" s="17" t="s">
        <v>22</v>
      </c>
      <c r="F3718" s="15"/>
      <c r="G3718" s="19">
        <v>9.0042226E7</v>
      </c>
      <c r="H3718" s="15" t="s">
        <v>63</v>
      </c>
      <c r="I3718" s="20" t="s">
        <v>60</v>
      </c>
      <c r="J3718" s="21">
        <v>133334.0</v>
      </c>
      <c r="K3718" s="21">
        <v>0.0</v>
      </c>
    </row>
    <row r="3719">
      <c r="A3719" s="15" t="s">
        <v>11</v>
      </c>
      <c r="B3719" s="16" t="s">
        <v>32</v>
      </c>
      <c r="C3719" s="17" t="s">
        <v>33</v>
      </c>
      <c r="D3719" s="18">
        <v>5.0</v>
      </c>
      <c r="E3719" s="17" t="s">
        <v>22</v>
      </c>
      <c r="F3719" s="15"/>
      <c r="G3719" s="19">
        <v>9.0042228E7</v>
      </c>
      <c r="H3719" s="15" t="s">
        <v>64</v>
      </c>
      <c r="I3719" s="20" t="s">
        <v>60</v>
      </c>
      <c r="J3719" s="21">
        <v>5.1768825E7</v>
      </c>
      <c r="K3719" s="21">
        <v>0.0</v>
      </c>
    </row>
    <row r="3720">
      <c r="A3720" s="15" t="s">
        <v>11</v>
      </c>
      <c r="B3720" s="16" t="s">
        <v>32</v>
      </c>
      <c r="C3720" s="17" t="s">
        <v>33</v>
      </c>
      <c r="D3720" s="18">
        <v>5.0</v>
      </c>
      <c r="E3720" s="17" t="s">
        <v>22</v>
      </c>
      <c r="F3720" s="15"/>
      <c r="G3720" s="19">
        <v>9.0042231E7</v>
      </c>
      <c r="H3720" s="15" t="s">
        <v>65</v>
      </c>
      <c r="I3720" s="20" t="s">
        <v>60</v>
      </c>
      <c r="J3720" s="21">
        <v>3931591.0</v>
      </c>
      <c r="K3720" s="21">
        <v>0.0</v>
      </c>
    </row>
    <row r="3721">
      <c r="A3721" s="15" t="s">
        <v>11</v>
      </c>
      <c r="B3721" s="16" t="s">
        <v>32</v>
      </c>
      <c r="C3721" s="17" t="s">
        <v>33</v>
      </c>
      <c r="D3721" s="18">
        <v>5.0</v>
      </c>
      <c r="E3721" s="17" t="s">
        <v>22</v>
      </c>
      <c r="F3721" s="15"/>
      <c r="G3721" s="19">
        <v>9.0042126E7</v>
      </c>
      <c r="H3721" s="15" t="s">
        <v>31</v>
      </c>
      <c r="I3721" s="20" t="s">
        <v>25</v>
      </c>
      <c r="J3721" s="21">
        <v>2.830605E7</v>
      </c>
      <c r="K3721" s="21">
        <v>0.0</v>
      </c>
    </row>
    <row r="3722">
      <c r="A3722" s="15" t="s">
        <v>11</v>
      </c>
      <c r="B3722" s="16" t="s">
        <v>32</v>
      </c>
      <c r="C3722" s="17" t="s">
        <v>33</v>
      </c>
      <c r="D3722" s="18">
        <v>5.0</v>
      </c>
      <c r="E3722" s="17" t="s">
        <v>22</v>
      </c>
      <c r="F3722" s="15"/>
      <c r="G3722" s="19">
        <v>9.004212E7</v>
      </c>
      <c r="H3722" s="15" t="s">
        <v>182</v>
      </c>
      <c r="I3722" s="20" t="s">
        <v>25</v>
      </c>
      <c r="J3722" s="21">
        <v>7.4115892E7</v>
      </c>
      <c r="K3722" s="21">
        <v>0.0</v>
      </c>
    </row>
    <row r="3723">
      <c r="A3723" s="15" t="s">
        <v>11</v>
      </c>
      <c r="B3723" s="16" t="s">
        <v>32</v>
      </c>
      <c r="C3723" s="17" t="s">
        <v>33</v>
      </c>
      <c r="D3723" s="18">
        <v>5.0</v>
      </c>
      <c r="E3723" s="17" t="s">
        <v>267</v>
      </c>
      <c r="F3723" s="15" t="s">
        <v>268</v>
      </c>
      <c r="G3723" s="19">
        <v>5.1100774E7</v>
      </c>
      <c r="H3723" s="15" t="s">
        <v>39</v>
      </c>
      <c r="I3723" s="20" t="s">
        <v>17</v>
      </c>
      <c r="J3723" s="21">
        <v>3.472E7</v>
      </c>
      <c r="K3723" s="21">
        <v>77.5</v>
      </c>
    </row>
    <row r="3724">
      <c r="A3724" s="15" t="s">
        <v>11</v>
      </c>
      <c r="B3724" s="16" t="s">
        <v>66</v>
      </c>
      <c r="C3724" s="17" t="s">
        <v>67</v>
      </c>
      <c r="D3724" s="18">
        <v>5.0</v>
      </c>
      <c r="E3724" s="17" t="s">
        <v>68</v>
      </c>
      <c r="F3724" s="15" t="s">
        <v>69</v>
      </c>
      <c r="G3724" s="19">
        <v>5.1101056E7</v>
      </c>
      <c r="H3724" s="15" t="s">
        <v>16</v>
      </c>
      <c r="I3724" s="20" t="s">
        <v>17</v>
      </c>
      <c r="J3724" s="21">
        <v>1928688.0</v>
      </c>
      <c r="K3724" s="21">
        <v>138.0</v>
      </c>
    </row>
    <row r="3725">
      <c r="A3725" s="15" t="s">
        <v>11</v>
      </c>
      <c r="B3725" s="16" t="s">
        <v>66</v>
      </c>
      <c r="C3725" s="17" t="s">
        <v>67</v>
      </c>
      <c r="D3725" s="18">
        <v>5.0</v>
      </c>
      <c r="E3725" s="17" t="s">
        <v>70</v>
      </c>
      <c r="F3725" s="15" t="s">
        <v>71</v>
      </c>
      <c r="G3725" s="19">
        <v>5.1100153E7</v>
      </c>
      <c r="H3725" s="15" t="s">
        <v>72</v>
      </c>
      <c r="I3725" s="20" t="s">
        <v>17</v>
      </c>
      <c r="J3725" s="21">
        <v>257400.0</v>
      </c>
      <c r="K3725" s="21">
        <v>429.0</v>
      </c>
    </row>
    <row r="3726">
      <c r="A3726" s="15" t="s">
        <v>11</v>
      </c>
      <c r="B3726" s="16" t="s">
        <v>66</v>
      </c>
      <c r="C3726" s="17" t="s">
        <v>67</v>
      </c>
      <c r="D3726" s="18">
        <v>5.0</v>
      </c>
      <c r="E3726" s="17" t="s">
        <v>22</v>
      </c>
      <c r="F3726" s="15"/>
      <c r="G3726" s="19">
        <v>9.00422E7</v>
      </c>
      <c r="H3726" s="15" t="s">
        <v>73</v>
      </c>
      <c r="I3726" s="20" t="s">
        <v>60</v>
      </c>
      <c r="J3726" s="21">
        <v>4.8415132E7</v>
      </c>
      <c r="K3726" s="21">
        <v>0.0</v>
      </c>
    </row>
    <row r="3727">
      <c r="A3727" s="15" t="s">
        <v>11</v>
      </c>
      <c r="B3727" s="16" t="s">
        <v>66</v>
      </c>
      <c r="C3727" s="17" t="s">
        <v>67</v>
      </c>
      <c r="D3727" s="18">
        <v>5.0</v>
      </c>
      <c r="E3727" s="17" t="s">
        <v>22</v>
      </c>
      <c r="F3727" s="15"/>
      <c r="G3727" s="19">
        <v>9.0042223E7</v>
      </c>
      <c r="H3727" s="15" t="s">
        <v>61</v>
      </c>
      <c r="I3727" s="20" t="s">
        <v>60</v>
      </c>
      <c r="J3727" s="21">
        <v>4116794.0</v>
      </c>
      <c r="K3727" s="21">
        <v>0.0</v>
      </c>
    </row>
    <row r="3728">
      <c r="A3728" s="15" t="s">
        <v>11</v>
      </c>
      <c r="B3728" s="16" t="s">
        <v>66</v>
      </c>
      <c r="C3728" s="17" t="s">
        <v>67</v>
      </c>
      <c r="D3728" s="18">
        <v>5.0</v>
      </c>
      <c r="E3728" s="17" t="s">
        <v>22</v>
      </c>
      <c r="F3728" s="15"/>
      <c r="G3728" s="19">
        <v>9.0042224E7</v>
      </c>
      <c r="H3728" s="15" t="s">
        <v>62</v>
      </c>
      <c r="I3728" s="20" t="s">
        <v>60</v>
      </c>
      <c r="J3728" s="21">
        <v>649062.0</v>
      </c>
      <c r="K3728" s="21">
        <v>0.0</v>
      </c>
    </row>
    <row r="3729">
      <c r="A3729" s="15" t="s">
        <v>11</v>
      </c>
      <c r="B3729" s="16" t="s">
        <v>66</v>
      </c>
      <c r="C3729" s="17" t="s">
        <v>67</v>
      </c>
      <c r="D3729" s="18">
        <v>5.0</v>
      </c>
      <c r="E3729" s="17" t="s">
        <v>22</v>
      </c>
      <c r="F3729" s="15"/>
      <c r="G3729" s="19">
        <v>9.0042226E7</v>
      </c>
      <c r="H3729" s="15" t="s">
        <v>63</v>
      </c>
      <c r="I3729" s="20" t="s">
        <v>60</v>
      </c>
      <c r="J3729" s="21">
        <v>18307.0</v>
      </c>
      <c r="K3729" s="21">
        <v>0.0</v>
      </c>
    </row>
    <row r="3730">
      <c r="A3730" s="15" t="s">
        <v>11</v>
      </c>
      <c r="B3730" s="16" t="s">
        <v>66</v>
      </c>
      <c r="C3730" s="17" t="s">
        <v>67</v>
      </c>
      <c r="D3730" s="18">
        <v>5.0</v>
      </c>
      <c r="E3730" s="17" t="s">
        <v>22</v>
      </c>
      <c r="F3730" s="15"/>
      <c r="G3730" s="19">
        <v>9.0042228E7</v>
      </c>
      <c r="H3730" s="15" t="s">
        <v>64</v>
      </c>
      <c r="I3730" s="20" t="s">
        <v>60</v>
      </c>
      <c r="J3730" s="21">
        <v>9442728.0</v>
      </c>
      <c r="K3730" s="21">
        <v>0.0</v>
      </c>
    </row>
    <row r="3731">
      <c r="A3731" s="15" t="s">
        <v>11</v>
      </c>
      <c r="B3731" s="16" t="s">
        <v>66</v>
      </c>
      <c r="C3731" s="17" t="s">
        <v>67</v>
      </c>
      <c r="D3731" s="18">
        <v>5.0</v>
      </c>
      <c r="E3731" s="17" t="s">
        <v>22</v>
      </c>
      <c r="F3731" s="15"/>
      <c r="G3731" s="19">
        <v>9.0042231E7</v>
      </c>
      <c r="H3731" s="15" t="s">
        <v>65</v>
      </c>
      <c r="I3731" s="20" t="s">
        <v>60</v>
      </c>
      <c r="J3731" s="21">
        <v>8247264.0</v>
      </c>
      <c r="K3731" s="21">
        <v>0.0</v>
      </c>
    </row>
    <row r="3732">
      <c r="A3732" s="15" t="s">
        <v>74</v>
      </c>
      <c r="B3732" s="16" t="s">
        <v>75</v>
      </c>
      <c r="C3732" s="17" t="s">
        <v>76</v>
      </c>
      <c r="D3732" s="18">
        <v>5.0</v>
      </c>
      <c r="E3732" s="17" t="s">
        <v>77</v>
      </c>
      <c r="F3732" s="15" t="s">
        <v>78</v>
      </c>
      <c r="G3732" s="19">
        <v>9.0043001E7</v>
      </c>
      <c r="H3732" s="15" t="s">
        <v>18</v>
      </c>
      <c r="I3732" s="20" t="s">
        <v>19</v>
      </c>
      <c r="J3732" s="21">
        <v>2983686.0</v>
      </c>
      <c r="K3732" s="21">
        <v>19.0</v>
      </c>
    </row>
    <row r="3733">
      <c r="A3733" s="15" t="s">
        <v>74</v>
      </c>
      <c r="B3733" s="16" t="s">
        <v>75</v>
      </c>
      <c r="C3733" s="17" t="s">
        <v>76</v>
      </c>
      <c r="D3733" s="18">
        <v>5.0</v>
      </c>
      <c r="E3733" s="17" t="s">
        <v>79</v>
      </c>
      <c r="F3733" s="15" t="s">
        <v>80</v>
      </c>
      <c r="G3733" s="19">
        <v>9.0043001E7</v>
      </c>
      <c r="H3733" s="15" t="s">
        <v>18</v>
      </c>
      <c r="I3733" s="20" t="s">
        <v>19</v>
      </c>
      <c r="J3733" s="21">
        <v>787930.0</v>
      </c>
      <c r="K3733" s="21">
        <v>5.0</v>
      </c>
    </row>
    <row r="3734">
      <c r="A3734" s="15" t="s">
        <v>74</v>
      </c>
      <c r="B3734" s="16" t="s">
        <v>75</v>
      </c>
      <c r="C3734" s="17" t="s">
        <v>76</v>
      </c>
      <c r="D3734" s="18">
        <v>5.0</v>
      </c>
      <c r="E3734" s="17" t="s">
        <v>81</v>
      </c>
      <c r="F3734" s="15" t="s">
        <v>82</v>
      </c>
      <c r="G3734" s="19">
        <v>9.0043001E7</v>
      </c>
      <c r="H3734" s="15" t="s">
        <v>18</v>
      </c>
      <c r="I3734" s="20" t="s">
        <v>19</v>
      </c>
      <c r="J3734" s="21">
        <v>8.9664052E7</v>
      </c>
      <c r="K3734" s="21">
        <v>549.0</v>
      </c>
    </row>
    <row r="3735">
      <c r="A3735" s="15" t="s">
        <v>74</v>
      </c>
      <c r="B3735" s="16" t="s">
        <v>75</v>
      </c>
      <c r="C3735" s="17" t="s">
        <v>76</v>
      </c>
      <c r="D3735" s="18">
        <v>5.0</v>
      </c>
      <c r="E3735" s="17" t="s">
        <v>81</v>
      </c>
      <c r="F3735" s="15" t="s">
        <v>82</v>
      </c>
      <c r="G3735" s="19">
        <v>9.0043E7</v>
      </c>
      <c r="H3735" s="15" t="s">
        <v>83</v>
      </c>
      <c r="I3735" s="20" t="s">
        <v>19</v>
      </c>
      <c r="J3735" s="21">
        <v>5902921.0</v>
      </c>
      <c r="K3735" s="21">
        <v>34.0</v>
      </c>
    </row>
    <row r="3736">
      <c r="A3736" s="15" t="s">
        <v>74</v>
      </c>
      <c r="B3736" s="16" t="s">
        <v>75</v>
      </c>
      <c r="C3736" s="17" t="s">
        <v>76</v>
      </c>
      <c r="D3736" s="18">
        <v>5.0</v>
      </c>
      <c r="E3736" s="17" t="s">
        <v>84</v>
      </c>
      <c r="F3736" s="15" t="s">
        <v>85</v>
      </c>
      <c r="G3736" s="19">
        <v>9.0043001E7</v>
      </c>
      <c r="H3736" s="15" t="s">
        <v>18</v>
      </c>
      <c r="I3736" s="20" t="s">
        <v>19</v>
      </c>
      <c r="J3736" s="21">
        <v>1.4897976E7</v>
      </c>
      <c r="K3736" s="21">
        <v>95.0</v>
      </c>
    </row>
    <row r="3737">
      <c r="A3737" s="15" t="s">
        <v>74</v>
      </c>
      <c r="B3737" s="16" t="s">
        <v>75</v>
      </c>
      <c r="C3737" s="17" t="s">
        <v>76</v>
      </c>
      <c r="D3737" s="18">
        <v>5.0</v>
      </c>
      <c r="E3737" s="17" t="s">
        <v>154</v>
      </c>
      <c r="F3737" s="15" t="s">
        <v>155</v>
      </c>
      <c r="G3737" s="19">
        <v>9.0043002E7</v>
      </c>
      <c r="H3737" s="15" t="s">
        <v>49</v>
      </c>
      <c r="I3737" s="20" t="s">
        <v>50</v>
      </c>
      <c r="J3737" s="21">
        <v>3959526.0</v>
      </c>
      <c r="K3737" s="21">
        <v>141.0</v>
      </c>
    </row>
    <row r="3738">
      <c r="A3738" s="15" t="s">
        <v>74</v>
      </c>
      <c r="B3738" s="16" t="s">
        <v>75</v>
      </c>
      <c r="C3738" s="17" t="s">
        <v>76</v>
      </c>
      <c r="D3738" s="18">
        <v>5.0</v>
      </c>
      <c r="E3738" s="17" t="s">
        <v>224</v>
      </c>
      <c r="F3738" s="15" t="s">
        <v>225</v>
      </c>
      <c r="G3738" s="19">
        <v>5.1100774E7</v>
      </c>
      <c r="H3738" s="15" t="s">
        <v>39</v>
      </c>
      <c r="I3738" s="20" t="s">
        <v>17</v>
      </c>
      <c r="J3738" s="21">
        <v>1.38228005E8</v>
      </c>
      <c r="K3738" s="21">
        <v>332.0</v>
      </c>
    </row>
    <row r="3739">
      <c r="A3739" s="15" t="s">
        <v>74</v>
      </c>
      <c r="B3739" s="16" t="s">
        <v>75</v>
      </c>
      <c r="C3739" s="17" t="s">
        <v>76</v>
      </c>
      <c r="D3739" s="18">
        <v>5.0</v>
      </c>
      <c r="E3739" s="17" t="s">
        <v>91</v>
      </c>
      <c r="F3739" s="15" t="s">
        <v>92</v>
      </c>
      <c r="G3739" s="19">
        <v>9.0043001E7</v>
      </c>
      <c r="H3739" s="15" t="s">
        <v>18</v>
      </c>
      <c r="I3739" s="20" t="s">
        <v>19</v>
      </c>
      <c r="J3739" s="21">
        <v>3.6119116E7</v>
      </c>
      <c r="K3739" s="21">
        <v>228.0</v>
      </c>
    </row>
    <row r="3740">
      <c r="A3740" s="15" t="s">
        <v>74</v>
      </c>
      <c r="B3740" s="16" t="s">
        <v>75</v>
      </c>
      <c r="C3740" s="17" t="s">
        <v>76</v>
      </c>
      <c r="D3740" s="18">
        <v>5.0</v>
      </c>
      <c r="E3740" s="17" t="s">
        <v>93</v>
      </c>
      <c r="F3740" s="15" t="s">
        <v>94</v>
      </c>
      <c r="G3740" s="19">
        <v>9.0043001E7</v>
      </c>
      <c r="H3740" s="15" t="s">
        <v>18</v>
      </c>
      <c r="I3740" s="20" t="s">
        <v>19</v>
      </c>
      <c r="J3740" s="21">
        <v>8251888.0</v>
      </c>
      <c r="K3740" s="21">
        <v>53.0</v>
      </c>
    </row>
    <row r="3741">
      <c r="A3741" s="15" t="s">
        <v>74</v>
      </c>
      <c r="B3741" s="16" t="s">
        <v>75</v>
      </c>
      <c r="C3741" s="17" t="s">
        <v>76</v>
      </c>
      <c r="D3741" s="18">
        <v>5.0</v>
      </c>
      <c r="E3741" s="17" t="s">
        <v>95</v>
      </c>
      <c r="F3741" s="15" t="s">
        <v>96</v>
      </c>
      <c r="G3741" s="19">
        <v>5.1100058E7</v>
      </c>
      <c r="H3741" s="15" t="s">
        <v>36</v>
      </c>
      <c r="I3741" s="20" t="s">
        <v>37</v>
      </c>
      <c r="J3741" s="21">
        <v>1.7503283E7</v>
      </c>
      <c r="K3741" s="21">
        <v>239.83</v>
      </c>
    </row>
    <row r="3742">
      <c r="A3742" s="15" t="s">
        <v>74</v>
      </c>
      <c r="B3742" s="16" t="s">
        <v>75</v>
      </c>
      <c r="C3742" s="17" t="s">
        <v>76</v>
      </c>
      <c r="D3742" s="18">
        <v>5.0</v>
      </c>
      <c r="E3742" s="17" t="s">
        <v>95</v>
      </c>
      <c r="F3742" s="15" t="s">
        <v>96</v>
      </c>
      <c r="G3742" s="19">
        <v>5.1100651E7</v>
      </c>
      <c r="H3742" s="15" t="s">
        <v>38</v>
      </c>
      <c r="I3742" s="20" t="s">
        <v>17</v>
      </c>
      <c r="J3742" s="21">
        <v>1.2085008E7</v>
      </c>
      <c r="K3742" s="21">
        <v>217.2</v>
      </c>
    </row>
    <row r="3743">
      <c r="A3743" s="15" t="s">
        <v>74</v>
      </c>
      <c r="B3743" s="16" t="s">
        <v>75</v>
      </c>
      <c r="C3743" s="17" t="s">
        <v>76</v>
      </c>
      <c r="D3743" s="18">
        <v>5.0</v>
      </c>
      <c r="E3743" s="17" t="s">
        <v>95</v>
      </c>
      <c r="F3743" s="15" t="s">
        <v>96</v>
      </c>
      <c r="G3743" s="19">
        <v>9.0043001E7</v>
      </c>
      <c r="H3743" s="15" t="s">
        <v>18</v>
      </c>
      <c r="I3743" s="20" t="s">
        <v>19</v>
      </c>
      <c r="J3743" s="21">
        <v>3.1817356E7</v>
      </c>
      <c r="K3743" s="21">
        <v>204.0</v>
      </c>
    </row>
    <row r="3744">
      <c r="A3744" s="15" t="s">
        <v>74</v>
      </c>
      <c r="B3744" s="16" t="s">
        <v>75</v>
      </c>
      <c r="C3744" s="17" t="s">
        <v>76</v>
      </c>
      <c r="D3744" s="18">
        <v>5.0</v>
      </c>
      <c r="E3744" s="17" t="s">
        <v>95</v>
      </c>
      <c r="F3744" s="15" t="s">
        <v>96</v>
      </c>
      <c r="G3744" s="19">
        <v>9.0043E7</v>
      </c>
      <c r="H3744" s="15" t="s">
        <v>83</v>
      </c>
      <c r="I3744" s="20" t="s">
        <v>19</v>
      </c>
      <c r="J3744" s="21">
        <v>769244.0</v>
      </c>
      <c r="K3744" s="21">
        <v>4.0</v>
      </c>
    </row>
    <row r="3745">
      <c r="A3745" s="15" t="s">
        <v>74</v>
      </c>
      <c r="B3745" s="16" t="s">
        <v>75</v>
      </c>
      <c r="C3745" s="17" t="s">
        <v>76</v>
      </c>
      <c r="D3745" s="18">
        <v>5.0</v>
      </c>
      <c r="E3745" s="17" t="s">
        <v>97</v>
      </c>
      <c r="F3745" s="15" t="s">
        <v>98</v>
      </c>
      <c r="G3745" s="19">
        <v>9.0043001E7</v>
      </c>
      <c r="H3745" s="15" t="s">
        <v>18</v>
      </c>
      <c r="I3745" s="20" t="s">
        <v>19</v>
      </c>
      <c r="J3745" s="21">
        <v>1.3069515E7</v>
      </c>
      <c r="K3745" s="21">
        <v>85.0</v>
      </c>
    </row>
    <row r="3746">
      <c r="A3746" s="15" t="s">
        <v>74</v>
      </c>
      <c r="B3746" s="16" t="s">
        <v>75</v>
      </c>
      <c r="C3746" s="17" t="s">
        <v>76</v>
      </c>
      <c r="D3746" s="18">
        <v>5.0</v>
      </c>
      <c r="E3746" s="17" t="s">
        <v>99</v>
      </c>
      <c r="F3746" s="15" t="s">
        <v>100</v>
      </c>
      <c r="G3746" s="19">
        <v>9.0043001E7</v>
      </c>
      <c r="H3746" s="15" t="s">
        <v>18</v>
      </c>
      <c r="I3746" s="20" t="s">
        <v>19</v>
      </c>
      <c r="J3746" s="21">
        <v>4.2434634E7</v>
      </c>
      <c r="K3746" s="21">
        <v>255.0</v>
      </c>
    </row>
    <row r="3747">
      <c r="A3747" s="15" t="s">
        <v>74</v>
      </c>
      <c r="B3747" s="16" t="s">
        <v>75</v>
      </c>
      <c r="C3747" s="17" t="s">
        <v>76</v>
      </c>
      <c r="D3747" s="18">
        <v>5.0</v>
      </c>
      <c r="E3747" s="17" t="s">
        <v>101</v>
      </c>
      <c r="F3747" s="15" t="s">
        <v>102</v>
      </c>
      <c r="G3747" s="19">
        <v>9.0043001E7</v>
      </c>
      <c r="H3747" s="15" t="s">
        <v>18</v>
      </c>
      <c r="I3747" s="20" t="s">
        <v>19</v>
      </c>
      <c r="J3747" s="21">
        <v>6.0385238E7</v>
      </c>
      <c r="K3747" s="21">
        <v>356.0</v>
      </c>
    </row>
    <row r="3748">
      <c r="A3748" s="15" t="s">
        <v>74</v>
      </c>
      <c r="B3748" s="16" t="s">
        <v>75</v>
      </c>
      <c r="C3748" s="17" t="s">
        <v>76</v>
      </c>
      <c r="D3748" s="18">
        <v>5.0</v>
      </c>
      <c r="E3748" s="17" t="s">
        <v>103</v>
      </c>
      <c r="F3748" s="15" t="s">
        <v>104</v>
      </c>
      <c r="G3748" s="19">
        <v>5.1100058E7</v>
      </c>
      <c r="H3748" s="15" t="s">
        <v>36</v>
      </c>
      <c r="I3748" s="20" t="s">
        <v>37</v>
      </c>
      <c r="J3748" s="21">
        <v>5333040.0</v>
      </c>
      <c r="K3748" s="21">
        <v>64.66</v>
      </c>
    </row>
    <row r="3749">
      <c r="A3749" s="15" t="s">
        <v>74</v>
      </c>
      <c r="B3749" s="16" t="s">
        <v>75</v>
      </c>
      <c r="C3749" s="17" t="s">
        <v>76</v>
      </c>
      <c r="D3749" s="18">
        <v>5.0</v>
      </c>
      <c r="E3749" s="17" t="s">
        <v>103</v>
      </c>
      <c r="F3749" s="15" t="s">
        <v>104</v>
      </c>
      <c r="G3749" s="19">
        <v>5.1100651E7</v>
      </c>
      <c r="H3749" s="15" t="s">
        <v>38</v>
      </c>
      <c r="I3749" s="20" t="s">
        <v>17</v>
      </c>
      <c r="J3749" s="21">
        <v>1.9394994E7</v>
      </c>
      <c r="K3749" s="21">
        <v>130.65</v>
      </c>
    </row>
    <row r="3750">
      <c r="A3750" s="15" t="s">
        <v>74</v>
      </c>
      <c r="B3750" s="16" t="s">
        <v>75</v>
      </c>
      <c r="C3750" s="17" t="s">
        <v>76</v>
      </c>
      <c r="D3750" s="18">
        <v>5.0</v>
      </c>
      <c r="E3750" s="17" t="s">
        <v>103</v>
      </c>
      <c r="F3750" s="15" t="s">
        <v>104</v>
      </c>
      <c r="G3750" s="19">
        <v>9.0043001E7</v>
      </c>
      <c r="H3750" s="15" t="s">
        <v>18</v>
      </c>
      <c r="I3750" s="20" t="s">
        <v>19</v>
      </c>
      <c r="J3750" s="21">
        <v>6852340.0</v>
      </c>
      <c r="K3750" s="21">
        <v>44.0</v>
      </c>
    </row>
    <row r="3751">
      <c r="A3751" s="15" t="s">
        <v>74</v>
      </c>
      <c r="B3751" s="16" t="s">
        <v>75</v>
      </c>
      <c r="C3751" s="17" t="s">
        <v>76</v>
      </c>
      <c r="D3751" s="18">
        <v>5.0</v>
      </c>
      <c r="E3751" s="17" t="s">
        <v>108</v>
      </c>
      <c r="F3751" s="15" t="s">
        <v>109</v>
      </c>
      <c r="G3751" s="19">
        <v>5.1100058E7</v>
      </c>
      <c r="H3751" s="15" t="s">
        <v>36</v>
      </c>
      <c r="I3751" s="20" t="s">
        <v>37</v>
      </c>
      <c r="J3751" s="21">
        <v>789650.0</v>
      </c>
      <c r="K3751" s="21">
        <v>10.0</v>
      </c>
    </row>
    <row r="3752">
      <c r="A3752" s="15" t="s">
        <v>74</v>
      </c>
      <c r="B3752" s="16" t="s">
        <v>75</v>
      </c>
      <c r="C3752" s="17" t="s">
        <v>76</v>
      </c>
      <c r="D3752" s="18">
        <v>5.0</v>
      </c>
      <c r="E3752" s="17" t="s">
        <v>112</v>
      </c>
      <c r="F3752" s="15" t="s">
        <v>113</v>
      </c>
      <c r="G3752" s="19">
        <v>9.0043001E7</v>
      </c>
      <c r="H3752" s="15" t="s">
        <v>18</v>
      </c>
      <c r="I3752" s="20" t="s">
        <v>19</v>
      </c>
      <c r="J3752" s="21">
        <v>3.3001106E7</v>
      </c>
      <c r="K3752" s="21">
        <v>200.0</v>
      </c>
    </row>
    <row r="3753">
      <c r="A3753" s="15" t="s">
        <v>74</v>
      </c>
      <c r="B3753" s="16" t="s">
        <v>75</v>
      </c>
      <c r="C3753" s="17" t="s">
        <v>76</v>
      </c>
      <c r="D3753" s="18">
        <v>5.0</v>
      </c>
      <c r="E3753" s="17" t="s">
        <v>112</v>
      </c>
      <c r="F3753" s="15" t="s">
        <v>113</v>
      </c>
      <c r="G3753" s="19">
        <v>9.0043E7</v>
      </c>
      <c r="H3753" s="15" t="s">
        <v>83</v>
      </c>
      <c r="I3753" s="20" t="s">
        <v>19</v>
      </c>
      <c r="J3753" s="21">
        <v>1431038.0</v>
      </c>
      <c r="K3753" s="21">
        <v>8.0</v>
      </c>
    </row>
    <row r="3754">
      <c r="A3754" s="15" t="s">
        <v>74</v>
      </c>
      <c r="B3754" s="16" t="s">
        <v>75</v>
      </c>
      <c r="C3754" s="17" t="s">
        <v>76</v>
      </c>
      <c r="D3754" s="18">
        <v>5.0</v>
      </c>
      <c r="E3754" s="17" t="s">
        <v>175</v>
      </c>
      <c r="F3754" s="15" t="s">
        <v>176</v>
      </c>
      <c r="G3754" s="19">
        <v>9.0043002E7</v>
      </c>
      <c r="H3754" s="15" t="s">
        <v>49</v>
      </c>
      <c r="I3754" s="20" t="s">
        <v>50</v>
      </c>
      <c r="J3754" s="21">
        <v>844473.0</v>
      </c>
      <c r="K3754" s="21">
        <v>30.0</v>
      </c>
    </row>
    <row r="3755">
      <c r="A3755" s="15" t="s">
        <v>74</v>
      </c>
      <c r="B3755" s="16" t="s">
        <v>75</v>
      </c>
      <c r="C3755" s="17" t="s">
        <v>76</v>
      </c>
      <c r="D3755" s="18">
        <v>5.0</v>
      </c>
      <c r="E3755" s="17" t="s">
        <v>115</v>
      </c>
      <c r="F3755" s="15" t="s">
        <v>116</v>
      </c>
      <c r="G3755" s="19">
        <v>5.1100153E7</v>
      </c>
      <c r="H3755" s="15" t="s">
        <v>72</v>
      </c>
      <c r="I3755" s="20" t="s">
        <v>17</v>
      </c>
      <c r="J3755" s="21">
        <v>1.2236194E8</v>
      </c>
      <c r="K3755" s="21">
        <v>1187980.0</v>
      </c>
    </row>
    <row r="3756">
      <c r="A3756" s="15" t="s">
        <v>74</v>
      </c>
      <c r="B3756" s="16" t="s">
        <v>75</v>
      </c>
      <c r="C3756" s="17" t="s">
        <v>76</v>
      </c>
      <c r="D3756" s="18">
        <v>5.0</v>
      </c>
      <c r="E3756" s="17" t="s">
        <v>117</v>
      </c>
      <c r="F3756" s="15" t="s">
        <v>118</v>
      </c>
      <c r="G3756" s="19">
        <v>5.1100058E7</v>
      </c>
      <c r="H3756" s="15" t="s">
        <v>36</v>
      </c>
      <c r="I3756" s="20" t="s">
        <v>37</v>
      </c>
      <c r="J3756" s="21">
        <v>2.378738915E9</v>
      </c>
      <c r="K3756" s="21">
        <v>301679.0</v>
      </c>
    </row>
    <row r="3757">
      <c r="A3757" s="15" t="s">
        <v>74</v>
      </c>
      <c r="B3757" s="16" t="s">
        <v>75</v>
      </c>
      <c r="C3757" s="17" t="s">
        <v>76</v>
      </c>
      <c r="D3757" s="18">
        <v>5.0</v>
      </c>
      <c r="E3757" s="17" t="s">
        <v>117</v>
      </c>
      <c r="F3757" s="15" t="s">
        <v>118</v>
      </c>
      <c r="G3757" s="19">
        <v>5.1100651E7</v>
      </c>
      <c r="H3757" s="15" t="s">
        <v>38</v>
      </c>
      <c r="I3757" s="20" t="s">
        <v>17</v>
      </c>
      <c r="J3757" s="21">
        <v>6.0528465E7</v>
      </c>
      <c r="K3757" s="21">
        <v>652.95</v>
      </c>
    </row>
    <row r="3758">
      <c r="A3758" s="15" t="s">
        <v>74</v>
      </c>
      <c r="B3758" s="16" t="s">
        <v>75</v>
      </c>
      <c r="C3758" s="17" t="s">
        <v>76</v>
      </c>
      <c r="D3758" s="18">
        <v>5.0</v>
      </c>
      <c r="E3758" s="17" t="s">
        <v>117</v>
      </c>
      <c r="F3758" s="15" t="s">
        <v>118</v>
      </c>
      <c r="G3758" s="19">
        <v>9.0043001E7</v>
      </c>
      <c r="H3758" s="15" t="s">
        <v>18</v>
      </c>
      <c r="I3758" s="20" t="s">
        <v>19</v>
      </c>
      <c r="J3758" s="21">
        <v>3.8078063E7</v>
      </c>
      <c r="K3758" s="21">
        <v>235.0</v>
      </c>
    </row>
    <row r="3759">
      <c r="A3759" s="15" t="s">
        <v>74</v>
      </c>
      <c r="B3759" s="16" t="s">
        <v>75</v>
      </c>
      <c r="C3759" s="17" t="s">
        <v>76</v>
      </c>
      <c r="D3759" s="18">
        <v>5.0</v>
      </c>
      <c r="E3759" s="17" t="s">
        <v>263</v>
      </c>
      <c r="F3759" s="15" t="s">
        <v>264</v>
      </c>
      <c r="G3759" s="19">
        <v>9.0043001E7</v>
      </c>
      <c r="H3759" s="15" t="s">
        <v>18</v>
      </c>
      <c r="I3759" s="20" t="s">
        <v>19</v>
      </c>
      <c r="J3759" s="21">
        <v>1.1991595E7</v>
      </c>
      <c r="K3759" s="21">
        <v>77.0</v>
      </c>
    </row>
    <row r="3760">
      <c r="A3760" s="15" t="s">
        <v>74</v>
      </c>
      <c r="B3760" s="16" t="s">
        <v>75</v>
      </c>
      <c r="C3760" s="17" t="s">
        <v>76</v>
      </c>
      <c r="D3760" s="18">
        <v>5.0</v>
      </c>
      <c r="E3760" s="17" t="s">
        <v>119</v>
      </c>
      <c r="F3760" s="15" t="s">
        <v>120</v>
      </c>
      <c r="G3760" s="19">
        <v>5.1100651E7</v>
      </c>
      <c r="H3760" s="15" t="s">
        <v>38</v>
      </c>
      <c r="I3760" s="20" t="s">
        <v>17</v>
      </c>
      <c r="J3760" s="21">
        <v>2.1338875E7</v>
      </c>
      <c r="K3760" s="21">
        <v>19.16</v>
      </c>
    </row>
    <row r="3761">
      <c r="A3761" s="15" t="s">
        <v>74</v>
      </c>
      <c r="B3761" s="16" t="s">
        <v>75</v>
      </c>
      <c r="C3761" s="17" t="s">
        <v>76</v>
      </c>
      <c r="D3761" s="18">
        <v>5.0</v>
      </c>
      <c r="E3761" s="17" t="s">
        <v>121</v>
      </c>
      <c r="F3761" s="15" t="s">
        <v>122</v>
      </c>
      <c r="G3761" s="19">
        <v>9.0043002E7</v>
      </c>
      <c r="H3761" s="15" t="s">
        <v>49</v>
      </c>
      <c r="I3761" s="20" t="s">
        <v>50</v>
      </c>
      <c r="J3761" s="21">
        <v>1.800562E7</v>
      </c>
      <c r="K3761" s="21">
        <v>642.0</v>
      </c>
    </row>
    <row r="3762">
      <c r="A3762" s="15" t="s">
        <v>74</v>
      </c>
      <c r="B3762" s="16" t="s">
        <v>75</v>
      </c>
      <c r="C3762" s="17" t="s">
        <v>76</v>
      </c>
      <c r="D3762" s="18">
        <v>5.0</v>
      </c>
      <c r="E3762" s="17" t="s">
        <v>123</v>
      </c>
      <c r="F3762" s="15" t="s">
        <v>124</v>
      </c>
      <c r="G3762" s="19">
        <v>9.0043001E7</v>
      </c>
      <c r="H3762" s="15" t="s">
        <v>18</v>
      </c>
      <c r="I3762" s="20" t="s">
        <v>19</v>
      </c>
      <c r="J3762" s="21">
        <v>1401615.0</v>
      </c>
      <c r="K3762" s="21">
        <v>9.0</v>
      </c>
    </row>
    <row r="3763">
      <c r="A3763" s="15" t="s">
        <v>74</v>
      </c>
      <c r="B3763" s="16" t="s">
        <v>75</v>
      </c>
      <c r="C3763" s="17" t="s">
        <v>76</v>
      </c>
      <c r="D3763" s="18">
        <v>5.0</v>
      </c>
      <c r="E3763" s="17" t="s">
        <v>125</v>
      </c>
      <c r="F3763" s="15" t="s">
        <v>126</v>
      </c>
      <c r="G3763" s="19">
        <v>5.1101056E7</v>
      </c>
      <c r="H3763" s="15" t="s">
        <v>16</v>
      </c>
      <c r="I3763" s="20" t="s">
        <v>17</v>
      </c>
      <c r="J3763" s="21">
        <v>2.5540272E7</v>
      </c>
      <c r="K3763" s="21">
        <v>255402.72</v>
      </c>
    </row>
    <row r="3764">
      <c r="A3764" s="15" t="s">
        <v>74</v>
      </c>
      <c r="B3764" s="16" t="s">
        <v>75</v>
      </c>
      <c r="C3764" s="17" t="s">
        <v>76</v>
      </c>
      <c r="D3764" s="18">
        <v>5.0</v>
      </c>
      <c r="E3764" s="17" t="s">
        <v>125</v>
      </c>
      <c r="F3764" s="15" t="s">
        <v>126</v>
      </c>
      <c r="G3764" s="19">
        <v>9.0043001E7</v>
      </c>
      <c r="H3764" s="15" t="s">
        <v>18</v>
      </c>
      <c r="I3764" s="20" t="s">
        <v>19</v>
      </c>
      <c r="J3764" s="21">
        <v>5.9484473E8</v>
      </c>
      <c r="K3764" s="21">
        <v>3796.0</v>
      </c>
    </row>
    <row r="3765">
      <c r="A3765" s="15" t="s">
        <v>74</v>
      </c>
      <c r="B3765" s="16" t="s">
        <v>75</v>
      </c>
      <c r="C3765" s="17" t="s">
        <v>76</v>
      </c>
      <c r="D3765" s="18">
        <v>5.0</v>
      </c>
      <c r="E3765" s="17" t="s">
        <v>125</v>
      </c>
      <c r="F3765" s="15" t="s">
        <v>126</v>
      </c>
      <c r="G3765" s="19">
        <v>9.0043E7</v>
      </c>
      <c r="H3765" s="15" t="s">
        <v>83</v>
      </c>
      <c r="I3765" s="20" t="s">
        <v>19</v>
      </c>
      <c r="J3765" s="21">
        <v>5193784.0</v>
      </c>
      <c r="K3765" s="21">
        <v>29.0</v>
      </c>
    </row>
    <row r="3766">
      <c r="A3766" s="15" t="s">
        <v>74</v>
      </c>
      <c r="B3766" s="16" t="s">
        <v>75</v>
      </c>
      <c r="C3766" s="17" t="s">
        <v>76</v>
      </c>
      <c r="D3766" s="18">
        <v>5.0</v>
      </c>
      <c r="E3766" s="17" t="s">
        <v>127</v>
      </c>
      <c r="F3766" s="15" t="s">
        <v>128</v>
      </c>
      <c r="G3766" s="19">
        <v>5.1100153E7</v>
      </c>
      <c r="H3766" s="15" t="s">
        <v>72</v>
      </c>
      <c r="I3766" s="20" t="s">
        <v>25</v>
      </c>
      <c r="J3766" s="21">
        <v>0.0</v>
      </c>
      <c r="K3766" s="21">
        <v>0.0</v>
      </c>
    </row>
    <row r="3767">
      <c r="A3767" s="15" t="s">
        <v>74</v>
      </c>
      <c r="B3767" s="16" t="s">
        <v>75</v>
      </c>
      <c r="C3767" s="17" t="s">
        <v>76</v>
      </c>
      <c r="D3767" s="18">
        <v>5.0</v>
      </c>
      <c r="E3767" s="17" t="s">
        <v>127</v>
      </c>
      <c r="F3767" s="15" t="s">
        <v>128</v>
      </c>
      <c r="G3767" s="19">
        <v>5.1100153E7</v>
      </c>
      <c r="H3767" s="15" t="s">
        <v>72</v>
      </c>
      <c r="I3767" s="20" t="s">
        <v>17</v>
      </c>
      <c r="J3767" s="21">
        <v>4.51134399E8</v>
      </c>
      <c r="K3767" s="21">
        <v>3323950.0</v>
      </c>
    </row>
    <row r="3768">
      <c r="A3768" s="15" t="s">
        <v>74</v>
      </c>
      <c r="B3768" s="16" t="s">
        <v>75</v>
      </c>
      <c r="C3768" s="17" t="s">
        <v>76</v>
      </c>
      <c r="D3768" s="18">
        <v>5.0</v>
      </c>
      <c r="E3768" s="17" t="s">
        <v>127</v>
      </c>
      <c r="F3768" s="15" t="s">
        <v>128</v>
      </c>
      <c r="G3768" s="19">
        <v>9.0043002E7</v>
      </c>
      <c r="H3768" s="15" t="s">
        <v>49</v>
      </c>
      <c r="I3768" s="20" t="s">
        <v>50</v>
      </c>
      <c r="J3768" s="21">
        <v>1.08281269E8</v>
      </c>
      <c r="K3768" s="21">
        <v>3848.0</v>
      </c>
    </row>
    <row r="3769">
      <c r="A3769" s="15" t="s">
        <v>74</v>
      </c>
      <c r="B3769" s="16" t="s">
        <v>75</v>
      </c>
      <c r="C3769" s="17" t="s">
        <v>76</v>
      </c>
      <c r="D3769" s="18">
        <v>5.0</v>
      </c>
      <c r="E3769" s="17" t="s">
        <v>129</v>
      </c>
      <c r="F3769" s="15" t="s">
        <v>130</v>
      </c>
      <c r="G3769" s="19">
        <v>5.1101056E7</v>
      </c>
      <c r="H3769" s="15" t="s">
        <v>16</v>
      </c>
      <c r="I3769" s="20" t="s">
        <v>17</v>
      </c>
      <c r="J3769" s="21">
        <v>1.2134045E8</v>
      </c>
      <c r="K3769" s="21">
        <v>1733435.0</v>
      </c>
    </row>
    <row r="3770">
      <c r="A3770" s="15" t="s">
        <v>74</v>
      </c>
      <c r="B3770" s="16" t="s">
        <v>75</v>
      </c>
      <c r="C3770" s="17" t="s">
        <v>76</v>
      </c>
      <c r="D3770" s="18">
        <v>5.0</v>
      </c>
      <c r="E3770" s="17" t="s">
        <v>129</v>
      </c>
      <c r="F3770" s="15" t="s">
        <v>130</v>
      </c>
      <c r="G3770" s="19">
        <v>9.0043001E7</v>
      </c>
      <c r="H3770" s="15" t="s">
        <v>18</v>
      </c>
      <c r="I3770" s="20" t="s">
        <v>19</v>
      </c>
      <c r="J3770" s="21">
        <v>7931790.0</v>
      </c>
      <c r="K3770" s="21">
        <v>47.0</v>
      </c>
    </row>
    <row r="3771">
      <c r="A3771" s="15" t="s">
        <v>74</v>
      </c>
      <c r="B3771" s="16" t="s">
        <v>75</v>
      </c>
      <c r="C3771" s="17" t="s">
        <v>76</v>
      </c>
      <c r="D3771" s="18">
        <v>5.0</v>
      </c>
      <c r="E3771" s="17" t="s">
        <v>129</v>
      </c>
      <c r="F3771" s="15" t="s">
        <v>130</v>
      </c>
      <c r="G3771" s="19">
        <v>9.0043002E7</v>
      </c>
      <c r="H3771" s="15" t="s">
        <v>49</v>
      </c>
      <c r="I3771" s="20" t="s">
        <v>50</v>
      </c>
      <c r="J3771" s="21">
        <v>0.0</v>
      </c>
      <c r="K3771" s="21">
        <v>0.0</v>
      </c>
    </row>
    <row r="3772">
      <c r="A3772" s="15" t="s">
        <v>74</v>
      </c>
      <c r="B3772" s="16" t="s">
        <v>75</v>
      </c>
      <c r="C3772" s="17" t="s">
        <v>76</v>
      </c>
      <c r="D3772" s="18">
        <v>5.0</v>
      </c>
      <c r="E3772" s="17" t="s">
        <v>129</v>
      </c>
      <c r="F3772" s="15" t="s">
        <v>130</v>
      </c>
      <c r="G3772" s="19">
        <v>9.0043003E7</v>
      </c>
      <c r="H3772" s="15" t="s">
        <v>90</v>
      </c>
      <c r="I3772" s="20" t="s">
        <v>50</v>
      </c>
      <c r="J3772" s="21">
        <v>3.0024628E7</v>
      </c>
      <c r="K3772" s="21">
        <v>182.3</v>
      </c>
    </row>
    <row r="3773">
      <c r="A3773" s="15" t="s">
        <v>74</v>
      </c>
      <c r="B3773" s="16" t="s">
        <v>75</v>
      </c>
      <c r="C3773" s="17" t="s">
        <v>76</v>
      </c>
      <c r="D3773" s="18">
        <v>5.0</v>
      </c>
      <c r="E3773" s="17" t="s">
        <v>131</v>
      </c>
      <c r="F3773" s="15" t="s">
        <v>132</v>
      </c>
      <c r="G3773" s="19">
        <v>9.0043001E7</v>
      </c>
      <c r="H3773" s="15" t="s">
        <v>18</v>
      </c>
      <c r="I3773" s="20" t="s">
        <v>19</v>
      </c>
      <c r="J3773" s="21">
        <v>1.3389558E7</v>
      </c>
      <c r="K3773" s="21">
        <v>91.0</v>
      </c>
    </row>
    <row r="3774">
      <c r="A3774" s="15" t="s">
        <v>74</v>
      </c>
      <c r="B3774" s="16" t="s">
        <v>75</v>
      </c>
      <c r="C3774" s="17" t="s">
        <v>76</v>
      </c>
      <c r="D3774" s="18">
        <v>5.0</v>
      </c>
      <c r="E3774" s="17" t="s">
        <v>135</v>
      </c>
      <c r="F3774" s="15" t="s">
        <v>136</v>
      </c>
      <c r="G3774" s="19">
        <v>9.0043001E7</v>
      </c>
      <c r="H3774" s="15" t="s">
        <v>18</v>
      </c>
      <c r="I3774" s="20" t="s">
        <v>19</v>
      </c>
      <c r="J3774" s="21">
        <v>9.8898648E7</v>
      </c>
      <c r="K3774" s="21">
        <v>633.0</v>
      </c>
    </row>
    <row r="3775">
      <c r="A3775" s="15" t="s">
        <v>74</v>
      </c>
      <c r="B3775" s="16" t="s">
        <v>75</v>
      </c>
      <c r="C3775" s="17" t="s">
        <v>76</v>
      </c>
      <c r="D3775" s="18">
        <v>5.0</v>
      </c>
      <c r="E3775" s="17" t="s">
        <v>137</v>
      </c>
      <c r="F3775" s="15" t="s">
        <v>138</v>
      </c>
      <c r="G3775" s="19">
        <v>9.0043001E7</v>
      </c>
      <c r="H3775" s="15" t="s">
        <v>18</v>
      </c>
      <c r="I3775" s="20" t="s">
        <v>19</v>
      </c>
      <c r="J3775" s="21">
        <v>3309306.0</v>
      </c>
      <c r="K3775" s="21">
        <v>21.0</v>
      </c>
    </row>
    <row r="3776">
      <c r="A3776" s="15" t="s">
        <v>74</v>
      </c>
      <c r="B3776" s="16" t="s">
        <v>75</v>
      </c>
      <c r="C3776" s="17" t="s">
        <v>76</v>
      </c>
      <c r="D3776" s="18">
        <v>5.0</v>
      </c>
      <c r="E3776" s="17" t="s">
        <v>54</v>
      </c>
      <c r="F3776" s="15" t="s">
        <v>139</v>
      </c>
      <c r="G3776" s="19">
        <v>9.0042011E7</v>
      </c>
      <c r="H3776" s="15" t="s">
        <v>55</v>
      </c>
      <c r="I3776" s="20" t="s">
        <v>19</v>
      </c>
      <c r="J3776" s="21">
        <v>5.79250672E8</v>
      </c>
      <c r="K3776" s="21">
        <v>0.0</v>
      </c>
    </row>
    <row r="3777">
      <c r="A3777" s="15" t="s">
        <v>74</v>
      </c>
      <c r="B3777" s="16" t="s">
        <v>75</v>
      </c>
      <c r="C3777" s="17" t="s">
        <v>76</v>
      </c>
      <c r="D3777" s="18">
        <v>5.0</v>
      </c>
      <c r="E3777" s="17" t="s">
        <v>164</v>
      </c>
      <c r="F3777" s="15" t="s">
        <v>165</v>
      </c>
      <c r="G3777" s="19">
        <v>9.0042079E7</v>
      </c>
      <c r="H3777" s="15" t="s">
        <v>166</v>
      </c>
      <c r="I3777" s="20" t="s">
        <v>19</v>
      </c>
      <c r="J3777" s="21">
        <v>1697385.0</v>
      </c>
      <c r="K3777" s="21">
        <v>0.0</v>
      </c>
    </row>
    <row r="3778">
      <c r="A3778" s="15" t="s">
        <v>74</v>
      </c>
      <c r="B3778" s="16" t="s">
        <v>75</v>
      </c>
      <c r="C3778" s="17" t="s">
        <v>76</v>
      </c>
      <c r="D3778" s="18">
        <v>5.0</v>
      </c>
      <c r="E3778" s="17" t="s">
        <v>20</v>
      </c>
      <c r="F3778" s="15" t="s">
        <v>140</v>
      </c>
      <c r="G3778" s="19">
        <v>9.0042014E7</v>
      </c>
      <c r="H3778" s="15" t="s">
        <v>21</v>
      </c>
      <c r="I3778" s="20" t="s">
        <v>19</v>
      </c>
      <c r="J3778" s="21">
        <v>7.26218631E8</v>
      </c>
      <c r="K3778" s="21">
        <v>0.0</v>
      </c>
    </row>
    <row r="3779">
      <c r="A3779" s="15" t="s">
        <v>74</v>
      </c>
      <c r="B3779" s="16" t="s">
        <v>75</v>
      </c>
      <c r="C3779" s="17" t="s">
        <v>76</v>
      </c>
      <c r="D3779" s="18">
        <v>5.0</v>
      </c>
      <c r="E3779" s="17" t="s">
        <v>20</v>
      </c>
      <c r="F3779" s="15" t="s">
        <v>140</v>
      </c>
      <c r="G3779" s="19">
        <v>9.0042077E7</v>
      </c>
      <c r="H3779" s="15" t="s">
        <v>141</v>
      </c>
      <c r="I3779" s="20" t="s">
        <v>19</v>
      </c>
      <c r="J3779" s="21">
        <v>2.62721213E8</v>
      </c>
      <c r="K3779" s="21">
        <v>0.0</v>
      </c>
    </row>
    <row r="3780">
      <c r="A3780" s="15" t="s">
        <v>74</v>
      </c>
      <c r="B3780" s="16" t="s">
        <v>75</v>
      </c>
      <c r="C3780" s="17" t="s">
        <v>76</v>
      </c>
      <c r="D3780" s="18">
        <v>5.0</v>
      </c>
      <c r="E3780" s="17" t="s">
        <v>142</v>
      </c>
      <c r="F3780" s="15" t="s">
        <v>143</v>
      </c>
      <c r="G3780" s="19">
        <v>9.0042013E7</v>
      </c>
      <c r="H3780" s="15" t="s">
        <v>144</v>
      </c>
      <c r="I3780" s="20" t="s">
        <v>19</v>
      </c>
      <c r="J3780" s="21">
        <v>6.1619207E7</v>
      </c>
      <c r="K3780" s="21">
        <v>0.0</v>
      </c>
    </row>
    <row r="3781">
      <c r="A3781" s="15" t="s">
        <v>74</v>
      </c>
      <c r="B3781" s="16" t="s">
        <v>75</v>
      </c>
      <c r="C3781" s="17" t="s">
        <v>76</v>
      </c>
      <c r="D3781" s="18">
        <v>5.0</v>
      </c>
      <c r="E3781" s="17" t="s">
        <v>142</v>
      </c>
      <c r="F3781" s="15" t="s">
        <v>143</v>
      </c>
      <c r="G3781" s="19">
        <v>9.0042084E7</v>
      </c>
      <c r="H3781" s="15" t="s">
        <v>145</v>
      </c>
      <c r="I3781" s="20" t="s">
        <v>19</v>
      </c>
      <c r="J3781" s="21">
        <v>2.8316645E7</v>
      </c>
      <c r="K3781" s="21">
        <v>0.0</v>
      </c>
    </row>
    <row r="3782">
      <c r="A3782" s="15" t="s">
        <v>74</v>
      </c>
      <c r="B3782" s="16" t="s">
        <v>75</v>
      </c>
      <c r="C3782" s="17" t="s">
        <v>76</v>
      </c>
      <c r="D3782" s="18">
        <v>5.0</v>
      </c>
      <c r="E3782" s="17" t="s">
        <v>22</v>
      </c>
      <c r="F3782" s="15" t="s">
        <v>146</v>
      </c>
      <c r="G3782" s="19">
        <v>9.0042012E7</v>
      </c>
      <c r="H3782" s="15" t="s">
        <v>23</v>
      </c>
      <c r="I3782" s="20" t="s">
        <v>19</v>
      </c>
      <c r="J3782" s="21">
        <v>2.20567813E8</v>
      </c>
      <c r="K3782" s="21">
        <v>0.0</v>
      </c>
    </row>
    <row r="3783">
      <c r="A3783" s="15" t="s">
        <v>74</v>
      </c>
      <c r="B3783" s="16" t="s">
        <v>75</v>
      </c>
      <c r="C3783" s="17" t="s">
        <v>76</v>
      </c>
      <c r="D3783" s="18">
        <v>5.0</v>
      </c>
      <c r="E3783" s="17" t="s">
        <v>22</v>
      </c>
      <c r="F3783" s="15" t="s">
        <v>146</v>
      </c>
      <c r="G3783" s="19">
        <v>9.0042121E7</v>
      </c>
      <c r="H3783" s="15" t="s">
        <v>24</v>
      </c>
      <c r="I3783" s="20" t="s">
        <v>25</v>
      </c>
      <c r="J3783" s="21">
        <v>1.84319358E8</v>
      </c>
      <c r="K3783" s="21">
        <v>0.0</v>
      </c>
    </row>
    <row r="3784">
      <c r="A3784" s="15" t="s">
        <v>74</v>
      </c>
      <c r="B3784" s="16" t="s">
        <v>75</v>
      </c>
      <c r="C3784" s="17" t="s">
        <v>76</v>
      </c>
      <c r="D3784" s="18">
        <v>5.0</v>
      </c>
      <c r="E3784" s="17" t="s">
        <v>22</v>
      </c>
      <c r="F3784" s="15" t="s">
        <v>146</v>
      </c>
      <c r="G3784" s="19">
        <v>9.0042122E7</v>
      </c>
      <c r="H3784" s="15" t="s">
        <v>56</v>
      </c>
      <c r="I3784" s="20" t="s">
        <v>25</v>
      </c>
      <c r="J3784" s="21">
        <v>2.0976605E7</v>
      </c>
      <c r="K3784" s="21">
        <v>0.0</v>
      </c>
    </row>
    <row r="3785">
      <c r="A3785" s="15" t="s">
        <v>74</v>
      </c>
      <c r="B3785" s="16" t="s">
        <v>75</v>
      </c>
      <c r="C3785" s="17" t="s">
        <v>76</v>
      </c>
      <c r="D3785" s="18">
        <v>5.0</v>
      </c>
      <c r="E3785" s="17" t="s">
        <v>22</v>
      </c>
      <c r="F3785" s="15" t="s">
        <v>146</v>
      </c>
      <c r="G3785" s="19">
        <v>9.0042124E7</v>
      </c>
      <c r="H3785" s="15" t="s">
        <v>57</v>
      </c>
      <c r="I3785" s="20" t="s">
        <v>25</v>
      </c>
      <c r="J3785" s="21">
        <v>1.3331616E7</v>
      </c>
      <c r="K3785" s="21">
        <v>0.0</v>
      </c>
    </row>
    <row r="3786">
      <c r="A3786" s="15" t="s">
        <v>74</v>
      </c>
      <c r="B3786" s="16" t="s">
        <v>75</v>
      </c>
      <c r="C3786" s="17" t="s">
        <v>76</v>
      </c>
      <c r="D3786" s="18">
        <v>5.0</v>
      </c>
      <c r="E3786" s="17" t="s">
        <v>22</v>
      </c>
      <c r="F3786" s="15" t="s">
        <v>146</v>
      </c>
      <c r="G3786" s="19">
        <v>9.0042125E7</v>
      </c>
      <c r="H3786" s="15" t="s">
        <v>26</v>
      </c>
      <c r="I3786" s="20" t="s">
        <v>25</v>
      </c>
      <c r="J3786" s="21">
        <v>7.5435496E7</v>
      </c>
      <c r="K3786" s="21">
        <v>0.0</v>
      </c>
    </row>
    <row r="3787">
      <c r="A3787" s="15" t="s">
        <v>74</v>
      </c>
      <c r="B3787" s="16" t="s">
        <v>75</v>
      </c>
      <c r="C3787" s="17" t="s">
        <v>76</v>
      </c>
      <c r="D3787" s="18">
        <v>5.0</v>
      </c>
      <c r="E3787" s="17" t="s">
        <v>22</v>
      </c>
      <c r="F3787" s="15" t="s">
        <v>146</v>
      </c>
      <c r="G3787" s="19">
        <v>9.0042127E7</v>
      </c>
      <c r="H3787" s="15" t="s">
        <v>27</v>
      </c>
      <c r="I3787" s="20" t="s">
        <v>25</v>
      </c>
      <c r="J3787" s="21">
        <v>8323665.0</v>
      </c>
      <c r="K3787" s="21">
        <v>0.0</v>
      </c>
    </row>
    <row r="3788">
      <c r="A3788" s="15" t="s">
        <v>74</v>
      </c>
      <c r="B3788" s="16" t="s">
        <v>75</v>
      </c>
      <c r="C3788" s="17" t="s">
        <v>76</v>
      </c>
      <c r="D3788" s="18">
        <v>5.0</v>
      </c>
      <c r="E3788" s="17" t="s">
        <v>22</v>
      </c>
      <c r="F3788" s="15" t="s">
        <v>146</v>
      </c>
      <c r="G3788" s="19">
        <v>9.0042128E7</v>
      </c>
      <c r="H3788" s="15" t="s">
        <v>58</v>
      </c>
      <c r="I3788" s="20" t="s">
        <v>25</v>
      </c>
      <c r="J3788" s="21">
        <v>2313535.0</v>
      </c>
      <c r="K3788" s="21">
        <v>0.0</v>
      </c>
    </row>
    <row r="3789">
      <c r="A3789" s="15" t="s">
        <v>74</v>
      </c>
      <c r="B3789" s="16" t="s">
        <v>75</v>
      </c>
      <c r="C3789" s="17" t="s">
        <v>76</v>
      </c>
      <c r="D3789" s="18">
        <v>5.0</v>
      </c>
      <c r="E3789" s="17" t="s">
        <v>22</v>
      </c>
      <c r="F3789" s="15" t="s">
        <v>146</v>
      </c>
      <c r="G3789" s="19">
        <v>9.0042132E7</v>
      </c>
      <c r="H3789" s="15" t="s">
        <v>28</v>
      </c>
      <c r="I3789" s="20" t="s">
        <v>25</v>
      </c>
      <c r="J3789" s="21">
        <v>1.231375E7</v>
      </c>
      <c r="K3789" s="21">
        <v>0.0</v>
      </c>
    </row>
    <row r="3790">
      <c r="A3790" s="15" t="s">
        <v>74</v>
      </c>
      <c r="B3790" s="16" t="s">
        <v>75</v>
      </c>
      <c r="C3790" s="17" t="s">
        <v>76</v>
      </c>
      <c r="D3790" s="18">
        <v>5.0</v>
      </c>
      <c r="E3790" s="17" t="s">
        <v>22</v>
      </c>
      <c r="F3790" s="15" t="s">
        <v>146</v>
      </c>
      <c r="G3790" s="19">
        <v>9.0042135E7</v>
      </c>
      <c r="H3790" s="15" t="s">
        <v>30</v>
      </c>
      <c r="I3790" s="20" t="s">
        <v>25</v>
      </c>
      <c r="J3790" s="21">
        <v>2.66465731E8</v>
      </c>
      <c r="K3790" s="21">
        <v>0.0</v>
      </c>
    </row>
    <row r="3791">
      <c r="A3791" s="15" t="s">
        <v>74</v>
      </c>
      <c r="B3791" s="16" t="s">
        <v>75</v>
      </c>
      <c r="C3791" s="17" t="s">
        <v>76</v>
      </c>
      <c r="D3791" s="18">
        <v>5.0</v>
      </c>
      <c r="E3791" s="17" t="s">
        <v>22</v>
      </c>
      <c r="F3791" s="15" t="s">
        <v>146</v>
      </c>
      <c r="G3791" s="19">
        <v>9.00422E7</v>
      </c>
      <c r="H3791" s="15" t="s">
        <v>73</v>
      </c>
      <c r="I3791" s="20" t="s">
        <v>60</v>
      </c>
      <c r="J3791" s="21">
        <v>4.87597162E8</v>
      </c>
      <c r="K3791" s="21">
        <v>0.0</v>
      </c>
    </row>
    <row r="3792">
      <c r="A3792" s="15" t="s">
        <v>74</v>
      </c>
      <c r="B3792" s="16" t="s">
        <v>75</v>
      </c>
      <c r="C3792" s="17" t="s">
        <v>76</v>
      </c>
      <c r="D3792" s="18">
        <v>5.0</v>
      </c>
      <c r="E3792" s="17" t="s">
        <v>22</v>
      </c>
      <c r="F3792" s="15" t="s">
        <v>146</v>
      </c>
      <c r="G3792" s="19">
        <v>9.0042223E7</v>
      </c>
      <c r="H3792" s="15" t="s">
        <v>61</v>
      </c>
      <c r="I3792" s="20" t="s">
        <v>60</v>
      </c>
      <c r="J3792" s="21">
        <v>4817571.0</v>
      </c>
      <c r="K3792" s="21">
        <v>0.0</v>
      </c>
    </row>
    <row r="3793">
      <c r="A3793" s="15" t="s">
        <v>74</v>
      </c>
      <c r="B3793" s="16" t="s">
        <v>75</v>
      </c>
      <c r="C3793" s="17" t="s">
        <v>76</v>
      </c>
      <c r="D3793" s="18">
        <v>5.0</v>
      </c>
      <c r="E3793" s="17" t="s">
        <v>22</v>
      </c>
      <c r="F3793" s="15" t="s">
        <v>146</v>
      </c>
      <c r="G3793" s="19">
        <v>9.0042224E7</v>
      </c>
      <c r="H3793" s="15" t="s">
        <v>62</v>
      </c>
      <c r="I3793" s="20" t="s">
        <v>60</v>
      </c>
      <c r="J3793" s="21">
        <v>8789288.0</v>
      </c>
      <c r="K3793" s="21">
        <v>0.0</v>
      </c>
    </row>
    <row r="3794">
      <c r="A3794" s="15" t="s">
        <v>74</v>
      </c>
      <c r="B3794" s="16" t="s">
        <v>75</v>
      </c>
      <c r="C3794" s="17" t="s">
        <v>76</v>
      </c>
      <c r="D3794" s="18">
        <v>5.0</v>
      </c>
      <c r="E3794" s="17" t="s">
        <v>22</v>
      </c>
      <c r="F3794" s="15" t="s">
        <v>146</v>
      </c>
      <c r="G3794" s="19">
        <v>9.0042225E7</v>
      </c>
      <c r="H3794" s="15" t="s">
        <v>147</v>
      </c>
      <c r="I3794" s="20" t="s">
        <v>60</v>
      </c>
      <c r="J3794" s="21">
        <v>4523283.0</v>
      </c>
      <c r="K3794" s="21">
        <v>0.0</v>
      </c>
    </row>
    <row r="3795">
      <c r="A3795" s="15" t="s">
        <v>74</v>
      </c>
      <c r="B3795" s="16" t="s">
        <v>75</v>
      </c>
      <c r="C3795" s="17" t="s">
        <v>76</v>
      </c>
      <c r="D3795" s="18">
        <v>5.0</v>
      </c>
      <c r="E3795" s="17" t="s">
        <v>22</v>
      </c>
      <c r="F3795" s="15" t="s">
        <v>146</v>
      </c>
      <c r="G3795" s="19">
        <v>9.0042226E7</v>
      </c>
      <c r="H3795" s="15" t="s">
        <v>63</v>
      </c>
      <c r="I3795" s="20" t="s">
        <v>60</v>
      </c>
      <c r="J3795" s="21">
        <v>4500282.0</v>
      </c>
      <c r="K3795" s="21">
        <v>0.0</v>
      </c>
    </row>
    <row r="3796">
      <c r="A3796" s="15" t="s">
        <v>74</v>
      </c>
      <c r="B3796" s="16" t="s">
        <v>75</v>
      </c>
      <c r="C3796" s="17" t="s">
        <v>76</v>
      </c>
      <c r="D3796" s="18">
        <v>5.0</v>
      </c>
      <c r="E3796" s="17" t="s">
        <v>22</v>
      </c>
      <c r="F3796" s="15" t="s">
        <v>146</v>
      </c>
      <c r="G3796" s="19">
        <v>9.0042228E7</v>
      </c>
      <c r="H3796" s="15" t="s">
        <v>64</v>
      </c>
      <c r="I3796" s="20" t="s">
        <v>60</v>
      </c>
      <c r="J3796" s="21">
        <v>6.1906257E7</v>
      </c>
      <c r="K3796" s="21">
        <v>0.0</v>
      </c>
    </row>
    <row r="3797">
      <c r="A3797" s="15" t="s">
        <v>74</v>
      </c>
      <c r="B3797" s="16" t="s">
        <v>75</v>
      </c>
      <c r="C3797" s="17" t="s">
        <v>76</v>
      </c>
      <c r="D3797" s="18">
        <v>5.0</v>
      </c>
      <c r="E3797" s="17" t="s">
        <v>22</v>
      </c>
      <c r="F3797" s="15" t="s">
        <v>146</v>
      </c>
      <c r="G3797" s="19">
        <v>9.0042231E7</v>
      </c>
      <c r="H3797" s="15" t="s">
        <v>65</v>
      </c>
      <c r="I3797" s="20" t="s">
        <v>60</v>
      </c>
      <c r="J3797" s="21">
        <v>5347830.0</v>
      </c>
      <c r="K3797" s="21">
        <v>0.0</v>
      </c>
    </row>
    <row r="3798">
      <c r="A3798" s="15" t="s">
        <v>74</v>
      </c>
      <c r="B3798" s="16" t="s">
        <v>75</v>
      </c>
      <c r="C3798" s="17" t="s">
        <v>76</v>
      </c>
      <c r="D3798" s="18">
        <v>5.0</v>
      </c>
      <c r="E3798" s="17" t="s">
        <v>22</v>
      </c>
      <c r="F3798" s="15" t="s">
        <v>146</v>
      </c>
      <c r="G3798" s="19">
        <v>9.0042126E7</v>
      </c>
      <c r="H3798" s="15" t="s">
        <v>31</v>
      </c>
      <c r="I3798" s="20" t="s">
        <v>25</v>
      </c>
      <c r="J3798" s="21">
        <v>5.0186881E7</v>
      </c>
      <c r="K3798" s="21">
        <v>0.0</v>
      </c>
    </row>
    <row r="3799">
      <c r="A3799" s="15" t="s">
        <v>74</v>
      </c>
      <c r="B3799" s="16" t="s">
        <v>75</v>
      </c>
      <c r="C3799" s="17" t="s">
        <v>76</v>
      </c>
      <c r="D3799" s="18">
        <v>5.0</v>
      </c>
      <c r="E3799" s="17" t="s">
        <v>22</v>
      </c>
      <c r="F3799" s="15" t="s">
        <v>146</v>
      </c>
      <c r="G3799" s="19">
        <v>9.004212E7</v>
      </c>
      <c r="H3799" s="15" t="s">
        <v>182</v>
      </c>
      <c r="I3799" s="20" t="s">
        <v>25</v>
      </c>
      <c r="J3799" s="21">
        <v>1.09734E8</v>
      </c>
      <c r="K3799" s="21">
        <v>0.0</v>
      </c>
    </row>
    <row r="3800">
      <c r="A3800" s="15" t="s">
        <v>74</v>
      </c>
      <c r="B3800" s="16" t="s">
        <v>75</v>
      </c>
      <c r="C3800" s="17" t="s">
        <v>76</v>
      </c>
      <c r="D3800" s="18">
        <v>5.0</v>
      </c>
      <c r="E3800" s="17" t="s">
        <v>366</v>
      </c>
      <c r="F3800" s="15" t="s">
        <v>367</v>
      </c>
      <c r="G3800" s="19">
        <v>9.0043001E7</v>
      </c>
      <c r="H3800" s="15" t="s">
        <v>18</v>
      </c>
      <c r="I3800" s="20" t="s">
        <v>19</v>
      </c>
      <c r="J3800" s="21">
        <v>157586.0</v>
      </c>
      <c r="K3800" s="21">
        <v>1.0</v>
      </c>
    </row>
    <row r="3801">
      <c r="A3801" s="15" t="s">
        <v>74</v>
      </c>
      <c r="B3801" s="16" t="s">
        <v>75</v>
      </c>
      <c r="C3801" s="17" t="s">
        <v>76</v>
      </c>
      <c r="D3801" s="18">
        <v>5.0</v>
      </c>
      <c r="E3801" s="17" t="s">
        <v>257</v>
      </c>
      <c r="F3801" s="15" t="s">
        <v>258</v>
      </c>
      <c r="G3801" s="19">
        <v>5.1100774E7</v>
      </c>
      <c r="H3801" s="15" t="s">
        <v>39</v>
      </c>
      <c r="I3801" s="20" t="s">
        <v>17</v>
      </c>
      <c r="J3801" s="21">
        <v>1.768E7</v>
      </c>
      <c r="K3801" s="21">
        <v>2.08</v>
      </c>
    </row>
    <row r="3802">
      <c r="A3802" s="15" t="s">
        <v>74</v>
      </c>
      <c r="B3802" s="16" t="s">
        <v>148</v>
      </c>
      <c r="C3802" s="17" t="s">
        <v>149</v>
      </c>
      <c r="D3802" s="18">
        <v>5.0</v>
      </c>
      <c r="E3802" s="24">
        <v>46038.0</v>
      </c>
      <c r="F3802" s="15" t="s">
        <v>150</v>
      </c>
      <c r="G3802" s="19">
        <v>9.0043001E7</v>
      </c>
      <c r="H3802" s="15" t="s">
        <v>18</v>
      </c>
      <c r="I3802" s="20" t="s">
        <v>19</v>
      </c>
      <c r="J3802" s="21">
        <v>1.421642E7</v>
      </c>
      <c r="K3802" s="21">
        <v>85.0</v>
      </c>
    </row>
    <row r="3803">
      <c r="A3803" s="15" t="s">
        <v>74</v>
      </c>
      <c r="B3803" s="16" t="s">
        <v>148</v>
      </c>
      <c r="C3803" s="17" t="s">
        <v>149</v>
      </c>
      <c r="D3803" s="18">
        <v>5.0</v>
      </c>
      <c r="E3803" s="17" t="s">
        <v>77</v>
      </c>
      <c r="F3803" s="15" t="s">
        <v>78</v>
      </c>
      <c r="G3803" s="19">
        <v>9.0043001E7</v>
      </c>
      <c r="H3803" s="15" t="s">
        <v>18</v>
      </c>
      <c r="I3803" s="20" t="s">
        <v>19</v>
      </c>
      <c r="J3803" s="21">
        <v>6297312.0</v>
      </c>
      <c r="K3803" s="21">
        <v>42.0</v>
      </c>
    </row>
    <row r="3804">
      <c r="A3804" s="15" t="s">
        <v>74</v>
      </c>
      <c r="B3804" s="16" t="s">
        <v>148</v>
      </c>
      <c r="C3804" s="17" t="s">
        <v>149</v>
      </c>
      <c r="D3804" s="18">
        <v>5.0</v>
      </c>
      <c r="E3804" s="17" t="s">
        <v>222</v>
      </c>
      <c r="F3804" s="15" t="s">
        <v>223</v>
      </c>
      <c r="G3804" s="19">
        <v>5.1100153E7</v>
      </c>
      <c r="H3804" s="15" t="s">
        <v>72</v>
      </c>
      <c r="I3804" s="20" t="s">
        <v>17</v>
      </c>
      <c r="J3804" s="21">
        <v>1.8956502E7</v>
      </c>
      <c r="K3804" s="21">
        <v>83450.0</v>
      </c>
    </row>
    <row r="3805">
      <c r="A3805" s="15" t="s">
        <v>74</v>
      </c>
      <c r="B3805" s="16" t="s">
        <v>148</v>
      </c>
      <c r="C3805" s="17" t="s">
        <v>149</v>
      </c>
      <c r="D3805" s="18">
        <v>5.0</v>
      </c>
      <c r="E3805" s="17" t="s">
        <v>222</v>
      </c>
      <c r="F3805" s="15" t="s">
        <v>223</v>
      </c>
      <c r="G3805" s="19">
        <v>9.0043002E7</v>
      </c>
      <c r="H3805" s="15" t="s">
        <v>49</v>
      </c>
      <c r="I3805" s="20" t="s">
        <v>50</v>
      </c>
      <c r="J3805" s="21">
        <v>1831992.0</v>
      </c>
      <c r="K3805" s="21">
        <v>155.0</v>
      </c>
    </row>
    <row r="3806">
      <c r="A3806" s="15" t="s">
        <v>74</v>
      </c>
      <c r="B3806" s="16" t="s">
        <v>148</v>
      </c>
      <c r="C3806" s="17" t="s">
        <v>149</v>
      </c>
      <c r="D3806" s="18">
        <v>5.0</v>
      </c>
      <c r="E3806" s="17" t="s">
        <v>79</v>
      </c>
      <c r="F3806" s="15" t="s">
        <v>80</v>
      </c>
      <c r="G3806" s="19">
        <v>9.0043001E7</v>
      </c>
      <c r="H3806" s="15" t="s">
        <v>18</v>
      </c>
      <c r="I3806" s="20" t="s">
        <v>19</v>
      </c>
      <c r="J3806" s="21">
        <v>4.722984E7</v>
      </c>
      <c r="K3806" s="21">
        <v>315.0</v>
      </c>
    </row>
    <row r="3807">
      <c r="A3807" s="15" t="s">
        <v>74</v>
      </c>
      <c r="B3807" s="16" t="s">
        <v>148</v>
      </c>
      <c r="C3807" s="17" t="s">
        <v>149</v>
      </c>
      <c r="D3807" s="18">
        <v>5.0</v>
      </c>
      <c r="E3807" s="17" t="s">
        <v>84</v>
      </c>
      <c r="F3807" s="15" t="s">
        <v>85</v>
      </c>
      <c r="G3807" s="19">
        <v>9.0043001E7</v>
      </c>
      <c r="H3807" s="15" t="s">
        <v>18</v>
      </c>
      <c r="I3807" s="20" t="s">
        <v>19</v>
      </c>
      <c r="J3807" s="21">
        <v>7.3656116E7</v>
      </c>
      <c r="K3807" s="21">
        <v>430.0</v>
      </c>
    </row>
    <row r="3808">
      <c r="A3808" s="15" t="s">
        <v>74</v>
      </c>
      <c r="B3808" s="16" t="s">
        <v>148</v>
      </c>
      <c r="C3808" s="17" t="s">
        <v>149</v>
      </c>
      <c r="D3808" s="18">
        <v>5.0</v>
      </c>
      <c r="E3808" s="17" t="s">
        <v>84</v>
      </c>
      <c r="F3808" s="15" t="s">
        <v>85</v>
      </c>
      <c r="G3808" s="19">
        <v>9.0043E7</v>
      </c>
      <c r="H3808" s="15" t="s">
        <v>83</v>
      </c>
      <c r="I3808" s="20" t="s">
        <v>19</v>
      </c>
      <c r="J3808" s="21">
        <v>528336.0</v>
      </c>
      <c r="K3808" s="21">
        <v>3.0</v>
      </c>
    </row>
    <row r="3809">
      <c r="A3809" s="15" t="s">
        <v>74</v>
      </c>
      <c r="B3809" s="16" t="s">
        <v>148</v>
      </c>
      <c r="C3809" s="17" t="s">
        <v>149</v>
      </c>
      <c r="D3809" s="18">
        <v>5.0</v>
      </c>
      <c r="E3809" s="17" t="s">
        <v>86</v>
      </c>
      <c r="F3809" s="15" t="s">
        <v>87</v>
      </c>
      <c r="G3809" s="19">
        <v>9.0043001E7</v>
      </c>
      <c r="H3809" s="15" t="s">
        <v>18</v>
      </c>
      <c r="I3809" s="20" t="s">
        <v>19</v>
      </c>
      <c r="J3809" s="21">
        <v>7.3819369E7</v>
      </c>
      <c r="K3809" s="21">
        <v>425.0</v>
      </c>
    </row>
    <row r="3810">
      <c r="A3810" s="15" t="s">
        <v>74</v>
      </c>
      <c r="B3810" s="16" t="s">
        <v>148</v>
      </c>
      <c r="C3810" s="17" t="s">
        <v>149</v>
      </c>
      <c r="D3810" s="18">
        <v>5.0</v>
      </c>
      <c r="E3810" s="17" t="s">
        <v>86</v>
      </c>
      <c r="F3810" s="15" t="s">
        <v>87</v>
      </c>
      <c r="G3810" s="19">
        <v>9.0043E7</v>
      </c>
      <c r="H3810" s="15" t="s">
        <v>83</v>
      </c>
      <c r="I3810" s="20" t="s">
        <v>19</v>
      </c>
      <c r="J3810" s="21">
        <v>3170016.0</v>
      </c>
      <c r="K3810" s="21">
        <v>18.0</v>
      </c>
    </row>
    <row r="3811">
      <c r="A3811" s="15" t="s">
        <v>74</v>
      </c>
      <c r="B3811" s="16" t="s">
        <v>148</v>
      </c>
      <c r="C3811" s="17" t="s">
        <v>149</v>
      </c>
      <c r="D3811" s="18">
        <v>5.0</v>
      </c>
      <c r="E3811" s="17" t="s">
        <v>152</v>
      </c>
      <c r="F3811" s="15" t="s">
        <v>153</v>
      </c>
      <c r="G3811" s="19">
        <v>9.0043003E7</v>
      </c>
      <c r="H3811" s="15" t="s">
        <v>90</v>
      </c>
      <c r="I3811" s="20" t="s">
        <v>50</v>
      </c>
      <c r="J3811" s="21">
        <v>1.7191618E7</v>
      </c>
      <c r="K3811" s="21">
        <v>25.9</v>
      </c>
    </row>
    <row r="3812">
      <c r="A3812" s="15" t="s">
        <v>74</v>
      </c>
      <c r="B3812" s="16" t="s">
        <v>148</v>
      </c>
      <c r="C3812" s="17" t="s">
        <v>149</v>
      </c>
      <c r="D3812" s="18">
        <v>5.0</v>
      </c>
      <c r="E3812" s="17" t="s">
        <v>154</v>
      </c>
      <c r="F3812" s="15" t="s">
        <v>155</v>
      </c>
      <c r="G3812" s="19">
        <v>5.1100651E7</v>
      </c>
      <c r="H3812" s="15" t="s">
        <v>38</v>
      </c>
      <c r="I3812" s="20" t="s">
        <v>25</v>
      </c>
      <c r="J3812" s="21">
        <v>4805066.0</v>
      </c>
      <c r="K3812" s="21">
        <v>0.0</v>
      </c>
    </row>
    <row r="3813">
      <c r="A3813" s="15" t="s">
        <v>74</v>
      </c>
      <c r="B3813" s="16" t="s">
        <v>148</v>
      </c>
      <c r="C3813" s="17" t="s">
        <v>149</v>
      </c>
      <c r="D3813" s="18">
        <v>5.0</v>
      </c>
      <c r="E3813" s="17" t="s">
        <v>154</v>
      </c>
      <c r="F3813" s="15" t="s">
        <v>155</v>
      </c>
      <c r="G3813" s="19">
        <v>9.0043002E7</v>
      </c>
      <c r="H3813" s="15" t="s">
        <v>49</v>
      </c>
      <c r="I3813" s="20" t="s">
        <v>50</v>
      </c>
      <c r="J3813" s="21">
        <v>1.4064967E7</v>
      </c>
      <c r="K3813" s="21">
        <v>1190.0</v>
      </c>
    </row>
    <row r="3814">
      <c r="A3814" s="15" t="s">
        <v>74</v>
      </c>
      <c r="B3814" s="16" t="s">
        <v>148</v>
      </c>
      <c r="C3814" s="17" t="s">
        <v>149</v>
      </c>
      <c r="D3814" s="18">
        <v>5.0</v>
      </c>
      <c r="E3814" s="17" t="s">
        <v>91</v>
      </c>
      <c r="F3814" s="15" t="s">
        <v>92</v>
      </c>
      <c r="G3814" s="19">
        <v>9.0043001E7</v>
      </c>
      <c r="H3814" s="15" t="s">
        <v>18</v>
      </c>
      <c r="I3814" s="20" t="s">
        <v>19</v>
      </c>
      <c r="J3814" s="21">
        <v>1.1043065E7</v>
      </c>
      <c r="K3814" s="21">
        <v>67.0</v>
      </c>
    </row>
    <row r="3815">
      <c r="A3815" s="15" t="s">
        <v>74</v>
      </c>
      <c r="B3815" s="16" t="s">
        <v>148</v>
      </c>
      <c r="C3815" s="17" t="s">
        <v>149</v>
      </c>
      <c r="D3815" s="18">
        <v>5.0</v>
      </c>
      <c r="E3815" s="17" t="s">
        <v>156</v>
      </c>
      <c r="F3815" s="15" t="s">
        <v>157</v>
      </c>
      <c r="G3815" s="19">
        <v>9.0043001E7</v>
      </c>
      <c r="H3815" s="15" t="s">
        <v>18</v>
      </c>
      <c r="I3815" s="20" t="s">
        <v>19</v>
      </c>
      <c r="J3815" s="21">
        <v>1.198323E7</v>
      </c>
      <c r="K3815" s="21">
        <v>69.0</v>
      </c>
    </row>
    <row r="3816">
      <c r="A3816" s="15" t="s">
        <v>74</v>
      </c>
      <c r="B3816" s="16" t="s">
        <v>148</v>
      </c>
      <c r="C3816" s="17" t="s">
        <v>149</v>
      </c>
      <c r="D3816" s="18">
        <v>5.0</v>
      </c>
      <c r="E3816" s="17" t="s">
        <v>95</v>
      </c>
      <c r="F3816" s="15" t="s">
        <v>96</v>
      </c>
      <c r="G3816" s="19">
        <v>5.1100058E7</v>
      </c>
      <c r="H3816" s="15" t="s">
        <v>36</v>
      </c>
      <c r="I3816" s="20" t="s">
        <v>37</v>
      </c>
      <c r="J3816" s="21">
        <v>1.8960207E7</v>
      </c>
      <c r="K3816" s="21">
        <v>241.735</v>
      </c>
    </row>
    <row r="3817">
      <c r="A3817" s="15" t="s">
        <v>74</v>
      </c>
      <c r="B3817" s="16" t="s">
        <v>148</v>
      </c>
      <c r="C3817" s="17" t="s">
        <v>149</v>
      </c>
      <c r="D3817" s="18">
        <v>5.0</v>
      </c>
      <c r="E3817" s="17" t="s">
        <v>95</v>
      </c>
      <c r="F3817" s="15" t="s">
        <v>96</v>
      </c>
      <c r="G3817" s="19">
        <v>9.0043001E7</v>
      </c>
      <c r="H3817" s="15" t="s">
        <v>18</v>
      </c>
      <c r="I3817" s="20" t="s">
        <v>19</v>
      </c>
      <c r="J3817" s="21">
        <v>1917971.0</v>
      </c>
      <c r="K3817" s="21">
        <v>11.0</v>
      </c>
    </row>
    <row r="3818">
      <c r="A3818" s="15" t="s">
        <v>74</v>
      </c>
      <c r="B3818" s="16" t="s">
        <v>148</v>
      </c>
      <c r="C3818" s="17" t="s">
        <v>149</v>
      </c>
      <c r="D3818" s="18">
        <v>5.0</v>
      </c>
      <c r="E3818" s="17" t="s">
        <v>101</v>
      </c>
      <c r="F3818" s="15" t="s">
        <v>102</v>
      </c>
      <c r="G3818" s="19">
        <v>5.1100651E7</v>
      </c>
      <c r="H3818" s="15" t="s">
        <v>38</v>
      </c>
      <c r="I3818" s="20" t="s">
        <v>17</v>
      </c>
      <c r="J3818" s="21">
        <v>2969920.0</v>
      </c>
      <c r="K3818" s="21">
        <v>40.0</v>
      </c>
    </row>
    <row r="3819">
      <c r="A3819" s="15" t="s">
        <v>74</v>
      </c>
      <c r="B3819" s="16" t="s">
        <v>148</v>
      </c>
      <c r="C3819" s="17" t="s">
        <v>149</v>
      </c>
      <c r="D3819" s="18">
        <v>5.0</v>
      </c>
      <c r="E3819" s="17" t="s">
        <v>101</v>
      </c>
      <c r="F3819" s="15" t="s">
        <v>102</v>
      </c>
      <c r="G3819" s="19">
        <v>9.0043001E7</v>
      </c>
      <c r="H3819" s="15" t="s">
        <v>18</v>
      </c>
      <c r="I3819" s="20" t="s">
        <v>19</v>
      </c>
      <c r="J3819" s="21">
        <v>8.5738519E7</v>
      </c>
      <c r="K3819" s="21">
        <v>507.0</v>
      </c>
    </row>
    <row r="3820">
      <c r="A3820" s="15" t="s">
        <v>74</v>
      </c>
      <c r="B3820" s="16" t="s">
        <v>148</v>
      </c>
      <c r="C3820" s="17" t="s">
        <v>149</v>
      </c>
      <c r="D3820" s="18">
        <v>5.0</v>
      </c>
      <c r="E3820" s="17" t="s">
        <v>103</v>
      </c>
      <c r="F3820" s="15" t="s">
        <v>104</v>
      </c>
      <c r="G3820" s="19">
        <v>5.1100058E7</v>
      </c>
      <c r="H3820" s="15" t="s">
        <v>36</v>
      </c>
      <c r="I3820" s="20" t="s">
        <v>37</v>
      </c>
      <c r="J3820" s="21">
        <v>1.9116967E7</v>
      </c>
      <c r="K3820" s="21">
        <v>239.626</v>
      </c>
    </row>
    <row r="3821">
      <c r="A3821" s="15" t="s">
        <v>74</v>
      </c>
      <c r="B3821" s="16" t="s">
        <v>148</v>
      </c>
      <c r="C3821" s="17" t="s">
        <v>149</v>
      </c>
      <c r="D3821" s="18">
        <v>5.0</v>
      </c>
      <c r="E3821" s="17" t="s">
        <v>103</v>
      </c>
      <c r="F3821" s="15" t="s">
        <v>104</v>
      </c>
      <c r="G3821" s="19">
        <v>9.0043001E7</v>
      </c>
      <c r="H3821" s="15" t="s">
        <v>18</v>
      </c>
      <c r="I3821" s="20" t="s">
        <v>19</v>
      </c>
      <c r="J3821" s="21">
        <v>4.5595871E7</v>
      </c>
      <c r="K3821" s="21">
        <v>273.0</v>
      </c>
    </row>
    <row r="3822">
      <c r="A3822" s="15" t="s">
        <v>74</v>
      </c>
      <c r="B3822" s="16" t="s">
        <v>148</v>
      </c>
      <c r="C3822" s="17" t="s">
        <v>149</v>
      </c>
      <c r="D3822" s="18">
        <v>5.0</v>
      </c>
      <c r="E3822" s="17" t="s">
        <v>158</v>
      </c>
      <c r="F3822" s="15" t="s">
        <v>159</v>
      </c>
      <c r="G3822" s="19">
        <v>9.0043E7</v>
      </c>
      <c r="H3822" s="15" t="s">
        <v>83</v>
      </c>
      <c r="I3822" s="20" t="s">
        <v>19</v>
      </c>
      <c r="J3822" s="21">
        <v>2904180.0</v>
      </c>
      <c r="K3822" s="21">
        <v>15.0</v>
      </c>
    </row>
    <row r="3823">
      <c r="A3823" s="15" t="s">
        <v>74</v>
      </c>
      <c r="B3823" s="16" t="s">
        <v>148</v>
      </c>
      <c r="C3823" s="17" t="s">
        <v>149</v>
      </c>
      <c r="D3823" s="18">
        <v>5.0</v>
      </c>
      <c r="E3823" s="17" t="s">
        <v>207</v>
      </c>
      <c r="F3823" s="15" t="s">
        <v>208</v>
      </c>
      <c r="G3823" s="19">
        <v>9.0043001E7</v>
      </c>
      <c r="H3823" s="15" t="s">
        <v>18</v>
      </c>
      <c r="I3823" s="20" t="s">
        <v>19</v>
      </c>
      <c r="J3823" s="21">
        <v>6101004.0</v>
      </c>
      <c r="K3823" s="21">
        <v>37.0</v>
      </c>
    </row>
    <row r="3824">
      <c r="A3824" s="15" t="s">
        <v>74</v>
      </c>
      <c r="B3824" s="16" t="s">
        <v>148</v>
      </c>
      <c r="C3824" s="17" t="s">
        <v>149</v>
      </c>
      <c r="D3824" s="18">
        <v>5.0</v>
      </c>
      <c r="E3824" s="17" t="s">
        <v>209</v>
      </c>
      <c r="F3824" s="15" t="s">
        <v>210</v>
      </c>
      <c r="G3824" s="19">
        <v>5.1100651E7</v>
      </c>
      <c r="H3824" s="15" t="s">
        <v>38</v>
      </c>
      <c r="I3824" s="20" t="s">
        <v>17</v>
      </c>
      <c r="J3824" s="21">
        <v>1.3628754E7</v>
      </c>
      <c r="K3824" s="21">
        <v>147.02</v>
      </c>
    </row>
    <row r="3825">
      <c r="A3825" s="15" t="s">
        <v>74</v>
      </c>
      <c r="B3825" s="16" t="s">
        <v>148</v>
      </c>
      <c r="C3825" s="17" t="s">
        <v>149</v>
      </c>
      <c r="D3825" s="18">
        <v>5.0</v>
      </c>
      <c r="E3825" s="17" t="s">
        <v>175</v>
      </c>
      <c r="F3825" s="15" t="s">
        <v>176</v>
      </c>
      <c r="G3825" s="19">
        <v>5.1100651E7</v>
      </c>
      <c r="H3825" s="15" t="s">
        <v>38</v>
      </c>
      <c r="I3825" s="20" t="s">
        <v>17</v>
      </c>
      <c r="J3825" s="21">
        <v>2853000.0</v>
      </c>
      <c r="K3825" s="21">
        <v>31700.0</v>
      </c>
    </row>
    <row r="3826">
      <c r="A3826" s="15" t="s">
        <v>74</v>
      </c>
      <c r="B3826" s="16" t="s">
        <v>148</v>
      </c>
      <c r="C3826" s="17" t="s">
        <v>149</v>
      </c>
      <c r="D3826" s="18">
        <v>5.0</v>
      </c>
      <c r="E3826" s="17" t="s">
        <v>175</v>
      </c>
      <c r="F3826" s="15" t="s">
        <v>176</v>
      </c>
      <c r="G3826" s="19">
        <v>9.0043002E7</v>
      </c>
      <c r="H3826" s="15" t="s">
        <v>49</v>
      </c>
      <c r="I3826" s="20" t="s">
        <v>50</v>
      </c>
      <c r="J3826" s="21">
        <v>3427599.0</v>
      </c>
      <c r="K3826" s="21">
        <v>290.0</v>
      </c>
    </row>
    <row r="3827">
      <c r="A3827" s="15" t="s">
        <v>74</v>
      </c>
      <c r="B3827" s="16" t="s">
        <v>148</v>
      </c>
      <c r="C3827" s="17" t="s">
        <v>149</v>
      </c>
      <c r="D3827" s="18">
        <v>5.0</v>
      </c>
      <c r="E3827" s="17" t="s">
        <v>175</v>
      </c>
      <c r="F3827" s="15" t="s">
        <v>176</v>
      </c>
      <c r="G3827" s="19">
        <v>5.1100774E7</v>
      </c>
      <c r="H3827" s="15" t="s">
        <v>39</v>
      </c>
      <c r="I3827" s="20" t="s">
        <v>17</v>
      </c>
      <c r="J3827" s="21">
        <v>6912000.0</v>
      </c>
      <c r="K3827" s="21">
        <v>76800.0</v>
      </c>
    </row>
    <row r="3828">
      <c r="A3828" s="15" t="s">
        <v>74</v>
      </c>
      <c r="B3828" s="16" t="s">
        <v>148</v>
      </c>
      <c r="C3828" s="17" t="s">
        <v>149</v>
      </c>
      <c r="D3828" s="18">
        <v>5.0</v>
      </c>
      <c r="E3828" s="17" t="s">
        <v>117</v>
      </c>
      <c r="F3828" s="15" t="s">
        <v>118</v>
      </c>
      <c r="G3828" s="19">
        <v>5.1100058E7</v>
      </c>
      <c r="H3828" s="15" t="s">
        <v>36</v>
      </c>
      <c r="I3828" s="20" t="s">
        <v>37</v>
      </c>
      <c r="J3828" s="21">
        <v>1.119948863E9</v>
      </c>
      <c r="K3828" s="21">
        <v>145169.13</v>
      </c>
    </row>
    <row r="3829">
      <c r="A3829" s="15" t="s">
        <v>74</v>
      </c>
      <c r="B3829" s="16" t="s">
        <v>148</v>
      </c>
      <c r="C3829" s="17" t="s">
        <v>149</v>
      </c>
      <c r="D3829" s="18">
        <v>5.0</v>
      </c>
      <c r="E3829" s="17" t="s">
        <v>117</v>
      </c>
      <c r="F3829" s="15" t="s">
        <v>118</v>
      </c>
      <c r="G3829" s="19">
        <v>9.0043001E7</v>
      </c>
      <c r="H3829" s="15" t="s">
        <v>18</v>
      </c>
      <c r="I3829" s="20" t="s">
        <v>19</v>
      </c>
      <c r="J3829" s="21">
        <v>4.2733384E7</v>
      </c>
      <c r="K3829" s="21">
        <v>269.0</v>
      </c>
    </row>
    <row r="3830">
      <c r="A3830" s="15" t="s">
        <v>74</v>
      </c>
      <c r="B3830" s="16" t="s">
        <v>148</v>
      </c>
      <c r="C3830" s="17" t="s">
        <v>149</v>
      </c>
      <c r="D3830" s="18">
        <v>5.0</v>
      </c>
      <c r="E3830" s="17" t="s">
        <v>123</v>
      </c>
      <c r="F3830" s="15" t="s">
        <v>124</v>
      </c>
      <c r="G3830" s="19">
        <v>9.0043001E7</v>
      </c>
      <c r="H3830" s="15" t="s">
        <v>18</v>
      </c>
      <c r="I3830" s="20" t="s">
        <v>19</v>
      </c>
      <c r="J3830" s="21">
        <v>1.0671312E7</v>
      </c>
      <c r="K3830" s="21">
        <v>62.0</v>
      </c>
    </row>
    <row r="3831">
      <c r="A3831" s="15" t="s">
        <v>74</v>
      </c>
      <c r="B3831" s="16" t="s">
        <v>148</v>
      </c>
      <c r="C3831" s="17" t="s">
        <v>149</v>
      </c>
      <c r="D3831" s="18">
        <v>5.0</v>
      </c>
      <c r="E3831" s="17" t="s">
        <v>125</v>
      </c>
      <c r="F3831" s="15" t="s">
        <v>126</v>
      </c>
      <c r="G3831" s="19">
        <v>9.0043001E7</v>
      </c>
      <c r="H3831" s="15" t="s">
        <v>18</v>
      </c>
      <c r="I3831" s="20" t="s">
        <v>19</v>
      </c>
      <c r="J3831" s="21">
        <v>3.37109386E8</v>
      </c>
      <c r="K3831" s="21">
        <v>2040.5</v>
      </c>
    </row>
    <row r="3832">
      <c r="A3832" s="15" t="s">
        <v>74</v>
      </c>
      <c r="B3832" s="16" t="s">
        <v>148</v>
      </c>
      <c r="C3832" s="17" t="s">
        <v>149</v>
      </c>
      <c r="D3832" s="18">
        <v>5.0</v>
      </c>
      <c r="E3832" s="17" t="s">
        <v>127</v>
      </c>
      <c r="F3832" s="15" t="s">
        <v>128</v>
      </c>
      <c r="G3832" s="19">
        <v>5.1100153E7</v>
      </c>
      <c r="H3832" s="15" t="s">
        <v>72</v>
      </c>
      <c r="I3832" s="20" t="s">
        <v>17</v>
      </c>
      <c r="J3832" s="21">
        <v>3.18390579E8</v>
      </c>
      <c r="K3832" s="21">
        <v>1447660.0</v>
      </c>
    </row>
    <row r="3833">
      <c r="A3833" s="15" t="s">
        <v>74</v>
      </c>
      <c r="B3833" s="16" t="s">
        <v>148</v>
      </c>
      <c r="C3833" s="17" t="s">
        <v>149</v>
      </c>
      <c r="D3833" s="18">
        <v>5.0</v>
      </c>
      <c r="E3833" s="17" t="s">
        <v>127</v>
      </c>
      <c r="F3833" s="15" t="s">
        <v>128</v>
      </c>
      <c r="G3833" s="19">
        <v>9.0043002E7</v>
      </c>
      <c r="H3833" s="15" t="s">
        <v>49</v>
      </c>
      <c r="I3833" s="20" t="s">
        <v>50</v>
      </c>
      <c r="J3833" s="21">
        <v>3.0881869E7</v>
      </c>
      <c r="K3833" s="21">
        <v>2571.0</v>
      </c>
    </row>
    <row r="3834">
      <c r="A3834" s="15" t="s">
        <v>74</v>
      </c>
      <c r="B3834" s="16" t="s">
        <v>148</v>
      </c>
      <c r="C3834" s="17" t="s">
        <v>149</v>
      </c>
      <c r="D3834" s="18">
        <v>5.0</v>
      </c>
      <c r="E3834" s="17" t="s">
        <v>129</v>
      </c>
      <c r="F3834" s="15" t="s">
        <v>130</v>
      </c>
      <c r="G3834" s="19">
        <v>5.1100153E7</v>
      </c>
      <c r="H3834" s="15" t="s">
        <v>72</v>
      </c>
      <c r="I3834" s="20" t="s">
        <v>17</v>
      </c>
      <c r="J3834" s="21">
        <v>2.559655E7</v>
      </c>
      <c r="K3834" s="21">
        <v>365665.0</v>
      </c>
    </row>
    <row r="3835">
      <c r="A3835" s="15" t="s">
        <v>74</v>
      </c>
      <c r="B3835" s="16" t="s">
        <v>148</v>
      </c>
      <c r="C3835" s="17" t="s">
        <v>149</v>
      </c>
      <c r="D3835" s="18">
        <v>5.0</v>
      </c>
      <c r="E3835" s="17" t="s">
        <v>129</v>
      </c>
      <c r="F3835" s="15" t="s">
        <v>130</v>
      </c>
      <c r="G3835" s="19">
        <v>5.1101056E7</v>
      </c>
      <c r="H3835" s="15" t="s">
        <v>16</v>
      </c>
      <c r="I3835" s="20" t="s">
        <v>25</v>
      </c>
      <c r="J3835" s="21">
        <v>0.0</v>
      </c>
      <c r="K3835" s="21">
        <v>0.0</v>
      </c>
    </row>
    <row r="3836">
      <c r="A3836" s="15" t="s">
        <v>74</v>
      </c>
      <c r="B3836" s="16" t="s">
        <v>148</v>
      </c>
      <c r="C3836" s="17" t="s">
        <v>149</v>
      </c>
      <c r="D3836" s="18">
        <v>5.0</v>
      </c>
      <c r="E3836" s="17" t="s">
        <v>129</v>
      </c>
      <c r="F3836" s="15" t="s">
        <v>130</v>
      </c>
      <c r="G3836" s="19">
        <v>5.1101056E7</v>
      </c>
      <c r="H3836" s="15" t="s">
        <v>16</v>
      </c>
      <c r="I3836" s="20" t="s">
        <v>17</v>
      </c>
      <c r="J3836" s="21">
        <v>2.752365E7</v>
      </c>
      <c r="K3836" s="21">
        <v>393195.0</v>
      </c>
    </row>
    <row r="3837">
      <c r="A3837" s="15" t="s">
        <v>74</v>
      </c>
      <c r="B3837" s="16" t="s">
        <v>148</v>
      </c>
      <c r="C3837" s="17" t="s">
        <v>149</v>
      </c>
      <c r="D3837" s="18">
        <v>5.0</v>
      </c>
      <c r="E3837" s="17" t="s">
        <v>129</v>
      </c>
      <c r="F3837" s="15" t="s">
        <v>130</v>
      </c>
      <c r="G3837" s="19">
        <v>9.0043001E7</v>
      </c>
      <c r="H3837" s="15" t="s">
        <v>18</v>
      </c>
      <c r="I3837" s="20" t="s">
        <v>19</v>
      </c>
      <c r="J3837" s="21">
        <v>1.0766476E7</v>
      </c>
      <c r="K3837" s="21">
        <v>53.5</v>
      </c>
    </row>
    <row r="3838">
      <c r="A3838" s="15" t="s">
        <v>74</v>
      </c>
      <c r="B3838" s="16" t="s">
        <v>148</v>
      </c>
      <c r="C3838" s="17" t="s">
        <v>149</v>
      </c>
      <c r="D3838" s="18">
        <v>5.0</v>
      </c>
      <c r="E3838" s="17" t="s">
        <v>129</v>
      </c>
      <c r="F3838" s="15" t="s">
        <v>130</v>
      </c>
      <c r="G3838" s="19">
        <v>9.0043003E7</v>
      </c>
      <c r="H3838" s="15" t="s">
        <v>90</v>
      </c>
      <c r="I3838" s="20" t="s">
        <v>50</v>
      </c>
      <c r="J3838" s="21">
        <v>2.684113E7</v>
      </c>
      <c r="K3838" s="21">
        <v>85.0</v>
      </c>
    </row>
    <row r="3839">
      <c r="A3839" s="15" t="s">
        <v>74</v>
      </c>
      <c r="B3839" s="16" t="s">
        <v>148</v>
      </c>
      <c r="C3839" s="17" t="s">
        <v>149</v>
      </c>
      <c r="D3839" s="18">
        <v>5.0</v>
      </c>
      <c r="E3839" s="17" t="s">
        <v>135</v>
      </c>
      <c r="F3839" s="15" t="s">
        <v>136</v>
      </c>
      <c r="G3839" s="19">
        <v>9.0043001E7</v>
      </c>
      <c r="H3839" s="15" t="s">
        <v>18</v>
      </c>
      <c r="I3839" s="20" t="s">
        <v>19</v>
      </c>
      <c r="J3839" s="21">
        <v>7027392.0</v>
      </c>
      <c r="K3839" s="21">
        <v>46.0</v>
      </c>
    </row>
    <row r="3840">
      <c r="A3840" s="15" t="s">
        <v>74</v>
      </c>
      <c r="B3840" s="16" t="s">
        <v>148</v>
      </c>
      <c r="C3840" s="17" t="s">
        <v>149</v>
      </c>
      <c r="D3840" s="18">
        <v>5.0</v>
      </c>
      <c r="E3840" s="17" t="s">
        <v>354</v>
      </c>
      <c r="F3840" s="15" t="s">
        <v>355</v>
      </c>
      <c r="G3840" s="19">
        <v>5.1100774E7</v>
      </c>
      <c r="H3840" s="15" t="s">
        <v>39</v>
      </c>
      <c r="I3840" s="20" t="s">
        <v>17</v>
      </c>
      <c r="J3840" s="21">
        <v>1.78997601E8</v>
      </c>
      <c r="K3840" s="21">
        <v>320.0</v>
      </c>
    </row>
    <row r="3841">
      <c r="A3841" s="15" t="s">
        <v>74</v>
      </c>
      <c r="B3841" s="16" t="s">
        <v>148</v>
      </c>
      <c r="C3841" s="17" t="s">
        <v>149</v>
      </c>
      <c r="D3841" s="18">
        <v>5.0</v>
      </c>
      <c r="E3841" s="17" t="s">
        <v>54</v>
      </c>
      <c r="F3841" s="15" t="s">
        <v>139</v>
      </c>
      <c r="G3841" s="19">
        <v>9.0042011E7</v>
      </c>
      <c r="H3841" s="15" t="s">
        <v>55</v>
      </c>
      <c r="I3841" s="20" t="s">
        <v>19</v>
      </c>
      <c r="J3841" s="21">
        <v>5.01694446E8</v>
      </c>
      <c r="K3841" s="21">
        <v>0.0</v>
      </c>
    </row>
    <row r="3842">
      <c r="A3842" s="15" t="s">
        <v>74</v>
      </c>
      <c r="B3842" s="16" t="s">
        <v>148</v>
      </c>
      <c r="C3842" s="17" t="s">
        <v>149</v>
      </c>
      <c r="D3842" s="18">
        <v>5.0</v>
      </c>
      <c r="E3842" s="17" t="s">
        <v>20</v>
      </c>
      <c r="F3842" s="15" t="s">
        <v>140</v>
      </c>
      <c r="G3842" s="19">
        <v>5.1101999E7</v>
      </c>
      <c r="H3842" s="15" t="s">
        <v>107</v>
      </c>
      <c r="I3842" s="20" t="s">
        <v>25</v>
      </c>
      <c r="J3842" s="21">
        <v>6025000.0</v>
      </c>
      <c r="K3842" s="21">
        <v>0.0</v>
      </c>
    </row>
    <row r="3843">
      <c r="A3843" s="15" t="s">
        <v>74</v>
      </c>
      <c r="B3843" s="16" t="s">
        <v>148</v>
      </c>
      <c r="C3843" s="17" t="s">
        <v>149</v>
      </c>
      <c r="D3843" s="18">
        <v>5.0</v>
      </c>
      <c r="E3843" s="17" t="s">
        <v>20</v>
      </c>
      <c r="F3843" s="15" t="s">
        <v>140</v>
      </c>
      <c r="G3843" s="19">
        <v>9.0042014E7</v>
      </c>
      <c r="H3843" s="15" t="s">
        <v>21</v>
      </c>
      <c r="I3843" s="20" t="s">
        <v>19</v>
      </c>
      <c r="J3843" s="21">
        <v>5.92023988E8</v>
      </c>
      <c r="K3843" s="21">
        <v>0.0</v>
      </c>
    </row>
    <row r="3844">
      <c r="A3844" s="15" t="s">
        <v>74</v>
      </c>
      <c r="B3844" s="16" t="s">
        <v>148</v>
      </c>
      <c r="C3844" s="17" t="s">
        <v>149</v>
      </c>
      <c r="D3844" s="18">
        <v>5.0</v>
      </c>
      <c r="E3844" s="17" t="s">
        <v>20</v>
      </c>
      <c r="F3844" s="15" t="s">
        <v>140</v>
      </c>
      <c r="G3844" s="19">
        <v>9.0042077E7</v>
      </c>
      <c r="H3844" s="15" t="s">
        <v>141</v>
      </c>
      <c r="I3844" s="20" t="s">
        <v>19</v>
      </c>
      <c r="J3844" s="21">
        <v>1.37092185E8</v>
      </c>
      <c r="K3844" s="21">
        <v>0.0</v>
      </c>
    </row>
    <row r="3845">
      <c r="A3845" s="15" t="s">
        <v>74</v>
      </c>
      <c r="B3845" s="16" t="s">
        <v>148</v>
      </c>
      <c r="C3845" s="17" t="s">
        <v>149</v>
      </c>
      <c r="D3845" s="18">
        <v>5.0</v>
      </c>
      <c r="E3845" s="17" t="s">
        <v>142</v>
      </c>
      <c r="F3845" s="15" t="s">
        <v>143</v>
      </c>
      <c r="G3845" s="19">
        <v>9.0042013E7</v>
      </c>
      <c r="H3845" s="15" t="s">
        <v>144</v>
      </c>
      <c r="I3845" s="20" t="s">
        <v>19</v>
      </c>
      <c r="J3845" s="21">
        <v>1.9976086E7</v>
      </c>
      <c r="K3845" s="21">
        <v>0.0</v>
      </c>
    </row>
    <row r="3846">
      <c r="A3846" s="15" t="s">
        <v>74</v>
      </c>
      <c r="B3846" s="16" t="s">
        <v>148</v>
      </c>
      <c r="C3846" s="17" t="s">
        <v>149</v>
      </c>
      <c r="D3846" s="18">
        <v>5.0</v>
      </c>
      <c r="E3846" s="17" t="s">
        <v>142</v>
      </c>
      <c r="F3846" s="15" t="s">
        <v>143</v>
      </c>
      <c r="G3846" s="19">
        <v>9.0042084E7</v>
      </c>
      <c r="H3846" s="15" t="s">
        <v>145</v>
      </c>
      <c r="I3846" s="20" t="s">
        <v>19</v>
      </c>
      <c r="J3846" s="21">
        <v>1.3062519E7</v>
      </c>
      <c r="K3846" s="21">
        <v>0.0</v>
      </c>
    </row>
    <row r="3847">
      <c r="A3847" s="15" t="s">
        <v>74</v>
      </c>
      <c r="B3847" s="16" t="s">
        <v>148</v>
      </c>
      <c r="C3847" s="17" t="s">
        <v>149</v>
      </c>
      <c r="D3847" s="18">
        <v>5.0</v>
      </c>
      <c r="E3847" s="17" t="s">
        <v>22</v>
      </c>
      <c r="F3847" s="15" t="s">
        <v>146</v>
      </c>
      <c r="G3847" s="19">
        <v>9.0042012E7</v>
      </c>
      <c r="H3847" s="15" t="s">
        <v>23</v>
      </c>
      <c r="I3847" s="20" t="s">
        <v>19</v>
      </c>
      <c r="J3847" s="21">
        <v>1.79388403E8</v>
      </c>
      <c r="K3847" s="21">
        <v>0.0</v>
      </c>
    </row>
    <row r="3848">
      <c r="A3848" s="15" t="s">
        <v>74</v>
      </c>
      <c r="B3848" s="16" t="s">
        <v>148</v>
      </c>
      <c r="C3848" s="17" t="s">
        <v>149</v>
      </c>
      <c r="D3848" s="18">
        <v>5.0</v>
      </c>
      <c r="E3848" s="17" t="s">
        <v>22</v>
      </c>
      <c r="F3848" s="15" t="s">
        <v>146</v>
      </c>
      <c r="G3848" s="19">
        <v>9.0042121E7</v>
      </c>
      <c r="H3848" s="15" t="s">
        <v>24</v>
      </c>
      <c r="I3848" s="20" t="s">
        <v>25</v>
      </c>
      <c r="J3848" s="21">
        <v>1.06139459E8</v>
      </c>
      <c r="K3848" s="21">
        <v>0.0</v>
      </c>
    </row>
    <row r="3849">
      <c r="A3849" s="15" t="s">
        <v>74</v>
      </c>
      <c r="B3849" s="16" t="s">
        <v>148</v>
      </c>
      <c r="C3849" s="17" t="s">
        <v>149</v>
      </c>
      <c r="D3849" s="18">
        <v>5.0</v>
      </c>
      <c r="E3849" s="17" t="s">
        <v>22</v>
      </c>
      <c r="F3849" s="15" t="s">
        <v>146</v>
      </c>
      <c r="G3849" s="19">
        <v>9.0042122E7</v>
      </c>
      <c r="H3849" s="15" t="s">
        <v>56</v>
      </c>
      <c r="I3849" s="20" t="s">
        <v>25</v>
      </c>
      <c r="J3849" s="21">
        <v>1604852.0</v>
      </c>
      <c r="K3849" s="21">
        <v>0.0</v>
      </c>
    </row>
    <row r="3850">
      <c r="A3850" s="15" t="s">
        <v>74</v>
      </c>
      <c r="B3850" s="16" t="s">
        <v>148</v>
      </c>
      <c r="C3850" s="17" t="s">
        <v>149</v>
      </c>
      <c r="D3850" s="18">
        <v>5.0</v>
      </c>
      <c r="E3850" s="17" t="s">
        <v>22</v>
      </c>
      <c r="F3850" s="15" t="s">
        <v>146</v>
      </c>
      <c r="G3850" s="19">
        <v>9.0042124E7</v>
      </c>
      <c r="H3850" s="15" t="s">
        <v>57</v>
      </c>
      <c r="I3850" s="20" t="s">
        <v>25</v>
      </c>
      <c r="J3850" s="21">
        <v>2.2236262E7</v>
      </c>
      <c r="K3850" s="21">
        <v>0.0</v>
      </c>
    </row>
    <row r="3851">
      <c r="A3851" s="15" t="s">
        <v>74</v>
      </c>
      <c r="B3851" s="16" t="s">
        <v>148</v>
      </c>
      <c r="C3851" s="17" t="s">
        <v>149</v>
      </c>
      <c r="D3851" s="18">
        <v>5.0</v>
      </c>
      <c r="E3851" s="17" t="s">
        <v>22</v>
      </c>
      <c r="F3851" s="15" t="s">
        <v>146</v>
      </c>
      <c r="G3851" s="19">
        <v>9.0042125E7</v>
      </c>
      <c r="H3851" s="15" t="s">
        <v>26</v>
      </c>
      <c r="I3851" s="20" t="s">
        <v>25</v>
      </c>
      <c r="J3851" s="21">
        <v>8.4948931E7</v>
      </c>
      <c r="K3851" s="21">
        <v>0.0</v>
      </c>
    </row>
    <row r="3852">
      <c r="A3852" s="15" t="s">
        <v>74</v>
      </c>
      <c r="B3852" s="16" t="s">
        <v>148</v>
      </c>
      <c r="C3852" s="17" t="s">
        <v>149</v>
      </c>
      <c r="D3852" s="18">
        <v>5.0</v>
      </c>
      <c r="E3852" s="17" t="s">
        <v>22</v>
      </c>
      <c r="F3852" s="15" t="s">
        <v>146</v>
      </c>
      <c r="G3852" s="19">
        <v>9.0042127E7</v>
      </c>
      <c r="H3852" s="15" t="s">
        <v>27</v>
      </c>
      <c r="I3852" s="20" t="s">
        <v>25</v>
      </c>
      <c r="J3852" s="21">
        <v>2.7736535E7</v>
      </c>
      <c r="K3852" s="21">
        <v>0.0</v>
      </c>
    </row>
    <row r="3853">
      <c r="A3853" s="15" t="s">
        <v>74</v>
      </c>
      <c r="B3853" s="16" t="s">
        <v>148</v>
      </c>
      <c r="C3853" s="17" t="s">
        <v>149</v>
      </c>
      <c r="D3853" s="18">
        <v>5.0</v>
      </c>
      <c r="E3853" s="17" t="s">
        <v>22</v>
      </c>
      <c r="F3853" s="15" t="s">
        <v>146</v>
      </c>
      <c r="G3853" s="19">
        <v>9.0042132E7</v>
      </c>
      <c r="H3853" s="15" t="s">
        <v>28</v>
      </c>
      <c r="I3853" s="20" t="s">
        <v>25</v>
      </c>
      <c r="J3853" s="21">
        <v>2.4707999E7</v>
      </c>
      <c r="K3853" s="21">
        <v>0.0</v>
      </c>
    </row>
    <row r="3854">
      <c r="A3854" s="15" t="s">
        <v>74</v>
      </c>
      <c r="B3854" s="16" t="s">
        <v>148</v>
      </c>
      <c r="C3854" s="17" t="s">
        <v>149</v>
      </c>
      <c r="D3854" s="18">
        <v>5.0</v>
      </c>
      <c r="E3854" s="17" t="s">
        <v>22</v>
      </c>
      <c r="F3854" s="15" t="s">
        <v>146</v>
      </c>
      <c r="G3854" s="19">
        <v>9.0042134E7</v>
      </c>
      <c r="H3854" s="15" t="s">
        <v>29</v>
      </c>
      <c r="I3854" s="20" t="s">
        <v>25</v>
      </c>
      <c r="J3854" s="21">
        <v>352500.0</v>
      </c>
      <c r="K3854" s="21">
        <v>0.0</v>
      </c>
    </row>
    <row r="3855">
      <c r="A3855" s="15" t="s">
        <v>74</v>
      </c>
      <c r="B3855" s="16" t="s">
        <v>148</v>
      </c>
      <c r="C3855" s="17" t="s">
        <v>149</v>
      </c>
      <c r="D3855" s="18">
        <v>5.0</v>
      </c>
      <c r="E3855" s="17" t="s">
        <v>22</v>
      </c>
      <c r="F3855" s="15" t="s">
        <v>146</v>
      </c>
      <c r="G3855" s="19">
        <v>9.0042135E7</v>
      </c>
      <c r="H3855" s="15" t="s">
        <v>30</v>
      </c>
      <c r="I3855" s="20" t="s">
        <v>25</v>
      </c>
      <c r="J3855" s="21">
        <v>2.21306193E8</v>
      </c>
      <c r="K3855" s="21">
        <v>0.0</v>
      </c>
    </row>
    <row r="3856">
      <c r="A3856" s="15" t="s">
        <v>74</v>
      </c>
      <c r="B3856" s="16" t="s">
        <v>148</v>
      </c>
      <c r="C3856" s="17" t="s">
        <v>149</v>
      </c>
      <c r="D3856" s="18">
        <v>5.0</v>
      </c>
      <c r="E3856" s="17" t="s">
        <v>22</v>
      </c>
      <c r="F3856" s="15" t="s">
        <v>146</v>
      </c>
      <c r="G3856" s="19">
        <v>9.00422E7</v>
      </c>
      <c r="H3856" s="15" t="s">
        <v>73</v>
      </c>
      <c r="I3856" s="20" t="s">
        <v>60</v>
      </c>
      <c r="J3856" s="21">
        <v>2.0168143E8</v>
      </c>
      <c r="K3856" s="21">
        <v>0.0</v>
      </c>
    </row>
    <row r="3857">
      <c r="A3857" s="15" t="s">
        <v>74</v>
      </c>
      <c r="B3857" s="16" t="s">
        <v>148</v>
      </c>
      <c r="C3857" s="17" t="s">
        <v>149</v>
      </c>
      <c r="D3857" s="18">
        <v>5.0</v>
      </c>
      <c r="E3857" s="17" t="s">
        <v>22</v>
      </c>
      <c r="F3857" s="15" t="s">
        <v>146</v>
      </c>
      <c r="G3857" s="19">
        <v>9.0042223E7</v>
      </c>
      <c r="H3857" s="15" t="s">
        <v>61</v>
      </c>
      <c r="I3857" s="20" t="s">
        <v>60</v>
      </c>
      <c r="J3857" s="21">
        <v>7723532.0</v>
      </c>
      <c r="K3857" s="21">
        <v>0.0</v>
      </c>
    </row>
    <row r="3858">
      <c r="A3858" s="15" t="s">
        <v>74</v>
      </c>
      <c r="B3858" s="16" t="s">
        <v>148</v>
      </c>
      <c r="C3858" s="17" t="s">
        <v>149</v>
      </c>
      <c r="D3858" s="18">
        <v>5.0</v>
      </c>
      <c r="E3858" s="17" t="s">
        <v>22</v>
      </c>
      <c r="F3858" s="15" t="s">
        <v>146</v>
      </c>
      <c r="G3858" s="19">
        <v>9.0042224E7</v>
      </c>
      <c r="H3858" s="15" t="s">
        <v>62</v>
      </c>
      <c r="I3858" s="20" t="s">
        <v>60</v>
      </c>
      <c r="J3858" s="21">
        <v>1349183.0</v>
      </c>
      <c r="K3858" s="21">
        <v>0.0</v>
      </c>
    </row>
    <row r="3859">
      <c r="A3859" s="15" t="s">
        <v>74</v>
      </c>
      <c r="B3859" s="16" t="s">
        <v>148</v>
      </c>
      <c r="C3859" s="17" t="s">
        <v>149</v>
      </c>
      <c r="D3859" s="18">
        <v>5.0</v>
      </c>
      <c r="E3859" s="17" t="s">
        <v>22</v>
      </c>
      <c r="F3859" s="15" t="s">
        <v>146</v>
      </c>
      <c r="G3859" s="19">
        <v>9.0042226E7</v>
      </c>
      <c r="H3859" s="15" t="s">
        <v>63</v>
      </c>
      <c r="I3859" s="20" t="s">
        <v>60</v>
      </c>
      <c r="J3859" s="21">
        <v>660418.0</v>
      </c>
      <c r="K3859" s="21">
        <v>0.0</v>
      </c>
    </row>
    <row r="3860">
      <c r="A3860" s="15" t="s">
        <v>74</v>
      </c>
      <c r="B3860" s="16" t="s">
        <v>148</v>
      </c>
      <c r="C3860" s="17" t="s">
        <v>149</v>
      </c>
      <c r="D3860" s="18">
        <v>5.0</v>
      </c>
      <c r="E3860" s="17" t="s">
        <v>22</v>
      </c>
      <c r="F3860" s="15" t="s">
        <v>146</v>
      </c>
      <c r="G3860" s="19">
        <v>9.0042228E7</v>
      </c>
      <c r="H3860" s="15" t="s">
        <v>64</v>
      </c>
      <c r="I3860" s="20" t="s">
        <v>60</v>
      </c>
      <c r="J3860" s="21">
        <v>5.2437831E7</v>
      </c>
      <c r="K3860" s="21">
        <v>0.0</v>
      </c>
    </row>
    <row r="3861">
      <c r="A3861" s="15" t="s">
        <v>74</v>
      </c>
      <c r="B3861" s="16" t="s">
        <v>148</v>
      </c>
      <c r="C3861" s="17" t="s">
        <v>149</v>
      </c>
      <c r="D3861" s="18">
        <v>5.0</v>
      </c>
      <c r="E3861" s="17" t="s">
        <v>22</v>
      </c>
      <c r="F3861" s="15" t="s">
        <v>146</v>
      </c>
      <c r="G3861" s="19">
        <v>9.0042231E7</v>
      </c>
      <c r="H3861" s="15" t="s">
        <v>65</v>
      </c>
      <c r="I3861" s="20" t="s">
        <v>60</v>
      </c>
      <c r="J3861" s="21">
        <v>5418391.0</v>
      </c>
      <c r="K3861" s="21">
        <v>0.0</v>
      </c>
    </row>
    <row r="3862">
      <c r="A3862" s="15" t="s">
        <v>74</v>
      </c>
      <c r="B3862" s="16" t="s">
        <v>148</v>
      </c>
      <c r="C3862" s="17" t="s">
        <v>149</v>
      </c>
      <c r="D3862" s="18">
        <v>5.0</v>
      </c>
      <c r="E3862" s="17" t="s">
        <v>22</v>
      </c>
      <c r="F3862" s="15" t="s">
        <v>146</v>
      </c>
      <c r="G3862" s="19">
        <v>9.0042126E7</v>
      </c>
      <c r="H3862" s="15" t="s">
        <v>31</v>
      </c>
      <c r="I3862" s="20" t="s">
        <v>25</v>
      </c>
      <c r="J3862" s="21">
        <v>6.0436218E7</v>
      </c>
      <c r="K3862" s="21">
        <v>0.0</v>
      </c>
    </row>
    <row r="3863">
      <c r="A3863" s="15" t="s">
        <v>74</v>
      </c>
      <c r="B3863" s="16" t="s">
        <v>148</v>
      </c>
      <c r="C3863" s="17" t="s">
        <v>149</v>
      </c>
      <c r="D3863" s="18">
        <v>5.0</v>
      </c>
      <c r="E3863" s="17" t="s">
        <v>22</v>
      </c>
      <c r="F3863" s="15" t="s">
        <v>146</v>
      </c>
      <c r="G3863" s="19">
        <v>9.004212E7</v>
      </c>
      <c r="H3863" s="15" t="s">
        <v>182</v>
      </c>
      <c r="I3863" s="20" t="s">
        <v>25</v>
      </c>
      <c r="J3863" s="21">
        <v>5.9461E7</v>
      </c>
      <c r="K3863" s="21">
        <v>0.0</v>
      </c>
    </row>
    <row r="3864">
      <c r="A3864" s="15" t="s">
        <v>74</v>
      </c>
      <c r="B3864" s="16" t="s">
        <v>148</v>
      </c>
      <c r="C3864" s="17" t="s">
        <v>149</v>
      </c>
      <c r="D3864" s="18">
        <v>5.0</v>
      </c>
      <c r="E3864" s="17" t="s">
        <v>22</v>
      </c>
      <c r="F3864" s="15" t="s">
        <v>146</v>
      </c>
      <c r="G3864" s="19">
        <v>9.0042119E7</v>
      </c>
      <c r="H3864" s="15" t="s">
        <v>279</v>
      </c>
      <c r="I3864" s="20" t="s">
        <v>25</v>
      </c>
      <c r="J3864" s="21">
        <v>89000.0</v>
      </c>
      <c r="K3864" s="21">
        <v>0.0</v>
      </c>
    </row>
    <row r="3865">
      <c r="A3865" s="15" t="s">
        <v>74</v>
      </c>
      <c r="B3865" s="16" t="s">
        <v>148</v>
      </c>
      <c r="C3865" s="17" t="s">
        <v>149</v>
      </c>
      <c r="D3865" s="18">
        <v>5.0</v>
      </c>
      <c r="E3865" s="17" t="s">
        <v>252</v>
      </c>
      <c r="F3865" s="15" t="s">
        <v>253</v>
      </c>
      <c r="G3865" s="19">
        <v>9.0043003E7</v>
      </c>
      <c r="H3865" s="15" t="s">
        <v>90</v>
      </c>
      <c r="I3865" s="20" t="s">
        <v>50</v>
      </c>
      <c r="J3865" s="21">
        <v>1.407896E7</v>
      </c>
      <c r="K3865" s="21">
        <v>56.0</v>
      </c>
    </row>
    <row r="3866">
      <c r="A3866" s="15" t="s">
        <v>74</v>
      </c>
      <c r="B3866" s="16" t="s">
        <v>148</v>
      </c>
      <c r="C3866" s="17" t="s">
        <v>149</v>
      </c>
      <c r="D3866" s="18">
        <v>5.0</v>
      </c>
      <c r="E3866" s="17" t="s">
        <v>201</v>
      </c>
      <c r="F3866" s="15" t="s">
        <v>202</v>
      </c>
      <c r="G3866" s="19">
        <v>9.0043001E7</v>
      </c>
      <c r="H3866" s="15" t="s">
        <v>18</v>
      </c>
      <c r="I3866" s="20" t="s">
        <v>19</v>
      </c>
      <c r="J3866" s="21">
        <v>4616976.0</v>
      </c>
      <c r="K3866" s="21">
        <v>28.0</v>
      </c>
    </row>
    <row r="3867">
      <c r="A3867" s="15" t="s">
        <v>74</v>
      </c>
      <c r="B3867" s="16" t="s">
        <v>167</v>
      </c>
      <c r="C3867" s="17" t="s">
        <v>168</v>
      </c>
      <c r="D3867" s="18">
        <v>5.0</v>
      </c>
      <c r="E3867" s="17" t="s">
        <v>86</v>
      </c>
      <c r="F3867" s="15" t="s">
        <v>87</v>
      </c>
      <c r="G3867" s="19">
        <v>9.0043001E7</v>
      </c>
      <c r="H3867" s="15" t="s">
        <v>18</v>
      </c>
      <c r="I3867" s="20" t="s">
        <v>19</v>
      </c>
      <c r="J3867" s="21">
        <v>5.3085862E7</v>
      </c>
      <c r="K3867" s="21">
        <v>299.0</v>
      </c>
    </row>
    <row r="3868">
      <c r="A3868" s="15" t="s">
        <v>74</v>
      </c>
      <c r="B3868" s="16" t="s">
        <v>167</v>
      </c>
      <c r="C3868" s="17" t="s">
        <v>168</v>
      </c>
      <c r="D3868" s="18">
        <v>5.0</v>
      </c>
      <c r="E3868" s="17" t="s">
        <v>86</v>
      </c>
      <c r="F3868" s="15" t="s">
        <v>87</v>
      </c>
      <c r="G3868" s="19">
        <v>9.0043E7</v>
      </c>
      <c r="H3868" s="15" t="s">
        <v>83</v>
      </c>
      <c r="I3868" s="20" t="s">
        <v>19</v>
      </c>
      <c r="J3868" s="21">
        <v>489669.0</v>
      </c>
      <c r="K3868" s="21">
        <v>3.0</v>
      </c>
    </row>
    <row r="3869">
      <c r="A3869" s="15" t="s">
        <v>74</v>
      </c>
      <c r="B3869" s="16" t="s">
        <v>167</v>
      </c>
      <c r="C3869" s="17" t="s">
        <v>168</v>
      </c>
      <c r="D3869" s="18">
        <v>5.0</v>
      </c>
      <c r="E3869" s="17" t="s">
        <v>88</v>
      </c>
      <c r="F3869" s="15" t="s">
        <v>89</v>
      </c>
      <c r="G3869" s="19">
        <v>9.0043001E7</v>
      </c>
      <c r="H3869" s="15" t="s">
        <v>18</v>
      </c>
      <c r="I3869" s="20" t="s">
        <v>19</v>
      </c>
      <c r="J3869" s="21">
        <v>5.297538E7</v>
      </c>
      <c r="K3869" s="21">
        <v>290.0</v>
      </c>
    </row>
    <row r="3870">
      <c r="A3870" s="15" t="s">
        <v>74</v>
      </c>
      <c r="B3870" s="16" t="s">
        <v>167</v>
      </c>
      <c r="C3870" s="17" t="s">
        <v>168</v>
      </c>
      <c r="D3870" s="18">
        <v>5.0</v>
      </c>
      <c r="E3870" s="17" t="s">
        <v>152</v>
      </c>
      <c r="F3870" s="15" t="s">
        <v>153</v>
      </c>
      <c r="G3870" s="19">
        <v>9.0043001E7</v>
      </c>
      <c r="H3870" s="15" t="s">
        <v>18</v>
      </c>
      <c r="I3870" s="20" t="s">
        <v>19</v>
      </c>
      <c r="J3870" s="21">
        <v>5.368591E7</v>
      </c>
      <c r="K3870" s="21">
        <v>295.0</v>
      </c>
    </row>
    <row r="3871">
      <c r="A3871" s="15" t="s">
        <v>74</v>
      </c>
      <c r="B3871" s="16" t="s">
        <v>167</v>
      </c>
      <c r="C3871" s="17" t="s">
        <v>168</v>
      </c>
      <c r="D3871" s="18">
        <v>5.0</v>
      </c>
      <c r="E3871" s="17" t="s">
        <v>154</v>
      </c>
      <c r="F3871" s="15" t="s">
        <v>155</v>
      </c>
      <c r="G3871" s="19">
        <v>9.0043001E7</v>
      </c>
      <c r="H3871" s="15" t="s">
        <v>18</v>
      </c>
      <c r="I3871" s="20" t="s">
        <v>19</v>
      </c>
      <c r="J3871" s="21">
        <v>2.5940284E7</v>
      </c>
      <c r="K3871" s="21">
        <v>157.0</v>
      </c>
    </row>
    <row r="3872">
      <c r="A3872" s="15" t="s">
        <v>74</v>
      </c>
      <c r="B3872" s="16" t="s">
        <v>167</v>
      </c>
      <c r="C3872" s="17" t="s">
        <v>168</v>
      </c>
      <c r="D3872" s="18">
        <v>5.0</v>
      </c>
      <c r="E3872" s="17" t="s">
        <v>91</v>
      </c>
      <c r="F3872" s="15" t="s">
        <v>92</v>
      </c>
      <c r="G3872" s="19">
        <v>9.0043001E7</v>
      </c>
      <c r="H3872" s="15" t="s">
        <v>18</v>
      </c>
      <c r="I3872" s="20" t="s">
        <v>19</v>
      </c>
      <c r="J3872" s="21">
        <v>3105203.0</v>
      </c>
      <c r="K3872" s="21">
        <v>17.0</v>
      </c>
    </row>
    <row r="3873">
      <c r="A3873" s="15" t="s">
        <v>74</v>
      </c>
      <c r="B3873" s="16" t="s">
        <v>167</v>
      </c>
      <c r="C3873" s="17" t="s">
        <v>168</v>
      </c>
      <c r="D3873" s="18">
        <v>5.0</v>
      </c>
      <c r="E3873" s="17" t="s">
        <v>95</v>
      </c>
      <c r="F3873" s="15" t="s">
        <v>96</v>
      </c>
      <c r="G3873" s="19">
        <v>5.1100061E7</v>
      </c>
      <c r="H3873" s="15" t="s">
        <v>42</v>
      </c>
      <c r="I3873" s="20" t="s">
        <v>37</v>
      </c>
      <c r="J3873" s="21">
        <v>6333726.0</v>
      </c>
      <c r="K3873" s="21">
        <v>92.96</v>
      </c>
    </row>
    <row r="3874">
      <c r="A3874" s="15" t="s">
        <v>74</v>
      </c>
      <c r="B3874" s="16" t="s">
        <v>167</v>
      </c>
      <c r="C3874" s="17" t="s">
        <v>168</v>
      </c>
      <c r="D3874" s="18">
        <v>5.0</v>
      </c>
      <c r="E3874" s="17" t="s">
        <v>95</v>
      </c>
      <c r="F3874" s="15" t="s">
        <v>96</v>
      </c>
      <c r="G3874" s="19">
        <v>5.1100774E7</v>
      </c>
      <c r="H3874" s="15" t="s">
        <v>39</v>
      </c>
      <c r="I3874" s="20" t="s">
        <v>25</v>
      </c>
      <c r="J3874" s="21">
        <v>0.0</v>
      </c>
      <c r="K3874" s="21">
        <v>0.0</v>
      </c>
    </row>
    <row r="3875">
      <c r="A3875" s="15" t="s">
        <v>74</v>
      </c>
      <c r="B3875" s="16" t="s">
        <v>167</v>
      </c>
      <c r="C3875" s="17" t="s">
        <v>168</v>
      </c>
      <c r="D3875" s="18">
        <v>5.0</v>
      </c>
      <c r="E3875" s="17" t="s">
        <v>95</v>
      </c>
      <c r="F3875" s="15" t="s">
        <v>96</v>
      </c>
      <c r="G3875" s="19">
        <v>5.1100774E7</v>
      </c>
      <c r="H3875" s="15" t="s">
        <v>39</v>
      </c>
      <c r="I3875" s="20" t="s">
        <v>17</v>
      </c>
      <c r="J3875" s="21">
        <v>5723861.0</v>
      </c>
      <c r="K3875" s="21">
        <v>102.82</v>
      </c>
    </row>
    <row r="3876">
      <c r="A3876" s="15" t="s">
        <v>74</v>
      </c>
      <c r="B3876" s="16" t="s">
        <v>167</v>
      </c>
      <c r="C3876" s="17" t="s">
        <v>168</v>
      </c>
      <c r="D3876" s="18">
        <v>5.0</v>
      </c>
      <c r="E3876" s="17" t="s">
        <v>99</v>
      </c>
      <c r="F3876" s="15" t="s">
        <v>100</v>
      </c>
      <c r="G3876" s="19">
        <v>5.1100774E7</v>
      </c>
      <c r="H3876" s="15" t="s">
        <v>39</v>
      </c>
      <c r="I3876" s="20" t="s">
        <v>17</v>
      </c>
      <c r="J3876" s="21">
        <v>1.12864802E8</v>
      </c>
      <c r="K3876" s="21">
        <v>197.0</v>
      </c>
    </row>
    <row r="3877">
      <c r="A3877" s="15" t="s">
        <v>74</v>
      </c>
      <c r="B3877" s="16" t="s">
        <v>167</v>
      </c>
      <c r="C3877" s="17" t="s">
        <v>168</v>
      </c>
      <c r="D3877" s="18">
        <v>5.0</v>
      </c>
      <c r="E3877" s="17" t="s">
        <v>103</v>
      </c>
      <c r="F3877" s="15" t="s">
        <v>104</v>
      </c>
      <c r="G3877" s="19">
        <v>5.1100061E7</v>
      </c>
      <c r="H3877" s="15" t="s">
        <v>42</v>
      </c>
      <c r="I3877" s="20" t="s">
        <v>37</v>
      </c>
      <c r="J3877" s="21">
        <v>7.9554369E7</v>
      </c>
      <c r="K3877" s="21">
        <v>927.51</v>
      </c>
    </row>
    <row r="3878">
      <c r="A3878" s="15" t="s">
        <v>74</v>
      </c>
      <c r="B3878" s="16" t="s">
        <v>167</v>
      </c>
      <c r="C3878" s="17" t="s">
        <v>168</v>
      </c>
      <c r="D3878" s="18">
        <v>5.0</v>
      </c>
      <c r="E3878" s="17" t="s">
        <v>103</v>
      </c>
      <c r="F3878" s="15" t="s">
        <v>104</v>
      </c>
      <c r="G3878" s="19">
        <v>5.1100651E7</v>
      </c>
      <c r="H3878" s="15" t="s">
        <v>38</v>
      </c>
      <c r="I3878" s="20" t="s">
        <v>17</v>
      </c>
      <c r="J3878" s="21">
        <v>5.7954885E7</v>
      </c>
      <c r="K3878" s="21">
        <v>390.4</v>
      </c>
    </row>
    <row r="3879">
      <c r="A3879" s="15" t="s">
        <v>74</v>
      </c>
      <c r="B3879" s="16" t="s">
        <v>167</v>
      </c>
      <c r="C3879" s="17" t="s">
        <v>168</v>
      </c>
      <c r="D3879" s="18">
        <v>5.0</v>
      </c>
      <c r="E3879" s="17" t="s">
        <v>103</v>
      </c>
      <c r="F3879" s="15" t="s">
        <v>104</v>
      </c>
      <c r="G3879" s="19">
        <v>9.0043001E7</v>
      </c>
      <c r="H3879" s="15" t="s">
        <v>18</v>
      </c>
      <c r="I3879" s="20" t="s">
        <v>19</v>
      </c>
      <c r="J3879" s="21">
        <v>2799360.0</v>
      </c>
      <c r="K3879" s="21">
        <v>18.0</v>
      </c>
    </row>
    <row r="3880">
      <c r="A3880" s="15" t="s">
        <v>74</v>
      </c>
      <c r="B3880" s="16" t="s">
        <v>167</v>
      </c>
      <c r="C3880" s="17" t="s">
        <v>168</v>
      </c>
      <c r="D3880" s="18">
        <v>5.0</v>
      </c>
      <c r="E3880" s="17" t="s">
        <v>103</v>
      </c>
      <c r="F3880" s="15" t="s">
        <v>104</v>
      </c>
      <c r="G3880" s="19">
        <v>5.1100774E7</v>
      </c>
      <c r="H3880" s="15" t="s">
        <v>39</v>
      </c>
      <c r="I3880" s="20" t="s">
        <v>17</v>
      </c>
      <c r="J3880" s="21">
        <v>1.668875E7</v>
      </c>
      <c r="K3880" s="21">
        <v>112.42</v>
      </c>
    </row>
    <row r="3881">
      <c r="A3881" s="15" t="s">
        <v>74</v>
      </c>
      <c r="B3881" s="16" t="s">
        <v>167</v>
      </c>
      <c r="C3881" s="17" t="s">
        <v>168</v>
      </c>
      <c r="D3881" s="18">
        <v>5.0</v>
      </c>
      <c r="E3881" s="17" t="s">
        <v>175</v>
      </c>
      <c r="F3881" s="15" t="s">
        <v>176</v>
      </c>
      <c r="G3881" s="19">
        <v>5.1100651E7</v>
      </c>
      <c r="H3881" s="15" t="s">
        <v>38</v>
      </c>
      <c r="I3881" s="20" t="s">
        <v>25</v>
      </c>
      <c r="J3881" s="21">
        <v>0.0</v>
      </c>
      <c r="K3881" s="21">
        <v>0.0</v>
      </c>
    </row>
    <row r="3882">
      <c r="A3882" s="15" t="s">
        <v>74</v>
      </c>
      <c r="B3882" s="16" t="s">
        <v>167</v>
      </c>
      <c r="C3882" s="17" t="s">
        <v>168</v>
      </c>
      <c r="D3882" s="18">
        <v>5.0</v>
      </c>
      <c r="E3882" s="17" t="s">
        <v>175</v>
      </c>
      <c r="F3882" s="15" t="s">
        <v>176</v>
      </c>
      <c r="G3882" s="19">
        <v>5.1100651E7</v>
      </c>
      <c r="H3882" s="15" t="s">
        <v>38</v>
      </c>
      <c r="I3882" s="20" t="s">
        <v>17</v>
      </c>
      <c r="J3882" s="21">
        <v>2.7427576E7</v>
      </c>
      <c r="K3882" s="21">
        <v>182850.462</v>
      </c>
    </row>
    <row r="3883">
      <c r="A3883" s="15" t="s">
        <v>74</v>
      </c>
      <c r="B3883" s="16" t="s">
        <v>167</v>
      </c>
      <c r="C3883" s="17" t="s">
        <v>168</v>
      </c>
      <c r="D3883" s="18">
        <v>5.0</v>
      </c>
      <c r="E3883" s="17" t="s">
        <v>175</v>
      </c>
      <c r="F3883" s="15" t="s">
        <v>176</v>
      </c>
      <c r="G3883" s="19">
        <v>9.0043002E7</v>
      </c>
      <c r="H3883" s="15" t="s">
        <v>49</v>
      </c>
      <c r="I3883" s="20" t="s">
        <v>50</v>
      </c>
      <c r="J3883" s="21">
        <v>8807894.0</v>
      </c>
      <c r="K3883" s="21">
        <v>412.0</v>
      </c>
    </row>
    <row r="3884">
      <c r="A3884" s="15" t="s">
        <v>74</v>
      </c>
      <c r="B3884" s="16" t="s">
        <v>167</v>
      </c>
      <c r="C3884" s="17" t="s">
        <v>168</v>
      </c>
      <c r="D3884" s="18">
        <v>5.0</v>
      </c>
      <c r="E3884" s="17" t="s">
        <v>175</v>
      </c>
      <c r="F3884" s="15" t="s">
        <v>176</v>
      </c>
      <c r="G3884" s="19">
        <v>5.1100774E7</v>
      </c>
      <c r="H3884" s="15" t="s">
        <v>39</v>
      </c>
      <c r="I3884" s="20" t="s">
        <v>17</v>
      </c>
      <c r="J3884" s="21">
        <v>2.6367486E7</v>
      </c>
      <c r="K3884" s="21">
        <v>175783.207</v>
      </c>
    </row>
    <row r="3885">
      <c r="A3885" s="15" t="s">
        <v>74</v>
      </c>
      <c r="B3885" s="16" t="s">
        <v>167</v>
      </c>
      <c r="C3885" s="17" t="s">
        <v>168</v>
      </c>
      <c r="D3885" s="18">
        <v>5.0</v>
      </c>
      <c r="E3885" s="17" t="s">
        <v>115</v>
      </c>
      <c r="F3885" s="15" t="s">
        <v>116</v>
      </c>
      <c r="G3885" s="19">
        <v>5.1100153E7</v>
      </c>
      <c r="H3885" s="15" t="s">
        <v>72</v>
      </c>
      <c r="I3885" s="20" t="s">
        <v>17</v>
      </c>
      <c r="J3885" s="21">
        <v>4.878506E7</v>
      </c>
      <c r="K3885" s="21">
        <v>346980.0</v>
      </c>
    </row>
    <row r="3886">
      <c r="A3886" s="15" t="s">
        <v>74</v>
      </c>
      <c r="B3886" s="16" t="s">
        <v>167</v>
      </c>
      <c r="C3886" s="17" t="s">
        <v>168</v>
      </c>
      <c r="D3886" s="18">
        <v>5.0</v>
      </c>
      <c r="E3886" s="17" t="s">
        <v>115</v>
      </c>
      <c r="F3886" s="15" t="s">
        <v>116</v>
      </c>
      <c r="G3886" s="19">
        <v>9.0043002E7</v>
      </c>
      <c r="H3886" s="15" t="s">
        <v>49</v>
      </c>
      <c r="I3886" s="20" t="s">
        <v>50</v>
      </c>
      <c r="J3886" s="21">
        <v>481287.0</v>
      </c>
      <c r="K3886" s="21">
        <v>24.0</v>
      </c>
    </row>
    <row r="3887">
      <c r="A3887" s="15" t="s">
        <v>74</v>
      </c>
      <c r="B3887" s="16" t="s">
        <v>167</v>
      </c>
      <c r="C3887" s="17" t="s">
        <v>168</v>
      </c>
      <c r="D3887" s="18">
        <v>5.0</v>
      </c>
      <c r="E3887" s="17" t="s">
        <v>117</v>
      </c>
      <c r="F3887" s="15" t="s">
        <v>118</v>
      </c>
      <c r="G3887" s="19">
        <v>5.1100058E7</v>
      </c>
      <c r="H3887" s="15" t="s">
        <v>36</v>
      </c>
      <c r="I3887" s="20" t="s">
        <v>37</v>
      </c>
      <c r="J3887" s="21">
        <v>3.107918818E9</v>
      </c>
      <c r="K3887" s="21">
        <v>432223.75</v>
      </c>
    </row>
    <row r="3888">
      <c r="A3888" s="15" t="s">
        <v>74</v>
      </c>
      <c r="B3888" s="16" t="s">
        <v>167</v>
      </c>
      <c r="C3888" s="17" t="s">
        <v>168</v>
      </c>
      <c r="D3888" s="18">
        <v>5.0</v>
      </c>
      <c r="E3888" s="17" t="s">
        <v>117</v>
      </c>
      <c r="F3888" s="15" t="s">
        <v>118</v>
      </c>
      <c r="G3888" s="19">
        <v>5.1100061E7</v>
      </c>
      <c r="H3888" s="15" t="s">
        <v>42</v>
      </c>
      <c r="I3888" s="20" t="s">
        <v>37</v>
      </c>
      <c r="J3888" s="21">
        <v>4.1402723E7</v>
      </c>
      <c r="K3888" s="21">
        <v>5063.5</v>
      </c>
    </row>
    <row r="3889">
      <c r="A3889" s="15" t="s">
        <v>74</v>
      </c>
      <c r="B3889" s="16" t="s">
        <v>167</v>
      </c>
      <c r="C3889" s="17" t="s">
        <v>168</v>
      </c>
      <c r="D3889" s="18">
        <v>5.0</v>
      </c>
      <c r="E3889" s="17" t="s">
        <v>117</v>
      </c>
      <c r="F3889" s="15" t="s">
        <v>118</v>
      </c>
      <c r="G3889" s="19">
        <v>5.1100651E7</v>
      </c>
      <c r="H3889" s="15" t="s">
        <v>38</v>
      </c>
      <c r="I3889" s="20" t="s">
        <v>17</v>
      </c>
      <c r="J3889" s="21">
        <v>4.0230012E7</v>
      </c>
      <c r="K3889" s="21">
        <v>560.69</v>
      </c>
    </row>
    <row r="3890">
      <c r="A3890" s="15" t="s">
        <v>74</v>
      </c>
      <c r="B3890" s="16" t="s">
        <v>167</v>
      </c>
      <c r="C3890" s="17" t="s">
        <v>168</v>
      </c>
      <c r="D3890" s="18">
        <v>5.0</v>
      </c>
      <c r="E3890" s="17" t="s">
        <v>117</v>
      </c>
      <c r="F3890" s="15" t="s">
        <v>118</v>
      </c>
      <c r="G3890" s="19">
        <v>9.0043001E7</v>
      </c>
      <c r="H3890" s="15" t="s">
        <v>18</v>
      </c>
      <c r="I3890" s="20" t="s">
        <v>19</v>
      </c>
      <c r="J3890" s="21">
        <v>5.69662E7</v>
      </c>
      <c r="K3890" s="21">
        <v>334.0</v>
      </c>
    </row>
    <row r="3891">
      <c r="A3891" s="15" t="s">
        <v>74</v>
      </c>
      <c r="B3891" s="16" t="s">
        <v>167</v>
      </c>
      <c r="C3891" s="17" t="s">
        <v>168</v>
      </c>
      <c r="D3891" s="18">
        <v>5.0</v>
      </c>
      <c r="E3891" s="17" t="s">
        <v>117</v>
      </c>
      <c r="F3891" s="15" t="s">
        <v>118</v>
      </c>
      <c r="G3891" s="19">
        <v>9.0043E7</v>
      </c>
      <c r="H3891" s="15" t="s">
        <v>83</v>
      </c>
      <c r="I3891" s="20" t="s">
        <v>19</v>
      </c>
      <c r="J3891" s="21">
        <v>1142561.0</v>
      </c>
      <c r="K3891" s="21">
        <v>7.0</v>
      </c>
    </row>
    <row r="3892">
      <c r="A3892" s="15" t="s">
        <v>74</v>
      </c>
      <c r="B3892" s="16" t="s">
        <v>167</v>
      </c>
      <c r="C3892" s="17" t="s">
        <v>168</v>
      </c>
      <c r="D3892" s="18">
        <v>5.0</v>
      </c>
      <c r="E3892" s="17" t="s">
        <v>117</v>
      </c>
      <c r="F3892" s="15" t="s">
        <v>118</v>
      </c>
      <c r="G3892" s="19">
        <v>5.1100774E7</v>
      </c>
      <c r="H3892" s="15" t="s">
        <v>39</v>
      </c>
      <c r="I3892" s="20" t="s">
        <v>17</v>
      </c>
      <c r="J3892" s="21">
        <v>5.5058727E7</v>
      </c>
      <c r="K3892" s="21">
        <v>673.16</v>
      </c>
    </row>
    <row r="3893">
      <c r="A3893" s="15" t="s">
        <v>74</v>
      </c>
      <c r="B3893" s="16" t="s">
        <v>167</v>
      </c>
      <c r="C3893" s="17" t="s">
        <v>168</v>
      </c>
      <c r="D3893" s="18">
        <v>5.0</v>
      </c>
      <c r="E3893" s="17" t="s">
        <v>119</v>
      </c>
      <c r="F3893" s="15" t="s">
        <v>120</v>
      </c>
      <c r="G3893" s="19">
        <v>5.1100774E7</v>
      </c>
      <c r="H3893" s="15" t="s">
        <v>39</v>
      </c>
      <c r="I3893" s="20" t="s">
        <v>17</v>
      </c>
      <c r="J3893" s="21">
        <v>5568600.0</v>
      </c>
      <c r="K3893" s="21">
        <v>5.0</v>
      </c>
    </row>
    <row r="3894">
      <c r="A3894" s="15" t="s">
        <v>74</v>
      </c>
      <c r="B3894" s="16" t="s">
        <v>167</v>
      </c>
      <c r="C3894" s="17" t="s">
        <v>168</v>
      </c>
      <c r="D3894" s="18">
        <v>5.0</v>
      </c>
      <c r="E3894" s="17" t="s">
        <v>125</v>
      </c>
      <c r="F3894" s="15" t="s">
        <v>126</v>
      </c>
      <c r="G3894" s="19">
        <v>5.1101056E7</v>
      </c>
      <c r="H3894" s="15" t="s">
        <v>16</v>
      </c>
      <c r="I3894" s="20" t="s">
        <v>25</v>
      </c>
      <c r="J3894" s="21">
        <v>0.0</v>
      </c>
      <c r="K3894" s="21">
        <v>0.0</v>
      </c>
    </row>
    <row r="3895">
      <c r="A3895" s="15" t="s">
        <v>74</v>
      </c>
      <c r="B3895" s="16" t="s">
        <v>167</v>
      </c>
      <c r="C3895" s="17" t="s">
        <v>168</v>
      </c>
      <c r="D3895" s="18">
        <v>5.0</v>
      </c>
      <c r="E3895" s="17" t="s">
        <v>125</v>
      </c>
      <c r="F3895" s="15" t="s">
        <v>126</v>
      </c>
      <c r="G3895" s="19">
        <v>9.0043001E7</v>
      </c>
      <c r="H3895" s="15" t="s">
        <v>18</v>
      </c>
      <c r="I3895" s="20" t="s">
        <v>19</v>
      </c>
      <c r="J3895" s="21">
        <v>6.67126055E8</v>
      </c>
      <c r="K3895" s="21">
        <v>3729.0</v>
      </c>
    </row>
    <row r="3896">
      <c r="A3896" s="15" t="s">
        <v>74</v>
      </c>
      <c r="B3896" s="16" t="s">
        <v>167</v>
      </c>
      <c r="C3896" s="17" t="s">
        <v>168</v>
      </c>
      <c r="D3896" s="18">
        <v>5.0</v>
      </c>
      <c r="E3896" s="17" t="s">
        <v>125</v>
      </c>
      <c r="F3896" s="15" t="s">
        <v>126</v>
      </c>
      <c r="G3896" s="19">
        <v>9.0043E7</v>
      </c>
      <c r="H3896" s="15" t="s">
        <v>83</v>
      </c>
      <c r="I3896" s="20" t="s">
        <v>19</v>
      </c>
      <c r="J3896" s="21">
        <v>1.3714335E7</v>
      </c>
      <c r="K3896" s="21">
        <v>75.0</v>
      </c>
    </row>
    <row r="3897">
      <c r="A3897" s="15" t="s">
        <v>74</v>
      </c>
      <c r="B3897" s="16" t="s">
        <v>167</v>
      </c>
      <c r="C3897" s="17" t="s">
        <v>168</v>
      </c>
      <c r="D3897" s="18">
        <v>5.0</v>
      </c>
      <c r="E3897" s="17" t="s">
        <v>127</v>
      </c>
      <c r="F3897" s="15" t="s">
        <v>128</v>
      </c>
      <c r="G3897" s="19">
        <v>5.1100153E7</v>
      </c>
      <c r="H3897" s="15" t="s">
        <v>72</v>
      </c>
      <c r="I3897" s="20" t="s">
        <v>17</v>
      </c>
      <c r="J3897" s="21">
        <v>7.01322193E8</v>
      </c>
      <c r="K3897" s="21">
        <v>4367030.0</v>
      </c>
    </row>
    <row r="3898">
      <c r="A3898" s="15" t="s">
        <v>74</v>
      </c>
      <c r="B3898" s="16" t="s">
        <v>167</v>
      </c>
      <c r="C3898" s="17" t="s">
        <v>168</v>
      </c>
      <c r="D3898" s="18">
        <v>5.0</v>
      </c>
      <c r="E3898" s="17" t="s">
        <v>127</v>
      </c>
      <c r="F3898" s="15" t="s">
        <v>128</v>
      </c>
      <c r="G3898" s="19">
        <v>9.0043001E7</v>
      </c>
      <c r="H3898" s="15" t="s">
        <v>18</v>
      </c>
      <c r="I3898" s="20" t="s">
        <v>19</v>
      </c>
      <c r="J3898" s="21">
        <v>311040.0</v>
      </c>
      <c r="K3898" s="21">
        <v>2.0</v>
      </c>
    </row>
    <row r="3899">
      <c r="A3899" s="15" t="s">
        <v>74</v>
      </c>
      <c r="B3899" s="16" t="s">
        <v>167</v>
      </c>
      <c r="C3899" s="17" t="s">
        <v>168</v>
      </c>
      <c r="D3899" s="18">
        <v>5.0</v>
      </c>
      <c r="E3899" s="17" t="s">
        <v>127</v>
      </c>
      <c r="F3899" s="15" t="s">
        <v>128</v>
      </c>
      <c r="G3899" s="19">
        <v>9.0043002E7</v>
      </c>
      <c r="H3899" s="15" t="s">
        <v>49</v>
      </c>
      <c r="I3899" s="20" t="s">
        <v>50</v>
      </c>
      <c r="J3899" s="21">
        <v>1.11717955E8</v>
      </c>
      <c r="K3899" s="21">
        <v>5222.0</v>
      </c>
    </row>
    <row r="3900">
      <c r="A3900" s="15" t="s">
        <v>74</v>
      </c>
      <c r="B3900" s="16" t="s">
        <v>167</v>
      </c>
      <c r="C3900" s="17" t="s">
        <v>168</v>
      </c>
      <c r="D3900" s="18">
        <v>5.0</v>
      </c>
      <c r="E3900" s="17" t="s">
        <v>129</v>
      </c>
      <c r="F3900" s="15" t="s">
        <v>130</v>
      </c>
      <c r="G3900" s="19">
        <v>5.1101056E7</v>
      </c>
      <c r="H3900" s="15" t="s">
        <v>16</v>
      </c>
      <c r="I3900" s="20" t="s">
        <v>17</v>
      </c>
      <c r="J3900" s="21">
        <v>7.86618E7</v>
      </c>
      <c r="K3900" s="21">
        <v>1123740.0</v>
      </c>
    </row>
    <row r="3901">
      <c r="A3901" s="15" t="s">
        <v>74</v>
      </c>
      <c r="B3901" s="16" t="s">
        <v>167</v>
      </c>
      <c r="C3901" s="17" t="s">
        <v>168</v>
      </c>
      <c r="D3901" s="18">
        <v>5.0</v>
      </c>
      <c r="E3901" s="17" t="s">
        <v>129</v>
      </c>
      <c r="F3901" s="15" t="s">
        <v>130</v>
      </c>
      <c r="G3901" s="19">
        <v>9.0043001E7</v>
      </c>
      <c r="H3901" s="15" t="s">
        <v>18</v>
      </c>
      <c r="I3901" s="20" t="s">
        <v>19</v>
      </c>
      <c r="J3901" s="21">
        <v>4349116.0</v>
      </c>
      <c r="K3901" s="21">
        <v>23.0</v>
      </c>
    </row>
    <row r="3902">
      <c r="A3902" s="15" t="s">
        <v>74</v>
      </c>
      <c r="B3902" s="16" t="s">
        <v>167</v>
      </c>
      <c r="C3902" s="17" t="s">
        <v>168</v>
      </c>
      <c r="D3902" s="18">
        <v>5.0</v>
      </c>
      <c r="E3902" s="17" t="s">
        <v>129</v>
      </c>
      <c r="F3902" s="15" t="s">
        <v>130</v>
      </c>
      <c r="G3902" s="19">
        <v>9.0043003E7</v>
      </c>
      <c r="H3902" s="15" t="s">
        <v>90</v>
      </c>
      <c r="I3902" s="20" t="s">
        <v>50</v>
      </c>
      <c r="J3902" s="21">
        <v>5.3555555E7</v>
      </c>
      <c r="K3902" s="21">
        <v>206.0</v>
      </c>
    </row>
    <row r="3903">
      <c r="A3903" s="15" t="s">
        <v>74</v>
      </c>
      <c r="B3903" s="16" t="s">
        <v>167</v>
      </c>
      <c r="C3903" s="17" t="s">
        <v>168</v>
      </c>
      <c r="D3903" s="18">
        <v>5.0</v>
      </c>
      <c r="E3903" s="17" t="s">
        <v>135</v>
      </c>
      <c r="F3903" s="15" t="s">
        <v>136</v>
      </c>
      <c r="G3903" s="19">
        <v>9.0043001E7</v>
      </c>
      <c r="H3903" s="15" t="s">
        <v>18</v>
      </c>
      <c r="I3903" s="20" t="s">
        <v>19</v>
      </c>
      <c r="J3903" s="21">
        <v>1.91523312E8</v>
      </c>
      <c r="K3903" s="21">
        <v>1077.5</v>
      </c>
    </row>
    <row r="3904">
      <c r="A3904" s="15" t="s">
        <v>74</v>
      </c>
      <c r="B3904" s="16" t="s">
        <v>167</v>
      </c>
      <c r="C3904" s="17" t="s">
        <v>168</v>
      </c>
      <c r="D3904" s="18">
        <v>5.0</v>
      </c>
      <c r="E3904" s="17" t="s">
        <v>162</v>
      </c>
      <c r="F3904" s="15" t="s">
        <v>163</v>
      </c>
      <c r="G3904" s="19">
        <v>9.0043001E7</v>
      </c>
      <c r="H3904" s="15" t="s">
        <v>18</v>
      </c>
      <c r="I3904" s="20" t="s">
        <v>19</v>
      </c>
      <c r="J3904" s="21">
        <v>2.4001709E7</v>
      </c>
      <c r="K3904" s="21">
        <v>135.0</v>
      </c>
    </row>
    <row r="3905">
      <c r="A3905" s="15" t="s">
        <v>74</v>
      </c>
      <c r="B3905" s="16" t="s">
        <v>167</v>
      </c>
      <c r="C3905" s="17" t="s">
        <v>168</v>
      </c>
      <c r="D3905" s="18">
        <v>5.0</v>
      </c>
      <c r="E3905" s="17" t="s">
        <v>162</v>
      </c>
      <c r="F3905" s="15" t="s">
        <v>163</v>
      </c>
      <c r="G3905" s="19">
        <v>9.0043E7</v>
      </c>
      <c r="H3905" s="15" t="s">
        <v>83</v>
      </c>
      <c r="I3905" s="20" t="s">
        <v>19</v>
      </c>
      <c r="J3905" s="21">
        <v>189790.0</v>
      </c>
      <c r="K3905" s="21">
        <v>1.0</v>
      </c>
    </row>
    <row r="3906">
      <c r="A3906" s="15" t="s">
        <v>74</v>
      </c>
      <c r="B3906" s="16" t="s">
        <v>167</v>
      </c>
      <c r="C3906" s="17" t="s">
        <v>168</v>
      </c>
      <c r="D3906" s="18">
        <v>5.0</v>
      </c>
      <c r="E3906" s="17" t="s">
        <v>195</v>
      </c>
      <c r="F3906" s="15" t="s">
        <v>196</v>
      </c>
      <c r="G3906" s="19">
        <v>9.0043001E7</v>
      </c>
      <c r="H3906" s="15" t="s">
        <v>18</v>
      </c>
      <c r="I3906" s="20" t="s">
        <v>19</v>
      </c>
      <c r="J3906" s="21">
        <v>707658.0</v>
      </c>
      <c r="K3906" s="21">
        <v>4.0</v>
      </c>
    </row>
    <row r="3907">
      <c r="A3907" s="15" t="s">
        <v>74</v>
      </c>
      <c r="B3907" s="16" t="s">
        <v>167</v>
      </c>
      <c r="C3907" s="17" t="s">
        <v>168</v>
      </c>
      <c r="D3907" s="18">
        <v>5.0</v>
      </c>
      <c r="E3907" s="17" t="s">
        <v>54</v>
      </c>
      <c r="F3907" s="15" t="s">
        <v>139</v>
      </c>
      <c r="G3907" s="19">
        <v>9.0042011E7</v>
      </c>
      <c r="H3907" s="15" t="s">
        <v>55</v>
      </c>
      <c r="I3907" s="20" t="s">
        <v>19</v>
      </c>
      <c r="J3907" s="21">
        <v>3.89285975E8</v>
      </c>
      <c r="K3907" s="21">
        <v>0.0</v>
      </c>
    </row>
    <row r="3908">
      <c r="A3908" s="15" t="s">
        <v>74</v>
      </c>
      <c r="B3908" s="16" t="s">
        <v>167</v>
      </c>
      <c r="C3908" s="17" t="s">
        <v>168</v>
      </c>
      <c r="D3908" s="18">
        <v>5.0</v>
      </c>
      <c r="E3908" s="17" t="s">
        <v>20</v>
      </c>
      <c r="F3908" s="15" t="s">
        <v>140</v>
      </c>
      <c r="G3908" s="19">
        <v>9.0042014E7</v>
      </c>
      <c r="H3908" s="15" t="s">
        <v>21</v>
      </c>
      <c r="I3908" s="20" t="s">
        <v>19</v>
      </c>
      <c r="J3908" s="21">
        <v>8.37281998E8</v>
      </c>
      <c r="K3908" s="21">
        <v>0.0</v>
      </c>
    </row>
    <row r="3909">
      <c r="A3909" s="15" t="s">
        <v>74</v>
      </c>
      <c r="B3909" s="16" t="s">
        <v>167</v>
      </c>
      <c r="C3909" s="17" t="s">
        <v>168</v>
      </c>
      <c r="D3909" s="18">
        <v>5.0</v>
      </c>
      <c r="E3909" s="17" t="s">
        <v>20</v>
      </c>
      <c r="F3909" s="15" t="s">
        <v>140</v>
      </c>
      <c r="G3909" s="19">
        <v>9.0042077E7</v>
      </c>
      <c r="H3909" s="15" t="s">
        <v>141</v>
      </c>
      <c r="I3909" s="20" t="s">
        <v>19</v>
      </c>
      <c r="J3909" s="21">
        <v>3.55144105E8</v>
      </c>
      <c r="K3909" s="21">
        <v>0.0</v>
      </c>
    </row>
    <row r="3910">
      <c r="A3910" s="15" t="s">
        <v>74</v>
      </c>
      <c r="B3910" s="16" t="s">
        <v>167</v>
      </c>
      <c r="C3910" s="17" t="s">
        <v>168</v>
      </c>
      <c r="D3910" s="18">
        <v>5.0</v>
      </c>
      <c r="E3910" s="17" t="s">
        <v>142</v>
      </c>
      <c r="F3910" s="15" t="s">
        <v>143</v>
      </c>
      <c r="G3910" s="19">
        <v>9.0042084E7</v>
      </c>
      <c r="H3910" s="15" t="s">
        <v>145</v>
      </c>
      <c r="I3910" s="20" t="s">
        <v>19</v>
      </c>
      <c r="J3910" s="21">
        <v>1.3314952E7</v>
      </c>
      <c r="K3910" s="21">
        <v>0.0</v>
      </c>
    </row>
    <row r="3911">
      <c r="A3911" s="15" t="s">
        <v>74</v>
      </c>
      <c r="B3911" s="16" t="s">
        <v>167</v>
      </c>
      <c r="C3911" s="17" t="s">
        <v>168</v>
      </c>
      <c r="D3911" s="18">
        <v>5.0</v>
      </c>
      <c r="E3911" s="17" t="s">
        <v>22</v>
      </c>
      <c r="F3911" s="15" t="s">
        <v>146</v>
      </c>
      <c r="G3911" s="19">
        <v>9.0042012E7</v>
      </c>
      <c r="H3911" s="15" t="s">
        <v>23</v>
      </c>
      <c r="I3911" s="20" t="s">
        <v>19</v>
      </c>
      <c r="J3911" s="21">
        <v>2.05041873E8</v>
      </c>
      <c r="K3911" s="21">
        <v>0.0</v>
      </c>
    </row>
    <row r="3912">
      <c r="A3912" s="15" t="s">
        <v>74</v>
      </c>
      <c r="B3912" s="16" t="s">
        <v>167</v>
      </c>
      <c r="C3912" s="17" t="s">
        <v>168</v>
      </c>
      <c r="D3912" s="18">
        <v>5.0</v>
      </c>
      <c r="E3912" s="17" t="s">
        <v>22</v>
      </c>
      <c r="F3912" s="15" t="s">
        <v>146</v>
      </c>
      <c r="G3912" s="19">
        <v>9.0042121E7</v>
      </c>
      <c r="H3912" s="15" t="s">
        <v>24</v>
      </c>
      <c r="I3912" s="20" t="s">
        <v>25</v>
      </c>
      <c r="J3912" s="21">
        <v>1.5692968E8</v>
      </c>
      <c r="K3912" s="21">
        <v>0.0</v>
      </c>
    </row>
    <row r="3913">
      <c r="A3913" s="15" t="s">
        <v>74</v>
      </c>
      <c r="B3913" s="16" t="s">
        <v>167</v>
      </c>
      <c r="C3913" s="17" t="s">
        <v>168</v>
      </c>
      <c r="D3913" s="18">
        <v>5.0</v>
      </c>
      <c r="E3913" s="17" t="s">
        <v>22</v>
      </c>
      <c r="F3913" s="15" t="s">
        <v>146</v>
      </c>
      <c r="G3913" s="19">
        <v>9.0042122E7</v>
      </c>
      <c r="H3913" s="15" t="s">
        <v>56</v>
      </c>
      <c r="I3913" s="20" t="s">
        <v>25</v>
      </c>
      <c r="J3913" s="21">
        <v>8695771.0</v>
      </c>
      <c r="K3913" s="21">
        <v>0.0</v>
      </c>
    </row>
    <row r="3914">
      <c r="A3914" s="15" t="s">
        <v>74</v>
      </c>
      <c r="B3914" s="16" t="s">
        <v>167</v>
      </c>
      <c r="C3914" s="17" t="s">
        <v>168</v>
      </c>
      <c r="D3914" s="18">
        <v>5.0</v>
      </c>
      <c r="E3914" s="17" t="s">
        <v>22</v>
      </c>
      <c r="F3914" s="15" t="s">
        <v>146</v>
      </c>
      <c r="G3914" s="19">
        <v>9.0042124E7</v>
      </c>
      <c r="H3914" s="15" t="s">
        <v>57</v>
      </c>
      <c r="I3914" s="20" t="s">
        <v>25</v>
      </c>
      <c r="J3914" s="21">
        <v>1.7370529E7</v>
      </c>
      <c r="K3914" s="21">
        <v>0.0</v>
      </c>
    </row>
    <row r="3915">
      <c r="A3915" s="15" t="s">
        <v>74</v>
      </c>
      <c r="B3915" s="16" t="s">
        <v>167</v>
      </c>
      <c r="C3915" s="17" t="s">
        <v>168</v>
      </c>
      <c r="D3915" s="18">
        <v>5.0</v>
      </c>
      <c r="E3915" s="17" t="s">
        <v>22</v>
      </c>
      <c r="F3915" s="15" t="s">
        <v>146</v>
      </c>
      <c r="G3915" s="19">
        <v>9.0042125E7</v>
      </c>
      <c r="H3915" s="15" t="s">
        <v>26</v>
      </c>
      <c r="I3915" s="20" t="s">
        <v>25</v>
      </c>
      <c r="J3915" s="21">
        <v>8.0135766E7</v>
      </c>
      <c r="K3915" s="21">
        <v>0.0</v>
      </c>
    </row>
    <row r="3916">
      <c r="A3916" s="15" t="s">
        <v>74</v>
      </c>
      <c r="B3916" s="16" t="s">
        <v>167</v>
      </c>
      <c r="C3916" s="17" t="s">
        <v>168</v>
      </c>
      <c r="D3916" s="18">
        <v>5.0</v>
      </c>
      <c r="E3916" s="17" t="s">
        <v>22</v>
      </c>
      <c r="F3916" s="15" t="s">
        <v>146</v>
      </c>
      <c r="G3916" s="19">
        <v>9.0042127E7</v>
      </c>
      <c r="H3916" s="15" t="s">
        <v>27</v>
      </c>
      <c r="I3916" s="20" t="s">
        <v>25</v>
      </c>
      <c r="J3916" s="21">
        <v>1.8825576E7</v>
      </c>
      <c r="K3916" s="21">
        <v>0.0</v>
      </c>
    </row>
    <row r="3917">
      <c r="A3917" s="15" t="s">
        <v>74</v>
      </c>
      <c r="B3917" s="16" t="s">
        <v>167</v>
      </c>
      <c r="C3917" s="17" t="s">
        <v>168</v>
      </c>
      <c r="D3917" s="18">
        <v>5.0</v>
      </c>
      <c r="E3917" s="17" t="s">
        <v>22</v>
      </c>
      <c r="F3917" s="15" t="s">
        <v>146</v>
      </c>
      <c r="G3917" s="19">
        <v>9.0042128E7</v>
      </c>
      <c r="H3917" s="15" t="s">
        <v>58</v>
      </c>
      <c r="I3917" s="20" t="s">
        <v>25</v>
      </c>
      <c r="J3917" s="21">
        <v>6560428.0</v>
      </c>
      <c r="K3917" s="21">
        <v>0.0</v>
      </c>
    </row>
    <row r="3918">
      <c r="A3918" s="15" t="s">
        <v>74</v>
      </c>
      <c r="B3918" s="16" t="s">
        <v>167</v>
      </c>
      <c r="C3918" s="17" t="s">
        <v>168</v>
      </c>
      <c r="D3918" s="18">
        <v>5.0</v>
      </c>
      <c r="E3918" s="17" t="s">
        <v>22</v>
      </c>
      <c r="F3918" s="15" t="s">
        <v>146</v>
      </c>
      <c r="G3918" s="19">
        <v>9.0042132E7</v>
      </c>
      <c r="H3918" s="15" t="s">
        <v>28</v>
      </c>
      <c r="I3918" s="20" t="s">
        <v>25</v>
      </c>
      <c r="J3918" s="21">
        <v>6287568.0</v>
      </c>
      <c r="K3918" s="21">
        <v>0.0</v>
      </c>
    </row>
    <row r="3919">
      <c r="A3919" s="15" t="s">
        <v>74</v>
      </c>
      <c r="B3919" s="16" t="s">
        <v>167</v>
      </c>
      <c r="C3919" s="17" t="s">
        <v>168</v>
      </c>
      <c r="D3919" s="18">
        <v>5.0</v>
      </c>
      <c r="E3919" s="17" t="s">
        <v>22</v>
      </c>
      <c r="F3919" s="15" t="s">
        <v>146</v>
      </c>
      <c r="G3919" s="19">
        <v>9.0042135E7</v>
      </c>
      <c r="H3919" s="15" t="s">
        <v>30</v>
      </c>
      <c r="I3919" s="20" t="s">
        <v>25</v>
      </c>
      <c r="J3919" s="21">
        <v>2.79015666E8</v>
      </c>
      <c r="K3919" s="21">
        <v>0.0</v>
      </c>
    </row>
    <row r="3920">
      <c r="A3920" s="15" t="s">
        <v>74</v>
      </c>
      <c r="B3920" s="16" t="s">
        <v>167</v>
      </c>
      <c r="C3920" s="17" t="s">
        <v>168</v>
      </c>
      <c r="D3920" s="18">
        <v>5.0</v>
      </c>
      <c r="E3920" s="17" t="s">
        <v>22</v>
      </c>
      <c r="F3920" s="15" t="s">
        <v>146</v>
      </c>
      <c r="G3920" s="19">
        <v>9.00422E7</v>
      </c>
      <c r="H3920" s="15" t="s">
        <v>73</v>
      </c>
      <c r="I3920" s="20" t="s">
        <v>60</v>
      </c>
      <c r="J3920" s="21">
        <v>1.048353763E9</v>
      </c>
      <c r="K3920" s="21">
        <v>0.0</v>
      </c>
    </row>
    <row r="3921">
      <c r="A3921" s="15" t="s">
        <v>74</v>
      </c>
      <c r="B3921" s="16" t="s">
        <v>167</v>
      </c>
      <c r="C3921" s="17" t="s">
        <v>168</v>
      </c>
      <c r="D3921" s="18">
        <v>5.0</v>
      </c>
      <c r="E3921" s="17" t="s">
        <v>22</v>
      </c>
      <c r="F3921" s="15" t="s">
        <v>146</v>
      </c>
      <c r="G3921" s="19">
        <v>9.0042223E7</v>
      </c>
      <c r="H3921" s="15" t="s">
        <v>61</v>
      </c>
      <c r="I3921" s="20" t="s">
        <v>60</v>
      </c>
      <c r="J3921" s="21">
        <v>7852265.0</v>
      </c>
      <c r="K3921" s="21">
        <v>0.0</v>
      </c>
    </row>
    <row r="3922">
      <c r="A3922" s="15" t="s">
        <v>74</v>
      </c>
      <c r="B3922" s="16" t="s">
        <v>167</v>
      </c>
      <c r="C3922" s="17" t="s">
        <v>168</v>
      </c>
      <c r="D3922" s="18">
        <v>5.0</v>
      </c>
      <c r="E3922" s="17" t="s">
        <v>22</v>
      </c>
      <c r="F3922" s="15" t="s">
        <v>146</v>
      </c>
      <c r="G3922" s="19">
        <v>9.0042224E7</v>
      </c>
      <c r="H3922" s="15" t="s">
        <v>62</v>
      </c>
      <c r="I3922" s="20" t="s">
        <v>60</v>
      </c>
      <c r="J3922" s="21">
        <v>4757272.0</v>
      </c>
      <c r="K3922" s="21">
        <v>0.0</v>
      </c>
    </row>
    <row r="3923">
      <c r="A3923" s="15" t="s">
        <v>74</v>
      </c>
      <c r="B3923" s="16" t="s">
        <v>167</v>
      </c>
      <c r="C3923" s="17" t="s">
        <v>168</v>
      </c>
      <c r="D3923" s="18">
        <v>5.0</v>
      </c>
      <c r="E3923" s="17" t="s">
        <v>22</v>
      </c>
      <c r="F3923" s="15" t="s">
        <v>146</v>
      </c>
      <c r="G3923" s="19">
        <v>9.0042225E7</v>
      </c>
      <c r="H3923" s="15" t="s">
        <v>147</v>
      </c>
      <c r="I3923" s="20" t="s">
        <v>60</v>
      </c>
      <c r="J3923" s="21">
        <v>6123491.0</v>
      </c>
      <c r="K3923" s="21">
        <v>0.0</v>
      </c>
    </row>
    <row r="3924">
      <c r="A3924" s="15" t="s">
        <v>74</v>
      </c>
      <c r="B3924" s="16" t="s">
        <v>167</v>
      </c>
      <c r="C3924" s="17" t="s">
        <v>168</v>
      </c>
      <c r="D3924" s="18">
        <v>5.0</v>
      </c>
      <c r="E3924" s="17" t="s">
        <v>22</v>
      </c>
      <c r="F3924" s="15" t="s">
        <v>146</v>
      </c>
      <c r="G3924" s="19">
        <v>9.0042226E7</v>
      </c>
      <c r="H3924" s="15" t="s">
        <v>63</v>
      </c>
      <c r="I3924" s="20" t="s">
        <v>60</v>
      </c>
      <c r="J3924" s="21">
        <v>220000.0</v>
      </c>
      <c r="K3924" s="21">
        <v>0.0</v>
      </c>
    </row>
    <row r="3925">
      <c r="A3925" s="15" t="s">
        <v>74</v>
      </c>
      <c r="B3925" s="16" t="s">
        <v>167</v>
      </c>
      <c r="C3925" s="17" t="s">
        <v>168</v>
      </c>
      <c r="D3925" s="18">
        <v>5.0</v>
      </c>
      <c r="E3925" s="17" t="s">
        <v>22</v>
      </c>
      <c r="F3925" s="15" t="s">
        <v>146</v>
      </c>
      <c r="G3925" s="19">
        <v>9.0042228E7</v>
      </c>
      <c r="H3925" s="15" t="s">
        <v>64</v>
      </c>
      <c r="I3925" s="20" t="s">
        <v>60</v>
      </c>
      <c r="J3925" s="21">
        <v>1.10789923E8</v>
      </c>
      <c r="K3925" s="21">
        <v>0.0</v>
      </c>
    </row>
    <row r="3926">
      <c r="A3926" s="15" t="s">
        <v>74</v>
      </c>
      <c r="B3926" s="16" t="s">
        <v>167</v>
      </c>
      <c r="C3926" s="17" t="s">
        <v>168</v>
      </c>
      <c r="D3926" s="18">
        <v>5.0</v>
      </c>
      <c r="E3926" s="17" t="s">
        <v>22</v>
      </c>
      <c r="F3926" s="15" t="s">
        <v>146</v>
      </c>
      <c r="G3926" s="19">
        <v>9.0042231E7</v>
      </c>
      <c r="H3926" s="15" t="s">
        <v>65</v>
      </c>
      <c r="I3926" s="20" t="s">
        <v>60</v>
      </c>
      <c r="J3926" s="21">
        <v>8491629.0</v>
      </c>
      <c r="K3926" s="21">
        <v>0.0</v>
      </c>
    </row>
    <row r="3927">
      <c r="A3927" s="15" t="s">
        <v>74</v>
      </c>
      <c r="B3927" s="16" t="s">
        <v>167</v>
      </c>
      <c r="C3927" s="17" t="s">
        <v>168</v>
      </c>
      <c r="D3927" s="18">
        <v>5.0</v>
      </c>
      <c r="E3927" s="17" t="s">
        <v>22</v>
      </c>
      <c r="F3927" s="15" t="s">
        <v>146</v>
      </c>
      <c r="G3927" s="19">
        <v>9.0042126E7</v>
      </c>
      <c r="H3927" s="15" t="s">
        <v>31</v>
      </c>
      <c r="I3927" s="20" t="s">
        <v>25</v>
      </c>
      <c r="J3927" s="21">
        <v>9.4138833E7</v>
      </c>
      <c r="K3927" s="21">
        <v>0.0</v>
      </c>
    </row>
    <row r="3928">
      <c r="A3928" s="15" t="s">
        <v>74</v>
      </c>
      <c r="B3928" s="16" t="s">
        <v>167</v>
      </c>
      <c r="C3928" s="17" t="s">
        <v>168</v>
      </c>
      <c r="D3928" s="18">
        <v>5.0</v>
      </c>
      <c r="E3928" s="17" t="s">
        <v>22</v>
      </c>
      <c r="F3928" s="15" t="s">
        <v>146</v>
      </c>
      <c r="G3928" s="19">
        <v>9.004212E7</v>
      </c>
      <c r="H3928" s="15" t="s">
        <v>182</v>
      </c>
      <c r="I3928" s="20" t="s">
        <v>25</v>
      </c>
      <c r="J3928" s="21">
        <v>1.77365817E8</v>
      </c>
      <c r="K3928" s="21">
        <v>0.0</v>
      </c>
    </row>
    <row r="3929">
      <c r="A3929" s="15" t="s">
        <v>74</v>
      </c>
      <c r="B3929" s="16" t="s">
        <v>167</v>
      </c>
      <c r="C3929" s="17" t="s">
        <v>168</v>
      </c>
      <c r="D3929" s="18">
        <v>5.0</v>
      </c>
      <c r="E3929" s="17" t="s">
        <v>22</v>
      </c>
      <c r="F3929" s="15" t="s">
        <v>146</v>
      </c>
      <c r="G3929" s="19">
        <v>5.1100005E7</v>
      </c>
      <c r="H3929" s="15" t="s">
        <v>337</v>
      </c>
      <c r="I3929" s="20" t="s">
        <v>37</v>
      </c>
      <c r="J3929" s="21">
        <v>-8996258.0</v>
      </c>
      <c r="K3929" s="21">
        <v>2792.0</v>
      </c>
    </row>
    <row r="3930">
      <c r="A3930" s="15" t="s">
        <v>74</v>
      </c>
      <c r="B3930" s="16" t="s">
        <v>167</v>
      </c>
      <c r="C3930" s="17" t="s">
        <v>168</v>
      </c>
      <c r="D3930" s="18">
        <v>5.0</v>
      </c>
      <c r="E3930" s="24">
        <v>46277.0</v>
      </c>
      <c r="F3930" s="15" t="s">
        <v>306</v>
      </c>
      <c r="G3930" s="19">
        <v>5.1101999E7</v>
      </c>
      <c r="H3930" s="15" t="s">
        <v>107</v>
      </c>
      <c r="I3930" s="20" t="s">
        <v>25</v>
      </c>
      <c r="J3930" s="21">
        <v>0.0</v>
      </c>
      <c r="K3930" s="21">
        <v>0.0</v>
      </c>
    </row>
    <row r="3931">
      <c r="A3931" s="15" t="s">
        <v>74</v>
      </c>
      <c r="B3931" s="16" t="s">
        <v>167</v>
      </c>
      <c r="C3931" s="17" t="s">
        <v>168</v>
      </c>
      <c r="D3931" s="18">
        <v>5.0</v>
      </c>
      <c r="E3931" s="24">
        <v>46037.0</v>
      </c>
      <c r="F3931" s="15" t="s">
        <v>307</v>
      </c>
      <c r="G3931" s="19">
        <v>5.1101999E7</v>
      </c>
      <c r="H3931" s="15" t="s">
        <v>107</v>
      </c>
      <c r="I3931" s="20" t="s">
        <v>25</v>
      </c>
      <c r="J3931" s="21">
        <v>0.0</v>
      </c>
      <c r="K3931" s="21">
        <v>0.0</v>
      </c>
    </row>
    <row r="3932">
      <c r="A3932" s="15" t="s">
        <v>74</v>
      </c>
      <c r="B3932" s="16" t="s">
        <v>167</v>
      </c>
      <c r="C3932" s="17" t="s">
        <v>168</v>
      </c>
      <c r="D3932" s="18">
        <v>5.0</v>
      </c>
      <c r="E3932" s="24">
        <v>46367.0</v>
      </c>
      <c r="F3932" s="15" t="s">
        <v>313</v>
      </c>
      <c r="G3932" s="19">
        <v>5.1101999E7</v>
      </c>
      <c r="H3932" s="15" t="s">
        <v>107</v>
      </c>
      <c r="I3932" s="20" t="s">
        <v>25</v>
      </c>
      <c r="J3932" s="21">
        <v>0.0</v>
      </c>
      <c r="K3932" s="21">
        <v>0.0</v>
      </c>
    </row>
    <row r="3933">
      <c r="A3933" s="15" t="s">
        <v>74</v>
      </c>
      <c r="B3933" s="16" t="s">
        <v>167</v>
      </c>
      <c r="C3933" s="17" t="s">
        <v>168</v>
      </c>
      <c r="D3933" s="18">
        <v>5.0</v>
      </c>
      <c r="E3933" s="24">
        <v>46307.0</v>
      </c>
      <c r="F3933" s="15" t="s">
        <v>320</v>
      </c>
      <c r="G3933" s="19">
        <v>5.1101999E7</v>
      </c>
      <c r="H3933" s="15" t="s">
        <v>107</v>
      </c>
      <c r="I3933" s="20" t="s">
        <v>25</v>
      </c>
      <c r="J3933" s="21">
        <v>0.0</v>
      </c>
      <c r="K3933" s="21">
        <v>0.0</v>
      </c>
    </row>
    <row r="3934">
      <c r="A3934" s="15" t="s">
        <v>74</v>
      </c>
      <c r="B3934" s="16" t="s">
        <v>167</v>
      </c>
      <c r="C3934" s="17" t="s">
        <v>168</v>
      </c>
      <c r="D3934" s="18">
        <v>5.0</v>
      </c>
      <c r="E3934" s="24">
        <v>46154.0</v>
      </c>
      <c r="F3934" s="15" t="s">
        <v>321</v>
      </c>
      <c r="G3934" s="19">
        <v>5.1101999E7</v>
      </c>
      <c r="H3934" s="15" t="s">
        <v>107</v>
      </c>
      <c r="I3934" s="20" t="s">
        <v>25</v>
      </c>
      <c r="J3934" s="21">
        <v>0.0</v>
      </c>
      <c r="K3934" s="21">
        <v>0.0</v>
      </c>
    </row>
    <row r="3935">
      <c r="A3935" s="15" t="s">
        <v>74</v>
      </c>
      <c r="B3935" s="16" t="s">
        <v>167</v>
      </c>
      <c r="C3935" s="17" t="s">
        <v>168</v>
      </c>
      <c r="D3935" s="18">
        <v>5.0</v>
      </c>
      <c r="E3935" s="24">
        <v>46072.0</v>
      </c>
      <c r="F3935" s="15" t="s">
        <v>322</v>
      </c>
      <c r="G3935" s="19">
        <v>5.1101999E7</v>
      </c>
      <c r="H3935" s="15" t="s">
        <v>107</v>
      </c>
      <c r="I3935" s="20" t="s">
        <v>25</v>
      </c>
      <c r="J3935" s="21">
        <v>0.0</v>
      </c>
      <c r="K3935" s="21">
        <v>0.0</v>
      </c>
    </row>
    <row r="3936">
      <c r="A3936" s="15" t="s">
        <v>74</v>
      </c>
      <c r="B3936" s="16" t="s">
        <v>167</v>
      </c>
      <c r="C3936" s="17" t="s">
        <v>168</v>
      </c>
      <c r="D3936" s="18">
        <v>5.0</v>
      </c>
      <c r="E3936" s="24">
        <v>46161.0</v>
      </c>
      <c r="F3936" s="15" t="s">
        <v>323</v>
      </c>
      <c r="G3936" s="19">
        <v>5.1101999E7</v>
      </c>
      <c r="H3936" s="15" t="s">
        <v>107</v>
      </c>
      <c r="I3936" s="20" t="s">
        <v>25</v>
      </c>
      <c r="J3936" s="21">
        <v>0.0</v>
      </c>
      <c r="K3936" s="21">
        <v>0.0</v>
      </c>
    </row>
    <row r="3937">
      <c r="A3937" s="15" t="s">
        <v>74</v>
      </c>
      <c r="B3937" s="16" t="s">
        <v>167</v>
      </c>
      <c r="C3937" s="17" t="s">
        <v>168</v>
      </c>
      <c r="D3937" s="18">
        <v>5.0</v>
      </c>
      <c r="E3937" s="24">
        <v>46125.0</v>
      </c>
      <c r="F3937" s="15" t="s">
        <v>324</v>
      </c>
      <c r="G3937" s="19">
        <v>5.1101999E7</v>
      </c>
      <c r="H3937" s="15" t="s">
        <v>107</v>
      </c>
      <c r="I3937" s="20" t="s">
        <v>25</v>
      </c>
      <c r="J3937" s="21">
        <v>0.0</v>
      </c>
      <c r="K3937" s="21">
        <v>0.0</v>
      </c>
    </row>
    <row r="3938">
      <c r="A3938" s="15" t="s">
        <v>74</v>
      </c>
      <c r="B3938" s="16" t="s">
        <v>167</v>
      </c>
      <c r="C3938" s="17" t="s">
        <v>168</v>
      </c>
      <c r="D3938" s="18">
        <v>5.0</v>
      </c>
      <c r="E3938" s="24">
        <v>46127.0</v>
      </c>
      <c r="F3938" s="15" t="s">
        <v>326</v>
      </c>
      <c r="G3938" s="19">
        <v>5.1101999E7</v>
      </c>
      <c r="H3938" s="15" t="s">
        <v>107</v>
      </c>
      <c r="I3938" s="20" t="s">
        <v>25</v>
      </c>
      <c r="J3938" s="21">
        <v>0.0</v>
      </c>
      <c r="K3938" s="21">
        <v>0.0</v>
      </c>
    </row>
    <row r="3939">
      <c r="A3939" s="15" t="s">
        <v>74</v>
      </c>
      <c r="B3939" s="16" t="s">
        <v>167</v>
      </c>
      <c r="C3939" s="17" t="s">
        <v>168</v>
      </c>
      <c r="D3939" s="18">
        <v>5.0</v>
      </c>
      <c r="E3939" s="24">
        <v>46073.0</v>
      </c>
      <c r="F3939" s="15" t="s">
        <v>329</v>
      </c>
      <c r="G3939" s="19">
        <v>5.1101999E7</v>
      </c>
      <c r="H3939" s="15" t="s">
        <v>107</v>
      </c>
      <c r="I3939" s="20" t="s">
        <v>25</v>
      </c>
      <c r="J3939" s="21">
        <v>0.0</v>
      </c>
      <c r="K3939" s="21">
        <v>0.0</v>
      </c>
    </row>
    <row r="3940">
      <c r="A3940" s="15" t="s">
        <v>74</v>
      </c>
      <c r="B3940" s="16" t="s">
        <v>167</v>
      </c>
      <c r="C3940" s="17" t="s">
        <v>168</v>
      </c>
      <c r="D3940" s="18">
        <v>5.0</v>
      </c>
      <c r="E3940" s="24">
        <v>46065.0</v>
      </c>
      <c r="F3940" s="15" t="s">
        <v>330</v>
      </c>
      <c r="G3940" s="19">
        <v>5.1101999E7</v>
      </c>
      <c r="H3940" s="15" t="s">
        <v>107</v>
      </c>
      <c r="I3940" s="20" t="s">
        <v>25</v>
      </c>
      <c r="J3940" s="21">
        <v>0.0</v>
      </c>
      <c r="K3940" s="21">
        <v>0.0</v>
      </c>
    </row>
    <row r="3941">
      <c r="A3941" s="15" t="s">
        <v>74</v>
      </c>
      <c r="B3941" s="16" t="s">
        <v>167</v>
      </c>
      <c r="C3941" s="17" t="s">
        <v>168</v>
      </c>
      <c r="D3941" s="18">
        <v>5.0</v>
      </c>
      <c r="E3941" s="24">
        <v>46066.0</v>
      </c>
      <c r="F3941" s="15" t="s">
        <v>331</v>
      </c>
      <c r="G3941" s="19">
        <v>5.1101999E7</v>
      </c>
      <c r="H3941" s="15" t="s">
        <v>107</v>
      </c>
      <c r="I3941" s="20" t="s">
        <v>25</v>
      </c>
      <c r="J3941" s="21">
        <v>0.0</v>
      </c>
      <c r="K3941" s="21">
        <v>0.0</v>
      </c>
    </row>
    <row r="3942">
      <c r="A3942" s="15" t="s">
        <v>74</v>
      </c>
      <c r="B3942" s="16" t="s">
        <v>167</v>
      </c>
      <c r="C3942" s="17" t="s">
        <v>168</v>
      </c>
      <c r="D3942" s="18">
        <v>5.0</v>
      </c>
      <c r="E3942" s="24">
        <v>46035.0</v>
      </c>
      <c r="F3942" s="15" t="s">
        <v>332</v>
      </c>
      <c r="G3942" s="19">
        <v>5.1101999E7</v>
      </c>
      <c r="H3942" s="15" t="s">
        <v>107</v>
      </c>
      <c r="I3942" s="20" t="s">
        <v>25</v>
      </c>
      <c r="J3942" s="21">
        <v>0.0</v>
      </c>
      <c r="K3942" s="21">
        <v>0.0</v>
      </c>
    </row>
    <row r="3943">
      <c r="A3943" s="15" t="s">
        <v>74</v>
      </c>
      <c r="B3943" s="16" t="s">
        <v>167</v>
      </c>
      <c r="C3943" s="17" t="s">
        <v>168</v>
      </c>
      <c r="D3943" s="18">
        <v>5.0</v>
      </c>
      <c r="E3943" s="24">
        <v>46042.0</v>
      </c>
      <c r="F3943" s="15" t="s">
        <v>333</v>
      </c>
      <c r="G3943" s="19">
        <v>5.1101999E7</v>
      </c>
      <c r="H3943" s="15" t="s">
        <v>107</v>
      </c>
      <c r="I3943" s="20" t="s">
        <v>25</v>
      </c>
      <c r="J3943" s="21">
        <v>0.0</v>
      </c>
      <c r="K3943" s="21">
        <v>0.0</v>
      </c>
    </row>
    <row r="3944">
      <c r="A3944" s="15" t="s">
        <v>74</v>
      </c>
      <c r="B3944" s="16" t="s">
        <v>167</v>
      </c>
      <c r="C3944" s="17" t="s">
        <v>168</v>
      </c>
      <c r="D3944" s="18">
        <v>5.0</v>
      </c>
      <c r="E3944" s="24">
        <v>46098.0</v>
      </c>
      <c r="F3944" s="15" t="s">
        <v>334</v>
      </c>
      <c r="G3944" s="19">
        <v>5.1101999E7</v>
      </c>
      <c r="H3944" s="15" t="s">
        <v>107</v>
      </c>
      <c r="I3944" s="20" t="s">
        <v>25</v>
      </c>
      <c r="J3944" s="21">
        <v>0.0</v>
      </c>
      <c r="K3944" s="21">
        <v>0.0</v>
      </c>
    </row>
    <row r="3945">
      <c r="A3945" s="15" t="s">
        <v>74</v>
      </c>
      <c r="B3945" s="16" t="s">
        <v>167</v>
      </c>
      <c r="C3945" s="17" t="s">
        <v>168</v>
      </c>
      <c r="D3945" s="18">
        <v>5.0</v>
      </c>
      <c r="E3945" s="24">
        <v>46100.0</v>
      </c>
      <c r="F3945" s="15" t="s">
        <v>336</v>
      </c>
      <c r="G3945" s="19">
        <v>5.1101999E7</v>
      </c>
      <c r="H3945" s="15" t="s">
        <v>107</v>
      </c>
      <c r="I3945" s="20" t="s">
        <v>25</v>
      </c>
      <c r="J3945" s="21">
        <v>0.0</v>
      </c>
      <c r="K3945" s="21">
        <v>0.0</v>
      </c>
    </row>
    <row r="3946">
      <c r="A3946" s="15" t="s">
        <v>74</v>
      </c>
      <c r="B3946" s="16" t="s">
        <v>167</v>
      </c>
      <c r="C3946" s="17" t="s">
        <v>168</v>
      </c>
      <c r="D3946" s="18">
        <v>5.0</v>
      </c>
      <c r="E3946" s="24">
        <v>46190.0</v>
      </c>
      <c r="F3946" s="15" t="s">
        <v>368</v>
      </c>
      <c r="G3946" s="19">
        <v>5.1101999E7</v>
      </c>
      <c r="H3946" s="15" t="s">
        <v>107</v>
      </c>
      <c r="I3946" s="20" t="s">
        <v>25</v>
      </c>
      <c r="J3946" s="21">
        <v>0.0</v>
      </c>
      <c r="K3946" s="21">
        <v>0.0</v>
      </c>
    </row>
    <row r="3947">
      <c r="A3947" s="15" t="s">
        <v>74</v>
      </c>
      <c r="B3947" s="16" t="s">
        <v>167</v>
      </c>
      <c r="C3947" s="17" t="s">
        <v>168</v>
      </c>
      <c r="D3947" s="18">
        <v>5.0</v>
      </c>
      <c r="E3947" s="17" t="s">
        <v>369</v>
      </c>
      <c r="F3947" s="15" t="s">
        <v>370</v>
      </c>
      <c r="G3947" s="19">
        <v>9.0043001E7</v>
      </c>
      <c r="H3947" s="15" t="s">
        <v>18</v>
      </c>
      <c r="I3947" s="20" t="s">
        <v>19</v>
      </c>
      <c r="J3947" s="21">
        <v>8996258.0</v>
      </c>
      <c r="K3947" s="21">
        <v>41.0</v>
      </c>
    </row>
    <row r="3948">
      <c r="A3948" s="15" t="s">
        <v>74</v>
      </c>
      <c r="B3948" s="16" t="s">
        <v>170</v>
      </c>
      <c r="C3948" s="17" t="s">
        <v>171</v>
      </c>
      <c r="D3948" s="18">
        <v>5.0</v>
      </c>
      <c r="E3948" s="17" t="s">
        <v>81</v>
      </c>
      <c r="F3948" s="15" t="s">
        <v>82</v>
      </c>
      <c r="G3948" s="19">
        <v>9.0043001E7</v>
      </c>
      <c r="H3948" s="15" t="s">
        <v>18</v>
      </c>
      <c r="I3948" s="20" t="s">
        <v>19</v>
      </c>
      <c r="J3948" s="21">
        <v>7401615.0</v>
      </c>
      <c r="K3948" s="21">
        <v>39.0</v>
      </c>
    </row>
    <row r="3949">
      <c r="A3949" s="15" t="s">
        <v>74</v>
      </c>
      <c r="B3949" s="16" t="s">
        <v>170</v>
      </c>
      <c r="C3949" s="17" t="s">
        <v>171</v>
      </c>
      <c r="D3949" s="18">
        <v>5.0</v>
      </c>
      <c r="E3949" s="17" t="s">
        <v>84</v>
      </c>
      <c r="F3949" s="15" t="s">
        <v>85</v>
      </c>
      <c r="G3949" s="19">
        <v>9.0043001E7</v>
      </c>
      <c r="H3949" s="15" t="s">
        <v>18</v>
      </c>
      <c r="I3949" s="20" t="s">
        <v>19</v>
      </c>
      <c r="J3949" s="21">
        <v>2.8106502E7</v>
      </c>
      <c r="K3949" s="21">
        <v>133.0</v>
      </c>
    </row>
    <row r="3950">
      <c r="A3950" s="15" t="s">
        <v>74</v>
      </c>
      <c r="B3950" s="16" t="s">
        <v>170</v>
      </c>
      <c r="C3950" s="17" t="s">
        <v>171</v>
      </c>
      <c r="D3950" s="18">
        <v>5.0</v>
      </c>
      <c r="E3950" s="17" t="s">
        <v>86</v>
      </c>
      <c r="F3950" s="15" t="s">
        <v>87</v>
      </c>
      <c r="G3950" s="19">
        <v>9.0043001E7</v>
      </c>
      <c r="H3950" s="15" t="s">
        <v>18</v>
      </c>
      <c r="I3950" s="20" t="s">
        <v>19</v>
      </c>
      <c r="J3950" s="21">
        <v>1.5835355E7</v>
      </c>
      <c r="K3950" s="21">
        <v>81.0</v>
      </c>
    </row>
    <row r="3951">
      <c r="A3951" s="15" t="s">
        <v>74</v>
      </c>
      <c r="B3951" s="16" t="s">
        <v>170</v>
      </c>
      <c r="C3951" s="17" t="s">
        <v>171</v>
      </c>
      <c r="D3951" s="18">
        <v>5.0</v>
      </c>
      <c r="E3951" s="17" t="s">
        <v>173</v>
      </c>
      <c r="F3951" s="15" t="s">
        <v>174</v>
      </c>
      <c r="G3951" s="19">
        <v>9.0043003E7</v>
      </c>
      <c r="H3951" s="15" t="s">
        <v>90</v>
      </c>
      <c r="I3951" s="20" t="s">
        <v>50</v>
      </c>
      <c r="J3951" s="21">
        <v>1.4744394E7</v>
      </c>
      <c r="K3951" s="21">
        <v>26.0</v>
      </c>
    </row>
    <row r="3952">
      <c r="A3952" s="15" t="s">
        <v>74</v>
      </c>
      <c r="B3952" s="16" t="s">
        <v>170</v>
      </c>
      <c r="C3952" s="17" t="s">
        <v>171</v>
      </c>
      <c r="D3952" s="18">
        <v>5.0</v>
      </c>
      <c r="E3952" s="17" t="s">
        <v>88</v>
      </c>
      <c r="F3952" s="15" t="s">
        <v>89</v>
      </c>
      <c r="G3952" s="19">
        <v>9.0043003E7</v>
      </c>
      <c r="H3952" s="15" t="s">
        <v>90</v>
      </c>
      <c r="I3952" s="20" t="s">
        <v>50</v>
      </c>
      <c r="J3952" s="21">
        <v>1.1808481E7</v>
      </c>
      <c r="K3952" s="21">
        <v>19.0</v>
      </c>
    </row>
    <row r="3953">
      <c r="A3953" s="15" t="s">
        <v>74</v>
      </c>
      <c r="B3953" s="16" t="s">
        <v>170</v>
      </c>
      <c r="C3953" s="17" t="s">
        <v>171</v>
      </c>
      <c r="D3953" s="18">
        <v>5.0</v>
      </c>
      <c r="E3953" s="17" t="s">
        <v>152</v>
      </c>
      <c r="F3953" s="15" t="s">
        <v>153</v>
      </c>
      <c r="G3953" s="19">
        <v>9.0043003E7</v>
      </c>
      <c r="H3953" s="15" t="s">
        <v>90</v>
      </c>
      <c r="I3953" s="20" t="s">
        <v>50</v>
      </c>
      <c r="J3953" s="21">
        <v>6214990.0</v>
      </c>
      <c r="K3953" s="21">
        <v>10.0</v>
      </c>
    </row>
    <row r="3954">
      <c r="A3954" s="15" t="s">
        <v>74</v>
      </c>
      <c r="B3954" s="16" t="s">
        <v>170</v>
      </c>
      <c r="C3954" s="17" t="s">
        <v>171</v>
      </c>
      <c r="D3954" s="18">
        <v>5.0</v>
      </c>
      <c r="E3954" s="17" t="s">
        <v>154</v>
      </c>
      <c r="F3954" s="15" t="s">
        <v>155</v>
      </c>
      <c r="G3954" s="19">
        <v>9.0043002E7</v>
      </c>
      <c r="H3954" s="15" t="s">
        <v>49</v>
      </c>
      <c r="I3954" s="20" t="s">
        <v>50</v>
      </c>
      <c r="J3954" s="21">
        <v>1.4611609E7</v>
      </c>
      <c r="K3954" s="21">
        <v>1125.0</v>
      </c>
    </row>
    <row r="3955">
      <c r="A3955" s="15" t="s">
        <v>74</v>
      </c>
      <c r="B3955" s="16" t="s">
        <v>170</v>
      </c>
      <c r="C3955" s="17" t="s">
        <v>171</v>
      </c>
      <c r="D3955" s="18">
        <v>5.0</v>
      </c>
      <c r="E3955" s="17" t="s">
        <v>154</v>
      </c>
      <c r="F3955" s="15" t="s">
        <v>155</v>
      </c>
      <c r="G3955" s="19">
        <v>9.0043003E7</v>
      </c>
      <c r="H3955" s="15" t="s">
        <v>90</v>
      </c>
      <c r="I3955" s="20" t="s">
        <v>50</v>
      </c>
      <c r="J3955" s="21">
        <v>0.0</v>
      </c>
      <c r="K3955" s="21">
        <v>0.0</v>
      </c>
    </row>
    <row r="3956">
      <c r="A3956" s="15" t="s">
        <v>74</v>
      </c>
      <c r="B3956" s="16" t="s">
        <v>170</v>
      </c>
      <c r="C3956" s="17" t="s">
        <v>171</v>
      </c>
      <c r="D3956" s="18">
        <v>5.0</v>
      </c>
      <c r="E3956" s="17" t="s">
        <v>93</v>
      </c>
      <c r="F3956" s="15" t="s">
        <v>94</v>
      </c>
      <c r="G3956" s="19">
        <v>9.0043001E7</v>
      </c>
      <c r="H3956" s="15" t="s">
        <v>18</v>
      </c>
      <c r="I3956" s="20" t="s">
        <v>19</v>
      </c>
      <c r="J3956" s="21">
        <v>3016969.0</v>
      </c>
      <c r="K3956" s="21">
        <v>14.0</v>
      </c>
    </row>
    <row r="3957">
      <c r="A3957" s="15" t="s">
        <v>74</v>
      </c>
      <c r="B3957" s="16" t="s">
        <v>170</v>
      </c>
      <c r="C3957" s="17" t="s">
        <v>171</v>
      </c>
      <c r="D3957" s="18">
        <v>5.0</v>
      </c>
      <c r="E3957" s="17" t="s">
        <v>95</v>
      </c>
      <c r="F3957" s="15" t="s">
        <v>96</v>
      </c>
      <c r="G3957" s="19">
        <v>5.1100061E7</v>
      </c>
      <c r="H3957" s="15" t="s">
        <v>42</v>
      </c>
      <c r="I3957" s="20" t="s">
        <v>37</v>
      </c>
      <c r="J3957" s="21">
        <v>6022089.0</v>
      </c>
      <c r="K3957" s="21">
        <v>82.51</v>
      </c>
    </row>
    <row r="3958">
      <c r="A3958" s="15" t="s">
        <v>74</v>
      </c>
      <c r="B3958" s="16" t="s">
        <v>170</v>
      </c>
      <c r="C3958" s="17" t="s">
        <v>171</v>
      </c>
      <c r="D3958" s="18">
        <v>5.0</v>
      </c>
      <c r="E3958" s="17" t="s">
        <v>95</v>
      </c>
      <c r="F3958" s="15" t="s">
        <v>96</v>
      </c>
      <c r="G3958" s="19">
        <v>9.0043001E7</v>
      </c>
      <c r="H3958" s="15" t="s">
        <v>18</v>
      </c>
      <c r="I3958" s="20" t="s">
        <v>19</v>
      </c>
      <c r="J3958" s="21">
        <v>1.9262687E7</v>
      </c>
      <c r="K3958" s="21">
        <v>99.0</v>
      </c>
    </row>
    <row r="3959">
      <c r="A3959" s="15" t="s">
        <v>74</v>
      </c>
      <c r="B3959" s="16" t="s">
        <v>170</v>
      </c>
      <c r="C3959" s="17" t="s">
        <v>171</v>
      </c>
      <c r="D3959" s="18">
        <v>5.0</v>
      </c>
      <c r="E3959" s="17" t="s">
        <v>95</v>
      </c>
      <c r="F3959" s="15" t="s">
        <v>96</v>
      </c>
      <c r="G3959" s="19">
        <v>5.1100103E7</v>
      </c>
      <c r="H3959" s="15" t="s">
        <v>214</v>
      </c>
      <c r="I3959" s="20" t="s">
        <v>25</v>
      </c>
      <c r="J3959" s="21">
        <v>3498000.0</v>
      </c>
      <c r="K3959" s="21">
        <v>0.0</v>
      </c>
    </row>
    <row r="3960">
      <c r="A3960" s="15" t="s">
        <v>74</v>
      </c>
      <c r="B3960" s="16" t="s">
        <v>170</v>
      </c>
      <c r="C3960" s="17" t="s">
        <v>171</v>
      </c>
      <c r="D3960" s="18">
        <v>5.0</v>
      </c>
      <c r="E3960" s="17" t="s">
        <v>99</v>
      </c>
      <c r="F3960" s="15" t="s">
        <v>100</v>
      </c>
      <c r="G3960" s="19">
        <v>9.0043001E7</v>
      </c>
      <c r="H3960" s="15" t="s">
        <v>18</v>
      </c>
      <c r="I3960" s="20" t="s">
        <v>19</v>
      </c>
      <c r="J3960" s="21">
        <v>4348764.0</v>
      </c>
      <c r="K3960" s="21">
        <v>21.0</v>
      </c>
    </row>
    <row r="3961">
      <c r="A3961" s="15" t="s">
        <v>74</v>
      </c>
      <c r="B3961" s="16" t="s">
        <v>170</v>
      </c>
      <c r="C3961" s="17" t="s">
        <v>171</v>
      </c>
      <c r="D3961" s="18">
        <v>5.0</v>
      </c>
      <c r="E3961" s="17" t="s">
        <v>101</v>
      </c>
      <c r="F3961" s="15" t="s">
        <v>102</v>
      </c>
      <c r="G3961" s="19">
        <v>9.0043001E7</v>
      </c>
      <c r="H3961" s="15" t="s">
        <v>18</v>
      </c>
      <c r="I3961" s="20" t="s">
        <v>19</v>
      </c>
      <c r="J3961" s="21">
        <v>1.8672543E7</v>
      </c>
      <c r="K3961" s="21">
        <v>98.0</v>
      </c>
    </row>
    <row r="3962">
      <c r="A3962" s="15" t="s">
        <v>74</v>
      </c>
      <c r="B3962" s="16" t="s">
        <v>170</v>
      </c>
      <c r="C3962" s="17" t="s">
        <v>171</v>
      </c>
      <c r="D3962" s="18">
        <v>5.0</v>
      </c>
      <c r="E3962" s="17" t="s">
        <v>103</v>
      </c>
      <c r="F3962" s="15" t="s">
        <v>104</v>
      </c>
      <c r="G3962" s="19">
        <v>5.1100061E7</v>
      </c>
      <c r="H3962" s="15" t="s">
        <v>42</v>
      </c>
      <c r="I3962" s="20" t="s">
        <v>37</v>
      </c>
      <c r="J3962" s="21">
        <v>6841269.0</v>
      </c>
      <c r="K3962" s="21">
        <v>90.07</v>
      </c>
    </row>
    <row r="3963">
      <c r="A3963" s="15" t="s">
        <v>74</v>
      </c>
      <c r="B3963" s="16" t="s">
        <v>170</v>
      </c>
      <c r="C3963" s="17" t="s">
        <v>171</v>
      </c>
      <c r="D3963" s="18">
        <v>5.0</v>
      </c>
      <c r="E3963" s="17" t="s">
        <v>103</v>
      </c>
      <c r="F3963" s="15" t="s">
        <v>104</v>
      </c>
      <c r="G3963" s="19">
        <v>5.1100064E7</v>
      </c>
      <c r="H3963" s="15" t="s">
        <v>53</v>
      </c>
      <c r="I3963" s="20" t="s">
        <v>37</v>
      </c>
      <c r="J3963" s="21">
        <v>1200000.0</v>
      </c>
      <c r="K3963" s="21">
        <v>2.0</v>
      </c>
    </row>
    <row r="3964">
      <c r="A3964" s="15" t="s">
        <v>74</v>
      </c>
      <c r="B3964" s="16" t="s">
        <v>170</v>
      </c>
      <c r="C3964" s="17" t="s">
        <v>171</v>
      </c>
      <c r="D3964" s="18">
        <v>5.0</v>
      </c>
      <c r="E3964" s="17" t="s">
        <v>103</v>
      </c>
      <c r="F3964" s="15" t="s">
        <v>104</v>
      </c>
      <c r="G3964" s="19">
        <v>5.1100651E7</v>
      </c>
      <c r="H3964" s="15" t="s">
        <v>38</v>
      </c>
      <c r="I3964" s="20" t="s">
        <v>17</v>
      </c>
      <c r="J3964" s="21">
        <v>4007907.0</v>
      </c>
      <c r="K3964" s="21">
        <v>26.99</v>
      </c>
    </row>
    <row r="3965">
      <c r="A3965" s="15" t="s">
        <v>74</v>
      </c>
      <c r="B3965" s="16" t="s">
        <v>170</v>
      </c>
      <c r="C3965" s="17" t="s">
        <v>171</v>
      </c>
      <c r="D3965" s="18">
        <v>5.0</v>
      </c>
      <c r="E3965" s="17" t="s">
        <v>103</v>
      </c>
      <c r="F3965" s="15" t="s">
        <v>104</v>
      </c>
      <c r="G3965" s="19">
        <v>9.0043001E7</v>
      </c>
      <c r="H3965" s="15" t="s">
        <v>18</v>
      </c>
      <c r="I3965" s="20" t="s">
        <v>19</v>
      </c>
      <c r="J3965" s="21">
        <v>1.109539E7</v>
      </c>
      <c r="K3965" s="21">
        <v>52.0</v>
      </c>
    </row>
    <row r="3966">
      <c r="A3966" s="15" t="s">
        <v>74</v>
      </c>
      <c r="B3966" s="16" t="s">
        <v>170</v>
      </c>
      <c r="C3966" s="17" t="s">
        <v>171</v>
      </c>
      <c r="D3966" s="18">
        <v>5.0</v>
      </c>
      <c r="E3966" s="17" t="s">
        <v>158</v>
      </c>
      <c r="F3966" s="15" t="s">
        <v>159</v>
      </c>
      <c r="G3966" s="19">
        <v>5.1100064E7</v>
      </c>
      <c r="H3966" s="15" t="s">
        <v>53</v>
      </c>
      <c r="I3966" s="20" t="s">
        <v>25</v>
      </c>
      <c r="J3966" s="21">
        <v>758000.0</v>
      </c>
      <c r="K3966" s="21">
        <v>0.0</v>
      </c>
    </row>
    <row r="3967">
      <c r="A3967" s="15" t="s">
        <v>74</v>
      </c>
      <c r="B3967" s="16" t="s">
        <v>170</v>
      </c>
      <c r="C3967" s="17" t="s">
        <v>171</v>
      </c>
      <c r="D3967" s="18">
        <v>5.0</v>
      </c>
      <c r="E3967" s="17" t="s">
        <v>158</v>
      </c>
      <c r="F3967" s="15" t="s">
        <v>159</v>
      </c>
      <c r="G3967" s="19">
        <v>9.0043001E7</v>
      </c>
      <c r="H3967" s="15" t="s">
        <v>18</v>
      </c>
      <c r="I3967" s="20" t="s">
        <v>19</v>
      </c>
      <c r="J3967" s="21">
        <v>1242504.0</v>
      </c>
      <c r="K3967" s="21">
        <v>6.0</v>
      </c>
    </row>
    <row r="3968">
      <c r="A3968" s="15" t="s">
        <v>74</v>
      </c>
      <c r="B3968" s="16" t="s">
        <v>170</v>
      </c>
      <c r="C3968" s="17" t="s">
        <v>171</v>
      </c>
      <c r="D3968" s="18">
        <v>5.0</v>
      </c>
      <c r="E3968" s="17" t="s">
        <v>112</v>
      </c>
      <c r="F3968" s="15" t="s">
        <v>113</v>
      </c>
      <c r="G3968" s="19">
        <v>9.0043001E7</v>
      </c>
      <c r="H3968" s="15" t="s">
        <v>18</v>
      </c>
      <c r="I3968" s="20" t="s">
        <v>19</v>
      </c>
      <c r="J3968" s="21">
        <v>7069650.0</v>
      </c>
      <c r="K3968" s="21">
        <v>36.0</v>
      </c>
    </row>
    <row r="3969">
      <c r="A3969" s="15" t="s">
        <v>74</v>
      </c>
      <c r="B3969" s="16" t="s">
        <v>170</v>
      </c>
      <c r="C3969" s="17" t="s">
        <v>171</v>
      </c>
      <c r="D3969" s="18">
        <v>5.0</v>
      </c>
      <c r="E3969" s="17" t="s">
        <v>207</v>
      </c>
      <c r="F3969" s="15" t="s">
        <v>208</v>
      </c>
      <c r="G3969" s="19">
        <v>9.0043001E7</v>
      </c>
      <c r="H3969" s="15" t="s">
        <v>18</v>
      </c>
      <c r="I3969" s="20" t="s">
        <v>19</v>
      </c>
      <c r="J3969" s="21">
        <v>1386600.0</v>
      </c>
      <c r="K3969" s="21">
        <v>6.0</v>
      </c>
    </row>
    <row r="3970">
      <c r="A3970" s="15" t="s">
        <v>74</v>
      </c>
      <c r="B3970" s="16" t="s">
        <v>170</v>
      </c>
      <c r="C3970" s="17" t="s">
        <v>171</v>
      </c>
      <c r="D3970" s="18">
        <v>5.0</v>
      </c>
      <c r="E3970" s="17" t="s">
        <v>175</v>
      </c>
      <c r="F3970" s="15" t="s">
        <v>176</v>
      </c>
      <c r="G3970" s="19">
        <v>9.0043001E7</v>
      </c>
      <c r="H3970" s="15" t="s">
        <v>18</v>
      </c>
      <c r="I3970" s="20" t="s">
        <v>19</v>
      </c>
      <c r="J3970" s="21">
        <v>2791672.0</v>
      </c>
      <c r="K3970" s="21">
        <v>15.0</v>
      </c>
    </row>
    <row r="3971">
      <c r="A3971" s="15" t="s">
        <v>74</v>
      </c>
      <c r="B3971" s="16" t="s">
        <v>170</v>
      </c>
      <c r="C3971" s="17" t="s">
        <v>171</v>
      </c>
      <c r="D3971" s="18">
        <v>5.0</v>
      </c>
      <c r="E3971" s="17" t="s">
        <v>175</v>
      </c>
      <c r="F3971" s="15" t="s">
        <v>176</v>
      </c>
      <c r="G3971" s="19">
        <v>9.0043002E7</v>
      </c>
      <c r="H3971" s="15" t="s">
        <v>49</v>
      </c>
      <c r="I3971" s="20" t="s">
        <v>50</v>
      </c>
      <c r="J3971" s="21">
        <v>6570167.0</v>
      </c>
      <c r="K3971" s="21">
        <v>505.0</v>
      </c>
    </row>
    <row r="3972">
      <c r="A3972" s="15" t="s">
        <v>74</v>
      </c>
      <c r="B3972" s="16" t="s">
        <v>170</v>
      </c>
      <c r="C3972" s="17" t="s">
        <v>171</v>
      </c>
      <c r="D3972" s="18">
        <v>5.0</v>
      </c>
      <c r="E3972" s="17" t="s">
        <v>115</v>
      </c>
      <c r="F3972" s="15" t="s">
        <v>116</v>
      </c>
      <c r="G3972" s="19">
        <v>5.1100153E7</v>
      </c>
      <c r="H3972" s="15" t="s">
        <v>72</v>
      </c>
      <c r="I3972" s="20" t="s">
        <v>17</v>
      </c>
      <c r="J3972" s="21">
        <v>3026320.0</v>
      </c>
      <c r="K3972" s="21">
        <v>39820.0</v>
      </c>
    </row>
    <row r="3973">
      <c r="A3973" s="15" t="s">
        <v>74</v>
      </c>
      <c r="B3973" s="16" t="s">
        <v>170</v>
      </c>
      <c r="C3973" s="17" t="s">
        <v>171</v>
      </c>
      <c r="D3973" s="18">
        <v>5.0</v>
      </c>
      <c r="E3973" s="17" t="s">
        <v>115</v>
      </c>
      <c r="F3973" s="15" t="s">
        <v>116</v>
      </c>
      <c r="G3973" s="19">
        <v>9.0043002E7</v>
      </c>
      <c r="H3973" s="15" t="s">
        <v>49</v>
      </c>
      <c r="I3973" s="20" t="s">
        <v>50</v>
      </c>
      <c r="J3973" s="21">
        <v>2316221.0</v>
      </c>
      <c r="K3973" s="21">
        <v>180.0</v>
      </c>
    </row>
    <row r="3974">
      <c r="A3974" s="15" t="s">
        <v>74</v>
      </c>
      <c r="B3974" s="16" t="s">
        <v>170</v>
      </c>
      <c r="C3974" s="17" t="s">
        <v>171</v>
      </c>
      <c r="D3974" s="18">
        <v>5.0</v>
      </c>
      <c r="E3974" s="17" t="s">
        <v>117</v>
      </c>
      <c r="F3974" s="15" t="s">
        <v>118</v>
      </c>
      <c r="G3974" s="19">
        <v>5.1100058E7</v>
      </c>
      <c r="H3974" s="15" t="s">
        <v>36</v>
      </c>
      <c r="I3974" s="20" t="s">
        <v>37</v>
      </c>
      <c r="J3974" s="21">
        <v>1.19069853E9</v>
      </c>
      <c r="K3974" s="21">
        <v>150626.0</v>
      </c>
    </row>
    <row r="3975">
      <c r="A3975" s="15" t="s">
        <v>74</v>
      </c>
      <c r="B3975" s="16" t="s">
        <v>170</v>
      </c>
      <c r="C3975" s="17" t="s">
        <v>171</v>
      </c>
      <c r="D3975" s="18">
        <v>5.0</v>
      </c>
      <c r="E3975" s="17" t="s">
        <v>117</v>
      </c>
      <c r="F3975" s="15" t="s">
        <v>118</v>
      </c>
      <c r="G3975" s="19">
        <v>5.1100651E7</v>
      </c>
      <c r="H3975" s="15" t="s">
        <v>38</v>
      </c>
      <c r="I3975" s="20" t="s">
        <v>17</v>
      </c>
      <c r="J3975" s="21">
        <v>2830705.0</v>
      </c>
      <c r="K3975" s="21">
        <v>30.5</v>
      </c>
    </row>
    <row r="3976">
      <c r="A3976" s="15" t="s">
        <v>74</v>
      </c>
      <c r="B3976" s="16" t="s">
        <v>170</v>
      </c>
      <c r="C3976" s="17" t="s">
        <v>171</v>
      </c>
      <c r="D3976" s="18">
        <v>5.0</v>
      </c>
      <c r="E3976" s="17" t="s">
        <v>117</v>
      </c>
      <c r="F3976" s="15" t="s">
        <v>118</v>
      </c>
      <c r="G3976" s="19">
        <v>9.0043001E7</v>
      </c>
      <c r="H3976" s="15" t="s">
        <v>18</v>
      </c>
      <c r="I3976" s="20" t="s">
        <v>19</v>
      </c>
      <c r="J3976" s="21">
        <v>4.3417897E7</v>
      </c>
      <c r="K3976" s="21">
        <v>219.0</v>
      </c>
    </row>
    <row r="3977">
      <c r="A3977" s="15" t="s">
        <v>74</v>
      </c>
      <c r="B3977" s="16" t="s">
        <v>170</v>
      </c>
      <c r="C3977" s="17" t="s">
        <v>171</v>
      </c>
      <c r="D3977" s="18">
        <v>5.0</v>
      </c>
      <c r="E3977" s="17" t="s">
        <v>263</v>
      </c>
      <c r="F3977" s="15" t="s">
        <v>264</v>
      </c>
      <c r="G3977" s="19">
        <v>9.0043001E7</v>
      </c>
      <c r="H3977" s="15" t="s">
        <v>18</v>
      </c>
      <c r="I3977" s="20" t="s">
        <v>19</v>
      </c>
      <c r="J3977" s="21">
        <v>1617700.0</v>
      </c>
      <c r="K3977" s="21">
        <v>7.0</v>
      </c>
    </row>
    <row r="3978">
      <c r="A3978" s="15" t="s">
        <v>74</v>
      </c>
      <c r="B3978" s="16" t="s">
        <v>170</v>
      </c>
      <c r="C3978" s="17" t="s">
        <v>171</v>
      </c>
      <c r="D3978" s="18">
        <v>5.0</v>
      </c>
      <c r="E3978" s="17" t="s">
        <v>119</v>
      </c>
      <c r="F3978" s="15" t="s">
        <v>120</v>
      </c>
      <c r="G3978" s="19">
        <v>5.1100651E7</v>
      </c>
      <c r="H3978" s="15" t="s">
        <v>38</v>
      </c>
      <c r="I3978" s="20" t="s">
        <v>17</v>
      </c>
      <c r="J3978" s="21">
        <v>1102583.0</v>
      </c>
      <c r="K3978" s="21">
        <v>0.99</v>
      </c>
    </row>
    <row r="3979">
      <c r="A3979" s="15" t="s">
        <v>74</v>
      </c>
      <c r="B3979" s="16" t="s">
        <v>170</v>
      </c>
      <c r="C3979" s="17" t="s">
        <v>171</v>
      </c>
      <c r="D3979" s="18">
        <v>5.0</v>
      </c>
      <c r="E3979" s="17" t="s">
        <v>125</v>
      </c>
      <c r="F3979" s="15" t="s">
        <v>126</v>
      </c>
      <c r="G3979" s="19">
        <v>5.1101056E7</v>
      </c>
      <c r="H3979" s="15" t="s">
        <v>16</v>
      </c>
      <c r="I3979" s="20" t="s">
        <v>25</v>
      </c>
      <c r="J3979" s="21">
        <v>4535678.0</v>
      </c>
      <c r="K3979" s="21">
        <v>0.0</v>
      </c>
    </row>
    <row r="3980">
      <c r="A3980" s="15" t="s">
        <v>74</v>
      </c>
      <c r="B3980" s="16" t="s">
        <v>170</v>
      </c>
      <c r="C3980" s="17" t="s">
        <v>171</v>
      </c>
      <c r="D3980" s="18">
        <v>5.0</v>
      </c>
      <c r="E3980" s="17" t="s">
        <v>125</v>
      </c>
      <c r="F3980" s="15" t="s">
        <v>126</v>
      </c>
      <c r="G3980" s="19">
        <v>9.0043001E7</v>
      </c>
      <c r="H3980" s="15" t="s">
        <v>18</v>
      </c>
      <c r="I3980" s="20" t="s">
        <v>19</v>
      </c>
      <c r="J3980" s="21">
        <v>4.29879757E8</v>
      </c>
      <c r="K3980" s="21">
        <v>2156.0</v>
      </c>
    </row>
    <row r="3981">
      <c r="A3981" s="15" t="s">
        <v>74</v>
      </c>
      <c r="B3981" s="16" t="s">
        <v>170</v>
      </c>
      <c r="C3981" s="17" t="s">
        <v>171</v>
      </c>
      <c r="D3981" s="18">
        <v>5.0</v>
      </c>
      <c r="E3981" s="17" t="s">
        <v>127</v>
      </c>
      <c r="F3981" s="15" t="s">
        <v>128</v>
      </c>
      <c r="G3981" s="19">
        <v>5.1100153E7</v>
      </c>
      <c r="H3981" s="15" t="s">
        <v>72</v>
      </c>
      <c r="I3981" s="20" t="s">
        <v>25</v>
      </c>
      <c r="J3981" s="21">
        <v>0.0</v>
      </c>
      <c r="K3981" s="21">
        <v>0.0</v>
      </c>
    </row>
    <row r="3982">
      <c r="A3982" s="15" t="s">
        <v>74</v>
      </c>
      <c r="B3982" s="16" t="s">
        <v>170</v>
      </c>
      <c r="C3982" s="17" t="s">
        <v>171</v>
      </c>
      <c r="D3982" s="18">
        <v>5.0</v>
      </c>
      <c r="E3982" s="17" t="s">
        <v>127</v>
      </c>
      <c r="F3982" s="15" t="s">
        <v>128</v>
      </c>
      <c r="G3982" s="19">
        <v>5.1100153E7</v>
      </c>
      <c r="H3982" s="15" t="s">
        <v>72</v>
      </c>
      <c r="I3982" s="20" t="s">
        <v>17</v>
      </c>
      <c r="J3982" s="21">
        <v>1.26404682E8</v>
      </c>
      <c r="K3982" s="21">
        <v>1013900.011</v>
      </c>
    </row>
    <row r="3983">
      <c r="A3983" s="15" t="s">
        <v>74</v>
      </c>
      <c r="B3983" s="16" t="s">
        <v>170</v>
      </c>
      <c r="C3983" s="17" t="s">
        <v>171</v>
      </c>
      <c r="D3983" s="18">
        <v>5.0</v>
      </c>
      <c r="E3983" s="17" t="s">
        <v>127</v>
      </c>
      <c r="F3983" s="15" t="s">
        <v>128</v>
      </c>
      <c r="G3983" s="19">
        <v>5.1100693E7</v>
      </c>
      <c r="H3983" s="15" t="s">
        <v>177</v>
      </c>
      <c r="I3983" s="20" t="s">
        <v>25</v>
      </c>
      <c r="J3983" s="21">
        <v>1661850.0</v>
      </c>
      <c r="K3983" s="21">
        <v>0.0</v>
      </c>
    </row>
    <row r="3984">
      <c r="A3984" s="15" t="s">
        <v>74</v>
      </c>
      <c r="B3984" s="16" t="s">
        <v>170</v>
      </c>
      <c r="C3984" s="17" t="s">
        <v>171</v>
      </c>
      <c r="D3984" s="18">
        <v>5.0</v>
      </c>
      <c r="E3984" s="17" t="s">
        <v>127</v>
      </c>
      <c r="F3984" s="15" t="s">
        <v>128</v>
      </c>
      <c r="G3984" s="19">
        <v>9.0043002E7</v>
      </c>
      <c r="H3984" s="15" t="s">
        <v>49</v>
      </c>
      <c r="I3984" s="20" t="s">
        <v>50</v>
      </c>
      <c r="J3984" s="21">
        <v>3.4945452E7</v>
      </c>
      <c r="K3984" s="21">
        <v>2755.0</v>
      </c>
    </row>
    <row r="3985">
      <c r="A3985" s="15" t="s">
        <v>74</v>
      </c>
      <c r="B3985" s="16" t="s">
        <v>170</v>
      </c>
      <c r="C3985" s="17" t="s">
        <v>171</v>
      </c>
      <c r="D3985" s="18">
        <v>5.0</v>
      </c>
      <c r="E3985" s="17" t="s">
        <v>129</v>
      </c>
      <c r="F3985" s="15" t="s">
        <v>130</v>
      </c>
      <c r="G3985" s="19">
        <v>5.1101056E7</v>
      </c>
      <c r="H3985" s="15" t="s">
        <v>16</v>
      </c>
      <c r="I3985" s="20" t="s">
        <v>17</v>
      </c>
      <c r="J3985" s="21">
        <v>1.404865E7</v>
      </c>
      <c r="K3985" s="21">
        <v>200695.0</v>
      </c>
    </row>
    <row r="3986">
      <c r="A3986" s="15" t="s">
        <v>74</v>
      </c>
      <c r="B3986" s="16" t="s">
        <v>170</v>
      </c>
      <c r="C3986" s="17" t="s">
        <v>171</v>
      </c>
      <c r="D3986" s="18">
        <v>5.0</v>
      </c>
      <c r="E3986" s="17" t="s">
        <v>129</v>
      </c>
      <c r="F3986" s="15" t="s">
        <v>130</v>
      </c>
      <c r="G3986" s="19">
        <v>9.0043001E7</v>
      </c>
      <c r="H3986" s="15" t="s">
        <v>18</v>
      </c>
      <c r="I3986" s="20" t="s">
        <v>19</v>
      </c>
      <c r="J3986" s="21">
        <v>3.8712747E7</v>
      </c>
      <c r="K3986" s="21">
        <v>179.0</v>
      </c>
    </row>
    <row r="3987">
      <c r="A3987" s="15" t="s">
        <v>74</v>
      </c>
      <c r="B3987" s="16" t="s">
        <v>170</v>
      </c>
      <c r="C3987" s="17" t="s">
        <v>171</v>
      </c>
      <c r="D3987" s="18">
        <v>5.0</v>
      </c>
      <c r="E3987" s="17" t="s">
        <v>129</v>
      </c>
      <c r="F3987" s="15" t="s">
        <v>130</v>
      </c>
      <c r="G3987" s="19">
        <v>9.0043003E7</v>
      </c>
      <c r="H3987" s="15" t="s">
        <v>90</v>
      </c>
      <c r="I3987" s="20" t="s">
        <v>50</v>
      </c>
      <c r="J3987" s="21">
        <v>4.5222186E7</v>
      </c>
      <c r="K3987" s="21">
        <v>73.0</v>
      </c>
    </row>
    <row r="3988">
      <c r="A3988" s="15" t="s">
        <v>74</v>
      </c>
      <c r="B3988" s="16" t="s">
        <v>170</v>
      </c>
      <c r="C3988" s="17" t="s">
        <v>171</v>
      </c>
      <c r="D3988" s="18">
        <v>5.0</v>
      </c>
      <c r="E3988" s="17" t="s">
        <v>131</v>
      </c>
      <c r="F3988" s="15" t="s">
        <v>132</v>
      </c>
      <c r="G3988" s="19">
        <v>9.0043001E7</v>
      </c>
      <c r="H3988" s="15" t="s">
        <v>18</v>
      </c>
      <c r="I3988" s="20" t="s">
        <v>19</v>
      </c>
      <c r="J3988" s="21">
        <v>6550001.0</v>
      </c>
      <c r="K3988" s="21">
        <v>30.0</v>
      </c>
    </row>
    <row r="3989">
      <c r="A3989" s="15" t="s">
        <v>74</v>
      </c>
      <c r="B3989" s="16" t="s">
        <v>170</v>
      </c>
      <c r="C3989" s="17" t="s">
        <v>171</v>
      </c>
      <c r="D3989" s="18">
        <v>5.0</v>
      </c>
      <c r="E3989" s="17" t="s">
        <v>135</v>
      </c>
      <c r="F3989" s="15" t="s">
        <v>136</v>
      </c>
      <c r="G3989" s="19">
        <v>9.0043001E7</v>
      </c>
      <c r="H3989" s="15" t="s">
        <v>18</v>
      </c>
      <c r="I3989" s="20" t="s">
        <v>19</v>
      </c>
      <c r="J3989" s="21">
        <v>2277924.0</v>
      </c>
      <c r="K3989" s="21">
        <v>11.0</v>
      </c>
    </row>
    <row r="3990">
      <c r="A3990" s="15" t="s">
        <v>74</v>
      </c>
      <c r="B3990" s="16" t="s">
        <v>170</v>
      </c>
      <c r="C3990" s="17" t="s">
        <v>171</v>
      </c>
      <c r="D3990" s="18">
        <v>5.0</v>
      </c>
      <c r="E3990" s="17" t="s">
        <v>137</v>
      </c>
      <c r="F3990" s="15" t="s">
        <v>138</v>
      </c>
      <c r="G3990" s="19">
        <v>9.0043001E7</v>
      </c>
      <c r="H3990" s="15" t="s">
        <v>18</v>
      </c>
      <c r="I3990" s="20" t="s">
        <v>19</v>
      </c>
      <c r="J3990" s="21">
        <v>4151270.0</v>
      </c>
      <c r="K3990" s="21">
        <v>23.0</v>
      </c>
    </row>
    <row r="3991">
      <c r="A3991" s="15" t="s">
        <v>74</v>
      </c>
      <c r="B3991" s="16" t="s">
        <v>170</v>
      </c>
      <c r="C3991" s="17" t="s">
        <v>171</v>
      </c>
      <c r="D3991" s="18">
        <v>5.0</v>
      </c>
      <c r="E3991" s="17" t="s">
        <v>54</v>
      </c>
      <c r="F3991" s="15" t="s">
        <v>139</v>
      </c>
      <c r="G3991" s="19">
        <v>9.0042011E7</v>
      </c>
      <c r="H3991" s="15" t="s">
        <v>55</v>
      </c>
      <c r="I3991" s="20" t="s">
        <v>19</v>
      </c>
      <c r="J3991" s="21">
        <v>2.3850908E8</v>
      </c>
      <c r="K3991" s="21">
        <v>0.0</v>
      </c>
    </row>
    <row r="3992">
      <c r="A3992" s="15" t="s">
        <v>74</v>
      </c>
      <c r="B3992" s="16" t="s">
        <v>170</v>
      </c>
      <c r="C3992" s="17" t="s">
        <v>171</v>
      </c>
      <c r="D3992" s="18">
        <v>5.0</v>
      </c>
      <c r="E3992" s="17" t="s">
        <v>164</v>
      </c>
      <c r="F3992" s="15" t="s">
        <v>165</v>
      </c>
      <c r="G3992" s="19">
        <v>9.0042079E7</v>
      </c>
      <c r="H3992" s="15" t="s">
        <v>166</v>
      </c>
      <c r="I3992" s="20" t="s">
        <v>19</v>
      </c>
      <c r="J3992" s="21">
        <v>5104180.0</v>
      </c>
      <c r="K3992" s="21">
        <v>0.0</v>
      </c>
    </row>
    <row r="3993">
      <c r="A3993" s="15" t="s">
        <v>74</v>
      </c>
      <c r="B3993" s="16" t="s">
        <v>170</v>
      </c>
      <c r="C3993" s="17" t="s">
        <v>171</v>
      </c>
      <c r="D3993" s="18">
        <v>5.0</v>
      </c>
      <c r="E3993" s="17" t="s">
        <v>20</v>
      </c>
      <c r="F3993" s="15" t="s">
        <v>140</v>
      </c>
      <c r="G3993" s="19">
        <v>9.0042014E7</v>
      </c>
      <c r="H3993" s="15" t="s">
        <v>21</v>
      </c>
      <c r="I3993" s="20" t="s">
        <v>19</v>
      </c>
      <c r="J3993" s="21">
        <v>3.8120916E8</v>
      </c>
      <c r="K3993" s="21">
        <v>0.0</v>
      </c>
    </row>
    <row r="3994">
      <c r="A3994" s="15" t="s">
        <v>74</v>
      </c>
      <c r="B3994" s="16" t="s">
        <v>170</v>
      </c>
      <c r="C3994" s="17" t="s">
        <v>171</v>
      </c>
      <c r="D3994" s="18">
        <v>5.0</v>
      </c>
      <c r="E3994" s="17" t="s">
        <v>20</v>
      </c>
      <c r="F3994" s="15" t="s">
        <v>140</v>
      </c>
      <c r="G3994" s="19">
        <v>9.0042077E7</v>
      </c>
      <c r="H3994" s="15" t="s">
        <v>141</v>
      </c>
      <c r="I3994" s="20" t="s">
        <v>19</v>
      </c>
      <c r="J3994" s="21">
        <v>1.08729157E8</v>
      </c>
      <c r="K3994" s="21">
        <v>0.0</v>
      </c>
    </row>
    <row r="3995">
      <c r="A3995" s="15" t="s">
        <v>74</v>
      </c>
      <c r="B3995" s="16" t="s">
        <v>170</v>
      </c>
      <c r="C3995" s="17" t="s">
        <v>171</v>
      </c>
      <c r="D3995" s="18">
        <v>5.0</v>
      </c>
      <c r="E3995" s="17" t="s">
        <v>142</v>
      </c>
      <c r="F3995" s="15" t="s">
        <v>143</v>
      </c>
      <c r="G3995" s="19">
        <v>9.0042084E7</v>
      </c>
      <c r="H3995" s="15" t="s">
        <v>145</v>
      </c>
      <c r="I3995" s="20" t="s">
        <v>19</v>
      </c>
      <c r="J3995" s="21">
        <v>3427080.0</v>
      </c>
      <c r="K3995" s="21">
        <v>0.0</v>
      </c>
    </row>
    <row r="3996">
      <c r="A3996" s="15" t="s">
        <v>74</v>
      </c>
      <c r="B3996" s="16" t="s">
        <v>170</v>
      </c>
      <c r="C3996" s="17" t="s">
        <v>171</v>
      </c>
      <c r="D3996" s="18">
        <v>5.0</v>
      </c>
      <c r="E3996" s="17" t="s">
        <v>22</v>
      </c>
      <c r="F3996" s="15" t="s">
        <v>146</v>
      </c>
      <c r="G3996" s="19">
        <v>9.0042012E7</v>
      </c>
      <c r="H3996" s="15" t="s">
        <v>23</v>
      </c>
      <c r="I3996" s="20" t="s">
        <v>19</v>
      </c>
      <c r="J3996" s="21">
        <v>1.47687072E8</v>
      </c>
      <c r="K3996" s="21">
        <v>0.0</v>
      </c>
    </row>
    <row r="3997">
      <c r="A3997" s="15" t="s">
        <v>74</v>
      </c>
      <c r="B3997" s="16" t="s">
        <v>170</v>
      </c>
      <c r="C3997" s="17" t="s">
        <v>171</v>
      </c>
      <c r="D3997" s="18">
        <v>5.0</v>
      </c>
      <c r="E3997" s="17" t="s">
        <v>22</v>
      </c>
      <c r="F3997" s="15" t="s">
        <v>146</v>
      </c>
      <c r="G3997" s="19">
        <v>9.0042121E7</v>
      </c>
      <c r="H3997" s="15" t="s">
        <v>24</v>
      </c>
      <c r="I3997" s="20" t="s">
        <v>25</v>
      </c>
      <c r="J3997" s="21">
        <v>1.83613313E8</v>
      </c>
      <c r="K3997" s="21">
        <v>0.0</v>
      </c>
    </row>
    <row r="3998">
      <c r="A3998" s="15" t="s">
        <v>74</v>
      </c>
      <c r="B3998" s="16" t="s">
        <v>170</v>
      </c>
      <c r="C3998" s="17" t="s">
        <v>171</v>
      </c>
      <c r="D3998" s="18">
        <v>5.0</v>
      </c>
      <c r="E3998" s="17" t="s">
        <v>22</v>
      </c>
      <c r="F3998" s="15" t="s">
        <v>146</v>
      </c>
      <c r="G3998" s="19">
        <v>9.0042122E7</v>
      </c>
      <c r="H3998" s="15" t="s">
        <v>56</v>
      </c>
      <c r="I3998" s="20" t="s">
        <v>25</v>
      </c>
      <c r="J3998" s="21">
        <v>9203786.0</v>
      </c>
      <c r="K3998" s="21">
        <v>0.0</v>
      </c>
    </row>
    <row r="3999">
      <c r="A3999" s="15" t="s">
        <v>74</v>
      </c>
      <c r="B3999" s="16" t="s">
        <v>170</v>
      </c>
      <c r="C3999" s="17" t="s">
        <v>171</v>
      </c>
      <c r="D3999" s="18">
        <v>5.0</v>
      </c>
      <c r="E3999" s="17" t="s">
        <v>22</v>
      </c>
      <c r="F3999" s="15" t="s">
        <v>146</v>
      </c>
      <c r="G3999" s="19">
        <v>9.0042125E7</v>
      </c>
      <c r="H3999" s="15" t="s">
        <v>26</v>
      </c>
      <c r="I3999" s="20" t="s">
        <v>25</v>
      </c>
      <c r="J3999" s="21">
        <v>8.4923769E7</v>
      </c>
      <c r="K3999" s="21">
        <v>0.0</v>
      </c>
    </row>
    <row r="4000">
      <c r="A4000" s="15" t="s">
        <v>74</v>
      </c>
      <c r="B4000" s="16" t="s">
        <v>170</v>
      </c>
      <c r="C4000" s="17" t="s">
        <v>171</v>
      </c>
      <c r="D4000" s="18">
        <v>5.0</v>
      </c>
      <c r="E4000" s="17" t="s">
        <v>22</v>
      </c>
      <c r="F4000" s="15" t="s">
        <v>146</v>
      </c>
      <c r="G4000" s="19">
        <v>9.0042127E7</v>
      </c>
      <c r="H4000" s="15" t="s">
        <v>27</v>
      </c>
      <c r="I4000" s="20" t="s">
        <v>25</v>
      </c>
      <c r="J4000" s="21">
        <v>2.5494355E7</v>
      </c>
      <c r="K4000" s="21">
        <v>0.0</v>
      </c>
    </row>
    <row r="4001">
      <c r="A4001" s="15" t="s">
        <v>74</v>
      </c>
      <c r="B4001" s="16" t="s">
        <v>170</v>
      </c>
      <c r="C4001" s="17" t="s">
        <v>171</v>
      </c>
      <c r="D4001" s="18">
        <v>5.0</v>
      </c>
      <c r="E4001" s="17" t="s">
        <v>22</v>
      </c>
      <c r="F4001" s="15" t="s">
        <v>146</v>
      </c>
      <c r="G4001" s="19">
        <v>9.0042128E7</v>
      </c>
      <c r="H4001" s="15" t="s">
        <v>58</v>
      </c>
      <c r="I4001" s="20" t="s">
        <v>25</v>
      </c>
      <c r="J4001" s="21">
        <v>2.0319902E7</v>
      </c>
      <c r="K4001" s="21">
        <v>0.0</v>
      </c>
    </row>
    <row r="4002">
      <c r="A4002" s="15" t="s">
        <v>74</v>
      </c>
      <c r="B4002" s="16" t="s">
        <v>170</v>
      </c>
      <c r="C4002" s="17" t="s">
        <v>171</v>
      </c>
      <c r="D4002" s="18">
        <v>5.0</v>
      </c>
      <c r="E4002" s="17" t="s">
        <v>22</v>
      </c>
      <c r="F4002" s="15" t="s">
        <v>146</v>
      </c>
      <c r="G4002" s="19">
        <v>9.0042132E7</v>
      </c>
      <c r="H4002" s="15" t="s">
        <v>28</v>
      </c>
      <c r="I4002" s="20" t="s">
        <v>25</v>
      </c>
      <c r="J4002" s="21">
        <v>3529450.0</v>
      </c>
      <c r="K4002" s="21">
        <v>0.0</v>
      </c>
    </row>
    <row r="4003">
      <c r="A4003" s="15" t="s">
        <v>74</v>
      </c>
      <c r="B4003" s="16" t="s">
        <v>170</v>
      </c>
      <c r="C4003" s="17" t="s">
        <v>171</v>
      </c>
      <c r="D4003" s="18">
        <v>5.0</v>
      </c>
      <c r="E4003" s="17" t="s">
        <v>22</v>
      </c>
      <c r="F4003" s="15" t="s">
        <v>146</v>
      </c>
      <c r="G4003" s="19">
        <v>9.0042134E7</v>
      </c>
      <c r="H4003" s="15" t="s">
        <v>29</v>
      </c>
      <c r="I4003" s="20" t="s">
        <v>25</v>
      </c>
      <c r="J4003" s="21">
        <v>4160000.0</v>
      </c>
      <c r="K4003" s="21">
        <v>0.0</v>
      </c>
    </row>
    <row r="4004">
      <c r="A4004" s="15" t="s">
        <v>74</v>
      </c>
      <c r="B4004" s="16" t="s">
        <v>170</v>
      </c>
      <c r="C4004" s="17" t="s">
        <v>171</v>
      </c>
      <c r="D4004" s="18">
        <v>5.0</v>
      </c>
      <c r="E4004" s="17" t="s">
        <v>22</v>
      </c>
      <c r="F4004" s="15" t="s">
        <v>146</v>
      </c>
      <c r="G4004" s="19">
        <v>9.0042135E7</v>
      </c>
      <c r="H4004" s="15" t="s">
        <v>30</v>
      </c>
      <c r="I4004" s="20" t="s">
        <v>25</v>
      </c>
      <c r="J4004" s="21">
        <v>2.2808657E8</v>
      </c>
      <c r="K4004" s="21">
        <v>0.0</v>
      </c>
    </row>
    <row r="4005">
      <c r="A4005" s="15" t="s">
        <v>74</v>
      </c>
      <c r="B4005" s="16" t="s">
        <v>170</v>
      </c>
      <c r="C4005" s="17" t="s">
        <v>171</v>
      </c>
      <c r="D4005" s="18">
        <v>5.0</v>
      </c>
      <c r="E4005" s="17" t="s">
        <v>22</v>
      </c>
      <c r="F4005" s="15" t="s">
        <v>146</v>
      </c>
      <c r="G4005" s="19">
        <v>9.00422E7</v>
      </c>
      <c r="H4005" s="15" t="s">
        <v>73</v>
      </c>
      <c r="I4005" s="20" t="s">
        <v>60</v>
      </c>
      <c r="J4005" s="21">
        <v>1.59424701E8</v>
      </c>
      <c r="K4005" s="21">
        <v>0.0</v>
      </c>
    </row>
    <row r="4006">
      <c r="A4006" s="15" t="s">
        <v>74</v>
      </c>
      <c r="B4006" s="16" t="s">
        <v>170</v>
      </c>
      <c r="C4006" s="17" t="s">
        <v>171</v>
      </c>
      <c r="D4006" s="18">
        <v>5.0</v>
      </c>
      <c r="E4006" s="17" t="s">
        <v>22</v>
      </c>
      <c r="F4006" s="15" t="s">
        <v>146</v>
      </c>
      <c r="G4006" s="19">
        <v>9.0042223E7</v>
      </c>
      <c r="H4006" s="15" t="s">
        <v>61</v>
      </c>
      <c r="I4006" s="20" t="s">
        <v>60</v>
      </c>
      <c r="J4006" s="21">
        <v>9086495.0</v>
      </c>
      <c r="K4006" s="21">
        <v>0.0</v>
      </c>
    </row>
    <row r="4007">
      <c r="A4007" s="15" t="s">
        <v>74</v>
      </c>
      <c r="B4007" s="16" t="s">
        <v>170</v>
      </c>
      <c r="C4007" s="17" t="s">
        <v>171</v>
      </c>
      <c r="D4007" s="18">
        <v>5.0</v>
      </c>
      <c r="E4007" s="17" t="s">
        <v>22</v>
      </c>
      <c r="F4007" s="15" t="s">
        <v>146</v>
      </c>
      <c r="G4007" s="19">
        <v>9.0042224E7</v>
      </c>
      <c r="H4007" s="15" t="s">
        <v>62</v>
      </c>
      <c r="I4007" s="20" t="s">
        <v>60</v>
      </c>
      <c r="J4007" s="21">
        <v>9548647.0</v>
      </c>
      <c r="K4007" s="21">
        <v>0.0</v>
      </c>
    </row>
    <row r="4008">
      <c r="A4008" s="15" t="s">
        <v>74</v>
      </c>
      <c r="B4008" s="16" t="s">
        <v>170</v>
      </c>
      <c r="C4008" s="17" t="s">
        <v>171</v>
      </c>
      <c r="D4008" s="18">
        <v>5.0</v>
      </c>
      <c r="E4008" s="17" t="s">
        <v>22</v>
      </c>
      <c r="F4008" s="15" t="s">
        <v>146</v>
      </c>
      <c r="G4008" s="19">
        <v>9.0042226E7</v>
      </c>
      <c r="H4008" s="15" t="s">
        <v>63</v>
      </c>
      <c r="I4008" s="20" t="s">
        <v>60</v>
      </c>
      <c r="J4008" s="21">
        <v>1233334.0</v>
      </c>
      <c r="K4008" s="21">
        <v>0.0</v>
      </c>
    </row>
    <row r="4009">
      <c r="A4009" s="15" t="s">
        <v>74</v>
      </c>
      <c r="B4009" s="16" t="s">
        <v>170</v>
      </c>
      <c r="C4009" s="17" t="s">
        <v>171</v>
      </c>
      <c r="D4009" s="18">
        <v>5.0</v>
      </c>
      <c r="E4009" s="17" t="s">
        <v>22</v>
      </c>
      <c r="F4009" s="15" t="s">
        <v>146</v>
      </c>
      <c r="G4009" s="19">
        <v>9.0042228E7</v>
      </c>
      <c r="H4009" s="15" t="s">
        <v>64</v>
      </c>
      <c r="I4009" s="20" t="s">
        <v>60</v>
      </c>
      <c r="J4009" s="21">
        <v>6.7843733E7</v>
      </c>
      <c r="K4009" s="21">
        <v>0.0</v>
      </c>
    </row>
    <row r="4010">
      <c r="A4010" s="15" t="s">
        <v>74</v>
      </c>
      <c r="B4010" s="16" t="s">
        <v>170</v>
      </c>
      <c r="C4010" s="17" t="s">
        <v>171</v>
      </c>
      <c r="D4010" s="18">
        <v>5.0</v>
      </c>
      <c r="E4010" s="17" t="s">
        <v>22</v>
      </c>
      <c r="F4010" s="15" t="s">
        <v>146</v>
      </c>
      <c r="G4010" s="19">
        <v>9.0042231E7</v>
      </c>
      <c r="H4010" s="15" t="s">
        <v>65</v>
      </c>
      <c r="I4010" s="20" t="s">
        <v>60</v>
      </c>
      <c r="J4010" s="21">
        <v>1.3415773E7</v>
      </c>
      <c r="K4010" s="21">
        <v>0.0</v>
      </c>
    </row>
    <row r="4011">
      <c r="A4011" s="15" t="s">
        <v>74</v>
      </c>
      <c r="B4011" s="16" t="s">
        <v>170</v>
      </c>
      <c r="C4011" s="17" t="s">
        <v>171</v>
      </c>
      <c r="D4011" s="18">
        <v>5.0</v>
      </c>
      <c r="E4011" s="17" t="s">
        <v>22</v>
      </c>
      <c r="F4011" s="15" t="s">
        <v>146</v>
      </c>
      <c r="G4011" s="19">
        <v>9.0042126E7</v>
      </c>
      <c r="H4011" s="15" t="s">
        <v>31</v>
      </c>
      <c r="I4011" s="20" t="s">
        <v>25</v>
      </c>
      <c r="J4011" s="21">
        <v>6.6692872E7</v>
      </c>
      <c r="K4011" s="21">
        <v>0.0</v>
      </c>
    </row>
    <row r="4012">
      <c r="A4012" s="15" t="s">
        <v>74</v>
      </c>
      <c r="B4012" s="16" t="s">
        <v>170</v>
      </c>
      <c r="C4012" s="17" t="s">
        <v>171</v>
      </c>
      <c r="D4012" s="18">
        <v>5.0</v>
      </c>
      <c r="E4012" s="17" t="s">
        <v>22</v>
      </c>
      <c r="F4012" s="15" t="s">
        <v>146</v>
      </c>
      <c r="G4012" s="19">
        <v>5.1100005E7</v>
      </c>
      <c r="H4012" s="15" t="s">
        <v>337</v>
      </c>
      <c r="I4012" s="20" t="s">
        <v>37</v>
      </c>
      <c r="J4012" s="21">
        <v>-1.5881292E7</v>
      </c>
      <c r="K4012" s="21">
        <v>572.0</v>
      </c>
    </row>
    <row r="4013">
      <c r="A4013" s="15" t="s">
        <v>74</v>
      </c>
      <c r="B4013" s="16" t="s">
        <v>170</v>
      </c>
      <c r="C4013" s="17" t="s">
        <v>171</v>
      </c>
      <c r="D4013" s="18">
        <v>5.0</v>
      </c>
      <c r="E4013" s="17" t="s">
        <v>371</v>
      </c>
      <c r="F4013" s="15" t="s">
        <v>372</v>
      </c>
      <c r="G4013" s="19">
        <v>9.0043002E7</v>
      </c>
      <c r="H4013" s="15" t="s">
        <v>49</v>
      </c>
      <c r="I4013" s="20" t="s">
        <v>50</v>
      </c>
      <c r="J4013" s="21">
        <v>0.0</v>
      </c>
      <c r="K4013" s="21">
        <v>0.0</v>
      </c>
    </row>
    <row r="4014">
      <c r="A4014" s="15" t="s">
        <v>74</v>
      </c>
      <c r="B4014" s="16" t="s">
        <v>170</v>
      </c>
      <c r="C4014" s="17" t="s">
        <v>171</v>
      </c>
      <c r="D4014" s="18">
        <v>5.0</v>
      </c>
      <c r="E4014" s="17" t="s">
        <v>373</v>
      </c>
      <c r="F4014" s="15" t="s">
        <v>374</v>
      </c>
      <c r="G4014" s="19">
        <v>9.0043E7</v>
      </c>
      <c r="H4014" s="15" t="s">
        <v>83</v>
      </c>
      <c r="I4014" s="20" t="s">
        <v>19</v>
      </c>
      <c r="J4014" s="21">
        <v>6477282.0</v>
      </c>
      <c r="K4014" s="21">
        <v>21.0</v>
      </c>
    </row>
    <row r="4015">
      <c r="A4015" s="15" t="s">
        <v>74</v>
      </c>
      <c r="B4015" s="16" t="s">
        <v>170</v>
      </c>
      <c r="C4015" s="17" t="s">
        <v>171</v>
      </c>
      <c r="D4015" s="18">
        <v>5.0</v>
      </c>
      <c r="E4015" s="17" t="s">
        <v>375</v>
      </c>
      <c r="F4015" s="15" t="s">
        <v>376</v>
      </c>
      <c r="G4015" s="19">
        <v>9.0043001E7</v>
      </c>
      <c r="H4015" s="15" t="s">
        <v>18</v>
      </c>
      <c r="I4015" s="20" t="s">
        <v>19</v>
      </c>
      <c r="J4015" s="21">
        <v>7478202.0</v>
      </c>
      <c r="K4015" s="21">
        <v>34.0</v>
      </c>
    </row>
    <row r="4016">
      <c r="A4016" s="15" t="s">
        <v>74</v>
      </c>
      <c r="B4016" s="16" t="s">
        <v>170</v>
      </c>
      <c r="C4016" s="17" t="s">
        <v>171</v>
      </c>
      <c r="D4016" s="18">
        <v>5.0</v>
      </c>
      <c r="E4016" s="17" t="s">
        <v>377</v>
      </c>
      <c r="F4016" s="15" t="s">
        <v>378</v>
      </c>
      <c r="G4016" s="19">
        <v>9.0043001E7</v>
      </c>
      <c r="H4016" s="15" t="s">
        <v>18</v>
      </c>
      <c r="I4016" s="20" t="s">
        <v>19</v>
      </c>
      <c r="J4016" s="21">
        <v>1925808.0</v>
      </c>
      <c r="K4016" s="21">
        <v>8.0</v>
      </c>
    </row>
    <row r="4017">
      <c r="A4017" s="15" t="s">
        <v>74</v>
      </c>
      <c r="B4017" s="16" t="s">
        <v>12</v>
      </c>
      <c r="C4017" s="17" t="s">
        <v>13</v>
      </c>
      <c r="D4017" s="18">
        <v>5.0</v>
      </c>
      <c r="E4017" s="17" t="s">
        <v>125</v>
      </c>
      <c r="F4017" s="15" t="s">
        <v>126</v>
      </c>
      <c r="G4017" s="19">
        <v>9.0043001E7</v>
      </c>
      <c r="H4017" s="15" t="s">
        <v>18</v>
      </c>
      <c r="I4017" s="20" t="s">
        <v>19</v>
      </c>
      <c r="J4017" s="21">
        <v>3368526.0</v>
      </c>
      <c r="K4017" s="21">
        <v>14.0</v>
      </c>
    </row>
    <row r="4018">
      <c r="A4018" s="15" t="s">
        <v>74</v>
      </c>
      <c r="B4018" s="16" t="s">
        <v>12</v>
      </c>
      <c r="C4018" s="17" t="s">
        <v>13</v>
      </c>
      <c r="D4018" s="18">
        <v>5.0</v>
      </c>
      <c r="E4018" s="17" t="s">
        <v>127</v>
      </c>
      <c r="F4018" s="15" t="s">
        <v>128</v>
      </c>
      <c r="G4018" s="19">
        <v>5.1100153E7</v>
      </c>
      <c r="H4018" s="15" t="s">
        <v>72</v>
      </c>
      <c r="I4018" s="20" t="s">
        <v>25</v>
      </c>
      <c r="J4018" s="21">
        <v>7500000.0</v>
      </c>
      <c r="K4018" s="21">
        <v>0.0</v>
      </c>
    </row>
    <row r="4019">
      <c r="A4019" s="15" t="s">
        <v>74</v>
      </c>
      <c r="B4019" s="16" t="s">
        <v>12</v>
      </c>
      <c r="C4019" s="17" t="s">
        <v>13</v>
      </c>
      <c r="D4019" s="18">
        <v>5.0</v>
      </c>
      <c r="E4019" s="17" t="s">
        <v>131</v>
      </c>
      <c r="F4019" s="15" t="s">
        <v>132</v>
      </c>
      <c r="G4019" s="19">
        <v>9.0043001E7</v>
      </c>
      <c r="H4019" s="15" t="s">
        <v>18</v>
      </c>
      <c r="I4019" s="20" t="s">
        <v>19</v>
      </c>
      <c r="J4019" s="21">
        <v>721827.0</v>
      </c>
      <c r="K4019" s="21">
        <v>3.0</v>
      </c>
    </row>
    <row r="4020">
      <c r="A4020" s="15" t="s">
        <v>74</v>
      </c>
      <c r="B4020" s="16" t="s">
        <v>12</v>
      </c>
      <c r="C4020" s="17" t="s">
        <v>13</v>
      </c>
      <c r="D4020" s="18">
        <v>5.0</v>
      </c>
      <c r="E4020" s="17" t="s">
        <v>22</v>
      </c>
      <c r="F4020" s="15" t="s">
        <v>146</v>
      </c>
      <c r="G4020" s="19">
        <v>9.0042121E7</v>
      </c>
      <c r="H4020" s="15" t="s">
        <v>24</v>
      </c>
      <c r="I4020" s="20" t="s">
        <v>25</v>
      </c>
      <c r="J4020" s="21">
        <v>1.0E7</v>
      </c>
      <c r="K4020" s="21">
        <v>0.0</v>
      </c>
    </row>
    <row r="4021">
      <c r="A4021" s="15" t="s">
        <v>74</v>
      </c>
      <c r="B4021" s="16" t="s">
        <v>12</v>
      </c>
      <c r="C4021" s="17" t="s">
        <v>13</v>
      </c>
      <c r="D4021" s="18">
        <v>5.0</v>
      </c>
      <c r="E4021" s="17" t="s">
        <v>22</v>
      </c>
      <c r="F4021" s="15" t="s">
        <v>146</v>
      </c>
      <c r="G4021" s="19">
        <v>9.0042122E7</v>
      </c>
      <c r="H4021" s="15" t="s">
        <v>56</v>
      </c>
      <c r="I4021" s="20" t="s">
        <v>25</v>
      </c>
      <c r="J4021" s="21">
        <v>550000.0</v>
      </c>
      <c r="K4021" s="21">
        <v>0.0</v>
      </c>
    </row>
    <row r="4022">
      <c r="A4022" s="15" t="s">
        <v>74</v>
      </c>
      <c r="B4022" s="16" t="s">
        <v>12</v>
      </c>
      <c r="C4022" s="17" t="s">
        <v>13</v>
      </c>
      <c r="D4022" s="18">
        <v>5.0</v>
      </c>
      <c r="E4022" s="17" t="s">
        <v>22</v>
      </c>
      <c r="F4022" s="15" t="s">
        <v>146</v>
      </c>
      <c r="G4022" s="19">
        <v>9.0042135E7</v>
      </c>
      <c r="H4022" s="15" t="s">
        <v>30</v>
      </c>
      <c r="I4022" s="20" t="s">
        <v>25</v>
      </c>
      <c r="J4022" s="21">
        <v>2136454.0</v>
      </c>
      <c r="K4022" s="21">
        <v>0.0</v>
      </c>
    </row>
    <row r="4023">
      <c r="A4023" s="15" t="s">
        <v>74</v>
      </c>
      <c r="B4023" s="16" t="s">
        <v>12</v>
      </c>
      <c r="C4023" s="17" t="s">
        <v>13</v>
      </c>
      <c r="D4023" s="18">
        <v>5.0</v>
      </c>
      <c r="E4023" s="17" t="s">
        <v>22</v>
      </c>
      <c r="F4023" s="15" t="s">
        <v>146</v>
      </c>
      <c r="G4023" s="19">
        <v>9.00422E7</v>
      </c>
      <c r="H4023" s="15" t="s">
        <v>73</v>
      </c>
      <c r="I4023" s="20" t="s">
        <v>60</v>
      </c>
      <c r="J4023" s="21">
        <v>461295.0</v>
      </c>
      <c r="K4023" s="21">
        <v>0.0</v>
      </c>
    </row>
    <row r="4024">
      <c r="A4024" s="15" t="s">
        <v>74</v>
      </c>
      <c r="B4024" s="16" t="s">
        <v>12</v>
      </c>
      <c r="C4024" s="17" t="s">
        <v>13</v>
      </c>
      <c r="D4024" s="18">
        <v>5.0</v>
      </c>
      <c r="E4024" s="17" t="s">
        <v>22</v>
      </c>
      <c r="F4024" s="15" t="s">
        <v>146</v>
      </c>
      <c r="G4024" s="19">
        <v>9.0042223E7</v>
      </c>
      <c r="H4024" s="15" t="s">
        <v>61</v>
      </c>
      <c r="I4024" s="20" t="s">
        <v>60</v>
      </c>
      <c r="J4024" s="21">
        <v>1107529.0</v>
      </c>
      <c r="K4024" s="21">
        <v>0.0</v>
      </c>
    </row>
    <row r="4025">
      <c r="A4025" s="15" t="s">
        <v>74</v>
      </c>
      <c r="B4025" s="16" t="s">
        <v>12</v>
      </c>
      <c r="C4025" s="17" t="s">
        <v>13</v>
      </c>
      <c r="D4025" s="18">
        <v>5.0</v>
      </c>
      <c r="E4025" s="17" t="s">
        <v>22</v>
      </c>
      <c r="F4025" s="15" t="s">
        <v>146</v>
      </c>
      <c r="G4025" s="19">
        <v>9.0042224E7</v>
      </c>
      <c r="H4025" s="15" t="s">
        <v>62</v>
      </c>
      <c r="I4025" s="20" t="s">
        <v>60</v>
      </c>
      <c r="J4025" s="21">
        <v>141851.0</v>
      </c>
      <c r="K4025" s="21">
        <v>0.0</v>
      </c>
    </row>
    <row r="4026">
      <c r="A4026" s="15" t="s">
        <v>74</v>
      </c>
      <c r="B4026" s="16" t="s">
        <v>12</v>
      </c>
      <c r="C4026" s="17" t="s">
        <v>13</v>
      </c>
      <c r="D4026" s="18">
        <v>5.0</v>
      </c>
      <c r="E4026" s="17" t="s">
        <v>22</v>
      </c>
      <c r="F4026" s="15" t="s">
        <v>146</v>
      </c>
      <c r="G4026" s="19">
        <v>9.0042228E7</v>
      </c>
      <c r="H4026" s="15" t="s">
        <v>64</v>
      </c>
      <c r="I4026" s="20" t="s">
        <v>60</v>
      </c>
      <c r="J4026" s="21">
        <v>8396383.0</v>
      </c>
      <c r="K4026" s="21">
        <v>0.0</v>
      </c>
    </row>
    <row r="4027">
      <c r="A4027" s="15" t="s">
        <v>74</v>
      </c>
      <c r="B4027" s="16" t="s">
        <v>12</v>
      </c>
      <c r="C4027" s="17" t="s">
        <v>13</v>
      </c>
      <c r="D4027" s="18">
        <v>5.0</v>
      </c>
      <c r="E4027" s="17" t="s">
        <v>22</v>
      </c>
      <c r="F4027" s="15" t="s">
        <v>146</v>
      </c>
      <c r="G4027" s="19">
        <v>9.0042231E7</v>
      </c>
      <c r="H4027" s="15" t="s">
        <v>65</v>
      </c>
      <c r="I4027" s="20" t="s">
        <v>60</v>
      </c>
      <c r="J4027" s="21">
        <v>2915925.0</v>
      </c>
      <c r="K4027" s="21">
        <v>0.0</v>
      </c>
    </row>
    <row r="4028">
      <c r="A4028" s="15" t="s">
        <v>74</v>
      </c>
      <c r="B4028" s="16" t="s">
        <v>12</v>
      </c>
      <c r="C4028" s="17" t="s">
        <v>13</v>
      </c>
      <c r="D4028" s="18">
        <v>5.0</v>
      </c>
      <c r="E4028" s="17" t="s">
        <v>22</v>
      </c>
      <c r="F4028" s="15" t="s">
        <v>146</v>
      </c>
      <c r="G4028" s="19">
        <v>9.0042126E7</v>
      </c>
      <c r="H4028" s="15" t="s">
        <v>31</v>
      </c>
      <c r="I4028" s="20" t="s">
        <v>25</v>
      </c>
      <c r="J4028" s="21">
        <v>9696338.0</v>
      </c>
      <c r="K4028" s="21">
        <v>0.0</v>
      </c>
    </row>
    <row r="4029">
      <c r="A4029" s="15" t="s">
        <v>74</v>
      </c>
      <c r="B4029" s="16" t="s">
        <v>187</v>
      </c>
      <c r="C4029" s="17" t="s">
        <v>188</v>
      </c>
      <c r="D4029" s="18">
        <v>5.0</v>
      </c>
      <c r="E4029" s="17" t="s">
        <v>77</v>
      </c>
      <c r="F4029" s="15" t="s">
        <v>78</v>
      </c>
      <c r="G4029" s="19">
        <v>9.0043001E7</v>
      </c>
      <c r="H4029" s="15" t="s">
        <v>18</v>
      </c>
      <c r="I4029" s="20" t="s">
        <v>19</v>
      </c>
      <c r="J4029" s="21">
        <v>9368883.0</v>
      </c>
      <c r="K4029" s="21">
        <v>55.0</v>
      </c>
    </row>
    <row r="4030">
      <c r="A4030" s="15" t="s">
        <v>74</v>
      </c>
      <c r="B4030" s="16" t="s">
        <v>187</v>
      </c>
      <c r="C4030" s="17" t="s">
        <v>188</v>
      </c>
      <c r="D4030" s="18">
        <v>5.0</v>
      </c>
      <c r="E4030" s="17" t="s">
        <v>84</v>
      </c>
      <c r="F4030" s="15" t="s">
        <v>85</v>
      </c>
      <c r="G4030" s="19">
        <v>9.0043001E7</v>
      </c>
      <c r="H4030" s="15" t="s">
        <v>18</v>
      </c>
      <c r="I4030" s="20" t="s">
        <v>19</v>
      </c>
      <c r="J4030" s="21">
        <v>2.0824827E7</v>
      </c>
      <c r="K4030" s="21">
        <v>129.0</v>
      </c>
    </row>
    <row r="4031">
      <c r="A4031" s="15" t="s">
        <v>74</v>
      </c>
      <c r="B4031" s="16" t="s">
        <v>187</v>
      </c>
      <c r="C4031" s="17" t="s">
        <v>188</v>
      </c>
      <c r="D4031" s="18">
        <v>5.0</v>
      </c>
      <c r="E4031" s="17" t="s">
        <v>84</v>
      </c>
      <c r="F4031" s="15" t="s">
        <v>85</v>
      </c>
      <c r="G4031" s="19">
        <v>9.0043E7</v>
      </c>
      <c r="H4031" s="15" t="s">
        <v>83</v>
      </c>
      <c r="I4031" s="20" t="s">
        <v>19</v>
      </c>
      <c r="J4031" s="21">
        <v>2902592.0</v>
      </c>
      <c r="K4031" s="21">
        <v>19.0</v>
      </c>
    </row>
    <row r="4032">
      <c r="A4032" s="15" t="s">
        <v>74</v>
      </c>
      <c r="B4032" s="16" t="s">
        <v>187</v>
      </c>
      <c r="C4032" s="17" t="s">
        <v>188</v>
      </c>
      <c r="D4032" s="18">
        <v>5.0</v>
      </c>
      <c r="E4032" s="17" t="s">
        <v>86</v>
      </c>
      <c r="F4032" s="15" t="s">
        <v>87</v>
      </c>
      <c r="G4032" s="19">
        <v>9.0043001E7</v>
      </c>
      <c r="H4032" s="15" t="s">
        <v>18</v>
      </c>
      <c r="I4032" s="20" t="s">
        <v>19</v>
      </c>
      <c r="J4032" s="21">
        <v>4952608.0</v>
      </c>
      <c r="K4032" s="21">
        <v>31.0</v>
      </c>
    </row>
    <row r="4033">
      <c r="A4033" s="15" t="s">
        <v>74</v>
      </c>
      <c r="B4033" s="16" t="s">
        <v>187</v>
      </c>
      <c r="C4033" s="17" t="s">
        <v>188</v>
      </c>
      <c r="D4033" s="18">
        <v>5.0</v>
      </c>
      <c r="E4033" s="17" t="s">
        <v>189</v>
      </c>
      <c r="F4033" s="15" t="s">
        <v>190</v>
      </c>
      <c r="G4033" s="19">
        <v>9.0043001E7</v>
      </c>
      <c r="H4033" s="15" t="s">
        <v>18</v>
      </c>
      <c r="I4033" s="20" t="s">
        <v>19</v>
      </c>
      <c r="J4033" s="21">
        <v>7853748.0</v>
      </c>
      <c r="K4033" s="21">
        <v>42.0</v>
      </c>
    </row>
    <row r="4034">
      <c r="A4034" s="15" t="s">
        <v>74</v>
      </c>
      <c r="B4034" s="16" t="s">
        <v>187</v>
      </c>
      <c r="C4034" s="17" t="s">
        <v>188</v>
      </c>
      <c r="D4034" s="18">
        <v>5.0</v>
      </c>
      <c r="E4034" s="17" t="s">
        <v>180</v>
      </c>
      <c r="F4034" s="15" t="s">
        <v>181</v>
      </c>
      <c r="G4034" s="19">
        <v>9.0043001E7</v>
      </c>
      <c r="H4034" s="15" t="s">
        <v>18</v>
      </c>
      <c r="I4034" s="20" t="s">
        <v>19</v>
      </c>
      <c r="J4034" s="21">
        <v>1697886.0</v>
      </c>
      <c r="K4034" s="21">
        <v>10.0</v>
      </c>
    </row>
    <row r="4035">
      <c r="A4035" s="15" t="s">
        <v>74</v>
      </c>
      <c r="B4035" s="16" t="s">
        <v>187</v>
      </c>
      <c r="C4035" s="17" t="s">
        <v>188</v>
      </c>
      <c r="D4035" s="18">
        <v>5.0</v>
      </c>
      <c r="E4035" s="17" t="s">
        <v>180</v>
      </c>
      <c r="F4035" s="15" t="s">
        <v>181</v>
      </c>
      <c r="G4035" s="19">
        <v>5.1100005E7</v>
      </c>
      <c r="H4035" s="15" t="s">
        <v>337</v>
      </c>
      <c r="I4035" s="20" t="s">
        <v>37</v>
      </c>
      <c r="J4035" s="21">
        <v>4496701.0</v>
      </c>
      <c r="K4035" s="21">
        <v>200.0</v>
      </c>
    </row>
    <row r="4036">
      <c r="A4036" s="15" t="s">
        <v>74</v>
      </c>
      <c r="B4036" s="16" t="s">
        <v>187</v>
      </c>
      <c r="C4036" s="17" t="s">
        <v>188</v>
      </c>
      <c r="D4036" s="18">
        <v>5.0</v>
      </c>
      <c r="E4036" s="17" t="s">
        <v>282</v>
      </c>
      <c r="F4036" s="15" t="s">
        <v>283</v>
      </c>
      <c r="G4036" s="19">
        <v>9.0043002E7</v>
      </c>
      <c r="H4036" s="15" t="s">
        <v>49</v>
      </c>
      <c r="I4036" s="20" t="s">
        <v>50</v>
      </c>
      <c r="J4036" s="21">
        <v>163796.0</v>
      </c>
      <c r="K4036" s="21">
        <v>15.0</v>
      </c>
    </row>
    <row r="4037">
      <c r="A4037" s="15" t="s">
        <v>74</v>
      </c>
      <c r="B4037" s="16" t="s">
        <v>187</v>
      </c>
      <c r="C4037" s="17" t="s">
        <v>188</v>
      </c>
      <c r="D4037" s="18">
        <v>5.0</v>
      </c>
      <c r="E4037" s="17" t="s">
        <v>95</v>
      </c>
      <c r="F4037" s="15" t="s">
        <v>96</v>
      </c>
      <c r="G4037" s="19">
        <v>5.1100058E7</v>
      </c>
      <c r="H4037" s="15" t="s">
        <v>36</v>
      </c>
      <c r="I4037" s="20" t="s">
        <v>37</v>
      </c>
      <c r="J4037" s="21">
        <v>4459299.0</v>
      </c>
      <c r="K4037" s="21">
        <v>53.63</v>
      </c>
    </row>
    <row r="4038">
      <c r="A4038" s="15" t="s">
        <v>74</v>
      </c>
      <c r="B4038" s="16" t="s">
        <v>187</v>
      </c>
      <c r="C4038" s="17" t="s">
        <v>188</v>
      </c>
      <c r="D4038" s="18">
        <v>5.0</v>
      </c>
      <c r="E4038" s="17" t="s">
        <v>95</v>
      </c>
      <c r="F4038" s="15" t="s">
        <v>96</v>
      </c>
      <c r="G4038" s="19">
        <v>9.0043001E7</v>
      </c>
      <c r="H4038" s="15" t="s">
        <v>18</v>
      </c>
      <c r="I4038" s="20" t="s">
        <v>19</v>
      </c>
      <c r="J4038" s="21">
        <v>5163720.0</v>
      </c>
      <c r="K4038" s="21">
        <v>30.0</v>
      </c>
    </row>
    <row r="4039">
      <c r="A4039" s="15" t="s">
        <v>74</v>
      </c>
      <c r="B4039" s="16" t="s">
        <v>187</v>
      </c>
      <c r="C4039" s="17" t="s">
        <v>188</v>
      </c>
      <c r="D4039" s="18">
        <v>5.0</v>
      </c>
      <c r="E4039" s="17" t="s">
        <v>99</v>
      </c>
      <c r="F4039" s="15" t="s">
        <v>100</v>
      </c>
      <c r="G4039" s="19">
        <v>9.0043001E7</v>
      </c>
      <c r="H4039" s="15" t="s">
        <v>18</v>
      </c>
      <c r="I4039" s="20" t="s">
        <v>19</v>
      </c>
      <c r="J4039" s="21">
        <v>3230327.0</v>
      </c>
      <c r="K4039" s="21">
        <v>19.0</v>
      </c>
    </row>
    <row r="4040">
      <c r="A4040" s="15" t="s">
        <v>74</v>
      </c>
      <c r="B4040" s="16" t="s">
        <v>187</v>
      </c>
      <c r="C4040" s="17" t="s">
        <v>188</v>
      </c>
      <c r="D4040" s="18">
        <v>5.0</v>
      </c>
      <c r="E4040" s="17" t="s">
        <v>101</v>
      </c>
      <c r="F4040" s="15" t="s">
        <v>102</v>
      </c>
      <c r="G4040" s="19">
        <v>9.0043001E7</v>
      </c>
      <c r="H4040" s="15" t="s">
        <v>18</v>
      </c>
      <c r="I4040" s="20" t="s">
        <v>19</v>
      </c>
      <c r="J4040" s="21">
        <v>8304267.0</v>
      </c>
      <c r="K4040" s="21">
        <v>50.0</v>
      </c>
    </row>
    <row r="4041">
      <c r="A4041" s="15" t="s">
        <v>74</v>
      </c>
      <c r="B4041" s="16" t="s">
        <v>187</v>
      </c>
      <c r="C4041" s="17" t="s">
        <v>188</v>
      </c>
      <c r="D4041" s="18">
        <v>5.0</v>
      </c>
      <c r="E4041" s="17" t="s">
        <v>103</v>
      </c>
      <c r="F4041" s="15" t="s">
        <v>104</v>
      </c>
      <c r="G4041" s="19">
        <v>5.1100058E7</v>
      </c>
      <c r="H4041" s="15" t="s">
        <v>36</v>
      </c>
      <c r="I4041" s="20" t="s">
        <v>37</v>
      </c>
      <c r="J4041" s="21">
        <v>3.0392887E7</v>
      </c>
      <c r="K4041" s="21">
        <v>334.86</v>
      </c>
    </row>
    <row r="4042">
      <c r="A4042" s="15" t="s">
        <v>74</v>
      </c>
      <c r="B4042" s="16" t="s">
        <v>187</v>
      </c>
      <c r="C4042" s="17" t="s">
        <v>188</v>
      </c>
      <c r="D4042" s="18">
        <v>5.0</v>
      </c>
      <c r="E4042" s="17" t="s">
        <v>103</v>
      </c>
      <c r="F4042" s="15" t="s">
        <v>104</v>
      </c>
      <c r="G4042" s="19">
        <v>5.1100651E7</v>
      </c>
      <c r="H4042" s="15" t="s">
        <v>38</v>
      </c>
      <c r="I4042" s="20" t="s">
        <v>17</v>
      </c>
      <c r="J4042" s="21">
        <v>3.6648294E7</v>
      </c>
      <c r="K4042" s="21">
        <v>252.75</v>
      </c>
    </row>
    <row r="4043">
      <c r="A4043" s="15" t="s">
        <v>74</v>
      </c>
      <c r="B4043" s="16" t="s">
        <v>187</v>
      </c>
      <c r="C4043" s="17" t="s">
        <v>188</v>
      </c>
      <c r="D4043" s="18">
        <v>5.0</v>
      </c>
      <c r="E4043" s="17" t="s">
        <v>103</v>
      </c>
      <c r="F4043" s="15" t="s">
        <v>104</v>
      </c>
      <c r="G4043" s="19">
        <v>9.0043001E7</v>
      </c>
      <c r="H4043" s="15" t="s">
        <v>18</v>
      </c>
      <c r="I4043" s="20" t="s">
        <v>19</v>
      </c>
      <c r="J4043" s="21">
        <v>1.5301281E7</v>
      </c>
      <c r="K4043" s="21">
        <v>90.0</v>
      </c>
    </row>
    <row r="4044">
      <c r="A4044" s="15" t="s">
        <v>74</v>
      </c>
      <c r="B4044" s="16" t="s">
        <v>187</v>
      </c>
      <c r="C4044" s="17" t="s">
        <v>188</v>
      </c>
      <c r="D4044" s="18">
        <v>5.0</v>
      </c>
      <c r="E4044" s="17" t="s">
        <v>103</v>
      </c>
      <c r="F4044" s="15" t="s">
        <v>104</v>
      </c>
      <c r="G4044" s="19">
        <v>9.0043E7</v>
      </c>
      <c r="H4044" s="15" t="s">
        <v>83</v>
      </c>
      <c r="I4044" s="20" t="s">
        <v>19</v>
      </c>
      <c r="J4044" s="21">
        <v>2291520.0</v>
      </c>
      <c r="K4044" s="21">
        <v>15.0</v>
      </c>
    </row>
    <row r="4045">
      <c r="A4045" s="15" t="s">
        <v>74</v>
      </c>
      <c r="B4045" s="16" t="s">
        <v>187</v>
      </c>
      <c r="C4045" s="17" t="s">
        <v>188</v>
      </c>
      <c r="D4045" s="18">
        <v>5.0</v>
      </c>
      <c r="E4045" s="17" t="s">
        <v>108</v>
      </c>
      <c r="F4045" s="15" t="s">
        <v>109</v>
      </c>
      <c r="G4045" s="19">
        <v>5.1100058E7</v>
      </c>
      <c r="H4045" s="15" t="s">
        <v>36</v>
      </c>
      <c r="I4045" s="20" t="s">
        <v>37</v>
      </c>
      <c r="J4045" s="21">
        <v>9807485.0</v>
      </c>
      <c r="K4045" s="21">
        <v>99.624</v>
      </c>
    </row>
    <row r="4046">
      <c r="A4046" s="15" t="s">
        <v>74</v>
      </c>
      <c r="B4046" s="16" t="s">
        <v>187</v>
      </c>
      <c r="C4046" s="17" t="s">
        <v>188</v>
      </c>
      <c r="D4046" s="18">
        <v>5.0</v>
      </c>
      <c r="E4046" s="17" t="s">
        <v>108</v>
      </c>
      <c r="F4046" s="15" t="s">
        <v>109</v>
      </c>
      <c r="G4046" s="19">
        <v>5.1100651E7</v>
      </c>
      <c r="H4046" s="15" t="s">
        <v>38</v>
      </c>
      <c r="I4046" s="20" t="s">
        <v>17</v>
      </c>
      <c r="J4046" s="21">
        <v>1799772.0</v>
      </c>
      <c r="K4046" s="21">
        <v>60.6</v>
      </c>
    </row>
    <row r="4047">
      <c r="A4047" s="15" t="s">
        <v>74</v>
      </c>
      <c r="B4047" s="16" t="s">
        <v>187</v>
      </c>
      <c r="C4047" s="17" t="s">
        <v>188</v>
      </c>
      <c r="D4047" s="18">
        <v>5.0</v>
      </c>
      <c r="E4047" s="17" t="s">
        <v>108</v>
      </c>
      <c r="F4047" s="15" t="s">
        <v>109</v>
      </c>
      <c r="G4047" s="19">
        <v>9.0043001E7</v>
      </c>
      <c r="H4047" s="15" t="s">
        <v>18</v>
      </c>
      <c r="I4047" s="20" t="s">
        <v>19</v>
      </c>
      <c r="J4047" s="21">
        <v>2381258.0</v>
      </c>
      <c r="K4047" s="21">
        <v>14.0</v>
      </c>
    </row>
    <row r="4048">
      <c r="A4048" s="15" t="s">
        <v>74</v>
      </c>
      <c r="B4048" s="16" t="s">
        <v>187</v>
      </c>
      <c r="C4048" s="17" t="s">
        <v>188</v>
      </c>
      <c r="D4048" s="18">
        <v>5.0</v>
      </c>
      <c r="E4048" s="17" t="s">
        <v>158</v>
      </c>
      <c r="F4048" s="15" t="s">
        <v>159</v>
      </c>
      <c r="G4048" s="19">
        <v>9.0043001E7</v>
      </c>
      <c r="H4048" s="15" t="s">
        <v>18</v>
      </c>
      <c r="I4048" s="20" t="s">
        <v>19</v>
      </c>
      <c r="J4048" s="21">
        <v>2641745.0</v>
      </c>
      <c r="K4048" s="21">
        <v>15.5</v>
      </c>
    </row>
    <row r="4049">
      <c r="A4049" s="15" t="s">
        <v>74</v>
      </c>
      <c r="B4049" s="16" t="s">
        <v>187</v>
      </c>
      <c r="C4049" s="17" t="s">
        <v>188</v>
      </c>
      <c r="D4049" s="18">
        <v>5.0</v>
      </c>
      <c r="E4049" s="17" t="s">
        <v>284</v>
      </c>
      <c r="F4049" s="15" t="s">
        <v>285</v>
      </c>
      <c r="G4049" s="19">
        <v>9.0043001E7</v>
      </c>
      <c r="H4049" s="15" t="s">
        <v>18</v>
      </c>
      <c r="I4049" s="20" t="s">
        <v>19</v>
      </c>
      <c r="J4049" s="21">
        <v>2670734.0</v>
      </c>
      <c r="K4049" s="21">
        <v>17.0</v>
      </c>
    </row>
    <row r="4050">
      <c r="A4050" s="15" t="s">
        <v>74</v>
      </c>
      <c r="B4050" s="16" t="s">
        <v>187</v>
      </c>
      <c r="C4050" s="17" t="s">
        <v>188</v>
      </c>
      <c r="D4050" s="18">
        <v>5.0</v>
      </c>
      <c r="E4050" s="17" t="s">
        <v>112</v>
      </c>
      <c r="F4050" s="15" t="s">
        <v>113</v>
      </c>
      <c r="G4050" s="19">
        <v>9.0043001E7</v>
      </c>
      <c r="H4050" s="15" t="s">
        <v>18</v>
      </c>
      <c r="I4050" s="20" t="s">
        <v>19</v>
      </c>
      <c r="J4050" s="21">
        <v>2.5775092E7</v>
      </c>
      <c r="K4050" s="21">
        <v>152.0</v>
      </c>
    </row>
    <row r="4051">
      <c r="A4051" s="15" t="s">
        <v>74</v>
      </c>
      <c r="B4051" s="16" t="s">
        <v>187</v>
      </c>
      <c r="C4051" s="17" t="s">
        <v>188</v>
      </c>
      <c r="D4051" s="18">
        <v>5.0</v>
      </c>
      <c r="E4051" s="17" t="s">
        <v>112</v>
      </c>
      <c r="F4051" s="15" t="s">
        <v>113</v>
      </c>
      <c r="G4051" s="19">
        <v>9.0043E7</v>
      </c>
      <c r="H4051" s="15" t="s">
        <v>83</v>
      </c>
      <c r="I4051" s="20" t="s">
        <v>19</v>
      </c>
      <c r="J4051" s="21">
        <v>611072.0</v>
      </c>
      <c r="K4051" s="21">
        <v>4.0</v>
      </c>
    </row>
    <row r="4052">
      <c r="A4052" s="15" t="s">
        <v>74</v>
      </c>
      <c r="B4052" s="16" t="s">
        <v>187</v>
      </c>
      <c r="C4052" s="17" t="s">
        <v>188</v>
      </c>
      <c r="D4052" s="18">
        <v>5.0</v>
      </c>
      <c r="E4052" s="17" t="s">
        <v>207</v>
      </c>
      <c r="F4052" s="15" t="s">
        <v>208</v>
      </c>
      <c r="G4052" s="19">
        <v>9.0043001E7</v>
      </c>
      <c r="H4052" s="15" t="s">
        <v>18</v>
      </c>
      <c r="I4052" s="20" t="s">
        <v>19</v>
      </c>
      <c r="J4052" s="21">
        <v>8942357.0</v>
      </c>
      <c r="K4052" s="21">
        <v>51.0</v>
      </c>
    </row>
    <row r="4053">
      <c r="A4053" s="15" t="s">
        <v>74</v>
      </c>
      <c r="B4053" s="16" t="s">
        <v>187</v>
      </c>
      <c r="C4053" s="17" t="s">
        <v>188</v>
      </c>
      <c r="D4053" s="18">
        <v>5.0</v>
      </c>
      <c r="E4053" s="17" t="s">
        <v>175</v>
      </c>
      <c r="F4053" s="15" t="s">
        <v>176</v>
      </c>
      <c r="G4053" s="19">
        <v>5.1100651E7</v>
      </c>
      <c r="H4053" s="15" t="s">
        <v>38</v>
      </c>
      <c r="I4053" s="20" t="s">
        <v>25</v>
      </c>
      <c r="J4053" s="21">
        <v>0.0</v>
      </c>
      <c r="K4053" s="21">
        <v>0.0</v>
      </c>
    </row>
    <row r="4054">
      <c r="A4054" s="15" t="s">
        <v>74</v>
      </c>
      <c r="B4054" s="16" t="s">
        <v>187</v>
      </c>
      <c r="C4054" s="17" t="s">
        <v>188</v>
      </c>
      <c r="D4054" s="18">
        <v>5.0</v>
      </c>
      <c r="E4054" s="17" t="s">
        <v>175</v>
      </c>
      <c r="F4054" s="15" t="s">
        <v>176</v>
      </c>
      <c r="G4054" s="19">
        <v>5.1100651E7</v>
      </c>
      <c r="H4054" s="15" t="s">
        <v>38</v>
      </c>
      <c r="I4054" s="20" t="s">
        <v>17</v>
      </c>
      <c r="J4054" s="21">
        <v>2.3192444E7</v>
      </c>
      <c r="K4054" s="21">
        <v>299178.01</v>
      </c>
    </row>
    <row r="4055">
      <c r="A4055" s="15" t="s">
        <v>74</v>
      </c>
      <c r="B4055" s="16" t="s">
        <v>187</v>
      </c>
      <c r="C4055" s="17" t="s">
        <v>188</v>
      </c>
      <c r="D4055" s="18">
        <v>5.0</v>
      </c>
      <c r="E4055" s="17" t="s">
        <v>175</v>
      </c>
      <c r="F4055" s="15" t="s">
        <v>176</v>
      </c>
      <c r="G4055" s="19">
        <v>9.0043001E7</v>
      </c>
      <c r="H4055" s="15" t="s">
        <v>18</v>
      </c>
      <c r="I4055" s="20" t="s">
        <v>19</v>
      </c>
      <c r="J4055" s="21">
        <v>1195901.0</v>
      </c>
      <c r="K4055" s="21">
        <v>7.0</v>
      </c>
    </row>
    <row r="4056">
      <c r="A4056" s="15" t="s">
        <v>74</v>
      </c>
      <c r="B4056" s="16" t="s">
        <v>187</v>
      </c>
      <c r="C4056" s="17" t="s">
        <v>188</v>
      </c>
      <c r="D4056" s="18">
        <v>5.0</v>
      </c>
      <c r="E4056" s="17" t="s">
        <v>175</v>
      </c>
      <c r="F4056" s="15" t="s">
        <v>176</v>
      </c>
      <c r="G4056" s="19">
        <v>9.0043002E7</v>
      </c>
      <c r="H4056" s="15" t="s">
        <v>49</v>
      </c>
      <c r="I4056" s="20" t="s">
        <v>50</v>
      </c>
      <c r="J4056" s="21">
        <v>1576510.0</v>
      </c>
      <c r="K4056" s="21">
        <v>69.0</v>
      </c>
    </row>
    <row r="4057">
      <c r="A4057" s="15" t="s">
        <v>74</v>
      </c>
      <c r="B4057" s="16" t="s">
        <v>187</v>
      </c>
      <c r="C4057" s="17" t="s">
        <v>188</v>
      </c>
      <c r="D4057" s="18">
        <v>5.0</v>
      </c>
      <c r="E4057" s="17" t="s">
        <v>175</v>
      </c>
      <c r="F4057" s="15" t="s">
        <v>176</v>
      </c>
      <c r="G4057" s="19">
        <v>9.0043003E7</v>
      </c>
      <c r="H4057" s="15" t="s">
        <v>90</v>
      </c>
      <c r="I4057" s="20" t="s">
        <v>50</v>
      </c>
      <c r="J4057" s="21">
        <v>8915339.0</v>
      </c>
      <c r="K4057" s="21">
        <v>109.0</v>
      </c>
    </row>
    <row r="4058">
      <c r="A4058" s="15" t="s">
        <v>74</v>
      </c>
      <c r="B4058" s="16" t="s">
        <v>187</v>
      </c>
      <c r="C4058" s="17" t="s">
        <v>188</v>
      </c>
      <c r="D4058" s="18">
        <v>5.0</v>
      </c>
      <c r="E4058" s="17" t="s">
        <v>115</v>
      </c>
      <c r="F4058" s="15" t="s">
        <v>116</v>
      </c>
      <c r="G4058" s="19">
        <v>9.0043002E7</v>
      </c>
      <c r="H4058" s="15" t="s">
        <v>49</v>
      </c>
      <c r="I4058" s="20" t="s">
        <v>50</v>
      </c>
      <c r="J4058" s="21">
        <v>1626732.0</v>
      </c>
      <c r="K4058" s="21">
        <v>140.0</v>
      </c>
    </row>
    <row r="4059">
      <c r="A4059" s="15" t="s">
        <v>74</v>
      </c>
      <c r="B4059" s="16" t="s">
        <v>187</v>
      </c>
      <c r="C4059" s="17" t="s">
        <v>188</v>
      </c>
      <c r="D4059" s="18">
        <v>5.0</v>
      </c>
      <c r="E4059" s="17" t="s">
        <v>115</v>
      </c>
      <c r="F4059" s="15" t="s">
        <v>116</v>
      </c>
      <c r="G4059" s="19">
        <v>5.1100774E7</v>
      </c>
      <c r="H4059" s="15" t="s">
        <v>39</v>
      </c>
      <c r="I4059" s="20" t="s">
        <v>25</v>
      </c>
      <c r="J4059" s="21">
        <v>-1.0</v>
      </c>
      <c r="K4059" s="21">
        <v>0.0</v>
      </c>
    </row>
    <row r="4060">
      <c r="A4060" s="15" t="s">
        <v>74</v>
      </c>
      <c r="B4060" s="16" t="s">
        <v>187</v>
      </c>
      <c r="C4060" s="17" t="s">
        <v>188</v>
      </c>
      <c r="D4060" s="18">
        <v>5.0</v>
      </c>
      <c r="E4060" s="17" t="s">
        <v>115</v>
      </c>
      <c r="F4060" s="15" t="s">
        <v>116</v>
      </c>
      <c r="G4060" s="19">
        <v>5.1100774E7</v>
      </c>
      <c r="H4060" s="15" t="s">
        <v>39</v>
      </c>
      <c r="I4060" s="20" t="s">
        <v>17</v>
      </c>
      <c r="J4060" s="21">
        <v>2.0571282E7</v>
      </c>
      <c r="K4060" s="21">
        <v>268940.0</v>
      </c>
    </row>
    <row r="4061">
      <c r="A4061" s="15" t="s">
        <v>74</v>
      </c>
      <c r="B4061" s="16" t="s">
        <v>187</v>
      </c>
      <c r="C4061" s="17" t="s">
        <v>188</v>
      </c>
      <c r="D4061" s="18">
        <v>5.0</v>
      </c>
      <c r="E4061" s="17" t="s">
        <v>117</v>
      </c>
      <c r="F4061" s="15" t="s">
        <v>118</v>
      </c>
      <c r="G4061" s="19">
        <v>5.1100058E7</v>
      </c>
      <c r="H4061" s="15" t="s">
        <v>36</v>
      </c>
      <c r="I4061" s="20" t="s">
        <v>37</v>
      </c>
      <c r="J4061" s="21">
        <v>6.503135524E9</v>
      </c>
      <c r="K4061" s="21">
        <v>835341.75</v>
      </c>
    </row>
    <row r="4062">
      <c r="A4062" s="15" t="s">
        <v>74</v>
      </c>
      <c r="B4062" s="16" t="s">
        <v>187</v>
      </c>
      <c r="C4062" s="17" t="s">
        <v>188</v>
      </c>
      <c r="D4062" s="18">
        <v>5.0</v>
      </c>
      <c r="E4062" s="17" t="s">
        <v>117</v>
      </c>
      <c r="F4062" s="15" t="s">
        <v>118</v>
      </c>
      <c r="G4062" s="19">
        <v>5.1100651E7</v>
      </c>
      <c r="H4062" s="15" t="s">
        <v>38</v>
      </c>
      <c r="I4062" s="20" t="s">
        <v>17</v>
      </c>
      <c r="J4062" s="21">
        <v>7.7243827E7</v>
      </c>
      <c r="K4062" s="21">
        <v>712.08</v>
      </c>
    </row>
    <row r="4063">
      <c r="A4063" s="15" t="s">
        <v>74</v>
      </c>
      <c r="B4063" s="16" t="s">
        <v>187</v>
      </c>
      <c r="C4063" s="17" t="s">
        <v>188</v>
      </c>
      <c r="D4063" s="18">
        <v>5.0</v>
      </c>
      <c r="E4063" s="17" t="s">
        <v>117</v>
      </c>
      <c r="F4063" s="15" t="s">
        <v>118</v>
      </c>
      <c r="G4063" s="19">
        <v>9.0043001E7</v>
      </c>
      <c r="H4063" s="15" t="s">
        <v>18</v>
      </c>
      <c r="I4063" s="20" t="s">
        <v>19</v>
      </c>
      <c r="J4063" s="21">
        <v>3315700.0</v>
      </c>
      <c r="K4063" s="21">
        <v>14.0</v>
      </c>
    </row>
    <row r="4064">
      <c r="A4064" s="15" t="s">
        <v>74</v>
      </c>
      <c r="B4064" s="16" t="s">
        <v>187</v>
      </c>
      <c r="C4064" s="17" t="s">
        <v>188</v>
      </c>
      <c r="D4064" s="18">
        <v>5.0</v>
      </c>
      <c r="E4064" s="17" t="s">
        <v>263</v>
      </c>
      <c r="F4064" s="15" t="s">
        <v>264</v>
      </c>
      <c r="G4064" s="19">
        <v>9.0043001E7</v>
      </c>
      <c r="H4064" s="15" t="s">
        <v>18</v>
      </c>
      <c r="I4064" s="20" t="s">
        <v>19</v>
      </c>
      <c r="J4064" s="21">
        <v>4084652.0</v>
      </c>
      <c r="K4064" s="21">
        <v>26.0</v>
      </c>
    </row>
    <row r="4065">
      <c r="A4065" s="15" t="s">
        <v>74</v>
      </c>
      <c r="B4065" s="16" t="s">
        <v>187</v>
      </c>
      <c r="C4065" s="17" t="s">
        <v>188</v>
      </c>
      <c r="D4065" s="18">
        <v>5.0</v>
      </c>
      <c r="E4065" s="17" t="s">
        <v>119</v>
      </c>
      <c r="F4065" s="15" t="s">
        <v>120</v>
      </c>
      <c r="G4065" s="19">
        <v>9.0043001E7</v>
      </c>
      <c r="H4065" s="15" t="s">
        <v>18</v>
      </c>
      <c r="I4065" s="20" t="s">
        <v>19</v>
      </c>
      <c r="J4065" s="21">
        <v>455739.0</v>
      </c>
      <c r="K4065" s="21">
        <v>3.0</v>
      </c>
    </row>
    <row r="4066">
      <c r="A4066" s="15" t="s">
        <v>74</v>
      </c>
      <c r="B4066" s="16" t="s">
        <v>187</v>
      </c>
      <c r="C4066" s="17" t="s">
        <v>188</v>
      </c>
      <c r="D4066" s="18">
        <v>5.0</v>
      </c>
      <c r="E4066" s="17" t="s">
        <v>121</v>
      </c>
      <c r="F4066" s="15" t="s">
        <v>122</v>
      </c>
      <c r="G4066" s="19">
        <v>9.0043002E7</v>
      </c>
      <c r="H4066" s="15" t="s">
        <v>49</v>
      </c>
      <c r="I4066" s="20" t="s">
        <v>50</v>
      </c>
      <c r="J4066" s="21">
        <v>666461.0</v>
      </c>
      <c r="K4066" s="21">
        <v>24.0</v>
      </c>
    </row>
    <row r="4067">
      <c r="A4067" s="15" t="s">
        <v>74</v>
      </c>
      <c r="B4067" s="16" t="s">
        <v>187</v>
      </c>
      <c r="C4067" s="17" t="s">
        <v>188</v>
      </c>
      <c r="D4067" s="18">
        <v>5.0</v>
      </c>
      <c r="E4067" s="17" t="s">
        <v>123</v>
      </c>
      <c r="F4067" s="15" t="s">
        <v>124</v>
      </c>
      <c r="G4067" s="19">
        <v>9.0043001E7</v>
      </c>
      <c r="H4067" s="15" t="s">
        <v>18</v>
      </c>
      <c r="I4067" s="20" t="s">
        <v>19</v>
      </c>
      <c r="J4067" s="21">
        <v>1.0916046E7</v>
      </c>
      <c r="K4067" s="21">
        <v>66.0</v>
      </c>
    </row>
    <row r="4068">
      <c r="A4068" s="15" t="s">
        <v>74</v>
      </c>
      <c r="B4068" s="16" t="s">
        <v>187</v>
      </c>
      <c r="C4068" s="17" t="s">
        <v>188</v>
      </c>
      <c r="D4068" s="18">
        <v>5.0</v>
      </c>
      <c r="E4068" s="17" t="s">
        <v>125</v>
      </c>
      <c r="F4068" s="15" t="s">
        <v>126</v>
      </c>
      <c r="G4068" s="19">
        <v>9.0043001E7</v>
      </c>
      <c r="H4068" s="15" t="s">
        <v>18</v>
      </c>
      <c r="I4068" s="20" t="s">
        <v>19</v>
      </c>
      <c r="J4068" s="21">
        <v>3.93965254E8</v>
      </c>
      <c r="K4068" s="21">
        <v>2407.0</v>
      </c>
    </row>
    <row r="4069">
      <c r="A4069" s="15" t="s">
        <v>74</v>
      </c>
      <c r="B4069" s="16" t="s">
        <v>187</v>
      </c>
      <c r="C4069" s="17" t="s">
        <v>188</v>
      </c>
      <c r="D4069" s="18">
        <v>5.0</v>
      </c>
      <c r="E4069" s="17" t="s">
        <v>127</v>
      </c>
      <c r="F4069" s="15" t="s">
        <v>128</v>
      </c>
      <c r="G4069" s="19">
        <v>5.1100153E7</v>
      </c>
      <c r="H4069" s="15" t="s">
        <v>72</v>
      </c>
      <c r="I4069" s="20" t="s">
        <v>17</v>
      </c>
      <c r="J4069" s="21">
        <v>6.17700691E8</v>
      </c>
      <c r="K4069" s="21">
        <v>2842260.0</v>
      </c>
    </row>
    <row r="4070">
      <c r="A4070" s="15" t="s">
        <v>74</v>
      </c>
      <c r="B4070" s="16" t="s">
        <v>187</v>
      </c>
      <c r="C4070" s="17" t="s">
        <v>188</v>
      </c>
      <c r="D4070" s="18">
        <v>5.0</v>
      </c>
      <c r="E4070" s="17" t="s">
        <v>127</v>
      </c>
      <c r="F4070" s="15" t="s">
        <v>128</v>
      </c>
      <c r="G4070" s="19">
        <v>9.0043002E7</v>
      </c>
      <c r="H4070" s="15" t="s">
        <v>49</v>
      </c>
      <c r="I4070" s="20" t="s">
        <v>50</v>
      </c>
      <c r="J4070" s="21">
        <v>1.9782564E7</v>
      </c>
      <c r="K4070" s="21">
        <v>1663.0</v>
      </c>
    </row>
    <row r="4071">
      <c r="A4071" s="15" t="s">
        <v>74</v>
      </c>
      <c r="B4071" s="16" t="s">
        <v>187</v>
      </c>
      <c r="C4071" s="17" t="s">
        <v>188</v>
      </c>
      <c r="D4071" s="18">
        <v>5.0</v>
      </c>
      <c r="E4071" s="17" t="s">
        <v>129</v>
      </c>
      <c r="F4071" s="15" t="s">
        <v>130</v>
      </c>
      <c r="G4071" s="19">
        <v>9.0043002E7</v>
      </c>
      <c r="H4071" s="15" t="s">
        <v>49</v>
      </c>
      <c r="I4071" s="20" t="s">
        <v>50</v>
      </c>
      <c r="J4071" s="21">
        <v>2.1204191E7</v>
      </c>
      <c r="K4071" s="21">
        <v>326.0</v>
      </c>
    </row>
    <row r="4072">
      <c r="A4072" s="15" t="s">
        <v>74</v>
      </c>
      <c r="B4072" s="16" t="s">
        <v>187</v>
      </c>
      <c r="C4072" s="17" t="s">
        <v>188</v>
      </c>
      <c r="D4072" s="18">
        <v>5.0</v>
      </c>
      <c r="E4072" s="17" t="s">
        <v>129</v>
      </c>
      <c r="F4072" s="15" t="s">
        <v>130</v>
      </c>
      <c r="G4072" s="19">
        <v>9.0043003E7</v>
      </c>
      <c r="H4072" s="15" t="s">
        <v>90</v>
      </c>
      <c r="I4072" s="20" t="s">
        <v>50</v>
      </c>
      <c r="J4072" s="21">
        <v>6.4918006E7</v>
      </c>
      <c r="K4072" s="21">
        <v>621.5</v>
      </c>
    </row>
    <row r="4073">
      <c r="A4073" s="15" t="s">
        <v>74</v>
      </c>
      <c r="B4073" s="16" t="s">
        <v>187</v>
      </c>
      <c r="C4073" s="17" t="s">
        <v>188</v>
      </c>
      <c r="D4073" s="18">
        <v>5.0</v>
      </c>
      <c r="E4073" s="17" t="s">
        <v>131</v>
      </c>
      <c r="F4073" s="15" t="s">
        <v>132</v>
      </c>
      <c r="G4073" s="19">
        <v>5.1101056E7</v>
      </c>
      <c r="H4073" s="15" t="s">
        <v>16</v>
      </c>
      <c r="I4073" s="20" t="s">
        <v>17</v>
      </c>
      <c r="J4073" s="21">
        <v>3.36645E7</v>
      </c>
      <c r="K4073" s="21">
        <v>336645.0</v>
      </c>
    </row>
    <row r="4074">
      <c r="A4074" s="15" t="s">
        <v>74</v>
      </c>
      <c r="B4074" s="16" t="s">
        <v>187</v>
      </c>
      <c r="C4074" s="17" t="s">
        <v>188</v>
      </c>
      <c r="D4074" s="18">
        <v>5.0</v>
      </c>
      <c r="E4074" s="17" t="s">
        <v>131</v>
      </c>
      <c r="F4074" s="15" t="s">
        <v>132</v>
      </c>
      <c r="G4074" s="19">
        <v>9.0043001E7</v>
      </c>
      <c r="H4074" s="15" t="s">
        <v>18</v>
      </c>
      <c r="I4074" s="20" t="s">
        <v>19</v>
      </c>
      <c r="J4074" s="21">
        <v>683372.0</v>
      </c>
      <c r="K4074" s="21">
        <v>4.0</v>
      </c>
    </row>
    <row r="4075">
      <c r="A4075" s="15" t="s">
        <v>74</v>
      </c>
      <c r="B4075" s="16" t="s">
        <v>187</v>
      </c>
      <c r="C4075" s="17" t="s">
        <v>188</v>
      </c>
      <c r="D4075" s="18">
        <v>5.0</v>
      </c>
      <c r="E4075" s="17" t="s">
        <v>193</v>
      </c>
      <c r="F4075" s="15" t="s">
        <v>194</v>
      </c>
      <c r="G4075" s="19">
        <v>9.0043001E7</v>
      </c>
      <c r="H4075" s="15" t="s">
        <v>18</v>
      </c>
      <c r="I4075" s="20" t="s">
        <v>19</v>
      </c>
      <c r="J4075" s="21">
        <v>1.4807513E7</v>
      </c>
      <c r="K4075" s="21">
        <v>64.0</v>
      </c>
    </row>
    <row r="4076">
      <c r="A4076" s="15" t="s">
        <v>74</v>
      </c>
      <c r="B4076" s="16" t="s">
        <v>187</v>
      </c>
      <c r="C4076" s="17" t="s">
        <v>188</v>
      </c>
      <c r="D4076" s="18">
        <v>5.0</v>
      </c>
      <c r="E4076" s="17" t="s">
        <v>193</v>
      </c>
      <c r="F4076" s="15" t="s">
        <v>194</v>
      </c>
      <c r="G4076" s="19">
        <v>9.0043E7</v>
      </c>
      <c r="H4076" s="15" t="s">
        <v>83</v>
      </c>
      <c r="I4076" s="20" t="s">
        <v>19</v>
      </c>
      <c r="J4076" s="21">
        <v>4485859.0</v>
      </c>
      <c r="K4076" s="21">
        <v>26.0</v>
      </c>
    </row>
    <row r="4077">
      <c r="A4077" s="15" t="s">
        <v>74</v>
      </c>
      <c r="B4077" s="16" t="s">
        <v>187</v>
      </c>
      <c r="C4077" s="17" t="s">
        <v>188</v>
      </c>
      <c r="D4077" s="18">
        <v>5.0</v>
      </c>
      <c r="E4077" s="17" t="s">
        <v>162</v>
      </c>
      <c r="F4077" s="15" t="s">
        <v>163</v>
      </c>
      <c r="G4077" s="19">
        <v>9.0043001E7</v>
      </c>
      <c r="H4077" s="15" t="s">
        <v>18</v>
      </c>
      <c r="I4077" s="20" t="s">
        <v>19</v>
      </c>
      <c r="J4077" s="21">
        <v>1.3737331E7</v>
      </c>
      <c r="K4077" s="21">
        <v>64.0</v>
      </c>
    </row>
    <row r="4078">
      <c r="A4078" s="15" t="s">
        <v>74</v>
      </c>
      <c r="B4078" s="16" t="s">
        <v>187</v>
      </c>
      <c r="C4078" s="17" t="s">
        <v>188</v>
      </c>
      <c r="D4078" s="18">
        <v>5.0</v>
      </c>
      <c r="E4078" s="17" t="s">
        <v>195</v>
      </c>
      <c r="F4078" s="15" t="s">
        <v>196</v>
      </c>
      <c r="G4078" s="19">
        <v>9.0043001E7</v>
      </c>
      <c r="H4078" s="15" t="s">
        <v>18</v>
      </c>
      <c r="I4078" s="20" t="s">
        <v>19</v>
      </c>
      <c r="J4078" s="21">
        <v>160299.0</v>
      </c>
      <c r="K4078" s="21">
        <v>1.0</v>
      </c>
    </row>
    <row r="4079">
      <c r="A4079" s="15" t="s">
        <v>74</v>
      </c>
      <c r="B4079" s="16" t="s">
        <v>187</v>
      </c>
      <c r="C4079" s="17" t="s">
        <v>188</v>
      </c>
      <c r="D4079" s="18">
        <v>5.0</v>
      </c>
      <c r="E4079" s="17" t="s">
        <v>54</v>
      </c>
      <c r="F4079" s="15" t="s">
        <v>139</v>
      </c>
      <c r="G4079" s="19">
        <v>9.0042011E7</v>
      </c>
      <c r="H4079" s="15" t="s">
        <v>55</v>
      </c>
      <c r="I4079" s="20" t="s">
        <v>19</v>
      </c>
      <c r="J4079" s="21">
        <v>3.69495671E8</v>
      </c>
      <c r="K4079" s="21">
        <v>0.0</v>
      </c>
    </row>
    <row r="4080">
      <c r="A4080" s="15" t="s">
        <v>74</v>
      </c>
      <c r="B4080" s="16" t="s">
        <v>187</v>
      </c>
      <c r="C4080" s="17" t="s">
        <v>188</v>
      </c>
      <c r="D4080" s="18">
        <v>5.0</v>
      </c>
      <c r="E4080" s="17" t="s">
        <v>164</v>
      </c>
      <c r="F4080" s="15" t="s">
        <v>165</v>
      </c>
      <c r="G4080" s="19">
        <v>9.0042079E7</v>
      </c>
      <c r="H4080" s="15" t="s">
        <v>166</v>
      </c>
      <c r="I4080" s="20" t="s">
        <v>19</v>
      </c>
      <c r="J4080" s="21">
        <v>2.0054333E7</v>
      </c>
      <c r="K4080" s="21">
        <v>0.0</v>
      </c>
    </row>
    <row r="4081">
      <c r="A4081" s="15" t="s">
        <v>74</v>
      </c>
      <c r="B4081" s="16" t="s">
        <v>187</v>
      </c>
      <c r="C4081" s="17" t="s">
        <v>188</v>
      </c>
      <c r="D4081" s="18">
        <v>5.0</v>
      </c>
      <c r="E4081" s="17" t="s">
        <v>20</v>
      </c>
      <c r="F4081" s="15" t="s">
        <v>140</v>
      </c>
      <c r="G4081" s="19">
        <v>9.0042014E7</v>
      </c>
      <c r="H4081" s="15" t="s">
        <v>21</v>
      </c>
      <c r="I4081" s="20" t="s">
        <v>19</v>
      </c>
      <c r="J4081" s="21">
        <v>3.83206225E8</v>
      </c>
      <c r="K4081" s="21">
        <v>0.0</v>
      </c>
    </row>
    <row r="4082">
      <c r="A4082" s="15" t="s">
        <v>74</v>
      </c>
      <c r="B4082" s="16" t="s">
        <v>187</v>
      </c>
      <c r="C4082" s="17" t="s">
        <v>188</v>
      </c>
      <c r="D4082" s="18">
        <v>5.0</v>
      </c>
      <c r="E4082" s="17" t="s">
        <v>20</v>
      </c>
      <c r="F4082" s="15" t="s">
        <v>140</v>
      </c>
      <c r="G4082" s="19">
        <v>9.0042077E7</v>
      </c>
      <c r="H4082" s="15" t="s">
        <v>141</v>
      </c>
      <c r="I4082" s="20" t="s">
        <v>19</v>
      </c>
      <c r="J4082" s="21">
        <v>3.29123294E8</v>
      </c>
      <c r="K4082" s="21">
        <v>0.0</v>
      </c>
    </row>
    <row r="4083">
      <c r="A4083" s="15" t="s">
        <v>74</v>
      </c>
      <c r="B4083" s="16" t="s">
        <v>187</v>
      </c>
      <c r="C4083" s="17" t="s">
        <v>188</v>
      </c>
      <c r="D4083" s="18">
        <v>5.0</v>
      </c>
      <c r="E4083" s="17" t="s">
        <v>142</v>
      </c>
      <c r="F4083" s="15" t="s">
        <v>143</v>
      </c>
      <c r="G4083" s="19">
        <v>9.0042084E7</v>
      </c>
      <c r="H4083" s="15" t="s">
        <v>145</v>
      </c>
      <c r="I4083" s="20" t="s">
        <v>19</v>
      </c>
      <c r="J4083" s="21">
        <v>1.4577335E7</v>
      </c>
      <c r="K4083" s="21">
        <v>0.0</v>
      </c>
    </row>
    <row r="4084">
      <c r="A4084" s="15" t="s">
        <v>74</v>
      </c>
      <c r="B4084" s="16" t="s">
        <v>187</v>
      </c>
      <c r="C4084" s="17" t="s">
        <v>188</v>
      </c>
      <c r="D4084" s="18">
        <v>5.0</v>
      </c>
      <c r="E4084" s="17" t="s">
        <v>22</v>
      </c>
      <c r="F4084" s="15" t="s">
        <v>146</v>
      </c>
      <c r="G4084" s="19">
        <v>9.0042012E7</v>
      </c>
      <c r="H4084" s="15" t="s">
        <v>23</v>
      </c>
      <c r="I4084" s="20" t="s">
        <v>19</v>
      </c>
      <c r="J4084" s="21">
        <v>1.16212664E8</v>
      </c>
      <c r="K4084" s="21">
        <v>0.0</v>
      </c>
    </row>
    <row r="4085">
      <c r="A4085" s="15" t="s">
        <v>74</v>
      </c>
      <c r="B4085" s="16" t="s">
        <v>187</v>
      </c>
      <c r="C4085" s="17" t="s">
        <v>188</v>
      </c>
      <c r="D4085" s="18">
        <v>5.0</v>
      </c>
      <c r="E4085" s="17" t="s">
        <v>22</v>
      </c>
      <c r="F4085" s="15" t="s">
        <v>146</v>
      </c>
      <c r="G4085" s="19">
        <v>9.0042121E7</v>
      </c>
      <c r="H4085" s="15" t="s">
        <v>24</v>
      </c>
      <c r="I4085" s="20" t="s">
        <v>25</v>
      </c>
      <c r="J4085" s="21">
        <v>1.58428038E8</v>
      </c>
      <c r="K4085" s="21">
        <v>0.0</v>
      </c>
    </row>
    <row r="4086">
      <c r="A4086" s="15" t="s">
        <v>74</v>
      </c>
      <c r="B4086" s="16" t="s">
        <v>187</v>
      </c>
      <c r="C4086" s="17" t="s">
        <v>188</v>
      </c>
      <c r="D4086" s="18">
        <v>5.0</v>
      </c>
      <c r="E4086" s="17" t="s">
        <v>22</v>
      </c>
      <c r="F4086" s="15" t="s">
        <v>146</v>
      </c>
      <c r="G4086" s="19">
        <v>9.0042122E7</v>
      </c>
      <c r="H4086" s="15" t="s">
        <v>56</v>
      </c>
      <c r="I4086" s="20" t="s">
        <v>25</v>
      </c>
      <c r="J4086" s="21">
        <v>1.0607112E7</v>
      </c>
      <c r="K4086" s="21">
        <v>0.0</v>
      </c>
    </row>
    <row r="4087">
      <c r="A4087" s="15" t="s">
        <v>74</v>
      </c>
      <c r="B4087" s="16" t="s">
        <v>187</v>
      </c>
      <c r="C4087" s="17" t="s">
        <v>188</v>
      </c>
      <c r="D4087" s="18">
        <v>5.0</v>
      </c>
      <c r="E4087" s="17" t="s">
        <v>22</v>
      </c>
      <c r="F4087" s="15" t="s">
        <v>146</v>
      </c>
      <c r="G4087" s="19">
        <v>9.0042124E7</v>
      </c>
      <c r="H4087" s="15" t="s">
        <v>57</v>
      </c>
      <c r="I4087" s="20" t="s">
        <v>25</v>
      </c>
      <c r="J4087" s="21">
        <v>-7.1198834E7</v>
      </c>
      <c r="K4087" s="21">
        <v>0.0</v>
      </c>
    </row>
    <row r="4088">
      <c r="A4088" s="15" t="s">
        <v>74</v>
      </c>
      <c r="B4088" s="16" t="s">
        <v>187</v>
      </c>
      <c r="C4088" s="17" t="s">
        <v>188</v>
      </c>
      <c r="D4088" s="18">
        <v>5.0</v>
      </c>
      <c r="E4088" s="17" t="s">
        <v>22</v>
      </c>
      <c r="F4088" s="15" t="s">
        <v>146</v>
      </c>
      <c r="G4088" s="19">
        <v>9.0042125E7</v>
      </c>
      <c r="H4088" s="15" t="s">
        <v>26</v>
      </c>
      <c r="I4088" s="20" t="s">
        <v>25</v>
      </c>
      <c r="J4088" s="21">
        <v>3.5405938E7</v>
      </c>
      <c r="K4088" s="21">
        <v>0.0</v>
      </c>
    </row>
    <row r="4089">
      <c r="A4089" s="15" t="s">
        <v>74</v>
      </c>
      <c r="B4089" s="16" t="s">
        <v>187</v>
      </c>
      <c r="C4089" s="17" t="s">
        <v>188</v>
      </c>
      <c r="D4089" s="18">
        <v>5.0</v>
      </c>
      <c r="E4089" s="17" t="s">
        <v>22</v>
      </c>
      <c r="F4089" s="15" t="s">
        <v>146</v>
      </c>
      <c r="G4089" s="19">
        <v>9.0042127E7</v>
      </c>
      <c r="H4089" s="15" t="s">
        <v>27</v>
      </c>
      <c r="I4089" s="20" t="s">
        <v>25</v>
      </c>
      <c r="J4089" s="21">
        <v>2.0848888E7</v>
      </c>
      <c r="K4089" s="21">
        <v>0.0</v>
      </c>
    </row>
    <row r="4090">
      <c r="A4090" s="15" t="s">
        <v>74</v>
      </c>
      <c r="B4090" s="16" t="s">
        <v>187</v>
      </c>
      <c r="C4090" s="17" t="s">
        <v>188</v>
      </c>
      <c r="D4090" s="18">
        <v>5.0</v>
      </c>
      <c r="E4090" s="17" t="s">
        <v>22</v>
      </c>
      <c r="F4090" s="15" t="s">
        <v>146</v>
      </c>
      <c r="G4090" s="19">
        <v>9.0042128E7</v>
      </c>
      <c r="H4090" s="15" t="s">
        <v>58</v>
      </c>
      <c r="I4090" s="20" t="s">
        <v>25</v>
      </c>
      <c r="J4090" s="21">
        <v>1.343245E7</v>
      </c>
      <c r="K4090" s="21">
        <v>0.0</v>
      </c>
    </row>
    <row r="4091">
      <c r="A4091" s="15" t="s">
        <v>74</v>
      </c>
      <c r="B4091" s="16" t="s">
        <v>187</v>
      </c>
      <c r="C4091" s="17" t="s">
        <v>188</v>
      </c>
      <c r="D4091" s="18">
        <v>5.0</v>
      </c>
      <c r="E4091" s="17" t="s">
        <v>22</v>
      </c>
      <c r="F4091" s="15" t="s">
        <v>146</v>
      </c>
      <c r="G4091" s="19">
        <v>9.0042132E7</v>
      </c>
      <c r="H4091" s="15" t="s">
        <v>28</v>
      </c>
      <c r="I4091" s="20" t="s">
        <v>25</v>
      </c>
      <c r="J4091" s="21">
        <v>9695634.0</v>
      </c>
      <c r="K4091" s="21">
        <v>0.0</v>
      </c>
    </row>
    <row r="4092">
      <c r="A4092" s="15" t="s">
        <v>74</v>
      </c>
      <c r="B4092" s="16" t="s">
        <v>187</v>
      </c>
      <c r="C4092" s="17" t="s">
        <v>188</v>
      </c>
      <c r="D4092" s="18">
        <v>5.0</v>
      </c>
      <c r="E4092" s="17" t="s">
        <v>22</v>
      </c>
      <c r="F4092" s="15" t="s">
        <v>146</v>
      </c>
      <c r="G4092" s="19">
        <v>9.0042134E7</v>
      </c>
      <c r="H4092" s="15" t="s">
        <v>29</v>
      </c>
      <c r="I4092" s="20" t="s">
        <v>25</v>
      </c>
      <c r="J4092" s="21">
        <v>5780000.0</v>
      </c>
      <c r="K4092" s="21">
        <v>0.0</v>
      </c>
    </row>
    <row r="4093">
      <c r="A4093" s="15" t="s">
        <v>74</v>
      </c>
      <c r="B4093" s="16" t="s">
        <v>187</v>
      </c>
      <c r="C4093" s="17" t="s">
        <v>188</v>
      </c>
      <c r="D4093" s="18">
        <v>5.0</v>
      </c>
      <c r="E4093" s="17" t="s">
        <v>22</v>
      </c>
      <c r="F4093" s="15" t="s">
        <v>146</v>
      </c>
      <c r="G4093" s="19">
        <v>9.0042135E7</v>
      </c>
      <c r="H4093" s="15" t="s">
        <v>30</v>
      </c>
      <c r="I4093" s="20" t="s">
        <v>25</v>
      </c>
      <c r="J4093" s="21">
        <v>2.68148137E8</v>
      </c>
      <c r="K4093" s="21">
        <v>0.0</v>
      </c>
    </row>
    <row r="4094">
      <c r="A4094" s="15" t="s">
        <v>74</v>
      </c>
      <c r="B4094" s="16" t="s">
        <v>187</v>
      </c>
      <c r="C4094" s="17" t="s">
        <v>188</v>
      </c>
      <c r="D4094" s="18">
        <v>5.0</v>
      </c>
      <c r="E4094" s="17" t="s">
        <v>22</v>
      </c>
      <c r="F4094" s="15" t="s">
        <v>146</v>
      </c>
      <c r="G4094" s="19">
        <v>9.00422E7</v>
      </c>
      <c r="H4094" s="15" t="s">
        <v>73</v>
      </c>
      <c r="I4094" s="20" t="s">
        <v>60</v>
      </c>
      <c r="J4094" s="21">
        <v>5.83050028E8</v>
      </c>
      <c r="K4094" s="21">
        <v>0.0</v>
      </c>
    </row>
    <row r="4095">
      <c r="A4095" s="15" t="s">
        <v>74</v>
      </c>
      <c r="B4095" s="16" t="s">
        <v>187</v>
      </c>
      <c r="C4095" s="17" t="s">
        <v>188</v>
      </c>
      <c r="D4095" s="18">
        <v>5.0</v>
      </c>
      <c r="E4095" s="17" t="s">
        <v>22</v>
      </c>
      <c r="F4095" s="15" t="s">
        <v>146</v>
      </c>
      <c r="G4095" s="19">
        <v>9.0042223E7</v>
      </c>
      <c r="H4095" s="15" t="s">
        <v>61</v>
      </c>
      <c r="I4095" s="20" t="s">
        <v>60</v>
      </c>
      <c r="J4095" s="21">
        <v>1036734.0</v>
      </c>
      <c r="K4095" s="21">
        <v>0.0</v>
      </c>
    </row>
    <row r="4096">
      <c r="A4096" s="15" t="s">
        <v>74</v>
      </c>
      <c r="B4096" s="16" t="s">
        <v>187</v>
      </c>
      <c r="C4096" s="17" t="s">
        <v>188</v>
      </c>
      <c r="D4096" s="18">
        <v>5.0</v>
      </c>
      <c r="E4096" s="17" t="s">
        <v>22</v>
      </c>
      <c r="F4096" s="15" t="s">
        <v>146</v>
      </c>
      <c r="G4096" s="19">
        <v>9.0042224E7</v>
      </c>
      <c r="H4096" s="15" t="s">
        <v>62</v>
      </c>
      <c r="I4096" s="20" t="s">
        <v>60</v>
      </c>
      <c r="J4096" s="21">
        <v>4131386.0</v>
      </c>
      <c r="K4096" s="21">
        <v>0.0</v>
      </c>
    </row>
    <row r="4097">
      <c r="A4097" s="15" t="s">
        <v>74</v>
      </c>
      <c r="B4097" s="16" t="s">
        <v>187</v>
      </c>
      <c r="C4097" s="17" t="s">
        <v>188</v>
      </c>
      <c r="D4097" s="18">
        <v>5.0</v>
      </c>
      <c r="E4097" s="17" t="s">
        <v>22</v>
      </c>
      <c r="F4097" s="15" t="s">
        <v>146</v>
      </c>
      <c r="G4097" s="19">
        <v>9.0042226E7</v>
      </c>
      <c r="H4097" s="15" t="s">
        <v>63</v>
      </c>
      <c r="I4097" s="20" t="s">
        <v>60</v>
      </c>
      <c r="J4097" s="21">
        <v>1528668.0</v>
      </c>
      <c r="K4097" s="21">
        <v>0.0</v>
      </c>
    </row>
    <row r="4098">
      <c r="A4098" s="15" t="s">
        <v>74</v>
      </c>
      <c r="B4098" s="16" t="s">
        <v>187</v>
      </c>
      <c r="C4098" s="17" t="s">
        <v>188</v>
      </c>
      <c r="D4098" s="18">
        <v>5.0</v>
      </c>
      <c r="E4098" s="17" t="s">
        <v>22</v>
      </c>
      <c r="F4098" s="15" t="s">
        <v>146</v>
      </c>
      <c r="G4098" s="19">
        <v>9.0042228E7</v>
      </c>
      <c r="H4098" s="15" t="s">
        <v>64</v>
      </c>
      <c r="I4098" s="20" t="s">
        <v>60</v>
      </c>
      <c r="J4098" s="21">
        <v>1.3167963E8</v>
      </c>
      <c r="K4098" s="21">
        <v>0.0</v>
      </c>
    </row>
    <row r="4099">
      <c r="A4099" s="15" t="s">
        <v>74</v>
      </c>
      <c r="B4099" s="16" t="s">
        <v>187</v>
      </c>
      <c r="C4099" s="17" t="s">
        <v>188</v>
      </c>
      <c r="D4099" s="18">
        <v>5.0</v>
      </c>
      <c r="E4099" s="17" t="s">
        <v>22</v>
      </c>
      <c r="F4099" s="15" t="s">
        <v>146</v>
      </c>
      <c r="G4099" s="19">
        <v>9.0042231E7</v>
      </c>
      <c r="H4099" s="15" t="s">
        <v>65</v>
      </c>
      <c r="I4099" s="20" t="s">
        <v>60</v>
      </c>
      <c r="J4099" s="21">
        <v>2.5199009E7</v>
      </c>
      <c r="K4099" s="21">
        <v>0.0</v>
      </c>
    </row>
    <row r="4100">
      <c r="A4100" s="15" t="s">
        <v>74</v>
      </c>
      <c r="B4100" s="16" t="s">
        <v>187</v>
      </c>
      <c r="C4100" s="17" t="s">
        <v>188</v>
      </c>
      <c r="D4100" s="18">
        <v>5.0</v>
      </c>
      <c r="E4100" s="17" t="s">
        <v>22</v>
      </c>
      <c r="F4100" s="15" t="s">
        <v>146</v>
      </c>
      <c r="G4100" s="19">
        <v>9.0042126E7</v>
      </c>
      <c r="H4100" s="15" t="s">
        <v>31</v>
      </c>
      <c r="I4100" s="20" t="s">
        <v>25</v>
      </c>
      <c r="J4100" s="21">
        <v>1.24554107E8</v>
      </c>
      <c r="K4100" s="21">
        <v>0.0</v>
      </c>
    </row>
    <row r="4101">
      <c r="A4101" s="15" t="s">
        <v>74</v>
      </c>
      <c r="B4101" s="16" t="s">
        <v>203</v>
      </c>
      <c r="C4101" s="17" t="s">
        <v>204</v>
      </c>
      <c r="D4101" s="18">
        <v>5.0</v>
      </c>
      <c r="E4101" s="17" t="s">
        <v>81</v>
      </c>
      <c r="F4101" s="15" t="s">
        <v>82</v>
      </c>
      <c r="G4101" s="19">
        <v>9.0043001E7</v>
      </c>
      <c r="H4101" s="15" t="s">
        <v>18</v>
      </c>
      <c r="I4101" s="20" t="s">
        <v>19</v>
      </c>
      <c r="J4101" s="21">
        <v>2315697.0</v>
      </c>
      <c r="K4101" s="21">
        <v>12.4</v>
      </c>
    </row>
    <row r="4102">
      <c r="A4102" s="15" t="s">
        <v>74</v>
      </c>
      <c r="B4102" s="16" t="s">
        <v>203</v>
      </c>
      <c r="C4102" s="17" t="s">
        <v>204</v>
      </c>
      <c r="D4102" s="18">
        <v>5.0</v>
      </c>
      <c r="E4102" s="17" t="s">
        <v>81</v>
      </c>
      <c r="F4102" s="15" t="s">
        <v>82</v>
      </c>
      <c r="G4102" s="19">
        <v>9.0043E7</v>
      </c>
      <c r="H4102" s="15" t="s">
        <v>83</v>
      </c>
      <c r="I4102" s="20" t="s">
        <v>19</v>
      </c>
      <c r="J4102" s="21">
        <v>3701971.0</v>
      </c>
      <c r="K4102" s="21">
        <v>17.0</v>
      </c>
    </row>
    <row r="4103">
      <c r="A4103" s="15" t="s">
        <v>74</v>
      </c>
      <c r="B4103" s="16" t="s">
        <v>203</v>
      </c>
      <c r="C4103" s="17" t="s">
        <v>204</v>
      </c>
      <c r="D4103" s="18">
        <v>5.0</v>
      </c>
      <c r="E4103" s="17" t="s">
        <v>84</v>
      </c>
      <c r="F4103" s="15" t="s">
        <v>85</v>
      </c>
      <c r="G4103" s="19">
        <v>5.1100064E7</v>
      </c>
      <c r="H4103" s="15" t="s">
        <v>53</v>
      </c>
      <c r="I4103" s="20" t="s">
        <v>25</v>
      </c>
      <c r="J4103" s="21">
        <v>4200000.0</v>
      </c>
      <c r="K4103" s="21">
        <v>0.0</v>
      </c>
    </row>
    <row r="4104">
      <c r="A4104" s="15" t="s">
        <v>74</v>
      </c>
      <c r="B4104" s="16" t="s">
        <v>203</v>
      </c>
      <c r="C4104" s="17" t="s">
        <v>204</v>
      </c>
      <c r="D4104" s="18">
        <v>5.0</v>
      </c>
      <c r="E4104" s="17" t="s">
        <v>84</v>
      </c>
      <c r="F4104" s="15" t="s">
        <v>85</v>
      </c>
      <c r="G4104" s="19">
        <v>5.1100651E7</v>
      </c>
      <c r="H4104" s="15" t="s">
        <v>38</v>
      </c>
      <c r="I4104" s="20" t="s">
        <v>25</v>
      </c>
      <c r="J4104" s="21">
        <v>3500000.0</v>
      </c>
      <c r="K4104" s="21">
        <v>0.0</v>
      </c>
    </row>
    <row r="4105">
      <c r="A4105" s="15" t="s">
        <v>74</v>
      </c>
      <c r="B4105" s="16" t="s">
        <v>203</v>
      </c>
      <c r="C4105" s="17" t="s">
        <v>204</v>
      </c>
      <c r="D4105" s="18">
        <v>5.0</v>
      </c>
      <c r="E4105" s="17" t="s">
        <v>84</v>
      </c>
      <c r="F4105" s="15" t="s">
        <v>85</v>
      </c>
      <c r="G4105" s="19">
        <v>9.0043001E7</v>
      </c>
      <c r="H4105" s="15" t="s">
        <v>18</v>
      </c>
      <c r="I4105" s="20" t="s">
        <v>19</v>
      </c>
      <c r="J4105" s="21">
        <v>1.1348653E7</v>
      </c>
      <c r="K4105" s="21">
        <v>59.2</v>
      </c>
    </row>
    <row r="4106">
      <c r="A4106" s="15" t="s">
        <v>74</v>
      </c>
      <c r="B4106" s="16" t="s">
        <v>203</v>
      </c>
      <c r="C4106" s="17" t="s">
        <v>204</v>
      </c>
      <c r="D4106" s="18">
        <v>5.0</v>
      </c>
      <c r="E4106" s="17" t="s">
        <v>84</v>
      </c>
      <c r="F4106" s="15" t="s">
        <v>85</v>
      </c>
      <c r="G4106" s="19">
        <v>9.0043E7</v>
      </c>
      <c r="H4106" s="15" t="s">
        <v>83</v>
      </c>
      <c r="I4106" s="20" t="s">
        <v>19</v>
      </c>
      <c r="J4106" s="21">
        <v>1124429.0</v>
      </c>
      <c r="K4106" s="21">
        <v>5.0</v>
      </c>
    </row>
    <row r="4107">
      <c r="A4107" s="15" t="s">
        <v>74</v>
      </c>
      <c r="B4107" s="16" t="s">
        <v>203</v>
      </c>
      <c r="C4107" s="17" t="s">
        <v>204</v>
      </c>
      <c r="D4107" s="18">
        <v>5.0</v>
      </c>
      <c r="E4107" s="17" t="s">
        <v>86</v>
      </c>
      <c r="F4107" s="15" t="s">
        <v>87</v>
      </c>
      <c r="G4107" s="19">
        <v>9.0043001E7</v>
      </c>
      <c r="H4107" s="15" t="s">
        <v>18</v>
      </c>
      <c r="I4107" s="20" t="s">
        <v>19</v>
      </c>
      <c r="J4107" s="21">
        <v>210289.0</v>
      </c>
      <c r="K4107" s="21">
        <v>1.0</v>
      </c>
    </row>
    <row r="4108">
      <c r="A4108" s="15" t="s">
        <v>74</v>
      </c>
      <c r="B4108" s="16" t="s">
        <v>203</v>
      </c>
      <c r="C4108" s="17" t="s">
        <v>204</v>
      </c>
      <c r="D4108" s="18">
        <v>5.0</v>
      </c>
      <c r="E4108" s="17" t="s">
        <v>173</v>
      </c>
      <c r="F4108" s="15" t="s">
        <v>174</v>
      </c>
      <c r="G4108" s="19">
        <v>9.0043003E7</v>
      </c>
      <c r="H4108" s="15" t="s">
        <v>90</v>
      </c>
      <c r="I4108" s="20" t="s">
        <v>50</v>
      </c>
      <c r="J4108" s="21">
        <v>7.2078398E7</v>
      </c>
      <c r="K4108" s="21">
        <v>7.0</v>
      </c>
    </row>
    <row r="4109">
      <c r="A4109" s="15" t="s">
        <v>74</v>
      </c>
      <c r="B4109" s="16" t="s">
        <v>203</v>
      </c>
      <c r="C4109" s="17" t="s">
        <v>204</v>
      </c>
      <c r="D4109" s="18">
        <v>5.0</v>
      </c>
      <c r="E4109" s="17" t="s">
        <v>93</v>
      </c>
      <c r="F4109" s="15" t="s">
        <v>94</v>
      </c>
      <c r="G4109" s="19">
        <v>9.0043E7</v>
      </c>
      <c r="H4109" s="15" t="s">
        <v>83</v>
      </c>
      <c r="I4109" s="20" t="s">
        <v>19</v>
      </c>
      <c r="J4109" s="21">
        <v>126689.0</v>
      </c>
      <c r="K4109" s="21">
        <v>0.5</v>
      </c>
    </row>
    <row r="4110">
      <c r="A4110" s="15" t="s">
        <v>74</v>
      </c>
      <c r="B4110" s="16" t="s">
        <v>203</v>
      </c>
      <c r="C4110" s="17" t="s">
        <v>204</v>
      </c>
      <c r="D4110" s="18">
        <v>5.0</v>
      </c>
      <c r="E4110" s="17" t="s">
        <v>235</v>
      </c>
      <c r="F4110" s="15" t="s">
        <v>236</v>
      </c>
      <c r="G4110" s="19">
        <v>9.0043001E7</v>
      </c>
      <c r="H4110" s="15" t="s">
        <v>18</v>
      </c>
      <c r="I4110" s="20" t="s">
        <v>19</v>
      </c>
      <c r="J4110" s="21">
        <v>387138.0</v>
      </c>
      <c r="K4110" s="21">
        <v>2.2</v>
      </c>
    </row>
    <row r="4111">
      <c r="A4111" s="15" t="s">
        <v>74</v>
      </c>
      <c r="B4111" s="16" t="s">
        <v>203</v>
      </c>
      <c r="C4111" s="17" t="s">
        <v>204</v>
      </c>
      <c r="D4111" s="18">
        <v>5.0</v>
      </c>
      <c r="E4111" s="17" t="s">
        <v>95</v>
      </c>
      <c r="F4111" s="15" t="s">
        <v>96</v>
      </c>
      <c r="G4111" s="19">
        <v>5.1100058E7</v>
      </c>
      <c r="H4111" s="15" t="s">
        <v>36</v>
      </c>
      <c r="I4111" s="20" t="s">
        <v>37</v>
      </c>
      <c r="J4111" s="21">
        <v>2.6151119E7</v>
      </c>
      <c r="K4111" s="21">
        <v>184.96</v>
      </c>
    </row>
    <row r="4112">
      <c r="A4112" s="15" t="s">
        <v>74</v>
      </c>
      <c r="B4112" s="16" t="s">
        <v>203</v>
      </c>
      <c r="C4112" s="17" t="s">
        <v>204</v>
      </c>
      <c r="D4112" s="18">
        <v>5.0</v>
      </c>
      <c r="E4112" s="17" t="s">
        <v>95</v>
      </c>
      <c r="F4112" s="15" t="s">
        <v>96</v>
      </c>
      <c r="G4112" s="19">
        <v>9.0043001E7</v>
      </c>
      <c r="H4112" s="15" t="s">
        <v>18</v>
      </c>
      <c r="I4112" s="20" t="s">
        <v>19</v>
      </c>
      <c r="J4112" s="21">
        <v>1731059.0</v>
      </c>
      <c r="K4112" s="21">
        <v>8.5</v>
      </c>
    </row>
    <row r="4113">
      <c r="A4113" s="15" t="s">
        <v>74</v>
      </c>
      <c r="B4113" s="16" t="s">
        <v>203</v>
      </c>
      <c r="C4113" s="17" t="s">
        <v>204</v>
      </c>
      <c r="D4113" s="18">
        <v>5.0</v>
      </c>
      <c r="E4113" s="17" t="s">
        <v>97</v>
      </c>
      <c r="F4113" s="15" t="s">
        <v>98</v>
      </c>
      <c r="G4113" s="19">
        <v>9.0043001E7</v>
      </c>
      <c r="H4113" s="15" t="s">
        <v>18</v>
      </c>
      <c r="I4113" s="20" t="s">
        <v>19</v>
      </c>
      <c r="J4113" s="21">
        <v>1.3123143E7</v>
      </c>
      <c r="K4113" s="21">
        <v>71.0</v>
      </c>
    </row>
    <row r="4114">
      <c r="A4114" s="15" t="s">
        <v>74</v>
      </c>
      <c r="B4114" s="16" t="s">
        <v>203</v>
      </c>
      <c r="C4114" s="17" t="s">
        <v>204</v>
      </c>
      <c r="D4114" s="18">
        <v>5.0</v>
      </c>
      <c r="E4114" s="17" t="s">
        <v>99</v>
      </c>
      <c r="F4114" s="15" t="s">
        <v>100</v>
      </c>
      <c r="G4114" s="19">
        <v>9.0043001E7</v>
      </c>
      <c r="H4114" s="15" t="s">
        <v>18</v>
      </c>
      <c r="I4114" s="20" t="s">
        <v>19</v>
      </c>
      <c r="J4114" s="21">
        <v>1591590.0</v>
      </c>
      <c r="K4114" s="21">
        <v>8.0</v>
      </c>
    </row>
    <row r="4115">
      <c r="A4115" s="15" t="s">
        <v>74</v>
      </c>
      <c r="B4115" s="16" t="s">
        <v>203</v>
      </c>
      <c r="C4115" s="17" t="s">
        <v>204</v>
      </c>
      <c r="D4115" s="18">
        <v>5.0</v>
      </c>
      <c r="E4115" s="17" t="s">
        <v>101</v>
      </c>
      <c r="F4115" s="15" t="s">
        <v>102</v>
      </c>
      <c r="G4115" s="19">
        <v>9.0043001E7</v>
      </c>
      <c r="H4115" s="15" t="s">
        <v>18</v>
      </c>
      <c r="I4115" s="20" t="s">
        <v>19</v>
      </c>
      <c r="J4115" s="21">
        <v>2.3260366E7</v>
      </c>
      <c r="K4115" s="21">
        <v>127.0</v>
      </c>
    </row>
    <row r="4116">
      <c r="A4116" s="15" t="s">
        <v>74</v>
      </c>
      <c r="B4116" s="16" t="s">
        <v>203</v>
      </c>
      <c r="C4116" s="17" t="s">
        <v>204</v>
      </c>
      <c r="D4116" s="18">
        <v>5.0</v>
      </c>
      <c r="E4116" s="17" t="s">
        <v>103</v>
      </c>
      <c r="F4116" s="15" t="s">
        <v>104</v>
      </c>
      <c r="G4116" s="19">
        <v>9.0043001E7</v>
      </c>
      <c r="H4116" s="15" t="s">
        <v>18</v>
      </c>
      <c r="I4116" s="20" t="s">
        <v>19</v>
      </c>
      <c r="J4116" s="21">
        <v>5046936.0</v>
      </c>
      <c r="K4116" s="21">
        <v>24.0</v>
      </c>
    </row>
    <row r="4117">
      <c r="A4117" s="15" t="s">
        <v>74</v>
      </c>
      <c r="B4117" s="16" t="s">
        <v>203</v>
      </c>
      <c r="C4117" s="17" t="s">
        <v>204</v>
      </c>
      <c r="D4117" s="18">
        <v>5.0</v>
      </c>
      <c r="E4117" s="17" t="s">
        <v>158</v>
      </c>
      <c r="F4117" s="15" t="s">
        <v>159</v>
      </c>
      <c r="G4117" s="19">
        <v>9.0043001E7</v>
      </c>
      <c r="H4117" s="15" t="s">
        <v>18</v>
      </c>
      <c r="I4117" s="20" t="s">
        <v>19</v>
      </c>
      <c r="J4117" s="21">
        <v>1206009.0</v>
      </c>
      <c r="K4117" s="21">
        <v>6.0</v>
      </c>
    </row>
    <row r="4118">
      <c r="A4118" s="15" t="s">
        <v>74</v>
      </c>
      <c r="B4118" s="16" t="s">
        <v>203</v>
      </c>
      <c r="C4118" s="17" t="s">
        <v>204</v>
      </c>
      <c r="D4118" s="18">
        <v>5.0</v>
      </c>
      <c r="E4118" s="17" t="s">
        <v>158</v>
      </c>
      <c r="F4118" s="15" t="s">
        <v>159</v>
      </c>
      <c r="G4118" s="19">
        <v>9.0043E7</v>
      </c>
      <c r="H4118" s="15" t="s">
        <v>83</v>
      </c>
      <c r="I4118" s="20" t="s">
        <v>19</v>
      </c>
      <c r="J4118" s="21">
        <v>380066.0</v>
      </c>
      <c r="K4118" s="21">
        <v>1.5</v>
      </c>
    </row>
    <row r="4119">
      <c r="A4119" s="15" t="s">
        <v>74</v>
      </c>
      <c r="B4119" s="16" t="s">
        <v>203</v>
      </c>
      <c r="C4119" s="17" t="s">
        <v>204</v>
      </c>
      <c r="D4119" s="18">
        <v>5.0</v>
      </c>
      <c r="E4119" s="17" t="s">
        <v>112</v>
      </c>
      <c r="F4119" s="15" t="s">
        <v>113</v>
      </c>
      <c r="G4119" s="19">
        <v>9.0043001E7</v>
      </c>
      <c r="H4119" s="15" t="s">
        <v>18</v>
      </c>
      <c r="I4119" s="20" t="s">
        <v>19</v>
      </c>
      <c r="J4119" s="21">
        <v>1108998.0</v>
      </c>
      <c r="K4119" s="21">
        <v>6.0</v>
      </c>
    </row>
    <row r="4120">
      <c r="A4120" s="15" t="s">
        <v>74</v>
      </c>
      <c r="B4120" s="16" t="s">
        <v>203</v>
      </c>
      <c r="C4120" s="17" t="s">
        <v>204</v>
      </c>
      <c r="D4120" s="18">
        <v>5.0</v>
      </c>
      <c r="E4120" s="17" t="s">
        <v>207</v>
      </c>
      <c r="F4120" s="15" t="s">
        <v>208</v>
      </c>
      <c r="G4120" s="19">
        <v>9.0043001E7</v>
      </c>
      <c r="H4120" s="15" t="s">
        <v>18</v>
      </c>
      <c r="I4120" s="20" t="s">
        <v>19</v>
      </c>
      <c r="J4120" s="21">
        <v>1848335.0</v>
      </c>
      <c r="K4120" s="21">
        <v>10.0</v>
      </c>
    </row>
    <row r="4121">
      <c r="A4121" s="15" t="s">
        <v>74</v>
      </c>
      <c r="B4121" s="16" t="s">
        <v>203</v>
      </c>
      <c r="C4121" s="17" t="s">
        <v>204</v>
      </c>
      <c r="D4121" s="18">
        <v>5.0</v>
      </c>
      <c r="E4121" s="17" t="s">
        <v>209</v>
      </c>
      <c r="F4121" s="15" t="s">
        <v>210</v>
      </c>
      <c r="G4121" s="19">
        <v>5.1101999E7</v>
      </c>
      <c r="H4121" s="15" t="s">
        <v>107</v>
      </c>
      <c r="I4121" s="20" t="s">
        <v>25</v>
      </c>
      <c r="J4121" s="21">
        <v>-1.906343E7</v>
      </c>
      <c r="K4121" s="21">
        <v>0.0</v>
      </c>
    </row>
    <row r="4122">
      <c r="A4122" s="15" t="s">
        <v>74</v>
      </c>
      <c r="B4122" s="16" t="s">
        <v>203</v>
      </c>
      <c r="C4122" s="17" t="s">
        <v>204</v>
      </c>
      <c r="D4122" s="18">
        <v>5.0</v>
      </c>
      <c r="E4122" s="17" t="s">
        <v>209</v>
      </c>
      <c r="F4122" s="15" t="s">
        <v>210</v>
      </c>
      <c r="G4122" s="19">
        <v>5.1101999E7</v>
      </c>
      <c r="H4122" s="15" t="s">
        <v>107</v>
      </c>
      <c r="I4122" s="20" t="s">
        <v>17</v>
      </c>
      <c r="J4122" s="21">
        <v>1.906343E7</v>
      </c>
      <c r="K4122" s="21">
        <v>207.64</v>
      </c>
    </row>
    <row r="4123">
      <c r="A4123" s="15" t="s">
        <v>74</v>
      </c>
      <c r="B4123" s="16" t="s">
        <v>203</v>
      </c>
      <c r="C4123" s="17" t="s">
        <v>204</v>
      </c>
      <c r="D4123" s="18">
        <v>5.0</v>
      </c>
      <c r="E4123" s="17" t="s">
        <v>209</v>
      </c>
      <c r="F4123" s="15" t="s">
        <v>210</v>
      </c>
      <c r="G4123" s="19">
        <v>5.1100774E7</v>
      </c>
      <c r="H4123" s="15" t="s">
        <v>39</v>
      </c>
      <c r="I4123" s="20" t="s">
        <v>25</v>
      </c>
      <c r="J4123" s="21">
        <v>1.906343E7</v>
      </c>
      <c r="K4123" s="21">
        <v>0.0</v>
      </c>
    </row>
    <row r="4124">
      <c r="A4124" s="15" t="s">
        <v>74</v>
      </c>
      <c r="B4124" s="16" t="s">
        <v>203</v>
      </c>
      <c r="C4124" s="17" t="s">
        <v>204</v>
      </c>
      <c r="D4124" s="18">
        <v>5.0</v>
      </c>
      <c r="E4124" s="17" t="s">
        <v>209</v>
      </c>
      <c r="F4124" s="15" t="s">
        <v>210</v>
      </c>
      <c r="G4124" s="19">
        <v>5.1100774E7</v>
      </c>
      <c r="H4124" s="15" t="s">
        <v>39</v>
      </c>
      <c r="I4124" s="20" t="s">
        <v>17</v>
      </c>
      <c r="J4124" s="21">
        <v>7100585.0</v>
      </c>
      <c r="K4124" s="21">
        <v>77.34</v>
      </c>
    </row>
    <row r="4125">
      <c r="A4125" s="15" t="s">
        <v>74</v>
      </c>
      <c r="B4125" s="16" t="s">
        <v>203</v>
      </c>
      <c r="C4125" s="17" t="s">
        <v>204</v>
      </c>
      <c r="D4125" s="18">
        <v>5.0</v>
      </c>
      <c r="E4125" s="17" t="s">
        <v>175</v>
      </c>
      <c r="F4125" s="15" t="s">
        <v>176</v>
      </c>
      <c r="G4125" s="19">
        <v>9.0043002E7</v>
      </c>
      <c r="H4125" s="15" t="s">
        <v>49</v>
      </c>
      <c r="I4125" s="20" t="s">
        <v>50</v>
      </c>
      <c r="J4125" s="21">
        <v>2.5089958E7</v>
      </c>
      <c r="K4125" s="21">
        <v>1305.0</v>
      </c>
    </row>
    <row r="4126">
      <c r="A4126" s="15" t="s">
        <v>74</v>
      </c>
      <c r="B4126" s="16" t="s">
        <v>203</v>
      </c>
      <c r="C4126" s="17" t="s">
        <v>204</v>
      </c>
      <c r="D4126" s="18">
        <v>5.0</v>
      </c>
      <c r="E4126" s="17" t="s">
        <v>117</v>
      </c>
      <c r="F4126" s="15" t="s">
        <v>118</v>
      </c>
      <c r="G4126" s="19">
        <v>5.1100058E7</v>
      </c>
      <c r="H4126" s="15" t="s">
        <v>36</v>
      </c>
      <c r="I4126" s="20" t="s">
        <v>37</v>
      </c>
      <c r="J4126" s="21">
        <v>9.48080462E8</v>
      </c>
      <c r="K4126" s="21">
        <v>121696.0</v>
      </c>
    </row>
    <row r="4127">
      <c r="A4127" s="15" t="s">
        <v>74</v>
      </c>
      <c r="B4127" s="16" t="s">
        <v>203</v>
      </c>
      <c r="C4127" s="17" t="s">
        <v>204</v>
      </c>
      <c r="D4127" s="18">
        <v>5.0</v>
      </c>
      <c r="E4127" s="17" t="s">
        <v>117</v>
      </c>
      <c r="F4127" s="15" t="s">
        <v>118</v>
      </c>
      <c r="G4127" s="19">
        <v>9.0043001E7</v>
      </c>
      <c r="H4127" s="15" t="s">
        <v>18</v>
      </c>
      <c r="I4127" s="20" t="s">
        <v>19</v>
      </c>
      <c r="J4127" s="21">
        <v>841156.0</v>
      </c>
      <c r="K4127" s="21">
        <v>4.0</v>
      </c>
    </row>
    <row r="4128">
      <c r="A4128" s="15" t="s">
        <v>74</v>
      </c>
      <c r="B4128" s="16" t="s">
        <v>203</v>
      </c>
      <c r="C4128" s="17" t="s">
        <v>204</v>
      </c>
      <c r="D4128" s="18">
        <v>5.0</v>
      </c>
      <c r="E4128" s="17" t="s">
        <v>119</v>
      </c>
      <c r="F4128" s="15" t="s">
        <v>120</v>
      </c>
      <c r="G4128" s="19">
        <v>9.0043001E7</v>
      </c>
      <c r="H4128" s="15" t="s">
        <v>18</v>
      </c>
      <c r="I4128" s="20" t="s">
        <v>19</v>
      </c>
      <c r="J4128" s="21">
        <v>184833.0</v>
      </c>
      <c r="K4128" s="21">
        <v>1.0</v>
      </c>
    </row>
    <row r="4129">
      <c r="A4129" s="15" t="s">
        <v>74</v>
      </c>
      <c r="B4129" s="16" t="s">
        <v>203</v>
      </c>
      <c r="C4129" s="17" t="s">
        <v>204</v>
      </c>
      <c r="D4129" s="18">
        <v>5.0</v>
      </c>
      <c r="E4129" s="17" t="s">
        <v>123</v>
      </c>
      <c r="F4129" s="15" t="s">
        <v>124</v>
      </c>
      <c r="G4129" s="19">
        <v>9.0043001E7</v>
      </c>
      <c r="H4129" s="15" t="s">
        <v>18</v>
      </c>
      <c r="I4129" s="20" t="s">
        <v>19</v>
      </c>
      <c r="J4129" s="21">
        <v>2647502.0</v>
      </c>
      <c r="K4129" s="21">
        <v>13.0</v>
      </c>
    </row>
    <row r="4130">
      <c r="A4130" s="15" t="s">
        <v>74</v>
      </c>
      <c r="B4130" s="16" t="s">
        <v>203</v>
      </c>
      <c r="C4130" s="17" t="s">
        <v>204</v>
      </c>
      <c r="D4130" s="18">
        <v>5.0</v>
      </c>
      <c r="E4130" s="17" t="s">
        <v>125</v>
      </c>
      <c r="F4130" s="15" t="s">
        <v>126</v>
      </c>
      <c r="G4130" s="19">
        <v>9.0043001E7</v>
      </c>
      <c r="H4130" s="15" t="s">
        <v>18</v>
      </c>
      <c r="I4130" s="20" t="s">
        <v>19</v>
      </c>
      <c r="J4130" s="21">
        <v>2.04005843E8</v>
      </c>
      <c r="K4130" s="21">
        <v>1085.0</v>
      </c>
    </row>
    <row r="4131">
      <c r="A4131" s="15" t="s">
        <v>74</v>
      </c>
      <c r="B4131" s="16" t="s">
        <v>203</v>
      </c>
      <c r="C4131" s="17" t="s">
        <v>204</v>
      </c>
      <c r="D4131" s="18">
        <v>5.0</v>
      </c>
      <c r="E4131" s="17" t="s">
        <v>127</v>
      </c>
      <c r="F4131" s="15" t="s">
        <v>128</v>
      </c>
      <c r="G4131" s="19">
        <v>5.1100153E7</v>
      </c>
      <c r="H4131" s="15" t="s">
        <v>72</v>
      </c>
      <c r="I4131" s="20" t="s">
        <v>17</v>
      </c>
      <c r="J4131" s="21">
        <v>3.5171194E7</v>
      </c>
      <c r="K4131" s="21">
        <v>275880.0</v>
      </c>
    </row>
    <row r="4132">
      <c r="A4132" s="15" t="s">
        <v>74</v>
      </c>
      <c r="B4132" s="16" t="s">
        <v>203</v>
      </c>
      <c r="C4132" s="17" t="s">
        <v>204</v>
      </c>
      <c r="D4132" s="18">
        <v>5.0</v>
      </c>
      <c r="E4132" s="17" t="s">
        <v>127</v>
      </c>
      <c r="F4132" s="15" t="s">
        <v>128</v>
      </c>
      <c r="G4132" s="19">
        <v>9.0043001E7</v>
      </c>
      <c r="H4132" s="15" t="s">
        <v>18</v>
      </c>
      <c r="I4132" s="20" t="s">
        <v>19</v>
      </c>
      <c r="J4132" s="21">
        <v>4.0559898E7</v>
      </c>
      <c r="K4132" s="21">
        <v>208.0</v>
      </c>
    </row>
    <row r="4133">
      <c r="A4133" s="15" t="s">
        <v>74</v>
      </c>
      <c r="B4133" s="16" t="s">
        <v>203</v>
      </c>
      <c r="C4133" s="17" t="s">
        <v>204</v>
      </c>
      <c r="D4133" s="18">
        <v>5.0</v>
      </c>
      <c r="E4133" s="17" t="s">
        <v>127</v>
      </c>
      <c r="F4133" s="15" t="s">
        <v>128</v>
      </c>
      <c r="G4133" s="19">
        <v>9.0043002E7</v>
      </c>
      <c r="H4133" s="15" t="s">
        <v>49</v>
      </c>
      <c r="I4133" s="20" t="s">
        <v>50</v>
      </c>
      <c r="J4133" s="21">
        <v>1.40964327E8</v>
      </c>
      <c r="K4133" s="21">
        <v>6510.0</v>
      </c>
    </row>
    <row r="4134">
      <c r="A4134" s="15" t="s">
        <v>74</v>
      </c>
      <c r="B4134" s="16" t="s">
        <v>203</v>
      </c>
      <c r="C4134" s="17" t="s">
        <v>204</v>
      </c>
      <c r="D4134" s="18">
        <v>5.0</v>
      </c>
      <c r="E4134" s="17" t="s">
        <v>127</v>
      </c>
      <c r="F4134" s="15" t="s">
        <v>128</v>
      </c>
      <c r="G4134" s="19">
        <v>9.0043E7</v>
      </c>
      <c r="H4134" s="15" t="s">
        <v>83</v>
      </c>
      <c r="I4134" s="20" t="s">
        <v>19</v>
      </c>
      <c r="J4134" s="21">
        <v>506756.0</v>
      </c>
      <c r="K4134" s="21">
        <v>2.0</v>
      </c>
    </row>
    <row r="4135">
      <c r="A4135" s="15" t="s">
        <v>74</v>
      </c>
      <c r="B4135" s="16" t="s">
        <v>203</v>
      </c>
      <c r="C4135" s="17" t="s">
        <v>204</v>
      </c>
      <c r="D4135" s="18">
        <v>5.0</v>
      </c>
      <c r="E4135" s="17" t="s">
        <v>129</v>
      </c>
      <c r="F4135" s="15" t="s">
        <v>130</v>
      </c>
      <c r="G4135" s="19">
        <v>5.1101056E7</v>
      </c>
      <c r="H4135" s="15" t="s">
        <v>16</v>
      </c>
      <c r="I4135" s="20" t="s">
        <v>17</v>
      </c>
      <c r="J4135" s="21">
        <v>9.0741328E7</v>
      </c>
      <c r="K4135" s="21">
        <v>317046.0</v>
      </c>
    </row>
    <row r="4136">
      <c r="A4136" s="15" t="s">
        <v>74</v>
      </c>
      <c r="B4136" s="16" t="s">
        <v>203</v>
      </c>
      <c r="C4136" s="17" t="s">
        <v>204</v>
      </c>
      <c r="D4136" s="18">
        <v>5.0</v>
      </c>
      <c r="E4136" s="17" t="s">
        <v>129</v>
      </c>
      <c r="F4136" s="15" t="s">
        <v>130</v>
      </c>
      <c r="G4136" s="19">
        <v>9.0043001E7</v>
      </c>
      <c r="H4136" s="15" t="s">
        <v>18</v>
      </c>
      <c r="I4136" s="20" t="s">
        <v>19</v>
      </c>
      <c r="J4136" s="21">
        <v>1.0806809E7</v>
      </c>
      <c r="K4136" s="21">
        <v>49.7</v>
      </c>
    </row>
    <row r="4137">
      <c r="A4137" s="15" t="s">
        <v>74</v>
      </c>
      <c r="B4137" s="16" t="s">
        <v>203</v>
      </c>
      <c r="C4137" s="17" t="s">
        <v>204</v>
      </c>
      <c r="D4137" s="18">
        <v>5.0</v>
      </c>
      <c r="E4137" s="17" t="s">
        <v>129</v>
      </c>
      <c r="F4137" s="15" t="s">
        <v>130</v>
      </c>
      <c r="G4137" s="19">
        <v>9.0043003E7</v>
      </c>
      <c r="H4137" s="15" t="s">
        <v>90</v>
      </c>
      <c r="I4137" s="20" t="s">
        <v>50</v>
      </c>
      <c r="J4137" s="21">
        <v>1.1332755E7</v>
      </c>
      <c r="K4137" s="21">
        <v>35.0</v>
      </c>
    </row>
    <row r="4138">
      <c r="A4138" s="15" t="s">
        <v>74</v>
      </c>
      <c r="B4138" s="16" t="s">
        <v>203</v>
      </c>
      <c r="C4138" s="17" t="s">
        <v>204</v>
      </c>
      <c r="D4138" s="18">
        <v>5.0</v>
      </c>
      <c r="E4138" s="17" t="s">
        <v>129</v>
      </c>
      <c r="F4138" s="15" t="s">
        <v>130</v>
      </c>
      <c r="G4138" s="19">
        <v>9.0043E7</v>
      </c>
      <c r="H4138" s="15" t="s">
        <v>83</v>
      </c>
      <c r="I4138" s="20" t="s">
        <v>19</v>
      </c>
      <c r="J4138" s="21">
        <v>114181.0</v>
      </c>
      <c r="K4138" s="21">
        <v>0.5</v>
      </c>
    </row>
    <row r="4139">
      <c r="A4139" s="15" t="s">
        <v>74</v>
      </c>
      <c r="B4139" s="16" t="s">
        <v>203</v>
      </c>
      <c r="C4139" s="17" t="s">
        <v>204</v>
      </c>
      <c r="D4139" s="18">
        <v>5.0</v>
      </c>
      <c r="E4139" s="17" t="s">
        <v>131</v>
      </c>
      <c r="F4139" s="15" t="s">
        <v>132</v>
      </c>
      <c r="G4139" s="19">
        <v>9.0043001E7</v>
      </c>
      <c r="H4139" s="15" t="s">
        <v>18</v>
      </c>
      <c r="I4139" s="20" t="s">
        <v>19</v>
      </c>
      <c r="J4139" s="21">
        <v>1535110.0</v>
      </c>
      <c r="K4139" s="21">
        <v>7.3</v>
      </c>
    </row>
    <row r="4140">
      <c r="A4140" s="15" t="s">
        <v>74</v>
      </c>
      <c r="B4140" s="16" t="s">
        <v>203</v>
      </c>
      <c r="C4140" s="17" t="s">
        <v>204</v>
      </c>
      <c r="D4140" s="18">
        <v>5.0</v>
      </c>
      <c r="E4140" s="17" t="s">
        <v>135</v>
      </c>
      <c r="F4140" s="15" t="s">
        <v>136</v>
      </c>
      <c r="G4140" s="19">
        <v>9.0043001E7</v>
      </c>
      <c r="H4140" s="15" t="s">
        <v>18</v>
      </c>
      <c r="I4140" s="20" t="s">
        <v>19</v>
      </c>
      <c r="J4140" s="21">
        <v>5.9684055E7</v>
      </c>
      <c r="K4140" s="21">
        <v>307.5</v>
      </c>
    </row>
    <row r="4141">
      <c r="A4141" s="15" t="s">
        <v>74</v>
      </c>
      <c r="B4141" s="16" t="s">
        <v>203</v>
      </c>
      <c r="C4141" s="17" t="s">
        <v>204</v>
      </c>
      <c r="D4141" s="18">
        <v>5.0</v>
      </c>
      <c r="E4141" s="17" t="s">
        <v>162</v>
      </c>
      <c r="F4141" s="15" t="s">
        <v>163</v>
      </c>
      <c r="G4141" s="19">
        <v>9.0043001E7</v>
      </c>
      <c r="H4141" s="15" t="s">
        <v>18</v>
      </c>
      <c r="I4141" s="20" t="s">
        <v>19</v>
      </c>
      <c r="J4141" s="21">
        <v>814616.0</v>
      </c>
      <c r="K4141" s="21">
        <v>4.0</v>
      </c>
    </row>
    <row r="4142">
      <c r="A4142" s="15" t="s">
        <v>74</v>
      </c>
      <c r="B4142" s="16" t="s">
        <v>203</v>
      </c>
      <c r="C4142" s="17" t="s">
        <v>204</v>
      </c>
      <c r="D4142" s="18">
        <v>5.0</v>
      </c>
      <c r="E4142" s="17" t="s">
        <v>162</v>
      </c>
      <c r="F4142" s="15" t="s">
        <v>163</v>
      </c>
      <c r="G4142" s="19">
        <v>9.0043E7</v>
      </c>
      <c r="H4142" s="15" t="s">
        <v>83</v>
      </c>
      <c r="I4142" s="20" t="s">
        <v>19</v>
      </c>
      <c r="J4142" s="21">
        <v>1.3034445E7</v>
      </c>
      <c r="K4142" s="21">
        <v>58.5</v>
      </c>
    </row>
    <row r="4143">
      <c r="A4143" s="15" t="s">
        <v>74</v>
      </c>
      <c r="B4143" s="16" t="s">
        <v>203</v>
      </c>
      <c r="C4143" s="17" t="s">
        <v>204</v>
      </c>
      <c r="D4143" s="18">
        <v>5.0</v>
      </c>
      <c r="E4143" s="17" t="s">
        <v>54</v>
      </c>
      <c r="F4143" s="15" t="s">
        <v>139</v>
      </c>
      <c r="G4143" s="19">
        <v>9.0042011E7</v>
      </c>
      <c r="H4143" s="15" t="s">
        <v>55</v>
      </c>
      <c r="I4143" s="20" t="s">
        <v>19</v>
      </c>
      <c r="J4143" s="21">
        <v>1.31949632E8</v>
      </c>
      <c r="K4143" s="21">
        <v>0.0</v>
      </c>
    </row>
    <row r="4144">
      <c r="A4144" s="15" t="s">
        <v>74</v>
      </c>
      <c r="B4144" s="16" t="s">
        <v>203</v>
      </c>
      <c r="C4144" s="17" t="s">
        <v>204</v>
      </c>
      <c r="D4144" s="18">
        <v>5.0</v>
      </c>
      <c r="E4144" s="17" t="s">
        <v>20</v>
      </c>
      <c r="F4144" s="15" t="s">
        <v>140</v>
      </c>
      <c r="G4144" s="19">
        <v>9.0042014E7</v>
      </c>
      <c r="H4144" s="15" t="s">
        <v>21</v>
      </c>
      <c r="I4144" s="20" t="s">
        <v>19</v>
      </c>
      <c r="J4144" s="21">
        <v>3.43246237E8</v>
      </c>
      <c r="K4144" s="21">
        <v>0.0</v>
      </c>
    </row>
    <row r="4145">
      <c r="A4145" s="15" t="s">
        <v>74</v>
      </c>
      <c r="B4145" s="16" t="s">
        <v>203</v>
      </c>
      <c r="C4145" s="17" t="s">
        <v>204</v>
      </c>
      <c r="D4145" s="18">
        <v>5.0</v>
      </c>
      <c r="E4145" s="17" t="s">
        <v>20</v>
      </c>
      <c r="F4145" s="15" t="s">
        <v>140</v>
      </c>
      <c r="G4145" s="19">
        <v>9.0042077E7</v>
      </c>
      <c r="H4145" s="15" t="s">
        <v>141</v>
      </c>
      <c r="I4145" s="20" t="s">
        <v>19</v>
      </c>
      <c r="J4145" s="21">
        <v>6.8684163E7</v>
      </c>
      <c r="K4145" s="21">
        <v>0.0</v>
      </c>
    </row>
    <row r="4146">
      <c r="A4146" s="15" t="s">
        <v>74</v>
      </c>
      <c r="B4146" s="16" t="s">
        <v>203</v>
      </c>
      <c r="C4146" s="17" t="s">
        <v>204</v>
      </c>
      <c r="D4146" s="18">
        <v>5.0</v>
      </c>
      <c r="E4146" s="17" t="s">
        <v>142</v>
      </c>
      <c r="F4146" s="15" t="s">
        <v>143</v>
      </c>
      <c r="G4146" s="19">
        <v>9.0042013E7</v>
      </c>
      <c r="H4146" s="15" t="s">
        <v>144</v>
      </c>
      <c r="I4146" s="20" t="s">
        <v>19</v>
      </c>
      <c r="J4146" s="21">
        <v>1.0257895E7</v>
      </c>
      <c r="K4146" s="21">
        <v>0.0</v>
      </c>
    </row>
    <row r="4147">
      <c r="A4147" s="15" t="s">
        <v>74</v>
      </c>
      <c r="B4147" s="16" t="s">
        <v>203</v>
      </c>
      <c r="C4147" s="17" t="s">
        <v>204</v>
      </c>
      <c r="D4147" s="18">
        <v>5.0</v>
      </c>
      <c r="E4147" s="17" t="s">
        <v>142</v>
      </c>
      <c r="F4147" s="15" t="s">
        <v>143</v>
      </c>
      <c r="G4147" s="19">
        <v>9.0042084E7</v>
      </c>
      <c r="H4147" s="15" t="s">
        <v>145</v>
      </c>
      <c r="I4147" s="20" t="s">
        <v>19</v>
      </c>
      <c r="J4147" s="21">
        <v>8584300.0</v>
      </c>
      <c r="K4147" s="21">
        <v>0.0</v>
      </c>
    </row>
    <row r="4148">
      <c r="A4148" s="15" t="s">
        <v>74</v>
      </c>
      <c r="B4148" s="16" t="s">
        <v>203</v>
      </c>
      <c r="C4148" s="17" t="s">
        <v>204</v>
      </c>
      <c r="D4148" s="18">
        <v>5.0</v>
      </c>
      <c r="E4148" s="17" t="s">
        <v>22</v>
      </c>
      <c r="F4148" s="15" t="s">
        <v>146</v>
      </c>
      <c r="G4148" s="19">
        <v>9.0042012E7</v>
      </c>
      <c r="H4148" s="15" t="s">
        <v>23</v>
      </c>
      <c r="I4148" s="20" t="s">
        <v>19</v>
      </c>
      <c r="J4148" s="21">
        <v>1.11672843E8</v>
      </c>
      <c r="K4148" s="21">
        <v>0.0</v>
      </c>
    </row>
    <row r="4149">
      <c r="A4149" s="15" t="s">
        <v>74</v>
      </c>
      <c r="B4149" s="16" t="s">
        <v>203</v>
      </c>
      <c r="C4149" s="17" t="s">
        <v>204</v>
      </c>
      <c r="D4149" s="18">
        <v>5.0</v>
      </c>
      <c r="E4149" s="17" t="s">
        <v>22</v>
      </c>
      <c r="F4149" s="15" t="s">
        <v>146</v>
      </c>
      <c r="G4149" s="19">
        <v>9.0042121E7</v>
      </c>
      <c r="H4149" s="15" t="s">
        <v>24</v>
      </c>
      <c r="I4149" s="20" t="s">
        <v>25</v>
      </c>
      <c r="J4149" s="21">
        <v>1.73158974E8</v>
      </c>
      <c r="K4149" s="21">
        <v>0.0</v>
      </c>
    </row>
    <row r="4150">
      <c r="A4150" s="15" t="s">
        <v>74</v>
      </c>
      <c r="B4150" s="16" t="s">
        <v>203</v>
      </c>
      <c r="C4150" s="17" t="s">
        <v>204</v>
      </c>
      <c r="D4150" s="18">
        <v>5.0</v>
      </c>
      <c r="E4150" s="17" t="s">
        <v>22</v>
      </c>
      <c r="F4150" s="15" t="s">
        <v>146</v>
      </c>
      <c r="G4150" s="19">
        <v>9.0042122E7</v>
      </c>
      <c r="H4150" s="15" t="s">
        <v>56</v>
      </c>
      <c r="I4150" s="20" t="s">
        <v>25</v>
      </c>
      <c r="J4150" s="21">
        <v>2.35291E7</v>
      </c>
      <c r="K4150" s="21">
        <v>0.0</v>
      </c>
    </row>
    <row r="4151">
      <c r="A4151" s="15" t="s">
        <v>74</v>
      </c>
      <c r="B4151" s="16" t="s">
        <v>203</v>
      </c>
      <c r="C4151" s="17" t="s">
        <v>204</v>
      </c>
      <c r="D4151" s="18">
        <v>5.0</v>
      </c>
      <c r="E4151" s="17" t="s">
        <v>22</v>
      </c>
      <c r="F4151" s="15" t="s">
        <v>146</v>
      </c>
      <c r="G4151" s="19">
        <v>9.0042124E7</v>
      </c>
      <c r="H4151" s="15" t="s">
        <v>57</v>
      </c>
      <c r="I4151" s="20" t="s">
        <v>25</v>
      </c>
      <c r="J4151" s="21">
        <v>946000.0</v>
      </c>
      <c r="K4151" s="21">
        <v>0.0</v>
      </c>
    </row>
    <row r="4152">
      <c r="A4152" s="15" t="s">
        <v>74</v>
      </c>
      <c r="B4152" s="16" t="s">
        <v>203</v>
      </c>
      <c r="C4152" s="17" t="s">
        <v>204</v>
      </c>
      <c r="D4152" s="18">
        <v>5.0</v>
      </c>
      <c r="E4152" s="17" t="s">
        <v>22</v>
      </c>
      <c r="F4152" s="15" t="s">
        <v>146</v>
      </c>
      <c r="G4152" s="19">
        <v>9.0042125E7</v>
      </c>
      <c r="H4152" s="15" t="s">
        <v>26</v>
      </c>
      <c r="I4152" s="20" t="s">
        <v>25</v>
      </c>
      <c r="J4152" s="21">
        <v>6.7157249E7</v>
      </c>
      <c r="K4152" s="21">
        <v>0.0</v>
      </c>
    </row>
    <row r="4153">
      <c r="A4153" s="15" t="s">
        <v>74</v>
      </c>
      <c r="B4153" s="16" t="s">
        <v>203</v>
      </c>
      <c r="C4153" s="17" t="s">
        <v>204</v>
      </c>
      <c r="D4153" s="18">
        <v>5.0</v>
      </c>
      <c r="E4153" s="17" t="s">
        <v>22</v>
      </c>
      <c r="F4153" s="15" t="s">
        <v>146</v>
      </c>
      <c r="G4153" s="19">
        <v>9.0042127E7</v>
      </c>
      <c r="H4153" s="15" t="s">
        <v>27</v>
      </c>
      <c r="I4153" s="20" t="s">
        <v>25</v>
      </c>
      <c r="J4153" s="21">
        <v>1.9129645E7</v>
      </c>
      <c r="K4153" s="21">
        <v>0.0</v>
      </c>
    </row>
    <row r="4154">
      <c r="A4154" s="15" t="s">
        <v>74</v>
      </c>
      <c r="B4154" s="16" t="s">
        <v>203</v>
      </c>
      <c r="C4154" s="17" t="s">
        <v>204</v>
      </c>
      <c r="D4154" s="18">
        <v>5.0</v>
      </c>
      <c r="E4154" s="17" t="s">
        <v>22</v>
      </c>
      <c r="F4154" s="15" t="s">
        <v>146</v>
      </c>
      <c r="G4154" s="19">
        <v>9.0042134E7</v>
      </c>
      <c r="H4154" s="15" t="s">
        <v>29</v>
      </c>
      <c r="I4154" s="20" t="s">
        <v>25</v>
      </c>
      <c r="J4154" s="21">
        <v>1100000.0</v>
      </c>
      <c r="K4154" s="21">
        <v>0.0</v>
      </c>
    </row>
    <row r="4155">
      <c r="A4155" s="15" t="s">
        <v>74</v>
      </c>
      <c r="B4155" s="16" t="s">
        <v>203</v>
      </c>
      <c r="C4155" s="17" t="s">
        <v>204</v>
      </c>
      <c r="D4155" s="18">
        <v>5.0</v>
      </c>
      <c r="E4155" s="17" t="s">
        <v>22</v>
      </c>
      <c r="F4155" s="15" t="s">
        <v>146</v>
      </c>
      <c r="G4155" s="19">
        <v>9.0042135E7</v>
      </c>
      <c r="H4155" s="15" t="s">
        <v>30</v>
      </c>
      <c r="I4155" s="20" t="s">
        <v>25</v>
      </c>
      <c r="J4155" s="21">
        <v>3.16212853E8</v>
      </c>
      <c r="K4155" s="21">
        <v>0.0</v>
      </c>
    </row>
    <row r="4156">
      <c r="A4156" s="15" t="s">
        <v>74</v>
      </c>
      <c r="B4156" s="16" t="s">
        <v>203</v>
      </c>
      <c r="C4156" s="17" t="s">
        <v>204</v>
      </c>
      <c r="D4156" s="18">
        <v>5.0</v>
      </c>
      <c r="E4156" s="17" t="s">
        <v>22</v>
      </c>
      <c r="F4156" s="15" t="s">
        <v>146</v>
      </c>
      <c r="G4156" s="19">
        <v>9.00422E7</v>
      </c>
      <c r="H4156" s="15" t="s">
        <v>73</v>
      </c>
      <c r="I4156" s="20" t="s">
        <v>60</v>
      </c>
      <c r="J4156" s="21">
        <v>1.39650881E8</v>
      </c>
      <c r="K4156" s="21">
        <v>0.0</v>
      </c>
    </row>
    <row r="4157">
      <c r="A4157" s="15" t="s">
        <v>74</v>
      </c>
      <c r="B4157" s="16" t="s">
        <v>203</v>
      </c>
      <c r="C4157" s="17" t="s">
        <v>204</v>
      </c>
      <c r="D4157" s="18">
        <v>5.0</v>
      </c>
      <c r="E4157" s="17" t="s">
        <v>22</v>
      </c>
      <c r="F4157" s="15" t="s">
        <v>146</v>
      </c>
      <c r="G4157" s="19">
        <v>9.0042223E7</v>
      </c>
      <c r="H4157" s="15" t="s">
        <v>61</v>
      </c>
      <c r="I4157" s="20" t="s">
        <v>60</v>
      </c>
      <c r="J4157" s="21">
        <v>6647719.0</v>
      </c>
      <c r="K4157" s="21">
        <v>0.0</v>
      </c>
    </row>
    <row r="4158">
      <c r="A4158" s="15" t="s">
        <v>74</v>
      </c>
      <c r="B4158" s="16" t="s">
        <v>203</v>
      </c>
      <c r="C4158" s="17" t="s">
        <v>204</v>
      </c>
      <c r="D4158" s="18">
        <v>5.0</v>
      </c>
      <c r="E4158" s="17" t="s">
        <v>22</v>
      </c>
      <c r="F4158" s="15" t="s">
        <v>146</v>
      </c>
      <c r="G4158" s="19">
        <v>9.0042224E7</v>
      </c>
      <c r="H4158" s="15" t="s">
        <v>62</v>
      </c>
      <c r="I4158" s="20" t="s">
        <v>60</v>
      </c>
      <c r="J4158" s="21">
        <v>1130301.0</v>
      </c>
      <c r="K4158" s="21">
        <v>0.0</v>
      </c>
    </row>
    <row r="4159">
      <c r="A4159" s="15" t="s">
        <v>74</v>
      </c>
      <c r="B4159" s="16" t="s">
        <v>203</v>
      </c>
      <c r="C4159" s="17" t="s">
        <v>204</v>
      </c>
      <c r="D4159" s="18">
        <v>5.0</v>
      </c>
      <c r="E4159" s="17" t="s">
        <v>22</v>
      </c>
      <c r="F4159" s="15" t="s">
        <v>146</v>
      </c>
      <c r="G4159" s="19">
        <v>9.0042226E7</v>
      </c>
      <c r="H4159" s="15" t="s">
        <v>63</v>
      </c>
      <c r="I4159" s="20" t="s">
        <v>60</v>
      </c>
      <c r="J4159" s="21">
        <v>2065108.0</v>
      </c>
      <c r="K4159" s="21">
        <v>0.0</v>
      </c>
    </row>
    <row r="4160">
      <c r="A4160" s="15" t="s">
        <v>74</v>
      </c>
      <c r="B4160" s="16" t="s">
        <v>203</v>
      </c>
      <c r="C4160" s="17" t="s">
        <v>204</v>
      </c>
      <c r="D4160" s="18">
        <v>5.0</v>
      </c>
      <c r="E4160" s="17" t="s">
        <v>22</v>
      </c>
      <c r="F4160" s="15" t="s">
        <v>146</v>
      </c>
      <c r="G4160" s="19">
        <v>9.0042228E7</v>
      </c>
      <c r="H4160" s="15" t="s">
        <v>64</v>
      </c>
      <c r="I4160" s="20" t="s">
        <v>60</v>
      </c>
      <c r="J4160" s="21">
        <v>9.5889073E7</v>
      </c>
      <c r="K4160" s="21">
        <v>0.0</v>
      </c>
    </row>
    <row r="4161">
      <c r="A4161" s="15" t="s">
        <v>74</v>
      </c>
      <c r="B4161" s="16" t="s">
        <v>203</v>
      </c>
      <c r="C4161" s="17" t="s">
        <v>204</v>
      </c>
      <c r="D4161" s="18">
        <v>5.0</v>
      </c>
      <c r="E4161" s="17" t="s">
        <v>22</v>
      </c>
      <c r="F4161" s="15" t="s">
        <v>146</v>
      </c>
      <c r="G4161" s="19">
        <v>9.0042231E7</v>
      </c>
      <c r="H4161" s="15" t="s">
        <v>65</v>
      </c>
      <c r="I4161" s="20" t="s">
        <v>60</v>
      </c>
      <c r="J4161" s="21">
        <v>2182516.0</v>
      </c>
      <c r="K4161" s="21">
        <v>0.0</v>
      </c>
    </row>
    <row r="4162">
      <c r="A4162" s="15" t="s">
        <v>74</v>
      </c>
      <c r="B4162" s="16" t="s">
        <v>203</v>
      </c>
      <c r="C4162" s="17" t="s">
        <v>204</v>
      </c>
      <c r="D4162" s="18">
        <v>5.0</v>
      </c>
      <c r="E4162" s="17" t="s">
        <v>22</v>
      </c>
      <c r="F4162" s="15" t="s">
        <v>146</v>
      </c>
      <c r="G4162" s="19">
        <v>9.0042126E7</v>
      </c>
      <c r="H4162" s="15" t="s">
        <v>31</v>
      </c>
      <c r="I4162" s="20" t="s">
        <v>25</v>
      </c>
      <c r="J4162" s="21">
        <v>4.5293375E7</v>
      </c>
      <c r="K4162" s="21">
        <v>0.0</v>
      </c>
    </row>
    <row r="4163">
      <c r="A4163" s="15" t="s">
        <v>74</v>
      </c>
      <c r="B4163" s="16" t="s">
        <v>203</v>
      </c>
      <c r="C4163" s="17" t="s">
        <v>204</v>
      </c>
      <c r="D4163" s="18">
        <v>5.0</v>
      </c>
      <c r="E4163" s="17" t="s">
        <v>22</v>
      </c>
      <c r="F4163" s="15" t="s">
        <v>146</v>
      </c>
      <c r="G4163" s="19">
        <v>9.004212E7</v>
      </c>
      <c r="H4163" s="15" t="s">
        <v>182</v>
      </c>
      <c r="I4163" s="20" t="s">
        <v>25</v>
      </c>
      <c r="J4163" s="21">
        <v>5.5392E7</v>
      </c>
      <c r="K4163" s="21">
        <v>0.0</v>
      </c>
    </row>
    <row r="4164">
      <c r="A4164" s="15" t="s">
        <v>74</v>
      </c>
      <c r="B4164" s="16" t="s">
        <v>203</v>
      </c>
      <c r="C4164" s="17" t="s">
        <v>204</v>
      </c>
      <c r="D4164" s="18">
        <v>5.0</v>
      </c>
      <c r="E4164" s="17" t="s">
        <v>269</v>
      </c>
      <c r="F4164" s="15" t="s">
        <v>270</v>
      </c>
      <c r="G4164" s="19">
        <v>9.0043001E7</v>
      </c>
      <c r="H4164" s="15" t="s">
        <v>18</v>
      </c>
      <c r="I4164" s="20" t="s">
        <v>19</v>
      </c>
      <c r="J4164" s="21">
        <v>739332.0</v>
      </c>
      <c r="K4164" s="21">
        <v>4.0</v>
      </c>
    </row>
    <row r="4165">
      <c r="A4165" s="15" t="s">
        <v>74</v>
      </c>
      <c r="B4165" s="16" t="s">
        <v>203</v>
      </c>
      <c r="C4165" s="17" t="s">
        <v>204</v>
      </c>
      <c r="D4165" s="18">
        <v>5.0</v>
      </c>
      <c r="E4165" s="17" t="s">
        <v>201</v>
      </c>
      <c r="F4165" s="15" t="s">
        <v>202</v>
      </c>
      <c r="G4165" s="19">
        <v>5.1100058E7</v>
      </c>
      <c r="H4165" s="15" t="s">
        <v>36</v>
      </c>
      <c r="I4165" s="20" t="s">
        <v>37</v>
      </c>
      <c r="J4165" s="21">
        <v>1693297.0</v>
      </c>
      <c r="K4165" s="21">
        <v>19.44</v>
      </c>
    </row>
    <row r="4166">
      <c r="A4166" s="15" t="s">
        <v>74</v>
      </c>
      <c r="B4166" s="16" t="s">
        <v>212</v>
      </c>
      <c r="C4166" s="17" t="s">
        <v>213</v>
      </c>
      <c r="D4166" s="18">
        <v>5.0</v>
      </c>
      <c r="E4166" s="17" t="s">
        <v>84</v>
      </c>
      <c r="F4166" s="15" t="s">
        <v>85</v>
      </c>
      <c r="G4166" s="19">
        <v>9.0043001E7</v>
      </c>
      <c r="H4166" s="15" t="s">
        <v>18</v>
      </c>
      <c r="I4166" s="20" t="s">
        <v>19</v>
      </c>
      <c r="J4166" s="21">
        <v>1.8610515E7</v>
      </c>
      <c r="K4166" s="21">
        <v>92.0</v>
      </c>
    </row>
    <row r="4167">
      <c r="A4167" s="15" t="s">
        <v>74</v>
      </c>
      <c r="B4167" s="16" t="s">
        <v>212</v>
      </c>
      <c r="C4167" s="17" t="s">
        <v>213</v>
      </c>
      <c r="D4167" s="18">
        <v>5.0</v>
      </c>
      <c r="E4167" s="17" t="s">
        <v>86</v>
      </c>
      <c r="F4167" s="15" t="s">
        <v>87</v>
      </c>
      <c r="G4167" s="19">
        <v>9.0043001E7</v>
      </c>
      <c r="H4167" s="15" t="s">
        <v>18</v>
      </c>
      <c r="I4167" s="20" t="s">
        <v>19</v>
      </c>
      <c r="J4167" s="21">
        <v>2.503562E7</v>
      </c>
      <c r="K4167" s="21">
        <v>124.0</v>
      </c>
    </row>
    <row r="4168">
      <c r="A4168" s="15" t="s">
        <v>74</v>
      </c>
      <c r="B4168" s="16" t="s">
        <v>212</v>
      </c>
      <c r="C4168" s="17" t="s">
        <v>213</v>
      </c>
      <c r="D4168" s="18">
        <v>5.0</v>
      </c>
      <c r="E4168" s="17" t="s">
        <v>86</v>
      </c>
      <c r="F4168" s="15" t="s">
        <v>87</v>
      </c>
      <c r="G4168" s="19">
        <v>9.0043E7</v>
      </c>
      <c r="H4168" s="15" t="s">
        <v>83</v>
      </c>
      <c r="I4168" s="20" t="s">
        <v>19</v>
      </c>
      <c r="J4168" s="21">
        <v>196539.0</v>
      </c>
      <c r="K4168" s="21">
        <v>1.0</v>
      </c>
    </row>
    <row r="4169">
      <c r="A4169" s="15" t="s">
        <v>74</v>
      </c>
      <c r="B4169" s="16" t="s">
        <v>212</v>
      </c>
      <c r="C4169" s="17" t="s">
        <v>213</v>
      </c>
      <c r="D4169" s="18">
        <v>5.0</v>
      </c>
      <c r="E4169" s="17" t="s">
        <v>91</v>
      </c>
      <c r="F4169" s="15" t="s">
        <v>92</v>
      </c>
      <c r="G4169" s="19">
        <v>9.0043001E7</v>
      </c>
      <c r="H4169" s="15" t="s">
        <v>18</v>
      </c>
      <c r="I4169" s="20" t="s">
        <v>19</v>
      </c>
      <c r="J4169" s="21">
        <v>5521597.0</v>
      </c>
      <c r="K4169" s="21">
        <v>31.0</v>
      </c>
    </row>
    <row r="4170">
      <c r="A4170" s="15" t="s">
        <v>74</v>
      </c>
      <c r="B4170" s="16" t="s">
        <v>212</v>
      </c>
      <c r="C4170" s="17" t="s">
        <v>213</v>
      </c>
      <c r="D4170" s="18">
        <v>5.0</v>
      </c>
      <c r="E4170" s="17" t="s">
        <v>91</v>
      </c>
      <c r="F4170" s="15" t="s">
        <v>92</v>
      </c>
      <c r="G4170" s="19">
        <v>9.0043E7</v>
      </c>
      <c r="H4170" s="15" t="s">
        <v>83</v>
      </c>
      <c r="I4170" s="20" t="s">
        <v>19</v>
      </c>
      <c r="J4170" s="21">
        <v>196539.0</v>
      </c>
      <c r="K4170" s="21">
        <v>1.0</v>
      </c>
    </row>
    <row r="4171">
      <c r="A4171" s="15" t="s">
        <v>74</v>
      </c>
      <c r="B4171" s="16" t="s">
        <v>212</v>
      </c>
      <c r="C4171" s="17" t="s">
        <v>213</v>
      </c>
      <c r="D4171" s="18">
        <v>5.0</v>
      </c>
      <c r="E4171" s="17" t="s">
        <v>189</v>
      </c>
      <c r="F4171" s="15" t="s">
        <v>190</v>
      </c>
      <c r="G4171" s="19">
        <v>9.0043E7</v>
      </c>
      <c r="H4171" s="15" t="s">
        <v>83</v>
      </c>
      <c r="I4171" s="20" t="s">
        <v>19</v>
      </c>
      <c r="J4171" s="21">
        <v>1375773.0</v>
      </c>
      <c r="K4171" s="21">
        <v>7.0</v>
      </c>
    </row>
    <row r="4172">
      <c r="A4172" s="15" t="s">
        <v>74</v>
      </c>
      <c r="B4172" s="16" t="s">
        <v>212</v>
      </c>
      <c r="C4172" s="17" t="s">
        <v>213</v>
      </c>
      <c r="D4172" s="18">
        <v>5.0</v>
      </c>
      <c r="E4172" s="17" t="s">
        <v>95</v>
      </c>
      <c r="F4172" s="15" t="s">
        <v>96</v>
      </c>
      <c r="G4172" s="19">
        <v>5.1100058E7</v>
      </c>
      <c r="H4172" s="15" t="s">
        <v>36</v>
      </c>
      <c r="I4172" s="20" t="s">
        <v>37</v>
      </c>
      <c r="J4172" s="21">
        <v>4.6375434E7</v>
      </c>
      <c r="K4172" s="21">
        <v>254.933</v>
      </c>
    </row>
    <row r="4173">
      <c r="A4173" s="15" t="s">
        <v>74</v>
      </c>
      <c r="B4173" s="16" t="s">
        <v>212</v>
      </c>
      <c r="C4173" s="17" t="s">
        <v>213</v>
      </c>
      <c r="D4173" s="18">
        <v>5.0</v>
      </c>
      <c r="E4173" s="17" t="s">
        <v>95</v>
      </c>
      <c r="F4173" s="15" t="s">
        <v>96</v>
      </c>
      <c r="G4173" s="19">
        <v>9.0043001E7</v>
      </c>
      <c r="H4173" s="15" t="s">
        <v>18</v>
      </c>
      <c r="I4173" s="20" t="s">
        <v>19</v>
      </c>
      <c r="J4173" s="21">
        <v>3.8529356E7</v>
      </c>
      <c r="K4173" s="21">
        <v>214.0</v>
      </c>
    </row>
    <row r="4174">
      <c r="A4174" s="15" t="s">
        <v>74</v>
      </c>
      <c r="B4174" s="16" t="s">
        <v>212</v>
      </c>
      <c r="C4174" s="17" t="s">
        <v>213</v>
      </c>
      <c r="D4174" s="18">
        <v>5.0</v>
      </c>
      <c r="E4174" s="17" t="s">
        <v>95</v>
      </c>
      <c r="F4174" s="15" t="s">
        <v>96</v>
      </c>
      <c r="G4174" s="19">
        <v>5.1100774E7</v>
      </c>
      <c r="H4174" s="15" t="s">
        <v>39</v>
      </c>
      <c r="I4174" s="20" t="s">
        <v>25</v>
      </c>
      <c r="J4174" s="21">
        <v>0.0</v>
      </c>
      <c r="K4174" s="21">
        <v>0.0</v>
      </c>
    </row>
    <row r="4175">
      <c r="A4175" s="15" t="s">
        <v>74</v>
      </c>
      <c r="B4175" s="16" t="s">
        <v>212</v>
      </c>
      <c r="C4175" s="17" t="s">
        <v>213</v>
      </c>
      <c r="D4175" s="18">
        <v>5.0</v>
      </c>
      <c r="E4175" s="17" t="s">
        <v>97</v>
      </c>
      <c r="F4175" s="15" t="s">
        <v>98</v>
      </c>
      <c r="G4175" s="19">
        <v>9.0043001E7</v>
      </c>
      <c r="H4175" s="15" t="s">
        <v>18</v>
      </c>
      <c r="I4175" s="20" t="s">
        <v>19</v>
      </c>
      <c r="J4175" s="21">
        <v>3557596.0</v>
      </c>
      <c r="K4175" s="21">
        <v>20.0</v>
      </c>
    </row>
    <row r="4176">
      <c r="A4176" s="15" t="s">
        <v>74</v>
      </c>
      <c r="B4176" s="16" t="s">
        <v>212</v>
      </c>
      <c r="C4176" s="17" t="s">
        <v>213</v>
      </c>
      <c r="D4176" s="18">
        <v>5.0</v>
      </c>
      <c r="E4176" s="17" t="s">
        <v>99</v>
      </c>
      <c r="F4176" s="15" t="s">
        <v>100</v>
      </c>
      <c r="G4176" s="19">
        <v>9.0043001E7</v>
      </c>
      <c r="H4176" s="15" t="s">
        <v>18</v>
      </c>
      <c r="I4176" s="20" t="s">
        <v>19</v>
      </c>
      <c r="J4176" s="21">
        <v>3.9734686E7</v>
      </c>
      <c r="K4176" s="21">
        <v>212.0</v>
      </c>
    </row>
    <row r="4177">
      <c r="A4177" s="15" t="s">
        <v>74</v>
      </c>
      <c r="B4177" s="16" t="s">
        <v>212</v>
      </c>
      <c r="C4177" s="17" t="s">
        <v>213</v>
      </c>
      <c r="D4177" s="18">
        <v>5.0</v>
      </c>
      <c r="E4177" s="17" t="s">
        <v>99</v>
      </c>
      <c r="F4177" s="15" t="s">
        <v>100</v>
      </c>
      <c r="G4177" s="19">
        <v>9.0043E7</v>
      </c>
      <c r="H4177" s="15" t="s">
        <v>83</v>
      </c>
      <c r="I4177" s="20" t="s">
        <v>19</v>
      </c>
      <c r="J4177" s="21">
        <v>1165992.0</v>
      </c>
      <c r="K4177" s="21">
        <v>6.0</v>
      </c>
    </row>
    <row r="4178">
      <c r="A4178" s="15" t="s">
        <v>74</v>
      </c>
      <c r="B4178" s="16" t="s">
        <v>212</v>
      </c>
      <c r="C4178" s="17" t="s">
        <v>213</v>
      </c>
      <c r="D4178" s="18">
        <v>5.0</v>
      </c>
      <c r="E4178" s="17" t="s">
        <v>101</v>
      </c>
      <c r="F4178" s="15" t="s">
        <v>102</v>
      </c>
      <c r="G4178" s="19">
        <v>9.0043001E7</v>
      </c>
      <c r="H4178" s="15" t="s">
        <v>18</v>
      </c>
      <c r="I4178" s="20" t="s">
        <v>19</v>
      </c>
      <c r="J4178" s="21">
        <v>2.6088877E7</v>
      </c>
      <c r="K4178" s="21">
        <v>153.0</v>
      </c>
    </row>
    <row r="4179">
      <c r="A4179" s="15" t="s">
        <v>74</v>
      </c>
      <c r="B4179" s="16" t="s">
        <v>212</v>
      </c>
      <c r="C4179" s="17" t="s">
        <v>213</v>
      </c>
      <c r="D4179" s="18">
        <v>5.0</v>
      </c>
      <c r="E4179" s="17" t="s">
        <v>101</v>
      </c>
      <c r="F4179" s="15" t="s">
        <v>102</v>
      </c>
      <c r="G4179" s="19">
        <v>9.0043E7</v>
      </c>
      <c r="H4179" s="15" t="s">
        <v>83</v>
      </c>
      <c r="I4179" s="20" t="s">
        <v>19</v>
      </c>
      <c r="J4179" s="21">
        <v>388664.0</v>
      </c>
      <c r="K4179" s="21">
        <v>2.0</v>
      </c>
    </row>
    <row r="4180">
      <c r="A4180" s="15" t="s">
        <v>74</v>
      </c>
      <c r="B4180" s="16" t="s">
        <v>212</v>
      </c>
      <c r="C4180" s="17" t="s">
        <v>213</v>
      </c>
      <c r="D4180" s="18">
        <v>5.0</v>
      </c>
      <c r="E4180" s="17" t="s">
        <v>105</v>
      </c>
      <c r="F4180" s="15" t="s">
        <v>106</v>
      </c>
      <c r="G4180" s="19">
        <v>5.1100774E7</v>
      </c>
      <c r="H4180" s="15" t="s">
        <v>39</v>
      </c>
      <c r="I4180" s="20" t="s">
        <v>25</v>
      </c>
      <c r="J4180" s="21">
        <v>-150000.0</v>
      </c>
      <c r="K4180" s="21">
        <v>-30.0</v>
      </c>
    </row>
    <row r="4181">
      <c r="A4181" s="15" t="s">
        <v>74</v>
      </c>
      <c r="B4181" s="16" t="s">
        <v>212</v>
      </c>
      <c r="C4181" s="17" t="s">
        <v>213</v>
      </c>
      <c r="D4181" s="18">
        <v>5.0</v>
      </c>
      <c r="E4181" s="17" t="s">
        <v>110</v>
      </c>
      <c r="F4181" s="15" t="s">
        <v>111</v>
      </c>
      <c r="G4181" s="19">
        <v>5.1100058E7</v>
      </c>
      <c r="H4181" s="15" t="s">
        <v>36</v>
      </c>
      <c r="I4181" s="20" t="s">
        <v>37</v>
      </c>
      <c r="J4181" s="21">
        <v>882436.0</v>
      </c>
      <c r="K4181" s="21">
        <v>2.6</v>
      </c>
    </row>
    <row r="4182">
      <c r="A4182" s="15" t="s">
        <v>74</v>
      </c>
      <c r="B4182" s="16" t="s">
        <v>212</v>
      </c>
      <c r="C4182" s="17" t="s">
        <v>213</v>
      </c>
      <c r="D4182" s="18">
        <v>5.0</v>
      </c>
      <c r="E4182" s="17" t="s">
        <v>112</v>
      </c>
      <c r="F4182" s="15" t="s">
        <v>113</v>
      </c>
      <c r="G4182" s="19">
        <v>9.0043001E7</v>
      </c>
      <c r="H4182" s="15" t="s">
        <v>18</v>
      </c>
      <c r="I4182" s="20" t="s">
        <v>19</v>
      </c>
      <c r="J4182" s="21">
        <v>6414184.0</v>
      </c>
      <c r="K4182" s="21">
        <v>36.0</v>
      </c>
    </row>
    <row r="4183">
      <c r="A4183" s="15" t="s">
        <v>74</v>
      </c>
      <c r="B4183" s="16" t="s">
        <v>212</v>
      </c>
      <c r="C4183" s="17" t="s">
        <v>213</v>
      </c>
      <c r="D4183" s="18">
        <v>5.0</v>
      </c>
      <c r="E4183" s="17" t="s">
        <v>112</v>
      </c>
      <c r="F4183" s="15" t="s">
        <v>113</v>
      </c>
      <c r="G4183" s="19">
        <v>9.0043E7</v>
      </c>
      <c r="H4183" s="15" t="s">
        <v>83</v>
      </c>
      <c r="I4183" s="20" t="s">
        <v>19</v>
      </c>
      <c r="J4183" s="21">
        <v>1943320.0</v>
      </c>
      <c r="K4183" s="21">
        <v>10.0</v>
      </c>
    </row>
    <row r="4184">
      <c r="A4184" s="15" t="s">
        <v>74</v>
      </c>
      <c r="B4184" s="16" t="s">
        <v>212</v>
      </c>
      <c r="C4184" s="17" t="s">
        <v>213</v>
      </c>
      <c r="D4184" s="18">
        <v>5.0</v>
      </c>
      <c r="E4184" s="17" t="s">
        <v>207</v>
      </c>
      <c r="F4184" s="15" t="s">
        <v>208</v>
      </c>
      <c r="G4184" s="19">
        <v>9.0043001E7</v>
      </c>
      <c r="H4184" s="15" t="s">
        <v>18</v>
      </c>
      <c r="I4184" s="20" t="s">
        <v>19</v>
      </c>
      <c r="J4184" s="21">
        <v>7042157.0</v>
      </c>
      <c r="K4184" s="21">
        <v>36.0</v>
      </c>
    </row>
    <row r="4185">
      <c r="A4185" s="15" t="s">
        <v>74</v>
      </c>
      <c r="B4185" s="16" t="s">
        <v>212</v>
      </c>
      <c r="C4185" s="17" t="s">
        <v>213</v>
      </c>
      <c r="D4185" s="18">
        <v>5.0</v>
      </c>
      <c r="E4185" s="17" t="s">
        <v>175</v>
      </c>
      <c r="F4185" s="15" t="s">
        <v>176</v>
      </c>
      <c r="G4185" s="19">
        <v>9.0043002E7</v>
      </c>
      <c r="H4185" s="15" t="s">
        <v>49</v>
      </c>
      <c r="I4185" s="20" t="s">
        <v>50</v>
      </c>
      <c r="J4185" s="21">
        <v>931805.0</v>
      </c>
      <c r="K4185" s="21">
        <v>50.0</v>
      </c>
    </row>
    <row r="4186">
      <c r="A4186" s="15" t="s">
        <v>74</v>
      </c>
      <c r="B4186" s="16" t="s">
        <v>212</v>
      </c>
      <c r="C4186" s="17" t="s">
        <v>213</v>
      </c>
      <c r="D4186" s="18">
        <v>5.0</v>
      </c>
      <c r="E4186" s="17" t="s">
        <v>117</v>
      </c>
      <c r="F4186" s="15" t="s">
        <v>118</v>
      </c>
      <c r="G4186" s="19">
        <v>5.1100058E7</v>
      </c>
      <c r="H4186" s="15" t="s">
        <v>36</v>
      </c>
      <c r="I4186" s="20" t="s">
        <v>37</v>
      </c>
      <c r="J4186" s="21">
        <v>4.02458814E8</v>
      </c>
      <c r="K4186" s="21">
        <v>51905.5</v>
      </c>
    </row>
    <row r="4187">
      <c r="A4187" s="15" t="s">
        <v>74</v>
      </c>
      <c r="B4187" s="16" t="s">
        <v>212</v>
      </c>
      <c r="C4187" s="17" t="s">
        <v>213</v>
      </c>
      <c r="D4187" s="18">
        <v>5.0</v>
      </c>
      <c r="E4187" s="17" t="s">
        <v>117</v>
      </c>
      <c r="F4187" s="15" t="s">
        <v>118</v>
      </c>
      <c r="G4187" s="19">
        <v>5.1101999E7</v>
      </c>
      <c r="H4187" s="15" t="s">
        <v>107</v>
      </c>
      <c r="I4187" s="20" t="s">
        <v>17</v>
      </c>
      <c r="J4187" s="21">
        <v>9932155.0</v>
      </c>
      <c r="K4187" s="21">
        <v>89.18</v>
      </c>
    </row>
    <row r="4188">
      <c r="A4188" s="15" t="s">
        <v>74</v>
      </c>
      <c r="B4188" s="16" t="s">
        <v>212</v>
      </c>
      <c r="C4188" s="17" t="s">
        <v>213</v>
      </c>
      <c r="D4188" s="18">
        <v>5.0</v>
      </c>
      <c r="E4188" s="17" t="s">
        <v>117</v>
      </c>
      <c r="F4188" s="15" t="s">
        <v>118</v>
      </c>
      <c r="G4188" s="19">
        <v>9.0043001E7</v>
      </c>
      <c r="H4188" s="15" t="s">
        <v>18</v>
      </c>
      <c r="I4188" s="20" t="s">
        <v>19</v>
      </c>
      <c r="J4188" s="21">
        <v>3926990.0</v>
      </c>
      <c r="K4188" s="21">
        <v>22.0</v>
      </c>
    </row>
    <row r="4189">
      <c r="A4189" s="15" t="s">
        <v>74</v>
      </c>
      <c r="B4189" s="16" t="s">
        <v>212</v>
      </c>
      <c r="C4189" s="17" t="s">
        <v>213</v>
      </c>
      <c r="D4189" s="18">
        <v>5.0</v>
      </c>
      <c r="E4189" s="17" t="s">
        <v>117</v>
      </c>
      <c r="F4189" s="15" t="s">
        <v>118</v>
      </c>
      <c r="G4189" s="19">
        <v>5.1100774E7</v>
      </c>
      <c r="H4189" s="15" t="s">
        <v>39</v>
      </c>
      <c r="I4189" s="20" t="s">
        <v>25</v>
      </c>
      <c r="J4189" s="21">
        <v>-9932156.0</v>
      </c>
      <c r="K4189" s="21">
        <v>-89.18</v>
      </c>
    </row>
    <row r="4190">
      <c r="A4190" s="15" t="s">
        <v>74</v>
      </c>
      <c r="B4190" s="16" t="s">
        <v>212</v>
      </c>
      <c r="C4190" s="17" t="s">
        <v>213</v>
      </c>
      <c r="D4190" s="18">
        <v>5.0</v>
      </c>
      <c r="E4190" s="17" t="s">
        <v>125</v>
      </c>
      <c r="F4190" s="15" t="s">
        <v>126</v>
      </c>
      <c r="G4190" s="19">
        <v>9.0043001E7</v>
      </c>
      <c r="H4190" s="15" t="s">
        <v>18</v>
      </c>
      <c r="I4190" s="20" t="s">
        <v>19</v>
      </c>
      <c r="J4190" s="21">
        <v>3.20733551E8</v>
      </c>
      <c r="K4190" s="21">
        <v>1806.0</v>
      </c>
    </row>
    <row r="4191">
      <c r="A4191" s="15" t="s">
        <v>74</v>
      </c>
      <c r="B4191" s="16" t="s">
        <v>212</v>
      </c>
      <c r="C4191" s="17" t="s">
        <v>213</v>
      </c>
      <c r="D4191" s="18">
        <v>5.0</v>
      </c>
      <c r="E4191" s="17" t="s">
        <v>127</v>
      </c>
      <c r="F4191" s="15" t="s">
        <v>128</v>
      </c>
      <c r="G4191" s="19">
        <v>5.1100153E7</v>
      </c>
      <c r="H4191" s="15" t="s">
        <v>72</v>
      </c>
      <c r="I4191" s="20" t="s">
        <v>17</v>
      </c>
      <c r="J4191" s="21">
        <v>1.08512571E8</v>
      </c>
      <c r="K4191" s="21">
        <v>693439.948</v>
      </c>
    </row>
    <row r="4192">
      <c r="A4192" s="15" t="s">
        <v>74</v>
      </c>
      <c r="B4192" s="16" t="s">
        <v>212</v>
      </c>
      <c r="C4192" s="17" t="s">
        <v>213</v>
      </c>
      <c r="D4192" s="18">
        <v>5.0</v>
      </c>
      <c r="E4192" s="17" t="s">
        <v>127</v>
      </c>
      <c r="F4192" s="15" t="s">
        <v>128</v>
      </c>
      <c r="G4192" s="19">
        <v>9.0043002E7</v>
      </c>
      <c r="H4192" s="15" t="s">
        <v>49</v>
      </c>
      <c r="I4192" s="20" t="s">
        <v>50</v>
      </c>
      <c r="J4192" s="21">
        <v>4.8863855E7</v>
      </c>
      <c r="K4192" s="21">
        <v>2622.0</v>
      </c>
    </row>
    <row r="4193">
      <c r="A4193" s="15" t="s">
        <v>74</v>
      </c>
      <c r="B4193" s="16" t="s">
        <v>212</v>
      </c>
      <c r="C4193" s="17" t="s">
        <v>213</v>
      </c>
      <c r="D4193" s="18">
        <v>5.0</v>
      </c>
      <c r="E4193" s="17" t="s">
        <v>129</v>
      </c>
      <c r="F4193" s="15" t="s">
        <v>130</v>
      </c>
      <c r="G4193" s="19">
        <v>5.1101056E7</v>
      </c>
      <c r="H4193" s="15" t="s">
        <v>16</v>
      </c>
      <c r="I4193" s="20" t="s">
        <v>17</v>
      </c>
      <c r="J4193" s="21">
        <v>5.78083E7</v>
      </c>
      <c r="K4193" s="21">
        <v>525530.0</v>
      </c>
    </row>
    <row r="4194">
      <c r="A4194" s="15" t="s">
        <v>74</v>
      </c>
      <c r="B4194" s="16" t="s">
        <v>212</v>
      </c>
      <c r="C4194" s="17" t="s">
        <v>213</v>
      </c>
      <c r="D4194" s="18">
        <v>5.0</v>
      </c>
      <c r="E4194" s="17" t="s">
        <v>135</v>
      </c>
      <c r="F4194" s="15" t="s">
        <v>136</v>
      </c>
      <c r="G4194" s="19">
        <v>9.0043001E7</v>
      </c>
      <c r="H4194" s="15" t="s">
        <v>18</v>
      </c>
      <c r="I4194" s="20" t="s">
        <v>19</v>
      </c>
      <c r="J4194" s="21">
        <v>4.8793698E7</v>
      </c>
      <c r="K4194" s="21">
        <v>283.0</v>
      </c>
    </row>
    <row r="4195">
      <c r="A4195" s="15" t="s">
        <v>74</v>
      </c>
      <c r="B4195" s="16" t="s">
        <v>212</v>
      </c>
      <c r="C4195" s="17" t="s">
        <v>213</v>
      </c>
      <c r="D4195" s="18">
        <v>5.0</v>
      </c>
      <c r="E4195" s="17" t="s">
        <v>162</v>
      </c>
      <c r="F4195" s="15" t="s">
        <v>163</v>
      </c>
      <c r="G4195" s="19">
        <v>9.0043001E7</v>
      </c>
      <c r="H4195" s="15" t="s">
        <v>18</v>
      </c>
      <c r="I4195" s="20" t="s">
        <v>19</v>
      </c>
      <c r="J4195" s="21">
        <v>2.5695485E7</v>
      </c>
      <c r="K4195" s="21">
        <v>144.0</v>
      </c>
    </row>
    <row r="4196">
      <c r="A4196" s="15" t="s">
        <v>74</v>
      </c>
      <c r="B4196" s="16" t="s">
        <v>212</v>
      </c>
      <c r="C4196" s="17" t="s">
        <v>213</v>
      </c>
      <c r="D4196" s="18">
        <v>5.0</v>
      </c>
      <c r="E4196" s="17" t="s">
        <v>54</v>
      </c>
      <c r="F4196" s="15" t="s">
        <v>139</v>
      </c>
      <c r="G4196" s="19">
        <v>9.0042011E7</v>
      </c>
      <c r="H4196" s="15" t="s">
        <v>55</v>
      </c>
      <c r="I4196" s="20" t="s">
        <v>19</v>
      </c>
      <c r="J4196" s="21">
        <v>3.14452013E8</v>
      </c>
      <c r="K4196" s="21">
        <v>0.0</v>
      </c>
    </row>
    <row r="4197">
      <c r="A4197" s="15" t="s">
        <v>74</v>
      </c>
      <c r="B4197" s="16" t="s">
        <v>212</v>
      </c>
      <c r="C4197" s="17" t="s">
        <v>213</v>
      </c>
      <c r="D4197" s="18">
        <v>5.0</v>
      </c>
      <c r="E4197" s="17" t="s">
        <v>164</v>
      </c>
      <c r="F4197" s="15" t="s">
        <v>165</v>
      </c>
      <c r="G4197" s="19">
        <v>9.0042079E7</v>
      </c>
      <c r="H4197" s="15" t="s">
        <v>166</v>
      </c>
      <c r="I4197" s="20" t="s">
        <v>19</v>
      </c>
      <c r="J4197" s="21">
        <v>245700.0</v>
      </c>
      <c r="K4197" s="21">
        <v>0.0</v>
      </c>
    </row>
    <row r="4198">
      <c r="A4198" s="15" t="s">
        <v>74</v>
      </c>
      <c r="B4198" s="16" t="s">
        <v>212</v>
      </c>
      <c r="C4198" s="17" t="s">
        <v>213</v>
      </c>
      <c r="D4198" s="18">
        <v>5.0</v>
      </c>
      <c r="E4198" s="17" t="s">
        <v>20</v>
      </c>
      <c r="F4198" s="15" t="s">
        <v>140</v>
      </c>
      <c r="G4198" s="19">
        <v>9.0042014E7</v>
      </c>
      <c r="H4198" s="15" t="s">
        <v>21</v>
      </c>
      <c r="I4198" s="20" t="s">
        <v>19</v>
      </c>
      <c r="J4198" s="21">
        <v>3.91052417E8</v>
      </c>
      <c r="K4198" s="21">
        <v>0.0</v>
      </c>
    </row>
    <row r="4199">
      <c r="A4199" s="15" t="s">
        <v>74</v>
      </c>
      <c r="B4199" s="16" t="s">
        <v>212</v>
      </c>
      <c r="C4199" s="17" t="s">
        <v>213</v>
      </c>
      <c r="D4199" s="18">
        <v>5.0</v>
      </c>
      <c r="E4199" s="17" t="s">
        <v>20</v>
      </c>
      <c r="F4199" s="15" t="s">
        <v>140</v>
      </c>
      <c r="G4199" s="19">
        <v>9.0042077E7</v>
      </c>
      <c r="H4199" s="15" t="s">
        <v>141</v>
      </c>
      <c r="I4199" s="20" t="s">
        <v>19</v>
      </c>
      <c r="J4199" s="21">
        <v>7.1600906E7</v>
      </c>
      <c r="K4199" s="21">
        <v>0.0</v>
      </c>
    </row>
    <row r="4200">
      <c r="A4200" s="15" t="s">
        <v>74</v>
      </c>
      <c r="B4200" s="16" t="s">
        <v>212</v>
      </c>
      <c r="C4200" s="17" t="s">
        <v>213</v>
      </c>
      <c r="D4200" s="18">
        <v>5.0</v>
      </c>
      <c r="E4200" s="17" t="s">
        <v>142</v>
      </c>
      <c r="F4200" s="15" t="s">
        <v>143</v>
      </c>
      <c r="G4200" s="19">
        <v>9.0042084E7</v>
      </c>
      <c r="H4200" s="15" t="s">
        <v>145</v>
      </c>
      <c r="I4200" s="20" t="s">
        <v>19</v>
      </c>
      <c r="J4200" s="21">
        <v>1009950.0</v>
      </c>
      <c r="K4200" s="21">
        <v>0.0</v>
      </c>
    </row>
    <row r="4201">
      <c r="A4201" s="15" t="s">
        <v>74</v>
      </c>
      <c r="B4201" s="16" t="s">
        <v>212</v>
      </c>
      <c r="C4201" s="17" t="s">
        <v>213</v>
      </c>
      <c r="D4201" s="18">
        <v>5.0</v>
      </c>
      <c r="E4201" s="17" t="s">
        <v>22</v>
      </c>
      <c r="F4201" s="15" t="s">
        <v>146</v>
      </c>
      <c r="G4201" s="19">
        <v>5.1100058E7</v>
      </c>
      <c r="H4201" s="15" t="s">
        <v>36</v>
      </c>
      <c r="I4201" s="20" t="s">
        <v>37</v>
      </c>
      <c r="J4201" s="21">
        <v>9612339.0</v>
      </c>
      <c r="K4201" s="21">
        <v>1631.68</v>
      </c>
    </row>
    <row r="4202">
      <c r="A4202" s="15" t="s">
        <v>74</v>
      </c>
      <c r="B4202" s="16" t="s">
        <v>212</v>
      </c>
      <c r="C4202" s="17" t="s">
        <v>213</v>
      </c>
      <c r="D4202" s="18">
        <v>5.0</v>
      </c>
      <c r="E4202" s="17" t="s">
        <v>22</v>
      </c>
      <c r="F4202" s="15" t="s">
        <v>146</v>
      </c>
      <c r="G4202" s="19">
        <v>5.1100107E7</v>
      </c>
      <c r="H4202" s="15" t="s">
        <v>348</v>
      </c>
      <c r="I4202" s="20" t="s">
        <v>37</v>
      </c>
      <c r="J4202" s="21">
        <v>2.8185594E7</v>
      </c>
      <c r="K4202" s="21">
        <v>13406.0</v>
      </c>
    </row>
    <row r="4203">
      <c r="A4203" s="15" t="s">
        <v>74</v>
      </c>
      <c r="B4203" s="16" t="s">
        <v>212</v>
      </c>
      <c r="C4203" s="17" t="s">
        <v>213</v>
      </c>
      <c r="D4203" s="18">
        <v>5.0</v>
      </c>
      <c r="E4203" s="17" t="s">
        <v>22</v>
      </c>
      <c r="F4203" s="15" t="s">
        <v>146</v>
      </c>
      <c r="G4203" s="19">
        <v>9.0042012E7</v>
      </c>
      <c r="H4203" s="15" t="s">
        <v>23</v>
      </c>
      <c r="I4203" s="20" t="s">
        <v>19</v>
      </c>
      <c r="J4203" s="21">
        <v>1.46384744E8</v>
      </c>
      <c r="K4203" s="21">
        <v>0.0</v>
      </c>
    </row>
    <row r="4204">
      <c r="A4204" s="15" t="s">
        <v>74</v>
      </c>
      <c r="B4204" s="16" t="s">
        <v>212</v>
      </c>
      <c r="C4204" s="17" t="s">
        <v>213</v>
      </c>
      <c r="D4204" s="18">
        <v>5.0</v>
      </c>
      <c r="E4204" s="17" t="s">
        <v>22</v>
      </c>
      <c r="F4204" s="15" t="s">
        <v>146</v>
      </c>
      <c r="G4204" s="19">
        <v>9.0042121E7</v>
      </c>
      <c r="H4204" s="15" t="s">
        <v>24</v>
      </c>
      <c r="I4204" s="20" t="s">
        <v>25</v>
      </c>
      <c r="J4204" s="21">
        <v>1.59739533E8</v>
      </c>
      <c r="K4204" s="21">
        <v>0.0</v>
      </c>
    </row>
    <row r="4205">
      <c r="A4205" s="15" t="s">
        <v>74</v>
      </c>
      <c r="B4205" s="16" t="s">
        <v>212</v>
      </c>
      <c r="C4205" s="17" t="s">
        <v>213</v>
      </c>
      <c r="D4205" s="18">
        <v>5.0</v>
      </c>
      <c r="E4205" s="17" t="s">
        <v>22</v>
      </c>
      <c r="F4205" s="15" t="s">
        <v>146</v>
      </c>
      <c r="G4205" s="19">
        <v>9.0042122E7</v>
      </c>
      <c r="H4205" s="15" t="s">
        <v>56</v>
      </c>
      <c r="I4205" s="20" t="s">
        <v>25</v>
      </c>
      <c r="J4205" s="21">
        <v>1.03273807E8</v>
      </c>
      <c r="K4205" s="21">
        <v>0.0</v>
      </c>
    </row>
    <row r="4206">
      <c r="A4206" s="15" t="s">
        <v>74</v>
      </c>
      <c r="B4206" s="16" t="s">
        <v>212</v>
      </c>
      <c r="C4206" s="17" t="s">
        <v>213</v>
      </c>
      <c r="D4206" s="18">
        <v>5.0</v>
      </c>
      <c r="E4206" s="17" t="s">
        <v>22</v>
      </c>
      <c r="F4206" s="15" t="s">
        <v>146</v>
      </c>
      <c r="G4206" s="19">
        <v>9.0042124E7</v>
      </c>
      <c r="H4206" s="15" t="s">
        <v>57</v>
      </c>
      <c r="I4206" s="20" t="s">
        <v>25</v>
      </c>
      <c r="J4206" s="21">
        <v>3.6610337E7</v>
      </c>
      <c r="K4206" s="21">
        <v>0.0</v>
      </c>
    </row>
    <row r="4207">
      <c r="A4207" s="15" t="s">
        <v>74</v>
      </c>
      <c r="B4207" s="16" t="s">
        <v>212</v>
      </c>
      <c r="C4207" s="17" t="s">
        <v>213</v>
      </c>
      <c r="D4207" s="18">
        <v>5.0</v>
      </c>
      <c r="E4207" s="17" t="s">
        <v>22</v>
      </c>
      <c r="F4207" s="15" t="s">
        <v>146</v>
      </c>
      <c r="G4207" s="19">
        <v>9.0042125E7</v>
      </c>
      <c r="H4207" s="15" t="s">
        <v>26</v>
      </c>
      <c r="I4207" s="20" t="s">
        <v>25</v>
      </c>
      <c r="J4207" s="21">
        <v>6.7879667E7</v>
      </c>
      <c r="K4207" s="21">
        <v>0.0</v>
      </c>
    </row>
    <row r="4208">
      <c r="A4208" s="15" t="s">
        <v>74</v>
      </c>
      <c r="B4208" s="16" t="s">
        <v>212</v>
      </c>
      <c r="C4208" s="17" t="s">
        <v>213</v>
      </c>
      <c r="D4208" s="18">
        <v>5.0</v>
      </c>
      <c r="E4208" s="17" t="s">
        <v>22</v>
      </c>
      <c r="F4208" s="15" t="s">
        <v>146</v>
      </c>
      <c r="G4208" s="19">
        <v>9.0042127E7</v>
      </c>
      <c r="H4208" s="15" t="s">
        <v>27</v>
      </c>
      <c r="I4208" s="20" t="s">
        <v>25</v>
      </c>
      <c r="J4208" s="21">
        <v>4.7051101E7</v>
      </c>
      <c r="K4208" s="21">
        <v>0.0</v>
      </c>
    </row>
    <row r="4209">
      <c r="A4209" s="15" t="s">
        <v>74</v>
      </c>
      <c r="B4209" s="16" t="s">
        <v>212</v>
      </c>
      <c r="C4209" s="17" t="s">
        <v>213</v>
      </c>
      <c r="D4209" s="18">
        <v>5.0</v>
      </c>
      <c r="E4209" s="17" t="s">
        <v>22</v>
      </c>
      <c r="F4209" s="15" t="s">
        <v>146</v>
      </c>
      <c r="G4209" s="19">
        <v>9.0042132E7</v>
      </c>
      <c r="H4209" s="15" t="s">
        <v>28</v>
      </c>
      <c r="I4209" s="20" t="s">
        <v>25</v>
      </c>
      <c r="J4209" s="21">
        <v>1.5889782E7</v>
      </c>
      <c r="K4209" s="21">
        <v>0.0</v>
      </c>
    </row>
    <row r="4210">
      <c r="A4210" s="15" t="s">
        <v>74</v>
      </c>
      <c r="B4210" s="16" t="s">
        <v>212</v>
      </c>
      <c r="C4210" s="17" t="s">
        <v>213</v>
      </c>
      <c r="D4210" s="18">
        <v>5.0</v>
      </c>
      <c r="E4210" s="17" t="s">
        <v>22</v>
      </c>
      <c r="F4210" s="15" t="s">
        <v>146</v>
      </c>
      <c r="G4210" s="19">
        <v>9.0042134E7</v>
      </c>
      <c r="H4210" s="15" t="s">
        <v>29</v>
      </c>
      <c r="I4210" s="20" t="s">
        <v>25</v>
      </c>
      <c r="J4210" s="21">
        <v>3249000.0</v>
      </c>
      <c r="K4210" s="21">
        <v>0.0</v>
      </c>
    </row>
    <row r="4211">
      <c r="A4211" s="15" t="s">
        <v>74</v>
      </c>
      <c r="B4211" s="16" t="s">
        <v>212</v>
      </c>
      <c r="C4211" s="17" t="s">
        <v>213</v>
      </c>
      <c r="D4211" s="18">
        <v>5.0</v>
      </c>
      <c r="E4211" s="17" t="s">
        <v>22</v>
      </c>
      <c r="F4211" s="15" t="s">
        <v>146</v>
      </c>
      <c r="G4211" s="19">
        <v>9.0042135E7</v>
      </c>
      <c r="H4211" s="15" t="s">
        <v>30</v>
      </c>
      <c r="I4211" s="20" t="s">
        <v>25</v>
      </c>
      <c r="J4211" s="21">
        <v>2.91606484E8</v>
      </c>
      <c r="K4211" s="21">
        <v>0.0</v>
      </c>
    </row>
    <row r="4212">
      <c r="A4212" s="15" t="s">
        <v>74</v>
      </c>
      <c r="B4212" s="16" t="s">
        <v>212</v>
      </c>
      <c r="C4212" s="17" t="s">
        <v>213</v>
      </c>
      <c r="D4212" s="18">
        <v>5.0</v>
      </c>
      <c r="E4212" s="17" t="s">
        <v>22</v>
      </c>
      <c r="F4212" s="15" t="s">
        <v>146</v>
      </c>
      <c r="G4212" s="19">
        <v>9.00422E7</v>
      </c>
      <c r="H4212" s="15" t="s">
        <v>73</v>
      </c>
      <c r="I4212" s="20" t="s">
        <v>60</v>
      </c>
      <c r="J4212" s="21">
        <v>8.8449164E7</v>
      </c>
      <c r="K4212" s="21">
        <v>0.0</v>
      </c>
    </row>
    <row r="4213">
      <c r="A4213" s="15" t="s">
        <v>74</v>
      </c>
      <c r="B4213" s="16" t="s">
        <v>212</v>
      </c>
      <c r="C4213" s="17" t="s">
        <v>213</v>
      </c>
      <c r="D4213" s="18">
        <v>5.0</v>
      </c>
      <c r="E4213" s="17" t="s">
        <v>22</v>
      </c>
      <c r="F4213" s="15" t="s">
        <v>146</v>
      </c>
      <c r="G4213" s="19">
        <v>9.0042223E7</v>
      </c>
      <c r="H4213" s="15" t="s">
        <v>61</v>
      </c>
      <c r="I4213" s="20" t="s">
        <v>60</v>
      </c>
      <c r="J4213" s="21">
        <v>1.6311643E7</v>
      </c>
      <c r="K4213" s="21">
        <v>0.0</v>
      </c>
    </row>
    <row r="4214">
      <c r="A4214" s="15" t="s">
        <v>74</v>
      </c>
      <c r="B4214" s="16" t="s">
        <v>212</v>
      </c>
      <c r="C4214" s="17" t="s">
        <v>213</v>
      </c>
      <c r="D4214" s="18">
        <v>5.0</v>
      </c>
      <c r="E4214" s="17" t="s">
        <v>22</v>
      </c>
      <c r="F4214" s="15" t="s">
        <v>146</v>
      </c>
      <c r="G4214" s="19">
        <v>9.0042224E7</v>
      </c>
      <c r="H4214" s="15" t="s">
        <v>62</v>
      </c>
      <c r="I4214" s="20" t="s">
        <v>60</v>
      </c>
      <c r="J4214" s="21">
        <v>1.0689239E7</v>
      </c>
      <c r="K4214" s="21">
        <v>0.0</v>
      </c>
    </row>
    <row r="4215">
      <c r="A4215" s="15" t="s">
        <v>74</v>
      </c>
      <c r="B4215" s="16" t="s">
        <v>212</v>
      </c>
      <c r="C4215" s="17" t="s">
        <v>213</v>
      </c>
      <c r="D4215" s="18">
        <v>5.0</v>
      </c>
      <c r="E4215" s="17" t="s">
        <v>22</v>
      </c>
      <c r="F4215" s="15" t="s">
        <v>146</v>
      </c>
      <c r="G4215" s="19">
        <v>9.0042225E7</v>
      </c>
      <c r="H4215" s="15" t="s">
        <v>147</v>
      </c>
      <c r="I4215" s="20" t="s">
        <v>60</v>
      </c>
      <c r="J4215" s="21">
        <v>2400084.0</v>
      </c>
      <c r="K4215" s="21">
        <v>0.0</v>
      </c>
    </row>
    <row r="4216">
      <c r="A4216" s="15" t="s">
        <v>74</v>
      </c>
      <c r="B4216" s="16" t="s">
        <v>212</v>
      </c>
      <c r="C4216" s="17" t="s">
        <v>213</v>
      </c>
      <c r="D4216" s="18">
        <v>5.0</v>
      </c>
      <c r="E4216" s="17" t="s">
        <v>22</v>
      </c>
      <c r="F4216" s="15" t="s">
        <v>146</v>
      </c>
      <c r="G4216" s="19">
        <v>9.0042226E7</v>
      </c>
      <c r="H4216" s="15" t="s">
        <v>63</v>
      </c>
      <c r="I4216" s="20" t="s">
        <v>60</v>
      </c>
      <c r="J4216" s="21">
        <v>236667.0</v>
      </c>
      <c r="K4216" s="21">
        <v>0.0</v>
      </c>
    </row>
    <row r="4217">
      <c r="A4217" s="15" t="s">
        <v>74</v>
      </c>
      <c r="B4217" s="16" t="s">
        <v>212</v>
      </c>
      <c r="C4217" s="17" t="s">
        <v>213</v>
      </c>
      <c r="D4217" s="18">
        <v>5.0</v>
      </c>
      <c r="E4217" s="17" t="s">
        <v>22</v>
      </c>
      <c r="F4217" s="15" t="s">
        <v>146</v>
      </c>
      <c r="G4217" s="19">
        <v>9.0042228E7</v>
      </c>
      <c r="H4217" s="15" t="s">
        <v>64</v>
      </c>
      <c r="I4217" s="20" t="s">
        <v>60</v>
      </c>
      <c r="J4217" s="21">
        <v>1.07609328E8</v>
      </c>
      <c r="K4217" s="21">
        <v>0.0</v>
      </c>
    </row>
    <row r="4218">
      <c r="A4218" s="15" t="s">
        <v>74</v>
      </c>
      <c r="B4218" s="16" t="s">
        <v>212</v>
      </c>
      <c r="C4218" s="17" t="s">
        <v>213</v>
      </c>
      <c r="D4218" s="18">
        <v>5.0</v>
      </c>
      <c r="E4218" s="17" t="s">
        <v>22</v>
      </c>
      <c r="F4218" s="15" t="s">
        <v>146</v>
      </c>
      <c r="G4218" s="19">
        <v>9.0042231E7</v>
      </c>
      <c r="H4218" s="15" t="s">
        <v>65</v>
      </c>
      <c r="I4218" s="20" t="s">
        <v>60</v>
      </c>
      <c r="J4218" s="21">
        <v>6521693.0</v>
      </c>
      <c r="K4218" s="21">
        <v>0.0</v>
      </c>
    </row>
    <row r="4219">
      <c r="A4219" s="15" t="s">
        <v>74</v>
      </c>
      <c r="B4219" s="16" t="s">
        <v>212</v>
      </c>
      <c r="C4219" s="17" t="s">
        <v>213</v>
      </c>
      <c r="D4219" s="18">
        <v>5.0</v>
      </c>
      <c r="E4219" s="17" t="s">
        <v>22</v>
      </c>
      <c r="F4219" s="15" t="s">
        <v>146</v>
      </c>
      <c r="G4219" s="19">
        <v>9.0042126E7</v>
      </c>
      <c r="H4219" s="15" t="s">
        <v>31</v>
      </c>
      <c r="I4219" s="20" t="s">
        <v>25</v>
      </c>
      <c r="J4219" s="21">
        <v>3.7569209E7</v>
      </c>
      <c r="K4219" s="21">
        <v>0.0</v>
      </c>
    </row>
    <row r="4220">
      <c r="A4220" s="15" t="s">
        <v>74</v>
      </c>
      <c r="B4220" s="16" t="s">
        <v>212</v>
      </c>
      <c r="C4220" s="17" t="s">
        <v>213</v>
      </c>
      <c r="D4220" s="18">
        <v>5.0</v>
      </c>
      <c r="E4220" s="17" t="s">
        <v>22</v>
      </c>
      <c r="F4220" s="15" t="s">
        <v>146</v>
      </c>
      <c r="G4220" s="19">
        <v>9.0042145E7</v>
      </c>
      <c r="H4220" s="15" t="s">
        <v>215</v>
      </c>
      <c r="I4220" s="20" t="s">
        <v>25</v>
      </c>
      <c r="J4220" s="21">
        <v>930000.0</v>
      </c>
      <c r="K4220" s="21">
        <v>0.0</v>
      </c>
    </row>
    <row r="4221">
      <c r="A4221" s="15" t="s">
        <v>74</v>
      </c>
      <c r="B4221" s="16" t="s">
        <v>212</v>
      </c>
      <c r="C4221" s="17" t="s">
        <v>213</v>
      </c>
      <c r="D4221" s="18">
        <v>5.0</v>
      </c>
      <c r="E4221" s="17" t="s">
        <v>22</v>
      </c>
      <c r="F4221" s="15" t="s">
        <v>146</v>
      </c>
      <c r="G4221" s="19">
        <v>5.1100005E7</v>
      </c>
      <c r="H4221" s="15" t="s">
        <v>337</v>
      </c>
      <c r="I4221" s="20" t="s">
        <v>37</v>
      </c>
      <c r="J4221" s="21">
        <v>-3.10137334E8</v>
      </c>
      <c r="K4221" s="21">
        <v>0.0</v>
      </c>
    </row>
    <row r="4222">
      <c r="A4222" s="15" t="s">
        <v>74</v>
      </c>
      <c r="B4222" s="16" t="s">
        <v>212</v>
      </c>
      <c r="C4222" s="17" t="s">
        <v>213</v>
      </c>
      <c r="D4222" s="18">
        <v>5.0</v>
      </c>
      <c r="E4222" s="17" t="s">
        <v>218</v>
      </c>
      <c r="F4222" s="15" t="s">
        <v>219</v>
      </c>
      <c r="G4222" s="19">
        <v>9.0043001E7</v>
      </c>
      <c r="H4222" s="15" t="s">
        <v>18</v>
      </c>
      <c r="I4222" s="20" t="s">
        <v>19</v>
      </c>
      <c r="J4222" s="21">
        <v>1.8223749E7</v>
      </c>
      <c r="K4222" s="21">
        <v>104.0</v>
      </c>
    </row>
    <row r="4223">
      <c r="A4223" s="15" t="s">
        <v>74</v>
      </c>
      <c r="B4223" s="16" t="s">
        <v>212</v>
      </c>
      <c r="C4223" s="17" t="s">
        <v>213</v>
      </c>
      <c r="D4223" s="18">
        <v>5.0</v>
      </c>
      <c r="E4223" s="17" t="s">
        <v>257</v>
      </c>
      <c r="F4223" s="15" t="s">
        <v>258</v>
      </c>
      <c r="G4223" s="19">
        <v>5.1101999E7</v>
      </c>
      <c r="H4223" s="15" t="s">
        <v>107</v>
      </c>
      <c r="I4223" s="20" t="s">
        <v>17</v>
      </c>
      <c r="J4223" s="21">
        <v>668800.0</v>
      </c>
      <c r="K4223" s="21">
        <v>133.76</v>
      </c>
    </row>
    <row r="4224">
      <c r="A4224" s="15" t="s">
        <v>74</v>
      </c>
      <c r="B4224" s="16" t="s">
        <v>212</v>
      </c>
      <c r="C4224" s="17" t="s">
        <v>213</v>
      </c>
      <c r="D4224" s="18">
        <v>5.0</v>
      </c>
      <c r="E4224" s="17" t="s">
        <v>257</v>
      </c>
      <c r="F4224" s="15" t="s">
        <v>258</v>
      </c>
      <c r="G4224" s="19">
        <v>5.1100774E7</v>
      </c>
      <c r="H4224" s="15" t="s">
        <v>39</v>
      </c>
      <c r="I4224" s="20" t="s">
        <v>25</v>
      </c>
      <c r="J4224" s="21">
        <v>-518150.0</v>
      </c>
      <c r="K4224" s="21">
        <v>-103.63</v>
      </c>
    </row>
    <row r="4225">
      <c r="A4225" s="15" t="s">
        <v>74</v>
      </c>
      <c r="B4225" s="16" t="s">
        <v>212</v>
      </c>
      <c r="C4225" s="17" t="s">
        <v>213</v>
      </c>
      <c r="D4225" s="18">
        <v>5.0</v>
      </c>
      <c r="E4225" s="24">
        <v>46037.0</v>
      </c>
      <c r="F4225" s="15" t="s">
        <v>307</v>
      </c>
      <c r="G4225" s="19">
        <v>5.1100058E7</v>
      </c>
      <c r="H4225" s="15" t="s">
        <v>36</v>
      </c>
      <c r="I4225" s="20" t="s">
        <v>37</v>
      </c>
      <c r="J4225" s="21">
        <v>0.0</v>
      </c>
      <c r="K4225" s="21">
        <v>0.0</v>
      </c>
    </row>
    <row r="4226">
      <c r="A4226" s="15" t="s">
        <v>74</v>
      </c>
      <c r="B4226" s="16" t="s">
        <v>212</v>
      </c>
      <c r="C4226" s="17" t="s">
        <v>213</v>
      </c>
      <c r="D4226" s="18">
        <v>5.0</v>
      </c>
      <c r="E4226" s="17" t="s">
        <v>327</v>
      </c>
      <c r="F4226" s="15" t="s">
        <v>328</v>
      </c>
      <c r="G4226" s="19">
        <v>5.1101999E7</v>
      </c>
      <c r="H4226" s="15" t="s">
        <v>107</v>
      </c>
      <c r="I4226" s="20" t="s">
        <v>25</v>
      </c>
      <c r="J4226" s="21">
        <v>0.0</v>
      </c>
      <c r="K4226" s="21">
        <v>0.0</v>
      </c>
    </row>
    <row r="4227">
      <c r="A4227" s="15" t="s">
        <v>74</v>
      </c>
      <c r="B4227" s="16" t="s">
        <v>212</v>
      </c>
      <c r="C4227" s="17" t="s">
        <v>213</v>
      </c>
      <c r="D4227" s="18">
        <v>5.0</v>
      </c>
      <c r="E4227" s="17" t="s">
        <v>346</v>
      </c>
      <c r="F4227" s="15" t="s">
        <v>347</v>
      </c>
      <c r="G4227" s="19">
        <v>5.1101999E7</v>
      </c>
      <c r="H4227" s="15" t="s">
        <v>107</v>
      </c>
      <c r="I4227" s="20" t="s">
        <v>25</v>
      </c>
      <c r="J4227" s="21">
        <v>0.0</v>
      </c>
      <c r="K4227" s="21">
        <v>0.0</v>
      </c>
    </row>
    <row r="4228">
      <c r="A4228" s="15" t="s">
        <v>74</v>
      </c>
      <c r="B4228" s="16" t="s">
        <v>212</v>
      </c>
      <c r="C4228" s="17" t="s">
        <v>213</v>
      </c>
      <c r="D4228" s="18">
        <v>5.0</v>
      </c>
      <c r="E4228" s="24">
        <v>46265.0</v>
      </c>
      <c r="F4228" s="15" t="s">
        <v>356</v>
      </c>
      <c r="G4228" s="19">
        <v>5.1101999E7</v>
      </c>
      <c r="H4228" s="15" t="s">
        <v>107</v>
      </c>
      <c r="I4228" s="20" t="s">
        <v>25</v>
      </c>
      <c r="J4228" s="21">
        <v>0.0</v>
      </c>
      <c r="K4228" s="21">
        <v>0.0</v>
      </c>
    </row>
    <row r="4229">
      <c r="A4229" s="15" t="s">
        <v>74</v>
      </c>
      <c r="B4229" s="16" t="s">
        <v>212</v>
      </c>
      <c r="C4229" s="17" t="s">
        <v>213</v>
      </c>
      <c r="D4229" s="18">
        <v>5.0</v>
      </c>
      <c r="E4229" s="24">
        <v>46234.0</v>
      </c>
      <c r="F4229" s="15" t="s">
        <v>357</v>
      </c>
      <c r="G4229" s="19">
        <v>5.1101999E7</v>
      </c>
      <c r="H4229" s="15" t="s">
        <v>107</v>
      </c>
      <c r="I4229" s="20" t="s">
        <v>25</v>
      </c>
      <c r="J4229" s="21">
        <v>0.0</v>
      </c>
      <c r="K4229" s="21">
        <v>0.0</v>
      </c>
    </row>
    <row r="4230">
      <c r="A4230" s="15" t="s">
        <v>74</v>
      </c>
      <c r="B4230" s="16" t="s">
        <v>212</v>
      </c>
      <c r="C4230" s="17" t="s">
        <v>213</v>
      </c>
      <c r="D4230" s="18">
        <v>5.0</v>
      </c>
      <c r="E4230" s="24">
        <v>46049.0</v>
      </c>
      <c r="F4230" s="15" t="s">
        <v>379</v>
      </c>
      <c r="G4230" s="19">
        <v>5.1101999E7</v>
      </c>
      <c r="H4230" s="15" t="s">
        <v>107</v>
      </c>
      <c r="I4230" s="20" t="s">
        <v>25</v>
      </c>
      <c r="J4230" s="21">
        <v>0.0</v>
      </c>
      <c r="K4230" s="21">
        <v>0.0</v>
      </c>
    </row>
    <row r="4231">
      <c r="A4231" s="15" t="s">
        <v>74</v>
      </c>
      <c r="B4231" s="16" t="s">
        <v>212</v>
      </c>
      <c r="C4231" s="17" t="s">
        <v>213</v>
      </c>
      <c r="D4231" s="18">
        <v>5.0</v>
      </c>
      <c r="E4231" s="17" t="s">
        <v>380</v>
      </c>
      <c r="F4231" s="15" t="s">
        <v>381</v>
      </c>
      <c r="G4231" s="19">
        <v>5.1101999E7</v>
      </c>
      <c r="H4231" s="15" t="s">
        <v>107</v>
      </c>
      <c r="I4231" s="20" t="s">
        <v>25</v>
      </c>
      <c r="J4231" s="21">
        <v>0.0</v>
      </c>
      <c r="K4231" s="21">
        <v>0.0</v>
      </c>
    </row>
    <row r="4232">
      <c r="A4232" s="15" t="s">
        <v>74</v>
      </c>
      <c r="B4232" s="16" t="s">
        <v>212</v>
      </c>
      <c r="C4232" s="17" t="s">
        <v>213</v>
      </c>
      <c r="D4232" s="18">
        <v>5.0</v>
      </c>
      <c r="E4232" s="24">
        <v>46053.0</v>
      </c>
      <c r="F4232" s="15" t="s">
        <v>382</v>
      </c>
      <c r="G4232" s="19">
        <v>5.1101999E7</v>
      </c>
      <c r="H4232" s="15" t="s">
        <v>107</v>
      </c>
      <c r="I4232" s="20" t="s">
        <v>25</v>
      </c>
      <c r="J4232" s="21">
        <v>0.0</v>
      </c>
      <c r="K4232" s="21">
        <v>0.0</v>
      </c>
    </row>
    <row r="4233">
      <c r="A4233" s="15" t="s">
        <v>74</v>
      </c>
      <c r="B4233" s="16" t="s">
        <v>212</v>
      </c>
      <c r="C4233" s="17" t="s">
        <v>213</v>
      </c>
      <c r="D4233" s="18">
        <v>5.0</v>
      </c>
      <c r="E4233" s="17" t="s">
        <v>383</v>
      </c>
      <c r="F4233" s="15" t="s">
        <v>384</v>
      </c>
      <c r="G4233" s="19">
        <v>5.1101999E7</v>
      </c>
      <c r="H4233" s="15" t="s">
        <v>107</v>
      </c>
      <c r="I4233" s="20" t="s">
        <v>17</v>
      </c>
      <c r="J4233" s="21">
        <v>7.12864E7</v>
      </c>
      <c r="K4233" s="21">
        <v>90004.0</v>
      </c>
    </row>
    <row r="4234">
      <c r="A4234" s="15" t="s">
        <v>74</v>
      </c>
      <c r="B4234" s="16" t="s">
        <v>212</v>
      </c>
      <c r="C4234" s="17" t="s">
        <v>213</v>
      </c>
      <c r="D4234" s="18">
        <v>5.0</v>
      </c>
      <c r="E4234" s="17" t="s">
        <v>385</v>
      </c>
      <c r="F4234" s="15" t="s">
        <v>386</v>
      </c>
      <c r="G4234" s="19">
        <v>5.1101999E7</v>
      </c>
      <c r="H4234" s="15" t="s">
        <v>107</v>
      </c>
      <c r="I4234" s="20" t="s">
        <v>17</v>
      </c>
      <c r="J4234" s="21">
        <v>1998000.0</v>
      </c>
      <c r="K4234" s="21">
        <v>27.0</v>
      </c>
    </row>
    <row r="4235">
      <c r="A4235" s="15" t="s">
        <v>74</v>
      </c>
      <c r="B4235" s="16" t="s">
        <v>212</v>
      </c>
      <c r="C4235" s="17" t="s">
        <v>213</v>
      </c>
      <c r="D4235" s="18">
        <v>5.0</v>
      </c>
      <c r="E4235" s="24">
        <v>46116.0</v>
      </c>
      <c r="F4235" s="15" t="s">
        <v>387</v>
      </c>
      <c r="G4235" s="19">
        <v>5.1101999E7</v>
      </c>
      <c r="H4235" s="15" t="s">
        <v>107</v>
      </c>
      <c r="I4235" s="20" t="s">
        <v>17</v>
      </c>
      <c r="J4235" s="21">
        <v>5.5551E7</v>
      </c>
      <c r="K4235" s="21">
        <v>75500.0</v>
      </c>
    </row>
    <row r="4236">
      <c r="A4236" s="15" t="s">
        <v>74</v>
      </c>
      <c r="B4236" s="16" t="s">
        <v>212</v>
      </c>
      <c r="C4236" s="17" t="s">
        <v>213</v>
      </c>
      <c r="D4236" s="18">
        <v>5.0</v>
      </c>
      <c r="E4236" s="24">
        <v>46116.0</v>
      </c>
      <c r="F4236" s="15" t="s">
        <v>387</v>
      </c>
      <c r="G4236" s="19">
        <v>9.0043002E7</v>
      </c>
      <c r="H4236" s="15" t="s">
        <v>49</v>
      </c>
      <c r="I4236" s="20" t="s">
        <v>50</v>
      </c>
      <c r="J4236" s="21">
        <v>8945328.0</v>
      </c>
      <c r="K4236" s="21">
        <v>480.0</v>
      </c>
    </row>
    <row r="4237">
      <c r="A4237" s="15" t="s">
        <v>74</v>
      </c>
      <c r="B4237" s="16" t="s">
        <v>212</v>
      </c>
      <c r="C4237" s="17" t="s">
        <v>213</v>
      </c>
      <c r="D4237" s="18">
        <v>5.0</v>
      </c>
      <c r="E4237" s="24">
        <v>46056.0</v>
      </c>
      <c r="F4237" s="15" t="s">
        <v>388</v>
      </c>
      <c r="G4237" s="19">
        <v>5.1101999E7</v>
      </c>
      <c r="H4237" s="15" t="s">
        <v>107</v>
      </c>
      <c r="I4237" s="20" t="s">
        <v>17</v>
      </c>
      <c r="J4237" s="21">
        <v>1.3E7</v>
      </c>
      <c r="K4237" s="21">
        <v>52.0</v>
      </c>
    </row>
    <row r="4238">
      <c r="A4238" s="15" t="s">
        <v>74</v>
      </c>
      <c r="B4238" s="16" t="s">
        <v>212</v>
      </c>
      <c r="C4238" s="17" t="s">
        <v>213</v>
      </c>
      <c r="D4238" s="18">
        <v>5.0</v>
      </c>
      <c r="E4238" s="24">
        <v>46268.0</v>
      </c>
      <c r="F4238" s="15" t="s">
        <v>389</v>
      </c>
      <c r="G4238" s="19">
        <v>5.1101999E7</v>
      </c>
      <c r="H4238" s="15" t="s">
        <v>107</v>
      </c>
      <c r="I4238" s="20" t="s">
        <v>17</v>
      </c>
      <c r="J4238" s="21">
        <v>1.3907936E7</v>
      </c>
      <c r="K4238" s="21">
        <v>749.35</v>
      </c>
    </row>
    <row r="4239">
      <c r="A4239" s="15" t="s">
        <v>74</v>
      </c>
      <c r="B4239" s="16" t="s">
        <v>212</v>
      </c>
      <c r="C4239" s="17" t="s">
        <v>213</v>
      </c>
      <c r="D4239" s="18">
        <v>5.0</v>
      </c>
      <c r="E4239" s="24">
        <v>46026.0</v>
      </c>
      <c r="F4239" s="15" t="s">
        <v>390</v>
      </c>
      <c r="G4239" s="19">
        <v>5.1101999E7</v>
      </c>
      <c r="H4239" s="15" t="s">
        <v>107</v>
      </c>
      <c r="I4239" s="20" t="s">
        <v>17</v>
      </c>
      <c r="J4239" s="21">
        <v>4.014E7</v>
      </c>
      <c r="K4239" s="21">
        <v>45000.0</v>
      </c>
    </row>
    <row r="4240">
      <c r="A4240" s="15" t="s">
        <v>74</v>
      </c>
      <c r="B4240" s="16" t="s">
        <v>212</v>
      </c>
      <c r="C4240" s="17" t="s">
        <v>213</v>
      </c>
      <c r="D4240" s="18">
        <v>5.0</v>
      </c>
      <c r="E4240" s="24">
        <v>46269.0</v>
      </c>
      <c r="F4240" s="15" t="s">
        <v>391</v>
      </c>
      <c r="G4240" s="19">
        <v>5.1101999E7</v>
      </c>
      <c r="H4240" s="15" t="s">
        <v>107</v>
      </c>
      <c r="I4240" s="20" t="s">
        <v>17</v>
      </c>
      <c r="J4240" s="21">
        <v>2.5098E7</v>
      </c>
      <c r="K4240" s="21">
        <v>94000.0</v>
      </c>
    </row>
    <row r="4241">
      <c r="A4241" s="15" t="s">
        <v>74</v>
      </c>
      <c r="B4241" s="16" t="s">
        <v>212</v>
      </c>
      <c r="C4241" s="17" t="s">
        <v>213</v>
      </c>
      <c r="D4241" s="18">
        <v>5.0</v>
      </c>
      <c r="E4241" s="24">
        <v>46146.0</v>
      </c>
      <c r="F4241" s="15" t="s">
        <v>392</v>
      </c>
      <c r="G4241" s="19">
        <v>5.1101999E7</v>
      </c>
      <c r="H4241" s="15" t="s">
        <v>107</v>
      </c>
      <c r="I4241" s="20" t="s">
        <v>17</v>
      </c>
      <c r="J4241" s="21">
        <v>646737.0</v>
      </c>
      <c r="K4241" s="21">
        <v>30797.0</v>
      </c>
    </row>
    <row r="4242">
      <c r="A4242" s="15" t="s">
        <v>74</v>
      </c>
      <c r="B4242" s="16" t="s">
        <v>212</v>
      </c>
      <c r="C4242" s="17" t="s">
        <v>213</v>
      </c>
      <c r="D4242" s="18">
        <v>5.0</v>
      </c>
      <c r="E4242" s="17" t="s">
        <v>393</v>
      </c>
      <c r="F4242" s="15" t="s">
        <v>394</v>
      </c>
      <c r="G4242" s="19">
        <v>5.1101999E7</v>
      </c>
      <c r="H4242" s="15" t="s">
        <v>107</v>
      </c>
      <c r="I4242" s="20" t="s">
        <v>17</v>
      </c>
      <c r="J4242" s="21">
        <v>1527500.0</v>
      </c>
      <c r="K4242" s="21">
        <v>23500.0</v>
      </c>
    </row>
    <row r="4243">
      <c r="A4243" s="15" t="s">
        <v>74</v>
      </c>
      <c r="B4243" s="16" t="s">
        <v>212</v>
      </c>
      <c r="C4243" s="17" t="s">
        <v>213</v>
      </c>
      <c r="D4243" s="18">
        <v>5.0</v>
      </c>
      <c r="E4243" s="17" t="s">
        <v>395</v>
      </c>
      <c r="F4243" s="15" t="s">
        <v>396</v>
      </c>
      <c r="G4243" s="19">
        <v>5.1101999E7</v>
      </c>
      <c r="H4243" s="15" t="s">
        <v>107</v>
      </c>
      <c r="I4243" s="20" t="s">
        <v>17</v>
      </c>
      <c r="J4243" s="21">
        <v>1998000.0</v>
      </c>
      <c r="K4243" s="21">
        <v>27.0</v>
      </c>
    </row>
    <row r="4244">
      <c r="A4244" s="15" t="s">
        <v>74</v>
      </c>
      <c r="B4244" s="16" t="s">
        <v>212</v>
      </c>
      <c r="C4244" s="17" t="s">
        <v>213</v>
      </c>
      <c r="D4244" s="18">
        <v>5.0</v>
      </c>
      <c r="E4244" s="24">
        <v>46057.0</v>
      </c>
      <c r="F4244" s="15" t="s">
        <v>397</v>
      </c>
      <c r="G4244" s="19">
        <v>5.1101999E7</v>
      </c>
      <c r="H4244" s="15" t="s">
        <v>107</v>
      </c>
      <c r="I4244" s="20" t="s">
        <v>17</v>
      </c>
      <c r="J4244" s="21">
        <v>3.62425E7</v>
      </c>
      <c r="K4244" s="21">
        <v>66500.0</v>
      </c>
    </row>
    <row r="4245">
      <c r="A4245" s="15" t="s">
        <v>74</v>
      </c>
      <c r="B4245" s="16" t="s">
        <v>212</v>
      </c>
      <c r="C4245" s="17" t="s">
        <v>213</v>
      </c>
      <c r="D4245" s="18">
        <v>5.0</v>
      </c>
      <c r="E4245" s="24">
        <v>46176.0</v>
      </c>
      <c r="F4245" s="15" t="s">
        <v>398</v>
      </c>
      <c r="G4245" s="19">
        <v>5.1101999E7</v>
      </c>
      <c r="H4245" s="15" t="s">
        <v>107</v>
      </c>
      <c r="I4245" s="20" t="s">
        <v>17</v>
      </c>
      <c r="J4245" s="21">
        <v>1998000.0</v>
      </c>
      <c r="K4245" s="21">
        <v>27.0</v>
      </c>
    </row>
    <row r="4246">
      <c r="A4246" s="15" t="s">
        <v>74</v>
      </c>
      <c r="B4246" s="16" t="s">
        <v>220</v>
      </c>
      <c r="C4246" s="17" t="s">
        <v>221</v>
      </c>
      <c r="D4246" s="18">
        <v>5.0</v>
      </c>
      <c r="E4246" s="17" t="s">
        <v>77</v>
      </c>
      <c r="F4246" s="15" t="s">
        <v>78</v>
      </c>
      <c r="G4246" s="19">
        <v>5.1101056E7</v>
      </c>
      <c r="H4246" s="15" t="s">
        <v>16</v>
      </c>
      <c r="I4246" s="20" t="s">
        <v>17</v>
      </c>
      <c r="J4246" s="21">
        <v>2.825614E7</v>
      </c>
      <c r="K4246" s="21">
        <v>114316.0</v>
      </c>
    </row>
    <row r="4247">
      <c r="A4247" s="15" t="s">
        <v>74</v>
      </c>
      <c r="B4247" s="16" t="s">
        <v>220</v>
      </c>
      <c r="C4247" s="17" t="s">
        <v>221</v>
      </c>
      <c r="D4247" s="18">
        <v>5.0</v>
      </c>
      <c r="E4247" s="17" t="s">
        <v>77</v>
      </c>
      <c r="F4247" s="15" t="s">
        <v>78</v>
      </c>
      <c r="G4247" s="19">
        <v>9.0043001E7</v>
      </c>
      <c r="H4247" s="15" t="s">
        <v>18</v>
      </c>
      <c r="I4247" s="20" t="s">
        <v>19</v>
      </c>
      <c r="J4247" s="21">
        <v>2.2639449E7</v>
      </c>
      <c r="K4247" s="21">
        <v>114.0</v>
      </c>
    </row>
    <row r="4248">
      <c r="A4248" s="15" t="s">
        <v>74</v>
      </c>
      <c r="B4248" s="16" t="s">
        <v>220</v>
      </c>
      <c r="C4248" s="17" t="s">
        <v>221</v>
      </c>
      <c r="D4248" s="18">
        <v>5.0</v>
      </c>
      <c r="E4248" s="17" t="s">
        <v>222</v>
      </c>
      <c r="F4248" s="15" t="s">
        <v>223</v>
      </c>
      <c r="G4248" s="19">
        <v>5.1100153E7</v>
      </c>
      <c r="H4248" s="15" t="s">
        <v>72</v>
      </c>
      <c r="I4248" s="20" t="s">
        <v>17</v>
      </c>
      <c r="J4248" s="21">
        <v>8.251474E7</v>
      </c>
      <c r="K4248" s="21">
        <v>248646.0</v>
      </c>
    </row>
    <row r="4249">
      <c r="A4249" s="15" t="s">
        <v>74</v>
      </c>
      <c r="B4249" s="16" t="s">
        <v>220</v>
      </c>
      <c r="C4249" s="17" t="s">
        <v>221</v>
      </c>
      <c r="D4249" s="18">
        <v>5.0</v>
      </c>
      <c r="E4249" s="17" t="s">
        <v>79</v>
      </c>
      <c r="F4249" s="15" t="s">
        <v>80</v>
      </c>
      <c r="G4249" s="19">
        <v>9.0043001E7</v>
      </c>
      <c r="H4249" s="15" t="s">
        <v>18</v>
      </c>
      <c r="I4249" s="20" t="s">
        <v>19</v>
      </c>
      <c r="J4249" s="21">
        <v>3.1883857E7</v>
      </c>
      <c r="K4249" s="21">
        <v>162.0</v>
      </c>
    </row>
    <row r="4250">
      <c r="A4250" s="15" t="s">
        <v>74</v>
      </c>
      <c r="B4250" s="16" t="s">
        <v>220</v>
      </c>
      <c r="C4250" s="17" t="s">
        <v>221</v>
      </c>
      <c r="D4250" s="18">
        <v>5.0</v>
      </c>
      <c r="E4250" s="17" t="s">
        <v>84</v>
      </c>
      <c r="F4250" s="15" t="s">
        <v>85</v>
      </c>
      <c r="G4250" s="19">
        <v>9.0043001E7</v>
      </c>
      <c r="H4250" s="15" t="s">
        <v>18</v>
      </c>
      <c r="I4250" s="20" t="s">
        <v>19</v>
      </c>
      <c r="J4250" s="21">
        <v>8405452.0</v>
      </c>
      <c r="K4250" s="21">
        <v>44.0</v>
      </c>
    </row>
    <row r="4251">
      <c r="A4251" s="15" t="s">
        <v>74</v>
      </c>
      <c r="B4251" s="16" t="s">
        <v>220</v>
      </c>
      <c r="C4251" s="17" t="s">
        <v>221</v>
      </c>
      <c r="D4251" s="18">
        <v>5.0</v>
      </c>
      <c r="E4251" s="17" t="s">
        <v>86</v>
      </c>
      <c r="F4251" s="15" t="s">
        <v>87</v>
      </c>
      <c r="G4251" s="19">
        <v>9.0043001E7</v>
      </c>
      <c r="H4251" s="15" t="s">
        <v>18</v>
      </c>
      <c r="I4251" s="20" t="s">
        <v>19</v>
      </c>
      <c r="J4251" s="21">
        <v>1.204042E7</v>
      </c>
      <c r="K4251" s="21">
        <v>70.0</v>
      </c>
    </row>
    <row r="4252">
      <c r="A4252" s="15" t="s">
        <v>74</v>
      </c>
      <c r="B4252" s="16" t="s">
        <v>220</v>
      </c>
      <c r="C4252" s="17" t="s">
        <v>221</v>
      </c>
      <c r="D4252" s="18">
        <v>5.0</v>
      </c>
      <c r="E4252" s="17" t="s">
        <v>91</v>
      </c>
      <c r="F4252" s="15" t="s">
        <v>92</v>
      </c>
      <c r="G4252" s="19">
        <v>9.0043001E7</v>
      </c>
      <c r="H4252" s="15" t="s">
        <v>18</v>
      </c>
      <c r="I4252" s="20" t="s">
        <v>19</v>
      </c>
      <c r="J4252" s="21">
        <v>1.547568E7</v>
      </c>
      <c r="K4252" s="21">
        <v>85.0</v>
      </c>
    </row>
    <row r="4253">
      <c r="A4253" s="15" t="s">
        <v>74</v>
      </c>
      <c r="B4253" s="16" t="s">
        <v>220</v>
      </c>
      <c r="C4253" s="17" t="s">
        <v>221</v>
      </c>
      <c r="D4253" s="18">
        <v>5.0</v>
      </c>
      <c r="E4253" s="17" t="s">
        <v>95</v>
      </c>
      <c r="F4253" s="15" t="s">
        <v>96</v>
      </c>
      <c r="G4253" s="19">
        <v>5.1100058E7</v>
      </c>
      <c r="H4253" s="15" t="s">
        <v>36</v>
      </c>
      <c r="I4253" s="20" t="s">
        <v>37</v>
      </c>
      <c r="J4253" s="21">
        <v>2.9197095E7</v>
      </c>
      <c r="K4253" s="21">
        <v>446.307</v>
      </c>
    </row>
    <row r="4254">
      <c r="A4254" s="15" t="s">
        <v>74</v>
      </c>
      <c r="B4254" s="16" t="s">
        <v>220</v>
      </c>
      <c r="C4254" s="17" t="s">
        <v>221</v>
      </c>
      <c r="D4254" s="18">
        <v>5.0</v>
      </c>
      <c r="E4254" s="17" t="s">
        <v>95</v>
      </c>
      <c r="F4254" s="15" t="s">
        <v>96</v>
      </c>
      <c r="G4254" s="19">
        <v>5.1100651E7</v>
      </c>
      <c r="H4254" s="15" t="s">
        <v>38</v>
      </c>
      <c r="I4254" s="20" t="s">
        <v>17</v>
      </c>
      <c r="J4254" s="21">
        <v>4.3209086E7</v>
      </c>
      <c r="K4254" s="21">
        <v>487.6</v>
      </c>
    </row>
    <row r="4255">
      <c r="A4255" s="15" t="s">
        <v>74</v>
      </c>
      <c r="B4255" s="16" t="s">
        <v>220</v>
      </c>
      <c r="C4255" s="17" t="s">
        <v>221</v>
      </c>
      <c r="D4255" s="18">
        <v>5.0</v>
      </c>
      <c r="E4255" s="17" t="s">
        <v>95</v>
      </c>
      <c r="F4255" s="15" t="s">
        <v>96</v>
      </c>
      <c r="G4255" s="19">
        <v>9.0043001E7</v>
      </c>
      <c r="H4255" s="15" t="s">
        <v>18</v>
      </c>
      <c r="I4255" s="20" t="s">
        <v>19</v>
      </c>
      <c r="J4255" s="21">
        <v>3.4490528E7</v>
      </c>
      <c r="K4255" s="21">
        <v>170.0</v>
      </c>
    </row>
    <row r="4256">
      <c r="A4256" s="15" t="s">
        <v>74</v>
      </c>
      <c r="B4256" s="16" t="s">
        <v>220</v>
      </c>
      <c r="C4256" s="17" t="s">
        <v>221</v>
      </c>
      <c r="D4256" s="18">
        <v>5.0</v>
      </c>
      <c r="E4256" s="17" t="s">
        <v>99</v>
      </c>
      <c r="F4256" s="15" t="s">
        <v>100</v>
      </c>
      <c r="G4256" s="19">
        <v>9.0043001E7</v>
      </c>
      <c r="H4256" s="15" t="s">
        <v>18</v>
      </c>
      <c r="I4256" s="20" t="s">
        <v>19</v>
      </c>
      <c r="J4256" s="21">
        <v>4749678.0</v>
      </c>
      <c r="K4256" s="21">
        <v>27.0</v>
      </c>
    </row>
    <row r="4257">
      <c r="A4257" s="15" t="s">
        <v>74</v>
      </c>
      <c r="B4257" s="16" t="s">
        <v>220</v>
      </c>
      <c r="C4257" s="17" t="s">
        <v>221</v>
      </c>
      <c r="D4257" s="18">
        <v>5.0</v>
      </c>
      <c r="E4257" s="17" t="s">
        <v>101</v>
      </c>
      <c r="F4257" s="15" t="s">
        <v>102</v>
      </c>
      <c r="G4257" s="19">
        <v>5.1100651E7</v>
      </c>
      <c r="H4257" s="15" t="s">
        <v>38</v>
      </c>
      <c r="I4257" s="20" t="s">
        <v>17</v>
      </c>
      <c r="J4257" s="21">
        <v>7897676.0</v>
      </c>
      <c r="K4257" s="21">
        <v>29.19</v>
      </c>
    </row>
    <row r="4258">
      <c r="A4258" s="15" t="s">
        <v>74</v>
      </c>
      <c r="B4258" s="16" t="s">
        <v>220</v>
      </c>
      <c r="C4258" s="17" t="s">
        <v>221</v>
      </c>
      <c r="D4258" s="18">
        <v>5.0</v>
      </c>
      <c r="E4258" s="17" t="s">
        <v>101</v>
      </c>
      <c r="F4258" s="15" t="s">
        <v>102</v>
      </c>
      <c r="G4258" s="19">
        <v>9.0043001E7</v>
      </c>
      <c r="H4258" s="15" t="s">
        <v>18</v>
      </c>
      <c r="I4258" s="20" t="s">
        <v>19</v>
      </c>
      <c r="J4258" s="21">
        <v>3.7684116E7</v>
      </c>
      <c r="K4258" s="21">
        <v>162.0</v>
      </c>
    </row>
    <row r="4259">
      <c r="A4259" s="15" t="s">
        <v>74</v>
      </c>
      <c r="B4259" s="16" t="s">
        <v>220</v>
      </c>
      <c r="C4259" s="17" t="s">
        <v>221</v>
      </c>
      <c r="D4259" s="18">
        <v>5.0</v>
      </c>
      <c r="E4259" s="17" t="s">
        <v>103</v>
      </c>
      <c r="F4259" s="15" t="s">
        <v>104</v>
      </c>
      <c r="G4259" s="19">
        <v>5.1100058E7</v>
      </c>
      <c r="H4259" s="15" t="s">
        <v>36</v>
      </c>
      <c r="I4259" s="20" t="s">
        <v>37</v>
      </c>
      <c r="J4259" s="21">
        <v>1.3256613E7</v>
      </c>
      <c r="K4259" s="21">
        <v>181.305</v>
      </c>
    </row>
    <row r="4260">
      <c r="A4260" s="15" t="s">
        <v>74</v>
      </c>
      <c r="B4260" s="16" t="s">
        <v>220</v>
      </c>
      <c r="C4260" s="17" t="s">
        <v>221</v>
      </c>
      <c r="D4260" s="18">
        <v>5.0</v>
      </c>
      <c r="E4260" s="17" t="s">
        <v>103</v>
      </c>
      <c r="F4260" s="15" t="s">
        <v>104</v>
      </c>
      <c r="G4260" s="19">
        <v>5.1100651E7</v>
      </c>
      <c r="H4260" s="15" t="s">
        <v>38</v>
      </c>
      <c r="I4260" s="20" t="s">
        <v>17</v>
      </c>
      <c r="J4260" s="21">
        <v>3.8882321E7</v>
      </c>
      <c r="K4260" s="21">
        <v>143.71</v>
      </c>
    </row>
    <row r="4261">
      <c r="A4261" s="15" t="s">
        <v>74</v>
      </c>
      <c r="B4261" s="16" t="s">
        <v>220</v>
      </c>
      <c r="C4261" s="17" t="s">
        <v>221</v>
      </c>
      <c r="D4261" s="18">
        <v>5.0</v>
      </c>
      <c r="E4261" s="17" t="s">
        <v>103</v>
      </c>
      <c r="F4261" s="15" t="s">
        <v>104</v>
      </c>
      <c r="G4261" s="19">
        <v>9.0043001E7</v>
      </c>
      <c r="H4261" s="15" t="s">
        <v>18</v>
      </c>
      <c r="I4261" s="20" t="s">
        <v>19</v>
      </c>
      <c r="J4261" s="21">
        <v>1.655199E7</v>
      </c>
      <c r="K4261" s="21">
        <v>78.0</v>
      </c>
    </row>
    <row r="4262">
      <c r="A4262" s="15" t="s">
        <v>74</v>
      </c>
      <c r="B4262" s="16" t="s">
        <v>220</v>
      </c>
      <c r="C4262" s="17" t="s">
        <v>221</v>
      </c>
      <c r="D4262" s="18">
        <v>5.0</v>
      </c>
      <c r="E4262" s="17" t="s">
        <v>103</v>
      </c>
      <c r="F4262" s="15" t="s">
        <v>104</v>
      </c>
      <c r="G4262" s="19">
        <v>9.0043002E7</v>
      </c>
      <c r="H4262" s="15" t="s">
        <v>49</v>
      </c>
      <c r="I4262" s="20" t="s">
        <v>50</v>
      </c>
      <c r="J4262" s="21">
        <v>1.4849095E7</v>
      </c>
      <c r="K4262" s="21">
        <v>432.0</v>
      </c>
    </row>
    <row r="4263">
      <c r="A4263" s="15" t="s">
        <v>74</v>
      </c>
      <c r="B4263" s="16" t="s">
        <v>220</v>
      </c>
      <c r="C4263" s="17" t="s">
        <v>221</v>
      </c>
      <c r="D4263" s="18">
        <v>5.0</v>
      </c>
      <c r="E4263" s="17" t="s">
        <v>108</v>
      </c>
      <c r="F4263" s="15" t="s">
        <v>109</v>
      </c>
      <c r="G4263" s="19">
        <v>5.1100058E7</v>
      </c>
      <c r="H4263" s="15" t="s">
        <v>36</v>
      </c>
      <c r="I4263" s="20" t="s">
        <v>37</v>
      </c>
      <c r="J4263" s="21">
        <v>8463948.0</v>
      </c>
      <c r="K4263" s="21">
        <v>106.74</v>
      </c>
    </row>
    <row r="4264">
      <c r="A4264" s="15" t="s">
        <v>74</v>
      </c>
      <c r="B4264" s="16" t="s">
        <v>220</v>
      </c>
      <c r="C4264" s="17" t="s">
        <v>221</v>
      </c>
      <c r="D4264" s="18">
        <v>5.0</v>
      </c>
      <c r="E4264" s="17" t="s">
        <v>108</v>
      </c>
      <c r="F4264" s="15" t="s">
        <v>109</v>
      </c>
      <c r="G4264" s="19">
        <v>5.1100651E7</v>
      </c>
      <c r="H4264" s="15" t="s">
        <v>38</v>
      </c>
      <c r="I4264" s="20" t="s">
        <v>17</v>
      </c>
      <c r="J4264" s="21">
        <v>3667650.0</v>
      </c>
      <c r="K4264" s="21">
        <v>104.79</v>
      </c>
    </row>
    <row r="4265">
      <c r="A4265" s="15" t="s">
        <v>74</v>
      </c>
      <c r="B4265" s="16" t="s">
        <v>220</v>
      </c>
      <c r="C4265" s="17" t="s">
        <v>221</v>
      </c>
      <c r="D4265" s="18">
        <v>5.0</v>
      </c>
      <c r="E4265" s="17" t="s">
        <v>108</v>
      </c>
      <c r="F4265" s="15" t="s">
        <v>109</v>
      </c>
      <c r="G4265" s="19">
        <v>9.0043001E7</v>
      </c>
      <c r="H4265" s="15" t="s">
        <v>18</v>
      </c>
      <c r="I4265" s="20" t="s">
        <v>19</v>
      </c>
      <c r="J4265" s="21">
        <v>7329592.0</v>
      </c>
      <c r="K4265" s="21">
        <v>38.0</v>
      </c>
    </row>
    <row r="4266">
      <c r="A4266" s="15" t="s">
        <v>74</v>
      </c>
      <c r="B4266" s="16" t="s">
        <v>220</v>
      </c>
      <c r="C4266" s="17" t="s">
        <v>221</v>
      </c>
      <c r="D4266" s="18">
        <v>5.0</v>
      </c>
      <c r="E4266" s="17" t="s">
        <v>112</v>
      </c>
      <c r="F4266" s="15" t="s">
        <v>113</v>
      </c>
      <c r="G4266" s="19">
        <v>9.0043001E7</v>
      </c>
      <c r="H4266" s="15" t="s">
        <v>18</v>
      </c>
      <c r="I4266" s="20" t="s">
        <v>19</v>
      </c>
      <c r="J4266" s="21">
        <v>7124439.0</v>
      </c>
      <c r="K4266" s="21">
        <v>40.0</v>
      </c>
    </row>
    <row r="4267">
      <c r="A4267" s="15" t="s">
        <v>74</v>
      </c>
      <c r="B4267" s="16" t="s">
        <v>220</v>
      </c>
      <c r="C4267" s="17" t="s">
        <v>221</v>
      </c>
      <c r="D4267" s="18">
        <v>5.0</v>
      </c>
      <c r="E4267" s="17" t="s">
        <v>207</v>
      </c>
      <c r="F4267" s="15" t="s">
        <v>208</v>
      </c>
      <c r="G4267" s="19">
        <v>5.1100651E7</v>
      </c>
      <c r="H4267" s="15" t="s">
        <v>38</v>
      </c>
      <c r="I4267" s="20" t="s">
        <v>17</v>
      </c>
      <c r="J4267" s="21">
        <v>1815945.0</v>
      </c>
      <c r="K4267" s="21">
        <v>121063.0</v>
      </c>
    </row>
    <row r="4268">
      <c r="A4268" s="15" t="s">
        <v>74</v>
      </c>
      <c r="B4268" s="16" t="s">
        <v>220</v>
      </c>
      <c r="C4268" s="17" t="s">
        <v>221</v>
      </c>
      <c r="D4268" s="18">
        <v>5.0</v>
      </c>
      <c r="E4268" s="17" t="s">
        <v>175</v>
      </c>
      <c r="F4268" s="15" t="s">
        <v>176</v>
      </c>
      <c r="G4268" s="19">
        <v>5.1100651E7</v>
      </c>
      <c r="H4268" s="15" t="s">
        <v>38</v>
      </c>
      <c r="I4268" s="20" t="s">
        <v>17</v>
      </c>
      <c r="J4268" s="21">
        <v>4.5853623E7</v>
      </c>
      <c r="K4268" s="21">
        <v>604032.5</v>
      </c>
    </row>
    <row r="4269">
      <c r="A4269" s="15" t="s">
        <v>74</v>
      </c>
      <c r="B4269" s="16" t="s">
        <v>220</v>
      </c>
      <c r="C4269" s="17" t="s">
        <v>221</v>
      </c>
      <c r="D4269" s="18">
        <v>5.0</v>
      </c>
      <c r="E4269" s="17" t="s">
        <v>115</v>
      </c>
      <c r="F4269" s="15" t="s">
        <v>116</v>
      </c>
      <c r="G4269" s="19">
        <v>5.1100153E7</v>
      </c>
      <c r="H4269" s="15" t="s">
        <v>72</v>
      </c>
      <c r="I4269" s="20" t="s">
        <v>17</v>
      </c>
      <c r="J4269" s="21">
        <v>3.68E7</v>
      </c>
      <c r="K4269" s="21">
        <v>184000.0</v>
      </c>
    </row>
    <row r="4270">
      <c r="A4270" s="15" t="s">
        <v>74</v>
      </c>
      <c r="B4270" s="16" t="s">
        <v>220</v>
      </c>
      <c r="C4270" s="17" t="s">
        <v>221</v>
      </c>
      <c r="D4270" s="18">
        <v>5.0</v>
      </c>
      <c r="E4270" s="17" t="s">
        <v>117</v>
      </c>
      <c r="F4270" s="15" t="s">
        <v>118</v>
      </c>
      <c r="G4270" s="19">
        <v>5.1100058E7</v>
      </c>
      <c r="H4270" s="15" t="s">
        <v>36</v>
      </c>
      <c r="I4270" s="20" t="s">
        <v>37</v>
      </c>
      <c r="J4270" s="21">
        <v>3.746595006E9</v>
      </c>
      <c r="K4270" s="21">
        <v>484118.75</v>
      </c>
    </row>
    <row r="4271">
      <c r="A4271" s="15" t="s">
        <v>74</v>
      </c>
      <c r="B4271" s="16" t="s">
        <v>220</v>
      </c>
      <c r="C4271" s="17" t="s">
        <v>221</v>
      </c>
      <c r="D4271" s="18">
        <v>5.0</v>
      </c>
      <c r="E4271" s="17" t="s">
        <v>117</v>
      </c>
      <c r="F4271" s="15" t="s">
        <v>118</v>
      </c>
      <c r="G4271" s="19">
        <v>5.1100651E7</v>
      </c>
      <c r="H4271" s="15" t="s">
        <v>38</v>
      </c>
      <c r="I4271" s="20" t="s">
        <v>17</v>
      </c>
      <c r="J4271" s="21">
        <v>1.47373446E8</v>
      </c>
      <c r="K4271" s="21">
        <v>1175.79</v>
      </c>
    </row>
    <row r="4272">
      <c r="A4272" s="15" t="s">
        <v>74</v>
      </c>
      <c r="B4272" s="16" t="s">
        <v>220</v>
      </c>
      <c r="C4272" s="17" t="s">
        <v>221</v>
      </c>
      <c r="D4272" s="18">
        <v>5.0</v>
      </c>
      <c r="E4272" s="17" t="s">
        <v>119</v>
      </c>
      <c r="F4272" s="15" t="s">
        <v>120</v>
      </c>
      <c r="G4272" s="19">
        <v>5.1100153E7</v>
      </c>
      <c r="H4272" s="15" t="s">
        <v>72</v>
      </c>
      <c r="I4272" s="20" t="s">
        <v>17</v>
      </c>
      <c r="J4272" s="21">
        <v>7360000.0</v>
      </c>
      <c r="K4272" s="21">
        <v>184000.0</v>
      </c>
    </row>
    <row r="4273">
      <c r="A4273" s="15" t="s">
        <v>74</v>
      </c>
      <c r="B4273" s="16" t="s">
        <v>220</v>
      </c>
      <c r="C4273" s="17" t="s">
        <v>221</v>
      </c>
      <c r="D4273" s="18">
        <v>5.0</v>
      </c>
      <c r="E4273" s="17" t="s">
        <v>274</v>
      </c>
      <c r="F4273" s="15" t="s">
        <v>275</v>
      </c>
      <c r="G4273" s="19">
        <v>9.0043001E7</v>
      </c>
      <c r="H4273" s="15" t="s">
        <v>18</v>
      </c>
      <c r="I4273" s="20" t="s">
        <v>19</v>
      </c>
      <c r="J4273" s="21">
        <v>1.5945871E7</v>
      </c>
      <c r="K4273" s="21">
        <v>59.0</v>
      </c>
    </row>
    <row r="4274">
      <c r="A4274" s="15" t="s">
        <v>74</v>
      </c>
      <c r="B4274" s="16" t="s">
        <v>220</v>
      </c>
      <c r="C4274" s="17" t="s">
        <v>221</v>
      </c>
      <c r="D4274" s="18">
        <v>5.0</v>
      </c>
      <c r="E4274" s="17" t="s">
        <v>160</v>
      </c>
      <c r="F4274" s="15" t="s">
        <v>161</v>
      </c>
      <c r="G4274" s="19">
        <v>9.0043001E7</v>
      </c>
      <c r="H4274" s="15" t="s">
        <v>18</v>
      </c>
      <c r="I4274" s="20" t="s">
        <v>19</v>
      </c>
      <c r="J4274" s="21">
        <v>2.093562E7</v>
      </c>
      <c r="K4274" s="21">
        <v>90.0</v>
      </c>
    </row>
    <row r="4275">
      <c r="A4275" s="15" t="s">
        <v>74</v>
      </c>
      <c r="B4275" s="16" t="s">
        <v>220</v>
      </c>
      <c r="C4275" s="17" t="s">
        <v>221</v>
      </c>
      <c r="D4275" s="18">
        <v>5.0</v>
      </c>
      <c r="E4275" s="17" t="s">
        <v>125</v>
      </c>
      <c r="F4275" s="15" t="s">
        <v>126</v>
      </c>
      <c r="G4275" s="19">
        <v>9.0043001E7</v>
      </c>
      <c r="H4275" s="15" t="s">
        <v>18</v>
      </c>
      <c r="I4275" s="20" t="s">
        <v>19</v>
      </c>
      <c r="J4275" s="21">
        <v>1.80152625E8</v>
      </c>
      <c r="K4275" s="21">
        <v>870.0</v>
      </c>
    </row>
    <row r="4276">
      <c r="A4276" s="15" t="s">
        <v>74</v>
      </c>
      <c r="B4276" s="16" t="s">
        <v>220</v>
      </c>
      <c r="C4276" s="17" t="s">
        <v>221</v>
      </c>
      <c r="D4276" s="18">
        <v>5.0</v>
      </c>
      <c r="E4276" s="17" t="s">
        <v>127</v>
      </c>
      <c r="F4276" s="15" t="s">
        <v>128</v>
      </c>
      <c r="G4276" s="19">
        <v>5.1100153E7</v>
      </c>
      <c r="H4276" s="15" t="s">
        <v>72</v>
      </c>
      <c r="I4276" s="20" t="s">
        <v>25</v>
      </c>
      <c r="J4276" s="21">
        <v>2.0</v>
      </c>
      <c r="K4276" s="21">
        <v>0.0</v>
      </c>
    </row>
    <row r="4277">
      <c r="A4277" s="15" t="s">
        <v>74</v>
      </c>
      <c r="B4277" s="16" t="s">
        <v>220</v>
      </c>
      <c r="C4277" s="17" t="s">
        <v>221</v>
      </c>
      <c r="D4277" s="18">
        <v>5.0</v>
      </c>
      <c r="E4277" s="17" t="s">
        <v>127</v>
      </c>
      <c r="F4277" s="15" t="s">
        <v>128</v>
      </c>
      <c r="G4277" s="19">
        <v>5.1100153E7</v>
      </c>
      <c r="H4277" s="15" t="s">
        <v>72</v>
      </c>
      <c r="I4277" s="20" t="s">
        <v>17</v>
      </c>
      <c r="J4277" s="21">
        <v>6.00415039E8</v>
      </c>
      <c r="K4277" s="21">
        <v>1854714.0</v>
      </c>
    </row>
    <row r="4278">
      <c r="A4278" s="15" t="s">
        <v>74</v>
      </c>
      <c r="B4278" s="16" t="s">
        <v>220</v>
      </c>
      <c r="C4278" s="17" t="s">
        <v>221</v>
      </c>
      <c r="D4278" s="18">
        <v>5.0</v>
      </c>
      <c r="E4278" s="17" t="s">
        <v>129</v>
      </c>
      <c r="F4278" s="15" t="s">
        <v>130</v>
      </c>
      <c r="G4278" s="19">
        <v>5.1100153E7</v>
      </c>
      <c r="H4278" s="15" t="s">
        <v>72</v>
      </c>
      <c r="I4278" s="20" t="s">
        <v>17</v>
      </c>
      <c r="J4278" s="21">
        <v>5.0529015E7</v>
      </c>
      <c r="K4278" s="21">
        <v>1188918.0</v>
      </c>
    </row>
    <row r="4279">
      <c r="A4279" s="15" t="s">
        <v>74</v>
      </c>
      <c r="B4279" s="16" t="s">
        <v>220</v>
      </c>
      <c r="C4279" s="17" t="s">
        <v>221</v>
      </c>
      <c r="D4279" s="18">
        <v>5.0</v>
      </c>
      <c r="E4279" s="17" t="s">
        <v>135</v>
      </c>
      <c r="F4279" s="15" t="s">
        <v>136</v>
      </c>
      <c r="G4279" s="19">
        <v>9.0043001E7</v>
      </c>
      <c r="H4279" s="15" t="s">
        <v>18</v>
      </c>
      <c r="I4279" s="20" t="s">
        <v>19</v>
      </c>
      <c r="J4279" s="21">
        <v>2.55033487E8</v>
      </c>
      <c r="K4279" s="21">
        <v>1328.0</v>
      </c>
    </row>
    <row r="4280">
      <c r="A4280" s="15" t="s">
        <v>74</v>
      </c>
      <c r="B4280" s="16" t="s">
        <v>220</v>
      </c>
      <c r="C4280" s="17" t="s">
        <v>221</v>
      </c>
      <c r="D4280" s="18">
        <v>5.0</v>
      </c>
      <c r="E4280" s="17" t="s">
        <v>54</v>
      </c>
      <c r="F4280" s="15" t="s">
        <v>139</v>
      </c>
      <c r="G4280" s="19">
        <v>9.0042011E7</v>
      </c>
      <c r="H4280" s="15" t="s">
        <v>55</v>
      </c>
      <c r="I4280" s="20" t="s">
        <v>19</v>
      </c>
      <c r="J4280" s="21">
        <v>3.33645764E8</v>
      </c>
      <c r="K4280" s="21">
        <v>0.0</v>
      </c>
    </row>
    <row r="4281">
      <c r="A4281" s="15" t="s">
        <v>74</v>
      </c>
      <c r="B4281" s="16" t="s">
        <v>220</v>
      </c>
      <c r="C4281" s="17" t="s">
        <v>221</v>
      </c>
      <c r="D4281" s="18">
        <v>5.0</v>
      </c>
      <c r="E4281" s="17" t="s">
        <v>20</v>
      </c>
      <c r="F4281" s="15" t="s">
        <v>140</v>
      </c>
      <c r="G4281" s="19">
        <v>9.0042014E7</v>
      </c>
      <c r="H4281" s="15" t="s">
        <v>21</v>
      </c>
      <c r="I4281" s="20" t="s">
        <v>19</v>
      </c>
      <c r="J4281" s="21">
        <v>3.87215893E8</v>
      </c>
      <c r="K4281" s="21">
        <v>0.0</v>
      </c>
    </row>
    <row r="4282">
      <c r="A4282" s="15" t="s">
        <v>74</v>
      </c>
      <c r="B4282" s="16" t="s">
        <v>220</v>
      </c>
      <c r="C4282" s="17" t="s">
        <v>221</v>
      </c>
      <c r="D4282" s="18">
        <v>5.0</v>
      </c>
      <c r="E4282" s="17" t="s">
        <v>22</v>
      </c>
      <c r="F4282" s="15" t="s">
        <v>146</v>
      </c>
      <c r="G4282" s="19">
        <v>9.0042012E7</v>
      </c>
      <c r="H4282" s="15" t="s">
        <v>23</v>
      </c>
      <c r="I4282" s="20" t="s">
        <v>19</v>
      </c>
      <c r="J4282" s="21">
        <v>2.30300516E8</v>
      </c>
      <c r="K4282" s="21">
        <v>0.0</v>
      </c>
    </row>
    <row r="4283">
      <c r="A4283" s="15" t="s">
        <v>74</v>
      </c>
      <c r="B4283" s="16" t="s">
        <v>220</v>
      </c>
      <c r="C4283" s="17" t="s">
        <v>221</v>
      </c>
      <c r="D4283" s="18">
        <v>5.0</v>
      </c>
      <c r="E4283" s="17" t="s">
        <v>22</v>
      </c>
      <c r="F4283" s="15" t="s">
        <v>146</v>
      </c>
      <c r="G4283" s="19">
        <v>9.0042121E7</v>
      </c>
      <c r="H4283" s="15" t="s">
        <v>24</v>
      </c>
      <c r="I4283" s="20" t="s">
        <v>25</v>
      </c>
      <c r="J4283" s="21">
        <v>1.773038E7</v>
      </c>
      <c r="K4283" s="21">
        <v>0.0</v>
      </c>
    </row>
    <row r="4284">
      <c r="A4284" s="15" t="s">
        <v>74</v>
      </c>
      <c r="B4284" s="16" t="s">
        <v>220</v>
      </c>
      <c r="C4284" s="17" t="s">
        <v>221</v>
      </c>
      <c r="D4284" s="18">
        <v>5.0</v>
      </c>
      <c r="E4284" s="17" t="s">
        <v>22</v>
      </c>
      <c r="F4284" s="15" t="s">
        <v>146</v>
      </c>
      <c r="G4284" s="19">
        <v>9.0042122E7</v>
      </c>
      <c r="H4284" s="15" t="s">
        <v>56</v>
      </c>
      <c r="I4284" s="20" t="s">
        <v>25</v>
      </c>
      <c r="J4284" s="21">
        <v>1.8602671E7</v>
      </c>
      <c r="K4284" s="21">
        <v>0.0</v>
      </c>
    </row>
    <row r="4285">
      <c r="A4285" s="15" t="s">
        <v>74</v>
      </c>
      <c r="B4285" s="16" t="s">
        <v>220</v>
      </c>
      <c r="C4285" s="17" t="s">
        <v>221</v>
      </c>
      <c r="D4285" s="18">
        <v>5.0</v>
      </c>
      <c r="E4285" s="17" t="s">
        <v>22</v>
      </c>
      <c r="F4285" s="15" t="s">
        <v>146</v>
      </c>
      <c r="G4285" s="19">
        <v>9.0042125E7</v>
      </c>
      <c r="H4285" s="15" t="s">
        <v>26</v>
      </c>
      <c r="I4285" s="20" t="s">
        <v>25</v>
      </c>
      <c r="J4285" s="21">
        <v>8.0025007E7</v>
      </c>
      <c r="K4285" s="21">
        <v>0.0</v>
      </c>
    </row>
    <row r="4286">
      <c r="A4286" s="15" t="s">
        <v>74</v>
      </c>
      <c r="B4286" s="16" t="s">
        <v>220</v>
      </c>
      <c r="C4286" s="17" t="s">
        <v>221</v>
      </c>
      <c r="D4286" s="18">
        <v>5.0</v>
      </c>
      <c r="E4286" s="17" t="s">
        <v>22</v>
      </c>
      <c r="F4286" s="15" t="s">
        <v>146</v>
      </c>
      <c r="G4286" s="19">
        <v>9.0042127E7</v>
      </c>
      <c r="H4286" s="15" t="s">
        <v>27</v>
      </c>
      <c r="I4286" s="20" t="s">
        <v>25</v>
      </c>
      <c r="J4286" s="21">
        <v>1354405.0</v>
      </c>
      <c r="K4286" s="21">
        <v>0.0</v>
      </c>
    </row>
    <row r="4287">
      <c r="A4287" s="15" t="s">
        <v>74</v>
      </c>
      <c r="B4287" s="16" t="s">
        <v>220</v>
      </c>
      <c r="C4287" s="17" t="s">
        <v>221</v>
      </c>
      <c r="D4287" s="18">
        <v>5.0</v>
      </c>
      <c r="E4287" s="17" t="s">
        <v>22</v>
      </c>
      <c r="F4287" s="15" t="s">
        <v>146</v>
      </c>
      <c r="G4287" s="19">
        <v>9.0042128E7</v>
      </c>
      <c r="H4287" s="15" t="s">
        <v>58</v>
      </c>
      <c r="I4287" s="20" t="s">
        <v>25</v>
      </c>
      <c r="J4287" s="21">
        <v>2735408.0</v>
      </c>
      <c r="K4287" s="21">
        <v>0.0</v>
      </c>
    </row>
    <row r="4288">
      <c r="A4288" s="15" t="s">
        <v>74</v>
      </c>
      <c r="B4288" s="16" t="s">
        <v>220</v>
      </c>
      <c r="C4288" s="17" t="s">
        <v>221</v>
      </c>
      <c r="D4288" s="18">
        <v>5.0</v>
      </c>
      <c r="E4288" s="17" t="s">
        <v>22</v>
      </c>
      <c r="F4288" s="15" t="s">
        <v>146</v>
      </c>
      <c r="G4288" s="19">
        <v>9.0042132E7</v>
      </c>
      <c r="H4288" s="15" t="s">
        <v>28</v>
      </c>
      <c r="I4288" s="20" t="s">
        <v>25</v>
      </c>
      <c r="J4288" s="21">
        <v>5979404.0</v>
      </c>
      <c r="K4288" s="21">
        <v>0.0</v>
      </c>
    </row>
    <row r="4289">
      <c r="A4289" s="15" t="s">
        <v>74</v>
      </c>
      <c r="B4289" s="16" t="s">
        <v>220</v>
      </c>
      <c r="C4289" s="17" t="s">
        <v>221</v>
      </c>
      <c r="D4289" s="18">
        <v>5.0</v>
      </c>
      <c r="E4289" s="17" t="s">
        <v>22</v>
      </c>
      <c r="F4289" s="15" t="s">
        <v>146</v>
      </c>
      <c r="G4289" s="19">
        <v>9.0042135E7</v>
      </c>
      <c r="H4289" s="15" t="s">
        <v>30</v>
      </c>
      <c r="I4289" s="20" t="s">
        <v>25</v>
      </c>
      <c r="J4289" s="21">
        <v>2.06933525E8</v>
      </c>
      <c r="K4289" s="21">
        <v>0.0</v>
      </c>
    </row>
    <row r="4290">
      <c r="A4290" s="15" t="s">
        <v>74</v>
      </c>
      <c r="B4290" s="16" t="s">
        <v>220</v>
      </c>
      <c r="C4290" s="17" t="s">
        <v>221</v>
      </c>
      <c r="D4290" s="18">
        <v>5.0</v>
      </c>
      <c r="E4290" s="17" t="s">
        <v>22</v>
      </c>
      <c r="F4290" s="15" t="s">
        <v>146</v>
      </c>
      <c r="G4290" s="19">
        <v>9.00422E7</v>
      </c>
      <c r="H4290" s="15" t="s">
        <v>73</v>
      </c>
      <c r="I4290" s="20" t="s">
        <v>60</v>
      </c>
      <c r="J4290" s="21">
        <v>3.95295373E8</v>
      </c>
      <c r="K4290" s="21">
        <v>0.0</v>
      </c>
    </row>
    <row r="4291">
      <c r="A4291" s="15" t="s">
        <v>74</v>
      </c>
      <c r="B4291" s="16" t="s">
        <v>220</v>
      </c>
      <c r="C4291" s="17" t="s">
        <v>221</v>
      </c>
      <c r="D4291" s="18">
        <v>5.0</v>
      </c>
      <c r="E4291" s="17" t="s">
        <v>22</v>
      </c>
      <c r="F4291" s="15" t="s">
        <v>146</v>
      </c>
      <c r="G4291" s="19">
        <v>9.0042223E7</v>
      </c>
      <c r="H4291" s="15" t="s">
        <v>61</v>
      </c>
      <c r="I4291" s="20" t="s">
        <v>60</v>
      </c>
      <c r="J4291" s="21">
        <v>3019926.0</v>
      </c>
      <c r="K4291" s="21">
        <v>0.0</v>
      </c>
    </row>
    <row r="4292">
      <c r="A4292" s="15" t="s">
        <v>74</v>
      </c>
      <c r="B4292" s="16" t="s">
        <v>220</v>
      </c>
      <c r="C4292" s="17" t="s">
        <v>221</v>
      </c>
      <c r="D4292" s="18">
        <v>5.0</v>
      </c>
      <c r="E4292" s="17" t="s">
        <v>22</v>
      </c>
      <c r="F4292" s="15" t="s">
        <v>146</v>
      </c>
      <c r="G4292" s="19">
        <v>9.0042226E7</v>
      </c>
      <c r="H4292" s="15" t="s">
        <v>63</v>
      </c>
      <c r="I4292" s="20" t="s">
        <v>60</v>
      </c>
      <c r="J4292" s="21">
        <v>1025043.0</v>
      </c>
      <c r="K4292" s="21">
        <v>0.0</v>
      </c>
    </row>
    <row r="4293">
      <c r="A4293" s="15" t="s">
        <v>74</v>
      </c>
      <c r="B4293" s="16" t="s">
        <v>220</v>
      </c>
      <c r="C4293" s="17" t="s">
        <v>221</v>
      </c>
      <c r="D4293" s="18">
        <v>5.0</v>
      </c>
      <c r="E4293" s="17" t="s">
        <v>22</v>
      </c>
      <c r="F4293" s="15" t="s">
        <v>146</v>
      </c>
      <c r="G4293" s="19">
        <v>9.0042228E7</v>
      </c>
      <c r="H4293" s="15" t="s">
        <v>64</v>
      </c>
      <c r="I4293" s="20" t="s">
        <v>60</v>
      </c>
      <c r="J4293" s="21">
        <v>3.8673799E7</v>
      </c>
      <c r="K4293" s="21">
        <v>0.0</v>
      </c>
    </row>
    <row r="4294">
      <c r="A4294" s="15" t="s">
        <v>74</v>
      </c>
      <c r="B4294" s="16" t="s">
        <v>220</v>
      </c>
      <c r="C4294" s="17" t="s">
        <v>221</v>
      </c>
      <c r="D4294" s="18">
        <v>5.0</v>
      </c>
      <c r="E4294" s="17" t="s">
        <v>22</v>
      </c>
      <c r="F4294" s="15" t="s">
        <v>146</v>
      </c>
      <c r="G4294" s="19">
        <v>9.0042231E7</v>
      </c>
      <c r="H4294" s="15" t="s">
        <v>65</v>
      </c>
      <c r="I4294" s="20" t="s">
        <v>60</v>
      </c>
      <c r="J4294" s="21">
        <v>2518635.0</v>
      </c>
      <c r="K4294" s="21">
        <v>0.0</v>
      </c>
    </row>
    <row r="4295">
      <c r="A4295" s="15" t="s">
        <v>74</v>
      </c>
      <c r="B4295" s="16" t="s">
        <v>220</v>
      </c>
      <c r="C4295" s="17" t="s">
        <v>221</v>
      </c>
      <c r="D4295" s="18">
        <v>5.0</v>
      </c>
      <c r="E4295" s="17" t="s">
        <v>22</v>
      </c>
      <c r="F4295" s="15" t="s">
        <v>146</v>
      </c>
      <c r="G4295" s="19">
        <v>9.0042126E7</v>
      </c>
      <c r="H4295" s="15" t="s">
        <v>31</v>
      </c>
      <c r="I4295" s="20" t="s">
        <v>25</v>
      </c>
      <c r="J4295" s="21">
        <v>5.3054164E7</v>
      </c>
      <c r="K4295" s="21">
        <v>0.0</v>
      </c>
    </row>
    <row r="4296">
      <c r="A4296" s="15" t="s">
        <v>74</v>
      </c>
      <c r="B4296" s="16" t="s">
        <v>220</v>
      </c>
      <c r="C4296" s="17" t="s">
        <v>221</v>
      </c>
      <c r="D4296" s="18">
        <v>5.0</v>
      </c>
      <c r="E4296" s="17" t="s">
        <v>22</v>
      </c>
      <c r="F4296" s="15" t="s">
        <v>146</v>
      </c>
      <c r="G4296" s="19">
        <v>9.004212E7</v>
      </c>
      <c r="H4296" s="15" t="s">
        <v>182</v>
      </c>
      <c r="I4296" s="20" t="s">
        <v>25</v>
      </c>
      <c r="J4296" s="21">
        <v>8.1615768E7</v>
      </c>
      <c r="K4296" s="21">
        <v>0.0</v>
      </c>
    </row>
    <row r="4297">
      <c r="A4297" s="15" t="s">
        <v>74</v>
      </c>
      <c r="B4297" s="16" t="s">
        <v>220</v>
      </c>
      <c r="C4297" s="17" t="s">
        <v>221</v>
      </c>
      <c r="D4297" s="18">
        <v>5.0</v>
      </c>
      <c r="E4297" s="17" t="s">
        <v>327</v>
      </c>
      <c r="F4297" s="15" t="s">
        <v>328</v>
      </c>
      <c r="G4297" s="19">
        <v>5.1100058E7</v>
      </c>
      <c r="H4297" s="15" t="s">
        <v>36</v>
      </c>
      <c r="I4297" s="20" t="s">
        <v>37</v>
      </c>
      <c r="J4297" s="21">
        <v>0.0</v>
      </c>
      <c r="K4297" s="21">
        <v>0.0</v>
      </c>
    </row>
    <row r="4298">
      <c r="A4298" s="15" t="s">
        <v>74</v>
      </c>
      <c r="B4298" s="16" t="s">
        <v>220</v>
      </c>
      <c r="C4298" s="17" t="s">
        <v>221</v>
      </c>
      <c r="D4298" s="18">
        <v>5.0</v>
      </c>
      <c r="E4298" s="24">
        <v>46112.0</v>
      </c>
      <c r="F4298" s="15" t="s">
        <v>351</v>
      </c>
      <c r="G4298" s="19">
        <v>5.1101999E7</v>
      </c>
      <c r="H4298" s="15" t="s">
        <v>107</v>
      </c>
      <c r="I4298" s="20" t="s">
        <v>25</v>
      </c>
      <c r="J4298" s="21">
        <v>0.0</v>
      </c>
      <c r="K4298" s="21">
        <v>0.0</v>
      </c>
    </row>
    <row r="4299">
      <c r="A4299" s="15" t="s">
        <v>74</v>
      </c>
      <c r="B4299" s="16" t="s">
        <v>220</v>
      </c>
      <c r="C4299" s="17" t="s">
        <v>221</v>
      </c>
      <c r="D4299" s="18">
        <v>5.0</v>
      </c>
      <c r="E4299" s="24">
        <v>46173.0</v>
      </c>
      <c r="F4299" s="15" t="s">
        <v>399</v>
      </c>
      <c r="G4299" s="19">
        <v>5.1100064E7</v>
      </c>
      <c r="H4299" s="15" t="s">
        <v>53</v>
      </c>
      <c r="I4299" s="20" t="s">
        <v>25</v>
      </c>
      <c r="J4299" s="21">
        <v>0.0</v>
      </c>
      <c r="K4299" s="21">
        <v>0.0</v>
      </c>
    </row>
    <row r="4300">
      <c r="A4300" s="15" t="s">
        <v>74</v>
      </c>
      <c r="B4300" s="16" t="s">
        <v>231</v>
      </c>
      <c r="C4300" s="17" t="s">
        <v>232</v>
      </c>
      <c r="D4300" s="18">
        <v>5.0</v>
      </c>
      <c r="E4300" s="24">
        <v>46038.0</v>
      </c>
      <c r="F4300" s="15" t="s">
        <v>150</v>
      </c>
      <c r="G4300" s="19">
        <v>5.1100651E7</v>
      </c>
      <c r="H4300" s="15" t="s">
        <v>38</v>
      </c>
      <c r="I4300" s="20" t="s">
        <v>25</v>
      </c>
      <c r="J4300" s="21">
        <v>0.0</v>
      </c>
      <c r="K4300" s="21">
        <v>0.0</v>
      </c>
    </row>
    <row r="4301">
      <c r="A4301" s="15" t="s">
        <v>74</v>
      </c>
      <c r="B4301" s="16" t="s">
        <v>231</v>
      </c>
      <c r="C4301" s="17" t="s">
        <v>232</v>
      </c>
      <c r="D4301" s="18">
        <v>5.0</v>
      </c>
      <c r="E4301" s="24">
        <v>46038.0</v>
      </c>
      <c r="F4301" s="15" t="s">
        <v>150</v>
      </c>
      <c r="G4301" s="19">
        <v>5.1101056E7</v>
      </c>
      <c r="H4301" s="15" t="s">
        <v>16</v>
      </c>
      <c r="I4301" s="20" t="s">
        <v>17</v>
      </c>
      <c r="J4301" s="21">
        <v>1927389.0</v>
      </c>
      <c r="K4301" s="21">
        <v>7725.0</v>
      </c>
    </row>
    <row r="4302">
      <c r="A4302" s="15" t="s">
        <v>74</v>
      </c>
      <c r="B4302" s="16" t="s">
        <v>231</v>
      </c>
      <c r="C4302" s="17" t="s">
        <v>232</v>
      </c>
      <c r="D4302" s="18">
        <v>5.0</v>
      </c>
      <c r="E4302" s="24">
        <v>46038.0</v>
      </c>
      <c r="F4302" s="15" t="s">
        <v>150</v>
      </c>
      <c r="G4302" s="19">
        <v>9.0043001E7</v>
      </c>
      <c r="H4302" s="15" t="s">
        <v>18</v>
      </c>
      <c r="I4302" s="20" t="s">
        <v>19</v>
      </c>
      <c r="J4302" s="21">
        <v>2.7832662E7</v>
      </c>
      <c r="K4302" s="21">
        <v>121.0</v>
      </c>
    </row>
    <row r="4303">
      <c r="A4303" s="15" t="s">
        <v>74</v>
      </c>
      <c r="B4303" s="16" t="s">
        <v>231</v>
      </c>
      <c r="C4303" s="17" t="s">
        <v>232</v>
      </c>
      <c r="D4303" s="18">
        <v>5.0</v>
      </c>
      <c r="E4303" s="24">
        <v>46158.0</v>
      </c>
      <c r="F4303" s="15" t="s">
        <v>151</v>
      </c>
      <c r="G4303" s="19">
        <v>9.0043001E7</v>
      </c>
      <c r="H4303" s="15" t="s">
        <v>18</v>
      </c>
      <c r="I4303" s="20" t="s">
        <v>19</v>
      </c>
      <c r="J4303" s="21">
        <v>2990286.0</v>
      </c>
      <c r="K4303" s="21">
        <v>13.0</v>
      </c>
    </row>
    <row r="4304">
      <c r="A4304" s="15" t="s">
        <v>74</v>
      </c>
      <c r="B4304" s="16" t="s">
        <v>231</v>
      </c>
      <c r="C4304" s="17" t="s">
        <v>232</v>
      </c>
      <c r="D4304" s="18">
        <v>5.0</v>
      </c>
      <c r="E4304" s="17" t="s">
        <v>84</v>
      </c>
      <c r="F4304" s="15" t="s">
        <v>85</v>
      </c>
      <c r="G4304" s="19">
        <v>9.0043001E7</v>
      </c>
      <c r="H4304" s="15" t="s">
        <v>18</v>
      </c>
      <c r="I4304" s="20" t="s">
        <v>19</v>
      </c>
      <c r="J4304" s="21">
        <v>9042753.0</v>
      </c>
      <c r="K4304" s="21">
        <v>48.0</v>
      </c>
    </row>
    <row r="4305">
      <c r="A4305" s="15" t="s">
        <v>74</v>
      </c>
      <c r="B4305" s="16" t="s">
        <v>231</v>
      </c>
      <c r="C4305" s="17" t="s">
        <v>232</v>
      </c>
      <c r="D4305" s="18">
        <v>5.0</v>
      </c>
      <c r="E4305" s="17" t="s">
        <v>84</v>
      </c>
      <c r="F4305" s="15" t="s">
        <v>85</v>
      </c>
      <c r="G4305" s="19">
        <v>9.0043002E7</v>
      </c>
      <c r="H4305" s="15" t="s">
        <v>49</v>
      </c>
      <c r="I4305" s="20" t="s">
        <v>50</v>
      </c>
      <c r="J4305" s="21">
        <v>4214577.0</v>
      </c>
      <c r="K4305" s="21">
        <v>290.0</v>
      </c>
    </row>
    <row r="4306">
      <c r="A4306" s="15" t="s">
        <v>74</v>
      </c>
      <c r="B4306" s="16" t="s">
        <v>231</v>
      </c>
      <c r="C4306" s="17" t="s">
        <v>232</v>
      </c>
      <c r="D4306" s="18">
        <v>5.0</v>
      </c>
      <c r="E4306" s="17" t="s">
        <v>86</v>
      </c>
      <c r="F4306" s="15" t="s">
        <v>87</v>
      </c>
      <c r="G4306" s="19">
        <v>9.0043001E7</v>
      </c>
      <c r="H4306" s="15" t="s">
        <v>18</v>
      </c>
      <c r="I4306" s="20" t="s">
        <v>19</v>
      </c>
      <c r="J4306" s="21">
        <v>4600440.0</v>
      </c>
      <c r="K4306" s="21">
        <v>20.0</v>
      </c>
    </row>
    <row r="4307">
      <c r="A4307" s="15" t="s">
        <v>74</v>
      </c>
      <c r="B4307" s="16" t="s">
        <v>231</v>
      </c>
      <c r="C4307" s="17" t="s">
        <v>232</v>
      </c>
      <c r="D4307" s="18">
        <v>5.0</v>
      </c>
      <c r="E4307" s="17" t="s">
        <v>95</v>
      </c>
      <c r="F4307" s="15" t="s">
        <v>96</v>
      </c>
      <c r="G4307" s="19">
        <v>5.1100058E7</v>
      </c>
      <c r="H4307" s="15" t="s">
        <v>36</v>
      </c>
      <c r="I4307" s="20" t="s">
        <v>37</v>
      </c>
      <c r="J4307" s="21">
        <v>1880419.0</v>
      </c>
      <c r="K4307" s="21">
        <v>26.44</v>
      </c>
    </row>
    <row r="4308">
      <c r="A4308" s="15" t="s">
        <v>74</v>
      </c>
      <c r="B4308" s="16" t="s">
        <v>231</v>
      </c>
      <c r="C4308" s="17" t="s">
        <v>232</v>
      </c>
      <c r="D4308" s="18">
        <v>5.0</v>
      </c>
      <c r="E4308" s="17" t="s">
        <v>95</v>
      </c>
      <c r="F4308" s="15" t="s">
        <v>96</v>
      </c>
      <c r="G4308" s="19">
        <v>5.1100651E7</v>
      </c>
      <c r="H4308" s="15" t="s">
        <v>38</v>
      </c>
      <c r="I4308" s="20" t="s">
        <v>17</v>
      </c>
      <c r="J4308" s="21">
        <v>2307209.0</v>
      </c>
      <c r="K4308" s="21">
        <v>34.11</v>
      </c>
    </row>
    <row r="4309">
      <c r="A4309" s="15" t="s">
        <v>74</v>
      </c>
      <c r="B4309" s="16" t="s">
        <v>231</v>
      </c>
      <c r="C4309" s="17" t="s">
        <v>232</v>
      </c>
      <c r="D4309" s="18">
        <v>5.0</v>
      </c>
      <c r="E4309" s="17" t="s">
        <v>101</v>
      </c>
      <c r="F4309" s="15" t="s">
        <v>102</v>
      </c>
      <c r="G4309" s="19">
        <v>9.0043001E7</v>
      </c>
      <c r="H4309" s="15" t="s">
        <v>18</v>
      </c>
      <c r="I4309" s="20" t="s">
        <v>19</v>
      </c>
      <c r="J4309" s="21">
        <v>993350.0</v>
      </c>
      <c r="K4309" s="21">
        <v>5.0</v>
      </c>
    </row>
    <row r="4310">
      <c r="A4310" s="15" t="s">
        <v>74</v>
      </c>
      <c r="B4310" s="16" t="s">
        <v>231</v>
      </c>
      <c r="C4310" s="17" t="s">
        <v>232</v>
      </c>
      <c r="D4310" s="18">
        <v>5.0</v>
      </c>
      <c r="E4310" s="17" t="s">
        <v>108</v>
      </c>
      <c r="F4310" s="15" t="s">
        <v>109</v>
      </c>
      <c r="G4310" s="19">
        <v>5.1100058E7</v>
      </c>
      <c r="H4310" s="15" t="s">
        <v>36</v>
      </c>
      <c r="I4310" s="20" t="s">
        <v>37</v>
      </c>
      <c r="J4310" s="21">
        <v>5904656.0</v>
      </c>
      <c r="K4310" s="21">
        <v>64.18</v>
      </c>
    </row>
    <row r="4311">
      <c r="A4311" s="15" t="s">
        <v>74</v>
      </c>
      <c r="B4311" s="16" t="s">
        <v>231</v>
      </c>
      <c r="C4311" s="17" t="s">
        <v>232</v>
      </c>
      <c r="D4311" s="18">
        <v>5.0</v>
      </c>
      <c r="E4311" s="17" t="s">
        <v>108</v>
      </c>
      <c r="F4311" s="15" t="s">
        <v>109</v>
      </c>
      <c r="G4311" s="19">
        <v>5.1100651E7</v>
      </c>
      <c r="H4311" s="15" t="s">
        <v>38</v>
      </c>
      <c r="I4311" s="20" t="s">
        <v>17</v>
      </c>
      <c r="J4311" s="21">
        <v>3300840.0</v>
      </c>
      <c r="K4311" s="21">
        <v>91.69</v>
      </c>
    </row>
    <row r="4312">
      <c r="A4312" s="15" t="s">
        <v>74</v>
      </c>
      <c r="B4312" s="16" t="s">
        <v>231</v>
      </c>
      <c r="C4312" s="17" t="s">
        <v>232</v>
      </c>
      <c r="D4312" s="18">
        <v>5.0</v>
      </c>
      <c r="E4312" s="17" t="s">
        <v>207</v>
      </c>
      <c r="F4312" s="15" t="s">
        <v>208</v>
      </c>
      <c r="G4312" s="19">
        <v>5.1100774E7</v>
      </c>
      <c r="H4312" s="15" t="s">
        <v>39</v>
      </c>
      <c r="I4312" s="20" t="s">
        <v>17</v>
      </c>
      <c r="J4312" s="21">
        <v>916240.0</v>
      </c>
      <c r="K4312" s="21">
        <v>22906.0</v>
      </c>
    </row>
    <row r="4313">
      <c r="A4313" s="15" t="s">
        <v>74</v>
      </c>
      <c r="B4313" s="16" t="s">
        <v>231</v>
      </c>
      <c r="C4313" s="17" t="s">
        <v>232</v>
      </c>
      <c r="D4313" s="18">
        <v>5.0</v>
      </c>
      <c r="E4313" s="17" t="s">
        <v>175</v>
      </c>
      <c r="F4313" s="15" t="s">
        <v>176</v>
      </c>
      <c r="G4313" s="19">
        <v>9.0043002E7</v>
      </c>
      <c r="H4313" s="15" t="s">
        <v>49</v>
      </c>
      <c r="I4313" s="20" t="s">
        <v>50</v>
      </c>
      <c r="J4313" s="21">
        <v>8038686.0</v>
      </c>
      <c r="K4313" s="21">
        <v>540.0</v>
      </c>
    </row>
    <row r="4314">
      <c r="A4314" s="15" t="s">
        <v>74</v>
      </c>
      <c r="B4314" s="16" t="s">
        <v>231</v>
      </c>
      <c r="C4314" s="17" t="s">
        <v>232</v>
      </c>
      <c r="D4314" s="18">
        <v>5.0</v>
      </c>
      <c r="E4314" s="17" t="s">
        <v>117</v>
      </c>
      <c r="F4314" s="15" t="s">
        <v>118</v>
      </c>
      <c r="G4314" s="19">
        <v>5.1100058E7</v>
      </c>
      <c r="H4314" s="15" t="s">
        <v>36</v>
      </c>
      <c r="I4314" s="20" t="s">
        <v>37</v>
      </c>
      <c r="J4314" s="21">
        <v>3.78105982E8</v>
      </c>
      <c r="K4314" s="21">
        <v>29206.0</v>
      </c>
    </row>
    <row r="4315">
      <c r="A4315" s="15" t="s">
        <v>74</v>
      </c>
      <c r="B4315" s="16" t="s">
        <v>231</v>
      </c>
      <c r="C4315" s="17" t="s">
        <v>232</v>
      </c>
      <c r="D4315" s="18">
        <v>5.0</v>
      </c>
      <c r="E4315" s="17" t="s">
        <v>117</v>
      </c>
      <c r="F4315" s="15" t="s">
        <v>118</v>
      </c>
      <c r="G4315" s="19">
        <v>5.1100651E7</v>
      </c>
      <c r="H4315" s="15" t="s">
        <v>38</v>
      </c>
      <c r="I4315" s="20" t="s">
        <v>17</v>
      </c>
      <c r="J4315" s="21">
        <v>1389375.0</v>
      </c>
      <c r="K4315" s="21">
        <v>12.35</v>
      </c>
    </row>
    <row r="4316">
      <c r="A4316" s="15" t="s">
        <v>74</v>
      </c>
      <c r="B4316" s="16" t="s">
        <v>231</v>
      </c>
      <c r="C4316" s="17" t="s">
        <v>232</v>
      </c>
      <c r="D4316" s="18">
        <v>5.0</v>
      </c>
      <c r="E4316" s="17" t="s">
        <v>117</v>
      </c>
      <c r="F4316" s="15" t="s">
        <v>118</v>
      </c>
      <c r="G4316" s="19">
        <v>5.1100774E7</v>
      </c>
      <c r="H4316" s="15" t="s">
        <v>39</v>
      </c>
      <c r="I4316" s="20" t="s">
        <v>17</v>
      </c>
      <c r="J4316" s="21">
        <v>6995700.0</v>
      </c>
      <c r="K4316" s="21">
        <v>51.82</v>
      </c>
    </row>
    <row r="4317">
      <c r="A4317" s="15" t="s">
        <v>74</v>
      </c>
      <c r="B4317" s="16" t="s">
        <v>231</v>
      </c>
      <c r="C4317" s="17" t="s">
        <v>232</v>
      </c>
      <c r="D4317" s="18">
        <v>5.0</v>
      </c>
      <c r="E4317" s="17" t="s">
        <v>125</v>
      </c>
      <c r="F4317" s="15" t="s">
        <v>126</v>
      </c>
      <c r="G4317" s="19">
        <v>5.1100651E7</v>
      </c>
      <c r="H4317" s="15" t="s">
        <v>38</v>
      </c>
      <c r="I4317" s="20" t="s">
        <v>25</v>
      </c>
      <c r="J4317" s="21">
        <v>0.0</v>
      </c>
      <c r="K4317" s="21">
        <v>0.0</v>
      </c>
    </row>
    <row r="4318">
      <c r="A4318" s="15" t="s">
        <v>74</v>
      </c>
      <c r="B4318" s="16" t="s">
        <v>231</v>
      </c>
      <c r="C4318" s="17" t="s">
        <v>232</v>
      </c>
      <c r="D4318" s="18">
        <v>5.0</v>
      </c>
      <c r="E4318" s="17" t="s">
        <v>125</v>
      </c>
      <c r="F4318" s="15" t="s">
        <v>126</v>
      </c>
      <c r="G4318" s="19">
        <v>5.1100651E7</v>
      </c>
      <c r="H4318" s="15" t="s">
        <v>38</v>
      </c>
      <c r="I4318" s="20" t="s">
        <v>17</v>
      </c>
      <c r="J4318" s="21">
        <v>1.4322313E7</v>
      </c>
      <c r="K4318" s="21">
        <v>57404.0</v>
      </c>
    </row>
    <row r="4319">
      <c r="A4319" s="15" t="s">
        <v>74</v>
      </c>
      <c r="B4319" s="16" t="s">
        <v>231</v>
      </c>
      <c r="C4319" s="17" t="s">
        <v>232</v>
      </c>
      <c r="D4319" s="18">
        <v>5.0</v>
      </c>
      <c r="E4319" s="17" t="s">
        <v>125</v>
      </c>
      <c r="F4319" s="15" t="s">
        <v>126</v>
      </c>
      <c r="G4319" s="19">
        <v>5.1101056E7</v>
      </c>
      <c r="H4319" s="15" t="s">
        <v>16</v>
      </c>
      <c r="I4319" s="20" t="s">
        <v>17</v>
      </c>
      <c r="J4319" s="21">
        <v>1.239043E7</v>
      </c>
      <c r="K4319" s="21">
        <v>49661.0</v>
      </c>
    </row>
    <row r="4320">
      <c r="A4320" s="15" t="s">
        <v>74</v>
      </c>
      <c r="B4320" s="16" t="s">
        <v>231</v>
      </c>
      <c r="C4320" s="17" t="s">
        <v>232</v>
      </c>
      <c r="D4320" s="18">
        <v>5.0</v>
      </c>
      <c r="E4320" s="17" t="s">
        <v>125</v>
      </c>
      <c r="F4320" s="15" t="s">
        <v>126</v>
      </c>
      <c r="G4320" s="19">
        <v>9.0043001E7</v>
      </c>
      <c r="H4320" s="15" t="s">
        <v>18</v>
      </c>
      <c r="I4320" s="20" t="s">
        <v>19</v>
      </c>
      <c r="J4320" s="21">
        <v>1.17990266E8</v>
      </c>
      <c r="K4320" s="21">
        <v>565.0</v>
      </c>
    </row>
    <row r="4321">
      <c r="A4321" s="15" t="s">
        <v>74</v>
      </c>
      <c r="B4321" s="16" t="s">
        <v>231</v>
      </c>
      <c r="C4321" s="17" t="s">
        <v>232</v>
      </c>
      <c r="D4321" s="18">
        <v>5.0</v>
      </c>
      <c r="E4321" s="17" t="s">
        <v>127</v>
      </c>
      <c r="F4321" s="15" t="s">
        <v>128</v>
      </c>
      <c r="G4321" s="19">
        <v>9.0043001E7</v>
      </c>
      <c r="H4321" s="15" t="s">
        <v>18</v>
      </c>
      <c r="I4321" s="20" t="s">
        <v>19</v>
      </c>
      <c r="J4321" s="21">
        <v>2.3160335E7</v>
      </c>
      <c r="K4321" s="21">
        <v>104.0</v>
      </c>
    </row>
    <row r="4322">
      <c r="A4322" s="15" t="s">
        <v>74</v>
      </c>
      <c r="B4322" s="16" t="s">
        <v>231</v>
      </c>
      <c r="C4322" s="17" t="s">
        <v>232</v>
      </c>
      <c r="D4322" s="18">
        <v>5.0</v>
      </c>
      <c r="E4322" s="17" t="s">
        <v>127</v>
      </c>
      <c r="F4322" s="15" t="s">
        <v>128</v>
      </c>
      <c r="G4322" s="19">
        <v>9.0043002E7</v>
      </c>
      <c r="H4322" s="15" t="s">
        <v>49</v>
      </c>
      <c r="I4322" s="20" t="s">
        <v>50</v>
      </c>
      <c r="J4322" s="21">
        <v>2.00737456E8</v>
      </c>
      <c r="K4322" s="21">
        <v>10761.0</v>
      </c>
    </row>
    <row r="4323">
      <c r="A4323" s="15" t="s">
        <v>74</v>
      </c>
      <c r="B4323" s="16" t="s">
        <v>231</v>
      </c>
      <c r="C4323" s="17" t="s">
        <v>232</v>
      </c>
      <c r="D4323" s="18">
        <v>5.0</v>
      </c>
      <c r="E4323" s="17" t="s">
        <v>129</v>
      </c>
      <c r="F4323" s="15" t="s">
        <v>130</v>
      </c>
      <c r="G4323" s="19">
        <v>5.1100153E7</v>
      </c>
      <c r="H4323" s="15" t="s">
        <v>72</v>
      </c>
      <c r="I4323" s="20" t="s">
        <v>17</v>
      </c>
      <c r="J4323" s="21">
        <v>2289100.0</v>
      </c>
      <c r="K4323" s="21">
        <v>20810.0</v>
      </c>
    </row>
    <row r="4324">
      <c r="A4324" s="15" t="s">
        <v>74</v>
      </c>
      <c r="B4324" s="16" t="s">
        <v>231</v>
      </c>
      <c r="C4324" s="17" t="s">
        <v>232</v>
      </c>
      <c r="D4324" s="18">
        <v>5.0</v>
      </c>
      <c r="E4324" s="17" t="s">
        <v>129</v>
      </c>
      <c r="F4324" s="15" t="s">
        <v>130</v>
      </c>
      <c r="G4324" s="19">
        <v>9.0043001E7</v>
      </c>
      <c r="H4324" s="15" t="s">
        <v>18</v>
      </c>
      <c r="I4324" s="20" t="s">
        <v>19</v>
      </c>
      <c r="J4324" s="21">
        <v>1.5373312E7</v>
      </c>
      <c r="K4324" s="21">
        <v>63.6</v>
      </c>
    </row>
    <row r="4325">
      <c r="A4325" s="15" t="s">
        <v>74</v>
      </c>
      <c r="B4325" s="16" t="s">
        <v>231</v>
      </c>
      <c r="C4325" s="17" t="s">
        <v>232</v>
      </c>
      <c r="D4325" s="18">
        <v>5.0</v>
      </c>
      <c r="E4325" s="17" t="s">
        <v>129</v>
      </c>
      <c r="F4325" s="15" t="s">
        <v>130</v>
      </c>
      <c r="G4325" s="19">
        <v>9.0043003E7</v>
      </c>
      <c r="H4325" s="15" t="s">
        <v>90</v>
      </c>
      <c r="I4325" s="20" t="s">
        <v>50</v>
      </c>
      <c r="J4325" s="21">
        <v>1.9559281E7</v>
      </c>
      <c r="K4325" s="21">
        <v>439.0</v>
      </c>
    </row>
    <row r="4326">
      <c r="A4326" s="15" t="s">
        <v>74</v>
      </c>
      <c r="B4326" s="16" t="s">
        <v>231</v>
      </c>
      <c r="C4326" s="17" t="s">
        <v>232</v>
      </c>
      <c r="D4326" s="18">
        <v>5.0</v>
      </c>
      <c r="E4326" s="17" t="s">
        <v>135</v>
      </c>
      <c r="F4326" s="15" t="s">
        <v>136</v>
      </c>
      <c r="G4326" s="19">
        <v>9.0043001E7</v>
      </c>
      <c r="H4326" s="15" t="s">
        <v>18</v>
      </c>
      <c r="I4326" s="20" t="s">
        <v>19</v>
      </c>
      <c r="J4326" s="21">
        <v>5175656.0</v>
      </c>
      <c r="K4326" s="21">
        <v>24.0</v>
      </c>
    </row>
    <row r="4327">
      <c r="A4327" s="15" t="s">
        <v>74</v>
      </c>
      <c r="B4327" s="16" t="s">
        <v>231</v>
      </c>
      <c r="C4327" s="17" t="s">
        <v>232</v>
      </c>
      <c r="D4327" s="18">
        <v>5.0</v>
      </c>
      <c r="E4327" s="17" t="s">
        <v>162</v>
      </c>
      <c r="F4327" s="15" t="s">
        <v>163</v>
      </c>
      <c r="G4327" s="19">
        <v>9.0043001E7</v>
      </c>
      <c r="H4327" s="15" t="s">
        <v>18</v>
      </c>
      <c r="I4327" s="20" t="s">
        <v>19</v>
      </c>
      <c r="J4327" s="21">
        <v>5876706.0</v>
      </c>
      <c r="K4327" s="21">
        <v>22.0</v>
      </c>
    </row>
    <row r="4328">
      <c r="A4328" s="15" t="s">
        <v>74</v>
      </c>
      <c r="B4328" s="16" t="s">
        <v>231</v>
      </c>
      <c r="C4328" s="17" t="s">
        <v>232</v>
      </c>
      <c r="D4328" s="18">
        <v>5.0</v>
      </c>
      <c r="E4328" s="17" t="s">
        <v>54</v>
      </c>
      <c r="F4328" s="15" t="s">
        <v>139</v>
      </c>
      <c r="G4328" s="19">
        <v>9.0042011E7</v>
      </c>
      <c r="H4328" s="15" t="s">
        <v>55</v>
      </c>
      <c r="I4328" s="20" t="s">
        <v>19</v>
      </c>
      <c r="J4328" s="21">
        <v>3.660084E7</v>
      </c>
      <c r="K4328" s="21">
        <v>0.0</v>
      </c>
    </row>
    <row r="4329">
      <c r="A4329" s="15" t="s">
        <v>74</v>
      </c>
      <c r="B4329" s="16" t="s">
        <v>231</v>
      </c>
      <c r="C4329" s="17" t="s">
        <v>232</v>
      </c>
      <c r="D4329" s="18">
        <v>5.0</v>
      </c>
      <c r="E4329" s="17" t="s">
        <v>20</v>
      </c>
      <c r="F4329" s="15" t="s">
        <v>140</v>
      </c>
      <c r="G4329" s="19">
        <v>9.0042014E7</v>
      </c>
      <c r="H4329" s="15" t="s">
        <v>21</v>
      </c>
      <c r="I4329" s="20" t="s">
        <v>19</v>
      </c>
      <c r="J4329" s="21">
        <v>2.10012381E8</v>
      </c>
      <c r="K4329" s="21">
        <v>0.0</v>
      </c>
    </row>
    <row r="4330">
      <c r="A4330" s="15" t="s">
        <v>74</v>
      </c>
      <c r="B4330" s="16" t="s">
        <v>231</v>
      </c>
      <c r="C4330" s="17" t="s">
        <v>232</v>
      </c>
      <c r="D4330" s="18">
        <v>5.0</v>
      </c>
      <c r="E4330" s="17" t="s">
        <v>20</v>
      </c>
      <c r="F4330" s="15" t="s">
        <v>140</v>
      </c>
      <c r="G4330" s="19">
        <v>9.0042077E7</v>
      </c>
      <c r="H4330" s="15" t="s">
        <v>141</v>
      </c>
      <c r="I4330" s="20" t="s">
        <v>19</v>
      </c>
      <c r="J4330" s="21">
        <v>4.258895E7</v>
      </c>
      <c r="K4330" s="21">
        <v>0.0</v>
      </c>
    </row>
    <row r="4331">
      <c r="A4331" s="15" t="s">
        <v>74</v>
      </c>
      <c r="B4331" s="16" t="s">
        <v>231</v>
      </c>
      <c r="C4331" s="17" t="s">
        <v>232</v>
      </c>
      <c r="D4331" s="18">
        <v>5.0</v>
      </c>
      <c r="E4331" s="17" t="s">
        <v>142</v>
      </c>
      <c r="F4331" s="15" t="s">
        <v>143</v>
      </c>
      <c r="G4331" s="19">
        <v>9.0042013E7</v>
      </c>
      <c r="H4331" s="15" t="s">
        <v>144</v>
      </c>
      <c r="I4331" s="20" t="s">
        <v>19</v>
      </c>
      <c r="J4331" s="21">
        <v>8897706.0</v>
      </c>
      <c r="K4331" s="21">
        <v>0.0</v>
      </c>
    </row>
    <row r="4332">
      <c r="A4332" s="15" t="s">
        <v>74</v>
      </c>
      <c r="B4332" s="16" t="s">
        <v>231</v>
      </c>
      <c r="C4332" s="17" t="s">
        <v>232</v>
      </c>
      <c r="D4332" s="18">
        <v>5.0</v>
      </c>
      <c r="E4332" s="17" t="s">
        <v>142</v>
      </c>
      <c r="F4332" s="15" t="s">
        <v>143</v>
      </c>
      <c r="G4332" s="19">
        <v>9.0042084E7</v>
      </c>
      <c r="H4332" s="15" t="s">
        <v>145</v>
      </c>
      <c r="I4332" s="20" t="s">
        <v>19</v>
      </c>
      <c r="J4332" s="21">
        <v>6945800.0</v>
      </c>
      <c r="K4332" s="21">
        <v>0.0</v>
      </c>
    </row>
    <row r="4333">
      <c r="A4333" s="15" t="s">
        <v>74</v>
      </c>
      <c r="B4333" s="16" t="s">
        <v>231</v>
      </c>
      <c r="C4333" s="17" t="s">
        <v>232</v>
      </c>
      <c r="D4333" s="18">
        <v>5.0</v>
      </c>
      <c r="E4333" s="17" t="s">
        <v>22</v>
      </c>
      <c r="F4333" s="15" t="s">
        <v>146</v>
      </c>
      <c r="G4333" s="19">
        <v>9.0042012E7</v>
      </c>
      <c r="H4333" s="15" t="s">
        <v>23</v>
      </c>
      <c r="I4333" s="20" t="s">
        <v>19</v>
      </c>
      <c r="J4333" s="21">
        <v>9.5399296E7</v>
      </c>
      <c r="K4333" s="21">
        <v>0.0</v>
      </c>
    </row>
    <row r="4334">
      <c r="A4334" s="15" t="s">
        <v>74</v>
      </c>
      <c r="B4334" s="16" t="s">
        <v>231</v>
      </c>
      <c r="C4334" s="17" t="s">
        <v>232</v>
      </c>
      <c r="D4334" s="18">
        <v>5.0</v>
      </c>
      <c r="E4334" s="17" t="s">
        <v>22</v>
      </c>
      <c r="F4334" s="15" t="s">
        <v>146</v>
      </c>
      <c r="G4334" s="19">
        <v>9.0042121E7</v>
      </c>
      <c r="H4334" s="15" t="s">
        <v>24</v>
      </c>
      <c r="I4334" s="20" t="s">
        <v>25</v>
      </c>
      <c r="J4334" s="21">
        <v>7.751336E7</v>
      </c>
      <c r="K4334" s="21">
        <v>0.0</v>
      </c>
    </row>
    <row r="4335">
      <c r="A4335" s="15" t="s">
        <v>74</v>
      </c>
      <c r="B4335" s="16" t="s">
        <v>231</v>
      </c>
      <c r="C4335" s="17" t="s">
        <v>232</v>
      </c>
      <c r="D4335" s="18">
        <v>5.0</v>
      </c>
      <c r="E4335" s="17" t="s">
        <v>22</v>
      </c>
      <c r="F4335" s="15" t="s">
        <v>146</v>
      </c>
      <c r="G4335" s="19">
        <v>9.0042122E7</v>
      </c>
      <c r="H4335" s="15" t="s">
        <v>56</v>
      </c>
      <c r="I4335" s="20" t="s">
        <v>25</v>
      </c>
      <c r="J4335" s="21">
        <v>2515000.0</v>
      </c>
      <c r="K4335" s="21">
        <v>0.0</v>
      </c>
    </row>
    <row r="4336">
      <c r="A4336" s="15" t="s">
        <v>74</v>
      </c>
      <c r="B4336" s="16" t="s">
        <v>231</v>
      </c>
      <c r="C4336" s="17" t="s">
        <v>232</v>
      </c>
      <c r="D4336" s="18">
        <v>5.0</v>
      </c>
      <c r="E4336" s="17" t="s">
        <v>22</v>
      </c>
      <c r="F4336" s="15" t="s">
        <v>146</v>
      </c>
      <c r="G4336" s="19">
        <v>9.0042125E7</v>
      </c>
      <c r="H4336" s="15" t="s">
        <v>26</v>
      </c>
      <c r="I4336" s="20" t="s">
        <v>25</v>
      </c>
      <c r="J4336" s="21">
        <v>8.5606078E7</v>
      </c>
      <c r="K4336" s="21">
        <v>0.0</v>
      </c>
    </row>
    <row r="4337">
      <c r="A4337" s="15" t="s">
        <v>74</v>
      </c>
      <c r="B4337" s="16" t="s">
        <v>231</v>
      </c>
      <c r="C4337" s="17" t="s">
        <v>232</v>
      </c>
      <c r="D4337" s="18">
        <v>5.0</v>
      </c>
      <c r="E4337" s="17" t="s">
        <v>22</v>
      </c>
      <c r="F4337" s="15" t="s">
        <v>146</v>
      </c>
      <c r="G4337" s="19">
        <v>9.0042135E7</v>
      </c>
      <c r="H4337" s="15" t="s">
        <v>30</v>
      </c>
      <c r="I4337" s="20" t="s">
        <v>25</v>
      </c>
      <c r="J4337" s="21">
        <v>7.0795768E7</v>
      </c>
      <c r="K4337" s="21">
        <v>0.0</v>
      </c>
    </row>
    <row r="4338">
      <c r="A4338" s="15" t="s">
        <v>74</v>
      </c>
      <c r="B4338" s="16" t="s">
        <v>231</v>
      </c>
      <c r="C4338" s="17" t="s">
        <v>232</v>
      </c>
      <c r="D4338" s="18">
        <v>5.0</v>
      </c>
      <c r="E4338" s="17" t="s">
        <v>22</v>
      </c>
      <c r="F4338" s="15" t="s">
        <v>146</v>
      </c>
      <c r="G4338" s="19">
        <v>9.00422E7</v>
      </c>
      <c r="H4338" s="15" t="s">
        <v>73</v>
      </c>
      <c r="I4338" s="20" t="s">
        <v>60</v>
      </c>
      <c r="J4338" s="21">
        <v>1.60641663E8</v>
      </c>
      <c r="K4338" s="21">
        <v>0.0</v>
      </c>
    </row>
    <row r="4339">
      <c r="A4339" s="15" t="s">
        <v>74</v>
      </c>
      <c r="B4339" s="16" t="s">
        <v>231</v>
      </c>
      <c r="C4339" s="17" t="s">
        <v>232</v>
      </c>
      <c r="D4339" s="18">
        <v>5.0</v>
      </c>
      <c r="E4339" s="17" t="s">
        <v>22</v>
      </c>
      <c r="F4339" s="15" t="s">
        <v>146</v>
      </c>
      <c r="G4339" s="19">
        <v>9.0042223E7</v>
      </c>
      <c r="H4339" s="15" t="s">
        <v>61</v>
      </c>
      <c r="I4339" s="20" t="s">
        <v>60</v>
      </c>
      <c r="J4339" s="21">
        <v>3340881.0</v>
      </c>
      <c r="K4339" s="21">
        <v>0.0</v>
      </c>
    </row>
    <row r="4340">
      <c r="A4340" s="15" t="s">
        <v>74</v>
      </c>
      <c r="B4340" s="16" t="s">
        <v>231</v>
      </c>
      <c r="C4340" s="17" t="s">
        <v>232</v>
      </c>
      <c r="D4340" s="18">
        <v>5.0</v>
      </c>
      <c r="E4340" s="17" t="s">
        <v>22</v>
      </c>
      <c r="F4340" s="15" t="s">
        <v>146</v>
      </c>
      <c r="G4340" s="19">
        <v>9.0042224E7</v>
      </c>
      <c r="H4340" s="15" t="s">
        <v>62</v>
      </c>
      <c r="I4340" s="20" t="s">
        <v>60</v>
      </c>
      <c r="J4340" s="21">
        <v>1088874.0</v>
      </c>
      <c r="K4340" s="21">
        <v>0.0</v>
      </c>
    </row>
    <row r="4341">
      <c r="A4341" s="15" t="s">
        <v>74</v>
      </c>
      <c r="B4341" s="16" t="s">
        <v>231</v>
      </c>
      <c r="C4341" s="17" t="s">
        <v>232</v>
      </c>
      <c r="D4341" s="18">
        <v>5.0</v>
      </c>
      <c r="E4341" s="17" t="s">
        <v>22</v>
      </c>
      <c r="F4341" s="15" t="s">
        <v>146</v>
      </c>
      <c r="G4341" s="19">
        <v>9.0042226E7</v>
      </c>
      <c r="H4341" s="15" t="s">
        <v>63</v>
      </c>
      <c r="I4341" s="20" t="s">
        <v>60</v>
      </c>
      <c r="J4341" s="21">
        <v>133334.0</v>
      </c>
      <c r="K4341" s="21">
        <v>0.0</v>
      </c>
    </row>
    <row r="4342">
      <c r="A4342" s="15" t="s">
        <v>74</v>
      </c>
      <c r="B4342" s="16" t="s">
        <v>231</v>
      </c>
      <c r="C4342" s="17" t="s">
        <v>232</v>
      </c>
      <c r="D4342" s="18">
        <v>5.0</v>
      </c>
      <c r="E4342" s="17" t="s">
        <v>22</v>
      </c>
      <c r="F4342" s="15" t="s">
        <v>146</v>
      </c>
      <c r="G4342" s="19">
        <v>9.0042228E7</v>
      </c>
      <c r="H4342" s="15" t="s">
        <v>64</v>
      </c>
      <c r="I4342" s="20" t="s">
        <v>60</v>
      </c>
      <c r="J4342" s="21">
        <v>2988806.0</v>
      </c>
      <c r="K4342" s="21">
        <v>0.0</v>
      </c>
    </row>
    <row r="4343">
      <c r="A4343" s="15" t="s">
        <v>74</v>
      </c>
      <c r="B4343" s="16" t="s">
        <v>231</v>
      </c>
      <c r="C4343" s="17" t="s">
        <v>232</v>
      </c>
      <c r="D4343" s="18">
        <v>5.0</v>
      </c>
      <c r="E4343" s="17" t="s">
        <v>22</v>
      </c>
      <c r="F4343" s="15" t="s">
        <v>146</v>
      </c>
      <c r="G4343" s="19">
        <v>9.0042231E7</v>
      </c>
      <c r="H4343" s="15" t="s">
        <v>65</v>
      </c>
      <c r="I4343" s="20" t="s">
        <v>60</v>
      </c>
      <c r="J4343" s="21">
        <v>2351901.0</v>
      </c>
      <c r="K4343" s="21">
        <v>0.0</v>
      </c>
    </row>
    <row r="4344">
      <c r="A4344" s="15" t="s">
        <v>74</v>
      </c>
      <c r="B4344" s="16" t="s">
        <v>231</v>
      </c>
      <c r="C4344" s="17" t="s">
        <v>232</v>
      </c>
      <c r="D4344" s="18">
        <v>5.0</v>
      </c>
      <c r="E4344" s="17" t="s">
        <v>22</v>
      </c>
      <c r="F4344" s="15" t="s">
        <v>146</v>
      </c>
      <c r="G4344" s="19">
        <v>9.0042126E7</v>
      </c>
      <c r="H4344" s="15" t="s">
        <v>31</v>
      </c>
      <c r="I4344" s="20" t="s">
        <v>25</v>
      </c>
      <c r="J4344" s="21">
        <v>8.9787056E7</v>
      </c>
      <c r="K4344" s="21">
        <v>0.0</v>
      </c>
    </row>
    <row r="4345">
      <c r="A4345" s="15" t="s">
        <v>74</v>
      </c>
      <c r="B4345" s="16" t="s">
        <v>231</v>
      </c>
      <c r="C4345" s="17" t="s">
        <v>232</v>
      </c>
      <c r="D4345" s="18">
        <v>5.0</v>
      </c>
      <c r="E4345" s="17" t="s">
        <v>22</v>
      </c>
      <c r="F4345" s="15" t="s">
        <v>146</v>
      </c>
      <c r="G4345" s="19">
        <v>9.004212E7</v>
      </c>
      <c r="H4345" s="15" t="s">
        <v>182</v>
      </c>
      <c r="I4345" s="20" t="s">
        <v>25</v>
      </c>
      <c r="J4345" s="21">
        <v>-1.3818761E7</v>
      </c>
      <c r="K4345" s="21">
        <v>0.0</v>
      </c>
    </row>
    <row r="4346">
      <c r="A4346" s="15" t="s">
        <v>74</v>
      </c>
      <c r="B4346" s="16" t="s">
        <v>231</v>
      </c>
      <c r="C4346" s="17" t="s">
        <v>232</v>
      </c>
      <c r="D4346" s="18">
        <v>5.0</v>
      </c>
      <c r="E4346" s="24">
        <v>46097.0</v>
      </c>
      <c r="F4346" s="15" t="s">
        <v>216</v>
      </c>
      <c r="G4346" s="19">
        <v>5.1100153E7</v>
      </c>
      <c r="H4346" s="15" t="s">
        <v>72</v>
      </c>
      <c r="I4346" s="20" t="s">
        <v>17</v>
      </c>
      <c r="J4346" s="21">
        <v>1192400.0</v>
      </c>
      <c r="K4346" s="21">
        <v>10840.0</v>
      </c>
    </row>
    <row r="4347">
      <c r="A4347" s="15" t="s">
        <v>74</v>
      </c>
      <c r="B4347" s="16" t="s">
        <v>231</v>
      </c>
      <c r="C4347" s="17" t="s">
        <v>232</v>
      </c>
      <c r="D4347" s="18">
        <v>5.0</v>
      </c>
      <c r="E4347" s="24">
        <v>46097.0</v>
      </c>
      <c r="F4347" s="15" t="s">
        <v>216</v>
      </c>
      <c r="G4347" s="19">
        <v>9.0043001E7</v>
      </c>
      <c r="H4347" s="15" t="s">
        <v>18</v>
      </c>
      <c r="I4347" s="20" t="s">
        <v>19</v>
      </c>
      <c r="J4347" s="21">
        <v>1602740.0</v>
      </c>
      <c r="K4347" s="21">
        <v>6.0</v>
      </c>
    </row>
    <row r="4348">
      <c r="A4348" s="15" t="s">
        <v>74</v>
      </c>
      <c r="B4348" s="16" t="s">
        <v>231</v>
      </c>
      <c r="C4348" s="17" t="s">
        <v>232</v>
      </c>
      <c r="D4348" s="18">
        <v>5.0</v>
      </c>
      <c r="E4348" s="24">
        <v>46097.0</v>
      </c>
      <c r="F4348" s="15" t="s">
        <v>216</v>
      </c>
      <c r="G4348" s="19">
        <v>9.0043003E7</v>
      </c>
      <c r="H4348" s="15" t="s">
        <v>90</v>
      </c>
      <c r="I4348" s="20" t="s">
        <v>50</v>
      </c>
      <c r="J4348" s="21">
        <v>506394.0</v>
      </c>
      <c r="K4348" s="21">
        <v>17.0</v>
      </c>
    </row>
    <row r="4349">
      <c r="A4349" s="15" t="s">
        <v>74</v>
      </c>
      <c r="B4349" s="16" t="s">
        <v>231</v>
      </c>
      <c r="C4349" s="17" t="s">
        <v>232</v>
      </c>
      <c r="D4349" s="18">
        <v>5.0</v>
      </c>
      <c r="E4349" s="24">
        <v>46069.0</v>
      </c>
      <c r="F4349" s="15" t="s">
        <v>217</v>
      </c>
      <c r="G4349" s="19">
        <v>9.0043001E7</v>
      </c>
      <c r="H4349" s="15" t="s">
        <v>18</v>
      </c>
      <c r="I4349" s="20" t="s">
        <v>19</v>
      </c>
      <c r="J4349" s="21">
        <v>7880118.0</v>
      </c>
      <c r="K4349" s="21">
        <v>32.0</v>
      </c>
    </row>
    <row r="4350">
      <c r="A4350" s="15" t="s">
        <v>74</v>
      </c>
      <c r="B4350" s="16" t="s">
        <v>231</v>
      </c>
      <c r="C4350" s="17" t="s">
        <v>232</v>
      </c>
      <c r="D4350" s="18">
        <v>5.0</v>
      </c>
      <c r="E4350" s="24">
        <v>46069.0</v>
      </c>
      <c r="F4350" s="15" t="s">
        <v>217</v>
      </c>
      <c r="G4350" s="19">
        <v>9.0043002E7</v>
      </c>
      <c r="H4350" s="15" t="s">
        <v>49</v>
      </c>
      <c r="I4350" s="20" t="s">
        <v>50</v>
      </c>
      <c r="J4350" s="21">
        <v>1.1791127E7</v>
      </c>
      <c r="K4350" s="21">
        <v>653.0</v>
      </c>
    </row>
    <row r="4351">
      <c r="A4351" s="15" t="s">
        <v>74</v>
      </c>
      <c r="B4351" s="16" t="s">
        <v>231</v>
      </c>
      <c r="C4351" s="17" t="s">
        <v>232</v>
      </c>
      <c r="D4351" s="18">
        <v>5.0</v>
      </c>
      <c r="E4351" s="17" t="s">
        <v>218</v>
      </c>
      <c r="F4351" s="15" t="s">
        <v>219</v>
      </c>
      <c r="G4351" s="19">
        <v>9.0043001E7</v>
      </c>
      <c r="H4351" s="15" t="s">
        <v>18</v>
      </c>
      <c r="I4351" s="20" t="s">
        <v>19</v>
      </c>
      <c r="J4351" s="21">
        <v>1.4019692E7</v>
      </c>
      <c r="K4351" s="21">
        <v>76.0</v>
      </c>
    </row>
    <row r="4352">
      <c r="A4352" s="15" t="s">
        <v>74</v>
      </c>
      <c r="B4352" s="16" t="s">
        <v>231</v>
      </c>
      <c r="C4352" s="17" t="s">
        <v>232</v>
      </c>
      <c r="D4352" s="18">
        <v>5.0</v>
      </c>
      <c r="E4352" s="17" t="s">
        <v>340</v>
      </c>
      <c r="F4352" s="15" t="s">
        <v>341</v>
      </c>
      <c r="G4352" s="19">
        <v>5.1101999E7</v>
      </c>
      <c r="H4352" s="15" t="s">
        <v>107</v>
      </c>
      <c r="I4352" s="20" t="s">
        <v>25</v>
      </c>
      <c r="J4352" s="21">
        <v>0.0</v>
      </c>
      <c r="K4352" s="21">
        <v>0.0</v>
      </c>
    </row>
    <row r="4353">
      <c r="A4353" s="15" t="s">
        <v>74</v>
      </c>
      <c r="B4353" s="16" t="s">
        <v>231</v>
      </c>
      <c r="C4353" s="17" t="s">
        <v>232</v>
      </c>
      <c r="D4353" s="18">
        <v>5.0</v>
      </c>
      <c r="E4353" s="24">
        <v>46292.0</v>
      </c>
      <c r="F4353" s="15" t="s">
        <v>342</v>
      </c>
      <c r="G4353" s="19">
        <v>5.1100058E7</v>
      </c>
      <c r="H4353" s="15" t="s">
        <v>36</v>
      </c>
      <c r="I4353" s="20" t="s">
        <v>37</v>
      </c>
      <c r="J4353" s="21">
        <v>0.0</v>
      </c>
      <c r="K4353" s="21">
        <v>0.0</v>
      </c>
    </row>
    <row r="4354">
      <c r="A4354" s="15" t="s">
        <v>74</v>
      </c>
      <c r="B4354" s="16" t="s">
        <v>231</v>
      </c>
      <c r="C4354" s="17" t="s">
        <v>232</v>
      </c>
      <c r="D4354" s="18">
        <v>5.0</v>
      </c>
      <c r="E4354" s="17" t="s">
        <v>373</v>
      </c>
      <c r="F4354" s="15" t="s">
        <v>374</v>
      </c>
      <c r="G4354" s="19">
        <v>9.0043001E7</v>
      </c>
      <c r="H4354" s="15" t="s">
        <v>18</v>
      </c>
      <c r="I4354" s="20" t="s">
        <v>19</v>
      </c>
      <c r="J4354" s="21">
        <v>0.0</v>
      </c>
      <c r="K4354" s="21">
        <v>0.0</v>
      </c>
    </row>
    <row r="4355">
      <c r="A4355" s="15" t="s">
        <v>74</v>
      </c>
      <c r="B4355" s="16" t="s">
        <v>231</v>
      </c>
      <c r="C4355" s="17" t="s">
        <v>232</v>
      </c>
      <c r="D4355" s="18">
        <v>5.0</v>
      </c>
      <c r="E4355" s="17" t="s">
        <v>373</v>
      </c>
      <c r="F4355" s="15" t="s">
        <v>374</v>
      </c>
      <c r="G4355" s="19">
        <v>9.0043E7</v>
      </c>
      <c r="H4355" s="15" t="s">
        <v>83</v>
      </c>
      <c r="I4355" s="20" t="s">
        <v>19</v>
      </c>
      <c r="J4355" s="21">
        <v>0.0</v>
      </c>
      <c r="K4355" s="21">
        <v>0.0</v>
      </c>
    </row>
    <row r="4356">
      <c r="A4356" s="15" t="s">
        <v>74</v>
      </c>
      <c r="B4356" s="16" t="s">
        <v>231</v>
      </c>
      <c r="C4356" s="17" t="s">
        <v>232</v>
      </c>
      <c r="D4356" s="18">
        <v>5.0</v>
      </c>
      <c r="E4356" s="24">
        <v>46049.0</v>
      </c>
      <c r="F4356" s="15" t="s">
        <v>379</v>
      </c>
      <c r="G4356" s="19">
        <v>5.1100058E7</v>
      </c>
      <c r="H4356" s="15" t="s">
        <v>36</v>
      </c>
      <c r="I4356" s="20" t="s">
        <v>37</v>
      </c>
      <c r="J4356" s="21">
        <v>0.0</v>
      </c>
      <c r="K4356" s="21">
        <v>0.0</v>
      </c>
    </row>
    <row r="4357">
      <c r="A4357" s="15" t="s">
        <v>74</v>
      </c>
      <c r="B4357" s="16" t="s">
        <v>231</v>
      </c>
      <c r="C4357" s="17" t="s">
        <v>232</v>
      </c>
      <c r="D4357" s="18">
        <v>5.0</v>
      </c>
      <c r="E4357" s="24">
        <v>46053.0</v>
      </c>
      <c r="F4357" s="15" t="s">
        <v>382</v>
      </c>
      <c r="G4357" s="19">
        <v>5.1101999E7</v>
      </c>
      <c r="H4357" s="15" t="s">
        <v>107</v>
      </c>
      <c r="I4357" s="20" t="s">
        <v>25</v>
      </c>
      <c r="J4357" s="21">
        <v>0.0</v>
      </c>
      <c r="K4357" s="21">
        <v>0.0</v>
      </c>
    </row>
    <row r="4358">
      <c r="A4358" s="15" t="s">
        <v>74</v>
      </c>
      <c r="B4358" s="16" t="s">
        <v>233</v>
      </c>
      <c r="C4358" s="17" t="s">
        <v>234</v>
      </c>
      <c r="D4358" s="18">
        <v>5.0</v>
      </c>
      <c r="E4358" s="17" t="s">
        <v>173</v>
      </c>
      <c r="F4358" s="15" t="s">
        <v>174</v>
      </c>
      <c r="G4358" s="19">
        <v>9.0043003E7</v>
      </c>
      <c r="H4358" s="15" t="s">
        <v>90</v>
      </c>
      <c r="I4358" s="20" t="s">
        <v>50</v>
      </c>
      <c r="J4358" s="21">
        <v>7023528.0</v>
      </c>
      <c r="K4358" s="21">
        <v>24.0</v>
      </c>
    </row>
    <row r="4359">
      <c r="A4359" s="15" t="s">
        <v>74</v>
      </c>
      <c r="B4359" s="16" t="s">
        <v>233</v>
      </c>
      <c r="C4359" s="17" t="s">
        <v>234</v>
      </c>
      <c r="D4359" s="18">
        <v>5.0</v>
      </c>
      <c r="E4359" s="17" t="s">
        <v>152</v>
      </c>
      <c r="F4359" s="15" t="s">
        <v>153</v>
      </c>
      <c r="G4359" s="19">
        <v>9.0043003E7</v>
      </c>
      <c r="H4359" s="15" t="s">
        <v>90</v>
      </c>
      <c r="I4359" s="20" t="s">
        <v>50</v>
      </c>
      <c r="J4359" s="21">
        <v>1.3900733E7</v>
      </c>
      <c r="K4359" s="21">
        <v>47.5</v>
      </c>
    </row>
    <row r="4360">
      <c r="A4360" s="15" t="s">
        <v>74</v>
      </c>
      <c r="B4360" s="16" t="s">
        <v>233</v>
      </c>
      <c r="C4360" s="17" t="s">
        <v>234</v>
      </c>
      <c r="D4360" s="18">
        <v>5.0</v>
      </c>
      <c r="E4360" s="17" t="s">
        <v>154</v>
      </c>
      <c r="F4360" s="15" t="s">
        <v>155</v>
      </c>
      <c r="G4360" s="19">
        <v>9.0043003E7</v>
      </c>
      <c r="H4360" s="15" t="s">
        <v>90</v>
      </c>
      <c r="I4360" s="20" t="s">
        <v>50</v>
      </c>
      <c r="J4360" s="21">
        <v>7083900.0</v>
      </c>
      <c r="K4360" s="21">
        <v>6000.0</v>
      </c>
    </row>
    <row r="4361">
      <c r="A4361" s="15" t="s">
        <v>74</v>
      </c>
      <c r="B4361" s="16" t="s">
        <v>233</v>
      </c>
      <c r="C4361" s="17" t="s">
        <v>234</v>
      </c>
      <c r="D4361" s="18">
        <v>5.0</v>
      </c>
      <c r="E4361" s="17" t="s">
        <v>95</v>
      </c>
      <c r="F4361" s="15" t="s">
        <v>96</v>
      </c>
      <c r="G4361" s="19">
        <v>5.1100058E7</v>
      </c>
      <c r="H4361" s="15" t="s">
        <v>36</v>
      </c>
      <c r="I4361" s="20" t="s">
        <v>25</v>
      </c>
      <c r="J4361" s="21">
        <v>2808763.0</v>
      </c>
      <c r="K4361" s="21">
        <v>0.0</v>
      </c>
    </row>
    <row r="4362">
      <c r="A4362" s="15" t="s">
        <v>74</v>
      </c>
      <c r="B4362" s="16" t="s">
        <v>233</v>
      </c>
      <c r="C4362" s="17" t="s">
        <v>234</v>
      </c>
      <c r="D4362" s="18">
        <v>5.0</v>
      </c>
      <c r="E4362" s="17" t="s">
        <v>95</v>
      </c>
      <c r="F4362" s="15" t="s">
        <v>96</v>
      </c>
      <c r="G4362" s="19">
        <v>5.1100058E7</v>
      </c>
      <c r="H4362" s="15" t="s">
        <v>36</v>
      </c>
      <c r="I4362" s="20" t="s">
        <v>37</v>
      </c>
      <c r="J4362" s="21">
        <v>2.3797404E7</v>
      </c>
      <c r="K4362" s="21">
        <v>346.79</v>
      </c>
    </row>
    <row r="4363">
      <c r="A4363" s="15" t="s">
        <v>74</v>
      </c>
      <c r="B4363" s="16" t="s">
        <v>233</v>
      </c>
      <c r="C4363" s="17" t="s">
        <v>234</v>
      </c>
      <c r="D4363" s="18">
        <v>5.0</v>
      </c>
      <c r="E4363" s="17" t="s">
        <v>95</v>
      </c>
      <c r="F4363" s="15" t="s">
        <v>96</v>
      </c>
      <c r="G4363" s="19">
        <v>5.1100651E7</v>
      </c>
      <c r="H4363" s="15" t="s">
        <v>38</v>
      </c>
      <c r="I4363" s="20" t="s">
        <v>17</v>
      </c>
      <c r="J4363" s="21">
        <v>3.2043773E7</v>
      </c>
      <c r="K4363" s="21">
        <v>473.74</v>
      </c>
    </row>
    <row r="4364">
      <c r="A4364" s="15" t="s">
        <v>74</v>
      </c>
      <c r="B4364" s="16" t="s">
        <v>233</v>
      </c>
      <c r="C4364" s="17" t="s">
        <v>234</v>
      </c>
      <c r="D4364" s="18">
        <v>5.0</v>
      </c>
      <c r="E4364" s="17" t="s">
        <v>95</v>
      </c>
      <c r="F4364" s="15" t="s">
        <v>96</v>
      </c>
      <c r="G4364" s="19">
        <v>5.1100774E7</v>
      </c>
      <c r="H4364" s="15" t="s">
        <v>39</v>
      </c>
      <c r="I4364" s="20" t="s">
        <v>25</v>
      </c>
      <c r="J4364" s="21">
        <v>-1.0</v>
      </c>
      <c r="K4364" s="21">
        <v>0.0</v>
      </c>
    </row>
    <row r="4365">
      <c r="A4365" s="15" t="s">
        <v>74</v>
      </c>
      <c r="B4365" s="16" t="s">
        <v>233</v>
      </c>
      <c r="C4365" s="17" t="s">
        <v>234</v>
      </c>
      <c r="D4365" s="18">
        <v>5.0</v>
      </c>
      <c r="E4365" s="17" t="s">
        <v>95</v>
      </c>
      <c r="F4365" s="15" t="s">
        <v>96</v>
      </c>
      <c r="G4365" s="19">
        <v>5.1100774E7</v>
      </c>
      <c r="H4365" s="15" t="s">
        <v>39</v>
      </c>
      <c r="I4365" s="20" t="s">
        <v>17</v>
      </c>
      <c r="J4365" s="21">
        <v>1.477934E7</v>
      </c>
      <c r="K4365" s="21">
        <v>218.5</v>
      </c>
    </row>
    <row r="4366">
      <c r="A4366" s="15" t="s">
        <v>74</v>
      </c>
      <c r="B4366" s="16" t="s">
        <v>233</v>
      </c>
      <c r="C4366" s="17" t="s">
        <v>234</v>
      </c>
      <c r="D4366" s="18">
        <v>5.0</v>
      </c>
      <c r="E4366" s="17" t="s">
        <v>95</v>
      </c>
      <c r="F4366" s="15" t="s">
        <v>96</v>
      </c>
      <c r="G4366" s="19">
        <v>5.1100057E7</v>
      </c>
      <c r="H4366" s="15" t="s">
        <v>237</v>
      </c>
      <c r="I4366" s="20" t="s">
        <v>25</v>
      </c>
      <c r="J4366" s="21">
        <v>-2808763.0</v>
      </c>
      <c r="K4366" s="21">
        <v>0.0</v>
      </c>
    </row>
    <row r="4367">
      <c r="A4367" s="15" t="s">
        <v>74</v>
      </c>
      <c r="B4367" s="16" t="s">
        <v>233</v>
      </c>
      <c r="C4367" s="17" t="s">
        <v>234</v>
      </c>
      <c r="D4367" s="18">
        <v>5.0</v>
      </c>
      <c r="E4367" s="17" t="s">
        <v>103</v>
      </c>
      <c r="F4367" s="15" t="s">
        <v>104</v>
      </c>
      <c r="G4367" s="19">
        <v>9.0043003E7</v>
      </c>
      <c r="H4367" s="15" t="s">
        <v>90</v>
      </c>
      <c r="I4367" s="20" t="s">
        <v>50</v>
      </c>
      <c r="J4367" s="21">
        <v>4487140.0</v>
      </c>
      <c r="K4367" s="21">
        <v>14.0</v>
      </c>
    </row>
    <row r="4368">
      <c r="A4368" s="15" t="s">
        <v>74</v>
      </c>
      <c r="B4368" s="16" t="s">
        <v>233</v>
      </c>
      <c r="C4368" s="17" t="s">
        <v>234</v>
      </c>
      <c r="D4368" s="18">
        <v>5.0</v>
      </c>
      <c r="E4368" s="17" t="s">
        <v>105</v>
      </c>
      <c r="F4368" s="15" t="s">
        <v>106</v>
      </c>
      <c r="G4368" s="19">
        <v>5.1100774E7</v>
      </c>
      <c r="H4368" s="15" t="s">
        <v>39</v>
      </c>
      <c r="I4368" s="20" t="s">
        <v>17</v>
      </c>
      <c r="J4368" s="21">
        <v>2415000.0</v>
      </c>
      <c r="K4368" s="21">
        <v>0.276</v>
      </c>
    </row>
    <row r="4369">
      <c r="A4369" s="15" t="s">
        <v>74</v>
      </c>
      <c r="B4369" s="16" t="s">
        <v>233</v>
      </c>
      <c r="C4369" s="17" t="s">
        <v>234</v>
      </c>
      <c r="D4369" s="18">
        <v>5.0</v>
      </c>
      <c r="E4369" s="17" t="s">
        <v>175</v>
      </c>
      <c r="F4369" s="15" t="s">
        <v>176</v>
      </c>
      <c r="G4369" s="19">
        <v>5.1100651E7</v>
      </c>
      <c r="H4369" s="15" t="s">
        <v>38</v>
      </c>
      <c r="I4369" s="20" t="s">
        <v>17</v>
      </c>
      <c r="J4369" s="21">
        <v>1.224944E7</v>
      </c>
      <c r="K4369" s="21">
        <v>109.37</v>
      </c>
    </row>
    <row r="4370">
      <c r="A4370" s="15" t="s">
        <v>74</v>
      </c>
      <c r="B4370" s="16" t="s">
        <v>233</v>
      </c>
      <c r="C4370" s="17" t="s">
        <v>234</v>
      </c>
      <c r="D4370" s="18">
        <v>5.0</v>
      </c>
      <c r="E4370" s="17" t="s">
        <v>175</v>
      </c>
      <c r="F4370" s="15" t="s">
        <v>176</v>
      </c>
      <c r="G4370" s="19">
        <v>9.0043002E7</v>
      </c>
      <c r="H4370" s="15" t="s">
        <v>49</v>
      </c>
      <c r="I4370" s="20" t="s">
        <v>50</v>
      </c>
      <c r="J4370" s="21">
        <v>1.326821E7</v>
      </c>
      <c r="K4370" s="21">
        <v>499.0</v>
      </c>
    </row>
    <row r="4371">
      <c r="A4371" s="15" t="s">
        <v>74</v>
      </c>
      <c r="B4371" s="16" t="s">
        <v>233</v>
      </c>
      <c r="C4371" s="17" t="s">
        <v>234</v>
      </c>
      <c r="D4371" s="18">
        <v>5.0</v>
      </c>
      <c r="E4371" s="17" t="s">
        <v>175</v>
      </c>
      <c r="F4371" s="15" t="s">
        <v>176</v>
      </c>
      <c r="G4371" s="19">
        <v>5.1100774E7</v>
      </c>
      <c r="H4371" s="15" t="s">
        <v>39</v>
      </c>
      <c r="I4371" s="20" t="s">
        <v>17</v>
      </c>
      <c r="J4371" s="21">
        <v>4794400.0</v>
      </c>
      <c r="K4371" s="21">
        <v>47944.0</v>
      </c>
    </row>
    <row r="4372">
      <c r="A4372" s="15" t="s">
        <v>74</v>
      </c>
      <c r="B4372" s="16" t="s">
        <v>233</v>
      </c>
      <c r="C4372" s="17" t="s">
        <v>234</v>
      </c>
      <c r="D4372" s="18">
        <v>5.0</v>
      </c>
      <c r="E4372" s="17" t="s">
        <v>115</v>
      </c>
      <c r="F4372" s="15" t="s">
        <v>116</v>
      </c>
      <c r="G4372" s="19">
        <v>9.0043002E7</v>
      </c>
      <c r="H4372" s="15" t="s">
        <v>49</v>
      </c>
      <c r="I4372" s="20" t="s">
        <v>50</v>
      </c>
      <c r="J4372" s="21">
        <v>5.578115E7</v>
      </c>
      <c r="K4372" s="21">
        <v>2025.0</v>
      </c>
    </row>
    <row r="4373">
      <c r="A4373" s="15" t="s">
        <v>74</v>
      </c>
      <c r="B4373" s="16" t="s">
        <v>233</v>
      </c>
      <c r="C4373" s="17" t="s">
        <v>234</v>
      </c>
      <c r="D4373" s="18">
        <v>5.0</v>
      </c>
      <c r="E4373" s="17" t="s">
        <v>117</v>
      </c>
      <c r="F4373" s="15" t="s">
        <v>118</v>
      </c>
      <c r="G4373" s="19">
        <v>5.1100058E7</v>
      </c>
      <c r="H4373" s="15" t="s">
        <v>36</v>
      </c>
      <c r="I4373" s="20" t="s">
        <v>37</v>
      </c>
      <c r="J4373" s="21">
        <v>2.664142992E9</v>
      </c>
      <c r="K4373" s="21">
        <v>344739.0</v>
      </c>
    </row>
    <row r="4374">
      <c r="A4374" s="15" t="s">
        <v>74</v>
      </c>
      <c r="B4374" s="16" t="s">
        <v>233</v>
      </c>
      <c r="C4374" s="17" t="s">
        <v>234</v>
      </c>
      <c r="D4374" s="18">
        <v>5.0</v>
      </c>
      <c r="E4374" s="17" t="s">
        <v>117</v>
      </c>
      <c r="F4374" s="15" t="s">
        <v>118</v>
      </c>
      <c r="G4374" s="19">
        <v>5.1100651E7</v>
      </c>
      <c r="H4374" s="15" t="s">
        <v>38</v>
      </c>
      <c r="I4374" s="20" t="s">
        <v>17</v>
      </c>
      <c r="J4374" s="21">
        <v>1.667568E7</v>
      </c>
      <c r="K4374" s="21">
        <v>148.89</v>
      </c>
    </row>
    <row r="4375">
      <c r="A4375" s="15" t="s">
        <v>74</v>
      </c>
      <c r="B4375" s="16" t="s">
        <v>233</v>
      </c>
      <c r="C4375" s="17" t="s">
        <v>234</v>
      </c>
      <c r="D4375" s="18">
        <v>5.0</v>
      </c>
      <c r="E4375" s="17" t="s">
        <v>117</v>
      </c>
      <c r="F4375" s="15" t="s">
        <v>118</v>
      </c>
      <c r="G4375" s="19">
        <v>5.1100774E7</v>
      </c>
      <c r="H4375" s="15" t="s">
        <v>39</v>
      </c>
      <c r="I4375" s="20" t="s">
        <v>17</v>
      </c>
      <c r="J4375" s="21">
        <v>4.532192E7</v>
      </c>
      <c r="K4375" s="21">
        <v>404.66</v>
      </c>
    </row>
    <row r="4376">
      <c r="A4376" s="15" t="s">
        <v>74</v>
      </c>
      <c r="B4376" s="16" t="s">
        <v>233</v>
      </c>
      <c r="C4376" s="17" t="s">
        <v>234</v>
      </c>
      <c r="D4376" s="18">
        <v>5.0</v>
      </c>
      <c r="E4376" s="17" t="s">
        <v>238</v>
      </c>
      <c r="F4376" s="15" t="s">
        <v>239</v>
      </c>
      <c r="G4376" s="19">
        <v>5.1100058E7</v>
      </c>
      <c r="H4376" s="15" t="s">
        <v>36</v>
      </c>
      <c r="I4376" s="20" t="s">
        <v>37</v>
      </c>
      <c r="J4376" s="21">
        <v>7.95984E8</v>
      </c>
      <c r="K4376" s="21">
        <v>103000.0</v>
      </c>
    </row>
    <row r="4377">
      <c r="A4377" s="15" t="s">
        <v>74</v>
      </c>
      <c r="B4377" s="16" t="s">
        <v>233</v>
      </c>
      <c r="C4377" s="17" t="s">
        <v>234</v>
      </c>
      <c r="D4377" s="18">
        <v>5.0</v>
      </c>
      <c r="E4377" s="17" t="s">
        <v>238</v>
      </c>
      <c r="F4377" s="15" t="s">
        <v>239</v>
      </c>
      <c r="G4377" s="19">
        <v>9.0043003E7</v>
      </c>
      <c r="H4377" s="15" t="s">
        <v>90</v>
      </c>
      <c r="I4377" s="20" t="s">
        <v>50</v>
      </c>
      <c r="J4377" s="21">
        <v>4988221.0</v>
      </c>
      <c r="K4377" s="21">
        <v>98.0</v>
      </c>
    </row>
    <row r="4378">
      <c r="A4378" s="15" t="s">
        <v>74</v>
      </c>
      <c r="B4378" s="16" t="s">
        <v>233</v>
      </c>
      <c r="C4378" s="17" t="s">
        <v>234</v>
      </c>
      <c r="D4378" s="18">
        <v>5.0</v>
      </c>
      <c r="E4378" s="17" t="s">
        <v>123</v>
      </c>
      <c r="F4378" s="15" t="s">
        <v>124</v>
      </c>
      <c r="G4378" s="19">
        <v>9.0043001E7</v>
      </c>
      <c r="H4378" s="15" t="s">
        <v>18</v>
      </c>
      <c r="I4378" s="20" t="s">
        <v>19</v>
      </c>
      <c r="J4378" s="21">
        <v>2.3440857E7</v>
      </c>
      <c r="K4378" s="21">
        <v>130.2</v>
      </c>
    </row>
    <row r="4379">
      <c r="A4379" s="15" t="s">
        <v>74</v>
      </c>
      <c r="B4379" s="16" t="s">
        <v>233</v>
      </c>
      <c r="C4379" s="17" t="s">
        <v>234</v>
      </c>
      <c r="D4379" s="18">
        <v>5.0</v>
      </c>
      <c r="E4379" s="17" t="s">
        <v>125</v>
      </c>
      <c r="F4379" s="15" t="s">
        <v>126</v>
      </c>
      <c r="G4379" s="19">
        <v>9.0043001E7</v>
      </c>
      <c r="H4379" s="15" t="s">
        <v>18</v>
      </c>
      <c r="I4379" s="20" t="s">
        <v>19</v>
      </c>
      <c r="J4379" s="21">
        <v>4.57346834E8</v>
      </c>
      <c r="K4379" s="21">
        <v>2554.8</v>
      </c>
    </row>
    <row r="4380">
      <c r="A4380" s="15" t="s">
        <v>74</v>
      </c>
      <c r="B4380" s="16" t="s">
        <v>233</v>
      </c>
      <c r="C4380" s="17" t="s">
        <v>234</v>
      </c>
      <c r="D4380" s="18">
        <v>5.0</v>
      </c>
      <c r="E4380" s="17" t="s">
        <v>127</v>
      </c>
      <c r="F4380" s="15" t="s">
        <v>128</v>
      </c>
      <c r="G4380" s="19">
        <v>5.1100153E7</v>
      </c>
      <c r="H4380" s="15" t="s">
        <v>72</v>
      </c>
      <c r="I4380" s="20" t="s">
        <v>25</v>
      </c>
      <c r="J4380" s="21">
        <v>-27.0</v>
      </c>
      <c r="K4380" s="21">
        <v>0.0</v>
      </c>
    </row>
    <row r="4381">
      <c r="A4381" s="15" t="s">
        <v>74</v>
      </c>
      <c r="B4381" s="16" t="s">
        <v>233</v>
      </c>
      <c r="C4381" s="17" t="s">
        <v>234</v>
      </c>
      <c r="D4381" s="18">
        <v>5.0</v>
      </c>
      <c r="E4381" s="17" t="s">
        <v>127</v>
      </c>
      <c r="F4381" s="15" t="s">
        <v>128</v>
      </c>
      <c r="G4381" s="19">
        <v>5.1100153E7</v>
      </c>
      <c r="H4381" s="15" t="s">
        <v>72</v>
      </c>
      <c r="I4381" s="20" t="s">
        <v>17</v>
      </c>
      <c r="J4381" s="21">
        <v>3.61244841E8</v>
      </c>
      <c r="K4381" s="21">
        <v>3897000.0</v>
      </c>
    </row>
    <row r="4382">
      <c r="A4382" s="15" t="s">
        <v>74</v>
      </c>
      <c r="B4382" s="16" t="s">
        <v>233</v>
      </c>
      <c r="C4382" s="17" t="s">
        <v>234</v>
      </c>
      <c r="D4382" s="18">
        <v>5.0</v>
      </c>
      <c r="E4382" s="17" t="s">
        <v>133</v>
      </c>
      <c r="F4382" s="15" t="s">
        <v>134</v>
      </c>
      <c r="G4382" s="19">
        <v>9.0043002E7</v>
      </c>
      <c r="H4382" s="15" t="s">
        <v>49</v>
      </c>
      <c r="I4382" s="20" t="s">
        <v>50</v>
      </c>
      <c r="J4382" s="21">
        <v>1.3118037E7</v>
      </c>
      <c r="K4382" s="21">
        <v>643.0</v>
      </c>
    </row>
    <row r="4383">
      <c r="A4383" s="15" t="s">
        <v>74</v>
      </c>
      <c r="B4383" s="16" t="s">
        <v>233</v>
      </c>
      <c r="C4383" s="17" t="s">
        <v>234</v>
      </c>
      <c r="D4383" s="18">
        <v>5.0</v>
      </c>
      <c r="E4383" s="17" t="s">
        <v>135</v>
      </c>
      <c r="F4383" s="15" t="s">
        <v>136</v>
      </c>
      <c r="G4383" s="19">
        <v>5.1101056E7</v>
      </c>
      <c r="H4383" s="15" t="s">
        <v>16</v>
      </c>
      <c r="I4383" s="20" t="s">
        <v>17</v>
      </c>
      <c r="J4383" s="21">
        <v>7.0236025E7</v>
      </c>
      <c r="K4383" s="21">
        <v>564283.0</v>
      </c>
    </row>
    <row r="4384">
      <c r="A4384" s="15" t="s">
        <v>74</v>
      </c>
      <c r="B4384" s="16" t="s">
        <v>233</v>
      </c>
      <c r="C4384" s="17" t="s">
        <v>234</v>
      </c>
      <c r="D4384" s="18">
        <v>5.0</v>
      </c>
      <c r="E4384" s="17" t="s">
        <v>135</v>
      </c>
      <c r="F4384" s="15" t="s">
        <v>136</v>
      </c>
      <c r="G4384" s="19">
        <v>9.0043001E7</v>
      </c>
      <c r="H4384" s="15" t="s">
        <v>18</v>
      </c>
      <c r="I4384" s="20" t="s">
        <v>19</v>
      </c>
      <c r="J4384" s="21">
        <v>6.1507674E7</v>
      </c>
      <c r="K4384" s="21">
        <v>356.0</v>
      </c>
    </row>
    <row r="4385">
      <c r="A4385" s="15" t="s">
        <v>74</v>
      </c>
      <c r="B4385" s="16" t="s">
        <v>233</v>
      </c>
      <c r="C4385" s="17" t="s">
        <v>234</v>
      </c>
      <c r="D4385" s="18">
        <v>5.0</v>
      </c>
      <c r="E4385" s="17" t="s">
        <v>54</v>
      </c>
      <c r="F4385" s="15" t="s">
        <v>139</v>
      </c>
      <c r="G4385" s="19">
        <v>9.0042011E7</v>
      </c>
      <c r="H4385" s="15" t="s">
        <v>55</v>
      </c>
      <c r="I4385" s="20" t="s">
        <v>19</v>
      </c>
      <c r="J4385" s="21">
        <v>2.8216804E7</v>
      </c>
      <c r="K4385" s="21">
        <v>0.0</v>
      </c>
    </row>
    <row r="4386">
      <c r="A4386" s="15" t="s">
        <v>74</v>
      </c>
      <c r="B4386" s="16" t="s">
        <v>233</v>
      </c>
      <c r="C4386" s="17" t="s">
        <v>234</v>
      </c>
      <c r="D4386" s="18">
        <v>5.0</v>
      </c>
      <c r="E4386" s="17" t="s">
        <v>20</v>
      </c>
      <c r="F4386" s="15" t="s">
        <v>140</v>
      </c>
      <c r="G4386" s="19">
        <v>5.1100064E7</v>
      </c>
      <c r="H4386" s="15" t="s">
        <v>53</v>
      </c>
      <c r="I4386" s="20" t="s">
        <v>25</v>
      </c>
      <c r="J4386" s="21">
        <v>-5057027.0</v>
      </c>
      <c r="K4386" s="21">
        <v>0.0</v>
      </c>
    </row>
    <row r="4387">
      <c r="A4387" s="15" t="s">
        <v>74</v>
      </c>
      <c r="B4387" s="16" t="s">
        <v>233</v>
      </c>
      <c r="C4387" s="17" t="s">
        <v>234</v>
      </c>
      <c r="D4387" s="18">
        <v>5.0</v>
      </c>
      <c r="E4387" s="17" t="s">
        <v>20</v>
      </c>
      <c r="F4387" s="15" t="s">
        <v>140</v>
      </c>
      <c r="G4387" s="19">
        <v>9.0042014E7</v>
      </c>
      <c r="H4387" s="15" t="s">
        <v>21</v>
      </c>
      <c r="I4387" s="20" t="s">
        <v>19</v>
      </c>
      <c r="J4387" s="21">
        <v>4.45404476E8</v>
      </c>
      <c r="K4387" s="21">
        <v>0.0</v>
      </c>
    </row>
    <row r="4388">
      <c r="A4388" s="15" t="s">
        <v>74</v>
      </c>
      <c r="B4388" s="16" t="s">
        <v>233</v>
      </c>
      <c r="C4388" s="17" t="s">
        <v>234</v>
      </c>
      <c r="D4388" s="18">
        <v>5.0</v>
      </c>
      <c r="E4388" s="17" t="s">
        <v>20</v>
      </c>
      <c r="F4388" s="15" t="s">
        <v>140</v>
      </c>
      <c r="G4388" s="19">
        <v>9.0042077E7</v>
      </c>
      <c r="H4388" s="15" t="s">
        <v>141</v>
      </c>
      <c r="I4388" s="20" t="s">
        <v>19</v>
      </c>
      <c r="J4388" s="21">
        <v>1.98538028E8</v>
      </c>
      <c r="K4388" s="21">
        <v>0.0</v>
      </c>
    </row>
    <row r="4389">
      <c r="A4389" s="15" t="s">
        <v>74</v>
      </c>
      <c r="B4389" s="16" t="s">
        <v>233</v>
      </c>
      <c r="C4389" s="17" t="s">
        <v>234</v>
      </c>
      <c r="D4389" s="18">
        <v>5.0</v>
      </c>
      <c r="E4389" s="17" t="s">
        <v>22</v>
      </c>
      <c r="F4389" s="15" t="s">
        <v>146</v>
      </c>
      <c r="G4389" s="19">
        <v>9.0042012E7</v>
      </c>
      <c r="H4389" s="15" t="s">
        <v>23</v>
      </c>
      <c r="I4389" s="20" t="s">
        <v>19</v>
      </c>
      <c r="J4389" s="21">
        <v>1.02366109E8</v>
      </c>
      <c r="K4389" s="21">
        <v>0.0</v>
      </c>
    </row>
    <row r="4390">
      <c r="A4390" s="15" t="s">
        <v>74</v>
      </c>
      <c r="B4390" s="16" t="s">
        <v>233</v>
      </c>
      <c r="C4390" s="17" t="s">
        <v>234</v>
      </c>
      <c r="D4390" s="18">
        <v>5.0</v>
      </c>
      <c r="E4390" s="17" t="s">
        <v>22</v>
      </c>
      <c r="F4390" s="15" t="s">
        <v>146</v>
      </c>
      <c r="G4390" s="19">
        <v>9.0042121E7</v>
      </c>
      <c r="H4390" s="15" t="s">
        <v>24</v>
      </c>
      <c r="I4390" s="20" t="s">
        <v>25</v>
      </c>
      <c r="J4390" s="21">
        <v>2.94514239E8</v>
      </c>
      <c r="K4390" s="21">
        <v>0.0</v>
      </c>
    </row>
    <row r="4391">
      <c r="A4391" s="15" t="s">
        <v>74</v>
      </c>
      <c r="B4391" s="16" t="s">
        <v>233</v>
      </c>
      <c r="C4391" s="17" t="s">
        <v>234</v>
      </c>
      <c r="D4391" s="18">
        <v>5.0</v>
      </c>
      <c r="E4391" s="17" t="s">
        <v>22</v>
      </c>
      <c r="F4391" s="15" t="s">
        <v>146</v>
      </c>
      <c r="G4391" s="19">
        <v>9.0042122E7</v>
      </c>
      <c r="H4391" s="15" t="s">
        <v>56</v>
      </c>
      <c r="I4391" s="20" t="s">
        <v>25</v>
      </c>
      <c r="J4391" s="21">
        <v>1.4261199E7</v>
      </c>
      <c r="K4391" s="21">
        <v>0.0</v>
      </c>
    </row>
    <row r="4392">
      <c r="A4392" s="15" t="s">
        <v>74</v>
      </c>
      <c r="B4392" s="16" t="s">
        <v>233</v>
      </c>
      <c r="C4392" s="17" t="s">
        <v>234</v>
      </c>
      <c r="D4392" s="18">
        <v>5.0</v>
      </c>
      <c r="E4392" s="17" t="s">
        <v>22</v>
      </c>
      <c r="F4392" s="15" t="s">
        <v>146</v>
      </c>
      <c r="G4392" s="19">
        <v>9.0042124E7</v>
      </c>
      <c r="H4392" s="15" t="s">
        <v>57</v>
      </c>
      <c r="I4392" s="20" t="s">
        <v>25</v>
      </c>
      <c r="J4392" s="21">
        <v>1.64525E7</v>
      </c>
      <c r="K4392" s="21">
        <v>0.0</v>
      </c>
    </row>
    <row r="4393">
      <c r="A4393" s="15" t="s">
        <v>74</v>
      </c>
      <c r="B4393" s="16" t="s">
        <v>233</v>
      </c>
      <c r="C4393" s="17" t="s">
        <v>234</v>
      </c>
      <c r="D4393" s="18">
        <v>5.0</v>
      </c>
      <c r="E4393" s="17" t="s">
        <v>22</v>
      </c>
      <c r="F4393" s="15" t="s">
        <v>146</v>
      </c>
      <c r="G4393" s="19">
        <v>9.0042125E7</v>
      </c>
      <c r="H4393" s="15" t="s">
        <v>26</v>
      </c>
      <c r="I4393" s="20" t="s">
        <v>25</v>
      </c>
      <c r="J4393" s="21">
        <v>7.5876535E7</v>
      </c>
      <c r="K4393" s="21">
        <v>0.0</v>
      </c>
    </row>
    <row r="4394">
      <c r="A4394" s="15" t="s">
        <v>74</v>
      </c>
      <c r="B4394" s="16" t="s">
        <v>233</v>
      </c>
      <c r="C4394" s="17" t="s">
        <v>234</v>
      </c>
      <c r="D4394" s="18">
        <v>5.0</v>
      </c>
      <c r="E4394" s="17" t="s">
        <v>22</v>
      </c>
      <c r="F4394" s="15" t="s">
        <v>146</v>
      </c>
      <c r="G4394" s="19">
        <v>9.0042132E7</v>
      </c>
      <c r="H4394" s="15" t="s">
        <v>28</v>
      </c>
      <c r="I4394" s="20" t="s">
        <v>25</v>
      </c>
      <c r="J4394" s="21">
        <v>7662642.0</v>
      </c>
      <c r="K4394" s="21">
        <v>0.0</v>
      </c>
    </row>
    <row r="4395">
      <c r="A4395" s="15" t="s">
        <v>74</v>
      </c>
      <c r="B4395" s="16" t="s">
        <v>233</v>
      </c>
      <c r="C4395" s="17" t="s">
        <v>234</v>
      </c>
      <c r="D4395" s="18">
        <v>5.0</v>
      </c>
      <c r="E4395" s="17" t="s">
        <v>22</v>
      </c>
      <c r="F4395" s="15" t="s">
        <v>146</v>
      </c>
      <c r="G4395" s="19">
        <v>9.0042134E7</v>
      </c>
      <c r="H4395" s="15" t="s">
        <v>29</v>
      </c>
      <c r="I4395" s="20" t="s">
        <v>25</v>
      </c>
      <c r="J4395" s="21">
        <v>1060050.0</v>
      </c>
      <c r="K4395" s="21">
        <v>0.0</v>
      </c>
    </row>
    <row r="4396">
      <c r="A4396" s="15" t="s">
        <v>74</v>
      </c>
      <c r="B4396" s="16" t="s">
        <v>233</v>
      </c>
      <c r="C4396" s="17" t="s">
        <v>234</v>
      </c>
      <c r="D4396" s="18">
        <v>5.0</v>
      </c>
      <c r="E4396" s="17" t="s">
        <v>22</v>
      </c>
      <c r="F4396" s="15" t="s">
        <v>146</v>
      </c>
      <c r="G4396" s="19">
        <v>9.0042135E7</v>
      </c>
      <c r="H4396" s="15" t="s">
        <v>30</v>
      </c>
      <c r="I4396" s="20" t="s">
        <v>25</v>
      </c>
      <c r="J4396" s="21">
        <v>2.30470659E8</v>
      </c>
      <c r="K4396" s="21">
        <v>0.0</v>
      </c>
    </row>
    <row r="4397">
      <c r="A4397" s="15" t="s">
        <v>74</v>
      </c>
      <c r="B4397" s="16" t="s">
        <v>233</v>
      </c>
      <c r="C4397" s="17" t="s">
        <v>234</v>
      </c>
      <c r="D4397" s="18">
        <v>5.0</v>
      </c>
      <c r="E4397" s="17" t="s">
        <v>22</v>
      </c>
      <c r="F4397" s="15" t="s">
        <v>146</v>
      </c>
      <c r="G4397" s="19">
        <v>9.00422E7</v>
      </c>
      <c r="H4397" s="15" t="s">
        <v>73</v>
      </c>
      <c r="I4397" s="20" t="s">
        <v>60</v>
      </c>
      <c r="J4397" s="21">
        <v>3.67712826E8</v>
      </c>
      <c r="K4397" s="21">
        <v>0.0</v>
      </c>
    </row>
    <row r="4398">
      <c r="A4398" s="15" t="s">
        <v>74</v>
      </c>
      <c r="B4398" s="16" t="s">
        <v>233</v>
      </c>
      <c r="C4398" s="17" t="s">
        <v>234</v>
      </c>
      <c r="D4398" s="18">
        <v>5.0</v>
      </c>
      <c r="E4398" s="17" t="s">
        <v>22</v>
      </c>
      <c r="F4398" s="15" t="s">
        <v>146</v>
      </c>
      <c r="G4398" s="19">
        <v>9.0042224E7</v>
      </c>
      <c r="H4398" s="15" t="s">
        <v>62</v>
      </c>
      <c r="I4398" s="20" t="s">
        <v>60</v>
      </c>
      <c r="J4398" s="21">
        <v>7438768.0</v>
      </c>
      <c r="K4398" s="21">
        <v>0.0</v>
      </c>
    </row>
    <row r="4399">
      <c r="A4399" s="15" t="s">
        <v>74</v>
      </c>
      <c r="B4399" s="16" t="s">
        <v>233</v>
      </c>
      <c r="C4399" s="17" t="s">
        <v>234</v>
      </c>
      <c r="D4399" s="18">
        <v>5.0</v>
      </c>
      <c r="E4399" s="17" t="s">
        <v>22</v>
      </c>
      <c r="F4399" s="15" t="s">
        <v>146</v>
      </c>
      <c r="G4399" s="19">
        <v>9.0042226E7</v>
      </c>
      <c r="H4399" s="15" t="s">
        <v>63</v>
      </c>
      <c r="I4399" s="20" t="s">
        <v>60</v>
      </c>
      <c r="J4399" s="21">
        <v>408333.0</v>
      </c>
      <c r="K4399" s="21">
        <v>0.0</v>
      </c>
    </row>
    <row r="4400">
      <c r="A4400" s="15" t="s">
        <v>74</v>
      </c>
      <c r="B4400" s="16" t="s">
        <v>233</v>
      </c>
      <c r="C4400" s="17" t="s">
        <v>234</v>
      </c>
      <c r="D4400" s="18">
        <v>5.0</v>
      </c>
      <c r="E4400" s="17" t="s">
        <v>22</v>
      </c>
      <c r="F4400" s="15" t="s">
        <v>146</v>
      </c>
      <c r="G4400" s="19">
        <v>9.0042227E7</v>
      </c>
      <c r="H4400" s="15" t="s">
        <v>241</v>
      </c>
      <c r="I4400" s="20" t="s">
        <v>60</v>
      </c>
      <c r="J4400" s="21">
        <v>2930000.0</v>
      </c>
      <c r="K4400" s="21">
        <v>0.0</v>
      </c>
    </row>
    <row r="4401">
      <c r="A4401" s="15" t="s">
        <v>74</v>
      </c>
      <c r="B4401" s="16" t="s">
        <v>233</v>
      </c>
      <c r="C4401" s="17" t="s">
        <v>234</v>
      </c>
      <c r="D4401" s="18">
        <v>5.0</v>
      </c>
      <c r="E4401" s="17" t="s">
        <v>22</v>
      </c>
      <c r="F4401" s="15" t="s">
        <v>146</v>
      </c>
      <c r="G4401" s="19">
        <v>9.0042228E7</v>
      </c>
      <c r="H4401" s="15" t="s">
        <v>64</v>
      </c>
      <c r="I4401" s="20" t="s">
        <v>60</v>
      </c>
      <c r="J4401" s="21">
        <v>3.0863447E7</v>
      </c>
      <c r="K4401" s="21">
        <v>0.0</v>
      </c>
    </row>
    <row r="4402">
      <c r="A4402" s="15" t="s">
        <v>74</v>
      </c>
      <c r="B4402" s="16" t="s">
        <v>233</v>
      </c>
      <c r="C4402" s="17" t="s">
        <v>234</v>
      </c>
      <c r="D4402" s="18">
        <v>5.0</v>
      </c>
      <c r="E4402" s="17" t="s">
        <v>22</v>
      </c>
      <c r="F4402" s="15" t="s">
        <v>146</v>
      </c>
      <c r="G4402" s="19">
        <v>9.0042231E7</v>
      </c>
      <c r="H4402" s="15" t="s">
        <v>65</v>
      </c>
      <c r="I4402" s="20" t="s">
        <v>60</v>
      </c>
      <c r="J4402" s="21">
        <v>5162528.0</v>
      </c>
      <c r="K4402" s="21">
        <v>0.0</v>
      </c>
    </row>
    <row r="4403">
      <c r="A4403" s="15" t="s">
        <v>74</v>
      </c>
      <c r="B4403" s="16" t="s">
        <v>233</v>
      </c>
      <c r="C4403" s="17" t="s">
        <v>234</v>
      </c>
      <c r="D4403" s="18">
        <v>5.0</v>
      </c>
      <c r="E4403" s="17" t="s">
        <v>22</v>
      </c>
      <c r="F4403" s="15" t="s">
        <v>146</v>
      </c>
      <c r="G4403" s="19">
        <v>9.0042126E7</v>
      </c>
      <c r="H4403" s="15" t="s">
        <v>31</v>
      </c>
      <c r="I4403" s="20" t="s">
        <v>25</v>
      </c>
      <c r="J4403" s="21">
        <v>6.6490036E7</v>
      </c>
      <c r="K4403" s="21">
        <v>0.0</v>
      </c>
    </row>
    <row r="4404">
      <c r="A4404" s="15" t="s">
        <v>74</v>
      </c>
      <c r="B4404" s="16" t="s">
        <v>233</v>
      </c>
      <c r="C4404" s="17" t="s">
        <v>234</v>
      </c>
      <c r="D4404" s="18">
        <v>5.0</v>
      </c>
      <c r="E4404" s="17" t="s">
        <v>22</v>
      </c>
      <c r="F4404" s="15" t="s">
        <v>146</v>
      </c>
      <c r="G4404" s="19">
        <v>9.004212E7</v>
      </c>
      <c r="H4404" s="15" t="s">
        <v>182</v>
      </c>
      <c r="I4404" s="20" t="s">
        <v>25</v>
      </c>
      <c r="J4404" s="21">
        <v>9.7797E7</v>
      </c>
      <c r="K4404" s="21">
        <v>0.0</v>
      </c>
    </row>
    <row r="4405">
      <c r="A4405" s="15" t="s">
        <v>74</v>
      </c>
      <c r="B4405" s="16" t="s">
        <v>233</v>
      </c>
      <c r="C4405" s="17" t="s">
        <v>234</v>
      </c>
      <c r="D4405" s="18">
        <v>5.0</v>
      </c>
      <c r="E4405" s="17" t="s">
        <v>242</v>
      </c>
      <c r="F4405" s="15" t="s">
        <v>243</v>
      </c>
      <c r="G4405" s="19">
        <v>9.0043003E7</v>
      </c>
      <c r="H4405" s="15" t="s">
        <v>90</v>
      </c>
      <c r="I4405" s="20" t="s">
        <v>50</v>
      </c>
      <c r="J4405" s="21">
        <v>1.634601E7</v>
      </c>
      <c r="K4405" s="21">
        <v>51.0</v>
      </c>
    </row>
    <row r="4406">
      <c r="A4406" s="15" t="s">
        <v>74</v>
      </c>
      <c r="B4406" s="16" t="s">
        <v>244</v>
      </c>
      <c r="C4406" s="17" t="s">
        <v>245</v>
      </c>
      <c r="D4406" s="18">
        <v>5.0</v>
      </c>
      <c r="E4406" s="24">
        <v>46038.0</v>
      </c>
      <c r="F4406" s="15" t="s">
        <v>150</v>
      </c>
      <c r="G4406" s="19">
        <v>9.0043001E7</v>
      </c>
      <c r="H4406" s="15" t="s">
        <v>18</v>
      </c>
      <c r="I4406" s="20" t="s">
        <v>19</v>
      </c>
      <c r="J4406" s="21">
        <v>3.4329315E7</v>
      </c>
      <c r="K4406" s="21">
        <v>188.0</v>
      </c>
    </row>
    <row r="4407">
      <c r="A4407" s="15" t="s">
        <v>74</v>
      </c>
      <c r="B4407" s="16" t="s">
        <v>244</v>
      </c>
      <c r="C4407" s="17" t="s">
        <v>245</v>
      </c>
      <c r="D4407" s="18">
        <v>5.0</v>
      </c>
      <c r="E4407" s="24">
        <v>46158.0</v>
      </c>
      <c r="F4407" s="15" t="s">
        <v>151</v>
      </c>
      <c r="G4407" s="19">
        <v>9.0043001E7</v>
      </c>
      <c r="H4407" s="15" t="s">
        <v>18</v>
      </c>
      <c r="I4407" s="20" t="s">
        <v>19</v>
      </c>
      <c r="J4407" s="21">
        <v>1280965.0</v>
      </c>
      <c r="K4407" s="21">
        <v>7.0</v>
      </c>
    </row>
    <row r="4408">
      <c r="A4408" s="15" t="s">
        <v>74</v>
      </c>
      <c r="B4408" s="16" t="s">
        <v>244</v>
      </c>
      <c r="C4408" s="17" t="s">
        <v>245</v>
      </c>
      <c r="D4408" s="18">
        <v>5.0</v>
      </c>
      <c r="E4408" s="17" t="s">
        <v>77</v>
      </c>
      <c r="F4408" s="15" t="s">
        <v>78</v>
      </c>
      <c r="G4408" s="19">
        <v>9.0043001E7</v>
      </c>
      <c r="H4408" s="15" t="s">
        <v>18</v>
      </c>
      <c r="I4408" s="20" t="s">
        <v>19</v>
      </c>
      <c r="J4408" s="21">
        <v>4.2974603E7</v>
      </c>
      <c r="K4408" s="21">
        <v>234.6</v>
      </c>
    </row>
    <row r="4409">
      <c r="A4409" s="15" t="s">
        <v>74</v>
      </c>
      <c r="B4409" s="16" t="s">
        <v>244</v>
      </c>
      <c r="C4409" s="17" t="s">
        <v>245</v>
      </c>
      <c r="D4409" s="18">
        <v>5.0</v>
      </c>
      <c r="E4409" s="17" t="s">
        <v>222</v>
      </c>
      <c r="F4409" s="15" t="s">
        <v>223</v>
      </c>
      <c r="G4409" s="19">
        <v>5.1100153E7</v>
      </c>
      <c r="H4409" s="15" t="s">
        <v>72</v>
      </c>
      <c r="I4409" s="20" t="s">
        <v>25</v>
      </c>
      <c r="J4409" s="21">
        <v>0.0</v>
      </c>
      <c r="K4409" s="21">
        <v>0.0</v>
      </c>
    </row>
    <row r="4410">
      <c r="A4410" s="15" t="s">
        <v>74</v>
      </c>
      <c r="B4410" s="16" t="s">
        <v>244</v>
      </c>
      <c r="C4410" s="17" t="s">
        <v>245</v>
      </c>
      <c r="D4410" s="18">
        <v>5.0</v>
      </c>
      <c r="E4410" s="17" t="s">
        <v>222</v>
      </c>
      <c r="F4410" s="15" t="s">
        <v>223</v>
      </c>
      <c r="G4410" s="19">
        <v>5.1100153E7</v>
      </c>
      <c r="H4410" s="15" t="s">
        <v>72</v>
      </c>
      <c r="I4410" s="20" t="s">
        <v>17</v>
      </c>
      <c r="J4410" s="21">
        <v>1.1679685E7</v>
      </c>
      <c r="K4410" s="21">
        <v>42273.0</v>
      </c>
    </row>
    <row r="4411">
      <c r="A4411" s="15" t="s">
        <v>74</v>
      </c>
      <c r="B4411" s="16" t="s">
        <v>244</v>
      </c>
      <c r="C4411" s="17" t="s">
        <v>245</v>
      </c>
      <c r="D4411" s="18">
        <v>5.0</v>
      </c>
      <c r="E4411" s="17" t="s">
        <v>296</v>
      </c>
      <c r="F4411" s="15" t="s">
        <v>297</v>
      </c>
      <c r="G4411" s="19">
        <v>9.0043001E7</v>
      </c>
      <c r="H4411" s="15" t="s">
        <v>18</v>
      </c>
      <c r="I4411" s="20" t="s">
        <v>19</v>
      </c>
      <c r="J4411" s="21">
        <v>690779.0</v>
      </c>
      <c r="K4411" s="21">
        <v>3.7</v>
      </c>
    </row>
    <row r="4412">
      <c r="A4412" s="15" t="s">
        <v>74</v>
      </c>
      <c r="B4412" s="16" t="s">
        <v>244</v>
      </c>
      <c r="C4412" s="17" t="s">
        <v>245</v>
      </c>
      <c r="D4412" s="18">
        <v>5.0</v>
      </c>
      <c r="E4412" s="17" t="s">
        <v>79</v>
      </c>
      <c r="F4412" s="15" t="s">
        <v>80</v>
      </c>
      <c r="G4412" s="19">
        <v>9.0043001E7</v>
      </c>
      <c r="H4412" s="15" t="s">
        <v>18</v>
      </c>
      <c r="I4412" s="20" t="s">
        <v>19</v>
      </c>
      <c r="J4412" s="21">
        <v>3608560.0</v>
      </c>
      <c r="K4412" s="21">
        <v>20.0</v>
      </c>
    </row>
    <row r="4413">
      <c r="A4413" s="15" t="s">
        <v>74</v>
      </c>
      <c r="B4413" s="16" t="s">
        <v>244</v>
      </c>
      <c r="C4413" s="17" t="s">
        <v>245</v>
      </c>
      <c r="D4413" s="18">
        <v>5.0</v>
      </c>
      <c r="E4413" s="17" t="s">
        <v>400</v>
      </c>
      <c r="F4413" s="15" t="s">
        <v>401</v>
      </c>
      <c r="G4413" s="19">
        <v>9.0043001E7</v>
      </c>
      <c r="H4413" s="15" t="s">
        <v>18</v>
      </c>
      <c r="I4413" s="20" t="s">
        <v>19</v>
      </c>
      <c r="J4413" s="21">
        <v>1623852.0</v>
      </c>
      <c r="K4413" s="21">
        <v>9.0</v>
      </c>
    </row>
    <row r="4414">
      <c r="A4414" s="15" t="s">
        <v>74</v>
      </c>
      <c r="B4414" s="16" t="s">
        <v>244</v>
      </c>
      <c r="C4414" s="17" t="s">
        <v>245</v>
      </c>
      <c r="D4414" s="18">
        <v>5.0</v>
      </c>
      <c r="E4414" s="17" t="s">
        <v>400</v>
      </c>
      <c r="F4414" s="15" t="s">
        <v>401</v>
      </c>
      <c r="G4414" s="19">
        <v>9.0043E7</v>
      </c>
      <c r="H4414" s="15" t="s">
        <v>83</v>
      </c>
      <c r="I4414" s="20" t="s">
        <v>19</v>
      </c>
      <c r="J4414" s="21">
        <v>213263.0</v>
      </c>
      <c r="K4414" s="21">
        <v>1.0</v>
      </c>
    </row>
    <row r="4415">
      <c r="A4415" s="15" t="s">
        <v>74</v>
      </c>
      <c r="B4415" s="16" t="s">
        <v>244</v>
      </c>
      <c r="C4415" s="17" t="s">
        <v>245</v>
      </c>
      <c r="D4415" s="18">
        <v>5.0</v>
      </c>
      <c r="E4415" s="17" t="s">
        <v>81</v>
      </c>
      <c r="F4415" s="15" t="s">
        <v>82</v>
      </c>
      <c r="G4415" s="19">
        <v>9.0043001E7</v>
      </c>
      <c r="H4415" s="15" t="s">
        <v>18</v>
      </c>
      <c r="I4415" s="20" t="s">
        <v>19</v>
      </c>
      <c r="J4415" s="21">
        <v>3.133098E7</v>
      </c>
      <c r="K4415" s="21">
        <v>154.0</v>
      </c>
    </row>
    <row r="4416">
      <c r="A4416" s="15" t="s">
        <v>74</v>
      </c>
      <c r="B4416" s="16" t="s">
        <v>244</v>
      </c>
      <c r="C4416" s="17" t="s">
        <v>245</v>
      </c>
      <c r="D4416" s="18">
        <v>5.0</v>
      </c>
      <c r="E4416" s="17" t="s">
        <v>84</v>
      </c>
      <c r="F4416" s="15" t="s">
        <v>85</v>
      </c>
      <c r="G4416" s="19">
        <v>9.0043001E7</v>
      </c>
      <c r="H4416" s="15" t="s">
        <v>18</v>
      </c>
      <c r="I4416" s="20" t="s">
        <v>19</v>
      </c>
      <c r="J4416" s="21">
        <v>3.3233894E7</v>
      </c>
      <c r="K4416" s="21">
        <v>173.0</v>
      </c>
    </row>
    <row r="4417">
      <c r="A4417" s="15" t="s">
        <v>74</v>
      </c>
      <c r="B4417" s="16" t="s">
        <v>244</v>
      </c>
      <c r="C4417" s="17" t="s">
        <v>245</v>
      </c>
      <c r="D4417" s="18">
        <v>5.0</v>
      </c>
      <c r="E4417" s="17" t="s">
        <v>84</v>
      </c>
      <c r="F4417" s="15" t="s">
        <v>85</v>
      </c>
      <c r="G4417" s="19">
        <v>9.0043E7</v>
      </c>
      <c r="H4417" s="15" t="s">
        <v>83</v>
      </c>
      <c r="I4417" s="20" t="s">
        <v>19</v>
      </c>
      <c r="J4417" s="21">
        <v>1254318.0</v>
      </c>
      <c r="K4417" s="21">
        <v>6.0</v>
      </c>
    </row>
    <row r="4418">
      <c r="A4418" s="15" t="s">
        <v>74</v>
      </c>
      <c r="B4418" s="16" t="s">
        <v>244</v>
      </c>
      <c r="C4418" s="17" t="s">
        <v>245</v>
      </c>
      <c r="D4418" s="18">
        <v>5.0</v>
      </c>
      <c r="E4418" s="17" t="s">
        <v>86</v>
      </c>
      <c r="F4418" s="15" t="s">
        <v>87</v>
      </c>
      <c r="G4418" s="19">
        <v>9.0043001E7</v>
      </c>
      <c r="H4418" s="15" t="s">
        <v>18</v>
      </c>
      <c r="I4418" s="20" t="s">
        <v>19</v>
      </c>
      <c r="J4418" s="21">
        <v>2.6105084E7</v>
      </c>
      <c r="K4418" s="21">
        <v>133.13</v>
      </c>
    </row>
    <row r="4419">
      <c r="A4419" s="15" t="s">
        <v>74</v>
      </c>
      <c r="B4419" s="16" t="s">
        <v>244</v>
      </c>
      <c r="C4419" s="17" t="s">
        <v>245</v>
      </c>
      <c r="D4419" s="18">
        <v>5.0</v>
      </c>
      <c r="E4419" s="17" t="s">
        <v>86</v>
      </c>
      <c r="F4419" s="15" t="s">
        <v>87</v>
      </c>
      <c r="G4419" s="19">
        <v>9.0043E7</v>
      </c>
      <c r="H4419" s="15" t="s">
        <v>83</v>
      </c>
      <c r="I4419" s="20" t="s">
        <v>19</v>
      </c>
      <c r="J4419" s="21">
        <v>8282434.0</v>
      </c>
      <c r="K4419" s="21">
        <v>40.0</v>
      </c>
    </row>
    <row r="4420">
      <c r="A4420" s="15" t="s">
        <v>74</v>
      </c>
      <c r="B4420" s="16" t="s">
        <v>244</v>
      </c>
      <c r="C4420" s="17" t="s">
        <v>245</v>
      </c>
      <c r="D4420" s="18">
        <v>5.0</v>
      </c>
      <c r="E4420" s="17" t="s">
        <v>173</v>
      </c>
      <c r="F4420" s="15" t="s">
        <v>174</v>
      </c>
      <c r="G4420" s="19">
        <v>9.0043001E7</v>
      </c>
      <c r="H4420" s="15" t="s">
        <v>18</v>
      </c>
      <c r="I4420" s="20" t="s">
        <v>19</v>
      </c>
      <c r="J4420" s="21">
        <v>207843.0</v>
      </c>
      <c r="K4420" s="21">
        <v>1.0</v>
      </c>
    </row>
    <row r="4421">
      <c r="A4421" s="15" t="s">
        <v>74</v>
      </c>
      <c r="B4421" s="16" t="s">
        <v>244</v>
      </c>
      <c r="C4421" s="17" t="s">
        <v>245</v>
      </c>
      <c r="D4421" s="18">
        <v>5.0</v>
      </c>
      <c r="E4421" s="17" t="s">
        <v>88</v>
      </c>
      <c r="F4421" s="15" t="s">
        <v>89</v>
      </c>
      <c r="G4421" s="19">
        <v>9.0043002E7</v>
      </c>
      <c r="H4421" s="15" t="s">
        <v>49</v>
      </c>
      <c r="I4421" s="20" t="s">
        <v>50</v>
      </c>
      <c r="J4421" s="21">
        <v>6072569.0</v>
      </c>
      <c r="K4421" s="21">
        <v>390.0</v>
      </c>
    </row>
    <row r="4422">
      <c r="A4422" s="15" t="s">
        <v>74</v>
      </c>
      <c r="B4422" s="16" t="s">
        <v>244</v>
      </c>
      <c r="C4422" s="17" t="s">
        <v>245</v>
      </c>
      <c r="D4422" s="18">
        <v>5.0</v>
      </c>
      <c r="E4422" s="17" t="s">
        <v>91</v>
      </c>
      <c r="F4422" s="15" t="s">
        <v>92</v>
      </c>
      <c r="G4422" s="19">
        <v>9.0043001E7</v>
      </c>
      <c r="H4422" s="15" t="s">
        <v>18</v>
      </c>
      <c r="I4422" s="20" t="s">
        <v>19</v>
      </c>
      <c r="J4422" s="21">
        <v>2537469.0</v>
      </c>
      <c r="K4422" s="21">
        <v>13.0</v>
      </c>
    </row>
    <row r="4423">
      <c r="A4423" s="15" t="s">
        <v>74</v>
      </c>
      <c r="B4423" s="16" t="s">
        <v>244</v>
      </c>
      <c r="C4423" s="17" t="s">
        <v>245</v>
      </c>
      <c r="D4423" s="18">
        <v>5.0</v>
      </c>
      <c r="E4423" s="17" t="s">
        <v>91</v>
      </c>
      <c r="F4423" s="15" t="s">
        <v>92</v>
      </c>
      <c r="G4423" s="19">
        <v>9.0043E7</v>
      </c>
      <c r="H4423" s="15" t="s">
        <v>83</v>
      </c>
      <c r="I4423" s="20" t="s">
        <v>19</v>
      </c>
      <c r="J4423" s="21">
        <v>96010.0</v>
      </c>
      <c r="K4423" s="21">
        <v>0.5</v>
      </c>
    </row>
    <row r="4424">
      <c r="A4424" s="15" t="s">
        <v>74</v>
      </c>
      <c r="B4424" s="16" t="s">
        <v>244</v>
      </c>
      <c r="C4424" s="17" t="s">
        <v>245</v>
      </c>
      <c r="D4424" s="18">
        <v>5.0</v>
      </c>
      <c r="E4424" s="17" t="s">
        <v>246</v>
      </c>
      <c r="F4424" s="15" t="s">
        <v>247</v>
      </c>
      <c r="G4424" s="19">
        <v>9.0043001E7</v>
      </c>
      <c r="H4424" s="15" t="s">
        <v>18</v>
      </c>
      <c r="I4424" s="20" t="s">
        <v>19</v>
      </c>
      <c r="J4424" s="21">
        <v>1.6677475E7</v>
      </c>
      <c r="K4424" s="21">
        <v>84.0</v>
      </c>
    </row>
    <row r="4425">
      <c r="A4425" s="15" t="s">
        <v>74</v>
      </c>
      <c r="B4425" s="16" t="s">
        <v>244</v>
      </c>
      <c r="C4425" s="17" t="s">
        <v>245</v>
      </c>
      <c r="D4425" s="18">
        <v>5.0</v>
      </c>
      <c r="E4425" s="17" t="s">
        <v>156</v>
      </c>
      <c r="F4425" s="15" t="s">
        <v>157</v>
      </c>
      <c r="G4425" s="19">
        <v>9.0043001E7</v>
      </c>
      <c r="H4425" s="15" t="s">
        <v>18</v>
      </c>
      <c r="I4425" s="20" t="s">
        <v>19</v>
      </c>
      <c r="J4425" s="21">
        <v>1.3628881E7</v>
      </c>
      <c r="K4425" s="21">
        <v>73.0</v>
      </c>
    </row>
    <row r="4426">
      <c r="A4426" s="15" t="s">
        <v>74</v>
      </c>
      <c r="B4426" s="16" t="s">
        <v>244</v>
      </c>
      <c r="C4426" s="17" t="s">
        <v>245</v>
      </c>
      <c r="D4426" s="18">
        <v>5.0</v>
      </c>
      <c r="E4426" s="17" t="s">
        <v>95</v>
      </c>
      <c r="F4426" s="15" t="s">
        <v>96</v>
      </c>
      <c r="G4426" s="19">
        <v>5.1100058E7</v>
      </c>
      <c r="H4426" s="15" t="s">
        <v>36</v>
      </c>
      <c r="I4426" s="20" t="s">
        <v>37</v>
      </c>
      <c r="J4426" s="21">
        <v>1.1730703E7</v>
      </c>
      <c r="K4426" s="21">
        <v>161.87</v>
      </c>
    </row>
    <row r="4427">
      <c r="A4427" s="15" t="s">
        <v>74</v>
      </c>
      <c r="B4427" s="16" t="s">
        <v>244</v>
      </c>
      <c r="C4427" s="17" t="s">
        <v>245</v>
      </c>
      <c r="D4427" s="18">
        <v>5.0</v>
      </c>
      <c r="E4427" s="17" t="s">
        <v>95</v>
      </c>
      <c r="F4427" s="15" t="s">
        <v>96</v>
      </c>
      <c r="G4427" s="19">
        <v>9.0043001E7</v>
      </c>
      <c r="H4427" s="15" t="s">
        <v>18</v>
      </c>
      <c r="I4427" s="20" t="s">
        <v>19</v>
      </c>
      <c r="J4427" s="21">
        <v>1.2396878E7</v>
      </c>
      <c r="K4427" s="21">
        <v>66.0</v>
      </c>
    </row>
    <row r="4428">
      <c r="A4428" s="15" t="s">
        <v>74</v>
      </c>
      <c r="B4428" s="16" t="s">
        <v>244</v>
      </c>
      <c r="C4428" s="17" t="s">
        <v>245</v>
      </c>
      <c r="D4428" s="18">
        <v>5.0</v>
      </c>
      <c r="E4428" s="17" t="s">
        <v>99</v>
      </c>
      <c r="F4428" s="15" t="s">
        <v>100</v>
      </c>
      <c r="G4428" s="19">
        <v>9.0043001E7</v>
      </c>
      <c r="H4428" s="15" t="s">
        <v>18</v>
      </c>
      <c r="I4428" s="20" t="s">
        <v>19</v>
      </c>
      <c r="J4428" s="21">
        <v>4.9095425E7</v>
      </c>
      <c r="K4428" s="21">
        <v>262.0</v>
      </c>
    </row>
    <row r="4429">
      <c r="A4429" s="15" t="s">
        <v>74</v>
      </c>
      <c r="B4429" s="16" t="s">
        <v>244</v>
      </c>
      <c r="C4429" s="17" t="s">
        <v>245</v>
      </c>
      <c r="D4429" s="18">
        <v>5.0</v>
      </c>
      <c r="E4429" s="17" t="s">
        <v>101</v>
      </c>
      <c r="F4429" s="15" t="s">
        <v>102</v>
      </c>
      <c r="G4429" s="19">
        <v>5.1100651E7</v>
      </c>
      <c r="H4429" s="15" t="s">
        <v>38</v>
      </c>
      <c r="I4429" s="20" t="s">
        <v>17</v>
      </c>
      <c r="J4429" s="21">
        <v>2.5837077E7</v>
      </c>
      <c r="K4429" s="21">
        <v>164.858</v>
      </c>
    </row>
    <row r="4430">
      <c r="A4430" s="15" t="s">
        <v>74</v>
      </c>
      <c r="B4430" s="16" t="s">
        <v>244</v>
      </c>
      <c r="C4430" s="17" t="s">
        <v>245</v>
      </c>
      <c r="D4430" s="18">
        <v>5.0</v>
      </c>
      <c r="E4430" s="17" t="s">
        <v>101</v>
      </c>
      <c r="F4430" s="15" t="s">
        <v>102</v>
      </c>
      <c r="G4430" s="19">
        <v>9.0043001E7</v>
      </c>
      <c r="H4430" s="15" t="s">
        <v>18</v>
      </c>
      <c r="I4430" s="20" t="s">
        <v>19</v>
      </c>
      <c r="J4430" s="21">
        <v>1.46834112E8</v>
      </c>
      <c r="K4430" s="21">
        <v>752.0</v>
      </c>
    </row>
    <row r="4431">
      <c r="A4431" s="15" t="s">
        <v>74</v>
      </c>
      <c r="B4431" s="16" t="s">
        <v>244</v>
      </c>
      <c r="C4431" s="17" t="s">
        <v>245</v>
      </c>
      <c r="D4431" s="18">
        <v>5.0</v>
      </c>
      <c r="E4431" s="17" t="s">
        <v>101</v>
      </c>
      <c r="F4431" s="15" t="s">
        <v>102</v>
      </c>
      <c r="G4431" s="19">
        <v>9.0043E7</v>
      </c>
      <c r="H4431" s="15" t="s">
        <v>83</v>
      </c>
      <c r="I4431" s="20" t="s">
        <v>19</v>
      </c>
      <c r="J4431" s="21">
        <v>415052.0</v>
      </c>
      <c r="K4431" s="21">
        <v>2.0</v>
      </c>
    </row>
    <row r="4432">
      <c r="A4432" s="15" t="s">
        <v>74</v>
      </c>
      <c r="B4432" s="16" t="s">
        <v>244</v>
      </c>
      <c r="C4432" s="17" t="s">
        <v>245</v>
      </c>
      <c r="D4432" s="18">
        <v>5.0</v>
      </c>
      <c r="E4432" s="17" t="s">
        <v>101</v>
      </c>
      <c r="F4432" s="15" t="s">
        <v>102</v>
      </c>
      <c r="G4432" s="19">
        <v>5.1100774E7</v>
      </c>
      <c r="H4432" s="15" t="s">
        <v>39</v>
      </c>
      <c r="I4432" s="20" t="s">
        <v>17</v>
      </c>
      <c r="J4432" s="21">
        <v>3.9425337E7</v>
      </c>
      <c r="K4432" s="21">
        <v>61.0</v>
      </c>
    </row>
    <row r="4433">
      <c r="A4433" s="15" t="s">
        <v>74</v>
      </c>
      <c r="B4433" s="16" t="s">
        <v>244</v>
      </c>
      <c r="C4433" s="17" t="s">
        <v>245</v>
      </c>
      <c r="D4433" s="18">
        <v>5.0</v>
      </c>
      <c r="E4433" s="17" t="s">
        <v>103</v>
      </c>
      <c r="F4433" s="15" t="s">
        <v>104</v>
      </c>
      <c r="G4433" s="19">
        <v>5.1100058E7</v>
      </c>
      <c r="H4433" s="15" t="s">
        <v>36</v>
      </c>
      <c r="I4433" s="20" t="s">
        <v>37</v>
      </c>
      <c r="J4433" s="21">
        <v>7892078.0</v>
      </c>
      <c r="K4433" s="21">
        <v>95.45</v>
      </c>
    </row>
    <row r="4434">
      <c r="A4434" s="15" t="s">
        <v>74</v>
      </c>
      <c r="B4434" s="16" t="s">
        <v>244</v>
      </c>
      <c r="C4434" s="17" t="s">
        <v>245</v>
      </c>
      <c r="D4434" s="18">
        <v>5.0</v>
      </c>
      <c r="E4434" s="17" t="s">
        <v>103</v>
      </c>
      <c r="F4434" s="15" t="s">
        <v>104</v>
      </c>
      <c r="G4434" s="19">
        <v>5.1100651E7</v>
      </c>
      <c r="H4434" s="15" t="s">
        <v>38</v>
      </c>
      <c r="I4434" s="20" t="s">
        <v>25</v>
      </c>
      <c r="J4434" s="21">
        <v>0.0</v>
      </c>
      <c r="K4434" s="21">
        <v>0.0</v>
      </c>
    </row>
    <row r="4435">
      <c r="A4435" s="15" t="s">
        <v>74</v>
      </c>
      <c r="B4435" s="16" t="s">
        <v>244</v>
      </c>
      <c r="C4435" s="17" t="s">
        <v>245</v>
      </c>
      <c r="D4435" s="18">
        <v>5.0</v>
      </c>
      <c r="E4435" s="17" t="s">
        <v>103</v>
      </c>
      <c r="F4435" s="15" t="s">
        <v>104</v>
      </c>
      <c r="G4435" s="19">
        <v>5.1100651E7</v>
      </c>
      <c r="H4435" s="15" t="s">
        <v>38</v>
      </c>
      <c r="I4435" s="20" t="s">
        <v>17</v>
      </c>
      <c r="J4435" s="21">
        <v>3203886.0</v>
      </c>
      <c r="K4435" s="21">
        <v>17.35</v>
      </c>
    </row>
    <row r="4436">
      <c r="A4436" s="15" t="s">
        <v>74</v>
      </c>
      <c r="B4436" s="16" t="s">
        <v>244</v>
      </c>
      <c r="C4436" s="17" t="s">
        <v>245</v>
      </c>
      <c r="D4436" s="18">
        <v>5.0</v>
      </c>
      <c r="E4436" s="17" t="s">
        <v>103</v>
      </c>
      <c r="F4436" s="15" t="s">
        <v>104</v>
      </c>
      <c r="G4436" s="19">
        <v>9.0043001E7</v>
      </c>
      <c r="H4436" s="15" t="s">
        <v>18</v>
      </c>
      <c r="I4436" s="20" t="s">
        <v>19</v>
      </c>
      <c r="J4436" s="21">
        <v>1.3878836E7</v>
      </c>
      <c r="K4436" s="21">
        <v>75.0</v>
      </c>
    </row>
    <row r="4437">
      <c r="A4437" s="15" t="s">
        <v>74</v>
      </c>
      <c r="B4437" s="16" t="s">
        <v>244</v>
      </c>
      <c r="C4437" s="17" t="s">
        <v>245</v>
      </c>
      <c r="D4437" s="18">
        <v>5.0</v>
      </c>
      <c r="E4437" s="17" t="s">
        <v>103</v>
      </c>
      <c r="F4437" s="15" t="s">
        <v>104</v>
      </c>
      <c r="G4437" s="19">
        <v>5.1100774E7</v>
      </c>
      <c r="H4437" s="15" t="s">
        <v>39</v>
      </c>
      <c r="I4437" s="20" t="s">
        <v>25</v>
      </c>
      <c r="J4437" s="21">
        <v>0.0</v>
      </c>
      <c r="K4437" s="21">
        <v>0.0</v>
      </c>
    </row>
    <row r="4438">
      <c r="A4438" s="15" t="s">
        <v>74</v>
      </c>
      <c r="B4438" s="16" t="s">
        <v>244</v>
      </c>
      <c r="C4438" s="17" t="s">
        <v>245</v>
      </c>
      <c r="D4438" s="18">
        <v>5.0</v>
      </c>
      <c r="E4438" s="17" t="s">
        <v>110</v>
      </c>
      <c r="F4438" s="15" t="s">
        <v>111</v>
      </c>
      <c r="G4438" s="19">
        <v>5.1100058E7</v>
      </c>
      <c r="H4438" s="15" t="s">
        <v>36</v>
      </c>
      <c r="I4438" s="20" t="s">
        <v>37</v>
      </c>
      <c r="J4438" s="21">
        <v>131915.0</v>
      </c>
      <c r="K4438" s="21">
        <v>0.76</v>
      </c>
    </row>
    <row r="4439">
      <c r="A4439" s="15" t="s">
        <v>74</v>
      </c>
      <c r="B4439" s="16" t="s">
        <v>244</v>
      </c>
      <c r="C4439" s="17" t="s">
        <v>245</v>
      </c>
      <c r="D4439" s="18">
        <v>5.0</v>
      </c>
      <c r="E4439" s="17" t="s">
        <v>158</v>
      </c>
      <c r="F4439" s="15" t="s">
        <v>159</v>
      </c>
      <c r="G4439" s="19">
        <v>9.0043001E7</v>
      </c>
      <c r="H4439" s="15" t="s">
        <v>18</v>
      </c>
      <c r="I4439" s="20" t="s">
        <v>19</v>
      </c>
      <c r="J4439" s="21">
        <v>1024684.0</v>
      </c>
      <c r="K4439" s="21">
        <v>4.0</v>
      </c>
    </row>
    <row r="4440">
      <c r="A4440" s="15" t="s">
        <v>74</v>
      </c>
      <c r="B4440" s="16" t="s">
        <v>244</v>
      </c>
      <c r="C4440" s="17" t="s">
        <v>245</v>
      </c>
      <c r="D4440" s="18">
        <v>5.0</v>
      </c>
      <c r="E4440" s="17" t="s">
        <v>112</v>
      </c>
      <c r="F4440" s="15" t="s">
        <v>113</v>
      </c>
      <c r="G4440" s="19">
        <v>9.0043001E7</v>
      </c>
      <c r="H4440" s="15" t="s">
        <v>18</v>
      </c>
      <c r="I4440" s="20" t="s">
        <v>19</v>
      </c>
      <c r="J4440" s="21">
        <v>1445827.0</v>
      </c>
      <c r="K4440" s="21">
        <v>7.0</v>
      </c>
    </row>
    <row r="4441">
      <c r="A4441" s="15" t="s">
        <v>74</v>
      </c>
      <c r="B4441" s="16" t="s">
        <v>244</v>
      </c>
      <c r="C4441" s="17" t="s">
        <v>245</v>
      </c>
      <c r="D4441" s="18">
        <v>5.0</v>
      </c>
      <c r="E4441" s="17" t="s">
        <v>207</v>
      </c>
      <c r="F4441" s="15" t="s">
        <v>208</v>
      </c>
      <c r="G4441" s="19">
        <v>9.0043001E7</v>
      </c>
      <c r="H4441" s="15" t="s">
        <v>18</v>
      </c>
      <c r="I4441" s="20" t="s">
        <v>19</v>
      </c>
      <c r="J4441" s="21">
        <v>6270570.0</v>
      </c>
      <c r="K4441" s="21">
        <v>32.0</v>
      </c>
    </row>
    <row r="4442">
      <c r="A4442" s="15" t="s">
        <v>74</v>
      </c>
      <c r="B4442" s="16" t="s">
        <v>244</v>
      </c>
      <c r="C4442" s="17" t="s">
        <v>245</v>
      </c>
      <c r="D4442" s="18">
        <v>5.0</v>
      </c>
      <c r="E4442" s="17" t="s">
        <v>175</v>
      </c>
      <c r="F4442" s="15" t="s">
        <v>176</v>
      </c>
      <c r="G4442" s="19">
        <v>5.1100651E7</v>
      </c>
      <c r="H4442" s="15" t="s">
        <v>38</v>
      </c>
      <c r="I4442" s="20" t="s">
        <v>17</v>
      </c>
      <c r="J4442" s="21">
        <v>5503402.0</v>
      </c>
      <c r="K4442" s="21">
        <v>78620.0</v>
      </c>
    </row>
    <row r="4443">
      <c r="A4443" s="15" t="s">
        <v>74</v>
      </c>
      <c r="B4443" s="16" t="s">
        <v>244</v>
      </c>
      <c r="C4443" s="17" t="s">
        <v>245</v>
      </c>
      <c r="D4443" s="18">
        <v>5.0</v>
      </c>
      <c r="E4443" s="17" t="s">
        <v>175</v>
      </c>
      <c r="F4443" s="15" t="s">
        <v>176</v>
      </c>
      <c r="G4443" s="19">
        <v>9.0043002E7</v>
      </c>
      <c r="H4443" s="15" t="s">
        <v>49</v>
      </c>
      <c r="I4443" s="20" t="s">
        <v>50</v>
      </c>
      <c r="J4443" s="21">
        <v>2.4685656E7</v>
      </c>
      <c r="K4443" s="21">
        <v>880.0</v>
      </c>
    </row>
    <row r="4444">
      <c r="A4444" s="15" t="s">
        <v>74</v>
      </c>
      <c r="B4444" s="16" t="s">
        <v>244</v>
      </c>
      <c r="C4444" s="17" t="s">
        <v>245</v>
      </c>
      <c r="D4444" s="18">
        <v>5.0</v>
      </c>
      <c r="E4444" s="17" t="s">
        <v>117</v>
      </c>
      <c r="F4444" s="15" t="s">
        <v>118</v>
      </c>
      <c r="G4444" s="19">
        <v>5.1100058E7</v>
      </c>
      <c r="H4444" s="15" t="s">
        <v>36</v>
      </c>
      <c r="I4444" s="20" t="s">
        <v>37</v>
      </c>
      <c r="J4444" s="21">
        <v>1.298340694E9</v>
      </c>
      <c r="K4444" s="21">
        <v>163584.0</v>
      </c>
    </row>
    <row r="4445">
      <c r="A4445" s="15" t="s">
        <v>74</v>
      </c>
      <c r="B4445" s="16" t="s">
        <v>244</v>
      </c>
      <c r="C4445" s="17" t="s">
        <v>245</v>
      </c>
      <c r="D4445" s="18">
        <v>5.0</v>
      </c>
      <c r="E4445" s="17" t="s">
        <v>117</v>
      </c>
      <c r="F4445" s="15" t="s">
        <v>118</v>
      </c>
      <c r="G4445" s="19">
        <v>5.1100651E7</v>
      </c>
      <c r="H4445" s="15" t="s">
        <v>38</v>
      </c>
      <c r="I4445" s="20" t="s">
        <v>17</v>
      </c>
      <c r="J4445" s="21">
        <v>1.7505959E7</v>
      </c>
      <c r="K4445" s="21">
        <v>151.68</v>
      </c>
    </row>
    <row r="4446">
      <c r="A4446" s="15" t="s">
        <v>74</v>
      </c>
      <c r="B4446" s="16" t="s">
        <v>244</v>
      </c>
      <c r="C4446" s="17" t="s">
        <v>245</v>
      </c>
      <c r="D4446" s="18">
        <v>5.0</v>
      </c>
      <c r="E4446" s="17" t="s">
        <v>117</v>
      </c>
      <c r="F4446" s="15" t="s">
        <v>118</v>
      </c>
      <c r="G4446" s="19">
        <v>9.0043001E7</v>
      </c>
      <c r="H4446" s="15" t="s">
        <v>18</v>
      </c>
      <c r="I4446" s="20" t="s">
        <v>19</v>
      </c>
      <c r="J4446" s="21">
        <v>2.6769496E7</v>
      </c>
      <c r="K4446" s="21">
        <v>140.0</v>
      </c>
    </row>
    <row r="4447">
      <c r="A4447" s="15" t="s">
        <v>74</v>
      </c>
      <c r="B4447" s="16" t="s">
        <v>244</v>
      </c>
      <c r="C4447" s="17" t="s">
        <v>245</v>
      </c>
      <c r="D4447" s="18">
        <v>5.0</v>
      </c>
      <c r="E4447" s="17" t="s">
        <v>117</v>
      </c>
      <c r="F4447" s="15" t="s">
        <v>118</v>
      </c>
      <c r="G4447" s="19">
        <v>9.0043E7</v>
      </c>
      <c r="H4447" s="15" t="s">
        <v>83</v>
      </c>
      <c r="I4447" s="20" t="s">
        <v>19</v>
      </c>
      <c r="J4447" s="21">
        <v>627159.0</v>
      </c>
      <c r="K4447" s="21">
        <v>3.0</v>
      </c>
    </row>
    <row r="4448">
      <c r="A4448" s="15" t="s">
        <v>74</v>
      </c>
      <c r="B4448" s="16" t="s">
        <v>244</v>
      </c>
      <c r="C4448" s="17" t="s">
        <v>245</v>
      </c>
      <c r="D4448" s="18">
        <v>5.0</v>
      </c>
      <c r="E4448" s="17" t="s">
        <v>117</v>
      </c>
      <c r="F4448" s="15" t="s">
        <v>118</v>
      </c>
      <c r="G4448" s="19">
        <v>5.1100774E7</v>
      </c>
      <c r="H4448" s="15" t="s">
        <v>39</v>
      </c>
      <c r="I4448" s="20" t="s">
        <v>17</v>
      </c>
      <c r="J4448" s="21">
        <v>3824812.0</v>
      </c>
      <c r="K4448" s="21">
        <v>33.14</v>
      </c>
    </row>
    <row r="4449">
      <c r="A4449" s="15" t="s">
        <v>74</v>
      </c>
      <c r="B4449" s="16" t="s">
        <v>244</v>
      </c>
      <c r="C4449" s="17" t="s">
        <v>245</v>
      </c>
      <c r="D4449" s="18">
        <v>5.0</v>
      </c>
      <c r="E4449" s="17" t="s">
        <v>123</v>
      </c>
      <c r="F4449" s="15" t="s">
        <v>124</v>
      </c>
      <c r="G4449" s="19">
        <v>9.0043001E7</v>
      </c>
      <c r="H4449" s="15" t="s">
        <v>18</v>
      </c>
      <c r="I4449" s="20" t="s">
        <v>19</v>
      </c>
      <c r="J4449" s="21">
        <v>3213450.0</v>
      </c>
      <c r="K4449" s="21">
        <v>17.2</v>
      </c>
    </row>
    <row r="4450">
      <c r="A4450" s="15" t="s">
        <v>74</v>
      </c>
      <c r="B4450" s="16" t="s">
        <v>244</v>
      </c>
      <c r="C4450" s="17" t="s">
        <v>245</v>
      </c>
      <c r="D4450" s="18">
        <v>5.0</v>
      </c>
      <c r="E4450" s="17" t="s">
        <v>125</v>
      </c>
      <c r="F4450" s="15" t="s">
        <v>126</v>
      </c>
      <c r="G4450" s="19">
        <v>9.0043001E7</v>
      </c>
      <c r="H4450" s="15" t="s">
        <v>18</v>
      </c>
      <c r="I4450" s="20" t="s">
        <v>19</v>
      </c>
      <c r="J4450" s="21">
        <v>6.36571401E8</v>
      </c>
      <c r="K4450" s="21">
        <v>3425.1</v>
      </c>
    </row>
    <row r="4451">
      <c r="A4451" s="15" t="s">
        <v>74</v>
      </c>
      <c r="B4451" s="16" t="s">
        <v>244</v>
      </c>
      <c r="C4451" s="17" t="s">
        <v>245</v>
      </c>
      <c r="D4451" s="18">
        <v>5.0</v>
      </c>
      <c r="E4451" s="17" t="s">
        <v>127</v>
      </c>
      <c r="F4451" s="15" t="s">
        <v>128</v>
      </c>
      <c r="G4451" s="19">
        <v>5.1100153E7</v>
      </c>
      <c r="H4451" s="15" t="s">
        <v>72</v>
      </c>
      <c r="I4451" s="20" t="s">
        <v>25</v>
      </c>
      <c r="J4451" s="21">
        <v>0.0</v>
      </c>
      <c r="K4451" s="21">
        <v>0.0</v>
      </c>
    </row>
    <row r="4452">
      <c r="A4452" s="15" t="s">
        <v>74</v>
      </c>
      <c r="B4452" s="16" t="s">
        <v>244</v>
      </c>
      <c r="C4452" s="17" t="s">
        <v>245</v>
      </c>
      <c r="D4452" s="18">
        <v>5.0</v>
      </c>
      <c r="E4452" s="17" t="s">
        <v>127</v>
      </c>
      <c r="F4452" s="15" t="s">
        <v>128</v>
      </c>
      <c r="G4452" s="19">
        <v>5.1100153E7</v>
      </c>
      <c r="H4452" s="15" t="s">
        <v>72</v>
      </c>
      <c r="I4452" s="20" t="s">
        <v>17</v>
      </c>
      <c r="J4452" s="21">
        <v>5.71685912E8</v>
      </c>
      <c r="K4452" s="21">
        <v>1937141.0</v>
      </c>
    </row>
    <row r="4453">
      <c r="A4453" s="15" t="s">
        <v>74</v>
      </c>
      <c r="B4453" s="16" t="s">
        <v>244</v>
      </c>
      <c r="C4453" s="17" t="s">
        <v>245</v>
      </c>
      <c r="D4453" s="18">
        <v>5.0</v>
      </c>
      <c r="E4453" s="17" t="s">
        <v>127</v>
      </c>
      <c r="F4453" s="15" t="s">
        <v>128</v>
      </c>
      <c r="G4453" s="19">
        <v>9.0043002E7</v>
      </c>
      <c r="H4453" s="15" t="s">
        <v>49</v>
      </c>
      <c r="I4453" s="20" t="s">
        <v>50</v>
      </c>
      <c r="J4453" s="21">
        <v>1.0023879E7</v>
      </c>
      <c r="K4453" s="21">
        <v>630.0</v>
      </c>
    </row>
    <row r="4454">
      <c r="A4454" s="15" t="s">
        <v>74</v>
      </c>
      <c r="B4454" s="16" t="s">
        <v>244</v>
      </c>
      <c r="C4454" s="17" t="s">
        <v>245</v>
      </c>
      <c r="D4454" s="18">
        <v>5.0</v>
      </c>
      <c r="E4454" s="17" t="s">
        <v>129</v>
      </c>
      <c r="F4454" s="15" t="s">
        <v>130</v>
      </c>
      <c r="G4454" s="19">
        <v>5.1100153E7</v>
      </c>
      <c r="H4454" s="15" t="s">
        <v>72</v>
      </c>
      <c r="I4454" s="20" t="s">
        <v>17</v>
      </c>
      <c r="J4454" s="21">
        <v>1.50205E7</v>
      </c>
      <c r="K4454" s="21">
        <v>129.0</v>
      </c>
    </row>
    <row r="4455">
      <c r="A4455" s="15" t="s">
        <v>74</v>
      </c>
      <c r="B4455" s="16" t="s">
        <v>244</v>
      </c>
      <c r="C4455" s="17" t="s">
        <v>245</v>
      </c>
      <c r="D4455" s="18">
        <v>5.0</v>
      </c>
      <c r="E4455" s="17" t="s">
        <v>129</v>
      </c>
      <c r="F4455" s="15" t="s">
        <v>130</v>
      </c>
      <c r="G4455" s="19">
        <v>5.1101056E7</v>
      </c>
      <c r="H4455" s="15" t="s">
        <v>16</v>
      </c>
      <c r="I4455" s="20" t="s">
        <v>17</v>
      </c>
      <c r="J4455" s="21">
        <v>1.09538E7</v>
      </c>
      <c r="K4455" s="21">
        <v>106.0</v>
      </c>
    </row>
    <row r="4456">
      <c r="A4456" s="15" t="s">
        <v>74</v>
      </c>
      <c r="B4456" s="16" t="s">
        <v>244</v>
      </c>
      <c r="C4456" s="17" t="s">
        <v>245</v>
      </c>
      <c r="D4456" s="18">
        <v>5.0</v>
      </c>
      <c r="E4456" s="17" t="s">
        <v>129</v>
      </c>
      <c r="F4456" s="15" t="s">
        <v>130</v>
      </c>
      <c r="G4456" s="19">
        <v>9.0043001E7</v>
      </c>
      <c r="H4456" s="15" t="s">
        <v>18</v>
      </c>
      <c r="I4456" s="20" t="s">
        <v>19</v>
      </c>
      <c r="J4456" s="21">
        <v>1.4102E7</v>
      </c>
      <c r="K4456" s="21">
        <v>75.0</v>
      </c>
    </row>
    <row r="4457">
      <c r="A4457" s="15" t="s">
        <v>74</v>
      </c>
      <c r="B4457" s="16" t="s">
        <v>244</v>
      </c>
      <c r="C4457" s="17" t="s">
        <v>245</v>
      </c>
      <c r="D4457" s="18">
        <v>5.0</v>
      </c>
      <c r="E4457" s="17" t="s">
        <v>129</v>
      </c>
      <c r="F4457" s="15" t="s">
        <v>130</v>
      </c>
      <c r="G4457" s="19">
        <v>9.0043002E7</v>
      </c>
      <c r="H4457" s="15" t="s">
        <v>49</v>
      </c>
      <c r="I4457" s="20" t="s">
        <v>50</v>
      </c>
      <c r="J4457" s="21">
        <v>461614.0</v>
      </c>
      <c r="K4457" s="21">
        <v>31.0</v>
      </c>
    </row>
    <row r="4458">
      <c r="A4458" s="15" t="s">
        <v>74</v>
      </c>
      <c r="B4458" s="16" t="s">
        <v>244</v>
      </c>
      <c r="C4458" s="17" t="s">
        <v>245</v>
      </c>
      <c r="D4458" s="18">
        <v>5.0</v>
      </c>
      <c r="E4458" s="17" t="s">
        <v>129</v>
      </c>
      <c r="F4458" s="15" t="s">
        <v>130</v>
      </c>
      <c r="G4458" s="19">
        <v>9.0043003E7</v>
      </c>
      <c r="H4458" s="15" t="s">
        <v>90</v>
      </c>
      <c r="I4458" s="20" t="s">
        <v>50</v>
      </c>
      <c r="J4458" s="21">
        <v>6.7845202E7</v>
      </c>
      <c r="K4458" s="21">
        <v>506.95</v>
      </c>
    </row>
    <row r="4459">
      <c r="A4459" s="15" t="s">
        <v>74</v>
      </c>
      <c r="B4459" s="16" t="s">
        <v>244</v>
      </c>
      <c r="C4459" s="17" t="s">
        <v>245</v>
      </c>
      <c r="D4459" s="18">
        <v>5.0</v>
      </c>
      <c r="E4459" s="17" t="s">
        <v>131</v>
      </c>
      <c r="F4459" s="15" t="s">
        <v>132</v>
      </c>
      <c r="G4459" s="19">
        <v>9.0043001E7</v>
      </c>
      <c r="H4459" s="15" t="s">
        <v>18</v>
      </c>
      <c r="I4459" s="20" t="s">
        <v>19</v>
      </c>
      <c r="J4459" s="21">
        <v>1.2503405E7</v>
      </c>
      <c r="K4459" s="21">
        <v>63.3</v>
      </c>
    </row>
    <row r="4460">
      <c r="A4460" s="15" t="s">
        <v>74</v>
      </c>
      <c r="B4460" s="16" t="s">
        <v>244</v>
      </c>
      <c r="C4460" s="17" t="s">
        <v>245</v>
      </c>
      <c r="D4460" s="18">
        <v>5.0</v>
      </c>
      <c r="E4460" s="17" t="s">
        <v>135</v>
      </c>
      <c r="F4460" s="15" t="s">
        <v>136</v>
      </c>
      <c r="G4460" s="19">
        <v>9.0043001E7</v>
      </c>
      <c r="H4460" s="15" t="s">
        <v>18</v>
      </c>
      <c r="I4460" s="20" t="s">
        <v>19</v>
      </c>
      <c r="J4460" s="21">
        <v>1097970.0</v>
      </c>
      <c r="K4460" s="21">
        <v>6.0</v>
      </c>
    </row>
    <row r="4461">
      <c r="A4461" s="15" t="s">
        <v>74</v>
      </c>
      <c r="B4461" s="16" t="s">
        <v>244</v>
      </c>
      <c r="C4461" s="17" t="s">
        <v>245</v>
      </c>
      <c r="D4461" s="18">
        <v>5.0</v>
      </c>
      <c r="E4461" s="17" t="s">
        <v>162</v>
      </c>
      <c r="F4461" s="15" t="s">
        <v>163</v>
      </c>
      <c r="G4461" s="19">
        <v>9.0043001E7</v>
      </c>
      <c r="H4461" s="15" t="s">
        <v>18</v>
      </c>
      <c r="I4461" s="20" t="s">
        <v>19</v>
      </c>
      <c r="J4461" s="21">
        <v>2.2037568E7</v>
      </c>
      <c r="K4461" s="21">
        <v>119.0</v>
      </c>
    </row>
    <row r="4462">
      <c r="A4462" s="15" t="s">
        <v>74</v>
      </c>
      <c r="B4462" s="16" t="s">
        <v>244</v>
      </c>
      <c r="C4462" s="17" t="s">
        <v>245</v>
      </c>
      <c r="D4462" s="18">
        <v>5.0</v>
      </c>
      <c r="E4462" s="17" t="s">
        <v>162</v>
      </c>
      <c r="F4462" s="15" t="s">
        <v>163</v>
      </c>
      <c r="G4462" s="19">
        <v>9.0043E7</v>
      </c>
      <c r="H4462" s="15" t="s">
        <v>83</v>
      </c>
      <c r="I4462" s="20" t="s">
        <v>19</v>
      </c>
      <c r="J4462" s="21">
        <v>4691786.0</v>
      </c>
      <c r="K4462" s="21">
        <v>22.0</v>
      </c>
    </row>
    <row r="4463">
      <c r="A4463" s="15" t="s">
        <v>74</v>
      </c>
      <c r="B4463" s="16" t="s">
        <v>244</v>
      </c>
      <c r="C4463" s="17" t="s">
        <v>245</v>
      </c>
      <c r="D4463" s="18">
        <v>5.0</v>
      </c>
      <c r="E4463" s="17" t="s">
        <v>54</v>
      </c>
      <c r="F4463" s="15" t="s">
        <v>139</v>
      </c>
      <c r="G4463" s="19">
        <v>9.0042011E7</v>
      </c>
      <c r="H4463" s="15" t="s">
        <v>55</v>
      </c>
      <c r="I4463" s="20" t="s">
        <v>19</v>
      </c>
      <c r="J4463" s="21">
        <v>5.02337749E8</v>
      </c>
      <c r="K4463" s="21">
        <v>0.0</v>
      </c>
    </row>
    <row r="4464">
      <c r="A4464" s="15" t="s">
        <v>74</v>
      </c>
      <c r="B4464" s="16" t="s">
        <v>244</v>
      </c>
      <c r="C4464" s="17" t="s">
        <v>245</v>
      </c>
      <c r="D4464" s="18">
        <v>5.0</v>
      </c>
      <c r="E4464" s="17" t="s">
        <v>20</v>
      </c>
      <c r="F4464" s="15" t="s">
        <v>140</v>
      </c>
      <c r="G4464" s="19">
        <v>9.0042014E7</v>
      </c>
      <c r="H4464" s="15" t="s">
        <v>21</v>
      </c>
      <c r="I4464" s="20" t="s">
        <v>19</v>
      </c>
      <c r="J4464" s="21">
        <v>7.06570985E8</v>
      </c>
      <c r="K4464" s="21">
        <v>0.0</v>
      </c>
    </row>
    <row r="4465">
      <c r="A4465" s="15" t="s">
        <v>74</v>
      </c>
      <c r="B4465" s="16" t="s">
        <v>244</v>
      </c>
      <c r="C4465" s="17" t="s">
        <v>245</v>
      </c>
      <c r="D4465" s="18">
        <v>5.0</v>
      </c>
      <c r="E4465" s="17" t="s">
        <v>20</v>
      </c>
      <c r="F4465" s="15" t="s">
        <v>140</v>
      </c>
      <c r="G4465" s="19">
        <v>9.0042077E7</v>
      </c>
      <c r="H4465" s="15" t="s">
        <v>141</v>
      </c>
      <c r="I4465" s="20" t="s">
        <v>19</v>
      </c>
      <c r="J4465" s="21">
        <v>2.18219722E8</v>
      </c>
      <c r="K4465" s="21">
        <v>0.0</v>
      </c>
    </row>
    <row r="4466">
      <c r="A4466" s="15" t="s">
        <v>74</v>
      </c>
      <c r="B4466" s="16" t="s">
        <v>244</v>
      </c>
      <c r="C4466" s="17" t="s">
        <v>245</v>
      </c>
      <c r="D4466" s="18">
        <v>5.0</v>
      </c>
      <c r="E4466" s="17" t="s">
        <v>142</v>
      </c>
      <c r="F4466" s="15" t="s">
        <v>143</v>
      </c>
      <c r="G4466" s="19">
        <v>9.0042084E7</v>
      </c>
      <c r="H4466" s="15" t="s">
        <v>145</v>
      </c>
      <c r="I4466" s="20" t="s">
        <v>19</v>
      </c>
      <c r="J4466" s="21">
        <v>7287946.0</v>
      </c>
      <c r="K4466" s="21">
        <v>0.0</v>
      </c>
    </row>
    <row r="4467">
      <c r="A4467" s="15" t="s">
        <v>74</v>
      </c>
      <c r="B4467" s="16" t="s">
        <v>244</v>
      </c>
      <c r="C4467" s="17" t="s">
        <v>245</v>
      </c>
      <c r="D4467" s="18">
        <v>5.0</v>
      </c>
      <c r="E4467" s="17" t="s">
        <v>22</v>
      </c>
      <c r="F4467" s="15" t="s">
        <v>146</v>
      </c>
      <c r="G4467" s="19">
        <v>9.0042012E7</v>
      </c>
      <c r="H4467" s="15" t="s">
        <v>23</v>
      </c>
      <c r="I4467" s="20" t="s">
        <v>19</v>
      </c>
      <c r="J4467" s="21">
        <v>1.78957753E8</v>
      </c>
      <c r="K4467" s="21">
        <v>0.0</v>
      </c>
    </row>
    <row r="4468">
      <c r="A4468" s="15" t="s">
        <v>74</v>
      </c>
      <c r="B4468" s="16" t="s">
        <v>244</v>
      </c>
      <c r="C4468" s="17" t="s">
        <v>245</v>
      </c>
      <c r="D4468" s="18">
        <v>5.0</v>
      </c>
      <c r="E4468" s="17" t="s">
        <v>22</v>
      </c>
      <c r="F4468" s="15" t="s">
        <v>146</v>
      </c>
      <c r="G4468" s="19">
        <v>9.0042121E7</v>
      </c>
      <c r="H4468" s="15" t="s">
        <v>24</v>
      </c>
      <c r="I4468" s="20" t="s">
        <v>25</v>
      </c>
      <c r="J4468" s="21">
        <v>1.55715975E8</v>
      </c>
      <c r="K4468" s="21">
        <v>0.0</v>
      </c>
    </row>
    <row r="4469">
      <c r="A4469" s="15" t="s">
        <v>74</v>
      </c>
      <c r="B4469" s="16" t="s">
        <v>244</v>
      </c>
      <c r="C4469" s="17" t="s">
        <v>245</v>
      </c>
      <c r="D4469" s="18">
        <v>5.0</v>
      </c>
      <c r="E4469" s="17" t="s">
        <v>22</v>
      </c>
      <c r="F4469" s="15" t="s">
        <v>146</v>
      </c>
      <c r="G4469" s="19">
        <v>9.0042122E7</v>
      </c>
      <c r="H4469" s="15" t="s">
        <v>56</v>
      </c>
      <c r="I4469" s="20" t="s">
        <v>25</v>
      </c>
      <c r="J4469" s="21">
        <v>2.16368631E8</v>
      </c>
      <c r="K4469" s="21">
        <v>0.0</v>
      </c>
    </row>
    <row r="4470">
      <c r="A4470" s="15" t="s">
        <v>74</v>
      </c>
      <c r="B4470" s="16" t="s">
        <v>244</v>
      </c>
      <c r="C4470" s="17" t="s">
        <v>245</v>
      </c>
      <c r="D4470" s="18">
        <v>5.0</v>
      </c>
      <c r="E4470" s="17" t="s">
        <v>22</v>
      </c>
      <c r="F4470" s="15" t="s">
        <v>146</v>
      </c>
      <c r="G4470" s="19">
        <v>9.0042124E7</v>
      </c>
      <c r="H4470" s="15" t="s">
        <v>57</v>
      </c>
      <c r="I4470" s="20" t="s">
        <v>25</v>
      </c>
      <c r="J4470" s="21">
        <v>2.1798699E7</v>
      </c>
      <c r="K4470" s="21">
        <v>0.0</v>
      </c>
    </row>
    <row r="4471">
      <c r="A4471" s="15" t="s">
        <v>74</v>
      </c>
      <c r="B4471" s="16" t="s">
        <v>244</v>
      </c>
      <c r="C4471" s="17" t="s">
        <v>245</v>
      </c>
      <c r="D4471" s="18">
        <v>5.0</v>
      </c>
      <c r="E4471" s="17" t="s">
        <v>22</v>
      </c>
      <c r="F4471" s="15" t="s">
        <v>146</v>
      </c>
      <c r="G4471" s="19">
        <v>9.0042125E7</v>
      </c>
      <c r="H4471" s="15" t="s">
        <v>26</v>
      </c>
      <c r="I4471" s="20" t="s">
        <v>25</v>
      </c>
      <c r="J4471" s="21">
        <v>8.8497919E7</v>
      </c>
      <c r="K4471" s="21">
        <v>0.0</v>
      </c>
    </row>
    <row r="4472">
      <c r="A4472" s="15" t="s">
        <v>74</v>
      </c>
      <c r="B4472" s="16" t="s">
        <v>244</v>
      </c>
      <c r="C4472" s="17" t="s">
        <v>245</v>
      </c>
      <c r="D4472" s="18">
        <v>5.0</v>
      </c>
      <c r="E4472" s="17" t="s">
        <v>22</v>
      </c>
      <c r="F4472" s="15" t="s">
        <v>146</v>
      </c>
      <c r="G4472" s="19">
        <v>9.0042128E7</v>
      </c>
      <c r="H4472" s="15" t="s">
        <v>58</v>
      </c>
      <c r="I4472" s="20" t="s">
        <v>25</v>
      </c>
      <c r="J4472" s="21">
        <v>1.04222185E8</v>
      </c>
      <c r="K4472" s="21">
        <v>0.0</v>
      </c>
    </row>
    <row r="4473">
      <c r="A4473" s="15" t="s">
        <v>74</v>
      </c>
      <c r="B4473" s="16" t="s">
        <v>244</v>
      </c>
      <c r="C4473" s="17" t="s">
        <v>245</v>
      </c>
      <c r="D4473" s="18">
        <v>5.0</v>
      </c>
      <c r="E4473" s="17" t="s">
        <v>22</v>
      </c>
      <c r="F4473" s="15" t="s">
        <v>146</v>
      </c>
      <c r="G4473" s="19">
        <v>9.0042132E7</v>
      </c>
      <c r="H4473" s="15" t="s">
        <v>28</v>
      </c>
      <c r="I4473" s="20" t="s">
        <v>25</v>
      </c>
      <c r="J4473" s="21">
        <v>3.1992855E7</v>
      </c>
      <c r="K4473" s="21">
        <v>0.0</v>
      </c>
    </row>
    <row r="4474">
      <c r="A4474" s="15" t="s">
        <v>74</v>
      </c>
      <c r="B4474" s="16" t="s">
        <v>244</v>
      </c>
      <c r="C4474" s="17" t="s">
        <v>245</v>
      </c>
      <c r="D4474" s="18">
        <v>5.0</v>
      </c>
      <c r="E4474" s="17" t="s">
        <v>22</v>
      </c>
      <c r="F4474" s="15" t="s">
        <v>146</v>
      </c>
      <c r="G4474" s="19">
        <v>9.0042135E7</v>
      </c>
      <c r="H4474" s="15" t="s">
        <v>30</v>
      </c>
      <c r="I4474" s="20" t="s">
        <v>25</v>
      </c>
      <c r="J4474" s="21">
        <v>5.67906409E8</v>
      </c>
      <c r="K4474" s="21">
        <v>0.0</v>
      </c>
    </row>
    <row r="4475">
      <c r="A4475" s="15" t="s">
        <v>74</v>
      </c>
      <c r="B4475" s="16" t="s">
        <v>244</v>
      </c>
      <c r="C4475" s="17" t="s">
        <v>245</v>
      </c>
      <c r="D4475" s="18">
        <v>5.0</v>
      </c>
      <c r="E4475" s="17" t="s">
        <v>22</v>
      </c>
      <c r="F4475" s="15" t="s">
        <v>146</v>
      </c>
      <c r="G4475" s="19">
        <v>9.00422E7</v>
      </c>
      <c r="H4475" s="15" t="s">
        <v>73</v>
      </c>
      <c r="I4475" s="20" t="s">
        <v>60</v>
      </c>
      <c r="J4475" s="21">
        <v>3.14216773E8</v>
      </c>
      <c r="K4475" s="21">
        <v>0.0</v>
      </c>
    </row>
    <row r="4476">
      <c r="A4476" s="15" t="s">
        <v>74</v>
      </c>
      <c r="B4476" s="16" t="s">
        <v>244</v>
      </c>
      <c r="C4476" s="17" t="s">
        <v>245</v>
      </c>
      <c r="D4476" s="18">
        <v>5.0</v>
      </c>
      <c r="E4476" s="17" t="s">
        <v>22</v>
      </c>
      <c r="F4476" s="15" t="s">
        <v>146</v>
      </c>
      <c r="G4476" s="19">
        <v>9.0042223E7</v>
      </c>
      <c r="H4476" s="15" t="s">
        <v>61</v>
      </c>
      <c r="I4476" s="20" t="s">
        <v>60</v>
      </c>
      <c r="J4476" s="21">
        <v>4255771.0</v>
      </c>
      <c r="K4476" s="21">
        <v>0.0</v>
      </c>
    </row>
    <row r="4477">
      <c r="A4477" s="15" t="s">
        <v>74</v>
      </c>
      <c r="B4477" s="16" t="s">
        <v>244</v>
      </c>
      <c r="C4477" s="17" t="s">
        <v>245</v>
      </c>
      <c r="D4477" s="18">
        <v>5.0</v>
      </c>
      <c r="E4477" s="17" t="s">
        <v>22</v>
      </c>
      <c r="F4477" s="15" t="s">
        <v>146</v>
      </c>
      <c r="G4477" s="19">
        <v>9.0042224E7</v>
      </c>
      <c r="H4477" s="15" t="s">
        <v>62</v>
      </c>
      <c r="I4477" s="20" t="s">
        <v>60</v>
      </c>
      <c r="J4477" s="21">
        <v>1.0447194E7</v>
      </c>
      <c r="K4477" s="21">
        <v>0.0</v>
      </c>
    </row>
    <row r="4478">
      <c r="A4478" s="15" t="s">
        <v>74</v>
      </c>
      <c r="B4478" s="16" t="s">
        <v>244</v>
      </c>
      <c r="C4478" s="17" t="s">
        <v>245</v>
      </c>
      <c r="D4478" s="18">
        <v>5.0</v>
      </c>
      <c r="E4478" s="17" t="s">
        <v>22</v>
      </c>
      <c r="F4478" s="15" t="s">
        <v>146</v>
      </c>
      <c r="G4478" s="19">
        <v>9.0042226E7</v>
      </c>
      <c r="H4478" s="15" t="s">
        <v>63</v>
      </c>
      <c r="I4478" s="20" t="s">
        <v>60</v>
      </c>
      <c r="J4478" s="21">
        <v>133334.0</v>
      </c>
      <c r="K4478" s="21">
        <v>0.0</v>
      </c>
    </row>
    <row r="4479">
      <c r="A4479" s="15" t="s">
        <v>74</v>
      </c>
      <c r="B4479" s="16" t="s">
        <v>244</v>
      </c>
      <c r="C4479" s="17" t="s">
        <v>245</v>
      </c>
      <c r="D4479" s="18">
        <v>5.0</v>
      </c>
      <c r="E4479" s="17" t="s">
        <v>22</v>
      </c>
      <c r="F4479" s="15" t="s">
        <v>146</v>
      </c>
      <c r="G4479" s="19">
        <v>9.0042228E7</v>
      </c>
      <c r="H4479" s="15" t="s">
        <v>64</v>
      </c>
      <c r="I4479" s="20" t="s">
        <v>60</v>
      </c>
      <c r="J4479" s="21">
        <v>4.1960038E7</v>
      </c>
      <c r="K4479" s="21">
        <v>0.0</v>
      </c>
    </row>
    <row r="4480">
      <c r="A4480" s="15" t="s">
        <v>74</v>
      </c>
      <c r="B4480" s="16" t="s">
        <v>244</v>
      </c>
      <c r="C4480" s="17" t="s">
        <v>245</v>
      </c>
      <c r="D4480" s="18">
        <v>5.0</v>
      </c>
      <c r="E4480" s="17" t="s">
        <v>22</v>
      </c>
      <c r="F4480" s="15" t="s">
        <v>146</v>
      </c>
      <c r="G4480" s="19">
        <v>9.0042231E7</v>
      </c>
      <c r="H4480" s="15" t="s">
        <v>65</v>
      </c>
      <c r="I4480" s="20" t="s">
        <v>60</v>
      </c>
      <c r="J4480" s="21">
        <v>5.8308696E7</v>
      </c>
      <c r="K4480" s="21">
        <v>0.0</v>
      </c>
    </row>
    <row r="4481">
      <c r="A4481" s="15" t="s">
        <v>74</v>
      </c>
      <c r="B4481" s="16" t="s">
        <v>244</v>
      </c>
      <c r="C4481" s="17" t="s">
        <v>245</v>
      </c>
      <c r="D4481" s="18">
        <v>5.0</v>
      </c>
      <c r="E4481" s="17" t="s">
        <v>22</v>
      </c>
      <c r="F4481" s="15" t="s">
        <v>146</v>
      </c>
      <c r="G4481" s="19">
        <v>9.0042126E7</v>
      </c>
      <c r="H4481" s="15" t="s">
        <v>31</v>
      </c>
      <c r="I4481" s="20" t="s">
        <v>25</v>
      </c>
      <c r="J4481" s="21">
        <v>4.5234724E7</v>
      </c>
      <c r="K4481" s="21">
        <v>0.0</v>
      </c>
    </row>
    <row r="4482">
      <c r="A4482" s="15" t="s">
        <v>74</v>
      </c>
      <c r="B4482" s="16" t="s">
        <v>244</v>
      </c>
      <c r="C4482" s="17" t="s">
        <v>245</v>
      </c>
      <c r="D4482" s="18">
        <v>5.0</v>
      </c>
      <c r="E4482" s="17" t="s">
        <v>22</v>
      </c>
      <c r="F4482" s="15" t="s">
        <v>146</v>
      </c>
      <c r="G4482" s="19">
        <v>9.004212E7</v>
      </c>
      <c r="H4482" s="15" t="s">
        <v>182</v>
      </c>
      <c r="I4482" s="20" t="s">
        <v>25</v>
      </c>
      <c r="J4482" s="21">
        <v>7.6541432E7</v>
      </c>
      <c r="K4482" s="21">
        <v>0.0</v>
      </c>
    </row>
    <row r="4483">
      <c r="A4483" s="15" t="s">
        <v>74</v>
      </c>
      <c r="B4483" s="16" t="s">
        <v>244</v>
      </c>
      <c r="C4483" s="17" t="s">
        <v>245</v>
      </c>
      <c r="D4483" s="18">
        <v>5.0</v>
      </c>
      <c r="E4483" s="17" t="s">
        <v>22</v>
      </c>
      <c r="F4483" s="15" t="s">
        <v>146</v>
      </c>
      <c r="G4483" s="19">
        <v>5.1100005E7</v>
      </c>
      <c r="H4483" s="15" t="s">
        <v>337</v>
      </c>
      <c r="I4483" s="20" t="s">
        <v>37</v>
      </c>
      <c r="J4483" s="21">
        <v>-1.2455897E7</v>
      </c>
      <c r="K4483" s="21">
        <v>534.0</v>
      </c>
    </row>
    <row r="4484">
      <c r="A4484" s="15" t="s">
        <v>74</v>
      </c>
      <c r="B4484" s="16" t="s">
        <v>244</v>
      </c>
      <c r="C4484" s="17" t="s">
        <v>245</v>
      </c>
      <c r="D4484" s="18">
        <v>5.0</v>
      </c>
      <c r="E4484" s="24">
        <v>46097.0</v>
      </c>
      <c r="F4484" s="15" t="s">
        <v>216</v>
      </c>
      <c r="G4484" s="19">
        <v>5.1100153E7</v>
      </c>
      <c r="H4484" s="15" t="s">
        <v>72</v>
      </c>
      <c r="I4484" s="20" t="s">
        <v>17</v>
      </c>
      <c r="J4484" s="21">
        <v>404800.0</v>
      </c>
      <c r="K4484" s="21">
        <v>2.0</v>
      </c>
    </row>
    <row r="4485">
      <c r="A4485" s="15" t="s">
        <v>74</v>
      </c>
      <c r="B4485" s="16" t="s">
        <v>244</v>
      </c>
      <c r="C4485" s="17" t="s">
        <v>245</v>
      </c>
      <c r="D4485" s="18">
        <v>5.0</v>
      </c>
      <c r="E4485" s="24">
        <v>46097.0</v>
      </c>
      <c r="F4485" s="15" t="s">
        <v>216</v>
      </c>
      <c r="G4485" s="19">
        <v>5.1101056E7</v>
      </c>
      <c r="H4485" s="15" t="s">
        <v>16</v>
      </c>
      <c r="I4485" s="20" t="s">
        <v>17</v>
      </c>
      <c r="J4485" s="21">
        <v>666600.0</v>
      </c>
      <c r="K4485" s="21">
        <v>3.0</v>
      </c>
    </row>
    <row r="4486">
      <c r="A4486" s="15" t="s">
        <v>74</v>
      </c>
      <c r="B4486" s="16" t="s">
        <v>244</v>
      </c>
      <c r="C4486" s="17" t="s">
        <v>245</v>
      </c>
      <c r="D4486" s="18">
        <v>5.0</v>
      </c>
      <c r="E4486" s="24">
        <v>46097.0</v>
      </c>
      <c r="F4486" s="15" t="s">
        <v>216</v>
      </c>
      <c r="G4486" s="19">
        <v>9.0043001E7</v>
      </c>
      <c r="H4486" s="15" t="s">
        <v>18</v>
      </c>
      <c r="I4486" s="20" t="s">
        <v>19</v>
      </c>
      <c r="J4486" s="21">
        <v>1097970.0</v>
      </c>
      <c r="K4486" s="21">
        <v>6.0</v>
      </c>
    </row>
    <row r="4487">
      <c r="A4487" s="15" t="s">
        <v>74</v>
      </c>
      <c r="B4487" s="16" t="s">
        <v>244</v>
      </c>
      <c r="C4487" s="17" t="s">
        <v>245</v>
      </c>
      <c r="D4487" s="18">
        <v>5.0</v>
      </c>
      <c r="E4487" s="24">
        <v>46097.0</v>
      </c>
      <c r="F4487" s="15" t="s">
        <v>216</v>
      </c>
      <c r="G4487" s="19">
        <v>9.0043003E7</v>
      </c>
      <c r="H4487" s="15" t="s">
        <v>90</v>
      </c>
      <c r="I4487" s="20" t="s">
        <v>50</v>
      </c>
      <c r="J4487" s="21">
        <v>5010171.0</v>
      </c>
      <c r="K4487" s="21">
        <v>34.0</v>
      </c>
    </row>
    <row r="4488">
      <c r="A4488" s="15" t="s">
        <v>74</v>
      </c>
      <c r="B4488" s="16" t="s">
        <v>244</v>
      </c>
      <c r="C4488" s="17" t="s">
        <v>245</v>
      </c>
      <c r="D4488" s="18">
        <v>5.0</v>
      </c>
      <c r="E4488" s="24">
        <v>46069.0</v>
      </c>
      <c r="F4488" s="15" t="s">
        <v>217</v>
      </c>
      <c r="G4488" s="19">
        <v>5.1100153E7</v>
      </c>
      <c r="H4488" s="15" t="s">
        <v>72</v>
      </c>
      <c r="I4488" s="20" t="s">
        <v>25</v>
      </c>
      <c r="J4488" s="21">
        <v>0.0</v>
      </c>
      <c r="K4488" s="21">
        <v>0.0</v>
      </c>
    </row>
    <row r="4489">
      <c r="A4489" s="15" t="s">
        <v>74</v>
      </c>
      <c r="B4489" s="16" t="s">
        <v>244</v>
      </c>
      <c r="C4489" s="17" t="s">
        <v>245</v>
      </c>
      <c r="D4489" s="18">
        <v>5.0</v>
      </c>
      <c r="E4489" s="24">
        <v>46069.0</v>
      </c>
      <c r="F4489" s="15" t="s">
        <v>217</v>
      </c>
      <c r="G4489" s="19">
        <v>5.1100153E7</v>
      </c>
      <c r="H4489" s="15" t="s">
        <v>72</v>
      </c>
      <c r="I4489" s="20" t="s">
        <v>17</v>
      </c>
      <c r="J4489" s="21">
        <v>3.8811633E7</v>
      </c>
      <c r="K4489" s="21">
        <v>128336.0</v>
      </c>
    </row>
    <row r="4490">
      <c r="A4490" s="15" t="s">
        <v>74</v>
      </c>
      <c r="B4490" s="16" t="s">
        <v>244</v>
      </c>
      <c r="C4490" s="17" t="s">
        <v>245</v>
      </c>
      <c r="D4490" s="18">
        <v>5.0</v>
      </c>
      <c r="E4490" s="17" t="s">
        <v>276</v>
      </c>
      <c r="F4490" s="15" t="s">
        <v>277</v>
      </c>
      <c r="G4490" s="19">
        <v>9.0043001E7</v>
      </c>
      <c r="H4490" s="15" t="s">
        <v>18</v>
      </c>
      <c r="I4490" s="20" t="s">
        <v>19</v>
      </c>
      <c r="J4490" s="21">
        <v>560091.0</v>
      </c>
      <c r="K4490" s="21">
        <v>3.0</v>
      </c>
    </row>
    <row r="4491">
      <c r="A4491" s="15" t="s">
        <v>74</v>
      </c>
      <c r="B4491" s="16" t="s">
        <v>244</v>
      </c>
      <c r="C4491" s="17" t="s">
        <v>245</v>
      </c>
      <c r="D4491" s="18">
        <v>5.0</v>
      </c>
      <c r="E4491" s="17" t="s">
        <v>252</v>
      </c>
      <c r="F4491" s="15" t="s">
        <v>253</v>
      </c>
      <c r="G4491" s="19">
        <v>5.1100153E7</v>
      </c>
      <c r="H4491" s="15" t="s">
        <v>72</v>
      </c>
      <c r="I4491" s="20" t="s">
        <v>17</v>
      </c>
      <c r="J4491" s="21">
        <v>837100.0</v>
      </c>
      <c r="K4491" s="21">
        <v>15.0</v>
      </c>
    </row>
    <row r="4492">
      <c r="A4492" s="15" t="s">
        <v>74</v>
      </c>
      <c r="B4492" s="16" t="s">
        <v>244</v>
      </c>
      <c r="C4492" s="17" t="s">
        <v>245</v>
      </c>
      <c r="D4492" s="18">
        <v>5.0</v>
      </c>
      <c r="E4492" s="17" t="s">
        <v>252</v>
      </c>
      <c r="F4492" s="15" t="s">
        <v>253</v>
      </c>
      <c r="G4492" s="19">
        <v>5.1101056E7</v>
      </c>
      <c r="H4492" s="15" t="s">
        <v>16</v>
      </c>
      <c r="I4492" s="20" t="s">
        <v>17</v>
      </c>
      <c r="J4492" s="21">
        <v>537900.0</v>
      </c>
      <c r="K4492" s="21">
        <v>19.0</v>
      </c>
    </row>
    <row r="4493">
      <c r="A4493" s="15" t="s">
        <v>74</v>
      </c>
      <c r="B4493" s="16" t="s">
        <v>244</v>
      </c>
      <c r="C4493" s="17" t="s">
        <v>245</v>
      </c>
      <c r="D4493" s="18">
        <v>5.0</v>
      </c>
      <c r="E4493" s="24">
        <v>46112.0</v>
      </c>
      <c r="F4493" s="15" t="s">
        <v>351</v>
      </c>
      <c r="G4493" s="19">
        <v>5.1101999E7</v>
      </c>
      <c r="H4493" s="15" t="s">
        <v>107</v>
      </c>
      <c r="I4493" s="20" t="s">
        <v>25</v>
      </c>
      <c r="J4493" s="21">
        <v>0.0</v>
      </c>
      <c r="K4493" s="21">
        <v>0.0</v>
      </c>
    </row>
    <row r="4494">
      <c r="A4494" s="15" t="s">
        <v>74</v>
      </c>
      <c r="B4494" s="16" t="s">
        <v>244</v>
      </c>
      <c r="C4494" s="17" t="s">
        <v>245</v>
      </c>
      <c r="D4494" s="18">
        <v>5.0</v>
      </c>
      <c r="E4494" s="17" t="s">
        <v>373</v>
      </c>
      <c r="F4494" s="15" t="s">
        <v>374</v>
      </c>
      <c r="G4494" s="19">
        <v>9.0043001E7</v>
      </c>
      <c r="H4494" s="15" t="s">
        <v>18</v>
      </c>
      <c r="I4494" s="20" t="s">
        <v>19</v>
      </c>
      <c r="J4494" s="21">
        <v>5891933.0</v>
      </c>
      <c r="K4494" s="21">
        <v>23.0</v>
      </c>
    </row>
    <row r="4495">
      <c r="A4495" s="15" t="s">
        <v>74</v>
      </c>
      <c r="B4495" s="16" t="s">
        <v>244</v>
      </c>
      <c r="C4495" s="17" t="s">
        <v>245</v>
      </c>
      <c r="D4495" s="18">
        <v>5.0</v>
      </c>
      <c r="E4495" s="17" t="s">
        <v>373</v>
      </c>
      <c r="F4495" s="15" t="s">
        <v>374</v>
      </c>
      <c r="G4495" s="19">
        <v>9.0043E7</v>
      </c>
      <c r="H4495" s="15" t="s">
        <v>83</v>
      </c>
      <c r="I4495" s="20" t="s">
        <v>19</v>
      </c>
      <c r="J4495" s="21">
        <v>6563964.0</v>
      </c>
      <c r="K4495" s="21">
        <v>22.0</v>
      </c>
    </row>
    <row r="4496">
      <c r="A4496" s="15" t="s">
        <v>74</v>
      </c>
      <c r="B4496" s="16" t="s">
        <v>244</v>
      </c>
      <c r="C4496" s="17" t="s">
        <v>245</v>
      </c>
      <c r="D4496" s="18">
        <v>5.0</v>
      </c>
      <c r="E4496" s="24">
        <v>46173.0</v>
      </c>
      <c r="F4496" s="15" t="s">
        <v>399</v>
      </c>
      <c r="G4496" s="19">
        <v>5.1100058E7</v>
      </c>
      <c r="H4496" s="15" t="s">
        <v>36</v>
      </c>
      <c r="I4496" s="20" t="s">
        <v>37</v>
      </c>
      <c r="J4496" s="21">
        <v>0.0</v>
      </c>
      <c r="K4496" s="21">
        <v>0.0</v>
      </c>
    </row>
    <row r="4497">
      <c r="A4497" s="15" t="s">
        <v>74</v>
      </c>
      <c r="B4497" s="16" t="s">
        <v>244</v>
      </c>
      <c r="C4497" s="17" t="s">
        <v>245</v>
      </c>
      <c r="D4497" s="18">
        <v>5.0</v>
      </c>
      <c r="E4497" s="24">
        <v>46173.0</v>
      </c>
      <c r="F4497" s="15" t="s">
        <v>399</v>
      </c>
      <c r="G4497" s="19">
        <v>5.1101999E7</v>
      </c>
      <c r="H4497" s="15" t="s">
        <v>107</v>
      </c>
      <c r="I4497" s="20" t="s">
        <v>25</v>
      </c>
      <c r="J4497" s="21">
        <v>0.0</v>
      </c>
      <c r="K4497" s="21">
        <v>0.0</v>
      </c>
    </row>
    <row r="4498">
      <c r="A4498" s="15" t="s">
        <v>74</v>
      </c>
      <c r="B4498" s="16" t="s">
        <v>244</v>
      </c>
      <c r="C4498" s="17" t="s">
        <v>245</v>
      </c>
      <c r="D4498" s="18">
        <v>5.0</v>
      </c>
      <c r="E4498" s="24">
        <v>46138.0</v>
      </c>
      <c r="F4498" s="15" t="s">
        <v>402</v>
      </c>
      <c r="G4498" s="19">
        <v>5.1101999E7</v>
      </c>
      <c r="H4498" s="15" t="s">
        <v>107</v>
      </c>
      <c r="I4498" s="20" t="s">
        <v>25</v>
      </c>
      <c r="J4498" s="21">
        <v>0.0</v>
      </c>
      <c r="K4498" s="21">
        <v>0.0</v>
      </c>
    </row>
    <row r="4499">
      <c r="A4499" s="15" t="s">
        <v>74</v>
      </c>
      <c r="B4499" s="16" t="s">
        <v>244</v>
      </c>
      <c r="C4499" s="17" t="s">
        <v>245</v>
      </c>
      <c r="D4499" s="18">
        <v>5.0</v>
      </c>
      <c r="E4499" s="17" t="s">
        <v>403</v>
      </c>
      <c r="F4499" s="15" t="s">
        <v>404</v>
      </c>
      <c r="G4499" s="19">
        <v>9.0043001E7</v>
      </c>
      <c r="H4499" s="15" t="s">
        <v>18</v>
      </c>
      <c r="I4499" s="20" t="s">
        <v>19</v>
      </c>
      <c r="J4499" s="21">
        <v>0.0</v>
      </c>
      <c r="K4499" s="21">
        <v>0.0</v>
      </c>
    </row>
    <row r="4500">
      <c r="A4500" s="15" t="s">
        <v>74</v>
      </c>
      <c r="B4500" s="16" t="s">
        <v>254</v>
      </c>
      <c r="C4500" s="17" t="s">
        <v>255</v>
      </c>
      <c r="D4500" s="18">
        <v>5.0</v>
      </c>
      <c r="E4500" s="24">
        <v>46038.0</v>
      </c>
      <c r="F4500" s="15" t="s">
        <v>150</v>
      </c>
      <c r="G4500" s="19">
        <v>9.0043001E7</v>
      </c>
      <c r="H4500" s="15" t="s">
        <v>18</v>
      </c>
      <c r="I4500" s="20" t="s">
        <v>19</v>
      </c>
      <c r="J4500" s="21">
        <v>8.5198642E7</v>
      </c>
      <c r="K4500" s="21">
        <v>415.0</v>
      </c>
    </row>
    <row r="4501">
      <c r="A4501" s="15" t="s">
        <v>74</v>
      </c>
      <c r="B4501" s="16" t="s">
        <v>254</v>
      </c>
      <c r="C4501" s="17" t="s">
        <v>255</v>
      </c>
      <c r="D4501" s="18">
        <v>5.0</v>
      </c>
      <c r="E4501" s="24">
        <v>46158.0</v>
      </c>
      <c r="F4501" s="15" t="s">
        <v>151</v>
      </c>
      <c r="G4501" s="19">
        <v>9.0043001E7</v>
      </c>
      <c r="H4501" s="15" t="s">
        <v>18</v>
      </c>
      <c r="I4501" s="20" t="s">
        <v>19</v>
      </c>
      <c r="J4501" s="21">
        <v>936420.0</v>
      </c>
      <c r="K4501" s="21">
        <v>5.0</v>
      </c>
    </row>
    <row r="4502">
      <c r="A4502" s="15" t="s">
        <v>74</v>
      </c>
      <c r="B4502" s="16" t="s">
        <v>254</v>
      </c>
      <c r="C4502" s="17" t="s">
        <v>255</v>
      </c>
      <c r="D4502" s="18">
        <v>5.0</v>
      </c>
      <c r="E4502" s="17" t="s">
        <v>77</v>
      </c>
      <c r="F4502" s="15" t="s">
        <v>78</v>
      </c>
      <c r="G4502" s="19">
        <v>9.0043001E7</v>
      </c>
      <c r="H4502" s="15" t="s">
        <v>18</v>
      </c>
      <c r="I4502" s="20" t="s">
        <v>19</v>
      </c>
      <c r="J4502" s="21">
        <v>430334.0</v>
      </c>
      <c r="K4502" s="21">
        <v>2.0</v>
      </c>
    </row>
    <row r="4503">
      <c r="A4503" s="15" t="s">
        <v>74</v>
      </c>
      <c r="B4503" s="16" t="s">
        <v>254</v>
      </c>
      <c r="C4503" s="17" t="s">
        <v>255</v>
      </c>
      <c r="D4503" s="18">
        <v>5.0</v>
      </c>
      <c r="E4503" s="17" t="s">
        <v>84</v>
      </c>
      <c r="F4503" s="15" t="s">
        <v>85</v>
      </c>
      <c r="G4503" s="19">
        <v>9.0043001E7</v>
      </c>
      <c r="H4503" s="15" t="s">
        <v>18</v>
      </c>
      <c r="I4503" s="20" t="s">
        <v>19</v>
      </c>
      <c r="J4503" s="21">
        <v>1.1090812E7</v>
      </c>
      <c r="K4503" s="21">
        <v>63.0</v>
      </c>
    </row>
    <row r="4504">
      <c r="A4504" s="15" t="s">
        <v>74</v>
      </c>
      <c r="B4504" s="16" t="s">
        <v>254</v>
      </c>
      <c r="C4504" s="17" t="s">
        <v>255</v>
      </c>
      <c r="D4504" s="18">
        <v>5.0</v>
      </c>
      <c r="E4504" s="17" t="s">
        <v>86</v>
      </c>
      <c r="F4504" s="15" t="s">
        <v>87</v>
      </c>
      <c r="G4504" s="19">
        <v>9.0043001E7</v>
      </c>
      <c r="H4504" s="15" t="s">
        <v>18</v>
      </c>
      <c r="I4504" s="20" t="s">
        <v>19</v>
      </c>
      <c r="J4504" s="21">
        <v>2.6410676E7</v>
      </c>
      <c r="K4504" s="21">
        <v>130.0</v>
      </c>
    </row>
    <row r="4505">
      <c r="A4505" s="15" t="s">
        <v>74</v>
      </c>
      <c r="B4505" s="16" t="s">
        <v>254</v>
      </c>
      <c r="C4505" s="17" t="s">
        <v>255</v>
      </c>
      <c r="D4505" s="18">
        <v>5.0</v>
      </c>
      <c r="E4505" s="17" t="s">
        <v>154</v>
      </c>
      <c r="F4505" s="15" t="s">
        <v>155</v>
      </c>
      <c r="G4505" s="19">
        <v>9.0043002E7</v>
      </c>
      <c r="H4505" s="15" t="s">
        <v>49</v>
      </c>
      <c r="I4505" s="20" t="s">
        <v>50</v>
      </c>
      <c r="J4505" s="21">
        <v>9.4508929E7</v>
      </c>
      <c r="K4505" s="21">
        <v>7370.0</v>
      </c>
    </row>
    <row r="4506">
      <c r="A4506" s="15" t="s">
        <v>74</v>
      </c>
      <c r="B4506" s="16" t="s">
        <v>254</v>
      </c>
      <c r="C4506" s="17" t="s">
        <v>255</v>
      </c>
      <c r="D4506" s="18">
        <v>5.0</v>
      </c>
      <c r="E4506" s="17" t="s">
        <v>154</v>
      </c>
      <c r="F4506" s="15" t="s">
        <v>155</v>
      </c>
      <c r="G4506" s="19">
        <v>9.0043003E7</v>
      </c>
      <c r="H4506" s="15" t="s">
        <v>90</v>
      </c>
      <c r="I4506" s="20" t="s">
        <v>50</v>
      </c>
      <c r="J4506" s="21">
        <v>4.037506E7</v>
      </c>
      <c r="K4506" s="21">
        <v>272.0</v>
      </c>
    </row>
    <row r="4507">
      <c r="A4507" s="15" t="s">
        <v>74</v>
      </c>
      <c r="B4507" s="16" t="s">
        <v>254</v>
      </c>
      <c r="C4507" s="17" t="s">
        <v>255</v>
      </c>
      <c r="D4507" s="18">
        <v>5.0</v>
      </c>
      <c r="E4507" s="17" t="s">
        <v>95</v>
      </c>
      <c r="F4507" s="15" t="s">
        <v>96</v>
      </c>
      <c r="G4507" s="19">
        <v>5.1100058E7</v>
      </c>
      <c r="H4507" s="15" t="s">
        <v>36</v>
      </c>
      <c r="I4507" s="20" t="s">
        <v>37</v>
      </c>
      <c r="J4507" s="21">
        <v>2.7710186E7</v>
      </c>
      <c r="K4507" s="21">
        <v>375.43</v>
      </c>
    </row>
    <row r="4508">
      <c r="A4508" s="15" t="s">
        <v>74</v>
      </c>
      <c r="B4508" s="16" t="s">
        <v>254</v>
      </c>
      <c r="C4508" s="17" t="s">
        <v>255</v>
      </c>
      <c r="D4508" s="18">
        <v>5.0</v>
      </c>
      <c r="E4508" s="17" t="s">
        <v>95</v>
      </c>
      <c r="F4508" s="15" t="s">
        <v>96</v>
      </c>
      <c r="G4508" s="19">
        <v>5.1100061E7</v>
      </c>
      <c r="H4508" s="15" t="s">
        <v>42</v>
      </c>
      <c r="I4508" s="20" t="s">
        <v>37</v>
      </c>
      <c r="J4508" s="21">
        <v>78010.0</v>
      </c>
      <c r="K4508" s="21">
        <v>1.91</v>
      </c>
    </row>
    <row r="4509">
      <c r="A4509" s="15" t="s">
        <v>74</v>
      </c>
      <c r="B4509" s="16" t="s">
        <v>254</v>
      </c>
      <c r="C4509" s="17" t="s">
        <v>255</v>
      </c>
      <c r="D4509" s="18">
        <v>5.0</v>
      </c>
      <c r="E4509" s="17" t="s">
        <v>95</v>
      </c>
      <c r="F4509" s="15" t="s">
        <v>96</v>
      </c>
      <c r="G4509" s="19">
        <v>5.1100651E7</v>
      </c>
      <c r="H4509" s="15" t="s">
        <v>38</v>
      </c>
      <c r="I4509" s="20" t="s">
        <v>17</v>
      </c>
      <c r="J4509" s="21">
        <v>6168600.0</v>
      </c>
      <c r="K4509" s="21">
        <v>89.4</v>
      </c>
    </row>
    <row r="4510">
      <c r="A4510" s="15" t="s">
        <v>74</v>
      </c>
      <c r="B4510" s="16" t="s">
        <v>254</v>
      </c>
      <c r="C4510" s="17" t="s">
        <v>255</v>
      </c>
      <c r="D4510" s="18">
        <v>5.0</v>
      </c>
      <c r="E4510" s="17" t="s">
        <v>95</v>
      </c>
      <c r="F4510" s="15" t="s">
        <v>96</v>
      </c>
      <c r="G4510" s="19">
        <v>9.0043001E7</v>
      </c>
      <c r="H4510" s="15" t="s">
        <v>18</v>
      </c>
      <c r="I4510" s="20" t="s">
        <v>19</v>
      </c>
      <c r="J4510" s="21">
        <v>6.1022123E7</v>
      </c>
      <c r="K4510" s="21">
        <v>348.0</v>
      </c>
    </row>
    <row r="4511">
      <c r="A4511" s="15" t="s">
        <v>74</v>
      </c>
      <c r="B4511" s="16" t="s">
        <v>254</v>
      </c>
      <c r="C4511" s="17" t="s">
        <v>255</v>
      </c>
      <c r="D4511" s="18">
        <v>5.0</v>
      </c>
      <c r="E4511" s="17" t="s">
        <v>101</v>
      </c>
      <c r="F4511" s="15" t="s">
        <v>102</v>
      </c>
      <c r="G4511" s="19">
        <v>9.0043001E7</v>
      </c>
      <c r="H4511" s="15" t="s">
        <v>18</v>
      </c>
      <c r="I4511" s="20" t="s">
        <v>19</v>
      </c>
      <c r="J4511" s="21">
        <v>1167348.0</v>
      </c>
      <c r="K4511" s="21">
        <v>7.0</v>
      </c>
    </row>
    <row r="4512">
      <c r="A4512" s="15" t="s">
        <v>74</v>
      </c>
      <c r="B4512" s="16" t="s">
        <v>254</v>
      </c>
      <c r="C4512" s="17" t="s">
        <v>255</v>
      </c>
      <c r="D4512" s="18">
        <v>5.0</v>
      </c>
      <c r="E4512" s="17" t="s">
        <v>103</v>
      </c>
      <c r="F4512" s="15" t="s">
        <v>104</v>
      </c>
      <c r="G4512" s="19">
        <v>5.1100058E7</v>
      </c>
      <c r="H4512" s="15" t="s">
        <v>36</v>
      </c>
      <c r="I4512" s="20" t="s">
        <v>37</v>
      </c>
      <c r="J4512" s="21">
        <v>2.3328596E7</v>
      </c>
      <c r="K4512" s="21">
        <v>216.021</v>
      </c>
    </row>
    <row r="4513">
      <c r="A4513" s="15" t="s">
        <v>74</v>
      </c>
      <c r="B4513" s="16" t="s">
        <v>254</v>
      </c>
      <c r="C4513" s="17" t="s">
        <v>255</v>
      </c>
      <c r="D4513" s="18">
        <v>5.0</v>
      </c>
      <c r="E4513" s="17" t="s">
        <v>103</v>
      </c>
      <c r="F4513" s="15" t="s">
        <v>104</v>
      </c>
      <c r="G4513" s="19">
        <v>5.1100061E7</v>
      </c>
      <c r="H4513" s="15" t="s">
        <v>42</v>
      </c>
      <c r="I4513" s="20" t="s">
        <v>37</v>
      </c>
      <c r="J4513" s="21">
        <v>163371.0</v>
      </c>
      <c r="K4513" s="21">
        <v>4.0</v>
      </c>
    </row>
    <row r="4514">
      <c r="A4514" s="15" t="s">
        <v>74</v>
      </c>
      <c r="B4514" s="16" t="s">
        <v>254</v>
      </c>
      <c r="C4514" s="17" t="s">
        <v>255</v>
      </c>
      <c r="D4514" s="18">
        <v>5.0</v>
      </c>
      <c r="E4514" s="17" t="s">
        <v>103</v>
      </c>
      <c r="F4514" s="15" t="s">
        <v>104</v>
      </c>
      <c r="G4514" s="19">
        <v>9.0043001E7</v>
      </c>
      <c r="H4514" s="15" t="s">
        <v>18</v>
      </c>
      <c r="I4514" s="20" t="s">
        <v>19</v>
      </c>
      <c r="J4514" s="21">
        <v>1170002.0</v>
      </c>
      <c r="K4514" s="21">
        <v>7.0</v>
      </c>
    </row>
    <row r="4515">
      <c r="A4515" s="15" t="s">
        <v>74</v>
      </c>
      <c r="B4515" s="16" t="s">
        <v>254</v>
      </c>
      <c r="C4515" s="17" t="s">
        <v>255</v>
      </c>
      <c r="D4515" s="18">
        <v>5.0</v>
      </c>
      <c r="E4515" s="17" t="s">
        <v>205</v>
      </c>
      <c r="F4515" s="15" t="s">
        <v>206</v>
      </c>
      <c r="G4515" s="19">
        <v>5.1100651E7</v>
      </c>
      <c r="H4515" s="15" t="s">
        <v>38</v>
      </c>
      <c r="I4515" s="20" t="s">
        <v>17</v>
      </c>
      <c r="J4515" s="21">
        <v>1.776735E7</v>
      </c>
      <c r="K4515" s="21">
        <v>96.3</v>
      </c>
    </row>
    <row r="4516">
      <c r="A4516" s="15" t="s">
        <v>74</v>
      </c>
      <c r="B4516" s="16" t="s">
        <v>254</v>
      </c>
      <c r="C4516" s="17" t="s">
        <v>255</v>
      </c>
      <c r="D4516" s="18">
        <v>5.0</v>
      </c>
      <c r="E4516" s="17" t="s">
        <v>112</v>
      </c>
      <c r="F4516" s="15" t="s">
        <v>113</v>
      </c>
      <c r="G4516" s="19">
        <v>9.0043001E7</v>
      </c>
      <c r="H4516" s="15" t="s">
        <v>18</v>
      </c>
      <c r="I4516" s="20" t="s">
        <v>19</v>
      </c>
      <c r="J4516" s="21">
        <v>5532406.0</v>
      </c>
      <c r="K4516" s="21">
        <v>33.0</v>
      </c>
    </row>
    <row r="4517">
      <c r="A4517" s="15" t="s">
        <v>74</v>
      </c>
      <c r="B4517" s="16" t="s">
        <v>254</v>
      </c>
      <c r="C4517" s="17" t="s">
        <v>255</v>
      </c>
      <c r="D4517" s="18">
        <v>5.0</v>
      </c>
      <c r="E4517" s="17" t="s">
        <v>209</v>
      </c>
      <c r="F4517" s="15" t="s">
        <v>210</v>
      </c>
      <c r="G4517" s="19">
        <v>5.1100058E7</v>
      </c>
      <c r="H4517" s="15" t="s">
        <v>36</v>
      </c>
      <c r="I4517" s="20" t="s">
        <v>37</v>
      </c>
      <c r="J4517" s="21">
        <v>9.501786E7</v>
      </c>
      <c r="K4517" s="21">
        <v>17010.0</v>
      </c>
    </row>
    <row r="4518">
      <c r="A4518" s="15" t="s">
        <v>74</v>
      </c>
      <c r="B4518" s="16" t="s">
        <v>254</v>
      </c>
      <c r="C4518" s="17" t="s">
        <v>255</v>
      </c>
      <c r="D4518" s="18">
        <v>5.0</v>
      </c>
      <c r="E4518" s="17" t="s">
        <v>209</v>
      </c>
      <c r="F4518" s="15" t="s">
        <v>210</v>
      </c>
      <c r="G4518" s="19">
        <v>9.0043001E7</v>
      </c>
      <c r="H4518" s="15" t="s">
        <v>18</v>
      </c>
      <c r="I4518" s="20" t="s">
        <v>19</v>
      </c>
      <c r="J4518" s="21">
        <v>166764.0</v>
      </c>
      <c r="K4518" s="21">
        <v>1.0</v>
      </c>
    </row>
    <row r="4519">
      <c r="A4519" s="15" t="s">
        <v>74</v>
      </c>
      <c r="B4519" s="16" t="s">
        <v>254</v>
      </c>
      <c r="C4519" s="17" t="s">
        <v>255</v>
      </c>
      <c r="D4519" s="18">
        <v>5.0</v>
      </c>
      <c r="E4519" s="17" t="s">
        <v>175</v>
      </c>
      <c r="F4519" s="15" t="s">
        <v>176</v>
      </c>
      <c r="G4519" s="19">
        <v>9.0043002E7</v>
      </c>
      <c r="H4519" s="15" t="s">
        <v>49</v>
      </c>
      <c r="I4519" s="20" t="s">
        <v>50</v>
      </c>
      <c r="J4519" s="21">
        <v>7142497.0</v>
      </c>
      <c r="K4519" s="21">
        <v>635.0</v>
      </c>
    </row>
    <row r="4520">
      <c r="A4520" s="15" t="s">
        <v>74</v>
      </c>
      <c r="B4520" s="16" t="s">
        <v>254</v>
      </c>
      <c r="C4520" s="17" t="s">
        <v>255</v>
      </c>
      <c r="D4520" s="18">
        <v>5.0</v>
      </c>
      <c r="E4520" s="17" t="s">
        <v>117</v>
      </c>
      <c r="F4520" s="15" t="s">
        <v>118</v>
      </c>
      <c r="G4520" s="19">
        <v>9.0043001E7</v>
      </c>
      <c r="H4520" s="15" t="s">
        <v>18</v>
      </c>
      <c r="I4520" s="20" t="s">
        <v>19</v>
      </c>
      <c r="J4520" s="21">
        <v>9521858.0</v>
      </c>
      <c r="K4520" s="21">
        <v>58.0</v>
      </c>
    </row>
    <row r="4521">
      <c r="A4521" s="15" t="s">
        <v>74</v>
      </c>
      <c r="B4521" s="16" t="s">
        <v>254</v>
      </c>
      <c r="C4521" s="17" t="s">
        <v>255</v>
      </c>
      <c r="D4521" s="18">
        <v>5.0</v>
      </c>
      <c r="E4521" s="17" t="s">
        <v>125</v>
      </c>
      <c r="F4521" s="15" t="s">
        <v>126</v>
      </c>
      <c r="G4521" s="19">
        <v>5.1101056E7</v>
      </c>
      <c r="H4521" s="15" t="s">
        <v>16</v>
      </c>
      <c r="I4521" s="20" t="s">
        <v>17</v>
      </c>
      <c r="J4521" s="21">
        <v>349800.0</v>
      </c>
      <c r="K4521" s="21">
        <v>3180.0</v>
      </c>
    </row>
    <row r="4522">
      <c r="A4522" s="15" t="s">
        <v>74</v>
      </c>
      <c r="B4522" s="16" t="s">
        <v>254</v>
      </c>
      <c r="C4522" s="17" t="s">
        <v>255</v>
      </c>
      <c r="D4522" s="18">
        <v>5.0</v>
      </c>
      <c r="E4522" s="17" t="s">
        <v>125</v>
      </c>
      <c r="F4522" s="15" t="s">
        <v>126</v>
      </c>
      <c r="G4522" s="19">
        <v>9.0043001E7</v>
      </c>
      <c r="H4522" s="15" t="s">
        <v>18</v>
      </c>
      <c r="I4522" s="20" t="s">
        <v>19</v>
      </c>
      <c r="J4522" s="21">
        <v>1.77795143E8</v>
      </c>
      <c r="K4522" s="21">
        <v>992.0</v>
      </c>
    </row>
    <row r="4523">
      <c r="A4523" s="15" t="s">
        <v>74</v>
      </c>
      <c r="B4523" s="16" t="s">
        <v>254</v>
      </c>
      <c r="C4523" s="17" t="s">
        <v>255</v>
      </c>
      <c r="D4523" s="18">
        <v>5.0</v>
      </c>
      <c r="E4523" s="17" t="s">
        <v>127</v>
      </c>
      <c r="F4523" s="15" t="s">
        <v>128</v>
      </c>
      <c r="G4523" s="19">
        <v>5.1100153E7</v>
      </c>
      <c r="H4523" s="15" t="s">
        <v>72</v>
      </c>
      <c r="I4523" s="20" t="s">
        <v>17</v>
      </c>
      <c r="J4523" s="21">
        <v>1.73340884E8</v>
      </c>
      <c r="K4523" s="21">
        <v>979810.0</v>
      </c>
    </row>
    <row r="4524">
      <c r="A4524" s="15" t="s">
        <v>74</v>
      </c>
      <c r="B4524" s="16" t="s">
        <v>254</v>
      </c>
      <c r="C4524" s="17" t="s">
        <v>255</v>
      </c>
      <c r="D4524" s="18">
        <v>5.0</v>
      </c>
      <c r="E4524" s="17" t="s">
        <v>127</v>
      </c>
      <c r="F4524" s="15" t="s">
        <v>128</v>
      </c>
      <c r="G4524" s="19">
        <v>9.0043002E7</v>
      </c>
      <c r="H4524" s="15" t="s">
        <v>49</v>
      </c>
      <c r="I4524" s="20" t="s">
        <v>50</v>
      </c>
      <c r="J4524" s="21">
        <v>2.8418816E7</v>
      </c>
      <c r="K4524" s="21">
        <v>2798.0</v>
      </c>
    </row>
    <row r="4525">
      <c r="A4525" s="15" t="s">
        <v>74</v>
      </c>
      <c r="B4525" s="16" t="s">
        <v>254</v>
      </c>
      <c r="C4525" s="17" t="s">
        <v>255</v>
      </c>
      <c r="D4525" s="18">
        <v>5.0</v>
      </c>
      <c r="E4525" s="17" t="s">
        <v>129</v>
      </c>
      <c r="F4525" s="15" t="s">
        <v>130</v>
      </c>
      <c r="G4525" s="19">
        <v>5.1101056E7</v>
      </c>
      <c r="H4525" s="15" t="s">
        <v>16</v>
      </c>
      <c r="I4525" s="20" t="s">
        <v>17</v>
      </c>
      <c r="J4525" s="21">
        <v>2.371226E7</v>
      </c>
      <c r="K4525" s="21">
        <v>215566.0</v>
      </c>
    </row>
    <row r="4526">
      <c r="A4526" s="15" t="s">
        <v>74</v>
      </c>
      <c r="B4526" s="16" t="s">
        <v>254</v>
      </c>
      <c r="C4526" s="17" t="s">
        <v>255</v>
      </c>
      <c r="D4526" s="18">
        <v>5.0</v>
      </c>
      <c r="E4526" s="17" t="s">
        <v>129</v>
      </c>
      <c r="F4526" s="15" t="s">
        <v>130</v>
      </c>
      <c r="G4526" s="19">
        <v>9.0043003E7</v>
      </c>
      <c r="H4526" s="15" t="s">
        <v>90</v>
      </c>
      <c r="I4526" s="20" t="s">
        <v>50</v>
      </c>
      <c r="J4526" s="21">
        <v>9.6399162E7</v>
      </c>
      <c r="K4526" s="21">
        <v>653.0</v>
      </c>
    </row>
    <row r="4527">
      <c r="A4527" s="15" t="s">
        <v>74</v>
      </c>
      <c r="B4527" s="16" t="s">
        <v>254</v>
      </c>
      <c r="C4527" s="17" t="s">
        <v>255</v>
      </c>
      <c r="D4527" s="18">
        <v>5.0</v>
      </c>
      <c r="E4527" s="17" t="s">
        <v>135</v>
      </c>
      <c r="F4527" s="15" t="s">
        <v>136</v>
      </c>
      <c r="G4527" s="19">
        <v>9.0043001E7</v>
      </c>
      <c r="H4527" s="15" t="s">
        <v>18</v>
      </c>
      <c r="I4527" s="20" t="s">
        <v>19</v>
      </c>
      <c r="J4527" s="21">
        <v>1.23777E7</v>
      </c>
      <c r="K4527" s="21">
        <v>78.0</v>
      </c>
    </row>
    <row r="4528">
      <c r="A4528" s="15" t="s">
        <v>74</v>
      </c>
      <c r="B4528" s="16" t="s">
        <v>254</v>
      </c>
      <c r="C4528" s="17" t="s">
        <v>255</v>
      </c>
      <c r="D4528" s="18">
        <v>5.0</v>
      </c>
      <c r="E4528" s="17" t="s">
        <v>162</v>
      </c>
      <c r="F4528" s="15" t="s">
        <v>163</v>
      </c>
      <c r="G4528" s="19">
        <v>9.0043001E7</v>
      </c>
      <c r="H4528" s="15" t="s">
        <v>18</v>
      </c>
      <c r="I4528" s="20" t="s">
        <v>19</v>
      </c>
      <c r="J4528" s="21">
        <v>1.2803433E7</v>
      </c>
      <c r="K4528" s="21">
        <v>59.0</v>
      </c>
    </row>
    <row r="4529">
      <c r="A4529" s="15" t="s">
        <v>74</v>
      </c>
      <c r="B4529" s="16" t="s">
        <v>254</v>
      </c>
      <c r="C4529" s="17" t="s">
        <v>255</v>
      </c>
      <c r="D4529" s="18">
        <v>5.0</v>
      </c>
      <c r="E4529" s="17" t="s">
        <v>54</v>
      </c>
      <c r="F4529" s="15" t="s">
        <v>139</v>
      </c>
      <c r="G4529" s="19">
        <v>9.0042011E7</v>
      </c>
      <c r="H4529" s="15" t="s">
        <v>55</v>
      </c>
      <c r="I4529" s="20" t="s">
        <v>19</v>
      </c>
      <c r="J4529" s="21">
        <v>3.62886686E8</v>
      </c>
      <c r="K4529" s="21">
        <v>0.0</v>
      </c>
    </row>
    <row r="4530">
      <c r="A4530" s="15" t="s">
        <v>74</v>
      </c>
      <c r="B4530" s="16" t="s">
        <v>254</v>
      </c>
      <c r="C4530" s="17" t="s">
        <v>255</v>
      </c>
      <c r="D4530" s="18">
        <v>5.0</v>
      </c>
      <c r="E4530" s="17" t="s">
        <v>20</v>
      </c>
      <c r="F4530" s="15" t="s">
        <v>140</v>
      </c>
      <c r="G4530" s="19">
        <v>9.0042014E7</v>
      </c>
      <c r="H4530" s="15" t="s">
        <v>21</v>
      </c>
      <c r="I4530" s="20" t="s">
        <v>19</v>
      </c>
      <c r="J4530" s="21">
        <v>4.19740014E8</v>
      </c>
      <c r="K4530" s="21">
        <v>0.0</v>
      </c>
    </row>
    <row r="4531">
      <c r="A4531" s="15" t="s">
        <v>74</v>
      </c>
      <c r="B4531" s="16" t="s">
        <v>254</v>
      </c>
      <c r="C4531" s="17" t="s">
        <v>255</v>
      </c>
      <c r="D4531" s="18">
        <v>5.0</v>
      </c>
      <c r="E4531" s="17" t="s">
        <v>20</v>
      </c>
      <c r="F4531" s="15" t="s">
        <v>140</v>
      </c>
      <c r="G4531" s="19">
        <v>9.0042077E7</v>
      </c>
      <c r="H4531" s="15" t="s">
        <v>141</v>
      </c>
      <c r="I4531" s="20" t="s">
        <v>19</v>
      </c>
      <c r="J4531" s="21">
        <v>1.21939547E8</v>
      </c>
      <c r="K4531" s="21">
        <v>0.0</v>
      </c>
    </row>
    <row r="4532">
      <c r="A4532" s="15" t="s">
        <v>74</v>
      </c>
      <c r="B4532" s="16" t="s">
        <v>254</v>
      </c>
      <c r="C4532" s="17" t="s">
        <v>255</v>
      </c>
      <c r="D4532" s="18">
        <v>5.0</v>
      </c>
      <c r="E4532" s="17" t="s">
        <v>142</v>
      </c>
      <c r="F4532" s="15" t="s">
        <v>143</v>
      </c>
      <c r="G4532" s="19">
        <v>9.0042084E7</v>
      </c>
      <c r="H4532" s="15" t="s">
        <v>145</v>
      </c>
      <c r="I4532" s="20" t="s">
        <v>19</v>
      </c>
      <c r="J4532" s="21">
        <v>1.7524677E7</v>
      </c>
      <c r="K4532" s="21">
        <v>0.0</v>
      </c>
    </row>
    <row r="4533">
      <c r="A4533" s="15" t="s">
        <v>74</v>
      </c>
      <c r="B4533" s="16" t="s">
        <v>254</v>
      </c>
      <c r="C4533" s="17" t="s">
        <v>255</v>
      </c>
      <c r="D4533" s="18">
        <v>5.0</v>
      </c>
      <c r="E4533" s="17" t="s">
        <v>22</v>
      </c>
      <c r="F4533" s="15" t="s">
        <v>146</v>
      </c>
      <c r="G4533" s="19">
        <v>9.0042012E7</v>
      </c>
      <c r="H4533" s="15" t="s">
        <v>23</v>
      </c>
      <c r="I4533" s="20" t="s">
        <v>19</v>
      </c>
      <c r="J4533" s="21">
        <v>1.16499748E8</v>
      </c>
      <c r="K4533" s="21">
        <v>0.0</v>
      </c>
    </row>
    <row r="4534">
      <c r="A4534" s="15" t="s">
        <v>74</v>
      </c>
      <c r="B4534" s="16" t="s">
        <v>254</v>
      </c>
      <c r="C4534" s="17" t="s">
        <v>255</v>
      </c>
      <c r="D4534" s="18">
        <v>5.0</v>
      </c>
      <c r="E4534" s="17" t="s">
        <v>22</v>
      </c>
      <c r="F4534" s="15" t="s">
        <v>146</v>
      </c>
      <c r="G4534" s="19">
        <v>9.0042121E7</v>
      </c>
      <c r="H4534" s="15" t="s">
        <v>24</v>
      </c>
      <c r="I4534" s="20" t="s">
        <v>25</v>
      </c>
      <c r="J4534" s="21">
        <v>3.11604332E8</v>
      </c>
      <c r="K4534" s="21">
        <v>0.0</v>
      </c>
    </row>
    <row r="4535">
      <c r="A4535" s="15" t="s">
        <v>74</v>
      </c>
      <c r="B4535" s="16" t="s">
        <v>254</v>
      </c>
      <c r="C4535" s="17" t="s">
        <v>255</v>
      </c>
      <c r="D4535" s="18">
        <v>5.0</v>
      </c>
      <c r="E4535" s="17" t="s">
        <v>22</v>
      </c>
      <c r="F4535" s="15" t="s">
        <v>146</v>
      </c>
      <c r="G4535" s="19">
        <v>9.0042122E7</v>
      </c>
      <c r="H4535" s="15" t="s">
        <v>56</v>
      </c>
      <c r="I4535" s="20" t="s">
        <v>25</v>
      </c>
      <c r="J4535" s="21">
        <v>5.5841258E7</v>
      </c>
      <c r="K4535" s="21">
        <v>0.0</v>
      </c>
    </row>
    <row r="4536">
      <c r="A4536" s="15" t="s">
        <v>74</v>
      </c>
      <c r="B4536" s="16" t="s">
        <v>254</v>
      </c>
      <c r="C4536" s="17" t="s">
        <v>255</v>
      </c>
      <c r="D4536" s="18">
        <v>5.0</v>
      </c>
      <c r="E4536" s="17" t="s">
        <v>22</v>
      </c>
      <c r="F4536" s="15" t="s">
        <v>146</v>
      </c>
      <c r="G4536" s="19">
        <v>9.0042124E7</v>
      </c>
      <c r="H4536" s="15" t="s">
        <v>57</v>
      </c>
      <c r="I4536" s="20" t="s">
        <v>25</v>
      </c>
      <c r="J4536" s="21">
        <v>1.4739167E7</v>
      </c>
      <c r="K4536" s="21">
        <v>0.0</v>
      </c>
    </row>
    <row r="4537">
      <c r="A4537" s="15" t="s">
        <v>74</v>
      </c>
      <c r="B4537" s="16" t="s">
        <v>254</v>
      </c>
      <c r="C4537" s="17" t="s">
        <v>255</v>
      </c>
      <c r="D4537" s="18">
        <v>5.0</v>
      </c>
      <c r="E4537" s="17" t="s">
        <v>22</v>
      </c>
      <c r="F4537" s="15" t="s">
        <v>146</v>
      </c>
      <c r="G4537" s="19">
        <v>9.0042125E7</v>
      </c>
      <c r="H4537" s="15" t="s">
        <v>26</v>
      </c>
      <c r="I4537" s="20" t="s">
        <v>25</v>
      </c>
      <c r="J4537" s="21">
        <v>5.7741787E7</v>
      </c>
      <c r="K4537" s="21">
        <v>0.0</v>
      </c>
    </row>
    <row r="4538">
      <c r="A4538" s="15" t="s">
        <v>74</v>
      </c>
      <c r="B4538" s="16" t="s">
        <v>254</v>
      </c>
      <c r="C4538" s="17" t="s">
        <v>255</v>
      </c>
      <c r="D4538" s="18">
        <v>5.0</v>
      </c>
      <c r="E4538" s="17" t="s">
        <v>22</v>
      </c>
      <c r="F4538" s="15" t="s">
        <v>146</v>
      </c>
      <c r="G4538" s="19">
        <v>9.0042127E7</v>
      </c>
      <c r="H4538" s="15" t="s">
        <v>27</v>
      </c>
      <c r="I4538" s="20" t="s">
        <v>25</v>
      </c>
      <c r="J4538" s="21">
        <v>932599.0</v>
      </c>
      <c r="K4538" s="21">
        <v>0.0</v>
      </c>
    </row>
    <row r="4539">
      <c r="A4539" s="15" t="s">
        <v>74</v>
      </c>
      <c r="B4539" s="16" t="s">
        <v>254</v>
      </c>
      <c r="C4539" s="17" t="s">
        <v>255</v>
      </c>
      <c r="D4539" s="18">
        <v>5.0</v>
      </c>
      <c r="E4539" s="17" t="s">
        <v>22</v>
      </c>
      <c r="F4539" s="15" t="s">
        <v>146</v>
      </c>
      <c r="G4539" s="19">
        <v>9.0042128E7</v>
      </c>
      <c r="H4539" s="15" t="s">
        <v>58</v>
      </c>
      <c r="I4539" s="20" t="s">
        <v>25</v>
      </c>
      <c r="J4539" s="21">
        <v>7.1225858E7</v>
      </c>
      <c r="K4539" s="21">
        <v>0.0</v>
      </c>
    </row>
    <row r="4540">
      <c r="A4540" s="15" t="s">
        <v>74</v>
      </c>
      <c r="B4540" s="16" t="s">
        <v>254</v>
      </c>
      <c r="C4540" s="17" t="s">
        <v>255</v>
      </c>
      <c r="D4540" s="18">
        <v>5.0</v>
      </c>
      <c r="E4540" s="17" t="s">
        <v>22</v>
      </c>
      <c r="F4540" s="15" t="s">
        <v>146</v>
      </c>
      <c r="G4540" s="19">
        <v>9.0042132E7</v>
      </c>
      <c r="H4540" s="15" t="s">
        <v>28</v>
      </c>
      <c r="I4540" s="20" t="s">
        <v>25</v>
      </c>
      <c r="J4540" s="21">
        <v>2.420697E7</v>
      </c>
      <c r="K4540" s="21">
        <v>0.0</v>
      </c>
    </row>
    <row r="4541">
      <c r="A4541" s="15" t="s">
        <v>74</v>
      </c>
      <c r="B4541" s="16" t="s">
        <v>254</v>
      </c>
      <c r="C4541" s="17" t="s">
        <v>255</v>
      </c>
      <c r="D4541" s="18">
        <v>5.0</v>
      </c>
      <c r="E4541" s="17" t="s">
        <v>22</v>
      </c>
      <c r="F4541" s="15" t="s">
        <v>146</v>
      </c>
      <c r="G4541" s="19">
        <v>9.0042134E7</v>
      </c>
      <c r="H4541" s="15" t="s">
        <v>29</v>
      </c>
      <c r="I4541" s="20" t="s">
        <v>25</v>
      </c>
      <c r="J4541" s="21">
        <v>2448175.0</v>
      </c>
      <c r="K4541" s="21">
        <v>0.0</v>
      </c>
    </row>
    <row r="4542">
      <c r="A4542" s="15" t="s">
        <v>74</v>
      </c>
      <c r="B4542" s="16" t="s">
        <v>254</v>
      </c>
      <c r="C4542" s="17" t="s">
        <v>255</v>
      </c>
      <c r="D4542" s="18">
        <v>5.0</v>
      </c>
      <c r="E4542" s="17" t="s">
        <v>22</v>
      </c>
      <c r="F4542" s="15" t="s">
        <v>146</v>
      </c>
      <c r="G4542" s="19">
        <v>9.0042135E7</v>
      </c>
      <c r="H4542" s="15" t="s">
        <v>30</v>
      </c>
      <c r="I4542" s="20" t="s">
        <v>25</v>
      </c>
      <c r="J4542" s="21">
        <v>3.01315639E8</v>
      </c>
      <c r="K4542" s="21">
        <v>0.0</v>
      </c>
    </row>
    <row r="4543">
      <c r="A4543" s="15" t="s">
        <v>74</v>
      </c>
      <c r="B4543" s="16" t="s">
        <v>254</v>
      </c>
      <c r="C4543" s="17" t="s">
        <v>255</v>
      </c>
      <c r="D4543" s="18">
        <v>5.0</v>
      </c>
      <c r="E4543" s="17" t="s">
        <v>22</v>
      </c>
      <c r="F4543" s="15" t="s">
        <v>146</v>
      </c>
      <c r="G4543" s="19">
        <v>9.00422E7</v>
      </c>
      <c r="H4543" s="15" t="s">
        <v>73</v>
      </c>
      <c r="I4543" s="20" t="s">
        <v>60</v>
      </c>
      <c r="J4543" s="21">
        <v>1.1401099E8</v>
      </c>
      <c r="K4543" s="21">
        <v>0.0</v>
      </c>
    </row>
    <row r="4544">
      <c r="A4544" s="15" t="s">
        <v>74</v>
      </c>
      <c r="B4544" s="16" t="s">
        <v>254</v>
      </c>
      <c r="C4544" s="17" t="s">
        <v>255</v>
      </c>
      <c r="D4544" s="18">
        <v>5.0</v>
      </c>
      <c r="E4544" s="17" t="s">
        <v>22</v>
      </c>
      <c r="F4544" s="15" t="s">
        <v>146</v>
      </c>
      <c r="G4544" s="19">
        <v>9.0042223E7</v>
      </c>
      <c r="H4544" s="15" t="s">
        <v>61</v>
      </c>
      <c r="I4544" s="20" t="s">
        <v>60</v>
      </c>
      <c r="J4544" s="21">
        <v>5778176.0</v>
      </c>
      <c r="K4544" s="21">
        <v>0.0</v>
      </c>
    </row>
    <row r="4545">
      <c r="A4545" s="15" t="s">
        <v>74</v>
      </c>
      <c r="B4545" s="16" t="s">
        <v>254</v>
      </c>
      <c r="C4545" s="17" t="s">
        <v>255</v>
      </c>
      <c r="D4545" s="18">
        <v>5.0</v>
      </c>
      <c r="E4545" s="17" t="s">
        <v>22</v>
      </c>
      <c r="F4545" s="15" t="s">
        <v>146</v>
      </c>
      <c r="G4545" s="19">
        <v>9.0042224E7</v>
      </c>
      <c r="H4545" s="15" t="s">
        <v>62</v>
      </c>
      <c r="I4545" s="20" t="s">
        <v>60</v>
      </c>
      <c r="J4545" s="21">
        <v>4465199.0</v>
      </c>
      <c r="K4545" s="21">
        <v>0.0</v>
      </c>
    </row>
    <row r="4546">
      <c r="A4546" s="15" t="s">
        <v>74</v>
      </c>
      <c r="B4546" s="16" t="s">
        <v>254</v>
      </c>
      <c r="C4546" s="17" t="s">
        <v>255</v>
      </c>
      <c r="D4546" s="18">
        <v>5.0</v>
      </c>
      <c r="E4546" s="17" t="s">
        <v>22</v>
      </c>
      <c r="F4546" s="15" t="s">
        <v>146</v>
      </c>
      <c r="G4546" s="19">
        <v>9.0042226E7</v>
      </c>
      <c r="H4546" s="15" t="s">
        <v>63</v>
      </c>
      <c r="I4546" s="20" t="s">
        <v>60</v>
      </c>
      <c r="J4546" s="21">
        <v>1744050.0</v>
      </c>
      <c r="K4546" s="21">
        <v>0.0</v>
      </c>
    </row>
    <row r="4547">
      <c r="A4547" s="15" t="s">
        <v>74</v>
      </c>
      <c r="B4547" s="16" t="s">
        <v>254</v>
      </c>
      <c r="C4547" s="17" t="s">
        <v>255</v>
      </c>
      <c r="D4547" s="18">
        <v>5.0</v>
      </c>
      <c r="E4547" s="17" t="s">
        <v>22</v>
      </c>
      <c r="F4547" s="15" t="s">
        <v>146</v>
      </c>
      <c r="G4547" s="19">
        <v>9.0042228E7</v>
      </c>
      <c r="H4547" s="15" t="s">
        <v>64</v>
      </c>
      <c r="I4547" s="20" t="s">
        <v>60</v>
      </c>
      <c r="J4547" s="21">
        <v>6.8770377E7</v>
      </c>
      <c r="K4547" s="21">
        <v>0.0</v>
      </c>
    </row>
    <row r="4548">
      <c r="A4548" s="15" t="s">
        <v>74</v>
      </c>
      <c r="B4548" s="16" t="s">
        <v>254</v>
      </c>
      <c r="C4548" s="17" t="s">
        <v>255</v>
      </c>
      <c r="D4548" s="18">
        <v>5.0</v>
      </c>
      <c r="E4548" s="17" t="s">
        <v>22</v>
      </c>
      <c r="F4548" s="15" t="s">
        <v>146</v>
      </c>
      <c r="G4548" s="19">
        <v>9.0042231E7</v>
      </c>
      <c r="H4548" s="15" t="s">
        <v>65</v>
      </c>
      <c r="I4548" s="20" t="s">
        <v>60</v>
      </c>
      <c r="J4548" s="21">
        <v>8984782.0</v>
      </c>
      <c r="K4548" s="21">
        <v>0.0</v>
      </c>
    </row>
    <row r="4549">
      <c r="A4549" s="15" t="s">
        <v>74</v>
      </c>
      <c r="B4549" s="16" t="s">
        <v>254</v>
      </c>
      <c r="C4549" s="17" t="s">
        <v>255</v>
      </c>
      <c r="D4549" s="18">
        <v>5.0</v>
      </c>
      <c r="E4549" s="17" t="s">
        <v>22</v>
      </c>
      <c r="F4549" s="15" t="s">
        <v>146</v>
      </c>
      <c r="G4549" s="19">
        <v>9.0042126E7</v>
      </c>
      <c r="H4549" s="15" t="s">
        <v>31</v>
      </c>
      <c r="I4549" s="20" t="s">
        <v>25</v>
      </c>
      <c r="J4549" s="21">
        <v>3.4867833E7</v>
      </c>
      <c r="K4549" s="21">
        <v>0.0</v>
      </c>
    </row>
    <row r="4550">
      <c r="A4550" s="15" t="s">
        <v>74</v>
      </c>
      <c r="B4550" s="16" t="s">
        <v>254</v>
      </c>
      <c r="C4550" s="17" t="s">
        <v>255</v>
      </c>
      <c r="D4550" s="18">
        <v>5.0</v>
      </c>
      <c r="E4550" s="17" t="s">
        <v>22</v>
      </c>
      <c r="F4550" s="15" t="s">
        <v>146</v>
      </c>
      <c r="G4550" s="19">
        <v>5.1100005E7</v>
      </c>
      <c r="H4550" s="15" t="s">
        <v>337</v>
      </c>
      <c r="I4550" s="20" t="s">
        <v>37</v>
      </c>
      <c r="J4550" s="21">
        <v>-3.1195224E7</v>
      </c>
      <c r="K4550" s="21">
        <v>0.0</v>
      </c>
    </row>
    <row r="4551">
      <c r="A4551" s="15" t="s">
        <v>74</v>
      </c>
      <c r="B4551" s="16" t="s">
        <v>254</v>
      </c>
      <c r="C4551" s="17" t="s">
        <v>255</v>
      </c>
      <c r="D4551" s="18">
        <v>5.0</v>
      </c>
      <c r="E4551" s="24">
        <v>46097.0</v>
      </c>
      <c r="F4551" s="15" t="s">
        <v>216</v>
      </c>
      <c r="G4551" s="19">
        <v>5.1101056E7</v>
      </c>
      <c r="H4551" s="15" t="s">
        <v>16</v>
      </c>
      <c r="I4551" s="20" t="s">
        <v>17</v>
      </c>
      <c r="J4551" s="21">
        <v>1.266804E7</v>
      </c>
      <c r="K4551" s="21">
        <v>115164.0</v>
      </c>
    </row>
    <row r="4552">
      <c r="A4552" s="15" t="s">
        <v>74</v>
      </c>
      <c r="B4552" s="16" t="s">
        <v>254</v>
      </c>
      <c r="C4552" s="17" t="s">
        <v>255</v>
      </c>
      <c r="D4552" s="18">
        <v>5.0</v>
      </c>
      <c r="E4552" s="24">
        <v>46069.0</v>
      </c>
      <c r="F4552" s="15" t="s">
        <v>217</v>
      </c>
      <c r="G4552" s="19">
        <v>5.1100153E7</v>
      </c>
      <c r="H4552" s="15" t="s">
        <v>72</v>
      </c>
      <c r="I4552" s="20" t="s">
        <v>25</v>
      </c>
      <c r="J4552" s="21">
        <v>1.0</v>
      </c>
      <c r="K4552" s="21">
        <v>0.0</v>
      </c>
    </row>
    <row r="4553">
      <c r="A4553" s="15" t="s">
        <v>74</v>
      </c>
      <c r="B4553" s="16" t="s">
        <v>254</v>
      </c>
      <c r="C4553" s="17" t="s">
        <v>255</v>
      </c>
      <c r="D4553" s="18">
        <v>5.0</v>
      </c>
      <c r="E4553" s="24">
        <v>46069.0</v>
      </c>
      <c r="F4553" s="15" t="s">
        <v>217</v>
      </c>
      <c r="G4553" s="19">
        <v>5.1100153E7</v>
      </c>
      <c r="H4553" s="15" t="s">
        <v>72</v>
      </c>
      <c r="I4553" s="20" t="s">
        <v>17</v>
      </c>
      <c r="J4553" s="21">
        <v>2.6296918E7</v>
      </c>
      <c r="K4553" s="21">
        <v>148680.0</v>
      </c>
    </row>
    <row r="4554">
      <c r="A4554" s="15" t="s">
        <v>74</v>
      </c>
      <c r="B4554" s="16" t="s">
        <v>254</v>
      </c>
      <c r="C4554" s="17" t="s">
        <v>255</v>
      </c>
      <c r="D4554" s="18">
        <v>5.0</v>
      </c>
      <c r="E4554" s="17" t="s">
        <v>369</v>
      </c>
      <c r="F4554" s="15" t="s">
        <v>370</v>
      </c>
      <c r="G4554" s="19">
        <v>9.0043001E7</v>
      </c>
      <c r="H4554" s="15" t="s">
        <v>18</v>
      </c>
      <c r="I4554" s="20" t="s">
        <v>19</v>
      </c>
      <c r="J4554" s="21">
        <v>1.507169E7</v>
      </c>
      <c r="K4554" s="21">
        <v>80.0</v>
      </c>
    </row>
    <row r="4555">
      <c r="A4555" s="15" t="s">
        <v>74</v>
      </c>
      <c r="B4555" s="16" t="s">
        <v>254</v>
      </c>
      <c r="C4555" s="17" t="s">
        <v>255</v>
      </c>
      <c r="D4555" s="18">
        <v>5.0</v>
      </c>
      <c r="E4555" s="17" t="s">
        <v>373</v>
      </c>
      <c r="F4555" s="15" t="s">
        <v>374</v>
      </c>
      <c r="G4555" s="19">
        <v>9.0043001E7</v>
      </c>
      <c r="H4555" s="15" t="s">
        <v>18</v>
      </c>
      <c r="I4555" s="20" t="s">
        <v>19</v>
      </c>
      <c r="J4555" s="21">
        <v>8068990.0</v>
      </c>
      <c r="K4555" s="21">
        <v>31.0</v>
      </c>
    </row>
    <row r="4556">
      <c r="A4556" s="15" t="s">
        <v>74</v>
      </c>
      <c r="B4556" s="16" t="s">
        <v>254</v>
      </c>
      <c r="C4556" s="17" t="s">
        <v>255</v>
      </c>
      <c r="D4556" s="18">
        <v>5.0</v>
      </c>
      <c r="E4556" s="17" t="s">
        <v>373</v>
      </c>
      <c r="F4556" s="15" t="s">
        <v>374</v>
      </c>
      <c r="G4556" s="19">
        <v>9.0043E7</v>
      </c>
      <c r="H4556" s="15" t="s">
        <v>83</v>
      </c>
      <c r="I4556" s="20" t="s">
        <v>19</v>
      </c>
      <c r="J4556" s="21">
        <v>8054544.0</v>
      </c>
      <c r="K4556" s="21">
        <v>31.0</v>
      </c>
    </row>
    <row r="4557">
      <c r="A4557" s="15" t="s">
        <v>74</v>
      </c>
      <c r="B4557" s="16" t="s">
        <v>259</v>
      </c>
      <c r="C4557" s="17" t="s">
        <v>260</v>
      </c>
      <c r="D4557" s="18">
        <v>5.0</v>
      </c>
      <c r="E4557" s="24">
        <v>46038.0</v>
      </c>
      <c r="F4557" s="15" t="s">
        <v>150</v>
      </c>
      <c r="G4557" s="19">
        <v>9.0043001E7</v>
      </c>
      <c r="H4557" s="15" t="s">
        <v>18</v>
      </c>
      <c r="I4557" s="20" t="s">
        <v>19</v>
      </c>
      <c r="J4557" s="21">
        <v>4.8064098E7</v>
      </c>
      <c r="K4557" s="21">
        <v>258.0</v>
      </c>
    </row>
    <row r="4558">
      <c r="A4558" s="15" t="s">
        <v>74</v>
      </c>
      <c r="B4558" s="16" t="s">
        <v>259</v>
      </c>
      <c r="C4558" s="17" t="s">
        <v>260</v>
      </c>
      <c r="D4558" s="18">
        <v>5.0</v>
      </c>
      <c r="E4558" s="24">
        <v>46158.0</v>
      </c>
      <c r="F4558" s="15" t="s">
        <v>151</v>
      </c>
      <c r="G4558" s="19">
        <v>9.0043001E7</v>
      </c>
      <c r="H4558" s="15" t="s">
        <v>18</v>
      </c>
      <c r="I4558" s="20" t="s">
        <v>19</v>
      </c>
      <c r="J4558" s="21">
        <v>1122966.0</v>
      </c>
      <c r="K4558" s="21">
        <v>6.0</v>
      </c>
    </row>
    <row r="4559">
      <c r="A4559" s="15" t="s">
        <v>74</v>
      </c>
      <c r="B4559" s="16" t="s">
        <v>259</v>
      </c>
      <c r="C4559" s="17" t="s">
        <v>260</v>
      </c>
      <c r="D4559" s="18">
        <v>5.0</v>
      </c>
      <c r="E4559" s="17" t="s">
        <v>81</v>
      </c>
      <c r="F4559" s="15" t="s">
        <v>82</v>
      </c>
      <c r="G4559" s="19">
        <v>9.0043001E7</v>
      </c>
      <c r="H4559" s="15" t="s">
        <v>18</v>
      </c>
      <c r="I4559" s="20" t="s">
        <v>19</v>
      </c>
      <c r="J4559" s="21">
        <v>7477208.0</v>
      </c>
      <c r="K4559" s="21">
        <v>46.0</v>
      </c>
    </row>
    <row r="4560">
      <c r="A4560" s="15" t="s">
        <v>74</v>
      </c>
      <c r="B4560" s="16" t="s">
        <v>259</v>
      </c>
      <c r="C4560" s="17" t="s">
        <v>260</v>
      </c>
      <c r="D4560" s="18">
        <v>5.0</v>
      </c>
      <c r="E4560" s="17" t="s">
        <v>84</v>
      </c>
      <c r="F4560" s="15" t="s">
        <v>85</v>
      </c>
      <c r="G4560" s="19">
        <v>9.0043001E7</v>
      </c>
      <c r="H4560" s="15" t="s">
        <v>18</v>
      </c>
      <c r="I4560" s="20" t="s">
        <v>19</v>
      </c>
      <c r="J4560" s="21">
        <v>1.0771773E7</v>
      </c>
      <c r="K4560" s="21">
        <v>55.0</v>
      </c>
    </row>
    <row r="4561">
      <c r="A4561" s="15" t="s">
        <v>74</v>
      </c>
      <c r="B4561" s="16" t="s">
        <v>259</v>
      </c>
      <c r="C4561" s="17" t="s">
        <v>260</v>
      </c>
      <c r="D4561" s="18">
        <v>5.0</v>
      </c>
      <c r="E4561" s="17" t="s">
        <v>86</v>
      </c>
      <c r="F4561" s="15" t="s">
        <v>87</v>
      </c>
      <c r="G4561" s="19">
        <v>9.0043001E7</v>
      </c>
      <c r="H4561" s="15" t="s">
        <v>18</v>
      </c>
      <c r="I4561" s="20" t="s">
        <v>19</v>
      </c>
      <c r="J4561" s="21">
        <v>1.1838435E7</v>
      </c>
      <c r="K4561" s="21">
        <v>63.0</v>
      </c>
    </row>
    <row r="4562">
      <c r="A4562" s="15" t="s">
        <v>74</v>
      </c>
      <c r="B4562" s="16" t="s">
        <v>259</v>
      </c>
      <c r="C4562" s="17" t="s">
        <v>260</v>
      </c>
      <c r="D4562" s="18">
        <v>5.0</v>
      </c>
      <c r="E4562" s="17" t="s">
        <v>88</v>
      </c>
      <c r="F4562" s="15" t="s">
        <v>89</v>
      </c>
      <c r="G4562" s="19">
        <v>9.0043002E7</v>
      </c>
      <c r="H4562" s="15" t="s">
        <v>49</v>
      </c>
      <c r="I4562" s="20" t="s">
        <v>50</v>
      </c>
      <c r="J4562" s="21">
        <v>3095558.0</v>
      </c>
      <c r="K4562" s="21">
        <v>175.0</v>
      </c>
    </row>
    <row r="4563">
      <c r="A4563" s="15" t="s">
        <v>74</v>
      </c>
      <c r="B4563" s="16" t="s">
        <v>259</v>
      </c>
      <c r="C4563" s="17" t="s">
        <v>260</v>
      </c>
      <c r="D4563" s="18">
        <v>5.0</v>
      </c>
      <c r="E4563" s="17" t="s">
        <v>88</v>
      </c>
      <c r="F4563" s="15" t="s">
        <v>89</v>
      </c>
      <c r="G4563" s="19">
        <v>9.0043003E7</v>
      </c>
      <c r="H4563" s="15" t="s">
        <v>90</v>
      </c>
      <c r="I4563" s="20" t="s">
        <v>50</v>
      </c>
      <c r="J4563" s="21">
        <v>2.041402E7</v>
      </c>
      <c r="K4563" s="21">
        <v>5.0</v>
      </c>
    </row>
    <row r="4564">
      <c r="A4564" s="15" t="s">
        <v>74</v>
      </c>
      <c r="B4564" s="16" t="s">
        <v>259</v>
      </c>
      <c r="C4564" s="17" t="s">
        <v>260</v>
      </c>
      <c r="D4564" s="18">
        <v>5.0</v>
      </c>
      <c r="E4564" s="17" t="s">
        <v>154</v>
      </c>
      <c r="F4564" s="15" t="s">
        <v>155</v>
      </c>
      <c r="G4564" s="19">
        <v>9.0043002E7</v>
      </c>
      <c r="H4564" s="15" t="s">
        <v>49</v>
      </c>
      <c r="I4564" s="20" t="s">
        <v>50</v>
      </c>
      <c r="J4564" s="21">
        <v>1.31152259E8</v>
      </c>
      <c r="K4564" s="21">
        <v>6896.0</v>
      </c>
    </row>
    <row r="4565">
      <c r="A4565" s="15" t="s">
        <v>74</v>
      </c>
      <c r="B4565" s="16" t="s">
        <v>259</v>
      </c>
      <c r="C4565" s="17" t="s">
        <v>260</v>
      </c>
      <c r="D4565" s="18">
        <v>5.0</v>
      </c>
      <c r="E4565" s="17" t="s">
        <v>154</v>
      </c>
      <c r="F4565" s="15" t="s">
        <v>155</v>
      </c>
      <c r="G4565" s="19">
        <v>9.0043003E7</v>
      </c>
      <c r="H4565" s="15" t="s">
        <v>90</v>
      </c>
      <c r="I4565" s="20" t="s">
        <v>50</v>
      </c>
      <c r="J4565" s="21">
        <v>6.0047637E7</v>
      </c>
      <c r="K4565" s="21">
        <v>19.0</v>
      </c>
    </row>
    <row r="4566">
      <c r="A4566" s="15" t="s">
        <v>74</v>
      </c>
      <c r="B4566" s="16" t="s">
        <v>259</v>
      </c>
      <c r="C4566" s="17" t="s">
        <v>260</v>
      </c>
      <c r="D4566" s="18">
        <v>5.0</v>
      </c>
      <c r="E4566" s="17" t="s">
        <v>91</v>
      </c>
      <c r="F4566" s="15" t="s">
        <v>92</v>
      </c>
      <c r="G4566" s="19">
        <v>5.1100651E7</v>
      </c>
      <c r="H4566" s="15" t="s">
        <v>38</v>
      </c>
      <c r="I4566" s="20" t="s">
        <v>17</v>
      </c>
      <c r="J4566" s="21">
        <v>306084.0</v>
      </c>
      <c r="K4566" s="21">
        <v>33.27</v>
      </c>
    </row>
    <row r="4567">
      <c r="A4567" s="15" t="s">
        <v>74</v>
      </c>
      <c r="B4567" s="16" t="s">
        <v>259</v>
      </c>
      <c r="C4567" s="17" t="s">
        <v>260</v>
      </c>
      <c r="D4567" s="18">
        <v>5.0</v>
      </c>
      <c r="E4567" s="17" t="s">
        <v>95</v>
      </c>
      <c r="F4567" s="15" t="s">
        <v>96</v>
      </c>
      <c r="G4567" s="19">
        <v>5.1100058E7</v>
      </c>
      <c r="H4567" s="15" t="s">
        <v>36</v>
      </c>
      <c r="I4567" s="20" t="s">
        <v>37</v>
      </c>
      <c r="J4567" s="21">
        <v>1.2498889E7</v>
      </c>
      <c r="K4567" s="21">
        <v>188.8</v>
      </c>
    </row>
    <row r="4568">
      <c r="A4568" s="15" t="s">
        <v>74</v>
      </c>
      <c r="B4568" s="16" t="s">
        <v>259</v>
      </c>
      <c r="C4568" s="17" t="s">
        <v>260</v>
      </c>
      <c r="D4568" s="18">
        <v>5.0</v>
      </c>
      <c r="E4568" s="17" t="s">
        <v>95</v>
      </c>
      <c r="F4568" s="15" t="s">
        <v>96</v>
      </c>
      <c r="G4568" s="19">
        <v>5.1100651E7</v>
      </c>
      <c r="H4568" s="15" t="s">
        <v>38</v>
      </c>
      <c r="I4568" s="20" t="s">
        <v>17</v>
      </c>
      <c r="J4568" s="21">
        <v>1.0539823E7</v>
      </c>
      <c r="K4568" s="21">
        <v>152.53</v>
      </c>
    </row>
    <row r="4569">
      <c r="A4569" s="15" t="s">
        <v>74</v>
      </c>
      <c r="B4569" s="16" t="s">
        <v>259</v>
      </c>
      <c r="C4569" s="17" t="s">
        <v>260</v>
      </c>
      <c r="D4569" s="18">
        <v>5.0</v>
      </c>
      <c r="E4569" s="17" t="s">
        <v>95</v>
      </c>
      <c r="F4569" s="15" t="s">
        <v>96</v>
      </c>
      <c r="G4569" s="19">
        <v>9.0043001E7</v>
      </c>
      <c r="H4569" s="15" t="s">
        <v>18</v>
      </c>
      <c r="I4569" s="20" t="s">
        <v>19</v>
      </c>
      <c r="J4569" s="21">
        <v>6867182.0</v>
      </c>
      <c r="K4569" s="21">
        <v>40.0</v>
      </c>
    </row>
    <row r="4570">
      <c r="A4570" s="15" t="s">
        <v>74</v>
      </c>
      <c r="B4570" s="16" t="s">
        <v>259</v>
      </c>
      <c r="C4570" s="17" t="s">
        <v>260</v>
      </c>
      <c r="D4570" s="18">
        <v>5.0</v>
      </c>
      <c r="E4570" s="17" t="s">
        <v>95</v>
      </c>
      <c r="F4570" s="15" t="s">
        <v>96</v>
      </c>
      <c r="G4570" s="19">
        <v>5.1100774E7</v>
      </c>
      <c r="H4570" s="15" t="s">
        <v>39</v>
      </c>
      <c r="I4570" s="20" t="s">
        <v>17</v>
      </c>
      <c r="J4570" s="21">
        <v>700000.0</v>
      </c>
      <c r="K4570" s="21">
        <v>0.08</v>
      </c>
    </row>
    <row r="4571">
      <c r="A4571" s="15" t="s">
        <v>74</v>
      </c>
      <c r="B4571" s="16" t="s">
        <v>259</v>
      </c>
      <c r="C4571" s="17" t="s">
        <v>260</v>
      </c>
      <c r="D4571" s="18">
        <v>5.0</v>
      </c>
      <c r="E4571" s="17" t="s">
        <v>101</v>
      </c>
      <c r="F4571" s="15" t="s">
        <v>102</v>
      </c>
      <c r="G4571" s="19">
        <v>9.0043001E7</v>
      </c>
      <c r="H4571" s="15" t="s">
        <v>18</v>
      </c>
      <c r="I4571" s="20" t="s">
        <v>19</v>
      </c>
      <c r="J4571" s="21">
        <v>2.2291581E7</v>
      </c>
      <c r="K4571" s="21">
        <v>127.0</v>
      </c>
    </row>
    <row r="4572">
      <c r="A4572" s="15" t="s">
        <v>74</v>
      </c>
      <c r="B4572" s="16" t="s">
        <v>259</v>
      </c>
      <c r="C4572" s="17" t="s">
        <v>260</v>
      </c>
      <c r="D4572" s="18">
        <v>5.0</v>
      </c>
      <c r="E4572" s="17" t="s">
        <v>103</v>
      </c>
      <c r="F4572" s="15" t="s">
        <v>104</v>
      </c>
      <c r="G4572" s="19">
        <v>5.1100058E7</v>
      </c>
      <c r="H4572" s="15" t="s">
        <v>36</v>
      </c>
      <c r="I4572" s="20" t="s">
        <v>37</v>
      </c>
      <c r="J4572" s="21">
        <v>2.3338642E7</v>
      </c>
      <c r="K4572" s="21">
        <v>275.08</v>
      </c>
    </row>
    <row r="4573">
      <c r="A4573" s="15" t="s">
        <v>74</v>
      </c>
      <c r="B4573" s="16" t="s">
        <v>259</v>
      </c>
      <c r="C4573" s="17" t="s">
        <v>260</v>
      </c>
      <c r="D4573" s="18">
        <v>5.0</v>
      </c>
      <c r="E4573" s="17" t="s">
        <v>103</v>
      </c>
      <c r="F4573" s="15" t="s">
        <v>104</v>
      </c>
      <c r="G4573" s="19">
        <v>5.1100651E7</v>
      </c>
      <c r="H4573" s="15" t="s">
        <v>38</v>
      </c>
      <c r="I4573" s="20" t="s">
        <v>17</v>
      </c>
      <c r="J4573" s="21">
        <v>4.2483844E7</v>
      </c>
      <c r="K4573" s="21">
        <v>230.14</v>
      </c>
    </row>
    <row r="4574">
      <c r="A4574" s="15" t="s">
        <v>74</v>
      </c>
      <c r="B4574" s="16" t="s">
        <v>259</v>
      </c>
      <c r="C4574" s="17" t="s">
        <v>260</v>
      </c>
      <c r="D4574" s="18">
        <v>5.0</v>
      </c>
      <c r="E4574" s="17" t="s">
        <v>103</v>
      </c>
      <c r="F4574" s="15" t="s">
        <v>104</v>
      </c>
      <c r="G4574" s="19">
        <v>5.1100774E7</v>
      </c>
      <c r="H4574" s="15" t="s">
        <v>39</v>
      </c>
      <c r="I4574" s="20" t="s">
        <v>17</v>
      </c>
      <c r="J4574" s="21">
        <v>1400000.0</v>
      </c>
      <c r="K4574" s="21">
        <v>0.16</v>
      </c>
    </row>
    <row r="4575">
      <c r="A4575" s="15" t="s">
        <v>74</v>
      </c>
      <c r="B4575" s="16" t="s">
        <v>259</v>
      </c>
      <c r="C4575" s="17" t="s">
        <v>260</v>
      </c>
      <c r="D4575" s="18">
        <v>5.0</v>
      </c>
      <c r="E4575" s="17" t="s">
        <v>205</v>
      </c>
      <c r="F4575" s="15" t="s">
        <v>206</v>
      </c>
      <c r="G4575" s="19">
        <v>9.0043001E7</v>
      </c>
      <c r="H4575" s="15" t="s">
        <v>18</v>
      </c>
      <c r="I4575" s="20" t="s">
        <v>19</v>
      </c>
      <c r="J4575" s="21">
        <v>164144.0</v>
      </c>
      <c r="K4575" s="21">
        <v>1.0</v>
      </c>
    </row>
    <row r="4576">
      <c r="A4576" s="15" t="s">
        <v>74</v>
      </c>
      <c r="B4576" s="16" t="s">
        <v>259</v>
      </c>
      <c r="C4576" s="17" t="s">
        <v>260</v>
      </c>
      <c r="D4576" s="18">
        <v>5.0</v>
      </c>
      <c r="E4576" s="17" t="s">
        <v>175</v>
      </c>
      <c r="F4576" s="15" t="s">
        <v>176</v>
      </c>
      <c r="G4576" s="19">
        <v>9.0043002E7</v>
      </c>
      <c r="H4576" s="15" t="s">
        <v>49</v>
      </c>
      <c r="I4576" s="20" t="s">
        <v>50</v>
      </c>
      <c r="J4576" s="21">
        <v>2.6745565E7</v>
      </c>
      <c r="K4576" s="21">
        <v>1251.0</v>
      </c>
    </row>
    <row r="4577">
      <c r="A4577" s="15" t="s">
        <v>74</v>
      </c>
      <c r="B4577" s="16" t="s">
        <v>259</v>
      </c>
      <c r="C4577" s="17" t="s">
        <v>260</v>
      </c>
      <c r="D4577" s="18">
        <v>5.0</v>
      </c>
      <c r="E4577" s="17" t="s">
        <v>175</v>
      </c>
      <c r="F4577" s="15" t="s">
        <v>176</v>
      </c>
      <c r="G4577" s="19">
        <v>5.1100774E7</v>
      </c>
      <c r="H4577" s="15" t="s">
        <v>39</v>
      </c>
      <c r="I4577" s="20" t="s">
        <v>17</v>
      </c>
      <c r="J4577" s="21">
        <v>3.0759594E7</v>
      </c>
      <c r="K4577" s="21">
        <v>275976.0</v>
      </c>
    </row>
    <row r="4578">
      <c r="A4578" s="15" t="s">
        <v>74</v>
      </c>
      <c r="B4578" s="16" t="s">
        <v>259</v>
      </c>
      <c r="C4578" s="17" t="s">
        <v>260</v>
      </c>
      <c r="D4578" s="18">
        <v>5.0</v>
      </c>
      <c r="E4578" s="17" t="s">
        <v>117</v>
      </c>
      <c r="F4578" s="15" t="s">
        <v>118</v>
      </c>
      <c r="G4578" s="19">
        <v>5.1100058E7</v>
      </c>
      <c r="H4578" s="15" t="s">
        <v>36</v>
      </c>
      <c r="I4578" s="20" t="s">
        <v>37</v>
      </c>
      <c r="J4578" s="21">
        <v>2.778200594E9</v>
      </c>
      <c r="K4578" s="21">
        <v>348626.0</v>
      </c>
    </row>
    <row r="4579">
      <c r="A4579" s="15" t="s">
        <v>74</v>
      </c>
      <c r="B4579" s="16" t="s">
        <v>259</v>
      </c>
      <c r="C4579" s="17" t="s">
        <v>260</v>
      </c>
      <c r="D4579" s="18">
        <v>5.0</v>
      </c>
      <c r="E4579" s="17" t="s">
        <v>117</v>
      </c>
      <c r="F4579" s="15" t="s">
        <v>118</v>
      </c>
      <c r="G4579" s="19">
        <v>5.1100651E7</v>
      </c>
      <c r="H4579" s="15" t="s">
        <v>38</v>
      </c>
      <c r="I4579" s="20" t="s">
        <v>17</v>
      </c>
      <c r="J4579" s="21">
        <v>8.8099822E7</v>
      </c>
      <c r="K4579" s="21">
        <v>763.43</v>
      </c>
    </row>
    <row r="4580">
      <c r="A4580" s="15" t="s">
        <v>74</v>
      </c>
      <c r="B4580" s="16" t="s">
        <v>259</v>
      </c>
      <c r="C4580" s="17" t="s">
        <v>260</v>
      </c>
      <c r="D4580" s="18">
        <v>5.0</v>
      </c>
      <c r="E4580" s="17" t="s">
        <v>117</v>
      </c>
      <c r="F4580" s="15" t="s">
        <v>118</v>
      </c>
      <c r="G4580" s="19">
        <v>9.0043001E7</v>
      </c>
      <c r="H4580" s="15" t="s">
        <v>18</v>
      </c>
      <c r="I4580" s="20" t="s">
        <v>19</v>
      </c>
      <c r="J4580" s="21">
        <v>6.0783532E7</v>
      </c>
      <c r="K4580" s="21">
        <v>365.0</v>
      </c>
    </row>
    <row r="4581">
      <c r="A4581" s="15" t="s">
        <v>74</v>
      </c>
      <c r="B4581" s="16" t="s">
        <v>259</v>
      </c>
      <c r="C4581" s="17" t="s">
        <v>260</v>
      </c>
      <c r="D4581" s="18">
        <v>5.0</v>
      </c>
      <c r="E4581" s="17" t="s">
        <v>117</v>
      </c>
      <c r="F4581" s="15" t="s">
        <v>118</v>
      </c>
      <c r="G4581" s="19">
        <v>5.1100774E7</v>
      </c>
      <c r="H4581" s="15" t="s">
        <v>39</v>
      </c>
      <c r="I4581" s="20" t="s">
        <v>17</v>
      </c>
      <c r="J4581" s="21">
        <v>1.1025E7</v>
      </c>
      <c r="K4581" s="21">
        <v>1.26</v>
      </c>
    </row>
    <row r="4582">
      <c r="A4582" s="15" t="s">
        <v>74</v>
      </c>
      <c r="B4582" s="16" t="s">
        <v>259</v>
      </c>
      <c r="C4582" s="17" t="s">
        <v>260</v>
      </c>
      <c r="D4582" s="18">
        <v>5.0</v>
      </c>
      <c r="E4582" s="17" t="s">
        <v>125</v>
      </c>
      <c r="F4582" s="15" t="s">
        <v>126</v>
      </c>
      <c r="G4582" s="19">
        <v>9.0043001E7</v>
      </c>
      <c r="H4582" s="15" t="s">
        <v>18</v>
      </c>
      <c r="I4582" s="20" t="s">
        <v>19</v>
      </c>
      <c r="J4582" s="21">
        <v>3.39637169E8</v>
      </c>
      <c r="K4582" s="21">
        <v>2006.0</v>
      </c>
    </row>
    <row r="4583">
      <c r="A4583" s="15" t="s">
        <v>74</v>
      </c>
      <c r="B4583" s="16" t="s">
        <v>259</v>
      </c>
      <c r="C4583" s="17" t="s">
        <v>260</v>
      </c>
      <c r="D4583" s="18">
        <v>5.0</v>
      </c>
      <c r="E4583" s="17" t="s">
        <v>127</v>
      </c>
      <c r="F4583" s="15" t="s">
        <v>128</v>
      </c>
      <c r="G4583" s="19">
        <v>5.1100153E7</v>
      </c>
      <c r="H4583" s="15" t="s">
        <v>72</v>
      </c>
      <c r="I4583" s="20" t="s">
        <v>25</v>
      </c>
      <c r="J4583" s="21">
        <v>-206146.0</v>
      </c>
      <c r="K4583" s="21">
        <v>0.0</v>
      </c>
    </row>
    <row r="4584">
      <c r="A4584" s="15" t="s">
        <v>74</v>
      </c>
      <c r="B4584" s="16" t="s">
        <v>259</v>
      </c>
      <c r="C4584" s="17" t="s">
        <v>260</v>
      </c>
      <c r="D4584" s="18">
        <v>5.0</v>
      </c>
      <c r="E4584" s="17" t="s">
        <v>127</v>
      </c>
      <c r="F4584" s="15" t="s">
        <v>128</v>
      </c>
      <c r="G4584" s="19">
        <v>5.1100153E7</v>
      </c>
      <c r="H4584" s="15" t="s">
        <v>72</v>
      </c>
      <c r="I4584" s="20" t="s">
        <v>17</v>
      </c>
      <c r="J4584" s="21">
        <v>4.18835392E8</v>
      </c>
      <c r="K4584" s="21">
        <v>1497769.0</v>
      </c>
    </row>
    <row r="4585">
      <c r="A4585" s="15" t="s">
        <v>74</v>
      </c>
      <c r="B4585" s="16" t="s">
        <v>259</v>
      </c>
      <c r="C4585" s="17" t="s">
        <v>260</v>
      </c>
      <c r="D4585" s="18">
        <v>5.0</v>
      </c>
      <c r="E4585" s="17" t="s">
        <v>127</v>
      </c>
      <c r="F4585" s="15" t="s">
        <v>128</v>
      </c>
      <c r="G4585" s="19">
        <v>9.0043003E7</v>
      </c>
      <c r="H4585" s="15" t="s">
        <v>90</v>
      </c>
      <c r="I4585" s="20" t="s">
        <v>50</v>
      </c>
      <c r="J4585" s="21">
        <v>5807884.0</v>
      </c>
      <c r="K4585" s="21">
        <v>2.0</v>
      </c>
    </row>
    <row r="4586">
      <c r="A4586" s="15" t="s">
        <v>74</v>
      </c>
      <c r="B4586" s="16" t="s">
        <v>259</v>
      </c>
      <c r="C4586" s="17" t="s">
        <v>260</v>
      </c>
      <c r="D4586" s="18">
        <v>5.0</v>
      </c>
      <c r="E4586" s="17" t="s">
        <v>129</v>
      </c>
      <c r="F4586" s="15" t="s">
        <v>130</v>
      </c>
      <c r="G4586" s="19">
        <v>5.1101056E7</v>
      </c>
      <c r="H4586" s="15" t="s">
        <v>16</v>
      </c>
      <c r="I4586" s="20" t="s">
        <v>17</v>
      </c>
      <c r="J4586" s="21">
        <v>6.443965E7</v>
      </c>
      <c r="K4586" s="21">
        <v>585815.0</v>
      </c>
    </row>
    <row r="4587">
      <c r="A4587" s="15" t="s">
        <v>74</v>
      </c>
      <c r="B4587" s="16" t="s">
        <v>259</v>
      </c>
      <c r="C4587" s="17" t="s">
        <v>260</v>
      </c>
      <c r="D4587" s="18">
        <v>5.0</v>
      </c>
      <c r="E4587" s="17" t="s">
        <v>135</v>
      </c>
      <c r="F4587" s="15" t="s">
        <v>136</v>
      </c>
      <c r="G4587" s="19">
        <v>9.0043001E7</v>
      </c>
      <c r="H4587" s="15" t="s">
        <v>18</v>
      </c>
      <c r="I4587" s="20" t="s">
        <v>19</v>
      </c>
      <c r="J4587" s="21">
        <v>748644.0</v>
      </c>
      <c r="K4587" s="21">
        <v>4.0</v>
      </c>
    </row>
    <row r="4588">
      <c r="A4588" s="15" t="s">
        <v>74</v>
      </c>
      <c r="B4588" s="16" t="s">
        <v>259</v>
      </c>
      <c r="C4588" s="17" t="s">
        <v>260</v>
      </c>
      <c r="D4588" s="18">
        <v>5.0</v>
      </c>
      <c r="E4588" s="17" t="s">
        <v>54</v>
      </c>
      <c r="F4588" s="15" t="s">
        <v>139</v>
      </c>
      <c r="G4588" s="19">
        <v>9.0042011E7</v>
      </c>
      <c r="H4588" s="15" t="s">
        <v>55</v>
      </c>
      <c r="I4588" s="20" t="s">
        <v>19</v>
      </c>
      <c r="J4588" s="21">
        <v>2.55080657E8</v>
      </c>
      <c r="K4588" s="21">
        <v>0.0</v>
      </c>
    </row>
    <row r="4589">
      <c r="A4589" s="15" t="s">
        <v>74</v>
      </c>
      <c r="B4589" s="16" t="s">
        <v>259</v>
      </c>
      <c r="C4589" s="17" t="s">
        <v>260</v>
      </c>
      <c r="D4589" s="18">
        <v>5.0</v>
      </c>
      <c r="E4589" s="17" t="s">
        <v>164</v>
      </c>
      <c r="F4589" s="15" t="s">
        <v>165</v>
      </c>
      <c r="G4589" s="19">
        <v>9.0042079E7</v>
      </c>
      <c r="H4589" s="15" t="s">
        <v>166</v>
      </c>
      <c r="I4589" s="20" t="s">
        <v>19</v>
      </c>
      <c r="J4589" s="21">
        <v>5927065.0</v>
      </c>
      <c r="K4589" s="21">
        <v>0.0</v>
      </c>
    </row>
    <row r="4590">
      <c r="A4590" s="15" t="s">
        <v>74</v>
      </c>
      <c r="B4590" s="16" t="s">
        <v>259</v>
      </c>
      <c r="C4590" s="17" t="s">
        <v>260</v>
      </c>
      <c r="D4590" s="18">
        <v>5.0</v>
      </c>
      <c r="E4590" s="17" t="s">
        <v>20</v>
      </c>
      <c r="F4590" s="15" t="s">
        <v>140</v>
      </c>
      <c r="G4590" s="19">
        <v>9.0042014E7</v>
      </c>
      <c r="H4590" s="15" t="s">
        <v>21</v>
      </c>
      <c r="I4590" s="20" t="s">
        <v>19</v>
      </c>
      <c r="J4590" s="21">
        <v>3.53333174E8</v>
      </c>
      <c r="K4590" s="21">
        <v>0.0</v>
      </c>
    </row>
    <row r="4591">
      <c r="A4591" s="15" t="s">
        <v>74</v>
      </c>
      <c r="B4591" s="16" t="s">
        <v>259</v>
      </c>
      <c r="C4591" s="17" t="s">
        <v>260</v>
      </c>
      <c r="D4591" s="18">
        <v>5.0</v>
      </c>
      <c r="E4591" s="17" t="s">
        <v>20</v>
      </c>
      <c r="F4591" s="15" t="s">
        <v>140</v>
      </c>
      <c r="G4591" s="19">
        <v>9.0042077E7</v>
      </c>
      <c r="H4591" s="15" t="s">
        <v>141</v>
      </c>
      <c r="I4591" s="20" t="s">
        <v>19</v>
      </c>
      <c r="J4591" s="21">
        <v>1.35610784E8</v>
      </c>
      <c r="K4591" s="21">
        <v>0.0</v>
      </c>
    </row>
    <row r="4592">
      <c r="A4592" s="15" t="s">
        <v>74</v>
      </c>
      <c r="B4592" s="16" t="s">
        <v>259</v>
      </c>
      <c r="C4592" s="17" t="s">
        <v>260</v>
      </c>
      <c r="D4592" s="18">
        <v>5.0</v>
      </c>
      <c r="E4592" s="17" t="s">
        <v>142</v>
      </c>
      <c r="F4592" s="15" t="s">
        <v>143</v>
      </c>
      <c r="G4592" s="19">
        <v>9.0042084E7</v>
      </c>
      <c r="H4592" s="15" t="s">
        <v>145</v>
      </c>
      <c r="I4592" s="20" t="s">
        <v>19</v>
      </c>
      <c r="J4592" s="21">
        <v>530445.0</v>
      </c>
      <c r="K4592" s="21">
        <v>0.0</v>
      </c>
    </row>
    <row r="4593">
      <c r="A4593" s="15" t="s">
        <v>74</v>
      </c>
      <c r="B4593" s="16" t="s">
        <v>259</v>
      </c>
      <c r="C4593" s="17" t="s">
        <v>260</v>
      </c>
      <c r="D4593" s="18">
        <v>5.0</v>
      </c>
      <c r="E4593" s="17" t="s">
        <v>22</v>
      </c>
      <c r="F4593" s="15" t="s">
        <v>146</v>
      </c>
      <c r="G4593" s="19">
        <v>9.0042012E7</v>
      </c>
      <c r="H4593" s="15" t="s">
        <v>23</v>
      </c>
      <c r="I4593" s="20" t="s">
        <v>19</v>
      </c>
      <c r="J4593" s="21">
        <v>1.16352084E8</v>
      </c>
      <c r="K4593" s="21">
        <v>0.0</v>
      </c>
    </row>
    <row r="4594">
      <c r="A4594" s="15" t="s">
        <v>74</v>
      </c>
      <c r="B4594" s="16" t="s">
        <v>259</v>
      </c>
      <c r="C4594" s="17" t="s">
        <v>260</v>
      </c>
      <c r="D4594" s="18">
        <v>5.0</v>
      </c>
      <c r="E4594" s="17" t="s">
        <v>22</v>
      </c>
      <c r="F4594" s="15" t="s">
        <v>146</v>
      </c>
      <c r="G4594" s="19">
        <v>9.0042121E7</v>
      </c>
      <c r="H4594" s="15" t="s">
        <v>24</v>
      </c>
      <c r="I4594" s="20" t="s">
        <v>25</v>
      </c>
      <c r="J4594" s="21">
        <v>2.55882443E8</v>
      </c>
      <c r="K4594" s="21">
        <v>0.0</v>
      </c>
    </row>
    <row r="4595">
      <c r="A4595" s="15" t="s">
        <v>74</v>
      </c>
      <c r="B4595" s="16" t="s">
        <v>259</v>
      </c>
      <c r="C4595" s="17" t="s">
        <v>260</v>
      </c>
      <c r="D4595" s="18">
        <v>5.0</v>
      </c>
      <c r="E4595" s="17" t="s">
        <v>22</v>
      </c>
      <c r="F4595" s="15" t="s">
        <v>146</v>
      </c>
      <c r="G4595" s="19">
        <v>9.0042122E7</v>
      </c>
      <c r="H4595" s="15" t="s">
        <v>56</v>
      </c>
      <c r="I4595" s="20" t="s">
        <v>25</v>
      </c>
      <c r="J4595" s="21">
        <v>8.5219061E7</v>
      </c>
      <c r="K4595" s="21">
        <v>0.0</v>
      </c>
    </row>
    <row r="4596">
      <c r="A4596" s="15" t="s">
        <v>74</v>
      </c>
      <c r="B4596" s="16" t="s">
        <v>259</v>
      </c>
      <c r="C4596" s="17" t="s">
        <v>260</v>
      </c>
      <c r="D4596" s="18">
        <v>5.0</v>
      </c>
      <c r="E4596" s="17" t="s">
        <v>22</v>
      </c>
      <c r="F4596" s="15" t="s">
        <v>146</v>
      </c>
      <c r="G4596" s="19">
        <v>9.0042125E7</v>
      </c>
      <c r="H4596" s="15" t="s">
        <v>26</v>
      </c>
      <c r="I4596" s="20" t="s">
        <v>25</v>
      </c>
      <c r="J4596" s="21">
        <v>7.4264177E7</v>
      </c>
      <c r="K4596" s="21">
        <v>0.0</v>
      </c>
    </row>
    <row r="4597">
      <c r="A4597" s="15" t="s">
        <v>74</v>
      </c>
      <c r="B4597" s="16" t="s">
        <v>259</v>
      </c>
      <c r="C4597" s="17" t="s">
        <v>260</v>
      </c>
      <c r="D4597" s="18">
        <v>5.0</v>
      </c>
      <c r="E4597" s="17" t="s">
        <v>22</v>
      </c>
      <c r="F4597" s="15" t="s">
        <v>146</v>
      </c>
      <c r="G4597" s="19">
        <v>9.0042128E7</v>
      </c>
      <c r="H4597" s="15" t="s">
        <v>58</v>
      </c>
      <c r="I4597" s="20" t="s">
        <v>25</v>
      </c>
      <c r="J4597" s="21">
        <v>4.9698028E7</v>
      </c>
      <c r="K4597" s="21">
        <v>0.0</v>
      </c>
    </row>
    <row r="4598">
      <c r="A4598" s="15" t="s">
        <v>74</v>
      </c>
      <c r="B4598" s="16" t="s">
        <v>259</v>
      </c>
      <c r="C4598" s="17" t="s">
        <v>260</v>
      </c>
      <c r="D4598" s="18">
        <v>5.0</v>
      </c>
      <c r="E4598" s="17" t="s">
        <v>22</v>
      </c>
      <c r="F4598" s="15" t="s">
        <v>146</v>
      </c>
      <c r="G4598" s="19">
        <v>9.0042134E7</v>
      </c>
      <c r="H4598" s="15" t="s">
        <v>29</v>
      </c>
      <c r="I4598" s="20" t="s">
        <v>25</v>
      </c>
      <c r="J4598" s="21">
        <v>1448175.0</v>
      </c>
      <c r="K4598" s="21">
        <v>0.0</v>
      </c>
    </row>
    <row r="4599">
      <c r="A4599" s="15" t="s">
        <v>74</v>
      </c>
      <c r="B4599" s="16" t="s">
        <v>259</v>
      </c>
      <c r="C4599" s="17" t="s">
        <v>260</v>
      </c>
      <c r="D4599" s="18">
        <v>5.0</v>
      </c>
      <c r="E4599" s="17" t="s">
        <v>22</v>
      </c>
      <c r="F4599" s="15" t="s">
        <v>146</v>
      </c>
      <c r="G4599" s="19">
        <v>9.0042135E7</v>
      </c>
      <c r="H4599" s="15" t="s">
        <v>30</v>
      </c>
      <c r="I4599" s="20" t="s">
        <v>25</v>
      </c>
      <c r="J4599" s="21">
        <v>1.58862848E8</v>
      </c>
      <c r="K4599" s="21">
        <v>0.0</v>
      </c>
    </row>
    <row r="4600">
      <c r="A4600" s="15" t="s">
        <v>74</v>
      </c>
      <c r="B4600" s="16" t="s">
        <v>259</v>
      </c>
      <c r="C4600" s="17" t="s">
        <v>260</v>
      </c>
      <c r="D4600" s="18">
        <v>5.0</v>
      </c>
      <c r="E4600" s="17" t="s">
        <v>22</v>
      </c>
      <c r="F4600" s="15" t="s">
        <v>146</v>
      </c>
      <c r="G4600" s="19">
        <v>9.00422E7</v>
      </c>
      <c r="H4600" s="15" t="s">
        <v>73</v>
      </c>
      <c r="I4600" s="20" t="s">
        <v>60</v>
      </c>
      <c r="J4600" s="21">
        <v>1.79392933E8</v>
      </c>
      <c r="K4600" s="21">
        <v>0.0</v>
      </c>
    </row>
    <row r="4601">
      <c r="A4601" s="15" t="s">
        <v>74</v>
      </c>
      <c r="B4601" s="16" t="s">
        <v>259</v>
      </c>
      <c r="C4601" s="17" t="s">
        <v>260</v>
      </c>
      <c r="D4601" s="18">
        <v>5.0</v>
      </c>
      <c r="E4601" s="17" t="s">
        <v>22</v>
      </c>
      <c r="F4601" s="15" t="s">
        <v>146</v>
      </c>
      <c r="G4601" s="19">
        <v>9.0042223E7</v>
      </c>
      <c r="H4601" s="15" t="s">
        <v>61</v>
      </c>
      <c r="I4601" s="20" t="s">
        <v>60</v>
      </c>
      <c r="J4601" s="21">
        <v>2.5737935E7</v>
      </c>
      <c r="K4601" s="21">
        <v>0.0</v>
      </c>
    </row>
    <row r="4602">
      <c r="A4602" s="15" t="s">
        <v>74</v>
      </c>
      <c r="B4602" s="16" t="s">
        <v>259</v>
      </c>
      <c r="C4602" s="17" t="s">
        <v>260</v>
      </c>
      <c r="D4602" s="18">
        <v>5.0</v>
      </c>
      <c r="E4602" s="17" t="s">
        <v>22</v>
      </c>
      <c r="F4602" s="15" t="s">
        <v>146</v>
      </c>
      <c r="G4602" s="19">
        <v>9.0042226E7</v>
      </c>
      <c r="H4602" s="15" t="s">
        <v>63</v>
      </c>
      <c r="I4602" s="20" t="s">
        <v>60</v>
      </c>
      <c r="J4602" s="21">
        <v>1233334.0</v>
      </c>
      <c r="K4602" s="21">
        <v>0.0</v>
      </c>
    </row>
    <row r="4603">
      <c r="A4603" s="15" t="s">
        <v>74</v>
      </c>
      <c r="B4603" s="16" t="s">
        <v>259</v>
      </c>
      <c r="C4603" s="17" t="s">
        <v>260</v>
      </c>
      <c r="D4603" s="18">
        <v>5.0</v>
      </c>
      <c r="E4603" s="17" t="s">
        <v>22</v>
      </c>
      <c r="F4603" s="15" t="s">
        <v>146</v>
      </c>
      <c r="G4603" s="19">
        <v>9.0042228E7</v>
      </c>
      <c r="H4603" s="15" t="s">
        <v>64</v>
      </c>
      <c r="I4603" s="20" t="s">
        <v>60</v>
      </c>
      <c r="J4603" s="21">
        <v>1.10387443E8</v>
      </c>
      <c r="K4603" s="21">
        <v>0.0</v>
      </c>
    </row>
    <row r="4604">
      <c r="A4604" s="15" t="s">
        <v>74</v>
      </c>
      <c r="B4604" s="16" t="s">
        <v>259</v>
      </c>
      <c r="C4604" s="17" t="s">
        <v>260</v>
      </c>
      <c r="D4604" s="18">
        <v>5.0</v>
      </c>
      <c r="E4604" s="17" t="s">
        <v>22</v>
      </c>
      <c r="F4604" s="15" t="s">
        <v>146</v>
      </c>
      <c r="G4604" s="19">
        <v>9.0042231E7</v>
      </c>
      <c r="H4604" s="15" t="s">
        <v>65</v>
      </c>
      <c r="I4604" s="20" t="s">
        <v>60</v>
      </c>
      <c r="J4604" s="21">
        <v>1.1424575E7</v>
      </c>
      <c r="K4604" s="21">
        <v>0.0</v>
      </c>
    </row>
    <row r="4605">
      <c r="A4605" s="15" t="s">
        <v>74</v>
      </c>
      <c r="B4605" s="16" t="s">
        <v>259</v>
      </c>
      <c r="C4605" s="17" t="s">
        <v>260</v>
      </c>
      <c r="D4605" s="18">
        <v>5.0</v>
      </c>
      <c r="E4605" s="17" t="s">
        <v>22</v>
      </c>
      <c r="F4605" s="15" t="s">
        <v>146</v>
      </c>
      <c r="G4605" s="19">
        <v>9.0042126E7</v>
      </c>
      <c r="H4605" s="15" t="s">
        <v>31</v>
      </c>
      <c r="I4605" s="20" t="s">
        <v>25</v>
      </c>
      <c r="J4605" s="21">
        <v>4.6406414E7</v>
      </c>
      <c r="K4605" s="21">
        <v>0.0</v>
      </c>
    </row>
    <row r="4606">
      <c r="A4606" s="15" t="s">
        <v>74</v>
      </c>
      <c r="B4606" s="16" t="s">
        <v>259</v>
      </c>
      <c r="C4606" s="17" t="s">
        <v>260</v>
      </c>
      <c r="D4606" s="18">
        <v>5.0</v>
      </c>
      <c r="E4606" s="17" t="s">
        <v>22</v>
      </c>
      <c r="F4606" s="15" t="s">
        <v>146</v>
      </c>
      <c r="G4606" s="19">
        <v>9.004212E7</v>
      </c>
      <c r="H4606" s="15" t="s">
        <v>182</v>
      </c>
      <c r="I4606" s="20" t="s">
        <v>25</v>
      </c>
      <c r="J4606" s="21">
        <v>-1.88626346E8</v>
      </c>
      <c r="K4606" s="21">
        <v>0.0</v>
      </c>
    </row>
    <row r="4607">
      <c r="A4607" s="15" t="s">
        <v>74</v>
      </c>
      <c r="B4607" s="16" t="s">
        <v>259</v>
      </c>
      <c r="C4607" s="17" t="s">
        <v>260</v>
      </c>
      <c r="D4607" s="18">
        <v>5.0</v>
      </c>
      <c r="E4607" s="17" t="s">
        <v>22</v>
      </c>
      <c r="F4607" s="15" t="s">
        <v>146</v>
      </c>
      <c r="G4607" s="19">
        <v>5.1100005E7</v>
      </c>
      <c r="H4607" s="15" t="s">
        <v>337</v>
      </c>
      <c r="I4607" s="20" t="s">
        <v>37</v>
      </c>
      <c r="J4607" s="21">
        <v>-1.571886E7</v>
      </c>
      <c r="K4607" s="21">
        <v>0.0</v>
      </c>
    </row>
    <row r="4608">
      <c r="A4608" s="15" t="s">
        <v>74</v>
      </c>
      <c r="B4608" s="16" t="s">
        <v>259</v>
      </c>
      <c r="C4608" s="17" t="s">
        <v>260</v>
      </c>
      <c r="D4608" s="18">
        <v>5.0</v>
      </c>
      <c r="E4608" s="24">
        <v>46097.0</v>
      </c>
      <c r="F4608" s="15" t="s">
        <v>216</v>
      </c>
      <c r="G4608" s="19">
        <v>5.1101056E7</v>
      </c>
      <c r="H4608" s="15" t="s">
        <v>16</v>
      </c>
      <c r="I4608" s="20" t="s">
        <v>17</v>
      </c>
      <c r="J4608" s="21">
        <v>6519700.0</v>
      </c>
      <c r="K4608" s="21">
        <v>59270.0</v>
      </c>
    </row>
    <row r="4609">
      <c r="A4609" s="15" t="s">
        <v>74</v>
      </c>
      <c r="B4609" s="16" t="s">
        <v>259</v>
      </c>
      <c r="C4609" s="17" t="s">
        <v>260</v>
      </c>
      <c r="D4609" s="18">
        <v>5.0</v>
      </c>
      <c r="E4609" s="24">
        <v>46069.0</v>
      </c>
      <c r="F4609" s="15" t="s">
        <v>217</v>
      </c>
      <c r="G4609" s="19">
        <v>5.1100153E7</v>
      </c>
      <c r="H4609" s="15" t="s">
        <v>72</v>
      </c>
      <c r="I4609" s="20" t="s">
        <v>17</v>
      </c>
      <c r="J4609" s="21">
        <v>2.9198425E7</v>
      </c>
      <c r="K4609" s="21">
        <v>120291.0</v>
      </c>
    </row>
    <row r="4610">
      <c r="A4610" s="15" t="s">
        <v>74</v>
      </c>
      <c r="B4610" s="16" t="s">
        <v>259</v>
      </c>
      <c r="C4610" s="17" t="s">
        <v>260</v>
      </c>
      <c r="D4610" s="18">
        <v>5.0</v>
      </c>
      <c r="E4610" s="17" t="s">
        <v>373</v>
      </c>
      <c r="F4610" s="15" t="s">
        <v>374</v>
      </c>
      <c r="G4610" s="19">
        <v>9.0043001E7</v>
      </c>
      <c r="H4610" s="15" t="s">
        <v>18</v>
      </c>
      <c r="I4610" s="20" t="s">
        <v>19</v>
      </c>
      <c r="J4610" s="21">
        <v>7121010.0</v>
      </c>
      <c r="K4610" s="21">
        <v>31.0</v>
      </c>
    </row>
    <row r="4611">
      <c r="A4611" s="15" t="s">
        <v>74</v>
      </c>
      <c r="B4611" s="16" t="s">
        <v>259</v>
      </c>
      <c r="C4611" s="17" t="s">
        <v>260</v>
      </c>
      <c r="D4611" s="18">
        <v>5.0</v>
      </c>
      <c r="E4611" s="17" t="s">
        <v>373</v>
      </c>
      <c r="F4611" s="15" t="s">
        <v>374</v>
      </c>
      <c r="G4611" s="19">
        <v>9.0043E7</v>
      </c>
      <c r="H4611" s="15" t="s">
        <v>83</v>
      </c>
      <c r="I4611" s="20" t="s">
        <v>19</v>
      </c>
      <c r="J4611" s="21">
        <v>8597850.0</v>
      </c>
      <c r="K4611" s="21">
        <v>31.0</v>
      </c>
    </row>
    <row r="4612">
      <c r="A4612" s="15" t="s">
        <v>74</v>
      </c>
      <c r="B4612" s="16" t="s">
        <v>66</v>
      </c>
      <c r="C4612" s="17" t="s">
        <v>67</v>
      </c>
      <c r="D4612" s="18">
        <v>5.0</v>
      </c>
      <c r="E4612" s="24">
        <v>46038.0</v>
      </c>
      <c r="F4612" s="15" t="s">
        <v>150</v>
      </c>
      <c r="G4612" s="19">
        <v>9.0043001E7</v>
      </c>
      <c r="H4612" s="15" t="s">
        <v>18</v>
      </c>
      <c r="I4612" s="20" t="s">
        <v>19</v>
      </c>
      <c r="J4612" s="21">
        <v>1.9648975E7</v>
      </c>
      <c r="K4612" s="21">
        <v>96.0</v>
      </c>
    </row>
    <row r="4613">
      <c r="A4613" s="15" t="s">
        <v>74</v>
      </c>
      <c r="B4613" s="16" t="s">
        <v>66</v>
      </c>
      <c r="C4613" s="17" t="s">
        <v>67</v>
      </c>
      <c r="D4613" s="18">
        <v>5.0</v>
      </c>
      <c r="E4613" s="24">
        <v>46189.0</v>
      </c>
      <c r="F4613" s="15" t="s">
        <v>262</v>
      </c>
      <c r="G4613" s="19">
        <v>9.0043001E7</v>
      </c>
      <c r="H4613" s="15" t="s">
        <v>18</v>
      </c>
      <c r="I4613" s="20" t="s">
        <v>19</v>
      </c>
      <c r="J4613" s="21">
        <v>4844892.0</v>
      </c>
      <c r="K4613" s="21">
        <v>26.0</v>
      </c>
    </row>
    <row r="4614">
      <c r="A4614" s="15" t="s">
        <v>74</v>
      </c>
      <c r="B4614" s="16" t="s">
        <v>66</v>
      </c>
      <c r="C4614" s="17" t="s">
        <v>67</v>
      </c>
      <c r="D4614" s="18">
        <v>5.0</v>
      </c>
      <c r="E4614" s="17" t="s">
        <v>81</v>
      </c>
      <c r="F4614" s="15" t="s">
        <v>82</v>
      </c>
      <c r="G4614" s="19">
        <v>9.0043001E7</v>
      </c>
      <c r="H4614" s="15" t="s">
        <v>18</v>
      </c>
      <c r="I4614" s="20" t="s">
        <v>19</v>
      </c>
      <c r="J4614" s="21">
        <v>1154598.0</v>
      </c>
      <c r="K4614" s="21">
        <v>6.0</v>
      </c>
    </row>
    <row r="4615">
      <c r="A4615" s="15" t="s">
        <v>74</v>
      </c>
      <c r="B4615" s="16" t="s">
        <v>66</v>
      </c>
      <c r="C4615" s="17" t="s">
        <v>67</v>
      </c>
      <c r="D4615" s="18">
        <v>5.0</v>
      </c>
      <c r="E4615" s="17" t="s">
        <v>81</v>
      </c>
      <c r="F4615" s="15" t="s">
        <v>82</v>
      </c>
      <c r="G4615" s="19">
        <v>9.0043002E7</v>
      </c>
      <c r="H4615" s="15" t="s">
        <v>49</v>
      </c>
      <c r="I4615" s="20" t="s">
        <v>50</v>
      </c>
      <c r="J4615" s="21">
        <v>2.6303045E7</v>
      </c>
      <c r="K4615" s="21">
        <v>1020.0</v>
      </c>
    </row>
    <row r="4616">
      <c r="A4616" s="15" t="s">
        <v>74</v>
      </c>
      <c r="B4616" s="16" t="s">
        <v>66</v>
      </c>
      <c r="C4616" s="17" t="s">
        <v>67</v>
      </c>
      <c r="D4616" s="18">
        <v>5.0</v>
      </c>
      <c r="E4616" s="17" t="s">
        <v>81</v>
      </c>
      <c r="F4616" s="15" t="s">
        <v>82</v>
      </c>
      <c r="G4616" s="19">
        <v>9.0043E7</v>
      </c>
      <c r="H4616" s="15" t="s">
        <v>83</v>
      </c>
      <c r="I4616" s="20" t="s">
        <v>19</v>
      </c>
      <c r="J4616" s="21">
        <v>4894953.0</v>
      </c>
      <c r="K4616" s="21">
        <v>21.0</v>
      </c>
    </row>
    <row r="4617">
      <c r="A4617" s="15" t="s">
        <v>74</v>
      </c>
      <c r="B4617" s="16" t="s">
        <v>66</v>
      </c>
      <c r="C4617" s="17" t="s">
        <v>67</v>
      </c>
      <c r="D4617" s="18">
        <v>5.0</v>
      </c>
      <c r="E4617" s="17" t="s">
        <v>84</v>
      </c>
      <c r="F4617" s="15" t="s">
        <v>85</v>
      </c>
      <c r="G4617" s="19">
        <v>9.0043001E7</v>
      </c>
      <c r="H4617" s="15" t="s">
        <v>18</v>
      </c>
      <c r="I4617" s="20" t="s">
        <v>19</v>
      </c>
      <c r="J4617" s="21">
        <v>7.5671774E7</v>
      </c>
      <c r="K4617" s="21">
        <v>344.0</v>
      </c>
    </row>
    <row r="4618">
      <c r="A4618" s="15" t="s">
        <v>74</v>
      </c>
      <c r="B4618" s="16" t="s">
        <v>66</v>
      </c>
      <c r="C4618" s="17" t="s">
        <v>67</v>
      </c>
      <c r="D4618" s="18">
        <v>5.0</v>
      </c>
      <c r="E4618" s="17" t="s">
        <v>84</v>
      </c>
      <c r="F4618" s="15" t="s">
        <v>85</v>
      </c>
      <c r="G4618" s="19">
        <v>9.0043003E7</v>
      </c>
      <c r="H4618" s="15" t="s">
        <v>90</v>
      </c>
      <c r="I4618" s="20" t="s">
        <v>50</v>
      </c>
      <c r="J4618" s="21">
        <v>8818409.0</v>
      </c>
      <c r="K4618" s="21">
        <v>2.0</v>
      </c>
    </row>
    <row r="4619">
      <c r="A4619" s="15" t="s">
        <v>74</v>
      </c>
      <c r="B4619" s="16" t="s">
        <v>66</v>
      </c>
      <c r="C4619" s="17" t="s">
        <v>67</v>
      </c>
      <c r="D4619" s="18">
        <v>5.0</v>
      </c>
      <c r="E4619" s="17" t="s">
        <v>86</v>
      </c>
      <c r="F4619" s="15" t="s">
        <v>87</v>
      </c>
      <c r="G4619" s="19">
        <v>9.0043001E7</v>
      </c>
      <c r="H4619" s="15" t="s">
        <v>18</v>
      </c>
      <c r="I4619" s="20" t="s">
        <v>19</v>
      </c>
      <c r="J4619" s="21">
        <v>1.11944547E8</v>
      </c>
      <c r="K4619" s="21">
        <v>565.0</v>
      </c>
    </row>
    <row r="4620">
      <c r="A4620" s="15" t="s">
        <v>74</v>
      </c>
      <c r="B4620" s="16" t="s">
        <v>66</v>
      </c>
      <c r="C4620" s="17" t="s">
        <v>67</v>
      </c>
      <c r="D4620" s="18">
        <v>5.0</v>
      </c>
      <c r="E4620" s="17" t="s">
        <v>86</v>
      </c>
      <c r="F4620" s="15" t="s">
        <v>87</v>
      </c>
      <c r="G4620" s="19">
        <v>9.0043E7</v>
      </c>
      <c r="H4620" s="15" t="s">
        <v>83</v>
      </c>
      <c r="I4620" s="20" t="s">
        <v>19</v>
      </c>
      <c r="J4620" s="21">
        <v>1386028.0</v>
      </c>
      <c r="K4620" s="21">
        <v>7.0</v>
      </c>
    </row>
    <row r="4621">
      <c r="A4621" s="15" t="s">
        <v>74</v>
      </c>
      <c r="B4621" s="16" t="s">
        <v>66</v>
      </c>
      <c r="C4621" s="17" t="s">
        <v>67</v>
      </c>
      <c r="D4621" s="18">
        <v>5.0</v>
      </c>
      <c r="E4621" s="17" t="s">
        <v>95</v>
      </c>
      <c r="F4621" s="15" t="s">
        <v>96</v>
      </c>
      <c r="G4621" s="19">
        <v>5.1100058E7</v>
      </c>
      <c r="H4621" s="15" t="s">
        <v>36</v>
      </c>
      <c r="I4621" s="20" t="s">
        <v>37</v>
      </c>
      <c r="J4621" s="21">
        <v>1.2808866E7</v>
      </c>
      <c r="K4621" s="21">
        <v>178.082</v>
      </c>
    </row>
    <row r="4622">
      <c r="A4622" s="15" t="s">
        <v>74</v>
      </c>
      <c r="B4622" s="16" t="s">
        <v>66</v>
      </c>
      <c r="C4622" s="17" t="s">
        <v>67</v>
      </c>
      <c r="D4622" s="18">
        <v>5.0</v>
      </c>
      <c r="E4622" s="17" t="s">
        <v>95</v>
      </c>
      <c r="F4622" s="15" t="s">
        <v>96</v>
      </c>
      <c r="G4622" s="19">
        <v>9.0043001E7</v>
      </c>
      <c r="H4622" s="15" t="s">
        <v>18</v>
      </c>
      <c r="I4622" s="20" t="s">
        <v>19</v>
      </c>
      <c r="J4622" s="21">
        <v>2.4674169E7</v>
      </c>
      <c r="K4622" s="21">
        <v>129.0</v>
      </c>
    </row>
    <row r="4623">
      <c r="A4623" s="15" t="s">
        <v>74</v>
      </c>
      <c r="B4623" s="16" t="s">
        <v>66</v>
      </c>
      <c r="C4623" s="17" t="s">
        <v>67</v>
      </c>
      <c r="D4623" s="18">
        <v>5.0</v>
      </c>
      <c r="E4623" s="17" t="s">
        <v>95</v>
      </c>
      <c r="F4623" s="15" t="s">
        <v>96</v>
      </c>
      <c r="G4623" s="19">
        <v>5.1100774E7</v>
      </c>
      <c r="H4623" s="15" t="s">
        <v>39</v>
      </c>
      <c r="I4623" s="20" t="s">
        <v>17</v>
      </c>
      <c r="J4623" s="21">
        <v>1360031.0</v>
      </c>
      <c r="K4623" s="21">
        <v>19.64</v>
      </c>
    </row>
    <row r="4624">
      <c r="A4624" s="15" t="s">
        <v>74</v>
      </c>
      <c r="B4624" s="16" t="s">
        <v>66</v>
      </c>
      <c r="C4624" s="17" t="s">
        <v>67</v>
      </c>
      <c r="D4624" s="18">
        <v>5.0</v>
      </c>
      <c r="E4624" s="17" t="s">
        <v>97</v>
      </c>
      <c r="F4624" s="15" t="s">
        <v>98</v>
      </c>
      <c r="G4624" s="19">
        <v>5.1100058E7</v>
      </c>
      <c r="H4624" s="15" t="s">
        <v>36</v>
      </c>
      <c r="I4624" s="20" t="s">
        <v>37</v>
      </c>
      <c r="J4624" s="21">
        <v>1854927.0</v>
      </c>
      <c r="K4624" s="21">
        <v>26.35</v>
      </c>
    </row>
    <row r="4625">
      <c r="A4625" s="15" t="s">
        <v>74</v>
      </c>
      <c r="B4625" s="16" t="s">
        <v>66</v>
      </c>
      <c r="C4625" s="17" t="s">
        <v>67</v>
      </c>
      <c r="D4625" s="18">
        <v>5.0</v>
      </c>
      <c r="E4625" s="17" t="s">
        <v>101</v>
      </c>
      <c r="F4625" s="15" t="s">
        <v>102</v>
      </c>
      <c r="G4625" s="19">
        <v>9.0043001E7</v>
      </c>
      <c r="H4625" s="15" t="s">
        <v>18</v>
      </c>
      <c r="I4625" s="20" t="s">
        <v>19</v>
      </c>
      <c r="J4625" s="21">
        <v>1.24805051E8</v>
      </c>
      <c r="K4625" s="21">
        <v>634.0</v>
      </c>
    </row>
    <row r="4626">
      <c r="A4626" s="15" t="s">
        <v>74</v>
      </c>
      <c r="B4626" s="16" t="s">
        <v>66</v>
      </c>
      <c r="C4626" s="17" t="s">
        <v>67</v>
      </c>
      <c r="D4626" s="18">
        <v>5.0</v>
      </c>
      <c r="E4626" s="17" t="s">
        <v>101</v>
      </c>
      <c r="F4626" s="15" t="s">
        <v>102</v>
      </c>
      <c r="G4626" s="19">
        <v>9.0043E7</v>
      </c>
      <c r="H4626" s="15" t="s">
        <v>83</v>
      </c>
      <c r="I4626" s="20" t="s">
        <v>19</v>
      </c>
      <c r="J4626" s="21">
        <v>3762076.0</v>
      </c>
      <c r="K4626" s="21">
        <v>19.0</v>
      </c>
    </row>
    <row r="4627">
      <c r="A4627" s="15" t="s">
        <v>74</v>
      </c>
      <c r="B4627" s="16" t="s">
        <v>66</v>
      </c>
      <c r="C4627" s="17" t="s">
        <v>67</v>
      </c>
      <c r="D4627" s="18">
        <v>5.0</v>
      </c>
      <c r="E4627" s="17" t="s">
        <v>103</v>
      </c>
      <c r="F4627" s="15" t="s">
        <v>104</v>
      </c>
      <c r="G4627" s="19">
        <v>5.1100058E7</v>
      </c>
      <c r="H4627" s="15" t="s">
        <v>36</v>
      </c>
      <c r="I4627" s="20" t="s">
        <v>37</v>
      </c>
      <c r="J4627" s="21">
        <v>4950167.0</v>
      </c>
      <c r="K4627" s="21">
        <v>74.72</v>
      </c>
    </row>
    <row r="4628">
      <c r="A4628" s="15" t="s">
        <v>74</v>
      </c>
      <c r="B4628" s="16" t="s">
        <v>66</v>
      </c>
      <c r="C4628" s="17" t="s">
        <v>67</v>
      </c>
      <c r="D4628" s="18">
        <v>5.0</v>
      </c>
      <c r="E4628" s="17" t="s">
        <v>103</v>
      </c>
      <c r="F4628" s="15" t="s">
        <v>104</v>
      </c>
      <c r="G4628" s="19">
        <v>5.1100064E7</v>
      </c>
      <c r="H4628" s="15" t="s">
        <v>53</v>
      </c>
      <c r="I4628" s="20" t="s">
        <v>25</v>
      </c>
      <c r="J4628" s="21">
        <v>740766.0</v>
      </c>
      <c r="K4628" s="21">
        <v>0.0</v>
      </c>
    </row>
    <row r="4629">
      <c r="A4629" s="15" t="s">
        <v>74</v>
      </c>
      <c r="B4629" s="16" t="s">
        <v>66</v>
      </c>
      <c r="C4629" s="17" t="s">
        <v>67</v>
      </c>
      <c r="D4629" s="18">
        <v>5.0</v>
      </c>
      <c r="E4629" s="17" t="s">
        <v>103</v>
      </c>
      <c r="F4629" s="15" t="s">
        <v>104</v>
      </c>
      <c r="G4629" s="19">
        <v>9.0043001E7</v>
      </c>
      <c r="H4629" s="15" t="s">
        <v>18</v>
      </c>
      <c r="I4629" s="20" t="s">
        <v>19</v>
      </c>
      <c r="J4629" s="21">
        <v>1.9386008E7</v>
      </c>
      <c r="K4629" s="21">
        <v>108.0</v>
      </c>
    </row>
    <row r="4630">
      <c r="A4630" s="15" t="s">
        <v>74</v>
      </c>
      <c r="B4630" s="16" t="s">
        <v>66</v>
      </c>
      <c r="C4630" s="17" t="s">
        <v>67</v>
      </c>
      <c r="D4630" s="18">
        <v>5.0</v>
      </c>
      <c r="E4630" s="17" t="s">
        <v>103</v>
      </c>
      <c r="F4630" s="15" t="s">
        <v>104</v>
      </c>
      <c r="G4630" s="19">
        <v>9.0043E7</v>
      </c>
      <c r="H4630" s="15" t="s">
        <v>83</v>
      </c>
      <c r="I4630" s="20" t="s">
        <v>19</v>
      </c>
      <c r="J4630" s="21">
        <v>4159540.0</v>
      </c>
      <c r="K4630" s="21">
        <v>20.0</v>
      </c>
    </row>
    <row r="4631">
      <c r="A4631" s="15" t="s">
        <v>74</v>
      </c>
      <c r="B4631" s="16" t="s">
        <v>66</v>
      </c>
      <c r="C4631" s="17" t="s">
        <v>67</v>
      </c>
      <c r="D4631" s="18">
        <v>5.0</v>
      </c>
      <c r="E4631" s="17" t="s">
        <v>205</v>
      </c>
      <c r="F4631" s="15" t="s">
        <v>206</v>
      </c>
      <c r="G4631" s="19">
        <v>5.1100064E7</v>
      </c>
      <c r="H4631" s="15" t="s">
        <v>53</v>
      </c>
      <c r="I4631" s="20" t="s">
        <v>25</v>
      </c>
      <c r="J4631" s="21">
        <v>1058234.0</v>
      </c>
      <c r="K4631" s="21">
        <v>0.0</v>
      </c>
    </row>
    <row r="4632">
      <c r="A4632" s="15" t="s">
        <v>74</v>
      </c>
      <c r="B4632" s="16" t="s">
        <v>66</v>
      </c>
      <c r="C4632" s="17" t="s">
        <v>67</v>
      </c>
      <c r="D4632" s="18">
        <v>5.0</v>
      </c>
      <c r="E4632" s="17" t="s">
        <v>207</v>
      </c>
      <c r="F4632" s="15" t="s">
        <v>208</v>
      </c>
      <c r="G4632" s="19">
        <v>9.0043001E7</v>
      </c>
      <c r="H4632" s="15" t="s">
        <v>18</v>
      </c>
      <c r="I4632" s="20" t="s">
        <v>19</v>
      </c>
      <c r="J4632" s="21">
        <v>231100.0</v>
      </c>
      <c r="K4632" s="21">
        <v>1.0</v>
      </c>
    </row>
    <row r="4633">
      <c r="A4633" s="15" t="s">
        <v>74</v>
      </c>
      <c r="B4633" s="16" t="s">
        <v>66</v>
      </c>
      <c r="C4633" s="17" t="s">
        <v>67</v>
      </c>
      <c r="D4633" s="18">
        <v>5.0</v>
      </c>
      <c r="E4633" s="17" t="s">
        <v>207</v>
      </c>
      <c r="F4633" s="15" t="s">
        <v>208</v>
      </c>
      <c r="G4633" s="19">
        <v>5.1100774E7</v>
      </c>
      <c r="H4633" s="15" t="s">
        <v>39</v>
      </c>
      <c r="I4633" s="20" t="s">
        <v>17</v>
      </c>
      <c r="J4633" s="21">
        <v>635358.0</v>
      </c>
      <c r="K4633" s="21">
        <v>18687.0</v>
      </c>
    </row>
    <row r="4634">
      <c r="A4634" s="15" t="s">
        <v>74</v>
      </c>
      <c r="B4634" s="16" t="s">
        <v>66</v>
      </c>
      <c r="C4634" s="17" t="s">
        <v>67</v>
      </c>
      <c r="D4634" s="18">
        <v>5.0</v>
      </c>
      <c r="E4634" s="17" t="s">
        <v>209</v>
      </c>
      <c r="F4634" s="15" t="s">
        <v>210</v>
      </c>
      <c r="G4634" s="19">
        <v>9.0043001E7</v>
      </c>
      <c r="H4634" s="15" t="s">
        <v>18</v>
      </c>
      <c r="I4634" s="20" t="s">
        <v>19</v>
      </c>
      <c r="J4634" s="21">
        <v>769732.0</v>
      </c>
      <c r="K4634" s="21">
        <v>4.0</v>
      </c>
    </row>
    <row r="4635">
      <c r="A4635" s="15" t="s">
        <v>74</v>
      </c>
      <c r="B4635" s="16" t="s">
        <v>66</v>
      </c>
      <c r="C4635" s="17" t="s">
        <v>67</v>
      </c>
      <c r="D4635" s="18">
        <v>5.0</v>
      </c>
      <c r="E4635" s="17" t="s">
        <v>209</v>
      </c>
      <c r="F4635" s="15" t="s">
        <v>210</v>
      </c>
      <c r="G4635" s="19">
        <v>5.1100774E7</v>
      </c>
      <c r="H4635" s="15" t="s">
        <v>39</v>
      </c>
      <c r="I4635" s="20" t="s">
        <v>17</v>
      </c>
      <c r="J4635" s="21">
        <v>3031699.0</v>
      </c>
      <c r="K4635" s="21">
        <v>21.89</v>
      </c>
    </row>
    <row r="4636">
      <c r="A4636" s="15" t="s">
        <v>74</v>
      </c>
      <c r="B4636" s="16" t="s">
        <v>66</v>
      </c>
      <c r="C4636" s="17" t="s">
        <v>67</v>
      </c>
      <c r="D4636" s="18">
        <v>5.0</v>
      </c>
      <c r="E4636" s="17" t="s">
        <v>175</v>
      </c>
      <c r="F4636" s="15" t="s">
        <v>176</v>
      </c>
      <c r="G4636" s="19">
        <v>5.1100774E7</v>
      </c>
      <c r="H4636" s="15" t="s">
        <v>39</v>
      </c>
      <c r="I4636" s="20" t="s">
        <v>17</v>
      </c>
      <c r="J4636" s="21">
        <v>1.4402817E7</v>
      </c>
      <c r="K4636" s="21">
        <v>59378.31</v>
      </c>
    </row>
    <row r="4637">
      <c r="A4637" s="15" t="s">
        <v>74</v>
      </c>
      <c r="B4637" s="16" t="s">
        <v>66</v>
      </c>
      <c r="C4637" s="17" t="s">
        <v>67</v>
      </c>
      <c r="D4637" s="18">
        <v>5.0</v>
      </c>
      <c r="E4637" s="17" t="s">
        <v>117</v>
      </c>
      <c r="F4637" s="15" t="s">
        <v>118</v>
      </c>
      <c r="G4637" s="19">
        <v>5.1100058E7</v>
      </c>
      <c r="H4637" s="15" t="s">
        <v>36</v>
      </c>
      <c r="I4637" s="20" t="s">
        <v>37</v>
      </c>
      <c r="J4637" s="21">
        <v>3.14976954E8</v>
      </c>
      <c r="K4637" s="21">
        <v>40470.0</v>
      </c>
    </row>
    <row r="4638">
      <c r="A4638" s="15" t="s">
        <v>74</v>
      </c>
      <c r="B4638" s="16" t="s">
        <v>66</v>
      </c>
      <c r="C4638" s="17" t="s">
        <v>67</v>
      </c>
      <c r="D4638" s="18">
        <v>5.0</v>
      </c>
      <c r="E4638" s="17" t="s">
        <v>117</v>
      </c>
      <c r="F4638" s="15" t="s">
        <v>118</v>
      </c>
      <c r="G4638" s="19">
        <v>5.1100774E7</v>
      </c>
      <c r="H4638" s="15" t="s">
        <v>39</v>
      </c>
      <c r="I4638" s="20" t="s">
        <v>25</v>
      </c>
      <c r="J4638" s="21">
        <v>-1.0</v>
      </c>
      <c r="K4638" s="21">
        <v>0.0</v>
      </c>
    </row>
    <row r="4639">
      <c r="A4639" s="15" t="s">
        <v>74</v>
      </c>
      <c r="B4639" s="16" t="s">
        <v>66</v>
      </c>
      <c r="C4639" s="17" t="s">
        <v>67</v>
      </c>
      <c r="D4639" s="18">
        <v>5.0</v>
      </c>
      <c r="E4639" s="17" t="s">
        <v>123</v>
      </c>
      <c r="F4639" s="15" t="s">
        <v>124</v>
      </c>
      <c r="G4639" s="19">
        <v>9.0043001E7</v>
      </c>
      <c r="H4639" s="15" t="s">
        <v>18</v>
      </c>
      <c r="I4639" s="20" t="s">
        <v>19</v>
      </c>
      <c r="J4639" s="21">
        <v>751588.0</v>
      </c>
      <c r="K4639" s="21">
        <v>4.0</v>
      </c>
    </row>
    <row r="4640">
      <c r="A4640" s="15" t="s">
        <v>74</v>
      </c>
      <c r="B4640" s="16" t="s">
        <v>66</v>
      </c>
      <c r="C4640" s="17" t="s">
        <v>67</v>
      </c>
      <c r="D4640" s="18">
        <v>5.0</v>
      </c>
      <c r="E4640" s="17" t="s">
        <v>125</v>
      </c>
      <c r="F4640" s="15" t="s">
        <v>126</v>
      </c>
      <c r="G4640" s="19">
        <v>9.0043001E7</v>
      </c>
      <c r="H4640" s="15" t="s">
        <v>18</v>
      </c>
      <c r="I4640" s="20" t="s">
        <v>19</v>
      </c>
      <c r="J4640" s="21">
        <v>3.41118479E8</v>
      </c>
      <c r="K4640" s="21">
        <v>1793.0</v>
      </c>
    </row>
    <row r="4641">
      <c r="A4641" s="15" t="s">
        <v>74</v>
      </c>
      <c r="B4641" s="16" t="s">
        <v>66</v>
      </c>
      <c r="C4641" s="17" t="s">
        <v>67</v>
      </c>
      <c r="D4641" s="18">
        <v>5.0</v>
      </c>
      <c r="E4641" s="17" t="s">
        <v>127</v>
      </c>
      <c r="F4641" s="15" t="s">
        <v>128</v>
      </c>
      <c r="G4641" s="19">
        <v>5.1100153E7</v>
      </c>
      <c r="H4641" s="15" t="s">
        <v>72</v>
      </c>
      <c r="I4641" s="20" t="s">
        <v>25</v>
      </c>
      <c r="J4641" s="21">
        <v>-17.0</v>
      </c>
      <c r="K4641" s="21">
        <v>0.0</v>
      </c>
    </row>
    <row r="4642">
      <c r="A4642" s="15" t="s">
        <v>74</v>
      </c>
      <c r="B4642" s="16" t="s">
        <v>66</v>
      </c>
      <c r="C4642" s="17" t="s">
        <v>67</v>
      </c>
      <c r="D4642" s="18">
        <v>5.0</v>
      </c>
      <c r="E4642" s="17" t="s">
        <v>127</v>
      </c>
      <c r="F4642" s="15" t="s">
        <v>128</v>
      </c>
      <c r="G4642" s="19">
        <v>5.1100153E7</v>
      </c>
      <c r="H4642" s="15" t="s">
        <v>72</v>
      </c>
      <c r="I4642" s="20" t="s">
        <v>17</v>
      </c>
      <c r="J4642" s="21">
        <v>7.4851019E8</v>
      </c>
      <c r="K4642" s="21">
        <v>1232690.0</v>
      </c>
    </row>
    <row r="4643">
      <c r="A4643" s="15" t="s">
        <v>74</v>
      </c>
      <c r="B4643" s="16" t="s">
        <v>66</v>
      </c>
      <c r="C4643" s="17" t="s">
        <v>67</v>
      </c>
      <c r="D4643" s="18">
        <v>5.0</v>
      </c>
      <c r="E4643" s="17" t="s">
        <v>129</v>
      </c>
      <c r="F4643" s="15" t="s">
        <v>130</v>
      </c>
      <c r="G4643" s="19">
        <v>5.1101056E7</v>
      </c>
      <c r="H4643" s="15" t="s">
        <v>16</v>
      </c>
      <c r="I4643" s="20" t="s">
        <v>17</v>
      </c>
      <c r="J4643" s="21">
        <v>8.9779E7</v>
      </c>
      <c r="K4643" s="21">
        <v>897790.0</v>
      </c>
    </row>
    <row r="4644">
      <c r="A4644" s="15" t="s">
        <v>74</v>
      </c>
      <c r="B4644" s="16" t="s">
        <v>66</v>
      </c>
      <c r="C4644" s="17" t="s">
        <v>67</v>
      </c>
      <c r="D4644" s="18">
        <v>5.0</v>
      </c>
      <c r="E4644" s="17" t="s">
        <v>129</v>
      </c>
      <c r="F4644" s="15" t="s">
        <v>130</v>
      </c>
      <c r="G4644" s="19">
        <v>9.0043003E7</v>
      </c>
      <c r="H4644" s="15" t="s">
        <v>90</v>
      </c>
      <c r="I4644" s="20" t="s">
        <v>50</v>
      </c>
      <c r="J4644" s="21">
        <v>4.0850365E7</v>
      </c>
      <c r="K4644" s="21">
        <v>275.0</v>
      </c>
    </row>
    <row r="4645">
      <c r="A4645" s="15" t="s">
        <v>74</v>
      </c>
      <c r="B4645" s="16" t="s">
        <v>66</v>
      </c>
      <c r="C4645" s="17" t="s">
        <v>67</v>
      </c>
      <c r="D4645" s="18">
        <v>5.0</v>
      </c>
      <c r="E4645" s="17" t="s">
        <v>131</v>
      </c>
      <c r="F4645" s="15" t="s">
        <v>132</v>
      </c>
      <c r="G4645" s="19">
        <v>9.0043001E7</v>
      </c>
      <c r="H4645" s="15" t="s">
        <v>18</v>
      </c>
      <c r="I4645" s="20" t="s">
        <v>19</v>
      </c>
      <c r="J4645" s="21">
        <v>1.3885662E7</v>
      </c>
      <c r="K4645" s="21">
        <v>77.0</v>
      </c>
    </row>
    <row r="4646">
      <c r="A4646" s="15" t="s">
        <v>74</v>
      </c>
      <c r="B4646" s="16" t="s">
        <v>66</v>
      </c>
      <c r="C4646" s="17" t="s">
        <v>67</v>
      </c>
      <c r="D4646" s="18">
        <v>5.0</v>
      </c>
      <c r="E4646" s="17" t="s">
        <v>135</v>
      </c>
      <c r="F4646" s="15" t="s">
        <v>136</v>
      </c>
      <c r="G4646" s="19">
        <v>9.0043001E7</v>
      </c>
      <c r="H4646" s="15" t="s">
        <v>18</v>
      </c>
      <c r="I4646" s="20" t="s">
        <v>19</v>
      </c>
      <c r="J4646" s="21">
        <v>6.199521E7</v>
      </c>
      <c r="K4646" s="21">
        <v>334.0</v>
      </c>
    </row>
    <row r="4647">
      <c r="A4647" s="15" t="s">
        <v>74</v>
      </c>
      <c r="B4647" s="16" t="s">
        <v>66</v>
      </c>
      <c r="C4647" s="17" t="s">
        <v>67</v>
      </c>
      <c r="D4647" s="18">
        <v>5.0</v>
      </c>
      <c r="E4647" s="17" t="s">
        <v>162</v>
      </c>
      <c r="F4647" s="15" t="s">
        <v>163</v>
      </c>
      <c r="G4647" s="19">
        <v>9.0043001E7</v>
      </c>
      <c r="H4647" s="15" t="s">
        <v>18</v>
      </c>
      <c r="I4647" s="20" t="s">
        <v>19</v>
      </c>
      <c r="J4647" s="21">
        <v>7965527.0</v>
      </c>
      <c r="K4647" s="21">
        <v>45.0</v>
      </c>
    </row>
    <row r="4648">
      <c r="A4648" s="15" t="s">
        <v>74</v>
      </c>
      <c r="B4648" s="16" t="s">
        <v>66</v>
      </c>
      <c r="C4648" s="17" t="s">
        <v>67</v>
      </c>
      <c r="D4648" s="18">
        <v>5.0</v>
      </c>
      <c r="E4648" s="17" t="s">
        <v>162</v>
      </c>
      <c r="F4648" s="15" t="s">
        <v>163</v>
      </c>
      <c r="G4648" s="19">
        <v>9.0043E7</v>
      </c>
      <c r="H4648" s="15" t="s">
        <v>83</v>
      </c>
      <c r="I4648" s="20" t="s">
        <v>19</v>
      </c>
      <c r="J4648" s="21">
        <v>198004.0</v>
      </c>
      <c r="K4648" s="21">
        <v>1.0</v>
      </c>
    </row>
    <row r="4649">
      <c r="A4649" s="15" t="s">
        <v>74</v>
      </c>
      <c r="B4649" s="16" t="s">
        <v>66</v>
      </c>
      <c r="C4649" s="17" t="s">
        <v>67</v>
      </c>
      <c r="D4649" s="18">
        <v>5.0</v>
      </c>
      <c r="E4649" s="17" t="s">
        <v>54</v>
      </c>
      <c r="F4649" s="15" t="s">
        <v>139</v>
      </c>
      <c r="G4649" s="19">
        <v>9.0042011E7</v>
      </c>
      <c r="H4649" s="15" t="s">
        <v>55</v>
      </c>
      <c r="I4649" s="20" t="s">
        <v>19</v>
      </c>
      <c r="J4649" s="21">
        <v>4.7355108E8</v>
      </c>
      <c r="K4649" s="21">
        <v>0.0</v>
      </c>
    </row>
    <row r="4650">
      <c r="A4650" s="15" t="s">
        <v>74</v>
      </c>
      <c r="B4650" s="16" t="s">
        <v>66</v>
      </c>
      <c r="C4650" s="17" t="s">
        <v>67</v>
      </c>
      <c r="D4650" s="18">
        <v>5.0</v>
      </c>
      <c r="E4650" s="17" t="s">
        <v>20</v>
      </c>
      <c r="F4650" s="15" t="s">
        <v>140</v>
      </c>
      <c r="G4650" s="19">
        <v>9.0042014E7</v>
      </c>
      <c r="H4650" s="15" t="s">
        <v>21</v>
      </c>
      <c r="I4650" s="20" t="s">
        <v>19</v>
      </c>
      <c r="J4650" s="21">
        <v>5.5937836E8</v>
      </c>
      <c r="K4650" s="21">
        <v>0.0</v>
      </c>
    </row>
    <row r="4651">
      <c r="A4651" s="15" t="s">
        <v>74</v>
      </c>
      <c r="B4651" s="16" t="s">
        <v>66</v>
      </c>
      <c r="C4651" s="17" t="s">
        <v>67</v>
      </c>
      <c r="D4651" s="18">
        <v>5.0</v>
      </c>
      <c r="E4651" s="17" t="s">
        <v>20</v>
      </c>
      <c r="F4651" s="15" t="s">
        <v>140</v>
      </c>
      <c r="G4651" s="19">
        <v>9.0042077E7</v>
      </c>
      <c r="H4651" s="15" t="s">
        <v>141</v>
      </c>
      <c r="I4651" s="20" t="s">
        <v>19</v>
      </c>
      <c r="J4651" s="21">
        <v>1.17294144E8</v>
      </c>
      <c r="K4651" s="21">
        <v>0.0</v>
      </c>
    </row>
    <row r="4652">
      <c r="A4652" s="15" t="s">
        <v>74</v>
      </c>
      <c r="B4652" s="16" t="s">
        <v>66</v>
      </c>
      <c r="C4652" s="17" t="s">
        <v>67</v>
      </c>
      <c r="D4652" s="18">
        <v>5.0</v>
      </c>
      <c r="E4652" s="17" t="s">
        <v>142</v>
      </c>
      <c r="F4652" s="15" t="s">
        <v>143</v>
      </c>
      <c r="G4652" s="19">
        <v>9.0042013E7</v>
      </c>
      <c r="H4652" s="15" t="s">
        <v>144</v>
      </c>
      <c r="I4652" s="20" t="s">
        <v>19</v>
      </c>
      <c r="J4652" s="21">
        <v>2.088573E7</v>
      </c>
      <c r="K4652" s="21">
        <v>0.0</v>
      </c>
    </row>
    <row r="4653">
      <c r="A4653" s="15" t="s">
        <v>74</v>
      </c>
      <c r="B4653" s="16" t="s">
        <v>66</v>
      </c>
      <c r="C4653" s="17" t="s">
        <v>67</v>
      </c>
      <c r="D4653" s="18">
        <v>5.0</v>
      </c>
      <c r="E4653" s="17" t="s">
        <v>142</v>
      </c>
      <c r="F4653" s="15" t="s">
        <v>143</v>
      </c>
      <c r="G4653" s="19">
        <v>9.0042084E7</v>
      </c>
      <c r="H4653" s="15" t="s">
        <v>145</v>
      </c>
      <c r="I4653" s="20" t="s">
        <v>19</v>
      </c>
      <c r="J4653" s="21">
        <v>2140980.0</v>
      </c>
      <c r="K4653" s="21">
        <v>0.0</v>
      </c>
    </row>
    <row r="4654">
      <c r="A4654" s="15" t="s">
        <v>74</v>
      </c>
      <c r="B4654" s="16" t="s">
        <v>66</v>
      </c>
      <c r="C4654" s="17" t="s">
        <v>67</v>
      </c>
      <c r="D4654" s="18">
        <v>5.0</v>
      </c>
      <c r="E4654" s="17" t="s">
        <v>22</v>
      </c>
      <c r="F4654" s="15" t="s">
        <v>146</v>
      </c>
      <c r="G4654" s="19">
        <v>9.0042012E7</v>
      </c>
      <c r="H4654" s="15" t="s">
        <v>23</v>
      </c>
      <c r="I4654" s="20" t="s">
        <v>19</v>
      </c>
      <c r="J4654" s="21">
        <v>1.4712332E8</v>
      </c>
      <c r="K4654" s="21">
        <v>0.0</v>
      </c>
    </row>
    <row r="4655">
      <c r="A4655" s="15" t="s">
        <v>74</v>
      </c>
      <c r="B4655" s="16" t="s">
        <v>66</v>
      </c>
      <c r="C4655" s="17" t="s">
        <v>67</v>
      </c>
      <c r="D4655" s="18">
        <v>5.0</v>
      </c>
      <c r="E4655" s="17" t="s">
        <v>22</v>
      </c>
      <c r="F4655" s="15" t="s">
        <v>146</v>
      </c>
      <c r="G4655" s="19">
        <v>9.0042121E7</v>
      </c>
      <c r="H4655" s="15" t="s">
        <v>24</v>
      </c>
      <c r="I4655" s="20" t="s">
        <v>25</v>
      </c>
      <c r="J4655" s="21">
        <v>4.73968866E8</v>
      </c>
      <c r="K4655" s="21">
        <v>0.0</v>
      </c>
    </row>
    <row r="4656">
      <c r="A4656" s="15" t="s">
        <v>74</v>
      </c>
      <c r="B4656" s="16" t="s">
        <v>66</v>
      </c>
      <c r="C4656" s="17" t="s">
        <v>67</v>
      </c>
      <c r="D4656" s="18">
        <v>5.0</v>
      </c>
      <c r="E4656" s="17" t="s">
        <v>22</v>
      </c>
      <c r="F4656" s="15" t="s">
        <v>146</v>
      </c>
      <c r="G4656" s="19">
        <v>9.0042122E7</v>
      </c>
      <c r="H4656" s="15" t="s">
        <v>56</v>
      </c>
      <c r="I4656" s="20" t="s">
        <v>25</v>
      </c>
      <c r="J4656" s="21">
        <v>1.65477854E8</v>
      </c>
      <c r="K4656" s="21">
        <v>0.0</v>
      </c>
    </row>
    <row r="4657">
      <c r="A4657" s="15" t="s">
        <v>74</v>
      </c>
      <c r="B4657" s="16" t="s">
        <v>66</v>
      </c>
      <c r="C4657" s="17" t="s">
        <v>67</v>
      </c>
      <c r="D4657" s="18">
        <v>5.0</v>
      </c>
      <c r="E4657" s="17" t="s">
        <v>22</v>
      </c>
      <c r="F4657" s="15" t="s">
        <v>146</v>
      </c>
      <c r="G4657" s="19">
        <v>9.0042124E7</v>
      </c>
      <c r="H4657" s="15" t="s">
        <v>57</v>
      </c>
      <c r="I4657" s="20" t="s">
        <v>25</v>
      </c>
      <c r="J4657" s="21">
        <v>6.5954019E7</v>
      </c>
      <c r="K4657" s="21">
        <v>0.0</v>
      </c>
    </row>
    <row r="4658">
      <c r="A4658" s="15" t="s">
        <v>74</v>
      </c>
      <c r="B4658" s="16" t="s">
        <v>66</v>
      </c>
      <c r="C4658" s="17" t="s">
        <v>67</v>
      </c>
      <c r="D4658" s="18">
        <v>5.0</v>
      </c>
      <c r="E4658" s="17" t="s">
        <v>22</v>
      </c>
      <c r="F4658" s="15" t="s">
        <v>146</v>
      </c>
      <c r="G4658" s="19">
        <v>9.0042125E7</v>
      </c>
      <c r="H4658" s="15" t="s">
        <v>26</v>
      </c>
      <c r="I4658" s="20" t="s">
        <v>25</v>
      </c>
      <c r="J4658" s="21">
        <v>7.3497454E7</v>
      </c>
      <c r="K4658" s="21">
        <v>0.0</v>
      </c>
    </row>
    <row r="4659">
      <c r="A4659" s="15" t="s">
        <v>74</v>
      </c>
      <c r="B4659" s="16" t="s">
        <v>66</v>
      </c>
      <c r="C4659" s="17" t="s">
        <v>67</v>
      </c>
      <c r="D4659" s="18">
        <v>5.0</v>
      </c>
      <c r="E4659" s="17" t="s">
        <v>22</v>
      </c>
      <c r="F4659" s="15" t="s">
        <v>146</v>
      </c>
      <c r="G4659" s="19">
        <v>9.0042127E7</v>
      </c>
      <c r="H4659" s="15" t="s">
        <v>27</v>
      </c>
      <c r="I4659" s="20" t="s">
        <v>25</v>
      </c>
      <c r="J4659" s="21">
        <v>3.0589757E7</v>
      </c>
      <c r="K4659" s="21">
        <v>0.0</v>
      </c>
    </row>
    <row r="4660">
      <c r="A4660" s="15" t="s">
        <v>74</v>
      </c>
      <c r="B4660" s="16" t="s">
        <v>66</v>
      </c>
      <c r="C4660" s="17" t="s">
        <v>67</v>
      </c>
      <c r="D4660" s="18">
        <v>5.0</v>
      </c>
      <c r="E4660" s="17" t="s">
        <v>22</v>
      </c>
      <c r="F4660" s="15" t="s">
        <v>146</v>
      </c>
      <c r="G4660" s="19">
        <v>9.0042128E7</v>
      </c>
      <c r="H4660" s="15" t="s">
        <v>58</v>
      </c>
      <c r="I4660" s="20" t="s">
        <v>25</v>
      </c>
      <c r="J4660" s="21">
        <v>2.2884358E7</v>
      </c>
      <c r="K4660" s="21">
        <v>0.0</v>
      </c>
    </row>
    <row r="4661">
      <c r="A4661" s="15" t="s">
        <v>74</v>
      </c>
      <c r="B4661" s="16" t="s">
        <v>66</v>
      </c>
      <c r="C4661" s="17" t="s">
        <v>67</v>
      </c>
      <c r="D4661" s="18">
        <v>5.0</v>
      </c>
      <c r="E4661" s="17" t="s">
        <v>22</v>
      </c>
      <c r="F4661" s="15" t="s">
        <v>146</v>
      </c>
      <c r="G4661" s="19">
        <v>9.0042132E7</v>
      </c>
      <c r="H4661" s="15" t="s">
        <v>28</v>
      </c>
      <c r="I4661" s="20" t="s">
        <v>25</v>
      </c>
      <c r="J4661" s="21">
        <v>2.2969419E7</v>
      </c>
      <c r="K4661" s="21">
        <v>0.0</v>
      </c>
    </row>
    <row r="4662">
      <c r="A4662" s="15" t="s">
        <v>74</v>
      </c>
      <c r="B4662" s="16" t="s">
        <v>66</v>
      </c>
      <c r="C4662" s="17" t="s">
        <v>67</v>
      </c>
      <c r="D4662" s="18">
        <v>5.0</v>
      </c>
      <c r="E4662" s="17" t="s">
        <v>22</v>
      </c>
      <c r="F4662" s="15" t="s">
        <v>146</v>
      </c>
      <c r="G4662" s="19">
        <v>9.0042135E7</v>
      </c>
      <c r="H4662" s="15" t="s">
        <v>30</v>
      </c>
      <c r="I4662" s="20" t="s">
        <v>25</v>
      </c>
      <c r="J4662" s="21">
        <v>3.91991929E8</v>
      </c>
      <c r="K4662" s="21">
        <v>0.0</v>
      </c>
    </row>
    <row r="4663">
      <c r="A4663" s="15" t="s">
        <v>74</v>
      </c>
      <c r="B4663" s="16" t="s">
        <v>66</v>
      </c>
      <c r="C4663" s="17" t="s">
        <v>67</v>
      </c>
      <c r="D4663" s="18">
        <v>5.0</v>
      </c>
      <c r="E4663" s="17" t="s">
        <v>22</v>
      </c>
      <c r="F4663" s="15" t="s">
        <v>146</v>
      </c>
      <c r="G4663" s="19">
        <v>9.00422E7</v>
      </c>
      <c r="H4663" s="15" t="s">
        <v>73</v>
      </c>
      <c r="I4663" s="20" t="s">
        <v>60</v>
      </c>
      <c r="J4663" s="21">
        <v>3.0419394E8</v>
      </c>
      <c r="K4663" s="21">
        <v>0.0</v>
      </c>
    </row>
    <row r="4664">
      <c r="A4664" s="15" t="s">
        <v>74</v>
      </c>
      <c r="B4664" s="16" t="s">
        <v>66</v>
      </c>
      <c r="C4664" s="17" t="s">
        <v>67</v>
      </c>
      <c r="D4664" s="18">
        <v>5.0</v>
      </c>
      <c r="E4664" s="17" t="s">
        <v>22</v>
      </c>
      <c r="F4664" s="15" t="s">
        <v>146</v>
      </c>
      <c r="G4664" s="19">
        <v>9.0042223E7</v>
      </c>
      <c r="H4664" s="15" t="s">
        <v>61</v>
      </c>
      <c r="I4664" s="20" t="s">
        <v>60</v>
      </c>
      <c r="J4664" s="21">
        <v>2.586596E7</v>
      </c>
      <c r="K4664" s="21">
        <v>0.0</v>
      </c>
    </row>
    <row r="4665">
      <c r="A4665" s="15" t="s">
        <v>74</v>
      </c>
      <c r="B4665" s="16" t="s">
        <v>66</v>
      </c>
      <c r="C4665" s="17" t="s">
        <v>67</v>
      </c>
      <c r="D4665" s="18">
        <v>5.0</v>
      </c>
      <c r="E4665" s="17" t="s">
        <v>22</v>
      </c>
      <c r="F4665" s="15" t="s">
        <v>146</v>
      </c>
      <c r="G4665" s="19">
        <v>9.0042224E7</v>
      </c>
      <c r="H4665" s="15" t="s">
        <v>62</v>
      </c>
      <c r="I4665" s="20" t="s">
        <v>60</v>
      </c>
      <c r="J4665" s="21">
        <v>4078086.0</v>
      </c>
      <c r="K4665" s="21">
        <v>0.0</v>
      </c>
    </row>
    <row r="4666">
      <c r="A4666" s="15" t="s">
        <v>74</v>
      </c>
      <c r="B4666" s="16" t="s">
        <v>66</v>
      </c>
      <c r="C4666" s="17" t="s">
        <v>67</v>
      </c>
      <c r="D4666" s="18">
        <v>5.0</v>
      </c>
      <c r="E4666" s="17" t="s">
        <v>22</v>
      </c>
      <c r="F4666" s="15" t="s">
        <v>146</v>
      </c>
      <c r="G4666" s="19">
        <v>9.0042226E7</v>
      </c>
      <c r="H4666" s="15" t="s">
        <v>63</v>
      </c>
      <c r="I4666" s="20" t="s">
        <v>60</v>
      </c>
      <c r="J4666" s="21">
        <v>115027.0</v>
      </c>
      <c r="K4666" s="21">
        <v>0.0</v>
      </c>
    </row>
    <row r="4667">
      <c r="A4667" s="15" t="s">
        <v>74</v>
      </c>
      <c r="B4667" s="16" t="s">
        <v>66</v>
      </c>
      <c r="C4667" s="17" t="s">
        <v>67</v>
      </c>
      <c r="D4667" s="18">
        <v>5.0</v>
      </c>
      <c r="E4667" s="17" t="s">
        <v>22</v>
      </c>
      <c r="F4667" s="15" t="s">
        <v>146</v>
      </c>
      <c r="G4667" s="19">
        <v>9.0042228E7</v>
      </c>
      <c r="H4667" s="15" t="s">
        <v>64</v>
      </c>
      <c r="I4667" s="20" t="s">
        <v>60</v>
      </c>
      <c r="J4667" s="21">
        <v>5.932899E7</v>
      </c>
      <c r="K4667" s="21">
        <v>0.0</v>
      </c>
    </row>
    <row r="4668">
      <c r="A4668" s="15" t="s">
        <v>74</v>
      </c>
      <c r="B4668" s="16" t="s">
        <v>66</v>
      </c>
      <c r="C4668" s="17" t="s">
        <v>67</v>
      </c>
      <c r="D4668" s="18">
        <v>5.0</v>
      </c>
      <c r="E4668" s="17" t="s">
        <v>22</v>
      </c>
      <c r="F4668" s="15" t="s">
        <v>146</v>
      </c>
      <c r="G4668" s="19">
        <v>9.0042231E7</v>
      </c>
      <c r="H4668" s="15" t="s">
        <v>65</v>
      </c>
      <c r="I4668" s="20" t="s">
        <v>60</v>
      </c>
      <c r="J4668" s="21">
        <v>5.1817844E7</v>
      </c>
      <c r="K4668" s="21">
        <v>0.0</v>
      </c>
    </row>
    <row r="4669">
      <c r="A4669" s="15" t="s">
        <v>74</v>
      </c>
      <c r="B4669" s="16" t="s">
        <v>66</v>
      </c>
      <c r="C4669" s="17" t="s">
        <v>67</v>
      </c>
      <c r="D4669" s="18">
        <v>5.0</v>
      </c>
      <c r="E4669" s="17" t="s">
        <v>22</v>
      </c>
      <c r="F4669" s="15" t="s">
        <v>146</v>
      </c>
      <c r="G4669" s="19">
        <v>9.0042126E7</v>
      </c>
      <c r="H4669" s="15" t="s">
        <v>31</v>
      </c>
      <c r="I4669" s="20" t="s">
        <v>25</v>
      </c>
      <c r="J4669" s="21">
        <v>4.8821689E7</v>
      </c>
      <c r="K4669" s="21">
        <v>0.0</v>
      </c>
    </row>
    <row r="4670">
      <c r="A4670" s="15" t="s">
        <v>74</v>
      </c>
      <c r="B4670" s="16" t="s">
        <v>66</v>
      </c>
      <c r="C4670" s="17" t="s">
        <v>67</v>
      </c>
      <c r="D4670" s="18">
        <v>5.0</v>
      </c>
      <c r="E4670" s="17" t="s">
        <v>22</v>
      </c>
      <c r="F4670" s="15" t="s">
        <v>146</v>
      </c>
      <c r="G4670" s="19">
        <v>9.004212E7</v>
      </c>
      <c r="H4670" s="15" t="s">
        <v>182</v>
      </c>
      <c r="I4670" s="20" t="s">
        <v>25</v>
      </c>
      <c r="J4670" s="21">
        <v>1.12260417E8</v>
      </c>
      <c r="K4670" s="21">
        <v>0.0</v>
      </c>
    </row>
    <row r="4671">
      <c r="A4671" s="15" t="s">
        <v>74</v>
      </c>
      <c r="B4671" s="16" t="s">
        <v>66</v>
      </c>
      <c r="C4671" s="17" t="s">
        <v>67</v>
      </c>
      <c r="D4671" s="18">
        <v>5.0</v>
      </c>
      <c r="E4671" s="24">
        <v>46069.0</v>
      </c>
      <c r="F4671" s="15" t="s">
        <v>217</v>
      </c>
      <c r="G4671" s="19">
        <v>9.0043001E7</v>
      </c>
      <c r="H4671" s="15" t="s">
        <v>18</v>
      </c>
      <c r="I4671" s="20" t="s">
        <v>19</v>
      </c>
      <c r="J4671" s="21">
        <v>2049762.0</v>
      </c>
      <c r="K4671" s="21">
        <v>11.0</v>
      </c>
    </row>
    <row r="4672">
      <c r="A4672" s="15"/>
      <c r="B4672" s="16"/>
      <c r="C4672" s="17"/>
      <c r="D4672" s="18"/>
      <c r="E4672" s="24"/>
      <c r="F4672" s="15"/>
      <c r="G4672" s="19"/>
      <c r="H4672" s="15"/>
      <c r="I4672" s="20"/>
      <c r="J4672" s="21"/>
      <c r="K4672" s="21"/>
    </row>
    <row r="4673">
      <c r="A4673" s="15"/>
      <c r="B4673" s="16"/>
      <c r="C4673" s="17"/>
      <c r="D4673" s="18"/>
      <c r="E4673" s="24"/>
      <c r="F4673" s="15"/>
      <c r="G4673" s="19"/>
      <c r="H4673" s="15"/>
      <c r="I4673" s="20"/>
      <c r="J4673" s="21"/>
      <c r="K4673" s="21"/>
    </row>
    <row r="4674">
      <c r="A4674" s="15"/>
      <c r="B4674" s="16"/>
      <c r="C4674" s="17"/>
      <c r="D4674" s="18"/>
      <c r="E4674" s="24"/>
      <c r="F4674" s="15"/>
      <c r="G4674" s="19"/>
      <c r="H4674" s="15"/>
      <c r="I4674" s="20"/>
      <c r="J4674" s="21"/>
      <c r="K4674" s="21"/>
    </row>
    <row r="4675">
      <c r="A4675" s="15"/>
      <c r="B4675" s="16"/>
      <c r="C4675" s="17"/>
      <c r="D4675" s="18"/>
      <c r="E4675" s="24"/>
      <c r="F4675" s="15"/>
      <c r="G4675" s="19"/>
      <c r="H4675" s="15"/>
      <c r="I4675" s="20"/>
      <c r="J4675" s="21"/>
      <c r="K4675" s="21"/>
    </row>
    <row r="4676">
      <c r="A4676" s="15"/>
      <c r="B4676" s="16"/>
      <c r="C4676" s="17"/>
      <c r="D4676" s="18"/>
      <c r="E4676" s="24"/>
      <c r="F4676" s="15"/>
      <c r="G4676" s="19"/>
      <c r="H4676" s="15"/>
      <c r="I4676" s="20"/>
      <c r="J4676" s="21"/>
      <c r="K4676" s="21"/>
    </row>
    <row r="4677">
      <c r="A4677" s="15"/>
      <c r="B4677" s="16"/>
      <c r="C4677" s="17"/>
      <c r="D4677" s="18"/>
      <c r="E4677" s="24"/>
      <c r="F4677" s="15"/>
      <c r="G4677" s="19"/>
      <c r="H4677" s="15"/>
      <c r="I4677" s="20"/>
      <c r="J4677" s="21"/>
      <c r="K4677" s="21"/>
    </row>
    <row r="4678">
      <c r="A4678" s="15"/>
      <c r="B4678" s="16"/>
      <c r="C4678" s="17"/>
      <c r="D4678" s="18"/>
      <c r="E4678" s="24"/>
      <c r="F4678" s="15"/>
      <c r="G4678" s="19"/>
      <c r="H4678" s="15"/>
      <c r="I4678" s="20"/>
      <c r="J4678" s="21"/>
      <c r="K4678" s="21"/>
    </row>
    <row r="4679">
      <c r="A4679" s="15"/>
      <c r="B4679" s="16"/>
      <c r="C4679" s="17"/>
      <c r="D4679" s="18"/>
      <c r="E4679" s="24"/>
      <c r="F4679" s="15"/>
      <c r="G4679" s="19"/>
      <c r="H4679" s="15"/>
      <c r="I4679" s="20"/>
      <c r="J4679" s="21"/>
      <c r="K4679" s="21"/>
    </row>
    <row r="4680">
      <c r="A4680" s="15"/>
      <c r="B4680" s="16"/>
      <c r="C4680" s="17"/>
      <c r="D4680" s="18"/>
      <c r="E4680" s="24"/>
      <c r="F4680" s="15"/>
      <c r="G4680" s="19"/>
      <c r="H4680" s="15"/>
      <c r="I4680" s="20"/>
      <c r="J4680" s="21"/>
      <c r="K4680" s="21"/>
    </row>
    <row r="4681">
      <c r="A4681" s="15"/>
      <c r="B4681" s="16"/>
      <c r="C4681" s="17"/>
      <c r="D4681" s="18"/>
      <c r="E4681" s="24"/>
      <c r="F4681" s="15"/>
      <c r="G4681" s="19"/>
      <c r="H4681" s="15"/>
      <c r="I4681" s="20"/>
      <c r="J4681" s="21"/>
      <c r="K4681" s="21"/>
    </row>
    <row r="4682">
      <c r="A4682" s="15"/>
      <c r="B4682" s="16"/>
      <c r="C4682" s="17"/>
      <c r="D4682" s="18"/>
      <c r="E4682" s="24"/>
      <c r="F4682" s="15"/>
      <c r="G4682" s="19"/>
      <c r="H4682" s="15"/>
      <c r="I4682" s="20"/>
      <c r="J4682" s="21"/>
      <c r="K4682" s="21"/>
    </row>
    <row r="4683">
      <c r="A4683" s="15"/>
      <c r="B4683" s="16"/>
      <c r="C4683" s="17"/>
      <c r="D4683" s="18"/>
      <c r="E4683" s="24"/>
      <c r="F4683" s="15"/>
      <c r="G4683" s="19"/>
      <c r="H4683" s="15"/>
      <c r="I4683" s="20"/>
      <c r="J4683" s="21"/>
      <c r="K4683" s="21"/>
    </row>
    <row r="4684">
      <c r="A4684" s="15"/>
      <c r="B4684" s="16"/>
      <c r="C4684" s="17"/>
      <c r="D4684" s="18"/>
      <c r="E4684" s="24"/>
      <c r="F4684" s="15"/>
      <c r="G4684" s="19"/>
      <c r="H4684" s="15"/>
      <c r="I4684" s="20"/>
      <c r="J4684" s="21"/>
      <c r="K4684" s="21"/>
    </row>
    <row r="4685">
      <c r="A4685" s="15"/>
      <c r="B4685" s="16"/>
      <c r="C4685" s="17"/>
      <c r="D4685" s="18"/>
      <c r="E4685" s="24"/>
      <c r="F4685" s="15"/>
      <c r="G4685" s="19"/>
      <c r="H4685" s="15"/>
      <c r="I4685" s="20"/>
      <c r="J4685" s="21"/>
      <c r="K4685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86"/>
    <col customWidth="1" min="3" max="3" width="25.43"/>
    <col customWidth="1" min="7" max="7" width="25.57"/>
    <col customWidth="1" min="8" max="8" width="10.29"/>
  </cols>
  <sheetData>
    <row r="1">
      <c r="A1" s="26" t="s">
        <v>405</v>
      </c>
      <c r="B1" s="27" t="s">
        <v>1</v>
      </c>
      <c r="C1" s="26" t="s">
        <v>406</v>
      </c>
      <c r="D1" s="26" t="s">
        <v>3</v>
      </c>
      <c r="E1" s="26" t="s">
        <v>407</v>
      </c>
      <c r="F1" s="26" t="s">
        <v>6</v>
      </c>
      <c r="G1" s="26" t="s">
        <v>408</v>
      </c>
      <c r="H1" s="26" t="s">
        <v>8</v>
      </c>
      <c r="I1" s="28" t="s">
        <v>9</v>
      </c>
    </row>
    <row r="2">
      <c r="A2" s="29" t="s">
        <v>11</v>
      </c>
      <c r="B2" s="6" t="s">
        <v>12</v>
      </c>
      <c r="C2" s="7" t="s">
        <v>13</v>
      </c>
      <c r="D2" s="5">
        <v>1.0</v>
      </c>
      <c r="E2" s="7" t="s">
        <v>409</v>
      </c>
      <c r="F2" s="5">
        <v>9.0042077E7</v>
      </c>
      <c r="G2" s="30" t="s">
        <v>410</v>
      </c>
      <c r="H2" s="31" t="s">
        <v>19</v>
      </c>
      <c r="I2" s="32">
        <v>1890000.0</v>
      </c>
    </row>
    <row r="3">
      <c r="A3" s="29" t="s">
        <v>11</v>
      </c>
      <c r="B3" s="6" t="s">
        <v>12</v>
      </c>
      <c r="C3" s="7" t="s">
        <v>13</v>
      </c>
      <c r="D3" s="5">
        <v>1.0</v>
      </c>
      <c r="E3" s="7" t="s">
        <v>409</v>
      </c>
      <c r="F3" s="5">
        <v>9.0043001E7</v>
      </c>
      <c r="G3" s="30" t="s">
        <v>411</v>
      </c>
      <c r="H3" s="31" t="s">
        <v>19</v>
      </c>
      <c r="I3" s="32">
        <v>1.6354812E7</v>
      </c>
    </row>
    <row r="4">
      <c r="A4" s="29" t="s">
        <v>11</v>
      </c>
      <c r="B4" s="6" t="s">
        <v>12</v>
      </c>
      <c r="C4" s="7" t="s">
        <v>13</v>
      </c>
      <c r="D4" s="5">
        <v>1.0</v>
      </c>
      <c r="E4" s="7" t="s">
        <v>409</v>
      </c>
      <c r="F4" s="5">
        <v>9.0043E7</v>
      </c>
      <c r="G4" s="30" t="s">
        <v>412</v>
      </c>
      <c r="H4" s="31" t="s">
        <v>19</v>
      </c>
      <c r="I4" s="32">
        <v>1.9410058E7</v>
      </c>
    </row>
    <row r="5">
      <c r="A5" s="29" t="s">
        <v>11</v>
      </c>
      <c r="B5" s="6" t="s">
        <v>12</v>
      </c>
      <c r="C5" s="7" t="s">
        <v>13</v>
      </c>
      <c r="D5" s="5">
        <v>1.0</v>
      </c>
      <c r="E5" s="7" t="s">
        <v>409</v>
      </c>
      <c r="F5" s="5">
        <v>5.1100402E7</v>
      </c>
      <c r="G5" s="30" t="s">
        <v>413</v>
      </c>
      <c r="H5" s="31" t="s">
        <v>19</v>
      </c>
      <c r="I5" s="32">
        <v>1558125.0</v>
      </c>
    </row>
    <row r="6">
      <c r="A6" s="29" t="s">
        <v>11</v>
      </c>
      <c r="B6" s="6" t="s">
        <v>32</v>
      </c>
      <c r="C6" s="7" t="s">
        <v>33</v>
      </c>
      <c r="D6" s="5">
        <v>1.0</v>
      </c>
      <c r="E6" s="7" t="s">
        <v>409</v>
      </c>
      <c r="F6" s="5">
        <v>5.1100064E7</v>
      </c>
      <c r="G6" s="30" t="s">
        <v>414</v>
      </c>
      <c r="H6" s="31" t="s">
        <v>37</v>
      </c>
      <c r="I6" s="32">
        <v>1618482.0</v>
      </c>
    </row>
    <row r="7">
      <c r="A7" s="29" t="s">
        <v>11</v>
      </c>
      <c r="B7" s="6" t="s">
        <v>32</v>
      </c>
      <c r="C7" s="7" t="s">
        <v>33</v>
      </c>
      <c r="D7" s="5">
        <v>1.0</v>
      </c>
      <c r="E7" s="7" t="s">
        <v>409</v>
      </c>
      <c r="F7" s="5">
        <v>5.1100441E7</v>
      </c>
      <c r="G7" s="30" t="s">
        <v>415</v>
      </c>
      <c r="H7" s="31" t="s">
        <v>19</v>
      </c>
      <c r="I7" s="32">
        <v>764640.0</v>
      </c>
    </row>
    <row r="8">
      <c r="A8" s="29" t="s">
        <v>11</v>
      </c>
      <c r="B8" s="6" t="s">
        <v>32</v>
      </c>
      <c r="C8" s="7" t="s">
        <v>33</v>
      </c>
      <c r="D8" s="5">
        <v>1.0</v>
      </c>
      <c r="E8" s="7" t="s">
        <v>409</v>
      </c>
      <c r="F8" s="5">
        <v>5.1100442E7</v>
      </c>
      <c r="G8" s="30" t="s">
        <v>415</v>
      </c>
      <c r="H8" s="31" t="s">
        <v>19</v>
      </c>
      <c r="I8" s="32">
        <v>424800.0</v>
      </c>
    </row>
    <row r="9">
      <c r="A9" s="29" t="s">
        <v>11</v>
      </c>
      <c r="B9" s="6" t="s">
        <v>32</v>
      </c>
      <c r="C9" s="7" t="s">
        <v>33</v>
      </c>
      <c r="D9" s="5">
        <v>1.0</v>
      </c>
      <c r="E9" s="7" t="s">
        <v>409</v>
      </c>
      <c r="F9" s="5">
        <v>9.0042077E7</v>
      </c>
      <c r="G9" s="30" t="s">
        <v>410</v>
      </c>
      <c r="H9" s="31" t="s">
        <v>19</v>
      </c>
      <c r="I9" s="32">
        <v>2.1924449E7</v>
      </c>
    </row>
    <row r="10">
      <c r="A10" s="29" t="s">
        <v>11</v>
      </c>
      <c r="B10" s="6" t="s">
        <v>32</v>
      </c>
      <c r="C10" s="7" t="s">
        <v>33</v>
      </c>
      <c r="D10" s="5">
        <v>1.0</v>
      </c>
      <c r="E10" s="7" t="s">
        <v>409</v>
      </c>
      <c r="F10" s="5">
        <v>9.0043001E7</v>
      </c>
      <c r="G10" s="30" t="s">
        <v>411</v>
      </c>
      <c r="H10" s="31" t="s">
        <v>19</v>
      </c>
      <c r="I10" s="32">
        <v>2.0942872E7</v>
      </c>
    </row>
    <row r="11">
      <c r="A11" s="29" t="s">
        <v>11</v>
      </c>
      <c r="B11" s="6" t="s">
        <v>32</v>
      </c>
      <c r="C11" s="7" t="s">
        <v>33</v>
      </c>
      <c r="D11" s="5">
        <v>1.0</v>
      </c>
      <c r="E11" s="7" t="s">
        <v>409</v>
      </c>
      <c r="F11" s="5">
        <v>9.0043E7</v>
      </c>
      <c r="G11" s="30" t="s">
        <v>412</v>
      </c>
      <c r="H11" s="31" t="s">
        <v>19</v>
      </c>
      <c r="I11" s="32">
        <v>1.17018893E8</v>
      </c>
    </row>
    <row r="12">
      <c r="A12" s="29" t="s">
        <v>11</v>
      </c>
      <c r="B12" s="6" t="s">
        <v>32</v>
      </c>
      <c r="C12" s="7" t="s">
        <v>33</v>
      </c>
      <c r="D12" s="5">
        <v>1.0</v>
      </c>
      <c r="E12" s="7" t="s">
        <v>416</v>
      </c>
      <c r="F12" s="5">
        <v>9.0043E7</v>
      </c>
      <c r="G12" s="30" t="s">
        <v>412</v>
      </c>
      <c r="H12" s="31" t="s">
        <v>19</v>
      </c>
      <c r="I12" s="32">
        <v>2.9241773E7</v>
      </c>
    </row>
    <row r="13">
      <c r="A13" s="29" t="s">
        <v>74</v>
      </c>
      <c r="B13" s="6" t="s">
        <v>75</v>
      </c>
      <c r="C13" s="7" t="s">
        <v>76</v>
      </c>
      <c r="D13" s="5">
        <v>1.0</v>
      </c>
      <c r="E13" s="7" t="s">
        <v>417</v>
      </c>
      <c r="F13" s="5">
        <v>9.0042084E7</v>
      </c>
      <c r="G13" s="30" t="s">
        <v>418</v>
      </c>
      <c r="H13" s="31" t="s">
        <v>19</v>
      </c>
      <c r="I13" s="32">
        <v>3680415.0</v>
      </c>
    </row>
    <row r="14">
      <c r="A14" s="29" t="s">
        <v>74</v>
      </c>
      <c r="B14" s="6" t="s">
        <v>75</v>
      </c>
      <c r="C14" s="7" t="s">
        <v>76</v>
      </c>
      <c r="D14" s="5">
        <v>1.0</v>
      </c>
      <c r="E14" s="7" t="s">
        <v>417</v>
      </c>
      <c r="F14" s="5">
        <v>9.0043001E7</v>
      </c>
      <c r="G14" s="30" t="s">
        <v>411</v>
      </c>
      <c r="H14" s="31" t="s">
        <v>19</v>
      </c>
      <c r="I14" s="32">
        <v>3.6441924E7</v>
      </c>
    </row>
    <row r="15">
      <c r="A15" s="29" t="s">
        <v>74</v>
      </c>
      <c r="B15" s="6" t="s">
        <v>75</v>
      </c>
      <c r="C15" s="7" t="s">
        <v>76</v>
      </c>
      <c r="D15" s="5">
        <v>1.0</v>
      </c>
      <c r="E15" s="7" t="s">
        <v>417</v>
      </c>
      <c r="F15" s="5">
        <v>9.0043E7</v>
      </c>
      <c r="G15" s="30" t="s">
        <v>412</v>
      </c>
      <c r="H15" s="31" t="s">
        <v>19</v>
      </c>
      <c r="I15" s="32">
        <v>2.4048192E7</v>
      </c>
    </row>
    <row r="16">
      <c r="A16" s="29" t="s">
        <v>74</v>
      </c>
      <c r="B16" s="6" t="s">
        <v>75</v>
      </c>
      <c r="C16" s="7" t="s">
        <v>76</v>
      </c>
      <c r="D16" s="5">
        <v>1.0</v>
      </c>
      <c r="E16" s="7" t="s">
        <v>409</v>
      </c>
      <c r="F16" s="5">
        <v>5.1100064E7</v>
      </c>
      <c r="G16" s="30" t="s">
        <v>414</v>
      </c>
      <c r="H16" s="31" t="s">
        <v>37</v>
      </c>
      <c r="I16" s="32">
        <v>2.2388028E7</v>
      </c>
    </row>
    <row r="17">
      <c r="A17" s="29" t="s">
        <v>74</v>
      </c>
      <c r="B17" s="6" t="s">
        <v>75</v>
      </c>
      <c r="C17" s="7" t="s">
        <v>76</v>
      </c>
      <c r="D17" s="5">
        <v>1.0</v>
      </c>
      <c r="E17" s="7" t="s">
        <v>409</v>
      </c>
      <c r="F17" s="5">
        <v>9.0042077E7</v>
      </c>
      <c r="G17" s="30" t="s">
        <v>410</v>
      </c>
      <c r="H17" s="31" t="s">
        <v>19</v>
      </c>
      <c r="I17" s="32">
        <v>8.1038945E7</v>
      </c>
    </row>
    <row r="18">
      <c r="A18" s="29" t="s">
        <v>74</v>
      </c>
      <c r="B18" s="6" t="s">
        <v>75</v>
      </c>
      <c r="C18" s="7" t="s">
        <v>76</v>
      </c>
      <c r="D18" s="5">
        <v>1.0</v>
      </c>
      <c r="E18" s="7" t="s">
        <v>409</v>
      </c>
      <c r="F18" s="5">
        <v>9.0043001E7</v>
      </c>
      <c r="G18" s="30" t="s">
        <v>411</v>
      </c>
      <c r="H18" s="31" t="s">
        <v>19</v>
      </c>
      <c r="I18" s="32">
        <v>2.29144262E8</v>
      </c>
    </row>
    <row r="19">
      <c r="A19" s="29" t="s">
        <v>74</v>
      </c>
      <c r="B19" s="6" t="s">
        <v>75</v>
      </c>
      <c r="C19" s="7" t="s">
        <v>76</v>
      </c>
      <c r="D19" s="5">
        <v>1.0</v>
      </c>
      <c r="E19" s="7" t="s">
        <v>409</v>
      </c>
      <c r="F19" s="5">
        <v>9.0043E7</v>
      </c>
      <c r="G19" s="30" t="s">
        <v>412</v>
      </c>
      <c r="H19" s="31" t="s">
        <v>19</v>
      </c>
      <c r="I19" s="32">
        <v>1.36730209E8</v>
      </c>
    </row>
    <row r="20">
      <c r="A20" s="29" t="s">
        <v>74</v>
      </c>
      <c r="B20" s="6" t="s">
        <v>75</v>
      </c>
      <c r="C20" s="7" t="s">
        <v>76</v>
      </c>
      <c r="D20" s="5">
        <v>1.0</v>
      </c>
      <c r="E20" s="7" t="s">
        <v>416</v>
      </c>
      <c r="F20" s="5">
        <v>5.1100064E7</v>
      </c>
      <c r="G20" s="30" t="s">
        <v>414</v>
      </c>
      <c r="H20" s="31" t="s">
        <v>37</v>
      </c>
      <c r="I20" s="32">
        <v>2120000.0</v>
      </c>
    </row>
    <row r="21">
      <c r="A21" s="29" t="s">
        <v>74</v>
      </c>
      <c r="B21" s="6" t="s">
        <v>75</v>
      </c>
      <c r="C21" s="7" t="s">
        <v>76</v>
      </c>
      <c r="D21" s="5">
        <v>1.0</v>
      </c>
      <c r="E21" s="7" t="s">
        <v>416</v>
      </c>
      <c r="F21" s="5">
        <v>5.1100064E7</v>
      </c>
      <c r="G21" s="30" t="s">
        <v>414</v>
      </c>
      <c r="H21" s="31" t="s">
        <v>25</v>
      </c>
      <c r="I21" s="32">
        <v>250000.0</v>
      </c>
    </row>
    <row r="22">
      <c r="A22" s="29" t="s">
        <v>74</v>
      </c>
      <c r="B22" s="6" t="s">
        <v>75</v>
      </c>
      <c r="C22" s="7" t="s">
        <v>76</v>
      </c>
      <c r="D22" s="5">
        <v>1.0</v>
      </c>
      <c r="E22" s="7" t="s">
        <v>416</v>
      </c>
      <c r="F22" s="5">
        <v>9.004208E7</v>
      </c>
      <c r="G22" s="30" t="s">
        <v>419</v>
      </c>
      <c r="H22" s="31" t="s">
        <v>25</v>
      </c>
      <c r="I22" s="32">
        <v>1455000.0</v>
      </c>
    </row>
    <row r="23">
      <c r="A23" s="29" t="s">
        <v>74</v>
      </c>
      <c r="B23" s="6" t="s">
        <v>75</v>
      </c>
      <c r="C23" s="7" t="s">
        <v>76</v>
      </c>
      <c r="D23" s="5">
        <v>1.0</v>
      </c>
      <c r="E23" s="7" t="s">
        <v>416</v>
      </c>
      <c r="F23" s="5">
        <v>9.0043001E7</v>
      </c>
      <c r="G23" s="30" t="s">
        <v>411</v>
      </c>
      <c r="H23" s="31" t="s">
        <v>19</v>
      </c>
      <c r="I23" s="32">
        <v>3.18967118E8</v>
      </c>
    </row>
    <row r="24">
      <c r="A24" s="29" t="s">
        <v>74</v>
      </c>
      <c r="B24" s="6" t="s">
        <v>75</v>
      </c>
      <c r="C24" s="7" t="s">
        <v>76</v>
      </c>
      <c r="D24" s="5">
        <v>1.0</v>
      </c>
      <c r="E24" s="7" t="s">
        <v>416</v>
      </c>
      <c r="F24" s="5">
        <v>9.0043E7</v>
      </c>
      <c r="G24" s="30" t="s">
        <v>412</v>
      </c>
      <c r="H24" s="31" t="s">
        <v>19</v>
      </c>
      <c r="I24" s="32">
        <v>6.8270436E7</v>
      </c>
    </row>
    <row r="25">
      <c r="A25" s="29" t="s">
        <v>74</v>
      </c>
      <c r="B25" s="6" t="s">
        <v>148</v>
      </c>
      <c r="C25" s="7" t="s">
        <v>149</v>
      </c>
      <c r="D25" s="5">
        <v>1.0</v>
      </c>
      <c r="E25" s="7" t="s">
        <v>417</v>
      </c>
      <c r="F25" s="5">
        <v>9.0042084E7</v>
      </c>
      <c r="G25" s="30" t="s">
        <v>418</v>
      </c>
      <c r="H25" s="31" t="s">
        <v>19</v>
      </c>
      <c r="I25" s="32">
        <v>4149725.0</v>
      </c>
    </row>
    <row r="26">
      <c r="A26" s="29" t="s">
        <v>74</v>
      </c>
      <c r="B26" s="6" t="s">
        <v>148</v>
      </c>
      <c r="C26" s="7" t="s">
        <v>149</v>
      </c>
      <c r="D26" s="5">
        <v>1.0</v>
      </c>
      <c r="E26" s="7" t="s">
        <v>417</v>
      </c>
      <c r="F26" s="5">
        <v>9.0043001E7</v>
      </c>
      <c r="G26" s="30" t="s">
        <v>411</v>
      </c>
      <c r="H26" s="31" t="s">
        <v>19</v>
      </c>
      <c r="I26" s="32">
        <v>6120687.0</v>
      </c>
    </row>
    <row r="27">
      <c r="A27" s="29" t="s">
        <v>74</v>
      </c>
      <c r="B27" s="6" t="s">
        <v>148</v>
      </c>
      <c r="C27" s="7" t="s">
        <v>149</v>
      </c>
      <c r="D27" s="5">
        <v>1.0</v>
      </c>
      <c r="E27" s="7" t="s">
        <v>417</v>
      </c>
      <c r="F27" s="5">
        <v>9.0043E7</v>
      </c>
      <c r="G27" s="30" t="s">
        <v>412</v>
      </c>
      <c r="H27" s="31" t="s">
        <v>19</v>
      </c>
      <c r="I27" s="32">
        <v>7409124.0</v>
      </c>
    </row>
    <row r="28">
      <c r="A28" s="29" t="s">
        <v>74</v>
      </c>
      <c r="B28" s="6" t="s">
        <v>148</v>
      </c>
      <c r="C28" s="7" t="s">
        <v>149</v>
      </c>
      <c r="D28" s="5">
        <v>1.0</v>
      </c>
      <c r="E28" s="7" t="s">
        <v>409</v>
      </c>
      <c r="F28" s="5">
        <v>9.0042077E7</v>
      </c>
      <c r="G28" s="30" t="s">
        <v>410</v>
      </c>
      <c r="H28" s="31" t="s">
        <v>19</v>
      </c>
      <c r="I28" s="32">
        <v>2.943346E7</v>
      </c>
    </row>
    <row r="29">
      <c r="A29" s="29" t="s">
        <v>74</v>
      </c>
      <c r="B29" s="6" t="s">
        <v>148</v>
      </c>
      <c r="C29" s="7" t="s">
        <v>149</v>
      </c>
      <c r="D29" s="5">
        <v>1.0</v>
      </c>
      <c r="E29" s="7" t="s">
        <v>409</v>
      </c>
      <c r="F29" s="5">
        <v>9.0043001E7</v>
      </c>
      <c r="G29" s="30" t="s">
        <v>411</v>
      </c>
      <c r="H29" s="31" t="s">
        <v>19</v>
      </c>
      <c r="I29" s="32">
        <v>1.97436807E8</v>
      </c>
    </row>
    <row r="30">
      <c r="A30" s="29" t="s">
        <v>74</v>
      </c>
      <c r="B30" s="6" t="s">
        <v>148</v>
      </c>
      <c r="C30" s="7" t="s">
        <v>149</v>
      </c>
      <c r="D30" s="5">
        <v>1.0</v>
      </c>
      <c r="E30" s="7" t="s">
        <v>409</v>
      </c>
      <c r="F30" s="5">
        <v>9.0043E7</v>
      </c>
      <c r="G30" s="30" t="s">
        <v>412</v>
      </c>
      <c r="H30" s="31" t="s">
        <v>19</v>
      </c>
      <c r="I30" s="32">
        <v>1.24437018E8</v>
      </c>
    </row>
    <row r="31">
      <c r="A31" s="29" t="s">
        <v>74</v>
      </c>
      <c r="B31" s="6" t="s">
        <v>148</v>
      </c>
      <c r="C31" s="7" t="s">
        <v>149</v>
      </c>
      <c r="D31" s="5">
        <v>1.0</v>
      </c>
      <c r="E31" s="7" t="s">
        <v>416</v>
      </c>
      <c r="F31" s="5">
        <v>5.1100401E7</v>
      </c>
      <c r="G31" s="30" t="s">
        <v>420</v>
      </c>
      <c r="H31" s="31" t="s">
        <v>19</v>
      </c>
      <c r="I31" s="32">
        <v>0.0</v>
      </c>
    </row>
    <row r="32">
      <c r="A32" s="29" t="s">
        <v>74</v>
      </c>
      <c r="B32" s="6" t="s">
        <v>148</v>
      </c>
      <c r="C32" s="7" t="s">
        <v>149</v>
      </c>
      <c r="D32" s="5">
        <v>1.0</v>
      </c>
      <c r="E32" s="7" t="s">
        <v>416</v>
      </c>
      <c r="F32" s="5">
        <v>9.004208E7</v>
      </c>
      <c r="G32" s="30" t="s">
        <v>419</v>
      </c>
      <c r="H32" s="31" t="s">
        <v>25</v>
      </c>
      <c r="I32" s="32">
        <v>8930798.0</v>
      </c>
    </row>
    <row r="33">
      <c r="A33" s="29" t="s">
        <v>74</v>
      </c>
      <c r="B33" s="6" t="s">
        <v>148</v>
      </c>
      <c r="C33" s="7" t="s">
        <v>149</v>
      </c>
      <c r="D33" s="5">
        <v>1.0</v>
      </c>
      <c r="E33" s="7" t="s">
        <v>416</v>
      </c>
      <c r="F33" s="5">
        <v>9.0043001E7</v>
      </c>
      <c r="G33" s="30" t="s">
        <v>411</v>
      </c>
      <c r="H33" s="31" t="s">
        <v>19</v>
      </c>
      <c r="I33" s="32">
        <v>2.55377232E8</v>
      </c>
    </row>
    <row r="34">
      <c r="A34" s="29" t="s">
        <v>74</v>
      </c>
      <c r="B34" s="6" t="s">
        <v>148</v>
      </c>
      <c r="C34" s="7" t="s">
        <v>149</v>
      </c>
      <c r="D34" s="5">
        <v>1.0</v>
      </c>
      <c r="E34" s="7" t="s">
        <v>416</v>
      </c>
      <c r="F34" s="5">
        <v>9.0043E7</v>
      </c>
      <c r="G34" s="30" t="s">
        <v>412</v>
      </c>
      <c r="H34" s="31" t="s">
        <v>19</v>
      </c>
      <c r="I34" s="32">
        <v>4.8766789E7</v>
      </c>
    </row>
    <row r="35">
      <c r="A35" s="29" t="s">
        <v>74</v>
      </c>
      <c r="B35" s="6" t="s">
        <v>167</v>
      </c>
      <c r="C35" s="7" t="s">
        <v>168</v>
      </c>
      <c r="D35" s="5">
        <v>1.0</v>
      </c>
      <c r="E35" s="7" t="s">
        <v>417</v>
      </c>
      <c r="F35" s="5">
        <v>9.0042084E7</v>
      </c>
      <c r="G35" s="30" t="s">
        <v>418</v>
      </c>
      <c r="H35" s="31" t="s">
        <v>19</v>
      </c>
      <c r="I35" s="32">
        <v>67392.0</v>
      </c>
    </row>
    <row r="36">
      <c r="A36" s="29" t="s">
        <v>74</v>
      </c>
      <c r="B36" s="6" t="s">
        <v>167</v>
      </c>
      <c r="C36" s="7" t="s">
        <v>168</v>
      </c>
      <c r="D36" s="5">
        <v>1.0</v>
      </c>
      <c r="E36" s="7" t="s">
        <v>417</v>
      </c>
      <c r="F36" s="5">
        <v>9.0043001E7</v>
      </c>
      <c r="G36" s="30" t="s">
        <v>411</v>
      </c>
      <c r="H36" s="31" t="s">
        <v>19</v>
      </c>
      <c r="I36" s="32">
        <v>511000.0</v>
      </c>
    </row>
    <row r="37">
      <c r="A37" s="29" t="s">
        <v>74</v>
      </c>
      <c r="B37" s="6" t="s">
        <v>167</v>
      </c>
      <c r="C37" s="7" t="s">
        <v>168</v>
      </c>
      <c r="D37" s="5">
        <v>1.0</v>
      </c>
      <c r="E37" s="7" t="s">
        <v>409</v>
      </c>
      <c r="F37" s="5">
        <v>5.1100064E7</v>
      </c>
      <c r="G37" s="30" t="s">
        <v>414</v>
      </c>
      <c r="H37" s="31" t="s">
        <v>25</v>
      </c>
      <c r="I37" s="32">
        <v>1.461088E7</v>
      </c>
    </row>
    <row r="38">
      <c r="A38" s="29" t="s">
        <v>74</v>
      </c>
      <c r="B38" s="6" t="s">
        <v>167</v>
      </c>
      <c r="C38" s="7" t="s">
        <v>168</v>
      </c>
      <c r="D38" s="5">
        <v>1.0</v>
      </c>
      <c r="E38" s="7" t="s">
        <v>409</v>
      </c>
      <c r="F38" s="5">
        <v>9.0042077E7</v>
      </c>
      <c r="G38" s="30" t="s">
        <v>410</v>
      </c>
      <c r="H38" s="31" t="s">
        <v>19</v>
      </c>
      <c r="I38" s="32">
        <v>8.4676025E7</v>
      </c>
    </row>
    <row r="39">
      <c r="A39" s="29" t="s">
        <v>74</v>
      </c>
      <c r="B39" s="6" t="s">
        <v>167</v>
      </c>
      <c r="C39" s="7" t="s">
        <v>168</v>
      </c>
      <c r="D39" s="5">
        <v>1.0</v>
      </c>
      <c r="E39" s="7" t="s">
        <v>409</v>
      </c>
      <c r="F39" s="5">
        <v>9.0043001E7</v>
      </c>
      <c r="G39" s="30" t="s">
        <v>411</v>
      </c>
      <c r="H39" s="31" t="s">
        <v>19</v>
      </c>
      <c r="I39" s="32">
        <v>2.98416046E8</v>
      </c>
    </row>
    <row r="40">
      <c r="A40" s="29" t="s">
        <v>74</v>
      </c>
      <c r="B40" s="6" t="s">
        <v>167</v>
      </c>
      <c r="C40" s="7" t="s">
        <v>168</v>
      </c>
      <c r="D40" s="5">
        <v>1.0</v>
      </c>
      <c r="E40" s="7" t="s">
        <v>409</v>
      </c>
      <c r="F40" s="5">
        <v>9.0043E7</v>
      </c>
      <c r="G40" s="30" t="s">
        <v>412</v>
      </c>
      <c r="H40" s="31" t="s">
        <v>19</v>
      </c>
      <c r="I40" s="32">
        <v>1.32594188E8</v>
      </c>
    </row>
    <row r="41">
      <c r="A41" s="29" t="s">
        <v>74</v>
      </c>
      <c r="B41" s="6" t="s">
        <v>167</v>
      </c>
      <c r="C41" s="7" t="s">
        <v>168</v>
      </c>
      <c r="D41" s="5">
        <v>1.0</v>
      </c>
      <c r="E41" s="7" t="s">
        <v>416</v>
      </c>
      <c r="F41" s="5">
        <v>9.0043001E7</v>
      </c>
      <c r="G41" s="30" t="s">
        <v>411</v>
      </c>
      <c r="H41" s="31" t="s">
        <v>19</v>
      </c>
      <c r="I41" s="32">
        <v>2.07004971E8</v>
      </c>
    </row>
    <row r="42">
      <c r="A42" s="29" t="s">
        <v>74</v>
      </c>
      <c r="B42" s="6" t="s">
        <v>167</v>
      </c>
      <c r="C42" s="7" t="s">
        <v>168</v>
      </c>
      <c r="D42" s="5">
        <v>1.0</v>
      </c>
      <c r="E42" s="7" t="s">
        <v>416</v>
      </c>
      <c r="F42" s="5">
        <v>9.0043E7</v>
      </c>
      <c r="G42" s="30" t="s">
        <v>412</v>
      </c>
      <c r="H42" s="31" t="s">
        <v>19</v>
      </c>
      <c r="I42" s="32">
        <v>2.9082085E7</v>
      </c>
    </row>
    <row r="43">
      <c r="A43" s="29" t="s">
        <v>74</v>
      </c>
      <c r="B43" s="6" t="s">
        <v>170</v>
      </c>
      <c r="C43" s="7" t="s">
        <v>171</v>
      </c>
      <c r="D43" s="5">
        <v>1.0</v>
      </c>
      <c r="E43" s="7" t="s">
        <v>409</v>
      </c>
      <c r="F43" s="5">
        <v>5.1100064E7</v>
      </c>
      <c r="G43" s="30" t="s">
        <v>414</v>
      </c>
      <c r="H43" s="31" t="s">
        <v>37</v>
      </c>
      <c r="I43" s="32">
        <v>1721000.0</v>
      </c>
    </row>
    <row r="44">
      <c r="A44" s="29" t="s">
        <v>74</v>
      </c>
      <c r="B44" s="6" t="s">
        <v>170</v>
      </c>
      <c r="C44" s="7" t="s">
        <v>171</v>
      </c>
      <c r="D44" s="5">
        <v>1.0</v>
      </c>
      <c r="E44" s="7" t="s">
        <v>409</v>
      </c>
      <c r="F44" s="5">
        <v>9.0042077E7</v>
      </c>
      <c r="G44" s="30" t="s">
        <v>410</v>
      </c>
      <c r="H44" s="31" t="s">
        <v>19</v>
      </c>
      <c r="I44" s="32">
        <v>1.797003E7</v>
      </c>
    </row>
    <row r="45">
      <c r="A45" s="29" t="s">
        <v>74</v>
      </c>
      <c r="B45" s="6" t="s">
        <v>170</v>
      </c>
      <c r="C45" s="7" t="s">
        <v>171</v>
      </c>
      <c r="D45" s="5">
        <v>1.0</v>
      </c>
      <c r="E45" s="7" t="s">
        <v>409</v>
      </c>
      <c r="F45" s="5">
        <v>9.0043001E7</v>
      </c>
      <c r="G45" s="30" t="s">
        <v>411</v>
      </c>
      <c r="H45" s="31" t="s">
        <v>19</v>
      </c>
      <c r="I45" s="32">
        <v>1.99405184E8</v>
      </c>
    </row>
    <row r="46">
      <c r="A46" s="29" t="s">
        <v>74</v>
      </c>
      <c r="B46" s="6" t="s">
        <v>170</v>
      </c>
      <c r="C46" s="7" t="s">
        <v>171</v>
      </c>
      <c r="D46" s="5">
        <v>1.0</v>
      </c>
      <c r="E46" s="7" t="s">
        <v>409</v>
      </c>
      <c r="F46" s="5">
        <v>9.0043E7</v>
      </c>
      <c r="G46" s="30" t="s">
        <v>412</v>
      </c>
      <c r="H46" s="31" t="s">
        <v>19</v>
      </c>
      <c r="I46" s="32">
        <v>5.2547598E7</v>
      </c>
    </row>
    <row r="47">
      <c r="A47" s="29" t="s">
        <v>74</v>
      </c>
      <c r="B47" s="6" t="s">
        <v>170</v>
      </c>
      <c r="C47" s="7" t="s">
        <v>171</v>
      </c>
      <c r="D47" s="5">
        <v>1.0</v>
      </c>
      <c r="E47" s="7" t="s">
        <v>409</v>
      </c>
      <c r="F47" s="5">
        <v>5.1100107E7</v>
      </c>
      <c r="G47" s="30" t="s">
        <v>421</v>
      </c>
      <c r="H47" s="31" t="s">
        <v>25</v>
      </c>
      <c r="I47" s="32">
        <v>1800000.0</v>
      </c>
    </row>
    <row r="48">
      <c r="A48" s="29" t="s">
        <v>74</v>
      </c>
      <c r="B48" s="6" t="s">
        <v>170</v>
      </c>
      <c r="C48" s="7" t="s">
        <v>171</v>
      </c>
      <c r="D48" s="5">
        <v>1.0</v>
      </c>
      <c r="E48" s="7" t="s">
        <v>416</v>
      </c>
      <c r="F48" s="5">
        <v>5.1100064E7</v>
      </c>
      <c r="G48" s="30" t="s">
        <v>414</v>
      </c>
      <c r="H48" s="31" t="s">
        <v>25</v>
      </c>
      <c r="I48" s="32">
        <v>1.06109E7</v>
      </c>
    </row>
    <row r="49">
      <c r="A49" s="29" t="s">
        <v>74</v>
      </c>
      <c r="B49" s="6" t="s">
        <v>170</v>
      </c>
      <c r="C49" s="7" t="s">
        <v>171</v>
      </c>
      <c r="D49" s="5">
        <v>1.0</v>
      </c>
      <c r="E49" s="7" t="s">
        <v>416</v>
      </c>
      <c r="F49" s="5">
        <v>9.0042079E7</v>
      </c>
      <c r="G49" s="30" t="s">
        <v>422</v>
      </c>
      <c r="H49" s="31" t="s">
        <v>19</v>
      </c>
      <c r="I49" s="32">
        <v>131200.0</v>
      </c>
    </row>
    <row r="50">
      <c r="A50" s="29" t="s">
        <v>74</v>
      </c>
      <c r="B50" s="6" t="s">
        <v>170</v>
      </c>
      <c r="C50" s="7" t="s">
        <v>171</v>
      </c>
      <c r="D50" s="5">
        <v>1.0</v>
      </c>
      <c r="E50" s="7" t="s">
        <v>416</v>
      </c>
      <c r="F50" s="5">
        <v>9.0043001E7</v>
      </c>
      <c r="G50" s="30" t="s">
        <v>411</v>
      </c>
      <c r="H50" s="31" t="s">
        <v>19</v>
      </c>
      <c r="I50" s="32">
        <v>1.33007682E8</v>
      </c>
    </row>
    <row r="51">
      <c r="A51" s="29" t="s">
        <v>74</v>
      </c>
      <c r="B51" s="6" t="s">
        <v>170</v>
      </c>
      <c r="C51" s="7" t="s">
        <v>171</v>
      </c>
      <c r="D51" s="5">
        <v>1.0</v>
      </c>
      <c r="E51" s="7" t="s">
        <v>416</v>
      </c>
      <c r="F51" s="5">
        <v>9.0043E7</v>
      </c>
      <c r="G51" s="30" t="s">
        <v>412</v>
      </c>
      <c r="H51" s="31" t="s">
        <v>19</v>
      </c>
      <c r="I51" s="32">
        <v>2.6862021E7</v>
      </c>
    </row>
    <row r="52">
      <c r="A52" s="29" t="s">
        <v>74</v>
      </c>
      <c r="B52" s="6" t="s">
        <v>187</v>
      </c>
      <c r="C52" s="7" t="s">
        <v>188</v>
      </c>
      <c r="D52" s="5">
        <v>1.0</v>
      </c>
      <c r="E52" s="7" t="s">
        <v>409</v>
      </c>
      <c r="F52" s="5">
        <v>5.1100064E7</v>
      </c>
      <c r="G52" s="30" t="s">
        <v>414</v>
      </c>
      <c r="H52" s="31" t="s">
        <v>37</v>
      </c>
      <c r="I52" s="32">
        <v>9913000.0</v>
      </c>
    </row>
    <row r="53">
      <c r="A53" s="29" t="s">
        <v>74</v>
      </c>
      <c r="B53" s="6" t="s">
        <v>187</v>
      </c>
      <c r="C53" s="7" t="s">
        <v>188</v>
      </c>
      <c r="D53" s="5">
        <v>1.0</v>
      </c>
      <c r="E53" s="7" t="s">
        <v>409</v>
      </c>
      <c r="F53" s="5">
        <v>9.0042077E7</v>
      </c>
      <c r="G53" s="30" t="s">
        <v>410</v>
      </c>
      <c r="H53" s="31" t="s">
        <v>19</v>
      </c>
      <c r="I53" s="32">
        <v>2.9782382E7</v>
      </c>
    </row>
    <row r="54">
      <c r="A54" s="29" t="s">
        <v>74</v>
      </c>
      <c r="B54" s="6" t="s">
        <v>187</v>
      </c>
      <c r="C54" s="7" t="s">
        <v>188</v>
      </c>
      <c r="D54" s="5">
        <v>1.0</v>
      </c>
      <c r="E54" s="7" t="s">
        <v>409</v>
      </c>
      <c r="F54" s="5">
        <v>9.0043001E7</v>
      </c>
      <c r="G54" s="30" t="s">
        <v>411</v>
      </c>
      <c r="H54" s="31" t="s">
        <v>19</v>
      </c>
      <c r="I54" s="32">
        <v>1.78567774E8</v>
      </c>
    </row>
    <row r="55">
      <c r="A55" s="29" t="s">
        <v>74</v>
      </c>
      <c r="B55" s="6" t="s">
        <v>187</v>
      </c>
      <c r="C55" s="7" t="s">
        <v>188</v>
      </c>
      <c r="D55" s="5">
        <v>1.0</v>
      </c>
      <c r="E55" s="7" t="s">
        <v>409</v>
      </c>
      <c r="F55" s="5">
        <v>9.0043E7</v>
      </c>
      <c r="G55" s="30" t="s">
        <v>412</v>
      </c>
      <c r="H55" s="31" t="s">
        <v>19</v>
      </c>
      <c r="I55" s="32">
        <v>4.6641496E7</v>
      </c>
    </row>
    <row r="56">
      <c r="A56" s="29" t="s">
        <v>74</v>
      </c>
      <c r="B56" s="6" t="s">
        <v>187</v>
      </c>
      <c r="C56" s="7" t="s">
        <v>188</v>
      </c>
      <c r="D56" s="5">
        <v>1.0</v>
      </c>
      <c r="E56" s="7" t="s">
        <v>409</v>
      </c>
      <c r="F56" s="5">
        <v>5.1100062E7</v>
      </c>
      <c r="G56" s="30" t="s">
        <v>423</v>
      </c>
      <c r="H56" s="31" t="s">
        <v>37</v>
      </c>
      <c r="I56" s="32">
        <v>2400000.0</v>
      </c>
    </row>
    <row r="57">
      <c r="A57" s="29" t="s">
        <v>74</v>
      </c>
      <c r="B57" s="6" t="s">
        <v>187</v>
      </c>
      <c r="C57" s="7" t="s">
        <v>188</v>
      </c>
      <c r="D57" s="5">
        <v>1.0</v>
      </c>
      <c r="E57" s="7" t="s">
        <v>416</v>
      </c>
      <c r="F57" s="5">
        <v>9.0043001E7</v>
      </c>
      <c r="G57" s="30" t="s">
        <v>411</v>
      </c>
      <c r="H57" s="31" t="s">
        <v>19</v>
      </c>
      <c r="I57" s="32">
        <v>1.98668184E8</v>
      </c>
    </row>
    <row r="58">
      <c r="A58" s="29" t="s">
        <v>74</v>
      </c>
      <c r="B58" s="6" t="s">
        <v>187</v>
      </c>
      <c r="C58" s="7" t="s">
        <v>188</v>
      </c>
      <c r="D58" s="5">
        <v>1.0</v>
      </c>
      <c r="E58" s="7" t="s">
        <v>416</v>
      </c>
      <c r="F58" s="5">
        <v>9.0043E7</v>
      </c>
      <c r="G58" s="30" t="s">
        <v>412</v>
      </c>
      <c r="H58" s="31" t="s">
        <v>19</v>
      </c>
      <c r="I58" s="32">
        <v>3.2378399E7</v>
      </c>
    </row>
    <row r="59">
      <c r="A59" s="29" t="s">
        <v>74</v>
      </c>
      <c r="B59" s="6" t="s">
        <v>187</v>
      </c>
      <c r="C59" s="7" t="s">
        <v>188</v>
      </c>
      <c r="D59" s="5">
        <v>1.0</v>
      </c>
      <c r="E59" s="7" t="s">
        <v>416</v>
      </c>
      <c r="F59" s="5">
        <v>5.1100651E7</v>
      </c>
      <c r="G59" s="30" t="s">
        <v>424</v>
      </c>
      <c r="H59" s="31" t="s">
        <v>25</v>
      </c>
      <c r="I59" s="32">
        <v>2.08865E7</v>
      </c>
    </row>
    <row r="60">
      <c r="A60" s="29" t="s">
        <v>74</v>
      </c>
      <c r="B60" s="6" t="s">
        <v>203</v>
      </c>
      <c r="C60" s="7" t="s">
        <v>204</v>
      </c>
      <c r="D60" s="5">
        <v>1.0</v>
      </c>
      <c r="E60" s="7" t="s">
        <v>417</v>
      </c>
      <c r="F60" s="5">
        <v>9.0042084E7</v>
      </c>
      <c r="G60" s="30" t="s">
        <v>418</v>
      </c>
      <c r="H60" s="31" t="s">
        <v>19</v>
      </c>
      <c r="I60" s="32">
        <v>2437690.0</v>
      </c>
    </row>
    <row r="61">
      <c r="A61" s="29" t="s">
        <v>74</v>
      </c>
      <c r="B61" s="6" t="s">
        <v>203</v>
      </c>
      <c r="C61" s="7" t="s">
        <v>204</v>
      </c>
      <c r="D61" s="5">
        <v>1.0</v>
      </c>
      <c r="E61" s="7" t="s">
        <v>417</v>
      </c>
      <c r="F61" s="5">
        <v>9.0043001E7</v>
      </c>
      <c r="G61" s="30" t="s">
        <v>411</v>
      </c>
      <c r="H61" s="31" t="s">
        <v>19</v>
      </c>
      <c r="I61" s="32">
        <v>6521010.0</v>
      </c>
    </row>
    <row r="62">
      <c r="A62" s="29" t="s">
        <v>74</v>
      </c>
      <c r="B62" s="6" t="s">
        <v>203</v>
      </c>
      <c r="C62" s="7" t="s">
        <v>204</v>
      </c>
      <c r="D62" s="5">
        <v>1.0</v>
      </c>
      <c r="E62" s="7" t="s">
        <v>409</v>
      </c>
      <c r="F62" s="5">
        <v>5.1100064E7</v>
      </c>
      <c r="G62" s="30" t="s">
        <v>414</v>
      </c>
      <c r="H62" s="31" t="s">
        <v>37</v>
      </c>
      <c r="I62" s="32">
        <v>1.79745E7</v>
      </c>
    </row>
    <row r="63">
      <c r="A63" s="29" t="s">
        <v>74</v>
      </c>
      <c r="B63" s="6" t="s">
        <v>203</v>
      </c>
      <c r="C63" s="7" t="s">
        <v>204</v>
      </c>
      <c r="D63" s="5">
        <v>1.0</v>
      </c>
      <c r="E63" s="7" t="s">
        <v>409</v>
      </c>
      <c r="F63" s="5">
        <v>9.0042077E7</v>
      </c>
      <c r="G63" s="30" t="s">
        <v>410</v>
      </c>
      <c r="H63" s="31" t="s">
        <v>19</v>
      </c>
      <c r="I63" s="32">
        <v>2.4311282E7</v>
      </c>
    </row>
    <row r="64">
      <c r="A64" s="29" t="s">
        <v>74</v>
      </c>
      <c r="B64" s="6" t="s">
        <v>203</v>
      </c>
      <c r="C64" s="7" t="s">
        <v>204</v>
      </c>
      <c r="D64" s="5">
        <v>1.0</v>
      </c>
      <c r="E64" s="7" t="s">
        <v>409</v>
      </c>
      <c r="F64" s="5">
        <v>9.0043001E7</v>
      </c>
      <c r="G64" s="30" t="s">
        <v>411</v>
      </c>
      <c r="H64" s="31" t="s">
        <v>19</v>
      </c>
      <c r="I64" s="32">
        <v>1.50103635E8</v>
      </c>
    </row>
    <row r="65">
      <c r="A65" s="29" t="s">
        <v>74</v>
      </c>
      <c r="B65" s="6" t="s">
        <v>203</v>
      </c>
      <c r="C65" s="7" t="s">
        <v>204</v>
      </c>
      <c r="D65" s="5">
        <v>1.0</v>
      </c>
      <c r="E65" s="7" t="s">
        <v>409</v>
      </c>
      <c r="F65" s="5">
        <v>9.0043E7</v>
      </c>
      <c r="G65" s="30" t="s">
        <v>412</v>
      </c>
      <c r="H65" s="31" t="s">
        <v>19</v>
      </c>
      <c r="I65" s="32">
        <v>6.6782263E7</v>
      </c>
    </row>
    <row r="66">
      <c r="A66" s="29" t="s">
        <v>74</v>
      </c>
      <c r="B66" s="6" t="s">
        <v>203</v>
      </c>
      <c r="C66" s="7" t="s">
        <v>204</v>
      </c>
      <c r="D66" s="5">
        <v>1.0</v>
      </c>
      <c r="E66" s="7" t="s">
        <v>416</v>
      </c>
      <c r="F66" s="5">
        <v>5.1100064E7</v>
      </c>
      <c r="G66" s="30" t="s">
        <v>414</v>
      </c>
      <c r="H66" s="31" t="s">
        <v>37</v>
      </c>
      <c r="I66" s="32">
        <v>1200000.0</v>
      </c>
    </row>
    <row r="67">
      <c r="A67" s="29" t="s">
        <v>74</v>
      </c>
      <c r="B67" s="6" t="s">
        <v>203</v>
      </c>
      <c r="C67" s="7" t="s">
        <v>204</v>
      </c>
      <c r="D67" s="5">
        <v>1.0</v>
      </c>
      <c r="E67" s="7" t="s">
        <v>416</v>
      </c>
      <c r="F67" s="5">
        <v>9.0043001E7</v>
      </c>
      <c r="G67" s="30" t="s">
        <v>411</v>
      </c>
      <c r="H67" s="31" t="s">
        <v>19</v>
      </c>
      <c r="I67" s="32">
        <v>5.4464553E7</v>
      </c>
    </row>
    <row r="68">
      <c r="A68" s="29" t="s">
        <v>74</v>
      </c>
      <c r="B68" s="6" t="s">
        <v>203</v>
      </c>
      <c r="C68" s="7" t="s">
        <v>204</v>
      </c>
      <c r="D68" s="5">
        <v>1.0</v>
      </c>
      <c r="E68" s="7" t="s">
        <v>416</v>
      </c>
      <c r="F68" s="5">
        <v>9.0043E7</v>
      </c>
      <c r="G68" s="30" t="s">
        <v>412</v>
      </c>
      <c r="H68" s="31" t="s">
        <v>19</v>
      </c>
      <c r="I68" s="32">
        <v>3.6008693E7</v>
      </c>
    </row>
    <row r="69">
      <c r="A69" s="29" t="s">
        <v>74</v>
      </c>
      <c r="B69" s="6" t="s">
        <v>212</v>
      </c>
      <c r="C69" s="7" t="s">
        <v>213</v>
      </c>
      <c r="D69" s="5">
        <v>1.0</v>
      </c>
      <c r="E69" s="7" t="s">
        <v>417</v>
      </c>
      <c r="F69" s="5">
        <v>9.0043001E7</v>
      </c>
      <c r="G69" s="30" t="s">
        <v>411</v>
      </c>
      <c r="H69" s="31" t="s">
        <v>19</v>
      </c>
      <c r="I69" s="32">
        <v>4047422.0</v>
      </c>
    </row>
    <row r="70">
      <c r="A70" s="29" t="s">
        <v>74</v>
      </c>
      <c r="B70" s="6" t="s">
        <v>212</v>
      </c>
      <c r="C70" s="7" t="s">
        <v>213</v>
      </c>
      <c r="D70" s="5">
        <v>1.0</v>
      </c>
      <c r="E70" s="7" t="s">
        <v>409</v>
      </c>
      <c r="F70" s="5">
        <v>5.1100064E7</v>
      </c>
      <c r="G70" s="30" t="s">
        <v>414</v>
      </c>
      <c r="H70" s="31" t="s">
        <v>37</v>
      </c>
      <c r="I70" s="32">
        <v>2.7578E7</v>
      </c>
    </row>
    <row r="71">
      <c r="A71" s="29" t="s">
        <v>74</v>
      </c>
      <c r="B71" s="6" t="s">
        <v>212</v>
      </c>
      <c r="C71" s="7" t="s">
        <v>213</v>
      </c>
      <c r="D71" s="5">
        <v>1.0</v>
      </c>
      <c r="E71" s="7" t="s">
        <v>409</v>
      </c>
      <c r="F71" s="5">
        <v>9.0042077E7</v>
      </c>
      <c r="G71" s="30" t="s">
        <v>410</v>
      </c>
      <c r="H71" s="31" t="s">
        <v>19</v>
      </c>
      <c r="I71" s="32">
        <v>1.8468592E7</v>
      </c>
    </row>
    <row r="72">
      <c r="A72" s="29" t="s">
        <v>74</v>
      </c>
      <c r="B72" s="6" t="s">
        <v>212</v>
      </c>
      <c r="C72" s="7" t="s">
        <v>213</v>
      </c>
      <c r="D72" s="5">
        <v>1.0</v>
      </c>
      <c r="E72" s="7" t="s">
        <v>409</v>
      </c>
      <c r="F72" s="5">
        <v>9.0043001E7</v>
      </c>
      <c r="G72" s="30" t="s">
        <v>411</v>
      </c>
      <c r="H72" s="31" t="s">
        <v>19</v>
      </c>
      <c r="I72" s="32">
        <v>1.92881303E8</v>
      </c>
    </row>
    <row r="73">
      <c r="A73" s="29" t="s">
        <v>74</v>
      </c>
      <c r="B73" s="6" t="s">
        <v>212</v>
      </c>
      <c r="C73" s="7" t="s">
        <v>213</v>
      </c>
      <c r="D73" s="5">
        <v>1.0</v>
      </c>
      <c r="E73" s="7" t="s">
        <v>409</v>
      </c>
      <c r="F73" s="5">
        <v>9.0043E7</v>
      </c>
      <c r="G73" s="30" t="s">
        <v>412</v>
      </c>
      <c r="H73" s="31" t="s">
        <v>19</v>
      </c>
      <c r="I73" s="32">
        <v>6.825219E7</v>
      </c>
    </row>
    <row r="74">
      <c r="A74" s="29" t="s">
        <v>74</v>
      </c>
      <c r="B74" s="6" t="s">
        <v>212</v>
      </c>
      <c r="C74" s="7" t="s">
        <v>213</v>
      </c>
      <c r="D74" s="5">
        <v>1.0</v>
      </c>
      <c r="E74" s="7" t="s">
        <v>409</v>
      </c>
      <c r="F74" s="5">
        <v>5.1100062E7</v>
      </c>
      <c r="G74" s="30" t="s">
        <v>423</v>
      </c>
      <c r="H74" s="31" t="s">
        <v>37</v>
      </c>
      <c r="I74" s="32">
        <v>2380000.0</v>
      </c>
    </row>
    <row r="75">
      <c r="A75" s="29" t="s">
        <v>74</v>
      </c>
      <c r="B75" s="6" t="s">
        <v>212</v>
      </c>
      <c r="C75" s="7" t="s">
        <v>213</v>
      </c>
      <c r="D75" s="5">
        <v>1.0</v>
      </c>
      <c r="E75" s="7" t="s">
        <v>409</v>
      </c>
      <c r="F75" s="5">
        <v>5.1100103E7</v>
      </c>
      <c r="G75" s="30" t="s">
        <v>425</v>
      </c>
      <c r="H75" s="31" t="s">
        <v>37</v>
      </c>
      <c r="I75" s="32">
        <v>0.0</v>
      </c>
    </row>
    <row r="76">
      <c r="A76" s="29" t="s">
        <v>74</v>
      </c>
      <c r="B76" s="6" t="s">
        <v>212</v>
      </c>
      <c r="C76" s="7" t="s">
        <v>213</v>
      </c>
      <c r="D76" s="5">
        <v>1.0</v>
      </c>
      <c r="E76" s="7" t="s">
        <v>416</v>
      </c>
      <c r="F76" s="5">
        <v>9.004208E7</v>
      </c>
      <c r="G76" s="30" t="s">
        <v>419</v>
      </c>
      <c r="H76" s="31" t="s">
        <v>25</v>
      </c>
      <c r="I76" s="32">
        <v>1558000.0</v>
      </c>
    </row>
    <row r="77">
      <c r="A77" s="29" t="s">
        <v>74</v>
      </c>
      <c r="B77" s="6" t="s">
        <v>212</v>
      </c>
      <c r="C77" s="7" t="s">
        <v>213</v>
      </c>
      <c r="D77" s="5">
        <v>1.0</v>
      </c>
      <c r="E77" s="7" t="s">
        <v>416</v>
      </c>
      <c r="F77" s="5">
        <v>9.0043001E7</v>
      </c>
      <c r="G77" s="30" t="s">
        <v>411</v>
      </c>
      <c r="H77" s="31" t="s">
        <v>19</v>
      </c>
      <c r="I77" s="32">
        <v>1.34210095E8</v>
      </c>
    </row>
    <row r="78">
      <c r="A78" s="29" t="s">
        <v>74</v>
      </c>
      <c r="B78" s="6" t="s">
        <v>212</v>
      </c>
      <c r="C78" s="7" t="s">
        <v>213</v>
      </c>
      <c r="D78" s="5">
        <v>1.0</v>
      </c>
      <c r="E78" s="7" t="s">
        <v>416</v>
      </c>
      <c r="F78" s="5">
        <v>9.0043E7</v>
      </c>
      <c r="G78" s="30" t="s">
        <v>412</v>
      </c>
      <c r="H78" s="31" t="s">
        <v>19</v>
      </c>
      <c r="I78" s="32">
        <v>2.648197E7</v>
      </c>
    </row>
    <row r="79">
      <c r="A79" s="29" t="s">
        <v>74</v>
      </c>
      <c r="B79" s="6" t="s">
        <v>220</v>
      </c>
      <c r="C79" s="7" t="s">
        <v>221</v>
      </c>
      <c r="D79" s="5">
        <v>1.0</v>
      </c>
      <c r="E79" s="7" t="s">
        <v>409</v>
      </c>
      <c r="F79" s="5">
        <v>5.1100064E7</v>
      </c>
      <c r="G79" s="30" t="s">
        <v>414</v>
      </c>
      <c r="H79" s="31" t="s">
        <v>37</v>
      </c>
      <c r="I79" s="32">
        <v>1.02425E7</v>
      </c>
    </row>
    <row r="80">
      <c r="A80" s="29" t="s">
        <v>74</v>
      </c>
      <c r="B80" s="6" t="s">
        <v>220</v>
      </c>
      <c r="C80" s="7" t="s">
        <v>221</v>
      </c>
      <c r="D80" s="5">
        <v>1.0</v>
      </c>
      <c r="E80" s="7" t="s">
        <v>409</v>
      </c>
      <c r="F80" s="5">
        <v>9.0042077E7</v>
      </c>
      <c r="G80" s="30" t="s">
        <v>410</v>
      </c>
      <c r="H80" s="31" t="s">
        <v>19</v>
      </c>
      <c r="I80" s="32">
        <v>1690500.0</v>
      </c>
    </row>
    <row r="81">
      <c r="A81" s="29" t="s">
        <v>74</v>
      </c>
      <c r="B81" s="6" t="s">
        <v>220</v>
      </c>
      <c r="C81" s="7" t="s">
        <v>221</v>
      </c>
      <c r="D81" s="5">
        <v>1.0</v>
      </c>
      <c r="E81" s="7" t="s">
        <v>409</v>
      </c>
      <c r="F81" s="5">
        <v>9.0043001E7</v>
      </c>
      <c r="G81" s="30" t="s">
        <v>411</v>
      </c>
      <c r="H81" s="31" t="s">
        <v>19</v>
      </c>
      <c r="I81" s="32">
        <v>1.48064717E8</v>
      </c>
    </row>
    <row r="82">
      <c r="A82" s="29" t="s">
        <v>74</v>
      </c>
      <c r="B82" s="6" t="s">
        <v>220</v>
      </c>
      <c r="C82" s="7" t="s">
        <v>221</v>
      </c>
      <c r="D82" s="5">
        <v>1.0</v>
      </c>
      <c r="E82" s="7" t="s">
        <v>409</v>
      </c>
      <c r="F82" s="5">
        <v>9.0043E7</v>
      </c>
      <c r="G82" s="30" t="s">
        <v>412</v>
      </c>
      <c r="H82" s="31" t="s">
        <v>19</v>
      </c>
      <c r="I82" s="32">
        <v>8.37289E7</v>
      </c>
    </row>
    <row r="83">
      <c r="A83" s="29" t="s">
        <v>74</v>
      </c>
      <c r="B83" s="6" t="s">
        <v>220</v>
      </c>
      <c r="C83" s="7" t="s">
        <v>221</v>
      </c>
      <c r="D83" s="5">
        <v>1.0</v>
      </c>
      <c r="E83" s="7" t="s">
        <v>416</v>
      </c>
      <c r="F83" s="5">
        <v>5.1100064E7</v>
      </c>
      <c r="G83" s="30" t="s">
        <v>414</v>
      </c>
      <c r="H83" s="31" t="s">
        <v>37</v>
      </c>
      <c r="I83" s="32">
        <v>5972000.0</v>
      </c>
    </row>
    <row r="84">
      <c r="A84" s="29" t="s">
        <v>74</v>
      </c>
      <c r="B84" s="6" t="s">
        <v>220</v>
      </c>
      <c r="C84" s="7" t="s">
        <v>221</v>
      </c>
      <c r="D84" s="5">
        <v>1.0</v>
      </c>
      <c r="E84" s="7" t="s">
        <v>416</v>
      </c>
      <c r="F84" s="5">
        <v>9.0043001E7</v>
      </c>
      <c r="G84" s="30" t="s">
        <v>411</v>
      </c>
      <c r="H84" s="31" t="s">
        <v>19</v>
      </c>
      <c r="I84" s="32">
        <v>2.63430677E8</v>
      </c>
    </row>
    <row r="85">
      <c r="A85" s="29" t="s">
        <v>74</v>
      </c>
      <c r="B85" s="6" t="s">
        <v>220</v>
      </c>
      <c r="C85" s="7" t="s">
        <v>221</v>
      </c>
      <c r="D85" s="5">
        <v>1.0</v>
      </c>
      <c r="E85" s="7" t="s">
        <v>416</v>
      </c>
      <c r="F85" s="5">
        <v>9.0043E7</v>
      </c>
      <c r="G85" s="30" t="s">
        <v>412</v>
      </c>
      <c r="H85" s="31" t="s">
        <v>19</v>
      </c>
      <c r="I85" s="32">
        <v>1.2295392E7</v>
      </c>
    </row>
    <row r="86">
      <c r="A86" s="29" t="s">
        <v>74</v>
      </c>
      <c r="B86" s="6" t="s">
        <v>231</v>
      </c>
      <c r="C86" s="7" t="s">
        <v>232</v>
      </c>
      <c r="D86" s="5">
        <v>1.0</v>
      </c>
      <c r="E86" s="7" t="s">
        <v>417</v>
      </c>
      <c r="F86" s="5">
        <v>9.0043001E7</v>
      </c>
      <c r="G86" s="30" t="s">
        <v>411</v>
      </c>
      <c r="H86" s="31" t="s">
        <v>19</v>
      </c>
      <c r="I86" s="32">
        <v>1.6291152E7</v>
      </c>
    </row>
    <row r="87">
      <c r="A87" s="29" t="s">
        <v>74</v>
      </c>
      <c r="B87" s="6" t="s">
        <v>231</v>
      </c>
      <c r="C87" s="7" t="s">
        <v>232</v>
      </c>
      <c r="D87" s="5">
        <v>1.0</v>
      </c>
      <c r="E87" s="7" t="s">
        <v>409</v>
      </c>
      <c r="F87" s="5">
        <v>5.1100064E7</v>
      </c>
      <c r="G87" s="30" t="s">
        <v>414</v>
      </c>
      <c r="H87" s="31" t="s">
        <v>37</v>
      </c>
      <c r="I87" s="32">
        <v>1.9887521E7</v>
      </c>
    </row>
    <row r="88">
      <c r="A88" s="29" t="s">
        <v>74</v>
      </c>
      <c r="B88" s="6" t="s">
        <v>231</v>
      </c>
      <c r="C88" s="7" t="s">
        <v>232</v>
      </c>
      <c r="D88" s="5">
        <v>1.0</v>
      </c>
      <c r="E88" s="7" t="s">
        <v>409</v>
      </c>
      <c r="F88" s="5">
        <v>5.1100064E7</v>
      </c>
      <c r="G88" s="30" t="s">
        <v>414</v>
      </c>
      <c r="H88" s="31" t="s">
        <v>25</v>
      </c>
      <c r="I88" s="32">
        <v>814999.0</v>
      </c>
    </row>
    <row r="89">
      <c r="A89" s="29" t="s">
        <v>74</v>
      </c>
      <c r="B89" s="6" t="s">
        <v>231</v>
      </c>
      <c r="C89" s="7" t="s">
        <v>232</v>
      </c>
      <c r="D89" s="5">
        <v>1.0</v>
      </c>
      <c r="E89" s="7" t="s">
        <v>409</v>
      </c>
      <c r="F89" s="5">
        <v>9.0042077E7</v>
      </c>
      <c r="G89" s="30" t="s">
        <v>410</v>
      </c>
      <c r="H89" s="31" t="s">
        <v>19</v>
      </c>
      <c r="I89" s="32">
        <v>6953988.0</v>
      </c>
    </row>
    <row r="90">
      <c r="A90" s="29" t="s">
        <v>74</v>
      </c>
      <c r="B90" s="6" t="s">
        <v>231</v>
      </c>
      <c r="C90" s="7" t="s">
        <v>232</v>
      </c>
      <c r="D90" s="5">
        <v>1.0</v>
      </c>
      <c r="E90" s="7" t="s">
        <v>409</v>
      </c>
      <c r="F90" s="5">
        <v>9.0043001E7</v>
      </c>
      <c r="G90" s="30" t="s">
        <v>411</v>
      </c>
      <c r="H90" s="31" t="s">
        <v>19</v>
      </c>
      <c r="I90" s="32">
        <v>7.668696E7</v>
      </c>
    </row>
    <row r="91">
      <c r="A91" s="29" t="s">
        <v>74</v>
      </c>
      <c r="B91" s="6" t="s">
        <v>231</v>
      </c>
      <c r="C91" s="7" t="s">
        <v>232</v>
      </c>
      <c r="D91" s="5">
        <v>1.0</v>
      </c>
      <c r="E91" s="7" t="s">
        <v>409</v>
      </c>
      <c r="F91" s="5">
        <v>9.0043E7</v>
      </c>
      <c r="G91" s="30" t="s">
        <v>412</v>
      </c>
      <c r="H91" s="31" t="s">
        <v>19</v>
      </c>
      <c r="I91" s="32">
        <v>3.7783521E7</v>
      </c>
    </row>
    <row r="92">
      <c r="A92" s="29" t="s">
        <v>74</v>
      </c>
      <c r="B92" s="6" t="s">
        <v>231</v>
      </c>
      <c r="C92" s="7" t="s">
        <v>232</v>
      </c>
      <c r="D92" s="5">
        <v>1.0</v>
      </c>
      <c r="E92" s="7" t="s">
        <v>416</v>
      </c>
      <c r="F92" s="5">
        <v>9.0043001E7</v>
      </c>
      <c r="G92" s="30" t="s">
        <v>411</v>
      </c>
      <c r="H92" s="31" t="s">
        <v>19</v>
      </c>
      <c r="I92" s="32">
        <v>4.4809388E7</v>
      </c>
    </row>
    <row r="93">
      <c r="A93" s="29" t="s">
        <v>74</v>
      </c>
      <c r="B93" s="6" t="s">
        <v>231</v>
      </c>
      <c r="C93" s="7" t="s">
        <v>232</v>
      </c>
      <c r="D93" s="5">
        <v>1.0</v>
      </c>
      <c r="E93" s="7" t="s">
        <v>416</v>
      </c>
      <c r="F93" s="5">
        <v>9.0043E7</v>
      </c>
      <c r="G93" s="30" t="s">
        <v>412</v>
      </c>
      <c r="H93" s="31" t="s">
        <v>19</v>
      </c>
      <c r="I93" s="32">
        <v>6476814.0</v>
      </c>
    </row>
    <row r="94">
      <c r="A94" s="29" t="s">
        <v>74</v>
      </c>
      <c r="B94" s="6" t="s">
        <v>233</v>
      </c>
      <c r="C94" s="7" t="s">
        <v>234</v>
      </c>
      <c r="D94" s="5">
        <v>1.0</v>
      </c>
      <c r="E94" s="7" t="s">
        <v>409</v>
      </c>
      <c r="F94" s="5">
        <v>5.1100064E7</v>
      </c>
      <c r="G94" s="30" t="s">
        <v>414</v>
      </c>
      <c r="H94" s="31" t="s">
        <v>37</v>
      </c>
      <c r="I94" s="32">
        <v>1.6615943E7</v>
      </c>
    </row>
    <row r="95">
      <c r="A95" s="29" t="s">
        <v>74</v>
      </c>
      <c r="B95" s="6" t="s">
        <v>233</v>
      </c>
      <c r="C95" s="7" t="s">
        <v>234</v>
      </c>
      <c r="D95" s="5">
        <v>1.0</v>
      </c>
      <c r="E95" s="7" t="s">
        <v>409</v>
      </c>
      <c r="F95" s="5">
        <v>5.1100064E7</v>
      </c>
      <c r="G95" s="30" t="s">
        <v>414</v>
      </c>
      <c r="H95" s="31" t="s">
        <v>25</v>
      </c>
      <c r="I95" s="32">
        <v>1.1731E7</v>
      </c>
    </row>
    <row r="96">
      <c r="A96" s="29" t="s">
        <v>74</v>
      </c>
      <c r="B96" s="6" t="s">
        <v>233</v>
      </c>
      <c r="C96" s="7" t="s">
        <v>234</v>
      </c>
      <c r="D96" s="5">
        <v>1.0</v>
      </c>
      <c r="E96" s="7" t="s">
        <v>409</v>
      </c>
      <c r="F96" s="5">
        <v>5.1101056E7</v>
      </c>
      <c r="G96" s="30" t="s">
        <v>426</v>
      </c>
      <c r="H96" s="31" t="s">
        <v>25</v>
      </c>
      <c r="I96" s="32">
        <v>-862650.0</v>
      </c>
    </row>
    <row r="97">
      <c r="A97" s="29" t="s">
        <v>74</v>
      </c>
      <c r="B97" s="6" t="s">
        <v>233</v>
      </c>
      <c r="C97" s="7" t="s">
        <v>234</v>
      </c>
      <c r="D97" s="5">
        <v>1.0</v>
      </c>
      <c r="E97" s="7" t="s">
        <v>409</v>
      </c>
      <c r="F97" s="5">
        <v>9.0042077E7</v>
      </c>
      <c r="G97" s="30" t="s">
        <v>410</v>
      </c>
      <c r="H97" s="31" t="s">
        <v>19</v>
      </c>
      <c r="I97" s="32">
        <v>5.6638207E7</v>
      </c>
    </row>
    <row r="98">
      <c r="A98" s="29" t="s">
        <v>74</v>
      </c>
      <c r="B98" s="6" t="s">
        <v>233</v>
      </c>
      <c r="C98" s="7" t="s">
        <v>234</v>
      </c>
      <c r="D98" s="5">
        <v>1.0</v>
      </c>
      <c r="E98" s="7" t="s">
        <v>409</v>
      </c>
      <c r="F98" s="5">
        <v>9.0043001E7</v>
      </c>
      <c r="G98" s="30" t="s">
        <v>411</v>
      </c>
      <c r="H98" s="31" t="s">
        <v>19</v>
      </c>
      <c r="I98" s="32">
        <v>1.47649409E8</v>
      </c>
    </row>
    <row r="99">
      <c r="A99" s="29" t="s">
        <v>74</v>
      </c>
      <c r="B99" s="6" t="s">
        <v>233</v>
      </c>
      <c r="C99" s="7" t="s">
        <v>234</v>
      </c>
      <c r="D99" s="5">
        <v>1.0</v>
      </c>
      <c r="E99" s="7" t="s">
        <v>409</v>
      </c>
      <c r="F99" s="5">
        <v>9.0043E7</v>
      </c>
      <c r="G99" s="30" t="s">
        <v>412</v>
      </c>
      <c r="H99" s="31" t="s">
        <v>19</v>
      </c>
      <c r="I99" s="32">
        <v>1.14000051E8</v>
      </c>
    </row>
    <row r="100">
      <c r="A100" s="29" t="s">
        <v>74</v>
      </c>
      <c r="B100" s="6" t="s">
        <v>233</v>
      </c>
      <c r="C100" s="7" t="s">
        <v>234</v>
      </c>
      <c r="D100" s="5">
        <v>1.0</v>
      </c>
      <c r="E100" s="7" t="s">
        <v>409</v>
      </c>
      <c r="F100" s="5">
        <v>5.1100057E7</v>
      </c>
      <c r="G100" s="30" t="s">
        <v>427</v>
      </c>
      <c r="H100" s="31" t="s">
        <v>37</v>
      </c>
      <c r="I100" s="32">
        <v>1468100.0</v>
      </c>
    </row>
    <row r="101">
      <c r="A101" s="29" t="s">
        <v>74</v>
      </c>
      <c r="B101" s="6" t="s">
        <v>233</v>
      </c>
      <c r="C101" s="7" t="s">
        <v>234</v>
      </c>
      <c r="D101" s="5">
        <v>1.0</v>
      </c>
      <c r="E101" s="7" t="s">
        <v>416</v>
      </c>
      <c r="F101" s="5">
        <v>9.0042078E7</v>
      </c>
      <c r="G101" s="30" t="s">
        <v>428</v>
      </c>
      <c r="H101" s="31" t="s">
        <v>19</v>
      </c>
      <c r="I101" s="32">
        <v>405000.0</v>
      </c>
    </row>
    <row r="102">
      <c r="A102" s="29" t="s">
        <v>74</v>
      </c>
      <c r="B102" s="6" t="s">
        <v>233</v>
      </c>
      <c r="C102" s="7" t="s">
        <v>234</v>
      </c>
      <c r="D102" s="5">
        <v>1.0</v>
      </c>
      <c r="E102" s="7" t="s">
        <v>416</v>
      </c>
      <c r="F102" s="5">
        <v>9.0043E7</v>
      </c>
      <c r="G102" s="30" t="s">
        <v>412</v>
      </c>
      <c r="H102" s="31" t="s">
        <v>19</v>
      </c>
      <c r="I102" s="32">
        <v>2.546867E7</v>
      </c>
    </row>
    <row r="103">
      <c r="A103" s="29" t="s">
        <v>74</v>
      </c>
      <c r="B103" s="6" t="s">
        <v>244</v>
      </c>
      <c r="C103" s="7" t="s">
        <v>245</v>
      </c>
      <c r="D103" s="5">
        <v>1.0</v>
      </c>
      <c r="E103" s="7" t="s">
        <v>409</v>
      </c>
      <c r="F103" s="5">
        <v>5.1100064E7</v>
      </c>
      <c r="G103" s="30" t="s">
        <v>414</v>
      </c>
      <c r="H103" s="31" t="s">
        <v>37</v>
      </c>
      <c r="I103" s="32">
        <v>1.5611666E7</v>
      </c>
    </row>
    <row r="104">
      <c r="A104" s="29" t="s">
        <v>74</v>
      </c>
      <c r="B104" s="6" t="s">
        <v>244</v>
      </c>
      <c r="C104" s="7" t="s">
        <v>245</v>
      </c>
      <c r="D104" s="5">
        <v>1.0</v>
      </c>
      <c r="E104" s="7" t="s">
        <v>409</v>
      </c>
      <c r="F104" s="5">
        <v>9.0042077E7</v>
      </c>
      <c r="G104" s="30" t="s">
        <v>410</v>
      </c>
      <c r="H104" s="31" t="s">
        <v>19</v>
      </c>
      <c r="I104" s="32">
        <v>2.4101944E7</v>
      </c>
    </row>
    <row r="105">
      <c r="A105" s="29" t="s">
        <v>74</v>
      </c>
      <c r="B105" s="6" t="s">
        <v>244</v>
      </c>
      <c r="C105" s="7" t="s">
        <v>245</v>
      </c>
      <c r="D105" s="5">
        <v>1.0</v>
      </c>
      <c r="E105" s="7" t="s">
        <v>409</v>
      </c>
      <c r="F105" s="5">
        <v>9.0043001E7</v>
      </c>
      <c r="G105" s="30" t="s">
        <v>411</v>
      </c>
      <c r="H105" s="31" t="s">
        <v>19</v>
      </c>
      <c r="I105" s="32">
        <v>3.54281479E8</v>
      </c>
    </row>
    <row r="106">
      <c r="A106" s="29" t="s">
        <v>74</v>
      </c>
      <c r="B106" s="6" t="s">
        <v>244</v>
      </c>
      <c r="C106" s="7" t="s">
        <v>245</v>
      </c>
      <c r="D106" s="5">
        <v>1.0</v>
      </c>
      <c r="E106" s="7" t="s">
        <v>409</v>
      </c>
      <c r="F106" s="5">
        <v>9.0043E7</v>
      </c>
      <c r="G106" s="30" t="s">
        <v>412</v>
      </c>
      <c r="H106" s="31" t="s">
        <v>19</v>
      </c>
      <c r="I106" s="32">
        <v>1.03768691E8</v>
      </c>
    </row>
    <row r="107">
      <c r="A107" s="29" t="s">
        <v>74</v>
      </c>
      <c r="B107" s="6" t="s">
        <v>244</v>
      </c>
      <c r="C107" s="7" t="s">
        <v>245</v>
      </c>
      <c r="D107" s="5">
        <v>1.0</v>
      </c>
      <c r="E107" s="7" t="s">
        <v>416</v>
      </c>
      <c r="F107" s="5">
        <v>9.004208E7</v>
      </c>
      <c r="G107" s="30" t="s">
        <v>419</v>
      </c>
      <c r="H107" s="31" t="s">
        <v>25</v>
      </c>
      <c r="I107" s="32">
        <v>770000.0</v>
      </c>
    </row>
    <row r="108">
      <c r="A108" s="29" t="s">
        <v>74</v>
      </c>
      <c r="B108" s="6" t="s">
        <v>244</v>
      </c>
      <c r="C108" s="7" t="s">
        <v>245</v>
      </c>
      <c r="D108" s="5">
        <v>1.0</v>
      </c>
      <c r="E108" s="7" t="s">
        <v>416</v>
      </c>
      <c r="F108" s="5">
        <v>9.0043001E7</v>
      </c>
      <c r="G108" s="30" t="s">
        <v>411</v>
      </c>
      <c r="H108" s="31" t="s">
        <v>19</v>
      </c>
      <c r="I108" s="32">
        <v>2.41906777E8</v>
      </c>
    </row>
    <row r="109">
      <c r="A109" s="29" t="s">
        <v>74</v>
      </c>
      <c r="B109" s="6" t="s">
        <v>244</v>
      </c>
      <c r="C109" s="7" t="s">
        <v>245</v>
      </c>
      <c r="D109" s="5">
        <v>1.0</v>
      </c>
      <c r="E109" s="7" t="s">
        <v>416</v>
      </c>
      <c r="F109" s="5">
        <v>9.0043E7</v>
      </c>
      <c r="G109" s="30" t="s">
        <v>412</v>
      </c>
      <c r="H109" s="31" t="s">
        <v>19</v>
      </c>
      <c r="I109" s="32">
        <v>8.285381E7</v>
      </c>
    </row>
    <row r="110">
      <c r="A110" s="29" t="s">
        <v>74</v>
      </c>
      <c r="B110" s="6" t="s">
        <v>254</v>
      </c>
      <c r="C110" s="7" t="s">
        <v>255</v>
      </c>
      <c r="D110" s="5">
        <v>1.0</v>
      </c>
      <c r="E110" s="7" t="s">
        <v>409</v>
      </c>
      <c r="F110" s="5">
        <v>5.1100064E7</v>
      </c>
      <c r="G110" s="30" t="s">
        <v>414</v>
      </c>
      <c r="H110" s="31" t="s">
        <v>37</v>
      </c>
      <c r="I110" s="32">
        <v>4150000.0</v>
      </c>
    </row>
    <row r="111">
      <c r="A111" s="29" t="s">
        <v>74</v>
      </c>
      <c r="B111" s="6" t="s">
        <v>254</v>
      </c>
      <c r="C111" s="7" t="s">
        <v>255</v>
      </c>
      <c r="D111" s="5">
        <v>1.0</v>
      </c>
      <c r="E111" s="7" t="s">
        <v>409</v>
      </c>
      <c r="F111" s="5">
        <v>9.0042077E7</v>
      </c>
      <c r="G111" s="30" t="s">
        <v>410</v>
      </c>
      <c r="H111" s="31" t="s">
        <v>19</v>
      </c>
      <c r="I111" s="32">
        <v>8230998.0</v>
      </c>
    </row>
    <row r="112">
      <c r="A112" s="29" t="s">
        <v>74</v>
      </c>
      <c r="B112" s="6" t="s">
        <v>254</v>
      </c>
      <c r="C112" s="7" t="s">
        <v>255</v>
      </c>
      <c r="D112" s="5">
        <v>1.0</v>
      </c>
      <c r="E112" s="7" t="s">
        <v>409</v>
      </c>
      <c r="F112" s="5">
        <v>9.0043001E7</v>
      </c>
      <c r="G112" s="30" t="s">
        <v>411</v>
      </c>
      <c r="H112" s="31" t="s">
        <v>19</v>
      </c>
      <c r="I112" s="32">
        <v>1.84535261E8</v>
      </c>
    </row>
    <row r="113">
      <c r="A113" s="29" t="s">
        <v>74</v>
      </c>
      <c r="B113" s="6" t="s">
        <v>254</v>
      </c>
      <c r="C113" s="7" t="s">
        <v>255</v>
      </c>
      <c r="D113" s="5">
        <v>1.0</v>
      </c>
      <c r="E113" s="7" t="s">
        <v>409</v>
      </c>
      <c r="F113" s="5">
        <v>9.0043E7</v>
      </c>
      <c r="G113" s="30" t="s">
        <v>412</v>
      </c>
      <c r="H113" s="31" t="s">
        <v>19</v>
      </c>
      <c r="I113" s="32">
        <v>5.3550361E7</v>
      </c>
    </row>
    <row r="114">
      <c r="A114" s="29" t="s">
        <v>74</v>
      </c>
      <c r="B114" s="6" t="s">
        <v>254</v>
      </c>
      <c r="C114" s="7" t="s">
        <v>255</v>
      </c>
      <c r="D114" s="5">
        <v>1.0</v>
      </c>
      <c r="E114" s="7" t="s">
        <v>416</v>
      </c>
      <c r="F114" s="5">
        <v>9.0043001E7</v>
      </c>
      <c r="G114" s="30" t="s">
        <v>411</v>
      </c>
      <c r="H114" s="31" t="s">
        <v>19</v>
      </c>
      <c r="I114" s="32">
        <v>1.96961617E8</v>
      </c>
    </row>
    <row r="115">
      <c r="A115" s="29" t="s">
        <v>74</v>
      </c>
      <c r="B115" s="6" t="s">
        <v>254</v>
      </c>
      <c r="C115" s="7" t="s">
        <v>255</v>
      </c>
      <c r="D115" s="5">
        <v>1.0</v>
      </c>
      <c r="E115" s="7" t="s">
        <v>416</v>
      </c>
      <c r="F115" s="5">
        <v>9.0043E7</v>
      </c>
      <c r="G115" s="30" t="s">
        <v>412</v>
      </c>
      <c r="H115" s="31" t="s">
        <v>19</v>
      </c>
      <c r="I115" s="32">
        <v>6.9192868E7</v>
      </c>
    </row>
    <row r="116">
      <c r="A116" s="29" t="s">
        <v>74</v>
      </c>
      <c r="B116" s="6" t="s">
        <v>254</v>
      </c>
      <c r="C116" s="7" t="s">
        <v>255</v>
      </c>
      <c r="D116" s="5">
        <v>1.0</v>
      </c>
      <c r="E116" s="7" t="s">
        <v>416</v>
      </c>
      <c r="F116" s="5">
        <v>5.1100402E7</v>
      </c>
      <c r="G116" s="30" t="s">
        <v>413</v>
      </c>
      <c r="H116" s="31" t="s">
        <v>19</v>
      </c>
      <c r="I116" s="32">
        <v>3261000.0</v>
      </c>
    </row>
    <row r="117">
      <c r="A117" s="29" t="s">
        <v>74</v>
      </c>
      <c r="B117" s="6" t="s">
        <v>259</v>
      </c>
      <c r="C117" s="7" t="s">
        <v>260</v>
      </c>
      <c r="D117" s="5">
        <v>1.0</v>
      </c>
      <c r="E117" s="7" t="s">
        <v>417</v>
      </c>
      <c r="F117" s="5">
        <v>9.0043001E7</v>
      </c>
      <c r="G117" s="30" t="s">
        <v>411</v>
      </c>
      <c r="H117" s="31" t="s">
        <v>19</v>
      </c>
      <c r="I117" s="32">
        <v>0.0</v>
      </c>
    </row>
    <row r="118">
      <c r="A118" s="29" t="s">
        <v>74</v>
      </c>
      <c r="B118" s="6" t="s">
        <v>259</v>
      </c>
      <c r="C118" s="7" t="s">
        <v>260</v>
      </c>
      <c r="D118" s="5">
        <v>1.0</v>
      </c>
      <c r="E118" s="7" t="s">
        <v>409</v>
      </c>
      <c r="F118" s="5">
        <v>5.1100064E7</v>
      </c>
      <c r="G118" s="30" t="s">
        <v>414</v>
      </c>
      <c r="H118" s="31" t="s">
        <v>37</v>
      </c>
      <c r="I118" s="32">
        <v>1.2958265E7</v>
      </c>
    </row>
    <row r="119">
      <c r="A119" s="29" t="s">
        <v>74</v>
      </c>
      <c r="B119" s="6" t="s">
        <v>259</v>
      </c>
      <c r="C119" s="7" t="s">
        <v>260</v>
      </c>
      <c r="D119" s="5">
        <v>1.0</v>
      </c>
      <c r="E119" s="7" t="s">
        <v>409</v>
      </c>
      <c r="F119" s="5">
        <v>5.1100064E7</v>
      </c>
      <c r="G119" s="30" t="s">
        <v>414</v>
      </c>
      <c r="H119" s="31" t="s">
        <v>25</v>
      </c>
      <c r="I119" s="32">
        <v>5912000.0</v>
      </c>
    </row>
    <row r="120">
      <c r="A120" s="29" t="s">
        <v>74</v>
      </c>
      <c r="B120" s="6" t="s">
        <v>259</v>
      </c>
      <c r="C120" s="7" t="s">
        <v>260</v>
      </c>
      <c r="D120" s="5">
        <v>1.0</v>
      </c>
      <c r="E120" s="7" t="s">
        <v>409</v>
      </c>
      <c r="F120" s="5">
        <v>9.0042077E7</v>
      </c>
      <c r="G120" s="30" t="s">
        <v>410</v>
      </c>
      <c r="H120" s="31" t="s">
        <v>19</v>
      </c>
      <c r="I120" s="32">
        <v>1.1902384E7</v>
      </c>
    </row>
    <row r="121">
      <c r="A121" s="29" t="s">
        <v>74</v>
      </c>
      <c r="B121" s="6" t="s">
        <v>259</v>
      </c>
      <c r="C121" s="7" t="s">
        <v>260</v>
      </c>
      <c r="D121" s="5">
        <v>1.0</v>
      </c>
      <c r="E121" s="7" t="s">
        <v>409</v>
      </c>
      <c r="F121" s="5">
        <v>9.0043001E7</v>
      </c>
      <c r="G121" s="30" t="s">
        <v>411</v>
      </c>
      <c r="H121" s="31" t="s">
        <v>19</v>
      </c>
      <c r="I121" s="32">
        <v>2.00297383E8</v>
      </c>
    </row>
    <row r="122">
      <c r="A122" s="29" t="s">
        <v>74</v>
      </c>
      <c r="B122" s="6" t="s">
        <v>259</v>
      </c>
      <c r="C122" s="7" t="s">
        <v>260</v>
      </c>
      <c r="D122" s="5">
        <v>1.0</v>
      </c>
      <c r="E122" s="7" t="s">
        <v>409</v>
      </c>
      <c r="F122" s="5">
        <v>9.0043E7</v>
      </c>
      <c r="G122" s="30" t="s">
        <v>412</v>
      </c>
      <c r="H122" s="31" t="s">
        <v>19</v>
      </c>
      <c r="I122" s="32">
        <v>4.3101935E7</v>
      </c>
    </row>
    <row r="123">
      <c r="A123" s="29" t="s">
        <v>74</v>
      </c>
      <c r="B123" s="6" t="s">
        <v>259</v>
      </c>
      <c r="C123" s="7" t="s">
        <v>260</v>
      </c>
      <c r="D123" s="5">
        <v>1.0</v>
      </c>
      <c r="E123" s="7" t="s">
        <v>416</v>
      </c>
      <c r="F123" s="5">
        <v>9.0042079E7</v>
      </c>
      <c r="G123" s="30" t="s">
        <v>422</v>
      </c>
      <c r="H123" s="31" t="s">
        <v>19</v>
      </c>
      <c r="I123" s="32">
        <v>760475.0</v>
      </c>
    </row>
    <row r="124">
      <c r="A124" s="29" t="s">
        <v>74</v>
      </c>
      <c r="B124" s="6" t="s">
        <v>259</v>
      </c>
      <c r="C124" s="7" t="s">
        <v>260</v>
      </c>
      <c r="D124" s="5">
        <v>1.0</v>
      </c>
      <c r="E124" s="7" t="s">
        <v>416</v>
      </c>
      <c r="F124" s="5">
        <v>9.0043001E7</v>
      </c>
      <c r="G124" s="30" t="s">
        <v>411</v>
      </c>
      <c r="H124" s="31" t="s">
        <v>19</v>
      </c>
      <c r="I124" s="32">
        <v>1.55074397E8</v>
      </c>
    </row>
    <row r="125">
      <c r="A125" s="29" t="s">
        <v>74</v>
      </c>
      <c r="B125" s="6" t="s">
        <v>259</v>
      </c>
      <c r="C125" s="7" t="s">
        <v>260</v>
      </c>
      <c r="D125" s="5">
        <v>1.0</v>
      </c>
      <c r="E125" s="7" t="s">
        <v>416</v>
      </c>
      <c r="F125" s="5">
        <v>9.0043E7</v>
      </c>
      <c r="G125" s="30" t="s">
        <v>412</v>
      </c>
      <c r="H125" s="31" t="s">
        <v>19</v>
      </c>
      <c r="I125" s="32">
        <v>1.9253015E7</v>
      </c>
    </row>
    <row r="126">
      <c r="A126" s="29" t="s">
        <v>74</v>
      </c>
      <c r="B126" s="6" t="s">
        <v>66</v>
      </c>
      <c r="C126" s="7" t="s">
        <v>67</v>
      </c>
      <c r="D126" s="5">
        <v>1.0</v>
      </c>
      <c r="E126" s="7" t="s">
        <v>417</v>
      </c>
      <c r="F126" s="5">
        <v>9.0043001E7</v>
      </c>
      <c r="G126" s="30" t="s">
        <v>411</v>
      </c>
      <c r="H126" s="31" t="s">
        <v>19</v>
      </c>
      <c r="I126" s="32">
        <v>1.6347819E7</v>
      </c>
    </row>
    <row r="127">
      <c r="A127" s="29" t="s">
        <v>74</v>
      </c>
      <c r="B127" s="6" t="s">
        <v>66</v>
      </c>
      <c r="C127" s="7" t="s">
        <v>67</v>
      </c>
      <c r="D127" s="5">
        <v>1.0</v>
      </c>
      <c r="E127" s="7" t="s">
        <v>409</v>
      </c>
      <c r="F127" s="5">
        <v>5.1100064E7</v>
      </c>
      <c r="G127" s="30" t="s">
        <v>414</v>
      </c>
      <c r="H127" s="31" t="s">
        <v>37</v>
      </c>
      <c r="I127" s="32">
        <v>6.3154396E7</v>
      </c>
    </row>
    <row r="128">
      <c r="A128" s="29" t="s">
        <v>74</v>
      </c>
      <c r="B128" s="6" t="s">
        <v>66</v>
      </c>
      <c r="C128" s="7" t="s">
        <v>67</v>
      </c>
      <c r="D128" s="5">
        <v>1.0</v>
      </c>
      <c r="E128" s="7" t="s">
        <v>409</v>
      </c>
      <c r="F128" s="5">
        <v>9.0042077E7</v>
      </c>
      <c r="G128" s="30" t="s">
        <v>410</v>
      </c>
      <c r="H128" s="31" t="s">
        <v>19</v>
      </c>
      <c r="I128" s="32">
        <v>1.9286284E7</v>
      </c>
    </row>
    <row r="129">
      <c r="A129" s="29" t="s">
        <v>74</v>
      </c>
      <c r="B129" s="6" t="s">
        <v>66</v>
      </c>
      <c r="C129" s="7" t="s">
        <v>67</v>
      </c>
      <c r="D129" s="5">
        <v>1.0</v>
      </c>
      <c r="E129" s="7" t="s">
        <v>409</v>
      </c>
      <c r="F129" s="5">
        <v>9.0043001E7</v>
      </c>
      <c r="G129" s="30" t="s">
        <v>411</v>
      </c>
      <c r="H129" s="31" t="s">
        <v>19</v>
      </c>
      <c r="I129" s="32">
        <v>2.97662125E8</v>
      </c>
    </row>
    <row r="130">
      <c r="A130" s="29" t="s">
        <v>74</v>
      </c>
      <c r="B130" s="6" t="s">
        <v>66</v>
      </c>
      <c r="C130" s="7" t="s">
        <v>67</v>
      </c>
      <c r="D130" s="5">
        <v>1.0</v>
      </c>
      <c r="E130" s="7" t="s">
        <v>409</v>
      </c>
      <c r="F130" s="5">
        <v>9.0043E7</v>
      </c>
      <c r="G130" s="30" t="s">
        <v>412</v>
      </c>
      <c r="H130" s="31" t="s">
        <v>19</v>
      </c>
      <c r="I130" s="32">
        <v>6.5422923E7</v>
      </c>
    </row>
    <row r="131">
      <c r="A131" s="29" t="s">
        <v>74</v>
      </c>
      <c r="B131" s="6" t="s">
        <v>66</v>
      </c>
      <c r="C131" s="7" t="s">
        <v>67</v>
      </c>
      <c r="D131" s="5">
        <v>1.0</v>
      </c>
      <c r="E131" s="7" t="s">
        <v>416</v>
      </c>
      <c r="F131" s="5">
        <v>9.0042078E7</v>
      </c>
      <c r="G131" s="30" t="s">
        <v>428</v>
      </c>
      <c r="H131" s="31" t="s">
        <v>19</v>
      </c>
      <c r="I131" s="32">
        <v>660000.0</v>
      </c>
    </row>
    <row r="132">
      <c r="A132" s="29" t="s">
        <v>74</v>
      </c>
      <c r="B132" s="6" t="s">
        <v>66</v>
      </c>
      <c r="C132" s="7" t="s">
        <v>67</v>
      </c>
      <c r="D132" s="5">
        <v>1.0</v>
      </c>
      <c r="E132" s="7" t="s">
        <v>416</v>
      </c>
      <c r="F132" s="5">
        <v>9.004208E7</v>
      </c>
      <c r="G132" s="30" t="s">
        <v>419</v>
      </c>
      <c r="H132" s="31" t="s">
        <v>25</v>
      </c>
      <c r="I132" s="32">
        <v>2012030.0</v>
      </c>
    </row>
    <row r="133">
      <c r="A133" s="29" t="s">
        <v>74</v>
      </c>
      <c r="B133" s="6" t="s">
        <v>66</v>
      </c>
      <c r="C133" s="7" t="s">
        <v>67</v>
      </c>
      <c r="D133" s="5">
        <v>1.0</v>
      </c>
      <c r="E133" s="7" t="s">
        <v>416</v>
      </c>
      <c r="F133" s="5">
        <v>9.0043001E7</v>
      </c>
      <c r="G133" s="30" t="s">
        <v>411</v>
      </c>
      <c r="H133" s="31" t="s">
        <v>19</v>
      </c>
      <c r="I133" s="32">
        <v>2.00035493E8</v>
      </c>
    </row>
    <row r="134">
      <c r="A134" s="29" t="s">
        <v>74</v>
      </c>
      <c r="B134" s="6" t="s">
        <v>66</v>
      </c>
      <c r="C134" s="7" t="s">
        <v>67</v>
      </c>
      <c r="D134" s="5">
        <v>1.0</v>
      </c>
      <c r="E134" s="7" t="s">
        <v>416</v>
      </c>
      <c r="F134" s="5">
        <v>9.0043E7</v>
      </c>
      <c r="G134" s="30" t="s">
        <v>412</v>
      </c>
      <c r="H134" s="31" t="s">
        <v>19</v>
      </c>
      <c r="I134" s="32">
        <v>6.1381492E7</v>
      </c>
    </row>
    <row r="135">
      <c r="A135" s="33" t="s">
        <v>11</v>
      </c>
      <c r="B135" s="34" t="s">
        <v>12</v>
      </c>
      <c r="C135" s="35" t="s">
        <v>13</v>
      </c>
      <c r="D135" s="36">
        <v>2.0</v>
      </c>
      <c r="E135" s="35" t="s">
        <v>417</v>
      </c>
      <c r="F135" s="36">
        <v>9.0043002E7</v>
      </c>
      <c r="G135" s="37" t="s">
        <v>429</v>
      </c>
      <c r="H135" s="38" t="s">
        <v>50</v>
      </c>
      <c r="I135" s="39">
        <v>6333334.0</v>
      </c>
    </row>
    <row r="136">
      <c r="A136" s="33" t="s">
        <v>11</v>
      </c>
      <c r="B136" s="34" t="s">
        <v>12</v>
      </c>
      <c r="C136" s="35" t="s">
        <v>13</v>
      </c>
      <c r="D136" s="36">
        <v>2.0</v>
      </c>
      <c r="E136" s="35" t="s">
        <v>409</v>
      </c>
      <c r="F136" s="36">
        <v>9.0042077E7</v>
      </c>
      <c r="G136" s="37" t="s">
        <v>410</v>
      </c>
      <c r="H136" s="38" t="s">
        <v>19</v>
      </c>
      <c r="I136" s="39">
        <v>2290000.0</v>
      </c>
    </row>
    <row r="137">
      <c r="A137" s="33" t="s">
        <v>11</v>
      </c>
      <c r="B137" s="34" t="s">
        <v>12</v>
      </c>
      <c r="C137" s="35" t="s">
        <v>13</v>
      </c>
      <c r="D137" s="36">
        <v>2.0</v>
      </c>
      <c r="E137" s="35" t="s">
        <v>409</v>
      </c>
      <c r="F137" s="36">
        <v>9.0043001E7</v>
      </c>
      <c r="G137" s="37" t="s">
        <v>411</v>
      </c>
      <c r="H137" s="38" t="s">
        <v>19</v>
      </c>
      <c r="I137" s="39">
        <v>1.6933514E7</v>
      </c>
    </row>
    <row r="138">
      <c r="A138" s="33" t="s">
        <v>11</v>
      </c>
      <c r="B138" s="34" t="s">
        <v>12</v>
      </c>
      <c r="C138" s="35" t="s">
        <v>13</v>
      </c>
      <c r="D138" s="36">
        <v>2.0</v>
      </c>
      <c r="E138" s="35" t="s">
        <v>409</v>
      </c>
      <c r="F138" s="36">
        <v>9.0043E7</v>
      </c>
      <c r="G138" s="37" t="s">
        <v>412</v>
      </c>
      <c r="H138" s="38" t="s">
        <v>19</v>
      </c>
      <c r="I138" s="39">
        <v>1.6667364E7</v>
      </c>
    </row>
    <row r="139">
      <c r="A139" s="33" t="s">
        <v>11</v>
      </c>
      <c r="B139" s="34" t="s">
        <v>32</v>
      </c>
      <c r="C139" s="35" t="s">
        <v>33</v>
      </c>
      <c r="D139" s="36">
        <v>2.0</v>
      </c>
      <c r="E139" s="35" t="s">
        <v>409</v>
      </c>
      <c r="F139" s="36">
        <v>5.1100064E7</v>
      </c>
      <c r="G139" s="37" t="s">
        <v>414</v>
      </c>
      <c r="H139" s="38" t="s">
        <v>37</v>
      </c>
      <c r="I139" s="39">
        <v>2157976.0</v>
      </c>
    </row>
    <row r="140">
      <c r="A140" s="33" t="s">
        <v>11</v>
      </c>
      <c r="B140" s="34" t="s">
        <v>32</v>
      </c>
      <c r="C140" s="35" t="s">
        <v>33</v>
      </c>
      <c r="D140" s="36">
        <v>2.0</v>
      </c>
      <c r="E140" s="35" t="s">
        <v>409</v>
      </c>
      <c r="F140" s="36">
        <v>5.1100064E7</v>
      </c>
      <c r="G140" s="37" t="s">
        <v>414</v>
      </c>
      <c r="H140" s="38" t="s">
        <v>25</v>
      </c>
      <c r="I140" s="39">
        <v>450000.0</v>
      </c>
    </row>
    <row r="141">
      <c r="A141" s="33" t="s">
        <v>11</v>
      </c>
      <c r="B141" s="34" t="s">
        <v>32</v>
      </c>
      <c r="C141" s="35" t="s">
        <v>33</v>
      </c>
      <c r="D141" s="36">
        <v>2.0</v>
      </c>
      <c r="E141" s="35" t="s">
        <v>409</v>
      </c>
      <c r="F141" s="36">
        <v>5.1100441E7</v>
      </c>
      <c r="G141" s="37" t="s">
        <v>415</v>
      </c>
      <c r="H141" s="38" t="s">
        <v>19</v>
      </c>
      <c r="I141" s="39">
        <v>764640.0</v>
      </c>
    </row>
    <row r="142">
      <c r="A142" s="33" t="s">
        <v>11</v>
      </c>
      <c r="B142" s="34" t="s">
        <v>32</v>
      </c>
      <c r="C142" s="35" t="s">
        <v>33</v>
      </c>
      <c r="D142" s="36">
        <v>2.0</v>
      </c>
      <c r="E142" s="35" t="s">
        <v>409</v>
      </c>
      <c r="F142" s="36">
        <v>5.1100442E7</v>
      </c>
      <c r="G142" s="37" t="s">
        <v>415</v>
      </c>
      <c r="H142" s="38" t="s">
        <v>19</v>
      </c>
      <c r="I142" s="39">
        <v>424800.0</v>
      </c>
    </row>
    <row r="143">
      <c r="A143" s="33" t="s">
        <v>11</v>
      </c>
      <c r="B143" s="34" t="s">
        <v>32</v>
      </c>
      <c r="C143" s="35" t="s">
        <v>33</v>
      </c>
      <c r="D143" s="36">
        <v>2.0</v>
      </c>
      <c r="E143" s="35" t="s">
        <v>409</v>
      </c>
      <c r="F143" s="36">
        <v>9.0042077E7</v>
      </c>
      <c r="G143" s="37" t="s">
        <v>410</v>
      </c>
      <c r="H143" s="38" t="s">
        <v>19</v>
      </c>
      <c r="I143" s="39">
        <v>1.8998938E7</v>
      </c>
    </row>
    <row r="144">
      <c r="A144" s="33" t="s">
        <v>11</v>
      </c>
      <c r="B144" s="34" t="s">
        <v>32</v>
      </c>
      <c r="C144" s="35" t="s">
        <v>33</v>
      </c>
      <c r="D144" s="36">
        <v>2.0</v>
      </c>
      <c r="E144" s="35" t="s">
        <v>409</v>
      </c>
      <c r="F144" s="36">
        <v>9.0043001E7</v>
      </c>
      <c r="G144" s="37" t="s">
        <v>411</v>
      </c>
      <c r="H144" s="38" t="s">
        <v>19</v>
      </c>
      <c r="I144" s="39">
        <v>1.5211962E7</v>
      </c>
    </row>
    <row r="145">
      <c r="A145" s="33" t="s">
        <v>11</v>
      </c>
      <c r="B145" s="34" t="s">
        <v>32</v>
      </c>
      <c r="C145" s="35" t="s">
        <v>33</v>
      </c>
      <c r="D145" s="36">
        <v>2.0</v>
      </c>
      <c r="E145" s="35" t="s">
        <v>409</v>
      </c>
      <c r="F145" s="36">
        <v>9.0043E7</v>
      </c>
      <c r="G145" s="37" t="s">
        <v>412</v>
      </c>
      <c r="H145" s="38" t="s">
        <v>19</v>
      </c>
      <c r="I145" s="39">
        <v>9.069326E7</v>
      </c>
    </row>
    <row r="146">
      <c r="A146" s="33" t="s">
        <v>11</v>
      </c>
      <c r="B146" s="34" t="s">
        <v>32</v>
      </c>
      <c r="C146" s="35" t="s">
        <v>33</v>
      </c>
      <c r="D146" s="36">
        <v>2.0</v>
      </c>
      <c r="E146" s="35" t="s">
        <v>416</v>
      </c>
      <c r="F146" s="36">
        <v>9.0043E7</v>
      </c>
      <c r="G146" s="37" t="s">
        <v>412</v>
      </c>
      <c r="H146" s="38" t="s">
        <v>19</v>
      </c>
      <c r="I146" s="39">
        <v>2.2636628E7</v>
      </c>
    </row>
    <row r="147">
      <c r="A147" s="33" t="s">
        <v>74</v>
      </c>
      <c r="B147" s="34" t="s">
        <v>75</v>
      </c>
      <c r="C147" s="35" t="s">
        <v>76</v>
      </c>
      <c r="D147" s="36">
        <v>2.0</v>
      </c>
      <c r="E147" s="35" t="s">
        <v>417</v>
      </c>
      <c r="F147" s="36">
        <v>9.0042084E7</v>
      </c>
      <c r="G147" s="37" t="s">
        <v>418</v>
      </c>
      <c r="H147" s="38" t="s">
        <v>19</v>
      </c>
      <c r="I147" s="39">
        <v>1694535.0</v>
      </c>
    </row>
    <row r="148">
      <c r="A148" s="33" t="s">
        <v>74</v>
      </c>
      <c r="B148" s="34" t="s">
        <v>75</v>
      </c>
      <c r="C148" s="35" t="s">
        <v>76</v>
      </c>
      <c r="D148" s="36">
        <v>2.0</v>
      </c>
      <c r="E148" s="35" t="s">
        <v>417</v>
      </c>
      <c r="F148" s="36">
        <v>9.0043001E7</v>
      </c>
      <c r="G148" s="37" t="s">
        <v>411</v>
      </c>
      <c r="H148" s="38" t="s">
        <v>19</v>
      </c>
      <c r="I148" s="39">
        <v>2.039161E7</v>
      </c>
    </row>
    <row r="149">
      <c r="A149" s="33" t="s">
        <v>74</v>
      </c>
      <c r="B149" s="34" t="s">
        <v>75</v>
      </c>
      <c r="C149" s="35" t="s">
        <v>76</v>
      </c>
      <c r="D149" s="36">
        <v>2.0</v>
      </c>
      <c r="E149" s="35" t="s">
        <v>417</v>
      </c>
      <c r="F149" s="36">
        <v>9.0043E7</v>
      </c>
      <c r="G149" s="37" t="s">
        <v>412</v>
      </c>
      <c r="H149" s="38" t="s">
        <v>19</v>
      </c>
      <c r="I149" s="39">
        <v>2.6449008E7</v>
      </c>
    </row>
    <row r="150">
      <c r="A150" s="33" t="s">
        <v>74</v>
      </c>
      <c r="B150" s="34" t="s">
        <v>75</v>
      </c>
      <c r="C150" s="35" t="s">
        <v>76</v>
      </c>
      <c r="D150" s="36">
        <v>2.0</v>
      </c>
      <c r="E150" s="35" t="s">
        <v>409</v>
      </c>
      <c r="F150" s="36">
        <v>5.1100064E7</v>
      </c>
      <c r="G150" s="37" t="s">
        <v>414</v>
      </c>
      <c r="H150" s="38" t="s">
        <v>37</v>
      </c>
      <c r="I150" s="39">
        <v>7680448.0</v>
      </c>
    </row>
    <row r="151">
      <c r="A151" s="33" t="s">
        <v>74</v>
      </c>
      <c r="B151" s="34" t="s">
        <v>75</v>
      </c>
      <c r="C151" s="35" t="s">
        <v>76</v>
      </c>
      <c r="D151" s="36">
        <v>2.0</v>
      </c>
      <c r="E151" s="35" t="s">
        <v>409</v>
      </c>
      <c r="F151" s="36">
        <v>5.1100064E7</v>
      </c>
      <c r="G151" s="37" t="s">
        <v>414</v>
      </c>
      <c r="H151" s="38" t="s">
        <v>25</v>
      </c>
      <c r="I151" s="39">
        <v>1.03785E7</v>
      </c>
    </row>
    <row r="152">
      <c r="A152" s="33" t="s">
        <v>74</v>
      </c>
      <c r="B152" s="34" t="s">
        <v>75</v>
      </c>
      <c r="C152" s="35" t="s">
        <v>76</v>
      </c>
      <c r="D152" s="36">
        <v>2.0</v>
      </c>
      <c r="E152" s="35" t="s">
        <v>409</v>
      </c>
      <c r="F152" s="36">
        <v>9.0042077E7</v>
      </c>
      <c r="G152" s="37" t="s">
        <v>410</v>
      </c>
      <c r="H152" s="38" t="s">
        <v>19</v>
      </c>
      <c r="I152" s="39">
        <v>8.7924026E7</v>
      </c>
    </row>
    <row r="153">
      <c r="A153" s="33" t="s">
        <v>74</v>
      </c>
      <c r="B153" s="34" t="s">
        <v>75</v>
      </c>
      <c r="C153" s="35" t="s">
        <v>76</v>
      </c>
      <c r="D153" s="36">
        <v>2.0</v>
      </c>
      <c r="E153" s="35" t="s">
        <v>409</v>
      </c>
      <c r="F153" s="36">
        <v>9.0043001E7</v>
      </c>
      <c r="G153" s="37" t="s">
        <v>411</v>
      </c>
      <c r="H153" s="38" t="s">
        <v>19</v>
      </c>
      <c r="I153" s="39">
        <v>1.97810136E8</v>
      </c>
    </row>
    <row r="154">
      <c r="A154" s="33" t="s">
        <v>74</v>
      </c>
      <c r="B154" s="34" t="s">
        <v>75</v>
      </c>
      <c r="C154" s="35" t="s">
        <v>76</v>
      </c>
      <c r="D154" s="36">
        <v>2.0</v>
      </c>
      <c r="E154" s="35" t="s">
        <v>409</v>
      </c>
      <c r="F154" s="36">
        <v>9.0043E7</v>
      </c>
      <c r="G154" s="37" t="s">
        <v>412</v>
      </c>
      <c r="H154" s="38" t="s">
        <v>19</v>
      </c>
      <c r="I154" s="39">
        <v>1.19807655E8</v>
      </c>
    </row>
    <row r="155">
      <c r="A155" s="33" t="s">
        <v>74</v>
      </c>
      <c r="B155" s="34" t="s">
        <v>75</v>
      </c>
      <c r="C155" s="35" t="s">
        <v>76</v>
      </c>
      <c r="D155" s="36">
        <v>2.0</v>
      </c>
      <c r="E155" s="35" t="s">
        <v>416</v>
      </c>
      <c r="F155" s="36">
        <v>9.004208E7</v>
      </c>
      <c r="G155" s="37" t="s">
        <v>419</v>
      </c>
      <c r="H155" s="38" t="s">
        <v>25</v>
      </c>
      <c r="I155" s="39">
        <v>1325000.0</v>
      </c>
    </row>
    <row r="156">
      <c r="A156" s="33" t="s">
        <v>74</v>
      </c>
      <c r="B156" s="34" t="s">
        <v>75</v>
      </c>
      <c r="C156" s="35" t="s">
        <v>76</v>
      </c>
      <c r="D156" s="36">
        <v>2.0</v>
      </c>
      <c r="E156" s="35" t="s">
        <v>416</v>
      </c>
      <c r="F156" s="36">
        <v>9.0043001E7</v>
      </c>
      <c r="G156" s="37" t="s">
        <v>411</v>
      </c>
      <c r="H156" s="38" t="s">
        <v>19</v>
      </c>
      <c r="I156" s="39">
        <v>2.74056095E8</v>
      </c>
    </row>
    <row r="157">
      <c r="A157" s="33" t="s">
        <v>74</v>
      </c>
      <c r="B157" s="34" t="s">
        <v>75</v>
      </c>
      <c r="C157" s="35" t="s">
        <v>76</v>
      </c>
      <c r="D157" s="36">
        <v>2.0</v>
      </c>
      <c r="E157" s="35" t="s">
        <v>416</v>
      </c>
      <c r="F157" s="36">
        <v>9.0043E7</v>
      </c>
      <c r="G157" s="37" t="s">
        <v>412</v>
      </c>
      <c r="H157" s="38" t="s">
        <v>19</v>
      </c>
      <c r="I157" s="39">
        <v>8.2012112E7</v>
      </c>
    </row>
    <row r="158">
      <c r="A158" s="33" t="s">
        <v>74</v>
      </c>
      <c r="B158" s="34" t="s">
        <v>75</v>
      </c>
      <c r="C158" s="35" t="s">
        <v>76</v>
      </c>
      <c r="D158" s="36">
        <v>2.0</v>
      </c>
      <c r="E158" s="35" t="s">
        <v>416</v>
      </c>
      <c r="F158" s="36">
        <v>5.1100062E7</v>
      </c>
      <c r="G158" s="37" t="s">
        <v>423</v>
      </c>
      <c r="H158" s="38" t="s">
        <v>37</v>
      </c>
      <c r="I158" s="39">
        <v>9415000.0</v>
      </c>
    </row>
    <row r="159">
      <c r="A159" s="33" t="s">
        <v>74</v>
      </c>
      <c r="B159" s="34" t="s">
        <v>75</v>
      </c>
      <c r="C159" s="35" t="s">
        <v>76</v>
      </c>
      <c r="D159" s="36">
        <v>2.0</v>
      </c>
      <c r="E159" s="35" t="s">
        <v>416</v>
      </c>
      <c r="F159" s="36">
        <v>5.1100063E7</v>
      </c>
      <c r="G159" s="37" t="s">
        <v>430</v>
      </c>
      <c r="H159" s="38" t="s">
        <v>25</v>
      </c>
      <c r="I159" s="39">
        <v>444000.0</v>
      </c>
    </row>
    <row r="160">
      <c r="A160" s="33" t="s">
        <v>74</v>
      </c>
      <c r="B160" s="34" t="s">
        <v>75</v>
      </c>
      <c r="C160" s="35" t="s">
        <v>76</v>
      </c>
      <c r="D160" s="36">
        <v>2.0</v>
      </c>
      <c r="E160" s="35" t="e">
        <v>#N/A</v>
      </c>
      <c r="F160" s="36">
        <v>5.1100608E7</v>
      </c>
      <c r="G160" s="37" t="s">
        <v>431</v>
      </c>
      <c r="H160" s="38" t="s">
        <v>17</v>
      </c>
      <c r="I160" s="39">
        <v>1.46839134E8</v>
      </c>
    </row>
    <row r="161">
      <c r="A161" s="33" t="s">
        <v>74</v>
      </c>
      <c r="B161" s="34" t="s">
        <v>75</v>
      </c>
      <c r="C161" s="35" t="s">
        <v>76</v>
      </c>
      <c r="D161" s="36">
        <v>2.0</v>
      </c>
      <c r="E161" s="35" t="e">
        <v>#N/A</v>
      </c>
      <c r="F161" s="36">
        <v>5.1100608E7</v>
      </c>
      <c r="G161" s="37" t="s">
        <v>431</v>
      </c>
      <c r="H161" s="38" t="s">
        <v>25</v>
      </c>
      <c r="I161" s="39">
        <v>-4.8946378E7</v>
      </c>
    </row>
    <row r="162">
      <c r="A162" s="33" t="s">
        <v>74</v>
      </c>
      <c r="B162" s="34" t="s">
        <v>148</v>
      </c>
      <c r="C162" s="35" t="s">
        <v>149</v>
      </c>
      <c r="D162" s="36">
        <v>2.0</v>
      </c>
      <c r="E162" s="35" t="s">
        <v>417</v>
      </c>
      <c r="F162" s="36">
        <v>9.0042084E7</v>
      </c>
      <c r="G162" s="37" t="s">
        <v>418</v>
      </c>
      <c r="H162" s="38" t="s">
        <v>19</v>
      </c>
      <c r="I162" s="39">
        <v>6018700.0</v>
      </c>
    </row>
    <row r="163">
      <c r="A163" s="33" t="s">
        <v>74</v>
      </c>
      <c r="B163" s="34" t="s">
        <v>148</v>
      </c>
      <c r="C163" s="35" t="s">
        <v>149</v>
      </c>
      <c r="D163" s="36">
        <v>2.0</v>
      </c>
      <c r="E163" s="35" t="s">
        <v>417</v>
      </c>
      <c r="F163" s="36">
        <v>9.0043001E7</v>
      </c>
      <c r="G163" s="37" t="s">
        <v>411</v>
      </c>
      <c r="H163" s="38" t="s">
        <v>19</v>
      </c>
      <c r="I163" s="39">
        <v>5149908.0</v>
      </c>
    </row>
    <row r="164">
      <c r="A164" s="33" t="s">
        <v>74</v>
      </c>
      <c r="B164" s="34" t="s">
        <v>148</v>
      </c>
      <c r="C164" s="35" t="s">
        <v>149</v>
      </c>
      <c r="D164" s="36">
        <v>2.0</v>
      </c>
      <c r="E164" s="35" t="s">
        <v>417</v>
      </c>
      <c r="F164" s="36">
        <v>9.0043E7</v>
      </c>
      <c r="G164" s="37" t="s">
        <v>412</v>
      </c>
      <c r="H164" s="38" t="s">
        <v>19</v>
      </c>
      <c r="I164" s="39">
        <v>7462728.0</v>
      </c>
    </row>
    <row r="165">
      <c r="A165" s="33" t="s">
        <v>74</v>
      </c>
      <c r="B165" s="34" t="s">
        <v>148</v>
      </c>
      <c r="C165" s="35" t="s">
        <v>149</v>
      </c>
      <c r="D165" s="36">
        <v>2.0</v>
      </c>
      <c r="E165" s="35" t="s">
        <v>409</v>
      </c>
      <c r="F165" s="36">
        <v>5.1100064E7</v>
      </c>
      <c r="G165" s="37" t="s">
        <v>414</v>
      </c>
      <c r="H165" s="38" t="s">
        <v>37</v>
      </c>
      <c r="I165" s="39">
        <v>120000.0</v>
      </c>
    </row>
    <row r="166">
      <c r="A166" s="33" t="s">
        <v>74</v>
      </c>
      <c r="B166" s="34" t="s">
        <v>148</v>
      </c>
      <c r="C166" s="35" t="s">
        <v>149</v>
      </c>
      <c r="D166" s="36">
        <v>2.0</v>
      </c>
      <c r="E166" s="35" t="s">
        <v>409</v>
      </c>
      <c r="F166" s="36">
        <v>5.1100064E7</v>
      </c>
      <c r="G166" s="37" t="s">
        <v>414</v>
      </c>
      <c r="H166" s="38" t="s">
        <v>25</v>
      </c>
      <c r="I166" s="39">
        <v>1280000.0</v>
      </c>
    </row>
    <row r="167">
      <c r="A167" s="33" t="s">
        <v>74</v>
      </c>
      <c r="B167" s="34" t="s">
        <v>148</v>
      </c>
      <c r="C167" s="35" t="s">
        <v>149</v>
      </c>
      <c r="D167" s="36">
        <v>2.0</v>
      </c>
      <c r="E167" s="35" t="s">
        <v>409</v>
      </c>
      <c r="F167" s="36">
        <v>9.0042077E7</v>
      </c>
      <c r="G167" s="37" t="s">
        <v>410</v>
      </c>
      <c r="H167" s="38" t="s">
        <v>19</v>
      </c>
      <c r="I167" s="39">
        <v>3.7422262E7</v>
      </c>
    </row>
    <row r="168">
      <c r="A168" s="33" t="s">
        <v>74</v>
      </c>
      <c r="B168" s="34" t="s">
        <v>148</v>
      </c>
      <c r="C168" s="35" t="s">
        <v>149</v>
      </c>
      <c r="D168" s="36">
        <v>2.0</v>
      </c>
      <c r="E168" s="35" t="s">
        <v>409</v>
      </c>
      <c r="F168" s="36">
        <v>9.0043001E7</v>
      </c>
      <c r="G168" s="37" t="s">
        <v>411</v>
      </c>
      <c r="H168" s="38" t="s">
        <v>19</v>
      </c>
      <c r="I168" s="39">
        <v>2.0483303E8</v>
      </c>
    </row>
    <row r="169">
      <c r="A169" s="33" t="s">
        <v>74</v>
      </c>
      <c r="B169" s="34" t="s">
        <v>148</v>
      </c>
      <c r="C169" s="35" t="s">
        <v>149</v>
      </c>
      <c r="D169" s="36">
        <v>2.0</v>
      </c>
      <c r="E169" s="35" t="s">
        <v>409</v>
      </c>
      <c r="F169" s="36">
        <v>9.0043E7</v>
      </c>
      <c r="G169" s="37" t="s">
        <v>412</v>
      </c>
      <c r="H169" s="38" t="s">
        <v>19</v>
      </c>
      <c r="I169" s="39">
        <v>1.30518159E8</v>
      </c>
    </row>
    <row r="170">
      <c r="A170" s="33" t="s">
        <v>74</v>
      </c>
      <c r="B170" s="34" t="s">
        <v>148</v>
      </c>
      <c r="C170" s="35" t="s">
        <v>149</v>
      </c>
      <c r="D170" s="36">
        <v>2.0</v>
      </c>
      <c r="E170" s="35" t="s">
        <v>416</v>
      </c>
      <c r="F170" s="36">
        <v>5.1100401E7</v>
      </c>
      <c r="G170" s="37" t="s">
        <v>420</v>
      </c>
      <c r="H170" s="38" t="s">
        <v>19</v>
      </c>
      <c r="I170" s="39">
        <v>1.62003E7</v>
      </c>
    </row>
    <row r="171">
      <c r="A171" s="33" t="s">
        <v>74</v>
      </c>
      <c r="B171" s="34" t="s">
        <v>148</v>
      </c>
      <c r="C171" s="35" t="s">
        <v>149</v>
      </c>
      <c r="D171" s="36">
        <v>2.0</v>
      </c>
      <c r="E171" s="35" t="s">
        <v>416</v>
      </c>
      <c r="F171" s="36">
        <v>9.004208E7</v>
      </c>
      <c r="G171" s="37" t="s">
        <v>419</v>
      </c>
      <c r="H171" s="38" t="s">
        <v>25</v>
      </c>
      <c r="I171" s="39">
        <v>1.0945035E7</v>
      </c>
    </row>
    <row r="172">
      <c r="A172" s="33" t="s">
        <v>74</v>
      </c>
      <c r="B172" s="34" t="s">
        <v>148</v>
      </c>
      <c r="C172" s="35" t="s">
        <v>149</v>
      </c>
      <c r="D172" s="36">
        <v>2.0</v>
      </c>
      <c r="E172" s="35" t="s">
        <v>416</v>
      </c>
      <c r="F172" s="36">
        <v>9.0043001E7</v>
      </c>
      <c r="G172" s="37" t="s">
        <v>411</v>
      </c>
      <c r="H172" s="38" t="s">
        <v>19</v>
      </c>
      <c r="I172" s="39">
        <v>2.30410437E8</v>
      </c>
    </row>
    <row r="173">
      <c r="A173" s="33" t="s">
        <v>74</v>
      </c>
      <c r="B173" s="34" t="s">
        <v>148</v>
      </c>
      <c r="C173" s="35" t="s">
        <v>149</v>
      </c>
      <c r="D173" s="36">
        <v>2.0</v>
      </c>
      <c r="E173" s="35" t="s">
        <v>416</v>
      </c>
      <c r="F173" s="36">
        <v>9.0043E7</v>
      </c>
      <c r="G173" s="37" t="s">
        <v>412</v>
      </c>
      <c r="H173" s="38" t="s">
        <v>19</v>
      </c>
      <c r="I173" s="39">
        <v>4.8894875E7</v>
      </c>
    </row>
    <row r="174">
      <c r="A174" s="33" t="s">
        <v>74</v>
      </c>
      <c r="B174" s="34" t="s">
        <v>148</v>
      </c>
      <c r="C174" s="35" t="s">
        <v>149</v>
      </c>
      <c r="D174" s="36">
        <v>2.0</v>
      </c>
      <c r="E174" s="35" t="e">
        <v>#N/A</v>
      </c>
      <c r="F174" s="36">
        <v>5.1100401E7</v>
      </c>
      <c r="G174" s="37" t="s">
        <v>420</v>
      </c>
      <c r="H174" s="38" t="s">
        <v>19</v>
      </c>
      <c r="I174" s="39">
        <v>1.4391378E7</v>
      </c>
    </row>
    <row r="175">
      <c r="A175" s="33" t="s">
        <v>74</v>
      </c>
      <c r="B175" s="34" t="s">
        <v>148</v>
      </c>
      <c r="C175" s="35" t="s">
        <v>149</v>
      </c>
      <c r="D175" s="36">
        <v>2.0</v>
      </c>
      <c r="E175" s="35" t="e">
        <v>#N/A</v>
      </c>
      <c r="F175" s="36">
        <v>5.1100608E7</v>
      </c>
      <c r="G175" s="37" t="s">
        <v>431</v>
      </c>
      <c r="H175" s="38" t="s">
        <v>17</v>
      </c>
      <c r="I175" s="39">
        <v>2.66333226E8</v>
      </c>
    </row>
    <row r="176">
      <c r="A176" s="33" t="s">
        <v>74</v>
      </c>
      <c r="B176" s="34" t="s">
        <v>148</v>
      </c>
      <c r="C176" s="35" t="s">
        <v>149</v>
      </c>
      <c r="D176" s="36">
        <v>2.0</v>
      </c>
      <c r="E176" s="35" t="e">
        <v>#N/A</v>
      </c>
      <c r="F176" s="36">
        <v>5.1100608E7</v>
      </c>
      <c r="G176" s="37" t="s">
        <v>431</v>
      </c>
      <c r="H176" s="38" t="s">
        <v>25</v>
      </c>
      <c r="I176" s="39">
        <v>-8.8777742E7</v>
      </c>
    </row>
    <row r="177">
      <c r="A177" s="33" t="s">
        <v>74</v>
      </c>
      <c r="B177" s="34" t="s">
        <v>167</v>
      </c>
      <c r="C177" s="35" t="s">
        <v>168</v>
      </c>
      <c r="D177" s="36">
        <v>2.0</v>
      </c>
      <c r="E177" s="35" t="s">
        <v>409</v>
      </c>
      <c r="F177" s="36">
        <v>5.1100064E7</v>
      </c>
      <c r="G177" s="37" t="s">
        <v>414</v>
      </c>
      <c r="H177" s="38" t="s">
        <v>37</v>
      </c>
      <c r="I177" s="39">
        <v>9627997.0</v>
      </c>
    </row>
    <row r="178">
      <c r="A178" s="33" t="s">
        <v>74</v>
      </c>
      <c r="B178" s="34" t="s">
        <v>167</v>
      </c>
      <c r="C178" s="35" t="s">
        <v>168</v>
      </c>
      <c r="D178" s="36">
        <v>2.0</v>
      </c>
      <c r="E178" s="35" t="s">
        <v>409</v>
      </c>
      <c r="F178" s="36">
        <v>5.1100064E7</v>
      </c>
      <c r="G178" s="37" t="s">
        <v>414</v>
      </c>
      <c r="H178" s="38" t="s">
        <v>25</v>
      </c>
      <c r="I178" s="39">
        <v>1.936E7</v>
      </c>
    </row>
    <row r="179">
      <c r="A179" s="33" t="s">
        <v>74</v>
      </c>
      <c r="B179" s="34" t="s">
        <v>167</v>
      </c>
      <c r="C179" s="35" t="s">
        <v>168</v>
      </c>
      <c r="D179" s="36">
        <v>2.0</v>
      </c>
      <c r="E179" s="35" t="s">
        <v>409</v>
      </c>
      <c r="F179" s="36">
        <v>9.0042077E7</v>
      </c>
      <c r="G179" s="37" t="s">
        <v>410</v>
      </c>
      <c r="H179" s="38" t="s">
        <v>19</v>
      </c>
      <c r="I179" s="39">
        <v>8.8048808E7</v>
      </c>
    </row>
    <row r="180">
      <c r="A180" s="33" t="s">
        <v>74</v>
      </c>
      <c r="B180" s="34" t="s">
        <v>167</v>
      </c>
      <c r="C180" s="35" t="s">
        <v>168</v>
      </c>
      <c r="D180" s="36">
        <v>2.0</v>
      </c>
      <c r="E180" s="35" t="s">
        <v>409</v>
      </c>
      <c r="F180" s="36">
        <v>9.0043001E7</v>
      </c>
      <c r="G180" s="37" t="s">
        <v>411</v>
      </c>
      <c r="H180" s="38" t="s">
        <v>19</v>
      </c>
      <c r="I180" s="39">
        <v>2.80829498E8</v>
      </c>
    </row>
    <row r="181">
      <c r="A181" s="33" t="s">
        <v>74</v>
      </c>
      <c r="B181" s="34" t="s">
        <v>167</v>
      </c>
      <c r="C181" s="35" t="s">
        <v>168</v>
      </c>
      <c r="D181" s="36">
        <v>2.0</v>
      </c>
      <c r="E181" s="35" t="s">
        <v>409</v>
      </c>
      <c r="F181" s="36">
        <v>9.0043E7</v>
      </c>
      <c r="G181" s="37" t="s">
        <v>412</v>
      </c>
      <c r="H181" s="38" t="s">
        <v>19</v>
      </c>
      <c r="I181" s="39">
        <v>1.31201627E8</v>
      </c>
    </row>
    <row r="182">
      <c r="A182" s="33" t="s">
        <v>74</v>
      </c>
      <c r="B182" s="34" t="s">
        <v>167</v>
      </c>
      <c r="C182" s="35" t="s">
        <v>168</v>
      </c>
      <c r="D182" s="36">
        <v>2.0</v>
      </c>
      <c r="E182" s="35" t="s">
        <v>416</v>
      </c>
      <c r="F182" s="36">
        <v>5.1100064E7</v>
      </c>
      <c r="G182" s="37" t="s">
        <v>414</v>
      </c>
      <c r="H182" s="38" t="s">
        <v>37</v>
      </c>
      <c r="I182" s="39">
        <v>2249500.0</v>
      </c>
    </row>
    <row r="183">
      <c r="A183" s="33" t="s">
        <v>74</v>
      </c>
      <c r="B183" s="34" t="s">
        <v>167</v>
      </c>
      <c r="C183" s="35" t="s">
        <v>168</v>
      </c>
      <c r="D183" s="36">
        <v>2.0</v>
      </c>
      <c r="E183" s="35" t="s">
        <v>416</v>
      </c>
      <c r="F183" s="36">
        <v>9.0043001E7</v>
      </c>
      <c r="G183" s="37" t="s">
        <v>411</v>
      </c>
      <c r="H183" s="38" t="s">
        <v>19</v>
      </c>
      <c r="I183" s="39">
        <v>1.999252E8</v>
      </c>
    </row>
    <row r="184">
      <c r="A184" s="33" t="s">
        <v>74</v>
      </c>
      <c r="B184" s="34" t="s">
        <v>167</v>
      </c>
      <c r="C184" s="35" t="s">
        <v>168</v>
      </c>
      <c r="D184" s="36">
        <v>2.0</v>
      </c>
      <c r="E184" s="35" t="s">
        <v>416</v>
      </c>
      <c r="F184" s="36">
        <v>9.0043E7</v>
      </c>
      <c r="G184" s="37" t="s">
        <v>412</v>
      </c>
      <c r="H184" s="38" t="s">
        <v>19</v>
      </c>
      <c r="I184" s="39">
        <v>2.9157697E7</v>
      </c>
    </row>
    <row r="185">
      <c r="A185" s="33" t="s">
        <v>74</v>
      </c>
      <c r="B185" s="34" t="s">
        <v>167</v>
      </c>
      <c r="C185" s="35" t="s">
        <v>168</v>
      </c>
      <c r="D185" s="36">
        <v>2.0</v>
      </c>
      <c r="E185" s="35" t="e">
        <v>#N/A</v>
      </c>
      <c r="F185" s="36">
        <v>5.1100608E7</v>
      </c>
      <c r="G185" s="37" t="s">
        <v>431</v>
      </c>
      <c r="H185" s="38" t="s">
        <v>17</v>
      </c>
      <c r="I185" s="39">
        <v>1.75235396E8</v>
      </c>
    </row>
    <row r="186">
      <c r="A186" s="33" t="s">
        <v>74</v>
      </c>
      <c r="B186" s="34" t="s">
        <v>167</v>
      </c>
      <c r="C186" s="35" t="s">
        <v>168</v>
      </c>
      <c r="D186" s="36">
        <v>2.0</v>
      </c>
      <c r="E186" s="35" t="e">
        <v>#N/A</v>
      </c>
      <c r="F186" s="36">
        <v>5.1100608E7</v>
      </c>
      <c r="G186" s="37" t="s">
        <v>431</v>
      </c>
      <c r="H186" s="38" t="s">
        <v>25</v>
      </c>
      <c r="I186" s="39">
        <v>-5.8334636E7</v>
      </c>
    </row>
    <row r="187">
      <c r="A187" s="33" t="s">
        <v>74</v>
      </c>
      <c r="B187" s="34" t="s">
        <v>170</v>
      </c>
      <c r="C187" s="35" t="s">
        <v>171</v>
      </c>
      <c r="D187" s="36">
        <v>2.0</v>
      </c>
      <c r="E187" s="35" t="s">
        <v>409</v>
      </c>
      <c r="F187" s="36">
        <v>5.1100064E7</v>
      </c>
      <c r="G187" s="37" t="s">
        <v>414</v>
      </c>
      <c r="H187" s="38" t="s">
        <v>37</v>
      </c>
      <c r="I187" s="39">
        <v>1.4145304E7</v>
      </c>
    </row>
    <row r="188">
      <c r="A188" s="33" t="s">
        <v>74</v>
      </c>
      <c r="B188" s="34" t="s">
        <v>170</v>
      </c>
      <c r="C188" s="35" t="s">
        <v>171</v>
      </c>
      <c r="D188" s="36">
        <v>2.0</v>
      </c>
      <c r="E188" s="35" t="s">
        <v>409</v>
      </c>
      <c r="F188" s="36">
        <v>5.1100064E7</v>
      </c>
      <c r="G188" s="37" t="s">
        <v>414</v>
      </c>
      <c r="H188" s="38" t="s">
        <v>25</v>
      </c>
      <c r="I188" s="39">
        <v>1450000.0</v>
      </c>
    </row>
    <row r="189">
      <c r="A189" s="33" t="s">
        <v>74</v>
      </c>
      <c r="B189" s="34" t="s">
        <v>170</v>
      </c>
      <c r="C189" s="35" t="s">
        <v>171</v>
      </c>
      <c r="D189" s="36">
        <v>2.0</v>
      </c>
      <c r="E189" s="35" t="s">
        <v>409</v>
      </c>
      <c r="F189" s="36">
        <v>9.0042077E7</v>
      </c>
      <c r="G189" s="37" t="s">
        <v>410</v>
      </c>
      <c r="H189" s="38" t="s">
        <v>19</v>
      </c>
      <c r="I189" s="39">
        <v>1.9718845E7</v>
      </c>
    </row>
    <row r="190">
      <c r="A190" s="33" t="s">
        <v>74</v>
      </c>
      <c r="B190" s="34" t="s">
        <v>170</v>
      </c>
      <c r="C190" s="35" t="s">
        <v>171</v>
      </c>
      <c r="D190" s="36">
        <v>2.0</v>
      </c>
      <c r="E190" s="35" t="s">
        <v>409</v>
      </c>
      <c r="F190" s="36">
        <v>9.0043001E7</v>
      </c>
      <c r="G190" s="37" t="s">
        <v>411</v>
      </c>
      <c r="H190" s="38" t="s">
        <v>19</v>
      </c>
      <c r="I190" s="39">
        <v>1.52203629E8</v>
      </c>
    </row>
    <row r="191">
      <c r="A191" s="33" t="s">
        <v>74</v>
      </c>
      <c r="B191" s="34" t="s">
        <v>170</v>
      </c>
      <c r="C191" s="35" t="s">
        <v>171</v>
      </c>
      <c r="D191" s="36">
        <v>2.0</v>
      </c>
      <c r="E191" s="35" t="s">
        <v>409</v>
      </c>
      <c r="F191" s="36">
        <v>9.0043E7</v>
      </c>
      <c r="G191" s="37" t="s">
        <v>412</v>
      </c>
      <c r="H191" s="38" t="s">
        <v>19</v>
      </c>
      <c r="I191" s="39">
        <v>5.5898594E7</v>
      </c>
    </row>
    <row r="192">
      <c r="A192" s="33" t="s">
        <v>74</v>
      </c>
      <c r="B192" s="34" t="s">
        <v>170</v>
      </c>
      <c r="C192" s="35" t="s">
        <v>171</v>
      </c>
      <c r="D192" s="36">
        <v>2.0</v>
      </c>
      <c r="E192" s="35" t="s">
        <v>416</v>
      </c>
      <c r="F192" s="36">
        <v>5.1100064E7</v>
      </c>
      <c r="G192" s="37" t="s">
        <v>414</v>
      </c>
      <c r="H192" s="38" t="s">
        <v>25</v>
      </c>
      <c r="I192" s="39">
        <v>7300000.0</v>
      </c>
    </row>
    <row r="193">
      <c r="A193" s="33" t="s">
        <v>74</v>
      </c>
      <c r="B193" s="34" t="s">
        <v>170</v>
      </c>
      <c r="C193" s="35" t="s">
        <v>171</v>
      </c>
      <c r="D193" s="36">
        <v>2.0</v>
      </c>
      <c r="E193" s="35" t="s">
        <v>416</v>
      </c>
      <c r="F193" s="36">
        <v>9.0043001E7</v>
      </c>
      <c r="G193" s="37" t="s">
        <v>411</v>
      </c>
      <c r="H193" s="38" t="s">
        <v>19</v>
      </c>
      <c r="I193" s="39">
        <v>1.32131931E8</v>
      </c>
    </row>
    <row r="194">
      <c r="A194" s="33" t="s">
        <v>74</v>
      </c>
      <c r="B194" s="34" t="s">
        <v>170</v>
      </c>
      <c r="C194" s="35" t="s">
        <v>171</v>
      </c>
      <c r="D194" s="36">
        <v>2.0</v>
      </c>
      <c r="E194" s="35" t="s">
        <v>416</v>
      </c>
      <c r="F194" s="36">
        <v>9.0043E7</v>
      </c>
      <c r="G194" s="37" t="s">
        <v>412</v>
      </c>
      <c r="H194" s="38" t="s">
        <v>19</v>
      </c>
      <c r="I194" s="39">
        <v>3.4379882E7</v>
      </c>
    </row>
    <row r="195">
      <c r="A195" s="33" t="s">
        <v>74</v>
      </c>
      <c r="B195" s="34" t="s">
        <v>170</v>
      </c>
      <c r="C195" s="35" t="s">
        <v>171</v>
      </c>
      <c r="D195" s="36">
        <v>2.0</v>
      </c>
      <c r="E195" s="35" t="s">
        <v>416</v>
      </c>
      <c r="F195" s="36">
        <v>5.1100107E7</v>
      </c>
      <c r="G195" s="37" t="s">
        <v>421</v>
      </c>
      <c r="H195" s="38" t="s">
        <v>25</v>
      </c>
      <c r="I195" s="39">
        <v>410000.0</v>
      </c>
    </row>
    <row r="196">
      <c r="A196" s="33" t="s">
        <v>74</v>
      </c>
      <c r="B196" s="34" t="s">
        <v>170</v>
      </c>
      <c r="C196" s="35" t="s">
        <v>171</v>
      </c>
      <c r="D196" s="36">
        <v>2.0</v>
      </c>
      <c r="E196" s="35" t="e">
        <v>#N/A</v>
      </c>
      <c r="F196" s="36">
        <v>5.1100608E7</v>
      </c>
      <c r="G196" s="37" t="s">
        <v>431</v>
      </c>
      <c r="H196" s="38" t="s">
        <v>17</v>
      </c>
      <c r="I196" s="39">
        <v>1.38228456E8</v>
      </c>
    </row>
    <row r="197">
      <c r="A197" s="33" t="s">
        <v>74</v>
      </c>
      <c r="B197" s="34" t="s">
        <v>170</v>
      </c>
      <c r="C197" s="35" t="s">
        <v>171</v>
      </c>
      <c r="D197" s="36">
        <v>2.0</v>
      </c>
      <c r="E197" s="35" t="e">
        <v>#N/A</v>
      </c>
      <c r="F197" s="36">
        <v>5.1100608E7</v>
      </c>
      <c r="G197" s="37" t="s">
        <v>431</v>
      </c>
      <c r="H197" s="38" t="s">
        <v>25</v>
      </c>
      <c r="I197" s="39">
        <v>-4.6076152E7</v>
      </c>
    </row>
    <row r="198">
      <c r="A198" s="33" t="s">
        <v>74</v>
      </c>
      <c r="B198" s="34" t="s">
        <v>187</v>
      </c>
      <c r="C198" s="35" t="s">
        <v>188</v>
      </c>
      <c r="D198" s="36">
        <v>2.0</v>
      </c>
      <c r="E198" s="35" t="s">
        <v>409</v>
      </c>
      <c r="F198" s="36">
        <v>5.1100064E7</v>
      </c>
      <c r="G198" s="37" t="s">
        <v>414</v>
      </c>
      <c r="H198" s="38" t="s">
        <v>37</v>
      </c>
      <c r="I198" s="39">
        <v>469737.0</v>
      </c>
    </row>
    <row r="199">
      <c r="A199" s="33" t="s">
        <v>74</v>
      </c>
      <c r="B199" s="34" t="s">
        <v>187</v>
      </c>
      <c r="C199" s="35" t="s">
        <v>188</v>
      </c>
      <c r="D199" s="36">
        <v>2.0</v>
      </c>
      <c r="E199" s="35" t="s">
        <v>409</v>
      </c>
      <c r="F199" s="36">
        <v>9.0042077E7</v>
      </c>
      <c r="G199" s="37" t="s">
        <v>410</v>
      </c>
      <c r="H199" s="38" t="s">
        <v>19</v>
      </c>
      <c r="I199" s="39">
        <v>3.3587777E7</v>
      </c>
    </row>
    <row r="200">
      <c r="A200" s="33" t="s">
        <v>74</v>
      </c>
      <c r="B200" s="34" t="s">
        <v>187</v>
      </c>
      <c r="C200" s="35" t="s">
        <v>188</v>
      </c>
      <c r="D200" s="36">
        <v>2.0</v>
      </c>
      <c r="E200" s="35" t="s">
        <v>409</v>
      </c>
      <c r="F200" s="36">
        <v>9.0043001E7</v>
      </c>
      <c r="G200" s="37" t="s">
        <v>411</v>
      </c>
      <c r="H200" s="38" t="s">
        <v>19</v>
      </c>
      <c r="I200" s="39">
        <v>1.52306679E8</v>
      </c>
    </row>
    <row r="201">
      <c r="A201" s="33" t="s">
        <v>74</v>
      </c>
      <c r="B201" s="34" t="s">
        <v>187</v>
      </c>
      <c r="C201" s="35" t="s">
        <v>188</v>
      </c>
      <c r="D201" s="36">
        <v>2.0</v>
      </c>
      <c r="E201" s="35" t="s">
        <v>409</v>
      </c>
      <c r="F201" s="36">
        <v>9.0043E7</v>
      </c>
      <c r="G201" s="37" t="s">
        <v>412</v>
      </c>
      <c r="H201" s="38" t="s">
        <v>19</v>
      </c>
      <c r="I201" s="39">
        <v>4.6709768E7</v>
      </c>
    </row>
    <row r="202">
      <c r="A202" s="33" t="s">
        <v>74</v>
      </c>
      <c r="B202" s="34" t="s">
        <v>187</v>
      </c>
      <c r="C202" s="35" t="s">
        <v>188</v>
      </c>
      <c r="D202" s="36">
        <v>2.0</v>
      </c>
      <c r="E202" s="35" t="s">
        <v>409</v>
      </c>
      <c r="F202" s="36">
        <v>5.1100062E7</v>
      </c>
      <c r="G202" s="37" t="s">
        <v>423</v>
      </c>
      <c r="H202" s="38" t="s">
        <v>37</v>
      </c>
      <c r="I202" s="39">
        <v>6000000.0</v>
      </c>
    </row>
    <row r="203">
      <c r="A203" s="33" t="s">
        <v>74</v>
      </c>
      <c r="B203" s="34" t="s">
        <v>187</v>
      </c>
      <c r="C203" s="35" t="s">
        <v>188</v>
      </c>
      <c r="D203" s="36">
        <v>2.0</v>
      </c>
      <c r="E203" s="35" t="s">
        <v>416</v>
      </c>
      <c r="F203" s="36">
        <v>5.1100064E7</v>
      </c>
      <c r="G203" s="37" t="s">
        <v>414</v>
      </c>
      <c r="H203" s="38" t="s">
        <v>37</v>
      </c>
      <c r="I203" s="39">
        <v>260000.0</v>
      </c>
    </row>
    <row r="204">
      <c r="A204" s="33" t="s">
        <v>74</v>
      </c>
      <c r="B204" s="34" t="s">
        <v>187</v>
      </c>
      <c r="C204" s="35" t="s">
        <v>188</v>
      </c>
      <c r="D204" s="36">
        <v>2.0</v>
      </c>
      <c r="E204" s="35" t="s">
        <v>416</v>
      </c>
      <c r="F204" s="36">
        <v>9.0043001E7</v>
      </c>
      <c r="G204" s="37" t="s">
        <v>411</v>
      </c>
      <c r="H204" s="38" t="s">
        <v>19</v>
      </c>
      <c r="I204" s="39">
        <v>1.95342306E8</v>
      </c>
    </row>
    <row r="205">
      <c r="A205" s="33" t="s">
        <v>74</v>
      </c>
      <c r="B205" s="34" t="s">
        <v>187</v>
      </c>
      <c r="C205" s="35" t="s">
        <v>188</v>
      </c>
      <c r="D205" s="36">
        <v>2.0</v>
      </c>
      <c r="E205" s="35" t="s">
        <v>416</v>
      </c>
      <c r="F205" s="36">
        <v>9.0043E7</v>
      </c>
      <c r="G205" s="37" t="s">
        <v>412</v>
      </c>
      <c r="H205" s="38" t="s">
        <v>19</v>
      </c>
      <c r="I205" s="39">
        <v>3.1099949E7</v>
      </c>
    </row>
    <row r="206">
      <c r="A206" s="33" t="s">
        <v>74</v>
      </c>
      <c r="B206" s="34" t="s">
        <v>187</v>
      </c>
      <c r="C206" s="35" t="s">
        <v>188</v>
      </c>
      <c r="D206" s="36">
        <v>2.0</v>
      </c>
      <c r="E206" s="35" t="s">
        <v>416</v>
      </c>
      <c r="F206" s="36">
        <v>5.1100651E7</v>
      </c>
      <c r="G206" s="37" t="s">
        <v>424</v>
      </c>
      <c r="H206" s="38" t="s">
        <v>25</v>
      </c>
      <c r="I206" s="39">
        <v>6542000.0</v>
      </c>
    </row>
    <row r="207">
      <c r="A207" s="33" t="s">
        <v>74</v>
      </c>
      <c r="B207" s="34" t="s">
        <v>187</v>
      </c>
      <c r="C207" s="35" t="s">
        <v>188</v>
      </c>
      <c r="D207" s="36">
        <v>2.0</v>
      </c>
      <c r="E207" s="35" t="s">
        <v>416</v>
      </c>
      <c r="F207" s="36">
        <v>5.1100003E7</v>
      </c>
      <c r="G207" s="37" t="s">
        <v>432</v>
      </c>
      <c r="H207" s="38" t="s">
        <v>25</v>
      </c>
      <c r="I207" s="39">
        <v>0.0</v>
      </c>
    </row>
    <row r="208">
      <c r="A208" s="33" t="s">
        <v>74</v>
      </c>
      <c r="B208" s="34" t="s">
        <v>187</v>
      </c>
      <c r="C208" s="35" t="s">
        <v>188</v>
      </c>
      <c r="D208" s="36">
        <v>2.0</v>
      </c>
      <c r="E208" s="35" t="e">
        <v>#N/A</v>
      </c>
      <c r="F208" s="36">
        <v>5.1100608E7</v>
      </c>
      <c r="G208" s="37" t="s">
        <v>431</v>
      </c>
      <c r="H208" s="38" t="s">
        <v>17</v>
      </c>
      <c r="I208" s="39">
        <v>3.91247512E8</v>
      </c>
    </row>
    <row r="209">
      <c r="A209" s="33" t="s">
        <v>74</v>
      </c>
      <c r="B209" s="34" t="s">
        <v>203</v>
      </c>
      <c r="C209" s="35" t="s">
        <v>204</v>
      </c>
      <c r="D209" s="36">
        <v>2.0</v>
      </c>
      <c r="E209" s="35" t="s">
        <v>417</v>
      </c>
      <c r="F209" s="36">
        <v>9.0042084E7</v>
      </c>
      <c r="G209" s="37" t="s">
        <v>418</v>
      </c>
      <c r="H209" s="38" t="s">
        <v>19</v>
      </c>
      <c r="I209" s="39">
        <v>1509690.0</v>
      </c>
    </row>
    <row r="210">
      <c r="A210" s="33" t="s">
        <v>74</v>
      </c>
      <c r="B210" s="34" t="s">
        <v>203</v>
      </c>
      <c r="C210" s="35" t="s">
        <v>204</v>
      </c>
      <c r="D210" s="36">
        <v>2.0</v>
      </c>
      <c r="E210" s="35" t="s">
        <v>417</v>
      </c>
      <c r="F210" s="36">
        <v>9.0043001E7</v>
      </c>
      <c r="G210" s="37" t="s">
        <v>411</v>
      </c>
      <c r="H210" s="38" t="s">
        <v>19</v>
      </c>
      <c r="I210" s="39">
        <v>1573855.0</v>
      </c>
    </row>
    <row r="211">
      <c r="A211" s="33" t="s">
        <v>74</v>
      </c>
      <c r="B211" s="34" t="s">
        <v>203</v>
      </c>
      <c r="C211" s="35" t="s">
        <v>204</v>
      </c>
      <c r="D211" s="36">
        <v>2.0</v>
      </c>
      <c r="E211" s="35" t="s">
        <v>409</v>
      </c>
      <c r="F211" s="36">
        <v>5.1100064E7</v>
      </c>
      <c r="G211" s="37" t="s">
        <v>414</v>
      </c>
      <c r="H211" s="38" t="s">
        <v>37</v>
      </c>
      <c r="I211" s="39">
        <v>2713500.0</v>
      </c>
    </row>
    <row r="212">
      <c r="A212" s="33" t="s">
        <v>74</v>
      </c>
      <c r="B212" s="34" t="s">
        <v>203</v>
      </c>
      <c r="C212" s="35" t="s">
        <v>204</v>
      </c>
      <c r="D212" s="36">
        <v>2.0</v>
      </c>
      <c r="E212" s="35" t="s">
        <v>409</v>
      </c>
      <c r="F212" s="36">
        <v>5.1100064E7</v>
      </c>
      <c r="G212" s="37" t="s">
        <v>414</v>
      </c>
      <c r="H212" s="38" t="s">
        <v>25</v>
      </c>
      <c r="I212" s="39">
        <v>470000.0</v>
      </c>
    </row>
    <row r="213">
      <c r="A213" s="33" t="s">
        <v>74</v>
      </c>
      <c r="B213" s="34" t="s">
        <v>203</v>
      </c>
      <c r="C213" s="35" t="s">
        <v>204</v>
      </c>
      <c r="D213" s="36">
        <v>2.0</v>
      </c>
      <c r="E213" s="35" t="s">
        <v>409</v>
      </c>
      <c r="F213" s="36">
        <v>9.0042077E7</v>
      </c>
      <c r="G213" s="37" t="s">
        <v>410</v>
      </c>
      <c r="H213" s="38" t="s">
        <v>19</v>
      </c>
      <c r="I213" s="39">
        <v>2.6399452E7</v>
      </c>
    </row>
    <row r="214">
      <c r="A214" s="33" t="s">
        <v>74</v>
      </c>
      <c r="B214" s="34" t="s">
        <v>203</v>
      </c>
      <c r="C214" s="35" t="s">
        <v>204</v>
      </c>
      <c r="D214" s="36">
        <v>2.0</v>
      </c>
      <c r="E214" s="35" t="s">
        <v>409</v>
      </c>
      <c r="F214" s="36">
        <v>9.0043001E7</v>
      </c>
      <c r="G214" s="37" t="s">
        <v>411</v>
      </c>
      <c r="H214" s="38" t="s">
        <v>19</v>
      </c>
      <c r="I214" s="39">
        <v>1.08427625E8</v>
      </c>
    </row>
    <row r="215">
      <c r="A215" s="33" t="s">
        <v>74</v>
      </c>
      <c r="B215" s="34" t="s">
        <v>203</v>
      </c>
      <c r="C215" s="35" t="s">
        <v>204</v>
      </c>
      <c r="D215" s="36">
        <v>2.0</v>
      </c>
      <c r="E215" s="35" t="s">
        <v>409</v>
      </c>
      <c r="F215" s="36">
        <v>9.0043E7</v>
      </c>
      <c r="G215" s="37" t="s">
        <v>412</v>
      </c>
      <c r="H215" s="38" t="s">
        <v>19</v>
      </c>
      <c r="I215" s="39">
        <v>6.6187439E7</v>
      </c>
    </row>
    <row r="216">
      <c r="A216" s="33" t="s">
        <v>74</v>
      </c>
      <c r="B216" s="34" t="s">
        <v>203</v>
      </c>
      <c r="C216" s="35" t="s">
        <v>204</v>
      </c>
      <c r="D216" s="36">
        <v>2.0</v>
      </c>
      <c r="E216" s="35" t="s">
        <v>416</v>
      </c>
      <c r="F216" s="36">
        <v>9.0043001E7</v>
      </c>
      <c r="G216" s="37" t="s">
        <v>411</v>
      </c>
      <c r="H216" s="38" t="s">
        <v>19</v>
      </c>
      <c r="I216" s="39">
        <v>4.6774549E7</v>
      </c>
    </row>
    <row r="217">
      <c r="A217" s="33" t="s">
        <v>74</v>
      </c>
      <c r="B217" s="34" t="s">
        <v>203</v>
      </c>
      <c r="C217" s="35" t="s">
        <v>204</v>
      </c>
      <c r="D217" s="36">
        <v>2.0</v>
      </c>
      <c r="E217" s="35" t="s">
        <v>416</v>
      </c>
      <c r="F217" s="36">
        <v>9.0043E7</v>
      </c>
      <c r="G217" s="37" t="s">
        <v>412</v>
      </c>
      <c r="H217" s="38" t="s">
        <v>19</v>
      </c>
      <c r="I217" s="39">
        <v>3.6211771E7</v>
      </c>
    </row>
    <row r="218">
      <c r="A218" s="33" t="s">
        <v>74</v>
      </c>
      <c r="B218" s="34" t="s">
        <v>203</v>
      </c>
      <c r="C218" s="35" t="s">
        <v>204</v>
      </c>
      <c r="D218" s="36">
        <v>2.0</v>
      </c>
      <c r="E218" s="35" t="e">
        <v>#N/A</v>
      </c>
      <c r="F218" s="36">
        <v>5.1100608E7</v>
      </c>
      <c r="G218" s="37" t="s">
        <v>431</v>
      </c>
      <c r="H218" s="38" t="s">
        <v>17</v>
      </c>
      <c r="I218" s="39">
        <v>1.5179748E8</v>
      </c>
    </row>
    <row r="219">
      <c r="A219" s="33" t="s">
        <v>74</v>
      </c>
      <c r="B219" s="34" t="s">
        <v>212</v>
      </c>
      <c r="C219" s="35" t="s">
        <v>213</v>
      </c>
      <c r="D219" s="36">
        <v>2.0</v>
      </c>
      <c r="E219" s="35" t="s">
        <v>417</v>
      </c>
      <c r="F219" s="36">
        <v>9.0043001E7</v>
      </c>
      <c r="G219" s="37" t="s">
        <v>411</v>
      </c>
      <c r="H219" s="38" t="s">
        <v>19</v>
      </c>
      <c r="I219" s="39">
        <v>4186000.0</v>
      </c>
    </row>
    <row r="220">
      <c r="A220" s="33" t="s">
        <v>74</v>
      </c>
      <c r="B220" s="34" t="s">
        <v>212</v>
      </c>
      <c r="C220" s="35" t="s">
        <v>213</v>
      </c>
      <c r="D220" s="36">
        <v>2.0</v>
      </c>
      <c r="E220" s="35" t="s">
        <v>409</v>
      </c>
      <c r="F220" s="36">
        <v>9.0042077E7</v>
      </c>
      <c r="G220" s="37" t="s">
        <v>410</v>
      </c>
      <c r="H220" s="38" t="s">
        <v>19</v>
      </c>
      <c r="I220" s="39">
        <v>1.7324222E7</v>
      </c>
    </row>
    <row r="221">
      <c r="A221" s="33" t="s">
        <v>74</v>
      </c>
      <c r="B221" s="34" t="s">
        <v>212</v>
      </c>
      <c r="C221" s="35" t="s">
        <v>213</v>
      </c>
      <c r="D221" s="36">
        <v>2.0</v>
      </c>
      <c r="E221" s="35" t="s">
        <v>409</v>
      </c>
      <c r="F221" s="36">
        <v>9.0043001E7</v>
      </c>
      <c r="G221" s="37" t="s">
        <v>411</v>
      </c>
      <c r="H221" s="38" t="s">
        <v>19</v>
      </c>
      <c r="I221" s="39">
        <v>1.75158819E8</v>
      </c>
    </row>
    <row r="222">
      <c r="A222" s="33" t="s">
        <v>74</v>
      </c>
      <c r="B222" s="34" t="s">
        <v>212</v>
      </c>
      <c r="C222" s="35" t="s">
        <v>213</v>
      </c>
      <c r="D222" s="36">
        <v>2.0</v>
      </c>
      <c r="E222" s="35" t="s">
        <v>409</v>
      </c>
      <c r="F222" s="36">
        <v>9.0043E7</v>
      </c>
      <c r="G222" s="37" t="s">
        <v>412</v>
      </c>
      <c r="H222" s="38" t="s">
        <v>19</v>
      </c>
      <c r="I222" s="39">
        <v>6.8233019E7</v>
      </c>
    </row>
    <row r="223">
      <c r="A223" s="33" t="s">
        <v>74</v>
      </c>
      <c r="B223" s="34" t="s">
        <v>212</v>
      </c>
      <c r="C223" s="35" t="s">
        <v>213</v>
      </c>
      <c r="D223" s="36">
        <v>2.0</v>
      </c>
      <c r="E223" s="35" t="s">
        <v>409</v>
      </c>
      <c r="F223" s="36">
        <v>5.1100062E7</v>
      </c>
      <c r="G223" s="37" t="s">
        <v>423</v>
      </c>
      <c r="H223" s="38" t="s">
        <v>37</v>
      </c>
      <c r="I223" s="39">
        <v>1785000.0</v>
      </c>
    </row>
    <row r="224">
      <c r="A224" s="33" t="s">
        <v>74</v>
      </c>
      <c r="B224" s="34" t="s">
        <v>212</v>
      </c>
      <c r="C224" s="35" t="s">
        <v>213</v>
      </c>
      <c r="D224" s="36">
        <v>2.0</v>
      </c>
      <c r="E224" s="35" t="s">
        <v>416</v>
      </c>
      <c r="F224" s="36">
        <v>9.004208E7</v>
      </c>
      <c r="G224" s="37" t="s">
        <v>419</v>
      </c>
      <c r="H224" s="38" t="s">
        <v>25</v>
      </c>
      <c r="I224" s="39">
        <v>2611000.0</v>
      </c>
    </row>
    <row r="225">
      <c r="A225" s="33" t="s">
        <v>74</v>
      </c>
      <c r="B225" s="34" t="s">
        <v>212</v>
      </c>
      <c r="C225" s="35" t="s">
        <v>213</v>
      </c>
      <c r="D225" s="36">
        <v>2.0</v>
      </c>
      <c r="E225" s="35" t="s">
        <v>416</v>
      </c>
      <c r="F225" s="36">
        <v>9.0043001E7</v>
      </c>
      <c r="G225" s="37" t="s">
        <v>411</v>
      </c>
      <c r="H225" s="38" t="s">
        <v>19</v>
      </c>
      <c r="I225" s="39">
        <v>1.42670023E8</v>
      </c>
    </row>
    <row r="226">
      <c r="A226" s="33" t="s">
        <v>74</v>
      </c>
      <c r="B226" s="34" t="s">
        <v>212</v>
      </c>
      <c r="C226" s="35" t="s">
        <v>213</v>
      </c>
      <c r="D226" s="36">
        <v>2.0</v>
      </c>
      <c r="E226" s="35" t="s">
        <v>416</v>
      </c>
      <c r="F226" s="36">
        <v>9.0043E7</v>
      </c>
      <c r="G226" s="37" t="s">
        <v>412</v>
      </c>
      <c r="H226" s="38" t="s">
        <v>19</v>
      </c>
      <c r="I226" s="39">
        <v>2.6675354E7</v>
      </c>
    </row>
    <row r="227">
      <c r="A227" s="33" t="s">
        <v>74</v>
      </c>
      <c r="B227" s="34" t="s">
        <v>212</v>
      </c>
      <c r="C227" s="35" t="s">
        <v>213</v>
      </c>
      <c r="D227" s="36">
        <v>2.0</v>
      </c>
      <c r="E227" s="35" t="e">
        <v>#N/A</v>
      </c>
      <c r="F227" s="36">
        <v>5.1100608E7</v>
      </c>
      <c r="G227" s="37" t="s">
        <v>431</v>
      </c>
      <c r="H227" s="38" t="s">
        <v>17</v>
      </c>
      <c r="I227" s="39">
        <v>1.04446954E8</v>
      </c>
    </row>
    <row r="228">
      <c r="A228" s="33" t="s">
        <v>74</v>
      </c>
      <c r="B228" s="34" t="s">
        <v>220</v>
      </c>
      <c r="C228" s="35" t="s">
        <v>221</v>
      </c>
      <c r="D228" s="36">
        <v>2.0</v>
      </c>
      <c r="E228" s="35" t="s">
        <v>409</v>
      </c>
      <c r="F228" s="36">
        <v>9.0042077E7</v>
      </c>
      <c r="G228" s="37" t="s">
        <v>410</v>
      </c>
      <c r="H228" s="38" t="s">
        <v>19</v>
      </c>
      <c r="I228" s="39">
        <v>2869135.0</v>
      </c>
    </row>
    <row r="229">
      <c r="A229" s="33" t="s">
        <v>74</v>
      </c>
      <c r="B229" s="34" t="s">
        <v>220</v>
      </c>
      <c r="C229" s="35" t="s">
        <v>221</v>
      </c>
      <c r="D229" s="36">
        <v>2.0</v>
      </c>
      <c r="E229" s="35" t="s">
        <v>409</v>
      </c>
      <c r="F229" s="36">
        <v>9.0043001E7</v>
      </c>
      <c r="G229" s="37" t="s">
        <v>411</v>
      </c>
      <c r="H229" s="38" t="s">
        <v>19</v>
      </c>
      <c r="I229" s="39">
        <v>1.44451414E8</v>
      </c>
    </row>
    <row r="230">
      <c r="A230" s="33" t="s">
        <v>74</v>
      </c>
      <c r="B230" s="34" t="s">
        <v>220</v>
      </c>
      <c r="C230" s="35" t="s">
        <v>221</v>
      </c>
      <c r="D230" s="36">
        <v>2.0</v>
      </c>
      <c r="E230" s="35" t="s">
        <v>409</v>
      </c>
      <c r="F230" s="36">
        <v>9.0043E7</v>
      </c>
      <c r="G230" s="37" t="s">
        <v>412</v>
      </c>
      <c r="H230" s="38" t="s">
        <v>19</v>
      </c>
      <c r="I230" s="39">
        <v>8.3580756E7</v>
      </c>
    </row>
    <row r="231">
      <c r="A231" s="33" t="s">
        <v>74</v>
      </c>
      <c r="B231" s="34" t="s">
        <v>220</v>
      </c>
      <c r="C231" s="35" t="s">
        <v>221</v>
      </c>
      <c r="D231" s="36">
        <v>2.0</v>
      </c>
      <c r="E231" s="35" t="s">
        <v>416</v>
      </c>
      <c r="F231" s="36">
        <v>9.0043001E7</v>
      </c>
      <c r="G231" s="37" t="s">
        <v>411</v>
      </c>
      <c r="H231" s="38" t="s">
        <v>19</v>
      </c>
      <c r="I231" s="39">
        <v>1.88479827E8</v>
      </c>
    </row>
    <row r="232">
      <c r="A232" s="33" t="s">
        <v>74</v>
      </c>
      <c r="B232" s="34" t="s">
        <v>220</v>
      </c>
      <c r="C232" s="35" t="s">
        <v>221</v>
      </c>
      <c r="D232" s="36">
        <v>2.0</v>
      </c>
      <c r="E232" s="35" t="s">
        <v>416</v>
      </c>
      <c r="F232" s="36">
        <v>9.0043E7</v>
      </c>
      <c r="G232" s="37" t="s">
        <v>412</v>
      </c>
      <c r="H232" s="38" t="s">
        <v>19</v>
      </c>
      <c r="I232" s="39">
        <v>1.4332649E7</v>
      </c>
    </row>
    <row r="233">
      <c r="A233" s="33" t="s">
        <v>74</v>
      </c>
      <c r="B233" s="34" t="s">
        <v>231</v>
      </c>
      <c r="C233" s="35" t="s">
        <v>232</v>
      </c>
      <c r="D233" s="36">
        <v>2.0</v>
      </c>
      <c r="E233" s="35" t="s">
        <v>417</v>
      </c>
      <c r="F233" s="36">
        <v>9.0043001E7</v>
      </c>
      <c r="G233" s="37" t="s">
        <v>411</v>
      </c>
      <c r="H233" s="38" t="s">
        <v>19</v>
      </c>
      <c r="I233" s="39">
        <v>6864788.0</v>
      </c>
    </row>
    <row r="234">
      <c r="A234" s="33" t="s">
        <v>74</v>
      </c>
      <c r="B234" s="34" t="s">
        <v>231</v>
      </c>
      <c r="C234" s="35" t="s">
        <v>232</v>
      </c>
      <c r="D234" s="36">
        <v>2.0</v>
      </c>
      <c r="E234" s="35" t="s">
        <v>409</v>
      </c>
      <c r="F234" s="36">
        <v>5.1100064E7</v>
      </c>
      <c r="G234" s="37" t="s">
        <v>414</v>
      </c>
      <c r="H234" s="38" t="s">
        <v>37</v>
      </c>
      <c r="I234" s="39">
        <v>2568480.0</v>
      </c>
    </row>
    <row r="235">
      <c r="A235" s="33" t="s">
        <v>74</v>
      </c>
      <c r="B235" s="34" t="s">
        <v>231</v>
      </c>
      <c r="C235" s="35" t="s">
        <v>232</v>
      </c>
      <c r="D235" s="36">
        <v>2.0</v>
      </c>
      <c r="E235" s="35" t="s">
        <v>409</v>
      </c>
      <c r="F235" s="36">
        <v>5.1100064E7</v>
      </c>
      <c r="G235" s="37" t="s">
        <v>414</v>
      </c>
      <c r="H235" s="38" t="s">
        <v>25</v>
      </c>
      <c r="I235" s="39">
        <v>360000.0</v>
      </c>
    </row>
    <row r="236">
      <c r="A236" s="33" t="s">
        <v>74</v>
      </c>
      <c r="B236" s="34" t="s">
        <v>231</v>
      </c>
      <c r="C236" s="35" t="s">
        <v>232</v>
      </c>
      <c r="D236" s="36">
        <v>2.0</v>
      </c>
      <c r="E236" s="35" t="s">
        <v>409</v>
      </c>
      <c r="F236" s="36">
        <v>9.0042077E7</v>
      </c>
      <c r="G236" s="37" t="s">
        <v>410</v>
      </c>
      <c r="H236" s="38" t="s">
        <v>19</v>
      </c>
      <c r="I236" s="39">
        <v>5735176.0</v>
      </c>
    </row>
    <row r="237">
      <c r="A237" s="33" t="s">
        <v>74</v>
      </c>
      <c r="B237" s="34" t="s">
        <v>231</v>
      </c>
      <c r="C237" s="35" t="s">
        <v>232</v>
      </c>
      <c r="D237" s="36">
        <v>2.0</v>
      </c>
      <c r="E237" s="35" t="s">
        <v>409</v>
      </c>
      <c r="F237" s="36">
        <v>9.0043001E7</v>
      </c>
      <c r="G237" s="37" t="s">
        <v>411</v>
      </c>
      <c r="H237" s="38" t="s">
        <v>19</v>
      </c>
      <c r="I237" s="39">
        <v>7.1289946E7</v>
      </c>
    </row>
    <row r="238">
      <c r="A238" s="33" t="s">
        <v>74</v>
      </c>
      <c r="B238" s="34" t="s">
        <v>231</v>
      </c>
      <c r="C238" s="35" t="s">
        <v>232</v>
      </c>
      <c r="D238" s="36">
        <v>2.0</v>
      </c>
      <c r="E238" s="35" t="s">
        <v>409</v>
      </c>
      <c r="F238" s="36">
        <v>9.0043E7</v>
      </c>
      <c r="G238" s="37" t="s">
        <v>412</v>
      </c>
      <c r="H238" s="38" t="s">
        <v>19</v>
      </c>
      <c r="I238" s="39">
        <v>3.200912E7</v>
      </c>
    </row>
    <row r="239">
      <c r="A239" s="33" t="s">
        <v>74</v>
      </c>
      <c r="B239" s="34" t="s">
        <v>231</v>
      </c>
      <c r="C239" s="35" t="s">
        <v>232</v>
      </c>
      <c r="D239" s="36">
        <v>2.0</v>
      </c>
      <c r="E239" s="35" t="s">
        <v>409</v>
      </c>
      <c r="F239" s="36">
        <v>9.0043002E7</v>
      </c>
      <c r="G239" s="37" t="s">
        <v>429</v>
      </c>
      <c r="H239" s="38" t="s">
        <v>50</v>
      </c>
      <c r="I239" s="39">
        <v>2.567038E7</v>
      </c>
    </row>
    <row r="240">
      <c r="A240" s="33" t="s">
        <v>74</v>
      </c>
      <c r="B240" s="34" t="s">
        <v>231</v>
      </c>
      <c r="C240" s="35" t="s">
        <v>232</v>
      </c>
      <c r="D240" s="36">
        <v>2.0</v>
      </c>
      <c r="E240" s="35" t="s">
        <v>416</v>
      </c>
      <c r="F240" s="36">
        <v>9.0043001E7</v>
      </c>
      <c r="G240" s="37" t="s">
        <v>411</v>
      </c>
      <c r="H240" s="38" t="s">
        <v>19</v>
      </c>
      <c r="I240" s="39">
        <v>3.9499799E7</v>
      </c>
    </row>
    <row r="241">
      <c r="A241" s="33" t="s">
        <v>74</v>
      </c>
      <c r="B241" s="34" t="s">
        <v>231</v>
      </c>
      <c r="C241" s="35" t="s">
        <v>232</v>
      </c>
      <c r="D241" s="36">
        <v>2.0</v>
      </c>
      <c r="E241" s="35" t="s">
        <v>416</v>
      </c>
      <c r="F241" s="36">
        <v>9.0043E7</v>
      </c>
      <c r="G241" s="37" t="s">
        <v>412</v>
      </c>
      <c r="H241" s="38" t="s">
        <v>19</v>
      </c>
      <c r="I241" s="39">
        <v>4866375.0</v>
      </c>
    </row>
    <row r="242">
      <c r="A242" s="33" t="s">
        <v>74</v>
      </c>
      <c r="B242" s="34" t="s">
        <v>233</v>
      </c>
      <c r="C242" s="35" t="s">
        <v>234</v>
      </c>
      <c r="D242" s="36">
        <v>2.0</v>
      </c>
      <c r="E242" s="35" t="s">
        <v>409</v>
      </c>
      <c r="F242" s="36">
        <v>5.1100064E7</v>
      </c>
      <c r="G242" s="37" t="s">
        <v>414</v>
      </c>
      <c r="H242" s="38" t="s">
        <v>37</v>
      </c>
      <c r="I242" s="39">
        <v>2.9607918E7</v>
      </c>
    </row>
    <row r="243">
      <c r="A243" s="33" t="s">
        <v>74</v>
      </c>
      <c r="B243" s="34" t="s">
        <v>233</v>
      </c>
      <c r="C243" s="35" t="s">
        <v>234</v>
      </c>
      <c r="D243" s="36">
        <v>2.0</v>
      </c>
      <c r="E243" s="35" t="s">
        <v>409</v>
      </c>
      <c r="F243" s="36">
        <v>5.1100064E7</v>
      </c>
      <c r="G243" s="37" t="s">
        <v>414</v>
      </c>
      <c r="H243" s="38" t="s">
        <v>25</v>
      </c>
      <c r="I243" s="39">
        <v>5749500.0</v>
      </c>
    </row>
    <row r="244">
      <c r="A244" s="33" t="s">
        <v>74</v>
      </c>
      <c r="B244" s="34" t="s">
        <v>233</v>
      </c>
      <c r="C244" s="35" t="s">
        <v>234</v>
      </c>
      <c r="D244" s="36">
        <v>2.0</v>
      </c>
      <c r="E244" s="35" t="s">
        <v>409</v>
      </c>
      <c r="F244" s="36">
        <v>5.1101056E7</v>
      </c>
      <c r="G244" s="37" t="s">
        <v>426</v>
      </c>
      <c r="H244" s="38" t="s">
        <v>25</v>
      </c>
      <c r="I244" s="39">
        <v>-1820350.0</v>
      </c>
    </row>
    <row r="245">
      <c r="A245" s="33" t="s">
        <v>74</v>
      </c>
      <c r="B245" s="34" t="s">
        <v>233</v>
      </c>
      <c r="C245" s="35" t="s">
        <v>234</v>
      </c>
      <c r="D245" s="36">
        <v>2.0</v>
      </c>
      <c r="E245" s="35" t="s">
        <v>409</v>
      </c>
      <c r="F245" s="36">
        <v>9.0042077E7</v>
      </c>
      <c r="G245" s="37" t="s">
        <v>410</v>
      </c>
      <c r="H245" s="38" t="s">
        <v>19</v>
      </c>
      <c r="I245" s="39">
        <v>6.771455E7</v>
      </c>
    </row>
    <row r="246">
      <c r="A246" s="33" t="s">
        <v>74</v>
      </c>
      <c r="B246" s="34" t="s">
        <v>233</v>
      </c>
      <c r="C246" s="35" t="s">
        <v>234</v>
      </c>
      <c r="D246" s="36">
        <v>2.0</v>
      </c>
      <c r="E246" s="35" t="s">
        <v>409</v>
      </c>
      <c r="F246" s="36">
        <v>9.0043001E7</v>
      </c>
      <c r="G246" s="37" t="s">
        <v>411</v>
      </c>
      <c r="H246" s="38" t="s">
        <v>19</v>
      </c>
      <c r="I246" s="39">
        <v>1.02637014E8</v>
      </c>
    </row>
    <row r="247">
      <c r="A247" s="33" t="s">
        <v>74</v>
      </c>
      <c r="B247" s="34" t="s">
        <v>233</v>
      </c>
      <c r="C247" s="35" t="s">
        <v>234</v>
      </c>
      <c r="D247" s="36">
        <v>2.0</v>
      </c>
      <c r="E247" s="35" t="s">
        <v>409</v>
      </c>
      <c r="F247" s="36">
        <v>9.0043E7</v>
      </c>
      <c r="G247" s="37" t="s">
        <v>412</v>
      </c>
      <c r="H247" s="38" t="s">
        <v>19</v>
      </c>
      <c r="I247" s="39">
        <v>1.13245069E8</v>
      </c>
    </row>
    <row r="248">
      <c r="A248" s="33" t="s">
        <v>74</v>
      </c>
      <c r="B248" s="34" t="s">
        <v>233</v>
      </c>
      <c r="C248" s="35" t="s">
        <v>234</v>
      </c>
      <c r="D248" s="36">
        <v>2.0</v>
      </c>
      <c r="E248" s="35" t="s">
        <v>416</v>
      </c>
      <c r="F248" s="36">
        <v>9.0042078E7</v>
      </c>
      <c r="G248" s="37" t="s">
        <v>428</v>
      </c>
      <c r="H248" s="38" t="s">
        <v>19</v>
      </c>
      <c r="I248" s="39">
        <v>225000.0</v>
      </c>
    </row>
    <row r="249">
      <c r="A249" s="33" t="s">
        <v>74</v>
      </c>
      <c r="B249" s="34" t="s">
        <v>233</v>
      </c>
      <c r="C249" s="35" t="s">
        <v>234</v>
      </c>
      <c r="D249" s="36">
        <v>2.0</v>
      </c>
      <c r="E249" s="35" t="s">
        <v>416</v>
      </c>
      <c r="F249" s="36">
        <v>9.0042079E7</v>
      </c>
      <c r="G249" s="37" t="s">
        <v>422</v>
      </c>
      <c r="H249" s="38" t="s">
        <v>19</v>
      </c>
      <c r="I249" s="39">
        <v>20000.0</v>
      </c>
    </row>
    <row r="250">
      <c r="A250" s="33" t="s">
        <v>74</v>
      </c>
      <c r="B250" s="34" t="s">
        <v>233</v>
      </c>
      <c r="C250" s="35" t="s">
        <v>234</v>
      </c>
      <c r="D250" s="36">
        <v>2.0</v>
      </c>
      <c r="E250" s="35" t="s">
        <v>416</v>
      </c>
      <c r="F250" s="36">
        <v>9.0043E7</v>
      </c>
      <c r="G250" s="37" t="s">
        <v>412</v>
      </c>
      <c r="H250" s="38" t="s">
        <v>19</v>
      </c>
      <c r="I250" s="39">
        <v>1.8873428E7</v>
      </c>
    </row>
    <row r="251">
      <c r="A251" s="33" t="s">
        <v>74</v>
      </c>
      <c r="B251" s="34" t="s">
        <v>244</v>
      </c>
      <c r="C251" s="35" t="s">
        <v>245</v>
      </c>
      <c r="D251" s="36">
        <v>2.0</v>
      </c>
      <c r="E251" s="35" t="s">
        <v>409</v>
      </c>
      <c r="F251" s="36">
        <v>5.1100064E7</v>
      </c>
      <c r="G251" s="37" t="s">
        <v>414</v>
      </c>
      <c r="H251" s="38" t="s">
        <v>37</v>
      </c>
      <c r="I251" s="39">
        <v>6.5465586E7</v>
      </c>
    </row>
    <row r="252">
      <c r="A252" s="33" t="s">
        <v>74</v>
      </c>
      <c r="B252" s="34" t="s">
        <v>244</v>
      </c>
      <c r="C252" s="35" t="s">
        <v>245</v>
      </c>
      <c r="D252" s="36">
        <v>2.0</v>
      </c>
      <c r="E252" s="35" t="s">
        <v>409</v>
      </c>
      <c r="F252" s="36">
        <v>5.1101056E7</v>
      </c>
      <c r="G252" s="37" t="s">
        <v>426</v>
      </c>
      <c r="H252" s="38" t="s">
        <v>37</v>
      </c>
      <c r="I252" s="39">
        <v>0.0</v>
      </c>
    </row>
    <row r="253">
      <c r="A253" s="33" t="s">
        <v>74</v>
      </c>
      <c r="B253" s="34" t="s">
        <v>244</v>
      </c>
      <c r="C253" s="35" t="s">
        <v>245</v>
      </c>
      <c r="D253" s="36">
        <v>2.0</v>
      </c>
      <c r="E253" s="35" t="s">
        <v>409</v>
      </c>
      <c r="F253" s="36">
        <v>9.0042077E7</v>
      </c>
      <c r="G253" s="37" t="s">
        <v>410</v>
      </c>
      <c r="H253" s="38" t="s">
        <v>19</v>
      </c>
      <c r="I253" s="39">
        <v>2.2986612E7</v>
      </c>
    </row>
    <row r="254">
      <c r="A254" s="33" t="s">
        <v>74</v>
      </c>
      <c r="B254" s="34" t="s">
        <v>244</v>
      </c>
      <c r="C254" s="35" t="s">
        <v>245</v>
      </c>
      <c r="D254" s="36">
        <v>2.0</v>
      </c>
      <c r="E254" s="35" t="s">
        <v>409</v>
      </c>
      <c r="F254" s="36">
        <v>9.0043001E7</v>
      </c>
      <c r="G254" s="37" t="s">
        <v>411</v>
      </c>
      <c r="H254" s="38" t="s">
        <v>19</v>
      </c>
      <c r="I254" s="39">
        <v>3.29155582E8</v>
      </c>
    </row>
    <row r="255">
      <c r="A255" s="33" t="s">
        <v>74</v>
      </c>
      <c r="B255" s="34" t="s">
        <v>244</v>
      </c>
      <c r="C255" s="35" t="s">
        <v>245</v>
      </c>
      <c r="D255" s="36">
        <v>2.0</v>
      </c>
      <c r="E255" s="35" t="s">
        <v>409</v>
      </c>
      <c r="F255" s="36">
        <v>9.0043E7</v>
      </c>
      <c r="G255" s="37" t="s">
        <v>412</v>
      </c>
      <c r="H255" s="38" t="s">
        <v>19</v>
      </c>
      <c r="I255" s="39">
        <v>1.05536464E8</v>
      </c>
    </row>
    <row r="256">
      <c r="A256" s="33" t="s">
        <v>74</v>
      </c>
      <c r="B256" s="34" t="s">
        <v>244</v>
      </c>
      <c r="C256" s="35" t="s">
        <v>245</v>
      </c>
      <c r="D256" s="36">
        <v>2.0</v>
      </c>
      <c r="E256" s="35" t="s">
        <v>416</v>
      </c>
      <c r="F256" s="36">
        <v>9.004208E7</v>
      </c>
      <c r="G256" s="37" t="s">
        <v>419</v>
      </c>
      <c r="H256" s="38" t="s">
        <v>25</v>
      </c>
      <c r="I256" s="39">
        <v>390000.0</v>
      </c>
    </row>
    <row r="257">
      <c r="A257" s="33" t="s">
        <v>74</v>
      </c>
      <c r="B257" s="34" t="s">
        <v>244</v>
      </c>
      <c r="C257" s="35" t="s">
        <v>245</v>
      </c>
      <c r="D257" s="36">
        <v>2.0</v>
      </c>
      <c r="E257" s="35" t="s">
        <v>416</v>
      </c>
      <c r="F257" s="36">
        <v>9.0043001E7</v>
      </c>
      <c r="G257" s="37" t="s">
        <v>411</v>
      </c>
      <c r="H257" s="38" t="s">
        <v>19</v>
      </c>
      <c r="I257" s="39">
        <v>2.20545574E8</v>
      </c>
    </row>
    <row r="258">
      <c r="A258" s="33" t="s">
        <v>74</v>
      </c>
      <c r="B258" s="34" t="s">
        <v>244</v>
      </c>
      <c r="C258" s="35" t="s">
        <v>245</v>
      </c>
      <c r="D258" s="36">
        <v>2.0</v>
      </c>
      <c r="E258" s="35" t="s">
        <v>416</v>
      </c>
      <c r="F258" s="36">
        <v>9.0043E7</v>
      </c>
      <c r="G258" s="37" t="s">
        <v>412</v>
      </c>
      <c r="H258" s="38" t="s">
        <v>19</v>
      </c>
      <c r="I258" s="39">
        <v>9.4427654E7</v>
      </c>
    </row>
    <row r="259">
      <c r="A259" s="33" t="s">
        <v>74</v>
      </c>
      <c r="B259" s="34" t="s">
        <v>244</v>
      </c>
      <c r="C259" s="35" t="s">
        <v>245</v>
      </c>
      <c r="D259" s="36">
        <v>2.0</v>
      </c>
      <c r="E259" s="35" t="e">
        <v>#N/A</v>
      </c>
      <c r="F259" s="36">
        <v>5.1100608E7</v>
      </c>
      <c r="G259" s="37" t="s">
        <v>431</v>
      </c>
      <c r="H259" s="38" t="s">
        <v>17</v>
      </c>
      <c r="I259" s="39">
        <v>1.16284988E9</v>
      </c>
    </row>
    <row r="260">
      <c r="A260" s="33" t="s">
        <v>74</v>
      </c>
      <c r="B260" s="34" t="s">
        <v>244</v>
      </c>
      <c r="C260" s="35" t="s">
        <v>245</v>
      </c>
      <c r="D260" s="36">
        <v>2.0</v>
      </c>
      <c r="E260" s="35" t="e">
        <v>#N/A</v>
      </c>
      <c r="F260" s="36">
        <v>5.1100608E7</v>
      </c>
      <c r="G260" s="37" t="s">
        <v>431</v>
      </c>
      <c r="H260" s="38" t="s">
        <v>25</v>
      </c>
      <c r="I260" s="39">
        <v>-5.8150217E8</v>
      </c>
    </row>
    <row r="261">
      <c r="A261" s="33" t="s">
        <v>74</v>
      </c>
      <c r="B261" s="34" t="s">
        <v>254</v>
      </c>
      <c r="C261" s="35" t="s">
        <v>255</v>
      </c>
      <c r="D261" s="36">
        <v>2.0</v>
      </c>
      <c r="E261" s="35" t="s">
        <v>409</v>
      </c>
      <c r="F261" s="36">
        <v>9.0042077E7</v>
      </c>
      <c r="G261" s="37" t="s">
        <v>410</v>
      </c>
      <c r="H261" s="38" t="s">
        <v>19</v>
      </c>
      <c r="I261" s="39">
        <v>5694315.0</v>
      </c>
    </row>
    <row r="262">
      <c r="A262" s="33" t="s">
        <v>74</v>
      </c>
      <c r="B262" s="34" t="s">
        <v>254</v>
      </c>
      <c r="C262" s="35" t="s">
        <v>255</v>
      </c>
      <c r="D262" s="36">
        <v>2.0</v>
      </c>
      <c r="E262" s="35" t="s">
        <v>409</v>
      </c>
      <c r="F262" s="36">
        <v>9.0043001E7</v>
      </c>
      <c r="G262" s="37" t="s">
        <v>411</v>
      </c>
      <c r="H262" s="38" t="s">
        <v>19</v>
      </c>
      <c r="I262" s="39">
        <v>1.81142649E8</v>
      </c>
    </row>
    <row r="263">
      <c r="A263" s="33" t="s">
        <v>74</v>
      </c>
      <c r="B263" s="34" t="s">
        <v>254</v>
      </c>
      <c r="C263" s="35" t="s">
        <v>255</v>
      </c>
      <c r="D263" s="36">
        <v>2.0</v>
      </c>
      <c r="E263" s="35" t="s">
        <v>409</v>
      </c>
      <c r="F263" s="36">
        <v>9.0043E7</v>
      </c>
      <c r="G263" s="37" t="s">
        <v>412</v>
      </c>
      <c r="H263" s="38" t="s">
        <v>19</v>
      </c>
      <c r="I263" s="39">
        <v>5.228482E7</v>
      </c>
    </row>
    <row r="264">
      <c r="A264" s="33" t="s">
        <v>74</v>
      </c>
      <c r="B264" s="34" t="s">
        <v>254</v>
      </c>
      <c r="C264" s="35" t="s">
        <v>255</v>
      </c>
      <c r="D264" s="36">
        <v>2.0</v>
      </c>
      <c r="E264" s="35" t="s">
        <v>416</v>
      </c>
      <c r="F264" s="36">
        <v>5.1100064E7</v>
      </c>
      <c r="G264" s="37" t="s">
        <v>414</v>
      </c>
      <c r="H264" s="38" t="s">
        <v>37</v>
      </c>
      <c r="I264" s="39">
        <v>1.39755E7</v>
      </c>
    </row>
    <row r="265">
      <c r="A265" s="33" t="s">
        <v>74</v>
      </c>
      <c r="B265" s="34" t="s">
        <v>254</v>
      </c>
      <c r="C265" s="35" t="s">
        <v>255</v>
      </c>
      <c r="D265" s="36">
        <v>2.0</v>
      </c>
      <c r="E265" s="35" t="s">
        <v>416</v>
      </c>
      <c r="F265" s="36">
        <v>9.0043001E7</v>
      </c>
      <c r="G265" s="37" t="s">
        <v>411</v>
      </c>
      <c r="H265" s="38" t="s">
        <v>19</v>
      </c>
      <c r="I265" s="39">
        <v>1.93403057E8</v>
      </c>
    </row>
    <row r="266">
      <c r="A266" s="33" t="s">
        <v>74</v>
      </c>
      <c r="B266" s="34" t="s">
        <v>254</v>
      </c>
      <c r="C266" s="35" t="s">
        <v>255</v>
      </c>
      <c r="D266" s="36">
        <v>2.0</v>
      </c>
      <c r="E266" s="35" t="s">
        <v>416</v>
      </c>
      <c r="F266" s="36">
        <v>9.0043E7</v>
      </c>
      <c r="G266" s="37" t="s">
        <v>412</v>
      </c>
      <c r="H266" s="38" t="s">
        <v>19</v>
      </c>
      <c r="I266" s="39">
        <v>6.7737824E7</v>
      </c>
    </row>
    <row r="267">
      <c r="A267" s="33" t="s">
        <v>74</v>
      </c>
      <c r="B267" s="34" t="s">
        <v>254</v>
      </c>
      <c r="C267" s="35" t="s">
        <v>255</v>
      </c>
      <c r="D267" s="36">
        <v>2.0</v>
      </c>
      <c r="E267" s="35" t="s">
        <v>416</v>
      </c>
      <c r="F267" s="36">
        <v>5.1100402E7</v>
      </c>
      <c r="G267" s="37" t="s">
        <v>413</v>
      </c>
      <c r="H267" s="38" t="s">
        <v>19</v>
      </c>
      <c r="I267" s="39">
        <v>3261000.0</v>
      </c>
    </row>
    <row r="268">
      <c r="A268" s="33" t="s">
        <v>74</v>
      </c>
      <c r="B268" s="34" t="s">
        <v>254</v>
      </c>
      <c r="C268" s="35" t="s">
        <v>255</v>
      </c>
      <c r="D268" s="36">
        <v>2.0</v>
      </c>
      <c r="E268" s="35" t="e">
        <v>#N/A</v>
      </c>
      <c r="F268" s="36">
        <v>5.1100608E7</v>
      </c>
      <c r="G268" s="37" t="s">
        <v>431</v>
      </c>
      <c r="H268" s="38" t="s">
        <v>17</v>
      </c>
      <c r="I268" s="39">
        <v>2.1733346E8</v>
      </c>
    </row>
    <row r="269">
      <c r="A269" s="33" t="s">
        <v>74</v>
      </c>
      <c r="B269" s="34" t="s">
        <v>254</v>
      </c>
      <c r="C269" s="35" t="s">
        <v>255</v>
      </c>
      <c r="D269" s="36">
        <v>2.0</v>
      </c>
      <c r="E269" s="35" t="e">
        <v>#N/A</v>
      </c>
      <c r="F269" s="36">
        <v>5.1100608E7</v>
      </c>
      <c r="G269" s="37" t="s">
        <v>431</v>
      </c>
      <c r="H269" s="38" t="s">
        <v>25</v>
      </c>
      <c r="I269" s="39">
        <v>-1.0884786E8</v>
      </c>
    </row>
    <row r="270">
      <c r="A270" s="33" t="s">
        <v>74</v>
      </c>
      <c r="B270" s="34" t="s">
        <v>259</v>
      </c>
      <c r="C270" s="35" t="s">
        <v>260</v>
      </c>
      <c r="D270" s="36">
        <v>2.0</v>
      </c>
      <c r="E270" s="35" t="s">
        <v>409</v>
      </c>
      <c r="F270" s="36">
        <v>5.1100064E7</v>
      </c>
      <c r="G270" s="37" t="s">
        <v>414</v>
      </c>
      <c r="H270" s="38" t="s">
        <v>25</v>
      </c>
      <c r="I270" s="39">
        <v>2105000.0</v>
      </c>
    </row>
    <row r="271">
      <c r="A271" s="33" t="s">
        <v>74</v>
      </c>
      <c r="B271" s="34" t="s">
        <v>259</v>
      </c>
      <c r="C271" s="35" t="s">
        <v>260</v>
      </c>
      <c r="D271" s="36">
        <v>2.0</v>
      </c>
      <c r="E271" s="35" t="s">
        <v>409</v>
      </c>
      <c r="F271" s="36">
        <v>9.0042077E7</v>
      </c>
      <c r="G271" s="37" t="s">
        <v>410</v>
      </c>
      <c r="H271" s="38" t="s">
        <v>19</v>
      </c>
      <c r="I271" s="39">
        <v>9813170.0</v>
      </c>
    </row>
    <row r="272">
      <c r="A272" s="33" t="s">
        <v>74</v>
      </c>
      <c r="B272" s="34" t="s">
        <v>259</v>
      </c>
      <c r="C272" s="35" t="s">
        <v>260</v>
      </c>
      <c r="D272" s="36">
        <v>2.0</v>
      </c>
      <c r="E272" s="35" t="s">
        <v>409</v>
      </c>
      <c r="F272" s="36">
        <v>9.0043001E7</v>
      </c>
      <c r="G272" s="37" t="s">
        <v>411</v>
      </c>
      <c r="H272" s="38" t="s">
        <v>19</v>
      </c>
      <c r="I272" s="39">
        <v>1.79328398E8</v>
      </c>
    </row>
    <row r="273">
      <c r="A273" s="33" t="s">
        <v>74</v>
      </c>
      <c r="B273" s="34" t="s">
        <v>259</v>
      </c>
      <c r="C273" s="35" t="s">
        <v>260</v>
      </c>
      <c r="D273" s="36">
        <v>2.0</v>
      </c>
      <c r="E273" s="35" t="s">
        <v>409</v>
      </c>
      <c r="F273" s="36">
        <v>9.0043E7</v>
      </c>
      <c r="G273" s="37" t="s">
        <v>412</v>
      </c>
      <c r="H273" s="38" t="s">
        <v>19</v>
      </c>
      <c r="I273" s="39">
        <v>4.7399044E7</v>
      </c>
    </row>
    <row r="274">
      <c r="A274" s="33" t="s">
        <v>74</v>
      </c>
      <c r="B274" s="34" t="s">
        <v>259</v>
      </c>
      <c r="C274" s="35" t="s">
        <v>260</v>
      </c>
      <c r="D274" s="36">
        <v>2.0</v>
      </c>
      <c r="E274" s="35" t="s">
        <v>416</v>
      </c>
      <c r="F274" s="36">
        <v>9.0043001E7</v>
      </c>
      <c r="G274" s="37" t="s">
        <v>411</v>
      </c>
      <c r="H274" s="38" t="s">
        <v>19</v>
      </c>
      <c r="I274" s="39">
        <v>1.49039027E8</v>
      </c>
    </row>
    <row r="275">
      <c r="A275" s="33" t="s">
        <v>74</v>
      </c>
      <c r="B275" s="34" t="s">
        <v>259</v>
      </c>
      <c r="C275" s="35" t="s">
        <v>260</v>
      </c>
      <c r="D275" s="36">
        <v>2.0</v>
      </c>
      <c r="E275" s="35" t="s">
        <v>416</v>
      </c>
      <c r="F275" s="36">
        <v>9.0043E7</v>
      </c>
      <c r="G275" s="37" t="s">
        <v>412</v>
      </c>
      <c r="H275" s="38" t="s">
        <v>19</v>
      </c>
      <c r="I275" s="39">
        <v>1.9671764E7</v>
      </c>
    </row>
    <row r="276">
      <c r="A276" s="33" t="s">
        <v>74</v>
      </c>
      <c r="B276" s="34" t="s">
        <v>259</v>
      </c>
      <c r="C276" s="35" t="s">
        <v>260</v>
      </c>
      <c r="D276" s="36">
        <v>2.0</v>
      </c>
      <c r="E276" s="35" t="e">
        <v>#N/A</v>
      </c>
      <c r="F276" s="36">
        <v>5.1100608E7</v>
      </c>
      <c r="G276" s="37" t="s">
        <v>431</v>
      </c>
      <c r="H276" s="38" t="s">
        <v>17</v>
      </c>
      <c r="I276" s="39">
        <v>4.43881024E8</v>
      </c>
    </row>
    <row r="277">
      <c r="A277" s="33" t="s">
        <v>74</v>
      </c>
      <c r="B277" s="34" t="s">
        <v>259</v>
      </c>
      <c r="C277" s="35" t="s">
        <v>260</v>
      </c>
      <c r="D277" s="36">
        <v>2.0</v>
      </c>
      <c r="E277" s="35" t="e">
        <v>#N/A</v>
      </c>
      <c r="F277" s="36">
        <v>5.1100608E7</v>
      </c>
      <c r="G277" s="37" t="s">
        <v>431</v>
      </c>
      <c r="H277" s="38" t="s">
        <v>25</v>
      </c>
      <c r="I277" s="39">
        <v>-2.22027974E8</v>
      </c>
    </row>
    <row r="278">
      <c r="A278" s="33" t="s">
        <v>74</v>
      </c>
      <c r="B278" s="34" t="s">
        <v>66</v>
      </c>
      <c r="C278" s="35" t="s">
        <v>67</v>
      </c>
      <c r="D278" s="36">
        <v>2.0</v>
      </c>
      <c r="E278" s="35" t="s">
        <v>417</v>
      </c>
      <c r="F278" s="36">
        <v>5.1100064E7</v>
      </c>
      <c r="G278" s="37" t="s">
        <v>414</v>
      </c>
      <c r="H278" s="38" t="s">
        <v>25</v>
      </c>
      <c r="I278" s="39">
        <v>1.297331E7</v>
      </c>
    </row>
    <row r="279">
      <c r="A279" s="33" t="s">
        <v>74</v>
      </c>
      <c r="B279" s="34" t="s">
        <v>66</v>
      </c>
      <c r="C279" s="35" t="s">
        <v>67</v>
      </c>
      <c r="D279" s="36">
        <v>2.0</v>
      </c>
      <c r="E279" s="35" t="s">
        <v>417</v>
      </c>
      <c r="F279" s="36">
        <v>9.0043001E7</v>
      </c>
      <c r="G279" s="37" t="s">
        <v>411</v>
      </c>
      <c r="H279" s="38" t="s">
        <v>19</v>
      </c>
      <c r="I279" s="39">
        <v>1.545208E7</v>
      </c>
    </row>
    <row r="280">
      <c r="A280" s="33" t="s">
        <v>74</v>
      </c>
      <c r="B280" s="34" t="s">
        <v>66</v>
      </c>
      <c r="C280" s="35" t="s">
        <v>67</v>
      </c>
      <c r="D280" s="36">
        <v>2.0</v>
      </c>
      <c r="E280" s="35" t="s">
        <v>417</v>
      </c>
      <c r="F280" s="36">
        <v>5.1100857E7</v>
      </c>
      <c r="G280" s="37" t="s">
        <v>433</v>
      </c>
      <c r="H280" s="38" t="s">
        <v>25</v>
      </c>
      <c r="I280" s="39">
        <v>5270000.0</v>
      </c>
    </row>
    <row r="281">
      <c r="A281" s="33" t="s">
        <v>74</v>
      </c>
      <c r="B281" s="34" t="s">
        <v>66</v>
      </c>
      <c r="C281" s="35" t="s">
        <v>67</v>
      </c>
      <c r="D281" s="36">
        <v>2.0</v>
      </c>
      <c r="E281" s="35" t="s">
        <v>409</v>
      </c>
      <c r="F281" s="36">
        <v>5.1100064E7</v>
      </c>
      <c r="G281" s="37" t="s">
        <v>414</v>
      </c>
      <c r="H281" s="38" t="s">
        <v>37</v>
      </c>
      <c r="I281" s="39">
        <v>1.1464157E7</v>
      </c>
    </row>
    <row r="282">
      <c r="A282" s="33" t="s">
        <v>74</v>
      </c>
      <c r="B282" s="34" t="s">
        <v>66</v>
      </c>
      <c r="C282" s="35" t="s">
        <v>67</v>
      </c>
      <c r="D282" s="36">
        <v>2.0</v>
      </c>
      <c r="E282" s="35" t="s">
        <v>409</v>
      </c>
      <c r="F282" s="36">
        <v>5.1100064E7</v>
      </c>
      <c r="G282" s="37" t="s">
        <v>414</v>
      </c>
      <c r="H282" s="38" t="s">
        <v>25</v>
      </c>
      <c r="I282" s="39">
        <v>5884000.0</v>
      </c>
    </row>
    <row r="283">
      <c r="A283" s="33" t="s">
        <v>74</v>
      </c>
      <c r="B283" s="34" t="s">
        <v>66</v>
      </c>
      <c r="C283" s="35" t="s">
        <v>67</v>
      </c>
      <c r="D283" s="36">
        <v>2.0</v>
      </c>
      <c r="E283" s="35" t="s">
        <v>409</v>
      </c>
      <c r="F283" s="36">
        <v>9.0042077E7</v>
      </c>
      <c r="G283" s="37" t="s">
        <v>410</v>
      </c>
      <c r="H283" s="38" t="s">
        <v>19</v>
      </c>
      <c r="I283" s="39">
        <v>2.1955161E7</v>
      </c>
    </row>
    <row r="284">
      <c r="A284" s="33" t="s">
        <v>74</v>
      </c>
      <c r="B284" s="34" t="s">
        <v>66</v>
      </c>
      <c r="C284" s="35" t="s">
        <v>67</v>
      </c>
      <c r="D284" s="36">
        <v>2.0</v>
      </c>
      <c r="E284" s="35" t="s">
        <v>409</v>
      </c>
      <c r="F284" s="36">
        <v>9.0043001E7</v>
      </c>
      <c r="G284" s="37" t="s">
        <v>411</v>
      </c>
      <c r="H284" s="38" t="s">
        <v>19</v>
      </c>
      <c r="I284" s="39">
        <v>2.78888819E8</v>
      </c>
    </row>
    <row r="285">
      <c r="A285" s="33" t="s">
        <v>74</v>
      </c>
      <c r="B285" s="34" t="s">
        <v>66</v>
      </c>
      <c r="C285" s="35" t="s">
        <v>67</v>
      </c>
      <c r="D285" s="36">
        <v>2.0</v>
      </c>
      <c r="E285" s="35" t="s">
        <v>409</v>
      </c>
      <c r="F285" s="36">
        <v>9.0043E7</v>
      </c>
      <c r="G285" s="37" t="s">
        <v>412</v>
      </c>
      <c r="H285" s="38" t="s">
        <v>19</v>
      </c>
      <c r="I285" s="39">
        <v>6.7711507E7</v>
      </c>
    </row>
    <row r="286">
      <c r="A286" s="33" t="s">
        <v>74</v>
      </c>
      <c r="B286" s="34" t="s">
        <v>66</v>
      </c>
      <c r="C286" s="35" t="s">
        <v>67</v>
      </c>
      <c r="D286" s="36">
        <v>2.0</v>
      </c>
      <c r="E286" s="35" t="s">
        <v>416</v>
      </c>
      <c r="F286" s="36">
        <v>5.1100064E7</v>
      </c>
      <c r="G286" s="37" t="s">
        <v>414</v>
      </c>
      <c r="H286" s="38" t="s">
        <v>25</v>
      </c>
      <c r="I286" s="39">
        <v>1.1174557E7</v>
      </c>
    </row>
    <row r="287">
      <c r="A287" s="33" t="s">
        <v>74</v>
      </c>
      <c r="B287" s="34" t="s">
        <v>66</v>
      </c>
      <c r="C287" s="35" t="s">
        <v>67</v>
      </c>
      <c r="D287" s="36">
        <v>2.0</v>
      </c>
      <c r="E287" s="35" t="s">
        <v>416</v>
      </c>
      <c r="F287" s="36">
        <v>9.0042078E7</v>
      </c>
      <c r="G287" s="37" t="s">
        <v>428</v>
      </c>
      <c r="H287" s="38" t="s">
        <v>19</v>
      </c>
      <c r="I287" s="39">
        <v>375000.0</v>
      </c>
    </row>
    <row r="288">
      <c r="A288" s="33" t="s">
        <v>74</v>
      </c>
      <c r="B288" s="34" t="s">
        <v>66</v>
      </c>
      <c r="C288" s="35" t="s">
        <v>67</v>
      </c>
      <c r="D288" s="36">
        <v>2.0</v>
      </c>
      <c r="E288" s="35" t="s">
        <v>416</v>
      </c>
      <c r="F288" s="36">
        <v>9.004208E7</v>
      </c>
      <c r="G288" s="37" t="s">
        <v>419</v>
      </c>
      <c r="H288" s="38" t="s">
        <v>25</v>
      </c>
      <c r="I288" s="39">
        <v>2072030.0</v>
      </c>
    </row>
    <row r="289">
      <c r="A289" s="33" t="s">
        <v>74</v>
      </c>
      <c r="B289" s="34" t="s">
        <v>66</v>
      </c>
      <c r="C289" s="35" t="s">
        <v>67</v>
      </c>
      <c r="D289" s="36">
        <v>2.0</v>
      </c>
      <c r="E289" s="35" t="s">
        <v>416</v>
      </c>
      <c r="F289" s="36">
        <v>9.0043001E7</v>
      </c>
      <c r="G289" s="37" t="s">
        <v>411</v>
      </c>
      <c r="H289" s="38" t="s">
        <v>19</v>
      </c>
      <c r="I289" s="39">
        <v>2.08704638E8</v>
      </c>
    </row>
    <row r="290">
      <c r="A290" s="33" t="s">
        <v>74</v>
      </c>
      <c r="B290" s="34" t="s">
        <v>66</v>
      </c>
      <c r="C290" s="35" t="s">
        <v>67</v>
      </c>
      <c r="D290" s="36">
        <v>2.0</v>
      </c>
      <c r="E290" s="35" t="s">
        <v>416</v>
      </c>
      <c r="F290" s="36">
        <v>9.0043E7</v>
      </c>
      <c r="G290" s="37" t="s">
        <v>412</v>
      </c>
      <c r="H290" s="38" t="s">
        <v>19</v>
      </c>
      <c r="I290" s="39">
        <v>5.749276E7</v>
      </c>
    </row>
    <row r="291">
      <c r="A291" s="33" t="s">
        <v>74</v>
      </c>
      <c r="B291" s="34" t="s">
        <v>66</v>
      </c>
      <c r="C291" s="35" t="s">
        <v>67</v>
      </c>
      <c r="D291" s="36">
        <v>2.0</v>
      </c>
      <c r="E291" s="35" t="s">
        <v>416</v>
      </c>
      <c r="F291" s="36">
        <v>5.1100857E7</v>
      </c>
      <c r="G291" s="37" t="s">
        <v>433</v>
      </c>
      <c r="H291" s="38" t="s">
        <v>25</v>
      </c>
      <c r="I291" s="39">
        <v>6636000.0</v>
      </c>
    </row>
    <row r="292">
      <c r="A292" s="33" t="s">
        <v>74</v>
      </c>
      <c r="B292" s="34" t="s">
        <v>66</v>
      </c>
      <c r="C292" s="35" t="s">
        <v>67</v>
      </c>
      <c r="D292" s="36">
        <v>2.0</v>
      </c>
      <c r="E292" s="35" t="e">
        <v>#N/A</v>
      </c>
      <c r="F292" s="36">
        <v>5.1100608E7</v>
      </c>
      <c r="G292" s="37" t="s">
        <v>431</v>
      </c>
      <c r="H292" s="38" t="s">
        <v>17</v>
      </c>
      <c r="I292" s="39">
        <v>3.934332E8</v>
      </c>
    </row>
    <row r="293">
      <c r="A293" s="33" t="s">
        <v>74</v>
      </c>
      <c r="B293" s="34" t="s">
        <v>66</v>
      </c>
      <c r="C293" s="35" t="s">
        <v>67</v>
      </c>
      <c r="D293" s="36">
        <v>2.0</v>
      </c>
      <c r="E293" s="35" t="e">
        <v>#N/A</v>
      </c>
      <c r="F293" s="36">
        <v>5.1100608E7</v>
      </c>
      <c r="G293" s="37" t="s">
        <v>431</v>
      </c>
      <c r="H293" s="38" t="s">
        <v>25</v>
      </c>
      <c r="I293" s="39">
        <v>-1.96546906E8</v>
      </c>
    </row>
    <row r="294">
      <c r="A294" s="33" t="s">
        <v>11</v>
      </c>
      <c r="B294" s="34" t="s">
        <v>12</v>
      </c>
      <c r="C294" s="35" t="s">
        <v>13</v>
      </c>
      <c r="D294" s="36">
        <v>3.0</v>
      </c>
      <c r="E294" s="35" t="s">
        <v>409</v>
      </c>
      <c r="F294" s="36">
        <v>5.1101056E7</v>
      </c>
      <c r="G294" s="37" t="s">
        <v>426</v>
      </c>
      <c r="H294" s="38" t="s">
        <v>25</v>
      </c>
      <c r="I294" s="39">
        <v>2241618.0</v>
      </c>
    </row>
    <row r="295">
      <c r="A295" s="33" t="s">
        <v>11</v>
      </c>
      <c r="B295" s="34" t="s">
        <v>12</v>
      </c>
      <c r="C295" s="35" t="s">
        <v>13</v>
      </c>
      <c r="D295" s="36">
        <v>3.0</v>
      </c>
      <c r="E295" s="35" t="s">
        <v>409</v>
      </c>
      <c r="F295" s="36">
        <v>9.0042077E7</v>
      </c>
      <c r="G295" s="37" t="s">
        <v>410</v>
      </c>
      <c r="H295" s="38" t="s">
        <v>19</v>
      </c>
      <c r="I295" s="39">
        <v>1980000.0</v>
      </c>
    </row>
    <row r="296">
      <c r="A296" s="33" t="s">
        <v>11</v>
      </c>
      <c r="B296" s="34" t="s">
        <v>12</v>
      </c>
      <c r="C296" s="35" t="s">
        <v>13</v>
      </c>
      <c r="D296" s="36">
        <v>3.0</v>
      </c>
      <c r="E296" s="35" t="s">
        <v>409</v>
      </c>
      <c r="F296" s="36">
        <v>9.0043001E7</v>
      </c>
      <c r="G296" s="37" t="s">
        <v>411</v>
      </c>
      <c r="H296" s="38" t="s">
        <v>19</v>
      </c>
      <c r="I296" s="39">
        <v>1.8896301E7</v>
      </c>
    </row>
    <row r="297">
      <c r="A297" s="33" t="s">
        <v>11</v>
      </c>
      <c r="B297" s="34" t="s">
        <v>12</v>
      </c>
      <c r="C297" s="35" t="s">
        <v>13</v>
      </c>
      <c r="D297" s="36">
        <v>3.0</v>
      </c>
      <c r="E297" s="35" t="s">
        <v>409</v>
      </c>
      <c r="F297" s="36">
        <v>9.0043E7</v>
      </c>
      <c r="G297" s="37" t="s">
        <v>412</v>
      </c>
      <c r="H297" s="38" t="s">
        <v>19</v>
      </c>
      <c r="I297" s="39">
        <v>1.7371728E7</v>
      </c>
    </row>
    <row r="298">
      <c r="A298" s="33" t="s">
        <v>11</v>
      </c>
      <c r="B298" s="34" t="s">
        <v>12</v>
      </c>
      <c r="C298" s="35" t="s">
        <v>13</v>
      </c>
      <c r="D298" s="36">
        <v>3.0</v>
      </c>
      <c r="E298" s="35" t="s">
        <v>409</v>
      </c>
      <c r="F298" s="36">
        <v>5.1100402E7</v>
      </c>
      <c r="G298" s="37" t="s">
        <v>413</v>
      </c>
      <c r="H298" s="38" t="s">
        <v>19</v>
      </c>
      <c r="I298" s="39">
        <v>494500.0</v>
      </c>
    </row>
    <row r="299">
      <c r="A299" s="33" t="s">
        <v>11</v>
      </c>
      <c r="B299" s="34" t="s">
        <v>32</v>
      </c>
      <c r="C299" s="35" t="s">
        <v>33</v>
      </c>
      <c r="D299" s="36">
        <v>3.0</v>
      </c>
      <c r="E299" s="35" t="s">
        <v>409</v>
      </c>
      <c r="F299" s="36">
        <v>5.1100064E7</v>
      </c>
      <c r="G299" s="37" t="s">
        <v>414</v>
      </c>
      <c r="H299" s="38" t="s">
        <v>37</v>
      </c>
      <c r="I299" s="39">
        <v>1792976.0</v>
      </c>
    </row>
    <row r="300">
      <c r="A300" s="33" t="s">
        <v>11</v>
      </c>
      <c r="B300" s="34" t="s">
        <v>32</v>
      </c>
      <c r="C300" s="35" t="s">
        <v>33</v>
      </c>
      <c r="D300" s="36">
        <v>3.0</v>
      </c>
      <c r="E300" s="35" t="s">
        <v>409</v>
      </c>
      <c r="F300" s="36">
        <v>5.1100064E7</v>
      </c>
      <c r="G300" s="37" t="s">
        <v>414</v>
      </c>
      <c r="H300" s="38" t="s">
        <v>25</v>
      </c>
      <c r="I300" s="39">
        <v>2433000.0</v>
      </c>
    </row>
    <row r="301">
      <c r="A301" s="33" t="s">
        <v>11</v>
      </c>
      <c r="B301" s="34" t="s">
        <v>32</v>
      </c>
      <c r="C301" s="35" t="s">
        <v>33</v>
      </c>
      <c r="D301" s="36">
        <v>3.0</v>
      </c>
      <c r="E301" s="35" t="s">
        <v>409</v>
      </c>
      <c r="F301" s="36">
        <v>5.1100441E7</v>
      </c>
      <c r="G301" s="37" t="s">
        <v>415</v>
      </c>
      <c r="H301" s="38" t="s">
        <v>19</v>
      </c>
      <c r="I301" s="39">
        <v>758160.0</v>
      </c>
    </row>
    <row r="302">
      <c r="A302" s="33" t="s">
        <v>11</v>
      </c>
      <c r="B302" s="34" t="s">
        <v>32</v>
      </c>
      <c r="C302" s="35" t="s">
        <v>33</v>
      </c>
      <c r="D302" s="36">
        <v>3.0</v>
      </c>
      <c r="E302" s="35" t="s">
        <v>409</v>
      </c>
      <c r="F302" s="36">
        <v>5.1100442E7</v>
      </c>
      <c r="G302" s="37" t="s">
        <v>415</v>
      </c>
      <c r="H302" s="38" t="s">
        <v>19</v>
      </c>
      <c r="I302" s="39">
        <v>421200.0</v>
      </c>
    </row>
    <row r="303">
      <c r="A303" s="33" t="s">
        <v>11</v>
      </c>
      <c r="B303" s="34" t="s">
        <v>32</v>
      </c>
      <c r="C303" s="35" t="s">
        <v>33</v>
      </c>
      <c r="D303" s="36">
        <v>3.0</v>
      </c>
      <c r="E303" s="35" t="s">
        <v>409</v>
      </c>
      <c r="F303" s="36">
        <v>5.1101056E7</v>
      </c>
      <c r="G303" s="37" t="s">
        <v>426</v>
      </c>
      <c r="H303" s="38" t="s">
        <v>25</v>
      </c>
      <c r="I303" s="39">
        <v>2.47374194E8</v>
      </c>
    </row>
    <row r="304">
      <c r="A304" s="33" t="s">
        <v>11</v>
      </c>
      <c r="B304" s="34" t="s">
        <v>32</v>
      </c>
      <c r="C304" s="35" t="s">
        <v>33</v>
      </c>
      <c r="D304" s="36">
        <v>3.0</v>
      </c>
      <c r="E304" s="35" t="s">
        <v>409</v>
      </c>
      <c r="F304" s="36">
        <v>9.0042077E7</v>
      </c>
      <c r="G304" s="37" t="s">
        <v>410</v>
      </c>
      <c r="H304" s="38" t="s">
        <v>19</v>
      </c>
      <c r="I304" s="39">
        <v>1.0692703E7</v>
      </c>
    </row>
    <row r="305">
      <c r="A305" s="33" t="s">
        <v>11</v>
      </c>
      <c r="B305" s="34" t="s">
        <v>32</v>
      </c>
      <c r="C305" s="35" t="s">
        <v>33</v>
      </c>
      <c r="D305" s="36">
        <v>3.0</v>
      </c>
      <c r="E305" s="35" t="s">
        <v>409</v>
      </c>
      <c r="F305" s="36">
        <v>9.0043001E7</v>
      </c>
      <c r="G305" s="37" t="s">
        <v>411</v>
      </c>
      <c r="H305" s="38" t="s">
        <v>19</v>
      </c>
      <c r="I305" s="39">
        <v>2.3156556E7</v>
      </c>
    </row>
    <row r="306">
      <c r="A306" s="33" t="s">
        <v>11</v>
      </c>
      <c r="B306" s="34" t="s">
        <v>32</v>
      </c>
      <c r="C306" s="35" t="s">
        <v>33</v>
      </c>
      <c r="D306" s="36">
        <v>3.0</v>
      </c>
      <c r="E306" s="35" t="s">
        <v>409</v>
      </c>
      <c r="F306" s="36">
        <v>9.0043E7</v>
      </c>
      <c r="G306" s="37" t="s">
        <v>412</v>
      </c>
      <c r="H306" s="38" t="s">
        <v>19</v>
      </c>
      <c r="I306" s="39">
        <v>1.0293736E8</v>
      </c>
    </row>
    <row r="307">
      <c r="A307" s="33" t="s">
        <v>11</v>
      </c>
      <c r="B307" s="34" t="s">
        <v>32</v>
      </c>
      <c r="C307" s="35" t="s">
        <v>33</v>
      </c>
      <c r="D307" s="36">
        <v>3.0</v>
      </c>
      <c r="E307" s="35" t="s">
        <v>416</v>
      </c>
      <c r="F307" s="36">
        <v>5.1100064E7</v>
      </c>
      <c r="G307" s="37" t="s">
        <v>414</v>
      </c>
      <c r="H307" s="38" t="s">
        <v>25</v>
      </c>
      <c r="I307" s="39">
        <v>4676000.0</v>
      </c>
    </row>
    <row r="308">
      <c r="A308" s="33" t="s">
        <v>11</v>
      </c>
      <c r="B308" s="34" t="s">
        <v>32</v>
      </c>
      <c r="C308" s="35" t="s">
        <v>33</v>
      </c>
      <c r="D308" s="36">
        <v>3.0</v>
      </c>
      <c r="E308" s="35" t="s">
        <v>416</v>
      </c>
      <c r="F308" s="36">
        <v>9.0043E7</v>
      </c>
      <c r="G308" s="37" t="s">
        <v>412</v>
      </c>
      <c r="H308" s="38" t="s">
        <v>19</v>
      </c>
      <c r="I308" s="39">
        <v>2.5691839E7</v>
      </c>
    </row>
    <row r="309">
      <c r="A309" s="33" t="s">
        <v>74</v>
      </c>
      <c r="B309" s="34" t="s">
        <v>75</v>
      </c>
      <c r="C309" s="35" t="s">
        <v>76</v>
      </c>
      <c r="D309" s="36">
        <v>3.0</v>
      </c>
      <c r="E309" s="35" t="s">
        <v>417</v>
      </c>
      <c r="F309" s="36">
        <v>9.0042084E7</v>
      </c>
      <c r="G309" s="37" t="s">
        <v>418</v>
      </c>
      <c r="H309" s="38" t="s">
        <v>19</v>
      </c>
      <c r="I309" s="39">
        <v>829875.0</v>
      </c>
    </row>
    <row r="310">
      <c r="A310" s="33" t="s">
        <v>74</v>
      </c>
      <c r="B310" s="34" t="s">
        <v>75</v>
      </c>
      <c r="C310" s="35" t="s">
        <v>76</v>
      </c>
      <c r="D310" s="36">
        <v>3.0</v>
      </c>
      <c r="E310" s="35" t="s">
        <v>417</v>
      </c>
      <c r="F310" s="36">
        <v>9.0043001E7</v>
      </c>
      <c r="G310" s="37" t="s">
        <v>411</v>
      </c>
      <c r="H310" s="38" t="s">
        <v>19</v>
      </c>
      <c r="I310" s="39">
        <v>2.35318E7</v>
      </c>
    </row>
    <row r="311">
      <c r="A311" s="33" t="s">
        <v>74</v>
      </c>
      <c r="B311" s="34" t="s">
        <v>75</v>
      </c>
      <c r="C311" s="35" t="s">
        <v>76</v>
      </c>
      <c r="D311" s="36">
        <v>3.0</v>
      </c>
      <c r="E311" s="35" t="s">
        <v>417</v>
      </c>
      <c r="F311" s="36">
        <v>9.0043E7</v>
      </c>
      <c r="G311" s="37" t="s">
        <v>412</v>
      </c>
      <c r="H311" s="38" t="s">
        <v>19</v>
      </c>
      <c r="I311" s="39">
        <v>3.0510648E7</v>
      </c>
    </row>
    <row r="312">
      <c r="A312" s="33" t="s">
        <v>74</v>
      </c>
      <c r="B312" s="34" t="s">
        <v>75</v>
      </c>
      <c r="C312" s="35" t="s">
        <v>76</v>
      </c>
      <c r="D312" s="36">
        <v>3.0</v>
      </c>
      <c r="E312" s="35" t="s">
        <v>409</v>
      </c>
      <c r="F312" s="36">
        <v>5.1100064E7</v>
      </c>
      <c r="G312" s="37" t="s">
        <v>414</v>
      </c>
      <c r="H312" s="38" t="s">
        <v>37</v>
      </c>
      <c r="I312" s="39">
        <v>9468071.0</v>
      </c>
    </row>
    <row r="313">
      <c r="A313" s="33" t="s">
        <v>74</v>
      </c>
      <c r="B313" s="34" t="s">
        <v>75</v>
      </c>
      <c r="C313" s="35" t="s">
        <v>76</v>
      </c>
      <c r="D313" s="36">
        <v>3.0</v>
      </c>
      <c r="E313" s="35" t="s">
        <v>409</v>
      </c>
      <c r="F313" s="36">
        <v>5.1100064E7</v>
      </c>
      <c r="G313" s="37" t="s">
        <v>414</v>
      </c>
      <c r="H313" s="38" t="s">
        <v>25</v>
      </c>
      <c r="I313" s="39">
        <v>9157500.0</v>
      </c>
    </row>
    <row r="314">
      <c r="A314" s="33" t="s">
        <v>74</v>
      </c>
      <c r="B314" s="34" t="s">
        <v>75</v>
      </c>
      <c r="C314" s="35" t="s">
        <v>76</v>
      </c>
      <c r="D314" s="36">
        <v>3.0</v>
      </c>
      <c r="E314" s="35" t="s">
        <v>409</v>
      </c>
      <c r="F314" s="36">
        <v>5.1101056E7</v>
      </c>
      <c r="G314" s="37" t="s">
        <v>426</v>
      </c>
      <c r="H314" s="38" t="s">
        <v>25</v>
      </c>
      <c r="I314" s="39">
        <v>1.2494394E7</v>
      </c>
    </row>
    <row r="315">
      <c r="A315" s="33" t="s">
        <v>74</v>
      </c>
      <c r="B315" s="34" t="s">
        <v>75</v>
      </c>
      <c r="C315" s="35" t="s">
        <v>76</v>
      </c>
      <c r="D315" s="36">
        <v>3.0</v>
      </c>
      <c r="E315" s="35" t="s">
        <v>409</v>
      </c>
      <c r="F315" s="36">
        <v>9.0042077E7</v>
      </c>
      <c r="G315" s="37" t="s">
        <v>410</v>
      </c>
      <c r="H315" s="38" t="s">
        <v>19</v>
      </c>
      <c r="I315" s="39">
        <v>4.6123474E7</v>
      </c>
    </row>
    <row r="316">
      <c r="A316" s="33" t="s">
        <v>74</v>
      </c>
      <c r="B316" s="34" t="s">
        <v>75</v>
      </c>
      <c r="C316" s="35" t="s">
        <v>76</v>
      </c>
      <c r="D316" s="36">
        <v>3.0</v>
      </c>
      <c r="E316" s="35" t="s">
        <v>409</v>
      </c>
      <c r="F316" s="36">
        <v>9.0043001E7</v>
      </c>
      <c r="G316" s="37" t="s">
        <v>411</v>
      </c>
      <c r="H316" s="38" t="s">
        <v>19</v>
      </c>
      <c r="I316" s="39">
        <v>2.93161616E8</v>
      </c>
    </row>
    <row r="317">
      <c r="A317" s="33" t="s">
        <v>74</v>
      </c>
      <c r="B317" s="34" t="s">
        <v>75</v>
      </c>
      <c r="C317" s="35" t="s">
        <v>76</v>
      </c>
      <c r="D317" s="36">
        <v>3.0</v>
      </c>
      <c r="E317" s="35" t="s">
        <v>409</v>
      </c>
      <c r="F317" s="36">
        <v>9.0043E7</v>
      </c>
      <c r="G317" s="37" t="s">
        <v>412</v>
      </c>
      <c r="H317" s="38" t="s">
        <v>19</v>
      </c>
      <c r="I317" s="39">
        <v>1.38391294E8</v>
      </c>
    </row>
    <row r="318">
      <c r="A318" s="33" t="s">
        <v>74</v>
      </c>
      <c r="B318" s="34" t="s">
        <v>75</v>
      </c>
      <c r="C318" s="35" t="s">
        <v>76</v>
      </c>
      <c r="D318" s="36">
        <v>3.0</v>
      </c>
      <c r="E318" s="35" t="s">
        <v>416</v>
      </c>
      <c r="F318" s="36">
        <v>9.004208E7</v>
      </c>
      <c r="G318" s="37" t="s">
        <v>419</v>
      </c>
      <c r="H318" s="38" t="s">
        <v>25</v>
      </c>
      <c r="I318" s="39">
        <v>1100000.0</v>
      </c>
    </row>
    <row r="319">
      <c r="A319" s="33" t="s">
        <v>74</v>
      </c>
      <c r="B319" s="34" t="s">
        <v>75</v>
      </c>
      <c r="C319" s="35" t="s">
        <v>76</v>
      </c>
      <c r="D319" s="36">
        <v>3.0</v>
      </c>
      <c r="E319" s="35" t="s">
        <v>416</v>
      </c>
      <c r="F319" s="36">
        <v>9.0043001E7</v>
      </c>
      <c r="G319" s="37" t="s">
        <v>411</v>
      </c>
      <c r="H319" s="38" t="s">
        <v>19</v>
      </c>
      <c r="I319" s="39">
        <v>3.55910055E8</v>
      </c>
    </row>
    <row r="320">
      <c r="A320" s="33" t="s">
        <v>74</v>
      </c>
      <c r="B320" s="34" t="s">
        <v>75</v>
      </c>
      <c r="C320" s="35" t="s">
        <v>76</v>
      </c>
      <c r="D320" s="36">
        <v>3.0</v>
      </c>
      <c r="E320" s="35" t="s">
        <v>416</v>
      </c>
      <c r="F320" s="36">
        <v>9.0043E7</v>
      </c>
      <c r="G320" s="37" t="s">
        <v>412</v>
      </c>
      <c r="H320" s="38" t="s">
        <v>19</v>
      </c>
      <c r="I320" s="39">
        <v>9.2784804E7</v>
      </c>
    </row>
    <row r="321">
      <c r="A321" s="33" t="s">
        <v>74</v>
      </c>
      <c r="B321" s="34" t="s">
        <v>148</v>
      </c>
      <c r="C321" s="35" t="s">
        <v>149</v>
      </c>
      <c r="D321" s="36">
        <v>3.0</v>
      </c>
      <c r="E321" s="35" t="s">
        <v>417</v>
      </c>
      <c r="F321" s="36">
        <v>9.0042084E7</v>
      </c>
      <c r="G321" s="37" t="s">
        <v>418</v>
      </c>
      <c r="H321" s="38" t="s">
        <v>19</v>
      </c>
      <c r="I321" s="39">
        <v>2196595.0</v>
      </c>
    </row>
    <row r="322">
      <c r="A322" s="33" t="s">
        <v>74</v>
      </c>
      <c r="B322" s="34" t="s">
        <v>148</v>
      </c>
      <c r="C322" s="35" t="s">
        <v>149</v>
      </c>
      <c r="D322" s="36">
        <v>3.0</v>
      </c>
      <c r="E322" s="35" t="s">
        <v>417</v>
      </c>
      <c r="F322" s="36">
        <v>9.0043001E7</v>
      </c>
      <c r="G322" s="37" t="s">
        <v>411</v>
      </c>
      <c r="H322" s="38" t="s">
        <v>19</v>
      </c>
      <c r="I322" s="39">
        <v>4233184.0</v>
      </c>
    </row>
    <row r="323">
      <c r="A323" s="33" t="s">
        <v>74</v>
      </c>
      <c r="B323" s="34" t="s">
        <v>148</v>
      </c>
      <c r="C323" s="35" t="s">
        <v>149</v>
      </c>
      <c r="D323" s="36">
        <v>3.0</v>
      </c>
      <c r="E323" s="35" t="s">
        <v>417</v>
      </c>
      <c r="F323" s="36">
        <v>9.0043E7</v>
      </c>
      <c r="G323" s="37" t="s">
        <v>412</v>
      </c>
      <c r="H323" s="38" t="s">
        <v>19</v>
      </c>
      <c r="I323" s="39">
        <v>8869224.0</v>
      </c>
    </row>
    <row r="324">
      <c r="A324" s="33" t="s">
        <v>74</v>
      </c>
      <c r="B324" s="34" t="s">
        <v>148</v>
      </c>
      <c r="C324" s="35" t="s">
        <v>149</v>
      </c>
      <c r="D324" s="36">
        <v>3.0</v>
      </c>
      <c r="E324" s="35" t="s">
        <v>409</v>
      </c>
      <c r="F324" s="36">
        <v>5.1100064E7</v>
      </c>
      <c r="G324" s="37" t="s">
        <v>414</v>
      </c>
      <c r="H324" s="38" t="s">
        <v>37</v>
      </c>
      <c r="I324" s="39">
        <v>2.746E7</v>
      </c>
    </row>
    <row r="325">
      <c r="A325" s="33" t="s">
        <v>74</v>
      </c>
      <c r="B325" s="34" t="s">
        <v>148</v>
      </c>
      <c r="C325" s="35" t="s">
        <v>149</v>
      </c>
      <c r="D325" s="36">
        <v>3.0</v>
      </c>
      <c r="E325" s="35" t="s">
        <v>409</v>
      </c>
      <c r="F325" s="36">
        <v>5.1100064E7</v>
      </c>
      <c r="G325" s="37" t="s">
        <v>414</v>
      </c>
      <c r="H325" s="38" t="s">
        <v>25</v>
      </c>
      <c r="I325" s="39">
        <v>1280000.0</v>
      </c>
    </row>
    <row r="326">
      <c r="A326" s="33" t="s">
        <v>74</v>
      </c>
      <c r="B326" s="34" t="s">
        <v>148</v>
      </c>
      <c r="C326" s="35" t="s">
        <v>149</v>
      </c>
      <c r="D326" s="36">
        <v>3.0</v>
      </c>
      <c r="E326" s="35" t="s">
        <v>409</v>
      </c>
      <c r="F326" s="36">
        <v>9.0042077E7</v>
      </c>
      <c r="G326" s="37" t="s">
        <v>410</v>
      </c>
      <c r="H326" s="38" t="s">
        <v>19</v>
      </c>
      <c r="I326" s="39">
        <v>2.0439971E7</v>
      </c>
    </row>
    <row r="327">
      <c r="A327" s="33" t="s">
        <v>74</v>
      </c>
      <c r="B327" s="34" t="s">
        <v>148</v>
      </c>
      <c r="C327" s="35" t="s">
        <v>149</v>
      </c>
      <c r="D327" s="36">
        <v>3.0</v>
      </c>
      <c r="E327" s="35" t="s">
        <v>409</v>
      </c>
      <c r="F327" s="36">
        <v>9.0043001E7</v>
      </c>
      <c r="G327" s="37" t="s">
        <v>411</v>
      </c>
      <c r="H327" s="38" t="s">
        <v>19</v>
      </c>
      <c r="I327" s="39">
        <v>2.96352424E8</v>
      </c>
    </row>
    <row r="328">
      <c r="A328" s="33" t="s">
        <v>74</v>
      </c>
      <c r="B328" s="34" t="s">
        <v>148</v>
      </c>
      <c r="C328" s="35" t="s">
        <v>149</v>
      </c>
      <c r="D328" s="36">
        <v>3.0</v>
      </c>
      <c r="E328" s="35" t="s">
        <v>409</v>
      </c>
      <c r="F328" s="36">
        <v>9.0043E7</v>
      </c>
      <c r="G328" s="37" t="s">
        <v>412</v>
      </c>
      <c r="H328" s="38" t="s">
        <v>19</v>
      </c>
      <c r="I328" s="39">
        <v>1.49841469E8</v>
      </c>
    </row>
    <row r="329">
      <c r="A329" s="33" t="s">
        <v>74</v>
      </c>
      <c r="B329" s="34" t="s">
        <v>148</v>
      </c>
      <c r="C329" s="35" t="s">
        <v>149</v>
      </c>
      <c r="D329" s="36">
        <v>3.0</v>
      </c>
      <c r="E329" s="35" t="s">
        <v>416</v>
      </c>
      <c r="F329" s="36">
        <v>9.004208E7</v>
      </c>
      <c r="G329" s="37" t="s">
        <v>419</v>
      </c>
      <c r="H329" s="38" t="s">
        <v>25</v>
      </c>
      <c r="I329" s="39">
        <v>7874130.0</v>
      </c>
    </row>
    <row r="330">
      <c r="A330" s="33" t="s">
        <v>74</v>
      </c>
      <c r="B330" s="34" t="s">
        <v>148</v>
      </c>
      <c r="C330" s="35" t="s">
        <v>149</v>
      </c>
      <c r="D330" s="36">
        <v>3.0</v>
      </c>
      <c r="E330" s="35" t="s">
        <v>416</v>
      </c>
      <c r="F330" s="36">
        <v>9.0043001E7</v>
      </c>
      <c r="G330" s="37" t="s">
        <v>411</v>
      </c>
      <c r="H330" s="38" t="s">
        <v>19</v>
      </c>
      <c r="I330" s="39">
        <v>3.57159775E8</v>
      </c>
    </row>
    <row r="331">
      <c r="A331" s="33" t="s">
        <v>74</v>
      </c>
      <c r="B331" s="34" t="s">
        <v>148</v>
      </c>
      <c r="C331" s="35" t="s">
        <v>149</v>
      </c>
      <c r="D331" s="36">
        <v>3.0</v>
      </c>
      <c r="E331" s="35" t="s">
        <v>416</v>
      </c>
      <c r="F331" s="36">
        <v>9.0043E7</v>
      </c>
      <c r="G331" s="37" t="s">
        <v>412</v>
      </c>
      <c r="H331" s="38" t="s">
        <v>19</v>
      </c>
      <c r="I331" s="39">
        <v>6.4959021E7</v>
      </c>
    </row>
    <row r="332">
      <c r="A332" s="33" t="s">
        <v>74</v>
      </c>
      <c r="B332" s="34" t="s">
        <v>167</v>
      </c>
      <c r="C332" s="35" t="s">
        <v>168</v>
      </c>
      <c r="D332" s="36">
        <v>3.0</v>
      </c>
      <c r="E332" s="35" t="s">
        <v>417</v>
      </c>
      <c r="F332" s="36">
        <v>9.0043001E7</v>
      </c>
      <c r="G332" s="37" t="s">
        <v>411</v>
      </c>
      <c r="H332" s="38" t="s">
        <v>19</v>
      </c>
      <c r="I332" s="39">
        <v>801738.0</v>
      </c>
    </row>
    <row r="333">
      <c r="A333" s="33" t="s">
        <v>74</v>
      </c>
      <c r="B333" s="34" t="s">
        <v>167</v>
      </c>
      <c r="C333" s="35" t="s">
        <v>168</v>
      </c>
      <c r="D333" s="36">
        <v>3.0</v>
      </c>
      <c r="E333" s="35" t="s">
        <v>409</v>
      </c>
      <c r="F333" s="36">
        <v>5.1100064E7</v>
      </c>
      <c r="G333" s="37" t="s">
        <v>414</v>
      </c>
      <c r="H333" s="38" t="s">
        <v>37</v>
      </c>
      <c r="I333" s="39">
        <v>3712500.0</v>
      </c>
    </row>
    <row r="334">
      <c r="A334" s="33" t="s">
        <v>74</v>
      </c>
      <c r="B334" s="34" t="s">
        <v>167</v>
      </c>
      <c r="C334" s="35" t="s">
        <v>168</v>
      </c>
      <c r="D334" s="36">
        <v>3.0</v>
      </c>
      <c r="E334" s="35" t="s">
        <v>409</v>
      </c>
      <c r="F334" s="36">
        <v>5.1100064E7</v>
      </c>
      <c r="G334" s="37" t="s">
        <v>414</v>
      </c>
      <c r="H334" s="38" t="s">
        <v>25</v>
      </c>
      <c r="I334" s="39">
        <v>1.2865E7</v>
      </c>
    </row>
    <row r="335">
      <c r="A335" s="33" t="s">
        <v>74</v>
      </c>
      <c r="B335" s="34" t="s">
        <v>167</v>
      </c>
      <c r="C335" s="35" t="s">
        <v>168</v>
      </c>
      <c r="D335" s="36">
        <v>3.0</v>
      </c>
      <c r="E335" s="35" t="s">
        <v>409</v>
      </c>
      <c r="F335" s="36">
        <v>5.1101056E7</v>
      </c>
      <c r="G335" s="37" t="s">
        <v>426</v>
      </c>
      <c r="H335" s="38" t="s">
        <v>25</v>
      </c>
      <c r="I335" s="39">
        <v>6.8117738E7</v>
      </c>
    </row>
    <row r="336">
      <c r="A336" s="33" t="s">
        <v>74</v>
      </c>
      <c r="B336" s="34" t="s">
        <v>167</v>
      </c>
      <c r="C336" s="35" t="s">
        <v>168</v>
      </c>
      <c r="D336" s="36">
        <v>3.0</v>
      </c>
      <c r="E336" s="35" t="s">
        <v>409</v>
      </c>
      <c r="F336" s="36">
        <v>9.0042077E7</v>
      </c>
      <c r="G336" s="37" t="s">
        <v>410</v>
      </c>
      <c r="H336" s="38" t="s">
        <v>19</v>
      </c>
      <c r="I336" s="39">
        <v>3.983588E7</v>
      </c>
    </row>
    <row r="337">
      <c r="A337" s="33" t="s">
        <v>74</v>
      </c>
      <c r="B337" s="34" t="s">
        <v>167</v>
      </c>
      <c r="C337" s="35" t="s">
        <v>168</v>
      </c>
      <c r="D337" s="36">
        <v>3.0</v>
      </c>
      <c r="E337" s="35" t="s">
        <v>409</v>
      </c>
      <c r="F337" s="36">
        <v>9.0043001E7</v>
      </c>
      <c r="G337" s="37" t="s">
        <v>411</v>
      </c>
      <c r="H337" s="38" t="s">
        <v>19</v>
      </c>
      <c r="I337" s="39">
        <v>4.42253385E8</v>
      </c>
    </row>
    <row r="338">
      <c r="A338" s="33" t="s">
        <v>74</v>
      </c>
      <c r="B338" s="34" t="s">
        <v>167</v>
      </c>
      <c r="C338" s="35" t="s">
        <v>168</v>
      </c>
      <c r="D338" s="36">
        <v>3.0</v>
      </c>
      <c r="E338" s="35" t="s">
        <v>409</v>
      </c>
      <c r="F338" s="36">
        <v>9.0043E7</v>
      </c>
      <c r="G338" s="37" t="s">
        <v>412</v>
      </c>
      <c r="H338" s="38" t="s">
        <v>19</v>
      </c>
      <c r="I338" s="39">
        <v>1.26573495E8</v>
      </c>
    </row>
    <row r="339">
      <c r="A339" s="33" t="s">
        <v>74</v>
      </c>
      <c r="B339" s="34" t="s">
        <v>167</v>
      </c>
      <c r="C339" s="35" t="s">
        <v>168</v>
      </c>
      <c r="D339" s="36">
        <v>3.0</v>
      </c>
      <c r="E339" s="35" t="s">
        <v>416</v>
      </c>
      <c r="F339" s="36">
        <v>5.1100064E7</v>
      </c>
      <c r="G339" s="37" t="s">
        <v>414</v>
      </c>
      <c r="H339" s="38" t="s">
        <v>37</v>
      </c>
      <c r="I339" s="39">
        <v>516112.0</v>
      </c>
    </row>
    <row r="340">
      <c r="A340" s="33" t="s">
        <v>74</v>
      </c>
      <c r="B340" s="34" t="s">
        <v>167</v>
      </c>
      <c r="C340" s="35" t="s">
        <v>168</v>
      </c>
      <c r="D340" s="36">
        <v>3.0</v>
      </c>
      <c r="E340" s="35" t="s">
        <v>416</v>
      </c>
      <c r="F340" s="36">
        <v>5.1100064E7</v>
      </c>
      <c r="G340" s="37" t="s">
        <v>414</v>
      </c>
      <c r="H340" s="38" t="s">
        <v>25</v>
      </c>
      <c r="I340" s="39">
        <v>2122000.0</v>
      </c>
    </row>
    <row r="341">
      <c r="A341" s="33" t="s">
        <v>74</v>
      </c>
      <c r="B341" s="34" t="s">
        <v>167</v>
      </c>
      <c r="C341" s="35" t="s">
        <v>168</v>
      </c>
      <c r="D341" s="36">
        <v>3.0</v>
      </c>
      <c r="E341" s="35" t="s">
        <v>416</v>
      </c>
      <c r="F341" s="36">
        <v>9.0043001E7</v>
      </c>
      <c r="G341" s="37" t="s">
        <v>411</v>
      </c>
      <c r="H341" s="38" t="s">
        <v>19</v>
      </c>
      <c r="I341" s="39">
        <v>2.66126126E8</v>
      </c>
    </row>
    <row r="342">
      <c r="A342" s="33" t="s">
        <v>74</v>
      </c>
      <c r="B342" s="34" t="s">
        <v>167</v>
      </c>
      <c r="C342" s="35" t="s">
        <v>168</v>
      </c>
      <c r="D342" s="36">
        <v>3.0</v>
      </c>
      <c r="E342" s="35" t="s">
        <v>416</v>
      </c>
      <c r="F342" s="36">
        <v>9.0043E7</v>
      </c>
      <c r="G342" s="37" t="s">
        <v>412</v>
      </c>
      <c r="H342" s="38" t="s">
        <v>19</v>
      </c>
      <c r="I342" s="39">
        <v>3.5887878E7</v>
      </c>
    </row>
    <row r="343">
      <c r="A343" s="33" t="s">
        <v>74</v>
      </c>
      <c r="B343" s="34" t="s">
        <v>170</v>
      </c>
      <c r="C343" s="35" t="s">
        <v>171</v>
      </c>
      <c r="D343" s="36">
        <v>3.0</v>
      </c>
      <c r="E343" s="35" t="s">
        <v>409</v>
      </c>
      <c r="F343" s="36">
        <v>5.1100064E7</v>
      </c>
      <c r="G343" s="37" t="s">
        <v>414</v>
      </c>
      <c r="H343" s="38" t="s">
        <v>37</v>
      </c>
      <c r="I343" s="39">
        <v>715500.0</v>
      </c>
    </row>
    <row r="344">
      <c r="A344" s="33" t="s">
        <v>74</v>
      </c>
      <c r="B344" s="34" t="s">
        <v>170</v>
      </c>
      <c r="C344" s="35" t="s">
        <v>171</v>
      </c>
      <c r="D344" s="36">
        <v>3.0</v>
      </c>
      <c r="E344" s="35" t="s">
        <v>409</v>
      </c>
      <c r="F344" s="36">
        <v>5.1100064E7</v>
      </c>
      <c r="G344" s="37" t="s">
        <v>414</v>
      </c>
      <c r="H344" s="38" t="s">
        <v>25</v>
      </c>
      <c r="I344" s="39">
        <v>910000.0</v>
      </c>
    </row>
    <row r="345">
      <c r="A345" s="33" t="s">
        <v>74</v>
      </c>
      <c r="B345" s="34" t="s">
        <v>170</v>
      </c>
      <c r="C345" s="35" t="s">
        <v>171</v>
      </c>
      <c r="D345" s="36">
        <v>3.0</v>
      </c>
      <c r="E345" s="35" t="s">
        <v>409</v>
      </c>
      <c r="F345" s="36">
        <v>5.1101056E7</v>
      </c>
      <c r="G345" s="37" t="s">
        <v>426</v>
      </c>
      <c r="H345" s="38" t="s">
        <v>25</v>
      </c>
      <c r="I345" s="39">
        <v>1.1480361E7</v>
      </c>
    </row>
    <row r="346">
      <c r="A346" s="33" t="s">
        <v>74</v>
      </c>
      <c r="B346" s="34" t="s">
        <v>170</v>
      </c>
      <c r="C346" s="35" t="s">
        <v>171</v>
      </c>
      <c r="D346" s="36">
        <v>3.0</v>
      </c>
      <c r="E346" s="35" t="s">
        <v>409</v>
      </c>
      <c r="F346" s="36">
        <v>9.0042077E7</v>
      </c>
      <c r="G346" s="37" t="s">
        <v>410</v>
      </c>
      <c r="H346" s="38" t="s">
        <v>19</v>
      </c>
      <c r="I346" s="39">
        <v>1.3048815E7</v>
      </c>
    </row>
    <row r="347">
      <c r="A347" s="33" t="s">
        <v>74</v>
      </c>
      <c r="B347" s="34" t="s">
        <v>170</v>
      </c>
      <c r="C347" s="35" t="s">
        <v>171</v>
      </c>
      <c r="D347" s="36">
        <v>3.0</v>
      </c>
      <c r="E347" s="35" t="s">
        <v>409</v>
      </c>
      <c r="F347" s="36">
        <v>9.0043001E7</v>
      </c>
      <c r="G347" s="37" t="s">
        <v>411</v>
      </c>
      <c r="H347" s="38" t="s">
        <v>19</v>
      </c>
      <c r="I347" s="39">
        <v>2.22029684E8</v>
      </c>
    </row>
    <row r="348">
      <c r="A348" s="33" t="s">
        <v>74</v>
      </c>
      <c r="B348" s="34" t="s">
        <v>170</v>
      </c>
      <c r="C348" s="35" t="s">
        <v>171</v>
      </c>
      <c r="D348" s="36">
        <v>3.0</v>
      </c>
      <c r="E348" s="35" t="s">
        <v>409</v>
      </c>
      <c r="F348" s="36">
        <v>9.0043E7</v>
      </c>
      <c r="G348" s="37" t="s">
        <v>412</v>
      </c>
      <c r="H348" s="38" t="s">
        <v>19</v>
      </c>
      <c r="I348" s="39">
        <v>6.1414421E7</v>
      </c>
    </row>
    <row r="349">
      <c r="A349" s="33" t="s">
        <v>74</v>
      </c>
      <c r="B349" s="34" t="s">
        <v>170</v>
      </c>
      <c r="C349" s="35" t="s">
        <v>171</v>
      </c>
      <c r="D349" s="36">
        <v>3.0</v>
      </c>
      <c r="E349" s="35" t="s">
        <v>416</v>
      </c>
      <c r="F349" s="36">
        <v>9.0042078E7</v>
      </c>
      <c r="G349" s="37" t="s">
        <v>428</v>
      </c>
      <c r="H349" s="38" t="s">
        <v>19</v>
      </c>
      <c r="I349" s="39">
        <v>50000.0</v>
      </c>
    </row>
    <row r="350">
      <c r="A350" s="33" t="s">
        <v>74</v>
      </c>
      <c r="B350" s="34" t="s">
        <v>170</v>
      </c>
      <c r="C350" s="35" t="s">
        <v>171</v>
      </c>
      <c r="D350" s="36">
        <v>3.0</v>
      </c>
      <c r="E350" s="35" t="s">
        <v>416</v>
      </c>
      <c r="F350" s="36">
        <v>9.0043001E7</v>
      </c>
      <c r="G350" s="37" t="s">
        <v>411</v>
      </c>
      <c r="H350" s="38" t="s">
        <v>19</v>
      </c>
      <c r="I350" s="39">
        <v>1.67304347E8</v>
      </c>
    </row>
    <row r="351">
      <c r="A351" s="33" t="s">
        <v>74</v>
      </c>
      <c r="B351" s="34" t="s">
        <v>170</v>
      </c>
      <c r="C351" s="35" t="s">
        <v>171</v>
      </c>
      <c r="D351" s="36">
        <v>3.0</v>
      </c>
      <c r="E351" s="35" t="s">
        <v>416</v>
      </c>
      <c r="F351" s="36">
        <v>9.0043E7</v>
      </c>
      <c r="G351" s="37" t="s">
        <v>412</v>
      </c>
      <c r="H351" s="38" t="s">
        <v>19</v>
      </c>
      <c r="I351" s="39">
        <v>3.8135436E7</v>
      </c>
    </row>
    <row r="352">
      <c r="A352" s="33" t="s">
        <v>74</v>
      </c>
      <c r="B352" s="34" t="s">
        <v>187</v>
      </c>
      <c r="C352" s="35" t="s">
        <v>188</v>
      </c>
      <c r="D352" s="36">
        <v>3.0</v>
      </c>
      <c r="E352" s="35" t="s">
        <v>409</v>
      </c>
      <c r="F352" s="36">
        <v>5.1100064E7</v>
      </c>
      <c r="G352" s="37" t="s">
        <v>414</v>
      </c>
      <c r="H352" s="38" t="s">
        <v>37</v>
      </c>
      <c r="I352" s="39">
        <v>7717500.0</v>
      </c>
    </row>
    <row r="353">
      <c r="A353" s="33" t="s">
        <v>74</v>
      </c>
      <c r="B353" s="34" t="s">
        <v>187</v>
      </c>
      <c r="C353" s="35" t="s">
        <v>188</v>
      </c>
      <c r="D353" s="36">
        <v>3.0</v>
      </c>
      <c r="E353" s="35" t="s">
        <v>409</v>
      </c>
      <c r="F353" s="36">
        <v>5.1100064E7</v>
      </c>
      <c r="G353" s="37" t="s">
        <v>414</v>
      </c>
      <c r="H353" s="38" t="s">
        <v>25</v>
      </c>
      <c r="I353" s="39">
        <v>3800900.0</v>
      </c>
    </row>
    <row r="354">
      <c r="A354" s="33" t="s">
        <v>74</v>
      </c>
      <c r="B354" s="34" t="s">
        <v>187</v>
      </c>
      <c r="C354" s="35" t="s">
        <v>188</v>
      </c>
      <c r="D354" s="36">
        <v>3.0</v>
      </c>
      <c r="E354" s="35" t="s">
        <v>409</v>
      </c>
      <c r="F354" s="36">
        <v>5.1101056E7</v>
      </c>
      <c r="G354" s="37" t="s">
        <v>426</v>
      </c>
      <c r="H354" s="38" t="s">
        <v>25</v>
      </c>
      <c r="I354" s="39">
        <v>1.0963789E7</v>
      </c>
    </row>
    <row r="355">
      <c r="A355" s="33" t="s">
        <v>74</v>
      </c>
      <c r="B355" s="34" t="s">
        <v>187</v>
      </c>
      <c r="C355" s="35" t="s">
        <v>188</v>
      </c>
      <c r="D355" s="36">
        <v>3.0</v>
      </c>
      <c r="E355" s="35" t="s">
        <v>409</v>
      </c>
      <c r="F355" s="36">
        <v>9.0042077E7</v>
      </c>
      <c r="G355" s="37" t="s">
        <v>410</v>
      </c>
      <c r="H355" s="38" t="s">
        <v>19</v>
      </c>
      <c r="I355" s="39">
        <v>1.7755375E7</v>
      </c>
    </row>
    <row r="356">
      <c r="A356" s="33" t="s">
        <v>74</v>
      </c>
      <c r="B356" s="34" t="s">
        <v>187</v>
      </c>
      <c r="C356" s="35" t="s">
        <v>188</v>
      </c>
      <c r="D356" s="36">
        <v>3.0</v>
      </c>
      <c r="E356" s="35" t="s">
        <v>409</v>
      </c>
      <c r="F356" s="36">
        <v>9.0043001E7</v>
      </c>
      <c r="G356" s="37" t="s">
        <v>411</v>
      </c>
      <c r="H356" s="38" t="s">
        <v>19</v>
      </c>
      <c r="I356" s="39">
        <v>2.00771248E8</v>
      </c>
    </row>
    <row r="357">
      <c r="A357" s="33" t="s">
        <v>74</v>
      </c>
      <c r="B357" s="34" t="s">
        <v>187</v>
      </c>
      <c r="C357" s="35" t="s">
        <v>188</v>
      </c>
      <c r="D357" s="36">
        <v>3.0</v>
      </c>
      <c r="E357" s="35" t="s">
        <v>409</v>
      </c>
      <c r="F357" s="36">
        <v>9.0043E7</v>
      </c>
      <c r="G357" s="37" t="s">
        <v>412</v>
      </c>
      <c r="H357" s="38" t="s">
        <v>19</v>
      </c>
      <c r="I357" s="39">
        <v>5.205455E7</v>
      </c>
    </row>
    <row r="358">
      <c r="A358" s="33" t="s">
        <v>74</v>
      </c>
      <c r="B358" s="34" t="s">
        <v>187</v>
      </c>
      <c r="C358" s="35" t="s">
        <v>188</v>
      </c>
      <c r="D358" s="36">
        <v>3.0</v>
      </c>
      <c r="E358" s="35" t="s">
        <v>416</v>
      </c>
      <c r="F358" s="36">
        <v>9.0043001E7</v>
      </c>
      <c r="G358" s="37" t="s">
        <v>411</v>
      </c>
      <c r="H358" s="38" t="s">
        <v>19</v>
      </c>
      <c r="I358" s="39">
        <v>2.82036206E8</v>
      </c>
    </row>
    <row r="359">
      <c r="A359" s="33" t="s">
        <v>74</v>
      </c>
      <c r="B359" s="34" t="s">
        <v>187</v>
      </c>
      <c r="C359" s="35" t="s">
        <v>188</v>
      </c>
      <c r="D359" s="36">
        <v>3.0</v>
      </c>
      <c r="E359" s="35" t="s">
        <v>416</v>
      </c>
      <c r="F359" s="36">
        <v>9.0043E7</v>
      </c>
      <c r="G359" s="37" t="s">
        <v>412</v>
      </c>
      <c r="H359" s="38" t="s">
        <v>19</v>
      </c>
      <c r="I359" s="39">
        <v>3.9878607E7</v>
      </c>
    </row>
    <row r="360">
      <c r="A360" s="33" t="s">
        <v>74</v>
      </c>
      <c r="B360" s="34" t="s">
        <v>187</v>
      </c>
      <c r="C360" s="35" t="s">
        <v>188</v>
      </c>
      <c r="D360" s="36">
        <v>3.0</v>
      </c>
      <c r="E360" s="35" t="s">
        <v>416</v>
      </c>
      <c r="F360" s="36">
        <v>5.1100651E7</v>
      </c>
      <c r="G360" s="37" t="s">
        <v>424</v>
      </c>
      <c r="H360" s="38" t="s">
        <v>25</v>
      </c>
      <c r="I360" s="39">
        <v>2.342836E7</v>
      </c>
    </row>
    <row r="361">
      <c r="A361" s="33" t="s">
        <v>74</v>
      </c>
      <c r="B361" s="34" t="s">
        <v>187</v>
      </c>
      <c r="C361" s="35" t="s">
        <v>188</v>
      </c>
      <c r="D361" s="36">
        <v>3.0</v>
      </c>
      <c r="E361" s="35" t="s">
        <v>416</v>
      </c>
      <c r="F361" s="36">
        <v>5.1100003E7</v>
      </c>
      <c r="G361" s="37" t="s">
        <v>432</v>
      </c>
      <c r="H361" s="38" t="s">
        <v>25</v>
      </c>
      <c r="I361" s="39">
        <v>4797000.0</v>
      </c>
    </row>
    <row r="362">
      <c r="A362" s="33" t="s">
        <v>74</v>
      </c>
      <c r="B362" s="34" t="s">
        <v>203</v>
      </c>
      <c r="C362" s="35" t="s">
        <v>204</v>
      </c>
      <c r="D362" s="36">
        <v>3.0</v>
      </c>
      <c r="E362" s="35" t="s">
        <v>417</v>
      </c>
      <c r="F362" s="36">
        <v>9.0042084E7</v>
      </c>
      <c r="G362" s="37" t="s">
        <v>418</v>
      </c>
      <c r="H362" s="38" t="s">
        <v>19</v>
      </c>
      <c r="I362" s="39">
        <v>861575.0</v>
      </c>
    </row>
    <row r="363">
      <c r="A363" s="33" t="s">
        <v>74</v>
      </c>
      <c r="B363" s="34" t="s">
        <v>203</v>
      </c>
      <c r="C363" s="35" t="s">
        <v>204</v>
      </c>
      <c r="D363" s="36">
        <v>3.0</v>
      </c>
      <c r="E363" s="35" t="s">
        <v>417</v>
      </c>
      <c r="F363" s="36">
        <v>9.0043001E7</v>
      </c>
      <c r="G363" s="37" t="s">
        <v>411</v>
      </c>
      <c r="H363" s="38" t="s">
        <v>19</v>
      </c>
      <c r="I363" s="39">
        <v>7587047.0</v>
      </c>
    </row>
    <row r="364">
      <c r="A364" s="33" t="s">
        <v>74</v>
      </c>
      <c r="B364" s="34" t="s">
        <v>203</v>
      </c>
      <c r="C364" s="35" t="s">
        <v>204</v>
      </c>
      <c r="D364" s="36">
        <v>3.0</v>
      </c>
      <c r="E364" s="35" t="s">
        <v>409</v>
      </c>
      <c r="F364" s="36">
        <v>9.0042077E7</v>
      </c>
      <c r="G364" s="37" t="s">
        <v>410</v>
      </c>
      <c r="H364" s="38" t="s">
        <v>19</v>
      </c>
      <c r="I364" s="39">
        <v>1.8894878E7</v>
      </c>
    </row>
    <row r="365">
      <c r="A365" s="33" t="s">
        <v>74</v>
      </c>
      <c r="B365" s="34" t="s">
        <v>203</v>
      </c>
      <c r="C365" s="35" t="s">
        <v>204</v>
      </c>
      <c r="D365" s="36">
        <v>3.0</v>
      </c>
      <c r="E365" s="35" t="s">
        <v>409</v>
      </c>
      <c r="F365" s="36">
        <v>9.0043001E7</v>
      </c>
      <c r="G365" s="37" t="s">
        <v>411</v>
      </c>
      <c r="H365" s="38" t="s">
        <v>19</v>
      </c>
      <c r="I365" s="39">
        <v>1.6174975E8</v>
      </c>
    </row>
    <row r="366">
      <c r="A366" s="33" t="s">
        <v>74</v>
      </c>
      <c r="B366" s="34" t="s">
        <v>203</v>
      </c>
      <c r="C366" s="35" t="s">
        <v>204</v>
      </c>
      <c r="D366" s="36">
        <v>3.0</v>
      </c>
      <c r="E366" s="35" t="s">
        <v>409</v>
      </c>
      <c r="F366" s="36">
        <v>9.0043E7</v>
      </c>
      <c r="G366" s="37" t="s">
        <v>412</v>
      </c>
      <c r="H366" s="38" t="s">
        <v>19</v>
      </c>
      <c r="I366" s="39">
        <v>7.8147236E7</v>
      </c>
    </row>
    <row r="367">
      <c r="A367" s="33" t="s">
        <v>74</v>
      </c>
      <c r="B367" s="34" t="s">
        <v>203</v>
      </c>
      <c r="C367" s="35" t="s">
        <v>204</v>
      </c>
      <c r="D367" s="36">
        <v>3.0</v>
      </c>
      <c r="E367" s="35" t="s">
        <v>416</v>
      </c>
      <c r="F367" s="36">
        <v>5.1100064E7</v>
      </c>
      <c r="G367" s="37" t="s">
        <v>414</v>
      </c>
      <c r="H367" s="38" t="s">
        <v>37</v>
      </c>
      <c r="I367" s="39">
        <v>1200000.0</v>
      </c>
    </row>
    <row r="368">
      <c r="A368" s="33" t="s">
        <v>74</v>
      </c>
      <c r="B368" s="34" t="s">
        <v>203</v>
      </c>
      <c r="C368" s="35" t="s">
        <v>204</v>
      </c>
      <c r="D368" s="36">
        <v>3.0</v>
      </c>
      <c r="E368" s="35" t="s">
        <v>416</v>
      </c>
      <c r="F368" s="36">
        <v>9.0043001E7</v>
      </c>
      <c r="G368" s="37" t="s">
        <v>411</v>
      </c>
      <c r="H368" s="38" t="s">
        <v>19</v>
      </c>
      <c r="I368" s="39">
        <v>7.6537602E7</v>
      </c>
    </row>
    <row r="369">
      <c r="A369" s="33" t="s">
        <v>74</v>
      </c>
      <c r="B369" s="34" t="s">
        <v>203</v>
      </c>
      <c r="C369" s="35" t="s">
        <v>204</v>
      </c>
      <c r="D369" s="36">
        <v>3.0</v>
      </c>
      <c r="E369" s="35" t="s">
        <v>416</v>
      </c>
      <c r="F369" s="36">
        <v>9.0043E7</v>
      </c>
      <c r="G369" s="37" t="s">
        <v>412</v>
      </c>
      <c r="H369" s="38" t="s">
        <v>19</v>
      </c>
      <c r="I369" s="39">
        <v>4.4092325E7</v>
      </c>
    </row>
    <row r="370">
      <c r="A370" s="33" t="s">
        <v>74</v>
      </c>
      <c r="B370" s="34" t="s">
        <v>212</v>
      </c>
      <c r="C370" s="35" t="s">
        <v>213</v>
      </c>
      <c r="D370" s="36">
        <v>3.0</v>
      </c>
      <c r="E370" s="35" t="s">
        <v>417</v>
      </c>
      <c r="F370" s="36">
        <v>9.0043001E7</v>
      </c>
      <c r="G370" s="37" t="s">
        <v>411</v>
      </c>
      <c r="H370" s="38" t="s">
        <v>19</v>
      </c>
      <c r="I370" s="39">
        <v>1125390.0</v>
      </c>
    </row>
    <row r="371">
      <c r="A371" s="33" t="s">
        <v>74</v>
      </c>
      <c r="B371" s="34" t="s">
        <v>212</v>
      </c>
      <c r="C371" s="35" t="s">
        <v>213</v>
      </c>
      <c r="D371" s="36">
        <v>3.0</v>
      </c>
      <c r="E371" s="35" t="s">
        <v>409</v>
      </c>
      <c r="F371" s="36">
        <v>5.1100064E7</v>
      </c>
      <c r="G371" s="37" t="s">
        <v>414</v>
      </c>
      <c r="H371" s="38" t="s">
        <v>25</v>
      </c>
      <c r="I371" s="39">
        <v>1000000.0</v>
      </c>
    </row>
    <row r="372">
      <c r="A372" s="33" t="s">
        <v>74</v>
      </c>
      <c r="B372" s="34" t="s">
        <v>212</v>
      </c>
      <c r="C372" s="35" t="s">
        <v>213</v>
      </c>
      <c r="D372" s="36">
        <v>3.0</v>
      </c>
      <c r="E372" s="35" t="s">
        <v>409</v>
      </c>
      <c r="F372" s="36">
        <v>9.0042077E7</v>
      </c>
      <c r="G372" s="37" t="s">
        <v>410</v>
      </c>
      <c r="H372" s="38" t="s">
        <v>19</v>
      </c>
      <c r="I372" s="39">
        <v>1.0149867E7</v>
      </c>
    </row>
    <row r="373">
      <c r="A373" s="33" t="s">
        <v>74</v>
      </c>
      <c r="B373" s="34" t="s">
        <v>212</v>
      </c>
      <c r="C373" s="35" t="s">
        <v>213</v>
      </c>
      <c r="D373" s="36">
        <v>3.0</v>
      </c>
      <c r="E373" s="35" t="s">
        <v>409</v>
      </c>
      <c r="F373" s="36">
        <v>9.0043001E7</v>
      </c>
      <c r="G373" s="37" t="s">
        <v>411</v>
      </c>
      <c r="H373" s="38" t="s">
        <v>19</v>
      </c>
      <c r="I373" s="39">
        <v>2.63016776E8</v>
      </c>
    </row>
    <row r="374">
      <c r="A374" s="33" t="s">
        <v>74</v>
      </c>
      <c r="B374" s="34" t="s">
        <v>212</v>
      </c>
      <c r="C374" s="35" t="s">
        <v>213</v>
      </c>
      <c r="D374" s="36">
        <v>3.0</v>
      </c>
      <c r="E374" s="35" t="s">
        <v>409</v>
      </c>
      <c r="F374" s="36">
        <v>9.0043E7</v>
      </c>
      <c r="G374" s="37" t="s">
        <v>412</v>
      </c>
      <c r="H374" s="38" t="s">
        <v>19</v>
      </c>
      <c r="I374" s="39">
        <v>9.4799125E7</v>
      </c>
    </row>
    <row r="375">
      <c r="A375" s="33" t="s">
        <v>74</v>
      </c>
      <c r="B375" s="34" t="s">
        <v>212</v>
      </c>
      <c r="C375" s="35" t="s">
        <v>213</v>
      </c>
      <c r="D375" s="36">
        <v>3.0</v>
      </c>
      <c r="E375" s="35" t="s">
        <v>409</v>
      </c>
      <c r="F375" s="36">
        <v>5.1100107E7</v>
      </c>
      <c r="G375" s="37" t="s">
        <v>421</v>
      </c>
      <c r="H375" s="38" t="s">
        <v>25</v>
      </c>
      <c r="I375" s="39">
        <v>1950000.0</v>
      </c>
    </row>
    <row r="376">
      <c r="A376" s="33" t="s">
        <v>74</v>
      </c>
      <c r="B376" s="34" t="s">
        <v>212</v>
      </c>
      <c r="C376" s="35" t="s">
        <v>213</v>
      </c>
      <c r="D376" s="36">
        <v>3.0</v>
      </c>
      <c r="E376" s="35" t="s">
        <v>416</v>
      </c>
      <c r="F376" s="36">
        <v>9.004208E7</v>
      </c>
      <c r="G376" s="37" t="s">
        <v>419</v>
      </c>
      <c r="H376" s="38" t="s">
        <v>25</v>
      </c>
      <c r="I376" s="39">
        <v>1440000.0</v>
      </c>
    </row>
    <row r="377">
      <c r="A377" s="33" t="s">
        <v>74</v>
      </c>
      <c r="B377" s="34" t="s">
        <v>212</v>
      </c>
      <c r="C377" s="35" t="s">
        <v>213</v>
      </c>
      <c r="D377" s="36">
        <v>3.0</v>
      </c>
      <c r="E377" s="35" t="s">
        <v>416</v>
      </c>
      <c r="F377" s="36">
        <v>9.0043001E7</v>
      </c>
      <c r="G377" s="37" t="s">
        <v>411</v>
      </c>
      <c r="H377" s="38" t="s">
        <v>19</v>
      </c>
      <c r="I377" s="39">
        <v>2.46098506E8</v>
      </c>
    </row>
    <row r="378">
      <c r="A378" s="33" t="s">
        <v>74</v>
      </c>
      <c r="B378" s="34" t="s">
        <v>212</v>
      </c>
      <c r="C378" s="35" t="s">
        <v>213</v>
      </c>
      <c r="D378" s="36">
        <v>3.0</v>
      </c>
      <c r="E378" s="35" t="s">
        <v>416</v>
      </c>
      <c r="F378" s="36">
        <v>9.0043E7</v>
      </c>
      <c r="G378" s="37" t="s">
        <v>412</v>
      </c>
      <c r="H378" s="38" t="s">
        <v>19</v>
      </c>
      <c r="I378" s="39">
        <v>3.9988738E7</v>
      </c>
    </row>
    <row r="379">
      <c r="A379" s="33" t="s">
        <v>74</v>
      </c>
      <c r="B379" s="34" t="s">
        <v>212</v>
      </c>
      <c r="C379" s="35" t="s">
        <v>213</v>
      </c>
      <c r="D379" s="36">
        <v>3.0</v>
      </c>
      <c r="E379" s="35" t="s">
        <v>416</v>
      </c>
      <c r="F379" s="36">
        <v>5.1100107E7</v>
      </c>
      <c r="G379" s="37" t="s">
        <v>421</v>
      </c>
      <c r="H379" s="38" t="s">
        <v>37</v>
      </c>
      <c r="I379" s="39">
        <v>6288975.0</v>
      </c>
    </row>
    <row r="380">
      <c r="A380" s="33" t="s">
        <v>74</v>
      </c>
      <c r="B380" s="34" t="s">
        <v>220</v>
      </c>
      <c r="C380" s="35" t="s">
        <v>221</v>
      </c>
      <c r="D380" s="36">
        <v>3.0</v>
      </c>
      <c r="E380" s="35" t="s">
        <v>409</v>
      </c>
      <c r="F380" s="36">
        <v>5.1100064E7</v>
      </c>
      <c r="G380" s="37" t="s">
        <v>414</v>
      </c>
      <c r="H380" s="38" t="s">
        <v>37</v>
      </c>
      <c r="I380" s="39">
        <v>4616400.0</v>
      </c>
    </row>
    <row r="381">
      <c r="A381" s="33" t="s">
        <v>74</v>
      </c>
      <c r="B381" s="34" t="s">
        <v>220</v>
      </c>
      <c r="C381" s="35" t="s">
        <v>221</v>
      </c>
      <c r="D381" s="36">
        <v>3.0</v>
      </c>
      <c r="E381" s="35" t="s">
        <v>409</v>
      </c>
      <c r="F381" s="36">
        <v>5.1100064E7</v>
      </c>
      <c r="G381" s="37" t="s">
        <v>414</v>
      </c>
      <c r="H381" s="38" t="s">
        <v>25</v>
      </c>
      <c r="I381" s="39">
        <v>1500.0</v>
      </c>
    </row>
    <row r="382">
      <c r="A382" s="33" t="s">
        <v>74</v>
      </c>
      <c r="B382" s="34" t="s">
        <v>220</v>
      </c>
      <c r="C382" s="35" t="s">
        <v>221</v>
      </c>
      <c r="D382" s="36">
        <v>3.0</v>
      </c>
      <c r="E382" s="35" t="s">
        <v>409</v>
      </c>
      <c r="F382" s="36">
        <v>5.1101056E7</v>
      </c>
      <c r="G382" s="37" t="s">
        <v>426</v>
      </c>
      <c r="H382" s="38" t="s">
        <v>25</v>
      </c>
      <c r="I382" s="39">
        <v>1.7669021E7</v>
      </c>
    </row>
    <row r="383">
      <c r="A383" s="33" t="s">
        <v>74</v>
      </c>
      <c r="B383" s="34" t="s">
        <v>220</v>
      </c>
      <c r="C383" s="35" t="s">
        <v>221</v>
      </c>
      <c r="D383" s="36">
        <v>3.0</v>
      </c>
      <c r="E383" s="35" t="s">
        <v>409</v>
      </c>
      <c r="F383" s="36">
        <v>9.0042077E7</v>
      </c>
      <c r="G383" s="37" t="s">
        <v>410</v>
      </c>
      <c r="H383" s="38" t="s">
        <v>19</v>
      </c>
      <c r="I383" s="39">
        <v>1557215.0</v>
      </c>
    </row>
    <row r="384">
      <c r="A384" s="33" t="s">
        <v>74</v>
      </c>
      <c r="B384" s="34" t="s">
        <v>220</v>
      </c>
      <c r="C384" s="35" t="s">
        <v>221</v>
      </c>
      <c r="D384" s="36">
        <v>3.0</v>
      </c>
      <c r="E384" s="35" t="s">
        <v>409</v>
      </c>
      <c r="F384" s="36">
        <v>9.0043001E7</v>
      </c>
      <c r="G384" s="37" t="s">
        <v>411</v>
      </c>
      <c r="H384" s="38" t="s">
        <v>19</v>
      </c>
      <c r="I384" s="39">
        <v>1.72399128E8</v>
      </c>
    </row>
    <row r="385">
      <c r="A385" s="33" t="s">
        <v>74</v>
      </c>
      <c r="B385" s="34" t="s">
        <v>220</v>
      </c>
      <c r="C385" s="35" t="s">
        <v>221</v>
      </c>
      <c r="D385" s="36">
        <v>3.0</v>
      </c>
      <c r="E385" s="35" t="s">
        <v>409</v>
      </c>
      <c r="F385" s="36">
        <v>9.0043E7</v>
      </c>
      <c r="G385" s="37" t="s">
        <v>412</v>
      </c>
      <c r="H385" s="38" t="s">
        <v>19</v>
      </c>
      <c r="I385" s="39">
        <v>9.1924036E7</v>
      </c>
    </row>
    <row r="386">
      <c r="A386" s="33" t="s">
        <v>74</v>
      </c>
      <c r="B386" s="34" t="s">
        <v>220</v>
      </c>
      <c r="C386" s="35" t="s">
        <v>221</v>
      </c>
      <c r="D386" s="36">
        <v>3.0</v>
      </c>
      <c r="E386" s="35" t="s">
        <v>416</v>
      </c>
      <c r="F386" s="36">
        <v>5.1100064E7</v>
      </c>
      <c r="G386" s="37" t="s">
        <v>414</v>
      </c>
      <c r="H386" s="38" t="s">
        <v>37</v>
      </c>
      <c r="I386" s="39">
        <v>822000.0</v>
      </c>
    </row>
    <row r="387">
      <c r="A387" s="33" t="s">
        <v>74</v>
      </c>
      <c r="B387" s="34" t="s">
        <v>220</v>
      </c>
      <c r="C387" s="35" t="s">
        <v>221</v>
      </c>
      <c r="D387" s="36">
        <v>3.0</v>
      </c>
      <c r="E387" s="35" t="s">
        <v>416</v>
      </c>
      <c r="F387" s="36">
        <v>9.0043001E7</v>
      </c>
      <c r="G387" s="37" t="s">
        <v>411</v>
      </c>
      <c r="H387" s="38" t="s">
        <v>19</v>
      </c>
      <c r="I387" s="39">
        <v>2.65322115E8</v>
      </c>
    </row>
    <row r="388">
      <c r="A388" s="33" t="s">
        <v>74</v>
      </c>
      <c r="B388" s="34" t="s">
        <v>220</v>
      </c>
      <c r="C388" s="35" t="s">
        <v>221</v>
      </c>
      <c r="D388" s="36">
        <v>3.0</v>
      </c>
      <c r="E388" s="35" t="s">
        <v>416</v>
      </c>
      <c r="F388" s="36">
        <v>9.0043E7</v>
      </c>
      <c r="G388" s="37" t="s">
        <v>412</v>
      </c>
      <c r="H388" s="38" t="s">
        <v>19</v>
      </c>
      <c r="I388" s="39">
        <v>1.8500554E7</v>
      </c>
    </row>
    <row r="389">
      <c r="A389" s="33" t="s">
        <v>74</v>
      </c>
      <c r="B389" s="34" t="s">
        <v>231</v>
      </c>
      <c r="C389" s="35" t="s">
        <v>232</v>
      </c>
      <c r="D389" s="36">
        <v>3.0</v>
      </c>
      <c r="E389" s="35" t="s">
        <v>417</v>
      </c>
      <c r="F389" s="36">
        <v>9.0043001E7</v>
      </c>
      <c r="G389" s="37" t="s">
        <v>411</v>
      </c>
      <c r="H389" s="38" t="s">
        <v>19</v>
      </c>
      <c r="I389" s="39">
        <v>1.0320896E7</v>
      </c>
    </row>
    <row r="390">
      <c r="A390" s="33" t="s">
        <v>74</v>
      </c>
      <c r="B390" s="34" t="s">
        <v>231</v>
      </c>
      <c r="C390" s="35" t="s">
        <v>232</v>
      </c>
      <c r="D390" s="36">
        <v>3.0</v>
      </c>
      <c r="E390" s="35" t="s">
        <v>409</v>
      </c>
      <c r="F390" s="36">
        <v>5.1100064E7</v>
      </c>
      <c r="G390" s="37" t="s">
        <v>414</v>
      </c>
      <c r="H390" s="38" t="s">
        <v>37</v>
      </c>
      <c r="I390" s="39">
        <v>761166.0</v>
      </c>
    </row>
    <row r="391">
      <c r="A391" s="33" t="s">
        <v>74</v>
      </c>
      <c r="B391" s="34" t="s">
        <v>231</v>
      </c>
      <c r="C391" s="35" t="s">
        <v>232</v>
      </c>
      <c r="D391" s="36">
        <v>3.0</v>
      </c>
      <c r="E391" s="35" t="s">
        <v>409</v>
      </c>
      <c r="F391" s="36">
        <v>5.1100064E7</v>
      </c>
      <c r="G391" s="37" t="s">
        <v>414</v>
      </c>
      <c r="H391" s="38" t="s">
        <v>25</v>
      </c>
      <c r="I391" s="39">
        <v>360000.0</v>
      </c>
    </row>
    <row r="392">
      <c r="A392" s="33" t="s">
        <v>74</v>
      </c>
      <c r="B392" s="34" t="s">
        <v>231</v>
      </c>
      <c r="C392" s="35" t="s">
        <v>232</v>
      </c>
      <c r="D392" s="36">
        <v>3.0</v>
      </c>
      <c r="E392" s="35" t="s">
        <v>409</v>
      </c>
      <c r="F392" s="36">
        <v>9.0042077E7</v>
      </c>
      <c r="G392" s="37" t="s">
        <v>410</v>
      </c>
      <c r="H392" s="38" t="s">
        <v>19</v>
      </c>
      <c r="I392" s="39">
        <v>2698951.0</v>
      </c>
    </row>
    <row r="393">
      <c r="A393" s="33" t="s">
        <v>74</v>
      </c>
      <c r="B393" s="34" t="s">
        <v>231</v>
      </c>
      <c r="C393" s="35" t="s">
        <v>232</v>
      </c>
      <c r="D393" s="36">
        <v>3.0</v>
      </c>
      <c r="E393" s="35" t="s">
        <v>409</v>
      </c>
      <c r="F393" s="36">
        <v>9.0043001E7</v>
      </c>
      <c r="G393" s="37" t="s">
        <v>411</v>
      </c>
      <c r="H393" s="38" t="s">
        <v>19</v>
      </c>
      <c r="I393" s="39">
        <v>1.09064652E8</v>
      </c>
    </row>
    <row r="394">
      <c r="A394" s="33" t="s">
        <v>74</v>
      </c>
      <c r="B394" s="34" t="s">
        <v>231</v>
      </c>
      <c r="C394" s="35" t="s">
        <v>232</v>
      </c>
      <c r="D394" s="36">
        <v>3.0</v>
      </c>
      <c r="E394" s="35" t="s">
        <v>409</v>
      </c>
      <c r="F394" s="36">
        <v>9.0043E7</v>
      </c>
      <c r="G394" s="37" t="s">
        <v>412</v>
      </c>
      <c r="H394" s="38" t="s">
        <v>19</v>
      </c>
      <c r="I394" s="39">
        <v>3.6251731E7</v>
      </c>
    </row>
    <row r="395">
      <c r="A395" s="33" t="s">
        <v>74</v>
      </c>
      <c r="B395" s="34" t="s">
        <v>231</v>
      </c>
      <c r="C395" s="35" t="s">
        <v>232</v>
      </c>
      <c r="D395" s="36">
        <v>3.0</v>
      </c>
      <c r="E395" s="35" t="s">
        <v>409</v>
      </c>
      <c r="F395" s="36">
        <v>9.0043002E7</v>
      </c>
      <c r="G395" s="37" t="s">
        <v>429</v>
      </c>
      <c r="H395" s="38" t="s">
        <v>50</v>
      </c>
      <c r="I395" s="39">
        <v>1.3912686E7</v>
      </c>
    </row>
    <row r="396">
      <c r="A396" s="33" t="s">
        <v>74</v>
      </c>
      <c r="B396" s="34" t="s">
        <v>231</v>
      </c>
      <c r="C396" s="35" t="s">
        <v>232</v>
      </c>
      <c r="D396" s="36">
        <v>3.0</v>
      </c>
      <c r="E396" s="35" t="s">
        <v>416</v>
      </c>
      <c r="F396" s="36">
        <v>5.1100064E7</v>
      </c>
      <c r="G396" s="37" t="s">
        <v>414</v>
      </c>
      <c r="H396" s="38" t="s">
        <v>25</v>
      </c>
      <c r="I396" s="39">
        <v>-5.0475607E7</v>
      </c>
    </row>
    <row r="397">
      <c r="A397" s="33" t="s">
        <v>74</v>
      </c>
      <c r="B397" s="34" t="s">
        <v>231</v>
      </c>
      <c r="C397" s="35" t="s">
        <v>232</v>
      </c>
      <c r="D397" s="36">
        <v>3.0</v>
      </c>
      <c r="E397" s="35" t="s">
        <v>416</v>
      </c>
      <c r="F397" s="36">
        <v>9.0043001E7</v>
      </c>
      <c r="G397" s="37" t="s">
        <v>411</v>
      </c>
      <c r="H397" s="38" t="s">
        <v>19</v>
      </c>
      <c r="I397" s="39">
        <v>7.7535602E7</v>
      </c>
    </row>
    <row r="398">
      <c r="A398" s="33" t="s">
        <v>74</v>
      </c>
      <c r="B398" s="34" t="s">
        <v>231</v>
      </c>
      <c r="C398" s="35" t="s">
        <v>232</v>
      </c>
      <c r="D398" s="36">
        <v>3.0</v>
      </c>
      <c r="E398" s="35" t="s">
        <v>416</v>
      </c>
      <c r="F398" s="36">
        <v>9.0043E7</v>
      </c>
      <c r="G398" s="37" t="s">
        <v>412</v>
      </c>
      <c r="H398" s="38" t="s">
        <v>19</v>
      </c>
      <c r="I398" s="39">
        <v>5427081.0</v>
      </c>
    </row>
    <row r="399">
      <c r="A399" s="33" t="s">
        <v>74</v>
      </c>
      <c r="B399" s="34" t="s">
        <v>233</v>
      </c>
      <c r="C399" s="35" t="s">
        <v>234</v>
      </c>
      <c r="D399" s="36">
        <v>3.0</v>
      </c>
      <c r="E399" s="35" t="s">
        <v>409</v>
      </c>
      <c r="F399" s="36">
        <v>5.1100064E7</v>
      </c>
      <c r="G399" s="37" t="s">
        <v>414</v>
      </c>
      <c r="H399" s="38" t="s">
        <v>37</v>
      </c>
      <c r="I399" s="39">
        <v>3.1956543E7</v>
      </c>
    </row>
    <row r="400">
      <c r="A400" s="33" t="s">
        <v>74</v>
      </c>
      <c r="B400" s="34" t="s">
        <v>233</v>
      </c>
      <c r="C400" s="35" t="s">
        <v>234</v>
      </c>
      <c r="D400" s="36">
        <v>3.0</v>
      </c>
      <c r="E400" s="35" t="s">
        <v>409</v>
      </c>
      <c r="F400" s="36">
        <v>5.1100064E7</v>
      </c>
      <c r="G400" s="37" t="s">
        <v>414</v>
      </c>
      <c r="H400" s="38" t="s">
        <v>25</v>
      </c>
      <c r="I400" s="39">
        <v>7494500.0</v>
      </c>
    </row>
    <row r="401">
      <c r="A401" s="33" t="s">
        <v>74</v>
      </c>
      <c r="B401" s="34" t="s">
        <v>233</v>
      </c>
      <c r="C401" s="35" t="s">
        <v>234</v>
      </c>
      <c r="D401" s="36">
        <v>3.0</v>
      </c>
      <c r="E401" s="35" t="s">
        <v>409</v>
      </c>
      <c r="F401" s="36">
        <v>5.1101056E7</v>
      </c>
      <c r="G401" s="37" t="s">
        <v>426</v>
      </c>
      <c r="H401" s="38" t="s">
        <v>25</v>
      </c>
      <c r="I401" s="39">
        <v>1.7838085E7</v>
      </c>
    </row>
    <row r="402">
      <c r="A402" s="33" t="s">
        <v>74</v>
      </c>
      <c r="B402" s="34" t="s">
        <v>233</v>
      </c>
      <c r="C402" s="35" t="s">
        <v>234</v>
      </c>
      <c r="D402" s="36">
        <v>3.0</v>
      </c>
      <c r="E402" s="35" t="s">
        <v>409</v>
      </c>
      <c r="F402" s="36">
        <v>9.0042077E7</v>
      </c>
      <c r="G402" s="37" t="s">
        <v>410</v>
      </c>
      <c r="H402" s="38" t="s">
        <v>19</v>
      </c>
      <c r="I402" s="39">
        <v>3.232023E7</v>
      </c>
    </row>
    <row r="403">
      <c r="A403" s="33" t="s">
        <v>74</v>
      </c>
      <c r="B403" s="34" t="s">
        <v>233</v>
      </c>
      <c r="C403" s="35" t="s">
        <v>234</v>
      </c>
      <c r="D403" s="36">
        <v>3.0</v>
      </c>
      <c r="E403" s="35" t="s">
        <v>409</v>
      </c>
      <c r="F403" s="36">
        <v>9.0043001E7</v>
      </c>
      <c r="G403" s="37" t="s">
        <v>411</v>
      </c>
      <c r="H403" s="38" t="s">
        <v>19</v>
      </c>
      <c r="I403" s="39">
        <v>1.79439419E8</v>
      </c>
    </row>
    <row r="404">
      <c r="A404" s="33" t="s">
        <v>74</v>
      </c>
      <c r="B404" s="34" t="s">
        <v>233</v>
      </c>
      <c r="C404" s="35" t="s">
        <v>234</v>
      </c>
      <c r="D404" s="36">
        <v>3.0</v>
      </c>
      <c r="E404" s="35" t="s">
        <v>409</v>
      </c>
      <c r="F404" s="36">
        <v>9.0043E7</v>
      </c>
      <c r="G404" s="37" t="s">
        <v>412</v>
      </c>
      <c r="H404" s="38" t="s">
        <v>19</v>
      </c>
      <c r="I404" s="39">
        <v>1.23804576E8</v>
      </c>
    </row>
    <row r="405">
      <c r="A405" s="33" t="s">
        <v>74</v>
      </c>
      <c r="B405" s="34" t="s">
        <v>233</v>
      </c>
      <c r="C405" s="35" t="s">
        <v>234</v>
      </c>
      <c r="D405" s="36">
        <v>3.0</v>
      </c>
      <c r="E405" s="35" t="s">
        <v>416</v>
      </c>
      <c r="F405" s="36">
        <v>9.0042078E7</v>
      </c>
      <c r="G405" s="37" t="s">
        <v>428</v>
      </c>
      <c r="H405" s="38" t="s">
        <v>19</v>
      </c>
      <c r="I405" s="39">
        <v>150000.0</v>
      </c>
    </row>
    <row r="406">
      <c r="A406" s="33" t="s">
        <v>74</v>
      </c>
      <c r="B406" s="34" t="s">
        <v>233</v>
      </c>
      <c r="C406" s="35" t="s">
        <v>234</v>
      </c>
      <c r="D406" s="36">
        <v>3.0</v>
      </c>
      <c r="E406" s="35" t="s">
        <v>416</v>
      </c>
      <c r="F406" s="36">
        <v>9.0042079E7</v>
      </c>
      <c r="G406" s="37" t="s">
        <v>422</v>
      </c>
      <c r="H406" s="38" t="s">
        <v>19</v>
      </c>
      <c r="I406" s="39">
        <v>140000.0</v>
      </c>
    </row>
    <row r="407">
      <c r="A407" s="33" t="s">
        <v>74</v>
      </c>
      <c r="B407" s="34" t="s">
        <v>233</v>
      </c>
      <c r="C407" s="35" t="s">
        <v>234</v>
      </c>
      <c r="D407" s="36">
        <v>3.0</v>
      </c>
      <c r="E407" s="35" t="s">
        <v>416</v>
      </c>
      <c r="F407" s="36">
        <v>9.0043E7</v>
      </c>
      <c r="G407" s="37" t="s">
        <v>412</v>
      </c>
      <c r="H407" s="38" t="s">
        <v>19</v>
      </c>
      <c r="I407" s="39">
        <v>2.0634096E7</v>
      </c>
    </row>
    <row r="408">
      <c r="A408" s="33" t="s">
        <v>74</v>
      </c>
      <c r="B408" s="34" t="s">
        <v>244</v>
      </c>
      <c r="C408" s="35" t="s">
        <v>245</v>
      </c>
      <c r="D408" s="36">
        <v>3.0</v>
      </c>
      <c r="E408" s="35" t="s">
        <v>409</v>
      </c>
      <c r="F408" s="36">
        <v>5.1100064E7</v>
      </c>
      <c r="G408" s="37" t="s">
        <v>414</v>
      </c>
      <c r="H408" s="38" t="s">
        <v>37</v>
      </c>
      <c r="I408" s="39">
        <v>592251.0</v>
      </c>
    </row>
    <row r="409">
      <c r="A409" s="33" t="s">
        <v>74</v>
      </c>
      <c r="B409" s="34" t="s">
        <v>244</v>
      </c>
      <c r="C409" s="35" t="s">
        <v>245</v>
      </c>
      <c r="D409" s="36">
        <v>3.0</v>
      </c>
      <c r="E409" s="35" t="s">
        <v>409</v>
      </c>
      <c r="F409" s="36">
        <v>9.0042077E7</v>
      </c>
      <c r="G409" s="37" t="s">
        <v>410</v>
      </c>
      <c r="H409" s="38" t="s">
        <v>19</v>
      </c>
      <c r="I409" s="39">
        <v>1.4629329E7</v>
      </c>
    </row>
    <row r="410">
      <c r="A410" s="33" t="s">
        <v>74</v>
      </c>
      <c r="B410" s="34" t="s">
        <v>244</v>
      </c>
      <c r="C410" s="35" t="s">
        <v>245</v>
      </c>
      <c r="D410" s="36">
        <v>3.0</v>
      </c>
      <c r="E410" s="35" t="s">
        <v>409</v>
      </c>
      <c r="F410" s="36">
        <v>9.0043001E7</v>
      </c>
      <c r="G410" s="37" t="s">
        <v>411</v>
      </c>
      <c r="H410" s="38" t="s">
        <v>19</v>
      </c>
      <c r="I410" s="39">
        <v>4.62890251E8</v>
      </c>
    </row>
    <row r="411">
      <c r="A411" s="33" t="s">
        <v>74</v>
      </c>
      <c r="B411" s="34" t="s">
        <v>244</v>
      </c>
      <c r="C411" s="35" t="s">
        <v>245</v>
      </c>
      <c r="D411" s="36">
        <v>3.0</v>
      </c>
      <c r="E411" s="35" t="s">
        <v>409</v>
      </c>
      <c r="F411" s="36">
        <v>9.0043E7</v>
      </c>
      <c r="G411" s="37" t="s">
        <v>412</v>
      </c>
      <c r="H411" s="38" t="s">
        <v>19</v>
      </c>
      <c r="I411" s="39">
        <v>1.25288957E8</v>
      </c>
    </row>
    <row r="412">
      <c r="A412" s="33" t="s">
        <v>74</v>
      </c>
      <c r="B412" s="34" t="s">
        <v>244</v>
      </c>
      <c r="C412" s="35" t="s">
        <v>245</v>
      </c>
      <c r="D412" s="36">
        <v>3.0</v>
      </c>
      <c r="E412" s="35" t="s">
        <v>409</v>
      </c>
      <c r="F412" s="36">
        <v>5.1100062E7</v>
      </c>
      <c r="G412" s="37" t="s">
        <v>423</v>
      </c>
      <c r="H412" s="38" t="s">
        <v>37</v>
      </c>
      <c r="I412" s="39">
        <v>597500.0</v>
      </c>
    </row>
    <row r="413">
      <c r="A413" s="33" t="s">
        <v>74</v>
      </c>
      <c r="B413" s="34" t="s">
        <v>244</v>
      </c>
      <c r="C413" s="35" t="s">
        <v>245</v>
      </c>
      <c r="D413" s="36">
        <v>3.0</v>
      </c>
      <c r="E413" s="35" t="s">
        <v>416</v>
      </c>
      <c r="F413" s="36">
        <v>9.004208E7</v>
      </c>
      <c r="G413" s="37" t="s">
        <v>419</v>
      </c>
      <c r="H413" s="38" t="s">
        <v>25</v>
      </c>
      <c r="I413" s="39">
        <v>225000.0</v>
      </c>
    </row>
    <row r="414">
      <c r="A414" s="33" t="s">
        <v>74</v>
      </c>
      <c r="B414" s="34" t="s">
        <v>244</v>
      </c>
      <c r="C414" s="35" t="s">
        <v>245</v>
      </c>
      <c r="D414" s="36">
        <v>3.0</v>
      </c>
      <c r="E414" s="35" t="s">
        <v>416</v>
      </c>
      <c r="F414" s="36">
        <v>9.0043001E7</v>
      </c>
      <c r="G414" s="37" t="s">
        <v>411</v>
      </c>
      <c r="H414" s="38" t="s">
        <v>19</v>
      </c>
      <c r="I414" s="39">
        <v>3.40520485E8</v>
      </c>
    </row>
    <row r="415">
      <c r="A415" s="33" t="s">
        <v>74</v>
      </c>
      <c r="B415" s="34" t="s">
        <v>244</v>
      </c>
      <c r="C415" s="35" t="s">
        <v>245</v>
      </c>
      <c r="D415" s="36">
        <v>3.0</v>
      </c>
      <c r="E415" s="35" t="s">
        <v>416</v>
      </c>
      <c r="F415" s="36">
        <v>9.0043E7</v>
      </c>
      <c r="G415" s="37" t="s">
        <v>412</v>
      </c>
      <c r="H415" s="38" t="s">
        <v>19</v>
      </c>
      <c r="I415" s="39">
        <v>1.04546539E8</v>
      </c>
    </row>
    <row r="416">
      <c r="A416" s="33" t="s">
        <v>74</v>
      </c>
      <c r="B416" s="34" t="s">
        <v>254</v>
      </c>
      <c r="C416" s="35" t="s">
        <v>255</v>
      </c>
      <c r="D416" s="36">
        <v>3.0</v>
      </c>
      <c r="E416" s="35" t="s">
        <v>409</v>
      </c>
      <c r="F416" s="36">
        <v>9.0042077E7</v>
      </c>
      <c r="G416" s="37" t="s">
        <v>410</v>
      </c>
      <c r="H416" s="38" t="s">
        <v>19</v>
      </c>
      <c r="I416" s="39">
        <v>2919560.0</v>
      </c>
    </row>
    <row r="417">
      <c r="A417" s="33" t="s">
        <v>74</v>
      </c>
      <c r="B417" s="34" t="s">
        <v>254</v>
      </c>
      <c r="C417" s="35" t="s">
        <v>255</v>
      </c>
      <c r="D417" s="36">
        <v>3.0</v>
      </c>
      <c r="E417" s="35" t="s">
        <v>409</v>
      </c>
      <c r="F417" s="36">
        <v>9.0043001E7</v>
      </c>
      <c r="G417" s="37" t="s">
        <v>411</v>
      </c>
      <c r="H417" s="38" t="s">
        <v>19</v>
      </c>
      <c r="I417" s="39">
        <v>2.44409616E8</v>
      </c>
    </row>
    <row r="418">
      <c r="A418" s="33" t="s">
        <v>74</v>
      </c>
      <c r="B418" s="34" t="s">
        <v>254</v>
      </c>
      <c r="C418" s="35" t="s">
        <v>255</v>
      </c>
      <c r="D418" s="36">
        <v>3.0</v>
      </c>
      <c r="E418" s="35" t="s">
        <v>409</v>
      </c>
      <c r="F418" s="36">
        <v>9.0043E7</v>
      </c>
      <c r="G418" s="37" t="s">
        <v>412</v>
      </c>
      <c r="H418" s="38" t="s">
        <v>19</v>
      </c>
      <c r="I418" s="39">
        <v>5.7705663E7</v>
      </c>
    </row>
    <row r="419">
      <c r="A419" s="33" t="s">
        <v>74</v>
      </c>
      <c r="B419" s="34" t="s">
        <v>254</v>
      </c>
      <c r="C419" s="35" t="s">
        <v>255</v>
      </c>
      <c r="D419" s="36">
        <v>3.0</v>
      </c>
      <c r="E419" s="35" t="s">
        <v>416</v>
      </c>
      <c r="F419" s="36">
        <v>9.0043001E7</v>
      </c>
      <c r="G419" s="37" t="s">
        <v>411</v>
      </c>
      <c r="H419" s="38" t="s">
        <v>19</v>
      </c>
      <c r="I419" s="39">
        <v>2.55557764E8</v>
      </c>
    </row>
    <row r="420">
      <c r="A420" s="33" t="s">
        <v>74</v>
      </c>
      <c r="B420" s="34" t="s">
        <v>254</v>
      </c>
      <c r="C420" s="35" t="s">
        <v>255</v>
      </c>
      <c r="D420" s="36">
        <v>3.0</v>
      </c>
      <c r="E420" s="35" t="s">
        <v>416</v>
      </c>
      <c r="F420" s="36">
        <v>9.0043E7</v>
      </c>
      <c r="G420" s="37" t="s">
        <v>412</v>
      </c>
      <c r="H420" s="38" t="s">
        <v>19</v>
      </c>
      <c r="I420" s="39">
        <v>7.4202127E7</v>
      </c>
    </row>
    <row r="421">
      <c r="A421" s="33" t="s">
        <v>74</v>
      </c>
      <c r="B421" s="34" t="s">
        <v>254</v>
      </c>
      <c r="C421" s="35" t="s">
        <v>255</v>
      </c>
      <c r="D421" s="36">
        <v>3.0</v>
      </c>
      <c r="E421" s="35" t="s">
        <v>416</v>
      </c>
      <c r="F421" s="36">
        <v>5.1100402E7</v>
      </c>
      <c r="G421" s="37" t="s">
        <v>413</v>
      </c>
      <c r="H421" s="38" t="s">
        <v>19</v>
      </c>
      <c r="I421" s="39">
        <v>3261000.0</v>
      </c>
    </row>
    <row r="422">
      <c r="A422" s="33" t="s">
        <v>74</v>
      </c>
      <c r="B422" s="34" t="s">
        <v>259</v>
      </c>
      <c r="C422" s="35" t="s">
        <v>260</v>
      </c>
      <c r="D422" s="36">
        <v>3.0</v>
      </c>
      <c r="E422" s="35" t="s">
        <v>409</v>
      </c>
      <c r="F422" s="36">
        <v>5.1100064E7</v>
      </c>
      <c r="G422" s="37" t="s">
        <v>414</v>
      </c>
      <c r="H422" s="38" t="s">
        <v>37</v>
      </c>
      <c r="I422" s="39">
        <v>2500000.0</v>
      </c>
    </row>
    <row r="423">
      <c r="A423" s="33" t="s">
        <v>74</v>
      </c>
      <c r="B423" s="34" t="s">
        <v>259</v>
      </c>
      <c r="C423" s="35" t="s">
        <v>260</v>
      </c>
      <c r="D423" s="36">
        <v>3.0</v>
      </c>
      <c r="E423" s="35" t="s">
        <v>409</v>
      </c>
      <c r="F423" s="36">
        <v>5.1100064E7</v>
      </c>
      <c r="G423" s="37" t="s">
        <v>414</v>
      </c>
      <c r="H423" s="38" t="s">
        <v>25</v>
      </c>
      <c r="I423" s="39">
        <v>2015000.0</v>
      </c>
    </row>
    <row r="424">
      <c r="A424" s="33" t="s">
        <v>74</v>
      </c>
      <c r="B424" s="34" t="s">
        <v>259</v>
      </c>
      <c r="C424" s="35" t="s">
        <v>260</v>
      </c>
      <c r="D424" s="36">
        <v>3.0</v>
      </c>
      <c r="E424" s="35" t="s">
        <v>409</v>
      </c>
      <c r="F424" s="36">
        <v>9.0042077E7</v>
      </c>
      <c r="G424" s="37" t="s">
        <v>410</v>
      </c>
      <c r="H424" s="38" t="s">
        <v>19</v>
      </c>
      <c r="I424" s="39">
        <v>4859957.0</v>
      </c>
    </row>
    <row r="425">
      <c r="A425" s="33" t="s">
        <v>74</v>
      </c>
      <c r="B425" s="34" t="s">
        <v>259</v>
      </c>
      <c r="C425" s="35" t="s">
        <v>260</v>
      </c>
      <c r="D425" s="36">
        <v>3.0</v>
      </c>
      <c r="E425" s="35" t="s">
        <v>409</v>
      </c>
      <c r="F425" s="36">
        <v>9.0043001E7</v>
      </c>
      <c r="G425" s="37" t="s">
        <v>411</v>
      </c>
      <c r="H425" s="38" t="s">
        <v>19</v>
      </c>
      <c r="I425" s="39">
        <v>2.44533379E8</v>
      </c>
    </row>
    <row r="426">
      <c r="A426" s="33" t="s">
        <v>74</v>
      </c>
      <c r="B426" s="34" t="s">
        <v>259</v>
      </c>
      <c r="C426" s="35" t="s">
        <v>260</v>
      </c>
      <c r="D426" s="36">
        <v>3.0</v>
      </c>
      <c r="E426" s="35" t="s">
        <v>409</v>
      </c>
      <c r="F426" s="36">
        <v>9.0043E7</v>
      </c>
      <c r="G426" s="37" t="s">
        <v>412</v>
      </c>
      <c r="H426" s="38" t="s">
        <v>19</v>
      </c>
      <c r="I426" s="39">
        <v>4.726818E7</v>
      </c>
    </row>
    <row r="427">
      <c r="A427" s="33" t="s">
        <v>74</v>
      </c>
      <c r="B427" s="34" t="s">
        <v>259</v>
      </c>
      <c r="C427" s="35" t="s">
        <v>260</v>
      </c>
      <c r="D427" s="36">
        <v>3.0</v>
      </c>
      <c r="E427" s="35" t="s">
        <v>409</v>
      </c>
      <c r="F427" s="36">
        <v>5.1100062E7</v>
      </c>
      <c r="G427" s="37" t="s">
        <v>423</v>
      </c>
      <c r="H427" s="38" t="s">
        <v>37</v>
      </c>
      <c r="I427" s="39">
        <v>358500.0</v>
      </c>
    </row>
    <row r="428">
      <c r="A428" s="33" t="s">
        <v>74</v>
      </c>
      <c r="B428" s="34" t="s">
        <v>259</v>
      </c>
      <c r="C428" s="35" t="s">
        <v>260</v>
      </c>
      <c r="D428" s="36">
        <v>3.0</v>
      </c>
      <c r="E428" s="35" t="s">
        <v>416</v>
      </c>
      <c r="F428" s="36">
        <v>9.0042079E7</v>
      </c>
      <c r="G428" s="37" t="s">
        <v>422</v>
      </c>
      <c r="H428" s="38" t="s">
        <v>19</v>
      </c>
      <c r="I428" s="39">
        <v>105000.0</v>
      </c>
    </row>
    <row r="429">
      <c r="A429" s="33" t="s">
        <v>74</v>
      </c>
      <c r="B429" s="34" t="s">
        <v>259</v>
      </c>
      <c r="C429" s="35" t="s">
        <v>260</v>
      </c>
      <c r="D429" s="36">
        <v>3.0</v>
      </c>
      <c r="E429" s="35" t="s">
        <v>416</v>
      </c>
      <c r="F429" s="36">
        <v>9.0043001E7</v>
      </c>
      <c r="G429" s="37" t="s">
        <v>411</v>
      </c>
      <c r="H429" s="38" t="s">
        <v>19</v>
      </c>
      <c r="I429" s="39">
        <v>1.8786649E8</v>
      </c>
    </row>
    <row r="430">
      <c r="A430" s="33" t="s">
        <v>74</v>
      </c>
      <c r="B430" s="34" t="s">
        <v>259</v>
      </c>
      <c r="C430" s="35" t="s">
        <v>260</v>
      </c>
      <c r="D430" s="36">
        <v>3.0</v>
      </c>
      <c r="E430" s="35" t="s">
        <v>416</v>
      </c>
      <c r="F430" s="36">
        <v>9.0043E7</v>
      </c>
      <c r="G430" s="37" t="s">
        <v>412</v>
      </c>
      <c r="H430" s="38" t="s">
        <v>19</v>
      </c>
      <c r="I430" s="39">
        <v>2.2918114E7</v>
      </c>
    </row>
    <row r="431">
      <c r="A431" s="33" t="s">
        <v>74</v>
      </c>
      <c r="B431" s="34" t="s">
        <v>66</v>
      </c>
      <c r="C431" s="35" t="s">
        <v>67</v>
      </c>
      <c r="D431" s="36">
        <v>3.0</v>
      </c>
      <c r="E431" s="35" t="s">
        <v>417</v>
      </c>
      <c r="F431" s="36">
        <v>9.0043001E7</v>
      </c>
      <c r="G431" s="37" t="s">
        <v>411</v>
      </c>
      <c r="H431" s="38" t="s">
        <v>19</v>
      </c>
      <c r="I431" s="39">
        <v>1.7515248E7</v>
      </c>
    </row>
    <row r="432">
      <c r="A432" s="33" t="s">
        <v>74</v>
      </c>
      <c r="B432" s="34" t="s">
        <v>66</v>
      </c>
      <c r="C432" s="35" t="s">
        <v>67</v>
      </c>
      <c r="D432" s="36">
        <v>3.0</v>
      </c>
      <c r="E432" s="35" t="s">
        <v>409</v>
      </c>
      <c r="F432" s="36">
        <v>5.1100064E7</v>
      </c>
      <c r="G432" s="37" t="s">
        <v>414</v>
      </c>
      <c r="H432" s="38" t="s">
        <v>37</v>
      </c>
      <c r="I432" s="39">
        <v>3731333.0</v>
      </c>
    </row>
    <row r="433">
      <c r="A433" s="33" t="s">
        <v>74</v>
      </c>
      <c r="B433" s="34" t="s">
        <v>66</v>
      </c>
      <c r="C433" s="35" t="s">
        <v>67</v>
      </c>
      <c r="D433" s="36">
        <v>3.0</v>
      </c>
      <c r="E433" s="35" t="s">
        <v>409</v>
      </c>
      <c r="F433" s="36">
        <v>5.1100064E7</v>
      </c>
      <c r="G433" s="37" t="s">
        <v>414</v>
      </c>
      <c r="H433" s="38" t="s">
        <v>25</v>
      </c>
      <c r="I433" s="39">
        <v>4450000.0</v>
      </c>
    </row>
    <row r="434">
      <c r="A434" s="33" t="s">
        <v>74</v>
      </c>
      <c r="B434" s="34" t="s">
        <v>66</v>
      </c>
      <c r="C434" s="35" t="s">
        <v>67</v>
      </c>
      <c r="D434" s="36">
        <v>3.0</v>
      </c>
      <c r="E434" s="35" t="s">
        <v>409</v>
      </c>
      <c r="F434" s="36">
        <v>9.0042077E7</v>
      </c>
      <c r="G434" s="37" t="s">
        <v>410</v>
      </c>
      <c r="H434" s="38" t="s">
        <v>19</v>
      </c>
      <c r="I434" s="39">
        <v>1.321161E7</v>
      </c>
    </row>
    <row r="435">
      <c r="A435" s="33" t="s">
        <v>74</v>
      </c>
      <c r="B435" s="34" t="s">
        <v>66</v>
      </c>
      <c r="C435" s="35" t="s">
        <v>67</v>
      </c>
      <c r="D435" s="36">
        <v>3.0</v>
      </c>
      <c r="E435" s="35" t="s">
        <v>409</v>
      </c>
      <c r="F435" s="36">
        <v>9.0043001E7</v>
      </c>
      <c r="G435" s="37" t="s">
        <v>411</v>
      </c>
      <c r="H435" s="38" t="s">
        <v>19</v>
      </c>
      <c r="I435" s="39">
        <v>4.1219858E8</v>
      </c>
    </row>
    <row r="436">
      <c r="A436" s="33" t="s">
        <v>74</v>
      </c>
      <c r="B436" s="34" t="s">
        <v>66</v>
      </c>
      <c r="C436" s="35" t="s">
        <v>67</v>
      </c>
      <c r="D436" s="36">
        <v>3.0</v>
      </c>
      <c r="E436" s="35" t="s">
        <v>409</v>
      </c>
      <c r="F436" s="36">
        <v>9.0043E7</v>
      </c>
      <c r="G436" s="37" t="s">
        <v>412</v>
      </c>
      <c r="H436" s="38" t="s">
        <v>19</v>
      </c>
      <c r="I436" s="39">
        <v>7.8429711E7</v>
      </c>
    </row>
    <row r="437">
      <c r="A437" s="33" t="s">
        <v>74</v>
      </c>
      <c r="B437" s="34" t="s">
        <v>66</v>
      </c>
      <c r="C437" s="35" t="s">
        <v>67</v>
      </c>
      <c r="D437" s="36">
        <v>3.0</v>
      </c>
      <c r="E437" s="35" t="s">
        <v>416</v>
      </c>
      <c r="F437" s="36">
        <v>5.1100064E7</v>
      </c>
      <c r="G437" s="37" t="s">
        <v>414</v>
      </c>
      <c r="H437" s="38" t="s">
        <v>25</v>
      </c>
      <c r="I437" s="39">
        <v>1607015.0</v>
      </c>
    </row>
    <row r="438">
      <c r="A438" s="33" t="s">
        <v>74</v>
      </c>
      <c r="B438" s="34" t="s">
        <v>66</v>
      </c>
      <c r="C438" s="35" t="s">
        <v>67</v>
      </c>
      <c r="D438" s="36">
        <v>3.0</v>
      </c>
      <c r="E438" s="35" t="s">
        <v>416</v>
      </c>
      <c r="F438" s="36">
        <v>9.0042078E7</v>
      </c>
      <c r="G438" s="37" t="s">
        <v>428</v>
      </c>
      <c r="H438" s="38" t="s">
        <v>19</v>
      </c>
      <c r="I438" s="39">
        <v>315000.0</v>
      </c>
    </row>
    <row r="439">
      <c r="A439" s="33" t="s">
        <v>74</v>
      </c>
      <c r="B439" s="34" t="s">
        <v>66</v>
      </c>
      <c r="C439" s="35" t="s">
        <v>67</v>
      </c>
      <c r="D439" s="36">
        <v>3.0</v>
      </c>
      <c r="E439" s="35" t="s">
        <v>416</v>
      </c>
      <c r="F439" s="36">
        <v>9.004208E7</v>
      </c>
      <c r="G439" s="37" t="s">
        <v>419</v>
      </c>
      <c r="H439" s="38" t="s">
        <v>25</v>
      </c>
      <c r="I439" s="39">
        <v>1992030.0</v>
      </c>
    </row>
    <row r="440">
      <c r="A440" s="33" t="s">
        <v>74</v>
      </c>
      <c r="B440" s="34" t="s">
        <v>66</v>
      </c>
      <c r="C440" s="35" t="s">
        <v>67</v>
      </c>
      <c r="D440" s="36">
        <v>3.0</v>
      </c>
      <c r="E440" s="35" t="s">
        <v>416</v>
      </c>
      <c r="F440" s="36">
        <v>9.0043001E7</v>
      </c>
      <c r="G440" s="37" t="s">
        <v>411</v>
      </c>
      <c r="H440" s="38" t="s">
        <v>19</v>
      </c>
      <c r="I440" s="39">
        <v>3.20370284E8</v>
      </c>
    </row>
    <row r="441">
      <c r="A441" s="33" t="s">
        <v>74</v>
      </c>
      <c r="B441" s="34" t="s">
        <v>66</v>
      </c>
      <c r="C441" s="35" t="s">
        <v>67</v>
      </c>
      <c r="D441" s="36">
        <v>3.0</v>
      </c>
      <c r="E441" s="35" t="s">
        <v>416</v>
      </c>
      <c r="F441" s="36">
        <v>9.0043E7</v>
      </c>
      <c r="G441" s="37" t="s">
        <v>412</v>
      </c>
      <c r="H441" s="38" t="s">
        <v>19</v>
      </c>
      <c r="I441" s="39">
        <v>6.9618192E7</v>
      </c>
    </row>
    <row r="442">
      <c r="A442" s="33" t="s">
        <v>11</v>
      </c>
      <c r="B442" s="34" t="s">
        <v>12</v>
      </c>
      <c r="C442" s="35" t="s">
        <v>13</v>
      </c>
      <c r="D442" s="36">
        <v>4.0</v>
      </c>
      <c r="E442" s="35" t="s">
        <v>409</v>
      </c>
      <c r="F442" s="36">
        <v>9.0042077E7</v>
      </c>
      <c r="G442" s="37" t="s">
        <v>410</v>
      </c>
      <c r="H442" s="38" t="s">
        <v>19</v>
      </c>
      <c r="I442" s="39">
        <v>2435000.0</v>
      </c>
    </row>
    <row r="443">
      <c r="A443" s="33" t="s">
        <v>11</v>
      </c>
      <c r="B443" s="34" t="s">
        <v>12</v>
      </c>
      <c r="C443" s="35" t="s">
        <v>13</v>
      </c>
      <c r="D443" s="36">
        <v>4.0</v>
      </c>
      <c r="E443" s="35" t="s">
        <v>409</v>
      </c>
      <c r="F443" s="36">
        <v>9.0043001E7</v>
      </c>
      <c r="G443" s="37" t="s">
        <v>411</v>
      </c>
      <c r="H443" s="38" t="s">
        <v>19</v>
      </c>
      <c r="I443" s="39">
        <v>1.6612609E7</v>
      </c>
    </row>
    <row r="444">
      <c r="A444" s="33" t="s">
        <v>11</v>
      </c>
      <c r="B444" s="34" t="s">
        <v>12</v>
      </c>
      <c r="C444" s="35" t="s">
        <v>13</v>
      </c>
      <c r="D444" s="36">
        <v>4.0</v>
      </c>
      <c r="E444" s="35" t="s">
        <v>409</v>
      </c>
      <c r="F444" s="36">
        <v>9.0043E7</v>
      </c>
      <c r="G444" s="37" t="s">
        <v>412</v>
      </c>
      <c r="H444" s="38" t="s">
        <v>19</v>
      </c>
      <c r="I444" s="39">
        <v>1.730765E7</v>
      </c>
    </row>
    <row r="445">
      <c r="A445" s="33" t="s">
        <v>11</v>
      </c>
      <c r="B445" s="34" t="s">
        <v>12</v>
      </c>
      <c r="C445" s="35" t="s">
        <v>13</v>
      </c>
      <c r="D445" s="36">
        <v>4.0</v>
      </c>
      <c r="E445" s="35" t="s">
        <v>409</v>
      </c>
      <c r="F445" s="36">
        <v>5.1100402E7</v>
      </c>
      <c r="G445" s="37" t="s">
        <v>413</v>
      </c>
      <c r="H445" s="38" t="s">
        <v>19</v>
      </c>
      <c r="I445" s="39">
        <v>900000.0</v>
      </c>
    </row>
    <row r="446">
      <c r="A446" s="33" t="s">
        <v>11</v>
      </c>
      <c r="B446" s="34" t="s">
        <v>32</v>
      </c>
      <c r="C446" s="35" t="s">
        <v>33</v>
      </c>
      <c r="D446" s="36">
        <v>4.0</v>
      </c>
      <c r="E446" s="35" t="s">
        <v>409</v>
      </c>
      <c r="F446" s="36">
        <v>5.1100064E7</v>
      </c>
      <c r="G446" s="37" t="s">
        <v>414</v>
      </c>
      <c r="H446" s="38" t="s">
        <v>37</v>
      </c>
      <c r="I446" s="39">
        <v>3191341.0</v>
      </c>
    </row>
    <row r="447">
      <c r="A447" s="33" t="s">
        <v>11</v>
      </c>
      <c r="B447" s="34" t="s">
        <v>32</v>
      </c>
      <c r="C447" s="35" t="s">
        <v>33</v>
      </c>
      <c r="D447" s="36">
        <v>4.0</v>
      </c>
      <c r="E447" s="35" t="s">
        <v>409</v>
      </c>
      <c r="F447" s="36">
        <v>5.1100064E7</v>
      </c>
      <c r="G447" s="37" t="s">
        <v>414</v>
      </c>
      <c r="H447" s="38" t="s">
        <v>25</v>
      </c>
      <c r="I447" s="39">
        <v>600000.0</v>
      </c>
    </row>
    <row r="448">
      <c r="A448" s="33" t="s">
        <v>11</v>
      </c>
      <c r="B448" s="34" t="s">
        <v>32</v>
      </c>
      <c r="C448" s="35" t="s">
        <v>33</v>
      </c>
      <c r="D448" s="36">
        <v>4.0</v>
      </c>
      <c r="E448" s="35" t="s">
        <v>409</v>
      </c>
      <c r="F448" s="36">
        <v>5.1100441E7</v>
      </c>
      <c r="G448" s="37" t="s">
        <v>415</v>
      </c>
      <c r="H448" s="38" t="s">
        <v>19</v>
      </c>
      <c r="I448" s="39">
        <v>751680.0</v>
      </c>
    </row>
    <row r="449">
      <c r="A449" s="33" t="s">
        <v>11</v>
      </c>
      <c r="B449" s="34" t="s">
        <v>32</v>
      </c>
      <c r="C449" s="35" t="s">
        <v>33</v>
      </c>
      <c r="D449" s="36">
        <v>4.0</v>
      </c>
      <c r="E449" s="35" t="s">
        <v>409</v>
      </c>
      <c r="F449" s="36">
        <v>5.1100442E7</v>
      </c>
      <c r="G449" s="37" t="s">
        <v>415</v>
      </c>
      <c r="H449" s="38" t="s">
        <v>19</v>
      </c>
      <c r="I449" s="39">
        <v>417600.0</v>
      </c>
    </row>
    <row r="450">
      <c r="A450" s="33" t="s">
        <v>11</v>
      </c>
      <c r="B450" s="34" t="s">
        <v>32</v>
      </c>
      <c r="C450" s="35" t="s">
        <v>33</v>
      </c>
      <c r="D450" s="36">
        <v>4.0</v>
      </c>
      <c r="E450" s="35" t="s">
        <v>409</v>
      </c>
      <c r="F450" s="36">
        <v>9.0042077E7</v>
      </c>
      <c r="G450" s="37" t="s">
        <v>410</v>
      </c>
      <c r="H450" s="38" t="s">
        <v>19</v>
      </c>
      <c r="I450" s="39">
        <v>2.0232782E7</v>
      </c>
    </row>
    <row r="451">
      <c r="A451" s="33" t="s">
        <v>11</v>
      </c>
      <c r="B451" s="34" t="s">
        <v>32</v>
      </c>
      <c r="C451" s="35" t="s">
        <v>33</v>
      </c>
      <c r="D451" s="36">
        <v>4.0</v>
      </c>
      <c r="E451" s="35" t="s">
        <v>409</v>
      </c>
      <c r="F451" s="36">
        <v>9.0043001E7</v>
      </c>
      <c r="G451" s="37" t="s">
        <v>411</v>
      </c>
      <c r="H451" s="38" t="s">
        <v>19</v>
      </c>
      <c r="I451" s="39">
        <v>1.3950059E7</v>
      </c>
    </row>
    <row r="452">
      <c r="A452" s="33" t="s">
        <v>11</v>
      </c>
      <c r="B452" s="34" t="s">
        <v>32</v>
      </c>
      <c r="C452" s="35" t="s">
        <v>33</v>
      </c>
      <c r="D452" s="36">
        <v>4.0</v>
      </c>
      <c r="E452" s="35" t="s">
        <v>409</v>
      </c>
      <c r="F452" s="36">
        <v>9.0043E7</v>
      </c>
      <c r="G452" s="37" t="s">
        <v>412</v>
      </c>
      <c r="H452" s="38" t="s">
        <v>19</v>
      </c>
      <c r="I452" s="39">
        <v>1.0046208E8</v>
      </c>
    </row>
    <row r="453">
      <c r="A453" s="33" t="s">
        <v>11</v>
      </c>
      <c r="B453" s="34" t="s">
        <v>32</v>
      </c>
      <c r="C453" s="35" t="s">
        <v>33</v>
      </c>
      <c r="D453" s="36">
        <v>4.0</v>
      </c>
      <c r="E453" s="35" t="s">
        <v>416</v>
      </c>
      <c r="F453" s="36">
        <v>5.1100064E7</v>
      </c>
      <c r="G453" s="37" t="s">
        <v>414</v>
      </c>
      <c r="H453" s="38" t="s">
        <v>25</v>
      </c>
      <c r="I453" s="39">
        <v>1200000.0</v>
      </c>
    </row>
    <row r="454">
      <c r="A454" s="33" t="s">
        <v>11</v>
      </c>
      <c r="B454" s="34" t="s">
        <v>32</v>
      </c>
      <c r="C454" s="35" t="s">
        <v>33</v>
      </c>
      <c r="D454" s="36">
        <v>4.0</v>
      </c>
      <c r="E454" s="35" t="s">
        <v>416</v>
      </c>
      <c r="F454" s="36">
        <v>9.0043E7</v>
      </c>
      <c r="G454" s="37" t="s">
        <v>412</v>
      </c>
      <c r="H454" s="38" t="s">
        <v>19</v>
      </c>
      <c r="I454" s="39">
        <v>2.50713E7</v>
      </c>
    </row>
    <row r="455">
      <c r="A455" s="33" t="s">
        <v>74</v>
      </c>
      <c r="B455" s="34" t="s">
        <v>75</v>
      </c>
      <c r="C455" s="35" t="s">
        <v>76</v>
      </c>
      <c r="D455" s="36">
        <v>4.0</v>
      </c>
      <c r="E455" s="35" t="s">
        <v>417</v>
      </c>
      <c r="F455" s="36">
        <v>9.0042084E7</v>
      </c>
      <c r="G455" s="37" t="s">
        <v>418</v>
      </c>
      <c r="H455" s="38" t="s">
        <v>19</v>
      </c>
      <c r="I455" s="39">
        <v>4163505.0</v>
      </c>
    </row>
    <row r="456">
      <c r="A456" s="33" t="s">
        <v>74</v>
      </c>
      <c r="B456" s="34" t="s">
        <v>75</v>
      </c>
      <c r="C456" s="35" t="s">
        <v>76</v>
      </c>
      <c r="D456" s="36">
        <v>4.0</v>
      </c>
      <c r="E456" s="35" t="s">
        <v>417</v>
      </c>
      <c r="F456" s="36">
        <v>9.0043001E7</v>
      </c>
      <c r="G456" s="37" t="s">
        <v>411</v>
      </c>
      <c r="H456" s="38" t="s">
        <v>19</v>
      </c>
      <c r="I456" s="39">
        <v>1.920915E7</v>
      </c>
    </row>
    <row r="457">
      <c r="A457" s="33" t="s">
        <v>74</v>
      </c>
      <c r="B457" s="34" t="s">
        <v>75</v>
      </c>
      <c r="C457" s="35" t="s">
        <v>76</v>
      </c>
      <c r="D457" s="36">
        <v>4.0</v>
      </c>
      <c r="E457" s="35" t="s">
        <v>417</v>
      </c>
      <c r="F457" s="36">
        <v>9.0043E7</v>
      </c>
      <c r="G457" s="37" t="s">
        <v>412</v>
      </c>
      <c r="H457" s="38" t="s">
        <v>19</v>
      </c>
      <c r="I457" s="39">
        <v>3.2164764E7</v>
      </c>
    </row>
    <row r="458">
      <c r="A458" s="33" t="s">
        <v>74</v>
      </c>
      <c r="B458" s="34" t="s">
        <v>75</v>
      </c>
      <c r="C458" s="35" t="s">
        <v>76</v>
      </c>
      <c r="D458" s="36">
        <v>4.0</v>
      </c>
      <c r="E458" s="35" t="s">
        <v>409</v>
      </c>
      <c r="F458" s="36">
        <v>5.1100064E7</v>
      </c>
      <c r="G458" s="37" t="s">
        <v>414</v>
      </c>
      <c r="H458" s="38" t="s">
        <v>37</v>
      </c>
      <c r="I458" s="39">
        <v>4267532.0</v>
      </c>
    </row>
    <row r="459">
      <c r="A459" s="33" t="s">
        <v>74</v>
      </c>
      <c r="B459" s="34" t="s">
        <v>75</v>
      </c>
      <c r="C459" s="35" t="s">
        <v>76</v>
      </c>
      <c r="D459" s="36">
        <v>4.0</v>
      </c>
      <c r="E459" s="35" t="s">
        <v>409</v>
      </c>
      <c r="F459" s="36">
        <v>9.0042077E7</v>
      </c>
      <c r="G459" s="37" t="s">
        <v>410</v>
      </c>
      <c r="H459" s="38" t="s">
        <v>19</v>
      </c>
      <c r="I459" s="39">
        <v>9.7746902E7</v>
      </c>
    </row>
    <row r="460">
      <c r="A460" s="33" t="s">
        <v>74</v>
      </c>
      <c r="B460" s="34" t="s">
        <v>75</v>
      </c>
      <c r="C460" s="35" t="s">
        <v>76</v>
      </c>
      <c r="D460" s="36">
        <v>4.0</v>
      </c>
      <c r="E460" s="35" t="s">
        <v>409</v>
      </c>
      <c r="F460" s="36">
        <v>9.0043001E7</v>
      </c>
      <c r="G460" s="37" t="s">
        <v>411</v>
      </c>
      <c r="H460" s="38" t="s">
        <v>19</v>
      </c>
      <c r="I460" s="39">
        <v>2.43812111E8</v>
      </c>
    </row>
    <row r="461">
      <c r="A461" s="33" t="s">
        <v>74</v>
      </c>
      <c r="B461" s="34" t="s">
        <v>75</v>
      </c>
      <c r="C461" s="35" t="s">
        <v>76</v>
      </c>
      <c r="D461" s="36">
        <v>4.0</v>
      </c>
      <c r="E461" s="35" t="s">
        <v>409</v>
      </c>
      <c r="F461" s="36">
        <v>9.0043E7</v>
      </c>
      <c r="G461" s="37" t="s">
        <v>412</v>
      </c>
      <c r="H461" s="38" t="s">
        <v>19</v>
      </c>
      <c r="I461" s="39">
        <v>1.4237743E8</v>
      </c>
    </row>
    <row r="462">
      <c r="A462" s="33" t="s">
        <v>74</v>
      </c>
      <c r="B462" s="34" t="s">
        <v>75</v>
      </c>
      <c r="C462" s="35" t="s">
        <v>76</v>
      </c>
      <c r="D462" s="36">
        <v>4.0</v>
      </c>
      <c r="E462" s="35" t="s">
        <v>416</v>
      </c>
      <c r="F462" s="36">
        <v>5.1100064E7</v>
      </c>
      <c r="G462" s="37" t="s">
        <v>414</v>
      </c>
      <c r="H462" s="38" t="s">
        <v>25</v>
      </c>
      <c r="I462" s="39">
        <v>1697500.0</v>
      </c>
    </row>
    <row r="463">
      <c r="A463" s="33" t="s">
        <v>74</v>
      </c>
      <c r="B463" s="34" t="s">
        <v>75</v>
      </c>
      <c r="C463" s="35" t="s">
        <v>76</v>
      </c>
      <c r="D463" s="36">
        <v>4.0</v>
      </c>
      <c r="E463" s="35" t="s">
        <v>416</v>
      </c>
      <c r="F463" s="36">
        <v>9.0042078E7</v>
      </c>
      <c r="G463" s="37" t="s">
        <v>428</v>
      </c>
      <c r="H463" s="38" t="s">
        <v>19</v>
      </c>
      <c r="I463" s="39">
        <v>2136430.0</v>
      </c>
    </row>
    <row r="464">
      <c r="A464" s="33" t="s">
        <v>74</v>
      </c>
      <c r="B464" s="34" t="s">
        <v>75</v>
      </c>
      <c r="C464" s="35" t="s">
        <v>76</v>
      </c>
      <c r="D464" s="36">
        <v>4.0</v>
      </c>
      <c r="E464" s="35" t="s">
        <v>416</v>
      </c>
      <c r="F464" s="36">
        <v>9.004208E7</v>
      </c>
      <c r="G464" s="37" t="s">
        <v>419</v>
      </c>
      <c r="H464" s="38" t="s">
        <v>25</v>
      </c>
      <c r="I464" s="39">
        <v>2878750.0</v>
      </c>
    </row>
    <row r="465">
      <c r="A465" s="33" t="s">
        <v>74</v>
      </c>
      <c r="B465" s="34" t="s">
        <v>75</v>
      </c>
      <c r="C465" s="35" t="s">
        <v>76</v>
      </c>
      <c r="D465" s="36">
        <v>4.0</v>
      </c>
      <c r="E465" s="35" t="s">
        <v>416</v>
      </c>
      <c r="F465" s="36">
        <v>9.0043001E7</v>
      </c>
      <c r="G465" s="37" t="s">
        <v>411</v>
      </c>
      <c r="H465" s="38" t="s">
        <v>19</v>
      </c>
      <c r="I465" s="39">
        <v>3.15975955E8</v>
      </c>
    </row>
    <row r="466">
      <c r="A466" s="33" t="s">
        <v>74</v>
      </c>
      <c r="B466" s="34" t="s">
        <v>75</v>
      </c>
      <c r="C466" s="35" t="s">
        <v>76</v>
      </c>
      <c r="D466" s="36">
        <v>4.0</v>
      </c>
      <c r="E466" s="35" t="s">
        <v>416</v>
      </c>
      <c r="F466" s="36">
        <v>9.0043E7</v>
      </c>
      <c r="G466" s="37" t="s">
        <v>412</v>
      </c>
      <c r="H466" s="38" t="s">
        <v>19</v>
      </c>
      <c r="I466" s="39">
        <v>9.9524327E7</v>
      </c>
    </row>
    <row r="467">
      <c r="A467" s="33" t="s">
        <v>74</v>
      </c>
      <c r="B467" s="34" t="s">
        <v>148</v>
      </c>
      <c r="C467" s="35" t="s">
        <v>149</v>
      </c>
      <c r="D467" s="36">
        <v>4.0</v>
      </c>
      <c r="E467" s="35" t="s">
        <v>417</v>
      </c>
      <c r="F467" s="36">
        <v>9.0042084E7</v>
      </c>
      <c r="G467" s="37" t="s">
        <v>418</v>
      </c>
      <c r="H467" s="38" t="s">
        <v>19</v>
      </c>
      <c r="I467" s="39">
        <v>4146175.0</v>
      </c>
    </row>
    <row r="468">
      <c r="A468" s="33" t="s">
        <v>74</v>
      </c>
      <c r="B468" s="34" t="s">
        <v>148</v>
      </c>
      <c r="C468" s="35" t="s">
        <v>149</v>
      </c>
      <c r="D468" s="36">
        <v>4.0</v>
      </c>
      <c r="E468" s="35" t="s">
        <v>417</v>
      </c>
      <c r="F468" s="36">
        <v>9.0043001E7</v>
      </c>
      <c r="G468" s="37" t="s">
        <v>411</v>
      </c>
      <c r="H468" s="38" t="s">
        <v>19</v>
      </c>
      <c r="I468" s="39">
        <v>4086404.0</v>
      </c>
    </row>
    <row r="469">
      <c r="A469" s="33" t="s">
        <v>74</v>
      </c>
      <c r="B469" s="34" t="s">
        <v>148</v>
      </c>
      <c r="C469" s="35" t="s">
        <v>149</v>
      </c>
      <c r="D469" s="36">
        <v>4.0</v>
      </c>
      <c r="E469" s="35" t="s">
        <v>417</v>
      </c>
      <c r="F469" s="36">
        <v>9.0043E7</v>
      </c>
      <c r="G469" s="37" t="s">
        <v>412</v>
      </c>
      <c r="H469" s="38" t="s">
        <v>19</v>
      </c>
      <c r="I469" s="39">
        <v>8290320.0</v>
      </c>
    </row>
    <row r="470">
      <c r="A470" s="33" t="s">
        <v>74</v>
      </c>
      <c r="B470" s="34" t="s">
        <v>148</v>
      </c>
      <c r="C470" s="35" t="s">
        <v>149</v>
      </c>
      <c r="D470" s="36">
        <v>4.0</v>
      </c>
      <c r="E470" s="35" t="s">
        <v>409</v>
      </c>
      <c r="F470" s="36">
        <v>5.1100064E7</v>
      </c>
      <c r="G470" s="37" t="s">
        <v>414</v>
      </c>
      <c r="H470" s="38" t="s">
        <v>37</v>
      </c>
      <c r="I470" s="39">
        <v>625000.0</v>
      </c>
    </row>
    <row r="471">
      <c r="A471" s="33" t="s">
        <v>74</v>
      </c>
      <c r="B471" s="34" t="s">
        <v>148</v>
      </c>
      <c r="C471" s="35" t="s">
        <v>149</v>
      </c>
      <c r="D471" s="36">
        <v>4.0</v>
      </c>
      <c r="E471" s="35" t="s">
        <v>409</v>
      </c>
      <c r="F471" s="36">
        <v>5.1100064E7</v>
      </c>
      <c r="G471" s="37" t="s">
        <v>414</v>
      </c>
      <c r="H471" s="38" t="s">
        <v>25</v>
      </c>
      <c r="I471" s="39">
        <v>1280000.0</v>
      </c>
    </row>
    <row r="472">
      <c r="A472" s="33" t="s">
        <v>74</v>
      </c>
      <c r="B472" s="34" t="s">
        <v>148</v>
      </c>
      <c r="C472" s="35" t="s">
        <v>149</v>
      </c>
      <c r="D472" s="36">
        <v>4.0</v>
      </c>
      <c r="E472" s="35" t="s">
        <v>409</v>
      </c>
      <c r="F472" s="36">
        <v>9.0042077E7</v>
      </c>
      <c r="G472" s="37" t="s">
        <v>410</v>
      </c>
      <c r="H472" s="38" t="s">
        <v>19</v>
      </c>
      <c r="I472" s="39">
        <v>4.3660444E7</v>
      </c>
    </row>
    <row r="473">
      <c r="A473" s="33" t="s">
        <v>74</v>
      </c>
      <c r="B473" s="34" t="s">
        <v>148</v>
      </c>
      <c r="C473" s="35" t="s">
        <v>149</v>
      </c>
      <c r="D473" s="36">
        <v>4.0</v>
      </c>
      <c r="E473" s="35" t="s">
        <v>409</v>
      </c>
      <c r="F473" s="36">
        <v>9.0043001E7</v>
      </c>
      <c r="G473" s="37" t="s">
        <v>411</v>
      </c>
      <c r="H473" s="38" t="s">
        <v>19</v>
      </c>
      <c r="I473" s="39">
        <v>2.08913391E8</v>
      </c>
    </row>
    <row r="474">
      <c r="A474" s="33" t="s">
        <v>74</v>
      </c>
      <c r="B474" s="34" t="s">
        <v>148</v>
      </c>
      <c r="C474" s="35" t="s">
        <v>149</v>
      </c>
      <c r="D474" s="36">
        <v>4.0</v>
      </c>
      <c r="E474" s="35" t="s">
        <v>409</v>
      </c>
      <c r="F474" s="36">
        <v>9.0043E7</v>
      </c>
      <c r="G474" s="37" t="s">
        <v>412</v>
      </c>
      <c r="H474" s="38" t="s">
        <v>19</v>
      </c>
      <c r="I474" s="39">
        <v>1.42191553E8</v>
      </c>
    </row>
    <row r="475">
      <c r="A475" s="33" t="s">
        <v>74</v>
      </c>
      <c r="B475" s="34" t="s">
        <v>148</v>
      </c>
      <c r="C475" s="35" t="s">
        <v>149</v>
      </c>
      <c r="D475" s="36">
        <v>4.0</v>
      </c>
      <c r="E475" s="35" t="s">
        <v>416</v>
      </c>
      <c r="F475" s="36">
        <v>9.004208E7</v>
      </c>
      <c r="G475" s="37" t="s">
        <v>419</v>
      </c>
      <c r="H475" s="38" t="s">
        <v>25</v>
      </c>
      <c r="I475" s="39">
        <v>1.340579E7</v>
      </c>
    </row>
    <row r="476">
      <c r="A476" s="33" t="s">
        <v>74</v>
      </c>
      <c r="B476" s="34" t="s">
        <v>148</v>
      </c>
      <c r="C476" s="35" t="s">
        <v>149</v>
      </c>
      <c r="D476" s="36">
        <v>4.0</v>
      </c>
      <c r="E476" s="35" t="s">
        <v>416</v>
      </c>
      <c r="F476" s="36">
        <v>9.0043001E7</v>
      </c>
      <c r="G476" s="37" t="s">
        <v>411</v>
      </c>
      <c r="H476" s="38" t="s">
        <v>19</v>
      </c>
      <c r="I476" s="39">
        <v>2.40385377E8</v>
      </c>
    </row>
    <row r="477">
      <c r="A477" s="33" t="s">
        <v>74</v>
      </c>
      <c r="B477" s="34" t="s">
        <v>148</v>
      </c>
      <c r="C477" s="35" t="s">
        <v>149</v>
      </c>
      <c r="D477" s="36">
        <v>4.0</v>
      </c>
      <c r="E477" s="35" t="s">
        <v>416</v>
      </c>
      <c r="F477" s="36">
        <v>9.0043E7</v>
      </c>
      <c r="G477" s="37" t="s">
        <v>412</v>
      </c>
      <c r="H477" s="38" t="s">
        <v>19</v>
      </c>
      <c r="I477" s="39">
        <v>5.5540499E7</v>
      </c>
    </row>
    <row r="478">
      <c r="A478" s="33" t="s">
        <v>74</v>
      </c>
      <c r="B478" s="34" t="s">
        <v>167</v>
      </c>
      <c r="C478" s="35" t="s">
        <v>168</v>
      </c>
      <c r="D478" s="36">
        <v>4.0</v>
      </c>
      <c r="E478" s="35" t="s">
        <v>417</v>
      </c>
      <c r="F478" s="36">
        <v>9.0043001E7</v>
      </c>
      <c r="G478" s="37" t="s">
        <v>411</v>
      </c>
      <c r="H478" s="38" t="s">
        <v>19</v>
      </c>
      <c r="I478" s="39">
        <v>1612589.0</v>
      </c>
    </row>
    <row r="479">
      <c r="A479" s="33" t="s">
        <v>74</v>
      </c>
      <c r="B479" s="34" t="s">
        <v>167</v>
      </c>
      <c r="C479" s="35" t="s">
        <v>168</v>
      </c>
      <c r="D479" s="36">
        <v>4.0</v>
      </c>
      <c r="E479" s="35" t="s">
        <v>409</v>
      </c>
      <c r="F479" s="36">
        <v>5.1100064E7</v>
      </c>
      <c r="G479" s="37" t="s">
        <v>414</v>
      </c>
      <c r="H479" s="38" t="s">
        <v>37</v>
      </c>
      <c r="I479" s="39">
        <v>3.6768192E7</v>
      </c>
    </row>
    <row r="480">
      <c r="A480" s="33" t="s">
        <v>74</v>
      </c>
      <c r="B480" s="34" t="s">
        <v>167</v>
      </c>
      <c r="C480" s="35" t="s">
        <v>168</v>
      </c>
      <c r="D480" s="36">
        <v>4.0</v>
      </c>
      <c r="E480" s="35" t="s">
        <v>409</v>
      </c>
      <c r="F480" s="36">
        <v>5.1100064E7</v>
      </c>
      <c r="G480" s="37" t="s">
        <v>414</v>
      </c>
      <c r="H480" s="38" t="s">
        <v>25</v>
      </c>
      <c r="I480" s="39">
        <v>1.795E7</v>
      </c>
    </row>
    <row r="481">
      <c r="A481" s="33" t="s">
        <v>74</v>
      </c>
      <c r="B481" s="34" t="s">
        <v>167</v>
      </c>
      <c r="C481" s="35" t="s">
        <v>168</v>
      </c>
      <c r="D481" s="36">
        <v>4.0</v>
      </c>
      <c r="E481" s="35" t="s">
        <v>409</v>
      </c>
      <c r="F481" s="36">
        <v>5.1101056E7</v>
      </c>
      <c r="G481" s="37" t="s">
        <v>426</v>
      </c>
      <c r="H481" s="38" t="s">
        <v>37</v>
      </c>
      <c r="I481" s="39">
        <v>3850000.0</v>
      </c>
    </row>
    <row r="482">
      <c r="A482" s="33" t="s">
        <v>74</v>
      </c>
      <c r="B482" s="34" t="s">
        <v>167</v>
      </c>
      <c r="C482" s="35" t="s">
        <v>168</v>
      </c>
      <c r="D482" s="36">
        <v>4.0</v>
      </c>
      <c r="E482" s="35" t="s">
        <v>409</v>
      </c>
      <c r="F482" s="36">
        <v>9.0042077E7</v>
      </c>
      <c r="G482" s="37" t="s">
        <v>410</v>
      </c>
      <c r="H482" s="38" t="s">
        <v>19</v>
      </c>
      <c r="I482" s="39">
        <v>7.724531E7</v>
      </c>
    </row>
    <row r="483">
      <c r="A483" s="33" t="s">
        <v>74</v>
      </c>
      <c r="B483" s="34" t="s">
        <v>167</v>
      </c>
      <c r="C483" s="35" t="s">
        <v>168</v>
      </c>
      <c r="D483" s="36">
        <v>4.0</v>
      </c>
      <c r="E483" s="35" t="s">
        <v>409</v>
      </c>
      <c r="F483" s="36">
        <v>9.0043001E7</v>
      </c>
      <c r="G483" s="37" t="s">
        <v>411</v>
      </c>
      <c r="H483" s="38" t="s">
        <v>19</v>
      </c>
      <c r="I483" s="39">
        <v>3.25028829E8</v>
      </c>
    </row>
    <row r="484">
      <c r="A484" s="33" t="s">
        <v>74</v>
      </c>
      <c r="B484" s="34" t="s">
        <v>167</v>
      </c>
      <c r="C484" s="35" t="s">
        <v>168</v>
      </c>
      <c r="D484" s="36">
        <v>4.0</v>
      </c>
      <c r="E484" s="35" t="s">
        <v>409</v>
      </c>
      <c r="F484" s="36">
        <v>9.0043E7</v>
      </c>
      <c r="G484" s="37" t="s">
        <v>412</v>
      </c>
      <c r="H484" s="38" t="s">
        <v>19</v>
      </c>
      <c r="I484" s="39">
        <v>1.17187506E8</v>
      </c>
    </row>
    <row r="485">
      <c r="A485" s="33" t="s">
        <v>74</v>
      </c>
      <c r="B485" s="34" t="s">
        <v>167</v>
      </c>
      <c r="C485" s="35" t="s">
        <v>168</v>
      </c>
      <c r="D485" s="36">
        <v>4.0</v>
      </c>
      <c r="E485" s="35" t="s">
        <v>416</v>
      </c>
      <c r="F485" s="36">
        <v>5.1100064E7</v>
      </c>
      <c r="G485" s="37" t="s">
        <v>414</v>
      </c>
      <c r="H485" s="38" t="s">
        <v>37</v>
      </c>
      <c r="I485" s="39">
        <v>889268.0</v>
      </c>
    </row>
    <row r="486">
      <c r="A486" s="33" t="s">
        <v>74</v>
      </c>
      <c r="B486" s="34" t="s">
        <v>167</v>
      </c>
      <c r="C486" s="35" t="s">
        <v>168</v>
      </c>
      <c r="D486" s="36">
        <v>4.0</v>
      </c>
      <c r="E486" s="35" t="s">
        <v>416</v>
      </c>
      <c r="F486" s="36">
        <v>5.1100064E7</v>
      </c>
      <c r="G486" s="37" t="s">
        <v>414</v>
      </c>
      <c r="H486" s="38" t="s">
        <v>25</v>
      </c>
      <c r="I486" s="39">
        <v>1710000.0</v>
      </c>
    </row>
    <row r="487">
      <c r="A487" s="33" t="s">
        <v>74</v>
      </c>
      <c r="B487" s="34" t="s">
        <v>167</v>
      </c>
      <c r="C487" s="35" t="s">
        <v>168</v>
      </c>
      <c r="D487" s="36">
        <v>4.0</v>
      </c>
      <c r="E487" s="35" t="s">
        <v>416</v>
      </c>
      <c r="F487" s="36">
        <v>9.0043001E7</v>
      </c>
      <c r="G487" s="37" t="s">
        <v>411</v>
      </c>
      <c r="H487" s="38" t="s">
        <v>19</v>
      </c>
      <c r="I487" s="39">
        <v>2.06810479E8</v>
      </c>
    </row>
    <row r="488">
      <c r="A488" s="33" t="s">
        <v>74</v>
      </c>
      <c r="B488" s="34" t="s">
        <v>167</v>
      </c>
      <c r="C488" s="35" t="s">
        <v>168</v>
      </c>
      <c r="D488" s="36">
        <v>4.0</v>
      </c>
      <c r="E488" s="35" t="s">
        <v>416</v>
      </c>
      <c r="F488" s="36">
        <v>9.0043E7</v>
      </c>
      <c r="G488" s="37" t="s">
        <v>412</v>
      </c>
      <c r="H488" s="38" t="s">
        <v>19</v>
      </c>
      <c r="I488" s="39">
        <v>3.8881628E7</v>
      </c>
    </row>
    <row r="489">
      <c r="A489" s="33" t="s">
        <v>74</v>
      </c>
      <c r="B489" s="34" t="s">
        <v>167</v>
      </c>
      <c r="C489" s="35" t="s">
        <v>168</v>
      </c>
      <c r="D489" s="36">
        <v>4.0</v>
      </c>
      <c r="E489" s="35" t="s">
        <v>416</v>
      </c>
      <c r="F489" s="36">
        <v>5.1100417E7</v>
      </c>
      <c r="G489" s="37" t="s">
        <v>434</v>
      </c>
      <c r="H489" s="38" t="s">
        <v>25</v>
      </c>
      <c r="I489" s="39">
        <v>1540000.0</v>
      </c>
    </row>
    <row r="490">
      <c r="A490" s="33" t="s">
        <v>74</v>
      </c>
      <c r="B490" s="34" t="s">
        <v>170</v>
      </c>
      <c r="C490" s="35" t="s">
        <v>171</v>
      </c>
      <c r="D490" s="36">
        <v>4.0</v>
      </c>
      <c r="E490" s="35" t="s">
        <v>409</v>
      </c>
      <c r="F490" s="36">
        <v>5.1100064E7</v>
      </c>
      <c r="G490" s="37" t="s">
        <v>414</v>
      </c>
      <c r="H490" s="38" t="s">
        <v>37</v>
      </c>
      <c r="I490" s="39">
        <v>6165755.0</v>
      </c>
    </row>
    <row r="491">
      <c r="A491" s="33" t="s">
        <v>74</v>
      </c>
      <c r="B491" s="34" t="s">
        <v>170</v>
      </c>
      <c r="C491" s="35" t="s">
        <v>171</v>
      </c>
      <c r="D491" s="36">
        <v>4.0</v>
      </c>
      <c r="E491" s="35" t="s">
        <v>409</v>
      </c>
      <c r="F491" s="36">
        <v>5.1100064E7</v>
      </c>
      <c r="G491" s="37" t="s">
        <v>414</v>
      </c>
      <c r="H491" s="38" t="s">
        <v>25</v>
      </c>
      <c r="I491" s="39">
        <v>9376000.0</v>
      </c>
    </row>
    <row r="492">
      <c r="A492" s="33" t="s">
        <v>74</v>
      </c>
      <c r="B492" s="34" t="s">
        <v>170</v>
      </c>
      <c r="C492" s="35" t="s">
        <v>171</v>
      </c>
      <c r="D492" s="36">
        <v>4.0</v>
      </c>
      <c r="E492" s="35" t="s">
        <v>409</v>
      </c>
      <c r="F492" s="36">
        <v>9.0042077E7</v>
      </c>
      <c r="G492" s="37" t="s">
        <v>410</v>
      </c>
      <c r="H492" s="38" t="s">
        <v>19</v>
      </c>
      <c r="I492" s="39">
        <v>2.1410594E7</v>
      </c>
    </row>
    <row r="493">
      <c r="A493" s="33" t="s">
        <v>74</v>
      </c>
      <c r="B493" s="34" t="s">
        <v>170</v>
      </c>
      <c r="C493" s="35" t="s">
        <v>171</v>
      </c>
      <c r="D493" s="36">
        <v>4.0</v>
      </c>
      <c r="E493" s="35" t="s">
        <v>409</v>
      </c>
      <c r="F493" s="36">
        <v>9.0043001E7</v>
      </c>
      <c r="G493" s="37" t="s">
        <v>411</v>
      </c>
      <c r="H493" s="38" t="s">
        <v>19</v>
      </c>
      <c r="I493" s="39">
        <v>1.59734767E8</v>
      </c>
    </row>
    <row r="494">
      <c r="A494" s="33" t="s">
        <v>74</v>
      </c>
      <c r="B494" s="34" t="s">
        <v>170</v>
      </c>
      <c r="C494" s="35" t="s">
        <v>171</v>
      </c>
      <c r="D494" s="36">
        <v>4.0</v>
      </c>
      <c r="E494" s="35" t="s">
        <v>409</v>
      </c>
      <c r="F494" s="36">
        <v>9.0043E7</v>
      </c>
      <c r="G494" s="37" t="s">
        <v>412</v>
      </c>
      <c r="H494" s="38" t="s">
        <v>19</v>
      </c>
      <c r="I494" s="39">
        <v>6.3952519E7</v>
      </c>
    </row>
    <row r="495">
      <c r="A495" s="33" t="s">
        <v>74</v>
      </c>
      <c r="B495" s="34" t="s">
        <v>170</v>
      </c>
      <c r="C495" s="35" t="s">
        <v>171</v>
      </c>
      <c r="D495" s="36">
        <v>4.0</v>
      </c>
      <c r="E495" s="35" t="s">
        <v>416</v>
      </c>
      <c r="F495" s="36">
        <v>5.1100064E7</v>
      </c>
      <c r="G495" s="37" t="s">
        <v>414</v>
      </c>
      <c r="H495" s="38" t="s">
        <v>25</v>
      </c>
      <c r="I495" s="39">
        <v>2160000.0</v>
      </c>
    </row>
    <row r="496">
      <c r="A496" s="33" t="s">
        <v>74</v>
      </c>
      <c r="B496" s="34" t="s">
        <v>170</v>
      </c>
      <c r="C496" s="35" t="s">
        <v>171</v>
      </c>
      <c r="D496" s="36">
        <v>4.0</v>
      </c>
      <c r="E496" s="35" t="s">
        <v>416</v>
      </c>
      <c r="F496" s="36">
        <v>9.0042079E7</v>
      </c>
      <c r="G496" s="37" t="s">
        <v>422</v>
      </c>
      <c r="H496" s="38" t="s">
        <v>19</v>
      </c>
      <c r="I496" s="39">
        <v>187000.0</v>
      </c>
    </row>
    <row r="497">
      <c r="A497" s="33" t="s">
        <v>74</v>
      </c>
      <c r="B497" s="34" t="s">
        <v>170</v>
      </c>
      <c r="C497" s="35" t="s">
        <v>171</v>
      </c>
      <c r="D497" s="36">
        <v>4.0</v>
      </c>
      <c r="E497" s="35" t="s">
        <v>416</v>
      </c>
      <c r="F497" s="36">
        <v>9.0043001E7</v>
      </c>
      <c r="G497" s="37" t="s">
        <v>411</v>
      </c>
      <c r="H497" s="38" t="s">
        <v>19</v>
      </c>
      <c r="I497" s="39">
        <v>1.41885968E8</v>
      </c>
    </row>
    <row r="498">
      <c r="A498" s="33" t="s">
        <v>74</v>
      </c>
      <c r="B498" s="34" t="s">
        <v>170</v>
      </c>
      <c r="C498" s="35" t="s">
        <v>171</v>
      </c>
      <c r="D498" s="36">
        <v>4.0</v>
      </c>
      <c r="E498" s="35" t="s">
        <v>416</v>
      </c>
      <c r="F498" s="36">
        <v>9.0043E7</v>
      </c>
      <c r="G498" s="37" t="s">
        <v>412</v>
      </c>
      <c r="H498" s="38" t="s">
        <v>19</v>
      </c>
      <c r="I498" s="39">
        <v>3.9331763E7</v>
      </c>
    </row>
    <row r="499">
      <c r="A499" s="33" t="s">
        <v>74</v>
      </c>
      <c r="B499" s="34" t="s">
        <v>187</v>
      </c>
      <c r="C499" s="35" t="s">
        <v>188</v>
      </c>
      <c r="D499" s="36">
        <v>4.0</v>
      </c>
      <c r="E499" s="35" t="s">
        <v>409</v>
      </c>
      <c r="F499" s="36">
        <v>5.1100064E7</v>
      </c>
      <c r="G499" s="37" t="s">
        <v>414</v>
      </c>
      <c r="H499" s="38" t="s">
        <v>37</v>
      </c>
      <c r="I499" s="39">
        <v>2041434.0</v>
      </c>
    </row>
    <row r="500">
      <c r="A500" s="33" t="s">
        <v>74</v>
      </c>
      <c r="B500" s="34" t="s">
        <v>187</v>
      </c>
      <c r="C500" s="35" t="s">
        <v>188</v>
      </c>
      <c r="D500" s="36">
        <v>4.0</v>
      </c>
      <c r="E500" s="35" t="s">
        <v>409</v>
      </c>
      <c r="F500" s="36">
        <v>9.0042077E7</v>
      </c>
      <c r="G500" s="37" t="s">
        <v>410</v>
      </c>
      <c r="H500" s="38" t="s">
        <v>19</v>
      </c>
      <c r="I500" s="39">
        <v>4.4355711E7</v>
      </c>
    </row>
    <row r="501">
      <c r="A501" s="33" t="s">
        <v>74</v>
      </c>
      <c r="B501" s="34" t="s">
        <v>187</v>
      </c>
      <c r="C501" s="35" t="s">
        <v>188</v>
      </c>
      <c r="D501" s="36">
        <v>4.0</v>
      </c>
      <c r="E501" s="35" t="s">
        <v>409</v>
      </c>
      <c r="F501" s="36">
        <v>9.0043001E7</v>
      </c>
      <c r="G501" s="37" t="s">
        <v>411</v>
      </c>
      <c r="H501" s="38" t="s">
        <v>19</v>
      </c>
      <c r="I501" s="39">
        <v>1.66245641E8</v>
      </c>
    </row>
    <row r="502">
      <c r="A502" s="33" t="s">
        <v>74</v>
      </c>
      <c r="B502" s="34" t="s">
        <v>187</v>
      </c>
      <c r="C502" s="35" t="s">
        <v>188</v>
      </c>
      <c r="D502" s="36">
        <v>4.0</v>
      </c>
      <c r="E502" s="35" t="s">
        <v>409</v>
      </c>
      <c r="F502" s="36">
        <v>9.0043E7</v>
      </c>
      <c r="G502" s="37" t="s">
        <v>412</v>
      </c>
      <c r="H502" s="38" t="s">
        <v>19</v>
      </c>
      <c r="I502" s="39">
        <v>5.287938E7</v>
      </c>
    </row>
    <row r="503">
      <c r="A503" s="33" t="s">
        <v>74</v>
      </c>
      <c r="B503" s="34" t="s">
        <v>187</v>
      </c>
      <c r="C503" s="35" t="s">
        <v>188</v>
      </c>
      <c r="D503" s="36">
        <v>4.0</v>
      </c>
      <c r="E503" s="35" t="s">
        <v>416</v>
      </c>
      <c r="F503" s="36">
        <v>9.0043001E7</v>
      </c>
      <c r="G503" s="37" t="s">
        <v>411</v>
      </c>
      <c r="H503" s="38" t="s">
        <v>19</v>
      </c>
      <c r="I503" s="39">
        <v>2.31166217E8</v>
      </c>
    </row>
    <row r="504">
      <c r="A504" s="33" t="s">
        <v>74</v>
      </c>
      <c r="B504" s="34" t="s">
        <v>187</v>
      </c>
      <c r="C504" s="35" t="s">
        <v>188</v>
      </c>
      <c r="D504" s="36">
        <v>4.0</v>
      </c>
      <c r="E504" s="35" t="s">
        <v>416</v>
      </c>
      <c r="F504" s="36">
        <v>9.0043E7</v>
      </c>
      <c r="G504" s="37" t="s">
        <v>412</v>
      </c>
      <c r="H504" s="38" t="s">
        <v>19</v>
      </c>
      <c r="I504" s="39">
        <v>3.3980352E7</v>
      </c>
    </row>
    <row r="505">
      <c r="A505" s="33" t="s">
        <v>74</v>
      </c>
      <c r="B505" s="34" t="s">
        <v>203</v>
      </c>
      <c r="C505" s="35" t="s">
        <v>204</v>
      </c>
      <c r="D505" s="36">
        <v>4.0</v>
      </c>
      <c r="E505" s="35" t="s">
        <v>417</v>
      </c>
      <c r="F505" s="36">
        <v>9.0042084E7</v>
      </c>
      <c r="G505" s="37" t="s">
        <v>418</v>
      </c>
      <c r="H505" s="38" t="s">
        <v>19</v>
      </c>
      <c r="I505" s="39">
        <v>2377550.0</v>
      </c>
    </row>
    <row r="506">
      <c r="A506" s="33" t="s">
        <v>74</v>
      </c>
      <c r="B506" s="34" t="s">
        <v>203</v>
      </c>
      <c r="C506" s="35" t="s">
        <v>204</v>
      </c>
      <c r="D506" s="36">
        <v>4.0</v>
      </c>
      <c r="E506" s="35" t="s">
        <v>417</v>
      </c>
      <c r="F506" s="36">
        <v>9.0043001E7</v>
      </c>
      <c r="G506" s="37" t="s">
        <v>411</v>
      </c>
      <c r="H506" s="38" t="s">
        <v>19</v>
      </c>
      <c r="I506" s="39">
        <v>1789241.0</v>
      </c>
    </row>
    <row r="507">
      <c r="A507" s="33" t="s">
        <v>74</v>
      </c>
      <c r="B507" s="34" t="s">
        <v>203</v>
      </c>
      <c r="C507" s="35" t="s">
        <v>204</v>
      </c>
      <c r="D507" s="36">
        <v>4.0</v>
      </c>
      <c r="E507" s="35" t="s">
        <v>409</v>
      </c>
      <c r="F507" s="36">
        <v>5.1100064E7</v>
      </c>
      <c r="G507" s="37" t="s">
        <v>414</v>
      </c>
      <c r="H507" s="38" t="s">
        <v>37</v>
      </c>
      <c r="I507" s="39">
        <v>2733000.0</v>
      </c>
    </row>
    <row r="508">
      <c r="A508" s="33" t="s">
        <v>74</v>
      </c>
      <c r="B508" s="34" t="s">
        <v>203</v>
      </c>
      <c r="C508" s="35" t="s">
        <v>204</v>
      </c>
      <c r="D508" s="36">
        <v>4.0</v>
      </c>
      <c r="E508" s="35" t="s">
        <v>409</v>
      </c>
      <c r="F508" s="36">
        <v>5.1100064E7</v>
      </c>
      <c r="G508" s="37" t="s">
        <v>414</v>
      </c>
      <c r="H508" s="38" t="s">
        <v>25</v>
      </c>
      <c r="I508" s="39">
        <v>1450000.0</v>
      </c>
    </row>
    <row r="509">
      <c r="A509" s="33" t="s">
        <v>74</v>
      </c>
      <c r="B509" s="34" t="s">
        <v>203</v>
      </c>
      <c r="C509" s="35" t="s">
        <v>204</v>
      </c>
      <c r="D509" s="36">
        <v>4.0</v>
      </c>
      <c r="E509" s="35" t="s">
        <v>409</v>
      </c>
      <c r="F509" s="36">
        <v>9.0042077E7</v>
      </c>
      <c r="G509" s="37" t="s">
        <v>410</v>
      </c>
      <c r="H509" s="38" t="s">
        <v>19</v>
      </c>
      <c r="I509" s="39">
        <v>3.7021836E7</v>
      </c>
    </row>
    <row r="510">
      <c r="A510" s="33" t="s">
        <v>74</v>
      </c>
      <c r="B510" s="34" t="s">
        <v>203</v>
      </c>
      <c r="C510" s="35" t="s">
        <v>204</v>
      </c>
      <c r="D510" s="36">
        <v>4.0</v>
      </c>
      <c r="E510" s="35" t="s">
        <v>409</v>
      </c>
      <c r="F510" s="36">
        <v>9.0043001E7</v>
      </c>
      <c r="G510" s="37" t="s">
        <v>411</v>
      </c>
      <c r="H510" s="38" t="s">
        <v>19</v>
      </c>
      <c r="I510" s="39">
        <v>1.18088008E8</v>
      </c>
    </row>
    <row r="511">
      <c r="A511" s="33" t="s">
        <v>74</v>
      </c>
      <c r="B511" s="34" t="s">
        <v>203</v>
      </c>
      <c r="C511" s="35" t="s">
        <v>204</v>
      </c>
      <c r="D511" s="36">
        <v>4.0</v>
      </c>
      <c r="E511" s="35" t="s">
        <v>409</v>
      </c>
      <c r="F511" s="36">
        <v>9.0043E7</v>
      </c>
      <c r="G511" s="37" t="s">
        <v>412</v>
      </c>
      <c r="H511" s="38" t="s">
        <v>19</v>
      </c>
      <c r="I511" s="39">
        <v>7.1245028E7</v>
      </c>
    </row>
    <row r="512">
      <c r="A512" s="33" t="s">
        <v>74</v>
      </c>
      <c r="B512" s="34" t="s">
        <v>203</v>
      </c>
      <c r="C512" s="35" t="s">
        <v>204</v>
      </c>
      <c r="D512" s="36">
        <v>4.0</v>
      </c>
      <c r="E512" s="35" t="s">
        <v>409</v>
      </c>
      <c r="F512" s="36">
        <v>5.1100058E7</v>
      </c>
      <c r="G512" s="37" t="s">
        <v>435</v>
      </c>
      <c r="H512" s="38" t="s">
        <v>37</v>
      </c>
      <c r="I512" s="39">
        <v>1595000.0</v>
      </c>
    </row>
    <row r="513">
      <c r="A513" s="33" t="s">
        <v>74</v>
      </c>
      <c r="B513" s="34" t="s">
        <v>203</v>
      </c>
      <c r="C513" s="35" t="s">
        <v>204</v>
      </c>
      <c r="D513" s="36">
        <v>4.0</v>
      </c>
      <c r="E513" s="35" t="s">
        <v>416</v>
      </c>
      <c r="F513" s="36">
        <v>5.1100064E7</v>
      </c>
      <c r="G513" s="37" t="s">
        <v>414</v>
      </c>
      <c r="H513" s="38" t="s">
        <v>37</v>
      </c>
      <c r="I513" s="39">
        <v>1848000.0</v>
      </c>
    </row>
    <row r="514">
      <c r="A514" s="33" t="s">
        <v>74</v>
      </c>
      <c r="B514" s="34" t="s">
        <v>203</v>
      </c>
      <c r="C514" s="35" t="s">
        <v>204</v>
      </c>
      <c r="D514" s="36">
        <v>4.0</v>
      </c>
      <c r="E514" s="35" t="s">
        <v>416</v>
      </c>
      <c r="F514" s="36">
        <v>9.0043001E7</v>
      </c>
      <c r="G514" s="37" t="s">
        <v>411</v>
      </c>
      <c r="H514" s="38" t="s">
        <v>19</v>
      </c>
      <c r="I514" s="39">
        <v>5.092732E7</v>
      </c>
    </row>
    <row r="515">
      <c r="A515" s="33" t="s">
        <v>74</v>
      </c>
      <c r="B515" s="34" t="s">
        <v>203</v>
      </c>
      <c r="C515" s="35" t="s">
        <v>204</v>
      </c>
      <c r="D515" s="36">
        <v>4.0</v>
      </c>
      <c r="E515" s="35" t="s">
        <v>416</v>
      </c>
      <c r="F515" s="36">
        <v>9.0043E7</v>
      </c>
      <c r="G515" s="37" t="s">
        <v>412</v>
      </c>
      <c r="H515" s="38" t="s">
        <v>19</v>
      </c>
      <c r="I515" s="39">
        <v>3.5465266E7</v>
      </c>
    </row>
    <row r="516">
      <c r="A516" s="33" t="s">
        <v>74</v>
      </c>
      <c r="B516" s="34" t="s">
        <v>212</v>
      </c>
      <c r="C516" s="35" t="s">
        <v>213</v>
      </c>
      <c r="D516" s="36">
        <v>4.0</v>
      </c>
      <c r="E516" s="35" t="s">
        <v>409</v>
      </c>
      <c r="F516" s="36">
        <v>9.0042077E7</v>
      </c>
      <c r="G516" s="37" t="s">
        <v>410</v>
      </c>
      <c r="H516" s="38" t="s">
        <v>19</v>
      </c>
      <c r="I516" s="39">
        <v>2.5503674E7</v>
      </c>
    </row>
    <row r="517">
      <c r="A517" s="33" t="s">
        <v>74</v>
      </c>
      <c r="B517" s="34" t="s">
        <v>212</v>
      </c>
      <c r="C517" s="35" t="s">
        <v>213</v>
      </c>
      <c r="D517" s="36">
        <v>4.0</v>
      </c>
      <c r="E517" s="35" t="s">
        <v>409</v>
      </c>
      <c r="F517" s="36">
        <v>9.0043001E7</v>
      </c>
      <c r="G517" s="37" t="s">
        <v>411</v>
      </c>
      <c r="H517" s="38" t="s">
        <v>19</v>
      </c>
      <c r="I517" s="39">
        <v>2.00833997E8</v>
      </c>
    </row>
    <row r="518">
      <c r="A518" s="33" t="s">
        <v>74</v>
      </c>
      <c r="B518" s="34" t="s">
        <v>212</v>
      </c>
      <c r="C518" s="35" t="s">
        <v>213</v>
      </c>
      <c r="D518" s="36">
        <v>4.0</v>
      </c>
      <c r="E518" s="35" t="s">
        <v>409</v>
      </c>
      <c r="F518" s="36">
        <v>9.0043E7</v>
      </c>
      <c r="G518" s="37" t="s">
        <v>412</v>
      </c>
      <c r="H518" s="38" t="s">
        <v>19</v>
      </c>
      <c r="I518" s="39">
        <v>8.0938394E7</v>
      </c>
    </row>
    <row r="519">
      <c r="A519" s="33" t="s">
        <v>74</v>
      </c>
      <c r="B519" s="34" t="s">
        <v>212</v>
      </c>
      <c r="C519" s="35" t="s">
        <v>213</v>
      </c>
      <c r="D519" s="36">
        <v>4.0</v>
      </c>
      <c r="E519" s="35" t="s">
        <v>409</v>
      </c>
      <c r="F519" s="36">
        <v>5.1100107E7</v>
      </c>
      <c r="G519" s="37" t="s">
        <v>421</v>
      </c>
      <c r="H519" s="38" t="s">
        <v>37</v>
      </c>
      <c r="I519" s="39">
        <v>4.6058739E7</v>
      </c>
    </row>
    <row r="520">
      <c r="A520" s="33" t="s">
        <v>74</v>
      </c>
      <c r="B520" s="34" t="s">
        <v>212</v>
      </c>
      <c r="C520" s="35" t="s">
        <v>213</v>
      </c>
      <c r="D520" s="36">
        <v>4.0</v>
      </c>
      <c r="E520" s="35" t="s">
        <v>416</v>
      </c>
      <c r="F520" s="36">
        <v>9.004208E7</v>
      </c>
      <c r="G520" s="37" t="s">
        <v>419</v>
      </c>
      <c r="H520" s="38" t="s">
        <v>25</v>
      </c>
      <c r="I520" s="39">
        <v>2703000.0</v>
      </c>
    </row>
    <row r="521">
      <c r="A521" s="33" t="s">
        <v>74</v>
      </c>
      <c r="B521" s="34" t="s">
        <v>212</v>
      </c>
      <c r="C521" s="35" t="s">
        <v>213</v>
      </c>
      <c r="D521" s="36">
        <v>4.0</v>
      </c>
      <c r="E521" s="35" t="s">
        <v>416</v>
      </c>
      <c r="F521" s="36">
        <v>9.0043001E7</v>
      </c>
      <c r="G521" s="37" t="s">
        <v>411</v>
      </c>
      <c r="H521" s="38" t="s">
        <v>19</v>
      </c>
      <c r="I521" s="39">
        <v>1.68328592E8</v>
      </c>
    </row>
    <row r="522">
      <c r="A522" s="33" t="s">
        <v>74</v>
      </c>
      <c r="B522" s="34" t="s">
        <v>212</v>
      </c>
      <c r="C522" s="35" t="s">
        <v>213</v>
      </c>
      <c r="D522" s="36">
        <v>4.0</v>
      </c>
      <c r="E522" s="35" t="s">
        <v>416</v>
      </c>
      <c r="F522" s="36">
        <v>9.0043E7</v>
      </c>
      <c r="G522" s="37" t="s">
        <v>412</v>
      </c>
      <c r="H522" s="38" t="s">
        <v>19</v>
      </c>
      <c r="I522" s="39">
        <v>3.0968558E7</v>
      </c>
    </row>
    <row r="523">
      <c r="A523" s="33" t="s">
        <v>74</v>
      </c>
      <c r="B523" s="34" t="s">
        <v>212</v>
      </c>
      <c r="C523" s="35" t="s">
        <v>213</v>
      </c>
      <c r="D523" s="36">
        <v>4.0</v>
      </c>
      <c r="E523" s="35" t="s">
        <v>416</v>
      </c>
      <c r="F523" s="36">
        <v>5.1100107E7</v>
      </c>
      <c r="G523" s="37" t="s">
        <v>421</v>
      </c>
      <c r="H523" s="38" t="s">
        <v>37</v>
      </c>
      <c r="I523" s="39">
        <v>1.3285175E7</v>
      </c>
    </row>
    <row r="524">
      <c r="A524" s="33" t="s">
        <v>74</v>
      </c>
      <c r="B524" s="34" t="s">
        <v>220</v>
      </c>
      <c r="C524" s="35" t="s">
        <v>221</v>
      </c>
      <c r="D524" s="36">
        <v>4.0</v>
      </c>
      <c r="E524" s="35" t="s">
        <v>409</v>
      </c>
      <c r="F524" s="36">
        <v>5.1100064E7</v>
      </c>
      <c r="G524" s="37" t="s">
        <v>414</v>
      </c>
      <c r="H524" s="38" t="s">
        <v>37</v>
      </c>
      <c r="I524" s="39">
        <v>7546300.0</v>
      </c>
    </row>
    <row r="525">
      <c r="A525" s="33" t="s">
        <v>74</v>
      </c>
      <c r="B525" s="34" t="s">
        <v>220</v>
      </c>
      <c r="C525" s="35" t="s">
        <v>221</v>
      </c>
      <c r="D525" s="36">
        <v>4.0</v>
      </c>
      <c r="E525" s="35" t="s">
        <v>409</v>
      </c>
      <c r="F525" s="36">
        <v>9.0042077E7</v>
      </c>
      <c r="G525" s="37" t="s">
        <v>410</v>
      </c>
      <c r="H525" s="38" t="s">
        <v>19</v>
      </c>
      <c r="I525" s="39">
        <v>2.1141056E7</v>
      </c>
    </row>
    <row r="526">
      <c r="A526" s="33" t="s">
        <v>74</v>
      </c>
      <c r="B526" s="34" t="s">
        <v>220</v>
      </c>
      <c r="C526" s="35" t="s">
        <v>221</v>
      </c>
      <c r="D526" s="36">
        <v>4.0</v>
      </c>
      <c r="E526" s="35" t="s">
        <v>409</v>
      </c>
      <c r="F526" s="36">
        <v>9.0043001E7</v>
      </c>
      <c r="G526" s="37" t="s">
        <v>411</v>
      </c>
      <c r="H526" s="38" t="s">
        <v>19</v>
      </c>
      <c r="I526" s="39">
        <v>1.55950607E8</v>
      </c>
    </row>
    <row r="527">
      <c r="A527" s="33" t="s">
        <v>74</v>
      </c>
      <c r="B527" s="34" t="s">
        <v>220</v>
      </c>
      <c r="C527" s="35" t="s">
        <v>221</v>
      </c>
      <c r="D527" s="36">
        <v>4.0</v>
      </c>
      <c r="E527" s="35" t="s">
        <v>409</v>
      </c>
      <c r="F527" s="36">
        <v>9.0043E7</v>
      </c>
      <c r="G527" s="37" t="s">
        <v>412</v>
      </c>
      <c r="H527" s="38" t="s">
        <v>19</v>
      </c>
      <c r="I527" s="39">
        <v>8.747079E7</v>
      </c>
    </row>
    <row r="528">
      <c r="A528" s="33" t="s">
        <v>74</v>
      </c>
      <c r="B528" s="34" t="s">
        <v>220</v>
      </c>
      <c r="C528" s="35" t="s">
        <v>221</v>
      </c>
      <c r="D528" s="36">
        <v>4.0</v>
      </c>
      <c r="E528" s="35" t="s">
        <v>416</v>
      </c>
      <c r="F528" s="36">
        <v>5.1100064E7</v>
      </c>
      <c r="G528" s="37" t="s">
        <v>414</v>
      </c>
      <c r="H528" s="38" t="s">
        <v>37</v>
      </c>
      <c r="I528" s="39">
        <v>6208000.0</v>
      </c>
    </row>
    <row r="529">
      <c r="A529" s="33" t="s">
        <v>74</v>
      </c>
      <c r="B529" s="34" t="s">
        <v>220</v>
      </c>
      <c r="C529" s="35" t="s">
        <v>221</v>
      </c>
      <c r="D529" s="36">
        <v>4.0</v>
      </c>
      <c r="E529" s="35" t="s">
        <v>416</v>
      </c>
      <c r="F529" s="36">
        <v>9.0043001E7</v>
      </c>
      <c r="G529" s="37" t="s">
        <v>411</v>
      </c>
      <c r="H529" s="38" t="s">
        <v>19</v>
      </c>
      <c r="I529" s="39">
        <v>1.96461102E8</v>
      </c>
    </row>
    <row r="530">
      <c r="A530" s="33" t="s">
        <v>74</v>
      </c>
      <c r="B530" s="34" t="s">
        <v>220</v>
      </c>
      <c r="C530" s="35" t="s">
        <v>221</v>
      </c>
      <c r="D530" s="36">
        <v>4.0</v>
      </c>
      <c r="E530" s="35" t="s">
        <v>416</v>
      </c>
      <c r="F530" s="36">
        <v>9.0043E7</v>
      </c>
      <c r="G530" s="37" t="s">
        <v>412</v>
      </c>
      <c r="H530" s="38" t="s">
        <v>19</v>
      </c>
      <c r="I530" s="39">
        <v>8716434.0</v>
      </c>
    </row>
    <row r="531">
      <c r="A531" s="33" t="s">
        <v>74</v>
      </c>
      <c r="B531" s="34" t="s">
        <v>231</v>
      </c>
      <c r="C531" s="35" t="s">
        <v>232</v>
      </c>
      <c r="D531" s="36">
        <v>4.0</v>
      </c>
      <c r="E531" s="35" t="s">
        <v>417</v>
      </c>
      <c r="F531" s="36">
        <v>9.0043001E7</v>
      </c>
      <c r="G531" s="37" t="s">
        <v>411</v>
      </c>
      <c r="H531" s="38" t="s">
        <v>19</v>
      </c>
      <c r="I531" s="39">
        <v>3878431.0</v>
      </c>
    </row>
    <row r="532">
      <c r="A532" s="33" t="s">
        <v>74</v>
      </c>
      <c r="B532" s="34" t="s">
        <v>231</v>
      </c>
      <c r="C532" s="35" t="s">
        <v>232</v>
      </c>
      <c r="D532" s="36">
        <v>4.0</v>
      </c>
      <c r="E532" s="35" t="s">
        <v>409</v>
      </c>
      <c r="F532" s="36">
        <v>5.1100064E7</v>
      </c>
      <c r="G532" s="37" t="s">
        <v>414</v>
      </c>
      <c r="H532" s="38" t="s">
        <v>37</v>
      </c>
      <c r="I532" s="39">
        <v>1.6540782E7</v>
      </c>
    </row>
    <row r="533">
      <c r="A533" s="33" t="s">
        <v>74</v>
      </c>
      <c r="B533" s="34" t="s">
        <v>231</v>
      </c>
      <c r="C533" s="35" t="s">
        <v>232</v>
      </c>
      <c r="D533" s="36">
        <v>4.0</v>
      </c>
      <c r="E533" s="35" t="s">
        <v>409</v>
      </c>
      <c r="F533" s="36">
        <v>5.1100064E7</v>
      </c>
      <c r="G533" s="37" t="s">
        <v>414</v>
      </c>
      <c r="H533" s="38" t="s">
        <v>25</v>
      </c>
      <c r="I533" s="39">
        <v>360000.0</v>
      </c>
    </row>
    <row r="534">
      <c r="A534" s="33" t="s">
        <v>74</v>
      </c>
      <c r="B534" s="34" t="s">
        <v>231</v>
      </c>
      <c r="C534" s="35" t="s">
        <v>232</v>
      </c>
      <c r="D534" s="36">
        <v>4.0</v>
      </c>
      <c r="E534" s="35" t="s">
        <v>409</v>
      </c>
      <c r="F534" s="36">
        <v>9.0042077E7</v>
      </c>
      <c r="G534" s="37" t="s">
        <v>410</v>
      </c>
      <c r="H534" s="38" t="s">
        <v>19</v>
      </c>
      <c r="I534" s="39">
        <v>5635088.0</v>
      </c>
    </row>
    <row r="535">
      <c r="A535" s="33" t="s">
        <v>74</v>
      </c>
      <c r="B535" s="34" t="s">
        <v>231</v>
      </c>
      <c r="C535" s="35" t="s">
        <v>232</v>
      </c>
      <c r="D535" s="36">
        <v>4.0</v>
      </c>
      <c r="E535" s="35" t="s">
        <v>409</v>
      </c>
      <c r="F535" s="36">
        <v>9.0043001E7</v>
      </c>
      <c r="G535" s="37" t="s">
        <v>411</v>
      </c>
      <c r="H535" s="38" t="s">
        <v>19</v>
      </c>
      <c r="I535" s="39">
        <v>7.3747999E7</v>
      </c>
    </row>
    <row r="536">
      <c r="A536" s="33" t="s">
        <v>74</v>
      </c>
      <c r="B536" s="34" t="s">
        <v>231</v>
      </c>
      <c r="C536" s="35" t="s">
        <v>232</v>
      </c>
      <c r="D536" s="36">
        <v>4.0</v>
      </c>
      <c r="E536" s="35" t="s">
        <v>409</v>
      </c>
      <c r="F536" s="36">
        <v>9.0043E7</v>
      </c>
      <c r="G536" s="37" t="s">
        <v>412</v>
      </c>
      <c r="H536" s="38" t="s">
        <v>19</v>
      </c>
      <c r="I536" s="39">
        <v>3.5303584E7</v>
      </c>
    </row>
    <row r="537">
      <c r="A537" s="33" t="s">
        <v>74</v>
      </c>
      <c r="B537" s="34" t="s">
        <v>231</v>
      </c>
      <c r="C537" s="35" t="s">
        <v>232</v>
      </c>
      <c r="D537" s="36">
        <v>4.0</v>
      </c>
      <c r="E537" s="35" t="s">
        <v>409</v>
      </c>
      <c r="F537" s="36">
        <v>9.0043002E7</v>
      </c>
      <c r="G537" s="37" t="s">
        <v>429</v>
      </c>
      <c r="H537" s="38" t="s">
        <v>50</v>
      </c>
      <c r="I537" s="39">
        <v>2.6384822E7</v>
      </c>
    </row>
    <row r="538">
      <c r="A538" s="33" t="s">
        <v>74</v>
      </c>
      <c r="B538" s="34" t="s">
        <v>231</v>
      </c>
      <c r="C538" s="35" t="s">
        <v>232</v>
      </c>
      <c r="D538" s="36">
        <v>4.0</v>
      </c>
      <c r="E538" s="35" t="s">
        <v>416</v>
      </c>
      <c r="F538" s="36">
        <v>9.0043001E7</v>
      </c>
      <c r="G538" s="37" t="s">
        <v>411</v>
      </c>
      <c r="H538" s="38" t="s">
        <v>19</v>
      </c>
      <c r="I538" s="39">
        <v>2.3646708E7</v>
      </c>
    </row>
    <row r="539">
      <c r="A539" s="33" t="s">
        <v>74</v>
      </c>
      <c r="B539" s="34" t="s">
        <v>231</v>
      </c>
      <c r="C539" s="35" t="s">
        <v>232</v>
      </c>
      <c r="D539" s="36">
        <v>4.0</v>
      </c>
      <c r="E539" s="35" t="s">
        <v>416</v>
      </c>
      <c r="F539" s="36">
        <v>9.0043E7</v>
      </c>
      <c r="G539" s="37" t="s">
        <v>412</v>
      </c>
      <c r="H539" s="38" t="s">
        <v>19</v>
      </c>
      <c r="I539" s="39">
        <v>5281692.0</v>
      </c>
    </row>
    <row r="540">
      <c r="A540" s="33" t="s">
        <v>74</v>
      </c>
      <c r="B540" s="34" t="s">
        <v>233</v>
      </c>
      <c r="C540" s="35" t="s">
        <v>234</v>
      </c>
      <c r="D540" s="36">
        <v>4.0</v>
      </c>
      <c r="E540" s="35" t="s">
        <v>409</v>
      </c>
      <c r="F540" s="36">
        <v>5.1100064E7</v>
      </c>
      <c r="G540" s="37" t="s">
        <v>414</v>
      </c>
      <c r="H540" s="38" t="s">
        <v>37</v>
      </c>
      <c r="I540" s="39">
        <v>3.8371439E7</v>
      </c>
    </row>
    <row r="541">
      <c r="A541" s="33" t="s">
        <v>74</v>
      </c>
      <c r="B541" s="34" t="s">
        <v>233</v>
      </c>
      <c r="C541" s="35" t="s">
        <v>234</v>
      </c>
      <c r="D541" s="36">
        <v>4.0</v>
      </c>
      <c r="E541" s="35" t="s">
        <v>409</v>
      </c>
      <c r="F541" s="36">
        <v>5.1100064E7</v>
      </c>
      <c r="G541" s="37" t="s">
        <v>414</v>
      </c>
      <c r="H541" s="38" t="s">
        <v>25</v>
      </c>
      <c r="I541" s="39">
        <v>3.855333E7</v>
      </c>
    </row>
    <row r="542">
      <c r="A542" s="33" t="s">
        <v>74</v>
      </c>
      <c r="B542" s="34" t="s">
        <v>233</v>
      </c>
      <c r="C542" s="35" t="s">
        <v>234</v>
      </c>
      <c r="D542" s="36">
        <v>4.0</v>
      </c>
      <c r="E542" s="35" t="s">
        <v>409</v>
      </c>
      <c r="F542" s="36">
        <v>5.1100693E7</v>
      </c>
      <c r="G542" s="37" t="s">
        <v>436</v>
      </c>
      <c r="H542" s="38" t="s">
        <v>25</v>
      </c>
      <c r="I542" s="39">
        <v>8975000.0</v>
      </c>
    </row>
    <row r="543">
      <c r="A543" s="33" t="s">
        <v>74</v>
      </c>
      <c r="B543" s="34" t="s">
        <v>233</v>
      </c>
      <c r="C543" s="35" t="s">
        <v>234</v>
      </c>
      <c r="D543" s="36">
        <v>4.0</v>
      </c>
      <c r="E543" s="35" t="s">
        <v>409</v>
      </c>
      <c r="F543" s="36">
        <v>5.1101056E7</v>
      </c>
      <c r="G543" s="37" t="s">
        <v>426</v>
      </c>
      <c r="H543" s="38" t="s">
        <v>25</v>
      </c>
      <c r="I543" s="39">
        <v>-1048725.0</v>
      </c>
    </row>
    <row r="544">
      <c r="A544" s="33" t="s">
        <v>74</v>
      </c>
      <c r="B544" s="34" t="s">
        <v>233</v>
      </c>
      <c r="C544" s="35" t="s">
        <v>234</v>
      </c>
      <c r="D544" s="36">
        <v>4.0</v>
      </c>
      <c r="E544" s="35" t="s">
        <v>409</v>
      </c>
      <c r="F544" s="36">
        <v>9.0042077E7</v>
      </c>
      <c r="G544" s="37" t="s">
        <v>410</v>
      </c>
      <c r="H544" s="38" t="s">
        <v>19</v>
      </c>
      <c r="I544" s="39">
        <v>7.3046635E7</v>
      </c>
    </row>
    <row r="545">
      <c r="A545" s="33" t="s">
        <v>74</v>
      </c>
      <c r="B545" s="34" t="s">
        <v>233</v>
      </c>
      <c r="C545" s="35" t="s">
        <v>234</v>
      </c>
      <c r="D545" s="36">
        <v>4.0</v>
      </c>
      <c r="E545" s="35" t="s">
        <v>409</v>
      </c>
      <c r="F545" s="36">
        <v>9.0043001E7</v>
      </c>
      <c r="G545" s="37" t="s">
        <v>411</v>
      </c>
      <c r="H545" s="38" t="s">
        <v>19</v>
      </c>
      <c r="I545" s="39">
        <v>1.16939913E8</v>
      </c>
    </row>
    <row r="546">
      <c r="A546" s="33" t="s">
        <v>74</v>
      </c>
      <c r="B546" s="34" t="s">
        <v>233</v>
      </c>
      <c r="C546" s="35" t="s">
        <v>234</v>
      </c>
      <c r="D546" s="36">
        <v>4.0</v>
      </c>
      <c r="E546" s="35" t="s">
        <v>409</v>
      </c>
      <c r="F546" s="36">
        <v>9.0043E7</v>
      </c>
      <c r="G546" s="37" t="s">
        <v>412</v>
      </c>
      <c r="H546" s="38" t="s">
        <v>19</v>
      </c>
      <c r="I546" s="39">
        <v>1.2017754E8</v>
      </c>
    </row>
    <row r="547">
      <c r="A547" s="33" t="s">
        <v>74</v>
      </c>
      <c r="B547" s="34" t="s">
        <v>233</v>
      </c>
      <c r="C547" s="35" t="s">
        <v>234</v>
      </c>
      <c r="D547" s="36">
        <v>4.0</v>
      </c>
      <c r="E547" s="35" t="s">
        <v>409</v>
      </c>
      <c r="F547" s="36">
        <v>5.1100057E7</v>
      </c>
      <c r="G547" s="37" t="s">
        <v>427</v>
      </c>
      <c r="H547" s="38" t="s">
        <v>37</v>
      </c>
      <c r="I547" s="39">
        <v>1620725.0</v>
      </c>
    </row>
    <row r="548">
      <c r="A548" s="33" t="s">
        <v>74</v>
      </c>
      <c r="B548" s="34" t="s">
        <v>233</v>
      </c>
      <c r="C548" s="35" t="s">
        <v>234</v>
      </c>
      <c r="D548" s="36">
        <v>4.0</v>
      </c>
      <c r="E548" s="35" t="s">
        <v>416</v>
      </c>
      <c r="F548" s="36">
        <v>9.0042078E7</v>
      </c>
      <c r="G548" s="37" t="s">
        <v>428</v>
      </c>
      <c r="H548" s="38" t="s">
        <v>19</v>
      </c>
      <c r="I548" s="39">
        <v>1968450.0</v>
      </c>
    </row>
    <row r="549">
      <c r="A549" s="33" t="s">
        <v>74</v>
      </c>
      <c r="B549" s="34" t="s">
        <v>233</v>
      </c>
      <c r="C549" s="35" t="s">
        <v>234</v>
      </c>
      <c r="D549" s="36">
        <v>4.0</v>
      </c>
      <c r="E549" s="35" t="s">
        <v>416</v>
      </c>
      <c r="F549" s="36">
        <v>9.0042079E7</v>
      </c>
      <c r="G549" s="37" t="s">
        <v>422</v>
      </c>
      <c r="H549" s="38" t="s">
        <v>19</v>
      </c>
      <c r="I549" s="39">
        <v>640000.0</v>
      </c>
    </row>
    <row r="550">
      <c r="A550" s="33" t="s">
        <v>74</v>
      </c>
      <c r="B550" s="34" t="s">
        <v>233</v>
      </c>
      <c r="C550" s="35" t="s">
        <v>234</v>
      </c>
      <c r="D550" s="36">
        <v>4.0</v>
      </c>
      <c r="E550" s="35" t="s">
        <v>416</v>
      </c>
      <c r="F550" s="36">
        <v>9.0043E7</v>
      </c>
      <c r="G550" s="37" t="s">
        <v>412</v>
      </c>
      <c r="H550" s="38" t="s">
        <v>19</v>
      </c>
      <c r="I550" s="39">
        <v>2.002959E7</v>
      </c>
    </row>
    <row r="551">
      <c r="A551" s="33" t="s">
        <v>74</v>
      </c>
      <c r="B551" s="34" t="s">
        <v>244</v>
      </c>
      <c r="C551" s="35" t="s">
        <v>245</v>
      </c>
      <c r="D551" s="36">
        <v>4.0</v>
      </c>
      <c r="E551" s="35" t="s">
        <v>409</v>
      </c>
      <c r="F551" s="36">
        <v>5.1100064E7</v>
      </c>
      <c r="G551" s="37" t="s">
        <v>414</v>
      </c>
      <c r="H551" s="38" t="s">
        <v>37</v>
      </c>
      <c r="I551" s="39">
        <v>960000.0</v>
      </c>
    </row>
    <row r="552">
      <c r="A552" s="33" t="s">
        <v>74</v>
      </c>
      <c r="B552" s="34" t="s">
        <v>244</v>
      </c>
      <c r="C552" s="35" t="s">
        <v>245</v>
      </c>
      <c r="D552" s="36">
        <v>4.0</v>
      </c>
      <c r="E552" s="35" t="s">
        <v>409</v>
      </c>
      <c r="F552" s="36">
        <v>9.0042077E7</v>
      </c>
      <c r="G552" s="37" t="s">
        <v>410</v>
      </c>
      <c r="H552" s="38" t="s">
        <v>19</v>
      </c>
      <c r="I552" s="39">
        <v>2.5168493E7</v>
      </c>
    </row>
    <row r="553">
      <c r="A553" s="33" t="s">
        <v>74</v>
      </c>
      <c r="B553" s="34" t="s">
        <v>244</v>
      </c>
      <c r="C553" s="35" t="s">
        <v>245</v>
      </c>
      <c r="D553" s="36">
        <v>4.0</v>
      </c>
      <c r="E553" s="35" t="s">
        <v>409</v>
      </c>
      <c r="F553" s="36">
        <v>9.0043001E7</v>
      </c>
      <c r="G553" s="37" t="s">
        <v>411</v>
      </c>
      <c r="H553" s="38" t="s">
        <v>19</v>
      </c>
      <c r="I553" s="39">
        <v>3.76155792E8</v>
      </c>
    </row>
    <row r="554">
      <c r="A554" s="33" t="s">
        <v>74</v>
      </c>
      <c r="B554" s="34" t="s">
        <v>244</v>
      </c>
      <c r="C554" s="35" t="s">
        <v>245</v>
      </c>
      <c r="D554" s="36">
        <v>4.0</v>
      </c>
      <c r="E554" s="35" t="s">
        <v>409</v>
      </c>
      <c r="F554" s="36">
        <v>9.0043E7</v>
      </c>
      <c r="G554" s="37" t="s">
        <v>412</v>
      </c>
      <c r="H554" s="38" t="s">
        <v>19</v>
      </c>
      <c r="I554" s="39">
        <v>1.3067334E8</v>
      </c>
    </row>
    <row r="555">
      <c r="A555" s="33" t="s">
        <v>74</v>
      </c>
      <c r="B555" s="34" t="s">
        <v>244</v>
      </c>
      <c r="C555" s="35" t="s">
        <v>245</v>
      </c>
      <c r="D555" s="36">
        <v>4.0</v>
      </c>
      <c r="E555" s="35" t="s">
        <v>416</v>
      </c>
      <c r="F555" s="36">
        <v>9.004208E7</v>
      </c>
      <c r="G555" s="37" t="s">
        <v>419</v>
      </c>
      <c r="H555" s="38" t="s">
        <v>25</v>
      </c>
      <c r="I555" s="39">
        <v>450000.0</v>
      </c>
    </row>
    <row r="556">
      <c r="A556" s="33" t="s">
        <v>74</v>
      </c>
      <c r="B556" s="34" t="s">
        <v>244</v>
      </c>
      <c r="C556" s="35" t="s">
        <v>245</v>
      </c>
      <c r="D556" s="36">
        <v>4.0</v>
      </c>
      <c r="E556" s="35" t="s">
        <v>416</v>
      </c>
      <c r="F556" s="36">
        <v>9.0043001E7</v>
      </c>
      <c r="G556" s="37" t="s">
        <v>411</v>
      </c>
      <c r="H556" s="38" t="s">
        <v>19</v>
      </c>
      <c r="I556" s="39">
        <v>2.46696872E8</v>
      </c>
    </row>
    <row r="557">
      <c r="A557" s="33" t="s">
        <v>74</v>
      </c>
      <c r="B557" s="34" t="s">
        <v>244</v>
      </c>
      <c r="C557" s="35" t="s">
        <v>245</v>
      </c>
      <c r="D557" s="36">
        <v>4.0</v>
      </c>
      <c r="E557" s="35" t="s">
        <v>416</v>
      </c>
      <c r="F557" s="36">
        <v>9.0043E7</v>
      </c>
      <c r="G557" s="37" t="s">
        <v>412</v>
      </c>
      <c r="H557" s="38" t="s">
        <v>19</v>
      </c>
      <c r="I557" s="39">
        <v>1.05621135E8</v>
      </c>
    </row>
    <row r="558">
      <c r="A558" s="33" t="s">
        <v>74</v>
      </c>
      <c r="B558" s="34" t="s">
        <v>254</v>
      </c>
      <c r="C558" s="35" t="s">
        <v>255</v>
      </c>
      <c r="D558" s="36">
        <v>4.0</v>
      </c>
      <c r="E558" s="35" t="s">
        <v>417</v>
      </c>
      <c r="F558" s="36">
        <v>5.1100064E7</v>
      </c>
      <c r="G558" s="37" t="s">
        <v>414</v>
      </c>
      <c r="H558" s="38" t="s">
        <v>37</v>
      </c>
      <c r="I558" s="39">
        <v>2128000.0</v>
      </c>
    </row>
    <row r="559">
      <c r="A559" s="33" t="s">
        <v>74</v>
      </c>
      <c r="B559" s="34" t="s">
        <v>254</v>
      </c>
      <c r="C559" s="35" t="s">
        <v>255</v>
      </c>
      <c r="D559" s="36">
        <v>4.0</v>
      </c>
      <c r="E559" s="35" t="s">
        <v>409</v>
      </c>
      <c r="F559" s="36">
        <v>5.1100064E7</v>
      </c>
      <c r="G559" s="37" t="s">
        <v>414</v>
      </c>
      <c r="H559" s="38" t="s">
        <v>37</v>
      </c>
      <c r="I559" s="39">
        <v>2.0031772E7</v>
      </c>
    </row>
    <row r="560">
      <c r="A560" s="33" t="s">
        <v>74</v>
      </c>
      <c r="B560" s="34" t="s">
        <v>254</v>
      </c>
      <c r="C560" s="35" t="s">
        <v>255</v>
      </c>
      <c r="D560" s="36">
        <v>4.0</v>
      </c>
      <c r="E560" s="35" t="s">
        <v>409</v>
      </c>
      <c r="F560" s="36">
        <v>9.0042077E7</v>
      </c>
      <c r="G560" s="37" t="s">
        <v>410</v>
      </c>
      <c r="H560" s="38" t="s">
        <v>19</v>
      </c>
      <c r="I560" s="39">
        <v>8077767.0</v>
      </c>
    </row>
    <row r="561">
      <c r="A561" s="33" t="s">
        <v>74</v>
      </c>
      <c r="B561" s="34" t="s">
        <v>254</v>
      </c>
      <c r="C561" s="35" t="s">
        <v>255</v>
      </c>
      <c r="D561" s="36">
        <v>4.0</v>
      </c>
      <c r="E561" s="35" t="s">
        <v>409</v>
      </c>
      <c r="F561" s="36">
        <v>9.0043001E7</v>
      </c>
      <c r="G561" s="37" t="s">
        <v>411</v>
      </c>
      <c r="H561" s="38" t="s">
        <v>19</v>
      </c>
      <c r="I561" s="39">
        <v>2.06618058E8</v>
      </c>
    </row>
    <row r="562">
      <c r="A562" s="33" t="s">
        <v>74</v>
      </c>
      <c r="B562" s="34" t="s">
        <v>254</v>
      </c>
      <c r="C562" s="35" t="s">
        <v>255</v>
      </c>
      <c r="D562" s="36">
        <v>4.0</v>
      </c>
      <c r="E562" s="35" t="s">
        <v>409</v>
      </c>
      <c r="F562" s="36">
        <v>9.0043E7</v>
      </c>
      <c r="G562" s="37" t="s">
        <v>412</v>
      </c>
      <c r="H562" s="38" t="s">
        <v>19</v>
      </c>
      <c r="I562" s="39">
        <v>6.298101E7</v>
      </c>
    </row>
    <row r="563">
      <c r="A563" s="33" t="s">
        <v>74</v>
      </c>
      <c r="B563" s="34" t="s">
        <v>254</v>
      </c>
      <c r="C563" s="35" t="s">
        <v>255</v>
      </c>
      <c r="D563" s="36">
        <v>4.0</v>
      </c>
      <c r="E563" s="35" t="s">
        <v>416</v>
      </c>
      <c r="F563" s="36">
        <v>5.1100064E7</v>
      </c>
      <c r="G563" s="37" t="s">
        <v>414</v>
      </c>
      <c r="H563" s="38" t="s">
        <v>37</v>
      </c>
      <c r="I563" s="39">
        <v>3993000.0</v>
      </c>
    </row>
    <row r="564">
      <c r="A564" s="33" t="s">
        <v>74</v>
      </c>
      <c r="B564" s="34" t="s">
        <v>254</v>
      </c>
      <c r="C564" s="35" t="s">
        <v>255</v>
      </c>
      <c r="D564" s="36">
        <v>4.0</v>
      </c>
      <c r="E564" s="35" t="s">
        <v>416</v>
      </c>
      <c r="F564" s="36">
        <v>9.0043001E7</v>
      </c>
      <c r="G564" s="37" t="s">
        <v>411</v>
      </c>
      <c r="H564" s="38" t="s">
        <v>19</v>
      </c>
      <c r="I564" s="39">
        <v>1.98328438E8</v>
      </c>
    </row>
    <row r="565">
      <c r="A565" s="33" t="s">
        <v>74</v>
      </c>
      <c r="B565" s="34" t="s">
        <v>254</v>
      </c>
      <c r="C565" s="35" t="s">
        <v>255</v>
      </c>
      <c r="D565" s="36">
        <v>4.0</v>
      </c>
      <c r="E565" s="35" t="s">
        <v>416</v>
      </c>
      <c r="F565" s="36">
        <v>9.0043E7</v>
      </c>
      <c r="G565" s="37" t="s">
        <v>412</v>
      </c>
      <c r="H565" s="38" t="s">
        <v>19</v>
      </c>
      <c r="I565" s="39">
        <v>8.397153E7</v>
      </c>
    </row>
    <row r="566">
      <c r="A566" s="33" t="s">
        <v>74</v>
      </c>
      <c r="B566" s="34" t="s">
        <v>254</v>
      </c>
      <c r="C566" s="35" t="s">
        <v>255</v>
      </c>
      <c r="D566" s="36">
        <v>4.0</v>
      </c>
      <c r="E566" s="35" t="s">
        <v>416</v>
      </c>
      <c r="F566" s="36">
        <v>5.1100402E7</v>
      </c>
      <c r="G566" s="37" t="s">
        <v>413</v>
      </c>
      <c r="H566" s="38" t="s">
        <v>19</v>
      </c>
      <c r="I566" s="39">
        <v>3261000.0</v>
      </c>
    </row>
    <row r="567">
      <c r="A567" s="33" t="s">
        <v>74</v>
      </c>
      <c r="B567" s="34" t="s">
        <v>259</v>
      </c>
      <c r="C567" s="35" t="s">
        <v>260</v>
      </c>
      <c r="D567" s="36">
        <v>4.0</v>
      </c>
      <c r="E567" s="35" t="s">
        <v>409</v>
      </c>
      <c r="F567" s="36">
        <v>5.1100064E7</v>
      </c>
      <c r="G567" s="37" t="s">
        <v>414</v>
      </c>
      <c r="H567" s="38" t="s">
        <v>37</v>
      </c>
      <c r="I567" s="39">
        <v>1.8383354E7</v>
      </c>
    </row>
    <row r="568">
      <c r="A568" s="33" t="s">
        <v>74</v>
      </c>
      <c r="B568" s="34" t="s">
        <v>259</v>
      </c>
      <c r="C568" s="35" t="s">
        <v>260</v>
      </c>
      <c r="D568" s="36">
        <v>4.0</v>
      </c>
      <c r="E568" s="35" t="s">
        <v>409</v>
      </c>
      <c r="F568" s="36">
        <v>5.1100064E7</v>
      </c>
      <c r="G568" s="37" t="s">
        <v>414</v>
      </c>
      <c r="H568" s="38" t="s">
        <v>25</v>
      </c>
      <c r="I568" s="39">
        <v>2589000.0</v>
      </c>
    </row>
    <row r="569">
      <c r="A569" s="33" t="s">
        <v>74</v>
      </c>
      <c r="B569" s="34" t="s">
        <v>259</v>
      </c>
      <c r="C569" s="35" t="s">
        <v>260</v>
      </c>
      <c r="D569" s="36">
        <v>4.0</v>
      </c>
      <c r="E569" s="35" t="s">
        <v>409</v>
      </c>
      <c r="F569" s="36">
        <v>9.0042077E7</v>
      </c>
      <c r="G569" s="37" t="s">
        <v>410</v>
      </c>
      <c r="H569" s="38" t="s">
        <v>19</v>
      </c>
      <c r="I569" s="39">
        <v>1.4111714E7</v>
      </c>
    </row>
    <row r="570">
      <c r="A570" s="33" t="s">
        <v>74</v>
      </c>
      <c r="B570" s="34" t="s">
        <v>259</v>
      </c>
      <c r="C570" s="35" t="s">
        <v>260</v>
      </c>
      <c r="D570" s="36">
        <v>4.0</v>
      </c>
      <c r="E570" s="35" t="s">
        <v>409</v>
      </c>
      <c r="F570" s="36">
        <v>9.0043001E7</v>
      </c>
      <c r="G570" s="37" t="s">
        <v>411</v>
      </c>
      <c r="H570" s="38" t="s">
        <v>19</v>
      </c>
      <c r="I570" s="39">
        <v>1.86435505E8</v>
      </c>
    </row>
    <row r="571">
      <c r="A571" s="33" t="s">
        <v>74</v>
      </c>
      <c r="B571" s="34" t="s">
        <v>259</v>
      </c>
      <c r="C571" s="35" t="s">
        <v>260</v>
      </c>
      <c r="D571" s="36">
        <v>4.0</v>
      </c>
      <c r="E571" s="35" t="s">
        <v>409</v>
      </c>
      <c r="F571" s="36">
        <v>9.0043E7</v>
      </c>
      <c r="G571" s="37" t="s">
        <v>412</v>
      </c>
      <c r="H571" s="38" t="s">
        <v>19</v>
      </c>
      <c r="I571" s="39">
        <v>4.776045E7</v>
      </c>
    </row>
    <row r="572">
      <c r="A572" s="33" t="s">
        <v>74</v>
      </c>
      <c r="B572" s="34" t="s">
        <v>259</v>
      </c>
      <c r="C572" s="35" t="s">
        <v>260</v>
      </c>
      <c r="D572" s="36">
        <v>4.0</v>
      </c>
      <c r="E572" s="35" t="s">
        <v>409</v>
      </c>
      <c r="F572" s="36">
        <v>5.1100062E7</v>
      </c>
      <c r="G572" s="37" t="s">
        <v>423</v>
      </c>
      <c r="H572" s="38" t="s">
        <v>37</v>
      </c>
      <c r="I572" s="39">
        <v>597500.0</v>
      </c>
    </row>
    <row r="573">
      <c r="A573" s="33" t="s">
        <v>74</v>
      </c>
      <c r="B573" s="34" t="s">
        <v>259</v>
      </c>
      <c r="C573" s="35" t="s">
        <v>260</v>
      </c>
      <c r="D573" s="36">
        <v>4.0</v>
      </c>
      <c r="E573" s="35" t="s">
        <v>416</v>
      </c>
      <c r="F573" s="36">
        <v>9.0043001E7</v>
      </c>
      <c r="G573" s="37" t="s">
        <v>411</v>
      </c>
      <c r="H573" s="38" t="s">
        <v>19</v>
      </c>
      <c r="I573" s="39">
        <v>1.5582226E8</v>
      </c>
    </row>
    <row r="574">
      <c r="A574" s="33" t="s">
        <v>74</v>
      </c>
      <c r="B574" s="34" t="s">
        <v>259</v>
      </c>
      <c r="C574" s="35" t="s">
        <v>260</v>
      </c>
      <c r="D574" s="36">
        <v>4.0</v>
      </c>
      <c r="E574" s="35" t="s">
        <v>416</v>
      </c>
      <c r="F574" s="36">
        <v>9.0043E7</v>
      </c>
      <c r="G574" s="37" t="s">
        <v>412</v>
      </c>
      <c r="H574" s="38" t="s">
        <v>19</v>
      </c>
      <c r="I574" s="39">
        <v>2.1165E7</v>
      </c>
    </row>
    <row r="575">
      <c r="A575" s="33" t="s">
        <v>74</v>
      </c>
      <c r="B575" s="34" t="s">
        <v>66</v>
      </c>
      <c r="C575" s="35" t="s">
        <v>67</v>
      </c>
      <c r="D575" s="36">
        <v>4.0</v>
      </c>
      <c r="E575" s="35" t="s">
        <v>417</v>
      </c>
      <c r="F575" s="36">
        <v>9.0043001E7</v>
      </c>
      <c r="G575" s="37" t="s">
        <v>411</v>
      </c>
      <c r="H575" s="38" t="s">
        <v>19</v>
      </c>
      <c r="I575" s="39">
        <v>1.83813E7</v>
      </c>
    </row>
    <row r="576">
      <c r="A576" s="33" t="s">
        <v>74</v>
      </c>
      <c r="B576" s="34" t="s">
        <v>66</v>
      </c>
      <c r="C576" s="35" t="s">
        <v>67</v>
      </c>
      <c r="D576" s="36">
        <v>4.0</v>
      </c>
      <c r="E576" s="35" t="s">
        <v>409</v>
      </c>
      <c r="F576" s="36">
        <v>5.1100064E7</v>
      </c>
      <c r="G576" s="37" t="s">
        <v>414</v>
      </c>
      <c r="H576" s="38" t="s">
        <v>37</v>
      </c>
      <c r="I576" s="39">
        <v>1.3104E7</v>
      </c>
    </row>
    <row r="577">
      <c r="A577" s="33" t="s">
        <v>74</v>
      </c>
      <c r="B577" s="34" t="s">
        <v>66</v>
      </c>
      <c r="C577" s="35" t="s">
        <v>67</v>
      </c>
      <c r="D577" s="36">
        <v>4.0</v>
      </c>
      <c r="E577" s="35" t="s">
        <v>409</v>
      </c>
      <c r="F577" s="36">
        <v>9.0042077E7</v>
      </c>
      <c r="G577" s="37" t="s">
        <v>410</v>
      </c>
      <c r="H577" s="38" t="s">
        <v>19</v>
      </c>
      <c r="I577" s="39">
        <v>2.0535474E7</v>
      </c>
    </row>
    <row r="578">
      <c r="A578" s="33" t="s">
        <v>74</v>
      </c>
      <c r="B578" s="34" t="s">
        <v>66</v>
      </c>
      <c r="C578" s="35" t="s">
        <v>67</v>
      </c>
      <c r="D578" s="36">
        <v>4.0</v>
      </c>
      <c r="E578" s="35" t="s">
        <v>409</v>
      </c>
      <c r="F578" s="36">
        <v>9.0043001E7</v>
      </c>
      <c r="G578" s="37" t="s">
        <v>411</v>
      </c>
      <c r="H578" s="38" t="s">
        <v>19</v>
      </c>
      <c r="I578" s="39">
        <v>3.26990995E8</v>
      </c>
    </row>
    <row r="579">
      <c r="A579" s="33" t="s">
        <v>74</v>
      </c>
      <c r="B579" s="34" t="s">
        <v>66</v>
      </c>
      <c r="C579" s="35" t="s">
        <v>67</v>
      </c>
      <c r="D579" s="36">
        <v>4.0</v>
      </c>
      <c r="E579" s="35" t="s">
        <v>409</v>
      </c>
      <c r="F579" s="36">
        <v>9.0043E7</v>
      </c>
      <c r="G579" s="37" t="s">
        <v>412</v>
      </c>
      <c r="H579" s="38" t="s">
        <v>19</v>
      </c>
      <c r="I579" s="39">
        <v>8.5175775E7</v>
      </c>
    </row>
    <row r="580">
      <c r="A580" s="33" t="s">
        <v>74</v>
      </c>
      <c r="B580" s="34" t="s">
        <v>66</v>
      </c>
      <c r="C580" s="35" t="s">
        <v>67</v>
      </c>
      <c r="D580" s="36">
        <v>4.0</v>
      </c>
      <c r="E580" s="35" t="s">
        <v>416</v>
      </c>
      <c r="F580" s="36">
        <v>9.0042078E7</v>
      </c>
      <c r="G580" s="37" t="s">
        <v>428</v>
      </c>
      <c r="H580" s="38" t="s">
        <v>19</v>
      </c>
      <c r="I580" s="39">
        <v>630000.0</v>
      </c>
    </row>
    <row r="581">
      <c r="A581" s="33" t="s">
        <v>74</v>
      </c>
      <c r="B581" s="34" t="s">
        <v>66</v>
      </c>
      <c r="C581" s="35" t="s">
        <v>67</v>
      </c>
      <c r="D581" s="36">
        <v>4.0</v>
      </c>
      <c r="E581" s="35" t="s">
        <v>416</v>
      </c>
      <c r="F581" s="36">
        <v>9.004208E7</v>
      </c>
      <c r="G581" s="37" t="s">
        <v>419</v>
      </c>
      <c r="H581" s="38" t="s">
        <v>25</v>
      </c>
      <c r="I581" s="39">
        <v>2012030.0</v>
      </c>
    </row>
    <row r="582">
      <c r="A582" s="33" t="s">
        <v>74</v>
      </c>
      <c r="B582" s="34" t="s">
        <v>66</v>
      </c>
      <c r="C582" s="35" t="s">
        <v>67</v>
      </c>
      <c r="D582" s="36">
        <v>4.0</v>
      </c>
      <c r="E582" s="35" t="s">
        <v>416</v>
      </c>
      <c r="F582" s="36">
        <v>9.0043001E7</v>
      </c>
      <c r="G582" s="37" t="s">
        <v>411</v>
      </c>
      <c r="H582" s="38" t="s">
        <v>19</v>
      </c>
      <c r="I582" s="39">
        <v>2.46575283E8</v>
      </c>
    </row>
    <row r="583">
      <c r="A583" s="33" t="s">
        <v>74</v>
      </c>
      <c r="B583" s="34" t="s">
        <v>66</v>
      </c>
      <c r="C583" s="35" t="s">
        <v>67</v>
      </c>
      <c r="D583" s="36">
        <v>4.0</v>
      </c>
      <c r="E583" s="35" t="s">
        <v>416</v>
      </c>
      <c r="F583" s="36">
        <v>9.0043E7</v>
      </c>
      <c r="G583" s="37" t="s">
        <v>412</v>
      </c>
      <c r="H583" s="38" t="s">
        <v>19</v>
      </c>
      <c r="I583" s="39">
        <v>6.970614E7</v>
      </c>
    </row>
    <row r="584">
      <c r="A584" s="33" t="s">
        <v>11</v>
      </c>
      <c r="B584" s="34" t="s">
        <v>12</v>
      </c>
      <c r="C584" s="35" t="s">
        <v>13</v>
      </c>
      <c r="D584" s="36">
        <v>5.0</v>
      </c>
      <c r="E584" s="35" t="s">
        <v>409</v>
      </c>
      <c r="F584" s="36">
        <v>9.0042077E7</v>
      </c>
      <c r="G584" s="37" t="s">
        <v>410</v>
      </c>
      <c r="H584" s="38" t="s">
        <v>19</v>
      </c>
      <c r="I584" s="39">
        <v>2070000.0</v>
      </c>
    </row>
    <row r="585">
      <c r="A585" s="33" t="s">
        <v>11</v>
      </c>
      <c r="B585" s="34" t="s">
        <v>12</v>
      </c>
      <c r="C585" s="35" t="s">
        <v>13</v>
      </c>
      <c r="D585" s="36">
        <v>5.0</v>
      </c>
      <c r="E585" s="35" t="s">
        <v>409</v>
      </c>
      <c r="F585" s="36">
        <v>9.0043001E7</v>
      </c>
      <c r="G585" s="37" t="s">
        <v>411</v>
      </c>
      <c r="H585" s="38" t="s">
        <v>19</v>
      </c>
      <c r="I585" s="39">
        <v>3.0342228E7</v>
      </c>
    </row>
    <row r="586">
      <c r="A586" s="33" t="s">
        <v>11</v>
      </c>
      <c r="B586" s="34" t="s">
        <v>12</v>
      </c>
      <c r="C586" s="35" t="s">
        <v>13</v>
      </c>
      <c r="D586" s="36">
        <v>5.0</v>
      </c>
      <c r="E586" s="35" t="s">
        <v>409</v>
      </c>
      <c r="F586" s="36">
        <v>9.0043E7</v>
      </c>
      <c r="G586" s="37" t="s">
        <v>412</v>
      </c>
      <c r="H586" s="38" t="s">
        <v>19</v>
      </c>
      <c r="I586" s="39">
        <v>2.3748834E7</v>
      </c>
    </row>
    <row r="587">
      <c r="A587" s="33" t="s">
        <v>11</v>
      </c>
      <c r="B587" s="34" t="s">
        <v>32</v>
      </c>
      <c r="C587" s="35" t="s">
        <v>33</v>
      </c>
      <c r="D587" s="36">
        <v>5.0</v>
      </c>
      <c r="E587" s="35" t="s">
        <v>409</v>
      </c>
      <c r="F587" s="36">
        <v>5.1100064E7</v>
      </c>
      <c r="G587" s="37" t="s">
        <v>414</v>
      </c>
      <c r="H587" s="38" t="s">
        <v>37</v>
      </c>
      <c r="I587" s="39">
        <v>940160.0</v>
      </c>
    </row>
    <row r="588">
      <c r="A588" s="33" t="s">
        <v>11</v>
      </c>
      <c r="B588" s="34" t="s">
        <v>32</v>
      </c>
      <c r="C588" s="35" t="s">
        <v>33</v>
      </c>
      <c r="D588" s="36">
        <v>5.0</v>
      </c>
      <c r="E588" s="35" t="s">
        <v>409</v>
      </c>
      <c r="F588" s="36">
        <v>5.1100064E7</v>
      </c>
      <c r="G588" s="37" t="s">
        <v>414</v>
      </c>
      <c r="H588" s="38" t="s">
        <v>25</v>
      </c>
      <c r="I588" s="39">
        <v>1101000.0</v>
      </c>
    </row>
    <row r="589">
      <c r="A589" s="33" t="s">
        <v>11</v>
      </c>
      <c r="B589" s="34" t="s">
        <v>32</v>
      </c>
      <c r="C589" s="35" t="s">
        <v>33</v>
      </c>
      <c r="D589" s="36">
        <v>5.0</v>
      </c>
      <c r="E589" s="35" t="s">
        <v>409</v>
      </c>
      <c r="F589" s="36">
        <v>5.1100441E7</v>
      </c>
      <c r="G589" s="37" t="s">
        <v>415</v>
      </c>
      <c r="H589" s="38" t="s">
        <v>19</v>
      </c>
      <c r="I589" s="39">
        <v>648000.0</v>
      </c>
    </row>
    <row r="590">
      <c r="A590" s="33" t="s">
        <v>11</v>
      </c>
      <c r="B590" s="34" t="s">
        <v>32</v>
      </c>
      <c r="C590" s="35" t="s">
        <v>33</v>
      </c>
      <c r="D590" s="36">
        <v>5.0</v>
      </c>
      <c r="E590" s="35" t="s">
        <v>409</v>
      </c>
      <c r="F590" s="36">
        <v>5.1100442E7</v>
      </c>
      <c r="G590" s="37" t="s">
        <v>415</v>
      </c>
      <c r="H590" s="38" t="s">
        <v>19</v>
      </c>
      <c r="I590" s="39">
        <v>360000.0</v>
      </c>
    </row>
    <row r="591">
      <c r="A591" s="33" t="s">
        <v>11</v>
      </c>
      <c r="B591" s="34" t="s">
        <v>32</v>
      </c>
      <c r="C591" s="35" t="s">
        <v>33</v>
      </c>
      <c r="D591" s="36">
        <v>5.0</v>
      </c>
      <c r="E591" s="35" t="s">
        <v>409</v>
      </c>
      <c r="F591" s="36">
        <v>9.0042077E7</v>
      </c>
      <c r="G591" s="37" t="s">
        <v>410</v>
      </c>
      <c r="H591" s="38" t="s">
        <v>19</v>
      </c>
      <c r="I591" s="39">
        <v>1.7793049E7</v>
      </c>
    </row>
    <row r="592">
      <c r="A592" s="33" t="s">
        <v>11</v>
      </c>
      <c r="B592" s="34" t="s">
        <v>32</v>
      </c>
      <c r="C592" s="35" t="s">
        <v>33</v>
      </c>
      <c r="D592" s="36">
        <v>5.0</v>
      </c>
      <c r="E592" s="35" t="s">
        <v>409</v>
      </c>
      <c r="F592" s="36">
        <v>9.0043001E7</v>
      </c>
      <c r="G592" s="37" t="s">
        <v>411</v>
      </c>
      <c r="H592" s="38" t="s">
        <v>19</v>
      </c>
      <c r="I592" s="39">
        <v>2.3565237E7</v>
      </c>
    </row>
    <row r="593">
      <c r="A593" s="33" t="s">
        <v>11</v>
      </c>
      <c r="B593" s="34" t="s">
        <v>32</v>
      </c>
      <c r="C593" s="35" t="s">
        <v>33</v>
      </c>
      <c r="D593" s="36">
        <v>5.0</v>
      </c>
      <c r="E593" s="35" t="s">
        <v>409</v>
      </c>
      <c r="F593" s="36">
        <v>9.0043E7</v>
      </c>
      <c r="G593" s="37" t="s">
        <v>412</v>
      </c>
      <c r="H593" s="38" t="s">
        <v>19</v>
      </c>
      <c r="I593" s="39">
        <v>1.28415268E8</v>
      </c>
    </row>
    <row r="594">
      <c r="A594" s="33" t="s">
        <v>11</v>
      </c>
      <c r="B594" s="34" t="s">
        <v>32</v>
      </c>
      <c r="C594" s="35" t="s">
        <v>33</v>
      </c>
      <c r="D594" s="36">
        <v>5.0</v>
      </c>
      <c r="E594" s="35" t="s">
        <v>416</v>
      </c>
      <c r="F594" s="36">
        <v>9.0043E7</v>
      </c>
      <c r="G594" s="37" t="s">
        <v>412</v>
      </c>
      <c r="H594" s="38" t="s">
        <v>19</v>
      </c>
      <c r="I594" s="39">
        <v>3.1997642E7</v>
      </c>
    </row>
    <row r="595">
      <c r="A595" s="33" t="s">
        <v>74</v>
      </c>
      <c r="B595" s="34" t="s">
        <v>75</v>
      </c>
      <c r="C595" s="35" t="s">
        <v>76</v>
      </c>
      <c r="D595" s="36">
        <v>5.0</v>
      </c>
      <c r="E595" s="35" t="s">
        <v>417</v>
      </c>
      <c r="F595" s="36">
        <v>9.0042084E7</v>
      </c>
      <c r="G595" s="37" t="s">
        <v>418</v>
      </c>
      <c r="H595" s="38" t="s">
        <v>19</v>
      </c>
      <c r="I595" s="39">
        <v>2243685.0</v>
      </c>
    </row>
    <row r="596">
      <c r="A596" s="33" t="s">
        <v>74</v>
      </c>
      <c r="B596" s="34" t="s">
        <v>75</v>
      </c>
      <c r="C596" s="35" t="s">
        <v>76</v>
      </c>
      <c r="D596" s="36">
        <v>5.0</v>
      </c>
      <c r="E596" s="35" t="s">
        <v>417</v>
      </c>
      <c r="F596" s="36">
        <v>9.0043001E7</v>
      </c>
      <c r="G596" s="37" t="s">
        <v>411</v>
      </c>
      <c r="H596" s="38" t="s">
        <v>19</v>
      </c>
      <c r="I596" s="39">
        <v>2.4998448E7</v>
      </c>
    </row>
    <row r="597">
      <c r="A597" s="33" t="s">
        <v>74</v>
      </c>
      <c r="B597" s="34" t="s">
        <v>75</v>
      </c>
      <c r="C597" s="35" t="s">
        <v>76</v>
      </c>
      <c r="D597" s="36">
        <v>5.0</v>
      </c>
      <c r="E597" s="35" t="s">
        <v>417</v>
      </c>
      <c r="F597" s="36">
        <v>9.0043E7</v>
      </c>
      <c r="G597" s="37" t="s">
        <v>412</v>
      </c>
      <c r="H597" s="38" t="s">
        <v>19</v>
      </c>
      <c r="I597" s="39">
        <v>3.4377074E7</v>
      </c>
    </row>
    <row r="598">
      <c r="A598" s="33" t="s">
        <v>74</v>
      </c>
      <c r="B598" s="34" t="s">
        <v>75</v>
      </c>
      <c r="C598" s="35" t="s">
        <v>76</v>
      </c>
      <c r="D598" s="36">
        <v>5.0</v>
      </c>
      <c r="E598" s="35" t="s">
        <v>409</v>
      </c>
      <c r="F598" s="36">
        <v>5.1100064E7</v>
      </c>
      <c r="G598" s="37" t="s">
        <v>414</v>
      </c>
      <c r="H598" s="38" t="s">
        <v>37</v>
      </c>
      <c r="I598" s="39">
        <v>5.0813285E7</v>
      </c>
    </row>
    <row r="599">
      <c r="A599" s="33" t="s">
        <v>74</v>
      </c>
      <c r="B599" s="34" t="s">
        <v>75</v>
      </c>
      <c r="C599" s="35" t="s">
        <v>76</v>
      </c>
      <c r="D599" s="36">
        <v>5.0</v>
      </c>
      <c r="E599" s="35" t="s">
        <v>409</v>
      </c>
      <c r="F599" s="36">
        <v>9.0042077E7</v>
      </c>
      <c r="G599" s="37" t="s">
        <v>410</v>
      </c>
      <c r="H599" s="38" t="s">
        <v>19</v>
      </c>
      <c r="I599" s="39">
        <v>9.3432022E7</v>
      </c>
    </row>
    <row r="600">
      <c r="A600" s="33" t="s">
        <v>74</v>
      </c>
      <c r="B600" s="34" t="s">
        <v>75</v>
      </c>
      <c r="C600" s="35" t="s">
        <v>76</v>
      </c>
      <c r="D600" s="36">
        <v>5.0</v>
      </c>
      <c r="E600" s="35" t="s">
        <v>409</v>
      </c>
      <c r="F600" s="36">
        <v>9.0043001E7</v>
      </c>
      <c r="G600" s="37" t="s">
        <v>411</v>
      </c>
      <c r="H600" s="38" t="s">
        <v>19</v>
      </c>
      <c r="I600" s="39">
        <v>4.12658324E8</v>
      </c>
    </row>
    <row r="601">
      <c r="A601" s="33" t="s">
        <v>74</v>
      </c>
      <c r="B601" s="34" t="s">
        <v>75</v>
      </c>
      <c r="C601" s="35" t="s">
        <v>76</v>
      </c>
      <c r="D601" s="36">
        <v>5.0</v>
      </c>
      <c r="E601" s="35" t="s">
        <v>409</v>
      </c>
      <c r="F601" s="36">
        <v>9.0043E7</v>
      </c>
      <c r="G601" s="37" t="s">
        <v>412</v>
      </c>
      <c r="H601" s="38" t="s">
        <v>19</v>
      </c>
      <c r="I601" s="39">
        <v>1.69115E8</v>
      </c>
    </row>
    <row r="602">
      <c r="A602" s="33" t="s">
        <v>74</v>
      </c>
      <c r="B602" s="34" t="s">
        <v>75</v>
      </c>
      <c r="C602" s="35" t="s">
        <v>76</v>
      </c>
      <c r="D602" s="36">
        <v>5.0</v>
      </c>
      <c r="E602" s="35" t="s">
        <v>409</v>
      </c>
      <c r="F602" s="36">
        <v>5.1100063E7</v>
      </c>
      <c r="G602" s="37" t="s">
        <v>430</v>
      </c>
      <c r="H602" s="38" t="s">
        <v>37</v>
      </c>
      <c r="I602" s="39">
        <v>200000.0</v>
      </c>
    </row>
    <row r="603">
      <c r="A603" s="33" t="s">
        <v>74</v>
      </c>
      <c r="B603" s="34" t="s">
        <v>75</v>
      </c>
      <c r="C603" s="35" t="s">
        <v>76</v>
      </c>
      <c r="D603" s="36">
        <v>5.0</v>
      </c>
      <c r="E603" s="35" t="s">
        <v>416</v>
      </c>
      <c r="F603" s="36">
        <v>5.1100064E7</v>
      </c>
      <c r="G603" s="37" t="s">
        <v>414</v>
      </c>
      <c r="H603" s="38" t="s">
        <v>37</v>
      </c>
      <c r="I603" s="39">
        <v>710000.0</v>
      </c>
    </row>
    <row r="604">
      <c r="A604" s="33" t="s">
        <v>74</v>
      </c>
      <c r="B604" s="34" t="s">
        <v>75</v>
      </c>
      <c r="C604" s="35" t="s">
        <v>76</v>
      </c>
      <c r="D604" s="36">
        <v>5.0</v>
      </c>
      <c r="E604" s="35" t="s">
        <v>416</v>
      </c>
      <c r="F604" s="36">
        <v>5.1100064E7</v>
      </c>
      <c r="G604" s="37" t="s">
        <v>414</v>
      </c>
      <c r="H604" s="38" t="s">
        <v>25</v>
      </c>
      <c r="I604" s="39">
        <v>250000.0</v>
      </c>
    </row>
    <row r="605">
      <c r="A605" s="33" t="s">
        <v>74</v>
      </c>
      <c r="B605" s="34" t="s">
        <v>75</v>
      </c>
      <c r="C605" s="35" t="s">
        <v>76</v>
      </c>
      <c r="D605" s="36">
        <v>5.0</v>
      </c>
      <c r="E605" s="35" t="s">
        <v>416</v>
      </c>
      <c r="F605" s="36">
        <v>9.0042078E7</v>
      </c>
      <c r="G605" s="37" t="s">
        <v>428</v>
      </c>
      <c r="H605" s="38" t="s">
        <v>19</v>
      </c>
      <c r="I605" s="39">
        <v>1527780.0</v>
      </c>
    </row>
    <row r="606">
      <c r="A606" s="33" t="s">
        <v>74</v>
      </c>
      <c r="B606" s="34" t="s">
        <v>75</v>
      </c>
      <c r="C606" s="35" t="s">
        <v>76</v>
      </c>
      <c r="D606" s="36">
        <v>5.0</v>
      </c>
      <c r="E606" s="35" t="s">
        <v>416</v>
      </c>
      <c r="F606" s="36">
        <v>9.004208E7</v>
      </c>
      <c r="G606" s="37" t="s">
        <v>419</v>
      </c>
      <c r="H606" s="38" t="s">
        <v>25</v>
      </c>
      <c r="I606" s="39">
        <v>2165000.0</v>
      </c>
    </row>
    <row r="607">
      <c r="A607" s="33" t="s">
        <v>74</v>
      </c>
      <c r="B607" s="34" t="s">
        <v>75</v>
      </c>
      <c r="C607" s="35" t="s">
        <v>76</v>
      </c>
      <c r="D607" s="36">
        <v>5.0</v>
      </c>
      <c r="E607" s="35" t="s">
        <v>416</v>
      </c>
      <c r="F607" s="36">
        <v>9.0043001E7</v>
      </c>
      <c r="G607" s="37" t="s">
        <v>411</v>
      </c>
      <c r="H607" s="38" t="s">
        <v>19</v>
      </c>
      <c r="I607" s="39">
        <v>4.4517836E8</v>
      </c>
    </row>
    <row r="608">
      <c r="A608" s="33" t="s">
        <v>74</v>
      </c>
      <c r="B608" s="34" t="s">
        <v>75</v>
      </c>
      <c r="C608" s="35" t="s">
        <v>76</v>
      </c>
      <c r="D608" s="36">
        <v>5.0</v>
      </c>
      <c r="E608" s="35" t="s">
        <v>416</v>
      </c>
      <c r="F608" s="36">
        <v>9.0043E7</v>
      </c>
      <c r="G608" s="37" t="s">
        <v>412</v>
      </c>
      <c r="H608" s="38" t="s">
        <v>19</v>
      </c>
      <c r="I608" s="39">
        <v>1.22694532E8</v>
      </c>
    </row>
    <row r="609">
      <c r="A609" s="33" t="s">
        <v>74</v>
      </c>
      <c r="B609" s="34" t="s">
        <v>75</v>
      </c>
      <c r="C609" s="35" t="s">
        <v>76</v>
      </c>
      <c r="D609" s="36">
        <v>5.0</v>
      </c>
      <c r="E609" s="35" t="s">
        <v>416</v>
      </c>
      <c r="F609" s="36">
        <v>5.1100062E7</v>
      </c>
      <c r="G609" s="37" t="s">
        <v>423</v>
      </c>
      <c r="H609" s="38" t="s">
        <v>37</v>
      </c>
      <c r="I609" s="39">
        <v>6725000.0</v>
      </c>
    </row>
    <row r="610">
      <c r="A610" s="33" t="s">
        <v>74</v>
      </c>
      <c r="B610" s="34" t="s">
        <v>75</v>
      </c>
      <c r="C610" s="35" t="s">
        <v>76</v>
      </c>
      <c r="D610" s="36">
        <v>5.0</v>
      </c>
      <c r="E610" s="35" t="e">
        <v>#N/A</v>
      </c>
      <c r="F610" s="36">
        <v>5.1100608E7</v>
      </c>
      <c r="G610" s="37" t="s">
        <v>431</v>
      </c>
      <c r="H610" s="38" t="s">
        <v>17</v>
      </c>
      <c r="I610" s="39">
        <v>4.8911257E7</v>
      </c>
    </row>
    <row r="611">
      <c r="A611" s="33" t="s">
        <v>74</v>
      </c>
      <c r="B611" s="34" t="s">
        <v>148</v>
      </c>
      <c r="C611" s="35" t="s">
        <v>149</v>
      </c>
      <c r="D611" s="36">
        <v>5.0</v>
      </c>
      <c r="E611" s="35" t="s">
        <v>417</v>
      </c>
      <c r="F611" s="36">
        <v>9.0042084E7</v>
      </c>
      <c r="G611" s="37" t="s">
        <v>418</v>
      </c>
      <c r="H611" s="38" t="s">
        <v>19</v>
      </c>
      <c r="I611" s="39">
        <v>3048853.0</v>
      </c>
    </row>
    <row r="612">
      <c r="A612" s="33" t="s">
        <v>74</v>
      </c>
      <c r="B612" s="34" t="s">
        <v>148</v>
      </c>
      <c r="C612" s="35" t="s">
        <v>149</v>
      </c>
      <c r="D612" s="36">
        <v>5.0</v>
      </c>
      <c r="E612" s="35" t="s">
        <v>417</v>
      </c>
      <c r="F612" s="36">
        <v>9.0043001E7</v>
      </c>
      <c r="G612" s="37" t="s">
        <v>411</v>
      </c>
      <c r="H612" s="38" t="s">
        <v>19</v>
      </c>
      <c r="I612" s="39">
        <v>6008289.0</v>
      </c>
    </row>
    <row r="613">
      <c r="A613" s="33" t="s">
        <v>74</v>
      </c>
      <c r="B613" s="34" t="s">
        <v>148</v>
      </c>
      <c r="C613" s="35" t="s">
        <v>149</v>
      </c>
      <c r="D613" s="36">
        <v>5.0</v>
      </c>
      <c r="E613" s="35" t="s">
        <v>417</v>
      </c>
      <c r="F613" s="36">
        <v>9.0043E7</v>
      </c>
      <c r="G613" s="37" t="s">
        <v>412</v>
      </c>
      <c r="H613" s="38" t="s">
        <v>19</v>
      </c>
      <c r="I613" s="39">
        <v>1.0918944E7</v>
      </c>
    </row>
    <row r="614">
      <c r="A614" s="33" t="s">
        <v>74</v>
      </c>
      <c r="B614" s="34" t="s">
        <v>148</v>
      </c>
      <c r="C614" s="35" t="s">
        <v>149</v>
      </c>
      <c r="D614" s="36">
        <v>5.0</v>
      </c>
      <c r="E614" s="35" t="s">
        <v>409</v>
      </c>
      <c r="F614" s="36">
        <v>5.1100064E7</v>
      </c>
      <c r="G614" s="37" t="s">
        <v>414</v>
      </c>
      <c r="H614" s="38" t="s">
        <v>25</v>
      </c>
      <c r="I614" s="39">
        <v>1280000.0</v>
      </c>
    </row>
    <row r="615">
      <c r="A615" s="33" t="s">
        <v>74</v>
      </c>
      <c r="B615" s="34" t="s">
        <v>148</v>
      </c>
      <c r="C615" s="35" t="s">
        <v>149</v>
      </c>
      <c r="D615" s="36">
        <v>5.0</v>
      </c>
      <c r="E615" s="35" t="s">
        <v>409</v>
      </c>
      <c r="F615" s="36">
        <v>9.0042077E7</v>
      </c>
      <c r="G615" s="37" t="s">
        <v>410</v>
      </c>
      <c r="H615" s="38" t="s">
        <v>19</v>
      </c>
      <c r="I615" s="39">
        <v>3.7174706E7</v>
      </c>
    </row>
    <row r="616">
      <c r="A616" s="33" t="s">
        <v>74</v>
      </c>
      <c r="B616" s="34" t="s">
        <v>148</v>
      </c>
      <c r="C616" s="35" t="s">
        <v>149</v>
      </c>
      <c r="D616" s="36">
        <v>5.0</v>
      </c>
      <c r="E616" s="35" t="s">
        <v>409</v>
      </c>
      <c r="F616" s="36">
        <v>9.0043001E7</v>
      </c>
      <c r="G616" s="37" t="s">
        <v>411</v>
      </c>
      <c r="H616" s="38" t="s">
        <v>19</v>
      </c>
      <c r="I616" s="39">
        <v>3.75045645E8</v>
      </c>
    </row>
    <row r="617">
      <c r="A617" s="33" t="s">
        <v>74</v>
      </c>
      <c r="B617" s="34" t="s">
        <v>148</v>
      </c>
      <c r="C617" s="35" t="s">
        <v>149</v>
      </c>
      <c r="D617" s="36">
        <v>5.0</v>
      </c>
      <c r="E617" s="35" t="s">
        <v>409</v>
      </c>
      <c r="F617" s="36">
        <v>9.0043E7</v>
      </c>
      <c r="G617" s="37" t="s">
        <v>412</v>
      </c>
      <c r="H617" s="38" t="s">
        <v>19</v>
      </c>
      <c r="I617" s="39">
        <v>1.78523637E8</v>
      </c>
    </row>
    <row r="618">
      <c r="A618" s="33" t="s">
        <v>74</v>
      </c>
      <c r="B618" s="34" t="s">
        <v>148</v>
      </c>
      <c r="C618" s="35" t="s">
        <v>149</v>
      </c>
      <c r="D618" s="36">
        <v>5.0</v>
      </c>
      <c r="E618" s="35" t="s">
        <v>416</v>
      </c>
      <c r="F618" s="36">
        <v>9.0042078E7</v>
      </c>
      <c r="G618" s="37" t="s">
        <v>428</v>
      </c>
      <c r="H618" s="38" t="s">
        <v>19</v>
      </c>
      <c r="I618" s="39">
        <v>257040.0</v>
      </c>
    </row>
    <row r="619">
      <c r="A619" s="33" t="s">
        <v>74</v>
      </c>
      <c r="B619" s="34" t="s">
        <v>148</v>
      </c>
      <c r="C619" s="35" t="s">
        <v>149</v>
      </c>
      <c r="D619" s="36">
        <v>5.0</v>
      </c>
      <c r="E619" s="35" t="s">
        <v>416</v>
      </c>
      <c r="F619" s="36">
        <v>9.004208E7</v>
      </c>
      <c r="G619" s="37" t="s">
        <v>419</v>
      </c>
      <c r="H619" s="38" t="s">
        <v>25</v>
      </c>
      <c r="I619" s="39">
        <v>1.106026E7</v>
      </c>
    </row>
    <row r="620">
      <c r="A620" s="33" t="s">
        <v>74</v>
      </c>
      <c r="B620" s="34" t="s">
        <v>148</v>
      </c>
      <c r="C620" s="35" t="s">
        <v>149</v>
      </c>
      <c r="D620" s="36">
        <v>5.0</v>
      </c>
      <c r="E620" s="35" t="s">
        <v>416</v>
      </c>
      <c r="F620" s="36">
        <v>9.0043001E7</v>
      </c>
      <c r="G620" s="37" t="s">
        <v>411</v>
      </c>
      <c r="H620" s="38" t="s">
        <v>19</v>
      </c>
      <c r="I620" s="39">
        <v>4.15703867E8</v>
      </c>
    </row>
    <row r="621">
      <c r="A621" s="33" t="s">
        <v>74</v>
      </c>
      <c r="B621" s="34" t="s">
        <v>148</v>
      </c>
      <c r="C621" s="35" t="s">
        <v>149</v>
      </c>
      <c r="D621" s="36">
        <v>5.0</v>
      </c>
      <c r="E621" s="35" t="s">
        <v>416</v>
      </c>
      <c r="F621" s="36">
        <v>9.0043E7</v>
      </c>
      <c r="G621" s="37" t="s">
        <v>412</v>
      </c>
      <c r="H621" s="38" t="s">
        <v>19</v>
      </c>
      <c r="I621" s="39">
        <v>7.4673279E7</v>
      </c>
    </row>
    <row r="622">
      <c r="A622" s="33" t="s">
        <v>74</v>
      </c>
      <c r="B622" s="34" t="s">
        <v>148</v>
      </c>
      <c r="C622" s="35" t="s">
        <v>149</v>
      </c>
      <c r="D622" s="36">
        <v>5.0</v>
      </c>
      <c r="E622" s="35" t="e">
        <v>#N/A</v>
      </c>
      <c r="F622" s="36">
        <v>5.1100401E7</v>
      </c>
      <c r="G622" s="37" t="s">
        <v>420</v>
      </c>
      <c r="H622" s="38" t="s">
        <v>19</v>
      </c>
      <c r="I622" s="39">
        <v>6.4184496E7</v>
      </c>
    </row>
    <row r="623">
      <c r="A623" s="33" t="s">
        <v>74</v>
      </c>
      <c r="B623" s="34" t="s">
        <v>148</v>
      </c>
      <c r="C623" s="35" t="s">
        <v>149</v>
      </c>
      <c r="D623" s="36">
        <v>5.0</v>
      </c>
      <c r="E623" s="35" t="e">
        <v>#N/A</v>
      </c>
      <c r="F623" s="36">
        <v>5.1100608E7</v>
      </c>
      <c r="G623" s="37" t="s">
        <v>431</v>
      </c>
      <c r="H623" s="38" t="s">
        <v>17</v>
      </c>
      <c r="I623" s="39">
        <v>8.871404E7</v>
      </c>
    </row>
    <row r="624">
      <c r="A624" s="33" t="s">
        <v>74</v>
      </c>
      <c r="B624" s="34" t="s">
        <v>167</v>
      </c>
      <c r="C624" s="35" t="s">
        <v>168</v>
      </c>
      <c r="D624" s="36">
        <v>5.0</v>
      </c>
      <c r="E624" s="35" t="s">
        <v>409</v>
      </c>
      <c r="F624" s="36">
        <v>5.1100064E7</v>
      </c>
      <c r="G624" s="37" t="s">
        <v>414</v>
      </c>
      <c r="H624" s="38" t="s">
        <v>37</v>
      </c>
      <c r="I624" s="39">
        <v>3863750.0</v>
      </c>
    </row>
    <row r="625">
      <c r="A625" s="33" t="s">
        <v>74</v>
      </c>
      <c r="B625" s="34" t="s">
        <v>167</v>
      </c>
      <c r="C625" s="35" t="s">
        <v>168</v>
      </c>
      <c r="D625" s="36">
        <v>5.0</v>
      </c>
      <c r="E625" s="35" t="s">
        <v>409</v>
      </c>
      <c r="F625" s="36">
        <v>5.1100064E7</v>
      </c>
      <c r="G625" s="37" t="s">
        <v>414</v>
      </c>
      <c r="H625" s="38" t="s">
        <v>25</v>
      </c>
      <c r="I625" s="39">
        <v>904500.0</v>
      </c>
    </row>
    <row r="626">
      <c r="A626" s="33" t="s">
        <v>74</v>
      </c>
      <c r="B626" s="34" t="s">
        <v>167</v>
      </c>
      <c r="C626" s="35" t="s">
        <v>168</v>
      </c>
      <c r="D626" s="36">
        <v>5.0</v>
      </c>
      <c r="E626" s="35" t="s">
        <v>409</v>
      </c>
      <c r="F626" s="36">
        <v>9.0042077E7</v>
      </c>
      <c r="G626" s="37" t="s">
        <v>410</v>
      </c>
      <c r="H626" s="38" t="s">
        <v>19</v>
      </c>
      <c r="I626" s="39">
        <v>7.6560122E7</v>
      </c>
    </row>
    <row r="627">
      <c r="A627" s="33" t="s">
        <v>74</v>
      </c>
      <c r="B627" s="34" t="s">
        <v>167</v>
      </c>
      <c r="C627" s="35" t="s">
        <v>168</v>
      </c>
      <c r="D627" s="36">
        <v>5.0</v>
      </c>
      <c r="E627" s="35" t="s">
        <v>409</v>
      </c>
      <c r="F627" s="36">
        <v>9.0043001E7</v>
      </c>
      <c r="G627" s="37" t="s">
        <v>411</v>
      </c>
      <c r="H627" s="38" t="s">
        <v>19</v>
      </c>
      <c r="I627" s="39">
        <v>6.01085273E8</v>
      </c>
    </row>
    <row r="628">
      <c r="A628" s="33" t="s">
        <v>74</v>
      </c>
      <c r="B628" s="34" t="s">
        <v>167</v>
      </c>
      <c r="C628" s="35" t="s">
        <v>168</v>
      </c>
      <c r="D628" s="36">
        <v>5.0</v>
      </c>
      <c r="E628" s="35" t="s">
        <v>409</v>
      </c>
      <c r="F628" s="36">
        <v>9.0043E7</v>
      </c>
      <c r="G628" s="37" t="s">
        <v>412</v>
      </c>
      <c r="H628" s="38" t="s">
        <v>19</v>
      </c>
      <c r="I628" s="39">
        <v>1.54393353E8</v>
      </c>
    </row>
    <row r="629">
      <c r="A629" s="33" t="s">
        <v>74</v>
      </c>
      <c r="B629" s="34" t="s">
        <v>167</v>
      </c>
      <c r="C629" s="35" t="s">
        <v>168</v>
      </c>
      <c r="D629" s="36">
        <v>5.0</v>
      </c>
      <c r="E629" s="35" t="s">
        <v>409</v>
      </c>
      <c r="F629" s="36">
        <v>5.1100107E7</v>
      </c>
      <c r="G629" s="37" t="s">
        <v>421</v>
      </c>
      <c r="H629" s="38" t="s">
        <v>25</v>
      </c>
      <c r="I629" s="39">
        <v>475000.0</v>
      </c>
    </row>
    <row r="630">
      <c r="A630" s="33" t="s">
        <v>74</v>
      </c>
      <c r="B630" s="34" t="s">
        <v>167</v>
      </c>
      <c r="C630" s="35" t="s">
        <v>168</v>
      </c>
      <c r="D630" s="36">
        <v>5.0</v>
      </c>
      <c r="E630" s="35" t="s">
        <v>416</v>
      </c>
      <c r="F630" s="36">
        <v>5.1100064E7</v>
      </c>
      <c r="G630" s="37" t="s">
        <v>414</v>
      </c>
      <c r="H630" s="38" t="s">
        <v>25</v>
      </c>
      <c r="I630" s="39">
        <v>2770000.0</v>
      </c>
    </row>
    <row r="631">
      <c r="A631" s="33" t="s">
        <v>74</v>
      </c>
      <c r="B631" s="34" t="s">
        <v>167</v>
      </c>
      <c r="C631" s="35" t="s">
        <v>168</v>
      </c>
      <c r="D631" s="36">
        <v>5.0</v>
      </c>
      <c r="E631" s="35" t="s">
        <v>416</v>
      </c>
      <c r="F631" s="36">
        <v>9.0042078E7</v>
      </c>
      <c r="G631" s="37" t="s">
        <v>428</v>
      </c>
      <c r="H631" s="38" t="s">
        <v>19</v>
      </c>
      <c r="I631" s="39">
        <v>9701315.0</v>
      </c>
    </row>
    <row r="632">
      <c r="A632" s="33" t="s">
        <v>74</v>
      </c>
      <c r="B632" s="34" t="s">
        <v>167</v>
      </c>
      <c r="C632" s="35" t="s">
        <v>168</v>
      </c>
      <c r="D632" s="36">
        <v>5.0</v>
      </c>
      <c r="E632" s="35" t="s">
        <v>416</v>
      </c>
      <c r="F632" s="36">
        <v>9.0043001E7</v>
      </c>
      <c r="G632" s="37" t="s">
        <v>411</v>
      </c>
      <c r="H632" s="38" t="s">
        <v>19</v>
      </c>
      <c r="I632" s="39">
        <v>3.26267771E8</v>
      </c>
    </row>
    <row r="633">
      <c r="A633" s="33" t="s">
        <v>74</v>
      </c>
      <c r="B633" s="34" t="s">
        <v>167</v>
      </c>
      <c r="C633" s="35" t="s">
        <v>168</v>
      </c>
      <c r="D633" s="36">
        <v>5.0</v>
      </c>
      <c r="E633" s="35" t="s">
        <v>416</v>
      </c>
      <c r="F633" s="36">
        <v>9.0043E7</v>
      </c>
      <c r="G633" s="37" t="s">
        <v>412</v>
      </c>
      <c r="H633" s="38" t="s">
        <v>19</v>
      </c>
      <c r="I633" s="39">
        <v>5.0546889E7</v>
      </c>
    </row>
    <row r="634">
      <c r="A634" s="33" t="s">
        <v>74</v>
      </c>
      <c r="B634" s="34" t="s">
        <v>167</v>
      </c>
      <c r="C634" s="35" t="s">
        <v>168</v>
      </c>
      <c r="D634" s="36">
        <v>5.0</v>
      </c>
      <c r="E634" s="35" t="e">
        <v>#N/A</v>
      </c>
      <c r="F634" s="36">
        <v>5.1100608E7</v>
      </c>
      <c r="G634" s="37" t="s">
        <v>431</v>
      </c>
      <c r="H634" s="38" t="s">
        <v>17</v>
      </c>
      <c r="I634" s="39">
        <v>5.8528938E7</v>
      </c>
    </row>
    <row r="635">
      <c r="A635" s="33" t="s">
        <v>74</v>
      </c>
      <c r="B635" s="34" t="s">
        <v>170</v>
      </c>
      <c r="C635" s="35" t="s">
        <v>171</v>
      </c>
      <c r="D635" s="36">
        <v>5.0</v>
      </c>
      <c r="E635" s="35" t="s">
        <v>409</v>
      </c>
      <c r="F635" s="36">
        <v>5.1100064E7</v>
      </c>
      <c r="G635" s="37" t="s">
        <v>414</v>
      </c>
      <c r="H635" s="38" t="s">
        <v>37</v>
      </c>
      <c r="I635" s="39">
        <v>3.6885206E7</v>
      </c>
    </row>
    <row r="636">
      <c r="A636" s="33" t="s">
        <v>74</v>
      </c>
      <c r="B636" s="34" t="s">
        <v>170</v>
      </c>
      <c r="C636" s="35" t="s">
        <v>171</v>
      </c>
      <c r="D636" s="36">
        <v>5.0</v>
      </c>
      <c r="E636" s="35" t="s">
        <v>409</v>
      </c>
      <c r="F636" s="36">
        <v>5.1100064E7</v>
      </c>
      <c r="G636" s="37" t="s">
        <v>414</v>
      </c>
      <c r="H636" s="38" t="s">
        <v>25</v>
      </c>
      <c r="I636" s="39">
        <v>8753000.0</v>
      </c>
    </row>
    <row r="637">
      <c r="A637" s="33" t="s">
        <v>74</v>
      </c>
      <c r="B637" s="34" t="s">
        <v>170</v>
      </c>
      <c r="C637" s="35" t="s">
        <v>171</v>
      </c>
      <c r="D637" s="36">
        <v>5.0</v>
      </c>
      <c r="E637" s="35" t="s">
        <v>409</v>
      </c>
      <c r="F637" s="36">
        <v>5.1100693E7</v>
      </c>
      <c r="G637" s="37" t="s">
        <v>436</v>
      </c>
      <c r="H637" s="38" t="s">
        <v>25</v>
      </c>
      <c r="I637" s="39">
        <v>1500000.0</v>
      </c>
    </row>
    <row r="638">
      <c r="A638" s="33" t="s">
        <v>74</v>
      </c>
      <c r="B638" s="34" t="s">
        <v>170</v>
      </c>
      <c r="C638" s="35" t="s">
        <v>171</v>
      </c>
      <c r="D638" s="36">
        <v>5.0</v>
      </c>
      <c r="E638" s="35" t="s">
        <v>409</v>
      </c>
      <c r="F638" s="36">
        <v>9.0042077E7</v>
      </c>
      <c r="G638" s="37" t="s">
        <v>410</v>
      </c>
      <c r="H638" s="38" t="s">
        <v>19</v>
      </c>
      <c r="I638" s="39">
        <v>2.2443562E7</v>
      </c>
    </row>
    <row r="639">
      <c r="A639" s="33" t="s">
        <v>74</v>
      </c>
      <c r="B639" s="34" t="s">
        <v>170</v>
      </c>
      <c r="C639" s="35" t="s">
        <v>171</v>
      </c>
      <c r="D639" s="36">
        <v>5.0</v>
      </c>
      <c r="E639" s="35" t="s">
        <v>409</v>
      </c>
      <c r="F639" s="36">
        <v>9.0043001E7</v>
      </c>
      <c r="G639" s="37" t="s">
        <v>411</v>
      </c>
      <c r="H639" s="38" t="s">
        <v>19</v>
      </c>
      <c r="I639" s="39">
        <v>2.36325804E8</v>
      </c>
    </row>
    <row r="640">
      <c r="A640" s="33" t="s">
        <v>74</v>
      </c>
      <c r="B640" s="34" t="s">
        <v>170</v>
      </c>
      <c r="C640" s="35" t="s">
        <v>171</v>
      </c>
      <c r="D640" s="36">
        <v>5.0</v>
      </c>
      <c r="E640" s="35" t="s">
        <v>409</v>
      </c>
      <c r="F640" s="36">
        <v>9.0043E7</v>
      </c>
      <c r="G640" s="37" t="s">
        <v>412</v>
      </c>
      <c r="H640" s="38" t="s">
        <v>19</v>
      </c>
      <c r="I640" s="39">
        <v>7.5301588E7</v>
      </c>
    </row>
    <row r="641">
      <c r="A641" s="33" t="s">
        <v>74</v>
      </c>
      <c r="B641" s="34" t="s">
        <v>170</v>
      </c>
      <c r="C641" s="35" t="s">
        <v>171</v>
      </c>
      <c r="D641" s="36">
        <v>5.0</v>
      </c>
      <c r="E641" s="35" t="s">
        <v>416</v>
      </c>
      <c r="F641" s="36">
        <v>5.1100064E7</v>
      </c>
      <c r="G641" s="37" t="s">
        <v>414</v>
      </c>
      <c r="H641" s="38" t="s">
        <v>25</v>
      </c>
      <c r="I641" s="39">
        <v>1250000.0</v>
      </c>
    </row>
    <row r="642">
      <c r="A642" s="33" t="s">
        <v>74</v>
      </c>
      <c r="B642" s="34" t="s">
        <v>170</v>
      </c>
      <c r="C642" s="35" t="s">
        <v>171</v>
      </c>
      <c r="D642" s="36">
        <v>5.0</v>
      </c>
      <c r="E642" s="35" t="s">
        <v>416</v>
      </c>
      <c r="F642" s="36">
        <v>9.0042079E7</v>
      </c>
      <c r="G642" s="37" t="s">
        <v>422</v>
      </c>
      <c r="H642" s="38" t="s">
        <v>19</v>
      </c>
      <c r="I642" s="39">
        <v>525360.0</v>
      </c>
    </row>
    <row r="643">
      <c r="A643" s="33" t="s">
        <v>74</v>
      </c>
      <c r="B643" s="34" t="s">
        <v>170</v>
      </c>
      <c r="C643" s="35" t="s">
        <v>171</v>
      </c>
      <c r="D643" s="36">
        <v>5.0</v>
      </c>
      <c r="E643" s="35" t="s">
        <v>416</v>
      </c>
      <c r="F643" s="36">
        <v>9.0043001E7</v>
      </c>
      <c r="G643" s="37" t="s">
        <v>411</v>
      </c>
      <c r="H643" s="38" t="s">
        <v>19</v>
      </c>
      <c r="I643" s="39">
        <v>1.86477438E8</v>
      </c>
    </row>
    <row r="644">
      <c r="A644" s="33" t="s">
        <v>74</v>
      </c>
      <c r="B644" s="34" t="s">
        <v>170</v>
      </c>
      <c r="C644" s="35" t="s">
        <v>171</v>
      </c>
      <c r="D644" s="36">
        <v>5.0</v>
      </c>
      <c r="E644" s="35" t="s">
        <v>416</v>
      </c>
      <c r="F644" s="36">
        <v>9.0043E7</v>
      </c>
      <c r="G644" s="37" t="s">
        <v>412</v>
      </c>
      <c r="H644" s="38" t="s">
        <v>19</v>
      </c>
      <c r="I644" s="39">
        <v>5.0256282E7</v>
      </c>
    </row>
    <row r="645">
      <c r="A645" s="33" t="s">
        <v>74</v>
      </c>
      <c r="B645" s="34" t="s">
        <v>170</v>
      </c>
      <c r="C645" s="35" t="s">
        <v>171</v>
      </c>
      <c r="D645" s="36">
        <v>5.0</v>
      </c>
      <c r="E645" s="35" t="e">
        <v>#N/A</v>
      </c>
      <c r="F645" s="36">
        <v>5.1100608E7</v>
      </c>
      <c r="G645" s="37" t="s">
        <v>431</v>
      </c>
      <c r="H645" s="38" t="s">
        <v>17</v>
      </c>
      <c r="I645" s="39">
        <v>4.6285365E7</v>
      </c>
    </row>
    <row r="646">
      <c r="A646" s="33" t="s">
        <v>74</v>
      </c>
      <c r="B646" s="34" t="s">
        <v>170</v>
      </c>
      <c r="C646" s="35" t="s">
        <v>171</v>
      </c>
      <c r="D646" s="36">
        <v>5.0</v>
      </c>
      <c r="E646" s="35" t="e">
        <v>#N/A</v>
      </c>
      <c r="F646" s="36">
        <v>5.1100608E7</v>
      </c>
      <c r="G646" s="37" t="s">
        <v>431</v>
      </c>
      <c r="H646" s="38" t="s">
        <v>25</v>
      </c>
      <c r="I646" s="39">
        <v>0.0</v>
      </c>
    </row>
    <row r="647">
      <c r="A647" s="33" t="s">
        <v>74</v>
      </c>
      <c r="B647" s="34" t="s">
        <v>187</v>
      </c>
      <c r="C647" s="35" t="s">
        <v>188</v>
      </c>
      <c r="D647" s="36">
        <v>5.0</v>
      </c>
      <c r="E647" s="35" t="s">
        <v>409</v>
      </c>
      <c r="F647" s="36">
        <v>5.1100064E7</v>
      </c>
      <c r="G647" s="37" t="s">
        <v>414</v>
      </c>
      <c r="H647" s="38" t="s">
        <v>37</v>
      </c>
      <c r="I647" s="39">
        <v>1581000.0</v>
      </c>
    </row>
    <row r="648">
      <c r="A648" s="33" t="s">
        <v>74</v>
      </c>
      <c r="B648" s="34" t="s">
        <v>187</v>
      </c>
      <c r="C648" s="35" t="s">
        <v>188</v>
      </c>
      <c r="D648" s="36">
        <v>5.0</v>
      </c>
      <c r="E648" s="35" t="s">
        <v>409</v>
      </c>
      <c r="F648" s="36">
        <v>5.1101056E7</v>
      </c>
      <c r="G648" s="37" t="s">
        <v>426</v>
      </c>
      <c r="H648" s="38" t="s">
        <v>25</v>
      </c>
      <c r="I648" s="39">
        <v>1.149785E7</v>
      </c>
    </row>
    <row r="649">
      <c r="A649" s="33" t="s">
        <v>74</v>
      </c>
      <c r="B649" s="34" t="s">
        <v>187</v>
      </c>
      <c r="C649" s="35" t="s">
        <v>188</v>
      </c>
      <c r="D649" s="36">
        <v>5.0</v>
      </c>
      <c r="E649" s="35" t="s">
        <v>409</v>
      </c>
      <c r="F649" s="36">
        <v>9.0042077E7</v>
      </c>
      <c r="G649" s="37" t="s">
        <v>410</v>
      </c>
      <c r="H649" s="38" t="s">
        <v>19</v>
      </c>
      <c r="I649" s="39">
        <v>4.1909221E7</v>
      </c>
    </row>
    <row r="650">
      <c r="A650" s="33" t="s">
        <v>74</v>
      </c>
      <c r="B650" s="34" t="s">
        <v>187</v>
      </c>
      <c r="C650" s="35" t="s">
        <v>188</v>
      </c>
      <c r="D650" s="36">
        <v>5.0</v>
      </c>
      <c r="E650" s="35" t="s">
        <v>409</v>
      </c>
      <c r="F650" s="36">
        <v>9.0043001E7</v>
      </c>
      <c r="G650" s="37" t="s">
        <v>411</v>
      </c>
      <c r="H650" s="38" t="s">
        <v>19</v>
      </c>
      <c r="I650" s="39">
        <v>2.69732531E8</v>
      </c>
    </row>
    <row r="651">
      <c r="A651" s="33" t="s">
        <v>74</v>
      </c>
      <c r="B651" s="34" t="s">
        <v>187</v>
      </c>
      <c r="C651" s="35" t="s">
        <v>188</v>
      </c>
      <c r="D651" s="36">
        <v>5.0</v>
      </c>
      <c r="E651" s="35" t="s">
        <v>409</v>
      </c>
      <c r="F651" s="36">
        <v>9.0043E7</v>
      </c>
      <c r="G651" s="37" t="s">
        <v>412</v>
      </c>
      <c r="H651" s="38" t="s">
        <v>19</v>
      </c>
      <c r="I651" s="39">
        <v>5.8485623E7</v>
      </c>
    </row>
    <row r="652">
      <c r="A652" s="33" t="s">
        <v>74</v>
      </c>
      <c r="B652" s="34" t="s">
        <v>187</v>
      </c>
      <c r="C652" s="35" t="s">
        <v>188</v>
      </c>
      <c r="D652" s="36">
        <v>5.0</v>
      </c>
      <c r="E652" s="35" t="s">
        <v>416</v>
      </c>
      <c r="F652" s="36">
        <v>9.0043001E7</v>
      </c>
      <c r="G652" s="37" t="s">
        <v>411</v>
      </c>
      <c r="H652" s="38" t="s">
        <v>19</v>
      </c>
      <c r="I652" s="39">
        <v>3.24616644E8</v>
      </c>
    </row>
    <row r="653">
      <c r="A653" s="33" t="s">
        <v>74</v>
      </c>
      <c r="B653" s="34" t="s">
        <v>187</v>
      </c>
      <c r="C653" s="35" t="s">
        <v>188</v>
      </c>
      <c r="D653" s="36">
        <v>5.0</v>
      </c>
      <c r="E653" s="35" t="s">
        <v>416</v>
      </c>
      <c r="F653" s="36">
        <v>9.0043E7</v>
      </c>
      <c r="G653" s="37" t="s">
        <v>412</v>
      </c>
      <c r="H653" s="38" t="s">
        <v>19</v>
      </c>
      <c r="I653" s="39">
        <v>3.8359658E7</v>
      </c>
    </row>
    <row r="654">
      <c r="A654" s="33" t="s">
        <v>74</v>
      </c>
      <c r="B654" s="34" t="s">
        <v>187</v>
      </c>
      <c r="C654" s="35" t="s">
        <v>188</v>
      </c>
      <c r="D654" s="36">
        <v>5.0</v>
      </c>
      <c r="E654" s="35" t="s">
        <v>416</v>
      </c>
      <c r="F654" s="36">
        <v>5.1100651E7</v>
      </c>
      <c r="G654" s="37" t="s">
        <v>424</v>
      </c>
      <c r="H654" s="38" t="s">
        <v>25</v>
      </c>
      <c r="I654" s="39">
        <v>5915750.0</v>
      </c>
    </row>
    <row r="655">
      <c r="A655" s="33" t="s">
        <v>74</v>
      </c>
      <c r="B655" s="34" t="s">
        <v>187</v>
      </c>
      <c r="C655" s="35" t="s">
        <v>188</v>
      </c>
      <c r="D655" s="36">
        <v>5.0</v>
      </c>
      <c r="E655" s="35" t="s">
        <v>416</v>
      </c>
      <c r="F655" s="36">
        <v>5.1100601E7</v>
      </c>
      <c r="G655" s="37" t="s">
        <v>437</v>
      </c>
      <c r="H655" s="38" t="s">
        <v>25</v>
      </c>
      <c r="I655" s="39">
        <v>603619.0</v>
      </c>
    </row>
    <row r="656">
      <c r="A656" s="33" t="s">
        <v>74</v>
      </c>
      <c r="B656" s="34" t="s">
        <v>187</v>
      </c>
      <c r="C656" s="35" t="s">
        <v>188</v>
      </c>
      <c r="D656" s="36">
        <v>5.0</v>
      </c>
      <c r="E656" s="35" t="e">
        <v>#N/A</v>
      </c>
      <c r="F656" s="36">
        <v>5.1100608E7</v>
      </c>
      <c r="G656" s="37" t="s">
        <v>431</v>
      </c>
      <c r="H656" s="38" t="s">
        <v>17</v>
      </c>
      <c r="I656" s="39">
        <v>1.96952007E8</v>
      </c>
    </row>
    <row r="657">
      <c r="A657" s="33" t="s">
        <v>74</v>
      </c>
      <c r="B657" s="34" t="s">
        <v>203</v>
      </c>
      <c r="C657" s="35" t="s">
        <v>204</v>
      </c>
      <c r="D657" s="36">
        <v>5.0</v>
      </c>
      <c r="E657" s="35" t="s">
        <v>417</v>
      </c>
      <c r="F657" s="36">
        <v>9.0042084E7</v>
      </c>
      <c r="G657" s="37" t="s">
        <v>418</v>
      </c>
      <c r="H657" s="38" t="s">
        <v>19</v>
      </c>
      <c r="I657" s="39">
        <v>611225.0</v>
      </c>
    </row>
    <row r="658">
      <c r="A658" s="33" t="s">
        <v>74</v>
      </c>
      <c r="B658" s="34" t="s">
        <v>203</v>
      </c>
      <c r="C658" s="35" t="s">
        <v>204</v>
      </c>
      <c r="D658" s="36">
        <v>5.0</v>
      </c>
      <c r="E658" s="35" t="s">
        <v>417</v>
      </c>
      <c r="F658" s="36">
        <v>9.0043001E7</v>
      </c>
      <c r="G658" s="37" t="s">
        <v>411</v>
      </c>
      <c r="H658" s="38" t="s">
        <v>19</v>
      </c>
      <c r="I658" s="39">
        <v>9646670.0</v>
      </c>
    </row>
    <row r="659">
      <c r="A659" s="33" t="s">
        <v>74</v>
      </c>
      <c r="B659" s="34" t="s">
        <v>203</v>
      </c>
      <c r="C659" s="35" t="s">
        <v>204</v>
      </c>
      <c r="D659" s="36">
        <v>5.0</v>
      </c>
      <c r="E659" s="35" t="s">
        <v>409</v>
      </c>
      <c r="F659" s="36">
        <v>5.1100064E7</v>
      </c>
      <c r="G659" s="37" t="s">
        <v>414</v>
      </c>
      <c r="H659" s="38" t="s">
        <v>37</v>
      </c>
      <c r="I659" s="39">
        <v>9080286.0</v>
      </c>
    </row>
    <row r="660">
      <c r="A660" s="33" t="s">
        <v>74</v>
      </c>
      <c r="B660" s="34" t="s">
        <v>203</v>
      </c>
      <c r="C660" s="35" t="s">
        <v>204</v>
      </c>
      <c r="D660" s="36">
        <v>5.0</v>
      </c>
      <c r="E660" s="35" t="s">
        <v>409</v>
      </c>
      <c r="F660" s="36">
        <v>5.1100064E7</v>
      </c>
      <c r="G660" s="37" t="s">
        <v>414</v>
      </c>
      <c r="H660" s="38" t="s">
        <v>25</v>
      </c>
      <c r="I660" s="39">
        <v>350000.0</v>
      </c>
    </row>
    <row r="661">
      <c r="A661" s="33" t="s">
        <v>74</v>
      </c>
      <c r="B661" s="34" t="s">
        <v>203</v>
      </c>
      <c r="C661" s="35" t="s">
        <v>204</v>
      </c>
      <c r="D661" s="36">
        <v>5.0</v>
      </c>
      <c r="E661" s="35" t="s">
        <v>409</v>
      </c>
      <c r="F661" s="36">
        <v>9.0042077E7</v>
      </c>
      <c r="G661" s="37" t="s">
        <v>410</v>
      </c>
      <c r="H661" s="38" t="s">
        <v>19</v>
      </c>
      <c r="I661" s="39">
        <v>3.0196854E7</v>
      </c>
    </row>
    <row r="662">
      <c r="A662" s="33" t="s">
        <v>74</v>
      </c>
      <c r="B662" s="34" t="s">
        <v>203</v>
      </c>
      <c r="C662" s="35" t="s">
        <v>204</v>
      </c>
      <c r="D662" s="36">
        <v>5.0</v>
      </c>
      <c r="E662" s="35" t="s">
        <v>409</v>
      </c>
      <c r="F662" s="36">
        <v>9.0043001E7</v>
      </c>
      <c r="G662" s="37" t="s">
        <v>411</v>
      </c>
      <c r="H662" s="38" t="s">
        <v>19</v>
      </c>
      <c r="I662" s="39">
        <v>2.02722368E8</v>
      </c>
    </row>
    <row r="663">
      <c r="A663" s="33" t="s">
        <v>74</v>
      </c>
      <c r="B663" s="34" t="s">
        <v>203</v>
      </c>
      <c r="C663" s="35" t="s">
        <v>204</v>
      </c>
      <c r="D663" s="36">
        <v>5.0</v>
      </c>
      <c r="E663" s="35" t="s">
        <v>409</v>
      </c>
      <c r="F663" s="36">
        <v>9.0043E7</v>
      </c>
      <c r="G663" s="37" t="s">
        <v>412</v>
      </c>
      <c r="H663" s="38" t="s">
        <v>19</v>
      </c>
      <c r="I663" s="39">
        <v>1.00896729E8</v>
      </c>
    </row>
    <row r="664">
      <c r="A664" s="33" t="s">
        <v>74</v>
      </c>
      <c r="B664" s="34" t="s">
        <v>203</v>
      </c>
      <c r="C664" s="35" t="s">
        <v>204</v>
      </c>
      <c r="D664" s="36">
        <v>5.0</v>
      </c>
      <c r="E664" s="35" t="s">
        <v>416</v>
      </c>
      <c r="F664" s="36">
        <v>9.0043001E7</v>
      </c>
      <c r="G664" s="37" t="s">
        <v>411</v>
      </c>
      <c r="H664" s="38" t="s">
        <v>19</v>
      </c>
      <c r="I664" s="39">
        <v>8.5382018E7</v>
      </c>
    </row>
    <row r="665">
      <c r="A665" s="33" t="s">
        <v>74</v>
      </c>
      <c r="B665" s="34" t="s">
        <v>203</v>
      </c>
      <c r="C665" s="35" t="s">
        <v>204</v>
      </c>
      <c r="D665" s="36">
        <v>5.0</v>
      </c>
      <c r="E665" s="35" t="s">
        <v>416</v>
      </c>
      <c r="F665" s="36">
        <v>9.0043E7</v>
      </c>
      <c r="G665" s="37" t="s">
        <v>412</v>
      </c>
      <c r="H665" s="38" t="s">
        <v>19</v>
      </c>
      <c r="I665" s="39">
        <v>4.6567614E7</v>
      </c>
    </row>
    <row r="666">
      <c r="A666" s="33" t="s">
        <v>74</v>
      </c>
      <c r="B666" s="34" t="s">
        <v>203</v>
      </c>
      <c r="C666" s="35" t="s">
        <v>204</v>
      </c>
      <c r="D666" s="36">
        <v>5.0</v>
      </c>
      <c r="E666" s="35" t="e">
        <v>#N/A</v>
      </c>
      <c r="F666" s="36">
        <v>5.1100608E7</v>
      </c>
      <c r="G666" s="37" t="s">
        <v>431</v>
      </c>
      <c r="H666" s="38" t="s">
        <v>17</v>
      </c>
      <c r="I666" s="39">
        <v>7.583199E7</v>
      </c>
    </row>
    <row r="667">
      <c r="A667" s="33" t="s">
        <v>74</v>
      </c>
      <c r="B667" s="34" t="s">
        <v>212</v>
      </c>
      <c r="C667" s="35" t="s">
        <v>213</v>
      </c>
      <c r="D667" s="36">
        <v>5.0</v>
      </c>
      <c r="E667" s="35" t="s">
        <v>409</v>
      </c>
      <c r="F667" s="36">
        <v>5.1100064E7</v>
      </c>
      <c r="G667" s="37" t="s">
        <v>414</v>
      </c>
      <c r="H667" s="38" t="s">
        <v>37</v>
      </c>
      <c r="I667" s="39">
        <v>2470456.0</v>
      </c>
    </row>
    <row r="668">
      <c r="A668" s="33" t="s">
        <v>74</v>
      </c>
      <c r="B668" s="34" t="s">
        <v>212</v>
      </c>
      <c r="C668" s="35" t="s">
        <v>213</v>
      </c>
      <c r="D668" s="36">
        <v>5.0</v>
      </c>
      <c r="E668" s="35" t="s">
        <v>409</v>
      </c>
      <c r="F668" s="36">
        <v>9.0042077E7</v>
      </c>
      <c r="G668" s="37" t="s">
        <v>410</v>
      </c>
      <c r="H668" s="38" t="s">
        <v>19</v>
      </c>
      <c r="I668" s="39">
        <v>2.274935E7</v>
      </c>
    </row>
    <row r="669">
      <c r="A669" s="33" t="s">
        <v>74</v>
      </c>
      <c r="B669" s="34" t="s">
        <v>212</v>
      </c>
      <c r="C669" s="35" t="s">
        <v>213</v>
      </c>
      <c r="D669" s="36">
        <v>5.0</v>
      </c>
      <c r="E669" s="35" t="s">
        <v>409</v>
      </c>
      <c r="F669" s="36">
        <v>9.0043001E7</v>
      </c>
      <c r="G669" s="37" t="s">
        <v>411</v>
      </c>
      <c r="H669" s="38" t="s">
        <v>19</v>
      </c>
      <c r="I669" s="39">
        <v>2.66294362E8</v>
      </c>
    </row>
    <row r="670">
      <c r="A670" s="33" t="s">
        <v>74</v>
      </c>
      <c r="B670" s="34" t="s">
        <v>212</v>
      </c>
      <c r="C670" s="35" t="s">
        <v>213</v>
      </c>
      <c r="D670" s="36">
        <v>5.0</v>
      </c>
      <c r="E670" s="35" t="s">
        <v>409</v>
      </c>
      <c r="F670" s="36">
        <v>9.0043E7</v>
      </c>
      <c r="G670" s="37" t="s">
        <v>412</v>
      </c>
      <c r="H670" s="38" t="s">
        <v>19</v>
      </c>
      <c r="I670" s="39">
        <v>9.9538249E7</v>
      </c>
    </row>
    <row r="671">
      <c r="A671" s="33" t="s">
        <v>74</v>
      </c>
      <c r="B671" s="34" t="s">
        <v>212</v>
      </c>
      <c r="C671" s="35" t="s">
        <v>213</v>
      </c>
      <c r="D671" s="36">
        <v>5.0</v>
      </c>
      <c r="E671" s="35" t="s">
        <v>416</v>
      </c>
      <c r="F671" s="36">
        <v>9.004208E7</v>
      </c>
      <c r="G671" s="37" t="s">
        <v>419</v>
      </c>
      <c r="H671" s="38" t="s">
        <v>25</v>
      </c>
      <c r="I671" s="39">
        <v>1228000.0</v>
      </c>
    </row>
    <row r="672">
      <c r="A672" s="33" t="s">
        <v>74</v>
      </c>
      <c r="B672" s="34" t="s">
        <v>212</v>
      </c>
      <c r="C672" s="35" t="s">
        <v>213</v>
      </c>
      <c r="D672" s="36">
        <v>5.0</v>
      </c>
      <c r="E672" s="35" t="s">
        <v>416</v>
      </c>
      <c r="F672" s="36">
        <v>9.0043001E7</v>
      </c>
      <c r="G672" s="37" t="s">
        <v>411</v>
      </c>
      <c r="H672" s="38" t="s">
        <v>19</v>
      </c>
      <c r="I672" s="39">
        <v>2.7171993E8</v>
      </c>
    </row>
    <row r="673">
      <c r="A673" s="33" t="s">
        <v>74</v>
      </c>
      <c r="B673" s="34" t="s">
        <v>212</v>
      </c>
      <c r="C673" s="35" t="s">
        <v>213</v>
      </c>
      <c r="D673" s="36">
        <v>5.0</v>
      </c>
      <c r="E673" s="35" t="s">
        <v>416</v>
      </c>
      <c r="F673" s="36">
        <v>9.0043E7</v>
      </c>
      <c r="G673" s="37" t="s">
        <v>412</v>
      </c>
      <c r="H673" s="38" t="s">
        <v>19</v>
      </c>
      <c r="I673" s="39">
        <v>4.1504083E7</v>
      </c>
    </row>
    <row r="674">
      <c r="A674" s="33" t="s">
        <v>74</v>
      </c>
      <c r="B674" s="34" t="s">
        <v>212</v>
      </c>
      <c r="C674" s="35" t="s">
        <v>213</v>
      </c>
      <c r="D674" s="36">
        <v>5.0</v>
      </c>
      <c r="E674" s="35" t="e">
        <v>#N/A</v>
      </c>
      <c r="F674" s="36">
        <v>5.1100608E7</v>
      </c>
      <c r="G674" s="37" t="s">
        <v>431</v>
      </c>
      <c r="H674" s="38" t="s">
        <v>17</v>
      </c>
      <c r="I674" s="39">
        <v>5.0782861E7</v>
      </c>
    </row>
    <row r="675">
      <c r="A675" s="33" t="s">
        <v>74</v>
      </c>
      <c r="B675" s="34" t="s">
        <v>220</v>
      </c>
      <c r="C675" s="35" t="s">
        <v>221</v>
      </c>
      <c r="D675" s="36">
        <v>5.0</v>
      </c>
      <c r="E675" s="35" t="s">
        <v>409</v>
      </c>
      <c r="F675" s="36">
        <v>9.0042077E7</v>
      </c>
      <c r="G675" s="37" t="s">
        <v>410</v>
      </c>
      <c r="H675" s="38" t="s">
        <v>19</v>
      </c>
      <c r="I675" s="39">
        <v>3.8597102E7</v>
      </c>
    </row>
    <row r="676">
      <c r="A676" s="33" t="s">
        <v>74</v>
      </c>
      <c r="B676" s="34" t="s">
        <v>220</v>
      </c>
      <c r="C676" s="35" t="s">
        <v>221</v>
      </c>
      <c r="D676" s="36">
        <v>5.0</v>
      </c>
      <c r="E676" s="35" t="s">
        <v>409</v>
      </c>
      <c r="F676" s="36">
        <v>9.0043001E7</v>
      </c>
      <c r="G676" s="37" t="s">
        <v>411</v>
      </c>
      <c r="H676" s="38" t="s">
        <v>19</v>
      </c>
      <c r="I676" s="39">
        <v>2.46947905E8</v>
      </c>
    </row>
    <row r="677">
      <c r="A677" s="33" t="s">
        <v>74</v>
      </c>
      <c r="B677" s="34" t="s">
        <v>220</v>
      </c>
      <c r="C677" s="35" t="s">
        <v>221</v>
      </c>
      <c r="D677" s="36">
        <v>5.0</v>
      </c>
      <c r="E677" s="35" t="s">
        <v>409</v>
      </c>
      <c r="F677" s="36">
        <v>9.0043E7</v>
      </c>
      <c r="G677" s="37" t="s">
        <v>412</v>
      </c>
      <c r="H677" s="38" t="s">
        <v>19</v>
      </c>
      <c r="I677" s="39">
        <v>1.01670886E8</v>
      </c>
    </row>
    <row r="678">
      <c r="A678" s="33" t="s">
        <v>74</v>
      </c>
      <c r="B678" s="34" t="s">
        <v>220</v>
      </c>
      <c r="C678" s="35" t="s">
        <v>221</v>
      </c>
      <c r="D678" s="36">
        <v>5.0</v>
      </c>
      <c r="E678" s="35" t="s">
        <v>416</v>
      </c>
      <c r="F678" s="36">
        <v>9.0043001E7</v>
      </c>
      <c r="G678" s="37" t="s">
        <v>411</v>
      </c>
      <c r="H678" s="38" t="s">
        <v>19</v>
      </c>
      <c r="I678" s="39">
        <v>3.16849957E8</v>
      </c>
    </row>
    <row r="679">
      <c r="A679" s="33" t="s">
        <v>74</v>
      </c>
      <c r="B679" s="34" t="s">
        <v>220</v>
      </c>
      <c r="C679" s="35" t="s">
        <v>221</v>
      </c>
      <c r="D679" s="36">
        <v>5.0</v>
      </c>
      <c r="E679" s="35" t="s">
        <v>416</v>
      </c>
      <c r="F679" s="36">
        <v>9.0043E7</v>
      </c>
      <c r="G679" s="37" t="s">
        <v>412</v>
      </c>
      <c r="H679" s="38" t="s">
        <v>19</v>
      </c>
      <c r="I679" s="39">
        <v>1.6795807E7</v>
      </c>
    </row>
    <row r="680">
      <c r="A680" s="33" t="s">
        <v>74</v>
      </c>
      <c r="B680" s="34" t="s">
        <v>231</v>
      </c>
      <c r="C680" s="35" t="s">
        <v>232</v>
      </c>
      <c r="D680" s="36">
        <v>5.0</v>
      </c>
      <c r="E680" s="35" t="s">
        <v>417</v>
      </c>
      <c r="F680" s="36">
        <v>9.0043001E7</v>
      </c>
      <c r="G680" s="37" t="s">
        <v>411</v>
      </c>
      <c r="H680" s="38" t="s">
        <v>19</v>
      </c>
      <c r="I680" s="39">
        <v>8897706.0</v>
      </c>
    </row>
    <row r="681">
      <c r="A681" s="33" t="s">
        <v>74</v>
      </c>
      <c r="B681" s="34" t="s">
        <v>231</v>
      </c>
      <c r="C681" s="35" t="s">
        <v>232</v>
      </c>
      <c r="D681" s="36">
        <v>5.0</v>
      </c>
      <c r="E681" s="35" t="s">
        <v>409</v>
      </c>
      <c r="F681" s="36">
        <v>5.1100064E7</v>
      </c>
      <c r="G681" s="37" t="s">
        <v>414</v>
      </c>
      <c r="H681" s="38" t="s">
        <v>37</v>
      </c>
      <c r="I681" s="39">
        <v>2.7119348E7</v>
      </c>
    </row>
    <row r="682">
      <c r="A682" s="33" t="s">
        <v>74</v>
      </c>
      <c r="B682" s="34" t="s">
        <v>231</v>
      </c>
      <c r="C682" s="35" t="s">
        <v>232</v>
      </c>
      <c r="D682" s="36">
        <v>5.0</v>
      </c>
      <c r="E682" s="35" t="s">
        <v>409</v>
      </c>
      <c r="F682" s="36">
        <v>5.1100064E7</v>
      </c>
      <c r="G682" s="37" t="s">
        <v>414</v>
      </c>
      <c r="H682" s="38" t="s">
        <v>25</v>
      </c>
      <c r="I682" s="39">
        <v>360000.0</v>
      </c>
    </row>
    <row r="683">
      <c r="A683" s="33" t="s">
        <v>74</v>
      </c>
      <c r="B683" s="34" t="s">
        <v>231</v>
      </c>
      <c r="C683" s="35" t="s">
        <v>232</v>
      </c>
      <c r="D683" s="36">
        <v>5.0</v>
      </c>
      <c r="E683" s="35" t="s">
        <v>409</v>
      </c>
      <c r="F683" s="36">
        <v>9.0042077E7</v>
      </c>
      <c r="G683" s="37" t="s">
        <v>410</v>
      </c>
      <c r="H683" s="38" t="s">
        <v>19</v>
      </c>
      <c r="I683" s="39">
        <v>8249253.0</v>
      </c>
    </row>
    <row r="684">
      <c r="A684" s="33" t="s">
        <v>74</v>
      </c>
      <c r="B684" s="34" t="s">
        <v>231</v>
      </c>
      <c r="C684" s="35" t="s">
        <v>232</v>
      </c>
      <c r="D684" s="36">
        <v>5.0</v>
      </c>
      <c r="E684" s="35" t="s">
        <v>409</v>
      </c>
      <c r="F684" s="36">
        <v>9.0043001E7</v>
      </c>
      <c r="G684" s="37" t="s">
        <v>411</v>
      </c>
      <c r="H684" s="38" t="s">
        <v>19</v>
      </c>
      <c r="I684" s="39">
        <v>1.07234645E8</v>
      </c>
    </row>
    <row r="685">
      <c r="A685" s="33" t="s">
        <v>74</v>
      </c>
      <c r="B685" s="34" t="s">
        <v>231</v>
      </c>
      <c r="C685" s="35" t="s">
        <v>232</v>
      </c>
      <c r="D685" s="36">
        <v>5.0</v>
      </c>
      <c r="E685" s="35" t="s">
        <v>409</v>
      </c>
      <c r="F685" s="36">
        <v>9.0043E7</v>
      </c>
      <c r="G685" s="37" t="s">
        <v>412</v>
      </c>
      <c r="H685" s="38" t="s">
        <v>19</v>
      </c>
      <c r="I685" s="39">
        <v>4.0395528E7</v>
      </c>
    </row>
    <row r="686">
      <c r="A686" s="33" t="s">
        <v>74</v>
      </c>
      <c r="B686" s="34" t="s">
        <v>231</v>
      </c>
      <c r="C686" s="35" t="s">
        <v>232</v>
      </c>
      <c r="D686" s="36">
        <v>5.0</v>
      </c>
      <c r="E686" s="35" t="s">
        <v>409</v>
      </c>
      <c r="F686" s="36">
        <v>9.0043002E7</v>
      </c>
      <c r="G686" s="37" t="s">
        <v>429</v>
      </c>
      <c r="H686" s="38" t="s">
        <v>50</v>
      </c>
      <c r="I686" s="39">
        <v>2.6653607E7</v>
      </c>
    </row>
    <row r="687">
      <c r="A687" s="33" t="s">
        <v>74</v>
      </c>
      <c r="B687" s="34" t="s">
        <v>231</v>
      </c>
      <c r="C687" s="35" t="s">
        <v>232</v>
      </c>
      <c r="D687" s="36">
        <v>5.0</v>
      </c>
      <c r="E687" s="35" t="s">
        <v>416</v>
      </c>
      <c r="F687" s="36">
        <v>9.0043001E7</v>
      </c>
      <c r="G687" s="37" t="s">
        <v>411</v>
      </c>
      <c r="H687" s="38" t="s">
        <v>19</v>
      </c>
      <c r="I687" s="39">
        <v>3.071309E7</v>
      </c>
    </row>
    <row r="688">
      <c r="A688" s="33" t="s">
        <v>74</v>
      </c>
      <c r="B688" s="34" t="s">
        <v>231</v>
      </c>
      <c r="C688" s="35" t="s">
        <v>232</v>
      </c>
      <c r="D688" s="36">
        <v>5.0</v>
      </c>
      <c r="E688" s="35" t="s">
        <v>416</v>
      </c>
      <c r="F688" s="36">
        <v>9.0043E7</v>
      </c>
      <c r="G688" s="37" t="s">
        <v>412</v>
      </c>
      <c r="H688" s="38" t="s">
        <v>19</v>
      </c>
      <c r="I688" s="39">
        <v>5887750.0</v>
      </c>
    </row>
    <row r="689">
      <c r="A689" s="33" t="s">
        <v>74</v>
      </c>
      <c r="B689" s="34" t="s">
        <v>231</v>
      </c>
      <c r="C689" s="35" t="s">
        <v>232</v>
      </c>
      <c r="D689" s="36">
        <v>5.0</v>
      </c>
      <c r="E689" s="35" t="e">
        <v>#N/A</v>
      </c>
      <c r="F689" s="36">
        <v>9.0043001E7</v>
      </c>
      <c r="G689" s="37" t="s">
        <v>411</v>
      </c>
      <c r="H689" s="38" t="s">
        <v>19</v>
      </c>
      <c r="I689" s="39">
        <v>4.5890346E7</v>
      </c>
    </row>
    <row r="690">
      <c r="A690" s="33" t="s">
        <v>74</v>
      </c>
      <c r="B690" s="34" t="s">
        <v>231</v>
      </c>
      <c r="C690" s="35" t="s">
        <v>232</v>
      </c>
      <c r="D690" s="36">
        <v>5.0</v>
      </c>
      <c r="E690" s="35" t="e">
        <v>#N/A</v>
      </c>
      <c r="F690" s="36">
        <v>9.0043E7</v>
      </c>
      <c r="G690" s="37" t="s">
        <v>412</v>
      </c>
      <c r="H690" s="38" t="s">
        <v>19</v>
      </c>
      <c r="I690" s="39">
        <v>9756734.0</v>
      </c>
    </row>
    <row r="691">
      <c r="A691" s="33" t="s">
        <v>74</v>
      </c>
      <c r="B691" s="34" t="s">
        <v>233</v>
      </c>
      <c r="C691" s="35" t="s">
        <v>234</v>
      </c>
      <c r="D691" s="36">
        <v>5.0</v>
      </c>
      <c r="E691" s="35" t="s">
        <v>409</v>
      </c>
      <c r="F691" s="36">
        <v>5.1100064E7</v>
      </c>
      <c r="G691" s="37" t="s">
        <v>414</v>
      </c>
      <c r="H691" s="38" t="s">
        <v>37</v>
      </c>
      <c r="I691" s="39">
        <v>8164264.0</v>
      </c>
    </row>
    <row r="692">
      <c r="A692" s="33" t="s">
        <v>74</v>
      </c>
      <c r="B692" s="34" t="s">
        <v>233</v>
      </c>
      <c r="C692" s="35" t="s">
        <v>234</v>
      </c>
      <c r="D692" s="36">
        <v>5.0</v>
      </c>
      <c r="E692" s="35" t="s">
        <v>409</v>
      </c>
      <c r="F692" s="36">
        <v>5.1100064E7</v>
      </c>
      <c r="G692" s="37" t="s">
        <v>414</v>
      </c>
      <c r="H692" s="38" t="s">
        <v>25</v>
      </c>
      <c r="I692" s="39">
        <v>1.6232425E7</v>
      </c>
    </row>
    <row r="693">
      <c r="A693" s="33" t="s">
        <v>74</v>
      </c>
      <c r="B693" s="34" t="s">
        <v>233</v>
      </c>
      <c r="C693" s="35" t="s">
        <v>234</v>
      </c>
      <c r="D693" s="36">
        <v>5.0</v>
      </c>
      <c r="E693" s="35" t="s">
        <v>409</v>
      </c>
      <c r="F693" s="36">
        <v>5.1101056E7</v>
      </c>
      <c r="G693" s="37" t="s">
        <v>426</v>
      </c>
      <c r="H693" s="38" t="s">
        <v>25</v>
      </c>
      <c r="I693" s="39">
        <v>-935200.0</v>
      </c>
    </row>
    <row r="694">
      <c r="A694" s="33" t="s">
        <v>74</v>
      </c>
      <c r="B694" s="34" t="s">
        <v>233</v>
      </c>
      <c r="C694" s="35" t="s">
        <v>234</v>
      </c>
      <c r="D694" s="36">
        <v>5.0</v>
      </c>
      <c r="E694" s="35" t="s">
        <v>409</v>
      </c>
      <c r="F694" s="36">
        <v>9.0042077E7</v>
      </c>
      <c r="G694" s="37" t="s">
        <v>410</v>
      </c>
      <c r="H694" s="38" t="s">
        <v>19</v>
      </c>
      <c r="I694" s="39">
        <v>6.789004E7</v>
      </c>
    </row>
    <row r="695">
      <c r="A695" s="33" t="s">
        <v>74</v>
      </c>
      <c r="B695" s="34" t="s">
        <v>233</v>
      </c>
      <c r="C695" s="35" t="s">
        <v>234</v>
      </c>
      <c r="D695" s="36">
        <v>5.0</v>
      </c>
      <c r="E695" s="35" t="s">
        <v>409</v>
      </c>
      <c r="F695" s="36">
        <v>9.0043001E7</v>
      </c>
      <c r="G695" s="37" t="s">
        <v>411</v>
      </c>
      <c r="H695" s="38" t="s">
        <v>19</v>
      </c>
      <c r="I695" s="39">
        <v>2.08213472E8</v>
      </c>
    </row>
    <row r="696">
      <c r="A696" s="33" t="s">
        <v>74</v>
      </c>
      <c r="B696" s="34" t="s">
        <v>233</v>
      </c>
      <c r="C696" s="35" t="s">
        <v>234</v>
      </c>
      <c r="D696" s="36">
        <v>5.0</v>
      </c>
      <c r="E696" s="35" t="s">
        <v>409</v>
      </c>
      <c r="F696" s="36">
        <v>9.0043E7</v>
      </c>
      <c r="G696" s="37" t="s">
        <v>412</v>
      </c>
      <c r="H696" s="38" t="s">
        <v>19</v>
      </c>
      <c r="I696" s="39">
        <v>1.48302264E8</v>
      </c>
    </row>
    <row r="697">
      <c r="A697" s="33" t="s">
        <v>74</v>
      </c>
      <c r="B697" s="34" t="s">
        <v>233</v>
      </c>
      <c r="C697" s="35" t="s">
        <v>234</v>
      </c>
      <c r="D697" s="36">
        <v>5.0</v>
      </c>
      <c r="E697" s="35" t="s">
        <v>409</v>
      </c>
      <c r="F697" s="36">
        <v>5.1100057E7</v>
      </c>
      <c r="G697" s="37" t="s">
        <v>427</v>
      </c>
      <c r="H697" s="38" t="s">
        <v>37</v>
      </c>
      <c r="I697" s="39">
        <v>626036.0</v>
      </c>
    </row>
    <row r="698">
      <c r="A698" s="33" t="s">
        <v>74</v>
      </c>
      <c r="B698" s="34" t="s">
        <v>233</v>
      </c>
      <c r="C698" s="35" t="s">
        <v>234</v>
      </c>
      <c r="D698" s="36">
        <v>5.0</v>
      </c>
      <c r="E698" s="35" t="s">
        <v>409</v>
      </c>
      <c r="F698" s="36">
        <v>5.1100057E7</v>
      </c>
      <c r="G698" s="37" t="s">
        <v>427</v>
      </c>
      <c r="H698" s="38" t="s">
        <v>25</v>
      </c>
      <c r="I698" s="39">
        <v>-3088825.0</v>
      </c>
    </row>
    <row r="699">
      <c r="A699" s="33" t="s">
        <v>74</v>
      </c>
      <c r="B699" s="34" t="s">
        <v>233</v>
      </c>
      <c r="C699" s="35" t="s">
        <v>234</v>
      </c>
      <c r="D699" s="36">
        <v>5.0</v>
      </c>
      <c r="E699" s="35" t="s">
        <v>416</v>
      </c>
      <c r="F699" s="36">
        <v>9.0042078E7</v>
      </c>
      <c r="G699" s="37" t="s">
        <v>428</v>
      </c>
      <c r="H699" s="38" t="s">
        <v>19</v>
      </c>
      <c r="I699" s="39">
        <v>2579760.0</v>
      </c>
    </row>
    <row r="700">
      <c r="A700" s="33" t="s">
        <v>74</v>
      </c>
      <c r="B700" s="34" t="s">
        <v>233</v>
      </c>
      <c r="C700" s="35" t="s">
        <v>234</v>
      </c>
      <c r="D700" s="36">
        <v>5.0</v>
      </c>
      <c r="E700" s="35" t="s">
        <v>416</v>
      </c>
      <c r="F700" s="36">
        <v>9.0042079E7</v>
      </c>
      <c r="G700" s="37" t="s">
        <v>422</v>
      </c>
      <c r="H700" s="38" t="s">
        <v>19</v>
      </c>
      <c r="I700" s="39">
        <v>920000.0</v>
      </c>
    </row>
    <row r="701">
      <c r="A701" s="33" t="s">
        <v>74</v>
      </c>
      <c r="B701" s="34" t="s">
        <v>233</v>
      </c>
      <c r="C701" s="35" t="s">
        <v>234</v>
      </c>
      <c r="D701" s="36">
        <v>5.0</v>
      </c>
      <c r="E701" s="35" t="s">
        <v>416</v>
      </c>
      <c r="F701" s="36">
        <v>9.0043E7</v>
      </c>
      <c r="G701" s="37" t="s">
        <v>412</v>
      </c>
      <c r="H701" s="38" t="s">
        <v>19</v>
      </c>
      <c r="I701" s="39">
        <v>2.4717044E7</v>
      </c>
    </row>
    <row r="702">
      <c r="A702" s="33" t="s">
        <v>74</v>
      </c>
      <c r="B702" s="34" t="s">
        <v>244</v>
      </c>
      <c r="C702" s="35" t="s">
        <v>245</v>
      </c>
      <c r="D702" s="36">
        <v>5.0</v>
      </c>
      <c r="E702" s="35" t="s">
        <v>409</v>
      </c>
      <c r="F702" s="36">
        <v>5.1100064E7</v>
      </c>
      <c r="G702" s="37" t="s">
        <v>414</v>
      </c>
      <c r="H702" s="38" t="s">
        <v>37</v>
      </c>
      <c r="I702" s="39">
        <v>1.3417225E7</v>
      </c>
    </row>
    <row r="703">
      <c r="A703" s="33" t="s">
        <v>74</v>
      </c>
      <c r="B703" s="34" t="s">
        <v>244</v>
      </c>
      <c r="C703" s="35" t="s">
        <v>245</v>
      </c>
      <c r="D703" s="36">
        <v>5.0</v>
      </c>
      <c r="E703" s="35" t="s">
        <v>409</v>
      </c>
      <c r="F703" s="36">
        <v>9.0042077E7</v>
      </c>
      <c r="G703" s="37" t="s">
        <v>410</v>
      </c>
      <c r="H703" s="38" t="s">
        <v>19</v>
      </c>
      <c r="I703" s="39">
        <v>3.6354551E7</v>
      </c>
    </row>
    <row r="704">
      <c r="A704" s="33" t="s">
        <v>74</v>
      </c>
      <c r="B704" s="34" t="s">
        <v>244</v>
      </c>
      <c r="C704" s="35" t="s">
        <v>245</v>
      </c>
      <c r="D704" s="36">
        <v>5.0</v>
      </c>
      <c r="E704" s="35" t="s">
        <v>409</v>
      </c>
      <c r="F704" s="36">
        <v>9.0043001E7</v>
      </c>
      <c r="G704" s="37" t="s">
        <v>411</v>
      </c>
      <c r="H704" s="38" t="s">
        <v>19</v>
      </c>
      <c r="I704" s="39">
        <v>5.12087998E8</v>
      </c>
    </row>
    <row r="705">
      <c r="A705" s="33" t="s">
        <v>74</v>
      </c>
      <c r="B705" s="34" t="s">
        <v>244</v>
      </c>
      <c r="C705" s="35" t="s">
        <v>245</v>
      </c>
      <c r="D705" s="36">
        <v>5.0</v>
      </c>
      <c r="E705" s="35" t="s">
        <v>409</v>
      </c>
      <c r="F705" s="36">
        <v>9.0043E7</v>
      </c>
      <c r="G705" s="37" t="s">
        <v>412</v>
      </c>
      <c r="H705" s="38" t="s">
        <v>19</v>
      </c>
      <c r="I705" s="39">
        <v>1.44590461E8</v>
      </c>
    </row>
    <row r="706">
      <c r="A706" s="33" t="s">
        <v>74</v>
      </c>
      <c r="B706" s="34" t="s">
        <v>244</v>
      </c>
      <c r="C706" s="35" t="s">
        <v>245</v>
      </c>
      <c r="D706" s="36">
        <v>5.0</v>
      </c>
      <c r="E706" s="35" t="s">
        <v>409</v>
      </c>
      <c r="F706" s="36">
        <v>5.1100057E7</v>
      </c>
      <c r="G706" s="37" t="s">
        <v>427</v>
      </c>
      <c r="H706" s="38" t="s">
        <v>37</v>
      </c>
      <c r="I706" s="39">
        <v>120750.0</v>
      </c>
    </row>
    <row r="707">
      <c r="A707" s="33" t="s">
        <v>74</v>
      </c>
      <c r="B707" s="34" t="s">
        <v>244</v>
      </c>
      <c r="C707" s="35" t="s">
        <v>245</v>
      </c>
      <c r="D707" s="36">
        <v>5.0</v>
      </c>
      <c r="E707" s="35" t="s">
        <v>416</v>
      </c>
      <c r="F707" s="36">
        <v>9.0042078E7</v>
      </c>
      <c r="G707" s="37" t="s">
        <v>428</v>
      </c>
      <c r="H707" s="38" t="s">
        <v>19</v>
      </c>
      <c r="I707" s="39">
        <v>414890.0</v>
      </c>
    </row>
    <row r="708">
      <c r="A708" s="33" t="s">
        <v>74</v>
      </c>
      <c r="B708" s="34" t="s">
        <v>244</v>
      </c>
      <c r="C708" s="35" t="s">
        <v>245</v>
      </c>
      <c r="D708" s="36">
        <v>5.0</v>
      </c>
      <c r="E708" s="35" t="s">
        <v>416</v>
      </c>
      <c r="F708" s="36">
        <v>9.004208E7</v>
      </c>
      <c r="G708" s="37" t="s">
        <v>419</v>
      </c>
      <c r="H708" s="38" t="s">
        <v>25</v>
      </c>
      <c r="I708" s="39">
        <v>360000.0</v>
      </c>
    </row>
    <row r="709">
      <c r="A709" s="33" t="s">
        <v>74</v>
      </c>
      <c r="B709" s="34" t="s">
        <v>244</v>
      </c>
      <c r="C709" s="35" t="s">
        <v>245</v>
      </c>
      <c r="D709" s="36">
        <v>5.0</v>
      </c>
      <c r="E709" s="35" t="s">
        <v>416</v>
      </c>
      <c r="F709" s="36">
        <v>9.0043001E7</v>
      </c>
      <c r="G709" s="37" t="s">
        <v>411</v>
      </c>
      <c r="H709" s="38" t="s">
        <v>19</v>
      </c>
      <c r="I709" s="39">
        <v>3.77372202E8</v>
      </c>
    </row>
    <row r="710">
      <c r="A710" s="33" t="s">
        <v>74</v>
      </c>
      <c r="B710" s="34" t="s">
        <v>244</v>
      </c>
      <c r="C710" s="35" t="s">
        <v>245</v>
      </c>
      <c r="D710" s="36">
        <v>5.0</v>
      </c>
      <c r="E710" s="35" t="s">
        <v>416</v>
      </c>
      <c r="F710" s="36">
        <v>9.0043E7</v>
      </c>
      <c r="G710" s="37" t="s">
        <v>412</v>
      </c>
      <c r="H710" s="38" t="s">
        <v>19</v>
      </c>
      <c r="I710" s="39">
        <v>1.24190657E8</v>
      </c>
    </row>
    <row r="711">
      <c r="A711" s="33" t="s">
        <v>74</v>
      </c>
      <c r="B711" s="34" t="s">
        <v>244</v>
      </c>
      <c r="C711" s="35" t="s">
        <v>245</v>
      </c>
      <c r="D711" s="36">
        <v>5.0</v>
      </c>
      <c r="E711" s="35" t="e">
        <v>#N/A</v>
      </c>
      <c r="F711" s="36">
        <v>5.1100608E7</v>
      </c>
      <c r="G711" s="37" t="s">
        <v>431</v>
      </c>
      <c r="H711" s="38" t="s">
        <v>17</v>
      </c>
      <c r="I711" s="39">
        <v>3.22944874E8</v>
      </c>
    </row>
    <row r="712">
      <c r="A712" s="33" t="s">
        <v>74</v>
      </c>
      <c r="B712" s="34" t="s">
        <v>254</v>
      </c>
      <c r="C712" s="35" t="s">
        <v>255</v>
      </c>
      <c r="D712" s="36">
        <v>5.0</v>
      </c>
      <c r="E712" s="35" t="s">
        <v>409</v>
      </c>
      <c r="F712" s="36">
        <v>5.1100064E7</v>
      </c>
      <c r="G712" s="37" t="s">
        <v>414</v>
      </c>
      <c r="H712" s="38" t="s">
        <v>37</v>
      </c>
      <c r="I712" s="39">
        <v>6.1665382E7</v>
      </c>
    </row>
    <row r="713">
      <c r="A713" s="33" t="s">
        <v>74</v>
      </c>
      <c r="B713" s="34" t="s">
        <v>254</v>
      </c>
      <c r="C713" s="35" t="s">
        <v>255</v>
      </c>
      <c r="D713" s="36">
        <v>5.0</v>
      </c>
      <c r="E713" s="35" t="s">
        <v>409</v>
      </c>
      <c r="F713" s="36">
        <v>9.0042077E7</v>
      </c>
      <c r="G713" s="37" t="s">
        <v>410</v>
      </c>
      <c r="H713" s="38" t="s">
        <v>19</v>
      </c>
      <c r="I713" s="39">
        <v>1.5886909E7</v>
      </c>
    </row>
    <row r="714">
      <c r="A714" s="33" t="s">
        <v>74</v>
      </c>
      <c r="B714" s="34" t="s">
        <v>254</v>
      </c>
      <c r="C714" s="35" t="s">
        <v>255</v>
      </c>
      <c r="D714" s="36">
        <v>5.0</v>
      </c>
      <c r="E714" s="35" t="s">
        <v>409</v>
      </c>
      <c r="F714" s="36">
        <v>9.0043001E7</v>
      </c>
      <c r="G714" s="37" t="s">
        <v>411</v>
      </c>
      <c r="H714" s="38" t="s">
        <v>19</v>
      </c>
      <c r="I714" s="39">
        <v>2.75174775E8</v>
      </c>
    </row>
    <row r="715">
      <c r="A715" s="33" t="s">
        <v>74</v>
      </c>
      <c r="B715" s="34" t="s">
        <v>254</v>
      </c>
      <c r="C715" s="35" t="s">
        <v>255</v>
      </c>
      <c r="D715" s="36">
        <v>5.0</v>
      </c>
      <c r="E715" s="35" t="s">
        <v>409</v>
      </c>
      <c r="F715" s="36">
        <v>9.0043E7</v>
      </c>
      <c r="G715" s="37" t="s">
        <v>412</v>
      </c>
      <c r="H715" s="38" t="s">
        <v>19</v>
      </c>
      <c r="I715" s="39">
        <v>6.7012948E7</v>
      </c>
    </row>
    <row r="716">
      <c r="A716" s="33" t="s">
        <v>74</v>
      </c>
      <c r="B716" s="34" t="s">
        <v>254</v>
      </c>
      <c r="C716" s="35" t="s">
        <v>255</v>
      </c>
      <c r="D716" s="36">
        <v>5.0</v>
      </c>
      <c r="E716" s="35" t="s">
        <v>416</v>
      </c>
      <c r="F716" s="36">
        <v>5.1100064E7</v>
      </c>
      <c r="G716" s="37" t="s">
        <v>414</v>
      </c>
      <c r="H716" s="38" t="s">
        <v>37</v>
      </c>
      <c r="I716" s="39">
        <v>7320500.0</v>
      </c>
    </row>
    <row r="717">
      <c r="A717" s="33" t="s">
        <v>74</v>
      </c>
      <c r="B717" s="34" t="s">
        <v>254</v>
      </c>
      <c r="C717" s="35" t="s">
        <v>255</v>
      </c>
      <c r="D717" s="36">
        <v>5.0</v>
      </c>
      <c r="E717" s="35" t="s">
        <v>416</v>
      </c>
      <c r="F717" s="36">
        <v>9.0043001E7</v>
      </c>
      <c r="G717" s="37" t="s">
        <v>411</v>
      </c>
      <c r="H717" s="38" t="s">
        <v>19</v>
      </c>
      <c r="I717" s="39">
        <v>2.65809358E8</v>
      </c>
    </row>
    <row r="718">
      <c r="A718" s="33" t="s">
        <v>74</v>
      </c>
      <c r="B718" s="34" t="s">
        <v>254</v>
      </c>
      <c r="C718" s="35" t="s">
        <v>255</v>
      </c>
      <c r="D718" s="36">
        <v>5.0</v>
      </c>
      <c r="E718" s="35" t="s">
        <v>416</v>
      </c>
      <c r="F718" s="36">
        <v>9.0043E7</v>
      </c>
      <c r="G718" s="37" t="s">
        <v>412</v>
      </c>
      <c r="H718" s="38" t="s">
        <v>19</v>
      </c>
      <c r="I718" s="39">
        <v>8.6495828E7</v>
      </c>
    </row>
    <row r="719">
      <c r="A719" s="33" t="s">
        <v>74</v>
      </c>
      <c r="B719" s="34" t="s">
        <v>254</v>
      </c>
      <c r="C719" s="35" t="s">
        <v>255</v>
      </c>
      <c r="D719" s="36">
        <v>5.0</v>
      </c>
      <c r="E719" s="35" t="s">
        <v>416</v>
      </c>
      <c r="F719" s="36">
        <v>5.1100402E7</v>
      </c>
      <c r="G719" s="37" t="s">
        <v>413</v>
      </c>
      <c r="H719" s="38" t="s">
        <v>19</v>
      </c>
      <c r="I719" s="39">
        <v>3261000.0</v>
      </c>
    </row>
    <row r="720">
      <c r="A720" s="33" t="s">
        <v>74</v>
      </c>
      <c r="B720" s="34" t="s">
        <v>254</v>
      </c>
      <c r="C720" s="35" t="s">
        <v>255</v>
      </c>
      <c r="D720" s="36">
        <v>5.0</v>
      </c>
      <c r="E720" s="35" t="e">
        <v>#N/A</v>
      </c>
      <c r="F720" s="36">
        <v>5.1100608E7</v>
      </c>
      <c r="G720" s="37" t="s">
        <v>431</v>
      </c>
      <c r="H720" s="38" t="s">
        <v>17</v>
      </c>
      <c r="I720" s="39">
        <v>6.0073193E7</v>
      </c>
    </row>
    <row r="721">
      <c r="A721" s="33" t="s">
        <v>74</v>
      </c>
      <c r="B721" s="34" t="s">
        <v>259</v>
      </c>
      <c r="C721" s="35" t="s">
        <v>260</v>
      </c>
      <c r="D721" s="36">
        <v>5.0</v>
      </c>
      <c r="E721" s="35" t="s">
        <v>409</v>
      </c>
      <c r="F721" s="36">
        <v>5.1100064E7</v>
      </c>
      <c r="G721" s="37" t="s">
        <v>414</v>
      </c>
      <c r="H721" s="38" t="s">
        <v>25</v>
      </c>
      <c r="I721" s="39">
        <v>1065000.0</v>
      </c>
    </row>
    <row r="722">
      <c r="A722" s="33" t="s">
        <v>74</v>
      </c>
      <c r="B722" s="34" t="s">
        <v>259</v>
      </c>
      <c r="C722" s="35" t="s">
        <v>260</v>
      </c>
      <c r="D722" s="36">
        <v>5.0</v>
      </c>
      <c r="E722" s="35" t="s">
        <v>409</v>
      </c>
      <c r="F722" s="36">
        <v>9.0042077E7</v>
      </c>
      <c r="G722" s="37" t="s">
        <v>410</v>
      </c>
      <c r="H722" s="38" t="s">
        <v>19</v>
      </c>
      <c r="I722" s="39">
        <v>1.5844149E7</v>
      </c>
    </row>
    <row r="723">
      <c r="A723" s="33" t="s">
        <v>74</v>
      </c>
      <c r="B723" s="34" t="s">
        <v>259</v>
      </c>
      <c r="C723" s="35" t="s">
        <v>260</v>
      </c>
      <c r="D723" s="36">
        <v>5.0</v>
      </c>
      <c r="E723" s="35" t="s">
        <v>409</v>
      </c>
      <c r="F723" s="36">
        <v>9.0043001E7</v>
      </c>
      <c r="G723" s="37" t="s">
        <v>411</v>
      </c>
      <c r="H723" s="38" t="s">
        <v>19</v>
      </c>
      <c r="I723" s="39">
        <v>2.73324298E8</v>
      </c>
    </row>
    <row r="724">
      <c r="A724" s="33" t="s">
        <v>74</v>
      </c>
      <c r="B724" s="34" t="s">
        <v>259</v>
      </c>
      <c r="C724" s="35" t="s">
        <v>260</v>
      </c>
      <c r="D724" s="36">
        <v>5.0</v>
      </c>
      <c r="E724" s="35" t="s">
        <v>409</v>
      </c>
      <c r="F724" s="36">
        <v>9.0043E7</v>
      </c>
      <c r="G724" s="37" t="s">
        <v>412</v>
      </c>
      <c r="H724" s="38" t="s">
        <v>19</v>
      </c>
      <c r="I724" s="39">
        <v>6.1665727E7</v>
      </c>
    </row>
    <row r="725">
      <c r="A725" s="33" t="s">
        <v>74</v>
      </c>
      <c r="B725" s="34" t="s">
        <v>259</v>
      </c>
      <c r="C725" s="35" t="s">
        <v>260</v>
      </c>
      <c r="D725" s="36">
        <v>5.0</v>
      </c>
      <c r="E725" s="35" t="s">
        <v>409</v>
      </c>
      <c r="F725" s="36">
        <v>5.1100063E7</v>
      </c>
      <c r="G725" s="37" t="s">
        <v>430</v>
      </c>
      <c r="H725" s="38" t="s">
        <v>37</v>
      </c>
      <c r="I725" s="39">
        <v>1434000.0</v>
      </c>
    </row>
    <row r="726">
      <c r="A726" s="33" t="s">
        <v>74</v>
      </c>
      <c r="B726" s="34" t="s">
        <v>259</v>
      </c>
      <c r="C726" s="35" t="s">
        <v>260</v>
      </c>
      <c r="D726" s="36">
        <v>5.0</v>
      </c>
      <c r="E726" s="35" t="s">
        <v>416</v>
      </c>
      <c r="F726" s="36">
        <v>5.1100064E7</v>
      </c>
      <c r="G726" s="37" t="s">
        <v>414</v>
      </c>
      <c r="H726" s="38" t="s">
        <v>25</v>
      </c>
      <c r="I726" s="39">
        <v>4153000.0</v>
      </c>
    </row>
    <row r="727">
      <c r="A727" s="33" t="s">
        <v>74</v>
      </c>
      <c r="B727" s="34" t="s">
        <v>259</v>
      </c>
      <c r="C727" s="35" t="s">
        <v>260</v>
      </c>
      <c r="D727" s="36">
        <v>5.0</v>
      </c>
      <c r="E727" s="35" t="s">
        <v>416</v>
      </c>
      <c r="F727" s="36">
        <v>9.0043001E7</v>
      </c>
      <c r="G727" s="37" t="s">
        <v>411</v>
      </c>
      <c r="H727" s="38" t="s">
        <v>19</v>
      </c>
      <c r="I727" s="39">
        <v>2.22394854E8</v>
      </c>
    </row>
    <row r="728">
      <c r="A728" s="33" t="s">
        <v>74</v>
      </c>
      <c r="B728" s="34" t="s">
        <v>259</v>
      </c>
      <c r="C728" s="35" t="s">
        <v>260</v>
      </c>
      <c r="D728" s="36">
        <v>5.0</v>
      </c>
      <c r="E728" s="35" t="s">
        <v>416</v>
      </c>
      <c r="F728" s="36">
        <v>9.0043E7</v>
      </c>
      <c r="G728" s="37" t="s">
        <v>412</v>
      </c>
      <c r="H728" s="38" t="s">
        <v>19</v>
      </c>
      <c r="I728" s="39">
        <v>2.8532803E7</v>
      </c>
    </row>
    <row r="729">
      <c r="A729" s="33" t="s">
        <v>74</v>
      </c>
      <c r="B729" s="34" t="s">
        <v>259</v>
      </c>
      <c r="C729" s="35" t="s">
        <v>260</v>
      </c>
      <c r="D729" s="36">
        <v>5.0</v>
      </c>
      <c r="E729" s="35" t="e">
        <v>#N/A</v>
      </c>
      <c r="F729" s="36">
        <v>5.1100608E7</v>
      </c>
      <c r="G729" s="37" t="s">
        <v>431</v>
      </c>
      <c r="H729" s="38" t="s">
        <v>17</v>
      </c>
      <c r="I729" s="39">
        <v>1.22849678E8</v>
      </c>
    </row>
    <row r="730">
      <c r="A730" s="33" t="s">
        <v>74</v>
      </c>
      <c r="B730" s="34" t="s">
        <v>259</v>
      </c>
      <c r="C730" s="35" t="s">
        <v>260</v>
      </c>
      <c r="D730" s="36">
        <v>5.0</v>
      </c>
      <c r="E730" s="35" t="e">
        <v>#N/A</v>
      </c>
      <c r="F730" s="36">
        <v>9.0043001E7</v>
      </c>
      <c r="G730" s="37" t="s">
        <v>411</v>
      </c>
      <c r="H730" s="38" t="s">
        <v>19</v>
      </c>
      <c r="I730" s="39">
        <v>5801991.0</v>
      </c>
    </row>
    <row r="731">
      <c r="A731" s="33" t="s">
        <v>74</v>
      </c>
      <c r="B731" s="34" t="s">
        <v>66</v>
      </c>
      <c r="C731" s="35" t="s">
        <v>67</v>
      </c>
      <c r="D731" s="36">
        <v>5.0</v>
      </c>
      <c r="E731" s="35" t="s">
        <v>417</v>
      </c>
      <c r="F731" s="36">
        <v>9.0043001E7</v>
      </c>
      <c r="G731" s="37" t="s">
        <v>411</v>
      </c>
      <c r="H731" s="38" t="s">
        <v>19</v>
      </c>
      <c r="I731" s="39">
        <v>2.088573E7</v>
      </c>
    </row>
    <row r="732">
      <c r="A732" s="33" t="s">
        <v>74</v>
      </c>
      <c r="B732" s="34" t="s">
        <v>66</v>
      </c>
      <c r="C732" s="35" t="s">
        <v>67</v>
      </c>
      <c r="D732" s="36">
        <v>5.0</v>
      </c>
      <c r="E732" s="35" t="s">
        <v>409</v>
      </c>
      <c r="F732" s="36">
        <v>5.1100064E7</v>
      </c>
      <c r="G732" s="37" t="s">
        <v>414</v>
      </c>
      <c r="H732" s="38" t="s">
        <v>37</v>
      </c>
      <c r="I732" s="39">
        <v>1.6583E7</v>
      </c>
    </row>
    <row r="733">
      <c r="A733" s="33" t="s">
        <v>74</v>
      </c>
      <c r="B733" s="34" t="s">
        <v>66</v>
      </c>
      <c r="C733" s="35" t="s">
        <v>67</v>
      </c>
      <c r="D733" s="36">
        <v>5.0</v>
      </c>
      <c r="E733" s="35" t="s">
        <v>409</v>
      </c>
      <c r="F733" s="36">
        <v>9.0042077E7</v>
      </c>
      <c r="G733" s="37" t="s">
        <v>410</v>
      </c>
      <c r="H733" s="38" t="s">
        <v>19</v>
      </c>
      <c r="I733" s="39">
        <v>2.02129E7</v>
      </c>
    </row>
    <row r="734">
      <c r="A734" s="33" t="s">
        <v>74</v>
      </c>
      <c r="B734" s="34" t="s">
        <v>66</v>
      </c>
      <c r="C734" s="35" t="s">
        <v>67</v>
      </c>
      <c r="D734" s="36">
        <v>5.0</v>
      </c>
      <c r="E734" s="35" t="s">
        <v>409</v>
      </c>
      <c r="F734" s="36">
        <v>9.0043001E7</v>
      </c>
      <c r="G734" s="37" t="s">
        <v>411</v>
      </c>
      <c r="H734" s="38" t="s">
        <v>19</v>
      </c>
      <c r="I734" s="39">
        <v>4.26471876E8</v>
      </c>
    </row>
    <row r="735">
      <c r="A735" s="33" t="s">
        <v>74</v>
      </c>
      <c r="B735" s="34" t="s">
        <v>66</v>
      </c>
      <c r="C735" s="35" t="s">
        <v>67</v>
      </c>
      <c r="D735" s="36">
        <v>5.0</v>
      </c>
      <c r="E735" s="35" t="s">
        <v>409</v>
      </c>
      <c r="F735" s="36">
        <v>9.0043E7</v>
      </c>
      <c r="G735" s="37" t="s">
        <v>412</v>
      </c>
      <c r="H735" s="38" t="s">
        <v>19</v>
      </c>
      <c r="I735" s="39">
        <v>9.6110584E7</v>
      </c>
    </row>
    <row r="736">
      <c r="A736" s="33" t="s">
        <v>74</v>
      </c>
      <c r="B736" s="34" t="s">
        <v>66</v>
      </c>
      <c r="C736" s="35" t="s">
        <v>67</v>
      </c>
      <c r="D736" s="36">
        <v>5.0</v>
      </c>
      <c r="E736" s="35" t="s">
        <v>416</v>
      </c>
      <c r="F736" s="36">
        <v>9.0042078E7</v>
      </c>
      <c r="G736" s="37" t="s">
        <v>428</v>
      </c>
      <c r="H736" s="38" t="s">
        <v>19</v>
      </c>
      <c r="I736" s="39">
        <v>690000.0</v>
      </c>
    </row>
    <row r="737">
      <c r="A737" s="33" t="s">
        <v>74</v>
      </c>
      <c r="B737" s="34" t="s">
        <v>66</v>
      </c>
      <c r="C737" s="35" t="s">
        <v>67</v>
      </c>
      <c r="D737" s="36">
        <v>5.0</v>
      </c>
      <c r="E737" s="35" t="s">
        <v>416</v>
      </c>
      <c r="F737" s="36">
        <v>9.004208E7</v>
      </c>
      <c r="G737" s="37" t="s">
        <v>419</v>
      </c>
      <c r="H737" s="38" t="s">
        <v>25</v>
      </c>
      <c r="I737" s="39">
        <v>2032030.0</v>
      </c>
    </row>
    <row r="738">
      <c r="A738" s="33" t="s">
        <v>74</v>
      </c>
      <c r="B738" s="34" t="s">
        <v>66</v>
      </c>
      <c r="C738" s="35" t="s">
        <v>67</v>
      </c>
      <c r="D738" s="36">
        <v>5.0</v>
      </c>
      <c r="E738" s="35" t="s">
        <v>416</v>
      </c>
      <c r="F738" s="36">
        <v>9.0043001E7</v>
      </c>
      <c r="G738" s="37" t="s">
        <v>411</v>
      </c>
      <c r="H738" s="38" t="s">
        <v>19</v>
      </c>
      <c r="I738" s="39">
        <v>3.76747927E8</v>
      </c>
    </row>
    <row r="739">
      <c r="A739" s="33" t="s">
        <v>74</v>
      </c>
      <c r="B739" s="34" t="s">
        <v>66</v>
      </c>
      <c r="C739" s="35" t="s">
        <v>67</v>
      </c>
      <c r="D739" s="36">
        <v>5.0</v>
      </c>
      <c r="E739" s="35" t="s">
        <v>416</v>
      </c>
      <c r="F739" s="36">
        <v>9.0043E7</v>
      </c>
      <c r="G739" s="37" t="s">
        <v>412</v>
      </c>
      <c r="H739" s="38" t="s">
        <v>19</v>
      </c>
      <c r="I739" s="39">
        <v>9.4081123E7</v>
      </c>
    </row>
    <row r="740">
      <c r="A740" s="33" t="s">
        <v>74</v>
      </c>
      <c r="B740" s="34" t="s">
        <v>66</v>
      </c>
      <c r="C740" s="35" t="s">
        <v>67</v>
      </c>
      <c r="D740" s="36">
        <v>5.0</v>
      </c>
      <c r="E740" s="35" t="e">
        <v>#N/A</v>
      </c>
      <c r="F740" s="36">
        <v>5.1100608E7</v>
      </c>
      <c r="G740" s="37" t="s">
        <v>431</v>
      </c>
      <c r="H740" s="38" t="s">
        <v>17</v>
      </c>
      <c r="I740" s="39">
        <v>1.08908766E8</v>
      </c>
    </row>
    <row r="741">
      <c r="A741" s="33"/>
      <c r="B741" s="34"/>
      <c r="C741" s="35"/>
      <c r="D741" s="36"/>
      <c r="E741" s="35"/>
      <c r="F741" s="36"/>
      <c r="G741" s="37"/>
      <c r="H741" s="38"/>
      <c r="I741" s="39"/>
    </row>
    <row r="742">
      <c r="A742" s="33"/>
      <c r="B742" s="34"/>
      <c r="C742" s="35"/>
      <c r="D742" s="36"/>
      <c r="E742" s="35"/>
      <c r="F742" s="36"/>
      <c r="G742" s="37"/>
      <c r="H742" s="38"/>
      <c r="I742" s="39"/>
    </row>
    <row r="743">
      <c r="A743" s="33"/>
      <c r="B743" s="34"/>
      <c r="C743" s="35"/>
      <c r="D743" s="36"/>
      <c r="E743" s="35"/>
      <c r="F743" s="36"/>
      <c r="G743" s="37"/>
      <c r="H743" s="38"/>
      <c r="I743" s="39"/>
    </row>
    <row r="744">
      <c r="A744" s="33"/>
      <c r="B744" s="34"/>
      <c r="C744" s="35"/>
      <c r="D744" s="36"/>
      <c r="E744" s="35"/>
      <c r="F744" s="36"/>
      <c r="G744" s="37"/>
      <c r="H744" s="38"/>
      <c r="I744" s="39"/>
    </row>
    <row r="745">
      <c r="A745" s="33"/>
      <c r="B745" s="34"/>
      <c r="C745" s="35"/>
      <c r="D745" s="36"/>
      <c r="E745" s="35"/>
      <c r="F745" s="36"/>
      <c r="G745" s="37"/>
      <c r="H745" s="38"/>
      <c r="I745" s="39"/>
    </row>
    <row r="746">
      <c r="A746" s="33"/>
      <c r="B746" s="34"/>
      <c r="C746" s="35"/>
      <c r="D746" s="36"/>
      <c r="E746" s="35"/>
      <c r="F746" s="36"/>
      <c r="G746" s="37"/>
      <c r="H746" s="38"/>
      <c r="I746" s="39"/>
    </row>
    <row r="747">
      <c r="A747" s="33"/>
      <c r="B747" s="34"/>
      <c r="C747" s="35"/>
      <c r="D747" s="36"/>
      <c r="E747" s="35"/>
      <c r="F747" s="36"/>
      <c r="G747" s="37"/>
      <c r="H747" s="38"/>
      <c r="I747" s="39"/>
    </row>
    <row r="748">
      <c r="A748" s="33"/>
      <c r="B748" s="34"/>
      <c r="C748" s="35"/>
      <c r="D748" s="36"/>
      <c r="E748" s="35"/>
      <c r="F748" s="36"/>
      <c r="G748" s="37"/>
      <c r="H748" s="38"/>
      <c r="I748" s="39"/>
    </row>
    <row r="749">
      <c r="A749" s="33"/>
      <c r="B749" s="34"/>
      <c r="C749" s="35"/>
      <c r="D749" s="36"/>
      <c r="E749" s="35"/>
      <c r="F749" s="36"/>
      <c r="G749" s="37"/>
      <c r="H749" s="38"/>
      <c r="I749" s="39"/>
    </row>
    <row r="750">
      <c r="A750" s="33"/>
      <c r="B750" s="34"/>
      <c r="C750" s="35"/>
      <c r="D750" s="36"/>
      <c r="E750" s="35"/>
      <c r="F750" s="36"/>
      <c r="G750" s="37"/>
      <c r="H750" s="38"/>
      <c r="I750" s="39"/>
    </row>
    <row r="751">
      <c r="A751" s="33"/>
      <c r="B751" s="34"/>
      <c r="C751" s="35"/>
      <c r="D751" s="36"/>
      <c r="E751" s="35"/>
      <c r="F751" s="36"/>
      <c r="G751" s="37"/>
      <c r="H751" s="38"/>
      <c r="I751" s="39"/>
    </row>
    <row r="752">
      <c r="A752" s="33"/>
      <c r="B752" s="34"/>
      <c r="C752" s="35"/>
      <c r="D752" s="36"/>
      <c r="E752" s="35"/>
      <c r="F752" s="36"/>
      <c r="G752" s="37"/>
      <c r="H752" s="38"/>
      <c r="I752" s="39"/>
    </row>
    <row r="753">
      <c r="A753" s="33"/>
      <c r="B753" s="34"/>
      <c r="C753" s="35"/>
      <c r="D753" s="36"/>
      <c r="E753" s="35"/>
      <c r="F753" s="36"/>
      <c r="G753" s="37"/>
      <c r="H753" s="38"/>
      <c r="I753" s="39"/>
    </row>
    <row r="754">
      <c r="A754" s="33"/>
      <c r="B754" s="34"/>
      <c r="C754" s="35"/>
      <c r="D754" s="36"/>
      <c r="E754" s="35"/>
      <c r="F754" s="36"/>
      <c r="G754" s="37"/>
      <c r="H754" s="38"/>
      <c r="I754" s="39"/>
    </row>
    <row r="755">
      <c r="A755" s="33"/>
      <c r="B755" s="34"/>
      <c r="C755" s="35"/>
      <c r="D755" s="36"/>
      <c r="E755" s="35"/>
      <c r="F755" s="36"/>
      <c r="G755" s="37"/>
      <c r="H755" s="38"/>
      <c r="I755" s="39"/>
    </row>
    <row r="756">
      <c r="A756" s="33"/>
      <c r="B756" s="34"/>
      <c r="C756" s="35"/>
      <c r="D756" s="36"/>
      <c r="E756" s="35"/>
      <c r="F756" s="36"/>
      <c r="G756" s="37"/>
      <c r="H756" s="38"/>
      <c r="I756" s="39"/>
    </row>
    <row r="757">
      <c r="A757" s="33"/>
      <c r="B757" s="34"/>
      <c r="C757" s="35"/>
      <c r="D757" s="36"/>
      <c r="E757" s="35"/>
      <c r="F757" s="36"/>
      <c r="G757" s="37"/>
      <c r="H757" s="38"/>
      <c r="I757" s="39"/>
    </row>
    <row r="758">
      <c r="A758" s="33"/>
      <c r="B758" s="34"/>
      <c r="C758" s="35"/>
      <c r="D758" s="36"/>
      <c r="E758" s="35"/>
      <c r="F758" s="36"/>
      <c r="G758" s="37"/>
      <c r="H758" s="38"/>
      <c r="I758" s="39"/>
    </row>
    <row r="759">
      <c r="A759" s="33"/>
      <c r="B759" s="34"/>
      <c r="C759" s="35"/>
      <c r="D759" s="36"/>
      <c r="E759" s="35"/>
      <c r="F759" s="36"/>
      <c r="G759" s="37"/>
      <c r="H759" s="38"/>
      <c r="I759" s="39"/>
    </row>
    <row r="760">
      <c r="A760" s="33"/>
      <c r="B760" s="34"/>
      <c r="C760" s="35"/>
      <c r="D760" s="36"/>
      <c r="E760" s="35"/>
      <c r="F760" s="36"/>
      <c r="G760" s="37"/>
      <c r="H760" s="38"/>
      <c r="I760" s="39"/>
    </row>
    <row r="761">
      <c r="A761" s="33"/>
      <c r="B761" s="34"/>
      <c r="C761" s="35"/>
      <c r="D761" s="36"/>
      <c r="E761" s="35"/>
      <c r="F761" s="36"/>
      <c r="G761" s="37"/>
      <c r="H761" s="38"/>
      <c r="I761" s="39"/>
    </row>
    <row r="762">
      <c r="A762" s="33"/>
      <c r="B762" s="34"/>
      <c r="C762" s="35"/>
      <c r="D762" s="36"/>
      <c r="E762" s="35"/>
      <c r="F762" s="36"/>
      <c r="G762" s="37"/>
      <c r="H762" s="38"/>
      <c r="I762" s="39"/>
    </row>
    <row r="763">
      <c r="A763" s="33"/>
      <c r="B763" s="34"/>
      <c r="C763" s="35"/>
      <c r="D763" s="36"/>
      <c r="E763" s="35"/>
      <c r="F763" s="36"/>
      <c r="G763" s="37"/>
      <c r="H763" s="38"/>
      <c r="I763" s="39"/>
    </row>
    <row r="764">
      <c r="A764" s="33"/>
      <c r="B764" s="34"/>
      <c r="C764" s="35"/>
      <c r="D764" s="36"/>
      <c r="E764" s="35"/>
      <c r="F764" s="36"/>
      <c r="G764" s="37"/>
      <c r="H764" s="38"/>
      <c r="I764" s="39"/>
    </row>
    <row r="765">
      <c r="A765" s="33"/>
      <c r="B765" s="34"/>
      <c r="C765" s="35"/>
      <c r="D765" s="36"/>
      <c r="E765" s="35"/>
      <c r="F765" s="36"/>
      <c r="G765" s="37"/>
      <c r="H765" s="38"/>
      <c r="I765" s="39"/>
    </row>
    <row r="766">
      <c r="A766" s="33"/>
      <c r="B766" s="34"/>
      <c r="C766" s="35"/>
      <c r="D766" s="36"/>
      <c r="E766" s="35"/>
      <c r="F766" s="36"/>
      <c r="G766" s="37"/>
      <c r="H766" s="38"/>
      <c r="I766" s="39"/>
    </row>
    <row r="767">
      <c r="A767" s="33"/>
      <c r="B767" s="34"/>
      <c r="C767" s="35"/>
      <c r="D767" s="36"/>
      <c r="E767" s="35"/>
      <c r="F767" s="36"/>
      <c r="G767" s="37"/>
      <c r="H767" s="38"/>
      <c r="I767" s="39"/>
    </row>
    <row r="768">
      <c r="A768" s="33"/>
      <c r="B768" s="34"/>
      <c r="C768" s="35"/>
      <c r="D768" s="36"/>
      <c r="E768" s="35"/>
      <c r="F768" s="36"/>
      <c r="G768" s="37"/>
      <c r="H768" s="38"/>
      <c r="I768" s="39"/>
    </row>
    <row r="769">
      <c r="A769" s="33"/>
      <c r="B769" s="34"/>
      <c r="C769" s="35"/>
      <c r="D769" s="36"/>
      <c r="E769" s="35"/>
      <c r="F769" s="36"/>
      <c r="G769" s="37"/>
      <c r="H769" s="38"/>
      <c r="I769" s="39"/>
    </row>
    <row r="770">
      <c r="A770" s="33"/>
      <c r="B770" s="34"/>
      <c r="C770" s="35"/>
      <c r="D770" s="36"/>
      <c r="E770" s="35"/>
      <c r="F770" s="36"/>
      <c r="G770" s="37"/>
      <c r="H770" s="38"/>
      <c r="I770" s="39"/>
    </row>
    <row r="771">
      <c r="A771" s="33"/>
      <c r="B771" s="34"/>
      <c r="C771" s="35"/>
      <c r="D771" s="36"/>
      <c r="E771" s="35"/>
      <c r="F771" s="36"/>
      <c r="G771" s="37"/>
      <c r="H771" s="38"/>
      <c r="I771" s="39"/>
    </row>
    <row r="772">
      <c r="A772" s="33"/>
      <c r="B772" s="34"/>
      <c r="C772" s="35"/>
      <c r="D772" s="36"/>
      <c r="E772" s="35"/>
      <c r="F772" s="36"/>
      <c r="G772" s="37"/>
      <c r="H772" s="38"/>
      <c r="I772" s="39"/>
    </row>
    <row r="773">
      <c r="A773" s="33"/>
      <c r="B773" s="34"/>
      <c r="C773" s="35"/>
      <c r="D773" s="36"/>
      <c r="E773" s="35"/>
      <c r="F773" s="36"/>
      <c r="G773" s="37"/>
      <c r="H773" s="38"/>
      <c r="I773" s="39"/>
    </row>
    <row r="774">
      <c r="A774" s="33"/>
      <c r="B774" s="34"/>
      <c r="C774" s="35"/>
      <c r="D774" s="36"/>
      <c r="E774" s="35"/>
      <c r="F774" s="36"/>
      <c r="G774" s="37"/>
      <c r="H774" s="38"/>
      <c r="I774" s="39"/>
    </row>
    <row r="775">
      <c r="A775" s="33"/>
      <c r="B775" s="34"/>
      <c r="C775" s="35"/>
      <c r="D775" s="36"/>
      <c r="E775" s="35"/>
      <c r="F775" s="36"/>
      <c r="G775" s="37"/>
      <c r="H775" s="38"/>
      <c r="I775" s="39"/>
    </row>
    <row r="776">
      <c r="A776" s="33"/>
      <c r="B776" s="34"/>
      <c r="C776" s="35"/>
      <c r="D776" s="36"/>
      <c r="E776" s="35"/>
      <c r="F776" s="36"/>
      <c r="G776" s="37"/>
      <c r="H776" s="38"/>
      <c r="I776" s="39"/>
    </row>
    <row r="777">
      <c r="A777" s="33"/>
      <c r="B777" s="34"/>
      <c r="C777" s="35"/>
      <c r="D777" s="36"/>
      <c r="E777" s="35"/>
      <c r="F777" s="36"/>
      <c r="G777" s="37"/>
      <c r="H777" s="38"/>
      <c r="I777" s="39"/>
    </row>
    <row r="778">
      <c r="A778" s="33"/>
      <c r="B778" s="34"/>
      <c r="C778" s="35"/>
      <c r="D778" s="36"/>
      <c r="E778" s="35"/>
      <c r="F778" s="36"/>
      <c r="G778" s="37"/>
      <c r="H778" s="38"/>
      <c r="I778" s="39"/>
    </row>
    <row r="779">
      <c r="A779" s="33"/>
      <c r="B779" s="34"/>
      <c r="C779" s="35"/>
      <c r="D779" s="36"/>
      <c r="E779" s="35"/>
      <c r="F779" s="36"/>
      <c r="G779" s="37"/>
      <c r="H779" s="38"/>
      <c r="I779" s="39"/>
    </row>
    <row r="780">
      <c r="A780" s="33"/>
      <c r="B780" s="34"/>
      <c r="C780" s="35"/>
      <c r="D780" s="36"/>
      <c r="E780" s="35"/>
      <c r="F780" s="36"/>
      <c r="G780" s="37"/>
      <c r="H780" s="38"/>
      <c r="I780" s="39"/>
    </row>
    <row r="781">
      <c r="A781" s="33"/>
      <c r="B781" s="34"/>
      <c r="C781" s="35"/>
      <c r="D781" s="36"/>
      <c r="E781" s="35"/>
      <c r="F781" s="36"/>
      <c r="G781" s="37"/>
      <c r="H781" s="38"/>
      <c r="I781" s="39"/>
    </row>
    <row r="782">
      <c r="A782" s="33"/>
      <c r="B782" s="34"/>
      <c r="C782" s="35"/>
      <c r="D782" s="36"/>
      <c r="E782" s="35"/>
      <c r="F782" s="36"/>
      <c r="G782" s="37"/>
      <c r="H782" s="38"/>
      <c r="I782" s="39"/>
    </row>
    <row r="783">
      <c r="A783" s="33"/>
      <c r="B783" s="34"/>
      <c r="C783" s="35"/>
      <c r="D783" s="36"/>
      <c r="E783" s="35"/>
      <c r="F783" s="36"/>
      <c r="G783" s="37"/>
      <c r="H783" s="38"/>
      <c r="I783" s="39"/>
    </row>
    <row r="784">
      <c r="A784" s="33"/>
      <c r="B784" s="34"/>
      <c r="C784" s="35"/>
      <c r="D784" s="36"/>
      <c r="E784" s="35"/>
      <c r="F784" s="36"/>
      <c r="G784" s="37"/>
      <c r="H784" s="38"/>
      <c r="I784" s="39"/>
    </row>
    <row r="785">
      <c r="A785" s="33"/>
      <c r="B785" s="34"/>
      <c r="C785" s="35"/>
      <c r="D785" s="36"/>
      <c r="E785" s="35"/>
      <c r="F785" s="36"/>
      <c r="G785" s="37"/>
      <c r="H785" s="38"/>
      <c r="I785" s="39"/>
    </row>
    <row r="786">
      <c r="A786" s="33"/>
      <c r="B786" s="34"/>
      <c r="C786" s="35"/>
      <c r="D786" s="36"/>
      <c r="E786" s="35"/>
      <c r="F786" s="36"/>
      <c r="G786" s="37"/>
      <c r="H786" s="38"/>
      <c r="I786" s="39"/>
    </row>
    <row r="787">
      <c r="A787" s="33"/>
      <c r="B787" s="34"/>
      <c r="C787" s="35"/>
      <c r="D787" s="36"/>
      <c r="E787" s="35"/>
      <c r="F787" s="36"/>
      <c r="G787" s="37"/>
      <c r="H787" s="38"/>
      <c r="I787" s="39"/>
    </row>
    <row r="788">
      <c r="A788" s="33"/>
      <c r="B788" s="34"/>
      <c r="C788" s="35"/>
      <c r="D788" s="36"/>
      <c r="E788" s="35"/>
      <c r="F788" s="36"/>
      <c r="G788" s="37"/>
      <c r="H788" s="38"/>
      <c r="I788" s="39"/>
    </row>
    <row r="789">
      <c r="A789" s="33"/>
      <c r="B789" s="34"/>
      <c r="C789" s="35"/>
      <c r="D789" s="36"/>
      <c r="E789" s="35"/>
      <c r="F789" s="36"/>
      <c r="G789" s="37"/>
      <c r="H789" s="38"/>
      <c r="I789" s="39"/>
    </row>
    <row r="790">
      <c r="A790" s="33"/>
      <c r="B790" s="34"/>
      <c r="C790" s="35"/>
      <c r="D790" s="36"/>
      <c r="E790" s="35"/>
      <c r="F790" s="36"/>
      <c r="G790" s="37"/>
      <c r="H790" s="38"/>
      <c r="I790" s="39"/>
    </row>
    <row r="791">
      <c r="A791" s="33"/>
      <c r="B791" s="34"/>
      <c r="C791" s="35"/>
      <c r="D791" s="36"/>
      <c r="E791" s="35"/>
      <c r="F791" s="36"/>
      <c r="G791" s="37"/>
      <c r="H791" s="38"/>
      <c r="I791" s="39"/>
    </row>
    <row r="792">
      <c r="A792" s="33"/>
      <c r="B792" s="34"/>
      <c r="C792" s="35"/>
      <c r="D792" s="36"/>
      <c r="E792" s="35"/>
      <c r="F792" s="36"/>
      <c r="G792" s="37"/>
      <c r="H792" s="38"/>
      <c r="I792" s="39"/>
    </row>
    <row r="793">
      <c r="A793" s="33"/>
      <c r="B793" s="34"/>
      <c r="C793" s="35"/>
      <c r="D793" s="36"/>
      <c r="E793" s="35"/>
      <c r="F793" s="36"/>
      <c r="G793" s="37"/>
      <c r="H793" s="38"/>
      <c r="I793" s="39"/>
    </row>
    <row r="794">
      <c r="A794" s="33"/>
      <c r="B794" s="34"/>
      <c r="C794" s="35"/>
      <c r="D794" s="36"/>
      <c r="E794" s="35"/>
      <c r="F794" s="36"/>
      <c r="G794" s="37"/>
      <c r="H794" s="38"/>
      <c r="I794" s="39"/>
    </row>
    <row r="795">
      <c r="A795" s="33"/>
      <c r="B795" s="34"/>
      <c r="C795" s="35"/>
      <c r="D795" s="36"/>
      <c r="E795" s="35"/>
      <c r="F795" s="36"/>
      <c r="G795" s="37"/>
      <c r="H795" s="38"/>
      <c r="I795" s="39"/>
    </row>
    <row r="796">
      <c r="A796" s="33"/>
      <c r="B796" s="34"/>
      <c r="C796" s="35"/>
      <c r="D796" s="36"/>
      <c r="E796" s="35"/>
      <c r="F796" s="36"/>
      <c r="G796" s="37"/>
      <c r="H796" s="38"/>
      <c r="I796" s="39"/>
    </row>
    <row r="797">
      <c r="A797" s="33"/>
      <c r="B797" s="34"/>
      <c r="C797" s="35"/>
      <c r="D797" s="36"/>
      <c r="E797" s="35"/>
      <c r="F797" s="36"/>
      <c r="G797" s="37"/>
      <c r="H797" s="38"/>
      <c r="I797" s="39"/>
    </row>
    <row r="798">
      <c r="A798" s="33"/>
      <c r="B798" s="34"/>
      <c r="C798" s="35"/>
      <c r="D798" s="36"/>
      <c r="E798" s="35"/>
      <c r="F798" s="36"/>
      <c r="G798" s="37"/>
      <c r="H798" s="38"/>
      <c r="I798" s="39"/>
    </row>
    <row r="799">
      <c r="A799" s="33"/>
      <c r="B799" s="34"/>
      <c r="C799" s="35"/>
      <c r="D799" s="36"/>
      <c r="E799" s="35"/>
      <c r="F799" s="36"/>
      <c r="G799" s="37"/>
      <c r="H799" s="38"/>
      <c r="I799" s="39"/>
    </row>
    <row r="800">
      <c r="A800" s="33"/>
      <c r="B800" s="34"/>
      <c r="C800" s="35"/>
      <c r="D800" s="36"/>
      <c r="E800" s="35"/>
      <c r="F800" s="36"/>
      <c r="G800" s="37"/>
      <c r="H800" s="38"/>
      <c r="I800" s="39"/>
    </row>
    <row r="801">
      <c r="A801" s="33"/>
      <c r="B801" s="34"/>
      <c r="C801" s="35"/>
      <c r="D801" s="36"/>
      <c r="E801" s="35"/>
      <c r="F801" s="36"/>
      <c r="G801" s="37"/>
      <c r="H801" s="38"/>
      <c r="I801" s="39"/>
    </row>
    <row r="802">
      <c r="A802" s="33"/>
      <c r="B802" s="34"/>
      <c r="C802" s="35"/>
      <c r="D802" s="36"/>
      <c r="E802" s="35"/>
      <c r="F802" s="36"/>
      <c r="G802" s="37"/>
      <c r="H802" s="38"/>
      <c r="I802" s="39"/>
    </row>
    <row r="803">
      <c r="A803" s="33"/>
      <c r="B803" s="34"/>
      <c r="C803" s="35"/>
      <c r="D803" s="36"/>
      <c r="E803" s="35"/>
      <c r="F803" s="36"/>
      <c r="G803" s="37"/>
      <c r="H803" s="38"/>
      <c r="I803" s="39"/>
    </row>
    <row r="804">
      <c r="A804" s="33"/>
      <c r="B804" s="34"/>
      <c r="C804" s="35"/>
      <c r="D804" s="36"/>
      <c r="E804" s="35"/>
      <c r="F804" s="36"/>
      <c r="G804" s="37"/>
      <c r="H804" s="38"/>
      <c r="I804" s="39"/>
    </row>
    <row r="805">
      <c r="A805" s="33"/>
      <c r="B805" s="34"/>
      <c r="C805" s="35"/>
      <c r="D805" s="36"/>
      <c r="E805" s="35"/>
      <c r="F805" s="36"/>
      <c r="G805" s="37"/>
      <c r="H805" s="38"/>
      <c r="I805" s="39"/>
    </row>
    <row r="806">
      <c r="A806" s="33"/>
      <c r="B806" s="34"/>
      <c r="C806" s="35"/>
      <c r="D806" s="36"/>
      <c r="E806" s="35"/>
      <c r="F806" s="36"/>
      <c r="G806" s="37"/>
      <c r="H806" s="38"/>
      <c r="I806" s="39"/>
    </row>
    <row r="807">
      <c r="A807" s="33"/>
      <c r="B807" s="34"/>
      <c r="C807" s="35"/>
      <c r="D807" s="36"/>
      <c r="E807" s="35"/>
      <c r="F807" s="36"/>
      <c r="G807" s="37"/>
      <c r="H807" s="38"/>
      <c r="I807" s="39"/>
    </row>
    <row r="808">
      <c r="A808" s="33"/>
      <c r="B808" s="34"/>
      <c r="C808" s="35"/>
      <c r="D808" s="36"/>
      <c r="E808" s="35"/>
      <c r="F808" s="36"/>
      <c r="G808" s="37"/>
      <c r="H808" s="38"/>
      <c r="I808" s="39"/>
    </row>
    <row r="809">
      <c r="A809" s="33"/>
      <c r="B809" s="34"/>
      <c r="C809" s="35"/>
      <c r="D809" s="36"/>
      <c r="E809" s="35"/>
      <c r="F809" s="36"/>
      <c r="G809" s="37"/>
      <c r="H809" s="38"/>
      <c r="I809" s="39"/>
    </row>
    <row r="810">
      <c r="A810" s="33"/>
      <c r="B810" s="34"/>
      <c r="C810" s="35"/>
      <c r="D810" s="36"/>
      <c r="E810" s="35"/>
      <c r="F810" s="36"/>
      <c r="G810" s="37"/>
      <c r="H810" s="38"/>
      <c r="I810" s="39"/>
    </row>
    <row r="811">
      <c r="A811" s="33"/>
      <c r="B811" s="34"/>
      <c r="C811" s="35"/>
      <c r="D811" s="36"/>
      <c r="E811" s="35"/>
      <c r="F811" s="36"/>
      <c r="G811" s="37"/>
      <c r="H811" s="38"/>
      <c r="I811" s="39"/>
    </row>
    <row r="812">
      <c r="A812" s="33"/>
      <c r="B812" s="34"/>
      <c r="C812" s="35"/>
      <c r="D812" s="36"/>
      <c r="E812" s="35"/>
      <c r="F812" s="36"/>
      <c r="G812" s="37"/>
      <c r="H812" s="38"/>
      <c r="I812" s="39"/>
    </row>
    <row r="813">
      <c r="A813" s="33"/>
      <c r="B813" s="34"/>
      <c r="C813" s="35"/>
      <c r="D813" s="36"/>
      <c r="E813" s="35"/>
      <c r="F813" s="36"/>
      <c r="G813" s="37"/>
      <c r="H813" s="38"/>
      <c r="I813" s="39"/>
    </row>
    <row r="814">
      <c r="A814" s="33"/>
      <c r="B814" s="34"/>
      <c r="C814" s="35"/>
      <c r="D814" s="36"/>
      <c r="E814" s="35"/>
      <c r="F814" s="36"/>
      <c r="G814" s="37"/>
      <c r="H814" s="38"/>
      <c r="I814" s="39"/>
    </row>
    <row r="815">
      <c r="A815" s="33"/>
      <c r="B815" s="34"/>
      <c r="C815" s="35"/>
      <c r="D815" s="36"/>
      <c r="E815" s="35"/>
      <c r="F815" s="36"/>
      <c r="G815" s="37"/>
      <c r="H815" s="38"/>
      <c r="I815" s="39"/>
    </row>
    <row r="816">
      <c r="A816" s="33"/>
      <c r="B816" s="34"/>
      <c r="C816" s="35"/>
      <c r="D816" s="36"/>
      <c r="E816" s="35"/>
      <c r="F816" s="36"/>
      <c r="G816" s="37"/>
      <c r="H816" s="38"/>
      <c r="I816" s="39"/>
    </row>
    <row r="817">
      <c r="A817" s="33"/>
      <c r="B817" s="34"/>
      <c r="C817" s="35"/>
      <c r="D817" s="36"/>
      <c r="E817" s="35"/>
      <c r="F817" s="36"/>
      <c r="G817" s="37"/>
      <c r="H817" s="38"/>
      <c r="I817" s="39"/>
    </row>
    <row r="818">
      <c r="A818" s="33"/>
      <c r="B818" s="34"/>
      <c r="C818" s="35"/>
      <c r="D818" s="36"/>
      <c r="E818" s="35"/>
      <c r="F818" s="36"/>
      <c r="G818" s="37"/>
      <c r="H818" s="38"/>
      <c r="I818" s="39"/>
    </row>
    <row r="819">
      <c r="A819" s="33"/>
      <c r="B819" s="34"/>
      <c r="C819" s="35"/>
      <c r="D819" s="36"/>
      <c r="E819" s="35"/>
      <c r="F819" s="36"/>
      <c r="G819" s="37"/>
      <c r="H819" s="38"/>
      <c r="I819" s="39"/>
    </row>
    <row r="820">
      <c r="A820" s="33"/>
      <c r="B820" s="34"/>
      <c r="C820" s="35"/>
      <c r="D820" s="36"/>
      <c r="E820" s="35"/>
      <c r="F820" s="36"/>
      <c r="G820" s="37"/>
      <c r="H820" s="38"/>
      <c r="I820" s="39"/>
    </row>
    <row r="821">
      <c r="A821" s="33"/>
      <c r="B821" s="34"/>
      <c r="C821" s="35"/>
      <c r="D821" s="36"/>
      <c r="E821" s="35"/>
      <c r="F821" s="36"/>
      <c r="G821" s="37"/>
      <c r="H821" s="38"/>
      <c r="I821" s="39"/>
    </row>
    <row r="822">
      <c r="A822" s="33"/>
      <c r="B822" s="34"/>
      <c r="C822" s="35"/>
      <c r="D822" s="36"/>
      <c r="E822" s="35"/>
      <c r="F822" s="36"/>
      <c r="G822" s="37"/>
      <c r="H822" s="38"/>
      <c r="I822" s="39"/>
    </row>
    <row r="823">
      <c r="A823" s="33"/>
      <c r="B823" s="34"/>
      <c r="C823" s="35"/>
      <c r="D823" s="36"/>
      <c r="E823" s="35"/>
      <c r="F823" s="36"/>
      <c r="G823" s="37"/>
      <c r="H823" s="38"/>
      <c r="I823" s="39"/>
    </row>
    <row r="824">
      <c r="A824" s="33"/>
      <c r="B824" s="34"/>
      <c r="C824" s="35"/>
      <c r="D824" s="36"/>
      <c r="E824" s="35"/>
      <c r="F824" s="36"/>
      <c r="G824" s="37"/>
      <c r="H824" s="38"/>
      <c r="I824" s="39"/>
    </row>
    <row r="825">
      <c r="A825" s="33"/>
      <c r="B825" s="34"/>
      <c r="C825" s="35"/>
      <c r="D825" s="36"/>
      <c r="E825" s="35"/>
      <c r="F825" s="36"/>
      <c r="G825" s="37"/>
      <c r="H825" s="38"/>
      <c r="I825" s="39"/>
    </row>
    <row r="826">
      <c r="A826" s="33"/>
      <c r="B826" s="34"/>
      <c r="C826" s="35"/>
      <c r="D826" s="36"/>
      <c r="E826" s="35"/>
      <c r="F826" s="36"/>
      <c r="G826" s="37"/>
      <c r="H826" s="38"/>
      <c r="I826" s="39"/>
    </row>
    <row r="827">
      <c r="A827" s="33"/>
      <c r="B827" s="34"/>
      <c r="C827" s="35"/>
      <c r="D827" s="36"/>
      <c r="E827" s="35"/>
      <c r="F827" s="36"/>
      <c r="G827" s="37"/>
      <c r="H827" s="38"/>
      <c r="I827" s="39"/>
    </row>
    <row r="828">
      <c r="A828" s="33"/>
      <c r="B828" s="34"/>
      <c r="C828" s="35"/>
      <c r="D828" s="36"/>
      <c r="E828" s="35"/>
      <c r="F828" s="36"/>
      <c r="G828" s="37"/>
      <c r="H828" s="38"/>
      <c r="I828" s="39"/>
    </row>
    <row r="829">
      <c r="A829" s="33"/>
      <c r="B829" s="34"/>
      <c r="C829" s="35"/>
      <c r="D829" s="36"/>
      <c r="E829" s="35"/>
      <c r="F829" s="36"/>
      <c r="G829" s="37"/>
      <c r="H829" s="38"/>
      <c r="I829" s="39"/>
    </row>
    <row r="830">
      <c r="A830" s="33"/>
      <c r="B830" s="34"/>
      <c r="C830" s="35"/>
      <c r="D830" s="36"/>
      <c r="E830" s="35"/>
      <c r="F830" s="36"/>
      <c r="G830" s="37"/>
      <c r="H830" s="38"/>
      <c r="I830" s="39"/>
    </row>
    <row r="831">
      <c r="A831" s="33"/>
      <c r="B831" s="34"/>
      <c r="C831" s="35"/>
      <c r="D831" s="36"/>
      <c r="E831" s="35"/>
      <c r="F831" s="36"/>
      <c r="G831" s="37"/>
      <c r="H831" s="38"/>
      <c r="I831" s="39"/>
    </row>
    <row r="832">
      <c r="A832" s="33"/>
      <c r="B832" s="34"/>
      <c r="C832" s="35"/>
      <c r="D832" s="36"/>
      <c r="E832" s="35"/>
      <c r="F832" s="36"/>
      <c r="G832" s="37"/>
      <c r="H832" s="38"/>
      <c r="I832" s="39"/>
    </row>
    <row r="833">
      <c r="A833" s="33"/>
      <c r="B833" s="34"/>
      <c r="C833" s="35"/>
      <c r="D833" s="36"/>
      <c r="E833" s="35"/>
      <c r="F833" s="36"/>
      <c r="G833" s="37"/>
      <c r="H833" s="38"/>
      <c r="I833" s="39"/>
    </row>
    <row r="834">
      <c r="A834" s="33"/>
      <c r="B834" s="34"/>
      <c r="C834" s="35"/>
      <c r="D834" s="36"/>
      <c r="E834" s="35"/>
      <c r="F834" s="36"/>
      <c r="G834" s="37"/>
      <c r="H834" s="38"/>
      <c r="I834" s="39"/>
    </row>
    <row r="835">
      <c r="A835" s="33"/>
      <c r="B835" s="34"/>
      <c r="C835" s="35"/>
      <c r="D835" s="36"/>
      <c r="E835" s="35"/>
      <c r="F835" s="36"/>
      <c r="G835" s="37"/>
      <c r="H835" s="38"/>
      <c r="I835" s="39"/>
    </row>
    <row r="836">
      <c r="A836" s="33"/>
      <c r="B836" s="34"/>
      <c r="C836" s="35"/>
      <c r="D836" s="36"/>
      <c r="E836" s="35"/>
      <c r="F836" s="36"/>
      <c r="G836" s="37"/>
      <c r="H836" s="38"/>
      <c r="I836" s="39"/>
    </row>
    <row r="837">
      <c r="A837" s="33"/>
      <c r="B837" s="34"/>
      <c r="C837" s="35"/>
      <c r="D837" s="36"/>
      <c r="E837" s="35"/>
      <c r="F837" s="36"/>
      <c r="G837" s="37"/>
      <c r="H837" s="38"/>
      <c r="I837" s="39"/>
    </row>
    <row r="838">
      <c r="A838" s="33"/>
      <c r="B838" s="34"/>
      <c r="C838" s="35"/>
      <c r="D838" s="36"/>
      <c r="E838" s="35"/>
      <c r="F838" s="36"/>
      <c r="G838" s="37"/>
      <c r="H838" s="38"/>
      <c r="I838" s="39"/>
    </row>
    <row r="839">
      <c r="A839" s="33"/>
      <c r="B839" s="34"/>
      <c r="C839" s="35"/>
      <c r="D839" s="36"/>
      <c r="E839" s="35"/>
      <c r="F839" s="36"/>
      <c r="G839" s="37"/>
      <c r="H839" s="38"/>
      <c r="I839" s="39"/>
    </row>
    <row r="840">
      <c r="A840" s="33"/>
      <c r="B840" s="34"/>
      <c r="C840" s="35"/>
      <c r="D840" s="36"/>
      <c r="E840" s="35"/>
      <c r="F840" s="36"/>
      <c r="G840" s="37"/>
      <c r="H840" s="38"/>
      <c r="I840" s="39"/>
    </row>
    <row r="841">
      <c r="A841" s="33"/>
      <c r="B841" s="34"/>
      <c r="C841" s="35"/>
      <c r="D841" s="36"/>
      <c r="E841" s="35"/>
      <c r="F841" s="36"/>
      <c r="G841" s="37"/>
      <c r="H841" s="38"/>
      <c r="I841" s="39"/>
    </row>
    <row r="842">
      <c r="A842" s="33"/>
      <c r="B842" s="34"/>
      <c r="C842" s="35"/>
      <c r="D842" s="36"/>
      <c r="E842" s="35"/>
      <c r="F842" s="36"/>
      <c r="G842" s="37"/>
      <c r="H842" s="38"/>
      <c r="I842" s="39"/>
    </row>
    <row r="843">
      <c r="A843" s="33"/>
      <c r="B843" s="34"/>
      <c r="C843" s="35"/>
      <c r="D843" s="36"/>
      <c r="E843" s="35"/>
      <c r="F843" s="36"/>
      <c r="G843" s="37"/>
      <c r="H843" s="38"/>
      <c r="I843" s="39"/>
    </row>
    <row r="844">
      <c r="A844" s="33"/>
      <c r="B844" s="34"/>
      <c r="C844" s="35"/>
      <c r="D844" s="36"/>
      <c r="E844" s="35"/>
      <c r="F844" s="36"/>
      <c r="G844" s="37"/>
      <c r="H844" s="38"/>
      <c r="I844" s="39"/>
    </row>
    <row r="845">
      <c r="A845" s="33"/>
      <c r="B845" s="34"/>
      <c r="C845" s="35"/>
      <c r="D845" s="36"/>
      <c r="E845" s="35"/>
      <c r="F845" s="36"/>
      <c r="G845" s="37"/>
      <c r="H845" s="38"/>
      <c r="I845" s="39"/>
    </row>
    <row r="846">
      <c r="A846" s="33"/>
      <c r="B846" s="34"/>
      <c r="C846" s="35"/>
      <c r="D846" s="36"/>
      <c r="E846" s="35"/>
      <c r="F846" s="36"/>
      <c r="G846" s="37"/>
      <c r="H846" s="38"/>
      <c r="I846" s="39"/>
    </row>
    <row r="847">
      <c r="A847" s="33"/>
      <c r="B847" s="34"/>
      <c r="C847" s="35"/>
      <c r="D847" s="36"/>
      <c r="E847" s="35"/>
      <c r="F847" s="36"/>
      <c r="G847" s="37"/>
      <c r="H847" s="38"/>
      <c r="I847" s="39"/>
    </row>
    <row r="848">
      <c r="A848" s="33"/>
      <c r="B848" s="34"/>
      <c r="C848" s="35"/>
      <c r="D848" s="36"/>
      <c r="E848" s="35"/>
      <c r="F848" s="36"/>
      <c r="G848" s="37"/>
      <c r="H848" s="38"/>
      <c r="I848" s="39"/>
    </row>
    <row r="849">
      <c r="A849" s="33"/>
      <c r="B849" s="34"/>
      <c r="C849" s="35"/>
      <c r="D849" s="36"/>
      <c r="E849" s="35"/>
      <c r="F849" s="36"/>
      <c r="G849" s="37"/>
      <c r="H849" s="38"/>
      <c r="I849" s="39"/>
    </row>
    <row r="850">
      <c r="A850" s="33"/>
      <c r="B850" s="34"/>
      <c r="C850" s="35"/>
      <c r="D850" s="36"/>
      <c r="E850" s="35"/>
      <c r="F850" s="36"/>
      <c r="G850" s="37"/>
      <c r="H850" s="38"/>
      <c r="I850" s="39"/>
    </row>
    <row r="851">
      <c r="A851" s="33"/>
      <c r="B851" s="34"/>
      <c r="C851" s="35"/>
      <c r="D851" s="36"/>
      <c r="E851" s="35"/>
      <c r="F851" s="36"/>
      <c r="G851" s="37"/>
      <c r="H851" s="38"/>
      <c r="I851" s="39"/>
    </row>
    <row r="852">
      <c r="A852" s="33"/>
      <c r="B852" s="34"/>
      <c r="C852" s="35"/>
      <c r="D852" s="36"/>
      <c r="E852" s="35"/>
      <c r="F852" s="36"/>
      <c r="G852" s="37"/>
      <c r="H852" s="38"/>
      <c r="I852" s="39"/>
    </row>
    <row r="853">
      <c r="A853" s="33"/>
      <c r="B853" s="34"/>
      <c r="C853" s="35"/>
      <c r="D853" s="36"/>
      <c r="E853" s="35"/>
      <c r="F853" s="36"/>
      <c r="G853" s="37"/>
      <c r="H853" s="38"/>
      <c r="I853" s="39"/>
    </row>
    <row r="854">
      <c r="A854" s="33"/>
      <c r="B854" s="34"/>
      <c r="C854" s="35"/>
      <c r="D854" s="36"/>
      <c r="E854" s="35"/>
      <c r="F854" s="36"/>
      <c r="G854" s="37"/>
      <c r="H854" s="38"/>
      <c r="I854" s="39"/>
    </row>
    <row r="855">
      <c r="A855" s="33"/>
      <c r="B855" s="34"/>
      <c r="C855" s="35"/>
      <c r="D855" s="36"/>
      <c r="E855" s="35"/>
      <c r="F855" s="36"/>
      <c r="G855" s="37"/>
      <c r="H855" s="38"/>
      <c r="I855" s="39"/>
    </row>
    <row r="856">
      <c r="A856" s="33"/>
      <c r="B856" s="34"/>
      <c r="C856" s="35"/>
      <c r="D856" s="36"/>
      <c r="E856" s="35"/>
      <c r="F856" s="36"/>
      <c r="G856" s="37"/>
      <c r="H856" s="38"/>
      <c r="I856" s="39"/>
    </row>
    <row r="857">
      <c r="A857" s="33"/>
      <c r="B857" s="34"/>
      <c r="C857" s="35"/>
      <c r="D857" s="36"/>
      <c r="E857" s="35"/>
      <c r="F857" s="36"/>
      <c r="G857" s="37"/>
      <c r="H857" s="38"/>
      <c r="I857" s="39"/>
    </row>
    <row r="858">
      <c r="A858" s="33"/>
      <c r="B858" s="34"/>
      <c r="C858" s="35"/>
      <c r="D858" s="36"/>
      <c r="E858" s="35"/>
      <c r="F858" s="36"/>
      <c r="G858" s="37"/>
      <c r="H858" s="38"/>
      <c r="I858" s="39"/>
    </row>
    <row r="859">
      <c r="A859" s="33"/>
      <c r="B859" s="34"/>
      <c r="C859" s="35"/>
      <c r="D859" s="36"/>
      <c r="E859" s="35"/>
      <c r="F859" s="36"/>
      <c r="G859" s="37"/>
      <c r="H859" s="38"/>
      <c r="I859" s="39"/>
    </row>
    <row r="860">
      <c r="A860" s="33"/>
      <c r="B860" s="34"/>
      <c r="C860" s="35"/>
      <c r="D860" s="36"/>
      <c r="E860" s="35"/>
      <c r="F860" s="36"/>
      <c r="G860" s="37"/>
      <c r="H860" s="38"/>
      <c r="I860" s="39"/>
    </row>
    <row r="861">
      <c r="A861" s="33"/>
      <c r="B861" s="34"/>
      <c r="C861" s="35"/>
      <c r="D861" s="36"/>
      <c r="E861" s="35"/>
      <c r="F861" s="36"/>
      <c r="G861" s="37"/>
      <c r="H861" s="38"/>
      <c r="I861" s="39"/>
    </row>
    <row r="862">
      <c r="A862" s="33"/>
      <c r="B862" s="34"/>
      <c r="C862" s="35"/>
      <c r="D862" s="36"/>
      <c r="E862" s="35"/>
      <c r="F862" s="36"/>
      <c r="G862" s="37"/>
      <c r="H862" s="38"/>
      <c r="I862" s="39"/>
    </row>
    <row r="863">
      <c r="A863" s="33"/>
      <c r="B863" s="34"/>
      <c r="C863" s="35"/>
      <c r="D863" s="36"/>
      <c r="E863" s="35"/>
      <c r="F863" s="36"/>
      <c r="G863" s="37"/>
      <c r="H863" s="38"/>
      <c r="I863" s="39"/>
    </row>
    <row r="864">
      <c r="A864" s="33"/>
      <c r="B864" s="34"/>
      <c r="C864" s="35"/>
      <c r="D864" s="36"/>
      <c r="E864" s="35"/>
      <c r="F864" s="36"/>
      <c r="G864" s="37"/>
      <c r="H864" s="38"/>
      <c r="I864" s="39"/>
    </row>
    <row r="865">
      <c r="A865" s="33"/>
      <c r="B865" s="34"/>
      <c r="C865" s="35"/>
      <c r="D865" s="36"/>
      <c r="E865" s="35"/>
      <c r="F865" s="36"/>
      <c r="G865" s="37"/>
      <c r="H865" s="38"/>
      <c r="I865" s="39"/>
    </row>
    <row r="866">
      <c r="A866" s="33"/>
      <c r="B866" s="34"/>
      <c r="C866" s="35"/>
      <c r="D866" s="36"/>
      <c r="E866" s="35"/>
      <c r="F866" s="36"/>
      <c r="G866" s="37"/>
      <c r="H866" s="38"/>
      <c r="I866" s="39"/>
    </row>
    <row r="867">
      <c r="A867" s="33"/>
      <c r="B867" s="34"/>
      <c r="C867" s="35"/>
      <c r="D867" s="36"/>
      <c r="E867" s="35"/>
      <c r="F867" s="36"/>
      <c r="G867" s="37"/>
      <c r="H867" s="38"/>
      <c r="I867" s="39"/>
    </row>
    <row r="868">
      <c r="A868" s="33"/>
      <c r="B868" s="34"/>
      <c r="C868" s="35"/>
      <c r="D868" s="36"/>
      <c r="E868" s="35"/>
      <c r="F868" s="36"/>
      <c r="G868" s="37"/>
      <c r="H868" s="38"/>
      <c r="I868" s="39"/>
    </row>
    <row r="869">
      <c r="A869" s="33"/>
      <c r="B869" s="34"/>
      <c r="C869" s="35"/>
      <c r="D869" s="36"/>
      <c r="E869" s="35"/>
      <c r="F869" s="36"/>
      <c r="G869" s="37"/>
      <c r="H869" s="38"/>
      <c r="I869" s="39"/>
    </row>
    <row r="870">
      <c r="A870" s="33"/>
      <c r="B870" s="34"/>
      <c r="C870" s="35"/>
      <c r="D870" s="36"/>
      <c r="E870" s="35"/>
      <c r="F870" s="36"/>
      <c r="G870" s="37"/>
      <c r="H870" s="38"/>
      <c r="I870" s="39"/>
    </row>
    <row r="871">
      <c r="A871" s="33"/>
      <c r="B871" s="34"/>
      <c r="C871" s="35"/>
      <c r="D871" s="36"/>
      <c r="E871" s="35"/>
      <c r="F871" s="36"/>
      <c r="G871" s="37"/>
      <c r="H871" s="38"/>
      <c r="I871" s="39"/>
    </row>
    <row r="872">
      <c r="A872" s="33"/>
      <c r="B872" s="34"/>
      <c r="C872" s="35"/>
      <c r="D872" s="36"/>
      <c r="E872" s="35"/>
      <c r="F872" s="36"/>
      <c r="G872" s="37"/>
      <c r="H872" s="38"/>
      <c r="I872" s="39"/>
    </row>
    <row r="873">
      <c r="A873" s="33"/>
      <c r="B873" s="34"/>
      <c r="C873" s="35"/>
      <c r="D873" s="36"/>
      <c r="E873" s="35"/>
      <c r="F873" s="36"/>
      <c r="G873" s="37"/>
      <c r="H873" s="38"/>
      <c r="I873" s="39"/>
    </row>
    <row r="874">
      <c r="A874" s="33"/>
      <c r="B874" s="34"/>
      <c r="C874" s="35"/>
      <c r="D874" s="36"/>
      <c r="E874" s="35"/>
      <c r="F874" s="36"/>
      <c r="G874" s="37"/>
      <c r="H874" s="38"/>
      <c r="I874" s="39"/>
    </row>
    <row r="875">
      <c r="A875" s="33"/>
      <c r="B875" s="34"/>
      <c r="C875" s="35"/>
      <c r="D875" s="36"/>
      <c r="E875" s="35"/>
      <c r="F875" s="36"/>
      <c r="G875" s="37"/>
      <c r="H875" s="38"/>
      <c r="I875" s="39"/>
    </row>
    <row r="876">
      <c r="A876" s="33"/>
      <c r="B876" s="34"/>
      <c r="C876" s="35"/>
      <c r="D876" s="36"/>
      <c r="E876" s="35"/>
      <c r="F876" s="36"/>
      <c r="G876" s="37"/>
      <c r="H876" s="38"/>
      <c r="I876" s="39"/>
    </row>
    <row r="877">
      <c r="A877" s="33"/>
      <c r="B877" s="34"/>
      <c r="C877" s="35"/>
      <c r="D877" s="36"/>
      <c r="E877" s="35"/>
      <c r="F877" s="36"/>
      <c r="G877" s="37"/>
      <c r="H877" s="38"/>
      <c r="I877" s="39"/>
    </row>
    <row r="878">
      <c r="A878" s="33"/>
      <c r="B878" s="34"/>
      <c r="C878" s="35"/>
      <c r="D878" s="36"/>
      <c r="E878" s="35"/>
      <c r="F878" s="36"/>
      <c r="G878" s="37"/>
      <c r="H878" s="38"/>
      <c r="I878" s="39"/>
    </row>
    <row r="879">
      <c r="A879" s="33"/>
      <c r="B879" s="34"/>
      <c r="C879" s="35"/>
      <c r="D879" s="36"/>
      <c r="E879" s="35"/>
      <c r="F879" s="36"/>
      <c r="G879" s="37"/>
      <c r="H879" s="38"/>
      <c r="I879" s="39"/>
    </row>
    <row r="880">
      <c r="A880" s="33"/>
      <c r="B880" s="34"/>
      <c r="C880" s="35"/>
      <c r="D880" s="36"/>
      <c r="E880" s="35"/>
      <c r="F880" s="36"/>
      <c r="G880" s="37"/>
      <c r="H880" s="38"/>
      <c r="I880" s="39"/>
    </row>
    <row r="881">
      <c r="A881" s="33"/>
      <c r="B881" s="34"/>
      <c r="C881" s="35"/>
      <c r="D881" s="36"/>
      <c r="E881" s="35"/>
      <c r="F881" s="36"/>
      <c r="G881" s="37"/>
      <c r="H881" s="38"/>
      <c r="I881" s="39"/>
    </row>
    <row r="882">
      <c r="A882" s="33"/>
      <c r="B882" s="34"/>
      <c r="C882" s="35"/>
      <c r="D882" s="36"/>
      <c r="E882" s="35"/>
      <c r="F882" s="36"/>
      <c r="G882" s="37"/>
      <c r="H882" s="38"/>
      <c r="I882" s="39"/>
    </row>
    <row r="883">
      <c r="A883" s="33"/>
      <c r="B883" s="34"/>
      <c r="C883" s="35"/>
      <c r="D883" s="36"/>
      <c r="E883" s="35"/>
      <c r="F883" s="36"/>
      <c r="G883" s="37"/>
      <c r="H883" s="38"/>
      <c r="I883" s="39"/>
    </row>
    <row r="884">
      <c r="A884" s="33"/>
      <c r="B884" s="34"/>
      <c r="C884" s="35"/>
      <c r="D884" s="36"/>
      <c r="E884" s="35"/>
      <c r="F884" s="36"/>
      <c r="G884" s="37"/>
      <c r="H884" s="38"/>
      <c r="I884" s="39"/>
    </row>
    <row r="885">
      <c r="A885" s="33"/>
      <c r="B885" s="34"/>
      <c r="C885" s="35"/>
      <c r="D885" s="36"/>
      <c r="E885" s="35"/>
      <c r="F885" s="36"/>
      <c r="G885" s="37"/>
      <c r="H885" s="38"/>
      <c r="I885" s="39"/>
    </row>
    <row r="886">
      <c r="A886" s="33"/>
      <c r="B886" s="34"/>
      <c r="C886" s="35"/>
      <c r="D886" s="36"/>
      <c r="E886" s="35"/>
      <c r="F886" s="36"/>
      <c r="G886" s="37"/>
      <c r="H886" s="38"/>
      <c r="I886" s="39"/>
    </row>
    <row r="887">
      <c r="A887" s="33"/>
      <c r="B887" s="34"/>
      <c r="C887" s="35"/>
      <c r="D887" s="36"/>
      <c r="E887" s="35"/>
      <c r="F887" s="36"/>
      <c r="G887" s="37"/>
      <c r="H887" s="38"/>
      <c r="I887" s="39"/>
    </row>
    <row r="888">
      <c r="A888" s="33"/>
      <c r="B888" s="34"/>
      <c r="C888" s="35"/>
      <c r="D888" s="36"/>
      <c r="E888" s="35"/>
      <c r="F888" s="36"/>
      <c r="G888" s="37"/>
      <c r="H888" s="38"/>
      <c r="I888" s="39"/>
    </row>
    <row r="889">
      <c r="A889" s="33"/>
      <c r="B889" s="34"/>
      <c r="C889" s="35"/>
      <c r="D889" s="36"/>
      <c r="E889" s="35"/>
      <c r="F889" s="36"/>
      <c r="G889" s="37"/>
      <c r="H889" s="38"/>
      <c r="I889" s="39"/>
    </row>
    <row r="890">
      <c r="A890" s="33"/>
      <c r="B890" s="34"/>
      <c r="C890" s="35"/>
      <c r="D890" s="36"/>
      <c r="E890" s="35"/>
      <c r="F890" s="36"/>
      <c r="G890" s="37"/>
      <c r="H890" s="38"/>
      <c r="I890" s="39"/>
    </row>
    <row r="891">
      <c r="A891" s="33"/>
      <c r="B891" s="34"/>
      <c r="C891" s="35"/>
      <c r="D891" s="36"/>
      <c r="E891" s="35"/>
      <c r="F891" s="36"/>
      <c r="G891" s="37"/>
      <c r="H891" s="38"/>
      <c r="I891" s="39"/>
    </row>
    <row r="892">
      <c r="A892" s="33"/>
      <c r="B892" s="34"/>
      <c r="C892" s="35"/>
      <c r="D892" s="36"/>
      <c r="E892" s="35"/>
      <c r="F892" s="36"/>
      <c r="G892" s="37"/>
      <c r="H892" s="38"/>
      <c r="I892" s="39"/>
    </row>
    <row r="893">
      <c r="A893" s="33"/>
      <c r="B893" s="34"/>
      <c r="C893" s="35"/>
      <c r="D893" s="36"/>
      <c r="E893" s="35"/>
      <c r="F893" s="36"/>
      <c r="G893" s="37"/>
      <c r="H893" s="38"/>
      <c r="I893" s="39"/>
    </row>
    <row r="894">
      <c r="A894" s="33"/>
      <c r="B894" s="34"/>
      <c r="C894" s="35"/>
      <c r="D894" s="36"/>
      <c r="E894" s="35"/>
      <c r="F894" s="36"/>
      <c r="G894" s="37"/>
      <c r="H894" s="38"/>
      <c r="I894" s="39"/>
    </row>
    <row r="895">
      <c r="A895" s="33"/>
      <c r="B895" s="34"/>
      <c r="C895" s="35"/>
      <c r="D895" s="36"/>
      <c r="E895" s="35"/>
      <c r="F895" s="36"/>
      <c r="G895" s="37"/>
      <c r="H895" s="38"/>
      <c r="I895" s="39"/>
    </row>
    <row r="896">
      <c r="A896" s="33"/>
      <c r="B896" s="34"/>
      <c r="C896" s="35"/>
      <c r="D896" s="36"/>
      <c r="E896" s="35"/>
      <c r="F896" s="36"/>
      <c r="G896" s="37"/>
      <c r="H896" s="38"/>
      <c r="I896" s="39"/>
    </row>
    <row r="897">
      <c r="A897" s="33"/>
      <c r="B897" s="34"/>
      <c r="C897" s="35"/>
      <c r="D897" s="36"/>
      <c r="E897" s="35"/>
      <c r="F897" s="36"/>
      <c r="G897" s="37"/>
      <c r="H897" s="38"/>
      <c r="I897" s="39"/>
    </row>
    <row r="898">
      <c r="A898" s="33"/>
      <c r="B898" s="34"/>
      <c r="C898" s="35"/>
      <c r="D898" s="36"/>
      <c r="E898" s="35"/>
      <c r="F898" s="36"/>
      <c r="G898" s="37"/>
      <c r="H898" s="38"/>
      <c r="I898" s="39"/>
    </row>
    <row r="899">
      <c r="A899" s="33"/>
      <c r="B899" s="34"/>
      <c r="C899" s="35"/>
      <c r="D899" s="36"/>
      <c r="E899" s="35"/>
      <c r="F899" s="36"/>
      <c r="G899" s="37"/>
      <c r="H899" s="38"/>
      <c r="I899" s="39"/>
    </row>
    <row r="900">
      <c r="A900" s="33"/>
      <c r="B900" s="34"/>
      <c r="C900" s="35"/>
      <c r="D900" s="36"/>
      <c r="E900" s="35"/>
      <c r="F900" s="36"/>
      <c r="G900" s="37"/>
      <c r="H900" s="38"/>
      <c r="I900" s="39"/>
    </row>
    <row r="901">
      <c r="A901" s="33"/>
      <c r="B901" s="34"/>
      <c r="C901" s="35"/>
      <c r="D901" s="36"/>
      <c r="E901" s="35"/>
      <c r="F901" s="36"/>
      <c r="G901" s="37"/>
      <c r="H901" s="38"/>
      <c r="I901" s="39"/>
    </row>
    <row r="902">
      <c r="A902" s="33"/>
      <c r="B902" s="34"/>
      <c r="C902" s="35"/>
      <c r="D902" s="36"/>
      <c r="E902" s="35"/>
      <c r="F902" s="36"/>
      <c r="G902" s="37"/>
      <c r="H902" s="38"/>
      <c r="I902" s="39"/>
    </row>
    <row r="903">
      <c r="A903" s="33"/>
      <c r="B903" s="34"/>
      <c r="C903" s="35"/>
      <c r="D903" s="36"/>
      <c r="E903" s="35"/>
      <c r="F903" s="36"/>
      <c r="G903" s="37"/>
      <c r="H903" s="38"/>
      <c r="I903" s="39"/>
    </row>
    <row r="904">
      <c r="A904" s="33"/>
      <c r="B904" s="34"/>
      <c r="C904" s="35"/>
      <c r="D904" s="36"/>
      <c r="E904" s="35"/>
      <c r="F904" s="36"/>
      <c r="G904" s="37"/>
      <c r="H904" s="38"/>
      <c r="I904" s="39"/>
    </row>
    <row r="905">
      <c r="A905" s="33"/>
      <c r="B905" s="34"/>
      <c r="C905" s="35"/>
      <c r="D905" s="36"/>
      <c r="E905" s="35"/>
      <c r="F905" s="36"/>
      <c r="G905" s="37"/>
      <c r="H905" s="38"/>
      <c r="I905" s="39"/>
    </row>
    <row r="906">
      <c r="A906" s="33"/>
      <c r="B906" s="34"/>
      <c r="C906" s="35"/>
      <c r="D906" s="36"/>
      <c r="E906" s="35"/>
      <c r="F906" s="36"/>
      <c r="G906" s="37"/>
      <c r="H906" s="38"/>
      <c r="I906" s="39"/>
    </row>
    <row r="907">
      <c r="A907" s="33"/>
      <c r="B907" s="34"/>
      <c r="C907" s="35"/>
      <c r="D907" s="36"/>
      <c r="E907" s="35"/>
      <c r="F907" s="36"/>
      <c r="G907" s="37"/>
      <c r="H907" s="38"/>
      <c r="I907" s="39"/>
    </row>
    <row r="908">
      <c r="A908" s="33"/>
      <c r="B908" s="34"/>
      <c r="C908" s="35"/>
      <c r="D908" s="36"/>
      <c r="E908" s="35"/>
      <c r="F908" s="36"/>
      <c r="G908" s="37"/>
      <c r="H908" s="38"/>
      <c r="I908" s="39"/>
    </row>
    <row r="909">
      <c r="A909" s="33"/>
      <c r="B909" s="34"/>
      <c r="C909" s="35"/>
      <c r="D909" s="36"/>
      <c r="E909" s="35"/>
      <c r="F909" s="36"/>
      <c r="G909" s="37"/>
      <c r="H909" s="38"/>
      <c r="I909" s="39"/>
    </row>
    <row r="910">
      <c r="A910" s="33"/>
      <c r="B910" s="34"/>
      <c r="C910" s="35"/>
      <c r="D910" s="36"/>
      <c r="E910" s="35"/>
      <c r="F910" s="36"/>
      <c r="G910" s="37"/>
      <c r="H910" s="38"/>
      <c r="I910" s="39"/>
    </row>
    <row r="911">
      <c r="A911" s="33"/>
      <c r="B911" s="34"/>
      <c r="C911" s="35"/>
      <c r="D911" s="36"/>
      <c r="E911" s="35"/>
      <c r="F911" s="36"/>
      <c r="G911" s="37"/>
      <c r="H911" s="38"/>
      <c r="I911" s="39"/>
    </row>
    <row r="912">
      <c r="A912" s="33"/>
      <c r="B912" s="34"/>
      <c r="C912" s="35"/>
      <c r="D912" s="36"/>
      <c r="E912" s="35"/>
      <c r="F912" s="36"/>
      <c r="G912" s="37"/>
      <c r="H912" s="38"/>
      <c r="I912" s="39"/>
    </row>
    <row r="913">
      <c r="A913" s="33"/>
      <c r="B913" s="34"/>
      <c r="C913" s="35"/>
      <c r="D913" s="36"/>
      <c r="E913" s="35"/>
      <c r="F913" s="36"/>
      <c r="G913" s="37"/>
      <c r="H913" s="38"/>
      <c r="I913" s="39"/>
    </row>
    <row r="914">
      <c r="A914" s="33"/>
      <c r="B914" s="34"/>
      <c r="C914" s="35"/>
      <c r="D914" s="36"/>
      <c r="E914" s="35"/>
      <c r="F914" s="36"/>
      <c r="G914" s="37"/>
      <c r="H914" s="38"/>
      <c r="I914" s="39"/>
    </row>
    <row r="915">
      <c r="A915" s="33"/>
      <c r="B915" s="34"/>
      <c r="C915" s="35"/>
      <c r="D915" s="36"/>
      <c r="E915" s="35"/>
      <c r="F915" s="36"/>
      <c r="G915" s="37"/>
      <c r="H915" s="38"/>
      <c r="I915" s="39"/>
    </row>
    <row r="916">
      <c r="A916" s="33"/>
      <c r="B916" s="34"/>
      <c r="C916" s="35"/>
      <c r="D916" s="36"/>
      <c r="E916" s="35"/>
      <c r="F916" s="36"/>
      <c r="G916" s="37"/>
      <c r="H916" s="38"/>
      <c r="I916" s="39"/>
    </row>
    <row r="917">
      <c r="A917" s="33"/>
      <c r="B917" s="34"/>
      <c r="C917" s="35"/>
      <c r="D917" s="36"/>
      <c r="E917" s="35"/>
      <c r="F917" s="36"/>
      <c r="G917" s="37"/>
      <c r="H917" s="38"/>
      <c r="I917" s="39"/>
    </row>
    <row r="918">
      <c r="A918" s="33"/>
      <c r="B918" s="34"/>
      <c r="C918" s="35"/>
      <c r="D918" s="36"/>
      <c r="E918" s="35"/>
      <c r="F918" s="36"/>
      <c r="G918" s="37"/>
      <c r="H918" s="38"/>
      <c r="I918" s="39"/>
    </row>
    <row r="919">
      <c r="A919" s="33"/>
      <c r="B919" s="34"/>
      <c r="C919" s="35"/>
      <c r="D919" s="36"/>
      <c r="E919" s="35"/>
      <c r="F919" s="36"/>
      <c r="G919" s="37"/>
      <c r="H919" s="38"/>
      <c r="I919" s="39"/>
    </row>
    <row r="920">
      <c r="A920" s="33"/>
      <c r="B920" s="34"/>
      <c r="C920" s="35"/>
      <c r="D920" s="36"/>
      <c r="E920" s="35"/>
      <c r="F920" s="36"/>
      <c r="G920" s="37"/>
      <c r="H920" s="38"/>
      <c r="I920" s="39"/>
    </row>
    <row r="921">
      <c r="A921" s="33"/>
      <c r="B921" s="34"/>
      <c r="C921" s="35"/>
      <c r="D921" s="36"/>
      <c r="E921" s="35"/>
      <c r="F921" s="36"/>
      <c r="G921" s="37"/>
      <c r="H921" s="38"/>
      <c r="I921" s="39"/>
    </row>
    <row r="922">
      <c r="A922" s="33"/>
      <c r="B922" s="34"/>
      <c r="C922" s="35"/>
      <c r="D922" s="36"/>
      <c r="E922" s="35"/>
      <c r="F922" s="36"/>
      <c r="G922" s="37"/>
      <c r="H922" s="38"/>
      <c r="I922" s="39"/>
    </row>
    <row r="923">
      <c r="A923" s="33"/>
      <c r="B923" s="34"/>
      <c r="C923" s="35"/>
      <c r="D923" s="36"/>
      <c r="E923" s="35"/>
      <c r="F923" s="36"/>
      <c r="G923" s="37"/>
      <c r="H923" s="38"/>
      <c r="I923" s="39"/>
    </row>
    <row r="924">
      <c r="A924" s="33"/>
      <c r="B924" s="34"/>
      <c r="C924" s="35"/>
      <c r="D924" s="36"/>
      <c r="E924" s="35"/>
      <c r="F924" s="36"/>
      <c r="G924" s="37"/>
      <c r="H924" s="38"/>
      <c r="I924" s="39"/>
    </row>
    <row r="925">
      <c r="A925" s="33"/>
      <c r="B925" s="34"/>
      <c r="C925" s="35"/>
      <c r="D925" s="36"/>
      <c r="E925" s="35"/>
      <c r="F925" s="36"/>
      <c r="G925" s="37"/>
      <c r="H925" s="38"/>
      <c r="I925" s="39"/>
    </row>
    <row r="926">
      <c r="A926" s="33"/>
      <c r="B926" s="34"/>
      <c r="C926" s="35"/>
      <c r="D926" s="36"/>
      <c r="E926" s="35"/>
      <c r="F926" s="36"/>
      <c r="G926" s="37"/>
      <c r="H926" s="38"/>
      <c r="I926" s="39"/>
    </row>
    <row r="927">
      <c r="A927" s="33"/>
      <c r="B927" s="34"/>
      <c r="C927" s="35"/>
      <c r="D927" s="36"/>
      <c r="E927" s="35"/>
      <c r="F927" s="36"/>
      <c r="G927" s="37"/>
      <c r="H927" s="38"/>
      <c r="I927" s="39"/>
    </row>
    <row r="928">
      <c r="A928" s="33"/>
      <c r="B928" s="34"/>
      <c r="C928" s="35"/>
      <c r="D928" s="36"/>
      <c r="E928" s="35"/>
      <c r="F928" s="36"/>
      <c r="G928" s="37"/>
      <c r="H928" s="38"/>
      <c r="I928" s="39"/>
    </row>
    <row r="929">
      <c r="A929" s="33"/>
      <c r="B929" s="34"/>
      <c r="C929" s="35"/>
      <c r="D929" s="36"/>
      <c r="E929" s="35"/>
      <c r="F929" s="36"/>
      <c r="G929" s="37"/>
      <c r="H929" s="38"/>
      <c r="I929" s="39"/>
    </row>
    <row r="930">
      <c r="A930" s="33"/>
      <c r="B930" s="34"/>
      <c r="C930" s="35"/>
      <c r="D930" s="36"/>
      <c r="E930" s="35"/>
      <c r="F930" s="36"/>
      <c r="G930" s="37"/>
      <c r="H930" s="38"/>
      <c r="I930" s="39"/>
    </row>
    <row r="931">
      <c r="A931" s="33"/>
      <c r="B931" s="34"/>
      <c r="C931" s="35"/>
      <c r="D931" s="36"/>
      <c r="E931" s="35"/>
      <c r="F931" s="36"/>
      <c r="G931" s="37"/>
      <c r="H931" s="38"/>
      <c r="I931" s="39"/>
    </row>
    <row r="932">
      <c r="A932" s="33"/>
      <c r="B932" s="34"/>
      <c r="C932" s="35"/>
      <c r="D932" s="36"/>
      <c r="E932" s="35"/>
      <c r="F932" s="36"/>
      <c r="G932" s="37"/>
      <c r="H932" s="38"/>
      <c r="I932" s="39"/>
    </row>
    <row r="933">
      <c r="A933" s="33"/>
      <c r="B933" s="34"/>
      <c r="C933" s="35"/>
      <c r="D933" s="36"/>
      <c r="E933" s="35"/>
      <c r="F933" s="36"/>
      <c r="G933" s="37"/>
      <c r="H933" s="38"/>
      <c r="I933" s="39"/>
    </row>
    <row r="934">
      <c r="A934" s="33"/>
      <c r="B934" s="34"/>
      <c r="C934" s="35"/>
      <c r="D934" s="36"/>
      <c r="E934" s="35"/>
      <c r="F934" s="36"/>
      <c r="G934" s="37"/>
      <c r="H934" s="38"/>
      <c r="I934" s="39"/>
    </row>
    <row r="935">
      <c r="A935" s="33"/>
      <c r="B935" s="34"/>
      <c r="C935" s="35"/>
      <c r="D935" s="36"/>
      <c r="E935" s="35"/>
      <c r="F935" s="36"/>
      <c r="G935" s="37"/>
      <c r="H935" s="38"/>
      <c r="I935" s="39"/>
    </row>
    <row r="936">
      <c r="A936" s="33"/>
      <c r="B936" s="34"/>
      <c r="C936" s="35"/>
      <c r="D936" s="36"/>
      <c r="E936" s="35"/>
      <c r="F936" s="36"/>
      <c r="G936" s="37"/>
      <c r="H936" s="38"/>
      <c r="I936" s="39"/>
    </row>
    <row r="937">
      <c r="A937" s="33"/>
      <c r="B937" s="34"/>
      <c r="C937" s="35"/>
      <c r="D937" s="36"/>
      <c r="E937" s="35"/>
      <c r="F937" s="36"/>
      <c r="G937" s="37"/>
      <c r="H937" s="38"/>
      <c r="I937" s="39"/>
    </row>
    <row r="938">
      <c r="A938" s="33"/>
      <c r="B938" s="34"/>
      <c r="C938" s="35"/>
      <c r="D938" s="36"/>
      <c r="E938" s="35"/>
      <c r="F938" s="36"/>
      <c r="G938" s="37"/>
      <c r="H938" s="38"/>
      <c r="I938" s="39"/>
    </row>
    <row r="939">
      <c r="A939" s="33"/>
      <c r="B939" s="34"/>
      <c r="C939" s="35"/>
      <c r="D939" s="36"/>
      <c r="E939" s="35"/>
      <c r="F939" s="36"/>
      <c r="G939" s="37"/>
      <c r="H939" s="38"/>
      <c r="I939" s="39"/>
    </row>
    <row r="940">
      <c r="A940" s="33"/>
      <c r="B940" s="34"/>
      <c r="C940" s="35"/>
      <c r="D940" s="36"/>
      <c r="E940" s="35"/>
      <c r="F940" s="36"/>
      <c r="G940" s="37"/>
      <c r="H940" s="38"/>
      <c r="I940" s="39"/>
    </row>
    <row r="941">
      <c r="A941" s="33"/>
      <c r="B941" s="34"/>
      <c r="C941" s="35"/>
      <c r="D941" s="36"/>
      <c r="E941" s="35"/>
      <c r="F941" s="36"/>
      <c r="G941" s="37"/>
      <c r="H941" s="38"/>
      <c r="I941" s="39"/>
    </row>
    <row r="942">
      <c r="A942" s="33"/>
      <c r="B942" s="34"/>
      <c r="C942" s="35"/>
      <c r="D942" s="36"/>
      <c r="E942" s="35"/>
      <c r="F942" s="36"/>
      <c r="G942" s="37"/>
      <c r="H942" s="38"/>
      <c r="I942" s="39"/>
    </row>
    <row r="943">
      <c r="A943" s="33"/>
      <c r="B943" s="34"/>
      <c r="C943" s="35"/>
      <c r="D943" s="36"/>
      <c r="E943" s="35"/>
      <c r="F943" s="36"/>
      <c r="G943" s="37"/>
      <c r="H943" s="38"/>
      <c r="I943" s="39"/>
    </row>
    <row r="944">
      <c r="A944" s="33"/>
      <c r="B944" s="34"/>
      <c r="C944" s="35"/>
      <c r="D944" s="36"/>
      <c r="E944" s="35"/>
      <c r="F944" s="36"/>
      <c r="G944" s="37"/>
      <c r="H944" s="38"/>
      <c r="I944" s="39"/>
    </row>
    <row r="945">
      <c r="A945" s="33"/>
      <c r="B945" s="34"/>
      <c r="C945" s="35"/>
      <c r="D945" s="36"/>
      <c r="E945" s="35"/>
      <c r="F945" s="36"/>
      <c r="G945" s="37"/>
      <c r="H945" s="38"/>
      <c r="I945" s="39"/>
    </row>
    <row r="946">
      <c r="A946" s="33"/>
      <c r="B946" s="34"/>
      <c r="C946" s="35"/>
      <c r="D946" s="36"/>
      <c r="E946" s="35"/>
      <c r="F946" s="36"/>
      <c r="G946" s="37"/>
      <c r="H946" s="38"/>
      <c r="I946" s="39"/>
    </row>
    <row r="947">
      <c r="A947" s="33"/>
      <c r="B947" s="34"/>
      <c r="C947" s="35"/>
      <c r="D947" s="36"/>
      <c r="E947" s="35"/>
      <c r="F947" s="36"/>
      <c r="G947" s="37"/>
      <c r="H947" s="38"/>
      <c r="I947" s="39"/>
    </row>
    <row r="948">
      <c r="A948" s="33"/>
      <c r="B948" s="34"/>
      <c r="C948" s="35"/>
      <c r="D948" s="36"/>
      <c r="E948" s="35"/>
      <c r="F948" s="36"/>
      <c r="G948" s="37"/>
      <c r="H948" s="38"/>
      <c r="I948" s="39"/>
    </row>
    <row r="949">
      <c r="A949" s="33"/>
      <c r="B949" s="34"/>
      <c r="C949" s="35"/>
      <c r="D949" s="36"/>
      <c r="E949" s="35"/>
      <c r="F949" s="36"/>
      <c r="G949" s="37"/>
      <c r="H949" s="38"/>
      <c r="I949" s="39"/>
    </row>
    <row r="950">
      <c r="A950" s="33"/>
      <c r="B950" s="34"/>
      <c r="C950" s="35"/>
      <c r="D950" s="36"/>
      <c r="E950" s="35"/>
      <c r="F950" s="36"/>
      <c r="G950" s="37"/>
      <c r="H950" s="38"/>
      <c r="I950" s="39"/>
    </row>
    <row r="951">
      <c r="A951" s="33"/>
      <c r="B951" s="34"/>
      <c r="C951" s="35"/>
      <c r="D951" s="36"/>
      <c r="E951" s="35"/>
      <c r="F951" s="36"/>
      <c r="G951" s="37"/>
      <c r="H951" s="38"/>
      <c r="I951" s="39"/>
    </row>
    <row r="952">
      <c r="A952" s="33"/>
      <c r="B952" s="34"/>
      <c r="C952" s="35"/>
      <c r="D952" s="36"/>
      <c r="E952" s="35"/>
      <c r="F952" s="36"/>
      <c r="G952" s="37"/>
      <c r="H952" s="38"/>
      <c r="I952" s="39"/>
    </row>
    <row r="953">
      <c r="A953" s="33"/>
      <c r="B953" s="34"/>
      <c r="C953" s="35"/>
      <c r="D953" s="36"/>
      <c r="E953" s="35"/>
      <c r="F953" s="36"/>
      <c r="G953" s="37"/>
      <c r="H953" s="38"/>
      <c r="I953" s="39"/>
    </row>
    <row r="954">
      <c r="A954" s="33"/>
      <c r="B954" s="34"/>
      <c r="C954" s="35"/>
      <c r="D954" s="36"/>
      <c r="E954" s="35"/>
      <c r="F954" s="36"/>
      <c r="G954" s="37"/>
      <c r="H954" s="38"/>
      <c r="I954" s="39"/>
    </row>
    <row r="955">
      <c r="A955" s="33"/>
      <c r="B955" s="34"/>
      <c r="C955" s="35"/>
      <c r="D955" s="36"/>
      <c r="E955" s="35"/>
      <c r="F955" s="36"/>
      <c r="G955" s="37"/>
      <c r="H955" s="38"/>
      <c r="I955" s="39"/>
    </row>
    <row r="956">
      <c r="A956" s="33"/>
      <c r="B956" s="34"/>
      <c r="C956" s="35"/>
      <c r="D956" s="36"/>
      <c r="E956" s="35"/>
      <c r="F956" s="36"/>
      <c r="G956" s="37"/>
      <c r="H956" s="38"/>
      <c r="I956" s="39"/>
    </row>
    <row r="957">
      <c r="A957" s="33"/>
      <c r="B957" s="34"/>
      <c r="C957" s="35"/>
      <c r="D957" s="36"/>
      <c r="E957" s="35"/>
      <c r="F957" s="36"/>
      <c r="G957" s="37"/>
      <c r="H957" s="38"/>
      <c r="I957" s="39"/>
    </row>
    <row r="958">
      <c r="A958" s="33"/>
      <c r="B958" s="34"/>
      <c r="C958" s="35"/>
      <c r="D958" s="36"/>
      <c r="E958" s="35"/>
      <c r="F958" s="36"/>
      <c r="G958" s="37"/>
      <c r="H958" s="38"/>
      <c r="I958" s="39"/>
    </row>
    <row r="959">
      <c r="A959" s="33"/>
      <c r="B959" s="34"/>
      <c r="C959" s="35"/>
      <c r="D959" s="36"/>
      <c r="E959" s="35"/>
      <c r="F959" s="36"/>
      <c r="G959" s="37"/>
      <c r="H959" s="38"/>
      <c r="I959" s="39"/>
    </row>
    <row r="960">
      <c r="A960" s="33"/>
      <c r="B960" s="34"/>
      <c r="C960" s="35"/>
      <c r="D960" s="36"/>
      <c r="E960" s="35"/>
      <c r="F960" s="36"/>
      <c r="G960" s="37"/>
      <c r="H960" s="38"/>
      <c r="I960" s="39"/>
    </row>
    <row r="961">
      <c r="A961" s="33"/>
      <c r="B961" s="34"/>
      <c r="C961" s="35"/>
      <c r="D961" s="36"/>
      <c r="E961" s="35"/>
      <c r="F961" s="36"/>
      <c r="G961" s="37"/>
      <c r="H961" s="38"/>
      <c r="I961" s="39"/>
    </row>
    <row r="962">
      <c r="A962" s="33"/>
      <c r="B962" s="34"/>
      <c r="C962" s="35"/>
      <c r="D962" s="36"/>
      <c r="E962" s="35"/>
      <c r="F962" s="36"/>
      <c r="G962" s="37"/>
      <c r="H962" s="38"/>
      <c r="I962" s="39"/>
    </row>
    <row r="963">
      <c r="A963" s="33"/>
      <c r="B963" s="34"/>
      <c r="C963" s="35"/>
      <c r="D963" s="36"/>
      <c r="E963" s="35"/>
      <c r="F963" s="36"/>
      <c r="G963" s="37"/>
      <c r="H963" s="38"/>
      <c r="I963" s="39"/>
    </row>
    <row r="964">
      <c r="A964" s="33"/>
      <c r="B964" s="34"/>
      <c r="C964" s="35"/>
      <c r="D964" s="36"/>
      <c r="E964" s="35"/>
      <c r="F964" s="36"/>
      <c r="G964" s="37"/>
      <c r="H964" s="38"/>
      <c r="I964" s="39"/>
    </row>
    <row r="965">
      <c r="A965" s="33"/>
      <c r="B965" s="34"/>
      <c r="C965" s="35"/>
      <c r="D965" s="36"/>
      <c r="E965" s="35"/>
      <c r="F965" s="36"/>
      <c r="G965" s="37"/>
      <c r="H965" s="38"/>
      <c r="I965" s="39"/>
    </row>
    <row r="966">
      <c r="A966" s="33"/>
      <c r="B966" s="34"/>
      <c r="C966" s="35"/>
      <c r="D966" s="36"/>
      <c r="E966" s="35"/>
      <c r="F966" s="36"/>
      <c r="G966" s="37"/>
      <c r="H966" s="38"/>
      <c r="I966" s="39"/>
    </row>
    <row r="967">
      <c r="A967" s="33"/>
      <c r="B967" s="34"/>
      <c r="C967" s="35"/>
      <c r="D967" s="36"/>
      <c r="E967" s="35"/>
      <c r="F967" s="36"/>
      <c r="G967" s="37"/>
      <c r="H967" s="38"/>
      <c r="I967" s="39"/>
    </row>
    <row r="968">
      <c r="A968" s="33"/>
      <c r="B968" s="34"/>
      <c r="C968" s="35"/>
      <c r="D968" s="36"/>
      <c r="E968" s="35"/>
      <c r="F968" s="36"/>
      <c r="G968" s="37"/>
      <c r="H968" s="38"/>
      <c r="I968" s="39"/>
    </row>
    <row r="969">
      <c r="A969" s="33"/>
      <c r="B969" s="34"/>
      <c r="C969" s="35"/>
      <c r="D969" s="36"/>
      <c r="E969" s="35"/>
      <c r="F969" s="36"/>
      <c r="G969" s="37"/>
      <c r="H969" s="38"/>
      <c r="I969" s="39"/>
    </row>
    <row r="970">
      <c r="A970" s="33"/>
      <c r="B970" s="34"/>
      <c r="C970" s="35"/>
      <c r="D970" s="36"/>
      <c r="E970" s="35"/>
      <c r="F970" s="36"/>
      <c r="G970" s="37"/>
      <c r="H970" s="38"/>
      <c r="I970" s="39"/>
    </row>
    <row r="971">
      <c r="A971" s="33"/>
      <c r="B971" s="34"/>
      <c r="C971" s="35"/>
      <c r="D971" s="36"/>
      <c r="E971" s="35"/>
      <c r="F971" s="36"/>
      <c r="G971" s="37"/>
      <c r="H971" s="38"/>
      <c r="I971" s="39"/>
    </row>
    <row r="972">
      <c r="A972" s="33"/>
      <c r="B972" s="34"/>
      <c r="C972" s="35"/>
      <c r="D972" s="36"/>
      <c r="E972" s="35"/>
      <c r="F972" s="36"/>
      <c r="G972" s="37"/>
      <c r="H972" s="38"/>
      <c r="I972" s="39"/>
    </row>
    <row r="973">
      <c r="A973" s="33"/>
      <c r="B973" s="34"/>
      <c r="C973" s="35"/>
      <c r="D973" s="36"/>
      <c r="E973" s="35"/>
      <c r="F973" s="36"/>
      <c r="G973" s="37"/>
      <c r="H973" s="38"/>
      <c r="I973" s="39"/>
    </row>
    <row r="974">
      <c r="A974" s="33"/>
      <c r="B974" s="34"/>
      <c r="C974" s="35"/>
      <c r="D974" s="36"/>
      <c r="E974" s="35"/>
      <c r="F974" s="36"/>
      <c r="G974" s="37"/>
      <c r="H974" s="38"/>
      <c r="I974" s="39"/>
    </row>
    <row r="975">
      <c r="A975" s="33"/>
      <c r="B975" s="34"/>
      <c r="C975" s="35"/>
      <c r="D975" s="36"/>
      <c r="E975" s="35"/>
      <c r="F975" s="36"/>
      <c r="G975" s="37"/>
      <c r="H975" s="38"/>
      <c r="I975" s="39"/>
    </row>
    <row r="976">
      <c r="A976" s="33"/>
      <c r="B976" s="34"/>
      <c r="C976" s="35"/>
      <c r="D976" s="36"/>
      <c r="E976" s="35"/>
      <c r="F976" s="36"/>
      <c r="G976" s="37"/>
      <c r="H976" s="38"/>
      <c r="I976" s="39"/>
    </row>
    <row r="977">
      <c r="A977" s="33"/>
      <c r="B977" s="34"/>
      <c r="C977" s="35"/>
      <c r="D977" s="36"/>
      <c r="E977" s="35"/>
      <c r="F977" s="36"/>
      <c r="G977" s="37"/>
      <c r="H977" s="38"/>
      <c r="I977" s="39"/>
    </row>
    <row r="978">
      <c r="A978" s="33"/>
      <c r="B978" s="34"/>
      <c r="C978" s="35"/>
      <c r="D978" s="36"/>
      <c r="E978" s="35"/>
      <c r="F978" s="36"/>
      <c r="G978" s="37"/>
      <c r="H978" s="38"/>
      <c r="I978" s="39"/>
    </row>
    <row r="979">
      <c r="A979" s="33"/>
      <c r="B979" s="34"/>
      <c r="C979" s="35"/>
      <c r="D979" s="36"/>
      <c r="E979" s="35"/>
      <c r="F979" s="36"/>
      <c r="G979" s="37"/>
      <c r="H979" s="38"/>
      <c r="I979" s="39"/>
    </row>
    <row r="980">
      <c r="A980" s="33"/>
      <c r="B980" s="34"/>
      <c r="C980" s="35"/>
      <c r="D980" s="36"/>
      <c r="E980" s="35"/>
      <c r="F980" s="36"/>
      <c r="G980" s="37"/>
      <c r="H980" s="38"/>
      <c r="I980" s="39"/>
    </row>
    <row r="981">
      <c r="A981" s="33"/>
      <c r="B981" s="34"/>
      <c r="C981" s="35"/>
      <c r="D981" s="36"/>
      <c r="E981" s="35"/>
      <c r="F981" s="36"/>
      <c r="G981" s="37"/>
      <c r="H981" s="38"/>
      <c r="I981" s="39"/>
    </row>
    <row r="982">
      <c r="A982" s="33"/>
      <c r="B982" s="34"/>
      <c r="C982" s="35"/>
      <c r="D982" s="36"/>
      <c r="E982" s="35"/>
      <c r="F982" s="36"/>
      <c r="G982" s="37"/>
      <c r="H982" s="38"/>
      <c r="I982" s="39"/>
    </row>
    <row r="983">
      <c r="A983" s="33"/>
      <c r="B983" s="34"/>
      <c r="C983" s="35"/>
      <c r="D983" s="36"/>
      <c r="E983" s="35"/>
      <c r="F983" s="36"/>
      <c r="G983" s="37"/>
      <c r="H983" s="38"/>
      <c r="I983" s="39"/>
    </row>
    <row r="984">
      <c r="A984" s="33"/>
      <c r="B984" s="34"/>
      <c r="C984" s="35"/>
      <c r="D984" s="36"/>
      <c r="E984" s="35"/>
      <c r="F984" s="36"/>
      <c r="G984" s="37"/>
      <c r="H984" s="38"/>
      <c r="I984" s="39"/>
    </row>
    <row r="985">
      <c r="A985" s="33"/>
      <c r="B985" s="34"/>
      <c r="C985" s="35"/>
      <c r="D985" s="36"/>
      <c r="E985" s="35"/>
      <c r="F985" s="36"/>
      <c r="G985" s="37"/>
      <c r="H985" s="38"/>
      <c r="I985" s="39"/>
    </row>
    <row r="986">
      <c r="A986" s="33"/>
      <c r="B986" s="34"/>
      <c r="C986" s="35"/>
      <c r="D986" s="36"/>
      <c r="E986" s="35"/>
      <c r="F986" s="36"/>
      <c r="G986" s="37"/>
      <c r="H986" s="38"/>
      <c r="I986" s="39"/>
    </row>
    <row r="987">
      <c r="A987" s="33"/>
      <c r="B987" s="34"/>
      <c r="C987" s="35"/>
      <c r="D987" s="36"/>
      <c r="E987" s="35"/>
      <c r="F987" s="36"/>
      <c r="G987" s="37"/>
      <c r="H987" s="38"/>
      <c r="I987" s="39"/>
    </row>
    <row r="988">
      <c r="A988" s="33"/>
      <c r="B988" s="34"/>
      <c r="C988" s="35"/>
      <c r="D988" s="36"/>
      <c r="E988" s="35"/>
      <c r="F988" s="36"/>
      <c r="G988" s="37"/>
      <c r="H988" s="38"/>
      <c r="I988" s="39"/>
    </row>
    <row r="989">
      <c r="A989" s="33"/>
      <c r="B989" s="34"/>
      <c r="C989" s="35"/>
      <c r="D989" s="36"/>
      <c r="E989" s="35"/>
      <c r="F989" s="36"/>
      <c r="G989" s="37"/>
      <c r="H989" s="38"/>
      <c r="I989" s="39"/>
    </row>
    <row r="990">
      <c r="A990" s="33"/>
      <c r="B990" s="34"/>
      <c r="C990" s="35"/>
      <c r="D990" s="36"/>
      <c r="E990" s="35"/>
      <c r="F990" s="36"/>
      <c r="G990" s="37"/>
      <c r="H990" s="38"/>
      <c r="I990" s="39"/>
    </row>
    <row r="991">
      <c r="A991" s="33"/>
      <c r="B991" s="34"/>
      <c r="C991" s="35"/>
      <c r="D991" s="36"/>
      <c r="E991" s="35"/>
      <c r="F991" s="36"/>
      <c r="G991" s="37"/>
      <c r="H991" s="38"/>
      <c r="I991" s="39"/>
    </row>
    <row r="992">
      <c r="A992" s="33"/>
      <c r="B992" s="34"/>
      <c r="C992" s="35"/>
      <c r="D992" s="36"/>
      <c r="E992" s="35"/>
      <c r="F992" s="36"/>
      <c r="G992" s="37"/>
      <c r="H992" s="38"/>
      <c r="I992" s="39"/>
    </row>
    <row r="993">
      <c r="A993" s="33"/>
      <c r="B993" s="34"/>
      <c r="C993" s="35"/>
      <c r="D993" s="36"/>
      <c r="E993" s="35"/>
      <c r="F993" s="36"/>
      <c r="G993" s="37"/>
      <c r="H993" s="38"/>
      <c r="I993" s="39"/>
    </row>
    <row r="994">
      <c r="A994" s="33"/>
      <c r="B994" s="34"/>
      <c r="C994" s="35"/>
      <c r="D994" s="36"/>
      <c r="E994" s="35"/>
      <c r="F994" s="36"/>
      <c r="G994" s="37"/>
      <c r="H994" s="38"/>
      <c r="I994" s="39"/>
    </row>
    <row r="995">
      <c r="A995" s="33"/>
      <c r="B995" s="34"/>
      <c r="C995" s="35"/>
      <c r="D995" s="36"/>
      <c r="E995" s="35"/>
      <c r="F995" s="36"/>
      <c r="G995" s="37"/>
      <c r="H995" s="38"/>
      <c r="I995" s="39"/>
    </row>
    <row r="996">
      <c r="A996" s="33"/>
      <c r="B996" s="34"/>
      <c r="C996" s="35"/>
      <c r="D996" s="36"/>
      <c r="E996" s="35"/>
      <c r="F996" s="36"/>
      <c r="G996" s="37"/>
      <c r="H996" s="38"/>
      <c r="I996" s="39"/>
    </row>
    <row r="997">
      <c r="A997" s="33"/>
      <c r="B997" s="34"/>
      <c r="C997" s="35"/>
      <c r="D997" s="36"/>
      <c r="E997" s="35"/>
      <c r="F997" s="36"/>
      <c r="G997" s="37"/>
      <c r="H997" s="38"/>
      <c r="I997" s="39"/>
    </row>
    <row r="998">
      <c r="A998" s="33"/>
      <c r="B998" s="34"/>
      <c r="C998" s="35"/>
      <c r="D998" s="36"/>
      <c r="E998" s="35"/>
      <c r="F998" s="36"/>
      <c r="G998" s="37"/>
      <c r="H998" s="38"/>
      <c r="I998" s="39"/>
    </row>
    <row r="999">
      <c r="A999" s="33"/>
      <c r="B999" s="34"/>
      <c r="C999" s="35"/>
      <c r="D999" s="36"/>
      <c r="E999" s="35"/>
      <c r="F999" s="36"/>
      <c r="G999" s="37"/>
      <c r="H999" s="38"/>
      <c r="I999" s="39"/>
    </row>
    <row r="1000">
      <c r="A1000" s="33"/>
      <c r="B1000" s="34"/>
      <c r="C1000" s="35"/>
      <c r="D1000" s="36"/>
      <c r="E1000" s="35"/>
      <c r="F1000" s="36"/>
      <c r="G1000" s="37"/>
      <c r="H1000" s="38"/>
      <c r="I1000" s="39"/>
    </row>
    <row r="1001">
      <c r="A1001" s="33"/>
      <c r="B1001" s="34"/>
      <c r="C1001" s="35"/>
      <c r="D1001" s="36"/>
      <c r="E1001" s="35"/>
      <c r="F1001" s="36"/>
      <c r="G1001" s="37"/>
      <c r="H1001" s="38"/>
      <c r="I1001" s="39"/>
    </row>
    <row r="1002">
      <c r="A1002" s="33"/>
      <c r="B1002" s="34"/>
      <c r="C1002" s="35"/>
      <c r="D1002" s="36"/>
      <c r="E1002" s="35"/>
      <c r="F1002" s="36"/>
      <c r="G1002" s="37"/>
      <c r="H1002" s="38"/>
      <c r="I1002" s="39"/>
    </row>
    <row r="1003">
      <c r="A1003" s="33"/>
      <c r="B1003" s="34"/>
      <c r="C1003" s="35"/>
      <c r="D1003" s="36"/>
      <c r="E1003" s="35"/>
      <c r="F1003" s="36"/>
      <c r="G1003" s="37"/>
      <c r="H1003" s="38"/>
      <c r="I1003" s="39"/>
    </row>
    <row r="1004">
      <c r="A1004" s="33"/>
      <c r="B1004" s="34"/>
      <c r="C1004" s="35"/>
      <c r="D1004" s="36"/>
      <c r="E1004" s="35"/>
      <c r="F1004" s="36"/>
      <c r="G1004" s="37"/>
      <c r="H1004" s="38"/>
      <c r="I1004" s="39"/>
    </row>
    <row r="1005">
      <c r="A1005" s="33"/>
      <c r="B1005" s="34"/>
      <c r="C1005" s="35"/>
      <c r="D1005" s="36"/>
      <c r="E1005" s="35"/>
      <c r="F1005" s="36"/>
      <c r="G1005" s="37"/>
      <c r="H1005" s="38"/>
      <c r="I1005" s="39"/>
    </row>
    <row r="1006">
      <c r="A1006" s="33"/>
      <c r="B1006" s="34"/>
      <c r="C1006" s="35"/>
      <c r="D1006" s="36"/>
      <c r="E1006" s="35"/>
      <c r="F1006" s="36"/>
      <c r="G1006" s="37"/>
      <c r="H1006" s="38"/>
      <c r="I1006" s="39"/>
    </row>
    <row r="1007">
      <c r="A1007" s="33"/>
      <c r="B1007" s="34"/>
      <c r="C1007" s="35"/>
      <c r="D1007" s="36"/>
      <c r="E1007" s="35"/>
      <c r="F1007" s="36"/>
      <c r="G1007" s="37"/>
      <c r="H1007" s="38"/>
      <c r="I1007" s="39"/>
    </row>
    <row r="1008">
      <c r="A1008" s="33"/>
      <c r="B1008" s="34"/>
      <c r="C1008" s="35"/>
      <c r="D1008" s="36"/>
      <c r="E1008" s="35"/>
      <c r="F1008" s="36"/>
      <c r="G1008" s="37"/>
      <c r="H1008" s="38"/>
      <c r="I1008" s="39"/>
    </row>
    <row r="1009">
      <c r="A1009" s="33"/>
      <c r="B1009" s="34"/>
      <c r="C1009" s="35"/>
      <c r="D1009" s="36"/>
      <c r="E1009" s="35"/>
      <c r="F1009" s="36"/>
      <c r="G1009" s="37"/>
      <c r="H1009" s="38"/>
      <c r="I1009" s="39"/>
    </row>
    <row r="1010">
      <c r="A1010" s="33"/>
      <c r="B1010" s="34"/>
      <c r="C1010" s="35"/>
      <c r="D1010" s="36"/>
      <c r="E1010" s="35"/>
      <c r="F1010" s="36"/>
      <c r="G1010" s="37"/>
      <c r="H1010" s="38"/>
      <c r="I1010" s="39"/>
    </row>
    <row r="1011">
      <c r="A1011" s="33"/>
      <c r="B1011" s="34"/>
      <c r="C1011" s="35"/>
      <c r="D1011" s="36"/>
      <c r="E1011" s="35"/>
      <c r="F1011" s="36"/>
      <c r="G1011" s="37"/>
      <c r="H1011" s="38"/>
      <c r="I1011" s="39"/>
    </row>
    <row r="1012">
      <c r="A1012" s="33"/>
      <c r="B1012" s="34"/>
      <c r="C1012" s="35"/>
      <c r="D1012" s="36"/>
      <c r="E1012" s="35"/>
      <c r="F1012" s="36"/>
      <c r="G1012" s="37"/>
      <c r="H1012" s="38"/>
      <c r="I1012" s="39"/>
    </row>
    <row r="1013">
      <c r="A1013" s="33"/>
      <c r="B1013" s="34"/>
      <c r="C1013" s="35"/>
      <c r="D1013" s="36"/>
      <c r="E1013" s="35"/>
      <c r="F1013" s="36"/>
      <c r="G1013" s="37"/>
      <c r="H1013" s="38"/>
      <c r="I1013" s="39"/>
    </row>
    <row r="1014">
      <c r="A1014" s="33"/>
      <c r="B1014" s="34"/>
      <c r="C1014" s="35"/>
      <c r="D1014" s="36"/>
      <c r="E1014" s="35"/>
      <c r="F1014" s="36"/>
      <c r="G1014" s="37"/>
      <c r="H1014" s="38"/>
      <c r="I1014" s="39"/>
    </row>
    <row r="1015">
      <c r="A1015" s="33"/>
      <c r="B1015" s="34"/>
      <c r="C1015" s="35"/>
      <c r="D1015" s="36"/>
      <c r="E1015" s="35"/>
      <c r="F1015" s="36"/>
      <c r="G1015" s="37"/>
      <c r="H1015" s="38"/>
      <c r="I1015" s="39"/>
    </row>
    <row r="1016">
      <c r="A1016" s="33"/>
      <c r="B1016" s="34"/>
      <c r="C1016" s="35"/>
      <c r="D1016" s="36"/>
      <c r="E1016" s="35"/>
      <c r="F1016" s="36"/>
      <c r="G1016" s="37"/>
      <c r="H1016" s="38"/>
      <c r="I1016" s="39"/>
    </row>
    <row r="1017">
      <c r="A1017" s="33"/>
      <c r="B1017" s="34"/>
      <c r="C1017" s="35"/>
      <c r="D1017" s="36"/>
      <c r="E1017" s="35"/>
      <c r="F1017" s="36"/>
      <c r="G1017" s="37"/>
      <c r="H1017" s="38"/>
      <c r="I1017" s="39"/>
    </row>
    <row r="1018">
      <c r="A1018" s="33"/>
      <c r="B1018" s="34"/>
      <c r="C1018" s="35"/>
      <c r="D1018" s="36"/>
      <c r="E1018" s="35"/>
      <c r="F1018" s="36"/>
      <c r="G1018" s="37"/>
      <c r="H1018" s="38"/>
      <c r="I1018" s="39"/>
    </row>
    <row r="1019">
      <c r="A1019" s="33"/>
      <c r="B1019" s="34"/>
      <c r="C1019" s="35"/>
      <c r="D1019" s="36"/>
      <c r="E1019" s="35"/>
      <c r="F1019" s="36"/>
      <c r="G1019" s="37"/>
      <c r="H1019" s="38"/>
      <c r="I1019" s="39"/>
    </row>
    <row r="1020">
      <c r="A1020" s="33"/>
      <c r="B1020" s="34"/>
      <c r="C1020" s="35"/>
      <c r="D1020" s="36"/>
      <c r="E1020" s="35"/>
      <c r="F1020" s="36"/>
      <c r="G1020" s="37"/>
      <c r="H1020" s="38"/>
      <c r="I1020" s="39"/>
    </row>
    <row r="1021">
      <c r="A1021" s="33"/>
      <c r="B1021" s="34"/>
      <c r="C1021" s="35"/>
      <c r="D1021" s="36"/>
      <c r="E1021" s="35"/>
      <c r="F1021" s="36"/>
      <c r="G1021" s="37"/>
      <c r="H1021" s="38"/>
      <c r="I1021" s="39"/>
    </row>
    <row r="1022">
      <c r="A1022" s="33"/>
      <c r="B1022" s="34"/>
      <c r="C1022" s="35"/>
      <c r="D1022" s="36"/>
      <c r="E1022" s="35"/>
      <c r="F1022" s="36"/>
      <c r="G1022" s="37"/>
      <c r="H1022" s="38"/>
      <c r="I1022" s="39"/>
    </row>
    <row r="1023">
      <c r="A1023" s="33"/>
      <c r="B1023" s="34"/>
      <c r="C1023" s="35"/>
      <c r="D1023" s="36"/>
      <c r="E1023" s="35"/>
      <c r="F1023" s="36"/>
      <c r="G1023" s="37"/>
      <c r="H1023" s="38"/>
      <c r="I1023" s="39"/>
    </row>
    <row r="1024">
      <c r="A1024" s="33"/>
      <c r="B1024" s="34"/>
      <c r="C1024" s="35"/>
      <c r="D1024" s="36"/>
      <c r="E1024" s="35"/>
      <c r="F1024" s="36"/>
      <c r="G1024" s="37"/>
      <c r="H1024" s="38"/>
      <c r="I1024" s="39"/>
    </row>
    <row r="1025">
      <c r="A1025" s="33"/>
      <c r="B1025" s="34"/>
      <c r="C1025" s="35"/>
      <c r="D1025" s="36"/>
      <c r="E1025" s="35"/>
      <c r="F1025" s="36"/>
      <c r="G1025" s="37"/>
      <c r="H1025" s="38"/>
      <c r="I1025" s="39"/>
    </row>
    <row r="1026">
      <c r="A1026" s="33"/>
      <c r="B1026" s="34"/>
      <c r="C1026" s="35"/>
      <c r="D1026" s="36"/>
      <c r="E1026" s="35"/>
      <c r="F1026" s="36"/>
      <c r="G1026" s="37"/>
      <c r="H1026" s="38"/>
      <c r="I1026" s="39"/>
    </row>
    <row r="1027">
      <c r="A1027" s="33"/>
      <c r="B1027" s="34"/>
      <c r="C1027" s="35"/>
      <c r="D1027" s="36"/>
      <c r="E1027" s="35"/>
      <c r="F1027" s="36"/>
      <c r="G1027" s="37"/>
      <c r="H1027" s="38"/>
      <c r="I1027" s="39"/>
    </row>
    <row r="1028">
      <c r="A1028" s="33"/>
      <c r="B1028" s="34"/>
      <c r="C1028" s="35"/>
      <c r="D1028" s="36"/>
      <c r="E1028" s="35"/>
      <c r="F1028" s="36"/>
      <c r="G1028" s="37"/>
      <c r="H1028" s="38"/>
      <c r="I1028" s="39"/>
    </row>
    <row r="1029">
      <c r="A1029" s="33"/>
      <c r="B1029" s="34"/>
      <c r="C1029" s="35"/>
      <c r="D1029" s="36"/>
      <c r="E1029" s="35"/>
      <c r="F1029" s="36"/>
      <c r="G1029" s="37"/>
      <c r="H1029" s="38"/>
      <c r="I1029" s="39"/>
    </row>
    <row r="1030">
      <c r="A1030" s="33"/>
      <c r="B1030" s="34"/>
      <c r="C1030" s="35"/>
      <c r="D1030" s="36"/>
      <c r="E1030" s="35"/>
      <c r="F1030" s="36"/>
      <c r="G1030" s="37"/>
      <c r="H1030" s="38"/>
      <c r="I1030" s="39"/>
    </row>
    <row r="1031">
      <c r="A1031" s="33"/>
      <c r="B1031" s="34"/>
      <c r="C1031" s="35"/>
      <c r="D1031" s="36"/>
      <c r="E1031" s="35"/>
      <c r="F1031" s="36"/>
      <c r="G1031" s="37"/>
      <c r="H1031" s="38"/>
      <c r="I1031" s="39"/>
    </row>
    <row r="1032">
      <c r="A1032" s="33"/>
      <c r="B1032" s="34"/>
      <c r="C1032" s="35"/>
      <c r="D1032" s="36"/>
      <c r="E1032" s="35"/>
      <c r="F1032" s="36"/>
      <c r="G1032" s="37"/>
      <c r="H1032" s="38"/>
      <c r="I1032" s="39"/>
    </row>
    <row r="1033">
      <c r="A1033" s="33"/>
      <c r="B1033" s="34"/>
      <c r="C1033" s="35"/>
      <c r="D1033" s="36"/>
      <c r="E1033" s="35"/>
      <c r="F1033" s="36"/>
      <c r="G1033" s="37"/>
      <c r="H1033" s="38"/>
      <c r="I1033" s="39"/>
    </row>
    <row r="1034">
      <c r="A1034" s="33"/>
      <c r="B1034" s="34"/>
      <c r="C1034" s="35"/>
      <c r="D1034" s="36"/>
      <c r="E1034" s="35"/>
      <c r="F1034" s="36"/>
      <c r="G1034" s="37"/>
      <c r="H1034" s="38"/>
      <c r="I1034" s="39"/>
    </row>
    <row r="1035">
      <c r="A1035" s="33"/>
      <c r="B1035" s="34"/>
      <c r="C1035" s="35"/>
      <c r="D1035" s="36"/>
      <c r="E1035" s="35"/>
      <c r="F1035" s="36"/>
      <c r="G1035" s="37"/>
      <c r="H1035" s="38"/>
      <c r="I1035" s="39"/>
    </row>
    <row r="1036">
      <c r="A1036" s="33"/>
      <c r="B1036" s="34"/>
      <c r="C1036" s="35"/>
      <c r="D1036" s="36"/>
      <c r="E1036" s="35"/>
      <c r="F1036" s="36"/>
      <c r="G1036" s="37"/>
      <c r="H1036" s="38"/>
      <c r="I1036" s="39"/>
    </row>
    <row r="1037">
      <c r="A1037" s="33"/>
      <c r="B1037" s="34"/>
      <c r="C1037" s="35"/>
      <c r="D1037" s="36"/>
      <c r="E1037" s="35"/>
      <c r="F1037" s="36"/>
      <c r="G1037" s="37"/>
      <c r="H1037" s="38"/>
      <c r="I1037" s="39"/>
    </row>
    <row r="1038">
      <c r="A1038" s="33"/>
      <c r="B1038" s="34"/>
      <c r="C1038" s="35"/>
      <c r="D1038" s="36"/>
      <c r="E1038" s="35"/>
      <c r="F1038" s="36"/>
      <c r="G1038" s="37"/>
      <c r="H1038" s="38"/>
      <c r="I1038" s="39"/>
    </row>
    <row r="1039">
      <c r="A1039" s="33"/>
      <c r="B1039" s="34"/>
      <c r="C1039" s="35"/>
      <c r="D1039" s="36"/>
      <c r="E1039" s="35"/>
      <c r="F1039" s="36"/>
      <c r="G1039" s="37"/>
      <c r="H1039" s="38"/>
      <c r="I1039" s="39"/>
    </row>
    <row r="1040">
      <c r="A1040" s="33"/>
      <c r="B1040" s="34"/>
      <c r="C1040" s="35"/>
      <c r="D1040" s="36"/>
      <c r="E1040" s="35"/>
      <c r="F1040" s="36"/>
      <c r="G1040" s="37"/>
      <c r="H1040" s="38"/>
      <c r="I1040" s="39"/>
    </row>
    <row r="1041">
      <c r="A1041" s="33"/>
      <c r="B1041" s="34"/>
      <c r="C1041" s="35"/>
      <c r="D1041" s="36"/>
      <c r="E1041" s="35"/>
      <c r="F1041" s="36"/>
      <c r="G1041" s="37"/>
      <c r="H1041" s="38"/>
      <c r="I1041" s="39"/>
    </row>
    <row r="1042">
      <c r="A1042" s="33"/>
      <c r="B1042" s="34"/>
      <c r="C1042" s="35"/>
      <c r="D1042" s="36"/>
      <c r="E1042" s="35"/>
      <c r="F1042" s="36"/>
      <c r="G1042" s="37"/>
      <c r="H1042" s="38"/>
      <c r="I1042" s="39"/>
    </row>
    <row r="1043">
      <c r="A1043" s="33"/>
      <c r="B1043" s="34"/>
      <c r="C1043" s="35"/>
      <c r="D1043" s="36"/>
      <c r="E1043" s="35"/>
      <c r="F1043" s="36"/>
      <c r="G1043" s="37"/>
      <c r="H1043" s="38"/>
      <c r="I1043" s="39"/>
    </row>
    <row r="1044">
      <c r="A1044" s="33"/>
      <c r="B1044" s="34"/>
      <c r="C1044" s="35"/>
      <c r="D1044" s="36"/>
      <c r="E1044" s="35"/>
      <c r="F1044" s="36"/>
      <c r="G1044" s="37"/>
      <c r="H1044" s="38"/>
      <c r="I1044" s="39"/>
    </row>
    <row r="1045">
      <c r="A1045" s="33"/>
      <c r="B1045" s="34"/>
      <c r="C1045" s="35"/>
      <c r="D1045" s="36"/>
      <c r="E1045" s="35"/>
      <c r="F1045" s="36"/>
      <c r="G1045" s="37"/>
      <c r="H1045" s="38"/>
      <c r="I1045" s="39"/>
    </row>
    <row r="1046">
      <c r="A1046" s="33"/>
      <c r="B1046" s="34"/>
      <c r="C1046" s="35"/>
      <c r="D1046" s="36"/>
      <c r="E1046" s="35"/>
      <c r="F1046" s="36"/>
      <c r="G1046" s="37"/>
      <c r="H1046" s="38"/>
      <c r="I1046" s="39"/>
    </row>
    <row r="1047">
      <c r="A1047" s="33"/>
      <c r="B1047" s="34"/>
      <c r="C1047" s="35"/>
      <c r="D1047" s="36"/>
      <c r="E1047" s="35"/>
      <c r="F1047" s="36"/>
      <c r="G1047" s="37"/>
      <c r="H1047" s="38"/>
      <c r="I1047" s="39"/>
    </row>
    <row r="1048">
      <c r="A1048" s="33"/>
      <c r="B1048" s="34"/>
      <c r="C1048" s="35"/>
      <c r="D1048" s="36"/>
      <c r="E1048" s="35"/>
      <c r="F1048" s="36"/>
      <c r="G1048" s="37"/>
      <c r="H1048" s="38"/>
      <c r="I1048" s="39"/>
    </row>
    <row r="1049">
      <c r="A1049" s="33"/>
      <c r="B1049" s="34"/>
      <c r="C1049" s="35"/>
      <c r="D1049" s="36"/>
      <c r="E1049" s="35"/>
      <c r="F1049" s="36"/>
      <c r="G1049" s="37"/>
      <c r="H1049" s="38"/>
      <c r="I1049" s="39"/>
    </row>
    <row r="1050">
      <c r="A1050" s="33"/>
      <c r="B1050" s="34"/>
      <c r="C1050" s="35"/>
      <c r="D1050" s="36"/>
      <c r="E1050" s="35"/>
      <c r="F1050" s="36"/>
      <c r="G1050" s="37"/>
      <c r="H1050" s="38"/>
      <c r="I1050" s="39"/>
    </row>
    <row r="1051">
      <c r="A1051" s="33"/>
      <c r="B1051" s="34"/>
      <c r="C1051" s="35"/>
      <c r="D1051" s="36"/>
      <c r="E1051" s="35"/>
      <c r="F1051" s="36"/>
      <c r="G1051" s="37"/>
      <c r="H1051" s="38"/>
      <c r="I1051" s="39"/>
    </row>
    <row r="1052">
      <c r="A1052" s="33"/>
      <c r="B1052" s="34"/>
      <c r="C1052" s="35"/>
      <c r="D1052" s="36"/>
      <c r="E1052" s="35"/>
      <c r="F1052" s="36"/>
      <c r="G1052" s="37"/>
      <c r="H1052" s="38"/>
      <c r="I1052" s="39"/>
    </row>
    <row r="1053">
      <c r="A1053" s="33"/>
      <c r="B1053" s="34"/>
      <c r="C1053" s="35"/>
      <c r="D1053" s="36"/>
      <c r="E1053" s="35"/>
      <c r="F1053" s="36"/>
      <c r="G1053" s="37"/>
      <c r="H1053" s="38"/>
      <c r="I1053" s="39"/>
    </row>
    <row r="1054">
      <c r="A1054" s="33"/>
      <c r="B1054" s="34"/>
      <c r="C1054" s="35"/>
      <c r="D1054" s="36"/>
      <c r="E1054" s="35"/>
      <c r="F1054" s="36"/>
      <c r="G1054" s="37"/>
      <c r="H1054" s="38"/>
      <c r="I1054" s="39"/>
    </row>
    <row r="1055">
      <c r="A1055" s="33"/>
      <c r="B1055" s="34"/>
      <c r="C1055" s="35"/>
      <c r="D1055" s="36"/>
      <c r="E1055" s="35"/>
      <c r="F1055" s="36"/>
      <c r="G1055" s="37"/>
      <c r="H1055" s="38"/>
      <c r="I1055" s="39"/>
    </row>
    <row r="1056">
      <c r="A1056" s="33"/>
      <c r="B1056" s="34"/>
      <c r="C1056" s="35"/>
      <c r="D1056" s="36"/>
      <c r="E1056" s="35"/>
      <c r="F1056" s="36"/>
      <c r="G1056" s="37"/>
      <c r="H1056" s="38"/>
      <c r="I1056" s="39"/>
    </row>
    <row r="1057">
      <c r="A1057" s="33"/>
      <c r="B1057" s="34"/>
      <c r="C1057" s="35"/>
      <c r="D1057" s="36"/>
      <c r="E1057" s="35"/>
      <c r="F1057" s="36"/>
      <c r="G1057" s="37"/>
      <c r="H1057" s="38"/>
      <c r="I1057" s="39"/>
    </row>
    <row r="1058">
      <c r="A1058" s="33"/>
      <c r="B1058" s="34"/>
      <c r="C1058" s="35"/>
      <c r="D1058" s="36"/>
      <c r="E1058" s="35"/>
      <c r="F1058" s="36"/>
      <c r="G1058" s="37"/>
      <c r="H1058" s="38"/>
      <c r="I1058" s="39"/>
    </row>
    <row r="1059">
      <c r="A1059" s="33"/>
      <c r="B1059" s="34"/>
      <c r="C1059" s="35"/>
      <c r="D1059" s="36"/>
      <c r="E1059" s="35"/>
      <c r="F1059" s="36"/>
      <c r="G1059" s="37"/>
      <c r="H1059" s="38"/>
      <c r="I1059" s="39"/>
    </row>
    <row r="1060">
      <c r="A1060" s="33"/>
      <c r="B1060" s="34"/>
      <c r="C1060" s="35"/>
      <c r="D1060" s="36"/>
      <c r="E1060" s="35"/>
      <c r="F1060" s="36"/>
      <c r="G1060" s="37"/>
      <c r="H1060" s="38"/>
      <c r="I1060" s="39"/>
    </row>
    <row r="1061">
      <c r="A1061" s="33"/>
      <c r="B1061" s="34"/>
      <c r="C1061" s="35"/>
      <c r="D1061" s="36"/>
      <c r="E1061" s="35"/>
      <c r="F1061" s="36"/>
      <c r="G1061" s="37"/>
      <c r="H1061" s="38"/>
      <c r="I1061" s="39"/>
    </row>
    <row r="1062">
      <c r="A1062" s="33"/>
      <c r="B1062" s="34"/>
      <c r="C1062" s="35"/>
      <c r="D1062" s="36"/>
      <c r="E1062" s="35"/>
      <c r="F1062" s="36"/>
      <c r="G1062" s="37"/>
      <c r="H1062" s="38"/>
      <c r="I1062" s="39"/>
    </row>
    <row r="1063">
      <c r="A1063" s="33"/>
      <c r="B1063" s="34"/>
      <c r="C1063" s="35"/>
      <c r="D1063" s="36"/>
      <c r="E1063" s="35"/>
      <c r="F1063" s="36"/>
      <c r="G1063" s="37"/>
      <c r="H1063" s="38"/>
      <c r="I1063" s="39"/>
    </row>
    <row r="1064">
      <c r="A1064" s="33"/>
      <c r="B1064" s="34"/>
      <c r="C1064" s="35"/>
      <c r="D1064" s="36"/>
      <c r="E1064" s="35"/>
      <c r="F1064" s="36"/>
      <c r="G1064" s="37"/>
      <c r="H1064" s="38"/>
      <c r="I1064" s="39"/>
    </row>
    <row r="1065">
      <c r="A1065" s="33"/>
      <c r="B1065" s="34"/>
      <c r="C1065" s="35"/>
      <c r="D1065" s="36"/>
      <c r="E1065" s="35"/>
      <c r="F1065" s="36"/>
      <c r="G1065" s="37"/>
      <c r="H1065" s="38"/>
      <c r="I1065" s="39"/>
    </row>
    <row r="1066">
      <c r="A1066" s="33"/>
      <c r="B1066" s="34"/>
      <c r="C1066" s="35"/>
      <c r="D1066" s="36"/>
      <c r="E1066" s="35"/>
      <c r="F1066" s="36"/>
      <c r="G1066" s="37"/>
      <c r="H1066" s="38"/>
      <c r="I1066" s="39"/>
    </row>
    <row r="1067">
      <c r="A1067" s="33"/>
      <c r="B1067" s="34"/>
      <c r="C1067" s="35"/>
      <c r="D1067" s="36"/>
      <c r="E1067" s="35"/>
      <c r="F1067" s="36"/>
      <c r="G1067" s="37"/>
      <c r="H1067" s="38"/>
      <c r="I1067" s="39"/>
    </row>
    <row r="1068">
      <c r="A1068" s="33"/>
      <c r="B1068" s="34"/>
      <c r="C1068" s="35"/>
      <c r="D1068" s="36"/>
      <c r="E1068" s="35"/>
      <c r="F1068" s="36"/>
      <c r="G1068" s="37"/>
      <c r="H1068" s="38"/>
      <c r="I1068" s="39"/>
    </row>
    <row r="1069">
      <c r="A1069" s="33"/>
      <c r="B1069" s="34"/>
      <c r="C1069" s="35"/>
      <c r="D1069" s="36"/>
      <c r="E1069" s="35"/>
      <c r="F1069" s="36"/>
      <c r="G1069" s="37"/>
      <c r="H1069" s="38"/>
      <c r="I1069" s="39"/>
    </row>
    <row r="1070">
      <c r="A1070" s="33"/>
      <c r="B1070" s="34"/>
      <c r="C1070" s="35"/>
      <c r="D1070" s="36"/>
      <c r="E1070" s="35"/>
      <c r="F1070" s="36"/>
      <c r="G1070" s="37"/>
      <c r="H1070" s="38"/>
      <c r="I1070" s="39"/>
    </row>
    <row r="1071">
      <c r="A1071" s="33"/>
      <c r="B1071" s="34"/>
      <c r="C1071" s="35"/>
      <c r="D1071" s="36"/>
      <c r="E1071" s="35"/>
      <c r="F1071" s="36"/>
      <c r="G1071" s="37"/>
      <c r="H1071" s="38"/>
      <c r="I1071" s="39"/>
    </row>
    <row r="1072">
      <c r="A1072" s="33"/>
      <c r="B1072" s="34"/>
      <c r="C1072" s="35"/>
      <c r="D1072" s="36"/>
      <c r="E1072" s="35"/>
      <c r="F1072" s="36"/>
      <c r="G1072" s="37"/>
      <c r="H1072" s="38"/>
      <c r="I1072" s="39"/>
    </row>
    <row r="1073">
      <c r="A1073" s="33"/>
      <c r="B1073" s="34"/>
      <c r="C1073" s="35"/>
      <c r="D1073" s="36"/>
      <c r="E1073" s="35"/>
      <c r="F1073" s="36"/>
      <c r="G1073" s="37"/>
      <c r="H1073" s="38"/>
      <c r="I1073" s="39"/>
    </row>
    <row r="1074">
      <c r="A1074" s="33"/>
      <c r="B1074" s="34"/>
      <c r="C1074" s="35"/>
      <c r="D1074" s="36"/>
      <c r="E1074" s="35"/>
      <c r="F1074" s="36"/>
      <c r="G1074" s="37"/>
      <c r="H1074" s="38"/>
      <c r="I1074" s="39"/>
    </row>
    <row r="1075">
      <c r="A1075" s="33"/>
      <c r="B1075" s="34"/>
      <c r="C1075" s="35"/>
      <c r="D1075" s="36"/>
      <c r="E1075" s="35"/>
      <c r="F1075" s="36"/>
      <c r="G1075" s="37"/>
      <c r="H1075" s="38"/>
      <c r="I1075" s="39"/>
    </row>
    <row r="1076">
      <c r="A1076" s="33"/>
      <c r="B1076" s="34"/>
      <c r="C1076" s="35"/>
      <c r="D1076" s="36"/>
      <c r="E1076" s="35"/>
      <c r="F1076" s="36"/>
      <c r="G1076" s="37"/>
      <c r="H1076" s="38"/>
      <c r="I1076" s="39"/>
    </row>
    <row r="1077">
      <c r="A1077" s="33"/>
      <c r="B1077" s="34"/>
      <c r="C1077" s="35"/>
      <c r="D1077" s="36"/>
      <c r="E1077" s="35"/>
      <c r="F1077" s="36"/>
      <c r="G1077" s="37"/>
      <c r="H1077" s="38"/>
      <c r="I1077" s="39"/>
    </row>
    <row r="1078">
      <c r="A1078" s="33"/>
      <c r="B1078" s="34"/>
      <c r="C1078" s="35"/>
      <c r="D1078" s="36"/>
      <c r="E1078" s="35"/>
      <c r="F1078" s="36"/>
      <c r="G1078" s="37"/>
      <c r="H1078" s="38"/>
      <c r="I1078" s="39"/>
    </row>
    <row r="1079">
      <c r="A1079" s="33"/>
      <c r="B1079" s="34"/>
      <c r="C1079" s="35"/>
      <c r="D1079" s="36"/>
      <c r="E1079" s="35"/>
      <c r="F1079" s="36"/>
      <c r="G1079" s="37"/>
      <c r="H1079" s="38"/>
      <c r="I1079" s="39"/>
    </row>
    <row r="1080">
      <c r="A1080" s="33"/>
      <c r="B1080" s="34"/>
      <c r="C1080" s="35"/>
      <c r="D1080" s="36"/>
      <c r="E1080" s="35"/>
      <c r="F1080" s="36"/>
      <c r="G1080" s="37"/>
      <c r="H1080" s="38"/>
      <c r="I1080" s="39"/>
    </row>
    <row r="1081">
      <c r="A1081" s="33"/>
      <c r="B1081" s="34"/>
      <c r="C1081" s="35"/>
      <c r="D1081" s="36"/>
      <c r="E1081" s="35"/>
      <c r="F1081" s="36"/>
      <c r="G1081" s="37"/>
      <c r="H1081" s="38"/>
      <c r="I1081" s="39"/>
    </row>
    <row r="1082">
      <c r="A1082" s="33"/>
      <c r="B1082" s="34"/>
      <c r="C1082" s="35"/>
      <c r="D1082" s="36"/>
      <c r="E1082" s="35"/>
      <c r="F1082" s="36"/>
      <c r="G1082" s="37"/>
      <c r="H1082" s="38"/>
      <c r="I1082" s="39"/>
    </row>
    <row r="1083">
      <c r="A1083" s="33"/>
      <c r="B1083" s="34"/>
      <c r="C1083" s="35"/>
      <c r="D1083" s="36"/>
      <c r="E1083" s="35"/>
      <c r="F1083" s="36"/>
      <c r="G1083" s="37"/>
      <c r="H1083" s="38"/>
      <c r="I1083" s="39"/>
    </row>
    <row r="1084">
      <c r="A1084" s="33"/>
      <c r="B1084" s="34"/>
      <c r="C1084" s="35"/>
      <c r="D1084" s="36"/>
      <c r="E1084" s="35"/>
      <c r="F1084" s="36"/>
      <c r="G1084" s="37"/>
      <c r="H1084" s="38"/>
      <c r="I1084" s="39"/>
    </row>
    <row r="1085">
      <c r="A1085" s="33"/>
      <c r="B1085" s="34"/>
      <c r="C1085" s="35"/>
      <c r="D1085" s="36"/>
      <c r="E1085" s="35"/>
      <c r="F1085" s="36"/>
      <c r="G1085" s="37"/>
      <c r="H1085" s="38"/>
      <c r="I1085" s="39"/>
    </row>
    <row r="1086">
      <c r="A1086" s="33"/>
      <c r="B1086" s="34"/>
      <c r="C1086" s="35"/>
      <c r="D1086" s="36"/>
      <c r="E1086" s="35"/>
      <c r="F1086" s="36"/>
      <c r="G1086" s="37"/>
      <c r="H1086" s="38"/>
      <c r="I1086" s="39"/>
    </row>
    <row r="1087">
      <c r="A1087" s="33"/>
      <c r="B1087" s="34"/>
      <c r="C1087" s="35"/>
      <c r="D1087" s="36"/>
      <c r="E1087" s="35"/>
      <c r="F1087" s="36"/>
      <c r="G1087" s="37"/>
      <c r="H1087" s="38"/>
      <c r="I1087" s="39"/>
    </row>
    <row r="1088">
      <c r="A1088" s="33"/>
      <c r="B1088" s="34"/>
      <c r="C1088" s="35"/>
      <c r="D1088" s="36"/>
      <c r="E1088" s="35"/>
      <c r="F1088" s="36"/>
      <c r="G1088" s="37"/>
      <c r="H1088" s="38"/>
      <c r="I1088" s="39"/>
    </row>
    <row r="1089">
      <c r="A1089" s="33"/>
      <c r="B1089" s="34"/>
      <c r="C1089" s="35"/>
      <c r="D1089" s="36"/>
      <c r="E1089" s="35"/>
      <c r="F1089" s="36"/>
      <c r="G1089" s="37"/>
      <c r="H1089" s="38"/>
      <c r="I1089" s="39"/>
    </row>
    <row r="1090">
      <c r="A1090" s="33"/>
      <c r="B1090" s="34"/>
      <c r="C1090" s="35"/>
      <c r="D1090" s="36"/>
      <c r="E1090" s="35"/>
      <c r="F1090" s="36"/>
      <c r="G1090" s="37"/>
      <c r="H1090" s="38"/>
      <c r="I1090" s="39"/>
    </row>
    <row r="1091">
      <c r="A1091" s="33"/>
      <c r="B1091" s="34"/>
      <c r="C1091" s="35"/>
      <c r="D1091" s="36"/>
      <c r="E1091" s="35"/>
      <c r="F1091" s="36"/>
      <c r="G1091" s="37"/>
      <c r="H1091" s="38"/>
      <c r="I1091" s="39"/>
    </row>
    <row r="1092">
      <c r="A1092" s="33"/>
      <c r="B1092" s="34"/>
      <c r="C1092" s="35"/>
      <c r="D1092" s="36"/>
      <c r="E1092" s="35"/>
      <c r="F1092" s="36"/>
      <c r="G1092" s="37"/>
      <c r="H1092" s="38"/>
      <c r="I1092" s="39"/>
    </row>
    <row r="1093">
      <c r="A1093" s="33"/>
      <c r="B1093" s="34"/>
      <c r="C1093" s="35"/>
      <c r="D1093" s="36"/>
      <c r="E1093" s="35"/>
      <c r="F1093" s="36"/>
      <c r="G1093" s="37"/>
      <c r="H1093" s="38"/>
      <c r="I1093" s="39"/>
    </row>
    <row r="1094">
      <c r="A1094" s="33"/>
      <c r="B1094" s="34"/>
      <c r="C1094" s="35"/>
      <c r="D1094" s="36"/>
      <c r="E1094" s="35"/>
      <c r="F1094" s="36"/>
      <c r="G1094" s="37"/>
      <c r="H1094" s="38"/>
      <c r="I1094" s="39"/>
    </row>
    <row r="1095">
      <c r="A1095" s="33"/>
      <c r="B1095" s="34"/>
      <c r="C1095" s="35"/>
      <c r="D1095" s="36"/>
      <c r="E1095" s="35"/>
      <c r="F1095" s="36"/>
      <c r="G1095" s="37"/>
      <c r="H1095" s="38"/>
      <c r="I1095" s="39"/>
    </row>
    <row r="1096">
      <c r="A1096" s="33"/>
      <c r="B1096" s="34"/>
      <c r="C1096" s="35"/>
      <c r="D1096" s="36"/>
      <c r="E1096" s="35"/>
      <c r="F1096" s="36"/>
      <c r="G1096" s="37"/>
      <c r="H1096" s="38"/>
      <c r="I1096" s="39"/>
    </row>
    <row r="1097">
      <c r="A1097" s="33"/>
      <c r="B1097" s="34"/>
      <c r="C1097" s="35"/>
      <c r="D1097" s="36"/>
      <c r="E1097" s="35"/>
      <c r="F1097" s="36"/>
      <c r="G1097" s="37"/>
      <c r="H1097" s="38"/>
      <c r="I1097" s="39"/>
    </row>
    <row r="1098">
      <c r="A1098" s="33"/>
      <c r="B1098" s="34"/>
      <c r="C1098" s="35"/>
      <c r="D1098" s="36"/>
      <c r="E1098" s="35"/>
      <c r="F1098" s="36"/>
      <c r="G1098" s="37"/>
      <c r="H1098" s="38"/>
      <c r="I1098" s="39"/>
    </row>
    <row r="1099">
      <c r="A1099" s="33"/>
      <c r="B1099" s="34"/>
      <c r="C1099" s="35"/>
      <c r="D1099" s="36"/>
      <c r="E1099" s="35"/>
      <c r="F1099" s="36"/>
      <c r="G1099" s="37"/>
      <c r="H1099" s="38"/>
      <c r="I1099" s="39"/>
    </row>
    <row r="1100">
      <c r="A1100" s="33"/>
      <c r="B1100" s="34"/>
      <c r="C1100" s="35"/>
      <c r="D1100" s="36"/>
      <c r="E1100" s="35"/>
      <c r="F1100" s="36"/>
      <c r="G1100" s="37"/>
      <c r="H1100" s="38"/>
      <c r="I1100" s="39"/>
    </row>
    <row r="1101">
      <c r="A1101" s="33"/>
      <c r="B1101" s="34"/>
      <c r="C1101" s="35"/>
      <c r="D1101" s="36"/>
      <c r="E1101" s="35"/>
      <c r="F1101" s="36"/>
      <c r="G1101" s="37"/>
      <c r="H1101" s="38"/>
      <c r="I1101" s="39"/>
    </row>
    <row r="1102">
      <c r="A1102" s="33"/>
      <c r="B1102" s="34"/>
      <c r="C1102" s="35"/>
      <c r="D1102" s="36"/>
      <c r="E1102" s="35"/>
      <c r="F1102" s="36"/>
      <c r="G1102" s="37"/>
      <c r="H1102" s="38"/>
      <c r="I1102" s="39"/>
    </row>
    <row r="1103">
      <c r="A1103" s="33"/>
      <c r="B1103" s="34"/>
      <c r="C1103" s="35"/>
      <c r="D1103" s="36"/>
      <c r="E1103" s="35"/>
      <c r="F1103" s="36"/>
      <c r="G1103" s="37"/>
      <c r="H1103" s="38"/>
      <c r="I1103" s="39"/>
    </row>
    <row r="1104">
      <c r="A1104" s="33"/>
      <c r="B1104" s="34"/>
      <c r="C1104" s="35"/>
      <c r="D1104" s="36"/>
      <c r="E1104" s="35"/>
      <c r="F1104" s="36"/>
      <c r="G1104" s="37"/>
      <c r="H1104" s="38"/>
      <c r="I1104" s="39"/>
    </row>
    <row r="1105">
      <c r="A1105" s="33"/>
      <c r="B1105" s="34"/>
      <c r="C1105" s="35"/>
      <c r="D1105" s="36"/>
      <c r="E1105" s="35"/>
      <c r="F1105" s="36"/>
      <c r="G1105" s="37"/>
      <c r="H1105" s="38"/>
      <c r="I1105" s="39"/>
    </row>
    <row r="1106">
      <c r="A1106" s="33"/>
      <c r="B1106" s="34"/>
      <c r="C1106" s="35"/>
      <c r="D1106" s="36"/>
      <c r="E1106" s="35"/>
      <c r="F1106" s="36"/>
      <c r="G1106" s="37"/>
      <c r="H1106" s="38"/>
      <c r="I1106" s="39"/>
    </row>
    <row r="1107">
      <c r="A1107" s="33"/>
      <c r="B1107" s="34"/>
      <c r="C1107" s="35"/>
      <c r="D1107" s="36"/>
      <c r="E1107" s="35"/>
      <c r="F1107" s="36"/>
      <c r="G1107" s="37"/>
      <c r="H1107" s="38"/>
      <c r="I1107" s="39"/>
    </row>
    <row r="1108">
      <c r="A1108" s="33"/>
      <c r="B1108" s="34"/>
      <c r="C1108" s="35"/>
      <c r="D1108" s="36"/>
      <c r="E1108" s="35"/>
      <c r="F1108" s="36"/>
      <c r="G1108" s="37"/>
      <c r="H1108" s="38"/>
      <c r="I1108" s="39"/>
    </row>
    <row r="1109">
      <c r="A1109" s="33"/>
      <c r="B1109" s="34"/>
      <c r="C1109" s="35"/>
      <c r="D1109" s="36"/>
      <c r="E1109" s="35"/>
      <c r="F1109" s="36"/>
      <c r="G1109" s="37"/>
      <c r="H1109" s="38"/>
      <c r="I1109" s="39"/>
    </row>
    <row r="1110">
      <c r="A1110" s="33"/>
      <c r="B1110" s="34"/>
      <c r="C1110" s="35"/>
      <c r="D1110" s="36"/>
      <c r="E1110" s="35"/>
      <c r="F1110" s="36"/>
      <c r="G1110" s="37"/>
      <c r="H1110" s="38"/>
      <c r="I1110" s="39"/>
    </row>
    <row r="1111">
      <c r="A1111" s="33"/>
      <c r="B1111" s="34"/>
      <c r="C1111" s="35"/>
      <c r="D1111" s="36"/>
      <c r="E1111" s="35"/>
      <c r="F1111" s="36"/>
      <c r="G1111" s="37"/>
      <c r="H1111" s="38"/>
      <c r="I1111" s="39"/>
    </row>
    <row r="1112">
      <c r="A1112" s="33"/>
      <c r="B1112" s="34"/>
      <c r="C1112" s="35"/>
      <c r="D1112" s="36"/>
      <c r="E1112" s="35"/>
      <c r="F1112" s="36"/>
      <c r="G1112" s="37"/>
      <c r="H1112" s="38"/>
      <c r="I1112" s="39"/>
    </row>
    <row r="1113">
      <c r="A1113" s="33"/>
      <c r="B1113" s="34"/>
      <c r="C1113" s="35"/>
      <c r="D1113" s="36"/>
      <c r="E1113" s="35"/>
      <c r="F1113" s="36"/>
      <c r="G1113" s="37"/>
      <c r="H1113" s="38"/>
      <c r="I1113" s="39"/>
    </row>
    <row r="1114">
      <c r="A1114" s="33"/>
      <c r="B1114" s="34"/>
      <c r="C1114" s="35"/>
      <c r="D1114" s="36"/>
      <c r="E1114" s="35"/>
      <c r="F1114" s="36"/>
      <c r="G1114" s="37"/>
      <c r="H1114" s="38"/>
      <c r="I1114" s="39"/>
    </row>
    <row r="1115">
      <c r="A1115" s="33"/>
      <c r="B1115" s="34"/>
      <c r="C1115" s="35"/>
      <c r="D1115" s="36"/>
      <c r="E1115" s="35"/>
      <c r="F1115" s="36"/>
      <c r="G1115" s="37"/>
      <c r="H1115" s="38"/>
      <c r="I1115" s="39"/>
    </row>
    <row r="1116">
      <c r="A1116" s="33"/>
      <c r="B1116" s="34"/>
      <c r="C1116" s="35"/>
      <c r="D1116" s="36"/>
      <c r="E1116" s="35"/>
      <c r="F1116" s="36"/>
      <c r="G1116" s="37"/>
      <c r="H1116" s="38"/>
      <c r="I1116" s="39"/>
    </row>
    <row r="1117">
      <c r="A1117" s="33"/>
      <c r="B1117" s="34"/>
      <c r="C1117" s="35"/>
      <c r="D1117" s="36"/>
      <c r="E1117" s="35"/>
      <c r="F1117" s="36"/>
      <c r="G1117" s="37"/>
      <c r="H1117" s="38"/>
      <c r="I1117" s="39"/>
    </row>
    <row r="1118">
      <c r="A1118" s="33"/>
      <c r="B1118" s="34"/>
      <c r="C1118" s="35"/>
      <c r="D1118" s="36"/>
      <c r="E1118" s="35"/>
      <c r="F1118" s="36"/>
      <c r="G1118" s="37"/>
      <c r="H1118" s="38"/>
      <c r="I1118" s="39"/>
    </row>
    <row r="1119">
      <c r="A1119" s="33"/>
      <c r="B1119" s="34"/>
      <c r="C1119" s="35"/>
      <c r="D1119" s="36"/>
      <c r="E1119" s="35"/>
      <c r="F1119" s="36"/>
      <c r="G1119" s="37"/>
      <c r="H1119" s="38"/>
      <c r="I1119" s="39"/>
    </row>
    <row r="1120">
      <c r="A1120" s="33"/>
      <c r="B1120" s="34"/>
      <c r="C1120" s="35"/>
      <c r="D1120" s="36"/>
      <c r="E1120" s="35"/>
      <c r="F1120" s="36"/>
      <c r="G1120" s="37"/>
      <c r="H1120" s="38"/>
      <c r="I1120" s="39"/>
    </row>
    <row r="1121">
      <c r="A1121" s="33"/>
      <c r="B1121" s="34"/>
      <c r="C1121" s="35"/>
      <c r="D1121" s="36"/>
      <c r="E1121" s="35"/>
      <c r="F1121" s="36"/>
      <c r="G1121" s="37"/>
      <c r="H1121" s="38"/>
      <c r="I1121" s="39"/>
    </row>
    <row r="1122">
      <c r="A1122" s="33"/>
      <c r="B1122" s="34"/>
      <c r="C1122" s="35"/>
      <c r="D1122" s="36"/>
      <c r="E1122" s="35"/>
      <c r="F1122" s="36"/>
      <c r="G1122" s="37"/>
      <c r="H1122" s="38"/>
      <c r="I1122" s="39"/>
    </row>
    <row r="1123">
      <c r="A1123" s="33"/>
      <c r="B1123" s="34"/>
      <c r="C1123" s="35"/>
      <c r="D1123" s="36"/>
      <c r="E1123" s="35"/>
      <c r="F1123" s="36"/>
      <c r="G1123" s="37"/>
      <c r="H1123" s="38"/>
      <c r="I1123" s="39"/>
    </row>
    <row r="1124">
      <c r="A1124" s="33"/>
      <c r="B1124" s="34"/>
      <c r="C1124" s="35"/>
      <c r="D1124" s="36"/>
      <c r="E1124" s="35"/>
      <c r="F1124" s="36"/>
      <c r="G1124" s="37"/>
      <c r="H1124" s="38"/>
      <c r="I1124" s="39"/>
    </row>
    <row r="1125">
      <c r="A1125" s="33"/>
      <c r="B1125" s="34"/>
      <c r="C1125" s="35"/>
      <c r="D1125" s="36"/>
      <c r="E1125" s="35"/>
      <c r="F1125" s="36"/>
      <c r="G1125" s="37"/>
      <c r="H1125" s="38"/>
      <c r="I1125" s="39"/>
    </row>
    <row r="1126">
      <c r="A1126" s="33"/>
      <c r="B1126" s="34"/>
      <c r="C1126" s="35"/>
      <c r="D1126" s="36"/>
      <c r="E1126" s="35"/>
      <c r="F1126" s="36"/>
      <c r="G1126" s="37"/>
      <c r="H1126" s="38"/>
      <c r="I1126" s="39"/>
    </row>
    <row r="1127">
      <c r="A1127" s="33"/>
      <c r="B1127" s="34"/>
      <c r="C1127" s="35"/>
      <c r="D1127" s="36"/>
      <c r="E1127" s="35"/>
      <c r="F1127" s="36"/>
      <c r="G1127" s="37"/>
      <c r="H1127" s="38"/>
      <c r="I1127" s="39"/>
    </row>
    <row r="1128">
      <c r="A1128" s="33"/>
      <c r="B1128" s="34"/>
      <c r="C1128" s="35"/>
      <c r="D1128" s="36"/>
      <c r="E1128" s="35"/>
      <c r="F1128" s="36"/>
      <c r="G1128" s="37"/>
      <c r="H1128" s="38"/>
      <c r="I1128" s="39"/>
    </row>
    <row r="1129">
      <c r="A1129" s="33"/>
      <c r="B1129" s="34"/>
      <c r="C1129" s="35"/>
      <c r="D1129" s="36"/>
      <c r="E1129" s="35"/>
      <c r="F1129" s="36"/>
      <c r="G1129" s="37"/>
      <c r="H1129" s="38"/>
      <c r="I1129" s="39"/>
    </row>
    <row r="1130">
      <c r="A1130" s="33"/>
      <c r="B1130" s="34"/>
      <c r="C1130" s="35"/>
      <c r="D1130" s="36"/>
      <c r="E1130" s="35"/>
      <c r="F1130" s="36"/>
      <c r="G1130" s="37"/>
      <c r="H1130" s="38"/>
      <c r="I1130" s="39"/>
    </row>
    <row r="1131">
      <c r="A1131" s="33"/>
      <c r="B1131" s="34"/>
      <c r="C1131" s="35"/>
      <c r="D1131" s="36"/>
      <c r="E1131" s="35"/>
      <c r="F1131" s="36"/>
      <c r="G1131" s="37"/>
      <c r="H1131" s="38"/>
      <c r="I1131" s="39"/>
    </row>
    <row r="1132">
      <c r="A1132" s="33"/>
      <c r="B1132" s="34"/>
      <c r="C1132" s="35"/>
      <c r="D1132" s="36"/>
      <c r="E1132" s="35"/>
      <c r="F1132" s="36"/>
      <c r="G1132" s="37"/>
      <c r="H1132" s="38"/>
      <c r="I1132" s="39"/>
    </row>
    <row r="1133">
      <c r="A1133" s="33"/>
      <c r="B1133" s="34"/>
      <c r="C1133" s="35"/>
      <c r="D1133" s="36"/>
      <c r="E1133" s="35"/>
      <c r="F1133" s="36"/>
      <c r="G1133" s="37"/>
      <c r="H1133" s="38"/>
      <c r="I1133" s="39"/>
    </row>
    <row r="1134">
      <c r="A1134" s="33"/>
      <c r="B1134" s="34"/>
      <c r="C1134" s="35"/>
      <c r="D1134" s="36"/>
      <c r="E1134" s="35"/>
      <c r="F1134" s="36"/>
      <c r="G1134" s="37"/>
      <c r="H1134" s="38"/>
      <c r="I1134" s="39"/>
    </row>
    <row r="1135">
      <c r="A1135" s="33"/>
      <c r="B1135" s="34"/>
      <c r="C1135" s="35"/>
      <c r="D1135" s="36"/>
      <c r="E1135" s="35"/>
      <c r="F1135" s="36"/>
      <c r="G1135" s="37"/>
      <c r="H1135" s="38"/>
      <c r="I1135" s="39"/>
    </row>
    <row r="1136">
      <c r="A1136" s="33"/>
      <c r="B1136" s="34"/>
      <c r="C1136" s="35"/>
      <c r="D1136" s="36"/>
      <c r="E1136" s="35"/>
      <c r="F1136" s="36"/>
      <c r="G1136" s="37"/>
      <c r="H1136" s="38"/>
      <c r="I1136" s="39"/>
    </row>
    <row r="1137">
      <c r="A1137" s="33"/>
      <c r="B1137" s="34"/>
      <c r="C1137" s="35"/>
      <c r="D1137" s="36"/>
      <c r="E1137" s="35"/>
      <c r="F1137" s="36"/>
      <c r="G1137" s="37"/>
      <c r="H1137" s="38"/>
      <c r="I1137" s="39"/>
    </row>
    <row r="1138">
      <c r="A1138" s="33"/>
      <c r="B1138" s="34"/>
      <c r="C1138" s="35"/>
      <c r="D1138" s="36"/>
      <c r="E1138" s="35"/>
      <c r="F1138" s="36"/>
      <c r="G1138" s="37"/>
      <c r="H1138" s="38"/>
      <c r="I1138" s="39"/>
    </row>
    <row r="1139">
      <c r="A1139" s="33"/>
      <c r="B1139" s="34"/>
      <c r="C1139" s="35"/>
      <c r="D1139" s="36"/>
      <c r="E1139" s="35"/>
      <c r="F1139" s="36"/>
      <c r="G1139" s="37"/>
      <c r="H1139" s="38"/>
      <c r="I1139" s="39"/>
    </row>
    <row r="1140">
      <c r="A1140" s="33"/>
      <c r="B1140" s="34"/>
      <c r="C1140" s="35"/>
      <c r="D1140" s="36"/>
      <c r="E1140" s="35"/>
      <c r="F1140" s="36"/>
      <c r="G1140" s="37"/>
      <c r="H1140" s="38"/>
      <c r="I1140" s="39"/>
    </row>
    <row r="1141">
      <c r="A1141" s="33"/>
      <c r="B1141" s="34"/>
      <c r="C1141" s="35"/>
      <c r="D1141" s="36"/>
      <c r="E1141" s="35"/>
      <c r="F1141" s="36"/>
      <c r="G1141" s="37"/>
      <c r="H1141" s="38"/>
      <c r="I1141" s="39"/>
    </row>
    <row r="1142">
      <c r="A1142" s="33"/>
      <c r="B1142" s="34"/>
      <c r="C1142" s="35"/>
      <c r="D1142" s="36"/>
      <c r="E1142" s="35"/>
      <c r="F1142" s="36"/>
      <c r="G1142" s="37"/>
      <c r="H1142" s="38"/>
      <c r="I1142" s="39"/>
    </row>
    <row r="1143">
      <c r="A1143" s="33"/>
      <c r="B1143" s="34"/>
      <c r="C1143" s="35"/>
      <c r="D1143" s="36"/>
      <c r="E1143" s="35"/>
      <c r="F1143" s="36"/>
      <c r="G1143" s="37"/>
      <c r="H1143" s="38"/>
      <c r="I1143" s="39"/>
    </row>
    <row r="1144">
      <c r="A1144" s="33"/>
      <c r="B1144" s="34"/>
      <c r="C1144" s="35"/>
      <c r="D1144" s="36"/>
      <c r="E1144" s="35"/>
      <c r="F1144" s="36"/>
      <c r="G1144" s="37"/>
      <c r="H1144" s="38"/>
      <c r="I1144" s="39"/>
    </row>
    <row r="1145">
      <c r="A1145" s="33"/>
      <c r="B1145" s="34"/>
      <c r="C1145" s="35"/>
      <c r="D1145" s="36"/>
      <c r="E1145" s="35"/>
      <c r="F1145" s="36"/>
      <c r="G1145" s="37"/>
      <c r="H1145" s="38"/>
      <c r="I1145" s="39"/>
    </row>
    <row r="1146">
      <c r="A1146" s="33"/>
      <c r="B1146" s="34"/>
      <c r="C1146" s="35"/>
      <c r="D1146" s="36"/>
      <c r="E1146" s="35"/>
      <c r="F1146" s="36"/>
      <c r="G1146" s="37"/>
      <c r="H1146" s="38"/>
      <c r="I1146" s="39"/>
    </row>
    <row r="1147">
      <c r="A1147" s="33"/>
      <c r="B1147" s="34"/>
      <c r="C1147" s="35"/>
      <c r="D1147" s="36"/>
      <c r="E1147" s="35"/>
      <c r="F1147" s="36"/>
      <c r="G1147" s="37"/>
      <c r="H1147" s="38"/>
      <c r="I1147" s="39"/>
    </row>
    <row r="1148">
      <c r="A1148" s="33"/>
      <c r="B1148" s="34"/>
      <c r="C1148" s="35"/>
      <c r="D1148" s="36"/>
      <c r="E1148" s="35"/>
      <c r="F1148" s="36"/>
      <c r="G1148" s="37"/>
      <c r="H1148" s="38"/>
      <c r="I1148" s="39"/>
    </row>
    <row r="1149">
      <c r="A1149" s="33"/>
      <c r="B1149" s="34"/>
      <c r="C1149" s="35"/>
      <c r="D1149" s="36"/>
      <c r="E1149" s="35"/>
      <c r="F1149" s="36"/>
      <c r="G1149" s="37"/>
      <c r="H1149" s="38"/>
      <c r="I1149" s="39"/>
    </row>
    <row r="1150">
      <c r="A1150" s="33"/>
      <c r="B1150" s="34"/>
      <c r="C1150" s="35"/>
      <c r="D1150" s="36"/>
      <c r="E1150" s="35"/>
      <c r="F1150" s="36"/>
      <c r="G1150" s="37"/>
      <c r="H1150" s="38"/>
      <c r="I1150" s="39"/>
    </row>
    <row r="1151">
      <c r="A1151" s="33"/>
      <c r="B1151" s="34"/>
      <c r="C1151" s="35"/>
      <c r="D1151" s="36"/>
      <c r="E1151" s="35"/>
      <c r="F1151" s="36"/>
      <c r="G1151" s="37"/>
      <c r="H1151" s="38"/>
      <c r="I1151" s="39"/>
    </row>
    <row r="1152">
      <c r="A1152" s="33"/>
      <c r="B1152" s="34"/>
      <c r="C1152" s="35"/>
      <c r="D1152" s="36"/>
      <c r="E1152" s="35"/>
      <c r="F1152" s="36"/>
      <c r="G1152" s="37"/>
      <c r="H1152" s="38"/>
      <c r="I1152" s="39"/>
    </row>
    <row r="1153">
      <c r="A1153" s="33"/>
      <c r="B1153" s="34"/>
      <c r="C1153" s="35"/>
      <c r="D1153" s="36"/>
      <c r="E1153" s="35"/>
      <c r="F1153" s="36"/>
      <c r="G1153" s="37"/>
      <c r="H1153" s="38"/>
      <c r="I1153" s="39"/>
    </row>
    <row r="1154">
      <c r="A1154" s="33"/>
      <c r="B1154" s="34"/>
      <c r="C1154" s="35"/>
      <c r="D1154" s="36"/>
      <c r="E1154" s="35"/>
      <c r="F1154" s="36"/>
      <c r="G1154" s="37"/>
      <c r="H1154" s="38"/>
      <c r="I1154" s="39"/>
    </row>
    <row r="1155">
      <c r="A1155" s="33"/>
      <c r="B1155" s="34"/>
      <c r="C1155" s="35"/>
      <c r="D1155" s="36"/>
      <c r="E1155" s="35"/>
      <c r="F1155" s="36"/>
      <c r="G1155" s="37"/>
      <c r="H1155" s="38"/>
      <c r="I1155" s="39"/>
    </row>
    <row r="1156">
      <c r="A1156" s="33"/>
      <c r="B1156" s="34"/>
      <c r="C1156" s="35"/>
      <c r="D1156" s="36"/>
      <c r="E1156" s="35"/>
      <c r="F1156" s="36"/>
      <c r="G1156" s="37"/>
      <c r="H1156" s="38"/>
      <c r="I1156" s="39"/>
    </row>
    <row r="1157">
      <c r="A1157" s="33"/>
      <c r="B1157" s="34"/>
      <c r="C1157" s="35"/>
      <c r="D1157" s="36"/>
      <c r="E1157" s="35"/>
      <c r="F1157" s="36"/>
      <c r="G1157" s="37"/>
      <c r="H1157" s="38"/>
      <c r="I1157" s="39"/>
    </row>
    <row r="1158">
      <c r="A1158" s="33"/>
      <c r="B1158" s="34"/>
      <c r="C1158" s="35"/>
      <c r="D1158" s="36"/>
      <c r="E1158" s="35"/>
      <c r="F1158" s="36"/>
      <c r="G1158" s="37"/>
      <c r="H1158" s="38"/>
      <c r="I1158" s="39"/>
    </row>
    <row r="1159">
      <c r="A1159" s="33"/>
      <c r="B1159" s="34"/>
      <c r="C1159" s="35"/>
      <c r="D1159" s="36"/>
      <c r="E1159" s="35"/>
      <c r="F1159" s="36"/>
      <c r="G1159" s="37"/>
      <c r="H1159" s="38"/>
      <c r="I1159" s="39"/>
    </row>
    <row r="1160">
      <c r="A1160" s="33"/>
      <c r="B1160" s="34"/>
      <c r="C1160" s="35"/>
      <c r="D1160" s="36"/>
      <c r="E1160" s="35"/>
      <c r="F1160" s="36"/>
      <c r="G1160" s="37"/>
      <c r="H1160" s="38"/>
      <c r="I1160" s="39"/>
    </row>
    <row r="1161">
      <c r="A1161" s="33"/>
      <c r="B1161" s="34"/>
      <c r="C1161" s="35"/>
      <c r="D1161" s="36"/>
      <c r="E1161" s="35"/>
      <c r="F1161" s="36"/>
      <c r="G1161" s="37"/>
      <c r="H1161" s="38"/>
      <c r="I1161" s="39"/>
    </row>
    <row r="1162">
      <c r="A1162" s="33"/>
      <c r="B1162" s="34"/>
      <c r="C1162" s="35"/>
      <c r="D1162" s="36"/>
      <c r="E1162" s="35"/>
      <c r="F1162" s="36"/>
      <c r="G1162" s="37"/>
      <c r="H1162" s="38"/>
      <c r="I1162" s="39"/>
    </row>
    <row r="1163">
      <c r="A1163" s="33"/>
      <c r="B1163" s="34"/>
      <c r="C1163" s="35"/>
      <c r="D1163" s="36"/>
      <c r="E1163" s="35"/>
      <c r="F1163" s="36"/>
      <c r="G1163" s="37"/>
      <c r="H1163" s="38"/>
      <c r="I1163" s="39"/>
    </row>
    <row r="1164">
      <c r="A1164" s="33"/>
      <c r="B1164" s="34"/>
      <c r="C1164" s="35"/>
      <c r="D1164" s="36"/>
      <c r="E1164" s="35"/>
      <c r="F1164" s="36"/>
      <c r="G1164" s="37"/>
      <c r="H1164" s="38"/>
      <c r="I1164" s="39"/>
    </row>
    <row r="1165">
      <c r="A1165" s="33"/>
      <c r="B1165" s="34"/>
      <c r="C1165" s="35"/>
      <c r="D1165" s="36"/>
      <c r="E1165" s="35"/>
      <c r="F1165" s="36"/>
      <c r="G1165" s="37"/>
      <c r="H1165" s="38"/>
      <c r="I1165" s="39"/>
    </row>
    <row r="1166">
      <c r="A1166" s="33"/>
      <c r="B1166" s="34"/>
      <c r="C1166" s="35"/>
      <c r="D1166" s="36"/>
      <c r="E1166" s="35"/>
      <c r="F1166" s="36"/>
      <c r="G1166" s="37"/>
      <c r="H1166" s="38"/>
      <c r="I1166" s="39"/>
    </row>
    <row r="1167">
      <c r="A1167" s="33"/>
      <c r="B1167" s="34"/>
      <c r="C1167" s="35"/>
      <c r="D1167" s="36"/>
      <c r="E1167" s="35"/>
      <c r="F1167" s="36"/>
      <c r="G1167" s="37"/>
      <c r="H1167" s="38"/>
      <c r="I1167" s="39"/>
    </row>
    <row r="1168">
      <c r="A1168" s="33"/>
      <c r="B1168" s="34"/>
      <c r="C1168" s="35"/>
      <c r="D1168" s="36"/>
      <c r="E1168" s="35"/>
      <c r="F1168" s="36"/>
      <c r="G1168" s="37"/>
      <c r="H1168" s="38"/>
      <c r="I1168" s="39"/>
    </row>
    <row r="1169">
      <c r="A1169" s="33"/>
      <c r="B1169" s="34"/>
      <c r="C1169" s="35"/>
      <c r="D1169" s="36"/>
      <c r="E1169" s="35"/>
      <c r="F1169" s="36"/>
      <c r="G1169" s="37"/>
      <c r="H1169" s="38"/>
      <c r="I1169" s="39"/>
    </row>
    <row r="1170">
      <c r="A1170" s="33"/>
      <c r="B1170" s="34"/>
      <c r="C1170" s="35"/>
      <c r="D1170" s="36"/>
      <c r="E1170" s="35"/>
      <c r="F1170" s="36"/>
      <c r="G1170" s="37"/>
      <c r="H1170" s="38"/>
      <c r="I1170" s="39"/>
    </row>
    <row r="1171">
      <c r="A1171" s="33"/>
      <c r="B1171" s="34"/>
      <c r="C1171" s="35"/>
      <c r="D1171" s="36"/>
      <c r="E1171" s="35"/>
      <c r="F1171" s="36"/>
      <c r="G1171" s="37"/>
      <c r="H1171" s="38"/>
      <c r="I1171" s="39"/>
    </row>
    <row r="1172">
      <c r="A1172" s="33"/>
      <c r="B1172" s="34"/>
      <c r="C1172" s="35"/>
      <c r="D1172" s="36"/>
      <c r="E1172" s="35"/>
      <c r="F1172" s="36"/>
      <c r="G1172" s="37"/>
      <c r="H1172" s="38"/>
      <c r="I1172" s="39"/>
    </row>
    <row r="1173">
      <c r="A1173" s="33"/>
      <c r="B1173" s="34"/>
      <c r="C1173" s="35"/>
      <c r="D1173" s="36"/>
      <c r="E1173" s="35"/>
      <c r="F1173" s="36"/>
      <c r="G1173" s="37"/>
      <c r="H1173" s="38"/>
      <c r="I1173" s="39"/>
    </row>
    <row r="1174">
      <c r="A1174" s="33"/>
      <c r="B1174" s="34"/>
      <c r="C1174" s="35"/>
      <c r="D1174" s="36"/>
      <c r="E1174" s="35"/>
      <c r="F1174" s="36"/>
      <c r="G1174" s="37"/>
      <c r="H1174" s="38"/>
      <c r="I1174" s="39"/>
    </row>
    <row r="1175">
      <c r="A1175" s="33"/>
      <c r="B1175" s="34"/>
      <c r="C1175" s="35"/>
      <c r="D1175" s="36"/>
      <c r="E1175" s="35"/>
      <c r="F1175" s="36"/>
      <c r="G1175" s="37"/>
      <c r="H1175" s="38"/>
      <c r="I1175" s="39"/>
    </row>
    <row r="1176">
      <c r="A1176" s="33"/>
      <c r="B1176" s="34"/>
      <c r="C1176" s="35"/>
      <c r="D1176" s="36"/>
      <c r="E1176" s="35"/>
      <c r="F1176" s="36"/>
      <c r="G1176" s="37"/>
      <c r="H1176" s="38"/>
      <c r="I1176" s="39"/>
    </row>
    <row r="1177">
      <c r="A1177" s="33"/>
      <c r="B1177" s="34"/>
      <c r="C1177" s="35"/>
      <c r="D1177" s="36"/>
      <c r="E1177" s="35"/>
      <c r="F1177" s="36"/>
      <c r="G1177" s="37"/>
      <c r="H1177" s="38"/>
      <c r="I1177" s="39"/>
    </row>
    <row r="1178">
      <c r="A1178" s="33"/>
      <c r="B1178" s="34"/>
      <c r="C1178" s="35"/>
      <c r="D1178" s="36"/>
      <c r="E1178" s="35"/>
      <c r="F1178" s="36"/>
      <c r="G1178" s="37"/>
      <c r="H1178" s="38"/>
      <c r="I1178" s="39"/>
    </row>
    <row r="1179">
      <c r="A1179" s="33"/>
      <c r="B1179" s="34"/>
      <c r="C1179" s="35"/>
      <c r="D1179" s="36"/>
      <c r="E1179" s="35"/>
      <c r="F1179" s="36"/>
      <c r="G1179" s="37"/>
      <c r="H1179" s="38"/>
      <c r="I1179" s="39"/>
    </row>
    <row r="1180">
      <c r="A1180" s="33"/>
      <c r="B1180" s="34"/>
      <c r="C1180" s="35"/>
      <c r="D1180" s="36"/>
      <c r="E1180" s="35"/>
      <c r="F1180" s="36"/>
      <c r="G1180" s="37"/>
      <c r="H1180" s="38"/>
      <c r="I1180" s="39"/>
    </row>
    <row r="1181">
      <c r="A1181" s="33"/>
      <c r="B1181" s="34"/>
      <c r="C1181" s="35"/>
      <c r="D1181" s="36"/>
      <c r="E1181" s="35"/>
      <c r="F1181" s="36"/>
      <c r="G1181" s="37"/>
      <c r="H1181" s="38"/>
      <c r="I1181" s="39"/>
    </row>
    <row r="1182">
      <c r="A1182" s="33"/>
      <c r="B1182" s="34"/>
      <c r="C1182" s="35"/>
      <c r="D1182" s="36"/>
      <c r="E1182" s="35"/>
      <c r="F1182" s="36"/>
      <c r="G1182" s="37"/>
      <c r="H1182" s="38"/>
      <c r="I1182" s="39"/>
    </row>
    <row r="1183">
      <c r="A1183" s="33"/>
      <c r="B1183" s="34"/>
      <c r="C1183" s="35"/>
      <c r="D1183" s="36"/>
      <c r="E1183" s="35"/>
      <c r="F1183" s="36"/>
      <c r="G1183" s="37"/>
      <c r="H1183" s="38"/>
      <c r="I1183" s="39"/>
    </row>
    <row r="1184">
      <c r="A1184" s="33"/>
      <c r="B1184" s="34"/>
      <c r="C1184" s="35"/>
      <c r="D1184" s="36"/>
      <c r="E1184" s="35"/>
      <c r="F1184" s="36"/>
      <c r="G1184" s="37"/>
      <c r="H1184" s="38"/>
      <c r="I1184" s="39"/>
    </row>
    <row r="1185">
      <c r="A1185" s="33"/>
      <c r="B1185" s="34"/>
      <c r="C1185" s="35"/>
      <c r="D1185" s="36"/>
      <c r="E1185" s="35"/>
      <c r="F1185" s="36"/>
      <c r="G1185" s="37"/>
      <c r="H1185" s="38"/>
      <c r="I1185" s="39"/>
    </row>
    <row r="1186">
      <c r="A1186" s="33"/>
      <c r="B1186" s="34"/>
      <c r="C1186" s="35"/>
      <c r="D1186" s="36"/>
      <c r="E1186" s="35"/>
      <c r="F1186" s="36"/>
      <c r="G1186" s="37"/>
      <c r="H1186" s="38"/>
      <c r="I1186" s="39"/>
    </row>
    <row r="1187">
      <c r="A1187" s="33"/>
      <c r="B1187" s="34"/>
      <c r="C1187" s="35"/>
      <c r="D1187" s="36"/>
      <c r="E1187" s="35"/>
      <c r="F1187" s="36"/>
      <c r="G1187" s="37"/>
      <c r="H1187" s="38"/>
      <c r="I1187" s="39"/>
    </row>
    <row r="1188">
      <c r="A1188" s="33"/>
      <c r="B1188" s="34"/>
      <c r="C1188" s="35"/>
      <c r="D1188" s="36"/>
      <c r="E1188" s="35"/>
      <c r="F1188" s="36"/>
      <c r="G1188" s="37"/>
      <c r="H1188" s="38"/>
      <c r="I1188" s="39"/>
    </row>
    <row r="1189">
      <c r="A1189" s="33"/>
      <c r="B1189" s="34"/>
      <c r="C1189" s="35"/>
      <c r="D1189" s="36"/>
      <c r="E1189" s="35"/>
      <c r="F1189" s="36"/>
      <c r="G1189" s="37"/>
      <c r="H1189" s="38"/>
      <c r="I1189" s="39"/>
    </row>
    <row r="1190">
      <c r="A1190" s="33"/>
      <c r="B1190" s="34"/>
      <c r="C1190" s="35"/>
      <c r="D1190" s="36"/>
      <c r="E1190" s="35"/>
      <c r="F1190" s="36"/>
      <c r="G1190" s="37"/>
      <c r="H1190" s="38"/>
      <c r="I1190" s="39"/>
    </row>
    <row r="1191">
      <c r="A1191" s="33"/>
      <c r="B1191" s="34"/>
      <c r="C1191" s="35"/>
      <c r="D1191" s="36"/>
      <c r="E1191" s="35"/>
      <c r="F1191" s="36"/>
      <c r="G1191" s="37"/>
      <c r="H1191" s="38"/>
      <c r="I1191" s="39"/>
    </row>
    <row r="1192">
      <c r="A1192" s="33"/>
      <c r="B1192" s="34"/>
      <c r="C1192" s="35"/>
      <c r="D1192" s="36"/>
      <c r="E1192" s="35"/>
      <c r="F1192" s="36"/>
      <c r="G1192" s="37"/>
      <c r="H1192" s="38"/>
      <c r="I1192" s="39"/>
    </row>
    <row r="1193">
      <c r="A1193" s="33"/>
      <c r="B1193" s="34"/>
      <c r="C1193" s="35"/>
      <c r="D1193" s="36"/>
      <c r="E1193" s="35"/>
      <c r="F1193" s="36"/>
      <c r="G1193" s="37"/>
      <c r="H1193" s="38"/>
      <c r="I1193" s="39"/>
    </row>
    <row r="1194">
      <c r="A1194" s="33"/>
      <c r="B1194" s="34"/>
      <c r="C1194" s="35"/>
      <c r="D1194" s="36"/>
      <c r="E1194" s="35"/>
      <c r="F1194" s="36"/>
      <c r="G1194" s="37"/>
      <c r="H1194" s="38"/>
      <c r="I1194" s="39"/>
    </row>
    <row r="1195">
      <c r="A1195" s="33"/>
      <c r="B1195" s="34"/>
      <c r="C1195" s="35"/>
      <c r="D1195" s="36"/>
      <c r="E1195" s="35"/>
      <c r="F1195" s="36"/>
      <c r="G1195" s="37"/>
      <c r="H1195" s="38"/>
      <c r="I1195" s="39"/>
    </row>
    <row r="1196">
      <c r="A1196" s="33"/>
      <c r="B1196" s="34"/>
      <c r="C1196" s="35"/>
      <c r="D1196" s="36"/>
      <c r="E1196" s="35"/>
      <c r="F1196" s="36"/>
      <c r="G1196" s="37"/>
      <c r="H1196" s="38"/>
      <c r="I1196" s="39"/>
    </row>
    <row r="1197">
      <c r="A1197" s="33"/>
      <c r="B1197" s="34"/>
      <c r="C1197" s="35"/>
      <c r="D1197" s="36"/>
      <c r="E1197" s="35"/>
      <c r="F1197" s="36"/>
      <c r="G1197" s="37"/>
      <c r="H1197" s="38"/>
      <c r="I1197" s="39"/>
    </row>
    <row r="1198">
      <c r="A1198" s="33"/>
      <c r="B1198" s="34"/>
      <c r="C1198" s="35"/>
      <c r="D1198" s="36"/>
      <c r="E1198" s="35"/>
      <c r="F1198" s="36"/>
      <c r="G1198" s="37"/>
      <c r="H1198" s="38"/>
      <c r="I1198" s="39"/>
    </row>
    <row r="1199">
      <c r="A1199" s="33"/>
      <c r="B1199" s="34"/>
      <c r="C1199" s="35"/>
      <c r="D1199" s="36"/>
      <c r="E1199" s="35"/>
      <c r="F1199" s="36"/>
      <c r="G1199" s="37"/>
      <c r="H1199" s="38"/>
      <c r="I1199" s="39"/>
    </row>
    <row r="1200">
      <c r="A1200" s="33"/>
      <c r="B1200" s="34"/>
      <c r="C1200" s="35"/>
      <c r="D1200" s="36"/>
      <c r="E1200" s="35"/>
      <c r="F1200" s="36"/>
      <c r="G1200" s="37"/>
      <c r="H1200" s="38"/>
      <c r="I1200" s="39"/>
    </row>
    <row r="1201">
      <c r="A1201" s="33"/>
      <c r="B1201" s="34"/>
      <c r="C1201" s="35"/>
      <c r="D1201" s="36"/>
      <c r="E1201" s="35"/>
      <c r="F1201" s="36"/>
      <c r="G1201" s="37"/>
      <c r="H1201" s="38"/>
      <c r="I1201" s="39"/>
    </row>
    <row r="1202">
      <c r="A1202" s="33"/>
      <c r="B1202" s="34"/>
      <c r="C1202" s="35"/>
      <c r="D1202" s="36"/>
      <c r="E1202" s="35"/>
      <c r="F1202" s="36"/>
      <c r="G1202" s="37"/>
      <c r="H1202" s="38"/>
      <c r="I1202" s="39"/>
    </row>
    <row r="1203">
      <c r="A1203" s="33"/>
      <c r="B1203" s="34"/>
      <c r="C1203" s="35"/>
      <c r="D1203" s="36"/>
      <c r="E1203" s="35"/>
      <c r="F1203" s="36"/>
      <c r="G1203" s="37"/>
      <c r="H1203" s="38"/>
      <c r="I1203" s="39"/>
    </row>
    <row r="1204">
      <c r="A1204" s="33"/>
      <c r="B1204" s="34"/>
      <c r="C1204" s="35"/>
      <c r="D1204" s="36"/>
      <c r="E1204" s="35"/>
      <c r="F1204" s="36"/>
      <c r="G1204" s="37"/>
      <c r="H1204" s="38"/>
      <c r="I1204" s="39"/>
    </row>
    <row r="1205">
      <c r="A1205" s="33"/>
      <c r="B1205" s="34"/>
      <c r="C1205" s="35"/>
      <c r="D1205" s="36"/>
      <c r="E1205" s="35"/>
      <c r="F1205" s="36"/>
      <c r="G1205" s="37"/>
      <c r="H1205" s="38"/>
      <c r="I1205" s="39"/>
    </row>
    <row r="1206">
      <c r="A1206" s="33"/>
      <c r="B1206" s="34"/>
      <c r="C1206" s="35"/>
      <c r="D1206" s="36"/>
      <c r="E1206" s="35"/>
      <c r="F1206" s="36"/>
      <c r="G1206" s="37"/>
      <c r="H1206" s="38"/>
      <c r="I1206" s="39"/>
    </row>
    <row r="1207">
      <c r="A1207" s="33"/>
      <c r="B1207" s="34"/>
      <c r="C1207" s="35"/>
      <c r="D1207" s="36"/>
      <c r="E1207" s="35"/>
      <c r="F1207" s="36"/>
      <c r="G1207" s="37"/>
      <c r="H1207" s="38"/>
      <c r="I1207" s="39"/>
    </row>
    <row r="1208">
      <c r="A1208" s="33"/>
      <c r="B1208" s="34"/>
      <c r="C1208" s="35"/>
      <c r="D1208" s="36"/>
      <c r="E1208" s="35"/>
      <c r="F1208" s="36"/>
      <c r="G1208" s="37"/>
      <c r="H1208" s="38"/>
      <c r="I1208" s="39"/>
    </row>
    <row r="1209">
      <c r="A1209" s="33"/>
      <c r="B1209" s="34"/>
      <c r="C1209" s="35"/>
      <c r="D1209" s="36"/>
      <c r="E1209" s="35"/>
      <c r="F1209" s="36"/>
      <c r="G1209" s="37"/>
      <c r="H1209" s="38"/>
      <c r="I1209" s="39"/>
    </row>
    <row r="1210">
      <c r="A1210" s="33"/>
      <c r="B1210" s="34"/>
      <c r="C1210" s="35"/>
      <c r="D1210" s="36"/>
      <c r="E1210" s="35"/>
      <c r="F1210" s="36"/>
      <c r="G1210" s="37"/>
      <c r="H1210" s="38"/>
      <c r="I1210" s="39"/>
    </row>
    <row r="1211">
      <c r="A1211" s="33"/>
      <c r="B1211" s="34"/>
      <c r="C1211" s="35"/>
      <c r="D1211" s="36"/>
      <c r="E1211" s="35"/>
      <c r="F1211" s="36"/>
      <c r="G1211" s="37"/>
      <c r="H1211" s="38"/>
      <c r="I1211" s="39"/>
    </row>
    <row r="1212">
      <c r="A1212" s="33"/>
      <c r="B1212" s="34"/>
      <c r="C1212" s="35"/>
      <c r="D1212" s="36"/>
      <c r="E1212" s="35"/>
      <c r="F1212" s="36"/>
      <c r="G1212" s="37"/>
      <c r="H1212" s="38"/>
      <c r="I1212" s="39"/>
    </row>
    <row r="1213">
      <c r="A1213" s="33"/>
      <c r="B1213" s="34"/>
      <c r="C1213" s="35"/>
      <c r="D1213" s="36"/>
      <c r="E1213" s="35"/>
      <c r="F1213" s="36"/>
      <c r="G1213" s="37"/>
      <c r="H1213" s="38"/>
      <c r="I1213" s="39"/>
    </row>
    <row r="1214">
      <c r="A1214" s="33"/>
      <c r="B1214" s="34"/>
      <c r="C1214" s="35"/>
      <c r="D1214" s="36"/>
      <c r="E1214" s="35"/>
      <c r="F1214" s="36"/>
      <c r="G1214" s="37"/>
      <c r="H1214" s="38"/>
      <c r="I1214" s="39"/>
    </row>
    <row r="1215">
      <c r="A1215" s="33"/>
      <c r="B1215" s="34"/>
      <c r="C1215" s="35"/>
      <c r="D1215" s="36"/>
      <c r="E1215" s="35"/>
      <c r="F1215" s="36"/>
      <c r="G1215" s="37"/>
      <c r="H1215" s="38"/>
      <c r="I1215" s="39"/>
    </row>
    <row r="1216">
      <c r="A1216" s="33"/>
      <c r="B1216" s="34"/>
      <c r="C1216" s="35"/>
      <c r="D1216" s="36"/>
      <c r="E1216" s="35"/>
      <c r="F1216" s="36"/>
      <c r="G1216" s="37"/>
      <c r="H1216" s="38"/>
      <c r="I1216" s="39"/>
    </row>
    <row r="1217">
      <c r="A1217" s="33"/>
      <c r="B1217" s="34"/>
      <c r="C1217" s="35"/>
      <c r="D1217" s="36"/>
      <c r="E1217" s="35"/>
      <c r="F1217" s="36"/>
      <c r="G1217" s="37"/>
      <c r="H1217" s="38"/>
      <c r="I1217" s="39"/>
    </row>
    <row r="1218">
      <c r="A1218" s="33"/>
      <c r="B1218" s="34"/>
      <c r="C1218" s="35"/>
      <c r="D1218" s="36"/>
      <c r="E1218" s="35"/>
      <c r="F1218" s="36"/>
      <c r="G1218" s="37"/>
      <c r="H1218" s="38"/>
      <c r="I1218" s="39"/>
    </row>
    <row r="1219">
      <c r="A1219" s="33"/>
      <c r="B1219" s="34"/>
      <c r="C1219" s="35"/>
      <c r="D1219" s="36"/>
      <c r="E1219" s="35"/>
      <c r="F1219" s="36"/>
      <c r="G1219" s="37"/>
      <c r="H1219" s="38"/>
      <c r="I1219" s="39"/>
    </row>
    <row r="1220">
      <c r="A1220" s="33"/>
      <c r="B1220" s="34"/>
      <c r="C1220" s="35"/>
      <c r="D1220" s="36"/>
      <c r="E1220" s="35"/>
      <c r="F1220" s="36"/>
      <c r="G1220" s="37"/>
      <c r="H1220" s="38"/>
      <c r="I1220" s="39"/>
    </row>
    <row r="1221">
      <c r="A1221" s="33"/>
      <c r="B1221" s="34"/>
      <c r="C1221" s="35"/>
      <c r="D1221" s="36"/>
      <c r="E1221" s="35"/>
      <c r="F1221" s="36"/>
      <c r="G1221" s="37"/>
      <c r="H1221" s="38"/>
      <c r="I1221" s="39"/>
    </row>
    <row r="1222">
      <c r="A1222" s="33"/>
      <c r="B1222" s="34"/>
      <c r="C1222" s="35"/>
      <c r="D1222" s="36"/>
      <c r="E1222" s="35"/>
      <c r="F1222" s="36"/>
      <c r="G1222" s="37"/>
      <c r="H1222" s="38"/>
      <c r="I1222" s="39"/>
    </row>
    <row r="1223">
      <c r="A1223" s="33"/>
      <c r="B1223" s="34"/>
      <c r="C1223" s="35"/>
      <c r="D1223" s="36"/>
      <c r="E1223" s="35"/>
      <c r="F1223" s="36"/>
      <c r="G1223" s="37"/>
      <c r="H1223" s="38"/>
      <c r="I1223" s="39"/>
    </row>
    <row r="1224">
      <c r="A1224" s="33"/>
      <c r="B1224" s="34"/>
      <c r="C1224" s="35"/>
      <c r="D1224" s="36"/>
      <c r="E1224" s="35"/>
      <c r="F1224" s="36"/>
      <c r="G1224" s="37"/>
      <c r="H1224" s="38"/>
      <c r="I1224" s="39"/>
    </row>
    <row r="1225">
      <c r="A1225" s="33"/>
      <c r="B1225" s="34"/>
      <c r="C1225" s="35"/>
      <c r="D1225" s="36"/>
      <c r="E1225" s="35"/>
      <c r="F1225" s="36"/>
      <c r="G1225" s="37"/>
      <c r="H1225" s="38"/>
      <c r="I1225" s="39"/>
    </row>
    <row r="1226">
      <c r="A1226" s="33"/>
      <c r="B1226" s="34"/>
      <c r="C1226" s="35"/>
      <c r="D1226" s="36"/>
      <c r="E1226" s="35"/>
      <c r="F1226" s="36"/>
      <c r="G1226" s="37"/>
      <c r="H1226" s="38"/>
      <c r="I1226" s="39"/>
    </row>
    <row r="1227">
      <c r="A1227" s="33"/>
      <c r="B1227" s="34"/>
      <c r="C1227" s="35"/>
      <c r="D1227" s="36"/>
      <c r="E1227" s="35"/>
      <c r="F1227" s="36"/>
      <c r="G1227" s="37"/>
      <c r="H1227" s="38"/>
      <c r="I1227" s="39"/>
    </row>
    <row r="1228">
      <c r="A1228" s="33"/>
      <c r="B1228" s="34"/>
      <c r="C1228" s="35"/>
      <c r="D1228" s="36"/>
      <c r="E1228" s="35"/>
      <c r="F1228" s="36"/>
      <c r="G1228" s="37"/>
      <c r="H1228" s="38"/>
      <c r="I1228" s="39"/>
    </row>
    <row r="1229">
      <c r="A1229" s="33"/>
      <c r="B1229" s="34"/>
      <c r="C1229" s="35"/>
      <c r="D1229" s="36"/>
      <c r="E1229" s="35"/>
      <c r="F1229" s="36"/>
      <c r="G1229" s="37"/>
      <c r="H1229" s="38"/>
      <c r="I1229" s="39"/>
    </row>
    <row r="1230">
      <c r="A1230" s="33"/>
      <c r="B1230" s="34"/>
      <c r="C1230" s="35"/>
      <c r="D1230" s="36"/>
      <c r="E1230" s="35"/>
      <c r="F1230" s="36"/>
      <c r="G1230" s="37"/>
      <c r="H1230" s="38"/>
      <c r="I1230" s="39"/>
    </row>
    <row r="1231">
      <c r="A1231" s="33"/>
      <c r="B1231" s="34"/>
      <c r="C1231" s="35"/>
      <c r="D1231" s="36"/>
      <c r="E1231" s="35"/>
      <c r="F1231" s="36"/>
      <c r="G1231" s="37"/>
      <c r="H1231" s="38"/>
      <c r="I1231" s="39"/>
    </row>
    <row r="1232">
      <c r="A1232" s="33"/>
      <c r="B1232" s="34"/>
      <c r="C1232" s="35"/>
      <c r="D1232" s="36"/>
      <c r="E1232" s="35"/>
      <c r="F1232" s="36"/>
      <c r="G1232" s="37"/>
      <c r="H1232" s="38"/>
      <c r="I1232" s="39"/>
    </row>
    <row r="1233">
      <c r="A1233" s="33"/>
      <c r="B1233" s="34"/>
      <c r="C1233" s="35"/>
      <c r="D1233" s="36"/>
      <c r="E1233" s="35"/>
      <c r="F1233" s="36"/>
      <c r="G1233" s="37"/>
      <c r="H1233" s="38"/>
      <c r="I1233" s="39"/>
    </row>
    <row r="1234">
      <c r="A1234" s="33"/>
      <c r="B1234" s="34"/>
      <c r="C1234" s="35"/>
      <c r="D1234" s="36"/>
      <c r="E1234" s="35"/>
      <c r="F1234" s="36"/>
      <c r="G1234" s="37"/>
      <c r="H1234" s="38"/>
      <c r="I1234" s="39"/>
    </row>
    <row r="1235">
      <c r="A1235" s="33"/>
      <c r="B1235" s="34"/>
      <c r="C1235" s="35"/>
      <c r="D1235" s="36"/>
      <c r="E1235" s="35"/>
      <c r="F1235" s="36"/>
      <c r="G1235" s="37"/>
      <c r="H1235" s="38"/>
      <c r="I1235" s="39"/>
    </row>
    <row r="1236">
      <c r="A1236" s="33"/>
      <c r="B1236" s="34"/>
      <c r="C1236" s="35"/>
      <c r="D1236" s="36"/>
      <c r="E1236" s="35"/>
      <c r="F1236" s="36"/>
      <c r="G1236" s="37"/>
      <c r="H1236" s="38"/>
      <c r="I1236" s="39"/>
    </row>
    <row r="1237">
      <c r="A1237" s="33"/>
      <c r="B1237" s="34"/>
      <c r="C1237" s="35"/>
      <c r="D1237" s="36"/>
      <c r="E1237" s="35"/>
      <c r="F1237" s="36"/>
      <c r="G1237" s="37"/>
      <c r="H1237" s="38"/>
      <c r="I1237" s="39"/>
    </row>
    <row r="1238">
      <c r="A1238" s="33"/>
      <c r="B1238" s="34"/>
      <c r="C1238" s="35"/>
      <c r="D1238" s="36"/>
      <c r="E1238" s="35"/>
      <c r="F1238" s="36"/>
      <c r="G1238" s="37"/>
      <c r="H1238" s="38"/>
      <c r="I1238" s="39"/>
    </row>
    <row r="1239">
      <c r="A1239" s="33"/>
      <c r="B1239" s="34"/>
      <c r="C1239" s="35"/>
      <c r="D1239" s="36"/>
      <c r="E1239" s="35"/>
      <c r="F1239" s="36"/>
      <c r="G1239" s="37"/>
      <c r="H1239" s="38"/>
      <c r="I1239" s="39"/>
    </row>
    <row r="1240">
      <c r="A1240" s="33"/>
      <c r="B1240" s="34"/>
      <c r="C1240" s="35"/>
      <c r="D1240" s="36"/>
      <c r="E1240" s="35"/>
      <c r="F1240" s="36"/>
      <c r="G1240" s="37"/>
      <c r="H1240" s="38"/>
      <c r="I1240" s="39"/>
    </row>
    <row r="1241">
      <c r="A1241" s="33"/>
      <c r="B1241" s="34"/>
      <c r="C1241" s="35"/>
      <c r="D1241" s="36"/>
      <c r="E1241" s="35"/>
      <c r="F1241" s="36"/>
      <c r="G1241" s="37"/>
      <c r="H1241" s="38"/>
      <c r="I1241" s="39"/>
    </row>
    <row r="1242">
      <c r="A1242" s="33"/>
      <c r="B1242" s="34"/>
      <c r="C1242" s="35"/>
      <c r="D1242" s="36"/>
      <c r="E1242" s="35"/>
      <c r="F1242" s="36"/>
      <c r="G1242" s="37"/>
      <c r="H1242" s="38"/>
      <c r="I1242" s="39"/>
    </row>
    <row r="1243">
      <c r="A1243" s="33"/>
      <c r="B1243" s="34"/>
      <c r="C1243" s="35"/>
      <c r="D1243" s="36"/>
      <c r="E1243" s="35"/>
      <c r="F1243" s="36"/>
      <c r="G1243" s="37"/>
      <c r="H1243" s="38"/>
      <c r="I1243" s="39"/>
    </row>
    <row r="1244">
      <c r="A1244" s="33"/>
      <c r="B1244" s="34"/>
      <c r="C1244" s="35"/>
      <c r="D1244" s="36"/>
      <c r="E1244" s="35"/>
      <c r="F1244" s="36"/>
      <c r="G1244" s="37"/>
      <c r="H1244" s="38"/>
      <c r="I1244" s="39"/>
    </row>
    <row r="1245">
      <c r="A1245" s="33"/>
      <c r="B1245" s="34"/>
      <c r="C1245" s="35"/>
      <c r="D1245" s="36"/>
      <c r="E1245" s="35"/>
      <c r="F1245" s="36"/>
      <c r="G1245" s="37"/>
      <c r="H1245" s="38"/>
      <c r="I1245" s="39"/>
    </row>
    <row r="1246">
      <c r="A1246" s="33"/>
      <c r="B1246" s="34"/>
      <c r="C1246" s="35"/>
      <c r="D1246" s="36"/>
      <c r="E1246" s="35"/>
      <c r="F1246" s="36"/>
      <c r="G1246" s="37"/>
      <c r="H1246" s="38"/>
      <c r="I1246" s="39"/>
    </row>
    <row r="1247">
      <c r="A1247" s="33"/>
      <c r="B1247" s="34"/>
      <c r="C1247" s="35"/>
      <c r="D1247" s="36"/>
      <c r="E1247" s="35"/>
      <c r="F1247" s="36"/>
      <c r="G1247" s="37"/>
      <c r="H1247" s="38"/>
      <c r="I1247" s="39"/>
    </row>
    <row r="1248">
      <c r="A1248" s="33"/>
      <c r="B1248" s="34"/>
      <c r="C1248" s="35"/>
      <c r="D1248" s="36"/>
      <c r="E1248" s="35"/>
      <c r="F1248" s="36"/>
      <c r="G1248" s="37"/>
      <c r="H1248" s="38"/>
      <c r="I1248" s="39"/>
    </row>
    <row r="1249">
      <c r="A1249" s="33"/>
      <c r="B1249" s="34"/>
      <c r="C1249" s="35"/>
      <c r="D1249" s="36"/>
      <c r="E1249" s="35"/>
      <c r="F1249" s="36"/>
      <c r="G1249" s="37"/>
      <c r="H1249" s="38"/>
      <c r="I1249" s="39"/>
    </row>
    <row r="1250">
      <c r="A1250" s="33"/>
      <c r="B1250" s="34"/>
      <c r="C1250" s="35"/>
      <c r="D1250" s="36"/>
      <c r="E1250" s="35"/>
      <c r="F1250" s="36"/>
      <c r="G1250" s="37"/>
      <c r="H1250" s="38"/>
      <c r="I1250" s="39"/>
    </row>
    <row r="1251">
      <c r="A1251" s="33"/>
      <c r="B1251" s="34"/>
      <c r="C1251" s="35"/>
      <c r="D1251" s="36"/>
      <c r="E1251" s="35"/>
      <c r="F1251" s="36"/>
      <c r="G1251" s="37"/>
      <c r="H1251" s="38"/>
      <c r="I1251" s="39"/>
    </row>
    <row r="1252">
      <c r="A1252" s="33"/>
      <c r="B1252" s="34"/>
      <c r="C1252" s="35"/>
      <c r="D1252" s="36"/>
      <c r="E1252" s="35"/>
      <c r="F1252" s="36"/>
      <c r="G1252" s="37"/>
      <c r="H1252" s="38"/>
      <c r="I1252" s="39"/>
    </row>
    <row r="1253">
      <c r="A1253" s="33"/>
      <c r="B1253" s="34"/>
      <c r="C1253" s="35"/>
      <c r="D1253" s="36"/>
      <c r="E1253" s="35"/>
      <c r="F1253" s="36"/>
      <c r="G1253" s="37"/>
      <c r="H1253" s="38"/>
      <c r="I1253" s="39"/>
    </row>
    <row r="1254">
      <c r="A1254" s="33"/>
      <c r="B1254" s="34"/>
      <c r="C1254" s="35"/>
      <c r="D1254" s="36"/>
      <c r="E1254" s="35"/>
      <c r="F1254" s="36"/>
      <c r="G1254" s="37"/>
      <c r="H1254" s="38"/>
      <c r="I1254" s="39"/>
    </row>
    <row r="1255">
      <c r="A1255" s="33"/>
      <c r="B1255" s="34"/>
      <c r="C1255" s="35"/>
      <c r="D1255" s="36"/>
      <c r="E1255" s="35"/>
      <c r="F1255" s="36"/>
      <c r="G1255" s="37"/>
      <c r="H1255" s="38"/>
      <c r="I1255" s="39"/>
    </row>
    <row r="1256">
      <c r="A1256" s="33"/>
      <c r="B1256" s="34"/>
      <c r="C1256" s="35"/>
      <c r="D1256" s="36"/>
      <c r="E1256" s="35"/>
      <c r="F1256" s="36"/>
      <c r="G1256" s="37"/>
      <c r="H1256" s="38"/>
      <c r="I1256" s="39"/>
    </row>
    <row r="1257">
      <c r="A1257" s="33"/>
      <c r="B1257" s="34"/>
      <c r="C1257" s="35"/>
      <c r="D1257" s="36"/>
      <c r="E1257" s="35"/>
      <c r="F1257" s="36"/>
      <c r="G1257" s="37"/>
      <c r="H1257" s="38"/>
      <c r="I1257" s="39"/>
    </row>
    <row r="1258">
      <c r="A1258" s="33"/>
      <c r="B1258" s="34"/>
      <c r="C1258" s="35"/>
      <c r="D1258" s="36"/>
      <c r="E1258" s="35"/>
      <c r="F1258" s="36"/>
      <c r="G1258" s="37"/>
      <c r="H1258" s="38"/>
      <c r="I1258" s="39"/>
    </row>
    <row r="1259">
      <c r="A1259" s="33"/>
      <c r="B1259" s="34"/>
      <c r="C1259" s="35"/>
      <c r="D1259" s="36"/>
      <c r="E1259" s="35"/>
      <c r="F1259" s="36"/>
      <c r="G1259" s="37"/>
      <c r="H1259" s="38"/>
      <c r="I1259" s="39"/>
    </row>
    <row r="1260">
      <c r="A1260" s="33"/>
      <c r="B1260" s="34"/>
      <c r="C1260" s="35"/>
      <c r="D1260" s="36"/>
      <c r="E1260" s="35"/>
      <c r="F1260" s="36"/>
      <c r="G1260" s="37"/>
      <c r="H1260" s="38"/>
      <c r="I1260" s="39"/>
    </row>
    <row r="1261">
      <c r="A1261" s="33"/>
      <c r="B1261" s="34"/>
      <c r="C1261" s="35"/>
      <c r="D1261" s="36"/>
      <c r="E1261" s="35"/>
      <c r="F1261" s="36"/>
      <c r="G1261" s="37"/>
      <c r="H1261" s="38"/>
      <c r="I1261" s="39"/>
    </row>
    <row r="1262">
      <c r="A1262" s="33"/>
      <c r="B1262" s="34"/>
      <c r="C1262" s="35"/>
      <c r="D1262" s="36"/>
      <c r="E1262" s="35"/>
      <c r="F1262" s="36"/>
      <c r="G1262" s="37"/>
      <c r="H1262" s="38"/>
      <c r="I1262" s="39"/>
    </row>
    <row r="1263">
      <c r="A1263" s="33"/>
      <c r="B1263" s="34"/>
      <c r="C1263" s="35"/>
      <c r="D1263" s="36"/>
      <c r="E1263" s="35"/>
      <c r="F1263" s="36"/>
      <c r="G1263" s="37"/>
      <c r="H1263" s="38"/>
      <c r="I1263" s="39"/>
    </row>
    <row r="1264">
      <c r="A1264" s="33"/>
      <c r="B1264" s="34"/>
      <c r="C1264" s="35"/>
      <c r="D1264" s="36"/>
      <c r="E1264" s="35"/>
      <c r="F1264" s="36"/>
      <c r="G1264" s="37"/>
      <c r="H1264" s="38"/>
      <c r="I1264" s="39"/>
    </row>
    <row r="1265">
      <c r="A1265" s="33"/>
      <c r="B1265" s="34"/>
      <c r="C1265" s="35"/>
      <c r="D1265" s="36"/>
      <c r="E1265" s="35"/>
      <c r="F1265" s="36"/>
      <c r="G1265" s="37"/>
      <c r="H1265" s="38"/>
      <c r="I1265" s="39"/>
    </row>
    <row r="1266">
      <c r="A1266" s="33"/>
      <c r="B1266" s="34"/>
      <c r="C1266" s="35"/>
      <c r="D1266" s="36"/>
      <c r="E1266" s="35"/>
      <c r="F1266" s="36"/>
      <c r="G1266" s="37"/>
      <c r="H1266" s="38"/>
      <c r="I1266" s="39"/>
    </row>
    <row r="1267">
      <c r="A1267" s="33"/>
      <c r="B1267" s="34"/>
      <c r="C1267" s="35"/>
      <c r="D1267" s="36"/>
      <c r="E1267" s="35"/>
      <c r="F1267" s="36"/>
      <c r="G1267" s="37"/>
      <c r="H1267" s="38"/>
      <c r="I1267" s="39"/>
    </row>
    <row r="1268">
      <c r="A1268" s="33"/>
      <c r="B1268" s="34"/>
      <c r="C1268" s="35"/>
      <c r="D1268" s="36"/>
      <c r="E1268" s="35"/>
      <c r="F1268" s="36"/>
      <c r="G1268" s="37"/>
      <c r="H1268" s="38"/>
      <c r="I1268" s="39"/>
    </row>
    <row r="1269">
      <c r="A1269" s="33"/>
      <c r="B1269" s="34"/>
      <c r="C1269" s="35"/>
      <c r="D1269" s="36"/>
      <c r="E1269" s="35"/>
      <c r="F1269" s="36"/>
      <c r="G1269" s="37"/>
      <c r="H1269" s="38"/>
      <c r="I1269" s="39"/>
    </row>
    <row r="1270">
      <c r="A1270" s="33"/>
      <c r="B1270" s="34"/>
      <c r="C1270" s="35"/>
      <c r="D1270" s="36"/>
      <c r="E1270" s="35"/>
      <c r="F1270" s="36"/>
      <c r="G1270" s="37"/>
      <c r="H1270" s="38"/>
      <c r="I1270" s="39"/>
    </row>
    <row r="1271">
      <c r="A1271" s="33"/>
      <c r="B1271" s="34"/>
      <c r="C1271" s="35"/>
      <c r="D1271" s="36"/>
      <c r="E1271" s="35"/>
      <c r="F1271" s="36"/>
      <c r="G1271" s="37"/>
      <c r="H1271" s="38"/>
      <c r="I1271" s="39"/>
    </row>
    <row r="1272">
      <c r="A1272" s="33"/>
      <c r="B1272" s="34"/>
      <c r="C1272" s="35"/>
      <c r="D1272" s="36"/>
      <c r="E1272" s="35"/>
      <c r="F1272" s="36"/>
      <c r="G1272" s="37"/>
      <c r="H1272" s="38"/>
      <c r="I1272" s="39"/>
    </row>
    <row r="1273">
      <c r="A1273" s="33"/>
      <c r="B1273" s="34"/>
      <c r="C1273" s="35"/>
      <c r="D1273" s="36"/>
      <c r="E1273" s="35"/>
      <c r="F1273" s="36"/>
      <c r="G1273" s="37"/>
      <c r="H1273" s="38"/>
      <c r="I1273" s="39"/>
    </row>
    <row r="1274">
      <c r="A1274" s="33"/>
      <c r="B1274" s="34"/>
      <c r="C1274" s="35"/>
      <c r="D1274" s="36"/>
      <c r="E1274" s="35"/>
      <c r="F1274" s="36"/>
      <c r="G1274" s="37"/>
      <c r="H1274" s="38"/>
      <c r="I1274" s="39"/>
    </row>
    <row r="1275">
      <c r="A1275" s="33"/>
      <c r="B1275" s="34"/>
      <c r="C1275" s="35"/>
      <c r="D1275" s="36"/>
      <c r="E1275" s="35"/>
      <c r="F1275" s="36"/>
      <c r="G1275" s="37"/>
      <c r="H1275" s="38"/>
      <c r="I1275" s="39"/>
    </row>
    <row r="1276">
      <c r="A1276" s="33"/>
      <c r="B1276" s="34"/>
      <c r="C1276" s="35"/>
      <c r="D1276" s="36"/>
      <c r="E1276" s="35"/>
      <c r="F1276" s="36"/>
      <c r="G1276" s="37"/>
      <c r="H1276" s="38"/>
      <c r="I1276" s="39"/>
    </row>
    <row r="1277">
      <c r="A1277" s="33"/>
      <c r="B1277" s="34"/>
      <c r="C1277" s="35"/>
      <c r="D1277" s="36"/>
      <c r="E1277" s="35"/>
      <c r="F1277" s="36"/>
      <c r="G1277" s="37"/>
      <c r="H1277" s="38"/>
      <c r="I1277" s="39"/>
    </row>
    <row r="1278">
      <c r="A1278" s="33"/>
      <c r="B1278" s="34"/>
      <c r="C1278" s="35"/>
      <c r="D1278" s="36"/>
      <c r="E1278" s="35"/>
      <c r="F1278" s="36"/>
      <c r="G1278" s="37"/>
      <c r="H1278" s="38"/>
      <c r="I1278" s="39"/>
    </row>
    <row r="1279">
      <c r="A1279" s="33"/>
      <c r="B1279" s="34"/>
      <c r="C1279" s="35"/>
      <c r="D1279" s="36"/>
      <c r="E1279" s="35"/>
      <c r="F1279" s="36"/>
      <c r="G1279" s="37"/>
      <c r="H1279" s="38"/>
      <c r="I1279" s="39"/>
    </row>
    <row r="1280">
      <c r="A1280" s="33"/>
      <c r="B1280" s="34"/>
      <c r="C1280" s="35"/>
      <c r="D1280" s="36"/>
      <c r="E1280" s="35"/>
      <c r="F1280" s="36"/>
      <c r="G1280" s="37"/>
      <c r="H1280" s="38"/>
      <c r="I1280" s="39"/>
    </row>
    <row r="1281">
      <c r="A1281" s="33"/>
      <c r="B1281" s="34"/>
      <c r="C1281" s="35"/>
      <c r="D1281" s="36"/>
      <c r="E1281" s="35"/>
      <c r="F1281" s="36"/>
      <c r="G1281" s="37"/>
      <c r="H1281" s="38"/>
      <c r="I1281" s="39"/>
    </row>
    <row r="1282">
      <c r="A1282" s="33"/>
      <c r="B1282" s="34"/>
      <c r="C1282" s="35"/>
      <c r="D1282" s="36"/>
      <c r="E1282" s="35"/>
      <c r="F1282" s="36"/>
      <c r="G1282" s="37"/>
      <c r="H1282" s="38"/>
      <c r="I1282" s="39"/>
    </row>
    <row r="1283">
      <c r="A1283" s="33"/>
      <c r="B1283" s="34"/>
      <c r="C1283" s="35"/>
      <c r="D1283" s="36"/>
      <c r="E1283" s="35"/>
      <c r="F1283" s="36"/>
      <c r="G1283" s="37"/>
      <c r="H1283" s="38"/>
      <c r="I1283" s="39"/>
    </row>
    <row r="1284">
      <c r="A1284" s="33"/>
      <c r="B1284" s="34"/>
      <c r="C1284" s="35"/>
      <c r="D1284" s="36"/>
      <c r="E1284" s="35"/>
      <c r="F1284" s="36"/>
      <c r="G1284" s="37"/>
      <c r="H1284" s="38"/>
      <c r="I1284" s="39"/>
    </row>
    <row r="1285">
      <c r="A1285" s="33"/>
      <c r="B1285" s="34"/>
      <c r="C1285" s="35"/>
      <c r="D1285" s="36"/>
      <c r="E1285" s="35"/>
      <c r="F1285" s="36"/>
      <c r="G1285" s="37"/>
      <c r="H1285" s="38"/>
      <c r="I1285" s="39"/>
    </row>
    <row r="1286">
      <c r="A1286" s="33"/>
      <c r="B1286" s="34"/>
      <c r="C1286" s="35"/>
      <c r="D1286" s="36"/>
      <c r="E1286" s="35"/>
      <c r="F1286" s="36"/>
      <c r="G1286" s="37"/>
      <c r="H1286" s="38"/>
      <c r="I1286" s="39"/>
    </row>
    <row r="1287">
      <c r="A1287" s="33"/>
      <c r="B1287" s="34"/>
      <c r="C1287" s="35"/>
      <c r="D1287" s="36"/>
      <c r="E1287" s="35"/>
      <c r="F1287" s="36"/>
      <c r="G1287" s="37"/>
      <c r="H1287" s="38"/>
      <c r="I1287" s="39"/>
    </row>
    <row r="1288">
      <c r="A1288" s="33"/>
      <c r="B1288" s="34"/>
      <c r="C1288" s="35"/>
      <c r="D1288" s="36"/>
      <c r="E1288" s="35"/>
      <c r="F1288" s="36"/>
      <c r="G1288" s="37"/>
      <c r="H1288" s="38"/>
      <c r="I1288" s="39"/>
    </row>
    <row r="1289">
      <c r="A1289" s="33"/>
      <c r="B1289" s="34"/>
      <c r="C1289" s="35"/>
      <c r="D1289" s="36"/>
      <c r="E1289" s="35"/>
      <c r="F1289" s="36"/>
      <c r="G1289" s="37"/>
      <c r="H1289" s="38"/>
      <c r="I1289" s="39"/>
    </row>
    <row r="1290">
      <c r="A1290" s="33"/>
      <c r="B1290" s="34"/>
      <c r="C1290" s="35"/>
      <c r="D1290" s="36"/>
      <c r="E1290" s="35"/>
      <c r="F1290" s="36"/>
      <c r="G1290" s="37"/>
      <c r="H1290" s="38"/>
      <c r="I1290" s="39"/>
    </row>
    <row r="1291">
      <c r="A1291" s="33"/>
      <c r="B1291" s="34"/>
      <c r="C1291" s="35"/>
      <c r="D1291" s="36"/>
      <c r="E1291" s="35"/>
      <c r="F1291" s="36"/>
      <c r="G1291" s="37"/>
      <c r="H1291" s="38"/>
      <c r="I1291" s="39"/>
    </row>
    <row r="1292">
      <c r="A1292" s="33"/>
      <c r="B1292" s="34"/>
      <c r="C1292" s="35"/>
      <c r="D1292" s="36"/>
      <c r="E1292" s="35"/>
      <c r="F1292" s="36"/>
      <c r="G1292" s="37"/>
      <c r="H1292" s="38"/>
      <c r="I1292" s="39"/>
    </row>
    <row r="1293">
      <c r="A1293" s="33"/>
      <c r="B1293" s="34"/>
      <c r="C1293" s="35"/>
      <c r="D1293" s="36"/>
      <c r="E1293" s="35"/>
      <c r="F1293" s="36"/>
      <c r="G1293" s="37"/>
      <c r="H1293" s="38"/>
      <c r="I1293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2.86"/>
    <col customWidth="1" min="5" max="5" width="8.29"/>
    <col customWidth="1" min="6" max="6" width="25.43"/>
    <col customWidth="1" min="7" max="7" width="12.57"/>
    <col customWidth="1" min="8" max="8" width="21.71"/>
    <col customWidth="1" min="9" max="10" width="15.57"/>
  </cols>
  <sheetData>
    <row r="1">
      <c r="A1" s="40" t="s">
        <v>438</v>
      </c>
      <c r="B1" s="41" t="s">
        <v>1</v>
      </c>
      <c r="C1" s="40" t="s">
        <v>406</v>
      </c>
      <c r="D1" s="40" t="s">
        <v>3</v>
      </c>
      <c r="E1" s="40" t="s">
        <v>439</v>
      </c>
      <c r="F1" s="40" t="s">
        <v>440</v>
      </c>
      <c r="G1" s="41" t="s">
        <v>6</v>
      </c>
      <c r="H1" s="40" t="s">
        <v>408</v>
      </c>
      <c r="I1" s="40" t="s">
        <v>8</v>
      </c>
      <c r="J1" s="42" t="s">
        <v>9</v>
      </c>
    </row>
    <row r="2">
      <c r="A2" s="43" t="s">
        <v>11</v>
      </c>
      <c r="B2" s="6" t="s">
        <v>12</v>
      </c>
      <c r="C2" s="7" t="s">
        <v>13</v>
      </c>
      <c r="D2" s="5">
        <v>1.0</v>
      </c>
      <c r="E2" s="7" t="s">
        <v>441</v>
      </c>
      <c r="F2" s="5" t="s">
        <v>442</v>
      </c>
      <c r="G2" s="14" t="s">
        <v>443</v>
      </c>
      <c r="H2" s="44" t="s">
        <v>420</v>
      </c>
      <c r="I2" s="31" t="s">
        <v>19</v>
      </c>
      <c r="J2" s="32">
        <v>1.0104644E7</v>
      </c>
    </row>
    <row r="3">
      <c r="A3" s="43" t="s">
        <v>11</v>
      </c>
      <c r="B3" s="6" t="s">
        <v>12</v>
      </c>
      <c r="C3" s="7" t="s">
        <v>13</v>
      </c>
      <c r="D3" s="5">
        <v>1.0</v>
      </c>
      <c r="E3" s="7" t="s">
        <v>441</v>
      </c>
      <c r="F3" s="5" t="s">
        <v>442</v>
      </c>
      <c r="G3" s="14" t="s">
        <v>444</v>
      </c>
      <c r="H3" s="44" t="s">
        <v>445</v>
      </c>
      <c r="I3" s="31" t="s">
        <v>19</v>
      </c>
      <c r="J3" s="32">
        <v>224557.0</v>
      </c>
    </row>
    <row r="4">
      <c r="A4" s="43" t="s">
        <v>11</v>
      </c>
      <c r="B4" s="6" t="s">
        <v>12</v>
      </c>
      <c r="C4" s="7" t="s">
        <v>13</v>
      </c>
      <c r="D4" s="5">
        <v>1.0</v>
      </c>
      <c r="E4" s="7" t="s">
        <v>441</v>
      </c>
      <c r="F4" s="5" t="s">
        <v>442</v>
      </c>
      <c r="G4" s="14" t="s">
        <v>446</v>
      </c>
      <c r="H4" s="44" t="s">
        <v>447</v>
      </c>
      <c r="I4" s="31" t="s">
        <v>19</v>
      </c>
      <c r="J4" s="32">
        <v>136530.0</v>
      </c>
    </row>
    <row r="5">
      <c r="A5" s="43" t="s">
        <v>11</v>
      </c>
      <c r="B5" s="6" t="s">
        <v>12</v>
      </c>
      <c r="C5" s="7" t="s">
        <v>13</v>
      </c>
      <c r="D5" s="5">
        <v>1.0</v>
      </c>
      <c r="E5" s="7" t="s">
        <v>441</v>
      </c>
      <c r="F5" s="5" t="s">
        <v>442</v>
      </c>
      <c r="G5" s="14" t="s">
        <v>448</v>
      </c>
      <c r="H5" s="44" t="s">
        <v>449</v>
      </c>
      <c r="I5" s="31" t="s">
        <v>19</v>
      </c>
      <c r="J5" s="32">
        <v>341326.0</v>
      </c>
    </row>
    <row r="6">
      <c r="A6" s="43" t="s">
        <v>11</v>
      </c>
      <c r="B6" s="6" t="s">
        <v>12</v>
      </c>
      <c r="C6" s="7" t="s">
        <v>13</v>
      </c>
      <c r="D6" s="5">
        <v>1.0</v>
      </c>
      <c r="E6" s="7" t="s">
        <v>441</v>
      </c>
      <c r="F6" s="5" t="s">
        <v>442</v>
      </c>
      <c r="G6" s="14" t="s">
        <v>450</v>
      </c>
      <c r="H6" s="44" t="s">
        <v>451</v>
      </c>
      <c r="I6" s="31" t="s">
        <v>19</v>
      </c>
      <c r="J6" s="32">
        <v>0.0</v>
      </c>
    </row>
    <row r="7">
      <c r="A7" s="43" t="s">
        <v>11</v>
      </c>
      <c r="B7" s="6" t="s">
        <v>12</v>
      </c>
      <c r="C7" s="7" t="s">
        <v>13</v>
      </c>
      <c r="D7" s="5">
        <v>1.0</v>
      </c>
      <c r="E7" s="7" t="s">
        <v>441</v>
      </c>
      <c r="F7" s="5" t="s">
        <v>442</v>
      </c>
      <c r="G7" s="14" t="s">
        <v>452</v>
      </c>
      <c r="H7" s="44" t="s">
        <v>453</v>
      </c>
      <c r="I7" s="31" t="s">
        <v>19</v>
      </c>
      <c r="J7" s="32">
        <v>252581.0</v>
      </c>
    </row>
    <row r="8">
      <c r="A8" s="43" t="s">
        <v>11</v>
      </c>
      <c r="B8" s="6" t="s">
        <v>12</v>
      </c>
      <c r="C8" s="7" t="s">
        <v>13</v>
      </c>
      <c r="D8" s="5">
        <v>1.0</v>
      </c>
      <c r="E8" s="7" t="s">
        <v>441</v>
      </c>
      <c r="F8" s="5" t="s">
        <v>442</v>
      </c>
      <c r="G8" s="14" t="s">
        <v>454</v>
      </c>
      <c r="H8" s="44" t="s">
        <v>415</v>
      </c>
      <c r="I8" s="31" t="s">
        <v>19</v>
      </c>
      <c r="J8" s="32">
        <v>36863.0</v>
      </c>
    </row>
    <row r="9">
      <c r="A9" s="43" t="s">
        <v>11</v>
      </c>
      <c r="B9" s="6" t="s">
        <v>12</v>
      </c>
      <c r="C9" s="7" t="s">
        <v>13</v>
      </c>
      <c r="D9" s="5">
        <v>1.0</v>
      </c>
      <c r="E9" s="7" t="s">
        <v>441</v>
      </c>
      <c r="F9" s="5" t="s">
        <v>442</v>
      </c>
      <c r="G9" s="14" t="s">
        <v>455</v>
      </c>
      <c r="H9" s="44" t="s">
        <v>415</v>
      </c>
      <c r="I9" s="31" t="s">
        <v>19</v>
      </c>
      <c r="J9" s="32">
        <v>20480.0</v>
      </c>
    </row>
    <row r="10">
      <c r="A10" s="43" t="s">
        <v>11</v>
      </c>
      <c r="B10" s="6" t="s">
        <v>12</v>
      </c>
      <c r="C10" s="7" t="s">
        <v>13</v>
      </c>
      <c r="D10" s="5">
        <v>1.0</v>
      </c>
      <c r="E10" s="7" t="s">
        <v>456</v>
      </c>
      <c r="F10" s="5" t="s">
        <v>457</v>
      </c>
      <c r="G10" s="14" t="s">
        <v>458</v>
      </c>
      <c r="H10" s="44" t="s">
        <v>411</v>
      </c>
      <c r="I10" s="31" t="s">
        <v>19</v>
      </c>
      <c r="J10" s="32">
        <v>5468500.0</v>
      </c>
    </row>
    <row r="11">
      <c r="A11" s="43" t="s">
        <v>11</v>
      </c>
      <c r="B11" s="6" t="s">
        <v>12</v>
      </c>
      <c r="C11" s="7" t="s">
        <v>13</v>
      </c>
      <c r="D11" s="5">
        <v>1.0</v>
      </c>
      <c r="E11" s="7" t="s">
        <v>459</v>
      </c>
      <c r="F11" s="5" t="s">
        <v>460</v>
      </c>
      <c r="G11" s="14" t="s">
        <v>461</v>
      </c>
      <c r="H11" s="44" t="s">
        <v>462</v>
      </c>
      <c r="I11" s="31" t="s">
        <v>25</v>
      </c>
      <c r="J11" s="32">
        <v>373000.0</v>
      </c>
    </row>
    <row r="12">
      <c r="A12" s="43" t="s">
        <v>11</v>
      </c>
      <c r="B12" s="6" t="s">
        <v>12</v>
      </c>
      <c r="C12" s="7" t="s">
        <v>13</v>
      </c>
      <c r="D12" s="5">
        <v>1.0</v>
      </c>
      <c r="E12" s="7" t="s">
        <v>463</v>
      </c>
      <c r="F12" s="5" t="s">
        <v>464</v>
      </c>
      <c r="G12" s="14" t="s">
        <v>465</v>
      </c>
      <c r="H12" s="44" t="s">
        <v>466</v>
      </c>
      <c r="I12" s="31" t="s">
        <v>25</v>
      </c>
      <c r="J12" s="32">
        <v>3125000.0</v>
      </c>
    </row>
    <row r="13">
      <c r="A13" s="43" t="s">
        <v>11</v>
      </c>
      <c r="B13" s="6" t="s">
        <v>12</v>
      </c>
      <c r="C13" s="7" t="s">
        <v>13</v>
      </c>
      <c r="D13" s="5">
        <v>1.0</v>
      </c>
      <c r="E13" s="7" t="s">
        <v>463</v>
      </c>
      <c r="F13" s="5" t="s">
        <v>464</v>
      </c>
      <c r="G13" s="14" t="s">
        <v>467</v>
      </c>
      <c r="H13" s="44" t="s">
        <v>468</v>
      </c>
      <c r="I13" s="31" t="s">
        <v>25</v>
      </c>
      <c r="J13" s="32">
        <v>50000.0</v>
      </c>
    </row>
    <row r="14">
      <c r="A14" s="43" t="s">
        <v>11</v>
      </c>
      <c r="B14" s="6" t="s">
        <v>12</v>
      </c>
      <c r="C14" s="7" t="s">
        <v>13</v>
      </c>
      <c r="D14" s="5">
        <v>1.0</v>
      </c>
      <c r="E14" s="7" t="s">
        <v>469</v>
      </c>
      <c r="F14" s="5" t="s">
        <v>470</v>
      </c>
      <c r="G14" s="14" t="s">
        <v>471</v>
      </c>
      <c r="H14" s="44" t="s">
        <v>472</v>
      </c>
      <c r="I14" s="31" t="s">
        <v>25</v>
      </c>
      <c r="J14" s="32">
        <v>500000.0</v>
      </c>
    </row>
    <row r="15">
      <c r="A15" s="43" t="s">
        <v>11</v>
      </c>
      <c r="B15" s="6" t="s">
        <v>12</v>
      </c>
      <c r="C15" s="7" t="s">
        <v>13</v>
      </c>
      <c r="D15" s="5">
        <v>1.0</v>
      </c>
      <c r="E15" s="7" t="s">
        <v>473</v>
      </c>
      <c r="F15" s="5" t="s">
        <v>474</v>
      </c>
      <c r="G15" s="14" t="s">
        <v>443</v>
      </c>
      <c r="H15" s="44" t="s">
        <v>420</v>
      </c>
      <c r="I15" s="31" t="s">
        <v>19</v>
      </c>
      <c r="J15" s="32">
        <v>6975000.0</v>
      </c>
    </row>
    <row r="16">
      <c r="A16" s="43" t="s">
        <v>11</v>
      </c>
      <c r="B16" s="6" t="s">
        <v>12</v>
      </c>
      <c r="C16" s="7" t="s">
        <v>13</v>
      </c>
      <c r="D16" s="5">
        <v>1.0</v>
      </c>
      <c r="E16" s="7" t="s">
        <v>473</v>
      </c>
      <c r="F16" s="5" t="s">
        <v>474</v>
      </c>
      <c r="G16" s="14" t="s">
        <v>444</v>
      </c>
      <c r="H16" s="44" t="s">
        <v>445</v>
      </c>
      <c r="I16" s="31" t="s">
        <v>19</v>
      </c>
      <c r="J16" s="32">
        <v>88291.0</v>
      </c>
    </row>
    <row r="17">
      <c r="A17" s="43" t="s">
        <v>11</v>
      </c>
      <c r="B17" s="6" t="s">
        <v>12</v>
      </c>
      <c r="C17" s="7" t="s">
        <v>13</v>
      </c>
      <c r="D17" s="5">
        <v>1.0</v>
      </c>
      <c r="E17" s="7" t="s">
        <v>473</v>
      </c>
      <c r="F17" s="5" t="s">
        <v>474</v>
      </c>
      <c r="G17" s="14" t="s">
        <v>458</v>
      </c>
      <c r="H17" s="44" t="s">
        <v>411</v>
      </c>
      <c r="I17" s="31" t="s">
        <v>19</v>
      </c>
      <c r="J17" s="32">
        <v>3.39047E7</v>
      </c>
    </row>
    <row r="18">
      <c r="A18" s="43" t="s">
        <v>11</v>
      </c>
      <c r="B18" s="6" t="s">
        <v>12</v>
      </c>
      <c r="C18" s="7" t="s">
        <v>13</v>
      </c>
      <c r="D18" s="5">
        <v>1.0</v>
      </c>
      <c r="E18" s="7" t="s">
        <v>475</v>
      </c>
      <c r="F18" s="5" t="s">
        <v>476</v>
      </c>
      <c r="G18" s="14" t="s">
        <v>477</v>
      </c>
      <c r="H18" s="44" t="s">
        <v>429</v>
      </c>
      <c r="I18" s="31" t="s">
        <v>50</v>
      </c>
      <c r="J18" s="32">
        <v>6766136.0</v>
      </c>
    </row>
    <row r="19">
      <c r="A19" s="43" t="s">
        <v>11</v>
      </c>
      <c r="B19" s="6" t="s">
        <v>12</v>
      </c>
      <c r="C19" s="7" t="s">
        <v>13</v>
      </c>
      <c r="D19" s="5">
        <v>1.0</v>
      </c>
      <c r="E19" s="7" t="s">
        <v>478</v>
      </c>
      <c r="F19" s="5" t="s">
        <v>479</v>
      </c>
      <c r="G19" s="14" t="s">
        <v>443</v>
      </c>
      <c r="H19" s="44" t="s">
        <v>420</v>
      </c>
      <c r="I19" s="31" t="s">
        <v>19</v>
      </c>
      <c r="J19" s="32">
        <v>1.5403377E7</v>
      </c>
    </row>
    <row r="20">
      <c r="A20" s="43" t="s">
        <v>11</v>
      </c>
      <c r="B20" s="6" t="s">
        <v>12</v>
      </c>
      <c r="C20" s="7" t="s">
        <v>13</v>
      </c>
      <c r="D20" s="5">
        <v>1.0</v>
      </c>
      <c r="E20" s="7" t="s">
        <v>478</v>
      </c>
      <c r="F20" s="5" t="s">
        <v>479</v>
      </c>
      <c r="G20" s="14" t="s">
        <v>444</v>
      </c>
      <c r="H20" s="44" t="s">
        <v>445</v>
      </c>
      <c r="I20" s="31" t="s">
        <v>19</v>
      </c>
      <c r="J20" s="32">
        <v>2046383.0</v>
      </c>
    </row>
    <row r="21">
      <c r="A21" s="43" t="s">
        <v>11</v>
      </c>
      <c r="B21" s="6" t="s">
        <v>12</v>
      </c>
      <c r="C21" s="7" t="s">
        <v>13</v>
      </c>
      <c r="D21" s="5">
        <v>1.0</v>
      </c>
      <c r="E21" s="7" t="s">
        <v>478</v>
      </c>
      <c r="F21" s="5" t="s">
        <v>479</v>
      </c>
      <c r="G21" s="14" t="s">
        <v>446</v>
      </c>
      <c r="H21" s="44" t="s">
        <v>447</v>
      </c>
      <c r="I21" s="31" t="s">
        <v>19</v>
      </c>
      <c r="J21" s="32">
        <v>208018.0</v>
      </c>
    </row>
    <row r="22">
      <c r="A22" s="43" t="s">
        <v>11</v>
      </c>
      <c r="B22" s="6" t="s">
        <v>12</v>
      </c>
      <c r="C22" s="7" t="s">
        <v>13</v>
      </c>
      <c r="D22" s="5">
        <v>1.0</v>
      </c>
      <c r="E22" s="7" t="s">
        <v>478</v>
      </c>
      <c r="F22" s="5" t="s">
        <v>479</v>
      </c>
      <c r="G22" s="14" t="s">
        <v>448</v>
      </c>
      <c r="H22" s="44" t="s">
        <v>449</v>
      </c>
      <c r="I22" s="31" t="s">
        <v>19</v>
      </c>
      <c r="J22" s="32">
        <v>520046.0</v>
      </c>
    </row>
    <row r="23">
      <c r="A23" s="43" t="s">
        <v>11</v>
      </c>
      <c r="B23" s="6" t="s">
        <v>12</v>
      </c>
      <c r="C23" s="7" t="s">
        <v>13</v>
      </c>
      <c r="D23" s="5">
        <v>1.0</v>
      </c>
      <c r="E23" s="7" t="s">
        <v>478</v>
      </c>
      <c r="F23" s="5" t="s">
        <v>479</v>
      </c>
      <c r="G23" s="14" t="s">
        <v>450</v>
      </c>
      <c r="H23" s="44" t="s">
        <v>451</v>
      </c>
      <c r="I23" s="31" t="s">
        <v>19</v>
      </c>
      <c r="J23" s="32">
        <v>0.0</v>
      </c>
    </row>
    <row r="24">
      <c r="A24" s="43" t="s">
        <v>11</v>
      </c>
      <c r="B24" s="6" t="s">
        <v>12</v>
      </c>
      <c r="C24" s="7" t="s">
        <v>13</v>
      </c>
      <c r="D24" s="5">
        <v>1.0</v>
      </c>
      <c r="E24" s="7" t="s">
        <v>478</v>
      </c>
      <c r="F24" s="5" t="s">
        <v>479</v>
      </c>
      <c r="G24" s="14" t="s">
        <v>452</v>
      </c>
      <c r="H24" s="44" t="s">
        <v>453</v>
      </c>
      <c r="I24" s="31" t="s">
        <v>19</v>
      </c>
      <c r="J24" s="32">
        <v>384834.0</v>
      </c>
    </row>
    <row r="25">
      <c r="A25" s="43" t="s">
        <v>11</v>
      </c>
      <c r="B25" s="6" t="s">
        <v>12</v>
      </c>
      <c r="C25" s="7" t="s">
        <v>13</v>
      </c>
      <c r="D25" s="5">
        <v>1.0</v>
      </c>
      <c r="E25" s="7" t="s">
        <v>478</v>
      </c>
      <c r="F25" s="5" t="s">
        <v>479</v>
      </c>
      <c r="G25" s="14" t="s">
        <v>454</v>
      </c>
      <c r="H25" s="44" t="s">
        <v>415</v>
      </c>
      <c r="I25" s="31" t="s">
        <v>19</v>
      </c>
      <c r="J25" s="32">
        <v>56165.0</v>
      </c>
    </row>
    <row r="26">
      <c r="A26" s="43" t="s">
        <v>11</v>
      </c>
      <c r="B26" s="6" t="s">
        <v>12</v>
      </c>
      <c r="C26" s="7" t="s">
        <v>13</v>
      </c>
      <c r="D26" s="5">
        <v>1.0</v>
      </c>
      <c r="E26" s="7" t="s">
        <v>478</v>
      </c>
      <c r="F26" s="5" t="s">
        <v>479</v>
      </c>
      <c r="G26" s="14" t="s">
        <v>455</v>
      </c>
      <c r="H26" s="44" t="s">
        <v>415</v>
      </c>
      <c r="I26" s="31" t="s">
        <v>19</v>
      </c>
      <c r="J26" s="32">
        <v>31203.0</v>
      </c>
    </row>
    <row r="27">
      <c r="A27" s="43" t="s">
        <v>11</v>
      </c>
      <c r="B27" s="6" t="s">
        <v>12</v>
      </c>
      <c r="C27" s="7" t="s">
        <v>13</v>
      </c>
      <c r="D27" s="5">
        <v>1.0</v>
      </c>
      <c r="E27" s="7" t="s">
        <v>478</v>
      </c>
      <c r="F27" s="5" t="s">
        <v>479</v>
      </c>
      <c r="G27" s="14" t="s">
        <v>480</v>
      </c>
      <c r="H27" s="44" t="s">
        <v>481</v>
      </c>
      <c r="I27" s="31" t="s">
        <v>19</v>
      </c>
      <c r="J27" s="32">
        <v>4680413.0</v>
      </c>
    </row>
    <row r="28">
      <c r="A28" s="43" t="s">
        <v>11</v>
      </c>
      <c r="B28" s="6" t="s">
        <v>32</v>
      </c>
      <c r="C28" s="7" t="s">
        <v>33</v>
      </c>
      <c r="D28" s="5">
        <v>1.0</v>
      </c>
      <c r="E28" s="7" t="s">
        <v>441</v>
      </c>
      <c r="F28" s="5" t="s">
        <v>442</v>
      </c>
      <c r="G28" s="14" t="s">
        <v>443</v>
      </c>
      <c r="H28" s="44" t="s">
        <v>420</v>
      </c>
      <c r="I28" s="31" t="s">
        <v>19</v>
      </c>
      <c r="J28" s="32">
        <v>4.0211698E7</v>
      </c>
    </row>
    <row r="29">
      <c r="A29" s="43" t="s">
        <v>11</v>
      </c>
      <c r="B29" s="6" t="s">
        <v>32</v>
      </c>
      <c r="C29" s="7" t="s">
        <v>33</v>
      </c>
      <c r="D29" s="5">
        <v>1.0</v>
      </c>
      <c r="E29" s="7" t="s">
        <v>441</v>
      </c>
      <c r="F29" s="5" t="s">
        <v>442</v>
      </c>
      <c r="G29" s="14" t="s">
        <v>444</v>
      </c>
      <c r="H29" s="44" t="s">
        <v>445</v>
      </c>
      <c r="I29" s="31" t="s">
        <v>19</v>
      </c>
      <c r="J29" s="32">
        <v>4757737.0</v>
      </c>
    </row>
    <row r="30">
      <c r="A30" s="43" t="s">
        <v>11</v>
      </c>
      <c r="B30" s="6" t="s">
        <v>32</v>
      </c>
      <c r="C30" s="7" t="s">
        <v>33</v>
      </c>
      <c r="D30" s="5">
        <v>1.0</v>
      </c>
      <c r="E30" s="7" t="s">
        <v>441</v>
      </c>
      <c r="F30" s="5" t="s">
        <v>442</v>
      </c>
      <c r="G30" s="14" t="s">
        <v>446</v>
      </c>
      <c r="H30" s="44" t="s">
        <v>447</v>
      </c>
      <c r="I30" s="31" t="s">
        <v>19</v>
      </c>
      <c r="J30" s="32">
        <v>340272.0</v>
      </c>
    </row>
    <row r="31">
      <c r="A31" s="43" t="s">
        <v>11</v>
      </c>
      <c r="B31" s="6" t="s">
        <v>32</v>
      </c>
      <c r="C31" s="7" t="s">
        <v>33</v>
      </c>
      <c r="D31" s="5">
        <v>1.0</v>
      </c>
      <c r="E31" s="7" t="s">
        <v>441</v>
      </c>
      <c r="F31" s="5" t="s">
        <v>442</v>
      </c>
      <c r="G31" s="14" t="s">
        <v>448</v>
      </c>
      <c r="H31" s="44" t="s">
        <v>449</v>
      </c>
      <c r="I31" s="31" t="s">
        <v>19</v>
      </c>
      <c r="J31" s="32">
        <v>923311.0</v>
      </c>
    </row>
    <row r="32">
      <c r="A32" s="43" t="s">
        <v>11</v>
      </c>
      <c r="B32" s="6" t="s">
        <v>32</v>
      </c>
      <c r="C32" s="7" t="s">
        <v>33</v>
      </c>
      <c r="D32" s="5">
        <v>1.0</v>
      </c>
      <c r="E32" s="7" t="s">
        <v>441</v>
      </c>
      <c r="F32" s="5" t="s">
        <v>442</v>
      </c>
      <c r="G32" s="14" t="s">
        <v>450</v>
      </c>
      <c r="H32" s="44" t="s">
        <v>451</v>
      </c>
      <c r="I32" s="31" t="s">
        <v>19</v>
      </c>
      <c r="J32" s="32">
        <v>0.0</v>
      </c>
    </row>
    <row r="33">
      <c r="A33" s="43" t="s">
        <v>11</v>
      </c>
      <c r="B33" s="6" t="s">
        <v>32</v>
      </c>
      <c r="C33" s="7" t="s">
        <v>33</v>
      </c>
      <c r="D33" s="5">
        <v>1.0</v>
      </c>
      <c r="E33" s="7" t="s">
        <v>441</v>
      </c>
      <c r="F33" s="5" t="s">
        <v>442</v>
      </c>
      <c r="G33" s="14" t="s">
        <v>452</v>
      </c>
      <c r="H33" s="44" t="s">
        <v>453</v>
      </c>
      <c r="I33" s="31" t="s">
        <v>19</v>
      </c>
      <c r="J33" s="32">
        <v>758540.0</v>
      </c>
    </row>
    <row r="34">
      <c r="A34" s="43" t="s">
        <v>11</v>
      </c>
      <c r="B34" s="6" t="s">
        <v>32</v>
      </c>
      <c r="C34" s="7" t="s">
        <v>33</v>
      </c>
      <c r="D34" s="5">
        <v>1.0</v>
      </c>
      <c r="E34" s="7" t="s">
        <v>441</v>
      </c>
      <c r="F34" s="5" t="s">
        <v>442</v>
      </c>
      <c r="G34" s="14" t="s">
        <v>454</v>
      </c>
      <c r="H34" s="44" t="s">
        <v>415</v>
      </c>
      <c r="I34" s="31" t="s">
        <v>19</v>
      </c>
      <c r="J34" s="32">
        <v>110706.0</v>
      </c>
    </row>
    <row r="35">
      <c r="A35" s="43" t="s">
        <v>11</v>
      </c>
      <c r="B35" s="6" t="s">
        <v>32</v>
      </c>
      <c r="C35" s="7" t="s">
        <v>33</v>
      </c>
      <c r="D35" s="5">
        <v>1.0</v>
      </c>
      <c r="E35" s="7" t="s">
        <v>441</v>
      </c>
      <c r="F35" s="5" t="s">
        <v>442</v>
      </c>
      <c r="G35" s="14" t="s">
        <v>455</v>
      </c>
      <c r="H35" s="44" t="s">
        <v>415</v>
      </c>
      <c r="I35" s="31" t="s">
        <v>19</v>
      </c>
      <c r="J35" s="32">
        <v>61504.0</v>
      </c>
    </row>
    <row r="36">
      <c r="A36" s="43" t="s">
        <v>11</v>
      </c>
      <c r="B36" s="6" t="s">
        <v>32</v>
      </c>
      <c r="C36" s="7" t="s">
        <v>33</v>
      </c>
      <c r="D36" s="5">
        <v>1.0</v>
      </c>
      <c r="E36" s="7" t="s">
        <v>456</v>
      </c>
      <c r="F36" s="5" t="s">
        <v>457</v>
      </c>
      <c r="G36" s="14" t="s">
        <v>458</v>
      </c>
      <c r="H36" s="44" t="s">
        <v>411</v>
      </c>
      <c r="I36" s="31" t="s">
        <v>19</v>
      </c>
      <c r="J36" s="32">
        <v>7.1515047E7</v>
      </c>
    </row>
    <row r="37">
      <c r="A37" s="43" t="s">
        <v>11</v>
      </c>
      <c r="B37" s="6" t="s">
        <v>32</v>
      </c>
      <c r="C37" s="7" t="s">
        <v>33</v>
      </c>
      <c r="D37" s="5">
        <v>1.0</v>
      </c>
      <c r="E37" s="7" t="s">
        <v>482</v>
      </c>
      <c r="F37" s="5" t="s">
        <v>483</v>
      </c>
      <c r="G37" s="14" t="s">
        <v>484</v>
      </c>
      <c r="H37" s="44" t="s">
        <v>485</v>
      </c>
      <c r="I37" s="31" t="s">
        <v>25</v>
      </c>
      <c r="J37" s="32">
        <v>200000.0</v>
      </c>
    </row>
    <row r="38">
      <c r="A38" s="43" t="s">
        <v>11</v>
      </c>
      <c r="B38" s="6" t="s">
        <v>32</v>
      </c>
      <c r="C38" s="7" t="s">
        <v>33</v>
      </c>
      <c r="D38" s="5">
        <v>1.0</v>
      </c>
      <c r="E38" s="7" t="s">
        <v>459</v>
      </c>
      <c r="F38" s="5" t="s">
        <v>460</v>
      </c>
      <c r="G38" s="14" t="s">
        <v>461</v>
      </c>
      <c r="H38" s="44" t="s">
        <v>462</v>
      </c>
      <c r="I38" s="31" t="s">
        <v>37</v>
      </c>
      <c r="J38" s="32">
        <v>2537600.0</v>
      </c>
    </row>
    <row r="39">
      <c r="A39" s="43" t="s">
        <v>11</v>
      </c>
      <c r="B39" s="6" t="s">
        <v>32</v>
      </c>
      <c r="C39" s="7" t="s">
        <v>33</v>
      </c>
      <c r="D39" s="5">
        <v>1.0</v>
      </c>
      <c r="E39" s="7" t="s">
        <v>459</v>
      </c>
      <c r="F39" s="5" t="s">
        <v>460</v>
      </c>
      <c r="G39" s="14" t="s">
        <v>486</v>
      </c>
      <c r="H39" s="44" t="s">
        <v>432</v>
      </c>
      <c r="I39" s="31" t="s">
        <v>25</v>
      </c>
      <c r="J39" s="32">
        <v>3876000.0</v>
      </c>
    </row>
    <row r="40">
      <c r="A40" s="43" t="s">
        <v>11</v>
      </c>
      <c r="B40" s="6" t="s">
        <v>32</v>
      </c>
      <c r="C40" s="7" t="s">
        <v>33</v>
      </c>
      <c r="D40" s="5">
        <v>1.0</v>
      </c>
      <c r="E40" s="7" t="s">
        <v>463</v>
      </c>
      <c r="F40" s="5" t="s">
        <v>464</v>
      </c>
      <c r="G40" s="14" t="s">
        <v>458</v>
      </c>
      <c r="H40" s="44" t="s">
        <v>411</v>
      </c>
      <c r="I40" s="31" t="s">
        <v>19</v>
      </c>
      <c r="J40" s="32">
        <v>1.5408302E7</v>
      </c>
    </row>
    <row r="41">
      <c r="A41" s="43" t="s">
        <v>11</v>
      </c>
      <c r="B41" s="6" t="s">
        <v>32</v>
      </c>
      <c r="C41" s="7" t="s">
        <v>33</v>
      </c>
      <c r="D41" s="5">
        <v>1.0</v>
      </c>
      <c r="E41" s="7" t="s">
        <v>487</v>
      </c>
      <c r="F41" s="5" t="s">
        <v>488</v>
      </c>
      <c r="G41" s="14" t="s">
        <v>489</v>
      </c>
      <c r="H41" s="44" t="s">
        <v>490</v>
      </c>
      <c r="I41" s="31" t="s">
        <v>37</v>
      </c>
      <c r="J41" s="32">
        <v>8632000.0</v>
      </c>
    </row>
    <row r="42">
      <c r="A42" s="43" t="s">
        <v>11</v>
      </c>
      <c r="B42" s="6" t="s">
        <v>32</v>
      </c>
      <c r="C42" s="7" t="s">
        <v>33</v>
      </c>
      <c r="D42" s="5">
        <v>1.0</v>
      </c>
      <c r="E42" s="7" t="s">
        <v>487</v>
      </c>
      <c r="F42" s="5" t="s">
        <v>488</v>
      </c>
      <c r="G42" s="14" t="s">
        <v>489</v>
      </c>
      <c r="H42" s="44" t="s">
        <v>490</v>
      </c>
      <c r="I42" s="31" t="s">
        <v>25</v>
      </c>
      <c r="J42" s="32">
        <v>4800000.0</v>
      </c>
    </row>
    <row r="43">
      <c r="A43" s="43" t="s">
        <v>11</v>
      </c>
      <c r="B43" s="6" t="s">
        <v>32</v>
      </c>
      <c r="C43" s="7" t="s">
        <v>33</v>
      </c>
      <c r="D43" s="5">
        <v>1.0</v>
      </c>
      <c r="E43" s="7" t="s">
        <v>469</v>
      </c>
      <c r="F43" s="5" t="s">
        <v>470</v>
      </c>
      <c r="G43" s="14" t="s">
        <v>471</v>
      </c>
      <c r="H43" s="44" t="s">
        <v>472</v>
      </c>
      <c r="I43" s="31" t="s">
        <v>25</v>
      </c>
      <c r="J43" s="32">
        <v>1617500.0</v>
      </c>
    </row>
    <row r="44">
      <c r="A44" s="43" t="s">
        <v>11</v>
      </c>
      <c r="B44" s="6" t="s">
        <v>32</v>
      </c>
      <c r="C44" s="7" t="s">
        <v>33</v>
      </c>
      <c r="D44" s="5">
        <v>1.0</v>
      </c>
      <c r="E44" s="7" t="s">
        <v>473</v>
      </c>
      <c r="F44" s="5" t="s">
        <v>474</v>
      </c>
      <c r="G44" s="14" t="s">
        <v>443</v>
      </c>
      <c r="H44" s="44" t="s">
        <v>420</v>
      </c>
      <c r="I44" s="31" t="s">
        <v>19</v>
      </c>
      <c r="J44" s="32">
        <v>6975000.0</v>
      </c>
    </row>
    <row r="45">
      <c r="A45" s="43" t="s">
        <v>11</v>
      </c>
      <c r="B45" s="6" t="s">
        <v>32</v>
      </c>
      <c r="C45" s="7" t="s">
        <v>33</v>
      </c>
      <c r="D45" s="5">
        <v>1.0</v>
      </c>
      <c r="E45" s="7" t="s">
        <v>473</v>
      </c>
      <c r="F45" s="5" t="s">
        <v>474</v>
      </c>
      <c r="G45" s="14" t="s">
        <v>444</v>
      </c>
      <c r="H45" s="44" t="s">
        <v>445</v>
      </c>
      <c r="I45" s="31" t="s">
        <v>19</v>
      </c>
      <c r="J45" s="32">
        <v>88291.0</v>
      </c>
    </row>
    <row r="46">
      <c r="A46" s="43" t="s">
        <v>11</v>
      </c>
      <c r="B46" s="6" t="s">
        <v>32</v>
      </c>
      <c r="C46" s="7" t="s">
        <v>33</v>
      </c>
      <c r="D46" s="5">
        <v>1.0</v>
      </c>
      <c r="E46" s="7" t="s">
        <v>473</v>
      </c>
      <c r="F46" s="5" t="s">
        <v>474</v>
      </c>
      <c r="G46" s="14" t="s">
        <v>458</v>
      </c>
      <c r="H46" s="44" t="s">
        <v>411</v>
      </c>
      <c r="I46" s="31" t="s">
        <v>19</v>
      </c>
      <c r="J46" s="32">
        <v>7.1787258E7</v>
      </c>
    </row>
    <row r="47">
      <c r="A47" s="43" t="s">
        <v>11</v>
      </c>
      <c r="B47" s="6" t="s">
        <v>32</v>
      </c>
      <c r="C47" s="7" t="s">
        <v>33</v>
      </c>
      <c r="D47" s="5">
        <v>1.0</v>
      </c>
      <c r="E47" s="7" t="s">
        <v>473</v>
      </c>
      <c r="F47" s="5" t="s">
        <v>474</v>
      </c>
      <c r="G47" s="14" t="s">
        <v>477</v>
      </c>
      <c r="H47" s="44" t="s">
        <v>429</v>
      </c>
      <c r="I47" s="31" t="s">
        <v>50</v>
      </c>
      <c r="J47" s="32">
        <v>2417857.0</v>
      </c>
    </row>
    <row r="48">
      <c r="A48" s="43" t="s">
        <v>11</v>
      </c>
      <c r="B48" s="6" t="s">
        <v>32</v>
      </c>
      <c r="C48" s="7" t="s">
        <v>33</v>
      </c>
      <c r="D48" s="5">
        <v>1.0</v>
      </c>
      <c r="E48" s="7" t="s">
        <v>491</v>
      </c>
      <c r="F48" s="5" t="s">
        <v>492</v>
      </c>
      <c r="G48" s="14" t="s">
        <v>493</v>
      </c>
      <c r="H48" s="44" t="s">
        <v>437</v>
      </c>
      <c r="I48" s="31" t="s">
        <v>25</v>
      </c>
      <c r="J48" s="32">
        <v>1048000.0</v>
      </c>
    </row>
    <row r="49">
      <c r="A49" s="43" t="s">
        <v>11</v>
      </c>
      <c r="B49" s="6" t="s">
        <v>32</v>
      </c>
      <c r="C49" s="7" t="s">
        <v>33</v>
      </c>
      <c r="D49" s="5">
        <v>1.0</v>
      </c>
      <c r="E49" s="7" t="s">
        <v>494</v>
      </c>
      <c r="F49" s="5" t="s">
        <v>495</v>
      </c>
      <c r="G49" s="14" t="s">
        <v>496</v>
      </c>
      <c r="H49" s="44" t="s">
        <v>497</v>
      </c>
      <c r="I49" s="31" t="s">
        <v>25</v>
      </c>
      <c r="J49" s="32">
        <v>748000.0</v>
      </c>
    </row>
    <row r="50">
      <c r="A50" s="43" t="s">
        <v>11</v>
      </c>
      <c r="B50" s="6" t="s">
        <v>32</v>
      </c>
      <c r="C50" s="7" t="s">
        <v>33</v>
      </c>
      <c r="D50" s="5">
        <v>1.0</v>
      </c>
      <c r="E50" s="7" t="s">
        <v>475</v>
      </c>
      <c r="F50" s="5" t="s">
        <v>476</v>
      </c>
      <c r="G50" s="14" t="s">
        <v>498</v>
      </c>
      <c r="H50" s="44" t="s">
        <v>434</v>
      </c>
      <c r="I50" s="31" t="s">
        <v>25</v>
      </c>
      <c r="J50" s="32">
        <v>900000.0</v>
      </c>
    </row>
    <row r="51">
      <c r="A51" s="43" t="s">
        <v>11</v>
      </c>
      <c r="B51" s="6" t="s">
        <v>32</v>
      </c>
      <c r="C51" s="7" t="s">
        <v>33</v>
      </c>
      <c r="D51" s="5">
        <v>1.0</v>
      </c>
      <c r="E51" s="7" t="s">
        <v>475</v>
      </c>
      <c r="F51" s="5" t="s">
        <v>476</v>
      </c>
      <c r="G51" s="14" t="s">
        <v>477</v>
      </c>
      <c r="H51" s="44" t="s">
        <v>429</v>
      </c>
      <c r="I51" s="31" t="s">
        <v>50</v>
      </c>
      <c r="J51" s="32">
        <v>3.2276702E7</v>
      </c>
    </row>
    <row r="52">
      <c r="A52" s="43" t="s">
        <v>11</v>
      </c>
      <c r="B52" s="6" t="s">
        <v>32</v>
      </c>
      <c r="C52" s="7" t="s">
        <v>33</v>
      </c>
      <c r="D52" s="5">
        <v>1.0</v>
      </c>
      <c r="E52" s="7" t="s">
        <v>478</v>
      </c>
      <c r="F52" s="5" t="s">
        <v>479</v>
      </c>
      <c r="G52" s="14" t="s">
        <v>443</v>
      </c>
      <c r="H52" s="44" t="s">
        <v>420</v>
      </c>
      <c r="I52" s="31" t="s">
        <v>19</v>
      </c>
      <c r="J52" s="32">
        <v>5.5224678E7</v>
      </c>
    </row>
    <row r="53">
      <c r="A53" s="43" t="s">
        <v>11</v>
      </c>
      <c r="B53" s="6" t="s">
        <v>32</v>
      </c>
      <c r="C53" s="7" t="s">
        <v>33</v>
      </c>
      <c r="D53" s="5">
        <v>1.0</v>
      </c>
      <c r="E53" s="7" t="s">
        <v>478</v>
      </c>
      <c r="F53" s="5" t="s">
        <v>479</v>
      </c>
      <c r="G53" s="14" t="s">
        <v>444</v>
      </c>
      <c r="H53" s="44" t="s">
        <v>445</v>
      </c>
      <c r="I53" s="31" t="s">
        <v>19</v>
      </c>
      <c r="J53" s="32">
        <v>3169505.0</v>
      </c>
    </row>
    <row r="54">
      <c r="A54" s="43" t="s">
        <v>11</v>
      </c>
      <c r="B54" s="6" t="s">
        <v>32</v>
      </c>
      <c r="C54" s="7" t="s">
        <v>33</v>
      </c>
      <c r="D54" s="5">
        <v>1.0</v>
      </c>
      <c r="E54" s="7" t="s">
        <v>478</v>
      </c>
      <c r="F54" s="5" t="s">
        <v>479</v>
      </c>
      <c r="G54" s="14" t="s">
        <v>446</v>
      </c>
      <c r="H54" s="44" t="s">
        <v>447</v>
      </c>
      <c r="I54" s="31" t="s">
        <v>19</v>
      </c>
      <c r="J54" s="32">
        <v>623151.0</v>
      </c>
    </row>
    <row r="55">
      <c r="A55" s="43" t="s">
        <v>11</v>
      </c>
      <c r="B55" s="6" t="s">
        <v>32</v>
      </c>
      <c r="C55" s="7" t="s">
        <v>33</v>
      </c>
      <c r="D55" s="5">
        <v>1.0</v>
      </c>
      <c r="E55" s="7" t="s">
        <v>478</v>
      </c>
      <c r="F55" s="5" t="s">
        <v>479</v>
      </c>
      <c r="G55" s="14" t="s">
        <v>448</v>
      </c>
      <c r="H55" s="44" t="s">
        <v>449</v>
      </c>
      <c r="I55" s="31" t="s">
        <v>19</v>
      </c>
      <c r="J55" s="32">
        <v>1614546.0</v>
      </c>
    </row>
    <row r="56">
      <c r="A56" s="43" t="s">
        <v>11</v>
      </c>
      <c r="B56" s="6" t="s">
        <v>32</v>
      </c>
      <c r="C56" s="7" t="s">
        <v>33</v>
      </c>
      <c r="D56" s="5">
        <v>1.0</v>
      </c>
      <c r="E56" s="7" t="s">
        <v>478</v>
      </c>
      <c r="F56" s="5" t="s">
        <v>479</v>
      </c>
      <c r="G56" s="14" t="s">
        <v>450</v>
      </c>
      <c r="H56" s="44" t="s">
        <v>451</v>
      </c>
      <c r="I56" s="31" t="s">
        <v>19</v>
      </c>
      <c r="J56" s="32">
        <v>0.0</v>
      </c>
    </row>
    <row r="57">
      <c r="A57" s="43" t="s">
        <v>11</v>
      </c>
      <c r="B57" s="6" t="s">
        <v>32</v>
      </c>
      <c r="C57" s="7" t="s">
        <v>33</v>
      </c>
      <c r="D57" s="5">
        <v>1.0</v>
      </c>
      <c r="E57" s="7" t="s">
        <v>478</v>
      </c>
      <c r="F57" s="5" t="s">
        <v>479</v>
      </c>
      <c r="G57" s="14" t="s">
        <v>452</v>
      </c>
      <c r="H57" s="44" t="s">
        <v>453</v>
      </c>
      <c r="I57" s="31" t="s">
        <v>19</v>
      </c>
      <c r="J57" s="32">
        <v>1194764.0</v>
      </c>
    </row>
    <row r="58">
      <c r="A58" s="43" t="s">
        <v>11</v>
      </c>
      <c r="B58" s="6" t="s">
        <v>32</v>
      </c>
      <c r="C58" s="7" t="s">
        <v>33</v>
      </c>
      <c r="D58" s="5">
        <v>1.0</v>
      </c>
      <c r="E58" s="7" t="s">
        <v>478</v>
      </c>
      <c r="F58" s="5" t="s">
        <v>479</v>
      </c>
      <c r="G58" s="14" t="s">
        <v>454</v>
      </c>
      <c r="H58" s="44" t="s">
        <v>415</v>
      </c>
      <c r="I58" s="31" t="s">
        <v>19</v>
      </c>
      <c r="J58" s="32">
        <v>174370.0</v>
      </c>
    </row>
    <row r="59">
      <c r="A59" s="43" t="s">
        <v>11</v>
      </c>
      <c r="B59" s="6" t="s">
        <v>32</v>
      </c>
      <c r="C59" s="7" t="s">
        <v>33</v>
      </c>
      <c r="D59" s="5">
        <v>1.0</v>
      </c>
      <c r="E59" s="7" t="s">
        <v>478</v>
      </c>
      <c r="F59" s="5" t="s">
        <v>479</v>
      </c>
      <c r="G59" s="14" t="s">
        <v>455</v>
      </c>
      <c r="H59" s="44" t="s">
        <v>415</v>
      </c>
      <c r="I59" s="31" t="s">
        <v>19</v>
      </c>
      <c r="J59" s="32">
        <v>96872.0</v>
      </c>
    </row>
    <row r="60">
      <c r="A60" s="43" t="s">
        <v>11</v>
      </c>
      <c r="B60" s="6" t="s">
        <v>32</v>
      </c>
      <c r="C60" s="7" t="s">
        <v>33</v>
      </c>
      <c r="D60" s="5">
        <v>1.0</v>
      </c>
      <c r="E60" s="7" t="s">
        <v>478</v>
      </c>
      <c r="F60" s="5" t="s">
        <v>479</v>
      </c>
      <c r="G60" s="14" t="s">
        <v>499</v>
      </c>
      <c r="H60" s="44" t="s">
        <v>500</v>
      </c>
      <c r="I60" s="31" t="s">
        <v>19</v>
      </c>
      <c r="J60" s="32">
        <v>5422355.0</v>
      </c>
    </row>
    <row r="61">
      <c r="A61" s="43" t="s">
        <v>11</v>
      </c>
      <c r="B61" s="6" t="s">
        <v>32</v>
      </c>
      <c r="C61" s="7" t="s">
        <v>33</v>
      </c>
      <c r="D61" s="5">
        <v>1.0</v>
      </c>
      <c r="E61" s="7" t="s">
        <v>501</v>
      </c>
      <c r="F61" s="5" t="s">
        <v>502</v>
      </c>
      <c r="G61" s="14" t="s">
        <v>503</v>
      </c>
      <c r="H61" s="44" t="s">
        <v>504</v>
      </c>
      <c r="I61" s="31" t="s">
        <v>60</v>
      </c>
      <c r="J61" s="32">
        <v>2.11541935E8</v>
      </c>
    </row>
    <row r="62">
      <c r="A62" s="43" t="s">
        <v>11</v>
      </c>
      <c r="B62" s="6" t="s">
        <v>32</v>
      </c>
      <c r="C62" s="7" t="s">
        <v>33</v>
      </c>
      <c r="D62" s="5">
        <v>1.0</v>
      </c>
      <c r="E62" s="7" t="s">
        <v>501</v>
      </c>
      <c r="F62" s="5" t="s">
        <v>502</v>
      </c>
      <c r="G62" s="14" t="s">
        <v>505</v>
      </c>
      <c r="H62" s="44" t="s">
        <v>506</v>
      </c>
      <c r="I62" s="31" t="s">
        <v>60</v>
      </c>
      <c r="J62" s="32">
        <v>2.0819374E7</v>
      </c>
    </row>
    <row r="63">
      <c r="A63" s="43" t="s">
        <v>11</v>
      </c>
      <c r="B63" s="6" t="s">
        <v>32</v>
      </c>
      <c r="C63" s="7" t="s">
        <v>33</v>
      </c>
      <c r="D63" s="5">
        <v>1.0</v>
      </c>
      <c r="E63" s="7" t="s">
        <v>501</v>
      </c>
      <c r="F63" s="5" t="s">
        <v>502</v>
      </c>
      <c r="G63" s="14" t="s">
        <v>507</v>
      </c>
      <c r="H63" s="44" t="s">
        <v>508</v>
      </c>
      <c r="I63" s="31" t="s">
        <v>60</v>
      </c>
      <c r="J63" s="32">
        <v>1773341.0</v>
      </c>
    </row>
    <row r="64">
      <c r="A64" s="43" t="s">
        <v>11</v>
      </c>
      <c r="B64" s="6" t="s">
        <v>32</v>
      </c>
      <c r="C64" s="7" t="s">
        <v>33</v>
      </c>
      <c r="D64" s="5">
        <v>1.0</v>
      </c>
      <c r="E64" s="7" t="s">
        <v>501</v>
      </c>
      <c r="F64" s="5" t="s">
        <v>502</v>
      </c>
      <c r="G64" s="14" t="s">
        <v>509</v>
      </c>
      <c r="H64" s="44" t="s">
        <v>510</v>
      </c>
      <c r="I64" s="31" t="s">
        <v>60</v>
      </c>
      <c r="J64" s="32">
        <v>133333.0</v>
      </c>
    </row>
    <row r="65">
      <c r="A65" s="43" t="s">
        <v>11</v>
      </c>
      <c r="B65" s="6" t="s">
        <v>32</v>
      </c>
      <c r="C65" s="7" t="s">
        <v>33</v>
      </c>
      <c r="D65" s="5">
        <v>1.0</v>
      </c>
      <c r="E65" s="7" t="s">
        <v>501</v>
      </c>
      <c r="F65" s="5" t="s">
        <v>502</v>
      </c>
      <c r="G65" s="14" t="s">
        <v>511</v>
      </c>
      <c r="H65" s="44" t="s">
        <v>512</v>
      </c>
      <c r="I65" s="31" t="s">
        <v>60</v>
      </c>
      <c r="J65" s="32">
        <v>5.1768821E7</v>
      </c>
    </row>
    <row r="66">
      <c r="A66" s="43" t="s">
        <v>11</v>
      </c>
      <c r="B66" s="6" t="s">
        <v>32</v>
      </c>
      <c r="C66" s="7" t="s">
        <v>33</v>
      </c>
      <c r="D66" s="5">
        <v>1.0</v>
      </c>
      <c r="E66" s="7" t="s">
        <v>501</v>
      </c>
      <c r="F66" s="5" t="s">
        <v>502</v>
      </c>
      <c r="G66" s="14" t="s">
        <v>513</v>
      </c>
      <c r="H66" s="44" t="s">
        <v>514</v>
      </c>
      <c r="I66" s="31" t="s">
        <v>60</v>
      </c>
      <c r="J66" s="32">
        <v>3931590.0</v>
      </c>
    </row>
    <row r="67">
      <c r="A67" s="43" t="s">
        <v>11</v>
      </c>
      <c r="B67" s="6" t="s">
        <v>66</v>
      </c>
      <c r="C67" s="7" t="s">
        <v>67</v>
      </c>
      <c r="D67" s="5">
        <v>1.0</v>
      </c>
      <c r="E67" s="7" t="s">
        <v>456</v>
      </c>
      <c r="F67" s="5" t="s">
        <v>457</v>
      </c>
      <c r="G67" s="14" t="s">
        <v>458</v>
      </c>
      <c r="H67" s="44" t="s">
        <v>411</v>
      </c>
      <c r="I67" s="31" t="s">
        <v>19</v>
      </c>
      <c r="J67" s="32">
        <v>8539632.0</v>
      </c>
    </row>
    <row r="68">
      <c r="A68" s="43" t="s">
        <v>11</v>
      </c>
      <c r="B68" s="6" t="s">
        <v>66</v>
      </c>
      <c r="C68" s="7" t="s">
        <v>67</v>
      </c>
      <c r="D68" s="5">
        <v>1.0</v>
      </c>
      <c r="E68" s="7" t="s">
        <v>473</v>
      </c>
      <c r="F68" s="5" t="s">
        <v>474</v>
      </c>
      <c r="G68" s="14" t="s">
        <v>458</v>
      </c>
      <c r="H68" s="44" t="s">
        <v>411</v>
      </c>
      <c r="I68" s="31" t="s">
        <v>19</v>
      </c>
      <c r="J68" s="32">
        <v>6508171.0</v>
      </c>
    </row>
    <row r="69">
      <c r="A69" s="43" t="s">
        <v>74</v>
      </c>
      <c r="B69" s="6" t="s">
        <v>75</v>
      </c>
      <c r="C69" s="7" t="s">
        <v>76</v>
      </c>
      <c r="D69" s="5">
        <v>1.0</v>
      </c>
      <c r="E69" s="7" t="s">
        <v>441</v>
      </c>
      <c r="F69" s="5" t="s">
        <v>442</v>
      </c>
      <c r="G69" s="14" t="s">
        <v>443</v>
      </c>
      <c r="H69" s="44" t="s">
        <v>420</v>
      </c>
      <c r="I69" s="31" t="s">
        <v>19</v>
      </c>
      <c r="J69" s="32">
        <v>4.8785528E7</v>
      </c>
    </row>
    <row r="70">
      <c r="A70" s="43" t="s">
        <v>74</v>
      </c>
      <c r="B70" s="6" t="s">
        <v>75</v>
      </c>
      <c r="C70" s="7" t="s">
        <v>76</v>
      </c>
      <c r="D70" s="5">
        <v>1.0</v>
      </c>
      <c r="E70" s="7" t="s">
        <v>441</v>
      </c>
      <c r="F70" s="5" t="s">
        <v>442</v>
      </c>
      <c r="G70" s="14" t="s">
        <v>444</v>
      </c>
      <c r="H70" s="44" t="s">
        <v>445</v>
      </c>
      <c r="I70" s="31" t="s">
        <v>19</v>
      </c>
      <c r="J70" s="32">
        <v>4446422.0</v>
      </c>
    </row>
    <row r="71">
      <c r="A71" s="43" t="s">
        <v>74</v>
      </c>
      <c r="B71" s="6" t="s">
        <v>75</v>
      </c>
      <c r="C71" s="7" t="s">
        <v>76</v>
      </c>
      <c r="D71" s="5">
        <v>1.0</v>
      </c>
      <c r="E71" s="7" t="s">
        <v>441</v>
      </c>
      <c r="F71" s="5" t="s">
        <v>442</v>
      </c>
      <c r="G71" s="14" t="s">
        <v>446</v>
      </c>
      <c r="H71" s="44" t="s">
        <v>447</v>
      </c>
      <c r="I71" s="31" t="s">
        <v>19</v>
      </c>
      <c r="J71" s="32">
        <v>500077.0</v>
      </c>
    </row>
    <row r="72">
      <c r="A72" s="43" t="s">
        <v>74</v>
      </c>
      <c r="B72" s="6" t="s">
        <v>75</v>
      </c>
      <c r="C72" s="7" t="s">
        <v>76</v>
      </c>
      <c r="D72" s="5">
        <v>1.0</v>
      </c>
      <c r="E72" s="7" t="s">
        <v>441</v>
      </c>
      <c r="F72" s="5" t="s">
        <v>442</v>
      </c>
      <c r="G72" s="14" t="s">
        <v>448</v>
      </c>
      <c r="H72" s="44" t="s">
        <v>449</v>
      </c>
      <c r="I72" s="31" t="s">
        <v>19</v>
      </c>
      <c r="J72" s="32">
        <v>1250192.0</v>
      </c>
    </row>
    <row r="73">
      <c r="A73" s="43" t="s">
        <v>74</v>
      </c>
      <c r="B73" s="6" t="s">
        <v>75</v>
      </c>
      <c r="C73" s="7" t="s">
        <v>76</v>
      </c>
      <c r="D73" s="5">
        <v>1.0</v>
      </c>
      <c r="E73" s="7" t="s">
        <v>441</v>
      </c>
      <c r="F73" s="5" t="s">
        <v>442</v>
      </c>
      <c r="G73" s="14" t="s">
        <v>450</v>
      </c>
      <c r="H73" s="44" t="s">
        <v>451</v>
      </c>
      <c r="I73" s="31" t="s">
        <v>19</v>
      </c>
      <c r="J73" s="32">
        <v>0.0</v>
      </c>
    </row>
    <row r="74">
      <c r="A74" s="43" t="s">
        <v>74</v>
      </c>
      <c r="B74" s="6" t="s">
        <v>75</v>
      </c>
      <c r="C74" s="7" t="s">
        <v>76</v>
      </c>
      <c r="D74" s="5">
        <v>1.0</v>
      </c>
      <c r="E74" s="7" t="s">
        <v>441</v>
      </c>
      <c r="F74" s="5" t="s">
        <v>442</v>
      </c>
      <c r="G74" s="14" t="s">
        <v>452</v>
      </c>
      <c r="H74" s="44" t="s">
        <v>453</v>
      </c>
      <c r="I74" s="31" t="s">
        <v>19</v>
      </c>
      <c r="J74" s="32">
        <v>925143.0</v>
      </c>
    </row>
    <row r="75">
      <c r="A75" s="43" t="s">
        <v>74</v>
      </c>
      <c r="B75" s="6" t="s">
        <v>75</v>
      </c>
      <c r="C75" s="7" t="s">
        <v>76</v>
      </c>
      <c r="D75" s="5">
        <v>1.0</v>
      </c>
      <c r="E75" s="7" t="s">
        <v>441</v>
      </c>
      <c r="F75" s="5" t="s">
        <v>442</v>
      </c>
      <c r="G75" s="14" t="s">
        <v>454</v>
      </c>
      <c r="H75" s="44" t="s">
        <v>415</v>
      </c>
      <c r="I75" s="31" t="s">
        <v>19</v>
      </c>
      <c r="J75" s="32">
        <v>135021.0</v>
      </c>
    </row>
    <row r="76">
      <c r="A76" s="43" t="s">
        <v>74</v>
      </c>
      <c r="B76" s="6" t="s">
        <v>75</v>
      </c>
      <c r="C76" s="7" t="s">
        <v>76</v>
      </c>
      <c r="D76" s="5">
        <v>1.0</v>
      </c>
      <c r="E76" s="7" t="s">
        <v>441</v>
      </c>
      <c r="F76" s="5" t="s">
        <v>442</v>
      </c>
      <c r="G76" s="14" t="s">
        <v>455</v>
      </c>
      <c r="H76" s="44" t="s">
        <v>415</v>
      </c>
      <c r="I76" s="31" t="s">
        <v>19</v>
      </c>
      <c r="J76" s="32">
        <v>75011.0</v>
      </c>
    </row>
    <row r="77">
      <c r="A77" s="43" t="s">
        <v>74</v>
      </c>
      <c r="B77" s="6" t="s">
        <v>75</v>
      </c>
      <c r="C77" s="7" t="s">
        <v>76</v>
      </c>
      <c r="D77" s="5">
        <v>1.0</v>
      </c>
      <c r="E77" s="7" t="s">
        <v>456</v>
      </c>
      <c r="F77" s="5" t="s">
        <v>457</v>
      </c>
      <c r="G77" s="14" t="s">
        <v>515</v>
      </c>
      <c r="H77" s="44" t="s">
        <v>413</v>
      </c>
      <c r="I77" s="31" t="s">
        <v>19</v>
      </c>
      <c r="J77" s="32">
        <v>4000000.0</v>
      </c>
    </row>
    <row r="78">
      <c r="A78" s="43" t="s">
        <v>74</v>
      </c>
      <c r="B78" s="6" t="s">
        <v>75</v>
      </c>
      <c r="C78" s="7" t="s">
        <v>76</v>
      </c>
      <c r="D78" s="5">
        <v>1.0</v>
      </c>
      <c r="E78" s="7" t="s">
        <v>456</v>
      </c>
      <c r="F78" s="5" t="s">
        <v>457</v>
      </c>
      <c r="G78" s="14" t="s">
        <v>516</v>
      </c>
      <c r="H78" s="44" t="s">
        <v>436</v>
      </c>
      <c r="I78" s="31" t="s">
        <v>25</v>
      </c>
      <c r="J78" s="32">
        <v>2000000.0</v>
      </c>
    </row>
    <row r="79">
      <c r="A79" s="43" t="s">
        <v>74</v>
      </c>
      <c r="B79" s="6" t="s">
        <v>75</v>
      </c>
      <c r="C79" s="7" t="s">
        <v>76</v>
      </c>
      <c r="D79" s="5">
        <v>1.0</v>
      </c>
      <c r="E79" s="7" t="s">
        <v>456</v>
      </c>
      <c r="F79" s="5" t="s">
        <v>457</v>
      </c>
      <c r="G79" s="14" t="s">
        <v>517</v>
      </c>
      <c r="H79" s="44" t="s">
        <v>518</v>
      </c>
      <c r="I79" s="31" t="s">
        <v>25</v>
      </c>
      <c r="J79" s="32">
        <v>0.0</v>
      </c>
    </row>
    <row r="80">
      <c r="A80" s="43" t="s">
        <v>74</v>
      </c>
      <c r="B80" s="6" t="s">
        <v>75</v>
      </c>
      <c r="C80" s="7" t="s">
        <v>76</v>
      </c>
      <c r="D80" s="5">
        <v>1.0</v>
      </c>
      <c r="E80" s="7" t="s">
        <v>456</v>
      </c>
      <c r="F80" s="5" t="s">
        <v>457</v>
      </c>
      <c r="G80" s="14" t="s">
        <v>458</v>
      </c>
      <c r="H80" s="44" t="s">
        <v>411</v>
      </c>
      <c r="I80" s="31" t="s">
        <v>19</v>
      </c>
      <c r="J80" s="32">
        <v>1.81140325E8</v>
      </c>
    </row>
    <row r="81">
      <c r="A81" s="43" t="s">
        <v>74</v>
      </c>
      <c r="B81" s="6" t="s">
        <v>75</v>
      </c>
      <c r="C81" s="7" t="s">
        <v>76</v>
      </c>
      <c r="D81" s="5">
        <v>1.0</v>
      </c>
      <c r="E81" s="7" t="s">
        <v>459</v>
      </c>
      <c r="F81" s="5" t="s">
        <v>460</v>
      </c>
      <c r="G81" s="14" t="s">
        <v>519</v>
      </c>
      <c r="H81" s="44" t="s">
        <v>414</v>
      </c>
      <c r="I81" s="31" t="s">
        <v>37</v>
      </c>
      <c r="J81" s="32">
        <v>1.4178E7</v>
      </c>
    </row>
    <row r="82">
      <c r="A82" s="43" t="s">
        <v>74</v>
      </c>
      <c r="B82" s="6" t="s">
        <v>75</v>
      </c>
      <c r="C82" s="7" t="s">
        <v>76</v>
      </c>
      <c r="D82" s="5">
        <v>1.0</v>
      </c>
      <c r="E82" s="7" t="s">
        <v>459</v>
      </c>
      <c r="F82" s="5" t="s">
        <v>460</v>
      </c>
      <c r="G82" s="14" t="s">
        <v>519</v>
      </c>
      <c r="H82" s="44" t="s">
        <v>414</v>
      </c>
      <c r="I82" s="31" t="s">
        <v>25</v>
      </c>
      <c r="J82" s="32">
        <v>3299000.0</v>
      </c>
    </row>
    <row r="83">
      <c r="A83" s="43" t="s">
        <v>74</v>
      </c>
      <c r="B83" s="6" t="s">
        <v>75</v>
      </c>
      <c r="C83" s="7" t="s">
        <v>76</v>
      </c>
      <c r="D83" s="5">
        <v>1.0</v>
      </c>
      <c r="E83" s="7" t="s">
        <v>459</v>
      </c>
      <c r="F83" s="5" t="s">
        <v>460</v>
      </c>
      <c r="G83" s="14" t="s">
        <v>458</v>
      </c>
      <c r="H83" s="44" t="s">
        <v>411</v>
      </c>
      <c r="I83" s="31" t="s">
        <v>19</v>
      </c>
      <c r="J83" s="32">
        <v>8758260.0</v>
      </c>
    </row>
    <row r="84">
      <c r="A84" s="43" t="s">
        <v>74</v>
      </c>
      <c r="B84" s="6" t="s">
        <v>75</v>
      </c>
      <c r="C84" s="7" t="s">
        <v>76</v>
      </c>
      <c r="D84" s="5">
        <v>1.0</v>
      </c>
      <c r="E84" s="7" t="s">
        <v>463</v>
      </c>
      <c r="F84" s="5" t="s">
        <v>464</v>
      </c>
      <c r="G84" s="14" t="s">
        <v>520</v>
      </c>
      <c r="H84" s="44" t="s">
        <v>435</v>
      </c>
      <c r="I84" s="31" t="s">
        <v>37</v>
      </c>
      <c r="J84" s="32">
        <v>1493473.0</v>
      </c>
    </row>
    <row r="85">
      <c r="A85" s="43" t="s">
        <v>74</v>
      </c>
      <c r="B85" s="6" t="s">
        <v>75</v>
      </c>
      <c r="C85" s="7" t="s">
        <v>76</v>
      </c>
      <c r="D85" s="5">
        <v>1.0</v>
      </c>
      <c r="E85" s="7" t="s">
        <v>463</v>
      </c>
      <c r="F85" s="5" t="s">
        <v>464</v>
      </c>
      <c r="G85" s="14" t="s">
        <v>521</v>
      </c>
      <c r="H85" s="44" t="s">
        <v>522</v>
      </c>
      <c r="I85" s="31" t="s">
        <v>37</v>
      </c>
      <c r="J85" s="32">
        <v>173400.0</v>
      </c>
    </row>
    <row r="86">
      <c r="A86" s="43" t="s">
        <v>74</v>
      </c>
      <c r="B86" s="6" t="s">
        <v>75</v>
      </c>
      <c r="C86" s="7" t="s">
        <v>76</v>
      </c>
      <c r="D86" s="5">
        <v>1.0</v>
      </c>
      <c r="E86" s="7" t="s">
        <v>463</v>
      </c>
      <c r="F86" s="5" t="s">
        <v>464</v>
      </c>
      <c r="G86" s="14" t="s">
        <v>465</v>
      </c>
      <c r="H86" s="44" t="s">
        <v>466</v>
      </c>
      <c r="I86" s="31" t="s">
        <v>25</v>
      </c>
      <c r="J86" s="32">
        <v>2500000.0</v>
      </c>
    </row>
    <row r="87">
      <c r="A87" s="43" t="s">
        <v>74</v>
      </c>
      <c r="B87" s="6" t="s">
        <v>75</v>
      </c>
      <c r="C87" s="7" t="s">
        <v>76</v>
      </c>
      <c r="D87" s="5">
        <v>1.0</v>
      </c>
      <c r="E87" s="7" t="s">
        <v>463</v>
      </c>
      <c r="F87" s="5" t="s">
        <v>464</v>
      </c>
      <c r="G87" s="14" t="s">
        <v>467</v>
      </c>
      <c r="H87" s="44" t="s">
        <v>468</v>
      </c>
      <c r="I87" s="31" t="s">
        <v>25</v>
      </c>
      <c r="J87" s="32">
        <v>1400000.0</v>
      </c>
    </row>
    <row r="88">
      <c r="A88" s="43" t="s">
        <v>74</v>
      </c>
      <c r="B88" s="6" t="s">
        <v>75</v>
      </c>
      <c r="C88" s="7" t="s">
        <v>76</v>
      </c>
      <c r="D88" s="5">
        <v>1.0</v>
      </c>
      <c r="E88" s="7" t="s">
        <v>463</v>
      </c>
      <c r="F88" s="5" t="s">
        <v>464</v>
      </c>
      <c r="G88" s="14" t="s">
        <v>458</v>
      </c>
      <c r="H88" s="44" t="s">
        <v>411</v>
      </c>
      <c r="I88" s="31" t="s">
        <v>19</v>
      </c>
      <c r="J88" s="32">
        <v>9830700.0</v>
      </c>
    </row>
    <row r="89">
      <c r="A89" s="43" t="s">
        <v>74</v>
      </c>
      <c r="B89" s="6" t="s">
        <v>75</v>
      </c>
      <c r="C89" s="7" t="s">
        <v>76</v>
      </c>
      <c r="D89" s="5">
        <v>1.0</v>
      </c>
      <c r="E89" s="7" t="s">
        <v>487</v>
      </c>
      <c r="F89" s="5" t="s">
        <v>488</v>
      </c>
      <c r="G89" s="14" t="s">
        <v>519</v>
      </c>
      <c r="H89" s="44" t="s">
        <v>414</v>
      </c>
      <c r="I89" s="31" t="s">
        <v>25</v>
      </c>
      <c r="J89" s="32">
        <v>705000.0</v>
      </c>
    </row>
    <row r="90">
      <c r="A90" s="43" t="s">
        <v>74</v>
      </c>
      <c r="B90" s="6" t="s">
        <v>75</v>
      </c>
      <c r="C90" s="7" t="s">
        <v>76</v>
      </c>
      <c r="D90" s="5">
        <v>1.0</v>
      </c>
      <c r="E90" s="7" t="s">
        <v>487</v>
      </c>
      <c r="F90" s="5" t="s">
        <v>488</v>
      </c>
      <c r="G90" s="14" t="s">
        <v>489</v>
      </c>
      <c r="H90" s="44" t="s">
        <v>490</v>
      </c>
      <c r="I90" s="31" t="s">
        <v>25</v>
      </c>
      <c r="J90" s="32">
        <v>1.1784352E7</v>
      </c>
    </row>
    <row r="91">
      <c r="A91" s="43" t="s">
        <v>74</v>
      </c>
      <c r="B91" s="6" t="s">
        <v>75</v>
      </c>
      <c r="C91" s="7" t="s">
        <v>76</v>
      </c>
      <c r="D91" s="5">
        <v>1.0</v>
      </c>
      <c r="E91" s="7" t="s">
        <v>487</v>
      </c>
      <c r="F91" s="5" t="s">
        <v>488</v>
      </c>
      <c r="G91" s="14" t="s">
        <v>458</v>
      </c>
      <c r="H91" s="44" t="s">
        <v>411</v>
      </c>
      <c r="I91" s="31" t="s">
        <v>19</v>
      </c>
      <c r="J91" s="32">
        <v>7685820.0</v>
      </c>
    </row>
    <row r="92">
      <c r="A92" s="43" t="s">
        <v>74</v>
      </c>
      <c r="B92" s="6" t="s">
        <v>75</v>
      </c>
      <c r="C92" s="7" t="s">
        <v>76</v>
      </c>
      <c r="D92" s="5">
        <v>1.0</v>
      </c>
      <c r="E92" s="7" t="s">
        <v>473</v>
      </c>
      <c r="F92" s="5" t="s">
        <v>474</v>
      </c>
      <c r="G92" s="14" t="s">
        <v>523</v>
      </c>
      <c r="H92" s="44" t="s">
        <v>431</v>
      </c>
      <c r="I92" s="31" t="s">
        <v>17</v>
      </c>
      <c r="J92" s="32">
        <v>1.2486321E8</v>
      </c>
    </row>
    <row r="93">
      <c r="A93" s="43" t="s">
        <v>74</v>
      </c>
      <c r="B93" s="6" t="s">
        <v>75</v>
      </c>
      <c r="C93" s="7" t="s">
        <v>76</v>
      </c>
      <c r="D93" s="5">
        <v>1.0</v>
      </c>
      <c r="E93" s="7" t="s">
        <v>473</v>
      </c>
      <c r="F93" s="5" t="s">
        <v>474</v>
      </c>
      <c r="G93" s="14" t="s">
        <v>523</v>
      </c>
      <c r="H93" s="44" t="s">
        <v>431</v>
      </c>
      <c r="I93" s="31" t="s">
        <v>25</v>
      </c>
      <c r="J93" s="32">
        <v>1.0E7</v>
      </c>
    </row>
    <row r="94">
      <c r="A94" s="43" t="s">
        <v>74</v>
      </c>
      <c r="B94" s="6" t="s">
        <v>75</v>
      </c>
      <c r="C94" s="7" t="s">
        <v>76</v>
      </c>
      <c r="D94" s="5">
        <v>1.0</v>
      </c>
      <c r="E94" s="7" t="s">
        <v>473</v>
      </c>
      <c r="F94" s="5" t="s">
        <v>474</v>
      </c>
      <c r="G94" s="14" t="s">
        <v>458</v>
      </c>
      <c r="H94" s="44" t="s">
        <v>411</v>
      </c>
      <c r="I94" s="31" t="s">
        <v>19</v>
      </c>
      <c r="J94" s="32">
        <v>8.1483961E7</v>
      </c>
    </row>
    <row r="95">
      <c r="A95" s="43" t="s">
        <v>74</v>
      </c>
      <c r="B95" s="6" t="s">
        <v>75</v>
      </c>
      <c r="C95" s="7" t="s">
        <v>76</v>
      </c>
      <c r="D95" s="5">
        <v>1.0</v>
      </c>
      <c r="E95" s="7" t="s">
        <v>491</v>
      </c>
      <c r="F95" s="5" t="s">
        <v>492</v>
      </c>
      <c r="G95" s="14" t="s">
        <v>519</v>
      </c>
      <c r="H95" s="44" t="s">
        <v>414</v>
      </c>
      <c r="I95" s="31" t="s">
        <v>25</v>
      </c>
      <c r="J95" s="32">
        <v>0.0</v>
      </c>
    </row>
    <row r="96">
      <c r="A96" s="43" t="s">
        <v>74</v>
      </c>
      <c r="B96" s="6" t="s">
        <v>75</v>
      </c>
      <c r="C96" s="7" t="s">
        <v>76</v>
      </c>
      <c r="D96" s="5">
        <v>1.0</v>
      </c>
      <c r="E96" s="7" t="s">
        <v>491</v>
      </c>
      <c r="F96" s="5" t="s">
        <v>492</v>
      </c>
      <c r="G96" s="14" t="s">
        <v>493</v>
      </c>
      <c r="H96" s="44" t="s">
        <v>437</v>
      </c>
      <c r="I96" s="31" t="s">
        <v>25</v>
      </c>
      <c r="J96" s="32">
        <v>1.040539E7</v>
      </c>
    </row>
    <row r="97">
      <c r="A97" s="43" t="s">
        <v>74</v>
      </c>
      <c r="B97" s="6" t="s">
        <v>75</v>
      </c>
      <c r="C97" s="7" t="s">
        <v>76</v>
      </c>
      <c r="D97" s="5">
        <v>1.0</v>
      </c>
      <c r="E97" s="7" t="s">
        <v>491</v>
      </c>
      <c r="F97" s="5" t="s">
        <v>492</v>
      </c>
      <c r="G97" s="14" t="s">
        <v>458</v>
      </c>
      <c r="H97" s="44" t="s">
        <v>411</v>
      </c>
      <c r="I97" s="31" t="s">
        <v>19</v>
      </c>
      <c r="J97" s="32">
        <v>5540940.0</v>
      </c>
    </row>
    <row r="98">
      <c r="A98" s="43" t="s">
        <v>74</v>
      </c>
      <c r="B98" s="6" t="s">
        <v>75</v>
      </c>
      <c r="C98" s="7" t="s">
        <v>76</v>
      </c>
      <c r="D98" s="5">
        <v>1.0</v>
      </c>
      <c r="E98" s="7" t="s">
        <v>494</v>
      </c>
      <c r="F98" s="5" t="s">
        <v>495</v>
      </c>
      <c r="G98" s="14" t="s">
        <v>496</v>
      </c>
      <c r="H98" s="44" t="s">
        <v>497</v>
      </c>
      <c r="I98" s="31" t="s">
        <v>25</v>
      </c>
      <c r="J98" s="32">
        <v>320000.0</v>
      </c>
    </row>
    <row r="99">
      <c r="A99" s="43" t="s">
        <v>74</v>
      </c>
      <c r="B99" s="6" t="s">
        <v>75</v>
      </c>
      <c r="C99" s="7" t="s">
        <v>76</v>
      </c>
      <c r="D99" s="5">
        <v>1.0</v>
      </c>
      <c r="E99" s="7" t="s">
        <v>494</v>
      </c>
      <c r="F99" s="5" t="s">
        <v>495</v>
      </c>
      <c r="G99" s="14" t="s">
        <v>458</v>
      </c>
      <c r="H99" s="44" t="s">
        <v>411</v>
      </c>
      <c r="I99" s="31" t="s">
        <v>19</v>
      </c>
      <c r="J99" s="32">
        <v>2323620.0</v>
      </c>
    </row>
    <row r="100">
      <c r="A100" s="43" t="s">
        <v>74</v>
      </c>
      <c r="B100" s="6" t="s">
        <v>75</v>
      </c>
      <c r="C100" s="7" t="s">
        <v>76</v>
      </c>
      <c r="D100" s="5">
        <v>1.0</v>
      </c>
      <c r="E100" s="7" t="s">
        <v>475</v>
      </c>
      <c r="F100" s="5" t="s">
        <v>476</v>
      </c>
      <c r="G100" s="14" t="s">
        <v>477</v>
      </c>
      <c r="H100" s="44" t="s">
        <v>429</v>
      </c>
      <c r="I100" s="31" t="s">
        <v>50</v>
      </c>
      <c r="J100" s="32">
        <v>3.4066073E7</v>
      </c>
    </row>
    <row r="101">
      <c r="A101" s="43" t="s">
        <v>74</v>
      </c>
      <c r="B101" s="6" t="s">
        <v>75</v>
      </c>
      <c r="C101" s="7" t="s">
        <v>76</v>
      </c>
      <c r="D101" s="5">
        <v>1.0</v>
      </c>
      <c r="E101" s="7" t="s">
        <v>524</v>
      </c>
      <c r="F101" s="5" t="s">
        <v>479</v>
      </c>
      <c r="G101" s="14" t="s">
        <v>443</v>
      </c>
      <c r="H101" s="44" t="s">
        <v>420</v>
      </c>
      <c r="I101" s="31" t="s">
        <v>19</v>
      </c>
      <c r="J101" s="32">
        <v>1.49723679E8</v>
      </c>
    </row>
    <row r="102">
      <c r="A102" s="43" t="s">
        <v>74</v>
      </c>
      <c r="B102" s="6" t="s">
        <v>75</v>
      </c>
      <c r="C102" s="7" t="s">
        <v>76</v>
      </c>
      <c r="D102" s="5">
        <v>1.0</v>
      </c>
      <c r="E102" s="7" t="s">
        <v>524</v>
      </c>
      <c r="F102" s="5" t="s">
        <v>479</v>
      </c>
      <c r="G102" s="14" t="s">
        <v>444</v>
      </c>
      <c r="H102" s="44" t="s">
        <v>445</v>
      </c>
      <c r="I102" s="31" t="s">
        <v>19</v>
      </c>
      <c r="J102" s="32">
        <v>8625455.0</v>
      </c>
    </row>
    <row r="103">
      <c r="A103" s="43" t="s">
        <v>74</v>
      </c>
      <c r="B103" s="6" t="s">
        <v>75</v>
      </c>
      <c r="C103" s="7" t="s">
        <v>76</v>
      </c>
      <c r="D103" s="5">
        <v>1.0</v>
      </c>
      <c r="E103" s="7" t="s">
        <v>524</v>
      </c>
      <c r="F103" s="5" t="s">
        <v>479</v>
      </c>
      <c r="G103" s="14" t="s">
        <v>446</v>
      </c>
      <c r="H103" s="44" t="s">
        <v>447</v>
      </c>
      <c r="I103" s="31" t="s">
        <v>19</v>
      </c>
      <c r="J103" s="32">
        <v>1480683.0</v>
      </c>
    </row>
    <row r="104">
      <c r="A104" s="43" t="s">
        <v>74</v>
      </c>
      <c r="B104" s="6" t="s">
        <v>75</v>
      </c>
      <c r="C104" s="7" t="s">
        <v>76</v>
      </c>
      <c r="D104" s="5">
        <v>1.0</v>
      </c>
      <c r="E104" s="7" t="s">
        <v>524</v>
      </c>
      <c r="F104" s="5" t="s">
        <v>479</v>
      </c>
      <c r="G104" s="14" t="s">
        <v>448</v>
      </c>
      <c r="H104" s="44" t="s">
        <v>449</v>
      </c>
      <c r="I104" s="31" t="s">
        <v>19</v>
      </c>
      <c r="J104" s="32">
        <v>3753442.0</v>
      </c>
    </row>
    <row r="105">
      <c r="A105" s="43" t="s">
        <v>74</v>
      </c>
      <c r="B105" s="6" t="s">
        <v>75</v>
      </c>
      <c r="C105" s="7" t="s">
        <v>76</v>
      </c>
      <c r="D105" s="5">
        <v>1.0</v>
      </c>
      <c r="E105" s="7" t="s">
        <v>524</v>
      </c>
      <c r="F105" s="5" t="s">
        <v>479</v>
      </c>
      <c r="G105" s="14" t="s">
        <v>450</v>
      </c>
      <c r="H105" s="44" t="s">
        <v>451</v>
      </c>
      <c r="I105" s="31" t="s">
        <v>19</v>
      </c>
      <c r="J105" s="32">
        <v>0.0</v>
      </c>
    </row>
    <row r="106">
      <c r="A106" s="43" t="s">
        <v>74</v>
      </c>
      <c r="B106" s="6" t="s">
        <v>75</v>
      </c>
      <c r="C106" s="7" t="s">
        <v>76</v>
      </c>
      <c r="D106" s="5">
        <v>1.0</v>
      </c>
      <c r="E106" s="7" t="s">
        <v>524</v>
      </c>
      <c r="F106" s="5" t="s">
        <v>479</v>
      </c>
      <c r="G106" s="14" t="s">
        <v>452</v>
      </c>
      <c r="H106" s="44" t="s">
        <v>453</v>
      </c>
      <c r="I106" s="31" t="s">
        <v>19</v>
      </c>
      <c r="J106" s="32">
        <v>2777546.0</v>
      </c>
    </row>
    <row r="107">
      <c r="A107" s="43" t="s">
        <v>74</v>
      </c>
      <c r="B107" s="6" t="s">
        <v>75</v>
      </c>
      <c r="C107" s="7" t="s">
        <v>76</v>
      </c>
      <c r="D107" s="5">
        <v>1.0</v>
      </c>
      <c r="E107" s="7" t="s">
        <v>524</v>
      </c>
      <c r="F107" s="5" t="s">
        <v>479</v>
      </c>
      <c r="G107" s="14" t="s">
        <v>454</v>
      </c>
      <c r="H107" s="44" t="s">
        <v>415</v>
      </c>
      <c r="I107" s="31" t="s">
        <v>19</v>
      </c>
      <c r="J107" s="32">
        <v>405372.0</v>
      </c>
    </row>
    <row r="108">
      <c r="A108" s="43" t="s">
        <v>74</v>
      </c>
      <c r="B108" s="6" t="s">
        <v>75</v>
      </c>
      <c r="C108" s="7" t="s">
        <v>76</v>
      </c>
      <c r="D108" s="5">
        <v>1.0</v>
      </c>
      <c r="E108" s="7" t="s">
        <v>524</v>
      </c>
      <c r="F108" s="5" t="s">
        <v>479</v>
      </c>
      <c r="G108" s="14" t="s">
        <v>455</v>
      </c>
      <c r="H108" s="44" t="s">
        <v>415</v>
      </c>
      <c r="I108" s="31" t="s">
        <v>19</v>
      </c>
      <c r="J108" s="32">
        <v>225205.0</v>
      </c>
    </row>
    <row r="109">
      <c r="A109" s="43" t="s">
        <v>74</v>
      </c>
      <c r="B109" s="6" t="s">
        <v>75</v>
      </c>
      <c r="C109" s="7" t="s">
        <v>76</v>
      </c>
      <c r="D109" s="5">
        <v>1.0</v>
      </c>
      <c r="E109" s="7" t="s">
        <v>524</v>
      </c>
      <c r="F109" s="5" t="s">
        <v>479</v>
      </c>
      <c r="G109" s="14" t="s">
        <v>480</v>
      </c>
      <c r="H109" s="44" t="s">
        <v>481</v>
      </c>
      <c r="I109" s="31" t="s">
        <v>19</v>
      </c>
      <c r="J109" s="32">
        <v>5211949.0</v>
      </c>
    </row>
    <row r="110">
      <c r="A110" s="43" t="s">
        <v>74</v>
      </c>
      <c r="B110" s="6" t="s">
        <v>75</v>
      </c>
      <c r="C110" s="7" t="s">
        <v>76</v>
      </c>
      <c r="D110" s="5">
        <v>1.0</v>
      </c>
      <c r="E110" s="7" t="s">
        <v>525</v>
      </c>
      <c r="F110" s="5" t="s">
        <v>502</v>
      </c>
      <c r="G110" s="14" t="s">
        <v>526</v>
      </c>
      <c r="H110" s="44" t="s">
        <v>527</v>
      </c>
      <c r="I110" s="31" t="s">
        <v>60</v>
      </c>
      <c r="J110" s="32">
        <v>4.87775895E8</v>
      </c>
    </row>
    <row r="111">
      <c r="A111" s="43" t="s">
        <v>74</v>
      </c>
      <c r="B111" s="6" t="s">
        <v>75</v>
      </c>
      <c r="C111" s="7" t="s">
        <v>76</v>
      </c>
      <c r="D111" s="5">
        <v>1.0</v>
      </c>
      <c r="E111" s="7" t="s">
        <v>525</v>
      </c>
      <c r="F111" s="5" t="s">
        <v>502</v>
      </c>
      <c r="G111" s="14" t="s">
        <v>505</v>
      </c>
      <c r="H111" s="44" t="s">
        <v>506</v>
      </c>
      <c r="I111" s="31" t="s">
        <v>60</v>
      </c>
      <c r="J111" s="32">
        <v>4817570.0</v>
      </c>
    </row>
    <row r="112">
      <c r="A112" s="43" t="s">
        <v>74</v>
      </c>
      <c r="B112" s="6" t="s">
        <v>75</v>
      </c>
      <c r="C112" s="7" t="s">
        <v>76</v>
      </c>
      <c r="D112" s="5">
        <v>1.0</v>
      </c>
      <c r="E112" s="7" t="s">
        <v>525</v>
      </c>
      <c r="F112" s="5" t="s">
        <v>502</v>
      </c>
      <c r="G112" s="14" t="s">
        <v>507</v>
      </c>
      <c r="H112" s="44" t="s">
        <v>508</v>
      </c>
      <c r="I112" s="31" t="s">
        <v>60</v>
      </c>
      <c r="J112" s="32">
        <v>8789288.0</v>
      </c>
    </row>
    <row r="113">
      <c r="A113" s="43" t="s">
        <v>74</v>
      </c>
      <c r="B113" s="6" t="s">
        <v>75</v>
      </c>
      <c r="C113" s="7" t="s">
        <v>76</v>
      </c>
      <c r="D113" s="5">
        <v>1.0</v>
      </c>
      <c r="E113" s="7" t="s">
        <v>525</v>
      </c>
      <c r="F113" s="5" t="s">
        <v>502</v>
      </c>
      <c r="G113" s="14" t="s">
        <v>509</v>
      </c>
      <c r="H113" s="44" t="s">
        <v>510</v>
      </c>
      <c r="I113" s="31" t="s">
        <v>60</v>
      </c>
      <c r="J113" s="32">
        <v>4500281.0</v>
      </c>
    </row>
    <row r="114">
      <c r="A114" s="43" t="s">
        <v>74</v>
      </c>
      <c r="B114" s="6" t="s">
        <v>75</v>
      </c>
      <c r="C114" s="7" t="s">
        <v>76</v>
      </c>
      <c r="D114" s="5">
        <v>1.0</v>
      </c>
      <c r="E114" s="7" t="s">
        <v>525</v>
      </c>
      <c r="F114" s="5" t="s">
        <v>502</v>
      </c>
      <c r="G114" s="14" t="s">
        <v>511</v>
      </c>
      <c r="H114" s="44" t="s">
        <v>512</v>
      </c>
      <c r="I114" s="31" t="s">
        <v>60</v>
      </c>
      <c r="J114" s="32">
        <v>5.7759447E7</v>
      </c>
    </row>
    <row r="115">
      <c r="A115" s="43" t="s">
        <v>74</v>
      </c>
      <c r="B115" s="6" t="s">
        <v>75</v>
      </c>
      <c r="C115" s="7" t="s">
        <v>76</v>
      </c>
      <c r="D115" s="5">
        <v>1.0</v>
      </c>
      <c r="E115" s="7" t="s">
        <v>525</v>
      </c>
      <c r="F115" s="5" t="s">
        <v>502</v>
      </c>
      <c r="G115" s="14" t="s">
        <v>513</v>
      </c>
      <c r="H115" s="44" t="s">
        <v>514</v>
      </c>
      <c r="I115" s="31" t="s">
        <v>60</v>
      </c>
      <c r="J115" s="32">
        <v>5347829.0</v>
      </c>
    </row>
    <row r="116">
      <c r="A116" s="43" t="s">
        <v>74</v>
      </c>
      <c r="B116" s="6" t="s">
        <v>75</v>
      </c>
      <c r="C116" s="7" t="s">
        <v>76</v>
      </c>
      <c r="D116" s="5">
        <v>1.0</v>
      </c>
      <c r="E116" s="7" t="s">
        <v>525</v>
      </c>
      <c r="F116" s="5" t="s">
        <v>502</v>
      </c>
      <c r="G116" s="14" t="s">
        <v>528</v>
      </c>
      <c r="H116" s="44" t="s">
        <v>529</v>
      </c>
      <c r="I116" s="31" t="s">
        <v>60</v>
      </c>
      <c r="J116" s="32">
        <v>4523282.0</v>
      </c>
    </row>
    <row r="117">
      <c r="A117" s="43" t="s">
        <v>74</v>
      </c>
      <c r="B117" s="6" t="s">
        <v>148</v>
      </c>
      <c r="C117" s="7" t="s">
        <v>149</v>
      </c>
      <c r="D117" s="5">
        <v>1.0</v>
      </c>
      <c r="E117" s="7" t="s">
        <v>441</v>
      </c>
      <c r="F117" s="5" t="s">
        <v>442</v>
      </c>
      <c r="G117" s="14" t="s">
        <v>443</v>
      </c>
      <c r="H117" s="44" t="s">
        <v>420</v>
      </c>
      <c r="I117" s="31" t="s">
        <v>19</v>
      </c>
      <c r="J117" s="32">
        <v>5.3149276E7</v>
      </c>
    </row>
    <row r="118">
      <c r="A118" s="43" t="s">
        <v>74</v>
      </c>
      <c r="B118" s="6" t="s">
        <v>148</v>
      </c>
      <c r="C118" s="7" t="s">
        <v>149</v>
      </c>
      <c r="D118" s="5">
        <v>1.0</v>
      </c>
      <c r="E118" s="7" t="s">
        <v>441</v>
      </c>
      <c r="F118" s="5" t="s">
        <v>442</v>
      </c>
      <c r="G118" s="14" t="s">
        <v>444</v>
      </c>
      <c r="H118" s="44" t="s">
        <v>445</v>
      </c>
      <c r="I118" s="31" t="s">
        <v>19</v>
      </c>
      <c r="J118" s="32">
        <v>5827285.0</v>
      </c>
    </row>
    <row r="119">
      <c r="A119" s="43" t="s">
        <v>74</v>
      </c>
      <c r="B119" s="6" t="s">
        <v>148</v>
      </c>
      <c r="C119" s="7" t="s">
        <v>149</v>
      </c>
      <c r="D119" s="5">
        <v>1.0</v>
      </c>
      <c r="E119" s="7" t="s">
        <v>441</v>
      </c>
      <c r="F119" s="5" t="s">
        <v>442</v>
      </c>
      <c r="G119" s="14" t="s">
        <v>446</v>
      </c>
      <c r="H119" s="44" t="s">
        <v>447</v>
      </c>
      <c r="I119" s="31" t="s">
        <v>19</v>
      </c>
      <c r="J119" s="32">
        <v>527734.0</v>
      </c>
    </row>
    <row r="120">
      <c r="A120" s="43" t="s">
        <v>74</v>
      </c>
      <c r="B120" s="6" t="s">
        <v>148</v>
      </c>
      <c r="C120" s="7" t="s">
        <v>149</v>
      </c>
      <c r="D120" s="5">
        <v>1.0</v>
      </c>
      <c r="E120" s="7" t="s">
        <v>441</v>
      </c>
      <c r="F120" s="5" t="s">
        <v>442</v>
      </c>
      <c r="G120" s="14" t="s">
        <v>448</v>
      </c>
      <c r="H120" s="44" t="s">
        <v>449</v>
      </c>
      <c r="I120" s="31" t="s">
        <v>19</v>
      </c>
      <c r="J120" s="32">
        <v>1391966.0</v>
      </c>
    </row>
    <row r="121">
      <c r="A121" s="43" t="s">
        <v>74</v>
      </c>
      <c r="B121" s="6" t="s">
        <v>148</v>
      </c>
      <c r="C121" s="7" t="s">
        <v>149</v>
      </c>
      <c r="D121" s="5">
        <v>1.0</v>
      </c>
      <c r="E121" s="7" t="s">
        <v>441</v>
      </c>
      <c r="F121" s="5" t="s">
        <v>442</v>
      </c>
      <c r="G121" s="14" t="s">
        <v>450</v>
      </c>
      <c r="H121" s="44" t="s">
        <v>451</v>
      </c>
      <c r="I121" s="31" t="s">
        <v>19</v>
      </c>
      <c r="J121" s="32">
        <v>0.0</v>
      </c>
    </row>
    <row r="122">
      <c r="A122" s="43" t="s">
        <v>74</v>
      </c>
      <c r="B122" s="6" t="s">
        <v>148</v>
      </c>
      <c r="C122" s="7" t="s">
        <v>149</v>
      </c>
      <c r="D122" s="5">
        <v>1.0</v>
      </c>
      <c r="E122" s="7" t="s">
        <v>441</v>
      </c>
      <c r="F122" s="5" t="s">
        <v>442</v>
      </c>
      <c r="G122" s="14" t="s">
        <v>452</v>
      </c>
      <c r="H122" s="44" t="s">
        <v>453</v>
      </c>
      <c r="I122" s="31" t="s">
        <v>19</v>
      </c>
      <c r="J122" s="32">
        <v>1123939.0</v>
      </c>
    </row>
    <row r="123">
      <c r="A123" s="43" t="s">
        <v>74</v>
      </c>
      <c r="B123" s="6" t="s">
        <v>148</v>
      </c>
      <c r="C123" s="7" t="s">
        <v>149</v>
      </c>
      <c r="D123" s="5">
        <v>1.0</v>
      </c>
      <c r="E123" s="7" t="s">
        <v>441</v>
      </c>
      <c r="F123" s="5" t="s">
        <v>442</v>
      </c>
      <c r="G123" s="14" t="s">
        <v>454</v>
      </c>
      <c r="H123" s="44" t="s">
        <v>415</v>
      </c>
      <c r="I123" s="31" t="s">
        <v>19</v>
      </c>
      <c r="J123" s="32">
        <v>164034.0</v>
      </c>
    </row>
    <row r="124">
      <c r="A124" s="43" t="s">
        <v>74</v>
      </c>
      <c r="B124" s="6" t="s">
        <v>148</v>
      </c>
      <c r="C124" s="7" t="s">
        <v>149</v>
      </c>
      <c r="D124" s="5">
        <v>1.0</v>
      </c>
      <c r="E124" s="7" t="s">
        <v>441</v>
      </c>
      <c r="F124" s="5" t="s">
        <v>442</v>
      </c>
      <c r="G124" s="14" t="s">
        <v>455</v>
      </c>
      <c r="H124" s="44" t="s">
        <v>415</v>
      </c>
      <c r="I124" s="31" t="s">
        <v>19</v>
      </c>
      <c r="J124" s="32">
        <v>91130.0</v>
      </c>
    </row>
    <row r="125">
      <c r="A125" s="43" t="s">
        <v>74</v>
      </c>
      <c r="B125" s="6" t="s">
        <v>148</v>
      </c>
      <c r="C125" s="7" t="s">
        <v>149</v>
      </c>
      <c r="D125" s="5">
        <v>1.0</v>
      </c>
      <c r="E125" s="7" t="s">
        <v>456</v>
      </c>
      <c r="F125" s="5" t="s">
        <v>457</v>
      </c>
      <c r="G125" s="14" t="s">
        <v>515</v>
      </c>
      <c r="H125" s="44" t="s">
        <v>413</v>
      </c>
      <c r="I125" s="31" t="s">
        <v>19</v>
      </c>
      <c r="J125" s="32">
        <v>3000000.0</v>
      </c>
    </row>
    <row r="126">
      <c r="A126" s="43" t="s">
        <v>74</v>
      </c>
      <c r="B126" s="6" t="s">
        <v>148</v>
      </c>
      <c r="C126" s="7" t="s">
        <v>149</v>
      </c>
      <c r="D126" s="5">
        <v>1.0</v>
      </c>
      <c r="E126" s="7" t="s">
        <v>456</v>
      </c>
      <c r="F126" s="5" t="s">
        <v>457</v>
      </c>
      <c r="G126" s="14" t="s">
        <v>458</v>
      </c>
      <c r="H126" s="44" t="s">
        <v>411</v>
      </c>
      <c r="I126" s="31" t="s">
        <v>19</v>
      </c>
      <c r="J126" s="32">
        <v>2.03888783E8</v>
      </c>
    </row>
    <row r="127">
      <c r="A127" s="43" t="s">
        <v>74</v>
      </c>
      <c r="B127" s="6" t="s">
        <v>148</v>
      </c>
      <c r="C127" s="7" t="s">
        <v>149</v>
      </c>
      <c r="D127" s="5">
        <v>1.0</v>
      </c>
      <c r="E127" s="7" t="s">
        <v>459</v>
      </c>
      <c r="F127" s="5" t="s">
        <v>460</v>
      </c>
      <c r="G127" s="14" t="s">
        <v>458</v>
      </c>
      <c r="H127" s="44" t="s">
        <v>411</v>
      </c>
      <c r="I127" s="31" t="s">
        <v>19</v>
      </c>
      <c r="J127" s="32">
        <v>1.6747722E7</v>
      </c>
    </row>
    <row r="128">
      <c r="A128" s="43" t="s">
        <v>74</v>
      </c>
      <c r="B128" s="6" t="s">
        <v>148</v>
      </c>
      <c r="C128" s="7" t="s">
        <v>149</v>
      </c>
      <c r="D128" s="5">
        <v>1.0</v>
      </c>
      <c r="E128" s="7" t="s">
        <v>463</v>
      </c>
      <c r="F128" s="5" t="s">
        <v>464</v>
      </c>
      <c r="G128" s="14" t="s">
        <v>461</v>
      </c>
      <c r="H128" s="44" t="s">
        <v>462</v>
      </c>
      <c r="I128" s="31" t="s">
        <v>25</v>
      </c>
      <c r="J128" s="32">
        <v>2260000.0</v>
      </c>
    </row>
    <row r="129">
      <c r="A129" s="43" t="s">
        <v>74</v>
      </c>
      <c r="B129" s="6" t="s">
        <v>148</v>
      </c>
      <c r="C129" s="7" t="s">
        <v>149</v>
      </c>
      <c r="D129" s="5">
        <v>1.0</v>
      </c>
      <c r="E129" s="7" t="s">
        <v>463</v>
      </c>
      <c r="F129" s="5" t="s">
        <v>464</v>
      </c>
      <c r="G129" s="14" t="s">
        <v>465</v>
      </c>
      <c r="H129" s="44" t="s">
        <v>466</v>
      </c>
      <c r="I129" s="31" t="s">
        <v>25</v>
      </c>
      <c r="J129" s="32">
        <v>1722500.0</v>
      </c>
    </row>
    <row r="130">
      <c r="A130" s="43" t="s">
        <v>74</v>
      </c>
      <c r="B130" s="6" t="s">
        <v>148</v>
      </c>
      <c r="C130" s="7" t="s">
        <v>149</v>
      </c>
      <c r="D130" s="5">
        <v>1.0</v>
      </c>
      <c r="E130" s="7" t="s">
        <v>463</v>
      </c>
      <c r="F130" s="5" t="s">
        <v>464</v>
      </c>
      <c r="G130" s="14" t="s">
        <v>458</v>
      </c>
      <c r="H130" s="44" t="s">
        <v>411</v>
      </c>
      <c r="I130" s="31" t="s">
        <v>19</v>
      </c>
      <c r="J130" s="32">
        <v>3.0134232E7</v>
      </c>
    </row>
    <row r="131">
      <c r="A131" s="43" t="s">
        <v>74</v>
      </c>
      <c r="B131" s="6" t="s">
        <v>148</v>
      </c>
      <c r="C131" s="7" t="s">
        <v>149</v>
      </c>
      <c r="D131" s="5">
        <v>1.0</v>
      </c>
      <c r="E131" s="7" t="s">
        <v>487</v>
      </c>
      <c r="F131" s="5" t="s">
        <v>488</v>
      </c>
      <c r="G131" s="14" t="s">
        <v>465</v>
      </c>
      <c r="H131" s="44" t="s">
        <v>466</v>
      </c>
      <c r="I131" s="31" t="s">
        <v>25</v>
      </c>
      <c r="J131" s="32">
        <v>2000000.0</v>
      </c>
    </row>
    <row r="132">
      <c r="A132" s="43" t="s">
        <v>74</v>
      </c>
      <c r="B132" s="6" t="s">
        <v>148</v>
      </c>
      <c r="C132" s="7" t="s">
        <v>149</v>
      </c>
      <c r="D132" s="5">
        <v>1.0</v>
      </c>
      <c r="E132" s="7" t="s">
        <v>487</v>
      </c>
      <c r="F132" s="5" t="s">
        <v>488</v>
      </c>
      <c r="G132" s="14" t="s">
        <v>489</v>
      </c>
      <c r="H132" s="44" t="s">
        <v>490</v>
      </c>
      <c r="I132" s="31" t="s">
        <v>25</v>
      </c>
      <c r="J132" s="32">
        <v>1198500.0</v>
      </c>
    </row>
    <row r="133">
      <c r="A133" s="43" t="s">
        <v>74</v>
      </c>
      <c r="B133" s="6" t="s">
        <v>148</v>
      </c>
      <c r="C133" s="7" t="s">
        <v>149</v>
      </c>
      <c r="D133" s="5">
        <v>1.0</v>
      </c>
      <c r="E133" s="7" t="s">
        <v>487</v>
      </c>
      <c r="F133" s="5" t="s">
        <v>488</v>
      </c>
      <c r="G133" s="14" t="s">
        <v>458</v>
      </c>
      <c r="H133" s="44" t="s">
        <v>411</v>
      </c>
      <c r="I133" s="31" t="s">
        <v>19</v>
      </c>
      <c r="J133" s="32">
        <v>1.3883381E7</v>
      </c>
    </row>
    <row r="134">
      <c r="A134" s="43" t="s">
        <v>74</v>
      </c>
      <c r="B134" s="6" t="s">
        <v>148</v>
      </c>
      <c r="C134" s="7" t="s">
        <v>149</v>
      </c>
      <c r="D134" s="5">
        <v>1.0</v>
      </c>
      <c r="E134" s="7" t="s">
        <v>487</v>
      </c>
      <c r="F134" s="5" t="s">
        <v>488</v>
      </c>
      <c r="G134" s="14" t="s">
        <v>530</v>
      </c>
      <c r="H134" s="44" t="s">
        <v>531</v>
      </c>
      <c r="I134" s="31" t="s">
        <v>50</v>
      </c>
      <c r="J134" s="32">
        <v>2.1769014E7</v>
      </c>
    </row>
    <row r="135">
      <c r="A135" s="43" t="s">
        <v>74</v>
      </c>
      <c r="B135" s="6" t="s">
        <v>148</v>
      </c>
      <c r="C135" s="7" t="s">
        <v>149</v>
      </c>
      <c r="D135" s="5">
        <v>1.0</v>
      </c>
      <c r="E135" s="7" t="s">
        <v>469</v>
      </c>
      <c r="F135" s="5" t="s">
        <v>470</v>
      </c>
      <c r="G135" s="14" t="s">
        <v>517</v>
      </c>
      <c r="H135" s="44" t="s">
        <v>518</v>
      </c>
      <c r="I135" s="31" t="s">
        <v>25</v>
      </c>
      <c r="J135" s="32">
        <v>350000.0</v>
      </c>
    </row>
    <row r="136">
      <c r="A136" s="43" t="s">
        <v>74</v>
      </c>
      <c r="B136" s="6" t="s">
        <v>148</v>
      </c>
      <c r="C136" s="7" t="s">
        <v>149</v>
      </c>
      <c r="D136" s="5">
        <v>1.0</v>
      </c>
      <c r="E136" s="7" t="s">
        <v>473</v>
      </c>
      <c r="F136" s="5" t="s">
        <v>474</v>
      </c>
      <c r="G136" s="14" t="s">
        <v>523</v>
      </c>
      <c r="H136" s="44" t="s">
        <v>431</v>
      </c>
      <c r="I136" s="31" t="s">
        <v>17</v>
      </c>
      <c r="J136" s="32">
        <v>1.2486321E8</v>
      </c>
    </row>
    <row r="137">
      <c r="A137" s="43" t="s">
        <v>74</v>
      </c>
      <c r="B137" s="6" t="s">
        <v>148</v>
      </c>
      <c r="C137" s="7" t="s">
        <v>149</v>
      </c>
      <c r="D137" s="5">
        <v>1.0</v>
      </c>
      <c r="E137" s="7" t="s">
        <v>473</v>
      </c>
      <c r="F137" s="5" t="s">
        <v>474</v>
      </c>
      <c r="G137" s="14" t="s">
        <v>523</v>
      </c>
      <c r="H137" s="44" t="s">
        <v>431</v>
      </c>
      <c r="I137" s="31" t="s">
        <v>25</v>
      </c>
      <c r="J137" s="32">
        <v>1.0E7</v>
      </c>
    </row>
    <row r="138">
      <c r="A138" s="43" t="s">
        <v>74</v>
      </c>
      <c r="B138" s="6" t="s">
        <v>148</v>
      </c>
      <c r="C138" s="7" t="s">
        <v>149</v>
      </c>
      <c r="D138" s="5">
        <v>1.0</v>
      </c>
      <c r="E138" s="7" t="s">
        <v>473</v>
      </c>
      <c r="F138" s="5" t="s">
        <v>474</v>
      </c>
      <c r="G138" s="14" t="s">
        <v>458</v>
      </c>
      <c r="H138" s="44" t="s">
        <v>411</v>
      </c>
      <c r="I138" s="31" t="s">
        <v>19</v>
      </c>
      <c r="J138" s="32">
        <v>3.4545532E7</v>
      </c>
    </row>
    <row r="139">
      <c r="A139" s="43" t="s">
        <v>74</v>
      </c>
      <c r="B139" s="6" t="s">
        <v>148</v>
      </c>
      <c r="C139" s="7" t="s">
        <v>149</v>
      </c>
      <c r="D139" s="5">
        <v>1.0</v>
      </c>
      <c r="E139" s="7" t="s">
        <v>491</v>
      </c>
      <c r="F139" s="5" t="s">
        <v>492</v>
      </c>
      <c r="G139" s="14" t="s">
        <v>493</v>
      </c>
      <c r="H139" s="44" t="s">
        <v>437</v>
      </c>
      <c r="I139" s="31" t="s">
        <v>25</v>
      </c>
      <c r="J139" s="32">
        <v>1762352.0</v>
      </c>
    </row>
    <row r="140">
      <c r="A140" s="43" t="s">
        <v>74</v>
      </c>
      <c r="B140" s="6" t="s">
        <v>148</v>
      </c>
      <c r="C140" s="7" t="s">
        <v>149</v>
      </c>
      <c r="D140" s="5">
        <v>1.0</v>
      </c>
      <c r="E140" s="7" t="s">
        <v>475</v>
      </c>
      <c r="F140" s="5" t="s">
        <v>476</v>
      </c>
      <c r="G140" s="14" t="s">
        <v>477</v>
      </c>
      <c r="H140" s="44" t="s">
        <v>429</v>
      </c>
      <c r="I140" s="31" t="s">
        <v>50</v>
      </c>
      <c r="J140" s="32">
        <v>4.0164734E7</v>
      </c>
    </row>
    <row r="141">
      <c r="A141" s="43" t="s">
        <v>74</v>
      </c>
      <c r="B141" s="6" t="s">
        <v>148</v>
      </c>
      <c r="C141" s="7" t="s">
        <v>149</v>
      </c>
      <c r="D141" s="5">
        <v>1.0</v>
      </c>
      <c r="E141" s="7" t="s">
        <v>524</v>
      </c>
      <c r="F141" s="5" t="s">
        <v>479</v>
      </c>
      <c r="G141" s="14" t="s">
        <v>443</v>
      </c>
      <c r="H141" s="44" t="s">
        <v>420</v>
      </c>
      <c r="I141" s="31" t="s">
        <v>19</v>
      </c>
      <c r="J141" s="32">
        <v>1.02573784E8</v>
      </c>
    </row>
    <row r="142">
      <c r="A142" s="43" t="s">
        <v>74</v>
      </c>
      <c r="B142" s="6" t="s">
        <v>148</v>
      </c>
      <c r="C142" s="7" t="s">
        <v>149</v>
      </c>
      <c r="D142" s="5">
        <v>1.0</v>
      </c>
      <c r="E142" s="7" t="s">
        <v>524</v>
      </c>
      <c r="F142" s="5" t="s">
        <v>479</v>
      </c>
      <c r="G142" s="14" t="s">
        <v>444</v>
      </c>
      <c r="H142" s="44" t="s">
        <v>445</v>
      </c>
      <c r="I142" s="31" t="s">
        <v>19</v>
      </c>
      <c r="J142" s="32">
        <v>6464414.0</v>
      </c>
    </row>
    <row r="143">
      <c r="A143" s="43" t="s">
        <v>74</v>
      </c>
      <c r="B143" s="6" t="s">
        <v>148</v>
      </c>
      <c r="C143" s="7" t="s">
        <v>149</v>
      </c>
      <c r="D143" s="5">
        <v>1.0</v>
      </c>
      <c r="E143" s="7" t="s">
        <v>524</v>
      </c>
      <c r="F143" s="5" t="s">
        <v>479</v>
      </c>
      <c r="G143" s="14" t="s">
        <v>446</v>
      </c>
      <c r="H143" s="44" t="s">
        <v>447</v>
      </c>
      <c r="I143" s="31" t="s">
        <v>19</v>
      </c>
      <c r="J143" s="32">
        <v>1196067.0</v>
      </c>
    </row>
    <row r="144">
      <c r="A144" s="43" t="s">
        <v>74</v>
      </c>
      <c r="B144" s="6" t="s">
        <v>148</v>
      </c>
      <c r="C144" s="7" t="s">
        <v>149</v>
      </c>
      <c r="D144" s="5">
        <v>1.0</v>
      </c>
      <c r="E144" s="7" t="s">
        <v>524</v>
      </c>
      <c r="F144" s="5" t="s">
        <v>479</v>
      </c>
      <c r="G144" s="14" t="s">
        <v>448</v>
      </c>
      <c r="H144" s="44" t="s">
        <v>449</v>
      </c>
      <c r="I144" s="31" t="s">
        <v>19</v>
      </c>
      <c r="J144" s="32">
        <v>2990165.0</v>
      </c>
    </row>
    <row r="145">
      <c r="A145" s="43" t="s">
        <v>74</v>
      </c>
      <c r="B145" s="6" t="s">
        <v>148</v>
      </c>
      <c r="C145" s="7" t="s">
        <v>149</v>
      </c>
      <c r="D145" s="5">
        <v>1.0</v>
      </c>
      <c r="E145" s="7" t="s">
        <v>524</v>
      </c>
      <c r="F145" s="5" t="s">
        <v>479</v>
      </c>
      <c r="G145" s="14" t="s">
        <v>450</v>
      </c>
      <c r="H145" s="44" t="s">
        <v>451</v>
      </c>
      <c r="I145" s="31" t="s">
        <v>19</v>
      </c>
      <c r="J145" s="32">
        <v>0.0</v>
      </c>
    </row>
    <row r="146">
      <c r="A146" s="43" t="s">
        <v>74</v>
      </c>
      <c r="B146" s="6" t="s">
        <v>148</v>
      </c>
      <c r="C146" s="7" t="s">
        <v>149</v>
      </c>
      <c r="D146" s="5">
        <v>1.0</v>
      </c>
      <c r="E146" s="7" t="s">
        <v>524</v>
      </c>
      <c r="F146" s="5" t="s">
        <v>479</v>
      </c>
      <c r="G146" s="14" t="s">
        <v>452</v>
      </c>
      <c r="H146" s="44" t="s">
        <v>453</v>
      </c>
      <c r="I146" s="31" t="s">
        <v>19</v>
      </c>
      <c r="J146" s="32">
        <v>2212722.0</v>
      </c>
    </row>
    <row r="147">
      <c r="A147" s="43" t="s">
        <v>74</v>
      </c>
      <c r="B147" s="6" t="s">
        <v>148</v>
      </c>
      <c r="C147" s="7" t="s">
        <v>149</v>
      </c>
      <c r="D147" s="5">
        <v>1.0</v>
      </c>
      <c r="E147" s="7" t="s">
        <v>524</v>
      </c>
      <c r="F147" s="5" t="s">
        <v>479</v>
      </c>
      <c r="G147" s="14" t="s">
        <v>454</v>
      </c>
      <c r="H147" s="44" t="s">
        <v>415</v>
      </c>
      <c r="I147" s="31" t="s">
        <v>19</v>
      </c>
      <c r="J147" s="32">
        <v>322940.0</v>
      </c>
    </row>
    <row r="148">
      <c r="A148" s="43" t="s">
        <v>74</v>
      </c>
      <c r="B148" s="6" t="s">
        <v>148</v>
      </c>
      <c r="C148" s="7" t="s">
        <v>149</v>
      </c>
      <c r="D148" s="5">
        <v>1.0</v>
      </c>
      <c r="E148" s="7" t="s">
        <v>524</v>
      </c>
      <c r="F148" s="5" t="s">
        <v>479</v>
      </c>
      <c r="G148" s="14" t="s">
        <v>455</v>
      </c>
      <c r="H148" s="44" t="s">
        <v>415</v>
      </c>
      <c r="I148" s="31" t="s">
        <v>19</v>
      </c>
      <c r="J148" s="32">
        <v>179409.0</v>
      </c>
    </row>
    <row r="149">
      <c r="A149" s="43" t="s">
        <v>74</v>
      </c>
      <c r="B149" s="6" t="s">
        <v>148</v>
      </c>
      <c r="C149" s="7" t="s">
        <v>149</v>
      </c>
      <c r="D149" s="5">
        <v>1.0</v>
      </c>
      <c r="E149" s="7" t="s">
        <v>524</v>
      </c>
      <c r="F149" s="5" t="s">
        <v>479</v>
      </c>
      <c r="G149" s="14" t="s">
        <v>480</v>
      </c>
      <c r="H149" s="44" t="s">
        <v>481</v>
      </c>
      <c r="I149" s="31" t="s">
        <v>19</v>
      </c>
      <c r="J149" s="32">
        <v>8647275.0</v>
      </c>
    </row>
    <row r="150">
      <c r="A150" s="43" t="s">
        <v>74</v>
      </c>
      <c r="B150" s="6" t="s">
        <v>148</v>
      </c>
      <c r="C150" s="7" t="s">
        <v>149</v>
      </c>
      <c r="D150" s="5">
        <v>1.0</v>
      </c>
      <c r="E150" s="7" t="s">
        <v>525</v>
      </c>
      <c r="F150" s="5" t="s">
        <v>502</v>
      </c>
      <c r="G150" s="14" t="s">
        <v>526</v>
      </c>
      <c r="H150" s="44" t="s">
        <v>527</v>
      </c>
      <c r="I150" s="31" t="s">
        <v>60</v>
      </c>
      <c r="J150" s="32">
        <v>2.01681431E8</v>
      </c>
    </row>
    <row r="151">
      <c r="A151" s="43" t="s">
        <v>74</v>
      </c>
      <c r="B151" s="6" t="s">
        <v>148</v>
      </c>
      <c r="C151" s="7" t="s">
        <v>149</v>
      </c>
      <c r="D151" s="5">
        <v>1.0</v>
      </c>
      <c r="E151" s="7" t="s">
        <v>525</v>
      </c>
      <c r="F151" s="5" t="s">
        <v>502</v>
      </c>
      <c r="G151" s="14" t="s">
        <v>505</v>
      </c>
      <c r="H151" s="44" t="s">
        <v>506</v>
      </c>
      <c r="I151" s="31" t="s">
        <v>60</v>
      </c>
      <c r="J151" s="32">
        <v>7723531.0</v>
      </c>
    </row>
    <row r="152">
      <c r="A152" s="43" t="s">
        <v>74</v>
      </c>
      <c r="B152" s="6" t="s">
        <v>148</v>
      </c>
      <c r="C152" s="7" t="s">
        <v>149</v>
      </c>
      <c r="D152" s="5">
        <v>1.0</v>
      </c>
      <c r="E152" s="7" t="s">
        <v>525</v>
      </c>
      <c r="F152" s="5" t="s">
        <v>502</v>
      </c>
      <c r="G152" s="14" t="s">
        <v>507</v>
      </c>
      <c r="H152" s="44" t="s">
        <v>508</v>
      </c>
      <c r="I152" s="31" t="s">
        <v>60</v>
      </c>
      <c r="J152" s="32">
        <v>1349183.0</v>
      </c>
    </row>
    <row r="153">
      <c r="A153" s="43" t="s">
        <v>74</v>
      </c>
      <c r="B153" s="6" t="s">
        <v>148</v>
      </c>
      <c r="C153" s="7" t="s">
        <v>149</v>
      </c>
      <c r="D153" s="5">
        <v>1.0</v>
      </c>
      <c r="E153" s="7" t="s">
        <v>525</v>
      </c>
      <c r="F153" s="5" t="s">
        <v>502</v>
      </c>
      <c r="G153" s="14" t="s">
        <v>509</v>
      </c>
      <c r="H153" s="44" t="s">
        <v>510</v>
      </c>
      <c r="I153" s="31" t="s">
        <v>60</v>
      </c>
      <c r="J153" s="32">
        <v>660416.0</v>
      </c>
    </row>
    <row r="154">
      <c r="A154" s="43" t="s">
        <v>74</v>
      </c>
      <c r="B154" s="6" t="s">
        <v>148</v>
      </c>
      <c r="C154" s="7" t="s">
        <v>149</v>
      </c>
      <c r="D154" s="5">
        <v>1.0</v>
      </c>
      <c r="E154" s="7" t="s">
        <v>525</v>
      </c>
      <c r="F154" s="5" t="s">
        <v>502</v>
      </c>
      <c r="G154" s="14" t="s">
        <v>511</v>
      </c>
      <c r="H154" s="44" t="s">
        <v>512</v>
      </c>
      <c r="I154" s="31" t="s">
        <v>60</v>
      </c>
      <c r="J154" s="32">
        <v>5.2437833E7</v>
      </c>
    </row>
    <row r="155">
      <c r="A155" s="43" t="s">
        <v>74</v>
      </c>
      <c r="B155" s="6" t="s">
        <v>148</v>
      </c>
      <c r="C155" s="7" t="s">
        <v>149</v>
      </c>
      <c r="D155" s="5">
        <v>1.0</v>
      </c>
      <c r="E155" s="7" t="s">
        <v>525</v>
      </c>
      <c r="F155" s="5" t="s">
        <v>502</v>
      </c>
      <c r="G155" s="14" t="s">
        <v>513</v>
      </c>
      <c r="H155" s="44" t="s">
        <v>514</v>
      </c>
      <c r="I155" s="31" t="s">
        <v>60</v>
      </c>
      <c r="J155" s="32">
        <v>5418390.0</v>
      </c>
    </row>
    <row r="156">
      <c r="A156" s="43" t="s">
        <v>74</v>
      </c>
      <c r="B156" s="6" t="s">
        <v>167</v>
      </c>
      <c r="C156" s="7" t="s">
        <v>168</v>
      </c>
      <c r="D156" s="5">
        <v>1.0</v>
      </c>
      <c r="E156" s="7" t="s">
        <v>441</v>
      </c>
      <c r="F156" s="5" t="s">
        <v>442</v>
      </c>
      <c r="G156" s="14" t="s">
        <v>443</v>
      </c>
      <c r="H156" s="44" t="s">
        <v>420</v>
      </c>
      <c r="I156" s="31" t="s">
        <v>19</v>
      </c>
      <c r="J156" s="32">
        <v>4.7355277E7</v>
      </c>
    </row>
    <row r="157">
      <c r="A157" s="43" t="s">
        <v>74</v>
      </c>
      <c r="B157" s="6" t="s">
        <v>167</v>
      </c>
      <c r="C157" s="7" t="s">
        <v>168</v>
      </c>
      <c r="D157" s="5">
        <v>1.0</v>
      </c>
      <c r="E157" s="7" t="s">
        <v>441</v>
      </c>
      <c r="F157" s="5" t="s">
        <v>442</v>
      </c>
      <c r="G157" s="14" t="s">
        <v>444</v>
      </c>
      <c r="H157" s="44" t="s">
        <v>445</v>
      </c>
      <c r="I157" s="31" t="s">
        <v>19</v>
      </c>
      <c r="J157" s="32">
        <v>4129525.0</v>
      </c>
    </row>
    <row r="158">
      <c r="A158" s="43" t="s">
        <v>74</v>
      </c>
      <c r="B158" s="6" t="s">
        <v>167</v>
      </c>
      <c r="C158" s="7" t="s">
        <v>168</v>
      </c>
      <c r="D158" s="5">
        <v>1.0</v>
      </c>
      <c r="E158" s="7" t="s">
        <v>441</v>
      </c>
      <c r="F158" s="5" t="s">
        <v>442</v>
      </c>
      <c r="G158" s="14" t="s">
        <v>446</v>
      </c>
      <c r="H158" s="44" t="s">
        <v>447</v>
      </c>
      <c r="I158" s="31" t="s">
        <v>19</v>
      </c>
      <c r="J158" s="32">
        <v>471027.0</v>
      </c>
    </row>
    <row r="159">
      <c r="A159" s="43" t="s">
        <v>74</v>
      </c>
      <c r="B159" s="6" t="s">
        <v>167</v>
      </c>
      <c r="C159" s="7" t="s">
        <v>168</v>
      </c>
      <c r="D159" s="5">
        <v>1.0</v>
      </c>
      <c r="E159" s="7" t="s">
        <v>441</v>
      </c>
      <c r="F159" s="5" t="s">
        <v>442</v>
      </c>
      <c r="G159" s="14" t="s">
        <v>448</v>
      </c>
      <c r="H159" s="44" t="s">
        <v>449</v>
      </c>
      <c r="I159" s="31" t="s">
        <v>19</v>
      </c>
      <c r="J159" s="32">
        <v>1177569.0</v>
      </c>
    </row>
    <row r="160">
      <c r="A160" s="43" t="s">
        <v>74</v>
      </c>
      <c r="B160" s="6" t="s">
        <v>167</v>
      </c>
      <c r="C160" s="7" t="s">
        <v>168</v>
      </c>
      <c r="D160" s="5">
        <v>1.0</v>
      </c>
      <c r="E160" s="7" t="s">
        <v>441</v>
      </c>
      <c r="F160" s="5" t="s">
        <v>442</v>
      </c>
      <c r="G160" s="14" t="s">
        <v>450</v>
      </c>
      <c r="H160" s="44" t="s">
        <v>451</v>
      </c>
      <c r="I160" s="31" t="s">
        <v>19</v>
      </c>
      <c r="J160" s="32">
        <v>0.0</v>
      </c>
    </row>
    <row r="161">
      <c r="A161" s="43" t="s">
        <v>74</v>
      </c>
      <c r="B161" s="6" t="s">
        <v>167</v>
      </c>
      <c r="C161" s="7" t="s">
        <v>168</v>
      </c>
      <c r="D161" s="5">
        <v>1.0</v>
      </c>
      <c r="E161" s="7" t="s">
        <v>441</v>
      </c>
      <c r="F161" s="5" t="s">
        <v>442</v>
      </c>
      <c r="G161" s="14" t="s">
        <v>452</v>
      </c>
      <c r="H161" s="44" t="s">
        <v>453</v>
      </c>
      <c r="I161" s="31" t="s">
        <v>19</v>
      </c>
      <c r="J161" s="32">
        <v>871401.0</v>
      </c>
    </row>
    <row r="162">
      <c r="A162" s="43" t="s">
        <v>74</v>
      </c>
      <c r="B162" s="6" t="s">
        <v>167</v>
      </c>
      <c r="C162" s="7" t="s">
        <v>168</v>
      </c>
      <c r="D162" s="5">
        <v>1.0</v>
      </c>
      <c r="E162" s="7" t="s">
        <v>441</v>
      </c>
      <c r="F162" s="5" t="s">
        <v>442</v>
      </c>
      <c r="G162" s="14" t="s">
        <v>454</v>
      </c>
      <c r="H162" s="44" t="s">
        <v>415</v>
      </c>
      <c r="I162" s="31" t="s">
        <v>19</v>
      </c>
      <c r="J162" s="32">
        <v>127177.0</v>
      </c>
    </row>
    <row r="163">
      <c r="A163" s="43" t="s">
        <v>74</v>
      </c>
      <c r="B163" s="6" t="s">
        <v>167</v>
      </c>
      <c r="C163" s="7" t="s">
        <v>168</v>
      </c>
      <c r="D163" s="5">
        <v>1.0</v>
      </c>
      <c r="E163" s="7" t="s">
        <v>441</v>
      </c>
      <c r="F163" s="5" t="s">
        <v>442</v>
      </c>
      <c r="G163" s="14" t="s">
        <v>455</v>
      </c>
      <c r="H163" s="44" t="s">
        <v>415</v>
      </c>
      <c r="I163" s="31" t="s">
        <v>19</v>
      </c>
      <c r="J163" s="32">
        <v>70653.0</v>
      </c>
    </row>
    <row r="164">
      <c r="A164" s="43" t="s">
        <v>74</v>
      </c>
      <c r="B164" s="6" t="s">
        <v>167</v>
      </c>
      <c r="C164" s="7" t="s">
        <v>168</v>
      </c>
      <c r="D164" s="5">
        <v>1.0</v>
      </c>
      <c r="E164" s="7" t="s">
        <v>456</v>
      </c>
      <c r="F164" s="5" t="s">
        <v>457</v>
      </c>
      <c r="G164" s="14" t="s">
        <v>515</v>
      </c>
      <c r="H164" s="44" t="s">
        <v>413</v>
      </c>
      <c r="I164" s="31" t="s">
        <v>19</v>
      </c>
      <c r="J164" s="32">
        <v>1.7210736E7</v>
      </c>
    </row>
    <row r="165">
      <c r="A165" s="43" t="s">
        <v>74</v>
      </c>
      <c r="B165" s="6" t="s">
        <v>167</v>
      </c>
      <c r="C165" s="7" t="s">
        <v>168</v>
      </c>
      <c r="D165" s="5">
        <v>1.0</v>
      </c>
      <c r="E165" s="7" t="s">
        <v>456</v>
      </c>
      <c r="F165" s="5" t="s">
        <v>457</v>
      </c>
      <c r="G165" s="14" t="s">
        <v>458</v>
      </c>
      <c r="H165" s="44" t="s">
        <v>411</v>
      </c>
      <c r="I165" s="31" t="s">
        <v>19</v>
      </c>
      <c r="J165" s="32">
        <v>1.69153342E8</v>
      </c>
    </row>
    <row r="166">
      <c r="A166" s="43" t="s">
        <v>74</v>
      </c>
      <c r="B166" s="6" t="s">
        <v>167</v>
      </c>
      <c r="C166" s="7" t="s">
        <v>168</v>
      </c>
      <c r="D166" s="5">
        <v>1.0</v>
      </c>
      <c r="E166" s="7" t="s">
        <v>456</v>
      </c>
      <c r="F166" s="5" t="s">
        <v>457</v>
      </c>
      <c r="G166" s="14" t="s">
        <v>532</v>
      </c>
      <c r="H166" s="44" t="s">
        <v>412</v>
      </c>
      <c r="I166" s="31" t="s">
        <v>19</v>
      </c>
      <c r="J166" s="32">
        <v>1.2337628E7</v>
      </c>
    </row>
    <row r="167">
      <c r="A167" s="43" t="s">
        <v>74</v>
      </c>
      <c r="B167" s="6" t="s">
        <v>167</v>
      </c>
      <c r="C167" s="7" t="s">
        <v>168</v>
      </c>
      <c r="D167" s="5">
        <v>1.0</v>
      </c>
      <c r="E167" s="7" t="s">
        <v>459</v>
      </c>
      <c r="F167" s="5" t="s">
        <v>460</v>
      </c>
      <c r="G167" s="14" t="s">
        <v>519</v>
      </c>
      <c r="H167" s="44" t="s">
        <v>414</v>
      </c>
      <c r="I167" s="31" t="s">
        <v>37</v>
      </c>
      <c r="J167" s="32">
        <v>1.38435E7</v>
      </c>
    </row>
    <row r="168">
      <c r="A168" s="43" t="s">
        <v>74</v>
      </c>
      <c r="B168" s="6" t="s">
        <v>167</v>
      </c>
      <c r="C168" s="7" t="s">
        <v>168</v>
      </c>
      <c r="D168" s="5">
        <v>1.0</v>
      </c>
      <c r="E168" s="7" t="s">
        <v>459</v>
      </c>
      <c r="F168" s="5" t="s">
        <v>460</v>
      </c>
      <c r="G168" s="14" t="s">
        <v>458</v>
      </c>
      <c r="H168" s="44" t="s">
        <v>411</v>
      </c>
      <c r="I168" s="31" t="s">
        <v>19</v>
      </c>
      <c r="J168" s="32">
        <v>1.1196672E7</v>
      </c>
    </row>
    <row r="169">
      <c r="A169" s="43" t="s">
        <v>74</v>
      </c>
      <c r="B169" s="6" t="s">
        <v>167</v>
      </c>
      <c r="C169" s="7" t="s">
        <v>168</v>
      </c>
      <c r="D169" s="5">
        <v>1.0</v>
      </c>
      <c r="E169" s="7" t="s">
        <v>463</v>
      </c>
      <c r="F169" s="5" t="s">
        <v>464</v>
      </c>
      <c r="G169" s="14" t="s">
        <v>519</v>
      </c>
      <c r="H169" s="44" t="s">
        <v>414</v>
      </c>
      <c r="I169" s="31" t="s">
        <v>37</v>
      </c>
      <c r="J169" s="32">
        <v>6318400.0</v>
      </c>
    </row>
    <row r="170">
      <c r="A170" s="43" t="s">
        <v>74</v>
      </c>
      <c r="B170" s="6" t="s">
        <v>167</v>
      </c>
      <c r="C170" s="7" t="s">
        <v>168</v>
      </c>
      <c r="D170" s="5">
        <v>1.0</v>
      </c>
      <c r="E170" s="7" t="s">
        <v>463</v>
      </c>
      <c r="F170" s="5" t="s">
        <v>464</v>
      </c>
      <c r="G170" s="14" t="s">
        <v>458</v>
      </c>
      <c r="H170" s="44" t="s">
        <v>411</v>
      </c>
      <c r="I170" s="31" t="s">
        <v>19</v>
      </c>
      <c r="J170" s="32">
        <v>1.9636653E7</v>
      </c>
    </row>
    <row r="171">
      <c r="A171" s="43" t="s">
        <v>74</v>
      </c>
      <c r="B171" s="6" t="s">
        <v>167</v>
      </c>
      <c r="C171" s="7" t="s">
        <v>168</v>
      </c>
      <c r="D171" s="5">
        <v>1.0</v>
      </c>
      <c r="E171" s="7" t="s">
        <v>487</v>
      </c>
      <c r="F171" s="5" t="s">
        <v>488</v>
      </c>
      <c r="G171" s="14" t="s">
        <v>519</v>
      </c>
      <c r="H171" s="44" t="s">
        <v>414</v>
      </c>
      <c r="I171" s="31" t="s">
        <v>37</v>
      </c>
      <c r="J171" s="32">
        <v>4631000.0</v>
      </c>
    </row>
    <row r="172">
      <c r="A172" s="43" t="s">
        <v>74</v>
      </c>
      <c r="B172" s="6" t="s">
        <v>167</v>
      </c>
      <c r="C172" s="7" t="s">
        <v>168</v>
      </c>
      <c r="D172" s="5">
        <v>1.0</v>
      </c>
      <c r="E172" s="7" t="s">
        <v>487</v>
      </c>
      <c r="F172" s="5" t="s">
        <v>488</v>
      </c>
      <c r="G172" s="14" t="s">
        <v>489</v>
      </c>
      <c r="H172" s="44" t="s">
        <v>490</v>
      </c>
      <c r="I172" s="31" t="s">
        <v>25</v>
      </c>
      <c r="J172" s="32">
        <v>5428746.0</v>
      </c>
    </row>
    <row r="173">
      <c r="A173" s="43" t="s">
        <v>74</v>
      </c>
      <c r="B173" s="6" t="s">
        <v>167</v>
      </c>
      <c r="C173" s="7" t="s">
        <v>168</v>
      </c>
      <c r="D173" s="5">
        <v>1.0</v>
      </c>
      <c r="E173" s="7" t="s">
        <v>487</v>
      </c>
      <c r="F173" s="5" t="s">
        <v>488</v>
      </c>
      <c r="G173" s="14" t="s">
        <v>458</v>
      </c>
      <c r="H173" s="44" t="s">
        <v>411</v>
      </c>
      <c r="I173" s="31" t="s">
        <v>19</v>
      </c>
      <c r="J173" s="32">
        <v>9097296.0</v>
      </c>
    </row>
    <row r="174">
      <c r="A174" s="43" t="s">
        <v>74</v>
      </c>
      <c r="B174" s="6" t="s">
        <v>167</v>
      </c>
      <c r="C174" s="7" t="s">
        <v>168</v>
      </c>
      <c r="D174" s="5">
        <v>1.0</v>
      </c>
      <c r="E174" s="7" t="s">
        <v>487</v>
      </c>
      <c r="F174" s="5" t="s">
        <v>488</v>
      </c>
      <c r="G174" s="14" t="s">
        <v>477</v>
      </c>
      <c r="H174" s="44" t="s">
        <v>429</v>
      </c>
      <c r="I174" s="31" t="s">
        <v>50</v>
      </c>
      <c r="J174" s="32">
        <v>2721264.0</v>
      </c>
    </row>
    <row r="175">
      <c r="A175" s="43" t="s">
        <v>74</v>
      </c>
      <c r="B175" s="6" t="s">
        <v>167</v>
      </c>
      <c r="C175" s="7" t="s">
        <v>168</v>
      </c>
      <c r="D175" s="5">
        <v>1.0</v>
      </c>
      <c r="E175" s="7" t="s">
        <v>469</v>
      </c>
      <c r="F175" s="5" t="s">
        <v>470</v>
      </c>
      <c r="G175" s="14" t="s">
        <v>471</v>
      </c>
      <c r="H175" s="44" t="s">
        <v>472</v>
      </c>
      <c r="I175" s="31" t="s">
        <v>25</v>
      </c>
      <c r="J175" s="32">
        <v>0.0</v>
      </c>
    </row>
    <row r="176">
      <c r="A176" s="43" t="s">
        <v>74</v>
      </c>
      <c r="B176" s="6" t="s">
        <v>167</v>
      </c>
      <c r="C176" s="7" t="s">
        <v>168</v>
      </c>
      <c r="D176" s="5">
        <v>1.0</v>
      </c>
      <c r="E176" s="7" t="s">
        <v>473</v>
      </c>
      <c r="F176" s="5" t="s">
        <v>474</v>
      </c>
      <c r="G176" s="14" t="s">
        <v>523</v>
      </c>
      <c r="H176" s="44" t="s">
        <v>431</v>
      </c>
      <c r="I176" s="31" t="s">
        <v>17</v>
      </c>
      <c r="J176" s="32">
        <v>1.15743327E8</v>
      </c>
    </row>
    <row r="177">
      <c r="A177" s="43" t="s">
        <v>74</v>
      </c>
      <c r="B177" s="6" t="s">
        <v>167</v>
      </c>
      <c r="C177" s="7" t="s">
        <v>168</v>
      </c>
      <c r="D177" s="5">
        <v>1.0</v>
      </c>
      <c r="E177" s="7" t="s">
        <v>473</v>
      </c>
      <c r="F177" s="5" t="s">
        <v>474</v>
      </c>
      <c r="G177" s="14" t="s">
        <v>523</v>
      </c>
      <c r="H177" s="44" t="s">
        <v>431</v>
      </c>
      <c r="I177" s="31" t="s">
        <v>25</v>
      </c>
      <c r="J177" s="32">
        <v>1.29935E7</v>
      </c>
    </row>
    <row r="178">
      <c r="A178" s="43" t="s">
        <v>74</v>
      </c>
      <c r="B178" s="6" t="s">
        <v>167</v>
      </c>
      <c r="C178" s="7" t="s">
        <v>168</v>
      </c>
      <c r="D178" s="5">
        <v>1.0</v>
      </c>
      <c r="E178" s="7" t="s">
        <v>473</v>
      </c>
      <c r="F178" s="5" t="s">
        <v>474</v>
      </c>
      <c r="G178" s="14" t="s">
        <v>458</v>
      </c>
      <c r="H178" s="44" t="s">
        <v>411</v>
      </c>
      <c r="I178" s="31" t="s">
        <v>19</v>
      </c>
      <c r="J178" s="32">
        <v>6.5376024E7</v>
      </c>
    </row>
    <row r="179">
      <c r="A179" s="43" t="s">
        <v>74</v>
      </c>
      <c r="B179" s="6" t="s">
        <v>167</v>
      </c>
      <c r="C179" s="7" t="s">
        <v>168</v>
      </c>
      <c r="D179" s="5">
        <v>1.0</v>
      </c>
      <c r="E179" s="7" t="s">
        <v>491</v>
      </c>
      <c r="F179" s="5" t="s">
        <v>492</v>
      </c>
      <c r="G179" s="14" t="s">
        <v>493</v>
      </c>
      <c r="H179" s="44" t="s">
        <v>437</v>
      </c>
      <c r="I179" s="31" t="s">
        <v>25</v>
      </c>
      <c r="J179" s="32">
        <v>8258749.0</v>
      </c>
    </row>
    <row r="180">
      <c r="A180" s="43" t="s">
        <v>74</v>
      </c>
      <c r="B180" s="6" t="s">
        <v>167</v>
      </c>
      <c r="C180" s="7" t="s">
        <v>168</v>
      </c>
      <c r="D180" s="5">
        <v>1.0</v>
      </c>
      <c r="E180" s="7" t="s">
        <v>494</v>
      </c>
      <c r="F180" s="5" t="s">
        <v>495</v>
      </c>
      <c r="G180" s="14" t="s">
        <v>458</v>
      </c>
      <c r="H180" s="44" t="s">
        <v>411</v>
      </c>
      <c r="I180" s="31" t="s">
        <v>19</v>
      </c>
      <c r="J180" s="32">
        <v>2974116.0</v>
      </c>
    </row>
    <row r="181">
      <c r="A181" s="43" t="s">
        <v>74</v>
      </c>
      <c r="B181" s="6" t="s">
        <v>167</v>
      </c>
      <c r="C181" s="7" t="s">
        <v>168</v>
      </c>
      <c r="D181" s="5">
        <v>1.0</v>
      </c>
      <c r="E181" s="7" t="s">
        <v>475</v>
      </c>
      <c r="F181" s="5" t="s">
        <v>476</v>
      </c>
      <c r="G181" s="14" t="s">
        <v>477</v>
      </c>
      <c r="H181" s="44" t="s">
        <v>429</v>
      </c>
      <c r="I181" s="31" t="s">
        <v>50</v>
      </c>
      <c r="J181" s="32">
        <v>6.7283099E7</v>
      </c>
    </row>
    <row r="182">
      <c r="A182" s="43" t="s">
        <v>74</v>
      </c>
      <c r="B182" s="6" t="s">
        <v>167</v>
      </c>
      <c r="C182" s="7" t="s">
        <v>168</v>
      </c>
      <c r="D182" s="5">
        <v>1.0</v>
      </c>
      <c r="E182" s="7" t="s">
        <v>533</v>
      </c>
      <c r="F182" s="5" t="s">
        <v>534</v>
      </c>
      <c r="G182" s="14" t="s">
        <v>535</v>
      </c>
      <c r="H182" s="44" t="s">
        <v>536</v>
      </c>
      <c r="I182" s="31" t="s">
        <v>25</v>
      </c>
      <c r="J182" s="32">
        <v>7970000.0</v>
      </c>
    </row>
    <row r="183">
      <c r="A183" s="43" t="s">
        <v>74</v>
      </c>
      <c r="B183" s="6" t="s">
        <v>167</v>
      </c>
      <c r="C183" s="7" t="s">
        <v>168</v>
      </c>
      <c r="D183" s="5">
        <v>1.0</v>
      </c>
      <c r="E183" s="7" t="s">
        <v>524</v>
      </c>
      <c r="F183" s="5" t="s">
        <v>479</v>
      </c>
      <c r="G183" s="14" t="s">
        <v>443</v>
      </c>
      <c r="H183" s="44" t="s">
        <v>420</v>
      </c>
      <c r="I183" s="31" t="s">
        <v>19</v>
      </c>
      <c r="J183" s="32">
        <v>1.12299496E8</v>
      </c>
    </row>
    <row r="184">
      <c r="A184" s="43" t="s">
        <v>74</v>
      </c>
      <c r="B184" s="6" t="s">
        <v>167</v>
      </c>
      <c r="C184" s="7" t="s">
        <v>168</v>
      </c>
      <c r="D184" s="5">
        <v>1.0</v>
      </c>
      <c r="E184" s="7" t="s">
        <v>524</v>
      </c>
      <c r="F184" s="5" t="s">
        <v>479</v>
      </c>
      <c r="G184" s="14" t="s">
        <v>444</v>
      </c>
      <c r="H184" s="44" t="s">
        <v>445</v>
      </c>
      <c r="I184" s="31" t="s">
        <v>19</v>
      </c>
      <c r="J184" s="32">
        <v>6742672.0</v>
      </c>
    </row>
    <row r="185">
      <c r="A185" s="43" t="s">
        <v>74</v>
      </c>
      <c r="B185" s="6" t="s">
        <v>167</v>
      </c>
      <c r="C185" s="7" t="s">
        <v>168</v>
      </c>
      <c r="D185" s="5">
        <v>1.0</v>
      </c>
      <c r="E185" s="7" t="s">
        <v>524</v>
      </c>
      <c r="F185" s="5" t="s">
        <v>479</v>
      </c>
      <c r="G185" s="14" t="s">
        <v>537</v>
      </c>
      <c r="H185" s="44" t="s">
        <v>538</v>
      </c>
      <c r="I185" s="31" t="s">
        <v>19</v>
      </c>
      <c r="J185" s="32">
        <v>0.0</v>
      </c>
    </row>
    <row r="186">
      <c r="A186" s="43" t="s">
        <v>74</v>
      </c>
      <c r="B186" s="6" t="s">
        <v>167</v>
      </c>
      <c r="C186" s="7" t="s">
        <v>168</v>
      </c>
      <c r="D186" s="5">
        <v>1.0</v>
      </c>
      <c r="E186" s="7" t="s">
        <v>524</v>
      </c>
      <c r="F186" s="5" t="s">
        <v>479</v>
      </c>
      <c r="G186" s="14" t="s">
        <v>446</v>
      </c>
      <c r="H186" s="44" t="s">
        <v>447</v>
      </c>
      <c r="I186" s="31" t="s">
        <v>19</v>
      </c>
      <c r="J186" s="32">
        <v>1241069.0</v>
      </c>
    </row>
    <row r="187">
      <c r="A187" s="43" t="s">
        <v>74</v>
      </c>
      <c r="B187" s="6" t="s">
        <v>167</v>
      </c>
      <c r="C187" s="7" t="s">
        <v>168</v>
      </c>
      <c r="D187" s="5">
        <v>1.0</v>
      </c>
      <c r="E187" s="7" t="s">
        <v>524</v>
      </c>
      <c r="F187" s="5" t="s">
        <v>479</v>
      </c>
      <c r="G187" s="14" t="s">
        <v>448</v>
      </c>
      <c r="H187" s="44" t="s">
        <v>449</v>
      </c>
      <c r="I187" s="31" t="s">
        <v>19</v>
      </c>
      <c r="J187" s="32">
        <v>3102666.0</v>
      </c>
    </row>
    <row r="188">
      <c r="A188" s="43" t="s">
        <v>74</v>
      </c>
      <c r="B188" s="6" t="s">
        <v>167</v>
      </c>
      <c r="C188" s="7" t="s">
        <v>168</v>
      </c>
      <c r="D188" s="5">
        <v>1.0</v>
      </c>
      <c r="E188" s="7" t="s">
        <v>524</v>
      </c>
      <c r="F188" s="5" t="s">
        <v>479</v>
      </c>
      <c r="G188" s="14" t="s">
        <v>450</v>
      </c>
      <c r="H188" s="44" t="s">
        <v>451</v>
      </c>
      <c r="I188" s="31" t="s">
        <v>19</v>
      </c>
      <c r="J188" s="32">
        <v>0.0</v>
      </c>
    </row>
    <row r="189">
      <c r="A189" s="43" t="s">
        <v>74</v>
      </c>
      <c r="B189" s="6" t="s">
        <v>167</v>
      </c>
      <c r="C189" s="7" t="s">
        <v>168</v>
      </c>
      <c r="D189" s="5">
        <v>1.0</v>
      </c>
      <c r="E189" s="7" t="s">
        <v>524</v>
      </c>
      <c r="F189" s="5" t="s">
        <v>479</v>
      </c>
      <c r="G189" s="14" t="s">
        <v>452</v>
      </c>
      <c r="H189" s="44" t="s">
        <v>453</v>
      </c>
      <c r="I189" s="31" t="s">
        <v>19</v>
      </c>
      <c r="J189" s="32">
        <v>2295973.0</v>
      </c>
    </row>
    <row r="190">
      <c r="A190" s="43" t="s">
        <v>74</v>
      </c>
      <c r="B190" s="6" t="s">
        <v>167</v>
      </c>
      <c r="C190" s="7" t="s">
        <v>168</v>
      </c>
      <c r="D190" s="5">
        <v>1.0</v>
      </c>
      <c r="E190" s="7" t="s">
        <v>524</v>
      </c>
      <c r="F190" s="5" t="s">
        <v>479</v>
      </c>
      <c r="G190" s="14" t="s">
        <v>454</v>
      </c>
      <c r="H190" s="44" t="s">
        <v>415</v>
      </c>
      <c r="I190" s="31" t="s">
        <v>19</v>
      </c>
      <c r="J190" s="32">
        <v>335087.0</v>
      </c>
    </row>
    <row r="191">
      <c r="A191" s="43" t="s">
        <v>74</v>
      </c>
      <c r="B191" s="6" t="s">
        <v>167</v>
      </c>
      <c r="C191" s="7" t="s">
        <v>168</v>
      </c>
      <c r="D191" s="5">
        <v>1.0</v>
      </c>
      <c r="E191" s="7" t="s">
        <v>524</v>
      </c>
      <c r="F191" s="5" t="s">
        <v>479</v>
      </c>
      <c r="G191" s="14" t="s">
        <v>455</v>
      </c>
      <c r="H191" s="44" t="s">
        <v>415</v>
      </c>
      <c r="I191" s="31" t="s">
        <v>19</v>
      </c>
      <c r="J191" s="32">
        <v>186158.0</v>
      </c>
    </row>
    <row r="192">
      <c r="A192" s="43" t="s">
        <v>74</v>
      </c>
      <c r="B192" s="6" t="s">
        <v>167</v>
      </c>
      <c r="C192" s="7" t="s">
        <v>168</v>
      </c>
      <c r="D192" s="5">
        <v>1.0</v>
      </c>
      <c r="E192" s="7" t="s">
        <v>524</v>
      </c>
      <c r="F192" s="5" t="s">
        <v>479</v>
      </c>
      <c r="G192" s="14" t="s">
        <v>499</v>
      </c>
      <c r="H192" s="44" t="s">
        <v>500</v>
      </c>
      <c r="I192" s="31" t="s">
        <v>19</v>
      </c>
      <c r="J192" s="32">
        <v>1.9511215E7</v>
      </c>
    </row>
    <row r="193">
      <c r="A193" s="43" t="s">
        <v>74</v>
      </c>
      <c r="B193" s="6" t="s">
        <v>167</v>
      </c>
      <c r="C193" s="7" t="s">
        <v>168</v>
      </c>
      <c r="D193" s="5">
        <v>1.0</v>
      </c>
      <c r="E193" s="7" t="s">
        <v>525</v>
      </c>
      <c r="F193" s="5" t="s">
        <v>502</v>
      </c>
      <c r="G193" s="14" t="s">
        <v>526</v>
      </c>
      <c r="H193" s="44" t="s">
        <v>527</v>
      </c>
      <c r="I193" s="31" t="s">
        <v>60</v>
      </c>
      <c r="J193" s="32">
        <v>1.13970019E9</v>
      </c>
    </row>
    <row r="194">
      <c r="A194" s="43" t="s">
        <v>74</v>
      </c>
      <c r="B194" s="6" t="s">
        <v>167</v>
      </c>
      <c r="C194" s="7" t="s">
        <v>168</v>
      </c>
      <c r="D194" s="5">
        <v>1.0</v>
      </c>
      <c r="E194" s="7" t="s">
        <v>525</v>
      </c>
      <c r="F194" s="5" t="s">
        <v>502</v>
      </c>
      <c r="G194" s="14" t="s">
        <v>539</v>
      </c>
      <c r="H194" s="44" t="s">
        <v>540</v>
      </c>
      <c r="I194" s="31" t="s">
        <v>60</v>
      </c>
      <c r="J194" s="32">
        <v>2754156.0</v>
      </c>
    </row>
    <row r="195">
      <c r="A195" s="43" t="s">
        <v>74</v>
      </c>
      <c r="B195" s="6" t="s">
        <v>167</v>
      </c>
      <c r="C195" s="7" t="s">
        <v>168</v>
      </c>
      <c r="D195" s="5">
        <v>1.0</v>
      </c>
      <c r="E195" s="7" t="s">
        <v>525</v>
      </c>
      <c r="F195" s="5" t="s">
        <v>502</v>
      </c>
      <c r="G195" s="14" t="s">
        <v>505</v>
      </c>
      <c r="H195" s="44" t="s">
        <v>506</v>
      </c>
      <c r="I195" s="31" t="s">
        <v>60</v>
      </c>
      <c r="J195" s="32">
        <v>7852263.0</v>
      </c>
    </row>
    <row r="196">
      <c r="A196" s="43" t="s">
        <v>74</v>
      </c>
      <c r="B196" s="6" t="s">
        <v>167</v>
      </c>
      <c r="C196" s="7" t="s">
        <v>168</v>
      </c>
      <c r="D196" s="5">
        <v>1.0</v>
      </c>
      <c r="E196" s="7" t="s">
        <v>525</v>
      </c>
      <c r="F196" s="5" t="s">
        <v>502</v>
      </c>
      <c r="G196" s="14" t="s">
        <v>507</v>
      </c>
      <c r="H196" s="44" t="s">
        <v>508</v>
      </c>
      <c r="I196" s="31" t="s">
        <v>60</v>
      </c>
      <c r="J196" s="32">
        <v>4757272.0</v>
      </c>
    </row>
    <row r="197">
      <c r="A197" s="43" t="s">
        <v>74</v>
      </c>
      <c r="B197" s="6" t="s">
        <v>167</v>
      </c>
      <c r="C197" s="7" t="s">
        <v>168</v>
      </c>
      <c r="D197" s="5">
        <v>1.0</v>
      </c>
      <c r="E197" s="7" t="s">
        <v>525</v>
      </c>
      <c r="F197" s="5" t="s">
        <v>502</v>
      </c>
      <c r="G197" s="14" t="s">
        <v>509</v>
      </c>
      <c r="H197" s="44" t="s">
        <v>510</v>
      </c>
      <c r="I197" s="31" t="s">
        <v>60</v>
      </c>
      <c r="J197" s="32">
        <v>220000.0</v>
      </c>
    </row>
    <row r="198">
      <c r="A198" s="43" t="s">
        <v>74</v>
      </c>
      <c r="B198" s="6" t="s">
        <v>167</v>
      </c>
      <c r="C198" s="7" t="s">
        <v>168</v>
      </c>
      <c r="D198" s="5">
        <v>1.0</v>
      </c>
      <c r="E198" s="7" t="s">
        <v>525</v>
      </c>
      <c r="F198" s="5" t="s">
        <v>502</v>
      </c>
      <c r="G198" s="14" t="s">
        <v>511</v>
      </c>
      <c r="H198" s="44" t="s">
        <v>512</v>
      </c>
      <c r="I198" s="31" t="s">
        <v>60</v>
      </c>
      <c r="J198" s="32">
        <v>1.1078992E8</v>
      </c>
    </row>
    <row r="199">
      <c r="A199" s="43" t="s">
        <v>74</v>
      </c>
      <c r="B199" s="6" t="s">
        <v>167</v>
      </c>
      <c r="C199" s="7" t="s">
        <v>168</v>
      </c>
      <c r="D199" s="5">
        <v>1.0</v>
      </c>
      <c r="E199" s="7" t="s">
        <v>525</v>
      </c>
      <c r="F199" s="5" t="s">
        <v>502</v>
      </c>
      <c r="G199" s="14" t="s">
        <v>513</v>
      </c>
      <c r="H199" s="44" t="s">
        <v>514</v>
      </c>
      <c r="I199" s="31" t="s">
        <v>60</v>
      </c>
      <c r="J199" s="32">
        <v>5737472.0</v>
      </c>
    </row>
    <row r="200">
      <c r="A200" s="43" t="s">
        <v>74</v>
      </c>
      <c r="B200" s="6" t="s">
        <v>167</v>
      </c>
      <c r="C200" s="7" t="s">
        <v>168</v>
      </c>
      <c r="D200" s="5">
        <v>1.0</v>
      </c>
      <c r="E200" s="7" t="s">
        <v>525</v>
      </c>
      <c r="F200" s="5" t="s">
        <v>502</v>
      </c>
      <c r="G200" s="14" t="s">
        <v>528</v>
      </c>
      <c r="H200" s="44" t="s">
        <v>529</v>
      </c>
      <c r="I200" s="31" t="s">
        <v>60</v>
      </c>
      <c r="J200" s="32">
        <v>6123492.0</v>
      </c>
    </row>
    <row r="201">
      <c r="A201" s="43" t="s">
        <v>74</v>
      </c>
      <c r="B201" s="6" t="s">
        <v>170</v>
      </c>
      <c r="C201" s="7" t="s">
        <v>171</v>
      </c>
      <c r="D201" s="5">
        <v>1.0</v>
      </c>
      <c r="E201" s="7" t="s">
        <v>441</v>
      </c>
      <c r="F201" s="5" t="s">
        <v>442</v>
      </c>
      <c r="G201" s="14" t="s">
        <v>443</v>
      </c>
      <c r="H201" s="44" t="s">
        <v>420</v>
      </c>
      <c r="I201" s="31" t="s">
        <v>19</v>
      </c>
      <c r="J201" s="32">
        <v>4.8204822E7</v>
      </c>
    </row>
    <row r="202">
      <c r="A202" s="43" t="s">
        <v>74</v>
      </c>
      <c r="B202" s="6" t="s">
        <v>170</v>
      </c>
      <c r="C202" s="7" t="s">
        <v>171</v>
      </c>
      <c r="D202" s="5">
        <v>1.0</v>
      </c>
      <c r="E202" s="7" t="s">
        <v>441</v>
      </c>
      <c r="F202" s="5" t="s">
        <v>442</v>
      </c>
      <c r="G202" s="14" t="s">
        <v>444</v>
      </c>
      <c r="H202" s="44" t="s">
        <v>445</v>
      </c>
      <c r="I202" s="31" t="s">
        <v>19</v>
      </c>
      <c r="J202" s="32">
        <v>3838613.0</v>
      </c>
    </row>
    <row r="203">
      <c r="A203" s="43" t="s">
        <v>74</v>
      </c>
      <c r="B203" s="6" t="s">
        <v>170</v>
      </c>
      <c r="C203" s="7" t="s">
        <v>171</v>
      </c>
      <c r="D203" s="5">
        <v>1.0</v>
      </c>
      <c r="E203" s="7" t="s">
        <v>441</v>
      </c>
      <c r="F203" s="5" t="s">
        <v>442</v>
      </c>
      <c r="G203" s="14" t="s">
        <v>446</v>
      </c>
      <c r="H203" s="44" t="s">
        <v>447</v>
      </c>
      <c r="I203" s="31" t="s">
        <v>19</v>
      </c>
      <c r="J203" s="32">
        <v>503731.0</v>
      </c>
    </row>
    <row r="204">
      <c r="A204" s="43" t="s">
        <v>74</v>
      </c>
      <c r="B204" s="6" t="s">
        <v>170</v>
      </c>
      <c r="C204" s="7" t="s">
        <v>171</v>
      </c>
      <c r="D204" s="5">
        <v>1.0</v>
      </c>
      <c r="E204" s="7" t="s">
        <v>441</v>
      </c>
      <c r="F204" s="5" t="s">
        <v>442</v>
      </c>
      <c r="G204" s="14" t="s">
        <v>448</v>
      </c>
      <c r="H204" s="44" t="s">
        <v>449</v>
      </c>
      <c r="I204" s="31" t="s">
        <v>19</v>
      </c>
      <c r="J204" s="32">
        <v>1259328.0</v>
      </c>
    </row>
    <row r="205">
      <c r="A205" s="43" t="s">
        <v>74</v>
      </c>
      <c r="B205" s="6" t="s">
        <v>170</v>
      </c>
      <c r="C205" s="7" t="s">
        <v>171</v>
      </c>
      <c r="D205" s="5">
        <v>1.0</v>
      </c>
      <c r="E205" s="7" t="s">
        <v>441</v>
      </c>
      <c r="F205" s="5" t="s">
        <v>442</v>
      </c>
      <c r="G205" s="14" t="s">
        <v>450</v>
      </c>
      <c r="H205" s="44" t="s">
        <v>451</v>
      </c>
      <c r="I205" s="31" t="s">
        <v>19</v>
      </c>
      <c r="J205" s="32">
        <v>0.0</v>
      </c>
    </row>
    <row r="206">
      <c r="A206" s="43" t="s">
        <v>74</v>
      </c>
      <c r="B206" s="6" t="s">
        <v>170</v>
      </c>
      <c r="C206" s="7" t="s">
        <v>171</v>
      </c>
      <c r="D206" s="5">
        <v>1.0</v>
      </c>
      <c r="E206" s="7" t="s">
        <v>441</v>
      </c>
      <c r="F206" s="5" t="s">
        <v>442</v>
      </c>
      <c r="G206" s="14" t="s">
        <v>452</v>
      </c>
      <c r="H206" s="44" t="s">
        <v>453</v>
      </c>
      <c r="I206" s="31" t="s">
        <v>19</v>
      </c>
      <c r="J206" s="32">
        <v>931903.0</v>
      </c>
    </row>
    <row r="207">
      <c r="A207" s="43" t="s">
        <v>74</v>
      </c>
      <c r="B207" s="6" t="s">
        <v>170</v>
      </c>
      <c r="C207" s="7" t="s">
        <v>171</v>
      </c>
      <c r="D207" s="5">
        <v>1.0</v>
      </c>
      <c r="E207" s="7" t="s">
        <v>441</v>
      </c>
      <c r="F207" s="5" t="s">
        <v>442</v>
      </c>
      <c r="G207" s="14" t="s">
        <v>454</v>
      </c>
      <c r="H207" s="44" t="s">
        <v>415</v>
      </c>
      <c r="I207" s="31" t="s">
        <v>19</v>
      </c>
      <c r="J207" s="32">
        <v>136007.0</v>
      </c>
    </row>
    <row r="208">
      <c r="A208" s="43" t="s">
        <v>74</v>
      </c>
      <c r="B208" s="6" t="s">
        <v>170</v>
      </c>
      <c r="C208" s="7" t="s">
        <v>171</v>
      </c>
      <c r="D208" s="5">
        <v>1.0</v>
      </c>
      <c r="E208" s="7" t="s">
        <v>441</v>
      </c>
      <c r="F208" s="5" t="s">
        <v>442</v>
      </c>
      <c r="G208" s="14" t="s">
        <v>455</v>
      </c>
      <c r="H208" s="44" t="s">
        <v>415</v>
      </c>
      <c r="I208" s="31" t="s">
        <v>19</v>
      </c>
      <c r="J208" s="32">
        <v>75560.0</v>
      </c>
    </row>
    <row r="209">
      <c r="A209" s="43" t="s">
        <v>74</v>
      </c>
      <c r="B209" s="6" t="s">
        <v>170</v>
      </c>
      <c r="C209" s="7" t="s">
        <v>171</v>
      </c>
      <c r="D209" s="5">
        <v>1.0</v>
      </c>
      <c r="E209" s="7" t="s">
        <v>456</v>
      </c>
      <c r="F209" s="5" t="s">
        <v>457</v>
      </c>
      <c r="G209" s="14" t="s">
        <v>515</v>
      </c>
      <c r="H209" s="44" t="s">
        <v>413</v>
      </c>
      <c r="I209" s="31" t="s">
        <v>19</v>
      </c>
      <c r="J209" s="32">
        <v>1.075671E7</v>
      </c>
    </row>
    <row r="210">
      <c r="A210" s="43" t="s">
        <v>74</v>
      </c>
      <c r="B210" s="6" t="s">
        <v>170</v>
      </c>
      <c r="C210" s="7" t="s">
        <v>171</v>
      </c>
      <c r="D210" s="5">
        <v>1.0</v>
      </c>
      <c r="E210" s="7" t="s">
        <v>456</v>
      </c>
      <c r="F210" s="5" t="s">
        <v>457</v>
      </c>
      <c r="G210" s="14" t="s">
        <v>499</v>
      </c>
      <c r="H210" s="44" t="s">
        <v>500</v>
      </c>
      <c r="I210" s="31" t="s">
        <v>19</v>
      </c>
      <c r="J210" s="32">
        <v>250000.0</v>
      </c>
    </row>
    <row r="211">
      <c r="A211" s="43" t="s">
        <v>74</v>
      </c>
      <c r="B211" s="6" t="s">
        <v>170</v>
      </c>
      <c r="C211" s="7" t="s">
        <v>171</v>
      </c>
      <c r="D211" s="5">
        <v>1.0</v>
      </c>
      <c r="E211" s="7" t="s">
        <v>456</v>
      </c>
      <c r="F211" s="5" t="s">
        <v>457</v>
      </c>
      <c r="G211" s="14" t="s">
        <v>458</v>
      </c>
      <c r="H211" s="44" t="s">
        <v>411</v>
      </c>
      <c r="I211" s="31" t="s">
        <v>19</v>
      </c>
      <c r="J211" s="32">
        <v>1.59977657E8</v>
      </c>
    </row>
    <row r="212">
      <c r="A212" s="43" t="s">
        <v>74</v>
      </c>
      <c r="B212" s="6" t="s">
        <v>170</v>
      </c>
      <c r="C212" s="7" t="s">
        <v>171</v>
      </c>
      <c r="D212" s="5">
        <v>1.0</v>
      </c>
      <c r="E212" s="7" t="s">
        <v>482</v>
      </c>
      <c r="F212" s="5" t="s">
        <v>483</v>
      </c>
      <c r="G212" s="14" t="s">
        <v>519</v>
      </c>
      <c r="H212" s="44" t="s">
        <v>414</v>
      </c>
      <c r="I212" s="31" t="s">
        <v>25</v>
      </c>
      <c r="J212" s="32">
        <v>812000.0</v>
      </c>
    </row>
    <row r="213">
      <c r="A213" s="43" t="s">
        <v>74</v>
      </c>
      <c r="B213" s="6" t="s">
        <v>170</v>
      </c>
      <c r="C213" s="7" t="s">
        <v>171</v>
      </c>
      <c r="D213" s="5">
        <v>1.0</v>
      </c>
      <c r="E213" s="7" t="s">
        <v>482</v>
      </c>
      <c r="F213" s="5" t="s">
        <v>483</v>
      </c>
      <c r="G213" s="14" t="s">
        <v>458</v>
      </c>
      <c r="H213" s="44" t="s">
        <v>411</v>
      </c>
      <c r="I213" s="31" t="s">
        <v>19</v>
      </c>
      <c r="J213" s="32">
        <v>3834204.0</v>
      </c>
    </row>
    <row r="214">
      <c r="A214" s="43" t="s">
        <v>74</v>
      </c>
      <c r="B214" s="6" t="s">
        <v>170</v>
      </c>
      <c r="C214" s="7" t="s">
        <v>171</v>
      </c>
      <c r="D214" s="5">
        <v>1.0</v>
      </c>
      <c r="E214" s="7" t="s">
        <v>459</v>
      </c>
      <c r="F214" s="5" t="s">
        <v>460</v>
      </c>
      <c r="G214" s="14" t="s">
        <v>461</v>
      </c>
      <c r="H214" s="44" t="s">
        <v>462</v>
      </c>
      <c r="I214" s="31" t="s">
        <v>25</v>
      </c>
      <c r="J214" s="32">
        <v>1379000.0</v>
      </c>
    </row>
    <row r="215">
      <c r="A215" s="43" t="s">
        <v>74</v>
      </c>
      <c r="B215" s="6" t="s">
        <v>170</v>
      </c>
      <c r="C215" s="7" t="s">
        <v>171</v>
      </c>
      <c r="D215" s="5">
        <v>1.0</v>
      </c>
      <c r="E215" s="7" t="s">
        <v>459</v>
      </c>
      <c r="F215" s="5" t="s">
        <v>460</v>
      </c>
      <c r="G215" s="14" t="s">
        <v>458</v>
      </c>
      <c r="H215" s="44" t="s">
        <v>411</v>
      </c>
      <c r="I215" s="31" t="s">
        <v>19</v>
      </c>
      <c r="J215" s="32">
        <v>4715392.0</v>
      </c>
    </row>
    <row r="216">
      <c r="A216" s="43" t="s">
        <v>74</v>
      </c>
      <c r="B216" s="6" t="s">
        <v>170</v>
      </c>
      <c r="C216" s="7" t="s">
        <v>171</v>
      </c>
      <c r="D216" s="5">
        <v>1.0</v>
      </c>
      <c r="E216" s="7" t="s">
        <v>463</v>
      </c>
      <c r="F216" s="5" t="s">
        <v>464</v>
      </c>
      <c r="G216" s="14" t="s">
        <v>541</v>
      </c>
      <c r="H216" s="44" t="s">
        <v>542</v>
      </c>
      <c r="I216" s="31" t="s">
        <v>37</v>
      </c>
      <c r="J216" s="32">
        <v>369401.0</v>
      </c>
    </row>
    <row r="217">
      <c r="A217" s="43" t="s">
        <v>74</v>
      </c>
      <c r="B217" s="6" t="s">
        <v>170</v>
      </c>
      <c r="C217" s="7" t="s">
        <v>171</v>
      </c>
      <c r="D217" s="5">
        <v>1.0</v>
      </c>
      <c r="E217" s="7" t="s">
        <v>463</v>
      </c>
      <c r="F217" s="5" t="s">
        <v>464</v>
      </c>
      <c r="G217" s="14" t="s">
        <v>543</v>
      </c>
      <c r="H217" s="44" t="s">
        <v>430</v>
      </c>
      <c r="I217" s="31" t="s">
        <v>37</v>
      </c>
      <c r="J217" s="32">
        <v>123050.0</v>
      </c>
    </row>
    <row r="218">
      <c r="A218" s="43" t="s">
        <v>74</v>
      </c>
      <c r="B218" s="6" t="s">
        <v>170</v>
      </c>
      <c r="C218" s="7" t="s">
        <v>171</v>
      </c>
      <c r="D218" s="5">
        <v>1.0</v>
      </c>
      <c r="E218" s="7" t="s">
        <v>463</v>
      </c>
      <c r="F218" s="5" t="s">
        <v>464</v>
      </c>
      <c r="G218" s="14" t="s">
        <v>519</v>
      </c>
      <c r="H218" s="44" t="s">
        <v>414</v>
      </c>
      <c r="I218" s="31" t="s">
        <v>37</v>
      </c>
      <c r="J218" s="32">
        <v>262150.0</v>
      </c>
    </row>
    <row r="219">
      <c r="A219" s="43" t="s">
        <v>74</v>
      </c>
      <c r="B219" s="6" t="s">
        <v>170</v>
      </c>
      <c r="C219" s="7" t="s">
        <v>171</v>
      </c>
      <c r="D219" s="5">
        <v>1.0</v>
      </c>
      <c r="E219" s="7" t="s">
        <v>463</v>
      </c>
      <c r="F219" s="5" t="s">
        <v>464</v>
      </c>
      <c r="G219" s="14" t="s">
        <v>519</v>
      </c>
      <c r="H219" s="44" t="s">
        <v>414</v>
      </c>
      <c r="I219" s="31" t="s">
        <v>25</v>
      </c>
      <c r="J219" s="32">
        <v>4510000.0</v>
      </c>
    </row>
    <row r="220">
      <c r="A220" s="43" t="s">
        <v>74</v>
      </c>
      <c r="B220" s="6" t="s">
        <v>170</v>
      </c>
      <c r="C220" s="7" t="s">
        <v>171</v>
      </c>
      <c r="D220" s="5">
        <v>1.0</v>
      </c>
      <c r="E220" s="7" t="s">
        <v>463</v>
      </c>
      <c r="F220" s="5" t="s">
        <v>464</v>
      </c>
      <c r="G220" s="14" t="s">
        <v>521</v>
      </c>
      <c r="H220" s="44" t="s">
        <v>522</v>
      </c>
      <c r="I220" s="31" t="s">
        <v>37</v>
      </c>
      <c r="J220" s="32">
        <v>48150.0</v>
      </c>
    </row>
    <row r="221">
      <c r="A221" s="43" t="s">
        <v>74</v>
      </c>
      <c r="B221" s="6" t="s">
        <v>170</v>
      </c>
      <c r="C221" s="7" t="s">
        <v>171</v>
      </c>
      <c r="D221" s="5">
        <v>1.0</v>
      </c>
      <c r="E221" s="7" t="s">
        <v>463</v>
      </c>
      <c r="F221" s="5" t="s">
        <v>464</v>
      </c>
      <c r="G221" s="14" t="s">
        <v>458</v>
      </c>
      <c r="H221" s="44" t="s">
        <v>411</v>
      </c>
      <c r="I221" s="31" t="s">
        <v>19</v>
      </c>
      <c r="J221" s="32">
        <v>5072917.0</v>
      </c>
    </row>
    <row r="222">
      <c r="A222" s="43" t="s">
        <v>74</v>
      </c>
      <c r="B222" s="6" t="s">
        <v>170</v>
      </c>
      <c r="C222" s="7" t="s">
        <v>171</v>
      </c>
      <c r="D222" s="5">
        <v>1.0</v>
      </c>
      <c r="E222" s="7" t="s">
        <v>469</v>
      </c>
      <c r="F222" s="5" t="s">
        <v>470</v>
      </c>
      <c r="G222" s="14" t="s">
        <v>544</v>
      </c>
      <c r="H222" s="44" t="s">
        <v>421</v>
      </c>
      <c r="I222" s="31" t="s">
        <v>25</v>
      </c>
      <c r="J222" s="32">
        <v>4350000.0</v>
      </c>
    </row>
    <row r="223">
      <c r="A223" s="43" t="s">
        <v>74</v>
      </c>
      <c r="B223" s="6" t="s">
        <v>170</v>
      </c>
      <c r="C223" s="7" t="s">
        <v>171</v>
      </c>
      <c r="D223" s="5">
        <v>1.0</v>
      </c>
      <c r="E223" s="7" t="s">
        <v>469</v>
      </c>
      <c r="F223" s="5" t="s">
        <v>470</v>
      </c>
      <c r="G223" s="14" t="s">
        <v>517</v>
      </c>
      <c r="H223" s="44" t="s">
        <v>518</v>
      </c>
      <c r="I223" s="31" t="s">
        <v>25</v>
      </c>
      <c r="J223" s="32">
        <v>1960000.0</v>
      </c>
    </row>
    <row r="224">
      <c r="A224" s="43" t="s">
        <v>74</v>
      </c>
      <c r="B224" s="6" t="s">
        <v>170</v>
      </c>
      <c r="C224" s="7" t="s">
        <v>171</v>
      </c>
      <c r="D224" s="5">
        <v>1.0</v>
      </c>
      <c r="E224" s="7" t="s">
        <v>469</v>
      </c>
      <c r="F224" s="5" t="s">
        <v>470</v>
      </c>
      <c r="G224" s="14" t="s">
        <v>471</v>
      </c>
      <c r="H224" s="44" t="s">
        <v>472</v>
      </c>
      <c r="I224" s="31" t="s">
        <v>25</v>
      </c>
      <c r="J224" s="32">
        <v>1000000.0</v>
      </c>
    </row>
    <row r="225">
      <c r="A225" s="43" t="s">
        <v>74</v>
      </c>
      <c r="B225" s="6" t="s">
        <v>170</v>
      </c>
      <c r="C225" s="7" t="s">
        <v>171</v>
      </c>
      <c r="D225" s="5">
        <v>1.0</v>
      </c>
      <c r="E225" s="7" t="s">
        <v>473</v>
      </c>
      <c r="F225" s="5" t="s">
        <v>474</v>
      </c>
      <c r="G225" s="14" t="s">
        <v>523</v>
      </c>
      <c r="H225" s="44" t="s">
        <v>431</v>
      </c>
      <c r="I225" s="31" t="s">
        <v>17</v>
      </c>
      <c r="J225" s="32">
        <v>1.20303269E8</v>
      </c>
    </row>
    <row r="226">
      <c r="A226" s="43" t="s">
        <v>74</v>
      </c>
      <c r="B226" s="6" t="s">
        <v>170</v>
      </c>
      <c r="C226" s="7" t="s">
        <v>171</v>
      </c>
      <c r="D226" s="5">
        <v>1.0</v>
      </c>
      <c r="E226" s="7" t="s">
        <v>473</v>
      </c>
      <c r="F226" s="5" t="s">
        <v>474</v>
      </c>
      <c r="G226" s="14" t="s">
        <v>523</v>
      </c>
      <c r="H226" s="44" t="s">
        <v>431</v>
      </c>
      <c r="I226" s="31" t="s">
        <v>25</v>
      </c>
      <c r="J226" s="32">
        <v>-3.9646716E7</v>
      </c>
    </row>
    <row r="227">
      <c r="A227" s="43" t="s">
        <v>74</v>
      </c>
      <c r="B227" s="6" t="s">
        <v>170</v>
      </c>
      <c r="C227" s="7" t="s">
        <v>171</v>
      </c>
      <c r="D227" s="5">
        <v>1.0</v>
      </c>
      <c r="E227" s="7" t="s">
        <v>473</v>
      </c>
      <c r="F227" s="5" t="s">
        <v>474</v>
      </c>
      <c r="G227" s="14" t="s">
        <v>458</v>
      </c>
      <c r="H227" s="44" t="s">
        <v>411</v>
      </c>
      <c r="I227" s="31" t="s">
        <v>19</v>
      </c>
      <c r="J227" s="32">
        <v>8.6474927E7</v>
      </c>
    </row>
    <row r="228">
      <c r="A228" s="43" t="s">
        <v>74</v>
      </c>
      <c r="B228" s="6" t="s">
        <v>170</v>
      </c>
      <c r="C228" s="7" t="s">
        <v>171</v>
      </c>
      <c r="D228" s="5">
        <v>1.0</v>
      </c>
      <c r="E228" s="7" t="s">
        <v>491</v>
      </c>
      <c r="F228" s="5" t="s">
        <v>492</v>
      </c>
      <c r="G228" s="14" t="s">
        <v>493</v>
      </c>
      <c r="H228" s="44" t="s">
        <v>437</v>
      </c>
      <c r="I228" s="31" t="s">
        <v>25</v>
      </c>
      <c r="J228" s="32">
        <v>4114096.0</v>
      </c>
    </row>
    <row r="229">
      <c r="A229" s="43" t="s">
        <v>74</v>
      </c>
      <c r="B229" s="6" t="s">
        <v>170</v>
      </c>
      <c r="C229" s="7" t="s">
        <v>171</v>
      </c>
      <c r="D229" s="5">
        <v>1.0</v>
      </c>
      <c r="E229" s="7" t="s">
        <v>494</v>
      </c>
      <c r="F229" s="5" t="s">
        <v>495</v>
      </c>
      <c r="G229" s="14" t="s">
        <v>545</v>
      </c>
      <c r="H229" s="44" t="s">
        <v>427</v>
      </c>
      <c r="I229" s="31" t="s">
        <v>37</v>
      </c>
      <c r="J229" s="32">
        <v>1004456.0</v>
      </c>
    </row>
    <row r="230">
      <c r="A230" s="43" t="s">
        <v>74</v>
      </c>
      <c r="B230" s="6" t="s">
        <v>170</v>
      </c>
      <c r="C230" s="7" t="s">
        <v>171</v>
      </c>
      <c r="D230" s="5">
        <v>1.0</v>
      </c>
      <c r="E230" s="7" t="s">
        <v>494</v>
      </c>
      <c r="F230" s="5" t="s">
        <v>495</v>
      </c>
      <c r="G230" s="14" t="s">
        <v>546</v>
      </c>
      <c r="H230" s="44" t="s">
        <v>547</v>
      </c>
      <c r="I230" s="31" t="s">
        <v>37</v>
      </c>
      <c r="J230" s="32">
        <v>180000.0</v>
      </c>
    </row>
    <row r="231">
      <c r="A231" s="43" t="s">
        <v>74</v>
      </c>
      <c r="B231" s="6" t="s">
        <v>170</v>
      </c>
      <c r="C231" s="7" t="s">
        <v>171</v>
      </c>
      <c r="D231" s="5">
        <v>1.0</v>
      </c>
      <c r="E231" s="7" t="s">
        <v>494</v>
      </c>
      <c r="F231" s="5" t="s">
        <v>495</v>
      </c>
      <c r="G231" s="14" t="s">
        <v>458</v>
      </c>
      <c r="H231" s="44" t="s">
        <v>411</v>
      </c>
      <c r="I231" s="31" t="s">
        <v>19</v>
      </c>
      <c r="J231" s="32">
        <v>1.6596256E7</v>
      </c>
    </row>
    <row r="232">
      <c r="A232" s="43" t="s">
        <v>74</v>
      </c>
      <c r="B232" s="6" t="s">
        <v>170</v>
      </c>
      <c r="C232" s="7" t="s">
        <v>171</v>
      </c>
      <c r="D232" s="5">
        <v>1.0</v>
      </c>
      <c r="E232" s="7" t="s">
        <v>475</v>
      </c>
      <c r="F232" s="5" t="s">
        <v>476</v>
      </c>
      <c r="G232" s="14" t="s">
        <v>477</v>
      </c>
      <c r="H232" s="44" t="s">
        <v>429</v>
      </c>
      <c r="I232" s="31" t="s">
        <v>50</v>
      </c>
      <c r="J232" s="32">
        <v>3.5078512E7</v>
      </c>
    </row>
    <row r="233">
      <c r="A233" s="43" t="s">
        <v>74</v>
      </c>
      <c r="B233" s="6" t="s">
        <v>170</v>
      </c>
      <c r="C233" s="7" t="s">
        <v>171</v>
      </c>
      <c r="D233" s="5">
        <v>1.0</v>
      </c>
      <c r="E233" s="7" t="s">
        <v>524</v>
      </c>
      <c r="F233" s="5" t="s">
        <v>479</v>
      </c>
      <c r="G233" s="14" t="s">
        <v>443</v>
      </c>
      <c r="H233" s="44" t="s">
        <v>420</v>
      </c>
      <c r="I233" s="31" t="s">
        <v>19</v>
      </c>
      <c r="J233" s="32">
        <v>1.06736828E8</v>
      </c>
    </row>
    <row r="234">
      <c r="A234" s="43" t="s">
        <v>74</v>
      </c>
      <c r="B234" s="6" t="s">
        <v>170</v>
      </c>
      <c r="C234" s="7" t="s">
        <v>171</v>
      </c>
      <c r="D234" s="5">
        <v>1.0</v>
      </c>
      <c r="E234" s="7" t="s">
        <v>524</v>
      </c>
      <c r="F234" s="5" t="s">
        <v>479</v>
      </c>
      <c r="G234" s="14" t="s">
        <v>444</v>
      </c>
      <c r="H234" s="44" t="s">
        <v>445</v>
      </c>
      <c r="I234" s="31" t="s">
        <v>19</v>
      </c>
      <c r="J234" s="32">
        <v>5972572.0</v>
      </c>
    </row>
    <row r="235">
      <c r="A235" s="43" t="s">
        <v>74</v>
      </c>
      <c r="B235" s="6" t="s">
        <v>170</v>
      </c>
      <c r="C235" s="7" t="s">
        <v>171</v>
      </c>
      <c r="D235" s="5">
        <v>1.0</v>
      </c>
      <c r="E235" s="7" t="s">
        <v>524</v>
      </c>
      <c r="F235" s="5" t="s">
        <v>479</v>
      </c>
      <c r="G235" s="14" t="s">
        <v>446</v>
      </c>
      <c r="H235" s="44" t="s">
        <v>447</v>
      </c>
      <c r="I235" s="31" t="s">
        <v>19</v>
      </c>
      <c r="J235" s="32">
        <v>1204724.0</v>
      </c>
    </row>
    <row r="236">
      <c r="A236" s="43" t="s">
        <v>74</v>
      </c>
      <c r="B236" s="6" t="s">
        <v>170</v>
      </c>
      <c r="C236" s="7" t="s">
        <v>171</v>
      </c>
      <c r="D236" s="5">
        <v>1.0</v>
      </c>
      <c r="E236" s="7" t="s">
        <v>524</v>
      </c>
      <c r="F236" s="5" t="s">
        <v>479</v>
      </c>
      <c r="G236" s="14" t="s">
        <v>448</v>
      </c>
      <c r="H236" s="44" t="s">
        <v>449</v>
      </c>
      <c r="I236" s="31" t="s">
        <v>19</v>
      </c>
      <c r="J236" s="32">
        <v>3084438.0</v>
      </c>
    </row>
    <row r="237">
      <c r="A237" s="43" t="s">
        <v>74</v>
      </c>
      <c r="B237" s="6" t="s">
        <v>170</v>
      </c>
      <c r="C237" s="7" t="s">
        <v>171</v>
      </c>
      <c r="D237" s="5">
        <v>1.0</v>
      </c>
      <c r="E237" s="7" t="s">
        <v>524</v>
      </c>
      <c r="F237" s="5" t="s">
        <v>479</v>
      </c>
      <c r="G237" s="14" t="s">
        <v>450</v>
      </c>
      <c r="H237" s="44" t="s">
        <v>451</v>
      </c>
      <c r="I237" s="31" t="s">
        <v>19</v>
      </c>
      <c r="J237" s="32">
        <v>0.0</v>
      </c>
    </row>
    <row r="238">
      <c r="A238" s="43" t="s">
        <v>74</v>
      </c>
      <c r="B238" s="6" t="s">
        <v>170</v>
      </c>
      <c r="C238" s="7" t="s">
        <v>171</v>
      </c>
      <c r="D238" s="5">
        <v>1.0</v>
      </c>
      <c r="E238" s="7" t="s">
        <v>524</v>
      </c>
      <c r="F238" s="5" t="s">
        <v>479</v>
      </c>
      <c r="G238" s="14" t="s">
        <v>452</v>
      </c>
      <c r="H238" s="44" t="s">
        <v>453</v>
      </c>
      <c r="I238" s="31" t="s">
        <v>19</v>
      </c>
      <c r="J238" s="32">
        <v>2286723.0</v>
      </c>
    </row>
    <row r="239">
      <c r="A239" s="43" t="s">
        <v>74</v>
      </c>
      <c r="B239" s="6" t="s">
        <v>170</v>
      </c>
      <c r="C239" s="7" t="s">
        <v>171</v>
      </c>
      <c r="D239" s="5">
        <v>1.0</v>
      </c>
      <c r="E239" s="7" t="s">
        <v>524</v>
      </c>
      <c r="F239" s="5" t="s">
        <v>479</v>
      </c>
      <c r="G239" s="14" t="s">
        <v>454</v>
      </c>
      <c r="H239" s="44" t="s">
        <v>415</v>
      </c>
      <c r="I239" s="31" t="s">
        <v>19</v>
      </c>
      <c r="J239" s="32">
        <v>333738.0</v>
      </c>
    </row>
    <row r="240">
      <c r="A240" s="43" t="s">
        <v>74</v>
      </c>
      <c r="B240" s="6" t="s">
        <v>170</v>
      </c>
      <c r="C240" s="7" t="s">
        <v>171</v>
      </c>
      <c r="D240" s="5">
        <v>1.0</v>
      </c>
      <c r="E240" s="7" t="s">
        <v>524</v>
      </c>
      <c r="F240" s="5" t="s">
        <v>479</v>
      </c>
      <c r="G240" s="14" t="s">
        <v>455</v>
      </c>
      <c r="H240" s="44" t="s">
        <v>415</v>
      </c>
      <c r="I240" s="31" t="s">
        <v>19</v>
      </c>
      <c r="J240" s="32">
        <v>185408.0</v>
      </c>
    </row>
    <row r="241">
      <c r="A241" s="43" t="s">
        <v>74</v>
      </c>
      <c r="B241" s="6" t="s">
        <v>170</v>
      </c>
      <c r="C241" s="7" t="s">
        <v>171</v>
      </c>
      <c r="D241" s="5">
        <v>1.0</v>
      </c>
      <c r="E241" s="7" t="s">
        <v>525</v>
      </c>
      <c r="F241" s="5" t="s">
        <v>502</v>
      </c>
      <c r="G241" s="14" t="s">
        <v>526</v>
      </c>
      <c r="H241" s="44" t="s">
        <v>527</v>
      </c>
      <c r="I241" s="31" t="s">
        <v>60</v>
      </c>
      <c r="J241" s="32">
        <v>1.6203705E8</v>
      </c>
    </row>
    <row r="242">
      <c r="A242" s="43" t="s">
        <v>74</v>
      </c>
      <c r="B242" s="6" t="s">
        <v>170</v>
      </c>
      <c r="C242" s="7" t="s">
        <v>171</v>
      </c>
      <c r="D242" s="5">
        <v>1.0</v>
      </c>
      <c r="E242" s="7" t="s">
        <v>525</v>
      </c>
      <c r="F242" s="5" t="s">
        <v>502</v>
      </c>
      <c r="G242" s="14" t="s">
        <v>539</v>
      </c>
      <c r="H242" s="44" t="s">
        <v>540</v>
      </c>
      <c r="I242" s="31" t="s">
        <v>60</v>
      </c>
      <c r="J242" s="32">
        <v>1783056.0</v>
      </c>
    </row>
    <row r="243">
      <c r="A243" s="43" t="s">
        <v>74</v>
      </c>
      <c r="B243" s="6" t="s">
        <v>170</v>
      </c>
      <c r="C243" s="7" t="s">
        <v>171</v>
      </c>
      <c r="D243" s="5">
        <v>1.0</v>
      </c>
      <c r="E243" s="7" t="s">
        <v>525</v>
      </c>
      <c r="F243" s="5" t="s">
        <v>502</v>
      </c>
      <c r="G243" s="14" t="s">
        <v>505</v>
      </c>
      <c r="H243" s="44" t="s">
        <v>506</v>
      </c>
      <c r="I243" s="31" t="s">
        <v>60</v>
      </c>
      <c r="J243" s="32">
        <v>9086496.0</v>
      </c>
    </row>
    <row r="244">
      <c r="A244" s="43" t="s">
        <v>74</v>
      </c>
      <c r="B244" s="6" t="s">
        <v>170</v>
      </c>
      <c r="C244" s="7" t="s">
        <v>171</v>
      </c>
      <c r="D244" s="5">
        <v>1.0</v>
      </c>
      <c r="E244" s="7" t="s">
        <v>525</v>
      </c>
      <c r="F244" s="5" t="s">
        <v>502</v>
      </c>
      <c r="G244" s="14" t="s">
        <v>507</v>
      </c>
      <c r="H244" s="44" t="s">
        <v>508</v>
      </c>
      <c r="I244" s="31" t="s">
        <v>60</v>
      </c>
      <c r="J244" s="32">
        <v>9548648.0</v>
      </c>
    </row>
    <row r="245">
      <c r="A245" s="43" t="s">
        <v>74</v>
      </c>
      <c r="B245" s="6" t="s">
        <v>170</v>
      </c>
      <c r="C245" s="7" t="s">
        <v>171</v>
      </c>
      <c r="D245" s="5">
        <v>1.0</v>
      </c>
      <c r="E245" s="7" t="s">
        <v>525</v>
      </c>
      <c r="F245" s="5" t="s">
        <v>502</v>
      </c>
      <c r="G245" s="14" t="s">
        <v>509</v>
      </c>
      <c r="H245" s="44" t="s">
        <v>510</v>
      </c>
      <c r="I245" s="31" t="s">
        <v>60</v>
      </c>
      <c r="J245" s="32">
        <v>1233333.0</v>
      </c>
    </row>
    <row r="246">
      <c r="A246" s="43" t="s">
        <v>74</v>
      </c>
      <c r="B246" s="6" t="s">
        <v>170</v>
      </c>
      <c r="C246" s="7" t="s">
        <v>171</v>
      </c>
      <c r="D246" s="5">
        <v>1.0</v>
      </c>
      <c r="E246" s="7" t="s">
        <v>525</v>
      </c>
      <c r="F246" s="5" t="s">
        <v>502</v>
      </c>
      <c r="G246" s="14" t="s">
        <v>511</v>
      </c>
      <c r="H246" s="44" t="s">
        <v>512</v>
      </c>
      <c r="I246" s="31" t="s">
        <v>60</v>
      </c>
      <c r="J246" s="32">
        <v>6.7843732E7</v>
      </c>
    </row>
    <row r="247">
      <c r="A247" s="43" t="s">
        <v>74</v>
      </c>
      <c r="B247" s="6" t="s">
        <v>170</v>
      </c>
      <c r="C247" s="7" t="s">
        <v>171</v>
      </c>
      <c r="D247" s="5">
        <v>1.0</v>
      </c>
      <c r="E247" s="7" t="s">
        <v>525</v>
      </c>
      <c r="F247" s="5" t="s">
        <v>502</v>
      </c>
      <c r="G247" s="14" t="s">
        <v>513</v>
      </c>
      <c r="H247" s="44" t="s">
        <v>514</v>
      </c>
      <c r="I247" s="31" t="s">
        <v>60</v>
      </c>
      <c r="J247" s="32">
        <v>1.1632718E7</v>
      </c>
    </row>
    <row r="248">
      <c r="A248" s="43" t="s">
        <v>74</v>
      </c>
      <c r="B248" s="6" t="s">
        <v>12</v>
      </c>
      <c r="C248" s="7" t="s">
        <v>13</v>
      </c>
      <c r="D248" s="5">
        <v>1.0</v>
      </c>
      <c r="E248" s="7" t="s">
        <v>456</v>
      </c>
      <c r="F248" s="5" t="s">
        <v>457</v>
      </c>
      <c r="G248" s="14" t="s">
        <v>515</v>
      </c>
      <c r="H248" s="44" t="s">
        <v>413</v>
      </c>
      <c r="I248" s="31" t="s">
        <v>19</v>
      </c>
      <c r="J248" s="32">
        <v>2.1009298E7</v>
      </c>
    </row>
    <row r="249">
      <c r="A249" s="43" t="s">
        <v>74</v>
      </c>
      <c r="B249" s="6" t="s">
        <v>12</v>
      </c>
      <c r="C249" s="7" t="s">
        <v>13</v>
      </c>
      <c r="D249" s="5">
        <v>1.0</v>
      </c>
      <c r="E249" s="7" t="s">
        <v>473</v>
      </c>
      <c r="F249" s="5" t="s">
        <v>474</v>
      </c>
      <c r="G249" s="14" t="s">
        <v>523</v>
      </c>
      <c r="H249" s="44" t="s">
        <v>431</v>
      </c>
      <c r="I249" s="31" t="s">
        <v>25</v>
      </c>
      <c r="J249" s="32">
        <v>1.0E7</v>
      </c>
    </row>
    <row r="250">
      <c r="A250" s="43" t="s">
        <v>74</v>
      </c>
      <c r="B250" s="6" t="s">
        <v>12</v>
      </c>
      <c r="C250" s="7" t="s">
        <v>13</v>
      </c>
      <c r="D250" s="5">
        <v>1.0</v>
      </c>
      <c r="E250" s="7" t="s">
        <v>491</v>
      </c>
      <c r="F250" s="5" t="s">
        <v>492</v>
      </c>
      <c r="G250" s="14" t="s">
        <v>493</v>
      </c>
      <c r="H250" s="44" t="s">
        <v>437</v>
      </c>
      <c r="I250" s="31" t="s">
        <v>25</v>
      </c>
      <c r="J250" s="32">
        <v>535000.0</v>
      </c>
    </row>
    <row r="251">
      <c r="A251" s="43" t="s">
        <v>74</v>
      </c>
      <c r="B251" s="6" t="s">
        <v>12</v>
      </c>
      <c r="C251" s="7" t="s">
        <v>13</v>
      </c>
      <c r="D251" s="5">
        <v>1.0</v>
      </c>
      <c r="E251" s="7" t="s">
        <v>475</v>
      </c>
      <c r="F251" s="5" t="s">
        <v>476</v>
      </c>
      <c r="G251" s="14" t="s">
        <v>498</v>
      </c>
      <c r="H251" s="44" t="s">
        <v>434</v>
      </c>
      <c r="I251" s="31" t="s">
        <v>25</v>
      </c>
      <c r="J251" s="32">
        <v>2400000.0</v>
      </c>
    </row>
    <row r="252">
      <c r="A252" s="43" t="s">
        <v>74</v>
      </c>
      <c r="B252" s="6" t="s">
        <v>12</v>
      </c>
      <c r="C252" s="7" t="s">
        <v>13</v>
      </c>
      <c r="D252" s="5">
        <v>1.0</v>
      </c>
      <c r="E252" s="7" t="s">
        <v>525</v>
      </c>
      <c r="F252" s="5" t="s">
        <v>502</v>
      </c>
      <c r="G252" s="14" t="s">
        <v>526</v>
      </c>
      <c r="H252" s="44" t="s">
        <v>527</v>
      </c>
      <c r="I252" s="31" t="s">
        <v>60</v>
      </c>
      <c r="J252" s="32">
        <v>791131.0</v>
      </c>
    </row>
    <row r="253">
      <c r="A253" s="43" t="s">
        <v>74</v>
      </c>
      <c r="B253" s="6" t="s">
        <v>12</v>
      </c>
      <c r="C253" s="7" t="s">
        <v>13</v>
      </c>
      <c r="D253" s="5">
        <v>1.0</v>
      </c>
      <c r="E253" s="7" t="s">
        <v>525</v>
      </c>
      <c r="F253" s="5" t="s">
        <v>502</v>
      </c>
      <c r="G253" s="14" t="s">
        <v>503</v>
      </c>
      <c r="H253" s="44" t="s">
        <v>504</v>
      </c>
      <c r="I253" s="31" t="s">
        <v>60</v>
      </c>
      <c r="J253" s="32">
        <v>1.53430136E8</v>
      </c>
    </row>
    <row r="254">
      <c r="A254" s="43" t="s">
        <v>74</v>
      </c>
      <c r="B254" s="6" t="s">
        <v>12</v>
      </c>
      <c r="C254" s="7" t="s">
        <v>13</v>
      </c>
      <c r="D254" s="5">
        <v>1.0</v>
      </c>
      <c r="E254" s="7" t="s">
        <v>525</v>
      </c>
      <c r="F254" s="5" t="s">
        <v>502</v>
      </c>
      <c r="G254" s="14" t="s">
        <v>505</v>
      </c>
      <c r="H254" s="44" t="s">
        <v>506</v>
      </c>
      <c r="I254" s="31" t="s">
        <v>60</v>
      </c>
      <c r="J254" s="32">
        <v>1107529.0</v>
      </c>
    </row>
    <row r="255">
      <c r="A255" s="43" t="s">
        <v>74</v>
      </c>
      <c r="B255" s="6" t="s">
        <v>12</v>
      </c>
      <c r="C255" s="7" t="s">
        <v>13</v>
      </c>
      <c r="D255" s="5">
        <v>1.0</v>
      </c>
      <c r="E255" s="7" t="s">
        <v>525</v>
      </c>
      <c r="F255" s="5" t="s">
        <v>502</v>
      </c>
      <c r="G255" s="14" t="s">
        <v>507</v>
      </c>
      <c r="H255" s="44" t="s">
        <v>508</v>
      </c>
      <c r="I255" s="31" t="s">
        <v>60</v>
      </c>
      <c r="J255" s="32">
        <v>141852.0</v>
      </c>
    </row>
    <row r="256">
      <c r="A256" s="43" t="s">
        <v>74</v>
      </c>
      <c r="B256" s="6" t="s">
        <v>12</v>
      </c>
      <c r="C256" s="7" t="s">
        <v>13</v>
      </c>
      <c r="D256" s="5">
        <v>1.0</v>
      </c>
      <c r="E256" s="7" t="s">
        <v>525</v>
      </c>
      <c r="F256" s="5" t="s">
        <v>502</v>
      </c>
      <c r="G256" s="14" t="s">
        <v>511</v>
      </c>
      <c r="H256" s="44" t="s">
        <v>512</v>
      </c>
      <c r="I256" s="31" t="s">
        <v>60</v>
      </c>
      <c r="J256" s="32">
        <v>8396384.0</v>
      </c>
    </row>
    <row r="257">
      <c r="A257" s="43" t="s">
        <v>74</v>
      </c>
      <c r="B257" s="6" t="s">
        <v>12</v>
      </c>
      <c r="C257" s="7" t="s">
        <v>13</v>
      </c>
      <c r="D257" s="5">
        <v>1.0</v>
      </c>
      <c r="E257" s="7" t="s">
        <v>525</v>
      </c>
      <c r="F257" s="5" t="s">
        <v>502</v>
      </c>
      <c r="G257" s="14" t="s">
        <v>513</v>
      </c>
      <c r="H257" s="44" t="s">
        <v>514</v>
      </c>
      <c r="I257" s="31" t="s">
        <v>60</v>
      </c>
      <c r="J257" s="32">
        <v>2915926.0</v>
      </c>
    </row>
    <row r="258">
      <c r="A258" s="43" t="s">
        <v>74</v>
      </c>
      <c r="B258" s="6" t="s">
        <v>12</v>
      </c>
      <c r="C258" s="7" t="s">
        <v>13</v>
      </c>
      <c r="D258" s="5">
        <v>1.0</v>
      </c>
      <c r="E258" s="7" t="s">
        <v>548</v>
      </c>
      <c r="F258" s="5" t="s">
        <v>549</v>
      </c>
      <c r="G258" s="14" t="s">
        <v>550</v>
      </c>
      <c r="H258" s="44" t="s">
        <v>551</v>
      </c>
      <c r="I258" s="31" t="s">
        <v>25</v>
      </c>
      <c r="J258" s="32">
        <v>4.45969018E8</v>
      </c>
    </row>
    <row r="259">
      <c r="A259" s="43" t="s">
        <v>74</v>
      </c>
      <c r="B259" s="6" t="s">
        <v>187</v>
      </c>
      <c r="C259" s="7" t="s">
        <v>188</v>
      </c>
      <c r="D259" s="5">
        <v>1.0</v>
      </c>
      <c r="E259" s="7" t="s">
        <v>441</v>
      </c>
      <c r="F259" s="5" t="s">
        <v>442</v>
      </c>
      <c r="G259" s="14" t="s">
        <v>443</v>
      </c>
      <c r="H259" s="44" t="s">
        <v>420</v>
      </c>
      <c r="I259" s="31" t="s">
        <v>19</v>
      </c>
      <c r="J259" s="32">
        <v>2.2004198E7</v>
      </c>
    </row>
    <row r="260">
      <c r="A260" s="43" t="s">
        <v>74</v>
      </c>
      <c r="B260" s="6" t="s">
        <v>187</v>
      </c>
      <c r="C260" s="7" t="s">
        <v>188</v>
      </c>
      <c r="D260" s="5">
        <v>1.0</v>
      </c>
      <c r="E260" s="7" t="s">
        <v>441</v>
      </c>
      <c r="F260" s="5" t="s">
        <v>442</v>
      </c>
      <c r="G260" s="14" t="s">
        <v>444</v>
      </c>
      <c r="H260" s="44" t="s">
        <v>445</v>
      </c>
      <c r="I260" s="31" t="s">
        <v>19</v>
      </c>
      <c r="J260" s="32">
        <v>537577.0</v>
      </c>
    </row>
    <row r="261">
      <c r="A261" s="43" t="s">
        <v>74</v>
      </c>
      <c r="B261" s="6" t="s">
        <v>187</v>
      </c>
      <c r="C261" s="7" t="s">
        <v>188</v>
      </c>
      <c r="D261" s="5">
        <v>1.0</v>
      </c>
      <c r="E261" s="7" t="s">
        <v>441</v>
      </c>
      <c r="F261" s="5" t="s">
        <v>442</v>
      </c>
      <c r="G261" s="14" t="s">
        <v>446</v>
      </c>
      <c r="H261" s="44" t="s">
        <v>447</v>
      </c>
      <c r="I261" s="31" t="s">
        <v>19</v>
      </c>
      <c r="J261" s="32">
        <v>286785.0</v>
      </c>
    </row>
    <row r="262">
      <c r="A262" s="43" t="s">
        <v>74</v>
      </c>
      <c r="B262" s="6" t="s">
        <v>187</v>
      </c>
      <c r="C262" s="7" t="s">
        <v>188</v>
      </c>
      <c r="D262" s="5">
        <v>1.0</v>
      </c>
      <c r="E262" s="7" t="s">
        <v>441</v>
      </c>
      <c r="F262" s="5" t="s">
        <v>442</v>
      </c>
      <c r="G262" s="14" t="s">
        <v>448</v>
      </c>
      <c r="H262" s="44" t="s">
        <v>449</v>
      </c>
      <c r="I262" s="31" t="s">
        <v>19</v>
      </c>
      <c r="J262" s="32">
        <v>716964.0</v>
      </c>
    </row>
    <row r="263">
      <c r="A263" s="43" t="s">
        <v>74</v>
      </c>
      <c r="B263" s="6" t="s">
        <v>187</v>
      </c>
      <c r="C263" s="7" t="s">
        <v>188</v>
      </c>
      <c r="D263" s="5">
        <v>1.0</v>
      </c>
      <c r="E263" s="7" t="s">
        <v>441</v>
      </c>
      <c r="F263" s="5" t="s">
        <v>442</v>
      </c>
      <c r="G263" s="14" t="s">
        <v>450</v>
      </c>
      <c r="H263" s="44" t="s">
        <v>451</v>
      </c>
      <c r="I263" s="31" t="s">
        <v>19</v>
      </c>
      <c r="J263" s="32">
        <v>0.0</v>
      </c>
    </row>
    <row r="264">
      <c r="A264" s="43" t="s">
        <v>74</v>
      </c>
      <c r="B264" s="6" t="s">
        <v>187</v>
      </c>
      <c r="C264" s="7" t="s">
        <v>188</v>
      </c>
      <c r="D264" s="5">
        <v>1.0</v>
      </c>
      <c r="E264" s="7" t="s">
        <v>441</v>
      </c>
      <c r="F264" s="5" t="s">
        <v>442</v>
      </c>
      <c r="G264" s="14" t="s">
        <v>452</v>
      </c>
      <c r="H264" s="44" t="s">
        <v>453</v>
      </c>
      <c r="I264" s="31" t="s">
        <v>19</v>
      </c>
      <c r="J264" s="32">
        <v>530553.0</v>
      </c>
    </row>
    <row r="265">
      <c r="A265" s="43" t="s">
        <v>74</v>
      </c>
      <c r="B265" s="6" t="s">
        <v>187</v>
      </c>
      <c r="C265" s="7" t="s">
        <v>188</v>
      </c>
      <c r="D265" s="5">
        <v>1.0</v>
      </c>
      <c r="E265" s="7" t="s">
        <v>441</v>
      </c>
      <c r="F265" s="5" t="s">
        <v>442</v>
      </c>
      <c r="G265" s="14" t="s">
        <v>454</v>
      </c>
      <c r="H265" s="44" t="s">
        <v>415</v>
      </c>
      <c r="I265" s="31" t="s">
        <v>19</v>
      </c>
      <c r="J265" s="32">
        <v>77432.0</v>
      </c>
    </row>
    <row r="266">
      <c r="A266" s="43" t="s">
        <v>74</v>
      </c>
      <c r="B266" s="6" t="s">
        <v>187</v>
      </c>
      <c r="C266" s="7" t="s">
        <v>188</v>
      </c>
      <c r="D266" s="5">
        <v>1.0</v>
      </c>
      <c r="E266" s="7" t="s">
        <v>441</v>
      </c>
      <c r="F266" s="5" t="s">
        <v>442</v>
      </c>
      <c r="G266" s="14" t="s">
        <v>455</v>
      </c>
      <c r="H266" s="44" t="s">
        <v>415</v>
      </c>
      <c r="I266" s="31" t="s">
        <v>19</v>
      </c>
      <c r="J266" s="32">
        <v>43017.0</v>
      </c>
    </row>
    <row r="267">
      <c r="A267" s="43" t="s">
        <v>74</v>
      </c>
      <c r="B267" s="6" t="s">
        <v>187</v>
      </c>
      <c r="C267" s="7" t="s">
        <v>188</v>
      </c>
      <c r="D267" s="5">
        <v>1.0</v>
      </c>
      <c r="E267" s="7" t="s">
        <v>456</v>
      </c>
      <c r="F267" s="5" t="s">
        <v>457</v>
      </c>
      <c r="G267" s="14" t="s">
        <v>515</v>
      </c>
      <c r="H267" s="44" t="s">
        <v>413</v>
      </c>
      <c r="I267" s="31" t="s">
        <v>19</v>
      </c>
      <c r="J267" s="32">
        <v>3920000.0</v>
      </c>
    </row>
    <row r="268">
      <c r="A268" s="43" t="s">
        <v>74</v>
      </c>
      <c r="B268" s="6" t="s">
        <v>187</v>
      </c>
      <c r="C268" s="7" t="s">
        <v>188</v>
      </c>
      <c r="D268" s="5">
        <v>1.0</v>
      </c>
      <c r="E268" s="7" t="s">
        <v>456</v>
      </c>
      <c r="F268" s="5" t="s">
        <v>457</v>
      </c>
      <c r="G268" s="14" t="s">
        <v>458</v>
      </c>
      <c r="H268" s="44" t="s">
        <v>411</v>
      </c>
      <c r="I268" s="31" t="s">
        <v>19</v>
      </c>
      <c r="J268" s="32">
        <v>1.70810081E8</v>
      </c>
    </row>
    <row r="269">
      <c r="A269" s="43" t="s">
        <v>74</v>
      </c>
      <c r="B269" s="6" t="s">
        <v>187</v>
      </c>
      <c r="C269" s="7" t="s">
        <v>188</v>
      </c>
      <c r="D269" s="5">
        <v>1.0</v>
      </c>
      <c r="E269" s="7" t="s">
        <v>456</v>
      </c>
      <c r="F269" s="5" t="s">
        <v>457</v>
      </c>
      <c r="G269" s="14" t="s">
        <v>532</v>
      </c>
      <c r="H269" s="44" t="s">
        <v>412</v>
      </c>
      <c r="I269" s="31" t="s">
        <v>19</v>
      </c>
      <c r="J269" s="32">
        <v>4876486.0</v>
      </c>
    </row>
    <row r="270">
      <c r="A270" s="43" t="s">
        <v>74</v>
      </c>
      <c r="B270" s="6" t="s">
        <v>187</v>
      </c>
      <c r="C270" s="7" t="s">
        <v>188</v>
      </c>
      <c r="D270" s="5">
        <v>1.0</v>
      </c>
      <c r="E270" s="7" t="s">
        <v>482</v>
      </c>
      <c r="F270" s="5" t="s">
        <v>483</v>
      </c>
      <c r="G270" s="14" t="s">
        <v>458</v>
      </c>
      <c r="H270" s="44" t="s">
        <v>411</v>
      </c>
      <c r="I270" s="31" t="s">
        <v>19</v>
      </c>
      <c r="J270" s="32">
        <v>4953769.0</v>
      </c>
    </row>
    <row r="271">
      <c r="A271" s="43" t="s">
        <v>74</v>
      </c>
      <c r="B271" s="6" t="s">
        <v>187</v>
      </c>
      <c r="C271" s="7" t="s">
        <v>188</v>
      </c>
      <c r="D271" s="5">
        <v>1.0</v>
      </c>
      <c r="E271" s="7" t="s">
        <v>459</v>
      </c>
      <c r="F271" s="5" t="s">
        <v>460</v>
      </c>
      <c r="G271" s="14" t="s">
        <v>519</v>
      </c>
      <c r="H271" s="44" t="s">
        <v>414</v>
      </c>
      <c r="I271" s="31" t="s">
        <v>37</v>
      </c>
      <c r="J271" s="32">
        <v>1.6391E7</v>
      </c>
    </row>
    <row r="272">
      <c r="A272" s="43" t="s">
        <v>74</v>
      </c>
      <c r="B272" s="6" t="s">
        <v>187</v>
      </c>
      <c r="C272" s="7" t="s">
        <v>188</v>
      </c>
      <c r="D272" s="5">
        <v>1.0</v>
      </c>
      <c r="E272" s="7" t="s">
        <v>459</v>
      </c>
      <c r="F272" s="5" t="s">
        <v>460</v>
      </c>
      <c r="G272" s="14" t="s">
        <v>458</v>
      </c>
      <c r="H272" s="44" t="s">
        <v>411</v>
      </c>
      <c r="I272" s="31" t="s">
        <v>19</v>
      </c>
      <c r="J272" s="32">
        <v>4953769.0</v>
      </c>
    </row>
    <row r="273">
      <c r="A273" s="43" t="s">
        <v>74</v>
      </c>
      <c r="B273" s="6" t="s">
        <v>187</v>
      </c>
      <c r="C273" s="7" t="s">
        <v>188</v>
      </c>
      <c r="D273" s="5">
        <v>1.0</v>
      </c>
      <c r="E273" s="7" t="s">
        <v>459</v>
      </c>
      <c r="F273" s="5" t="s">
        <v>460</v>
      </c>
      <c r="G273" s="14" t="s">
        <v>486</v>
      </c>
      <c r="H273" s="44" t="s">
        <v>432</v>
      </c>
      <c r="I273" s="31" t="s">
        <v>25</v>
      </c>
      <c r="J273" s="32">
        <v>641000.0</v>
      </c>
    </row>
    <row r="274">
      <c r="A274" s="43" t="s">
        <v>74</v>
      </c>
      <c r="B274" s="6" t="s">
        <v>187</v>
      </c>
      <c r="C274" s="7" t="s">
        <v>188</v>
      </c>
      <c r="D274" s="5">
        <v>1.0</v>
      </c>
      <c r="E274" s="7" t="s">
        <v>463</v>
      </c>
      <c r="F274" s="5" t="s">
        <v>464</v>
      </c>
      <c r="G274" s="14" t="s">
        <v>545</v>
      </c>
      <c r="H274" s="44" t="s">
        <v>427</v>
      </c>
      <c r="I274" s="31" t="s">
        <v>25</v>
      </c>
      <c r="J274" s="32">
        <v>3336645.0</v>
      </c>
    </row>
    <row r="275">
      <c r="A275" s="43" t="s">
        <v>74</v>
      </c>
      <c r="B275" s="6" t="s">
        <v>187</v>
      </c>
      <c r="C275" s="7" t="s">
        <v>188</v>
      </c>
      <c r="D275" s="5">
        <v>1.0</v>
      </c>
      <c r="E275" s="7" t="s">
        <v>463</v>
      </c>
      <c r="F275" s="5" t="s">
        <v>464</v>
      </c>
      <c r="G275" s="14" t="s">
        <v>541</v>
      </c>
      <c r="H275" s="44" t="s">
        <v>542</v>
      </c>
      <c r="I275" s="31" t="s">
        <v>37</v>
      </c>
      <c r="J275" s="32">
        <v>469000.0</v>
      </c>
    </row>
    <row r="276">
      <c r="A276" s="43" t="s">
        <v>74</v>
      </c>
      <c r="B276" s="6" t="s">
        <v>187</v>
      </c>
      <c r="C276" s="7" t="s">
        <v>188</v>
      </c>
      <c r="D276" s="5">
        <v>1.0</v>
      </c>
      <c r="E276" s="7" t="s">
        <v>463</v>
      </c>
      <c r="F276" s="5" t="s">
        <v>464</v>
      </c>
      <c r="G276" s="14" t="s">
        <v>467</v>
      </c>
      <c r="H276" s="44" t="s">
        <v>468</v>
      </c>
      <c r="I276" s="31" t="s">
        <v>25</v>
      </c>
      <c r="J276" s="32">
        <v>1312000.0</v>
      </c>
    </row>
    <row r="277">
      <c r="A277" s="43" t="s">
        <v>74</v>
      </c>
      <c r="B277" s="6" t="s">
        <v>187</v>
      </c>
      <c r="C277" s="7" t="s">
        <v>188</v>
      </c>
      <c r="D277" s="5">
        <v>1.0</v>
      </c>
      <c r="E277" s="7" t="s">
        <v>463</v>
      </c>
      <c r="F277" s="5" t="s">
        <v>464</v>
      </c>
      <c r="G277" s="14" t="s">
        <v>458</v>
      </c>
      <c r="H277" s="44" t="s">
        <v>411</v>
      </c>
      <c r="I277" s="31" t="s">
        <v>19</v>
      </c>
      <c r="J277" s="32">
        <v>5240798.0</v>
      </c>
    </row>
    <row r="278">
      <c r="A278" s="43" t="s">
        <v>74</v>
      </c>
      <c r="B278" s="6" t="s">
        <v>187</v>
      </c>
      <c r="C278" s="7" t="s">
        <v>188</v>
      </c>
      <c r="D278" s="5">
        <v>1.0</v>
      </c>
      <c r="E278" s="7" t="s">
        <v>487</v>
      </c>
      <c r="F278" s="5" t="s">
        <v>488</v>
      </c>
      <c r="G278" s="14" t="s">
        <v>519</v>
      </c>
      <c r="H278" s="44" t="s">
        <v>414</v>
      </c>
      <c r="I278" s="31" t="s">
        <v>37</v>
      </c>
      <c r="J278" s="32">
        <v>5.5013E8</v>
      </c>
    </row>
    <row r="279">
      <c r="A279" s="43" t="s">
        <v>74</v>
      </c>
      <c r="B279" s="6" t="s">
        <v>187</v>
      </c>
      <c r="C279" s="7" t="s">
        <v>188</v>
      </c>
      <c r="D279" s="5">
        <v>1.0</v>
      </c>
      <c r="E279" s="7" t="s">
        <v>469</v>
      </c>
      <c r="F279" s="5" t="s">
        <v>470</v>
      </c>
      <c r="G279" s="14" t="s">
        <v>544</v>
      </c>
      <c r="H279" s="44" t="s">
        <v>421</v>
      </c>
      <c r="I279" s="31" t="s">
        <v>25</v>
      </c>
      <c r="J279" s="32">
        <v>7487500.0</v>
      </c>
    </row>
    <row r="280">
      <c r="A280" s="43" t="s">
        <v>74</v>
      </c>
      <c r="B280" s="6" t="s">
        <v>187</v>
      </c>
      <c r="C280" s="7" t="s">
        <v>188</v>
      </c>
      <c r="D280" s="5">
        <v>1.0</v>
      </c>
      <c r="E280" s="7" t="s">
        <v>469</v>
      </c>
      <c r="F280" s="5" t="s">
        <v>470</v>
      </c>
      <c r="G280" s="14" t="s">
        <v>516</v>
      </c>
      <c r="H280" s="44" t="s">
        <v>436</v>
      </c>
      <c r="I280" s="31" t="s">
        <v>25</v>
      </c>
      <c r="J280" s="32">
        <v>4900000.0</v>
      </c>
    </row>
    <row r="281">
      <c r="A281" s="43" t="s">
        <v>74</v>
      </c>
      <c r="B281" s="6" t="s">
        <v>187</v>
      </c>
      <c r="C281" s="7" t="s">
        <v>188</v>
      </c>
      <c r="D281" s="5">
        <v>1.0</v>
      </c>
      <c r="E281" s="7" t="s">
        <v>469</v>
      </c>
      <c r="F281" s="5" t="s">
        <v>470</v>
      </c>
      <c r="G281" s="14" t="s">
        <v>552</v>
      </c>
      <c r="H281" s="44" t="s">
        <v>553</v>
      </c>
      <c r="I281" s="31" t="s">
        <v>25</v>
      </c>
      <c r="J281" s="32">
        <v>984000.0</v>
      </c>
    </row>
    <row r="282">
      <c r="A282" s="43" t="s">
        <v>74</v>
      </c>
      <c r="B282" s="6" t="s">
        <v>187</v>
      </c>
      <c r="C282" s="7" t="s">
        <v>188</v>
      </c>
      <c r="D282" s="5">
        <v>1.0</v>
      </c>
      <c r="E282" s="7" t="s">
        <v>469</v>
      </c>
      <c r="F282" s="5" t="s">
        <v>470</v>
      </c>
      <c r="G282" s="14" t="s">
        <v>471</v>
      </c>
      <c r="H282" s="44" t="s">
        <v>472</v>
      </c>
      <c r="I282" s="31" t="s">
        <v>25</v>
      </c>
      <c r="J282" s="32">
        <v>6835000.0</v>
      </c>
    </row>
    <row r="283">
      <c r="A283" s="43" t="s">
        <v>74</v>
      </c>
      <c r="B283" s="6" t="s">
        <v>187</v>
      </c>
      <c r="C283" s="7" t="s">
        <v>188</v>
      </c>
      <c r="D283" s="5">
        <v>1.0</v>
      </c>
      <c r="E283" s="7" t="s">
        <v>473</v>
      </c>
      <c r="F283" s="5" t="s">
        <v>474</v>
      </c>
      <c r="G283" s="14" t="s">
        <v>554</v>
      </c>
      <c r="H283" s="44" t="s">
        <v>555</v>
      </c>
      <c r="I283" s="31" t="s">
        <v>17</v>
      </c>
      <c r="J283" s="32">
        <v>1692805.0</v>
      </c>
    </row>
    <row r="284">
      <c r="A284" s="43" t="s">
        <v>74</v>
      </c>
      <c r="B284" s="6" t="s">
        <v>187</v>
      </c>
      <c r="C284" s="7" t="s">
        <v>188</v>
      </c>
      <c r="D284" s="5">
        <v>1.0</v>
      </c>
      <c r="E284" s="7" t="s">
        <v>473</v>
      </c>
      <c r="F284" s="5" t="s">
        <v>474</v>
      </c>
      <c r="G284" s="14" t="s">
        <v>523</v>
      </c>
      <c r="H284" s="44" t="s">
        <v>431</v>
      </c>
      <c r="I284" s="31" t="s">
        <v>17</v>
      </c>
      <c r="J284" s="32">
        <v>3.01888512E8</v>
      </c>
    </row>
    <row r="285">
      <c r="A285" s="43" t="s">
        <v>74</v>
      </c>
      <c r="B285" s="6" t="s">
        <v>187</v>
      </c>
      <c r="C285" s="7" t="s">
        <v>188</v>
      </c>
      <c r="D285" s="5">
        <v>1.0</v>
      </c>
      <c r="E285" s="7" t="s">
        <v>473</v>
      </c>
      <c r="F285" s="5" t="s">
        <v>474</v>
      </c>
      <c r="G285" s="14" t="s">
        <v>523</v>
      </c>
      <c r="H285" s="44" t="s">
        <v>431</v>
      </c>
      <c r="I285" s="31" t="s">
        <v>25</v>
      </c>
      <c r="J285" s="32">
        <v>2640000.0</v>
      </c>
    </row>
    <row r="286">
      <c r="A286" s="43" t="s">
        <v>74</v>
      </c>
      <c r="B286" s="6" t="s">
        <v>187</v>
      </c>
      <c r="C286" s="7" t="s">
        <v>188</v>
      </c>
      <c r="D286" s="5">
        <v>1.0</v>
      </c>
      <c r="E286" s="7" t="s">
        <v>473</v>
      </c>
      <c r="F286" s="5" t="s">
        <v>474</v>
      </c>
      <c r="G286" s="14" t="s">
        <v>516</v>
      </c>
      <c r="H286" s="44" t="s">
        <v>436</v>
      </c>
      <c r="I286" s="31" t="s">
        <v>25</v>
      </c>
      <c r="J286" s="32">
        <v>5382000.0</v>
      </c>
    </row>
    <row r="287">
      <c r="A287" s="43" t="s">
        <v>74</v>
      </c>
      <c r="B287" s="6" t="s">
        <v>187</v>
      </c>
      <c r="C287" s="7" t="s">
        <v>188</v>
      </c>
      <c r="D287" s="5">
        <v>1.0</v>
      </c>
      <c r="E287" s="7" t="s">
        <v>473</v>
      </c>
      <c r="F287" s="5" t="s">
        <v>474</v>
      </c>
      <c r="G287" s="14" t="s">
        <v>458</v>
      </c>
      <c r="H287" s="44" t="s">
        <v>411</v>
      </c>
      <c r="I287" s="31" t="s">
        <v>19</v>
      </c>
      <c r="J287" s="32">
        <v>3.1444788E7</v>
      </c>
    </row>
    <row r="288">
      <c r="A288" s="43" t="s">
        <v>74</v>
      </c>
      <c r="B288" s="6" t="s">
        <v>187</v>
      </c>
      <c r="C288" s="7" t="s">
        <v>188</v>
      </c>
      <c r="D288" s="5">
        <v>1.0</v>
      </c>
      <c r="E288" s="7" t="s">
        <v>491</v>
      </c>
      <c r="F288" s="5" t="s">
        <v>492</v>
      </c>
      <c r="G288" s="14" t="s">
        <v>493</v>
      </c>
      <c r="H288" s="44" t="s">
        <v>437</v>
      </c>
      <c r="I288" s="31" t="s">
        <v>25</v>
      </c>
      <c r="J288" s="32">
        <v>4535962.0</v>
      </c>
    </row>
    <row r="289">
      <c r="A289" s="43" t="s">
        <v>74</v>
      </c>
      <c r="B289" s="6" t="s">
        <v>187</v>
      </c>
      <c r="C289" s="7" t="s">
        <v>188</v>
      </c>
      <c r="D289" s="5">
        <v>1.0</v>
      </c>
      <c r="E289" s="7" t="s">
        <v>491</v>
      </c>
      <c r="F289" s="5" t="s">
        <v>492</v>
      </c>
      <c r="G289" s="14" t="s">
        <v>458</v>
      </c>
      <c r="H289" s="44" t="s">
        <v>411</v>
      </c>
      <c r="I289" s="31" t="s">
        <v>19</v>
      </c>
      <c r="J289" s="32">
        <v>4953769.0</v>
      </c>
    </row>
    <row r="290">
      <c r="A290" s="43" t="s">
        <v>74</v>
      </c>
      <c r="B290" s="6" t="s">
        <v>187</v>
      </c>
      <c r="C290" s="7" t="s">
        <v>188</v>
      </c>
      <c r="D290" s="5">
        <v>1.0</v>
      </c>
      <c r="E290" s="7" t="s">
        <v>494</v>
      </c>
      <c r="F290" s="5" t="s">
        <v>495</v>
      </c>
      <c r="G290" s="14" t="s">
        <v>496</v>
      </c>
      <c r="H290" s="44" t="s">
        <v>497</v>
      </c>
      <c r="I290" s="31" t="s">
        <v>25</v>
      </c>
      <c r="J290" s="32">
        <v>3936650.0</v>
      </c>
    </row>
    <row r="291">
      <c r="A291" s="43" t="s">
        <v>74</v>
      </c>
      <c r="B291" s="6" t="s">
        <v>187</v>
      </c>
      <c r="C291" s="7" t="s">
        <v>188</v>
      </c>
      <c r="D291" s="5">
        <v>1.0</v>
      </c>
      <c r="E291" s="7" t="s">
        <v>494</v>
      </c>
      <c r="F291" s="5" t="s">
        <v>495</v>
      </c>
      <c r="G291" s="14" t="s">
        <v>477</v>
      </c>
      <c r="H291" s="44" t="s">
        <v>429</v>
      </c>
      <c r="I291" s="31" t="s">
        <v>50</v>
      </c>
      <c r="J291" s="32">
        <v>1.0245115E7</v>
      </c>
    </row>
    <row r="292">
      <c r="A292" s="43" t="s">
        <v>74</v>
      </c>
      <c r="B292" s="6" t="s">
        <v>187</v>
      </c>
      <c r="C292" s="7" t="s">
        <v>188</v>
      </c>
      <c r="D292" s="5">
        <v>1.0</v>
      </c>
      <c r="E292" s="7" t="s">
        <v>475</v>
      </c>
      <c r="F292" s="5" t="s">
        <v>476</v>
      </c>
      <c r="G292" s="14" t="s">
        <v>498</v>
      </c>
      <c r="H292" s="44" t="s">
        <v>434</v>
      </c>
      <c r="I292" s="31" t="s">
        <v>25</v>
      </c>
      <c r="J292" s="32">
        <v>5338000.0</v>
      </c>
    </row>
    <row r="293">
      <c r="A293" s="43" t="s">
        <v>74</v>
      </c>
      <c r="B293" s="6" t="s">
        <v>187</v>
      </c>
      <c r="C293" s="7" t="s">
        <v>188</v>
      </c>
      <c r="D293" s="5">
        <v>1.0</v>
      </c>
      <c r="E293" s="7" t="s">
        <v>475</v>
      </c>
      <c r="F293" s="5" t="s">
        <v>476</v>
      </c>
      <c r="G293" s="14" t="s">
        <v>477</v>
      </c>
      <c r="H293" s="44" t="s">
        <v>429</v>
      </c>
      <c r="I293" s="31" t="s">
        <v>50</v>
      </c>
      <c r="J293" s="32">
        <v>3.8475988E7</v>
      </c>
    </row>
    <row r="294">
      <c r="A294" s="43" t="s">
        <v>74</v>
      </c>
      <c r="B294" s="6" t="s">
        <v>187</v>
      </c>
      <c r="C294" s="7" t="s">
        <v>188</v>
      </c>
      <c r="D294" s="5">
        <v>1.0</v>
      </c>
      <c r="E294" s="7" t="s">
        <v>524</v>
      </c>
      <c r="F294" s="5" t="s">
        <v>479</v>
      </c>
      <c r="G294" s="14" t="s">
        <v>443</v>
      </c>
      <c r="H294" s="44" t="s">
        <v>420</v>
      </c>
      <c r="I294" s="31" t="s">
        <v>19</v>
      </c>
      <c r="J294" s="32">
        <v>7.9093304E7</v>
      </c>
    </row>
    <row r="295">
      <c r="A295" s="43" t="s">
        <v>74</v>
      </c>
      <c r="B295" s="6" t="s">
        <v>187</v>
      </c>
      <c r="C295" s="7" t="s">
        <v>188</v>
      </c>
      <c r="D295" s="5">
        <v>1.0</v>
      </c>
      <c r="E295" s="7" t="s">
        <v>524</v>
      </c>
      <c r="F295" s="5" t="s">
        <v>479</v>
      </c>
      <c r="G295" s="14" t="s">
        <v>444</v>
      </c>
      <c r="H295" s="44" t="s">
        <v>445</v>
      </c>
      <c r="I295" s="31" t="s">
        <v>19</v>
      </c>
      <c r="J295" s="32">
        <v>5930296.0</v>
      </c>
    </row>
    <row r="296">
      <c r="A296" s="43" t="s">
        <v>74</v>
      </c>
      <c r="B296" s="6" t="s">
        <v>187</v>
      </c>
      <c r="C296" s="7" t="s">
        <v>188</v>
      </c>
      <c r="D296" s="5">
        <v>1.0</v>
      </c>
      <c r="E296" s="7" t="s">
        <v>524</v>
      </c>
      <c r="F296" s="5" t="s">
        <v>479</v>
      </c>
      <c r="G296" s="14" t="s">
        <v>446</v>
      </c>
      <c r="H296" s="44" t="s">
        <v>447</v>
      </c>
      <c r="I296" s="31" t="s">
        <v>19</v>
      </c>
      <c r="J296" s="32">
        <v>937225.0</v>
      </c>
    </row>
    <row r="297">
      <c r="A297" s="43" t="s">
        <v>74</v>
      </c>
      <c r="B297" s="6" t="s">
        <v>187</v>
      </c>
      <c r="C297" s="7" t="s">
        <v>188</v>
      </c>
      <c r="D297" s="5">
        <v>1.0</v>
      </c>
      <c r="E297" s="7" t="s">
        <v>524</v>
      </c>
      <c r="F297" s="5" t="s">
        <v>479</v>
      </c>
      <c r="G297" s="14" t="s">
        <v>448</v>
      </c>
      <c r="H297" s="44" t="s">
        <v>449</v>
      </c>
      <c r="I297" s="31" t="s">
        <v>19</v>
      </c>
      <c r="J297" s="32">
        <v>2345912.0</v>
      </c>
    </row>
    <row r="298">
      <c r="A298" s="43" t="s">
        <v>74</v>
      </c>
      <c r="B298" s="6" t="s">
        <v>187</v>
      </c>
      <c r="C298" s="7" t="s">
        <v>188</v>
      </c>
      <c r="D298" s="5">
        <v>1.0</v>
      </c>
      <c r="E298" s="7" t="s">
        <v>524</v>
      </c>
      <c r="F298" s="5" t="s">
        <v>479</v>
      </c>
      <c r="G298" s="14" t="s">
        <v>450</v>
      </c>
      <c r="H298" s="44" t="s">
        <v>451</v>
      </c>
      <c r="I298" s="31" t="s">
        <v>19</v>
      </c>
      <c r="J298" s="32">
        <v>0.0</v>
      </c>
    </row>
    <row r="299">
      <c r="A299" s="43" t="s">
        <v>74</v>
      </c>
      <c r="B299" s="6" t="s">
        <v>187</v>
      </c>
      <c r="C299" s="7" t="s">
        <v>188</v>
      </c>
      <c r="D299" s="5">
        <v>1.0</v>
      </c>
      <c r="E299" s="7" t="s">
        <v>524</v>
      </c>
      <c r="F299" s="5" t="s">
        <v>479</v>
      </c>
      <c r="G299" s="14" t="s">
        <v>452</v>
      </c>
      <c r="H299" s="44" t="s">
        <v>453</v>
      </c>
      <c r="I299" s="31" t="s">
        <v>19</v>
      </c>
      <c r="J299" s="32">
        <v>1735974.0</v>
      </c>
    </row>
    <row r="300">
      <c r="A300" s="43" t="s">
        <v>74</v>
      </c>
      <c r="B300" s="6" t="s">
        <v>187</v>
      </c>
      <c r="C300" s="7" t="s">
        <v>188</v>
      </c>
      <c r="D300" s="5">
        <v>1.0</v>
      </c>
      <c r="E300" s="7" t="s">
        <v>524</v>
      </c>
      <c r="F300" s="5" t="s">
        <v>479</v>
      </c>
      <c r="G300" s="14" t="s">
        <v>454</v>
      </c>
      <c r="H300" s="44" t="s">
        <v>415</v>
      </c>
      <c r="I300" s="31" t="s">
        <v>19</v>
      </c>
      <c r="J300" s="32">
        <v>253358.0</v>
      </c>
    </row>
    <row r="301">
      <c r="A301" s="43" t="s">
        <v>74</v>
      </c>
      <c r="B301" s="6" t="s">
        <v>187</v>
      </c>
      <c r="C301" s="7" t="s">
        <v>188</v>
      </c>
      <c r="D301" s="5">
        <v>1.0</v>
      </c>
      <c r="E301" s="7" t="s">
        <v>524</v>
      </c>
      <c r="F301" s="5" t="s">
        <v>479</v>
      </c>
      <c r="G301" s="14" t="s">
        <v>455</v>
      </c>
      <c r="H301" s="44" t="s">
        <v>415</v>
      </c>
      <c r="I301" s="31" t="s">
        <v>19</v>
      </c>
      <c r="J301" s="32">
        <v>140753.0</v>
      </c>
    </row>
    <row r="302">
      <c r="A302" s="43" t="s">
        <v>74</v>
      </c>
      <c r="B302" s="6" t="s">
        <v>187</v>
      </c>
      <c r="C302" s="7" t="s">
        <v>188</v>
      </c>
      <c r="D302" s="5">
        <v>1.0</v>
      </c>
      <c r="E302" s="7" t="s">
        <v>524</v>
      </c>
      <c r="F302" s="5" t="s">
        <v>479</v>
      </c>
      <c r="G302" s="14" t="s">
        <v>480</v>
      </c>
      <c r="H302" s="44" t="s">
        <v>481</v>
      </c>
      <c r="I302" s="31" t="s">
        <v>19</v>
      </c>
      <c r="J302" s="32">
        <v>8854399.0</v>
      </c>
    </row>
    <row r="303">
      <c r="A303" s="43" t="s">
        <v>74</v>
      </c>
      <c r="B303" s="6" t="s">
        <v>187</v>
      </c>
      <c r="C303" s="7" t="s">
        <v>188</v>
      </c>
      <c r="D303" s="5">
        <v>1.0</v>
      </c>
      <c r="E303" s="7" t="s">
        <v>525</v>
      </c>
      <c r="F303" s="5" t="s">
        <v>502</v>
      </c>
      <c r="G303" s="14" t="s">
        <v>526</v>
      </c>
      <c r="H303" s="44" t="s">
        <v>527</v>
      </c>
      <c r="I303" s="31" t="s">
        <v>60</v>
      </c>
      <c r="J303" s="32">
        <v>5.91641628E8</v>
      </c>
    </row>
    <row r="304">
      <c r="A304" s="43" t="s">
        <v>74</v>
      </c>
      <c r="B304" s="6" t="s">
        <v>187</v>
      </c>
      <c r="C304" s="7" t="s">
        <v>188</v>
      </c>
      <c r="D304" s="5">
        <v>1.0</v>
      </c>
      <c r="E304" s="7" t="s">
        <v>525</v>
      </c>
      <c r="F304" s="5" t="s">
        <v>502</v>
      </c>
      <c r="G304" s="14" t="s">
        <v>539</v>
      </c>
      <c r="H304" s="44" t="s">
        <v>540</v>
      </c>
      <c r="I304" s="31" t="s">
        <v>60</v>
      </c>
      <c r="J304" s="32">
        <v>1.6730895E7</v>
      </c>
    </row>
    <row r="305">
      <c r="A305" s="43" t="s">
        <v>74</v>
      </c>
      <c r="B305" s="6" t="s">
        <v>187</v>
      </c>
      <c r="C305" s="7" t="s">
        <v>188</v>
      </c>
      <c r="D305" s="5">
        <v>1.0</v>
      </c>
      <c r="E305" s="7" t="s">
        <v>525</v>
      </c>
      <c r="F305" s="5" t="s">
        <v>502</v>
      </c>
      <c r="G305" s="14" t="s">
        <v>505</v>
      </c>
      <c r="H305" s="44" t="s">
        <v>506</v>
      </c>
      <c r="I305" s="31" t="s">
        <v>60</v>
      </c>
      <c r="J305" s="32">
        <v>1036734.0</v>
      </c>
    </row>
    <row r="306">
      <c r="A306" s="43" t="s">
        <v>74</v>
      </c>
      <c r="B306" s="6" t="s">
        <v>187</v>
      </c>
      <c r="C306" s="7" t="s">
        <v>188</v>
      </c>
      <c r="D306" s="5">
        <v>1.0</v>
      </c>
      <c r="E306" s="7" t="s">
        <v>525</v>
      </c>
      <c r="F306" s="5" t="s">
        <v>502</v>
      </c>
      <c r="G306" s="14" t="s">
        <v>507</v>
      </c>
      <c r="H306" s="44" t="s">
        <v>508</v>
      </c>
      <c r="I306" s="31" t="s">
        <v>60</v>
      </c>
      <c r="J306" s="32">
        <v>4131387.0</v>
      </c>
    </row>
    <row r="307">
      <c r="A307" s="43" t="s">
        <v>74</v>
      </c>
      <c r="B307" s="6" t="s">
        <v>187</v>
      </c>
      <c r="C307" s="7" t="s">
        <v>188</v>
      </c>
      <c r="D307" s="5">
        <v>1.0</v>
      </c>
      <c r="E307" s="7" t="s">
        <v>525</v>
      </c>
      <c r="F307" s="5" t="s">
        <v>502</v>
      </c>
      <c r="G307" s="14" t="s">
        <v>509</v>
      </c>
      <c r="H307" s="44" t="s">
        <v>510</v>
      </c>
      <c r="I307" s="31" t="s">
        <v>60</v>
      </c>
      <c r="J307" s="32">
        <v>1528666.0</v>
      </c>
    </row>
    <row r="308">
      <c r="A308" s="43" t="s">
        <v>74</v>
      </c>
      <c r="B308" s="6" t="s">
        <v>187</v>
      </c>
      <c r="C308" s="7" t="s">
        <v>188</v>
      </c>
      <c r="D308" s="5">
        <v>1.0</v>
      </c>
      <c r="E308" s="7" t="s">
        <v>525</v>
      </c>
      <c r="F308" s="5" t="s">
        <v>502</v>
      </c>
      <c r="G308" s="14" t="s">
        <v>511</v>
      </c>
      <c r="H308" s="44" t="s">
        <v>512</v>
      </c>
      <c r="I308" s="31" t="s">
        <v>60</v>
      </c>
      <c r="J308" s="32">
        <v>1.17785907E8</v>
      </c>
    </row>
    <row r="309">
      <c r="A309" s="43" t="s">
        <v>74</v>
      </c>
      <c r="B309" s="6" t="s">
        <v>187</v>
      </c>
      <c r="C309" s="7" t="s">
        <v>188</v>
      </c>
      <c r="D309" s="5">
        <v>1.0</v>
      </c>
      <c r="E309" s="7" t="s">
        <v>525</v>
      </c>
      <c r="F309" s="5" t="s">
        <v>502</v>
      </c>
      <c r="G309" s="14" t="s">
        <v>513</v>
      </c>
      <c r="H309" s="44" t="s">
        <v>514</v>
      </c>
      <c r="I309" s="31" t="s">
        <v>60</v>
      </c>
      <c r="J309" s="32">
        <v>8468115.0</v>
      </c>
    </row>
    <row r="310">
      <c r="A310" s="43" t="s">
        <v>74</v>
      </c>
      <c r="B310" s="6" t="s">
        <v>203</v>
      </c>
      <c r="C310" s="7" t="s">
        <v>204</v>
      </c>
      <c r="D310" s="5">
        <v>1.0</v>
      </c>
      <c r="E310" s="7" t="s">
        <v>441</v>
      </c>
      <c r="F310" s="5" t="s">
        <v>442</v>
      </c>
      <c r="G310" s="14" t="s">
        <v>443</v>
      </c>
      <c r="H310" s="44" t="s">
        <v>420</v>
      </c>
      <c r="I310" s="31" t="s">
        <v>19</v>
      </c>
      <c r="J310" s="32">
        <v>4.704535E7</v>
      </c>
    </row>
    <row r="311">
      <c r="A311" s="43" t="s">
        <v>74</v>
      </c>
      <c r="B311" s="6" t="s">
        <v>203</v>
      </c>
      <c r="C311" s="7" t="s">
        <v>204</v>
      </c>
      <c r="D311" s="5">
        <v>1.0</v>
      </c>
      <c r="E311" s="7" t="s">
        <v>441</v>
      </c>
      <c r="F311" s="5" t="s">
        <v>442</v>
      </c>
      <c r="G311" s="14" t="s">
        <v>444</v>
      </c>
      <c r="H311" s="44" t="s">
        <v>445</v>
      </c>
      <c r="I311" s="31" t="s">
        <v>19</v>
      </c>
      <c r="J311" s="32">
        <v>3811978.0</v>
      </c>
    </row>
    <row r="312">
      <c r="A312" s="43" t="s">
        <v>74</v>
      </c>
      <c r="B312" s="6" t="s">
        <v>203</v>
      </c>
      <c r="C312" s="7" t="s">
        <v>204</v>
      </c>
      <c r="D312" s="5">
        <v>1.0</v>
      </c>
      <c r="E312" s="7" t="s">
        <v>441</v>
      </c>
      <c r="F312" s="5" t="s">
        <v>442</v>
      </c>
      <c r="G312" s="14" t="s">
        <v>446</v>
      </c>
      <c r="H312" s="44" t="s">
        <v>447</v>
      </c>
      <c r="I312" s="31" t="s">
        <v>19</v>
      </c>
      <c r="J312" s="32">
        <v>494979.0</v>
      </c>
    </row>
    <row r="313">
      <c r="A313" s="43" t="s">
        <v>74</v>
      </c>
      <c r="B313" s="6" t="s">
        <v>203</v>
      </c>
      <c r="C313" s="7" t="s">
        <v>204</v>
      </c>
      <c r="D313" s="5">
        <v>1.0</v>
      </c>
      <c r="E313" s="7" t="s">
        <v>441</v>
      </c>
      <c r="F313" s="5" t="s">
        <v>442</v>
      </c>
      <c r="G313" s="14" t="s">
        <v>448</v>
      </c>
      <c r="H313" s="44" t="s">
        <v>449</v>
      </c>
      <c r="I313" s="31" t="s">
        <v>19</v>
      </c>
      <c r="J313" s="32">
        <v>1237449.0</v>
      </c>
    </row>
    <row r="314">
      <c r="A314" s="43" t="s">
        <v>74</v>
      </c>
      <c r="B314" s="6" t="s">
        <v>203</v>
      </c>
      <c r="C314" s="7" t="s">
        <v>204</v>
      </c>
      <c r="D314" s="5">
        <v>1.0</v>
      </c>
      <c r="E314" s="7" t="s">
        <v>441</v>
      </c>
      <c r="F314" s="5" t="s">
        <v>442</v>
      </c>
      <c r="G314" s="14" t="s">
        <v>450</v>
      </c>
      <c r="H314" s="44" t="s">
        <v>451</v>
      </c>
      <c r="I314" s="31" t="s">
        <v>19</v>
      </c>
      <c r="J314" s="32">
        <v>0.0</v>
      </c>
    </row>
    <row r="315">
      <c r="A315" s="43" t="s">
        <v>74</v>
      </c>
      <c r="B315" s="6" t="s">
        <v>203</v>
      </c>
      <c r="C315" s="7" t="s">
        <v>204</v>
      </c>
      <c r="D315" s="5">
        <v>1.0</v>
      </c>
      <c r="E315" s="7" t="s">
        <v>441</v>
      </c>
      <c r="F315" s="5" t="s">
        <v>442</v>
      </c>
      <c r="G315" s="14" t="s">
        <v>452</v>
      </c>
      <c r="H315" s="44" t="s">
        <v>453</v>
      </c>
      <c r="I315" s="31" t="s">
        <v>19</v>
      </c>
      <c r="J315" s="32">
        <v>915712.0</v>
      </c>
    </row>
    <row r="316">
      <c r="A316" s="43" t="s">
        <v>74</v>
      </c>
      <c r="B316" s="6" t="s">
        <v>203</v>
      </c>
      <c r="C316" s="7" t="s">
        <v>204</v>
      </c>
      <c r="D316" s="5">
        <v>1.0</v>
      </c>
      <c r="E316" s="7" t="s">
        <v>441</v>
      </c>
      <c r="F316" s="5" t="s">
        <v>442</v>
      </c>
      <c r="G316" s="14" t="s">
        <v>454</v>
      </c>
      <c r="H316" s="44" t="s">
        <v>415</v>
      </c>
      <c r="I316" s="31" t="s">
        <v>19</v>
      </c>
      <c r="J316" s="32">
        <v>133645.0</v>
      </c>
    </row>
    <row r="317">
      <c r="A317" s="43" t="s">
        <v>74</v>
      </c>
      <c r="B317" s="6" t="s">
        <v>203</v>
      </c>
      <c r="C317" s="7" t="s">
        <v>204</v>
      </c>
      <c r="D317" s="5">
        <v>1.0</v>
      </c>
      <c r="E317" s="7" t="s">
        <v>441</v>
      </c>
      <c r="F317" s="5" t="s">
        <v>442</v>
      </c>
      <c r="G317" s="14" t="s">
        <v>455</v>
      </c>
      <c r="H317" s="44" t="s">
        <v>415</v>
      </c>
      <c r="I317" s="31" t="s">
        <v>19</v>
      </c>
      <c r="J317" s="32">
        <v>74247.0</v>
      </c>
    </row>
    <row r="318">
      <c r="A318" s="43" t="s">
        <v>74</v>
      </c>
      <c r="B318" s="6" t="s">
        <v>203</v>
      </c>
      <c r="C318" s="7" t="s">
        <v>204</v>
      </c>
      <c r="D318" s="5">
        <v>1.0</v>
      </c>
      <c r="E318" s="7" t="s">
        <v>456</v>
      </c>
      <c r="F318" s="5" t="s">
        <v>457</v>
      </c>
      <c r="G318" s="14" t="s">
        <v>515</v>
      </c>
      <c r="H318" s="44" t="s">
        <v>413</v>
      </c>
      <c r="I318" s="31" t="s">
        <v>19</v>
      </c>
      <c r="J318" s="32">
        <v>5868456.0</v>
      </c>
    </row>
    <row r="319">
      <c r="A319" s="43" t="s">
        <v>74</v>
      </c>
      <c r="B319" s="6" t="s">
        <v>203</v>
      </c>
      <c r="C319" s="7" t="s">
        <v>204</v>
      </c>
      <c r="D319" s="5">
        <v>1.0</v>
      </c>
      <c r="E319" s="7" t="s">
        <v>456</v>
      </c>
      <c r="F319" s="5" t="s">
        <v>457</v>
      </c>
      <c r="G319" s="14" t="s">
        <v>458</v>
      </c>
      <c r="H319" s="44" t="s">
        <v>411</v>
      </c>
      <c r="I319" s="31" t="s">
        <v>19</v>
      </c>
      <c r="J319" s="32">
        <v>1.96946813E8</v>
      </c>
    </row>
    <row r="320">
      <c r="A320" s="43" t="s">
        <v>74</v>
      </c>
      <c r="B320" s="6" t="s">
        <v>203</v>
      </c>
      <c r="C320" s="7" t="s">
        <v>204</v>
      </c>
      <c r="D320" s="5">
        <v>1.0</v>
      </c>
      <c r="E320" s="7" t="s">
        <v>463</v>
      </c>
      <c r="F320" s="5" t="s">
        <v>464</v>
      </c>
      <c r="G320" s="14" t="s">
        <v>520</v>
      </c>
      <c r="H320" s="44" t="s">
        <v>435</v>
      </c>
      <c r="I320" s="31" t="s">
        <v>37</v>
      </c>
      <c r="J320" s="32">
        <v>523967.0</v>
      </c>
    </row>
    <row r="321">
      <c r="A321" s="43" t="s">
        <v>74</v>
      </c>
      <c r="B321" s="6" t="s">
        <v>203</v>
      </c>
      <c r="C321" s="7" t="s">
        <v>204</v>
      </c>
      <c r="D321" s="5">
        <v>1.0</v>
      </c>
      <c r="E321" s="7" t="s">
        <v>463</v>
      </c>
      <c r="F321" s="5" t="s">
        <v>464</v>
      </c>
      <c r="G321" s="14" t="s">
        <v>465</v>
      </c>
      <c r="H321" s="44" t="s">
        <v>466</v>
      </c>
      <c r="I321" s="31" t="s">
        <v>25</v>
      </c>
      <c r="J321" s="32">
        <v>1832500.0</v>
      </c>
    </row>
    <row r="322">
      <c r="A322" s="43" t="s">
        <v>74</v>
      </c>
      <c r="B322" s="6" t="s">
        <v>203</v>
      </c>
      <c r="C322" s="7" t="s">
        <v>204</v>
      </c>
      <c r="D322" s="5">
        <v>1.0</v>
      </c>
      <c r="E322" s="7" t="s">
        <v>463</v>
      </c>
      <c r="F322" s="5" t="s">
        <v>464</v>
      </c>
      <c r="G322" s="14" t="s">
        <v>458</v>
      </c>
      <c r="H322" s="44" t="s">
        <v>411</v>
      </c>
      <c r="I322" s="31" t="s">
        <v>19</v>
      </c>
      <c r="J322" s="32">
        <v>5266280.0</v>
      </c>
    </row>
    <row r="323">
      <c r="A323" s="43" t="s">
        <v>74</v>
      </c>
      <c r="B323" s="6" t="s">
        <v>203</v>
      </c>
      <c r="C323" s="7" t="s">
        <v>204</v>
      </c>
      <c r="D323" s="5">
        <v>1.0</v>
      </c>
      <c r="E323" s="7" t="s">
        <v>487</v>
      </c>
      <c r="F323" s="5" t="s">
        <v>488</v>
      </c>
      <c r="G323" s="14" t="s">
        <v>467</v>
      </c>
      <c r="H323" s="44" t="s">
        <v>468</v>
      </c>
      <c r="I323" s="31" t="s">
        <v>25</v>
      </c>
      <c r="J323" s="32">
        <v>600000.0</v>
      </c>
    </row>
    <row r="324">
      <c r="A324" s="43" t="s">
        <v>74</v>
      </c>
      <c r="B324" s="6" t="s">
        <v>203</v>
      </c>
      <c r="C324" s="7" t="s">
        <v>204</v>
      </c>
      <c r="D324" s="5">
        <v>1.0</v>
      </c>
      <c r="E324" s="7" t="s">
        <v>487</v>
      </c>
      <c r="F324" s="5" t="s">
        <v>488</v>
      </c>
      <c r="G324" s="14" t="s">
        <v>458</v>
      </c>
      <c r="H324" s="44" t="s">
        <v>411</v>
      </c>
      <c r="I324" s="31" t="s">
        <v>19</v>
      </c>
      <c r="J324" s="32">
        <v>1.545908E7</v>
      </c>
    </row>
    <row r="325">
      <c r="A325" s="43" t="s">
        <v>74</v>
      </c>
      <c r="B325" s="6" t="s">
        <v>203</v>
      </c>
      <c r="C325" s="7" t="s">
        <v>204</v>
      </c>
      <c r="D325" s="5">
        <v>1.0</v>
      </c>
      <c r="E325" s="7" t="s">
        <v>487</v>
      </c>
      <c r="F325" s="5" t="s">
        <v>488</v>
      </c>
      <c r="G325" s="14" t="s">
        <v>486</v>
      </c>
      <c r="H325" s="44" t="s">
        <v>432</v>
      </c>
      <c r="I325" s="31" t="s">
        <v>25</v>
      </c>
      <c r="J325" s="32">
        <v>179600.0</v>
      </c>
    </row>
    <row r="326">
      <c r="A326" s="43" t="s">
        <v>74</v>
      </c>
      <c r="B326" s="6" t="s">
        <v>203</v>
      </c>
      <c r="C326" s="7" t="s">
        <v>204</v>
      </c>
      <c r="D326" s="5">
        <v>1.0</v>
      </c>
      <c r="E326" s="7" t="s">
        <v>556</v>
      </c>
      <c r="F326" s="5" t="s">
        <v>557</v>
      </c>
      <c r="G326" s="14" t="s">
        <v>519</v>
      </c>
      <c r="H326" s="44" t="s">
        <v>414</v>
      </c>
      <c r="I326" s="31" t="s">
        <v>37</v>
      </c>
      <c r="J326" s="32">
        <v>311143.0</v>
      </c>
    </row>
    <row r="327">
      <c r="A327" s="43" t="s">
        <v>74</v>
      </c>
      <c r="B327" s="6" t="s">
        <v>203</v>
      </c>
      <c r="C327" s="7" t="s">
        <v>204</v>
      </c>
      <c r="D327" s="5">
        <v>1.0</v>
      </c>
      <c r="E327" s="7" t="s">
        <v>469</v>
      </c>
      <c r="F327" s="5" t="s">
        <v>470</v>
      </c>
      <c r="G327" s="14" t="s">
        <v>471</v>
      </c>
      <c r="H327" s="44" t="s">
        <v>472</v>
      </c>
      <c r="I327" s="31" t="s">
        <v>25</v>
      </c>
      <c r="J327" s="32">
        <v>1437000.0</v>
      </c>
    </row>
    <row r="328">
      <c r="A328" s="43" t="s">
        <v>74</v>
      </c>
      <c r="B328" s="6" t="s">
        <v>203</v>
      </c>
      <c r="C328" s="7" t="s">
        <v>204</v>
      </c>
      <c r="D328" s="5">
        <v>1.0</v>
      </c>
      <c r="E328" s="7" t="s">
        <v>473</v>
      </c>
      <c r="F328" s="5" t="s">
        <v>474</v>
      </c>
      <c r="G328" s="14" t="s">
        <v>523</v>
      </c>
      <c r="H328" s="44" t="s">
        <v>431</v>
      </c>
      <c r="I328" s="31" t="s">
        <v>17</v>
      </c>
      <c r="J328" s="32">
        <v>1.47662918E8</v>
      </c>
    </row>
    <row r="329">
      <c r="A329" s="43" t="s">
        <v>74</v>
      </c>
      <c r="B329" s="6" t="s">
        <v>203</v>
      </c>
      <c r="C329" s="7" t="s">
        <v>204</v>
      </c>
      <c r="D329" s="5">
        <v>1.0</v>
      </c>
      <c r="E329" s="7" t="s">
        <v>473</v>
      </c>
      <c r="F329" s="5" t="s">
        <v>474</v>
      </c>
      <c r="G329" s="14" t="s">
        <v>523</v>
      </c>
      <c r="H329" s="44" t="s">
        <v>431</v>
      </c>
      <c r="I329" s="31" t="s">
        <v>25</v>
      </c>
      <c r="J329" s="32">
        <v>428929.0</v>
      </c>
    </row>
    <row r="330">
      <c r="A330" s="43" t="s">
        <v>74</v>
      </c>
      <c r="B330" s="6" t="s">
        <v>203</v>
      </c>
      <c r="C330" s="7" t="s">
        <v>204</v>
      </c>
      <c r="D330" s="5">
        <v>1.0</v>
      </c>
      <c r="E330" s="7" t="s">
        <v>473</v>
      </c>
      <c r="F330" s="5" t="s">
        <v>474</v>
      </c>
      <c r="G330" s="14" t="s">
        <v>458</v>
      </c>
      <c r="H330" s="44" t="s">
        <v>411</v>
      </c>
      <c r="I330" s="31" t="s">
        <v>19</v>
      </c>
      <c r="J330" s="32">
        <v>6.2104625E7</v>
      </c>
    </row>
    <row r="331">
      <c r="A331" s="43" t="s">
        <v>74</v>
      </c>
      <c r="B331" s="6" t="s">
        <v>203</v>
      </c>
      <c r="C331" s="7" t="s">
        <v>204</v>
      </c>
      <c r="D331" s="5">
        <v>1.0</v>
      </c>
      <c r="E331" s="7" t="s">
        <v>491</v>
      </c>
      <c r="F331" s="5" t="s">
        <v>492</v>
      </c>
      <c r="G331" s="14" t="s">
        <v>493</v>
      </c>
      <c r="H331" s="44" t="s">
        <v>437</v>
      </c>
      <c r="I331" s="31" t="s">
        <v>25</v>
      </c>
      <c r="J331" s="32">
        <v>3420000.0</v>
      </c>
    </row>
    <row r="332">
      <c r="A332" s="43" t="s">
        <v>74</v>
      </c>
      <c r="B332" s="6" t="s">
        <v>203</v>
      </c>
      <c r="C332" s="7" t="s">
        <v>204</v>
      </c>
      <c r="D332" s="5">
        <v>1.0</v>
      </c>
      <c r="E332" s="7" t="s">
        <v>491</v>
      </c>
      <c r="F332" s="5" t="s">
        <v>492</v>
      </c>
      <c r="G332" s="14" t="s">
        <v>467</v>
      </c>
      <c r="H332" s="44" t="s">
        <v>468</v>
      </c>
      <c r="I332" s="31" t="s">
        <v>37</v>
      </c>
      <c r="J332" s="32">
        <v>3942637.0</v>
      </c>
    </row>
    <row r="333">
      <c r="A333" s="43" t="s">
        <v>74</v>
      </c>
      <c r="B333" s="6" t="s">
        <v>203</v>
      </c>
      <c r="C333" s="7" t="s">
        <v>204</v>
      </c>
      <c r="D333" s="5">
        <v>1.0</v>
      </c>
      <c r="E333" s="7" t="s">
        <v>491</v>
      </c>
      <c r="F333" s="5" t="s">
        <v>492</v>
      </c>
      <c r="G333" s="14" t="s">
        <v>458</v>
      </c>
      <c r="H333" s="44" t="s">
        <v>411</v>
      </c>
      <c r="I333" s="31" t="s">
        <v>19</v>
      </c>
      <c r="J333" s="32">
        <v>1.053256E7</v>
      </c>
    </row>
    <row r="334">
      <c r="A334" s="43" t="s">
        <v>74</v>
      </c>
      <c r="B334" s="6" t="s">
        <v>203</v>
      </c>
      <c r="C334" s="7" t="s">
        <v>204</v>
      </c>
      <c r="D334" s="5">
        <v>1.0</v>
      </c>
      <c r="E334" s="7" t="s">
        <v>475</v>
      </c>
      <c r="F334" s="5" t="s">
        <v>476</v>
      </c>
      <c r="G334" s="14" t="s">
        <v>498</v>
      </c>
      <c r="H334" s="44" t="s">
        <v>434</v>
      </c>
      <c r="I334" s="31" t="s">
        <v>25</v>
      </c>
      <c r="J334" s="32">
        <v>2360000.0</v>
      </c>
    </row>
    <row r="335">
      <c r="A335" s="43" t="s">
        <v>74</v>
      </c>
      <c r="B335" s="6" t="s">
        <v>203</v>
      </c>
      <c r="C335" s="7" t="s">
        <v>204</v>
      </c>
      <c r="D335" s="5">
        <v>1.0</v>
      </c>
      <c r="E335" s="7" t="s">
        <v>475</v>
      </c>
      <c r="F335" s="5" t="s">
        <v>476</v>
      </c>
      <c r="G335" s="14" t="s">
        <v>477</v>
      </c>
      <c r="H335" s="44" t="s">
        <v>429</v>
      </c>
      <c r="I335" s="31" t="s">
        <v>50</v>
      </c>
      <c r="J335" s="32">
        <v>3.2174217E7</v>
      </c>
    </row>
    <row r="336">
      <c r="A336" s="43" t="s">
        <v>74</v>
      </c>
      <c r="B336" s="6" t="s">
        <v>203</v>
      </c>
      <c r="C336" s="7" t="s">
        <v>204</v>
      </c>
      <c r="D336" s="5">
        <v>1.0</v>
      </c>
      <c r="E336" s="7" t="s">
        <v>524</v>
      </c>
      <c r="F336" s="5" t="s">
        <v>479</v>
      </c>
      <c r="G336" s="14" t="s">
        <v>443</v>
      </c>
      <c r="H336" s="44" t="s">
        <v>420</v>
      </c>
      <c r="I336" s="31" t="s">
        <v>19</v>
      </c>
      <c r="J336" s="32">
        <v>7.3843174E7</v>
      </c>
    </row>
    <row r="337">
      <c r="A337" s="43" t="s">
        <v>74</v>
      </c>
      <c r="B337" s="6" t="s">
        <v>203</v>
      </c>
      <c r="C337" s="7" t="s">
        <v>204</v>
      </c>
      <c r="D337" s="5">
        <v>1.0</v>
      </c>
      <c r="E337" s="7" t="s">
        <v>524</v>
      </c>
      <c r="F337" s="5" t="s">
        <v>479</v>
      </c>
      <c r="G337" s="14" t="s">
        <v>444</v>
      </c>
      <c r="H337" s="44" t="s">
        <v>445</v>
      </c>
      <c r="I337" s="31" t="s">
        <v>19</v>
      </c>
      <c r="J337" s="32">
        <v>3186104.0</v>
      </c>
    </row>
    <row r="338">
      <c r="A338" s="43" t="s">
        <v>74</v>
      </c>
      <c r="B338" s="6" t="s">
        <v>203</v>
      </c>
      <c r="C338" s="7" t="s">
        <v>204</v>
      </c>
      <c r="D338" s="5">
        <v>1.0</v>
      </c>
      <c r="E338" s="7" t="s">
        <v>524</v>
      </c>
      <c r="F338" s="5" t="s">
        <v>479</v>
      </c>
      <c r="G338" s="14" t="s">
        <v>446</v>
      </c>
      <c r="H338" s="44" t="s">
        <v>447</v>
      </c>
      <c r="I338" s="31" t="s">
        <v>19</v>
      </c>
      <c r="J338" s="32">
        <v>854155.0</v>
      </c>
    </row>
    <row r="339">
      <c r="A339" s="43" t="s">
        <v>74</v>
      </c>
      <c r="B339" s="6" t="s">
        <v>203</v>
      </c>
      <c r="C339" s="7" t="s">
        <v>204</v>
      </c>
      <c r="D339" s="5">
        <v>1.0</v>
      </c>
      <c r="E339" s="7" t="s">
        <v>524</v>
      </c>
      <c r="F339" s="5" t="s">
        <v>479</v>
      </c>
      <c r="G339" s="14" t="s">
        <v>448</v>
      </c>
      <c r="H339" s="44" t="s">
        <v>449</v>
      </c>
      <c r="I339" s="31" t="s">
        <v>19</v>
      </c>
      <c r="J339" s="32">
        <v>2135390.0</v>
      </c>
    </row>
    <row r="340">
      <c r="A340" s="43" t="s">
        <v>74</v>
      </c>
      <c r="B340" s="6" t="s">
        <v>203</v>
      </c>
      <c r="C340" s="7" t="s">
        <v>204</v>
      </c>
      <c r="D340" s="5">
        <v>1.0</v>
      </c>
      <c r="E340" s="7" t="s">
        <v>524</v>
      </c>
      <c r="F340" s="5" t="s">
        <v>479</v>
      </c>
      <c r="G340" s="14" t="s">
        <v>450</v>
      </c>
      <c r="H340" s="44" t="s">
        <v>451</v>
      </c>
      <c r="I340" s="31" t="s">
        <v>19</v>
      </c>
      <c r="J340" s="32">
        <v>0.0</v>
      </c>
    </row>
    <row r="341">
      <c r="A341" s="43" t="s">
        <v>74</v>
      </c>
      <c r="B341" s="6" t="s">
        <v>203</v>
      </c>
      <c r="C341" s="7" t="s">
        <v>204</v>
      </c>
      <c r="D341" s="5">
        <v>1.0</v>
      </c>
      <c r="E341" s="7" t="s">
        <v>524</v>
      </c>
      <c r="F341" s="5" t="s">
        <v>479</v>
      </c>
      <c r="G341" s="14" t="s">
        <v>452</v>
      </c>
      <c r="H341" s="44" t="s">
        <v>453</v>
      </c>
      <c r="I341" s="31" t="s">
        <v>19</v>
      </c>
      <c r="J341" s="32">
        <v>1580188.0</v>
      </c>
    </row>
    <row r="342">
      <c r="A342" s="43" t="s">
        <v>74</v>
      </c>
      <c r="B342" s="6" t="s">
        <v>203</v>
      </c>
      <c r="C342" s="7" t="s">
        <v>204</v>
      </c>
      <c r="D342" s="5">
        <v>1.0</v>
      </c>
      <c r="E342" s="7" t="s">
        <v>524</v>
      </c>
      <c r="F342" s="5" t="s">
        <v>479</v>
      </c>
      <c r="G342" s="14" t="s">
        <v>454</v>
      </c>
      <c r="H342" s="44" t="s">
        <v>415</v>
      </c>
      <c r="I342" s="31" t="s">
        <v>19</v>
      </c>
      <c r="J342" s="32">
        <v>230622.0</v>
      </c>
    </row>
    <row r="343">
      <c r="A343" s="43" t="s">
        <v>74</v>
      </c>
      <c r="B343" s="6" t="s">
        <v>203</v>
      </c>
      <c r="C343" s="7" t="s">
        <v>204</v>
      </c>
      <c r="D343" s="5">
        <v>1.0</v>
      </c>
      <c r="E343" s="7" t="s">
        <v>524</v>
      </c>
      <c r="F343" s="5" t="s">
        <v>479</v>
      </c>
      <c r="G343" s="14" t="s">
        <v>455</v>
      </c>
      <c r="H343" s="44" t="s">
        <v>415</v>
      </c>
      <c r="I343" s="31" t="s">
        <v>19</v>
      </c>
      <c r="J343" s="32">
        <v>128122.0</v>
      </c>
    </row>
    <row r="344">
      <c r="A344" s="43" t="s">
        <v>74</v>
      </c>
      <c r="B344" s="6" t="s">
        <v>203</v>
      </c>
      <c r="C344" s="7" t="s">
        <v>204</v>
      </c>
      <c r="D344" s="5">
        <v>1.0</v>
      </c>
      <c r="E344" s="7" t="s">
        <v>525</v>
      </c>
      <c r="F344" s="5" t="s">
        <v>502</v>
      </c>
      <c r="G344" s="14" t="s">
        <v>526</v>
      </c>
      <c r="H344" s="44" t="s">
        <v>527</v>
      </c>
      <c r="I344" s="31" t="s">
        <v>60</v>
      </c>
      <c r="J344" s="32">
        <v>1.39650882E8</v>
      </c>
    </row>
    <row r="345">
      <c r="A345" s="43" t="s">
        <v>74</v>
      </c>
      <c r="B345" s="6" t="s">
        <v>203</v>
      </c>
      <c r="C345" s="7" t="s">
        <v>204</v>
      </c>
      <c r="D345" s="5">
        <v>1.0</v>
      </c>
      <c r="E345" s="7" t="s">
        <v>525</v>
      </c>
      <c r="F345" s="5" t="s">
        <v>502</v>
      </c>
      <c r="G345" s="14" t="s">
        <v>505</v>
      </c>
      <c r="H345" s="44" t="s">
        <v>506</v>
      </c>
      <c r="I345" s="31" t="s">
        <v>60</v>
      </c>
      <c r="J345" s="32">
        <v>6647719.0</v>
      </c>
    </row>
    <row r="346">
      <c r="A346" s="43" t="s">
        <v>74</v>
      </c>
      <c r="B346" s="6" t="s">
        <v>203</v>
      </c>
      <c r="C346" s="7" t="s">
        <v>204</v>
      </c>
      <c r="D346" s="5">
        <v>1.0</v>
      </c>
      <c r="E346" s="7" t="s">
        <v>525</v>
      </c>
      <c r="F346" s="5" t="s">
        <v>502</v>
      </c>
      <c r="G346" s="14" t="s">
        <v>507</v>
      </c>
      <c r="H346" s="44" t="s">
        <v>508</v>
      </c>
      <c r="I346" s="31" t="s">
        <v>60</v>
      </c>
      <c r="J346" s="32">
        <v>1130302.0</v>
      </c>
    </row>
    <row r="347">
      <c r="A347" s="43" t="s">
        <v>74</v>
      </c>
      <c r="B347" s="6" t="s">
        <v>203</v>
      </c>
      <c r="C347" s="7" t="s">
        <v>204</v>
      </c>
      <c r="D347" s="5">
        <v>1.0</v>
      </c>
      <c r="E347" s="7" t="s">
        <v>525</v>
      </c>
      <c r="F347" s="5" t="s">
        <v>502</v>
      </c>
      <c r="G347" s="14" t="s">
        <v>509</v>
      </c>
      <c r="H347" s="44" t="s">
        <v>510</v>
      </c>
      <c r="I347" s="31" t="s">
        <v>60</v>
      </c>
      <c r="J347" s="32">
        <v>2065112.0</v>
      </c>
    </row>
    <row r="348">
      <c r="A348" s="43" t="s">
        <v>74</v>
      </c>
      <c r="B348" s="6" t="s">
        <v>203</v>
      </c>
      <c r="C348" s="7" t="s">
        <v>204</v>
      </c>
      <c r="D348" s="5">
        <v>1.0</v>
      </c>
      <c r="E348" s="7" t="s">
        <v>525</v>
      </c>
      <c r="F348" s="5" t="s">
        <v>502</v>
      </c>
      <c r="G348" s="14" t="s">
        <v>511</v>
      </c>
      <c r="H348" s="44" t="s">
        <v>512</v>
      </c>
      <c r="I348" s="31" t="s">
        <v>60</v>
      </c>
      <c r="J348" s="32">
        <v>8.3326567E7</v>
      </c>
    </row>
    <row r="349">
      <c r="A349" s="43" t="s">
        <v>74</v>
      </c>
      <c r="B349" s="6" t="s">
        <v>203</v>
      </c>
      <c r="C349" s="7" t="s">
        <v>204</v>
      </c>
      <c r="D349" s="5">
        <v>1.0</v>
      </c>
      <c r="E349" s="7" t="s">
        <v>525</v>
      </c>
      <c r="F349" s="5" t="s">
        <v>502</v>
      </c>
      <c r="G349" s="14" t="s">
        <v>513</v>
      </c>
      <c r="H349" s="44" t="s">
        <v>514</v>
      </c>
      <c r="I349" s="31" t="s">
        <v>60</v>
      </c>
      <c r="J349" s="32">
        <v>2182516.0</v>
      </c>
    </row>
    <row r="350">
      <c r="A350" s="43" t="s">
        <v>74</v>
      </c>
      <c r="B350" s="6" t="s">
        <v>212</v>
      </c>
      <c r="C350" s="7" t="s">
        <v>213</v>
      </c>
      <c r="D350" s="5">
        <v>1.0</v>
      </c>
      <c r="E350" s="7" t="s">
        <v>441</v>
      </c>
      <c r="F350" s="5" t="s">
        <v>442</v>
      </c>
      <c r="G350" s="14" t="s">
        <v>443</v>
      </c>
      <c r="H350" s="44" t="s">
        <v>420</v>
      </c>
      <c r="I350" s="31" t="s">
        <v>19</v>
      </c>
      <c r="J350" s="32">
        <v>3.6742442E7</v>
      </c>
    </row>
    <row r="351">
      <c r="A351" s="43" t="s">
        <v>74</v>
      </c>
      <c r="B351" s="6" t="s">
        <v>212</v>
      </c>
      <c r="C351" s="7" t="s">
        <v>213</v>
      </c>
      <c r="D351" s="5">
        <v>1.0</v>
      </c>
      <c r="E351" s="7" t="s">
        <v>441</v>
      </c>
      <c r="F351" s="5" t="s">
        <v>442</v>
      </c>
      <c r="G351" s="14" t="s">
        <v>444</v>
      </c>
      <c r="H351" s="44" t="s">
        <v>445</v>
      </c>
      <c r="I351" s="31" t="s">
        <v>19</v>
      </c>
      <c r="J351" s="32">
        <v>5870553.0</v>
      </c>
    </row>
    <row r="352">
      <c r="A352" s="43" t="s">
        <v>74</v>
      </c>
      <c r="B352" s="6" t="s">
        <v>212</v>
      </c>
      <c r="C352" s="7" t="s">
        <v>213</v>
      </c>
      <c r="D352" s="5">
        <v>1.0</v>
      </c>
      <c r="E352" s="7" t="s">
        <v>441</v>
      </c>
      <c r="F352" s="5" t="s">
        <v>442</v>
      </c>
      <c r="G352" s="14" t="s">
        <v>446</v>
      </c>
      <c r="H352" s="44" t="s">
        <v>447</v>
      </c>
      <c r="I352" s="31" t="s">
        <v>19</v>
      </c>
      <c r="J352" s="32">
        <v>342777.0</v>
      </c>
    </row>
    <row r="353">
      <c r="A353" s="43" t="s">
        <v>74</v>
      </c>
      <c r="B353" s="6" t="s">
        <v>212</v>
      </c>
      <c r="C353" s="7" t="s">
        <v>213</v>
      </c>
      <c r="D353" s="5">
        <v>1.0</v>
      </c>
      <c r="E353" s="7" t="s">
        <v>441</v>
      </c>
      <c r="F353" s="5" t="s">
        <v>442</v>
      </c>
      <c r="G353" s="14" t="s">
        <v>448</v>
      </c>
      <c r="H353" s="44" t="s">
        <v>449</v>
      </c>
      <c r="I353" s="31" t="s">
        <v>19</v>
      </c>
      <c r="J353" s="32">
        <v>891253.0</v>
      </c>
    </row>
    <row r="354">
      <c r="A354" s="43" t="s">
        <v>74</v>
      </c>
      <c r="B354" s="6" t="s">
        <v>212</v>
      </c>
      <c r="C354" s="7" t="s">
        <v>213</v>
      </c>
      <c r="D354" s="5">
        <v>1.0</v>
      </c>
      <c r="E354" s="7" t="s">
        <v>441</v>
      </c>
      <c r="F354" s="5" t="s">
        <v>442</v>
      </c>
      <c r="G354" s="14" t="s">
        <v>450</v>
      </c>
      <c r="H354" s="44" t="s">
        <v>451</v>
      </c>
      <c r="I354" s="31" t="s">
        <v>19</v>
      </c>
      <c r="J354" s="32">
        <v>0.0</v>
      </c>
    </row>
    <row r="355">
      <c r="A355" s="43" t="s">
        <v>74</v>
      </c>
      <c r="B355" s="6" t="s">
        <v>212</v>
      </c>
      <c r="C355" s="7" t="s">
        <v>213</v>
      </c>
      <c r="D355" s="5">
        <v>1.0</v>
      </c>
      <c r="E355" s="7" t="s">
        <v>441</v>
      </c>
      <c r="F355" s="5" t="s">
        <v>442</v>
      </c>
      <c r="G355" s="14" t="s">
        <v>452</v>
      </c>
      <c r="H355" s="44" t="s">
        <v>453</v>
      </c>
      <c r="I355" s="31" t="s">
        <v>19</v>
      </c>
      <c r="J355" s="32">
        <v>659528.0</v>
      </c>
    </row>
    <row r="356">
      <c r="A356" s="43" t="s">
        <v>74</v>
      </c>
      <c r="B356" s="6" t="s">
        <v>212</v>
      </c>
      <c r="C356" s="7" t="s">
        <v>213</v>
      </c>
      <c r="D356" s="5">
        <v>1.0</v>
      </c>
      <c r="E356" s="7" t="s">
        <v>441</v>
      </c>
      <c r="F356" s="5" t="s">
        <v>442</v>
      </c>
      <c r="G356" s="14" t="s">
        <v>454</v>
      </c>
      <c r="H356" s="44" t="s">
        <v>415</v>
      </c>
      <c r="I356" s="31" t="s">
        <v>19</v>
      </c>
      <c r="J356" s="32">
        <v>96256.0</v>
      </c>
    </row>
    <row r="357">
      <c r="A357" s="43" t="s">
        <v>74</v>
      </c>
      <c r="B357" s="6" t="s">
        <v>212</v>
      </c>
      <c r="C357" s="7" t="s">
        <v>213</v>
      </c>
      <c r="D357" s="5">
        <v>1.0</v>
      </c>
      <c r="E357" s="7" t="s">
        <v>441</v>
      </c>
      <c r="F357" s="5" t="s">
        <v>442</v>
      </c>
      <c r="G357" s="14" t="s">
        <v>455</v>
      </c>
      <c r="H357" s="44" t="s">
        <v>415</v>
      </c>
      <c r="I357" s="31" t="s">
        <v>19</v>
      </c>
      <c r="J357" s="32">
        <v>53475.0</v>
      </c>
    </row>
    <row r="358">
      <c r="A358" s="43" t="s">
        <v>74</v>
      </c>
      <c r="B358" s="6" t="s">
        <v>212</v>
      </c>
      <c r="C358" s="7" t="s">
        <v>213</v>
      </c>
      <c r="D358" s="5">
        <v>1.0</v>
      </c>
      <c r="E358" s="7" t="s">
        <v>441</v>
      </c>
      <c r="F358" s="5" t="s">
        <v>442</v>
      </c>
      <c r="G358" s="14" t="s">
        <v>480</v>
      </c>
      <c r="H358" s="44" t="s">
        <v>481</v>
      </c>
      <c r="I358" s="31" t="s">
        <v>19</v>
      </c>
      <c r="J358" s="32">
        <v>5055128.0</v>
      </c>
    </row>
    <row r="359">
      <c r="A359" s="43" t="s">
        <v>74</v>
      </c>
      <c r="B359" s="6" t="s">
        <v>212</v>
      </c>
      <c r="C359" s="7" t="s">
        <v>213</v>
      </c>
      <c r="D359" s="5">
        <v>1.0</v>
      </c>
      <c r="E359" s="7" t="s">
        <v>456</v>
      </c>
      <c r="F359" s="5" t="s">
        <v>457</v>
      </c>
      <c r="G359" s="14" t="s">
        <v>515</v>
      </c>
      <c r="H359" s="44" t="s">
        <v>413</v>
      </c>
      <c r="I359" s="31" t="s">
        <v>19</v>
      </c>
      <c r="J359" s="32">
        <v>4300000.0</v>
      </c>
    </row>
    <row r="360">
      <c r="A360" s="43" t="s">
        <v>74</v>
      </c>
      <c r="B360" s="6" t="s">
        <v>212</v>
      </c>
      <c r="C360" s="7" t="s">
        <v>213</v>
      </c>
      <c r="D360" s="5">
        <v>1.0</v>
      </c>
      <c r="E360" s="7" t="s">
        <v>456</v>
      </c>
      <c r="F360" s="5" t="s">
        <v>457</v>
      </c>
      <c r="G360" s="14" t="s">
        <v>458</v>
      </c>
      <c r="H360" s="44" t="s">
        <v>411</v>
      </c>
      <c r="I360" s="31" t="s">
        <v>19</v>
      </c>
      <c r="J360" s="32">
        <v>1.64737424E8</v>
      </c>
    </row>
    <row r="361">
      <c r="A361" s="43" t="s">
        <v>74</v>
      </c>
      <c r="B361" s="6" t="s">
        <v>212</v>
      </c>
      <c r="C361" s="7" t="s">
        <v>213</v>
      </c>
      <c r="D361" s="5">
        <v>1.0</v>
      </c>
      <c r="E361" s="7" t="s">
        <v>482</v>
      </c>
      <c r="F361" s="5" t="s">
        <v>483</v>
      </c>
      <c r="G361" s="14" t="s">
        <v>465</v>
      </c>
      <c r="H361" s="44" t="s">
        <v>466</v>
      </c>
      <c r="I361" s="31" t="s">
        <v>25</v>
      </c>
      <c r="J361" s="32">
        <v>1300000.0</v>
      </c>
    </row>
    <row r="362">
      <c r="A362" s="43" t="s">
        <v>74</v>
      </c>
      <c r="B362" s="6" t="s">
        <v>212</v>
      </c>
      <c r="C362" s="7" t="s">
        <v>213</v>
      </c>
      <c r="D362" s="5">
        <v>1.0</v>
      </c>
      <c r="E362" s="7" t="s">
        <v>482</v>
      </c>
      <c r="F362" s="5" t="s">
        <v>483</v>
      </c>
      <c r="G362" s="14" t="s">
        <v>458</v>
      </c>
      <c r="H362" s="44" t="s">
        <v>411</v>
      </c>
      <c r="I362" s="31" t="s">
        <v>19</v>
      </c>
      <c r="J362" s="32">
        <v>0.0</v>
      </c>
    </row>
    <row r="363">
      <c r="A363" s="43" t="s">
        <v>74</v>
      </c>
      <c r="B363" s="6" t="s">
        <v>212</v>
      </c>
      <c r="C363" s="7" t="s">
        <v>213</v>
      </c>
      <c r="D363" s="5">
        <v>1.0</v>
      </c>
      <c r="E363" s="7" t="s">
        <v>482</v>
      </c>
      <c r="F363" s="5" t="s">
        <v>483</v>
      </c>
      <c r="G363" s="14" t="s">
        <v>486</v>
      </c>
      <c r="H363" s="44" t="s">
        <v>432</v>
      </c>
      <c r="I363" s="31" t="s">
        <v>37</v>
      </c>
      <c r="J363" s="32">
        <v>809123.0</v>
      </c>
    </row>
    <row r="364">
      <c r="A364" s="43" t="s">
        <v>74</v>
      </c>
      <c r="B364" s="6" t="s">
        <v>212</v>
      </c>
      <c r="C364" s="7" t="s">
        <v>213</v>
      </c>
      <c r="D364" s="5">
        <v>1.0</v>
      </c>
      <c r="E364" s="7" t="s">
        <v>459</v>
      </c>
      <c r="F364" s="5" t="s">
        <v>460</v>
      </c>
      <c r="G364" s="14" t="s">
        <v>458</v>
      </c>
      <c r="H364" s="44" t="s">
        <v>411</v>
      </c>
      <c r="I364" s="31" t="s">
        <v>19</v>
      </c>
      <c r="J364" s="32">
        <v>9742091.0</v>
      </c>
    </row>
    <row r="365">
      <c r="A365" s="43" t="s">
        <v>74</v>
      </c>
      <c r="B365" s="6" t="s">
        <v>212</v>
      </c>
      <c r="C365" s="7" t="s">
        <v>213</v>
      </c>
      <c r="D365" s="5">
        <v>1.0</v>
      </c>
      <c r="E365" s="7" t="s">
        <v>463</v>
      </c>
      <c r="F365" s="5" t="s">
        <v>464</v>
      </c>
      <c r="G365" s="14" t="s">
        <v>465</v>
      </c>
      <c r="H365" s="44" t="s">
        <v>466</v>
      </c>
      <c r="I365" s="31" t="s">
        <v>25</v>
      </c>
      <c r="J365" s="32">
        <v>2255000.0</v>
      </c>
    </row>
    <row r="366">
      <c r="A366" s="43" t="s">
        <v>74</v>
      </c>
      <c r="B366" s="6" t="s">
        <v>212</v>
      </c>
      <c r="C366" s="7" t="s">
        <v>213</v>
      </c>
      <c r="D366" s="5">
        <v>1.0</v>
      </c>
      <c r="E366" s="7" t="s">
        <v>463</v>
      </c>
      <c r="F366" s="5" t="s">
        <v>464</v>
      </c>
      <c r="G366" s="14" t="s">
        <v>458</v>
      </c>
      <c r="H366" s="44" t="s">
        <v>411</v>
      </c>
      <c r="I366" s="31" t="s">
        <v>19</v>
      </c>
      <c r="J366" s="32">
        <v>2.5028564E7</v>
      </c>
    </row>
    <row r="367">
      <c r="A367" s="43" t="s">
        <v>74</v>
      </c>
      <c r="B367" s="6" t="s">
        <v>212</v>
      </c>
      <c r="C367" s="7" t="s">
        <v>213</v>
      </c>
      <c r="D367" s="5">
        <v>1.0</v>
      </c>
      <c r="E367" s="7" t="s">
        <v>463</v>
      </c>
      <c r="F367" s="5" t="s">
        <v>464</v>
      </c>
      <c r="G367" s="14" t="s">
        <v>477</v>
      </c>
      <c r="H367" s="44" t="s">
        <v>429</v>
      </c>
      <c r="I367" s="31" t="s">
        <v>50</v>
      </c>
      <c r="J367" s="32">
        <v>967653.0</v>
      </c>
    </row>
    <row r="368">
      <c r="A368" s="43" t="s">
        <v>74</v>
      </c>
      <c r="B368" s="6" t="s">
        <v>212</v>
      </c>
      <c r="C368" s="7" t="s">
        <v>213</v>
      </c>
      <c r="D368" s="5">
        <v>1.0</v>
      </c>
      <c r="E368" s="7" t="s">
        <v>487</v>
      </c>
      <c r="F368" s="5" t="s">
        <v>488</v>
      </c>
      <c r="G368" s="14" t="s">
        <v>489</v>
      </c>
      <c r="H368" s="44" t="s">
        <v>490</v>
      </c>
      <c r="I368" s="31" t="s">
        <v>25</v>
      </c>
      <c r="J368" s="32">
        <v>1000000.0</v>
      </c>
    </row>
    <row r="369">
      <c r="A369" s="43" t="s">
        <v>74</v>
      </c>
      <c r="B369" s="6" t="s">
        <v>212</v>
      </c>
      <c r="C369" s="7" t="s">
        <v>213</v>
      </c>
      <c r="D369" s="5">
        <v>1.0</v>
      </c>
      <c r="E369" s="7" t="s">
        <v>487</v>
      </c>
      <c r="F369" s="5" t="s">
        <v>488</v>
      </c>
      <c r="G369" s="14" t="s">
        <v>554</v>
      </c>
      <c r="H369" s="44" t="s">
        <v>555</v>
      </c>
      <c r="I369" s="31" t="s">
        <v>17</v>
      </c>
      <c r="J369" s="32">
        <v>2.1403659E7</v>
      </c>
    </row>
    <row r="370">
      <c r="A370" s="43" t="s">
        <v>74</v>
      </c>
      <c r="B370" s="6" t="s">
        <v>212</v>
      </c>
      <c r="C370" s="7" t="s">
        <v>213</v>
      </c>
      <c r="D370" s="5">
        <v>1.0</v>
      </c>
      <c r="E370" s="7" t="s">
        <v>487</v>
      </c>
      <c r="F370" s="5" t="s">
        <v>488</v>
      </c>
      <c r="G370" s="14" t="s">
        <v>554</v>
      </c>
      <c r="H370" s="44" t="s">
        <v>555</v>
      </c>
      <c r="I370" s="31" t="s">
        <v>25</v>
      </c>
      <c r="J370" s="32">
        <v>-2.1403659E7</v>
      </c>
    </row>
    <row r="371">
      <c r="A371" s="43" t="s">
        <v>74</v>
      </c>
      <c r="B371" s="6" t="s">
        <v>212</v>
      </c>
      <c r="C371" s="7" t="s">
        <v>213</v>
      </c>
      <c r="D371" s="5">
        <v>1.0</v>
      </c>
      <c r="E371" s="7" t="s">
        <v>487</v>
      </c>
      <c r="F371" s="5" t="s">
        <v>488</v>
      </c>
      <c r="G371" s="14" t="s">
        <v>458</v>
      </c>
      <c r="H371" s="44" t="s">
        <v>411</v>
      </c>
      <c r="I371" s="31" t="s">
        <v>19</v>
      </c>
      <c r="J371" s="32">
        <v>1.9300772E7</v>
      </c>
    </row>
    <row r="372">
      <c r="A372" s="43" t="s">
        <v>74</v>
      </c>
      <c r="B372" s="6" t="s">
        <v>212</v>
      </c>
      <c r="C372" s="7" t="s">
        <v>213</v>
      </c>
      <c r="D372" s="5">
        <v>1.0</v>
      </c>
      <c r="E372" s="7" t="s">
        <v>487</v>
      </c>
      <c r="F372" s="5" t="s">
        <v>488</v>
      </c>
      <c r="G372" s="14" t="s">
        <v>477</v>
      </c>
      <c r="H372" s="44" t="s">
        <v>429</v>
      </c>
      <c r="I372" s="31" t="s">
        <v>50</v>
      </c>
      <c r="J372" s="32">
        <v>161276.0</v>
      </c>
    </row>
    <row r="373">
      <c r="A373" s="43" t="s">
        <v>74</v>
      </c>
      <c r="B373" s="6" t="s">
        <v>212</v>
      </c>
      <c r="C373" s="7" t="s">
        <v>213</v>
      </c>
      <c r="D373" s="5">
        <v>1.0</v>
      </c>
      <c r="E373" s="7" t="s">
        <v>556</v>
      </c>
      <c r="F373" s="5" t="s">
        <v>557</v>
      </c>
      <c r="G373" s="14" t="s">
        <v>544</v>
      </c>
      <c r="H373" s="44" t="s">
        <v>421</v>
      </c>
      <c r="I373" s="31" t="s">
        <v>25</v>
      </c>
      <c r="J373" s="32">
        <v>2804000.0</v>
      </c>
    </row>
    <row r="374">
      <c r="A374" s="43" t="s">
        <v>74</v>
      </c>
      <c r="B374" s="6" t="s">
        <v>212</v>
      </c>
      <c r="C374" s="7" t="s">
        <v>213</v>
      </c>
      <c r="D374" s="5">
        <v>1.0</v>
      </c>
      <c r="E374" s="7" t="s">
        <v>469</v>
      </c>
      <c r="F374" s="5" t="s">
        <v>470</v>
      </c>
      <c r="G374" s="14" t="s">
        <v>558</v>
      </c>
      <c r="H374" s="44" t="s">
        <v>559</v>
      </c>
      <c r="I374" s="31" t="s">
        <v>25</v>
      </c>
      <c r="J374" s="32">
        <v>475000.0</v>
      </c>
    </row>
    <row r="375">
      <c r="A375" s="43" t="s">
        <v>74</v>
      </c>
      <c r="B375" s="6" t="s">
        <v>212</v>
      </c>
      <c r="C375" s="7" t="s">
        <v>213</v>
      </c>
      <c r="D375" s="5">
        <v>1.0</v>
      </c>
      <c r="E375" s="7" t="s">
        <v>469</v>
      </c>
      <c r="F375" s="5" t="s">
        <v>470</v>
      </c>
      <c r="G375" s="14" t="s">
        <v>516</v>
      </c>
      <c r="H375" s="44" t="s">
        <v>436</v>
      </c>
      <c r="I375" s="31" t="s">
        <v>25</v>
      </c>
      <c r="J375" s="32">
        <v>147000.0</v>
      </c>
    </row>
    <row r="376">
      <c r="A376" s="43" t="s">
        <v>74</v>
      </c>
      <c r="B376" s="6" t="s">
        <v>212</v>
      </c>
      <c r="C376" s="7" t="s">
        <v>213</v>
      </c>
      <c r="D376" s="5">
        <v>1.0</v>
      </c>
      <c r="E376" s="7" t="s">
        <v>469</v>
      </c>
      <c r="F376" s="5" t="s">
        <v>470</v>
      </c>
      <c r="G376" s="14" t="s">
        <v>517</v>
      </c>
      <c r="H376" s="44" t="s">
        <v>518</v>
      </c>
      <c r="I376" s="31" t="s">
        <v>25</v>
      </c>
      <c r="J376" s="32">
        <v>2380200.0</v>
      </c>
    </row>
    <row r="377">
      <c r="A377" s="43" t="s">
        <v>74</v>
      </c>
      <c r="B377" s="6" t="s">
        <v>212</v>
      </c>
      <c r="C377" s="7" t="s">
        <v>213</v>
      </c>
      <c r="D377" s="5">
        <v>1.0</v>
      </c>
      <c r="E377" s="7" t="s">
        <v>473</v>
      </c>
      <c r="F377" s="5" t="s">
        <v>474</v>
      </c>
      <c r="G377" s="14" t="s">
        <v>523</v>
      </c>
      <c r="H377" s="44" t="s">
        <v>431</v>
      </c>
      <c r="I377" s="31" t="s">
        <v>17</v>
      </c>
      <c r="J377" s="32">
        <v>1.28313211E8</v>
      </c>
    </row>
    <row r="378">
      <c r="A378" s="43" t="s">
        <v>74</v>
      </c>
      <c r="B378" s="6" t="s">
        <v>212</v>
      </c>
      <c r="C378" s="7" t="s">
        <v>213</v>
      </c>
      <c r="D378" s="5">
        <v>1.0</v>
      </c>
      <c r="E378" s="7" t="s">
        <v>473</v>
      </c>
      <c r="F378" s="5" t="s">
        <v>474</v>
      </c>
      <c r="G378" s="14" t="s">
        <v>523</v>
      </c>
      <c r="H378" s="44" t="s">
        <v>431</v>
      </c>
      <c r="I378" s="31" t="s">
        <v>25</v>
      </c>
      <c r="J378" s="32">
        <v>1.0E7</v>
      </c>
    </row>
    <row r="379">
      <c r="A379" s="43" t="s">
        <v>74</v>
      </c>
      <c r="B379" s="6" t="s">
        <v>212</v>
      </c>
      <c r="C379" s="7" t="s">
        <v>213</v>
      </c>
      <c r="D379" s="5">
        <v>1.0</v>
      </c>
      <c r="E379" s="7" t="s">
        <v>473</v>
      </c>
      <c r="F379" s="5" t="s">
        <v>474</v>
      </c>
      <c r="G379" s="14" t="s">
        <v>458</v>
      </c>
      <c r="H379" s="44" t="s">
        <v>411</v>
      </c>
      <c r="I379" s="31" t="s">
        <v>19</v>
      </c>
      <c r="J379" s="32">
        <v>5.1619419E7</v>
      </c>
    </row>
    <row r="380">
      <c r="A380" s="43" t="s">
        <v>74</v>
      </c>
      <c r="B380" s="6" t="s">
        <v>212</v>
      </c>
      <c r="C380" s="7" t="s">
        <v>213</v>
      </c>
      <c r="D380" s="5">
        <v>1.0</v>
      </c>
      <c r="E380" s="7" t="s">
        <v>491</v>
      </c>
      <c r="F380" s="5" t="s">
        <v>492</v>
      </c>
      <c r="G380" s="14" t="s">
        <v>545</v>
      </c>
      <c r="H380" s="44" t="s">
        <v>427</v>
      </c>
      <c r="I380" s="31" t="s">
        <v>37</v>
      </c>
      <c r="J380" s="32">
        <v>4.2537703E7</v>
      </c>
    </row>
    <row r="381">
      <c r="A381" s="43" t="s">
        <v>74</v>
      </c>
      <c r="B381" s="6" t="s">
        <v>212</v>
      </c>
      <c r="C381" s="7" t="s">
        <v>213</v>
      </c>
      <c r="D381" s="5">
        <v>1.0</v>
      </c>
      <c r="E381" s="7" t="s">
        <v>491</v>
      </c>
      <c r="F381" s="5" t="s">
        <v>492</v>
      </c>
      <c r="G381" s="14" t="s">
        <v>521</v>
      </c>
      <c r="H381" s="44" t="s">
        <v>522</v>
      </c>
      <c r="I381" s="31" t="s">
        <v>37</v>
      </c>
      <c r="J381" s="32">
        <v>485271.0</v>
      </c>
    </row>
    <row r="382">
      <c r="A382" s="43" t="s">
        <v>74</v>
      </c>
      <c r="B382" s="6" t="s">
        <v>212</v>
      </c>
      <c r="C382" s="7" t="s">
        <v>213</v>
      </c>
      <c r="D382" s="5">
        <v>1.0</v>
      </c>
      <c r="E382" s="7" t="s">
        <v>491</v>
      </c>
      <c r="F382" s="5" t="s">
        <v>492</v>
      </c>
      <c r="G382" s="14" t="s">
        <v>493</v>
      </c>
      <c r="H382" s="44" t="s">
        <v>437</v>
      </c>
      <c r="I382" s="31" t="s">
        <v>25</v>
      </c>
      <c r="J382" s="32">
        <v>9700366.0</v>
      </c>
    </row>
    <row r="383">
      <c r="A383" s="43" t="s">
        <v>74</v>
      </c>
      <c r="B383" s="6" t="s">
        <v>212</v>
      </c>
      <c r="C383" s="7" t="s">
        <v>213</v>
      </c>
      <c r="D383" s="5">
        <v>1.0</v>
      </c>
      <c r="E383" s="7" t="s">
        <v>491</v>
      </c>
      <c r="F383" s="5" t="s">
        <v>492</v>
      </c>
      <c r="G383" s="14" t="s">
        <v>560</v>
      </c>
      <c r="H383" s="44" t="s">
        <v>433</v>
      </c>
      <c r="I383" s="31" t="s">
        <v>25</v>
      </c>
      <c r="J383" s="32">
        <v>6096300.0</v>
      </c>
    </row>
    <row r="384">
      <c r="A384" s="43" t="s">
        <v>74</v>
      </c>
      <c r="B384" s="6" t="s">
        <v>212</v>
      </c>
      <c r="C384" s="7" t="s">
        <v>213</v>
      </c>
      <c r="D384" s="5">
        <v>1.0</v>
      </c>
      <c r="E384" s="7" t="s">
        <v>475</v>
      </c>
      <c r="F384" s="5" t="s">
        <v>476</v>
      </c>
      <c r="G384" s="14" t="s">
        <v>498</v>
      </c>
      <c r="H384" s="44" t="s">
        <v>434</v>
      </c>
      <c r="I384" s="31" t="s">
        <v>25</v>
      </c>
      <c r="J384" s="32">
        <v>2396996.0</v>
      </c>
    </row>
    <row r="385">
      <c r="A385" s="43" t="s">
        <v>74</v>
      </c>
      <c r="B385" s="6" t="s">
        <v>212</v>
      </c>
      <c r="C385" s="7" t="s">
        <v>213</v>
      </c>
      <c r="D385" s="5">
        <v>1.0</v>
      </c>
      <c r="E385" s="7" t="s">
        <v>475</v>
      </c>
      <c r="F385" s="5" t="s">
        <v>476</v>
      </c>
      <c r="G385" s="14" t="s">
        <v>477</v>
      </c>
      <c r="H385" s="44" t="s">
        <v>429</v>
      </c>
      <c r="I385" s="31" t="s">
        <v>50</v>
      </c>
      <c r="J385" s="32">
        <v>1.9920854E7</v>
      </c>
    </row>
    <row r="386">
      <c r="A386" s="43" t="s">
        <v>74</v>
      </c>
      <c r="B386" s="6" t="s">
        <v>212</v>
      </c>
      <c r="C386" s="7" t="s">
        <v>213</v>
      </c>
      <c r="D386" s="5">
        <v>1.0</v>
      </c>
      <c r="E386" s="7" t="s">
        <v>524</v>
      </c>
      <c r="F386" s="5" t="s">
        <v>479</v>
      </c>
      <c r="G386" s="14" t="s">
        <v>443</v>
      </c>
      <c r="H386" s="44" t="s">
        <v>420</v>
      </c>
      <c r="I386" s="31" t="s">
        <v>19</v>
      </c>
      <c r="J386" s="32">
        <v>9.8458316E7</v>
      </c>
    </row>
    <row r="387">
      <c r="A387" s="43" t="s">
        <v>74</v>
      </c>
      <c r="B387" s="6" t="s">
        <v>212</v>
      </c>
      <c r="C387" s="7" t="s">
        <v>213</v>
      </c>
      <c r="D387" s="5">
        <v>1.0</v>
      </c>
      <c r="E387" s="7" t="s">
        <v>524</v>
      </c>
      <c r="F387" s="5" t="s">
        <v>479</v>
      </c>
      <c r="G387" s="14" t="s">
        <v>444</v>
      </c>
      <c r="H387" s="44" t="s">
        <v>445</v>
      </c>
      <c r="I387" s="31" t="s">
        <v>19</v>
      </c>
      <c r="J387" s="32">
        <v>4221193.0</v>
      </c>
    </row>
    <row r="388">
      <c r="A388" s="43" t="s">
        <v>74</v>
      </c>
      <c r="B388" s="6" t="s">
        <v>212</v>
      </c>
      <c r="C388" s="7" t="s">
        <v>213</v>
      </c>
      <c r="D388" s="5">
        <v>1.0</v>
      </c>
      <c r="E388" s="7" t="s">
        <v>524</v>
      </c>
      <c r="F388" s="5" t="s">
        <v>479</v>
      </c>
      <c r="G388" s="14" t="s">
        <v>446</v>
      </c>
      <c r="H388" s="44" t="s">
        <v>447</v>
      </c>
      <c r="I388" s="31" t="s">
        <v>19</v>
      </c>
      <c r="J388" s="32">
        <v>1099680.0</v>
      </c>
    </row>
    <row r="389">
      <c r="A389" s="43" t="s">
        <v>74</v>
      </c>
      <c r="B389" s="6" t="s">
        <v>212</v>
      </c>
      <c r="C389" s="7" t="s">
        <v>213</v>
      </c>
      <c r="D389" s="5">
        <v>1.0</v>
      </c>
      <c r="E389" s="7" t="s">
        <v>524</v>
      </c>
      <c r="F389" s="5" t="s">
        <v>479</v>
      </c>
      <c r="G389" s="14" t="s">
        <v>448</v>
      </c>
      <c r="H389" s="44" t="s">
        <v>449</v>
      </c>
      <c r="I389" s="31" t="s">
        <v>19</v>
      </c>
      <c r="J389" s="32">
        <v>2749198.0</v>
      </c>
    </row>
    <row r="390">
      <c r="A390" s="43" t="s">
        <v>74</v>
      </c>
      <c r="B390" s="6" t="s">
        <v>212</v>
      </c>
      <c r="C390" s="7" t="s">
        <v>213</v>
      </c>
      <c r="D390" s="5">
        <v>1.0</v>
      </c>
      <c r="E390" s="7" t="s">
        <v>524</v>
      </c>
      <c r="F390" s="5" t="s">
        <v>479</v>
      </c>
      <c r="G390" s="14" t="s">
        <v>450</v>
      </c>
      <c r="H390" s="44" t="s">
        <v>451</v>
      </c>
      <c r="I390" s="31" t="s">
        <v>19</v>
      </c>
      <c r="J390" s="32">
        <v>0.0</v>
      </c>
    </row>
    <row r="391">
      <c r="A391" s="43" t="s">
        <v>74</v>
      </c>
      <c r="B391" s="6" t="s">
        <v>212</v>
      </c>
      <c r="C391" s="7" t="s">
        <v>213</v>
      </c>
      <c r="D391" s="5">
        <v>1.0</v>
      </c>
      <c r="E391" s="7" t="s">
        <v>524</v>
      </c>
      <c r="F391" s="5" t="s">
        <v>479</v>
      </c>
      <c r="G391" s="14" t="s">
        <v>452</v>
      </c>
      <c r="H391" s="44" t="s">
        <v>453</v>
      </c>
      <c r="I391" s="31" t="s">
        <v>19</v>
      </c>
      <c r="J391" s="32">
        <v>2034407.0</v>
      </c>
    </row>
    <row r="392">
      <c r="A392" s="43" t="s">
        <v>74</v>
      </c>
      <c r="B392" s="6" t="s">
        <v>212</v>
      </c>
      <c r="C392" s="7" t="s">
        <v>213</v>
      </c>
      <c r="D392" s="5">
        <v>1.0</v>
      </c>
      <c r="E392" s="7" t="s">
        <v>524</v>
      </c>
      <c r="F392" s="5" t="s">
        <v>479</v>
      </c>
      <c r="G392" s="14" t="s">
        <v>454</v>
      </c>
      <c r="H392" s="44" t="s">
        <v>415</v>
      </c>
      <c r="I392" s="31" t="s">
        <v>19</v>
      </c>
      <c r="J392" s="32">
        <v>296913.0</v>
      </c>
    </row>
    <row r="393">
      <c r="A393" s="43" t="s">
        <v>74</v>
      </c>
      <c r="B393" s="6" t="s">
        <v>212</v>
      </c>
      <c r="C393" s="7" t="s">
        <v>213</v>
      </c>
      <c r="D393" s="5">
        <v>1.0</v>
      </c>
      <c r="E393" s="7" t="s">
        <v>524</v>
      </c>
      <c r="F393" s="5" t="s">
        <v>479</v>
      </c>
      <c r="G393" s="14" t="s">
        <v>455</v>
      </c>
      <c r="H393" s="44" t="s">
        <v>415</v>
      </c>
      <c r="I393" s="31" t="s">
        <v>19</v>
      </c>
      <c r="J393" s="32">
        <v>164952.0</v>
      </c>
    </row>
    <row r="394">
      <c r="A394" s="43" t="s">
        <v>74</v>
      </c>
      <c r="B394" s="6" t="s">
        <v>212</v>
      </c>
      <c r="C394" s="7" t="s">
        <v>213</v>
      </c>
      <c r="D394" s="5">
        <v>1.0</v>
      </c>
      <c r="E394" s="7" t="s">
        <v>525</v>
      </c>
      <c r="F394" s="5" t="s">
        <v>502</v>
      </c>
      <c r="G394" s="14" t="s">
        <v>526</v>
      </c>
      <c r="H394" s="44" t="s">
        <v>527</v>
      </c>
      <c r="I394" s="31" t="s">
        <v>60</v>
      </c>
      <c r="J394" s="32">
        <v>8.8449162E7</v>
      </c>
    </row>
    <row r="395">
      <c r="A395" s="43" t="s">
        <v>74</v>
      </c>
      <c r="B395" s="6" t="s">
        <v>212</v>
      </c>
      <c r="C395" s="7" t="s">
        <v>213</v>
      </c>
      <c r="D395" s="5">
        <v>1.0</v>
      </c>
      <c r="E395" s="7" t="s">
        <v>525</v>
      </c>
      <c r="F395" s="5" t="s">
        <v>502</v>
      </c>
      <c r="G395" s="14" t="s">
        <v>539</v>
      </c>
      <c r="H395" s="44" t="s">
        <v>540</v>
      </c>
      <c r="I395" s="31" t="s">
        <v>60</v>
      </c>
      <c r="J395" s="32">
        <v>4700200.0</v>
      </c>
    </row>
    <row r="396">
      <c r="A396" s="43" t="s">
        <v>74</v>
      </c>
      <c r="B396" s="6" t="s">
        <v>212</v>
      </c>
      <c r="C396" s="7" t="s">
        <v>213</v>
      </c>
      <c r="D396" s="5">
        <v>1.0</v>
      </c>
      <c r="E396" s="7" t="s">
        <v>525</v>
      </c>
      <c r="F396" s="5" t="s">
        <v>502</v>
      </c>
      <c r="G396" s="14" t="s">
        <v>505</v>
      </c>
      <c r="H396" s="44" t="s">
        <v>506</v>
      </c>
      <c r="I396" s="31" t="s">
        <v>60</v>
      </c>
      <c r="J396" s="32">
        <v>1.6311644E7</v>
      </c>
    </row>
    <row r="397">
      <c r="A397" s="43" t="s">
        <v>74</v>
      </c>
      <c r="B397" s="6" t="s">
        <v>212</v>
      </c>
      <c r="C397" s="7" t="s">
        <v>213</v>
      </c>
      <c r="D397" s="5">
        <v>1.0</v>
      </c>
      <c r="E397" s="7" t="s">
        <v>525</v>
      </c>
      <c r="F397" s="5" t="s">
        <v>502</v>
      </c>
      <c r="G397" s="14" t="s">
        <v>507</v>
      </c>
      <c r="H397" s="44" t="s">
        <v>508</v>
      </c>
      <c r="I397" s="31" t="s">
        <v>60</v>
      </c>
      <c r="J397" s="32">
        <v>1.068924E7</v>
      </c>
    </row>
    <row r="398">
      <c r="A398" s="43" t="s">
        <v>74</v>
      </c>
      <c r="B398" s="6" t="s">
        <v>212</v>
      </c>
      <c r="C398" s="7" t="s">
        <v>213</v>
      </c>
      <c r="D398" s="5">
        <v>1.0</v>
      </c>
      <c r="E398" s="7" t="s">
        <v>525</v>
      </c>
      <c r="F398" s="5" t="s">
        <v>502</v>
      </c>
      <c r="G398" s="14" t="s">
        <v>561</v>
      </c>
      <c r="H398" s="44" t="s">
        <v>562</v>
      </c>
      <c r="I398" s="31" t="s">
        <v>60</v>
      </c>
      <c r="J398" s="32">
        <v>2400083.0</v>
      </c>
    </row>
    <row r="399">
      <c r="A399" s="43" t="s">
        <v>74</v>
      </c>
      <c r="B399" s="6" t="s">
        <v>212</v>
      </c>
      <c r="C399" s="7" t="s">
        <v>213</v>
      </c>
      <c r="D399" s="5">
        <v>1.0</v>
      </c>
      <c r="E399" s="7" t="s">
        <v>525</v>
      </c>
      <c r="F399" s="5" t="s">
        <v>502</v>
      </c>
      <c r="G399" s="14" t="s">
        <v>509</v>
      </c>
      <c r="H399" s="44" t="s">
        <v>510</v>
      </c>
      <c r="I399" s="31" t="s">
        <v>60</v>
      </c>
      <c r="J399" s="32">
        <v>294999.0</v>
      </c>
    </row>
    <row r="400">
      <c r="A400" s="43" t="s">
        <v>74</v>
      </c>
      <c r="B400" s="6" t="s">
        <v>212</v>
      </c>
      <c r="C400" s="7" t="s">
        <v>213</v>
      </c>
      <c r="D400" s="5">
        <v>1.0</v>
      </c>
      <c r="E400" s="7" t="s">
        <v>525</v>
      </c>
      <c r="F400" s="5" t="s">
        <v>502</v>
      </c>
      <c r="G400" s="14" t="s">
        <v>511</v>
      </c>
      <c r="H400" s="44" t="s">
        <v>512</v>
      </c>
      <c r="I400" s="31" t="s">
        <v>60</v>
      </c>
      <c r="J400" s="32">
        <v>1.07609321E8</v>
      </c>
    </row>
    <row r="401">
      <c r="A401" s="43" t="s">
        <v>74</v>
      </c>
      <c r="B401" s="6" t="s">
        <v>212</v>
      </c>
      <c r="C401" s="7" t="s">
        <v>213</v>
      </c>
      <c r="D401" s="5">
        <v>1.0</v>
      </c>
      <c r="E401" s="7" t="s">
        <v>525</v>
      </c>
      <c r="F401" s="5" t="s">
        <v>502</v>
      </c>
      <c r="G401" s="14" t="s">
        <v>513</v>
      </c>
      <c r="H401" s="44" t="s">
        <v>514</v>
      </c>
      <c r="I401" s="31" t="s">
        <v>60</v>
      </c>
      <c r="J401" s="32">
        <v>1821493.0</v>
      </c>
    </row>
    <row r="402">
      <c r="A402" s="43" t="s">
        <v>74</v>
      </c>
      <c r="B402" s="6" t="s">
        <v>212</v>
      </c>
      <c r="C402" s="7" t="s">
        <v>213</v>
      </c>
      <c r="D402" s="5">
        <v>1.0</v>
      </c>
      <c r="E402" s="7" t="s">
        <v>563</v>
      </c>
      <c r="F402" s="5" t="s">
        <v>564</v>
      </c>
      <c r="G402" s="14" t="s">
        <v>558</v>
      </c>
      <c r="H402" s="44" t="s">
        <v>559</v>
      </c>
      <c r="I402" s="31" t="s">
        <v>25</v>
      </c>
      <c r="J402" s="32">
        <v>356000.0</v>
      </c>
    </row>
    <row r="403">
      <c r="A403" s="43" t="s">
        <v>74</v>
      </c>
      <c r="B403" s="6" t="s">
        <v>220</v>
      </c>
      <c r="C403" s="7" t="s">
        <v>221</v>
      </c>
      <c r="D403" s="5">
        <v>1.0</v>
      </c>
      <c r="E403" s="7" t="s">
        <v>441</v>
      </c>
      <c r="F403" s="5" t="s">
        <v>442</v>
      </c>
      <c r="G403" s="14" t="s">
        <v>443</v>
      </c>
      <c r="H403" s="44" t="s">
        <v>420</v>
      </c>
      <c r="I403" s="31" t="s">
        <v>19</v>
      </c>
      <c r="J403" s="32">
        <v>5.0678974E7</v>
      </c>
    </row>
    <row r="404">
      <c r="A404" s="43" t="s">
        <v>74</v>
      </c>
      <c r="B404" s="6" t="s">
        <v>220</v>
      </c>
      <c r="C404" s="7" t="s">
        <v>221</v>
      </c>
      <c r="D404" s="5">
        <v>1.0</v>
      </c>
      <c r="E404" s="7" t="s">
        <v>441</v>
      </c>
      <c r="F404" s="5" t="s">
        <v>442</v>
      </c>
      <c r="G404" s="14" t="s">
        <v>444</v>
      </c>
      <c r="H404" s="44" t="s">
        <v>445</v>
      </c>
      <c r="I404" s="31" t="s">
        <v>19</v>
      </c>
      <c r="J404" s="32">
        <v>5080341.0</v>
      </c>
    </row>
    <row r="405">
      <c r="A405" s="43" t="s">
        <v>74</v>
      </c>
      <c r="B405" s="6" t="s">
        <v>220</v>
      </c>
      <c r="C405" s="7" t="s">
        <v>221</v>
      </c>
      <c r="D405" s="5">
        <v>1.0</v>
      </c>
      <c r="E405" s="7" t="s">
        <v>441</v>
      </c>
      <c r="F405" s="5" t="s">
        <v>442</v>
      </c>
      <c r="G405" s="14" t="s">
        <v>446</v>
      </c>
      <c r="H405" s="44" t="s">
        <v>447</v>
      </c>
      <c r="I405" s="31" t="s">
        <v>19</v>
      </c>
      <c r="J405" s="32">
        <v>532008.0</v>
      </c>
    </row>
    <row r="406">
      <c r="A406" s="43" t="s">
        <v>74</v>
      </c>
      <c r="B406" s="6" t="s">
        <v>220</v>
      </c>
      <c r="C406" s="7" t="s">
        <v>221</v>
      </c>
      <c r="D406" s="5">
        <v>1.0</v>
      </c>
      <c r="E406" s="7" t="s">
        <v>441</v>
      </c>
      <c r="F406" s="5" t="s">
        <v>442</v>
      </c>
      <c r="G406" s="14" t="s">
        <v>448</v>
      </c>
      <c r="H406" s="44" t="s">
        <v>449</v>
      </c>
      <c r="I406" s="31" t="s">
        <v>19</v>
      </c>
      <c r="J406" s="32">
        <v>1337205.0</v>
      </c>
    </row>
    <row r="407">
      <c r="A407" s="43" t="s">
        <v>74</v>
      </c>
      <c r="B407" s="6" t="s">
        <v>220</v>
      </c>
      <c r="C407" s="7" t="s">
        <v>221</v>
      </c>
      <c r="D407" s="5">
        <v>1.0</v>
      </c>
      <c r="E407" s="7" t="s">
        <v>441</v>
      </c>
      <c r="F407" s="5" t="s">
        <v>442</v>
      </c>
      <c r="G407" s="14" t="s">
        <v>450</v>
      </c>
      <c r="H407" s="44" t="s">
        <v>451</v>
      </c>
      <c r="I407" s="31" t="s">
        <v>19</v>
      </c>
      <c r="J407" s="32">
        <v>0.0</v>
      </c>
    </row>
    <row r="408">
      <c r="A408" s="43" t="s">
        <v>74</v>
      </c>
      <c r="B408" s="6" t="s">
        <v>220</v>
      </c>
      <c r="C408" s="7" t="s">
        <v>221</v>
      </c>
      <c r="D408" s="5">
        <v>1.0</v>
      </c>
      <c r="E408" s="7" t="s">
        <v>441</v>
      </c>
      <c r="F408" s="5" t="s">
        <v>442</v>
      </c>
      <c r="G408" s="14" t="s">
        <v>452</v>
      </c>
      <c r="H408" s="44" t="s">
        <v>453</v>
      </c>
      <c r="I408" s="31" t="s">
        <v>19</v>
      </c>
      <c r="J408" s="32">
        <v>989531.0</v>
      </c>
    </row>
    <row r="409">
      <c r="A409" s="43" t="s">
        <v>74</v>
      </c>
      <c r="B409" s="6" t="s">
        <v>220</v>
      </c>
      <c r="C409" s="7" t="s">
        <v>221</v>
      </c>
      <c r="D409" s="5">
        <v>1.0</v>
      </c>
      <c r="E409" s="7" t="s">
        <v>441</v>
      </c>
      <c r="F409" s="5" t="s">
        <v>442</v>
      </c>
      <c r="G409" s="14" t="s">
        <v>454</v>
      </c>
      <c r="H409" s="44" t="s">
        <v>415</v>
      </c>
      <c r="I409" s="31" t="s">
        <v>19</v>
      </c>
      <c r="J409" s="32">
        <v>144418.0</v>
      </c>
    </row>
    <row r="410">
      <c r="A410" s="43" t="s">
        <v>74</v>
      </c>
      <c r="B410" s="6" t="s">
        <v>220</v>
      </c>
      <c r="C410" s="7" t="s">
        <v>221</v>
      </c>
      <c r="D410" s="5">
        <v>1.0</v>
      </c>
      <c r="E410" s="7" t="s">
        <v>441</v>
      </c>
      <c r="F410" s="5" t="s">
        <v>442</v>
      </c>
      <c r="G410" s="14" t="s">
        <v>455</v>
      </c>
      <c r="H410" s="44" t="s">
        <v>415</v>
      </c>
      <c r="I410" s="31" t="s">
        <v>19</v>
      </c>
      <c r="J410" s="32">
        <v>80232.0</v>
      </c>
    </row>
    <row r="411">
      <c r="A411" s="43" t="s">
        <v>74</v>
      </c>
      <c r="B411" s="6" t="s">
        <v>220</v>
      </c>
      <c r="C411" s="7" t="s">
        <v>221</v>
      </c>
      <c r="D411" s="5">
        <v>1.0</v>
      </c>
      <c r="E411" s="7" t="s">
        <v>456</v>
      </c>
      <c r="F411" s="5" t="s">
        <v>457</v>
      </c>
      <c r="G411" s="14" t="s">
        <v>458</v>
      </c>
      <c r="H411" s="44" t="s">
        <v>411</v>
      </c>
      <c r="I411" s="31" t="s">
        <v>19</v>
      </c>
      <c r="J411" s="32">
        <v>1.65596854E8</v>
      </c>
    </row>
    <row r="412">
      <c r="A412" s="43" t="s">
        <v>74</v>
      </c>
      <c r="B412" s="6" t="s">
        <v>220</v>
      </c>
      <c r="C412" s="7" t="s">
        <v>221</v>
      </c>
      <c r="D412" s="5">
        <v>1.0</v>
      </c>
      <c r="E412" s="7" t="s">
        <v>459</v>
      </c>
      <c r="F412" s="5" t="s">
        <v>460</v>
      </c>
      <c r="G412" s="14" t="s">
        <v>458</v>
      </c>
      <c r="H412" s="44" t="s">
        <v>411</v>
      </c>
      <c r="I412" s="31" t="s">
        <v>19</v>
      </c>
      <c r="J412" s="32">
        <v>4785098.0</v>
      </c>
    </row>
    <row r="413">
      <c r="A413" s="43" t="s">
        <v>74</v>
      </c>
      <c r="B413" s="6" t="s">
        <v>220</v>
      </c>
      <c r="C413" s="7" t="s">
        <v>221</v>
      </c>
      <c r="D413" s="5">
        <v>1.0</v>
      </c>
      <c r="E413" s="7" t="s">
        <v>459</v>
      </c>
      <c r="F413" s="5" t="s">
        <v>460</v>
      </c>
      <c r="G413" s="14" t="s">
        <v>486</v>
      </c>
      <c r="H413" s="44" t="s">
        <v>432</v>
      </c>
      <c r="I413" s="31" t="s">
        <v>37</v>
      </c>
      <c r="J413" s="32">
        <v>255000.0</v>
      </c>
    </row>
    <row r="414">
      <c r="A414" s="43" t="s">
        <v>74</v>
      </c>
      <c r="B414" s="6" t="s">
        <v>220</v>
      </c>
      <c r="C414" s="7" t="s">
        <v>221</v>
      </c>
      <c r="D414" s="5">
        <v>1.0</v>
      </c>
      <c r="E414" s="7" t="s">
        <v>463</v>
      </c>
      <c r="F414" s="5" t="s">
        <v>464</v>
      </c>
      <c r="G414" s="14" t="s">
        <v>544</v>
      </c>
      <c r="H414" s="44" t="s">
        <v>421</v>
      </c>
      <c r="I414" s="31" t="s">
        <v>25</v>
      </c>
      <c r="J414" s="32">
        <v>0.0</v>
      </c>
    </row>
    <row r="415">
      <c r="A415" s="43" t="s">
        <v>74</v>
      </c>
      <c r="B415" s="6" t="s">
        <v>220</v>
      </c>
      <c r="C415" s="7" t="s">
        <v>221</v>
      </c>
      <c r="D415" s="5">
        <v>1.0</v>
      </c>
      <c r="E415" s="7" t="s">
        <v>469</v>
      </c>
      <c r="F415" s="5" t="s">
        <v>470</v>
      </c>
      <c r="G415" s="14" t="s">
        <v>517</v>
      </c>
      <c r="H415" s="44" t="s">
        <v>518</v>
      </c>
      <c r="I415" s="31" t="s">
        <v>25</v>
      </c>
      <c r="J415" s="32">
        <v>1354405.0</v>
      </c>
    </row>
    <row r="416">
      <c r="A416" s="43" t="s">
        <v>74</v>
      </c>
      <c r="B416" s="6" t="s">
        <v>220</v>
      </c>
      <c r="C416" s="7" t="s">
        <v>221</v>
      </c>
      <c r="D416" s="5">
        <v>1.0</v>
      </c>
      <c r="E416" s="7" t="s">
        <v>473</v>
      </c>
      <c r="F416" s="5" t="s">
        <v>474</v>
      </c>
      <c r="G416" s="14" t="s">
        <v>443</v>
      </c>
      <c r="H416" s="44" t="s">
        <v>420</v>
      </c>
      <c r="I416" s="31" t="s">
        <v>19</v>
      </c>
      <c r="J416" s="32">
        <v>6975000.0</v>
      </c>
    </row>
    <row r="417">
      <c r="A417" s="43" t="s">
        <v>74</v>
      </c>
      <c r="B417" s="6" t="s">
        <v>220</v>
      </c>
      <c r="C417" s="7" t="s">
        <v>221</v>
      </c>
      <c r="D417" s="5">
        <v>1.0</v>
      </c>
      <c r="E417" s="7" t="s">
        <v>473</v>
      </c>
      <c r="F417" s="5" t="s">
        <v>474</v>
      </c>
      <c r="G417" s="14" t="s">
        <v>444</v>
      </c>
      <c r="H417" s="44" t="s">
        <v>445</v>
      </c>
      <c r="I417" s="31" t="s">
        <v>19</v>
      </c>
      <c r="J417" s="32">
        <v>88291.0</v>
      </c>
    </row>
    <row r="418">
      <c r="A418" s="43" t="s">
        <v>74</v>
      </c>
      <c r="B418" s="6" t="s">
        <v>220</v>
      </c>
      <c r="C418" s="7" t="s">
        <v>221</v>
      </c>
      <c r="D418" s="5">
        <v>1.0</v>
      </c>
      <c r="E418" s="7" t="s">
        <v>473</v>
      </c>
      <c r="F418" s="5" t="s">
        <v>474</v>
      </c>
      <c r="G418" s="14" t="s">
        <v>523</v>
      </c>
      <c r="H418" s="44" t="s">
        <v>431</v>
      </c>
      <c r="I418" s="31" t="s">
        <v>25</v>
      </c>
      <c r="J418" s="32">
        <v>9970000.0</v>
      </c>
    </row>
    <row r="419">
      <c r="A419" s="43" t="s">
        <v>74</v>
      </c>
      <c r="B419" s="6" t="s">
        <v>220</v>
      </c>
      <c r="C419" s="7" t="s">
        <v>221</v>
      </c>
      <c r="D419" s="5">
        <v>1.0</v>
      </c>
      <c r="E419" s="7" t="s">
        <v>491</v>
      </c>
      <c r="F419" s="5" t="s">
        <v>492</v>
      </c>
      <c r="G419" s="14" t="s">
        <v>493</v>
      </c>
      <c r="H419" s="44" t="s">
        <v>437</v>
      </c>
      <c r="I419" s="31" t="s">
        <v>25</v>
      </c>
      <c r="J419" s="32">
        <v>1.8399892E7</v>
      </c>
    </row>
    <row r="420">
      <c r="A420" s="43" t="s">
        <v>74</v>
      </c>
      <c r="B420" s="6" t="s">
        <v>220</v>
      </c>
      <c r="C420" s="7" t="s">
        <v>221</v>
      </c>
      <c r="D420" s="5">
        <v>1.0</v>
      </c>
      <c r="E420" s="7" t="s">
        <v>494</v>
      </c>
      <c r="F420" s="5" t="s">
        <v>495</v>
      </c>
      <c r="G420" s="14" t="s">
        <v>496</v>
      </c>
      <c r="H420" s="44" t="s">
        <v>497</v>
      </c>
      <c r="I420" s="31" t="s">
        <v>25</v>
      </c>
      <c r="J420" s="32">
        <v>2941725.0</v>
      </c>
    </row>
    <row r="421">
      <c r="A421" s="43" t="s">
        <v>74</v>
      </c>
      <c r="B421" s="6" t="s">
        <v>220</v>
      </c>
      <c r="C421" s="7" t="s">
        <v>221</v>
      </c>
      <c r="D421" s="5">
        <v>1.0</v>
      </c>
      <c r="E421" s="7" t="s">
        <v>475</v>
      </c>
      <c r="F421" s="5" t="s">
        <v>476</v>
      </c>
      <c r="G421" s="14" t="s">
        <v>545</v>
      </c>
      <c r="H421" s="44" t="s">
        <v>427</v>
      </c>
      <c r="I421" s="31" t="s">
        <v>25</v>
      </c>
      <c r="J421" s="32">
        <v>0.0</v>
      </c>
    </row>
    <row r="422">
      <c r="A422" s="43" t="s">
        <v>74</v>
      </c>
      <c r="B422" s="6" t="s">
        <v>220</v>
      </c>
      <c r="C422" s="7" t="s">
        <v>221</v>
      </c>
      <c r="D422" s="5">
        <v>1.0</v>
      </c>
      <c r="E422" s="7" t="s">
        <v>475</v>
      </c>
      <c r="F422" s="5" t="s">
        <v>476</v>
      </c>
      <c r="G422" s="14" t="s">
        <v>477</v>
      </c>
      <c r="H422" s="44" t="s">
        <v>429</v>
      </c>
      <c r="I422" s="31" t="s">
        <v>50</v>
      </c>
      <c r="J422" s="32">
        <v>7.5146438E7</v>
      </c>
    </row>
    <row r="423">
      <c r="A423" s="43" t="s">
        <v>74</v>
      </c>
      <c r="B423" s="6" t="s">
        <v>220</v>
      </c>
      <c r="C423" s="7" t="s">
        <v>221</v>
      </c>
      <c r="D423" s="5">
        <v>1.0</v>
      </c>
      <c r="E423" s="7" t="s">
        <v>524</v>
      </c>
      <c r="F423" s="5" t="s">
        <v>479</v>
      </c>
      <c r="G423" s="14" t="s">
        <v>443</v>
      </c>
      <c r="H423" s="44" t="s">
        <v>420</v>
      </c>
      <c r="I423" s="31" t="s">
        <v>19</v>
      </c>
      <c r="J423" s="32">
        <v>1.41335152E8</v>
      </c>
    </row>
    <row r="424">
      <c r="A424" s="43" t="s">
        <v>74</v>
      </c>
      <c r="B424" s="6" t="s">
        <v>220</v>
      </c>
      <c r="C424" s="7" t="s">
        <v>221</v>
      </c>
      <c r="D424" s="5">
        <v>1.0</v>
      </c>
      <c r="E424" s="7" t="s">
        <v>524</v>
      </c>
      <c r="F424" s="5" t="s">
        <v>479</v>
      </c>
      <c r="G424" s="14" t="s">
        <v>444</v>
      </c>
      <c r="H424" s="44" t="s">
        <v>445</v>
      </c>
      <c r="I424" s="31" t="s">
        <v>19</v>
      </c>
      <c r="J424" s="32">
        <v>7711079.0</v>
      </c>
    </row>
    <row r="425">
      <c r="A425" s="43" t="s">
        <v>74</v>
      </c>
      <c r="B425" s="6" t="s">
        <v>220</v>
      </c>
      <c r="C425" s="7" t="s">
        <v>221</v>
      </c>
      <c r="D425" s="5">
        <v>1.0</v>
      </c>
      <c r="E425" s="7" t="s">
        <v>524</v>
      </c>
      <c r="F425" s="5" t="s">
        <v>479</v>
      </c>
      <c r="G425" s="14" t="s">
        <v>446</v>
      </c>
      <c r="H425" s="44" t="s">
        <v>447</v>
      </c>
      <c r="I425" s="31" t="s">
        <v>19</v>
      </c>
      <c r="J425" s="32">
        <v>1565429.0</v>
      </c>
    </row>
    <row r="426">
      <c r="A426" s="43" t="s">
        <v>74</v>
      </c>
      <c r="B426" s="6" t="s">
        <v>220</v>
      </c>
      <c r="C426" s="7" t="s">
        <v>221</v>
      </c>
      <c r="D426" s="5">
        <v>1.0</v>
      </c>
      <c r="E426" s="7" t="s">
        <v>524</v>
      </c>
      <c r="F426" s="5" t="s">
        <v>479</v>
      </c>
      <c r="G426" s="14" t="s">
        <v>448</v>
      </c>
      <c r="H426" s="44" t="s">
        <v>449</v>
      </c>
      <c r="I426" s="31" t="s">
        <v>19</v>
      </c>
      <c r="J426" s="32">
        <v>3986202.0</v>
      </c>
    </row>
    <row r="427">
      <c r="A427" s="43" t="s">
        <v>74</v>
      </c>
      <c r="B427" s="6" t="s">
        <v>220</v>
      </c>
      <c r="C427" s="7" t="s">
        <v>221</v>
      </c>
      <c r="D427" s="5">
        <v>1.0</v>
      </c>
      <c r="E427" s="7" t="s">
        <v>524</v>
      </c>
      <c r="F427" s="5" t="s">
        <v>479</v>
      </c>
      <c r="G427" s="14" t="s">
        <v>450</v>
      </c>
      <c r="H427" s="44" t="s">
        <v>451</v>
      </c>
      <c r="I427" s="31" t="s">
        <v>19</v>
      </c>
      <c r="J427" s="32">
        <v>0.0</v>
      </c>
    </row>
    <row r="428">
      <c r="A428" s="43" t="s">
        <v>74</v>
      </c>
      <c r="B428" s="6" t="s">
        <v>220</v>
      </c>
      <c r="C428" s="7" t="s">
        <v>221</v>
      </c>
      <c r="D428" s="5">
        <v>1.0</v>
      </c>
      <c r="E428" s="7" t="s">
        <v>524</v>
      </c>
      <c r="F428" s="5" t="s">
        <v>479</v>
      </c>
      <c r="G428" s="14" t="s">
        <v>452</v>
      </c>
      <c r="H428" s="44" t="s">
        <v>453</v>
      </c>
      <c r="I428" s="31" t="s">
        <v>19</v>
      </c>
      <c r="J428" s="32">
        <v>2984871.0</v>
      </c>
    </row>
    <row r="429">
      <c r="A429" s="43" t="s">
        <v>74</v>
      </c>
      <c r="B429" s="6" t="s">
        <v>220</v>
      </c>
      <c r="C429" s="7" t="s">
        <v>221</v>
      </c>
      <c r="D429" s="5">
        <v>1.0</v>
      </c>
      <c r="E429" s="7" t="s">
        <v>524</v>
      </c>
      <c r="F429" s="5" t="s">
        <v>479</v>
      </c>
      <c r="G429" s="14" t="s">
        <v>454</v>
      </c>
      <c r="H429" s="44" t="s">
        <v>415</v>
      </c>
      <c r="I429" s="31" t="s">
        <v>19</v>
      </c>
      <c r="J429" s="32">
        <v>435630.0</v>
      </c>
    </row>
    <row r="430">
      <c r="A430" s="43" t="s">
        <v>74</v>
      </c>
      <c r="B430" s="6" t="s">
        <v>220</v>
      </c>
      <c r="C430" s="7" t="s">
        <v>221</v>
      </c>
      <c r="D430" s="5">
        <v>1.0</v>
      </c>
      <c r="E430" s="7" t="s">
        <v>524</v>
      </c>
      <c r="F430" s="5" t="s">
        <v>479</v>
      </c>
      <c r="G430" s="14" t="s">
        <v>455</v>
      </c>
      <c r="H430" s="44" t="s">
        <v>415</v>
      </c>
      <c r="I430" s="31" t="s">
        <v>19</v>
      </c>
      <c r="J430" s="32">
        <v>242016.0</v>
      </c>
    </row>
    <row r="431">
      <c r="A431" s="43" t="s">
        <v>74</v>
      </c>
      <c r="B431" s="6" t="s">
        <v>220</v>
      </c>
      <c r="C431" s="7" t="s">
        <v>221</v>
      </c>
      <c r="D431" s="5">
        <v>1.0</v>
      </c>
      <c r="E431" s="7" t="s">
        <v>525</v>
      </c>
      <c r="F431" s="5" t="s">
        <v>502</v>
      </c>
      <c r="G431" s="14" t="s">
        <v>526</v>
      </c>
      <c r="H431" s="44" t="s">
        <v>527</v>
      </c>
      <c r="I431" s="31" t="s">
        <v>60</v>
      </c>
      <c r="J431" s="32">
        <v>2.30018315E8</v>
      </c>
    </row>
    <row r="432">
      <c r="A432" s="43" t="s">
        <v>74</v>
      </c>
      <c r="B432" s="6" t="s">
        <v>220</v>
      </c>
      <c r="C432" s="7" t="s">
        <v>221</v>
      </c>
      <c r="D432" s="5">
        <v>1.0</v>
      </c>
      <c r="E432" s="7" t="s">
        <v>525</v>
      </c>
      <c r="F432" s="5" t="s">
        <v>502</v>
      </c>
      <c r="G432" s="14" t="s">
        <v>539</v>
      </c>
      <c r="H432" s="44" t="s">
        <v>540</v>
      </c>
      <c r="I432" s="31" t="s">
        <v>60</v>
      </c>
      <c r="J432" s="32">
        <v>588473.0</v>
      </c>
    </row>
    <row r="433">
      <c r="A433" s="43" t="s">
        <v>74</v>
      </c>
      <c r="B433" s="6" t="s">
        <v>220</v>
      </c>
      <c r="C433" s="7" t="s">
        <v>221</v>
      </c>
      <c r="D433" s="5">
        <v>1.0</v>
      </c>
      <c r="E433" s="7" t="s">
        <v>525</v>
      </c>
      <c r="F433" s="5" t="s">
        <v>502</v>
      </c>
      <c r="G433" s="14" t="s">
        <v>505</v>
      </c>
      <c r="H433" s="44" t="s">
        <v>506</v>
      </c>
      <c r="I433" s="31" t="s">
        <v>60</v>
      </c>
      <c r="J433" s="32">
        <v>3019926.0</v>
      </c>
    </row>
    <row r="434">
      <c r="A434" s="43" t="s">
        <v>74</v>
      </c>
      <c r="B434" s="6" t="s">
        <v>220</v>
      </c>
      <c r="C434" s="7" t="s">
        <v>221</v>
      </c>
      <c r="D434" s="5">
        <v>1.0</v>
      </c>
      <c r="E434" s="7" t="s">
        <v>525</v>
      </c>
      <c r="F434" s="5" t="s">
        <v>502</v>
      </c>
      <c r="G434" s="14" t="s">
        <v>509</v>
      </c>
      <c r="H434" s="44" t="s">
        <v>510</v>
      </c>
      <c r="I434" s="31" t="s">
        <v>60</v>
      </c>
      <c r="J434" s="32">
        <v>1025042.0</v>
      </c>
    </row>
    <row r="435">
      <c r="A435" s="43" t="s">
        <v>74</v>
      </c>
      <c r="B435" s="6" t="s">
        <v>220</v>
      </c>
      <c r="C435" s="7" t="s">
        <v>221</v>
      </c>
      <c r="D435" s="5">
        <v>1.0</v>
      </c>
      <c r="E435" s="7" t="s">
        <v>525</v>
      </c>
      <c r="F435" s="5" t="s">
        <v>502</v>
      </c>
      <c r="G435" s="14" t="s">
        <v>511</v>
      </c>
      <c r="H435" s="44" t="s">
        <v>512</v>
      </c>
      <c r="I435" s="31" t="s">
        <v>60</v>
      </c>
      <c r="J435" s="32">
        <v>3.8673802E7</v>
      </c>
    </row>
    <row r="436">
      <c r="A436" s="43" t="s">
        <v>74</v>
      </c>
      <c r="B436" s="6" t="s">
        <v>220</v>
      </c>
      <c r="C436" s="7" t="s">
        <v>221</v>
      </c>
      <c r="D436" s="5">
        <v>1.0</v>
      </c>
      <c r="E436" s="7" t="s">
        <v>525</v>
      </c>
      <c r="F436" s="5" t="s">
        <v>502</v>
      </c>
      <c r="G436" s="14" t="s">
        <v>513</v>
      </c>
      <c r="H436" s="44" t="s">
        <v>514</v>
      </c>
      <c r="I436" s="31" t="s">
        <v>60</v>
      </c>
      <c r="J436" s="32">
        <v>1930164.0</v>
      </c>
    </row>
    <row r="437">
      <c r="A437" s="43" t="s">
        <v>74</v>
      </c>
      <c r="B437" s="6" t="s">
        <v>231</v>
      </c>
      <c r="C437" s="7" t="s">
        <v>232</v>
      </c>
      <c r="D437" s="5">
        <v>1.0</v>
      </c>
      <c r="E437" s="7" t="s">
        <v>441</v>
      </c>
      <c r="F437" s="5" t="s">
        <v>442</v>
      </c>
      <c r="G437" s="14" t="s">
        <v>443</v>
      </c>
      <c r="H437" s="44" t="s">
        <v>420</v>
      </c>
      <c r="I437" s="31" t="s">
        <v>19</v>
      </c>
      <c r="J437" s="32">
        <v>5.3297873E7</v>
      </c>
    </row>
    <row r="438">
      <c r="A438" s="43" t="s">
        <v>74</v>
      </c>
      <c r="B438" s="6" t="s">
        <v>231</v>
      </c>
      <c r="C438" s="7" t="s">
        <v>232</v>
      </c>
      <c r="D438" s="5">
        <v>1.0</v>
      </c>
      <c r="E438" s="7" t="s">
        <v>441</v>
      </c>
      <c r="F438" s="5" t="s">
        <v>442</v>
      </c>
      <c r="G438" s="14" t="s">
        <v>444</v>
      </c>
      <c r="H438" s="44" t="s">
        <v>445</v>
      </c>
      <c r="I438" s="31" t="s">
        <v>19</v>
      </c>
      <c r="J438" s="32">
        <v>5894002.0</v>
      </c>
    </row>
    <row r="439">
      <c r="A439" s="43" t="s">
        <v>74</v>
      </c>
      <c r="B439" s="6" t="s">
        <v>231</v>
      </c>
      <c r="C439" s="7" t="s">
        <v>232</v>
      </c>
      <c r="D439" s="5">
        <v>1.0</v>
      </c>
      <c r="E439" s="7" t="s">
        <v>441</v>
      </c>
      <c r="F439" s="5" t="s">
        <v>442</v>
      </c>
      <c r="G439" s="14" t="s">
        <v>446</v>
      </c>
      <c r="H439" s="44" t="s">
        <v>447</v>
      </c>
      <c r="I439" s="31" t="s">
        <v>19</v>
      </c>
      <c r="J439" s="32">
        <v>525823.0</v>
      </c>
    </row>
    <row r="440">
      <c r="A440" s="43" t="s">
        <v>74</v>
      </c>
      <c r="B440" s="6" t="s">
        <v>231</v>
      </c>
      <c r="C440" s="7" t="s">
        <v>232</v>
      </c>
      <c r="D440" s="5">
        <v>1.0</v>
      </c>
      <c r="E440" s="7" t="s">
        <v>441</v>
      </c>
      <c r="F440" s="5" t="s">
        <v>442</v>
      </c>
      <c r="G440" s="14" t="s">
        <v>448</v>
      </c>
      <c r="H440" s="44" t="s">
        <v>449</v>
      </c>
      <c r="I440" s="31" t="s">
        <v>19</v>
      </c>
      <c r="J440" s="32">
        <v>1387187.0</v>
      </c>
    </row>
    <row r="441">
      <c r="A441" s="43" t="s">
        <v>74</v>
      </c>
      <c r="B441" s="6" t="s">
        <v>231</v>
      </c>
      <c r="C441" s="7" t="s">
        <v>232</v>
      </c>
      <c r="D441" s="5">
        <v>1.0</v>
      </c>
      <c r="E441" s="7" t="s">
        <v>441</v>
      </c>
      <c r="F441" s="5" t="s">
        <v>442</v>
      </c>
      <c r="G441" s="14" t="s">
        <v>450</v>
      </c>
      <c r="H441" s="44" t="s">
        <v>451</v>
      </c>
      <c r="I441" s="31" t="s">
        <v>19</v>
      </c>
      <c r="J441" s="32">
        <v>0.0</v>
      </c>
    </row>
    <row r="442">
      <c r="A442" s="43" t="s">
        <v>74</v>
      </c>
      <c r="B442" s="6" t="s">
        <v>231</v>
      </c>
      <c r="C442" s="7" t="s">
        <v>232</v>
      </c>
      <c r="D442" s="5">
        <v>1.0</v>
      </c>
      <c r="E442" s="7" t="s">
        <v>441</v>
      </c>
      <c r="F442" s="5" t="s">
        <v>442</v>
      </c>
      <c r="G442" s="14" t="s">
        <v>452</v>
      </c>
      <c r="H442" s="44" t="s">
        <v>453</v>
      </c>
      <c r="I442" s="31" t="s">
        <v>19</v>
      </c>
      <c r="J442" s="32">
        <v>1086975.0</v>
      </c>
    </row>
    <row r="443">
      <c r="A443" s="43" t="s">
        <v>74</v>
      </c>
      <c r="B443" s="6" t="s">
        <v>231</v>
      </c>
      <c r="C443" s="7" t="s">
        <v>232</v>
      </c>
      <c r="D443" s="5">
        <v>1.0</v>
      </c>
      <c r="E443" s="7" t="s">
        <v>441</v>
      </c>
      <c r="F443" s="5" t="s">
        <v>442</v>
      </c>
      <c r="G443" s="14" t="s">
        <v>454</v>
      </c>
      <c r="H443" s="44" t="s">
        <v>415</v>
      </c>
      <c r="I443" s="31" t="s">
        <v>19</v>
      </c>
      <c r="J443" s="32">
        <v>158639.0</v>
      </c>
    </row>
    <row r="444">
      <c r="A444" s="43" t="s">
        <v>74</v>
      </c>
      <c r="B444" s="6" t="s">
        <v>231</v>
      </c>
      <c r="C444" s="7" t="s">
        <v>232</v>
      </c>
      <c r="D444" s="5">
        <v>1.0</v>
      </c>
      <c r="E444" s="7" t="s">
        <v>441</v>
      </c>
      <c r="F444" s="5" t="s">
        <v>442</v>
      </c>
      <c r="G444" s="14" t="s">
        <v>455</v>
      </c>
      <c r="H444" s="44" t="s">
        <v>415</v>
      </c>
      <c r="I444" s="31" t="s">
        <v>19</v>
      </c>
      <c r="J444" s="32">
        <v>88133.0</v>
      </c>
    </row>
    <row r="445">
      <c r="A445" s="43" t="s">
        <v>74</v>
      </c>
      <c r="B445" s="6" t="s">
        <v>231</v>
      </c>
      <c r="C445" s="7" t="s">
        <v>232</v>
      </c>
      <c r="D445" s="5">
        <v>1.0</v>
      </c>
      <c r="E445" s="7" t="s">
        <v>456</v>
      </c>
      <c r="F445" s="5" t="s">
        <v>457</v>
      </c>
      <c r="G445" s="14" t="s">
        <v>458</v>
      </c>
      <c r="H445" s="44" t="s">
        <v>411</v>
      </c>
      <c r="I445" s="31" t="s">
        <v>19</v>
      </c>
      <c r="J445" s="32">
        <v>5.2544619E7</v>
      </c>
    </row>
    <row r="446">
      <c r="A446" s="43" t="s">
        <v>74</v>
      </c>
      <c r="B446" s="6" t="s">
        <v>231</v>
      </c>
      <c r="C446" s="7" t="s">
        <v>232</v>
      </c>
      <c r="D446" s="5">
        <v>1.0</v>
      </c>
      <c r="E446" s="7" t="s">
        <v>459</v>
      </c>
      <c r="F446" s="5" t="s">
        <v>460</v>
      </c>
      <c r="G446" s="14" t="s">
        <v>519</v>
      </c>
      <c r="H446" s="44" t="s">
        <v>414</v>
      </c>
      <c r="I446" s="31" t="s">
        <v>37</v>
      </c>
      <c r="J446" s="32">
        <v>1765000.0</v>
      </c>
    </row>
    <row r="447">
      <c r="A447" s="43" t="s">
        <v>74</v>
      </c>
      <c r="B447" s="6" t="s">
        <v>231</v>
      </c>
      <c r="C447" s="7" t="s">
        <v>232</v>
      </c>
      <c r="D447" s="5">
        <v>1.0</v>
      </c>
      <c r="E447" s="7" t="s">
        <v>469</v>
      </c>
      <c r="F447" s="5" t="s">
        <v>470</v>
      </c>
      <c r="G447" s="14" t="s">
        <v>544</v>
      </c>
      <c r="H447" s="44" t="s">
        <v>421</v>
      </c>
      <c r="I447" s="31" t="s">
        <v>25</v>
      </c>
      <c r="J447" s="32">
        <v>1930000.0</v>
      </c>
    </row>
    <row r="448">
      <c r="A448" s="43" t="s">
        <v>74</v>
      </c>
      <c r="B448" s="6" t="s">
        <v>231</v>
      </c>
      <c r="C448" s="7" t="s">
        <v>232</v>
      </c>
      <c r="D448" s="5">
        <v>1.0</v>
      </c>
      <c r="E448" s="7" t="s">
        <v>469</v>
      </c>
      <c r="F448" s="5" t="s">
        <v>470</v>
      </c>
      <c r="G448" s="14" t="s">
        <v>517</v>
      </c>
      <c r="H448" s="44" t="s">
        <v>518</v>
      </c>
      <c r="I448" s="31" t="s">
        <v>25</v>
      </c>
      <c r="J448" s="32">
        <v>1001000.0</v>
      </c>
    </row>
    <row r="449">
      <c r="A449" s="43" t="s">
        <v>74</v>
      </c>
      <c r="B449" s="6" t="s">
        <v>231</v>
      </c>
      <c r="C449" s="7" t="s">
        <v>232</v>
      </c>
      <c r="D449" s="5">
        <v>1.0</v>
      </c>
      <c r="E449" s="7" t="s">
        <v>473</v>
      </c>
      <c r="F449" s="5" t="s">
        <v>474</v>
      </c>
      <c r="G449" s="14" t="s">
        <v>443</v>
      </c>
      <c r="H449" s="44" t="s">
        <v>420</v>
      </c>
      <c r="I449" s="31" t="s">
        <v>19</v>
      </c>
      <c r="J449" s="32">
        <v>7975000.0</v>
      </c>
    </row>
    <row r="450">
      <c r="A450" s="43" t="s">
        <v>74</v>
      </c>
      <c r="B450" s="6" t="s">
        <v>231</v>
      </c>
      <c r="C450" s="7" t="s">
        <v>232</v>
      </c>
      <c r="D450" s="5">
        <v>1.0</v>
      </c>
      <c r="E450" s="7" t="s">
        <v>473</v>
      </c>
      <c r="F450" s="5" t="s">
        <v>474</v>
      </c>
      <c r="G450" s="14" t="s">
        <v>444</v>
      </c>
      <c r="H450" s="44" t="s">
        <v>445</v>
      </c>
      <c r="I450" s="31" t="s">
        <v>19</v>
      </c>
      <c r="J450" s="32">
        <v>121447.0</v>
      </c>
    </row>
    <row r="451">
      <c r="A451" s="43" t="s">
        <v>74</v>
      </c>
      <c r="B451" s="6" t="s">
        <v>231</v>
      </c>
      <c r="C451" s="7" t="s">
        <v>232</v>
      </c>
      <c r="D451" s="5">
        <v>1.0</v>
      </c>
      <c r="E451" s="7" t="s">
        <v>473</v>
      </c>
      <c r="F451" s="5" t="s">
        <v>474</v>
      </c>
      <c r="G451" s="14" t="s">
        <v>523</v>
      </c>
      <c r="H451" s="44" t="s">
        <v>431</v>
      </c>
      <c r="I451" s="31" t="s">
        <v>17</v>
      </c>
      <c r="J451" s="32">
        <v>6.8611554E7</v>
      </c>
    </row>
    <row r="452">
      <c r="A452" s="43" t="s">
        <v>74</v>
      </c>
      <c r="B452" s="6" t="s">
        <v>231</v>
      </c>
      <c r="C452" s="7" t="s">
        <v>232</v>
      </c>
      <c r="D452" s="5">
        <v>1.0</v>
      </c>
      <c r="E452" s="7" t="s">
        <v>473</v>
      </c>
      <c r="F452" s="5" t="s">
        <v>474</v>
      </c>
      <c r="G452" s="14" t="s">
        <v>523</v>
      </c>
      <c r="H452" s="44" t="s">
        <v>431</v>
      </c>
      <c r="I452" s="31" t="s">
        <v>25</v>
      </c>
      <c r="J452" s="32">
        <v>1.0E7</v>
      </c>
    </row>
    <row r="453">
      <c r="A453" s="43" t="s">
        <v>74</v>
      </c>
      <c r="B453" s="6" t="s">
        <v>231</v>
      </c>
      <c r="C453" s="7" t="s">
        <v>232</v>
      </c>
      <c r="D453" s="5">
        <v>1.0</v>
      </c>
      <c r="E453" s="7" t="s">
        <v>491</v>
      </c>
      <c r="F453" s="5" t="s">
        <v>492</v>
      </c>
      <c r="G453" s="14" t="s">
        <v>546</v>
      </c>
      <c r="H453" s="44" t="s">
        <v>547</v>
      </c>
      <c r="I453" s="31" t="s">
        <v>25</v>
      </c>
      <c r="J453" s="32">
        <v>25000.0</v>
      </c>
    </row>
    <row r="454">
      <c r="A454" s="43" t="s">
        <v>74</v>
      </c>
      <c r="B454" s="6" t="s">
        <v>231</v>
      </c>
      <c r="C454" s="7" t="s">
        <v>232</v>
      </c>
      <c r="D454" s="5">
        <v>1.0</v>
      </c>
      <c r="E454" s="7" t="s">
        <v>491</v>
      </c>
      <c r="F454" s="5" t="s">
        <v>492</v>
      </c>
      <c r="G454" s="14" t="s">
        <v>493</v>
      </c>
      <c r="H454" s="44" t="s">
        <v>437</v>
      </c>
      <c r="I454" s="31" t="s">
        <v>25</v>
      </c>
      <c r="J454" s="32">
        <v>4918000.0</v>
      </c>
    </row>
    <row r="455">
      <c r="A455" s="43" t="s">
        <v>74</v>
      </c>
      <c r="B455" s="6" t="s">
        <v>231</v>
      </c>
      <c r="C455" s="7" t="s">
        <v>232</v>
      </c>
      <c r="D455" s="5">
        <v>1.0</v>
      </c>
      <c r="E455" s="7" t="s">
        <v>475</v>
      </c>
      <c r="F455" s="5" t="s">
        <v>476</v>
      </c>
      <c r="G455" s="14" t="s">
        <v>498</v>
      </c>
      <c r="H455" s="44" t="s">
        <v>434</v>
      </c>
      <c r="I455" s="31" t="s">
        <v>25</v>
      </c>
      <c r="J455" s="32">
        <v>1.4313185E7</v>
      </c>
    </row>
    <row r="456">
      <c r="A456" s="43" t="s">
        <v>74</v>
      </c>
      <c r="B456" s="6" t="s">
        <v>231</v>
      </c>
      <c r="C456" s="7" t="s">
        <v>232</v>
      </c>
      <c r="D456" s="5">
        <v>1.0</v>
      </c>
      <c r="E456" s="7" t="s">
        <v>475</v>
      </c>
      <c r="F456" s="5" t="s">
        <v>476</v>
      </c>
      <c r="G456" s="14" t="s">
        <v>477</v>
      </c>
      <c r="H456" s="44" t="s">
        <v>429</v>
      </c>
      <c r="I456" s="31" t="s">
        <v>50</v>
      </c>
      <c r="J456" s="32">
        <v>2.7120213E7</v>
      </c>
    </row>
    <row r="457">
      <c r="A457" s="43" t="s">
        <v>74</v>
      </c>
      <c r="B457" s="6" t="s">
        <v>231</v>
      </c>
      <c r="C457" s="7" t="s">
        <v>232</v>
      </c>
      <c r="D457" s="5">
        <v>1.0</v>
      </c>
      <c r="E457" s="7" t="s">
        <v>524</v>
      </c>
      <c r="F457" s="5" t="s">
        <v>479</v>
      </c>
      <c r="G457" s="14" t="s">
        <v>443</v>
      </c>
      <c r="H457" s="44" t="s">
        <v>420</v>
      </c>
      <c r="I457" s="31" t="s">
        <v>19</v>
      </c>
      <c r="J457" s="32">
        <v>4.918846E7</v>
      </c>
    </row>
    <row r="458">
      <c r="A458" s="43" t="s">
        <v>74</v>
      </c>
      <c r="B458" s="6" t="s">
        <v>231</v>
      </c>
      <c r="C458" s="7" t="s">
        <v>232</v>
      </c>
      <c r="D458" s="5">
        <v>1.0</v>
      </c>
      <c r="E458" s="7" t="s">
        <v>524</v>
      </c>
      <c r="F458" s="5" t="s">
        <v>479</v>
      </c>
      <c r="G458" s="14" t="s">
        <v>444</v>
      </c>
      <c r="H458" s="44" t="s">
        <v>445</v>
      </c>
      <c r="I458" s="31" t="s">
        <v>19</v>
      </c>
      <c r="J458" s="32">
        <v>4721325.0</v>
      </c>
    </row>
    <row r="459">
      <c r="A459" s="43" t="s">
        <v>74</v>
      </c>
      <c r="B459" s="6" t="s">
        <v>231</v>
      </c>
      <c r="C459" s="7" t="s">
        <v>232</v>
      </c>
      <c r="D459" s="5">
        <v>1.0</v>
      </c>
      <c r="E459" s="7" t="s">
        <v>524</v>
      </c>
      <c r="F459" s="5" t="s">
        <v>479</v>
      </c>
      <c r="G459" s="14" t="s">
        <v>446</v>
      </c>
      <c r="H459" s="44" t="s">
        <v>447</v>
      </c>
      <c r="I459" s="31" t="s">
        <v>19</v>
      </c>
      <c r="J459" s="32">
        <v>669520.0</v>
      </c>
    </row>
    <row r="460">
      <c r="A460" s="43" t="s">
        <v>74</v>
      </c>
      <c r="B460" s="6" t="s">
        <v>231</v>
      </c>
      <c r="C460" s="7" t="s">
        <v>232</v>
      </c>
      <c r="D460" s="5">
        <v>1.0</v>
      </c>
      <c r="E460" s="7" t="s">
        <v>524</v>
      </c>
      <c r="F460" s="5" t="s">
        <v>479</v>
      </c>
      <c r="G460" s="14" t="s">
        <v>448</v>
      </c>
      <c r="H460" s="44" t="s">
        <v>449</v>
      </c>
      <c r="I460" s="31" t="s">
        <v>19</v>
      </c>
      <c r="J460" s="32">
        <v>1673800.0</v>
      </c>
    </row>
    <row r="461">
      <c r="A461" s="43" t="s">
        <v>74</v>
      </c>
      <c r="B461" s="6" t="s">
        <v>231</v>
      </c>
      <c r="C461" s="7" t="s">
        <v>232</v>
      </c>
      <c r="D461" s="5">
        <v>1.0</v>
      </c>
      <c r="E461" s="7" t="s">
        <v>524</v>
      </c>
      <c r="F461" s="5" t="s">
        <v>479</v>
      </c>
      <c r="G461" s="14" t="s">
        <v>450</v>
      </c>
      <c r="H461" s="44" t="s">
        <v>451</v>
      </c>
      <c r="I461" s="31" t="s">
        <v>19</v>
      </c>
      <c r="J461" s="32">
        <v>0.0</v>
      </c>
    </row>
    <row r="462">
      <c r="A462" s="43" t="s">
        <v>74</v>
      </c>
      <c r="B462" s="6" t="s">
        <v>231</v>
      </c>
      <c r="C462" s="7" t="s">
        <v>232</v>
      </c>
      <c r="D462" s="5">
        <v>1.0</v>
      </c>
      <c r="E462" s="7" t="s">
        <v>524</v>
      </c>
      <c r="F462" s="5" t="s">
        <v>479</v>
      </c>
      <c r="G462" s="14" t="s">
        <v>452</v>
      </c>
      <c r="H462" s="44" t="s">
        <v>453</v>
      </c>
      <c r="I462" s="31" t="s">
        <v>19</v>
      </c>
      <c r="J462" s="32">
        <v>1238612.0</v>
      </c>
    </row>
    <row r="463">
      <c r="A463" s="43" t="s">
        <v>74</v>
      </c>
      <c r="B463" s="6" t="s">
        <v>231</v>
      </c>
      <c r="C463" s="7" t="s">
        <v>232</v>
      </c>
      <c r="D463" s="5">
        <v>1.0</v>
      </c>
      <c r="E463" s="7" t="s">
        <v>524</v>
      </c>
      <c r="F463" s="5" t="s">
        <v>479</v>
      </c>
      <c r="G463" s="14" t="s">
        <v>454</v>
      </c>
      <c r="H463" s="44" t="s">
        <v>415</v>
      </c>
      <c r="I463" s="31" t="s">
        <v>19</v>
      </c>
      <c r="J463" s="32">
        <v>180771.0</v>
      </c>
    </row>
    <row r="464">
      <c r="A464" s="43" t="s">
        <v>74</v>
      </c>
      <c r="B464" s="6" t="s">
        <v>231</v>
      </c>
      <c r="C464" s="7" t="s">
        <v>232</v>
      </c>
      <c r="D464" s="5">
        <v>1.0</v>
      </c>
      <c r="E464" s="7" t="s">
        <v>524</v>
      </c>
      <c r="F464" s="5" t="s">
        <v>479</v>
      </c>
      <c r="G464" s="14" t="s">
        <v>455</v>
      </c>
      <c r="H464" s="44" t="s">
        <v>415</v>
      </c>
      <c r="I464" s="31" t="s">
        <v>19</v>
      </c>
      <c r="J464" s="32">
        <v>100427.0</v>
      </c>
    </row>
    <row r="465">
      <c r="A465" s="43" t="s">
        <v>74</v>
      </c>
      <c r="B465" s="6" t="s">
        <v>231</v>
      </c>
      <c r="C465" s="7" t="s">
        <v>232</v>
      </c>
      <c r="D465" s="5">
        <v>1.0</v>
      </c>
      <c r="E465" s="7" t="s">
        <v>525</v>
      </c>
      <c r="F465" s="5" t="s">
        <v>502</v>
      </c>
      <c r="G465" s="14" t="s">
        <v>526</v>
      </c>
      <c r="H465" s="44" t="s">
        <v>527</v>
      </c>
      <c r="I465" s="31" t="s">
        <v>60</v>
      </c>
      <c r="J465" s="32">
        <v>1.60641667E8</v>
      </c>
    </row>
    <row r="466">
      <c r="A466" s="43" t="s">
        <v>74</v>
      </c>
      <c r="B466" s="6" t="s">
        <v>231</v>
      </c>
      <c r="C466" s="7" t="s">
        <v>232</v>
      </c>
      <c r="D466" s="5">
        <v>1.0</v>
      </c>
      <c r="E466" s="7" t="s">
        <v>525</v>
      </c>
      <c r="F466" s="5" t="s">
        <v>502</v>
      </c>
      <c r="G466" s="14" t="s">
        <v>539</v>
      </c>
      <c r="H466" s="44" t="s">
        <v>540</v>
      </c>
      <c r="I466" s="31" t="s">
        <v>60</v>
      </c>
      <c r="J466" s="32">
        <v>711797.0</v>
      </c>
    </row>
    <row r="467">
      <c r="A467" s="43" t="s">
        <v>74</v>
      </c>
      <c r="B467" s="6" t="s">
        <v>231</v>
      </c>
      <c r="C467" s="7" t="s">
        <v>232</v>
      </c>
      <c r="D467" s="5">
        <v>1.0</v>
      </c>
      <c r="E467" s="7" t="s">
        <v>525</v>
      </c>
      <c r="F467" s="5" t="s">
        <v>502</v>
      </c>
      <c r="G467" s="14" t="s">
        <v>505</v>
      </c>
      <c r="H467" s="44" t="s">
        <v>506</v>
      </c>
      <c r="I467" s="31" t="s">
        <v>60</v>
      </c>
      <c r="J467" s="32">
        <v>3340881.0</v>
      </c>
    </row>
    <row r="468">
      <c r="A468" s="43" t="s">
        <v>74</v>
      </c>
      <c r="B468" s="6" t="s">
        <v>231</v>
      </c>
      <c r="C468" s="7" t="s">
        <v>232</v>
      </c>
      <c r="D468" s="5">
        <v>1.0</v>
      </c>
      <c r="E468" s="7" t="s">
        <v>525</v>
      </c>
      <c r="F468" s="5" t="s">
        <v>502</v>
      </c>
      <c r="G468" s="14" t="s">
        <v>507</v>
      </c>
      <c r="H468" s="44" t="s">
        <v>508</v>
      </c>
      <c r="I468" s="31" t="s">
        <v>60</v>
      </c>
      <c r="J468" s="32">
        <v>1088874.0</v>
      </c>
    </row>
    <row r="469">
      <c r="A469" s="43" t="s">
        <v>74</v>
      </c>
      <c r="B469" s="6" t="s">
        <v>231</v>
      </c>
      <c r="C469" s="7" t="s">
        <v>232</v>
      </c>
      <c r="D469" s="5">
        <v>1.0</v>
      </c>
      <c r="E469" s="7" t="s">
        <v>525</v>
      </c>
      <c r="F469" s="5" t="s">
        <v>502</v>
      </c>
      <c r="G469" s="14" t="s">
        <v>509</v>
      </c>
      <c r="H469" s="44" t="s">
        <v>510</v>
      </c>
      <c r="I469" s="31" t="s">
        <v>60</v>
      </c>
      <c r="J469" s="32">
        <v>133333.0</v>
      </c>
    </row>
    <row r="470">
      <c r="A470" s="43" t="s">
        <v>74</v>
      </c>
      <c r="B470" s="6" t="s">
        <v>231</v>
      </c>
      <c r="C470" s="7" t="s">
        <v>232</v>
      </c>
      <c r="D470" s="5">
        <v>1.0</v>
      </c>
      <c r="E470" s="7" t="s">
        <v>525</v>
      </c>
      <c r="F470" s="5" t="s">
        <v>502</v>
      </c>
      <c r="G470" s="14" t="s">
        <v>511</v>
      </c>
      <c r="H470" s="44" t="s">
        <v>512</v>
      </c>
      <c r="I470" s="31" t="s">
        <v>60</v>
      </c>
      <c r="J470" s="32">
        <v>2988805.0</v>
      </c>
    </row>
    <row r="471">
      <c r="A471" s="43" t="s">
        <v>74</v>
      </c>
      <c r="B471" s="6" t="s">
        <v>231</v>
      </c>
      <c r="C471" s="7" t="s">
        <v>232</v>
      </c>
      <c r="D471" s="5">
        <v>1.0</v>
      </c>
      <c r="E471" s="7" t="s">
        <v>525</v>
      </c>
      <c r="F471" s="5" t="s">
        <v>502</v>
      </c>
      <c r="G471" s="14" t="s">
        <v>513</v>
      </c>
      <c r="H471" s="44" t="s">
        <v>514</v>
      </c>
      <c r="I471" s="31" t="s">
        <v>60</v>
      </c>
      <c r="J471" s="32">
        <v>1640104.0</v>
      </c>
    </row>
    <row r="472">
      <c r="A472" s="43" t="s">
        <v>74</v>
      </c>
      <c r="B472" s="6" t="s">
        <v>233</v>
      </c>
      <c r="C472" s="7" t="s">
        <v>234</v>
      </c>
      <c r="D472" s="5">
        <v>1.0</v>
      </c>
      <c r="E472" s="7" t="s">
        <v>441</v>
      </c>
      <c r="F472" s="5" t="s">
        <v>442</v>
      </c>
      <c r="G472" s="14" t="s">
        <v>443</v>
      </c>
      <c r="H472" s="44" t="s">
        <v>420</v>
      </c>
      <c r="I472" s="31" t="s">
        <v>19</v>
      </c>
      <c r="J472" s="32">
        <v>4.6685533E7</v>
      </c>
    </row>
    <row r="473">
      <c r="A473" s="43" t="s">
        <v>74</v>
      </c>
      <c r="B473" s="6" t="s">
        <v>233</v>
      </c>
      <c r="C473" s="7" t="s">
        <v>234</v>
      </c>
      <c r="D473" s="5">
        <v>1.0</v>
      </c>
      <c r="E473" s="7" t="s">
        <v>441</v>
      </c>
      <c r="F473" s="5" t="s">
        <v>442</v>
      </c>
      <c r="G473" s="14" t="s">
        <v>444</v>
      </c>
      <c r="H473" s="44" t="s">
        <v>445</v>
      </c>
      <c r="I473" s="31" t="s">
        <v>19</v>
      </c>
      <c r="J473" s="32">
        <v>4036399.0</v>
      </c>
    </row>
    <row r="474">
      <c r="A474" s="43" t="s">
        <v>74</v>
      </c>
      <c r="B474" s="6" t="s">
        <v>233</v>
      </c>
      <c r="C474" s="7" t="s">
        <v>234</v>
      </c>
      <c r="D474" s="5">
        <v>1.0</v>
      </c>
      <c r="E474" s="7" t="s">
        <v>441</v>
      </c>
      <c r="F474" s="5" t="s">
        <v>442</v>
      </c>
      <c r="G474" s="14" t="s">
        <v>446</v>
      </c>
      <c r="H474" s="44" t="s">
        <v>447</v>
      </c>
      <c r="I474" s="31" t="s">
        <v>19</v>
      </c>
      <c r="J474" s="32">
        <v>483718.0</v>
      </c>
    </row>
    <row r="475">
      <c r="A475" s="43" t="s">
        <v>74</v>
      </c>
      <c r="B475" s="6" t="s">
        <v>233</v>
      </c>
      <c r="C475" s="7" t="s">
        <v>234</v>
      </c>
      <c r="D475" s="5">
        <v>1.0</v>
      </c>
      <c r="E475" s="7" t="s">
        <v>441</v>
      </c>
      <c r="F475" s="5" t="s">
        <v>442</v>
      </c>
      <c r="G475" s="14" t="s">
        <v>448</v>
      </c>
      <c r="H475" s="44" t="s">
        <v>449</v>
      </c>
      <c r="I475" s="31" t="s">
        <v>19</v>
      </c>
      <c r="J475" s="32">
        <v>1212146.0</v>
      </c>
    </row>
    <row r="476">
      <c r="A476" s="43" t="s">
        <v>74</v>
      </c>
      <c r="B476" s="6" t="s">
        <v>233</v>
      </c>
      <c r="C476" s="7" t="s">
        <v>234</v>
      </c>
      <c r="D476" s="5">
        <v>1.0</v>
      </c>
      <c r="E476" s="7" t="s">
        <v>441</v>
      </c>
      <c r="F476" s="5" t="s">
        <v>442</v>
      </c>
      <c r="G476" s="14" t="s">
        <v>450</v>
      </c>
      <c r="H476" s="44" t="s">
        <v>451</v>
      </c>
      <c r="I476" s="31" t="s">
        <v>19</v>
      </c>
      <c r="J476" s="32">
        <v>0.0</v>
      </c>
    </row>
    <row r="477">
      <c r="A477" s="43" t="s">
        <v>74</v>
      </c>
      <c r="B477" s="6" t="s">
        <v>233</v>
      </c>
      <c r="C477" s="7" t="s">
        <v>234</v>
      </c>
      <c r="D477" s="5">
        <v>1.0</v>
      </c>
      <c r="E477" s="7" t="s">
        <v>441</v>
      </c>
      <c r="F477" s="5" t="s">
        <v>442</v>
      </c>
      <c r="G477" s="14" t="s">
        <v>452</v>
      </c>
      <c r="H477" s="44" t="s">
        <v>453</v>
      </c>
      <c r="I477" s="31" t="s">
        <v>19</v>
      </c>
      <c r="J477" s="32">
        <v>896987.0</v>
      </c>
    </row>
    <row r="478">
      <c r="A478" s="43" t="s">
        <v>74</v>
      </c>
      <c r="B478" s="6" t="s">
        <v>233</v>
      </c>
      <c r="C478" s="7" t="s">
        <v>234</v>
      </c>
      <c r="D478" s="5">
        <v>1.0</v>
      </c>
      <c r="E478" s="7" t="s">
        <v>441</v>
      </c>
      <c r="F478" s="5" t="s">
        <v>442</v>
      </c>
      <c r="G478" s="14" t="s">
        <v>454</v>
      </c>
      <c r="H478" s="44" t="s">
        <v>415</v>
      </c>
      <c r="I478" s="31" t="s">
        <v>19</v>
      </c>
      <c r="J478" s="32">
        <v>130912.0</v>
      </c>
    </row>
    <row r="479">
      <c r="A479" s="43" t="s">
        <v>74</v>
      </c>
      <c r="B479" s="6" t="s">
        <v>233</v>
      </c>
      <c r="C479" s="7" t="s">
        <v>234</v>
      </c>
      <c r="D479" s="5">
        <v>1.0</v>
      </c>
      <c r="E479" s="7" t="s">
        <v>441</v>
      </c>
      <c r="F479" s="5" t="s">
        <v>442</v>
      </c>
      <c r="G479" s="14" t="s">
        <v>455</v>
      </c>
      <c r="H479" s="44" t="s">
        <v>415</v>
      </c>
      <c r="I479" s="31" t="s">
        <v>19</v>
      </c>
      <c r="J479" s="32">
        <v>72728.0</v>
      </c>
    </row>
    <row r="480">
      <c r="A480" s="43" t="s">
        <v>74</v>
      </c>
      <c r="B480" s="6" t="s">
        <v>233</v>
      </c>
      <c r="C480" s="7" t="s">
        <v>234</v>
      </c>
      <c r="D480" s="5">
        <v>1.0</v>
      </c>
      <c r="E480" s="7" t="s">
        <v>441</v>
      </c>
      <c r="F480" s="5" t="s">
        <v>442</v>
      </c>
      <c r="G480" s="14" t="s">
        <v>565</v>
      </c>
      <c r="H480" s="44" t="s">
        <v>566</v>
      </c>
      <c r="I480" s="31" t="s">
        <v>25</v>
      </c>
      <c r="J480" s="32">
        <v>4900000.0</v>
      </c>
    </row>
    <row r="481">
      <c r="A481" s="43" t="s">
        <v>74</v>
      </c>
      <c r="B481" s="6" t="s">
        <v>233</v>
      </c>
      <c r="C481" s="7" t="s">
        <v>234</v>
      </c>
      <c r="D481" s="5">
        <v>1.0</v>
      </c>
      <c r="E481" s="7" t="s">
        <v>456</v>
      </c>
      <c r="F481" s="5" t="s">
        <v>457</v>
      </c>
      <c r="G481" s="14" t="s">
        <v>515</v>
      </c>
      <c r="H481" s="44" t="s">
        <v>413</v>
      </c>
      <c r="I481" s="31" t="s">
        <v>19</v>
      </c>
      <c r="J481" s="32">
        <v>2723144.0</v>
      </c>
    </row>
    <row r="482">
      <c r="A482" s="43" t="s">
        <v>74</v>
      </c>
      <c r="B482" s="6" t="s">
        <v>233</v>
      </c>
      <c r="C482" s="7" t="s">
        <v>234</v>
      </c>
      <c r="D482" s="5">
        <v>1.0</v>
      </c>
      <c r="E482" s="7" t="s">
        <v>456</v>
      </c>
      <c r="F482" s="5" t="s">
        <v>457</v>
      </c>
      <c r="G482" s="14" t="s">
        <v>458</v>
      </c>
      <c r="H482" s="44" t="s">
        <v>411</v>
      </c>
      <c r="I482" s="31" t="s">
        <v>19</v>
      </c>
      <c r="J482" s="32">
        <v>1.742634E8</v>
      </c>
    </row>
    <row r="483">
      <c r="A483" s="43" t="s">
        <v>74</v>
      </c>
      <c r="B483" s="6" t="s">
        <v>233</v>
      </c>
      <c r="C483" s="7" t="s">
        <v>234</v>
      </c>
      <c r="D483" s="5">
        <v>1.0</v>
      </c>
      <c r="E483" s="7" t="s">
        <v>482</v>
      </c>
      <c r="F483" s="5" t="s">
        <v>483</v>
      </c>
      <c r="G483" s="14" t="s">
        <v>465</v>
      </c>
      <c r="H483" s="44" t="s">
        <v>466</v>
      </c>
      <c r="I483" s="31" t="s">
        <v>25</v>
      </c>
      <c r="J483" s="32">
        <v>234000.0</v>
      </c>
    </row>
    <row r="484">
      <c r="A484" s="43" t="s">
        <v>74</v>
      </c>
      <c r="B484" s="6" t="s">
        <v>233</v>
      </c>
      <c r="C484" s="7" t="s">
        <v>234</v>
      </c>
      <c r="D484" s="5">
        <v>1.0</v>
      </c>
      <c r="E484" s="7" t="s">
        <v>459</v>
      </c>
      <c r="F484" s="5" t="s">
        <v>460</v>
      </c>
      <c r="G484" s="14" t="s">
        <v>461</v>
      </c>
      <c r="H484" s="44" t="s">
        <v>462</v>
      </c>
      <c r="I484" s="31" t="s">
        <v>17</v>
      </c>
      <c r="J484" s="32">
        <v>925000.0</v>
      </c>
    </row>
    <row r="485">
      <c r="A485" s="43" t="s">
        <v>74</v>
      </c>
      <c r="B485" s="6" t="s">
        <v>233</v>
      </c>
      <c r="C485" s="7" t="s">
        <v>234</v>
      </c>
      <c r="D485" s="5">
        <v>1.0</v>
      </c>
      <c r="E485" s="7" t="s">
        <v>459</v>
      </c>
      <c r="F485" s="5" t="s">
        <v>460</v>
      </c>
      <c r="G485" s="14" t="s">
        <v>461</v>
      </c>
      <c r="H485" s="44" t="s">
        <v>462</v>
      </c>
      <c r="I485" s="31" t="s">
        <v>37</v>
      </c>
      <c r="J485" s="32">
        <v>6110000.0</v>
      </c>
    </row>
    <row r="486">
      <c r="A486" s="43" t="s">
        <v>74</v>
      </c>
      <c r="B486" s="6" t="s">
        <v>233</v>
      </c>
      <c r="C486" s="7" t="s">
        <v>234</v>
      </c>
      <c r="D486" s="5">
        <v>1.0</v>
      </c>
      <c r="E486" s="7" t="s">
        <v>459</v>
      </c>
      <c r="F486" s="5" t="s">
        <v>460</v>
      </c>
      <c r="G486" s="14" t="s">
        <v>458</v>
      </c>
      <c r="H486" s="44" t="s">
        <v>411</v>
      </c>
      <c r="I486" s="31" t="s">
        <v>19</v>
      </c>
      <c r="J486" s="32">
        <v>6970536.0</v>
      </c>
    </row>
    <row r="487">
      <c r="A487" s="43" t="s">
        <v>74</v>
      </c>
      <c r="B487" s="6" t="s">
        <v>233</v>
      </c>
      <c r="C487" s="7" t="s">
        <v>234</v>
      </c>
      <c r="D487" s="5">
        <v>1.0</v>
      </c>
      <c r="E487" s="7" t="s">
        <v>459</v>
      </c>
      <c r="F487" s="5" t="s">
        <v>460</v>
      </c>
      <c r="G487" s="14" t="s">
        <v>486</v>
      </c>
      <c r="H487" s="44" t="s">
        <v>432</v>
      </c>
      <c r="I487" s="31" t="s">
        <v>37</v>
      </c>
      <c r="J487" s="32">
        <v>560000.0</v>
      </c>
    </row>
    <row r="488">
      <c r="A488" s="43" t="s">
        <v>74</v>
      </c>
      <c r="B488" s="6" t="s">
        <v>233</v>
      </c>
      <c r="C488" s="7" t="s">
        <v>234</v>
      </c>
      <c r="D488" s="5">
        <v>1.0</v>
      </c>
      <c r="E488" s="7" t="s">
        <v>463</v>
      </c>
      <c r="F488" s="5" t="s">
        <v>464</v>
      </c>
      <c r="G488" s="14" t="s">
        <v>465</v>
      </c>
      <c r="H488" s="44" t="s">
        <v>466</v>
      </c>
      <c r="I488" s="31" t="s">
        <v>17</v>
      </c>
      <c r="J488" s="32">
        <v>75000.0</v>
      </c>
    </row>
    <row r="489">
      <c r="A489" s="43" t="s">
        <v>74</v>
      </c>
      <c r="B489" s="6" t="s">
        <v>233</v>
      </c>
      <c r="C489" s="7" t="s">
        <v>234</v>
      </c>
      <c r="D489" s="5">
        <v>1.0</v>
      </c>
      <c r="E489" s="7" t="s">
        <v>463</v>
      </c>
      <c r="F489" s="5" t="s">
        <v>464</v>
      </c>
      <c r="G489" s="14" t="s">
        <v>465</v>
      </c>
      <c r="H489" s="44" t="s">
        <v>466</v>
      </c>
      <c r="I489" s="31" t="s">
        <v>37</v>
      </c>
      <c r="J489" s="32">
        <v>2636000.0</v>
      </c>
    </row>
    <row r="490">
      <c r="A490" s="43" t="s">
        <v>74</v>
      </c>
      <c r="B490" s="6" t="s">
        <v>233</v>
      </c>
      <c r="C490" s="7" t="s">
        <v>234</v>
      </c>
      <c r="D490" s="5">
        <v>1.0</v>
      </c>
      <c r="E490" s="7" t="s">
        <v>463</v>
      </c>
      <c r="F490" s="5" t="s">
        <v>464</v>
      </c>
      <c r="G490" s="14" t="s">
        <v>465</v>
      </c>
      <c r="H490" s="44" t="s">
        <v>466</v>
      </c>
      <c r="I490" s="31" t="s">
        <v>25</v>
      </c>
      <c r="J490" s="32">
        <v>1343000.0</v>
      </c>
    </row>
    <row r="491">
      <c r="A491" s="43" t="s">
        <v>74</v>
      </c>
      <c r="B491" s="6" t="s">
        <v>233</v>
      </c>
      <c r="C491" s="7" t="s">
        <v>234</v>
      </c>
      <c r="D491" s="5">
        <v>1.0</v>
      </c>
      <c r="E491" s="7" t="s">
        <v>463</v>
      </c>
      <c r="F491" s="5" t="s">
        <v>464</v>
      </c>
      <c r="G491" s="14" t="s">
        <v>458</v>
      </c>
      <c r="H491" s="44" t="s">
        <v>411</v>
      </c>
      <c r="I491" s="31" t="s">
        <v>19</v>
      </c>
      <c r="J491" s="32">
        <v>1.9808628E7</v>
      </c>
    </row>
    <row r="492">
      <c r="A492" s="43" t="s">
        <v>74</v>
      </c>
      <c r="B492" s="6" t="s">
        <v>233</v>
      </c>
      <c r="C492" s="7" t="s">
        <v>234</v>
      </c>
      <c r="D492" s="5">
        <v>1.0</v>
      </c>
      <c r="E492" s="7" t="s">
        <v>463</v>
      </c>
      <c r="F492" s="5" t="s">
        <v>464</v>
      </c>
      <c r="G492" s="14" t="s">
        <v>486</v>
      </c>
      <c r="H492" s="44" t="s">
        <v>432</v>
      </c>
      <c r="I492" s="31" t="s">
        <v>37</v>
      </c>
      <c r="J492" s="32">
        <v>980000.0</v>
      </c>
    </row>
    <row r="493">
      <c r="A493" s="43" t="s">
        <v>74</v>
      </c>
      <c r="B493" s="6" t="s">
        <v>233</v>
      </c>
      <c r="C493" s="7" t="s">
        <v>234</v>
      </c>
      <c r="D493" s="5">
        <v>1.0</v>
      </c>
      <c r="E493" s="7" t="s">
        <v>469</v>
      </c>
      <c r="F493" s="5" t="s">
        <v>470</v>
      </c>
      <c r="G493" s="14" t="s">
        <v>471</v>
      </c>
      <c r="H493" s="44" t="s">
        <v>472</v>
      </c>
      <c r="I493" s="31" t="s">
        <v>25</v>
      </c>
      <c r="J493" s="32">
        <v>1065600.0</v>
      </c>
    </row>
    <row r="494">
      <c r="A494" s="43" t="s">
        <v>74</v>
      </c>
      <c r="B494" s="6" t="s">
        <v>233</v>
      </c>
      <c r="C494" s="7" t="s">
        <v>234</v>
      </c>
      <c r="D494" s="5">
        <v>1.0</v>
      </c>
      <c r="E494" s="7" t="s">
        <v>473</v>
      </c>
      <c r="F494" s="5" t="s">
        <v>474</v>
      </c>
      <c r="G494" s="14" t="s">
        <v>523</v>
      </c>
      <c r="H494" s="44" t="s">
        <v>431</v>
      </c>
      <c r="I494" s="31" t="s">
        <v>17</v>
      </c>
      <c r="J494" s="32">
        <v>4.58857159E8</v>
      </c>
    </row>
    <row r="495">
      <c r="A495" s="43" t="s">
        <v>74</v>
      </c>
      <c r="B495" s="6" t="s">
        <v>233</v>
      </c>
      <c r="C495" s="7" t="s">
        <v>234</v>
      </c>
      <c r="D495" s="5">
        <v>1.0</v>
      </c>
      <c r="E495" s="7" t="s">
        <v>473</v>
      </c>
      <c r="F495" s="5" t="s">
        <v>474</v>
      </c>
      <c r="G495" s="14" t="s">
        <v>523</v>
      </c>
      <c r="H495" s="44" t="s">
        <v>431</v>
      </c>
      <c r="I495" s="31" t="s">
        <v>25</v>
      </c>
      <c r="J495" s="32">
        <v>-2.04867285E8</v>
      </c>
    </row>
    <row r="496">
      <c r="A496" s="43" t="s">
        <v>74</v>
      </c>
      <c r="B496" s="6" t="s">
        <v>233</v>
      </c>
      <c r="C496" s="7" t="s">
        <v>234</v>
      </c>
      <c r="D496" s="5">
        <v>1.0</v>
      </c>
      <c r="E496" s="7" t="s">
        <v>473</v>
      </c>
      <c r="F496" s="5" t="s">
        <v>474</v>
      </c>
      <c r="G496" s="14" t="s">
        <v>458</v>
      </c>
      <c r="H496" s="44" t="s">
        <v>411</v>
      </c>
      <c r="I496" s="31" t="s">
        <v>19</v>
      </c>
      <c r="J496" s="32">
        <v>4.1823216E7</v>
      </c>
    </row>
    <row r="497">
      <c r="A497" s="43" t="s">
        <v>74</v>
      </c>
      <c r="B497" s="6" t="s">
        <v>233</v>
      </c>
      <c r="C497" s="7" t="s">
        <v>234</v>
      </c>
      <c r="D497" s="5">
        <v>1.0</v>
      </c>
      <c r="E497" s="7" t="s">
        <v>491</v>
      </c>
      <c r="F497" s="5" t="s">
        <v>492</v>
      </c>
      <c r="G497" s="14" t="s">
        <v>493</v>
      </c>
      <c r="H497" s="44" t="s">
        <v>437</v>
      </c>
      <c r="I497" s="31" t="s">
        <v>37</v>
      </c>
      <c r="J497" s="32">
        <v>1925000.0</v>
      </c>
    </row>
    <row r="498">
      <c r="A498" s="43" t="s">
        <v>74</v>
      </c>
      <c r="B498" s="6" t="s">
        <v>233</v>
      </c>
      <c r="C498" s="7" t="s">
        <v>234</v>
      </c>
      <c r="D498" s="5">
        <v>1.0</v>
      </c>
      <c r="E498" s="7" t="s">
        <v>491</v>
      </c>
      <c r="F498" s="5" t="s">
        <v>492</v>
      </c>
      <c r="G498" s="14" t="s">
        <v>493</v>
      </c>
      <c r="H498" s="44" t="s">
        <v>437</v>
      </c>
      <c r="I498" s="31" t="s">
        <v>25</v>
      </c>
      <c r="J498" s="32">
        <v>5955534.0</v>
      </c>
    </row>
    <row r="499">
      <c r="A499" s="43" t="s">
        <v>74</v>
      </c>
      <c r="B499" s="6" t="s">
        <v>233</v>
      </c>
      <c r="C499" s="7" t="s">
        <v>234</v>
      </c>
      <c r="D499" s="5">
        <v>1.0</v>
      </c>
      <c r="E499" s="7" t="s">
        <v>491</v>
      </c>
      <c r="F499" s="5" t="s">
        <v>492</v>
      </c>
      <c r="G499" s="14" t="s">
        <v>458</v>
      </c>
      <c r="H499" s="44" t="s">
        <v>411</v>
      </c>
      <c r="I499" s="31" t="s">
        <v>19</v>
      </c>
      <c r="J499" s="32">
        <v>5867556.0</v>
      </c>
    </row>
    <row r="500">
      <c r="A500" s="43" t="s">
        <v>74</v>
      </c>
      <c r="B500" s="6" t="s">
        <v>233</v>
      </c>
      <c r="C500" s="7" t="s">
        <v>234</v>
      </c>
      <c r="D500" s="5">
        <v>1.0</v>
      </c>
      <c r="E500" s="7" t="s">
        <v>475</v>
      </c>
      <c r="F500" s="5" t="s">
        <v>476</v>
      </c>
      <c r="G500" s="14" t="s">
        <v>554</v>
      </c>
      <c r="H500" s="44" t="s">
        <v>555</v>
      </c>
      <c r="I500" s="31" t="s">
        <v>17</v>
      </c>
      <c r="J500" s="32">
        <v>6160000.0</v>
      </c>
    </row>
    <row r="501">
      <c r="A501" s="43" t="s">
        <v>74</v>
      </c>
      <c r="B501" s="6" t="s">
        <v>233</v>
      </c>
      <c r="C501" s="7" t="s">
        <v>234</v>
      </c>
      <c r="D501" s="5">
        <v>1.0</v>
      </c>
      <c r="E501" s="7" t="s">
        <v>475</v>
      </c>
      <c r="F501" s="5" t="s">
        <v>476</v>
      </c>
      <c r="G501" s="14" t="s">
        <v>498</v>
      </c>
      <c r="H501" s="44" t="s">
        <v>434</v>
      </c>
      <c r="I501" s="31" t="s">
        <v>25</v>
      </c>
      <c r="J501" s="32">
        <v>1.00971E7</v>
      </c>
    </row>
    <row r="502">
      <c r="A502" s="43" t="s">
        <v>74</v>
      </c>
      <c r="B502" s="6" t="s">
        <v>233</v>
      </c>
      <c r="C502" s="7" t="s">
        <v>234</v>
      </c>
      <c r="D502" s="5">
        <v>1.0</v>
      </c>
      <c r="E502" s="7" t="s">
        <v>475</v>
      </c>
      <c r="F502" s="5" t="s">
        <v>476</v>
      </c>
      <c r="G502" s="14" t="s">
        <v>477</v>
      </c>
      <c r="H502" s="44" t="s">
        <v>429</v>
      </c>
      <c r="I502" s="31" t="s">
        <v>50</v>
      </c>
      <c r="J502" s="32">
        <v>2.0615441E7</v>
      </c>
    </row>
    <row r="503">
      <c r="A503" s="43" t="s">
        <v>74</v>
      </c>
      <c r="B503" s="6" t="s">
        <v>233</v>
      </c>
      <c r="C503" s="7" t="s">
        <v>234</v>
      </c>
      <c r="D503" s="5">
        <v>1.0</v>
      </c>
      <c r="E503" s="7" t="s">
        <v>524</v>
      </c>
      <c r="F503" s="5" t="s">
        <v>479</v>
      </c>
      <c r="G503" s="14" t="s">
        <v>443</v>
      </c>
      <c r="H503" s="44" t="s">
        <v>420</v>
      </c>
      <c r="I503" s="31" t="s">
        <v>19</v>
      </c>
      <c r="J503" s="32">
        <v>6.3306236E7</v>
      </c>
    </row>
    <row r="504">
      <c r="A504" s="43" t="s">
        <v>74</v>
      </c>
      <c r="B504" s="6" t="s">
        <v>233</v>
      </c>
      <c r="C504" s="7" t="s">
        <v>234</v>
      </c>
      <c r="D504" s="5">
        <v>1.0</v>
      </c>
      <c r="E504" s="7" t="s">
        <v>524</v>
      </c>
      <c r="F504" s="5" t="s">
        <v>479</v>
      </c>
      <c r="G504" s="14" t="s">
        <v>444</v>
      </c>
      <c r="H504" s="44" t="s">
        <v>445</v>
      </c>
      <c r="I504" s="31" t="s">
        <v>19</v>
      </c>
      <c r="J504" s="32">
        <v>4162937.0</v>
      </c>
    </row>
    <row r="505">
      <c r="A505" s="43" t="s">
        <v>74</v>
      </c>
      <c r="B505" s="6" t="s">
        <v>233</v>
      </c>
      <c r="C505" s="7" t="s">
        <v>234</v>
      </c>
      <c r="D505" s="5">
        <v>1.0</v>
      </c>
      <c r="E505" s="7" t="s">
        <v>524</v>
      </c>
      <c r="F505" s="5" t="s">
        <v>479</v>
      </c>
      <c r="G505" s="14" t="s">
        <v>446</v>
      </c>
      <c r="H505" s="44" t="s">
        <v>447</v>
      </c>
      <c r="I505" s="31" t="s">
        <v>19</v>
      </c>
      <c r="J505" s="32">
        <v>708407.0</v>
      </c>
    </row>
    <row r="506">
      <c r="A506" s="43" t="s">
        <v>74</v>
      </c>
      <c r="B506" s="6" t="s">
        <v>233</v>
      </c>
      <c r="C506" s="7" t="s">
        <v>234</v>
      </c>
      <c r="D506" s="5">
        <v>1.0</v>
      </c>
      <c r="E506" s="7" t="s">
        <v>524</v>
      </c>
      <c r="F506" s="5" t="s">
        <v>479</v>
      </c>
      <c r="G506" s="14" t="s">
        <v>448</v>
      </c>
      <c r="H506" s="44" t="s">
        <v>449</v>
      </c>
      <c r="I506" s="31" t="s">
        <v>19</v>
      </c>
      <c r="J506" s="32">
        <v>1771015.0</v>
      </c>
    </row>
    <row r="507">
      <c r="A507" s="43" t="s">
        <v>74</v>
      </c>
      <c r="B507" s="6" t="s">
        <v>233</v>
      </c>
      <c r="C507" s="7" t="s">
        <v>234</v>
      </c>
      <c r="D507" s="5">
        <v>1.0</v>
      </c>
      <c r="E507" s="7" t="s">
        <v>524</v>
      </c>
      <c r="F507" s="5" t="s">
        <v>479</v>
      </c>
      <c r="G507" s="14" t="s">
        <v>452</v>
      </c>
      <c r="H507" s="44" t="s">
        <v>453</v>
      </c>
      <c r="I507" s="31" t="s">
        <v>19</v>
      </c>
      <c r="J507" s="32">
        <v>1310552.0</v>
      </c>
    </row>
    <row r="508">
      <c r="A508" s="43" t="s">
        <v>74</v>
      </c>
      <c r="B508" s="6" t="s">
        <v>233</v>
      </c>
      <c r="C508" s="7" t="s">
        <v>234</v>
      </c>
      <c r="D508" s="5">
        <v>1.0</v>
      </c>
      <c r="E508" s="7" t="s">
        <v>524</v>
      </c>
      <c r="F508" s="5" t="s">
        <v>479</v>
      </c>
      <c r="G508" s="14" t="s">
        <v>454</v>
      </c>
      <c r="H508" s="44" t="s">
        <v>415</v>
      </c>
      <c r="I508" s="31" t="s">
        <v>19</v>
      </c>
      <c r="J508" s="32">
        <v>191270.0</v>
      </c>
    </row>
    <row r="509">
      <c r="A509" s="43" t="s">
        <v>74</v>
      </c>
      <c r="B509" s="6" t="s">
        <v>233</v>
      </c>
      <c r="C509" s="7" t="s">
        <v>234</v>
      </c>
      <c r="D509" s="5">
        <v>1.0</v>
      </c>
      <c r="E509" s="7" t="s">
        <v>524</v>
      </c>
      <c r="F509" s="5" t="s">
        <v>479</v>
      </c>
      <c r="G509" s="14" t="s">
        <v>455</v>
      </c>
      <c r="H509" s="44" t="s">
        <v>415</v>
      </c>
      <c r="I509" s="31" t="s">
        <v>19</v>
      </c>
      <c r="J509" s="32">
        <v>106261.0</v>
      </c>
    </row>
    <row r="510">
      <c r="A510" s="43" t="s">
        <v>74</v>
      </c>
      <c r="B510" s="6" t="s">
        <v>233</v>
      </c>
      <c r="C510" s="7" t="s">
        <v>234</v>
      </c>
      <c r="D510" s="5">
        <v>1.0</v>
      </c>
      <c r="E510" s="7" t="s">
        <v>524</v>
      </c>
      <c r="F510" s="5" t="s">
        <v>479</v>
      </c>
      <c r="G510" s="14" t="s">
        <v>499</v>
      </c>
      <c r="H510" s="44" t="s">
        <v>500</v>
      </c>
      <c r="I510" s="31" t="s">
        <v>19</v>
      </c>
      <c r="J510" s="32">
        <v>4844502.0</v>
      </c>
    </row>
    <row r="511">
      <c r="A511" s="43" t="s">
        <v>74</v>
      </c>
      <c r="B511" s="6" t="s">
        <v>233</v>
      </c>
      <c r="C511" s="7" t="s">
        <v>234</v>
      </c>
      <c r="D511" s="5">
        <v>1.0</v>
      </c>
      <c r="E511" s="7" t="s">
        <v>524</v>
      </c>
      <c r="F511" s="5" t="s">
        <v>479</v>
      </c>
      <c r="G511" s="14" t="s">
        <v>480</v>
      </c>
      <c r="H511" s="44" t="s">
        <v>481</v>
      </c>
      <c r="I511" s="31" t="s">
        <v>19</v>
      </c>
      <c r="J511" s="32">
        <v>3983398.0</v>
      </c>
    </row>
    <row r="512">
      <c r="A512" s="43" t="s">
        <v>74</v>
      </c>
      <c r="B512" s="6" t="s">
        <v>233</v>
      </c>
      <c r="C512" s="7" t="s">
        <v>234</v>
      </c>
      <c r="D512" s="5">
        <v>1.0</v>
      </c>
      <c r="E512" s="7" t="s">
        <v>525</v>
      </c>
      <c r="F512" s="5" t="s">
        <v>502</v>
      </c>
      <c r="G512" s="14" t="s">
        <v>526</v>
      </c>
      <c r="H512" s="44" t="s">
        <v>527</v>
      </c>
      <c r="I512" s="31" t="s">
        <v>60</v>
      </c>
      <c r="J512" s="32">
        <v>3.67712825E8</v>
      </c>
    </row>
    <row r="513">
      <c r="A513" s="43" t="s">
        <v>74</v>
      </c>
      <c r="B513" s="6" t="s">
        <v>233</v>
      </c>
      <c r="C513" s="7" t="s">
        <v>234</v>
      </c>
      <c r="D513" s="5">
        <v>1.0</v>
      </c>
      <c r="E513" s="7" t="s">
        <v>525</v>
      </c>
      <c r="F513" s="5" t="s">
        <v>502</v>
      </c>
      <c r="G513" s="14" t="s">
        <v>507</v>
      </c>
      <c r="H513" s="44" t="s">
        <v>508</v>
      </c>
      <c r="I513" s="31" t="s">
        <v>60</v>
      </c>
      <c r="J513" s="32">
        <v>6888580.0</v>
      </c>
    </row>
    <row r="514">
      <c r="A514" s="43" t="s">
        <v>74</v>
      </c>
      <c r="B514" s="6" t="s">
        <v>233</v>
      </c>
      <c r="C514" s="7" t="s">
        <v>234</v>
      </c>
      <c r="D514" s="5">
        <v>1.0</v>
      </c>
      <c r="E514" s="7" t="s">
        <v>525</v>
      </c>
      <c r="F514" s="5" t="s">
        <v>502</v>
      </c>
      <c r="G514" s="14" t="s">
        <v>509</v>
      </c>
      <c r="H514" s="44" t="s">
        <v>510</v>
      </c>
      <c r="I514" s="31" t="s">
        <v>60</v>
      </c>
      <c r="J514" s="32">
        <v>408333.0</v>
      </c>
    </row>
    <row r="515">
      <c r="A515" s="43" t="s">
        <v>74</v>
      </c>
      <c r="B515" s="6" t="s">
        <v>233</v>
      </c>
      <c r="C515" s="7" t="s">
        <v>234</v>
      </c>
      <c r="D515" s="5">
        <v>1.0</v>
      </c>
      <c r="E515" s="7" t="s">
        <v>525</v>
      </c>
      <c r="F515" s="5" t="s">
        <v>502</v>
      </c>
      <c r="G515" s="14" t="s">
        <v>567</v>
      </c>
      <c r="H515" s="44" t="s">
        <v>568</v>
      </c>
      <c r="I515" s="31" t="s">
        <v>60</v>
      </c>
      <c r="J515" s="32">
        <v>2930000.0</v>
      </c>
    </row>
    <row r="516">
      <c r="A516" s="43" t="s">
        <v>74</v>
      </c>
      <c r="B516" s="6" t="s">
        <v>233</v>
      </c>
      <c r="C516" s="7" t="s">
        <v>234</v>
      </c>
      <c r="D516" s="5">
        <v>1.0</v>
      </c>
      <c r="E516" s="7" t="s">
        <v>525</v>
      </c>
      <c r="F516" s="5" t="s">
        <v>502</v>
      </c>
      <c r="G516" s="14" t="s">
        <v>511</v>
      </c>
      <c r="H516" s="44" t="s">
        <v>512</v>
      </c>
      <c r="I516" s="31" t="s">
        <v>60</v>
      </c>
      <c r="J516" s="32">
        <v>1.9746617E7</v>
      </c>
    </row>
    <row r="517">
      <c r="A517" s="43" t="s">
        <v>74</v>
      </c>
      <c r="B517" s="6" t="s">
        <v>233</v>
      </c>
      <c r="C517" s="7" t="s">
        <v>234</v>
      </c>
      <c r="D517" s="5">
        <v>1.0</v>
      </c>
      <c r="E517" s="7" t="s">
        <v>525</v>
      </c>
      <c r="F517" s="5" t="s">
        <v>502</v>
      </c>
      <c r="G517" s="14" t="s">
        <v>513</v>
      </c>
      <c r="H517" s="44" t="s">
        <v>514</v>
      </c>
      <c r="I517" s="31" t="s">
        <v>60</v>
      </c>
      <c r="J517" s="32">
        <v>5162528.0</v>
      </c>
    </row>
    <row r="518">
      <c r="A518" s="43" t="s">
        <v>74</v>
      </c>
      <c r="B518" s="6" t="s">
        <v>244</v>
      </c>
      <c r="C518" s="7" t="s">
        <v>245</v>
      </c>
      <c r="D518" s="5">
        <v>1.0</v>
      </c>
      <c r="E518" s="7" t="s">
        <v>441</v>
      </c>
      <c r="F518" s="5" t="s">
        <v>442</v>
      </c>
      <c r="G518" s="14" t="s">
        <v>443</v>
      </c>
      <c r="H518" s="44" t="s">
        <v>420</v>
      </c>
      <c r="I518" s="31" t="s">
        <v>19</v>
      </c>
      <c r="J518" s="32">
        <v>4.843754E7</v>
      </c>
    </row>
    <row r="519">
      <c r="A519" s="43" t="s">
        <v>74</v>
      </c>
      <c r="B519" s="6" t="s">
        <v>244</v>
      </c>
      <c r="C519" s="7" t="s">
        <v>245</v>
      </c>
      <c r="D519" s="5">
        <v>1.0</v>
      </c>
      <c r="E519" s="7" t="s">
        <v>441</v>
      </c>
      <c r="F519" s="5" t="s">
        <v>442</v>
      </c>
      <c r="G519" s="14" t="s">
        <v>444</v>
      </c>
      <c r="H519" s="44" t="s">
        <v>445</v>
      </c>
      <c r="I519" s="31" t="s">
        <v>19</v>
      </c>
      <c r="J519" s="32">
        <v>6727787.0</v>
      </c>
    </row>
    <row r="520">
      <c r="A520" s="43" t="s">
        <v>74</v>
      </c>
      <c r="B520" s="6" t="s">
        <v>244</v>
      </c>
      <c r="C520" s="7" t="s">
        <v>245</v>
      </c>
      <c r="D520" s="5">
        <v>1.0</v>
      </c>
      <c r="E520" s="7" t="s">
        <v>441</v>
      </c>
      <c r="F520" s="5" t="s">
        <v>442</v>
      </c>
      <c r="G520" s="14" t="s">
        <v>537</v>
      </c>
      <c r="H520" s="44" t="s">
        <v>538</v>
      </c>
      <c r="I520" s="31" t="s">
        <v>19</v>
      </c>
      <c r="J520" s="32">
        <v>0.0</v>
      </c>
    </row>
    <row r="521">
      <c r="A521" s="43" t="s">
        <v>74</v>
      </c>
      <c r="B521" s="6" t="s">
        <v>244</v>
      </c>
      <c r="C521" s="7" t="s">
        <v>245</v>
      </c>
      <c r="D521" s="5">
        <v>1.0</v>
      </c>
      <c r="E521" s="7" t="s">
        <v>441</v>
      </c>
      <c r="F521" s="5" t="s">
        <v>442</v>
      </c>
      <c r="G521" s="14" t="s">
        <v>446</v>
      </c>
      <c r="H521" s="44" t="s">
        <v>447</v>
      </c>
      <c r="I521" s="31" t="s">
        <v>19</v>
      </c>
      <c r="J521" s="32">
        <v>494690.0</v>
      </c>
    </row>
    <row r="522">
      <c r="A522" s="43" t="s">
        <v>74</v>
      </c>
      <c r="B522" s="6" t="s">
        <v>244</v>
      </c>
      <c r="C522" s="7" t="s">
        <v>245</v>
      </c>
      <c r="D522" s="5">
        <v>1.0</v>
      </c>
      <c r="E522" s="7" t="s">
        <v>441</v>
      </c>
      <c r="F522" s="5" t="s">
        <v>442</v>
      </c>
      <c r="G522" s="14" t="s">
        <v>448</v>
      </c>
      <c r="H522" s="44" t="s">
        <v>449</v>
      </c>
      <c r="I522" s="31" t="s">
        <v>19</v>
      </c>
      <c r="J522" s="32">
        <v>1239045.0</v>
      </c>
    </row>
    <row r="523">
      <c r="A523" s="43" t="s">
        <v>74</v>
      </c>
      <c r="B523" s="6" t="s">
        <v>244</v>
      </c>
      <c r="C523" s="7" t="s">
        <v>245</v>
      </c>
      <c r="D523" s="5">
        <v>1.0</v>
      </c>
      <c r="E523" s="7" t="s">
        <v>441</v>
      </c>
      <c r="F523" s="5" t="s">
        <v>442</v>
      </c>
      <c r="G523" s="14" t="s">
        <v>452</v>
      </c>
      <c r="H523" s="44" t="s">
        <v>453</v>
      </c>
      <c r="I523" s="31" t="s">
        <v>19</v>
      </c>
      <c r="J523" s="32">
        <v>916894.0</v>
      </c>
    </row>
    <row r="524">
      <c r="A524" s="43" t="s">
        <v>74</v>
      </c>
      <c r="B524" s="6" t="s">
        <v>244</v>
      </c>
      <c r="C524" s="7" t="s">
        <v>245</v>
      </c>
      <c r="D524" s="5">
        <v>1.0</v>
      </c>
      <c r="E524" s="7" t="s">
        <v>441</v>
      </c>
      <c r="F524" s="5" t="s">
        <v>442</v>
      </c>
      <c r="G524" s="14" t="s">
        <v>454</v>
      </c>
      <c r="H524" s="44" t="s">
        <v>415</v>
      </c>
      <c r="I524" s="31" t="s">
        <v>19</v>
      </c>
      <c r="J524" s="32">
        <v>133818.0</v>
      </c>
    </row>
    <row r="525">
      <c r="A525" s="43" t="s">
        <v>74</v>
      </c>
      <c r="B525" s="6" t="s">
        <v>244</v>
      </c>
      <c r="C525" s="7" t="s">
        <v>245</v>
      </c>
      <c r="D525" s="5">
        <v>1.0</v>
      </c>
      <c r="E525" s="7" t="s">
        <v>441</v>
      </c>
      <c r="F525" s="5" t="s">
        <v>442</v>
      </c>
      <c r="G525" s="14" t="s">
        <v>455</v>
      </c>
      <c r="H525" s="44" t="s">
        <v>415</v>
      </c>
      <c r="I525" s="31" t="s">
        <v>19</v>
      </c>
      <c r="J525" s="32">
        <v>74342.0</v>
      </c>
    </row>
    <row r="526">
      <c r="A526" s="43" t="s">
        <v>74</v>
      </c>
      <c r="B526" s="6" t="s">
        <v>244</v>
      </c>
      <c r="C526" s="7" t="s">
        <v>245</v>
      </c>
      <c r="D526" s="5">
        <v>1.0</v>
      </c>
      <c r="E526" s="7" t="s">
        <v>441</v>
      </c>
      <c r="F526" s="5" t="s">
        <v>442</v>
      </c>
      <c r="G526" s="14" t="s">
        <v>480</v>
      </c>
      <c r="H526" s="44" t="s">
        <v>481</v>
      </c>
      <c r="I526" s="31" t="s">
        <v>19</v>
      </c>
      <c r="J526" s="32">
        <v>4767223.0</v>
      </c>
    </row>
    <row r="527">
      <c r="A527" s="43" t="s">
        <v>74</v>
      </c>
      <c r="B527" s="6" t="s">
        <v>244</v>
      </c>
      <c r="C527" s="7" t="s">
        <v>245</v>
      </c>
      <c r="D527" s="5">
        <v>1.0</v>
      </c>
      <c r="E527" s="7" t="s">
        <v>456</v>
      </c>
      <c r="F527" s="5" t="s">
        <v>457</v>
      </c>
      <c r="G527" s="14" t="s">
        <v>515</v>
      </c>
      <c r="H527" s="44" t="s">
        <v>413</v>
      </c>
      <c r="I527" s="31" t="s">
        <v>19</v>
      </c>
      <c r="J527" s="32">
        <v>1.0E7</v>
      </c>
    </row>
    <row r="528">
      <c r="A528" s="43" t="s">
        <v>74</v>
      </c>
      <c r="B528" s="6" t="s">
        <v>244</v>
      </c>
      <c r="C528" s="7" t="s">
        <v>245</v>
      </c>
      <c r="D528" s="5">
        <v>1.0</v>
      </c>
      <c r="E528" s="7" t="s">
        <v>456</v>
      </c>
      <c r="F528" s="5" t="s">
        <v>457</v>
      </c>
      <c r="G528" s="14" t="s">
        <v>458</v>
      </c>
      <c r="H528" s="44" t="s">
        <v>411</v>
      </c>
      <c r="I528" s="31" t="s">
        <v>19</v>
      </c>
      <c r="J528" s="32">
        <v>4.12836922E8</v>
      </c>
    </row>
    <row r="529">
      <c r="A529" s="43" t="s">
        <v>74</v>
      </c>
      <c r="B529" s="6" t="s">
        <v>244</v>
      </c>
      <c r="C529" s="7" t="s">
        <v>245</v>
      </c>
      <c r="D529" s="5">
        <v>1.0</v>
      </c>
      <c r="E529" s="7" t="s">
        <v>456</v>
      </c>
      <c r="F529" s="5" t="s">
        <v>457</v>
      </c>
      <c r="G529" s="14" t="s">
        <v>532</v>
      </c>
      <c r="H529" s="44" t="s">
        <v>412</v>
      </c>
      <c r="I529" s="31" t="s">
        <v>19</v>
      </c>
      <c r="J529" s="32">
        <v>2053578.0</v>
      </c>
    </row>
    <row r="530">
      <c r="A530" s="43" t="s">
        <v>74</v>
      </c>
      <c r="B530" s="6" t="s">
        <v>244</v>
      </c>
      <c r="C530" s="7" t="s">
        <v>245</v>
      </c>
      <c r="D530" s="5">
        <v>1.0</v>
      </c>
      <c r="E530" s="7" t="s">
        <v>459</v>
      </c>
      <c r="F530" s="5" t="s">
        <v>460</v>
      </c>
      <c r="G530" s="14" t="s">
        <v>458</v>
      </c>
      <c r="H530" s="44" t="s">
        <v>411</v>
      </c>
      <c r="I530" s="31" t="s">
        <v>19</v>
      </c>
      <c r="J530" s="32">
        <v>2.1063949E7</v>
      </c>
    </row>
    <row r="531">
      <c r="A531" s="43" t="s">
        <v>74</v>
      </c>
      <c r="B531" s="6" t="s">
        <v>244</v>
      </c>
      <c r="C531" s="7" t="s">
        <v>245</v>
      </c>
      <c r="D531" s="5">
        <v>1.0</v>
      </c>
      <c r="E531" s="7" t="s">
        <v>487</v>
      </c>
      <c r="F531" s="5" t="s">
        <v>488</v>
      </c>
      <c r="G531" s="14" t="s">
        <v>530</v>
      </c>
      <c r="H531" s="44" t="s">
        <v>531</v>
      </c>
      <c r="I531" s="31" t="s">
        <v>50</v>
      </c>
      <c r="J531" s="32">
        <v>7198530.0</v>
      </c>
    </row>
    <row r="532">
      <c r="A532" s="43" t="s">
        <v>74</v>
      </c>
      <c r="B532" s="6" t="s">
        <v>244</v>
      </c>
      <c r="C532" s="7" t="s">
        <v>245</v>
      </c>
      <c r="D532" s="5">
        <v>1.0</v>
      </c>
      <c r="E532" s="7" t="s">
        <v>469</v>
      </c>
      <c r="F532" s="5" t="s">
        <v>470</v>
      </c>
      <c r="G532" s="14" t="s">
        <v>471</v>
      </c>
      <c r="H532" s="44" t="s">
        <v>472</v>
      </c>
      <c r="I532" s="31" t="s">
        <v>25</v>
      </c>
      <c r="J532" s="32">
        <v>1000000.0</v>
      </c>
    </row>
    <row r="533">
      <c r="A533" s="43" t="s">
        <v>74</v>
      </c>
      <c r="B533" s="6" t="s">
        <v>244</v>
      </c>
      <c r="C533" s="7" t="s">
        <v>245</v>
      </c>
      <c r="D533" s="5">
        <v>1.0</v>
      </c>
      <c r="E533" s="7" t="s">
        <v>473</v>
      </c>
      <c r="F533" s="5" t="s">
        <v>474</v>
      </c>
      <c r="G533" s="14" t="s">
        <v>443</v>
      </c>
      <c r="H533" s="44" t="s">
        <v>420</v>
      </c>
      <c r="I533" s="31" t="s">
        <v>19</v>
      </c>
      <c r="J533" s="32">
        <v>7975000.0</v>
      </c>
    </row>
    <row r="534">
      <c r="A534" s="43" t="s">
        <v>74</v>
      </c>
      <c r="B534" s="6" t="s">
        <v>244</v>
      </c>
      <c r="C534" s="7" t="s">
        <v>245</v>
      </c>
      <c r="D534" s="5">
        <v>1.0</v>
      </c>
      <c r="E534" s="7" t="s">
        <v>473</v>
      </c>
      <c r="F534" s="5" t="s">
        <v>474</v>
      </c>
      <c r="G534" s="14" t="s">
        <v>444</v>
      </c>
      <c r="H534" s="44" t="s">
        <v>445</v>
      </c>
      <c r="I534" s="31" t="s">
        <v>19</v>
      </c>
      <c r="J534" s="32">
        <v>121447.0</v>
      </c>
    </row>
    <row r="535">
      <c r="A535" s="43" t="s">
        <v>74</v>
      </c>
      <c r="B535" s="6" t="s">
        <v>244</v>
      </c>
      <c r="C535" s="7" t="s">
        <v>245</v>
      </c>
      <c r="D535" s="5">
        <v>1.0</v>
      </c>
      <c r="E535" s="7" t="s">
        <v>473</v>
      </c>
      <c r="F535" s="5" t="s">
        <v>474</v>
      </c>
      <c r="G535" s="14" t="s">
        <v>523</v>
      </c>
      <c r="H535" s="44" t="s">
        <v>431</v>
      </c>
      <c r="I535" s="31" t="s">
        <v>17</v>
      </c>
      <c r="J535" s="32">
        <v>6.70643909E8</v>
      </c>
    </row>
    <row r="536">
      <c r="A536" s="43" t="s">
        <v>74</v>
      </c>
      <c r="B536" s="6" t="s">
        <v>244</v>
      </c>
      <c r="C536" s="7" t="s">
        <v>245</v>
      </c>
      <c r="D536" s="5">
        <v>1.0</v>
      </c>
      <c r="E536" s="7" t="s">
        <v>473</v>
      </c>
      <c r="F536" s="5" t="s">
        <v>474</v>
      </c>
      <c r="G536" s="14" t="s">
        <v>523</v>
      </c>
      <c r="H536" s="44" t="s">
        <v>431</v>
      </c>
      <c r="I536" s="31" t="s">
        <v>25</v>
      </c>
      <c r="J536" s="32">
        <v>-3.02145954E8</v>
      </c>
    </row>
    <row r="537">
      <c r="A537" s="43" t="s">
        <v>74</v>
      </c>
      <c r="B537" s="6" t="s">
        <v>244</v>
      </c>
      <c r="C537" s="7" t="s">
        <v>245</v>
      </c>
      <c r="D537" s="5">
        <v>1.0</v>
      </c>
      <c r="E537" s="7" t="s">
        <v>473</v>
      </c>
      <c r="F537" s="5" t="s">
        <v>474</v>
      </c>
      <c r="G537" s="14" t="s">
        <v>458</v>
      </c>
      <c r="H537" s="44" t="s">
        <v>411</v>
      </c>
      <c r="I537" s="31" t="s">
        <v>19</v>
      </c>
      <c r="J537" s="32">
        <v>7.046982E7</v>
      </c>
    </row>
    <row r="538">
      <c r="A538" s="43" t="s">
        <v>74</v>
      </c>
      <c r="B538" s="6" t="s">
        <v>244</v>
      </c>
      <c r="C538" s="7" t="s">
        <v>245</v>
      </c>
      <c r="D538" s="5">
        <v>1.0</v>
      </c>
      <c r="E538" s="7" t="s">
        <v>491</v>
      </c>
      <c r="F538" s="5" t="s">
        <v>492</v>
      </c>
      <c r="G538" s="14" t="s">
        <v>493</v>
      </c>
      <c r="H538" s="44" t="s">
        <v>437</v>
      </c>
      <c r="I538" s="31" t="s">
        <v>37</v>
      </c>
      <c r="J538" s="32">
        <v>6.83132E7</v>
      </c>
    </row>
    <row r="539">
      <c r="A539" s="43" t="s">
        <v>74</v>
      </c>
      <c r="B539" s="6" t="s">
        <v>244</v>
      </c>
      <c r="C539" s="7" t="s">
        <v>245</v>
      </c>
      <c r="D539" s="5">
        <v>1.0</v>
      </c>
      <c r="E539" s="7" t="s">
        <v>491</v>
      </c>
      <c r="F539" s="5" t="s">
        <v>492</v>
      </c>
      <c r="G539" s="14" t="s">
        <v>493</v>
      </c>
      <c r="H539" s="44" t="s">
        <v>437</v>
      </c>
      <c r="I539" s="31" t="s">
        <v>25</v>
      </c>
      <c r="J539" s="32">
        <v>5768224.0</v>
      </c>
    </row>
    <row r="540">
      <c r="A540" s="43" t="s">
        <v>74</v>
      </c>
      <c r="B540" s="6" t="s">
        <v>244</v>
      </c>
      <c r="C540" s="7" t="s">
        <v>245</v>
      </c>
      <c r="D540" s="5">
        <v>1.0</v>
      </c>
      <c r="E540" s="7" t="s">
        <v>491</v>
      </c>
      <c r="F540" s="5" t="s">
        <v>492</v>
      </c>
      <c r="G540" s="14" t="s">
        <v>467</v>
      </c>
      <c r="H540" s="44" t="s">
        <v>468</v>
      </c>
      <c r="I540" s="31" t="s">
        <v>37</v>
      </c>
      <c r="J540" s="32">
        <v>0.0</v>
      </c>
    </row>
    <row r="541">
      <c r="A541" s="43" t="s">
        <v>74</v>
      </c>
      <c r="B541" s="6" t="s">
        <v>244</v>
      </c>
      <c r="C541" s="7" t="s">
        <v>245</v>
      </c>
      <c r="D541" s="5">
        <v>1.0</v>
      </c>
      <c r="E541" s="7" t="s">
        <v>491</v>
      </c>
      <c r="F541" s="5" t="s">
        <v>492</v>
      </c>
      <c r="G541" s="14" t="s">
        <v>569</v>
      </c>
      <c r="H541" s="44" t="s">
        <v>570</v>
      </c>
      <c r="I541" s="31" t="s">
        <v>25</v>
      </c>
      <c r="J541" s="32">
        <v>900000.0</v>
      </c>
    </row>
    <row r="542">
      <c r="A542" s="43" t="s">
        <v>74</v>
      </c>
      <c r="B542" s="6" t="s">
        <v>244</v>
      </c>
      <c r="C542" s="7" t="s">
        <v>245</v>
      </c>
      <c r="D542" s="5">
        <v>1.0</v>
      </c>
      <c r="E542" s="7" t="s">
        <v>491</v>
      </c>
      <c r="F542" s="5" t="s">
        <v>492</v>
      </c>
      <c r="G542" s="14" t="s">
        <v>458</v>
      </c>
      <c r="H542" s="44" t="s">
        <v>411</v>
      </c>
      <c r="I542" s="31" t="s">
        <v>19</v>
      </c>
      <c r="J542" s="32">
        <v>1.2433361E7</v>
      </c>
    </row>
    <row r="543">
      <c r="A543" s="43" t="s">
        <v>74</v>
      </c>
      <c r="B543" s="6" t="s">
        <v>244</v>
      </c>
      <c r="C543" s="7" t="s">
        <v>245</v>
      </c>
      <c r="D543" s="5">
        <v>1.0</v>
      </c>
      <c r="E543" s="7" t="s">
        <v>491</v>
      </c>
      <c r="F543" s="5" t="s">
        <v>492</v>
      </c>
      <c r="G543" s="14" t="s">
        <v>532</v>
      </c>
      <c r="H543" s="44" t="s">
        <v>412</v>
      </c>
      <c r="I543" s="31" t="s">
        <v>19</v>
      </c>
      <c r="J543" s="32">
        <v>3485404.0</v>
      </c>
    </row>
    <row r="544">
      <c r="A544" s="43" t="s">
        <v>74</v>
      </c>
      <c r="B544" s="6" t="s">
        <v>244</v>
      </c>
      <c r="C544" s="7" t="s">
        <v>245</v>
      </c>
      <c r="D544" s="5">
        <v>1.0</v>
      </c>
      <c r="E544" s="7" t="s">
        <v>494</v>
      </c>
      <c r="F544" s="5" t="s">
        <v>495</v>
      </c>
      <c r="G544" s="14" t="s">
        <v>496</v>
      </c>
      <c r="H544" s="44" t="s">
        <v>497</v>
      </c>
      <c r="I544" s="31" t="s">
        <v>37</v>
      </c>
      <c r="J544" s="32">
        <v>2.3475702E7</v>
      </c>
    </row>
    <row r="545">
      <c r="A545" s="43" t="s">
        <v>74</v>
      </c>
      <c r="B545" s="6" t="s">
        <v>244</v>
      </c>
      <c r="C545" s="7" t="s">
        <v>245</v>
      </c>
      <c r="D545" s="5">
        <v>1.0</v>
      </c>
      <c r="E545" s="7" t="s">
        <v>494</v>
      </c>
      <c r="F545" s="5" t="s">
        <v>495</v>
      </c>
      <c r="G545" s="14" t="s">
        <v>467</v>
      </c>
      <c r="H545" s="44" t="s">
        <v>468</v>
      </c>
      <c r="I545" s="31" t="s">
        <v>37</v>
      </c>
      <c r="J545" s="32">
        <v>0.0</v>
      </c>
    </row>
    <row r="546">
      <c r="A546" s="43" t="s">
        <v>74</v>
      </c>
      <c r="B546" s="6" t="s">
        <v>244</v>
      </c>
      <c r="C546" s="7" t="s">
        <v>245</v>
      </c>
      <c r="D546" s="5">
        <v>1.0</v>
      </c>
      <c r="E546" s="7" t="s">
        <v>494</v>
      </c>
      <c r="F546" s="5" t="s">
        <v>495</v>
      </c>
      <c r="G546" s="14" t="s">
        <v>458</v>
      </c>
      <c r="H546" s="44" t="s">
        <v>411</v>
      </c>
      <c r="I546" s="31" t="s">
        <v>19</v>
      </c>
      <c r="J546" s="32">
        <v>2.9008509E7</v>
      </c>
    </row>
    <row r="547">
      <c r="A547" s="43" t="s">
        <v>74</v>
      </c>
      <c r="B547" s="6" t="s">
        <v>244</v>
      </c>
      <c r="C547" s="7" t="s">
        <v>245</v>
      </c>
      <c r="D547" s="5">
        <v>1.0</v>
      </c>
      <c r="E547" s="7" t="s">
        <v>494</v>
      </c>
      <c r="F547" s="5" t="s">
        <v>495</v>
      </c>
      <c r="G547" s="14" t="s">
        <v>532</v>
      </c>
      <c r="H547" s="44" t="s">
        <v>412</v>
      </c>
      <c r="I547" s="31" t="s">
        <v>19</v>
      </c>
      <c r="J547" s="32">
        <v>1547805.0</v>
      </c>
    </row>
    <row r="548">
      <c r="A548" s="43" t="s">
        <v>74</v>
      </c>
      <c r="B548" s="6" t="s">
        <v>244</v>
      </c>
      <c r="C548" s="7" t="s">
        <v>245</v>
      </c>
      <c r="D548" s="5">
        <v>1.0</v>
      </c>
      <c r="E548" s="7" t="s">
        <v>475</v>
      </c>
      <c r="F548" s="5" t="s">
        <v>476</v>
      </c>
      <c r="G548" s="14" t="s">
        <v>477</v>
      </c>
      <c r="H548" s="44" t="s">
        <v>429</v>
      </c>
      <c r="I548" s="31" t="s">
        <v>50</v>
      </c>
      <c r="J548" s="32">
        <v>2.7537957E7</v>
      </c>
    </row>
    <row r="549">
      <c r="A549" s="43" t="s">
        <v>74</v>
      </c>
      <c r="B549" s="6" t="s">
        <v>244</v>
      </c>
      <c r="C549" s="7" t="s">
        <v>245</v>
      </c>
      <c r="D549" s="5">
        <v>1.0</v>
      </c>
      <c r="E549" s="7" t="s">
        <v>524</v>
      </c>
      <c r="F549" s="5" t="s">
        <v>479</v>
      </c>
      <c r="G549" s="14" t="s">
        <v>443</v>
      </c>
      <c r="H549" s="44" t="s">
        <v>420</v>
      </c>
      <c r="I549" s="31" t="s">
        <v>19</v>
      </c>
      <c r="J549" s="32">
        <v>1.08235384E8</v>
      </c>
    </row>
    <row r="550">
      <c r="A550" s="43" t="s">
        <v>74</v>
      </c>
      <c r="B550" s="6" t="s">
        <v>244</v>
      </c>
      <c r="C550" s="7" t="s">
        <v>245</v>
      </c>
      <c r="D550" s="5">
        <v>1.0</v>
      </c>
      <c r="E550" s="7" t="s">
        <v>524</v>
      </c>
      <c r="F550" s="5" t="s">
        <v>479</v>
      </c>
      <c r="G550" s="14" t="s">
        <v>444</v>
      </c>
      <c r="H550" s="44" t="s">
        <v>445</v>
      </c>
      <c r="I550" s="31" t="s">
        <v>19</v>
      </c>
      <c r="J550" s="32">
        <v>4779366.0</v>
      </c>
    </row>
    <row r="551">
      <c r="A551" s="43" t="s">
        <v>74</v>
      </c>
      <c r="B551" s="6" t="s">
        <v>244</v>
      </c>
      <c r="C551" s="7" t="s">
        <v>245</v>
      </c>
      <c r="D551" s="5">
        <v>1.0</v>
      </c>
      <c r="E551" s="7" t="s">
        <v>524</v>
      </c>
      <c r="F551" s="5" t="s">
        <v>479</v>
      </c>
      <c r="G551" s="14" t="s">
        <v>446</v>
      </c>
      <c r="H551" s="44" t="s">
        <v>447</v>
      </c>
      <c r="I551" s="31" t="s">
        <v>19</v>
      </c>
      <c r="J551" s="32">
        <v>1167170.0</v>
      </c>
    </row>
    <row r="552">
      <c r="A552" s="43" t="s">
        <v>74</v>
      </c>
      <c r="B552" s="6" t="s">
        <v>244</v>
      </c>
      <c r="C552" s="7" t="s">
        <v>245</v>
      </c>
      <c r="D552" s="5">
        <v>1.0</v>
      </c>
      <c r="E552" s="7" t="s">
        <v>524</v>
      </c>
      <c r="F552" s="5" t="s">
        <v>479</v>
      </c>
      <c r="G552" s="14" t="s">
        <v>448</v>
      </c>
      <c r="H552" s="44" t="s">
        <v>449</v>
      </c>
      <c r="I552" s="31" t="s">
        <v>19</v>
      </c>
      <c r="J552" s="32">
        <v>2917922.0</v>
      </c>
    </row>
    <row r="553">
      <c r="A553" s="43" t="s">
        <v>74</v>
      </c>
      <c r="B553" s="6" t="s">
        <v>244</v>
      </c>
      <c r="C553" s="7" t="s">
        <v>245</v>
      </c>
      <c r="D553" s="5">
        <v>1.0</v>
      </c>
      <c r="E553" s="7" t="s">
        <v>524</v>
      </c>
      <c r="F553" s="5" t="s">
        <v>479</v>
      </c>
      <c r="G553" s="14" t="s">
        <v>450</v>
      </c>
      <c r="H553" s="44" t="s">
        <v>451</v>
      </c>
      <c r="I553" s="31" t="s">
        <v>19</v>
      </c>
      <c r="J553" s="32">
        <v>0.0</v>
      </c>
    </row>
    <row r="554">
      <c r="A554" s="43" t="s">
        <v>74</v>
      </c>
      <c r="B554" s="6" t="s">
        <v>244</v>
      </c>
      <c r="C554" s="7" t="s">
        <v>245</v>
      </c>
      <c r="D554" s="5">
        <v>1.0</v>
      </c>
      <c r="E554" s="7" t="s">
        <v>524</v>
      </c>
      <c r="F554" s="5" t="s">
        <v>479</v>
      </c>
      <c r="G554" s="14" t="s">
        <v>452</v>
      </c>
      <c r="H554" s="44" t="s">
        <v>453</v>
      </c>
      <c r="I554" s="31" t="s">
        <v>19</v>
      </c>
      <c r="J554" s="32">
        <v>2159263.0</v>
      </c>
    </row>
    <row r="555">
      <c r="A555" s="43" t="s">
        <v>74</v>
      </c>
      <c r="B555" s="6" t="s">
        <v>244</v>
      </c>
      <c r="C555" s="7" t="s">
        <v>245</v>
      </c>
      <c r="D555" s="5">
        <v>1.0</v>
      </c>
      <c r="E555" s="7" t="s">
        <v>524</v>
      </c>
      <c r="F555" s="5" t="s">
        <v>479</v>
      </c>
      <c r="G555" s="14" t="s">
        <v>454</v>
      </c>
      <c r="H555" s="44" t="s">
        <v>415</v>
      </c>
      <c r="I555" s="31" t="s">
        <v>19</v>
      </c>
      <c r="J555" s="32">
        <v>315137.0</v>
      </c>
    </row>
    <row r="556">
      <c r="A556" s="43" t="s">
        <v>74</v>
      </c>
      <c r="B556" s="6" t="s">
        <v>244</v>
      </c>
      <c r="C556" s="7" t="s">
        <v>245</v>
      </c>
      <c r="D556" s="5">
        <v>1.0</v>
      </c>
      <c r="E556" s="7" t="s">
        <v>524</v>
      </c>
      <c r="F556" s="5" t="s">
        <v>479</v>
      </c>
      <c r="G556" s="14" t="s">
        <v>455</v>
      </c>
      <c r="H556" s="44" t="s">
        <v>415</v>
      </c>
      <c r="I556" s="31" t="s">
        <v>19</v>
      </c>
      <c r="J556" s="32">
        <v>175075.0</v>
      </c>
    </row>
    <row r="557">
      <c r="A557" s="43" t="s">
        <v>74</v>
      </c>
      <c r="B557" s="6" t="s">
        <v>244</v>
      </c>
      <c r="C557" s="7" t="s">
        <v>245</v>
      </c>
      <c r="D557" s="5">
        <v>1.0</v>
      </c>
      <c r="E557" s="7" t="s">
        <v>525</v>
      </c>
      <c r="F557" s="5" t="s">
        <v>502</v>
      </c>
      <c r="G557" s="14" t="s">
        <v>526</v>
      </c>
      <c r="H557" s="44" t="s">
        <v>527</v>
      </c>
      <c r="I557" s="31" t="s">
        <v>60</v>
      </c>
      <c r="J557" s="32">
        <v>3.34518213E8</v>
      </c>
    </row>
    <row r="558">
      <c r="A558" s="43" t="s">
        <v>74</v>
      </c>
      <c r="B558" s="6" t="s">
        <v>244</v>
      </c>
      <c r="C558" s="7" t="s">
        <v>245</v>
      </c>
      <c r="D558" s="5">
        <v>1.0</v>
      </c>
      <c r="E558" s="7" t="s">
        <v>525</v>
      </c>
      <c r="F558" s="5" t="s">
        <v>502</v>
      </c>
      <c r="G558" s="14" t="s">
        <v>539</v>
      </c>
      <c r="H558" s="44" t="s">
        <v>540</v>
      </c>
      <c r="I558" s="31" t="s">
        <v>60</v>
      </c>
      <c r="J558" s="32">
        <v>8794869.0</v>
      </c>
    </row>
    <row r="559">
      <c r="A559" s="43" t="s">
        <v>74</v>
      </c>
      <c r="B559" s="6" t="s">
        <v>244</v>
      </c>
      <c r="C559" s="7" t="s">
        <v>245</v>
      </c>
      <c r="D559" s="5">
        <v>1.0</v>
      </c>
      <c r="E559" s="7" t="s">
        <v>525</v>
      </c>
      <c r="F559" s="5" t="s">
        <v>502</v>
      </c>
      <c r="G559" s="14" t="s">
        <v>505</v>
      </c>
      <c r="H559" s="44" t="s">
        <v>506</v>
      </c>
      <c r="I559" s="31" t="s">
        <v>60</v>
      </c>
      <c r="J559" s="32">
        <v>4255769.0</v>
      </c>
    </row>
    <row r="560">
      <c r="A560" s="43" t="s">
        <v>74</v>
      </c>
      <c r="B560" s="6" t="s">
        <v>244</v>
      </c>
      <c r="C560" s="7" t="s">
        <v>245</v>
      </c>
      <c r="D560" s="5">
        <v>1.0</v>
      </c>
      <c r="E560" s="7" t="s">
        <v>525</v>
      </c>
      <c r="F560" s="5" t="s">
        <v>502</v>
      </c>
      <c r="G560" s="14" t="s">
        <v>507</v>
      </c>
      <c r="H560" s="44" t="s">
        <v>508</v>
      </c>
      <c r="I560" s="31" t="s">
        <v>60</v>
      </c>
      <c r="J560" s="32">
        <v>7177726.0</v>
      </c>
    </row>
    <row r="561">
      <c r="A561" s="43" t="s">
        <v>74</v>
      </c>
      <c r="B561" s="6" t="s">
        <v>244</v>
      </c>
      <c r="C561" s="7" t="s">
        <v>245</v>
      </c>
      <c r="D561" s="5">
        <v>1.0</v>
      </c>
      <c r="E561" s="7" t="s">
        <v>525</v>
      </c>
      <c r="F561" s="5" t="s">
        <v>502</v>
      </c>
      <c r="G561" s="14" t="s">
        <v>509</v>
      </c>
      <c r="H561" s="44" t="s">
        <v>510</v>
      </c>
      <c r="I561" s="31" t="s">
        <v>60</v>
      </c>
      <c r="J561" s="32">
        <v>133333.0</v>
      </c>
    </row>
    <row r="562">
      <c r="A562" s="43" t="s">
        <v>74</v>
      </c>
      <c r="B562" s="6" t="s">
        <v>244</v>
      </c>
      <c r="C562" s="7" t="s">
        <v>245</v>
      </c>
      <c r="D562" s="5">
        <v>1.0</v>
      </c>
      <c r="E562" s="7" t="s">
        <v>525</v>
      </c>
      <c r="F562" s="5" t="s">
        <v>502</v>
      </c>
      <c r="G562" s="14" t="s">
        <v>511</v>
      </c>
      <c r="H562" s="44" t="s">
        <v>512</v>
      </c>
      <c r="I562" s="31" t="s">
        <v>60</v>
      </c>
      <c r="J562" s="32">
        <v>4.1960038E7</v>
      </c>
    </row>
    <row r="563">
      <c r="A563" s="43" t="s">
        <v>74</v>
      </c>
      <c r="B563" s="6" t="s">
        <v>244</v>
      </c>
      <c r="C563" s="7" t="s">
        <v>245</v>
      </c>
      <c r="D563" s="5">
        <v>1.0</v>
      </c>
      <c r="E563" s="7" t="s">
        <v>525</v>
      </c>
      <c r="F563" s="5" t="s">
        <v>502</v>
      </c>
      <c r="G563" s="14" t="s">
        <v>513</v>
      </c>
      <c r="H563" s="44" t="s">
        <v>514</v>
      </c>
      <c r="I563" s="31" t="s">
        <v>60</v>
      </c>
      <c r="J563" s="32">
        <v>4.9513826E7</v>
      </c>
    </row>
    <row r="564">
      <c r="A564" s="43" t="s">
        <v>74</v>
      </c>
      <c r="B564" s="6" t="s">
        <v>254</v>
      </c>
      <c r="C564" s="7" t="s">
        <v>255</v>
      </c>
      <c r="D564" s="5">
        <v>1.0</v>
      </c>
      <c r="E564" s="7" t="s">
        <v>441</v>
      </c>
      <c r="F564" s="5" t="s">
        <v>442</v>
      </c>
      <c r="G564" s="14" t="s">
        <v>443</v>
      </c>
      <c r="H564" s="44" t="s">
        <v>420</v>
      </c>
      <c r="I564" s="31" t="s">
        <v>19</v>
      </c>
      <c r="J564" s="32">
        <v>3.6811949E7</v>
      </c>
    </row>
    <row r="565">
      <c r="A565" s="43" t="s">
        <v>74</v>
      </c>
      <c r="B565" s="6" t="s">
        <v>254</v>
      </c>
      <c r="C565" s="7" t="s">
        <v>255</v>
      </c>
      <c r="D565" s="5">
        <v>1.0</v>
      </c>
      <c r="E565" s="7" t="s">
        <v>441</v>
      </c>
      <c r="F565" s="5" t="s">
        <v>442</v>
      </c>
      <c r="G565" s="14" t="s">
        <v>444</v>
      </c>
      <c r="H565" s="44" t="s">
        <v>445</v>
      </c>
      <c r="I565" s="31" t="s">
        <v>19</v>
      </c>
      <c r="J565" s="32">
        <v>3552132.0</v>
      </c>
    </row>
    <row r="566">
      <c r="A566" s="43" t="s">
        <v>74</v>
      </c>
      <c r="B566" s="6" t="s">
        <v>254</v>
      </c>
      <c r="C566" s="7" t="s">
        <v>255</v>
      </c>
      <c r="D566" s="5">
        <v>1.0</v>
      </c>
      <c r="E566" s="7" t="s">
        <v>441</v>
      </c>
      <c r="F566" s="5" t="s">
        <v>442</v>
      </c>
      <c r="G566" s="14" t="s">
        <v>446</v>
      </c>
      <c r="H566" s="44" t="s">
        <v>447</v>
      </c>
      <c r="I566" s="31" t="s">
        <v>19</v>
      </c>
      <c r="J566" s="32">
        <v>362712.0</v>
      </c>
    </row>
    <row r="567">
      <c r="A567" s="43" t="s">
        <v>74</v>
      </c>
      <c r="B567" s="6" t="s">
        <v>254</v>
      </c>
      <c r="C567" s="7" t="s">
        <v>255</v>
      </c>
      <c r="D567" s="5">
        <v>1.0</v>
      </c>
      <c r="E567" s="7" t="s">
        <v>441</v>
      </c>
      <c r="F567" s="5" t="s">
        <v>442</v>
      </c>
      <c r="G567" s="14" t="s">
        <v>448</v>
      </c>
      <c r="H567" s="44" t="s">
        <v>449</v>
      </c>
      <c r="I567" s="31" t="s">
        <v>19</v>
      </c>
      <c r="J567" s="32">
        <v>906780.0</v>
      </c>
    </row>
    <row r="568">
      <c r="A568" s="43" t="s">
        <v>74</v>
      </c>
      <c r="B568" s="6" t="s">
        <v>254</v>
      </c>
      <c r="C568" s="7" t="s">
        <v>255</v>
      </c>
      <c r="D568" s="5">
        <v>1.0</v>
      </c>
      <c r="E568" s="7" t="s">
        <v>441</v>
      </c>
      <c r="F568" s="5" t="s">
        <v>442</v>
      </c>
      <c r="G568" s="14" t="s">
        <v>450</v>
      </c>
      <c r="H568" s="44" t="s">
        <v>451</v>
      </c>
      <c r="I568" s="31" t="s">
        <v>19</v>
      </c>
      <c r="J568" s="32">
        <v>0.0</v>
      </c>
    </row>
    <row r="569">
      <c r="A569" s="43" t="s">
        <v>74</v>
      </c>
      <c r="B569" s="6" t="s">
        <v>254</v>
      </c>
      <c r="C569" s="7" t="s">
        <v>255</v>
      </c>
      <c r="D569" s="5">
        <v>1.0</v>
      </c>
      <c r="E569" s="7" t="s">
        <v>441</v>
      </c>
      <c r="F569" s="5" t="s">
        <v>442</v>
      </c>
      <c r="G569" s="14" t="s">
        <v>452</v>
      </c>
      <c r="H569" s="44" t="s">
        <v>453</v>
      </c>
      <c r="I569" s="31" t="s">
        <v>19</v>
      </c>
      <c r="J569" s="32">
        <v>671017.0</v>
      </c>
    </row>
    <row r="570">
      <c r="A570" s="43" t="s">
        <v>74</v>
      </c>
      <c r="B570" s="6" t="s">
        <v>254</v>
      </c>
      <c r="C570" s="7" t="s">
        <v>255</v>
      </c>
      <c r="D570" s="5">
        <v>1.0</v>
      </c>
      <c r="E570" s="7" t="s">
        <v>441</v>
      </c>
      <c r="F570" s="5" t="s">
        <v>442</v>
      </c>
      <c r="G570" s="14" t="s">
        <v>454</v>
      </c>
      <c r="H570" s="44" t="s">
        <v>415</v>
      </c>
      <c r="I570" s="31" t="s">
        <v>19</v>
      </c>
      <c r="J570" s="32">
        <v>97932.0</v>
      </c>
    </row>
    <row r="571">
      <c r="A571" s="43" t="s">
        <v>74</v>
      </c>
      <c r="B571" s="6" t="s">
        <v>254</v>
      </c>
      <c r="C571" s="7" t="s">
        <v>255</v>
      </c>
      <c r="D571" s="5">
        <v>1.0</v>
      </c>
      <c r="E571" s="7" t="s">
        <v>441</v>
      </c>
      <c r="F571" s="5" t="s">
        <v>442</v>
      </c>
      <c r="G571" s="14" t="s">
        <v>455</v>
      </c>
      <c r="H571" s="44" t="s">
        <v>415</v>
      </c>
      <c r="I571" s="31" t="s">
        <v>19</v>
      </c>
      <c r="J571" s="32">
        <v>54407.0</v>
      </c>
    </row>
    <row r="572">
      <c r="A572" s="43" t="s">
        <v>74</v>
      </c>
      <c r="B572" s="6" t="s">
        <v>254</v>
      </c>
      <c r="C572" s="7" t="s">
        <v>255</v>
      </c>
      <c r="D572" s="5">
        <v>1.0</v>
      </c>
      <c r="E572" s="7" t="s">
        <v>456</v>
      </c>
      <c r="F572" s="5" t="s">
        <v>457</v>
      </c>
      <c r="G572" s="14" t="s">
        <v>458</v>
      </c>
      <c r="H572" s="44" t="s">
        <v>411</v>
      </c>
      <c r="I572" s="31" t="s">
        <v>19</v>
      </c>
      <c r="J572" s="32">
        <v>1.90688404E8</v>
      </c>
    </row>
    <row r="573">
      <c r="A573" s="43" t="s">
        <v>74</v>
      </c>
      <c r="B573" s="6" t="s">
        <v>254</v>
      </c>
      <c r="C573" s="7" t="s">
        <v>255</v>
      </c>
      <c r="D573" s="5">
        <v>1.0</v>
      </c>
      <c r="E573" s="7" t="s">
        <v>459</v>
      </c>
      <c r="F573" s="5" t="s">
        <v>460</v>
      </c>
      <c r="G573" s="14" t="s">
        <v>458</v>
      </c>
      <c r="H573" s="44" t="s">
        <v>411</v>
      </c>
      <c r="I573" s="31" t="s">
        <v>19</v>
      </c>
      <c r="J573" s="32">
        <v>6104954.0</v>
      </c>
    </row>
    <row r="574">
      <c r="A574" s="43" t="s">
        <v>74</v>
      </c>
      <c r="B574" s="6" t="s">
        <v>254</v>
      </c>
      <c r="C574" s="7" t="s">
        <v>255</v>
      </c>
      <c r="D574" s="5">
        <v>1.0</v>
      </c>
      <c r="E574" s="7" t="s">
        <v>463</v>
      </c>
      <c r="F574" s="5" t="s">
        <v>464</v>
      </c>
      <c r="G574" s="14" t="s">
        <v>543</v>
      </c>
      <c r="H574" s="44" t="s">
        <v>430</v>
      </c>
      <c r="I574" s="31" t="s">
        <v>37</v>
      </c>
      <c r="J574" s="32">
        <v>3816000.0</v>
      </c>
    </row>
    <row r="575">
      <c r="A575" s="43" t="s">
        <v>74</v>
      </c>
      <c r="B575" s="6" t="s">
        <v>254</v>
      </c>
      <c r="C575" s="7" t="s">
        <v>255</v>
      </c>
      <c r="D575" s="5">
        <v>1.0</v>
      </c>
      <c r="E575" s="7" t="s">
        <v>487</v>
      </c>
      <c r="F575" s="5" t="s">
        <v>488</v>
      </c>
      <c r="G575" s="14" t="s">
        <v>458</v>
      </c>
      <c r="H575" s="44" t="s">
        <v>411</v>
      </c>
      <c r="I575" s="31" t="s">
        <v>19</v>
      </c>
      <c r="J575" s="32">
        <v>2.3395452E7</v>
      </c>
    </row>
    <row r="576">
      <c r="A576" s="43" t="s">
        <v>74</v>
      </c>
      <c r="B576" s="6" t="s">
        <v>254</v>
      </c>
      <c r="C576" s="7" t="s">
        <v>255</v>
      </c>
      <c r="D576" s="5">
        <v>1.0</v>
      </c>
      <c r="E576" s="7" t="s">
        <v>469</v>
      </c>
      <c r="F576" s="5" t="s">
        <v>470</v>
      </c>
      <c r="G576" s="14" t="s">
        <v>471</v>
      </c>
      <c r="H576" s="44" t="s">
        <v>472</v>
      </c>
      <c r="I576" s="31" t="s">
        <v>25</v>
      </c>
      <c r="J576" s="32">
        <v>2448175.0</v>
      </c>
    </row>
    <row r="577">
      <c r="A577" s="43" t="s">
        <v>74</v>
      </c>
      <c r="B577" s="6" t="s">
        <v>254</v>
      </c>
      <c r="C577" s="7" t="s">
        <v>255</v>
      </c>
      <c r="D577" s="5">
        <v>1.0</v>
      </c>
      <c r="E577" s="7" t="s">
        <v>473</v>
      </c>
      <c r="F577" s="5" t="s">
        <v>474</v>
      </c>
      <c r="G577" s="14" t="s">
        <v>523</v>
      </c>
      <c r="H577" s="44" t="s">
        <v>431</v>
      </c>
      <c r="I577" s="31" t="s">
        <v>17</v>
      </c>
      <c r="J577" s="32">
        <v>5.5671685E8</v>
      </c>
    </row>
    <row r="578">
      <c r="A578" s="43" t="s">
        <v>74</v>
      </c>
      <c r="B578" s="6" t="s">
        <v>254</v>
      </c>
      <c r="C578" s="7" t="s">
        <v>255</v>
      </c>
      <c r="D578" s="5">
        <v>1.0</v>
      </c>
      <c r="E578" s="7" t="s">
        <v>473</v>
      </c>
      <c r="F578" s="5" t="s">
        <v>474</v>
      </c>
      <c r="G578" s="14" t="s">
        <v>523</v>
      </c>
      <c r="H578" s="44" t="s">
        <v>431</v>
      </c>
      <c r="I578" s="31" t="s">
        <v>25</v>
      </c>
      <c r="J578" s="32">
        <v>-2.05538332E8</v>
      </c>
    </row>
    <row r="579">
      <c r="A579" s="43" t="s">
        <v>74</v>
      </c>
      <c r="B579" s="6" t="s">
        <v>254</v>
      </c>
      <c r="C579" s="7" t="s">
        <v>255</v>
      </c>
      <c r="D579" s="5">
        <v>1.0</v>
      </c>
      <c r="E579" s="7" t="s">
        <v>473</v>
      </c>
      <c r="F579" s="5" t="s">
        <v>474</v>
      </c>
      <c r="G579" s="14" t="s">
        <v>458</v>
      </c>
      <c r="H579" s="44" t="s">
        <v>411</v>
      </c>
      <c r="I579" s="31" t="s">
        <v>19</v>
      </c>
      <c r="J579" s="32">
        <v>5.4465731E7</v>
      </c>
    </row>
    <row r="580">
      <c r="A580" s="43" t="s">
        <v>74</v>
      </c>
      <c r="B580" s="6" t="s">
        <v>254</v>
      </c>
      <c r="C580" s="7" t="s">
        <v>255</v>
      </c>
      <c r="D580" s="5">
        <v>1.0</v>
      </c>
      <c r="E580" s="7" t="s">
        <v>491</v>
      </c>
      <c r="F580" s="5" t="s">
        <v>492</v>
      </c>
      <c r="G580" s="14" t="s">
        <v>545</v>
      </c>
      <c r="H580" s="44" t="s">
        <v>427</v>
      </c>
      <c r="I580" s="31" t="s">
        <v>37</v>
      </c>
      <c r="J580" s="32">
        <v>8865459.0</v>
      </c>
    </row>
    <row r="581">
      <c r="A581" s="43" t="s">
        <v>74</v>
      </c>
      <c r="B581" s="6" t="s">
        <v>254</v>
      </c>
      <c r="C581" s="7" t="s">
        <v>255</v>
      </c>
      <c r="D581" s="5">
        <v>1.0</v>
      </c>
      <c r="E581" s="7" t="s">
        <v>491</v>
      </c>
      <c r="F581" s="5" t="s">
        <v>492</v>
      </c>
      <c r="G581" s="14" t="s">
        <v>493</v>
      </c>
      <c r="H581" s="44" t="s">
        <v>437</v>
      </c>
      <c r="I581" s="31" t="s">
        <v>25</v>
      </c>
      <c r="J581" s="32">
        <v>4137307.0</v>
      </c>
    </row>
    <row r="582">
      <c r="A582" s="43" t="s">
        <v>74</v>
      </c>
      <c r="B582" s="6" t="s">
        <v>254</v>
      </c>
      <c r="C582" s="7" t="s">
        <v>255</v>
      </c>
      <c r="D582" s="5">
        <v>1.0</v>
      </c>
      <c r="E582" s="7" t="s">
        <v>491</v>
      </c>
      <c r="F582" s="5" t="s">
        <v>492</v>
      </c>
      <c r="G582" s="14" t="s">
        <v>458</v>
      </c>
      <c r="H582" s="44" t="s">
        <v>411</v>
      </c>
      <c r="I582" s="31" t="s">
        <v>19</v>
      </c>
      <c r="J582" s="32">
        <v>1.0408671E7</v>
      </c>
    </row>
    <row r="583">
      <c r="A583" s="43" t="s">
        <v>74</v>
      </c>
      <c r="B583" s="6" t="s">
        <v>254</v>
      </c>
      <c r="C583" s="7" t="s">
        <v>255</v>
      </c>
      <c r="D583" s="5">
        <v>1.0</v>
      </c>
      <c r="E583" s="7" t="s">
        <v>494</v>
      </c>
      <c r="F583" s="5" t="s">
        <v>495</v>
      </c>
      <c r="G583" s="14" t="s">
        <v>545</v>
      </c>
      <c r="H583" s="44" t="s">
        <v>427</v>
      </c>
      <c r="I583" s="31" t="s">
        <v>37</v>
      </c>
      <c r="J583" s="32">
        <v>7654918.0</v>
      </c>
    </row>
    <row r="584">
      <c r="A584" s="43" t="s">
        <v>74</v>
      </c>
      <c r="B584" s="6" t="s">
        <v>254</v>
      </c>
      <c r="C584" s="7" t="s">
        <v>255</v>
      </c>
      <c r="D584" s="5">
        <v>1.0</v>
      </c>
      <c r="E584" s="7" t="s">
        <v>494</v>
      </c>
      <c r="F584" s="5" t="s">
        <v>495</v>
      </c>
      <c r="G584" s="14" t="s">
        <v>496</v>
      </c>
      <c r="H584" s="44" t="s">
        <v>497</v>
      </c>
      <c r="I584" s="31" t="s">
        <v>25</v>
      </c>
      <c r="J584" s="32">
        <v>7800000.0</v>
      </c>
    </row>
    <row r="585">
      <c r="A585" s="43" t="s">
        <v>74</v>
      </c>
      <c r="B585" s="6" t="s">
        <v>254</v>
      </c>
      <c r="C585" s="7" t="s">
        <v>255</v>
      </c>
      <c r="D585" s="5">
        <v>1.0</v>
      </c>
      <c r="E585" s="7" t="s">
        <v>494</v>
      </c>
      <c r="F585" s="5" t="s">
        <v>495</v>
      </c>
      <c r="G585" s="14" t="s">
        <v>458</v>
      </c>
      <c r="H585" s="44" t="s">
        <v>411</v>
      </c>
      <c r="I585" s="31" t="s">
        <v>19</v>
      </c>
      <c r="J585" s="32">
        <v>4489730.0</v>
      </c>
    </row>
    <row r="586">
      <c r="A586" s="43" t="s">
        <v>74</v>
      </c>
      <c r="B586" s="6" t="s">
        <v>254</v>
      </c>
      <c r="C586" s="7" t="s">
        <v>255</v>
      </c>
      <c r="D586" s="5">
        <v>1.0</v>
      </c>
      <c r="E586" s="7" t="s">
        <v>494</v>
      </c>
      <c r="F586" s="5" t="s">
        <v>495</v>
      </c>
      <c r="G586" s="14" t="s">
        <v>477</v>
      </c>
      <c r="H586" s="44" t="s">
        <v>429</v>
      </c>
      <c r="I586" s="31" t="s">
        <v>50</v>
      </c>
      <c r="J586" s="32">
        <v>3.2346174E7</v>
      </c>
    </row>
    <row r="587">
      <c r="A587" s="43" t="s">
        <v>74</v>
      </c>
      <c r="B587" s="6" t="s">
        <v>254</v>
      </c>
      <c r="C587" s="7" t="s">
        <v>255</v>
      </c>
      <c r="D587" s="5">
        <v>1.0</v>
      </c>
      <c r="E587" s="7" t="s">
        <v>475</v>
      </c>
      <c r="F587" s="5" t="s">
        <v>476</v>
      </c>
      <c r="G587" s="14" t="s">
        <v>477</v>
      </c>
      <c r="H587" s="44" t="s">
        <v>429</v>
      </c>
      <c r="I587" s="31" t="s">
        <v>50</v>
      </c>
      <c r="J587" s="32">
        <v>3.3070884E7</v>
      </c>
    </row>
    <row r="588">
      <c r="A588" s="43" t="s">
        <v>74</v>
      </c>
      <c r="B588" s="6" t="s">
        <v>254</v>
      </c>
      <c r="C588" s="7" t="s">
        <v>255</v>
      </c>
      <c r="D588" s="5">
        <v>1.0</v>
      </c>
      <c r="E588" s="7" t="s">
        <v>533</v>
      </c>
      <c r="F588" s="5" t="s">
        <v>534</v>
      </c>
      <c r="G588" s="14" t="s">
        <v>458</v>
      </c>
      <c r="H588" s="44" t="s">
        <v>411</v>
      </c>
      <c r="I588" s="31" t="s">
        <v>19</v>
      </c>
      <c r="J588" s="32">
        <v>2.4419816E7</v>
      </c>
    </row>
    <row r="589">
      <c r="A589" s="43" t="s">
        <v>74</v>
      </c>
      <c r="B589" s="6" t="s">
        <v>254</v>
      </c>
      <c r="C589" s="7" t="s">
        <v>255</v>
      </c>
      <c r="D589" s="5">
        <v>1.0</v>
      </c>
      <c r="E589" s="7" t="s">
        <v>524</v>
      </c>
      <c r="F589" s="5" t="s">
        <v>479</v>
      </c>
      <c r="G589" s="14" t="s">
        <v>443</v>
      </c>
      <c r="H589" s="44" t="s">
        <v>420</v>
      </c>
      <c r="I589" s="31" t="s">
        <v>19</v>
      </c>
      <c r="J589" s="32">
        <v>-1.0874096E8</v>
      </c>
    </row>
    <row r="590">
      <c r="A590" s="43" t="s">
        <v>74</v>
      </c>
      <c r="B590" s="6" t="s">
        <v>254</v>
      </c>
      <c r="C590" s="7" t="s">
        <v>255</v>
      </c>
      <c r="D590" s="5">
        <v>1.0</v>
      </c>
      <c r="E590" s="7" t="s">
        <v>524</v>
      </c>
      <c r="F590" s="5" t="s">
        <v>479</v>
      </c>
      <c r="G590" s="14" t="s">
        <v>444</v>
      </c>
      <c r="H590" s="44" t="s">
        <v>445</v>
      </c>
      <c r="I590" s="31" t="s">
        <v>19</v>
      </c>
      <c r="J590" s="32">
        <v>4421048.0</v>
      </c>
    </row>
    <row r="591">
      <c r="A591" s="43" t="s">
        <v>74</v>
      </c>
      <c r="B591" s="6" t="s">
        <v>254</v>
      </c>
      <c r="C591" s="7" t="s">
        <v>255</v>
      </c>
      <c r="D591" s="5">
        <v>1.0</v>
      </c>
      <c r="E591" s="7" t="s">
        <v>524</v>
      </c>
      <c r="F591" s="5" t="s">
        <v>479</v>
      </c>
      <c r="G591" s="14" t="s">
        <v>446</v>
      </c>
      <c r="H591" s="44" t="s">
        <v>447</v>
      </c>
      <c r="I591" s="31" t="s">
        <v>19</v>
      </c>
      <c r="J591" s="32">
        <v>845604.0</v>
      </c>
    </row>
    <row r="592">
      <c r="A592" s="43" t="s">
        <v>74</v>
      </c>
      <c r="B592" s="6" t="s">
        <v>254</v>
      </c>
      <c r="C592" s="7" t="s">
        <v>255</v>
      </c>
      <c r="D592" s="5">
        <v>1.0</v>
      </c>
      <c r="E592" s="7" t="s">
        <v>524</v>
      </c>
      <c r="F592" s="5" t="s">
        <v>479</v>
      </c>
      <c r="G592" s="14" t="s">
        <v>448</v>
      </c>
      <c r="H592" s="44" t="s">
        <v>449</v>
      </c>
      <c r="I592" s="31" t="s">
        <v>19</v>
      </c>
      <c r="J592" s="32">
        <v>2114007.0</v>
      </c>
    </row>
    <row r="593">
      <c r="A593" s="43" t="s">
        <v>74</v>
      </c>
      <c r="B593" s="6" t="s">
        <v>254</v>
      </c>
      <c r="C593" s="7" t="s">
        <v>255</v>
      </c>
      <c r="D593" s="5">
        <v>1.0</v>
      </c>
      <c r="E593" s="7" t="s">
        <v>524</v>
      </c>
      <c r="F593" s="5" t="s">
        <v>479</v>
      </c>
      <c r="G593" s="14" t="s">
        <v>450</v>
      </c>
      <c r="H593" s="44" t="s">
        <v>451</v>
      </c>
      <c r="I593" s="31" t="s">
        <v>19</v>
      </c>
      <c r="J593" s="32">
        <v>0.0</v>
      </c>
    </row>
    <row r="594">
      <c r="A594" s="43" t="s">
        <v>74</v>
      </c>
      <c r="B594" s="6" t="s">
        <v>254</v>
      </c>
      <c r="C594" s="7" t="s">
        <v>255</v>
      </c>
      <c r="D594" s="5">
        <v>1.0</v>
      </c>
      <c r="E594" s="7" t="s">
        <v>524</v>
      </c>
      <c r="F594" s="5" t="s">
        <v>479</v>
      </c>
      <c r="G594" s="14" t="s">
        <v>452</v>
      </c>
      <c r="H594" s="44" t="s">
        <v>453</v>
      </c>
      <c r="I594" s="31" t="s">
        <v>19</v>
      </c>
      <c r="J594" s="32">
        <v>1564365.0</v>
      </c>
    </row>
    <row r="595">
      <c r="A595" s="43" t="s">
        <v>74</v>
      </c>
      <c r="B595" s="6" t="s">
        <v>254</v>
      </c>
      <c r="C595" s="7" t="s">
        <v>255</v>
      </c>
      <c r="D595" s="5">
        <v>1.0</v>
      </c>
      <c r="E595" s="7" t="s">
        <v>524</v>
      </c>
      <c r="F595" s="5" t="s">
        <v>479</v>
      </c>
      <c r="G595" s="14" t="s">
        <v>454</v>
      </c>
      <c r="H595" s="44" t="s">
        <v>415</v>
      </c>
      <c r="I595" s="31" t="s">
        <v>19</v>
      </c>
      <c r="J595" s="32">
        <v>228313.0</v>
      </c>
    </row>
    <row r="596">
      <c r="A596" s="43" t="s">
        <v>74</v>
      </c>
      <c r="B596" s="6" t="s">
        <v>254</v>
      </c>
      <c r="C596" s="7" t="s">
        <v>255</v>
      </c>
      <c r="D596" s="5">
        <v>1.0</v>
      </c>
      <c r="E596" s="7" t="s">
        <v>524</v>
      </c>
      <c r="F596" s="5" t="s">
        <v>479</v>
      </c>
      <c r="G596" s="14" t="s">
        <v>455</v>
      </c>
      <c r="H596" s="44" t="s">
        <v>415</v>
      </c>
      <c r="I596" s="31" t="s">
        <v>19</v>
      </c>
      <c r="J596" s="32">
        <v>126840.0</v>
      </c>
    </row>
    <row r="597">
      <c r="A597" s="43" t="s">
        <v>74</v>
      </c>
      <c r="B597" s="6" t="s">
        <v>254</v>
      </c>
      <c r="C597" s="7" t="s">
        <v>255</v>
      </c>
      <c r="D597" s="5">
        <v>1.0</v>
      </c>
      <c r="E597" s="7" t="s">
        <v>524</v>
      </c>
      <c r="F597" s="5" t="s">
        <v>479</v>
      </c>
      <c r="G597" s="14" t="s">
        <v>565</v>
      </c>
      <c r="H597" s="44" t="s">
        <v>566</v>
      </c>
      <c r="I597" s="31" t="s">
        <v>25</v>
      </c>
      <c r="J597" s="32">
        <v>2351500.0</v>
      </c>
    </row>
    <row r="598">
      <c r="A598" s="43" t="s">
        <v>74</v>
      </c>
      <c r="B598" s="6" t="s">
        <v>254</v>
      </c>
      <c r="C598" s="7" t="s">
        <v>255</v>
      </c>
      <c r="D598" s="5">
        <v>1.0</v>
      </c>
      <c r="E598" s="7" t="s">
        <v>525</v>
      </c>
      <c r="F598" s="5" t="s">
        <v>502</v>
      </c>
      <c r="G598" s="14" t="s">
        <v>526</v>
      </c>
      <c r="H598" s="44" t="s">
        <v>527</v>
      </c>
      <c r="I598" s="31" t="s">
        <v>60</v>
      </c>
      <c r="J598" s="32">
        <v>1.14010991E8</v>
      </c>
    </row>
    <row r="599">
      <c r="A599" s="43" t="s">
        <v>74</v>
      </c>
      <c r="B599" s="6" t="s">
        <v>254</v>
      </c>
      <c r="C599" s="7" t="s">
        <v>255</v>
      </c>
      <c r="D599" s="5">
        <v>1.0</v>
      </c>
      <c r="E599" s="7" t="s">
        <v>525</v>
      </c>
      <c r="F599" s="5" t="s">
        <v>502</v>
      </c>
      <c r="G599" s="14" t="s">
        <v>505</v>
      </c>
      <c r="H599" s="44" t="s">
        <v>506</v>
      </c>
      <c r="I599" s="31" t="s">
        <v>60</v>
      </c>
      <c r="J599" s="32">
        <v>5778176.0</v>
      </c>
    </row>
    <row r="600">
      <c r="A600" s="43" t="s">
        <v>74</v>
      </c>
      <c r="B600" s="6" t="s">
        <v>254</v>
      </c>
      <c r="C600" s="7" t="s">
        <v>255</v>
      </c>
      <c r="D600" s="5">
        <v>1.0</v>
      </c>
      <c r="E600" s="7" t="s">
        <v>525</v>
      </c>
      <c r="F600" s="5" t="s">
        <v>502</v>
      </c>
      <c r="G600" s="14" t="s">
        <v>507</v>
      </c>
      <c r="H600" s="44" t="s">
        <v>508</v>
      </c>
      <c r="I600" s="31" t="s">
        <v>60</v>
      </c>
      <c r="J600" s="32">
        <v>4465199.0</v>
      </c>
    </row>
    <row r="601">
      <c r="A601" s="43" t="s">
        <v>74</v>
      </c>
      <c r="B601" s="6" t="s">
        <v>254</v>
      </c>
      <c r="C601" s="7" t="s">
        <v>255</v>
      </c>
      <c r="D601" s="5">
        <v>1.0</v>
      </c>
      <c r="E601" s="7" t="s">
        <v>525</v>
      </c>
      <c r="F601" s="5" t="s">
        <v>502</v>
      </c>
      <c r="G601" s="14" t="s">
        <v>509</v>
      </c>
      <c r="H601" s="44" t="s">
        <v>510</v>
      </c>
      <c r="I601" s="31" t="s">
        <v>60</v>
      </c>
      <c r="J601" s="32">
        <v>1744049.0</v>
      </c>
    </row>
    <row r="602">
      <c r="A602" s="43" t="s">
        <v>74</v>
      </c>
      <c r="B602" s="6" t="s">
        <v>254</v>
      </c>
      <c r="C602" s="7" t="s">
        <v>255</v>
      </c>
      <c r="D602" s="5">
        <v>1.0</v>
      </c>
      <c r="E602" s="7" t="s">
        <v>525</v>
      </c>
      <c r="F602" s="5" t="s">
        <v>502</v>
      </c>
      <c r="G602" s="14" t="s">
        <v>511</v>
      </c>
      <c r="H602" s="44" t="s">
        <v>512</v>
      </c>
      <c r="I602" s="31" t="s">
        <v>60</v>
      </c>
      <c r="J602" s="32">
        <v>6.8770369E7</v>
      </c>
    </row>
    <row r="603">
      <c r="A603" s="43" t="s">
        <v>74</v>
      </c>
      <c r="B603" s="6" t="s">
        <v>254</v>
      </c>
      <c r="C603" s="7" t="s">
        <v>255</v>
      </c>
      <c r="D603" s="5">
        <v>1.0</v>
      </c>
      <c r="E603" s="7" t="s">
        <v>525</v>
      </c>
      <c r="F603" s="5" t="s">
        <v>502</v>
      </c>
      <c r="G603" s="14" t="s">
        <v>513</v>
      </c>
      <c r="H603" s="44" t="s">
        <v>514</v>
      </c>
      <c r="I603" s="31" t="s">
        <v>60</v>
      </c>
      <c r="J603" s="32">
        <v>2240986.0</v>
      </c>
    </row>
    <row r="604">
      <c r="A604" s="43" t="s">
        <v>74</v>
      </c>
      <c r="B604" s="6" t="s">
        <v>259</v>
      </c>
      <c r="C604" s="7" t="s">
        <v>260</v>
      </c>
      <c r="D604" s="5">
        <v>1.0</v>
      </c>
      <c r="E604" s="7" t="s">
        <v>441</v>
      </c>
      <c r="F604" s="5" t="s">
        <v>442</v>
      </c>
      <c r="G604" s="14" t="s">
        <v>443</v>
      </c>
      <c r="H604" s="44" t="s">
        <v>420</v>
      </c>
      <c r="I604" s="31" t="s">
        <v>19</v>
      </c>
      <c r="J604" s="32">
        <v>3.9371001E7</v>
      </c>
    </row>
    <row r="605">
      <c r="A605" s="43" t="s">
        <v>74</v>
      </c>
      <c r="B605" s="6" t="s">
        <v>259</v>
      </c>
      <c r="C605" s="7" t="s">
        <v>260</v>
      </c>
      <c r="D605" s="5">
        <v>1.0</v>
      </c>
      <c r="E605" s="7" t="s">
        <v>441</v>
      </c>
      <c r="F605" s="5" t="s">
        <v>442</v>
      </c>
      <c r="G605" s="14" t="s">
        <v>444</v>
      </c>
      <c r="H605" s="44" t="s">
        <v>445</v>
      </c>
      <c r="I605" s="31" t="s">
        <v>19</v>
      </c>
      <c r="J605" s="32">
        <v>5079375.0</v>
      </c>
    </row>
    <row r="606">
      <c r="A606" s="43" t="s">
        <v>74</v>
      </c>
      <c r="B606" s="6" t="s">
        <v>259</v>
      </c>
      <c r="C606" s="7" t="s">
        <v>260</v>
      </c>
      <c r="D606" s="5">
        <v>1.0</v>
      </c>
      <c r="E606" s="7" t="s">
        <v>441</v>
      </c>
      <c r="F606" s="5" t="s">
        <v>442</v>
      </c>
      <c r="G606" s="14" t="s">
        <v>446</v>
      </c>
      <c r="H606" s="44" t="s">
        <v>447</v>
      </c>
      <c r="I606" s="31" t="s">
        <v>19</v>
      </c>
      <c r="J606" s="32">
        <v>342721.0</v>
      </c>
    </row>
    <row r="607">
      <c r="A607" s="43" t="s">
        <v>74</v>
      </c>
      <c r="B607" s="6" t="s">
        <v>259</v>
      </c>
      <c r="C607" s="7" t="s">
        <v>260</v>
      </c>
      <c r="D607" s="5">
        <v>1.0</v>
      </c>
      <c r="E607" s="7" t="s">
        <v>441</v>
      </c>
      <c r="F607" s="5" t="s">
        <v>442</v>
      </c>
      <c r="G607" s="14" t="s">
        <v>448</v>
      </c>
      <c r="H607" s="44" t="s">
        <v>449</v>
      </c>
      <c r="I607" s="31" t="s">
        <v>19</v>
      </c>
      <c r="J607" s="32">
        <v>859292.0</v>
      </c>
    </row>
    <row r="608">
      <c r="A608" s="43" t="s">
        <v>74</v>
      </c>
      <c r="B608" s="6" t="s">
        <v>259</v>
      </c>
      <c r="C608" s="7" t="s">
        <v>260</v>
      </c>
      <c r="D608" s="5">
        <v>1.0</v>
      </c>
      <c r="E608" s="7" t="s">
        <v>441</v>
      </c>
      <c r="F608" s="5" t="s">
        <v>442</v>
      </c>
      <c r="G608" s="14" t="s">
        <v>450</v>
      </c>
      <c r="H608" s="44" t="s">
        <v>451</v>
      </c>
      <c r="I608" s="31" t="s">
        <v>19</v>
      </c>
      <c r="J608" s="32">
        <v>0.0</v>
      </c>
    </row>
    <row r="609">
      <c r="A609" s="43" t="s">
        <v>74</v>
      </c>
      <c r="B609" s="6" t="s">
        <v>259</v>
      </c>
      <c r="C609" s="7" t="s">
        <v>260</v>
      </c>
      <c r="D609" s="5">
        <v>1.0</v>
      </c>
      <c r="E609" s="7" t="s">
        <v>441</v>
      </c>
      <c r="F609" s="5" t="s">
        <v>442</v>
      </c>
      <c r="G609" s="14" t="s">
        <v>452</v>
      </c>
      <c r="H609" s="44" t="s">
        <v>453</v>
      </c>
      <c r="I609" s="31" t="s">
        <v>19</v>
      </c>
      <c r="J609" s="32">
        <v>766140.0</v>
      </c>
    </row>
    <row r="610">
      <c r="A610" s="43" t="s">
        <v>74</v>
      </c>
      <c r="B610" s="6" t="s">
        <v>259</v>
      </c>
      <c r="C610" s="7" t="s">
        <v>260</v>
      </c>
      <c r="D610" s="5">
        <v>1.0</v>
      </c>
      <c r="E610" s="7" t="s">
        <v>441</v>
      </c>
      <c r="F610" s="5" t="s">
        <v>442</v>
      </c>
      <c r="G610" s="14" t="s">
        <v>454</v>
      </c>
      <c r="H610" s="44" t="s">
        <v>415</v>
      </c>
      <c r="I610" s="31" t="s">
        <v>19</v>
      </c>
      <c r="J610" s="32">
        <v>111815.0</v>
      </c>
    </row>
    <row r="611">
      <c r="A611" s="43" t="s">
        <v>74</v>
      </c>
      <c r="B611" s="6" t="s">
        <v>259</v>
      </c>
      <c r="C611" s="7" t="s">
        <v>260</v>
      </c>
      <c r="D611" s="5">
        <v>1.0</v>
      </c>
      <c r="E611" s="7" t="s">
        <v>441</v>
      </c>
      <c r="F611" s="5" t="s">
        <v>442</v>
      </c>
      <c r="G611" s="14" t="s">
        <v>455</v>
      </c>
      <c r="H611" s="44" t="s">
        <v>415</v>
      </c>
      <c r="I611" s="31" t="s">
        <v>19</v>
      </c>
      <c r="J611" s="32">
        <v>62120.0</v>
      </c>
    </row>
    <row r="612">
      <c r="A612" s="43" t="s">
        <v>74</v>
      </c>
      <c r="B612" s="6" t="s">
        <v>259</v>
      </c>
      <c r="C612" s="7" t="s">
        <v>260</v>
      </c>
      <c r="D612" s="5">
        <v>1.0</v>
      </c>
      <c r="E612" s="7" t="s">
        <v>441</v>
      </c>
      <c r="F612" s="5" t="s">
        <v>442</v>
      </c>
      <c r="G612" s="14" t="s">
        <v>565</v>
      </c>
      <c r="H612" s="44" t="s">
        <v>566</v>
      </c>
      <c r="I612" s="31" t="s">
        <v>25</v>
      </c>
      <c r="J612" s="32">
        <v>5504000.0</v>
      </c>
    </row>
    <row r="613">
      <c r="A613" s="43" t="s">
        <v>74</v>
      </c>
      <c r="B613" s="6" t="s">
        <v>259</v>
      </c>
      <c r="C613" s="7" t="s">
        <v>260</v>
      </c>
      <c r="D613" s="5">
        <v>1.0</v>
      </c>
      <c r="E613" s="7" t="s">
        <v>456</v>
      </c>
      <c r="F613" s="5" t="s">
        <v>457</v>
      </c>
      <c r="G613" s="14" t="s">
        <v>443</v>
      </c>
      <c r="H613" s="44" t="s">
        <v>420</v>
      </c>
      <c r="I613" s="31" t="s">
        <v>19</v>
      </c>
      <c r="J613" s="32">
        <v>5552720.0</v>
      </c>
    </row>
    <row r="614">
      <c r="A614" s="43" t="s">
        <v>74</v>
      </c>
      <c r="B614" s="6" t="s">
        <v>259</v>
      </c>
      <c r="C614" s="7" t="s">
        <v>260</v>
      </c>
      <c r="D614" s="5">
        <v>1.0</v>
      </c>
      <c r="E614" s="7" t="s">
        <v>456</v>
      </c>
      <c r="F614" s="5" t="s">
        <v>457</v>
      </c>
      <c r="G614" s="14" t="s">
        <v>458</v>
      </c>
      <c r="H614" s="44" t="s">
        <v>411</v>
      </c>
      <c r="I614" s="31" t="s">
        <v>19</v>
      </c>
      <c r="J614" s="32">
        <v>9.8744698E7</v>
      </c>
    </row>
    <row r="615">
      <c r="A615" s="43" t="s">
        <v>74</v>
      </c>
      <c r="B615" s="6" t="s">
        <v>259</v>
      </c>
      <c r="C615" s="7" t="s">
        <v>260</v>
      </c>
      <c r="D615" s="5">
        <v>1.0</v>
      </c>
      <c r="E615" s="7" t="s">
        <v>459</v>
      </c>
      <c r="F615" s="5" t="s">
        <v>460</v>
      </c>
      <c r="G615" s="14" t="s">
        <v>443</v>
      </c>
      <c r="H615" s="44" t="s">
        <v>420</v>
      </c>
      <c r="I615" s="31" t="s">
        <v>19</v>
      </c>
      <c r="J615" s="32">
        <v>-5552720.0</v>
      </c>
    </row>
    <row r="616">
      <c r="A616" s="43" t="s">
        <v>74</v>
      </c>
      <c r="B616" s="6" t="s">
        <v>259</v>
      </c>
      <c r="C616" s="7" t="s">
        <v>260</v>
      </c>
      <c r="D616" s="5">
        <v>1.0</v>
      </c>
      <c r="E616" s="7" t="s">
        <v>459</v>
      </c>
      <c r="F616" s="5" t="s">
        <v>460</v>
      </c>
      <c r="G616" s="14" t="s">
        <v>458</v>
      </c>
      <c r="H616" s="44" t="s">
        <v>411</v>
      </c>
      <c r="I616" s="31" t="s">
        <v>19</v>
      </c>
      <c r="J616" s="32">
        <v>6288629.0</v>
      </c>
    </row>
    <row r="617">
      <c r="A617" s="43" t="s">
        <v>74</v>
      </c>
      <c r="B617" s="6" t="s">
        <v>259</v>
      </c>
      <c r="C617" s="7" t="s">
        <v>260</v>
      </c>
      <c r="D617" s="5">
        <v>1.0</v>
      </c>
      <c r="E617" s="7" t="s">
        <v>469</v>
      </c>
      <c r="F617" s="5" t="s">
        <v>470</v>
      </c>
      <c r="G617" s="14" t="s">
        <v>471</v>
      </c>
      <c r="H617" s="44" t="s">
        <v>472</v>
      </c>
      <c r="I617" s="31" t="s">
        <v>25</v>
      </c>
      <c r="J617" s="32">
        <v>2358175.0</v>
      </c>
    </row>
    <row r="618">
      <c r="A618" s="43" t="s">
        <v>74</v>
      </c>
      <c r="B618" s="6" t="s">
        <v>259</v>
      </c>
      <c r="C618" s="7" t="s">
        <v>260</v>
      </c>
      <c r="D618" s="5">
        <v>1.0</v>
      </c>
      <c r="E618" s="7" t="s">
        <v>473</v>
      </c>
      <c r="F618" s="5" t="s">
        <v>474</v>
      </c>
      <c r="G618" s="14" t="s">
        <v>523</v>
      </c>
      <c r="H618" s="44" t="s">
        <v>431</v>
      </c>
      <c r="I618" s="31" t="s">
        <v>17</v>
      </c>
      <c r="J618" s="32">
        <v>5.5671685E8</v>
      </c>
    </row>
    <row r="619">
      <c r="A619" s="43" t="s">
        <v>74</v>
      </c>
      <c r="B619" s="6" t="s">
        <v>259</v>
      </c>
      <c r="C619" s="7" t="s">
        <v>260</v>
      </c>
      <c r="D619" s="5">
        <v>1.0</v>
      </c>
      <c r="E619" s="7" t="s">
        <v>473</v>
      </c>
      <c r="F619" s="5" t="s">
        <v>474</v>
      </c>
      <c r="G619" s="14" t="s">
        <v>523</v>
      </c>
      <c r="H619" s="44" t="s">
        <v>431</v>
      </c>
      <c r="I619" s="31" t="s">
        <v>25</v>
      </c>
      <c r="J619" s="32">
        <v>-2.46118808E8</v>
      </c>
    </row>
    <row r="620">
      <c r="A620" s="43" t="s">
        <v>74</v>
      </c>
      <c r="B620" s="6" t="s">
        <v>259</v>
      </c>
      <c r="C620" s="7" t="s">
        <v>260</v>
      </c>
      <c r="D620" s="5">
        <v>1.0</v>
      </c>
      <c r="E620" s="7" t="s">
        <v>473</v>
      </c>
      <c r="F620" s="5" t="s">
        <v>474</v>
      </c>
      <c r="G620" s="14" t="s">
        <v>458</v>
      </c>
      <c r="H620" s="44" t="s">
        <v>411</v>
      </c>
      <c r="I620" s="31" t="s">
        <v>19</v>
      </c>
      <c r="J620" s="32">
        <v>5.0309032E7</v>
      </c>
    </row>
    <row r="621">
      <c r="A621" s="43" t="s">
        <v>74</v>
      </c>
      <c r="B621" s="6" t="s">
        <v>259</v>
      </c>
      <c r="C621" s="7" t="s">
        <v>260</v>
      </c>
      <c r="D621" s="5">
        <v>1.0</v>
      </c>
      <c r="E621" s="7" t="s">
        <v>491</v>
      </c>
      <c r="F621" s="5" t="s">
        <v>492</v>
      </c>
      <c r="G621" s="14" t="s">
        <v>545</v>
      </c>
      <c r="H621" s="44" t="s">
        <v>427</v>
      </c>
      <c r="I621" s="31" t="s">
        <v>37</v>
      </c>
      <c r="J621" s="32">
        <v>3.2834959E7</v>
      </c>
    </row>
    <row r="622">
      <c r="A622" s="43" t="s">
        <v>74</v>
      </c>
      <c r="B622" s="6" t="s">
        <v>259</v>
      </c>
      <c r="C622" s="7" t="s">
        <v>260</v>
      </c>
      <c r="D622" s="5">
        <v>1.0</v>
      </c>
      <c r="E622" s="7" t="s">
        <v>491</v>
      </c>
      <c r="F622" s="5" t="s">
        <v>492</v>
      </c>
      <c r="G622" s="14" t="s">
        <v>521</v>
      </c>
      <c r="H622" s="44" t="s">
        <v>522</v>
      </c>
      <c r="I622" s="31" t="s">
        <v>37</v>
      </c>
      <c r="J622" s="32">
        <v>645000.0</v>
      </c>
    </row>
    <row r="623">
      <c r="A623" s="43" t="s">
        <v>74</v>
      </c>
      <c r="B623" s="6" t="s">
        <v>259</v>
      </c>
      <c r="C623" s="7" t="s">
        <v>260</v>
      </c>
      <c r="D623" s="5">
        <v>1.0</v>
      </c>
      <c r="E623" s="7" t="s">
        <v>491</v>
      </c>
      <c r="F623" s="5" t="s">
        <v>492</v>
      </c>
      <c r="G623" s="14" t="s">
        <v>554</v>
      </c>
      <c r="H623" s="44" t="s">
        <v>555</v>
      </c>
      <c r="I623" s="31" t="s">
        <v>17</v>
      </c>
      <c r="J623" s="32">
        <v>6463636.0</v>
      </c>
    </row>
    <row r="624">
      <c r="A624" s="43" t="s">
        <v>74</v>
      </c>
      <c r="B624" s="6" t="s">
        <v>259</v>
      </c>
      <c r="C624" s="7" t="s">
        <v>260</v>
      </c>
      <c r="D624" s="5">
        <v>1.0</v>
      </c>
      <c r="E624" s="7" t="s">
        <v>491</v>
      </c>
      <c r="F624" s="5" t="s">
        <v>492</v>
      </c>
      <c r="G624" s="14" t="s">
        <v>554</v>
      </c>
      <c r="H624" s="44" t="s">
        <v>555</v>
      </c>
      <c r="I624" s="31" t="s">
        <v>25</v>
      </c>
      <c r="J624" s="32">
        <v>-6463636.0</v>
      </c>
    </row>
    <row r="625">
      <c r="A625" s="43" t="s">
        <v>74</v>
      </c>
      <c r="B625" s="6" t="s">
        <v>259</v>
      </c>
      <c r="C625" s="7" t="s">
        <v>260</v>
      </c>
      <c r="D625" s="5">
        <v>1.0</v>
      </c>
      <c r="E625" s="7" t="s">
        <v>491</v>
      </c>
      <c r="F625" s="5" t="s">
        <v>492</v>
      </c>
      <c r="G625" s="14" t="s">
        <v>493</v>
      </c>
      <c r="H625" s="44" t="s">
        <v>437</v>
      </c>
      <c r="I625" s="31" t="s">
        <v>17</v>
      </c>
      <c r="J625" s="32">
        <v>6463636.0</v>
      </c>
    </row>
    <row r="626">
      <c r="A626" s="43" t="s">
        <v>74</v>
      </c>
      <c r="B626" s="6" t="s">
        <v>259</v>
      </c>
      <c r="C626" s="7" t="s">
        <v>260</v>
      </c>
      <c r="D626" s="5">
        <v>1.0</v>
      </c>
      <c r="E626" s="7" t="s">
        <v>491</v>
      </c>
      <c r="F626" s="5" t="s">
        <v>492</v>
      </c>
      <c r="G626" s="14" t="s">
        <v>493</v>
      </c>
      <c r="H626" s="44" t="s">
        <v>437</v>
      </c>
      <c r="I626" s="31" t="s">
        <v>25</v>
      </c>
      <c r="J626" s="32">
        <v>1316789.0</v>
      </c>
    </row>
    <row r="627">
      <c r="A627" s="43" t="s">
        <v>74</v>
      </c>
      <c r="B627" s="6" t="s">
        <v>259</v>
      </c>
      <c r="C627" s="7" t="s">
        <v>260</v>
      </c>
      <c r="D627" s="5">
        <v>1.0</v>
      </c>
      <c r="E627" s="7" t="s">
        <v>494</v>
      </c>
      <c r="F627" s="5" t="s">
        <v>495</v>
      </c>
      <c r="G627" s="14" t="s">
        <v>477</v>
      </c>
      <c r="H627" s="44" t="s">
        <v>429</v>
      </c>
      <c r="I627" s="31" t="s">
        <v>50</v>
      </c>
      <c r="J627" s="32">
        <v>2.5923859E7</v>
      </c>
    </row>
    <row r="628">
      <c r="A628" s="43" t="s">
        <v>74</v>
      </c>
      <c r="B628" s="6" t="s">
        <v>259</v>
      </c>
      <c r="C628" s="7" t="s">
        <v>260</v>
      </c>
      <c r="D628" s="5">
        <v>1.0</v>
      </c>
      <c r="E628" s="7" t="s">
        <v>475</v>
      </c>
      <c r="F628" s="5" t="s">
        <v>476</v>
      </c>
      <c r="G628" s="14" t="s">
        <v>498</v>
      </c>
      <c r="H628" s="44" t="s">
        <v>434</v>
      </c>
      <c r="I628" s="31" t="s">
        <v>25</v>
      </c>
      <c r="J628" s="32">
        <v>1.16481E7</v>
      </c>
    </row>
    <row r="629">
      <c r="A629" s="43" t="s">
        <v>74</v>
      </c>
      <c r="B629" s="6" t="s">
        <v>259</v>
      </c>
      <c r="C629" s="7" t="s">
        <v>260</v>
      </c>
      <c r="D629" s="5">
        <v>1.0</v>
      </c>
      <c r="E629" s="7" t="s">
        <v>475</v>
      </c>
      <c r="F629" s="5" t="s">
        <v>476</v>
      </c>
      <c r="G629" s="14" t="s">
        <v>477</v>
      </c>
      <c r="H629" s="44" t="s">
        <v>429</v>
      </c>
      <c r="I629" s="31" t="s">
        <v>50</v>
      </c>
      <c r="J629" s="32">
        <v>1.2607189E7</v>
      </c>
    </row>
    <row r="630">
      <c r="A630" s="43" t="s">
        <v>74</v>
      </c>
      <c r="B630" s="6" t="s">
        <v>259</v>
      </c>
      <c r="C630" s="7" t="s">
        <v>260</v>
      </c>
      <c r="D630" s="5">
        <v>1.0</v>
      </c>
      <c r="E630" s="7" t="s">
        <v>524</v>
      </c>
      <c r="F630" s="5" t="s">
        <v>479</v>
      </c>
      <c r="G630" s="14" t="s">
        <v>443</v>
      </c>
      <c r="H630" s="44" t="s">
        <v>420</v>
      </c>
      <c r="I630" s="31" t="s">
        <v>19</v>
      </c>
      <c r="J630" s="32">
        <v>7.7352314E7</v>
      </c>
    </row>
    <row r="631">
      <c r="A631" s="43" t="s">
        <v>74</v>
      </c>
      <c r="B631" s="6" t="s">
        <v>259</v>
      </c>
      <c r="C631" s="7" t="s">
        <v>260</v>
      </c>
      <c r="D631" s="5">
        <v>1.0</v>
      </c>
      <c r="E631" s="7" t="s">
        <v>524</v>
      </c>
      <c r="F631" s="5" t="s">
        <v>479</v>
      </c>
      <c r="G631" s="14" t="s">
        <v>444</v>
      </c>
      <c r="H631" s="44" t="s">
        <v>445</v>
      </c>
      <c r="I631" s="31" t="s">
        <v>19</v>
      </c>
      <c r="J631" s="32">
        <v>4804137.0</v>
      </c>
    </row>
    <row r="632">
      <c r="A632" s="43" t="s">
        <v>74</v>
      </c>
      <c r="B632" s="6" t="s">
        <v>259</v>
      </c>
      <c r="C632" s="7" t="s">
        <v>260</v>
      </c>
      <c r="D632" s="5">
        <v>1.0</v>
      </c>
      <c r="E632" s="7" t="s">
        <v>524</v>
      </c>
      <c r="F632" s="5" t="s">
        <v>479</v>
      </c>
      <c r="G632" s="14" t="s">
        <v>446</v>
      </c>
      <c r="H632" s="44" t="s">
        <v>447</v>
      </c>
      <c r="I632" s="31" t="s">
        <v>19</v>
      </c>
      <c r="J632" s="32">
        <v>898612.0</v>
      </c>
    </row>
    <row r="633">
      <c r="A633" s="43" t="s">
        <v>74</v>
      </c>
      <c r="B633" s="6" t="s">
        <v>259</v>
      </c>
      <c r="C633" s="7" t="s">
        <v>260</v>
      </c>
      <c r="D633" s="5">
        <v>1.0</v>
      </c>
      <c r="E633" s="7" t="s">
        <v>524</v>
      </c>
      <c r="F633" s="5" t="s">
        <v>479</v>
      </c>
      <c r="G633" s="14" t="s">
        <v>448</v>
      </c>
      <c r="H633" s="44" t="s">
        <v>449</v>
      </c>
      <c r="I633" s="31" t="s">
        <v>19</v>
      </c>
      <c r="J633" s="32">
        <v>2036113.0</v>
      </c>
    </row>
    <row r="634">
      <c r="A634" s="43" t="s">
        <v>74</v>
      </c>
      <c r="B634" s="6" t="s">
        <v>259</v>
      </c>
      <c r="C634" s="7" t="s">
        <v>260</v>
      </c>
      <c r="D634" s="5">
        <v>1.0</v>
      </c>
      <c r="E634" s="7" t="s">
        <v>524</v>
      </c>
      <c r="F634" s="5" t="s">
        <v>479</v>
      </c>
      <c r="G634" s="14" t="s">
        <v>450</v>
      </c>
      <c r="H634" s="44" t="s">
        <v>451</v>
      </c>
      <c r="I634" s="31" t="s">
        <v>19</v>
      </c>
      <c r="J634" s="32">
        <v>0.0</v>
      </c>
    </row>
    <row r="635">
      <c r="A635" s="43" t="s">
        <v>74</v>
      </c>
      <c r="B635" s="6" t="s">
        <v>259</v>
      </c>
      <c r="C635" s="7" t="s">
        <v>260</v>
      </c>
      <c r="D635" s="5">
        <v>1.0</v>
      </c>
      <c r="E635" s="7" t="s">
        <v>524</v>
      </c>
      <c r="F635" s="5" t="s">
        <v>479</v>
      </c>
      <c r="G635" s="14" t="s">
        <v>452</v>
      </c>
      <c r="H635" s="44" t="s">
        <v>453</v>
      </c>
      <c r="I635" s="31" t="s">
        <v>19</v>
      </c>
      <c r="J635" s="32">
        <v>1662431.0</v>
      </c>
    </row>
    <row r="636">
      <c r="A636" s="43" t="s">
        <v>74</v>
      </c>
      <c r="B636" s="6" t="s">
        <v>259</v>
      </c>
      <c r="C636" s="7" t="s">
        <v>260</v>
      </c>
      <c r="D636" s="5">
        <v>1.0</v>
      </c>
      <c r="E636" s="7" t="s">
        <v>524</v>
      </c>
      <c r="F636" s="5" t="s">
        <v>479</v>
      </c>
      <c r="G636" s="14" t="s">
        <v>454</v>
      </c>
      <c r="H636" s="44" t="s">
        <v>415</v>
      </c>
      <c r="I636" s="31" t="s">
        <v>19</v>
      </c>
      <c r="J636" s="32">
        <v>242625.0</v>
      </c>
    </row>
    <row r="637">
      <c r="A637" s="43" t="s">
        <v>74</v>
      </c>
      <c r="B637" s="6" t="s">
        <v>259</v>
      </c>
      <c r="C637" s="7" t="s">
        <v>260</v>
      </c>
      <c r="D637" s="5">
        <v>1.0</v>
      </c>
      <c r="E637" s="7" t="s">
        <v>524</v>
      </c>
      <c r="F637" s="5" t="s">
        <v>479</v>
      </c>
      <c r="G637" s="14" t="s">
        <v>455</v>
      </c>
      <c r="H637" s="44" t="s">
        <v>415</v>
      </c>
      <c r="I637" s="31" t="s">
        <v>19</v>
      </c>
      <c r="J637" s="32">
        <v>134791.0</v>
      </c>
    </row>
    <row r="638">
      <c r="A638" s="43" t="s">
        <v>74</v>
      </c>
      <c r="B638" s="6" t="s">
        <v>259</v>
      </c>
      <c r="C638" s="7" t="s">
        <v>260</v>
      </c>
      <c r="D638" s="5">
        <v>1.0</v>
      </c>
      <c r="E638" s="7" t="s">
        <v>524</v>
      </c>
      <c r="F638" s="5" t="s">
        <v>479</v>
      </c>
      <c r="G638" s="14" t="s">
        <v>480</v>
      </c>
      <c r="H638" s="44" t="s">
        <v>481</v>
      </c>
      <c r="I638" s="31" t="s">
        <v>19</v>
      </c>
      <c r="J638" s="32">
        <v>4246898.0</v>
      </c>
    </row>
    <row r="639">
      <c r="A639" s="43" t="s">
        <v>74</v>
      </c>
      <c r="B639" s="6" t="s">
        <v>259</v>
      </c>
      <c r="C639" s="7" t="s">
        <v>260</v>
      </c>
      <c r="D639" s="5">
        <v>1.0</v>
      </c>
      <c r="E639" s="7" t="s">
        <v>525</v>
      </c>
      <c r="F639" s="5" t="s">
        <v>502</v>
      </c>
      <c r="G639" s="14" t="s">
        <v>526</v>
      </c>
      <c r="H639" s="44" t="s">
        <v>527</v>
      </c>
      <c r="I639" s="31" t="s">
        <v>60</v>
      </c>
      <c r="J639" s="32">
        <v>1.81316763E8</v>
      </c>
    </row>
    <row r="640">
      <c r="A640" s="43" t="s">
        <v>74</v>
      </c>
      <c r="B640" s="6" t="s">
        <v>259</v>
      </c>
      <c r="C640" s="7" t="s">
        <v>260</v>
      </c>
      <c r="D640" s="5">
        <v>1.0</v>
      </c>
      <c r="E640" s="7" t="s">
        <v>525</v>
      </c>
      <c r="F640" s="5" t="s">
        <v>502</v>
      </c>
      <c r="G640" s="14" t="s">
        <v>539</v>
      </c>
      <c r="H640" s="44" t="s">
        <v>540</v>
      </c>
      <c r="I640" s="31" t="s">
        <v>60</v>
      </c>
      <c r="J640" s="32">
        <v>1.0323086E7</v>
      </c>
    </row>
    <row r="641">
      <c r="A641" s="43" t="s">
        <v>74</v>
      </c>
      <c r="B641" s="6" t="s">
        <v>259</v>
      </c>
      <c r="C641" s="7" t="s">
        <v>260</v>
      </c>
      <c r="D641" s="5">
        <v>1.0</v>
      </c>
      <c r="E641" s="7" t="s">
        <v>525</v>
      </c>
      <c r="F641" s="5" t="s">
        <v>502</v>
      </c>
      <c r="G641" s="14" t="s">
        <v>505</v>
      </c>
      <c r="H641" s="44" t="s">
        <v>506</v>
      </c>
      <c r="I641" s="31" t="s">
        <v>60</v>
      </c>
      <c r="J641" s="32">
        <v>2.2007809E7</v>
      </c>
    </row>
    <row r="642">
      <c r="A642" s="43" t="s">
        <v>74</v>
      </c>
      <c r="B642" s="6" t="s">
        <v>259</v>
      </c>
      <c r="C642" s="7" t="s">
        <v>260</v>
      </c>
      <c r="D642" s="5">
        <v>1.0</v>
      </c>
      <c r="E642" s="7" t="s">
        <v>525</v>
      </c>
      <c r="F642" s="5" t="s">
        <v>502</v>
      </c>
      <c r="G642" s="14" t="s">
        <v>509</v>
      </c>
      <c r="H642" s="44" t="s">
        <v>510</v>
      </c>
      <c r="I642" s="31" t="s">
        <v>60</v>
      </c>
      <c r="J642" s="32">
        <v>1233333.0</v>
      </c>
    </row>
    <row r="643">
      <c r="A643" s="43" t="s">
        <v>74</v>
      </c>
      <c r="B643" s="6" t="s">
        <v>259</v>
      </c>
      <c r="C643" s="7" t="s">
        <v>260</v>
      </c>
      <c r="D643" s="5">
        <v>1.0</v>
      </c>
      <c r="E643" s="7" t="s">
        <v>525</v>
      </c>
      <c r="F643" s="5" t="s">
        <v>502</v>
      </c>
      <c r="G643" s="14" t="s">
        <v>511</v>
      </c>
      <c r="H643" s="44" t="s">
        <v>512</v>
      </c>
      <c r="I643" s="31" t="s">
        <v>60</v>
      </c>
      <c r="J643" s="32">
        <v>1.0590496E8</v>
      </c>
    </row>
    <row r="644">
      <c r="A644" s="43" t="s">
        <v>74</v>
      </c>
      <c r="B644" s="6" t="s">
        <v>259</v>
      </c>
      <c r="C644" s="7" t="s">
        <v>260</v>
      </c>
      <c r="D644" s="5">
        <v>1.0</v>
      </c>
      <c r="E644" s="7" t="s">
        <v>525</v>
      </c>
      <c r="F644" s="5" t="s">
        <v>502</v>
      </c>
      <c r="G644" s="14" t="s">
        <v>513</v>
      </c>
      <c r="H644" s="44" t="s">
        <v>514</v>
      </c>
      <c r="I644" s="31" t="s">
        <v>60</v>
      </c>
      <c r="J644" s="32">
        <v>1101487.0</v>
      </c>
    </row>
    <row r="645">
      <c r="A645" s="43" t="s">
        <v>74</v>
      </c>
      <c r="B645" s="6" t="s">
        <v>66</v>
      </c>
      <c r="C645" s="7" t="s">
        <v>67</v>
      </c>
      <c r="D645" s="5">
        <v>1.0</v>
      </c>
      <c r="E645" s="7" t="s">
        <v>441</v>
      </c>
      <c r="F645" s="5" t="s">
        <v>442</v>
      </c>
      <c r="G645" s="14" t="s">
        <v>443</v>
      </c>
      <c r="H645" s="44" t="s">
        <v>420</v>
      </c>
      <c r="I645" s="31" t="s">
        <v>19</v>
      </c>
      <c r="J645" s="32">
        <v>4.0517325E7</v>
      </c>
    </row>
    <row r="646">
      <c r="A646" s="43" t="s">
        <v>74</v>
      </c>
      <c r="B646" s="6" t="s">
        <v>66</v>
      </c>
      <c r="C646" s="7" t="s">
        <v>67</v>
      </c>
      <c r="D646" s="5">
        <v>1.0</v>
      </c>
      <c r="E646" s="7" t="s">
        <v>441</v>
      </c>
      <c r="F646" s="5" t="s">
        <v>442</v>
      </c>
      <c r="G646" s="14" t="s">
        <v>444</v>
      </c>
      <c r="H646" s="44" t="s">
        <v>445</v>
      </c>
      <c r="I646" s="31" t="s">
        <v>19</v>
      </c>
      <c r="J646" s="32">
        <v>4948826.0</v>
      </c>
    </row>
    <row r="647">
      <c r="A647" s="43" t="s">
        <v>74</v>
      </c>
      <c r="B647" s="6" t="s">
        <v>66</v>
      </c>
      <c r="C647" s="7" t="s">
        <v>67</v>
      </c>
      <c r="D647" s="5">
        <v>1.0</v>
      </c>
      <c r="E647" s="7" t="s">
        <v>441</v>
      </c>
      <c r="F647" s="5" t="s">
        <v>442</v>
      </c>
      <c r="G647" s="14" t="s">
        <v>446</v>
      </c>
      <c r="H647" s="44" t="s">
        <v>447</v>
      </c>
      <c r="I647" s="31" t="s">
        <v>19</v>
      </c>
      <c r="J647" s="32">
        <v>368613.0</v>
      </c>
    </row>
    <row r="648">
      <c r="A648" s="43" t="s">
        <v>74</v>
      </c>
      <c r="B648" s="6" t="s">
        <v>66</v>
      </c>
      <c r="C648" s="7" t="s">
        <v>67</v>
      </c>
      <c r="D648" s="5">
        <v>1.0</v>
      </c>
      <c r="E648" s="7" t="s">
        <v>441</v>
      </c>
      <c r="F648" s="5" t="s">
        <v>442</v>
      </c>
      <c r="G648" s="14" t="s">
        <v>448</v>
      </c>
      <c r="H648" s="44" t="s">
        <v>449</v>
      </c>
      <c r="I648" s="31" t="s">
        <v>19</v>
      </c>
      <c r="J648" s="32">
        <v>994162.0</v>
      </c>
    </row>
    <row r="649">
      <c r="A649" s="43" t="s">
        <v>74</v>
      </c>
      <c r="B649" s="6" t="s">
        <v>66</v>
      </c>
      <c r="C649" s="7" t="s">
        <v>67</v>
      </c>
      <c r="D649" s="5">
        <v>1.0</v>
      </c>
      <c r="E649" s="7" t="s">
        <v>441</v>
      </c>
      <c r="F649" s="5" t="s">
        <v>442</v>
      </c>
      <c r="G649" s="14" t="s">
        <v>450</v>
      </c>
      <c r="H649" s="44" t="s">
        <v>451</v>
      </c>
      <c r="I649" s="31" t="s">
        <v>19</v>
      </c>
      <c r="J649" s="32">
        <v>0.0</v>
      </c>
    </row>
    <row r="650">
      <c r="A650" s="43" t="s">
        <v>74</v>
      </c>
      <c r="B650" s="6" t="s">
        <v>66</v>
      </c>
      <c r="C650" s="7" t="s">
        <v>67</v>
      </c>
      <c r="D650" s="5">
        <v>1.0</v>
      </c>
      <c r="E650" s="7" t="s">
        <v>441</v>
      </c>
      <c r="F650" s="5" t="s">
        <v>442</v>
      </c>
      <c r="G650" s="14" t="s">
        <v>452</v>
      </c>
      <c r="H650" s="44" t="s">
        <v>453</v>
      </c>
      <c r="I650" s="31" t="s">
        <v>19</v>
      </c>
      <c r="J650" s="32">
        <v>789814.0</v>
      </c>
    </row>
    <row r="651">
      <c r="A651" s="43" t="s">
        <v>74</v>
      </c>
      <c r="B651" s="6" t="s">
        <v>66</v>
      </c>
      <c r="C651" s="7" t="s">
        <v>67</v>
      </c>
      <c r="D651" s="5">
        <v>1.0</v>
      </c>
      <c r="E651" s="7" t="s">
        <v>441</v>
      </c>
      <c r="F651" s="5" t="s">
        <v>442</v>
      </c>
      <c r="G651" s="14" t="s">
        <v>454</v>
      </c>
      <c r="H651" s="44" t="s">
        <v>415</v>
      </c>
      <c r="I651" s="31" t="s">
        <v>19</v>
      </c>
      <c r="J651" s="32">
        <v>115270.0</v>
      </c>
    </row>
    <row r="652">
      <c r="A652" s="43" t="s">
        <v>74</v>
      </c>
      <c r="B652" s="6" t="s">
        <v>66</v>
      </c>
      <c r="C652" s="7" t="s">
        <v>67</v>
      </c>
      <c r="D652" s="5">
        <v>1.0</v>
      </c>
      <c r="E652" s="7" t="s">
        <v>441</v>
      </c>
      <c r="F652" s="5" t="s">
        <v>442</v>
      </c>
      <c r="G652" s="14" t="s">
        <v>455</v>
      </c>
      <c r="H652" s="44" t="s">
        <v>415</v>
      </c>
      <c r="I652" s="31" t="s">
        <v>19</v>
      </c>
      <c r="J652" s="32">
        <v>64039.0</v>
      </c>
    </row>
    <row r="653">
      <c r="A653" s="43" t="s">
        <v>74</v>
      </c>
      <c r="B653" s="6" t="s">
        <v>66</v>
      </c>
      <c r="C653" s="7" t="s">
        <v>67</v>
      </c>
      <c r="D653" s="5">
        <v>1.0</v>
      </c>
      <c r="E653" s="7" t="s">
        <v>456</v>
      </c>
      <c r="F653" s="5" t="s">
        <v>457</v>
      </c>
      <c r="G653" s="14" t="s">
        <v>515</v>
      </c>
      <c r="H653" s="44" t="s">
        <v>413</v>
      </c>
      <c r="I653" s="31" t="s">
        <v>19</v>
      </c>
      <c r="J653" s="32">
        <v>8364000.0</v>
      </c>
    </row>
    <row r="654">
      <c r="A654" s="43" t="s">
        <v>74</v>
      </c>
      <c r="B654" s="6" t="s">
        <v>66</v>
      </c>
      <c r="C654" s="7" t="s">
        <v>67</v>
      </c>
      <c r="D654" s="5">
        <v>1.0</v>
      </c>
      <c r="E654" s="7" t="s">
        <v>456</v>
      </c>
      <c r="F654" s="5" t="s">
        <v>457</v>
      </c>
      <c r="G654" s="14" t="s">
        <v>458</v>
      </c>
      <c r="H654" s="44" t="s">
        <v>411</v>
      </c>
      <c r="I654" s="31" t="s">
        <v>19</v>
      </c>
      <c r="J654" s="32">
        <v>2.60681387E8</v>
      </c>
    </row>
    <row r="655">
      <c r="A655" s="43" t="s">
        <v>74</v>
      </c>
      <c r="B655" s="6" t="s">
        <v>66</v>
      </c>
      <c r="C655" s="7" t="s">
        <v>67</v>
      </c>
      <c r="D655" s="5">
        <v>1.0</v>
      </c>
      <c r="E655" s="7" t="s">
        <v>456</v>
      </c>
      <c r="F655" s="5" t="s">
        <v>457</v>
      </c>
      <c r="G655" s="14" t="s">
        <v>532</v>
      </c>
      <c r="H655" s="44" t="s">
        <v>412</v>
      </c>
      <c r="I655" s="31" t="s">
        <v>19</v>
      </c>
      <c r="J655" s="32">
        <v>4619775.0</v>
      </c>
    </row>
    <row r="656">
      <c r="A656" s="43" t="s">
        <v>74</v>
      </c>
      <c r="B656" s="6" t="s">
        <v>66</v>
      </c>
      <c r="C656" s="7" t="s">
        <v>67</v>
      </c>
      <c r="D656" s="5">
        <v>1.0</v>
      </c>
      <c r="E656" s="7" t="s">
        <v>482</v>
      </c>
      <c r="F656" s="5" t="s">
        <v>483</v>
      </c>
      <c r="G656" s="14" t="s">
        <v>520</v>
      </c>
      <c r="H656" s="44" t="s">
        <v>435</v>
      </c>
      <c r="I656" s="31" t="s">
        <v>37</v>
      </c>
      <c r="J656" s="32">
        <v>198380.0</v>
      </c>
    </row>
    <row r="657">
      <c r="A657" s="43" t="s">
        <v>74</v>
      </c>
      <c r="B657" s="6" t="s">
        <v>66</v>
      </c>
      <c r="C657" s="7" t="s">
        <v>67</v>
      </c>
      <c r="D657" s="5">
        <v>1.0</v>
      </c>
      <c r="E657" s="7" t="s">
        <v>482</v>
      </c>
      <c r="F657" s="5" t="s">
        <v>483</v>
      </c>
      <c r="G657" s="14" t="s">
        <v>543</v>
      </c>
      <c r="H657" s="44" t="s">
        <v>430</v>
      </c>
      <c r="I657" s="31" t="s">
        <v>37</v>
      </c>
      <c r="J657" s="32">
        <v>1873550.0</v>
      </c>
    </row>
    <row r="658">
      <c r="A658" s="43" t="s">
        <v>74</v>
      </c>
      <c r="B658" s="6" t="s">
        <v>66</v>
      </c>
      <c r="C658" s="7" t="s">
        <v>67</v>
      </c>
      <c r="D658" s="5">
        <v>1.0</v>
      </c>
      <c r="E658" s="7" t="s">
        <v>482</v>
      </c>
      <c r="F658" s="5" t="s">
        <v>483</v>
      </c>
      <c r="G658" s="14" t="s">
        <v>519</v>
      </c>
      <c r="H658" s="44" t="s">
        <v>414</v>
      </c>
      <c r="I658" s="31" t="s">
        <v>37</v>
      </c>
      <c r="J658" s="32">
        <v>3585800.0</v>
      </c>
    </row>
    <row r="659">
      <c r="A659" s="43" t="s">
        <v>74</v>
      </c>
      <c r="B659" s="6" t="s">
        <v>66</v>
      </c>
      <c r="C659" s="7" t="s">
        <v>67</v>
      </c>
      <c r="D659" s="5">
        <v>1.0</v>
      </c>
      <c r="E659" s="7" t="s">
        <v>482</v>
      </c>
      <c r="F659" s="5" t="s">
        <v>483</v>
      </c>
      <c r="G659" s="14" t="s">
        <v>458</v>
      </c>
      <c r="H659" s="44" t="s">
        <v>411</v>
      </c>
      <c r="I659" s="31" t="s">
        <v>19</v>
      </c>
      <c r="J659" s="32">
        <v>6508171.0</v>
      </c>
    </row>
    <row r="660">
      <c r="A660" s="43" t="s">
        <v>74</v>
      </c>
      <c r="B660" s="6" t="s">
        <v>66</v>
      </c>
      <c r="C660" s="7" t="s">
        <v>67</v>
      </c>
      <c r="D660" s="5">
        <v>1.0</v>
      </c>
      <c r="E660" s="7" t="s">
        <v>459</v>
      </c>
      <c r="F660" s="5" t="s">
        <v>460</v>
      </c>
      <c r="G660" s="14" t="s">
        <v>458</v>
      </c>
      <c r="H660" s="44" t="s">
        <v>411</v>
      </c>
      <c r="I660" s="31" t="s">
        <v>19</v>
      </c>
      <c r="J660" s="32">
        <v>1.5104192E7</v>
      </c>
    </row>
    <row r="661">
      <c r="A661" s="43" t="s">
        <v>74</v>
      </c>
      <c r="B661" s="6" t="s">
        <v>66</v>
      </c>
      <c r="C661" s="7" t="s">
        <v>67</v>
      </c>
      <c r="D661" s="5">
        <v>1.0</v>
      </c>
      <c r="E661" s="7" t="s">
        <v>463</v>
      </c>
      <c r="F661" s="5" t="s">
        <v>464</v>
      </c>
      <c r="G661" s="14" t="s">
        <v>519</v>
      </c>
      <c r="H661" s="44" t="s">
        <v>414</v>
      </c>
      <c r="I661" s="31" t="s">
        <v>37</v>
      </c>
      <c r="J661" s="32">
        <v>291500.0</v>
      </c>
    </row>
    <row r="662">
      <c r="A662" s="43" t="s">
        <v>74</v>
      </c>
      <c r="B662" s="6" t="s">
        <v>66</v>
      </c>
      <c r="C662" s="7" t="s">
        <v>67</v>
      </c>
      <c r="D662" s="5">
        <v>1.0</v>
      </c>
      <c r="E662" s="7" t="s">
        <v>463</v>
      </c>
      <c r="F662" s="5" t="s">
        <v>464</v>
      </c>
      <c r="G662" s="14" t="s">
        <v>458</v>
      </c>
      <c r="H662" s="44" t="s">
        <v>411</v>
      </c>
      <c r="I662" s="31" t="s">
        <v>19</v>
      </c>
      <c r="J662" s="32">
        <v>6508171.0</v>
      </c>
    </row>
    <row r="663">
      <c r="A663" s="43" t="s">
        <v>74</v>
      </c>
      <c r="B663" s="6" t="s">
        <v>66</v>
      </c>
      <c r="C663" s="7" t="s">
        <v>67</v>
      </c>
      <c r="D663" s="5">
        <v>1.0</v>
      </c>
      <c r="E663" s="7" t="s">
        <v>487</v>
      </c>
      <c r="F663" s="5" t="s">
        <v>488</v>
      </c>
      <c r="G663" s="14" t="s">
        <v>458</v>
      </c>
      <c r="H663" s="44" t="s">
        <v>411</v>
      </c>
      <c r="I663" s="31" t="s">
        <v>19</v>
      </c>
      <c r="J663" s="32">
        <v>2.4128398E7</v>
      </c>
    </row>
    <row r="664">
      <c r="A664" s="43" t="s">
        <v>74</v>
      </c>
      <c r="B664" s="6" t="s">
        <v>66</v>
      </c>
      <c r="C664" s="7" t="s">
        <v>67</v>
      </c>
      <c r="D664" s="5">
        <v>1.0</v>
      </c>
      <c r="E664" s="7" t="s">
        <v>469</v>
      </c>
      <c r="F664" s="5" t="s">
        <v>470</v>
      </c>
      <c r="G664" s="14" t="s">
        <v>519</v>
      </c>
      <c r="H664" s="44" t="s">
        <v>414</v>
      </c>
      <c r="I664" s="31" t="s">
        <v>37</v>
      </c>
      <c r="J664" s="32">
        <v>2332000.0</v>
      </c>
    </row>
    <row r="665">
      <c r="A665" s="43" t="s">
        <v>74</v>
      </c>
      <c r="B665" s="6" t="s">
        <v>66</v>
      </c>
      <c r="C665" s="7" t="s">
        <v>67</v>
      </c>
      <c r="D665" s="5">
        <v>1.0</v>
      </c>
      <c r="E665" s="7" t="s">
        <v>473</v>
      </c>
      <c r="F665" s="5" t="s">
        <v>474</v>
      </c>
      <c r="G665" s="14" t="s">
        <v>493</v>
      </c>
      <c r="H665" s="44" t="s">
        <v>437</v>
      </c>
      <c r="I665" s="31" t="s">
        <v>25</v>
      </c>
      <c r="J665" s="32">
        <v>2069586.0</v>
      </c>
    </row>
    <row r="666">
      <c r="A666" s="43" t="s">
        <v>74</v>
      </c>
      <c r="B666" s="6" t="s">
        <v>66</v>
      </c>
      <c r="C666" s="7" t="s">
        <v>67</v>
      </c>
      <c r="D666" s="5">
        <v>1.0</v>
      </c>
      <c r="E666" s="7" t="s">
        <v>473</v>
      </c>
      <c r="F666" s="5" t="s">
        <v>474</v>
      </c>
      <c r="G666" s="14" t="s">
        <v>523</v>
      </c>
      <c r="H666" s="44" t="s">
        <v>431</v>
      </c>
      <c r="I666" s="31" t="s">
        <v>17</v>
      </c>
      <c r="J666" s="32">
        <v>5.65455494E8</v>
      </c>
    </row>
    <row r="667">
      <c r="A667" s="43" t="s">
        <v>74</v>
      </c>
      <c r="B667" s="6" t="s">
        <v>66</v>
      </c>
      <c r="C667" s="7" t="s">
        <v>67</v>
      </c>
      <c r="D667" s="5">
        <v>1.0</v>
      </c>
      <c r="E667" s="7" t="s">
        <v>473</v>
      </c>
      <c r="F667" s="5" t="s">
        <v>474</v>
      </c>
      <c r="G667" s="14" t="s">
        <v>523</v>
      </c>
      <c r="H667" s="44" t="s">
        <v>431</v>
      </c>
      <c r="I667" s="31" t="s">
        <v>25</v>
      </c>
      <c r="J667" s="32">
        <v>-2.49299917E8</v>
      </c>
    </row>
    <row r="668">
      <c r="A668" s="43" t="s">
        <v>74</v>
      </c>
      <c r="B668" s="6" t="s">
        <v>66</v>
      </c>
      <c r="C668" s="7" t="s">
        <v>67</v>
      </c>
      <c r="D668" s="5">
        <v>1.0</v>
      </c>
      <c r="E668" s="7" t="s">
        <v>473</v>
      </c>
      <c r="F668" s="5" t="s">
        <v>474</v>
      </c>
      <c r="G668" s="14" t="s">
        <v>458</v>
      </c>
      <c r="H668" s="44" t="s">
        <v>411</v>
      </c>
      <c r="I668" s="31" t="s">
        <v>19</v>
      </c>
      <c r="J668" s="32">
        <v>1.75720617E8</v>
      </c>
    </row>
    <row r="669">
      <c r="A669" s="43" t="s">
        <v>74</v>
      </c>
      <c r="B669" s="6" t="s">
        <v>66</v>
      </c>
      <c r="C669" s="7" t="s">
        <v>67</v>
      </c>
      <c r="D669" s="5">
        <v>1.0</v>
      </c>
      <c r="E669" s="7" t="s">
        <v>491</v>
      </c>
      <c r="F669" s="5" t="s">
        <v>492</v>
      </c>
      <c r="G669" s="14" t="s">
        <v>545</v>
      </c>
      <c r="H669" s="44" t="s">
        <v>427</v>
      </c>
      <c r="I669" s="31" t="s">
        <v>37</v>
      </c>
      <c r="J669" s="32">
        <v>6.5979942E7</v>
      </c>
    </row>
    <row r="670">
      <c r="A670" s="43" t="s">
        <v>74</v>
      </c>
      <c r="B670" s="6" t="s">
        <v>66</v>
      </c>
      <c r="C670" s="7" t="s">
        <v>67</v>
      </c>
      <c r="D670" s="5">
        <v>1.0</v>
      </c>
      <c r="E670" s="7" t="s">
        <v>491</v>
      </c>
      <c r="F670" s="5" t="s">
        <v>492</v>
      </c>
      <c r="G670" s="14" t="s">
        <v>519</v>
      </c>
      <c r="H670" s="44" t="s">
        <v>414</v>
      </c>
      <c r="I670" s="31" t="s">
        <v>37</v>
      </c>
      <c r="J670" s="32">
        <v>84800.0</v>
      </c>
    </row>
    <row r="671">
      <c r="A671" s="43" t="s">
        <v>74</v>
      </c>
      <c r="B671" s="6" t="s">
        <v>66</v>
      </c>
      <c r="C671" s="7" t="s">
        <v>67</v>
      </c>
      <c r="D671" s="5">
        <v>1.0</v>
      </c>
      <c r="E671" s="7" t="s">
        <v>491</v>
      </c>
      <c r="F671" s="5" t="s">
        <v>492</v>
      </c>
      <c r="G671" s="14" t="s">
        <v>521</v>
      </c>
      <c r="H671" s="44" t="s">
        <v>522</v>
      </c>
      <c r="I671" s="31" t="s">
        <v>37</v>
      </c>
      <c r="J671" s="32">
        <v>127200.0</v>
      </c>
    </row>
    <row r="672">
      <c r="A672" s="43" t="s">
        <v>74</v>
      </c>
      <c r="B672" s="6" t="s">
        <v>66</v>
      </c>
      <c r="C672" s="7" t="s">
        <v>67</v>
      </c>
      <c r="D672" s="5">
        <v>1.0</v>
      </c>
      <c r="E672" s="7" t="s">
        <v>491</v>
      </c>
      <c r="F672" s="5" t="s">
        <v>492</v>
      </c>
      <c r="G672" s="14" t="s">
        <v>458</v>
      </c>
      <c r="H672" s="44" t="s">
        <v>411</v>
      </c>
      <c r="I672" s="31" t="s">
        <v>19</v>
      </c>
      <c r="J672" s="32">
        <v>5123153.0</v>
      </c>
    </row>
    <row r="673">
      <c r="A673" s="43" t="s">
        <v>74</v>
      </c>
      <c r="B673" s="6" t="s">
        <v>66</v>
      </c>
      <c r="C673" s="7" t="s">
        <v>67</v>
      </c>
      <c r="D673" s="5">
        <v>1.0</v>
      </c>
      <c r="E673" s="7" t="s">
        <v>494</v>
      </c>
      <c r="F673" s="5" t="s">
        <v>495</v>
      </c>
      <c r="G673" s="14" t="s">
        <v>477</v>
      </c>
      <c r="H673" s="44" t="s">
        <v>429</v>
      </c>
      <c r="I673" s="31" t="s">
        <v>50</v>
      </c>
      <c r="J673" s="32">
        <v>1.7513161E7</v>
      </c>
    </row>
    <row r="674">
      <c r="A674" s="43" t="s">
        <v>74</v>
      </c>
      <c r="B674" s="6" t="s">
        <v>66</v>
      </c>
      <c r="C674" s="7" t="s">
        <v>67</v>
      </c>
      <c r="D674" s="5">
        <v>1.0</v>
      </c>
      <c r="E674" s="7" t="s">
        <v>475</v>
      </c>
      <c r="F674" s="5" t="s">
        <v>476</v>
      </c>
      <c r="G674" s="14" t="s">
        <v>545</v>
      </c>
      <c r="H674" s="44" t="s">
        <v>427</v>
      </c>
      <c r="I674" s="31" t="s">
        <v>37</v>
      </c>
      <c r="J674" s="32">
        <v>1358689.0</v>
      </c>
    </row>
    <row r="675">
      <c r="A675" s="43" t="s">
        <v>74</v>
      </c>
      <c r="B675" s="6" t="s">
        <v>66</v>
      </c>
      <c r="C675" s="7" t="s">
        <v>67</v>
      </c>
      <c r="D675" s="5">
        <v>1.0</v>
      </c>
      <c r="E675" s="7" t="s">
        <v>475</v>
      </c>
      <c r="F675" s="5" t="s">
        <v>476</v>
      </c>
      <c r="G675" s="14" t="s">
        <v>477</v>
      </c>
      <c r="H675" s="44" t="s">
        <v>429</v>
      </c>
      <c r="I675" s="31" t="s">
        <v>50</v>
      </c>
      <c r="J675" s="32">
        <v>3.754826E7</v>
      </c>
    </row>
    <row r="676">
      <c r="A676" s="43" t="s">
        <v>74</v>
      </c>
      <c r="B676" s="6" t="s">
        <v>66</v>
      </c>
      <c r="C676" s="7" t="s">
        <v>67</v>
      </c>
      <c r="D676" s="5">
        <v>1.0</v>
      </c>
      <c r="E676" s="7" t="s">
        <v>524</v>
      </c>
      <c r="F676" s="5" t="s">
        <v>479</v>
      </c>
      <c r="G676" s="14" t="s">
        <v>443</v>
      </c>
      <c r="H676" s="44" t="s">
        <v>420</v>
      </c>
      <c r="I676" s="31" t="s">
        <v>19</v>
      </c>
      <c r="J676" s="32">
        <v>1.01581366E8</v>
      </c>
    </row>
    <row r="677">
      <c r="A677" s="43" t="s">
        <v>74</v>
      </c>
      <c r="B677" s="6" t="s">
        <v>66</v>
      </c>
      <c r="C677" s="7" t="s">
        <v>67</v>
      </c>
      <c r="D677" s="5">
        <v>1.0</v>
      </c>
      <c r="E677" s="7" t="s">
        <v>524</v>
      </c>
      <c r="F677" s="5" t="s">
        <v>479</v>
      </c>
      <c r="G677" s="14" t="s">
        <v>444</v>
      </c>
      <c r="H677" s="44" t="s">
        <v>445</v>
      </c>
      <c r="I677" s="31" t="s">
        <v>19</v>
      </c>
      <c r="J677" s="32">
        <v>4987322.0</v>
      </c>
    </row>
    <row r="678">
      <c r="A678" s="43" t="s">
        <v>74</v>
      </c>
      <c r="B678" s="6" t="s">
        <v>66</v>
      </c>
      <c r="C678" s="7" t="s">
        <v>67</v>
      </c>
      <c r="D678" s="5">
        <v>1.0</v>
      </c>
      <c r="E678" s="7" t="s">
        <v>524</v>
      </c>
      <c r="F678" s="5" t="s">
        <v>479</v>
      </c>
      <c r="G678" s="14" t="s">
        <v>446</v>
      </c>
      <c r="H678" s="44" t="s">
        <v>447</v>
      </c>
      <c r="I678" s="31" t="s">
        <v>19</v>
      </c>
      <c r="J678" s="32">
        <v>1177715.0</v>
      </c>
    </row>
    <row r="679">
      <c r="A679" s="43" t="s">
        <v>74</v>
      </c>
      <c r="B679" s="6" t="s">
        <v>66</v>
      </c>
      <c r="C679" s="7" t="s">
        <v>67</v>
      </c>
      <c r="D679" s="5">
        <v>1.0</v>
      </c>
      <c r="E679" s="7" t="s">
        <v>524</v>
      </c>
      <c r="F679" s="5" t="s">
        <v>479</v>
      </c>
      <c r="G679" s="14" t="s">
        <v>448</v>
      </c>
      <c r="H679" s="44" t="s">
        <v>449</v>
      </c>
      <c r="I679" s="31" t="s">
        <v>19</v>
      </c>
      <c r="J679" s="32">
        <v>2944287.0</v>
      </c>
    </row>
    <row r="680">
      <c r="A680" s="43" t="s">
        <v>74</v>
      </c>
      <c r="B680" s="6" t="s">
        <v>66</v>
      </c>
      <c r="C680" s="7" t="s">
        <v>67</v>
      </c>
      <c r="D680" s="5">
        <v>1.0</v>
      </c>
      <c r="E680" s="7" t="s">
        <v>524</v>
      </c>
      <c r="F680" s="5" t="s">
        <v>479</v>
      </c>
      <c r="G680" s="14" t="s">
        <v>450</v>
      </c>
      <c r="H680" s="44" t="s">
        <v>451</v>
      </c>
      <c r="I680" s="31" t="s">
        <v>19</v>
      </c>
      <c r="J680" s="32">
        <v>0.0</v>
      </c>
    </row>
    <row r="681">
      <c r="A681" s="43" t="s">
        <v>74</v>
      </c>
      <c r="B681" s="6" t="s">
        <v>66</v>
      </c>
      <c r="C681" s="7" t="s">
        <v>67</v>
      </c>
      <c r="D681" s="5">
        <v>1.0</v>
      </c>
      <c r="E681" s="7" t="s">
        <v>524</v>
      </c>
      <c r="F681" s="5" t="s">
        <v>479</v>
      </c>
      <c r="G681" s="14" t="s">
        <v>452</v>
      </c>
      <c r="H681" s="44" t="s">
        <v>453</v>
      </c>
      <c r="I681" s="31" t="s">
        <v>19</v>
      </c>
      <c r="J681" s="32">
        <v>2178772.0</v>
      </c>
    </row>
    <row r="682">
      <c r="A682" s="43" t="s">
        <v>74</v>
      </c>
      <c r="B682" s="6" t="s">
        <v>66</v>
      </c>
      <c r="C682" s="7" t="s">
        <v>67</v>
      </c>
      <c r="D682" s="5">
        <v>1.0</v>
      </c>
      <c r="E682" s="7" t="s">
        <v>524</v>
      </c>
      <c r="F682" s="5" t="s">
        <v>479</v>
      </c>
      <c r="G682" s="14" t="s">
        <v>454</v>
      </c>
      <c r="H682" s="44" t="s">
        <v>415</v>
      </c>
      <c r="I682" s="31" t="s">
        <v>19</v>
      </c>
      <c r="J682" s="32">
        <v>317983.0</v>
      </c>
    </row>
    <row r="683">
      <c r="A683" s="43" t="s">
        <v>74</v>
      </c>
      <c r="B683" s="6" t="s">
        <v>66</v>
      </c>
      <c r="C683" s="7" t="s">
        <v>67</v>
      </c>
      <c r="D683" s="5">
        <v>1.0</v>
      </c>
      <c r="E683" s="7" t="s">
        <v>524</v>
      </c>
      <c r="F683" s="5" t="s">
        <v>479</v>
      </c>
      <c r="G683" s="14" t="s">
        <v>455</v>
      </c>
      <c r="H683" s="44" t="s">
        <v>415</v>
      </c>
      <c r="I683" s="31" t="s">
        <v>19</v>
      </c>
      <c r="J683" s="32">
        <v>176657.0</v>
      </c>
    </row>
    <row r="684">
      <c r="A684" s="43" t="s">
        <v>74</v>
      </c>
      <c r="B684" s="6" t="s">
        <v>66</v>
      </c>
      <c r="C684" s="7" t="s">
        <v>67</v>
      </c>
      <c r="D684" s="5">
        <v>1.0</v>
      </c>
      <c r="E684" s="7" t="s">
        <v>525</v>
      </c>
      <c r="F684" s="5" t="s">
        <v>502</v>
      </c>
      <c r="G684" s="14" t="s">
        <v>526</v>
      </c>
      <c r="H684" s="44" t="s">
        <v>527</v>
      </c>
      <c r="I684" s="31" t="s">
        <v>60</v>
      </c>
      <c r="J684" s="32">
        <v>3.52609075E8</v>
      </c>
    </row>
    <row r="685">
      <c r="A685" s="43" t="s">
        <v>74</v>
      </c>
      <c r="B685" s="6" t="s">
        <v>66</v>
      </c>
      <c r="C685" s="7" t="s">
        <v>67</v>
      </c>
      <c r="D685" s="5">
        <v>1.0</v>
      </c>
      <c r="E685" s="7" t="s">
        <v>525</v>
      </c>
      <c r="F685" s="5" t="s">
        <v>502</v>
      </c>
      <c r="G685" s="14" t="s">
        <v>505</v>
      </c>
      <c r="H685" s="44" t="s">
        <v>506</v>
      </c>
      <c r="I685" s="31" t="s">
        <v>60</v>
      </c>
      <c r="J685" s="32">
        <v>2.9982747E7</v>
      </c>
    </row>
    <row r="686">
      <c r="A686" s="43" t="s">
        <v>74</v>
      </c>
      <c r="B686" s="6" t="s">
        <v>66</v>
      </c>
      <c r="C686" s="7" t="s">
        <v>67</v>
      </c>
      <c r="D686" s="5">
        <v>1.0</v>
      </c>
      <c r="E686" s="7" t="s">
        <v>525</v>
      </c>
      <c r="F686" s="5" t="s">
        <v>502</v>
      </c>
      <c r="G686" s="14" t="s">
        <v>507</v>
      </c>
      <c r="H686" s="44" t="s">
        <v>508</v>
      </c>
      <c r="I686" s="31" t="s">
        <v>60</v>
      </c>
      <c r="J686" s="32">
        <v>4727147.0</v>
      </c>
    </row>
    <row r="687">
      <c r="A687" s="43" t="s">
        <v>74</v>
      </c>
      <c r="B687" s="6" t="s">
        <v>66</v>
      </c>
      <c r="C687" s="7" t="s">
        <v>67</v>
      </c>
      <c r="D687" s="5">
        <v>1.0</v>
      </c>
      <c r="E687" s="7" t="s">
        <v>525</v>
      </c>
      <c r="F687" s="5" t="s">
        <v>502</v>
      </c>
      <c r="G687" s="14" t="s">
        <v>509</v>
      </c>
      <c r="H687" s="44" t="s">
        <v>510</v>
      </c>
      <c r="I687" s="31" t="s">
        <v>60</v>
      </c>
      <c r="J687" s="32">
        <v>133333.0</v>
      </c>
    </row>
    <row r="688">
      <c r="A688" s="43" t="s">
        <v>74</v>
      </c>
      <c r="B688" s="6" t="s">
        <v>66</v>
      </c>
      <c r="C688" s="7" t="s">
        <v>67</v>
      </c>
      <c r="D688" s="5">
        <v>1.0</v>
      </c>
      <c r="E688" s="7" t="s">
        <v>525</v>
      </c>
      <c r="F688" s="5" t="s">
        <v>502</v>
      </c>
      <c r="G688" s="14" t="s">
        <v>511</v>
      </c>
      <c r="H688" s="44" t="s">
        <v>512</v>
      </c>
      <c r="I688" s="31" t="s">
        <v>60</v>
      </c>
      <c r="J688" s="32">
        <v>6.8771715E7</v>
      </c>
    </row>
    <row r="689">
      <c r="A689" s="43" t="s">
        <v>74</v>
      </c>
      <c r="B689" s="6" t="s">
        <v>66</v>
      </c>
      <c r="C689" s="7" t="s">
        <v>67</v>
      </c>
      <c r="D689" s="5">
        <v>1.0</v>
      </c>
      <c r="E689" s="7" t="s">
        <v>525</v>
      </c>
      <c r="F689" s="5" t="s">
        <v>502</v>
      </c>
      <c r="G689" s="14" t="s">
        <v>513</v>
      </c>
      <c r="H689" s="44" t="s">
        <v>514</v>
      </c>
      <c r="I689" s="31" t="s">
        <v>60</v>
      </c>
      <c r="J689" s="32">
        <v>6.0065111E7</v>
      </c>
    </row>
    <row r="690">
      <c r="A690" s="45" t="s">
        <v>11</v>
      </c>
      <c r="B690" s="16" t="s">
        <v>12</v>
      </c>
      <c r="C690" s="17" t="s">
        <v>13</v>
      </c>
      <c r="D690" s="15">
        <v>2.0</v>
      </c>
      <c r="E690" s="17" t="s">
        <v>441</v>
      </c>
      <c r="F690" s="15" t="s">
        <v>442</v>
      </c>
      <c r="G690" s="46" t="s">
        <v>443</v>
      </c>
      <c r="H690" s="47" t="s">
        <v>420</v>
      </c>
      <c r="I690" s="48" t="s">
        <v>19</v>
      </c>
      <c r="J690" s="49">
        <v>1.0104644E7</v>
      </c>
    </row>
    <row r="691">
      <c r="A691" s="45" t="s">
        <v>11</v>
      </c>
      <c r="B691" s="16" t="s">
        <v>12</v>
      </c>
      <c r="C691" s="17" t="s">
        <v>13</v>
      </c>
      <c r="D691" s="15">
        <v>2.0</v>
      </c>
      <c r="E691" s="17" t="s">
        <v>441</v>
      </c>
      <c r="F691" s="15" t="s">
        <v>442</v>
      </c>
      <c r="G691" s="46" t="s">
        <v>444</v>
      </c>
      <c r="H691" s="47" t="s">
        <v>445</v>
      </c>
      <c r="I691" s="48" t="s">
        <v>19</v>
      </c>
      <c r="J691" s="49">
        <v>224557.0</v>
      </c>
    </row>
    <row r="692">
      <c r="A692" s="45" t="s">
        <v>11</v>
      </c>
      <c r="B692" s="16" t="s">
        <v>12</v>
      </c>
      <c r="C692" s="17" t="s">
        <v>13</v>
      </c>
      <c r="D692" s="15">
        <v>2.0</v>
      </c>
      <c r="E692" s="17" t="s">
        <v>441</v>
      </c>
      <c r="F692" s="15" t="s">
        <v>442</v>
      </c>
      <c r="G692" s="46" t="s">
        <v>446</v>
      </c>
      <c r="H692" s="47" t="s">
        <v>447</v>
      </c>
      <c r="I692" s="48" t="s">
        <v>19</v>
      </c>
      <c r="J692" s="49">
        <v>136530.0</v>
      </c>
    </row>
    <row r="693">
      <c r="A693" s="45" t="s">
        <v>11</v>
      </c>
      <c r="B693" s="16" t="s">
        <v>12</v>
      </c>
      <c r="C693" s="17" t="s">
        <v>13</v>
      </c>
      <c r="D693" s="15">
        <v>2.0</v>
      </c>
      <c r="E693" s="17" t="s">
        <v>441</v>
      </c>
      <c r="F693" s="15" t="s">
        <v>442</v>
      </c>
      <c r="G693" s="46" t="s">
        <v>448</v>
      </c>
      <c r="H693" s="47" t="s">
        <v>449</v>
      </c>
      <c r="I693" s="48" t="s">
        <v>19</v>
      </c>
      <c r="J693" s="49">
        <v>1109311.0</v>
      </c>
    </row>
    <row r="694">
      <c r="A694" s="45" t="s">
        <v>11</v>
      </c>
      <c r="B694" s="16" t="s">
        <v>12</v>
      </c>
      <c r="C694" s="17" t="s">
        <v>13</v>
      </c>
      <c r="D694" s="15">
        <v>2.0</v>
      </c>
      <c r="E694" s="17" t="s">
        <v>441</v>
      </c>
      <c r="F694" s="15" t="s">
        <v>442</v>
      </c>
      <c r="G694" s="46" t="s">
        <v>450</v>
      </c>
      <c r="H694" s="47" t="s">
        <v>451</v>
      </c>
      <c r="I694" s="48" t="s">
        <v>19</v>
      </c>
      <c r="J694" s="49">
        <v>0.0</v>
      </c>
    </row>
    <row r="695">
      <c r="A695" s="45" t="s">
        <v>11</v>
      </c>
      <c r="B695" s="16" t="s">
        <v>12</v>
      </c>
      <c r="C695" s="17" t="s">
        <v>13</v>
      </c>
      <c r="D695" s="15">
        <v>2.0</v>
      </c>
      <c r="E695" s="17" t="s">
        <v>441</v>
      </c>
      <c r="F695" s="15" t="s">
        <v>442</v>
      </c>
      <c r="G695" s="46" t="s">
        <v>452</v>
      </c>
      <c r="H695" s="47" t="s">
        <v>453</v>
      </c>
      <c r="I695" s="48" t="s">
        <v>19</v>
      </c>
      <c r="J695" s="49">
        <v>252581.0</v>
      </c>
    </row>
    <row r="696">
      <c r="A696" s="45" t="s">
        <v>11</v>
      </c>
      <c r="B696" s="16" t="s">
        <v>12</v>
      </c>
      <c r="C696" s="17" t="s">
        <v>13</v>
      </c>
      <c r="D696" s="15">
        <v>2.0</v>
      </c>
      <c r="E696" s="17" t="s">
        <v>441</v>
      </c>
      <c r="F696" s="15" t="s">
        <v>442</v>
      </c>
      <c r="G696" s="46" t="s">
        <v>454</v>
      </c>
      <c r="H696" s="47" t="s">
        <v>415</v>
      </c>
      <c r="I696" s="48" t="s">
        <v>19</v>
      </c>
      <c r="J696" s="49">
        <v>36863.0</v>
      </c>
    </row>
    <row r="697">
      <c r="A697" s="45" t="s">
        <v>11</v>
      </c>
      <c r="B697" s="16" t="s">
        <v>12</v>
      </c>
      <c r="C697" s="17" t="s">
        <v>13</v>
      </c>
      <c r="D697" s="15">
        <v>2.0</v>
      </c>
      <c r="E697" s="17" t="s">
        <v>441</v>
      </c>
      <c r="F697" s="15" t="s">
        <v>442</v>
      </c>
      <c r="G697" s="46" t="s">
        <v>455</v>
      </c>
      <c r="H697" s="47" t="s">
        <v>415</v>
      </c>
      <c r="I697" s="48" t="s">
        <v>19</v>
      </c>
      <c r="J697" s="49">
        <v>20480.0</v>
      </c>
    </row>
    <row r="698">
      <c r="A698" s="45" t="s">
        <v>11</v>
      </c>
      <c r="B698" s="16" t="s">
        <v>12</v>
      </c>
      <c r="C698" s="17" t="s">
        <v>13</v>
      </c>
      <c r="D698" s="15">
        <v>2.0</v>
      </c>
      <c r="E698" s="17" t="s">
        <v>456</v>
      </c>
      <c r="F698" s="15" t="s">
        <v>457</v>
      </c>
      <c r="G698" s="46" t="s">
        <v>443</v>
      </c>
      <c r="H698" s="47" t="s">
        <v>420</v>
      </c>
      <c r="I698" s="48" t="s">
        <v>19</v>
      </c>
      <c r="J698" s="49">
        <v>1354534.0</v>
      </c>
    </row>
    <row r="699">
      <c r="A699" s="45" t="s">
        <v>11</v>
      </c>
      <c r="B699" s="16" t="s">
        <v>12</v>
      </c>
      <c r="C699" s="17" t="s">
        <v>13</v>
      </c>
      <c r="D699" s="15">
        <v>2.0</v>
      </c>
      <c r="E699" s="17" t="s">
        <v>456</v>
      </c>
      <c r="F699" s="15" t="s">
        <v>457</v>
      </c>
      <c r="G699" s="46" t="s">
        <v>458</v>
      </c>
      <c r="H699" s="47" t="s">
        <v>411</v>
      </c>
      <c r="I699" s="48" t="s">
        <v>19</v>
      </c>
      <c r="J699" s="49">
        <v>5462845.0</v>
      </c>
    </row>
    <row r="700">
      <c r="A700" s="45" t="s">
        <v>11</v>
      </c>
      <c r="B700" s="16" t="s">
        <v>12</v>
      </c>
      <c r="C700" s="17" t="s">
        <v>13</v>
      </c>
      <c r="D700" s="15">
        <v>2.0</v>
      </c>
      <c r="E700" s="17" t="s">
        <v>469</v>
      </c>
      <c r="F700" s="15" t="s">
        <v>470</v>
      </c>
      <c r="G700" s="46" t="s">
        <v>516</v>
      </c>
      <c r="H700" s="47" t="s">
        <v>436</v>
      </c>
      <c r="I700" s="48" t="s">
        <v>25</v>
      </c>
      <c r="J700" s="49">
        <v>1000000.0</v>
      </c>
    </row>
    <row r="701">
      <c r="A701" s="45" t="s">
        <v>11</v>
      </c>
      <c r="B701" s="16" t="s">
        <v>12</v>
      </c>
      <c r="C701" s="17" t="s">
        <v>13</v>
      </c>
      <c r="D701" s="15">
        <v>2.0</v>
      </c>
      <c r="E701" s="17" t="s">
        <v>469</v>
      </c>
      <c r="F701" s="15" t="s">
        <v>470</v>
      </c>
      <c r="G701" s="46" t="s">
        <v>517</v>
      </c>
      <c r="H701" s="47" t="s">
        <v>518</v>
      </c>
      <c r="I701" s="48" t="s">
        <v>25</v>
      </c>
      <c r="J701" s="49">
        <v>500000.0</v>
      </c>
    </row>
    <row r="702">
      <c r="A702" s="45" t="s">
        <v>11</v>
      </c>
      <c r="B702" s="16" t="s">
        <v>12</v>
      </c>
      <c r="C702" s="17" t="s">
        <v>13</v>
      </c>
      <c r="D702" s="15">
        <v>2.0</v>
      </c>
      <c r="E702" s="17" t="s">
        <v>473</v>
      </c>
      <c r="F702" s="15" t="s">
        <v>474</v>
      </c>
      <c r="G702" s="46" t="s">
        <v>443</v>
      </c>
      <c r="H702" s="47" t="s">
        <v>420</v>
      </c>
      <c r="I702" s="48" t="s">
        <v>19</v>
      </c>
      <c r="J702" s="49">
        <v>6975000.0</v>
      </c>
    </row>
    <row r="703">
      <c r="A703" s="45" t="s">
        <v>11</v>
      </c>
      <c r="B703" s="16" t="s">
        <v>12</v>
      </c>
      <c r="C703" s="17" t="s">
        <v>13</v>
      </c>
      <c r="D703" s="15">
        <v>2.0</v>
      </c>
      <c r="E703" s="17" t="s">
        <v>473</v>
      </c>
      <c r="F703" s="15" t="s">
        <v>474</v>
      </c>
      <c r="G703" s="46" t="s">
        <v>444</v>
      </c>
      <c r="H703" s="47" t="s">
        <v>445</v>
      </c>
      <c r="I703" s="48" t="s">
        <v>19</v>
      </c>
      <c r="J703" s="49">
        <v>88291.0</v>
      </c>
    </row>
    <row r="704">
      <c r="A704" s="45" t="s">
        <v>11</v>
      </c>
      <c r="B704" s="16" t="s">
        <v>12</v>
      </c>
      <c r="C704" s="17" t="s">
        <v>13</v>
      </c>
      <c r="D704" s="15">
        <v>2.0</v>
      </c>
      <c r="E704" s="17" t="s">
        <v>473</v>
      </c>
      <c r="F704" s="15" t="s">
        <v>474</v>
      </c>
      <c r="G704" s="46" t="s">
        <v>452</v>
      </c>
      <c r="H704" s="47" t="s">
        <v>453</v>
      </c>
      <c r="I704" s="48" t="s">
        <v>19</v>
      </c>
      <c r="J704" s="49">
        <v>2562531.0</v>
      </c>
    </row>
    <row r="705">
      <c r="A705" s="45" t="s">
        <v>11</v>
      </c>
      <c r="B705" s="16" t="s">
        <v>12</v>
      </c>
      <c r="C705" s="17" t="s">
        <v>13</v>
      </c>
      <c r="D705" s="15">
        <v>2.0</v>
      </c>
      <c r="E705" s="17" t="s">
        <v>473</v>
      </c>
      <c r="F705" s="15" t="s">
        <v>474</v>
      </c>
      <c r="G705" s="46" t="s">
        <v>458</v>
      </c>
      <c r="H705" s="47" t="s">
        <v>411</v>
      </c>
      <c r="I705" s="48" t="s">
        <v>19</v>
      </c>
      <c r="J705" s="49">
        <v>2.85018E7</v>
      </c>
    </row>
    <row r="706">
      <c r="A706" s="45" t="s">
        <v>11</v>
      </c>
      <c r="B706" s="16" t="s">
        <v>12</v>
      </c>
      <c r="C706" s="17" t="s">
        <v>13</v>
      </c>
      <c r="D706" s="15">
        <v>2.0</v>
      </c>
      <c r="E706" s="17" t="s">
        <v>491</v>
      </c>
      <c r="F706" s="15" t="s">
        <v>492</v>
      </c>
      <c r="G706" s="46" t="s">
        <v>493</v>
      </c>
      <c r="H706" s="47" t="s">
        <v>437</v>
      </c>
      <c r="I706" s="48" t="s">
        <v>25</v>
      </c>
      <c r="J706" s="49">
        <v>432000.0</v>
      </c>
    </row>
    <row r="707">
      <c r="A707" s="45" t="s">
        <v>11</v>
      </c>
      <c r="B707" s="16" t="s">
        <v>12</v>
      </c>
      <c r="C707" s="17" t="s">
        <v>13</v>
      </c>
      <c r="D707" s="15">
        <v>2.0</v>
      </c>
      <c r="E707" s="17" t="s">
        <v>475</v>
      </c>
      <c r="F707" s="15" t="s">
        <v>476</v>
      </c>
      <c r="G707" s="46" t="s">
        <v>498</v>
      </c>
      <c r="H707" s="47" t="s">
        <v>434</v>
      </c>
      <c r="I707" s="48" t="s">
        <v>25</v>
      </c>
      <c r="J707" s="49">
        <v>1930000.0</v>
      </c>
    </row>
    <row r="708">
      <c r="A708" s="45" t="s">
        <v>11</v>
      </c>
      <c r="B708" s="16" t="s">
        <v>12</v>
      </c>
      <c r="C708" s="17" t="s">
        <v>13</v>
      </c>
      <c r="D708" s="15">
        <v>2.0</v>
      </c>
      <c r="E708" s="17" t="s">
        <v>525</v>
      </c>
      <c r="F708" s="15" t="s">
        <v>502</v>
      </c>
      <c r="G708" s="46" t="s">
        <v>503</v>
      </c>
      <c r="H708" s="47" t="s">
        <v>504</v>
      </c>
      <c r="I708" s="48" t="s">
        <v>60</v>
      </c>
      <c r="J708" s="49">
        <v>-1.53430136E8</v>
      </c>
    </row>
    <row r="709">
      <c r="A709" s="45" t="s">
        <v>11</v>
      </c>
      <c r="B709" s="16" t="s">
        <v>12</v>
      </c>
      <c r="C709" s="17" t="s">
        <v>13</v>
      </c>
      <c r="D709" s="15">
        <v>2.0</v>
      </c>
      <c r="E709" s="17" t="s">
        <v>478</v>
      </c>
      <c r="F709" s="15" t="s">
        <v>479</v>
      </c>
      <c r="G709" s="46" t="s">
        <v>443</v>
      </c>
      <c r="H709" s="47" t="s">
        <v>420</v>
      </c>
      <c r="I709" s="48" t="s">
        <v>19</v>
      </c>
      <c r="J709" s="49">
        <v>1.5403377E7</v>
      </c>
    </row>
    <row r="710">
      <c r="A710" s="45" t="s">
        <v>11</v>
      </c>
      <c r="B710" s="16" t="s">
        <v>12</v>
      </c>
      <c r="C710" s="17" t="s">
        <v>13</v>
      </c>
      <c r="D710" s="15">
        <v>2.0</v>
      </c>
      <c r="E710" s="17" t="s">
        <v>478</v>
      </c>
      <c r="F710" s="15" t="s">
        <v>479</v>
      </c>
      <c r="G710" s="46" t="s">
        <v>444</v>
      </c>
      <c r="H710" s="47" t="s">
        <v>445</v>
      </c>
      <c r="I710" s="48" t="s">
        <v>19</v>
      </c>
      <c r="J710" s="49">
        <v>1205113.0</v>
      </c>
    </row>
    <row r="711">
      <c r="A711" s="45" t="s">
        <v>11</v>
      </c>
      <c r="B711" s="16" t="s">
        <v>12</v>
      </c>
      <c r="C711" s="17" t="s">
        <v>13</v>
      </c>
      <c r="D711" s="15">
        <v>2.0</v>
      </c>
      <c r="E711" s="17" t="s">
        <v>478</v>
      </c>
      <c r="F711" s="15" t="s">
        <v>479</v>
      </c>
      <c r="G711" s="46" t="s">
        <v>446</v>
      </c>
      <c r="H711" s="47" t="s">
        <v>447</v>
      </c>
      <c r="I711" s="48" t="s">
        <v>19</v>
      </c>
      <c r="J711" s="49">
        <v>208018.0</v>
      </c>
    </row>
    <row r="712">
      <c r="A712" s="45" t="s">
        <v>11</v>
      </c>
      <c r="B712" s="16" t="s">
        <v>12</v>
      </c>
      <c r="C712" s="17" t="s">
        <v>13</v>
      </c>
      <c r="D712" s="15">
        <v>2.0</v>
      </c>
      <c r="E712" s="17" t="s">
        <v>478</v>
      </c>
      <c r="F712" s="15" t="s">
        <v>479</v>
      </c>
      <c r="G712" s="46" t="s">
        <v>448</v>
      </c>
      <c r="H712" s="47" t="s">
        <v>449</v>
      </c>
      <c r="I712" s="48" t="s">
        <v>19</v>
      </c>
      <c r="J712" s="49">
        <v>1690152.0</v>
      </c>
    </row>
    <row r="713">
      <c r="A713" s="45" t="s">
        <v>11</v>
      </c>
      <c r="B713" s="16" t="s">
        <v>12</v>
      </c>
      <c r="C713" s="17" t="s">
        <v>13</v>
      </c>
      <c r="D713" s="15">
        <v>2.0</v>
      </c>
      <c r="E713" s="17" t="s">
        <v>478</v>
      </c>
      <c r="F713" s="15" t="s">
        <v>479</v>
      </c>
      <c r="G713" s="46" t="s">
        <v>450</v>
      </c>
      <c r="H713" s="47" t="s">
        <v>451</v>
      </c>
      <c r="I713" s="48" t="s">
        <v>19</v>
      </c>
      <c r="J713" s="49">
        <v>0.0</v>
      </c>
    </row>
    <row r="714">
      <c r="A714" s="45" t="s">
        <v>11</v>
      </c>
      <c r="B714" s="16" t="s">
        <v>12</v>
      </c>
      <c r="C714" s="17" t="s">
        <v>13</v>
      </c>
      <c r="D714" s="15">
        <v>2.0</v>
      </c>
      <c r="E714" s="17" t="s">
        <v>478</v>
      </c>
      <c r="F714" s="15" t="s">
        <v>479</v>
      </c>
      <c r="G714" s="46" t="s">
        <v>452</v>
      </c>
      <c r="H714" s="47" t="s">
        <v>453</v>
      </c>
      <c r="I714" s="48" t="s">
        <v>19</v>
      </c>
      <c r="J714" s="49">
        <v>384834.0</v>
      </c>
    </row>
    <row r="715">
      <c r="A715" s="45" t="s">
        <v>11</v>
      </c>
      <c r="B715" s="16" t="s">
        <v>12</v>
      </c>
      <c r="C715" s="17" t="s">
        <v>13</v>
      </c>
      <c r="D715" s="15">
        <v>2.0</v>
      </c>
      <c r="E715" s="17" t="s">
        <v>478</v>
      </c>
      <c r="F715" s="15" t="s">
        <v>479</v>
      </c>
      <c r="G715" s="46" t="s">
        <v>454</v>
      </c>
      <c r="H715" s="47" t="s">
        <v>415</v>
      </c>
      <c r="I715" s="48" t="s">
        <v>19</v>
      </c>
      <c r="J715" s="49">
        <v>56165.0</v>
      </c>
    </row>
    <row r="716">
      <c r="A716" s="45" t="s">
        <v>11</v>
      </c>
      <c r="B716" s="16" t="s">
        <v>12</v>
      </c>
      <c r="C716" s="17" t="s">
        <v>13</v>
      </c>
      <c r="D716" s="15">
        <v>2.0</v>
      </c>
      <c r="E716" s="17" t="s">
        <v>478</v>
      </c>
      <c r="F716" s="15" t="s">
        <v>479</v>
      </c>
      <c r="G716" s="46" t="s">
        <v>455</v>
      </c>
      <c r="H716" s="47" t="s">
        <v>415</v>
      </c>
      <c r="I716" s="48" t="s">
        <v>19</v>
      </c>
      <c r="J716" s="49">
        <v>31203.0</v>
      </c>
    </row>
    <row r="717">
      <c r="A717" s="45" t="s">
        <v>11</v>
      </c>
      <c r="B717" s="16" t="s">
        <v>12</v>
      </c>
      <c r="C717" s="17" t="s">
        <v>13</v>
      </c>
      <c r="D717" s="15">
        <v>2.0</v>
      </c>
      <c r="E717" s="17" t="s">
        <v>501</v>
      </c>
      <c r="F717" s="15" t="s">
        <v>502</v>
      </c>
      <c r="G717" s="46" t="s">
        <v>503</v>
      </c>
      <c r="H717" s="47" t="s">
        <v>504</v>
      </c>
      <c r="I717" s="48" t="s">
        <v>60</v>
      </c>
      <c r="J717" s="49">
        <v>3.06860274E8</v>
      </c>
    </row>
    <row r="718">
      <c r="A718" s="45" t="s">
        <v>11</v>
      </c>
      <c r="B718" s="16" t="s">
        <v>32</v>
      </c>
      <c r="C718" s="17" t="s">
        <v>33</v>
      </c>
      <c r="D718" s="15">
        <v>2.0</v>
      </c>
      <c r="E718" s="17" t="s">
        <v>441</v>
      </c>
      <c r="F718" s="15" t="s">
        <v>442</v>
      </c>
      <c r="G718" s="46" t="s">
        <v>443</v>
      </c>
      <c r="H718" s="47" t="s">
        <v>420</v>
      </c>
      <c r="I718" s="48" t="s">
        <v>19</v>
      </c>
      <c r="J718" s="49">
        <v>4.8211698E7</v>
      </c>
    </row>
    <row r="719">
      <c r="A719" s="45" t="s">
        <v>11</v>
      </c>
      <c r="B719" s="16" t="s">
        <v>32</v>
      </c>
      <c r="C719" s="17" t="s">
        <v>33</v>
      </c>
      <c r="D719" s="15">
        <v>2.0</v>
      </c>
      <c r="E719" s="17" t="s">
        <v>441</v>
      </c>
      <c r="F719" s="15" t="s">
        <v>442</v>
      </c>
      <c r="G719" s="46" t="s">
        <v>444</v>
      </c>
      <c r="H719" s="47" t="s">
        <v>445</v>
      </c>
      <c r="I719" s="48" t="s">
        <v>19</v>
      </c>
      <c r="J719" s="49">
        <v>4908552.0</v>
      </c>
    </row>
    <row r="720">
      <c r="A720" s="45" t="s">
        <v>11</v>
      </c>
      <c r="B720" s="16" t="s">
        <v>32</v>
      </c>
      <c r="C720" s="17" t="s">
        <v>33</v>
      </c>
      <c r="D720" s="15">
        <v>2.0</v>
      </c>
      <c r="E720" s="17" t="s">
        <v>441</v>
      </c>
      <c r="F720" s="15" t="s">
        <v>442</v>
      </c>
      <c r="G720" s="46" t="s">
        <v>446</v>
      </c>
      <c r="H720" s="47" t="s">
        <v>447</v>
      </c>
      <c r="I720" s="48" t="s">
        <v>19</v>
      </c>
      <c r="J720" s="49">
        <v>500272.0</v>
      </c>
    </row>
    <row r="721">
      <c r="A721" s="45" t="s">
        <v>11</v>
      </c>
      <c r="B721" s="16" t="s">
        <v>32</v>
      </c>
      <c r="C721" s="17" t="s">
        <v>33</v>
      </c>
      <c r="D721" s="15">
        <v>2.0</v>
      </c>
      <c r="E721" s="17" t="s">
        <v>441</v>
      </c>
      <c r="F721" s="15" t="s">
        <v>442</v>
      </c>
      <c r="G721" s="46" t="s">
        <v>448</v>
      </c>
      <c r="H721" s="47" t="s">
        <v>449</v>
      </c>
      <c r="I721" s="48" t="s">
        <v>19</v>
      </c>
      <c r="J721" s="49">
        <v>1269125.0</v>
      </c>
    </row>
    <row r="722">
      <c r="A722" s="45" t="s">
        <v>11</v>
      </c>
      <c r="B722" s="16" t="s">
        <v>32</v>
      </c>
      <c r="C722" s="17" t="s">
        <v>33</v>
      </c>
      <c r="D722" s="15">
        <v>2.0</v>
      </c>
      <c r="E722" s="17" t="s">
        <v>441</v>
      </c>
      <c r="F722" s="15" t="s">
        <v>442</v>
      </c>
      <c r="G722" s="46" t="s">
        <v>450</v>
      </c>
      <c r="H722" s="47" t="s">
        <v>451</v>
      </c>
      <c r="I722" s="48" t="s">
        <v>19</v>
      </c>
      <c r="J722" s="49">
        <v>0.0</v>
      </c>
    </row>
    <row r="723">
      <c r="A723" s="45" t="s">
        <v>11</v>
      </c>
      <c r="B723" s="16" t="s">
        <v>32</v>
      </c>
      <c r="C723" s="17" t="s">
        <v>33</v>
      </c>
      <c r="D723" s="15">
        <v>2.0</v>
      </c>
      <c r="E723" s="17" t="s">
        <v>441</v>
      </c>
      <c r="F723" s="15" t="s">
        <v>442</v>
      </c>
      <c r="G723" s="46" t="s">
        <v>452</v>
      </c>
      <c r="H723" s="47" t="s">
        <v>453</v>
      </c>
      <c r="I723" s="48" t="s">
        <v>19</v>
      </c>
      <c r="J723" s="49">
        <v>1054540.0</v>
      </c>
    </row>
    <row r="724">
      <c r="A724" s="45" t="s">
        <v>11</v>
      </c>
      <c r="B724" s="16" t="s">
        <v>32</v>
      </c>
      <c r="C724" s="17" t="s">
        <v>33</v>
      </c>
      <c r="D724" s="15">
        <v>2.0</v>
      </c>
      <c r="E724" s="17" t="s">
        <v>441</v>
      </c>
      <c r="F724" s="15" t="s">
        <v>442</v>
      </c>
      <c r="G724" s="46" t="s">
        <v>454</v>
      </c>
      <c r="H724" s="47" t="s">
        <v>415</v>
      </c>
      <c r="I724" s="48" t="s">
        <v>19</v>
      </c>
      <c r="J724" s="49">
        <v>153906.0</v>
      </c>
    </row>
    <row r="725">
      <c r="A725" s="45" t="s">
        <v>11</v>
      </c>
      <c r="B725" s="16" t="s">
        <v>32</v>
      </c>
      <c r="C725" s="17" t="s">
        <v>33</v>
      </c>
      <c r="D725" s="15">
        <v>2.0</v>
      </c>
      <c r="E725" s="17" t="s">
        <v>441</v>
      </c>
      <c r="F725" s="15" t="s">
        <v>442</v>
      </c>
      <c r="G725" s="46" t="s">
        <v>455</v>
      </c>
      <c r="H725" s="47" t="s">
        <v>415</v>
      </c>
      <c r="I725" s="48" t="s">
        <v>19</v>
      </c>
      <c r="J725" s="49">
        <v>85504.0</v>
      </c>
    </row>
    <row r="726">
      <c r="A726" s="45" t="s">
        <v>11</v>
      </c>
      <c r="B726" s="16" t="s">
        <v>32</v>
      </c>
      <c r="C726" s="17" t="s">
        <v>33</v>
      </c>
      <c r="D726" s="15">
        <v>2.0</v>
      </c>
      <c r="E726" s="17" t="s">
        <v>456</v>
      </c>
      <c r="F726" s="15" t="s">
        <v>457</v>
      </c>
      <c r="G726" s="46" t="s">
        <v>458</v>
      </c>
      <c r="H726" s="47" t="s">
        <v>411</v>
      </c>
      <c r="I726" s="48" t="s">
        <v>19</v>
      </c>
      <c r="J726" s="49">
        <v>5.9911292E7</v>
      </c>
    </row>
    <row r="727">
      <c r="A727" s="45" t="s">
        <v>11</v>
      </c>
      <c r="B727" s="16" t="s">
        <v>32</v>
      </c>
      <c r="C727" s="17" t="s">
        <v>33</v>
      </c>
      <c r="D727" s="15">
        <v>2.0</v>
      </c>
      <c r="E727" s="17" t="s">
        <v>459</v>
      </c>
      <c r="F727" s="15" t="s">
        <v>460</v>
      </c>
      <c r="G727" s="46" t="s">
        <v>519</v>
      </c>
      <c r="H727" s="47" t="s">
        <v>414</v>
      </c>
      <c r="I727" s="48" t="s">
        <v>37</v>
      </c>
      <c r="J727" s="49">
        <v>186160.0</v>
      </c>
    </row>
    <row r="728">
      <c r="A728" s="45" t="s">
        <v>11</v>
      </c>
      <c r="B728" s="16" t="s">
        <v>32</v>
      </c>
      <c r="C728" s="17" t="s">
        <v>33</v>
      </c>
      <c r="D728" s="15">
        <v>2.0</v>
      </c>
      <c r="E728" s="17" t="s">
        <v>459</v>
      </c>
      <c r="F728" s="15" t="s">
        <v>460</v>
      </c>
      <c r="G728" s="46" t="s">
        <v>461</v>
      </c>
      <c r="H728" s="47" t="s">
        <v>462</v>
      </c>
      <c r="I728" s="48" t="s">
        <v>37</v>
      </c>
      <c r="J728" s="49">
        <v>1275040.0</v>
      </c>
    </row>
    <row r="729">
      <c r="A729" s="45" t="s">
        <v>11</v>
      </c>
      <c r="B729" s="16" t="s">
        <v>32</v>
      </c>
      <c r="C729" s="17" t="s">
        <v>33</v>
      </c>
      <c r="D729" s="15">
        <v>2.0</v>
      </c>
      <c r="E729" s="17" t="s">
        <v>463</v>
      </c>
      <c r="F729" s="15" t="s">
        <v>464</v>
      </c>
      <c r="G729" s="46" t="s">
        <v>465</v>
      </c>
      <c r="H729" s="47" t="s">
        <v>466</v>
      </c>
      <c r="I729" s="48" t="s">
        <v>37</v>
      </c>
      <c r="J729" s="49">
        <v>1560000.0</v>
      </c>
    </row>
    <row r="730">
      <c r="A730" s="45" t="s">
        <v>11</v>
      </c>
      <c r="B730" s="16" t="s">
        <v>32</v>
      </c>
      <c r="C730" s="17" t="s">
        <v>33</v>
      </c>
      <c r="D730" s="15">
        <v>2.0</v>
      </c>
      <c r="E730" s="17" t="s">
        <v>463</v>
      </c>
      <c r="F730" s="15" t="s">
        <v>464</v>
      </c>
      <c r="G730" s="46" t="s">
        <v>458</v>
      </c>
      <c r="H730" s="47" t="s">
        <v>411</v>
      </c>
      <c r="I730" s="48" t="s">
        <v>19</v>
      </c>
      <c r="J730" s="49">
        <v>1.235052E7</v>
      </c>
    </row>
    <row r="731">
      <c r="A731" s="45" t="s">
        <v>11</v>
      </c>
      <c r="B731" s="16" t="s">
        <v>32</v>
      </c>
      <c r="C731" s="17" t="s">
        <v>33</v>
      </c>
      <c r="D731" s="15">
        <v>2.0</v>
      </c>
      <c r="E731" s="17" t="s">
        <v>487</v>
      </c>
      <c r="F731" s="15" t="s">
        <v>488</v>
      </c>
      <c r="G731" s="46" t="s">
        <v>489</v>
      </c>
      <c r="H731" s="47" t="s">
        <v>490</v>
      </c>
      <c r="I731" s="48" t="s">
        <v>37</v>
      </c>
      <c r="J731" s="49">
        <v>7072000.0</v>
      </c>
    </row>
    <row r="732">
      <c r="A732" s="45" t="s">
        <v>11</v>
      </c>
      <c r="B732" s="16" t="s">
        <v>32</v>
      </c>
      <c r="C732" s="17" t="s">
        <v>33</v>
      </c>
      <c r="D732" s="15">
        <v>2.0</v>
      </c>
      <c r="E732" s="17" t="s">
        <v>469</v>
      </c>
      <c r="F732" s="15" t="s">
        <v>470</v>
      </c>
      <c r="G732" s="46" t="s">
        <v>471</v>
      </c>
      <c r="H732" s="47" t="s">
        <v>472</v>
      </c>
      <c r="I732" s="48" t="s">
        <v>25</v>
      </c>
      <c r="J732" s="49">
        <v>500000.0</v>
      </c>
    </row>
    <row r="733">
      <c r="A733" s="45" t="s">
        <v>11</v>
      </c>
      <c r="B733" s="16" t="s">
        <v>32</v>
      </c>
      <c r="C733" s="17" t="s">
        <v>33</v>
      </c>
      <c r="D733" s="15">
        <v>2.0</v>
      </c>
      <c r="E733" s="17" t="s">
        <v>473</v>
      </c>
      <c r="F733" s="15" t="s">
        <v>474</v>
      </c>
      <c r="G733" s="46" t="s">
        <v>443</v>
      </c>
      <c r="H733" s="47" t="s">
        <v>420</v>
      </c>
      <c r="I733" s="48" t="s">
        <v>19</v>
      </c>
      <c r="J733" s="49">
        <v>6975000.0</v>
      </c>
    </row>
    <row r="734">
      <c r="A734" s="45" t="s">
        <v>11</v>
      </c>
      <c r="B734" s="16" t="s">
        <v>32</v>
      </c>
      <c r="C734" s="17" t="s">
        <v>33</v>
      </c>
      <c r="D734" s="15">
        <v>2.0</v>
      </c>
      <c r="E734" s="17" t="s">
        <v>473</v>
      </c>
      <c r="F734" s="15" t="s">
        <v>474</v>
      </c>
      <c r="G734" s="46" t="s">
        <v>444</v>
      </c>
      <c r="H734" s="47" t="s">
        <v>445</v>
      </c>
      <c r="I734" s="48" t="s">
        <v>19</v>
      </c>
      <c r="J734" s="49">
        <v>88291.0</v>
      </c>
    </row>
    <row r="735">
      <c r="A735" s="45" t="s">
        <v>11</v>
      </c>
      <c r="B735" s="16" t="s">
        <v>32</v>
      </c>
      <c r="C735" s="17" t="s">
        <v>33</v>
      </c>
      <c r="D735" s="15">
        <v>2.0</v>
      </c>
      <c r="E735" s="17" t="s">
        <v>473</v>
      </c>
      <c r="F735" s="15" t="s">
        <v>474</v>
      </c>
      <c r="G735" s="46" t="s">
        <v>458</v>
      </c>
      <c r="H735" s="47" t="s">
        <v>411</v>
      </c>
      <c r="I735" s="48" t="s">
        <v>19</v>
      </c>
      <c r="J735" s="49">
        <v>5.3736032E7</v>
      </c>
    </row>
    <row r="736">
      <c r="A736" s="45" t="s">
        <v>11</v>
      </c>
      <c r="B736" s="16" t="s">
        <v>32</v>
      </c>
      <c r="C736" s="17" t="s">
        <v>33</v>
      </c>
      <c r="D736" s="15">
        <v>2.0</v>
      </c>
      <c r="E736" s="17" t="s">
        <v>473</v>
      </c>
      <c r="F736" s="15" t="s">
        <v>474</v>
      </c>
      <c r="G736" s="46" t="s">
        <v>477</v>
      </c>
      <c r="H736" s="47" t="s">
        <v>429</v>
      </c>
      <c r="I736" s="48" t="s">
        <v>50</v>
      </c>
      <c r="J736" s="49">
        <v>2256655.0</v>
      </c>
    </row>
    <row r="737">
      <c r="A737" s="45" t="s">
        <v>11</v>
      </c>
      <c r="B737" s="16" t="s">
        <v>32</v>
      </c>
      <c r="C737" s="17" t="s">
        <v>33</v>
      </c>
      <c r="D737" s="15">
        <v>2.0</v>
      </c>
      <c r="E737" s="17" t="s">
        <v>491</v>
      </c>
      <c r="F737" s="15" t="s">
        <v>492</v>
      </c>
      <c r="G737" s="46" t="s">
        <v>493</v>
      </c>
      <c r="H737" s="47" t="s">
        <v>437</v>
      </c>
      <c r="I737" s="48" t="s">
        <v>37</v>
      </c>
      <c r="J737" s="49">
        <v>675480.0</v>
      </c>
    </row>
    <row r="738">
      <c r="A738" s="45" t="s">
        <v>11</v>
      </c>
      <c r="B738" s="16" t="s">
        <v>32</v>
      </c>
      <c r="C738" s="17" t="s">
        <v>33</v>
      </c>
      <c r="D738" s="15">
        <v>2.0</v>
      </c>
      <c r="E738" s="17" t="s">
        <v>491</v>
      </c>
      <c r="F738" s="15" t="s">
        <v>492</v>
      </c>
      <c r="G738" s="46" t="s">
        <v>493</v>
      </c>
      <c r="H738" s="47" t="s">
        <v>437</v>
      </c>
      <c r="I738" s="48" t="s">
        <v>25</v>
      </c>
      <c r="J738" s="49">
        <v>1108000.0</v>
      </c>
    </row>
    <row r="739">
      <c r="A739" s="45" t="s">
        <v>11</v>
      </c>
      <c r="B739" s="16" t="s">
        <v>32</v>
      </c>
      <c r="C739" s="17" t="s">
        <v>33</v>
      </c>
      <c r="D739" s="15">
        <v>2.0</v>
      </c>
      <c r="E739" s="17" t="s">
        <v>494</v>
      </c>
      <c r="F739" s="15" t="s">
        <v>495</v>
      </c>
      <c r="G739" s="46" t="s">
        <v>496</v>
      </c>
      <c r="H739" s="47" t="s">
        <v>497</v>
      </c>
      <c r="I739" s="48" t="s">
        <v>25</v>
      </c>
      <c r="J739" s="49">
        <v>1071000.0</v>
      </c>
    </row>
    <row r="740">
      <c r="A740" s="45" t="s">
        <v>11</v>
      </c>
      <c r="B740" s="16" t="s">
        <v>32</v>
      </c>
      <c r="C740" s="17" t="s">
        <v>33</v>
      </c>
      <c r="D740" s="15">
        <v>2.0</v>
      </c>
      <c r="E740" s="17" t="s">
        <v>475</v>
      </c>
      <c r="F740" s="15" t="s">
        <v>476</v>
      </c>
      <c r="G740" s="46" t="s">
        <v>477</v>
      </c>
      <c r="H740" s="47" t="s">
        <v>429</v>
      </c>
      <c r="I740" s="48" t="s">
        <v>50</v>
      </c>
      <c r="J740" s="49">
        <v>2.9512335E7</v>
      </c>
    </row>
    <row r="741">
      <c r="A741" s="45" t="s">
        <v>11</v>
      </c>
      <c r="B741" s="16" t="s">
        <v>32</v>
      </c>
      <c r="C741" s="17" t="s">
        <v>33</v>
      </c>
      <c r="D741" s="15">
        <v>2.0</v>
      </c>
      <c r="E741" s="17" t="s">
        <v>478</v>
      </c>
      <c r="F741" s="15" t="s">
        <v>479</v>
      </c>
      <c r="G741" s="46" t="s">
        <v>443</v>
      </c>
      <c r="H741" s="47" t="s">
        <v>420</v>
      </c>
      <c r="I741" s="48" t="s">
        <v>19</v>
      </c>
      <c r="J741" s="49">
        <v>6.3224678E7</v>
      </c>
    </row>
    <row r="742">
      <c r="A742" s="45" t="s">
        <v>11</v>
      </c>
      <c r="B742" s="16" t="s">
        <v>32</v>
      </c>
      <c r="C742" s="17" t="s">
        <v>33</v>
      </c>
      <c r="D742" s="15">
        <v>2.0</v>
      </c>
      <c r="E742" s="17" t="s">
        <v>478</v>
      </c>
      <c r="F742" s="15" t="s">
        <v>479</v>
      </c>
      <c r="G742" s="46" t="s">
        <v>444</v>
      </c>
      <c r="H742" s="47" t="s">
        <v>445</v>
      </c>
      <c r="I742" s="48" t="s">
        <v>19</v>
      </c>
      <c r="J742" s="49">
        <v>3255032.0</v>
      </c>
    </row>
    <row r="743">
      <c r="A743" s="45" t="s">
        <v>11</v>
      </c>
      <c r="B743" s="16" t="s">
        <v>32</v>
      </c>
      <c r="C743" s="17" t="s">
        <v>33</v>
      </c>
      <c r="D743" s="15">
        <v>2.0</v>
      </c>
      <c r="E743" s="17" t="s">
        <v>478</v>
      </c>
      <c r="F743" s="15" t="s">
        <v>479</v>
      </c>
      <c r="G743" s="46" t="s">
        <v>446</v>
      </c>
      <c r="H743" s="47" t="s">
        <v>447</v>
      </c>
      <c r="I743" s="48" t="s">
        <v>19</v>
      </c>
      <c r="J743" s="49">
        <v>783151.0</v>
      </c>
    </row>
    <row r="744">
      <c r="A744" s="45" t="s">
        <v>11</v>
      </c>
      <c r="B744" s="16" t="s">
        <v>32</v>
      </c>
      <c r="C744" s="17" t="s">
        <v>33</v>
      </c>
      <c r="D744" s="15">
        <v>2.0</v>
      </c>
      <c r="E744" s="17" t="s">
        <v>478</v>
      </c>
      <c r="F744" s="15" t="s">
        <v>479</v>
      </c>
      <c r="G744" s="46" t="s">
        <v>448</v>
      </c>
      <c r="H744" s="47" t="s">
        <v>449</v>
      </c>
      <c r="I744" s="48" t="s">
        <v>19</v>
      </c>
      <c r="J744" s="49">
        <v>1932055.0</v>
      </c>
    </row>
    <row r="745">
      <c r="A745" s="45" t="s">
        <v>11</v>
      </c>
      <c r="B745" s="16" t="s">
        <v>32</v>
      </c>
      <c r="C745" s="17" t="s">
        <v>33</v>
      </c>
      <c r="D745" s="15">
        <v>2.0</v>
      </c>
      <c r="E745" s="17" t="s">
        <v>478</v>
      </c>
      <c r="F745" s="15" t="s">
        <v>479</v>
      </c>
      <c r="G745" s="46" t="s">
        <v>450</v>
      </c>
      <c r="H745" s="47" t="s">
        <v>451</v>
      </c>
      <c r="I745" s="48" t="s">
        <v>19</v>
      </c>
      <c r="J745" s="49">
        <v>0.0</v>
      </c>
    </row>
    <row r="746">
      <c r="A746" s="45" t="s">
        <v>11</v>
      </c>
      <c r="B746" s="16" t="s">
        <v>32</v>
      </c>
      <c r="C746" s="17" t="s">
        <v>33</v>
      </c>
      <c r="D746" s="15">
        <v>2.0</v>
      </c>
      <c r="E746" s="17" t="s">
        <v>478</v>
      </c>
      <c r="F746" s="15" t="s">
        <v>479</v>
      </c>
      <c r="G746" s="46" t="s">
        <v>452</v>
      </c>
      <c r="H746" s="47" t="s">
        <v>453</v>
      </c>
      <c r="I746" s="48" t="s">
        <v>19</v>
      </c>
      <c r="J746" s="49">
        <v>1490764.0</v>
      </c>
    </row>
    <row r="747">
      <c r="A747" s="45" t="s">
        <v>11</v>
      </c>
      <c r="B747" s="16" t="s">
        <v>32</v>
      </c>
      <c r="C747" s="17" t="s">
        <v>33</v>
      </c>
      <c r="D747" s="15">
        <v>2.0</v>
      </c>
      <c r="E747" s="17" t="s">
        <v>478</v>
      </c>
      <c r="F747" s="15" t="s">
        <v>479</v>
      </c>
      <c r="G747" s="46" t="s">
        <v>454</v>
      </c>
      <c r="H747" s="47" t="s">
        <v>415</v>
      </c>
      <c r="I747" s="48" t="s">
        <v>19</v>
      </c>
      <c r="J747" s="49">
        <v>217570.0</v>
      </c>
    </row>
    <row r="748">
      <c r="A748" s="45" t="s">
        <v>11</v>
      </c>
      <c r="B748" s="16" t="s">
        <v>32</v>
      </c>
      <c r="C748" s="17" t="s">
        <v>33</v>
      </c>
      <c r="D748" s="15">
        <v>2.0</v>
      </c>
      <c r="E748" s="17" t="s">
        <v>478</v>
      </c>
      <c r="F748" s="15" t="s">
        <v>479</v>
      </c>
      <c r="G748" s="46" t="s">
        <v>455</v>
      </c>
      <c r="H748" s="47" t="s">
        <v>415</v>
      </c>
      <c r="I748" s="48" t="s">
        <v>19</v>
      </c>
      <c r="J748" s="49">
        <v>120872.0</v>
      </c>
    </row>
    <row r="749">
      <c r="A749" s="45" t="s">
        <v>11</v>
      </c>
      <c r="B749" s="16" t="s">
        <v>32</v>
      </c>
      <c r="C749" s="17" t="s">
        <v>33</v>
      </c>
      <c r="D749" s="15">
        <v>2.0</v>
      </c>
      <c r="E749" s="17" t="s">
        <v>478</v>
      </c>
      <c r="F749" s="15" t="s">
        <v>479</v>
      </c>
      <c r="G749" s="46" t="s">
        <v>499</v>
      </c>
      <c r="H749" s="47" t="s">
        <v>500</v>
      </c>
      <c r="I749" s="48" t="s">
        <v>19</v>
      </c>
      <c r="J749" s="49">
        <v>8510789.0</v>
      </c>
    </row>
    <row r="750">
      <c r="A750" s="45" t="s">
        <v>11</v>
      </c>
      <c r="B750" s="16" t="s">
        <v>32</v>
      </c>
      <c r="C750" s="17" t="s">
        <v>33</v>
      </c>
      <c r="D750" s="15">
        <v>2.0</v>
      </c>
      <c r="E750" s="17" t="s">
        <v>501</v>
      </c>
      <c r="F750" s="15" t="s">
        <v>502</v>
      </c>
      <c r="G750" s="46" t="s">
        <v>503</v>
      </c>
      <c r="H750" s="47" t="s">
        <v>504</v>
      </c>
      <c r="I750" s="48" t="s">
        <v>60</v>
      </c>
      <c r="J750" s="49">
        <v>2.11541935E8</v>
      </c>
    </row>
    <row r="751">
      <c r="A751" s="45" t="s">
        <v>11</v>
      </c>
      <c r="B751" s="16" t="s">
        <v>32</v>
      </c>
      <c r="C751" s="17" t="s">
        <v>33</v>
      </c>
      <c r="D751" s="15">
        <v>2.0</v>
      </c>
      <c r="E751" s="17" t="s">
        <v>501</v>
      </c>
      <c r="F751" s="15" t="s">
        <v>502</v>
      </c>
      <c r="G751" s="46" t="s">
        <v>505</v>
      </c>
      <c r="H751" s="47" t="s">
        <v>506</v>
      </c>
      <c r="I751" s="48" t="s">
        <v>60</v>
      </c>
      <c r="J751" s="49">
        <v>2.0819374E7</v>
      </c>
    </row>
    <row r="752">
      <c r="A752" s="45" t="s">
        <v>11</v>
      </c>
      <c r="B752" s="16" t="s">
        <v>32</v>
      </c>
      <c r="C752" s="17" t="s">
        <v>33</v>
      </c>
      <c r="D752" s="15">
        <v>2.0</v>
      </c>
      <c r="E752" s="17" t="s">
        <v>501</v>
      </c>
      <c r="F752" s="15" t="s">
        <v>502</v>
      </c>
      <c r="G752" s="46" t="s">
        <v>507</v>
      </c>
      <c r="H752" s="47" t="s">
        <v>508</v>
      </c>
      <c r="I752" s="48" t="s">
        <v>60</v>
      </c>
      <c r="J752" s="49">
        <v>1773343.0</v>
      </c>
    </row>
    <row r="753">
      <c r="A753" s="45" t="s">
        <v>11</v>
      </c>
      <c r="B753" s="16" t="s">
        <v>32</v>
      </c>
      <c r="C753" s="17" t="s">
        <v>33</v>
      </c>
      <c r="D753" s="15">
        <v>2.0</v>
      </c>
      <c r="E753" s="17" t="s">
        <v>501</v>
      </c>
      <c r="F753" s="15" t="s">
        <v>502</v>
      </c>
      <c r="G753" s="46" t="s">
        <v>509</v>
      </c>
      <c r="H753" s="47" t="s">
        <v>510</v>
      </c>
      <c r="I753" s="48" t="s">
        <v>60</v>
      </c>
      <c r="J753" s="49">
        <v>133334.0</v>
      </c>
    </row>
    <row r="754">
      <c r="A754" s="45" t="s">
        <v>11</v>
      </c>
      <c r="B754" s="16" t="s">
        <v>32</v>
      </c>
      <c r="C754" s="17" t="s">
        <v>33</v>
      </c>
      <c r="D754" s="15">
        <v>2.0</v>
      </c>
      <c r="E754" s="17" t="s">
        <v>501</v>
      </c>
      <c r="F754" s="15" t="s">
        <v>502</v>
      </c>
      <c r="G754" s="46" t="s">
        <v>511</v>
      </c>
      <c r="H754" s="47" t="s">
        <v>512</v>
      </c>
      <c r="I754" s="48" t="s">
        <v>60</v>
      </c>
      <c r="J754" s="49">
        <v>5.1768833E7</v>
      </c>
    </row>
    <row r="755">
      <c r="A755" s="45" t="s">
        <v>11</v>
      </c>
      <c r="B755" s="16" t="s">
        <v>32</v>
      </c>
      <c r="C755" s="17" t="s">
        <v>33</v>
      </c>
      <c r="D755" s="15">
        <v>2.0</v>
      </c>
      <c r="E755" s="17" t="s">
        <v>501</v>
      </c>
      <c r="F755" s="15" t="s">
        <v>502</v>
      </c>
      <c r="G755" s="46" t="s">
        <v>513</v>
      </c>
      <c r="H755" s="47" t="s">
        <v>514</v>
      </c>
      <c r="I755" s="48" t="s">
        <v>60</v>
      </c>
      <c r="J755" s="49">
        <v>3931591.0</v>
      </c>
    </row>
    <row r="756">
      <c r="A756" s="45" t="s">
        <v>11</v>
      </c>
      <c r="B756" s="16" t="s">
        <v>32</v>
      </c>
      <c r="C756" s="17" t="s">
        <v>33</v>
      </c>
      <c r="D756" s="15">
        <v>2.0</v>
      </c>
      <c r="E756" s="17" t="s">
        <v>548</v>
      </c>
      <c r="F756" s="15" t="s">
        <v>549</v>
      </c>
      <c r="G756" s="46" t="s">
        <v>550</v>
      </c>
      <c r="H756" s="47" t="s">
        <v>551</v>
      </c>
      <c r="I756" s="48" t="s">
        <v>25</v>
      </c>
      <c r="J756" s="49">
        <v>1.11174E8</v>
      </c>
    </row>
    <row r="757">
      <c r="A757" s="45" t="s">
        <v>74</v>
      </c>
      <c r="B757" s="16" t="s">
        <v>75</v>
      </c>
      <c r="C757" s="17" t="s">
        <v>76</v>
      </c>
      <c r="D757" s="15">
        <v>2.0</v>
      </c>
      <c r="E757" s="17" t="s">
        <v>441</v>
      </c>
      <c r="F757" s="15" t="s">
        <v>442</v>
      </c>
      <c r="G757" s="46" t="s">
        <v>443</v>
      </c>
      <c r="H757" s="47" t="s">
        <v>420</v>
      </c>
      <c r="I757" s="48" t="s">
        <v>19</v>
      </c>
      <c r="J757" s="49">
        <v>4.8785528E7</v>
      </c>
    </row>
    <row r="758">
      <c r="A758" s="45" t="s">
        <v>74</v>
      </c>
      <c r="B758" s="16" t="s">
        <v>75</v>
      </c>
      <c r="C758" s="17" t="s">
        <v>76</v>
      </c>
      <c r="D758" s="15">
        <v>2.0</v>
      </c>
      <c r="E758" s="17" t="s">
        <v>441</v>
      </c>
      <c r="F758" s="15" t="s">
        <v>442</v>
      </c>
      <c r="G758" s="46" t="s">
        <v>444</v>
      </c>
      <c r="H758" s="47" t="s">
        <v>445</v>
      </c>
      <c r="I758" s="48" t="s">
        <v>19</v>
      </c>
      <c r="J758" s="49">
        <v>4446422.0</v>
      </c>
    </row>
    <row r="759">
      <c r="A759" s="45" t="s">
        <v>74</v>
      </c>
      <c r="B759" s="16" t="s">
        <v>75</v>
      </c>
      <c r="C759" s="17" t="s">
        <v>76</v>
      </c>
      <c r="D759" s="15">
        <v>2.0</v>
      </c>
      <c r="E759" s="17" t="s">
        <v>441</v>
      </c>
      <c r="F759" s="15" t="s">
        <v>442</v>
      </c>
      <c r="G759" s="46" t="s">
        <v>446</v>
      </c>
      <c r="H759" s="47" t="s">
        <v>447</v>
      </c>
      <c r="I759" s="48" t="s">
        <v>19</v>
      </c>
      <c r="J759" s="49">
        <v>500077.0</v>
      </c>
    </row>
    <row r="760">
      <c r="A760" s="45" t="s">
        <v>74</v>
      </c>
      <c r="B760" s="16" t="s">
        <v>75</v>
      </c>
      <c r="C760" s="17" t="s">
        <v>76</v>
      </c>
      <c r="D760" s="15">
        <v>2.0</v>
      </c>
      <c r="E760" s="17" t="s">
        <v>441</v>
      </c>
      <c r="F760" s="15" t="s">
        <v>442</v>
      </c>
      <c r="G760" s="46" t="s">
        <v>448</v>
      </c>
      <c r="H760" s="47" t="s">
        <v>449</v>
      </c>
      <c r="I760" s="48" t="s">
        <v>19</v>
      </c>
      <c r="J760" s="49">
        <v>1491588.0</v>
      </c>
    </row>
    <row r="761">
      <c r="A761" s="45" t="s">
        <v>74</v>
      </c>
      <c r="B761" s="16" t="s">
        <v>75</v>
      </c>
      <c r="C761" s="17" t="s">
        <v>76</v>
      </c>
      <c r="D761" s="15">
        <v>2.0</v>
      </c>
      <c r="E761" s="17" t="s">
        <v>441</v>
      </c>
      <c r="F761" s="15" t="s">
        <v>442</v>
      </c>
      <c r="G761" s="46" t="s">
        <v>450</v>
      </c>
      <c r="H761" s="47" t="s">
        <v>451</v>
      </c>
      <c r="I761" s="48" t="s">
        <v>19</v>
      </c>
      <c r="J761" s="49">
        <v>0.0</v>
      </c>
    </row>
    <row r="762">
      <c r="A762" s="45" t="s">
        <v>74</v>
      </c>
      <c r="B762" s="16" t="s">
        <v>75</v>
      </c>
      <c r="C762" s="17" t="s">
        <v>76</v>
      </c>
      <c r="D762" s="15">
        <v>2.0</v>
      </c>
      <c r="E762" s="17" t="s">
        <v>441</v>
      </c>
      <c r="F762" s="15" t="s">
        <v>442</v>
      </c>
      <c r="G762" s="46" t="s">
        <v>452</v>
      </c>
      <c r="H762" s="47" t="s">
        <v>453</v>
      </c>
      <c r="I762" s="48" t="s">
        <v>19</v>
      </c>
      <c r="J762" s="49">
        <v>925143.0</v>
      </c>
    </row>
    <row r="763">
      <c r="A763" s="45" t="s">
        <v>74</v>
      </c>
      <c r="B763" s="16" t="s">
        <v>75</v>
      </c>
      <c r="C763" s="17" t="s">
        <v>76</v>
      </c>
      <c r="D763" s="15">
        <v>2.0</v>
      </c>
      <c r="E763" s="17" t="s">
        <v>441</v>
      </c>
      <c r="F763" s="15" t="s">
        <v>442</v>
      </c>
      <c r="G763" s="46" t="s">
        <v>454</v>
      </c>
      <c r="H763" s="47" t="s">
        <v>415</v>
      </c>
      <c r="I763" s="48" t="s">
        <v>19</v>
      </c>
      <c r="J763" s="49">
        <v>135021.0</v>
      </c>
    </row>
    <row r="764">
      <c r="A764" s="45" t="s">
        <v>74</v>
      </c>
      <c r="B764" s="16" t="s">
        <v>75</v>
      </c>
      <c r="C764" s="17" t="s">
        <v>76</v>
      </c>
      <c r="D764" s="15">
        <v>2.0</v>
      </c>
      <c r="E764" s="17" t="s">
        <v>441</v>
      </c>
      <c r="F764" s="15" t="s">
        <v>442</v>
      </c>
      <c r="G764" s="46" t="s">
        <v>455</v>
      </c>
      <c r="H764" s="47" t="s">
        <v>415</v>
      </c>
      <c r="I764" s="48" t="s">
        <v>19</v>
      </c>
      <c r="J764" s="49">
        <v>75011.0</v>
      </c>
    </row>
    <row r="765">
      <c r="A765" s="45" t="s">
        <v>74</v>
      </c>
      <c r="B765" s="16" t="s">
        <v>75</v>
      </c>
      <c r="C765" s="17" t="s">
        <v>76</v>
      </c>
      <c r="D765" s="15">
        <v>2.0</v>
      </c>
      <c r="E765" s="17" t="s">
        <v>456</v>
      </c>
      <c r="F765" s="15" t="s">
        <v>457</v>
      </c>
      <c r="G765" s="46" t="s">
        <v>443</v>
      </c>
      <c r="H765" s="47" t="s">
        <v>420</v>
      </c>
      <c r="I765" s="48" t="s">
        <v>19</v>
      </c>
      <c r="J765" s="49">
        <v>4000000.0</v>
      </c>
    </row>
    <row r="766">
      <c r="A766" s="45" t="s">
        <v>74</v>
      </c>
      <c r="B766" s="16" t="s">
        <v>75</v>
      </c>
      <c r="C766" s="17" t="s">
        <v>76</v>
      </c>
      <c r="D766" s="15">
        <v>2.0</v>
      </c>
      <c r="E766" s="17" t="s">
        <v>456</v>
      </c>
      <c r="F766" s="15" t="s">
        <v>457</v>
      </c>
      <c r="G766" s="46" t="s">
        <v>516</v>
      </c>
      <c r="H766" s="47" t="s">
        <v>436</v>
      </c>
      <c r="I766" s="48" t="s">
        <v>25</v>
      </c>
      <c r="J766" s="49">
        <v>2000000.0</v>
      </c>
    </row>
    <row r="767">
      <c r="A767" s="45" t="s">
        <v>74</v>
      </c>
      <c r="B767" s="16" t="s">
        <v>75</v>
      </c>
      <c r="C767" s="17" t="s">
        <v>76</v>
      </c>
      <c r="D767" s="15">
        <v>2.0</v>
      </c>
      <c r="E767" s="17" t="s">
        <v>456</v>
      </c>
      <c r="F767" s="15" t="s">
        <v>457</v>
      </c>
      <c r="G767" s="46" t="s">
        <v>458</v>
      </c>
      <c r="H767" s="47" t="s">
        <v>411</v>
      </c>
      <c r="I767" s="48" t="s">
        <v>19</v>
      </c>
      <c r="J767" s="49">
        <v>1.70414464E8</v>
      </c>
    </row>
    <row r="768">
      <c r="A768" s="45" t="s">
        <v>74</v>
      </c>
      <c r="B768" s="16" t="s">
        <v>75</v>
      </c>
      <c r="C768" s="17" t="s">
        <v>76</v>
      </c>
      <c r="D768" s="15">
        <v>2.0</v>
      </c>
      <c r="E768" s="17" t="s">
        <v>459</v>
      </c>
      <c r="F768" s="15" t="s">
        <v>460</v>
      </c>
      <c r="G768" s="46" t="s">
        <v>519</v>
      </c>
      <c r="H768" s="47" t="s">
        <v>414</v>
      </c>
      <c r="I768" s="48" t="s">
        <v>25</v>
      </c>
      <c r="J768" s="49">
        <v>565000.0</v>
      </c>
    </row>
    <row r="769">
      <c r="A769" s="45" t="s">
        <v>74</v>
      </c>
      <c r="B769" s="16" t="s">
        <v>75</v>
      </c>
      <c r="C769" s="17" t="s">
        <v>76</v>
      </c>
      <c r="D769" s="15">
        <v>2.0</v>
      </c>
      <c r="E769" s="17" t="s">
        <v>459</v>
      </c>
      <c r="F769" s="15" t="s">
        <v>460</v>
      </c>
      <c r="G769" s="46" t="s">
        <v>458</v>
      </c>
      <c r="H769" s="47" t="s">
        <v>411</v>
      </c>
      <c r="I769" s="48" t="s">
        <v>19</v>
      </c>
      <c r="J769" s="49">
        <v>1.4084796E7</v>
      </c>
    </row>
    <row r="770">
      <c r="A770" s="45" t="s">
        <v>74</v>
      </c>
      <c r="B770" s="16" t="s">
        <v>75</v>
      </c>
      <c r="C770" s="17" t="s">
        <v>76</v>
      </c>
      <c r="D770" s="15">
        <v>2.0</v>
      </c>
      <c r="E770" s="17" t="s">
        <v>463</v>
      </c>
      <c r="F770" s="15" t="s">
        <v>464</v>
      </c>
      <c r="G770" s="46" t="s">
        <v>520</v>
      </c>
      <c r="H770" s="47" t="s">
        <v>435</v>
      </c>
      <c r="I770" s="48" t="s">
        <v>37</v>
      </c>
      <c r="J770" s="49">
        <v>582625.0</v>
      </c>
    </row>
    <row r="771">
      <c r="A771" s="45" t="s">
        <v>74</v>
      </c>
      <c r="B771" s="16" t="s">
        <v>75</v>
      </c>
      <c r="C771" s="17" t="s">
        <v>76</v>
      </c>
      <c r="D771" s="15">
        <v>2.0</v>
      </c>
      <c r="E771" s="17" t="s">
        <v>463</v>
      </c>
      <c r="F771" s="15" t="s">
        <v>464</v>
      </c>
      <c r="G771" s="46" t="s">
        <v>519</v>
      </c>
      <c r="H771" s="47" t="s">
        <v>414</v>
      </c>
      <c r="I771" s="48" t="s">
        <v>37</v>
      </c>
      <c r="J771" s="49">
        <v>42735.0</v>
      </c>
    </row>
    <row r="772">
      <c r="A772" s="45" t="s">
        <v>74</v>
      </c>
      <c r="B772" s="16" t="s">
        <v>75</v>
      </c>
      <c r="C772" s="17" t="s">
        <v>76</v>
      </c>
      <c r="D772" s="15">
        <v>2.0</v>
      </c>
      <c r="E772" s="17" t="s">
        <v>463</v>
      </c>
      <c r="F772" s="15" t="s">
        <v>464</v>
      </c>
      <c r="G772" s="46" t="s">
        <v>519</v>
      </c>
      <c r="H772" s="47" t="s">
        <v>414</v>
      </c>
      <c r="I772" s="48" t="s">
        <v>25</v>
      </c>
      <c r="J772" s="49">
        <v>2515800.0</v>
      </c>
    </row>
    <row r="773">
      <c r="A773" s="45" t="s">
        <v>74</v>
      </c>
      <c r="B773" s="16" t="s">
        <v>75</v>
      </c>
      <c r="C773" s="17" t="s">
        <v>76</v>
      </c>
      <c r="D773" s="15">
        <v>2.0</v>
      </c>
      <c r="E773" s="17" t="s">
        <v>463</v>
      </c>
      <c r="F773" s="15" t="s">
        <v>464</v>
      </c>
      <c r="G773" s="46" t="s">
        <v>467</v>
      </c>
      <c r="H773" s="47" t="s">
        <v>468</v>
      </c>
      <c r="I773" s="48" t="s">
        <v>25</v>
      </c>
      <c r="J773" s="49">
        <v>1462000.0</v>
      </c>
    </row>
    <row r="774">
      <c r="A774" s="45" t="s">
        <v>74</v>
      </c>
      <c r="B774" s="16" t="s">
        <v>75</v>
      </c>
      <c r="C774" s="17" t="s">
        <v>76</v>
      </c>
      <c r="D774" s="15">
        <v>2.0</v>
      </c>
      <c r="E774" s="17" t="s">
        <v>463</v>
      </c>
      <c r="F774" s="15" t="s">
        <v>464</v>
      </c>
      <c r="G774" s="46" t="s">
        <v>458</v>
      </c>
      <c r="H774" s="47" t="s">
        <v>411</v>
      </c>
      <c r="I774" s="48" t="s">
        <v>19</v>
      </c>
      <c r="J774" s="49">
        <v>1920654.0</v>
      </c>
    </row>
    <row r="775">
      <c r="A775" s="45" t="s">
        <v>74</v>
      </c>
      <c r="B775" s="16" t="s">
        <v>75</v>
      </c>
      <c r="C775" s="17" t="s">
        <v>76</v>
      </c>
      <c r="D775" s="15">
        <v>2.0</v>
      </c>
      <c r="E775" s="17" t="s">
        <v>487</v>
      </c>
      <c r="F775" s="15" t="s">
        <v>488</v>
      </c>
      <c r="G775" s="46" t="s">
        <v>458</v>
      </c>
      <c r="H775" s="47" t="s">
        <v>411</v>
      </c>
      <c r="I775" s="48" t="s">
        <v>19</v>
      </c>
      <c r="J775" s="49">
        <v>1920654.0</v>
      </c>
    </row>
    <row r="776">
      <c r="A776" s="45" t="s">
        <v>74</v>
      </c>
      <c r="B776" s="16" t="s">
        <v>75</v>
      </c>
      <c r="C776" s="17" t="s">
        <v>76</v>
      </c>
      <c r="D776" s="15">
        <v>2.0</v>
      </c>
      <c r="E776" s="17" t="s">
        <v>473</v>
      </c>
      <c r="F776" s="15" t="s">
        <v>474</v>
      </c>
      <c r="G776" s="46" t="s">
        <v>523</v>
      </c>
      <c r="H776" s="47" t="s">
        <v>431</v>
      </c>
      <c r="I776" s="48" t="s">
        <v>17</v>
      </c>
      <c r="J776" s="49">
        <v>2.27750496E8</v>
      </c>
    </row>
    <row r="777">
      <c r="A777" s="45" t="s">
        <v>74</v>
      </c>
      <c r="B777" s="16" t="s">
        <v>75</v>
      </c>
      <c r="C777" s="17" t="s">
        <v>76</v>
      </c>
      <c r="D777" s="15">
        <v>2.0</v>
      </c>
      <c r="E777" s="17" t="s">
        <v>473</v>
      </c>
      <c r="F777" s="15" t="s">
        <v>474</v>
      </c>
      <c r="G777" s="46" t="s">
        <v>523</v>
      </c>
      <c r="H777" s="47" t="s">
        <v>431</v>
      </c>
      <c r="I777" s="48" t="s">
        <v>25</v>
      </c>
      <c r="J777" s="49">
        <v>-1.90780042E8</v>
      </c>
    </row>
    <row r="778">
      <c r="A778" s="45" t="s">
        <v>74</v>
      </c>
      <c r="B778" s="16" t="s">
        <v>75</v>
      </c>
      <c r="C778" s="17" t="s">
        <v>76</v>
      </c>
      <c r="D778" s="15">
        <v>2.0</v>
      </c>
      <c r="E778" s="17" t="s">
        <v>473</v>
      </c>
      <c r="F778" s="15" t="s">
        <v>474</v>
      </c>
      <c r="G778" s="46" t="s">
        <v>458</v>
      </c>
      <c r="H778" s="47" t="s">
        <v>411</v>
      </c>
      <c r="I778" s="48" t="s">
        <v>19</v>
      </c>
      <c r="J778" s="49">
        <v>7.910742E7</v>
      </c>
    </row>
    <row r="779">
      <c r="A779" s="45" t="s">
        <v>74</v>
      </c>
      <c r="B779" s="16" t="s">
        <v>75</v>
      </c>
      <c r="C779" s="17" t="s">
        <v>76</v>
      </c>
      <c r="D779" s="15">
        <v>2.0</v>
      </c>
      <c r="E779" s="17" t="s">
        <v>491</v>
      </c>
      <c r="F779" s="15" t="s">
        <v>492</v>
      </c>
      <c r="G779" s="46" t="s">
        <v>519</v>
      </c>
      <c r="H779" s="47" t="s">
        <v>414</v>
      </c>
      <c r="I779" s="48" t="s">
        <v>25</v>
      </c>
      <c r="J779" s="49">
        <v>850000.0</v>
      </c>
    </row>
    <row r="780">
      <c r="A780" s="45" t="s">
        <v>74</v>
      </c>
      <c r="B780" s="16" t="s">
        <v>75</v>
      </c>
      <c r="C780" s="17" t="s">
        <v>76</v>
      </c>
      <c r="D780" s="15">
        <v>2.0</v>
      </c>
      <c r="E780" s="17" t="s">
        <v>491</v>
      </c>
      <c r="F780" s="15" t="s">
        <v>492</v>
      </c>
      <c r="G780" s="46" t="s">
        <v>493</v>
      </c>
      <c r="H780" s="47" t="s">
        <v>437</v>
      </c>
      <c r="I780" s="48" t="s">
        <v>25</v>
      </c>
      <c r="J780" s="49">
        <v>8126383.0</v>
      </c>
    </row>
    <row r="781">
      <c r="A781" s="45" t="s">
        <v>74</v>
      </c>
      <c r="B781" s="16" t="s">
        <v>75</v>
      </c>
      <c r="C781" s="17" t="s">
        <v>76</v>
      </c>
      <c r="D781" s="15">
        <v>2.0</v>
      </c>
      <c r="E781" s="17" t="s">
        <v>491</v>
      </c>
      <c r="F781" s="15" t="s">
        <v>492</v>
      </c>
      <c r="G781" s="46" t="s">
        <v>458</v>
      </c>
      <c r="H781" s="47" t="s">
        <v>411</v>
      </c>
      <c r="I781" s="48" t="s">
        <v>19</v>
      </c>
      <c r="J781" s="49">
        <v>1.1097112E7</v>
      </c>
    </row>
    <row r="782">
      <c r="A782" s="45" t="s">
        <v>74</v>
      </c>
      <c r="B782" s="16" t="s">
        <v>75</v>
      </c>
      <c r="C782" s="17" t="s">
        <v>76</v>
      </c>
      <c r="D782" s="15">
        <v>2.0</v>
      </c>
      <c r="E782" s="17" t="s">
        <v>494</v>
      </c>
      <c r="F782" s="15" t="s">
        <v>495</v>
      </c>
      <c r="G782" s="46" t="s">
        <v>458</v>
      </c>
      <c r="H782" s="47" t="s">
        <v>411</v>
      </c>
      <c r="I782" s="48" t="s">
        <v>19</v>
      </c>
      <c r="J782" s="49">
        <v>853624.0</v>
      </c>
    </row>
    <row r="783">
      <c r="A783" s="45" t="s">
        <v>74</v>
      </c>
      <c r="B783" s="16" t="s">
        <v>75</v>
      </c>
      <c r="C783" s="17" t="s">
        <v>76</v>
      </c>
      <c r="D783" s="15">
        <v>2.0</v>
      </c>
      <c r="E783" s="17" t="s">
        <v>475</v>
      </c>
      <c r="F783" s="15" t="s">
        <v>476</v>
      </c>
      <c r="G783" s="46" t="s">
        <v>477</v>
      </c>
      <c r="H783" s="47" t="s">
        <v>429</v>
      </c>
      <c r="I783" s="48" t="s">
        <v>50</v>
      </c>
      <c r="J783" s="49">
        <v>2.6607438E7</v>
      </c>
    </row>
    <row r="784">
      <c r="A784" s="45" t="s">
        <v>74</v>
      </c>
      <c r="B784" s="16" t="s">
        <v>75</v>
      </c>
      <c r="C784" s="17" t="s">
        <v>76</v>
      </c>
      <c r="D784" s="15">
        <v>2.0</v>
      </c>
      <c r="E784" s="17" t="s">
        <v>475</v>
      </c>
      <c r="F784" s="15" t="s">
        <v>476</v>
      </c>
      <c r="G784" s="46" t="s">
        <v>530</v>
      </c>
      <c r="H784" s="47" t="s">
        <v>531</v>
      </c>
      <c r="I784" s="48" t="s">
        <v>50</v>
      </c>
      <c r="J784" s="49">
        <v>3119967.0</v>
      </c>
    </row>
    <row r="785">
      <c r="A785" s="45" t="s">
        <v>74</v>
      </c>
      <c r="B785" s="16" t="s">
        <v>75</v>
      </c>
      <c r="C785" s="17" t="s">
        <v>76</v>
      </c>
      <c r="D785" s="15">
        <v>2.0</v>
      </c>
      <c r="E785" s="17" t="s">
        <v>524</v>
      </c>
      <c r="F785" s="15" t="s">
        <v>479</v>
      </c>
      <c r="G785" s="46" t="s">
        <v>443</v>
      </c>
      <c r="H785" s="47" t="s">
        <v>420</v>
      </c>
      <c r="I785" s="48" t="s">
        <v>19</v>
      </c>
      <c r="J785" s="49">
        <v>1.48129399E8</v>
      </c>
    </row>
    <row r="786">
      <c r="A786" s="45" t="s">
        <v>74</v>
      </c>
      <c r="B786" s="16" t="s">
        <v>75</v>
      </c>
      <c r="C786" s="17" t="s">
        <v>76</v>
      </c>
      <c r="D786" s="15">
        <v>2.0</v>
      </c>
      <c r="E786" s="17" t="s">
        <v>524</v>
      </c>
      <c r="F786" s="15" t="s">
        <v>479</v>
      </c>
      <c r="G786" s="46" t="s">
        <v>444</v>
      </c>
      <c r="H786" s="47" t="s">
        <v>445</v>
      </c>
      <c r="I786" s="48" t="s">
        <v>19</v>
      </c>
      <c r="J786" s="49">
        <v>7479936.0</v>
      </c>
    </row>
    <row r="787">
      <c r="A787" s="45" t="s">
        <v>74</v>
      </c>
      <c r="B787" s="16" t="s">
        <v>75</v>
      </c>
      <c r="C787" s="17" t="s">
        <v>76</v>
      </c>
      <c r="D787" s="15">
        <v>2.0</v>
      </c>
      <c r="E787" s="17" t="s">
        <v>524</v>
      </c>
      <c r="F787" s="15" t="s">
        <v>479</v>
      </c>
      <c r="G787" s="46" t="s">
        <v>446</v>
      </c>
      <c r="H787" s="47" t="s">
        <v>447</v>
      </c>
      <c r="I787" s="48" t="s">
        <v>19</v>
      </c>
      <c r="J787" s="49">
        <v>1480683.0</v>
      </c>
    </row>
    <row r="788">
      <c r="A788" s="45" t="s">
        <v>74</v>
      </c>
      <c r="B788" s="16" t="s">
        <v>75</v>
      </c>
      <c r="C788" s="17" t="s">
        <v>76</v>
      </c>
      <c r="D788" s="15">
        <v>2.0</v>
      </c>
      <c r="E788" s="17" t="s">
        <v>524</v>
      </c>
      <c r="F788" s="15" t="s">
        <v>479</v>
      </c>
      <c r="G788" s="46" t="s">
        <v>448</v>
      </c>
      <c r="H788" s="47" t="s">
        <v>449</v>
      </c>
      <c r="I788" s="48" t="s">
        <v>19</v>
      </c>
      <c r="J788" s="49">
        <v>4478184.0</v>
      </c>
    </row>
    <row r="789">
      <c r="A789" s="45" t="s">
        <v>74</v>
      </c>
      <c r="B789" s="16" t="s">
        <v>75</v>
      </c>
      <c r="C789" s="17" t="s">
        <v>76</v>
      </c>
      <c r="D789" s="15">
        <v>2.0</v>
      </c>
      <c r="E789" s="17" t="s">
        <v>524</v>
      </c>
      <c r="F789" s="15" t="s">
        <v>479</v>
      </c>
      <c r="G789" s="46" t="s">
        <v>450</v>
      </c>
      <c r="H789" s="47" t="s">
        <v>451</v>
      </c>
      <c r="I789" s="48" t="s">
        <v>19</v>
      </c>
      <c r="J789" s="49">
        <v>0.0</v>
      </c>
    </row>
    <row r="790">
      <c r="A790" s="45" t="s">
        <v>74</v>
      </c>
      <c r="B790" s="16" t="s">
        <v>75</v>
      </c>
      <c r="C790" s="17" t="s">
        <v>76</v>
      </c>
      <c r="D790" s="15">
        <v>2.0</v>
      </c>
      <c r="E790" s="17" t="s">
        <v>524</v>
      </c>
      <c r="F790" s="15" t="s">
        <v>479</v>
      </c>
      <c r="G790" s="46" t="s">
        <v>452</v>
      </c>
      <c r="H790" s="47" t="s">
        <v>453</v>
      </c>
      <c r="I790" s="48" t="s">
        <v>19</v>
      </c>
      <c r="J790" s="49">
        <v>2777546.0</v>
      </c>
    </row>
    <row r="791">
      <c r="A791" s="45" t="s">
        <v>74</v>
      </c>
      <c r="B791" s="16" t="s">
        <v>75</v>
      </c>
      <c r="C791" s="17" t="s">
        <v>76</v>
      </c>
      <c r="D791" s="15">
        <v>2.0</v>
      </c>
      <c r="E791" s="17" t="s">
        <v>524</v>
      </c>
      <c r="F791" s="15" t="s">
        <v>479</v>
      </c>
      <c r="G791" s="46" t="s">
        <v>454</v>
      </c>
      <c r="H791" s="47" t="s">
        <v>415</v>
      </c>
      <c r="I791" s="48" t="s">
        <v>19</v>
      </c>
      <c r="J791" s="49">
        <v>405372.0</v>
      </c>
    </row>
    <row r="792">
      <c r="A792" s="45" t="s">
        <v>74</v>
      </c>
      <c r="B792" s="16" t="s">
        <v>75</v>
      </c>
      <c r="C792" s="17" t="s">
        <v>76</v>
      </c>
      <c r="D792" s="15">
        <v>2.0</v>
      </c>
      <c r="E792" s="17" t="s">
        <v>524</v>
      </c>
      <c r="F792" s="15" t="s">
        <v>479</v>
      </c>
      <c r="G792" s="46" t="s">
        <v>455</v>
      </c>
      <c r="H792" s="47" t="s">
        <v>415</v>
      </c>
      <c r="I792" s="48" t="s">
        <v>19</v>
      </c>
      <c r="J792" s="49">
        <v>225205.0</v>
      </c>
    </row>
    <row r="793">
      <c r="A793" s="45" t="s">
        <v>74</v>
      </c>
      <c r="B793" s="16" t="s">
        <v>75</v>
      </c>
      <c r="C793" s="17" t="s">
        <v>76</v>
      </c>
      <c r="D793" s="15">
        <v>2.0</v>
      </c>
      <c r="E793" s="17" t="s">
        <v>525</v>
      </c>
      <c r="F793" s="15" t="s">
        <v>502</v>
      </c>
      <c r="G793" s="46" t="s">
        <v>526</v>
      </c>
      <c r="H793" s="47" t="s">
        <v>527</v>
      </c>
      <c r="I793" s="48" t="s">
        <v>60</v>
      </c>
      <c r="J793" s="49">
        <v>4.87418439E8</v>
      </c>
    </row>
    <row r="794">
      <c r="A794" s="45" t="s">
        <v>74</v>
      </c>
      <c r="B794" s="16" t="s">
        <v>75</v>
      </c>
      <c r="C794" s="17" t="s">
        <v>76</v>
      </c>
      <c r="D794" s="15">
        <v>2.0</v>
      </c>
      <c r="E794" s="17" t="s">
        <v>525</v>
      </c>
      <c r="F794" s="15" t="s">
        <v>502</v>
      </c>
      <c r="G794" s="46" t="s">
        <v>505</v>
      </c>
      <c r="H794" s="47" t="s">
        <v>506</v>
      </c>
      <c r="I794" s="48" t="s">
        <v>60</v>
      </c>
      <c r="J794" s="49">
        <v>4817570.0</v>
      </c>
    </row>
    <row r="795">
      <c r="A795" s="45" t="s">
        <v>74</v>
      </c>
      <c r="B795" s="16" t="s">
        <v>75</v>
      </c>
      <c r="C795" s="17" t="s">
        <v>76</v>
      </c>
      <c r="D795" s="15">
        <v>2.0</v>
      </c>
      <c r="E795" s="17" t="s">
        <v>525</v>
      </c>
      <c r="F795" s="15" t="s">
        <v>502</v>
      </c>
      <c r="G795" s="46" t="s">
        <v>507</v>
      </c>
      <c r="H795" s="47" t="s">
        <v>508</v>
      </c>
      <c r="I795" s="48" t="s">
        <v>60</v>
      </c>
      <c r="J795" s="49">
        <v>8789290.0</v>
      </c>
    </row>
    <row r="796">
      <c r="A796" s="45" t="s">
        <v>74</v>
      </c>
      <c r="B796" s="16" t="s">
        <v>75</v>
      </c>
      <c r="C796" s="17" t="s">
        <v>76</v>
      </c>
      <c r="D796" s="15">
        <v>2.0</v>
      </c>
      <c r="E796" s="17" t="s">
        <v>525</v>
      </c>
      <c r="F796" s="15" t="s">
        <v>502</v>
      </c>
      <c r="G796" s="46" t="s">
        <v>509</v>
      </c>
      <c r="H796" s="47" t="s">
        <v>510</v>
      </c>
      <c r="I796" s="48" t="s">
        <v>60</v>
      </c>
      <c r="J796" s="49">
        <v>4500281.0</v>
      </c>
    </row>
    <row r="797">
      <c r="A797" s="45" t="s">
        <v>74</v>
      </c>
      <c r="B797" s="16" t="s">
        <v>75</v>
      </c>
      <c r="C797" s="17" t="s">
        <v>76</v>
      </c>
      <c r="D797" s="15">
        <v>2.0</v>
      </c>
      <c r="E797" s="17" t="s">
        <v>525</v>
      </c>
      <c r="F797" s="15" t="s">
        <v>502</v>
      </c>
      <c r="G797" s="46" t="s">
        <v>511</v>
      </c>
      <c r="H797" s="47" t="s">
        <v>512</v>
      </c>
      <c r="I797" s="48" t="s">
        <v>60</v>
      </c>
      <c r="J797" s="49">
        <v>5.7759455E7</v>
      </c>
    </row>
    <row r="798">
      <c r="A798" s="45" t="s">
        <v>74</v>
      </c>
      <c r="B798" s="16" t="s">
        <v>75</v>
      </c>
      <c r="C798" s="17" t="s">
        <v>76</v>
      </c>
      <c r="D798" s="15">
        <v>2.0</v>
      </c>
      <c r="E798" s="17" t="s">
        <v>525</v>
      </c>
      <c r="F798" s="15" t="s">
        <v>502</v>
      </c>
      <c r="G798" s="46" t="s">
        <v>513</v>
      </c>
      <c r="H798" s="47" t="s">
        <v>514</v>
      </c>
      <c r="I798" s="48" t="s">
        <v>60</v>
      </c>
      <c r="J798" s="49">
        <v>5347830.0</v>
      </c>
    </row>
    <row r="799">
      <c r="A799" s="45" t="s">
        <v>74</v>
      </c>
      <c r="B799" s="16" t="s">
        <v>75</v>
      </c>
      <c r="C799" s="17" t="s">
        <v>76</v>
      </c>
      <c r="D799" s="15">
        <v>2.0</v>
      </c>
      <c r="E799" s="17" t="s">
        <v>525</v>
      </c>
      <c r="F799" s="15" t="s">
        <v>502</v>
      </c>
      <c r="G799" s="46" t="s">
        <v>528</v>
      </c>
      <c r="H799" s="47" t="s">
        <v>529</v>
      </c>
      <c r="I799" s="48" t="s">
        <v>60</v>
      </c>
      <c r="J799" s="49">
        <v>4523284.0</v>
      </c>
    </row>
    <row r="800">
      <c r="A800" s="45" t="s">
        <v>74</v>
      </c>
      <c r="B800" s="16" t="s">
        <v>75</v>
      </c>
      <c r="C800" s="17" t="s">
        <v>76</v>
      </c>
      <c r="D800" s="15">
        <v>2.0</v>
      </c>
      <c r="E800" s="17" t="s">
        <v>548</v>
      </c>
      <c r="F800" s="15" t="s">
        <v>549</v>
      </c>
      <c r="G800" s="46" t="s">
        <v>550</v>
      </c>
      <c r="H800" s="47" t="s">
        <v>551</v>
      </c>
      <c r="I800" s="48" t="s">
        <v>25</v>
      </c>
      <c r="J800" s="49">
        <v>1.64600871E8</v>
      </c>
    </row>
    <row r="801">
      <c r="A801" s="45" t="s">
        <v>74</v>
      </c>
      <c r="B801" s="16" t="s">
        <v>75</v>
      </c>
      <c r="C801" s="17" t="s">
        <v>76</v>
      </c>
      <c r="D801" s="15">
        <v>2.0</v>
      </c>
      <c r="E801" s="17" t="s">
        <v>563</v>
      </c>
      <c r="F801" s="15" t="s">
        <v>564</v>
      </c>
      <c r="G801" s="46" t="s">
        <v>519</v>
      </c>
      <c r="H801" s="47" t="s">
        <v>414</v>
      </c>
      <c r="I801" s="48" t="s">
        <v>25</v>
      </c>
      <c r="J801" s="49">
        <v>0.0</v>
      </c>
    </row>
    <row r="802">
      <c r="A802" s="45" t="s">
        <v>74</v>
      </c>
      <c r="B802" s="16" t="s">
        <v>148</v>
      </c>
      <c r="C802" s="17" t="s">
        <v>149</v>
      </c>
      <c r="D802" s="15">
        <v>2.0</v>
      </c>
      <c r="E802" s="17" t="s">
        <v>441</v>
      </c>
      <c r="F802" s="15" t="s">
        <v>442</v>
      </c>
      <c r="G802" s="46" t="s">
        <v>443</v>
      </c>
      <c r="H802" s="47" t="s">
        <v>420</v>
      </c>
      <c r="I802" s="48" t="s">
        <v>19</v>
      </c>
      <c r="J802" s="49">
        <v>5.3149276E7</v>
      </c>
    </row>
    <row r="803">
      <c r="A803" s="45" t="s">
        <v>74</v>
      </c>
      <c r="B803" s="16" t="s">
        <v>148</v>
      </c>
      <c r="C803" s="17" t="s">
        <v>149</v>
      </c>
      <c r="D803" s="15">
        <v>2.0</v>
      </c>
      <c r="E803" s="17" t="s">
        <v>441</v>
      </c>
      <c r="F803" s="15" t="s">
        <v>442</v>
      </c>
      <c r="G803" s="46" t="s">
        <v>444</v>
      </c>
      <c r="H803" s="47" t="s">
        <v>445</v>
      </c>
      <c r="I803" s="48" t="s">
        <v>19</v>
      </c>
      <c r="J803" s="49">
        <v>5827285.0</v>
      </c>
    </row>
    <row r="804">
      <c r="A804" s="45" t="s">
        <v>74</v>
      </c>
      <c r="B804" s="16" t="s">
        <v>148</v>
      </c>
      <c r="C804" s="17" t="s">
        <v>149</v>
      </c>
      <c r="D804" s="15">
        <v>2.0</v>
      </c>
      <c r="E804" s="17" t="s">
        <v>441</v>
      </c>
      <c r="F804" s="15" t="s">
        <v>442</v>
      </c>
      <c r="G804" s="46" t="s">
        <v>446</v>
      </c>
      <c r="H804" s="47" t="s">
        <v>447</v>
      </c>
      <c r="I804" s="48" t="s">
        <v>19</v>
      </c>
      <c r="J804" s="49">
        <v>527734.0</v>
      </c>
    </row>
    <row r="805">
      <c r="A805" s="45" t="s">
        <v>74</v>
      </c>
      <c r="B805" s="16" t="s">
        <v>148</v>
      </c>
      <c r="C805" s="17" t="s">
        <v>149</v>
      </c>
      <c r="D805" s="15">
        <v>2.0</v>
      </c>
      <c r="E805" s="17" t="s">
        <v>441</v>
      </c>
      <c r="F805" s="15" t="s">
        <v>442</v>
      </c>
      <c r="G805" s="46" t="s">
        <v>448</v>
      </c>
      <c r="H805" s="47" t="s">
        <v>449</v>
      </c>
      <c r="I805" s="48" t="s">
        <v>19</v>
      </c>
      <c r="J805" s="49">
        <v>1615431.0</v>
      </c>
    </row>
    <row r="806">
      <c r="A806" s="45" t="s">
        <v>74</v>
      </c>
      <c r="B806" s="16" t="s">
        <v>148</v>
      </c>
      <c r="C806" s="17" t="s">
        <v>149</v>
      </c>
      <c r="D806" s="15">
        <v>2.0</v>
      </c>
      <c r="E806" s="17" t="s">
        <v>441</v>
      </c>
      <c r="F806" s="15" t="s">
        <v>442</v>
      </c>
      <c r="G806" s="46" t="s">
        <v>450</v>
      </c>
      <c r="H806" s="47" t="s">
        <v>451</v>
      </c>
      <c r="I806" s="48" t="s">
        <v>19</v>
      </c>
      <c r="J806" s="49">
        <v>0.0</v>
      </c>
    </row>
    <row r="807">
      <c r="A807" s="45" t="s">
        <v>74</v>
      </c>
      <c r="B807" s="16" t="s">
        <v>148</v>
      </c>
      <c r="C807" s="17" t="s">
        <v>149</v>
      </c>
      <c r="D807" s="15">
        <v>2.0</v>
      </c>
      <c r="E807" s="17" t="s">
        <v>441</v>
      </c>
      <c r="F807" s="15" t="s">
        <v>442</v>
      </c>
      <c r="G807" s="46" t="s">
        <v>452</v>
      </c>
      <c r="H807" s="47" t="s">
        <v>453</v>
      </c>
      <c r="I807" s="48" t="s">
        <v>19</v>
      </c>
      <c r="J807" s="49">
        <v>1123939.0</v>
      </c>
    </row>
    <row r="808">
      <c r="A808" s="45" t="s">
        <v>74</v>
      </c>
      <c r="B808" s="16" t="s">
        <v>148</v>
      </c>
      <c r="C808" s="17" t="s">
        <v>149</v>
      </c>
      <c r="D808" s="15">
        <v>2.0</v>
      </c>
      <c r="E808" s="17" t="s">
        <v>441</v>
      </c>
      <c r="F808" s="15" t="s">
        <v>442</v>
      </c>
      <c r="G808" s="46" t="s">
        <v>454</v>
      </c>
      <c r="H808" s="47" t="s">
        <v>415</v>
      </c>
      <c r="I808" s="48" t="s">
        <v>19</v>
      </c>
      <c r="J808" s="49">
        <v>164034.0</v>
      </c>
    </row>
    <row r="809">
      <c r="A809" s="45" t="s">
        <v>74</v>
      </c>
      <c r="B809" s="16" t="s">
        <v>148</v>
      </c>
      <c r="C809" s="17" t="s">
        <v>149</v>
      </c>
      <c r="D809" s="15">
        <v>2.0</v>
      </c>
      <c r="E809" s="17" t="s">
        <v>441</v>
      </c>
      <c r="F809" s="15" t="s">
        <v>442</v>
      </c>
      <c r="G809" s="46" t="s">
        <v>455</v>
      </c>
      <c r="H809" s="47" t="s">
        <v>415</v>
      </c>
      <c r="I809" s="48" t="s">
        <v>19</v>
      </c>
      <c r="J809" s="49">
        <v>91130.0</v>
      </c>
    </row>
    <row r="810">
      <c r="A810" s="45" t="s">
        <v>74</v>
      </c>
      <c r="B810" s="16" t="s">
        <v>148</v>
      </c>
      <c r="C810" s="17" t="s">
        <v>149</v>
      </c>
      <c r="D810" s="15">
        <v>2.0</v>
      </c>
      <c r="E810" s="17" t="s">
        <v>456</v>
      </c>
      <c r="F810" s="15" t="s">
        <v>457</v>
      </c>
      <c r="G810" s="46" t="s">
        <v>443</v>
      </c>
      <c r="H810" s="47" t="s">
        <v>420</v>
      </c>
      <c r="I810" s="48" t="s">
        <v>19</v>
      </c>
      <c r="J810" s="49">
        <v>-3.7422709E7</v>
      </c>
    </row>
    <row r="811">
      <c r="A811" s="45" t="s">
        <v>74</v>
      </c>
      <c r="B811" s="16" t="s">
        <v>148</v>
      </c>
      <c r="C811" s="17" t="s">
        <v>149</v>
      </c>
      <c r="D811" s="15">
        <v>2.0</v>
      </c>
      <c r="E811" s="17" t="s">
        <v>456</v>
      </c>
      <c r="F811" s="15" t="s">
        <v>457</v>
      </c>
      <c r="G811" s="46" t="s">
        <v>515</v>
      </c>
      <c r="H811" s="47" t="s">
        <v>413</v>
      </c>
      <c r="I811" s="48" t="s">
        <v>19</v>
      </c>
      <c r="J811" s="49">
        <v>3000000.0</v>
      </c>
    </row>
    <row r="812">
      <c r="A812" s="45" t="s">
        <v>74</v>
      </c>
      <c r="B812" s="16" t="s">
        <v>148</v>
      </c>
      <c r="C812" s="17" t="s">
        <v>149</v>
      </c>
      <c r="D812" s="15">
        <v>2.0</v>
      </c>
      <c r="E812" s="17" t="s">
        <v>456</v>
      </c>
      <c r="F812" s="15" t="s">
        <v>457</v>
      </c>
      <c r="G812" s="46" t="s">
        <v>458</v>
      </c>
      <c r="H812" s="47" t="s">
        <v>411</v>
      </c>
      <c r="I812" s="48" t="s">
        <v>19</v>
      </c>
      <c r="J812" s="49">
        <v>1.83288879E8</v>
      </c>
    </row>
    <row r="813">
      <c r="A813" s="45" t="s">
        <v>74</v>
      </c>
      <c r="B813" s="16" t="s">
        <v>148</v>
      </c>
      <c r="C813" s="17" t="s">
        <v>149</v>
      </c>
      <c r="D813" s="15">
        <v>2.0</v>
      </c>
      <c r="E813" s="17" t="s">
        <v>459</v>
      </c>
      <c r="F813" s="15" t="s">
        <v>460</v>
      </c>
      <c r="G813" s="46" t="s">
        <v>519</v>
      </c>
      <c r="H813" s="47" t="s">
        <v>414</v>
      </c>
      <c r="I813" s="48" t="s">
        <v>37</v>
      </c>
      <c r="J813" s="49">
        <v>67500.0</v>
      </c>
    </row>
    <row r="814">
      <c r="A814" s="45" t="s">
        <v>74</v>
      </c>
      <c r="B814" s="16" t="s">
        <v>148</v>
      </c>
      <c r="C814" s="17" t="s">
        <v>149</v>
      </c>
      <c r="D814" s="15">
        <v>2.0</v>
      </c>
      <c r="E814" s="17" t="s">
        <v>459</v>
      </c>
      <c r="F814" s="15" t="s">
        <v>460</v>
      </c>
      <c r="G814" s="46" t="s">
        <v>458</v>
      </c>
      <c r="H814" s="47" t="s">
        <v>411</v>
      </c>
      <c r="I814" s="48" t="s">
        <v>19</v>
      </c>
      <c r="J814" s="49">
        <v>2.3334835E7</v>
      </c>
    </row>
    <row r="815">
      <c r="A815" s="45" t="s">
        <v>74</v>
      </c>
      <c r="B815" s="16" t="s">
        <v>148</v>
      </c>
      <c r="C815" s="17" t="s">
        <v>149</v>
      </c>
      <c r="D815" s="15">
        <v>2.0</v>
      </c>
      <c r="E815" s="17" t="s">
        <v>459</v>
      </c>
      <c r="F815" s="15" t="s">
        <v>460</v>
      </c>
      <c r="G815" s="46" t="s">
        <v>552</v>
      </c>
      <c r="H815" s="47" t="s">
        <v>553</v>
      </c>
      <c r="I815" s="48" t="s">
        <v>25</v>
      </c>
      <c r="J815" s="49">
        <v>0.0</v>
      </c>
    </row>
    <row r="816">
      <c r="A816" s="45" t="s">
        <v>74</v>
      </c>
      <c r="B816" s="16" t="s">
        <v>148</v>
      </c>
      <c r="C816" s="17" t="s">
        <v>149</v>
      </c>
      <c r="D816" s="15">
        <v>2.0</v>
      </c>
      <c r="E816" s="17" t="s">
        <v>463</v>
      </c>
      <c r="F816" s="15" t="s">
        <v>464</v>
      </c>
      <c r="G816" s="46" t="s">
        <v>465</v>
      </c>
      <c r="H816" s="47" t="s">
        <v>466</v>
      </c>
      <c r="I816" s="48" t="s">
        <v>25</v>
      </c>
      <c r="J816" s="49">
        <v>175000.0</v>
      </c>
    </row>
    <row r="817">
      <c r="A817" s="45" t="s">
        <v>74</v>
      </c>
      <c r="B817" s="16" t="s">
        <v>148</v>
      </c>
      <c r="C817" s="17" t="s">
        <v>149</v>
      </c>
      <c r="D817" s="15">
        <v>2.0</v>
      </c>
      <c r="E817" s="17" t="s">
        <v>463</v>
      </c>
      <c r="F817" s="15" t="s">
        <v>464</v>
      </c>
      <c r="G817" s="46" t="s">
        <v>443</v>
      </c>
      <c r="H817" s="47" t="s">
        <v>420</v>
      </c>
      <c r="I817" s="48" t="s">
        <v>19</v>
      </c>
      <c r="J817" s="49">
        <v>-1.4391378E7</v>
      </c>
    </row>
    <row r="818">
      <c r="A818" s="45" t="s">
        <v>74</v>
      </c>
      <c r="B818" s="16" t="s">
        <v>148</v>
      </c>
      <c r="C818" s="17" t="s">
        <v>149</v>
      </c>
      <c r="D818" s="15">
        <v>2.0</v>
      </c>
      <c r="E818" s="17" t="s">
        <v>463</v>
      </c>
      <c r="F818" s="15" t="s">
        <v>464</v>
      </c>
      <c r="G818" s="46" t="s">
        <v>458</v>
      </c>
      <c r="H818" s="47" t="s">
        <v>411</v>
      </c>
      <c r="I818" s="48" t="s">
        <v>19</v>
      </c>
      <c r="J818" s="49">
        <v>2.0565993E7</v>
      </c>
    </row>
    <row r="819">
      <c r="A819" s="45" t="s">
        <v>74</v>
      </c>
      <c r="B819" s="16" t="s">
        <v>148</v>
      </c>
      <c r="C819" s="17" t="s">
        <v>149</v>
      </c>
      <c r="D819" s="15">
        <v>2.0</v>
      </c>
      <c r="E819" s="17" t="s">
        <v>487</v>
      </c>
      <c r="F819" s="15" t="s">
        <v>488</v>
      </c>
      <c r="G819" s="46" t="s">
        <v>458</v>
      </c>
      <c r="H819" s="47" t="s">
        <v>411</v>
      </c>
      <c r="I819" s="48" t="s">
        <v>19</v>
      </c>
      <c r="J819" s="49">
        <v>9514813.0</v>
      </c>
    </row>
    <row r="820">
      <c r="A820" s="45" t="s">
        <v>74</v>
      </c>
      <c r="B820" s="16" t="s">
        <v>148</v>
      </c>
      <c r="C820" s="17" t="s">
        <v>149</v>
      </c>
      <c r="D820" s="15">
        <v>2.0</v>
      </c>
      <c r="E820" s="17" t="s">
        <v>487</v>
      </c>
      <c r="F820" s="15" t="s">
        <v>488</v>
      </c>
      <c r="G820" s="46" t="s">
        <v>477</v>
      </c>
      <c r="H820" s="47" t="s">
        <v>429</v>
      </c>
      <c r="I820" s="48" t="s">
        <v>50</v>
      </c>
      <c r="J820" s="49">
        <v>1194352.0</v>
      </c>
    </row>
    <row r="821">
      <c r="A821" s="45" t="s">
        <v>74</v>
      </c>
      <c r="B821" s="16" t="s">
        <v>148</v>
      </c>
      <c r="C821" s="17" t="s">
        <v>149</v>
      </c>
      <c r="D821" s="15">
        <v>2.0</v>
      </c>
      <c r="E821" s="17" t="s">
        <v>487</v>
      </c>
      <c r="F821" s="15" t="s">
        <v>488</v>
      </c>
      <c r="G821" s="46" t="s">
        <v>530</v>
      </c>
      <c r="H821" s="47" t="s">
        <v>531</v>
      </c>
      <c r="I821" s="48" t="s">
        <v>50</v>
      </c>
      <c r="J821" s="49">
        <v>1.1466336E7</v>
      </c>
    </row>
    <row r="822">
      <c r="A822" s="45" t="s">
        <v>74</v>
      </c>
      <c r="B822" s="16" t="s">
        <v>148</v>
      </c>
      <c r="C822" s="17" t="s">
        <v>149</v>
      </c>
      <c r="D822" s="15">
        <v>2.0</v>
      </c>
      <c r="E822" s="17" t="s">
        <v>469</v>
      </c>
      <c r="F822" s="15" t="s">
        <v>470</v>
      </c>
      <c r="G822" s="46" t="s">
        <v>517</v>
      </c>
      <c r="H822" s="47" t="s">
        <v>518</v>
      </c>
      <c r="I822" s="48" t="s">
        <v>25</v>
      </c>
      <c r="J822" s="49">
        <v>353000.0</v>
      </c>
    </row>
    <row r="823">
      <c r="A823" s="45" t="s">
        <v>74</v>
      </c>
      <c r="B823" s="16" t="s">
        <v>148</v>
      </c>
      <c r="C823" s="17" t="s">
        <v>149</v>
      </c>
      <c r="D823" s="15">
        <v>2.0</v>
      </c>
      <c r="E823" s="17" t="s">
        <v>473</v>
      </c>
      <c r="F823" s="15" t="s">
        <v>474</v>
      </c>
      <c r="G823" s="46" t="s">
        <v>523</v>
      </c>
      <c r="H823" s="47" t="s">
        <v>431</v>
      </c>
      <c r="I823" s="48" t="s">
        <v>17</v>
      </c>
      <c r="J823" s="49">
        <v>1.08256404E8</v>
      </c>
    </row>
    <row r="824">
      <c r="A824" s="45" t="s">
        <v>74</v>
      </c>
      <c r="B824" s="16" t="s">
        <v>148</v>
      </c>
      <c r="C824" s="17" t="s">
        <v>149</v>
      </c>
      <c r="D824" s="15">
        <v>2.0</v>
      </c>
      <c r="E824" s="17" t="s">
        <v>473</v>
      </c>
      <c r="F824" s="15" t="s">
        <v>474</v>
      </c>
      <c r="G824" s="46" t="s">
        <v>523</v>
      </c>
      <c r="H824" s="47" t="s">
        <v>431</v>
      </c>
      <c r="I824" s="48" t="s">
        <v>25</v>
      </c>
      <c r="J824" s="49">
        <v>-1.48370678E8</v>
      </c>
    </row>
    <row r="825">
      <c r="A825" s="45" t="s">
        <v>74</v>
      </c>
      <c r="B825" s="16" t="s">
        <v>148</v>
      </c>
      <c r="C825" s="17" t="s">
        <v>149</v>
      </c>
      <c r="D825" s="15">
        <v>2.0</v>
      </c>
      <c r="E825" s="17" t="s">
        <v>473</v>
      </c>
      <c r="F825" s="15" t="s">
        <v>474</v>
      </c>
      <c r="G825" s="46" t="s">
        <v>458</v>
      </c>
      <c r="H825" s="47" t="s">
        <v>411</v>
      </c>
      <c r="I825" s="48" t="s">
        <v>19</v>
      </c>
      <c r="J825" s="49">
        <v>3.5226492E7</v>
      </c>
    </row>
    <row r="826">
      <c r="A826" s="45" t="s">
        <v>74</v>
      </c>
      <c r="B826" s="16" t="s">
        <v>148</v>
      </c>
      <c r="C826" s="17" t="s">
        <v>149</v>
      </c>
      <c r="D826" s="15">
        <v>2.0</v>
      </c>
      <c r="E826" s="17" t="s">
        <v>491</v>
      </c>
      <c r="F826" s="15" t="s">
        <v>492</v>
      </c>
      <c r="G826" s="46" t="s">
        <v>493</v>
      </c>
      <c r="H826" s="47" t="s">
        <v>437</v>
      </c>
      <c r="I826" s="48" t="s">
        <v>25</v>
      </c>
      <c r="J826" s="49">
        <v>2683852.0</v>
      </c>
    </row>
    <row r="827">
      <c r="A827" s="45" t="s">
        <v>74</v>
      </c>
      <c r="B827" s="16" t="s">
        <v>148</v>
      </c>
      <c r="C827" s="17" t="s">
        <v>149</v>
      </c>
      <c r="D827" s="15">
        <v>2.0</v>
      </c>
      <c r="E827" s="17" t="s">
        <v>475</v>
      </c>
      <c r="F827" s="15" t="s">
        <v>476</v>
      </c>
      <c r="G827" s="46" t="s">
        <v>498</v>
      </c>
      <c r="H827" s="47" t="s">
        <v>434</v>
      </c>
      <c r="I827" s="48" t="s">
        <v>25</v>
      </c>
      <c r="J827" s="49">
        <v>7830000.0</v>
      </c>
    </row>
    <row r="828">
      <c r="A828" s="45" t="s">
        <v>74</v>
      </c>
      <c r="B828" s="16" t="s">
        <v>148</v>
      </c>
      <c r="C828" s="17" t="s">
        <v>149</v>
      </c>
      <c r="D828" s="15">
        <v>2.0</v>
      </c>
      <c r="E828" s="17" t="s">
        <v>475</v>
      </c>
      <c r="F828" s="15" t="s">
        <v>476</v>
      </c>
      <c r="G828" s="46" t="s">
        <v>477</v>
      </c>
      <c r="H828" s="47" t="s">
        <v>429</v>
      </c>
      <c r="I828" s="48" t="s">
        <v>50</v>
      </c>
      <c r="J828" s="49">
        <v>3.894497E7</v>
      </c>
    </row>
    <row r="829">
      <c r="A829" s="45" t="s">
        <v>74</v>
      </c>
      <c r="B829" s="16" t="s">
        <v>148</v>
      </c>
      <c r="C829" s="17" t="s">
        <v>149</v>
      </c>
      <c r="D829" s="15">
        <v>2.0</v>
      </c>
      <c r="E829" s="17" t="s">
        <v>524</v>
      </c>
      <c r="F829" s="15" t="s">
        <v>479</v>
      </c>
      <c r="G829" s="46" t="s">
        <v>443</v>
      </c>
      <c r="H829" s="47" t="s">
        <v>420</v>
      </c>
      <c r="I829" s="48" t="s">
        <v>19</v>
      </c>
      <c r="J829" s="49">
        <v>1.02573784E8</v>
      </c>
    </row>
    <row r="830">
      <c r="A830" s="45" t="s">
        <v>74</v>
      </c>
      <c r="B830" s="16" t="s">
        <v>148</v>
      </c>
      <c r="C830" s="17" t="s">
        <v>149</v>
      </c>
      <c r="D830" s="15">
        <v>2.0</v>
      </c>
      <c r="E830" s="17" t="s">
        <v>524</v>
      </c>
      <c r="F830" s="15" t="s">
        <v>479</v>
      </c>
      <c r="G830" s="46" t="s">
        <v>444</v>
      </c>
      <c r="H830" s="47" t="s">
        <v>445</v>
      </c>
      <c r="I830" s="48" t="s">
        <v>19</v>
      </c>
      <c r="J830" s="49">
        <v>5469995.0</v>
      </c>
    </row>
    <row r="831">
      <c r="A831" s="45" t="s">
        <v>74</v>
      </c>
      <c r="B831" s="16" t="s">
        <v>148</v>
      </c>
      <c r="C831" s="17" t="s">
        <v>149</v>
      </c>
      <c r="D831" s="15">
        <v>2.0</v>
      </c>
      <c r="E831" s="17" t="s">
        <v>524</v>
      </c>
      <c r="F831" s="15" t="s">
        <v>479</v>
      </c>
      <c r="G831" s="46" t="s">
        <v>446</v>
      </c>
      <c r="H831" s="47" t="s">
        <v>447</v>
      </c>
      <c r="I831" s="48" t="s">
        <v>19</v>
      </c>
      <c r="J831" s="49">
        <v>1196067.0</v>
      </c>
    </row>
    <row r="832">
      <c r="A832" s="45" t="s">
        <v>74</v>
      </c>
      <c r="B832" s="16" t="s">
        <v>148</v>
      </c>
      <c r="C832" s="17" t="s">
        <v>149</v>
      </c>
      <c r="D832" s="15">
        <v>2.0</v>
      </c>
      <c r="E832" s="17" t="s">
        <v>524</v>
      </c>
      <c r="F832" s="15" t="s">
        <v>479</v>
      </c>
      <c r="G832" s="46" t="s">
        <v>448</v>
      </c>
      <c r="H832" s="47" t="s">
        <v>449</v>
      </c>
      <c r="I832" s="48" t="s">
        <v>19</v>
      </c>
      <c r="J832" s="49">
        <v>3470203.0</v>
      </c>
    </row>
    <row r="833">
      <c r="A833" s="45" t="s">
        <v>74</v>
      </c>
      <c r="B833" s="16" t="s">
        <v>148</v>
      </c>
      <c r="C833" s="17" t="s">
        <v>149</v>
      </c>
      <c r="D833" s="15">
        <v>2.0</v>
      </c>
      <c r="E833" s="17" t="s">
        <v>524</v>
      </c>
      <c r="F833" s="15" t="s">
        <v>479</v>
      </c>
      <c r="G833" s="46" t="s">
        <v>450</v>
      </c>
      <c r="H833" s="47" t="s">
        <v>451</v>
      </c>
      <c r="I833" s="48" t="s">
        <v>19</v>
      </c>
      <c r="J833" s="49">
        <v>0.0</v>
      </c>
    </row>
    <row r="834">
      <c r="A834" s="45" t="s">
        <v>74</v>
      </c>
      <c r="B834" s="16" t="s">
        <v>148</v>
      </c>
      <c r="C834" s="17" t="s">
        <v>149</v>
      </c>
      <c r="D834" s="15">
        <v>2.0</v>
      </c>
      <c r="E834" s="17" t="s">
        <v>524</v>
      </c>
      <c r="F834" s="15" t="s">
        <v>479</v>
      </c>
      <c r="G834" s="46" t="s">
        <v>452</v>
      </c>
      <c r="H834" s="47" t="s">
        <v>453</v>
      </c>
      <c r="I834" s="48" t="s">
        <v>19</v>
      </c>
      <c r="J834" s="49">
        <v>2212722.0</v>
      </c>
    </row>
    <row r="835">
      <c r="A835" s="45" t="s">
        <v>74</v>
      </c>
      <c r="B835" s="16" t="s">
        <v>148</v>
      </c>
      <c r="C835" s="17" t="s">
        <v>149</v>
      </c>
      <c r="D835" s="15">
        <v>2.0</v>
      </c>
      <c r="E835" s="17" t="s">
        <v>524</v>
      </c>
      <c r="F835" s="15" t="s">
        <v>479</v>
      </c>
      <c r="G835" s="46" t="s">
        <v>454</v>
      </c>
      <c r="H835" s="47" t="s">
        <v>415</v>
      </c>
      <c r="I835" s="48" t="s">
        <v>19</v>
      </c>
      <c r="J835" s="49">
        <v>322940.0</v>
      </c>
    </row>
    <row r="836">
      <c r="A836" s="45" t="s">
        <v>74</v>
      </c>
      <c r="B836" s="16" t="s">
        <v>148</v>
      </c>
      <c r="C836" s="17" t="s">
        <v>149</v>
      </c>
      <c r="D836" s="15">
        <v>2.0</v>
      </c>
      <c r="E836" s="17" t="s">
        <v>524</v>
      </c>
      <c r="F836" s="15" t="s">
        <v>479</v>
      </c>
      <c r="G836" s="46" t="s">
        <v>455</v>
      </c>
      <c r="H836" s="47" t="s">
        <v>415</v>
      </c>
      <c r="I836" s="48" t="s">
        <v>19</v>
      </c>
      <c r="J836" s="49">
        <v>179409.0</v>
      </c>
    </row>
    <row r="837">
      <c r="A837" s="45" t="s">
        <v>74</v>
      </c>
      <c r="B837" s="16" t="s">
        <v>148</v>
      </c>
      <c r="C837" s="17" t="s">
        <v>149</v>
      </c>
      <c r="D837" s="15">
        <v>2.0</v>
      </c>
      <c r="E837" s="17" t="s">
        <v>524</v>
      </c>
      <c r="F837" s="15" t="s">
        <v>479</v>
      </c>
      <c r="G837" s="46" t="s">
        <v>499</v>
      </c>
      <c r="H837" s="47" t="s">
        <v>500</v>
      </c>
      <c r="I837" s="48" t="s">
        <v>19</v>
      </c>
      <c r="J837" s="49">
        <v>2756000.0</v>
      </c>
    </row>
    <row r="838">
      <c r="A838" s="45" t="s">
        <v>74</v>
      </c>
      <c r="B838" s="16" t="s">
        <v>148</v>
      </c>
      <c r="C838" s="17" t="s">
        <v>149</v>
      </c>
      <c r="D838" s="15">
        <v>2.0</v>
      </c>
      <c r="E838" s="17" t="s">
        <v>524</v>
      </c>
      <c r="F838" s="15" t="s">
        <v>479</v>
      </c>
      <c r="G838" s="46" t="s">
        <v>480</v>
      </c>
      <c r="H838" s="47" t="s">
        <v>481</v>
      </c>
      <c r="I838" s="48" t="s">
        <v>19</v>
      </c>
      <c r="J838" s="49">
        <v>2992514.0</v>
      </c>
    </row>
    <row r="839">
      <c r="A839" s="45" t="s">
        <v>74</v>
      </c>
      <c r="B839" s="16" t="s">
        <v>148</v>
      </c>
      <c r="C839" s="17" t="s">
        <v>149</v>
      </c>
      <c r="D839" s="15">
        <v>2.0</v>
      </c>
      <c r="E839" s="17" t="s">
        <v>525</v>
      </c>
      <c r="F839" s="15" t="s">
        <v>502</v>
      </c>
      <c r="G839" s="46" t="s">
        <v>526</v>
      </c>
      <c r="H839" s="47" t="s">
        <v>527</v>
      </c>
      <c r="I839" s="48" t="s">
        <v>60</v>
      </c>
      <c r="J839" s="49">
        <v>2.01681431E8</v>
      </c>
    </row>
    <row r="840">
      <c r="A840" s="45" t="s">
        <v>74</v>
      </c>
      <c r="B840" s="16" t="s">
        <v>148</v>
      </c>
      <c r="C840" s="17" t="s">
        <v>149</v>
      </c>
      <c r="D840" s="15">
        <v>2.0</v>
      </c>
      <c r="E840" s="17" t="s">
        <v>525</v>
      </c>
      <c r="F840" s="15" t="s">
        <v>502</v>
      </c>
      <c r="G840" s="46" t="s">
        <v>505</v>
      </c>
      <c r="H840" s="47" t="s">
        <v>506</v>
      </c>
      <c r="I840" s="48" t="s">
        <v>60</v>
      </c>
      <c r="J840" s="49">
        <v>7723534.0</v>
      </c>
    </row>
    <row r="841">
      <c r="A841" s="45" t="s">
        <v>74</v>
      </c>
      <c r="B841" s="16" t="s">
        <v>148</v>
      </c>
      <c r="C841" s="17" t="s">
        <v>149</v>
      </c>
      <c r="D841" s="15">
        <v>2.0</v>
      </c>
      <c r="E841" s="17" t="s">
        <v>525</v>
      </c>
      <c r="F841" s="15" t="s">
        <v>502</v>
      </c>
      <c r="G841" s="46" t="s">
        <v>507</v>
      </c>
      <c r="H841" s="47" t="s">
        <v>508</v>
      </c>
      <c r="I841" s="48" t="s">
        <v>60</v>
      </c>
      <c r="J841" s="49">
        <v>1349183.0</v>
      </c>
    </row>
    <row r="842">
      <c r="A842" s="45" t="s">
        <v>74</v>
      </c>
      <c r="B842" s="16" t="s">
        <v>148</v>
      </c>
      <c r="C842" s="17" t="s">
        <v>149</v>
      </c>
      <c r="D842" s="15">
        <v>2.0</v>
      </c>
      <c r="E842" s="17" t="s">
        <v>525</v>
      </c>
      <c r="F842" s="15" t="s">
        <v>502</v>
      </c>
      <c r="G842" s="46" t="s">
        <v>509</v>
      </c>
      <c r="H842" s="47" t="s">
        <v>510</v>
      </c>
      <c r="I842" s="48" t="s">
        <v>60</v>
      </c>
      <c r="J842" s="49">
        <v>660418.0</v>
      </c>
    </row>
    <row r="843">
      <c r="A843" s="45" t="s">
        <v>74</v>
      </c>
      <c r="B843" s="16" t="s">
        <v>148</v>
      </c>
      <c r="C843" s="17" t="s">
        <v>149</v>
      </c>
      <c r="D843" s="15">
        <v>2.0</v>
      </c>
      <c r="E843" s="17" t="s">
        <v>525</v>
      </c>
      <c r="F843" s="15" t="s">
        <v>502</v>
      </c>
      <c r="G843" s="46" t="s">
        <v>511</v>
      </c>
      <c r="H843" s="47" t="s">
        <v>512</v>
      </c>
      <c r="I843" s="48" t="s">
        <v>60</v>
      </c>
      <c r="J843" s="49">
        <v>5.2437833E7</v>
      </c>
    </row>
    <row r="844">
      <c r="A844" s="45" t="s">
        <v>74</v>
      </c>
      <c r="B844" s="16" t="s">
        <v>148</v>
      </c>
      <c r="C844" s="17" t="s">
        <v>149</v>
      </c>
      <c r="D844" s="15">
        <v>2.0</v>
      </c>
      <c r="E844" s="17" t="s">
        <v>525</v>
      </c>
      <c r="F844" s="15" t="s">
        <v>502</v>
      </c>
      <c r="G844" s="46" t="s">
        <v>513</v>
      </c>
      <c r="H844" s="47" t="s">
        <v>514</v>
      </c>
      <c r="I844" s="48" t="s">
        <v>60</v>
      </c>
      <c r="J844" s="49">
        <v>5418392.0</v>
      </c>
    </row>
    <row r="845">
      <c r="A845" s="45" t="s">
        <v>74</v>
      </c>
      <c r="B845" s="16" t="s">
        <v>148</v>
      </c>
      <c r="C845" s="17" t="s">
        <v>149</v>
      </c>
      <c r="D845" s="15">
        <v>2.0</v>
      </c>
      <c r="E845" s="17" t="s">
        <v>548</v>
      </c>
      <c r="F845" s="15" t="s">
        <v>549</v>
      </c>
      <c r="G845" s="46" t="s">
        <v>550</v>
      </c>
      <c r="H845" s="47" t="s">
        <v>551</v>
      </c>
      <c r="I845" s="48" t="s">
        <v>25</v>
      </c>
      <c r="J845" s="49">
        <v>5.9461E7</v>
      </c>
    </row>
    <row r="846">
      <c r="A846" s="45" t="s">
        <v>74</v>
      </c>
      <c r="B846" s="16" t="s">
        <v>167</v>
      </c>
      <c r="C846" s="17" t="s">
        <v>168</v>
      </c>
      <c r="D846" s="15">
        <v>2.0</v>
      </c>
      <c r="E846" s="17" t="s">
        <v>441</v>
      </c>
      <c r="F846" s="15" t="s">
        <v>442</v>
      </c>
      <c r="G846" s="46" t="s">
        <v>443</v>
      </c>
      <c r="H846" s="47" t="s">
        <v>420</v>
      </c>
      <c r="I846" s="48" t="s">
        <v>19</v>
      </c>
      <c r="J846" s="49">
        <v>4.7355277E7</v>
      </c>
    </row>
    <row r="847">
      <c r="A847" s="45" t="s">
        <v>74</v>
      </c>
      <c r="B847" s="16" t="s">
        <v>167</v>
      </c>
      <c r="C847" s="17" t="s">
        <v>168</v>
      </c>
      <c r="D847" s="15">
        <v>2.0</v>
      </c>
      <c r="E847" s="17" t="s">
        <v>441</v>
      </c>
      <c r="F847" s="15" t="s">
        <v>442</v>
      </c>
      <c r="G847" s="46" t="s">
        <v>444</v>
      </c>
      <c r="H847" s="47" t="s">
        <v>445</v>
      </c>
      <c r="I847" s="48" t="s">
        <v>19</v>
      </c>
      <c r="J847" s="49">
        <v>4129525.0</v>
      </c>
    </row>
    <row r="848">
      <c r="A848" s="45" t="s">
        <v>74</v>
      </c>
      <c r="B848" s="16" t="s">
        <v>167</v>
      </c>
      <c r="C848" s="17" t="s">
        <v>168</v>
      </c>
      <c r="D848" s="15">
        <v>2.0</v>
      </c>
      <c r="E848" s="17" t="s">
        <v>441</v>
      </c>
      <c r="F848" s="15" t="s">
        <v>442</v>
      </c>
      <c r="G848" s="46" t="s">
        <v>446</v>
      </c>
      <c r="H848" s="47" t="s">
        <v>447</v>
      </c>
      <c r="I848" s="48" t="s">
        <v>19</v>
      </c>
      <c r="J848" s="49">
        <v>471027.0</v>
      </c>
    </row>
    <row r="849">
      <c r="A849" s="45" t="s">
        <v>74</v>
      </c>
      <c r="B849" s="16" t="s">
        <v>167</v>
      </c>
      <c r="C849" s="17" t="s">
        <v>168</v>
      </c>
      <c r="D849" s="15">
        <v>2.0</v>
      </c>
      <c r="E849" s="17" t="s">
        <v>441</v>
      </c>
      <c r="F849" s="15" t="s">
        <v>442</v>
      </c>
      <c r="G849" s="46" t="s">
        <v>448</v>
      </c>
      <c r="H849" s="47" t="s">
        <v>449</v>
      </c>
      <c r="I849" s="48" t="s">
        <v>19</v>
      </c>
      <c r="J849" s="49">
        <v>1177569.0</v>
      </c>
    </row>
    <row r="850">
      <c r="A850" s="45" t="s">
        <v>74</v>
      </c>
      <c r="B850" s="16" t="s">
        <v>167</v>
      </c>
      <c r="C850" s="17" t="s">
        <v>168</v>
      </c>
      <c r="D850" s="15">
        <v>2.0</v>
      </c>
      <c r="E850" s="17" t="s">
        <v>441</v>
      </c>
      <c r="F850" s="15" t="s">
        <v>442</v>
      </c>
      <c r="G850" s="46" t="s">
        <v>450</v>
      </c>
      <c r="H850" s="47" t="s">
        <v>451</v>
      </c>
      <c r="I850" s="48" t="s">
        <v>19</v>
      </c>
      <c r="J850" s="49">
        <v>0.0</v>
      </c>
    </row>
    <row r="851">
      <c r="A851" s="45" t="s">
        <v>74</v>
      </c>
      <c r="B851" s="16" t="s">
        <v>167</v>
      </c>
      <c r="C851" s="17" t="s">
        <v>168</v>
      </c>
      <c r="D851" s="15">
        <v>2.0</v>
      </c>
      <c r="E851" s="17" t="s">
        <v>441</v>
      </c>
      <c r="F851" s="15" t="s">
        <v>442</v>
      </c>
      <c r="G851" s="46" t="s">
        <v>452</v>
      </c>
      <c r="H851" s="47" t="s">
        <v>453</v>
      </c>
      <c r="I851" s="48" t="s">
        <v>19</v>
      </c>
      <c r="J851" s="49">
        <v>871401.0</v>
      </c>
    </row>
    <row r="852">
      <c r="A852" s="45" t="s">
        <v>74</v>
      </c>
      <c r="B852" s="16" t="s">
        <v>167</v>
      </c>
      <c r="C852" s="17" t="s">
        <v>168</v>
      </c>
      <c r="D852" s="15">
        <v>2.0</v>
      </c>
      <c r="E852" s="17" t="s">
        <v>441</v>
      </c>
      <c r="F852" s="15" t="s">
        <v>442</v>
      </c>
      <c r="G852" s="46" t="s">
        <v>454</v>
      </c>
      <c r="H852" s="47" t="s">
        <v>415</v>
      </c>
      <c r="I852" s="48" t="s">
        <v>19</v>
      </c>
      <c r="J852" s="49">
        <v>127177.0</v>
      </c>
    </row>
    <row r="853">
      <c r="A853" s="45" t="s">
        <v>74</v>
      </c>
      <c r="B853" s="16" t="s">
        <v>167</v>
      </c>
      <c r="C853" s="17" t="s">
        <v>168</v>
      </c>
      <c r="D853" s="15">
        <v>2.0</v>
      </c>
      <c r="E853" s="17" t="s">
        <v>441</v>
      </c>
      <c r="F853" s="15" t="s">
        <v>442</v>
      </c>
      <c r="G853" s="46" t="s">
        <v>455</v>
      </c>
      <c r="H853" s="47" t="s">
        <v>415</v>
      </c>
      <c r="I853" s="48" t="s">
        <v>19</v>
      </c>
      <c r="J853" s="49">
        <v>70653.0</v>
      </c>
    </row>
    <row r="854">
      <c r="A854" s="45" t="s">
        <v>74</v>
      </c>
      <c r="B854" s="16" t="s">
        <v>167</v>
      </c>
      <c r="C854" s="17" t="s">
        <v>168</v>
      </c>
      <c r="D854" s="15">
        <v>2.0</v>
      </c>
      <c r="E854" s="17" t="s">
        <v>456</v>
      </c>
      <c r="F854" s="15" t="s">
        <v>457</v>
      </c>
      <c r="G854" s="46" t="s">
        <v>515</v>
      </c>
      <c r="H854" s="47" t="s">
        <v>413</v>
      </c>
      <c r="I854" s="48" t="s">
        <v>19</v>
      </c>
      <c r="J854" s="49">
        <v>1.8329436E7</v>
      </c>
    </row>
    <row r="855">
      <c r="A855" s="45" t="s">
        <v>74</v>
      </c>
      <c r="B855" s="16" t="s">
        <v>167</v>
      </c>
      <c r="C855" s="17" t="s">
        <v>168</v>
      </c>
      <c r="D855" s="15">
        <v>2.0</v>
      </c>
      <c r="E855" s="17" t="s">
        <v>456</v>
      </c>
      <c r="F855" s="15" t="s">
        <v>457</v>
      </c>
      <c r="G855" s="46" t="s">
        <v>458</v>
      </c>
      <c r="H855" s="47" t="s">
        <v>411</v>
      </c>
      <c r="I855" s="48" t="s">
        <v>19</v>
      </c>
      <c r="J855" s="49">
        <v>1.6711247E8</v>
      </c>
    </row>
    <row r="856">
      <c r="A856" s="45" t="s">
        <v>74</v>
      </c>
      <c r="B856" s="16" t="s">
        <v>167</v>
      </c>
      <c r="C856" s="17" t="s">
        <v>168</v>
      </c>
      <c r="D856" s="15">
        <v>2.0</v>
      </c>
      <c r="E856" s="17" t="s">
        <v>456</v>
      </c>
      <c r="F856" s="15" t="s">
        <v>457</v>
      </c>
      <c r="G856" s="46" t="s">
        <v>532</v>
      </c>
      <c r="H856" s="47" t="s">
        <v>412</v>
      </c>
      <c r="I856" s="48" t="s">
        <v>19</v>
      </c>
      <c r="J856" s="49">
        <v>1.2119128E7</v>
      </c>
    </row>
    <row r="857">
      <c r="A857" s="45" t="s">
        <v>74</v>
      </c>
      <c r="B857" s="16" t="s">
        <v>167</v>
      </c>
      <c r="C857" s="17" t="s">
        <v>168</v>
      </c>
      <c r="D857" s="15">
        <v>2.0</v>
      </c>
      <c r="E857" s="17" t="s">
        <v>459</v>
      </c>
      <c r="F857" s="15" t="s">
        <v>460</v>
      </c>
      <c r="G857" s="46" t="s">
        <v>519</v>
      </c>
      <c r="H857" s="47" t="s">
        <v>414</v>
      </c>
      <c r="I857" s="48" t="s">
        <v>37</v>
      </c>
      <c r="J857" s="49">
        <v>2047000.0</v>
      </c>
    </row>
    <row r="858">
      <c r="A858" s="45" t="s">
        <v>74</v>
      </c>
      <c r="B858" s="16" t="s">
        <v>167</v>
      </c>
      <c r="C858" s="17" t="s">
        <v>168</v>
      </c>
      <c r="D858" s="15">
        <v>2.0</v>
      </c>
      <c r="E858" s="17" t="s">
        <v>459</v>
      </c>
      <c r="F858" s="15" t="s">
        <v>460</v>
      </c>
      <c r="G858" s="46" t="s">
        <v>458</v>
      </c>
      <c r="H858" s="47" t="s">
        <v>411</v>
      </c>
      <c r="I858" s="48" t="s">
        <v>19</v>
      </c>
      <c r="J858" s="49">
        <v>3138930.0</v>
      </c>
    </row>
    <row r="859">
      <c r="A859" s="45" t="s">
        <v>74</v>
      </c>
      <c r="B859" s="16" t="s">
        <v>167</v>
      </c>
      <c r="C859" s="17" t="s">
        <v>168</v>
      </c>
      <c r="D859" s="15">
        <v>2.0</v>
      </c>
      <c r="E859" s="17" t="s">
        <v>463</v>
      </c>
      <c r="F859" s="15" t="s">
        <v>464</v>
      </c>
      <c r="G859" s="46" t="s">
        <v>543</v>
      </c>
      <c r="H859" s="47" t="s">
        <v>430</v>
      </c>
      <c r="I859" s="48" t="s">
        <v>37</v>
      </c>
      <c r="J859" s="49">
        <v>1485000.0</v>
      </c>
    </row>
    <row r="860">
      <c r="A860" s="45" t="s">
        <v>74</v>
      </c>
      <c r="B860" s="16" t="s">
        <v>167</v>
      </c>
      <c r="C860" s="17" t="s">
        <v>168</v>
      </c>
      <c r="D860" s="15">
        <v>2.0</v>
      </c>
      <c r="E860" s="17" t="s">
        <v>463</v>
      </c>
      <c r="F860" s="15" t="s">
        <v>464</v>
      </c>
      <c r="G860" s="46" t="s">
        <v>519</v>
      </c>
      <c r="H860" s="47" t="s">
        <v>414</v>
      </c>
      <c r="I860" s="48" t="s">
        <v>37</v>
      </c>
      <c r="J860" s="49">
        <v>4.3853075E7</v>
      </c>
    </row>
    <row r="861">
      <c r="A861" s="45" t="s">
        <v>74</v>
      </c>
      <c r="B861" s="16" t="s">
        <v>167</v>
      </c>
      <c r="C861" s="17" t="s">
        <v>168</v>
      </c>
      <c r="D861" s="15">
        <v>2.0</v>
      </c>
      <c r="E861" s="17" t="s">
        <v>463</v>
      </c>
      <c r="F861" s="15" t="s">
        <v>464</v>
      </c>
      <c r="G861" s="46" t="s">
        <v>458</v>
      </c>
      <c r="H861" s="47" t="s">
        <v>411</v>
      </c>
      <c r="I861" s="48" t="s">
        <v>19</v>
      </c>
      <c r="J861" s="49">
        <v>2.1942972E7</v>
      </c>
    </row>
    <row r="862">
      <c r="A862" s="45" t="s">
        <v>74</v>
      </c>
      <c r="B862" s="16" t="s">
        <v>167</v>
      </c>
      <c r="C862" s="17" t="s">
        <v>168</v>
      </c>
      <c r="D862" s="15">
        <v>2.0</v>
      </c>
      <c r="E862" s="17" t="s">
        <v>487</v>
      </c>
      <c r="F862" s="15" t="s">
        <v>488</v>
      </c>
      <c r="G862" s="46" t="s">
        <v>458</v>
      </c>
      <c r="H862" s="47" t="s">
        <v>411</v>
      </c>
      <c r="I862" s="48" t="s">
        <v>19</v>
      </c>
      <c r="J862" s="49">
        <v>2511144.0</v>
      </c>
    </row>
    <row r="863">
      <c r="A863" s="45" t="s">
        <v>74</v>
      </c>
      <c r="B863" s="16" t="s">
        <v>167</v>
      </c>
      <c r="C863" s="17" t="s">
        <v>168</v>
      </c>
      <c r="D863" s="15">
        <v>2.0</v>
      </c>
      <c r="E863" s="17" t="s">
        <v>487</v>
      </c>
      <c r="F863" s="15" t="s">
        <v>488</v>
      </c>
      <c r="G863" s="46" t="s">
        <v>477</v>
      </c>
      <c r="H863" s="47" t="s">
        <v>429</v>
      </c>
      <c r="I863" s="48" t="s">
        <v>50</v>
      </c>
      <c r="J863" s="49">
        <v>2491305.0</v>
      </c>
    </row>
    <row r="864">
      <c r="A864" s="45" t="s">
        <v>74</v>
      </c>
      <c r="B864" s="16" t="s">
        <v>167</v>
      </c>
      <c r="C864" s="17" t="s">
        <v>168</v>
      </c>
      <c r="D864" s="15">
        <v>2.0</v>
      </c>
      <c r="E864" s="17" t="s">
        <v>473</v>
      </c>
      <c r="F864" s="15" t="s">
        <v>474</v>
      </c>
      <c r="G864" s="46" t="s">
        <v>523</v>
      </c>
      <c r="H864" s="47" t="s">
        <v>431</v>
      </c>
      <c r="I864" s="48" t="s">
        <v>17</v>
      </c>
      <c r="J864" s="49">
        <v>1.71878841E8</v>
      </c>
    </row>
    <row r="865">
      <c r="A865" s="45" t="s">
        <v>74</v>
      </c>
      <c r="B865" s="16" t="s">
        <v>167</v>
      </c>
      <c r="C865" s="17" t="s">
        <v>168</v>
      </c>
      <c r="D865" s="15">
        <v>2.0</v>
      </c>
      <c r="E865" s="17" t="s">
        <v>473</v>
      </c>
      <c r="F865" s="15" t="s">
        <v>474</v>
      </c>
      <c r="G865" s="46" t="s">
        <v>523</v>
      </c>
      <c r="H865" s="47" t="s">
        <v>431</v>
      </c>
      <c r="I865" s="48" t="s">
        <v>25</v>
      </c>
      <c r="J865" s="49">
        <v>-1.60042774E8</v>
      </c>
    </row>
    <row r="866">
      <c r="A866" s="45" t="s">
        <v>74</v>
      </c>
      <c r="B866" s="16" t="s">
        <v>167</v>
      </c>
      <c r="C866" s="17" t="s">
        <v>168</v>
      </c>
      <c r="D866" s="15">
        <v>2.0</v>
      </c>
      <c r="E866" s="17" t="s">
        <v>473</v>
      </c>
      <c r="F866" s="15" t="s">
        <v>474</v>
      </c>
      <c r="G866" s="46" t="s">
        <v>458</v>
      </c>
      <c r="H866" s="47" t="s">
        <v>411</v>
      </c>
      <c r="I866" s="48" t="s">
        <v>19</v>
      </c>
      <c r="J866" s="49">
        <v>6.4021104E7</v>
      </c>
    </row>
    <row r="867">
      <c r="A867" s="45" t="s">
        <v>74</v>
      </c>
      <c r="B867" s="16" t="s">
        <v>167</v>
      </c>
      <c r="C867" s="17" t="s">
        <v>168</v>
      </c>
      <c r="D867" s="15">
        <v>2.0</v>
      </c>
      <c r="E867" s="17" t="s">
        <v>491</v>
      </c>
      <c r="F867" s="15" t="s">
        <v>492</v>
      </c>
      <c r="G867" s="46" t="s">
        <v>493</v>
      </c>
      <c r="H867" s="47" t="s">
        <v>437</v>
      </c>
      <c r="I867" s="48" t="s">
        <v>25</v>
      </c>
      <c r="J867" s="49">
        <v>8201539.0</v>
      </c>
    </row>
    <row r="868">
      <c r="A868" s="45" t="s">
        <v>74</v>
      </c>
      <c r="B868" s="16" t="s">
        <v>167</v>
      </c>
      <c r="C868" s="17" t="s">
        <v>168</v>
      </c>
      <c r="D868" s="15">
        <v>2.0</v>
      </c>
      <c r="E868" s="17" t="s">
        <v>494</v>
      </c>
      <c r="F868" s="15" t="s">
        <v>495</v>
      </c>
      <c r="G868" s="46" t="s">
        <v>541</v>
      </c>
      <c r="H868" s="47" t="s">
        <v>542</v>
      </c>
      <c r="I868" s="48" t="s">
        <v>37</v>
      </c>
      <c r="J868" s="49">
        <v>906150.0</v>
      </c>
    </row>
    <row r="869">
      <c r="A869" s="45" t="s">
        <v>74</v>
      </c>
      <c r="B869" s="16" t="s">
        <v>167</v>
      </c>
      <c r="C869" s="17" t="s">
        <v>168</v>
      </c>
      <c r="D869" s="15">
        <v>2.0</v>
      </c>
      <c r="E869" s="17" t="s">
        <v>494</v>
      </c>
      <c r="F869" s="15" t="s">
        <v>495</v>
      </c>
      <c r="G869" s="46" t="s">
        <v>458</v>
      </c>
      <c r="H869" s="47" t="s">
        <v>411</v>
      </c>
      <c r="I869" s="48" t="s">
        <v>19</v>
      </c>
      <c r="J869" s="49">
        <v>7951956.0</v>
      </c>
    </row>
    <row r="870">
      <c r="A870" s="45" t="s">
        <v>74</v>
      </c>
      <c r="B870" s="16" t="s">
        <v>167</v>
      </c>
      <c r="C870" s="17" t="s">
        <v>168</v>
      </c>
      <c r="D870" s="15">
        <v>2.0</v>
      </c>
      <c r="E870" s="17" t="s">
        <v>475</v>
      </c>
      <c r="F870" s="15" t="s">
        <v>476</v>
      </c>
      <c r="G870" s="46" t="s">
        <v>477</v>
      </c>
      <c r="H870" s="47" t="s">
        <v>429</v>
      </c>
      <c r="I870" s="48" t="s">
        <v>50</v>
      </c>
      <c r="J870" s="49">
        <v>5.9461021E7</v>
      </c>
    </row>
    <row r="871">
      <c r="A871" s="45" t="s">
        <v>74</v>
      </c>
      <c r="B871" s="16" t="s">
        <v>167</v>
      </c>
      <c r="C871" s="17" t="s">
        <v>168</v>
      </c>
      <c r="D871" s="15">
        <v>2.0</v>
      </c>
      <c r="E871" s="17" t="s">
        <v>524</v>
      </c>
      <c r="F871" s="15" t="s">
        <v>479</v>
      </c>
      <c r="G871" s="46" t="s">
        <v>443</v>
      </c>
      <c r="H871" s="47" t="s">
        <v>420</v>
      </c>
      <c r="I871" s="48" t="s">
        <v>19</v>
      </c>
      <c r="J871" s="49">
        <v>1.12299496E8</v>
      </c>
    </row>
    <row r="872">
      <c r="A872" s="45" t="s">
        <v>74</v>
      </c>
      <c r="B872" s="16" t="s">
        <v>167</v>
      </c>
      <c r="C872" s="17" t="s">
        <v>168</v>
      </c>
      <c r="D872" s="15">
        <v>2.0</v>
      </c>
      <c r="E872" s="17" t="s">
        <v>524</v>
      </c>
      <c r="F872" s="15" t="s">
        <v>479</v>
      </c>
      <c r="G872" s="46" t="s">
        <v>444</v>
      </c>
      <c r="H872" s="47" t="s">
        <v>445</v>
      </c>
      <c r="I872" s="48" t="s">
        <v>19</v>
      </c>
      <c r="J872" s="49">
        <v>5450981.0</v>
      </c>
    </row>
    <row r="873">
      <c r="A873" s="45" t="s">
        <v>74</v>
      </c>
      <c r="B873" s="16" t="s">
        <v>167</v>
      </c>
      <c r="C873" s="17" t="s">
        <v>168</v>
      </c>
      <c r="D873" s="15">
        <v>2.0</v>
      </c>
      <c r="E873" s="17" t="s">
        <v>524</v>
      </c>
      <c r="F873" s="15" t="s">
        <v>479</v>
      </c>
      <c r="G873" s="46" t="s">
        <v>446</v>
      </c>
      <c r="H873" s="47" t="s">
        <v>447</v>
      </c>
      <c r="I873" s="48" t="s">
        <v>19</v>
      </c>
      <c r="J873" s="49">
        <v>1241069.0</v>
      </c>
    </row>
    <row r="874">
      <c r="A874" s="45" t="s">
        <v>74</v>
      </c>
      <c r="B874" s="16" t="s">
        <v>167</v>
      </c>
      <c r="C874" s="17" t="s">
        <v>168</v>
      </c>
      <c r="D874" s="15">
        <v>2.0</v>
      </c>
      <c r="E874" s="17" t="s">
        <v>524</v>
      </c>
      <c r="F874" s="15" t="s">
        <v>479</v>
      </c>
      <c r="G874" s="46" t="s">
        <v>448</v>
      </c>
      <c r="H874" s="47" t="s">
        <v>449</v>
      </c>
      <c r="I874" s="48" t="s">
        <v>19</v>
      </c>
      <c r="J874" s="49">
        <v>3102666.0</v>
      </c>
    </row>
    <row r="875">
      <c r="A875" s="45" t="s">
        <v>74</v>
      </c>
      <c r="B875" s="16" t="s">
        <v>167</v>
      </c>
      <c r="C875" s="17" t="s">
        <v>168</v>
      </c>
      <c r="D875" s="15">
        <v>2.0</v>
      </c>
      <c r="E875" s="17" t="s">
        <v>524</v>
      </c>
      <c r="F875" s="15" t="s">
        <v>479</v>
      </c>
      <c r="G875" s="46" t="s">
        <v>450</v>
      </c>
      <c r="H875" s="47" t="s">
        <v>451</v>
      </c>
      <c r="I875" s="48" t="s">
        <v>19</v>
      </c>
      <c r="J875" s="49">
        <v>0.0</v>
      </c>
    </row>
    <row r="876">
      <c r="A876" s="45" t="s">
        <v>74</v>
      </c>
      <c r="B876" s="16" t="s">
        <v>167</v>
      </c>
      <c r="C876" s="17" t="s">
        <v>168</v>
      </c>
      <c r="D876" s="15">
        <v>2.0</v>
      </c>
      <c r="E876" s="17" t="s">
        <v>524</v>
      </c>
      <c r="F876" s="15" t="s">
        <v>479</v>
      </c>
      <c r="G876" s="46" t="s">
        <v>452</v>
      </c>
      <c r="H876" s="47" t="s">
        <v>453</v>
      </c>
      <c r="I876" s="48" t="s">
        <v>19</v>
      </c>
      <c r="J876" s="49">
        <v>2295973.0</v>
      </c>
    </row>
    <row r="877">
      <c r="A877" s="45" t="s">
        <v>74</v>
      </c>
      <c r="B877" s="16" t="s">
        <v>167</v>
      </c>
      <c r="C877" s="17" t="s">
        <v>168</v>
      </c>
      <c r="D877" s="15">
        <v>2.0</v>
      </c>
      <c r="E877" s="17" t="s">
        <v>524</v>
      </c>
      <c r="F877" s="15" t="s">
        <v>479</v>
      </c>
      <c r="G877" s="46" t="s">
        <v>454</v>
      </c>
      <c r="H877" s="47" t="s">
        <v>415</v>
      </c>
      <c r="I877" s="48" t="s">
        <v>19</v>
      </c>
      <c r="J877" s="49">
        <v>335087.0</v>
      </c>
    </row>
    <row r="878">
      <c r="A878" s="45" t="s">
        <v>74</v>
      </c>
      <c r="B878" s="16" t="s">
        <v>167</v>
      </c>
      <c r="C878" s="17" t="s">
        <v>168</v>
      </c>
      <c r="D878" s="15">
        <v>2.0</v>
      </c>
      <c r="E878" s="17" t="s">
        <v>524</v>
      </c>
      <c r="F878" s="15" t="s">
        <v>479</v>
      </c>
      <c r="G878" s="46" t="s">
        <v>455</v>
      </c>
      <c r="H878" s="47" t="s">
        <v>415</v>
      </c>
      <c r="I878" s="48" t="s">
        <v>19</v>
      </c>
      <c r="J878" s="49">
        <v>186158.0</v>
      </c>
    </row>
    <row r="879">
      <c r="A879" s="45" t="s">
        <v>74</v>
      </c>
      <c r="B879" s="16" t="s">
        <v>167</v>
      </c>
      <c r="C879" s="17" t="s">
        <v>168</v>
      </c>
      <c r="D879" s="15">
        <v>2.0</v>
      </c>
      <c r="E879" s="17" t="s">
        <v>524</v>
      </c>
      <c r="F879" s="15" t="s">
        <v>479</v>
      </c>
      <c r="G879" s="46" t="s">
        <v>499</v>
      </c>
      <c r="H879" s="47" t="s">
        <v>500</v>
      </c>
      <c r="I879" s="48" t="s">
        <v>19</v>
      </c>
      <c r="J879" s="49">
        <v>4.191165E7</v>
      </c>
    </row>
    <row r="880">
      <c r="A880" s="45" t="s">
        <v>74</v>
      </c>
      <c r="B880" s="16" t="s">
        <v>167</v>
      </c>
      <c r="C880" s="17" t="s">
        <v>168</v>
      </c>
      <c r="D880" s="15">
        <v>2.0</v>
      </c>
      <c r="E880" s="17" t="s">
        <v>525</v>
      </c>
      <c r="F880" s="15" t="s">
        <v>502</v>
      </c>
      <c r="G880" s="46" t="s">
        <v>526</v>
      </c>
      <c r="H880" s="47" t="s">
        <v>527</v>
      </c>
      <c r="I880" s="48" t="s">
        <v>60</v>
      </c>
      <c r="J880" s="49">
        <v>9.5700734E8</v>
      </c>
    </row>
    <row r="881">
      <c r="A881" s="45" t="s">
        <v>74</v>
      </c>
      <c r="B881" s="16" t="s">
        <v>167</v>
      </c>
      <c r="C881" s="17" t="s">
        <v>168</v>
      </c>
      <c r="D881" s="15">
        <v>2.0</v>
      </c>
      <c r="E881" s="17" t="s">
        <v>525</v>
      </c>
      <c r="F881" s="15" t="s">
        <v>502</v>
      </c>
      <c r="G881" s="46" t="s">
        <v>539</v>
      </c>
      <c r="H881" s="47" t="s">
        <v>540</v>
      </c>
      <c r="I881" s="48" t="s">
        <v>60</v>
      </c>
      <c r="J881" s="49">
        <v>2754156.0</v>
      </c>
    </row>
    <row r="882">
      <c r="A882" s="45" t="s">
        <v>74</v>
      </c>
      <c r="B882" s="16" t="s">
        <v>167</v>
      </c>
      <c r="C882" s="17" t="s">
        <v>168</v>
      </c>
      <c r="D882" s="15">
        <v>2.0</v>
      </c>
      <c r="E882" s="17" t="s">
        <v>525</v>
      </c>
      <c r="F882" s="15" t="s">
        <v>502</v>
      </c>
      <c r="G882" s="46" t="s">
        <v>505</v>
      </c>
      <c r="H882" s="47" t="s">
        <v>506</v>
      </c>
      <c r="I882" s="48" t="s">
        <v>60</v>
      </c>
      <c r="J882" s="49">
        <v>7852260.0</v>
      </c>
    </row>
    <row r="883">
      <c r="A883" s="45" t="s">
        <v>74</v>
      </c>
      <c r="B883" s="16" t="s">
        <v>167</v>
      </c>
      <c r="C883" s="17" t="s">
        <v>168</v>
      </c>
      <c r="D883" s="15">
        <v>2.0</v>
      </c>
      <c r="E883" s="17" t="s">
        <v>525</v>
      </c>
      <c r="F883" s="15" t="s">
        <v>502</v>
      </c>
      <c r="G883" s="46" t="s">
        <v>507</v>
      </c>
      <c r="H883" s="47" t="s">
        <v>508</v>
      </c>
      <c r="I883" s="48" t="s">
        <v>60</v>
      </c>
      <c r="J883" s="49">
        <v>4757272.0</v>
      </c>
    </row>
    <row r="884">
      <c r="A884" s="45" t="s">
        <v>74</v>
      </c>
      <c r="B884" s="16" t="s">
        <v>167</v>
      </c>
      <c r="C884" s="17" t="s">
        <v>168</v>
      </c>
      <c r="D884" s="15">
        <v>2.0</v>
      </c>
      <c r="E884" s="17" t="s">
        <v>525</v>
      </c>
      <c r="F884" s="15" t="s">
        <v>502</v>
      </c>
      <c r="G884" s="46" t="s">
        <v>509</v>
      </c>
      <c r="H884" s="47" t="s">
        <v>510</v>
      </c>
      <c r="I884" s="48" t="s">
        <v>60</v>
      </c>
      <c r="J884" s="49">
        <v>220000.0</v>
      </c>
    </row>
    <row r="885">
      <c r="A885" s="45" t="s">
        <v>74</v>
      </c>
      <c r="B885" s="16" t="s">
        <v>167</v>
      </c>
      <c r="C885" s="17" t="s">
        <v>168</v>
      </c>
      <c r="D885" s="15">
        <v>2.0</v>
      </c>
      <c r="E885" s="17" t="s">
        <v>525</v>
      </c>
      <c r="F885" s="15" t="s">
        <v>502</v>
      </c>
      <c r="G885" s="46" t="s">
        <v>511</v>
      </c>
      <c r="H885" s="47" t="s">
        <v>512</v>
      </c>
      <c r="I885" s="48" t="s">
        <v>60</v>
      </c>
      <c r="J885" s="49">
        <v>1.10789923E8</v>
      </c>
    </row>
    <row r="886">
      <c r="A886" s="45" t="s">
        <v>74</v>
      </c>
      <c r="B886" s="16" t="s">
        <v>167</v>
      </c>
      <c r="C886" s="17" t="s">
        <v>168</v>
      </c>
      <c r="D886" s="15">
        <v>2.0</v>
      </c>
      <c r="E886" s="17" t="s">
        <v>525</v>
      </c>
      <c r="F886" s="15" t="s">
        <v>502</v>
      </c>
      <c r="G886" s="46" t="s">
        <v>513</v>
      </c>
      <c r="H886" s="47" t="s">
        <v>514</v>
      </c>
      <c r="I886" s="48" t="s">
        <v>60</v>
      </c>
      <c r="J886" s="49">
        <v>5737474.0</v>
      </c>
    </row>
    <row r="887">
      <c r="A887" s="45" t="s">
        <v>74</v>
      </c>
      <c r="B887" s="16" t="s">
        <v>167</v>
      </c>
      <c r="C887" s="17" t="s">
        <v>168</v>
      </c>
      <c r="D887" s="15">
        <v>2.0</v>
      </c>
      <c r="E887" s="17" t="s">
        <v>525</v>
      </c>
      <c r="F887" s="15" t="s">
        <v>502</v>
      </c>
      <c r="G887" s="46" t="s">
        <v>528</v>
      </c>
      <c r="H887" s="47" t="s">
        <v>529</v>
      </c>
      <c r="I887" s="48" t="s">
        <v>60</v>
      </c>
      <c r="J887" s="49">
        <v>6123490.0</v>
      </c>
    </row>
    <row r="888">
      <c r="A888" s="45" t="s">
        <v>74</v>
      </c>
      <c r="B888" s="16" t="s">
        <v>167</v>
      </c>
      <c r="C888" s="17" t="s">
        <v>168</v>
      </c>
      <c r="D888" s="15">
        <v>2.0</v>
      </c>
      <c r="E888" s="17" t="s">
        <v>548</v>
      </c>
      <c r="F888" s="15" t="s">
        <v>549</v>
      </c>
      <c r="G888" s="46" t="s">
        <v>550</v>
      </c>
      <c r="H888" s="47" t="s">
        <v>551</v>
      </c>
      <c r="I888" s="48" t="s">
        <v>25</v>
      </c>
      <c r="J888" s="49">
        <v>0.0</v>
      </c>
    </row>
    <row r="889">
      <c r="A889" s="45" t="s">
        <v>74</v>
      </c>
      <c r="B889" s="16" t="s">
        <v>167</v>
      </c>
      <c r="C889" s="17" t="s">
        <v>168</v>
      </c>
      <c r="D889" s="15">
        <v>2.0</v>
      </c>
      <c r="E889" s="17" t="s">
        <v>571</v>
      </c>
      <c r="F889" s="15" t="s">
        <v>572</v>
      </c>
      <c r="G889" s="46" t="s">
        <v>573</v>
      </c>
      <c r="H889" s="47" t="s">
        <v>574</v>
      </c>
      <c r="I889" s="48" t="s">
        <v>25</v>
      </c>
      <c r="J889" s="49">
        <v>0.0</v>
      </c>
    </row>
    <row r="890">
      <c r="A890" s="45" t="s">
        <v>74</v>
      </c>
      <c r="B890" s="16" t="s">
        <v>170</v>
      </c>
      <c r="C890" s="17" t="s">
        <v>171</v>
      </c>
      <c r="D890" s="15">
        <v>2.0</v>
      </c>
      <c r="E890" s="17" t="s">
        <v>441</v>
      </c>
      <c r="F890" s="15" t="s">
        <v>442</v>
      </c>
      <c r="G890" s="46" t="s">
        <v>443</v>
      </c>
      <c r="H890" s="47" t="s">
        <v>420</v>
      </c>
      <c r="I890" s="48" t="s">
        <v>19</v>
      </c>
      <c r="J890" s="49">
        <v>4.8204822E7</v>
      </c>
    </row>
    <row r="891">
      <c r="A891" s="45" t="s">
        <v>74</v>
      </c>
      <c r="B891" s="16" t="s">
        <v>170</v>
      </c>
      <c r="C891" s="17" t="s">
        <v>171</v>
      </c>
      <c r="D891" s="15">
        <v>2.0</v>
      </c>
      <c r="E891" s="17" t="s">
        <v>441</v>
      </c>
      <c r="F891" s="15" t="s">
        <v>442</v>
      </c>
      <c r="G891" s="46" t="s">
        <v>444</v>
      </c>
      <c r="H891" s="47" t="s">
        <v>445</v>
      </c>
      <c r="I891" s="48" t="s">
        <v>19</v>
      </c>
      <c r="J891" s="49">
        <v>3838613.0</v>
      </c>
    </row>
    <row r="892">
      <c r="A892" s="45" t="s">
        <v>74</v>
      </c>
      <c r="B892" s="16" t="s">
        <v>170</v>
      </c>
      <c r="C892" s="17" t="s">
        <v>171</v>
      </c>
      <c r="D892" s="15">
        <v>2.0</v>
      </c>
      <c r="E892" s="17" t="s">
        <v>441</v>
      </c>
      <c r="F892" s="15" t="s">
        <v>442</v>
      </c>
      <c r="G892" s="46" t="s">
        <v>446</v>
      </c>
      <c r="H892" s="47" t="s">
        <v>447</v>
      </c>
      <c r="I892" s="48" t="s">
        <v>19</v>
      </c>
      <c r="J892" s="49">
        <v>503731.0</v>
      </c>
    </row>
    <row r="893">
      <c r="A893" s="45" t="s">
        <v>74</v>
      </c>
      <c r="B893" s="16" t="s">
        <v>170</v>
      </c>
      <c r="C893" s="17" t="s">
        <v>171</v>
      </c>
      <c r="D893" s="15">
        <v>2.0</v>
      </c>
      <c r="E893" s="17" t="s">
        <v>441</v>
      </c>
      <c r="F893" s="15" t="s">
        <v>442</v>
      </c>
      <c r="G893" s="46" t="s">
        <v>448</v>
      </c>
      <c r="H893" s="47" t="s">
        <v>449</v>
      </c>
      <c r="I893" s="48" t="s">
        <v>19</v>
      </c>
      <c r="J893" s="49">
        <v>1491162.0</v>
      </c>
    </row>
    <row r="894">
      <c r="A894" s="45" t="s">
        <v>74</v>
      </c>
      <c r="B894" s="16" t="s">
        <v>170</v>
      </c>
      <c r="C894" s="17" t="s">
        <v>171</v>
      </c>
      <c r="D894" s="15">
        <v>2.0</v>
      </c>
      <c r="E894" s="17" t="s">
        <v>441</v>
      </c>
      <c r="F894" s="15" t="s">
        <v>442</v>
      </c>
      <c r="G894" s="46" t="s">
        <v>450</v>
      </c>
      <c r="H894" s="47" t="s">
        <v>451</v>
      </c>
      <c r="I894" s="48" t="s">
        <v>19</v>
      </c>
      <c r="J894" s="49">
        <v>0.0</v>
      </c>
    </row>
    <row r="895">
      <c r="A895" s="45" t="s">
        <v>74</v>
      </c>
      <c r="B895" s="16" t="s">
        <v>170</v>
      </c>
      <c r="C895" s="17" t="s">
        <v>171</v>
      </c>
      <c r="D895" s="15">
        <v>2.0</v>
      </c>
      <c r="E895" s="17" t="s">
        <v>441</v>
      </c>
      <c r="F895" s="15" t="s">
        <v>442</v>
      </c>
      <c r="G895" s="46" t="s">
        <v>452</v>
      </c>
      <c r="H895" s="47" t="s">
        <v>453</v>
      </c>
      <c r="I895" s="48" t="s">
        <v>19</v>
      </c>
      <c r="J895" s="49">
        <v>931903.0</v>
      </c>
    </row>
    <row r="896">
      <c r="A896" s="45" t="s">
        <v>74</v>
      </c>
      <c r="B896" s="16" t="s">
        <v>170</v>
      </c>
      <c r="C896" s="17" t="s">
        <v>171</v>
      </c>
      <c r="D896" s="15">
        <v>2.0</v>
      </c>
      <c r="E896" s="17" t="s">
        <v>441</v>
      </c>
      <c r="F896" s="15" t="s">
        <v>442</v>
      </c>
      <c r="G896" s="46" t="s">
        <v>454</v>
      </c>
      <c r="H896" s="47" t="s">
        <v>415</v>
      </c>
      <c r="I896" s="48" t="s">
        <v>19</v>
      </c>
      <c r="J896" s="49">
        <v>136007.0</v>
      </c>
    </row>
    <row r="897">
      <c r="A897" s="45" t="s">
        <v>74</v>
      </c>
      <c r="B897" s="16" t="s">
        <v>170</v>
      </c>
      <c r="C897" s="17" t="s">
        <v>171</v>
      </c>
      <c r="D897" s="15">
        <v>2.0</v>
      </c>
      <c r="E897" s="17" t="s">
        <v>441</v>
      </c>
      <c r="F897" s="15" t="s">
        <v>442</v>
      </c>
      <c r="G897" s="46" t="s">
        <v>455</v>
      </c>
      <c r="H897" s="47" t="s">
        <v>415</v>
      </c>
      <c r="I897" s="48" t="s">
        <v>19</v>
      </c>
      <c r="J897" s="49">
        <v>75560.0</v>
      </c>
    </row>
    <row r="898">
      <c r="A898" s="45" t="s">
        <v>74</v>
      </c>
      <c r="B898" s="16" t="s">
        <v>170</v>
      </c>
      <c r="C898" s="17" t="s">
        <v>171</v>
      </c>
      <c r="D898" s="15">
        <v>2.0</v>
      </c>
      <c r="E898" s="17" t="s">
        <v>456</v>
      </c>
      <c r="F898" s="15" t="s">
        <v>457</v>
      </c>
      <c r="G898" s="46" t="s">
        <v>515</v>
      </c>
      <c r="H898" s="47" t="s">
        <v>413</v>
      </c>
      <c r="I898" s="48" t="s">
        <v>19</v>
      </c>
      <c r="J898" s="49">
        <v>1.25E7</v>
      </c>
    </row>
    <row r="899">
      <c r="A899" s="45" t="s">
        <v>74</v>
      </c>
      <c r="B899" s="16" t="s">
        <v>170</v>
      </c>
      <c r="C899" s="17" t="s">
        <v>171</v>
      </c>
      <c r="D899" s="15">
        <v>2.0</v>
      </c>
      <c r="E899" s="17" t="s">
        <v>456</v>
      </c>
      <c r="F899" s="15" t="s">
        <v>457</v>
      </c>
      <c r="G899" s="46" t="s">
        <v>499</v>
      </c>
      <c r="H899" s="47" t="s">
        <v>500</v>
      </c>
      <c r="I899" s="48" t="s">
        <v>19</v>
      </c>
      <c r="J899" s="49">
        <v>250000.0</v>
      </c>
    </row>
    <row r="900">
      <c r="A900" s="45" t="s">
        <v>74</v>
      </c>
      <c r="B900" s="16" t="s">
        <v>170</v>
      </c>
      <c r="C900" s="17" t="s">
        <v>171</v>
      </c>
      <c r="D900" s="15">
        <v>2.0</v>
      </c>
      <c r="E900" s="17" t="s">
        <v>456</v>
      </c>
      <c r="F900" s="15" t="s">
        <v>457</v>
      </c>
      <c r="G900" s="46" t="s">
        <v>458</v>
      </c>
      <c r="H900" s="47" t="s">
        <v>411</v>
      </c>
      <c r="I900" s="48" t="s">
        <v>19</v>
      </c>
      <c r="J900" s="49">
        <v>1.35580804E8</v>
      </c>
    </row>
    <row r="901">
      <c r="A901" s="45" t="s">
        <v>74</v>
      </c>
      <c r="B901" s="16" t="s">
        <v>170</v>
      </c>
      <c r="C901" s="17" t="s">
        <v>171</v>
      </c>
      <c r="D901" s="15">
        <v>2.0</v>
      </c>
      <c r="E901" s="17" t="s">
        <v>459</v>
      </c>
      <c r="F901" s="15" t="s">
        <v>460</v>
      </c>
      <c r="G901" s="46" t="s">
        <v>458</v>
      </c>
      <c r="H901" s="47" t="s">
        <v>411</v>
      </c>
      <c r="I901" s="48" t="s">
        <v>19</v>
      </c>
      <c r="J901" s="49">
        <v>5282350.0</v>
      </c>
    </row>
    <row r="902">
      <c r="A902" s="45" t="s">
        <v>74</v>
      </c>
      <c r="B902" s="16" t="s">
        <v>170</v>
      </c>
      <c r="C902" s="17" t="s">
        <v>171</v>
      </c>
      <c r="D902" s="15">
        <v>2.0</v>
      </c>
      <c r="E902" s="17" t="s">
        <v>463</v>
      </c>
      <c r="F902" s="15" t="s">
        <v>464</v>
      </c>
      <c r="G902" s="46" t="s">
        <v>541</v>
      </c>
      <c r="H902" s="47" t="s">
        <v>542</v>
      </c>
      <c r="I902" s="48" t="s">
        <v>37</v>
      </c>
      <c r="J902" s="49">
        <v>124000.0</v>
      </c>
    </row>
    <row r="903">
      <c r="A903" s="45" t="s">
        <v>74</v>
      </c>
      <c r="B903" s="16" t="s">
        <v>170</v>
      </c>
      <c r="C903" s="17" t="s">
        <v>171</v>
      </c>
      <c r="D903" s="15">
        <v>2.0</v>
      </c>
      <c r="E903" s="17" t="s">
        <v>463</v>
      </c>
      <c r="F903" s="15" t="s">
        <v>464</v>
      </c>
      <c r="G903" s="46" t="s">
        <v>519</v>
      </c>
      <c r="H903" s="47" t="s">
        <v>414</v>
      </c>
      <c r="I903" s="48" t="s">
        <v>25</v>
      </c>
      <c r="J903" s="49">
        <v>2028000.0</v>
      </c>
    </row>
    <row r="904">
      <c r="A904" s="45" t="s">
        <v>74</v>
      </c>
      <c r="B904" s="16" t="s">
        <v>170</v>
      </c>
      <c r="C904" s="17" t="s">
        <v>171</v>
      </c>
      <c r="D904" s="15">
        <v>2.0</v>
      </c>
      <c r="E904" s="17" t="s">
        <v>463</v>
      </c>
      <c r="F904" s="15" t="s">
        <v>464</v>
      </c>
      <c r="G904" s="46" t="s">
        <v>458</v>
      </c>
      <c r="H904" s="47" t="s">
        <v>411</v>
      </c>
      <c r="I904" s="48" t="s">
        <v>19</v>
      </c>
      <c r="J904" s="49">
        <v>5797366.0</v>
      </c>
    </row>
    <row r="905">
      <c r="A905" s="45" t="s">
        <v>74</v>
      </c>
      <c r="B905" s="16" t="s">
        <v>170</v>
      </c>
      <c r="C905" s="17" t="s">
        <v>171</v>
      </c>
      <c r="D905" s="15">
        <v>2.0</v>
      </c>
      <c r="E905" s="17" t="s">
        <v>469</v>
      </c>
      <c r="F905" s="15" t="s">
        <v>470</v>
      </c>
      <c r="G905" s="46" t="s">
        <v>544</v>
      </c>
      <c r="H905" s="47" t="s">
        <v>421</v>
      </c>
      <c r="I905" s="48" t="s">
        <v>25</v>
      </c>
      <c r="J905" s="49">
        <v>1850000.0</v>
      </c>
    </row>
    <row r="906">
      <c r="A906" s="45" t="s">
        <v>74</v>
      </c>
      <c r="B906" s="16" t="s">
        <v>170</v>
      </c>
      <c r="C906" s="17" t="s">
        <v>171</v>
      </c>
      <c r="D906" s="15">
        <v>2.0</v>
      </c>
      <c r="E906" s="17" t="s">
        <v>469</v>
      </c>
      <c r="F906" s="15" t="s">
        <v>470</v>
      </c>
      <c r="G906" s="46" t="s">
        <v>517</v>
      </c>
      <c r="H906" s="47" t="s">
        <v>518</v>
      </c>
      <c r="I906" s="48" t="s">
        <v>25</v>
      </c>
      <c r="J906" s="49">
        <v>1000000.0</v>
      </c>
    </row>
    <row r="907">
      <c r="A907" s="45" t="s">
        <v>74</v>
      </c>
      <c r="B907" s="16" t="s">
        <v>170</v>
      </c>
      <c r="C907" s="17" t="s">
        <v>171</v>
      </c>
      <c r="D907" s="15">
        <v>2.0</v>
      </c>
      <c r="E907" s="17" t="s">
        <v>473</v>
      </c>
      <c r="F907" s="15" t="s">
        <v>474</v>
      </c>
      <c r="G907" s="46" t="s">
        <v>523</v>
      </c>
      <c r="H907" s="47" t="s">
        <v>431</v>
      </c>
      <c r="I907" s="48" t="s">
        <v>17</v>
      </c>
      <c r="J907" s="49">
        <v>2.22681351E8</v>
      </c>
    </row>
    <row r="908">
      <c r="A908" s="45" t="s">
        <v>74</v>
      </c>
      <c r="B908" s="16" t="s">
        <v>170</v>
      </c>
      <c r="C908" s="17" t="s">
        <v>171</v>
      </c>
      <c r="D908" s="15">
        <v>2.0</v>
      </c>
      <c r="E908" s="17" t="s">
        <v>473</v>
      </c>
      <c r="F908" s="15" t="s">
        <v>474</v>
      </c>
      <c r="G908" s="46" t="s">
        <v>523</v>
      </c>
      <c r="H908" s="47" t="s">
        <v>431</v>
      </c>
      <c r="I908" s="48" t="s">
        <v>25</v>
      </c>
      <c r="J908" s="49">
        <v>-1.94530386E8</v>
      </c>
    </row>
    <row r="909">
      <c r="A909" s="45" t="s">
        <v>74</v>
      </c>
      <c r="B909" s="16" t="s">
        <v>170</v>
      </c>
      <c r="C909" s="17" t="s">
        <v>171</v>
      </c>
      <c r="D909" s="15">
        <v>2.0</v>
      </c>
      <c r="E909" s="17" t="s">
        <v>473</v>
      </c>
      <c r="F909" s="15" t="s">
        <v>474</v>
      </c>
      <c r="G909" s="46" t="s">
        <v>458</v>
      </c>
      <c r="H909" s="47" t="s">
        <v>411</v>
      </c>
      <c r="I909" s="48" t="s">
        <v>19</v>
      </c>
      <c r="J909" s="49">
        <v>8.7583169E7</v>
      </c>
    </row>
    <row r="910">
      <c r="A910" s="45" t="s">
        <v>74</v>
      </c>
      <c r="B910" s="16" t="s">
        <v>170</v>
      </c>
      <c r="C910" s="17" t="s">
        <v>171</v>
      </c>
      <c r="D910" s="15">
        <v>2.0</v>
      </c>
      <c r="E910" s="17" t="s">
        <v>491</v>
      </c>
      <c r="F910" s="15" t="s">
        <v>492</v>
      </c>
      <c r="G910" s="46" t="s">
        <v>493</v>
      </c>
      <c r="H910" s="47" t="s">
        <v>437</v>
      </c>
      <c r="I910" s="48" t="s">
        <v>25</v>
      </c>
      <c r="J910" s="49">
        <v>4772154.0</v>
      </c>
    </row>
    <row r="911">
      <c r="A911" s="45" t="s">
        <v>74</v>
      </c>
      <c r="B911" s="16" t="s">
        <v>170</v>
      </c>
      <c r="C911" s="17" t="s">
        <v>171</v>
      </c>
      <c r="D911" s="15">
        <v>2.0</v>
      </c>
      <c r="E911" s="17" t="s">
        <v>494</v>
      </c>
      <c r="F911" s="15" t="s">
        <v>495</v>
      </c>
      <c r="G911" s="46" t="s">
        <v>545</v>
      </c>
      <c r="H911" s="47" t="s">
        <v>427</v>
      </c>
      <c r="I911" s="48" t="s">
        <v>37</v>
      </c>
      <c r="J911" s="49">
        <v>993713.0</v>
      </c>
    </row>
    <row r="912">
      <c r="A912" s="45" t="s">
        <v>74</v>
      </c>
      <c r="B912" s="16" t="s">
        <v>170</v>
      </c>
      <c r="C912" s="17" t="s">
        <v>171</v>
      </c>
      <c r="D912" s="15">
        <v>2.0</v>
      </c>
      <c r="E912" s="17" t="s">
        <v>494</v>
      </c>
      <c r="F912" s="15" t="s">
        <v>495</v>
      </c>
      <c r="G912" s="46" t="s">
        <v>546</v>
      </c>
      <c r="H912" s="47" t="s">
        <v>547</v>
      </c>
      <c r="I912" s="48" t="s">
        <v>25</v>
      </c>
      <c r="J912" s="49">
        <v>3500000.0</v>
      </c>
    </row>
    <row r="913">
      <c r="A913" s="45" t="s">
        <v>74</v>
      </c>
      <c r="B913" s="16" t="s">
        <v>170</v>
      </c>
      <c r="C913" s="17" t="s">
        <v>171</v>
      </c>
      <c r="D913" s="15">
        <v>2.0</v>
      </c>
      <c r="E913" s="17" t="s">
        <v>494</v>
      </c>
      <c r="F913" s="15" t="s">
        <v>495</v>
      </c>
      <c r="G913" s="46" t="s">
        <v>458</v>
      </c>
      <c r="H913" s="47" t="s">
        <v>411</v>
      </c>
      <c r="I913" s="48" t="s">
        <v>19</v>
      </c>
      <c r="J913" s="49">
        <v>1.7258478E7</v>
      </c>
    </row>
    <row r="914">
      <c r="A914" s="45" t="s">
        <v>74</v>
      </c>
      <c r="B914" s="16" t="s">
        <v>170</v>
      </c>
      <c r="C914" s="17" t="s">
        <v>171</v>
      </c>
      <c r="D914" s="15">
        <v>2.0</v>
      </c>
      <c r="E914" s="17" t="s">
        <v>475</v>
      </c>
      <c r="F914" s="15" t="s">
        <v>476</v>
      </c>
      <c r="G914" s="46" t="s">
        <v>477</v>
      </c>
      <c r="H914" s="47" t="s">
        <v>429</v>
      </c>
      <c r="I914" s="48" t="s">
        <v>50</v>
      </c>
      <c r="J914" s="49">
        <v>5.7759351E7</v>
      </c>
    </row>
    <row r="915">
      <c r="A915" s="45" t="s">
        <v>74</v>
      </c>
      <c r="B915" s="16" t="s">
        <v>170</v>
      </c>
      <c r="C915" s="17" t="s">
        <v>171</v>
      </c>
      <c r="D915" s="15">
        <v>2.0</v>
      </c>
      <c r="E915" s="17" t="s">
        <v>524</v>
      </c>
      <c r="F915" s="15" t="s">
        <v>479</v>
      </c>
      <c r="G915" s="46" t="s">
        <v>443</v>
      </c>
      <c r="H915" s="47" t="s">
        <v>420</v>
      </c>
      <c r="I915" s="48" t="s">
        <v>19</v>
      </c>
      <c r="J915" s="49">
        <v>1.06736828E8</v>
      </c>
    </row>
    <row r="916">
      <c r="A916" s="45" t="s">
        <v>74</v>
      </c>
      <c r="B916" s="16" t="s">
        <v>170</v>
      </c>
      <c r="C916" s="17" t="s">
        <v>171</v>
      </c>
      <c r="D916" s="15">
        <v>2.0</v>
      </c>
      <c r="E916" s="17" t="s">
        <v>524</v>
      </c>
      <c r="F916" s="15" t="s">
        <v>479</v>
      </c>
      <c r="G916" s="46" t="s">
        <v>444</v>
      </c>
      <c r="H916" s="47" t="s">
        <v>445</v>
      </c>
      <c r="I916" s="48" t="s">
        <v>19</v>
      </c>
      <c r="J916" s="49">
        <v>5972572.0</v>
      </c>
    </row>
    <row r="917">
      <c r="A917" s="45" t="s">
        <v>74</v>
      </c>
      <c r="B917" s="16" t="s">
        <v>170</v>
      </c>
      <c r="C917" s="17" t="s">
        <v>171</v>
      </c>
      <c r="D917" s="15">
        <v>2.0</v>
      </c>
      <c r="E917" s="17" t="s">
        <v>524</v>
      </c>
      <c r="F917" s="15" t="s">
        <v>479</v>
      </c>
      <c r="G917" s="46" t="s">
        <v>446</v>
      </c>
      <c r="H917" s="47" t="s">
        <v>447</v>
      </c>
      <c r="I917" s="48" t="s">
        <v>19</v>
      </c>
      <c r="J917" s="49">
        <v>1204724.0</v>
      </c>
    </row>
    <row r="918">
      <c r="A918" s="45" t="s">
        <v>74</v>
      </c>
      <c r="B918" s="16" t="s">
        <v>170</v>
      </c>
      <c r="C918" s="17" t="s">
        <v>171</v>
      </c>
      <c r="D918" s="15">
        <v>2.0</v>
      </c>
      <c r="E918" s="17" t="s">
        <v>524</v>
      </c>
      <c r="F918" s="15" t="s">
        <v>479</v>
      </c>
      <c r="G918" s="46" t="s">
        <v>448</v>
      </c>
      <c r="H918" s="47" t="s">
        <v>449</v>
      </c>
      <c r="I918" s="48" t="s">
        <v>19</v>
      </c>
      <c r="J918" s="49">
        <v>3652264.0</v>
      </c>
    </row>
    <row r="919">
      <c r="A919" s="45" t="s">
        <v>74</v>
      </c>
      <c r="B919" s="16" t="s">
        <v>170</v>
      </c>
      <c r="C919" s="17" t="s">
        <v>171</v>
      </c>
      <c r="D919" s="15">
        <v>2.0</v>
      </c>
      <c r="E919" s="17" t="s">
        <v>524</v>
      </c>
      <c r="F919" s="15" t="s">
        <v>479</v>
      </c>
      <c r="G919" s="46" t="s">
        <v>450</v>
      </c>
      <c r="H919" s="47" t="s">
        <v>451</v>
      </c>
      <c r="I919" s="48" t="s">
        <v>19</v>
      </c>
      <c r="J919" s="49">
        <v>0.0</v>
      </c>
    </row>
    <row r="920">
      <c r="A920" s="45" t="s">
        <v>74</v>
      </c>
      <c r="B920" s="16" t="s">
        <v>170</v>
      </c>
      <c r="C920" s="17" t="s">
        <v>171</v>
      </c>
      <c r="D920" s="15">
        <v>2.0</v>
      </c>
      <c r="E920" s="17" t="s">
        <v>524</v>
      </c>
      <c r="F920" s="15" t="s">
        <v>479</v>
      </c>
      <c r="G920" s="46" t="s">
        <v>452</v>
      </c>
      <c r="H920" s="47" t="s">
        <v>453</v>
      </c>
      <c r="I920" s="48" t="s">
        <v>19</v>
      </c>
      <c r="J920" s="49">
        <v>2286723.0</v>
      </c>
    </row>
    <row r="921">
      <c r="A921" s="45" t="s">
        <v>74</v>
      </c>
      <c r="B921" s="16" t="s">
        <v>170</v>
      </c>
      <c r="C921" s="17" t="s">
        <v>171</v>
      </c>
      <c r="D921" s="15">
        <v>2.0</v>
      </c>
      <c r="E921" s="17" t="s">
        <v>524</v>
      </c>
      <c r="F921" s="15" t="s">
        <v>479</v>
      </c>
      <c r="G921" s="46" t="s">
        <v>454</v>
      </c>
      <c r="H921" s="47" t="s">
        <v>415</v>
      </c>
      <c r="I921" s="48" t="s">
        <v>19</v>
      </c>
      <c r="J921" s="49">
        <v>333738.0</v>
      </c>
    </row>
    <row r="922">
      <c r="A922" s="45" t="s">
        <v>74</v>
      </c>
      <c r="B922" s="16" t="s">
        <v>170</v>
      </c>
      <c r="C922" s="17" t="s">
        <v>171</v>
      </c>
      <c r="D922" s="15">
        <v>2.0</v>
      </c>
      <c r="E922" s="17" t="s">
        <v>524</v>
      </c>
      <c r="F922" s="15" t="s">
        <v>479</v>
      </c>
      <c r="G922" s="46" t="s">
        <v>455</v>
      </c>
      <c r="H922" s="47" t="s">
        <v>415</v>
      </c>
      <c r="I922" s="48" t="s">
        <v>19</v>
      </c>
      <c r="J922" s="49">
        <v>185408.0</v>
      </c>
    </row>
    <row r="923">
      <c r="A923" s="45" t="s">
        <v>74</v>
      </c>
      <c r="B923" s="16" t="s">
        <v>170</v>
      </c>
      <c r="C923" s="17" t="s">
        <v>171</v>
      </c>
      <c r="D923" s="15">
        <v>2.0</v>
      </c>
      <c r="E923" s="17" t="s">
        <v>525</v>
      </c>
      <c r="F923" s="15" t="s">
        <v>502</v>
      </c>
      <c r="G923" s="46" t="s">
        <v>526</v>
      </c>
      <c r="H923" s="47" t="s">
        <v>527</v>
      </c>
      <c r="I923" s="48" t="s">
        <v>60</v>
      </c>
      <c r="J923" s="49">
        <v>1.56812353E8</v>
      </c>
    </row>
    <row r="924">
      <c r="A924" s="45" t="s">
        <v>74</v>
      </c>
      <c r="B924" s="16" t="s">
        <v>170</v>
      </c>
      <c r="C924" s="17" t="s">
        <v>171</v>
      </c>
      <c r="D924" s="15">
        <v>2.0</v>
      </c>
      <c r="E924" s="17" t="s">
        <v>525</v>
      </c>
      <c r="F924" s="15" t="s">
        <v>502</v>
      </c>
      <c r="G924" s="46" t="s">
        <v>539</v>
      </c>
      <c r="H924" s="47" t="s">
        <v>540</v>
      </c>
      <c r="I924" s="48" t="s">
        <v>60</v>
      </c>
      <c r="J924" s="49">
        <v>1783055.0</v>
      </c>
    </row>
    <row r="925">
      <c r="A925" s="45" t="s">
        <v>74</v>
      </c>
      <c r="B925" s="16" t="s">
        <v>170</v>
      </c>
      <c r="C925" s="17" t="s">
        <v>171</v>
      </c>
      <c r="D925" s="15">
        <v>2.0</v>
      </c>
      <c r="E925" s="17" t="s">
        <v>525</v>
      </c>
      <c r="F925" s="15" t="s">
        <v>502</v>
      </c>
      <c r="G925" s="46" t="s">
        <v>505</v>
      </c>
      <c r="H925" s="47" t="s">
        <v>506</v>
      </c>
      <c r="I925" s="48" t="s">
        <v>60</v>
      </c>
      <c r="J925" s="49">
        <v>9086492.0</v>
      </c>
    </row>
    <row r="926">
      <c r="A926" s="45" t="s">
        <v>74</v>
      </c>
      <c r="B926" s="16" t="s">
        <v>170</v>
      </c>
      <c r="C926" s="17" t="s">
        <v>171</v>
      </c>
      <c r="D926" s="15">
        <v>2.0</v>
      </c>
      <c r="E926" s="17" t="s">
        <v>525</v>
      </c>
      <c r="F926" s="15" t="s">
        <v>502</v>
      </c>
      <c r="G926" s="46" t="s">
        <v>507</v>
      </c>
      <c r="H926" s="47" t="s">
        <v>508</v>
      </c>
      <c r="I926" s="48" t="s">
        <v>60</v>
      </c>
      <c r="J926" s="49">
        <v>9548650.0</v>
      </c>
    </row>
    <row r="927">
      <c r="A927" s="45" t="s">
        <v>74</v>
      </c>
      <c r="B927" s="16" t="s">
        <v>170</v>
      </c>
      <c r="C927" s="17" t="s">
        <v>171</v>
      </c>
      <c r="D927" s="15">
        <v>2.0</v>
      </c>
      <c r="E927" s="17" t="s">
        <v>525</v>
      </c>
      <c r="F927" s="15" t="s">
        <v>502</v>
      </c>
      <c r="G927" s="46" t="s">
        <v>509</v>
      </c>
      <c r="H927" s="47" t="s">
        <v>510</v>
      </c>
      <c r="I927" s="48" t="s">
        <v>60</v>
      </c>
      <c r="J927" s="49">
        <v>1233334.0</v>
      </c>
    </row>
    <row r="928">
      <c r="A928" s="45" t="s">
        <v>74</v>
      </c>
      <c r="B928" s="16" t="s">
        <v>170</v>
      </c>
      <c r="C928" s="17" t="s">
        <v>171</v>
      </c>
      <c r="D928" s="15">
        <v>2.0</v>
      </c>
      <c r="E928" s="17" t="s">
        <v>525</v>
      </c>
      <c r="F928" s="15" t="s">
        <v>502</v>
      </c>
      <c r="G928" s="46" t="s">
        <v>511</v>
      </c>
      <c r="H928" s="47" t="s">
        <v>512</v>
      </c>
      <c r="I928" s="48" t="s">
        <v>60</v>
      </c>
      <c r="J928" s="49">
        <v>6.7843735E7</v>
      </c>
    </row>
    <row r="929">
      <c r="A929" s="45" t="s">
        <v>74</v>
      </c>
      <c r="B929" s="16" t="s">
        <v>170</v>
      </c>
      <c r="C929" s="17" t="s">
        <v>171</v>
      </c>
      <c r="D929" s="15">
        <v>2.0</v>
      </c>
      <c r="E929" s="17" t="s">
        <v>525</v>
      </c>
      <c r="F929" s="15" t="s">
        <v>502</v>
      </c>
      <c r="G929" s="46" t="s">
        <v>513</v>
      </c>
      <c r="H929" s="47" t="s">
        <v>514</v>
      </c>
      <c r="I929" s="48" t="s">
        <v>60</v>
      </c>
      <c r="J929" s="49">
        <v>1.1632718E7</v>
      </c>
    </row>
    <row r="930">
      <c r="A930" s="45" t="s">
        <v>74</v>
      </c>
      <c r="B930" s="16" t="s">
        <v>12</v>
      </c>
      <c r="C930" s="17" t="s">
        <v>13</v>
      </c>
      <c r="D930" s="15">
        <v>2.0</v>
      </c>
      <c r="E930" s="17" t="s">
        <v>456</v>
      </c>
      <c r="F930" s="15" t="s">
        <v>457</v>
      </c>
      <c r="G930" s="46" t="s">
        <v>515</v>
      </c>
      <c r="H930" s="47" t="s">
        <v>413</v>
      </c>
      <c r="I930" s="48" t="s">
        <v>19</v>
      </c>
      <c r="J930" s="49">
        <v>2.0348581E7</v>
      </c>
    </row>
    <row r="931">
      <c r="A931" s="45" t="s">
        <v>74</v>
      </c>
      <c r="B931" s="16" t="s">
        <v>12</v>
      </c>
      <c r="C931" s="17" t="s">
        <v>13</v>
      </c>
      <c r="D931" s="15">
        <v>2.0</v>
      </c>
      <c r="E931" s="17" t="s">
        <v>475</v>
      </c>
      <c r="F931" s="15" t="s">
        <v>476</v>
      </c>
      <c r="G931" s="46" t="s">
        <v>558</v>
      </c>
      <c r="H931" s="47" t="s">
        <v>559</v>
      </c>
      <c r="I931" s="48" t="s">
        <v>17</v>
      </c>
      <c r="J931" s="49">
        <v>9500000.0</v>
      </c>
    </row>
    <row r="932">
      <c r="A932" s="45" t="s">
        <v>74</v>
      </c>
      <c r="B932" s="16" t="s">
        <v>12</v>
      </c>
      <c r="C932" s="17" t="s">
        <v>13</v>
      </c>
      <c r="D932" s="15">
        <v>2.0</v>
      </c>
      <c r="E932" s="17" t="s">
        <v>475</v>
      </c>
      <c r="F932" s="15" t="s">
        <v>476</v>
      </c>
      <c r="G932" s="46" t="s">
        <v>558</v>
      </c>
      <c r="H932" s="47" t="s">
        <v>559</v>
      </c>
      <c r="I932" s="48" t="s">
        <v>25</v>
      </c>
      <c r="J932" s="49">
        <v>-9500000.0</v>
      </c>
    </row>
    <row r="933">
      <c r="A933" s="45" t="s">
        <v>74</v>
      </c>
      <c r="B933" s="16" t="s">
        <v>12</v>
      </c>
      <c r="C933" s="17" t="s">
        <v>13</v>
      </c>
      <c r="D933" s="15">
        <v>2.0</v>
      </c>
      <c r="E933" s="17" t="s">
        <v>475</v>
      </c>
      <c r="F933" s="15" t="s">
        <v>476</v>
      </c>
      <c r="G933" s="46" t="s">
        <v>554</v>
      </c>
      <c r="H933" s="47" t="s">
        <v>555</v>
      </c>
      <c r="I933" s="48" t="s">
        <v>17</v>
      </c>
      <c r="J933" s="49">
        <v>2341136.0</v>
      </c>
    </row>
    <row r="934">
      <c r="A934" s="45" t="s">
        <v>74</v>
      </c>
      <c r="B934" s="16" t="s">
        <v>12</v>
      </c>
      <c r="C934" s="17" t="s">
        <v>13</v>
      </c>
      <c r="D934" s="15">
        <v>2.0</v>
      </c>
      <c r="E934" s="17" t="s">
        <v>525</v>
      </c>
      <c r="F934" s="15" t="s">
        <v>502</v>
      </c>
      <c r="G934" s="46" t="s">
        <v>526</v>
      </c>
      <c r="H934" s="47" t="s">
        <v>527</v>
      </c>
      <c r="I934" s="48" t="s">
        <v>60</v>
      </c>
      <c r="J934" s="49">
        <v>131460.0</v>
      </c>
    </row>
    <row r="935">
      <c r="A935" s="45" t="s">
        <v>74</v>
      </c>
      <c r="B935" s="16" t="s">
        <v>12</v>
      </c>
      <c r="C935" s="17" t="s">
        <v>13</v>
      </c>
      <c r="D935" s="15">
        <v>2.0</v>
      </c>
      <c r="E935" s="17" t="s">
        <v>525</v>
      </c>
      <c r="F935" s="15" t="s">
        <v>502</v>
      </c>
      <c r="G935" s="46" t="s">
        <v>505</v>
      </c>
      <c r="H935" s="47" t="s">
        <v>506</v>
      </c>
      <c r="I935" s="48" t="s">
        <v>60</v>
      </c>
      <c r="J935" s="49">
        <v>1107530.0</v>
      </c>
    </row>
    <row r="936">
      <c r="A936" s="45" t="s">
        <v>74</v>
      </c>
      <c r="B936" s="16" t="s">
        <v>12</v>
      </c>
      <c r="C936" s="17" t="s">
        <v>13</v>
      </c>
      <c r="D936" s="15">
        <v>2.0</v>
      </c>
      <c r="E936" s="17" t="s">
        <v>525</v>
      </c>
      <c r="F936" s="15" t="s">
        <v>502</v>
      </c>
      <c r="G936" s="46" t="s">
        <v>507</v>
      </c>
      <c r="H936" s="47" t="s">
        <v>508</v>
      </c>
      <c r="I936" s="48" t="s">
        <v>60</v>
      </c>
      <c r="J936" s="49">
        <v>141850.0</v>
      </c>
    </row>
    <row r="937">
      <c r="A937" s="45" t="s">
        <v>74</v>
      </c>
      <c r="B937" s="16" t="s">
        <v>12</v>
      </c>
      <c r="C937" s="17" t="s">
        <v>13</v>
      </c>
      <c r="D937" s="15">
        <v>2.0</v>
      </c>
      <c r="E937" s="17" t="s">
        <v>525</v>
      </c>
      <c r="F937" s="15" t="s">
        <v>502</v>
      </c>
      <c r="G937" s="46" t="s">
        <v>511</v>
      </c>
      <c r="H937" s="47" t="s">
        <v>512</v>
      </c>
      <c r="I937" s="48" t="s">
        <v>60</v>
      </c>
      <c r="J937" s="49">
        <v>8396383.0</v>
      </c>
    </row>
    <row r="938">
      <c r="A938" s="45" t="s">
        <v>74</v>
      </c>
      <c r="B938" s="16" t="s">
        <v>12</v>
      </c>
      <c r="C938" s="17" t="s">
        <v>13</v>
      </c>
      <c r="D938" s="15">
        <v>2.0</v>
      </c>
      <c r="E938" s="17" t="s">
        <v>525</v>
      </c>
      <c r="F938" s="15" t="s">
        <v>502</v>
      </c>
      <c r="G938" s="46" t="s">
        <v>513</v>
      </c>
      <c r="H938" s="47" t="s">
        <v>514</v>
      </c>
      <c r="I938" s="48" t="s">
        <v>60</v>
      </c>
      <c r="J938" s="49">
        <v>2915924.0</v>
      </c>
    </row>
    <row r="939">
      <c r="A939" s="45" t="s">
        <v>74</v>
      </c>
      <c r="B939" s="16" t="s">
        <v>187</v>
      </c>
      <c r="C939" s="17" t="s">
        <v>188</v>
      </c>
      <c r="D939" s="15">
        <v>2.0</v>
      </c>
      <c r="E939" s="17" t="s">
        <v>441</v>
      </c>
      <c r="F939" s="15" t="s">
        <v>442</v>
      </c>
      <c r="G939" s="46" t="s">
        <v>443</v>
      </c>
      <c r="H939" s="47" t="s">
        <v>420</v>
      </c>
      <c r="I939" s="48" t="s">
        <v>19</v>
      </c>
      <c r="J939" s="49">
        <v>2.2004198E7</v>
      </c>
    </row>
    <row r="940">
      <c r="A940" s="45" t="s">
        <v>74</v>
      </c>
      <c r="B940" s="16" t="s">
        <v>187</v>
      </c>
      <c r="C940" s="17" t="s">
        <v>188</v>
      </c>
      <c r="D940" s="15">
        <v>2.0</v>
      </c>
      <c r="E940" s="17" t="s">
        <v>441</v>
      </c>
      <c r="F940" s="15" t="s">
        <v>442</v>
      </c>
      <c r="G940" s="46" t="s">
        <v>444</v>
      </c>
      <c r="H940" s="47" t="s">
        <v>445</v>
      </c>
      <c r="I940" s="48" t="s">
        <v>19</v>
      </c>
      <c r="J940" s="49">
        <v>537577.0</v>
      </c>
    </row>
    <row r="941">
      <c r="A941" s="45" t="s">
        <v>74</v>
      </c>
      <c r="B941" s="16" t="s">
        <v>187</v>
      </c>
      <c r="C941" s="17" t="s">
        <v>188</v>
      </c>
      <c r="D941" s="15">
        <v>2.0</v>
      </c>
      <c r="E941" s="17" t="s">
        <v>441</v>
      </c>
      <c r="F941" s="15" t="s">
        <v>442</v>
      </c>
      <c r="G941" s="46" t="s">
        <v>446</v>
      </c>
      <c r="H941" s="47" t="s">
        <v>447</v>
      </c>
      <c r="I941" s="48" t="s">
        <v>19</v>
      </c>
      <c r="J941" s="49">
        <v>286785.0</v>
      </c>
    </row>
    <row r="942">
      <c r="A942" s="45" t="s">
        <v>74</v>
      </c>
      <c r="B942" s="16" t="s">
        <v>187</v>
      </c>
      <c r="C942" s="17" t="s">
        <v>188</v>
      </c>
      <c r="D942" s="15">
        <v>2.0</v>
      </c>
      <c r="E942" s="17" t="s">
        <v>441</v>
      </c>
      <c r="F942" s="15" t="s">
        <v>442</v>
      </c>
      <c r="G942" s="46" t="s">
        <v>448</v>
      </c>
      <c r="H942" s="47" t="s">
        <v>449</v>
      </c>
      <c r="I942" s="48" t="s">
        <v>19</v>
      </c>
      <c r="J942" s="49">
        <v>860974.0</v>
      </c>
    </row>
    <row r="943">
      <c r="A943" s="45" t="s">
        <v>74</v>
      </c>
      <c r="B943" s="16" t="s">
        <v>187</v>
      </c>
      <c r="C943" s="17" t="s">
        <v>188</v>
      </c>
      <c r="D943" s="15">
        <v>2.0</v>
      </c>
      <c r="E943" s="17" t="s">
        <v>441</v>
      </c>
      <c r="F943" s="15" t="s">
        <v>442</v>
      </c>
      <c r="G943" s="46" t="s">
        <v>450</v>
      </c>
      <c r="H943" s="47" t="s">
        <v>451</v>
      </c>
      <c r="I943" s="48" t="s">
        <v>19</v>
      </c>
      <c r="J943" s="49">
        <v>0.0</v>
      </c>
    </row>
    <row r="944">
      <c r="A944" s="45" t="s">
        <v>74</v>
      </c>
      <c r="B944" s="16" t="s">
        <v>187</v>
      </c>
      <c r="C944" s="17" t="s">
        <v>188</v>
      </c>
      <c r="D944" s="15">
        <v>2.0</v>
      </c>
      <c r="E944" s="17" t="s">
        <v>441</v>
      </c>
      <c r="F944" s="15" t="s">
        <v>442</v>
      </c>
      <c r="G944" s="46" t="s">
        <v>452</v>
      </c>
      <c r="H944" s="47" t="s">
        <v>453</v>
      </c>
      <c r="I944" s="48" t="s">
        <v>19</v>
      </c>
      <c r="J944" s="49">
        <v>530553.0</v>
      </c>
    </row>
    <row r="945">
      <c r="A945" s="45" t="s">
        <v>74</v>
      </c>
      <c r="B945" s="16" t="s">
        <v>187</v>
      </c>
      <c r="C945" s="17" t="s">
        <v>188</v>
      </c>
      <c r="D945" s="15">
        <v>2.0</v>
      </c>
      <c r="E945" s="17" t="s">
        <v>441</v>
      </c>
      <c r="F945" s="15" t="s">
        <v>442</v>
      </c>
      <c r="G945" s="46" t="s">
        <v>454</v>
      </c>
      <c r="H945" s="47" t="s">
        <v>415</v>
      </c>
      <c r="I945" s="48" t="s">
        <v>19</v>
      </c>
      <c r="J945" s="49">
        <v>77432.0</v>
      </c>
    </row>
    <row r="946">
      <c r="A946" s="45" t="s">
        <v>74</v>
      </c>
      <c r="B946" s="16" t="s">
        <v>187</v>
      </c>
      <c r="C946" s="17" t="s">
        <v>188</v>
      </c>
      <c r="D946" s="15">
        <v>2.0</v>
      </c>
      <c r="E946" s="17" t="s">
        <v>441</v>
      </c>
      <c r="F946" s="15" t="s">
        <v>442</v>
      </c>
      <c r="G946" s="46" t="s">
        <v>455</v>
      </c>
      <c r="H946" s="47" t="s">
        <v>415</v>
      </c>
      <c r="I946" s="48" t="s">
        <v>19</v>
      </c>
      <c r="J946" s="49">
        <v>43017.0</v>
      </c>
    </row>
    <row r="947">
      <c r="A947" s="45" t="s">
        <v>74</v>
      </c>
      <c r="B947" s="16" t="s">
        <v>187</v>
      </c>
      <c r="C947" s="17" t="s">
        <v>188</v>
      </c>
      <c r="D947" s="15">
        <v>2.0</v>
      </c>
      <c r="E947" s="17" t="s">
        <v>456</v>
      </c>
      <c r="F947" s="15" t="s">
        <v>457</v>
      </c>
      <c r="G947" s="46" t="s">
        <v>443</v>
      </c>
      <c r="H947" s="47" t="s">
        <v>420</v>
      </c>
      <c r="I947" s="48" t="s">
        <v>19</v>
      </c>
      <c r="J947" s="49">
        <v>3920000.0</v>
      </c>
    </row>
    <row r="948">
      <c r="A948" s="45" t="s">
        <v>74</v>
      </c>
      <c r="B948" s="16" t="s">
        <v>187</v>
      </c>
      <c r="C948" s="17" t="s">
        <v>188</v>
      </c>
      <c r="D948" s="15">
        <v>2.0</v>
      </c>
      <c r="E948" s="17" t="s">
        <v>456</v>
      </c>
      <c r="F948" s="15" t="s">
        <v>457</v>
      </c>
      <c r="G948" s="46" t="s">
        <v>458</v>
      </c>
      <c r="H948" s="47" t="s">
        <v>411</v>
      </c>
      <c r="I948" s="48" t="s">
        <v>19</v>
      </c>
      <c r="J948" s="49">
        <v>1.6244998E8</v>
      </c>
    </row>
    <row r="949">
      <c r="A949" s="45" t="s">
        <v>74</v>
      </c>
      <c r="B949" s="16" t="s">
        <v>187</v>
      </c>
      <c r="C949" s="17" t="s">
        <v>188</v>
      </c>
      <c r="D949" s="15">
        <v>2.0</v>
      </c>
      <c r="E949" s="17" t="s">
        <v>482</v>
      </c>
      <c r="F949" s="15" t="s">
        <v>483</v>
      </c>
      <c r="G949" s="46" t="s">
        <v>458</v>
      </c>
      <c r="H949" s="47" t="s">
        <v>411</v>
      </c>
      <c r="I949" s="48" t="s">
        <v>19</v>
      </c>
      <c r="J949" s="49">
        <v>4849544.0</v>
      </c>
    </row>
    <row r="950">
      <c r="A950" s="45" t="s">
        <v>74</v>
      </c>
      <c r="B950" s="16" t="s">
        <v>187</v>
      </c>
      <c r="C950" s="17" t="s">
        <v>188</v>
      </c>
      <c r="D950" s="15">
        <v>2.0</v>
      </c>
      <c r="E950" s="17" t="s">
        <v>459</v>
      </c>
      <c r="F950" s="15" t="s">
        <v>460</v>
      </c>
      <c r="G950" s="46" t="s">
        <v>458</v>
      </c>
      <c r="H950" s="47" t="s">
        <v>411</v>
      </c>
      <c r="I950" s="48" t="s">
        <v>19</v>
      </c>
      <c r="J950" s="49">
        <v>4676346.0</v>
      </c>
    </row>
    <row r="951">
      <c r="A951" s="45" t="s">
        <v>74</v>
      </c>
      <c r="B951" s="16" t="s">
        <v>187</v>
      </c>
      <c r="C951" s="17" t="s">
        <v>188</v>
      </c>
      <c r="D951" s="15">
        <v>2.0</v>
      </c>
      <c r="E951" s="17" t="s">
        <v>463</v>
      </c>
      <c r="F951" s="15" t="s">
        <v>464</v>
      </c>
      <c r="G951" s="46" t="s">
        <v>519</v>
      </c>
      <c r="H951" s="47" t="s">
        <v>414</v>
      </c>
      <c r="I951" s="48" t="s">
        <v>37</v>
      </c>
      <c r="J951" s="49">
        <v>3777000.0</v>
      </c>
    </row>
    <row r="952">
      <c r="A952" s="45" t="s">
        <v>74</v>
      </c>
      <c r="B952" s="16" t="s">
        <v>187</v>
      </c>
      <c r="C952" s="17" t="s">
        <v>188</v>
      </c>
      <c r="D952" s="15">
        <v>2.0</v>
      </c>
      <c r="E952" s="17" t="s">
        <v>463</v>
      </c>
      <c r="F952" s="15" t="s">
        <v>464</v>
      </c>
      <c r="G952" s="46" t="s">
        <v>465</v>
      </c>
      <c r="H952" s="47" t="s">
        <v>466</v>
      </c>
      <c r="I952" s="48" t="s">
        <v>25</v>
      </c>
      <c r="J952" s="49">
        <v>5243850.0</v>
      </c>
    </row>
    <row r="953">
      <c r="A953" s="45" t="s">
        <v>74</v>
      </c>
      <c r="B953" s="16" t="s">
        <v>187</v>
      </c>
      <c r="C953" s="17" t="s">
        <v>188</v>
      </c>
      <c r="D953" s="15">
        <v>2.0</v>
      </c>
      <c r="E953" s="17" t="s">
        <v>463</v>
      </c>
      <c r="F953" s="15" t="s">
        <v>464</v>
      </c>
      <c r="G953" s="46" t="s">
        <v>467</v>
      </c>
      <c r="H953" s="47" t="s">
        <v>468</v>
      </c>
      <c r="I953" s="48" t="s">
        <v>25</v>
      </c>
      <c r="J953" s="49">
        <v>1992000.0</v>
      </c>
    </row>
    <row r="954">
      <c r="A954" s="45" t="s">
        <v>74</v>
      </c>
      <c r="B954" s="16" t="s">
        <v>187</v>
      </c>
      <c r="C954" s="17" t="s">
        <v>188</v>
      </c>
      <c r="D954" s="15">
        <v>2.0</v>
      </c>
      <c r="E954" s="17" t="s">
        <v>463</v>
      </c>
      <c r="F954" s="15" t="s">
        <v>464</v>
      </c>
      <c r="G954" s="46" t="s">
        <v>458</v>
      </c>
      <c r="H954" s="47" t="s">
        <v>411</v>
      </c>
      <c r="I954" s="48" t="s">
        <v>19</v>
      </c>
      <c r="J954" s="49">
        <v>8914388.0</v>
      </c>
    </row>
    <row r="955">
      <c r="A955" s="45" t="s">
        <v>74</v>
      </c>
      <c r="B955" s="16" t="s">
        <v>187</v>
      </c>
      <c r="C955" s="17" t="s">
        <v>188</v>
      </c>
      <c r="D955" s="15">
        <v>2.0</v>
      </c>
      <c r="E955" s="17" t="s">
        <v>487</v>
      </c>
      <c r="F955" s="15" t="s">
        <v>488</v>
      </c>
      <c r="G955" s="46" t="s">
        <v>519</v>
      </c>
      <c r="H955" s="47" t="s">
        <v>414</v>
      </c>
      <c r="I955" s="48" t="s">
        <v>37</v>
      </c>
      <c r="J955" s="49">
        <v>-5.5013E8</v>
      </c>
    </row>
    <row r="956">
      <c r="A956" s="45" t="s">
        <v>74</v>
      </c>
      <c r="B956" s="16" t="s">
        <v>187</v>
      </c>
      <c r="C956" s="17" t="s">
        <v>188</v>
      </c>
      <c r="D956" s="15">
        <v>2.0</v>
      </c>
      <c r="E956" s="17" t="s">
        <v>487</v>
      </c>
      <c r="F956" s="15" t="s">
        <v>488</v>
      </c>
      <c r="G956" s="46" t="s">
        <v>458</v>
      </c>
      <c r="H956" s="47" t="s">
        <v>411</v>
      </c>
      <c r="I956" s="48" t="s">
        <v>19</v>
      </c>
      <c r="J956" s="49">
        <v>702969.0</v>
      </c>
    </row>
    <row r="957">
      <c r="A957" s="45" t="s">
        <v>74</v>
      </c>
      <c r="B957" s="16" t="s">
        <v>187</v>
      </c>
      <c r="C957" s="17" t="s">
        <v>188</v>
      </c>
      <c r="D957" s="15">
        <v>2.0</v>
      </c>
      <c r="E957" s="17" t="s">
        <v>469</v>
      </c>
      <c r="F957" s="15" t="s">
        <v>470</v>
      </c>
      <c r="G957" s="46" t="s">
        <v>471</v>
      </c>
      <c r="H957" s="47" t="s">
        <v>472</v>
      </c>
      <c r="I957" s="48" t="s">
        <v>25</v>
      </c>
      <c r="J957" s="49">
        <v>7125000.0</v>
      </c>
    </row>
    <row r="958">
      <c r="A958" s="45" t="s">
        <v>74</v>
      </c>
      <c r="B958" s="16" t="s">
        <v>187</v>
      </c>
      <c r="C958" s="17" t="s">
        <v>188</v>
      </c>
      <c r="D958" s="15">
        <v>2.0</v>
      </c>
      <c r="E958" s="17" t="s">
        <v>473</v>
      </c>
      <c r="F958" s="15" t="s">
        <v>474</v>
      </c>
      <c r="G958" s="46" t="s">
        <v>554</v>
      </c>
      <c r="H958" s="47" t="s">
        <v>555</v>
      </c>
      <c r="I958" s="48" t="s">
        <v>17</v>
      </c>
      <c r="J958" s="49">
        <v>1692805.0</v>
      </c>
    </row>
    <row r="959">
      <c r="A959" s="45" t="s">
        <v>74</v>
      </c>
      <c r="B959" s="16" t="s">
        <v>187</v>
      </c>
      <c r="C959" s="17" t="s">
        <v>188</v>
      </c>
      <c r="D959" s="15">
        <v>2.0</v>
      </c>
      <c r="E959" s="17" t="s">
        <v>473</v>
      </c>
      <c r="F959" s="15" t="s">
        <v>474</v>
      </c>
      <c r="G959" s="46" t="s">
        <v>523</v>
      </c>
      <c r="H959" s="47" t="s">
        <v>431</v>
      </c>
      <c r="I959" s="48" t="s">
        <v>17</v>
      </c>
      <c r="J959" s="49">
        <v>3.18794268E8</v>
      </c>
    </row>
    <row r="960">
      <c r="A960" s="45" t="s">
        <v>74</v>
      </c>
      <c r="B960" s="16" t="s">
        <v>187</v>
      </c>
      <c r="C960" s="17" t="s">
        <v>188</v>
      </c>
      <c r="D960" s="15">
        <v>2.0</v>
      </c>
      <c r="E960" s="17" t="s">
        <v>473</v>
      </c>
      <c r="F960" s="15" t="s">
        <v>474</v>
      </c>
      <c r="G960" s="46" t="s">
        <v>523</v>
      </c>
      <c r="H960" s="47" t="s">
        <v>431</v>
      </c>
      <c r="I960" s="48" t="s">
        <v>25</v>
      </c>
      <c r="J960" s="49">
        <v>-4.07993368E8</v>
      </c>
    </row>
    <row r="961">
      <c r="A961" s="45" t="s">
        <v>74</v>
      </c>
      <c r="B961" s="16" t="s">
        <v>187</v>
      </c>
      <c r="C961" s="17" t="s">
        <v>188</v>
      </c>
      <c r="D961" s="15">
        <v>2.0</v>
      </c>
      <c r="E961" s="17" t="s">
        <v>473</v>
      </c>
      <c r="F961" s="15" t="s">
        <v>474</v>
      </c>
      <c r="G961" s="46" t="s">
        <v>458</v>
      </c>
      <c r="H961" s="47" t="s">
        <v>411</v>
      </c>
      <c r="I961" s="48" t="s">
        <v>19</v>
      </c>
      <c r="J961" s="49">
        <v>3.0807E7</v>
      </c>
    </row>
    <row r="962">
      <c r="A962" s="45" t="s">
        <v>74</v>
      </c>
      <c r="B962" s="16" t="s">
        <v>187</v>
      </c>
      <c r="C962" s="17" t="s">
        <v>188</v>
      </c>
      <c r="D962" s="15">
        <v>2.0</v>
      </c>
      <c r="E962" s="17" t="s">
        <v>491</v>
      </c>
      <c r="F962" s="15" t="s">
        <v>492</v>
      </c>
      <c r="G962" s="46" t="s">
        <v>493</v>
      </c>
      <c r="H962" s="47" t="s">
        <v>437</v>
      </c>
      <c r="I962" s="48" t="s">
        <v>25</v>
      </c>
      <c r="J962" s="49">
        <v>3737462.0</v>
      </c>
    </row>
    <row r="963">
      <c r="A963" s="45" t="s">
        <v>74</v>
      </c>
      <c r="B963" s="16" t="s">
        <v>187</v>
      </c>
      <c r="C963" s="17" t="s">
        <v>188</v>
      </c>
      <c r="D963" s="15">
        <v>2.0</v>
      </c>
      <c r="E963" s="17" t="s">
        <v>491</v>
      </c>
      <c r="F963" s="15" t="s">
        <v>492</v>
      </c>
      <c r="G963" s="46" t="s">
        <v>458</v>
      </c>
      <c r="H963" s="47" t="s">
        <v>411</v>
      </c>
      <c r="I963" s="48" t="s">
        <v>19</v>
      </c>
      <c r="J963" s="49">
        <v>4849544.0</v>
      </c>
    </row>
    <row r="964">
      <c r="A964" s="45" t="s">
        <v>74</v>
      </c>
      <c r="B964" s="16" t="s">
        <v>187</v>
      </c>
      <c r="C964" s="17" t="s">
        <v>188</v>
      </c>
      <c r="D964" s="15">
        <v>2.0</v>
      </c>
      <c r="E964" s="17" t="s">
        <v>494</v>
      </c>
      <c r="F964" s="15" t="s">
        <v>495</v>
      </c>
      <c r="G964" s="46" t="s">
        <v>496</v>
      </c>
      <c r="H964" s="47" t="s">
        <v>497</v>
      </c>
      <c r="I964" s="48" t="s">
        <v>25</v>
      </c>
      <c r="J964" s="49">
        <v>611000.0</v>
      </c>
    </row>
    <row r="965">
      <c r="A965" s="45" t="s">
        <v>74</v>
      </c>
      <c r="B965" s="16" t="s">
        <v>187</v>
      </c>
      <c r="C965" s="17" t="s">
        <v>188</v>
      </c>
      <c r="D965" s="15">
        <v>2.0</v>
      </c>
      <c r="E965" s="17" t="s">
        <v>494</v>
      </c>
      <c r="F965" s="15" t="s">
        <v>495</v>
      </c>
      <c r="G965" s="46" t="s">
        <v>477</v>
      </c>
      <c r="H965" s="47" t="s">
        <v>429</v>
      </c>
      <c r="I965" s="48" t="s">
        <v>50</v>
      </c>
      <c r="J965" s="49">
        <v>8800572.0</v>
      </c>
    </row>
    <row r="966">
      <c r="A966" s="45" t="s">
        <v>74</v>
      </c>
      <c r="B966" s="16" t="s">
        <v>187</v>
      </c>
      <c r="C966" s="17" t="s">
        <v>188</v>
      </c>
      <c r="D966" s="15">
        <v>2.0</v>
      </c>
      <c r="E966" s="17" t="s">
        <v>475</v>
      </c>
      <c r="F966" s="15" t="s">
        <v>476</v>
      </c>
      <c r="G966" s="46" t="s">
        <v>498</v>
      </c>
      <c r="H966" s="47" t="s">
        <v>434</v>
      </c>
      <c r="I966" s="48" t="s">
        <v>25</v>
      </c>
      <c r="J966" s="49">
        <v>4205000.0</v>
      </c>
    </row>
    <row r="967">
      <c r="A967" s="45" t="s">
        <v>74</v>
      </c>
      <c r="B967" s="16" t="s">
        <v>187</v>
      </c>
      <c r="C967" s="17" t="s">
        <v>188</v>
      </c>
      <c r="D967" s="15">
        <v>2.0</v>
      </c>
      <c r="E967" s="17" t="s">
        <v>475</v>
      </c>
      <c r="F967" s="15" t="s">
        <v>476</v>
      </c>
      <c r="G967" s="46" t="s">
        <v>477</v>
      </c>
      <c r="H967" s="47" t="s">
        <v>429</v>
      </c>
      <c r="I967" s="48" t="s">
        <v>50</v>
      </c>
      <c r="J967" s="49">
        <v>5.8620025E7</v>
      </c>
    </row>
    <row r="968">
      <c r="A968" s="45" t="s">
        <v>74</v>
      </c>
      <c r="B968" s="16" t="s">
        <v>187</v>
      </c>
      <c r="C968" s="17" t="s">
        <v>188</v>
      </c>
      <c r="D968" s="15">
        <v>2.0</v>
      </c>
      <c r="E968" s="17" t="s">
        <v>524</v>
      </c>
      <c r="F968" s="15" t="s">
        <v>479</v>
      </c>
      <c r="G968" s="46" t="s">
        <v>443</v>
      </c>
      <c r="H968" s="47" t="s">
        <v>420</v>
      </c>
      <c r="I968" s="48" t="s">
        <v>19</v>
      </c>
      <c r="J968" s="49">
        <v>7.9093304E7</v>
      </c>
    </row>
    <row r="969">
      <c r="A969" s="45" t="s">
        <v>74</v>
      </c>
      <c r="B969" s="16" t="s">
        <v>187</v>
      </c>
      <c r="C969" s="17" t="s">
        <v>188</v>
      </c>
      <c r="D969" s="15">
        <v>2.0</v>
      </c>
      <c r="E969" s="17" t="s">
        <v>524</v>
      </c>
      <c r="F969" s="15" t="s">
        <v>479</v>
      </c>
      <c r="G969" s="46" t="s">
        <v>444</v>
      </c>
      <c r="H969" s="47" t="s">
        <v>445</v>
      </c>
      <c r="I969" s="48" t="s">
        <v>19</v>
      </c>
      <c r="J969" s="49">
        <v>4531185.0</v>
      </c>
    </row>
    <row r="970">
      <c r="A970" s="45" t="s">
        <v>74</v>
      </c>
      <c r="B970" s="16" t="s">
        <v>187</v>
      </c>
      <c r="C970" s="17" t="s">
        <v>188</v>
      </c>
      <c r="D970" s="15">
        <v>2.0</v>
      </c>
      <c r="E970" s="17" t="s">
        <v>524</v>
      </c>
      <c r="F970" s="15" t="s">
        <v>479</v>
      </c>
      <c r="G970" s="46" t="s">
        <v>446</v>
      </c>
      <c r="H970" s="47" t="s">
        <v>447</v>
      </c>
      <c r="I970" s="48" t="s">
        <v>19</v>
      </c>
      <c r="J970" s="49">
        <v>937225.0</v>
      </c>
    </row>
    <row r="971">
      <c r="A971" s="45" t="s">
        <v>74</v>
      </c>
      <c r="B971" s="16" t="s">
        <v>187</v>
      </c>
      <c r="C971" s="17" t="s">
        <v>188</v>
      </c>
      <c r="D971" s="15">
        <v>2.0</v>
      </c>
      <c r="E971" s="17" t="s">
        <v>524</v>
      </c>
      <c r="F971" s="15" t="s">
        <v>479</v>
      </c>
      <c r="G971" s="46" t="s">
        <v>448</v>
      </c>
      <c r="H971" s="47" t="s">
        <v>449</v>
      </c>
      <c r="I971" s="48" t="s">
        <v>19</v>
      </c>
      <c r="J971" s="49">
        <v>2817113.0</v>
      </c>
    </row>
    <row r="972">
      <c r="A972" s="45" t="s">
        <v>74</v>
      </c>
      <c r="B972" s="16" t="s">
        <v>187</v>
      </c>
      <c r="C972" s="17" t="s">
        <v>188</v>
      </c>
      <c r="D972" s="15">
        <v>2.0</v>
      </c>
      <c r="E972" s="17" t="s">
        <v>524</v>
      </c>
      <c r="F972" s="15" t="s">
        <v>479</v>
      </c>
      <c r="G972" s="46" t="s">
        <v>450</v>
      </c>
      <c r="H972" s="47" t="s">
        <v>451</v>
      </c>
      <c r="I972" s="48" t="s">
        <v>19</v>
      </c>
      <c r="J972" s="49">
        <v>0.0</v>
      </c>
    </row>
    <row r="973">
      <c r="A973" s="45" t="s">
        <v>74</v>
      </c>
      <c r="B973" s="16" t="s">
        <v>187</v>
      </c>
      <c r="C973" s="17" t="s">
        <v>188</v>
      </c>
      <c r="D973" s="15">
        <v>2.0</v>
      </c>
      <c r="E973" s="17" t="s">
        <v>524</v>
      </c>
      <c r="F973" s="15" t="s">
        <v>479</v>
      </c>
      <c r="G973" s="46" t="s">
        <v>452</v>
      </c>
      <c r="H973" s="47" t="s">
        <v>453</v>
      </c>
      <c r="I973" s="48" t="s">
        <v>19</v>
      </c>
      <c r="J973" s="49">
        <v>1735974.0</v>
      </c>
    </row>
    <row r="974">
      <c r="A974" s="45" t="s">
        <v>74</v>
      </c>
      <c r="B974" s="16" t="s">
        <v>187</v>
      </c>
      <c r="C974" s="17" t="s">
        <v>188</v>
      </c>
      <c r="D974" s="15">
        <v>2.0</v>
      </c>
      <c r="E974" s="17" t="s">
        <v>524</v>
      </c>
      <c r="F974" s="15" t="s">
        <v>479</v>
      </c>
      <c r="G974" s="46" t="s">
        <v>454</v>
      </c>
      <c r="H974" s="47" t="s">
        <v>415</v>
      </c>
      <c r="I974" s="48" t="s">
        <v>19</v>
      </c>
      <c r="J974" s="49">
        <v>253358.0</v>
      </c>
    </row>
    <row r="975">
      <c r="A975" s="45" t="s">
        <v>74</v>
      </c>
      <c r="B975" s="16" t="s">
        <v>187</v>
      </c>
      <c r="C975" s="17" t="s">
        <v>188</v>
      </c>
      <c r="D975" s="15">
        <v>2.0</v>
      </c>
      <c r="E975" s="17" t="s">
        <v>524</v>
      </c>
      <c r="F975" s="15" t="s">
        <v>479</v>
      </c>
      <c r="G975" s="46" t="s">
        <v>455</v>
      </c>
      <c r="H975" s="47" t="s">
        <v>415</v>
      </c>
      <c r="I975" s="48" t="s">
        <v>19</v>
      </c>
      <c r="J975" s="49">
        <v>140753.0</v>
      </c>
    </row>
    <row r="976">
      <c r="A976" s="45" t="s">
        <v>74</v>
      </c>
      <c r="B976" s="16" t="s">
        <v>187</v>
      </c>
      <c r="C976" s="17" t="s">
        <v>188</v>
      </c>
      <c r="D976" s="15">
        <v>2.0</v>
      </c>
      <c r="E976" s="17" t="s">
        <v>525</v>
      </c>
      <c r="F976" s="15" t="s">
        <v>502</v>
      </c>
      <c r="G976" s="46" t="s">
        <v>526</v>
      </c>
      <c r="H976" s="47" t="s">
        <v>527</v>
      </c>
      <c r="I976" s="48" t="s">
        <v>60</v>
      </c>
      <c r="J976" s="49">
        <v>5.74458434E8</v>
      </c>
    </row>
    <row r="977">
      <c r="A977" s="45" t="s">
        <v>74</v>
      </c>
      <c r="B977" s="16" t="s">
        <v>187</v>
      </c>
      <c r="C977" s="17" t="s">
        <v>188</v>
      </c>
      <c r="D977" s="15">
        <v>2.0</v>
      </c>
      <c r="E977" s="17" t="s">
        <v>525</v>
      </c>
      <c r="F977" s="15" t="s">
        <v>502</v>
      </c>
      <c r="G977" s="46" t="s">
        <v>539</v>
      </c>
      <c r="H977" s="47" t="s">
        <v>540</v>
      </c>
      <c r="I977" s="48" t="s">
        <v>60</v>
      </c>
      <c r="J977" s="49">
        <v>1.6730895E7</v>
      </c>
    </row>
    <row r="978">
      <c r="A978" s="45" t="s">
        <v>74</v>
      </c>
      <c r="B978" s="16" t="s">
        <v>187</v>
      </c>
      <c r="C978" s="17" t="s">
        <v>188</v>
      </c>
      <c r="D978" s="15">
        <v>2.0</v>
      </c>
      <c r="E978" s="17" t="s">
        <v>525</v>
      </c>
      <c r="F978" s="15" t="s">
        <v>502</v>
      </c>
      <c r="G978" s="46" t="s">
        <v>505</v>
      </c>
      <c r="H978" s="47" t="s">
        <v>506</v>
      </c>
      <c r="I978" s="48" t="s">
        <v>60</v>
      </c>
      <c r="J978" s="49">
        <v>1036735.0</v>
      </c>
    </row>
    <row r="979">
      <c r="A979" s="45" t="s">
        <v>74</v>
      </c>
      <c r="B979" s="16" t="s">
        <v>187</v>
      </c>
      <c r="C979" s="17" t="s">
        <v>188</v>
      </c>
      <c r="D979" s="15">
        <v>2.0</v>
      </c>
      <c r="E979" s="17" t="s">
        <v>525</v>
      </c>
      <c r="F979" s="15" t="s">
        <v>502</v>
      </c>
      <c r="G979" s="46" t="s">
        <v>507</v>
      </c>
      <c r="H979" s="47" t="s">
        <v>508</v>
      </c>
      <c r="I979" s="48" t="s">
        <v>60</v>
      </c>
      <c r="J979" s="49">
        <v>4131387.0</v>
      </c>
    </row>
    <row r="980">
      <c r="A980" s="45" t="s">
        <v>74</v>
      </c>
      <c r="B980" s="16" t="s">
        <v>187</v>
      </c>
      <c r="C980" s="17" t="s">
        <v>188</v>
      </c>
      <c r="D980" s="15">
        <v>2.0</v>
      </c>
      <c r="E980" s="17" t="s">
        <v>525</v>
      </c>
      <c r="F980" s="15" t="s">
        <v>502</v>
      </c>
      <c r="G980" s="46" t="s">
        <v>509</v>
      </c>
      <c r="H980" s="47" t="s">
        <v>510</v>
      </c>
      <c r="I980" s="48" t="s">
        <v>60</v>
      </c>
      <c r="J980" s="49">
        <v>1528668.0</v>
      </c>
    </row>
    <row r="981">
      <c r="A981" s="45" t="s">
        <v>74</v>
      </c>
      <c r="B981" s="16" t="s">
        <v>187</v>
      </c>
      <c r="C981" s="17" t="s">
        <v>188</v>
      </c>
      <c r="D981" s="15">
        <v>2.0</v>
      </c>
      <c r="E981" s="17" t="s">
        <v>525</v>
      </c>
      <c r="F981" s="15" t="s">
        <v>502</v>
      </c>
      <c r="G981" s="46" t="s">
        <v>511</v>
      </c>
      <c r="H981" s="47" t="s">
        <v>512</v>
      </c>
      <c r="I981" s="48" t="s">
        <v>60</v>
      </c>
      <c r="J981" s="49">
        <v>1.24974057E8</v>
      </c>
    </row>
    <row r="982">
      <c r="A982" s="45" t="s">
        <v>74</v>
      </c>
      <c r="B982" s="16" t="s">
        <v>187</v>
      </c>
      <c r="C982" s="17" t="s">
        <v>188</v>
      </c>
      <c r="D982" s="15">
        <v>2.0</v>
      </c>
      <c r="E982" s="17" t="s">
        <v>525</v>
      </c>
      <c r="F982" s="15" t="s">
        <v>502</v>
      </c>
      <c r="G982" s="46" t="s">
        <v>513</v>
      </c>
      <c r="H982" s="47" t="s">
        <v>514</v>
      </c>
      <c r="I982" s="48" t="s">
        <v>60</v>
      </c>
      <c r="J982" s="49">
        <v>8468117.0</v>
      </c>
    </row>
    <row r="983">
      <c r="A983" s="45" t="s">
        <v>74</v>
      </c>
      <c r="B983" s="16" t="s">
        <v>203</v>
      </c>
      <c r="C983" s="17" t="s">
        <v>204</v>
      </c>
      <c r="D983" s="15">
        <v>2.0</v>
      </c>
      <c r="E983" s="17" t="s">
        <v>441</v>
      </c>
      <c r="F983" s="15" t="s">
        <v>442</v>
      </c>
      <c r="G983" s="46" t="s">
        <v>443</v>
      </c>
      <c r="H983" s="47" t="s">
        <v>420</v>
      </c>
      <c r="I983" s="48" t="s">
        <v>19</v>
      </c>
      <c r="J983" s="49">
        <v>4.704535E7</v>
      </c>
    </row>
    <row r="984">
      <c r="A984" s="45" t="s">
        <v>74</v>
      </c>
      <c r="B984" s="16" t="s">
        <v>203</v>
      </c>
      <c r="C984" s="17" t="s">
        <v>204</v>
      </c>
      <c r="D984" s="15">
        <v>2.0</v>
      </c>
      <c r="E984" s="17" t="s">
        <v>441</v>
      </c>
      <c r="F984" s="15" t="s">
        <v>442</v>
      </c>
      <c r="G984" s="46" t="s">
        <v>444</v>
      </c>
      <c r="H984" s="47" t="s">
        <v>445</v>
      </c>
      <c r="I984" s="48" t="s">
        <v>19</v>
      </c>
      <c r="J984" s="49">
        <v>3811978.0</v>
      </c>
    </row>
    <row r="985">
      <c r="A985" s="45" t="s">
        <v>74</v>
      </c>
      <c r="B985" s="16" t="s">
        <v>203</v>
      </c>
      <c r="C985" s="17" t="s">
        <v>204</v>
      </c>
      <c r="D985" s="15">
        <v>2.0</v>
      </c>
      <c r="E985" s="17" t="s">
        <v>441</v>
      </c>
      <c r="F985" s="15" t="s">
        <v>442</v>
      </c>
      <c r="G985" s="46" t="s">
        <v>446</v>
      </c>
      <c r="H985" s="47" t="s">
        <v>447</v>
      </c>
      <c r="I985" s="48" t="s">
        <v>19</v>
      </c>
      <c r="J985" s="49">
        <v>494979.0</v>
      </c>
    </row>
    <row r="986">
      <c r="A986" s="45" t="s">
        <v>74</v>
      </c>
      <c r="B986" s="16" t="s">
        <v>203</v>
      </c>
      <c r="C986" s="17" t="s">
        <v>204</v>
      </c>
      <c r="D986" s="15">
        <v>2.0</v>
      </c>
      <c r="E986" s="17" t="s">
        <v>441</v>
      </c>
      <c r="F986" s="15" t="s">
        <v>442</v>
      </c>
      <c r="G986" s="46" t="s">
        <v>448</v>
      </c>
      <c r="H986" s="47" t="s">
        <v>449</v>
      </c>
      <c r="I986" s="48" t="s">
        <v>19</v>
      </c>
      <c r="J986" s="49">
        <v>1479451.0</v>
      </c>
    </row>
    <row r="987">
      <c r="A987" s="45" t="s">
        <v>74</v>
      </c>
      <c r="B987" s="16" t="s">
        <v>203</v>
      </c>
      <c r="C987" s="17" t="s">
        <v>204</v>
      </c>
      <c r="D987" s="15">
        <v>2.0</v>
      </c>
      <c r="E987" s="17" t="s">
        <v>441</v>
      </c>
      <c r="F987" s="15" t="s">
        <v>442</v>
      </c>
      <c r="G987" s="46" t="s">
        <v>450</v>
      </c>
      <c r="H987" s="47" t="s">
        <v>451</v>
      </c>
      <c r="I987" s="48" t="s">
        <v>19</v>
      </c>
      <c r="J987" s="49">
        <v>0.0</v>
      </c>
    </row>
    <row r="988">
      <c r="A988" s="45" t="s">
        <v>74</v>
      </c>
      <c r="B988" s="16" t="s">
        <v>203</v>
      </c>
      <c r="C988" s="17" t="s">
        <v>204</v>
      </c>
      <c r="D988" s="15">
        <v>2.0</v>
      </c>
      <c r="E988" s="17" t="s">
        <v>441</v>
      </c>
      <c r="F988" s="15" t="s">
        <v>442</v>
      </c>
      <c r="G988" s="46" t="s">
        <v>452</v>
      </c>
      <c r="H988" s="47" t="s">
        <v>453</v>
      </c>
      <c r="I988" s="48" t="s">
        <v>19</v>
      </c>
      <c r="J988" s="49">
        <v>915712.0</v>
      </c>
    </row>
    <row r="989">
      <c r="A989" s="45" t="s">
        <v>74</v>
      </c>
      <c r="B989" s="16" t="s">
        <v>203</v>
      </c>
      <c r="C989" s="17" t="s">
        <v>204</v>
      </c>
      <c r="D989" s="15">
        <v>2.0</v>
      </c>
      <c r="E989" s="17" t="s">
        <v>441</v>
      </c>
      <c r="F989" s="15" t="s">
        <v>442</v>
      </c>
      <c r="G989" s="46" t="s">
        <v>454</v>
      </c>
      <c r="H989" s="47" t="s">
        <v>415</v>
      </c>
      <c r="I989" s="48" t="s">
        <v>19</v>
      </c>
      <c r="J989" s="49">
        <v>133645.0</v>
      </c>
    </row>
    <row r="990">
      <c r="A990" s="45" t="s">
        <v>74</v>
      </c>
      <c r="B990" s="16" t="s">
        <v>203</v>
      </c>
      <c r="C990" s="17" t="s">
        <v>204</v>
      </c>
      <c r="D990" s="15">
        <v>2.0</v>
      </c>
      <c r="E990" s="17" t="s">
        <v>441</v>
      </c>
      <c r="F990" s="15" t="s">
        <v>442</v>
      </c>
      <c r="G990" s="46" t="s">
        <v>455</v>
      </c>
      <c r="H990" s="47" t="s">
        <v>415</v>
      </c>
      <c r="I990" s="48" t="s">
        <v>19</v>
      </c>
      <c r="J990" s="49">
        <v>74247.0</v>
      </c>
    </row>
    <row r="991">
      <c r="A991" s="45" t="s">
        <v>74</v>
      </c>
      <c r="B991" s="16" t="s">
        <v>203</v>
      </c>
      <c r="C991" s="17" t="s">
        <v>204</v>
      </c>
      <c r="D991" s="15">
        <v>2.0</v>
      </c>
      <c r="E991" s="17" t="s">
        <v>456</v>
      </c>
      <c r="F991" s="15" t="s">
        <v>457</v>
      </c>
      <c r="G991" s="46" t="s">
        <v>515</v>
      </c>
      <c r="H991" s="47" t="s">
        <v>413</v>
      </c>
      <c r="I991" s="48" t="s">
        <v>19</v>
      </c>
      <c r="J991" s="49">
        <v>5868456.0</v>
      </c>
    </row>
    <row r="992">
      <c r="A992" s="45" t="s">
        <v>74</v>
      </c>
      <c r="B992" s="16" t="s">
        <v>203</v>
      </c>
      <c r="C992" s="17" t="s">
        <v>204</v>
      </c>
      <c r="D992" s="15">
        <v>2.0</v>
      </c>
      <c r="E992" s="17" t="s">
        <v>456</v>
      </c>
      <c r="F992" s="15" t="s">
        <v>457</v>
      </c>
      <c r="G992" s="46" t="s">
        <v>458</v>
      </c>
      <c r="H992" s="47" t="s">
        <v>411</v>
      </c>
      <c r="I992" s="48" t="s">
        <v>19</v>
      </c>
      <c r="J992" s="49">
        <v>2.08277272E8</v>
      </c>
    </row>
    <row r="993">
      <c r="A993" s="45" t="s">
        <v>74</v>
      </c>
      <c r="B993" s="16" t="s">
        <v>203</v>
      </c>
      <c r="C993" s="17" t="s">
        <v>204</v>
      </c>
      <c r="D993" s="15">
        <v>2.0</v>
      </c>
      <c r="E993" s="17" t="s">
        <v>463</v>
      </c>
      <c r="F993" s="15" t="s">
        <v>464</v>
      </c>
      <c r="G993" s="46" t="s">
        <v>520</v>
      </c>
      <c r="H993" s="47" t="s">
        <v>435</v>
      </c>
      <c r="I993" s="48" t="s">
        <v>37</v>
      </c>
      <c r="J993" s="49">
        <v>620244.0</v>
      </c>
    </row>
    <row r="994">
      <c r="A994" s="45" t="s">
        <v>74</v>
      </c>
      <c r="B994" s="16" t="s">
        <v>203</v>
      </c>
      <c r="C994" s="17" t="s">
        <v>204</v>
      </c>
      <c r="D994" s="15">
        <v>2.0</v>
      </c>
      <c r="E994" s="17" t="s">
        <v>463</v>
      </c>
      <c r="F994" s="15" t="s">
        <v>464</v>
      </c>
      <c r="G994" s="46" t="s">
        <v>465</v>
      </c>
      <c r="H994" s="47" t="s">
        <v>466</v>
      </c>
      <c r="I994" s="48" t="s">
        <v>25</v>
      </c>
      <c r="J994" s="49">
        <v>464000.0</v>
      </c>
    </row>
    <row r="995">
      <c r="A995" s="45" t="s">
        <v>74</v>
      </c>
      <c r="B995" s="16" t="s">
        <v>203</v>
      </c>
      <c r="C995" s="17" t="s">
        <v>204</v>
      </c>
      <c r="D995" s="15">
        <v>2.0</v>
      </c>
      <c r="E995" s="17" t="s">
        <v>463</v>
      </c>
      <c r="F995" s="15" t="s">
        <v>464</v>
      </c>
      <c r="G995" s="46" t="s">
        <v>458</v>
      </c>
      <c r="H995" s="47" t="s">
        <v>411</v>
      </c>
      <c r="I995" s="48" t="s">
        <v>19</v>
      </c>
      <c r="J995" s="49">
        <v>5551286.0</v>
      </c>
    </row>
    <row r="996">
      <c r="A996" s="45" t="s">
        <v>74</v>
      </c>
      <c r="B996" s="16" t="s">
        <v>203</v>
      </c>
      <c r="C996" s="17" t="s">
        <v>204</v>
      </c>
      <c r="D996" s="15">
        <v>2.0</v>
      </c>
      <c r="E996" s="17" t="s">
        <v>487</v>
      </c>
      <c r="F996" s="15" t="s">
        <v>488</v>
      </c>
      <c r="G996" s="46" t="s">
        <v>489</v>
      </c>
      <c r="H996" s="47" t="s">
        <v>490</v>
      </c>
      <c r="I996" s="48" t="s">
        <v>25</v>
      </c>
      <c r="J996" s="49">
        <v>120000.0</v>
      </c>
    </row>
    <row r="997">
      <c r="A997" s="45" t="s">
        <v>74</v>
      </c>
      <c r="B997" s="16" t="s">
        <v>203</v>
      </c>
      <c r="C997" s="17" t="s">
        <v>204</v>
      </c>
      <c r="D997" s="15">
        <v>2.0</v>
      </c>
      <c r="E997" s="17" t="s">
        <v>487</v>
      </c>
      <c r="F997" s="15" t="s">
        <v>488</v>
      </c>
      <c r="G997" s="46" t="s">
        <v>458</v>
      </c>
      <c r="H997" s="47" t="s">
        <v>411</v>
      </c>
      <c r="I997" s="48" t="s">
        <v>19</v>
      </c>
      <c r="J997" s="49">
        <v>0.0</v>
      </c>
    </row>
    <row r="998">
      <c r="A998" s="45" t="s">
        <v>74</v>
      </c>
      <c r="B998" s="16" t="s">
        <v>203</v>
      </c>
      <c r="C998" s="17" t="s">
        <v>204</v>
      </c>
      <c r="D998" s="15">
        <v>2.0</v>
      </c>
      <c r="E998" s="17" t="s">
        <v>469</v>
      </c>
      <c r="F998" s="15" t="s">
        <v>470</v>
      </c>
      <c r="G998" s="46" t="s">
        <v>471</v>
      </c>
      <c r="H998" s="47" t="s">
        <v>472</v>
      </c>
      <c r="I998" s="48" t="s">
        <v>25</v>
      </c>
      <c r="J998" s="49">
        <v>500000.0</v>
      </c>
    </row>
    <row r="999">
      <c r="A999" s="45" t="s">
        <v>74</v>
      </c>
      <c r="B999" s="16" t="s">
        <v>203</v>
      </c>
      <c r="C999" s="17" t="s">
        <v>204</v>
      </c>
      <c r="D999" s="15">
        <v>2.0</v>
      </c>
      <c r="E999" s="17" t="s">
        <v>473</v>
      </c>
      <c r="F999" s="15" t="s">
        <v>474</v>
      </c>
      <c r="G999" s="46" t="s">
        <v>554</v>
      </c>
      <c r="H999" s="47" t="s">
        <v>555</v>
      </c>
      <c r="I999" s="48" t="s">
        <v>17</v>
      </c>
      <c r="J999" s="49">
        <v>857857.0</v>
      </c>
    </row>
    <row r="1000">
      <c r="A1000" s="45" t="s">
        <v>74</v>
      </c>
      <c r="B1000" s="16" t="s">
        <v>203</v>
      </c>
      <c r="C1000" s="17" t="s">
        <v>204</v>
      </c>
      <c r="D1000" s="15">
        <v>2.0</v>
      </c>
      <c r="E1000" s="17" t="s">
        <v>473</v>
      </c>
      <c r="F1000" s="15" t="s">
        <v>474</v>
      </c>
      <c r="G1000" s="46" t="s">
        <v>554</v>
      </c>
      <c r="H1000" s="47" t="s">
        <v>555</v>
      </c>
      <c r="I1000" s="48" t="s">
        <v>25</v>
      </c>
      <c r="J1000" s="49">
        <v>-428928.0</v>
      </c>
    </row>
    <row r="1001">
      <c r="A1001" s="45" t="s">
        <v>74</v>
      </c>
      <c r="B1001" s="16" t="s">
        <v>203</v>
      </c>
      <c r="C1001" s="17" t="s">
        <v>204</v>
      </c>
      <c r="D1001" s="15">
        <v>2.0</v>
      </c>
      <c r="E1001" s="17" t="s">
        <v>473</v>
      </c>
      <c r="F1001" s="15" t="s">
        <v>474</v>
      </c>
      <c r="G1001" s="46" t="s">
        <v>523</v>
      </c>
      <c r="H1001" s="47" t="s">
        <v>431</v>
      </c>
      <c r="I1001" s="48" t="s">
        <v>17</v>
      </c>
      <c r="J1001" s="49">
        <v>1.43528356E8</v>
      </c>
    </row>
    <row r="1002">
      <c r="A1002" s="45" t="s">
        <v>74</v>
      </c>
      <c r="B1002" s="16" t="s">
        <v>203</v>
      </c>
      <c r="C1002" s="17" t="s">
        <v>204</v>
      </c>
      <c r="D1002" s="15">
        <v>2.0</v>
      </c>
      <c r="E1002" s="17" t="s">
        <v>473</v>
      </c>
      <c r="F1002" s="15" t="s">
        <v>474</v>
      </c>
      <c r="G1002" s="46" t="s">
        <v>523</v>
      </c>
      <c r="H1002" s="47" t="s">
        <v>431</v>
      </c>
      <c r="I1002" s="48" t="s">
        <v>25</v>
      </c>
      <c r="J1002" s="49">
        <v>-1.35191918E8</v>
      </c>
    </row>
    <row r="1003">
      <c r="A1003" s="45" t="s">
        <v>74</v>
      </c>
      <c r="B1003" s="16" t="s">
        <v>203</v>
      </c>
      <c r="C1003" s="17" t="s">
        <v>204</v>
      </c>
      <c r="D1003" s="15">
        <v>2.0</v>
      </c>
      <c r="E1003" s="17" t="s">
        <v>473</v>
      </c>
      <c r="F1003" s="15" t="s">
        <v>474</v>
      </c>
      <c r="G1003" s="46" t="s">
        <v>458</v>
      </c>
      <c r="H1003" s="47" t="s">
        <v>411</v>
      </c>
      <c r="I1003" s="48" t="s">
        <v>19</v>
      </c>
      <c r="J1003" s="49">
        <v>6.2710032E7</v>
      </c>
    </row>
    <row r="1004">
      <c r="A1004" s="45" t="s">
        <v>74</v>
      </c>
      <c r="B1004" s="16" t="s">
        <v>203</v>
      </c>
      <c r="C1004" s="17" t="s">
        <v>204</v>
      </c>
      <c r="D1004" s="15">
        <v>2.0</v>
      </c>
      <c r="E1004" s="17" t="s">
        <v>491</v>
      </c>
      <c r="F1004" s="15" t="s">
        <v>492</v>
      </c>
      <c r="G1004" s="46" t="s">
        <v>493</v>
      </c>
      <c r="H1004" s="47" t="s">
        <v>437</v>
      </c>
      <c r="I1004" s="48" t="s">
        <v>25</v>
      </c>
      <c r="J1004" s="49">
        <v>1.10287E7</v>
      </c>
    </row>
    <row r="1005">
      <c r="A1005" s="45" t="s">
        <v>74</v>
      </c>
      <c r="B1005" s="16" t="s">
        <v>203</v>
      </c>
      <c r="C1005" s="17" t="s">
        <v>204</v>
      </c>
      <c r="D1005" s="15">
        <v>2.0</v>
      </c>
      <c r="E1005" s="17" t="s">
        <v>491</v>
      </c>
      <c r="F1005" s="15" t="s">
        <v>492</v>
      </c>
      <c r="G1005" s="46" t="s">
        <v>458</v>
      </c>
      <c r="H1005" s="47" t="s">
        <v>411</v>
      </c>
      <c r="I1005" s="48" t="s">
        <v>19</v>
      </c>
      <c r="J1005" s="49">
        <v>1.1956616E7</v>
      </c>
    </row>
    <row r="1006">
      <c r="A1006" s="45" t="s">
        <v>74</v>
      </c>
      <c r="B1006" s="16" t="s">
        <v>203</v>
      </c>
      <c r="C1006" s="17" t="s">
        <v>204</v>
      </c>
      <c r="D1006" s="15">
        <v>2.0</v>
      </c>
      <c r="E1006" s="17" t="s">
        <v>475</v>
      </c>
      <c r="F1006" s="15" t="s">
        <v>476</v>
      </c>
      <c r="G1006" s="46" t="s">
        <v>458</v>
      </c>
      <c r="H1006" s="47" t="s">
        <v>411</v>
      </c>
      <c r="I1006" s="48" t="s">
        <v>19</v>
      </c>
      <c r="J1006" s="49">
        <v>0.0</v>
      </c>
    </row>
    <row r="1007">
      <c r="A1007" s="45" t="s">
        <v>74</v>
      </c>
      <c r="B1007" s="16" t="s">
        <v>203</v>
      </c>
      <c r="C1007" s="17" t="s">
        <v>204</v>
      </c>
      <c r="D1007" s="15">
        <v>2.0</v>
      </c>
      <c r="E1007" s="17" t="s">
        <v>475</v>
      </c>
      <c r="F1007" s="15" t="s">
        <v>476</v>
      </c>
      <c r="G1007" s="46" t="s">
        <v>477</v>
      </c>
      <c r="H1007" s="47" t="s">
        <v>429</v>
      </c>
      <c r="I1007" s="48" t="s">
        <v>50</v>
      </c>
      <c r="J1007" s="49">
        <v>2.9320048E7</v>
      </c>
    </row>
    <row r="1008">
      <c r="A1008" s="45" t="s">
        <v>74</v>
      </c>
      <c r="B1008" s="16" t="s">
        <v>203</v>
      </c>
      <c r="C1008" s="17" t="s">
        <v>204</v>
      </c>
      <c r="D1008" s="15">
        <v>2.0</v>
      </c>
      <c r="E1008" s="17" t="s">
        <v>524</v>
      </c>
      <c r="F1008" s="15" t="s">
        <v>479</v>
      </c>
      <c r="G1008" s="46" t="s">
        <v>443</v>
      </c>
      <c r="H1008" s="47" t="s">
        <v>420</v>
      </c>
      <c r="I1008" s="48" t="s">
        <v>19</v>
      </c>
      <c r="J1008" s="49">
        <v>7.4010685E7</v>
      </c>
    </row>
    <row r="1009">
      <c r="A1009" s="45" t="s">
        <v>74</v>
      </c>
      <c r="B1009" s="16" t="s">
        <v>203</v>
      </c>
      <c r="C1009" s="17" t="s">
        <v>204</v>
      </c>
      <c r="D1009" s="15">
        <v>2.0</v>
      </c>
      <c r="E1009" s="17" t="s">
        <v>524</v>
      </c>
      <c r="F1009" s="15" t="s">
        <v>479</v>
      </c>
      <c r="G1009" s="46" t="s">
        <v>444</v>
      </c>
      <c r="H1009" s="47" t="s">
        <v>445</v>
      </c>
      <c r="I1009" s="48" t="s">
        <v>19</v>
      </c>
      <c r="J1009" s="49">
        <v>3186104.0</v>
      </c>
    </row>
    <row r="1010">
      <c r="A1010" s="45" t="s">
        <v>74</v>
      </c>
      <c r="B1010" s="16" t="s">
        <v>203</v>
      </c>
      <c r="C1010" s="17" t="s">
        <v>204</v>
      </c>
      <c r="D1010" s="15">
        <v>2.0</v>
      </c>
      <c r="E1010" s="17" t="s">
        <v>524</v>
      </c>
      <c r="F1010" s="15" t="s">
        <v>479</v>
      </c>
      <c r="G1010" s="46" t="s">
        <v>446</v>
      </c>
      <c r="H1010" s="47" t="s">
        <v>447</v>
      </c>
      <c r="I1010" s="48" t="s">
        <v>19</v>
      </c>
      <c r="J1010" s="49">
        <v>854155.0</v>
      </c>
    </row>
    <row r="1011">
      <c r="A1011" s="45" t="s">
        <v>74</v>
      </c>
      <c r="B1011" s="16" t="s">
        <v>203</v>
      </c>
      <c r="C1011" s="17" t="s">
        <v>204</v>
      </c>
      <c r="D1011" s="15">
        <v>2.0</v>
      </c>
      <c r="E1011" s="17" t="s">
        <v>524</v>
      </c>
      <c r="F1011" s="15" t="s">
        <v>479</v>
      </c>
      <c r="G1011" s="46" t="s">
        <v>448</v>
      </c>
      <c r="H1011" s="47" t="s">
        <v>449</v>
      </c>
      <c r="I1011" s="48" t="s">
        <v>19</v>
      </c>
      <c r="J1011" s="49">
        <v>2552997.0</v>
      </c>
    </row>
    <row r="1012">
      <c r="A1012" s="45" t="s">
        <v>74</v>
      </c>
      <c r="B1012" s="16" t="s">
        <v>203</v>
      </c>
      <c r="C1012" s="17" t="s">
        <v>204</v>
      </c>
      <c r="D1012" s="15">
        <v>2.0</v>
      </c>
      <c r="E1012" s="17" t="s">
        <v>524</v>
      </c>
      <c r="F1012" s="15" t="s">
        <v>479</v>
      </c>
      <c r="G1012" s="46" t="s">
        <v>450</v>
      </c>
      <c r="H1012" s="47" t="s">
        <v>451</v>
      </c>
      <c r="I1012" s="48" t="s">
        <v>19</v>
      </c>
      <c r="J1012" s="49">
        <v>0.0</v>
      </c>
    </row>
    <row r="1013">
      <c r="A1013" s="45" t="s">
        <v>74</v>
      </c>
      <c r="B1013" s="16" t="s">
        <v>203</v>
      </c>
      <c r="C1013" s="17" t="s">
        <v>204</v>
      </c>
      <c r="D1013" s="15">
        <v>2.0</v>
      </c>
      <c r="E1013" s="17" t="s">
        <v>524</v>
      </c>
      <c r="F1013" s="15" t="s">
        <v>479</v>
      </c>
      <c r="G1013" s="46" t="s">
        <v>452</v>
      </c>
      <c r="H1013" s="47" t="s">
        <v>453</v>
      </c>
      <c r="I1013" s="48" t="s">
        <v>19</v>
      </c>
      <c r="J1013" s="49">
        <v>1580188.0</v>
      </c>
    </row>
    <row r="1014">
      <c r="A1014" s="45" t="s">
        <v>74</v>
      </c>
      <c r="B1014" s="16" t="s">
        <v>203</v>
      </c>
      <c r="C1014" s="17" t="s">
        <v>204</v>
      </c>
      <c r="D1014" s="15">
        <v>2.0</v>
      </c>
      <c r="E1014" s="17" t="s">
        <v>524</v>
      </c>
      <c r="F1014" s="15" t="s">
        <v>479</v>
      </c>
      <c r="G1014" s="46" t="s">
        <v>454</v>
      </c>
      <c r="H1014" s="47" t="s">
        <v>415</v>
      </c>
      <c r="I1014" s="48" t="s">
        <v>19</v>
      </c>
      <c r="J1014" s="49">
        <v>230622.0</v>
      </c>
    </row>
    <row r="1015">
      <c r="A1015" s="45" t="s">
        <v>74</v>
      </c>
      <c r="B1015" s="16" t="s">
        <v>203</v>
      </c>
      <c r="C1015" s="17" t="s">
        <v>204</v>
      </c>
      <c r="D1015" s="15">
        <v>2.0</v>
      </c>
      <c r="E1015" s="17" t="s">
        <v>524</v>
      </c>
      <c r="F1015" s="15" t="s">
        <v>479</v>
      </c>
      <c r="G1015" s="46" t="s">
        <v>455</v>
      </c>
      <c r="H1015" s="47" t="s">
        <v>415</v>
      </c>
      <c r="I1015" s="48" t="s">
        <v>19</v>
      </c>
      <c r="J1015" s="49">
        <v>128122.0</v>
      </c>
    </row>
    <row r="1016">
      <c r="A1016" s="45" t="s">
        <v>74</v>
      </c>
      <c r="B1016" s="16" t="s">
        <v>203</v>
      </c>
      <c r="C1016" s="17" t="s">
        <v>204</v>
      </c>
      <c r="D1016" s="15">
        <v>2.0</v>
      </c>
      <c r="E1016" s="17" t="s">
        <v>525</v>
      </c>
      <c r="F1016" s="15" t="s">
        <v>502</v>
      </c>
      <c r="G1016" s="46" t="s">
        <v>526</v>
      </c>
      <c r="H1016" s="47" t="s">
        <v>527</v>
      </c>
      <c r="I1016" s="48" t="s">
        <v>60</v>
      </c>
      <c r="J1016" s="49">
        <v>1.39650878E8</v>
      </c>
    </row>
    <row r="1017">
      <c r="A1017" s="45" t="s">
        <v>74</v>
      </c>
      <c r="B1017" s="16" t="s">
        <v>203</v>
      </c>
      <c r="C1017" s="17" t="s">
        <v>204</v>
      </c>
      <c r="D1017" s="15">
        <v>2.0</v>
      </c>
      <c r="E1017" s="17" t="s">
        <v>525</v>
      </c>
      <c r="F1017" s="15" t="s">
        <v>502</v>
      </c>
      <c r="G1017" s="46" t="s">
        <v>505</v>
      </c>
      <c r="H1017" s="47" t="s">
        <v>506</v>
      </c>
      <c r="I1017" s="48" t="s">
        <v>60</v>
      </c>
      <c r="J1017" s="49">
        <v>6647718.0</v>
      </c>
    </row>
    <row r="1018">
      <c r="A1018" s="45" t="s">
        <v>74</v>
      </c>
      <c r="B1018" s="16" t="s">
        <v>203</v>
      </c>
      <c r="C1018" s="17" t="s">
        <v>204</v>
      </c>
      <c r="D1018" s="15">
        <v>2.0</v>
      </c>
      <c r="E1018" s="17" t="s">
        <v>525</v>
      </c>
      <c r="F1018" s="15" t="s">
        <v>502</v>
      </c>
      <c r="G1018" s="46" t="s">
        <v>507</v>
      </c>
      <c r="H1018" s="47" t="s">
        <v>508</v>
      </c>
      <c r="I1018" s="48" t="s">
        <v>60</v>
      </c>
      <c r="J1018" s="49">
        <v>1130301.0</v>
      </c>
    </row>
    <row r="1019">
      <c r="A1019" s="45" t="s">
        <v>74</v>
      </c>
      <c r="B1019" s="16" t="s">
        <v>203</v>
      </c>
      <c r="C1019" s="17" t="s">
        <v>204</v>
      </c>
      <c r="D1019" s="15">
        <v>2.0</v>
      </c>
      <c r="E1019" s="17" t="s">
        <v>525</v>
      </c>
      <c r="F1019" s="15" t="s">
        <v>502</v>
      </c>
      <c r="G1019" s="46" t="s">
        <v>509</v>
      </c>
      <c r="H1019" s="47" t="s">
        <v>510</v>
      </c>
      <c r="I1019" s="48" t="s">
        <v>60</v>
      </c>
      <c r="J1019" s="49">
        <v>2065111.0</v>
      </c>
    </row>
    <row r="1020">
      <c r="A1020" s="45" t="s">
        <v>74</v>
      </c>
      <c r="B1020" s="16" t="s">
        <v>203</v>
      </c>
      <c r="C1020" s="17" t="s">
        <v>204</v>
      </c>
      <c r="D1020" s="15">
        <v>2.0</v>
      </c>
      <c r="E1020" s="17" t="s">
        <v>525</v>
      </c>
      <c r="F1020" s="15" t="s">
        <v>502</v>
      </c>
      <c r="G1020" s="46" t="s">
        <v>511</v>
      </c>
      <c r="H1020" s="47" t="s">
        <v>512</v>
      </c>
      <c r="I1020" s="48" t="s">
        <v>60</v>
      </c>
      <c r="J1020" s="49">
        <v>9.5889073E7</v>
      </c>
    </row>
    <row r="1021">
      <c r="A1021" s="45" t="s">
        <v>74</v>
      </c>
      <c r="B1021" s="16" t="s">
        <v>203</v>
      </c>
      <c r="C1021" s="17" t="s">
        <v>204</v>
      </c>
      <c r="D1021" s="15">
        <v>2.0</v>
      </c>
      <c r="E1021" s="17" t="s">
        <v>525</v>
      </c>
      <c r="F1021" s="15" t="s">
        <v>502</v>
      </c>
      <c r="G1021" s="46" t="s">
        <v>513</v>
      </c>
      <c r="H1021" s="47" t="s">
        <v>514</v>
      </c>
      <c r="I1021" s="48" t="s">
        <v>60</v>
      </c>
      <c r="J1021" s="49">
        <v>2182513.0</v>
      </c>
    </row>
    <row r="1022">
      <c r="A1022" s="45" t="s">
        <v>74</v>
      </c>
      <c r="B1022" s="16" t="s">
        <v>203</v>
      </c>
      <c r="C1022" s="17" t="s">
        <v>204</v>
      </c>
      <c r="D1022" s="15">
        <v>2.0</v>
      </c>
      <c r="E1022" s="17" t="s">
        <v>548</v>
      </c>
      <c r="F1022" s="15" t="s">
        <v>549</v>
      </c>
      <c r="G1022" s="46" t="s">
        <v>550</v>
      </c>
      <c r="H1022" s="47" t="s">
        <v>551</v>
      </c>
      <c r="I1022" s="48" t="s">
        <v>25</v>
      </c>
      <c r="J1022" s="49">
        <v>5.5392E7</v>
      </c>
    </row>
    <row r="1023">
      <c r="A1023" s="45" t="s">
        <v>74</v>
      </c>
      <c r="B1023" s="16" t="s">
        <v>212</v>
      </c>
      <c r="C1023" s="17" t="s">
        <v>213</v>
      </c>
      <c r="D1023" s="15">
        <v>2.0</v>
      </c>
      <c r="E1023" s="17" t="s">
        <v>441</v>
      </c>
      <c r="F1023" s="15" t="s">
        <v>442</v>
      </c>
      <c r="G1023" s="46" t="s">
        <v>443</v>
      </c>
      <c r="H1023" s="47" t="s">
        <v>420</v>
      </c>
      <c r="I1023" s="48" t="s">
        <v>19</v>
      </c>
      <c r="J1023" s="49">
        <v>4.4742442E7</v>
      </c>
    </row>
    <row r="1024">
      <c r="A1024" s="45" t="s">
        <v>74</v>
      </c>
      <c r="B1024" s="16" t="s">
        <v>212</v>
      </c>
      <c r="C1024" s="17" t="s">
        <v>213</v>
      </c>
      <c r="D1024" s="15">
        <v>2.0</v>
      </c>
      <c r="E1024" s="17" t="s">
        <v>441</v>
      </c>
      <c r="F1024" s="15" t="s">
        <v>442</v>
      </c>
      <c r="G1024" s="46" t="s">
        <v>444</v>
      </c>
      <c r="H1024" s="47" t="s">
        <v>445</v>
      </c>
      <c r="I1024" s="48" t="s">
        <v>19</v>
      </c>
      <c r="J1024" s="49">
        <v>3982731.0</v>
      </c>
    </row>
    <row r="1025">
      <c r="A1025" s="45" t="s">
        <v>74</v>
      </c>
      <c r="B1025" s="16" t="s">
        <v>212</v>
      </c>
      <c r="C1025" s="17" t="s">
        <v>213</v>
      </c>
      <c r="D1025" s="15">
        <v>2.0</v>
      </c>
      <c r="E1025" s="17" t="s">
        <v>441</v>
      </c>
      <c r="F1025" s="15" t="s">
        <v>442</v>
      </c>
      <c r="G1025" s="46" t="s">
        <v>446</v>
      </c>
      <c r="H1025" s="47" t="s">
        <v>447</v>
      </c>
      <c r="I1025" s="48" t="s">
        <v>19</v>
      </c>
      <c r="J1025" s="49">
        <v>502777.0</v>
      </c>
    </row>
    <row r="1026">
      <c r="A1026" s="45" t="s">
        <v>74</v>
      </c>
      <c r="B1026" s="16" t="s">
        <v>212</v>
      </c>
      <c r="C1026" s="17" t="s">
        <v>213</v>
      </c>
      <c r="D1026" s="15">
        <v>2.0</v>
      </c>
      <c r="E1026" s="17" t="s">
        <v>441</v>
      </c>
      <c r="F1026" s="15" t="s">
        <v>442</v>
      </c>
      <c r="G1026" s="46" t="s">
        <v>448</v>
      </c>
      <c r="H1026" s="47" t="s">
        <v>449</v>
      </c>
      <c r="I1026" s="48" t="s">
        <v>19</v>
      </c>
      <c r="J1026" s="49">
        <v>1530733.0</v>
      </c>
    </row>
    <row r="1027">
      <c r="A1027" s="45" t="s">
        <v>74</v>
      </c>
      <c r="B1027" s="16" t="s">
        <v>212</v>
      </c>
      <c r="C1027" s="17" t="s">
        <v>213</v>
      </c>
      <c r="D1027" s="15">
        <v>2.0</v>
      </c>
      <c r="E1027" s="17" t="s">
        <v>441</v>
      </c>
      <c r="F1027" s="15" t="s">
        <v>442</v>
      </c>
      <c r="G1027" s="46" t="s">
        <v>450</v>
      </c>
      <c r="H1027" s="47" t="s">
        <v>451</v>
      </c>
      <c r="I1027" s="48" t="s">
        <v>19</v>
      </c>
      <c r="J1027" s="49">
        <v>0.0</v>
      </c>
    </row>
    <row r="1028">
      <c r="A1028" s="45" t="s">
        <v>74</v>
      </c>
      <c r="B1028" s="16" t="s">
        <v>212</v>
      </c>
      <c r="C1028" s="17" t="s">
        <v>213</v>
      </c>
      <c r="D1028" s="15">
        <v>2.0</v>
      </c>
      <c r="E1028" s="17" t="s">
        <v>441</v>
      </c>
      <c r="F1028" s="15" t="s">
        <v>442</v>
      </c>
      <c r="G1028" s="46" t="s">
        <v>452</v>
      </c>
      <c r="H1028" s="47" t="s">
        <v>453</v>
      </c>
      <c r="I1028" s="48" t="s">
        <v>19</v>
      </c>
      <c r="J1028" s="49">
        <v>955528.0</v>
      </c>
    </row>
    <row r="1029">
      <c r="A1029" s="45" t="s">
        <v>74</v>
      </c>
      <c r="B1029" s="16" t="s">
        <v>212</v>
      </c>
      <c r="C1029" s="17" t="s">
        <v>213</v>
      </c>
      <c r="D1029" s="15">
        <v>2.0</v>
      </c>
      <c r="E1029" s="17" t="s">
        <v>441</v>
      </c>
      <c r="F1029" s="15" t="s">
        <v>442</v>
      </c>
      <c r="G1029" s="46" t="s">
        <v>454</v>
      </c>
      <c r="H1029" s="47" t="s">
        <v>415</v>
      </c>
      <c r="I1029" s="48" t="s">
        <v>19</v>
      </c>
      <c r="J1029" s="49">
        <v>139456.0</v>
      </c>
    </row>
    <row r="1030">
      <c r="A1030" s="45" t="s">
        <v>74</v>
      </c>
      <c r="B1030" s="16" t="s">
        <v>212</v>
      </c>
      <c r="C1030" s="17" t="s">
        <v>213</v>
      </c>
      <c r="D1030" s="15">
        <v>2.0</v>
      </c>
      <c r="E1030" s="17" t="s">
        <v>441</v>
      </c>
      <c r="F1030" s="15" t="s">
        <v>442</v>
      </c>
      <c r="G1030" s="46" t="s">
        <v>455</v>
      </c>
      <c r="H1030" s="47" t="s">
        <v>415</v>
      </c>
      <c r="I1030" s="48" t="s">
        <v>19</v>
      </c>
      <c r="J1030" s="49">
        <v>77475.0</v>
      </c>
    </row>
    <row r="1031">
      <c r="A1031" s="45" t="s">
        <v>74</v>
      </c>
      <c r="B1031" s="16" t="s">
        <v>212</v>
      </c>
      <c r="C1031" s="17" t="s">
        <v>213</v>
      </c>
      <c r="D1031" s="15">
        <v>2.0</v>
      </c>
      <c r="E1031" s="17" t="s">
        <v>456</v>
      </c>
      <c r="F1031" s="15" t="s">
        <v>457</v>
      </c>
      <c r="G1031" s="46" t="s">
        <v>515</v>
      </c>
      <c r="H1031" s="47" t="s">
        <v>413</v>
      </c>
      <c r="I1031" s="48" t="s">
        <v>19</v>
      </c>
      <c r="J1031" s="49">
        <v>4300000.0</v>
      </c>
    </row>
    <row r="1032">
      <c r="A1032" s="45" t="s">
        <v>74</v>
      </c>
      <c r="B1032" s="16" t="s">
        <v>212</v>
      </c>
      <c r="C1032" s="17" t="s">
        <v>213</v>
      </c>
      <c r="D1032" s="15">
        <v>2.0</v>
      </c>
      <c r="E1032" s="17" t="s">
        <v>456</v>
      </c>
      <c r="F1032" s="15" t="s">
        <v>457</v>
      </c>
      <c r="G1032" s="46" t="s">
        <v>458</v>
      </c>
      <c r="H1032" s="47" t="s">
        <v>411</v>
      </c>
      <c r="I1032" s="48" t="s">
        <v>19</v>
      </c>
      <c r="J1032" s="49">
        <v>1.64874712E8</v>
      </c>
    </row>
    <row r="1033">
      <c r="A1033" s="45" t="s">
        <v>74</v>
      </c>
      <c r="B1033" s="16" t="s">
        <v>212</v>
      </c>
      <c r="C1033" s="17" t="s">
        <v>213</v>
      </c>
      <c r="D1033" s="15">
        <v>2.0</v>
      </c>
      <c r="E1033" s="17" t="s">
        <v>482</v>
      </c>
      <c r="F1033" s="15" t="s">
        <v>483</v>
      </c>
      <c r="G1033" s="46" t="s">
        <v>465</v>
      </c>
      <c r="H1033" s="47" t="s">
        <v>466</v>
      </c>
      <c r="I1033" s="48" t="s">
        <v>25</v>
      </c>
      <c r="J1033" s="49">
        <v>1130000.0</v>
      </c>
    </row>
    <row r="1034">
      <c r="A1034" s="45" t="s">
        <v>74</v>
      </c>
      <c r="B1034" s="16" t="s">
        <v>212</v>
      </c>
      <c r="C1034" s="17" t="s">
        <v>213</v>
      </c>
      <c r="D1034" s="15">
        <v>2.0</v>
      </c>
      <c r="E1034" s="17" t="s">
        <v>482</v>
      </c>
      <c r="F1034" s="15" t="s">
        <v>483</v>
      </c>
      <c r="G1034" s="46" t="s">
        <v>486</v>
      </c>
      <c r="H1034" s="47" t="s">
        <v>432</v>
      </c>
      <c r="I1034" s="48" t="s">
        <v>37</v>
      </c>
      <c r="J1034" s="49">
        <v>471739.0</v>
      </c>
    </row>
    <row r="1035">
      <c r="A1035" s="45" t="s">
        <v>74</v>
      </c>
      <c r="B1035" s="16" t="s">
        <v>212</v>
      </c>
      <c r="C1035" s="17" t="s">
        <v>213</v>
      </c>
      <c r="D1035" s="15">
        <v>2.0</v>
      </c>
      <c r="E1035" s="17" t="s">
        <v>459</v>
      </c>
      <c r="F1035" s="15" t="s">
        <v>460</v>
      </c>
      <c r="G1035" s="46" t="s">
        <v>458</v>
      </c>
      <c r="H1035" s="47" t="s">
        <v>411</v>
      </c>
      <c r="I1035" s="48" t="s">
        <v>19</v>
      </c>
      <c r="J1035" s="49">
        <v>6307292.0</v>
      </c>
    </row>
    <row r="1036">
      <c r="A1036" s="45" t="s">
        <v>74</v>
      </c>
      <c r="B1036" s="16" t="s">
        <v>212</v>
      </c>
      <c r="C1036" s="17" t="s">
        <v>213</v>
      </c>
      <c r="D1036" s="15">
        <v>2.0</v>
      </c>
      <c r="E1036" s="17" t="s">
        <v>459</v>
      </c>
      <c r="F1036" s="15" t="s">
        <v>460</v>
      </c>
      <c r="G1036" s="46" t="s">
        <v>486</v>
      </c>
      <c r="H1036" s="47" t="s">
        <v>432</v>
      </c>
      <c r="I1036" s="48" t="s">
        <v>37</v>
      </c>
      <c r="J1036" s="49">
        <v>3865952.0</v>
      </c>
    </row>
    <row r="1037">
      <c r="A1037" s="45" t="s">
        <v>74</v>
      </c>
      <c r="B1037" s="16" t="s">
        <v>212</v>
      </c>
      <c r="C1037" s="17" t="s">
        <v>213</v>
      </c>
      <c r="D1037" s="15">
        <v>2.0</v>
      </c>
      <c r="E1037" s="17" t="s">
        <v>463</v>
      </c>
      <c r="F1037" s="15" t="s">
        <v>464</v>
      </c>
      <c r="G1037" s="46" t="s">
        <v>465</v>
      </c>
      <c r="H1037" s="47" t="s">
        <v>466</v>
      </c>
      <c r="I1037" s="48" t="s">
        <v>25</v>
      </c>
      <c r="J1037" s="49">
        <v>285000.0</v>
      </c>
    </row>
    <row r="1038">
      <c r="A1038" s="45" t="s">
        <v>74</v>
      </c>
      <c r="B1038" s="16" t="s">
        <v>212</v>
      </c>
      <c r="C1038" s="17" t="s">
        <v>213</v>
      </c>
      <c r="D1038" s="15">
        <v>2.0</v>
      </c>
      <c r="E1038" s="17" t="s">
        <v>463</v>
      </c>
      <c r="F1038" s="15" t="s">
        <v>464</v>
      </c>
      <c r="G1038" s="46" t="s">
        <v>458</v>
      </c>
      <c r="H1038" s="47" t="s">
        <v>411</v>
      </c>
      <c r="I1038" s="48" t="s">
        <v>19</v>
      </c>
      <c r="J1038" s="49">
        <v>2.440926E7</v>
      </c>
    </row>
    <row r="1039">
      <c r="A1039" s="45" t="s">
        <v>74</v>
      </c>
      <c r="B1039" s="16" t="s">
        <v>212</v>
      </c>
      <c r="C1039" s="17" t="s">
        <v>213</v>
      </c>
      <c r="D1039" s="15">
        <v>2.0</v>
      </c>
      <c r="E1039" s="17" t="s">
        <v>463</v>
      </c>
      <c r="F1039" s="15" t="s">
        <v>464</v>
      </c>
      <c r="G1039" s="46" t="s">
        <v>477</v>
      </c>
      <c r="H1039" s="47" t="s">
        <v>429</v>
      </c>
      <c r="I1039" s="48" t="s">
        <v>50</v>
      </c>
      <c r="J1039" s="49">
        <v>919328.0</v>
      </c>
    </row>
    <row r="1040">
      <c r="A1040" s="45" t="s">
        <v>74</v>
      </c>
      <c r="B1040" s="16" t="s">
        <v>212</v>
      </c>
      <c r="C1040" s="17" t="s">
        <v>213</v>
      </c>
      <c r="D1040" s="15">
        <v>2.0</v>
      </c>
      <c r="E1040" s="17" t="s">
        <v>487</v>
      </c>
      <c r="F1040" s="15" t="s">
        <v>488</v>
      </c>
      <c r="G1040" s="46" t="s">
        <v>489</v>
      </c>
      <c r="H1040" s="47" t="s">
        <v>490</v>
      </c>
      <c r="I1040" s="48" t="s">
        <v>25</v>
      </c>
      <c r="J1040" s="49">
        <v>1120000.0</v>
      </c>
    </row>
    <row r="1041">
      <c r="A1041" s="45" t="s">
        <v>74</v>
      </c>
      <c r="B1041" s="16" t="s">
        <v>212</v>
      </c>
      <c r="C1041" s="17" t="s">
        <v>213</v>
      </c>
      <c r="D1041" s="15">
        <v>2.0</v>
      </c>
      <c r="E1041" s="17" t="s">
        <v>487</v>
      </c>
      <c r="F1041" s="15" t="s">
        <v>488</v>
      </c>
      <c r="G1041" s="46" t="s">
        <v>554</v>
      </c>
      <c r="H1041" s="47" t="s">
        <v>555</v>
      </c>
      <c r="I1041" s="48" t="s">
        <v>17</v>
      </c>
      <c r="J1041" s="49">
        <v>2.1403659E7</v>
      </c>
    </row>
    <row r="1042">
      <c r="A1042" s="45" t="s">
        <v>74</v>
      </c>
      <c r="B1042" s="16" t="s">
        <v>212</v>
      </c>
      <c r="C1042" s="17" t="s">
        <v>213</v>
      </c>
      <c r="D1042" s="15">
        <v>2.0</v>
      </c>
      <c r="E1042" s="17" t="s">
        <v>487</v>
      </c>
      <c r="F1042" s="15" t="s">
        <v>488</v>
      </c>
      <c r="G1042" s="46" t="s">
        <v>554</v>
      </c>
      <c r="H1042" s="47" t="s">
        <v>555</v>
      </c>
      <c r="I1042" s="48" t="s">
        <v>25</v>
      </c>
      <c r="J1042" s="49">
        <v>-2.1403659E7</v>
      </c>
    </row>
    <row r="1043">
      <c r="A1043" s="45" t="s">
        <v>74</v>
      </c>
      <c r="B1043" s="16" t="s">
        <v>212</v>
      </c>
      <c r="C1043" s="17" t="s">
        <v>213</v>
      </c>
      <c r="D1043" s="15">
        <v>2.0</v>
      </c>
      <c r="E1043" s="17" t="s">
        <v>487</v>
      </c>
      <c r="F1043" s="15" t="s">
        <v>488</v>
      </c>
      <c r="G1043" s="46" t="s">
        <v>458</v>
      </c>
      <c r="H1043" s="47" t="s">
        <v>411</v>
      </c>
      <c r="I1043" s="48" t="s">
        <v>19</v>
      </c>
      <c r="J1043" s="49">
        <v>2.046913E7</v>
      </c>
    </row>
    <row r="1044">
      <c r="A1044" s="45" t="s">
        <v>74</v>
      </c>
      <c r="B1044" s="16" t="s">
        <v>212</v>
      </c>
      <c r="C1044" s="17" t="s">
        <v>213</v>
      </c>
      <c r="D1044" s="15">
        <v>2.0</v>
      </c>
      <c r="E1044" s="17" t="s">
        <v>487</v>
      </c>
      <c r="F1044" s="15" t="s">
        <v>488</v>
      </c>
      <c r="G1044" s="46" t="s">
        <v>477</v>
      </c>
      <c r="H1044" s="47" t="s">
        <v>429</v>
      </c>
      <c r="I1044" s="48" t="s">
        <v>50</v>
      </c>
      <c r="J1044" s="49">
        <v>1127708.0</v>
      </c>
    </row>
    <row r="1045">
      <c r="A1045" s="45" t="s">
        <v>74</v>
      </c>
      <c r="B1045" s="16" t="s">
        <v>212</v>
      </c>
      <c r="C1045" s="17" t="s">
        <v>213</v>
      </c>
      <c r="D1045" s="15">
        <v>2.0</v>
      </c>
      <c r="E1045" s="17" t="s">
        <v>556</v>
      </c>
      <c r="F1045" s="15" t="s">
        <v>557</v>
      </c>
      <c r="G1045" s="46" t="s">
        <v>544</v>
      </c>
      <c r="H1045" s="47" t="s">
        <v>421</v>
      </c>
      <c r="I1045" s="48" t="s">
        <v>25</v>
      </c>
      <c r="J1045" s="49">
        <v>900000.0</v>
      </c>
    </row>
    <row r="1046">
      <c r="A1046" s="45" t="s">
        <v>74</v>
      </c>
      <c r="B1046" s="16" t="s">
        <v>212</v>
      </c>
      <c r="C1046" s="17" t="s">
        <v>213</v>
      </c>
      <c r="D1046" s="15">
        <v>2.0</v>
      </c>
      <c r="E1046" s="17" t="s">
        <v>469</v>
      </c>
      <c r="F1046" s="15" t="s">
        <v>470</v>
      </c>
      <c r="G1046" s="46" t="s">
        <v>558</v>
      </c>
      <c r="H1046" s="47" t="s">
        <v>559</v>
      </c>
      <c r="I1046" s="48" t="s">
        <v>25</v>
      </c>
      <c r="J1046" s="49">
        <v>0.0</v>
      </c>
    </row>
    <row r="1047">
      <c r="A1047" s="45" t="s">
        <v>74</v>
      </c>
      <c r="B1047" s="16" t="s">
        <v>212</v>
      </c>
      <c r="C1047" s="17" t="s">
        <v>213</v>
      </c>
      <c r="D1047" s="15">
        <v>2.0</v>
      </c>
      <c r="E1047" s="17" t="s">
        <v>469</v>
      </c>
      <c r="F1047" s="15" t="s">
        <v>470</v>
      </c>
      <c r="G1047" s="46" t="s">
        <v>516</v>
      </c>
      <c r="H1047" s="47" t="s">
        <v>436</v>
      </c>
      <c r="I1047" s="48" t="s">
        <v>25</v>
      </c>
      <c r="J1047" s="49">
        <v>182000.0</v>
      </c>
    </row>
    <row r="1048">
      <c r="A1048" s="45" t="s">
        <v>74</v>
      </c>
      <c r="B1048" s="16" t="s">
        <v>212</v>
      </c>
      <c r="C1048" s="17" t="s">
        <v>213</v>
      </c>
      <c r="D1048" s="15">
        <v>2.0</v>
      </c>
      <c r="E1048" s="17" t="s">
        <v>469</v>
      </c>
      <c r="F1048" s="15" t="s">
        <v>470</v>
      </c>
      <c r="G1048" s="46" t="s">
        <v>517</v>
      </c>
      <c r="H1048" s="47" t="s">
        <v>518</v>
      </c>
      <c r="I1048" s="48" t="s">
        <v>25</v>
      </c>
      <c r="J1048" s="49">
        <v>2000000.0</v>
      </c>
    </row>
    <row r="1049">
      <c r="A1049" s="45" t="s">
        <v>74</v>
      </c>
      <c r="B1049" s="16" t="s">
        <v>212</v>
      </c>
      <c r="C1049" s="17" t="s">
        <v>213</v>
      </c>
      <c r="D1049" s="15">
        <v>2.0</v>
      </c>
      <c r="E1049" s="17" t="s">
        <v>469</v>
      </c>
      <c r="F1049" s="15" t="s">
        <v>470</v>
      </c>
      <c r="G1049" s="46" t="s">
        <v>471</v>
      </c>
      <c r="H1049" s="47" t="s">
        <v>472</v>
      </c>
      <c r="I1049" s="48" t="s">
        <v>25</v>
      </c>
      <c r="J1049" s="49">
        <v>580200.0</v>
      </c>
    </row>
    <row r="1050">
      <c r="A1050" s="45" t="s">
        <v>74</v>
      </c>
      <c r="B1050" s="16" t="s">
        <v>212</v>
      </c>
      <c r="C1050" s="17" t="s">
        <v>213</v>
      </c>
      <c r="D1050" s="15">
        <v>2.0</v>
      </c>
      <c r="E1050" s="17" t="s">
        <v>473</v>
      </c>
      <c r="F1050" s="15" t="s">
        <v>474</v>
      </c>
      <c r="G1050" s="46" t="s">
        <v>523</v>
      </c>
      <c r="H1050" s="47" t="s">
        <v>431</v>
      </c>
      <c r="I1050" s="48" t="s">
        <v>17</v>
      </c>
      <c r="J1050" s="49">
        <v>1.52179468E8</v>
      </c>
    </row>
    <row r="1051">
      <c r="A1051" s="45" t="s">
        <v>74</v>
      </c>
      <c r="B1051" s="16" t="s">
        <v>212</v>
      </c>
      <c r="C1051" s="17" t="s">
        <v>213</v>
      </c>
      <c r="D1051" s="15">
        <v>2.0</v>
      </c>
      <c r="E1051" s="17" t="s">
        <v>473</v>
      </c>
      <c r="F1051" s="15" t="s">
        <v>474</v>
      </c>
      <c r="G1051" s="46" t="s">
        <v>523</v>
      </c>
      <c r="H1051" s="47" t="s">
        <v>431</v>
      </c>
      <c r="I1051" s="48" t="s">
        <v>25</v>
      </c>
      <c r="J1051" s="49">
        <v>-1.18313211E8</v>
      </c>
    </row>
    <row r="1052">
      <c r="A1052" s="45" t="s">
        <v>74</v>
      </c>
      <c r="B1052" s="16" t="s">
        <v>212</v>
      </c>
      <c r="C1052" s="17" t="s">
        <v>213</v>
      </c>
      <c r="D1052" s="15">
        <v>2.0</v>
      </c>
      <c r="E1052" s="17" t="s">
        <v>473</v>
      </c>
      <c r="F1052" s="15" t="s">
        <v>474</v>
      </c>
      <c r="G1052" s="46" t="s">
        <v>458</v>
      </c>
      <c r="H1052" s="47" t="s">
        <v>411</v>
      </c>
      <c r="I1052" s="48" t="s">
        <v>19</v>
      </c>
      <c r="J1052" s="49">
        <v>5.0038128E7</v>
      </c>
    </row>
    <row r="1053">
      <c r="A1053" s="45" t="s">
        <v>74</v>
      </c>
      <c r="B1053" s="16" t="s">
        <v>212</v>
      </c>
      <c r="C1053" s="17" t="s">
        <v>213</v>
      </c>
      <c r="D1053" s="15">
        <v>2.0</v>
      </c>
      <c r="E1053" s="17" t="s">
        <v>491</v>
      </c>
      <c r="F1053" s="15" t="s">
        <v>492</v>
      </c>
      <c r="G1053" s="46" t="s">
        <v>545</v>
      </c>
      <c r="H1053" s="47" t="s">
        <v>427</v>
      </c>
      <c r="I1053" s="48" t="s">
        <v>37</v>
      </c>
      <c r="J1053" s="49">
        <v>4.1547783E7</v>
      </c>
    </row>
    <row r="1054">
      <c r="A1054" s="45" t="s">
        <v>74</v>
      </c>
      <c r="B1054" s="16" t="s">
        <v>212</v>
      </c>
      <c r="C1054" s="17" t="s">
        <v>213</v>
      </c>
      <c r="D1054" s="15">
        <v>2.0</v>
      </c>
      <c r="E1054" s="17" t="s">
        <v>491</v>
      </c>
      <c r="F1054" s="15" t="s">
        <v>492</v>
      </c>
      <c r="G1054" s="46" t="s">
        <v>543</v>
      </c>
      <c r="H1054" s="47" t="s">
        <v>430</v>
      </c>
      <c r="I1054" s="48" t="s">
        <v>37</v>
      </c>
      <c r="J1054" s="49">
        <v>90000.0</v>
      </c>
    </row>
    <row r="1055">
      <c r="A1055" s="45" t="s">
        <v>74</v>
      </c>
      <c r="B1055" s="16" t="s">
        <v>212</v>
      </c>
      <c r="C1055" s="17" t="s">
        <v>213</v>
      </c>
      <c r="D1055" s="15">
        <v>2.0</v>
      </c>
      <c r="E1055" s="17" t="s">
        <v>491</v>
      </c>
      <c r="F1055" s="15" t="s">
        <v>492</v>
      </c>
      <c r="G1055" s="46" t="s">
        <v>521</v>
      </c>
      <c r="H1055" s="47" t="s">
        <v>522</v>
      </c>
      <c r="I1055" s="48" t="s">
        <v>37</v>
      </c>
      <c r="J1055" s="49">
        <v>1273836.0</v>
      </c>
    </row>
    <row r="1056">
      <c r="A1056" s="45" t="s">
        <v>74</v>
      </c>
      <c r="B1056" s="16" t="s">
        <v>212</v>
      </c>
      <c r="C1056" s="17" t="s">
        <v>213</v>
      </c>
      <c r="D1056" s="15">
        <v>2.0</v>
      </c>
      <c r="E1056" s="17" t="s">
        <v>491</v>
      </c>
      <c r="F1056" s="15" t="s">
        <v>492</v>
      </c>
      <c r="G1056" s="46" t="s">
        <v>493</v>
      </c>
      <c r="H1056" s="47" t="s">
        <v>437</v>
      </c>
      <c r="I1056" s="48" t="s">
        <v>25</v>
      </c>
      <c r="J1056" s="49">
        <v>9808087.0</v>
      </c>
    </row>
    <row r="1057">
      <c r="A1057" s="45" t="s">
        <v>74</v>
      </c>
      <c r="B1057" s="16" t="s">
        <v>212</v>
      </c>
      <c r="C1057" s="17" t="s">
        <v>213</v>
      </c>
      <c r="D1057" s="15">
        <v>2.0</v>
      </c>
      <c r="E1057" s="17" t="s">
        <v>475</v>
      </c>
      <c r="F1057" s="15" t="s">
        <v>476</v>
      </c>
      <c r="G1057" s="46" t="s">
        <v>498</v>
      </c>
      <c r="H1057" s="47" t="s">
        <v>434</v>
      </c>
      <c r="I1057" s="48" t="s">
        <v>25</v>
      </c>
      <c r="J1057" s="49">
        <v>1278000.0</v>
      </c>
    </row>
    <row r="1058">
      <c r="A1058" s="45" t="s">
        <v>74</v>
      </c>
      <c r="B1058" s="16" t="s">
        <v>212</v>
      </c>
      <c r="C1058" s="17" t="s">
        <v>213</v>
      </c>
      <c r="D1058" s="15">
        <v>2.0</v>
      </c>
      <c r="E1058" s="17" t="s">
        <v>475</v>
      </c>
      <c r="F1058" s="15" t="s">
        <v>476</v>
      </c>
      <c r="G1058" s="46" t="s">
        <v>477</v>
      </c>
      <c r="H1058" s="47" t="s">
        <v>429</v>
      </c>
      <c r="I1058" s="48" t="s">
        <v>50</v>
      </c>
      <c r="J1058" s="49">
        <v>2.3295472E7</v>
      </c>
    </row>
    <row r="1059">
      <c r="A1059" s="45" t="s">
        <v>74</v>
      </c>
      <c r="B1059" s="16" t="s">
        <v>212</v>
      </c>
      <c r="C1059" s="17" t="s">
        <v>213</v>
      </c>
      <c r="D1059" s="15">
        <v>2.0</v>
      </c>
      <c r="E1059" s="17" t="s">
        <v>524</v>
      </c>
      <c r="F1059" s="15" t="s">
        <v>479</v>
      </c>
      <c r="G1059" s="46" t="s">
        <v>443</v>
      </c>
      <c r="H1059" s="47" t="s">
        <v>420</v>
      </c>
      <c r="I1059" s="48" t="s">
        <v>19</v>
      </c>
      <c r="J1059" s="49">
        <v>9.8458316E7</v>
      </c>
    </row>
    <row r="1060">
      <c r="A1060" s="45" t="s">
        <v>74</v>
      </c>
      <c r="B1060" s="16" t="s">
        <v>212</v>
      </c>
      <c r="C1060" s="17" t="s">
        <v>213</v>
      </c>
      <c r="D1060" s="15">
        <v>2.0</v>
      </c>
      <c r="E1060" s="17" t="s">
        <v>524</v>
      </c>
      <c r="F1060" s="15" t="s">
        <v>479</v>
      </c>
      <c r="G1060" s="46" t="s">
        <v>444</v>
      </c>
      <c r="H1060" s="47" t="s">
        <v>445</v>
      </c>
      <c r="I1060" s="48" t="s">
        <v>19</v>
      </c>
      <c r="J1060" s="49">
        <v>4221193.0</v>
      </c>
    </row>
    <row r="1061">
      <c r="A1061" s="45" t="s">
        <v>74</v>
      </c>
      <c r="B1061" s="16" t="s">
        <v>212</v>
      </c>
      <c r="C1061" s="17" t="s">
        <v>213</v>
      </c>
      <c r="D1061" s="15">
        <v>2.0</v>
      </c>
      <c r="E1061" s="17" t="s">
        <v>524</v>
      </c>
      <c r="F1061" s="15" t="s">
        <v>479</v>
      </c>
      <c r="G1061" s="46" t="s">
        <v>446</v>
      </c>
      <c r="H1061" s="47" t="s">
        <v>447</v>
      </c>
      <c r="I1061" s="48" t="s">
        <v>19</v>
      </c>
      <c r="J1061" s="49">
        <v>1099680.0</v>
      </c>
    </row>
    <row r="1062">
      <c r="A1062" s="45" t="s">
        <v>74</v>
      </c>
      <c r="B1062" s="16" t="s">
        <v>212</v>
      </c>
      <c r="C1062" s="17" t="s">
        <v>213</v>
      </c>
      <c r="D1062" s="15">
        <v>2.0</v>
      </c>
      <c r="E1062" s="17" t="s">
        <v>524</v>
      </c>
      <c r="F1062" s="15" t="s">
        <v>479</v>
      </c>
      <c r="G1062" s="46" t="s">
        <v>448</v>
      </c>
      <c r="H1062" s="47" t="s">
        <v>449</v>
      </c>
      <c r="I1062" s="48" t="s">
        <v>19</v>
      </c>
      <c r="J1062" s="49">
        <v>3259073.0</v>
      </c>
    </row>
    <row r="1063">
      <c r="A1063" s="45" t="s">
        <v>74</v>
      </c>
      <c r="B1063" s="16" t="s">
        <v>212</v>
      </c>
      <c r="C1063" s="17" t="s">
        <v>213</v>
      </c>
      <c r="D1063" s="15">
        <v>2.0</v>
      </c>
      <c r="E1063" s="17" t="s">
        <v>524</v>
      </c>
      <c r="F1063" s="15" t="s">
        <v>479</v>
      </c>
      <c r="G1063" s="46" t="s">
        <v>450</v>
      </c>
      <c r="H1063" s="47" t="s">
        <v>451</v>
      </c>
      <c r="I1063" s="48" t="s">
        <v>19</v>
      </c>
      <c r="J1063" s="49">
        <v>0.0</v>
      </c>
    </row>
    <row r="1064">
      <c r="A1064" s="45" t="s">
        <v>74</v>
      </c>
      <c r="B1064" s="16" t="s">
        <v>212</v>
      </c>
      <c r="C1064" s="17" t="s">
        <v>213</v>
      </c>
      <c r="D1064" s="15">
        <v>2.0</v>
      </c>
      <c r="E1064" s="17" t="s">
        <v>524</v>
      </c>
      <c r="F1064" s="15" t="s">
        <v>479</v>
      </c>
      <c r="G1064" s="46" t="s">
        <v>452</v>
      </c>
      <c r="H1064" s="47" t="s">
        <v>453</v>
      </c>
      <c r="I1064" s="48" t="s">
        <v>19</v>
      </c>
      <c r="J1064" s="49">
        <v>2034407.0</v>
      </c>
    </row>
    <row r="1065">
      <c r="A1065" s="45" t="s">
        <v>74</v>
      </c>
      <c r="B1065" s="16" t="s">
        <v>212</v>
      </c>
      <c r="C1065" s="17" t="s">
        <v>213</v>
      </c>
      <c r="D1065" s="15">
        <v>2.0</v>
      </c>
      <c r="E1065" s="17" t="s">
        <v>524</v>
      </c>
      <c r="F1065" s="15" t="s">
        <v>479</v>
      </c>
      <c r="G1065" s="46" t="s">
        <v>454</v>
      </c>
      <c r="H1065" s="47" t="s">
        <v>415</v>
      </c>
      <c r="I1065" s="48" t="s">
        <v>19</v>
      </c>
      <c r="J1065" s="49">
        <v>296913.0</v>
      </c>
    </row>
    <row r="1066">
      <c r="A1066" s="45" t="s">
        <v>74</v>
      </c>
      <c r="B1066" s="16" t="s">
        <v>212</v>
      </c>
      <c r="C1066" s="17" t="s">
        <v>213</v>
      </c>
      <c r="D1066" s="15">
        <v>2.0</v>
      </c>
      <c r="E1066" s="17" t="s">
        <v>524</v>
      </c>
      <c r="F1066" s="15" t="s">
        <v>479</v>
      </c>
      <c r="G1066" s="46" t="s">
        <v>455</v>
      </c>
      <c r="H1066" s="47" t="s">
        <v>415</v>
      </c>
      <c r="I1066" s="48" t="s">
        <v>19</v>
      </c>
      <c r="J1066" s="49">
        <v>164952.0</v>
      </c>
    </row>
    <row r="1067">
      <c r="A1067" s="45" t="s">
        <v>74</v>
      </c>
      <c r="B1067" s="16" t="s">
        <v>212</v>
      </c>
      <c r="C1067" s="17" t="s">
        <v>213</v>
      </c>
      <c r="D1067" s="15">
        <v>2.0</v>
      </c>
      <c r="E1067" s="17" t="s">
        <v>524</v>
      </c>
      <c r="F1067" s="15" t="s">
        <v>479</v>
      </c>
      <c r="G1067" s="46" t="s">
        <v>499</v>
      </c>
      <c r="H1067" s="47" t="s">
        <v>500</v>
      </c>
      <c r="I1067" s="48" t="s">
        <v>19</v>
      </c>
      <c r="J1067" s="49">
        <v>5191711.0</v>
      </c>
    </row>
    <row r="1068">
      <c r="A1068" s="45" t="s">
        <v>74</v>
      </c>
      <c r="B1068" s="16" t="s">
        <v>212</v>
      </c>
      <c r="C1068" s="17" t="s">
        <v>213</v>
      </c>
      <c r="D1068" s="15">
        <v>2.0</v>
      </c>
      <c r="E1068" s="17" t="s">
        <v>525</v>
      </c>
      <c r="F1068" s="15" t="s">
        <v>502</v>
      </c>
      <c r="G1068" s="46" t="s">
        <v>526</v>
      </c>
      <c r="H1068" s="47" t="s">
        <v>527</v>
      </c>
      <c r="I1068" s="48" t="s">
        <v>60</v>
      </c>
      <c r="J1068" s="49">
        <v>8.8449166E7</v>
      </c>
    </row>
    <row r="1069">
      <c r="A1069" s="45" t="s">
        <v>74</v>
      </c>
      <c r="B1069" s="16" t="s">
        <v>212</v>
      </c>
      <c r="C1069" s="17" t="s">
        <v>213</v>
      </c>
      <c r="D1069" s="15">
        <v>2.0</v>
      </c>
      <c r="E1069" s="17" t="s">
        <v>525</v>
      </c>
      <c r="F1069" s="15" t="s">
        <v>502</v>
      </c>
      <c r="G1069" s="46" t="s">
        <v>539</v>
      </c>
      <c r="H1069" s="47" t="s">
        <v>540</v>
      </c>
      <c r="I1069" s="48" t="s">
        <v>60</v>
      </c>
      <c r="J1069" s="49">
        <v>4700200.0</v>
      </c>
    </row>
    <row r="1070">
      <c r="A1070" s="45" t="s">
        <v>74</v>
      </c>
      <c r="B1070" s="16" t="s">
        <v>212</v>
      </c>
      <c r="C1070" s="17" t="s">
        <v>213</v>
      </c>
      <c r="D1070" s="15">
        <v>2.0</v>
      </c>
      <c r="E1070" s="17" t="s">
        <v>525</v>
      </c>
      <c r="F1070" s="15" t="s">
        <v>502</v>
      </c>
      <c r="G1070" s="46" t="s">
        <v>505</v>
      </c>
      <c r="H1070" s="47" t="s">
        <v>506</v>
      </c>
      <c r="I1070" s="48" t="s">
        <v>60</v>
      </c>
      <c r="J1070" s="49">
        <v>1.6311643E7</v>
      </c>
    </row>
    <row r="1071">
      <c r="A1071" s="45" t="s">
        <v>74</v>
      </c>
      <c r="B1071" s="16" t="s">
        <v>212</v>
      </c>
      <c r="C1071" s="17" t="s">
        <v>213</v>
      </c>
      <c r="D1071" s="15">
        <v>2.0</v>
      </c>
      <c r="E1071" s="17" t="s">
        <v>525</v>
      </c>
      <c r="F1071" s="15" t="s">
        <v>502</v>
      </c>
      <c r="G1071" s="46" t="s">
        <v>507</v>
      </c>
      <c r="H1071" s="47" t="s">
        <v>508</v>
      </c>
      <c r="I1071" s="48" t="s">
        <v>60</v>
      </c>
      <c r="J1071" s="49">
        <v>1.0689242E7</v>
      </c>
    </row>
    <row r="1072">
      <c r="A1072" s="45" t="s">
        <v>74</v>
      </c>
      <c r="B1072" s="16" t="s">
        <v>212</v>
      </c>
      <c r="C1072" s="17" t="s">
        <v>213</v>
      </c>
      <c r="D1072" s="15">
        <v>2.0</v>
      </c>
      <c r="E1072" s="17" t="s">
        <v>525</v>
      </c>
      <c r="F1072" s="15" t="s">
        <v>502</v>
      </c>
      <c r="G1072" s="46" t="s">
        <v>561</v>
      </c>
      <c r="H1072" s="47" t="s">
        <v>562</v>
      </c>
      <c r="I1072" s="48" t="s">
        <v>60</v>
      </c>
      <c r="J1072" s="49">
        <v>2400084.0</v>
      </c>
    </row>
    <row r="1073">
      <c r="A1073" s="45" t="s">
        <v>74</v>
      </c>
      <c r="B1073" s="16" t="s">
        <v>212</v>
      </c>
      <c r="C1073" s="17" t="s">
        <v>213</v>
      </c>
      <c r="D1073" s="15">
        <v>2.0</v>
      </c>
      <c r="E1073" s="17" t="s">
        <v>525</v>
      </c>
      <c r="F1073" s="15" t="s">
        <v>502</v>
      </c>
      <c r="G1073" s="46" t="s">
        <v>509</v>
      </c>
      <c r="H1073" s="47" t="s">
        <v>510</v>
      </c>
      <c r="I1073" s="48" t="s">
        <v>60</v>
      </c>
      <c r="J1073" s="49">
        <v>295002.0</v>
      </c>
    </row>
    <row r="1074">
      <c r="A1074" s="45" t="s">
        <v>74</v>
      </c>
      <c r="B1074" s="16" t="s">
        <v>212</v>
      </c>
      <c r="C1074" s="17" t="s">
        <v>213</v>
      </c>
      <c r="D1074" s="15">
        <v>2.0</v>
      </c>
      <c r="E1074" s="17" t="s">
        <v>525</v>
      </c>
      <c r="F1074" s="15" t="s">
        <v>502</v>
      </c>
      <c r="G1074" s="46" t="s">
        <v>511</v>
      </c>
      <c r="H1074" s="47" t="s">
        <v>512</v>
      </c>
      <c r="I1074" s="48" t="s">
        <v>60</v>
      </c>
      <c r="J1074" s="49">
        <v>1.07609318E8</v>
      </c>
    </row>
    <row r="1075">
      <c r="A1075" s="45" t="s">
        <v>74</v>
      </c>
      <c r="B1075" s="16" t="s">
        <v>212</v>
      </c>
      <c r="C1075" s="17" t="s">
        <v>213</v>
      </c>
      <c r="D1075" s="15">
        <v>2.0</v>
      </c>
      <c r="E1075" s="17" t="s">
        <v>525</v>
      </c>
      <c r="F1075" s="15" t="s">
        <v>502</v>
      </c>
      <c r="G1075" s="46" t="s">
        <v>513</v>
      </c>
      <c r="H1075" s="47" t="s">
        <v>514</v>
      </c>
      <c r="I1075" s="48" t="s">
        <v>60</v>
      </c>
      <c r="J1075" s="49">
        <v>1821493.0</v>
      </c>
    </row>
    <row r="1076">
      <c r="A1076" s="45" t="s">
        <v>74</v>
      </c>
      <c r="B1076" s="16" t="s">
        <v>212</v>
      </c>
      <c r="C1076" s="17" t="s">
        <v>213</v>
      </c>
      <c r="D1076" s="15">
        <v>2.0</v>
      </c>
      <c r="E1076" s="17" t="s">
        <v>548</v>
      </c>
      <c r="F1076" s="15" t="s">
        <v>549</v>
      </c>
      <c r="G1076" s="46" t="s">
        <v>550</v>
      </c>
      <c r="H1076" s="47" t="s">
        <v>551</v>
      </c>
      <c r="I1076" s="48" t="s">
        <v>25</v>
      </c>
      <c r="J1076" s="49">
        <v>1.47072E8</v>
      </c>
    </row>
    <row r="1077">
      <c r="A1077" s="45" t="s">
        <v>74</v>
      </c>
      <c r="B1077" s="16" t="s">
        <v>212</v>
      </c>
      <c r="C1077" s="17" t="s">
        <v>213</v>
      </c>
      <c r="D1077" s="15">
        <v>2.0</v>
      </c>
      <c r="E1077" s="17" t="s">
        <v>563</v>
      </c>
      <c r="F1077" s="15" t="s">
        <v>564</v>
      </c>
      <c r="G1077" s="46" t="s">
        <v>558</v>
      </c>
      <c r="H1077" s="47" t="s">
        <v>559</v>
      </c>
      <c r="I1077" s="48" t="s">
        <v>25</v>
      </c>
      <c r="J1077" s="49">
        <v>400000.0</v>
      </c>
    </row>
    <row r="1078">
      <c r="A1078" s="45" t="s">
        <v>74</v>
      </c>
      <c r="B1078" s="16" t="s">
        <v>220</v>
      </c>
      <c r="C1078" s="17" t="s">
        <v>221</v>
      </c>
      <c r="D1078" s="15">
        <v>2.0</v>
      </c>
      <c r="E1078" s="17" t="s">
        <v>441</v>
      </c>
      <c r="F1078" s="15" t="s">
        <v>442</v>
      </c>
      <c r="G1078" s="46" t="s">
        <v>443</v>
      </c>
      <c r="H1078" s="47" t="s">
        <v>420</v>
      </c>
      <c r="I1078" s="48" t="s">
        <v>19</v>
      </c>
      <c r="J1078" s="49">
        <v>5.0759417E7</v>
      </c>
    </row>
    <row r="1079">
      <c r="A1079" s="45" t="s">
        <v>74</v>
      </c>
      <c r="B1079" s="16" t="s">
        <v>220</v>
      </c>
      <c r="C1079" s="17" t="s">
        <v>221</v>
      </c>
      <c r="D1079" s="15">
        <v>2.0</v>
      </c>
      <c r="E1079" s="17" t="s">
        <v>441</v>
      </c>
      <c r="F1079" s="15" t="s">
        <v>442</v>
      </c>
      <c r="G1079" s="46" t="s">
        <v>444</v>
      </c>
      <c r="H1079" s="47" t="s">
        <v>445</v>
      </c>
      <c r="I1079" s="48" t="s">
        <v>19</v>
      </c>
      <c r="J1079" s="49">
        <v>5080341.0</v>
      </c>
    </row>
    <row r="1080">
      <c r="A1080" s="45" t="s">
        <v>74</v>
      </c>
      <c r="B1080" s="16" t="s">
        <v>220</v>
      </c>
      <c r="C1080" s="17" t="s">
        <v>221</v>
      </c>
      <c r="D1080" s="15">
        <v>2.0</v>
      </c>
      <c r="E1080" s="17" t="s">
        <v>441</v>
      </c>
      <c r="F1080" s="15" t="s">
        <v>442</v>
      </c>
      <c r="G1080" s="46" t="s">
        <v>446</v>
      </c>
      <c r="H1080" s="47" t="s">
        <v>447</v>
      </c>
      <c r="I1080" s="48" t="s">
        <v>19</v>
      </c>
      <c r="J1080" s="49">
        <v>532008.0</v>
      </c>
    </row>
    <row r="1081">
      <c r="A1081" s="45" t="s">
        <v>74</v>
      </c>
      <c r="B1081" s="16" t="s">
        <v>220</v>
      </c>
      <c r="C1081" s="17" t="s">
        <v>221</v>
      </c>
      <c r="D1081" s="15">
        <v>2.0</v>
      </c>
      <c r="E1081" s="17" t="s">
        <v>441</v>
      </c>
      <c r="F1081" s="15" t="s">
        <v>442</v>
      </c>
      <c r="G1081" s="46" t="s">
        <v>448</v>
      </c>
      <c r="H1081" s="47" t="s">
        <v>449</v>
      </c>
      <c r="I1081" s="48" t="s">
        <v>19</v>
      </c>
      <c r="J1081" s="49">
        <v>1391842.0</v>
      </c>
    </row>
    <row r="1082">
      <c r="A1082" s="45" t="s">
        <v>74</v>
      </c>
      <c r="B1082" s="16" t="s">
        <v>220</v>
      </c>
      <c r="C1082" s="17" t="s">
        <v>221</v>
      </c>
      <c r="D1082" s="15">
        <v>2.0</v>
      </c>
      <c r="E1082" s="17" t="s">
        <v>441</v>
      </c>
      <c r="F1082" s="15" t="s">
        <v>442</v>
      </c>
      <c r="G1082" s="46" t="s">
        <v>450</v>
      </c>
      <c r="H1082" s="47" t="s">
        <v>451</v>
      </c>
      <c r="I1082" s="48" t="s">
        <v>19</v>
      </c>
      <c r="J1082" s="49">
        <v>0.0</v>
      </c>
    </row>
    <row r="1083">
      <c r="A1083" s="45" t="s">
        <v>74</v>
      </c>
      <c r="B1083" s="16" t="s">
        <v>220</v>
      </c>
      <c r="C1083" s="17" t="s">
        <v>221</v>
      </c>
      <c r="D1083" s="15">
        <v>2.0</v>
      </c>
      <c r="E1083" s="17" t="s">
        <v>441</v>
      </c>
      <c r="F1083" s="15" t="s">
        <v>442</v>
      </c>
      <c r="G1083" s="46" t="s">
        <v>452</v>
      </c>
      <c r="H1083" s="47" t="s">
        <v>453</v>
      </c>
      <c r="I1083" s="48" t="s">
        <v>19</v>
      </c>
      <c r="J1083" s="49">
        <v>989531.0</v>
      </c>
    </row>
    <row r="1084">
      <c r="A1084" s="45" t="s">
        <v>74</v>
      </c>
      <c r="B1084" s="16" t="s">
        <v>220</v>
      </c>
      <c r="C1084" s="17" t="s">
        <v>221</v>
      </c>
      <c r="D1084" s="15">
        <v>2.0</v>
      </c>
      <c r="E1084" s="17" t="s">
        <v>441</v>
      </c>
      <c r="F1084" s="15" t="s">
        <v>442</v>
      </c>
      <c r="G1084" s="46" t="s">
        <v>454</v>
      </c>
      <c r="H1084" s="47" t="s">
        <v>415</v>
      </c>
      <c r="I1084" s="48" t="s">
        <v>19</v>
      </c>
      <c r="J1084" s="49">
        <v>144418.0</v>
      </c>
    </row>
    <row r="1085">
      <c r="A1085" s="45" t="s">
        <v>74</v>
      </c>
      <c r="B1085" s="16" t="s">
        <v>220</v>
      </c>
      <c r="C1085" s="17" t="s">
        <v>221</v>
      </c>
      <c r="D1085" s="15">
        <v>2.0</v>
      </c>
      <c r="E1085" s="17" t="s">
        <v>441</v>
      </c>
      <c r="F1085" s="15" t="s">
        <v>442</v>
      </c>
      <c r="G1085" s="46" t="s">
        <v>455</v>
      </c>
      <c r="H1085" s="47" t="s">
        <v>415</v>
      </c>
      <c r="I1085" s="48" t="s">
        <v>19</v>
      </c>
      <c r="J1085" s="49">
        <v>80232.0</v>
      </c>
    </row>
    <row r="1086">
      <c r="A1086" s="45" t="s">
        <v>74</v>
      </c>
      <c r="B1086" s="16" t="s">
        <v>220</v>
      </c>
      <c r="C1086" s="17" t="s">
        <v>221</v>
      </c>
      <c r="D1086" s="15">
        <v>2.0</v>
      </c>
      <c r="E1086" s="17" t="s">
        <v>456</v>
      </c>
      <c r="F1086" s="15" t="s">
        <v>457</v>
      </c>
      <c r="G1086" s="46" t="s">
        <v>458</v>
      </c>
      <c r="H1086" s="47" t="s">
        <v>411</v>
      </c>
      <c r="I1086" s="48" t="s">
        <v>19</v>
      </c>
      <c r="J1086" s="49">
        <v>1.51886112E8</v>
      </c>
    </row>
    <row r="1087">
      <c r="A1087" s="45" t="s">
        <v>74</v>
      </c>
      <c r="B1087" s="16" t="s">
        <v>220</v>
      </c>
      <c r="C1087" s="17" t="s">
        <v>221</v>
      </c>
      <c r="D1087" s="15">
        <v>2.0</v>
      </c>
      <c r="E1087" s="17" t="s">
        <v>459</v>
      </c>
      <c r="F1087" s="15" t="s">
        <v>460</v>
      </c>
      <c r="G1087" s="46" t="s">
        <v>458</v>
      </c>
      <c r="H1087" s="47" t="s">
        <v>411</v>
      </c>
      <c r="I1087" s="48" t="s">
        <v>19</v>
      </c>
      <c r="J1087" s="49">
        <v>5034960.0</v>
      </c>
    </row>
    <row r="1088">
      <c r="A1088" s="45" t="s">
        <v>74</v>
      </c>
      <c r="B1088" s="16" t="s">
        <v>220</v>
      </c>
      <c r="C1088" s="17" t="s">
        <v>221</v>
      </c>
      <c r="D1088" s="15">
        <v>2.0</v>
      </c>
      <c r="E1088" s="17" t="s">
        <v>463</v>
      </c>
      <c r="F1088" s="15" t="s">
        <v>464</v>
      </c>
      <c r="G1088" s="46" t="s">
        <v>544</v>
      </c>
      <c r="H1088" s="47" t="s">
        <v>421</v>
      </c>
      <c r="I1088" s="48" t="s">
        <v>25</v>
      </c>
      <c r="J1088" s="49">
        <v>1100000.0</v>
      </c>
    </row>
    <row r="1089">
      <c r="A1089" s="45" t="s">
        <v>74</v>
      </c>
      <c r="B1089" s="16" t="s">
        <v>220</v>
      </c>
      <c r="C1089" s="17" t="s">
        <v>221</v>
      </c>
      <c r="D1089" s="15">
        <v>2.0</v>
      </c>
      <c r="E1089" s="17" t="s">
        <v>463</v>
      </c>
      <c r="F1089" s="15" t="s">
        <v>464</v>
      </c>
      <c r="G1089" s="46" t="s">
        <v>517</v>
      </c>
      <c r="H1089" s="47" t="s">
        <v>518</v>
      </c>
      <c r="I1089" s="48" t="s">
        <v>25</v>
      </c>
      <c r="J1089" s="49">
        <v>1354405.0</v>
      </c>
    </row>
    <row r="1090">
      <c r="A1090" s="45" t="s">
        <v>74</v>
      </c>
      <c r="B1090" s="16" t="s">
        <v>220</v>
      </c>
      <c r="C1090" s="17" t="s">
        <v>221</v>
      </c>
      <c r="D1090" s="15">
        <v>2.0</v>
      </c>
      <c r="E1090" s="17" t="s">
        <v>463</v>
      </c>
      <c r="F1090" s="15" t="s">
        <v>464</v>
      </c>
      <c r="G1090" s="46" t="s">
        <v>486</v>
      </c>
      <c r="H1090" s="47" t="s">
        <v>432</v>
      </c>
      <c r="I1090" s="48" t="s">
        <v>37</v>
      </c>
      <c r="J1090" s="49">
        <v>1549985.0</v>
      </c>
    </row>
    <row r="1091">
      <c r="A1091" s="45" t="s">
        <v>74</v>
      </c>
      <c r="B1091" s="16" t="s">
        <v>220</v>
      </c>
      <c r="C1091" s="17" t="s">
        <v>221</v>
      </c>
      <c r="D1091" s="15">
        <v>2.0</v>
      </c>
      <c r="E1091" s="17" t="s">
        <v>487</v>
      </c>
      <c r="F1091" s="15" t="s">
        <v>488</v>
      </c>
      <c r="G1091" s="46" t="s">
        <v>489</v>
      </c>
      <c r="H1091" s="47" t="s">
        <v>490</v>
      </c>
      <c r="I1091" s="48" t="s">
        <v>37</v>
      </c>
      <c r="J1091" s="49">
        <v>0.0</v>
      </c>
    </row>
    <row r="1092">
      <c r="A1092" s="45" t="s">
        <v>74</v>
      </c>
      <c r="B1092" s="16" t="s">
        <v>220</v>
      </c>
      <c r="C1092" s="17" t="s">
        <v>221</v>
      </c>
      <c r="D1092" s="15">
        <v>2.0</v>
      </c>
      <c r="E1092" s="17" t="s">
        <v>469</v>
      </c>
      <c r="F1092" s="15" t="s">
        <v>470</v>
      </c>
      <c r="G1092" s="46" t="s">
        <v>544</v>
      </c>
      <c r="H1092" s="47" t="s">
        <v>421</v>
      </c>
      <c r="I1092" s="48" t="s">
        <v>25</v>
      </c>
      <c r="J1092" s="49">
        <v>0.0</v>
      </c>
    </row>
    <row r="1093">
      <c r="A1093" s="45" t="s">
        <v>74</v>
      </c>
      <c r="B1093" s="16" t="s">
        <v>220</v>
      </c>
      <c r="C1093" s="17" t="s">
        <v>221</v>
      </c>
      <c r="D1093" s="15">
        <v>2.0</v>
      </c>
      <c r="E1093" s="17" t="s">
        <v>469</v>
      </c>
      <c r="F1093" s="15" t="s">
        <v>470</v>
      </c>
      <c r="G1093" s="46" t="s">
        <v>517</v>
      </c>
      <c r="H1093" s="47" t="s">
        <v>518</v>
      </c>
      <c r="I1093" s="48" t="s">
        <v>25</v>
      </c>
      <c r="J1093" s="49">
        <v>0.0</v>
      </c>
    </row>
    <row r="1094">
      <c r="A1094" s="45" t="s">
        <v>74</v>
      </c>
      <c r="B1094" s="16" t="s">
        <v>220</v>
      </c>
      <c r="C1094" s="17" t="s">
        <v>221</v>
      </c>
      <c r="D1094" s="15">
        <v>2.0</v>
      </c>
      <c r="E1094" s="17" t="s">
        <v>473</v>
      </c>
      <c r="F1094" s="15" t="s">
        <v>474</v>
      </c>
      <c r="G1094" s="46" t="s">
        <v>443</v>
      </c>
      <c r="H1094" s="47" t="s">
        <v>420</v>
      </c>
      <c r="I1094" s="48" t="s">
        <v>19</v>
      </c>
      <c r="J1094" s="49">
        <v>6975000.0</v>
      </c>
    </row>
    <row r="1095">
      <c r="A1095" s="45" t="s">
        <v>74</v>
      </c>
      <c r="B1095" s="16" t="s">
        <v>220</v>
      </c>
      <c r="C1095" s="17" t="s">
        <v>221</v>
      </c>
      <c r="D1095" s="15">
        <v>2.0</v>
      </c>
      <c r="E1095" s="17" t="s">
        <v>473</v>
      </c>
      <c r="F1095" s="15" t="s">
        <v>474</v>
      </c>
      <c r="G1095" s="46" t="s">
        <v>444</v>
      </c>
      <c r="H1095" s="47" t="s">
        <v>445</v>
      </c>
      <c r="I1095" s="48" t="s">
        <v>19</v>
      </c>
      <c r="J1095" s="49">
        <v>88291.0</v>
      </c>
    </row>
    <row r="1096">
      <c r="A1096" s="45" t="s">
        <v>74</v>
      </c>
      <c r="B1096" s="16" t="s">
        <v>220</v>
      </c>
      <c r="C1096" s="17" t="s">
        <v>221</v>
      </c>
      <c r="D1096" s="15">
        <v>2.0</v>
      </c>
      <c r="E1096" s="17" t="s">
        <v>473</v>
      </c>
      <c r="F1096" s="15" t="s">
        <v>474</v>
      </c>
      <c r="G1096" s="46" t="s">
        <v>523</v>
      </c>
      <c r="H1096" s="47" t="s">
        <v>431</v>
      </c>
      <c r="I1096" s="48" t="s">
        <v>25</v>
      </c>
      <c r="J1096" s="49">
        <v>1.0E7</v>
      </c>
    </row>
    <row r="1097">
      <c r="A1097" s="45" t="s">
        <v>74</v>
      </c>
      <c r="B1097" s="16" t="s">
        <v>220</v>
      </c>
      <c r="C1097" s="17" t="s">
        <v>221</v>
      </c>
      <c r="D1097" s="15">
        <v>2.0</v>
      </c>
      <c r="E1097" s="17" t="s">
        <v>473</v>
      </c>
      <c r="F1097" s="15" t="s">
        <v>474</v>
      </c>
      <c r="G1097" s="46" t="s">
        <v>458</v>
      </c>
      <c r="H1097" s="47" t="s">
        <v>411</v>
      </c>
      <c r="I1097" s="48" t="s">
        <v>19</v>
      </c>
      <c r="J1097" s="49">
        <v>1.817205E7</v>
      </c>
    </row>
    <row r="1098">
      <c r="A1098" s="45" t="s">
        <v>74</v>
      </c>
      <c r="B1098" s="16" t="s">
        <v>220</v>
      </c>
      <c r="C1098" s="17" t="s">
        <v>221</v>
      </c>
      <c r="D1098" s="15">
        <v>2.0</v>
      </c>
      <c r="E1098" s="17" t="s">
        <v>491</v>
      </c>
      <c r="F1098" s="15" t="s">
        <v>492</v>
      </c>
      <c r="G1098" s="46" t="s">
        <v>493</v>
      </c>
      <c r="H1098" s="47" t="s">
        <v>437</v>
      </c>
      <c r="I1098" s="48" t="s">
        <v>25</v>
      </c>
      <c r="J1098" s="49">
        <v>1.7264768E7</v>
      </c>
    </row>
    <row r="1099">
      <c r="A1099" s="45" t="s">
        <v>74</v>
      </c>
      <c r="B1099" s="16" t="s">
        <v>220</v>
      </c>
      <c r="C1099" s="17" t="s">
        <v>221</v>
      </c>
      <c r="D1099" s="15">
        <v>2.0</v>
      </c>
      <c r="E1099" s="17" t="s">
        <v>494</v>
      </c>
      <c r="F1099" s="15" t="s">
        <v>495</v>
      </c>
      <c r="G1099" s="46" t="s">
        <v>496</v>
      </c>
      <c r="H1099" s="47" t="s">
        <v>497</v>
      </c>
      <c r="I1099" s="48" t="s">
        <v>25</v>
      </c>
      <c r="J1099" s="49">
        <v>1969986.0</v>
      </c>
    </row>
    <row r="1100">
      <c r="A1100" s="45" t="s">
        <v>74</v>
      </c>
      <c r="B1100" s="16" t="s">
        <v>220</v>
      </c>
      <c r="C1100" s="17" t="s">
        <v>221</v>
      </c>
      <c r="D1100" s="15">
        <v>2.0</v>
      </c>
      <c r="E1100" s="17" t="s">
        <v>475</v>
      </c>
      <c r="F1100" s="15" t="s">
        <v>476</v>
      </c>
      <c r="G1100" s="46" t="s">
        <v>545</v>
      </c>
      <c r="H1100" s="47" t="s">
        <v>427</v>
      </c>
      <c r="I1100" s="48" t="s">
        <v>25</v>
      </c>
      <c r="J1100" s="49">
        <v>3668000.0</v>
      </c>
    </row>
    <row r="1101">
      <c r="A1101" s="45" t="s">
        <v>74</v>
      </c>
      <c r="B1101" s="16" t="s">
        <v>220</v>
      </c>
      <c r="C1101" s="17" t="s">
        <v>221</v>
      </c>
      <c r="D1101" s="15">
        <v>2.0</v>
      </c>
      <c r="E1101" s="17" t="s">
        <v>475</v>
      </c>
      <c r="F1101" s="15" t="s">
        <v>476</v>
      </c>
      <c r="G1101" s="46" t="s">
        <v>477</v>
      </c>
      <c r="H1101" s="47" t="s">
        <v>429</v>
      </c>
      <c r="I1101" s="48" t="s">
        <v>50</v>
      </c>
      <c r="J1101" s="49">
        <v>5.0015572E7</v>
      </c>
    </row>
    <row r="1102">
      <c r="A1102" s="45" t="s">
        <v>74</v>
      </c>
      <c r="B1102" s="16" t="s">
        <v>220</v>
      </c>
      <c r="C1102" s="17" t="s">
        <v>221</v>
      </c>
      <c r="D1102" s="15">
        <v>2.0</v>
      </c>
      <c r="E1102" s="17" t="s">
        <v>524</v>
      </c>
      <c r="F1102" s="15" t="s">
        <v>479</v>
      </c>
      <c r="G1102" s="46" t="s">
        <v>443</v>
      </c>
      <c r="H1102" s="47" t="s">
        <v>420</v>
      </c>
      <c r="I1102" s="48" t="s">
        <v>19</v>
      </c>
      <c r="J1102" s="49">
        <v>1.4920122E8</v>
      </c>
    </row>
    <row r="1103">
      <c r="A1103" s="45" t="s">
        <v>74</v>
      </c>
      <c r="B1103" s="16" t="s">
        <v>220</v>
      </c>
      <c r="C1103" s="17" t="s">
        <v>221</v>
      </c>
      <c r="D1103" s="15">
        <v>2.0</v>
      </c>
      <c r="E1103" s="17" t="s">
        <v>524</v>
      </c>
      <c r="F1103" s="15" t="s">
        <v>479</v>
      </c>
      <c r="G1103" s="46" t="s">
        <v>444</v>
      </c>
      <c r="H1103" s="47" t="s">
        <v>445</v>
      </c>
      <c r="I1103" s="48" t="s">
        <v>19</v>
      </c>
      <c r="J1103" s="49">
        <v>9404104.0</v>
      </c>
    </row>
    <row r="1104">
      <c r="A1104" s="45" t="s">
        <v>74</v>
      </c>
      <c r="B1104" s="16" t="s">
        <v>220</v>
      </c>
      <c r="C1104" s="17" t="s">
        <v>221</v>
      </c>
      <c r="D1104" s="15">
        <v>2.0</v>
      </c>
      <c r="E1104" s="17" t="s">
        <v>524</v>
      </c>
      <c r="F1104" s="15" t="s">
        <v>479</v>
      </c>
      <c r="G1104" s="46" t="s">
        <v>446</v>
      </c>
      <c r="H1104" s="47" t="s">
        <v>447</v>
      </c>
      <c r="I1104" s="48" t="s">
        <v>19</v>
      </c>
      <c r="J1104" s="49">
        <v>1725429.0</v>
      </c>
    </row>
    <row r="1105">
      <c r="A1105" s="45" t="s">
        <v>74</v>
      </c>
      <c r="B1105" s="16" t="s">
        <v>220</v>
      </c>
      <c r="C1105" s="17" t="s">
        <v>221</v>
      </c>
      <c r="D1105" s="15">
        <v>2.0</v>
      </c>
      <c r="E1105" s="17" t="s">
        <v>524</v>
      </c>
      <c r="F1105" s="15" t="s">
        <v>479</v>
      </c>
      <c r="G1105" s="46" t="s">
        <v>448</v>
      </c>
      <c r="H1105" s="47" t="s">
        <v>449</v>
      </c>
      <c r="I1105" s="48" t="s">
        <v>19</v>
      </c>
      <c r="J1105" s="49">
        <v>4565417.0</v>
      </c>
    </row>
    <row r="1106">
      <c r="A1106" s="45" t="s">
        <v>74</v>
      </c>
      <c r="B1106" s="16" t="s">
        <v>220</v>
      </c>
      <c r="C1106" s="17" t="s">
        <v>221</v>
      </c>
      <c r="D1106" s="15">
        <v>2.0</v>
      </c>
      <c r="E1106" s="17" t="s">
        <v>524</v>
      </c>
      <c r="F1106" s="15" t="s">
        <v>479</v>
      </c>
      <c r="G1106" s="46" t="s">
        <v>450</v>
      </c>
      <c r="H1106" s="47" t="s">
        <v>451</v>
      </c>
      <c r="I1106" s="48" t="s">
        <v>19</v>
      </c>
      <c r="J1106" s="49">
        <v>0.0</v>
      </c>
    </row>
    <row r="1107">
      <c r="A1107" s="45" t="s">
        <v>74</v>
      </c>
      <c r="B1107" s="16" t="s">
        <v>220</v>
      </c>
      <c r="C1107" s="17" t="s">
        <v>221</v>
      </c>
      <c r="D1107" s="15">
        <v>2.0</v>
      </c>
      <c r="E1107" s="17" t="s">
        <v>524</v>
      </c>
      <c r="F1107" s="15" t="s">
        <v>479</v>
      </c>
      <c r="G1107" s="46" t="s">
        <v>452</v>
      </c>
      <c r="H1107" s="47" t="s">
        <v>453</v>
      </c>
      <c r="I1107" s="48" t="s">
        <v>19</v>
      </c>
      <c r="J1107" s="49">
        <v>3280871.0</v>
      </c>
    </row>
    <row r="1108">
      <c r="A1108" s="45" t="s">
        <v>74</v>
      </c>
      <c r="B1108" s="16" t="s">
        <v>220</v>
      </c>
      <c r="C1108" s="17" t="s">
        <v>221</v>
      </c>
      <c r="D1108" s="15">
        <v>2.0</v>
      </c>
      <c r="E1108" s="17" t="s">
        <v>524</v>
      </c>
      <c r="F1108" s="15" t="s">
        <v>479</v>
      </c>
      <c r="G1108" s="46" t="s">
        <v>454</v>
      </c>
      <c r="H1108" s="47" t="s">
        <v>415</v>
      </c>
      <c r="I1108" s="48" t="s">
        <v>19</v>
      </c>
      <c r="J1108" s="49">
        <v>478830.0</v>
      </c>
    </row>
    <row r="1109">
      <c r="A1109" s="45" t="s">
        <v>74</v>
      </c>
      <c r="B1109" s="16" t="s">
        <v>220</v>
      </c>
      <c r="C1109" s="17" t="s">
        <v>221</v>
      </c>
      <c r="D1109" s="15">
        <v>2.0</v>
      </c>
      <c r="E1109" s="17" t="s">
        <v>524</v>
      </c>
      <c r="F1109" s="15" t="s">
        <v>479</v>
      </c>
      <c r="G1109" s="46" t="s">
        <v>455</v>
      </c>
      <c r="H1109" s="47" t="s">
        <v>415</v>
      </c>
      <c r="I1109" s="48" t="s">
        <v>19</v>
      </c>
      <c r="J1109" s="49">
        <v>266016.0</v>
      </c>
    </row>
    <row r="1110">
      <c r="A1110" s="45" t="s">
        <v>74</v>
      </c>
      <c r="B1110" s="16" t="s">
        <v>220</v>
      </c>
      <c r="C1110" s="17" t="s">
        <v>221</v>
      </c>
      <c r="D1110" s="15">
        <v>2.0</v>
      </c>
      <c r="E1110" s="17" t="s">
        <v>524</v>
      </c>
      <c r="F1110" s="15" t="s">
        <v>479</v>
      </c>
      <c r="G1110" s="46" t="s">
        <v>480</v>
      </c>
      <c r="H1110" s="47" t="s">
        <v>481</v>
      </c>
      <c r="I1110" s="48" t="s">
        <v>19</v>
      </c>
      <c r="J1110" s="49">
        <v>5826670.0</v>
      </c>
    </row>
    <row r="1111">
      <c r="A1111" s="45" t="s">
        <v>74</v>
      </c>
      <c r="B1111" s="16" t="s">
        <v>220</v>
      </c>
      <c r="C1111" s="17" t="s">
        <v>221</v>
      </c>
      <c r="D1111" s="15">
        <v>2.0</v>
      </c>
      <c r="E1111" s="17" t="s">
        <v>525</v>
      </c>
      <c r="F1111" s="15" t="s">
        <v>502</v>
      </c>
      <c r="G1111" s="46" t="s">
        <v>526</v>
      </c>
      <c r="H1111" s="47" t="s">
        <v>527</v>
      </c>
      <c r="I1111" s="48" t="s">
        <v>60</v>
      </c>
      <c r="J1111" s="49">
        <v>3.95164778E8</v>
      </c>
    </row>
    <row r="1112">
      <c r="A1112" s="45" t="s">
        <v>74</v>
      </c>
      <c r="B1112" s="16" t="s">
        <v>220</v>
      </c>
      <c r="C1112" s="17" t="s">
        <v>221</v>
      </c>
      <c r="D1112" s="15">
        <v>2.0</v>
      </c>
      <c r="E1112" s="17" t="s">
        <v>525</v>
      </c>
      <c r="F1112" s="15" t="s">
        <v>502</v>
      </c>
      <c r="G1112" s="46" t="s">
        <v>539</v>
      </c>
      <c r="H1112" s="47" t="s">
        <v>540</v>
      </c>
      <c r="I1112" s="48" t="s">
        <v>60</v>
      </c>
      <c r="J1112" s="49">
        <v>588472.0</v>
      </c>
    </row>
    <row r="1113">
      <c r="A1113" s="45" t="s">
        <v>74</v>
      </c>
      <c r="B1113" s="16" t="s">
        <v>220</v>
      </c>
      <c r="C1113" s="17" t="s">
        <v>221</v>
      </c>
      <c r="D1113" s="15">
        <v>2.0</v>
      </c>
      <c r="E1113" s="17" t="s">
        <v>525</v>
      </c>
      <c r="F1113" s="15" t="s">
        <v>502</v>
      </c>
      <c r="G1113" s="46" t="s">
        <v>505</v>
      </c>
      <c r="H1113" s="47" t="s">
        <v>506</v>
      </c>
      <c r="I1113" s="48" t="s">
        <v>60</v>
      </c>
      <c r="J1113" s="49">
        <v>3019927.0</v>
      </c>
    </row>
    <row r="1114">
      <c r="A1114" s="45" t="s">
        <v>74</v>
      </c>
      <c r="B1114" s="16" t="s">
        <v>220</v>
      </c>
      <c r="C1114" s="17" t="s">
        <v>221</v>
      </c>
      <c r="D1114" s="15">
        <v>2.0</v>
      </c>
      <c r="E1114" s="17" t="s">
        <v>525</v>
      </c>
      <c r="F1114" s="15" t="s">
        <v>502</v>
      </c>
      <c r="G1114" s="46" t="s">
        <v>509</v>
      </c>
      <c r="H1114" s="47" t="s">
        <v>510</v>
      </c>
      <c r="I1114" s="48" t="s">
        <v>60</v>
      </c>
      <c r="J1114" s="49">
        <v>1025043.0</v>
      </c>
    </row>
    <row r="1115">
      <c r="A1115" s="45" t="s">
        <v>74</v>
      </c>
      <c r="B1115" s="16" t="s">
        <v>220</v>
      </c>
      <c r="C1115" s="17" t="s">
        <v>221</v>
      </c>
      <c r="D1115" s="15">
        <v>2.0</v>
      </c>
      <c r="E1115" s="17" t="s">
        <v>525</v>
      </c>
      <c r="F1115" s="15" t="s">
        <v>502</v>
      </c>
      <c r="G1115" s="46" t="s">
        <v>511</v>
      </c>
      <c r="H1115" s="47" t="s">
        <v>512</v>
      </c>
      <c r="I1115" s="48" t="s">
        <v>60</v>
      </c>
      <c r="J1115" s="49">
        <v>3.8673808E7</v>
      </c>
    </row>
    <row r="1116">
      <c r="A1116" s="45" t="s">
        <v>74</v>
      </c>
      <c r="B1116" s="16" t="s">
        <v>220</v>
      </c>
      <c r="C1116" s="17" t="s">
        <v>221</v>
      </c>
      <c r="D1116" s="15">
        <v>2.0</v>
      </c>
      <c r="E1116" s="17" t="s">
        <v>525</v>
      </c>
      <c r="F1116" s="15" t="s">
        <v>502</v>
      </c>
      <c r="G1116" s="46" t="s">
        <v>513</v>
      </c>
      <c r="H1116" s="47" t="s">
        <v>514</v>
      </c>
      <c r="I1116" s="48" t="s">
        <v>60</v>
      </c>
      <c r="J1116" s="49">
        <v>1930163.0</v>
      </c>
    </row>
    <row r="1117">
      <c r="A1117" s="45" t="s">
        <v>74</v>
      </c>
      <c r="B1117" s="16" t="s">
        <v>231</v>
      </c>
      <c r="C1117" s="17" t="s">
        <v>232</v>
      </c>
      <c r="D1117" s="15">
        <v>2.0</v>
      </c>
      <c r="E1117" s="17" t="s">
        <v>441</v>
      </c>
      <c r="F1117" s="15" t="s">
        <v>442</v>
      </c>
      <c r="G1117" s="46" t="s">
        <v>443</v>
      </c>
      <c r="H1117" s="47" t="s">
        <v>420</v>
      </c>
      <c r="I1117" s="48" t="s">
        <v>19</v>
      </c>
      <c r="J1117" s="49">
        <v>5.3297873E7</v>
      </c>
    </row>
    <row r="1118">
      <c r="A1118" s="45" t="s">
        <v>74</v>
      </c>
      <c r="B1118" s="16" t="s">
        <v>231</v>
      </c>
      <c r="C1118" s="17" t="s">
        <v>232</v>
      </c>
      <c r="D1118" s="15">
        <v>2.0</v>
      </c>
      <c r="E1118" s="17" t="s">
        <v>441</v>
      </c>
      <c r="F1118" s="15" t="s">
        <v>442</v>
      </c>
      <c r="G1118" s="46" t="s">
        <v>444</v>
      </c>
      <c r="H1118" s="47" t="s">
        <v>445</v>
      </c>
      <c r="I1118" s="48" t="s">
        <v>19</v>
      </c>
      <c r="J1118" s="49">
        <v>5894002.0</v>
      </c>
    </row>
    <row r="1119">
      <c r="A1119" s="45" t="s">
        <v>74</v>
      </c>
      <c r="B1119" s="16" t="s">
        <v>231</v>
      </c>
      <c r="C1119" s="17" t="s">
        <v>232</v>
      </c>
      <c r="D1119" s="15">
        <v>2.0</v>
      </c>
      <c r="E1119" s="17" t="s">
        <v>441</v>
      </c>
      <c r="F1119" s="15" t="s">
        <v>442</v>
      </c>
      <c r="G1119" s="46" t="s">
        <v>446</v>
      </c>
      <c r="H1119" s="47" t="s">
        <v>447</v>
      </c>
      <c r="I1119" s="48" t="s">
        <v>19</v>
      </c>
      <c r="J1119" s="49">
        <v>525823.0</v>
      </c>
    </row>
    <row r="1120">
      <c r="A1120" s="45" t="s">
        <v>74</v>
      </c>
      <c r="B1120" s="16" t="s">
        <v>231</v>
      </c>
      <c r="C1120" s="17" t="s">
        <v>232</v>
      </c>
      <c r="D1120" s="15">
        <v>2.0</v>
      </c>
      <c r="E1120" s="17" t="s">
        <v>441</v>
      </c>
      <c r="F1120" s="15" t="s">
        <v>442</v>
      </c>
      <c r="G1120" s="46" t="s">
        <v>448</v>
      </c>
      <c r="H1120" s="47" t="s">
        <v>449</v>
      </c>
      <c r="I1120" s="48" t="s">
        <v>19</v>
      </c>
      <c r="J1120" s="49">
        <v>1394996.0</v>
      </c>
    </row>
    <row r="1121">
      <c r="A1121" s="45" t="s">
        <v>74</v>
      </c>
      <c r="B1121" s="16" t="s">
        <v>231</v>
      </c>
      <c r="C1121" s="17" t="s">
        <v>232</v>
      </c>
      <c r="D1121" s="15">
        <v>2.0</v>
      </c>
      <c r="E1121" s="17" t="s">
        <v>441</v>
      </c>
      <c r="F1121" s="15" t="s">
        <v>442</v>
      </c>
      <c r="G1121" s="46" t="s">
        <v>450</v>
      </c>
      <c r="H1121" s="47" t="s">
        <v>451</v>
      </c>
      <c r="I1121" s="48" t="s">
        <v>19</v>
      </c>
      <c r="J1121" s="49">
        <v>0.0</v>
      </c>
    </row>
    <row r="1122">
      <c r="A1122" s="45" t="s">
        <v>74</v>
      </c>
      <c r="B1122" s="16" t="s">
        <v>231</v>
      </c>
      <c r="C1122" s="17" t="s">
        <v>232</v>
      </c>
      <c r="D1122" s="15">
        <v>2.0</v>
      </c>
      <c r="E1122" s="17" t="s">
        <v>441</v>
      </c>
      <c r="F1122" s="15" t="s">
        <v>442</v>
      </c>
      <c r="G1122" s="46" t="s">
        <v>452</v>
      </c>
      <c r="H1122" s="47" t="s">
        <v>453</v>
      </c>
      <c r="I1122" s="48" t="s">
        <v>19</v>
      </c>
      <c r="J1122" s="49">
        <v>1086975.0</v>
      </c>
    </row>
    <row r="1123">
      <c r="A1123" s="45" t="s">
        <v>74</v>
      </c>
      <c r="B1123" s="16" t="s">
        <v>231</v>
      </c>
      <c r="C1123" s="17" t="s">
        <v>232</v>
      </c>
      <c r="D1123" s="15">
        <v>2.0</v>
      </c>
      <c r="E1123" s="17" t="s">
        <v>441</v>
      </c>
      <c r="F1123" s="15" t="s">
        <v>442</v>
      </c>
      <c r="G1123" s="46" t="s">
        <v>454</v>
      </c>
      <c r="H1123" s="47" t="s">
        <v>415</v>
      </c>
      <c r="I1123" s="48" t="s">
        <v>19</v>
      </c>
      <c r="J1123" s="49">
        <v>158639.0</v>
      </c>
    </row>
    <row r="1124">
      <c r="A1124" s="45" t="s">
        <v>74</v>
      </c>
      <c r="B1124" s="16" t="s">
        <v>231</v>
      </c>
      <c r="C1124" s="17" t="s">
        <v>232</v>
      </c>
      <c r="D1124" s="15">
        <v>2.0</v>
      </c>
      <c r="E1124" s="17" t="s">
        <v>441</v>
      </c>
      <c r="F1124" s="15" t="s">
        <v>442</v>
      </c>
      <c r="G1124" s="46" t="s">
        <v>455</v>
      </c>
      <c r="H1124" s="47" t="s">
        <v>415</v>
      </c>
      <c r="I1124" s="48" t="s">
        <v>19</v>
      </c>
      <c r="J1124" s="49">
        <v>88133.0</v>
      </c>
    </row>
    <row r="1125">
      <c r="A1125" s="45" t="s">
        <v>74</v>
      </c>
      <c r="B1125" s="16" t="s">
        <v>231</v>
      </c>
      <c r="C1125" s="17" t="s">
        <v>232</v>
      </c>
      <c r="D1125" s="15">
        <v>2.0</v>
      </c>
      <c r="E1125" s="17" t="s">
        <v>456</v>
      </c>
      <c r="F1125" s="15" t="s">
        <v>457</v>
      </c>
      <c r="G1125" s="46" t="s">
        <v>458</v>
      </c>
      <c r="H1125" s="47" t="s">
        <v>411</v>
      </c>
      <c r="I1125" s="48" t="s">
        <v>19</v>
      </c>
      <c r="J1125" s="49">
        <v>4.6936056E7</v>
      </c>
    </row>
    <row r="1126">
      <c r="A1126" s="45" t="s">
        <v>74</v>
      </c>
      <c r="B1126" s="16" t="s">
        <v>231</v>
      </c>
      <c r="C1126" s="17" t="s">
        <v>232</v>
      </c>
      <c r="D1126" s="15">
        <v>2.0</v>
      </c>
      <c r="E1126" s="17" t="s">
        <v>463</v>
      </c>
      <c r="F1126" s="15" t="s">
        <v>464</v>
      </c>
      <c r="G1126" s="46" t="s">
        <v>465</v>
      </c>
      <c r="H1126" s="47" t="s">
        <v>466</v>
      </c>
      <c r="I1126" s="48" t="s">
        <v>37</v>
      </c>
      <c r="J1126" s="49">
        <v>5235000.0</v>
      </c>
    </row>
    <row r="1127">
      <c r="A1127" s="45" t="s">
        <v>74</v>
      </c>
      <c r="B1127" s="16" t="s">
        <v>231</v>
      </c>
      <c r="C1127" s="17" t="s">
        <v>232</v>
      </c>
      <c r="D1127" s="15">
        <v>2.0</v>
      </c>
      <c r="E1127" s="17" t="s">
        <v>473</v>
      </c>
      <c r="F1127" s="15" t="s">
        <v>474</v>
      </c>
      <c r="G1127" s="46" t="s">
        <v>443</v>
      </c>
      <c r="H1127" s="47" t="s">
        <v>420</v>
      </c>
      <c r="I1127" s="48" t="s">
        <v>19</v>
      </c>
      <c r="J1127" s="49">
        <v>7975000.0</v>
      </c>
    </row>
    <row r="1128">
      <c r="A1128" s="45" t="s">
        <v>74</v>
      </c>
      <c r="B1128" s="16" t="s">
        <v>231</v>
      </c>
      <c r="C1128" s="17" t="s">
        <v>232</v>
      </c>
      <c r="D1128" s="15">
        <v>2.0</v>
      </c>
      <c r="E1128" s="17" t="s">
        <v>473</v>
      </c>
      <c r="F1128" s="15" t="s">
        <v>474</v>
      </c>
      <c r="G1128" s="46" t="s">
        <v>444</v>
      </c>
      <c r="H1128" s="47" t="s">
        <v>445</v>
      </c>
      <c r="I1128" s="48" t="s">
        <v>19</v>
      </c>
      <c r="J1128" s="49">
        <v>121447.0</v>
      </c>
    </row>
    <row r="1129">
      <c r="A1129" s="45" t="s">
        <v>74</v>
      </c>
      <c r="B1129" s="16" t="s">
        <v>231</v>
      </c>
      <c r="C1129" s="17" t="s">
        <v>232</v>
      </c>
      <c r="D1129" s="15">
        <v>2.0</v>
      </c>
      <c r="E1129" s="17" t="s">
        <v>473</v>
      </c>
      <c r="F1129" s="15" t="s">
        <v>474</v>
      </c>
      <c r="G1129" s="46" t="s">
        <v>523</v>
      </c>
      <c r="H1129" s="47" t="s">
        <v>431</v>
      </c>
      <c r="I1129" s="48" t="s">
        <v>17</v>
      </c>
      <c r="J1129" s="49">
        <v>6.8611554E7</v>
      </c>
    </row>
    <row r="1130">
      <c r="A1130" s="45" t="s">
        <v>74</v>
      </c>
      <c r="B1130" s="16" t="s">
        <v>231</v>
      </c>
      <c r="C1130" s="17" t="s">
        <v>232</v>
      </c>
      <c r="D1130" s="15">
        <v>2.0</v>
      </c>
      <c r="E1130" s="17" t="s">
        <v>473</v>
      </c>
      <c r="F1130" s="15" t="s">
        <v>474</v>
      </c>
      <c r="G1130" s="46" t="s">
        <v>523</v>
      </c>
      <c r="H1130" s="47" t="s">
        <v>431</v>
      </c>
      <c r="I1130" s="48" t="s">
        <v>37</v>
      </c>
      <c r="J1130" s="49">
        <v>7120000.0</v>
      </c>
    </row>
    <row r="1131">
      <c r="A1131" s="45" t="s">
        <v>74</v>
      </c>
      <c r="B1131" s="16" t="s">
        <v>231</v>
      </c>
      <c r="C1131" s="17" t="s">
        <v>232</v>
      </c>
      <c r="D1131" s="15">
        <v>2.0</v>
      </c>
      <c r="E1131" s="17" t="s">
        <v>473</v>
      </c>
      <c r="F1131" s="15" t="s">
        <v>474</v>
      </c>
      <c r="G1131" s="46" t="s">
        <v>523</v>
      </c>
      <c r="H1131" s="47" t="s">
        <v>431</v>
      </c>
      <c r="I1131" s="48" t="s">
        <v>25</v>
      </c>
      <c r="J1131" s="49">
        <v>1.586E7</v>
      </c>
    </row>
    <row r="1132">
      <c r="A1132" s="45" t="s">
        <v>74</v>
      </c>
      <c r="B1132" s="16" t="s">
        <v>231</v>
      </c>
      <c r="C1132" s="17" t="s">
        <v>232</v>
      </c>
      <c r="D1132" s="15">
        <v>2.0</v>
      </c>
      <c r="E1132" s="17" t="s">
        <v>491</v>
      </c>
      <c r="F1132" s="15" t="s">
        <v>492</v>
      </c>
      <c r="G1132" s="46" t="s">
        <v>493</v>
      </c>
      <c r="H1132" s="47" t="s">
        <v>437</v>
      </c>
      <c r="I1132" s="48" t="s">
        <v>25</v>
      </c>
      <c r="J1132" s="49">
        <v>2515000.0</v>
      </c>
    </row>
    <row r="1133">
      <c r="A1133" s="45" t="s">
        <v>74</v>
      </c>
      <c r="B1133" s="16" t="s">
        <v>231</v>
      </c>
      <c r="C1133" s="17" t="s">
        <v>232</v>
      </c>
      <c r="D1133" s="15">
        <v>2.0</v>
      </c>
      <c r="E1133" s="17" t="s">
        <v>494</v>
      </c>
      <c r="F1133" s="15" t="s">
        <v>495</v>
      </c>
      <c r="G1133" s="46" t="s">
        <v>496</v>
      </c>
      <c r="H1133" s="47" t="s">
        <v>497</v>
      </c>
      <c r="I1133" s="48" t="s">
        <v>25</v>
      </c>
      <c r="J1133" s="49">
        <v>352500.0</v>
      </c>
    </row>
    <row r="1134">
      <c r="A1134" s="45" t="s">
        <v>74</v>
      </c>
      <c r="B1134" s="16" t="s">
        <v>231</v>
      </c>
      <c r="C1134" s="17" t="s">
        <v>232</v>
      </c>
      <c r="D1134" s="15">
        <v>2.0</v>
      </c>
      <c r="E1134" s="17" t="s">
        <v>475</v>
      </c>
      <c r="F1134" s="15" t="s">
        <v>476</v>
      </c>
      <c r="G1134" s="46" t="s">
        <v>498</v>
      </c>
      <c r="H1134" s="47" t="s">
        <v>434</v>
      </c>
      <c r="I1134" s="48" t="s">
        <v>25</v>
      </c>
      <c r="J1134" s="49">
        <v>5467400.0</v>
      </c>
    </row>
    <row r="1135">
      <c r="A1135" s="45" t="s">
        <v>74</v>
      </c>
      <c r="B1135" s="16" t="s">
        <v>231</v>
      </c>
      <c r="C1135" s="17" t="s">
        <v>232</v>
      </c>
      <c r="D1135" s="15">
        <v>2.0</v>
      </c>
      <c r="E1135" s="17" t="s">
        <v>475</v>
      </c>
      <c r="F1135" s="15" t="s">
        <v>476</v>
      </c>
      <c r="G1135" s="46" t="s">
        <v>477</v>
      </c>
      <c r="H1135" s="47" t="s">
        <v>429</v>
      </c>
      <c r="I1135" s="48" t="s">
        <v>50</v>
      </c>
      <c r="J1135" s="49">
        <v>3.107746E7</v>
      </c>
    </row>
    <row r="1136">
      <c r="A1136" s="45" t="s">
        <v>74</v>
      </c>
      <c r="B1136" s="16" t="s">
        <v>231</v>
      </c>
      <c r="C1136" s="17" t="s">
        <v>232</v>
      </c>
      <c r="D1136" s="15">
        <v>2.0</v>
      </c>
      <c r="E1136" s="17" t="s">
        <v>524</v>
      </c>
      <c r="F1136" s="15" t="s">
        <v>479</v>
      </c>
      <c r="G1136" s="46" t="s">
        <v>443</v>
      </c>
      <c r="H1136" s="47" t="s">
        <v>420</v>
      </c>
      <c r="I1136" s="48" t="s">
        <v>19</v>
      </c>
      <c r="J1136" s="49">
        <v>6.9019245E7</v>
      </c>
    </row>
    <row r="1137">
      <c r="A1137" s="45" t="s">
        <v>74</v>
      </c>
      <c r="B1137" s="16" t="s">
        <v>231</v>
      </c>
      <c r="C1137" s="17" t="s">
        <v>232</v>
      </c>
      <c r="D1137" s="15">
        <v>2.0</v>
      </c>
      <c r="E1137" s="17" t="s">
        <v>524</v>
      </c>
      <c r="F1137" s="15" t="s">
        <v>479</v>
      </c>
      <c r="G1137" s="46" t="s">
        <v>444</v>
      </c>
      <c r="H1137" s="47" t="s">
        <v>445</v>
      </c>
      <c r="I1137" s="48" t="s">
        <v>19</v>
      </c>
      <c r="J1137" s="49">
        <v>3295417.0</v>
      </c>
    </row>
    <row r="1138">
      <c r="A1138" s="45" t="s">
        <v>74</v>
      </c>
      <c r="B1138" s="16" t="s">
        <v>231</v>
      </c>
      <c r="C1138" s="17" t="s">
        <v>232</v>
      </c>
      <c r="D1138" s="15">
        <v>2.0</v>
      </c>
      <c r="E1138" s="17" t="s">
        <v>524</v>
      </c>
      <c r="F1138" s="15" t="s">
        <v>479</v>
      </c>
      <c r="G1138" s="46" t="s">
        <v>446</v>
      </c>
      <c r="H1138" s="47" t="s">
        <v>447</v>
      </c>
      <c r="I1138" s="48" t="s">
        <v>19</v>
      </c>
      <c r="J1138" s="49">
        <v>829520.0</v>
      </c>
    </row>
    <row r="1139">
      <c r="A1139" s="45" t="s">
        <v>74</v>
      </c>
      <c r="B1139" s="16" t="s">
        <v>231</v>
      </c>
      <c r="C1139" s="17" t="s">
        <v>232</v>
      </c>
      <c r="D1139" s="15">
        <v>2.0</v>
      </c>
      <c r="E1139" s="17" t="s">
        <v>524</v>
      </c>
      <c r="F1139" s="15" t="s">
        <v>479</v>
      </c>
      <c r="G1139" s="46" t="s">
        <v>448</v>
      </c>
      <c r="H1139" s="47" t="s">
        <v>449</v>
      </c>
      <c r="I1139" s="48" t="s">
        <v>19</v>
      </c>
      <c r="J1139" s="49">
        <v>2085474.0</v>
      </c>
    </row>
    <row r="1140">
      <c r="A1140" s="45" t="s">
        <v>74</v>
      </c>
      <c r="B1140" s="16" t="s">
        <v>231</v>
      </c>
      <c r="C1140" s="17" t="s">
        <v>232</v>
      </c>
      <c r="D1140" s="15">
        <v>2.0</v>
      </c>
      <c r="E1140" s="17" t="s">
        <v>524</v>
      </c>
      <c r="F1140" s="15" t="s">
        <v>479</v>
      </c>
      <c r="G1140" s="46" t="s">
        <v>450</v>
      </c>
      <c r="H1140" s="47" t="s">
        <v>451</v>
      </c>
      <c r="I1140" s="48" t="s">
        <v>19</v>
      </c>
      <c r="J1140" s="49">
        <v>0.0</v>
      </c>
    </row>
    <row r="1141">
      <c r="A1141" s="45" t="s">
        <v>74</v>
      </c>
      <c r="B1141" s="16" t="s">
        <v>231</v>
      </c>
      <c r="C1141" s="17" t="s">
        <v>232</v>
      </c>
      <c r="D1141" s="15">
        <v>2.0</v>
      </c>
      <c r="E1141" s="17" t="s">
        <v>524</v>
      </c>
      <c r="F1141" s="15" t="s">
        <v>479</v>
      </c>
      <c r="G1141" s="46" t="s">
        <v>452</v>
      </c>
      <c r="H1141" s="47" t="s">
        <v>453</v>
      </c>
      <c r="I1141" s="48" t="s">
        <v>19</v>
      </c>
      <c r="J1141" s="49">
        <v>1534612.0</v>
      </c>
    </row>
    <row r="1142">
      <c r="A1142" s="45" t="s">
        <v>74</v>
      </c>
      <c r="B1142" s="16" t="s">
        <v>231</v>
      </c>
      <c r="C1142" s="17" t="s">
        <v>232</v>
      </c>
      <c r="D1142" s="15">
        <v>2.0</v>
      </c>
      <c r="E1142" s="17" t="s">
        <v>524</v>
      </c>
      <c r="F1142" s="15" t="s">
        <v>479</v>
      </c>
      <c r="G1142" s="46" t="s">
        <v>454</v>
      </c>
      <c r="H1142" s="47" t="s">
        <v>415</v>
      </c>
      <c r="I1142" s="48" t="s">
        <v>19</v>
      </c>
      <c r="J1142" s="49">
        <v>223971.0</v>
      </c>
    </row>
    <row r="1143">
      <c r="A1143" s="45" t="s">
        <v>74</v>
      </c>
      <c r="B1143" s="16" t="s">
        <v>231</v>
      </c>
      <c r="C1143" s="17" t="s">
        <v>232</v>
      </c>
      <c r="D1143" s="15">
        <v>2.0</v>
      </c>
      <c r="E1143" s="17" t="s">
        <v>524</v>
      </c>
      <c r="F1143" s="15" t="s">
        <v>479</v>
      </c>
      <c r="G1143" s="46" t="s">
        <v>455</v>
      </c>
      <c r="H1143" s="47" t="s">
        <v>415</v>
      </c>
      <c r="I1143" s="48" t="s">
        <v>19</v>
      </c>
      <c r="J1143" s="49">
        <v>124427.0</v>
      </c>
    </row>
    <row r="1144">
      <c r="A1144" s="45" t="s">
        <v>74</v>
      </c>
      <c r="B1144" s="16" t="s">
        <v>231</v>
      </c>
      <c r="C1144" s="17" t="s">
        <v>232</v>
      </c>
      <c r="D1144" s="15">
        <v>2.0</v>
      </c>
      <c r="E1144" s="17" t="s">
        <v>525</v>
      </c>
      <c r="F1144" s="15" t="s">
        <v>502</v>
      </c>
      <c r="G1144" s="46" t="s">
        <v>526</v>
      </c>
      <c r="H1144" s="47" t="s">
        <v>527</v>
      </c>
      <c r="I1144" s="48" t="s">
        <v>60</v>
      </c>
      <c r="J1144" s="49">
        <v>1.60641665E8</v>
      </c>
    </row>
    <row r="1145">
      <c r="A1145" s="45" t="s">
        <v>74</v>
      </c>
      <c r="B1145" s="16" t="s">
        <v>231</v>
      </c>
      <c r="C1145" s="17" t="s">
        <v>232</v>
      </c>
      <c r="D1145" s="15">
        <v>2.0</v>
      </c>
      <c r="E1145" s="17" t="s">
        <v>525</v>
      </c>
      <c r="F1145" s="15" t="s">
        <v>502</v>
      </c>
      <c r="G1145" s="46" t="s">
        <v>539</v>
      </c>
      <c r="H1145" s="47" t="s">
        <v>540</v>
      </c>
      <c r="I1145" s="48" t="s">
        <v>60</v>
      </c>
      <c r="J1145" s="49">
        <v>711797.0</v>
      </c>
    </row>
    <row r="1146">
      <c r="A1146" s="45" t="s">
        <v>74</v>
      </c>
      <c r="B1146" s="16" t="s">
        <v>231</v>
      </c>
      <c r="C1146" s="17" t="s">
        <v>232</v>
      </c>
      <c r="D1146" s="15">
        <v>2.0</v>
      </c>
      <c r="E1146" s="17" t="s">
        <v>525</v>
      </c>
      <c r="F1146" s="15" t="s">
        <v>502</v>
      </c>
      <c r="G1146" s="46" t="s">
        <v>505</v>
      </c>
      <c r="H1146" s="47" t="s">
        <v>506</v>
      </c>
      <c r="I1146" s="48" t="s">
        <v>60</v>
      </c>
      <c r="J1146" s="49">
        <v>3340880.0</v>
      </c>
    </row>
    <row r="1147">
      <c r="A1147" s="45" t="s">
        <v>74</v>
      </c>
      <c r="B1147" s="16" t="s">
        <v>231</v>
      </c>
      <c r="C1147" s="17" t="s">
        <v>232</v>
      </c>
      <c r="D1147" s="15">
        <v>2.0</v>
      </c>
      <c r="E1147" s="17" t="s">
        <v>525</v>
      </c>
      <c r="F1147" s="15" t="s">
        <v>502</v>
      </c>
      <c r="G1147" s="46" t="s">
        <v>507</v>
      </c>
      <c r="H1147" s="47" t="s">
        <v>508</v>
      </c>
      <c r="I1147" s="48" t="s">
        <v>60</v>
      </c>
      <c r="J1147" s="49">
        <v>1088874.0</v>
      </c>
    </row>
    <row r="1148">
      <c r="A1148" s="45" t="s">
        <v>74</v>
      </c>
      <c r="B1148" s="16" t="s">
        <v>231</v>
      </c>
      <c r="C1148" s="17" t="s">
        <v>232</v>
      </c>
      <c r="D1148" s="15">
        <v>2.0</v>
      </c>
      <c r="E1148" s="17" t="s">
        <v>525</v>
      </c>
      <c r="F1148" s="15" t="s">
        <v>502</v>
      </c>
      <c r="G1148" s="46" t="s">
        <v>509</v>
      </c>
      <c r="H1148" s="47" t="s">
        <v>510</v>
      </c>
      <c r="I1148" s="48" t="s">
        <v>60</v>
      </c>
      <c r="J1148" s="49">
        <v>133334.0</v>
      </c>
    </row>
    <row r="1149">
      <c r="A1149" s="45" t="s">
        <v>74</v>
      </c>
      <c r="B1149" s="16" t="s">
        <v>231</v>
      </c>
      <c r="C1149" s="17" t="s">
        <v>232</v>
      </c>
      <c r="D1149" s="15">
        <v>2.0</v>
      </c>
      <c r="E1149" s="17" t="s">
        <v>525</v>
      </c>
      <c r="F1149" s="15" t="s">
        <v>502</v>
      </c>
      <c r="G1149" s="46" t="s">
        <v>511</v>
      </c>
      <c r="H1149" s="47" t="s">
        <v>512</v>
      </c>
      <c r="I1149" s="48" t="s">
        <v>60</v>
      </c>
      <c r="J1149" s="49">
        <v>2988806.0</v>
      </c>
    </row>
    <row r="1150">
      <c r="A1150" s="45" t="s">
        <v>74</v>
      </c>
      <c r="B1150" s="16" t="s">
        <v>231</v>
      </c>
      <c r="C1150" s="17" t="s">
        <v>232</v>
      </c>
      <c r="D1150" s="15">
        <v>2.0</v>
      </c>
      <c r="E1150" s="17" t="s">
        <v>525</v>
      </c>
      <c r="F1150" s="15" t="s">
        <v>502</v>
      </c>
      <c r="G1150" s="46" t="s">
        <v>513</v>
      </c>
      <c r="H1150" s="47" t="s">
        <v>514</v>
      </c>
      <c r="I1150" s="48" t="s">
        <v>60</v>
      </c>
      <c r="J1150" s="49">
        <v>1640104.0</v>
      </c>
    </row>
    <row r="1151">
      <c r="A1151" s="45" t="s">
        <v>74</v>
      </c>
      <c r="B1151" s="16" t="s">
        <v>231</v>
      </c>
      <c r="C1151" s="17" t="s">
        <v>232</v>
      </c>
      <c r="D1151" s="15">
        <v>2.0</v>
      </c>
      <c r="E1151" s="17" t="s">
        <v>548</v>
      </c>
      <c r="F1151" s="15" t="s">
        <v>549</v>
      </c>
      <c r="G1151" s="46" t="s">
        <v>550</v>
      </c>
      <c r="H1151" s="47" t="s">
        <v>551</v>
      </c>
      <c r="I1151" s="48" t="s">
        <v>25</v>
      </c>
      <c r="J1151" s="49">
        <v>3.5337E7</v>
      </c>
    </row>
    <row r="1152">
      <c r="A1152" s="45" t="s">
        <v>74</v>
      </c>
      <c r="B1152" s="16" t="s">
        <v>233</v>
      </c>
      <c r="C1152" s="17" t="s">
        <v>234</v>
      </c>
      <c r="D1152" s="15">
        <v>2.0</v>
      </c>
      <c r="E1152" s="17" t="s">
        <v>441</v>
      </c>
      <c r="F1152" s="15" t="s">
        <v>442</v>
      </c>
      <c r="G1152" s="46" t="s">
        <v>443</v>
      </c>
      <c r="H1152" s="47" t="s">
        <v>420</v>
      </c>
      <c r="I1152" s="48" t="s">
        <v>19</v>
      </c>
      <c r="J1152" s="49">
        <v>4.6847268E7</v>
      </c>
    </row>
    <row r="1153">
      <c r="A1153" s="45" t="s">
        <v>74</v>
      </c>
      <c r="B1153" s="16" t="s">
        <v>233</v>
      </c>
      <c r="C1153" s="17" t="s">
        <v>234</v>
      </c>
      <c r="D1153" s="15">
        <v>2.0</v>
      </c>
      <c r="E1153" s="17" t="s">
        <v>441</v>
      </c>
      <c r="F1153" s="15" t="s">
        <v>442</v>
      </c>
      <c r="G1153" s="46" t="s">
        <v>444</v>
      </c>
      <c r="H1153" s="47" t="s">
        <v>445</v>
      </c>
      <c r="I1153" s="48" t="s">
        <v>19</v>
      </c>
      <c r="J1153" s="49">
        <v>4036399.0</v>
      </c>
    </row>
    <row r="1154">
      <c r="A1154" s="45" t="s">
        <v>74</v>
      </c>
      <c r="B1154" s="16" t="s">
        <v>233</v>
      </c>
      <c r="C1154" s="17" t="s">
        <v>234</v>
      </c>
      <c r="D1154" s="15">
        <v>2.0</v>
      </c>
      <c r="E1154" s="17" t="s">
        <v>441</v>
      </c>
      <c r="F1154" s="15" t="s">
        <v>442</v>
      </c>
      <c r="G1154" s="46" t="s">
        <v>446</v>
      </c>
      <c r="H1154" s="47" t="s">
        <v>447</v>
      </c>
      <c r="I1154" s="48" t="s">
        <v>19</v>
      </c>
      <c r="J1154" s="49">
        <v>483718.0</v>
      </c>
    </row>
    <row r="1155">
      <c r="A1155" s="45" t="s">
        <v>74</v>
      </c>
      <c r="B1155" s="16" t="s">
        <v>233</v>
      </c>
      <c r="C1155" s="17" t="s">
        <v>234</v>
      </c>
      <c r="D1155" s="15">
        <v>2.0</v>
      </c>
      <c r="E1155" s="17" t="s">
        <v>441</v>
      </c>
      <c r="F1155" s="15" t="s">
        <v>442</v>
      </c>
      <c r="G1155" s="46" t="s">
        <v>448</v>
      </c>
      <c r="H1155" s="47" t="s">
        <v>449</v>
      </c>
      <c r="I1155" s="48" t="s">
        <v>19</v>
      </c>
      <c r="J1155" s="49">
        <v>1295592.0</v>
      </c>
    </row>
    <row r="1156">
      <c r="A1156" s="45" t="s">
        <v>74</v>
      </c>
      <c r="B1156" s="16" t="s">
        <v>233</v>
      </c>
      <c r="C1156" s="17" t="s">
        <v>234</v>
      </c>
      <c r="D1156" s="15">
        <v>2.0</v>
      </c>
      <c r="E1156" s="17" t="s">
        <v>441</v>
      </c>
      <c r="F1156" s="15" t="s">
        <v>442</v>
      </c>
      <c r="G1156" s="46" t="s">
        <v>450</v>
      </c>
      <c r="H1156" s="47" t="s">
        <v>451</v>
      </c>
      <c r="I1156" s="48" t="s">
        <v>19</v>
      </c>
      <c r="J1156" s="49">
        <v>0.0</v>
      </c>
    </row>
    <row r="1157">
      <c r="A1157" s="45" t="s">
        <v>74</v>
      </c>
      <c r="B1157" s="16" t="s">
        <v>233</v>
      </c>
      <c r="C1157" s="17" t="s">
        <v>234</v>
      </c>
      <c r="D1157" s="15">
        <v>2.0</v>
      </c>
      <c r="E1157" s="17" t="s">
        <v>441</v>
      </c>
      <c r="F1157" s="15" t="s">
        <v>442</v>
      </c>
      <c r="G1157" s="46" t="s">
        <v>452</v>
      </c>
      <c r="H1157" s="47" t="s">
        <v>453</v>
      </c>
      <c r="I1157" s="48" t="s">
        <v>19</v>
      </c>
      <c r="J1157" s="49">
        <v>896987.0</v>
      </c>
    </row>
    <row r="1158">
      <c r="A1158" s="45" t="s">
        <v>74</v>
      </c>
      <c r="B1158" s="16" t="s">
        <v>233</v>
      </c>
      <c r="C1158" s="17" t="s">
        <v>234</v>
      </c>
      <c r="D1158" s="15">
        <v>2.0</v>
      </c>
      <c r="E1158" s="17" t="s">
        <v>441</v>
      </c>
      <c r="F1158" s="15" t="s">
        <v>442</v>
      </c>
      <c r="G1158" s="46" t="s">
        <v>454</v>
      </c>
      <c r="H1158" s="47" t="s">
        <v>415</v>
      </c>
      <c r="I1158" s="48" t="s">
        <v>19</v>
      </c>
      <c r="J1158" s="49">
        <v>130912.0</v>
      </c>
    </row>
    <row r="1159">
      <c r="A1159" s="45" t="s">
        <v>74</v>
      </c>
      <c r="B1159" s="16" t="s">
        <v>233</v>
      </c>
      <c r="C1159" s="17" t="s">
        <v>234</v>
      </c>
      <c r="D1159" s="15">
        <v>2.0</v>
      </c>
      <c r="E1159" s="17" t="s">
        <v>441</v>
      </c>
      <c r="F1159" s="15" t="s">
        <v>442</v>
      </c>
      <c r="G1159" s="46" t="s">
        <v>455</v>
      </c>
      <c r="H1159" s="47" t="s">
        <v>415</v>
      </c>
      <c r="I1159" s="48" t="s">
        <v>19</v>
      </c>
      <c r="J1159" s="49">
        <v>72728.0</v>
      </c>
    </row>
    <row r="1160">
      <c r="A1160" s="45" t="s">
        <v>74</v>
      </c>
      <c r="B1160" s="16" t="s">
        <v>233</v>
      </c>
      <c r="C1160" s="17" t="s">
        <v>234</v>
      </c>
      <c r="D1160" s="15">
        <v>2.0</v>
      </c>
      <c r="E1160" s="17" t="s">
        <v>456</v>
      </c>
      <c r="F1160" s="15" t="s">
        <v>457</v>
      </c>
      <c r="G1160" s="46" t="s">
        <v>515</v>
      </c>
      <c r="H1160" s="47" t="s">
        <v>413</v>
      </c>
      <c r="I1160" s="48" t="s">
        <v>19</v>
      </c>
      <c r="J1160" s="49">
        <v>3252260.0</v>
      </c>
    </row>
    <row r="1161">
      <c r="A1161" s="45" t="s">
        <v>74</v>
      </c>
      <c r="B1161" s="16" t="s">
        <v>233</v>
      </c>
      <c r="C1161" s="17" t="s">
        <v>234</v>
      </c>
      <c r="D1161" s="15">
        <v>2.0</v>
      </c>
      <c r="E1161" s="17" t="s">
        <v>456</v>
      </c>
      <c r="F1161" s="15" t="s">
        <v>457</v>
      </c>
      <c r="G1161" s="46" t="s">
        <v>458</v>
      </c>
      <c r="H1161" s="47" t="s">
        <v>411</v>
      </c>
      <c r="I1161" s="48" t="s">
        <v>19</v>
      </c>
      <c r="J1161" s="49">
        <v>1.67281296E8</v>
      </c>
    </row>
    <row r="1162">
      <c r="A1162" s="45" t="s">
        <v>74</v>
      </c>
      <c r="B1162" s="16" t="s">
        <v>233</v>
      </c>
      <c r="C1162" s="17" t="s">
        <v>234</v>
      </c>
      <c r="D1162" s="15">
        <v>2.0</v>
      </c>
      <c r="E1162" s="17" t="s">
        <v>459</v>
      </c>
      <c r="F1162" s="15" t="s">
        <v>460</v>
      </c>
      <c r="G1162" s="46" t="s">
        <v>461</v>
      </c>
      <c r="H1162" s="47" t="s">
        <v>462</v>
      </c>
      <c r="I1162" s="48" t="s">
        <v>37</v>
      </c>
      <c r="J1162" s="49">
        <v>495000.0</v>
      </c>
    </row>
    <row r="1163">
      <c r="A1163" s="45" t="s">
        <v>74</v>
      </c>
      <c r="B1163" s="16" t="s">
        <v>233</v>
      </c>
      <c r="C1163" s="17" t="s">
        <v>234</v>
      </c>
      <c r="D1163" s="15">
        <v>2.0</v>
      </c>
      <c r="E1163" s="17" t="s">
        <v>459</v>
      </c>
      <c r="F1163" s="15" t="s">
        <v>460</v>
      </c>
      <c r="G1163" s="46" t="s">
        <v>458</v>
      </c>
      <c r="H1163" s="47" t="s">
        <v>411</v>
      </c>
      <c r="I1163" s="48" t="s">
        <v>19</v>
      </c>
      <c r="J1163" s="49">
        <v>5620374.0</v>
      </c>
    </row>
    <row r="1164">
      <c r="A1164" s="45" t="s">
        <v>74</v>
      </c>
      <c r="B1164" s="16" t="s">
        <v>233</v>
      </c>
      <c r="C1164" s="17" t="s">
        <v>234</v>
      </c>
      <c r="D1164" s="15">
        <v>2.0</v>
      </c>
      <c r="E1164" s="17" t="s">
        <v>463</v>
      </c>
      <c r="F1164" s="15" t="s">
        <v>464</v>
      </c>
      <c r="G1164" s="46" t="s">
        <v>519</v>
      </c>
      <c r="H1164" s="47" t="s">
        <v>414</v>
      </c>
      <c r="I1164" s="48" t="s">
        <v>37</v>
      </c>
      <c r="J1164" s="49">
        <v>20541.0</v>
      </c>
    </row>
    <row r="1165">
      <c r="A1165" s="45" t="s">
        <v>74</v>
      </c>
      <c r="B1165" s="16" t="s">
        <v>233</v>
      </c>
      <c r="C1165" s="17" t="s">
        <v>234</v>
      </c>
      <c r="D1165" s="15">
        <v>2.0</v>
      </c>
      <c r="E1165" s="17" t="s">
        <v>463</v>
      </c>
      <c r="F1165" s="15" t="s">
        <v>464</v>
      </c>
      <c r="G1165" s="46" t="s">
        <v>489</v>
      </c>
      <c r="H1165" s="47" t="s">
        <v>490</v>
      </c>
      <c r="I1165" s="48" t="s">
        <v>37</v>
      </c>
      <c r="J1165" s="49">
        <v>0.0</v>
      </c>
    </row>
    <row r="1166">
      <c r="A1166" s="45" t="s">
        <v>74</v>
      </c>
      <c r="B1166" s="16" t="s">
        <v>233</v>
      </c>
      <c r="C1166" s="17" t="s">
        <v>234</v>
      </c>
      <c r="D1166" s="15">
        <v>2.0</v>
      </c>
      <c r="E1166" s="17" t="s">
        <v>463</v>
      </c>
      <c r="F1166" s="15" t="s">
        <v>464</v>
      </c>
      <c r="G1166" s="46" t="s">
        <v>458</v>
      </c>
      <c r="H1166" s="47" t="s">
        <v>411</v>
      </c>
      <c r="I1166" s="48" t="s">
        <v>19</v>
      </c>
      <c r="J1166" s="49">
        <v>208162.0</v>
      </c>
    </row>
    <row r="1167">
      <c r="A1167" s="45" t="s">
        <v>74</v>
      </c>
      <c r="B1167" s="16" t="s">
        <v>233</v>
      </c>
      <c r="C1167" s="17" t="s">
        <v>234</v>
      </c>
      <c r="D1167" s="15">
        <v>2.0</v>
      </c>
      <c r="E1167" s="17" t="s">
        <v>463</v>
      </c>
      <c r="F1167" s="15" t="s">
        <v>464</v>
      </c>
      <c r="G1167" s="46" t="s">
        <v>486</v>
      </c>
      <c r="H1167" s="47" t="s">
        <v>432</v>
      </c>
      <c r="I1167" s="48" t="s">
        <v>37</v>
      </c>
      <c r="J1167" s="49">
        <v>1792520.0</v>
      </c>
    </row>
    <row r="1168">
      <c r="A1168" s="45" t="s">
        <v>74</v>
      </c>
      <c r="B1168" s="16" t="s">
        <v>233</v>
      </c>
      <c r="C1168" s="17" t="s">
        <v>234</v>
      </c>
      <c r="D1168" s="15">
        <v>2.0</v>
      </c>
      <c r="E1168" s="17" t="s">
        <v>487</v>
      </c>
      <c r="F1168" s="15" t="s">
        <v>488</v>
      </c>
      <c r="G1168" s="46" t="s">
        <v>489</v>
      </c>
      <c r="H1168" s="47" t="s">
        <v>490</v>
      </c>
      <c r="I1168" s="48" t="s">
        <v>17</v>
      </c>
      <c r="J1168" s="49">
        <v>455000.0</v>
      </c>
    </row>
    <row r="1169">
      <c r="A1169" s="45" t="s">
        <v>74</v>
      </c>
      <c r="B1169" s="16" t="s">
        <v>233</v>
      </c>
      <c r="C1169" s="17" t="s">
        <v>234</v>
      </c>
      <c r="D1169" s="15">
        <v>2.0</v>
      </c>
      <c r="E1169" s="17" t="s">
        <v>487</v>
      </c>
      <c r="F1169" s="15" t="s">
        <v>488</v>
      </c>
      <c r="G1169" s="46" t="s">
        <v>489</v>
      </c>
      <c r="H1169" s="47" t="s">
        <v>490</v>
      </c>
      <c r="I1169" s="48" t="s">
        <v>37</v>
      </c>
      <c r="J1169" s="49">
        <v>6646000.0</v>
      </c>
    </row>
    <row r="1170">
      <c r="A1170" s="45" t="s">
        <v>74</v>
      </c>
      <c r="B1170" s="16" t="s">
        <v>233</v>
      </c>
      <c r="C1170" s="17" t="s">
        <v>234</v>
      </c>
      <c r="D1170" s="15">
        <v>2.0</v>
      </c>
      <c r="E1170" s="17" t="s">
        <v>487</v>
      </c>
      <c r="F1170" s="15" t="s">
        <v>488</v>
      </c>
      <c r="G1170" s="46" t="s">
        <v>489</v>
      </c>
      <c r="H1170" s="47" t="s">
        <v>490</v>
      </c>
      <c r="I1170" s="48" t="s">
        <v>25</v>
      </c>
      <c r="J1170" s="49">
        <v>2000000.0</v>
      </c>
    </row>
    <row r="1171">
      <c r="A1171" s="45" t="s">
        <v>74</v>
      </c>
      <c r="B1171" s="16" t="s">
        <v>233</v>
      </c>
      <c r="C1171" s="17" t="s">
        <v>234</v>
      </c>
      <c r="D1171" s="15">
        <v>2.0</v>
      </c>
      <c r="E1171" s="17" t="s">
        <v>487</v>
      </c>
      <c r="F1171" s="15" t="s">
        <v>488</v>
      </c>
      <c r="G1171" s="46" t="s">
        <v>486</v>
      </c>
      <c r="H1171" s="47" t="s">
        <v>432</v>
      </c>
      <c r="I1171" s="48" t="s">
        <v>37</v>
      </c>
      <c r="J1171" s="49">
        <v>416100.0</v>
      </c>
    </row>
    <row r="1172">
      <c r="A1172" s="45" t="s">
        <v>74</v>
      </c>
      <c r="B1172" s="16" t="s">
        <v>233</v>
      </c>
      <c r="C1172" s="17" t="s">
        <v>234</v>
      </c>
      <c r="D1172" s="15">
        <v>2.0</v>
      </c>
      <c r="E1172" s="17" t="s">
        <v>469</v>
      </c>
      <c r="F1172" s="15" t="s">
        <v>470</v>
      </c>
      <c r="G1172" s="46" t="s">
        <v>471</v>
      </c>
      <c r="H1172" s="47" t="s">
        <v>472</v>
      </c>
      <c r="I1172" s="48" t="s">
        <v>25</v>
      </c>
      <c r="J1172" s="49">
        <v>1065600.0</v>
      </c>
    </row>
    <row r="1173">
      <c r="A1173" s="45" t="s">
        <v>74</v>
      </c>
      <c r="B1173" s="16" t="s">
        <v>233</v>
      </c>
      <c r="C1173" s="17" t="s">
        <v>234</v>
      </c>
      <c r="D1173" s="15">
        <v>2.0</v>
      </c>
      <c r="E1173" s="17" t="s">
        <v>473</v>
      </c>
      <c r="F1173" s="15" t="s">
        <v>474</v>
      </c>
      <c r="G1173" s="46" t="s">
        <v>523</v>
      </c>
      <c r="H1173" s="47" t="s">
        <v>431</v>
      </c>
      <c r="I1173" s="48" t="s">
        <v>17</v>
      </c>
      <c r="J1173" s="49">
        <v>8.77189096E8</v>
      </c>
    </row>
    <row r="1174">
      <c r="A1174" s="45" t="s">
        <v>74</v>
      </c>
      <c r="B1174" s="16" t="s">
        <v>233</v>
      </c>
      <c r="C1174" s="17" t="s">
        <v>234</v>
      </c>
      <c r="D1174" s="15">
        <v>2.0</v>
      </c>
      <c r="E1174" s="17" t="s">
        <v>473</v>
      </c>
      <c r="F1174" s="15" t="s">
        <v>474</v>
      </c>
      <c r="G1174" s="46" t="s">
        <v>523</v>
      </c>
      <c r="H1174" s="47" t="s">
        <v>431</v>
      </c>
      <c r="I1174" s="48" t="s">
        <v>25</v>
      </c>
      <c r="J1174" s="49">
        <v>-6.34654856E8</v>
      </c>
    </row>
    <row r="1175">
      <c r="A1175" s="45" t="s">
        <v>74</v>
      </c>
      <c r="B1175" s="16" t="s">
        <v>233</v>
      </c>
      <c r="C1175" s="17" t="s">
        <v>234</v>
      </c>
      <c r="D1175" s="15">
        <v>2.0</v>
      </c>
      <c r="E1175" s="17" t="s">
        <v>473</v>
      </c>
      <c r="F1175" s="15" t="s">
        <v>474</v>
      </c>
      <c r="G1175" s="46" t="s">
        <v>458</v>
      </c>
      <c r="H1175" s="47" t="s">
        <v>411</v>
      </c>
      <c r="I1175" s="48" t="s">
        <v>19</v>
      </c>
      <c r="J1175" s="49">
        <v>3.5845992E7</v>
      </c>
    </row>
    <row r="1176">
      <c r="A1176" s="45" t="s">
        <v>74</v>
      </c>
      <c r="B1176" s="16" t="s">
        <v>233</v>
      </c>
      <c r="C1176" s="17" t="s">
        <v>234</v>
      </c>
      <c r="D1176" s="15">
        <v>2.0</v>
      </c>
      <c r="E1176" s="17" t="s">
        <v>491</v>
      </c>
      <c r="F1176" s="15" t="s">
        <v>492</v>
      </c>
      <c r="G1176" s="46" t="s">
        <v>493</v>
      </c>
      <c r="H1176" s="47" t="s">
        <v>437</v>
      </c>
      <c r="I1176" s="48" t="s">
        <v>25</v>
      </c>
      <c r="J1176" s="49">
        <v>5980417.0</v>
      </c>
    </row>
    <row r="1177">
      <c r="A1177" s="45" t="s">
        <v>74</v>
      </c>
      <c r="B1177" s="16" t="s">
        <v>233</v>
      </c>
      <c r="C1177" s="17" t="s">
        <v>234</v>
      </c>
      <c r="D1177" s="15">
        <v>2.0</v>
      </c>
      <c r="E1177" s="17" t="s">
        <v>491</v>
      </c>
      <c r="F1177" s="15" t="s">
        <v>492</v>
      </c>
      <c r="G1177" s="46" t="s">
        <v>458</v>
      </c>
      <c r="H1177" s="47" t="s">
        <v>411</v>
      </c>
      <c r="I1177" s="48" t="s">
        <v>19</v>
      </c>
      <c r="J1177" s="49">
        <v>5828536.0</v>
      </c>
    </row>
    <row r="1178">
      <c r="A1178" s="45" t="s">
        <v>74</v>
      </c>
      <c r="B1178" s="16" t="s">
        <v>233</v>
      </c>
      <c r="C1178" s="17" t="s">
        <v>234</v>
      </c>
      <c r="D1178" s="15">
        <v>2.0</v>
      </c>
      <c r="E1178" s="17" t="s">
        <v>475</v>
      </c>
      <c r="F1178" s="15" t="s">
        <v>476</v>
      </c>
      <c r="G1178" s="46" t="s">
        <v>554</v>
      </c>
      <c r="H1178" s="47" t="s">
        <v>555</v>
      </c>
      <c r="I1178" s="48" t="s">
        <v>17</v>
      </c>
      <c r="J1178" s="49">
        <v>1.0956522E7</v>
      </c>
    </row>
    <row r="1179">
      <c r="A1179" s="45" t="s">
        <v>74</v>
      </c>
      <c r="B1179" s="16" t="s">
        <v>233</v>
      </c>
      <c r="C1179" s="17" t="s">
        <v>234</v>
      </c>
      <c r="D1179" s="15">
        <v>2.0</v>
      </c>
      <c r="E1179" s="17" t="s">
        <v>475</v>
      </c>
      <c r="F1179" s="15" t="s">
        <v>476</v>
      </c>
      <c r="G1179" s="46" t="s">
        <v>498</v>
      </c>
      <c r="H1179" s="47" t="s">
        <v>434</v>
      </c>
      <c r="I1179" s="48" t="s">
        <v>25</v>
      </c>
      <c r="J1179" s="49">
        <v>5992100.0</v>
      </c>
    </row>
    <row r="1180">
      <c r="A1180" s="45" t="s">
        <v>74</v>
      </c>
      <c r="B1180" s="16" t="s">
        <v>233</v>
      </c>
      <c r="C1180" s="17" t="s">
        <v>234</v>
      </c>
      <c r="D1180" s="15">
        <v>2.0</v>
      </c>
      <c r="E1180" s="17" t="s">
        <v>475</v>
      </c>
      <c r="F1180" s="15" t="s">
        <v>476</v>
      </c>
      <c r="G1180" s="46" t="s">
        <v>477</v>
      </c>
      <c r="H1180" s="47" t="s">
        <v>429</v>
      </c>
      <c r="I1180" s="48" t="s">
        <v>50</v>
      </c>
      <c r="J1180" s="49">
        <v>1.678475E7</v>
      </c>
    </row>
    <row r="1181">
      <c r="A1181" s="45" t="s">
        <v>74</v>
      </c>
      <c r="B1181" s="16" t="s">
        <v>233</v>
      </c>
      <c r="C1181" s="17" t="s">
        <v>234</v>
      </c>
      <c r="D1181" s="15">
        <v>2.0</v>
      </c>
      <c r="E1181" s="17" t="s">
        <v>475</v>
      </c>
      <c r="F1181" s="15" t="s">
        <v>476</v>
      </c>
      <c r="G1181" s="46" t="s">
        <v>575</v>
      </c>
      <c r="H1181" s="47" t="s">
        <v>576</v>
      </c>
      <c r="I1181" s="48" t="s">
        <v>25</v>
      </c>
      <c r="J1181" s="49">
        <v>2415000.0</v>
      </c>
    </row>
    <row r="1182">
      <c r="A1182" s="45" t="s">
        <v>74</v>
      </c>
      <c r="B1182" s="16" t="s">
        <v>233</v>
      </c>
      <c r="C1182" s="17" t="s">
        <v>234</v>
      </c>
      <c r="D1182" s="15">
        <v>2.0</v>
      </c>
      <c r="E1182" s="17" t="s">
        <v>524</v>
      </c>
      <c r="F1182" s="15" t="s">
        <v>479</v>
      </c>
      <c r="G1182" s="46" t="s">
        <v>443</v>
      </c>
      <c r="H1182" s="47" t="s">
        <v>420</v>
      </c>
      <c r="I1182" s="48" t="s">
        <v>19</v>
      </c>
      <c r="J1182" s="49">
        <v>6.3306236E7</v>
      </c>
    </row>
    <row r="1183">
      <c r="A1183" s="45" t="s">
        <v>74</v>
      </c>
      <c r="B1183" s="16" t="s">
        <v>233</v>
      </c>
      <c r="C1183" s="17" t="s">
        <v>234</v>
      </c>
      <c r="D1183" s="15">
        <v>2.0</v>
      </c>
      <c r="E1183" s="17" t="s">
        <v>524</v>
      </c>
      <c r="F1183" s="15" t="s">
        <v>479</v>
      </c>
      <c r="G1183" s="46" t="s">
        <v>444</v>
      </c>
      <c r="H1183" s="47" t="s">
        <v>445</v>
      </c>
      <c r="I1183" s="48" t="s">
        <v>19</v>
      </c>
      <c r="J1183" s="49">
        <v>3368538.0</v>
      </c>
    </row>
    <row r="1184">
      <c r="A1184" s="45" t="s">
        <v>74</v>
      </c>
      <c r="B1184" s="16" t="s">
        <v>233</v>
      </c>
      <c r="C1184" s="17" t="s">
        <v>234</v>
      </c>
      <c r="D1184" s="15">
        <v>2.0</v>
      </c>
      <c r="E1184" s="17" t="s">
        <v>524</v>
      </c>
      <c r="F1184" s="15" t="s">
        <v>479</v>
      </c>
      <c r="G1184" s="46" t="s">
        <v>446</v>
      </c>
      <c r="H1184" s="47" t="s">
        <v>447</v>
      </c>
      <c r="I1184" s="48" t="s">
        <v>19</v>
      </c>
      <c r="J1184" s="49">
        <v>708407.0</v>
      </c>
    </row>
    <row r="1185">
      <c r="A1185" s="45" t="s">
        <v>74</v>
      </c>
      <c r="B1185" s="16" t="s">
        <v>233</v>
      </c>
      <c r="C1185" s="17" t="s">
        <v>234</v>
      </c>
      <c r="D1185" s="15">
        <v>2.0</v>
      </c>
      <c r="E1185" s="17" t="s">
        <v>524</v>
      </c>
      <c r="F1185" s="15" t="s">
        <v>479</v>
      </c>
      <c r="G1185" s="46" t="s">
        <v>448</v>
      </c>
      <c r="H1185" s="47" t="s">
        <v>449</v>
      </c>
      <c r="I1185" s="48" t="s">
        <v>19</v>
      </c>
      <c r="J1185" s="49">
        <v>1892935.0</v>
      </c>
    </row>
    <row r="1186">
      <c r="A1186" s="45" t="s">
        <v>74</v>
      </c>
      <c r="B1186" s="16" t="s">
        <v>233</v>
      </c>
      <c r="C1186" s="17" t="s">
        <v>234</v>
      </c>
      <c r="D1186" s="15">
        <v>2.0</v>
      </c>
      <c r="E1186" s="17" t="s">
        <v>524</v>
      </c>
      <c r="F1186" s="15" t="s">
        <v>479</v>
      </c>
      <c r="G1186" s="46" t="s">
        <v>452</v>
      </c>
      <c r="H1186" s="47" t="s">
        <v>453</v>
      </c>
      <c r="I1186" s="48" t="s">
        <v>19</v>
      </c>
      <c r="J1186" s="49">
        <v>1310552.0</v>
      </c>
    </row>
    <row r="1187">
      <c r="A1187" s="45" t="s">
        <v>74</v>
      </c>
      <c r="B1187" s="16" t="s">
        <v>233</v>
      </c>
      <c r="C1187" s="17" t="s">
        <v>234</v>
      </c>
      <c r="D1187" s="15">
        <v>2.0</v>
      </c>
      <c r="E1187" s="17" t="s">
        <v>524</v>
      </c>
      <c r="F1187" s="15" t="s">
        <v>479</v>
      </c>
      <c r="G1187" s="46" t="s">
        <v>454</v>
      </c>
      <c r="H1187" s="47" t="s">
        <v>415</v>
      </c>
      <c r="I1187" s="48" t="s">
        <v>19</v>
      </c>
      <c r="J1187" s="49">
        <v>191270.0</v>
      </c>
    </row>
    <row r="1188">
      <c r="A1188" s="45" t="s">
        <v>74</v>
      </c>
      <c r="B1188" s="16" t="s">
        <v>233</v>
      </c>
      <c r="C1188" s="17" t="s">
        <v>234</v>
      </c>
      <c r="D1188" s="15">
        <v>2.0</v>
      </c>
      <c r="E1188" s="17" t="s">
        <v>524</v>
      </c>
      <c r="F1188" s="15" t="s">
        <v>479</v>
      </c>
      <c r="G1188" s="46" t="s">
        <v>455</v>
      </c>
      <c r="H1188" s="47" t="s">
        <v>415</v>
      </c>
      <c r="I1188" s="48" t="s">
        <v>19</v>
      </c>
      <c r="J1188" s="49">
        <v>106261.0</v>
      </c>
    </row>
    <row r="1189">
      <c r="A1189" s="45" t="s">
        <v>74</v>
      </c>
      <c r="B1189" s="16" t="s">
        <v>233</v>
      </c>
      <c r="C1189" s="17" t="s">
        <v>234</v>
      </c>
      <c r="D1189" s="15">
        <v>2.0</v>
      </c>
      <c r="E1189" s="17" t="s">
        <v>524</v>
      </c>
      <c r="F1189" s="15" t="s">
        <v>479</v>
      </c>
      <c r="G1189" s="46" t="s">
        <v>499</v>
      </c>
      <c r="H1189" s="47" t="s">
        <v>500</v>
      </c>
      <c r="I1189" s="48" t="s">
        <v>19</v>
      </c>
      <c r="J1189" s="49">
        <v>1.6259654E7</v>
      </c>
    </row>
    <row r="1190">
      <c r="A1190" s="45" t="s">
        <v>74</v>
      </c>
      <c r="B1190" s="16" t="s">
        <v>233</v>
      </c>
      <c r="C1190" s="17" t="s">
        <v>234</v>
      </c>
      <c r="D1190" s="15">
        <v>2.0</v>
      </c>
      <c r="E1190" s="17" t="s">
        <v>525</v>
      </c>
      <c r="F1190" s="15" t="s">
        <v>502</v>
      </c>
      <c r="G1190" s="46" t="s">
        <v>526</v>
      </c>
      <c r="H1190" s="47" t="s">
        <v>527</v>
      </c>
      <c r="I1190" s="48" t="s">
        <v>60</v>
      </c>
      <c r="J1190" s="49">
        <v>3.67712828E8</v>
      </c>
    </row>
    <row r="1191">
      <c r="A1191" s="45" t="s">
        <v>74</v>
      </c>
      <c r="B1191" s="16" t="s">
        <v>233</v>
      </c>
      <c r="C1191" s="17" t="s">
        <v>234</v>
      </c>
      <c r="D1191" s="15">
        <v>2.0</v>
      </c>
      <c r="E1191" s="17" t="s">
        <v>525</v>
      </c>
      <c r="F1191" s="15" t="s">
        <v>502</v>
      </c>
      <c r="G1191" s="46" t="s">
        <v>507</v>
      </c>
      <c r="H1191" s="47" t="s">
        <v>508</v>
      </c>
      <c r="I1191" s="48" t="s">
        <v>60</v>
      </c>
      <c r="J1191" s="49">
        <v>7438770.0</v>
      </c>
    </row>
    <row r="1192">
      <c r="A1192" s="45" t="s">
        <v>74</v>
      </c>
      <c r="B1192" s="16" t="s">
        <v>233</v>
      </c>
      <c r="C1192" s="17" t="s">
        <v>234</v>
      </c>
      <c r="D1192" s="15">
        <v>2.0</v>
      </c>
      <c r="E1192" s="17" t="s">
        <v>525</v>
      </c>
      <c r="F1192" s="15" t="s">
        <v>502</v>
      </c>
      <c r="G1192" s="46" t="s">
        <v>509</v>
      </c>
      <c r="H1192" s="47" t="s">
        <v>510</v>
      </c>
      <c r="I1192" s="48" t="s">
        <v>60</v>
      </c>
      <c r="J1192" s="49">
        <v>408334.0</v>
      </c>
    </row>
    <row r="1193">
      <c r="A1193" s="45" t="s">
        <v>74</v>
      </c>
      <c r="B1193" s="16" t="s">
        <v>233</v>
      </c>
      <c r="C1193" s="17" t="s">
        <v>234</v>
      </c>
      <c r="D1193" s="15">
        <v>2.0</v>
      </c>
      <c r="E1193" s="17" t="s">
        <v>525</v>
      </c>
      <c r="F1193" s="15" t="s">
        <v>502</v>
      </c>
      <c r="G1193" s="46" t="s">
        <v>567</v>
      </c>
      <c r="H1193" s="47" t="s">
        <v>568</v>
      </c>
      <c r="I1193" s="48" t="s">
        <v>60</v>
      </c>
      <c r="J1193" s="49">
        <v>2930000.0</v>
      </c>
    </row>
    <row r="1194">
      <c r="A1194" s="45" t="s">
        <v>74</v>
      </c>
      <c r="B1194" s="16" t="s">
        <v>233</v>
      </c>
      <c r="C1194" s="17" t="s">
        <v>234</v>
      </c>
      <c r="D1194" s="15">
        <v>2.0</v>
      </c>
      <c r="E1194" s="17" t="s">
        <v>525</v>
      </c>
      <c r="F1194" s="15" t="s">
        <v>502</v>
      </c>
      <c r="G1194" s="46" t="s">
        <v>511</v>
      </c>
      <c r="H1194" s="47" t="s">
        <v>512</v>
      </c>
      <c r="I1194" s="48" t="s">
        <v>60</v>
      </c>
      <c r="J1194" s="49">
        <v>3.0863451E7</v>
      </c>
    </row>
    <row r="1195">
      <c r="A1195" s="45" t="s">
        <v>74</v>
      </c>
      <c r="B1195" s="16" t="s">
        <v>233</v>
      </c>
      <c r="C1195" s="17" t="s">
        <v>234</v>
      </c>
      <c r="D1195" s="15">
        <v>2.0</v>
      </c>
      <c r="E1195" s="17" t="s">
        <v>525</v>
      </c>
      <c r="F1195" s="15" t="s">
        <v>502</v>
      </c>
      <c r="G1195" s="46" t="s">
        <v>513</v>
      </c>
      <c r="H1195" s="47" t="s">
        <v>514</v>
      </c>
      <c r="I1195" s="48" t="s">
        <v>60</v>
      </c>
      <c r="J1195" s="49">
        <v>5162528.0</v>
      </c>
    </row>
    <row r="1196">
      <c r="A1196" s="45" t="s">
        <v>74</v>
      </c>
      <c r="B1196" s="16" t="s">
        <v>233</v>
      </c>
      <c r="C1196" s="17" t="s">
        <v>234</v>
      </c>
      <c r="D1196" s="15">
        <v>2.0</v>
      </c>
      <c r="E1196" s="17" t="s">
        <v>548</v>
      </c>
      <c r="F1196" s="15" t="s">
        <v>549</v>
      </c>
      <c r="G1196" s="46" t="s">
        <v>550</v>
      </c>
      <c r="H1196" s="47" t="s">
        <v>551</v>
      </c>
      <c r="I1196" s="48" t="s">
        <v>25</v>
      </c>
      <c r="J1196" s="49">
        <v>1.466955E8</v>
      </c>
    </row>
    <row r="1197">
      <c r="A1197" s="45" t="s">
        <v>74</v>
      </c>
      <c r="B1197" s="16" t="s">
        <v>244</v>
      </c>
      <c r="C1197" s="17" t="s">
        <v>245</v>
      </c>
      <c r="D1197" s="15">
        <v>2.0</v>
      </c>
      <c r="E1197" s="17" t="s">
        <v>441</v>
      </c>
      <c r="F1197" s="15" t="s">
        <v>442</v>
      </c>
      <c r="G1197" s="46" t="s">
        <v>443</v>
      </c>
      <c r="H1197" s="47" t="s">
        <v>420</v>
      </c>
      <c r="I1197" s="48" t="s">
        <v>19</v>
      </c>
      <c r="J1197" s="49">
        <v>5.4950375E7</v>
      </c>
    </row>
    <row r="1198">
      <c r="A1198" s="45" t="s">
        <v>74</v>
      </c>
      <c r="B1198" s="16" t="s">
        <v>244</v>
      </c>
      <c r="C1198" s="17" t="s">
        <v>245</v>
      </c>
      <c r="D1198" s="15">
        <v>2.0</v>
      </c>
      <c r="E1198" s="17" t="s">
        <v>441</v>
      </c>
      <c r="F1198" s="15" t="s">
        <v>442</v>
      </c>
      <c r="G1198" s="46" t="s">
        <v>444</v>
      </c>
      <c r="H1198" s="47" t="s">
        <v>445</v>
      </c>
      <c r="I1198" s="48" t="s">
        <v>19</v>
      </c>
      <c r="J1198" s="49">
        <v>5614250.0</v>
      </c>
    </row>
    <row r="1199">
      <c r="A1199" s="45" t="s">
        <v>74</v>
      </c>
      <c r="B1199" s="16" t="s">
        <v>244</v>
      </c>
      <c r="C1199" s="17" t="s">
        <v>245</v>
      </c>
      <c r="D1199" s="15">
        <v>2.0</v>
      </c>
      <c r="E1199" s="17" t="s">
        <v>441</v>
      </c>
      <c r="F1199" s="15" t="s">
        <v>442</v>
      </c>
      <c r="G1199" s="46" t="s">
        <v>446</v>
      </c>
      <c r="H1199" s="47" t="s">
        <v>447</v>
      </c>
      <c r="I1199" s="48" t="s">
        <v>19</v>
      </c>
      <c r="J1199" s="49">
        <v>494690.0</v>
      </c>
    </row>
    <row r="1200">
      <c r="A1200" s="45" t="s">
        <v>74</v>
      </c>
      <c r="B1200" s="16" t="s">
        <v>244</v>
      </c>
      <c r="C1200" s="17" t="s">
        <v>245</v>
      </c>
      <c r="D1200" s="15">
        <v>2.0</v>
      </c>
      <c r="E1200" s="17" t="s">
        <v>441</v>
      </c>
      <c r="F1200" s="15" t="s">
        <v>442</v>
      </c>
      <c r="G1200" s="46" t="s">
        <v>448</v>
      </c>
      <c r="H1200" s="47" t="s">
        <v>449</v>
      </c>
      <c r="I1200" s="48" t="s">
        <v>19</v>
      </c>
      <c r="J1200" s="49">
        <v>1266614.0</v>
      </c>
    </row>
    <row r="1201">
      <c r="A1201" s="45" t="s">
        <v>74</v>
      </c>
      <c r="B1201" s="16" t="s">
        <v>244</v>
      </c>
      <c r="C1201" s="17" t="s">
        <v>245</v>
      </c>
      <c r="D1201" s="15">
        <v>2.0</v>
      </c>
      <c r="E1201" s="17" t="s">
        <v>441</v>
      </c>
      <c r="F1201" s="15" t="s">
        <v>442</v>
      </c>
      <c r="G1201" s="46" t="s">
        <v>452</v>
      </c>
      <c r="H1201" s="47" t="s">
        <v>453</v>
      </c>
      <c r="I1201" s="48" t="s">
        <v>19</v>
      </c>
      <c r="J1201" s="49">
        <v>916894.0</v>
      </c>
    </row>
    <row r="1202">
      <c r="A1202" s="45" t="s">
        <v>74</v>
      </c>
      <c r="B1202" s="16" t="s">
        <v>244</v>
      </c>
      <c r="C1202" s="17" t="s">
        <v>245</v>
      </c>
      <c r="D1202" s="15">
        <v>2.0</v>
      </c>
      <c r="E1202" s="17" t="s">
        <v>441</v>
      </c>
      <c r="F1202" s="15" t="s">
        <v>442</v>
      </c>
      <c r="G1202" s="46" t="s">
        <v>454</v>
      </c>
      <c r="H1202" s="47" t="s">
        <v>415</v>
      </c>
      <c r="I1202" s="48" t="s">
        <v>19</v>
      </c>
      <c r="J1202" s="49">
        <v>133818.0</v>
      </c>
    </row>
    <row r="1203">
      <c r="A1203" s="45" t="s">
        <v>74</v>
      </c>
      <c r="B1203" s="16" t="s">
        <v>244</v>
      </c>
      <c r="C1203" s="17" t="s">
        <v>245</v>
      </c>
      <c r="D1203" s="15">
        <v>2.0</v>
      </c>
      <c r="E1203" s="17" t="s">
        <v>441</v>
      </c>
      <c r="F1203" s="15" t="s">
        <v>442</v>
      </c>
      <c r="G1203" s="46" t="s">
        <v>455</v>
      </c>
      <c r="H1203" s="47" t="s">
        <v>415</v>
      </c>
      <c r="I1203" s="48" t="s">
        <v>19</v>
      </c>
      <c r="J1203" s="49">
        <v>74342.0</v>
      </c>
    </row>
    <row r="1204">
      <c r="A1204" s="45" t="s">
        <v>74</v>
      </c>
      <c r="B1204" s="16" t="s">
        <v>244</v>
      </c>
      <c r="C1204" s="17" t="s">
        <v>245</v>
      </c>
      <c r="D1204" s="15">
        <v>2.0</v>
      </c>
      <c r="E1204" s="17" t="s">
        <v>456</v>
      </c>
      <c r="F1204" s="15" t="s">
        <v>457</v>
      </c>
      <c r="G1204" s="46" t="s">
        <v>515</v>
      </c>
      <c r="H1204" s="47" t="s">
        <v>413</v>
      </c>
      <c r="I1204" s="48" t="s">
        <v>19</v>
      </c>
      <c r="J1204" s="49">
        <v>1.0E7</v>
      </c>
    </row>
    <row r="1205">
      <c r="A1205" s="45" t="s">
        <v>74</v>
      </c>
      <c r="B1205" s="16" t="s">
        <v>244</v>
      </c>
      <c r="C1205" s="17" t="s">
        <v>245</v>
      </c>
      <c r="D1205" s="15">
        <v>2.0</v>
      </c>
      <c r="E1205" s="17" t="s">
        <v>456</v>
      </c>
      <c r="F1205" s="15" t="s">
        <v>457</v>
      </c>
      <c r="G1205" s="46" t="s">
        <v>458</v>
      </c>
      <c r="H1205" s="47" t="s">
        <v>411</v>
      </c>
      <c r="I1205" s="48" t="s">
        <v>19</v>
      </c>
      <c r="J1205" s="49">
        <v>3.99958366E8</v>
      </c>
    </row>
    <row r="1206">
      <c r="A1206" s="45" t="s">
        <v>74</v>
      </c>
      <c r="B1206" s="16" t="s">
        <v>244</v>
      </c>
      <c r="C1206" s="17" t="s">
        <v>245</v>
      </c>
      <c r="D1206" s="15">
        <v>2.0</v>
      </c>
      <c r="E1206" s="17" t="s">
        <v>456</v>
      </c>
      <c r="F1206" s="15" t="s">
        <v>457</v>
      </c>
      <c r="G1206" s="46" t="s">
        <v>532</v>
      </c>
      <c r="H1206" s="47" t="s">
        <v>412</v>
      </c>
      <c r="I1206" s="48" t="s">
        <v>19</v>
      </c>
      <c r="J1206" s="49">
        <v>1924625.0</v>
      </c>
    </row>
    <row r="1207">
      <c r="A1207" s="45" t="s">
        <v>74</v>
      </c>
      <c r="B1207" s="16" t="s">
        <v>244</v>
      </c>
      <c r="C1207" s="17" t="s">
        <v>245</v>
      </c>
      <c r="D1207" s="15">
        <v>2.0</v>
      </c>
      <c r="E1207" s="17" t="s">
        <v>459</v>
      </c>
      <c r="F1207" s="15" t="s">
        <v>460</v>
      </c>
      <c r="G1207" s="46" t="s">
        <v>458</v>
      </c>
      <c r="H1207" s="47" t="s">
        <v>411</v>
      </c>
      <c r="I1207" s="48" t="s">
        <v>19</v>
      </c>
      <c r="J1207" s="49">
        <v>2.2978924E7</v>
      </c>
    </row>
    <row r="1208">
      <c r="A1208" s="45" t="s">
        <v>74</v>
      </c>
      <c r="B1208" s="16" t="s">
        <v>244</v>
      </c>
      <c r="C1208" s="17" t="s">
        <v>245</v>
      </c>
      <c r="D1208" s="15">
        <v>2.0</v>
      </c>
      <c r="E1208" s="17" t="s">
        <v>487</v>
      </c>
      <c r="F1208" s="15" t="s">
        <v>488</v>
      </c>
      <c r="G1208" s="46" t="s">
        <v>530</v>
      </c>
      <c r="H1208" s="47" t="s">
        <v>531</v>
      </c>
      <c r="I1208" s="48" t="s">
        <v>50</v>
      </c>
      <c r="J1208" s="49">
        <v>4917609.0</v>
      </c>
    </row>
    <row r="1209">
      <c r="A1209" s="45" t="s">
        <v>74</v>
      </c>
      <c r="B1209" s="16" t="s">
        <v>244</v>
      </c>
      <c r="C1209" s="17" t="s">
        <v>245</v>
      </c>
      <c r="D1209" s="15">
        <v>2.0</v>
      </c>
      <c r="E1209" s="17" t="s">
        <v>556</v>
      </c>
      <c r="F1209" s="15" t="s">
        <v>557</v>
      </c>
      <c r="G1209" s="46" t="s">
        <v>545</v>
      </c>
      <c r="H1209" s="47" t="s">
        <v>427</v>
      </c>
      <c r="I1209" s="48" t="s">
        <v>25</v>
      </c>
      <c r="J1209" s="49">
        <v>2830000.0</v>
      </c>
    </row>
    <row r="1210">
      <c r="A1210" s="45" t="s">
        <v>74</v>
      </c>
      <c r="B1210" s="16" t="s">
        <v>244</v>
      </c>
      <c r="C1210" s="17" t="s">
        <v>245</v>
      </c>
      <c r="D1210" s="15">
        <v>2.0</v>
      </c>
      <c r="E1210" s="17" t="s">
        <v>556</v>
      </c>
      <c r="F1210" s="15" t="s">
        <v>557</v>
      </c>
      <c r="G1210" s="46" t="s">
        <v>498</v>
      </c>
      <c r="H1210" s="47" t="s">
        <v>434</v>
      </c>
      <c r="I1210" s="48" t="s">
        <v>25</v>
      </c>
      <c r="J1210" s="49">
        <v>113715.0</v>
      </c>
    </row>
    <row r="1211">
      <c r="A1211" s="45" t="s">
        <v>74</v>
      </c>
      <c r="B1211" s="16" t="s">
        <v>244</v>
      </c>
      <c r="C1211" s="17" t="s">
        <v>245</v>
      </c>
      <c r="D1211" s="15">
        <v>2.0</v>
      </c>
      <c r="E1211" s="17" t="s">
        <v>556</v>
      </c>
      <c r="F1211" s="15" t="s">
        <v>557</v>
      </c>
      <c r="G1211" s="46" t="s">
        <v>577</v>
      </c>
      <c r="H1211" s="47" t="s">
        <v>578</v>
      </c>
      <c r="I1211" s="48" t="s">
        <v>25</v>
      </c>
      <c r="J1211" s="49">
        <v>0.0</v>
      </c>
    </row>
    <row r="1212">
      <c r="A1212" s="45" t="s">
        <v>74</v>
      </c>
      <c r="B1212" s="16" t="s">
        <v>244</v>
      </c>
      <c r="C1212" s="17" t="s">
        <v>245</v>
      </c>
      <c r="D1212" s="15">
        <v>2.0</v>
      </c>
      <c r="E1212" s="17" t="s">
        <v>473</v>
      </c>
      <c r="F1212" s="15" t="s">
        <v>474</v>
      </c>
      <c r="G1212" s="46" t="s">
        <v>443</v>
      </c>
      <c r="H1212" s="47" t="s">
        <v>420</v>
      </c>
      <c r="I1212" s="48" t="s">
        <v>19</v>
      </c>
      <c r="J1212" s="49">
        <v>7975000.0</v>
      </c>
    </row>
    <row r="1213">
      <c r="A1213" s="45" t="s">
        <v>74</v>
      </c>
      <c r="B1213" s="16" t="s">
        <v>244</v>
      </c>
      <c r="C1213" s="17" t="s">
        <v>245</v>
      </c>
      <c r="D1213" s="15">
        <v>2.0</v>
      </c>
      <c r="E1213" s="17" t="s">
        <v>473</v>
      </c>
      <c r="F1213" s="15" t="s">
        <v>474</v>
      </c>
      <c r="G1213" s="46" t="s">
        <v>444</v>
      </c>
      <c r="H1213" s="47" t="s">
        <v>445</v>
      </c>
      <c r="I1213" s="48" t="s">
        <v>19</v>
      </c>
      <c r="J1213" s="49">
        <v>121447.0</v>
      </c>
    </row>
    <row r="1214">
      <c r="A1214" s="45" t="s">
        <v>74</v>
      </c>
      <c r="B1214" s="16" t="s">
        <v>244</v>
      </c>
      <c r="C1214" s="17" t="s">
        <v>245</v>
      </c>
      <c r="D1214" s="15">
        <v>2.0</v>
      </c>
      <c r="E1214" s="17" t="s">
        <v>473</v>
      </c>
      <c r="F1214" s="15" t="s">
        <v>474</v>
      </c>
      <c r="G1214" s="46" t="s">
        <v>523</v>
      </c>
      <c r="H1214" s="47" t="s">
        <v>431</v>
      </c>
      <c r="I1214" s="48" t="s">
        <v>17</v>
      </c>
      <c r="J1214" s="49">
        <v>2.0025008E8</v>
      </c>
    </row>
    <row r="1215">
      <c r="A1215" s="45" t="s">
        <v>74</v>
      </c>
      <c r="B1215" s="16" t="s">
        <v>244</v>
      </c>
      <c r="C1215" s="17" t="s">
        <v>245</v>
      </c>
      <c r="D1215" s="15">
        <v>2.0</v>
      </c>
      <c r="E1215" s="17" t="s">
        <v>473</v>
      </c>
      <c r="F1215" s="15" t="s">
        <v>474</v>
      </c>
      <c r="G1215" s="46" t="s">
        <v>523</v>
      </c>
      <c r="H1215" s="47" t="s">
        <v>431</v>
      </c>
      <c r="I1215" s="48" t="s">
        <v>25</v>
      </c>
      <c r="J1215" s="49">
        <v>-4.11676683E8</v>
      </c>
    </row>
    <row r="1216">
      <c r="A1216" s="45" t="s">
        <v>74</v>
      </c>
      <c r="B1216" s="16" t="s">
        <v>244</v>
      </c>
      <c r="C1216" s="17" t="s">
        <v>245</v>
      </c>
      <c r="D1216" s="15">
        <v>2.0</v>
      </c>
      <c r="E1216" s="17" t="s">
        <v>473</v>
      </c>
      <c r="F1216" s="15" t="s">
        <v>474</v>
      </c>
      <c r="G1216" s="46" t="s">
        <v>458</v>
      </c>
      <c r="H1216" s="47" t="s">
        <v>411</v>
      </c>
      <c r="I1216" s="48" t="s">
        <v>19</v>
      </c>
      <c r="J1216" s="49">
        <v>6.7757088E7</v>
      </c>
    </row>
    <row r="1217">
      <c r="A1217" s="45" t="s">
        <v>74</v>
      </c>
      <c r="B1217" s="16" t="s">
        <v>244</v>
      </c>
      <c r="C1217" s="17" t="s">
        <v>245</v>
      </c>
      <c r="D1217" s="15">
        <v>2.0</v>
      </c>
      <c r="E1217" s="17" t="s">
        <v>491</v>
      </c>
      <c r="F1217" s="15" t="s">
        <v>492</v>
      </c>
      <c r="G1217" s="46" t="s">
        <v>493</v>
      </c>
      <c r="H1217" s="47" t="s">
        <v>437</v>
      </c>
      <c r="I1217" s="48" t="s">
        <v>37</v>
      </c>
      <c r="J1217" s="49">
        <v>8.6502448E7</v>
      </c>
    </row>
    <row r="1218">
      <c r="A1218" s="45" t="s">
        <v>74</v>
      </c>
      <c r="B1218" s="16" t="s">
        <v>244</v>
      </c>
      <c r="C1218" s="17" t="s">
        <v>245</v>
      </c>
      <c r="D1218" s="15">
        <v>2.0</v>
      </c>
      <c r="E1218" s="17" t="s">
        <v>491</v>
      </c>
      <c r="F1218" s="15" t="s">
        <v>492</v>
      </c>
      <c r="G1218" s="46" t="s">
        <v>493</v>
      </c>
      <c r="H1218" s="47" t="s">
        <v>437</v>
      </c>
      <c r="I1218" s="48" t="s">
        <v>25</v>
      </c>
      <c r="J1218" s="49">
        <v>1.3350415E7</v>
      </c>
    </row>
    <row r="1219">
      <c r="A1219" s="45" t="s">
        <v>74</v>
      </c>
      <c r="B1219" s="16" t="s">
        <v>244</v>
      </c>
      <c r="C1219" s="17" t="s">
        <v>245</v>
      </c>
      <c r="D1219" s="15">
        <v>2.0</v>
      </c>
      <c r="E1219" s="17" t="s">
        <v>491</v>
      </c>
      <c r="F1219" s="15" t="s">
        <v>492</v>
      </c>
      <c r="G1219" s="46" t="s">
        <v>458</v>
      </c>
      <c r="H1219" s="47" t="s">
        <v>411</v>
      </c>
      <c r="I1219" s="48" t="s">
        <v>19</v>
      </c>
      <c r="J1219" s="49">
        <v>1.1685115E7</v>
      </c>
    </row>
    <row r="1220">
      <c r="A1220" s="45" t="s">
        <v>74</v>
      </c>
      <c r="B1220" s="16" t="s">
        <v>244</v>
      </c>
      <c r="C1220" s="17" t="s">
        <v>245</v>
      </c>
      <c r="D1220" s="15">
        <v>2.0</v>
      </c>
      <c r="E1220" s="17" t="s">
        <v>491</v>
      </c>
      <c r="F1220" s="15" t="s">
        <v>492</v>
      </c>
      <c r="G1220" s="46" t="s">
        <v>532</v>
      </c>
      <c r="H1220" s="47" t="s">
        <v>412</v>
      </c>
      <c r="I1220" s="48" t="s">
        <v>19</v>
      </c>
      <c r="J1220" s="49">
        <v>3309362.0</v>
      </c>
    </row>
    <row r="1221">
      <c r="A1221" s="45" t="s">
        <v>74</v>
      </c>
      <c r="B1221" s="16" t="s">
        <v>244</v>
      </c>
      <c r="C1221" s="17" t="s">
        <v>245</v>
      </c>
      <c r="D1221" s="15">
        <v>2.0</v>
      </c>
      <c r="E1221" s="17" t="s">
        <v>491</v>
      </c>
      <c r="F1221" s="15" t="s">
        <v>492</v>
      </c>
      <c r="G1221" s="46" t="s">
        <v>577</v>
      </c>
      <c r="H1221" s="47" t="s">
        <v>578</v>
      </c>
      <c r="I1221" s="48" t="s">
        <v>25</v>
      </c>
      <c r="J1221" s="49">
        <v>0.0</v>
      </c>
    </row>
    <row r="1222">
      <c r="A1222" s="45" t="s">
        <v>74</v>
      </c>
      <c r="B1222" s="16" t="s">
        <v>244</v>
      </c>
      <c r="C1222" s="17" t="s">
        <v>245</v>
      </c>
      <c r="D1222" s="15">
        <v>2.0</v>
      </c>
      <c r="E1222" s="17" t="s">
        <v>494</v>
      </c>
      <c r="F1222" s="15" t="s">
        <v>495</v>
      </c>
      <c r="G1222" s="46" t="s">
        <v>496</v>
      </c>
      <c r="H1222" s="47" t="s">
        <v>497</v>
      </c>
      <c r="I1222" s="48" t="s">
        <v>37</v>
      </c>
      <c r="J1222" s="49">
        <v>3.367088E7</v>
      </c>
    </row>
    <row r="1223">
      <c r="A1223" s="45" t="s">
        <v>74</v>
      </c>
      <c r="B1223" s="16" t="s">
        <v>244</v>
      </c>
      <c r="C1223" s="17" t="s">
        <v>245</v>
      </c>
      <c r="D1223" s="15">
        <v>2.0</v>
      </c>
      <c r="E1223" s="17" t="s">
        <v>494</v>
      </c>
      <c r="F1223" s="15" t="s">
        <v>495</v>
      </c>
      <c r="G1223" s="46" t="s">
        <v>496</v>
      </c>
      <c r="H1223" s="47" t="s">
        <v>497</v>
      </c>
      <c r="I1223" s="48" t="s">
        <v>25</v>
      </c>
      <c r="J1223" s="49">
        <v>400000.0</v>
      </c>
    </row>
    <row r="1224">
      <c r="A1224" s="45" t="s">
        <v>74</v>
      </c>
      <c r="B1224" s="16" t="s">
        <v>244</v>
      </c>
      <c r="C1224" s="17" t="s">
        <v>245</v>
      </c>
      <c r="D1224" s="15">
        <v>2.0</v>
      </c>
      <c r="E1224" s="17" t="s">
        <v>494</v>
      </c>
      <c r="F1224" s="15" t="s">
        <v>495</v>
      </c>
      <c r="G1224" s="46" t="s">
        <v>458</v>
      </c>
      <c r="H1224" s="47" t="s">
        <v>411</v>
      </c>
      <c r="I1224" s="48" t="s">
        <v>19</v>
      </c>
      <c r="J1224" s="49">
        <v>2.8395451E7</v>
      </c>
    </row>
    <row r="1225">
      <c r="A1225" s="45" t="s">
        <v>74</v>
      </c>
      <c r="B1225" s="16" t="s">
        <v>244</v>
      </c>
      <c r="C1225" s="17" t="s">
        <v>245</v>
      </c>
      <c r="D1225" s="15">
        <v>2.0</v>
      </c>
      <c r="E1225" s="17" t="s">
        <v>494</v>
      </c>
      <c r="F1225" s="15" t="s">
        <v>495</v>
      </c>
      <c r="G1225" s="46" t="s">
        <v>532</v>
      </c>
      <c r="H1225" s="47" t="s">
        <v>412</v>
      </c>
      <c r="I1225" s="48" t="s">
        <v>19</v>
      </c>
      <c r="J1225" s="49">
        <v>1434283.0</v>
      </c>
    </row>
    <row r="1226">
      <c r="A1226" s="45" t="s">
        <v>74</v>
      </c>
      <c r="B1226" s="16" t="s">
        <v>244</v>
      </c>
      <c r="C1226" s="17" t="s">
        <v>245</v>
      </c>
      <c r="D1226" s="15">
        <v>2.0</v>
      </c>
      <c r="E1226" s="17" t="s">
        <v>494</v>
      </c>
      <c r="F1226" s="15" t="s">
        <v>495</v>
      </c>
      <c r="G1226" s="46" t="s">
        <v>577</v>
      </c>
      <c r="H1226" s="47" t="s">
        <v>578</v>
      </c>
      <c r="I1226" s="48" t="s">
        <v>25</v>
      </c>
      <c r="J1226" s="49">
        <v>0.0</v>
      </c>
    </row>
    <row r="1227">
      <c r="A1227" s="45" t="s">
        <v>74</v>
      </c>
      <c r="B1227" s="16" t="s">
        <v>244</v>
      </c>
      <c r="C1227" s="17" t="s">
        <v>245</v>
      </c>
      <c r="D1227" s="15">
        <v>2.0</v>
      </c>
      <c r="E1227" s="17" t="s">
        <v>475</v>
      </c>
      <c r="F1227" s="15" t="s">
        <v>476</v>
      </c>
      <c r="G1227" s="46" t="s">
        <v>498</v>
      </c>
      <c r="H1227" s="47" t="s">
        <v>434</v>
      </c>
      <c r="I1227" s="48" t="s">
        <v>25</v>
      </c>
      <c r="J1227" s="49">
        <v>5000000.0</v>
      </c>
    </row>
    <row r="1228">
      <c r="A1228" s="45" t="s">
        <v>74</v>
      </c>
      <c r="B1228" s="16" t="s">
        <v>244</v>
      </c>
      <c r="C1228" s="17" t="s">
        <v>245</v>
      </c>
      <c r="D1228" s="15">
        <v>2.0</v>
      </c>
      <c r="E1228" s="17" t="s">
        <v>475</v>
      </c>
      <c r="F1228" s="15" t="s">
        <v>476</v>
      </c>
      <c r="G1228" s="46" t="s">
        <v>477</v>
      </c>
      <c r="H1228" s="47" t="s">
        <v>429</v>
      </c>
      <c r="I1228" s="48" t="s">
        <v>50</v>
      </c>
      <c r="J1228" s="49">
        <v>2.9199692E7</v>
      </c>
    </row>
    <row r="1229">
      <c r="A1229" s="45" t="s">
        <v>74</v>
      </c>
      <c r="B1229" s="16" t="s">
        <v>244</v>
      </c>
      <c r="C1229" s="17" t="s">
        <v>245</v>
      </c>
      <c r="D1229" s="15">
        <v>2.0</v>
      </c>
      <c r="E1229" s="17" t="s">
        <v>524</v>
      </c>
      <c r="F1229" s="15" t="s">
        <v>479</v>
      </c>
      <c r="G1229" s="46" t="s">
        <v>443</v>
      </c>
      <c r="H1229" s="47" t="s">
        <v>420</v>
      </c>
      <c r="I1229" s="48" t="s">
        <v>19</v>
      </c>
      <c r="J1229" s="49">
        <v>1.16235384E8</v>
      </c>
    </row>
    <row r="1230">
      <c r="A1230" s="45" t="s">
        <v>74</v>
      </c>
      <c r="B1230" s="16" t="s">
        <v>244</v>
      </c>
      <c r="C1230" s="17" t="s">
        <v>245</v>
      </c>
      <c r="D1230" s="15">
        <v>2.0</v>
      </c>
      <c r="E1230" s="17" t="s">
        <v>524</v>
      </c>
      <c r="F1230" s="15" t="s">
        <v>479</v>
      </c>
      <c r="G1230" s="46" t="s">
        <v>444</v>
      </c>
      <c r="H1230" s="47" t="s">
        <v>445</v>
      </c>
      <c r="I1230" s="48" t="s">
        <v>19</v>
      </c>
      <c r="J1230" s="49">
        <v>5141416.0</v>
      </c>
    </row>
    <row r="1231">
      <c r="A1231" s="45" t="s">
        <v>74</v>
      </c>
      <c r="B1231" s="16" t="s">
        <v>244</v>
      </c>
      <c r="C1231" s="17" t="s">
        <v>245</v>
      </c>
      <c r="D1231" s="15">
        <v>2.0</v>
      </c>
      <c r="E1231" s="17" t="s">
        <v>524</v>
      </c>
      <c r="F1231" s="15" t="s">
        <v>479</v>
      </c>
      <c r="G1231" s="46" t="s">
        <v>537</v>
      </c>
      <c r="H1231" s="47" t="s">
        <v>538</v>
      </c>
      <c r="I1231" s="48" t="s">
        <v>19</v>
      </c>
      <c r="J1231" s="49">
        <v>0.0</v>
      </c>
    </row>
    <row r="1232">
      <c r="A1232" s="45" t="s">
        <v>74</v>
      </c>
      <c r="B1232" s="16" t="s">
        <v>244</v>
      </c>
      <c r="C1232" s="17" t="s">
        <v>245</v>
      </c>
      <c r="D1232" s="15">
        <v>2.0</v>
      </c>
      <c r="E1232" s="17" t="s">
        <v>524</v>
      </c>
      <c r="F1232" s="15" t="s">
        <v>479</v>
      </c>
      <c r="G1232" s="46" t="s">
        <v>446</v>
      </c>
      <c r="H1232" s="47" t="s">
        <v>447</v>
      </c>
      <c r="I1232" s="48" t="s">
        <v>19</v>
      </c>
      <c r="J1232" s="49">
        <v>1327170.0</v>
      </c>
    </row>
    <row r="1233">
      <c r="A1233" s="45" t="s">
        <v>74</v>
      </c>
      <c r="B1233" s="16" t="s">
        <v>244</v>
      </c>
      <c r="C1233" s="17" t="s">
        <v>245</v>
      </c>
      <c r="D1233" s="15">
        <v>2.0</v>
      </c>
      <c r="E1233" s="17" t="s">
        <v>524</v>
      </c>
      <c r="F1233" s="15" t="s">
        <v>479</v>
      </c>
      <c r="G1233" s="46" t="s">
        <v>448</v>
      </c>
      <c r="H1233" s="47" t="s">
        <v>449</v>
      </c>
      <c r="I1233" s="48" t="s">
        <v>19</v>
      </c>
      <c r="J1233" s="49">
        <v>3391747.0</v>
      </c>
    </row>
    <row r="1234">
      <c r="A1234" s="45" t="s">
        <v>74</v>
      </c>
      <c r="B1234" s="16" t="s">
        <v>244</v>
      </c>
      <c r="C1234" s="17" t="s">
        <v>245</v>
      </c>
      <c r="D1234" s="15">
        <v>2.0</v>
      </c>
      <c r="E1234" s="17" t="s">
        <v>524</v>
      </c>
      <c r="F1234" s="15" t="s">
        <v>479</v>
      </c>
      <c r="G1234" s="46" t="s">
        <v>450</v>
      </c>
      <c r="H1234" s="47" t="s">
        <v>451</v>
      </c>
      <c r="I1234" s="48" t="s">
        <v>19</v>
      </c>
      <c r="J1234" s="49">
        <v>0.0</v>
      </c>
    </row>
    <row r="1235">
      <c r="A1235" s="45" t="s">
        <v>74</v>
      </c>
      <c r="B1235" s="16" t="s">
        <v>244</v>
      </c>
      <c r="C1235" s="17" t="s">
        <v>245</v>
      </c>
      <c r="D1235" s="15">
        <v>2.0</v>
      </c>
      <c r="E1235" s="17" t="s">
        <v>524</v>
      </c>
      <c r="F1235" s="15" t="s">
        <v>479</v>
      </c>
      <c r="G1235" s="46" t="s">
        <v>452</v>
      </c>
      <c r="H1235" s="47" t="s">
        <v>453</v>
      </c>
      <c r="I1235" s="48" t="s">
        <v>19</v>
      </c>
      <c r="J1235" s="49">
        <v>2455263.0</v>
      </c>
    </row>
    <row r="1236">
      <c r="A1236" s="45" t="s">
        <v>74</v>
      </c>
      <c r="B1236" s="16" t="s">
        <v>244</v>
      </c>
      <c r="C1236" s="17" t="s">
        <v>245</v>
      </c>
      <c r="D1236" s="15">
        <v>2.0</v>
      </c>
      <c r="E1236" s="17" t="s">
        <v>524</v>
      </c>
      <c r="F1236" s="15" t="s">
        <v>479</v>
      </c>
      <c r="G1236" s="46" t="s">
        <v>454</v>
      </c>
      <c r="H1236" s="47" t="s">
        <v>415</v>
      </c>
      <c r="I1236" s="48" t="s">
        <v>19</v>
      </c>
      <c r="J1236" s="49">
        <v>358337.0</v>
      </c>
    </row>
    <row r="1237">
      <c r="A1237" s="45" t="s">
        <v>74</v>
      </c>
      <c r="B1237" s="16" t="s">
        <v>244</v>
      </c>
      <c r="C1237" s="17" t="s">
        <v>245</v>
      </c>
      <c r="D1237" s="15">
        <v>2.0</v>
      </c>
      <c r="E1237" s="17" t="s">
        <v>524</v>
      </c>
      <c r="F1237" s="15" t="s">
        <v>479</v>
      </c>
      <c r="G1237" s="46" t="s">
        <v>455</v>
      </c>
      <c r="H1237" s="47" t="s">
        <v>415</v>
      </c>
      <c r="I1237" s="48" t="s">
        <v>19</v>
      </c>
      <c r="J1237" s="49">
        <v>199075.0</v>
      </c>
    </row>
    <row r="1238">
      <c r="A1238" s="45" t="s">
        <v>74</v>
      </c>
      <c r="B1238" s="16" t="s">
        <v>244</v>
      </c>
      <c r="C1238" s="17" t="s">
        <v>245</v>
      </c>
      <c r="D1238" s="15">
        <v>2.0</v>
      </c>
      <c r="E1238" s="17" t="s">
        <v>525</v>
      </c>
      <c r="F1238" s="15" t="s">
        <v>502</v>
      </c>
      <c r="G1238" s="46" t="s">
        <v>526</v>
      </c>
      <c r="H1238" s="47" t="s">
        <v>527</v>
      </c>
      <c r="I1238" s="48" t="s">
        <v>60</v>
      </c>
      <c r="J1238" s="49">
        <v>2.93915333E8</v>
      </c>
    </row>
    <row r="1239">
      <c r="A1239" s="45" t="s">
        <v>74</v>
      </c>
      <c r="B1239" s="16" t="s">
        <v>244</v>
      </c>
      <c r="C1239" s="17" t="s">
        <v>245</v>
      </c>
      <c r="D1239" s="15">
        <v>2.0</v>
      </c>
      <c r="E1239" s="17" t="s">
        <v>525</v>
      </c>
      <c r="F1239" s="15" t="s">
        <v>502</v>
      </c>
      <c r="G1239" s="46" t="s">
        <v>539</v>
      </c>
      <c r="H1239" s="47" t="s">
        <v>540</v>
      </c>
      <c r="I1239" s="48" t="s">
        <v>60</v>
      </c>
      <c r="J1239" s="49">
        <v>8794869.0</v>
      </c>
    </row>
    <row r="1240">
      <c r="A1240" s="45" t="s">
        <v>74</v>
      </c>
      <c r="B1240" s="16" t="s">
        <v>244</v>
      </c>
      <c r="C1240" s="17" t="s">
        <v>245</v>
      </c>
      <c r="D1240" s="15">
        <v>2.0</v>
      </c>
      <c r="E1240" s="17" t="s">
        <v>525</v>
      </c>
      <c r="F1240" s="15" t="s">
        <v>502</v>
      </c>
      <c r="G1240" s="46" t="s">
        <v>505</v>
      </c>
      <c r="H1240" s="47" t="s">
        <v>506</v>
      </c>
      <c r="I1240" s="48" t="s">
        <v>60</v>
      </c>
      <c r="J1240" s="49">
        <v>4255769.0</v>
      </c>
    </row>
    <row r="1241">
      <c r="A1241" s="45" t="s">
        <v>74</v>
      </c>
      <c r="B1241" s="16" t="s">
        <v>244</v>
      </c>
      <c r="C1241" s="17" t="s">
        <v>245</v>
      </c>
      <c r="D1241" s="15">
        <v>2.0</v>
      </c>
      <c r="E1241" s="17" t="s">
        <v>525</v>
      </c>
      <c r="F1241" s="15" t="s">
        <v>502</v>
      </c>
      <c r="G1241" s="46" t="s">
        <v>507</v>
      </c>
      <c r="H1241" s="47" t="s">
        <v>508</v>
      </c>
      <c r="I1241" s="48" t="s">
        <v>60</v>
      </c>
      <c r="J1241" s="49">
        <v>1.0447193E7</v>
      </c>
    </row>
    <row r="1242">
      <c r="A1242" s="45" t="s">
        <v>74</v>
      </c>
      <c r="B1242" s="16" t="s">
        <v>244</v>
      </c>
      <c r="C1242" s="17" t="s">
        <v>245</v>
      </c>
      <c r="D1242" s="15">
        <v>2.0</v>
      </c>
      <c r="E1242" s="17" t="s">
        <v>525</v>
      </c>
      <c r="F1242" s="15" t="s">
        <v>502</v>
      </c>
      <c r="G1242" s="46" t="s">
        <v>509</v>
      </c>
      <c r="H1242" s="47" t="s">
        <v>510</v>
      </c>
      <c r="I1242" s="48" t="s">
        <v>60</v>
      </c>
      <c r="J1242" s="49">
        <v>133334.0</v>
      </c>
    </row>
    <row r="1243">
      <c r="A1243" s="45" t="s">
        <v>74</v>
      </c>
      <c r="B1243" s="16" t="s">
        <v>244</v>
      </c>
      <c r="C1243" s="17" t="s">
        <v>245</v>
      </c>
      <c r="D1243" s="15">
        <v>2.0</v>
      </c>
      <c r="E1243" s="17" t="s">
        <v>525</v>
      </c>
      <c r="F1243" s="15" t="s">
        <v>502</v>
      </c>
      <c r="G1243" s="46" t="s">
        <v>511</v>
      </c>
      <c r="H1243" s="47" t="s">
        <v>512</v>
      </c>
      <c r="I1243" s="48" t="s">
        <v>60</v>
      </c>
      <c r="J1243" s="49">
        <v>4.1960041E7</v>
      </c>
    </row>
    <row r="1244">
      <c r="A1244" s="45" t="s">
        <v>74</v>
      </c>
      <c r="B1244" s="16" t="s">
        <v>244</v>
      </c>
      <c r="C1244" s="17" t="s">
        <v>245</v>
      </c>
      <c r="D1244" s="15">
        <v>2.0</v>
      </c>
      <c r="E1244" s="17" t="s">
        <v>525</v>
      </c>
      <c r="F1244" s="15" t="s">
        <v>502</v>
      </c>
      <c r="G1244" s="46" t="s">
        <v>513</v>
      </c>
      <c r="H1244" s="47" t="s">
        <v>514</v>
      </c>
      <c r="I1244" s="48" t="s">
        <v>60</v>
      </c>
      <c r="J1244" s="49">
        <v>4.9513826E7</v>
      </c>
    </row>
    <row r="1245">
      <c r="A1245" s="45" t="s">
        <v>74</v>
      </c>
      <c r="B1245" s="16" t="s">
        <v>254</v>
      </c>
      <c r="C1245" s="17" t="s">
        <v>255</v>
      </c>
      <c r="D1245" s="15">
        <v>2.0</v>
      </c>
      <c r="E1245" s="17" t="s">
        <v>441</v>
      </c>
      <c r="F1245" s="15" t="s">
        <v>442</v>
      </c>
      <c r="G1245" s="46" t="s">
        <v>443</v>
      </c>
      <c r="H1245" s="47" t="s">
        <v>420</v>
      </c>
      <c r="I1245" s="48" t="s">
        <v>19</v>
      </c>
      <c r="J1245" s="49">
        <v>3.6811949E7</v>
      </c>
    </row>
    <row r="1246">
      <c r="A1246" s="45" t="s">
        <v>74</v>
      </c>
      <c r="B1246" s="16" t="s">
        <v>254</v>
      </c>
      <c r="C1246" s="17" t="s">
        <v>255</v>
      </c>
      <c r="D1246" s="15">
        <v>2.0</v>
      </c>
      <c r="E1246" s="17" t="s">
        <v>441</v>
      </c>
      <c r="F1246" s="15" t="s">
        <v>442</v>
      </c>
      <c r="G1246" s="46" t="s">
        <v>444</v>
      </c>
      <c r="H1246" s="47" t="s">
        <v>445</v>
      </c>
      <c r="I1246" s="48" t="s">
        <v>19</v>
      </c>
      <c r="J1246" s="49">
        <v>3552132.0</v>
      </c>
    </row>
    <row r="1247">
      <c r="A1247" s="45" t="s">
        <v>74</v>
      </c>
      <c r="B1247" s="16" t="s">
        <v>254</v>
      </c>
      <c r="C1247" s="17" t="s">
        <v>255</v>
      </c>
      <c r="D1247" s="15">
        <v>2.0</v>
      </c>
      <c r="E1247" s="17" t="s">
        <v>441</v>
      </c>
      <c r="F1247" s="15" t="s">
        <v>442</v>
      </c>
      <c r="G1247" s="46" t="s">
        <v>446</v>
      </c>
      <c r="H1247" s="47" t="s">
        <v>447</v>
      </c>
      <c r="I1247" s="48" t="s">
        <v>19</v>
      </c>
      <c r="J1247" s="49">
        <v>362712.0</v>
      </c>
    </row>
    <row r="1248">
      <c r="A1248" s="45" t="s">
        <v>74</v>
      </c>
      <c r="B1248" s="16" t="s">
        <v>254</v>
      </c>
      <c r="C1248" s="17" t="s">
        <v>255</v>
      </c>
      <c r="D1248" s="15">
        <v>2.0</v>
      </c>
      <c r="E1248" s="17" t="s">
        <v>441</v>
      </c>
      <c r="F1248" s="15" t="s">
        <v>442</v>
      </c>
      <c r="G1248" s="46" t="s">
        <v>448</v>
      </c>
      <c r="H1248" s="47" t="s">
        <v>449</v>
      </c>
      <c r="I1248" s="48" t="s">
        <v>19</v>
      </c>
      <c r="J1248" s="49">
        <v>906780.0</v>
      </c>
    </row>
    <row r="1249">
      <c r="A1249" s="45" t="s">
        <v>74</v>
      </c>
      <c r="B1249" s="16" t="s">
        <v>254</v>
      </c>
      <c r="C1249" s="17" t="s">
        <v>255</v>
      </c>
      <c r="D1249" s="15">
        <v>2.0</v>
      </c>
      <c r="E1249" s="17" t="s">
        <v>441</v>
      </c>
      <c r="F1249" s="15" t="s">
        <v>442</v>
      </c>
      <c r="G1249" s="46" t="s">
        <v>450</v>
      </c>
      <c r="H1249" s="47" t="s">
        <v>451</v>
      </c>
      <c r="I1249" s="48" t="s">
        <v>19</v>
      </c>
      <c r="J1249" s="49">
        <v>0.0</v>
      </c>
    </row>
    <row r="1250">
      <c r="A1250" s="45" t="s">
        <v>74</v>
      </c>
      <c r="B1250" s="16" t="s">
        <v>254</v>
      </c>
      <c r="C1250" s="17" t="s">
        <v>255</v>
      </c>
      <c r="D1250" s="15">
        <v>2.0</v>
      </c>
      <c r="E1250" s="17" t="s">
        <v>441</v>
      </c>
      <c r="F1250" s="15" t="s">
        <v>442</v>
      </c>
      <c r="G1250" s="46" t="s">
        <v>452</v>
      </c>
      <c r="H1250" s="47" t="s">
        <v>453</v>
      </c>
      <c r="I1250" s="48" t="s">
        <v>19</v>
      </c>
      <c r="J1250" s="49">
        <v>671017.0</v>
      </c>
    </row>
    <row r="1251">
      <c r="A1251" s="45" t="s">
        <v>74</v>
      </c>
      <c r="B1251" s="16" t="s">
        <v>254</v>
      </c>
      <c r="C1251" s="17" t="s">
        <v>255</v>
      </c>
      <c r="D1251" s="15">
        <v>2.0</v>
      </c>
      <c r="E1251" s="17" t="s">
        <v>441</v>
      </c>
      <c r="F1251" s="15" t="s">
        <v>442</v>
      </c>
      <c r="G1251" s="46" t="s">
        <v>454</v>
      </c>
      <c r="H1251" s="47" t="s">
        <v>415</v>
      </c>
      <c r="I1251" s="48" t="s">
        <v>19</v>
      </c>
      <c r="J1251" s="49">
        <v>97932.0</v>
      </c>
    </row>
    <row r="1252">
      <c r="A1252" s="45" t="s">
        <v>74</v>
      </c>
      <c r="B1252" s="16" t="s">
        <v>254</v>
      </c>
      <c r="C1252" s="17" t="s">
        <v>255</v>
      </c>
      <c r="D1252" s="15">
        <v>2.0</v>
      </c>
      <c r="E1252" s="17" t="s">
        <v>441</v>
      </c>
      <c r="F1252" s="15" t="s">
        <v>442</v>
      </c>
      <c r="G1252" s="46" t="s">
        <v>455</v>
      </c>
      <c r="H1252" s="47" t="s">
        <v>415</v>
      </c>
      <c r="I1252" s="48" t="s">
        <v>19</v>
      </c>
      <c r="J1252" s="49">
        <v>54407.0</v>
      </c>
    </row>
    <row r="1253">
      <c r="A1253" s="45" t="s">
        <v>74</v>
      </c>
      <c r="B1253" s="16" t="s">
        <v>254</v>
      </c>
      <c r="C1253" s="17" t="s">
        <v>255</v>
      </c>
      <c r="D1253" s="15">
        <v>2.0</v>
      </c>
      <c r="E1253" s="17" t="s">
        <v>456</v>
      </c>
      <c r="F1253" s="15" t="s">
        <v>457</v>
      </c>
      <c r="G1253" s="46" t="s">
        <v>458</v>
      </c>
      <c r="H1253" s="47" t="s">
        <v>411</v>
      </c>
      <c r="I1253" s="48" t="s">
        <v>19</v>
      </c>
      <c r="J1253" s="49">
        <v>2.20216416E8</v>
      </c>
    </row>
    <row r="1254">
      <c r="A1254" s="45" t="s">
        <v>74</v>
      </c>
      <c r="B1254" s="16" t="s">
        <v>254</v>
      </c>
      <c r="C1254" s="17" t="s">
        <v>255</v>
      </c>
      <c r="D1254" s="15">
        <v>2.0</v>
      </c>
      <c r="E1254" s="17" t="s">
        <v>459</v>
      </c>
      <c r="F1254" s="15" t="s">
        <v>460</v>
      </c>
      <c r="G1254" s="46" t="s">
        <v>458</v>
      </c>
      <c r="H1254" s="47" t="s">
        <v>411</v>
      </c>
      <c r="I1254" s="48" t="s">
        <v>19</v>
      </c>
      <c r="J1254" s="49">
        <v>1.7988852E7</v>
      </c>
    </row>
    <row r="1255">
      <c r="A1255" s="45" t="s">
        <v>74</v>
      </c>
      <c r="B1255" s="16" t="s">
        <v>254</v>
      </c>
      <c r="C1255" s="17" t="s">
        <v>255</v>
      </c>
      <c r="D1255" s="15">
        <v>2.0</v>
      </c>
      <c r="E1255" s="17" t="s">
        <v>463</v>
      </c>
      <c r="F1255" s="15" t="s">
        <v>464</v>
      </c>
      <c r="G1255" s="46" t="s">
        <v>458</v>
      </c>
      <c r="H1255" s="47" t="s">
        <v>411</v>
      </c>
      <c r="I1255" s="48" t="s">
        <v>19</v>
      </c>
      <c r="J1255" s="49">
        <v>5996284.0</v>
      </c>
    </row>
    <row r="1256">
      <c r="A1256" s="45" t="s">
        <v>74</v>
      </c>
      <c r="B1256" s="16" t="s">
        <v>254</v>
      </c>
      <c r="C1256" s="17" t="s">
        <v>255</v>
      </c>
      <c r="D1256" s="15">
        <v>2.0</v>
      </c>
      <c r="E1256" s="17" t="s">
        <v>463</v>
      </c>
      <c r="F1256" s="15" t="s">
        <v>464</v>
      </c>
      <c r="G1256" s="46" t="s">
        <v>532</v>
      </c>
      <c r="H1256" s="47" t="s">
        <v>412</v>
      </c>
      <c r="I1256" s="48" t="s">
        <v>19</v>
      </c>
      <c r="J1256" s="49">
        <v>2627936.0</v>
      </c>
    </row>
    <row r="1257">
      <c r="A1257" s="45" t="s">
        <v>74</v>
      </c>
      <c r="B1257" s="16" t="s">
        <v>254</v>
      </c>
      <c r="C1257" s="17" t="s">
        <v>255</v>
      </c>
      <c r="D1257" s="15">
        <v>2.0</v>
      </c>
      <c r="E1257" s="17" t="s">
        <v>487</v>
      </c>
      <c r="F1257" s="15" t="s">
        <v>488</v>
      </c>
      <c r="G1257" s="46" t="s">
        <v>458</v>
      </c>
      <c r="H1257" s="47" t="s">
        <v>411</v>
      </c>
      <c r="I1257" s="48" t="s">
        <v>19</v>
      </c>
      <c r="J1257" s="49">
        <v>1.082004E7</v>
      </c>
    </row>
    <row r="1258">
      <c r="A1258" s="45" t="s">
        <v>74</v>
      </c>
      <c r="B1258" s="16" t="s">
        <v>254</v>
      </c>
      <c r="C1258" s="17" t="s">
        <v>255</v>
      </c>
      <c r="D1258" s="15">
        <v>2.0</v>
      </c>
      <c r="E1258" s="17" t="s">
        <v>469</v>
      </c>
      <c r="F1258" s="15" t="s">
        <v>470</v>
      </c>
      <c r="G1258" s="46" t="s">
        <v>471</v>
      </c>
      <c r="H1258" s="47" t="s">
        <v>472</v>
      </c>
      <c r="I1258" s="48" t="s">
        <v>25</v>
      </c>
      <c r="J1258" s="49">
        <v>2448175.0</v>
      </c>
    </row>
    <row r="1259">
      <c r="A1259" s="45" t="s">
        <v>74</v>
      </c>
      <c r="B1259" s="16" t="s">
        <v>254</v>
      </c>
      <c r="C1259" s="17" t="s">
        <v>255</v>
      </c>
      <c r="D1259" s="15">
        <v>2.0</v>
      </c>
      <c r="E1259" s="17" t="s">
        <v>473</v>
      </c>
      <c r="F1259" s="15" t="s">
        <v>474</v>
      </c>
      <c r="G1259" s="46" t="s">
        <v>523</v>
      </c>
      <c r="H1259" s="47" t="s">
        <v>431</v>
      </c>
      <c r="I1259" s="48" t="s">
        <v>17</v>
      </c>
      <c r="J1259" s="49">
        <v>9.2640597E8</v>
      </c>
    </row>
    <row r="1260">
      <c r="A1260" s="45" t="s">
        <v>74</v>
      </c>
      <c r="B1260" s="16" t="s">
        <v>254</v>
      </c>
      <c r="C1260" s="17" t="s">
        <v>255</v>
      </c>
      <c r="D1260" s="15">
        <v>2.0</v>
      </c>
      <c r="E1260" s="17" t="s">
        <v>473</v>
      </c>
      <c r="F1260" s="15" t="s">
        <v>474</v>
      </c>
      <c r="G1260" s="46" t="s">
        <v>523</v>
      </c>
      <c r="H1260" s="47" t="s">
        <v>431</v>
      </c>
      <c r="I1260" s="48" t="s">
        <v>25</v>
      </c>
      <c r="J1260" s="49">
        <v>-7.33281826E8</v>
      </c>
    </row>
    <row r="1261">
      <c r="A1261" s="45" t="s">
        <v>74</v>
      </c>
      <c r="B1261" s="16" t="s">
        <v>254</v>
      </c>
      <c r="C1261" s="17" t="s">
        <v>255</v>
      </c>
      <c r="D1261" s="15">
        <v>2.0</v>
      </c>
      <c r="E1261" s="17" t="s">
        <v>473</v>
      </c>
      <c r="F1261" s="15" t="s">
        <v>474</v>
      </c>
      <c r="G1261" s="46" t="s">
        <v>458</v>
      </c>
      <c r="H1261" s="47" t="s">
        <v>411</v>
      </c>
      <c r="I1261" s="48" t="s">
        <v>19</v>
      </c>
      <c r="J1261" s="49">
        <v>5.3867884E7</v>
      </c>
    </row>
    <row r="1262">
      <c r="A1262" s="45" t="s">
        <v>74</v>
      </c>
      <c r="B1262" s="16" t="s">
        <v>254</v>
      </c>
      <c r="C1262" s="17" t="s">
        <v>255</v>
      </c>
      <c r="D1262" s="15">
        <v>2.0</v>
      </c>
      <c r="E1262" s="17" t="s">
        <v>491</v>
      </c>
      <c r="F1262" s="15" t="s">
        <v>492</v>
      </c>
      <c r="G1262" s="46" t="s">
        <v>545</v>
      </c>
      <c r="H1262" s="47" t="s">
        <v>427</v>
      </c>
      <c r="I1262" s="48" t="s">
        <v>37</v>
      </c>
      <c r="J1262" s="49">
        <v>1.0836038E7</v>
      </c>
    </row>
    <row r="1263">
      <c r="A1263" s="45" t="s">
        <v>74</v>
      </c>
      <c r="B1263" s="16" t="s">
        <v>254</v>
      </c>
      <c r="C1263" s="17" t="s">
        <v>255</v>
      </c>
      <c r="D1263" s="15">
        <v>2.0</v>
      </c>
      <c r="E1263" s="17" t="s">
        <v>491</v>
      </c>
      <c r="F1263" s="15" t="s">
        <v>492</v>
      </c>
      <c r="G1263" s="46" t="s">
        <v>493</v>
      </c>
      <c r="H1263" s="47" t="s">
        <v>437</v>
      </c>
      <c r="I1263" s="48" t="s">
        <v>17</v>
      </c>
      <c r="J1263" s="49">
        <v>1.9390908E7</v>
      </c>
    </row>
    <row r="1264">
      <c r="A1264" s="45" t="s">
        <v>74</v>
      </c>
      <c r="B1264" s="16" t="s">
        <v>254</v>
      </c>
      <c r="C1264" s="17" t="s">
        <v>255</v>
      </c>
      <c r="D1264" s="15">
        <v>2.0</v>
      </c>
      <c r="E1264" s="17" t="s">
        <v>491</v>
      </c>
      <c r="F1264" s="15" t="s">
        <v>492</v>
      </c>
      <c r="G1264" s="46" t="s">
        <v>493</v>
      </c>
      <c r="H1264" s="47" t="s">
        <v>437</v>
      </c>
      <c r="I1264" s="48" t="s">
        <v>37</v>
      </c>
      <c r="J1264" s="49">
        <v>483360.0</v>
      </c>
    </row>
    <row r="1265">
      <c r="A1265" s="45" t="s">
        <v>74</v>
      </c>
      <c r="B1265" s="16" t="s">
        <v>254</v>
      </c>
      <c r="C1265" s="17" t="s">
        <v>255</v>
      </c>
      <c r="D1265" s="15">
        <v>2.0</v>
      </c>
      <c r="E1265" s="17" t="s">
        <v>491</v>
      </c>
      <c r="F1265" s="15" t="s">
        <v>492</v>
      </c>
      <c r="G1265" s="46" t="s">
        <v>493</v>
      </c>
      <c r="H1265" s="47" t="s">
        <v>437</v>
      </c>
      <c r="I1265" s="48" t="s">
        <v>25</v>
      </c>
      <c r="J1265" s="49">
        <v>121099.0</v>
      </c>
    </row>
    <row r="1266">
      <c r="A1266" s="45" t="s">
        <v>74</v>
      </c>
      <c r="B1266" s="16" t="s">
        <v>254</v>
      </c>
      <c r="C1266" s="17" t="s">
        <v>255</v>
      </c>
      <c r="D1266" s="15">
        <v>2.0</v>
      </c>
      <c r="E1266" s="17" t="s">
        <v>491</v>
      </c>
      <c r="F1266" s="15" t="s">
        <v>492</v>
      </c>
      <c r="G1266" s="46" t="s">
        <v>458</v>
      </c>
      <c r="H1266" s="47" t="s">
        <v>411</v>
      </c>
      <c r="I1266" s="48" t="s">
        <v>19</v>
      </c>
      <c r="J1266" s="49">
        <v>1.0369632E7</v>
      </c>
    </row>
    <row r="1267">
      <c r="A1267" s="45" t="s">
        <v>74</v>
      </c>
      <c r="B1267" s="16" t="s">
        <v>254</v>
      </c>
      <c r="C1267" s="17" t="s">
        <v>255</v>
      </c>
      <c r="D1267" s="15">
        <v>2.0</v>
      </c>
      <c r="E1267" s="17" t="s">
        <v>494</v>
      </c>
      <c r="F1267" s="15" t="s">
        <v>495</v>
      </c>
      <c r="G1267" s="46" t="s">
        <v>496</v>
      </c>
      <c r="H1267" s="47" t="s">
        <v>497</v>
      </c>
      <c r="I1267" s="48" t="s">
        <v>25</v>
      </c>
      <c r="J1267" s="49">
        <v>1861060.0</v>
      </c>
    </row>
    <row r="1268">
      <c r="A1268" s="45" t="s">
        <v>74</v>
      </c>
      <c r="B1268" s="16" t="s">
        <v>254</v>
      </c>
      <c r="C1268" s="17" t="s">
        <v>255</v>
      </c>
      <c r="D1268" s="15">
        <v>2.0</v>
      </c>
      <c r="E1268" s="17" t="s">
        <v>494</v>
      </c>
      <c r="F1268" s="15" t="s">
        <v>495</v>
      </c>
      <c r="G1268" s="46" t="s">
        <v>458</v>
      </c>
      <c r="H1268" s="47" t="s">
        <v>411</v>
      </c>
      <c r="I1268" s="48" t="s">
        <v>19</v>
      </c>
      <c r="J1268" s="49">
        <v>4541572.0</v>
      </c>
    </row>
    <row r="1269">
      <c r="A1269" s="45" t="s">
        <v>74</v>
      </c>
      <c r="B1269" s="16" t="s">
        <v>254</v>
      </c>
      <c r="C1269" s="17" t="s">
        <v>255</v>
      </c>
      <c r="D1269" s="15">
        <v>2.0</v>
      </c>
      <c r="E1269" s="17" t="s">
        <v>494</v>
      </c>
      <c r="F1269" s="15" t="s">
        <v>495</v>
      </c>
      <c r="G1269" s="46" t="s">
        <v>477</v>
      </c>
      <c r="H1269" s="47" t="s">
        <v>429</v>
      </c>
      <c r="I1269" s="48" t="s">
        <v>50</v>
      </c>
      <c r="J1269" s="49">
        <v>3.1823088E7</v>
      </c>
    </row>
    <row r="1270">
      <c r="A1270" s="45" t="s">
        <v>74</v>
      </c>
      <c r="B1270" s="16" t="s">
        <v>254</v>
      </c>
      <c r="C1270" s="17" t="s">
        <v>255</v>
      </c>
      <c r="D1270" s="15">
        <v>2.0</v>
      </c>
      <c r="E1270" s="17" t="s">
        <v>475</v>
      </c>
      <c r="F1270" s="15" t="s">
        <v>476</v>
      </c>
      <c r="G1270" s="46" t="s">
        <v>477</v>
      </c>
      <c r="H1270" s="47" t="s">
        <v>429</v>
      </c>
      <c r="I1270" s="48" t="s">
        <v>50</v>
      </c>
      <c r="J1270" s="49">
        <v>3.1831889E7</v>
      </c>
    </row>
    <row r="1271">
      <c r="A1271" s="45" t="s">
        <v>74</v>
      </c>
      <c r="B1271" s="16" t="s">
        <v>254</v>
      </c>
      <c r="C1271" s="17" t="s">
        <v>255</v>
      </c>
      <c r="D1271" s="15">
        <v>2.0</v>
      </c>
      <c r="E1271" s="17" t="s">
        <v>524</v>
      </c>
      <c r="F1271" s="15" t="s">
        <v>479</v>
      </c>
      <c r="G1271" s="46" t="s">
        <v>443</v>
      </c>
      <c r="H1271" s="47" t="s">
        <v>420</v>
      </c>
      <c r="I1271" s="48" t="s">
        <v>19</v>
      </c>
      <c r="J1271" s="49">
        <v>7.27995E7</v>
      </c>
    </row>
    <row r="1272">
      <c r="A1272" s="45" t="s">
        <v>74</v>
      </c>
      <c r="B1272" s="16" t="s">
        <v>254</v>
      </c>
      <c r="C1272" s="17" t="s">
        <v>255</v>
      </c>
      <c r="D1272" s="15">
        <v>2.0</v>
      </c>
      <c r="E1272" s="17" t="s">
        <v>524</v>
      </c>
      <c r="F1272" s="15" t="s">
        <v>479</v>
      </c>
      <c r="G1272" s="46" t="s">
        <v>444</v>
      </c>
      <c r="H1272" s="47" t="s">
        <v>445</v>
      </c>
      <c r="I1272" s="48" t="s">
        <v>19</v>
      </c>
      <c r="J1272" s="49">
        <v>4577562.0</v>
      </c>
    </row>
    <row r="1273">
      <c r="A1273" s="45" t="s">
        <v>74</v>
      </c>
      <c r="B1273" s="16" t="s">
        <v>254</v>
      </c>
      <c r="C1273" s="17" t="s">
        <v>255</v>
      </c>
      <c r="D1273" s="15">
        <v>2.0</v>
      </c>
      <c r="E1273" s="17" t="s">
        <v>524</v>
      </c>
      <c r="F1273" s="15" t="s">
        <v>479</v>
      </c>
      <c r="G1273" s="46" t="s">
        <v>446</v>
      </c>
      <c r="H1273" s="47" t="s">
        <v>447</v>
      </c>
      <c r="I1273" s="48" t="s">
        <v>19</v>
      </c>
      <c r="J1273" s="49">
        <v>1005604.0</v>
      </c>
    </row>
    <row r="1274">
      <c r="A1274" s="45" t="s">
        <v>74</v>
      </c>
      <c r="B1274" s="16" t="s">
        <v>254</v>
      </c>
      <c r="C1274" s="17" t="s">
        <v>255</v>
      </c>
      <c r="D1274" s="15">
        <v>2.0</v>
      </c>
      <c r="E1274" s="17" t="s">
        <v>524</v>
      </c>
      <c r="F1274" s="15" t="s">
        <v>479</v>
      </c>
      <c r="G1274" s="46" t="s">
        <v>448</v>
      </c>
      <c r="H1274" s="47" t="s">
        <v>449</v>
      </c>
      <c r="I1274" s="48" t="s">
        <v>19</v>
      </c>
      <c r="J1274" s="49">
        <v>2514007.0</v>
      </c>
    </row>
    <row r="1275">
      <c r="A1275" s="45" t="s">
        <v>74</v>
      </c>
      <c r="B1275" s="16" t="s">
        <v>254</v>
      </c>
      <c r="C1275" s="17" t="s">
        <v>255</v>
      </c>
      <c r="D1275" s="15">
        <v>2.0</v>
      </c>
      <c r="E1275" s="17" t="s">
        <v>524</v>
      </c>
      <c r="F1275" s="15" t="s">
        <v>479</v>
      </c>
      <c r="G1275" s="46" t="s">
        <v>450</v>
      </c>
      <c r="H1275" s="47" t="s">
        <v>451</v>
      </c>
      <c r="I1275" s="48" t="s">
        <v>19</v>
      </c>
      <c r="J1275" s="49">
        <v>0.0</v>
      </c>
    </row>
    <row r="1276">
      <c r="A1276" s="45" t="s">
        <v>74</v>
      </c>
      <c r="B1276" s="16" t="s">
        <v>254</v>
      </c>
      <c r="C1276" s="17" t="s">
        <v>255</v>
      </c>
      <c r="D1276" s="15">
        <v>2.0</v>
      </c>
      <c r="E1276" s="17" t="s">
        <v>524</v>
      </c>
      <c r="F1276" s="15" t="s">
        <v>479</v>
      </c>
      <c r="G1276" s="46" t="s">
        <v>452</v>
      </c>
      <c r="H1276" s="47" t="s">
        <v>453</v>
      </c>
      <c r="I1276" s="48" t="s">
        <v>19</v>
      </c>
      <c r="J1276" s="49">
        <v>1860365.0</v>
      </c>
    </row>
    <row r="1277">
      <c r="A1277" s="45" t="s">
        <v>74</v>
      </c>
      <c r="B1277" s="16" t="s">
        <v>254</v>
      </c>
      <c r="C1277" s="17" t="s">
        <v>255</v>
      </c>
      <c r="D1277" s="15">
        <v>2.0</v>
      </c>
      <c r="E1277" s="17" t="s">
        <v>524</v>
      </c>
      <c r="F1277" s="15" t="s">
        <v>479</v>
      </c>
      <c r="G1277" s="46" t="s">
        <v>454</v>
      </c>
      <c r="H1277" s="47" t="s">
        <v>415</v>
      </c>
      <c r="I1277" s="48" t="s">
        <v>19</v>
      </c>
      <c r="J1277" s="49">
        <v>271513.0</v>
      </c>
    </row>
    <row r="1278">
      <c r="A1278" s="45" t="s">
        <v>74</v>
      </c>
      <c r="B1278" s="16" t="s">
        <v>254</v>
      </c>
      <c r="C1278" s="17" t="s">
        <v>255</v>
      </c>
      <c r="D1278" s="15">
        <v>2.0</v>
      </c>
      <c r="E1278" s="17" t="s">
        <v>524</v>
      </c>
      <c r="F1278" s="15" t="s">
        <v>479</v>
      </c>
      <c r="G1278" s="46" t="s">
        <v>455</v>
      </c>
      <c r="H1278" s="47" t="s">
        <v>415</v>
      </c>
      <c r="I1278" s="48" t="s">
        <v>19</v>
      </c>
      <c r="J1278" s="49">
        <v>150840.0</v>
      </c>
    </row>
    <row r="1279">
      <c r="A1279" s="45" t="s">
        <v>74</v>
      </c>
      <c r="B1279" s="16" t="s">
        <v>254</v>
      </c>
      <c r="C1279" s="17" t="s">
        <v>255</v>
      </c>
      <c r="D1279" s="15">
        <v>2.0</v>
      </c>
      <c r="E1279" s="17" t="s">
        <v>524</v>
      </c>
      <c r="F1279" s="15" t="s">
        <v>479</v>
      </c>
      <c r="G1279" s="46" t="s">
        <v>480</v>
      </c>
      <c r="H1279" s="47" t="s">
        <v>481</v>
      </c>
      <c r="I1279" s="48" t="s">
        <v>19</v>
      </c>
      <c r="J1279" s="49">
        <v>1810547.0</v>
      </c>
    </row>
    <row r="1280">
      <c r="A1280" s="45" t="s">
        <v>74</v>
      </c>
      <c r="B1280" s="16" t="s">
        <v>254</v>
      </c>
      <c r="C1280" s="17" t="s">
        <v>255</v>
      </c>
      <c r="D1280" s="15">
        <v>2.0</v>
      </c>
      <c r="E1280" s="17" t="s">
        <v>525</v>
      </c>
      <c r="F1280" s="15" t="s">
        <v>502</v>
      </c>
      <c r="G1280" s="46" t="s">
        <v>526</v>
      </c>
      <c r="H1280" s="47" t="s">
        <v>527</v>
      </c>
      <c r="I1280" s="48" t="s">
        <v>60</v>
      </c>
      <c r="J1280" s="49">
        <v>1.14010991E8</v>
      </c>
    </row>
    <row r="1281">
      <c r="A1281" s="45" t="s">
        <v>74</v>
      </c>
      <c r="B1281" s="16" t="s">
        <v>254</v>
      </c>
      <c r="C1281" s="17" t="s">
        <v>255</v>
      </c>
      <c r="D1281" s="15">
        <v>2.0</v>
      </c>
      <c r="E1281" s="17" t="s">
        <v>525</v>
      </c>
      <c r="F1281" s="15" t="s">
        <v>502</v>
      </c>
      <c r="G1281" s="46" t="s">
        <v>505</v>
      </c>
      <c r="H1281" s="47" t="s">
        <v>506</v>
      </c>
      <c r="I1281" s="48" t="s">
        <v>60</v>
      </c>
      <c r="J1281" s="49">
        <v>5778180.0</v>
      </c>
    </row>
    <row r="1282">
      <c r="A1282" s="45" t="s">
        <v>74</v>
      </c>
      <c r="B1282" s="16" t="s">
        <v>254</v>
      </c>
      <c r="C1282" s="17" t="s">
        <v>255</v>
      </c>
      <c r="D1282" s="15">
        <v>2.0</v>
      </c>
      <c r="E1282" s="17" t="s">
        <v>525</v>
      </c>
      <c r="F1282" s="15" t="s">
        <v>502</v>
      </c>
      <c r="G1282" s="46" t="s">
        <v>507</v>
      </c>
      <c r="H1282" s="47" t="s">
        <v>508</v>
      </c>
      <c r="I1282" s="48" t="s">
        <v>60</v>
      </c>
      <c r="J1282" s="49">
        <v>4465199.0</v>
      </c>
    </row>
    <row r="1283">
      <c r="A1283" s="45" t="s">
        <v>74</v>
      </c>
      <c r="B1283" s="16" t="s">
        <v>254</v>
      </c>
      <c r="C1283" s="17" t="s">
        <v>255</v>
      </c>
      <c r="D1283" s="15">
        <v>2.0</v>
      </c>
      <c r="E1283" s="17" t="s">
        <v>525</v>
      </c>
      <c r="F1283" s="15" t="s">
        <v>502</v>
      </c>
      <c r="G1283" s="46" t="s">
        <v>509</v>
      </c>
      <c r="H1283" s="47" t="s">
        <v>510</v>
      </c>
      <c r="I1283" s="48" t="s">
        <v>60</v>
      </c>
      <c r="J1283" s="49">
        <v>1744050.0</v>
      </c>
    </row>
    <row r="1284">
      <c r="A1284" s="45" t="s">
        <v>74</v>
      </c>
      <c r="B1284" s="16" t="s">
        <v>254</v>
      </c>
      <c r="C1284" s="17" t="s">
        <v>255</v>
      </c>
      <c r="D1284" s="15">
        <v>2.0</v>
      </c>
      <c r="E1284" s="17" t="s">
        <v>525</v>
      </c>
      <c r="F1284" s="15" t="s">
        <v>502</v>
      </c>
      <c r="G1284" s="46" t="s">
        <v>511</v>
      </c>
      <c r="H1284" s="47" t="s">
        <v>512</v>
      </c>
      <c r="I1284" s="48" t="s">
        <v>60</v>
      </c>
      <c r="J1284" s="49">
        <v>6.8770356E7</v>
      </c>
    </row>
    <row r="1285">
      <c r="A1285" s="45" t="s">
        <v>74</v>
      </c>
      <c r="B1285" s="16" t="s">
        <v>254</v>
      </c>
      <c r="C1285" s="17" t="s">
        <v>255</v>
      </c>
      <c r="D1285" s="15">
        <v>2.0</v>
      </c>
      <c r="E1285" s="17" t="s">
        <v>525</v>
      </c>
      <c r="F1285" s="15" t="s">
        <v>502</v>
      </c>
      <c r="G1285" s="46" t="s">
        <v>513</v>
      </c>
      <c r="H1285" s="47" t="s">
        <v>514</v>
      </c>
      <c r="I1285" s="48" t="s">
        <v>60</v>
      </c>
      <c r="J1285" s="49">
        <v>2240985.0</v>
      </c>
    </row>
    <row r="1286">
      <c r="A1286" s="45" t="s">
        <v>74</v>
      </c>
      <c r="B1286" s="16" t="s">
        <v>259</v>
      </c>
      <c r="C1286" s="17" t="s">
        <v>260</v>
      </c>
      <c r="D1286" s="15">
        <v>2.0</v>
      </c>
      <c r="E1286" s="17" t="s">
        <v>441</v>
      </c>
      <c r="F1286" s="15" t="s">
        <v>442</v>
      </c>
      <c r="G1286" s="46" t="s">
        <v>443</v>
      </c>
      <c r="H1286" s="47" t="s">
        <v>420</v>
      </c>
      <c r="I1286" s="48" t="s">
        <v>19</v>
      </c>
      <c r="J1286" s="49">
        <v>4.7371001E7</v>
      </c>
    </row>
    <row r="1287">
      <c r="A1287" s="45" t="s">
        <v>74</v>
      </c>
      <c r="B1287" s="16" t="s">
        <v>259</v>
      </c>
      <c r="C1287" s="17" t="s">
        <v>260</v>
      </c>
      <c r="D1287" s="15">
        <v>2.0</v>
      </c>
      <c r="E1287" s="17" t="s">
        <v>441</v>
      </c>
      <c r="F1287" s="15" t="s">
        <v>442</v>
      </c>
      <c r="G1287" s="46" t="s">
        <v>444</v>
      </c>
      <c r="H1287" s="47" t="s">
        <v>445</v>
      </c>
      <c r="I1287" s="48" t="s">
        <v>19</v>
      </c>
      <c r="J1287" s="49">
        <v>5164902.0</v>
      </c>
    </row>
    <row r="1288">
      <c r="A1288" s="45" t="s">
        <v>74</v>
      </c>
      <c r="B1288" s="16" t="s">
        <v>259</v>
      </c>
      <c r="C1288" s="17" t="s">
        <v>260</v>
      </c>
      <c r="D1288" s="15">
        <v>2.0</v>
      </c>
      <c r="E1288" s="17" t="s">
        <v>441</v>
      </c>
      <c r="F1288" s="15" t="s">
        <v>442</v>
      </c>
      <c r="G1288" s="46" t="s">
        <v>446</v>
      </c>
      <c r="H1288" s="47" t="s">
        <v>447</v>
      </c>
      <c r="I1288" s="48" t="s">
        <v>19</v>
      </c>
      <c r="J1288" s="49">
        <v>502721.0</v>
      </c>
    </row>
    <row r="1289">
      <c r="A1289" s="45" t="s">
        <v>74</v>
      </c>
      <c r="B1289" s="16" t="s">
        <v>259</v>
      </c>
      <c r="C1289" s="17" t="s">
        <v>260</v>
      </c>
      <c r="D1289" s="15">
        <v>2.0</v>
      </c>
      <c r="E1289" s="17" t="s">
        <v>441</v>
      </c>
      <c r="F1289" s="15" t="s">
        <v>442</v>
      </c>
      <c r="G1289" s="46" t="s">
        <v>448</v>
      </c>
      <c r="H1289" s="47" t="s">
        <v>449</v>
      </c>
      <c r="I1289" s="48" t="s">
        <v>19</v>
      </c>
      <c r="J1289" s="49">
        <v>925611.0</v>
      </c>
    </row>
    <row r="1290">
      <c r="A1290" s="45" t="s">
        <v>74</v>
      </c>
      <c r="B1290" s="16" t="s">
        <v>259</v>
      </c>
      <c r="C1290" s="17" t="s">
        <v>260</v>
      </c>
      <c r="D1290" s="15">
        <v>2.0</v>
      </c>
      <c r="E1290" s="17" t="s">
        <v>441</v>
      </c>
      <c r="F1290" s="15" t="s">
        <v>442</v>
      </c>
      <c r="G1290" s="46" t="s">
        <v>450</v>
      </c>
      <c r="H1290" s="47" t="s">
        <v>451</v>
      </c>
      <c r="I1290" s="48" t="s">
        <v>19</v>
      </c>
      <c r="J1290" s="49">
        <v>0.0</v>
      </c>
    </row>
    <row r="1291">
      <c r="A1291" s="45" t="s">
        <v>74</v>
      </c>
      <c r="B1291" s="16" t="s">
        <v>259</v>
      </c>
      <c r="C1291" s="17" t="s">
        <v>260</v>
      </c>
      <c r="D1291" s="15">
        <v>2.0</v>
      </c>
      <c r="E1291" s="17" t="s">
        <v>441</v>
      </c>
      <c r="F1291" s="15" t="s">
        <v>442</v>
      </c>
      <c r="G1291" s="46" t="s">
        <v>452</v>
      </c>
      <c r="H1291" s="47" t="s">
        <v>453</v>
      </c>
      <c r="I1291" s="48" t="s">
        <v>19</v>
      </c>
      <c r="J1291" s="49">
        <v>1062140.0</v>
      </c>
    </row>
    <row r="1292">
      <c r="A1292" s="45" t="s">
        <v>74</v>
      </c>
      <c r="B1292" s="16" t="s">
        <v>259</v>
      </c>
      <c r="C1292" s="17" t="s">
        <v>260</v>
      </c>
      <c r="D1292" s="15">
        <v>2.0</v>
      </c>
      <c r="E1292" s="17" t="s">
        <v>441</v>
      </c>
      <c r="F1292" s="15" t="s">
        <v>442</v>
      </c>
      <c r="G1292" s="46" t="s">
        <v>454</v>
      </c>
      <c r="H1292" s="47" t="s">
        <v>415</v>
      </c>
      <c r="I1292" s="48" t="s">
        <v>19</v>
      </c>
      <c r="J1292" s="49">
        <v>155015.0</v>
      </c>
    </row>
    <row r="1293">
      <c r="A1293" s="45" t="s">
        <v>74</v>
      </c>
      <c r="B1293" s="16" t="s">
        <v>259</v>
      </c>
      <c r="C1293" s="17" t="s">
        <v>260</v>
      </c>
      <c r="D1293" s="15">
        <v>2.0</v>
      </c>
      <c r="E1293" s="17" t="s">
        <v>441</v>
      </c>
      <c r="F1293" s="15" t="s">
        <v>442</v>
      </c>
      <c r="G1293" s="46" t="s">
        <v>455</v>
      </c>
      <c r="H1293" s="47" t="s">
        <v>415</v>
      </c>
      <c r="I1293" s="48" t="s">
        <v>19</v>
      </c>
      <c r="J1293" s="49">
        <v>86120.0</v>
      </c>
    </row>
    <row r="1294">
      <c r="A1294" s="45" t="s">
        <v>74</v>
      </c>
      <c r="B1294" s="16" t="s">
        <v>259</v>
      </c>
      <c r="C1294" s="17" t="s">
        <v>260</v>
      </c>
      <c r="D1294" s="15">
        <v>2.0</v>
      </c>
      <c r="E1294" s="17" t="s">
        <v>456</v>
      </c>
      <c r="F1294" s="15" t="s">
        <v>457</v>
      </c>
      <c r="G1294" s="46" t="s">
        <v>458</v>
      </c>
      <c r="H1294" s="47" t="s">
        <v>411</v>
      </c>
      <c r="I1294" s="48" t="s">
        <v>19</v>
      </c>
      <c r="J1294" s="49">
        <v>1.01417484E8</v>
      </c>
    </row>
    <row r="1295">
      <c r="A1295" s="45" t="s">
        <v>74</v>
      </c>
      <c r="B1295" s="16" t="s">
        <v>259</v>
      </c>
      <c r="C1295" s="17" t="s">
        <v>260</v>
      </c>
      <c r="D1295" s="15">
        <v>2.0</v>
      </c>
      <c r="E1295" s="17" t="s">
        <v>469</v>
      </c>
      <c r="F1295" s="15" t="s">
        <v>470</v>
      </c>
      <c r="G1295" s="46" t="s">
        <v>471</v>
      </c>
      <c r="H1295" s="47" t="s">
        <v>472</v>
      </c>
      <c r="I1295" s="48" t="s">
        <v>25</v>
      </c>
      <c r="J1295" s="49">
        <v>2310175.0</v>
      </c>
    </row>
    <row r="1296">
      <c r="A1296" s="45" t="s">
        <v>74</v>
      </c>
      <c r="B1296" s="16" t="s">
        <v>259</v>
      </c>
      <c r="C1296" s="17" t="s">
        <v>260</v>
      </c>
      <c r="D1296" s="15">
        <v>2.0</v>
      </c>
      <c r="E1296" s="17" t="s">
        <v>473</v>
      </c>
      <c r="F1296" s="15" t="s">
        <v>474</v>
      </c>
      <c r="G1296" s="46" t="s">
        <v>523</v>
      </c>
      <c r="H1296" s="47" t="s">
        <v>431</v>
      </c>
      <c r="I1296" s="48" t="s">
        <v>17</v>
      </c>
      <c r="J1296" s="49">
        <v>6.99858406E8</v>
      </c>
    </row>
    <row r="1297">
      <c r="A1297" s="45" t="s">
        <v>74</v>
      </c>
      <c r="B1297" s="16" t="s">
        <v>259</v>
      </c>
      <c r="C1297" s="17" t="s">
        <v>260</v>
      </c>
      <c r="D1297" s="15">
        <v>2.0</v>
      </c>
      <c r="E1297" s="17" t="s">
        <v>473</v>
      </c>
      <c r="F1297" s="15" t="s">
        <v>474</v>
      </c>
      <c r="G1297" s="46" t="s">
        <v>523</v>
      </c>
      <c r="H1297" s="47" t="s">
        <v>431</v>
      </c>
      <c r="I1297" s="48" t="s">
        <v>25</v>
      </c>
      <c r="J1297" s="49">
        <v>-6.10101712E8</v>
      </c>
    </row>
    <row r="1298">
      <c r="A1298" s="45" t="s">
        <v>74</v>
      </c>
      <c r="B1298" s="16" t="s">
        <v>259</v>
      </c>
      <c r="C1298" s="17" t="s">
        <v>260</v>
      </c>
      <c r="D1298" s="15">
        <v>2.0</v>
      </c>
      <c r="E1298" s="17" t="s">
        <v>473</v>
      </c>
      <c r="F1298" s="15" t="s">
        <v>474</v>
      </c>
      <c r="G1298" s="46" t="s">
        <v>458</v>
      </c>
      <c r="H1298" s="47" t="s">
        <v>411</v>
      </c>
      <c r="I1298" s="48" t="s">
        <v>19</v>
      </c>
      <c r="J1298" s="49">
        <v>4.8633984E7</v>
      </c>
    </row>
    <row r="1299">
      <c r="A1299" s="45" t="s">
        <v>74</v>
      </c>
      <c r="B1299" s="16" t="s">
        <v>259</v>
      </c>
      <c r="C1299" s="17" t="s">
        <v>260</v>
      </c>
      <c r="D1299" s="15">
        <v>2.0</v>
      </c>
      <c r="E1299" s="17" t="s">
        <v>491</v>
      </c>
      <c r="F1299" s="15" t="s">
        <v>492</v>
      </c>
      <c r="G1299" s="46" t="s">
        <v>545</v>
      </c>
      <c r="H1299" s="47" t="s">
        <v>427</v>
      </c>
      <c r="I1299" s="48" t="s">
        <v>37</v>
      </c>
      <c r="J1299" s="49">
        <v>2.7512689E7</v>
      </c>
    </row>
    <row r="1300">
      <c r="A1300" s="45" t="s">
        <v>74</v>
      </c>
      <c r="B1300" s="16" t="s">
        <v>259</v>
      </c>
      <c r="C1300" s="17" t="s">
        <v>260</v>
      </c>
      <c r="D1300" s="15">
        <v>2.0</v>
      </c>
      <c r="E1300" s="17" t="s">
        <v>491</v>
      </c>
      <c r="F1300" s="15" t="s">
        <v>492</v>
      </c>
      <c r="G1300" s="46" t="s">
        <v>554</v>
      </c>
      <c r="H1300" s="47" t="s">
        <v>555</v>
      </c>
      <c r="I1300" s="48" t="s">
        <v>17</v>
      </c>
      <c r="J1300" s="49">
        <v>3231818.0</v>
      </c>
    </row>
    <row r="1301">
      <c r="A1301" s="45" t="s">
        <v>74</v>
      </c>
      <c r="B1301" s="16" t="s">
        <v>259</v>
      </c>
      <c r="C1301" s="17" t="s">
        <v>260</v>
      </c>
      <c r="D1301" s="15">
        <v>2.0</v>
      </c>
      <c r="E1301" s="17" t="s">
        <v>491</v>
      </c>
      <c r="F1301" s="15" t="s">
        <v>492</v>
      </c>
      <c r="G1301" s="46" t="s">
        <v>554</v>
      </c>
      <c r="H1301" s="47" t="s">
        <v>555</v>
      </c>
      <c r="I1301" s="48" t="s">
        <v>25</v>
      </c>
      <c r="J1301" s="49">
        <v>-3231818.0</v>
      </c>
    </row>
    <row r="1302">
      <c r="A1302" s="45" t="s">
        <v>74</v>
      </c>
      <c r="B1302" s="16" t="s">
        <v>259</v>
      </c>
      <c r="C1302" s="17" t="s">
        <v>260</v>
      </c>
      <c r="D1302" s="15">
        <v>2.0</v>
      </c>
      <c r="E1302" s="17" t="s">
        <v>491</v>
      </c>
      <c r="F1302" s="15" t="s">
        <v>492</v>
      </c>
      <c r="G1302" s="46" t="s">
        <v>493</v>
      </c>
      <c r="H1302" s="47" t="s">
        <v>437</v>
      </c>
      <c r="I1302" s="48" t="s">
        <v>17</v>
      </c>
      <c r="J1302" s="49">
        <v>6463636.0</v>
      </c>
    </row>
    <row r="1303">
      <c r="A1303" s="45" t="s">
        <v>74</v>
      </c>
      <c r="B1303" s="16" t="s">
        <v>259</v>
      </c>
      <c r="C1303" s="17" t="s">
        <v>260</v>
      </c>
      <c r="D1303" s="15">
        <v>2.0</v>
      </c>
      <c r="E1303" s="17" t="s">
        <v>491</v>
      </c>
      <c r="F1303" s="15" t="s">
        <v>492</v>
      </c>
      <c r="G1303" s="46" t="s">
        <v>493</v>
      </c>
      <c r="H1303" s="47" t="s">
        <v>437</v>
      </c>
      <c r="I1303" s="48" t="s">
        <v>25</v>
      </c>
      <c r="J1303" s="49">
        <v>1513848.0</v>
      </c>
    </row>
    <row r="1304">
      <c r="A1304" s="45" t="s">
        <v>74</v>
      </c>
      <c r="B1304" s="16" t="s">
        <v>259</v>
      </c>
      <c r="C1304" s="17" t="s">
        <v>260</v>
      </c>
      <c r="D1304" s="15">
        <v>2.0</v>
      </c>
      <c r="E1304" s="17" t="s">
        <v>494</v>
      </c>
      <c r="F1304" s="15" t="s">
        <v>495</v>
      </c>
      <c r="G1304" s="46" t="s">
        <v>496</v>
      </c>
      <c r="H1304" s="47" t="s">
        <v>497</v>
      </c>
      <c r="I1304" s="48" t="s">
        <v>25</v>
      </c>
      <c r="J1304" s="49">
        <v>1861060.0</v>
      </c>
    </row>
    <row r="1305">
      <c r="A1305" s="45" t="s">
        <v>74</v>
      </c>
      <c r="B1305" s="16" t="s">
        <v>259</v>
      </c>
      <c r="C1305" s="17" t="s">
        <v>260</v>
      </c>
      <c r="D1305" s="15">
        <v>2.0</v>
      </c>
      <c r="E1305" s="17" t="s">
        <v>494</v>
      </c>
      <c r="F1305" s="15" t="s">
        <v>495</v>
      </c>
      <c r="G1305" s="46" t="s">
        <v>477</v>
      </c>
      <c r="H1305" s="47" t="s">
        <v>429</v>
      </c>
      <c r="I1305" s="48" t="s">
        <v>50</v>
      </c>
      <c r="J1305" s="49">
        <v>2.4403775E7</v>
      </c>
    </row>
    <row r="1306">
      <c r="A1306" s="45" t="s">
        <v>74</v>
      </c>
      <c r="B1306" s="16" t="s">
        <v>259</v>
      </c>
      <c r="C1306" s="17" t="s">
        <v>260</v>
      </c>
      <c r="D1306" s="15">
        <v>2.0</v>
      </c>
      <c r="E1306" s="17" t="s">
        <v>475</v>
      </c>
      <c r="F1306" s="15" t="s">
        <v>476</v>
      </c>
      <c r="G1306" s="46" t="s">
        <v>498</v>
      </c>
      <c r="H1306" s="47" t="s">
        <v>434</v>
      </c>
      <c r="I1306" s="48" t="s">
        <v>25</v>
      </c>
      <c r="J1306" s="49">
        <v>8394000.0</v>
      </c>
    </row>
    <row r="1307">
      <c r="A1307" s="45" t="s">
        <v>74</v>
      </c>
      <c r="B1307" s="16" t="s">
        <v>259</v>
      </c>
      <c r="C1307" s="17" t="s">
        <v>260</v>
      </c>
      <c r="D1307" s="15">
        <v>2.0</v>
      </c>
      <c r="E1307" s="17" t="s">
        <v>475</v>
      </c>
      <c r="F1307" s="15" t="s">
        <v>476</v>
      </c>
      <c r="G1307" s="46" t="s">
        <v>477</v>
      </c>
      <c r="H1307" s="47" t="s">
        <v>429</v>
      </c>
      <c r="I1307" s="48" t="s">
        <v>50</v>
      </c>
      <c r="J1307" s="49">
        <v>2.7002525E7</v>
      </c>
    </row>
    <row r="1308">
      <c r="A1308" s="45" t="s">
        <v>74</v>
      </c>
      <c r="B1308" s="16" t="s">
        <v>259</v>
      </c>
      <c r="C1308" s="17" t="s">
        <v>260</v>
      </c>
      <c r="D1308" s="15">
        <v>2.0</v>
      </c>
      <c r="E1308" s="17" t="s">
        <v>524</v>
      </c>
      <c r="F1308" s="15" t="s">
        <v>479</v>
      </c>
      <c r="G1308" s="46" t="s">
        <v>443</v>
      </c>
      <c r="H1308" s="47" t="s">
        <v>420</v>
      </c>
      <c r="I1308" s="48" t="s">
        <v>19</v>
      </c>
      <c r="J1308" s="49">
        <v>9.3502314E7</v>
      </c>
    </row>
    <row r="1309">
      <c r="A1309" s="45" t="s">
        <v>74</v>
      </c>
      <c r="B1309" s="16" t="s">
        <v>259</v>
      </c>
      <c r="C1309" s="17" t="s">
        <v>260</v>
      </c>
      <c r="D1309" s="15">
        <v>2.0</v>
      </c>
      <c r="E1309" s="17" t="s">
        <v>524</v>
      </c>
      <c r="F1309" s="15" t="s">
        <v>479</v>
      </c>
      <c r="G1309" s="46" t="s">
        <v>444</v>
      </c>
      <c r="H1309" s="47" t="s">
        <v>445</v>
      </c>
      <c r="I1309" s="48" t="s">
        <v>19</v>
      </c>
      <c r="J1309" s="49">
        <v>4198883.0</v>
      </c>
    </row>
    <row r="1310">
      <c r="A1310" s="45" t="s">
        <v>74</v>
      </c>
      <c r="B1310" s="16" t="s">
        <v>259</v>
      </c>
      <c r="C1310" s="17" t="s">
        <v>260</v>
      </c>
      <c r="D1310" s="15">
        <v>2.0</v>
      </c>
      <c r="E1310" s="17" t="s">
        <v>524</v>
      </c>
      <c r="F1310" s="15" t="s">
        <v>479</v>
      </c>
      <c r="G1310" s="46" t="s">
        <v>446</v>
      </c>
      <c r="H1310" s="47" t="s">
        <v>447</v>
      </c>
      <c r="I1310" s="48" t="s">
        <v>19</v>
      </c>
      <c r="J1310" s="49">
        <v>1218612.0</v>
      </c>
    </row>
    <row r="1311">
      <c r="A1311" s="45" t="s">
        <v>74</v>
      </c>
      <c r="B1311" s="16" t="s">
        <v>259</v>
      </c>
      <c r="C1311" s="17" t="s">
        <v>260</v>
      </c>
      <c r="D1311" s="15">
        <v>2.0</v>
      </c>
      <c r="E1311" s="17" t="s">
        <v>524</v>
      </c>
      <c r="F1311" s="15" t="s">
        <v>479</v>
      </c>
      <c r="G1311" s="46" t="s">
        <v>448</v>
      </c>
      <c r="H1311" s="47" t="s">
        <v>449</v>
      </c>
      <c r="I1311" s="48" t="s">
        <v>19</v>
      </c>
      <c r="J1311" s="49">
        <v>1969675.0</v>
      </c>
    </row>
    <row r="1312">
      <c r="A1312" s="45" t="s">
        <v>74</v>
      </c>
      <c r="B1312" s="16" t="s">
        <v>259</v>
      </c>
      <c r="C1312" s="17" t="s">
        <v>260</v>
      </c>
      <c r="D1312" s="15">
        <v>2.0</v>
      </c>
      <c r="E1312" s="17" t="s">
        <v>524</v>
      </c>
      <c r="F1312" s="15" t="s">
        <v>479</v>
      </c>
      <c r="G1312" s="46" t="s">
        <v>450</v>
      </c>
      <c r="H1312" s="47" t="s">
        <v>451</v>
      </c>
      <c r="I1312" s="48" t="s">
        <v>19</v>
      </c>
      <c r="J1312" s="49">
        <v>0.0</v>
      </c>
    </row>
    <row r="1313">
      <c r="A1313" s="45" t="s">
        <v>74</v>
      </c>
      <c r="B1313" s="16" t="s">
        <v>259</v>
      </c>
      <c r="C1313" s="17" t="s">
        <v>260</v>
      </c>
      <c r="D1313" s="15">
        <v>2.0</v>
      </c>
      <c r="E1313" s="17" t="s">
        <v>524</v>
      </c>
      <c r="F1313" s="15" t="s">
        <v>479</v>
      </c>
      <c r="G1313" s="46" t="s">
        <v>452</v>
      </c>
      <c r="H1313" s="47" t="s">
        <v>453</v>
      </c>
      <c r="I1313" s="48" t="s">
        <v>19</v>
      </c>
      <c r="J1313" s="49">
        <v>2254431.0</v>
      </c>
    </row>
    <row r="1314">
      <c r="A1314" s="45" t="s">
        <v>74</v>
      </c>
      <c r="B1314" s="16" t="s">
        <v>259</v>
      </c>
      <c r="C1314" s="17" t="s">
        <v>260</v>
      </c>
      <c r="D1314" s="15">
        <v>2.0</v>
      </c>
      <c r="E1314" s="17" t="s">
        <v>524</v>
      </c>
      <c r="F1314" s="15" t="s">
        <v>479</v>
      </c>
      <c r="G1314" s="46" t="s">
        <v>454</v>
      </c>
      <c r="H1314" s="47" t="s">
        <v>415</v>
      </c>
      <c r="I1314" s="48" t="s">
        <v>19</v>
      </c>
      <c r="J1314" s="49">
        <v>329025.0</v>
      </c>
    </row>
    <row r="1315">
      <c r="A1315" s="45" t="s">
        <v>74</v>
      </c>
      <c r="B1315" s="16" t="s">
        <v>259</v>
      </c>
      <c r="C1315" s="17" t="s">
        <v>260</v>
      </c>
      <c r="D1315" s="15">
        <v>2.0</v>
      </c>
      <c r="E1315" s="17" t="s">
        <v>524</v>
      </c>
      <c r="F1315" s="15" t="s">
        <v>479</v>
      </c>
      <c r="G1315" s="46" t="s">
        <v>455</v>
      </c>
      <c r="H1315" s="47" t="s">
        <v>415</v>
      </c>
      <c r="I1315" s="48" t="s">
        <v>19</v>
      </c>
      <c r="J1315" s="49">
        <v>182791.0</v>
      </c>
    </row>
    <row r="1316">
      <c r="A1316" s="45" t="s">
        <v>74</v>
      </c>
      <c r="B1316" s="16" t="s">
        <v>259</v>
      </c>
      <c r="C1316" s="17" t="s">
        <v>260</v>
      </c>
      <c r="D1316" s="15">
        <v>2.0</v>
      </c>
      <c r="E1316" s="17" t="s">
        <v>525</v>
      </c>
      <c r="F1316" s="15" t="s">
        <v>502</v>
      </c>
      <c r="G1316" s="46" t="s">
        <v>526</v>
      </c>
      <c r="H1316" s="47" t="s">
        <v>527</v>
      </c>
      <c r="I1316" s="48" t="s">
        <v>60</v>
      </c>
      <c r="J1316" s="49">
        <v>1.77469097E8</v>
      </c>
    </row>
    <row r="1317">
      <c r="A1317" s="45" t="s">
        <v>74</v>
      </c>
      <c r="B1317" s="16" t="s">
        <v>259</v>
      </c>
      <c r="C1317" s="17" t="s">
        <v>260</v>
      </c>
      <c r="D1317" s="15">
        <v>2.0</v>
      </c>
      <c r="E1317" s="17" t="s">
        <v>525</v>
      </c>
      <c r="F1317" s="15" t="s">
        <v>502</v>
      </c>
      <c r="G1317" s="46" t="s">
        <v>539</v>
      </c>
      <c r="H1317" s="47" t="s">
        <v>540</v>
      </c>
      <c r="I1317" s="48" t="s">
        <v>60</v>
      </c>
      <c r="J1317" s="49">
        <v>1.0323087E7</v>
      </c>
    </row>
    <row r="1318">
      <c r="A1318" s="45" t="s">
        <v>74</v>
      </c>
      <c r="B1318" s="16" t="s">
        <v>259</v>
      </c>
      <c r="C1318" s="17" t="s">
        <v>260</v>
      </c>
      <c r="D1318" s="15">
        <v>2.0</v>
      </c>
      <c r="E1318" s="17" t="s">
        <v>525</v>
      </c>
      <c r="F1318" s="15" t="s">
        <v>502</v>
      </c>
      <c r="G1318" s="46" t="s">
        <v>505</v>
      </c>
      <c r="H1318" s="47" t="s">
        <v>506</v>
      </c>
      <c r="I1318" s="48" t="s">
        <v>60</v>
      </c>
      <c r="J1318" s="49">
        <v>2.2007823E7</v>
      </c>
    </row>
    <row r="1319">
      <c r="A1319" s="45" t="s">
        <v>74</v>
      </c>
      <c r="B1319" s="16" t="s">
        <v>259</v>
      </c>
      <c r="C1319" s="17" t="s">
        <v>260</v>
      </c>
      <c r="D1319" s="15">
        <v>2.0</v>
      </c>
      <c r="E1319" s="17" t="s">
        <v>525</v>
      </c>
      <c r="F1319" s="15" t="s">
        <v>502</v>
      </c>
      <c r="G1319" s="46" t="s">
        <v>509</v>
      </c>
      <c r="H1319" s="47" t="s">
        <v>510</v>
      </c>
      <c r="I1319" s="48" t="s">
        <v>60</v>
      </c>
      <c r="J1319" s="49">
        <v>1233334.0</v>
      </c>
    </row>
    <row r="1320">
      <c r="A1320" s="45" t="s">
        <v>74</v>
      </c>
      <c r="B1320" s="16" t="s">
        <v>259</v>
      </c>
      <c r="C1320" s="17" t="s">
        <v>260</v>
      </c>
      <c r="D1320" s="15">
        <v>2.0</v>
      </c>
      <c r="E1320" s="17" t="s">
        <v>525</v>
      </c>
      <c r="F1320" s="15" t="s">
        <v>502</v>
      </c>
      <c r="G1320" s="46" t="s">
        <v>511</v>
      </c>
      <c r="H1320" s="47" t="s">
        <v>512</v>
      </c>
      <c r="I1320" s="48" t="s">
        <v>60</v>
      </c>
      <c r="J1320" s="49">
        <v>1.05904961E8</v>
      </c>
    </row>
    <row r="1321">
      <c r="A1321" s="45" t="s">
        <v>74</v>
      </c>
      <c r="B1321" s="16" t="s">
        <v>259</v>
      </c>
      <c r="C1321" s="17" t="s">
        <v>260</v>
      </c>
      <c r="D1321" s="15">
        <v>2.0</v>
      </c>
      <c r="E1321" s="17" t="s">
        <v>525</v>
      </c>
      <c r="F1321" s="15" t="s">
        <v>502</v>
      </c>
      <c r="G1321" s="46" t="s">
        <v>513</v>
      </c>
      <c r="H1321" s="47" t="s">
        <v>514</v>
      </c>
      <c r="I1321" s="48" t="s">
        <v>60</v>
      </c>
      <c r="J1321" s="49">
        <v>1101488.0</v>
      </c>
    </row>
    <row r="1322">
      <c r="A1322" s="45" t="s">
        <v>74</v>
      </c>
      <c r="B1322" s="16" t="s">
        <v>259</v>
      </c>
      <c r="C1322" s="17" t="s">
        <v>260</v>
      </c>
      <c r="D1322" s="15">
        <v>2.0</v>
      </c>
      <c r="E1322" s="17" t="s">
        <v>548</v>
      </c>
      <c r="F1322" s="15" t="s">
        <v>549</v>
      </c>
      <c r="G1322" s="46" t="s">
        <v>550</v>
      </c>
      <c r="H1322" s="47" t="s">
        <v>551</v>
      </c>
      <c r="I1322" s="48" t="s">
        <v>25</v>
      </c>
      <c r="J1322" s="49">
        <v>8.3697975E7</v>
      </c>
    </row>
    <row r="1323">
      <c r="A1323" s="45" t="s">
        <v>74</v>
      </c>
      <c r="B1323" s="16" t="s">
        <v>66</v>
      </c>
      <c r="C1323" s="17" t="s">
        <v>67</v>
      </c>
      <c r="D1323" s="15">
        <v>2.0</v>
      </c>
      <c r="E1323" s="17" t="s">
        <v>441</v>
      </c>
      <c r="F1323" s="15" t="s">
        <v>442</v>
      </c>
      <c r="G1323" s="46" t="s">
        <v>443</v>
      </c>
      <c r="H1323" s="47" t="s">
        <v>420</v>
      </c>
      <c r="I1323" s="48" t="s">
        <v>19</v>
      </c>
      <c r="J1323" s="49">
        <v>4.8517325E7</v>
      </c>
    </row>
    <row r="1324">
      <c r="A1324" s="45" t="s">
        <v>74</v>
      </c>
      <c r="B1324" s="16" t="s">
        <v>66</v>
      </c>
      <c r="C1324" s="17" t="s">
        <v>67</v>
      </c>
      <c r="D1324" s="15">
        <v>2.0</v>
      </c>
      <c r="E1324" s="17" t="s">
        <v>441</v>
      </c>
      <c r="F1324" s="15" t="s">
        <v>442</v>
      </c>
      <c r="G1324" s="46" t="s">
        <v>444</v>
      </c>
      <c r="H1324" s="47" t="s">
        <v>445</v>
      </c>
      <c r="I1324" s="48" t="s">
        <v>19</v>
      </c>
      <c r="J1324" s="49">
        <v>5034353.0</v>
      </c>
    </row>
    <row r="1325">
      <c r="A1325" s="45" t="s">
        <v>74</v>
      </c>
      <c r="B1325" s="16" t="s">
        <v>66</v>
      </c>
      <c r="C1325" s="17" t="s">
        <v>67</v>
      </c>
      <c r="D1325" s="15">
        <v>2.0</v>
      </c>
      <c r="E1325" s="17" t="s">
        <v>441</v>
      </c>
      <c r="F1325" s="15" t="s">
        <v>442</v>
      </c>
      <c r="G1325" s="46" t="s">
        <v>446</v>
      </c>
      <c r="H1325" s="47" t="s">
        <v>447</v>
      </c>
      <c r="I1325" s="48" t="s">
        <v>19</v>
      </c>
      <c r="J1325" s="49">
        <v>528613.0</v>
      </c>
    </row>
    <row r="1326">
      <c r="A1326" s="45" t="s">
        <v>74</v>
      </c>
      <c r="B1326" s="16" t="s">
        <v>66</v>
      </c>
      <c r="C1326" s="17" t="s">
        <v>67</v>
      </c>
      <c r="D1326" s="15">
        <v>2.0</v>
      </c>
      <c r="E1326" s="17" t="s">
        <v>441</v>
      </c>
      <c r="F1326" s="15" t="s">
        <v>442</v>
      </c>
      <c r="G1326" s="46" t="s">
        <v>448</v>
      </c>
      <c r="H1326" s="47" t="s">
        <v>449</v>
      </c>
      <c r="I1326" s="48" t="s">
        <v>19</v>
      </c>
      <c r="J1326" s="49">
        <v>1423178.0</v>
      </c>
    </row>
    <row r="1327">
      <c r="A1327" s="45" t="s">
        <v>74</v>
      </c>
      <c r="B1327" s="16" t="s">
        <v>66</v>
      </c>
      <c r="C1327" s="17" t="s">
        <v>67</v>
      </c>
      <c r="D1327" s="15">
        <v>2.0</v>
      </c>
      <c r="E1327" s="17" t="s">
        <v>441</v>
      </c>
      <c r="F1327" s="15" t="s">
        <v>442</v>
      </c>
      <c r="G1327" s="46" t="s">
        <v>450</v>
      </c>
      <c r="H1327" s="47" t="s">
        <v>451</v>
      </c>
      <c r="I1327" s="48" t="s">
        <v>19</v>
      </c>
      <c r="J1327" s="49">
        <v>0.0</v>
      </c>
    </row>
    <row r="1328">
      <c r="A1328" s="45" t="s">
        <v>74</v>
      </c>
      <c r="B1328" s="16" t="s">
        <v>66</v>
      </c>
      <c r="C1328" s="17" t="s">
        <v>67</v>
      </c>
      <c r="D1328" s="15">
        <v>2.0</v>
      </c>
      <c r="E1328" s="17" t="s">
        <v>441</v>
      </c>
      <c r="F1328" s="15" t="s">
        <v>442</v>
      </c>
      <c r="G1328" s="46" t="s">
        <v>452</v>
      </c>
      <c r="H1328" s="47" t="s">
        <v>453</v>
      </c>
      <c r="I1328" s="48" t="s">
        <v>19</v>
      </c>
      <c r="J1328" s="49">
        <v>1085814.0</v>
      </c>
    </row>
    <row r="1329">
      <c r="A1329" s="45" t="s">
        <v>74</v>
      </c>
      <c r="B1329" s="16" t="s">
        <v>66</v>
      </c>
      <c r="C1329" s="17" t="s">
        <v>67</v>
      </c>
      <c r="D1329" s="15">
        <v>2.0</v>
      </c>
      <c r="E1329" s="17" t="s">
        <v>441</v>
      </c>
      <c r="F1329" s="15" t="s">
        <v>442</v>
      </c>
      <c r="G1329" s="46" t="s">
        <v>454</v>
      </c>
      <c r="H1329" s="47" t="s">
        <v>415</v>
      </c>
      <c r="I1329" s="48" t="s">
        <v>19</v>
      </c>
      <c r="J1329" s="49">
        <v>158470.0</v>
      </c>
    </row>
    <row r="1330">
      <c r="A1330" s="45" t="s">
        <v>74</v>
      </c>
      <c r="B1330" s="16" t="s">
        <v>66</v>
      </c>
      <c r="C1330" s="17" t="s">
        <v>67</v>
      </c>
      <c r="D1330" s="15">
        <v>2.0</v>
      </c>
      <c r="E1330" s="17" t="s">
        <v>441</v>
      </c>
      <c r="F1330" s="15" t="s">
        <v>442</v>
      </c>
      <c r="G1330" s="46" t="s">
        <v>455</v>
      </c>
      <c r="H1330" s="47" t="s">
        <v>415</v>
      </c>
      <c r="I1330" s="48" t="s">
        <v>19</v>
      </c>
      <c r="J1330" s="49">
        <v>88039.0</v>
      </c>
    </row>
    <row r="1331">
      <c r="A1331" s="45" t="s">
        <v>74</v>
      </c>
      <c r="B1331" s="16" t="s">
        <v>66</v>
      </c>
      <c r="C1331" s="17" t="s">
        <v>67</v>
      </c>
      <c r="D1331" s="15">
        <v>2.0</v>
      </c>
      <c r="E1331" s="17" t="s">
        <v>456</v>
      </c>
      <c r="F1331" s="15" t="s">
        <v>457</v>
      </c>
      <c r="G1331" s="46" t="s">
        <v>515</v>
      </c>
      <c r="H1331" s="47" t="s">
        <v>413</v>
      </c>
      <c r="I1331" s="48" t="s">
        <v>19</v>
      </c>
      <c r="J1331" s="49">
        <v>8364000.0</v>
      </c>
    </row>
    <row r="1332">
      <c r="A1332" s="45" t="s">
        <v>74</v>
      </c>
      <c r="B1332" s="16" t="s">
        <v>66</v>
      </c>
      <c r="C1332" s="17" t="s">
        <v>67</v>
      </c>
      <c r="D1332" s="15">
        <v>2.0</v>
      </c>
      <c r="E1332" s="17" t="s">
        <v>456</v>
      </c>
      <c r="F1332" s="15" t="s">
        <v>457</v>
      </c>
      <c r="G1332" s="46" t="s">
        <v>458</v>
      </c>
      <c r="H1332" s="47" t="s">
        <v>411</v>
      </c>
      <c r="I1332" s="48" t="s">
        <v>19</v>
      </c>
      <c r="J1332" s="49">
        <v>2.623481E8</v>
      </c>
    </row>
    <row r="1333">
      <c r="A1333" s="45" t="s">
        <v>74</v>
      </c>
      <c r="B1333" s="16" t="s">
        <v>66</v>
      </c>
      <c r="C1333" s="17" t="s">
        <v>67</v>
      </c>
      <c r="D1333" s="15">
        <v>2.0</v>
      </c>
      <c r="E1333" s="17" t="s">
        <v>456</v>
      </c>
      <c r="F1333" s="15" t="s">
        <v>457</v>
      </c>
      <c r="G1333" s="46" t="s">
        <v>532</v>
      </c>
      <c r="H1333" s="47" t="s">
        <v>412</v>
      </c>
      <c r="I1333" s="48" t="s">
        <v>19</v>
      </c>
      <c r="J1333" s="49">
        <v>4594268.0</v>
      </c>
    </row>
    <row r="1334">
      <c r="A1334" s="45" t="s">
        <v>74</v>
      </c>
      <c r="B1334" s="16" t="s">
        <v>66</v>
      </c>
      <c r="C1334" s="17" t="s">
        <v>67</v>
      </c>
      <c r="D1334" s="15">
        <v>2.0</v>
      </c>
      <c r="E1334" s="17" t="s">
        <v>482</v>
      </c>
      <c r="F1334" s="15" t="s">
        <v>483</v>
      </c>
      <c r="G1334" s="46" t="s">
        <v>543</v>
      </c>
      <c r="H1334" s="47" t="s">
        <v>430</v>
      </c>
      <c r="I1334" s="48" t="s">
        <v>37</v>
      </c>
      <c r="J1334" s="49">
        <v>848000.0</v>
      </c>
    </row>
    <row r="1335">
      <c r="A1335" s="45" t="s">
        <v>74</v>
      </c>
      <c r="B1335" s="16" t="s">
        <v>66</v>
      </c>
      <c r="C1335" s="17" t="s">
        <v>67</v>
      </c>
      <c r="D1335" s="15">
        <v>2.0</v>
      </c>
      <c r="E1335" s="17" t="s">
        <v>482</v>
      </c>
      <c r="F1335" s="15" t="s">
        <v>483</v>
      </c>
      <c r="G1335" s="46" t="s">
        <v>519</v>
      </c>
      <c r="H1335" s="47" t="s">
        <v>414</v>
      </c>
      <c r="I1335" s="48" t="s">
        <v>37</v>
      </c>
      <c r="J1335" s="49">
        <v>4452000.0</v>
      </c>
    </row>
    <row r="1336">
      <c r="A1336" s="45" t="s">
        <v>74</v>
      </c>
      <c r="B1336" s="16" t="s">
        <v>66</v>
      </c>
      <c r="C1336" s="17" t="s">
        <v>67</v>
      </c>
      <c r="D1336" s="15">
        <v>2.0</v>
      </c>
      <c r="E1336" s="17" t="s">
        <v>482</v>
      </c>
      <c r="F1336" s="15" t="s">
        <v>483</v>
      </c>
      <c r="G1336" s="46" t="s">
        <v>458</v>
      </c>
      <c r="H1336" s="47" t="s">
        <v>411</v>
      </c>
      <c r="I1336" s="48" t="s">
        <v>19</v>
      </c>
      <c r="J1336" s="49">
        <v>1.0942204E7</v>
      </c>
    </row>
    <row r="1337">
      <c r="A1337" s="45" t="s">
        <v>74</v>
      </c>
      <c r="B1337" s="16" t="s">
        <v>66</v>
      </c>
      <c r="C1337" s="17" t="s">
        <v>67</v>
      </c>
      <c r="D1337" s="15">
        <v>2.0</v>
      </c>
      <c r="E1337" s="17" t="s">
        <v>459</v>
      </c>
      <c r="F1337" s="15" t="s">
        <v>460</v>
      </c>
      <c r="G1337" s="46" t="s">
        <v>458</v>
      </c>
      <c r="H1337" s="47" t="s">
        <v>411</v>
      </c>
      <c r="I1337" s="48" t="s">
        <v>19</v>
      </c>
      <c r="J1337" s="49">
        <v>1.6144688E7</v>
      </c>
    </row>
    <row r="1338">
      <c r="A1338" s="45" t="s">
        <v>74</v>
      </c>
      <c r="B1338" s="16" t="s">
        <v>66</v>
      </c>
      <c r="C1338" s="17" t="s">
        <v>67</v>
      </c>
      <c r="D1338" s="15">
        <v>2.0</v>
      </c>
      <c r="E1338" s="17" t="s">
        <v>463</v>
      </c>
      <c r="F1338" s="15" t="s">
        <v>464</v>
      </c>
      <c r="G1338" s="46" t="s">
        <v>458</v>
      </c>
      <c r="H1338" s="47" t="s">
        <v>411</v>
      </c>
      <c r="I1338" s="48" t="s">
        <v>19</v>
      </c>
      <c r="J1338" s="49">
        <v>1.2197024E7</v>
      </c>
    </row>
    <row r="1339">
      <c r="A1339" s="45" t="s">
        <v>74</v>
      </c>
      <c r="B1339" s="16" t="s">
        <v>66</v>
      </c>
      <c r="C1339" s="17" t="s">
        <v>67</v>
      </c>
      <c r="D1339" s="15">
        <v>2.0</v>
      </c>
      <c r="E1339" s="17" t="s">
        <v>487</v>
      </c>
      <c r="F1339" s="15" t="s">
        <v>488</v>
      </c>
      <c r="G1339" s="46" t="s">
        <v>458</v>
      </c>
      <c r="H1339" s="47" t="s">
        <v>411</v>
      </c>
      <c r="I1339" s="48" t="s">
        <v>19</v>
      </c>
      <c r="J1339" s="49">
        <v>4.4488304E7</v>
      </c>
    </row>
    <row r="1340">
      <c r="A1340" s="45" t="s">
        <v>74</v>
      </c>
      <c r="B1340" s="16" t="s">
        <v>66</v>
      </c>
      <c r="C1340" s="17" t="s">
        <v>67</v>
      </c>
      <c r="D1340" s="15">
        <v>2.0</v>
      </c>
      <c r="E1340" s="17" t="s">
        <v>469</v>
      </c>
      <c r="F1340" s="15" t="s">
        <v>470</v>
      </c>
      <c r="G1340" s="46" t="s">
        <v>519</v>
      </c>
      <c r="H1340" s="47" t="s">
        <v>414</v>
      </c>
      <c r="I1340" s="48" t="s">
        <v>37</v>
      </c>
      <c r="J1340" s="49">
        <v>5936000.0</v>
      </c>
    </row>
    <row r="1341">
      <c r="A1341" s="45" t="s">
        <v>74</v>
      </c>
      <c r="B1341" s="16" t="s">
        <v>66</v>
      </c>
      <c r="C1341" s="17" t="s">
        <v>67</v>
      </c>
      <c r="D1341" s="15">
        <v>2.0</v>
      </c>
      <c r="E1341" s="17" t="s">
        <v>473</v>
      </c>
      <c r="F1341" s="15" t="s">
        <v>474</v>
      </c>
      <c r="G1341" s="46" t="s">
        <v>515</v>
      </c>
      <c r="H1341" s="47" t="s">
        <v>413</v>
      </c>
      <c r="I1341" s="48" t="s">
        <v>19</v>
      </c>
      <c r="J1341" s="49">
        <v>1.1019829E7</v>
      </c>
    </row>
    <row r="1342">
      <c r="A1342" s="45" t="s">
        <v>74</v>
      </c>
      <c r="B1342" s="16" t="s">
        <v>66</v>
      </c>
      <c r="C1342" s="17" t="s">
        <v>67</v>
      </c>
      <c r="D1342" s="15">
        <v>2.0</v>
      </c>
      <c r="E1342" s="17" t="s">
        <v>473</v>
      </c>
      <c r="F1342" s="15" t="s">
        <v>474</v>
      </c>
      <c r="G1342" s="46" t="s">
        <v>493</v>
      </c>
      <c r="H1342" s="47" t="s">
        <v>437</v>
      </c>
      <c r="I1342" s="48" t="s">
        <v>25</v>
      </c>
      <c r="J1342" s="49">
        <v>2923813.0</v>
      </c>
    </row>
    <row r="1343">
      <c r="A1343" s="45" t="s">
        <v>74</v>
      </c>
      <c r="B1343" s="16" t="s">
        <v>66</v>
      </c>
      <c r="C1343" s="17" t="s">
        <v>67</v>
      </c>
      <c r="D1343" s="15">
        <v>2.0</v>
      </c>
      <c r="E1343" s="17" t="s">
        <v>473</v>
      </c>
      <c r="F1343" s="15" t="s">
        <v>474</v>
      </c>
      <c r="G1343" s="46" t="s">
        <v>523</v>
      </c>
      <c r="H1343" s="47" t="s">
        <v>431</v>
      </c>
      <c r="I1343" s="48" t="s">
        <v>17</v>
      </c>
      <c r="J1343" s="49">
        <v>7.7205189E8</v>
      </c>
    </row>
    <row r="1344">
      <c r="A1344" s="45" t="s">
        <v>74</v>
      </c>
      <c r="B1344" s="16" t="s">
        <v>66</v>
      </c>
      <c r="C1344" s="17" t="s">
        <v>67</v>
      </c>
      <c r="D1344" s="15">
        <v>2.0</v>
      </c>
      <c r="E1344" s="17" t="s">
        <v>473</v>
      </c>
      <c r="F1344" s="15" t="s">
        <v>474</v>
      </c>
      <c r="G1344" s="46" t="s">
        <v>523</v>
      </c>
      <c r="H1344" s="47" t="s">
        <v>431</v>
      </c>
      <c r="I1344" s="48" t="s">
        <v>25</v>
      </c>
      <c r="J1344" s="49">
        <v>-6.61706721E8</v>
      </c>
    </row>
    <row r="1345">
      <c r="A1345" s="45" t="s">
        <v>74</v>
      </c>
      <c r="B1345" s="16" t="s">
        <v>66</v>
      </c>
      <c r="C1345" s="17" t="s">
        <v>67</v>
      </c>
      <c r="D1345" s="15">
        <v>2.0</v>
      </c>
      <c r="E1345" s="17" t="s">
        <v>473</v>
      </c>
      <c r="F1345" s="15" t="s">
        <v>474</v>
      </c>
      <c r="G1345" s="46" t="s">
        <v>458</v>
      </c>
      <c r="H1345" s="47" t="s">
        <v>411</v>
      </c>
      <c r="I1345" s="48" t="s">
        <v>19</v>
      </c>
      <c r="J1345" s="49">
        <v>1.70758336E8</v>
      </c>
    </row>
    <row r="1346">
      <c r="A1346" s="45" t="s">
        <v>74</v>
      </c>
      <c r="B1346" s="16" t="s">
        <v>66</v>
      </c>
      <c r="C1346" s="17" t="s">
        <v>67</v>
      </c>
      <c r="D1346" s="15">
        <v>2.0</v>
      </c>
      <c r="E1346" s="17" t="s">
        <v>491</v>
      </c>
      <c r="F1346" s="15" t="s">
        <v>492</v>
      </c>
      <c r="G1346" s="46" t="s">
        <v>545</v>
      </c>
      <c r="H1346" s="47" t="s">
        <v>427</v>
      </c>
      <c r="I1346" s="48" t="s">
        <v>37</v>
      </c>
      <c r="J1346" s="49">
        <v>7.598218E7</v>
      </c>
    </row>
    <row r="1347">
      <c r="A1347" s="45" t="s">
        <v>74</v>
      </c>
      <c r="B1347" s="16" t="s">
        <v>66</v>
      </c>
      <c r="C1347" s="17" t="s">
        <v>67</v>
      </c>
      <c r="D1347" s="15">
        <v>2.0</v>
      </c>
      <c r="E1347" s="17" t="s">
        <v>491</v>
      </c>
      <c r="F1347" s="15" t="s">
        <v>492</v>
      </c>
      <c r="G1347" s="46" t="s">
        <v>521</v>
      </c>
      <c r="H1347" s="47" t="s">
        <v>522</v>
      </c>
      <c r="I1347" s="48" t="s">
        <v>37</v>
      </c>
      <c r="J1347" s="49">
        <v>870859.0</v>
      </c>
    </row>
    <row r="1348">
      <c r="A1348" s="45" t="s">
        <v>74</v>
      </c>
      <c r="B1348" s="16" t="s">
        <v>66</v>
      </c>
      <c r="C1348" s="17" t="s">
        <v>67</v>
      </c>
      <c r="D1348" s="15">
        <v>2.0</v>
      </c>
      <c r="E1348" s="17" t="s">
        <v>491</v>
      </c>
      <c r="F1348" s="15" t="s">
        <v>492</v>
      </c>
      <c r="G1348" s="46" t="s">
        <v>493</v>
      </c>
      <c r="H1348" s="47" t="s">
        <v>437</v>
      </c>
      <c r="I1348" s="48" t="s">
        <v>25</v>
      </c>
      <c r="J1348" s="49">
        <v>4952800.0</v>
      </c>
    </row>
    <row r="1349">
      <c r="A1349" s="45" t="s">
        <v>74</v>
      </c>
      <c r="B1349" s="16" t="s">
        <v>66</v>
      </c>
      <c r="C1349" s="17" t="s">
        <v>67</v>
      </c>
      <c r="D1349" s="15">
        <v>2.0</v>
      </c>
      <c r="E1349" s="17" t="s">
        <v>491</v>
      </c>
      <c r="F1349" s="15" t="s">
        <v>492</v>
      </c>
      <c r="G1349" s="46" t="s">
        <v>458</v>
      </c>
      <c r="H1349" s="47" t="s">
        <v>411</v>
      </c>
      <c r="I1349" s="48" t="s">
        <v>19</v>
      </c>
      <c r="J1349" s="49">
        <v>5023088.0</v>
      </c>
    </row>
    <row r="1350">
      <c r="A1350" s="45" t="s">
        <v>74</v>
      </c>
      <c r="B1350" s="16" t="s">
        <v>66</v>
      </c>
      <c r="C1350" s="17" t="s">
        <v>67</v>
      </c>
      <c r="D1350" s="15">
        <v>2.0</v>
      </c>
      <c r="E1350" s="17" t="s">
        <v>494</v>
      </c>
      <c r="F1350" s="15" t="s">
        <v>495</v>
      </c>
      <c r="G1350" s="46" t="s">
        <v>477</v>
      </c>
      <c r="H1350" s="47" t="s">
        <v>429</v>
      </c>
      <c r="I1350" s="48" t="s">
        <v>50</v>
      </c>
      <c r="J1350" s="49">
        <v>2.001159E7</v>
      </c>
    </row>
    <row r="1351">
      <c r="A1351" s="45" t="s">
        <v>74</v>
      </c>
      <c r="B1351" s="16" t="s">
        <v>66</v>
      </c>
      <c r="C1351" s="17" t="s">
        <v>67</v>
      </c>
      <c r="D1351" s="15">
        <v>2.0</v>
      </c>
      <c r="E1351" s="17" t="s">
        <v>475</v>
      </c>
      <c r="F1351" s="15" t="s">
        <v>476</v>
      </c>
      <c r="G1351" s="46" t="s">
        <v>545</v>
      </c>
      <c r="H1351" s="47" t="s">
        <v>427</v>
      </c>
      <c r="I1351" s="48" t="s">
        <v>37</v>
      </c>
      <c r="J1351" s="49">
        <v>725674.0</v>
      </c>
    </row>
    <row r="1352">
      <c r="A1352" s="45" t="s">
        <v>74</v>
      </c>
      <c r="B1352" s="16" t="s">
        <v>66</v>
      </c>
      <c r="C1352" s="17" t="s">
        <v>67</v>
      </c>
      <c r="D1352" s="15">
        <v>2.0</v>
      </c>
      <c r="E1352" s="17" t="s">
        <v>475</v>
      </c>
      <c r="F1352" s="15" t="s">
        <v>476</v>
      </c>
      <c r="G1352" s="46" t="s">
        <v>519</v>
      </c>
      <c r="H1352" s="47" t="s">
        <v>414</v>
      </c>
      <c r="I1352" s="48" t="s">
        <v>37</v>
      </c>
      <c r="J1352" s="49">
        <v>7632000.0</v>
      </c>
    </row>
    <row r="1353">
      <c r="A1353" s="45" t="s">
        <v>74</v>
      </c>
      <c r="B1353" s="16" t="s">
        <v>66</v>
      </c>
      <c r="C1353" s="17" t="s">
        <v>67</v>
      </c>
      <c r="D1353" s="15">
        <v>2.0</v>
      </c>
      <c r="E1353" s="17" t="s">
        <v>475</v>
      </c>
      <c r="F1353" s="15" t="s">
        <v>476</v>
      </c>
      <c r="G1353" s="46" t="s">
        <v>477</v>
      </c>
      <c r="H1353" s="47" t="s">
        <v>429</v>
      </c>
      <c r="I1353" s="48" t="s">
        <v>50</v>
      </c>
      <c r="J1353" s="49">
        <v>2.9153221E7</v>
      </c>
    </row>
    <row r="1354">
      <c r="A1354" s="45" t="s">
        <v>74</v>
      </c>
      <c r="B1354" s="16" t="s">
        <v>66</v>
      </c>
      <c r="C1354" s="17" t="s">
        <v>67</v>
      </c>
      <c r="D1354" s="15">
        <v>2.0</v>
      </c>
      <c r="E1354" s="17" t="s">
        <v>524</v>
      </c>
      <c r="F1354" s="15" t="s">
        <v>479</v>
      </c>
      <c r="G1354" s="46" t="s">
        <v>443</v>
      </c>
      <c r="H1354" s="47" t="s">
        <v>420</v>
      </c>
      <c r="I1354" s="48" t="s">
        <v>19</v>
      </c>
      <c r="J1354" s="49">
        <v>1.01581366E8</v>
      </c>
    </row>
    <row r="1355">
      <c r="A1355" s="45" t="s">
        <v>74</v>
      </c>
      <c r="B1355" s="16" t="s">
        <v>66</v>
      </c>
      <c r="C1355" s="17" t="s">
        <v>67</v>
      </c>
      <c r="D1355" s="15">
        <v>2.0</v>
      </c>
      <c r="E1355" s="17" t="s">
        <v>524</v>
      </c>
      <c r="F1355" s="15" t="s">
        <v>479</v>
      </c>
      <c r="G1355" s="46" t="s">
        <v>444</v>
      </c>
      <c r="H1355" s="47" t="s">
        <v>445</v>
      </c>
      <c r="I1355" s="48" t="s">
        <v>19</v>
      </c>
      <c r="J1355" s="49">
        <v>4987322.0</v>
      </c>
    </row>
    <row r="1356">
      <c r="A1356" s="45" t="s">
        <v>74</v>
      </c>
      <c r="B1356" s="16" t="s">
        <v>66</v>
      </c>
      <c r="C1356" s="17" t="s">
        <v>67</v>
      </c>
      <c r="D1356" s="15">
        <v>2.0</v>
      </c>
      <c r="E1356" s="17" t="s">
        <v>524</v>
      </c>
      <c r="F1356" s="15" t="s">
        <v>479</v>
      </c>
      <c r="G1356" s="46" t="s">
        <v>446</v>
      </c>
      <c r="H1356" s="47" t="s">
        <v>447</v>
      </c>
      <c r="I1356" s="48" t="s">
        <v>19</v>
      </c>
      <c r="J1356" s="49">
        <v>1177715.0</v>
      </c>
    </row>
    <row r="1357">
      <c r="A1357" s="45" t="s">
        <v>74</v>
      </c>
      <c r="B1357" s="16" t="s">
        <v>66</v>
      </c>
      <c r="C1357" s="17" t="s">
        <v>67</v>
      </c>
      <c r="D1357" s="15">
        <v>2.0</v>
      </c>
      <c r="E1357" s="17" t="s">
        <v>524</v>
      </c>
      <c r="F1357" s="15" t="s">
        <v>479</v>
      </c>
      <c r="G1357" s="46" t="s">
        <v>448</v>
      </c>
      <c r="H1357" s="47" t="s">
        <v>449</v>
      </c>
      <c r="I1357" s="48" t="s">
        <v>19</v>
      </c>
      <c r="J1357" s="49">
        <v>3005565.0</v>
      </c>
    </row>
    <row r="1358">
      <c r="A1358" s="45" t="s">
        <v>74</v>
      </c>
      <c r="B1358" s="16" t="s">
        <v>66</v>
      </c>
      <c r="C1358" s="17" t="s">
        <v>67</v>
      </c>
      <c r="D1358" s="15">
        <v>2.0</v>
      </c>
      <c r="E1358" s="17" t="s">
        <v>524</v>
      </c>
      <c r="F1358" s="15" t="s">
        <v>479</v>
      </c>
      <c r="G1358" s="46" t="s">
        <v>450</v>
      </c>
      <c r="H1358" s="47" t="s">
        <v>451</v>
      </c>
      <c r="I1358" s="48" t="s">
        <v>19</v>
      </c>
      <c r="J1358" s="49">
        <v>0.0</v>
      </c>
    </row>
    <row r="1359">
      <c r="A1359" s="45" t="s">
        <v>74</v>
      </c>
      <c r="B1359" s="16" t="s">
        <v>66</v>
      </c>
      <c r="C1359" s="17" t="s">
        <v>67</v>
      </c>
      <c r="D1359" s="15">
        <v>2.0</v>
      </c>
      <c r="E1359" s="17" t="s">
        <v>524</v>
      </c>
      <c r="F1359" s="15" t="s">
        <v>479</v>
      </c>
      <c r="G1359" s="46" t="s">
        <v>452</v>
      </c>
      <c r="H1359" s="47" t="s">
        <v>453</v>
      </c>
      <c r="I1359" s="48" t="s">
        <v>19</v>
      </c>
      <c r="J1359" s="49">
        <v>2178772.0</v>
      </c>
    </row>
    <row r="1360">
      <c r="A1360" s="45" t="s">
        <v>74</v>
      </c>
      <c r="B1360" s="16" t="s">
        <v>66</v>
      </c>
      <c r="C1360" s="17" t="s">
        <v>67</v>
      </c>
      <c r="D1360" s="15">
        <v>2.0</v>
      </c>
      <c r="E1360" s="17" t="s">
        <v>524</v>
      </c>
      <c r="F1360" s="15" t="s">
        <v>479</v>
      </c>
      <c r="G1360" s="46" t="s">
        <v>454</v>
      </c>
      <c r="H1360" s="47" t="s">
        <v>415</v>
      </c>
      <c r="I1360" s="48" t="s">
        <v>19</v>
      </c>
      <c r="J1360" s="49">
        <v>317983.0</v>
      </c>
    </row>
    <row r="1361">
      <c r="A1361" s="45" t="s">
        <v>74</v>
      </c>
      <c r="B1361" s="16" t="s">
        <v>66</v>
      </c>
      <c r="C1361" s="17" t="s">
        <v>67</v>
      </c>
      <c r="D1361" s="15">
        <v>2.0</v>
      </c>
      <c r="E1361" s="17" t="s">
        <v>524</v>
      </c>
      <c r="F1361" s="15" t="s">
        <v>479</v>
      </c>
      <c r="G1361" s="46" t="s">
        <v>455</v>
      </c>
      <c r="H1361" s="47" t="s">
        <v>415</v>
      </c>
      <c r="I1361" s="48" t="s">
        <v>19</v>
      </c>
      <c r="J1361" s="49">
        <v>176657.0</v>
      </c>
    </row>
    <row r="1362">
      <c r="A1362" s="45" t="s">
        <v>74</v>
      </c>
      <c r="B1362" s="16" t="s">
        <v>66</v>
      </c>
      <c r="C1362" s="17" t="s">
        <v>67</v>
      </c>
      <c r="D1362" s="15">
        <v>2.0</v>
      </c>
      <c r="E1362" s="17" t="s">
        <v>525</v>
      </c>
      <c r="F1362" s="15" t="s">
        <v>502</v>
      </c>
      <c r="G1362" s="46" t="s">
        <v>526</v>
      </c>
      <c r="H1362" s="47" t="s">
        <v>527</v>
      </c>
      <c r="I1362" s="48" t="s">
        <v>60</v>
      </c>
      <c r="J1362" s="49">
        <v>3.52609077E8</v>
      </c>
    </row>
    <row r="1363">
      <c r="A1363" s="45" t="s">
        <v>74</v>
      </c>
      <c r="B1363" s="16" t="s">
        <v>66</v>
      </c>
      <c r="C1363" s="17" t="s">
        <v>67</v>
      </c>
      <c r="D1363" s="15">
        <v>2.0</v>
      </c>
      <c r="E1363" s="17" t="s">
        <v>525</v>
      </c>
      <c r="F1363" s="15" t="s">
        <v>502</v>
      </c>
      <c r="G1363" s="46" t="s">
        <v>505</v>
      </c>
      <c r="H1363" s="47" t="s">
        <v>506</v>
      </c>
      <c r="I1363" s="48" t="s">
        <v>60</v>
      </c>
      <c r="J1363" s="49">
        <v>2.9982769E7</v>
      </c>
    </row>
    <row r="1364">
      <c r="A1364" s="45" t="s">
        <v>74</v>
      </c>
      <c r="B1364" s="16" t="s">
        <v>66</v>
      </c>
      <c r="C1364" s="17" t="s">
        <v>67</v>
      </c>
      <c r="D1364" s="15">
        <v>2.0</v>
      </c>
      <c r="E1364" s="17" t="s">
        <v>525</v>
      </c>
      <c r="F1364" s="15" t="s">
        <v>502</v>
      </c>
      <c r="G1364" s="46" t="s">
        <v>507</v>
      </c>
      <c r="H1364" s="47" t="s">
        <v>508</v>
      </c>
      <c r="I1364" s="48" t="s">
        <v>60</v>
      </c>
      <c r="J1364" s="49">
        <v>4727148.0</v>
      </c>
    </row>
    <row r="1365">
      <c r="A1365" s="45" t="s">
        <v>74</v>
      </c>
      <c r="B1365" s="16" t="s">
        <v>66</v>
      </c>
      <c r="C1365" s="17" t="s">
        <v>67</v>
      </c>
      <c r="D1365" s="15">
        <v>2.0</v>
      </c>
      <c r="E1365" s="17" t="s">
        <v>525</v>
      </c>
      <c r="F1365" s="15" t="s">
        <v>502</v>
      </c>
      <c r="G1365" s="46" t="s">
        <v>509</v>
      </c>
      <c r="H1365" s="47" t="s">
        <v>510</v>
      </c>
      <c r="I1365" s="48" t="s">
        <v>60</v>
      </c>
      <c r="J1365" s="49">
        <v>133334.0</v>
      </c>
    </row>
    <row r="1366">
      <c r="A1366" s="45" t="s">
        <v>74</v>
      </c>
      <c r="B1366" s="16" t="s">
        <v>66</v>
      </c>
      <c r="C1366" s="17" t="s">
        <v>67</v>
      </c>
      <c r="D1366" s="15">
        <v>2.0</v>
      </c>
      <c r="E1366" s="17" t="s">
        <v>525</v>
      </c>
      <c r="F1366" s="15" t="s">
        <v>502</v>
      </c>
      <c r="G1366" s="46" t="s">
        <v>511</v>
      </c>
      <c r="H1366" s="47" t="s">
        <v>512</v>
      </c>
      <c r="I1366" s="48" t="s">
        <v>60</v>
      </c>
      <c r="J1366" s="49">
        <v>6.8771713E7</v>
      </c>
    </row>
    <row r="1367">
      <c r="A1367" s="45" t="s">
        <v>74</v>
      </c>
      <c r="B1367" s="16" t="s">
        <v>66</v>
      </c>
      <c r="C1367" s="17" t="s">
        <v>67</v>
      </c>
      <c r="D1367" s="15">
        <v>2.0</v>
      </c>
      <c r="E1367" s="17" t="s">
        <v>525</v>
      </c>
      <c r="F1367" s="15" t="s">
        <v>502</v>
      </c>
      <c r="G1367" s="46" t="s">
        <v>513</v>
      </c>
      <c r="H1367" s="47" t="s">
        <v>514</v>
      </c>
      <c r="I1367" s="48" t="s">
        <v>60</v>
      </c>
      <c r="J1367" s="49">
        <v>6.0065107E7</v>
      </c>
    </row>
    <row r="1368">
      <c r="A1368" s="45" t="s">
        <v>11</v>
      </c>
      <c r="B1368" s="16" t="s">
        <v>12</v>
      </c>
      <c r="C1368" s="17" t="s">
        <v>13</v>
      </c>
      <c r="D1368" s="15">
        <v>3.0</v>
      </c>
      <c r="E1368" s="17" t="s">
        <v>441</v>
      </c>
      <c r="F1368" s="15" t="s">
        <v>442</v>
      </c>
      <c r="G1368" s="46" t="s">
        <v>443</v>
      </c>
      <c r="H1368" s="47" t="s">
        <v>420</v>
      </c>
      <c r="I1368" s="48" t="s">
        <v>19</v>
      </c>
      <c r="J1368" s="49">
        <v>1.0190575E7</v>
      </c>
    </row>
    <row r="1369">
      <c r="A1369" s="45" t="s">
        <v>11</v>
      </c>
      <c r="B1369" s="16" t="s">
        <v>12</v>
      </c>
      <c r="C1369" s="17" t="s">
        <v>13</v>
      </c>
      <c r="D1369" s="15">
        <v>3.0</v>
      </c>
      <c r="E1369" s="17" t="s">
        <v>441</v>
      </c>
      <c r="F1369" s="15" t="s">
        <v>442</v>
      </c>
      <c r="G1369" s="46" t="s">
        <v>444</v>
      </c>
      <c r="H1369" s="47" t="s">
        <v>445</v>
      </c>
      <c r="I1369" s="48" t="s">
        <v>19</v>
      </c>
      <c r="J1369" s="49">
        <v>2216515.0</v>
      </c>
    </row>
    <row r="1370">
      <c r="A1370" s="45" t="s">
        <v>11</v>
      </c>
      <c r="B1370" s="16" t="s">
        <v>12</v>
      </c>
      <c r="C1370" s="17" t="s">
        <v>13</v>
      </c>
      <c r="D1370" s="15">
        <v>3.0</v>
      </c>
      <c r="E1370" s="17" t="s">
        <v>441</v>
      </c>
      <c r="F1370" s="15" t="s">
        <v>442</v>
      </c>
      <c r="G1370" s="46" t="s">
        <v>579</v>
      </c>
      <c r="H1370" s="47" t="s">
        <v>580</v>
      </c>
      <c r="I1370" s="48" t="s">
        <v>19</v>
      </c>
      <c r="J1370" s="49">
        <v>1132218.0</v>
      </c>
    </row>
    <row r="1371">
      <c r="A1371" s="45" t="s">
        <v>11</v>
      </c>
      <c r="B1371" s="16" t="s">
        <v>12</v>
      </c>
      <c r="C1371" s="17" t="s">
        <v>13</v>
      </c>
      <c r="D1371" s="15">
        <v>3.0</v>
      </c>
      <c r="E1371" s="17" t="s">
        <v>441</v>
      </c>
      <c r="F1371" s="15" t="s">
        <v>442</v>
      </c>
      <c r="G1371" s="46" t="s">
        <v>446</v>
      </c>
      <c r="H1371" s="47" t="s">
        <v>447</v>
      </c>
      <c r="I1371" s="48" t="s">
        <v>19</v>
      </c>
      <c r="J1371" s="49">
        <v>136530.0</v>
      </c>
    </row>
    <row r="1372">
      <c r="A1372" s="45" t="s">
        <v>11</v>
      </c>
      <c r="B1372" s="16" t="s">
        <v>12</v>
      </c>
      <c r="C1372" s="17" t="s">
        <v>13</v>
      </c>
      <c r="D1372" s="15">
        <v>3.0</v>
      </c>
      <c r="E1372" s="17" t="s">
        <v>441</v>
      </c>
      <c r="F1372" s="15" t="s">
        <v>442</v>
      </c>
      <c r="G1372" s="46" t="s">
        <v>448</v>
      </c>
      <c r="H1372" s="47" t="s">
        <v>449</v>
      </c>
      <c r="I1372" s="48" t="s">
        <v>19</v>
      </c>
      <c r="J1372" s="49">
        <v>559359.0</v>
      </c>
    </row>
    <row r="1373">
      <c r="A1373" s="45" t="s">
        <v>11</v>
      </c>
      <c r="B1373" s="16" t="s">
        <v>12</v>
      </c>
      <c r="C1373" s="17" t="s">
        <v>13</v>
      </c>
      <c r="D1373" s="15">
        <v>3.0</v>
      </c>
      <c r="E1373" s="17" t="s">
        <v>441</v>
      </c>
      <c r="F1373" s="15" t="s">
        <v>442</v>
      </c>
      <c r="G1373" s="46" t="s">
        <v>450</v>
      </c>
      <c r="H1373" s="47" t="s">
        <v>451</v>
      </c>
      <c r="I1373" s="48" t="s">
        <v>19</v>
      </c>
      <c r="J1373" s="49">
        <v>0.0</v>
      </c>
    </row>
    <row r="1374">
      <c r="A1374" s="45" t="s">
        <v>11</v>
      </c>
      <c r="B1374" s="16" t="s">
        <v>12</v>
      </c>
      <c r="C1374" s="17" t="s">
        <v>13</v>
      </c>
      <c r="D1374" s="15">
        <v>3.0</v>
      </c>
      <c r="E1374" s="17" t="s">
        <v>441</v>
      </c>
      <c r="F1374" s="15" t="s">
        <v>442</v>
      </c>
      <c r="G1374" s="46" t="s">
        <v>452</v>
      </c>
      <c r="H1374" s="47" t="s">
        <v>453</v>
      </c>
      <c r="I1374" s="48" t="s">
        <v>19</v>
      </c>
      <c r="J1374" s="49">
        <v>252581.0</v>
      </c>
    </row>
    <row r="1375">
      <c r="A1375" s="45" t="s">
        <v>11</v>
      </c>
      <c r="B1375" s="16" t="s">
        <v>12</v>
      </c>
      <c r="C1375" s="17" t="s">
        <v>13</v>
      </c>
      <c r="D1375" s="15">
        <v>3.0</v>
      </c>
      <c r="E1375" s="17" t="s">
        <v>441</v>
      </c>
      <c r="F1375" s="15" t="s">
        <v>442</v>
      </c>
      <c r="G1375" s="46" t="s">
        <v>454</v>
      </c>
      <c r="H1375" s="47" t="s">
        <v>415</v>
      </c>
      <c r="I1375" s="48" t="s">
        <v>19</v>
      </c>
      <c r="J1375" s="49">
        <v>36863.0</v>
      </c>
    </row>
    <row r="1376">
      <c r="A1376" s="45" t="s">
        <v>11</v>
      </c>
      <c r="B1376" s="16" t="s">
        <v>12</v>
      </c>
      <c r="C1376" s="17" t="s">
        <v>13</v>
      </c>
      <c r="D1376" s="15">
        <v>3.0</v>
      </c>
      <c r="E1376" s="17" t="s">
        <v>441</v>
      </c>
      <c r="F1376" s="15" t="s">
        <v>442</v>
      </c>
      <c r="G1376" s="46" t="s">
        <v>455</v>
      </c>
      <c r="H1376" s="47" t="s">
        <v>415</v>
      </c>
      <c r="I1376" s="48" t="s">
        <v>19</v>
      </c>
      <c r="J1376" s="49">
        <v>20480.0</v>
      </c>
    </row>
    <row r="1377">
      <c r="A1377" s="45" t="s">
        <v>11</v>
      </c>
      <c r="B1377" s="16" t="s">
        <v>12</v>
      </c>
      <c r="C1377" s="17" t="s">
        <v>13</v>
      </c>
      <c r="D1377" s="15">
        <v>3.0</v>
      </c>
      <c r="E1377" s="17" t="s">
        <v>456</v>
      </c>
      <c r="F1377" s="15" t="s">
        <v>457</v>
      </c>
      <c r="G1377" s="46" t="s">
        <v>458</v>
      </c>
      <c r="H1377" s="47" t="s">
        <v>411</v>
      </c>
      <c r="I1377" s="48" t="s">
        <v>19</v>
      </c>
      <c r="J1377" s="49">
        <v>6216576.0</v>
      </c>
    </row>
    <row r="1378">
      <c r="A1378" s="45" t="s">
        <v>11</v>
      </c>
      <c r="B1378" s="16" t="s">
        <v>12</v>
      </c>
      <c r="C1378" s="17" t="s">
        <v>13</v>
      </c>
      <c r="D1378" s="15">
        <v>3.0</v>
      </c>
      <c r="E1378" s="17" t="s">
        <v>469</v>
      </c>
      <c r="F1378" s="15" t="s">
        <v>470</v>
      </c>
      <c r="G1378" s="46" t="s">
        <v>471</v>
      </c>
      <c r="H1378" s="47" t="s">
        <v>472</v>
      </c>
      <c r="I1378" s="48" t="s">
        <v>25</v>
      </c>
      <c r="J1378" s="49">
        <v>1000000.0</v>
      </c>
    </row>
    <row r="1379">
      <c r="A1379" s="45" t="s">
        <v>11</v>
      </c>
      <c r="B1379" s="16" t="s">
        <v>12</v>
      </c>
      <c r="C1379" s="17" t="s">
        <v>13</v>
      </c>
      <c r="D1379" s="15">
        <v>3.0</v>
      </c>
      <c r="E1379" s="17" t="s">
        <v>473</v>
      </c>
      <c r="F1379" s="15" t="s">
        <v>474</v>
      </c>
      <c r="G1379" s="46" t="s">
        <v>443</v>
      </c>
      <c r="H1379" s="47" t="s">
        <v>420</v>
      </c>
      <c r="I1379" s="48" t="s">
        <v>19</v>
      </c>
      <c r="J1379" s="49">
        <v>7475000.0</v>
      </c>
    </row>
    <row r="1380">
      <c r="A1380" s="45" t="s">
        <v>11</v>
      </c>
      <c r="B1380" s="16" t="s">
        <v>12</v>
      </c>
      <c r="C1380" s="17" t="s">
        <v>13</v>
      </c>
      <c r="D1380" s="15">
        <v>3.0</v>
      </c>
      <c r="E1380" s="17" t="s">
        <v>473</v>
      </c>
      <c r="F1380" s="15" t="s">
        <v>474</v>
      </c>
      <c r="G1380" s="46" t="s">
        <v>444</v>
      </c>
      <c r="H1380" s="47" t="s">
        <v>445</v>
      </c>
      <c r="I1380" s="48" t="s">
        <v>19</v>
      </c>
      <c r="J1380" s="49">
        <v>398057.0</v>
      </c>
    </row>
    <row r="1381">
      <c r="A1381" s="45" t="s">
        <v>11</v>
      </c>
      <c r="B1381" s="16" t="s">
        <v>12</v>
      </c>
      <c r="C1381" s="17" t="s">
        <v>13</v>
      </c>
      <c r="D1381" s="15">
        <v>3.0</v>
      </c>
      <c r="E1381" s="17" t="s">
        <v>473</v>
      </c>
      <c r="F1381" s="15" t="s">
        <v>474</v>
      </c>
      <c r="G1381" s="46" t="s">
        <v>579</v>
      </c>
      <c r="H1381" s="47" t="s">
        <v>580</v>
      </c>
      <c r="I1381" s="48" t="s">
        <v>19</v>
      </c>
      <c r="J1381" s="49">
        <v>350000.0</v>
      </c>
    </row>
    <row r="1382">
      <c r="A1382" s="45" t="s">
        <v>11</v>
      </c>
      <c r="B1382" s="16" t="s">
        <v>12</v>
      </c>
      <c r="C1382" s="17" t="s">
        <v>13</v>
      </c>
      <c r="D1382" s="15">
        <v>3.0</v>
      </c>
      <c r="E1382" s="17" t="s">
        <v>473</v>
      </c>
      <c r="F1382" s="15" t="s">
        <v>474</v>
      </c>
      <c r="G1382" s="46" t="s">
        <v>452</v>
      </c>
      <c r="H1382" s="47" t="s">
        <v>453</v>
      </c>
      <c r="I1382" s="48" t="s">
        <v>19</v>
      </c>
      <c r="J1382" s="49">
        <v>1268579.0</v>
      </c>
    </row>
    <row r="1383">
      <c r="A1383" s="45" t="s">
        <v>11</v>
      </c>
      <c r="B1383" s="16" t="s">
        <v>12</v>
      </c>
      <c r="C1383" s="17" t="s">
        <v>13</v>
      </c>
      <c r="D1383" s="15">
        <v>3.0</v>
      </c>
      <c r="E1383" s="17" t="s">
        <v>473</v>
      </c>
      <c r="F1383" s="15" t="s">
        <v>474</v>
      </c>
      <c r="G1383" s="46" t="s">
        <v>458</v>
      </c>
      <c r="H1383" s="47" t="s">
        <v>411</v>
      </c>
      <c r="I1383" s="48" t="s">
        <v>19</v>
      </c>
      <c r="J1383" s="49">
        <v>3.108288E7</v>
      </c>
    </row>
    <row r="1384">
      <c r="A1384" s="45" t="s">
        <v>11</v>
      </c>
      <c r="B1384" s="16" t="s">
        <v>12</v>
      </c>
      <c r="C1384" s="17" t="s">
        <v>13</v>
      </c>
      <c r="D1384" s="15">
        <v>3.0</v>
      </c>
      <c r="E1384" s="17" t="s">
        <v>478</v>
      </c>
      <c r="F1384" s="15" t="s">
        <v>479</v>
      </c>
      <c r="G1384" s="46" t="s">
        <v>443</v>
      </c>
      <c r="H1384" s="47" t="s">
        <v>420</v>
      </c>
      <c r="I1384" s="48" t="s">
        <v>19</v>
      </c>
      <c r="J1384" s="49">
        <v>1.5433114E7</v>
      </c>
    </row>
    <row r="1385">
      <c r="A1385" s="45" t="s">
        <v>11</v>
      </c>
      <c r="B1385" s="16" t="s">
        <v>12</v>
      </c>
      <c r="C1385" s="17" t="s">
        <v>13</v>
      </c>
      <c r="D1385" s="15">
        <v>3.0</v>
      </c>
      <c r="E1385" s="17" t="s">
        <v>478</v>
      </c>
      <c r="F1385" s="15" t="s">
        <v>479</v>
      </c>
      <c r="G1385" s="46" t="s">
        <v>444</v>
      </c>
      <c r="H1385" s="47" t="s">
        <v>445</v>
      </c>
      <c r="I1385" s="48" t="s">
        <v>19</v>
      </c>
      <c r="J1385" s="49">
        <v>5634136.0</v>
      </c>
    </row>
    <row r="1386">
      <c r="A1386" s="45" t="s">
        <v>11</v>
      </c>
      <c r="B1386" s="16" t="s">
        <v>12</v>
      </c>
      <c r="C1386" s="17" t="s">
        <v>13</v>
      </c>
      <c r="D1386" s="15">
        <v>3.0</v>
      </c>
      <c r="E1386" s="17" t="s">
        <v>478</v>
      </c>
      <c r="F1386" s="15" t="s">
        <v>479</v>
      </c>
      <c r="G1386" s="46" t="s">
        <v>579</v>
      </c>
      <c r="H1386" s="47" t="s">
        <v>580</v>
      </c>
      <c r="I1386" s="48" t="s">
        <v>19</v>
      </c>
      <c r="J1386" s="49">
        <v>1588624.0</v>
      </c>
    </row>
    <row r="1387">
      <c r="A1387" s="45" t="s">
        <v>11</v>
      </c>
      <c r="B1387" s="16" t="s">
        <v>12</v>
      </c>
      <c r="C1387" s="17" t="s">
        <v>13</v>
      </c>
      <c r="D1387" s="15">
        <v>3.0</v>
      </c>
      <c r="E1387" s="17" t="s">
        <v>478</v>
      </c>
      <c r="F1387" s="15" t="s">
        <v>479</v>
      </c>
      <c r="G1387" s="46" t="s">
        <v>446</v>
      </c>
      <c r="H1387" s="47" t="s">
        <v>447</v>
      </c>
      <c r="I1387" s="48" t="s">
        <v>19</v>
      </c>
      <c r="J1387" s="49">
        <v>208018.0</v>
      </c>
    </row>
    <row r="1388">
      <c r="A1388" s="45" t="s">
        <v>11</v>
      </c>
      <c r="B1388" s="16" t="s">
        <v>12</v>
      </c>
      <c r="C1388" s="17" t="s">
        <v>13</v>
      </c>
      <c r="D1388" s="15">
        <v>3.0</v>
      </c>
      <c r="E1388" s="17" t="s">
        <v>478</v>
      </c>
      <c r="F1388" s="15" t="s">
        <v>479</v>
      </c>
      <c r="G1388" s="46" t="s">
        <v>448</v>
      </c>
      <c r="H1388" s="47" t="s">
        <v>449</v>
      </c>
      <c r="I1388" s="48" t="s">
        <v>19</v>
      </c>
      <c r="J1388" s="49">
        <v>852242.0</v>
      </c>
    </row>
    <row r="1389">
      <c r="A1389" s="45" t="s">
        <v>11</v>
      </c>
      <c r="B1389" s="16" t="s">
        <v>12</v>
      </c>
      <c r="C1389" s="17" t="s">
        <v>13</v>
      </c>
      <c r="D1389" s="15">
        <v>3.0</v>
      </c>
      <c r="E1389" s="17" t="s">
        <v>478</v>
      </c>
      <c r="F1389" s="15" t="s">
        <v>479</v>
      </c>
      <c r="G1389" s="46" t="s">
        <v>450</v>
      </c>
      <c r="H1389" s="47" t="s">
        <v>451</v>
      </c>
      <c r="I1389" s="48" t="s">
        <v>19</v>
      </c>
      <c r="J1389" s="49">
        <v>0.0</v>
      </c>
    </row>
    <row r="1390">
      <c r="A1390" s="45" t="s">
        <v>11</v>
      </c>
      <c r="B1390" s="16" t="s">
        <v>12</v>
      </c>
      <c r="C1390" s="17" t="s">
        <v>13</v>
      </c>
      <c r="D1390" s="15">
        <v>3.0</v>
      </c>
      <c r="E1390" s="17" t="s">
        <v>478</v>
      </c>
      <c r="F1390" s="15" t="s">
        <v>479</v>
      </c>
      <c r="G1390" s="46" t="s">
        <v>452</v>
      </c>
      <c r="H1390" s="47" t="s">
        <v>453</v>
      </c>
      <c r="I1390" s="48" t="s">
        <v>19</v>
      </c>
      <c r="J1390" s="49">
        <v>384834.0</v>
      </c>
    </row>
    <row r="1391">
      <c r="A1391" s="45" t="s">
        <v>11</v>
      </c>
      <c r="B1391" s="16" t="s">
        <v>12</v>
      </c>
      <c r="C1391" s="17" t="s">
        <v>13</v>
      </c>
      <c r="D1391" s="15">
        <v>3.0</v>
      </c>
      <c r="E1391" s="17" t="s">
        <v>478</v>
      </c>
      <c r="F1391" s="15" t="s">
        <v>479</v>
      </c>
      <c r="G1391" s="46" t="s">
        <v>454</v>
      </c>
      <c r="H1391" s="47" t="s">
        <v>415</v>
      </c>
      <c r="I1391" s="48" t="s">
        <v>19</v>
      </c>
      <c r="J1391" s="49">
        <v>56165.0</v>
      </c>
    </row>
    <row r="1392">
      <c r="A1392" s="45" t="s">
        <v>11</v>
      </c>
      <c r="B1392" s="16" t="s">
        <v>12</v>
      </c>
      <c r="C1392" s="17" t="s">
        <v>13</v>
      </c>
      <c r="D1392" s="15">
        <v>3.0</v>
      </c>
      <c r="E1392" s="17" t="s">
        <v>478</v>
      </c>
      <c r="F1392" s="15" t="s">
        <v>479</v>
      </c>
      <c r="G1392" s="46" t="s">
        <v>455</v>
      </c>
      <c r="H1392" s="47" t="s">
        <v>415</v>
      </c>
      <c r="I1392" s="48" t="s">
        <v>19</v>
      </c>
      <c r="J1392" s="49">
        <v>31203.0</v>
      </c>
    </row>
    <row r="1393">
      <c r="A1393" s="45" t="s">
        <v>11</v>
      </c>
      <c r="B1393" s="16" t="s">
        <v>32</v>
      </c>
      <c r="C1393" s="17" t="s">
        <v>33</v>
      </c>
      <c r="D1393" s="15">
        <v>3.0</v>
      </c>
      <c r="E1393" s="17" t="s">
        <v>441</v>
      </c>
      <c r="F1393" s="15" t="s">
        <v>442</v>
      </c>
      <c r="G1393" s="46" t="s">
        <v>443</v>
      </c>
      <c r="H1393" s="47" t="s">
        <v>420</v>
      </c>
      <c r="I1393" s="48" t="s">
        <v>19</v>
      </c>
      <c r="J1393" s="49">
        <v>4.8708004E7</v>
      </c>
    </row>
    <row r="1394">
      <c r="A1394" s="45" t="s">
        <v>11</v>
      </c>
      <c r="B1394" s="16" t="s">
        <v>32</v>
      </c>
      <c r="C1394" s="17" t="s">
        <v>33</v>
      </c>
      <c r="D1394" s="15">
        <v>3.0</v>
      </c>
      <c r="E1394" s="17" t="s">
        <v>441</v>
      </c>
      <c r="F1394" s="15" t="s">
        <v>442</v>
      </c>
      <c r="G1394" s="46" t="s">
        <v>444</v>
      </c>
      <c r="H1394" s="47" t="s">
        <v>445</v>
      </c>
      <c r="I1394" s="48" t="s">
        <v>19</v>
      </c>
      <c r="J1394" s="49">
        <v>2.1872435E7</v>
      </c>
    </row>
    <row r="1395">
      <c r="A1395" s="45" t="s">
        <v>11</v>
      </c>
      <c r="B1395" s="16" t="s">
        <v>32</v>
      </c>
      <c r="C1395" s="17" t="s">
        <v>33</v>
      </c>
      <c r="D1395" s="15">
        <v>3.0</v>
      </c>
      <c r="E1395" s="17" t="s">
        <v>441</v>
      </c>
      <c r="F1395" s="15" t="s">
        <v>442</v>
      </c>
      <c r="G1395" s="46" t="s">
        <v>579</v>
      </c>
      <c r="H1395" s="47" t="s">
        <v>580</v>
      </c>
      <c r="I1395" s="48" t="s">
        <v>19</v>
      </c>
      <c r="J1395" s="49">
        <v>5200135.0</v>
      </c>
    </row>
    <row r="1396">
      <c r="A1396" s="45" t="s">
        <v>11</v>
      </c>
      <c r="B1396" s="16" t="s">
        <v>32</v>
      </c>
      <c r="C1396" s="17" t="s">
        <v>33</v>
      </c>
      <c r="D1396" s="15">
        <v>3.0</v>
      </c>
      <c r="E1396" s="17" t="s">
        <v>441</v>
      </c>
      <c r="F1396" s="15" t="s">
        <v>442</v>
      </c>
      <c r="G1396" s="46" t="s">
        <v>446</v>
      </c>
      <c r="H1396" s="47" t="s">
        <v>447</v>
      </c>
      <c r="I1396" s="48" t="s">
        <v>19</v>
      </c>
      <c r="J1396" s="49">
        <v>511051.0</v>
      </c>
    </row>
    <row r="1397">
      <c r="A1397" s="45" t="s">
        <v>11</v>
      </c>
      <c r="B1397" s="16" t="s">
        <v>32</v>
      </c>
      <c r="C1397" s="17" t="s">
        <v>33</v>
      </c>
      <c r="D1397" s="15">
        <v>3.0</v>
      </c>
      <c r="E1397" s="17" t="s">
        <v>441</v>
      </c>
      <c r="F1397" s="15" t="s">
        <v>442</v>
      </c>
      <c r="G1397" s="46" t="s">
        <v>448</v>
      </c>
      <c r="H1397" s="47" t="s">
        <v>449</v>
      </c>
      <c r="I1397" s="48" t="s">
        <v>19</v>
      </c>
      <c r="J1397" s="49">
        <v>1300630.0</v>
      </c>
    </row>
    <row r="1398">
      <c r="A1398" s="45" t="s">
        <v>11</v>
      </c>
      <c r="B1398" s="16" t="s">
        <v>32</v>
      </c>
      <c r="C1398" s="17" t="s">
        <v>33</v>
      </c>
      <c r="D1398" s="15">
        <v>3.0</v>
      </c>
      <c r="E1398" s="17" t="s">
        <v>441</v>
      </c>
      <c r="F1398" s="15" t="s">
        <v>442</v>
      </c>
      <c r="G1398" s="46" t="s">
        <v>450</v>
      </c>
      <c r="H1398" s="47" t="s">
        <v>451</v>
      </c>
      <c r="I1398" s="48" t="s">
        <v>19</v>
      </c>
      <c r="J1398" s="49">
        <v>0.0</v>
      </c>
    </row>
    <row r="1399">
      <c r="A1399" s="45" t="s">
        <v>11</v>
      </c>
      <c r="B1399" s="16" t="s">
        <v>32</v>
      </c>
      <c r="C1399" s="17" t="s">
        <v>33</v>
      </c>
      <c r="D1399" s="15">
        <v>3.0</v>
      </c>
      <c r="E1399" s="17" t="s">
        <v>441</v>
      </c>
      <c r="F1399" s="15" t="s">
        <v>442</v>
      </c>
      <c r="G1399" s="46" t="s">
        <v>452</v>
      </c>
      <c r="H1399" s="47" t="s">
        <v>453</v>
      </c>
      <c r="I1399" s="48" t="s">
        <v>19</v>
      </c>
      <c r="J1399" s="49">
        <v>1054540.0</v>
      </c>
    </row>
    <row r="1400">
      <c r="A1400" s="45" t="s">
        <v>11</v>
      </c>
      <c r="B1400" s="16" t="s">
        <v>32</v>
      </c>
      <c r="C1400" s="17" t="s">
        <v>33</v>
      </c>
      <c r="D1400" s="15">
        <v>3.0</v>
      </c>
      <c r="E1400" s="17" t="s">
        <v>441</v>
      </c>
      <c r="F1400" s="15" t="s">
        <v>442</v>
      </c>
      <c r="G1400" s="46" t="s">
        <v>454</v>
      </c>
      <c r="H1400" s="47" t="s">
        <v>415</v>
      </c>
      <c r="I1400" s="48" t="s">
        <v>19</v>
      </c>
      <c r="J1400" s="49">
        <v>153906.0</v>
      </c>
    </row>
    <row r="1401">
      <c r="A1401" s="45" t="s">
        <v>11</v>
      </c>
      <c r="B1401" s="16" t="s">
        <v>32</v>
      </c>
      <c r="C1401" s="17" t="s">
        <v>33</v>
      </c>
      <c r="D1401" s="15">
        <v>3.0</v>
      </c>
      <c r="E1401" s="17" t="s">
        <v>441</v>
      </c>
      <c r="F1401" s="15" t="s">
        <v>442</v>
      </c>
      <c r="G1401" s="46" t="s">
        <v>455</v>
      </c>
      <c r="H1401" s="47" t="s">
        <v>415</v>
      </c>
      <c r="I1401" s="48" t="s">
        <v>19</v>
      </c>
      <c r="J1401" s="49">
        <v>85504.0</v>
      </c>
    </row>
    <row r="1402">
      <c r="A1402" s="45" t="s">
        <v>11</v>
      </c>
      <c r="B1402" s="16" t="s">
        <v>32</v>
      </c>
      <c r="C1402" s="17" t="s">
        <v>33</v>
      </c>
      <c r="D1402" s="15">
        <v>3.0</v>
      </c>
      <c r="E1402" s="17" t="s">
        <v>441</v>
      </c>
      <c r="F1402" s="15" t="s">
        <v>442</v>
      </c>
      <c r="G1402" s="46" t="s">
        <v>480</v>
      </c>
      <c r="H1402" s="47" t="s">
        <v>481</v>
      </c>
      <c r="I1402" s="48" t="s">
        <v>19</v>
      </c>
      <c r="J1402" s="49">
        <v>2586049.0</v>
      </c>
    </row>
    <row r="1403">
      <c r="A1403" s="45" t="s">
        <v>11</v>
      </c>
      <c r="B1403" s="16" t="s">
        <v>32</v>
      </c>
      <c r="C1403" s="17" t="s">
        <v>33</v>
      </c>
      <c r="D1403" s="15">
        <v>3.0</v>
      </c>
      <c r="E1403" s="17" t="s">
        <v>456</v>
      </c>
      <c r="F1403" s="15" t="s">
        <v>457</v>
      </c>
      <c r="G1403" s="46" t="s">
        <v>458</v>
      </c>
      <c r="H1403" s="47" t="s">
        <v>411</v>
      </c>
      <c r="I1403" s="48" t="s">
        <v>19</v>
      </c>
      <c r="J1403" s="49">
        <v>6.7030835E7</v>
      </c>
    </row>
    <row r="1404">
      <c r="A1404" s="45" t="s">
        <v>11</v>
      </c>
      <c r="B1404" s="16" t="s">
        <v>32</v>
      </c>
      <c r="C1404" s="17" t="s">
        <v>33</v>
      </c>
      <c r="D1404" s="15">
        <v>3.0</v>
      </c>
      <c r="E1404" s="17" t="s">
        <v>459</v>
      </c>
      <c r="F1404" s="15" t="s">
        <v>460</v>
      </c>
      <c r="G1404" s="46" t="s">
        <v>461</v>
      </c>
      <c r="H1404" s="47" t="s">
        <v>462</v>
      </c>
      <c r="I1404" s="48" t="s">
        <v>37</v>
      </c>
      <c r="J1404" s="49">
        <v>2854800.0</v>
      </c>
    </row>
    <row r="1405">
      <c r="A1405" s="45" t="s">
        <v>11</v>
      </c>
      <c r="B1405" s="16" t="s">
        <v>32</v>
      </c>
      <c r="C1405" s="17" t="s">
        <v>33</v>
      </c>
      <c r="D1405" s="15">
        <v>3.0</v>
      </c>
      <c r="E1405" s="17" t="s">
        <v>463</v>
      </c>
      <c r="F1405" s="15" t="s">
        <v>464</v>
      </c>
      <c r="G1405" s="46" t="s">
        <v>465</v>
      </c>
      <c r="H1405" s="47" t="s">
        <v>466</v>
      </c>
      <c r="I1405" s="48" t="s">
        <v>37</v>
      </c>
      <c r="J1405" s="49">
        <v>2300480.0</v>
      </c>
    </row>
    <row r="1406">
      <c r="A1406" s="45" t="s">
        <v>11</v>
      </c>
      <c r="B1406" s="16" t="s">
        <v>32</v>
      </c>
      <c r="C1406" s="17" t="s">
        <v>33</v>
      </c>
      <c r="D1406" s="15">
        <v>3.0</v>
      </c>
      <c r="E1406" s="17" t="s">
        <v>463</v>
      </c>
      <c r="F1406" s="15" t="s">
        <v>464</v>
      </c>
      <c r="G1406" s="46" t="s">
        <v>458</v>
      </c>
      <c r="H1406" s="47" t="s">
        <v>411</v>
      </c>
      <c r="I1406" s="48" t="s">
        <v>19</v>
      </c>
      <c r="J1406" s="49">
        <v>1.342455E7</v>
      </c>
    </row>
    <row r="1407">
      <c r="A1407" s="45" t="s">
        <v>11</v>
      </c>
      <c r="B1407" s="16" t="s">
        <v>32</v>
      </c>
      <c r="C1407" s="17" t="s">
        <v>33</v>
      </c>
      <c r="D1407" s="15">
        <v>3.0</v>
      </c>
      <c r="E1407" s="17" t="s">
        <v>487</v>
      </c>
      <c r="F1407" s="15" t="s">
        <v>488</v>
      </c>
      <c r="G1407" s="46" t="s">
        <v>489</v>
      </c>
      <c r="H1407" s="47" t="s">
        <v>490</v>
      </c>
      <c r="I1407" s="48" t="s">
        <v>37</v>
      </c>
      <c r="J1407" s="49">
        <v>1.066E7</v>
      </c>
    </row>
    <row r="1408">
      <c r="A1408" s="45" t="s">
        <v>11</v>
      </c>
      <c r="B1408" s="16" t="s">
        <v>32</v>
      </c>
      <c r="C1408" s="17" t="s">
        <v>33</v>
      </c>
      <c r="D1408" s="15">
        <v>3.0</v>
      </c>
      <c r="E1408" s="17" t="s">
        <v>469</v>
      </c>
      <c r="F1408" s="15" t="s">
        <v>470</v>
      </c>
      <c r="G1408" s="46" t="s">
        <v>471</v>
      </c>
      <c r="H1408" s="47" t="s">
        <v>472</v>
      </c>
      <c r="I1408" s="48" t="s">
        <v>25</v>
      </c>
      <c r="J1408" s="49">
        <v>1117500.0</v>
      </c>
    </row>
    <row r="1409">
      <c r="A1409" s="45" t="s">
        <v>11</v>
      </c>
      <c r="B1409" s="16" t="s">
        <v>32</v>
      </c>
      <c r="C1409" s="17" t="s">
        <v>33</v>
      </c>
      <c r="D1409" s="15">
        <v>3.0</v>
      </c>
      <c r="E1409" s="17" t="s">
        <v>473</v>
      </c>
      <c r="F1409" s="15" t="s">
        <v>474</v>
      </c>
      <c r="G1409" s="46" t="s">
        <v>443</v>
      </c>
      <c r="H1409" s="47" t="s">
        <v>420</v>
      </c>
      <c r="I1409" s="48" t="s">
        <v>19</v>
      </c>
      <c r="J1409" s="49">
        <v>6975000.0</v>
      </c>
    </row>
    <row r="1410">
      <c r="A1410" s="45" t="s">
        <v>11</v>
      </c>
      <c r="B1410" s="16" t="s">
        <v>32</v>
      </c>
      <c r="C1410" s="17" t="s">
        <v>33</v>
      </c>
      <c r="D1410" s="15">
        <v>3.0</v>
      </c>
      <c r="E1410" s="17" t="s">
        <v>473</v>
      </c>
      <c r="F1410" s="15" t="s">
        <v>474</v>
      </c>
      <c r="G1410" s="46" t="s">
        <v>444</v>
      </c>
      <c r="H1410" s="47" t="s">
        <v>445</v>
      </c>
      <c r="I1410" s="48" t="s">
        <v>19</v>
      </c>
      <c r="J1410" s="49">
        <v>682895.0</v>
      </c>
    </row>
    <row r="1411">
      <c r="A1411" s="45" t="s">
        <v>11</v>
      </c>
      <c r="B1411" s="16" t="s">
        <v>32</v>
      </c>
      <c r="C1411" s="17" t="s">
        <v>33</v>
      </c>
      <c r="D1411" s="15">
        <v>3.0</v>
      </c>
      <c r="E1411" s="17" t="s">
        <v>473</v>
      </c>
      <c r="F1411" s="15" t="s">
        <v>474</v>
      </c>
      <c r="G1411" s="46" t="s">
        <v>579</v>
      </c>
      <c r="H1411" s="47" t="s">
        <v>580</v>
      </c>
      <c r="I1411" s="48" t="s">
        <v>19</v>
      </c>
      <c r="J1411" s="49">
        <v>600000.0</v>
      </c>
    </row>
    <row r="1412">
      <c r="A1412" s="45" t="s">
        <v>11</v>
      </c>
      <c r="B1412" s="16" t="s">
        <v>32</v>
      </c>
      <c r="C1412" s="17" t="s">
        <v>33</v>
      </c>
      <c r="D1412" s="15">
        <v>3.0</v>
      </c>
      <c r="E1412" s="17" t="s">
        <v>473</v>
      </c>
      <c r="F1412" s="15" t="s">
        <v>474</v>
      </c>
      <c r="G1412" s="46" t="s">
        <v>458</v>
      </c>
      <c r="H1412" s="47" t="s">
        <v>411</v>
      </c>
      <c r="I1412" s="48" t="s">
        <v>19</v>
      </c>
      <c r="J1412" s="49">
        <v>6.031856E7</v>
      </c>
    </row>
    <row r="1413">
      <c r="A1413" s="45" t="s">
        <v>11</v>
      </c>
      <c r="B1413" s="16" t="s">
        <v>32</v>
      </c>
      <c r="C1413" s="17" t="s">
        <v>33</v>
      </c>
      <c r="D1413" s="15">
        <v>3.0</v>
      </c>
      <c r="E1413" s="17" t="s">
        <v>473</v>
      </c>
      <c r="F1413" s="15" t="s">
        <v>474</v>
      </c>
      <c r="G1413" s="46" t="s">
        <v>477</v>
      </c>
      <c r="H1413" s="47" t="s">
        <v>429</v>
      </c>
      <c r="I1413" s="48" t="s">
        <v>50</v>
      </c>
      <c r="J1413" s="49">
        <v>2308655.0</v>
      </c>
    </row>
    <row r="1414">
      <c r="A1414" s="45" t="s">
        <v>11</v>
      </c>
      <c r="B1414" s="16" t="s">
        <v>32</v>
      </c>
      <c r="C1414" s="17" t="s">
        <v>33</v>
      </c>
      <c r="D1414" s="15">
        <v>3.0</v>
      </c>
      <c r="E1414" s="17" t="s">
        <v>491</v>
      </c>
      <c r="F1414" s="15" t="s">
        <v>492</v>
      </c>
      <c r="G1414" s="46" t="s">
        <v>519</v>
      </c>
      <c r="H1414" s="47" t="s">
        <v>414</v>
      </c>
      <c r="I1414" s="48" t="s">
        <v>37</v>
      </c>
      <c r="J1414" s="49">
        <v>41600.0</v>
      </c>
    </row>
    <row r="1415">
      <c r="A1415" s="45" t="s">
        <v>11</v>
      </c>
      <c r="B1415" s="16" t="s">
        <v>32</v>
      </c>
      <c r="C1415" s="17" t="s">
        <v>33</v>
      </c>
      <c r="D1415" s="15">
        <v>3.0</v>
      </c>
      <c r="E1415" s="17" t="s">
        <v>491</v>
      </c>
      <c r="F1415" s="15" t="s">
        <v>492</v>
      </c>
      <c r="G1415" s="46" t="s">
        <v>493</v>
      </c>
      <c r="H1415" s="47" t="s">
        <v>437</v>
      </c>
      <c r="I1415" s="48" t="s">
        <v>37</v>
      </c>
      <c r="J1415" s="49">
        <v>400400.0</v>
      </c>
    </row>
    <row r="1416">
      <c r="A1416" s="45" t="s">
        <v>11</v>
      </c>
      <c r="B1416" s="16" t="s">
        <v>32</v>
      </c>
      <c r="C1416" s="17" t="s">
        <v>33</v>
      </c>
      <c r="D1416" s="15">
        <v>3.0</v>
      </c>
      <c r="E1416" s="17" t="s">
        <v>491</v>
      </c>
      <c r="F1416" s="15" t="s">
        <v>492</v>
      </c>
      <c r="G1416" s="46" t="s">
        <v>493</v>
      </c>
      <c r="H1416" s="47" t="s">
        <v>437</v>
      </c>
      <c r="I1416" s="48" t="s">
        <v>25</v>
      </c>
      <c r="J1416" s="49">
        <v>1149707.0</v>
      </c>
    </row>
    <row r="1417">
      <c r="A1417" s="45" t="s">
        <v>11</v>
      </c>
      <c r="B1417" s="16" t="s">
        <v>32</v>
      </c>
      <c r="C1417" s="17" t="s">
        <v>33</v>
      </c>
      <c r="D1417" s="15">
        <v>3.0</v>
      </c>
      <c r="E1417" s="17" t="s">
        <v>494</v>
      </c>
      <c r="F1417" s="15" t="s">
        <v>495</v>
      </c>
      <c r="G1417" s="46" t="s">
        <v>496</v>
      </c>
      <c r="H1417" s="47" t="s">
        <v>497</v>
      </c>
      <c r="I1417" s="48" t="s">
        <v>37</v>
      </c>
      <c r="J1417" s="49">
        <v>733200.0</v>
      </c>
    </row>
    <row r="1418">
      <c r="A1418" s="45" t="s">
        <v>11</v>
      </c>
      <c r="B1418" s="16" t="s">
        <v>32</v>
      </c>
      <c r="C1418" s="17" t="s">
        <v>33</v>
      </c>
      <c r="D1418" s="15">
        <v>3.0</v>
      </c>
      <c r="E1418" s="17" t="s">
        <v>494</v>
      </c>
      <c r="F1418" s="15" t="s">
        <v>495</v>
      </c>
      <c r="G1418" s="46" t="s">
        <v>496</v>
      </c>
      <c r="H1418" s="47" t="s">
        <v>497</v>
      </c>
      <c r="I1418" s="48" t="s">
        <v>25</v>
      </c>
      <c r="J1418" s="49">
        <v>768100.0</v>
      </c>
    </row>
    <row r="1419">
      <c r="A1419" s="45" t="s">
        <v>11</v>
      </c>
      <c r="B1419" s="16" t="s">
        <v>32</v>
      </c>
      <c r="C1419" s="17" t="s">
        <v>33</v>
      </c>
      <c r="D1419" s="15">
        <v>3.0</v>
      </c>
      <c r="E1419" s="17" t="s">
        <v>475</v>
      </c>
      <c r="F1419" s="15" t="s">
        <v>476</v>
      </c>
      <c r="G1419" s="46" t="s">
        <v>477</v>
      </c>
      <c r="H1419" s="47" t="s">
        <v>429</v>
      </c>
      <c r="I1419" s="48" t="s">
        <v>50</v>
      </c>
      <c r="J1419" s="49">
        <v>3.0159284E7</v>
      </c>
    </row>
    <row r="1420">
      <c r="A1420" s="45" t="s">
        <v>11</v>
      </c>
      <c r="B1420" s="16" t="s">
        <v>32</v>
      </c>
      <c r="C1420" s="17" t="s">
        <v>33</v>
      </c>
      <c r="D1420" s="15">
        <v>3.0</v>
      </c>
      <c r="E1420" s="17" t="s">
        <v>478</v>
      </c>
      <c r="F1420" s="15" t="s">
        <v>479</v>
      </c>
      <c r="G1420" s="46" t="s">
        <v>443</v>
      </c>
      <c r="H1420" s="47" t="s">
        <v>420</v>
      </c>
      <c r="I1420" s="48" t="s">
        <v>19</v>
      </c>
      <c r="J1420" s="49">
        <v>6.3047909E7</v>
      </c>
    </row>
    <row r="1421">
      <c r="A1421" s="45" t="s">
        <v>11</v>
      </c>
      <c r="B1421" s="16" t="s">
        <v>32</v>
      </c>
      <c r="C1421" s="17" t="s">
        <v>33</v>
      </c>
      <c r="D1421" s="15">
        <v>3.0</v>
      </c>
      <c r="E1421" s="17" t="s">
        <v>478</v>
      </c>
      <c r="F1421" s="15" t="s">
        <v>479</v>
      </c>
      <c r="G1421" s="46" t="s">
        <v>444</v>
      </c>
      <c r="H1421" s="47" t="s">
        <v>445</v>
      </c>
      <c r="I1421" s="48" t="s">
        <v>19</v>
      </c>
      <c r="J1421" s="49">
        <v>1.6890512E7</v>
      </c>
    </row>
    <row r="1422">
      <c r="A1422" s="45" t="s">
        <v>11</v>
      </c>
      <c r="B1422" s="16" t="s">
        <v>32</v>
      </c>
      <c r="C1422" s="17" t="s">
        <v>33</v>
      </c>
      <c r="D1422" s="15">
        <v>3.0</v>
      </c>
      <c r="E1422" s="17" t="s">
        <v>478</v>
      </c>
      <c r="F1422" s="15" t="s">
        <v>479</v>
      </c>
      <c r="G1422" s="46" t="s">
        <v>579</v>
      </c>
      <c r="H1422" s="47" t="s">
        <v>580</v>
      </c>
      <c r="I1422" s="48" t="s">
        <v>19</v>
      </c>
      <c r="J1422" s="49">
        <v>6451533.0</v>
      </c>
    </row>
    <row r="1423">
      <c r="A1423" s="45" t="s">
        <v>11</v>
      </c>
      <c r="B1423" s="16" t="s">
        <v>32</v>
      </c>
      <c r="C1423" s="17" t="s">
        <v>33</v>
      </c>
      <c r="D1423" s="15">
        <v>3.0</v>
      </c>
      <c r="E1423" s="17" t="s">
        <v>478</v>
      </c>
      <c r="F1423" s="15" t="s">
        <v>479</v>
      </c>
      <c r="G1423" s="46" t="s">
        <v>446</v>
      </c>
      <c r="H1423" s="47" t="s">
        <v>447</v>
      </c>
      <c r="I1423" s="48" t="s">
        <v>19</v>
      </c>
      <c r="J1423" s="49">
        <v>787075.0</v>
      </c>
    </row>
    <row r="1424">
      <c r="A1424" s="45" t="s">
        <v>11</v>
      </c>
      <c r="B1424" s="16" t="s">
        <v>32</v>
      </c>
      <c r="C1424" s="17" t="s">
        <v>33</v>
      </c>
      <c r="D1424" s="15">
        <v>3.0</v>
      </c>
      <c r="E1424" s="17" t="s">
        <v>478</v>
      </c>
      <c r="F1424" s="15" t="s">
        <v>479</v>
      </c>
      <c r="G1424" s="46" t="s">
        <v>448</v>
      </c>
      <c r="H1424" s="47" t="s">
        <v>449</v>
      </c>
      <c r="I1424" s="48" t="s">
        <v>19</v>
      </c>
      <c r="J1424" s="49">
        <v>1963175.0</v>
      </c>
    </row>
    <row r="1425">
      <c r="A1425" s="45" t="s">
        <v>11</v>
      </c>
      <c r="B1425" s="16" t="s">
        <v>32</v>
      </c>
      <c r="C1425" s="17" t="s">
        <v>33</v>
      </c>
      <c r="D1425" s="15">
        <v>3.0</v>
      </c>
      <c r="E1425" s="17" t="s">
        <v>478</v>
      </c>
      <c r="F1425" s="15" t="s">
        <v>479</v>
      </c>
      <c r="G1425" s="46" t="s">
        <v>450</v>
      </c>
      <c r="H1425" s="47" t="s">
        <v>451</v>
      </c>
      <c r="I1425" s="48" t="s">
        <v>19</v>
      </c>
      <c r="J1425" s="49">
        <v>0.0</v>
      </c>
    </row>
    <row r="1426">
      <c r="A1426" s="45" t="s">
        <v>11</v>
      </c>
      <c r="B1426" s="16" t="s">
        <v>32</v>
      </c>
      <c r="C1426" s="17" t="s">
        <v>33</v>
      </c>
      <c r="D1426" s="15">
        <v>3.0</v>
      </c>
      <c r="E1426" s="17" t="s">
        <v>478</v>
      </c>
      <c r="F1426" s="15" t="s">
        <v>479</v>
      </c>
      <c r="G1426" s="46" t="s">
        <v>452</v>
      </c>
      <c r="H1426" s="47" t="s">
        <v>453</v>
      </c>
      <c r="I1426" s="48" t="s">
        <v>19</v>
      </c>
      <c r="J1426" s="49">
        <v>1478083.0</v>
      </c>
    </row>
    <row r="1427">
      <c r="A1427" s="45" t="s">
        <v>11</v>
      </c>
      <c r="B1427" s="16" t="s">
        <v>32</v>
      </c>
      <c r="C1427" s="17" t="s">
        <v>33</v>
      </c>
      <c r="D1427" s="15">
        <v>3.0</v>
      </c>
      <c r="E1427" s="17" t="s">
        <v>478</v>
      </c>
      <c r="F1427" s="15" t="s">
        <v>479</v>
      </c>
      <c r="G1427" s="46" t="s">
        <v>454</v>
      </c>
      <c r="H1427" s="47" t="s">
        <v>415</v>
      </c>
      <c r="I1427" s="48" t="s">
        <v>19</v>
      </c>
      <c r="J1427" s="49">
        <v>215719.0</v>
      </c>
    </row>
    <row r="1428">
      <c r="A1428" s="45" t="s">
        <v>11</v>
      </c>
      <c r="B1428" s="16" t="s">
        <v>32</v>
      </c>
      <c r="C1428" s="17" t="s">
        <v>33</v>
      </c>
      <c r="D1428" s="15">
        <v>3.0</v>
      </c>
      <c r="E1428" s="17" t="s">
        <v>478</v>
      </c>
      <c r="F1428" s="15" t="s">
        <v>479</v>
      </c>
      <c r="G1428" s="46" t="s">
        <v>455</v>
      </c>
      <c r="H1428" s="47" t="s">
        <v>415</v>
      </c>
      <c r="I1428" s="48" t="s">
        <v>19</v>
      </c>
      <c r="J1428" s="49">
        <v>119843.0</v>
      </c>
    </row>
    <row r="1429">
      <c r="A1429" s="45" t="s">
        <v>11</v>
      </c>
      <c r="B1429" s="16" t="s">
        <v>32</v>
      </c>
      <c r="C1429" s="17" t="s">
        <v>33</v>
      </c>
      <c r="D1429" s="15">
        <v>3.0</v>
      </c>
      <c r="E1429" s="17" t="s">
        <v>478</v>
      </c>
      <c r="F1429" s="15" t="s">
        <v>479</v>
      </c>
      <c r="G1429" s="46" t="s">
        <v>565</v>
      </c>
      <c r="H1429" s="47" t="s">
        <v>566</v>
      </c>
      <c r="I1429" s="48" t="s">
        <v>25</v>
      </c>
      <c r="J1429" s="49">
        <v>2775000.0</v>
      </c>
    </row>
    <row r="1430">
      <c r="A1430" s="45" t="s">
        <v>11</v>
      </c>
      <c r="B1430" s="16" t="s">
        <v>32</v>
      </c>
      <c r="C1430" s="17" t="s">
        <v>33</v>
      </c>
      <c r="D1430" s="15">
        <v>3.0</v>
      </c>
      <c r="E1430" s="17" t="s">
        <v>478</v>
      </c>
      <c r="F1430" s="15" t="s">
        <v>479</v>
      </c>
      <c r="G1430" s="46" t="s">
        <v>499</v>
      </c>
      <c r="H1430" s="47" t="s">
        <v>500</v>
      </c>
      <c r="I1430" s="48" t="s">
        <v>19</v>
      </c>
      <c r="J1430" s="49">
        <v>5287632.0</v>
      </c>
    </row>
    <row r="1431">
      <c r="A1431" s="45" t="s">
        <v>11</v>
      </c>
      <c r="B1431" s="16" t="s">
        <v>32</v>
      </c>
      <c r="C1431" s="17" t="s">
        <v>33</v>
      </c>
      <c r="D1431" s="15">
        <v>3.0</v>
      </c>
      <c r="E1431" s="17" t="s">
        <v>478</v>
      </c>
      <c r="F1431" s="15" t="s">
        <v>479</v>
      </c>
      <c r="G1431" s="46" t="s">
        <v>480</v>
      </c>
      <c r="H1431" s="47" t="s">
        <v>481</v>
      </c>
      <c r="I1431" s="48" t="s">
        <v>19</v>
      </c>
      <c r="J1431" s="49">
        <v>1504290.0</v>
      </c>
    </row>
    <row r="1432">
      <c r="A1432" s="45" t="s">
        <v>11</v>
      </c>
      <c r="B1432" s="16" t="s">
        <v>32</v>
      </c>
      <c r="C1432" s="17" t="s">
        <v>33</v>
      </c>
      <c r="D1432" s="15">
        <v>3.0</v>
      </c>
      <c r="E1432" s="17" t="s">
        <v>501</v>
      </c>
      <c r="F1432" s="15" t="s">
        <v>502</v>
      </c>
      <c r="G1432" s="46" t="s">
        <v>503</v>
      </c>
      <c r="H1432" s="47" t="s">
        <v>504</v>
      </c>
      <c r="I1432" s="48" t="s">
        <v>60</v>
      </c>
      <c r="J1432" s="49">
        <v>2.11541934E8</v>
      </c>
    </row>
    <row r="1433">
      <c r="A1433" s="45" t="s">
        <v>11</v>
      </c>
      <c r="B1433" s="16" t="s">
        <v>32</v>
      </c>
      <c r="C1433" s="17" t="s">
        <v>33</v>
      </c>
      <c r="D1433" s="15">
        <v>3.0</v>
      </c>
      <c r="E1433" s="17" t="s">
        <v>501</v>
      </c>
      <c r="F1433" s="15" t="s">
        <v>502</v>
      </c>
      <c r="G1433" s="46" t="s">
        <v>505</v>
      </c>
      <c r="H1433" s="47" t="s">
        <v>506</v>
      </c>
      <c r="I1433" s="48" t="s">
        <v>60</v>
      </c>
      <c r="J1433" s="49">
        <v>2.0819376E7</v>
      </c>
    </row>
    <row r="1434">
      <c r="A1434" s="45" t="s">
        <v>11</v>
      </c>
      <c r="B1434" s="16" t="s">
        <v>32</v>
      </c>
      <c r="C1434" s="17" t="s">
        <v>33</v>
      </c>
      <c r="D1434" s="15">
        <v>3.0</v>
      </c>
      <c r="E1434" s="17" t="s">
        <v>501</v>
      </c>
      <c r="F1434" s="15" t="s">
        <v>502</v>
      </c>
      <c r="G1434" s="46" t="s">
        <v>507</v>
      </c>
      <c r="H1434" s="47" t="s">
        <v>508</v>
      </c>
      <c r="I1434" s="48" t="s">
        <v>60</v>
      </c>
      <c r="J1434" s="49">
        <v>1773340.0</v>
      </c>
    </row>
    <row r="1435">
      <c r="A1435" s="45" t="s">
        <v>11</v>
      </c>
      <c r="B1435" s="16" t="s">
        <v>32</v>
      </c>
      <c r="C1435" s="17" t="s">
        <v>33</v>
      </c>
      <c r="D1435" s="15">
        <v>3.0</v>
      </c>
      <c r="E1435" s="17" t="s">
        <v>501</v>
      </c>
      <c r="F1435" s="15" t="s">
        <v>502</v>
      </c>
      <c r="G1435" s="46" t="s">
        <v>509</v>
      </c>
      <c r="H1435" s="47" t="s">
        <v>510</v>
      </c>
      <c r="I1435" s="48" t="s">
        <v>60</v>
      </c>
      <c r="J1435" s="49">
        <v>133333.0</v>
      </c>
    </row>
    <row r="1436">
      <c r="A1436" s="45" t="s">
        <v>11</v>
      </c>
      <c r="B1436" s="16" t="s">
        <v>32</v>
      </c>
      <c r="C1436" s="17" t="s">
        <v>33</v>
      </c>
      <c r="D1436" s="15">
        <v>3.0</v>
      </c>
      <c r="E1436" s="17" t="s">
        <v>501</v>
      </c>
      <c r="F1436" s="15" t="s">
        <v>502</v>
      </c>
      <c r="G1436" s="46" t="s">
        <v>511</v>
      </c>
      <c r="H1436" s="47" t="s">
        <v>512</v>
      </c>
      <c r="I1436" s="48" t="s">
        <v>60</v>
      </c>
      <c r="J1436" s="49">
        <v>5.1768825E7</v>
      </c>
    </row>
    <row r="1437">
      <c r="A1437" s="45" t="s">
        <v>11</v>
      </c>
      <c r="B1437" s="16" t="s">
        <v>32</v>
      </c>
      <c r="C1437" s="17" t="s">
        <v>33</v>
      </c>
      <c r="D1437" s="15">
        <v>3.0</v>
      </c>
      <c r="E1437" s="17" t="s">
        <v>501</v>
      </c>
      <c r="F1437" s="15" t="s">
        <v>502</v>
      </c>
      <c r="G1437" s="46" t="s">
        <v>513</v>
      </c>
      <c r="H1437" s="47" t="s">
        <v>514</v>
      </c>
      <c r="I1437" s="48" t="s">
        <v>60</v>
      </c>
      <c r="J1437" s="49">
        <v>3931590.0</v>
      </c>
    </row>
    <row r="1438">
      <c r="A1438" s="45" t="s">
        <v>11</v>
      </c>
      <c r="B1438" s="16" t="s">
        <v>32</v>
      </c>
      <c r="C1438" s="17" t="s">
        <v>33</v>
      </c>
      <c r="D1438" s="15">
        <v>3.0</v>
      </c>
      <c r="E1438" s="17" t="s">
        <v>548</v>
      </c>
      <c r="F1438" s="15" t="s">
        <v>549</v>
      </c>
      <c r="G1438" s="46" t="s">
        <v>550</v>
      </c>
      <c r="H1438" s="47" t="s">
        <v>551</v>
      </c>
      <c r="I1438" s="48" t="s">
        <v>25</v>
      </c>
      <c r="J1438" s="49">
        <v>1.11174E8</v>
      </c>
    </row>
    <row r="1439">
      <c r="A1439" s="45" t="s">
        <v>11</v>
      </c>
      <c r="B1439" s="16" t="s">
        <v>66</v>
      </c>
      <c r="C1439" s="17" t="s">
        <v>67</v>
      </c>
      <c r="D1439" s="15">
        <v>3.0</v>
      </c>
      <c r="E1439" s="17" t="s">
        <v>456</v>
      </c>
      <c r="F1439" s="15" t="s">
        <v>457</v>
      </c>
      <c r="G1439" s="46" t="s">
        <v>458</v>
      </c>
      <c r="H1439" s="47" t="s">
        <v>411</v>
      </c>
      <c r="I1439" s="48" t="s">
        <v>19</v>
      </c>
      <c r="J1439" s="49">
        <v>9530640.0</v>
      </c>
    </row>
    <row r="1440">
      <c r="A1440" s="45" t="s">
        <v>11</v>
      </c>
      <c r="B1440" s="16" t="s">
        <v>66</v>
      </c>
      <c r="C1440" s="17" t="s">
        <v>67</v>
      </c>
      <c r="D1440" s="15">
        <v>3.0</v>
      </c>
      <c r="E1440" s="17" t="s">
        <v>473</v>
      </c>
      <c r="F1440" s="15" t="s">
        <v>474</v>
      </c>
      <c r="G1440" s="46" t="s">
        <v>458</v>
      </c>
      <c r="H1440" s="47" t="s">
        <v>411</v>
      </c>
      <c r="I1440" s="48" t="s">
        <v>19</v>
      </c>
      <c r="J1440" s="49">
        <v>6917743.0</v>
      </c>
    </row>
    <row r="1441">
      <c r="A1441" s="45" t="s">
        <v>74</v>
      </c>
      <c r="B1441" s="16" t="s">
        <v>75</v>
      </c>
      <c r="C1441" s="17" t="s">
        <v>76</v>
      </c>
      <c r="D1441" s="15">
        <v>3.0</v>
      </c>
      <c r="E1441" s="17" t="s">
        <v>441</v>
      </c>
      <c r="F1441" s="15" t="s">
        <v>442</v>
      </c>
      <c r="G1441" s="46" t="s">
        <v>443</v>
      </c>
      <c r="H1441" s="47" t="s">
        <v>420</v>
      </c>
      <c r="I1441" s="48" t="s">
        <v>19</v>
      </c>
      <c r="J1441" s="49">
        <v>4.9052666E7</v>
      </c>
    </row>
    <row r="1442">
      <c r="A1442" s="45" t="s">
        <v>74</v>
      </c>
      <c r="B1442" s="16" t="s">
        <v>75</v>
      </c>
      <c r="C1442" s="17" t="s">
        <v>76</v>
      </c>
      <c r="D1442" s="15">
        <v>3.0</v>
      </c>
      <c r="E1442" s="17" t="s">
        <v>441</v>
      </c>
      <c r="F1442" s="15" t="s">
        <v>442</v>
      </c>
      <c r="G1442" s="46" t="s">
        <v>444</v>
      </c>
      <c r="H1442" s="47" t="s">
        <v>445</v>
      </c>
      <c r="I1442" s="48" t="s">
        <v>19</v>
      </c>
      <c r="J1442" s="49">
        <v>2.0071881E7</v>
      </c>
    </row>
    <row r="1443">
      <c r="A1443" s="45" t="s">
        <v>74</v>
      </c>
      <c r="B1443" s="16" t="s">
        <v>75</v>
      </c>
      <c r="C1443" s="17" t="s">
        <v>76</v>
      </c>
      <c r="D1443" s="15">
        <v>3.0</v>
      </c>
      <c r="E1443" s="17" t="s">
        <v>441</v>
      </c>
      <c r="F1443" s="15" t="s">
        <v>442</v>
      </c>
      <c r="G1443" s="46" t="s">
        <v>579</v>
      </c>
      <c r="H1443" s="47" t="s">
        <v>580</v>
      </c>
      <c r="I1443" s="48" t="s">
        <v>19</v>
      </c>
      <c r="J1443" s="49">
        <v>5207575.0</v>
      </c>
    </row>
    <row r="1444">
      <c r="A1444" s="45" t="s">
        <v>74</v>
      </c>
      <c r="B1444" s="16" t="s">
        <v>75</v>
      </c>
      <c r="C1444" s="17" t="s">
        <v>76</v>
      </c>
      <c r="D1444" s="15">
        <v>3.0</v>
      </c>
      <c r="E1444" s="17" t="s">
        <v>441</v>
      </c>
      <c r="F1444" s="15" t="s">
        <v>442</v>
      </c>
      <c r="G1444" s="46" t="s">
        <v>446</v>
      </c>
      <c r="H1444" s="47" t="s">
        <v>447</v>
      </c>
      <c r="I1444" s="48" t="s">
        <v>19</v>
      </c>
      <c r="J1444" s="49">
        <v>500077.0</v>
      </c>
    </row>
    <row r="1445">
      <c r="A1445" s="45" t="s">
        <v>74</v>
      </c>
      <c r="B1445" s="16" t="s">
        <v>75</v>
      </c>
      <c r="C1445" s="17" t="s">
        <v>76</v>
      </c>
      <c r="D1445" s="15">
        <v>3.0</v>
      </c>
      <c r="E1445" s="17" t="s">
        <v>441</v>
      </c>
      <c r="F1445" s="15" t="s">
        <v>442</v>
      </c>
      <c r="G1445" s="46" t="s">
        <v>448</v>
      </c>
      <c r="H1445" s="47" t="s">
        <v>449</v>
      </c>
      <c r="I1445" s="48" t="s">
        <v>19</v>
      </c>
      <c r="J1445" s="49">
        <v>1462994.0</v>
      </c>
    </row>
    <row r="1446">
      <c r="A1446" s="45" t="s">
        <v>74</v>
      </c>
      <c r="B1446" s="16" t="s">
        <v>75</v>
      </c>
      <c r="C1446" s="17" t="s">
        <v>76</v>
      </c>
      <c r="D1446" s="15">
        <v>3.0</v>
      </c>
      <c r="E1446" s="17" t="s">
        <v>441</v>
      </c>
      <c r="F1446" s="15" t="s">
        <v>442</v>
      </c>
      <c r="G1446" s="46" t="s">
        <v>450</v>
      </c>
      <c r="H1446" s="47" t="s">
        <v>451</v>
      </c>
      <c r="I1446" s="48" t="s">
        <v>19</v>
      </c>
      <c r="J1446" s="49">
        <v>0.0</v>
      </c>
    </row>
    <row r="1447">
      <c r="A1447" s="45" t="s">
        <v>74</v>
      </c>
      <c r="B1447" s="16" t="s">
        <v>75</v>
      </c>
      <c r="C1447" s="17" t="s">
        <v>76</v>
      </c>
      <c r="D1447" s="15">
        <v>3.0</v>
      </c>
      <c r="E1447" s="17" t="s">
        <v>441</v>
      </c>
      <c r="F1447" s="15" t="s">
        <v>442</v>
      </c>
      <c r="G1447" s="46" t="s">
        <v>452</v>
      </c>
      <c r="H1447" s="47" t="s">
        <v>453</v>
      </c>
      <c r="I1447" s="48" t="s">
        <v>19</v>
      </c>
      <c r="J1447" s="49">
        <v>925143.0</v>
      </c>
    </row>
    <row r="1448">
      <c r="A1448" s="45" t="s">
        <v>74</v>
      </c>
      <c r="B1448" s="16" t="s">
        <v>75</v>
      </c>
      <c r="C1448" s="17" t="s">
        <v>76</v>
      </c>
      <c r="D1448" s="15">
        <v>3.0</v>
      </c>
      <c r="E1448" s="17" t="s">
        <v>441</v>
      </c>
      <c r="F1448" s="15" t="s">
        <v>442</v>
      </c>
      <c r="G1448" s="46" t="s">
        <v>454</v>
      </c>
      <c r="H1448" s="47" t="s">
        <v>415</v>
      </c>
      <c r="I1448" s="48" t="s">
        <v>19</v>
      </c>
      <c r="J1448" s="49">
        <v>135021.0</v>
      </c>
    </row>
    <row r="1449">
      <c r="A1449" s="45" t="s">
        <v>74</v>
      </c>
      <c r="B1449" s="16" t="s">
        <v>75</v>
      </c>
      <c r="C1449" s="17" t="s">
        <v>76</v>
      </c>
      <c r="D1449" s="15">
        <v>3.0</v>
      </c>
      <c r="E1449" s="17" t="s">
        <v>441</v>
      </c>
      <c r="F1449" s="15" t="s">
        <v>442</v>
      </c>
      <c r="G1449" s="46" t="s">
        <v>455</v>
      </c>
      <c r="H1449" s="47" t="s">
        <v>415</v>
      </c>
      <c r="I1449" s="48" t="s">
        <v>19</v>
      </c>
      <c r="J1449" s="49">
        <v>75011.0</v>
      </c>
    </row>
    <row r="1450">
      <c r="A1450" s="45" t="s">
        <v>74</v>
      </c>
      <c r="B1450" s="16" t="s">
        <v>75</v>
      </c>
      <c r="C1450" s="17" t="s">
        <v>76</v>
      </c>
      <c r="D1450" s="15">
        <v>3.0</v>
      </c>
      <c r="E1450" s="17" t="s">
        <v>456</v>
      </c>
      <c r="F1450" s="15" t="s">
        <v>457</v>
      </c>
      <c r="G1450" s="46" t="s">
        <v>443</v>
      </c>
      <c r="H1450" s="47" t="s">
        <v>420</v>
      </c>
      <c r="I1450" s="48" t="s">
        <v>19</v>
      </c>
      <c r="J1450" s="49">
        <v>0.0</v>
      </c>
    </row>
    <row r="1451">
      <c r="A1451" s="45" t="s">
        <v>74</v>
      </c>
      <c r="B1451" s="16" t="s">
        <v>75</v>
      </c>
      <c r="C1451" s="17" t="s">
        <v>76</v>
      </c>
      <c r="D1451" s="15">
        <v>3.0</v>
      </c>
      <c r="E1451" s="17" t="s">
        <v>456</v>
      </c>
      <c r="F1451" s="15" t="s">
        <v>457</v>
      </c>
      <c r="G1451" s="46" t="s">
        <v>515</v>
      </c>
      <c r="H1451" s="47" t="s">
        <v>413</v>
      </c>
      <c r="I1451" s="48" t="s">
        <v>19</v>
      </c>
      <c r="J1451" s="49">
        <v>4000000.0</v>
      </c>
    </row>
    <row r="1452">
      <c r="A1452" s="45" t="s">
        <v>74</v>
      </c>
      <c r="B1452" s="16" t="s">
        <v>75</v>
      </c>
      <c r="C1452" s="17" t="s">
        <v>76</v>
      </c>
      <c r="D1452" s="15">
        <v>3.0</v>
      </c>
      <c r="E1452" s="17" t="s">
        <v>456</v>
      </c>
      <c r="F1452" s="15" t="s">
        <v>457</v>
      </c>
      <c r="G1452" s="46" t="s">
        <v>579</v>
      </c>
      <c r="H1452" s="47" t="s">
        <v>580</v>
      </c>
      <c r="I1452" s="48" t="s">
        <v>19</v>
      </c>
      <c r="J1452" s="49">
        <v>400000.0</v>
      </c>
    </row>
    <row r="1453">
      <c r="A1453" s="45" t="s">
        <v>74</v>
      </c>
      <c r="B1453" s="16" t="s">
        <v>75</v>
      </c>
      <c r="C1453" s="17" t="s">
        <v>76</v>
      </c>
      <c r="D1453" s="15">
        <v>3.0</v>
      </c>
      <c r="E1453" s="17" t="s">
        <v>456</v>
      </c>
      <c r="F1453" s="15" t="s">
        <v>457</v>
      </c>
      <c r="G1453" s="46" t="s">
        <v>516</v>
      </c>
      <c r="H1453" s="47" t="s">
        <v>436</v>
      </c>
      <c r="I1453" s="48" t="s">
        <v>25</v>
      </c>
      <c r="J1453" s="49">
        <v>2000000.0</v>
      </c>
    </row>
    <row r="1454">
      <c r="A1454" s="45" t="s">
        <v>74</v>
      </c>
      <c r="B1454" s="16" t="s">
        <v>75</v>
      </c>
      <c r="C1454" s="17" t="s">
        <v>76</v>
      </c>
      <c r="D1454" s="15">
        <v>3.0</v>
      </c>
      <c r="E1454" s="17" t="s">
        <v>456</v>
      </c>
      <c r="F1454" s="15" t="s">
        <v>457</v>
      </c>
      <c r="G1454" s="46" t="s">
        <v>458</v>
      </c>
      <c r="H1454" s="47" t="s">
        <v>411</v>
      </c>
      <c r="I1454" s="48" t="s">
        <v>19</v>
      </c>
      <c r="J1454" s="49">
        <v>1.68714039E8</v>
      </c>
    </row>
    <row r="1455">
      <c r="A1455" s="45" t="s">
        <v>74</v>
      </c>
      <c r="B1455" s="16" t="s">
        <v>75</v>
      </c>
      <c r="C1455" s="17" t="s">
        <v>76</v>
      </c>
      <c r="D1455" s="15">
        <v>3.0</v>
      </c>
      <c r="E1455" s="17" t="s">
        <v>459</v>
      </c>
      <c r="F1455" s="15" t="s">
        <v>460</v>
      </c>
      <c r="G1455" s="46" t="s">
        <v>519</v>
      </c>
      <c r="H1455" s="47" t="s">
        <v>414</v>
      </c>
      <c r="I1455" s="48" t="s">
        <v>37</v>
      </c>
      <c r="J1455" s="49">
        <v>1.6489E7</v>
      </c>
    </row>
    <row r="1456">
      <c r="A1456" s="45" t="s">
        <v>74</v>
      </c>
      <c r="B1456" s="16" t="s">
        <v>75</v>
      </c>
      <c r="C1456" s="17" t="s">
        <v>76</v>
      </c>
      <c r="D1456" s="15">
        <v>3.0</v>
      </c>
      <c r="E1456" s="17" t="s">
        <v>459</v>
      </c>
      <c r="F1456" s="15" t="s">
        <v>460</v>
      </c>
      <c r="G1456" s="46" t="s">
        <v>519</v>
      </c>
      <c r="H1456" s="47" t="s">
        <v>414</v>
      </c>
      <c r="I1456" s="48" t="s">
        <v>25</v>
      </c>
      <c r="J1456" s="49">
        <v>150000.0</v>
      </c>
    </row>
    <row r="1457">
      <c r="A1457" s="45" t="s">
        <v>74</v>
      </c>
      <c r="B1457" s="16" t="s">
        <v>75</v>
      </c>
      <c r="C1457" s="17" t="s">
        <v>76</v>
      </c>
      <c r="D1457" s="15">
        <v>3.0</v>
      </c>
      <c r="E1457" s="17" t="s">
        <v>459</v>
      </c>
      <c r="F1457" s="15" t="s">
        <v>460</v>
      </c>
      <c r="G1457" s="46" t="s">
        <v>458</v>
      </c>
      <c r="H1457" s="47" t="s">
        <v>411</v>
      </c>
      <c r="I1457" s="48" t="s">
        <v>19</v>
      </c>
      <c r="J1457" s="49">
        <v>1.2333744E7</v>
      </c>
    </row>
    <row r="1458">
      <c r="A1458" s="45" t="s">
        <v>74</v>
      </c>
      <c r="B1458" s="16" t="s">
        <v>75</v>
      </c>
      <c r="C1458" s="17" t="s">
        <v>76</v>
      </c>
      <c r="D1458" s="15">
        <v>3.0</v>
      </c>
      <c r="E1458" s="17" t="s">
        <v>459</v>
      </c>
      <c r="F1458" s="15" t="s">
        <v>460</v>
      </c>
      <c r="G1458" s="46" t="s">
        <v>552</v>
      </c>
      <c r="H1458" s="47" t="s">
        <v>553</v>
      </c>
      <c r="I1458" s="48" t="s">
        <v>25</v>
      </c>
      <c r="J1458" s="49">
        <v>599000.0</v>
      </c>
    </row>
    <row r="1459">
      <c r="A1459" s="45" t="s">
        <v>74</v>
      </c>
      <c r="B1459" s="16" t="s">
        <v>75</v>
      </c>
      <c r="C1459" s="17" t="s">
        <v>76</v>
      </c>
      <c r="D1459" s="15">
        <v>3.0</v>
      </c>
      <c r="E1459" s="17" t="s">
        <v>463</v>
      </c>
      <c r="F1459" s="15" t="s">
        <v>464</v>
      </c>
      <c r="G1459" s="46" t="s">
        <v>520</v>
      </c>
      <c r="H1459" s="47" t="s">
        <v>435</v>
      </c>
      <c r="I1459" s="48" t="s">
        <v>37</v>
      </c>
      <c r="J1459" s="49">
        <v>310000.0</v>
      </c>
    </row>
    <row r="1460">
      <c r="A1460" s="45" t="s">
        <v>74</v>
      </c>
      <c r="B1460" s="16" t="s">
        <v>75</v>
      </c>
      <c r="C1460" s="17" t="s">
        <v>76</v>
      </c>
      <c r="D1460" s="15">
        <v>3.0</v>
      </c>
      <c r="E1460" s="17" t="s">
        <v>463</v>
      </c>
      <c r="F1460" s="15" t="s">
        <v>464</v>
      </c>
      <c r="G1460" s="46" t="s">
        <v>519</v>
      </c>
      <c r="H1460" s="47" t="s">
        <v>414</v>
      </c>
      <c r="I1460" s="48" t="s">
        <v>25</v>
      </c>
      <c r="J1460" s="49">
        <v>6050000.0</v>
      </c>
    </row>
    <row r="1461">
      <c r="A1461" s="45" t="s">
        <v>74</v>
      </c>
      <c r="B1461" s="16" t="s">
        <v>75</v>
      </c>
      <c r="C1461" s="17" t="s">
        <v>76</v>
      </c>
      <c r="D1461" s="15">
        <v>3.0</v>
      </c>
      <c r="E1461" s="17" t="s">
        <v>463</v>
      </c>
      <c r="F1461" s="15" t="s">
        <v>464</v>
      </c>
      <c r="G1461" s="46" t="s">
        <v>521</v>
      </c>
      <c r="H1461" s="47" t="s">
        <v>522</v>
      </c>
      <c r="I1461" s="48" t="s">
        <v>37</v>
      </c>
      <c r="J1461" s="49">
        <v>115600.0</v>
      </c>
    </row>
    <row r="1462">
      <c r="A1462" s="45" t="s">
        <v>74</v>
      </c>
      <c r="B1462" s="16" t="s">
        <v>75</v>
      </c>
      <c r="C1462" s="17" t="s">
        <v>76</v>
      </c>
      <c r="D1462" s="15">
        <v>3.0</v>
      </c>
      <c r="E1462" s="17" t="s">
        <v>463</v>
      </c>
      <c r="F1462" s="15" t="s">
        <v>464</v>
      </c>
      <c r="G1462" s="46" t="s">
        <v>467</v>
      </c>
      <c r="H1462" s="47" t="s">
        <v>468</v>
      </c>
      <c r="I1462" s="48" t="s">
        <v>25</v>
      </c>
      <c r="J1462" s="49">
        <v>1400000.0</v>
      </c>
    </row>
    <row r="1463">
      <c r="A1463" s="45" t="s">
        <v>74</v>
      </c>
      <c r="B1463" s="16" t="s">
        <v>75</v>
      </c>
      <c r="C1463" s="17" t="s">
        <v>76</v>
      </c>
      <c r="D1463" s="15">
        <v>3.0</v>
      </c>
      <c r="E1463" s="17" t="s">
        <v>463</v>
      </c>
      <c r="F1463" s="15" t="s">
        <v>464</v>
      </c>
      <c r="G1463" s="46" t="s">
        <v>458</v>
      </c>
      <c r="H1463" s="47" t="s">
        <v>411</v>
      </c>
      <c r="I1463" s="48" t="s">
        <v>19</v>
      </c>
      <c r="J1463" s="49">
        <v>3854295.0</v>
      </c>
    </row>
    <row r="1464">
      <c r="A1464" s="45" t="s">
        <v>74</v>
      </c>
      <c r="B1464" s="16" t="s">
        <v>75</v>
      </c>
      <c r="C1464" s="17" t="s">
        <v>76</v>
      </c>
      <c r="D1464" s="15">
        <v>3.0</v>
      </c>
      <c r="E1464" s="17" t="s">
        <v>487</v>
      </c>
      <c r="F1464" s="15" t="s">
        <v>488</v>
      </c>
      <c r="G1464" s="46" t="s">
        <v>458</v>
      </c>
      <c r="H1464" s="47" t="s">
        <v>411</v>
      </c>
      <c r="I1464" s="48" t="s">
        <v>19</v>
      </c>
      <c r="J1464" s="49">
        <v>1541718.0</v>
      </c>
    </row>
    <row r="1465">
      <c r="A1465" s="45" t="s">
        <v>74</v>
      </c>
      <c r="B1465" s="16" t="s">
        <v>75</v>
      </c>
      <c r="C1465" s="17" t="s">
        <v>76</v>
      </c>
      <c r="D1465" s="15">
        <v>3.0</v>
      </c>
      <c r="E1465" s="17" t="s">
        <v>473</v>
      </c>
      <c r="F1465" s="15" t="s">
        <v>474</v>
      </c>
      <c r="G1465" s="46" t="s">
        <v>523</v>
      </c>
      <c r="H1465" s="47" t="s">
        <v>431</v>
      </c>
      <c r="I1465" s="48" t="s">
        <v>17</v>
      </c>
      <c r="J1465" s="49">
        <v>7.5916832E7</v>
      </c>
    </row>
    <row r="1466">
      <c r="A1466" s="45" t="s">
        <v>74</v>
      </c>
      <c r="B1466" s="16" t="s">
        <v>75</v>
      </c>
      <c r="C1466" s="17" t="s">
        <v>76</v>
      </c>
      <c r="D1466" s="15">
        <v>3.0</v>
      </c>
      <c r="E1466" s="17" t="s">
        <v>473</v>
      </c>
      <c r="F1466" s="15" t="s">
        <v>474</v>
      </c>
      <c r="G1466" s="46" t="s">
        <v>523</v>
      </c>
      <c r="H1466" s="47" t="s">
        <v>431</v>
      </c>
      <c r="I1466" s="48" t="s">
        <v>25</v>
      </c>
      <c r="J1466" s="49">
        <v>1.0E7</v>
      </c>
    </row>
    <row r="1467">
      <c r="A1467" s="45" t="s">
        <v>74</v>
      </c>
      <c r="B1467" s="16" t="s">
        <v>75</v>
      </c>
      <c r="C1467" s="17" t="s">
        <v>76</v>
      </c>
      <c r="D1467" s="15">
        <v>3.0</v>
      </c>
      <c r="E1467" s="17" t="s">
        <v>473</v>
      </c>
      <c r="F1467" s="15" t="s">
        <v>474</v>
      </c>
      <c r="G1467" s="46" t="s">
        <v>458</v>
      </c>
      <c r="H1467" s="47" t="s">
        <v>411</v>
      </c>
      <c r="I1467" s="48" t="s">
        <v>19</v>
      </c>
      <c r="J1467" s="49">
        <v>1.0438599E8</v>
      </c>
    </row>
    <row r="1468">
      <c r="A1468" s="45" t="s">
        <v>74</v>
      </c>
      <c r="B1468" s="16" t="s">
        <v>75</v>
      </c>
      <c r="C1468" s="17" t="s">
        <v>76</v>
      </c>
      <c r="D1468" s="15">
        <v>3.0</v>
      </c>
      <c r="E1468" s="17" t="s">
        <v>491</v>
      </c>
      <c r="F1468" s="15" t="s">
        <v>492</v>
      </c>
      <c r="G1468" s="46" t="s">
        <v>519</v>
      </c>
      <c r="H1468" s="47" t="s">
        <v>414</v>
      </c>
      <c r="I1468" s="48" t="s">
        <v>25</v>
      </c>
      <c r="J1468" s="49">
        <v>700000.0</v>
      </c>
    </row>
    <row r="1469">
      <c r="A1469" s="45" t="s">
        <v>74</v>
      </c>
      <c r="B1469" s="16" t="s">
        <v>75</v>
      </c>
      <c r="C1469" s="17" t="s">
        <v>76</v>
      </c>
      <c r="D1469" s="15">
        <v>3.0</v>
      </c>
      <c r="E1469" s="17" t="s">
        <v>491</v>
      </c>
      <c r="F1469" s="15" t="s">
        <v>492</v>
      </c>
      <c r="G1469" s="46" t="s">
        <v>493</v>
      </c>
      <c r="H1469" s="47" t="s">
        <v>437</v>
      </c>
      <c r="I1469" s="48" t="s">
        <v>25</v>
      </c>
      <c r="J1469" s="49">
        <v>6111468.0</v>
      </c>
    </row>
    <row r="1470">
      <c r="A1470" s="45" t="s">
        <v>74</v>
      </c>
      <c r="B1470" s="16" t="s">
        <v>75</v>
      </c>
      <c r="C1470" s="17" t="s">
        <v>76</v>
      </c>
      <c r="D1470" s="15">
        <v>3.0</v>
      </c>
      <c r="E1470" s="17" t="s">
        <v>491</v>
      </c>
      <c r="F1470" s="15" t="s">
        <v>492</v>
      </c>
      <c r="G1470" s="46" t="s">
        <v>458</v>
      </c>
      <c r="H1470" s="47" t="s">
        <v>411</v>
      </c>
      <c r="I1470" s="48" t="s">
        <v>19</v>
      </c>
      <c r="J1470" s="49">
        <v>7965543.0</v>
      </c>
    </row>
    <row r="1471">
      <c r="A1471" s="45" t="s">
        <v>74</v>
      </c>
      <c r="B1471" s="16" t="s">
        <v>75</v>
      </c>
      <c r="C1471" s="17" t="s">
        <v>76</v>
      </c>
      <c r="D1471" s="15">
        <v>3.0</v>
      </c>
      <c r="E1471" s="17" t="s">
        <v>494</v>
      </c>
      <c r="F1471" s="15" t="s">
        <v>495</v>
      </c>
      <c r="G1471" s="46" t="s">
        <v>458</v>
      </c>
      <c r="H1471" s="47" t="s">
        <v>411</v>
      </c>
      <c r="I1471" s="48" t="s">
        <v>19</v>
      </c>
      <c r="J1471" s="49">
        <v>3854295.0</v>
      </c>
    </row>
    <row r="1472">
      <c r="A1472" s="45" t="s">
        <v>74</v>
      </c>
      <c r="B1472" s="16" t="s">
        <v>75</v>
      </c>
      <c r="C1472" s="17" t="s">
        <v>76</v>
      </c>
      <c r="D1472" s="15">
        <v>3.0</v>
      </c>
      <c r="E1472" s="17" t="s">
        <v>475</v>
      </c>
      <c r="F1472" s="15" t="s">
        <v>476</v>
      </c>
      <c r="G1472" s="46" t="s">
        <v>477</v>
      </c>
      <c r="H1472" s="47" t="s">
        <v>429</v>
      </c>
      <c r="I1472" s="48" t="s">
        <v>50</v>
      </c>
      <c r="J1472" s="49">
        <v>2.6577009E7</v>
      </c>
    </row>
    <row r="1473">
      <c r="A1473" s="45" t="s">
        <v>74</v>
      </c>
      <c r="B1473" s="16" t="s">
        <v>75</v>
      </c>
      <c r="C1473" s="17" t="s">
        <v>76</v>
      </c>
      <c r="D1473" s="15">
        <v>3.0</v>
      </c>
      <c r="E1473" s="17" t="s">
        <v>524</v>
      </c>
      <c r="F1473" s="15" t="s">
        <v>479</v>
      </c>
      <c r="G1473" s="46" t="s">
        <v>443</v>
      </c>
      <c r="H1473" s="47" t="s">
        <v>420</v>
      </c>
      <c r="I1473" s="48" t="s">
        <v>19</v>
      </c>
      <c r="J1473" s="49">
        <v>1.27544531E8</v>
      </c>
    </row>
    <row r="1474">
      <c r="A1474" s="45" t="s">
        <v>74</v>
      </c>
      <c r="B1474" s="16" t="s">
        <v>75</v>
      </c>
      <c r="C1474" s="17" t="s">
        <v>76</v>
      </c>
      <c r="D1474" s="15">
        <v>3.0</v>
      </c>
      <c r="E1474" s="17" t="s">
        <v>524</v>
      </c>
      <c r="F1474" s="15" t="s">
        <v>479</v>
      </c>
      <c r="G1474" s="46" t="s">
        <v>444</v>
      </c>
      <c r="H1474" s="47" t="s">
        <v>445</v>
      </c>
      <c r="I1474" s="48" t="s">
        <v>19</v>
      </c>
      <c r="J1474" s="49">
        <v>3.465815E7</v>
      </c>
    </row>
    <row r="1475">
      <c r="A1475" s="45" t="s">
        <v>74</v>
      </c>
      <c r="B1475" s="16" t="s">
        <v>75</v>
      </c>
      <c r="C1475" s="17" t="s">
        <v>76</v>
      </c>
      <c r="D1475" s="15">
        <v>3.0</v>
      </c>
      <c r="E1475" s="17" t="s">
        <v>524</v>
      </c>
      <c r="F1475" s="15" t="s">
        <v>479</v>
      </c>
      <c r="G1475" s="46" t="s">
        <v>579</v>
      </c>
      <c r="H1475" s="47" t="s">
        <v>580</v>
      </c>
      <c r="I1475" s="48" t="s">
        <v>19</v>
      </c>
      <c r="J1475" s="49">
        <v>1.3198283E7</v>
      </c>
    </row>
    <row r="1476">
      <c r="A1476" s="45" t="s">
        <v>74</v>
      </c>
      <c r="B1476" s="16" t="s">
        <v>75</v>
      </c>
      <c r="C1476" s="17" t="s">
        <v>76</v>
      </c>
      <c r="D1476" s="15">
        <v>3.0</v>
      </c>
      <c r="E1476" s="17" t="s">
        <v>524</v>
      </c>
      <c r="F1476" s="15" t="s">
        <v>479</v>
      </c>
      <c r="G1476" s="46" t="s">
        <v>446</v>
      </c>
      <c r="H1476" s="47" t="s">
        <v>447</v>
      </c>
      <c r="I1476" s="48" t="s">
        <v>19</v>
      </c>
      <c r="J1476" s="49">
        <v>1489214.0</v>
      </c>
    </row>
    <row r="1477">
      <c r="A1477" s="45" t="s">
        <v>74</v>
      </c>
      <c r="B1477" s="16" t="s">
        <v>75</v>
      </c>
      <c r="C1477" s="17" t="s">
        <v>76</v>
      </c>
      <c r="D1477" s="15">
        <v>3.0</v>
      </c>
      <c r="E1477" s="17" t="s">
        <v>524</v>
      </c>
      <c r="F1477" s="15" t="s">
        <v>479</v>
      </c>
      <c r="G1477" s="46" t="s">
        <v>448</v>
      </c>
      <c r="H1477" s="47" t="s">
        <v>449</v>
      </c>
      <c r="I1477" s="48" t="s">
        <v>19</v>
      </c>
      <c r="J1477" s="49">
        <v>4385759.0</v>
      </c>
    </row>
    <row r="1478">
      <c r="A1478" s="45" t="s">
        <v>74</v>
      </c>
      <c r="B1478" s="16" t="s">
        <v>75</v>
      </c>
      <c r="C1478" s="17" t="s">
        <v>76</v>
      </c>
      <c r="D1478" s="15">
        <v>3.0</v>
      </c>
      <c r="E1478" s="17" t="s">
        <v>524</v>
      </c>
      <c r="F1478" s="15" t="s">
        <v>479</v>
      </c>
      <c r="G1478" s="46" t="s">
        <v>450</v>
      </c>
      <c r="H1478" s="47" t="s">
        <v>451</v>
      </c>
      <c r="I1478" s="48" t="s">
        <v>19</v>
      </c>
      <c r="J1478" s="49">
        <v>0.0</v>
      </c>
    </row>
    <row r="1479">
      <c r="A1479" s="45" t="s">
        <v>74</v>
      </c>
      <c r="B1479" s="16" t="s">
        <v>75</v>
      </c>
      <c r="C1479" s="17" t="s">
        <v>76</v>
      </c>
      <c r="D1479" s="15">
        <v>3.0</v>
      </c>
      <c r="E1479" s="17" t="s">
        <v>524</v>
      </c>
      <c r="F1479" s="15" t="s">
        <v>479</v>
      </c>
      <c r="G1479" s="46" t="s">
        <v>452</v>
      </c>
      <c r="H1479" s="47" t="s">
        <v>453</v>
      </c>
      <c r="I1479" s="48" t="s">
        <v>19</v>
      </c>
      <c r="J1479" s="49">
        <v>2773387.0</v>
      </c>
    </row>
    <row r="1480">
      <c r="A1480" s="45" t="s">
        <v>74</v>
      </c>
      <c r="B1480" s="16" t="s">
        <v>75</v>
      </c>
      <c r="C1480" s="17" t="s">
        <v>76</v>
      </c>
      <c r="D1480" s="15">
        <v>3.0</v>
      </c>
      <c r="E1480" s="17" t="s">
        <v>524</v>
      </c>
      <c r="F1480" s="15" t="s">
        <v>479</v>
      </c>
      <c r="G1480" s="46" t="s">
        <v>454</v>
      </c>
      <c r="H1480" s="47" t="s">
        <v>415</v>
      </c>
      <c r="I1480" s="48" t="s">
        <v>19</v>
      </c>
      <c r="J1480" s="49">
        <v>404765.0</v>
      </c>
    </row>
    <row r="1481">
      <c r="A1481" s="45" t="s">
        <v>74</v>
      </c>
      <c r="B1481" s="16" t="s">
        <v>75</v>
      </c>
      <c r="C1481" s="17" t="s">
        <v>76</v>
      </c>
      <c r="D1481" s="15">
        <v>3.0</v>
      </c>
      <c r="E1481" s="17" t="s">
        <v>524</v>
      </c>
      <c r="F1481" s="15" t="s">
        <v>479</v>
      </c>
      <c r="G1481" s="46" t="s">
        <v>455</v>
      </c>
      <c r="H1481" s="47" t="s">
        <v>415</v>
      </c>
      <c r="I1481" s="48" t="s">
        <v>19</v>
      </c>
      <c r="J1481" s="49">
        <v>224868.0</v>
      </c>
    </row>
    <row r="1482">
      <c r="A1482" s="45" t="s">
        <v>74</v>
      </c>
      <c r="B1482" s="16" t="s">
        <v>75</v>
      </c>
      <c r="C1482" s="17" t="s">
        <v>76</v>
      </c>
      <c r="D1482" s="15">
        <v>3.0</v>
      </c>
      <c r="E1482" s="17" t="s">
        <v>524</v>
      </c>
      <c r="F1482" s="15" t="s">
        <v>479</v>
      </c>
      <c r="G1482" s="46" t="s">
        <v>565</v>
      </c>
      <c r="H1482" s="47" t="s">
        <v>566</v>
      </c>
      <c r="I1482" s="48" t="s">
        <v>25</v>
      </c>
      <c r="J1482" s="49">
        <v>5025000.0</v>
      </c>
    </row>
    <row r="1483">
      <c r="A1483" s="45" t="s">
        <v>74</v>
      </c>
      <c r="B1483" s="16" t="s">
        <v>75</v>
      </c>
      <c r="C1483" s="17" t="s">
        <v>76</v>
      </c>
      <c r="D1483" s="15">
        <v>3.0</v>
      </c>
      <c r="E1483" s="17" t="s">
        <v>525</v>
      </c>
      <c r="F1483" s="15" t="s">
        <v>502</v>
      </c>
      <c r="G1483" s="46" t="s">
        <v>526</v>
      </c>
      <c r="H1483" s="47" t="s">
        <v>527</v>
      </c>
      <c r="I1483" s="48" t="s">
        <v>60</v>
      </c>
      <c r="J1483" s="49">
        <v>4.87597162E8</v>
      </c>
    </row>
    <row r="1484">
      <c r="A1484" s="45" t="s">
        <v>74</v>
      </c>
      <c r="B1484" s="16" t="s">
        <v>75</v>
      </c>
      <c r="C1484" s="17" t="s">
        <v>76</v>
      </c>
      <c r="D1484" s="15">
        <v>3.0</v>
      </c>
      <c r="E1484" s="17" t="s">
        <v>525</v>
      </c>
      <c r="F1484" s="15" t="s">
        <v>502</v>
      </c>
      <c r="G1484" s="46" t="s">
        <v>505</v>
      </c>
      <c r="H1484" s="47" t="s">
        <v>506</v>
      </c>
      <c r="I1484" s="48" t="s">
        <v>60</v>
      </c>
      <c r="J1484" s="49">
        <v>4817570.0</v>
      </c>
    </row>
    <row r="1485">
      <c r="A1485" s="45" t="s">
        <v>74</v>
      </c>
      <c r="B1485" s="16" t="s">
        <v>75</v>
      </c>
      <c r="C1485" s="17" t="s">
        <v>76</v>
      </c>
      <c r="D1485" s="15">
        <v>3.0</v>
      </c>
      <c r="E1485" s="17" t="s">
        <v>525</v>
      </c>
      <c r="F1485" s="15" t="s">
        <v>502</v>
      </c>
      <c r="G1485" s="46" t="s">
        <v>507</v>
      </c>
      <c r="H1485" s="47" t="s">
        <v>508</v>
      </c>
      <c r="I1485" s="48" t="s">
        <v>60</v>
      </c>
      <c r="J1485" s="49">
        <v>8789288.0</v>
      </c>
    </row>
    <row r="1486">
      <c r="A1486" s="45" t="s">
        <v>74</v>
      </c>
      <c r="B1486" s="16" t="s">
        <v>75</v>
      </c>
      <c r="C1486" s="17" t="s">
        <v>76</v>
      </c>
      <c r="D1486" s="15">
        <v>3.0</v>
      </c>
      <c r="E1486" s="17" t="s">
        <v>525</v>
      </c>
      <c r="F1486" s="15" t="s">
        <v>502</v>
      </c>
      <c r="G1486" s="46" t="s">
        <v>509</v>
      </c>
      <c r="H1486" s="47" t="s">
        <v>510</v>
      </c>
      <c r="I1486" s="48" t="s">
        <v>60</v>
      </c>
      <c r="J1486" s="49">
        <v>4500281.0</v>
      </c>
    </row>
    <row r="1487">
      <c r="A1487" s="45" t="s">
        <v>74</v>
      </c>
      <c r="B1487" s="16" t="s">
        <v>75</v>
      </c>
      <c r="C1487" s="17" t="s">
        <v>76</v>
      </c>
      <c r="D1487" s="15">
        <v>3.0</v>
      </c>
      <c r="E1487" s="17" t="s">
        <v>525</v>
      </c>
      <c r="F1487" s="15" t="s">
        <v>502</v>
      </c>
      <c r="G1487" s="46" t="s">
        <v>511</v>
      </c>
      <c r="H1487" s="47" t="s">
        <v>512</v>
      </c>
      <c r="I1487" s="48" t="s">
        <v>60</v>
      </c>
      <c r="J1487" s="49">
        <v>6.084431E7</v>
      </c>
    </row>
    <row r="1488">
      <c r="A1488" s="45" t="s">
        <v>74</v>
      </c>
      <c r="B1488" s="16" t="s">
        <v>75</v>
      </c>
      <c r="C1488" s="17" t="s">
        <v>76</v>
      </c>
      <c r="D1488" s="15">
        <v>3.0</v>
      </c>
      <c r="E1488" s="17" t="s">
        <v>525</v>
      </c>
      <c r="F1488" s="15" t="s">
        <v>502</v>
      </c>
      <c r="G1488" s="46" t="s">
        <v>513</v>
      </c>
      <c r="H1488" s="47" t="s">
        <v>514</v>
      </c>
      <c r="I1488" s="48" t="s">
        <v>60</v>
      </c>
      <c r="J1488" s="49">
        <v>5347828.0</v>
      </c>
    </row>
    <row r="1489">
      <c r="A1489" s="45" t="s">
        <v>74</v>
      </c>
      <c r="B1489" s="16" t="s">
        <v>75</v>
      </c>
      <c r="C1489" s="17" t="s">
        <v>76</v>
      </c>
      <c r="D1489" s="15">
        <v>3.0</v>
      </c>
      <c r="E1489" s="17" t="s">
        <v>525</v>
      </c>
      <c r="F1489" s="15" t="s">
        <v>502</v>
      </c>
      <c r="G1489" s="46" t="s">
        <v>528</v>
      </c>
      <c r="H1489" s="47" t="s">
        <v>529</v>
      </c>
      <c r="I1489" s="48" t="s">
        <v>60</v>
      </c>
      <c r="J1489" s="49">
        <v>4523282.0</v>
      </c>
    </row>
    <row r="1490">
      <c r="A1490" s="45" t="s">
        <v>74</v>
      </c>
      <c r="B1490" s="16" t="s">
        <v>75</v>
      </c>
      <c r="C1490" s="17" t="s">
        <v>76</v>
      </c>
      <c r="D1490" s="15">
        <v>3.0</v>
      </c>
      <c r="E1490" s="17" t="s">
        <v>548</v>
      </c>
      <c r="F1490" s="15" t="s">
        <v>549</v>
      </c>
      <c r="G1490" s="46" t="s">
        <v>550</v>
      </c>
      <c r="H1490" s="47" t="s">
        <v>551</v>
      </c>
      <c r="I1490" s="48" t="s">
        <v>25</v>
      </c>
      <c r="J1490" s="49">
        <v>2.19463828E8</v>
      </c>
    </row>
    <row r="1491">
      <c r="A1491" s="45" t="s">
        <v>74</v>
      </c>
      <c r="B1491" s="16" t="s">
        <v>148</v>
      </c>
      <c r="C1491" s="17" t="s">
        <v>149</v>
      </c>
      <c r="D1491" s="15">
        <v>3.0</v>
      </c>
      <c r="E1491" s="17" t="s">
        <v>441</v>
      </c>
      <c r="F1491" s="15" t="s">
        <v>442</v>
      </c>
      <c r="G1491" s="46" t="s">
        <v>443</v>
      </c>
      <c r="H1491" s="47" t="s">
        <v>420</v>
      </c>
      <c r="I1491" s="48" t="s">
        <v>19</v>
      </c>
      <c r="J1491" s="49">
        <v>5.3516641E7</v>
      </c>
    </row>
    <row r="1492">
      <c r="A1492" s="45" t="s">
        <v>74</v>
      </c>
      <c r="B1492" s="16" t="s">
        <v>148</v>
      </c>
      <c r="C1492" s="17" t="s">
        <v>149</v>
      </c>
      <c r="D1492" s="15">
        <v>3.0</v>
      </c>
      <c r="E1492" s="17" t="s">
        <v>441</v>
      </c>
      <c r="F1492" s="15" t="s">
        <v>442</v>
      </c>
      <c r="G1492" s="46" t="s">
        <v>444</v>
      </c>
      <c r="H1492" s="47" t="s">
        <v>445</v>
      </c>
      <c r="I1492" s="48" t="s">
        <v>19</v>
      </c>
      <c r="J1492" s="49">
        <v>2.5107769E7</v>
      </c>
    </row>
    <row r="1493">
      <c r="A1493" s="45" t="s">
        <v>74</v>
      </c>
      <c r="B1493" s="16" t="s">
        <v>148</v>
      </c>
      <c r="C1493" s="17" t="s">
        <v>149</v>
      </c>
      <c r="D1493" s="15">
        <v>3.0</v>
      </c>
      <c r="E1493" s="17" t="s">
        <v>441</v>
      </c>
      <c r="F1493" s="15" t="s">
        <v>442</v>
      </c>
      <c r="G1493" s="46" t="s">
        <v>579</v>
      </c>
      <c r="H1493" s="47" t="s">
        <v>580</v>
      </c>
      <c r="I1493" s="48" t="s">
        <v>19</v>
      </c>
      <c r="J1493" s="49">
        <v>5747101.0</v>
      </c>
    </row>
    <row r="1494">
      <c r="A1494" s="45" t="s">
        <v>74</v>
      </c>
      <c r="B1494" s="16" t="s">
        <v>148</v>
      </c>
      <c r="C1494" s="17" t="s">
        <v>149</v>
      </c>
      <c r="D1494" s="15">
        <v>3.0</v>
      </c>
      <c r="E1494" s="17" t="s">
        <v>441</v>
      </c>
      <c r="F1494" s="15" t="s">
        <v>442</v>
      </c>
      <c r="G1494" s="46" t="s">
        <v>446</v>
      </c>
      <c r="H1494" s="47" t="s">
        <v>447</v>
      </c>
      <c r="I1494" s="48" t="s">
        <v>19</v>
      </c>
      <c r="J1494" s="49">
        <v>538513.0</v>
      </c>
    </row>
    <row r="1495">
      <c r="A1495" s="45" t="s">
        <v>74</v>
      </c>
      <c r="B1495" s="16" t="s">
        <v>148</v>
      </c>
      <c r="C1495" s="17" t="s">
        <v>149</v>
      </c>
      <c r="D1495" s="15">
        <v>3.0</v>
      </c>
      <c r="E1495" s="17" t="s">
        <v>441</v>
      </c>
      <c r="F1495" s="15" t="s">
        <v>442</v>
      </c>
      <c r="G1495" s="46" t="s">
        <v>448</v>
      </c>
      <c r="H1495" s="47" t="s">
        <v>449</v>
      </c>
      <c r="I1495" s="48" t="s">
        <v>19</v>
      </c>
      <c r="J1495" s="49">
        <v>1643686.0</v>
      </c>
    </row>
    <row r="1496">
      <c r="A1496" s="45" t="s">
        <v>74</v>
      </c>
      <c r="B1496" s="16" t="s">
        <v>148</v>
      </c>
      <c r="C1496" s="17" t="s">
        <v>149</v>
      </c>
      <c r="D1496" s="15">
        <v>3.0</v>
      </c>
      <c r="E1496" s="17" t="s">
        <v>441</v>
      </c>
      <c r="F1496" s="15" t="s">
        <v>442</v>
      </c>
      <c r="G1496" s="46" t="s">
        <v>450</v>
      </c>
      <c r="H1496" s="47" t="s">
        <v>451</v>
      </c>
      <c r="I1496" s="48" t="s">
        <v>19</v>
      </c>
      <c r="J1496" s="49">
        <v>0.0</v>
      </c>
    </row>
    <row r="1497">
      <c r="A1497" s="45" t="s">
        <v>74</v>
      </c>
      <c r="B1497" s="16" t="s">
        <v>148</v>
      </c>
      <c r="C1497" s="17" t="s">
        <v>149</v>
      </c>
      <c r="D1497" s="15">
        <v>3.0</v>
      </c>
      <c r="E1497" s="17" t="s">
        <v>441</v>
      </c>
      <c r="F1497" s="15" t="s">
        <v>442</v>
      </c>
      <c r="G1497" s="46" t="s">
        <v>452</v>
      </c>
      <c r="H1497" s="47" t="s">
        <v>453</v>
      </c>
      <c r="I1497" s="48" t="s">
        <v>19</v>
      </c>
      <c r="J1497" s="49">
        <v>1123939.0</v>
      </c>
    </row>
    <row r="1498">
      <c r="A1498" s="45" t="s">
        <v>74</v>
      </c>
      <c r="B1498" s="16" t="s">
        <v>148</v>
      </c>
      <c r="C1498" s="17" t="s">
        <v>149</v>
      </c>
      <c r="D1498" s="15">
        <v>3.0</v>
      </c>
      <c r="E1498" s="17" t="s">
        <v>441</v>
      </c>
      <c r="F1498" s="15" t="s">
        <v>442</v>
      </c>
      <c r="G1498" s="46" t="s">
        <v>454</v>
      </c>
      <c r="H1498" s="47" t="s">
        <v>415</v>
      </c>
      <c r="I1498" s="48" t="s">
        <v>19</v>
      </c>
      <c r="J1498" s="49">
        <v>164034.0</v>
      </c>
    </row>
    <row r="1499">
      <c r="A1499" s="45" t="s">
        <v>74</v>
      </c>
      <c r="B1499" s="16" t="s">
        <v>148</v>
      </c>
      <c r="C1499" s="17" t="s">
        <v>149</v>
      </c>
      <c r="D1499" s="15">
        <v>3.0</v>
      </c>
      <c r="E1499" s="17" t="s">
        <v>441</v>
      </c>
      <c r="F1499" s="15" t="s">
        <v>442</v>
      </c>
      <c r="G1499" s="46" t="s">
        <v>455</v>
      </c>
      <c r="H1499" s="47" t="s">
        <v>415</v>
      </c>
      <c r="I1499" s="48" t="s">
        <v>19</v>
      </c>
      <c r="J1499" s="49">
        <v>91130.0</v>
      </c>
    </row>
    <row r="1500">
      <c r="A1500" s="45" t="s">
        <v>74</v>
      </c>
      <c r="B1500" s="16" t="s">
        <v>148</v>
      </c>
      <c r="C1500" s="17" t="s">
        <v>149</v>
      </c>
      <c r="D1500" s="15">
        <v>3.0</v>
      </c>
      <c r="E1500" s="17" t="s">
        <v>456</v>
      </c>
      <c r="F1500" s="15" t="s">
        <v>457</v>
      </c>
      <c r="G1500" s="46" t="s">
        <v>443</v>
      </c>
      <c r="H1500" s="47" t="s">
        <v>420</v>
      </c>
      <c r="I1500" s="48" t="s">
        <v>19</v>
      </c>
      <c r="J1500" s="49">
        <v>-2.4449868E7</v>
      </c>
    </row>
    <row r="1501">
      <c r="A1501" s="45" t="s">
        <v>74</v>
      </c>
      <c r="B1501" s="16" t="s">
        <v>148</v>
      </c>
      <c r="C1501" s="17" t="s">
        <v>149</v>
      </c>
      <c r="D1501" s="15">
        <v>3.0</v>
      </c>
      <c r="E1501" s="17" t="s">
        <v>456</v>
      </c>
      <c r="F1501" s="15" t="s">
        <v>457</v>
      </c>
      <c r="G1501" s="46" t="s">
        <v>515</v>
      </c>
      <c r="H1501" s="47" t="s">
        <v>413</v>
      </c>
      <c r="I1501" s="48" t="s">
        <v>19</v>
      </c>
      <c r="J1501" s="49">
        <v>3000000.0</v>
      </c>
    </row>
    <row r="1502">
      <c r="A1502" s="45" t="s">
        <v>74</v>
      </c>
      <c r="B1502" s="16" t="s">
        <v>148</v>
      </c>
      <c r="C1502" s="17" t="s">
        <v>149</v>
      </c>
      <c r="D1502" s="15">
        <v>3.0</v>
      </c>
      <c r="E1502" s="17" t="s">
        <v>456</v>
      </c>
      <c r="F1502" s="15" t="s">
        <v>457</v>
      </c>
      <c r="G1502" s="46" t="s">
        <v>579</v>
      </c>
      <c r="H1502" s="47" t="s">
        <v>580</v>
      </c>
      <c r="I1502" s="48" t="s">
        <v>19</v>
      </c>
      <c r="J1502" s="49">
        <v>300000.0</v>
      </c>
    </row>
    <row r="1503">
      <c r="A1503" s="45" t="s">
        <v>74</v>
      </c>
      <c r="B1503" s="16" t="s">
        <v>148</v>
      </c>
      <c r="C1503" s="17" t="s">
        <v>149</v>
      </c>
      <c r="D1503" s="15">
        <v>3.0</v>
      </c>
      <c r="E1503" s="17" t="s">
        <v>456</v>
      </c>
      <c r="F1503" s="15" t="s">
        <v>457</v>
      </c>
      <c r="G1503" s="46" t="s">
        <v>458</v>
      </c>
      <c r="H1503" s="47" t="s">
        <v>411</v>
      </c>
      <c r="I1503" s="48" t="s">
        <v>19</v>
      </c>
      <c r="J1503" s="49">
        <v>1.6814409E8</v>
      </c>
    </row>
    <row r="1504">
      <c r="A1504" s="45" t="s">
        <v>74</v>
      </c>
      <c r="B1504" s="16" t="s">
        <v>148</v>
      </c>
      <c r="C1504" s="17" t="s">
        <v>149</v>
      </c>
      <c r="D1504" s="15">
        <v>3.0</v>
      </c>
      <c r="E1504" s="17" t="s">
        <v>459</v>
      </c>
      <c r="F1504" s="15" t="s">
        <v>460</v>
      </c>
      <c r="G1504" s="46" t="s">
        <v>520</v>
      </c>
      <c r="H1504" s="47" t="s">
        <v>435</v>
      </c>
      <c r="I1504" s="48" t="s">
        <v>37</v>
      </c>
      <c r="J1504" s="49">
        <v>268000.0</v>
      </c>
    </row>
    <row r="1505">
      <c r="A1505" s="45" t="s">
        <v>74</v>
      </c>
      <c r="B1505" s="16" t="s">
        <v>148</v>
      </c>
      <c r="C1505" s="17" t="s">
        <v>149</v>
      </c>
      <c r="D1505" s="15">
        <v>3.0</v>
      </c>
      <c r="E1505" s="17" t="s">
        <v>459</v>
      </c>
      <c r="F1505" s="15" t="s">
        <v>460</v>
      </c>
      <c r="G1505" s="46" t="s">
        <v>458</v>
      </c>
      <c r="H1505" s="47" t="s">
        <v>411</v>
      </c>
      <c r="I1505" s="48" t="s">
        <v>19</v>
      </c>
      <c r="J1505" s="49">
        <v>2.4003254E7</v>
      </c>
    </row>
    <row r="1506">
      <c r="A1506" s="45" t="s">
        <v>74</v>
      </c>
      <c r="B1506" s="16" t="s">
        <v>148</v>
      </c>
      <c r="C1506" s="17" t="s">
        <v>149</v>
      </c>
      <c r="D1506" s="15">
        <v>3.0</v>
      </c>
      <c r="E1506" s="17" t="s">
        <v>463</v>
      </c>
      <c r="F1506" s="15" t="s">
        <v>464</v>
      </c>
      <c r="G1506" s="46" t="s">
        <v>520</v>
      </c>
      <c r="H1506" s="47" t="s">
        <v>435</v>
      </c>
      <c r="I1506" s="48" t="s">
        <v>37</v>
      </c>
      <c r="J1506" s="49">
        <v>0.0</v>
      </c>
    </row>
    <row r="1507">
      <c r="A1507" s="45" t="s">
        <v>74</v>
      </c>
      <c r="B1507" s="16" t="s">
        <v>148</v>
      </c>
      <c r="C1507" s="17" t="s">
        <v>149</v>
      </c>
      <c r="D1507" s="15">
        <v>3.0</v>
      </c>
      <c r="E1507" s="17" t="s">
        <v>463</v>
      </c>
      <c r="F1507" s="15" t="s">
        <v>464</v>
      </c>
      <c r="G1507" s="46" t="s">
        <v>458</v>
      </c>
      <c r="H1507" s="47" t="s">
        <v>411</v>
      </c>
      <c r="I1507" s="48" t="s">
        <v>19</v>
      </c>
      <c r="J1507" s="49">
        <v>2.5684996E7</v>
      </c>
    </row>
    <row r="1508">
      <c r="A1508" s="45" t="s">
        <v>74</v>
      </c>
      <c r="B1508" s="16" t="s">
        <v>148</v>
      </c>
      <c r="C1508" s="17" t="s">
        <v>149</v>
      </c>
      <c r="D1508" s="15">
        <v>3.0</v>
      </c>
      <c r="E1508" s="17" t="s">
        <v>487</v>
      </c>
      <c r="F1508" s="15" t="s">
        <v>488</v>
      </c>
      <c r="G1508" s="46" t="s">
        <v>443</v>
      </c>
      <c r="H1508" s="47" t="s">
        <v>420</v>
      </c>
      <c r="I1508" s="48" t="s">
        <v>19</v>
      </c>
      <c r="J1508" s="49">
        <v>-1.5010362E7</v>
      </c>
    </row>
    <row r="1509">
      <c r="A1509" s="45" t="s">
        <v>74</v>
      </c>
      <c r="B1509" s="16" t="s">
        <v>148</v>
      </c>
      <c r="C1509" s="17" t="s">
        <v>149</v>
      </c>
      <c r="D1509" s="15">
        <v>3.0</v>
      </c>
      <c r="E1509" s="17" t="s">
        <v>487</v>
      </c>
      <c r="F1509" s="15" t="s">
        <v>488</v>
      </c>
      <c r="G1509" s="46" t="s">
        <v>458</v>
      </c>
      <c r="H1509" s="47" t="s">
        <v>411</v>
      </c>
      <c r="I1509" s="48" t="s">
        <v>19</v>
      </c>
      <c r="J1509" s="49">
        <v>1.8050602E7</v>
      </c>
    </row>
    <row r="1510">
      <c r="A1510" s="45" t="s">
        <v>74</v>
      </c>
      <c r="B1510" s="16" t="s">
        <v>148</v>
      </c>
      <c r="C1510" s="17" t="s">
        <v>149</v>
      </c>
      <c r="D1510" s="15">
        <v>3.0</v>
      </c>
      <c r="E1510" s="17" t="s">
        <v>487</v>
      </c>
      <c r="F1510" s="15" t="s">
        <v>488</v>
      </c>
      <c r="G1510" s="46" t="s">
        <v>530</v>
      </c>
      <c r="H1510" s="47" t="s">
        <v>531</v>
      </c>
      <c r="I1510" s="48" t="s">
        <v>50</v>
      </c>
      <c r="J1510" s="49">
        <v>1.6424506E7</v>
      </c>
    </row>
    <row r="1511">
      <c r="A1511" s="45" t="s">
        <v>74</v>
      </c>
      <c r="B1511" s="16" t="s">
        <v>148</v>
      </c>
      <c r="C1511" s="17" t="s">
        <v>149</v>
      </c>
      <c r="D1511" s="15">
        <v>3.0</v>
      </c>
      <c r="E1511" s="17" t="s">
        <v>469</v>
      </c>
      <c r="F1511" s="15" t="s">
        <v>470</v>
      </c>
      <c r="G1511" s="46" t="s">
        <v>517</v>
      </c>
      <c r="H1511" s="47" t="s">
        <v>518</v>
      </c>
      <c r="I1511" s="48" t="s">
        <v>25</v>
      </c>
      <c r="J1511" s="49">
        <v>685000.0</v>
      </c>
    </row>
    <row r="1512">
      <c r="A1512" s="45" t="s">
        <v>74</v>
      </c>
      <c r="B1512" s="16" t="s">
        <v>148</v>
      </c>
      <c r="C1512" s="17" t="s">
        <v>149</v>
      </c>
      <c r="D1512" s="15">
        <v>3.0</v>
      </c>
      <c r="E1512" s="17" t="s">
        <v>473</v>
      </c>
      <c r="F1512" s="15" t="s">
        <v>474</v>
      </c>
      <c r="G1512" s="46" t="s">
        <v>523</v>
      </c>
      <c r="H1512" s="47" t="s">
        <v>431</v>
      </c>
      <c r="I1512" s="48" t="s">
        <v>17</v>
      </c>
      <c r="J1512" s="49">
        <v>3.6085468E7</v>
      </c>
    </row>
    <row r="1513">
      <c r="A1513" s="45" t="s">
        <v>74</v>
      </c>
      <c r="B1513" s="16" t="s">
        <v>148</v>
      </c>
      <c r="C1513" s="17" t="s">
        <v>149</v>
      </c>
      <c r="D1513" s="15">
        <v>3.0</v>
      </c>
      <c r="E1513" s="17" t="s">
        <v>473</v>
      </c>
      <c r="F1513" s="15" t="s">
        <v>474</v>
      </c>
      <c r="G1513" s="46" t="s">
        <v>523</v>
      </c>
      <c r="H1513" s="47" t="s">
        <v>431</v>
      </c>
      <c r="I1513" s="48" t="s">
        <v>25</v>
      </c>
      <c r="J1513" s="49">
        <v>1.24E7</v>
      </c>
    </row>
    <row r="1514">
      <c r="A1514" s="45" t="s">
        <v>74</v>
      </c>
      <c r="B1514" s="16" t="s">
        <v>148</v>
      </c>
      <c r="C1514" s="17" t="s">
        <v>149</v>
      </c>
      <c r="D1514" s="15">
        <v>3.0</v>
      </c>
      <c r="E1514" s="17" t="s">
        <v>473</v>
      </c>
      <c r="F1514" s="15" t="s">
        <v>474</v>
      </c>
      <c r="G1514" s="46" t="s">
        <v>458</v>
      </c>
      <c r="H1514" s="47" t="s">
        <v>411</v>
      </c>
      <c r="I1514" s="48" t="s">
        <v>19</v>
      </c>
      <c r="J1514" s="49">
        <v>3.8859492E7</v>
      </c>
    </row>
    <row r="1515">
      <c r="A1515" s="45" t="s">
        <v>74</v>
      </c>
      <c r="B1515" s="16" t="s">
        <v>148</v>
      </c>
      <c r="C1515" s="17" t="s">
        <v>149</v>
      </c>
      <c r="D1515" s="15">
        <v>3.0</v>
      </c>
      <c r="E1515" s="17" t="s">
        <v>491</v>
      </c>
      <c r="F1515" s="15" t="s">
        <v>492</v>
      </c>
      <c r="G1515" s="46" t="s">
        <v>493</v>
      </c>
      <c r="H1515" s="47" t="s">
        <v>437</v>
      </c>
      <c r="I1515" s="48" t="s">
        <v>25</v>
      </c>
      <c r="J1515" s="49">
        <v>2963602.0</v>
      </c>
    </row>
    <row r="1516">
      <c r="A1516" s="45" t="s">
        <v>74</v>
      </c>
      <c r="B1516" s="16" t="s">
        <v>148</v>
      </c>
      <c r="C1516" s="17" t="s">
        <v>149</v>
      </c>
      <c r="D1516" s="15">
        <v>3.0</v>
      </c>
      <c r="E1516" s="17" t="s">
        <v>475</v>
      </c>
      <c r="F1516" s="15" t="s">
        <v>476</v>
      </c>
      <c r="G1516" s="46" t="s">
        <v>498</v>
      </c>
      <c r="H1516" s="47" t="s">
        <v>434</v>
      </c>
      <c r="I1516" s="48" t="s">
        <v>25</v>
      </c>
      <c r="J1516" s="49">
        <v>0.0</v>
      </c>
    </row>
    <row r="1517">
      <c r="A1517" s="45" t="s">
        <v>74</v>
      </c>
      <c r="B1517" s="16" t="s">
        <v>148</v>
      </c>
      <c r="C1517" s="17" t="s">
        <v>149</v>
      </c>
      <c r="D1517" s="15">
        <v>3.0</v>
      </c>
      <c r="E1517" s="17" t="s">
        <v>475</v>
      </c>
      <c r="F1517" s="15" t="s">
        <v>476</v>
      </c>
      <c r="G1517" s="46" t="s">
        <v>477</v>
      </c>
      <c r="H1517" s="47" t="s">
        <v>429</v>
      </c>
      <c r="I1517" s="48" t="s">
        <v>50</v>
      </c>
      <c r="J1517" s="49">
        <v>3.8350668E7</v>
      </c>
    </row>
    <row r="1518">
      <c r="A1518" s="45" t="s">
        <v>74</v>
      </c>
      <c r="B1518" s="16" t="s">
        <v>148</v>
      </c>
      <c r="C1518" s="17" t="s">
        <v>149</v>
      </c>
      <c r="D1518" s="15">
        <v>3.0</v>
      </c>
      <c r="E1518" s="17" t="s">
        <v>524</v>
      </c>
      <c r="F1518" s="15" t="s">
        <v>479</v>
      </c>
      <c r="G1518" s="46" t="s">
        <v>443</v>
      </c>
      <c r="H1518" s="47" t="s">
        <v>420</v>
      </c>
      <c r="I1518" s="48" t="s">
        <v>19</v>
      </c>
      <c r="J1518" s="49">
        <v>1.02868639E8</v>
      </c>
    </row>
    <row r="1519">
      <c r="A1519" s="45" t="s">
        <v>74</v>
      </c>
      <c r="B1519" s="16" t="s">
        <v>148</v>
      </c>
      <c r="C1519" s="17" t="s">
        <v>149</v>
      </c>
      <c r="D1519" s="15">
        <v>3.0</v>
      </c>
      <c r="E1519" s="17" t="s">
        <v>524</v>
      </c>
      <c r="F1519" s="15" t="s">
        <v>479</v>
      </c>
      <c r="G1519" s="46" t="s">
        <v>444</v>
      </c>
      <c r="H1519" s="47" t="s">
        <v>445</v>
      </c>
      <c r="I1519" s="48" t="s">
        <v>19</v>
      </c>
      <c r="J1519" s="49">
        <v>2.7049122E7</v>
      </c>
    </row>
    <row r="1520">
      <c r="A1520" s="45" t="s">
        <v>74</v>
      </c>
      <c r="B1520" s="16" t="s">
        <v>148</v>
      </c>
      <c r="C1520" s="17" t="s">
        <v>149</v>
      </c>
      <c r="D1520" s="15">
        <v>3.0</v>
      </c>
      <c r="E1520" s="17" t="s">
        <v>524</v>
      </c>
      <c r="F1520" s="15" t="s">
        <v>479</v>
      </c>
      <c r="G1520" s="46" t="s">
        <v>579</v>
      </c>
      <c r="H1520" s="47" t="s">
        <v>580</v>
      </c>
      <c r="I1520" s="48" t="s">
        <v>19</v>
      </c>
      <c r="J1520" s="49">
        <v>1.0383401E7</v>
      </c>
    </row>
    <row r="1521">
      <c r="A1521" s="45" t="s">
        <v>74</v>
      </c>
      <c r="B1521" s="16" t="s">
        <v>148</v>
      </c>
      <c r="C1521" s="17" t="s">
        <v>149</v>
      </c>
      <c r="D1521" s="15">
        <v>3.0</v>
      </c>
      <c r="E1521" s="17" t="s">
        <v>524</v>
      </c>
      <c r="F1521" s="15" t="s">
        <v>479</v>
      </c>
      <c r="G1521" s="46" t="s">
        <v>446</v>
      </c>
      <c r="H1521" s="47" t="s">
        <v>447</v>
      </c>
      <c r="I1521" s="48" t="s">
        <v>19</v>
      </c>
      <c r="J1521" s="49">
        <v>1196067.0</v>
      </c>
    </row>
    <row r="1522">
      <c r="A1522" s="45" t="s">
        <v>74</v>
      </c>
      <c r="B1522" s="16" t="s">
        <v>148</v>
      </c>
      <c r="C1522" s="17" t="s">
        <v>149</v>
      </c>
      <c r="D1522" s="15">
        <v>3.0</v>
      </c>
      <c r="E1522" s="17" t="s">
        <v>524</v>
      </c>
      <c r="F1522" s="15" t="s">
        <v>479</v>
      </c>
      <c r="G1522" s="46" t="s">
        <v>448</v>
      </c>
      <c r="H1522" s="47" t="s">
        <v>449</v>
      </c>
      <c r="I1522" s="48" t="s">
        <v>19</v>
      </c>
      <c r="J1522" s="49">
        <v>3530900.0</v>
      </c>
    </row>
    <row r="1523">
      <c r="A1523" s="45" t="s">
        <v>74</v>
      </c>
      <c r="B1523" s="16" t="s">
        <v>148</v>
      </c>
      <c r="C1523" s="17" t="s">
        <v>149</v>
      </c>
      <c r="D1523" s="15">
        <v>3.0</v>
      </c>
      <c r="E1523" s="17" t="s">
        <v>524</v>
      </c>
      <c r="F1523" s="15" t="s">
        <v>479</v>
      </c>
      <c r="G1523" s="46" t="s">
        <v>450</v>
      </c>
      <c r="H1523" s="47" t="s">
        <v>451</v>
      </c>
      <c r="I1523" s="48" t="s">
        <v>19</v>
      </c>
      <c r="J1523" s="49">
        <v>0.0</v>
      </c>
    </row>
    <row r="1524">
      <c r="A1524" s="45" t="s">
        <v>74</v>
      </c>
      <c r="B1524" s="16" t="s">
        <v>148</v>
      </c>
      <c r="C1524" s="17" t="s">
        <v>149</v>
      </c>
      <c r="D1524" s="15">
        <v>3.0</v>
      </c>
      <c r="E1524" s="17" t="s">
        <v>524</v>
      </c>
      <c r="F1524" s="15" t="s">
        <v>479</v>
      </c>
      <c r="G1524" s="46" t="s">
        <v>452</v>
      </c>
      <c r="H1524" s="47" t="s">
        <v>453</v>
      </c>
      <c r="I1524" s="48" t="s">
        <v>19</v>
      </c>
      <c r="J1524" s="49">
        <v>2212722.0</v>
      </c>
    </row>
    <row r="1525">
      <c r="A1525" s="45" t="s">
        <v>74</v>
      </c>
      <c r="B1525" s="16" t="s">
        <v>148</v>
      </c>
      <c r="C1525" s="17" t="s">
        <v>149</v>
      </c>
      <c r="D1525" s="15">
        <v>3.0</v>
      </c>
      <c r="E1525" s="17" t="s">
        <v>524</v>
      </c>
      <c r="F1525" s="15" t="s">
        <v>479</v>
      </c>
      <c r="G1525" s="46" t="s">
        <v>454</v>
      </c>
      <c r="H1525" s="47" t="s">
        <v>415</v>
      </c>
      <c r="I1525" s="48" t="s">
        <v>19</v>
      </c>
      <c r="J1525" s="49">
        <v>322940.0</v>
      </c>
    </row>
    <row r="1526">
      <c r="A1526" s="45" t="s">
        <v>74</v>
      </c>
      <c r="B1526" s="16" t="s">
        <v>148</v>
      </c>
      <c r="C1526" s="17" t="s">
        <v>149</v>
      </c>
      <c r="D1526" s="15">
        <v>3.0</v>
      </c>
      <c r="E1526" s="17" t="s">
        <v>524</v>
      </c>
      <c r="F1526" s="15" t="s">
        <v>479</v>
      </c>
      <c r="G1526" s="46" t="s">
        <v>455</v>
      </c>
      <c r="H1526" s="47" t="s">
        <v>415</v>
      </c>
      <c r="I1526" s="48" t="s">
        <v>19</v>
      </c>
      <c r="J1526" s="49">
        <v>179409.0</v>
      </c>
    </row>
    <row r="1527">
      <c r="A1527" s="45" t="s">
        <v>74</v>
      </c>
      <c r="B1527" s="16" t="s">
        <v>148</v>
      </c>
      <c r="C1527" s="17" t="s">
        <v>149</v>
      </c>
      <c r="D1527" s="15">
        <v>3.0</v>
      </c>
      <c r="E1527" s="17" t="s">
        <v>525</v>
      </c>
      <c r="F1527" s="15" t="s">
        <v>502</v>
      </c>
      <c r="G1527" s="46" t="s">
        <v>526</v>
      </c>
      <c r="H1527" s="47" t="s">
        <v>527</v>
      </c>
      <c r="I1527" s="48" t="s">
        <v>60</v>
      </c>
      <c r="J1527" s="49">
        <v>2.01681431E8</v>
      </c>
    </row>
    <row r="1528">
      <c r="A1528" s="45" t="s">
        <v>74</v>
      </c>
      <c r="B1528" s="16" t="s">
        <v>148</v>
      </c>
      <c r="C1528" s="17" t="s">
        <v>149</v>
      </c>
      <c r="D1528" s="15">
        <v>3.0</v>
      </c>
      <c r="E1528" s="17" t="s">
        <v>525</v>
      </c>
      <c r="F1528" s="15" t="s">
        <v>502</v>
      </c>
      <c r="G1528" s="46" t="s">
        <v>505</v>
      </c>
      <c r="H1528" s="47" t="s">
        <v>506</v>
      </c>
      <c r="I1528" s="48" t="s">
        <v>60</v>
      </c>
      <c r="J1528" s="49">
        <v>7723529.0</v>
      </c>
    </row>
    <row r="1529">
      <c r="A1529" s="45" t="s">
        <v>74</v>
      </c>
      <c r="B1529" s="16" t="s">
        <v>148</v>
      </c>
      <c r="C1529" s="17" t="s">
        <v>149</v>
      </c>
      <c r="D1529" s="15">
        <v>3.0</v>
      </c>
      <c r="E1529" s="17" t="s">
        <v>525</v>
      </c>
      <c r="F1529" s="15" t="s">
        <v>502</v>
      </c>
      <c r="G1529" s="46" t="s">
        <v>507</v>
      </c>
      <c r="H1529" s="47" t="s">
        <v>508</v>
      </c>
      <c r="I1529" s="48" t="s">
        <v>60</v>
      </c>
      <c r="J1529" s="49">
        <v>1349182.0</v>
      </c>
    </row>
    <row r="1530">
      <c r="A1530" s="45" t="s">
        <v>74</v>
      </c>
      <c r="B1530" s="16" t="s">
        <v>148</v>
      </c>
      <c r="C1530" s="17" t="s">
        <v>149</v>
      </c>
      <c r="D1530" s="15">
        <v>3.0</v>
      </c>
      <c r="E1530" s="17" t="s">
        <v>525</v>
      </c>
      <c r="F1530" s="15" t="s">
        <v>502</v>
      </c>
      <c r="G1530" s="46" t="s">
        <v>509</v>
      </c>
      <c r="H1530" s="47" t="s">
        <v>510</v>
      </c>
      <c r="I1530" s="48" t="s">
        <v>60</v>
      </c>
      <c r="J1530" s="49">
        <v>660416.0</v>
      </c>
    </row>
    <row r="1531">
      <c r="A1531" s="45" t="s">
        <v>74</v>
      </c>
      <c r="B1531" s="16" t="s">
        <v>148</v>
      </c>
      <c r="C1531" s="17" t="s">
        <v>149</v>
      </c>
      <c r="D1531" s="15">
        <v>3.0</v>
      </c>
      <c r="E1531" s="17" t="s">
        <v>525</v>
      </c>
      <c r="F1531" s="15" t="s">
        <v>502</v>
      </c>
      <c r="G1531" s="46" t="s">
        <v>511</v>
      </c>
      <c r="H1531" s="47" t="s">
        <v>512</v>
      </c>
      <c r="I1531" s="48" t="s">
        <v>60</v>
      </c>
      <c r="J1531" s="49">
        <v>5.2437836E7</v>
      </c>
    </row>
    <row r="1532">
      <c r="A1532" s="45" t="s">
        <v>74</v>
      </c>
      <c r="B1532" s="16" t="s">
        <v>148</v>
      </c>
      <c r="C1532" s="17" t="s">
        <v>149</v>
      </c>
      <c r="D1532" s="15">
        <v>3.0</v>
      </c>
      <c r="E1532" s="17" t="s">
        <v>525</v>
      </c>
      <c r="F1532" s="15" t="s">
        <v>502</v>
      </c>
      <c r="G1532" s="46" t="s">
        <v>513</v>
      </c>
      <c r="H1532" s="47" t="s">
        <v>514</v>
      </c>
      <c r="I1532" s="48" t="s">
        <v>60</v>
      </c>
      <c r="J1532" s="49">
        <v>5418390.0</v>
      </c>
    </row>
    <row r="1533">
      <c r="A1533" s="45" t="s">
        <v>74</v>
      </c>
      <c r="B1533" s="16" t="s">
        <v>148</v>
      </c>
      <c r="C1533" s="17" t="s">
        <v>149</v>
      </c>
      <c r="D1533" s="15">
        <v>3.0</v>
      </c>
      <c r="E1533" s="17" t="s">
        <v>548</v>
      </c>
      <c r="F1533" s="15" t="s">
        <v>549</v>
      </c>
      <c r="G1533" s="46" t="s">
        <v>550</v>
      </c>
      <c r="H1533" s="47" t="s">
        <v>551</v>
      </c>
      <c r="I1533" s="48" t="s">
        <v>25</v>
      </c>
      <c r="J1533" s="49">
        <v>5.9461E7</v>
      </c>
    </row>
    <row r="1534">
      <c r="A1534" s="45" t="s">
        <v>74</v>
      </c>
      <c r="B1534" s="16" t="s">
        <v>148</v>
      </c>
      <c r="C1534" s="17" t="s">
        <v>149</v>
      </c>
      <c r="D1534" s="15">
        <v>3.0</v>
      </c>
      <c r="E1534" s="17" t="s">
        <v>571</v>
      </c>
      <c r="F1534" s="15" t="s">
        <v>572</v>
      </c>
      <c r="G1534" s="46" t="s">
        <v>573</v>
      </c>
      <c r="H1534" s="47" t="s">
        <v>574</v>
      </c>
      <c r="I1534" s="48" t="s">
        <v>25</v>
      </c>
      <c r="J1534" s="49">
        <v>267000.0</v>
      </c>
    </row>
    <row r="1535">
      <c r="A1535" s="45" t="s">
        <v>74</v>
      </c>
      <c r="B1535" s="16" t="s">
        <v>167</v>
      </c>
      <c r="C1535" s="17" t="s">
        <v>168</v>
      </c>
      <c r="D1535" s="15">
        <v>3.0</v>
      </c>
      <c r="E1535" s="17" t="s">
        <v>441</v>
      </c>
      <c r="F1535" s="15" t="s">
        <v>442</v>
      </c>
      <c r="G1535" s="46" t="s">
        <v>443</v>
      </c>
      <c r="H1535" s="47" t="s">
        <v>420</v>
      </c>
      <c r="I1535" s="48" t="s">
        <v>19</v>
      </c>
      <c r="J1535" s="49">
        <v>4.7567663E7</v>
      </c>
    </row>
    <row r="1536">
      <c r="A1536" s="45" t="s">
        <v>74</v>
      </c>
      <c r="B1536" s="16" t="s">
        <v>167</v>
      </c>
      <c r="C1536" s="17" t="s">
        <v>168</v>
      </c>
      <c r="D1536" s="15">
        <v>3.0</v>
      </c>
      <c r="E1536" s="17" t="s">
        <v>441</v>
      </c>
      <c r="F1536" s="15" t="s">
        <v>442</v>
      </c>
      <c r="G1536" s="46" t="s">
        <v>444</v>
      </c>
      <c r="H1536" s="47" t="s">
        <v>445</v>
      </c>
      <c r="I1536" s="48" t="s">
        <v>19</v>
      </c>
      <c r="J1536" s="49">
        <v>2.013251E7</v>
      </c>
    </row>
    <row r="1537">
      <c r="A1537" s="45" t="s">
        <v>74</v>
      </c>
      <c r="B1537" s="16" t="s">
        <v>167</v>
      </c>
      <c r="C1537" s="17" t="s">
        <v>168</v>
      </c>
      <c r="D1537" s="15">
        <v>3.0</v>
      </c>
      <c r="E1537" s="17" t="s">
        <v>441</v>
      </c>
      <c r="F1537" s="15" t="s">
        <v>442</v>
      </c>
      <c r="G1537" s="46" t="s">
        <v>579</v>
      </c>
      <c r="H1537" s="47" t="s">
        <v>580</v>
      </c>
      <c r="I1537" s="48" t="s">
        <v>19</v>
      </c>
      <c r="J1537" s="49">
        <v>5062335.0</v>
      </c>
    </row>
    <row r="1538">
      <c r="A1538" s="45" t="s">
        <v>74</v>
      </c>
      <c r="B1538" s="16" t="s">
        <v>167</v>
      </c>
      <c r="C1538" s="17" t="s">
        <v>168</v>
      </c>
      <c r="D1538" s="15">
        <v>3.0</v>
      </c>
      <c r="E1538" s="17" t="s">
        <v>441</v>
      </c>
      <c r="F1538" s="15" t="s">
        <v>442</v>
      </c>
      <c r="G1538" s="46" t="s">
        <v>446</v>
      </c>
      <c r="H1538" s="47" t="s">
        <v>447</v>
      </c>
      <c r="I1538" s="48" t="s">
        <v>19</v>
      </c>
      <c r="J1538" s="49">
        <v>471027.0</v>
      </c>
    </row>
    <row r="1539">
      <c r="A1539" s="45" t="s">
        <v>74</v>
      </c>
      <c r="B1539" s="16" t="s">
        <v>167</v>
      </c>
      <c r="C1539" s="17" t="s">
        <v>168</v>
      </c>
      <c r="D1539" s="15">
        <v>3.0</v>
      </c>
      <c r="E1539" s="17" t="s">
        <v>441</v>
      </c>
      <c r="F1539" s="15" t="s">
        <v>442</v>
      </c>
      <c r="G1539" s="46" t="s">
        <v>448</v>
      </c>
      <c r="H1539" s="47" t="s">
        <v>449</v>
      </c>
      <c r="I1539" s="48" t="s">
        <v>19</v>
      </c>
      <c r="J1539" s="49">
        <v>1177569.0</v>
      </c>
    </row>
    <row r="1540">
      <c r="A1540" s="45" t="s">
        <v>74</v>
      </c>
      <c r="B1540" s="16" t="s">
        <v>167</v>
      </c>
      <c r="C1540" s="17" t="s">
        <v>168</v>
      </c>
      <c r="D1540" s="15">
        <v>3.0</v>
      </c>
      <c r="E1540" s="17" t="s">
        <v>441</v>
      </c>
      <c r="F1540" s="15" t="s">
        <v>442</v>
      </c>
      <c r="G1540" s="46" t="s">
        <v>450</v>
      </c>
      <c r="H1540" s="47" t="s">
        <v>451</v>
      </c>
      <c r="I1540" s="48" t="s">
        <v>19</v>
      </c>
      <c r="J1540" s="49">
        <v>0.0</v>
      </c>
    </row>
    <row r="1541">
      <c r="A1541" s="45" t="s">
        <v>74</v>
      </c>
      <c r="B1541" s="16" t="s">
        <v>167</v>
      </c>
      <c r="C1541" s="17" t="s">
        <v>168</v>
      </c>
      <c r="D1541" s="15">
        <v>3.0</v>
      </c>
      <c r="E1541" s="17" t="s">
        <v>441</v>
      </c>
      <c r="F1541" s="15" t="s">
        <v>442</v>
      </c>
      <c r="G1541" s="46" t="s">
        <v>452</v>
      </c>
      <c r="H1541" s="47" t="s">
        <v>453</v>
      </c>
      <c r="I1541" s="48" t="s">
        <v>19</v>
      </c>
      <c r="J1541" s="49">
        <v>871401.0</v>
      </c>
    </row>
    <row r="1542">
      <c r="A1542" s="45" t="s">
        <v>74</v>
      </c>
      <c r="B1542" s="16" t="s">
        <v>167</v>
      </c>
      <c r="C1542" s="17" t="s">
        <v>168</v>
      </c>
      <c r="D1542" s="15">
        <v>3.0</v>
      </c>
      <c r="E1542" s="17" t="s">
        <v>441</v>
      </c>
      <c r="F1542" s="15" t="s">
        <v>442</v>
      </c>
      <c r="G1542" s="46" t="s">
        <v>454</v>
      </c>
      <c r="H1542" s="47" t="s">
        <v>415</v>
      </c>
      <c r="I1542" s="48" t="s">
        <v>19</v>
      </c>
      <c r="J1542" s="49">
        <v>127177.0</v>
      </c>
    </row>
    <row r="1543">
      <c r="A1543" s="45" t="s">
        <v>74</v>
      </c>
      <c r="B1543" s="16" t="s">
        <v>167</v>
      </c>
      <c r="C1543" s="17" t="s">
        <v>168</v>
      </c>
      <c r="D1543" s="15">
        <v>3.0</v>
      </c>
      <c r="E1543" s="17" t="s">
        <v>441</v>
      </c>
      <c r="F1543" s="15" t="s">
        <v>442</v>
      </c>
      <c r="G1543" s="46" t="s">
        <v>455</v>
      </c>
      <c r="H1543" s="47" t="s">
        <v>415</v>
      </c>
      <c r="I1543" s="48" t="s">
        <v>19</v>
      </c>
      <c r="J1543" s="49">
        <v>70653.0</v>
      </c>
    </row>
    <row r="1544">
      <c r="A1544" s="45" t="s">
        <v>74</v>
      </c>
      <c r="B1544" s="16" t="s">
        <v>167</v>
      </c>
      <c r="C1544" s="17" t="s">
        <v>168</v>
      </c>
      <c r="D1544" s="15">
        <v>3.0</v>
      </c>
      <c r="E1544" s="17" t="s">
        <v>456</v>
      </c>
      <c r="F1544" s="15" t="s">
        <v>457</v>
      </c>
      <c r="G1544" s="46" t="s">
        <v>515</v>
      </c>
      <c r="H1544" s="47" t="s">
        <v>413</v>
      </c>
      <c r="I1544" s="48" t="s">
        <v>19</v>
      </c>
      <c r="J1544" s="49">
        <v>1.8329436E7</v>
      </c>
    </row>
    <row r="1545">
      <c r="A1545" s="45" t="s">
        <v>74</v>
      </c>
      <c r="B1545" s="16" t="s">
        <v>167</v>
      </c>
      <c r="C1545" s="17" t="s">
        <v>168</v>
      </c>
      <c r="D1545" s="15">
        <v>3.0</v>
      </c>
      <c r="E1545" s="17" t="s">
        <v>456</v>
      </c>
      <c r="F1545" s="15" t="s">
        <v>457</v>
      </c>
      <c r="G1545" s="46" t="s">
        <v>579</v>
      </c>
      <c r="H1545" s="47" t="s">
        <v>580</v>
      </c>
      <c r="I1545" s="48" t="s">
        <v>19</v>
      </c>
      <c r="J1545" s="49">
        <v>1832940.0</v>
      </c>
    </row>
    <row r="1546">
      <c r="A1546" s="45" t="s">
        <v>74</v>
      </c>
      <c r="B1546" s="16" t="s">
        <v>167</v>
      </c>
      <c r="C1546" s="17" t="s">
        <v>168</v>
      </c>
      <c r="D1546" s="15">
        <v>3.0</v>
      </c>
      <c r="E1546" s="17" t="s">
        <v>456</v>
      </c>
      <c r="F1546" s="15" t="s">
        <v>457</v>
      </c>
      <c r="G1546" s="46" t="s">
        <v>458</v>
      </c>
      <c r="H1546" s="47" t="s">
        <v>411</v>
      </c>
      <c r="I1546" s="48" t="s">
        <v>19</v>
      </c>
      <c r="J1546" s="49">
        <v>1.8865703E8</v>
      </c>
    </row>
    <row r="1547">
      <c r="A1547" s="45" t="s">
        <v>74</v>
      </c>
      <c r="B1547" s="16" t="s">
        <v>167</v>
      </c>
      <c r="C1547" s="17" t="s">
        <v>168</v>
      </c>
      <c r="D1547" s="15">
        <v>3.0</v>
      </c>
      <c r="E1547" s="17" t="s">
        <v>456</v>
      </c>
      <c r="F1547" s="15" t="s">
        <v>457</v>
      </c>
      <c r="G1547" s="46" t="s">
        <v>532</v>
      </c>
      <c r="H1547" s="47" t="s">
        <v>412</v>
      </c>
      <c r="I1547" s="48" t="s">
        <v>19</v>
      </c>
      <c r="J1547" s="49">
        <v>1.4325596E7</v>
      </c>
    </row>
    <row r="1548">
      <c r="A1548" s="45" t="s">
        <v>74</v>
      </c>
      <c r="B1548" s="16" t="s">
        <v>167</v>
      </c>
      <c r="C1548" s="17" t="s">
        <v>168</v>
      </c>
      <c r="D1548" s="15">
        <v>3.0</v>
      </c>
      <c r="E1548" s="17" t="s">
        <v>459</v>
      </c>
      <c r="F1548" s="15" t="s">
        <v>460</v>
      </c>
      <c r="G1548" s="46" t="s">
        <v>519</v>
      </c>
      <c r="H1548" s="47" t="s">
        <v>414</v>
      </c>
      <c r="I1548" s="48" t="s">
        <v>37</v>
      </c>
      <c r="J1548" s="49">
        <v>2.0763E7</v>
      </c>
    </row>
    <row r="1549">
      <c r="A1549" s="45" t="s">
        <v>74</v>
      </c>
      <c r="B1549" s="16" t="s">
        <v>167</v>
      </c>
      <c r="C1549" s="17" t="s">
        <v>168</v>
      </c>
      <c r="D1549" s="15">
        <v>3.0</v>
      </c>
      <c r="E1549" s="17" t="s">
        <v>459</v>
      </c>
      <c r="F1549" s="15" t="s">
        <v>460</v>
      </c>
      <c r="G1549" s="46" t="s">
        <v>458</v>
      </c>
      <c r="H1549" s="47" t="s">
        <v>411</v>
      </c>
      <c r="I1549" s="48" t="s">
        <v>19</v>
      </c>
      <c r="J1549" s="49">
        <v>7674516.0</v>
      </c>
    </row>
    <row r="1550">
      <c r="A1550" s="45" t="s">
        <v>74</v>
      </c>
      <c r="B1550" s="16" t="s">
        <v>167</v>
      </c>
      <c r="C1550" s="17" t="s">
        <v>168</v>
      </c>
      <c r="D1550" s="15">
        <v>3.0</v>
      </c>
      <c r="E1550" s="17" t="s">
        <v>459</v>
      </c>
      <c r="F1550" s="15" t="s">
        <v>460</v>
      </c>
      <c r="G1550" s="46" t="s">
        <v>486</v>
      </c>
      <c r="H1550" s="47" t="s">
        <v>432</v>
      </c>
      <c r="I1550" s="48" t="s">
        <v>37</v>
      </c>
      <c r="J1550" s="49">
        <v>5615500.0</v>
      </c>
    </row>
    <row r="1551">
      <c r="A1551" s="45" t="s">
        <v>74</v>
      </c>
      <c r="B1551" s="16" t="s">
        <v>167</v>
      </c>
      <c r="C1551" s="17" t="s">
        <v>168</v>
      </c>
      <c r="D1551" s="15">
        <v>3.0</v>
      </c>
      <c r="E1551" s="17" t="s">
        <v>463</v>
      </c>
      <c r="F1551" s="15" t="s">
        <v>464</v>
      </c>
      <c r="G1551" s="46" t="s">
        <v>519</v>
      </c>
      <c r="H1551" s="47" t="s">
        <v>414</v>
      </c>
      <c r="I1551" s="48" t="s">
        <v>37</v>
      </c>
      <c r="J1551" s="49">
        <v>1.1384244E7</v>
      </c>
    </row>
    <row r="1552">
      <c r="A1552" s="45" t="s">
        <v>74</v>
      </c>
      <c r="B1552" s="16" t="s">
        <v>167</v>
      </c>
      <c r="C1552" s="17" t="s">
        <v>168</v>
      </c>
      <c r="D1552" s="15">
        <v>3.0</v>
      </c>
      <c r="E1552" s="17" t="s">
        <v>463</v>
      </c>
      <c r="F1552" s="15" t="s">
        <v>464</v>
      </c>
      <c r="G1552" s="46" t="s">
        <v>458</v>
      </c>
      <c r="H1552" s="47" t="s">
        <v>411</v>
      </c>
      <c r="I1552" s="48" t="s">
        <v>19</v>
      </c>
      <c r="J1552" s="49">
        <v>4903163.0</v>
      </c>
    </row>
    <row r="1553">
      <c r="A1553" s="45" t="s">
        <v>74</v>
      </c>
      <c r="B1553" s="16" t="s">
        <v>167</v>
      </c>
      <c r="C1553" s="17" t="s">
        <v>168</v>
      </c>
      <c r="D1553" s="15">
        <v>3.0</v>
      </c>
      <c r="E1553" s="17" t="s">
        <v>487</v>
      </c>
      <c r="F1553" s="15" t="s">
        <v>488</v>
      </c>
      <c r="G1553" s="46" t="s">
        <v>519</v>
      </c>
      <c r="H1553" s="47" t="s">
        <v>414</v>
      </c>
      <c r="I1553" s="48" t="s">
        <v>37</v>
      </c>
      <c r="J1553" s="49">
        <v>0.0</v>
      </c>
    </row>
    <row r="1554">
      <c r="A1554" s="45" t="s">
        <v>74</v>
      </c>
      <c r="B1554" s="16" t="s">
        <v>167</v>
      </c>
      <c r="C1554" s="17" t="s">
        <v>168</v>
      </c>
      <c r="D1554" s="15">
        <v>3.0</v>
      </c>
      <c r="E1554" s="17" t="s">
        <v>487</v>
      </c>
      <c r="F1554" s="15" t="s">
        <v>488</v>
      </c>
      <c r="G1554" s="46" t="s">
        <v>458</v>
      </c>
      <c r="H1554" s="47" t="s">
        <v>411</v>
      </c>
      <c r="I1554" s="48" t="s">
        <v>19</v>
      </c>
      <c r="J1554" s="49">
        <v>5542706.0</v>
      </c>
    </row>
    <row r="1555">
      <c r="A1555" s="45" t="s">
        <v>74</v>
      </c>
      <c r="B1555" s="16" t="s">
        <v>167</v>
      </c>
      <c r="C1555" s="17" t="s">
        <v>168</v>
      </c>
      <c r="D1555" s="15">
        <v>3.0</v>
      </c>
      <c r="E1555" s="17" t="s">
        <v>487</v>
      </c>
      <c r="F1555" s="15" t="s">
        <v>488</v>
      </c>
      <c r="G1555" s="46" t="s">
        <v>477</v>
      </c>
      <c r="H1555" s="47" t="s">
        <v>429</v>
      </c>
      <c r="I1555" s="48" t="s">
        <v>50</v>
      </c>
      <c r="J1555" s="49">
        <v>2.4164326E7</v>
      </c>
    </row>
    <row r="1556">
      <c r="A1556" s="45" t="s">
        <v>74</v>
      </c>
      <c r="B1556" s="16" t="s">
        <v>167</v>
      </c>
      <c r="C1556" s="17" t="s">
        <v>168</v>
      </c>
      <c r="D1556" s="15">
        <v>3.0</v>
      </c>
      <c r="E1556" s="17" t="s">
        <v>473</v>
      </c>
      <c r="F1556" s="15" t="s">
        <v>474</v>
      </c>
      <c r="G1556" s="46" t="s">
        <v>523</v>
      </c>
      <c r="H1556" s="47" t="s">
        <v>431</v>
      </c>
      <c r="I1556" s="48" t="s">
        <v>17</v>
      </c>
      <c r="J1556" s="49">
        <v>5.7292947E7</v>
      </c>
    </row>
    <row r="1557">
      <c r="A1557" s="45" t="s">
        <v>74</v>
      </c>
      <c r="B1557" s="16" t="s">
        <v>167</v>
      </c>
      <c r="C1557" s="17" t="s">
        <v>168</v>
      </c>
      <c r="D1557" s="15">
        <v>3.0</v>
      </c>
      <c r="E1557" s="17" t="s">
        <v>473</v>
      </c>
      <c r="F1557" s="15" t="s">
        <v>474</v>
      </c>
      <c r="G1557" s="46" t="s">
        <v>523</v>
      </c>
      <c r="H1557" s="47" t="s">
        <v>431</v>
      </c>
      <c r="I1557" s="48" t="s">
        <v>25</v>
      </c>
      <c r="J1557" s="49">
        <v>1.29935E7</v>
      </c>
    </row>
    <row r="1558">
      <c r="A1558" s="45" t="s">
        <v>74</v>
      </c>
      <c r="B1558" s="16" t="s">
        <v>167</v>
      </c>
      <c r="C1558" s="17" t="s">
        <v>168</v>
      </c>
      <c r="D1558" s="15">
        <v>3.0</v>
      </c>
      <c r="E1558" s="17" t="s">
        <v>473</v>
      </c>
      <c r="F1558" s="15" t="s">
        <v>474</v>
      </c>
      <c r="G1558" s="46" t="s">
        <v>458</v>
      </c>
      <c r="H1558" s="47" t="s">
        <v>411</v>
      </c>
      <c r="I1558" s="48" t="s">
        <v>19</v>
      </c>
      <c r="J1558" s="49">
        <v>7.1076552E7</v>
      </c>
    </row>
    <row r="1559">
      <c r="A1559" s="45" t="s">
        <v>74</v>
      </c>
      <c r="B1559" s="16" t="s">
        <v>167</v>
      </c>
      <c r="C1559" s="17" t="s">
        <v>168</v>
      </c>
      <c r="D1559" s="15">
        <v>3.0</v>
      </c>
      <c r="E1559" s="17" t="s">
        <v>491</v>
      </c>
      <c r="F1559" s="15" t="s">
        <v>492</v>
      </c>
      <c r="G1559" s="46" t="s">
        <v>493</v>
      </c>
      <c r="H1559" s="47" t="s">
        <v>437</v>
      </c>
      <c r="I1559" s="48" t="s">
        <v>25</v>
      </c>
      <c r="J1559" s="49">
        <v>7259161.0</v>
      </c>
    </row>
    <row r="1560">
      <c r="A1560" s="45" t="s">
        <v>74</v>
      </c>
      <c r="B1560" s="16" t="s">
        <v>167</v>
      </c>
      <c r="C1560" s="17" t="s">
        <v>168</v>
      </c>
      <c r="D1560" s="15">
        <v>3.0</v>
      </c>
      <c r="E1560" s="17" t="s">
        <v>494</v>
      </c>
      <c r="F1560" s="15" t="s">
        <v>495</v>
      </c>
      <c r="G1560" s="46" t="s">
        <v>458</v>
      </c>
      <c r="H1560" s="47" t="s">
        <v>411</v>
      </c>
      <c r="I1560" s="48" t="s">
        <v>19</v>
      </c>
      <c r="J1560" s="49">
        <v>9806326.0</v>
      </c>
    </row>
    <row r="1561">
      <c r="A1561" s="45" t="s">
        <v>74</v>
      </c>
      <c r="B1561" s="16" t="s">
        <v>167</v>
      </c>
      <c r="C1561" s="17" t="s">
        <v>168</v>
      </c>
      <c r="D1561" s="15">
        <v>3.0</v>
      </c>
      <c r="E1561" s="17" t="s">
        <v>475</v>
      </c>
      <c r="F1561" s="15" t="s">
        <v>476</v>
      </c>
      <c r="G1561" s="46" t="s">
        <v>477</v>
      </c>
      <c r="H1561" s="47" t="s">
        <v>429</v>
      </c>
      <c r="I1561" s="48" t="s">
        <v>50</v>
      </c>
      <c r="J1561" s="49">
        <v>6.9984235E7</v>
      </c>
    </row>
    <row r="1562">
      <c r="A1562" s="45" t="s">
        <v>74</v>
      </c>
      <c r="B1562" s="16" t="s">
        <v>167</v>
      </c>
      <c r="C1562" s="17" t="s">
        <v>168</v>
      </c>
      <c r="D1562" s="15">
        <v>3.0</v>
      </c>
      <c r="E1562" s="17" t="s">
        <v>524</v>
      </c>
      <c r="F1562" s="15" t="s">
        <v>479</v>
      </c>
      <c r="G1562" s="46" t="s">
        <v>443</v>
      </c>
      <c r="H1562" s="47" t="s">
        <v>420</v>
      </c>
      <c r="I1562" s="48" t="s">
        <v>19</v>
      </c>
      <c r="J1562" s="49">
        <v>1.12583564E8</v>
      </c>
    </row>
    <row r="1563">
      <c r="A1563" s="45" t="s">
        <v>74</v>
      </c>
      <c r="B1563" s="16" t="s">
        <v>167</v>
      </c>
      <c r="C1563" s="17" t="s">
        <v>168</v>
      </c>
      <c r="D1563" s="15">
        <v>3.0</v>
      </c>
      <c r="E1563" s="17" t="s">
        <v>524</v>
      </c>
      <c r="F1563" s="15" t="s">
        <v>479</v>
      </c>
      <c r="G1563" s="46" t="s">
        <v>444</v>
      </c>
      <c r="H1563" s="47" t="s">
        <v>445</v>
      </c>
      <c r="I1563" s="48" t="s">
        <v>19</v>
      </c>
      <c r="J1563" s="49">
        <v>2.8365093E7</v>
      </c>
    </row>
    <row r="1564">
      <c r="A1564" s="45" t="s">
        <v>74</v>
      </c>
      <c r="B1564" s="16" t="s">
        <v>167</v>
      </c>
      <c r="C1564" s="17" t="s">
        <v>168</v>
      </c>
      <c r="D1564" s="15">
        <v>3.0</v>
      </c>
      <c r="E1564" s="17" t="s">
        <v>524</v>
      </c>
      <c r="F1564" s="15" t="s">
        <v>479</v>
      </c>
      <c r="G1564" s="46" t="s">
        <v>579</v>
      </c>
      <c r="H1564" s="47" t="s">
        <v>580</v>
      </c>
      <c r="I1564" s="48" t="s">
        <v>19</v>
      </c>
      <c r="J1564" s="49">
        <v>1.1204292E7</v>
      </c>
    </row>
    <row r="1565">
      <c r="A1565" s="45" t="s">
        <v>74</v>
      </c>
      <c r="B1565" s="16" t="s">
        <v>167</v>
      </c>
      <c r="C1565" s="17" t="s">
        <v>168</v>
      </c>
      <c r="D1565" s="15">
        <v>3.0</v>
      </c>
      <c r="E1565" s="17" t="s">
        <v>524</v>
      </c>
      <c r="F1565" s="15" t="s">
        <v>479</v>
      </c>
      <c r="G1565" s="46" t="s">
        <v>446</v>
      </c>
      <c r="H1565" s="47" t="s">
        <v>447</v>
      </c>
      <c r="I1565" s="48" t="s">
        <v>19</v>
      </c>
      <c r="J1565" s="49">
        <v>1241069.0</v>
      </c>
    </row>
    <row r="1566">
      <c r="A1566" s="45" t="s">
        <v>74</v>
      </c>
      <c r="B1566" s="16" t="s">
        <v>167</v>
      </c>
      <c r="C1566" s="17" t="s">
        <v>168</v>
      </c>
      <c r="D1566" s="15">
        <v>3.0</v>
      </c>
      <c r="E1566" s="17" t="s">
        <v>524</v>
      </c>
      <c r="F1566" s="15" t="s">
        <v>479</v>
      </c>
      <c r="G1566" s="46" t="s">
        <v>448</v>
      </c>
      <c r="H1566" s="47" t="s">
        <v>449</v>
      </c>
      <c r="I1566" s="48" t="s">
        <v>19</v>
      </c>
      <c r="J1566" s="49">
        <v>3102666.0</v>
      </c>
    </row>
    <row r="1567">
      <c r="A1567" s="45" t="s">
        <v>74</v>
      </c>
      <c r="B1567" s="16" t="s">
        <v>167</v>
      </c>
      <c r="C1567" s="17" t="s">
        <v>168</v>
      </c>
      <c r="D1567" s="15">
        <v>3.0</v>
      </c>
      <c r="E1567" s="17" t="s">
        <v>524</v>
      </c>
      <c r="F1567" s="15" t="s">
        <v>479</v>
      </c>
      <c r="G1567" s="46" t="s">
        <v>450</v>
      </c>
      <c r="H1567" s="47" t="s">
        <v>451</v>
      </c>
      <c r="I1567" s="48" t="s">
        <v>19</v>
      </c>
      <c r="J1567" s="49">
        <v>0.0</v>
      </c>
    </row>
    <row r="1568">
      <c r="A1568" s="45" t="s">
        <v>74</v>
      </c>
      <c r="B1568" s="16" t="s">
        <v>167</v>
      </c>
      <c r="C1568" s="17" t="s">
        <v>168</v>
      </c>
      <c r="D1568" s="15">
        <v>3.0</v>
      </c>
      <c r="E1568" s="17" t="s">
        <v>524</v>
      </c>
      <c r="F1568" s="15" t="s">
        <v>479</v>
      </c>
      <c r="G1568" s="46" t="s">
        <v>452</v>
      </c>
      <c r="H1568" s="47" t="s">
        <v>453</v>
      </c>
      <c r="I1568" s="48" t="s">
        <v>19</v>
      </c>
      <c r="J1568" s="49">
        <v>2295973.0</v>
      </c>
    </row>
    <row r="1569">
      <c r="A1569" s="45" t="s">
        <v>74</v>
      </c>
      <c r="B1569" s="16" t="s">
        <v>167</v>
      </c>
      <c r="C1569" s="17" t="s">
        <v>168</v>
      </c>
      <c r="D1569" s="15">
        <v>3.0</v>
      </c>
      <c r="E1569" s="17" t="s">
        <v>524</v>
      </c>
      <c r="F1569" s="15" t="s">
        <v>479</v>
      </c>
      <c r="G1569" s="46" t="s">
        <v>454</v>
      </c>
      <c r="H1569" s="47" t="s">
        <v>415</v>
      </c>
      <c r="I1569" s="48" t="s">
        <v>19</v>
      </c>
      <c r="J1569" s="49">
        <v>335087.0</v>
      </c>
    </row>
    <row r="1570">
      <c r="A1570" s="45" t="s">
        <v>74</v>
      </c>
      <c r="B1570" s="16" t="s">
        <v>167</v>
      </c>
      <c r="C1570" s="17" t="s">
        <v>168</v>
      </c>
      <c r="D1570" s="15">
        <v>3.0</v>
      </c>
      <c r="E1570" s="17" t="s">
        <v>524</v>
      </c>
      <c r="F1570" s="15" t="s">
        <v>479</v>
      </c>
      <c r="G1570" s="46" t="s">
        <v>455</v>
      </c>
      <c r="H1570" s="47" t="s">
        <v>415</v>
      </c>
      <c r="I1570" s="48" t="s">
        <v>19</v>
      </c>
      <c r="J1570" s="49">
        <v>186158.0</v>
      </c>
    </row>
    <row r="1571">
      <c r="A1571" s="45" t="s">
        <v>74</v>
      </c>
      <c r="B1571" s="16" t="s">
        <v>167</v>
      </c>
      <c r="C1571" s="17" t="s">
        <v>168</v>
      </c>
      <c r="D1571" s="15">
        <v>3.0</v>
      </c>
      <c r="E1571" s="17" t="s">
        <v>524</v>
      </c>
      <c r="F1571" s="15" t="s">
        <v>479</v>
      </c>
      <c r="G1571" s="46" t="s">
        <v>499</v>
      </c>
      <c r="H1571" s="47" t="s">
        <v>500</v>
      </c>
      <c r="I1571" s="48" t="s">
        <v>19</v>
      </c>
      <c r="J1571" s="49">
        <v>1.616346E7</v>
      </c>
    </row>
    <row r="1572">
      <c r="A1572" s="45" t="s">
        <v>74</v>
      </c>
      <c r="B1572" s="16" t="s">
        <v>167</v>
      </c>
      <c r="C1572" s="17" t="s">
        <v>168</v>
      </c>
      <c r="D1572" s="15">
        <v>3.0</v>
      </c>
      <c r="E1572" s="17" t="s">
        <v>525</v>
      </c>
      <c r="F1572" s="15" t="s">
        <v>502</v>
      </c>
      <c r="G1572" s="46" t="s">
        <v>526</v>
      </c>
      <c r="H1572" s="47" t="s">
        <v>527</v>
      </c>
      <c r="I1572" s="48" t="s">
        <v>60</v>
      </c>
      <c r="J1572" s="49">
        <v>1.048353768E9</v>
      </c>
    </row>
    <row r="1573">
      <c r="A1573" s="45" t="s">
        <v>74</v>
      </c>
      <c r="B1573" s="16" t="s">
        <v>167</v>
      </c>
      <c r="C1573" s="17" t="s">
        <v>168</v>
      </c>
      <c r="D1573" s="15">
        <v>3.0</v>
      </c>
      <c r="E1573" s="17" t="s">
        <v>525</v>
      </c>
      <c r="F1573" s="15" t="s">
        <v>502</v>
      </c>
      <c r="G1573" s="46" t="s">
        <v>539</v>
      </c>
      <c r="H1573" s="47" t="s">
        <v>540</v>
      </c>
      <c r="I1573" s="48" t="s">
        <v>60</v>
      </c>
      <c r="J1573" s="49">
        <v>2754157.0</v>
      </c>
    </row>
    <row r="1574">
      <c r="A1574" s="45" t="s">
        <v>74</v>
      </c>
      <c r="B1574" s="16" t="s">
        <v>167</v>
      </c>
      <c r="C1574" s="17" t="s">
        <v>168</v>
      </c>
      <c r="D1574" s="15">
        <v>3.0</v>
      </c>
      <c r="E1574" s="17" t="s">
        <v>525</v>
      </c>
      <c r="F1574" s="15" t="s">
        <v>502</v>
      </c>
      <c r="G1574" s="46" t="s">
        <v>505</v>
      </c>
      <c r="H1574" s="47" t="s">
        <v>506</v>
      </c>
      <c r="I1574" s="48" t="s">
        <v>60</v>
      </c>
      <c r="J1574" s="49">
        <v>7852260.0</v>
      </c>
    </row>
    <row r="1575">
      <c r="A1575" s="45" t="s">
        <v>74</v>
      </c>
      <c r="B1575" s="16" t="s">
        <v>167</v>
      </c>
      <c r="C1575" s="17" t="s">
        <v>168</v>
      </c>
      <c r="D1575" s="15">
        <v>3.0</v>
      </c>
      <c r="E1575" s="17" t="s">
        <v>525</v>
      </c>
      <c r="F1575" s="15" t="s">
        <v>502</v>
      </c>
      <c r="G1575" s="46" t="s">
        <v>507</v>
      </c>
      <c r="H1575" s="47" t="s">
        <v>508</v>
      </c>
      <c r="I1575" s="48" t="s">
        <v>60</v>
      </c>
      <c r="J1575" s="49">
        <v>4757271.0</v>
      </c>
    </row>
    <row r="1576">
      <c r="A1576" s="45" t="s">
        <v>74</v>
      </c>
      <c r="B1576" s="16" t="s">
        <v>167</v>
      </c>
      <c r="C1576" s="17" t="s">
        <v>168</v>
      </c>
      <c r="D1576" s="15">
        <v>3.0</v>
      </c>
      <c r="E1576" s="17" t="s">
        <v>525</v>
      </c>
      <c r="F1576" s="15" t="s">
        <v>502</v>
      </c>
      <c r="G1576" s="46" t="s">
        <v>509</v>
      </c>
      <c r="H1576" s="47" t="s">
        <v>510</v>
      </c>
      <c r="I1576" s="48" t="s">
        <v>60</v>
      </c>
      <c r="J1576" s="49">
        <v>220000.0</v>
      </c>
    </row>
    <row r="1577">
      <c r="A1577" s="45" t="s">
        <v>74</v>
      </c>
      <c r="B1577" s="16" t="s">
        <v>167</v>
      </c>
      <c r="C1577" s="17" t="s">
        <v>168</v>
      </c>
      <c r="D1577" s="15">
        <v>3.0</v>
      </c>
      <c r="E1577" s="17" t="s">
        <v>525</v>
      </c>
      <c r="F1577" s="15" t="s">
        <v>502</v>
      </c>
      <c r="G1577" s="46" t="s">
        <v>511</v>
      </c>
      <c r="H1577" s="47" t="s">
        <v>512</v>
      </c>
      <c r="I1577" s="48" t="s">
        <v>60</v>
      </c>
      <c r="J1577" s="49">
        <v>1.10789911E8</v>
      </c>
    </row>
    <row r="1578">
      <c r="A1578" s="45" t="s">
        <v>74</v>
      </c>
      <c r="B1578" s="16" t="s">
        <v>167</v>
      </c>
      <c r="C1578" s="17" t="s">
        <v>168</v>
      </c>
      <c r="D1578" s="15">
        <v>3.0</v>
      </c>
      <c r="E1578" s="17" t="s">
        <v>525</v>
      </c>
      <c r="F1578" s="15" t="s">
        <v>502</v>
      </c>
      <c r="G1578" s="46" t="s">
        <v>513</v>
      </c>
      <c r="H1578" s="47" t="s">
        <v>514</v>
      </c>
      <c r="I1578" s="48" t="s">
        <v>60</v>
      </c>
      <c r="J1578" s="49">
        <v>5737472.0</v>
      </c>
    </row>
    <row r="1579">
      <c r="A1579" s="45" t="s">
        <v>74</v>
      </c>
      <c r="B1579" s="16" t="s">
        <v>167</v>
      </c>
      <c r="C1579" s="17" t="s">
        <v>168</v>
      </c>
      <c r="D1579" s="15">
        <v>3.0</v>
      </c>
      <c r="E1579" s="17" t="s">
        <v>525</v>
      </c>
      <c r="F1579" s="15" t="s">
        <v>502</v>
      </c>
      <c r="G1579" s="46" t="s">
        <v>528</v>
      </c>
      <c r="H1579" s="47" t="s">
        <v>529</v>
      </c>
      <c r="I1579" s="48" t="s">
        <v>60</v>
      </c>
      <c r="J1579" s="49">
        <v>6123493.0</v>
      </c>
    </row>
    <row r="1580">
      <c r="A1580" s="45" t="s">
        <v>74</v>
      </c>
      <c r="B1580" s="16" t="s">
        <v>170</v>
      </c>
      <c r="C1580" s="17" t="s">
        <v>171</v>
      </c>
      <c r="D1580" s="15">
        <v>3.0</v>
      </c>
      <c r="E1580" s="17" t="s">
        <v>441</v>
      </c>
      <c r="F1580" s="15" t="s">
        <v>442</v>
      </c>
      <c r="G1580" s="46" t="s">
        <v>443</v>
      </c>
      <c r="H1580" s="47" t="s">
        <v>420</v>
      </c>
      <c r="I1580" s="48" t="s">
        <v>19</v>
      </c>
      <c r="J1580" s="49">
        <v>4.8446547E7</v>
      </c>
    </row>
    <row r="1581">
      <c r="A1581" s="45" t="s">
        <v>74</v>
      </c>
      <c r="B1581" s="16" t="s">
        <v>170</v>
      </c>
      <c r="C1581" s="17" t="s">
        <v>171</v>
      </c>
      <c r="D1581" s="15">
        <v>3.0</v>
      </c>
      <c r="E1581" s="17" t="s">
        <v>441</v>
      </c>
      <c r="F1581" s="15" t="s">
        <v>442</v>
      </c>
      <c r="G1581" s="46" t="s">
        <v>444</v>
      </c>
      <c r="H1581" s="47" t="s">
        <v>445</v>
      </c>
      <c r="I1581" s="48" t="s">
        <v>19</v>
      </c>
      <c r="J1581" s="49">
        <v>1.8805515E7</v>
      </c>
    </row>
    <row r="1582">
      <c r="A1582" s="45" t="s">
        <v>74</v>
      </c>
      <c r="B1582" s="16" t="s">
        <v>170</v>
      </c>
      <c r="C1582" s="17" t="s">
        <v>171</v>
      </c>
      <c r="D1582" s="15">
        <v>3.0</v>
      </c>
      <c r="E1582" s="17" t="s">
        <v>441</v>
      </c>
      <c r="F1582" s="15" t="s">
        <v>442</v>
      </c>
      <c r="G1582" s="46" t="s">
        <v>579</v>
      </c>
      <c r="H1582" s="47" t="s">
        <v>580</v>
      </c>
      <c r="I1582" s="48" t="s">
        <v>19</v>
      </c>
      <c r="J1582" s="49">
        <v>5143608.0</v>
      </c>
    </row>
    <row r="1583">
      <c r="A1583" s="45" t="s">
        <v>74</v>
      </c>
      <c r="B1583" s="16" t="s">
        <v>170</v>
      </c>
      <c r="C1583" s="17" t="s">
        <v>171</v>
      </c>
      <c r="D1583" s="15">
        <v>3.0</v>
      </c>
      <c r="E1583" s="17" t="s">
        <v>441</v>
      </c>
      <c r="F1583" s="15" t="s">
        <v>442</v>
      </c>
      <c r="G1583" s="46" t="s">
        <v>446</v>
      </c>
      <c r="H1583" s="47" t="s">
        <v>447</v>
      </c>
      <c r="I1583" s="48" t="s">
        <v>19</v>
      </c>
      <c r="J1583" s="49">
        <v>503731.0</v>
      </c>
    </row>
    <row r="1584">
      <c r="A1584" s="45" t="s">
        <v>74</v>
      </c>
      <c r="B1584" s="16" t="s">
        <v>170</v>
      </c>
      <c r="C1584" s="17" t="s">
        <v>171</v>
      </c>
      <c r="D1584" s="15">
        <v>3.0</v>
      </c>
      <c r="E1584" s="17" t="s">
        <v>441</v>
      </c>
      <c r="F1584" s="15" t="s">
        <v>442</v>
      </c>
      <c r="G1584" s="46" t="s">
        <v>448</v>
      </c>
      <c r="H1584" s="47" t="s">
        <v>449</v>
      </c>
      <c r="I1584" s="48" t="s">
        <v>19</v>
      </c>
      <c r="J1584" s="49">
        <v>1459444.0</v>
      </c>
    </row>
    <row r="1585">
      <c r="A1585" s="45" t="s">
        <v>74</v>
      </c>
      <c r="B1585" s="16" t="s">
        <v>170</v>
      </c>
      <c r="C1585" s="17" t="s">
        <v>171</v>
      </c>
      <c r="D1585" s="15">
        <v>3.0</v>
      </c>
      <c r="E1585" s="17" t="s">
        <v>441</v>
      </c>
      <c r="F1585" s="15" t="s">
        <v>442</v>
      </c>
      <c r="G1585" s="46" t="s">
        <v>450</v>
      </c>
      <c r="H1585" s="47" t="s">
        <v>451</v>
      </c>
      <c r="I1585" s="48" t="s">
        <v>19</v>
      </c>
      <c r="J1585" s="49">
        <v>0.0</v>
      </c>
    </row>
    <row r="1586">
      <c r="A1586" s="45" t="s">
        <v>74</v>
      </c>
      <c r="B1586" s="16" t="s">
        <v>170</v>
      </c>
      <c r="C1586" s="17" t="s">
        <v>171</v>
      </c>
      <c r="D1586" s="15">
        <v>3.0</v>
      </c>
      <c r="E1586" s="17" t="s">
        <v>441</v>
      </c>
      <c r="F1586" s="15" t="s">
        <v>442</v>
      </c>
      <c r="G1586" s="46" t="s">
        <v>452</v>
      </c>
      <c r="H1586" s="47" t="s">
        <v>453</v>
      </c>
      <c r="I1586" s="48" t="s">
        <v>19</v>
      </c>
      <c r="J1586" s="49">
        <v>931903.0</v>
      </c>
    </row>
    <row r="1587">
      <c r="A1587" s="45" t="s">
        <v>74</v>
      </c>
      <c r="B1587" s="16" t="s">
        <v>170</v>
      </c>
      <c r="C1587" s="17" t="s">
        <v>171</v>
      </c>
      <c r="D1587" s="15">
        <v>3.0</v>
      </c>
      <c r="E1587" s="17" t="s">
        <v>441</v>
      </c>
      <c r="F1587" s="15" t="s">
        <v>442</v>
      </c>
      <c r="G1587" s="46" t="s">
        <v>454</v>
      </c>
      <c r="H1587" s="47" t="s">
        <v>415</v>
      </c>
      <c r="I1587" s="48" t="s">
        <v>19</v>
      </c>
      <c r="J1587" s="49">
        <v>136007.0</v>
      </c>
    </row>
    <row r="1588">
      <c r="A1588" s="45" t="s">
        <v>74</v>
      </c>
      <c r="B1588" s="16" t="s">
        <v>170</v>
      </c>
      <c r="C1588" s="17" t="s">
        <v>171</v>
      </c>
      <c r="D1588" s="15">
        <v>3.0</v>
      </c>
      <c r="E1588" s="17" t="s">
        <v>441</v>
      </c>
      <c r="F1588" s="15" t="s">
        <v>442</v>
      </c>
      <c r="G1588" s="46" t="s">
        <v>455</v>
      </c>
      <c r="H1588" s="47" t="s">
        <v>415</v>
      </c>
      <c r="I1588" s="48" t="s">
        <v>19</v>
      </c>
      <c r="J1588" s="49">
        <v>75560.0</v>
      </c>
    </row>
    <row r="1589">
      <c r="A1589" s="45" t="s">
        <v>74</v>
      </c>
      <c r="B1589" s="16" t="s">
        <v>170</v>
      </c>
      <c r="C1589" s="17" t="s">
        <v>171</v>
      </c>
      <c r="D1589" s="15">
        <v>3.0</v>
      </c>
      <c r="E1589" s="17" t="s">
        <v>456</v>
      </c>
      <c r="F1589" s="15" t="s">
        <v>457</v>
      </c>
      <c r="G1589" s="46" t="s">
        <v>515</v>
      </c>
      <c r="H1589" s="47" t="s">
        <v>413</v>
      </c>
      <c r="I1589" s="48" t="s">
        <v>19</v>
      </c>
      <c r="J1589" s="49">
        <v>1.25E7</v>
      </c>
    </row>
    <row r="1590">
      <c r="A1590" s="45" t="s">
        <v>74</v>
      </c>
      <c r="B1590" s="16" t="s">
        <v>170</v>
      </c>
      <c r="C1590" s="17" t="s">
        <v>171</v>
      </c>
      <c r="D1590" s="15">
        <v>3.0</v>
      </c>
      <c r="E1590" s="17" t="s">
        <v>456</v>
      </c>
      <c r="F1590" s="15" t="s">
        <v>457</v>
      </c>
      <c r="G1590" s="46" t="s">
        <v>579</v>
      </c>
      <c r="H1590" s="47" t="s">
        <v>580</v>
      </c>
      <c r="I1590" s="48" t="s">
        <v>19</v>
      </c>
      <c r="J1590" s="49">
        <v>1250000.0</v>
      </c>
    </row>
    <row r="1591">
      <c r="A1591" s="45" t="s">
        <v>74</v>
      </c>
      <c r="B1591" s="16" t="s">
        <v>170</v>
      </c>
      <c r="C1591" s="17" t="s">
        <v>171</v>
      </c>
      <c r="D1591" s="15">
        <v>3.0</v>
      </c>
      <c r="E1591" s="17" t="s">
        <v>456</v>
      </c>
      <c r="F1591" s="15" t="s">
        <v>457</v>
      </c>
      <c r="G1591" s="46" t="s">
        <v>499</v>
      </c>
      <c r="H1591" s="47" t="s">
        <v>500</v>
      </c>
      <c r="I1591" s="48" t="s">
        <v>19</v>
      </c>
      <c r="J1591" s="49">
        <v>250000.0</v>
      </c>
    </row>
    <row r="1592">
      <c r="A1592" s="45" t="s">
        <v>74</v>
      </c>
      <c r="B1592" s="16" t="s">
        <v>170</v>
      </c>
      <c r="C1592" s="17" t="s">
        <v>171</v>
      </c>
      <c r="D1592" s="15">
        <v>3.0</v>
      </c>
      <c r="E1592" s="17" t="s">
        <v>456</v>
      </c>
      <c r="F1592" s="15" t="s">
        <v>457</v>
      </c>
      <c r="G1592" s="46" t="s">
        <v>458</v>
      </c>
      <c r="H1592" s="47" t="s">
        <v>411</v>
      </c>
      <c r="I1592" s="48" t="s">
        <v>19</v>
      </c>
      <c r="J1592" s="49">
        <v>1.50679964E8</v>
      </c>
    </row>
    <row r="1593">
      <c r="A1593" s="45" t="s">
        <v>74</v>
      </c>
      <c r="B1593" s="16" t="s">
        <v>170</v>
      </c>
      <c r="C1593" s="17" t="s">
        <v>171</v>
      </c>
      <c r="D1593" s="15">
        <v>3.0</v>
      </c>
      <c r="E1593" s="17" t="s">
        <v>482</v>
      </c>
      <c r="F1593" s="15" t="s">
        <v>483</v>
      </c>
      <c r="G1593" s="46" t="s">
        <v>519</v>
      </c>
      <c r="H1593" s="47" t="s">
        <v>414</v>
      </c>
      <c r="I1593" s="48" t="s">
        <v>37</v>
      </c>
      <c r="J1593" s="49">
        <v>86640.0</v>
      </c>
    </row>
    <row r="1594">
      <c r="A1594" s="45" t="s">
        <v>74</v>
      </c>
      <c r="B1594" s="16" t="s">
        <v>170</v>
      </c>
      <c r="C1594" s="17" t="s">
        <v>171</v>
      </c>
      <c r="D1594" s="15">
        <v>3.0</v>
      </c>
      <c r="E1594" s="17" t="s">
        <v>482</v>
      </c>
      <c r="F1594" s="15" t="s">
        <v>483</v>
      </c>
      <c r="G1594" s="46" t="s">
        <v>519</v>
      </c>
      <c r="H1594" s="47" t="s">
        <v>414</v>
      </c>
      <c r="I1594" s="48" t="s">
        <v>25</v>
      </c>
      <c r="J1594" s="49">
        <v>-86640.0</v>
      </c>
    </row>
    <row r="1595">
      <c r="A1595" s="45" t="s">
        <v>74</v>
      </c>
      <c r="B1595" s="16" t="s">
        <v>170</v>
      </c>
      <c r="C1595" s="17" t="s">
        <v>171</v>
      </c>
      <c r="D1595" s="15">
        <v>3.0</v>
      </c>
      <c r="E1595" s="17" t="s">
        <v>463</v>
      </c>
      <c r="F1595" s="15" t="s">
        <v>464</v>
      </c>
      <c r="G1595" s="46" t="s">
        <v>519</v>
      </c>
      <c r="H1595" s="47" t="s">
        <v>414</v>
      </c>
      <c r="I1595" s="48" t="s">
        <v>25</v>
      </c>
      <c r="J1595" s="49">
        <v>1755000.0</v>
      </c>
    </row>
    <row r="1596">
      <c r="A1596" s="45" t="s">
        <v>74</v>
      </c>
      <c r="B1596" s="16" t="s">
        <v>170</v>
      </c>
      <c r="C1596" s="17" t="s">
        <v>171</v>
      </c>
      <c r="D1596" s="15">
        <v>3.0</v>
      </c>
      <c r="E1596" s="17" t="s">
        <v>463</v>
      </c>
      <c r="F1596" s="15" t="s">
        <v>464</v>
      </c>
      <c r="G1596" s="46" t="s">
        <v>458</v>
      </c>
      <c r="H1596" s="47" t="s">
        <v>411</v>
      </c>
      <c r="I1596" s="48" t="s">
        <v>19</v>
      </c>
      <c r="J1596" s="49">
        <v>1.1483752E7</v>
      </c>
    </row>
    <row r="1597">
      <c r="A1597" s="45" t="s">
        <v>74</v>
      </c>
      <c r="B1597" s="16" t="s">
        <v>170</v>
      </c>
      <c r="C1597" s="17" t="s">
        <v>171</v>
      </c>
      <c r="D1597" s="15">
        <v>3.0</v>
      </c>
      <c r="E1597" s="17" t="s">
        <v>469</v>
      </c>
      <c r="F1597" s="15" t="s">
        <v>470</v>
      </c>
      <c r="G1597" s="46" t="s">
        <v>544</v>
      </c>
      <c r="H1597" s="47" t="s">
        <v>421</v>
      </c>
      <c r="I1597" s="48" t="s">
        <v>25</v>
      </c>
      <c r="J1597" s="49">
        <v>1850000.0</v>
      </c>
    </row>
    <row r="1598">
      <c r="A1598" s="45" t="s">
        <v>74</v>
      </c>
      <c r="B1598" s="16" t="s">
        <v>170</v>
      </c>
      <c r="C1598" s="17" t="s">
        <v>171</v>
      </c>
      <c r="D1598" s="15">
        <v>3.0</v>
      </c>
      <c r="E1598" s="17" t="s">
        <v>469</v>
      </c>
      <c r="F1598" s="15" t="s">
        <v>470</v>
      </c>
      <c r="G1598" s="46" t="s">
        <v>517</v>
      </c>
      <c r="H1598" s="47" t="s">
        <v>518</v>
      </c>
      <c r="I1598" s="48" t="s">
        <v>25</v>
      </c>
      <c r="J1598" s="49">
        <v>1460000.0</v>
      </c>
    </row>
    <row r="1599">
      <c r="A1599" s="45" t="s">
        <v>74</v>
      </c>
      <c r="B1599" s="16" t="s">
        <v>170</v>
      </c>
      <c r="C1599" s="17" t="s">
        <v>171</v>
      </c>
      <c r="D1599" s="15">
        <v>3.0</v>
      </c>
      <c r="E1599" s="17" t="s">
        <v>469</v>
      </c>
      <c r="F1599" s="15" t="s">
        <v>470</v>
      </c>
      <c r="G1599" s="46" t="s">
        <v>471</v>
      </c>
      <c r="H1599" s="47" t="s">
        <v>472</v>
      </c>
      <c r="I1599" s="48" t="s">
        <v>25</v>
      </c>
      <c r="J1599" s="49">
        <v>470000.0</v>
      </c>
    </row>
    <row r="1600">
      <c r="A1600" s="45" t="s">
        <v>74</v>
      </c>
      <c r="B1600" s="16" t="s">
        <v>170</v>
      </c>
      <c r="C1600" s="17" t="s">
        <v>171</v>
      </c>
      <c r="D1600" s="15">
        <v>3.0</v>
      </c>
      <c r="E1600" s="17" t="s">
        <v>473</v>
      </c>
      <c r="F1600" s="15" t="s">
        <v>474</v>
      </c>
      <c r="G1600" s="46" t="s">
        <v>523</v>
      </c>
      <c r="H1600" s="47" t="s">
        <v>431</v>
      </c>
      <c r="I1600" s="48" t="s">
        <v>17</v>
      </c>
      <c r="J1600" s="49">
        <v>7.4227117E7</v>
      </c>
    </row>
    <row r="1601">
      <c r="A1601" s="45" t="s">
        <v>74</v>
      </c>
      <c r="B1601" s="16" t="s">
        <v>170</v>
      </c>
      <c r="C1601" s="17" t="s">
        <v>171</v>
      </c>
      <c r="D1601" s="15">
        <v>3.0</v>
      </c>
      <c r="E1601" s="17" t="s">
        <v>473</v>
      </c>
      <c r="F1601" s="15" t="s">
        <v>474</v>
      </c>
      <c r="G1601" s="46" t="s">
        <v>523</v>
      </c>
      <c r="H1601" s="47" t="s">
        <v>431</v>
      </c>
      <c r="I1601" s="48" t="s">
        <v>25</v>
      </c>
      <c r="J1601" s="49">
        <v>-2.4650826E7</v>
      </c>
    </row>
    <row r="1602">
      <c r="A1602" s="45" t="s">
        <v>74</v>
      </c>
      <c r="B1602" s="16" t="s">
        <v>170</v>
      </c>
      <c r="C1602" s="17" t="s">
        <v>171</v>
      </c>
      <c r="D1602" s="15">
        <v>3.0</v>
      </c>
      <c r="E1602" s="17" t="s">
        <v>473</v>
      </c>
      <c r="F1602" s="15" t="s">
        <v>474</v>
      </c>
      <c r="G1602" s="46" t="s">
        <v>458</v>
      </c>
      <c r="H1602" s="47" t="s">
        <v>411</v>
      </c>
      <c r="I1602" s="48" t="s">
        <v>19</v>
      </c>
      <c r="J1602" s="49">
        <v>9.9303385E7</v>
      </c>
    </row>
    <row r="1603">
      <c r="A1603" s="45" t="s">
        <v>74</v>
      </c>
      <c r="B1603" s="16" t="s">
        <v>170</v>
      </c>
      <c r="C1603" s="17" t="s">
        <v>171</v>
      </c>
      <c r="D1603" s="15">
        <v>3.0</v>
      </c>
      <c r="E1603" s="17" t="s">
        <v>491</v>
      </c>
      <c r="F1603" s="15" t="s">
        <v>492</v>
      </c>
      <c r="G1603" s="46" t="s">
        <v>493</v>
      </c>
      <c r="H1603" s="47" t="s">
        <v>437</v>
      </c>
      <c r="I1603" s="48" t="s">
        <v>25</v>
      </c>
      <c r="J1603" s="49">
        <v>4418448.0</v>
      </c>
    </row>
    <row r="1604">
      <c r="A1604" s="45" t="s">
        <v>74</v>
      </c>
      <c r="B1604" s="16" t="s">
        <v>170</v>
      </c>
      <c r="C1604" s="17" t="s">
        <v>171</v>
      </c>
      <c r="D1604" s="15">
        <v>3.0</v>
      </c>
      <c r="E1604" s="17" t="s">
        <v>494</v>
      </c>
      <c r="F1604" s="15" t="s">
        <v>495</v>
      </c>
      <c r="G1604" s="46" t="s">
        <v>458</v>
      </c>
      <c r="H1604" s="47" t="s">
        <v>411</v>
      </c>
      <c r="I1604" s="48" t="s">
        <v>19</v>
      </c>
      <c r="J1604" s="49">
        <v>1.8763227E7</v>
      </c>
    </row>
    <row r="1605">
      <c r="A1605" s="45" t="s">
        <v>74</v>
      </c>
      <c r="B1605" s="16" t="s">
        <v>170</v>
      </c>
      <c r="C1605" s="17" t="s">
        <v>171</v>
      </c>
      <c r="D1605" s="15">
        <v>3.0</v>
      </c>
      <c r="E1605" s="17" t="s">
        <v>475</v>
      </c>
      <c r="F1605" s="15" t="s">
        <v>476</v>
      </c>
      <c r="G1605" s="46" t="s">
        <v>477</v>
      </c>
      <c r="H1605" s="47" t="s">
        <v>429</v>
      </c>
      <c r="I1605" s="48" t="s">
        <v>50</v>
      </c>
      <c r="J1605" s="49">
        <v>6.2966474E7</v>
      </c>
    </row>
    <row r="1606">
      <c r="A1606" s="45" t="s">
        <v>74</v>
      </c>
      <c r="B1606" s="16" t="s">
        <v>170</v>
      </c>
      <c r="C1606" s="17" t="s">
        <v>171</v>
      </c>
      <c r="D1606" s="15">
        <v>3.0</v>
      </c>
      <c r="E1606" s="17" t="s">
        <v>524</v>
      </c>
      <c r="F1606" s="15" t="s">
        <v>479</v>
      </c>
      <c r="G1606" s="46" t="s">
        <v>443</v>
      </c>
      <c r="H1606" s="47" t="s">
        <v>420</v>
      </c>
      <c r="I1606" s="48" t="s">
        <v>19</v>
      </c>
      <c r="J1606" s="49">
        <v>9.462588E7</v>
      </c>
    </row>
    <row r="1607">
      <c r="A1607" s="45" t="s">
        <v>74</v>
      </c>
      <c r="B1607" s="16" t="s">
        <v>170</v>
      </c>
      <c r="C1607" s="17" t="s">
        <v>171</v>
      </c>
      <c r="D1607" s="15">
        <v>3.0</v>
      </c>
      <c r="E1607" s="17" t="s">
        <v>524</v>
      </c>
      <c r="F1607" s="15" t="s">
        <v>479</v>
      </c>
      <c r="G1607" s="46" t="s">
        <v>444</v>
      </c>
      <c r="H1607" s="47" t="s">
        <v>445</v>
      </c>
      <c r="I1607" s="48" t="s">
        <v>19</v>
      </c>
      <c r="J1607" s="49">
        <v>2.639428E7</v>
      </c>
    </row>
    <row r="1608">
      <c r="A1608" s="45" t="s">
        <v>74</v>
      </c>
      <c r="B1608" s="16" t="s">
        <v>170</v>
      </c>
      <c r="C1608" s="17" t="s">
        <v>171</v>
      </c>
      <c r="D1608" s="15">
        <v>3.0</v>
      </c>
      <c r="E1608" s="17" t="s">
        <v>524</v>
      </c>
      <c r="F1608" s="15" t="s">
        <v>479</v>
      </c>
      <c r="G1608" s="46" t="s">
        <v>579</v>
      </c>
      <c r="H1608" s="47" t="s">
        <v>580</v>
      </c>
      <c r="I1608" s="48" t="s">
        <v>19</v>
      </c>
      <c r="J1608" s="49">
        <v>1.0638439E7</v>
      </c>
    </row>
    <row r="1609">
      <c r="A1609" s="45" t="s">
        <v>74</v>
      </c>
      <c r="B1609" s="16" t="s">
        <v>170</v>
      </c>
      <c r="C1609" s="17" t="s">
        <v>171</v>
      </c>
      <c r="D1609" s="15">
        <v>3.0</v>
      </c>
      <c r="E1609" s="17" t="s">
        <v>524</v>
      </c>
      <c r="F1609" s="15" t="s">
        <v>479</v>
      </c>
      <c r="G1609" s="46" t="s">
        <v>446</v>
      </c>
      <c r="H1609" s="47" t="s">
        <v>447</v>
      </c>
      <c r="I1609" s="48" t="s">
        <v>19</v>
      </c>
      <c r="J1609" s="49">
        <v>1068375.0</v>
      </c>
    </row>
    <row r="1610">
      <c r="A1610" s="45" t="s">
        <v>74</v>
      </c>
      <c r="B1610" s="16" t="s">
        <v>170</v>
      </c>
      <c r="C1610" s="17" t="s">
        <v>171</v>
      </c>
      <c r="D1610" s="15">
        <v>3.0</v>
      </c>
      <c r="E1610" s="17" t="s">
        <v>524</v>
      </c>
      <c r="F1610" s="15" t="s">
        <v>479</v>
      </c>
      <c r="G1610" s="46" t="s">
        <v>448</v>
      </c>
      <c r="H1610" s="47" t="s">
        <v>449</v>
      </c>
      <c r="I1610" s="48" t="s">
        <v>19</v>
      </c>
      <c r="J1610" s="49">
        <v>3148309.0</v>
      </c>
    </row>
    <row r="1611">
      <c r="A1611" s="45" t="s">
        <v>74</v>
      </c>
      <c r="B1611" s="16" t="s">
        <v>170</v>
      </c>
      <c r="C1611" s="17" t="s">
        <v>171</v>
      </c>
      <c r="D1611" s="15">
        <v>3.0</v>
      </c>
      <c r="E1611" s="17" t="s">
        <v>524</v>
      </c>
      <c r="F1611" s="15" t="s">
        <v>479</v>
      </c>
      <c r="G1611" s="46" t="s">
        <v>450</v>
      </c>
      <c r="H1611" s="47" t="s">
        <v>451</v>
      </c>
      <c r="I1611" s="48" t="s">
        <v>19</v>
      </c>
      <c r="J1611" s="49">
        <v>0.0</v>
      </c>
    </row>
    <row r="1612">
      <c r="A1612" s="45" t="s">
        <v>74</v>
      </c>
      <c r="B1612" s="16" t="s">
        <v>170</v>
      </c>
      <c r="C1612" s="17" t="s">
        <v>171</v>
      </c>
      <c r="D1612" s="15">
        <v>3.0</v>
      </c>
      <c r="E1612" s="17" t="s">
        <v>524</v>
      </c>
      <c r="F1612" s="15" t="s">
        <v>479</v>
      </c>
      <c r="G1612" s="46" t="s">
        <v>452</v>
      </c>
      <c r="H1612" s="47" t="s">
        <v>453</v>
      </c>
      <c r="I1612" s="48" t="s">
        <v>19</v>
      </c>
      <c r="J1612" s="49">
        <v>2014537.0</v>
      </c>
    </row>
    <row r="1613">
      <c r="A1613" s="45" t="s">
        <v>74</v>
      </c>
      <c r="B1613" s="16" t="s">
        <v>170</v>
      </c>
      <c r="C1613" s="17" t="s">
        <v>171</v>
      </c>
      <c r="D1613" s="15">
        <v>3.0</v>
      </c>
      <c r="E1613" s="17" t="s">
        <v>524</v>
      </c>
      <c r="F1613" s="15" t="s">
        <v>479</v>
      </c>
      <c r="G1613" s="46" t="s">
        <v>454</v>
      </c>
      <c r="H1613" s="47" t="s">
        <v>415</v>
      </c>
      <c r="I1613" s="48" t="s">
        <v>19</v>
      </c>
      <c r="J1613" s="49">
        <v>294014.0</v>
      </c>
    </row>
    <row r="1614">
      <c r="A1614" s="45" t="s">
        <v>74</v>
      </c>
      <c r="B1614" s="16" t="s">
        <v>170</v>
      </c>
      <c r="C1614" s="17" t="s">
        <v>171</v>
      </c>
      <c r="D1614" s="15">
        <v>3.0</v>
      </c>
      <c r="E1614" s="17" t="s">
        <v>524</v>
      </c>
      <c r="F1614" s="15" t="s">
        <v>479</v>
      </c>
      <c r="G1614" s="46" t="s">
        <v>455</v>
      </c>
      <c r="H1614" s="47" t="s">
        <v>415</v>
      </c>
      <c r="I1614" s="48" t="s">
        <v>19</v>
      </c>
      <c r="J1614" s="49">
        <v>163339.0</v>
      </c>
    </row>
    <row r="1615">
      <c r="A1615" s="45" t="s">
        <v>74</v>
      </c>
      <c r="B1615" s="16" t="s">
        <v>170</v>
      </c>
      <c r="C1615" s="17" t="s">
        <v>171</v>
      </c>
      <c r="D1615" s="15">
        <v>3.0</v>
      </c>
      <c r="E1615" s="17" t="s">
        <v>525</v>
      </c>
      <c r="F1615" s="15" t="s">
        <v>502</v>
      </c>
      <c r="G1615" s="46" t="s">
        <v>526</v>
      </c>
      <c r="H1615" s="47" t="s">
        <v>527</v>
      </c>
      <c r="I1615" s="48" t="s">
        <v>60</v>
      </c>
      <c r="J1615" s="49">
        <v>1.59424706E8</v>
      </c>
    </row>
    <row r="1616">
      <c r="A1616" s="45" t="s">
        <v>74</v>
      </c>
      <c r="B1616" s="16" t="s">
        <v>170</v>
      </c>
      <c r="C1616" s="17" t="s">
        <v>171</v>
      </c>
      <c r="D1616" s="15">
        <v>3.0</v>
      </c>
      <c r="E1616" s="17" t="s">
        <v>525</v>
      </c>
      <c r="F1616" s="15" t="s">
        <v>502</v>
      </c>
      <c r="G1616" s="46" t="s">
        <v>539</v>
      </c>
      <c r="H1616" s="47" t="s">
        <v>540</v>
      </c>
      <c r="I1616" s="48" t="s">
        <v>60</v>
      </c>
      <c r="J1616" s="49">
        <v>1783056.0</v>
      </c>
    </row>
    <row r="1617">
      <c r="A1617" s="45" t="s">
        <v>74</v>
      </c>
      <c r="B1617" s="16" t="s">
        <v>170</v>
      </c>
      <c r="C1617" s="17" t="s">
        <v>171</v>
      </c>
      <c r="D1617" s="15">
        <v>3.0</v>
      </c>
      <c r="E1617" s="17" t="s">
        <v>525</v>
      </c>
      <c r="F1617" s="15" t="s">
        <v>502</v>
      </c>
      <c r="G1617" s="46" t="s">
        <v>505</v>
      </c>
      <c r="H1617" s="47" t="s">
        <v>506</v>
      </c>
      <c r="I1617" s="48" t="s">
        <v>60</v>
      </c>
      <c r="J1617" s="49">
        <v>9086496.0</v>
      </c>
    </row>
    <row r="1618">
      <c r="A1618" s="45" t="s">
        <v>74</v>
      </c>
      <c r="B1618" s="16" t="s">
        <v>170</v>
      </c>
      <c r="C1618" s="17" t="s">
        <v>171</v>
      </c>
      <c r="D1618" s="15">
        <v>3.0</v>
      </c>
      <c r="E1618" s="17" t="s">
        <v>525</v>
      </c>
      <c r="F1618" s="15" t="s">
        <v>502</v>
      </c>
      <c r="G1618" s="46" t="s">
        <v>507</v>
      </c>
      <c r="H1618" s="47" t="s">
        <v>508</v>
      </c>
      <c r="I1618" s="48" t="s">
        <v>60</v>
      </c>
      <c r="J1618" s="49">
        <v>9548647.0</v>
      </c>
    </row>
    <row r="1619">
      <c r="A1619" s="45" t="s">
        <v>74</v>
      </c>
      <c r="B1619" s="16" t="s">
        <v>170</v>
      </c>
      <c r="C1619" s="17" t="s">
        <v>171</v>
      </c>
      <c r="D1619" s="15">
        <v>3.0</v>
      </c>
      <c r="E1619" s="17" t="s">
        <v>525</v>
      </c>
      <c r="F1619" s="15" t="s">
        <v>502</v>
      </c>
      <c r="G1619" s="46" t="s">
        <v>509</v>
      </c>
      <c r="H1619" s="47" t="s">
        <v>510</v>
      </c>
      <c r="I1619" s="48" t="s">
        <v>60</v>
      </c>
      <c r="J1619" s="49">
        <v>1233333.0</v>
      </c>
    </row>
    <row r="1620">
      <c r="A1620" s="45" t="s">
        <v>74</v>
      </c>
      <c r="B1620" s="16" t="s">
        <v>170</v>
      </c>
      <c r="C1620" s="17" t="s">
        <v>171</v>
      </c>
      <c r="D1620" s="15">
        <v>3.0</v>
      </c>
      <c r="E1620" s="17" t="s">
        <v>525</v>
      </c>
      <c r="F1620" s="15" t="s">
        <v>502</v>
      </c>
      <c r="G1620" s="46" t="s">
        <v>511</v>
      </c>
      <c r="H1620" s="47" t="s">
        <v>512</v>
      </c>
      <c r="I1620" s="48" t="s">
        <v>60</v>
      </c>
      <c r="J1620" s="49">
        <v>6.784373E7</v>
      </c>
    </row>
    <row r="1621">
      <c r="A1621" s="45" t="s">
        <v>74</v>
      </c>
      <c r="B1621" s="16" t="s">
        <v>170</v>
      </c>
      <c r="C1621" s="17" t="s">
        <v>171</v>
      </c>
      <c r="D1621" s="15">
        <v>3.0</v>
      </c>
      <c r="E1621" s="17" t="s">
        <v>525</v>
      </c>
      <c r="F1621" s="15" t="s">
        <v>502</v>
      </c>
      <c r="G1621" s="46" t="s">
        <v>513</v>
      </c>
      <c r="H1621" s="47" t="s">
        <v>514</v>
      </c>
      <c r="I1621" s="48" t="s">
        <v>60</v>
      </c>
      <c r="J1621" s="49">
        <v>1.1632718E7</v>
      </c>
    </row>
    <row r="1622">
      <c r="A1622" s="45" t="s">
        <v>74</v>
      </c>
      <c r="B1622" s="16" t="s">
        <v>170</v>
      </c>
      <c r="C1622" s="17" t="s">
        <v>171</v>
      </c>
      <c r="D1622" s="15">
        <v>3.0</v>
      </c>
      <c r="E1622" s="17" t="s">
        <v>548</v>
      </c>
      <c r="F1622" s="15" t="s">
        <v>549</v>
      </c>
      <c r="G1622" s="46" t="s">
        <v>550</v>
      </c>
      <c r="H1622" s="47" t="s">
        <v>551</v>
      </c>
      <c r="I1622" s="48" t="s">
        <v>25</v>
      </c>
      <c r="J1622" s="49">
        <v>1.58806527E8</v>
      </c>
    </row>
    <row r="1623">
      <c r="A1623" s="45" t="s">
        <v>74</v>
      </c>
      <c r="B1623" s="16" t="s">
        <v>170</v>
      </c>
      <c r="C1623" s="17" t="s">
        <v>171</v>
      </c>
      <c r="D1623" s="15">
        <v>3.0</v>
      </c>
      <c r="E1623" s="17" t="s">
        <v>571</v>
      </c>
      <c r="F1623" s="15" t="s">
        <v>572</v>
      </c>
      <c r="G1623" s="46" t="s">
        <v>573</v>
      </c>
      <c r="H1623" s="47" t="s">
        <v>574</v>
      </c>
      <c r="I1623" s="48" t="s">
        <v>25</v>
      </c>
      <c r="J1623" s="49">
        <v>21000.0</v>
      </c>
    </row>
    <row r="1624">
      <c r="A1624" s="45" t="s">
        <v>74</v>
      </c>
      <c r="B1624" s="16" t="s">
        <v>12</v>
      </c>
      <c r="C1624" s="17" t="s">
        <v>13</v>
      </c>
      <c r="D1624" s="15">
        <v>3.0</v>
      </c>
      <c r="E1624" s="17" t="s">
        <v>456</v>
      </c>
      <c r="F1624" s="15" t="s">
        <v>457</v>
      </c>
      <c r="G1624" s="46" t="s">
        <v>515</v>
      </c>
      <c r="H1624" s="47" t="s">
        <v>413</v>
      </c>
      <c r="I1624" s="48" t="s">
        <v>19</v>
      </c>
      <c r="J1624" s="49">
        <v>2.1397245E7</v>
      </c>
    </row>
    <row r="1625">
      <c r="A1625" s="45" t="s">
        <v>74</v>
      </c>
      <c r="B1625" s="16" t="s">
        <v>12</v>
      </c>
      <c r="C1625" s="17" t="s">
        <v>13</v>
      </c>
      <c r="D1625" s="15">
        <v>3.0</v>
      </c>
      <c r="E1625" s="17" t="s">
        <v>456</v>
      </c>
      <c r="F1625" s="15" t="s">
        <v>457</v>
      </c>
      <c r="G1625" s="46" t="s">
        <v>579</v>
      </c>
      <c r="H1625" s="47" t="s">
        <v>580</v>
      </c>
      <c r="I1625" s="48" t="s">
        <v>19</v>
      </c>
      <c r="J1625" s="49">
        <v>2133057.0</v>
      </c>
    </row>
    <row r="1626">
      <c r="A1626" s="45" t="s">
        <v>74</v>
      </c>
      <c r="B1626" s="16" t="s">
        <v>12</v>
      </c>
      <c r="C1626" s="17" t="s">
        <v>13</v>
      </c>
      <c r="D1626" s="15">
        <v>3.0</v>
      </c>
      <c r="E1626" s="17" t="s">
        <v>473</v>
      </c>
      <c r="F1626" s="15" t="s">
        <v>474</v>
      </c>
      <c r="G1626" s="46" t="s">
        <v>523</v>
      </c>
      <c r="H1626" s="47" t="s">
        <v>431</v>
      </c>
      <c r="I1626" s="48" t="s">
        <v>25</v>
      </c>
      <c r="J1626" s="49">
        <v>1.0E7</v>
      </c>
    </row>
    <row r="1627">
      <c r="A1627" s="45" t="s">
        <v>74</v>
      </c>
      <c r="B1627" s="16" t="s">
        <v>12</v>
      </c>
      <c r="C1627" s="17" t="s">
        <v>13</v>
      </c>
      <c r="D1627" s="15">
        <v>3.0</v>
      </c>
      <c r="E1627" s="17" t="s">
        <v>491</v>
      </c>
      <c r="F1627" s="15" t="s">
        <v>492</v>
      </c>
      <c r="G1627" s="46" t="s">
        <v>493</v>
      </c>
      <c r="H1627" s="47" t="s">
        <v>437</v>
      </c>
      <c r="I1627" s="48" t="s">
        <v>25</v>
      </c>
      <c r="J1627" s="49">
        <v>1350000.0</v>
      </c>
    </row>
    <row r="1628">
      <c r="A1628" s="45" t="s">
        <v>74</v>
      </c>
      <c r="B1628" s="16" t="s">
        <v>12</v>
      </c>
      <c r="C1628" s="17" t="s">
        <v>13</v>
      </c>
      <c r="D1628" s="15">
        <v>3.0</v>
      </c>
      <c r="E1628" s="17" t="s">
        <v>475</v>
      </c>
      <c r="F1628" s="15" t="s">
        <v>476</v>
      </c>
      <c r="G1628" s="46" t="s">
        <v>554</v>
      </c>
      <c r="H1628" s="47" t="s">
        <v>555</v>
      </c>
      <c r="I1628" s="48" t="s">
        <v>17</v>
      </c>
      <c r="J1628" s="49">
        <v>2341136.0</v>
      </c>
    </row>
    <row r="1629">
      <c r="A1629" s="45" t="s">
        <v>74</v>
      </c>
      <c r="B1629" s="16" t="s">
        <v>12</v>
      </c>
      <c r="C1629" s="17" t="s">
        <v>13</v>
      </c>
      <c r="D1629" s="15">
        <v>3.0</v>
      </c>
      <c r="E1629" s="17" t="s">
        <v>475</v>
      </c>
      <c r="F1629" s="15" t="s">
        <v>476</v>
      </c>
      <c r="G1629" s="46" t="s">
        <v>498</v>
      </c>
      <c r="H1629" s="47" t="s">
        <v>434</v>
      </c>
      <c r="I1629" s="48" t="s">
        <v>25</v>
      </c>
      <c r="J1629" s="49">
        <v>1590000.0</v>
      </c>
    </row>
    <row r="1630">
      <c r="A1630" s="45" t="s">
        <v>74</v>
      </c>
      <c r="B1630" s="16" t="s">
        <v>12</v>
      </c>
      <c r="C1630" s="17" t="s">
        <v>13</v>
      </c>
      <c r="D1630" s="15">
        <v>3.0</v>
      </c>
      <c r="E1630" s="17" t="s">
        <v>475</v>
      </c>
      <c r="F1630" s="15" t="s">
        <v>476</v>
      </c>
      <c r="G1630" s="46" t="s">
        <v>477</v>
      </c>
      <c r="H1630" s="47" t="s">
        <v>429</v>
      </c>
      <c r="I1630" s="48" t="s">
        <v>50</v>
      </c>
      <c r="J1630" s="49">
        <v>6259980.0</v>
      </c>
    </row>
    <row r="1631">
      <c r="A1631" s="45" t="s">
        <v>74</v>
      </c>
      <c r="B1631" s="16" t="s">
        <v>12</v>
      </c>
      <c r="C1631" s="17" t="s">
        <v>13</v>
      </c>
      <c r="D1631" s="15">
        <v>3.0</v>
      </c>
      <c r="E1631" s="17" t="s">
        <v>525</v>
      </c>
      <c r="F1631" s="15" t="s">
        <v>502</v>
      </c>
      <c r="G1631" s="46" t="s">
        <v>526</v>
      </c>
      <c r="H1631" s="47" t="s">
        <v>527</v>
      </c>
      <c r="I1631" s="48" t="s">
        <v>60</v>
      </c>
      <c r="J1631" s="49">
        <v>461296.0</v>
      </c>
    </row>
    <row r="1632">
      <c r="A1632" s="45" t="s">
        <v>74</v>
      </c>
      <c r="B1632" s="16" t="s">
        <v>12</v>
      </c>
      <c r="C1632" s="17" t="s">
        <v>13</v>
      </c>
      <c r="D1632" s="15">
        <v>3.0</v>
      </c>
      <c r="E1632" s="17" t="s">
        <v>525</v>
      </c>
      <c r="F1632" s="15" t="s">
        <v>502</v>
      </c>
      <c r="G1632" s="46" t="s">
        <v>505</v>
      </c>
      <c r="H1632" s="47" t="s">
        <v>506</v>
      </c>
      <c r="I1632" s="48" t="s">
        <v>60</v>
      </c>
      <c r="J1632" s="49">
        <v>1107529.0</v>
      </c>
    </row>
    <row r="1633">
      <c r="A1633" s="45" t="s">
        <v>74</v>
      </c>
      <c r="B1633" s="16" t="s">
        <v>12</v>
      </c>
      <c r="C1633" s="17" t="s">
        <v>13</v>
      </c>
      <c r="D1633" s="15">
        <v>3.0</v>
      </c>
      <c r="E1633" s="17" t="s">
        <v>525</v>
      </c>
      <c r="F1633" s="15" t="s">
        <v>502</v>
      </c>
      <c r="G1633" s="46" t="s">
        <v>507</v>
      </c>
      <c r="H1633" s="47" t="s">
        <v>508</v>
      </c>
      <c r="I1633" s="48" t="s">
        <v>60</v>
      </c>
      <c r="J1633" s="49">
        <v>141852.0</v>
      </c>
    </row>
    <row r="1634">
      <c r="A1634" s="45" t="s">
        <v>74</v>
      </c>
      <c r="B1634" s="16" t="s">
        <v>12</v>
      </c>
      <c r="C1634" s="17" t="s">
        <v>13</v>
      </c>
      <c r="D1634" s="15">
        <v>3.0</v>
      </c>
      <c r="E1634" s="17" t="s">
        <v>525</v>
      </c>
      <c r="F1634" s="15" t="s">
        <v>502</v>
      </c>
      <c r="G1634" s="46" t="s">
        <v>511</v>
      </c>
      <c r="H1634" s="47" t="s">
        <v>512</v>
      </c>
      <c r="I1634" s="48" t="s">
        <v>60</v>
      </c>
      <c r="J1634" s="49">
        <v>8396385.0</v>
      </c>
    </row>
    <row r="1635">
      <c r="A1635" s="45" t="s">
        <v>74</v>
      </c>
      <c r="B1635" s="16" t="s">
        <v>12</v>
      </c>
      <c r="C1635" s="17" t="s">
        <v>13</v>
      </c>
      <c r="D1635" s="15">
        <v>3.0</v>
      </c>
      <c r="E1635" s="17" t="s">
        <v>525</v>
      </c>
      <c r="F1635" s="15" t="s">
        <v>502</v>
      </c>
      <c r="G1635" s="46" t="s">
        <v>513</v>
      </c>
      <c r="H1635" s="47" t="s">
        <v>514</v>
      </c>
      <c r="I1635" s="48" t="s">
        <v>60</v>
      </c>
      <c r="J1635" s="49">
        <v>2915925.0</v>
      </c>
    </row>
    <row r="1636">
      <c r="A1636" s="45" t="s">
        <v>74</v>
      </c>
      <c r="B1636" s="16" t="s">
        <v>12</v>
      </c>
      <c r="C1636" s="17" t="s">
        <v>13</v>
      </c>
      <c r="D1636" s="15">
        <v>3.0</v>
      </c>
      <c r="E1636" s="17" t="s">
        <v>501</v>
      </c>
      <c r="F1636" s="15" t="s">
        <v>502</v>
      </c>
      <c r="G1636" s="46" t="s">
        <v>503</v>
      </c>
      <c r="H1636" s="47" t="s">
        <v>504</v>
      </c>
      <c r="I1636" s="48" t="s">
        <v>60</v>
      </c>
      <c r="J1636" s="49">
        <v>1.53430136E8</v>
      </c>
    </row>
    <row r="1637">
      <c r="A1637" s="45" t="s">
        <v>74</v>
      </c>
      <c r="B1637" s="16" t="s">
        <v>187</v>
      </c>
      <c r="C1637" s="17" t="s">
        <v>188</v>
      </c>
      <c r="D1637" s="15">
        <v>3.0</v>
      </c>
      <c r="E1637" s="17" t="s">
        <v>441</v>
      </c>
      <c r="F1637" s="15" t="s">
        <v>442</v>
      </c>
      <c r="G1637" s="46" t="s">
        <v>443</v>
      </c>
      <c r="H1637" s="47" t="s">
        <v>420</v>
      </c>
      <c r="I1637" s="48" t="s">
        <v>19</v>
      </c>
      <c r="J1637" s="49">
        <v>2.2197788E7</v>
      </c>
    </row>
    <row r="1638">
      <c r="A1638" s="45" t="s">
        <v>74</v>
      </c>
      <c r="B1638" s="16" t="s">
        <v>187</v>
      </c>
      <c r="C1638" s="17" t="s">
        <v>188</v>
      </c>
      <c r="D1638" s="15">
        <v>3.0</v>
      </c>
      <c r="E1638" s="17" t="s">
        <v>441</v>
      </c>
      <c r="F1638" s="15" t="s">
        <v>442</v>
      </c>
      <c r="G1638" s="46" t="s">
        <v>444</v>
      </c>
      <c r="H1638" s="47" t="s">
        <v>445</v>
      </c>
      <c r="I1638" s="48" t="s">
        <v>19</v>
      </c>
      <c r="J1638" s="49">
        <v>4884651.0</v>
      </c>
    </row>
    <row r="1639">
      <c r="A1639" s="45" t="s">
        <v>74</v>
      </c>
      <c r="B1639" s="16" t="s">
        <v>187</v>
      </c>
      <c r="C1639" s="17" t="s">
        <v>188</v>
      </c>
      <c r="D1639" s="15">
        <v>3.0</v>
      </c>
      <c r="E1639" s="17" t="s">
        <v>441</v>
      </c>
      <c r="F1639" s="15" t="s">
        <v>442</v>
      </c>
      <c r="G1639" s="46" t="s">
        <v>579</v>
      </c>
      <c r="H1639" s="47" t="s">
        <v>580</v>
      </c>
      <c r="I1639" s="48" t="s">
        <v>19</v>
      </c>
      <c r="J1639" s="49">
        <v>2333061.0</v>
      </c>
    </row>
    <row r="1640">
      <c r="A1640" s="45" t="s">
        <v>74</v>
      </c>
      <c r="B1640" s="16" t="s">
        <v>187</v>
      </c>
      <c r="C1640" s="17" t="s">
        <v>188</v>
      </c>
      <c r="D1640" s="15">
        <v>3.0</v>
      </c>
      <c r="E1640" s="17" t="s">
        <v>441</v>
      </c>
      <c r="F1640" s="15" t="s">
        <v>442</v>
      </c>
      <c r="G1640" s="46" t="s">
        <v>446</v>
      </c>
      <c r="H1640" s="47" t="s">
        <v>447</v>
      </c>
      <c r="I1640" s="48" t="s">
        <v>19</v>
      </c>
      <c r="J1640" s="49">
        <v>286785.0</v>
      </c>
    </row>
    <row r="1641">
      <c r="A1641" s="45" t="s">
        <v>74</v>
      </c>
      <c r="B1641" s="16" t="s">
        <v>187</v>
      </c>
      <c r="C1641" s="17" t="s">
        <v>188</v>
      </c>
      <c r="D1641" s="15">
        <v>3.0</v>
      </c>
      <c r="E1641" s="17" t="s">
        <v>441</v>
      </c>
      <c r="F1641" s="15" t="s">
        <v>442</v>
      </c>
      <c r="G1641" s="46" t="s">
        <v>448</v>
      </c>
      <c r="H1641" s="47" t="s">
        <v>449</v>
      </c>
      <c r="I1641" s="48" t="s">
        <v>19</v>
      </c>
      <c r="J1641" s="49">
        <v>850908.0</v>
      </c>
    </row>
    <row r="1642">
      <c r="A1642" s="45" t="s">
        <v>74</v>
      </c>
      <c r="B1642" s="16" t="s">
        <v>187</v>
      </c>
      <c r="C1642" s="17" t="s">
        <v>188</v>
      </c>
      <c r="D1642" s="15">
        <v>3.0</v>
      </c>
      <c r="E1642" s="17" t="s">
        <v>441</v>
      </c>
      <c r="F1642" s="15" t="s">
        <v>442</v>
      </c>
      <c r="G1642" s="46" t="s">
        <v>450</v>
      </c>
      <c r="H1642" s="47" t="s">
        <v>451</v>
      </c>
      <c r="I1642" s="48" t="s">
        <v>19</v>
      </c>
      <c r="J1642" s="49">
        <v>0.0</v>
      </c>
    </row>
    <row r="1643">
      <c r="A1643" s="45" t="s">
        <v>74</v>
      </c>
      <c r="B1643" s="16" t="s">
        <v>187</v>
      </c>
      <c r="C1643" s="17" t="s">
        <v>188</v>
      </c>
      <c r="D1643" s="15">
        <v>3.0</v>
      </c>
      <c r="E1643" s="17" t="s">
        <v>441</v>
      </c>
      <c r="F1643" s="15" t="s">
        <v>442</v>
      </c>
      <c r="G1643" s="46" t="s">
        <v>452</v>
      </c>
      <c r="H1643" s="47" t="s">
        <v>453</v>
      </c>
      <c r="I1643" s="48" t="s">
        <v>19</v>
      </c>
      <c r="J1643" s="49">
        <v>530553.0</v>
      </c>
    </row>
    <row r="1644">
      <c r="A1644" s="45" t="s">
        <v>74</v>
      </c>
      <c r="B1644" s="16" t="s">
        <v>187</v>
      </c>
      <c r="C1644" s="17" t="s">
        <v>188</v>
      </c>
      <c r="D1644" s="15">
        <v>3.0</v>
      </c>
      <c r="E1644" s="17" t="s">
        <v>441</v>
      </c>
      <c r="F1644" s="15" t="s">
        <v>442</v>
      </c>
      <c r="G1644" s="46" t="s">
        <v>454</v>
      </c>
      <c r="H1644" s="47" t="s">
        <v>415</v>
      </c>
      <c r="I1644" s="48" t="s">
        <v>19</v>
      </c>
      <c r="J1644" s="49">
        <v>77432.0</v>
      </c>
    </row>
    <row r="1645">
      <c r="A1645" s="45" t="s">
        <v>74</v>
      </c>
      <c r="B1645" s="16" t="s">
        <v>187</v>
      </c>
      <c r="C1645" s="17" t="s">
        <v>188</v>
      </c>
      <c r="D1645" s="15">
        <v>3.0</v>
      </c>
      <c r="E1645" s="17" t="s">
        <v>441</v>
      </c>
      <c r="F1645" s="15" t="s">
        <v>442</v>
      </c>
      <c r="G1645" s="46" t="s">
        <v>455</v>
      </c>
      <c r="H1645" s="47" t="s">
        <v>415</v>
      </c>
      <c r="I1645" s="48" t="s">
        <v>19</v>
      </c>
      <c r="J1645" s="49">
        <v>43017.0</v>
      </c>
    </row>
    <row r="1646">
      <c r="A1646" s="45" t="s">
        <v>74</v>
      </c>
      <c r="B1646" s="16" t="s">
        <v>187</v>
      </c>
      <c r="C1646" s="17" t="s">
        <v>188</v>
      </c>
      <c r="D1646" s="15">
        <v>3.0</v>
      </c>
      <c r="E1646" s="17" t="s">
        <v>456</v>
      </c>
      <c r="F1646" s="15" t="s">
        <v>457</v>
      </c>
      <c r="G1646" s="46" t="s">
        <v>443</v>
      </c>
      <c r="H1646" s="47" t="s">
        <v>420</v>
      </c>
      <c r="I1646" s="48" t="s">
        <v>19</v>
      </c>
      <c r="J1646" s="49">
        <v>0.0</v>
      </c>
    </row>
    <row r="1647">
      <c r="A1647" s="45" t="s">
        <v>74</v>
      </c>
      <c r="B1647" s="16" t="s">
        <v>187</v>
      </c>
      <c r="C1647" s="17" t="s">
        <v>188</v>
      </c>
      <c r="D1647" s="15">
        <v>3.0</v>
      </c>
      <c r="E1647" s="17" t="s">
        <v>456</v>
      </c>
      <c r="F1647" s="15" t="s">
        <v>457</v>
      </c>
      <c r="G1647" s="46" t="s">
        <v>515</v>
      </c>
      <c r="H1647" s="47" t="s">
        <v>413</v>
      </c>
      <c r="I1647" s="48" t="s">
        <v>19</v>
      </c>
      <c r="J1647" s="49">
        <v>3920000.0</v>
      </c>
    </row>
    <row r="1648">
      <c r="A1648" s="45" t="s">
        <v>74</v>
      </c>
      <c r="B1648" s="16" t="s">
        <v>187</v>
      </c>
      <c r="C1648" s="17" t="s">
        <v>188</v>
      </c>
      <c r="D1648" s="15">
        <v>3.0</v>
      </c>
      <c r="E1648" s="17" t="s">
        <v>456</v>
      </c>
      <c r="F1648" s="15" t="s">
        <v>457</v>
      </c>
      <c r="G1648" s="46" t="s">
        <v>579</v>
      </c>
      <c r="H1648" s="47" t="s">
        <v>580</v>
      </c>
      <c r="I1648" s="48" t="s">
        <v>19</v>
      </c>
      <c r="J1648" s="49">
        <v>434000.0</v>
      </c>
    </row>
    <row r="1649">
      <c r="A1649" s="45" t="s">
        <v>74</v>
      </c>
      <c r="B1649" s="16" t="s">
        <v>187</v>
      </c>
      <c r="C1649" s="17" t="s">
        <v>188</v>
      </c>
      <c r="D1649" s="15">
        <v>3.0</v>
      </c>
      <c r="E1649" s="17" t="s">
        <v>456</v>
      </c>
      <c r="F1649" s="15" t="s">
        <v>457</v>
      </c>
      <c r="G1649" s="46" t="s">
        <v>458</v>
      </c>
      <c r="H1649" s="47" t="s">
        <v>411</v>
      </c>
      <c r="I1649" s="48" t="s">
        <v>19</v>
      </c>
      <c r="J1649" s="49">
        <v>1.82176869E8</v>
      </c>
    </row>
    <row r="1650">
      <c r="A1650" s="45" t="s">
        <v>74</v>
      </c>
      <c r="B1650" s="16" t="s">
        <v>187</v>
      </c>
      <c r="C1650" s="17" t="s">
        <v>188</v>
      </c>
      <c r="D1650" s="15">
        <v>3.0</v>
      </c>
      <c r="E1650" s="17" t="s">
        <v>456</v>
      </c>
      <c r="F1650" s="15" t="s">
        <v>457</v>
      </c>
      <c r="G1650" s="46" t="s">
        <v>532</v>
      </c>
      <c r="H1650" s="47" t="s">
        <v>412</v>
      </c>
      <c r="I1650" s="48" t="s">
        <v>19</v>
      </c>
      <c r="J1650" s="49">
        <v>5032168.0</v>
      </c>
    </row>
    <row r="1651">
      <c r="A1651" s="45" t="s">
        <v>74</v>
      </c>
      <c r="B1651" s="16" t="s">
        <v>187</v>
      </c>
      <c r="C1651" s="17" t="s">
        <v>188</v>
      </c>
      <c r="D1651" s="15">
        <v>3.0</v>
      </c>
      <c r="E1651" s="17" t="s">
        <v>459</v>
      </c>
      <c r="F1651" s="15" t="s">
        <v>460</v>
      </c>
      <c r="G1651" s="46" t="s">
        <v>458</v>
      </c>
      <c r="H1651" s="47" t="s">
        <v>411</v>
      </c>
      <c r="I1651" s="48" t="s">
        <v>19</v>
      </c>
      <c r="J1651" s="49">
        <v>7740546.0</v>
      </c>
    </row>
    <row r="1652">
      <c r="A1652" s="45" t="s">
        <v>74</v>
      </c>
      <c r="B1652" s="16" t="s">
        <v>187</v>
      </c>
      <c r="C1652" s="17" t="s">
        <v>188</v>
      </c>
      <c r="D1652" s="15">
        <v>3.0</v>
      </c>
      <c r="E1652" s="17" t="s">
        <v>463</v>
      </c>
      <c r="F1652" s="15" t="s">
        <v>464</v>
      </c>
      <c r="G1652" s="46" t="s">
        <v>520</v>
      </c>
      <c r="H1652" s="47" t="s">
        <v>435</v>
      </c>
      <c r="I1652" s="48" t="s">
        <v>37</v>
      </c>
      <c r="J1652" s="49">
        <v>422396.0</v>
      </c>
    </row>
    <row r="1653">
      <c r="A1653" s="45" t="s">
        <v>74</v>
      </c>
      <c r="B1653" s="16" t="s">
        <v>187</v>
      </c>
      <c r="C1653" s="17" t="s">
        <v>188</v>
      </c>
      <c r="D1653" s="15">
        <v>3.0</v>
      </c>
      <c r="E1653" s="17" t="s">
        <v>463</v>
      </c>
      <c r="F1653" s="15" t="s">
        <v>464</v>
      </c>
      <c r="G1653" s="46" t="s">
        <v>519</v>
      </c>
      <c r="H1653" s="47" t="s">
        <v>414</v>
      </c>
      <c r="I1653" s="48" t="s">
        <v>37</v>
      </c>
      <c r="J1653" s="49">
        <v>1306000.0</v>
      </c>
    </row>
    <row r="1654">
      <c r="A1654" s="45" t="s">
        <v>74</v>
      </c>
      <c r="B1654" s="16" t="s">
        <v>187</v>
      </c>
      <c r="C1654" s="17" t="s">
        <v>188</v>
      </c>
      <c r="D1654" s="15">
        <v>3.0</v>
      </c>
      <c r="E1654" s="17" t="s">
        <v>463</v>
      </c>
      <c r="F1654" s="15" t="s">
        <v>464</v>
      </c>
      <c r="G1654" s="46" t="s">
        <v>467</v>
      </c>
      <c r="H1654" s="47" t="s">
        <v>468</v>
      </c>
      <c r="I1654" s="48" t="s">
        <v>25</v>
      </c>
      <c r="J1654" s="49">
        <v>4074000.0</v>
      </c>
    </row>
    <row r="1655">
      <c r="A1655" s="45" t="s">
        <v>74</v>
      </c>
      <c r="B1655" s="16" t="s">
        <v>187</v>
      </c>
      <c r="C1655" s="17" t="s">
        <v>188</v>
      </c>
      <c r="D1655" s="15">
        <v>3.0</v>
      </c>
      <c r="E1655" s="17" t="s">
        <v>463</v>
      </c>
      <c r="F1655" s="15" t="s">
        <v>464</v>
      </c>
      <c r="G1655" s="46" t="s">
        <v>458</v>
      </c>
      <c r="H1655" s="47" t="s">
        <v>411</v>
      </c>
      <c r="I1655" s="48" t="s">
        <v>19</v>
      </c>
      <c r="J1655" s="49">
        <v>1.6530696E7</v>
      </c>
    </row>
    <row r="1656">
      <c r="A1656" s="45" t="s">
        <v>74</v>
      </c>
      <c r="B1656" s="16" t="s">
        <v>187</v>
      </c>
      <c r="C1656" s="17" t="s">
        <v>188</v>
      </c>
      <c r="D1656" s="15">
        <v>3.0</v>
      </c>
      <c r="E1656" s="17" t="s">
        <v>487</v>
      </c>
      <c r="F1656" s="15" t="s">
        <v>488</v>
      </c>
      <c r="G1656" s="46" t="s">
        <v>458</v>
      </c>
      <c r="H1656" s="47" t="s">
        <v>411</v>
      </c>
      <c r="I1656" s="48" t="s">
        <v>19</v>
      </c>
      <c r="J1656" s="49">
        <v>3352800.0</v>
      </c>
    </row>
    <row r="1657">
      <c r="A1657" s="45" t="s">
        <v>74</v>
      </c>
      <c r="B1657" s="16" t="s">
        <v>187</v>
      </c>
      <c r="C1657" s="17" t="s">
        <v>188</v>
      </c>
      <c r="D1657" s="15">
        <v>3.0</v>
      </c>
      <c r="E1657" s="17" t="s">
        <v>469</v>
      </c>
      <c r="F1657" s="15" t="s">
        <v>470</v>
      </c>
      <c r="G1657" s="46" t="s">
        <v>471</v>
      </c>
      <c r="H1657" s="47" t="s">
        <v>472</v>
      </c>
      <c r="I1657" s="48" t="s">
        <v>25</v>
      </c>
      <c r="J1657" s="49">
        <v>6765000.0</v>
      </c>
    </row>
    <row r="1658">
      <c r="A1658" s="45" t="s">
        <v>74</v>
      </c>
      <c r="B1658" s="16" t="s">
        <v>187</v>
      </c>
      <c r="C1658" s="17" t="s">
        <v>188</v>
      </c>
      <c r="D1658" s="15">
        <v>3.0</v>
      </c>
      <c r="E1658" s="17" t="s">
        <v>473</v>
      </c>
      <c r="F1658" s="15" t="s">
        <v>474</v>
      </c>
      <c r="G1658" s="46" t="s">
        <v>554</v>
      </c>
      <c r="H1658" s="47" t="s">
        <v>555</v>
      </c>
      <c r="I1658" s="48" t="s">
        <v>17</v>
      </c>
      <c r="J1658" s="49">
        <v>1692805.0</v>
      </c>
    </row>
    <row r="1659">
      <c r="A1659" s="45" t="s">
        <v>74</v>
      </c>
      <c r="B1659" s="16" t="s">
        <v>187</v>
      </c>
      <c r="C1659" s="17" t="s">
        <v>188</v>
      </c>
      <c r="D1659" s="15">
        <v>3.0</v>
      </c>
      <c r="E1659" s="17" t="s">
        <v>473</v>
      </c>
      <c r="F1659" s="15" t="s">
        <v>474</v>
      </c>
      <c r="G1659" s="46" t="s">
        <v>523</v>
      </c>
      <c r="H1659" s="47" t="s">
        <v>431</v>
      </c>
      <c r="I1659" s="48" t="s">
        <v>17</v>
      </c>
      <c r="J1659" s="49">
        <v>1.06264756E8</v>
      </c>
    </row>
    <row r="1660">
      <c r="A1660" s="45" t="s">
        <v>74</v>
      </c>
      <c r="B1660" s="16" t="s">
        <v>187</v>
      </c>
      <c r="C1660" s="17" t="s">
        <v>188</v>
      </c>
      <c r="D1660" s="15">
        <v>3.0</v>
      </c>
      <c r="E1660" s="17" t="s">
        <v>473</v>
      </c>
      <c r="F1660" s="15" t="s">
        <v>474</v>
      </c>
      <c r="G1660" s="46" t="s">
        <v>458</v>
      </c>
      <c r="H1660" s="47" t="s">
        <v>411</v>
      </c>
      <c r="I1660" s="48" t="s">
        <v>19</v>
      </c>
      <c r="J1660" s="49">
        <v>3.3887898E7</v>
      </c>
    </row>
    <row r="1661">
      <c r="A1661" s="45" t="s">
        <v>74</v>
      </c>
      <c r="B1661" s="16" t="s">
        <v>187</v>
      </c>
      <c r="C1661" s="17" t="s">
        <v>188</v>
      </c>
      <c r="D1661" s="15">
        <v>3.0</v>
      </c>
      <c r="E1661" s="17" t="s">
        <v>491</v>
      </c>
      <c r="F1661" s="15" t="s">
        <v>492</v>
      </c>
      <c r="G1661" s="46" t="s">
        <v>493</v>
      </c>
      <c r="H1661" s="47" t="s">
        <v>437</v>
      </c>
      <c r="I1661" s="48" t="s">
        <v>25</v>
      </c>
      <c r="J1661" s="49">
        <v>4146462.0</v>
      </c>
    </row>
    <row r="1662">
      <c r="A1662" s="45" t="s">
        <v>74</v>
      </c>
      <c r="B1662" s="16" t="s">
        <v>187</v>
      </c>
      <c r="C1662" s="17" t="s">
        <v>188</v>
      </c>
      <c r="D1662" s="15">
        <v>3.0</v>
      </c>
      <c r="E1662" s="17" t="s">
        <v>491</v>
      </c>
      <c r="F1662" s="15" t="s">
        <v>492</v>
      </c>
      <c r="G1662" s="46" t="s">
        <v>458</v>
      </c>
      <c r="H1662" s="47" t="s">
        <v>411</v>
      </c>
      <c r="I1662" s="48" t="s">
        <v>19</v>
      </c>
      <c r="J1662" s="49">
        <v>5196840.0</v>
      </c>
    </row>
    <row r="1663">
      <c r="A1663" s="45" t="s">
        <v>74</v>
      </c>
      <c r="B1663" s="16" t="s">
        <v>187</v>
      </c>
      <c r="C1663" s="17" t="s">
        <v>188</v>
      </c>
      <c r="D1663" s="15">
        <v>3.0</v>
      </c>
      <c r="E1663" s="17" t="s">
        <v>494</v>
      </c>
      <c r="F1663" s="15" t="s">
        <v>495</v>
      </c>
      <c r="G1663" s="46" t="s">
        <v>496</v>
      </c>
      <c r="H1663" s="47" t="s">
        <v>497</v>
      </c>
      <c r="I1663" s="48" t="s">
        <v>25</v>
      </c>
      <c r="J1663" s="49">
        <v>468000.0</v>
      </c>
    </row>
    <row r="1664">
      <c r="A1664" s="45" t="s">
        <v>74</v>
      </c>
      <c r="B1664" s="16" t="s">
        <v>187</v>
      </c>
      <c r="C1664" s="17" t="s">
        <v>188</v>
      </c>
      <c r="D1664" s="15">
        <v>3.0</v>
      </c>
      <c r="E1664" s="17" t="s">
        <v>494</v>
      </c>
      <c r="F1664" s="15" t="s">
        <v>495</v>
      </c>
      <c r="G1664" s="46" t="s">
        <v>477</v>
      </c>
      <c r="H1664" s="47" t="s">
        <v>429</v>
      </c>
      <c r="I1664" s="48" t="s">
        <v>50</v>
      </c>
      <c r="J1664" s="49">
        <v>7430965.0</v>
      </c>
    </row>
    <row r="1665">
      <c r="A1665" s="45" t="s">
        <v>74</v>
      </c>
      <c r="B1665" s="16" t="s">
        <v>187</v>
      </c>
      <c r="C1665" s="17" t="s">
        <v>188</v>
      </c>
      <c r="D1665" s="15">
        <v>3.0</v>
      </c>
      <c r="E1665" s="17" t="s">
        <v>475</v>
      </c>
      <c r="F1665" s="15" t="s">
        <v>476</v>
      </c>
      <c r="G1665" s="46" t="s">
        <v>498</v>
      </c>
      <c r="H1665" s="47" t="s">
        <v>434</v>
      </c>
      <c r="I1665" s="48" t="s">
        <v>25</v>
      </c>
      <c r="J1665" s="49">
        <v>6230000.0</v>
      </c>
    </row>
    <row r="1666">
      <c r="A1666" s="45" t="s">
        <v>74</v>
      </c>
      <c r="B1666" s="16" t="s">
        <v>187</v>
      </c>
      <c r="C1666" s="17" t="s">
        <v>188</v>
      </c>
      <c r="D1666" s="15">
        <v>3.0</v>
      </c>
      <c r="E1666" s="17" t="s">
        <v>475</v>
      </c>
      <c r="F1666" s="15" t="s">
        <v>476</v>
      </c>
      <c r="G1666" s="46" t="s">
        <v>477</v>
      </c>
      <c r="H1666" s="47" t="s">
        <v>429</v>
      </c>
      <c r="I1666" s="48" t="s">
        <v>50</v>
      </c>
      <c r="J1666" s="49">
        <v>4.9697197E7</v>
      </c>
    </row>
    <row r="1667">
      <c r="A1667" s="45" t="s">
        <v>74</v>
      </c>
      <c r="B1667" s="16" t="s">
        <v>187</v>
      </c>
      <c r="C1667" s="17" t="s">
        <v>188</v>
      </c>
      <c r="D1667" s="15">
        <v>3.0</v>
      </c>
      <c r="E1667" s="17" t="s">
        <v>524</v>
      </c>
      <c r="F1667" s="15" t="s">
        <v>479</v>
      </c>
      <c r="G1667" s="46" t="s">
        <v>443</v>
      </c>
      <c r="H1667" s="47" t="s">
        <v>420</v>
      </c>
      <c r="I1667" s="48" t="s">
        <v>19</v>
      </c>
      <c r="J1667" s="49">
        <v>7.7018667E7</v>
      </c>
    </row>
    <row r="1668">
      <c r="A1668" s="45" t="s">
        <v>74</v>
      </c>
      <c r="B1668" s="16" t="s">
        <v>187</v>
      </c>
      <c r="C1668" s="17" t="s">
        <v>188</v>
      </c>
      <c r="D1668" s="15">
        <v>3.0</v>
      </c>
      <c r="E1668" s="17" t="s">
        <v>524</v>
      </c>
      <c r="F1668" s="15" t="s">
        <v>479</v>
      </c>
      <c r="G1668" s="46" t="s">
        <v>444</v>
      </c>
      <c r="H1668" s="47" t="s">
        <v>445</v>
      </c>
      <c r="I1668" s="48" t="s">
        <v>19</v>
      </c>
      <c r="J1668" s="49">
        <v>2.1223018E7</v>
      </c>
    </row>
    <row r="1669">
      <c r="A1669" s="45" t="s">
        <v>74</v>
      </c>
      <c r="B1669" s="16" t="s">
        <v>187</v>
      </c>
      <c r="C1669" s="17" t="s">
        <v>188</v>
      </c>
      <c r="D1669" s="15">
        <v>3.0</v>
      </c>
      <c r="E1669" s="17" t="s">
        <v>524</v>
      </c>
      <c r="F1669" s="15" t="s">
        <v>479</v>
      </c>
      <c r="G1669" s="46" t="s">
        <v>579</v>
      </c>
      <c r="H1669" s="47" t="s">
        <v>580</v>
      </c>
      <c r="I1669" s="48" t="s">
        <v>19</v>
      </c>
      <c r="J1669" s="49">
        <v>8069761.0</v>
      </c>
    </row>
    <row r="1670">
      <c r="A1670" s="45" t="s">
        <v>74</v>
      </c>
      <c r="B1670" s="16" t="s">
        <v>187</v>
      </c>
      <c r="C1670" s="17" t="s">
        <v>188</v>
      </c>
      <c r="D1670" s="15">
        <v>3.0</v>
      </c>
      <c r="E1670" s="17" t="s">
        <v>524</v>
      </c>
      <c r="F1670" s="15" t="s">
        <v>479</v>
      </c>
      <c r="G1670" s="46" t="s">
        <v>446</v>
      </c>
      <c r="H1670" s="47" t="s">
        <v>447</v>
      </c>
      <c r="I1670" s="48" t="s">
        <v>19</v>
      </c>
      <c r="J1670" s="49">
        <v>975255.0</v>
      </c>
    </row>
    <row r="1671">
      <c r="A1671" s="45" t="s">
        <v>74</v>
      </c>
      <c r="B1671" s="16" t="s">
        <v>187</v>
      </c>
      <c r="C1671" s="17" t="s">
        <v>188</v>
      </c>
      <c r="D1671" s="15">
        <v>3.0</v>
      </c>
      <c r="E1671" s="17" t="s">
        <v>524</v>
      </c>
      <c r="F1671" s="15" t="s">
        <v>479</v>
      </c>
      <c r="G1671" s="46" t="s">
        <v>448</v>
      </c>
      <c r="H1671" s="47" t="s">
        <v>449</v>
      </c>
      <c r="I1671" s="48" t="s">
        <v>19</v>
      </c>
      <c r="J1671" s="49">
        <v>2893634.0</v>
      </c>
    </row>
    <row r="1672">
      <c r="A1672" s="45" t="s">
        <v>74</v>
      </c>
      <c r="B1672" s="16" t="s">
        <v>187</v>
      </c>
      <c r="C1672" s="17" t="s">
        <v>188</v>
      </c>
      <c r="D1672" s="15">
        <v>3.0</v>
      </c>
      <c r="E1672" s="17" t="s">
        <v>524</v>
      </c>
      <c r="F1672" s="15" t="s">
        <v>479</v>
      </c>
      <c r="G1672" s="46" t="s">
        <v>450</v>
      </c>
      <c r="H1672" s="47" t="s">
        <v>451</v>
      </c>
      <c r="I1672" s="48" t="s">
        <v>19</v>
      </c>
      <c r="J1672" s="49">
        <v>0.0</v>
      </c>
    </row>
    <row r="1673">
      <c r="A1673" s="45" t="s">
        <v>74</v>
      </c>
      <c r="B1673" s="16" t="s">
        <v>187</v>
      </c>
      <c r="C1673" s="17" t="s">
        <v>188</v>
      </c>
      <c r="D1673" s="15">
        <v>3.0</v>
      </c>
      <c r="E1673" s="17" t="s">
        <v>524</v>
      </c>
      <c r="F1673" s="15" t="s">
        <v>479</v>
      </c>
      <c r="G1673" s="46" t="s">
        <v>452</v>
      </c>
      <c r="H1673" s="47" t="s">
        <v>453</v>
      </c>
      <c r="I1673" s="48" t="s">
        <v>19</v>
      </c>
      <c r="J1673" s="49">
        <v>1804221.0</v>
      </c>
    </row>
    <row r="1674">
      <c r="A1674" s="45" t="s">
        <v>74</v>
      </c>
      <c r="B1674" s="16" t="s">
        <v>187</v>
      </c>
      <c r="C1674" s="17" t="s">
        <v>188</v>
      </c>
      <c r="D1674" s="15">
        <v>3.0</v>
      </c>
      <c r="E1674" s="17" t="s">
        <v>524</v>
      </c>
      <c r="F1674" s="15" t="s">
        <v>479</v>
      </c>
      <c r="G1674" s="46" t="s">
        <v>454</v>
      </c>
      <c r="H1674" s="47" t="s">
        <v>415</v>
      </c>
      <c r="I1674" s="48" t="s">
        <v>19</v>
      </c>
      <c r="J1674" s="49">
        <v>263318.0</v>
      </c>
    </row>
    <row r="1675">
      <c r="A1675" s="45" t="s">
        <v>74</v>
      </c>
      <c r="B1675" s="16" t="s">
        <v>187</v>
      </c>
      <c r="C1675" s="17" t="s">
        <v>188</v>
      </c>
      <c r="D1675" s="15">
        <v>3.0</v>
      </c>
      <c r="E1675" s="17" t="s">
        <v>524</v>
      </c>
      <c r="F1675" s="15" t="s">
        <v>479</v>
      </c>
      <c r="G1675" s="46" t="s">
        <v>455</v>
      </c>
      <c r="H1675" s="47" t="s">
        <v>415</v>
      </c>
      <c r="I1675" s="48" t="s">
        <v>19</v>
      </c>
      <c r="J1675" s="49">
        <v>146287.0</v>
      </c>
    </row>
    <row r="1676">
      <c r="A1676" s="45" t="s">
        <v>74</v>
      </c>
      <c r="B1676" s="16" t="s">
        <v>187</v>
      </c>
      <c r="C1676" s="17" t="s">
        <v>188</v>
      </c>
      <c r="D1676" s="15">
        <v>3.0</v>
      </c>
      <c r="E1676" s="17" t="s">
        <v>524</v>
      </c>
      <c r="F1676" s="15" t="s">
        <v>479</v>
      </c>
      <c r="G1676" s="46" t="s">
        <v>565</v>
      </c>
      <c r="H1676" s="47" t="s">
        <v>566</v>
      </c>
      <c r="I1676" s="48" t="s">
        <v>25</v>
      </c>
      <c r="J1676" s="49">
        <v>1800000.0</v>
      </c>
    </row>
    <row r="1677">
      <c r="A1677" s="45" t="s">
        <v>74</v>
      </c>
      <c r="B1677" s="16" t="s">
        <v>187</v>
      </c>
      <c r="C1677" s="17" t="s">
        <v>188</v>
      </c>
      <c r="D1677" s="15">
        <v>3.0</v>
      </c>
      <c r="E1677" s="17" t="s">
        <v>525</v>
      </c>
      <c r="F1677" s="15" t="s">
        <v>502</v>
      </c>
      <c r="G1677" s="46" t="s">
        <v>526</v>
      </c>
      <c r="H1677" s="47" t="s">
        <v>527</v>
      </c>
      <c r="I1677" s="48" t="s">
        <v>60</v>
      </c>
      <c r="J1677" s="49">
        <v>5.83050029E8</v>
      </c>
    </row>
    <row r="1678">
      <c r="A1678" s="45" t="s">
        <v>74</v>
      </c>
      <c r="B1678" s="16" t="s">
        <v>187</v>
      </c>
      <c r="C1678" s="17" t="s">
        <v>188</v>
      </c>
      <c r="D1678" s="15">
        <v>3.0</v>
      </c>
      <c r="E1678" s="17" t="s">
        <v>525</v>
      </c>
      <c r="F1678" s="15" t="s">
        <v>502</v>
      </c>
      <c r="G1678" s="46" t="s">
        <v>539</v>
      </c>
      <c r="H1678" s="47" t="s">
        <v>540</v>
      </c>
      <c r="I1678" s="48" t="s">
        <v>60</v>
      </c>
      <c r="J1678" s="49">
        <v>1.6730895E7</v>
      </c>
    </row>
    <row r="1679">
      <c r="A1679" s="45" t="s">
        <v>74</v>
      </c>
      <c r="B1679" s="16" t="s">
        <v>187</v>
      </c>
      <c r="C1679" s="17" t="s">
        <v>188</v>
      </c>
      <c r="D1679" s="15">
        <v>3.0</v>
      </c>
      <c r="E1679" s="17" t="s">
        <v>525</v>
      </c>
      <c r="F1679" s="15" t="s">
        <v>502</v>
      </c>
      <c r="G1679" s="46" t="s">
        <v>505</v>
      </c>
      <c r="H1679" s="47" t="s">
        <v>506</v>
      </c>
      <c r="I1679" s="48" t="s">
        <v>60</v>
      </c>
      <c r="J1679" s="49">
        <v>1036733.0</v>
      </c>
    </row>
    <row r="1680">
      <c r="A1680" s="45" t="s">
        <v>74</v>
      </c>
      <c r="B1680" s="16" t="s">
        <v>187</v>
      </c>
      <c r="C1680" s="17" t="s">
        <v>188</v>
      </c>
      <c r="D1680" s="15">
        <v>3.0</v>
      </c>
      <c r="E1680" s="17" t="s">
        <v>525</v>
      </c>
      <c r="F1680" s="15" t="s">
        <v>502</v>
      </c>
      <c r="G1680" s="46" t="s">
        <v>507</v>
      </c>
      <c r="H1680" s="47" t="s">
        <v>508</v>
      </c>
      <c r="I1680" s="48" t="s">
        <v>60</v>
      </c>
      <c r="J1680" s="49">
        <v>4131387.0</v>
      </c>
    </row>
    <row r="1681">
      <c r="A1681" s="45" t="s">
        <v>74</v>
      </c>
      <c r="B1681" s="16" t="s">
        <v>187</v>
      </c>
      <c r="C1681" s="17" t="s">
        <v>188</v>
      </c>
      <c r="D1681" s="15">
        <v>3.0</v>
      </c>
      <c r="E1681" s="17" t="s">
        <v>525</v>
      </c>
      <c r="F1681" s="15" t="s">
        <v>502</v>
      </c>
      <c r="G1681" s="46" t="s">
        <v>509</v>
      </c>
      <c r="H1681" s="47" t="s">
        <v>510</v>
      </c>
      <c r="I1681" s="48" t="s">
        <v>60</v>
      </c>
      <c r="J1681" s="49">
        <v>1528666.0</v>
      </c>
    </row>
    <row r="1682">
      <c r="A1682" s="45" t="s">
        <v>74</v>
      </c>
      <c r="B1682" s="16" t="s">
        <v>187</v>
      </c>
      <c r="C1682" s="17" t="s">
        <v>188</v>
      </c>
      <c r="D1682" s="15">
        <v>3.0</v>
      </c>
      <c r="E1682" s="17" t="s">
        <v>525</v>
      </c>
      <c r="F1682" s="15" t="s">
        <v>502</v>
      </c>
      <c r="G1682" s="46" t="s">
        <v>511</v>
      </c>
      <c r="H1682" s="47" t="s">
        <v>512</v>
      </c>
      <c r="I1682" s="48" t="s">
        <v>60</v>
      </c>
      <c r="J1682" s="49">
        <v>1.24974057E8</v>
      </c>
    </row>
    <row r="1683">
      <c r="A1683" s="45" t="s">
        <v>74</v>
      </c>
      <c r="B1683" s="16" t="s">
        <v>187</v>
      </c>
      <c r="C1683" s="17" t="s">
        <v>188</v>
      </c>
      <c r="D1683" s="15">
        <v>3.0</v>
      </c>
      <c r="E1683" s="17" t="s">
        <v>525</v>
      </c>
      <c r="F1683" s="15" t="s">
        <v>502</v>
      </c>
      <c r="G1683" s="46" t="s">
        <v>513</v>
      </c>
      <c r="H1683" s="47" t="s">
        <v>514</v>
      </c>
      <c r="I1683" s="48" t="s">
        <v>60</v>
      </c>
      <c r="J1683" s="49">
        <v>8468115.0</v>
      </c>
    </row>
    <row r="1684">
      <c r="A1684" s="45" t="s">
        <v>74</v>
      </c>
      <c r="B1684" s="16" t="s">
        <v>203</v>
      </c>
      <c r="C1684" s="17" t="s">
        <v>204</v>
      </c>
      <c r="D1684" s="15">
        <v>3.0</v>
      </c>
      <c r="E1684" s="17" t="s">
        <v>441</v>
      </c>
      <c r="F1684" s="15" t="s">
        <v>442</v>
      </c>
      <c r="G1684" s="46" t="s">
        <v>443</v>
      </c>
      <c r="H1684" s="47" t="s">
        <v>420</v>
      </c>
      <c r="I1684" s="48" t="s">
        <v>19</v>
      </c>
      <c r="J1684" s="49">
        <v>4.3712067E7</v>
      </c>
    </row>
    <row r="1685">
      <c r="A1685" s="45" t="s">
        <v>74</v>
      </c>
      <c r="B1685" s="16" t="s">
        <v>203</v>
      </c>
      <c r="C1685" s="17" t="s">
        <v>204</v>
      </c>
      <c r="D1685" s="15">
        <v>3.0</v>
      </c>
      <c r="E1685" s="17" t="s">
        <v>441</v>
      </c>
      <c r="F1685" s="15" t="s">
        <v>442</v>
      </c>
      <c r="G1685" s="46" t="s">
        <v>444</v>
      </c>
      <c r="H1685" s="47" t="s">
        <v>445</v>
      </c>
      <c r="I1685" s="48" t="s">
        <v>19</v>
      </c>
      <c r="J1685" s="49">
        <v>1.740505E7</v>
      </c>
    </row>
    <row r="1686">
      <c r="A1686" s="45" t="s">
        <v>74</v>
      </c>
      <c r="B1686" s="16" t="s">
        <v>203</v>
      </c>
      <c r="C1686" s="17" t="s">
        <v>204</v>
      </c>
      <c r="D1686" s="15">
        <v>3.0</v>
      </c>
      <c r="E1686" s="17" t="s">
        <v>441</v>
      </c>
      <c r="F1686" s="15" t="s">
        <v>442</v>
      </c>
      <c r="G1686" s="46" t="s">
        <v>579</v>
      </c>
      <c r="H1686" s="47" t="s">
        <v>580</v>
      </c>
      <c r="I1686" s="48" t="s">
        <v>19</v>
      </c>
      <c r="J1686" s="49">
        <v>4417940.0</v>
      </c>
    </row>
    <row r="1687">
      <c r="A1687" s="45" t="s">
        <v>74</v>
      </c>
      <c r="B1687" s="16" t="s">
        <v>203</v>
      </c>
      <c r="C1687" s="17" t="s">
        <v>204</v>
      </c>
      <c r="D1687" s="15">
        <v>3.0</v>
      </c>
      <c r="E1687" s="17" t="s">
        <v>441</v>
      </c>
      <c r="F1687" s="15" t="s">
        <v>442</v>
      </c>
      <c r="G1687" s="46" t="s">
        <v>446</v>
      </c>
      <c r="H1687" s="47" t="s">
        <v>447</v>
      </c>
      <c r="I1687" s="48" t="s">
        <v>19</v>
      </c>
      <c r="J1687" s="49">
        <v>459630.0</v>
      </c>
    </row>
    <row r="1688">
      <c r="A1688" s="45" t="s">
        <v>74</v>
      </c>
      <c r="B1688" s="16" t="s">
        <v>203</v>
      </c>
      <c r="C1688" s="17" t="s">
        <v>204</v>
      </c>
      <c r="D1688" s="15">
        <v>3.0</v>
      </c>
      <c r="E1688" s="17" t="s">
        <v>441</v>
      </c>
      <c r="F1688" s="15" t="s">
        <v>442</v>
      </c>
      <c r="G1688" s="46" t="s">
        <v>448</v>
      </c>
      <c r="H1688" s="47" t="s">
        <v>449</v>
      </c>
      <c r="I1688" s="48" t="s">
        <v>19</v>
      </c>
      <c r="J1688" s="49">
        <v>1284994.0</v>
      </c>
    </row>
    <row r="1689">
      <c r="A1689" s="45" t="s">
        <v>74</v>
      </c>
      <c r="B1689" s="16" t="s">
        <v>203</v>
      </c>
      <c r="C1689" s="17" t="s">
        <v>204</v>
      </c>
      <c r="D1689" s="15">
        <v>3.0</v>
      </c>
      <c r="E1689" s="17" t="s">
        <v>441</v>
      </c>
      <c r="F1689" s="15" t="s">
        <v>442</v>
      </c>
      <c r="G1689" s="46" t="s">
        <v>450</v>
      </c>
      <c r="H1689" s="47" t="s">
        <v>451</v>
      </c>
      <c r="I1689" s="48" t="s">
        <v>19</v>
      </c>
      <c r="J1689" s="49">
        <v>0.0</v>
      </c>
    </row>
    <row r="1690">
      <c r="A1690" s="45" t="s">
        <v>74</v>
      </c>
      <c r="B1690" s="16" t="s">
        <v>203</v>
      </c>
      <c r="C1690" s="17" t="s">
        <v>204</v>
      </c>
      <c r="D1690" s="15">
        <v>3.0</v>
      </c>
      <c r="E1690" s="17" t="s">
        <v>441</v>
      </c>
      <c r="F1690" s="15" t="s">
        <v>442</v>
      </c>
      <c r="G1690" s="46" t="s">
        <v>452</v>
      </c>
      <c r="H1690" s="47" t="s">
        <v>453</v>
      </c>
      <c r="I1690" s="48" t="s">
        <v>19</v>
      </c>
      <c r="J1690" s="49">
        <v>845015.0</v>
      </c>
    </row>
    <row r="1691">
      <c r="A1691" s="45" t="s">
        <v>74</v>
      </c>
      <c r="B1691" s="16" t="s">
        <v>203</v>
      </c>
      <c r="C1691" s="17" t="s">
        <v>204</v>
      </c>
      <c r="D1691" s="15">
        <v>3.0</v>
      </c>
      <c r="E1691" s="17" t="s">
        <v>441</v>
      </c>
      <c r="F1691" s="15" t="s">
        <v>442</v>
      </c>
      <c r="G1691" s="46" t="s">
        <v>454</v>
      </c>
      <c r="H1691" s="47" t="s">
        <v>415</v>
      </c>
      <c r="I1691" s="48" t="s">
        <v>19</v>
      </c>
      <c r="J1691" s="49">
        <v>114557.0</v>
      </c>
    </row>
    <row r="1692">
      <c r="A1692" s="45" t="s">
        <v>74</v>
      </c>
      <c r="B1692" s="16" t="s">
        <v>203</v>
      </c>
      <c r="C1692" s="17" t="s">
        <v>204</v>
      </c>
      <c r="D1692" s="15">
        <v>3.0</v>
      </c>
      <c r="E1692" s="17" t="s">
        <v>441</v>
      </c>
      <c r="F1692" s="15" t="s">
        <v>442</v>
      </c>
      <c r="G1692" s="46" t="s">
        <v>455</v>
      </c>
      <c r="H1692" s="47" t="s">
        <v>415</v>
      </c>
      <c r="I1692" s="48" t="s">
        <v>19</v>
      </c>
      <c r="J1692" s="49">
        <v>63643.0</v>
      </c>
    </row>
    <row r="1693">
      <c r="A1693" s="45" t="s">
        <v>74</v>
      </c>
      <c r="B1693" s="16" t="s">
        <v>203</v>
      </c>
      <c r="C1693" s="17" t="s">
        <v>204</v>
      </c>
      <c r="D1693" s="15">
        <v>3.0</v>
      </c>
      <c r="E1693" s="17" t="s">
        <v>456</v>
      </c>
      <c r="F1693" s="15" t="s">
        <v>457</v>
      </c>
      <c r="G1693" s="46" t="s">
        <v>515</v>
      </c>
      <c r="H1693" s="47" t="s">
        <v>413</v>
      </c>
      <c r="I1693" s="48" t="s">
        <v>19</v>
      </c>
      <c r="J1693" s="49">
        <v>5868456.0</v>
      </c>
    </row>
    <row r="1694">
      <c r="A1694" s="45" t="s">
        <v>74</v>
      </c>
      <c r="B1694" s="16" t="s">
        <v>203</v>
      </c>
      <c r="C1694" s="17" t="s">
        <v>204</v>
      </c>
      <c r="D1694" s="15">
        <v>3.0</v>
      </c>
      <c r="E1694" s="17" t="s">
        <v>456</v>
      </c>
      <c r="F1694" s="15" t="s">
        <v>457</v>
      </c>
      <c r="G1694" s="46" t="s">
        <v>579</v>
      </c>
      <c r="H1694" s="47" t="s">
        <v>580</v>
      </c>
      <c r="I1694" s="48" t="s">
        <v>19</v>
      </c>
      <c r="J1694" s="49">
        <v>586842.0</v>
      </c>
    </row>
    <row r="1695">
      <c r="A1695" s="45" t="s">
        <v>74</v>
      </c>
      <c r="B1695" s="16" t="s">
        <v>203</v>
      </c>
      <c r="C1695" s="17" t="s">
        <v>204</v>
      </c>
      <c r="D1695" s="15">
        <v>3.0</v>
      </c>
      <c r="E1695" s="17" t="s">
        <v>456</v>
      </c>
      <c r="F1695" s="15" t="s">
        <v>457</v>
      </c>
      <c r="G1695" s="46" t="s">
        <v>458</v>
      </c>
      <c r="H1695" s="47" t="s">
        <v>411</v>
      </c>
      <c r="I1695" s="48" t="s">
        <v>19</v>
      </c>
      <c r="J1695" s="49">
        <v>2.38706153E8</v>
      </c>
    </row>
    <row r="1696">
      <c r="A1696" s="45" t="s">
        <v>74</v>
      </c>
      <c r="B1696" s="16" t="s">
        <v>203</v>
      </c>
      <c r="C1696" s="17" t="s">
        <v>204</v>
      </c>
      <c r="D1696" s="15">
        <v>3.0</v>
      </c>
      <c r="E1696" s="17" t="s">
        <v>463</v>
      </c>
      <c r="F1696" s="15" t="s">
        <v>464</v>
      </c>
      <c r="G1696" s="46" t="s">
        <v>520</v>
      </c>
      <c r="H1696" s="47" t="s">
        <v>435</v>
      </c>
      <c r="I1696" s="48" t="s">
        <v>37</v>
      </c>
      <c r="J1696" s="49">
        <v>713865.0</v>
      </c>
    </row>
    <row r="1697">
      <c r="A1697" s="45" t="s">
        <v>74</v>
      </c>
      <c r="B1697" s="16" t="s">
        <v>203</v>
      </c>
      <c r="C1697" s="17" t="s">
        <v>204</v>
      </c>
      <c r="D1697" s="15">
        <v>3.0</v>
      </c>
      <c r="E1697" s="17" t="s">
        <v>463</v>
      </c>
      <c r="F1697" s="15" t="s">
        <v>464</v>
      </c>
      <c r="G1697" s="46" t="s">
        <v>519</v>
      </c>
      <c r="H1697" s="47" t="s">
        <v>414</v>
      </c>
      <c r="I1697" s="48" t="s">
        <v>37</v>
      </c>
      <c r="J1697" s="49">
        <v>525000.0</v>
      </c>
    </row>
    <row r="1698">
      <c r="A1698" s="45" t="s">
        <v>74</v>
      </c>
      <c r="B1698" s="16" t="s">
        <v>203</v>
      </c>
      <c r="C1698" s="17" t="s">
        <v>204</v>
      </c>
      <c r="D1698" s="15">
        <v>3.0</v>
      </c>
      <c r="E1698" s="17" t="s">
        <v>463</v>
      </c>
      <c r="F1698" s="15" t="s">
        <v>464</v>
      </c>
      <c r="G1698" s="46" t="s">
        <v>465</v>
      </c>
      <c r="H1698" s="47" t="s">
        <v>466</v>
      </c>
      <c r="I1698" s="48" t="s">
        <v>25</v>
      </c>
      <c r="J1698" s="49">
        <v>903000.0</v>
      </c>
    </row>
    <row r="1699">
      <c r="A1699" s="45" t="s">
        <v>74</v>
      </c>
      <c r="B1699" s="16" t="s">
        <v>203</v>
      </c>
      <c r="C1699" s="17" t="s">
        <v>204</v>
      </c>
      <c r="D1699" s="15">
        <v>3.0</v>
      </c>
      <c r="E1699" s="17" t="s">
        <v>463</v>
      </c>
      <c r="F1699" s="15" t="s">
        <v>464</v>
      </c>
      <c r="G1699" s="46" t="s">
        <v>467</v>
      </c>
      <c r="H1699" s="47" t="s">
        <v>468</v>
      </c>
      <c r="I1699" s="48" t="s">
        <v>25</v>
      </c>
      <c r="J1699" s="49">
        <v>631000.0</v>
      </c>
    </row>
    <row r="1700">
      <c r="A1700" s="45" t="s">
        <v>74</v>
      </c>
      <c r="B1700" s="16" t="s">
        <v>203</v>
      </c>
      <c r="C1700" s="17" t="s">
        <v>204</v>
      </c>
      <c r="D1700" s="15">
        <v>3.0</v>
      </c>
      <c r="E1700" s="17" t="s">
        <v>463</v>
      </c>
      <c r="F1700" s="15" t="s">
        <v>464</v>
      </c>
      <c r="G1700" s="46" t="s">
        <v>458</v>
      </c>
      <c r="H1700" s="47" t="s">
        <v>411</v>
      </c>
      <c r="I1700" s="48" t="s">
        <v>19</v>
      </c>
      <c r="J1700" s="49">
        <v>5962509.0</v>
      </c>
    </row>
    <row r="1701">
      <c r="A1701" s="45" t="s">
        <v>74</v>
      </c>
      <c r="B1701" s="16" t="s">
        <v>203</v>
      </c>
      <c r="C1701" s="17" t="s">
        <v>204</v>
      </c>
      <c r="D1701" s="15">
        <v>3.0</v>
      </c>
      <c r="E1701" s="17" t="s">
        <v>469</v>
      </c>
      <c r="F1701" s="15" t="s">
        <v>470</v>
      </c>
      <c r="G1701" s="46" t="s">
        <v>471</v>
      </c>
      <c r="H1701" s="47" t="s">
        <v>472</v>
      </c>
      <c r="I1701" s="48" t="s">
        <v>25</v>
      </c>
      <c r="J1701" s="49">
        <v>900000.0</v>
      </c>
    </row>
    <row r="1702">
      <c r="A1702" s="45" t="s">
        <v>74</v>
      </c>
      <c r="B1702" s="16" t="s">
        <v>203</v>
      </c>
      <c r="C1702" s="17" t="s">
        <v>204</v>
      </c>
      <c r="D1702" s="15">
        <v>3.0</v>
      </c>
      <c r="E1702" s="17" t="s">
        <v>473</v>
      </c>
      <c r="F1702" s="15" t="s">
        <v>474</v>
      </c>
      <c r="G1702" s="46" t="s">
        <v>554</v>
      </c>
      <c r="H1702" s="47" t="s">
        <v>555</v>
      </c>
      <c r="I1702" s="48" t="s">
        <v>17</v>
      </c>
      <c r="J1702" s="49">
        <v>428928.0</v>
      </c>
    </row>
    <row r="1703">
      <c r="A1703" s="45" t="s">
        <v>74</v>
      </c>
      <c r="B1703" s="16" t="s">
        <v>203</v>
      </c>
      <c r="C1703" s="17" t="s">
        <v>204</v>
      </c>
      <c r="D1703" s="15">
        <v>3.0</v>
      </c>
      <c r="E1703" s="17" t="s">
        <v>473</v>
      </c>
      <c r="F1703" s="15" t="s">
        <v>474</v>
      </c>
      <c r="G1703" s="46" t="s">
        <v>554</v>
      </c>
      <c r="H1703" s="47" t="s">
        <v>555</v>
      </c>
      <c r="I1703" s="48" t="s">
        <v>25</v>
      </c>
      <c r="J1703" s="49">
        <v>0.0</v>
      </c>
    </row>
    <row r="1704">
      <c r="A1704" s="45" t="s">
        <v>74</v>
      </c>
      <c r="B1704" s="16" t="s">
        <v>203</v>
      </c>
      <c r="C1704" s="17" t="s">
        <v>204</v>
      </c>
      <c r="D1704" s="15">
        <v>3.0</v>
      </c>
      <c r="E1704" s="17" t="s">
        <v>473</v>
      </c>
      <c r="F1704" s="15" t="s">
        <v>474</v>
      </c>
      <c r="G1704" s="46" t="s">
        <v>523</v>
      </c>
      <c r="H1704" s="47" t="s">
        <v>431</v>
      </c>
      <c r="I1704" s="48" t="s">
        <v>17</v>
      </c>
      <c r="J1704" s="49">
        <v>7.1764178E7</v>
      </c>
    </row>
    <row r="1705">
      <c r="A1705" s="45" t="s">
        <v>74</v>
      </c>
      <c r="B1705" s="16" t="s">
        <v>203</v>
      </c>
      <c r="C1705" s="17" t="s">
        <v>204</v>
      </c>
      <c r="D1705" s="15">
        <v>3.0</v>
      </c>
      <c r="E1705" s="17" t="s">
        <v>473</v>
      </c>
      <c r="F1705" s="15" t="s">
        <v>474</v>
      </c>
      <c r="G1705" s="46" t="s">
        <v>523</v>
      </c>
      <c r="H1705" s="47" t="s">
        <v>431</v>
      </c>
      <c r="I1705" s="48" t="s">
        <v>25</v>
      </c>
      <c r="J1705" s="49">
        <v>4397000.0</v>
      </c>
    </row>
    <row r="1706">
      <c r="A1706" s="45" t="s">
        <v>74</v>
      </c>
      <c r="B1706" s="16" t="s">
        <v>203</v>
      </c>
      <c r="C1706" s="17" t="s">
        <v>204</v>
      </c>
      <c r="D1706" s="15">
        <v>3.0</v>
      </c>
      <c r="E1706" s="17" t="s">
        <v>473</v>
      </c>
      <c r="F1706" s="15" t="s">
        <v>474</v>
      </c>
      <c r="G1706" s="46" t="s">
        <v>458</v>
      </c>
      <c r="H1706" s="47" t="s">
        <v>411</v>
      </c>
      <c r="I1706" s="48" t="s">
        <v>19</v>
      </c>
      <c r="J1706" s="49">
        <v>7.211809E7</v>
      </c>
    </row>
    <row r="1707">
      <c r="A1707" s="45" t="s">
        <v>74</v>
      </c>
      <c r="B1707" s="16" t="s">
        <v>203</v>
      </c>
      <c r="C1707" s="17" t="s">
        <v>204</v>
      </c>
      <c r="D1707" s="15">
        <v>3.0</v>
      </c>
      <c r="E1707" s="17" t="s">
        <v>491</v>
      </c>
      <c r="F1707" s="15" t="s">
        <v>492</v>
      </c>
      <c r="G1707" s="46" t="s">
        <v>493</v>
      </c>
      <c r="H1707" s="47" t="s">
        <v>437</v>
      </c>
      <c r="I1707" s="48" t="s">
        <v>25</v>
      </c>
      <c r="J1707" s="49">
        <v>4.1855E7</v>
      </c>
    </row>
    <row r="1708">
      <c r="A1708" s="45" t="s">
        <v>74</v>
      </c>
      <c r="B1708" s="16" t="s">
        <v>203</v>
      </c>
      <c r="C1708" s="17" t="s">
        <v>204</v>
      </c>
      <c r="D1708" s="15">
        <v>3.0</v>
      </c>
      <c r="E1708" s="17" t="s">
        <v>491</v>
      </c>
      <c r="F1708" s="15" t="s">
        <v>492</v>
      </c>
      <c r="G1708" s="46" t="s">
        <v>458</v>
      </c>
      <c r="H1708" s="47" t="s">
        <v>411</v>
      </c>
      <c r="I1708" s="48" t="s">
        <v>19</v>
      </c>
      <c r="J1708" s="49">
        <v>1.1925018E7</v>
      </c>
    </row>
    <row r="1709">
      <c r="A1709" s="45" t="s">
        <v>74</v>
      </c>
      <c r="B1709" s="16" t="s">
        <v>203</v>
      </c>
      <c r="C1709" s="17" t="s">
        <v>204</v>
      </c>
      <c r="D1709" s="15">
        <v>3.0</v>
      </c>
      <c r="E1709" s="17" t="s">
        <v>475</v>
      </c>
      <c r="F1709" s="15" t="s">
        <v>476</v>
      </c>
      <c r="G1709" s="46" t="s">
        <v>477</v>
      </c>
      <c r="H1709" s="47" t="s">
        <v>429</v>
      </c>
      <c r="I1709" s="48" t="s">
        <v>50</v>
      </c>
      <c r="J1709" s="49">
        <v>3.032926E7</v>
      </c>
    </row>
    <row r="1710">
      <c r="A1710" s="45" t="s">
        <v>74</v>
      </c>
      <c r="B1710" s="16" t="s">
        <v>203</v>
      </c>
      <c r="C1710" s="17" t="s">
        <v>204</v>
      </c>
      <c r="D1710" s="15">
        <v>3.0</v>
      </c>
      <c r="E1710" s="17" t="s">
        <v>524</v>
      </c>
      <c r="F1710" s="15" t="s">
        <v>479</v>
      </c>
      <c r="G1710" s="46" t="s">
        <v>443</v>
      </c>
      <c r="H1710" s="47" t="s">
        <v>420</v>
      </c>
      <c r="I1710" s="48" t="s">
        <v>19</v>
      </c>
      <c r="J1710" s="49">
        <v>7.4866306E7</v>
      </c>
    </row>
    <row r="1711">
      <c r="A1711" s="45" t="s">
        <v>74</v>
      </c>
      <c r="B1711" s="16" t="s">
        <v>203</v>
      </c>
      <c r="C1711" s="17" t="s">
        <v>204</v>
      </c>
      <c r="D1711" s="15">
        <v>3.0</v>
      </c>
      <c r="E1711" s="17" t="s">
        <v>524</v>
      </c>
      <c r="F1711" s="15" t="s">
        <v>479</v>
      </c>
      <c r="G1711" s="46" t="s">
        <v>444</v>
      </c>
      <c r="H1711" s="47" t="s">
        <v>445</v>
      </c>
      <c r="I1711" s="48" t="s">
        <v>19</v>
      </c>
      <c r="J1711" s="49">
        <v>1.8568241E7</v>
      </c>
    </row>
    <row r="1712">
      <c r="A1712" s="45" t="s">
        <v>74</v>
      </c>
      <c r="B1712" s="16" t="s">
        <v>203</v>
      </c>
      <c r="C1712" s="17" t="s">
        <v>204</v>
      </c>
      <c r="D1712" s="15">
        <v>3.0</v>
      </c>
      <c r="E1712" s="17" t="s">
        <v>524</v>
      </c>
      <c r="F1712" s="15" t="s">
        <v>479</v>
      </c>
      <c r="G1712" s="46" t="s">
        <v>579</v>
      </c>
      <c r="H1712" s="47" t="s">
        <v>580</v>
      </c>
      <c r="I1712" s="48" t="s">
        <v>19</v>
      </c>
      <c r="J1712" s="49">
        <v>7473144.0</v>
      </c>
    </row>
    <row r="1713">
      <c r="A1713" s="45" t="s">
        <v>74</v>
      </c>
      <c r="B1713" s="16" t="s">
        <v>203</v>
      </c>
      <c r="C1713" s="17" t="s">
        <v>204</v>
      </c>
      <c r="D1713" s="15">
        <v>3.0</v>
      </c>
      <c r="E1713" s="17" t="s">
        <v>524</v>
      </c>
      <c r="F1713" s="15" t="s">
        <v>479</v>
      </c>
      <c r="G1713" s="46" t="s">
        <v>446</v>
      </c>
      <c r="H1713" s="47" t="s">
        <v>447</v>
      </c>
      <c r="I1713" s="48" t="s">
        <v>19</v>
      </c>
      <c r="J1713" s="49">
        <v>854155.0</v>
      </c>
    </row>
    <row r="1714">
      <c r="A1714" s="45" t="s">
        <v>74</v>
      </c>
      <c r="B1714" s="16" t="s">
        <v>203</v>
      </c>
      <c r="C1714" s="17" t="s">
        <v>204</v>
      </c>
      <c r="D1714" s="15">
        <v>3.0</v>
      </c>
      <c r="E1714" s="17" t="s">
        <v>524</v>
      </c>
      <c r="F1714" s="15" t="s">
        <v>479</v>
      </c>
      <c r="G1714" s="46" t="s">
        <v>448</v>
      </c>
      <c r="H1714" s="47" t="s">
        <v>449</v>
      </c>
      <c r="I1714" s="48" t="s">
        <v>19</v>
      </c>
      <c r="J1714" s="49">
        <v>2522432.0</v>
      </c>
    </row>
    <row r="1715">
      <c r="A1715" s="45" t="s">
        <v>74</v>
      </c>
      <c r="B1715" s="16" t="s">
        <v>203</v>
      </c>
      <c r="C1715" s="17" t="s">
        <v>204</v>
      </c>
      <c r="D1715" s="15">
        <v>3.0</v>
      </c>
      <c r="E1715" s="17" t="s">
        <v>524</v>
      </c>
      <c r="F1715" s="15" t="s">
        <v>479</v>
      </c>
      <c r="G1715" s="46" t="s">
        <v>450</v>
      </c>
      <c r="H1715" s="47" t="s">
        <v>451</v>
      </c>
      <c r="I1715" s="48" t="s">
        <v>19</v>
      </c>
      <c r="J1715" s="49">
        <v>0.0</v>
      </c>
    </row>
    <row r="1716">
      <c r="A1716" s="45" t="s">
        <v>74</v>
      </c>
      <c r="B1716" s="16" t="s">
        <v>203</v>
      </c>
      <c r="C1716" s="17" t="s">
        <v>204</v>
      </c>
      <c r="D1716" s="15">
        <v>3.0</v>
      </c>
      <c r="E1716" s="17" t="s">
        <v>524</v>
      </c>
      <c r="F1716" s="15" t="s">
        <v>479</v>
      </c>
      <c r="G1716" s="46" t="s">
        <v>452</v>
      </c>
      <c r="H1716" s="47" t="s">
        <v>453</v>
      </c>
      <c r="I1716" s="48" t="s">
        <v>19</v>
      </c>
      <c r="J1716" s="49">
        <v>1580188.0</v>
      </c>
    </row>
    <row r="1717">
      <c r="A1717" s="45" t="s">
        <v>74</v>
      </c>
      <c r="B1717" s="16" t="s">
        <v>203</v>
      </c>
      <c r="C1717" s="17" t="s">
        <v>204</v>
      </c>
      <c r="D1717" s="15">
        <v>3.0</v>
      </c>
      <c r="E1717" s="17" t="s">
        <v>524</v>
      </c>
      <c r="F1717" s="15" t="s">
        <v>479</v>
      </c>
      <c r="G1717" s="46" t="s">
        <v>454</v>
      </c>
      <c r="H1717" s="47" t="s">
        <v>415</v>
      </c>
      <c r="I1717" s="48" t="s">
        <v>19</v>
      </c>
      <c r="J1717" s="49">
        <v>230622.0</v>
      </c>
    </row>
    <row r="1718">
      <c r="A1718" s="45" t="s">
        <v>74</v>
      </c>
      <c r="B1718" s="16" t="s">
        <v>203</v>
      </c>
      <c r="C1718" s="17" t="s">
        <v>204</v>
      </c>
      <c r="D1718" s="15">
        <v>3.0</v>
      </c>
      <c r="E1718" s="17" t="s">
        <v>524</v>
      </c>
      <c r="F1718" s="15" t="s">
        <v>479</v>
      </c>
      <c r="G1718" s="46" t="s">
        <v>455</v>
      </c>
      <c r="H1718" s="47" t="s">
        <v>415</v>
      </c>
      <c r="I1718" s="48" t="s">
        <v>19</v>
      </c>
      <c r="J1718" s="49">
        <v>128122.0</v>
      </c>
    </row>
    <row r="1719">
      <c r="A1719" s="45" t="s">
        <v>74</v>
      </c>
      <c r="B1719" s="16" t="s">
        <v>203</v>
      </c>
      <c r="C1719" s="17" t="s">
        <v>204</v>
      </c>
      <c r="D1719" s="15">
        <v>3.0</v>
      </c>
      <c r="E1719" s="17" t="s">
        <v>525</v>
      </c>
      <c r="F1719" s="15" t="s">
        <v>502</v>
      </c>
      <c r="G1719" s="46" t="s">
        <v>526</v>
      </c>
      <c r="H1719" s="47" t="s">
        <v>527</v>
      </c>
      <c r="I1719" s="48" t="s">
        <v>60</v>
      </c>
      <c r="J1719" s="49">
        <v>1.39650881E8</v>
      </c>
    </row>
    <row r="1720">
      <c r="A1720" s="45" t="s">
        <v>74</v>
      </c>
      <c r="B1720" s="16" t="s">
        <v>203</v>
      </c>
      <c r="C1720" s="17" t="s">
        <v>204</v>
      </c>
      <c r="D1720" s="15">
        <v>3.0</v>
      </c>
      <c r="E1720" s="17" t="s">
        <v>525</v>
      </c>
      <c r="F1720" s="15" t="s">
        <v>502</v>
      </c>
      <c r="G1720" s="46" t="s">
        <v>505</v>
      </c>
      <c r="H1720" s="47" t="s">
        <v>506</v>
      </c>
      <c r="I1720" s="48" t="s">
        <v>60</v>
      </c>
      <c r="J1720" s="49">
        <v>6647720.0</v>
      </c>
    </row>
    <row r="1721">
      <c r="A1721" s="45" t="s">
        <v>74</v>
      </c>
      <c r="B1721" s="16" t="s">
        <v>203</v>
      </c>
      <c r="C1721" s="17" t="s">
        <v>204</v>
      </c>
      <c r="D1721" s="15">
        <v>3.0</v>
      </c>
      <c r="E1721" s="17" t="s">
        <v>525</v>
      </c>
      <c r="F1721" s="15" t="s">
        <v>502</v>
      </c>
      <c r="G1721" s="46" t="s">
        <v>507</v>
      </c>
      <c r="H1721" s="47" t="s">
        <v>508</v>
      </c>
      <c r="I1721" s="48" t="s">
        <v>60</v>
      </c>
      <c r="J1721" s="49">
        <v>1130302.0</v>
      </c>
    </row>
    <row r="1722">
      <c r="A1722" s="45" t="s">
        <v>74</v>
      </c>
      <c r="B1722" s="16" t="s">
        <v>203</v>
      </c>
      <c r="C1722" s="17" t="s">
        <v>204</v>
      </c>
      <c r="D1722" s="15">
        <v>3.0</v>
      </c>
      <c r="E1722" s="17" t="s">
        <v>525</v>
      </c>
      <c r="F1722" s="15" t="s">
        <v>502</v>
      </c>
      <c r="G1722" s="46" t="s">
        <v>509</v>
      </c>
      <c r="H1722" s="47" t="s">
        <v>510</v>
      </c>
      <c r="I1722" s="48" t="s">
        <v>60</v>
      </c>
      <c r="J1722" s="49">
        <v>2065112.0</v>
      </c>
    </row>
    <row r="1723">
      <c r="A1723" s="45" t="s">
        <v>74</v>
      </c>
      <c r="B1723" s="16" t="s">
        <v>203</v>
      </c>
      <c r="C1723" s="17" t="s">
        <v>204</v>
      </c>
      <c r="D1723" s="15">
        <v>3.0</v>
      </c>
      <c r="E1723" s="17" t="s">
        <v>525</v>
      </c>
      <c r="F1723" s="15" t="s">
        <v>502</v>
      </c>
      <c r="G1723" s="46" t="s">
        <v>511</v>
      </c>
      <c r="H1723" s="47" t="s">
        <v>512</v>
      </c>
      <c r="I1723" s="48" t="s">
        <v>60</v>
      </c>
      <c r="J1723" s="49">
        <v>9.5889076E7</v>
      </c>
    </row>
    <row r="1724">
      <c r="A1724" s="45" t="s">
        <v>74</v>
      </c>
      <c r="B1724" s="16" t="s">
        <v>203</v>
      </c>
      <c r="C1724" s="17" t="s">
        <v>204</v>
      </c>
      <c r="D1724" s="15">
        <v>3.0</v>
      </c>
      <c r="E1724" s="17" t="s">
        <v>525</v>
      </c>
      <c r="F1724" s="15" t="s">
        <v>502</v>
      </c>
      <c r="G1724" s="46" t="s">
        <v>513</v>
      </c>
      <c r="H1724" s="47" t="s">
        <v>514</v>
      </c>
      <c r="I1724" s="48" t="s">
        <v>60</v>
      </c>
      <c r="J1724" s="49">
        <v>2182516.0</v>
      </c>
    </row>
    <row r="1725">
      <c r="A1725" s="45" t="s">
        <v>74</v>
      </c>
      <c r="B1725" s="16" t="s">
        <v>203</v>
      </c>
      <c r="C1725" s="17" t="s">
        <v>204</v>
      </c>
      <c r="D1725" s="15">
        <v>3.0</v>
      </c>
      <c r="E1725" s="17" t="s">
        <v>548</v>
      </c>
      <c r="F1725" s="15" t="s">
        <v>549</v>
      </c>
      <c r="G1725" s="46" t="s">
        <v>550</v>
      </c>
      <c r="H1725" s="47" t="s">
        <v>551</v>
      </c>
      <c r="I1725" s="48" t="s">
        <v>25</v>
      </c>
      <c r="J1725" s="49">
        <v>8.3088E7</v>
      </c>
    </row>
    <row r="1726">
      <c r="A1726" s="45" t="s">
        <v>74</v>
      </c>
      <c r="B1726" s="16" t="s">
        <v>212</v>
      </c>
      <c r="C1726" s="17" t="s">
        <v>213</v>
      </c>
      <c r="D1726" s="15">
        <v>3.0</v>
      </c>
      <c r="E1726" s="17" t="s">
        <v>441</v>
      </c>
      <c r="F1726" s="15" t="s">
        <v>442</v>
      </c>
      <c r="G1726" s="46" t="s">
        <v>443</v>
      </c>
      <c r="H1726" s="47" t="s">
        <v>420</v>
      </c>
      <c r="I1726" s="48" t="s">
        <v>19</v>
      </c>
      <c r="J1726" s="49">
        <v>4.4936979E7</v>
      </c>
    </row>
    <row r="1727">
      <c r="A1727" s="45" t="s">
        <v>74</v>
      </c>
      <c r="B1727" s="16" t="s">
        <v>212</v>
      </c>
      <c r="C1727" s="17" t="s">
        <v>213</v>
      </c>
      <c r="D1727" s="15">
        <v>3.0</v>
      </c>
      <c r="E1727" s="17" t="s">
        <v>441</v>
      </c>
      <c r="F1727" s="15" t="s">
        <v>442</v>
      </c>
      <c r="G1727" s="46" t="s">
        <v>444</v>
      </c>
      <c r="H1727" s="47" t="s">
        <v>445</v>
      </c>
      <c r="I1727" s="48" t="s">
        <v>19</v>
      </c>
      <c r="J1727" s="49">
        <v>1.8553783E7</v>
      </c>
    </row>
    <row r="1728">
      <c r="A1728" s="45" t="s">
        <v>74</v>
      </c>
      <c r="B1728" s="16" t="s">
        <v>212</v>
      </c>
      <c r="C1728" s="17" t="s">
        <v>213</v>
      </c>
      <c r="D1728" s="15">
        <v>3.0</v>
      </c>
      <c r="E1728" s="17" t="s">
        <v>441</v>
      </c>
      <c r="F1728" s="15" t="s">
        <v>442</v>
      </c>
      <c r="G1728" s="46" t="s">
        <v>579</v>
      </c>
      <c r="H1728" s="47" t="s">
        <v>580</v>
      </c>
      <c r="I1728" s="48" t="s">
        <v>19</v>
      </c>
      <c r="J1728" s="49">
        <v>4863494.0</v>
      </c>
    </row>
    <row r="1729">
      <c r="A1729" s="45" t="s">
        <v>74</v>
      </c>
      <c r="B1729" s="16" t="s">
        <v>212</v>
      </c>
      <c r="C1729" s="17" t="s">
        <v>213</v>
      </c>
      <c r="D1729" s="15">
        <v>3.0</v>
      </c>
      <c r="E1729" s="17" t="s">
        <v>441</v>
      </c>
      <c r="F1729" s="15" t="s">
        <v>442</v>
      </c>
      <c r="G1729" s="46" t="s">
        <v>446</v>
      </c>
      <c r="H1729" s="47" t="s">
        <v>447</v>
      </c>
      <c r="I1729" s="48" t="s">
        <v>19</v>
      </c>
      <c r="J1729" s="49">
        <v>513556.0</v>
      </c>
    </row>
    <row r="1730">
      <c r="A1730" s="45" t="s">
        <v>74</v>
      </c>
      <c r="B1730" s="16" t="s">
        <v>212</v>
      </c>
      <c r="C1730" s="17" t="s">
        <v>213</v>
      </c>
      <c r="D1730" s="15">
        <v>3.0</v>
      </c>
      <c r="E1730" s="17" t="s">
        <v>441</v>
      </c>
      <c r="F1730" s="15" t="s">
        <v>442</v>
      </c>
      <c r="G1730" s="46" t="s">
        <v>448</v>
      </c>
      <c r="H1730" s="47" t="s">
        <v>449</v>
      </c>
      <c r="I1730" s="48" t="s">
        <v>19</v>
      </c>
      <c r="J1730" s="49">
        <v>1528109.0</v>
      </c>
    </row>
    <row r="1731">
      <c r="A1731" s="45" t="s">
        <v>74</v>
      </c>
      <c r="B1731" s="16" t="s">
        <v>212</v>
      </c>
      <c r="C1731" s="17" t="s">
        <v>213</v>
      </c>
      <c r="D1731" s="15">
        <v>3.0</v>
      </c>
      <c r="E1731" s="17" t="s">
        <v>441</v>
      </c>
      <c r="F1731" s="15" t="s">
        <v>442</v>
      </c>
      <c r="G1731" s="46" t="s">
        <v>450</v>
      </c>
      <c r="H1731" s="47" t="s">
        <v>451</v>
      </c>
      <c r="I1731" s="48" t="s">
        <v>19</v>
      </c>
      <c r="J1731" s="49">
        <v>0.0</v>
      </c>
    </row>
    <row r="1732">
      <c r="A1732" s="45" t="s">
        <v>74</v>
      </c>
      <c r="B1732" s="16" t="s">
        <v>212</v>
      </c>
      <c r="C1732" s="17" t="s">
        <v>213</v>
      </c>
      <c r="D1732" s="15">
        <v>3.0</v>
      </c>
      <c r="E1732" s="17" t="s">
        <v>441</v>
      </c>
      <c r="F1732" s="15" t="s">
        <v>442</v>
      </c>
      <c r="G1732" s="46" t="s">
        <v>452</v>
      </c>
      <c r="H1732" s="47" t="s">
        <v>453</v>
      </c>
      <c r="I1732" s="48" t="s">
        <v>19</v>
      </c>
      <c r="J1732" s="49">
        <v>955528.0</v>
      </c>
    </row>
    <row r="1733">
      <c r="A1733" s="45" t="s">
        <v>74</v>
      </c>
      <c r="B1733" s="16" t="s">
        <v>212</v>
      </c>
      <c r="C1733" s="17" t="s">
        <v>213</v>
      </c>
      <c r="D1733" s="15">
        <v>3.0</v>
      </c>
      <c r="E1733" s="17" t="s">
        <v>441</v>
      </c>
      <c r="F1733" s="15" t="s">
        <v>442</v>
      </c>
      <c r="G1733" s="46" t="s">
        <v>454</v>
      </c>
      <c r="H1733" s="47" t="s">
        <v>415</v>
      </c>
      <c r="I1733" s="48" t="s">
        <v>19</v>
      </c>
      <c r="J1733" s="49">
        <v>139456.0</v>
      </c>
    </row>
    <row r="1734">
      <c r="A1734" s="45" t="s">
        <v>74</v>
      </c>
      <c r="B1734" s="16" t="s">
        <v>212</v>
      </c>
      <c r="C1734" s="17" t="s">
        <v>213</v>
      </c>
      <c r="D1734" s="15">
        <v>3.0</v>
      </c>
      <c r="E1734" s="17" t="s">
        <v>441</v>
      </c>
      <c r="F1734" s="15" t="s">
        <v>442</v>
      </c>
      <c r="G1734" s="46" t="s">
        <v>455</v>
      </c>
      <c r="H1734" s="47" t="s">
        <v>415</v>
      </c>
      <c r="I1734" s="48" t="s">
        <v>19</v>
      </c>
      <c r="J1734" s="49">
        <v>77475.0</v>
      </c>
    </row>
    <row r="1735">
      <c r="A1735" s="45" t="s">
        <v>74</v>
      </c>
      <c r="B1735" s="16" t="s">
        <v>212</v>
      </c>
      <c r="C1735" s="17" t="s">
        <v>213</v>
      </c>
      <c r="D1735" s="15">
        <v>3.0</v>
      </c>
      <c r="E1735" s="17" t="s">
        <v>441</v>
      </c>
      <c r="F1735" s="15" t="s">
        <v>442</v>
      </c>
      <c r="G1735" s="46" t="s">
        <v>480</v>
      </c>
      <c r="H1735" s="47" t="s">
        <v>481</v>
      </c>
      <c r="I1735" s="48" t="s">
        <v>19</v>
      </c>
      <c r="J1735" s="49">
        <v>1742630.0</v>
      </c>
    </row>
    <row r="1736">
      <c r="A1736" s="45" t="s">
        <v>74</v>
      </c>
      <c r="B1736" s="16" t="s">
        <v>212</v>
      </c>
      <c r="C1736" s="17" t="s">
        <v>213</v>
      </c>
      <c r="D1736" s="15">
        <v>3.0</v>
      </c>
      <c r="E1736" s="17" t="s">
        <v>456</v>
      </c>
      <c r="F1736" s="15" t="s">
        <v>457</v>
      </c>
      <c r="G1736" s="46" t="s">
        <v>515</v>
      </c>
      <c r="H1736" s="47" t="s">
        <v>413</v>
      </c>
      <c r="I1736" s="48" t="s">
        <v>19</v>
      </c>
      <c r="J1736" s="49">
        <v>4300000.0</v>
      </c>
    </row>
    <row r="1737">
      <c r="A1737" s="45" t="s">
        <v>74</v>
      </c>
      <c r="B1737" s="16" t="s">
        <v>212</v>
      </c>
      <c r="C1737" s="17" t="s">
        <v>213</v>
      </c>
      <c r="D1737" s="15">
        <v>3.0</v>
      </c>
      <c r="E1737" s="17" t="s">
        <v>456</v>
      </c>
      <c r="F1737" s="15" t="s">
        <v>457</v>
      </c>
      <c r="G1737" s="46" t="s">
        <v>579</v>
      </c>
      <c r="H1737" s="47" t="s">
        <v>580</v>
      </c>
      <c r="I1737" s="48" t="s">
        <v>19</v>
      </c>
      <c r="J1737" s="49">
        <v>350000.0</v>
      </c>
    </row>
    <row r="1738">
      <c r="A1738" s="45" t="s">
        <v>74</v>
      </c>
      <c r="B1738" s="16" t="s">
        <v>212</v>
      </c>
      <c r="C1738" s="17" t="s">
        <v>213</v>
      </c>
      <c r="D1738" s="15">
        <v>3.0</v>
      </c>
      <c r="E1738" s="17" t="s">
        <v>456</v>
      </c>
      <c r="F1738" s="15" t="s">
        <v>457</v>
      </c>
      <c r="G1738" s="46" t="s">
        <v>458</v>
      </c>
      <c r="H1738" s="47" t="s">
        <v>411</v>
      </c>
      <c r="I1738" s="48" t="s">
        <v>19</v>
      </c>
      <c r="J1738" s="49">
        <v>2.23543036E8</v>
      </c>
    </row>
    <row r="1739">
      <c r="A1739" s="45" t="s">
        <v>74</v>
      </c>
      <c r="B1739" s="16" t="s">
        <v>212</v>
      </c>
      <c r="C1739" s="17" t="s">
        <v>213</v>
      </c>
      <c r="D1739" s="15">
        <v>3.0</v>
      </c>
      <c r="E1739" s="17" t="s">
        <v>482</v>
      </c>
      <c r="F1739" s="15" t="s">
        <v>483</v>
      </c>
      <c r="G1739" s="46" t="s">
        <v>520</v>
      </c>
      <c r="H1739" s="47" t="s">
        <v>435</v>
      </c>
      <c r="I1739" s="48" t="s">
        <v>37</v>
      </c>
      <c r="J1739" s="49">
        <v>796566.0</v>
      </c>
    </row>
    <row r="1740">
      <c r="A1740" s="45" t="s">
        <v>74</v>
      </c>
      <c r="B1740" s="16" t="s">
        <v>212</v>
      </c>
      <c r="C1740" s="17" t="s">
        <v>213</v>
      </c>
      <c r="D1740" s="15">
        <v>3.0</v>
      </c>
      <c r="E1740" s="17" t="s">
        <v>482</v>
      </c>
      <c r="F1740" s="15" t="s">
        <v>483</v>
      </c>
      <c r="G1740" s="46" t="s">
        <v>465</v>
      </c>
      <c r="H1740" s="47" t="s">
        <v>466</v>
      </c>
      <c r="I1740" s="48" t="s">
        <v>25</v>
      </c>
      <c r="J1740" s="49">
        <v>785000.0</v>
      </c>
    </row>
    <row r="1741">
      <c r="A1741" s="45" t="s">
        <v>74</v>
      </c>
      <c r="B1741" s="16" t="s">
        <v>212</v>
      </c>
      <c r="C1741" s="17" t="s">
        <v>213</v>
      </c>
      <c r="D1741" s="15">
        <v>3.0</v>
      </c>
      <c r="E1741" s="17" t="s">
        <v>459</v>
      </c>
      <c r="F1741" s="15" t="s">
        <v>460</v>
      </c>
      <c r="G1741" s="46" t="s">
        <v>458</v>
      </c>
      <c r="H1741" s="47" t="s">
        <v>411</v>
      </c>
      <c r="I1741" s="48" t="s">
        <v>19</v>
      </c>
      <c r="J1741" s="49">
        <v>8931094.0</v>
      </c>
    </row>
    <row r="1742">
      <c r="A1742" s="45" t="s">
        <v>74</v>
      </c>
      <c r="B1742" s="16" t="s">
        <v>212</v>
      </c>
      <c r="C1742" s="17" t="s">
        <v>213</v>
      </c>
      <c r="D1742" s="15">
        <v>3.0</v>
      </c>
      <c r="E1742" s="17" t="s">
        <v>463</v>
      </c>
      <c r="F1742" s="15" t="s">
        <v>464</v>
      </c>
      <c r="G1742" s="46" t="s">
        <v>581</v>
      </c>
      <c r="H1742" s="47" t="s">
        <v>582</v>
      </c>
      <c r="I1742" s="48" t="s">
        <v>25</v>
      </c>
      <c r="J1742" s="49">
        <v>3152500.0</v>
      </c>
    </row>
    <row r="1743">
      <c r="A1743" s="45" t="s">
        <v>74</v>
      </c>
      <c r="B1743" s="16" t="s">
        <v>212</v>
      </c>
      <c r="C1743" s="17" t="s">
        <v>213</v>
      </c>
      <c r="D1743" s="15">
        <v>3.0</v>
      </c>
      <c r="E1743" s="17" t="s">
        <v>463</v>
      </c>
      <c r="F1743" s="15" t="s">
        <v>464</v>
      </c>
      <c r="G1743" s="46" t="s">
        <v>458</v>
      </c>
      <c r="H1743" s="47" t="s">
        <v>411</v>
      </c>
      <c r="I1743" s="48" t="s">
        <v>19</v>
      </c>
      <c r="J1743" s="49">
        <v>5.3386224E7</v>
      </c>
    </row>
    <row r="1744">
      <c r="A1744" s="45" t="s">
        <v>74</v>
      </c>
      <c r="B1744" s="16" t="s">
        <v>212</v>
      </c>
      <c r="C1744" s="17" t="s">
        <v>213</v>
      </c>
      <c r="D1744" s="15">
        <v>3.0</v>
      </c>
      <c r="E1744" s="17" t="s">
        <v>463</v>
      </c>
      <c r="F1744" s="15" t="s">
        <v>464</v>
      </c>
      <c r="G1744" s="46" t="s">
        <v>477</v>
      </c>
      <c r="H1744" s="47" t="s">
        <v>429</v>
      </c>
      <c r="I1744" s="48" t="s">
        <v>50</v>
      </c>
      <c r="J1744" s="49">
        <v>4605642.0</v>
      </c>
    </row>
    <row r="1745">
      <c r="A1745" s="45" t="s">
        <v>74</v>
      </c>
      <c r="B1745" s="16" t="s">
        <v>212</v>
      </c>
      <c r="C1745" s="17" t="s">
        <v>213</v>
      </c>
      <c r="D1745" s="15">
        <v>3.0</v>
      </c>
      <c r="E1745" s="17" t="s">
        <v>487</v>
      </c>
      <c r="F1745" s="15" t="s">
        <v>488</v>
      </c>
      <c r="G1745" s="46" t="s">
        <v>489</v>
      </c>
      <c r="H1745" s="47" t="s">
        <v>490</v>
      </c>
      <c r="I1745" s="48" t="s">
        <v>25</v>
      </c>
      <c r="J1745" s="49">
        <v>1510000.0</v>
      </c>
    </row>
    <row r="1746">
      <c r="A1746" s="45" t="s">
        <v>74</v>
      </c>
      <c r="B1746" s="16" t="s">
        <v>212</v>
      </c>
      <c r="C1746" s="17" t="s">
        <v>213</v>
      </c>
      <c r="D1746" s="15">
        <v>3.0</v>
      </c>
      <c r="E1746" s="17" t="s">
        <v>487</v>
      </c>
      <c r="F1746" s="15" t="s">
        <v>488</v>
      </c>
      <c r="G1746" s="46" t="s">
        <v>554</v>
      </c>
      <c r="H1746" s="47" t="s">
        <v>555</v>
      </c>
      <c r="I1746" s="48" t="s">
        <v>17</v>
      </c>
      <c r="J1746" s="49">
        <v>2.1403659E7</v>
      </c>
    </row>
    <row r="1747">
      <c r="A1747" s="45" t="s">
        <v>74</v>
      </c>
      <c r="B1747" s="16" t="s">
        <v>212</v>
      </c>
      <c r="C1747" s="17" t="s">
        <v>213</v>
      </c>
      <c r="D1747" s="15">
        <v>3.0</v>
      </c>
      <c r="E1747" s="17" t="s">
        <v>487</v>
      </c>
      <c r="F1747" s="15" t="s">
        <v>488</v>
      </c>
      <c r="G1747" s="46" t="s">
        <v>554</v>
      </c>
      <c r="H1747" s="47" t="s">
        <v>555</v>
      </c>
      <c r="I1747" s="48" t="s">
        <v>25</v>
      </c>
      <c r="J1747" s="49">
        <v>-2.1403659E7</v>
      </c>
    </row>
    <row r="1748">
      <c r="A1748" s="45" t="s">
        <v>74</v>
      </c>
      <c r="B1748" s="16" t="s">
        <v>212</v>
      </c>
      <c r="C1748" s="17" t="s">
        <v>213</v>
      </c>
      <c r="D1748" s="15">
        <v>3.0</v>
      </c>
      <c r="E1748" s="17" t="s">
        <v>487</v>
      </c>
      <c r="F1748" s="15" t="s">
        <v>488</v>
      </c>
      <c r="G1748" s="46" t="s">
        <v>486</v>
      </c>
      <c r="H1748" s="47" t="s">
        <v>432</v>
      </c>
      <c r="I1748" s="48" t="s">
        <v>25</v>
      </c>
      <c r="J1748" s="49">
        <v>4837500.0</v>
      </c>
    </row>
    <row r="1749">
      <c r="A1749" s="45" t="s">
        <v>74</v>
      </c>
      <c r="B1749" s="16" t="s">
        <v>212</v>
      </c>
      <c r="C1749" s="17" t="s">
        <v>213</v>
      </c>
      <c r="D1749" s="15">
        <v>3.0</v>
      </c>
      <c r="E1749" s="17" t="s">
        <v>556</v>
      </c>
      <c r="F1749" s="15" t="s">
        <v>557</v>
      </c>
      <c r="G1749" s="46" t="s">
        <v>544</v>
      </c>
      <c r="H1749" s="47" t="s">
        <v>421</v>
      </c>
      <c r="I1749" s="48" t="s">
        <v>25</v>
      </c>
      <c r="J1749" s="49">
        <v>0.0</v>
      </c>
    </row>
    <row r="1750">
      <c r="A1750" s="45" t="s">
        <v>74</v>
      </c>
      <c r="B1750" s="16" t="s">
        <v>212</v>
      </c>
      <c r="C1750" s="17" t="s">
        <v>213</v>
      </c>
      <c r="D1750" s="15">
        <v>3.0</v>
      </c>
      <c r="E1750" s="17" t="s">
        <v>469</v>
      </c>
      <c r="F1750" s="15" t="s">
        <v>470</v>
      </c>
      <c r="G1750" s="46" t="s">
        <v>544</v>
      </c>
      <c r="H1750" s="47" t="s">
        <v>421</v>
      </c>
      <c r="I1750" s="48" t="s">
        <v>25</v>
      </c>
      <c r="J1750" s="49">
        <v>5583000.0</v>
      </c>
    </row>
    <row r="1751">
      <c r="A1751" s="45" t="s">
        <v>74</v>
      </c>
      <c r="B1751" s="16" t="s">
        <v>212</v>
      </c>
      <c r="C1751" s="17" t="s">
        <v>213</v>
      </c>
      <c r="D1751" s="15">
        <v>3.0</v>
      </c>
      <c r="E1751" s="17" t="s">
        <v>469</v>
      </c>
      <c r="F1751" s="15" t="s">
        <v>470</v>
      </c>
      <c r="G1751" s="46" t="s">
        <v>516</v>
      </c>
      <c r="H1751" s="47" t="s">
        <v>436</v>
      </c>
      <c r="I1751" s="48" t="s">
        <v>25</v>
      </c>
      <c r="J1751" s="49">
        <v>126000.0</v>
      </c>
    </row>
    <row r="1752">
      <c r="A1752" s="45" t="s">
        <v>74</v>
      </c>
      <c r="B1752" s="16" t="s">
        <v>212</v>
      </c>
      <c r="C1752" s="17" t="s">
        <v>213</v>
      </c>
      <c r="D1752" s="15">
        <v>3.0</v>
      </c>
      <c r="E1752" s="17" t="s">
        <v>469</v>
      </c>
      <c r="F1752" s="15" t="s">
        <v>470</v>
      </c>
      <c r="G1752" s="46" t="s">
        <v>517</v>
      </c>
      <c r="H1752" s="47" t="s">
        <v>518</v>
      </c>
      <c r="I1752" s="48" t="s">
        <v>25</v>
      </c>
      <c r="J1752" s="49">
        <v>2780000.0</v>
      </c>
    </row>
    <row r="1753">
      <c r="A1753" s="45" t="s">
        <v>74</v>
      </c>
      <c r="B1753" s="16" t="s">
        <v>212</v>
      </c>
      <c r="C1753" s="17" t="s">
        <v>213</v>
      </c>
      <c r="D1753" s="15">
        <v>3.0</v>
      </c>
      <c r="E1753" s="17" t="s">
        <v>473</v>
      </c>
      <c r="F1753" s="15" t="s">
        <v>474</v>
      </c>
      <c r="G1753" s="46" t="s">
        <v>523</v>
      </c>
      <c r="H1753" s="47" t="s">
        <v>431</v>
      </c>
      <c r="I1753" s="48" t="s">
        <v>17</v>
      </c>
      <c r="J1753" s="49">
        <v>7.6089734E7</v>
      </c>
    </row>
    <row r="1754">
      <c r="A1754" s="45" t="s">
        <v>74</v>
      </c>
      <c r="B1754" s="16" t="s">
        <v>212</v>
      </c>
      <c r="C1754" s="17" t="s">
        <v>213</v>
      </c>
      <c r="D1754" s="15">
        <v>3.0</v>
      </c>
      <c r="E1754" s="17" t="s">
        <v>473</v>
      </c>
      <c r="F1754" s="15" t="s">
        <v>474</v>
      </c>
      <c r="G1754" s="46" t="s">
        <v>523</v>
      </c>
      <c r="H1754" s="47" t="s">
        <v>431</v>
      </c>
      <c r="I1754" s="48" t="s">
        <v>25</v>
      </c>
      <c r="J1754" s="49">
        <v>1.5E7</v>
      </c>
    </row>
    <row r="1755">
      <c r="A1755" s="45" t="s">
        <v>74</v>
      </c>
      <c r="B1755" s="16" t="s">
        <v>212</v>
      </c>
      <c r="C1755" s="17" t="s">
        <v>213</v>
      </c>
      <c r="D1755" s="15">
        <v>3.0</v>
      </c>
      <c r="E1755" s="17" t="s">
        <v>473</v>
      </c>
      <c r="F1755" s="15" t="s">
        <v>474</v>
      </c>
      <c r="G1755" s="46" t="s">
        <v>458</v>
      </c>
      <c r="H1755" s="47" t="s">
        <v>411</v>
      </c>
      <c r="I1755" s="48" t="s">
        <v>19</v>
      </c>
      <c r="J1755" s="49">
        <v>5.957766E7</v>
      </c>
    </row>
    <row r="1756">
      <c r="A1756" s="45" t="s">
        <v>74</v>
      </c>
      <c r="B1756" s="16" t="s">
        <v>212</v>
      </c>
      <c r="C1756" s="17" t="s">
        <v>213</v>
      </c>
      <c r="D1756" s="15">
        <v>3.0</v>
      </c>
      <c r="E1756" s="17" t="s">
        <v>473</v>
      </c>
      <c r="F1756" s="15" t="s">
        <v>474</v>
      </c>
      <c r="G1756" s="46" t="s">
        <v>560</v>
      </c>
      <c r="H1756" s="47" t="s">
        <v>433</v>
      </c>
      <c r="I1756" s="48" t="s">
        <v>25</v>
      </c>
      <c r="J1756" s="49">
        <v>3647000.0</v>
      </c>
    </row>
    <row r="1757">
      <c r="A1757" s="45" t="s">
        <v>74</v>
      </c>
      <c r="B1757" s="16" t="s">
        <v>212</v>
      </c>
      <c r="C1757" s="17" t="s">
        <v>213</v>
      </c>
      <c r="D1757" s="15">
        <v>3.0</v>
      </c>
      <c r="E1757" s="17" t="s">
        <v>491</v>
      </c>
      <c r="F1757" s="15" t="s">
        <v>492</v>
      </c>
      <c r="G1757" s="46" t="s">
        <v>545</v>
      </c>
      <c r="H1757" s="47" t="s">
        <v>427</v>
      </c>
      <c r="I1757" s="48" t="s">
        <v>37</v>
      </c>
      <c r="J1757" s="49">
        <v>5.2724419E7</v>
      </c>
    </row>
    <row r="1758">
      <c r="A1758" s="45" t="s">
        <v>74</v>
      </c>
      <c r="B1758" s="16" t="s">
        <v>212</v>
      </c>
      <c r="C1758" s="17" t="s">
        <v>213</v>
      </c>
      <c r="D1758" s="15">
        <v>3.0</v>
      </c>
      <c r="E1758" s="17" t="s">
        <v>491</v>
      </c>
      <c r="F1758" s="15" t="s">
        <v>492</v>
      </c>
      <c r="G1758" s="46" t="s">
        <v>521</v>
      </c>
      <c r="H1758" s="47" t="s">
        <v>522</v>
      </c>
      <c r="I1758" s="48" t="s">
        <v>37</v>
      </c>
      <c r="J1758" s="49">
        <v>788565.0</v>
      </c>
    </row>
    <row r="1759">
      <c r="A1759" s="45" t="s">
        <v>74</v>
      </c>
      <c r="B1759" s="16" t="s">
        <v>212</v>
      </c>
      <c r="C1759" s="17" t="s">
        <v>213</v>
      </c>
      <c r="D1759" s="15">
        <v>3.0</v>
      </c>
      <c r="E1759" s="17" t="s">
        <v>491</v>
      </c>
      <c r="F1759" s="15" t="s">
        <v>492</v>
      </c>
      <c r="G1759" s="46" t="s">
        <v>544</v>
      </c>
      <c r="H1759" s="47" t="s">
        <v>421</v>
      </c>
      <c r="I1759" s="48" t="s">
        <v>17</v>
      </c>
      <c r="J1759" s="49">
        <v>8.495E7</v>
      </c>
    </row>
    <row r="1760">
      <c r="A1760" s="45" t="s">
        <v>74</v>
      </c>
      <c r="B1760" s="16" t="s">
        <v>212</v>
      </c>
      <c r="C1760" s="17" t="s">
        <v>213</v>
      </c>
      <c r="D1760" s="15">
        <v>3.0</v>
      </c>
      <c r="E1760" s="17" t="s">
        <v>491</v>
      </c>
      <c r="F1760" s="15" t="s">
        <v>492</v>
      </c>
      <c r="G1760" s="46" t="s">
        <v>544</v>
      </c>
      <c r="H1760" s="47" t="s">
        <v>421</v>
      </c>
      <c r="I1760" s="48" t="s">
        <v>37</v>
      </c>
      <c r="J1760" s="49">
        <v>2418878.0</v>
      </c>
    </row>
    <row r="1761">
      <c r="A1761" s="45" t="s">
        <v>74</v>
      </c>
      <c r="B1761" s="16" t="s">
        <v>212</v>
      </c>
      <c r="C1761" s="17" t="s">
        <v>213</v>
      </c>
      <c r="D1761" s="15">
        <v>3.0</v>
      </c>
      <c r="E1761" s="17" t="s">
        <v>491</v>
      </c>
      <c r="F1761" s="15" t="s">
        <v>492</v>
      </c>
      <c r="G1761" s="46" t="s">
        <v>544</v>
      </c>
      <c r="H1761" s="47" t="s">
        <v>421</v>
      </c>
      <c r="I1761" s="48" t="s">
        <v>25</v>
      </c>
      <c r="J1761" s="49">
        <v>-5.005E7</v>
      </c>
    </row>
    <row r="1762">
      <c r="A1762" s="45" t="s">
        <v>74</v>
      </c>
      <c r="B1762" s="16" t="s">
        <v>212</v>
      </c>
      <c r="C1762" s="17" t="s">
        <v>213</v>
      </c>
      <c r="D1762" s="15">
        <v>3.0</v>
      </c>
      <c r="E1762" s="17" t="s">
        <v>491</v>
      </c>
      <c r="F1762" s="15" t="s">
        <v>492</v>
      </c>
      <c r="G1762" s="46" t="s">
        <v>493</v>
      </c>
      <c r="H1762" s="47" t="s">
        <v>437</v>
      </c>
      <c r="I1762" s="48" t="s">
        <v>25</v>
      </c>
      <c r="J1762" s="49">
        <v>9771077.0</v>
      </c>
    </row>
    <row r="1763">
      <c r="A1763" s="45" t="s">
        <v>74</v>
      </c>
      <c r="B1763" s="16" t="s">
        <v>212</v>
      </c>
      <c r="C1763" s="17" t="s">
        <v>213</v>
      </c>
      <c r="D1763" s="15">
        <v>3.0</v>
      </c>
      <c r="E1763" s="17" t="s">
        <v>475</v>
      </c>
      <c r="F1763" s="15" t="s">
        <v>476</v>
      </c>
      <c r="G1763" s="46" t="s">
        <v>498</v>
      </c>
      <c r="H1763" s="47" t="s">
        <v>434</v>
      </c>
      <c r="I1763" s="48" t="s">
        <v>25</v>
      </c>
      <c r="J1763" s="49">
        <v>1.4863E7</v>
      </c>
    </row>
    <row r="1764">
      <c r="A1764" s="45" t="s">
        <v>74</v>
      </c>
      <c r="B1764" s="16" t="s">
        <v>212</v>
      </c>
      <c r="C1764" s="17" t="s">
        <v>213</v>
      </c>
      <c r="D1764" s="15">
        <v>3.0</v>
      </c>
      <c r="E1764" s="17" t="s">
        <v>475</v>
      </c>
      <c r="F1764" s="15" t="s">
        <v>476</v>
      </c>
      <c r="G1764" s="46" t="s">
        <v>477</v>
      </c>
      <c r="H1764" s="47" t="s">
        <v>429</v>
      </c>
      <c r="I1764" s="48" t="s">
        <v>50</v>
      </c>
      <c r="J1764" s="49">
        <v>2.717332E7</v>
      </c>
    </row>
    <row r="1765">
      <c r="A1765" s="45" t="s">
        <v>74</v>
      </c>
      <c r="B1765" s="16" t="s">
        <v>212</v>
      </c>
      <c r="C1765" s="17" t="s">
        <v>213</v>
      </c>
      <c r="D1765" s="15">
        <v>3.0</v>
      </c>
      <c r="E1765" s="17" t="s">
        <v>524</v>
      </c>
      <c r="F1765" s="15" t="s">
        <v>479</v>
      </c>
      <c r="G1765" s="46" t="s">
        <v>443</v>
      </c>
      <c r="H1765" s="47" t="s">
        <v>420</v>
      </c>
      <c r="I1765" s="48" t="s">
        <v>19</v>
      </c>
      <c r="J1765" s="49">
        <v>9.5124581E7</v>
      </c>
    </row>
    <row r="1766">
      <c r="A1766" s="45" t="s">
        <v>74</v>
      </c>
      <c r="B1766" s="16" t="s">
        <v>212</v>
      </c>
      <c r="C1766" s="17" t="s">
        <v>213</v>
      </c>
      <c r="D1766" s="15">
        <v>3.0</v>
      </c>
      <c r="E1766" s="17" t="s">
        <v>524</v>
      </c>
      <c r="F1766" s="15" t="s">
        <v>479</v>
      </c>
      <c r="G1766" s="46" t="s">
        <v>444</v>
      </c>
      <c r="H1766" s="47" t="s">
        <v>445</v>
      </c>
      <c r="I1766" s="48" t="s">
        <v>19</v>
      </c>
      <c r="J1766" s="49">
        <v>2.2249124E7</v>
      </c>
    </row>
    <row r="1767">
      <c r="A1767" s="45" t="s">
        <v>74</v>
      </c>
      <c r="B1767" s="16" t="s">
        <v>212</v>
      </c>
      <c r="C1767" s="17" t="s">
        <v>213</v>
      </c>
      <c r="D1767" s="15">
        <v>3.0</v>
      </c>
      <c r="E1767" s="17" t="s">
        <v>524</v>
      </c>
      <c r="F1767" s="15" t="s">
        <v>479</v>
      </c>
      <c r="G1767" s="46" t="s">
        <v>579</v>
      </c>
      <c r="H1767" s="47" t="s">
        <v>580</v>
      </c>
      <c r="I1767" s="48" t="s">
        <v>19</v>
      </c>
      <c r="J1767" s="49">
        <v>9833792.0</v>
      </c>
    </row>
    <row r="1768">
      <c r="A1768" s="45" t="s">
        <v>74</v>
      </c>
      <c r="B1768" s="16" t="s">
        <v>212</v>
      </c>
      <c r="C1768" s="17" t="s">
        <v>213</v>
      </c>
      <c r="D1768" s="15">
        <v>3.0</v>
      </c>
      <c r="E1768" s="17" t="s">
        <v>524</v>
      </c>
      <c r="F1768" s="15" t="s">
        <v>479</v>
      </c>
      <c r="G1768" s="46" t="s">
        <v>446</v>
      </c>
      <c r="H1768" s="47" t="s">
        <v>447</v>
      </c>
      <c r="I1768" s="48" t="s">
        <v>19</v>
      </c>
      <c r="J1768" s="49">
        <v>1110902.0</v>
      </c>
    </row>
    <row r="1769">
      <c r="A1769" s="45" t="s">
        <v>74</v>
      </c>
      <c r="B1769" s="16" t="s">
        <v>212</v>
      </c>
      <c r="C1769" s="17" t="s">
        <v>213</v>
      </c>
      <c r="D1769" s="15">
        <v>3.0</v>
      </c>
      <c r="E1769" s="17" t="s">
        <v>524</v>
      </c>
      <c r="F1769" s="15" t="s">
        <v>479</v>
      </c>
      <c r="G1769" s="46" t="s">
        <v>448</v>
      </c>
      <c r="H1769" s="47" t="s">
        <v>449</v>
      </c>
      <c r="I1769" s="48" t="s">
        <v>19</v>
      </c>
      <c r="J1769" s="49">
        <v>3286689.0</v>
      </c>
    </row>
    <row r="1770">
      <c r="A1770" s="45" t="s">
        <v>74</v>
      </c>
      <c r="B1770" s="16" t="s">
        <v>212</v>
      </c>
      <c r="C1770" s="17" t="s">
        <v>213</v>
      </c>
      <c r="D1770" s="15">
        <v>3.0</v>
      </c>
      <c r="E1770" s="17" t="s">
        <v>524</v>
      </c>
      <c r="F1770" s="15" t="s">
        <v>479</v>
      </c>
      <c r="G1770" s="46" t="s">
        <v>450</v>
      </c>
      <c r="H1770" s="47" t="s">
        <v>451</v>
      </c>
      <c r="I1770" s="48" t="s">
        <v>19</v>
      </c>
      <c r="J1770" s="49">
        <v>0.0</v>
      </c>
    </row>
    <row r="1771">
      <c r="A1771" s="45" t="s">
        <v>74</v>
      </c>
      <c r="B1771" s="16" t="s">
        <v>212</v>
      </c>
      <c r="C1771" s="17" t="s">
        <v>213</v>
      </c>
      <c r="D1771" s="15">
        <v>3.0</v>
      </c>
      <c r="E1771" s="17" t="s">
        <v>524</v>
      </c>
      <c r="F1771" s="15" t="s">
        <v>479</v>
      </c>
      <c r="G1771" s="46" t="s">
        <v>452</v>
      </c>
      <c r="H1771" s="47" t="s">
        <v>453</v>
      </c>
      <c r="I1771" s="48" t="s">
        <v>19</v>
      </c>
      <c r="J1771" s="49">
        <v>2055168.0</v>
      </c>
    </row>
    <row r="1772">
      <c r="A1772" s="45" t="s">
        <v>74</v>
      </c>
      <c r="B1772" s="16" t="s">
        <v>212</v>
      </c>
      <c r="C1772" s="17" t="s">
        <v>213</v>
      </c>
      <c r="D1772" s="15">
        <v>3.0</v>
      </c>
      <c r="E1772" s="17" t="s">
        <v>524</v>
      </c>
      <c r="F1772" s="15" t="s">
        <v>479</v>
      </c>
      <c r="G1772" s="46" t="s">
        <v>454</v>
      </c>
      <c r="H1772" s="47" t="s">
        <v>415</v>
      </c>
      <c r="I1772" s="48" t="s">
        <v>19</v>
      </c>
      <c r="J1772" s="49">
        <v>299944.0</v>
      </c>
    </row>
    <row r="1773">
      <c r="A1773" s="45" t="s">
        <v>74</v>
      </c>
      <c r="B1773" s="16" t="s">
        <v>212</v>
      </c>
      <c r="C1773" s="17" t="s">
        <v>213</v>
      </c>
      <c r="D1773" s="15">
        <v>3.0</v>
      </c>
      <c r="E1773" s="17" t="s">
        <v>524</v>
      </c>
      <c r="F1773" s="15" t="s">
        <v>479</v>
      </c>
      <c r="G1773" s="46" t="s">
        <v>455</v>
      </c>
      <c r="H1773" s="47" t="s">
        <v>415</v>
      </c>
      <c r="I1773" s="48" t="s">
        <v>19</v>
      </c>
      <c r="J1773" s="49">
        <v>166636.0</v>
      </c>
    </row>
    <row r="1774">
      <c r="A1774" s="45" t="s">
        <v>74</v>
      </c>
      <c r="B1774" s="16" t="s">
        <v>212</v>
      </c>
      <c r="C1774" s="17" t="s">
        <v>213</v>
      </c>
      <c r="D1774" s="15">
        <v>3.0</v>
      </c>
      <c r="E1774" s="17" t="s">
        <v>524</v>
      </c>
      <c r="F1774" s="15" t="s">
        <v>479</v>
      </c>
      <c r="G1774" s="46" t="s">
        <v>565</v>
      </c>
      <c r="H1774" s="47" t="s">
        <v>566</v>
      </c>
      <c r="I1774" s="48" t="s">
        <v>25</v>
      </c>
      <c r="J1774" s="49">
        <v>1.0525E7</v>
      </c>
    </row>
    <row r="1775">
      <c r="A1775" s="45" t="s">
        <v>74</v>
      </c>
      <c r="B1775" s="16" t="s">
        <v>212</v>
      </c>
      <c r="C1775" s="17" t="s">
        <v>213</v>
      </c>
      <c r="D1775" s="15">
        <v>3.0</v>
      </c>
      <c r="E1775" s="17" t="s">
        <v>524</v>
      </c>
      <c r="F1775" s="15" t="s">
        <v>479</v>
      </c>
      <c r="G1775" s="46" t="s">
        <v>499</v>
      </c>
      <c r="H1775" s="47" t="s">
        <v>500</v>
      </c>
      <c r="I1775" s="48" t="s">
        <v>19</v>
      </c>
      <c r="J1775" s="49">
        <v>6327247.0</v>
      </c>
    </row>
    <row r="1776">
      <c r="A1776" s="45" t="s">
        <v>74</v>
      </c>
      <c r="B1776" s="16" t="s">
        <v>212</v>
      </c>
      <c r="C1776" s="17" t="s">
        <v>213</v>
      </c>
      <c r="D1776" s="15">
        <v>3.0</v>
      </c>
      <c r="E1776" s="17" t="s">
        <v>525</v>
      </c>
      <c r="F1776" s="15" t="s">
        <v>502</v>
      </c>
      <c r="G1776" s="46" t="s">
        <v>526</v>
      </c>
      <c r="H1776" s="47" t="s">
        <v>527</v>
      </c>
      <c r="I1776" s="48" t="s">
        <v>60</v>
      </c>
      <c r="J1776" s="49">
        <v>8.8449162E7</v>
      </c>
    </row>
    <row r="1777">
      <c r="A1777" s="45" t="s">
        <v>74</v>
      </c>
      <c r="B1777" s="16" t="s">
        <v>212</v>
      </c>
      <c r="C1777" s="17" t="s">
        <v>213</v>
      </c>
      <c r="D1777" s="15">
        <v>3.0</v>
      </c>
      <c r="E1777" s="17" t="s">
        <v>525</v>
      </c>
      <c r="F1777" s="15" t="s">
        <v>502</v>
      </c>
      <c r="G1777" s="46" t="s">
        <v>539</v>
      </c>
      <c r="H1777" s="47" t="s">
        <v>540</v>
      </c>
      <c r="I1777" s="48" t="s">
        <v>60</v>
      </c>
      <c r="J1777" s="49">
        <v>4700200.0</v>
      </c>
    </row>
    <row r="1778">
      <c r="A1778" s="45" t="s">
        <v>74</v>
      </c>
      <c r="B1778" s="16" t="s">
        <v>212</v>
      </c>
      <c r="C1778" s="17" t="s">
        <v>213</v>
      </c>
      <c r="D1778" s="15">
        <v>3.0</v>
      </c>
      <c r="E1778" s="17" t="s">
        <v>525</v>
      </c>
      <c r="F1778" s="15" t="s">
        <v>502</v>
      </c>
      <c r="G1778" s="46" t="s">
        <v>505</v>
      </c>
      <c r="H1778" s="47" t="s">
        <v>506</v>
      </c>
      <c r="I1778" s="48" t="s">
        <v>60</v>
      </c>
      <c r="J1778" s="49">
        <v>1.6311644E7</v>
      </c>
    </row>
    <row r="1779">
      <c r="A1779" s="45" t="s">
        <v>74</v>
      </c>
      <c r="B1779" s="16" t="s">
        <v>212</v>
      </c>
      <c r="C1779" s="17" t="s">
        <v>213</v>
      </c>
      <c r="D1779" s="15">
        <v>3.0</v>
      </c>
      <c r="E1779" s="17" t="s">
        <v>525</v>
      </c>
      <c r="F1779" s="15" t="s">
        <v>502</v>
      </c>
      <c r="G1779" s="46" t="s">
        <v>507</v>
      </c>
      <c r="H1779" s="47" t="s">
        <v>508</v>
      </c>
      <c r="I1779" s="48" t="s">
        <v>60</v>
      </c>
      <c r="J1779" s="49">
        <v>1.0689239E7</v>
      </c>
    </row>
    <row r="1780">
      <c r="A1780" s="45" t="s">
        <v>74</v>
      </c>
      <c r="B1780" s="16" t="s">
        <v>212</v>
      </c>
      <c r="C1780" s="17" t="s">
        <v>213</v>
      </c>
      <c r="D1780" s="15">
        <v>3.0</v>
      </c>
      <c r="E1780" s="17" t="s">
        <v>525</v>
      </c>
      <c r="F1780" s="15" t="s">
        <v>502</v>
      </c>
      <c r="G1780" s="46" t="s">
        <v>561</v>
      </c>
      <c r="H1780" s="47" t="s">
        <v>562</v>
      </c>
      <c r="I1780" s="48" t="s">
        <v>60</v>
      </c>
      <c r="J1780" s="49">
        <v>2400083.0</v>
      </c>
    </row>
    <row r="1781">
      <c r="A1781" s="45" t="s">
        <v>74</v>
      </c>
      <c r="B1781" s="16" t="s">
        <v>212</v>
      </c>
      <c r="C1781" s="17" t="s">
        <v>213</v>
      </c>
      <c r="D1781" s="15">
        <v>3.0</v>
      </c>
      <c r="E1781" s="17" t="s">
        <v>525</v>
      </c>
      <c r="F1781" s="15" t="s">
        <v>502</v>
      </c>
      <c r="G1781" s="46" t="s">
        <v>509</v>
      </c>
      <c r="H1781" s="47" t="s">
        <v>510</v>
      </c>
      <c r="I1781" s="48" t="s">
        <v>60</v>
      </c>
      <c r="J1781" s="49">
        <v>294999.0</v>
      </c>
    </row>
    <row r="1782">
      <c r="A1782" s="45" t="s">
        <v>74</v>
      </c>
      <c r="B1782" s="16" t="s">
        <v>212</v>
      </c>
      <c r="C1782" s="17" t="s">
        <v>213</v>
      </c>
      <c r="D1782" s="15">
        <v>3.0</v>
      </c>
      <c r="E1782" s="17" t="s">
        <v>525</v>
      </c>
      <c r="F1782" s="15" t="s">
        <v>502</v>
      </c>
      <c r="G1782" s="46" t="s">
        <v>511</v>
      </c>
      <c r="H1782" s="47" t="s">
        <v>512</v>
      </c>
      <c r="I1782" s="48" t="s">
        <v>60</v>
      </c>
      <c r="J1782" s="49">
        <v>1.0760932E8</v>
      </c>
    </row>
    <row r="1783">
      <c r="A1783" s="45" t="s">
        <v>74</v>
      </c>
      <c r="B1783" s="16" t="s">
        <v>212</v>
      </c>
      <c r="C1783" s="17" t="s">
        <v>213</v>
      </c>
      <c r="D1783" s="15">
        <v>3.0</v>
      </c>
      <c r="E1783" s="17" t="s">
        <v>525</v>
      </c>
      <c r="F1783" s="15" t="s">
        <v>502</v>
      </c>
      <c r="G1783" s="46" t="s">
        <v>513</v>
      </c>
      <c r="H1783" s="47" t="s">
        <v>514</v>
      </c>
      <c r="I1783" s="48" t="s">
        <v>60</v>
      </c>
      <c r="J1783" s="49">
        <v>1821493.0</v>
      </c>
    </row>
    <row r="1784">
      <c r="A1784" s="45" t="s">
        <v>74</v>
      </c>
      <c r="B1784" s="16" t="s">
        <v>212</v>
      </c>
      <c r="C1784" s="17" t="s">
        <v>213</v>
      </c>
      <c r="D1784" s="15">
        <v>3.0</v>
      </c>
      <c r="E1784" s="17" t="s">
        <v>548</v>
      </c>
      <c r="F1784" s="15" t="s">
        <v>549</v>
      </c>
      <c r="G1784" s="46" t="s">
        <v>550</v>
      </c>
      <c r="H1784" s="47" t="s">
        <v>551</v>
      </c>
      <c r="I1784" s="48" t="s">
        <v>25</v>
      </c>
      <c r="J1784" s="49">
        <v>1.47072E8</v>
      </c>
    </row>
    <row r="1785">
      <c r="A1785" s="45" t="s">
        <v>74</v>
      </c>
      <c r="B1785" s="16" t="s">
        <v>220</v>
      </c>
      <c r="C1785" s="17" t="s">
        <v>221</v>
      </c>
      <c r="D1785" s="15">
        <v>3.0</v>
      </c>
      <c r="E1785" s="17" t="s">
        <v>441</v>
      </c>
      <c r="F1785" s="15" t="s">
        <v>442</v>
      </c>
      <c r="G1785" s="46" t="s">
        <v>443</v>
      </c>
      <c r="H1785" s="47" t="s">
        <v>420</v>
      </c>
      <c r="I1785" s="48" t="s">
        <v>19</v>
      </c>
      <c r="J1785" s="49">
        <v>5.100996E7</v>
      </c>
    </row>
    <row r="1786">
      <c r="A1786" s="45" t="s">
        <v>74</v>
      </c>
      <c r="B1786" s="16" t="s">
        <v>220</v>
      </c>
      <c r="C1786" s="17" t="s">
        <v>221</v>
      </c>
      <c r="D1786" s="15">
        <v>3.0</v>
      </c>
      <c r="E1786" s="17" t="s">
        <v>441</v>
      </c>
      <c r="F1786" s="15" t="s">
        <v>442</v>
      </c>
      <c r="G1786" s="46" t="s">
        <v>444</v>
      </c>
      <c r="H1786" s="47" t="s">
        <v>445</v>
      </c>
      <c r="I1786" s="48" t="s">
        <v>19</v>
      </c>
      <c r="J1786" s="49">
        <v>2.2343504E7</v>
      </c>
    </row>
    <row r="1787">
      <c r="A1787" s="45" t="s">
        <v>74</v>
      </c>
      <c r="B1787" s="16" t="s">
        <v>220</v>
      </c>
      <c r="C1787" s="17" t="s">
        <v>221</v>
      </c>
      <c r="D1787" s="15">
        <v>3.0</v>
      </c>
      <c r="E1787" s="17" t="s">
        <v>441</v>
      </c>
      <c r="F1787" s="15" t="s">
        <v>442</v>
      </c>
      <c r="G1787" s="46" t="s">
        <v>579</v>
      </c>
      <c r="H1787" s="47" t="s">
        <v>580</v>
      </c>
      <c r="I1787" s="48" t="s">
        <v>19</v>
      </c>
      <c r="J1787" s="49">
        <v>5417565.0</v>
      </c>
    </row>
    <row r="1788">
      <c r="A1788" s="45" t="s">
        <v>74</v>
      </c>
      <c r="B1788" s="16" t="s">
        <v>220</v>
      </c>
      <c r="C1788" s="17" t="s">
        <v>221</v>
      </c>
      <c r="D1788" s="15">
        <v>3.0</v>
      </c>
      <c r="E1788" s="17" t="s">
        <v>441</v>
      </c>
      <c r="F1788" s="15" t="s">
        <v>442</v>
      </c>
      <c r="G1788" s="46" t="s">
        <v>446</v>
      </c>
      <c r="H1788" s="47" t="s">
        <v>447</v>
      </c>
      <c r="I1788" s="48" t="s">
        <v>19</v>
      </c>
      <c r="J1788" s="49">
        <v>534882.0</v>
      </c>
    </row>
    <row r="1789">
      <c r="A1789" s="45" t="s">
        <v>74</v>
      </c>
      <c r="B1789" s="16" t="s">
        <v>220</v>
      </c>
      <c r="C1789" s="17" t="s">
        <v>221</v>
      </c>
      <c r="D1789" s="15">
        <v>3.0</v>
      </c>
      <c r="E1789" s="17" t="s">
        <v>441</v>
      </c>
      <c r="F1789" s="15" t="s">
        <v>442</v>
      </c>
      <c r="G1789" s="46" t="s">
        <v>448</v>
      </c>
      <c r="H1789" s="47" t="s">
        <v>449</v>
      </c>
      <c r="I1789" s="48" t="s">
        <v>19</v>
      </c>
      <c r="J1789" s="49">
        <v>1368182.0</v>
      </c>
    </row>
    <row r="1790">
      <c r="A1790" s="45" t="s">
        <v>74</v>
      </c>
      <c r="B1790" s="16" t="s">
        <v>220</v>
      </c>
      <c r="C1790" s="17" t="s">
        <v>221</v>
      </c>
      <c r="D1790" s="15">
        <v>3.0</v>
      </c>
      <c r="E1790" s="17" t="s">
        <v>441</v>
      </c>
      <c r="F1790" s="15" t="s">
        <v>442</v>
      </c>
      <c r="G1790" s="46" t="s">
        <v>450</v>
      </c>
      <c r="H1790" s="47" t="s">
        <v>451</v>
      </c>
      <c r="I1790" s="48" t="s">
        <v>19</v>
      </c>
      <c r="J1790" s="49">
        <v>0.0</v>
      </c>
    </row>
    <row r="1791">
      <c r="A1791" s="45" t="s">
        <v>74</v>
      </c>
      <c r="B1791" s="16" t="s">
        <v>220</v>
      </c>
      <c r="C1791" s="17" t="s">
        <v>221</v>
      </c>
      <c r="D1791" s="15">
        <v>3.0</v>
      </c>
      <c r="E1791" s="17" t="s">
        <v>441</v>
      </c>
      <c r="F1791" s="15" t="s">
        <v>442</v>
      </c>
      <c r="G1791" s="46" t="s">
        <v>452</v>
      </c>
      <c r="H1791" s="47" t="s">
        <v>453</v>
      </c>
      <c r="I1791" s="48" t="s">
        <v>19</v>
      </c>
      <c r="J1791" s="49">
        <v>989531.0</v>
      </c>
    </row>
    <row r="1792">
      <c r="A1792" s="45" t="s">
        <v>74</v>
      </c>
      <c r="B1792" s="16" t="s">
        <v>220</v>
      </c>
      <c r="C1792" s="17" t="s">
        <v>221</v>
      </c>
      <c r="D1792" s="15">
        <v>3.0</v>
      </c>
      <c r="E1792" s="17" t="s">
        <v>441</v>
      </c>
      <c r="F1792" s="15" t="s">
        <v>442</v>
      </c>
      <c r="G1792" s="46" t="s">
        <v>454</v>
      </c>
      <c r="H1792" s="47" t="s">
        <v>415</v>
      </c>
      <c r="I1792" s="48" t="s">
        <v>19</v>
      </c>
      <c r="J1792" s="49">
        <v>144418.0</v>
      </c>
    </row>
    <row r="1793">
      <c r="A1793" s="45" t="s">
        <v>74</v>
      </c>
      <c r="B1793" s="16" t="s">
        <v>220</v>
      </c>
      <c r="C1793" s="17" t="s">
        <v>221</v>
      </c>
      <c r="D1793" s="15">
        <v>3.0</v>
      </c>
      <c r="E1793" s="17" t="s">
        <v>441</v>
      </c>
      <c r="F1793" s="15" t="s">
        <v>442</v>
      </c>
      <c r="G1793" s="46" t="s">
        <v>455</v>
      </c>
      <c r="H1793" s="47" t="s">
        <v>415</v>
      </c>
      <c r="I1793" s="48" t="s">
        <v>19</v>
      </c>
      <c r="J1793" s="49">
        <v>80232.0</v>
      </c>
    </row>
    <row r="1794">
      <c r="A1794" s="45" t="s">
        <v>74</v>
      </c>
      <c r="B1794" s="16" t="s">
        <v>220</v>
      </c>
      <c r="C1794" s="17" t="s">
        <v>221</v>
      </c>
      <c r="D1794" s="15">
        <v>3.0</v>
      </c>
      <c r="E1794" s="17" t="s">
        <v>456</v>
      </c>
      <c r="F1794" s="15" t="s">
        <v>457</v>
      </c>
      <c r="G1794" s="46" t="s">
        <v>458</v>
      </c>
      <c r="H1794" s="47" t="s">
        <v>411</v>
      </c>
      <c r="I1794" s="48" t="s">
        <v>19</v>
      </c>
      <c r="J1794" s="49">
        <v>1.70915028E8</v>
      </c>
    </row>
    <row r="1795">
      <c r="A1795" s="45" t="s">
        <v>74</v>
      </c>
      <c r="B1795" s="16" t="s">
        <v>220</v>
      </c>
      <c r="C1795" s="17" t="s">
        <v>221</v>
      </c>
      <c r="D1795" s="15">
        <v>3.0</v>
      </c>
      <c r="E1795" s="17" t="s">
        <v>459</v>
      </c>
      <c r="F1795" s="15" t="s">
        <v>460</v>
      </c>
      <c r="G1795" s="46" t="s">
        <v>458</v>
      </c>
      <c r="H1795" s="47" t="s">
        <v>411</v>
      </c>
      <c r="I1795" s="48" t="s">
        <v>19</v>
      </c>
      <c r="J1795" s="49">
        <v>5323971.0</v>
      </c>
    </row>
    <row r="1796">
      <c r="A1796" s="45" t="s">
        <v>74</v>
      </c>
      <c r="B1796" s="16" t="s">
        <v>220</v>
      </c>
      <c r="C1796" s="17" t="s">
        <v>221</v>
      </c>
      <c r="D1796" s="15">
        <v>3.0</v>
      </c>
      <c r="E1796" s="17" t="s">
        <v>463</v>
      </c>
      <c r="F1796" s="15" t="s">
        <v>464</v>
      </c>
      <c r="G1796" s="46" t="s">
        <v>517</v>
      </c>
      <c r="H1796" s="47" t="s">
        <v>518</v>
      </c>
      <c r="I1796" s="48" t="s">
        <v>25</v>
      </c>
      <c r="J1796" s="49">
        <v>1354405.0</v>
      </c>
    </row>
    <row r="1797">
      <c r="A1797" s="45" t="s">
        <v>74</v>
      </c>
      <c r="B1797" s="16" t="s">
        <v>220</v>
      </c>
      <c r="C1797" s="17" t="s">
        <v>221</v>
      </c>
      <c r="D1797" s="15">
        <v>3.0</v>
      </c>
      <c r="E1797" s="17" t="s">
        <v>473</v>
      </c>
      <c r="F1797" s="15" t="s">
        <v>474</v>
      </c>
      <c r="G1797" s="46" t="s">
        <v>443</v>
      </c>
      <c r="H1797" s="47" t="s">
        <v>420</v>
      </c>
      <c r="I1797" s="48" t="s">
        <v>19</v>
      </c>
      <c r="J1797" s="49">
        <v>6975000.0</v>
      </c>
    </row>
    <row r="1798">
      <c r="A1798" s="45" t="s">
        <v>74</v>
      </c>
      <c r="B1798" s="16" t="s">
        <v>220</v>
      </c>
      <c r="C1798" s="17" t="s">
        <v>221</v>
      </c>
      <c r="D1798" s="15">
        <v>3.0</v>
      </c>
      <c r="E1798" s="17" t="s">
        <v>473</v>
      </c>
      <c r="F1798" s="15" t="s">
        <v>474</v>
      </c>
      <c r="G1798" s="46" t="s">
        <v>444</v>
      </c>
      <c r="H1798" s="47" t="s">
        <v>445</v>
      </c>
      <c r="I1798" s="48" t="s">
        <v>19</v>
      </c>
      <c r="J1798" s="49">
        <v>682895.0</v>
      </c>
    </row>
    <row r="1799">
      <c r="A1799" s="45" t="s">
        <v>74</v>
      </c>
      <c r="B1799" s="16" t="s">
        <v>220</v>
      </c>
      <c r="C1799" s="17" t="s">
        <v>221</v>
      </c>
      <c r="D1799" s="15">
        <v>3.0</v>
      </c>
      <c r="E1799" s="17" t="s">
        <v>473</v>
      </c>
      <c r="F1799" s="15" t="s">
        <v>474</v>
      </c>
      <c r="G1799" s="46" t="s">
        <v>579</v>
      </c>
      <c r="H1799" s="47" t="s">
        <v>580</v>
      </c>
      <c r="I1799" s="48" t="s">
        <v>19</v>
      </c>
      <c r="J1799" s="49">
        <v>600000.0</v>
      </c>
    </row>
    <row r="1800">
      <c r="A1800" s="45" t="s">
        <v>74</v>
      </c>
      <c r="B1800" s="16" t="s">
        <v>220</v>
      </c>
      <c r="C1800" s="17" t="s">
        <v>221</v>
      </c>
      <c r="D1800" s="15">
        <v>3.0</v>
      </c>
      <c r="E1800" s="17" t="s">
        <v>473</v>
      </c>
      <c r="F1800" s="15" t="s">
        <v>474</v>
      </c>
      <c r="G1800" s="46" t="s">
        <v>523</v>
      </c>
      <c r="H1800" s="47" t="s">
        <v>431</v>
      </c>
      <c r="I1800" s="48" t="s">
        <v>25</v>
      </c>
      <c r="J1800" s="49">
        <v>1.0E7</v>
      </c>
    </row>
    <row r="1801">
      <c r="A1801" s="45" t="s">
        <v>74</v>
      </c>
      <c r="B1801" s="16" t="s">
        <v>220</v>
      </c>
      <c r="C1801" s="17" t="s">
        <v>221</v>
      </c>
      <c r="D1801" s="15">
        <v>3.0</v>
      </c>
      <c r="E1801" s="17" t="s">
        <v>473</v>
      </c>
      <c r="F1801" s="15" t="s">
        <v>474</v>
      </c>
      <c r="G1801" s="46" t="s">
        <v>458</v>
      </c>
      <c r="H1801" s="47" t="s">
        <v>411</v>
      </c>
      <c r="I1801" s="48" t="s">
        <v>19</v>
      </c>
      <c r="J1801" s="49">
        <v>4.9767744E7</v>
      </c>
    </row>
    <row r="1802">
      <c r="A1802" s="45" t="s">
        <v>74</v>
      </c>
      <c r="B1802" s="16" t="s">
        <v>220</v>
      </c>
      <c r="C1802" s="17" t="s">
        <v>221</v>
      </c>
      <c r="D1802" s="15">
        <v>3.0</v>
      </c>
      <c r="E1802" s="17" t="s">
        <v>491</v>
      </c>
      <c r="F1802" s="15" t="s">
        <v>492</v>
      </c>
      <c r="G1802" s="46" t="s">
        <v>493</v>
      </c>
      <c r="H1802" s="47" t="s">
        <v>437</v>
      </c>
      <c r="I1802" s="48" t="s">
        <v>25</v>
      </c>
      <c r="J1802" s="49">
        <v>1.7736574E7</v>
      </c>
    </row>
    <row r="1803">
      <c r="A1803" s="45" t="s">
        <v>74</v>
      </c>
      <c r="B1803" s="16" t="s">
        <v>220</v>
      </c>
      <c r="C1803" s="17" t="s">
        <v>221</v>
      </c>
      <c r="D1803" s="15">
        <v>3.0</v>
      </c>
      <c r="E1803" s="17" t="s">
        <v>494</v>
      </c>
      <c r="F1803" s="15" t="s">
        <v>495</v>
      </c>
      <c r="G1803" s="46" t="s">
        <v>496</v>
      </c>
      <c r="H1803" s="47" t="s">
        <v>497</v>
      </c>
      <c r="I1803" s="48" t="s">
        <v>25</v>
      </c>
      <c r="J1803" s="49">
        <v>2600524.0</v>
      </c>
    </row>
    <row r="1804">
      <c r="A1804" s="45" t="s">
        <v>74</v>
      </c>
      <c r="B1804" s="16" t="s">
        <v>220</v>
      </c>
      <c r="C1804" s="17" t="s">
        <v>221</v>
      </c>
      <c r="D1804" s="15">
        <v>3.0</v>
      </c>
      <c r="E1804" s="17" t="s">
        <v>475</v>
      </c>
      <c r="F1804" s="15" t="s">
        <v>476</v>
      </c>
      <c r="G1804" s="46" t="s">
        <v>477</v>
      </c>
      <c r="H1804" s="47" t="s">
        <v>429</v>
      </c>
      <c r="I1804" s="48" t="s">
        <v>50</v>
      </c>
      <c r="J1804" s="49">
        <v>5.0715086E7</v>
      </c>
    </row>
    <row r="1805">
      <c r="A1805" s="45" t="s">
        <v>74</v>
      </c>
      <c r="B1805" s="16" t="s">
        <v>220</v>
      </c>
      <c r="C1805" s="17" t="s">
        <v>221</v>
      </c>
      <c r="D1805" s="15">
        <v>3.0</v>
      </c>
      <c r="E1805" s="17" t="s">
        <v>524</v>
      </c>
      <c r="F1805" s="15" t="s">
        <v>479</v>
      </c>
      <c r="G1805" s="46" t="s">
        <v>443</v>
      </c>
      <c r="H1805" s="47" t="s">
        <v>420</v>
      </c>
      <c r="I1805" s="48" t="s">
        <v>19</v>
      </c>
      <c r="J1805" s="49">
        <v>1.50573127E8</v>
      </c>
    </row>
    <row r="1806">
      <c r="A1806" s="45" t="s">
        <v>74</v>
      </c>
      <c r="B1806" s="16" t="s">
        <v>220</v>
      </c>
      <c r="C1806" s="17" t="s">
        <v>221</v>
      </c>
      <c r="D1806" s="15">
        <v>3.0</v>
      </c>
      <c r="E1806" s="17" t="s">
        <v>524</v>
      </c>
      <c r="F1806" s="15" t="s">
        <v>479</v>
      </c>
      <c r="G1806" s="46" t="s">
        <v>444</v>
      </c>
      <c r="H1806" s="47" t="s">
        <v>445</v>
      </c>
      <c r="I1806" s="48" t="s">
        <v>19</v>
      </c>
      <c r="J1806" s="49">
        <v>4.0937499E7</v>
      </c>
    </row>
    <row r="1807">
      <c r="A1807" s="45" t="s">
        <v>74</v>
      </c>
      <c r="B1807" s="16" t="s">
        <v>220</v>
      </c>
      <c r="C1807" s="17" t="s">
        <v>221</v>
      </c>
      <c r="D1807" s="15">
        <v>3.0</v>
      </c>
      <c r="E1807" s="17" t="s">
        <v>524</v>
      </c>
      <c r="F1807" s="15" t="s">
        <v>479</v>
      </c>
      <c r="G1807" s="46" t="s">
        <v>579</v>
      </c>
      <c r="H1807" s="47" t="s">
        <v>580</v>
      </c>
      <c r="I1807" s="48" t="s">
        <v>19</v>
      </c>
      <c r="J1807" s="49">
        <v>1.5109112E7</v>
      </c>
    </row>
    <row r="1808">
      <c r="A1808" s="45" t="s">
        <v>74</v>
      </c>
      <c r="B1808" s="16" t="s">
        <v>220</v>
      </c>
      <c r="C1808" s="17" t="s">
        <v>221</v>
      </c>
      <c r="D1808" s="15">
        <v>3.0</v>
      </c>
      <c r="E1808" s="17" t="s">
        <v>524</v>
      </c>
      <c r="F1808" s="15" t="s">
        <v>479</v>
      </c>
      <c r="G1808" s="46" t="s">
        <v>446</v>
      </c>
      <c r="H1808" s="47" t="s">
        <v>447</v>
      </c>
      <c r="I1808" s="48" t="s">
        <v>19</v>
      </c>
      <c r="J1808" s="49">
        <v>1736208.0</v>
      </c>
    </row>
    <row r="1809">
      <c r="A1809" s="45" t="s">
        <v>74</v>
      </c>
      <c r="B1809" s="16" t="s">
        <v>220</v>
      </c>
      <c r="C1809" s="17" t="s">
        <v>221</v>
      </c>
      <c r="D1809" s="15">
        <v>3.0</v>
      </c>
      <c r="E1809" s="17" t="s">
        <v>524</v>
      </c>
      <c r="F1809" s="15" t="s">
        <v>479</v>
      </c>
      <c r="G1809" s="46" t="s">
        <v>448</v>
      </c>
      <c r="H1809" s="47" t="s">
        <v>449</v>
      </c>
      <c r="I1809" s="48" t="s">
        <v>19</v>
      </c>
      <c r="J1809" s="49">
        <v>4487809.0</v>
      </c>
    </row>
    <row r="1810">
      <c r="A1810" s="45" t="s">
        <v>74</v>
      </c>
      <c r="B1810" s="16" t="s">
        <v>220</v>
      </c>
      <c r="C1810" s="17" t="s">
        <v>221</v>
      </c>
      <c r="D1810" s="15">
        <v>3.0</v>
      </c>
      <c r="E1810" s="17" t="s">
        <v>524</v>
      </c>
      <c r="F1810" s="15" t="s">
        <v>479</v>
      </c>
      <c r="G1810" s="46" t="s">
        <v>450</v>
      </c>
      <c r="H1810" s="47" t="s">
        <v>451</v>
      </c>
      <c r="I1810" s="48" t="s">
        <v>19</v>
      </c>
      <c r="J1810" s="49">
        <v>0.0</v>
      </c>
    </row>
    <row r="1811">
      <c r="A1811" s="45" t="s">
        <v>74</v>
      </c>
      <c r="B1811" s="16" t="s">
        <v>220</v>
      </c>
      <c r="C1811" s="17" t="s">
        <v>221</v>
      </c>
      <c r="D1811" s="15">
        <v>3.0</v>
      </c>
      <c r="E1811" s="17" t="s">
        <v>524</v>
      </c>
      <c r="F1811" s="15" t="s">
        <v>479</v>
      </c>
      <c r="G1811" s="46" t="s">
        <v>452</v>
      </c>
      <c r="H1811" s="47" t="s">
        <v>453</v>
      </c>
      <c r="I1811" s="48" t="s">
        <v>19</v>
      </c>
      <c r="J1811" s="49">
        <v>3280871.0</v>
      </c>
    </row>
    <row r="1812">
      <c r="A1812" s="45" t="s">
        <v>74</v>
      </c>
      <c r="B1812" s="16" t="s">
        <v>220</v>
      </c>
      <c r="C1812" s="17" t="s">
        <v>221</v>
      </c>
      <c r="D1812" s="15">
        <v>3.0</v>
      </c>
      <c r="E1812" s="17" t="s">
        <v>524</v>
      </c>
      <c r="F1812" s="15" t="s">
        <v>479</v>
      </c>
      <c r="G1812" s="46" t="s">
        <v>454</v>
      </c>
      <c r="H1812" s="47" t="s">
        <v>415</v>
      </c>
      <c r="I1812" s="48" t="s">
        <v>19</v>
      </c>
      <c r="J1812" s="49">
        <v>478830.0</v>
      </c>
    </row>
    <row r="1813">
      <c r="A1813" s="45" t="s">
        <v>74</v>
      </c>
      <c r="B1813" s="16" t="s">
        <v>220</v>
      </c>
      <c r="C1813" s="17" t="s">
        <v>221</v>
      </c>
      <c r="D1813" s="15">
        <v>3.0</v>
      </c>
      <c r="E1813" s="17" t="s">
        <v>524</v>
      </c>
      <c r="F1813" s="15" t="s">
        <v>479</v>
      </c>
      <c r="G1813" s="46" t="s">
        <v>455</v>
      </c>
      <c r="H1813" s="47" t="s">
        <v>415</v>
      </c>
      <c r="I1813" s="48" t="s">
        <v>19</v>
      </c>
      <c r="J1813" s="49">
        <v>266016.0</v>
      </c>
    </row>
    <row r="1814">
      <c r="A1814" s="45" t="s">
        <v>74</v>
      </c>
      <c r="B1814" s="16" t="s">
        <v>220</v>
      </c>
      <c r="C1814" s="17" t="s">
        <v>221</v>
      </c>
      <c r="D1814" s="15">
        <v>3.0</v>
      </c>
      <c r="E1814" s="17" t="s">
        <v>524</v>
      </c>
      <c r="F1814" s="15" t="s">
        <v>479</v>
      </c>
      <c r="G1814" s="46" t="s">
        <v>480</v>
      </c>
      <c r="H1814" s="47" t="s">
        <v>481</v>
      </c>
      <c r="I1814" s="48" t="s">
        <v>19</v>
      </c>
      <c r="J1814" s="49">
        <v>1825491.0</v>
      </c>
    </row>
    <row r="1815">
      <c r="A1815" s="45" t="s">
        <v>74</v>
      </c>
      <c r="B1815" s="16" t="s">
        <v>220</v>
      </c>
      <c r="C1815" s="17" t="s">
        <v>221</v>
      </c>
      <c r="D1815" s="15">
        <v>3.0</v>
      </c>
      <c r="E1815" s="17" t="s">
        <v>525</v>
      </c>
      <c r="F1815" s="15" t="s">
        <v>502</v>
      </c>
      <c r="G1815" s="46" t="s">
        <v>526</v>
      </c>
      <c r="H1815" s="47" t="s">
        <v>527</v>
      </c>
      <c r="I1815" s="48" t="s">
        <v>60</v>
      </c>
      <c r="J1815" s="49">
        <v>3.95295374E8</v>
      </c>
    </row>
    <row r="1816">
      <c r="A1816" s="45" t="s">
        <v>74</v>
      </c>
      <c r="B1816" s="16" t="s">
        <v>220</v>
      </c>
      <c r="C1816" s="17" t="s">
        <v>221</v>
      </c>
      <c r="D1816" s="15">
        <v>3.0</v>
      </c>
      <c r="E1816" s="17" t="s">
        <v>525</v>
      </c>
      <c r="F1816" s="15" t="s">
        <v>502</v>
      </c>
      <c r="G1816" s="46" t="s">
        <v>539</v>
      </c>
      <c r="H1816" s="47" t="s">
        <v>540</v>
      </c>
      <c r="I1816" s="48" t="s">
        <v>60</v>
      </c>
      <c r="J1816" s="49">
        <v>588473.0</v>
      </c>
    </row>
    <row r="1817">
      <c r="A1817" s="45" t="s">
        <v>74</v>
      </c>
      <c r="B1817" s="16" t="s">
        <v>220</v>
      </c>
      <c r="C1817" s="17" t="s">
        <v>221</v>
      </c>
      <c r="D1817" s="15">
        <v>3.0</v>
      </c>
      <c r="E1817" s="17" t="s">
        <v>525</v>
      </c>
      <c r="F1817" s="15" t="s">
        <v>502</v>
      </c>
      <c r="G1817" s="46" t="s">
        <v>505</v>
      </c>
      <c r="H1817" s="47" t="s">
        <v>506</v>
      </c>
      <c r="I1817" s="48" t="s">
        <v>60</v>
      </c>
      <c r="J1817" s="49">
        <v>3019927.0</v>
      </c>
    </row>
    <row r="1818">
      <c r="A1818" s="45" t="s">
        <v>74</v>
      </c>
      <c r="B1818" s="16" t="s">
        <v>220</v>
      </c>
      <c r="C1818" s="17" t="s">
        <v>221</v>
      </c>
      <c r="D1818" s="15">
        <v>3.0</v>
      </c>
      <c r="E1818" s="17" t="s">
        <v>525</v>
      </c>
      <c r="F1818" s="15" t="s">
        <v>502</v>
      </c>
      <c r="G1818" s="46" t="s">
        <v>509</v>
      </c>
      <c r="H1818" s="47" t="s">
        <v>510</v>
      </c>
      <c r="I1818" s="48" t="s">
        <v>60</v>
      </c>
      <c r="J1818" s="49">
        <v>1025042.0</v>
      </c>
    </row>
    <row r="1819">
      <c r="A1819" s="45" t="s">
        <v>74</v>
      </c>
      <c r="B1819" s="16" t="s">
        <v>220</v>
      </c>
      <c r="C1819" s="17" t="s">
        <v>221</v>
      </c>
      <c r="D1819" s="15">
        <v>3.0</v>
      </c>
      <c r="E1819" s="17" t="s">
        <v>525</v>
      </c>
      <c r="F1819" s="15" t="s">
        <v>502</v>
      </c>
      <c r="G1819" s="46" t="s">
        <v>511</v>
      </c>
      <c r="H1819" s="47" t="s">
        <v>512</v>
      </c>
      <c r="I1819" s="48" t="s">
        <v>60</v>
      </c>
      <c r="J1819" s="49">
        <v>3.8673799E7</v>
      </c>
    </row>
    <row r="1820">
      <c r="A1820" s="45" t="s">
        <v>74</v>
      </c>
      <c r="B1820" s="16" t="s">
        <v>220</v>
      </c>
      <c r="C1820" s="17" t="s">
        <v>221</v>
      </c>
      <c r="D1820" s="15">
        <v>3.0</v>
      </c>
      <c r="E1820" s="17" t="s">
        <v>525</v>
      </c>
      <c r="F1820" s="15" t="s">
        <v>502</v>
      </c>
      <c r="G1820" s="46" t="s">
        <v>513</v>
      </c>
      <c r="H1820" s="47" t="s">
        <v>514</v>
      </c>
      <c r="I1820" s="48" t="s">
        <v>60</v>
      </c>
      <c r="J1820" s="49">
        <v>1930164.0</v>
      </c>
    </row>
    <row r="1821">
      <c r="A1821" s="45" t="s">
        <v>74</v>
      </c>
      <c r="B1821" s="16" t="s">
        <v>231</v>
      </c>
      <c r="C1821" s="17" t="s">
        <v>232</v>
      </c>
      <c r="D1821" s="15">
        <v>3.0</v>
      </c>
      <c r="E1821" s="17" t="s">
        <v>441</v>
      </c>
      <c r="F1821" s="15" t="s">
        <v>442</v>
      </c>
      <c r="G1821" s="46" t="s">
        <v>443</v>
      </c>
      <c r="H1821" s="47" t="s">
        <v>420</v>
      </c>
      <c r="I1821" s="48" t="s">
        <v>19</v>
      </c>
      <c r="J1821" s="49">
        <v>5.3897397E7</v>
      </c>
    </row>
    <row r="1822">
      <c r="A1822" s="45" t="s">
        <v>74</v>
      </c>
      <c r="B1822" s="16" t="s">
        <v>231</v>
      </c>
      <c r="C1822" s="17" t="s">
        <v>232</v>
      </c>
      <c r="D1822" s="15">
        <v>3.0</v>
      </c>
      <c r="E1822" s="17" t="s">
        <v>441</v>
      </c>
      <c r="F1822" s="15" t="s">
        <v>442</v>
      </c>
      <c r="G1822" s="46" t="s">
        <v>444</v>
      </c>
      <c r="H1822" s="47" t="s">
        <v>445</v>
      </c>
      <c r="I1822" s="48" t="s">
        <v>19</v>
      </c>
      <c r="J1822" s="49">
        <v>2.3837521E7</v>
      </c>
    </row>
    <row r="1823">
      <c r="A1823" s="45" t="s">
        <v>74</v>
      </c>
      <c r="B1823" s="16" t="s">
        <v>231</v>
      </c>
      <c r="C1823" s="17" t="s">
        <v>232</v>
      </c>
      <c r="D1823" s="15">
        <v>3.0</v>
      </c>
      <c r="E1823" s="17" t="s">
        <v>441</v>
      </c>
      <c r="F1823" s="15" t="s">
        <v>442</v>
      </c>
      <c r="G1823" s="46" t="s">
        <v>579</v>
      </c>
      <c r="H1823" s="47" t="s">
        <v>580</v>
      </c>
      <c r="I1823" s="48" t="s">
        <v>19</v>
      </c>
      <c r="J1823" s="49">
        <v>5631763.0</v>
      </c>
    </row>
    <row r="1824">
      <c r="A1824" s="45" t="s">
        <v>74</v>
      </c>
      <c r="B1824" s="16" t="s">
        <v>231</v>
      </c>
      <c r="C1824" s="17" t="s">
        <v>232</v>
      </c>
      <c r="D1824" s="15">
        <v>3.0</v>
      </c>
      <c r="E1824" s="17" t="s">
        <v>441</v>
      </c>
      <c r="F1824" s="15" t="s">
        <v>442</v>
      </c>
      <c r="G1824" s="46" t="s">
        <v>446</v>
      </c>
      <c r="H1824" s="47" t="s">
        <v>447</v>
      </c>
      <c r="I1824" s="48" t="s">
        <v>19</v>
      </c>
      <c r="J1824" s="49">
        <v>536602.0</v>
      </c>
    </row>
    <row r="1825">
      <c r="A1825" s="45" t="s">
        <v>74</v>
      </c>
      <c r="B1825" s="16" t="s">
        <v>231</v>
      </c>
      <c r="C1825" s="17" t="s">
        <v>232</v>
      </c>
      <c r="D1825" s="15">
        <v>3.0</v>
      </c>
      <c r="E1825" s="17" t="s">
        <v>441</v>
      </c>
      <c r="F1825" s="15" t="s">
        <v>442</v>
      </c>
      <c r="G1825" s="46" t="s">
        <v>448</v>
      </c>
      <c r="H1825" s="47" t="s">
        <v>449</v>
      </c>
      <c r="I1825" s="48" t="s">
        <v>19</v>
      </c>
      <c r="J1825" s="49">
        <v>1411769.0</v>
      </c>
    </row>
    <row r="1826">
      <c r="A1826" s="45" t="s">
        <v>74</v>
      </c>
      <c r="B1826" s="16" t="s">
        <v>231</v>
      </c>
      <c r="C1826" s="17" t="s">
        <v>232</v>
      </c>
      <c r="D1826" s="15">
        <v>3.0</v>
      </c>
      <c r="E1826" s="17" t="s">
        <v>441</v>
      </c>
      <c r="F1826" s="15" t="s">
        <v>442</v>
      </c>
      <c r="G1826" s="46" t="s">
        <v>450</v>
      </c>
      <c r="H1826" s="47" t="s">
        <v>451</v>
      </c>
      <c r="I1826" s="48" t="s">
        <v>19</v>
      </c>
      <c r="J1826" s="49">
        <v>0.0</v>
      </c>
    </row>
    <row r="1827">
      <c r="A1827" s="45" t="s">
        <v>74</v>
      </c>
      <c r="B1827" s="16" t="s">
        <v>231</v>
      </c>
      <c r="C1827" s="17" t="s">
        <v>232</v>
      </c>
      <c r="D1827" s="15">
        <v>3.0</v>
      </c>
      <c r="E1827" s="17" t="s">
        <v>441</v>
      </c>
      <c r="F1827" s="15" t="s">
        <v>442</v>
      </c>
      <c r="G1827" s="46" t="s">
        <v>452</v>
      </c>
      <c r="H1827" s="47" t="s">
        <v>453</v>
      </c>
      <c r="I1827" s="48" t="s">
        <v>19</v>
      </c>
      <c r="J1827" s="49">
        <v>1086975.0</v>
      </c>
    </row>
    <row r="1828">
      <c r="A1828" s="45" t="s">
        <v>74</v>
      </c>
      <c r="B1828" s="16" t="s">
        <v>231</v>
      </c>
      <c r="C1828" s="17" t="s">
        <v>232</v>
      </c>
      <c r="D1828" s="15">
        <v>3.0</v>
      </c>
      <c r="E1828" s="17" t="s">
        <v>441</v>
      </c>
      <c r="F1828" s="15" t="s">
        <v>442</v>
      </c>
      <c r="G1828" s="46" t="s">
        <v>454</v>
      </c>
      <c r="H1828" s="47" t="s">
        <v>415</v>
      </c>
      <c r="I1828" s="48" t="s">
        <v>19</v>
      </c>
      <c r="J1828" s="49">
        <v>158639.0</v>
      </c>
    </row>
    <row r="1829">
      <c r="A1829" s="45" t="s">
        <v>74</v>
      </c>
      <c r="B1829" s="16" t="s">
        <v>231</v>
      </c>
      <c r="C1829" s="17" t="s">
        <v>232</v>
      </c>
      <c r="D1829" s="15">
        <v>3.0</v>
      </c>
      <c r="E1829" s="17" t="s">
        <v>441</v>
      </c>
      <c r="F1829" s="15" t="s">
        <v>442</v>
      </c>
      <c r="G1829" s="46" t="s">
        <v>455</v>
      </c>
      <c r="H1829" s="47" t="s">
        <v>415</v>
      </c>
      <c r="I1829" s="48" t="s">
        <v>19</v>
      </c>
      <c r="J1829" s="49">
        <v>88133.0</v>
      </c>
    </row>
    <row r="1830">
      <c r="A1830" s="45" t="s">
        <v>74</v>
      </c>
      <c r="B1830" s="16" t="s">
        <v>231</v>
      </c>
      <c r="C1830" s="17" t="s">
        <v>232</v>
      </c>
      <c r="D1830" s="15">
        <v>3.0</v>
      </c>
      <c r="E1830" s="17" t="s">
        <v>456</v>
      </c>
      <c r="F1830" s="15" t="s">
        <v>457</v>
      </c>
      <c r="G1830" s="46" t="s">
        <v>458</v>
      </c>
      <c r="H1830" s="47" t="s">
        <v>411</v>
      </c>
      <c r="I1830" s="48" t="s">
        <v>19</v>
      </c>
      <c r="J1830" s="49">
        <v>5.2785561E7</v>
      </c>
    </row>
    <row r="1831">
      <c r="A1831" s="45" t="s">
        <v>74</v>
      </c>
      <c r="B1831" s="16" t="s">
        <v>231</v>
      </c>
      <c r="C1831" s="17" t="s">
        <v>232</v>
      </c>
      <c r="D1831" s="15">
        <v>3.0</v>
      </c>
      <c r="E1831" s="17" t="s">
        <v>473</v>
      </c>
      <c r="F1831" s="15" t="s">
        <v>474</v>
      </c>
      <c r="G1831" s="46" t="s">
        <v>443</v>
      </c>
      <c r="H1831" s="47" t="s">
        <v>420</v>
      </c>
      <c r="I1831" s="48" t="s">
        <v>19</v>
      </c>
      <c r="J1831" s="49">
        <v>7975000.0</v>
      </c>
    </row>
    <row r="1832">
      <c r="A1832" s="45" t="s">
        <v>74</v>
      </c>
      <c r="B1832" s="16" t="s">
        <v>231</v>
      </c>
      <c r="C1832" s="17" t="s">
        <v>232</v>
      </c>
      <c r="D1832" s="15">
        <v>3.0</v>
      </c>
      <c r="E1832" s="17" t="s">
        <v>473</v>
      </c>
      <c r="F1832" s="15" t="s">
        <v>474</v>
      </c>
      <c r="G1832" s="46" t="s">
        <v>444</v>
      </c>
      <c r="H1832" s="47" t="s">
        <v>445</v>
      </c>
      <c r="I1832" s="48" t="s">
        <v>19</v>
      </c>
      <c r="J1832" s="49">
        <v>1127151.0</v>
      </c>
    </row>
    <row r="1833">
      <c r="A1833" s="45" t="s">
        <v>74</v>
      </c>
      <c r="B1833" s="16" t="s">
        <v>231</v>
      </c>
      <c r="C1833" s="17" t="s">
        <v>232</v>
      </c>
      <c r="D1833" s="15">
        <v>3.0</v>
      </c>
      <c r="E1833" s="17" t="s">
        <v>473</v>
      </c>
      <c r="F1833" s="15" t="s">
        <v>474</v>
      </c>
      <c r="G1833" s="46" t="s">
        <v>579</v>
      </c>
      <c r="H1833" s="47" t="s">
        <v>580</v>
      </c>
      <c r="I1833" s="48" t="s">
        <v>19</v>
      </c>
      <c r="J1833" s="49">
        <v>700000.0</v>
      </c>
    </row>
    <row r="1834">
      <c r="A1834" s="45" t="s">
        <v>74</v>
      </c>
      <c r="B1834" s="16" t="s">
        <v>231</v>
      </c>
      <c r="C1834" s="17" t="s">
        <v>232</v>
      </c>
      <c r="D1834" s="15">
        <v>3.0</v>
      </c>
      <c r="E1834" s="17" t="s">
        <v>473</v>
      </c>
      <c r="F1834" s="15" t="s">
        <v>474</v>
      </c>
      <c r="G1834" s="46" t="s">
        <v>523</v>
      </c>
      <c r="H1834" s="47" t="s">
        <v>431</v>
      </c>
      <c r="I1834" s="48" t="s">
        <v>17</v>
      </c>
      <c r="J1834" s="49">
        <v>6.8611554E7</v>
      </c>
    </row>
    <row r="1835">
      <c r="A1835" s="45" t="s">
        <v>74</v>
      </c>
      <c r="B1835" s="16" t="s">
        <v>231</v>
      </c>
      <c r="C1835" s="17" t="s">
        <v>232</v>
      </c>
      <c r="D1835" s="15">
        <v>3.0</v>
      </c>
      <c r="E1835" s="17" t="s">
        <v>473</v>
      </c>
      <c r="F1835" s="15" t="s">
        <v>474</v>
      </c>
      <c r="G1835" s="46" t="s">
        <v>523</v>
      </c>
      <c r="H1835" s="47" t="s">
        <v>431</v>
      </c>
      <c r="I1835" s="48" t="s">
        <v>37</v>
      </c>
      <c r="J1835" s="49">
        <v>1.3772E7</v>
      </c>
    </row>
    <row r="1836">
      <c r="A1836" s="45" t="s">
        <v>74</v>
      </c>
      <c r="B1836" s="16" t="s">
        <v>231</v>
      </c>
      <c r="C1836" s="17" t="s">
        <v>232</v>
      </c>
      <c r="D1836" s="15">
        <v>3.0</v>
      </c>
      <c r="E1836" s="17" t="s">
        <v>473</v>
      </c>
      <c r="F1836" s="15" t="s">
        <v>474</v>
      </c>
      <c r="G1836" s="46" t="s">
        <v>523</v>
      </c>
      <c r="H1836" s="47" t="s">
        <v>431</v>
      </c>
      <c r="I1836" s="48" t="s">
        <v>25</v>
      </c>
      <c r="J1836" s="49">
        <v>1.564E7</v>
      </c>
    </row>
    <row r="1837">
      <c r="A1837" s="45" t="s">
        <v>74</v>
      </c>
      <c r="B1837" s="16" t="s">
        <v>231</v>
      </c>
      <c r="C1837" s="17" t="s">
        <v>232</v>
      </c>
      <c r="D1837" s="15">
        <v>3.0</v>
      </c>
      <c r="E1837" s="17" t="s">
        <v>491</v>
      </c>
      <c r="F1837" s="15" t="s">
        <v>492</v>
      </c>
      <c r="G1837" s="46" t="s">
        <v>493</v>
      </c>
      <c r="H1837" s="47" t="s">
        <v>437</v>
      </c>
      <c r="I1837" s="48" t="s">
        <v>25</v>
      </c>
      <c r="J1837" s="49">
        <v>2515000.0</v>
      </c>
    </row>
    <row r="1838">
      <c r="A1838" s="45" t="s">
        <v>74</v>
      </c>
      <c r="B1838" s="16" t="s">
        <v>231</v>
      </c>
      <c r="C1838" s="17" t="s">
        <v>232</v>
      </c>
      <c r="D1838" s="15">
        <v>3.0</v>
      </c>
      <c r="E1838" s="17" t="s">
        <v>475</v>
      </c>
      <c r="F1838" s="15" t="s">
        <v>476</v>
      </c>
      <c r="G1838" s="46" t="s">
        <v>498</v>
      </c>
      <c r="H1838" s="47" t="s">
        <v>434</v>
      </c>
      <c r="I1838" s="48" t="s">
        <v>25</v>
      </c>
      <c r="J1838" s="49">
        <v>3342000.0</v>
      </c>
    </row>
    <row r="1839">
      <c r="A1839" s="45" t="s">
        <v>74</v>
      </c>
      <c r="B1839" s="16" t="s">
        <v>231</v>
      </c>
      <c r="C1839" s="17" t="s">
        <v>232</v>
      </c>
      <c r="D1839" s="15">
        <v>3.0</v>
      </c>
      <c r="E1839" s="17" t="s">
        <v>475</v>
      </c>
      <c r="F1839" s="15" t="s">
        <v>476</v>
      </c>
      <c r="G1839" s="46" t="s">
        <v>477</v>
      </c>
      <c r="H1839" s="47" t="s">
        <v>429</v>
      </c>
      <c r="I1839" s="48" t="s">
        <v>50</v>
      </c>
      <c r="J1839" s="49">
        <v>4.0933473E7</v>
      </c>
    </row>
    <row r="1840">
      <c r="A1840" s="45" t="s">
        <v>74</v>
      </c>
      <c r="B1840" s="16" t="s">
        <v>231</v>
      </c>
      <c r="C1840" s="17" t="s">
        <v>232</v>
      </c>
      <c r="D1840" s="15">
        <v>3.0</v>
      </c>
      <c r="E1840" s="17" t="s">
        <v>524</v>
      </c>
      <c r="F1840" s="15" t="s">
        <v>479</v>
      </c>
      <c r="G1840" s="46" t="s">
        <v>443</v>
      </c>
      <c r="H1840" s="47" t="s">
        <v>420</v>
      </c>
      <c r="I1840" s="48" t="s">
        <v>19</v>
      </c>
      <c r="J1840" s="49">
        <v>6.0862679E7</v>
      </c>
    </row>
    <row r="1841">
      <c r="A1841" s="45" t="s">
        <v>74</v>
      </c>
      <c r="B1841" s="16" t="s">
        <v>231</v>
      </c>
      <c r="C1841" s="17" t="s">
        <v>232</v>
      </c>
      <c r="D1841" s="15">
        <v>3.0</v>
      </c>
      <c r="E1841" s="17" t="s">
        <v>524</v>
      </c>
      <c r="F1841" s="15" t="s">
        <v>479</v>
      </c>
      <c r="G1841" s="46" t="s">
        <v>444</v>
      </c>
      <c r="H1841" s="47" t="s">
        <v>445</v>
      </c>
      <c r="I1841" s="48" t="s">
        <v>19</v>
      </c>
      <c r="J1841" s="49">
        <v>1.5760468E7</v>
      </c>
    </row>
    <row r="1842">
      <c r="A1842" s="45" t="s">
        <v>74</v>
      </c>
      <c r="B1842" s="16" t="s">
        <v>231</v>
      </c>
      <c r="C1842" s="17" t="s">
        <v>232</v>
      </c>
      <c r="D1842" s="15">
        <v>3.0</v>
      </c>
      <c r="E1842" s="17" t="s">
        <v>524</v>
      </c>
      <c r="F1842" s="15" t="s">
        <v>479</v>
      </c>
      <c r="G1842" s="46" t="s">
        <v>579</v>
      </c>
      <c r="H1842" s="47" t="s">
        <v>580</v>
      </c>
      <c r="I1842" s="48" t="s">
        <v>19</v>
      </c>
      <c r="J1842" s="49">
        <v>6743573.0</v>
      </c>
    </row>
    <row r="1843">
      <c r="A1843" s="45" t="s">
        <v>74</v>
      </c>
      <c r="B1843" s="16" t="s">
        <v>231</v>
      </c>
      <c r="C1843" s="17" t="s">
        <v>232</v>
      </c>
      <c r="D1843" s="15">
        <v>3.0</v>
      </c>
      <c r="E1843" s="17" t="s">
        <v>524</v>
      </c>
      <c r="F1843" s="15" t="s">
        <v>479</v>
      </c>
      <c r="G1843" s="46" t="s">
        <v>446</v>
      </c>
      <c r="H1843" s="47" t="s">
        <v>447</v>
      </c>
      <c r="I1843" s="48" t="s">
        <v>19</v>
      </c>
      <c r="J1843" s="49">
        <v>662081.0</v>
      </c>
    </row>
    <row r="1844">
      <c r="A1844" s="45" t="s">
        <v>74</v>
      </c>
      <c r="B1844" s="16" t="s">
        <v>231</v>
      </c>
      <c r="C1844" s="17" t="s">
        <v>232</v>
      </c>
      <c r="D1844" s="15">
        <v>3.0</v>
      </c>
      <c r="E1844" s="17" t="s">
        <v>524</v>
      </c>
      <c r="F1844" s="15" t="s">
        <v>479</v>
      </c>
      <c r="G1844" s="46" t="s">
        <v>448</v>
      </c>
      <c r="H1844" s="47" t="s">
        <v>449</v>
      </c>
      <c r="I1844" s="48" t="s">
        <v>19</v>
      </c>
      <c r="J1844" s="49">
        <v>1684534.0</v>
      </c>
    </row>
    <row r="1845">
      <c r="A1845" s="45" t="s">
        <v>74</v>
      </c>
      <c r="B1845" s="16" t="s">
        <v>231</v>
      </c>
      <c r="C1845" s="17" t="s">
        <v>232</v>
      </c>
      <c r="D1845" s="15">
        <v>3.0</v>
      </c>
      <c r="E1845" s="17" t="s">
        <v>524</v>
      </c>
      <c r="F1845" s="15" t="s">
        <v>479</v>
      </c>
      <c r="G1845" s="46" t="s">
        <v>452</v>
      </c>
      <c r="H1845" s="47" t="s">
        <v>453</v>
      </c>
      <c r="I1845" s="48" t="s">
        <v>19</v>
      </c>
      <c r="J1845" s="49">
        <v>1224849.0</v>
      </c>
    </row>
    <row r="1846">
      <c r="A1846" s="45" t="s">
        <v>74</v>
      </c>
      <c r="B1846" s="16" t="s">
        <v>231</v>
      </c>
      <c r="C1846" s="17" t="s">
        <v>232</v>
      </c>
      <c r="D1846" s="15">
        <v>3.0</v>
      </c>
      <c r="E1846" s="17" t="s">
        <v>524</v>
      </c>
      <c r="F1846" s="15" t="s">
        <v>479</v>
      </c>
      <c r="G1846" s="46" t="s">
        <v>454</v>
      </c>
      <c r="H1846" s="47" t="s">
        <v>415</v>
      </c>
      <c r="I1846" s="48" t="s">
        <v>19</v>
      </c>
      <c r="J1846" s="49">
        <v>178763.0</v>
      </c>
    </row>
    <row r="1847">
      <c r="A1847" s="45" t="s">
        <v>74</v>
      </c>
      <c r="B1847" s="16" t="s">
        <v>231</v>
      </c>
      <c r="C1847" s="17" t="s">
        <v>232</v>
      </c>
      <c r="D1847" s="15">
        <v>3.0</v>
      </c>
      <c r="E1847" s="17" t="s">
        <v>524</v>
      </c>
      <c r="F1847" s="15" t="s">
        <v>479</v>
      </c>
      <c r="G1847" s="46" t="s">
        <v>455</v>
      </c>
      <c r="H1847" s="47" t="s">
        <v>415</v>
      </c>
      <c r="I1847" s="48" t="s">
        <v>19</v>
      </c>
      <c r="J1847" s="49">
        <v>99311.0</v>
      </c>
    </row>
    <row r="1848">
      <c r="A1848" s="45" t="s">
        <v>74</v>
      </c>
      <c r="B1848" s="16" t="s">
        <v>231</v>
      </c>
      <c r="C1848" s="17" t="s">
        <v>232</v>
      </c>
      <c r="D1848" s="15">
        <v>3.0</v>
      </c>
      <c r="E1848" s="17" t="s">
        <v>525</v>
      </c>
      <c r="F1848" s="15" t="s">
        <v>502</v>
      </c>
      <c r="G1848" s="46" t="s">
        <v>526</v>
      </c>
      <c r="H1848" s="47" t="s">
        <v>527</v>
      </c>
      <c r="I1848" s="48" t="s">
        <v>60</v>
      </c>
      <c r="J1848" s="49">
        <v>1.60641665E8</v>
      </c>
    </row>
    <row r="1849">
      <c r="A1849" s="45" t="s">
        <v>74</v>
      </c>
      <c r="B1849" s="16" t="s">
        <v>231</v>
      </c>
      <c r="C1849" s="17" t="s">
        <v>232</v>
      </c>
      <c r="D1849" s="15">
        <v>3.0</v>
      </c>
      <c r="E1849" s="17" t="s">
        <v>525</v>
      </c>
      <c r="F1849" s="15" t="s">
        <v>502</v>
      </c>
      <c r="G1849" s="46" t="s">
        <v>539</v>
      </c>
      <c r="H1849" s="47" t="s">
        <v>540</v>
      </c>
      <c r="I1849" s="48" t="s">
        <v>60</v>
      </c>
      <c r="J1849" s="49">
        <v>711797.0</v>
      </c>
    </row>
    <row r="1850">
      <c r="A1850" s="45" t="s">
        <v>74</v>
      </c>
      <c r="B1850" s="16" t="s">
        <v>231</v>
      </c>
      <c r="C1850" s="17" t="s">
        <v>232</v>
      </c>
      <c r="D1850" s="15">
        <v>3.0</v>
      </c>
      <c r="E1850" s="17" t="s">
        <v>525</v>
      </c>
      <c r="F1850" s="15" t="s">
        <v>502</v>
      </c>
      <c r="G1850" s="46" t="s">
        <v>505</v>
      </c>
      <c r="H1850" s="47" t="s">
        <v>506</v>
      </c>
      <c r="I1850" s="48" t="s">
        <v>60</v>
      </c>
      <c r="J1850" s="49">
        <v>3340881.0</v>
      </c>
    </row>
    <row r="1851">
      <c r="A1851" s="45" t="s">
        <v>74</v>
      </c>
      <c r="B1851" s="16" t="s">
        <v>231</v>
      </c>
      <c r="C1851" s="17" t="s">
        <v>232</v>
      </c>
      <c r="D1851" s="15">
        <v>3.0</v>
      </c>
      <c r="E1851" s="17" t="s">
        <v>525</v>
      </c>
      <c r="F1851" s="15" t="s">
        <v>502</v>
      </c>
      <c r="G1851" s="46" t="s">
        <v>507</v>
      </c>
      <c r="H1851" s="47" t="s">
        <v>508</v>
      </c>
      <c r="I1851" s="48" t="s">
        <v>60</v>
      </c>
      <c r="J1851" s="49">
        <v>1088874.0</v>
      </c>
    </row>
    <row r="1852">
      <c r="A1852" s="45" t="s">
        <v>74</v>
      </c>
      <c r="B1852" s="16" t="s">
        <v>231</v>
      </c>
      <c r="C1852" s="17" t="s">
        <v>232</v>
      </c>
      <c r="D1852" s="15">
        <v>3.0</v>
      </c>
      <c r="E1852" s="17" t="s">
        <v>525</v>
      </c>
      <c r="F1852" s="15" t="s">
        <v>502</v>
      </c>
      <c r="G1852" s="46" t="s">
        <v>509</v>
      </c>
      <c r="H1852" s="47" t="s">
        <v>510</v>
      </c>
      <c r="I1852" s="48" t="s">
        <v>60</v>
      </c>
      <c r="J1852" s="49">
        <v>133333.0</v>
      </c>
    </row>
    <row r="1853">
      <c r="A1853" s="45" t="s">
        <v>74</v>
      </c>
      <c r="B1853" s="16" t="s">
        <v>231</v>
      </c>
      <c r="C1853" s="17" t="s">
        <v>232</v>
      </c>
      <c r="D1853" s="15">
        <v>3.0</v>
      </c>
      <c r="E1853" s="17" t="s">
        <v>525</v>
      </c>
      <c r="F1853" s="15" t="s">
        <v>502</v>
      </c>
      <c r="G1853" s="46" t="s">
        <v>511</v>
      </c>
      <c r="H1853" s="47" t="s">
        <v>512</v>
      </c>
      <c r="I1853" s="48" t="s">
        <v>60</v>
      </c>
      <c r="J1853" s="49">
        <v>2988805.0</v>
      </c>
    </row>
    <row r="1854">
      <c r="A1854" s="45" t="s">
        <v>74</v>
      </c>
      <c r="B1854" s="16" t="s">
        <v>231</v>
      </c>
      <c r="C1854" s="17" t="s">
        <v>232</v>
      </c>
      <c r="D1854" s="15">
        <v>3.0</v>
      </c>
      <c r="E1854" s="17" t="s">
        <v>525</v>
      </c>
      <c r="F1854" s="15" t="s">
        <v>502</v>
      </c>
      <c r="G1854" s="46" t="s">
        <v>513</v>
      </c>
      <c r="H1854" s="47" t="s">
        <v>514</v>
      </c>
      <c r="I1854" s="48" t="s">
        <v>60</v>
      </c>
      <c r="J1854" s="49">
        <v>1640104.0</v>
      </c>
    </row>
    <row r="1855">
      <c r="A1855" s="45" t="s">
        <v>74</v>
      </c>
      <c r="B1855" s="16" t="s">
        <v>233</v>
      </c>
      <c r="C1855" s="17" t="s">
        <v>234</v>
      </c>
      <c r="D1855" s="15">
        <v>3.0</v>
      </c>
      <c r="E1855" s="17" t="s">
        <v>441</v>
      </c>
      <c r="F1855" s="15" t="s">
        <v>442</v>
      </c>
      <c r="G1855" s="46" t="s">
        <v>443</v>
      </c>
      <c r="H1855" s="47" t="s">
        <v>420</v>
      </c>
      <c r="I1855" s="48" t="s">
        <v>19</v>
      </c>
      <c r="J1855" s="49">
        <v>4.7092678E7</v>
      </c>
    </row>
    <row r="1856">
      <c r="A1856" s="45" t="s">
        <v>74</v>
      </c>
      <c r="B1856" s="16" t="s">
        <v>233</v>
      </c>
      <c r="C1856" s="17" t="s">
        <v>234</v>
      </c>
      <c r="D1856" s="15">
        <v>3.0</v>
      </c>
      <c r="E1856" s="17" t="s">
        <v>441</v>
      </c>
      <c r="F1856" s="15" t="s">
        <v>442</v>
      </c>
      <c r="G1856" s="46" t="s">
        <v>444</v>
      </c>
      <c r="H1856" s="47" t="s">
        <v>445</v>
      </c>
      <c r="I1856" s="48" t="s">
        <v>19</v>
      </c>
      <c r="J1856" s="49">
        <v>1.8751485E7</v>
      </c>
    </row>
    <row r="1857">
      <c r="A1857" s="45" t="s">
        <v>74</v>
      </c>
      <c r="B1857" s="16" t="s">
        <v>233</v>
      </c>
      <c r="C1857" s="17" t="s">
        <v>234</v>
      </c>
      <c r="D1857" s="15">
        <v>3.0</v>
      </c>
      <c r="E1857" s="17" t="s">
        <v>441</v>
      </c>
      <c r="F1857" s="15" t="s">
        <v>442</v>
      </c>
      <c r="G1857" s="46" t="s">
        <v>579</v>
      </c>
      <c r="H1857" s="47" t="s">
        <v>580</v>
      </c>
      <c r="I1857" s="48" t="s">
        <v>19</v>
      </c>
      <c r="J1857" s="49">
        <v>5013278.0</v>
      </c>
    </row>
    <row r="1858">
      <c r="A1858" s="45" t="s">
        <v>74</v>
      </c>
      <c r="B1858" s="16" t="s">
        <v>233</v>
      </c>
      <c r="C1858" s="17" t="s">
        <v>234</v>
      </c>
      <c r="D1858" s="15">
        <v>3.0</v>
      </c>
      <c r="E1858" s="17" t="s">
        <v>441</v>
      </c>
      <c r="F1858" s="15" t="s">
        <v>442</v>
      </c>
      <c r="G1858" s="46" t="s">
        <v>446</v>
      </c>
      <c r="H1858" s="47" t="s">
        <v>447</v>
      </c>
      <c r="I1858" s="48" t="s">
        <v>19</v>
      </c>
      <c r="J1858" s="49">
        <v>484858.0</v>
      </c>
    </row>
    <row r="1859">
      <c r="A1859" s="45" t="s">
        <v>74</v>
      </c>
      <c r="B1859" s="16" t="s">
        <v>233</v>
      </c>
      <c r="C1859" s="17" t="s">
        <v>234</v>
      </c>
      <c r="D1859" s="15">
        <v>3.0</v>
      </c>
      <c r="E1859" s="17" t="s">
        <v>441</v>
      </c>
      <c r="F1859" s="15" t="s">
        <v>442</v>
      </c>
      <c r="G1859" s="46" t="s">
        <v>448</v>
      </c>
      <c r="H1859" s="47" t="s">
        <v>449</v>
      </c>
      <c r="I1859" s="48" t="s">
        <v>19</v>
      </c>
      <c r="J1859" s="49">
        <v>1237958.0</v>
      </c>
    </row>
    <row r="1860">
      <c r="A1860" s="45" t="s">
        <v>74</v>
      </c>
      <c r="B1860" s="16" t="s">
        <v>233</v>
      </c>
      <c r="C1860" s="17" t="s">
        <v>234</v>
      </c>
      <c r="D1860" s="15">
        <v>3.0</v>
      </c>
      <c r="E1860" s="17" t="s">
        <v>441</v>
      </c>
      <c r="F1860" s="15" t="s">
        <v>442</v>
      </c>
      <c r="G1860" s="46" t="s">
        <v>450</v>
      </c>
      <c r="H1860" s="47" t="s">
        <v>451</v>
      </c>
      <c r="I1860" s="48" t="s">
        <v>19</v>
      </c>
      <c r="J1860" s="49">
        <v>0.0</v>
      </c>
    </row>
    <row r="1861">
      <c r="A1861" s="45" t="s">
        <v>74</v>
      </c>
      <c r="B1861" s="16" t="s">
        <v>233</v>
      </c>
      <c r="C1861" s="17" t="s">
        <v>234</v>
      </c>
      <c r="D1861" s="15">
        <v>3.0</v>
      </c>
      <c r="E1861" s="17" t="s">
        <v>441</v>
      </c>
      <c r="F1861" s="15" t="s">
        <v>442</v>
      </c>
      <c r="G1861" s="46" t="s">
        <v>452</v>
      </c>
      <c r="H1861" s="47" t="s">
        <v>453</v>
      </c>
      <c r="I1861" s="48" t="s">
        <v>19</v>
      </c>
      <c r="J1861" s="49">
        <v>896987.0</v>
      </c>
    </row>
    <row r="1862">
      <c r="A1862" s="45" t="s">
        <v>74</v>
      </c>
      <c r="B1862" s="16" t="s">
        <v>233</v>
      </c>
      <c r="C1862" s="17" t="s">
        <v>234</v>
      </c>
      <c r="D1862" s="15">
        <v>3.0</v>
      </c>
      <c r="E1862" s="17" t="s">
        <v>441</v>
      </c>
      <c r="F1862" s="15" t="s">
        <v>442</v>
      </c>
      <c r="G1862" s="46" t="s">
        <v>454</v>
      </c>
      <c r="H1862" s="47" t="s">
        <v>415</v>
      </c>
      <c r="I1862" s="48" t="s">
        <v>19</v>
      </c>
      <c r="J1862" s="49">
        <v>130912.0</v>
      </c>
    </row>
    <row r="1863">
      <c r="A1863" s="45" t="s">
        <v>74</v>
      </c>
      <c r="B1863" s="16" t="s">
        <v>233</v>
      </c>
      <c r="C1863" s="17" t="s">
        <v>234</v>
      </c>
      <c r="D1863" s="15">
        <v>3.0</v>
      </c>
      <c r="E1863" s="17" t="s">
        <v>441</v>
      </c>
      <c r="F1863" s="15" t="s">
        <v>442</v>
      </c>
      <c r="G1863" s="46" t="s">
        <v>455</v>
      </c>
      <c r="H1863" s="47" t="s">
        <v>415</v>
      </c>
      <c r="I1863" s="48" t="s">
        <v>19</v>
      </c>
      <c r="J1863" s="49">
        <v>72728.0</v>
      </c>
    </row>
    <row r="1864">
      <c r="A1864" s="45" t="s">
        <v>74</v>
      </c>
      <c r="B1864" s="16" t="s">
        <v>233</v>
      </c>
      <c r="C1864" s="17" t="s">
        <v>234</v>
      </c>
      <c r="D1864" s="15">
        <v>3.0</v>
      </c>
      <c r="E1864" s="17" t="s">
        <v>456</v>
      </c>
      <c r="F1864" s="15" t="s">
        <v>457</v>
      </c>
      <c r="G1864" s="46" t="s">
        <v>515</v>
      </c>
      <c r="H1864" s="47" t="s">
        <v>413</v>
      </c>
      <c r="I1864" s="48" t="s">
        <v>19</v>
      </c>
      <c r="J1864" s="49">
        <v>3318042.0</v>
      </c>
    </row>
    <row r="1865">
      <c r="A1865" s="45" t="s">
        <v>74</v>
      </c>
      <c r="B1865" s="16" t="s">
        <v>233</v>
      </c>
      <c r="C1865" s="17" t="s">
        <v>234</v>
      </c>
      <c r="D1865" s="15">
        <v>3.0</v>
      </c>
      <c r="E1865" s="17" t="s">
        <v>456</v>
      </c>
      <c r="F1865" s="15" t="s">
        <v>457</v>
      </c>
      <c r="G1865" s="46" t="s">
        <v>579</v>
      </c>
      <c r="H1865" s="47" t="s">
        <v>580</v>
      </c>
      <c r="I1865" s="48" t="s">
        <v>19</v>
      </c>
      <c r="J1865" s="49">
        <v>99772.0</v>
      </c>
    </row>
    <row r="1866">
      <c r="A1866" s="45" t="s">
        <v>74</v>
      </c>
      <c r="B1866" s="16" t="s">
        <v>233</v>
      </c>
      <c r="C1866" s="17" t="s">
        <v>234</v>
      </c>
      <c r="D1866" s="15">
        <v>3.0</v>
      </c>
      <c r="E1866" s="17" t="s">
        <v>456</v>
      </c>
      <c r="F1866" s="15" t="s">
        <v>457</v>
      </c>
      <c r="G1866" s="46" t="s">
        <v>458</v>
      </c>
      <c r="H1866" s="47" t="s">
        <v>411</v>
      </c>
      <c r="I1866" s="48" t="s">
        <v>19</v>
      </c>
      <c r="J1866" s="49">
        <v>1.7952813E8</v>
      </c>
    </row>
    <row r="1867">
      <c r="A1867" s="45" t="s">
        <v>74</v>
      </c>
      <c r="B1867" s="16" t="s">
        <v>233</v>
      </c>
      <c r="C1867" s="17" t="s">
        <v>234</v>
      </c>
      <c r="D1867" s="15">
        <v>3.0</v>
      </c>
      <c r="E1867" s="17" t="s">
        <v>459</v>
      </c>
      <c r="F1867" s="15" t="s">
        <v>460</v>
      </c>
      <c r="G1867" s="46" t="s">
        <v>458</v>
      </c>
      <c r="H1867" s="47" t="s">
        <v>411</v>
      </c>
      <c r="I1867" s="48" t="s">
        <v>19</v>
      </c>
      <c r="J1867" s="49">
        <v>6299262.0</v>
      </c>
    </row>
    <row r="1868">
      <c r="A1868" s="45" t="s">
        <v>74</v>
      </c>
      <c r="B1868" s="16" t="s">
        <v>233</v>
      </c>
      <c r="C1868" s="17" t="s">
        <v>234</v>
      </c>
      <c r="D1868" s="15">
        <v>3.0</v>
      </c>
      <c r="E1868" s="17" t="s">
        <v>463</v>
      </c>
      <c r="F1868" s="15" t="s">
        <v>464</v>
      </c>
      <c r="G1868" s="46" t="s">
        <v>486</v>
      </c>
      <c r="H1868" s="47" t="s">
        <v>432</v>
      </c>
      <c r="I1868" s="48" t="s">
        <v>37</v>
      </c>
      <c r="J1868" s="49">
        <v>0.0</v>
      </c>
    </row>
    <row r="1869">
      <c r="A1869" s="45" t="s">
        <v>74</v>
      </c>
      <c r="B1869" s="16" t="s">
        <v>233</v>
      </c>
      <c r="C1869" s="17" t="s">
        <v>234</v>
      </c>
      <c r="D1869" s="15">
        <v>3.0</v>
      </c>
      <c r="E1869" s="17" t="s">
        <v>487</v>
      </c>
      <c r="F1869" s="15" t="s">
        <v>488</v>
      </c>
      <c r="G1869" s="46" t="s">
        <v>489</v>
      </c>
      <c r="H1869" s="47" t="s">
        <v>490</v>
      </c>
      <c r="I1869" s="48" t="s">
        <v>17</v>
      </c>
      <c r="J1869" s="49">
        <v>747000.0</v>
      </c>
    </row>
    <row r="1870">
      <c r="A1870" s="45" t="s">
        <v>74</v>
      </c>
      <c r="B1870" s="16" t="s">
        <v>233</v>
      </c>
      <c r="C1870" s="17" t="s">
        <v>234</v>
      </c>
      <c r="D1870" s="15">
        <v>3.0</v>
      </c>
      <c r="E1870" s="17" t="s">
        <v>487</v>
      </c>
      <c r="F1870" s="15" t="s">
        <v>488</v>
      </c>
      <c r="G1870" s="46" t="s">
        <v>489</v>
      </c>
      <c r="H1870" s="47" t="s">
        <v>490</v>
      </c>
      <c r="I1870" s="48" t="s">
        <v>37</v>
      </c>
      <c r="J1870" s="49">
        <v>7649000.0</v>
      </c>
    </row>
    <row r="1871">
      <c r="A1871" s="45" t="s">
        <v>74</v>
      </c>
      <c r="B1871" s="16" t="s">
        <v>233</v>
      </c>
      <c r="C1871" s="17" t="s">
        <v>234</v>
      </c>
      <c r="D1871" s="15">
        <v>3.0</v>
      </c>
      <c r="E1871" s="17" t="s">
        <v>487</v>
      </c>
      <c r="F1871" s="15" t="s">
        <v>488</v>
      </c>
      <c r="G1871" s="46" t="s">
        <v>489</v>
      </c>
      <c r="H1871" s="47" t="s">
        <v>490</v>
      </c>
      <c r="I1871" s="48" t="s">
        <v>25</v>
      </c>
      <c r="J1871" s="49">
        <v>2456000.0</v>
      </c>
    </row>
    <row r="1872">
      <c r="A1872" s="45" t="s">
        <v>74</v>
      </c>
      <c r="B1872" s="16" t="s">
        <v>233</v>
      </c>
      <c r="C1872" s="17" t="s">
        <v>234</v>
      </c>
      <c r="D1872" s="15">
        <v>3.0</v>
      </c>
      <c r="E1872" s="17" t="s">
        <v>469</v>
      </c>
      <c r="F1872" s="15" t="s">
        <v>470</v>
      </c>
      <c r="G1872" s="46" t="s">
        <v>471</v>
      </c>
      <c r="H1872" s="47" t="s">
        <v>472</v>
      </c>
      <c r="I1872" s="48" t="s">
        <v>25</v>
      </c>
      <c r="J1872" s="49">
        <v>1465600.0</v>
      </c>
    </row>
    <row r="1873">
      <c r="A1873" s="45" t="s">
        <v>74</v>
      </c>
      <c r="B1873" s="16" t="s">
        <v>233</v>
      </c>
      <c r="C1873" s="17" t="s">
        <v>234</v>
      </c>
      <c r="D1873" s="15">
        <v>3.0</v>
      </c>
      <c r="E1873" s="17" t="s">
        <v>473</v>
      </c>
      <c r="F1873" s="15" t="s">
        <v>474</v>
      </c>
      <c r="G1873" s="46" t="s">
        <v>523</v>
      </c>
      <c r="H1873" s="47" t="s">
        <v>431</v>
      </c>
      <c r="I1873" s="48" t="s">
        <v>17</v>
      </c>
      <c r="J1873" s="49">
        <v>2.32403857E8</v>
      </c>
    </row>
    <row r="1874">
      <c r="A1874" s="45" t="s">
        <v>74</v>
      </c>
      <c r="B1874" s="16" t="s">
        <v>233</v>
      </c>
      <c r="C1874" s="17" t="s">
        <v>234</v>
      </c>
      <c r="D1874" s="15">
        <v>3.0</v>
      </c>
      <c r="E1874" s="17" t="s">
        <v>473</v>
      </c>
      <c r="F1874" s="15" t="s">
        <v>474</v>
      </c>
      <c r="G1874" s="46" t="s">
        <v>523</v>
      </c>
      <c r="H1874" s="47" t="s">
        <v>431</v>
      </c>
      <c r="I1874" s="48" t="s">
        <v>25</v>
      </c>
      <c r="J1874" s="49">
        <v>1.49288E7</v>
      </c>
    </row>
    <row r="1875">
      <c r="A1875" s="45" t="s">
        <v>74</v>
      </c>
      <c r="B1875" s="16" t="s">
        <v>233</v>
      </c>
      <c r="C1875" s="17" t="s">
        <v>234</v>
      </c>
      <c r="D1875" s="15">
        <v>3.0</v>
      </c>
      <c r="E1875" s="17" t="s">
        <v>473</v>
      </c>
      <c r="F1875" s="15" t="s">
        <v>474</v>
      </c>
      <c r="G1875" s="46" t="s">
        <v>458</v>
      </c>
      <c r="H1875" s="47" t="s">
        <v>411</v>
      </c>
      <c r="I1875" s="48" t="s">
        <v>19</v>
      </c>
      <c r="J1875" s="49">
        <v>3.989514E7</v>
      </c>
    </row>
    <row r="1876">
      <c r="A1876" s="45" t="s">
        <v>74</v>
      </c>
      <c r="B1876" s="16" t="s">
        <v>233</v>
      </c>
      <c r="C1876" s="17" t="s">
        <v>234</v>
      </c>
      <c r="D1876" s="15">
        <v>3.0</v>
      </c>
      <c r="E1876" s="17" t="s">
        <v>491</v>
      </c>
      <c r="F1876" s="15" t="s">
        <v>492</v>
      </c>
      <c r="G1876" s="46" t="s">
        <v>493</v>
      </c>
      <c r="H1876" s="47" t="s">
        <v>437</v>
      </c>
      <c r="I1876" s="48" t="s">
        <v>25</v>
      </c>
      <c r="J1876" s="49">
        <v>6490902.0</v>
      </c>
    </row>
    <row r="1877">
      <c r="A1877" s="45" t="s">
        <v>74</v>
      </c>
      <c r="B1877" s="16" t="s">
        <v>233</v>
      </c>
      <c r="C1877" s="17" t="s">
        <v>234</v>
      </c>
      <c r="D1877" s="15">
        <v>3.0</v>
      </c>
      <c r="E1877" s="17" t="s">
        <v>491</v>
      </c>
      <c r="F1877" s="15" t="s">
        <v>492</v>
      </c>
      <c r="G1877" s="46" t="s">
        <v>458</v>
      </c>
      <c r="H1877" s="47" t="s">
        <v>411</v>
      </c>
      <c r="I1877" s="48" t="s">
        <v>19</v>
      </c>
      <c r="J1877" s="49">
        <v>6299262.0</v>
      </c>
    </row>
    <row r="1878">
      <c r="A1878" s="45" t="s">
        <v>74</v>
      </c>
      <c r="B1878" s="16" t="s">
        <v>233</v>
      </c>
      <c r="C1878" s="17" t="s">
        <v>234</v>
      </c>
      <c r="D1878" s="15">
        <v>3.0</v>
      </c>
      <c r="E1878" s="17" t="s">
        <v>475</v>
      </c>
      <c r="F1878" s="15" t="s">
        <v>476</v>
      </c>
      <c r="G1878" s="46" t="s">
        <v>554</v>
      </c>
      <c r="H1878" s="47" t="s">
        <v>555</v>
      </c>
      <c r="I1878" s="48" t="s">
        <v>17</v>
      </c>
      <c r="J1878" s="49">
        <v>7304348.0</v>
      </c>
    </row>
    <row r="1879">
      <c r="A1879" s="45" t="s">
        <v>74</v>
      </c>
      <c r="B1879" s="16" t="s">
        <v>233</v>
      </c>
      <c r="C1879" s="17" t="s">
        <v>234</v>
      </c>
      <c r="D1879" s="15">
        <v>3.0</v>
      </c>
      <c r="E1879" s="17" t="s">
        <v>475</v>
      </c>
      <c r="F1879" s="15" t="s">
        <v>476</v>
      </c>
      <c r="G1879" s="46" t="s">
        <v>498</v>
      </c>
      <c r="H1879" s="47" t="s">
        <v>434</v>
      </c>
      <c r="I1879" s="48" t="s">
        <v>25</v>
      </c>
      <c r="J1879" s="49">
        <v>5451500.0</v>
      </c>
    </row>
    <row r="1880">
      <c r="A1880" s="45" t="s">
        <v>74</v>
      </c>
      <c r="B1880" s="16" t="s">
        <v>233</v>
      </c>
      <c r="C1880" s="17" t="s">
        <v>234</v>
      </c>
      <c r="D1880" s="15">
        <v>3.0</v>
      </c>
      <c r="E1880" s="17" t="s">
        <v>475</v>
      </c>
      <c r="F1880" s="15" t="s">
        <v>476</v>
      </c>
      <c r="G1880" s="46" t="s">
        <v>477</v>
      </c>
      <c r="H1880" s="47" t="s">
        <v>429</v>
      </c>
      <c r="I1880" s="48" t="s">
        <v>50</v>
      </c>
      <c r="J1880" s="49">
        <v>2.2551337E7</v>
      </c>
    </row>
    <row r="1881">
      <c r="A1881" s="45" t="s">
        <v>74</v>
      </c>
      <c r="B1881" s="16" t="s">
        <v>233</v>
      </c>
      <c r="C1881" s="17" t="s">
        <v>234</v>
      </c>
      <c r="D1881" s="15">
        <v>3.0</v>
      </c>
      <c r="E1881" s="17" t="s">
        <v>524</v>
      </c>
      <c r="F1881" s="15" t="s">
        <v>479</v>
      </c>
      <c r="G1881" s="46" t="s">
        <v>443</v>
      </c>
      <c r="H1881" s="47" t="s">
        <v>420</v>
      </c>
      <c r="I1881" s="48" t="s">
        <v>19</v>
      </c>
      <c r="J1881" s="49">
        <v>6.3804866E7</v>
      </c>
    </row>
    <row r="1882">
      <c r="A1882" s="45" t="s">
        <v>74</v>
      </c>
      <c r="B1882" s="16" t="s">
        <v>233</v>
      </c>
      <c r="C1882" s="17" t="s">
        <v>234</v>
      </c>
      <c r="D1882" s="15">
        <v>3.0</v>
      </c>
      <c r="E1882" s="17" t="s">
        <v>524</v>
      </c>
      <c r="F1882" s="15" t="s">
        <v>479</v>
      </c>
      <c r="G1882" s="46" t="s">
        <v>444</v>
      </c>
      <c r="H1882" s="47" t="s">
        <v>445</v>
      </c>
      <c r="I1882" s="48" t="s">
        <v>19</v>
      </c>
      <c r="J1882" s="49">
        <v>1.7028006E7</v>
      </c>
    </row>
    <row r="1883">
      <c r="A1883" s="45" t="s">
        <v>74</v>
      </c>
      <c r="B1883" s="16" t="s">
        <v>233</v>
      </c>
      <c r="C1883" s="17" t="s">
        <v>234</v>
      </c>
      <c r="D1883" s="15">
        <v>3.0</v>
      </c>
      <c r="E1883" s="17" t="s">
        <v>524</v>
      </c>
      <c r="F1883" s="15" t="s">
        <v>479</v>
      </c>
      <c r="G1883" s="46" t="s">
        <v>579</v>
      </c>
      <c r="H1883" s="47" t="s">
        <v>580</v>
      </c>
      <c r="I1883" s="48" t="s">
        <v>19</v>
      </c>
      <c r="J1883" s="49">
        <v>6267795.0</v>
      </c>
    </row>
    <row r="1884">
      <c r="A1884" s="45" t="s">
        <v>74</v>
      </c>
      <c r="B1884" s="16" t="s">
        <v>233</v>
      </c>
      <c r="C1884" s="17" t="s">
        <v>234</v>
      </c>
      <c r="D1884" s="15">
        <v>3.0</v>
      </c>
      <c r="E1884" s="17" t="s">
        <v>524</v>
      </c>
      <c r="F1884" s="15" t="s">
        <v>479</v>
      </c>
      <c r="G1884" s="46" t="s">
        <v>446</v>
      </c>
      <c r="H1884" s="47" t="s">
        <v>447</v>
      </c>
      <c r="I1884" s="48" t="s">
        <v>19</v>
      </c>
      <c r="J1884" s="49">
        <v>715262.0</v>
      </c>
    </row>
    <row r="1885">
      <c r="A1885" s="45" t="s">
        <v>74</v>
      </c>
      <c r="B1885" s="16" t="s">
        <v>233</v>
      </c>
      <c r="C1885" s="17" t="s">
        <v>234</v>
      </c>
      <c r="D1885" s="15">
        <v>3.0</v>
      </c>
      <c r="E1885" s="17" t="s">
        <v>524</v>
      </c>
      <c r="F1885" s="15" t="s">
        <v>479</v>
      </c>
      <c r="G1885" s="46" t="s">
        <v>448</v>
      </c>
      <c r="H1885" s="47" t="s">
        <v>449</v>
      </c>
      <c r="I1885" s="48" t="s">
        <v>19</v>
      </c>
      <c r="J1885" s="49">
        <v>1826230.0</v>
      </c>
    </row>
    <row r="1886">
      <c r="A1886" s="45" t="s">
        <v>74</v>
      </c>
      <c r="B1886" s="16" t="s">
        <v>233</v>
      </c>
      <c r="C1886" s="17" t="s">
        <v>234</v>
      </c>
      <c r="D1886" s="15">
        <v>3.0</v>
      </c>
      <c r="E1886" s="17" t="s">
        <v>524</v>
      </c>
      <c r="F1886" s="15" t="s">
        <v>479</v>
      </c>
      <c r="G1886" s="46" t="s">
        <v>452</v>
      </c>
      <c r="H1886" s="47" t="s">
        <v>453</v>
      </c>
      <c r="I1886" s="48" t="s">
        <v>19</v>
      </c>
      <c r="J1886" s="49">
        <v>1323233.0</v>
      </c>
    </row>
    <row r="1887">
      <c r="A1887" s="45" t="s">
        <v>74</v>
      </c>
      <c r="B1887" s="16" t="s">
        <v>233</v>
      </c>
      <c r="C1887" s="17" t="s">
        <v>234</v>
      </c>
      <c r="D1887" s="15">
        <v>3.0</v>
      </c>
      <c r="E1887" s="17" t="s">
        <v>524</v>
      </c>
      <c r="F1887" s="15" t="s">
        <v>479</v>
      </c>
      <c r="G1887" s="46" t="s">
        <v>454</v>
      </c>
      <c r="H1887" s="47" t="s">
        <v>415</v>
      </c>
      <c r="I1887" s="48" t="s">
        <v>19</v>
      </c>
      <c r="J1887" s="49">
        <v>193121.0</v>
      </c>
    </row>
    <row r="1888">
      <c r="A1888" s="45" t="s">
        <v>74</v>
      </c>
      <c r="B1888" s="16" t="s">
        <v>233</v>
      </c>
      <c r="C1888" s="17" t="s">
        <v>234</v>
      </c>
      <c r="D1888" s="15">
        <v>3.0</v>
      </c>
      <c r="E1888" s="17" t="s">
        <v>524</v>
      </c>
      <c r="F1888" s="15" t="s">
        <v>479</v>
      </c>
      <c r="G1888" s="46" t="s">
        <v>455</v>
      </c>
      <c r="H1888" s="47" t="s">
        <v>415</v>
      </c>
      <c r="I1888" s="48" t="s">
        <v>19</v>
      </c>
      <c r="J1888" s="49">
        <v>107290.0</v>
      </c>
    </row>
    <row r="1889">
      <c r="A1889" s="45" t="s">
        <v>74</v>
      </c>
      <c r="B1889" s="16" t="s">
        <v>233</v>
      </c>
      <c r="C1889" s="17" t="s">
        <v>234</v>
      </c>
      <c r="D1889" s="15">
        <v>3.0</v>
      </c>
      <c r="E1889" s="17" t="s">
        <v>524</v>
      </c>
      <c r="F1889" s="15" t="s">
        <v>479</v>
      </c>
      <c r="G1889" s="46" t="s">
        <v>565</v>
      </c>
      <c r="H1889" s="47" t="s">
        <v>566</v>
      </c>
      <c r="I1889" s="48" t="s">
        <v>25</v>
      </c>
      <c r="J1889" s="49">
        <v>2475000.0</v>
      </c>
    </row>
    <row r="1890">
      <c r="A1890" s="45" t="s">
        <v>74</v>
      </c>
      <c r="B1890" s="16" t="s">
        <v>233</v>
      </c>
      <c r="C1890" s="17" t="s">
        <v>234</v>
      </c>
      <c r="D1890" s="15">
        <v>3.0</v>
      </c>
      <c r="E1890" s="17" t="s">
        <v>524</v>
      </c>
      <c r="F1890" s="15" t="s">
        <v>479</v>
      </c>
      <c r="G1890" s="46" t="s">
        <v>499</v>
      </c>
      <c r="H1890" s="47" t="s">
        <v>500</v>
      </c>
      <c r="I1890" s="48" t="s">
        <v>19</v>
      </c>
      <c r="J1890" s="49">
        <v>1.4198933E7</v>
      </c>
    </row>
    <row r="1891">
      <c r="A1891" s="45" t="s">
        <v>74</v>
      </c>
      <c r="B1891" s="16" t="s">
        <v>233</v>
      </c>
      <c r="C1891" s="17" t="s">
        <v>234</v>
      </c>
      <c r="D1891" s="15">
        <v>3.0</v>
      </c>
      <c r="E1891" s="17" t="s">
        <v>525</v>
      </c>
      <c r="F1891" s="15" t="s">
        <v>502</v>
      </c>
      <c r="G1891" s="46" t="s">
        <v>526</v>
      </c>
      <c r="H1891" s="47" t="s">
        <v>527</v>
      </c>
      <c r="I1891" s="48" t="s">
        <v>60</v>
      </c>
      <c r="J1891" s="49">
        <v>3.67712826E8</v>
      </c>
    </row>
    <row r="1892">
      <c r="A1892" s="45" t="s">
        <v>74</v>
      </c>
      <c r="B1892" s="16" t="s">
        <v>233</v>
      </c>
      <c r="C1892" s="17" t="s">
        <v>234</v>
      </c>
      <c r="D1892" s="15">
        <v>3.0</v>
      </c>
      <c r="E1892" s="17" t="s">
        <v>525</v>
      </c>
      <c r="F1892" s="15" t="s">
        <v>502</v>
      </c>
      <c r="G1892" s="46" t="s">
        <v>507</v>
      </c>
      <c r="H1892" s="47" t="s">
        <v>508</v>
      </c>
      <c r="I1892" s="48" t="s">
        <v>60</v>
      </c>
      <c r="J1892" s="49">
        <v>7438769.0</v>
      </c>
    </row>
    <row r="1893">
      <c r="A1893" s="45" t="s">
        <v>74</v>
      </c>
      <c r="B1893" s="16" t="s">
        <v>233</v>
      </c>
      <c r="C1893" s="17" t="s">
        <v>234</v>
      </c>
      <c r="D1893" s="15">
        <v>3.0</v>
      </c>
      <c r="E1893" s="17" t="s">
        <v>525</v>
      </c>
      <c r="F1893" s="15" t="s">
        <v>502</v>
      </c>
      <c r="G1893" s="46" t="s">
        <v>509</v>
      </c>
      <c r="H1893" s="47" t="s">
        <v>510</v>
      </c>
      <c r="I1893" s="48" t="s">
        <v>60</v>
      </c>
      <c r="J1893" s="49">
        <v>408333.0</v>
      </c>
    </row>
    <row r="1894">
      <c r="A1894" s="45" t="s">
        <v>74</v>
      </c>
      <c r="B1894" s="16" t="s">
        <v>233</v>
      </c>
      <c r="C1894" s="17" t="s">
        <v>234</v>
      </c>
      <c r="D1894" s="15">
        <v>3.0</v>
      </c>
      <c r="E1894" s="17" t="s">
        <v>525</v>
      </c>
      <c r="F1894" s="15" t="s">
        <v>502</v>
      </c>
      <c r="G1894" s="46" t="s">
        <v>567</v>
      </c>
      <c r="H1894" s="47" t="s">
        <v>568</v>
      </c>
      <c r="I1894" s="48" t="s">
        <v>60</v>
      </c>
      <c r="J1894" s="49">
        <v>2930000.0</v>
      </c>
    </row>
    <row r="1895">
      <c r="A1895" s="45" t="s">
        <v>74</v>
      </c>
      <c r="B1895" s="16" t="s">
        <v>233</v>
      </c>
      <c r="C1895" s="17" t="s">
        <v>234</v>
      </c>
      <c r="D1895" s="15">
        <v>3.0</v>
      </c>
      <c r="E1895" s="17" t="s">
        <v>525</v>
      </c>
      <c r="F1895" s="15" t="s">
        <v>502</v>
      </c>
      <c r="G1895" s="46" t="s">
        <v>511</v>
      </c>
      <c r="H1895" s="47" t="s">
        <v>512</v>
      </c>
      <c r="I1895" s="48" t="s">
        <v>60</v>
      </c>
      <c r="J1895" s="49">
        <v>3.0863447E7</v>
      </c>
    </row>
    <row r="1896">
      <c r="A1896" s="45" t="s">
        <v>74</v>
      </c>
      <c r="B1896" s="16" t="s">
        <v>233</v>
      </c>
      <c r="C1896" s="17" t="s">
        <v>234</v>
      </c>
      <c r="D1896" s="15">
        <v>3.0</v>
      </c>
      <c r="E1896" s="17" t="s">
        <v>525</v>
      </c>
      <c r="F1896" s="15" t="s">
        <v>502</v>
      </c>
      <c r="G1896" s="46" t="s">
        <v>513</v>
      </c>
      <c r="H1896" s="47" t="s">
        <v>514</v>
      </c>
      <c r="I1896" s="48" t="s">
        <v>60</v>
      </c>
      <c r="J1896" s="49">
        <v>5162527.0</v>
      </c>
    </row>
    <row r="1897">
      <c r="A1897" s="45" t="s">
        <v>74</v>
      </c>
      <c r="B1897" s="16" t="s">
        <v>233</v>
      </c>
      <c r="C1897" s="17" t="s">
        <v>234</v>
      </c>
      <c r="D1897" s="15">
        <v>3.0</v>
      </c>
      <c r="E1897" s="17" t="s">
        <v>548</v>
      </c>
      <c r="F1897" s="15" t="s">
        <v>549</v>
      </c>
      <c r="G1897" s="46" t="s">
        <v>550</v>
      </c>
      <c r="H1897" s="47" t="s">
        <v>551</v>
      </c>
      <c r="I1897" s="48" t="s">
        <v>25</v>
      </c>
      <c r="J1897" s="49">
        <v>1.466955E8</v>
      </c>
    </row>
    <row r="1898">
      <c r="A1898" s="45" t="s">
        <v>74</v>
      </c>
      <c r="B1898" s="16" t="s">
        <v>244</v>
      </c>
      <c r="C1898" s="17" t="s">
        <v>245</v>
      </c>
      <c r="D1898" s="15">
        <v>3.0</v>
      </c>
      <c r="E1898" s="17" t="s">
        <v>441</v>
      </c>
      <c r="F1898" s="15" t="s">
        <v>442</v>
      </c>
      <c r="G1898" s="46" t="s">
        <v>443</v>
      </c>
      <c r="H1898" s="47" t="s">
        <v>420</v>
      </c>
      <c r="I1898" s="48" t="s">
        <v>19</v>
      </c>
      <c r="J1898" s="49">
        <v>5.8452203E7</v>
      </c>
    </row>
    <row r="1899">
      <c r="A1899" s="45" t="s">
        <v>74</v>
      </c>
      <c r="B1899" s="16" t="s">
        <v>244</v>
      </c>
      <c r="C1899" s="17" t="s">
        <v>245</v>
      </c>
      <c r="D1899" s="15">
        <v>3.0</v>
      </c>
      <c r="E1899" s="17" t="s">
        <v>441</v>
      </c>
      <c r="F1899" s="15" t="s">
        <v>442</v>
      </c>
      <c r="G1899" s="46" t="s">
        <v>444</v>
      </c>
      <c r="H1899" s="47" t="s">
        <v>445</v>
      </c>
      <c r="I1899" s="48" t="s">
        <v>19</v>
      </c>
      <c r="J1899" s="49">
        <v>2.3187536E7</v>
      </c>
    </row>
    <row r="1900">
      <c r="A1900" s="45" t="s">
        <v>74</v>
      </c>
      <c r="B1900" s="16" t="s">
        <v>244</v>
      </c>
      <c r="C1900" s="17" t="s">
        <v>245</v>
      </c>
      <c r="D1900" s="15">
        <v>3.0</v>
      </c>
      <c r="E1900" s="17" t="s">
        <v>441</v>
      </c>
      <c r="F1900" s="15" t="s">
        <v>442</v>
      </c>
      <c r="G1900" s="46" t="s">
        <v>579</v>
      </c>
      <c r="H1900" s="47" t="s">
        <v>580</v>
      </c>
      <c r="I1900" s="48" t="s">
        <v>19</v>
      </c>
      <c r="J1900" s="49">
        <v>5185278.0</v>
      </c>
    </row>
    <row r="1901">
      <c r="A1901" s="45" t="s">
        <v>74</v>
      </c>
      <c r="B1901" s="16" t="s">
        <v>244</v>
      </c>
      <c r="C1901" s="17" t="s">
        <v>245</v>
      </c>
      <c r="D1901" s="15">
        <v>3.0</v>
      </c>
      <c r="E1901" s="17" t="s">
        <v>441</v>
      </c>
      <c r="F1901" s="15" t="s">
        <v>442</v>
      </c>
      <c r="G1901" s="46" t="s">
        <v>446</v>
      </c>
      <c r="H1901" s="47" t="s">
        <v>447</v>
      </c>
      <c r="I1901" s="48" t="s">
        <v>19</v>
      </c>
      <c r="J1901" s="49">
        <v>495619.0</v>
      </c>
    </row>
    <row r="1902">
      <c r="A1902" s="45" t="s">
        <v>74</v>
      </c>
      <c r="B1902" s="16" t="s">
        <v>244</v>
      </c>
      <c r="C1902" s="17" t="s">
        <v>245</v>
      </c>
      <c r="D1902" s="15">
        <v>3.0</v>
      </c>
      <c r="E1902" s="17" t="s">
        <v>441</v>
      </c>
      <c r="F1902" s="15" t="s">
        <v>442</v>
      </c>
      <c r="G1902" s="46" t="s">
        <v>448</v>
      </c>
      <c r="H1902" s="47" t="s">
        <v>449</v>
      </c>
      <c r="I1902" s="48" t="s">
        <v>19</v>
      </c>
      <c r="J1902" s="49">
        <v>1263045.0</v>
      </c>
    </row>
    <row r="1903">
      <c r="A1903" s="45" t="s">
        <v>74</v>
      </c>
      <c r="B1903" s="16" t="s">
        <v>244</v>
      </c>
      <c r="C1903" s="17" t="s">
        <v>245</v>
      </c>
      <c r="D1903" s="15">
        <v>3.0</v>
      </c>
      <c r="E1903" s="17" t="s">
        <v>441</v>
      </c>
      <c r="F1903" s="15" t="s">
        <v>442</v>
      </c>
      <c r="G1903" s="46" t="s">
        <v>452</v>
      </c>
      <c r="H1903" s="47" t="s">
        <v>453</v>
      </c>
      <c r="I1903" s="48" t="s">
        <v>19</v>
      </c>
      <c r="J1903" s="49">
        <v>916894.0</v>
      </c>
    </row>
    <row r="1904">
      <c r="A1904" s="45" t="s">
        <v>74</v>
      </c>
      <c r="B1904" s="16" t="s">
        <v>244</v>
      </c>
      <c r="C1904" s="17" t="s">
        <v>245</v>
      </c>
      <c r="D1904" s="15">
        <v>3.0</v>
      </c>
      <c r="E1904" s="17" t="s">
        <v>441</v>
      </c>
      <c r="F1904" s="15" t="s">
        <v>442</v>
      </c>
      <c r="G1904" s="46" t="s">
        <v>454</v>
      </c>
      <c r="H1904" s="47" t="s">
        <v>415</v>
      </c>
      <c r="I1904" s="48" t="s">
        <v>19</v>
      </c>
      <c r="J1904" s="49">
        <v>133818.0</v>
      </c>
    </row>
    <row r="1905">
      <c r="A1905" s="45" t="s">
        <v>74</v>
      </c>
      <c r="B1905" s="16" t="s">
        <v>244</v>
      </c>
      <c r="C1905" s="17" t="s">
        <v>245</v>
      </c>
      <c r="D1905" s="15">
        <v>3.0</v>
      </c>
      <c r="E1905" s="17" t="s">
        <v>441</v>
      </c>
      <c r="F1905" s="15" t="s">
        <v>442</v>
      </c>
      <c r="G1905" s="46" t="s">
        <v>455</v>
      </c>
      <c r="H1905" s="47" t="s">
        <v>415</v>
      </c>
      <c r="I1905" s="48" t="s">
        <v>19</v>
      </c>
      <c r="J1905" s="49">
        <v>74342.0</v>
      </c>
    </row>
    <row r="1906">
      <c r="A1906" s="45" t="s">
        <v>74</v>
      </c>
      <c r="B1906" s="16" t="s">
        <v>244</v>
      </c>
      <c r="C1906" s="17" t="s">
        <v>245</v>
      </c>
      <c r="D1906" s="15">
        <v>3.0</v>
      </c>
      <c r="E1906" s="17" t="s">
        <v>441</v>
      </c>
      <c r="F1906" s="15" t="s">
        <v>442</v>
      </c>
      <c r="G1906" s="46" t="s">
        <v>565</v>
      </c>
      <c r="H1906" s="47" t="s">
        <v>566</v>
      </c>
      <c r="I1906" s="48" t="s">
        <v>25</v>
      </c>
      <c r="J1906" s="49">
        <v>1.475E7</v>
      </c>
    </row>
    <row r="1907">
      <c r="A1907" s="45" t="s">
        <v>74</v>
      </c>
      <c r="B1907" s="16" t="s">
        <v>244</v>
      </c>
      <c r="C1907" s="17" t="s">
        <v>245</v>
      </c>
      <c r="D1907" s="15">
        <v>3.0</v>
      </c>
      <c r="E1907" s="17" t="s">
        <v>456</v>
      </c>
      <c r="F1907" s="15" t="s">
        <v>457</v>
      </c>
      <c r="G1907" s="46" t="s">
        <v>515</v>
      </c>
      <c r="H1907" s="47" t="s">
        <v>413</v>
      </c>
      <c r="I1907" s="48" t="s">
        <v>19</v>
      </c>
      <c r="J1907" s="49">
        <v>1.0E7</v>
      </c>
    </row>
    <row r="1908">
      <c r="A1908" s="45" t="s">
        <v>74</v>
      </c>
      <c r="B1908" s="16" t="s">
        <v>244</v>
      </c>
      <c r="C1908" s="17" t="s">
        <v>245</v>
      </c>
      <c r="D1908" s="15">
        <v>3.0</v>
      </c>
      <c r="E1908" s="17" t="s">
        <v>456</v>
      </c>
      <c r="F1908" s="15" t="s">
        <v>457</v>
      </c>
      <c r="G1908" s="46" t="s">
        <v>579</v>
      </c>
      <c r="H1908" s="47" t="s">
        <v>580</v>
      </c>
      <c r="I1908" s="48" t="s">
        <v>19</v>
      </c>
      <c r="J1908" s="49">
        <v>487500.0</v>
      </c>
    </row>
    <row r="1909">
      <c r="A1909" s="45" t="s">
        <v>74</v>
      </c>
      <c r="B1909" s="16" t="s">
        <v>244</v>
      </c>
      <c r="C1909" s="17" t="s">
        <v>245</v>
      </c>
      <c r="D1909" s="15">
        <v>3.0</v>
      </c>
      <c r="E1909" s="17" t="s">
        <v>456</v>
      </c>
      <c r="F1909" s="15" t="s">
        <v>457</v>
      </c>
      <c r="G1909" s="46" t="s">
        <v>458</v>
      </c>
      <c r="H1909" s="47" t="s">
        <v>411</v>
      </c>
      <c r="I1909" s="48" t="s">
        <v>19</v>
      </c>
      <c r="J1909" s="49">
        <v>4.68354656E8</v>
      </c>
    </row>
    <row r="1910">
      <c r="A1910" s="45" t="s">
        <v>74</v>
      </c>
      <c r="B1910" s="16" t="s">
        <v>244</v>
      </c>
      <c r="C1910" s="17" t="s">
        <v>245</v>
      </c>
      <c r="D1910" s="15">
        <v>3.0</v>
      </c>
      <c r="E1910" s="17" t="s">
        <v>456</v>
      </c>
      <c r="F1910" s="15" t="s">
        <v>457</v>
      </c>
      <c r="G1910" s="46" t="s">
        <v>532</v>
      </c>
      <c r="H1910" s="47" t="s">
        <v>412</v>
      </c>
      <c r="I1910" s="48" t="s">
        <v>19</v>
      </c>
      <c r="J1910" s="49">
        <v>4296083.0</v>
      </c>
    </row>
    <row r="1911">
      <c r="A1911" s="45" t="s">
        <v>74</v>
      </c>
      <c r="B1911" s="16" t="s">
        <v>244</v>
      </c>
      <c r="C1911" s="17" t="s">
        <v>245</v>
      </c>
      <c r="D1911" s="15">
        <v>3.0</v>
      </c>
      <c r="E1911" s="17" t="s">
        <v>459</v>
      </c>
      <c r="F1911" s="15" t="s">
        <v>460</v>
      </c>
      <c r="G1911" s="46" t="s">
        <v>458</v>
      </c>
      <c r="H1911" s="47" t="s">
        <v>411</v>
      </c>
      <c r="I1911" s="48" t="s">
        <v>19</v>
      </c>
      <c r="J1911" s="49">
        <v>2.5414486E7</v>
      </c>
    </row>
    <row r="1912">
      <c r="A1912" s="45" t="s">
        <v>74</v>
      </c>
      <c r="B1912" s="16" t="s">
        <v>244</v>
      </c>
      <c r="C1912" s="17" t="s">
        <v>245</v>
      </c>
      <c r="D1912" s="15">
        <v>3.0</v>
      </c>
      <c r="E1912" s="17" t="s">
        <v>487</v>
      </c>
      <c r="F1912" s="15" t="s">
        <v>488</v>
      </c>
      <c r="G1912" s="46" t="s">
        <v>530</v>
      </c>
      <c r="H1912" s="47" t="s">
        <v>531</v>
      </c>
      <c r="I1912" s="48" t="s">
        <v>50</v>
      </c>
      <c r="J1912" s="49">
        <v>5086978.0</v>
      </c>
    </row>
    <row r="1913">
      <c r="A1913" s="45" t="s">
        <v>74</v>
      </c>
      <c r="B1913" s="16" t="s">
        <v>244</v>
      </c>
      <c r="C1913" s="17" t="s">
        <v>245</v>
      </c>
      <c r="D1913" s="15">
        <v>3.0</v>
      </c>
      <c r="E1913" s="17" t="s">
        <v>556</v>
      </c>
      <c r="F1913" s="15" t="s">
        <v>557</v>
      </c>
      <c r="G1913" s="46" t="s">
        <v>545</v>
      </c>
      <c r="H1913" s="47" t="s">
        <v>427</v>
      </c>
      <c r="I1913" s="48" t="s">
        <v>25</v>
      </c>
      <c r="J1913" s="49">
        <v>2180000.0</v>
      </c>
    </row>
    <row r="1914">
      <c r="A1914" s="45" t="s">
        <v>74</v>
      </c>
      <c r="B1914" s="16" t="s">
        <v>244</v>
      </c>
      <c r="C1914" s="17" t="s">
        <v>245</v>
      </c>
      <c r="D1914" s="15">
        <v>3.0</v>
      </c>
      <c r="E1914" s="17" t="s">
        <v>556</v>
      </c>
      <c r="F1914" s="15" t="s">
        <v>557</v>
      </c>
      <c r="G1914" s="46" t="s">
        <v>486</v>
      </c>
      <c r="H1914" s="47" t="s">
        <v>432</v>
      </c>
      <c r="I1914" s="48" t="s">
        <v>25</v>
      </c>
      <c r="J1914" s="49">
        <v>990000.0</v>
      </c>
    </row>
    <row r="1915">
      <c r="A1915" s="45" t="s">
        <v>74</v>
      </c>
      <c r="B1915" s="16" t="s">
        <v>244</v>
      </c>
      <c r="C1915" s="17" t="s">
        <v>245</v>
      </c>
      <c r="D1915" s="15">
        <v>3.0</v>
      </c>
      <c r="E1915" s="17" t="s">
        <v>473</v>
      </c>
      <c r="F1915" s="15" t="s">
        <v>474</v>
      </c>
      <c r="G1915" s="46" t="s">
        <v>443</v>
      </c>
      <c r="H1915" s="47" t="s">
        <v>420</v>
      </c>
      <c r="I1915" s="48" t="s">
        <v>19</v>
      </c>
      <c r="J1915" s="49">
        <v>7975000.0</v>
      </c>
    </row>
    <row r="1916">
      <c r="A1916" s="45" t="s">
        <v>74</v>
      </c>
      <c r="B1916" s="16" t="s">
        <v>244</v>
      </c>
      <c r="C1916" s="17" t="s">
        <v>245</v>
      </c>
      <c r="D1916" s="15">
        <v>3.0</v>
      </c>
      <c r="E1916" s="17" t="s">
        <v>473</v>
      </c>
      <c r="F1916" s="15" t="s">
        <v>474</v>
      </c>
      <c r="G1916" s="46" t="s">
        <v>444</v>
      </c>
      <c r="H1916" s="47" t="s">
        <v>445</v>
      </c>
      <c r="I1916" s="48" t="s">
        <v>19</v>
      </c>
      <c r="J1916" s="49">
        <v>1127151.0</v>
      </c>
    </row>
    <row r="1917">
      <c r="A1917" s="45" t="s">
        <v>74</v>
      </c>
      <c r="B1917" s="16" t="s">
        <v>244</v>
      </c>
      <c r="C1917" s="17" t="s">
        <v>245</v>
      </c>
      <c r="D1917" s="15">
        <v>3.0</v>
      </c>
      <c r="E1917" s="17" t="s">
        <v>473</v>
      </c>
      <c r="F1917" s="15" t="s">
        <v>474</v>
      </c>
      <c r="G1917" s="46" t="s">
        <v>579</v>
      </c>
      <c r="H1917" s="47" t="s">
        <v>580</v>
      </c>
      <c r="I1917" s="48" t="s">
        <v>19</v>
      </c>
      <c r="J1917" s="49">
        <v>700000.0</v>
      </c>
    </row>
    <row r="1918">
      <c r="A1918" s="45" t="s">
        <v>74</v>
      </c>
      <c r="B1918" s="16" t="s">
        <v>244</v>
      </c>
      <c r="C1918" s="17" t="s">
        <v>245</v>
      </c>
      <c r="D1918" s="15">
        <v>3.0</v>
      </c>
      <c r="E1918" s="17" t="s">
        <v>473</v>
      </c>
      <c r="F1918" s="15" t="s">
        <v>474</v>
      </c>
      <c r="G1918" s="46" t="s">
        <v>523</v>
      </c>
      <c r="H1918" s="47" t="s">
        <v>431</v>
      </c>
      <c r="I1918" s="48" t="s">
        <v>17</v>
      </c>
      <c r="J1918" s="49">
        <v>3.5920953E7</v>
      </c>
    </row>
    <row r="1919">
      <c r="A1919" s="45" t="s">
        <v>74</v>
      </c>
      <c r="B1919" s="16" t="s">
        <v>244</v>
      </c>
      <c r="C1919" s="17" t="s">
        <v>245</v>
      </c>
      <c r="D1919" s="15">
        <v>3.0</v>
      </c>
      <c r="E1919" s="17" t="s">
        <v>473</v>
      </c>
      <c r="F1919" s="15" t="s">
        <v>474</v>
      </c>
      <c r="G1919" s="46" t="s">
        <v>523</v>
      </c>
      <c r="H1919" s="47" t="s">
        <v>431</v>
      </c>
      <c r="I1919" s="48" t="s">
        <v>25</v>
      </c>
      <c r="J1919" s="49">
        <v>1.0E7</v>
      </c>
    </row>
    <row r="1920">
      <c r="A1920" s="45" t="s">
        <v>74</v>
      </c>
      <c r="B1920" s="16" t="s">
        <v>244</v>
      </c>
      <c r="C1920" s="17" t="s">
        <v>245</v>
      </c>
      <c r="D1920" s="15">
        <v>3.0</v>
      </c>
      <c r="E1920" s="17" t="s">
        <v>473</v>
      </c>
      <c r="F1920" s="15" t="s">
        <v>474</v>
      </c>
      <c r="G1920" s="46" t="s">
        <v>458</v>
      </c>
      <c r="H1920" s="47" t="s">
        <v>411</v>
      </c>
      <c r="I1920" s="48" t="s">
        <v>19</v>
      </c>
      <c r="J1920" s="49">
        <v>7.7022228E7</v>
      </c>
    </row>
    <row r="1921">
      <c r="A1921" s="45" t="s">
        <v>74</v>
      </c>
      <c r="B1921" s="16" t="s">
        <v>244</v>
      </c>
      <c r="C1921" s="17" t="s">
        <v>245</v>
      </c>
      <c r="D1921" s="15">
        <v>3.0</v>
      </c>
      <c r="E1921" s="17" t="s">
        <v>491</v>
      </c>
      <c r="F1921" s="15" t="s">
        <v>492</v>
      </c>
      <c r="G1921" s="46" t="s">
        <v>493</v>
      </c>
      <c r="H1921" s="47" t="s">
        <v>437</v>
      </c>
      <c r="I1921" s="48" t="s">
        <v>37</v>
      </c>
      <c r="J1921" s="49">
        <v>6.4728573E7</v>
      </c>
    </row>
    <row r="1922">
      <c r="A1922" s="45" t="s">
        <v>74</v>
      </c>
      <c r="B1922" s="16" t="s">
        <v>244</v>
      </c>
      <c r="C1922" s="17" t="s">
        <v>245</v>
      </c>
      <c r="D1922" s="15">
        <v>3.0</v>
      </c>
      <c r="E1922" s="17" t="s">
        <v>491</v>
      </c>
      <c r="F1922" s="15" t="s">
        <v>492</v>
      </c>
      <c r="G1922" s="46" t="s">
        <v>493</v>
      </c>
      <c r="H1922" s="47" t="s">
        <v>437</v>
      </c>
      <c r="I1922" s="48" t="s">
        <v>25</v>
      </c>
      <c r="J1922" s="49">
        <v>5466146.0</v>
      </c>
    </row>
    <row r="1923">
      <c r="A1923" s="45" t="s">
        <v>74</v>
      </c>
      <c r="B1923" s="16" t="s">
        <v>244</v>
      </c>
      <c r="C1923" s="17" t="s">
        <v>245</v>
      </c>
      <c r="D1923" s="15">
        <v>3.0</v>
      </c>
      <c r="E1923" s="17" t="s">
        <v>491</v>
      </c>
      <c r="F1923" s="15" t="s">
        <v>492</v>
      </c>
      <c r="G1923" s="46" t="s">
        <v>458</v>
      </c>
      <c r="H1923" s="47" t="s">
        <v>411</v>
      </c>
      <c r="I1923" s="48" t="s">
        <v>19</v>
      </c>
      <c r="J1923" s="49">
        <v>1.4195688E7</v>
      </c>
    </row>
    <row r="1924">
      <c r="A1924" s="45" t="s">
        <v>74</v>
      </c>
      <c r="B1924" s="16" t="s">
        <v>244</v>
      </c>
      <c r="C1924" s="17" t="s">
        <v>245</v>
      </c>
      <c r="D1924" s="15">
        <v>3.0</v>
      </c>
      <c r="E1924" s="17" t="s">
        <v>491</v>
      </c>
      <c r="F1924" s="15" t="s">
        <v>492</v>
      </c>
      <c r="G1924" s="46" t="s">
        <v>532</v>
      </c>
      <c r="H1924" s="47" t="s">
        <v>412</v>
      </c>
      <c r="I1924" s="48" t="s">
        <v>19</v>
      </c>
      <c r="J1924" s="49">
        <v>3779749.0</v>
      </c>
    </row>
    <row r="1925">
      <c r="A1925" s="45" t="s">
        <v>74</v>
      </c>
      <c r="B1925" s="16" t="s">
        <v>244</v>
      </c>
      <c r="C1925" s="17" t="s">
        <v>245</v>
      </c>
      <c r="D1925" s="15">
        <v>3.0</v>
      </c>
      <c r="E1925" s="17" t="s">
        <v>494</v>
      </c>
      <c r="F1925" s="15" t="s">
        <v>495</v>
      </c>
      <c r="G1925" s="46" t="s">
        <v>496</v>
      </c>
      <c r="H1925" s="47" t="s">
        <v>497</v>
      </c>
      <c r="I1925" s="48" t="s">
        <v>37</v>
      </c>
      <c r="J1925" s="49">
        <v>1.9597551E7</v>
      </c>
    </row>
    <row r="1926">
      <c r="A1926" s="45" t="s">
        <v>74</v>
      </c>
      <c r="B1926" s="16" t="s">
        <v>244</v>
      </c>
      <c r="C1926" s="17" t="s">
        <v>245</v>
      </c>
      <c r="D1926" s="15">
        <v>3.0</v>
      </c>
      <c r="E1926" s="17" t="s">
        <v>494</v>
      </c>
      <c r="F1926" s="15" t="s">
        <v>495</v>
      </c>
      <c r="G1926" s="46" t="s">
        <v>458</v>
      </c>
      <c r="H1926" s="47" t="s">
        <v>411</v>
      </c>
      <c r="I1926" s="48" t="s">
        <v>19</v>
      </c>
      <c r="J1926" s="49">
        <v>3.1427907E7</v>
      </c>
    </row>
    <row r="1927">
      <c r="A1927" s="45" t="s">
        <v>74</v>
      </c>
      <c r="B1927" s="16" t="s">
        <v>244</v>
      </c>
      <c r="C1927" s="17" t="s">
        <v>245</v>
      </c>
      <c r="D1927" s="15">
        <v>3.0</v>
      </c>
      <c r="E1927" s="17" t="s">
        <v>494</v>
      </c>
      <c r="F1927" s="15" t="s">
        <v>495</v>
      </c>
      <c r="G1927" s="46" t="s">
        <v>532</v>
      </c>
      <c r="H1927" s="47" t="s">
        <v>412</v>
      </c>
      <c r="I1927" s="48" t="s">
        <v>19</v>
      </c>
      <c r="J1927" s="49">
        <v>1619893.0</v>
      </c>
    </row>
    <row r="1928">
      <c r="A1928" s="45" t="s">
        <v>74</v>
      </c>
      <c r="B1928" s="16" t="s">
        <v>244</v>
      </c>
      <c r="C1928" s="17" t="s">
        <v>245</v>
      </c>
      <c r="D1928" s="15">
        <v>3.0</v>
      </c>
      <c r="E1928" s="17" t="s">
        <v>475</v>
      </c>
      <c r="F1928" s="15" t="s">
        <v>476</v>
      </c>
      <c r="G1928" s="46" t="s">
        <v>498</v>
      </c>
      <c r="H1928" s="47" t="s">
        <v>434</v>
      </c>
      <c r="I1928" s="48" t="s">
        <v>25</v>
      </c>
      <c r="J1928" s="49">
        <v>1390000.0</v>
      </c>
    </row>
    <row r="1929">
      <c r="A1929" s="45" t="s">
        <v>74</v>
      </c>
      <c r="B1929" s="16" t="s">
        <v>244</v>
      </c>
      <c r="C1929" s="17" t="s">
        <v>245</v>
      </c>
      <c r="D1929" s="15">
        <v>3.0</v>
      </c>
      <c r="E1929" s="17" t="s">
        <v>475</v>
      </c>
      <c r="F1929" s="15" t="s">
        <v>476</v>
      </c>
      <c r="G1929" s="46" t="s">
        <v>477</v>
      </c>
      <c r="H1929" s="47" t="s">
        <v>429</v>
      </c>
      <c r="I1929" s="48" t="s">
        <v>50</v>
      </c>
      <c r="J1929" s="49">
        <v>3.7294569E7</v>
      </c>
    </row>
    <row r="1930">
      <c r="A1930" s="45" t="s">
        <v>74</v>
      </c>
      <c r="B1930" s="16" t="s">
        <v>244</v>
      </c>
      <c r="C1930" s="17" t="s">
        <v>245</v>
      </c>
      <c r="D1930" s="15">
        <v>3.0</v>
      </c>
      <c r="E1930" s="17" t="s">
        <v>524</v>
      </c>
      <c r="F1930" s="15" t="s">
        <v>479</v>
      </c>
      <c r="G1930" s="46" t="s">
        <v>443</v>
      </c>
      <c r="H1930" s="47" t="s">
        <v>420</v>
      </c>
      <c r="I1930" s="48" t="s">
        <v>19</v>
      </c>
      <c r="J1930" s="49">
        <v>1.17098764E8</v>
      </c>
    </row>
    <row r="1931">
      <c r="A1931" s="45" t="s">
        <v>74</v>
      </c>
      <c r="B1931" s="16" t="s">
        <v>244</v>
      </c>
      <c r="C1931" s="17" t="s">
        <v>245</v>
      </c>
      <c r="D1931" s="15">
        <v>3.0</v>
      </c>
      <c r="E1931" s="17" t="s">
        <v>524</v>
      </c>
      <c r="F1931" s="15" t="s">
        <v>479</v>
      </c>
      <c r="G1931" s="46" t="s">
        <v>444</v>
      </c>
      <c r="H1931" s="47" t="s">
        <v>445</v>
      </c>
      <c r="I1931" s="48" t="s">
        <v>19</v>
      </c>
      <c r="J1931" s="49">
        <v>2.7887339E7</v>
      </c>
    </row>
    <row r="1932">
      <c r="A1932" s="45" t="s">
        <v>74</v>
      </c>
      <c r="B1932" s="16" t="s">
        <v>244</v>
      </c>
      <c r="C1932" s="17" t="s">
        <v>245</v>
      </c>
      <c r="D1932" s="15">
        <v>3.0</v>
      </c>
      <c r="E1932" s="17" t="s">
        <v>524</v>
      </c>
      <c r="F1932" s="15" t="s">
        <v>479</v>
      </c>
      <c r="G1932" s="46" t="s">
        <v>579</v>
      </c>
      <c r="H1932" s="47" t="s">
        <v>580</v>
      </c>
      <c r="I1932" s="48" t="s">
        <v>19</v>
      </c>
      <c r="J1932" s="49">
        <v>1.1704444E7</v>
      </c>
    </row>
    <row r="1933">
      <c r="A1933" s="45" t="s">
        <v>74</v>
      </c>
      <c r="B1933" s="16" t="s">
        <v>244</v>
      </c>
      <c r="C1933" s="17" t="s">
        <v>245</v>
      </c>
      <c r="D1933" s="15">
        <v>3.0</v>
      </c>
      <c r="E1933" s="17" t="s">
        <v>524</v>
      </c>
      <c r="F1933" s="15" t="s">
        <v>479</v>
      </c>
      <c r="G1933" s="46" t="s">
        <v>446</v>
      </c>
      <c r="H1933" s="47" t="s">
        <v>447</v>
      </c>
      <c r="I1933" s="48" t="s">
        <v>19</v>
      </c>
      <c r="J1933" s="49">
        <v>1338513.0</v>
      </c>
    </row>
    <row r="1934">
      <c r="A1934" s="45" t="s">
        <v>74</v>
      </c>
      <c r="B1934" s="16" t="s">
        <v>244</v>
      </c>
      <c r="C1934" s="17" t="s">
        <v>245</v>
      </c>
      <c r="D1934" s="15">
        <v>3.0</v>
      </c>
      <c r="E1934" s="17" t="s">
        <v>524</v>
      </c>
      <c r="F1934" s="15" t="s">
        <v>479</v>
      </c>
      <c r="G1934" s="46" t="s">
        <v>448</v>
      </c>
      <c r="H1934" s="47" t="s">
        <v>449</v>
      </c>
      <c r="I1934" s="48" t="s">
        <v>19</v>
      </c>
      <c r="J1934" s="49">
        <v>3411095.0</v>
      </c>
    </row>
    <row r="1935">
      <c r="A1935" s="45" t="s">
        <v>74</v>
      </c>
      <c r="B1935" s="16" t="s">
        <v>244</v>
      </c>
      <c r="C1935" s="17" t="s">
        <v>245</v>
      </c>
      <c r="D1935" s="15">
        <v>3.0</v>
      </c>
      <c r="E1935" s="17" t="s">
        <v>524</v>
      </c>
      <c r="F1935" s="15" t="s">
        <v>479</v>
      </c>
      <c r="G1935" s="46" t="s">
        <v>450</v>
      </c>
      <c r="H1935" s="47" t="s">
        <v>451</v>
      </c>
      <c r="I1935" s="48" t="s">
        <v>19</v>
      </c>
      <c r="J1935" s="49">
        <v>0.0</v>
      </c>
    </row>
    <row r="1936">
      <c r="A1936" s="45" t="s">
        <v>74</v>
      </c>
      <c r="B1936" s="16" t="s">
        <v>244</v>
      </c>
      <c r="C1936" s="17" t="s">
        <v>245</v>
      </c>
      <c r="D1936" s="15">
        <v>3.0</v>
      </c>
      <c r="E1936" s="17" t="s">
        <v>524</v>
      </c>
      <c r="F1936" s="15" t="s">
        <v>479</v>
      </c>
      <c r="G1936" s="46" t="s">
        <v>452</v>
      </c>
      <c r="H1936" s="47" t="s">
        <v>453</v>
      </c>
      <c r="I1936" s="48" t="s">
        <v>19</v>
      </c>
      <c r="J1936" s="49">
        <v>2476247.0</v>
      </c>
    </row>
    <row r="1937">
      <c r="A1937" s="45" t="s">
        <v>74</v>
      </c>
      <c r="B1937" s="16" t="s">
        <v>244</v>
      </c>
      <c r="C1937" s="17" t="s">
        <v>245</v>
      </c>
      <c r="D1937" s="15">
        <v>3.0</v>
      </c>
      <c r="E1937" s="17" t="s">
        <v>524</v>
      </c>
      <c r="F1937" s="15" t="s">
        <v>479</v>
      </c>
      <c r="G1937" s="46" t="s">
        <v>454</v>
      </c>
      <c r="H1937" s="47" t="s">
        <v>415</v>
      </c>
      <c r="I1937" s="48" t="s">
        <v>19</v>
      </c>
      <c r="J1937" s="49">
        <v>361399.0</v>
      </c>
    </row>
    <row r="1938">
      <c r="A1938" s="45" t="s">
        <v>74</v>
      </c>
      <c r="B1938" s="16" t="s">
        <v>244</v>
      </c>
      <c r="C1938" s="17" t="s">
        <v>245</v>
      </c>
      <c r="D1938" s="15">
        <v>3.0</v>
      </c>
      <c r="E1938" s="17" t="s">
        <v>524</v>
      </c>
      <c r="F1938" s="15" t="s">
        <v>479</v>
      </c>
      <c r="G1938" s="46" t="s">
        <v>455</v>
      </c>
      <c r="H1938" s="47" t="s">
        <v>415</v>
      </c>
      <c r="I1938" s="48" t="s">
        <v>19</v>
      </c>
      <c r="J1938" s="49">
        <v>200776.0</v>
      </c>
    </row>
    <row r="1939">
      <c r="A1939" s="45" t="s">
        <v>74</v>
      </c>
      <c r="B1939" s="16" t="s">
        <v>244</v>
      </c>
      <c r="C1939" s="17" t="s">
        <v>245</v>
      </c>
      <c r="D1939" s="15">
        <v>3.0</v>
      </c>
      <c r="E1939" s="17" t="s">
        <v>525</v>
      </c>
      <c r="F1939" s="15" t="s">
        <v>502</v>
      </c>
      <c r="G1939" s="46" t="s">
        <v>526</v>
      </c>
      <c r="H1939" s="47" t="s">
        <v>527</v>
      </c>
      <c r="I1939" s="48" t="s">
        <v>60</v>
      </c>
      <c r="J1939" s="49">
        <v>3.14216778E8</v>
      </c>
    </row>
    <row r="1940">
      <c r="A1940" s="45" t="s">
        <v>74</v>
      </c>
      <c r="B1940" s="16" t="s">
        <v>244</v>
      </c>
      <c r="C1940" s="17" t="s">
        <v>245</v>
      </c>
      <c r="D1940" s="15">
        <v>3.0</v>
      </c>
      <c r="E1940" s="17" t="s">
        <v>525</v>
      </c>
      <c r="F1940" s="15" t="s">
        <v>502</v>
      </c>
      <c r="G1940" s="46" t="s">
        <v>539</v>
      </c>
      <c r="H1940" s="47" t="s">
        <v>540</v>
      </c>
      <c r="I1940" s="48" t="s">
        <v>60</v>
      </c>
      <c r="J1940" s="49">
        <v>8794868.0</v>
      </c>
    </row>
    <row r="1941">
      <c r="A1941" s="45" t="s">
        <v>74</v>
      </c>
      <c r="B1941" s="16" t="s">
        <v>244</v>
      </c>
      <c r="C1941" s="17" t="s">
        <v>245</v>
      </c>
      <c r="D1941" s="15">
        <v>3.0</v>
      </c>
      <c r="E1941" s="17" t="s">
        <v>525</v>
      </c>
      <c r="F1941" s="15" t="s">
        <v>502</v>
      </c>
      <c r="G1941" s="46" t="s">
        <v>505</v>
      </c>
      <c r="H1941" s="47" t="s">
        <v>506</v>
      </c>
      <c r="I1941" s="48" t="s">
        <v>60</v>
      </c>
      <c r="J1941" s="49">
        <v>4255768.0</v>
      </c>
    </row>
    <row r="1942">
      <c r="A1942" s="45" t="s">
        <v>74</v>
      </c>
      <c r="B1942" s="16" t="s">
        <v>244</v>
      </c>
      <c r="C1942" s="17" t="s">
        <v>245</v>
      </c>
      <c r="D1942" s="15">
        <v>3.0</v>
      </c>
      <c r="E1942" s="17" t="s">
        <v>525</v>
      </c>
      <c r="F1942" s="15" t="s">
        <v>502</v>
      </c>
      <c r="G1942" s="46" t="s">
        <v>507</v>
      </c>
      <c r="H1942" s="47" t="s">
        <v>508</v>
      </c>
      <c r="I1942" s="48" t="s">
        <v>60</v>
      </c>
      <c r="J1942" s="49">
        <v>1.0447195E7</v>
      </c>
    </row>
    <row r="1943">
      <c r="A1943" s="45" t="s">
        <v>74</v>
      </c>
      <c r="B1943" s="16" t="s">
        <v>244</v>
      </c>
      <c r="C1943" s="17" t="s">
        <v>245</v>
      </c>
      <c r="D1943" s="15">
        <v>3.0</v>
      </c>
      <c r="E1943" s="17" t="s">
        <v>525</v>
      </c>
      <c r="F1943" s="15" t="s">
        <v>502</v>
      </c>
      <c r="G1943" s="46" t="s">
        <v>509</v>
      </c>
      <c r="H1943" s="47" t="s">
        <v>510</v>
      </c>
      <c r="I1943" s="48" t="s">
        <v>60</v>
      </c>
      <c r="J1943" s="49">
        <v>133333.0</v>
      </c>
    </row>
    <row r="1944">
      <c r="A1944" s="45" t="s">
        <v>74</v>
      </c>
      <c r="B1944" s="16" t="s">
        <v>244</v>
      </c>
      <c r="C1944" s="17" t="s">
        <v>245</v>
      </c>
      <c r="D1944" s="15">
        <v>3.0</v>
      </c>
      <c r="E1944" s="17" t="s">
        <v>525</v>
      </c>
      <c r="F1944" s="15" t="s">
        <v>502</v>
      </c>
      <c r="G1944" s="46" t="s">
        <v>511</v>
      </c>
      <c r="H1944" s="47" t="s">
        <v>512</v>
      </c>
      <c r="I1944" s="48" t="s">
        <v>60</v>
      </c>
      <c r="J1944" s="49">
        <v>4.1960038E7</v>
      </c>
    </row>
    <row r="1945">
      <c r="A1945" s="45" t="s">
        <v>74</v>
      </c>
      <c r="B1945" s="16" t="s">
        <v>244</v>
      </c>
      <c r="C1945" s="17" t="s">
        <v>245</v>
      </c>
      <c r="D1945" s="15">
        <v>3.0</v>
      </c>
      <c r="E1945" s="17" t="s">
        <v>525</v>
      </c>
      <c r="F1945" s="15" t="s">
        <v>502</v>
      </c>
      <c r="G1945" s="46" t="s">
        <v>513</v>
      </c>
      <c r="H1945" s="47" t="s">
        <v>514</v>
      </c>
      <c r="I1945" s="48" t="s">
        <v>60</v>
      </c>
      <c r="J1945" s="49">
        <v>4.9513825E7</v>
      </c>
    </row>
    <row r="1946">
      <c r="A1946" s="45" t="s">
        <v>74</v>
      </c>
      <c r="B1946" s="16" t="s">
        <v>254</v>
      </c>
      <c r="C1946" s="17" t="s">
        <v>255</v>
      </c>
      <c r="D1946" s="15">
        <v>3.0</v>
      </c>
      <c r="E1946" s="17" t="s">
        <v>441</v>
      </c>
      <c r="F1946" s="15" t="s">
        <v>442</v>
      </c>
      <c r="G1946" s="46" t="s">
        <v>443</v>
      </c>
      <c r="H1946" s="47" t="s">
        <v>420</v>
      </c>
      <c r="I1946" s="48" t="s">
        <v>19</v>
      </c>
      <c r="J1946" s="49">
        <v>3.6971428E7</v>
      </c>
    </row>
    <row r="1947">
      <c r="A1947" s="45" t="s">
        <v>74</v>
      </c>
      <c r="B1947" s="16" t="s">
        <v>254</v>
      </c>
      <c r="C1947" s="17" t="s">
        <v>255</v>
      </c>
      <c r="D1947" s="15">
        <v>3.0</v>
      </c>
      <c r="E1947" s="17" t="s">
        <v>441</v>
      </c>
      <c r="F1947" s="15" t="s">
        <v>442</v>
      </c>
      <c r="G1947" s="46" t="s">
        <v>444</v>
      </c>
      <c r="H1947" s="47" t="s">
        <v>445</v>
      </c>
      <c r="I1947" s="48" t="s">
        <v>19</v>
      </c>
      <c r="J1947" s="49">
        <v>1.6792726E7</v>
      </c>
    </row>
    <row r="1948">
      <c r="A1948" s="45" t="s">
        <v>74</v>
      </c>
      <c r="B1948" s="16" t="s">
        <v>254</v>
      </c>
      <c r="C1948" s="17" t="s">
        <v>255</v>
      </c>
      <c r="D1948" s="15">
        <v>3.0</v>
      </c>
      <c r="E1948" s="17" t="s">
        <v>441</v>
      </c>
      <c r="F1948" s="15" t="s">
        <v>442</v>
      </c>
      <c r="G1948" s="46" t="s">
        <v>579</v>
      </c>
      <c r="H1948" s="47" t="s">
        <v>580</v>
      </c>
      <c r="I1948" s="48" t="s">
        <v>19</v>
      </c>
      <c r="J1948" s="49">
        <v>3952978.0</v>
      </c>
    </row>
    <row r="1949">
      <c r="A1949" s="45" t="s">
        <v>74</v>
      </c>
      <c r="B1949" s="16" t="s">
        <v>254</v>
      </c>
      <c r="C1949" s="17" t="s">
        <v>255</v>
      </c>
      <c r="D1949" s="15">
        <v>3.0</v>
      </c>
      <c r="E1949" s="17" t="s">
        <v>441</v>
      </c>
      <c r="F1949" s="15" t="s">
        <v>442</v>
      </c>
      <c r="G1949" s="46" t="s">
        <v>446</v>
      </c>
      <c r="H1949" s="47" t="s">
        <v>447</v>
      </c>
      <c r="I1949" s="48" t="s">
        <v>19</v>
      </c>
      <c r="J1949" s="49">
        <v>362712.0</v>
      </c>
    </row>
    <row r="1950">
      <c r="A1950" s="45" t="s">
        <v>74</v>
      </c>
      <c r="B1950" s="16" t="s">
        <v>254</v>
      </c>
      <c r="C1950" s="17" t="s">
        <v>255</v>
      </c>
      <c r="D1950" s="15">
        <v>3.0</v>
      </c>
      <c r="E1950" s="17" t="s">
        <v>441</v>
      </c>
      <c r="F1950" s="15" t="s">
        <v>442</v>
      </c>
      <c r="G1950" s="46" t="s">
        <v>448</v>
      </c>
      <c r="H1950" s="47" t="s">
        <v>449</v>
      </c>
      <c r="I1950" s="48" t="s">
        <v>19</v>
      </c>
      <c r="J1950" s="49">
        <v>917514.0</v>
      </c>
    </row>
    <row r="1951">
      <c r="A1951" s="45" t="s">
        <v>74</v>
      </c>
      <c r="B1951" s="16" t="s">
        <v>254</v>
      </c>
      <c r="C1951" s="17" t="s">
        <v>255</v>
      </c>
      <c r="D1951" s="15">
        <v>3.0</v>
      </c>
      <c r="E1951" s="17" t="s">
        <v>441</v>
      </c>
      <c r="F1951" s="15" t="s">
        <v>442</v>
      </c>
      <c r="G1951" s="46" t="s">
        <v>450</v>
      </c>
      <c r="H1951" s="47" t="s">
        <v>451</v>
      </c>
      <c r="I1951" s="48" t="s">
        <v>19</v>
      </c>
      <c r="J1951" s="49">
        <v>0.0</v>
      </c>
    </row>
    <row r="1952">
      <c r="A1952" s="45" t="s">
        <v>74</v>
      </c>
      <c r="B1952" s="16" t="s">
        <v>254</v>
      </c>
      <c r="C1952" s="17" t="s">
        <v>255</v>
      </c>
      <c r="D1952" s="15">
        <v>3.0</v>
      </c>
      <c r="E1952" s="17" t="s">
        <v>441</v>
      </c>
      <c r="F1952" s="15" t="s">
        <v>442</v>
      </c>
      <c r="G1952" s="46" t="s">
        <v>452</v>
      </c>
      <c r="H1952" s="47" t="s">
        <v>453</v>
      </c>
      <c r="I1952" s="48" t="s">
        <v>19</v>
      </c>
      <c r="J1952" s="49">
        <v>671017.0</v>
      </c>
    </row>
    <row r="1953">
      <c r="A1953" s="45" t="s">
        <v>74</v>
      </c>
      <c r="B1953" s="16" t="s">
        <v>254</v>
      </c>
      <c r="C1953" s="17" t="s">
        <v>255</v>
      </c>
      <c r="D1953" s="15">
        <v>3.0</v>
      </c>
      <c r="E1953" s="17" t="s">
        <v>441</v>
      </c>
      <c r="F1953" s="15" t="s">
        <v>442</v>
      </c>
      <c r="G1953" s="46" t="s">
        <v>454</v>
      </c>
      <c r="H1953" s="47" t="s">
        <v>415</v>
      </c>
      <c r="I1953" s="48" t="s">
        <v>19</v>
      </c>
      <c r="J1953" s="49">
        <v>97932.0</v>
      </c>
    </row>
    <row r="1954">
      <c r="A1954" s="45" t="s">
        <v>74</v>
      </c>
      <c r="B1954" s="16" t="s">
        <v>254</v>
      </c>
      <c r="C1954" s="17" t="s">
        <v>255</v>
      </c>
      <c r="D1954" s="15">
        <v>3.0</v>
      </c>
      <c r="E1954" s="17" t="s">
        <v>441</v>
      </c>
      <c r="F1954" s="15" t="s">
        <v>442</v>
      </c>
      <c r="G1954" s="46" t="s">
        <v>455</v>
      </c>
      <c r="H1954" s="47" t="s">
        <v>415</v>
      </c>
      <c r="I1954" s="48" t="s">
        <v>19</v>
      </c>
      <c r="J1954" s="49">
        <v>54407.0</v>
      </c>
    </row>
    <row r="1955">
      <c r="A1955" s="45" t="s">
        <v>74</v>
      </c>
      <c r="B1955" s="16" t="s">
        <v>254</v>
      </c>
      <c r="C1955" s="17" t="s">
        <v>255</v>
      </c>
      <c r="D1955" s="15">
        <v>3.0</v>
      </c>
      <c r="E1955" s="17" t="s">
        <v>456</v>
      </c>
      <c r="F1955" s="15" t="s">
        <v>457</v>
      </c>
      <c r="G1955" s="46" t="s">
        <v>579</v>
      </c>
      <c r="H1955" s="47" t="s">
        <v>580</v>
      </c>
      <c r="I1955" s="48" t="s">
        <v>19</v>
      </c>
      <c r="J1955" s="49">
        <v>326100.0</v>
      </c>
    </row>
    <row r="1956">
      <c r="A1956" s="45" t="s">
        <v>74</v>
      </c>
      <c r="B1956" s="16" t="s">
        <v>254</v>
      </c>
      <c r="C1956" s="17" t="s">
        <v>255</v>
      </c>
      <c r="D1956" s="15">
        <v>3.0</v>
      </c>
      <c r="E1956" s="17" t="s">
        <v>456</v>
      </c>
      <c r="F1956" s="15" t="s">
        <v>457</v>
      </c>
      <c r="G1956" s="46" t="s">
        <v>458</v>
      </c>
      <c r="H1956" s="47" t="s">
        <v>411</v>
      </c>
      <c r="I1956" s="48" t="s">
        <v>19</v>
      </c>
      <c r="J1956" s="49">
        <v>2.38212587E8</v>
      </c>
    </row>
    <row r="1957">
      <c r="A1957" s="45" t="s">
        <v>74</v>
      </c>
      <c r="B1957" s="16" t="s">
        <v>254</v>
      </c>
      <c r="C1957" s="17" t="s">
        <v>255</v>
      </c>
      <c r="D1957" s="15">
        <v>3.0</v>
      </c>
      <c r="E1957" s="17" t="s">
        <v>459</v>
      </c>
      <c r="F1957" s="15" t="s">
        <v>460</v>
      </c>
      <c r="G1957" s="46" t="s">
        <v>458</v>
      </c>
      <c r="H1957" s="47" t="s">
        <v>411</v>
      </c>
      <c r="I1957" s="48" t="s">
        <v>19</v>
      </c>
      <c r="J1957" s="49">
        <v>1.9547019E7</v>
      </c>
    </row>
    <row r="1958">
      <c r="A1958" s="45" t="s">
        <v>74</v>
      </c>
      <c r="B1958" s="16" t="s">
        <v>254</v>
      </c>
      <c r="C1958" s="17" t="s">
        <v>255</v>
      </c>
      <c r="D1958" s="15">
        <v>3.0</v>
      </c>
      <c r="E1958" s="17" t="s">
        <v>463</v>
      </c>
      <c r="F1958" s="15" t="s">
        <v>464</v>
      </c>
      <c r="G1958" s="46" t="s">
        <v>458</v>
      </c>
      <c r="H1958" s="47" t="s">
        <v>411</v>
      </c>
      <c r="I1958" s="48" t="s">
        <v>19</v>
      </c>
      <c r="J1958" s="49">
        <v>0.0</v>
      </c>
    </row>
    <row r="1959">
      <c r="A1959" s="45" t="s">
        <v>74</v>
      </c>
      <c r="B1959" s="16" t="s">
        <v>254</v>
      </c>
      <c r="C1959" s="17" t="s">
        <v>255</v>
      </c>
      <c r="D1959" s="15">
        <v>3.0</v>
      </c>
      <c r="E1959" s="17" t="s">
        <v>463</v>
      </c>
      <c r="F1959" s="15" t="s">
        <v>464</v>
      </c>
      <c r="G1959" s="46" t="s">
        <v>532</v>
      </c>
      <c r="H1959" s="47" t="s">
        <v>412</v>
      </c>
      <c r="I1959" s="48" t="s">
        <v>19</v>
      </c>
      <c r="J1959" s="49">
        <v>808405.0</v>
      </c>
    </row>
    <row r="1960">
      <c r="A1960" s="45" t="s">
        <v>74</v>
      </c>
      <c r="B1960" s="16" t="s">
        <v>254</v>
      </c>
      <c r="C1960" s="17" t="s">
        <v>255</v>
      </c>
      <c r="D1960" s="15">
        <v>3.0</v>
      </c>
      <c r="E1960" s="17" t="s">
        <v>487</v>
      </c>
      <c r="F1960" s="15" t="s">
        <v>488</v>
      </c>
      <c r="G1960" s="46" t="s">
        <v>458</v>
      </c>
      <c r="H1960" s="47" t="s">
        <v>411</v>
      </c>
      <c r="I1960" s="48" t="s">
        <v>19</v>
      </c>
      <c r="J1960" s="49">
        <v>1.1660588E7</v>
      </c>
    </row>
    <row r="1961">
      <c r="A1961" s="45" t="s">
        <v>74</v>
      </c>
      <c r="B1961" s="16" t="s">
        <v>254</v>
      </c>
      <c r="C1961" s="17" t="s">
        <v>255</v>
      </c>
      <c r="D1961" s="15">
        <v>3.0</v>
      </c>
      <c r="E1961" s="17" t="s">
        <v>469</v>
      </c>
      <c r="F1961" s="15" t="s">
        <v>470</v>
      </c>
      <c r="G1961" s="46" t="s">
        <v>471</v>
      </c>
      <c r="H1961" s="47" t="s">
        <v>472</v>
      </c>
      <c r="I1961" s="48" t="s">
        <v>25</v>
      </c>
      <c r="J1961" s="49">
        <v>2448175.0</v>
      </c>
    </row>
    <row r="1962">
      <c r="A1962" s="45" t="s">
        <v>74</v>
      </c>
      <c r="B1962" s="16" t="s">
        <v>254</v>
      </c>
      <c r="C1962" s="17" t="s">
        <v>255</v>
      </c>
      <c r="D1962" s="15">
        <v>3.0</v>
      </c>
      <c r="E1962" s="17" t="s">
        <v>473</v>
      </c>
      <c r="F1962" s="15" t="s">
        <v>474</v>
      </c>
      <c r="G1962" s="46" t="s">
        <v>523</v>
      </c>
      <c r="H1962" s="47" t="s">
        <v>431</v>
      </c>
      <c r="I1962" s="48" t="s">
        <v>17</v>
      </c>
      <c r="J1962" s="49">
        <v>2.40883114E8</v>
      </c>
    </row>
    <row r="1963">
      <c r="A1963" s="45" t="s">
        <v>74</v>
      </c>
      <c r="B1963" s="16" t="s">
        <v>254</v>
      </c>
      <c r="C1963" s="17" t="s">
        <v>255</v>
      </c>
      <c r="D1963" s="15">
        <v>3.0</v>
      </c>
      <c r="E1963" s="17" t="s">
        <v>473</v>
      </c>
      <c r="F1963" s="15" t="s">
        <v>474</v>
      </c>
      <c r="G1963" s="46" t="s">
        <v>458</v>
      </c>
      <c r="H1963" s="47" t="s">
        <v>411</v>
      </c>
      <c r="I1963" s="48" t="s">
        <v>19</v>
      </c>
      <c r="J1963" s="49">
        <v>5.8208669E7</v>
      </c>
    </row>
    <row r="1964">
      <c r="A1964" s="45" t="s">
        <v>74</v>
      </c>
      <c r="B1964" s="16" t="s">
        <v>254</v>
      </c>
      <c r="C1964" s="17" t="s">
        <v>255</v>
      </c>
      <c r="D1964" s="15">
        <v>3.0</v>
      </c>
      <c r="E1964" s="17" t="s">
        <v>491</v>
      </c>
      <c r="F1964" s="15" t="s">
        <v>492</v>
      </c>
      <c r="G1964" s="46" t="s">
        <v>545</v>
      </c>
      <c r="H1964" s="47" t="s">
        <v>427</v>
      </c>
      <c r="I1964" s="48" t="s">
        <v>37</v>
      </c>
      <c r="J1964" s="49">
        <v>1.1075774E7</v>
      </c>
    </row>
    <row r="1965">
      <c r="A1965" s="45" t="s">
        <v>74</v>
      </c>
      <c r="B1965" s="16" t="s">
        <v>254</v>
      </c>
      <c r="C1965" s="17" t="s">
        <v>255</v>
      </c>
      <c r="D1965" s="15">
        <v>3.0</v>
      </c>
      <c r="E1965" s="17" t="s">
        <v>491</v>
      </c>
      <c r="F1965" s="15" t="s">
        <v>492</v>
      </c>
      <c r="G1965" s="46" t="s">
        <v>543</v>
      </c>
      <c r="H1965" s="47" t="s">
        <v>430</v>
      </c>
      <c r="I1965" s="48" t="s">
        <v>37</v>
      </c>
      <c r="J1965" s="49">
        <v>101760.0</v>
      </c>
    </row>
    <row r="1966">
      <c r="A1966" s="45" t="s">
        <v>74</v>
      </c>
      <c r="B1966" s="16" t="s">
        <v>254</v>
      </c>
      <c r="C1966" s="17" t="s">
        <v>255</v>
      </c>
      <c r="D1966" s="15">
        <v>3.0</v>
      </c>
      <c r="E1966" s="17" t="s">
        <v>491</v>
      </c>
      <c r="F1966" s="15" t="s">
        <v>492</v>
      </c>
      <c r="G1966" s="46" t="s">
        <v>493</v>
      </c>
      <c r="H1966" s="47" t="s">
        <v>437</v>
      </c>
      <c r="I1966" s="48" t="s">
        <v>17</v>
      </c>
      <c r="J1966" s="49">
        <v>9695454.0</v>
      </c>
    </row>
    <row r="1967">
      <c r="A1967" s="45" t="s">
        <v>74</v>
      </c>
      <c r="B1967" s="16" t="s">
        <v>254</v>
      </c>
      <c r="C1967" s="17" t="s">
        <v>255</v>
      </c>
      <c r="D1967" s="15">
        <v>3.0</v>
      </c>
      <c r="E1967" s="17" t="s">
        <v>491</v>
      </c>
      <c r="F1967" s="15" t="s">
        <v>492</v>
      </c>
      <c r="G1967" s="46" t="s">
        <v>493</v>
      </c>
      <c r="H1967" s="47" t="s">
        <v>437</v>
      </c>
      <c r="I1967" s="48" t="s">
        <v>37</v>
      </c>
      <c r="J1967" s="49">
        <v>483360.0</v>
      </c>
    </row>
    <row r="1968">
      <c r="A1968" s="45" t="s">
        <v>74</v>
      </c>
      <c r="B1968" s="16" t="s">
        <v>254</v>
      </c>
      <c r="C1968" s="17" t="s">
        <v>255</v>
      </c>
      <c r="D1968" s="15">
        <v>3.0</v>
      </c>
      <c r="E1968" s="17" t="s">
        <v>491</v>
      </c>
      <c r="F1968" s="15" t="s">
        <v>492</v>
      </c>
      <c r="G1968" s="46" t="s">
        <v>493</v>
      </c>
      <c r="H1968" s="47" t="s">
        <v>437</v>
      </c>
      <c r="I1968" s="48" t="s">
        <v>25</v>
      </c>
      <c r="J1968" s="49">
        <v>2879252.0</v>
      </c>
    </row>
    <row r="1969">
      <c r="A1969" s="45" t="s">
        <v>74</v>
      </c>
      <c r="B1969" s="16" t="s">
        <v>254</v>
      </c>
      <c r="C1969" s="17" t="s">
        <v>255</v>
      </c>
      <c r="D1969" s="15">
        <v>3.0</v>
      </c>
      <c r="E1969" s="17" t="s">
        <v>491</v>
      </c>
      <c r="F1969" s="15" t="s">
        <v>492</v>
      </c>
      <c r="G1969" s="46" t="s">
        <v>458</v>
      </c>
      <c r="H1969" s="47" t="s">
        <v>411</v>
      </c>
      <c r="I1969" s="48" t="s">
        <v>19</v>
      </c>
      <c r="J1969" s="49">
        <v>1.079854E7</v>
      </c>
    </row>
    <row r="1970">
      <c r="A1970" s="45" t="s">
        <v>74</v>
      </c>
      <c r="B1970" s="16" t="s">
        <v>254</v>
      </c>
      <c r="C1970" s="17" t="s">
        <v>255</v>
      </c>
      <c r="D1970" s="15">
        <v>3.0</v>
      </c>
      <c r="E1970" s="17" t="s">
        <v>494</v>
      </c>
      <c r="F1970" s="15" t="s">
        <v>495</v>
      </c>
      <c r="G1970" s="46" t="s">
        <v>545</v>
      </c>
      <c r="H1970" s="47" t="s">
        <v>427</v>
      </c>
      <c r="I1970" s="48" t="s">
        <v>37</v>
      </c>
      <c r="J1970" s="49">
        <v>4177317.0</v>
      </c>
    </row>
    <row r="1971">
      <c r="A1971" s="45" t="s">
        <v>74</v>
      </c>
      <c r="B1971" s="16" t="s">
        <v>254</v>
      </c>
      <c r="C1971" s="17" t="s">
        <v>255</v>
      </c>
      <c r="D1971" s="15">
        <v>3.0</v>
      </c>
      <c r="E1971" s="17" t="s">
        <v>494</v>
      </c>
      <c r="F1971" s="15" t="s">
        <v>495</v>
      </c>
      <c r="G1971" s="46" t="s">
        <v>496</v>
      </c>
      <c r="H1971" s="47" t="s">
        <v>497</v>
      </c>
      <c r="I1971" s="48" t="s">
        <v>25</v>
      </c>
      <c r="J1971" s="49">
        <v>21180.0</v>
      </c>
    </row>
    <row r="1972">
      <c r="A1972" s="45" t="s">
        <v>74</v>
      </c>
      <c r="B1972" s="16" t="s">
        <v>254</v>
      </c>
      <c r="C1972" s="17" t="s">
        <v>255</v>
      </c>
      <c r="D1972" s="15">
        <v>3.0</v>
      </c>
      <c r="E1972" s="17" t="s">
        <v>494</v>
      </c>
      <c r="F1972" s="15" t="s">
        <v>495</v>
      </c>
      <c r="G1972" s="46" t="s">
        <v>458</v>
      </c>
      <c r="H1972" s="47" t="s">
        <v>411</v>
      </c>
      <c r="I1972" s="48" t="s">
        <v>19</v>
      </c>
      <c r="J1972" s="49">
        <v>1.1353192E7</v>
      </c>
    </row>
    <row r="1973">
      <c r="A1973" s="45" t="s">
        <v>74</v>
      </c>
      <c r="B1973" s="16" t="s">
        <v>254</v>
      </c>
      <c r="C1973" s="17" t="s">
        <v>255</v>
      </c>
      <c r="D1973" s="15">
        <v>3.0</v>
      </c>
      <c r="E1973" s="17" t="s">
        <v>494</v>
      </c>
      <c r="F1973" s="15" t="s">
        <v>495</v>
      </c>
      <c r="G1973" s="46" t="s">
        <v>477</v>
      </c>
      <c r="H1973" s="47" t="s">
        <v>429</v>
      </c>
      <c r="I1973" s="48" t="s">
        <v>50</v>
      </c>
      <c r="J1973" s="49">
        <v>3.459984E7</v>
      </c>
    </row>
    <row r="1974">
      <c r="A1974" s="45" t="s">
        <v>74</v>
      </c>
      <c r="B1974" s="16" t="s">
        <v>254</v>
      </c>
      <c r="C1974" s="17" t="s">
        <v>255</v>
      </c>
      <c r="D1974" s="15">
        <v>3.0</v>
      </c>
      <c r="E1974" s="17" t="s">
        <v>475</v>
      </c>
      <c r="F1974" s="15" t="s">
        <v>476</v>
      </c>
      <c r="G1974" s="46" t="s">
        <v>477</v>
      </c>
      <c r="H1974" s="47" t="s">
        <v>429</v>
      </c>
      <c r="I1974" s="48" t="s">
        <v>50</v>
      </c>
      <c r="J1974" s="49">
        <v>1.7753703E7</v>
      </c>
    </row>
    <row r="1975">
      <c r="A1975" s="45" t="s">
        <v>74</v>
      </c>
      <c r="B1975" s="16" t="s">
        <v>254</v>
      </c>
      <c r="C1975" s="17" t="s">
        <v>255</v>
      </c>
      <c r="D1975" s="15">
        <v>3.0</v>
      </c>
      <c r="E1975" s="17" t="s">
        <v>524</v>
      </c>
      <c r="F1975" s="15" t="s">
        <v>479</v>
      </c>
      <c r="G1975" s="46" t="s">
        <v>443</v>
      </c>
      <c r="H1975" s="47" t="s">
        <v>420</v>
      </c>
      <c r="I1975" s="48" t="s">
        <v>19</v>
      </c>
      <c r="J1975" s="49">
        <v>7.2978196E7</v>
      </c>
    </row>
    <row r="1976">
      <c r="A1976" s="45" t="s">
        <v>74</v>
      </c>
      <c r="B1976" s="16" t="s">
        <v>254</v>
      </c>
      <c r="C1976" s="17" t="s">
        <v>255</v>
      </c>
      <c r="D1976" s="15">
        <v>3.0</v>
      </c>
      <c r="E1976" s="17" t="s">
        <v>524</v>
      </c>
      <c r="F1976" s="15" t="s">
        <v>479</v>
      </c>
      <c r="G1976" s="46" t="s">
        <v>444</v>
      </c>
      <c r="H1976" s="47" t="s">
        <v>445</v>
      </c>
      <c r="I1976" s="48" t="s">
        <v>19</v>
      </c>
      <c r="J1976" s="49">
        <v>2.1879577E7</v>
      </c>
    </row>
    <row r="1977">
      <c r="A1977" s="45" t="s">
        <v>74</v>
      </c>
      <c r="B1977" s="16" t="s">
        <v>254</v>
      </c>
      <c r="C1977" s="17" t="s">
        <v>255</v>
      </c>
      <c r="D1977" s="15">
        <v>3.0</v>
      </c>
      <c r="E1977" s="17" t="s">
        <v>524</v>
      </c>
      <c r="F1977" s="15" t="s">
        <v>479</v>
      </c>
      <c r="G1977" s="46" t="s">
        <v>579</v>
      </c>
      <c r="H1977" s="47" t="s">
        <v>580</v>
      </c>
      <c r="I1977" s="48" t="s">
        <v>19</v>
      </c>
      <c r="J1977" s="49">
        <v>8443874.0</v>
      </c>
    </row>
    <row r="1978">
      <c r="A1978" s="45" t="s">
        <v>74</v>
      </c>
      <c r="B1978" s="16" t="s">
        <v>254</v>
      </c>
      <c r="C1978" s="17" t="s">
        <v>255</v>
      </c>
      <c r="D1978" s="15">
        <v>3.0</v>
      </c>
      <c r="E1978" s="17" t="s">
        <v>524</v>
      </c>
      <c r="F1978" s="15" t="s">
        <v>479</v>
      </c>
      <c r="G1978" s="46" t="s">
        <v>446</v>
      </c>
      <c r="H1978" s="47" t="s">
        <v>447</v>
      </c>
      <c r="I1978" s="48" t="s">
        <v>19</v>
      </c>
      <c r="J1978" s="49">
        <v>1002149.0</v>
      </c>
    </row>
    <row r="1979">
      <c r="A1979" s="45" t="s">
        <v>74</v>
      </c>
      <c r="B1979" s="16" t="s">
        <v>254</v>
      </c>
      <c r="C1979" s="17" t="s">
        <v>255</v>
      </c>
      <c r="D1979" s="15">
        <v>3.0</v>
      </c>
      <c r="E1979" s="17" t="s">
        <v>524</v>
      </c>
      <c r="F1979" s="15" t="s">
        <v>479</v>
      </c>
      <c r="G1979" s="46" t="s">
        <v>448</v>
      </c>
      <c r="H1979" s="47" t="s">
        <v>449</v>
      </c>
      <c r="I1979" s="48" t="s">
        <v>19</v>
      </c>
      <c r="J1979" s="49">
        <v>2535029.0</v>
      </c>
    </row>
    <row r="1980">
      <c r="A1980" s="45" t="s">
        <v>74</v>
      </c>
      <c r="B1980" s="16" t="s">
        <v>254</v>
      </c>
      <c r="C1980" s="17" t="s">
        <v>255</v>
      </c>
      <c r="D1980" s="15">
        <v>3.0</v>
      </c>
      <c r="E1980" s="17" t="s">
        <v>524</v>
      </c>
      <c r="F1980" s="15" t="s">
        <v>479</v>
      </c>
      <c r="G1980" s="46" t="s">
        <v>450</v>
      </c>
      <c r="H1980" s="47" t="s">
        <v>451</v>
      </c>
      <c r="I1980" s="48" t="s">
        <v>19</v>
      </c>
      <c r="J1980" s="49">
        <v>0.0</v>
      </c>
    </row>
    <row r="1981">
      <c r="A1981" s="45" t="s">
        <v>74</v>
      </c>
      <c r="B1981" s="16" t="s">
        <v>254</v>
      </c>
      <c r="C1981" s="17" t="s">
        <v>255</v>
      </c>
      <c r="D1981" s="15">
        <v>3.0</v>
      </c>
      <c r="E1981" s="17" t="s">
        <v>524</v>
      </c>
      <c r="F1981" s="15" t="s">
        <v>479</v>
      </c>
      <c r="G1981" s="46" t="s">
        <v>452</v>
      </c>
      <c r="H1981" s="47" t="s">
        <v>453</v>
      </c>
      <c r="I1981" s="48" t="s">
        <v>19</v>
      </c>
      <c r="J1981" s="49">
        <v>1853974.0</v>
      </c>
    </row>
    <row r="1982">
      <c r="A1982" s="45" t="s">
        <v>74</v>
      </c>
      <c r="B1982" s="16" t="s">
        <v>254</v>
      </c>
      <c r="C1982" s="17" t="s">
        <v>255</v>
      </c>
      <c r="D1982" s="15">
        <v>3.0</v>
      </c>
      <c r="E1982" s="17" t="s">
        <v>524</v>
      </c>
      <c r="F1982" s="15" t="s">
        <v>479</v>
      </c>
      <c r="G1982" s="46" t="s">
        <v>454</v>
      </c>
      <c r="H1982" s="47" t="s">
        <v>415</v>
      </c>
      <c r="I1982" s="48" t="s">
        <v>19</v>
      </c>
      <c r="J1982" s="49">
        <v>270580.0</v>
      </c>
    </row>
    <row r="1983">
      <c r="A1983" s="45" t="s">
        <v>74</v>
      </c>
      <c r="B1983" s="16" t="s">
        <v>254</v>
      </c>
      <c r="C1983" s="17" t="s">
        <v>255</v>
      </c>
      <c r="D1983" s="15">
        <v>3.0</v>
      </c>
      <c r="E1983" s="17" t="s">
        <v>524</v>
      </c>
      <c r="F1983" s="15" t="s">
        <v>479</v>
      </c>
      <c r="G1983" s="46" t="s">
        <v>455</v>
      </c>
      <c r="H1983" s="47" t="s">
        <v>415</v>
      </c>
      <c r="I1983" s="48" t="s">
        <v>19</v>
      </c>
      <c r="J1983" s="49">
        <v>150322.0</v>
      </c>
    </row>
    <row r="1984">
      <c r="A1984" s="45" t="s">
        <v>74</v>
      </c>
      <c r="B1984" s="16" t="s">
        <v>254</v>
      </c>
      <c r="C1984" s="17" t="s">
        <v>255</v>
      </c>
      <c r="D1984" s="15">
        <v>3.0</v>
      </c>
      <c r="E1984" s="17" t="s">
        <v>524</v>
      </c>
      <c r="F1984" s="15" t="s">
        <v>479</v>
      </c>
      <c r="G1984" s="46" t="s">
        <v>565</v>
      </c>
      <c r="H1984" s="47" t="s">
        <v>566</v>
      </c>
      <c r="I1984" s="48" t="s">
        <v>25</v>
      </c>
      <c r="J1984" s="49">
        <v>3100000.0</v>
      </c>
    </row>
    <row r="1985">
      <c r="A1985" s="45" t="s">
        <v>74</v>
      </c>
      <c r="B1985" s="16" t="s">
        <v>254</v>
      </c>
      <c r="C1985" s="17" t="s">
        <v>255</v>
      </c>
      <c r="D1985" s="15">
        <v>3.0</v>
      </c>
      <c r="E1985" s="17" t="s">
        <v>525</v>
      </c>
      <c r="F1985" s="15" t="s">
        <v>502</v>
      </c>
      <c r="G1985" s="46" t="s">
        <v>526</v>
      </c>
      <c r="H1985" s="47" t="s">
        <v>527</v>
      </c>
      <c r="I1985" s="48" t="s">
        <v>60</v>
      </c>
      <c r="J1985" s="49">
        <v>1.14010994E8</v>
      </c>
    </row>
    <row r="1986">
      <c r="A1986" s="45" t="s">
        <v>74</v>
      </c>
      <c r="B1986" s="16" t="s">
        <v>254</v>
      </c>
      <c r="C1986" s="17" t="s">
        <v>255</v>
      </c>
      <c r="D1986" s="15">
        <v>3.0</v>
      </c>
      <c r="E1986" s="17" t="s">
        <v>525</v>
      </c>
      <c r="F1986" s="15" t="s">
        <v>502</v>
      </c>
      <c r="G1986" s="46" t="s">
        <v>505</v>
      </c>
      <c r="H1986" s="47" t="s">
        <v>506</v>
      </c>
      <c r="I1986" s="48" t="s">
        <v>60</v>
      </c>
      <c r="J1986" s="49">
        <v>5778176.0</v>
      </c>
    </row>
    <row r="1987">
      <c r="A1987" s="45" t="s">
        <v>74</v>
      </c>
      <c r="B1987" s="16" t="s">
        <v>254</v>
      </c>
      <c r="C1987" s="17" t="s">
        <v>255</v>
      </c>
      <c r="D1987" s="15">
        <v>3.0</v>
      </c>
      <c r="E1987" s="17" t="s">
        <v>525</v>
      </c>
      <c r="F1987" s="15" t="s">
        <v>502</v>
      </c>
      <c r="G1987" s="46" t="s">
        <v>507</v>
      </c>
      <c r="H1987" s="47" t="s">
        <v>508</v>
      </c>
      <c r="I1987" s="48" t="s">
        <v>60</v>
      </c>
      <c r="J1987" s="49">
        <v>4465199.0</v>
      </c>
    </row>
    <row r="1988">
      <c r="A1988" s="45" t="s">
        <v>74</v>
      </c>
      <c r="B1988" s="16" t="s">
        <v>254</v>
      </c>
      <c r="C1988" s="17" t="s">
        <v>255</v>
      </c>
      <c r="D1988" s="15">
        <v>3.0</v>
      </c>
      <c r="E1988" s="17" t="s">
        <v>525</v>
      </c>
      <c r="F1988" s="15" t="s">
        <v>502</v>
      </c>
      <c r="G1988" s="46" t="s">
        <v>509</v>
      </c>
      <c r="H1988" s="47" t="s">
        <v>510</v>
      </c>
      <c r="I1988" s="48" t="s">
        <v>60</v>
      </c>
      <c r="J1988" s="49">
        <v>1744049.0</v>
      </c>
    </row>
    <row r="1989">
      <c r="A1989" s="45" t="s">
        <v>74</v>
      </c>
      <c r="B1989" s="16" t="s">
        <v>254</v>
      </c>
      <c r="C1989" s="17" t="s">
        <v>255</v>
      </c>
      <c r="D1989" s="15">
        <v>3.0</v>
      </c>
      <c r="E1989" s="17" t="s">
        <v>525</v>
      </c>
      <c r="F1989" s="15" t="s">
        <v>502</v>
      </c>
      <c r="G1989" s="46" t="s">
        <v>511</v>
      </c>
      <c r="H1989" s="47" t="s">
        <v>512</v>
      </c>
      <c r="I1989" s="48" t="s">
        <v>60</v>
      </c>
      <c r="J1989" s="49">
        <v>6.8770372E7</v>
      </c>
    </row>
    <row r="1990">
      <c r="A1990" s="45" t="s">
        <v>74</v>
      </c>
      <c r="B1990" s="16" t="s">
        <v>254</v>
      </c>
      <c r="C1990" s="17" t="s">
        <v>255</v>
      </c>
      <c r="D1990" s="15">
        <v>3.0</v>
      </c>
      <c r="E1990" s="17" t="s">
        <v>525</v>
      </c>
      <c r="F1990" s="15" t="s">
        <v>502</v>
      </c>
      <c r="G1990" s="46" t="s">
        <v>513</v>
      </c>
      <c r="H1990" s="47" t="s">
        <v>514</v>
      </c>
      <c r="I1990" s="48" t="s">
        <v>60</v>
      </c>
      <c r="J1990" s="49">
        <v>8235483.0</v>
      </c>
    </row>
    <row r="1991">
      <c r="A1991" s="45" t="s">
        <v>74</v>
      </c>
      <c r="B1991" s="16" t="s">
        <v>259</v>
      </c>
      <c r="C1991" s="17" t="s">
        <v>260</v>
      </c>
      <c r="D1991" s="15">
        <v>3.0</v>
      </c>
      <c r="E1991" s="17" t="s">
        <v>441</v>
      </c>
      <c r="F1991" s="15" t="s">
        <v>442</v>
      </c>
      <c r="G1991" s="46" t="s">
        <v>443</v>
      </c>
      <c r="H1991" s="47" t="s">
        <v>420</v>
      </c>
      <c r="I1991" s="48" t="s">
        <v>19</v>
      </c>
      <c r="J1991" s="49">
        <v>4.7611453E7</v>
      </c>
    </row>
    <row r="1992">
      <c r="A1992" s="45" t="s">
        <v>74</v>
      </c>
      <c r="B1992" s="16" t="s">
        <v>259</v>
      </c>
      <c r="C1992" s="17" t="s">
        <v>260</v>
      </c>
      <c r="D1992" s="15">
        <v>3.0</v>
      </c>
      <c r="E1992" s="17" t="s">
        <v>441</v>
      </c>
      <c r="F1992" s="15" t="s">
        <v>442</v>
      </c>
      <c r="G1992" s="46" t="s">
        <v>444</v>
      </c>
      <c r="H1992" s="47" t="s">
        <v>445</v>
      </c>
      <c r="I1992" s="48" t="s">
        <v>19</v>
      </c>
      <c r="J1992" s="49">
        <v>2.2278622E7</v>
      </c>
    </row>
    <row r="1993">
      <c r="A1993" s="45" t="s">
        <v>74</v>
      </c>
      <c r="B1993" s="16" t="s">
        <v>259</v>
      </c>
      <c r="C1993" s="17" t="s">
        <v>260</v>
      </c>
      <c r="D1993" s="15">
        <v>3.0</v>
      </c>
      <c r="E1993" s="17" t="s">
        <v>441</v>
      </c>
      <c r="F1993" s="15" t="s">
        <v>442</v>
      </c>
      <c r="G1993" s="46" t="s">
        <v>579</v>
      </c>
      <c r="H1993" s="47" t="s">
        <v>580</v>
      </c>
      <c r="I1993" s="48" t="s">
        <v>19</v>
      </c>
      <c r="J1993" s="49">
        <v>5220675.0</v>
      </c>
    </row>
    <row r="1994">
      <c r="A1994" s="45" t="s">
        <v>74</v>
      </c>
      <c r="B1994" s="16" t="s">
        <v>259</v>
      </c>
      <c r="C1994" s="17" t="s">
        <v>260</v>
      </c>
      <c r="D1994" s="15">
        <v>3.0</v>
      </c>
      <c r="E1994" s="17" t="s">
        <v>441</v>
      </c>
      <c r="F1994" s="15" t="s">
        <v>442</v>
      </c>
      <c r="G1994" s="46" t="s">
        <v>446</v>
      </c>
      <c r="H1994" s="47" t="s">
        <v>447</v>
      </c>
      <c r="I1994" s="48" t="s">
        <v>19</v>
      </c>
      <c r="J1994" s="49">
        <v>513500.0</v>
      </c>
    </row>
    <row r="1995">
      <c r="A1995" s="45" t="s">
        <v>74</v>
      </c>
      <c r="B1995" s="16" t="s">
        <v>259</v>
      </c>
      <c r="C1995" s="17" t="s">
        <v>260</v>
      </c>
      <c r="D1995" s="15">
        <v>3.0</v>
      </c>
      <c r="E1995" s="17" t="s">
        <v>441</v>
      </c>
      <c r="F1995" s="15" t="s">
        <v>442</v>
      </c>
      <c r="G1995" s="46" t="s">
        <v>448</v>
      </c>
      <c r="H1995" s="47" t="s">
        <v>449</v>
      </c>
      <c r="I1995" s="48" t="s">
        <v>19</v>
      </c>
      <c r="J1995" s="49">
        <v>1492140.0</v>
      </c>
    </row>
    <row r="1996">
      <c r="A1996" s="45" t="s">
        <v>74</v>
      </c>
      <c r="B1996" s="16" t="s">
        <v>259</v>
      </c>
      <c r="C1996" s="17" t="s">
        <v>260</v>
      </c>
      <c r="D1996" s="15">
        <v>3.0</v>
      </c>
      <c r="E1996" s="17" t="s">
        <v>441</v>
      </c>
      <c r="F1996" s="15" t="s">
        <v>442</v>
      </c>
      <c r="G1996" s="46" t="s">
        <v>450</v>
      </c>
      <c r="H1996" s="47" t="s">
        <v>451</v>
      </c>
      <c r="I1996" s="48" t="s">
        <v>19</v>
      </c>
      <c r="J1996" s="49">
        <v>0.0</v>
      </c>
    </row>
    <row r="1997">
      <c r="A1997" s="45" t="s">
        <v>74</v>
      </c>
      <c r="B1997" s="16" t="s">
        <v>259</v>
      </c>
      <c r="C1997" s="17" t="s">
        <v>260</v>
      </c>
      <c r="D1997" s="15">
        <v>3.0</v>
      </c>
      <c r="E1997" s="17" t="s">
        <v>441</v>
      </c>
      <c r="F1997" s="15" t="s">
        <v>442</v>
      </c>
      <c r="G1997" s="46" t="s">
        <v>452</v>
      </c>
      <c r="H1997" s="47" t="s">
        <v>453</v>
      </c>
      <c r="I1997" s="48" t="s">
        <v>19</v>
      </c>
      <c r="J1997" s="49">
        <v>1062140.0</v>
      </c>
    </row>
    <row r="1998">
      <c r="A1998" s="45" t="s">
        <v>74</v>
      </c>
      <c r="B1998" s="16" t="s">
        <v>259</v>
      </c>
      <c r="C1998" s="17" t="s">
        <v>260</v>
      </c>
      <c r="D1998" s="15">
        <v>3.0</v>
      </c>
      <c r="E1998" s="17" t="s">
        <v>441</v>
      </c>
      <c r="F1998" s="15" t="s">
        <v>442</v>
      </c>
      <c r="G1998" s="46" t="s">
        <v>454</v>
      </c>
      <c r="H1998" s="47" t="s">
        <v>415</v>
      </c>
      <c r="I1998" s="48" t="s">
        <v>19</v>
      </c>
      <c r="J1998" s="49">
        <v>155015.0</v>
      </c>
    </row>
    <row r="1999">
      <c r="A1999" s="45" t="s">
        <v>74</v>
      </c>
      <c r="B1999" s="16" t="s">
        <v>259</v>
      </c>
      <c r="C1999" s="17" t="s">
        <v>260</v>
      </c>
      <c r="D1999" s="15">
        <v>3.0</v>
      </c>
      <c r="E1999" s="17" t="s">
        <v>441</v>
      </c>
      <c r="F1999" s="15" t="s">
        <v>442</v>
      </c>
      <c r="G1999" s="46" t="s">
        <v>455</v>
      </c>
      <c r="H1999" s="47" t="s">
        <v>415</v>
      </c>
      <c r="I1999" s="48" t="s">
        <v>19</v>
      </c>
      <c r="J1999" s="49">
        <v>86120.0</v>
      </c>
    </row>
    <row r="2000">
      <c r="A2000" s="45" t="s">
        <v>74</v>
      </c>
      <c r="B2000" s="16" t="s">
        <v>259</v>
      </c>
      <c r="C2000" s="17" t="s">
        <v>260</v>
      </c>
      <c r="D2000" s="15">
        <v>3.0</v>
      </c>
      <c r="E2000" s="17" t="s">
        <v>441</v>
      </c>
      <c r="F2000" s="15" t="s">
        <v>442</v>
      </c>
      <c r="G2000" s="46" t="s">
        <v>480</v>
      </c>
      <c r="H2000" s="47" t="s">
        <v>481</v>
      </c>
      <c r="I2000" s="48" t="s">
        <v>19</v>
      </c>
      <c r="J2000" s="49">
        <v>1498171.0</v>
      </c>
    </row>
    <row r="2001">
      <c r="A2001" s="45" t="s">
        <v>74</v>
      </c>
      <c r="B2001" s="16" t="s">
        <v>259</v>
      </c>
      <c r="C2001" s="17" t="s">
        <v>260</v>
      </c>
      <c r="D2001" s="15">
        <v>3.0</v>
      </c>
      <c r="E2001" s="17" t="s">
        <v>456</v>
      </c>
      <c r="F2001" s="15" t="s">
        <v>457</v>
      </c>
      <c r="G2001" s="46" t="s">
        <v>458</v>
      </c>
      <c r="H2001" s="47" t="s">
        <v>411</v>
      </c>
      <c r="I2001" s="48" t="s">
        <v>19</v>
      </c>
      <c r="J2001" s="49">
        <v>1.0931375E8</v>
      </c>
    </row>
    <row r="2002">
      <c r="A2002" s="45" t="s">
        <v>74</v>
      </c>
      <c r="B2002" s="16" t="s">
        <v>259</v>
      </c>
      <c r="C2002" s="17" t="s">
        <v>260</v>
      </c>
      <c r="D2002" s="15">
        <v>3.0</v>
      </c>
      <c r="E2002" s="17" t="s">
        <v>469</v>
      </c>
      <c r="F2002" s="15" t="s">
        <v>470</v>
      </c>
      <c r="G2002" s="46" t="s">
        <v>471</v>
      </c>
      <c r="H2002" s="47" t="s">
        <v>472</v>
      </c>
      <c r="I2002" s="48" t="s">
        <v>25</v>
      </c>
      <c r="J2002" s="49">
        <v>1898175.0</v>
      </c>
    </row>
    <row r="2003">
      <c r="A2003" s="45" t="s">
        <v>74</v>
      </c>
      <c r="B2003" s="16" t="s">
        <v>259</v>
      </c>
      <c r="C2003" s="17" t="s">
        <v>260</v>
      </c>
      <c r="D2003" s="15">
        <v>3.0</v>
      </c>
      <c r="E2003" s="17" t="s">
        <v>473</v>
      </c>
      <c r="F2003" s="15" t="s">
        <v>474</v>
      </c>
      <c r="G2003" s="46" t="s">
        <v>523</v>
      </c>
      <c r="H2003" s="47" t="s">
        <v>431</v>
      </c>
      <c r="I2003" s="48" t="s">
        <v>17</v>
      </c>
      <c r="J2003" s="49">
        <v>1.77952401E8</v>
      </c>
    </row>
    <row r="2004">
      <c r="A2004" s="45" t="s">
        <v>74</v>
      </c>
      <c r="B2004" s="16" t="s">
        <v>259</v>
      </c>
      <c r="C2004" s="17" t="s">
        <v>260</v>
      </c>
      <c r="D2004" s="15">
        <v>3.0</v>
      </c>
      <c r="E2004" s="17" t="s">
        <v>473</v>
      </c>
      <c r="F2004" s="15" t="s">
        <v>474</v>
      </c>
      <c r="G2004" s="46" t="s">
        <v>523</v>
      </c>
      <c r="H2004" s="47" t="s">
        <v>431</v>
      </c>
      <c r="I2004" s="48" t="s">
        <v>25</v>
      </c>
      <c r="J2004" s="49">
        <v>1.0E7</v>
      </c>
    </row>
    <row r="2005">
      <c r="A2005" s="45" t="s">
        <v>74</v>
      </c>
      <c r="B2005" s="16" t="s">
        <v>259</v>
      </c>
      <c r="C2005" s="17" t="s">
        <v>260</v>
      </c>
      <c r="D2005" s="15">
        <v>3.0</v>
      </c>
      <c r="E2005" s="17" t="s">
        <v>473</v>
      </c>
      <c r="F2005" s="15" t="s">
        <v>474</v>
      </c>
      <c r="G2005" s="46" t="s">
        <v>458</v>
      </c>
      <c r="H2005" s="47" t="s">
        <v>411</v>
      </c>
      <c r="I2005" s="48" t="s">
        <v>19</v>
      </c>
      <c r="J2005" s="49">
        <v>5.2379584E7</v>
      </c>
    </row>
    <row r="2006">
      <c r="A2006" s="45" t="s">
        <v>74</v>
      </c>
      <c r="B2006" s="16" t="s">
        <v>259</v>
      </c>
      <c r="C2006" s="17" t="s">
        <v>260</v>
      </c>
      <c r="D2006" s="15">
        <v>3.0</v>
      </c>
      <c r="E2006" s="17" t="s">
        <v>491</v>
      </c>
      <c r="F2006" s="15" t="s">
        <v>492</v>
      </c>
      <c r="G2006" s="46" t="s">
        <v>545</v>
      </c>
      <c r="H2006" s="47" t="s">
        <v>427</v>
      </c>
      <c r="I2006" s="48" t="s">
        <v>37</v>
      </c>
      <c r="J2006" s="49">
        <v>3.3238354E7</v>
      </c>
    </row>
    <row r="2007">
      <c r="A2007" s="45" t="s">
        <v>74</v>
      </c>
      <c r="B2007" s="16" t="s">
        <v>259</v>
      </c>
      <c r="C2007" s="17" t="s">
        <v>260</v>
      </c>
      <c r="D2007" s="15">
        <v>3.0</v>
      </c>
      <c r="E2007" s="17" t="s">
        <v>491</v>
      </c>
      <c r="F2007" s="15" t="s">
        <v>492</v>
      </c>
      <c r="G2007" s="46" t="s">
        <v>521</v>
      </c>
      <c r="H2007" s="47" t="s">
        <v>522</v>
      </c>
      <c r="I2007" s="48" t="s">
        <v>37</v>
      </c>
      <c r="J2007" s="49">
        <v>0.0</v>
      </c>
    </row>
    <row r="2008">
      <c r="A2008" s="45" t="s">
        <v>74</v>
      </c>
      <c r="B2008" s="16" t="s">
        <v>259</v>
      </c>
      <c r="C2008" s="17" t="s">
        <v>260</v>
      </c>
      <c r="D2008" s="15">
        <v>3.0</v>
      </c>
      <c r="E2008" s="17" t="s">
        <v>491</v>
      </c>
      <c r="F2008" s="15" t="s">
        <v>492</v>
      </c>
      <c r="G2008" s="46" t="s">
        <v>493</v>
      </c>
      <c r="H2008" s="47" t="s">
        <v>437</v>
      </c>
      <c r="I2008" s="48" t="s">
        <v>17</v>
      </c>
      <c r="J2008" s="49">
        <v>2.4796968E7</v>
      </c>
    </row>
    <row r="2009">
      <c r="A2009" s="45" t="s">
        <v>74</v>
      </c>
      <c r="B2009" s="16" t="s">
        <v>259</v>
      </c>
      <c r="C2009" s="17" t="s">
        <v>260</v>
      </c>
      <c r="D2009" s="15">
        <v>3.0</v>
      </c>
      <c r="E2009" s="17" t="s">
        <v>491</v>
      </c>
      <c r="F2009" s="15" t="s">
        <v>492</v>
      </c>
      <c r="G2009" s="46" t="s">
        <v>493</v>
      </c>
      <c r="H2009" s="47" t="s">
        <v>437</v>
      </c>
      <c r="I2009" s="48" t="s">
        <v>25</v>
      </c>
      <c r="J2009" s="49">
        <v>1170540.0</v>
      </c>
    </row>
    <row r="2010">
      <c r="A2010" s="45" t="s">
        <v>74</v>
      </c>
      <c r="B2010" s="16" t="s">
        <v>259</v>
      </c>
      <c r="C2010" s="17" t="s">
        <v>260</v>
      </c>
      <c r="D2010" s="15">
        <v>3.0</v>
      </c>
      <c r="E2010" s="17" t="s">
        <v>491</v>
      </c>
      <c r="F2010" s="15" t="s">
        <v>492</v>
      </c>
      <c r="G2010" s="46" t="s">
        <v>496</v>
      </c>
      <c r="H2010" s="47" t="s">
        <v>497</v>
      </c>
      <c r="I2010" s="48" t="s">
        <v>25</v>
      </c>
      <c r="J2010" s="49">
        <v>21180.0</v>
      </c>
    </row>
    <row r="2011">
      <c r="A2011" s="45" t="s">
        <v>74</v>
      </c>
      <c r="B2011" s="16" t="s">
        <v>259</v>
      </c>
      <c r="C2011" s="17" t="s">
        <v>260</v>
      </c>
      <c r="D2011" s="15">
        <v>3.0</v>
      </c>
      <c r="E2011" s="17" t="s">
        <v>494</v>
      </c>
      <c r="F2011" s="15" t="s">
        <v>495</v>
      </c>
      <c r="G2011" s="46" t="s">
        <v>477</v>
      </c>
      <c r="H2011" s="47" t="s">
        <v>429</v>
      </c>
      <c r="I2011" s="48" t="s">
        <v>50</v>
      </c>
      <c r="J2011" s="49">
        <v>1.8563245E7</v>
      </c>
    </row>
    <row r="2012">
      <c r="A2012" s="45" t="s">
        <v>74</v>
      </c>
      <c r="B2012" s="16" t="s">
        <v>259</v>
      </c>
      <c r="C2012" s="17" t="s">
        <v>260</v>
      </c>
      <c r="D2012" s="15">
        <v>3.0</v>
      </c>
      <c r="E2012" s="17" t="s">
        <v>475</v>
      </c>
      <c r="F2012" s="15" t="s">
        <v>476</v>
      </c>
      <c r="G2012" s="46" t="s">
        <v>498</v>
      </c>
      <c r="H2012" s="47" t="s">
        <v>434</v>
      </c>
      <c r="I2012" s="48" t="s">
        <v>25</v>
      </c>
      <c r="J2012" s="49">
        <v>6588000.0</v>
      </c>
    </row>
    <row r="2013">
      <c r="A2013" s="45" t="s">
        <v>74</v>
      </c>
      <c r="B2013" s="16" t="s">
        <v>259</v>
      </c>
      <c r="C2013" s="17" t="s">
        <v>260</v>
      </c>
      <c r="D2013" s="15">
        <v>3.0</v>
      </c>
      <c r="E2013" s="17" t="s">
        <v>475</v>
      </c>
      <c r="F2013" s="15" t="s">
        <v>476</v>
      </c>
      <c r="G2013" s="46" t="s">
        <v>477</v>
      </c>
      <c r="H2013" s="47" t="s">
        <v>429</v>
      </c>
      <c r="I2013" s="48" t="s">
        <v>50</v>
      </c>
      <c r="J2013" s="49">
        <v>3.0729989E7</v>
      </c>
    </row>
    <row r="2014">
      <c r="A2014" s="45" t="s">
        <v>74</v>
      </c>
      <c r="B2014" s="16" t="s">
        <v>259</v>
      </c>
      <c r="C2014" s="17" t="s">
        <v>260</v>
      </c>
      <c r="D2014" s="15">
        <v>3.0</v>
      </c>
      <c r="E2014" s="17" t="s">
        <v>524</v>
      </c>
      <c r="F2014" s="15" t="s">
        <v>479</v>
      </c>
      <c r="G2014" s="46" t="s">
        <v>443</v>
      </c>
      <c r="H2014" s="47" t="s">
        <v>420</v>
      </c>
      <c r="I2014" s="48" t="s">
        <v>19</v>
      </c>
      <c r="J2014" s="49">
        <v>7.2822034E7</v>
      </c>
    </row>
    <row r="2015">
      <c r="A2015" s="45" t="s">
        <v>74</v>
      </c>
      <c r="B2015" s="16" t="s">
        <v>259</v>
      </c>
      <c r="C2015" s="17" t="s">
        <v>260</v>
      </c>
      <c r="D2015" s="15">
        <v>3.0</v>
      </c>
      <c r="E2015" s="17" t="s">
        <v>524</v>
      </c>
      <c r="F2015" s="15" t="s">
        <v>479</v>
      </c>
      <c r="G2015" s="46" t="s">
        <v>444</v>
      </c>
      <c r="H2015" s="47" t="s">
        <v>445</v>
      </c>
      <c r="I2015" s="48" t="s">
        <v>19</v>
      </c>
      <c r="J2015" s="49">
        <v>1.6934823E7</v>
      </c>
    </row>
    <row r="2016">
      <c r="A2016" s="45" t="s">
        <v>74</v>
      </c>
      <c r="B2016" s="16" t="s">
        <v>259</v>
      </c>
      <c r="C2016" s="17" t="s">
        <v>260</v>
      </c>
      <c r="D2016" s="15">
        <v>3.0</v>
      </c>
      <c r="E2016" s="17" t="s">
        <v>524</v>
      </c>
      <c r="F2016" s="15" t="s">
        <v>479</v>
      </c>
      <c r="G2016" s="46" t="s">
        <v>579</v>
      </c>
      <c r="H2016" s="47" t="s">
        <v>580</v>
      </c>
      <c r="I2016" s="48" t="s">
        <v>19</v>
      </c>
      <c r="J2016" s="49">
        <v>9614522.0</v>
      </c>
    </row>
    <row r="2017">
      <c r="A2017" s="45" t="s">
        <v>74</v>
      </c>
      <c r="B2017" s="16" t="s">
        <v>259</v>
      </c>
      <c r="C2017" s="17" t="s">
        <v>260</v>
      </c>
      <c r="D2017" s="15">
        <v>3.0</v>
      </c>
      <c r="E2017" s="17" t="s">
        <v>524</v>
      </c>
      <c r="F2017" s="15" t="s">
        <v>479</v>
      </c>
      <c r="G2017" s="46" t="s">
        <v>446</v>
      </c>
      <c r="H2017" s="47" t="s">
        <v>447</v>
      </c>
      <c r="I2017" s="48" t="s">
        <v>19</v>
      </c>
      <c r="J2017" s="49">
        <v>869861.0</v>
      </c>
    </row>
    <row r="2018">
      <c r="A2018" s="45" t="s">
        <v>74</v>
      </c>
      <c r="B2018" s="16" t="s">
        <v>259</v>
      </c>
      <c r="C2018" s="17" t="s">
        <v>260</v>
      </c>
      <c r="D2018" s="15">
        <v>3.0</v>
      </c>
      <c r="E2018" s="17" t="s">
        <v>524</v>
      </c>
      <c r="F2018" s="15" t="s">
        <v>479</v>
      </c>
      <c r="G2018" s="46" t="s">
        <v>448</v>
      </c>
      <c r="H2018" s="47" t="s">
        <v>449</v>
      </c>
      <c r="I2018" s="48" t="s">
        <v>19</v>
      </c>
      <c r="J2018" s="49">
        <v>2500066.0</v>
      </c>
    </row>
    <row r="2019">
      <c r="A2019" s="45" t="s">
        <v>74</v>
      </c>
      <c r="B2019" s="16" t="s">
        <v>259</v>
      </c>
      <c r="C2019" s="17" t="s">
        <v>260</v>
      </c>
      <c r="D2019" s="15">
        <v>3.0</v>
      </c>
      <c r="E2019" s="17" t="s">
        <v>524</v>
      </c>
      <c r="F2019" s="15" t="s">
        <v>479</v>
      </c>
      <c r="G2019" s="46" t="s">
        <v>450</v>
      </c>
      <c r="H2019" s="47" t="s">
        <v>451</v>
      </c>
      <c r="I2019" s="48" t="s">
        <v>19</v>
      </c>
      <c r="J2019" s="49">
        <v>0.0</v>
      </c>
    </row>
    <row r="2020">
      <c r="A2020" s="45" t="s">
        <v>74</v>
      </c>
      <c r="B2020" s="16" t="s">
        <v>259</v>
      </c>
      <c r="C2020" s="17" t="s">
        <v>260</v>
      </c>
      <c r="D2020" s="15">
        <v>3.0</v>
      </c>
      <c r="E2020" s="17" t="s">
        <v>524</v>
      </c>
      <c r="F2020" s="15" t="s">
        <v>479</v>
      </c>
      <c r="G2020" s="46" t="s">
        <v>452</v>
      </c>
      <c r="H2020" s="47" t="s">
        <v>453</v>
      </c>
      <c r="I2020" s="48" t="s">
        <v>19</v>
      </c>
      <c r="J2020" s="49">
        <v>1609242.0</v>
      </c>
    </row>
    <row r="2021">
      <c r="A2021" s="45" t="s">
        <v>74</v>
      </c>
      <c r="B2021" s="16" t="s">
        <v>259</v>
      </c>
      <c r="C2021" s="17" t="s">
        <v>260</v>
      </c>
      <c r="D2021" s="15">
        <v>3.0</v>
      </c>
      <c r="E2021" s="17" t="s">
        <v>524</v>
      </c>
      <c r="F2021" s="15" t="s">
        <v>479</v>
      </c>
      <c r="G2021" s="46" t="s">
        <v>454</v>
      </c>
      <c r="H2021" s="47" t="s">
        <v>415</v>
      </c>
      <c r="I2021" s="48" t="s">
        <v>19</v>
      </c>
      <c r="J2021" s="49">
        <v>234862.0</v>
      </c>
    </row>
    <row r="2022">
      <c r="A2022" s="45" t="s">
        <v>74</v>
      </c>
      <c r="B2022" s="16" t="s">
        <v>259</v>
      </c>
      <c r="C2022" s="17" t="s">
        <v>260</v>
      </c>
      <c r="D2022" s="15">
        <v>3.0</v>
      </c>
      <c r="E2022" s="17" t="s">
        <v>524</v>
      </c>
      <c r="F2022" s="15" t="s">
        <v>479</v>
      </c>
      <c r="G2022" s="46" t="s">
        <v>455</v>
      </c>
      <c r="H2022" s="47" t="s">
        <v>415</v>
      </c>
      <c r="I2022" s="48" t="s">
        <v>19</v>
      </c>
      <c r="J2022" s="49">
        <v>130478.0</v>
      </c>
    </row>
    <row r="2023">
      <c r="A2023" s="45" t="s">
        <v>74</v>
      </c>
      <c r="B2023" s="16" t="s">
        <v>259</v>
      </c>
      <c r="C2023" s="17" t="s">
        <v>260</v>
      </c>
      <c r="D2023" s="15">
        <v>3.0</v>
      </c>
      <c r="E2023" s="17" t="s">
        <v>524</v>
      </c>
      <c r="F2023" s="15" t="s">
        <v>479</v>
      </c>
      <c r="G2023" s="46" t="s">
        <v>480</v>
      </c>
      <c r="H2023" s="47" t="s">
        <v>481</v>
      </c>
      <c r="I2023" s="48" t="s">
        <v>19</v>
      </c>
      <c r="J2023" s="49">
        <v>1778627.0</v>
      </c>
    </row>
    <row r="2024">
      <c r="A2024" s="45" t="s">
        <v>74</v>
      </c>
      <c r="B2024" s="16" t="s">
        <v>259</v>
      </c>
      <c r="C2024" s="17" t="s">
        <v>260</v>
      </c>
      <c r="D2024" s="15">
        <v>3.0</v>
      </c>
      <c r="E2024" s="17" t="s">
        <v>525</v>
      </c>
      <c r="F2024" s="15" t="s">
        <v>502</v>
      </c>
      <c r="G2024" s="46" t="s">
        <v>526</v>
      </c>
      <c r="H2024" s="47" t="s">
        <v>527</v>
      </c>
      <c r="I2024" s="48" t="s">
        <v>60</v>
      </c>
      <c r="J2024" s="49">
        <v>1.79392928E8</v>
      </c>
    </row>
    <row r="2025">
      <c r="A2025" s="45" t="s">
        <v>74</v>
      </c>
      <c r="B2025" s="16" t="s">
        <v>259</v>
      </c>
      <c r="C2025" s="17" t="s">
        <v>260</v>
      </c>
      <c r="D2025" s="15">
        <v>3.0</v>
      </c>
      <c r="E2025" s="17" t="s">
        <v>525</v>
      </c>
      <c r="F2025" s="15" t="s">
        <v>502</v>
      </c>
      <c r="G2025" s="46" t="s">
        <v>539</v>
      </c>
      <c r="H2025" s="47" t="s">
        <v>540</v>
      </c>
      <c r="I2025" s="48" t="s">
        <v>60</v>
      </c>
      <c r="J2025" s="49">
        <v>1.0323086E7</v>
      </c>
    </row>
    <row r="2026">
      <c r="A2026" s="45" t="s">
        <v>74</v>
      </c>
      <c r="B2026" s="16" t="s">
        <v>259</v>
      </c>
      <c r="C2026" s="17" t="s">
        <v>260</v>
      </c>
      <c r="D2026" s="15">
        <v>3.0</v>
      </c>
      <c r="E2026" s="17" t="s">
        <v>525</v>
      </c>
      <c r="F2026" s="15" t="s">
        <v>502</v>
      </c>
      <c r="G2026" s="46" t="s">
        <v>505</v>
      </c>
      <c r="H2026" s="47" t="s">
        <v>506</v>
      </c>
      <c r="I2026" s="48" t="s">
        <v>60</v>
      </c>
      <c r="J2026" s="49">
        <v>2.9468067E7</v>
      </c>
    </row>
    <row r="2027">
      <c r="A2027" s="45" t="s">
        <v>74</v>
      </c>
      <c r="B2027" s="16" t="s">
        <v>259</v>
      </c>
      <c r="C2027" s="17" t="s">
        <v>260</v>
      </c>
      <c r="D2027" s="15">
        <v>3.0</v>
      </c>
      <c r="E2027" s="17" t="s">
        <v>525</v>
      </c>
      <c r="F2027" s="15" t="s">
        <v>502</v>
      </c>
      <c r="G2027" s="46" t="s">
        <v>509</v>
      </c>
      <c r="H2027" s="47" t="s">
        <v>510</v>
      </c>
      <c r="I2027" s="48" t="s">
        <v>60</v>
      </c>
      <c r="J2027" s="49">
        <v>1233333.0</v>
      </c>
    </row>
    <row r="2028">
      <c r="A2028" s="45" t="s">
        <v>74</v>
      </c>
      <c r="B2028" s="16" t="s">
        <v>259</v>
      </c>
      <c r="C2028" s="17" t="s">
        <v>260</v>
      </c>
      <c r="D2028" s="15">
        <v>3.0</v>
      </c>
      <c r="E2028" s="17" t="s">
        <v>525</v>
      </c>
      <c r="F2028" s="15" t="s">
        <v>502</v>
      </c>
      <c r="G2028" s="46" t="s">
        <v>511</v>
      </c>
      <c r="H2028" s="47" t="s">
        <v>512</v>
      </c>
      <c r="I2028" s="48" t="s">
        <v>60</v>
      </c>
      <c r="J2028" s="49">
        <v>1.05904968E8</v>
      </c>
    </row>
    <row r="2029">
      <c r="A2029" s="45" t="s">
        <v>74</v>
      </c>
      <c r="B2029" s="16" t="s">
        <v>259</v>
      </c>
      <c r="C2029" s="17" t="s">
        <v>260</v>
      </c>
      <c r="D2029" s="15">
        <v>3.0</v>
      </c>
      <c r="E2029" s="17" t="s">
        <v>525</v>
      </c>
      <c r="F2029" s="15" t="s">
        <v>502</v>
      </c>
      <c r="G2029" s="46" t="s">
        <v>513</v>
      </c>
      <c r="H2029" s="47" t="s">
        <v>514</v>
      </c>
      <c r="I2029" s="48" t="s">
        <v>60</v>
      </c>
      <c r="J2029" s="49">
        <v>1101486.0</v>
      </c>
    </row>
    <row r="2030">
      <c r="A2030" s="45" t="s">
        <v>74</v>
      </c>
      <c r="B2030" s="16" t="s">
        <v>259</v>
      </c>
      <c r="C2030" s="17" t="s">
        <v>260</v>
      </c>
      <c r="D2030" s="15">
        <v>3.0</v>
      </c>
      <c r="E2030" s="17" t="s">
        <v>548</v>
      </c>
      <c r="F2030" s="15" t="s">
        <v>549</v>
      </c>
      <c r="G2030" s="46" t="s">
        <v>550</v>
      </c>
      <c r="H2030" s="47" t="s">
        <v>551</v>
      </c>
      <c r="I2030" s="48" t="s">
        <v>25</v>
      </c>
      <c r="J2030" s="49">
        <v>8.3697975E7</v>
      </c>
    </row>
    <row r="2031">
      <c r="A2031" s="45" t="s">
        <v>74</v>
      </c>
      <c r="B2031" s="16" t="s">
        <v>66</v>
      </c>
      <c r="C2031" s="17" t="s">
        <v>67</v>
      </c>
      <c r="D2031" s="15">
        <v>3.0</v>
      </c>
      <c r="E2031" s="17" t="s">
        <v>441</v>
      </c>
      <c r="F2031" s="15" t="s">
        <v>442</v>
      </c>
      <c r="G2031" s="46" t="s">
        <v>443</v>
      </c>
      <c r="H2031" s="47" t="s">
        <v>420</v>
      </c>
      <c r="I2031" s="48" t="s">
        <v>19</v>
      </c>
      <c r="J2031" s="49">
        <v>4.8570232E7</v>
      </c>
    </row>
    <row r="2032">
      <c r="A2032" s="45" t="s">
        <v>74</v>
      </c>
      <c r="B2032" s="16" t="s">
        <v>66</v>
      </c>
      <c r="C2032" s="17" t="s">
        <v>67</v>
      </c>
      <c r="D2032" s="15">
        <v>3.0</v>
      </c>
      <c r="E2032" s="17" t="s">
        <v>441</v>
      </c>
      <c r="F2032" s="15" t="s">
        <v>442</v>
      </c>
      <c r="G2032" s="46" t="s">
        <v>444</v>
      </c>
      <c r="H2032" s="47" t="s">
        <v>445</v>
      </c>
      <c r="I2032" s="48" t="s">
        <v>19</v>
      </c>
      <c r="J2032" s="49">
        <v>2.2215884E7</v>
      </c>
    </row>
    <row r="2033">
      <c r="A2033" s="45" t="s">
        <v>74</v>
      </c>
      <c r="B2033" s="16" t="s">
        <v>66</v>
      </c>
      <c r="C2033" s="17" t="s">
        <v>67</v>
      </c>
      <c r="D2033" s="15">
        <v>3.0</v>
      </c>
      <c r="E2033" s="17" t="s">
        <v>441</v>
      </c>
      <c r="F2033" s="15" t="s">
        <v>442</v>
      </c>
      <c r="G2033" s="46" t="s">
        <v>579</v>
      </c>
      <c r="H2033" s="47" t="s">
        <v>580</v>
      </c>
      <c r="I2033" s="48" t="s">
        <v>19</v>
      </c>
      <c r="J2033" s="49">
        <v>5402861.0</v>
      </c>
    </row>
    <row r="2034">
      <c r="A2034" s="45" t="s">
        <v>74</v>
      </c>
      <c r="B2034" s="16" t="s">
        <v>66</v>
      </c>
      <c r="C2034" s="17" t="s">
        <v>67</v>
      </c>
      <c r="D2034" s="15">
        <v>3.0</v>
      </c>
      <c r="E2034" s="17" t="s">
        <v>441</v>
      </c>
      <c r="F2034" s="15" t="s">
        <v>442</v>
      </c>
      <c r="G2034" s="46" t="s">
        <v>446</v>
      </c>
      <c r="H2034" s="47" t="s">
        <v>447</v>
      </c>
      <c r="I2034" s="48" t="s">
        <v>19</v>
      </c>
      <c r="J2034" s="49">
        <v>539392.0</v>
      </c>
    </row>
    <row r="2035">
      <c r="A2035" s="45" t="s">
        <v>74</v>
      </c>
      <c r="B2035" s="16" t="s">
        <v>66</v>
      </c>
      <c r="C2035" s="17" t="s">
        <v>67</v>
      </c>
      <c r="D2035" s="15">
        <v>3.0</v>
      </c>
      <c r="E2035" s="17" t="s">
        <v>441</v>
      </c>
      <c r="F2035" s="15" t="s">
        <v>442</v>
      </c>
      <c r="G2035" s="46" t="s">
        <v>448</v>
      </c>
      <c r="H2035" s="47" t="s">
        <v>449</v>
      </c>
      <c r="I2035" s="48" t="s">
        <v>19</v>
      </c>
      <c r="J2035" s="49">
        <v>1394788.0</v>
      </c>
    </row>
    <row r="2036">
      <c r="A2036" s="45" t="s">
        <v>74</v>
      </c>
      <c r="B2036" s="16" t="s">
        <v>66</v>
      </c>
      <c r="C2036" s="17" t="s">
        <v>67</v>
      </c>
      <c r="D2036" s="15">
        <v>3.0</v>
      </c>
      <c r="E2036" s="17" t="s">
        <v>441</v>
      </c>
      <c r="F2036" s="15" t="s">
        <v>442</v>
      </c>
      <c r="G2036" s="46" t="s">
        <v>450</v>
      </c>
      <c r="H2036" s="47" t="s">
        <v>451</v>
      </c>
      <c r="I2036" s="48" t="s">
        <v>19</v>
      </c>
      <c r="J2036" s="49">
        <v>0.0</v>
      </c>
    </row>
    <row r="2037">
      <c r="A2037" s="45" t="s">
        <v>74</v>
      </c>
      <c r="B2037" s="16" t="s">
        <v>66</v>
      </c>
      <c r="C2037" s="17" t="s">
        <v>67</v>
      </c>
      <c r="D2037" s="15">
        <v>3.0</v>
      </c>
      <c r="E2037" s="17" t="s">
        <v>441</v>
      </c>
      <c r="F2037" s="15" t="s">
        <v>442</v>
      </c>
      <c r="G2037" s="46" t="s">
        <v>452</v>
      </c>
      <c r="H2037" s="47" t="s">
        <v>453</v>
      </c>
      <c r="I2037" s="48" t="s">
        <v>19</v>
      </c>
      <c r="J2037" s="49">
        <v>1085814.0</v>
      </c>
    </row>
    <row r="2038">
      <c r="A2038" s="45" t="s">
        <v>74</v>
      </c>
      <c r="B2038" s="16" t="s">
        <v>66</v>
      </c>
      <c r="C2038" s="17" t="s">
        <v>67</v>
      </c>
      <c r="D2038" s="15">
        <v>3.0</v>
      </c>
      <c r="E2038" s="17" t="s">
        <v>441</v>
      </c>
      <c r="F2038" s="15" t="s">
        <v>442</v>
      </c>
      <c r="G2038" s="46" t="s">
        <v>454</v>
      </c>
      <c r="H2038" s="47" t="s">
        <v>415</v>
      </c>
      <c r="I2038" s="48" t="s">
        <v>19</v>
      </c>
      <c r="J2038" s="49">
        <v>158470.0</v>
      </c>
    </row>
    <row r="2039">
      <c r="A2039" s="45" t="s">
        <v>74</v>
      </c>
      <c r="B2039" s="16" t="s">
        <v>66</v>
      </c>
      <c r="C2039" s="17" t="s">
        <v>67</v>
      </c>
      <c r="D2039" s="15">
        <v>3.0</v>
      </c>
      <c r="E2039" s="17" t="s">
        <v>441</v>
      </c>
      <c r="F2039" s="15" t="s">
        <v>442</v>
      </c>
      <c r="G2039" s="46" t="s">
        <v>455</v>
      </c>
      <c r="H2039" s="47" t="s">
        <v>415</v>
      </c>
      <c r="I2039" s="48" t="s">
        <v>19</v>
      </c>
      <c r="J2039" s="49">
        <v>88039.0</v>
      </c>
    </row>
    <row r="2040">
      <c r="A2040" s="45" t="s">
        <v>74</v>
      </c>
      <c r="B2040" s="16" t="s">
        <v>66</v>
      </c>
      <c r="C2040" s="17" t="s">
        <v>67</v>
      </c>
      <c r="D2040" s="15">
        <v>3.0</v>
      </c>
      <c r="E2040" s="17" t="s">
        <v>441</v>
      </c>
      <c r="F2040" s="15" t="s">
        <v>442</v>
      </c>
      <c r="G2040" s="46" t="s">
        <v>480</v>
      </c>
      <c r="H2040" s="47" t="s">
        <v>481</v>
      </c>
      <c r="I2040" s="48" t="s">
        <v>19</v>
      </c>
      <c r="J2040" s="49">
        <v>1807448.0</v>
      </c>
    </row>
    <row r="2041">
      <c r="A2041" s="45" t="s">
        <v>74</v>
      </c>
      <c r="B2041" s="16" t="s">
        <v>66</v>
      </c>
      <c r="C2041" s="17" t="s">
        <v>67</v>
      </c>
      <c r="D2041" s="15">
        <v>3.0</v>
      </c>
      <c r="E2041" s="17" t="s">
        <v>456</v>
      </c>
      <c r="F2041" s="15" t="s">
        <v>457</v>
      </c>
      <c r="G2041" s="46" t="s">
        <v>515</v>
      </c>
      <c r="H2041" s="47" t="s">
        <v>413</v>
      </c>
      <c r="I2041" s="48" t="s">
        <v>19</v>
      </c>
      <c r="J2041" s="49">
        <v>8364000.0</v>
      </c>
    </row>
    <row r="2042">
      <c r="A2042" s="45" t="s">
        <v>74</v>
      </c>
      <c r="B2042" s="16" t="s">
        <v>66</v>
      </c>
      <c r="C2042" s="17" t="s">
        <v>67</v>
      </c>
      <c r="D2042" s="15">
        <v>3.0</v>
      </c>
      <c r="E2042" s="17" t="s">
        <v>456</v>
      </c>
      <c r="F2042" s="15" t="s">
        <v>457</v>
      </c>
      <c r="G2042" s="46" t="s">
        <v>579</v>
      </c>
      <c r="H2042" s="47" t="s">
        <v>580</v>
      </c>
      <c r="I2042" s="48" t="s">
        <v>19</v>
      </c>
      <c r="J2042" s="49">
        <v>836400.0</v>
      </c>
    </row>
    <row r="2043">
      <c r="A2043" s="45" t="s">
        <v>74</v>
      </c>
      <c r="B2043" s="16" t="s">
        <v>66</v>
      </c>
      <c r="C2043" s="17" t="s">
        <v>67</v>
      </c>
      <c r="D2043" s="15">
        <v>3.0</v>
      </c>
      <c r="E2043" s="17" t="s">
        <v>456</v>
      </c>
      <c r="F2043" s="15" t="s">
        <v>457</v>
      </c>
      <c r="G2043" s="46" t="s">
        <v>458</v>
      </c>
      <c r="H2043" s="47" t="s">
        <v>411</v>
      </c>
      <c r="I2043" s="48" t="s">
        <v>19</v>
      </c>
      <c r="J2043" s="49">
        <v>2.9376995E8</v>
      </c>
    </row>
    <row r="2044">
      <c r="A2044" s="45" t="s">
        <v>74</v>
      </c>
      <c r="B2044" s="16" t="s">
        <v>66</v>
      </c>
      <c r="C2044" s="17" t="s">
        <v>67</v>
      </c>
      <c r="D2044" s="15">
        <v>3.0</v>
      </c>
      <c r="E2044" s="17" t="s">
        <v>456</v>
      </c>
      <c r="F2044" s="15" t="s">
        <v>457</v>
      </c>
      <c r="G2044" s="46" t="s">
        <v>532</v>
      </c>
      <c r="H2044" s="47" t="s">
        <v>412</v>
      </c>
      <c r="I2044" s="48" t="s">
        <v>19</v>
      </c>
      <c r="J2044" s="49">
        <v>5292537.0</v>
      </c>
    </row>
    <row r="2045">
      <c r="A2045" s="45" t="s">
        <v>74</v>
      </c>
      <c r="B2045" s="16" t="s">
        <v>66</v>
      </c>
      <c r="C2045" s="17" t="s">
        <v>67</v>
      </c>
      <c r="D2045" s="15">
        <v>3.0</v>
      </c>
      <c r="E2045" s="17" t="s">
        <v>482</v>
      </c>
      <c r="F2045" s="15" t="s">
        <v>483</v>
      </c>
      <c r="G2045" s="46" t="s">
        <v>520</v>
      </c>
      <c r="H2045" s="47" t="s">
        <v>435</v>
      </c>
      <c r="I2045" s="48" t="s">
        <v>37</v>
      </c>
      <c r="J2045" s="49">
        <v>310000.0</v>
      </c>
    </row>
    <row r="2046">
      <c r="A2046" s="45" t="s">
        <v>74</v>
      </c>
      <c r="B2046" s="16" t="s">
        <v>66</v>
      </c>
      <c r="C2046" s="17" t="s">
        <v>67</v>
      </c>
      <c r="D2046" s="15">
        <v>3.0</v>
      </c>
      <c r="E2046" s="17" t="s">
        <v>482</v>
      </c>
      <c r="F2046" s="15" t="s">
        <v>483</v>
      </c>
      <c r="G2046" s="46" t="s">
        <v>543</v>
      </c>
      <c r="H2046" s="47" t="s">
        <v>430</v>
      </c>
      <c r="I2046" s="48" t="s">
        <v>37</v>
      </c>
      <c r="J2046" s="49">
        <v>132500.0</v>
      </c>
    </row>
    <row r="2047">
      <c r="A2047" s="45" t="s">
        <v>74</v>
      </c>
      <c r="B2047" s="16" t="s">
        <v>66</v>
      </c>
      <c r="C2047" s="17" t="s">
        <v>67</v>
      </c>
      <c r="D2047" s="15">
        <v>3.0</v>
      </c>
      <c r="E2047" s="17" t="s">
        <v>482</v>
      </c>
      <c r="F2047" s="15" t="s">
        <v>483</v>
      </c>
      <c r="G2047" s="46" t="s">
        <v>519</v>
      </c>
      <c r="H2047" s="47" t="s">
        <v>414</v>
      </c>
      <c r="I2047" s="48" t="s">
        <v>37</v>
      </c>
      <c r="J2047" s="49">
        <v>106000.0</v>
      </c>
    </row>
    <row r="2048">
      <c r="A2048" s="45" t="s">
        <v>74</v>
      </c>
      <c r="B2048" s="16" t="s">
        <v>66</v>
      </c>
      <c r="C2048" s="17" t="s">
        <v>67</v>
      </c>
      <c r="D2048" s="15">
        <v>3.0</v>
      </c>
      <c r="E2048" s="17" t="s">
        <v>482</v>
      </c>
      <c r="F2048" s="15" t="s">
        <v>483</v>
      </c>
      <c r="G2048" s="46" t="s">
        <v>458</v>
      </c>
      <c r="H2048" s="47" t="s">
        <v>411</v>
      </c>
      <c r="I2048" s="48" t="s">
        <v>19</v>
      </c>
      <c r="J2048" s="49">
        <v>6917743.0</v>
      </c>
    </row>
    <row r="2049">
      <c r="A2049" s="45" t="s">
        <v>74</v>
      </c>
      <c r="B2049" s="16" t="s">
        <v>66</v>
      </c>
      <c r="C2049" s="17" t="s">
        <v>67</v>
      </c>
      <c r="D2049" s="15">
        <v>3.0</v>
      </c>
      <c r="E2049" s="17" t="s">
        <v>459</v>
      </c>
      <c r="F2049" s="15" t="s">
        <v>460</v>
      </c>
      <c r="G2049" s="46" t="s">
        <v>458</v>
      </c>
      <c r="H2049" s="47" t="s">
        <v>411</v>
      </c>
      <c r="I2049" s="48" t="s">
        <v>19</v>
      </c>
      <c r="J2049" s="49">
        <v>1.8220405E7</v>
      </c>
    </row>
    <row r="2050">
      <c r="A2050" s="45" t="s">
        <v>74</v>
      </c>
      <c r="B2050" s="16" t="s">
        <v>66</v>
      </c>
      <c r="C2050" s="17" t="s">
        <v>67</v>
      </c>
      <c r="D2050" s="15">
        <v>3.0</v>
      </c>
      <c r="E2050" s="17" t="s">
        <v>463</v>
      </c>
      <c r="F2050" s="15" t="s">
        <v>464</v>
      </c>
      <c r="G2050" s="46" t="s">
        <v>458</v>
      </c>
      <c r="H2050" s="47" t="s">
        <v>411</v>
      </c>
      <c r="I2050" s="48" t="s">
        <v>19</v>
      </c>
      <c r="J2050" s="49">
        <v>1.3835486E7</v>
      </c>
    </row>
    <row r="2051">
      <c r="A2051" s="45" t="s">
        <v>74</v>
      </c>
      <c r="B2051" s="16" t="s">
        <v>66</v>
      </c>
      <c r="C2051" s="17" t="s">
        <v>67</v>
      </c>
      <c r="D2051" s="15">
        <v>3.0</v>
      </c>
      <c r="E2051" s="17" t="s">
        <v>487</v>
      </c>
      <c r="F2051" s="15" t="s">
        <v>488</v>
      </c>
      <c r="G2051" s="46" t="s">
        <v>458</v>
      </c>
      <c r="H2051" s="47" t="s">
        <v>411</v>
      </c>
      <c r="I2051" s="48" t="s">
        <v>19</v>
      </c>
      <c r="J2051" s="49">
        <v>4.7350779E7</v>
      </c>
    </row>
    <row r="2052">
      <c r="A2052" s="45" t="s">
        <v>74</v>
      </c>
      <c r="B2052" s="16" t="s">
        <v>66</v>
      </c>
      <c r="C2052" s="17" t="s">
        <v>67</v>
      </c>
      <c r="D2052" s="15">
        <v>3.0</v>
      </c>
      <c r="E2052" s="17" t="s">
        <v>469</v>
      </c>
      <c r="F2052" s="15" t="s">
        <v>470</v>
      </c>
      <c r="G2052" s="46" t="s">
        <v>519</v>
      </c>
      <c r="H2052" s="47" t="s">
        <v>414</v>
      </c>
      <c r="I2052" s="48" t="s">
        <v>37</v>
      </c>
      <c r="J2052" s="49">
        <v>1.3038E7</v>
      </c>
    </row>
    <row r="2053">
      <c r="A2053" s="45" t="s">
        <v>74</v>
      </c>
      <c r="B2053" s="16" t="s">
        <v>66</v>
      </c>
      <c r="C2053" s="17" t="s">
        <v>67</v>
      </c>
      <c r="D2053" s="15">
        <v>3.0</v>
      </c>
      <c r="E2053" s="17" t="s">
        <v>473</v>
      </c>
      <c r="F2053" s="15" t="s">
        <v>474</v>
      </c>
      <c r="G2053" s="46" t="s">
        <v>523</v>
      </c>
      <c r="H2053" s="47" t="s">
        <v>431</v>
      </c>
      <c r="I2053" s="48" t="s">
        <v>17</v>
      </c>
      <c r="J2053" s="49">
        <v>1.97510627E8</v>
      </c>
    </row>
    <row r="2054">
      <c r="A2054" s="45" t="s">
        <v>74</v>
      </c>
      <c r="B2054" s="16" t="s">
        <v>66</v>
      </c>
      <c r="C2054" s="17" t="s">
        <v>67</v>
      </c>
      <c r="D2054" s="15">
        <v>3.0</v>
      </c>
      <c r="E2054" s="17" t="s">
        <v>473</v>
      </c>
      <c r="F2054" s="15" t="s">
        <v>474</v>
      </c>
      <c r="G2054" s="46" t="s">
        <v>523</v>
      </c>
      <c r="H2054" s="47" t="s">
        <v>431</v>
      </c>
      <c r="I2054" s="48" t="s">
        <v>25</v>
      </c>
      <c r="J2054" s="49">
        <v>7076187.0</v>
      </c>
    </row>
    <row r="2055">
      <c r="A2055" s="45" t="s">
        <v>74</v>
      </c>
      <c r="B2055" s="16" t="s">
        <v>66</v>
      </c>
      <c r="C2055" s="17" t="s">
        <v>67</v>
      </c>
      <c r="D2055" s="15">
        <v>3.0</v>
      </c>
      <c r="E2055" s="17" t="s">
        <v>473</v>
      </c>
      <c r="F2055" s="15" t="s">
        <v>474</v>
      </c>
      <c r="G2055" s="46" t="s">
        <v>458</v>
      </c>
      <c r="H2055" s="47" t="s">
        <v>411</v>
      </c>
      <c r="I2055" s="48" t="s">
        <v>19</v>
      </c>
      <c r="J2055" s="49">
        <v>1.86779061E8</v>
      </c>
    </row>
    <row r="2056">
      <c r="A2056" s="45" t="s">
        <v>74</v>
      </c>
      <c r="B2056" s="16" t="s">
        <v>66</v>
      </c>
      <c r="C2056" s="17" t="s">
        <v>67</v>
      </c>
      <c r="D2056" s="15">
        <v>3.0</v>
      </c>
      <c r="E2056" s="17" t="s">
        <v>491</v>
      </c>
      <c r="F2056" s="15" t="s">
        <v>492</v>
      </c>
      <c r="G2056" s="46" t="s">
        <v>545</v>
      </c>
      <c r="H2056" s="47" t="s">
        <v>427</v>
      </c>
      <c r="I2056" s="48" t="s">
        <v>37</v>
      </c>
      <c r="J2056" s="49">
        <v>7.474879E7</v>
      </c>
    </row>
    <row r="2057">
      <c r="A2057" s="45" t="s">
        <v>74</v>
      </c>
      <c r="B2057" s="16" t="s">
        <v>66</v>
      </c>
      <c r="C2057" s="17" t="s">
        <v>67</v>
      </c>
      <c r="D2057" s="15">
        <v>3.0</v>
      </c>
      <c r="E2057" s="17" t="s">
        <v>491</v>
      </c>
      <c r="F2057" s="15" t="s">
        <v>492</v>
      </c>
      <c r="G2057" s="46" t="s">
        <v>519</v>
      </c>
      <c r="H2057" s="47" t="s">
        <v>414</v>
      </c>
      <c r="I2057" s="48" t="s">
        <v>37</v>
      </c>
      <c r="J2057" s="49">
        <v>1272000.0</v>
      </c>
    </row>
    <row r="2058">
      <c r="A2058" s="45" t="s">
        <v>74</v>
      </c>
      <c r="B2058" s="16" t="s">
        <v>66</v>
      </c>
      <c r="C2058" s="17" t="s">
        <v>67</v>
      </c>
      <c r="D2058" s="15">
        <v>3.0</v>
      </c>
      <c r="E2058" s="17" t="s">
        <v>491</v>
      </c>
      <c r="F2058" s="15" t="s">
        <v>492</v>
      </c>
      <c r="G2058" s="46" t="s">
        <v>521</v>
      </c>
      <c r="H2058" s="47" t="s">
        <v>522</v>
      </c>
      <c r="I2058" s="48" t="s">
        <v>37</v>
      </c>
      <c r="J2058" s="49">
        <v>4136581.0</v>
      </c>
    </row>
    <row r="2059">
      <c r="A2059" s="45" t="s">
        <v>74</v>
      </c>
      <c r="B2059" s="16" t="s">
        <v>66</v>
      </c>
      <c r="C2059" s="17" t="s">
        <v>67</v>
      </c>
      <c r="D2059" s="15">
        <v>3.0</v>
      </c>
      <c r="E2059" s="17" t="s">
        <v>491</v>
      </c>
      <c r="F2059" s="15" t="s">
        <v>492</v>
      </c>
      <c r="G2059" s="46" t="s">
        <v>546</v>
      </c>
      <c r="H2059" s="47" t="s">
        <v>547</v>
      </c>
      <c r="I2059" s="48" t="s">
        <v>17</v>
      </c>
      <c r="J2059" s="49">
        <v>5.499099E7</v>
      </c>
    </row>
    <row r="2060">
      <c r="A2060" s="45" t="s">
        <v>74</v>
      </c>
      <c r="B2060" s="16" t="s">
        <v>66</v>
      </c>
      <c r="C2060" s="17" t="s">
        <v>67</v>
      </c>
      <c r="D2060" s="15">
        <v>3.0</v>
      </c>
      <c r="E2060" s="17" t="s">
        <v>491</v>
      </c>
      <c r="F2060" s="15" t="s">
        <v>492</v>
      </c>
      <c r="G2060" s="46" t="s">
        <v>493</v>
      </c>
      <c r="H2060" s="47" t="s">
        <v>437</v>
      </c>
      <c r="I2060" s="48" t="s">
        <v>25</v>
      </c>
      <c r="J2060" s="49">
        <v>5905888.0</v>
      </c>
    </row>
    <row r="2061">
      <c r="A2061" s="45" t="s">
        <v>74</v>
      </c>
      <c r="B2061" s="16" t="s">
        <v>66</v>
      </c>
      <c r="C2061" s="17" t="s">
        <v>67</v>
      </c>
      <c r="D2061" s="15">
        <v>3.0</v>
      </c>
      <c r="E2061" s="17" t="s">
        <v>491</v>
      </c>
      <c r="F2061" s="15" t="s">
        <v>492</v>
      </c>
      <c r="G2061" s="46" t="s">
        <v>458</v>
      </c>
      <c r="H2061" s="47" t="s">
        <v>411</v>
      </c>
      <c r="I2061" s="48" t="s">
        <v>19</v>
      </c>
      <c r="J2061" s="49">
        <v>5651331.0</v>
      </c>
    </row>
    <row r="2062">
      <c r="A2062" s="45" t="s">
        <v>74</v>
      </c>
      <c r="B2062" s="16" t="s">
        <v>66</v>
      </c>
      <c r="C2062" s="17" t="s">
        <v>67</v>
      </c>
      <c r="D2062" s="15">
        <v>3.0</v>
      </c>
      <c r="E2062" s="17" t="s">
        <v>494</v>
      </c>
      <c r="F2062" s="15" t="s">
        <v>495</v>
      </c>
      <c r="G2062" s="46" t="s">
        <v>477</v>
      </c>
      <c r="H2062" s="47" t="s">
        <v>429</v>
      </c>
      <c r="I2062" s="48" t="s">
        <v>50</v>
      </c>
      <c r="J2062" s="49">
        <v>1.6292588E7</v>
      </c>
    </row>
    <row r="2063">
      <c r="A2063" s="45" t="s">
        <v>74</v>
      </c>
      <c r="B2063" s="16" t="s">
        <v>66</v>
      </c>
      <c r="C2063" s="17" t="s">
        <v>67</v>
      </c>
      <c r="D2063" s="15">
        <v>3.0</v>
      </c>
      <c r="E2063" s="17" t="s">
        <v>475</v>
      </c>
      <c r="F2063" s="15" t="s">
        <v>476</v>
      </c>
      <c r="G2063" s="46" t="s">
        <v>477</v>
      </c>
      <c r="H2063" s="47" t="s">
        <v>429</v>
      </c>
      <c r="I2063" s="48" t="s">
        <v>50</v>
      </c>
      <c r="J2063" s="49">
        <v>3.9222745E7</v>
      </c>
    </row>
    <row r="2064">
      <c r="A2064" s="45" t="s">
        <v>74</v>
      </c>
      <c r="B2064" s="16" t="s">
        <v>66</v>
      </c>
      <c r="C2064" s="17" t="s">
        <v>67</v>
      </c>
      <c r="D2064" s="15">
        <v>3.0</v>
      </c>
      <c r="E2064" s="17" t="s">
        <v>524</v>
      </c>
      <c r="F2064" s="15" t="s">
        <v>479</v>
      </c>
      <c r="G2064" s="46" t="s">
        <v>443</v>
      </c>
      <c r="H2064" s="47" t="s">
        <v>420</v>
      </c>
      <c r="I2064" s="48" t="s">
        <v>19</v>
      </c>
      <c r="J2064" s="49">
        <v>9.7004031E7</v>
      </c>
    </row>
    <row r="2065">
      <c r="A2065" s="45" t="s">
        <v>74</v>
      </c>
      <c r="B2065" s="16" t="s">
        <v>66</v>
      </c>
      <c r="C2065" s="17" t="s">
        <v>67</v>
      </c>
      <c r="D2065" s="15">
        <v>3.0</v>
      </c>
      <c r="E2065" s="17" t="s">
        <v>524</v>
      </c>
      <c r="F2065" s="15" t="s">
        <v>479</v>
      </c>
      <c r="G2065" s="46" t="s">
        <v>444</v>
      </c>
      <c r="H2065" s="47" t="s">
        <v>445</v>
      </c>
      <c r="I2065" s="48" t="s">
        <v>19</v>
      </c>
      <c r="J2065" s="49">
        <v>2.4523931E7</v>
      </c>
    </row>
    <row r="2066">
      <c r="A2066" s="45" t="s">
        <v>74</v>
      </c>
      <c r="B2066" s="16" t="s">
        <v>66</v>
      </c>
      <c r="C2066" s="17" t="s">
        <v>67</v>
      </c>
      <c r="D2066" s="15">
        <v>3.0</v>
      </c>
      <c r="E2066" s="17" t="s">
        <v>524</v>
      </c>
      <c r="F2066" s="15" t="s">
        <v>479</v>
      </c>
      <c r="G2066" s="46" t="s">
        <v>579</v>
      </c>
      <c r="H2066" s="47" t="s">
        <v>580</v>
      </c>
      <c r="I2066" s="48" t="s">
        <v>19</v>
      </c>
      <c r="J2066" s="49">
        <v>1.0253839E7</v>
      </c>
    </row>
    <row r="2067">
      <c r="A2067" s="45" t="s">
        <v>74</v>
      </c>
      <c r="B2067" s="16" t="s">
        <v>66</v>
      </c>
      <c r="C2067" s="17" t="s">
        <v>67</v>
      </c>
      <c r="D2067" s="15">
        <v>3.0</v>
      </c>
      <c r="E2067" s="17" t="s">
        <v>524</v>
      </c>
      <c r="F2067" s="15" t="s">
        <v>479</v>
      </c>
      <c r="G2067" s="46" t="s">
        <v>446</v>
      </c>
      <c r="H2067" s="47" t="s">
        <v>447</v>
      </c>
      <c r="I2067" s="48" t="s">
        <v>19</v>
      </c>
      <c r="J2067" s="49">
        <v>1182220.0</v>
      </c>
    </row>
    <row r="2068">
      <c r="A2068" s="45" t="s">
        <v>74</v>
      </c>
      <c r="B2068" s="16" t="s">
        <v>66</v>
      </c>
      <c r="C2068" s="17" t="s">
        <v>67</v>
      </c>
      <c r="D2068" s="15">
        <v>3.0</v>
      </c>
      <c r="E2068" s="17" t="s">
        <v>524</v>
      </c>
      <c r="F2068" s="15" t="s">
        <v>479</v>
      </c>
      <c r="G2068" s="46" t="s">
        <v>448</v>
      </c>
      <c r="H2068" s="47" t="s">
        <v>449</v>
      </c>
      <c r="I2068" s="48" t="s">
        <v>19</v>
      </c>
      <c r="J2068" s="49">
        <v>2956875.0</v>
      </c>
    </row>
    <row r="2069">
      <c r="A2069" s="45" t="s">
        <v>74</v>
      </c>
      <c r="B2069" s="16" t="s">
        <v>66</v>
      </c>
      <c r="C2069" s="17" t="s">
        <v>67</v>
      </c>
      <c r="D2069" s="15">
        <v>3.0</v>
      </c>
      <c r="E2069" s="17" t="s">
        <v>524</v>
      </c>
      <c r="F2069" s="15" t="s">
        <v>479</v>
      </c>
      <c r="G2069" s="46" t="s">
        <v>450</v>
      </c>
      <c r="H2069" s="47" t="s">
        <v>451</v>
      </c>
      <c r="I2069" s="48" t="s">
        <v>19</v>
      </c>
      <c r="J2069" s="49">
        <v>0.0</v>
      </c>
    </row>
    <row r="2070">
      <c r="A2070" s="45" t="s">
        <v>74</v>
      </c>
      <c r="B2070" s="16" t="s">
        <v>66</v>
      </c>
      <c r="C2070" s="17" t="s">
        <v>67</v>
      </c>
      <c r="D2070" s="15">
        <v>3.0</v>
      </c>
      <c r="E2070" s="17" t="s">
        <v>524</v>
      </c>
      <c r="F2070" s="15" t="s">
        <v>479</v>
      </c>
      <c r="G2070" s="46" t="s">
        <v>452</v>
      </c>
      <c r="H2070" s="47" t="s">
        <v>453</v>
      </c>
      <c r="I2070" s="48" t="s">
        <v>19</v>
      </c>
      <c r="J2070" s="49">
        <v>2187106.0</v>
      </c>
    </row>
    <row r="2071">
      <c r="A2071" s="45" t="s">
        <v>74</v>
      </c>
      <c r="B2071" s="16" t="s">
        <v>66</v>
      </c>
      <c r="C2071" s="17" t="s">
        <v>67</v>
      </c>
      <c r="D2071" s="15">
        <v>3.0</v>
      </c>
      <c r="E2071" s="17" t="s">
        <v>524</v>
      </c>
      <c r="F2071" s="15" t="s">
        <v>479</v>
      </c>
      <c r="G2071" s="46" t="s">
        <v>454</v>
      </c>
      <c r="H2071" s="47" t="s">
        <v>415</v>
      </c>
      <c r="I2071" s="48" t="s">
        <v>19</v>
      </c>
      <c r="J2071" s="49">
        <v>319199.0</v>
      </c>
    </row>
    <row r="2072">
      <c r="A2072" s="45" t="s">
        <v>74</v>
      </c>
      <c r="B2072" s="16" t="s">
        <v>66</v>
      </c>
      <c r="C2072" s="17" t="s">
        <v>67</v>
      </c>
      <c r="D2072" s="15">
        <v>3.0</v>
      </c>
      <c r="E2072" s="17" t="s">
        <v>524</v>
      </c>
      <c r="F2072" s="15" t="s">
        <v>479</v>
      </c>
      <c r="G2072" s="46" t="s">
        <v>455</v>
      </c>
      <c r="H2072" s="47" t="s">
        <v>415</v>
      </c>
      <c r="I2072" s="48" t="s">
        <v>19</v>
      </c>
      <c r="J2072" s="49">
        <v>177333.0</v>
      </c>
    </row>
    <row r="2073">
      <c r="A2073" s="45" t="s">
        <v>74</v>
      </c>
      <c r="B2073" s="16" t="s">
        <v>66</v>
      </c>
      <c r="C2073" s="17" t="s">
        <v>67</v>
      </c>
      <c r="D2073" s="15">
        <v>3.0</v>
      </c>
      <c r="E2073" s="17" t="s">
        <v>524</v>
      </c>
      <c r="F2073" s="15" t="s">
        <v>479</v>
      </c>
      <c r="G2073" s="46" t="s">
        <v>565</v>
      </c>
      <c r="H2073" s="47" t="s">
        <v>566</v>
      </c>
      <c r="I2073" s="48" t="s">
        <v>25</v>
      </c>
      <c r="J2073" s="49">
        <v>8425000.0</v>
      </c>
    </row>
    <row r="2074">
      <c r="A2074" s="45" t="s">
        <v>74</v>
      </c>
      <c r="B2074" s="16" t="s">
        <v>66</v>
      </c>
      <c r="C2074" s="17" t="s">
        <v>67</v>
      </c>
      <c r="D2074" s="15">
        <v>3.0</v>
      </c>
      <c r="E2074" s="17" t="s">
        <v>524</v>
      </c>
      <c r="F2074" s="15" t="s">
        <v>479</v>
      </c>
      <c r="G2074" s="46" t="s">
        <v>480</v>
      </c>
      <c r="H2074" s="47" t="s">
        <v>481</v>
      </c>
      <c r="I2074" s="48" t="s">
        <v>19</v>
      </c>
      <c r="J2074" s="49">
        <v>1772332.0</v>
      </c>
    </row>
    <row r="2075">
      <c r="A2075" s="45" t="s">
        <v>74</v>
      </c>
      <c r="B2075" s="16" t="s">
        <v>66</v>
      </c>
      <c r="C2075" s="17" t="s">
        <v>67</v>
      </c>
      <c r="D2075" s="15">
        <v>3.0</v>
      </c>
      <c r="E2075" s="17" t="s">
        <v>525</v>
      </c>
      <c r="F2075" s="15" t="s">
        <v>502</v>
      </c>
      <c r="G2075" s="46" t="s">
        <v>526</v>
      </c>
      <c r="H2075" s="47" t="s">
        <v>527</v>
      </c>
      <c r="I2075" s="48" t="s">
        <v>60</v>
      </c>
      <c r="J2075" s="49">
        <v>3.52609077E8</v>
      </c>
    </row>
    <row r="2076">
      <c r="A2076" s="45" t="s">
        <v>74</v>
      </c>
      <c r="B2076" s="16" t="s">
        <v>66</v>
      </c>
      <c r="C2076" s="17" t="s">
        <v>67</v>
      </c>
      <c r="D2076" s="15">
        <v>3.0</v>
      </c>
      <c r="E2076" s="17" t="s">
        <v>525</v>
      </c>
      <c r="F2076" s="15" t="s">
        <v>502</v>
      </c>
      <c r="G2076" s="46" t="s">
        <v>505</v>
      </c>
      <c r="H2076" s="47" t="s">
        <v>506</v>
      </c>
      <c r="I2076" s="48" t="s">
        <v>60</v>
      </c>
      <c r="J2076" s="49">
        <v>2.9982744E7</v>
      </c>
    </row>
    <row r="2077">
      <c r="A2077" s="45" t="s">
        <v>74</v>
      </c>
      <c r="B2077" s="16" t="s">
        <v>66</v>
      </c>
      <c r="C2077" s="17" t="s">
        <v>67</v>
      </c>
      <c r="D2077" s="15">
        <v>3.0</v>
      </c>
      <c r="E2077" s="17" t="s">
        <v>525</v>
      </c>
      <c r="F2077" s="15" t="s">
        <v>502</v>
      </c>
      <c r="G2077" s="46" t="s">
        <v>507</v>
      </c>
      <c r="H2077" s="47" t="s">
        <v>508</v>
      </c>
      <c r="I2077" s="48" t="s">
        <v>60</v>
      </c>
      <c r="J2077" s="49">
        <v>4727141.0</v>
      </c>
    </row>
    <row r="2078">
      <c r="A2078" s="45" t="s">
        <v>74</v>
      </c>
      <c r="B2078" s="16" t="s">
        <v>66</v>
      </c>
      <c r="C2078" s="17" t="s">
        <v>67</v>
      </c>
      <c r="D2078" s="15">
        <v>3.0</v>
      </c>
      <c r="E2078" s="17" t="s">
        <v>525</v>
      </c>
      <c r="F2078" s="15" t="s">
        <v>502</v>
      </c>
      <c r="G2078" s="46" t="s">
        <v>509</v>
      </c>
      <c r="H2078" s="47" t="s">
        <v>510</v>
      </c>
      <c r="I2078" s="48" t="s">
        <v>60</v>
      </c>
      <c r="J2078" s="49">
        <v>133333.0</v>
      </c>
    </row>
    <row r="2079">
      <c r="A2079" s="45" t="s">
        <v>74</v>
      </c>
      <c r="B2079" s="16" t="s">
        <v>66</v>
      </c>
      <c r="C2079" s="17" t="s">
        <v>67</v>
      </c>
      <c r="D2079" s="15">
        <v>3.0</v>
      </c>
      <c r="E2079" s="17" t="s">
        <v>525</v>
      </c>
      <c r="F2079" s="15" t="s">
        <v>502</v>
      </c>
      <c r="G2079" s="46" t="s">
        <v>511</v>
      </c>
      <c r="H2079" s="47" t="s">
        <v>512</v>
      </c>
      <c r="I2079" s="48" t="s">
        <v>60</v>
      </c>
      <c r="J2079" s="49">
        <v>6.8771706E7</v>
      </c>
    </row>
    <row r="2080">
      <c r="A2080" s="45" t="s">
        <v>74</v>
      </c>
      <c r="B2080" s="16" t="s">
        <v>66</v>
      </c>
      <c r="C2080" s="17" t="s">
        <v>67</v>
      </c>
      <c r="D2080" s="15">
        <v>3.0</v>
      </c>
      <c r="E2080" s="17" t="s">
        <v>525</v>
      </c>
      <c r="F2080" s="15" t="s">
        <v>502</v>
      </c>
      <c r="G2080" s="46" t="s">
        <v>513</v>
      </c>
      <c r="H2080" s="47" t="s">
        <v>514</v>
      </c>
      <c r="I2080" s="48" t="s">
        <v>60</v>
      </c>
      <c r="J2080" s="49">
        <v>6.006511E7</v>
      </c>
    </row>
    <row r="2081">
      <c r="A2081" s="45" t="s">
        <v>74</v>
      </c>
      <c r="B2081" s="16" t="s">
        <v>66</v>
      </c>
      <c r="C2081" s="17" t="s">
        <v>67</v>
      </c>
      <c r="D2081" s="15">
        <v>3.0</v>
      </c>
      <c r="E2081" s="17" t="s">
        <v>548</v>
      </c>
      <c r="F2081" s="15" t="s">
        <v>549</v>
      </c>
      <c r="G2081" s="46" t="s">
        <v>550</v>
      </c>
      <c r="H2081" s="47" t="s">
        <v>551</v>
      </c>
      <c r="I2081" s="48" t="s">
        <v>25</v>
      </c>
      <c r="J2081" s="49">
        <v>3.3678125E8</v>
      </c>
    </row>
    <row r="2082">
      <c r="A2082" s="45" t="s">
        <v>11</v>
      </c>
      <c r="B2082" s="16" t="s">
        <v>12</v>
      </c>
      <c r="C2082" s="17" t="s">
        <v>13</v>
      </c>
      <c r="D2082" s="15">
        <v>4.0</v>
      </c>
      <c r="E2082" s="17" t="s">
        <v>441</v>
      </c>
      <c r="F2082" s="15" t="s">
        <v>442</v>
      </c>
      <c r="G2082" s="46" t="s">
        <v>443</v>
      </c>
      <c r="H2082" s="47" t="s">
        <v>420</v>
      </c>
      <c r="I2082" s="48" t="s">
        <v>19</v>
      </c>
      <c r="J2082" s="49">
        <v>1.0190575E7</v>
      </c>
    </row>
    <row r="2083">
      <c r="A2083" s="45" t="s">
        <v>11</v>
      </c>
      <c r="B2083" s="16" t="s">
        <v>12</v>
      </c>
      <c r="C2083" s="17" t="s">
        <v>13</v>
      </c>
      <c r="D2083" s="15">
        <v>4.0</v>
      </c>
      <c r="E2083" s="17" t="s">
        <v>441</v>
      </c>
      <c r="F2083" s="15" t="s">
        <v>442</v>
      </c>
      <c r="G2083" s="46" t="s">
        <v>444</v>
      </c>
      <c r="H2083" s="47" t="s">
        <v>445</v>
      </c>
      <c r="I2083" s="48" t="s">
        <v>19</v>
      </c>
      <c r="J2083" s="49">
        <v>717855.0</v>
      </c>
    </row>
    <row r="2084">
      <c r="A2084" s="45" t="s">
        <v>11</v>
      </c>
      <c r="B2084" s="16" t="s">
        <v>12</v>
      </c>
      <c r="C2084" s="17" t="s">
        <v>13</v>
      </c>
      <c r="D2084" s="15">
        <v>4.0</v>
      </c>
      <c r="E2084" s="17" t="s">
        <v>441</v>
      </c>
      <c r="F2084" s="15" t="s">
        <v>442</v>
      </c>
      <c r="G2084" s="46" t="s">
        <v>579</v>
      </c>
      <c r="H2084" s="47" t="s">
        <v>580</v>
      </c>
      <c r="I2084" s="48" t="s">
        <v>19</v>
      </c>
      <c r="J2084" s="49">
        <v>1132220.0</v>
      </c>
    </row>
    <row r="2085">
      <c r="A2085" s="45" t="s">
        <v>11</v>
      </c>
      <c r="B2085" s="16" t="s">
        <v>12</v>
      </c>
      <c r="C2085" s="17" t="s">
        <v>13</v>
      </c>
      <c r="D2085" s="15">
        <v>4.0</v>
      </c>
      <c r="E2085" s="17" t="s">
        <v>441</v>
      </c>
      <c r="F2085" s="15" t="s">
        <v>442</v>
      </c>
      <c r="G2085" s="46" t="s">
        <v>446</v>
      </c>
      <c r="H2085" s="47" t="s">
        <v>447</v>
      </c>
      <c r="I2085" s="48" t="s">
        <v>19</v>
      </c>
      <c r="J2085" s="49">
        <v>136530.0</v>
      </c>
    </row>
    <row r="2086">
      <c r="A2086" s="45" t="s">
        <v>11</v>
      </c>
      <c r="B2086" s="16" t="s">
        <v>12</v>
      </c>
      <c r="C2086" s="17" t="s">
        <v>13</v>
      </c>
      <c r="D2086" s="15">
        <v>4.0</v>
      </c>
      <c r="E2086" s="17" t="s">
        <v>441</v>
      </c>
      <c r="F2086" s="15" t="s">
        <v>442</v>
      </c>
      <c r="G2086" s="46" t="s">
        <v>448</v>
      </c>
      <c r="H2086" s="47" t="s">
        <v>449</v>
      </c>
      <c r="I2086" s="48" t="s">
        <v>19</v>
      </c>
      <c r="J2086" s="49">
        <v>525878.0</v>
      </c>
    </row>
    <row r="2087">
      <c r="A2087" s="45" t="s">
        <v>11</v>
      </c>
      <c r="B2087" s="16" t="s">
        <v>12</v>
      </c>
      <c r="C2087" s="17" t="s">
        <v>13</v>
      </c>
      <c r="D2087" s="15">
        <v>4.0</v>
      </c>
      <c r="E2087" s="17" t="s">
        <v>441</v>
      </c>
      <c r="F2087" s="15" t="s">
        <v>442</v>
      </c>
      <c r="G2087" s="46" t="s">
        <v>450</v>
      </c>
      <c r="H2087" s="47" t="s">
        <v>451</v>
      </c>
      <c r="I2087" s="48" t="s">
        <v>19</v>
      </c>
      <c r="J2087" s="49">
        <v>0.0</v>
      </c>
    </row>
    <row r="2088">
      <c r="A2088" s="45" t="s">
        <v>11</v>
      </c>
      <c r="B2088" s="16" t="s">
        <v>12</v>
      </c>
      <c r="C2088" s="17" t="s">
        <v>13</v>
      </c>
      <c r="D2088" s="15">
        <v>4.0</v>
      </c>
      <c r="E2088" s="17" t="s">
        <v>441</v>
      </c>
      <c r="F2088" s="15" t="s">
        <v>442</v>
      </c>
      <c r="G2088" s="46" t="s">
        <v>452</v>
      </c>
      <c r="H2088" s="47" t="s">
        <v>453</v>
      </c>
      <c r="I2088" s="48" t="s">
        <v>19</v>
      </c>
      <c r="J2088" s="49">
        <v>252581.0</v>
      </c>
    </row>
    <row r="2089">
      <c r="A2089" s="45" t="s">
        <v>11</v>
      </c>
      <c r="B2089" s="16" t="s">
        <v>12</v>
      </c>
      <c r="C2089" s="17" t="s">
        <v>13</v>
      </c>
      <c r="D2089" s="15">
        <v>4.0</v>
      </c>
      <c r="E2089" s="17" t="s">
        <v>441</v>
      </c>
      <c r="F2089" s="15" t="s">
        <v>442</v>
      </c>
      <c r="G2089" s="46" t="s">
        <v>454</v>
      </c>
      <c r="H2089" s="47" t="s">
        <v>415</v>
      </c>
      <c r="I2089" s="48" t="s">
        <v>19</v>
      </c>
      <c r="J2089" s="49">
        <v>36863.0</v>
      </c>
    </row>
    <row r="2090">
      <c r="A2090" s="45" t="s">
        <v>11</v>
      </c>
      <c r="B2090" s="16" t="s">
        <v>12</v>
      </c>
      <c r="C2090" s="17" t="s">
        <v>13</v>
      </c>
      <c r="D2090" s="15">
        <v>4.0</v>
      </c>
      <c r="E2090" s="17" t="s">
        <v>441</v>
      </c>
      <c r="F2090" s="15" t="s">
        <v>442</v>
      </c>
      <c r="G2090" s="46" t="s">
        <v>455</v>
      </c>
      <c r="H2090" s="47" t="s">
        <v>415</v>
      </c>
      <c r="I2090" s="48" t="s">
        <v>19</v>
      </c>
      <c r="J2090" s="49">
        <v>20480.0</v>
      </c>
    </row>
    <row r="2091">
      <c r="A2091" s="45" t="s">
        <v>11</v>
      </c>
      <c r="B2091" s="16" t="s">
        <v>12</v>
      </c>
      <c r="C2091" s="17" t="s">
        <v>13</v>
      </c>
      <c r="D2091" s="15">
        <v>4.0</v>
      </c>
      <c r="E2091" s="17" t="s">
        <v>441</v>
      </c>
      <c r="F2091" s="15" t="s">
        <v>442</v>
      </c>
      <c r="G2091" s="46" t="s">
        <v>583</v>
      </c>
      <c r="H2091" s="47" t="s">
        <v>584</v>
      </c>
      <c r="I2091" s="48" t="s">
        <v>25</v>
      </c>
      <c r="J2091" s="49">
        <v>2550000.0</v>
      </c>
    </row>
    <row r="2092">
      <c r="A2092" s="45" t="s">
        <v>11</v>
      </c>
      <c r="B2092" s="16" t="s">
        <v>12</v>
      </c>
      <c r="C2092" s="17" t="s">
        <v>13</v>
      </c>
      <c r="D2092" s="15">
        <v>4.0</v>
      </c>
      <c r="E2092" s="17" t="s">
        <v>456</v>
      </c>
      <c r="F2092" s="15" t="s">
        <v>457</v>
      </c>
      <c r="G2092" s="46" t="s">
        <v>458</v>
      </c>
      <c r="H2092" s="47" t="s">
        <v>411</v>
      </c>
      <c r="I2092" s="48" t="s">
        <v>19</v>
      </c>
      <c r="J2092" s="49">
        <v>6287350.0</v>
      </c>
    </row>
    <row r="2093">
      <c r="A2093" s="45" t="s">
        <v>11</v>
      </c>
      <c r="B2093" s="16" t="s">
        <v>12</v>
      </c>
      <c r="C2093" s="17" t="s">
        <v>13</v>
      </c>
      <c r="D2093" s="15">
        <v>4.0</v>
      </c>
      <c r="E2093" s="17" t="s">
        <v>473</v>
      </c>
      <c r="F2093" s="15" t="s">
        <v>474</v>
      </c>
      <c r="G2093" s="46" t="s">
        <v>443</v>
      </c>
      <c r="H2093" s="47" t="s">
        <v>420</v>
      </c>
      <c r="I2093" s="48" t="s">
        <v>19</v>
      </c>
      <c r="J2093" s="49">
        <v>6975000.0</v>
      </c>
    </row>
    <row r="2094">
      <c r="A2094" s="45" t="s">
        <v>11</v>
      </c>
      <c r="B2094" s="16" t="s">
        <v>12</v>
      </c>
      <c r="C2094" s="17" t="s">
        <v>13</v>
      </c>
      <c r="D2094" s="15">
        <v>4.0</v>
      </c>
      <c r="E2094" s="17" t="s">
        <v>473</v>
      </c>
      <c r="F2094" s="15" t="s">
        <v>474</v>
      </c>
      <c r="G2094" s="46" t="s">
        <v>444</v>
      </c>
      <c r="H2094" s="47" t="s">
        <v>445</v>
      </c>
      <c r="I2094" s="48" t="s">
        <v>19</v>
      </c>
      <c r="J2094" s="49">
        <v>88291.0</v>
      </c>
    </row>
    <row r="2095">
      <c r="A2095" s="45" t="s">
        <v>11</v>
      </c>
      <c r="B2095" s="16" t="s">
        <v>12</v>
      </c>
      <c r="C2095" s="17" t="s">
        <v>13</v>
      </c>
      <c r="D2095" s="15">
        <v>4.0</v>
      </c>
      <c r="E2095" s="17" t="s">
        <v>473</v>
      </c>
      <c r="F2095" s="15" t="s">
        <v>474</v>
      </c>
      <c r="G2095" s="46" t="s">
        <v>579</v>
      </c>
      <c r="H2095" s="47" t="s">
        <v>580</v>
      </c>
      <c r="I2095" s="48" t="s">
        <v>19</v>
      </c>
      <c r="J2095" s="49">
        <v>350000.0</v>
      </c>
    </row>
    <row r="2096">
      <c r="A2096" s="45" t="s">
        <v>11</v>
      </c>
      <c r="B2096" s="16" t="s">
        <v>12</v>
      </c>
      <c r="C2096" s="17" t="s">
        <v>13</v>
      </c>
      <c r="D2096" s="15">
        <v>4.0</v>
      </c>
      <c r="E2096" s="17" t="s">
        <v>473</v>
      </c>
      <c r="F2096" s="15" t="s">
        <v>474</v>
      </c>
      <c r="G2096" s="46" t="s">
        <v>458</v>
      </c>
      <c r="H2096" s="47" t="s">
        <v>411</v>
      </c>
      <c r="I2096" s="48" t="s">
        <v>19</v>
      </c>
      <c r="J2096" s="49">
        <v>3.269422E7</v>
      </c>
    </row>
    <row r="2097">
      <c r="A2097" s="45" t="s">
        <v>11</v>
      </c>
      <c r="B2097" s="16" t="s">
        <v>12</v>
      </c>
      <c r="C2097" s="17" t="s">
        <v>13</v>
      </c>
      <c r="D2097" s="15">
        <v>4.0</v>
      </c>
      <c r="E2097" s="17" t="s">
        <v>478</v>
      </c>
      <c r="F2097" s="15" t="s">
        <v>479</v>
      </c>
      <c r="G2097" s="46" t="s">
        <v>443</v>
      </c>
      <c r="H2097" s="47" t="s">
        <v>420</v>
      </c>
      <c r="I2097" s="48" t="s">
        <v>19</v>
      </c>
      <c r="J2097" s="49">
        <v>1.5433114E7</v>
      </c>
    </row>
    <row r="2098">
      <c r="A2098" s="45" t="s">
        <v>11</v>
      </c>
      <c r="B2098" s="16" t="s">
        <v>12</v>
      </c>
      <c r="C2098" s="17" t="s">
        <v>13</v>
      </c>
      <c r="D2098" s="15">
        <v>4.0</v>
      </c>
      <c r="E2098" s="17" t="s">
        <v>478</v>
      </c>
      <c r="F2098" s="15" t="s">
        <v>479</v>
      </c>
      <c r="G2098" s="46" t="s">
        <v>444</v>
      </c>
      <c r="H2098" s="47" t="s">
        <v>445</v>
      </c>
      <c r="I2098" s="48" t="s">
        <v>19</v>
      </c>
      <c r="J2098" s="49">
        <v>1616568.0</v>
      </c>
    </row>
    <row r="2099">
      <c r="A2099" s="45" t="s">
        <v>11</v>
      </c>
      <c r="B2099" s="16" t="s">
        <v>12</v>
      </c>
      <c r="C2099" s="17" t="s">
        <v>13</v>
      </c>
      <c r="D2099" s="15">
        <v>4.0</v>
      </c>
      <c r="E2099" s="17" t="s">
        <v>478</v>
      </c>
      <c r="F2099" s="15" t="s">
        <v>479</v>
      </c>
      <c r="G2099" s="46" t="s">
        <v>579</v>
      </c>
      <c r="H2099" s="47" t="s">
        <v>580</v>
      </c>
      <c r="I2099" s="48" t="s">
        <v>19</v>
      </c>
      <c r="J2099" s="49">
        <v>1588626.0</v>
      </c>
    </row>
    <row r="2100">
      <c r="A2100" s="45" t="s">
        <v>11</v>
      </c>
      <c r="B2100" s="16" t="s">
        <v>12</v>
      </c>
      <c r="C2100" s="17" t="s">
        <v>13</v>
      </c>
      <c r="D2100" s="15">
        <v>4.0</v>
      </c>
      <c r="E2100" s="17" t="s">
        <v>478</v>
      </c>
      <c r="F2100" s="15" t="s">
        <v>479</v>
      </c>
      <c r="G2100" s="46" t="s">
        <v>446</v>
      </c>
      <c r="H2100" s="47" t="s">
        <v>447</v>
      </c>
      <c r="I2100" s="48" t="s">
        <v>19</v>
      </c>
      <c r="J2100" s="49">
        <v>208018.0</v>
      </c>
    </row>
    <row r="2101">
      <c r="A2101" s="45" t="s">
        <v>11</v>
      </c>
      <c r="B2101" s="16" t="s">
        <v>12</v>
      </c>
      <c r="C2101" s="17" t="s">
        <v>13</v>
      </c>
      <c r="D2101" s="15">
        <v>4.0</v>
      </c>
      <c r="E2101" s="17" t="s">
        <v>478</v>
      </c>
      <c r="F2101" s="15" t="s">
        <v>479</v>
      </c>
      <c r="G2101" s="46" t="s">
        <v>448</v>
      </c>
      <c r="H2101" s="47" t="s">
        <v>449</v>
      </c>
      <c r="I2101" s="48" t="s">
        <v>19</v>
      </c>
      <c r="J2101" s="49">
        <v>801230.0</v>
      </c>
    </row>
    <row r="2102">
      <c r="A2102" s="45" t="s">
        <v>11</v>
      </c>
      <c r="B2102" s="16" t="s">
        <v>12</v>
      </c>
      <c r="C2102" s="17" t="s">
        <v>13</v>
      </c>
      <c r="D2102" s="15">
        <v>4.0</v>
      </c>
      <c r="E2102" s="17" t="s">
        <v>478</v>
      </c>
      <c r="F2102" s="15" t="s">
        <v>479</v>
      </c>
      <c r="G2102" s="46" t="s">
        <v>450</v>
      </c>
      <c r="H2102" s="47" t="s">
        <v>451</v>
      </c>
      <c r="I2102" s="48" t="s">
        <v>19</v>
      </c>
      <c r="J2102" s="49">
        <v>0.0</v>
      </c>
    </row>
    <row r="2103">
      <c r="A2103" s="45" t="s">
        <v>11</v>
      </c>
      <c r="B2103" s="16" t="s">
        <v>12</v>
      </c>
      <c r="C2103" s="17" t="s">
        <v>13</v>
      </c>
      <c r="D2103" s="15">
        <v>4.0</v>
      </c>
      <c r="E2103" s="17" t="s">
        <v>478</v>
      </c>
      <c r="F2103" s="15" t="s">
        <v>479</v>
      </c>
      <c r="G2103" s="46" t="s">
        <v>452</v>
      </c>
      <c r="H2103" s="47" t="s">
        <v>453</v>
      </c>
      <c r="I2103" s="48" t="s">
        <v>19</v>
      </c>
      <c r="J2103" s="49">
        <v>384834.0</v>
      </c>
    </row>
    <row r="2104">
      <c r="A2104" s="45" t="s">
        <v>11</v>
      </c>
      <c r="B2104" s="16" t="s">
        <v>12</v>
      </c>
      <c r="C2104" s="17" t="s">
        <v>13</v>
      </c>
      <c r="D2104" s="15">
        <v>4.0</v>
      </c>
      <c r="E2104" s="17" t="s">
        <v>478</v>
      </c>
      <c r="F2104" s="15" t="s">
        <v>479</v>
      </c>
      <c r="G2104" s="46" t="s">
        <v>454</v>
      </c>
      <c r="H2104" s="47" t="s">
        <v>415</v>
      </c>
      <c r="I2104" s="48" t="s">
        <v>19</v>
      </c>
      <c r="J2104" s="49">
        <v>56165.0</v>
      </c>
    </row>
    <row r="2105">
      <c r="A2105" s="45" t="s">
        <v>11</v>
      </c>
      <c r="B2105" s="16" t="s">
        <v>12</v>
      </c>
      <c r="C2105" s="17" t="s">
        <v>13</v>
      </c>
      <c r="D2105" s="15">
        <v>4.0</v>
      </c>
      <c r="E2105" s="17" t="s">
        <v>478</v>
      </c>
      <c r="F2105" s="15" t="s">
        <v>479</v>
      </c>
      <c r="G2105" s="46" t="s">
        <v>455</v>
      </c>
      <c r="H2105" s="47" t="s">
        <v>415</v>
      </c>
      <c r="I2105" s="48" t="s">
        <v>19</v>
      </c>
      <c r="J2105" s="49">
        <v>31203.0</v>
      </c>
    </row>
    <row r="2106">
      <c r="A2106" s="45" t="s">
        <v>11</v>
      </c>
      <c r="B2106" s="16" t="s">
        <v>12</v>
      </c>
      <c r="C2106" s="17" t="s">
        <v>13</v>
      </c>
      <c r="D2106" s="15">
        <v>4.0</v>
      </c>
      <c r="E2106" s="17" t="s">
        <v>478</v>
      </c>
      <c r="F2106" s="15" t="s">
        <v>479</v>
      </c>
      <c r="G2106" s="46" t="s">
        <v>583</v>
      </c>
      <c r="H2106" s="47" t="s">
        <v>584</v>
      </c>
      <c r="I2106" s="48" t="s">
        <v>25</v>
      </c>
      <c r="J2106" s="49">
        <v>2550000.0</v>
      </c>
    </row>
    <row r="2107">
      <c r="A2107" s="45" t="s">
        <v>11</v>
      </c>
      <c r="B2107" s="16" t="s">
        <v>32</v>
      </c>
      <c r="C2107" s="17" t="s">
        <v>33</v>
      </c>
      <c r="D2107" s="15">
        <v>4.0</v>
      </c>
      <c r="E2107" s="17" t="s">
        <v>441</v>
      </c>
      <c r="F2107" s="15" t="s">
        <v>442</v>
      </c>
      <c r="G2107" s="46" t="s">
        <v>443</v>
      </c>
      <c r="H2107" s="47" t="s">
        <v>420</v>
      </c>
      <c r="I2107" s="48" t="s">
        <v>19</v>
      </c>
      <c r="J2107" s="49">
        <v>4.8708004E7</v>
      </c>
    </row>
    <row r="2108">
      <c r="A2108" s="45" t="s">
        <v>11</v>
      </c>
      <c r="B2108" s="16" t="s">
        <v>32</v>
      </c>
      <c r="C2108" s="17" t="s">
        <v>33</v>
      </c>
      <c r="D2108" s="15">
        <v>4.0</v>
      </c>
      <c r="E2108" s="17" t="s">
        <v>441</v>
      </c>
      <c r="F2108" s="15" t="s">
        <v>442</v>
      </c>
      <c r="G2108" s="46" t="s">
        <v>444</v>
      </c>
      <c r="H2108" s="47" t="s">
        <v>445</v>
      </c>
      <c r="I2108" s="48" t="s">
        <v>19</v>
      </c>
      <c r="J2108" s="49">
        <v>6796056.0</v>
      </c>
    </row>
    <row r="2109">
      <c r="A2109" s="45" t="s">
        <v>11</v>
      </c>
      <c r="B2109" s="16" t="s">
        <v>32</v>
      </c>
      <c r="C2109" s="17" t="s">
        <v>33</v>
      </c>
      <c r="D2109" s="15">
        <v>4.0</v>
      </c>
      <c r="E2109" s="17" t="s">
        <v>441</v>
      </c>
      <c r="F2109" s="15" t="s">
        <v>442</v>
      </c>
      <c r="G2109" s="46" t="s">
        <v>579</v>
      </c>
      <c r="H2109" s="47" t="s">
        <v>580</v>
      </c>
      <c r="I2109" s="48" t="s">
        <v>19</v>
      </c>
      <c r="J2109" s="49">
        <v>5200130.0</v>
      </c>
    </row>
    <row r="2110">
      <c r="A2110" s="45" t="s">
        <v>11</v>
      </c>
      <c r="B2110" s="16" t="s">
        <v>32</v>
      </c>
      <c r="C2110" s="17" t="s">
        <v>33</v>
      </c>
      <c r="D2110" s="15">
        <v>4.0</v>
      </c>
      <c r="E2110" s="17" t="s">
        <v>441</v>
      </c>
      <c r="F2110" s="15" t="s">
        <v>442</v>
      </c>
      <c r="G2110" s="46" t="s">
        <v>446</v>
      </c>
      <c r="H2110" s="47" t="s">
        <v>447</v>
      </c>
      <c r="I2110" s="48" t="s">
        <v>19</v>
      </c>
      <c r="J2110" s="49">
        <v>511051.0</v>
      </c>
    </row>
    <row r="2111">
      <c r="A2111" s="45" t="s">
        <v>11</v>
      </c>
      <c r="B2111" s="16" t="s">
        <v>32</v>
      </c>
      <c r="C2111" s="17" t="s">
        <v>33</v>
      </c>
      <c r="D2111" s="15">
        <v>4.0</v>
      </c>
      <c r="E2111" s="17" t="s">
        <v>441</v>
      </c>
      <c r="F2111" s="15" t="s">
        <v>442</v>
      </c>
      <c r="G2111" s="46" t="s">
        <v>448</v>
      </c>
      <c r="H2111" s="47" t="s">
        <v>449</v>
      </c>
      <c r="I2111" s="48" t="s">
        <v>19</v>
      </c>
      <c r="J2111" s="49">
        <v>1228109.0</v>
      </c>
    </row>
    <row r="2112">
      <c r="A2112" s="45" t="s">
        <v>11</v>
      </c>
      <c r="B2112" s="16" t="s">
        <v>32</v>
      </c>
      <c r="C2112" s="17" t="s">
        <v>33</v>
      </c>
      <c r="D2112" s="15">
        <v>4.0</v>
      </c>
      <c r="E2112" s="17" t="s">
        <v>441</v>
      </c>
      <c r="F2112" s="15" t="s">
        <v>442</v>
      </c>
      <c r="G2112" s="46" t="s">
        <v>450</v>
      </c>
      <c r="H2112" s="47" t="s">
        <v>451</v>
      </c>
      <c r="I2112" s="48" t="s">
        <v>19</v>
      </c>
      <c r="J2112" s="49">
        <v>0.0</v>
      </c>
    </row>
    <row r="2113">
      <c r="A2113" s="45" t="s">
        <v>11</v>
      </c>
      <c r="B2113" s="16" t="s">
        <v>32</v>
      </c>
      <c r="C2113" s="17" t="s">
        <v>33</v>
      </c>
      <c r="D2113" s="15">
        <v>4.0</v>
      </c>
      <c r="E2113" s="17" t="s">
        <v>441</v>
      </c>
      <c r="F2113" s="15" t="s">
        <v>442</v>
      </c>
      <c r="G2113" s="46" t="s">
        <v>452</v>
      </c>
      <c r="H2113" s="47" t="s">
        <v>453</v>
      </c>
      <c r="I2113" s="48" t="s">
        <v>19</v>
      </c>
      <c r="J2113" s="49">
        <v>1054540.0</v>
      </c>
    </row>
    <row r="2114">
      <c r="A2114" s="45" t="s">
        <v>11</v>
      </c>
      <c r="B2114" s="16" t="s">
        <v>32</v>
      </c>
      <c r="C2114" s="17" t="s">
        <v>33</v>
      </c>
      <c r="D2114" s="15">
        <v>4.0</v>
      </c>
      <c r="E2114" s="17" t="s">
        <v>441</v>
      </c>
      <c r="F2114" s="15" t="s">
        <v>442</v>
      </c>
      <c r="G2114" s="46" t="s">
        <v>454</v>
      </c>
      <c r="H2114" s="47" t="s">
        <v>415</v>
      </c>
      <c r="I2114" s="48" t="s">
        <v>19</v>
      </c>
      <c r="J2114" s="49">
        <v>153906.0</v>
      </c>
    </row>
    <row r="2115">
      <c r="A2115" s="45" t="s">
        <v>11</v>
      </c>
      <c r="B2115" s="16" t="s">
        <v>32</v>
      </c>
      <c r="C2115" s="17" t="s">
        <v>33</v>
      </c>
      <c r="D2115" s="15">
        <v>4.0</v>
      </c>
      <c r="E2115" s="17" t="s">
        <v>441</v>
      </c>
      <c r="F2115" s="15" t="s">
        <v>442</v>
      </c>
      <c r="G2115" s="46" t="s">
        <v>455</v>
      </c>
      <c r="H2115" s="47" t="s">
        <v>415</v>
      </c>
      <c r="I2115" s="48" t="s">
        <v>19</v>
      </c>
      <c r="J2115" s="49">
        <v>85504.0</v>
      </c>
    </row>
    <row r="2116">
      <c r="A2116" s="45" t="s">
        <v>11</v>
      </c>
      <c r="B2116" s="16" t="s">
        <v>32</v>
      </c>
      <c r="C2116" s="17" t="s">
        <v>33</v>
      </c>
      <c r="D2116" s="15">
        <v>4.0</v>
      </c>
      <c r="E2116" s="17" t="s">
        <v>441</v>
      </c>
      <c r="F2116" s="15" t="s">
        <v>442</v>
      </c>
      <c r="G2116" s="46" t="s">
        <v>583</v>
      </c>
      <c r="H2116" s="47" t="s">
        <v>584</v>
      </c>
      <c r="I2116" s="48" t="s">
        <v>25</v>
      </c>
      <c r="J2116" s="49">
        <v>5100000.0</v>
      </c>
    </row>
    <row r="2117">
      <c r="A2117" s="45" t="s">
        <v>11</v>
      </c>
      <c r="B2117" s="16" t="s">
        <v>32</v>
      </c>
      <c r="C2117" s="17" t="s">
        <v>33</v>
      </c>
      <c r="D2117" s="15">
        <v>4.0</v>
      </c>
      <c r="E2117" s="17" t="s">
        <v>456</v>
      </c>
      <c r="F2117" s="15" t="s">
        <v>457</v>
      </c>
      <c r="G2117" s="46" t="s">
        <v>458</v>
      </c>
      <c r="H2117" s="47" t="s">
        <v>411</v>
      </c>
      <c r="I2117" s="48" t="s">
        <v>19</v>
      </c>
      <c r="J2117" s="49">
        <v>6.645117E7</v>
      </c>
    </row>
    <row r="2118">
      <c r="A2118" s="45" t="s">
        <v>11</v>
      </c>
      <c r="B2118" s="16" t="s">
        <v>32</v>
      </c>
      <c r="C2118" s="17" t="s">
        <v>33</v>
      </c>
      <c r="D2118" s="15">
        <v>4.0</v>
      </c>
      <c r="E2118" s="17" t="s">
        <v>459</v>
      </c>
      <c r="F2118" s="15" t="s">
        <v>460</v>
      </c>
      <c r="G2118" s="46" t="s">
        <v>461</v>
      </c>
      <c r="H2118" s="47" t="s">
        <v>462</v>
      </c>
      <c r="I2118" s="48" t="s">
        <v>37</v>
      </c>
      <c r="J2118" s="49">
        <v>518960.0</v>
      </c>
    </row>
    <row r="2119">
      <c r="A2119" s="45" t="s">
        <v>11</v>
      </c>
      <c r="B2119" s="16" t="s">
        <v>32</v>
      </c>
      <c r="C2119" s="17" t="s">
        <v>33</v>
      </c>
      <c r="D2119" s="15">
        <v>4.0</v>
      </c>
      <c r="E2119" s="17" t="s">
        <v>463</v>
      </c>
      <c r="F2119" s="15" t="s">
        <v>464</v>
      </c>
      <c r="G2119" s="46" t="s">
        <v>465</v>
      </c>
      <c r="H2119" s="47" t="s">
        <v>466</v>
      </c>
      <c r="I2119" s="48" t="s">
        <v>37</v>
      </c>
      <c r="J2119" s="49">
        <v>834080.0</v>
      </c>
    </row>
    <row r="2120">
      <c r="A2120" s="45" t="s">
        <v>11</v>
      </c>
      <c r="B2120" s="16" t="s">
        <v>32</v>
      </c>
      <c r="C2120" s="17" t="s">
        <v>33</v>
      </c>
      <c r="D2120" s="15">
        <v>4.0</v>
      </c>
      <c r="E2120" s="17" t="s">
        <v>463</v>
      </c>
      <c r="F2120" s="15" t="s">
        <v>464</v>
      </c>
      <c r="G2120" s="46" t="s">
        <v>458</v>
      </c>
      <c r="H2120" s="47" t="s">
        <v>411</v>
      </c>
      <c r="I2120" s="48" t="s">
        <v>19</v>
      </c>
      <c r="J2120" s="49">
        <v>1.331226E7</v>
      </c>
    </row>
    <row r="2121">
      <c r="A2121" s="45" t="s">
        <v>11</v>
      </c>
      <c r="B2121" s="16" t="s">
        <v>32</v>
      </c>
      <c r="C2121" s="17" t="s">
        <v>33</v>
      </c>
      <c r="D2121" s="15">
        <v>4.0</v>
      </c>
      <c r="E2121" s="17" t="s">
        <v>487</v>
      </c>
      <c r="F2121" s="15" t="s">
        <v>488</v>
      </c>
      <c r="G2121" s="46" t="s">
        <v>489</v>
      </c>
      <c r="H2121" s="47" t="s">
        <v>490</v>
      </c>
      <c r="I2121" s="48" t="s">
        <v>37</v>
      </c>
      <c r="J2121" s="49">
        <v>1.5184E7</v>
      </c>
    </row>
    <row r="2122">
      <c r="A2122" s="45" t="s">
        <v>11</v>
      </c>
      <c r="B2122" s="16" t="s">
        <v>32</v>
      </c>
      <c r="C2122" s="17" t="s">
        <v>33</v>
      </c>
      <c r="D2122" s="15">
        <v>4.0</v>
      </c>
      <c r="E2122" s="17" t="s">
        <v>469</v>
      </c>
      <c r="F2122" s="15" t="s">
        <v>470</v>
      </c>
      <c r="G2122" s="46" t="s">
        <v>471</v>
      </c>
      <c r="H2122" s="47" t="s">
        <v>472</v>
      </c>
      <c r="I2122" s="48" t="s">
        <v>25</v>
      </c>
      <c r="J2122" s="49">
        <v>425000.0</v>
      </c>
    </row>
    <row r="2123">
      <c r="A2123" s="45" t="s">
        <v>11</v>
      </c>
      <c r="B2123" s="16" t="s">
        <v>32</v>
      </c>
      <c r="C2123" s="17" t="s">
        <v>33</v>
      </c>
      <c r="D2123" s="15">
        <v>4.0</v>
      </c>
      <c r="E2123" s="17" t="s">
        <v>473</v>
      </c>
      <c r="F2123" s="15" t="s">
        <v>474</v>
      </c>
      <c r="G2123" s="46" t="s">
        <v>443</v>
      </c>
      <c r="H2123" s="47" t="s">
        <v>420</v>
      </c>
      <c r="I2123" s="48" t="s">
        <v>19</v>
      </c>
      <c r="J2123" s="49">
        <v>6975000.0</v>
      </c>
    </row>
    <row r="2124">
      <c r="A2124" s="45" t="s">
        <v>11</v>
      </c>
      <c r="B2124" s="16" t="s">
        <v>32</v>
      </c>
      <c r="C2124" s="17" t="s">
        <v>33</v>
      </c>
      <c r="D2124" s="15">
        <v>4.0</v>
      </c>
      <c r="E2124" s="17" t="s">
        <v>473</v>
      </c>
      <c r="F2124" s="15" t="s">
        <v>474</v>
      </c>
      <c r="G2124" s="46" t="s">
        <v>444</v>
      </c>
      <c r="H2124" s="47" t="s">
        <v>445</v>
      </c>
      <c r="I2124" s="48" t="s">
        <v>19</v>
      </c>
      <c r="J2124" s="49">
        <v>88291.0</v>
      </c>
    </row>
    <row r="2125">
      <c r="A2125" s="45" t="s">
        <v>11</v>
      </c>
      <c r="B2125" s="16" t="s">
        <v>32</v>
      </c>
      <c r="C2125" s="17" t="s">
        <v>33</v>
      </c>
      <c r="D2125" s="15">
        <v>4.0</v>
      </c>
      <c r="E2125" s="17" t="s">
        <v>473</v>
      </c>
      <c r="F2125" s="15" t="s">
        <v>474</v>
      </c>
      <c r="G2125" s="46" t="s">
        <v>579</v>
      </c>
      <c r="H2125" s="47" t="s">
        <v>580</v>
      </c>
      <c r="I2125" s="48" t="s">
        <v>19</v>
      </c>
      <c r="J2125" s="49">
        <v>600000.0</v>
      </c>
    </row>
    <row r="2126">
      <c r="A2126" s="45" t="s">
        <v>11</v>
      </c>
      <c r="B2126" s="16" t="s">
        <v>32</v>
      </c>
      <c r="C2126" s="17" t="s">
        <v>33</v>
      </c>
      <c r="D2126" s="15">
        <v>4.0</v>
      </c>
      <c r="E2126" s="17" t="s">
        <v>473</v>
      </c>
      <c r="F2126" s="15" t="s">
        <v>474</v>
      </c>
      <c r="G2126" s="46" t="s">
        <v>458</v>
      </c>
      <c r="H2126" s="47" t="s">
        <v>411</v>
      </c>
      <c r="I2126" s="48" t="s">
        <v>19</v>
      </c>
      <c r="J2126" s="49">
        <v>5.979504E7</v>
      </c>
    </row>
    <row r="2127">
      <c r="A2127" s="45" t="s">
        <v>11</v>
      </c>
      <c r="B2127" s="16" t="s">
        <v>32</v>
      </c>
      <c r="C2127" s="17" t="s">
        <v>33</v>
      </c>
      <c r="D2127" s="15">
        <v>4.0</v>
      </c>
      <c r="E2127" s="17" t="s">
        <v>473</v>
      </c>
      <c r="F2127" s="15" t="s">
        <v>474</v>
      </c>
      <c r="G2127" s="46" t="s">
        <v>477</v>
      </c>
      <c r="H2127" s="47" t="s">
        <v>429</v>
      </c>
      <c r="I2127" s="48" t="s">
        <v>50</v>
      </c>
      <c r="J2127" s="49">
        <v>2433457.0</v>
      </c>
    </row>
    <row r="2128">
      <c r="A2128" s="45" t="s">
        <v>11</v>
      </c>
      <c r="B2128" s="16" t="s">
        <v>32</v>
      </c>
      <c r="C2128" s="17" t="s">
        <v>33</v>
      </c>
      <c r="D2128" s="15">
        <v>4.0</v>
      </c>
      <c r="E2128" s="17" t="s">
        <v>491</v>
      </c>
      <c r="F2128" s="15" t="s">
        <v>492</v>
      </c>
      <c r="G2128" s="46" t="s">
        <v>493</v>
      </c>
      <c r="H2128" s="47" t="s">
        <v>437</v>
      </c>
      <c r="I2128" s="48" t="s">
        <v>25</v>
      </c>
      <c r="J2128" s="49">
        <v>1062968.0</v>
      </c>
    </row>
    <row r="2129">
      <c r="A2129" s="45" t="s">
        <v>11</v>
      </c>
      <c r="B2129" s="16" t="s">
        <v>32</v>
      </c>
      <c r="C2129" s="17" t="s">
        <v>33</v>
      </c>
      <c r="D2129" s="15">
        <v>4.0</v>
      </c>
      <c r="E2129" s="17" t="s">
        <v>494</v>
      </c>
      <c r="F2129" s="15" t="s">
        <v>495</v>
      </c>
      <c r="G2129" s="46" t="s">
        <v>496</v>
      </c>
      <c r="H2129" s="47" t="s">
        <v>497</v>
      </c>
      <c r="I2129" s="48" t="s">
        <v>25</v>
      </c>
      <c r="J2129" s="49">
        <v>784900.0</v>
      </c>
    </row>
    <row r="2130">
      <c r="A2130" s="45" t="s">
        <v>11</v>
      </c>
      <c r="B2130" s="16" t="s">
        <v>32</v>
      </c>
      <c r="C2130" s="17" t="s">
        <v>33</v>
      </c>
      <c r="D2130" s="15">
        <v>4.0</v>
      </c>
      <c r="E2130" s="17" t="s">
        <v>475</v>
      </c>
      <c r="F2130" s="15" t="s">
        <v>476</v>
      </c>
      <c r="G2130" s="46" t="s">
        <v>477</v>
      </c>
      <c r="H2130" s="47" t="s">
        <v>429</v>
      </c>
      <c r="I2130" s="48" t="s">
        <v>50</v>
      </c>
      <c r="J2130" s="49">
        <v>2.6237103E7</v>
      </c>
    </row>
    <row r="2131">
      <c r="A2131" s="45" t="s">
        <v>11</v>
      </c>
      <c r="B2131" s="16" t="s">
        <v>32</v>
      </c>
      <c r="C2131" s="17" t="s">
        <v>33</v>
      </c>
      <c r="D2131" s="15">
        <v>4.0</v>
      </c>
      <c r="E2131" s="17" t="s">
        <v>478</v>
      </c>
      <c r="F2131" s="15" t="s">
        <v>479</v>
      </c>
      <c r="G2131" s="46" t="s">
        <v>443</v>
      </c>
      <c r="H2131" s="47" t="s">
        <v>420</v>
      </c>
      <c r="I2131" s="48" t="s">
        <v>19</v>
      </c>
      <c r="J2131" s="49">
        <v>6.3197909E7</v>
      </c>
    </row>
    <row r="2132">
      <c r="A2132" s="45" t="s">
        <v>11</v>
      </c>
      <c r="B2132" s="16" t="s">
        <v>32</v>
      </c>
      <c r="C2132" s="17" t="s">
        <v>33</v>
      </c>
      <c r="D2132" s="15">
        <v>4.0</v>
      </c>
      <c r="E2132" s="17" t="s">
        <v>478</v>
      </c>
      <c r="F2132" s="15" t="s">
        <v>479</v>
      </c>
      <c r="G2132" s="46" t="s">
        <v>444</v>
      </c>
      <c r="H2132" s="47" t="s">
        <v>445</v>
      </c>
      <c r="I2132" s="48" t="s">
        <v>19</v>
      </c>
      <c r="J2132" s="49">
        <v>5643708.0</v>
      </c>
    </row>
    <row r="2133">
      <c r="A2133" s="45" t="s">
        <v>11</v>
      </c>
      <c r="B2133" s="16" t="s">
        <v>32</v>
      </c>
      <c r="C2133" s="17" t="s">
        <v>33</v>
      </c>
      <c r="D2133" s="15">
        <v>4.0</v>
      </c>
      <c r="E2133" s="17" t="s">
        <v>478</v>
      </c>
      <c r="F2133" s="15" t="s">
        <v>479</v>
      </c>
      <c r="G2133" s="46" t="s">
        <v>579</v>
      </c>
      <c r="H2133" s="47" t="s">
        <v>580</v>
      </c>
      <c r="I2133" s="48" t="s">
        <v>19</v>
      </c>
      <c r="J2133" s="49">
        <v>6451535.0</v>
      </c>
    </row>
    <row r="2134">
      <c r="A2134" s="45" t="s">
        <v>11</v>
      </c>
      <c r="B2134" s="16" t="s">
        <v>32</v>
      </c>
      <c r="C2134" s="17" t="s">
        <v>33</v>
      </c>
      <c r="D2134" s="15">
        <v>4.0</v>
      </c>
      <c r="E2134" s="17" t="s">
        <v>478</v>
      </c>
      <c r="F2134" s="15" t="s">
        <v>479</v>
      </c>
      <c r="G2134" s="46" t="s">
        <v>446</v>
      </c>
      <c r="H2134" s="47" t="s">
        <v>447</v>
      </c>
      <c r="I2134" s="48" t="s">
        <v>19</v>
      </c>
      <c r="J2134" s="49">
        <v>787075.0</v>
      </c>
    </row>
    <row r="2135">
      <c r="A2135" s="45" t="s">
        <v>11</v>
      </c>
      <c r="B2135" s="16" t="s">
        <v>32</v>
      </c>
      <c r="C2135" s="17" t="s">
        <v>33</v>
      </c>
      <c r="D2135" s="15">
        <v>4.0</v>
      </c>
      <c r="E2135" s="17" t="s">
        <v>478</v>
      </c>
      <c r="F2135" s="15" t="s">
        <v>479</v>
      </c>
      <c r="G2135" s="46" t="s">
        <v>448</v>
      </c>
      <c r="H2135" s="47" t="s">
        <v>449</v>
      </c>
      <c r="I2135" s="48" t="s">
        <v>19</v>
      </c>
      <c r="J2135" s="49">
        <v>1853711.0</v>
      </c>
    </row>
    <row r="2136">
      <c r="A2136" s="45" t="s">
        <v>11</v>
      </c>
      <c r="B2136" s="16" t="s">
        <v>32</v>
      </c>
      <c r="C2136" s="17" t="s">
        <v>33</v>
      </c>
      <c r="D2136" s="15">
        <v>4.0</v>
      </c>
      <c r="E2136" s="17" t="s">
        <v>478</v>
      </c>
      <c r="F2136" s="15" t="s">
        <v>479</v>
      </c>
      <c r="G2136" s="46" t="s">
        <v>450</v>
      </c>
      <c r="H2136" s="47" t="s">
        <v>451</v>
      </c>
      <c r="I2136" s="48" t="s">
        <v>19</v>
      </c>
      <c r="J2136" s="49">
        <v>0.0</v>
      </c>
    </row>
    <row r="2137">
      <c r="A2137" s="45" t="s">
        <v>11</v>
      </c>
      <c r="B2137" s="16" t="s">
        <v>32</v>
      </c>
      <c r="C2137" s="17" t="s">
        <v>33</v>
      </c>
      <c r="D2137" s="15">
        <v>4.0</v>
      </c>
      <c r="E2137" s="17" t="s">
        <v>478</v>
      </c>
      <c r="F2137" s="15" t="s">
        <v>479</v>
      </c>
      <c r="G2137" s="46" t="s">
        <v>452</v>
      </c>
      <c r="H2137" s="47" t="s">
        <v>453</v>
      </c>
      <c r="I2137" s="48" t="s">
        <v>19</v>
      </c>
      <c r="J2137" s="49">
        <v>1478083.0</v>
      </c>
    </row>
    <row r="2138">
      <c r="A2138" s="45" t="s">
        <v>11</v>
      </c>
      <c r="B2138" s="16" t="s">
        <v>32</v>
      </c>
      <c r="C2138" s="17" t="s">
        <v>33</v>
      </c>
      <c r="D2138" s="15">
        <v>4.0</v>
      </c>
      <c r="E2138" s="17" t="s">
        <v>478</v>
      </c>
      <c r="F2138" s="15" t="s">
        <v>479</v>
      </c>
      <c r="G2138" s="46" t="s">
        <v>454</v>
      </c>
      <c r="H2138" s="47" t="s">
        <v>415</v>
      </c>
      <c r="I2138" s="48" t="s">
        <v>19</v>
      </c>
      <c r="J2138" s="49">
        <v>215719.0</v>
      </c>
    </row>
    <row r="2139">
      <c r="A2139" s="45" t="s">
        <v>11</v>
      </c>
      <c r="B2139" s="16" t="s">
        <v>32</v>
      </c>
      <c r="C2139" s="17" t="s">
        <v>33</v>
      </c>
      <c r="D2139" s="15">
        <v>4.0</v>
      </c>
      <c r="E2139" s="17" t="s">
        <v>478</v>
      </c>
      <c r="F2139" s="15" t="s">
        <v>479</v>
      </c>
      <c r="G2139" s="46" t="s">
        <v>455</v>
      </c>
      <c r="H2139" s="47" t="s">
        <v>415</v>
      </c>
      <c r="I2139" s="48" t="s">
        <v>19</v>
      </c>
      <c r="J2139" s="49">
        <v>119843.0</v>
      </c>
    </row>
    <row r="2140">
      <c r="A2140" s="45" t="s">
        <v>11</v>
      </c>
      <c r="B2140" s="16" t="s">
        <v>32</v>
      </c>
      <c r="C2140" s="17" t="s">
        <v>33</v>
      </c>
      <c r="D2140" s="15">
        <v>4.0</v>
      </c>
      <c r="E2140" s="17" t="s">
        <v>478</v>
      </c>
      <c r="F2140" s="15" t="s">
        <v>479</v>
      </c>
      <c r="G2140" s="46" t="s">
        <v>499</v>
      </c>
      <c r="H2140" s="47" t="s">
        <v>500</v>
      </c>
      <c r="I2140" s="48" t="s">
        <v>19</v>
      </c>
      <c r="J2140" s="49">
        <v>4621220.0</v>
      </c>
    </row>
    <row r="2141">
      <c r="A2141" s="45" t="s">
        <v>11</v>
      </c>
      <c r="B2141" s="16" t="s">
        <v>32</v>
      </c>
      <c r="C2141" s="17" t="s">
        <v>33</v>
      </c>
      <c r="D2141" s="15">
        <v>4.0</v>
      </c>
      <c r="E2141" s="17" t="s">
        <v>478</v>
      </c>
      <c r="F2141" s="15" t="s">
        <v>479</v>
      </c>
      <c r="G2141" s="46" t="s">
        <v>480</v>
      </c>
      <c r="H2141" s="47" t="s">
        <v>481</v>
      </c>
      <c r="I2141" s="48" t="s">
        <v>19</v>
      </c>
      <c r="J2141" s="49">
        <v>3245620.0</v>
      </c>
    </row>
    <row r="2142">
      <c r="A2142" s="45" t="s">
        <v>11</v>
      </c>
      <c r="B2142" s="16" t="s">
        <v>32</v>
      </c>
      <c r="C2142" s="17" t="s">
        <v>33</v>
      </c>
      <c r="D2142" s="15">
        <v>4.0</v>
      </c>
      <c r="E2142" s="17" t="s">
        <v>478</v>
      </c>
      <c r="F2142" s="15" t="s">
        <v>479</v>
      </c>
      <c r="G2142" s="46" t="s">
        <v>583</v>
      </c>
      <c r="H2142" s="47" t="s">
        <v>584</v>
      </c>
      <c r="I2142" s="48" t="s">
        <v>25</v>
      </c>
      <c r="J2142" s="49">
        <v>1.02E7</v>
      </c>
    </row>
    <row r="2143">
      <c r="A2143" s="45" t="s">
        <v>11</v>
      </c>
      <c r="B2143" s="16" t="s">
        <v>32</v>
      </c>
      <c r="C2143" s="17" t="s">
        <v>33</v>
      </c>
      <c r="D2143" s="15">
        <v>4.0</v>
      </c>
      <c r="E2143" s="17" t="s">
        <v>501</v>
      </c>
      <c r="F2143" s="15" t="s">
        <v>502</v>
      </c>
      <c r="G2143" s="46" t="s">
        <v>503</v>
      </c>
      <c r="H2143" s="47" t="s">
        <v>504</v>
      </c>
      <c r="I2143" s="48" t="s">
        <v>60</v>
      </c>
      <c r="J2143" s="49">
        <v>2.11541934E8</v>
      </c>
    </row>
    <row r="2144">
      <c r="A2144" s="45" t="s">
        <v>11</v>
      </c>
      <c r="B2144" s="16" t="s">
        <v>32</v>
      </c>
      <c r="C2144" s="17" t="s">
        <v>33</v>
      </c>
      <c r="D2144" s="15">
        <v>4.0</v>
      </c>
      <c r="E2144" s="17" t="s">
        <v>501</v>
      </c>
      <c r="F2144" s="15" t="s">
        <v>502</v>
      </c>
      <c r="G2144" s="46" t="s">
        <v>505</v>
      </c>
      <c r="H2144" s="47" t="s">
        <v>506</v>
      </c>
      <c r="I2144" s="48" t="s">
        <v>60</v>
      </c>
      <c r="J2144" s="49">
        <v>2.0819376E7</v>
      </c>
    </row>
    <row r="2145">
      <c r="A2145" s="45" t="s">
        <v>11</v>
      </c>
      <c r="B2145" s="16" t="s">
        <v>32</v>
      </c>
      <c r="C2145" s="17" t="s">
        <v>33</v>
      </c>
      <c r="D2145" s="15">
        <v>4.0</v>
      </c>
      <c r="E2145" s="17" t="s">
        <v>501</v>
      </c>
      <c r="F2145" s="15" t="s">
        <v>502</v>
      </c>
      <c r="G2145" s="46" t="s">
        <v>507</v>
      </c>
      <c r="H2145" s="47" t="s">
        <v>508</v>
      </c>
      <c r="I2145" s="48" t="s">
        <v>60</v>
      </c>
      <c r="J2145" s="49">
        <v>1773342.0</v>
      </c>
    </row>
    <row r="2146">
      <c r="A2146" s="45" t="s">
        <v>11</v>
      </c>
      <c r="B2146" s="16" t="s">
        <v>32</v>
      </c>
      <c r="C2146" s="17" t="s">
        <v>33</v>
      </c>
      <c r="D2146" s="15">
        <v>4.0</v>
      </c>
      <c r="E2146" s="17" t="s">
        <v>501</v>
      </c>
      <c r="F2146" s="15" t="s">
        <v>502</v>
      </c>
      <c r="G2146" s="46" t="s">
        <v>509</v>
      </c>
      <c r="H2146" s="47" t="s">
        <v>510</v>
      </c>
      <c r="I2146" s="48" t="s">
        <v>60</v>
      </c>
      <c r="J2146" s="49">
        <v>133333.0</v>
      </c>
    </row>
    <row r="2147">
      <c r="A2147" s="45" t="s">
        <v>11</v>
      </c>
      <c r="B2147" s="16" t="s">
        <v>32</v>
      </c>
      <c r="C2147" s="17" t="s">
        <v>33</v>
      </c>
      <c r="D2147" s="15">
        <v>4.0</v>
      </c>
      <c r="E2147" s="17" t="s">
        <v>501</v>
      </c>
      <c r="F2147" s="15" t="s">
        <v>502</v>
      </c>
      <c r="G2147" s="46" t="s">
        <v>511</v>
      </c>
      <c r="H2147" s="47" t="s">
        <v>512</v>
      </c>
      <c r="I2147" s="48" t="s">
        <v>60</v>
      </c>
      <c r="J2147" s="49">
        <v>5.1768822E7</v>
      </c>
    </row>
    <row r="2148">
      <c r="A2148" s="45" t="s">
        <v>11</v>
      </c>
      <c r="B2148" s="16" t="s">
        <v>32</v>
      </c>
      <c r="C2148" s="17" t="s">
        <v>33</v>
      </c>
      <c r="D2148" s="15">
        <v>4.0</v>
      </c>
      <c r="E2148" s="17" t="s">
        <v>501</v>
      </c>
      <c r="F2148" s="15" t="s">
        <v>502</v>
      </c>
      <c r="G2148" s="46" t="s">
        <v>513</v>
      </c>
      <c r="H2148" s="47" t="s">
        <v>514</v>
      </c>
      <c r="I2148" s="48" t="s">
        <v>60</v>
      </c>
      <c r="J2148" s="49">
        <v>3931589.0</v>
      </c>
    </row>
    <row r="2149">
      <c r="A2149" s="45" t="s">
        <v>11</v>
      </c>
      <c r="B2149" s="16" t="s">
        <v>32</v>
      </c>
      <c r="C2149" s="17" t="s">
        <v>33</v>
      </c>
      <c r="D2149" s="15">
        <v>4.0</v>
      </c>
      <c r="E2149" s="17" t="s">
        <v>548</v>
      </c>
      <c r="F2149" s="15" t="s">
        <v>549</v>
      </c>
      <c r="G2149" s="46" t="s">
        <v>550</v>
      </c>
      <c r="H2149" s="47" t="s">
        <v>551</v>
      </c>
      <c r="I2149" s="48" t="s">
        <v>25</v>
      </c>
      <c r="J2149" s="49">
        <v>7.4115892E7</v>
      </c>
    </row>
    <row r="2150">
      <c r="A2150" s="45" t="s">
        <v>11</v>
      </c>
      <c r="B2150" s="16" t="s">
        <v>66</v>
      </c>
      <c r="C2150" s="17" t="s">
        <v>67</v>
      </c>
      <c r="D2150" s="15">
        <v>4.0</v>
      </c>
      <c r="E2150" s="17" t="s">
        <v>456</v>
      </c>
      <c r="F2150" s="15" t="s">
        <v>457</v>
      </c>
      <c r="G2150" s="46" t="s">
        <v>458</v>
      </c>
      <c r="H2150" s="47" t="s">
        <v>411</v>
      </c>
      <c r="I2150" s="48" t="s">
        <v>19</v>
      </c>
      <c r="J2150" s="49">
        <v>5709408.0</v>
      </c>
    </row>
    <row r="2151">
      <c r="A2151" s="45" t="s">
        <v>11</v>
      </c>
      <c r="B2151" s="16" t="s">
        <v>66</v>
      </c>
      <c r="C2151" s="17" t="s">
        <v>67</v>
      </c>
      <c r="D2151" s="15">
        <v>4.0</v>
      </c>
      <c r="E2151" s="17" t="s">
        <v>473</v>
      </c>
      <c r="F2151" s="15" t="s">
        <v>474</v>
      </c>
      <c r="G2151" s="46" t="s">
        <v>458</v>
      </c>
      <c r="H2151" s="47" t="s">
        <v>411</v>
      </c>
      <c r="I2151" s="48" t="s">
        <v>19</v>
      </c>
      <c r="J2151" s="49">
        <v>3889024.0</v>
      </c>
    </row>
    <row r="2152">
      <c r="A2152" s="45" t="s">
        <v>74</v>
      </c>
      <c r="B2152" s="16" t="s">
        <v>75</v>
      </c>
      <c r="C2152" s="17" t="s">
        <v>76</v>
      </c>
      <c r="D2152" s="15">
        <v>4.0</v>
      </c>
      <c r="E2152" s="17" t="s">
        <v>441</v>
      </c>
      <c r="F2152" s="15" t="s">
        <v>442</v>
      </c>
      <c r="G2152" s="46" t="s">
        <v>443</v>
      </c>
      <c r="H2152" s="47" t="s">
        <v>420</v>
      </c>
      <c r="I2152" s="48" t="s">
        <v>19</v>
      </c>
      <c r="J2152" s="49">
        <v>4.7951907E7</v>
      </c>
    </row>
    <row r="2153">
      <c r="A2153" s="45" t="s">
        <v>74</v>
      </c>
      <c r="B2153" s="16" t="s">
        <v>75</v>
      </c>
      <c r="C2153" s="17" t="s">
        <v>76</v>
      </c>
      <c r="D2153" s="15">
        <v>4.0</v>
      </c>
      <c r="E2153" s="17" t="s">
        <v>441</v>
      </c>
      <c r="F2153" s="15" t="s">
        <v>442</v>
      </c>
      <c r="G2153" s="46" t="s">
        <v>444</v>
      </c>
      <c r="H2153" s="47" t="s">
        <v>445</v>
      </c>
      <c r="I2153" s="48" t="s">
        <v>19</v>
      </c>
      <c r="J2153" s="49">
        <v>5945192.0</v>
      </c>
    </row>
    <row r="2154">
      <c r="A2154" s="45" t="s">
        <v>74</v>
      </c>
      <c r="B2154" s="16" t="s">
        <v>75</v>
      </c>
      <c r="C2154" s="17" t="s">
        <v>76</v>
      </c>
      <c r="D2154" s="15">
        <v>4.0</v>
      </c>
      <c r="E2154" s="17" t="s">
        <v>441</v>
      </c>
      <c r="F2154" s="15" t="s">
        <v>442</v>
      </c>
      <c r="G2154" s="46" t="s">
        <v>579</v>
      </c>
      <c r="H2154" s="47" t="s">
        <v>580</v>
      </c>
      <c r="I2154" s="48" t="s">
        <v>19</v>
      </c>
      <c r="J2154" s="49">
        <v>5207568.0</v>
      </c>
    </row>
    <row r="2155">
      <c r="A2155" s="45" t="s">
        <v>74</v>
      </c>
      <c r="B2155" s="16" t="s">
        <v>75</v>
      </c>
      <c r="C2155" s="17" t="s">
        <v>76</v>
      </c>
      <c r="D2155" s="15">
        <v>4.0</v>
      </c>
      <c r="E2155" s="17" t="s">
        <v>441</v>
      </c>
      <c r="F2155" s="15" t="s">
        <v>442</v>
      </c>
      <c r="G2155" s="46" t="s">
        <v>446</v>
      </c>
      <c r="H2155" s="47" t="s">
        <v>447</v>
      </c>
      <c r="I2155" s="48" t="s">
        <v>19</v>
      </c>
      <c r="J2155" s="49">
        <v>477014.0</v>
      </c>
    </row>
    <row r="2156">
      <c r="A2156" s="45" t="s">
        <v>74</v>
      </c>
      <c r="B2156" s="16" t="s">
        <v>75</v>
      </c>
      <c r="C2156" s="17" t="s">
        <v>76</v>
      </c>
      <c r="D2156" s="15">
        <v>4.0</v>
      </c>
      <c r="E2156" s="17" t="s">
        <v>441</v>
      </c>
      <c r="F2156" s="15" t="s">
        <v>442</v>
      </c>
      <c r="G2156" s="46" t="s">
        <v>448</v>
      </c>
      <c r="H2156" s="47" t="s">
        <v>449</v>
      </c>
      <c r="I2156" s="48" t="s">
        <v>19</v>
      </c>
      <c r="J2156" s="49">
        <v>1300424.0</v>
      </c>
    </row>
    <row r="2157">
      <c r="A2157" s="45" t="s">
        <v>74</v>
      </c>
      <c r="B2157" s="16" t="s">
        <v>75</v>
      </c>
      <c r="C2157" s="17" t="s">
        <v>76</v>
      </c>
      <c r="D2157" s="15">
        <v>4.0</v>
      </c>
      <c r="E2157" s="17" t="s">
        <v>441</v>
      </c>
      <c r="F2157" s="15" t="s">
        <v>442</v>
      </c>
      <c r="G2157" s="46" t="s">
        <v>450</v>
      </c>
      <c r="H2157" s="47" t="s">
        <v>451</v>
      </c>
      <c r="I2157" s="48" t="s">
        <v>19</v>
      </c>
      <c r="J2157" s="49">
        <v>0.0</v>
      </c>
    </row>
    <row r="2158">
      <c r="A2158" s="45" t="s">
        <v>74</v>
      </c>
      <c r="B2158" s="16" t="s">
        <v>75</v>
      </c>
      <c r="C2158" s="17" t="s">
        <v>76</v>
      </c>
      <c r="D2158" s="15">
        <v>4.0</v>
      </c>
      <c r="E2158" s="17" t="s">
        <v>441</v>
      </c>
      <c r="F2158" s="15" t="s">
        <v>442</v>
      </c>
      <c r="G2158" s="46" t="s">
        <v>452</v>
      </c>
      <c r="H2158" s="47" t="s">
        <v>453</v>
      </c>
      <c r="I2158" s="48" t="s">
        <v>19</v>
      </c>
      <c r="J2158" s="49">
        <v>882477.0</v>
      </c>
    </row>
    <row r="2159">
      <c r="A2159" s="45" t="s">
        <v>74</v>
      </c>
      <c r="B2159" s="16" t="s">
        <v>75</v>
      </c>
      <c r="C2159" s="17" t="s">
        <v>76</v>
      </c>
      <c r="D2159" s="15">
        <v>4.0</v>
      </c>
      <c r="E2159" s="17" t="s">
        <v>441</v>
      </c>
      <c r="F2159" s="15" t="s">
        <v>442</v>
      </c>
      <c r="G2159" s="46" t="s">
        <v>454</v>
      </c>
      <c r="H2159" s="47" t="s">
        <v>415</v>
      </c>
      <c r="I2159" s="48" t="s">
        <v>19</v>
      </c>
      <c r="J2159" s="49">
        <v>128794.0</v>
      </c>
    </row>
    <row r="2160">
      <c r="A2160" s="45" t="s">
        <v>74</v>
      </c>
      <c r="B2160" s="16" t="s">
        <v>75</v>
      </c>
      <c r="C2160" s="17" t="s">
        <v>76</v>
      </c>
      <c r="D2160" s="15">
        <v>4.0</v>
      </c>
      <c r="E2160" s="17" t="s">
        <v>441</v>
      </c>
      <c r="F2160" s="15" t="s">
        <v>442</v>
      </c>
      <c r="G2160" s="46" t="s">
        <v>455</v>
      </c>
      <c r="H2160" s="47" t="s">
        <v>415</v>
      </c>
      <c r="I2160" s="48" t="s">
        <v>19</v>
      </c>
      <c r="J2160" s="49">
        <v>71551.0</v>
      </c>
    </row>
    <row r="2161">
      <c r="A2161" s="45" t="s">
        <v>74</v>
      </c>
      <c r="B2161" s="16" t="s">
        <v>75</v>
      </c>
      <c r="C2161" s="17" t="s">
        <v>76</v>
      </c>
      <c r="D2161" s="15">
        <v>4.0</v>
      </c>
      <c r="E2161" s="17" t="s">
        <v>441</v>
      </c>
      <c r="F2161" s="15" t="s">
        <v>442</v>
      </c>
      <c r="G2161" s="46" t="s">
        <v>565</v>
      </c>
      <c r="H2161" s="47" t="s">
        <v>566</v>
      </c>
      <c r="I2161" s="48" t="s">
        <v>25</v>
      </c>
      <c r="J2161" s="49">
        <v>1.0925E7</v>
      </c>
    </row>
    <row r="2162">
      <c r="A2162" s="45" t="s">
        <v>74</v>
      </c>
      <c r="B2162" s="16" t="s">
        <v>75</v>
      </c>
      <c r="C2162" s="17" t="s">
        <v>76</v>
      </c>
      <c r="D2162" s="15">
        <v>4.0</v>
      </c>
      <c r="E2162" s="17" t="s">
        <v>441</v>
      </c>
      <c r="F2162" s="15" t="s">
        <v>442</v>
      </c>
      <c r="G2162" s="46" t="s">
        <v>583</v>
      </c>
      <c r="H2162" s="47" t="s">
        <v>584</v>
      </c>
      <c r="I2162" s="48" t="s">
        <v>25</v>
      </c>
      <c r="J2162" s="49">
        <v>7650000.0</v>
      </c>
    </row>
    <row r="2163">
      <c r="A2163" s="45" t="s">
        <v>74</v>
      </c>
      <c r="B2163" s="16" t="s">
        <v>75</v>
      </c>
      <c r="C2163" s="17" t="s">
        <v>76</v>
      </c>
      <c r="D2163" s="15">
        <v>4.0</v>
      </c>
      <c r="E2163" s="17" t="s">
        <v>456</v>
      </c>
      <c r="F2163" s="15" t="s">
        <v>457</v>
      </c>
      <c r="G2163" s="46" t="s">
        <v>515</v>
      </c>
      <c r="H2163" s="47" t="s">
        <v>413</v>
      </c>
      <c r="I2163" s="48" t="s">
        <v>19</v>
      </c>
      <c r="J2163" s="49">
        <v>4000000.0</v>
      </c>
    </row>
    <row r="2164">
      <c r="A2164" s="45" t="s">
        <v>74</v>
      </c>
      <c r="B2164" s="16" t="s">
        <v>75</v>
      </c>
      <c r="C2164" s="17" t="s">
        <v>76</v>
      </c>
      <c r="D2164" s="15">
        <v>4.0</v>
      </c>
      <c r="E2164" s="17" t="s">
        <v>456</v>
      </c>
      <c r="F2164" s="15" t="s">
        <v>457</v>
      </c>
      <c r="G2164" s="46" t="s">
        <v>516</v>
      </c>
      <c r="H2164" s="47" t="s">
        <v>436</v>
      </c>
      <c r="I2164" s="48" t="s">
        <v>25</v>
      </c>
      <c r="J2164" s="49">
        <v>2000000.0</v>
      </c>
    </row>
    <row r="2165">
      <c r="A2165" s="45" t="s">
        <v>74</v>
      </c>
      <c r="B2165" s="16" t="s">
        <v>75</v>
      </c>
      <c r="C2165" s="17" t="s">
        <v>76</v>
      </c>
      <c r="D2165" s="15">
        <v>4.0</v>
      </c>
      <c r="E2165" s="17" t="s">
        <v>456</v>
      </c>
      <c r="F2165" s="15" t="s">
        <v>457</v>
      </c>
      <c r="G2165" s="46" t="s">
        <v>458</v>
      </c>
      <c r="H2165" s="47" t="s">
        <v>411</v>
      </c>
      <c r="I2165" s="48" t="s">
        <v>19</v>
      </c>
      <c r="J2165" s="49">
        <v>2.03994235E8</v>
      </c>
    </row>
    <row r="2166">
      <c r="A2166" s="45" t="s">
        <v>74</v>
      </c>
      <c r="B2166" s="16" t="s">
        <v>75</v>
      </c>
      <c r="C2166" s="17" t="s">
        <v>76</v>
      </c>
      <c r="D2166" s="15">
        <v>4.0</v>
      </c>
      <c r="E2166" s="17" t="s">
        <v>482</v>
      </c>
      <c r="F2166" s="15" t="s">
        <v>483</v>
      </c>
      <c r="G2166" s="46" t="s">
        <v>519</v>
      </c>
      <c r="H2166" s="47" t="s">
        <v>414</v>
      </c>
      <c r="I2166" s="48" t="s">
        <v>37</v>
      </c>
      <c r="J2166" s="49">
        <v>0.0</v>
      </c>
    </row>
    <row r="2167">
      <c r="A2167" s="45" t="s">
        <v>74</v>
      </c>
      <c r="B2167" s="16" t="s">
        <v>75</v>
      </c>
      <c r="C2167" s="17" t="s">
        <v>76</v>
      </c>
      <c r="D2167" s="15">
        <v>4.0</v>
      </c>
      <c r="E2167" s="17" t="s">
        <v>459</v>
      </c>
      <c r="F2167" s="15" t="s">
        <v>460</v>
      </c>
      <c r="G2167" s="46" t="s">
        <v>519</v>
      </c>
      <c r="H2167" s="47" t="s">
        <v>414</v>
      </c>
      <c r="I2167" s="48" t="s">
        <v>37</v>
      </c>
      <c r="J2167" s="49">
        <v>1541000.0</v>
      </c>
    </row>
    <row r="2168">
      <c r="A2168" s="45" t="s">
        <v>74</v>
      </c>
      <c r="B2168" s="16" t="s">
        <v>75</v>
      </c>
      <c r="C2168" s="17" t="s">
        <v>76</v>
      </c>
      <c r="D2168" s="15">
        <v>4.0</v>
      </c>
      <c r="E2168" s="17" t="s">
        <v>459</v>
      </c>
      <c r="F2168" s="15" t="s">
        <v>460</v>
      </c>
      <c r="G2168" s="46" t="s">
        <v>465</v>
      </c>
      <c r="H2168" s="47" t="s">
        <v>466</v>
      </c>
      <c r="I2168" s="48" t="s">
        <v>17</v>
      </c>
      <c r="J2168" s="49">
        <v>8.96181119E8</v>
      </c>
    </row>
    <row r="2169">
      <c r="A2169" s="45" t="s">
        <v>74</v>
      </c>
      <c r="B2169" s="16" t="s">
        <v>75</v>
      </c>
      <c r="C2169" s="17" t="s">
        <v>76</v>
      </c>
      <c r="D2169" s="15">
        <v>4.0</v>
      </c>
      <c r="E2169" s="17" t="s">
        <v>459</v>
      </c>
      <c r="F2169" s="15" t="s">
        <v>460</v>
      </c>
      <c r="G2169" s="46" t="s">
        <v>465</v>
      </c>
      <c r="H2169" s="47" t="s">
        <v>466</v>
      </c>
      <c r="I2169" s="48" t="s">
        <v>25</v>
      </c>
      <c r="J2169" s="49">
        <v>-2.0</v>
      </c>
    </row>
    <row r="2170">
      <c r="A2170" s="45" t="s">
        <v>74</v>
      </c>
      <c r="B2170" s="16" t="s">
        <v>75</v>
      </c>
      <c r="C2170" s="17" t="s">
        <v>76</v>
      </c>
      <c r="D2170" s="15">
        <v>4.0</v>
      </c>
      <c r="E2170" s="17" t="s">
        <v>459</v>
      </c>
      <c r="F2170" s="15" t="s">
        <v>460</v>
      </c>
      <c r="G2170" s="46" t="s">
        <v>458</v>
      </c>
      <c r="H2170" s="47" t="s">
        <v>411</v>
      </c>
      <c r="I2170" s="48" t="s">
        <v>19</v>
      </c>
      <c r="J2170" s="49">
        <v>1.4791126E7</v>
      </c>
    </row>
    <row r="2171">
      <c r="A2171" s="45" t="s">
        <v>74</v>
      </c>
      <c r="B2171" s="16" t="s">
        <v>75</v>
      </c>
      <c r="C2171" s="17" t="s">
        <v>76</v>
      </c>
      <c r="D2171" s="15">
        <v>4.0</v>
      </c>
      <c r="E2171" s="17" t="s">
        <v>463</v>
      </c>
      <c r="F2171" s="15" t="s">
        <v>464</v>
      </c>
      <c r="G2171" s="46" t="s">
        <v>520</v>
      </c>
      <c r="H2171" s="47" t="s">
        <v>435</v>
      </c>
      <c r="I2171" s="48" t="s">
        <v>37</v>
      </c>
      <c r="J2171" s="49">
        <v>1445132.0</v>
      </c>
    </row>
    <row r="2172">
      <c r="A2172" s="45" t="s">
        <v>74</v>
      </c>
      <c r="B2172" s="16" t="s">
        <v>75</v>
      </c>
      <c r="C2172" s="17" t="s">
        <v>76</v>
      </c>
      <c r="D2172" s="15">
        <v>4.0</v>
      </c>
      <c r="E2172" s="17" t="s">
        <v>463</v>
      </c>
      <c r="F2172" s="15" t="s">
        <v>464</v>
      </c>
      <c r="G2172" s="46" t="s">
        <v>519</v>
      </c>
      <c r="H2172" s="47" t="s">
        <v>414</v>
      </c>
      <c r="I2172" s="48" t="s">
        <v>25</v>
      </c>
      <c r="J2172" s="49">
        <v>1098000.0</v>
      </c>
    </row>
    <row r="2173">
      <c r="A2173" s="45" t="s">
        <v>74</v>
      </c>
      <c r="B2173" s="16" t="s">
        <v>75</v>
      </c>
      <c r="C2173" s="17" t="s">
        <v>76</v>
      </c>
      <c r="D2173" s="15">
        <v>4.0</v>
      </c>
      <c r="E2173" s="17" t="s">
        <v>463</v>
      </c>
      <c r="F2173" s="15" t="s">
        <v>464</v>
      </c>
      <c r="G2173" s="46" t="s">
        <v>521</v>
      </c>
      <c r="H2173" s="47" t="s">
        <v>522</v>
      </c>
      <c r="I2173" s="48" t="s">
        <v>37</v>
      </c>
      <c r="J2173" s="49">
        <v>57800.0</v>
      </c>
    </row>
    <row r="2174">
      <c r="A2174" s="45" t="s">
        <v>74</v>
      </c>
      <c r="B2174" s="16" t="s">
        <v>75</v>
      </c>
      <c r="C2174" s="17" t="s">
        <v>76</v>
      </c>
      <c r="D2174" s="15">
        <v>4.0</v>
      </c>
      <c r="E2174" s="17" t="s">
        <v>463</v>
      </c>
      <c r="F2174" s="15" t="s">
        <v>464</v>
      </c>
      <c r="G2174" s="46" t="s">
        <v>467</v>
      </c>
      <c r="H2174" s="47" t="s">
        <v>468</v>
      </c>
      <c r="I2174" s="48" t="s">
        <v>25</v>
      </c>
      <c r="J2174" s="49">
        <v>1134500.0</v>
      </c>
    </row>
    <row r="2175">
      <c r="A2175" s="45" t="s">
        <v>74</v>
      </c>
      <c r="B2175" s="16" t="s">
        <v>75</v>
      </c>
      <c r="C2175" s="17" t="s">
        <v>76</v>
      </c>
      <c r="D2175" s="15">
        <v>4.0</v>
      </c>
      <c r="E2175" s="17" t="s">
        <v>463</v>
      </c>
      <c r="F2175" s="15" t="s">
        <v>464</v>
      </c>
      <c r="G2175" s="46" t="s">
        <v>458</v>
      </c>
      <c r="H2175" s="47" t="s">
        <v>411</v>
      </c>
      <c r="I2175" s="48" t="s">
        <v>19</v>
      </c>
      <c r="J2175" s="49">
        <v>1674154.0</v>
      </c>
    </row>
    <row r="2176">
      <c r="A2176" s="45" t="s">
        <v>74</v>
      </c>
      <c r="B2176" s="16" t="s">
        <v>75</v>
      </c>
      <c r="C2176" s="17" t="s">
        <v>76</v>
      </c>
      <c r="D2176" s="15">
        <v>4.0</v>
      </c>
      <c r="E2176" s="17" t="s">
        <v>487</v>
      </c>
      <c r="F2176" s="15" t="s">
        <v>488</v>
      </c>
      <c r="G2176" s="46" t="s">
        <v>489</v>
      </c>
      <c r="H2176" s="47" t="s">
        <v>490</v>
      </c>
      <c r="I2176" s="48" t="s">
        <v>25</v>
      </c>
      <c r="J2176" s="49">
        <v>264692.0</v>
      </c>
    </row>
    <row r="2177">
      <c r="A2177" s="45" t="s">
        <v>74</v>
      </c>
      <c r="B2177" s="16" t="s">
        <v>75</v>
      </c>
      <c r="C2177" s="17" t="s">
        <v>76</v>
      </c>
      <c r="D2177" s="15">
        <v>4.0</v>
      </c>
      <c r="E2177" s="17" t="s">
        <v>487</v>
      </c>
      <c r="F2177" s="15" t="s">
        <v>488</v>
      </c>
      <c r="G2177" s="46" t="s">
        <v>458</v>
      </c>
      <c r="H2177" s="47" t="s">
        <v>411</v>
      </c>
      <c r="I2177" s="48" t="s">
        <v>19</v>
      </c>
      <c r="J2177" s="49">
        <v>4530710.0</v>
      </c>
    </row>
    <row r="2178">
      <c r="A2178" s="45" t="s">
        <v>74</v>
      </c>
      <c r="B2178" s="16" t="s">
        <v>75</v>
      </c>
      <c r="C2178" s="17" t="s">
        <v>76</v>
      </c>
      <c r="D2178" s="15">
        <v>4.0</v>
      </c>
      <c r="E2178" s="17" t="s">
        <v>473</v>
      </c>
      <c r="F2178" s="15" t="s">
        <v>474</v>
      </c>
      <c r="G2178" s="46" t="s">
        <v>523</v>
      </c>
      <c r="H2178" s="47" t="s">
        <v>431</v>
      </c>
      <c r="I2178" s="48" t="s">
        <v>17</v>
      </c>
      <c r="J2178" s="49">
        <v>2.76498331E8</v>
      </c>
    </row>
    <row r="2179">
      <c r="A2179" s="45" t="s">
        <v>74</v>
      </c>
      <c r="B2179" s="16" t="s">
        <v>75</v>
      </c>
      <c r="C2179" s="17" t="s">
        <v>76</v>
      </c>
      <c r="D2179" s="15">
        <v>4.0</v>
      </c>
      <c r="E2179" s="17" t="s">
        <v>473</v>
      </c>
      <c r="F2179" s="15" t="s">
        <v>474</v>
      </c>
      <c r="G2179" s="46" t="s">
        <v>523</v>
      </c>
      <c r="H2179" s="47" t="s">
        <v>431</v>
      </c>
      <c r="I2179" s="48" t="s">
        <v>25</v>
      </c>
      <c r="J2179" s="49">
        <v>-1.84135973E8</v>
      </c>
    </row>
    <row r="2180">
      <c r="A2180" s="45" t="s">
        <v>74</v>
      </c>
      <c r="B2180" s="16" t="s">
        <v>75</v>
      </c>
      <c r="C2180" s="17" t="s">
        <v>76</v>
      </c>
      <c r="D2180" s="15">
        <v>4.0</v>
      </c>
      <c r="E2180" s="17" t="s">
        <v>473</v>
      </c>
      <c r="F2180" s="15" t="s">
        <v>474</v>
      </c>
      <c r="G2180" s="46" t="s">
        <v>458</v>
      </c>
      <c r="H2180" s="47" t="s">
        <v>411</v>
      </c>
      <c r="I2180" s="48" t="s">
        <v>19</v>
      </c>
      <c r="J2180" s="49">
        <v>9.305259E7</v>
      </c>
    </row>
    <row r="2181">
      <c r="A2181" s="45" t="s">
        <v>74</v>
      </c>
      <c r="B2181" s="16" t="s">
        <v>75</v>
      </c>
      <c r="C2181" s="17" t="s">
        <v>76</v>
      </c>
      <c r="D2181" s="15">
        <v>4.0</v>
      </c>
      <c r="E2181" s="17" t="s">
        <v>491</v>
      </c>
      <c r="F2181" s="15" t="s">
        <v>492</v>
      </c>
      <c r="G2181" s="46" t="s">
        <v>519</v>
      </c>
      <c r="H2181" s="47" t="s">
        <v>414</v>
      </c>
      <c r="I2181" s="48" t="s">
        <v>25</v>
      </c>
      <c r="J2181" s="49">
        <v>425000.0</v>
      </c>
    </row>
    <row r="2182">
      <c r="A2182" s="45" t="s">
        <v>74</v>
      </c>
      <c r="B2182" s="16" t="s">
        <v>75</v>
      </c>
      <c r="C2182" s="17" t="s">
        <v>76</v>
      </c>
      <c r="D2182" s="15">
        <v>4.0</v>
      </c>
      <c r="E2182" s="17" t="s">
        <v>491</v>
      </c>
      <c r="F2182" s="15" t="s">
        <v>492</v>
      </c>
      <c r="G2182" s="46" t="s">
        <v>493</v>
      </c>
      <c r="H2182" s="47" t="s">
        <v>437</v>
      </c>
      <c r="I2182" s="48" t="s">
        <v>25</v>
      </c>
      <c r="J2182" s="49">
        <v>6999848.0</v>
      </c>
    </row>
    <row r="2183">
      <c r="A2183" s="45" t="s">
        <v>74</v>
      </c>
      <c r="B2183" s="16" t="s">
        <v>75</v>
      </c>
      <c r="C2183" s="17" t="s">
        <v>76</v>
      </c>
      <c r="D2183" s="15">
        <v>4.0</v>
      </c>
      <c r="E2183" s="17" t="s">
        <v>491</v>
      </c>
      <c r="F2183" s="15" t="s">
        <v>492</v>
      </c>
      <c r="G2183" s="46" t="s">
        <v>458</v>
      </c>
      <c r="H2183" s="47" t="s">
        <v>411</v>
      </c>
      <c r="I2183" s="48" t="s">
        <v>19</v>
      </c>
      <c r="J2183" s="49">
        <v>1.0752168E7</v>
      </c>
    </row>
    <row r="2184">
      <c r="A2184" s="45" t="s">
        <v>74</v>
      </c>
      <c r="B2184" s="16" t="s">
        <v>75</v>
      </c>
      <c r="C2184" s="17" t="s">
        <v>76</v>
      </c>
      <c r="D2184" s="15">
        <v>4.0</v>
      </c>
      <c r="E2184" s="17" t="s">
        <v>494</v>
      </c>
      <c r="F2184" s="15" t="s">
        <v>495</v>
      </c>
      <c r="G2184" s="46" t="s">
        <v>519</v>
      </c>
      <c r="H2184" s="47" t="s">
        <v>414</v>
      </c>
      <c r="I2184" s="48" t="s">
        <v>25</v>
      </c>
      <c r="J2184" s="49">
        <v>915000.0</v>
      </c>
    </row>
    <row r="2185">
      <c r="A2185" s="45" t="s">
        <v>74</v>
      </c>
      <c r="B2185" s="16" t="s">
        <v>75</v>
      </c>
      <c r="C2185" s="17" t="s">
        <v>76</v>
      </c>
      <c r="D2185" s="15">
        <v>4.0</v>
      </c>
      <c r="E2185" s="17" t="s">
        <v>494</v>
      </c>
      <c r="F2185" s="15" t="s">
        <v>495</v>
      </c>
      <c r="G2185" s="46" t="s">
        <v>458</v>
      </c>
      <c r="H2185" s="47" t="s">
        <v>411</v>
      </c>
      <c r="I2185" s="48" t="s">
        <v>19</v>
      </c>
      <c r="J2185" s="49">
        <v>2048032.0</v>
      </c>
    </row>
    <row r="2186">
      <c r="A2186" s="45" t="s">
        <v>74</v>
      </c>
      <c r="B2186" s="16" t="s">
        <v>75</v>
      </c>
      <c r="C2186" s="17" t="s">
        <v>76</v>
      </c>
      <c r="D2186" s="15">
        <v>4.0</v>
      </c>
      <c r="E2186" s="17" t="s">
        <v>475</v>
      </c>
      <c r="F2186" s="15" t="s">
        <v>476</v>
      </c>
      <c r="G2186" s="46" t="s">
        <v>477</v>
      </c>
      <c r="H2186" s="47" t="s">
        <v>429</v>
      </c>
      <c r="I2186" s="48" t="s">
        <v>50</v>
      </c>
      <c r="J2186" s="49">
        <v>2.909504E7</v>
      </c>
    </row>
    <row r="2187">
      <c r="A2187" s="45" t="s">
        <v>74</v>
      </c>
      <c r="B2187" s="16" t="s">
        <v>75</v>
      </c>
      <c r="C2187" s="17" t="s">
        <v>76</v>
      </c>
      <c r="D2187" s="15">
        <v>4.0</v>
      </c>
      <c r="E2187" s="17" t="s">
        <v>475</v>
      </c>
      <c r="F2187" s="15" t="s">
        <v>476</v>
      </c>
      <c r="G2187" s="46" t="s">
        <v>530</v>
      </c>
      <c r="H2187" s="47" t="s">
        <v>531</v>
      </c>
      <c r="I2187" s="48" t="s">
        <v>50</v>
      </c>
      <c r="J2187" s="49">
        <v>1.28002E7</v>
      </c>
    </row>
    <row r="2188">
      <c r="A2188" s="45" t="s">
        <v>74</v>
      </c>
      <c r="B2188" s="16" t="s">
        <v>75</v>
      </c>
      <c r="C2188" s="17" t="s">
        <v>76</v>
      </c>
      <c r="D2188" s="15">
        <v>4.0</v>
      </c>
      <c r="E2188" s="17" t="s">
        <v>524</v>
      </c>
      <c r="F2188" s="15" t="s">
        <v>479</v>
      </c>
      <c r="G2188" s="46" t="s">
        <v>443</v>
      </c>
      <c r="H2188" s="47" t="s">
        <v>420</v>
      </c>
      <c r="I2188" s="48" t="s">
        <v>19</v>
      </c>
      <c r="J2188" s="49">
        <v>1.51786872E8</v>
      </c>
    </row>
    <row r="2189">
      <c r="A2189" s="45" t="s">
        <v>74</v>
      </c>
      <c r="B2189" s="16" t="s">
        <v>75</v>
      </c>
      <c r="C2189" s="17" t="s">
        <v>76</v>
      </c>
      <c r="D2189" s="15">
        <v>4.0</v>
      </c>
      <c r="E2189" s="17" t="s">
        <v>524</v>
      </c>
      <c r="F2189" s="15" t="s">
        <v>479</v>
      </c>
      <c r="G2189" s="46" t="s">
        <v>444</v>
      </c>
      <c r="H2189" s="47" t="s">
        <v>445</v>
      </c>
      <c r="I2189" s="48" t="s">
        <v>19</v>
      </c>
      <c r="J2189" s="49">
        <v>1.1489217E7</v>
      </c>
    </row>
    <row r="2190">
      <c r="A2190" s="45" t="s">
        <v>74</v>
      </c>
      <c r="B2190" s="16" t="s">
        <v>75</v>
      </c>
      <c r="C2190" s="17" t="s">
        <v>76</v>
      </c>
      <c r="D2190" s="15">
        <v>4.0</v>
      </c>
      <c r="E2190" s="17" t="s">
        <v>524</v>
      </c>
      <c r="F2190" s="15" t="s">
        <v>479</v>
      </c>
      <c r="G2190" s="46" t="s">
        <v>579</v>
      </c>
      <c r="H2190" s="47" t="s">
        <v>580</v>
      </c>
      <c r="I2190" s="48" t="s">
        <v>19</v>
      </c>
      <c r="J2190" s="49">
        <v>1.3198274E7</v>
      </c>
    </row>
    <row r="2191">
      <c r="A2191" s="45" t="s">
        <v>74</v>
      </c>
      <c r="B2191" s="16" t="s">
        <v>75</v>
      </c>
      <c r="C2191" s="17" t="s">
        <v>76</v>
      </c>
      <c r="D2191" s="15">
        <v>4.0</v>
      </c>
      <c r="E2191" s="17" t="s">
        <v>524</v>
      </c>
      <c r="F2191" s="15" t="s">
        <v>479</v>
      </c>
      <c r="G2191" s="46" t="s">
        <v>446</v>
      </c>
      <c r="H2191" s="47" t="s">
        <v>447</v>
      </c>
      <c r="I2191" s="48" t="s">
        <v>19</v>
      </c>
      <c r="J2191" s="49">
        <v>1489214.0</v>
      </c>
    </row>
    <row r="2192">
      <c r="A2192" s="45" t="s">
        <v>74</v>
      </c>
      <c r="B2192" s="16" t="s">
        <v>75</v>
      </c>
      <c r="C2192" s="17" t="s">
        <v>76</v>
      </c>
      <c r="D2192" s="15">
        <v>4.0</v>
      </c>
      <c r="E2192" s="17" t="s">
        <v>524</v>
      </c>
      <c r="F2192" s="15" t="s">
        <v>479</v>
      </c>
      <c r="G2192" s="46" t="s">
        <v>448</v>
      </c>
      <c r="H2192" s="47" t="s">
        <v>449</v>
      </c>
      <c r="I2192" s="48" t="s">
        <v>19</v>
      </c>
      <c r="J2192" s="49">
        <v>4086886.0</v>
      </c>
    </row>
    <row r="2193">
      <c r="A2193" s="45" t="s">
        <v>74</v>
      </c>
      <c r="B2193" s="16" t="s">
        <v>75</v>
      </c>
      <c r="C2193" s="17" t="s">
        <v>76</v>
      </c>
      <c r="D2193" s="15">
        <v>4.0</v>
      </c>
      <c r="E2193" s="17" t="s">
        <v>524</v>
      </c>
      <c r="F2193" s="15" t="s">
        <v>479</v>
      </c>
      <c r="G2193" s="46" t="s">
        <v>450</v>
      </c>
      <c r="H2193" s="47" t="s">
        <v>451</v>
      </c>
      <c r="I2193" s="48" t="s">
        <v>19</v>
      </c>
      <c r="J2193" s="49">
        <v>0.0</v>
      </c>
    </row>
    <row r="2194">
      <c r="A2194" s="45" t="s">
        <v>74</v>
      </c>
      <c r="B2194" s="16" t="s">
        <v>75</v>
      </c>
      <c r="C2194" s="17" t="s">
        <v>76</v>
      </c>
      <c r="D2194" s="15">
        <v>4.0</v>
      </c>
      <c r="E2194" s="17" t="s">
        <v>524</v>
      </c>
      <c r="F2194" s="15" t="s">
        <v>479</v>
      </c>
      <c r="G2194" s="46" t="s">
        <v>452</v>
      </c>
      <c r="H2194" s="47" t="s">
        <v>453</v>
      </c>
      <c r="I2194" s="48" t="s">
        <v>19</v>
      </c>
      <c r="J2194" s="49">
        <v>2773387.0</v>
      </c>
    </row>
    <row r="2195">
      <c r="A2195" s="45" t="s">
        <v>74</v>
      </c>
      <c r="B2195" s="16" t="s">
        <v>75</v>
      </c>
      <c r="C2195" s="17" t="s">
        <v>76</v>
      </c>
      <c r="D2195" s="15">
        <v>4.0</v>
      </c>
      <c r="E2195" s="17" t="s">
        <v>524</v>
      </c>
      <c r="F2195" s="15" t="s">
        <v>479</v>
      </c>
      <c r="G2195" s="46" t="s">
        <v>454</v>
      </c>
      <c r="H2195" s="47" t="s">
        <v>415</v>
      </c>
      <c r="I2195" s="48" t="s">
        <v>19</v>
      </c>
      <c r="J2195" s="49">
        <v>404765.0</v>
      </c>
    </row>
    <row r="2196">
      <c r="A2196" s="45" t="s">
        <v>74</v>
      </c>
      <c r="B2196" s="16" t="s">
        <v>75</v>
      </c>
      <c r="C2196" s="17" t="s">
        <v>76</v>
      </c>
      <c r="D2196" s="15">
        <v>4.0</v>
      </c>
      <c r="E2196" s="17" t="s">
        <v>524</v>
      </c>
      <c r="F2196" s="15" t="s">
        <v>479</v>
      </c>
      <c r="G2196" s="46" t="s">
        <v>455</v>
      </c>
      <c r="H2196" s="47" t="s">
        <v>415</v>
      </c>
      <c r="I2196" s="48" t="s">
        <v>19</v>
      </c>
      <c r="J2196" s="49">
        <v>224868.0</v>
      </c>
    </row>
    <row r="2197">
      <c r="A2197" s="45" t="s">
        <v>74</v>
      </c>
      <c r="B2197" s="16" t="s">
        <v>75</v>
      </c>
      <c r="C2197" s="17" t="s">
        <v>76</v>
      </c>
      <c r="D2197" s="15">
        <v>4.0</v>
      </c>
      <c r="E2197" s="17" t="s">
        <v>524</v>
      </c>
      <c r="F2197" s="15" t="s">
        <v>479</v>
      </c>
      <c r="G2197" s="46" t="s">
        <v>565</v>
      </c>
      <c r="H2197" s="47" t="s">
        <v>566</v>
      </c>
      <c r="I2197" s="48" t="s">
        <v>25</v>
      </c>
      <c r="J2197" s="49">
        <v>5400000.0</v>
      </c>
    </row>
    <row r="2198">
      <c r="A2198" s="45" t="s">
        <v>74</v>
      </c>
      <c r="B2198" s="16" t="s">
        <v>75</v>
      </c>
      <c r="C2198" s="17" t="s">
        <v>76</v>
      </c>
      <c r="D2198" s="15">
        <v>4.0</v>
      </c>
      <c r="E2198" s="17" t="s">
        <v>524</v>
      </c>
      <c r="F2198" s="15" t="s">
        <v>479</v>
      </c>
      <c r="G2198" s="46" t="s">
        <v>480</v>
      </c>
      <c r="H2198" s="47" t="s">
        <v>481</v>
      </c>
      <c r="I2198" s="48" t="s">
        <v>19</v>
      </c>
      <c r="J2198" s="49">
        <v>3385668.0</v>
      </c>
    </row>
    <row r="2199">
      <c r="A2199" s="45" t="s">
        <v>74</v>
      </c>
      <c r="B2199" s="16" t="s">
        <v>75</v>
      </c>
      <c r="C2199" s="17" t="s">
        <v>76</v>
      </c>
      <c r="D2199" s="15">
        <v>4.0</v>
      </c>
      <c r="E2199" s="17" t="s">
        <v>524</v>
      </c>
      <c r="F2199" s="15" t="s">
        <v>479</v>
      </c>
      <c r="G2199" s="46" t="s">
        <v>583</v>
      </c>
      <c r="H2199" s="47" t="s">
        <v>584</v>
      </c>
      <c r="I2199" s="48" t="s">
        <v>25</v>
      </c>
      <c r="J2199" s="49">
        <v>2.295E7</v>
      </c>
    </row>
    <row r="2200">
      <c r="A2200" s="45" t="s">
        <v>74</v>
      </c>
      <c r="B2200" s="16" t="s">
        <v>75</v>
      </c>
      <c r="C2200" s="17" t="s">
        <v>76</v>
      </c>
      <c r="D2200" s="15">
        <v>4.0</v>
      </c>
      <c r="E2200" s="17" t="s">
        <v>525</v>
      </c>
      <c r="F2200" s="15" t="s">
        <v>502</v>
      </c>
      <c r="G2200" s="46" t="s">
        <v>526</v>
      </c>
      <c r="H2200" s="47" t="s">
        <v>527</v>
      </c>
      <c r="I2200" s="48" t="s">
        <v>60</v>
      </c>
      <c r="J2200" s="49">
        <v>4.87597173E8</v>
      </c>
    </row>
    <row r="2201">
      <c r="A2201" s="45" t="s">
        <v>74</v>
      </c>
      <c r="B2201" s="16" t="s">
        <v>75</v>
      </c>
      <c r="C2201" s="17" t="s">
        <v>76</v>
      </c>
      <c r="D2201" s="15">
        <v>4.0</v>
      </c>
      <c r="E2201" s="17" t="s">
        <v>525</v>
      </c>
      <c r="F2201" s="15" t="s">
        <v>502</v>
      </c>
      <c r="G2201" s="46" t="s">
        <v>505</v>
      </c>
      <c r="H2201" s="47" t="s">
        <v>506</v>
      </c>
      <c r="I2201" s="48" t="s">
        <v>60</v>
      </c>
      <c r="J2201" s="49">
        <v>4817569.0</v>
      </c>
    </row>
    <row r="2202">
      <c r="A2202" s="45" t="s">
        <v>74</v>
      </c>
      <c r="B2202" s="16" t="s">
        <v>75</v>
      </c>
      <c r="C2202" s="17" t="s">
        <v>76</v>
      </c>
      <c r="D2202" s="15">
        <v>4.0</v>
      </c>
      <c r="E2202" s="17" t="s">
        <v>525</v>
      </c>
      <c r="F2202" s="15" t="s">
        <v>502</v>
      </c>
      <c r="G2202" s="46" t="s">
        <v>507</v>
      </c>
      <c r="H2202" s="47" t="s">
        <v>508</v>
      </c>
      <c r="I2202" s="48" t="s">
        <v>60</v>
      </c>
      <c r="J2202" s="49">
        <v>8789289.0</v>
      </c>
    </row>
    <row r="2203">
      <c r="A2203" s="45" t="s">
        <v>74</v>
      </c>
      <c r="B2203" s="16" t="s">
        <v>75</v>
      </c>
      <c r="C2203" s="17" t="s">
        <v>76</v>
      </c>
      <c r="D2203" s="15">
        <v>4.0</v>
      </c>
      <c r="E2203" s="17" t="s">
        <v>525</v>
      </c>
      <c r="F2203" s="15" t="s">
        <v>502</v>
      </c>
      <c r="G2203" s="46" t="s">
        <v>509</v>
      </c>
      <c r="H2203" s="47" t="s">
        <v>510</v>
      </c>
      <c r="I2203" s="48" t="s">
        <v>60</v>
      </c>
      <c r="J2203" s="49">
        <v>4500280.0</v>
      </c>
    </row>
    <row r="2204">
      <c r="A2204" s="45" t="s">
        <v>74</v>
      </c>
      <c r="B2204" s="16" t="s">
        <v>75</v>
      </c>
      <c r="C2204" s="17" t="s">
        <v>76</v>
      </c>
      <c r="D2204" s="15">
        <v>4.0</v>
      </c>
      <c r="E2204" s="17" t="s">
        <v>525</v>
      </c>
      <c r="F2204" s="15" t="s">
        <v>502</v>
      </c>
      <c r="G2204" s="46" t="s">
        <v>511</v>
      </c>
      <c r="H2204" s="47" t="s">
        <v>512</v>
      </c>
      <c r="I2204" s="48" t="s">
        <v>60</v>
      </c>
      <c r="J2204" s="49">
        <v>6.1906249E7</v>
      </c>
    </row>
    <row r="2205">
      <c r="A2205" s="45" t="s">
        <v>74</v>
      </c>
      <c r="B2205" s="16" t="s">
        <v>75</v>
      </c>
      <c r="C2205" s="17" t="s">
        <v>76</v>
      </c>
      <c r="D2205" s="15">
        <v>4.0</v>
      </c>
      <c r="E2205" s="17" t="s">
        <v>525</v>
      </c>
      <c r="F2205" s="15" t="s">
        <v>502</v>
      </c>
      <c r="G2205" s="46" t="s">
        <v>513</v>
      </c>
      <c r="H2205" s="47" t="s">
        <v>514</v>
      </c>
      <c r="I2205" s="48" t="s">
        <v>60</v>
      </c>
      <c r="J2205" s="49">
        <v>5347829.0</v>
      </c>
    </row>
    <row r="2206">
      <c r="A2206" s="45" t="s">
        <v>74</v>
      </c>
      <c r="B2206" s="16" t="s">
        <v>75</v>
      </c>
      <c r="C2206" s="17" t="s">
        <v>76</v>
      </c>
      <c r="D2206" s="15">
        <v>4.0</v>
      </c>
      <c r="E2206" s="17" t="s">
        <v>525</v>
      </c>
      <c r="F2206" s="15" t="s">
        <v>502</v>
      </c>
      <c r="G2206" s="46" t="s">
        <v>528</v>
      </c>
      <c r="H2206" s="47" t="s">
        <v>529</v>
      </c>
      <c r="I2206" s="48" t="s">
        <v>60</v>
      </c>
      <c r="J2206" s="49">
        <v>4523282.0</v>
      </c>
    </row>
    <row r="2207">
      <c r="A2207" s="45" t="s">
        <v>74</v>
      </c>
      <c r="B2207" s="16" t="s">
        <v>75</v>
      </c>
      <c r="C2207" s="17" t="s">
        <v>76</v>
      </c>
      <c r="D2207" s="15">
        <v>4.0</v>
      </c>
      <c r="E2207" s="17" t="s">
        <v>548</v>
      </c>
      <c r="F2207" s="15" t="s">
        <v>549</v>
      </c>
      <c r="G2207" s="46" t="s">
        <v>550</v>
      </c>
      <c r="H2207" s="47" t="s">
        <v>551</v>
      </c>
      <c r="I2207" s="48" t="s">
        <v>25</v>
      </c>
      <c r="J2207" s="49">
        <v>1.09734E8</v>
      </c>
    </row>
    <row r="2208">
      <c r="A2208" s="45" t="s">
        <v>74</v>
      </c>
      <c r="B2208" s="16" t="s">
        <v>148</v>
      </c>
      <c r="C2208" s="17" t="s">
        <v>149</v>
      </c>
      <c r="D2208" s="15">
        <v>4.0</v>
      </c>
      <c r="E2208" s="17" t="s">
        <v>441</v>
      </c>
      <c r="F2208" s="15" t="s">
        <v>442</v>
      </c>
      <c r="G2208" s="46" t="s">
        <v>443</v>
      </c>
      <c r="H2208" s="47" t="s">
        <v>420</v>
      </c>
      <c r="I2208" s="48" t="s">
        <v>19</v>
      </c>
      <c r="J2208" s="49">
        <v>5.3516641E7</v>
      </c>
    </row>
    <row r="2209">
      <c r="A2209" s="45" t="s">
        <v>74</v>
      </c>
      <c r="B2209" s="16" t="s">
        <v>148</v>
      </c>
      <c r="C2209" s="17" t="s">
        <v>149</v>
      </c>
      <c r="D2209" s="15">
        <v>4.0</v>
      </c>
      <c r="E2209" s="17" t="s">
        <v>441</v>
      </c>
      <c r="F2209" s="15" t="s">
        <v>442</v>
      </c>
      <c r="G2209" s="46" t="s">
        <v>444</v>
      </c>
      <c r="H2209" s="47" t="s">
        <v>445</v>
      </c>
      <c r="I2209" s="48" t="s">
        <v>19</v>
      </c>
      <c r="J2209" s="49">
        <v>7773949.0</v>
      </c>
    </row>
    <row r="2210">
      <c r="A2210" s="45" t="s">
        <v>74</v>
      </c>
      <c r="B2210" s="16" t="s">
        <v>148</v>
      </c>
      <c r="C2210" s="17" t="s">
        <v>149</v>
      </c>
      <c r="D2210" s="15">
        <v>4.0</v>
      </c>
      <c r="E2210" s="17" t="s">
        <v>441</v>
      </c>
      <c r="F2210" s="15" t="s">
        <v>442</v>
      </c>
      <c r="G2210" s="46" t="s">
        <v>579</v>
      </c>
      <c r="H2210" s="47" t="s">
        <v>580</v>
      </c>
      <c r="I2210" s="48" t="s">
        <v>19</v>
      </c>
      <c r="J2210" s="49">
        <v>5747108.0</v>
      </c>
    </row>
    <row r="2211">
      <c r="A2211" s="45" t="s">
        <v>74</v>
      </c>
      <c r="B2211" s="16" t="s">
        <v>148</v>
      </c>
      <c r="C2211" s="17" t="s">
        <v>149</v>
      </c>
      <c r="D2211" s="15">
        <v>4.0</v>
      </c>
      <c r="E2211" s="17" t="s">
        <v>441</v>
      </c>
      <c r="F2211" s="15" t="s">
        <v>442</v>
      </c>
      <c r="G2211" s="46" t="s">
        <v>446</v>
      </c>
      <c r="H2211" s="47" t="s">
        <v>447</v>
      </c>
      <c r="I2211" s="48" t="s">
        <v>19</v>
      </c>
      <c r="J2211" s="49">
        <v>538513.0</v>
      </c>
    </row>
    <row r="2212">
      <c r="A2212" s="45" t="s">
        <v>74</v>
      </c>
      <c r="B2212" s="16" t="s">
        <v>148</v>
      </c>
      <c r="C2212" s="17" t="s">
        <v>149</v>
      </c>
      <c r="D2212" s="15">
        <v>4.0</v>
      </c>
      <c r="E2212" s="17" t="s">
        <v>441</v>
      </c>
      <c r="F2212" s="15" t="s">
        <v>442</v>
      </c>
      <c r="G2212" s="46" t="s">
        <v>448</v>
      </c>
      <c r="H2212" s="47" t="s">
        <v>449</v>
      </c>
      <c r="I2212" s="48" t="s">
        <v>19</v>
      </c>
      <c r="J2212" s="49">
        <v>1519958.0</v>
      </c>
    </row>
    <row r="2213">
      <c r="A2213" s="45" t="s">
        <v>74</v>
      </c>
      <c r="B2213" s="16" t="s">
        <v>148</v>
      </c>
      <c r="C2213" s="17" t="s">
        <v>149</v>
      </c>
      <c r="D2213" s="15">
        <v>4.0</v>
      </c>
      <c r="E2213" s="17" t="s">
        <v>441</v>
      </c>
      <c r="F2213" s="15" t="s">
        <v>442</v>
      </c>
      <c r="G2213" s="46" t="s">
        <v>450</v>
      </c>
      <c r="H2213" s="47" t="s">
        <v>451</v>
      </c>
      <c r="I2213" s="48" t="s">
        <v>19</v>
      </c>
      <c r="J2213" s="49">
        <v>0.0</v>
      </c>
    </row>
    <row r="2214">
      <c r="A2214" s="45" t="s">
        <v>74</v>
      </c>
      <c r="B2214" s="16" t="s">
        <v>148</v>
      </c>
      <c r="C2214" s="17" t="s">
        <v>149</v>
      </c>
      <c r="D2214" s="15">
        <v>4.0</v>
      </c>
      <c r="E2214" s="17" t="s">
        <v>441</v>
      </c>
      <c r="F2214" s="15" t="s">
        <v>442</v>
      </c>
      <c r="G2214" s="46" t="s">
        <v>452</v>
      </c>
      <c r="H2214" s="47" t="s">
        <v>453</v>
      </c>
      <c r="I2214" s="48" t="s">
        <v>19</v>
      </c>
      <c r="J2214" s="49">
        <v>1123939.0</v>
      </c>
    </row>
    <row r="2215">
      <c r="A2215" s="45" t="s">
        <v>74</v>
      </c>
      <c r="B2215" s="16" t="s">
        <v>148</v>
      </c>
      <c r="C2215" s="17" t="s">
        <v>149</v>
      </c>
      <c r="D2215" s="15">
        <v>4.0</v>
      </c>
      <c r="E2215" s="17" t="s">
        <v>441</v>
      </c>
      <c r="F2215" s="15" t="s">
        <v>442</v>
      </c>
      <c r="G2215" s="46" t="s">
        <v>454</v>
      </c>
      <c r="H2215" s="47" t="s">
        <v>415</v>
      </c>
      <c r="I2215" s="48" t="s">
        <v>19</v>
      </c>
      <c r="J2215" s="49">
        <v>164034.0</v>
      </c>
    </row>
    <row r="2216">
      <c r="A2216" s="45" t="s">
        <v>74</v>
      </c>
      <c r="B2216" s="16" t="s">
        <v>148</v>
      </c>
      <c r="C2216" s="17" t="s">
        <v>149</v>
      </c>
      <c r="D2216" s="15">
        <v>4.0</v>
      </c>
      <c r="E2216" s="17" t="s">
        <v>441</v>
      </c>
      <c r="F2216" s="15" t="s">
        <v>442</v>
      </c>
      <c r="G2216" s="46" t="s">
        <v>455</v>
      </c>
      <c r="H2216" s="47" t="s">
        <v>415</v>
      </c>
      <c r="I2216" s="48" t="s">
        <v>19</v>
      </c>
      <c r="J2216" s="49">
        <v>91130.0</v>
      </c>
    </row>
    <row r="2217">
      <c r="A2217" s="45" t="s">
        <v>74</v>
      </c>
      <c r="B2217" s="16" t="s">
        <v>148</v>
      </c>
      <c r="C2217" s="17" t="s">
        <v>149</v>
      </c>
      <c r="D2217" s="15">
        <v>4.0</v>
      </c>
      <c r="E2217" s="17" t="s">
        <v>441</v>
      </c>
      <c r="F2217" s="15" t="s">
        <v>442</v>
      </c>
      <c r="G2217" s="46" t="s">
        <v>583</v>
      </c>
      <c r="H2217" s="47" t="s">
        <v>584</v>
      </c>
      <c r="I2217" s="48" t="s">
        <v>25</v>
      </c>
      <c r="J2217" s="49">
        <v>7650000.0</v>
      </c>
    </row>
    <row r="2218">
      <c r="A2218" s="45" t="s">
        <v>74</v>
      </c>
      <c r="B2218" s="16" t="s">
        <v>148</v>
      </c>
      <c r="C2218" s="17" t="s">
        <v>149</v>
      </c>
      <c r="D2218" s="15">
        <v>4.0</v>
      </c>
      <c r="E2218" s="17" t="s">
        <v>456</v>
      </c>
      <c r="F2218" s="15" t="s">
        <v>457</v>
      </c>
      <c r="G2218" s="46" t="s">
        <v>443</v>
      </c>
      <c r="H2218" s="47" t="s">
        <v>420</v>
      </c>
      <c r="I2218" s="48" t="s">
        <v>19</v>
      </c>
      <c r="J2218" s="49">
        <v>-3.249666E7</v>
      </c>
    </row>
    <row r="2219">
      <c r="A2219" s="45" t="s">
        <v>74</v>
      </c>
      <c r="B2219" s="16" t="s">
        <v>148</v>
      </c>
      <c r="C2219" s="17" t="s">
        <v>149</v>
      </c>
      <c r="D2219" s="15">
        <v>4.0</v>
      </c>
      <c r="E2219" s="17" t="s">
        <v>456</v>
      </c>
      <c r="F2219" s="15" t="s">
        <v>457</v>
      </c>
      <c r="G2219" s="46" t="s">
        <v>515</v>
      </c>
      <c r="H2219" s="47" t="s">
        <v>413</v>
      </c>
      <c r="I2219" s="48" t="s">
        <v>19</v>
      </c>
      <c r="J2219" s="49">
        <v>3000000.0</v>
      </c>
    </row>
    <row r="2220">
      <c r="A2220" s="45" t="s">
        <v>74</v>
      </c>
      <c r="B2220" s="16" t="s">
        <v>148</v>
      </c>
      <c r="C2220" s="17" t="s">
        <v>149</v>
      </c>
      <c r="D2220" s="15">
        <v>4.0</v>
      </c>
      <c r="E2220" s="17" t="s">
        <v>456</v>
      </c>
      <c r="F2220" s="15" t="s">
        <v>457</v>
      </c>
      <c r="G2220" s="46" t="s">
        <v>458</v>
      </c>
      <c r="H2220" s="47" t="s">
        <v>411</v>
      </c>
      <c r="I2220" s="48" t="s">
        <v>19</v>
      </c>
      <c r="J2220" s="49">
        <v>1.68798956E8</v>
      </c>
    </row>
    <row r="2221">
      <c r="A2221" s="45" t="s">
        <v>74</v>
      </c>
      <c r="B2221" s="16" t="s">
        <v>148</v>
      </c>
      <c r="C2221" s="17" t="s">
        <v>149</v>
      </c>
      <c r="D2221" s="15">
        <v>4.0</v>
      </c>
      <c r="E2221" s="17" t="s">
        <v>459</v>
      </c>
      <c r="F2221" s="15" t="s">
        <v>460</v>
      </c>
      <c r="G2221" s="46" t="s">
        <v>520</v>
      </c>
      <c r="H2221" s="47" t="s">
        <v>435</v>
      </c>
      <c r="I2221" s="48" t="s">
        <v>37</v>
      </c>
      <c r="J2221" s="49">
        <v>234500.0</v>
      </c>
    </row>
    <row r="2222">
      <c r="A2222" s="45" t="s">
        <v>74</v>
      </c>
      <c r="B2222" s="16" t="s">
        <v>148</v>
      </c>
      <c r="C2222" s="17" t="s">
        <v>149</v>
      </c>
      <c r="D2222" s="15">
        <v>4.0</v>
      </c>
      <c r="E2222" s="17" t="s">
        <v>459</v>
      </c>
      <c r="F2222" s="15" t="s">
        <v>460</v>
      </c>
      <c r="G2222" s="46" t="s">
        <v>521</v>
      </c>
      <c r="H2222" s="47" t="s">
        <v>522</v>
      </c>
      <c r="I2222" s="48" t="s">
        <v>37</v>
      </c>
      <c r="J2222" s="49">
        <v>57800.0</v>
      </c>
    </row>
    <row r="2223">
      <c r="A2223" s="45" t="s">
        <v>74</v>
      </c>
      <c r="B2223" s="16" t="s">
        <v>148</v>
      </c>
      <c r="C2223" s="17" t="s">
        <v>149</v>
      </c>
      <c r="D2223" s="15">
        <v>4.0</v>
      </c>
      <c r="E2223" s="17" t="s">
        <v>459</v>
      </c>
      <c r="F2223" s="15" t="s">
        <v>460</v>
      </c>
      <c r="G2223" s="46" t="s">
        <v>443</v>
      </c>
      <c r="H2223" s="47" t="s">
        <v>420</v>
      </c>
      <c r="I2223" s="48" t="s">
        <v>19</v>
      </c>
      <c r="J2223" s="49">
        <v>-1.3296458E7</v>
      </c>
    </row>
    <row r="2224">
      <c r="A2224" s="45" t="s">
        <v>74</v>
      </c>
      <c r="B2224" s="16" t="s">
        <v>148</v>
      </c>
      <c r="C2224" s="17" t="s">
        <v>149</v>
      </c>
      <c r="D2224" s="15">
        <v>4.0</v>
      </c>
      <c r="E2224" s="17" t="s">
        <v>459</v>
      </c>
      <c r="F2224" s="15" t="s">
        <v>460</v>
      </c>
      <c r="G2224" s="46" t="s">
        <v>458</v>
      </c>
      <c r="H2224" s="47" t="s">
        <v>411</v>
      </c>
      <c r="I2224" s="48" t="s">
        <v>19</v>
      </c>
      <c r="J2224" s="49">
        <v>2.7304052E7</v>
      </c>
    </row>
    <row r="2225">
      <c r="A2225" s="45" t="s">
        <v>74</v>
      </c>
      <c r="B2225" s="16" t="s">
        <v>148</v>
      </c>
      <c r="C2225" s="17" t="s">
        <v>149</v>
      </c>
      <c r="D2225" s="15">
        <v>4.0</v>
      </c>
      <c r="E2225" s="17" t="s">
        <v>463</v>
      </c>
      <c r="F2225" s="15" t="s">
        <v>464</v>
      </c>
      <c r="G2225" s="46" t="s">
        <v>520</v>
      </c>
      <c r="H2225" s="47" t="s">
        <v>435</v>
      </c>
      <c r="I2225" s="48" t="s">
        <v>37</v>
      </c>
      <c r="J2225" s="49">
        <v>244955.0</v>
      </c>
    </row>
    <row r="2226">
      <c r="A2226" s="45" t="s">
        <v>74</v>
      </c>
      <c r="B2226" s="16" t="s">
        <v>148</v>
      </c>
      <c r="C2226" s="17" t="s">
        <v>149</v>
      </c>
      <c r="D2226" s="15">
        <v>4.0</v>
      </c>
      <c r="E2226" s="17" t="s">
        <v>463</v>
      </c>
      <c r="F2226" s="15" t="s">
        <v>464</v>
      </c>
      <c r="G2226" s="46" t="s">
        <v>443</v>
      </c>
      <c r="H2226" s="47" t="s">
        <v>420</v>
      </c>
      <c r="I2226" s="48" t="s">
        <v>19</v>
      </c>
      <c r="J2226" s="49">
        <v>-1.6391378E7</v>
      </c>
    </row>
    <row r="2227">
      <c r="A2227" s="45" t="s">
        <v>74</v>
      </c>
      <c r="B2227" s="16" t="s">
        <v>148</v>
      </c>
      <c r="C2227" s="17" t="s">
        <v>149</v>
      </c>
      <c r="D2227" s="15">
        <v>4.0</v>
      </c>
      <c r="E2227" s="17" t="s">
        <v>463</v>
      </c>
      <c r="F2227" s="15" t="s">
        <v>464</v>
      </c>
      <c r="G2227" s="46" t="s">
        <v>458</v>
      </c>
      <c r="H2227" s="47" t="s">
        <v>411</v>
      </c>
      <c r="I2227" s="48" t="s">
        <v>19</v>
      </c>
      <c r="J2227" s="49">
        <v>3.1801321E7</v>
      </c>
    </row>
    <row r="2228">
      <c r="A2228" s="45" t="s">
        <v>74</v>
      </c>
      <c r="B2228" s="16" t="s">
        <v>148</v>
      </c>
      <c r="C2228" s="17" t="s">
        <v>149</v>
      </c>
      <c r="D2228" s="15">
        <v>4.0</v>
      </c>
      <c r="E2228" s="17" t="s">
        <v>487</v>
      </c>
      <c r="F2228" s="15" t="s">
        <v>488</v>
      </c>
      <c r="G2228" s="46" t="s">
        <v>443</v>
      </c>
      <c r="H2228" s="47" t="s">
        <v>420</v>
      </c>
      <c r="I2228" s="48" t="s">
        <v>19</v>
      </c>
      <c r="J2228" s="49">
        <v>-4.1448796E7</v>
      </c>
    </row>
    <row r="2229">
      <c r="A2229" s="45" t="s">
        <v>74</v>
      </c>
      <c r="B2229" s="16" t="s">
        <v>148</v>
      </c>
      <c r="C2229" s="17" t="s">
        <v>149</v>
      </c>
      <c r="D2229" s="15">
        <v>4.0</v>
      </c>
      <c r="E2229" s="17" t="s">
        <v>487</v>
      </c>
      <c r="F2229" s="15" t="s">
        <v>488</v>
      </c>
      <c r="G2229" s="46" t="s">
        <v>458</v>
      </c>
      <c r="H2229" s="47" t="s">
        <v>411</v>
      </c>
      <c r="I2229" s="48" t="s">
        <v>19</v>
      </c>
      <c r="J2229" s="49">
        <v>0.0</v>
      </c>
    </row>
    <row r="2230">
      <c r="A2230" s="45" t="s">
        <v>74</v>
      </c>
      <c r="B2230" s="16" t="s">
        <v>148</v>
      </c>
      <c r="C2230" s="17" t="s">
        <v>149</v>
      </c>
      <c r="D2230" s="15">
        <v>4.0</v>
      </c>
      <c r="E2230" s="17" t="s">
        <v>487</v>
      </c>
      <c r="F2230" s="15" t="s">
        <v>488</v>
      </c>
      <c r="G2230" s="46" t="s">
        <v>530</v>
      </c>
      <c r="H2230" s="47" t="s">
        <v>531</v>
      </c>
      <c r="I2230" s="48" t="s">
        <v>50</v>
      </c>
      <c r="J2230" s="49">
        <v>1.6092819E7</v>
      </c>
    </row>
    <row r="2231">
      <c r="A2231" s="45" t="s">
        <v>74</v>
      </c>
      <c r="B2231" s="16" t="s">
        <v>148</v>
      </c>
      <c r="C2231" s="17" t="s">
        <v>149</v>
      </c>
      <c r="D2231" s="15">
        <v>4.0</v>
      </c>
      <c r="E2231" s="17" t="s">
        <v>469</v>
      </c>
      <c r="F2231" s="15" t="s">
        <v>470</v>
      </c>
      <c r="G2231" s="46" t="s">
        <v>517</v>
      </c>
      <c r="H2231" s="47" t="s">
        <v>518</v>
      </c>
      <c r="I2231" s="48" t="s">
        <v>25</v>
      </c>
      <c r="J2231" s="49">
        <v>350000.0</v>
      </c>
    </row>
    <row r="2232">
      <c r="A2232" s="45" t="s">
        <v>74</v>
      </c>
      <c r="B2232" s="16" t="s">
        <v>148</v>
      </c>
      <c r="C2232" s="17" t="s">
        <v>149</v>
      </c>
      <c r="D2232" s="15">
        <v>4.0</v>
      </c>
      <c r="E2232" s="17" t="s">
        <v>473</v>
      </c>
      <c r="F2232" s="15" t="s">
        <v>474</v>
      </c>
      <c r="G2232" s="46" t="s">
        <v>498</v>
      </c>
      <c r="H2232" s="47" t="s">
        <v>434</v>
      </c>
      <c r="I2232" s="48" t="s">
        <v>25</v>
      </c>
      <c r="J2232" s="49">
        <v>1925000.0</v>
      </c>
    </row>
    <row r="2233">
      <c r="A2233" s="45" t="s">
        <v>74</v>
      </c>
      <c r="B2233" s="16" t="s">
        <v>148</v>
      </c>
      <c r="C2233" s="17" t="s">
        <v>149</v>
      </c>
      <c r="D2233" s="15">
        <v>4.0</v>
      </c>
      <c r="E2233" s="17" t="s">
        <v>473</v>
      </c>
      <c r="F2233" s="15" t="s">
        <v>474</v>
      </c>
      <c r="G2233" s="46" t="s">
        <v>523</v>
      </c>
      <c r="H2233" s="47" t="s">
        <v>431</v>
      </c>
      <c r="I2233" s="48" t="s">
        <v>17</v>
      </c>
      <c r="J2233" s="49">
        <v>1.96892765E8</v>
      </c>
    </row>
    <row r="2234">
      <c r="A2234" s="45" t="s">
        <v>74</v>
      </c>
      <c r="B2234" s="16" t="s">
        <v>148</v>
      </c>
      <c r="C2234" s="17" t="s">
        <v>149</v>
      </c>
      <c r="D2234" s="15">
        <v>4.0</v>
      </c>
      <c r="E2234" s="17" t="s">
        <v>473</v>
      </c>
      <c r="F2234" s="15" t="s">
        <v>474</v>
      </c>
      <c r="G2234" s="46" t="s">
        <v>523</v>
      </c>
      <c r="H2234" s="47" t="s">
        <v>431</v>
      </c>
      <c r="I2234" s="48" t="s">
        <v>25</v>
      </c>
      <c r="J2234" s="49">
        <v>-2.3634723E8</v>
      </c>
    </row>
    <row r="2235">
      <c r="A2235" s="45" t="s">
        <v>74</v>
      </c>
      <c r="B2235" s="16" t="s">
        <v>148</v>
      </c>
      <c r="C2235" s="17" t="s">
        <v>149</v>
      </c>
      <c r="D2235" s="15">
        <v>4.0</v>
      </c>
      <c r="E2235" s="17" t="s">
        <v>473</v>
      </c>
      <c r="F2235" s="15" t="s">
        <v>474</v>
      </c>
      <c r="G2235" s="46" t="s">
        <v>516</v>
      </c>
      <c r="H2235" s="47" t="s">
        <v>436</v>
      </c>
      <c r="I2235" s="48" t="s">
        <v>25</v>
      </c>
      <c r="J2235" s="49">
        <v>2161000.0</v>
      </c>
    </row>
    <row r="2236">
      <c r="A2236" s="45" t="s">
        <v>74</v>
      </c>
      <c r="B2236" s="16" t="s">
        <v>148</v>
      </c>
      <c r="C2236" s="17" t="s">
        <v>149</v>
      </c>
      <c r="D2236" s="15">
        <v>4.0</v>
      </c>
      <c r="E2236" s="17" t="s">
        <v>473</v>
      </c>
      <c r="F2236" s="15" t="s">
        <v>474</v>
      </c>
      <c r="G2236" s="46" t="s">
        <v>458</v>
      </c>
      <c r="H2236" s="47" t="s">
        <v>411</v>
      </c>
      <c r="I2236" s="48" t="s">
        <v>19</v>
      </c>
      <c r="J2236" s="49">
        <v>3.957828E7</v>
      </c>
    </row>
    <row r="2237">
      <c r="A2237" s="45" t="s">
        <v>74</v>
      </c>
      <c r="B2237" s="16" t="s">
        <v>148</v>
      </c>
      <c r="C2237" s="17" t="s">
        <v>149</v>
      </c>
      <c r="D2237" s="15">
        <v>4.0</v>
      </c>
      <c r="E2237" s="17" t="s">
        <v>491</v>
      </c>
      <c r="F2237" s="15" t="s">
        <v>492</v>
      </c>
      <c r="G2237" s="46" t="s">
        <v>493</v>
      </c>
      <c r="H2237" s="47" t="s">
        <v>437</v>
      </c>
      <c r="I2237" s="48" t="s">
        <v>25</v>
      </c>
      <c r="J2237" s="49">
        <v>2273352.0</v>
      </c>
    </row>
    <row r="2238">
      <c r="A2238" s="45" t="s">
        <v>74</v>
      </c>
      <c r="B2238" s="16" t="s">
        <v>148</v>
      </c>
      <c r="C2238" s="17" t="s">
        <v>149</v>
      </c>
      <c r="D2238" s="15">
        <v>4.0</v>
      </c>
      <c r="E2238" s="17" t="s">
        <v>475</v>
      </c>
      <c r="F2238" s="15" t="s">
        <v>476</v>
      </c>
      <c r="G2238" s="46" t="s">
        <v>498</v>
      </c>
      <c r="H2238" s="47" t="s">
        <v>434</v>
      </c>
      <c r="I2238" s="48" t="s">
        <v>25</v>
      </c>
      <c r="J2238" s="49">
        <v>-7830000.0</v>
      </c>
    </row>
    <row r="2239">
      <c r="A2239" s="45" t="s">
        <v>74</v>
      </c>
      <c r="B2239" s="16" t="s">
        <v>148</v>
      </c>
      <c r="C2239" s="17" t="s">
        <v>149</v>
      </c>
      <c r="D2239" s="15">
        <v>4.0</v>
      </c>
      <c r="E2239" s="17" t="s">
        <v>475</v>
      </c>
      <c r="F2239" s="15" t="s">
        <v>476</v>
      </c>
      <c r="G2239" s="46" t="s">
        <v>477</v>
      </c>
      <c r="H2239" s="47" t="s">
        <v>429</v>
      </c>
      <c r="I2239" s="48" t="s">
        <v>50</v>
      </c>
      <c r="J2239" s="49">
        <v>5.1205012E7</v>
      </c>
    </row>
    <row r="2240">
      <c r="A2240" s="45" t="s">
        <v>74</v>
      </c>
      <c r="B2240" s="16" t="s">
        <v>148</v>
      </c>
      <c r="C2240" s="17" t="s">
        <v>149</v>
      </c>
      <c r="D2240" s="15">
        <v>4.0</v>
      </c>
      <c r="E2240" s="17" t="s">
        <v>524</v>
      </c>
      <c r="F2240" s="15" t="s">
        <v>479</v>
      </c>
      <c r="G2240" s="46" t="s">
        <v>443</v>
      </c>
      <c r="H2240" s="47" t="s">
        <v>420</v>
      </c>
      <c r="I2240" s="48" t="s">
        <v>19</v>
      </c>
      <c r="J2240" s="49">
        <v>1.02868639E8</v>
      </c>
    </row>
    <row r="2241">
      <c r="A2241" s="45" t="s">
        <v>74</v>
      </c>
      <c r="B2241" s="16" t="s">
        <v>148</v>
      </c>
      <c r="C2241" s="17" t="s">
        <v>149</v>
      </c>
      <c r="D2241" s="15">
        <v>4.0</v>
      </c>
      <c r="E2241" s="17" t="s">
        <v>524</v>
      </c>
      <c r="F2241" s="15" t="s">
        <v>479</v>
      </c>
      <c r="G2241" s="46" t="s">
        <v>444</v>
      </c>
      <c r="H2241" s="47" t="s">
        <v>445</v>
      </c>
      <c r="I2241" s="48" t="s">
        <v>19</v>
      </c>
      <c r="J2241" s="49">
        <v>8856068.0</v>
      </c>
    </row>
    <row r="2242">
      <c r="A2242" s="45" t="s">
        <v>74</v>
      </c>
      <c r="B2242" s="16" t="s">
        <v>148</v>
      </c>
      <c r="C2242" s="17" t="s">
        <v>149</v>
      </c>
      <c r="D2242" s="15">
        <v>4.0</v>
      </c>
      <c r="E2242" s="17" t="s">
        <v>524</v>
      </c>
      <c r="F2242" s="15" t="s">
        <v>479</v>
      </c>
      <c r="G2242" s="46" t="s">
        <v>579</v>
      </c>
      <c r="H2242" s="47" t="s">
        <v>580</v>
      </c>
      <c r="I2242" s="48" t="s">
        <v>19</v>
      </c>
      <c r="J2242" s="49">
        <v>1.038339E7</v>
      </c>
    </row>
    <row r="2243">
      <c r="A2243" s="45" t="s">
        <v>74</v>
      </c>
      <c r="B2243" s="16" t="s">
        <v>148</v>
      </c>
      <c r="C2243" s="17" t="s">
        <v>149</v>
      </c>
      <c r="D2243" s="15">
        <v>4.0</v>
      </c>
      <c r="E2243" s="17" t="s">
        <v>524</v>
      </c>
      <c r="F2243" s="15" t="s">
        <v>479</v>
      </c>
      <c r="G2243" s="46" t="s">
        <v>446</v>
      </c>
      <c r="H2243" s="47" t="s">
        <v>447</v>
      </c>
      <c r="I2243" s="48" t="s">
        <v>19</v>
      </c>
      <c r="J2243" s="49">
        <v>1196067.0</v>
      </c>
    </row>
    <row r="2244">
      <c r="A2244" s="45" t="s">
        <v>74</v>
      </c>
      <c r="B2244" s="16" t="s">
        <v>148</v>
      </c>
      <c r="C2244" s="17" t="s">
        <v>149</v>
      </c>
      <c r="D2244" s="15">
        <v>4.0</v>
      </c>
      <c r="E2244" s="17" t="s">
        <v>524</v>
      </c>
      <c r="F2244" s="15" t="s">
        <v>479</v>
      </c>
      <c r="G2244" s="46" t="s">
        <v>448</v>
      </c>
      <c r="H2244" s="47" t="s">
        <v>449</v>
      </c>
      <c r="I2244" s="48" t="s">
        <v>19</v>
      </c>
      <c r="J2244" s="49">
        <v>3265112.0</v>
      </c>
    </row>
    <row r="2245">
      <c r="A2245" s="45" t="s">
        <v>74</v>
      </c>
      <c r="B2245" s="16" t="s">
        <v>148</v>
      </c>
      <c r="C2245" s="17" t="s">
        <v>149</v>
      </c>
      <c r="D2245" s="15">
        <v>4.0</v>
      </c>
      <c r="E2245" s="17" t="s">
        <v>524</v>
      </c>
      <c r="F2245" s="15" t="s">
        <v>479</v>
      </c>
      <c r="G2245" s="46" t="s">
        <v>450</v>
      </c>
      <c r="H2245" s="47" t="s">
        <v>451</v>
      </c>
      <c r="I2245" s="48" t="s">
        <v>19</v>
      </c>
      <c r="J2245" s="49">
        <v>0.0</v>
      </c>
    </row>
    <row r="2246">
      <c r="A2246" s="45" t="s">
        <v>74</v>
      </c>
      <c r="B2246" s="16" t="s">
        <v>148</v>
      </c>
      <c r="C2246" s="17" t="s">
        <v>149</v>
      </c>
      <c r="D2246" s="15">
        <v>4.0</v>
      </c>
      <c r="E2246" s="17" t="s">
        <v>524</v>
      </c>
      <c r="F2246" s="15" t="s">
        <v>479</v>
      </c>
      <c r="G2246" s="46" t="s">
        <v>452</v>
      </c>
      <c r="H2246" s="47" t="s">
        <v>453</v>
      </c>
      <c r="I2246" s="48" t="s">
        <v>19</v>
      </c>
      <c r="J2246" s="49">
        <v>2212722.0</v>
      </c>
    </row>
    <row r="2247">
      <c r="A2247" s="45" t="s">
        <v>74</v>
      </c>
      <c r="B2247" s="16" t="s">
        <v>148</v>
      </c>
      <c r="C2247" s="17" t="s">
        <v>149</v>
      </c>
      <c r="D2247" s="15">
        <v>4.0</v>
      </c>
      <c r="E2247" s="17" t="s">
        <v>524</v>
      </c>
      <c r="F2247" s="15" t="s">
        <v>479</v>
      </c>
      <c r="G2247" s="46" t="s">
        <v>454</v>
      </c>
      <c r="H2247" s="47" t="s">
        <v>415</v>
      </c>
      <c r="I2247" s="48" t="s">
        <v>19</v>
      </c>
      <c r="J2247" s="49">
        <v>322940.0</v>
      </c>
    </row>
    <row r="2248">
      <c r="A2248" s="45" t="s">
        <v>74</v>
      </c>
      <c r="B2248" s="16" t="s">
        <v>148</v>
      </c>
      <c r="C2248" s="17" t="s">
        <v>149</v>
      </c>
      <c r="D2248" s="15">
        <v>4.0</v>
      </c>
      <c r="E2248" s="17" t="s">
        <v>524</v>
      </c>
      <c r="F2248" s="15" t="s">
        <v>479</v>
      </c>
      <c r="G2248" s="46" t="s">
        <v>455</v>
      </c>
      <c r="H2248" s="47" t="s">
        <v>415</v>
      </c>
      <c r="I2248" s="48" t="s">
        <v>19</v>
      </c>
      <c r="J2248" s="49">
        <v>179409.0</v>
      </c>
    </row>
    <row r="2249">
      <c r="A2249" s="45" t="s">
        <v>74</v>
      </c>
      <c r="B2249" s="16" t="s">
        <v>148</v>
      </c>
      <c r="C2249" s="17" t="s">
        <v>149</v>
      </c>
      <c r="D2249" s="15">
        <v>4.0</v>
      </c>
      <c r="E2249" s="17" t="s">
        <v>524</v>
      </c>
      <c r="F2249" s="15" t="s">
        <v>479</v>
      </c>
      <c r="G2249" s="46" t="s">
        <v>583</v>
      </c>
      <c r="H2249" s="47" t="s">
        <v>584</v>
      </c>
      <c r="I2249" s="48" t="s">
        <v>25</v>
      </c>
      <c r="J2249" s="49">
        <v>2.04E7</v>
      </c>
    </row>
    <row r="2250">
      <c r="A2250" s="45" t="s">
        <v>74</v>
      </c>
      <c r="B2250" s="16" t="s">
        <v>148</v>
      </c>
      <c r="C2250" s="17" t="s">
        <v>149</v>
      </c>
      <c r="D2250" s="15">
        <v>4.0</v>
      </c>
      <c r="E2250" s="17" t="s">
        <v>525</v>
      </c>
      <c r="F2250" s="15" t="s">
        <v>502</v>
      </c>
      <c r="G2250" s="46" t="s">
        <v>526</v>
      </c>
      <c r="H2250" s="47" t="s">
        <v>527</v>
      </c>
      <c r="I2250" s="48" t="s">
        <v>60</v>
      </c>
      <c r="J2250" s="49">
        <v>2.01681429E8</v>
      </c>
    </row>
    <row r="2251">
      <c r="A2251" s="45" t="s">
        <v>74</v>
      </c>
      <c r="B2251" s="16" t="s">
        <v>148</v>
      </c>
      <c r="C2251" s="17" t="s">
        <v>149</v>
      </c>
      <c r="D2251" s="15">
        <v>4.0</v>
      </c>
      <c r="E2251" s="17" t="s">
        <v>525</v>
      </c>
      <c r="F2251" s="15" t="s">
        <v>502</v>
      </c>
      <c r="G2251" s="46" t="s">
        <v>505</v>
      </c>
      <c r="H2251" s="47" t="s">
        <v>506</v>
      </c>
      <c r="I2251" s="48" t="s">
        <v>60</v>
      </c>
      <c r="J2251" s="49">
        <v>7723536.0</v>
      </c>
    </row>
    <row r="2252">
      <c r="A2252" s="45" t="s">
        <v>74</v>
      </c>
      <c r="B2252" s="16" t="s">
        <v>148</v>
      </c>
      <c r="C2252" s="17" t="s">
        <v>149</v>
      </c>
      <c r="D2252" s="15">
        <v>4.0</v>
      </c>
      <c r="E2252" s="17" t="s">
        <v>525</v>
      </c>
      <c r="F2252" s="15" t="s">
        <v>502</v>
      </c>
      <c r="G2252" s="46" t="s">
        <v>507</v>
      </c>
      <c r="H2252" s="47" t="s">
        <v>508</v>
      </c>
      <c r="I2252" s="48" t="s">
        <v>60</v>
      </c>
      <c r="J2252" s="49">
        <v>1349182.0</v>
      </c>
    </row>
    <row r="2253">
      <c r="A2253" s="45" t="s">
        <v>74</v>
      </c>
      <c r="B2253" s="16" t="s">
        <v>148</v>
      </c>
      <c r="C2253" s="17" t="s">
        <v>149</v>
      </c>
      <c r="D2253" s="15">
        <v>4.0</v>
      </c>
      <c r="E2253" s="17" t="s">
        <v>525</v>
      </c>
      <c r="F2253" s="15" t="s">
        <v>502</v>
      </c>
      <c r="G2253" s="46" t="s">
        <v>509</v>
      </c>
      <c r="H2253" s="47" t="s">
        <v>510</v>
      </c>
      <c r="I2253" s="48" t="s">
        <v>60</v>
      </c>
      <c r="J2253" s="49">
        <v>660416.0</v>
      </c>
    </row>
    <row r="2254">
      <c r="A2254" s="45" t="s">
        <v>74</v>
      </c>
      <c r="B2254" s="16" t="s">
        <v>148</v>
      </c>
      <c r="C2254" s="17" t="s">
        <v>149</v>
      </c>
      <c r="D2254" s="15">
        <v>4.0</v>
      </c>
      <c r="E2254" s="17" t="s">
        <v>525</v>
      </c>
      <c r="F2254" s="15" t="s">
        <v>502</v>
      </c>
      <c r="G2254" s="46" t="s">
        <v>511</v>
      </c>
      <c r="H2254" s="47" t="s">
        <v>512</v>
      </c>
      <c r="I2254" s="48" t="s">
        <v>60</v>
      </c>
      <c r="J2254" s="49">
        <v>5.2437831E7</v>
      </c>
    </row>
    <row r="2255">
      <c r="A2255" s="45" t="s">
        <v>74</v>
      </c>
      <c r="B2255" s="16" t="s">
        <v>148</v>
      </c>
      <c r="C2255" s="17" t="s">
        <v>149</v>
      </c>
      <c r="D2255" s="15">
        <v>4.0</v>
      </c>
      <c r="E2255" s="17" t="s">
        <v>525</v>
      </c>
      <c r="F2255" s="15" t="s">
        <v>502</v>
      </c>
      <c r="G2255" s="46" t="s">
        <v>513</v>
      </c>
      <c r="H2255" s="47" t="s">
        <v>514</v>
      </c>
      <c r="I2255" s="48" t="s">
        <v>60</v>
      </c>
      <c r="J2255" s="49">
        <v>5418390.0</v>
      </c>
    </row>
    <row r="2256">
      <c r="A2256" s="45" t="s">
        <v>74</v>
      </c>
      <c r="B2256" s="16" t="s">
        <v>148</v>
      </c>
      <c r="C2256" s="17" t="s">
        <v>149</v>
      </c>
      <c r="D2256" s="15">
        <v>4.0</v>
      </c>
      <c r="E2256" s="17" t="s">
        <v>548</v>
      </c>
      <c r="F2256" s="15" t="s">
        <v>549</v>
      </c>
      <c r="G2256" s="46" t="s">
        <v>550</v>
      </c>
      <c r="H2256" s="47" t="s">
        <v>551</v>
      </c>
      <c r="I2256" s="48" t="s">
        <v>25</v>
      </c>
      <c r="J2256" s="49">
        <v>5.9461E7</v>
      </c>
    </row>
    <row r="2257">
      <c r="A2257" s="45" t="s">
        <v>74</v>
      </c>
      <c r="B2257" s="16" t="s">
        <v>148</v>
      </c>
      <c r="C2257" s="17" t="s">
        <v>149</v>
      </c>
      <c r="D2257" s="15">
        <v>4.0</v>
      </c>
      <c r="E2257" s="17" t="s">
        <v>571</v>
      </c>
      <c r="F2257" s="15" t="s">
        <v>572</v>
      </c>
      <c r="G2257" s="46" t="s">
        <v>573</v>
      </c>
      <c r="H2257" s="47" t="s">
        <v>574</v>
      </c>
      <c r="I2257" s="48" t="s">
        <v>25</v>
      </c>
      <c r="J2257" s="49">
        <v>89000.0</v>
      </c>
    </row>
    <row r="2258">
      <c r="A2258" s="45" t="s">
        <v>74</v>
      </c>
      <c r="B2258" s="16" t="s">
        <v>167</v>
      </c>
      <c r="C2258" s="17" t="s">
        <v>168</v>
      </c>
      <c r="D2258" s="15">
        <v>4.0</v>
      </c>
      <c r="E2258" s="17" t="s">
        <v>441</v>
      </c>
      <c r="F2258" s="15" t="s">
        <v>442</v>
      </c>
      <c r="G2258" s="46" t="s">
        <v>443</v>
      </c>
      <c r="H2258" s="47" t="s">
        <v>420</v>
      </c>
      <c r="I2258" s="48" t="s">
        <v>19</v>
      </c>
      <c r="J2258" s="49">
        <v>4.7567663E7</v>
      </c>
    </row>
    <row r="2259">
      <c r="A2259" s="45" t="s">
        <v>74</v>
      </c>
      <c r="B2259" s="16" t="s">
        <v>167</v>
      </c>
      <c r="C2259" s="17" t="s">
        <v>168</v>
      </c>
      <c r="D2259" s="15">
        <v>4.0</v>
      </c>
      <c r="E2259" s="17" t="s">
        <v>441</v>
      </c>
      <c r="F2259" s="15" t="s">
        <v>442</v>
      </c>
      <c r="G2259" s="46" t="s">
        <v>444</v>
      </c>
      <c r="H2259" s="47" t="s">
        <v>445</v>
      </c>
      <c r="I2259" s="48" t="s">
        <v>19</v>
      </c>
      <c r="J2259" s="49">
        <v>6153310.0</v>
      </c>
    </row>
    <row r="2260">
      <c r="A2260" s="45" t="s">
        <v>74</v>
      </c>
      <c r="B2260" s="16" t="s">
        <v>167</v>
      </c>
      <c r="C2260" s="17" t="s">
        <v>168</v>
      </c>
      <c r="D2260" s="15">
        <v>4.0</v>
      </c>
      <c r="E2260" s="17" t="s">
        <v>441</v>
      </c>
      <c r="F2260" s="15" t="s">
        <v>442</v>
      </c>
      <c r="G2260" s="46" t="s">
        <v>579</v>
      </c>
      <c r="H2260" s="47" t="s">
        <v>580</v>
      </c>
      <c r="I2260" s="48" t="s">
        <v>19</v>
      </c>
      <c r="J2260" s="49">
        <v>5062335.0</v>
      </c>
    </row>
    <row r="2261">
      <c r="A2261" s="45" t="s">
        <v>74</v>
      </c>
      <c r="B2261" s="16" t="s">
        <v>167</v>
      </c>
      <c r="C2261" s="17" t="s">
        <v>168</v>
      </c>
      <c r="D2261" s="15">
        <v>4.0</v>
      </c>
      <c r="E2261" s="17" t="s">
        <v>441</v>
      </c>
      <c r="F2261" s="15" t="s">
        <v>442</v>
      </c>
      <c r="G2261" s="46" t="s">
        <v>446</v>
      </c>
      <c r="H2261" s="47" t="s">
        <v>447</v>
      </c>
      <c r="I2261" s="48" t="s">
        <v>19</v>
      </c>
      <c r="J2261" s="49">
        <v>471027.0</v>
      </c>
    </row>
    <row r="2262">
      <c r="A2262" s="45" t="s">
        <v>74</v>
      </c>
      <c r="B2262" s="16" t="s">
        <v>167</v>
      </c>
      <c r="C2262" s="17" t="s">
        <v>168</v>
      </c>
      <c r="D2262" s="15">
        <v>4.0</v>
      </c>
      <c r="E2262" s="17" t="s">
        <v>441</v>
      </c>
      <c r="F2262" s="15" t="s">
        <v>442</v>
      </c>
      <c r="G2262" s="46" t="s">
        <v>448</v>
      </c>
      <c r="H2262" s="47" t="s">
        <v>449</v>
      </c>
      <c r="I2262" s="48" t="s">
        <v>19</v>
      </c>
      <c r="J2262" s="49">
        <v>1305590.0</v>
      </c>
    </row>
    <row r="2263">
      <c r="A2263" s="45" t="s">
        <v>74</v>
      </c>
      <c r="B2263" s="16" t="s">
        <v>167</v>
      </c>
      <c r="C2263" s="17" t="s">
        <v>168</v>
      </c>
      <c r="D2263" s="15">
        <v>4.0</v>
      </c>
      <c r="E2263" s="17" t="s">
        <v>441</v>
      </c>
      <c r="F2263" s="15" t="s">
        <v>442</v>
      </c>
      <c r="G2263" s="46" t="s">
        <v>450</v>
      </c>
      <c r="H2263" s="47" t="s">
        <v>451</v>
      </c>
      <c r="I2263" s="48" t="s">
        <v>19</v>
      </c>
      <c r="J2263" s="49">
        <v>0.0</v>
      </c>
    </row>
    <row r="2264">
      <c r="A2264" s="45" t="s">
        <v>74</v>
      </c>
      <c r="B2264" s="16" t="s">
        <v>167</v>
      </c>
      <c r="C2264" s="17" t="s">
        <v>168</v>
      </c>
      <c r="D2264" s="15">
        <v>4.0</v>
      </c>
      <c r="E2264" s="17" t="s">
        <v>441</v>
      </c>
      <c r="F2264" s="15" t="s">
        <v>442</v>
      </c>
      <c r="G2264" s="46" t="s">
        <v>452</v>
      </c>
      <c r="H2264" s="47" t="s">
        <v>453</v>
      </c>
      <c r="I2264" s="48" t="s">
        <v>19</v>
      </c>
      <c r="J2264" s="49">
        <v>871401.0</v>
      </c>
    </row>
    <row r="2265">
      <c r="A2265" s="45" t="s">
        <v>74</v>
      </c>
      <c r="B2265" s="16" t="s">
        <v>167</v>
      </c>
      <c r="C2265" s="17" t="s">
        <v>168</v>
      </c>
      <c r="D2265" s="15">
        <v>4.0</v>
      </c>
      <c r="E2265" s="17" t="s">
        <v>441</v>
      </c>
      <c r="F2265" s="15" t="s">
        <v>442</v>
      </c>
      <c r="G2265" s="46" t="s">
        <v>454</v>
      </c>
      <c r="H2265" s="47" t="s">
        <v>415</v>
      </c>
      <c r="I2265" s="48" t="s">
        <v>19</v>
      </c>
      <c r="J2265" s="49">
        <v>127177.0</v>
      </c>
    </row>
    <row r="2266">
      <c r="A2266" s="45" t="s">
        <v>74</v>
      </c>
      <c r="B2266" s="16" t="s">
        <v>167</v>
      </c>
      <c r="C2266" s="17" t="s">
        <v>168</v>
      </c>
      <c r="D2266" s="15">
        <v>4.0</v>
      </c>
      <c r="E2266" s="17" t="s">
        <v>441</v>
      </c>
      <c r="F2266" s="15" t="s">
        <v>442</v>
      </c>
      <c r="G2266" s="46" t="s">
        <v>455</v>
      </c>
      <c r="H2266" s="47" t="s">
        <v>415</v>
      </c>
      <c r="I2266" s="48" t="s">
        <v>19</v>
      </c>
      <c r="J2266" s="49">
        <v>70653.0</v>
      </c>
    </row>
    <row r="2267">
      <c r="A2267" s="45" t="s">
        <v>74</v>
      </c>
      <c r="B2267" s="16" t="s">
        <v>167</v>
      </c>
      <c r="C2267" s="17" t="s">
        <v>168</v>
      </c>
      <c r="D2267" s="15">
        <v>4.0</v>
      </c>
      <c r="E2267" s="17" t="s">
        <v>441</v>
      </c>
      <c r="F2267" s="15" t="s">
        <v>442</v>
      </c>
      <c r="G2267" s="46" t="s">
        <v>583</v>
      </c>
      <c r="H2267" s="47" t="s">
        <v>584</v>
      </c>
      <c r="I2267" s="48" t="s">
        <v>25</v>
      </c>
      <c r="J2267" s="49">
        <v>7650000.0</v>
      </c>
    </row>
    <row r="2268">
      <c r="A2268" s="45" t="s">
        <v>74</v>
      </c>
      <c r="B2268" s="16" t="s">
        <v>167</v>
      </c>
      <c r="C2268" s="17" t="s">
        <v>168</v>
      </c>
      <c r="D2268" s="15">
        <v>4.0</v>
      </c>
      <c r="E2268" s="17" t="s">
        <v>456</v>
      </c>
      <c r="F2268" s="15" t="s">
        <v>457</v>
      </c>
      <c r="G2268" s="46" t="s">
        <v>515</v>
      </c>
      <c r="H2268" s="47" t="s">
        <v>413</v>
      </c>
      <c r="I2268" s="48" t="s">
        <v>19</v>
      </c>
      <c r="J2268" s="49">
        <v>1.8329436E7</v>
      </c>
    </row>
    <row r="2269">
      <c r="A2269" s="45" t="s">
        <v>74</v>
      </c>
      <c r="B2269" s="16" t="s">
        <v>167</v>
      </c>
      <c r="C2269" s="17" t="s">
        <v>168</v>
      </c>
      <c r="D2269" s="15">
        <v>4.0</v>
      </c>
      <c r="E2269" s="17" t="s">
        <v>456</v>
      </c>
      <c r="F2269" s="15" t="s">
        <v>457</v>
      </c>
      <c r="G2269" s="46" t="s">
        <v>579</v>
      </c>
      <c r="H2269" s="47" t="s">
        <v>580</v>
      </c>
      <c r="I2269" s="48" t="s">
        <v>19</v>
      </c>
      <c r="J2269" s="49">
        <v>0.0</v>
      </c>
    </row>
    <row r="2270">
      <c r="A2270" s="45" t="s">
        <v>74</v>
      </c>
      <c r="B2270" s="16" t="s">
        <v>167</v>
      </c>
      <c r="C2270" s="17" t="s">
        <v>168</v>
      </c>
      <c r="D2270" s="15">
        <v>4.0</v>
      </c>
      <c r="E2270" s="17" t="s">
        <v>456</v>
      </c>
      <c r="F2270" s="15" t="s">
        <v>457</v>
      </c>
      <c r="G2270" s="46" t="s">
        <v>458</v>
      </c>
      <c r="H2270" s="47" t="s">
        <v>411</v>
      </c>
      <c r="I2270" s="48" t="s">
        <v>19</v>
      </c>
      <c r="J2270" s="49">
        <v>1.91569452E8</v>
      </c>
    </row>
    <row r="2271">
      <c r="A2271" s="45" t="s">
        <v>74</v>
      </c>
      <c r="B2271" s="16" t="s">
        <v>167</v>
      </c>
      <c r="C2271" s="17" t="s">
        <v>168</v>
      </c>
      <c r="D2271" s="15">
        <v>4.0</v>
      </c>
      <c r="E2271" s="17" t="s">
        <v>456</v>
      </c>
      <c r="F2271" s="15" t="s">
        <v>457</v>
      </c>
      <c r="G2271" s="46" t="s">
        <v>532</v>
      </c>
      <c r="H2271" s="47" t="s">
        <v>412</v>
      </c>
      <c r="I2271" s="48" t="s">
        <v>19</v>
      </c>
      <c r="J2271" s="49">
        <v>9571800.0</v>
      </c>
    </row>
    <row r="2272">
      <c r="A2272" s="45" t="s">
        <v>74</v>
      </c>
      <c r="B2272" s="16" t="s">
        <v>167</v>
      </c>
      <c r="C2272" s="17" t="s">
        <v>168</v>
      </c>
      <c r="D2272" s="15">
        <v>4.0</v>
      </c>
      <c r="E2272" s="17" t="s">
        <v>459</v>
      </c>
      <c r="F2272" s="15" t="s">
        <v>460</v>
      </c>
      <c r="G2272" s="46" t="s">
        <v>519</v>
      </c>
      <c r="H2272" s="47" t="s">
        <v>414</v>
      </c>
      <c r="I2272" s="48" t="s">
        <v>37</v>
      </c>
      <c r="J2272" s="49">
        <v>1023000.0</v>
      </c>
    </row>
    <row r="2273">
      <c r="A2273" s="45" t="s">
        <v>74</v>
      </c>
      <c r="B2273" s="16" t="s">
        <v>167</v>
      </c>
      <c r="C2273" s="17" t="s">
        <v>168</v>
      </c>
      <c r="D2273" s="15">
        <v>4.0</v>
      </c>
      <c r="E2273" s="17" t="s">
        <v>459</v>
      </c>
      <c r="F2273" s="15" t="s">
        <v>460</v>
      </c>
      <c r="G2273" s="46" t="s">
        <v>458</v>
      </c>
      <c r="H2273" s="47" t="s">
        <v>411</v>
      </c>
      <c r="I2273" s="48" t="s">
        <v>19</v>
      </c>
      <c r="J2273" s="49">
        <v>3921354.0</v>
      </c>
    </row>
    <row r="2274">
      <c r="A2274" s="45" t="s">
        <v>74</v>
      </c>
      <c r="B2274" s="16" t="s">
        <v>167</v>
      </c>
      <c r="C2274" s="17" t="s">
        <v>168</v>
      </c>
      <c r="D2274" s="15">
        <v>4.0</v>
      </c>
      <c r="E2274" s="17" t="s">
        <v>459</v>
      </c>
      <c r="F2274" s="15" t="s">
        <v>460</v>
      </c>
      <c r="G2274" s="46" t="s">
        <v>486</v>
      </c>
      <c r="H2274" s="47" t="s">
        <v>432</v>
      </c>
      <c r="I2274" s="48" t="s">
        <v>37</v>
      </c>
      <c r="J2274" s="49">
        <v>3245000.0</v>
      </c>
    </row>
    <row r="2275">
      <c r="A2275" s="45" t="s">
        <v>74</v>
      </c>
      <c r="B2275" s="16" t="s">
        <v>167</v>
      </c>
      <c r="C2275" s="17" t="s">
        <v>168</v>
      </c>
      <c r="D2275" s="15">
        <v>4.0</v>
      </c>
      <c r="E2275" s="17" t="s">
        <v>463</v>
      </c>
      <c r="F2275" s="15" t="s">
        <v>464</v>
      </c>
      <c r="G2275" s="46" t="s">
        <v>543</v>
      </c>
      <c r="H2275" s="47" t="s">
        <v>430</v>
      </c>
      <c r="I2275" s="48" t="s">
        <v>37</v>
      </c>
      <c r="J2275" s="49">
        <v>121000.0</v>
      </c>
    </row>
    <row r="2276">
      <c r="A2276" s="45" t="s">
        <v>74</v>
      </c>
      <c r="B2276" s="16" t="s">
        <v>167</v>
      </c>
      <c r="C2276" s="17" t="s">
        <v>168</v>
      </c>
      <c r="D2276" s="15">
        <v>4.0</v>
      </c>
      <c r="E2276" s="17" t="s">
        <v>463</v>
      </c>
      <c r="F2276" s="15" t="s">
        <v>464</v>
      </c>
      <c r="G2276" s="46" t="s">
        <v>519</v>
      </c>
      <c r="H2276" s="47" t="s">
        <v>414</v>
      </c>
      <c r="I2276" s="48" t="s">
        <v>37</v>
      </c>
      <c r="J2276" s="49">
        <v>1.8534828E7</v>
      </c>
    </row>
    <row r="2277">
      <c r="A2277" s="45" t="s">
        <v>74</v>
      </c>
      <c r="B2277" s="16" t="s">
        <v>167</v>
      </c>
      <c r="C2277" s="17" t="s">
        <v>168</v>
      </c>
      <c r="D2277" s="15">
        <v>4.0</v>
      </c>
      <c r="E2277" s="17" t="s">
        <v>463</v>
      </c>
      <c r="F2277" s="15" t="s">
        <v>464</v>
      </c>
      <c r="G2277" s="46" t="s">
        <v>458</v>
      </c>
      <c r="H2277" s="47" t="s">
        <v>411</v>
      </c>
      <c r="I2277" s="48" t="s">
        <v>19</v>
      </c>
      <c r="J2277" s="49">
        <v>1.5031857E7</v>
      </c>
    </row>
    <row r="2278">
      <c r="A2278" s="45" t="s">
        <v>74</v>
      </c>
      <c r="B2278" s="16" t="s">
        <v>167</v>
      </c>
      <c r="C2278" s="17" t="s">
        <v>168</v>
      </c>
      <c r="D2278" s="15">
        <v>4.0</v>
      </c>
      <c r="E2278" s="17" t="s">
        <v>487</v>
      </c>
      <c r="F2278" s="15" t="s">
        <v>488</v>
      </c>
      <c r="G2278" s="46" t="s">
        <v>489</v>
      </c>
      <c r="H2278" s="47" t="s">
        <v>490</v>
      </c>
      <c r="I2278" s="48" t="s">
        <v>25</v>
      </c>
      <c r="J2278" s="49">
        <v>5724484.0</v>
      </c>
    </row>
    <row r="2279">
      <c r="A2279" s="45" t="s">
        <v>74</v>
      </c>
      <c r="B2279" s="16" t="s">
        <v>167</v>
      </c>
      <c r="C2279" s="17" t="s">
        <v>168</v>
      </c>
      <c r="D2279" s="15">
        <v>4.0</v>
      </c>
      <c r="E2279" s="17" t="s">
        <v>487</v>
      </c>
      <c r="F2279" s="15" t="s">
        <v>488</v>
      </c>
      <c r="G2279" s="46" t="s">
        <v>458</v>
      </c>
      <c r="H2279" s="47" t="s">
        <v>411</v>
      </c>
      <c r="I2279" s="48" t="s">
        <v>19</v>
      </c>
      <c r="J2279" s="49">
        <v>3703501.0</v>
      </c>
    </row>
    <row r="2280">
      <c r="A2280" s="45" t="s">
        <v>74</v>
      </c>
      <c r="B2280" s="16" t="s">
        <v>167</v>
      </c>
      <c r="C2280" s="17" t="s">
        <v>168</v>
      </c>
      <c r="D2280" s="15">
        <v>4.0</v>
      </c>
      <c r="E2280" s="17" t="s">
        <v>487</v>
      </c>
      <c r="F2280" s="15" t="s">
        <v>488</v>
      </c>
      <c r="G2280" s="46" t="s">
        <v>477</v>
      </c>
      <c r="H2280" s="47" t="s">
        <v>429</v>
      </c>
      <c r="I2280" s="48" t="s">
        <v>50</v>
      </c>
      <c r="J2280" s="49">
        <v>8938574.0</v>
      </c>
    </row>
    <row r="2281">
      <c r="A2281" s="45" t="s">
        <v>74</v>
      </c>
      <c r="B2281" s="16" t="s">
        <v>167</v>
      </c>
      <c r="C2281" s="17" t="s">
        <v>168</v>
      </c>
      <c r="D2281" s="15">
        <v>4.0</v>
      </c>
      <c r="E2281" s="17" t="s">
        <v>469</v>
      </c>
      <c r="F2281" s="15" t="s">
        <v>470</v>
      </c>
      <c r="G2281" s="46" t="s">
        <v>517</v>
      </c>
      <c r="H2281" s="47" t="s">
        <v>518</v>
      </c>
      <c r="I2281" s="48" t="s">
        <v>25</v>
      </c>
      <c r="J2281" s="49">
        <v>0.0</v>
      </c>
    </row>
    <row r="2282">
      <c r="A2282" s="45" t="s">
        <v>74</v>
      </c>
      <c r="B2282" s="16" t="s">
        <v>167</v>
      </c>
      <c r="C2282" s="17" t="s">
        <v>168</v>
      </c>
      <c r="D2282" s="15">
        <v>4.0</v>
      </c>
      <c r="E2282" s="17" t="s">
        <v>473</v>
      </c>
      <c r="F2282" s="15" t="s">
        <v>474</v>
      </c>
      <c r="G2282" s="46" t="s">
        <v>523</v>
      </c>
      <c r="H2282" s="47" t="s">
        <v>431</v>
      </c>
      <c r="I2282" s="48" t="s">
        <v>17</v>
      </c>
      <c r="J2282" s="49">
        <v>2.30182977E8</v>
      </c>
    </row>
    <row r="2283">
      <c r="A2283" s="45" t="s">
        <v>74</v>
      </c>
      <c r="B2283" s="16" t="s">
        <v>167</v>
      </c>
      <c r="C2283" s="17" t="s">
        <v>168</v>
      </c>
      <c r="D2283" s="15">
        <v>4.0</v>
      </c>
      <c r="E2283" s="17" t="s">
        <v>473</v>
      </c>
      <c r="F2283" s="15" t="s">
        <v>474</v>
      </c>
      <c r="G2283" s="46" t="s">
        <v>523</v>
      </c>
      <c r="H2283" s="47" t="s">
        <v>431</v>
      </c>
      <c r="I2283" s="48" t="s">
        <v>25</v>
      </c>
      <c r="J2283" s="49">
        <v>-1.59932907E8</v>
      </c>
    </row>
    <row r="2284">
      <c r="A2284" s="45" t="s">
        <v>74</v>
      </c>
      <c r="B2284" s="16" t="s">
        <v>167</v>
      </c>
      <c r="C2284" s="17" t="s">
        <v>168</v>
      </c>
      <c r="D2284" s="15">
        <v>4.0</v>
      </c>
      <c r="E2284" s="17" t="s">
        <v>473</v>
      </c>
      <c r="F2284" s="15" t="s">
        <v>474</v>
      </c>
      <c r="G2284" s="46" t="s">
        <v>458</v>
      </c>
      <c r="H2284" s="47" t="s">
        <v>411</v>
      </c>
      <c r="I2284" s="48" t="s">
        <v>19</v>
      </c>
      <c r="J2284" s="49">
        <v>7.008732E7</v>
      </c>
    </row>
    <row r="2285">
      <c r="A2285" s="45" t="s">
        <v>74</v>
      </c>
      <c r="B2285" s="16" t="s">
        <v>167</v>
      </c>
      <c r="C2285" s="17" t="s">
        <v>168</v>
      </c>
      <c r="D2285" s="15">
        <v>4.0</v>
      </c>
      <c r="E2285" s="17" t="s">
        <v>491</v>
      </c>
      <c r="F2285" s="15" t="s">
        <v>492</v>
      </c>
      <c r="G2285" s="46" t="s">
        <v>493</v>
      </c>
      <c r="H2285" s="47" t="s">
        <v>437</v>
      </c>
      <c r="I2285" s="48" t="s">
        <v>25</v>
      </c>
      <c r="J2285" s="49">
        <v>8279408.0</v>
      </c>
    </row>
    <row r="2286">
      <c r="A2286" s="45" t="s">
        <v>74</v>
      </c>
      <c r="B2286" s="16" t="s">
        <v>167</v>
      </c>
      <c r="C2286" s="17" t="s">
        <v>168</v>
      </c>
      <c r="D2286" s="15">
        <v>4.0</v>
      </c>
      <c r="E2286" s="17" t="s">
        <v>494</v>
      </c>
      <c r="F2286" s="15" t="s">
        <v>495</v>
      </c>
      <c r="G2286" s="46" t="s">
        <v>458</v>
      </c>
      <c r="H2286" s="47" t="s">
        <v>411</v>
      </c>
      <c r="I2286" s="48" t="s">
        <v>19</v>
      </c>
      <c r="J2286" s="49">
        <v>9585532.0</v>
      </c>
    </row>
    <row r="2287">
      <c r="A2287" s="45" t="s">
        <v>74</v>
      </c>
      <c r="B2287" s="16" t="s">
        <v>167</v>
      </c>
      <c r="C2287" s="17" t="s">
        <v>168</v>
      </c>
      <c r="D2287" s="15">
        <v>4.0</v>
      </c>
      <c r="E2287" s="17" t="s">
        <v>475</v>
      </c>
      <c r="F2287" s="15" t="s">
        <v>476</v>
      </c>
      <c r="G2287" s="46" t="s">
        <v>477</v>
      </c>
      <c r="H2287" s="47" t="s">
        <v>429</v>
      </c>
      <c r="I2287" s="48" t="s">
        <v>50</v>
      </c>
      <c r="J2287" s="49">
        <v>8.882158E7</v>
      </c>
    </row>
    <row r="2288">
      <c r="A2288" s="45" t="s">
        <v>74</v>
      </c>
      <c r="B2288" s="16" t="s">
        <v>167</v>
      </c>
      <c r="C2288" s="17" t="s">
        <v>168</v>
      </c>
      <c r="D2288" s="15">
        <v>4.0</v>
      </c>
      <c r="E2288" s="17" t="s">
        <v>524</v>
      </c>
      <c r="F2288" s="15" t="s">
        <v>479</v>
      </c>
      <c r="G2288" s="46" t="s">
        <v>443</v>
      </c>
      <c r="H2288" s="47" t="s">
        <v>420</v>
      </c>
      <c r="I2288" s="48" t="s">
        <v>19</v>
      </c>
      <c r="J2288" s="49">
        <v>1.12583564E8</v>
      </c>
    </row>
    <row r="2289">
      <c r="A2289" s="45" t="s">
        <v>74</v>
      </c>
      <c r="B2289" s="16" t="s">
        <v>167</v>
      </c>
      <c r="C2289" s="17" t="s">
        <v>168</v>
      </c>
      <c r="D2289" s="15">
        <v>4.0</v>
      </c>
      <c r="E2289" s="17" t="s">
        <v>524</v>
      </c>
      <c r="F2289" s="15" t="s">
        <v>479</v>
      </c>
      <c r="G2289" s="46" t="s">
        <v>444</v>
      </c>
      <c r="H2289" s="47" t="s">
        <v>445</v>
      </c>
      <c r="I2289" s="48" t="s">
        <v>19</v>
      </c>
      <c r="J2289" s="49">
        <v>1.0070695E7</v>
      </c>
    </row>
    <row r="2290">
      <c r="A2290" s="45" t="s">
        <v>74</v>
      </c>
      <c r="B2290" s="16" t="s">
        <v>167</v>
      </c>
      <c r="C2290" s="17" t="s">
        <v>168</v>
      </c>
      <c r="D2290" s="15">
        <v>4.0</v>
      </c>
      <c r="E2290" s="17" t="s">
        <v>524</v>
      </c>
      <c r="F2290" s="15" t="s">
        <v>479</v>
      </c>
      <c r="G2290" s="46" t="s">
        <v>579</v>
      </c>
      <c r="H2290" s="47" t="s">
        <v>580</v>
      </c>
      <c r="I2290" s="48" t="s">
        <v>19</v>
      </c>
      <c r="J2290" s="49">
        <v>1.1204292E7</v>
      </c>
    </row>
    <row r="2291">
      <c r="A2291" s="45" t="s">
        <v>74</v>
      </c>
      <c r="B2291" s="16" t="s">
        <v>167</v>
      </c>
      <c r="C2291" s="17" t="s">
        <v>168</v>
      </c>
      <c r="D2291" s="15">
        <v>4.0</v>
      </c>
      <c r="E2291" s="17" t="s">
        <v>524</v>
      </c>
      <c r="F2291" s="15" t="s">
        <v>479</v>
      </c>
      <c r="G2291" s="46" t="s">
        <v>446</v>
      </c>
      <c r="H2291" s="47" t="s">
        <v>447</v>
      </c>
      <c r="I2291" s="48" t="s">
        <v>19</v>
      </c>
      <c r="J2291" s="49">
        <v>1241069.0</v>
      </c>
    </row>
    <row r="2292">
      <c r="A2292" s="45" t="s">
        <v>74</v>
      </c>
      <c r="B2292" s="16" t="s">
        <v>167</v>
      </c>
      <c r="C2292" s="17" t="s">
        <v>168</v>
      </c>
      <c r="D2292" s="15">
        <v>4.0</v>
      </c>
      <c r="E2292" s="17" t="s">
        <v>524</v>
      </c>
      <c r="F2292" s="15" t="s">
        <v>479</v>
      </c>
      <c r="G2292" s="46" t="s">
        <v>448</v>
      </c>
      <c r="H2292" s="47" t="s">
        <v>449</v>
      </c>
      <c r="I2292" s="48" t="s">
        <v>19</v>
      </c>
      <c r="J2292" s="49">
        <v>3439977.0</v>
      </c>
    </row>
    <row r="2293">
      <c r="A2293" s="45" t="s">
        <v>74</v>
      </c>
      <c r="B2293" s="16" t="s">
        <v>167</v>
      </c>
      <c r="C2293" s="17" t="s">
        <v>168</v>
      </c>
      <c r="D2293" s="15">
        <v>4.0</v>
      </c>
      <c r="E2293" s="17" t="s">
        <v>524</v>
      </c>
      <c r="F2293" s="15" t="s">
        <v>479</v>
      </c>
      <c r="G2293" s="46" t="s">
        <v>450</v>
      </c>
      <c r="H2293" s="47" t="s">
        <v>451</v>
      </c>
      <c r="I2293" s="48" t="s">
        <v>19</v>
      </c>
      <c r="J2293" s="49">
        <v>0.0</v>
      </c>
    </row>
    <row r="2294">
      <c r="A2294" s="45" t="s">
        <v>74</v>
      </c>
      <c r="B2294" s="16" t="s">
        <v>167</v>
      </c>
      <c r="C2294" s="17" t="s">
        <v>168</v>
      </c>
      <c r="D2294" s="15">
        <v>4.0</v>
      </c>
      <c r="E2294" s="17" t="s">
        <v>524</v>
      </c>
      <c r="F2294" s="15" t="s">
        <v>479</v>
      </c>
      <c r="G2294" s="46" t="s">
        <v>452</v>
      </c>
      <c r="H2294" s="47" t="s">
        <v>453</v>
      </c>
      <c r="I2294" s="48" t="s">
        <v>19</v>
      </c>
      <c r="J2294" s="49">
        <v>2295973.0</v>
      </c>
    </row>
    <row r="2295">
      <c r="A2295" s="45" t="s">
        <v>74</v>
      </c>
      <c r="B2295" s="16" t="s">
        <v>167</v>
      </c>
      <c r="C2295" s="17" t="s">
        <v>168</v>
      </c>
      <c r="D2295" s="15">
        <v>4.0</v>
      </c>
      <c r="E2295" s="17" t="s">
        <v>524</v>
      </c>
      <c r="F2295" s="15" t="s">
        <v>479</v>
      </c>
      <c r="G2295" s="46" t="s">
        <v>454</v>
      </c>
      <c r="H2295" s="47" t="s">
        <v>415</v>
      </c>
      <c r="I2295" s="48" t="s">
        <v>19</v>
      </c>
      <c r="J2295" s="49">
        <v>335087.0</v>
      </c>
    </row>
    <row r="2296">
      <c r="A2296" s="45" t="s">
        <v>74</v>
      </c>
      <c r="B2296" s="16" t="s">
        <v>167</v>
      </c>
      <c r="C2296" s="17" t="s">
        <v>168</v>
      </c>
      <c r="D2296" s="15">
        <v>4.0</v>
      </c>
      <c r="E2296" s="17" t="s">
        <v>524</v>
      </c>
      <c r="F2296" s="15" t="s">
        <v>479</v>
      </c>
      <c r="G2296" s="46" t="s">
        <v>455</v>
      </c>
      <c r="H2296" s="47" t="s">
        <v>415</v>
      </c>
      <c r="I2296" s="48" t="s">
        <v>19</v>
      </c>
      <c r="J2296" s="49">
        <v>186158.0</v>
      </c>
    </row>
    <row r="2297">
      <c r="A2297" s="45" t="s">
        <v>74</v>
      </c>
      <c r="B2297" s="16" t="s">
        <v>167</v>
      </c>
      <c r="C2297" s="17" t="s">
        <v>168</v>
      </c>
      <c r="D2297" s="15">
        <v>4.0</v>
      </c>
      <c r="E2297" s="17" t="s">
        <v>524</v>
      </c>
      <c r="F2297" s="15" t="s">
        <v>479</v>
      </c>
      <c r="G2297" s="46" t="s">
        <v>499</v>
      </c>
      <c r="H2297" s="47" t="s">
        <v>500</v>
      </c>
      <c r="I2297" s="48" t="s">
        <v>19</v>
      </c>
      <c r="J2297" s="49">
        <v>4.7857136E7</v>
      </c>
    </row>
    <row r="2298">
      <c r="A2298" s="45" t="s">
        <v>74</v>
      </c>
      <c r="B2298" s="16" t="s">
        <v>167</v>
      </c>
      <c r="C2298" s="17" t="s">
        <v>168</v>
      </c>
      <c r="D2298" s="15">
        <v>4.0</v>
      </c>
      <c r="E2298" s="17" t="s">
        <v>524</v>
      </c>
      <c r="F2298" s="15" t="s">
        <v>479</v>
      </c>
      <c r="G2298" s="46" t="s">
        <v>480</v>
      </c>
      <c r="H2298" s="47" t="s">
        <v>481</v>
      </c>
      <c r="I2298" s="48" t="s">
        <v>19</v>
      </c>
      <c r="J2298" s="49">
        <v>3275703.0</v>
      </c>
    </row>
    <row r="2299">
      <c r="A2299" s="45" t="s">
        <v>74</v>
      </c>
      <c r="B2299" s="16" t="s">
        <v>167</v>
      </c>
      <c r="C2299" s="17" t="s">
        <v>168</v>
      </c>
      <c r="D2299" s="15">
        <v>4.0</v>
      </c>
      <c r="E2299" s="17" t="s">
        <v>524</v>
      </c>
      <c r="F2299" s="15" t="s">
        <v>479</v>
      </c>
      <c r="G2299" s="46" t="s">
        <v>583</v>
      </c>
      <c r="H2299" s="47" t="s">
        <v>584</v>
      </c>
      <c r="I2299" s="48" t="s">
        <v>25</v>
      </c>
      <c r="J2299" s="49">
        <v>2.295E7</v>
      </c>
    </row>
    <row r="2300">
      <c r="A2300" s="45" t="s">
        <v>74</v>
      </c>
      <c r="B2300" s="16" t="s">
        <v>167</v>
      </c>
      <c r="C2300" s="17" t="s">
        <v>168</v>
      </c>
      <c r="D2300" s="15">
        <v>4.0</v>
      </c>
      <c r="E2300" s="17" t="s">
        <v>525</v>
      </c>
      <c r="F2300" s="15" t="s">
        <v>502</v>
      </c>
      <c r="G2300" s="46" t="s">
        <v>526</v>
      </c>
      <c r="H2300" s="47" t="s">
        <v>527</v>
      </c>
      <c r="I2300" s="48" t="s">
        <v>60</v>
      </c>
      <c r="J2300" s="49">
        <v>1.048353761E9</v>
      </c>
    </row>
    <row r="2301">
      <c r="A2301" s="45" t="s">
        <v>74</v>
      </c>
      <c r="B2301" s="16" t="s">
        <v>167</v>
      </c>
      <c r="C2301" s="17" t="s">
        <v>168</v>
      </c>
      <c r="D2301" s="15">
        <v>4.0</v>
      </c>
      <c r="E2301" s="17" t="s">
        <v>525</v>
      </c>
      <c r="F2301" s="15" t="s">
        <v>502</v>
      </c>
      <c r="G2301" s="46" t="s">
        <v>539</v>
      </c>
      <c r="H2301" s="47" t="s">
        <v>540</v>
      </c>
      <c r="I2301" s="48" t="s">
        <v>60</v>
      </c>
      <c r="J2301" s="49">
        <v>2754157.0</v>
      </c>
    </row>
    <row r="2302">
      <c r="A2302" s="45" t="s">
        <v>74</v>
      </c>
      <c r="B2302" s="16" t="s">
        <v>167</v>
      </c>
      <c r="C2302" s="17" t="s">
        <v>168</v>
      </c>
      <c r="D2302" s="15">
        <v>4.0</v>
      </c>
      <c r="E2302" s="17" t="s">
        <v>525</v>
      </c>
      <c r="F2302" s="15" t="s">
        <v>502</v>
      </c>
      <c r="G2302" s="46" t="s">
        <v>505</v>
      </c>
      <c r="H2302" s="47" t="s">
        <v>506</v>
      </c>
      <c r="I2302" s="48" t="s">
        <v>60</v>
      </c>
      <c r="J2302" s="49">
        <v>7852266.0</v>
      </c>
    </row>
    <row r="2303">
      <c r="A2303" s="45" t="s">
        <v>74</v>
      </c>
      <c r="B2303" s="16" t="s">
        <v>167</v>
      </c>
      <c r="C2303" s="17" t="s">
        <v>168</v>
      </c>
      <c r="D2303" s="15">
        <v>4.0</v>
      </c>
      <c r="E2303" s="17" t="s">
        <v>525</v>
      </c>
      <c r="F2303" s="15" t="s">
        <v>502</v>
      </c>
      <c r="G2303" s="46" t="s">
        <v>507</v>
      </c>
      <c r="H2303" s="47" t="s">
        <v>508</v>
      </c>
      <c r="I2303" s="48" t="s">
        <v>60</v>
      </c>
      <c r="J2303" s="49">
        <v>4757271.0</v>
      </c>
    </row>
    <row r="2304">
      <c r="A2304" s="45" t="s">
        <v>74</v>
      </c>
      <c r="B2304" s="16" t="s">
        <v>167</v>
      </c>
      <c r="C2304" s="17" t="s">
        <v>168</v>
      </c>
      <c r="D2304" s="15">
        <v>4.0</v>
      </c>
      <c r="E2304" s="17" t="s">
        <v>525</v>
      </c>
      <c r="F2304" s="15" t="s">
        <v>502</v>
      </c>
      <c r="G2304" s="46" t="s">
        <v>509</v>
      </c>
      <c r="H2304" s="47" t="s">
        <v>510</v>
      </c>
      <c r="I2304" s="48" t="s">
        <v>60</v>
      </c>
      <c r="J2304" s="49">
        <v>220000.0</v>
      </c>
    </row>
    <row r="2305">
      <c r="A2305" s="45" t="s">
        <v>74</v>
      </c>
      <c r="B2305" s="16" t="s">
        <v>167</v>
      </c>
      <c r="C2305" s="17" t="s">
        <v>168</v>
      </c>
      <c r="D2305" s="15">
        <v>4.0</v>
      </c>
      <c r="E2305" s="17" t="s">
        <v>525</v>
      </c>
      <c r="F2305" s="15" t="s">
        <v>502</v>
      </c>
      <c r="G2305" s="46" t="s">
        <v>511</v>
      </c>
      <c r="H2305" s="47" t="s">
        <v>512</v>
      </c>
      <c r="I2305" s="48" t="s">
        <v>60</v>
      </c>
      <c r="J2305" s="49">
        <v>1.10789925E8</v>
      </c>
    </row>
    <row r="2306">
      <c r="A2306" s="45" t="s">
        <v>74</v>
      </c>
      <c r="B2306" s="16" t="s">
        <v>167</v>
      </c>
      <c r="C2306" s="17" t="s">
        <v>168</v>
      </c>
      <c r="D2306" s="15">
        <v>4.0</v>
      </c>
      <c r="E2306" s="17" t="s">
        <v>525</v>
      </c>
      <c r="F2306" s="15" t="s">
        <v>502</v>
      </c>
      <c r="G2306" s="46" t="s">
        <v>513</v>
      </c>
      <c r="H2306" s="47" t="s">
        <v>514</v>
      </c>
      <c r="I2306" s="48" t="s">
        <v>60</v>
      </c>
      <c r="J2306" s="49">
        <v>5737472.0</v>
      </c>
    </row>
    <row r="2307">
      <c r="A2307" s="45" t="s">
        <v>74</v>
      </c>
      <c r="B2307" s="16" t="s">
        <v>167</v>
      </c>
      <c r="C2307" s="17" t="s">
        <v>168</v>
      </c>
      <c r="D2307" s="15">
        <v>4.0</v>
      </c>
      <c r="E2307" s="17" t="s">
        <v>525</v>
      </c>
      <c r="F2307" s="15" t="s">
        <v>502</v>
      </c>
      <c r="G2307" s="46" t="s">
        <v>528</v>
      </c>
      <c r="H2307" s="47" t="s">
        <v>529</v>
      </c>
      <c r="I2307" s="48" t="s">
        <v>60</v>
      </c>
      <c r="J2307" s="49">
        <v>6123491.0</v>
      </c>
    </row>
    <row r="2308">
      <c r="A2308" s="45" t="s">
        <v>74</v>
      </c>
      <c r="B2308" s="16" t="s">
        <v>170</v>
      </c>
      <c r="C2308" s="17" t="s">
        <v>171</v>
      </c>
      <c r="D2308" s="15">
        <v>4.0</v>
      </c>
      <c r="E2308" s="17" t="s">
        <v>441</v>
      </c>
      <c r="F2308" s="15" t="s">
        <v>442</v>
      </c>
      <c r="G2308" s="46" t="s">
        <v>443</v>
      </c>
      <c r="H2308" s="47" t="s">
        <v>420</v>
      </c>
      <c r="I2308" s="48" t="s">
        <v>19</v>
      </c>
      <c r="J2308" s="49">
        <v>4.978928E7</v>
      </c>
    </row>
    <row r="2309">
      <c r="A2309" s="45" t="s">
        <v>74</v>
      </c>
      <c r="B2309" s="16" t="s">
        <v>170</v>
      </c>
      <c r="C2309" s="17" t="s">
        <v>171</v>
      </c>
      <c r="D2309" s="15">
        <v>4.0</v>
      </c>
      <c r="E2309" s="17" t="s">
        <v>441</v>
      </c>
      <c r="F2309" s="15" t="s">
        <v>442</v>
      </c>
      <c r="G2309" s="46" t="s">
        <v>444</v>
      </c>
      <c r="H2309" s="47" t="s">
        <v>445</v>
      </c>
      <c r="I2309" s="48" t="s">
        <v>19</v>
      </c>
      <c r="J2309" s="49">
        <v>6433998.0</v>
      </c>
    </row>
    <row r="2310">
      <c r="A2310" s="45" t="s">
        <v>74</v>
      </c>
      <c r="B2310" s="16" t="s">
        <v>170</v>
      </c>
      <c r="C2310" s="17" t="s">
        <v>171</v>
      </c>
      <c r="D2310" s="15">
        <v>4.0</v>
      </c>
      <c r="E2310" s="17" t="s">
        <v>441</v>
      </c>
      <c r="F2310" s="15" t="s">
        <v>442</v>
      </c>
      <c r="G2310" s="46" t="s">
        <v>579</v>
      </c>
      <c r="H2310" s="47" t="s">
        <v>580</v>
      </c>
      <c r="I2310" s="48" t="s">
        <v>19</v>
      </c>
      <c r="J2310" s="49">
        <v>5143609.0</v>
      </c>
    </row>
    <row r="2311">
      <c r="A2311" s="45" t="s">
        <v>74</v>
      </c>
      <c r="B2311" s="16" t="s">
        <v>170</v>
      </c>
      <c r="C2311" s="17" t="s">
        <v>171</v>
      </c>
      <c r="D2311" s="15">
        <v>4.0</v>
      </c>
      <c r="E2311" s="17" t="s">
        <v>441</v>
      </c>
      <c r="F2311" s="15" t="s">
        <v>442</v>
      </c>
      <c r="G2311" s="46" t="s">
        <v>446</v>
      </c>
      <c r="H2311" s="47" t="s">
        <v>447</v>
      </c>
      <c r="I2311" s="48" t="s">
        <v>19</v>
      </c>
      <c r="J2311" s="49">
        <v>531390.0</v>
      </c>
    </row>
    <row r="2312">
      <c r="A2312" s="45" t="s">
        <v>74</v>
      </c>
      <c r="B2312" s="16" t="s">
        <v>170</v>
      </c>
      <c r="C2312" s="17" t="s">
        <v>171</v>
      </c>
      <c r="D2312" s="15">
        <v>4.0</v>
      </c>
      <c r="E2312" s="17" t="s">
        <v>441</v>
      </c>
      <c r="F2312" s="15" t="s">
        <v>442</v>
      </c>
      <c r="G2312" s="46" t="s">
        <v>448</v>
      </c>
      <c r="H2312" s="47" t="s">
        <v>449</v>
      </c>
      <c r="I2312" s="48" t="s">
        <v>19</v>
      </c>
      <c r="J2312" s="49">
        <v>1420390.0</v>
      </c>
    </row>
    <row r="2313">
      <c r="A2313" s="45" t="s">
        <v>74</v>
      </c>
      <c r="B2313" s="16" t="s">
        <v>170</v>
      </c>
      <c r="C2313" s="17" t="s">
        <v>171</v>
      </c>
      <c r="D2313" s="15">
        <v>4.0</v>
      </c>
      <c r="E2313" s="17" t="s">
        <v>441</v>
      </c>
      <c r="F2313" s="15" t="s">
        <v>442</v>
      </c>
      <c r="G2313" s="46" t="s">
        <v>450</v>
      </c>
      <c r="H2313" s="47" t="s">
        <v>451</v>
      </c>
      <c r="I2313" s="48" t="s">
        <v>19</v>
      </c>
      <c r="J2313" s="49">
        <v>0.0</v>
      </c>
    </row>
    <row r="2314">
      <c r="A2314" s="45" t="s">
        <v>74</v>
      </c>
      <c r="B2314" s="16" t="s">
        <v>170</v>
      </c>
      <c r="C2314" s="17" t="s">
        <v>171</v>
      </c>
      <c r="D2314" s="15">
        <v>4.0</v>
      </c>
      <c r="E2314" s="17" t="s">
        <v>441</v>
      </c>
      <c r="F2314" s="15" t="s">
        <v>442</v>
      </c>
      <c r="G2314" s="46" t="s">
        <v>452</v>
      </c>
      <c r="H2314" s="47" t="s">
        <v>453</v>
      </c>
      <c r="I2314" s="48" t="s">
        <v>19</v>
      </c>
      <c r="J2314" s="49">
        <v>983071.0</v>
      </c>
    </row>
    <row r="2315">
      <c r="A2315" s="45" t="s">
        <v>74</v>
      </c>
      <c r="B2315" s="16" t="s">
        <v>170</v>
      </c>
      <c r="C2315" s="17" t="s">
        <v>171</v>
      </c>
      <c r="D2315" s="15">
        <v>4.0</v>
      </c>
      <c r="E2315" s="17" t="s">
        <v>441</v>
      </c>
      <c r="F2315" s="15" t="s">
        <v>442</v>
      </c>
      <c r="G2315" s="46" t="s">
        <v>454</v>
      </c>
      <c r="H2315" s="47" t="s">
        <v>415</v>
      </c>
      <c r="I2315" s="48" t="s">
        <v>19</v>
      </c>
      <c r="J2315" s="49">
        <v>143475.0</v>
      </c>
    </row>
    <row r="2316">
      <c r="A2316" s="45" t="s">
        <v>74</v>
      </c>
      <c r="B2316" s="16" t="s">
        <v>170</v>
      </c>
      <c r="C2316" s="17" t="s">
        <v>171</v>
      </c>
      <c r="D2316" s="15">
        <v>4.0</v>
      </c>
      <c r="E2316" s="17" t="s">
        <v>441</v>
      </c>
      <c r="F2316" s="15" t="s">
        <v>442</v>
      </c>
      <c r="G2316" s="46" t="s">
        <v>455</v>
      </c>
      <c r="H2316" s="47" t="s">
        <v>415</v>
      </c>
      <c r="I2316" s="48" t="s">
        <v>19</v>
      </c>
      <c r="J2316" s="49">
        <v>79709.0</v>
      </c>
    </row>
    <row r="2317">
      <c r="A2317" s="45" t="s">
        <v>74</v>
      </c>
      <c r="B2317" s="16" t="s">
        <v>170</v>
      </c>
      <c r="C2317" s="17" t="s">
        <v>171</v>
      </c>
      <c r="D2317" s="15">
        <v>4.0</v>
      </c>
      <c r="E2317" s="17" t="s">
        <v>441</v>
      </c>
      <c r="F2317" s="15" t="s">
        <v>442</v>
      </c>
      <c r="G2317" s="46" t="s">
        <v>583</v>
      </c>
      <c r="H2317" s="47" t="s">
        <v>584</v>
      </c>
      <c r="I2317" s="48" t="s">
        <v>25</v>
      </c>
      <c r="J2317" s="49">
        <v>7650000.0</v>
      </c>
    </row>
    <row r="2318">
      <c r="A2318" s="45" t="s">
        <v>74</v>
      </c>
      <c r="B2318" s="16" t="s">
        <v>170</v>
      </c>
      <c r="C2318" s="17" t="s">
        <v>171</v>
      </c>
      <c r="D2318" s="15">
        <v>4.0</v>
      </c>
      <c r="E2318" s="17" t="s">
        <v>456</v>
      </c>
      <c r="F2318" s="15" t="s">
        <v>457</v>
      </c>
      <c r="G2318" s="46" t="s">
        <v>515</v>
      </c>
      <c r="H2318" s="47" t="s">
        <v>413</v>
      </c>
      <c r="I2318" s="48" t="s">
        <v>19</v>
      </c>
      <c r="J2318" s="49">
        <v>1.25E7</v>
      </c>
    </row>
    <row r="2319">
      <c r="A2319" s="45" t="s">
        <v>74</v>
      </c>
      <c r="B2319" s="16" t="s">
        <v>170</v>
      </c>
      <c r="C2319" s="17" t="s">
        <v>171</v>
      </c>
      <c r="D2319" s="15">
        <v>4.0</v>
      </c>
      <c r="E2319" s="17" t="s">
        <v>456</v>
      </c>
      <c r="F2319" s="15" t="s">
        <v>457</v>
      </c>
      <c r="G2319" s="46" t="s">
        <v>499</v>
      </c>
      <c r="H2319" s="47" t="s">
        <v>500</v>
      </c>
      <c r="I2319" s="48" t="s">
        <v>19</v>
      </c>
      <c r="J2319" s="49">
        <v>0.0</v>
      </c>
    </row>
    <row r="2320">
      <c r="A2320" s="45" t="s">
        <v>74</v>
      </c>
      <c r="B2320" s="16" t="s">
        <v>170</v>
      </c>
      <c r="C2320" s="17" t="s">
        <v>171</v>
      </c>
      <c r="D2320" s="15">
        <v>4.0</v>
      </c>
      <c r="E2320" s="17" t="s">
        <v>456</v>
      </c>
      <c r="F2320" s="15" t="s">
        <v>457</v>
      </c>
      <c r="G2320" s="46" t="s">
        <v>458</v>
      </c>
      <c r="H2320" s="47" t="s">
        <v>411</v>
      </c>
      <c r="I2320" s="48" t="s">
        <v>19</v>
      </c>
      <c r="J2320" s="49">
        <v>1.5566925E8</v>
      </c>
    </row>
    <row r="2321">
      <c r="A2321" s="45" t="s">
        <v>74</v>
      </c>
      <c r="B2321" s="16" t="s">
        <v>170</v>
      </c>
      <c r="C2321" s="17" t="s">
        <v>171</v>
      </c>
      <c r="D2321" s="15">
        <v>4.0</v>
      </c>
      <c r="E2321" s="17" t="s">
        <v>459</v>
      </c>
      <c r="F2321" s="15" t="s">
        <v>460</v>
      </c>
      <c r="G2321" s="46" t="s">
        <v>519</v>
      </c>
      <c r="H2321" s="47" t="s">
        <v>414</v>
      </c>
      <c r="I2321" s="48" t="s">
        <v>25</v>
      </c>
      <c r="J2321" s="49">
        <v>1829000.0</v>
      </c>
    </row>
    <row r="2322">
      <c r="A2322" s="45" t="s">
        <v>74</v>
      </c>
      <c r="B2322" s="16" t="s">
        <v>170</v>
      </c>
      <c r="C2322" s="17" t="s">
        <v>171</v>
      </c>
      <c r="D2322" s="15">
        <v>4.0</v>
      </c>
      <c r="E2322" s="17" t="s">
        <v>463</v>
      </c>
      <c r="F2322" s="15" t="s">
        <v>464</v>
      </c>
      <c r="G2322" s="46" t="s">
        <v>541</v>
      </c>
      <c r="H2322" s="47" t="s">
        <v>542</v>
      </c>
      <c r="I2322" s="48" t="s">
        <v>37</v>
      </c>
      <c r="J2322" s="49">
        <v>310000.0</v>
      </c>
    </row>
    <row r="2323">
      <c r="A2323" s="45" t="s">
        <v>74</v>
      </c>
      <c r="B2323" s="16" t="s">
        <v>170</v>
      </c>
      <c r="C2323" s="17" t="s">
        <v>171</v>
      </c>
      <c r="D2323" s="15">
        <v>4.0</v>
      </c>
      <c r="E2323" s="17" t="s">
        <v>463</v>
      </c>
      <c r="F2323" s="15" t="s">
        <v>464</v>
      </c>
      <c r="G2323" s="46" t="s">
        <v>543</v>
      </c>
      <c r="H2323" s="47" t="s">
        <v>430</v>
      </c>
      <c r="I2323" s="48" t="s">
        <v>37</v>
      </c>
      <c r="J2323" s="49">
        <v>160500.0</v>
      </c>
    </row>
    <row r="2324">
      <c r="A2324" s="45" t="s">
        <v>74</v>
      </c>
      <c r="B2324" s="16" t="s">
        <v>170</v>
      </c>
      <c r="C2324" s="17" t="s">
        <v>171</v>
      </c>
      <c r="D2324" s="15">
        <v>4.0</v>
      </c>
      <c r="E2324" s="17" t="s">
        <v>463</v>
      </c>
      <c r="F2324" s="15" t="s">
        <v>464</v>
      </c>
      <c r="G2324" s="46" t="s">
        <v>519</v>
      </c>
      <c r="H2324" s="47" t="s">
        <v>414</v>
      </c>
      <c r="I2324" s="48" t="s">
        <v>37</v>
      </c>
      <c r="J2324" s="49">
        <v>1786320.0</v>
      </c>
    </row>
    <row r="2325">
      <c r="A2325" s="45" t="s">
        <v>74</v>
      </c>
      <c r="B2325" s="16" t="s">
        <v>170</v>
      </c>
      <c r="C2325" s="17" t="s">
        <v>171</v>
      </c>
      <c r="D2325" s="15">
        <v>4.0</v>
      </c>
      <c r="E2325" s="17" t="s">
        <v>463</v>
      </c>
      <c r="F2325" s="15" t="s">
        <v>464</v>
      </c>
      <c r="G2325" s="46" t="s">
        <v>458</v>
      </c>
      <c r="H2325" s="47" t="s">
        <v>411</v>
      </c>
      <c r="I2325" s="48" t="s">
        <v>19</v>
      </c>
      <c r="J2325" s="49">
        <v>1.777081E7</v>
      </c>
    </row>
    <row r="2326">
      <c r="A2326" s="45" t="s">
        <v>74</v>
      </c>
      <c r="B2326" s="16" t="s">
        <v>170</v>
      </c>
      <c r="C2326" s="17" t="s">
        <v>171</v>
      </c>
      <c r="D2326" s="15">
        <v>4.0</v>
      </c>
      <c r="E2326" s="17" t="s">
        <v>469</v>
      </c>
      <c r="F2326" s="15" t="s">
        <v>470</v>
      </c>
      <c r="G2326" s="46" t="s">
        <v>544</v>
      </c>
      <c r="H2326" s="47" t="s">
        <v>421</v>
      </c>
      <c r="I2326" s="48" t="s">
        <v>25</v>
      </c>
      <c r="J2326" s="49">
        <v>1850000.0</v>
      </c>
    </row>
    <row r="2327">
      <c r="A2327" s="45" t="s">
        <v>74</v>
      </c>
      <c r="B2327" s="16" t="s">
        <v>170</v>
      </c>
      <c r="C2327" s="17" t="s">
        <v>171</v>
      </c>
      <c r="D2327" s="15">
        <v>4.0</v>
      </c>
      <c r="E2327" s="17" t="s">
        <v>469</v>
      </c>
      <c r="F2327" s="15" t="s">
        <v>470</v>
      </c>
      <c r="G2327" s="46" t="s">
        <v>517</v>
      </c>
      <c r="H2327" s="47" t="s">
        <v>518</v>
      </c>
      <c r="I2327" s="48" t="s">
        <v>25</v>
      </c>
      <c r="J2327" s="49">
        <v>1920000.0</v>
      </c>
    </row>
    <row r="2328">
      <c r="A2328" s="45" t="s">
        <v>74</v>
      </c>
      <c r="B2328" s="16" t="s">
        <v>170</v>
      </c>
      <c r="C2328" s="17" t="s">
        <v>171</v>
      </c>
      <c r="D2328" s="15">
        <v>4.0</v>
      </c>
      <c r="E2328" s="17" t="s">
        <v>473</v>
      </c>
      <c r="F2328" s="15" t="s">
        <v>474</v>
      </c>
      <c r="G2328" s="46" t="s">
        <v>523</v>
      </c>
      <c r="H2328" s="47" t="s">
        <v>431</v>
      </c>
      <c r="I2328" s="48" t="s">
        <v>17</v>
      </c>
      <c r="J2328" s="49">
        <v>2.68575339E8</v>
      </c>
    </row>
    <row r="2329">
      <c r="A2329" s="45" t="s">
        <v>74</v>
      </c>
      <c r="B2329" s="16" t="s">
        <v>170</v>
      </c>
      <c r="C2329" s="17" t="s">
        <v>171</v>
      </c>
      <c r="D2329" s="15">
        <v>4.0</v>
      </c>
      <c r="E2329" s="17" t="s">
        <v>473</v>
      </c>
      <c r="F2329" s="15" t="s">
        <v>474</v>
      </c>
      <c r="G2329" s="46" t="s">
        <v>523</v>
      </c>
      <c r="H2329" s="47" t="s">
        <v>431</v>
      </c>
      <c r="I2329" s="48" t="s">
        <v>25</v>
      </c>
      <c r="J2329" s="49">
        <v>-2.34324169E8</v>
      </c>
    </row>
    <row r="2330">
      <c r="A2330" s="45" t="s">
        <v>74</v>
      </c>
      <c r="B2330" s="16" t="s">
        <v>170</v>
      </c>
      <c r="C2330" s="17" t="s">
        <v>171</v>
      </c>
      <c r="D2330" s="15">
        <v>4.0</v>
      </c>
      <c r="E2330" s="17" t="s">
        <v>473</v>
      </c>
      <c r="F2330" s="15" t="s">
        <v>474</v>
      </c>
      <c r="G2330" s="46" t="s">
        <v>458</v>
      </c>
      <c r="H2330" s="47" t="s">
        <v>411</v>
      </c>
      <c r="I2330" s="48" t="s">
        <v>19</v>
      </c>
      <c r="J2330" s="49">
        <v>1.02279016E8</v>
      </c>
    </row>
    <row r="2331">
      <c r="A2331" s="45" t="s">
        <v>74</v>
      </c>
      <c r="B2331" s="16" t="s">
        <v>170</v>
      </c>
      <c r="C2331" s="17" t="s">
        <v>171</v>
      </c>
      <c r="D2331" s="15">
        <v>4.0</v>
      </c>
      <c r="E2331" s="17" t="s">
        <v>491</v>
      </c>
      <c r="F2331" s="15" t="s">
        <v>492</v>
      </c>
      <c r="G2331" s="46" t="s">
        <v>519</v>
      </c>
      <c r="H2331" s="47" t="s">
        <v>414</v>
      </c>
      <c r="I2331" s="48" t="s">
        <v>37</v>
      </c>
      <c r="J2331" s="49">
        <v>9540180.0</v>
      </c>
    </row>
    <row r="2332">
      <c r="A2332" s="45" t="s">
        <v>74</v>
      </c>
      <c r="B2332" s="16" t="s">
        <v>170</v>
      </c>
      <c r="C2332" s="17" t="s">
        <v>171</v>
      </c>
      <c r="D2332" s="15">
        <v>4.0</v>
      </c>
      <c r="E2332" s="17" t="s">
        <v>491</v>
      </c>
      <c r="F2332" s="15" t="s">
        <v>492</v>
      </c>
      <c r="G2332" s="46" t="s">
        <v>519</v>
      </c>
      <c r="H2332" s="47" t="s">
        <v>414</v>
      </c>
      <c r="I2332" s="48" t="s">
        <v>25</v>
      </c>
      <c r="J2332" s="49">
        <v>340000.0</v>
      </c>
    </row>
    <row r="2333">
      <c r="A2333" s="45" t="s">
        <v>74</v>
      </c>
      <c r="B2333" s="16" t="s">
        <v>170</v>
      </c>
      <c r="C2333" s="17" t="s">
        <v>171</v>
      </c>
      <c r="D2333" s="15">
        <v>4.0</v>
      </c>
      <c r="E2333" s="17" t="s">
        <v>491</v>
      </c>
      <c r="F2333" s="15" t="s">
        <v>492</v>
      </c>
      <c r="G2333" s="46" t="s">
        <v>493</v>
      </c>
      <c r="H2333" s="47" t="s">
        <v>437</v>
      </c>
      <c r="I2333" s="48" t="s">
        <v>25</v>
      </c>
      <c r="J2333" s="49">
        <v>4114096.0</v>
      </c>
    </row>
    <row r="2334">
      <c r="A2334" s="45" t="s">
        <v>74</v>
      </c>
      <c r="B2334" s="16" t="s">
        <v>170</v>
      </c>
      <c r="C2334" s="17" t="s">
        <v>171</v>
      </c>
      <c r="D2334" s="15">
        <v>4.0</v>
      </c>
      <c r="E2334" s="17" t="s">
        <v>494</v>
      </c>
      <c r="F2334" s="15" t="s">
        <v>495</v>
      </c>
      <c r="G2334" s="46" t="s">
        <v>467</v>
      </c>
      <c r="H2334" s="47" t="s">
        <v>468</v>
      </c>
      <c r="I2334" s="48" t="s">
        <v>37</v>
      </c>
      <c r="J2334" s="49">
        <v>1005969.0</v>
      </c>
    </row>
    <row r="2335">
      <c r="A2335" s="45" t="s">
        <v>74</v>
      </c>
      <c r="B2335" s="16" t="s">
        <v>170</v>
      </c>
      <c r="C2335" s="17" t="s">
        <v>171</v>
      </c>
      <c r="D2335" s="15">
        <v>4.0</v>
      </c>
      <c r="E2335" s="17" t="s">
        <v>494</v>
      </c>
      <c r="F2335" s="15" t="s">
        <v>495</v>
      </c>
      <c r="G2335" s="46" t="s">
        <v>458</v>
      </c>
      <c r="H2335" s="47" t="s">
        <v>411</v>
      </c>
      <c r="I2335" s="48" t="s">
        <v>19</v>
      </c>
      <c r="J2335" s="49">
        <v>1.563838E7</v>
      </c>
    </row>
    <row r="2336">
      <c r="A2336" s="45" t="s">
        <v>74</v>
      </c>
      <c r="B2336" s="16" t="s">
        <v>170</v>
      </c>
      <c r="C2336" s="17" t="s">
        <v>171</v>
      </c>
      <c r="D2336" s="15">
        <v>4.0</v>
      </c>
      <c r="E2336" s="17" t="s">
        <v>475</v>
      </c>
      <c r="F2336" s="15" t="s">
        <v>476</v>
      </c>
      <c r="G2336" s="46" t="s">
        <v>477</v>
      </c>
      <c r="H2336" s="47" t="s">
        <v>429</v>
      </c>
      <c r="I2336" s="48" t="s">
        <v>50</v>
      </c>
      <c r="J2336" s="49">
        <v>5.6198551E7</v>
      </c>
    </row>
    <row r="2337">
      <c r="A2337" s="45" t="s">
        <v>74</v>
      </c>
      <c r="B2337" s="16" t="s">
        <v>170</v>
      </c>
      <c r="C2337" s="17" t="s">
        <v>171</v>
      </c>
      <c r="D2337" s="15">
        <v>4.0</v>
      </c>
      <c r="E2337" s="17" t="s">
        <v>524</v>
      </c>
      <c r="F2337" s="15" t="s">
        <v>479</v>
      </c>
      <c r="G2337" s="46" t="s">
        <v>443</v>
      </c>
      <c r="H2337" s="47" t="s">
        <v>420</v>
      </c>
      <c r="I2337" s="48" t="s">
        <v>19</v>
      </c>
      <c r="J2337" s="49">
        <v>9.462588E7</v>
      </c>
    </row>
    <row r="2338">
      <c r="A2338" s="45" t="s">
        <v>74</v>
      </c>
      <c r="B2338" s="16" t="s">
        <v>170</v>
      </c>
      <c r="C2338" s="17" t="s">
        <v>171</v>
      </c>
      <c r="D2338" s="15">
        <v>4.0</v>
      </c>
      <c r="E2338" s="17" t="s">
        <v>524</v>
      </c>
      <c r="F2338" s="15" t="s">
        <v>479</v>
      </c>
      <c r="G2338" s="46" t="s">
        <v>444</v>
      </c>
      <c r="H2338" s="47" t="s">
        <v>445</v>
      </c>
      <c r="I2338" s="48" t="s">
        <v>19</v>
      </c>
      <c r="J2338" s="49">
        <v>8324301.0</v>
      </c>
    </row>
    <row r="2339">
      <c r="A2339" s="45" t="s">
        <v>74</v>
      </c>
      <c r="B2339" s="16" t="s">
        <v>170</v>
      </c>
      <c r="C2339" s="17" t="s">
        <v>171</v>
      </c>
      <c r="D2339" s="15">
        <v>4.0</v>
      </c>
      <c r="E2339" s="17" t="s">
        <v>524</v>
      </c>
      <c r="F2339" s="15" t="s">
        <v>479</v>
      </c>
      <c r="G2339" s="46" t="s">
        <v>579</v>
      </c>
      <c r="H2339" s="47" t="s">
        <v>580</v>
      </c>
      <c r="I2339" s="48" t="s">
        <v>19</v>
      </c>
      <c r="J2339" s="49">
        <v>1.0638451E7</v>
      </c>
    </row>
    <row r="2340">
      <c r="A2340" s="45" t="s">
        <v>74</v>
      </c>
      <c r="B2340" s="16" t="s">
        <v>170</v>
      </c>
      <c r="C2340" s="17" t="s">
        <v>171</v>
      </c>
      <c r="D2340" s="15">
        <v>4.0</v>
      </c>
      <c r="E2340" s="17" t="s">
        <v>524</v>
      </c>
      <c r="F2340" s="15" t="s">
        <v>479</v>
      </c>
      <c r="G2340" s="46" t="s">
        <v>446</v>
      </c>
      <c r="H2340" s="47" t="s">
        <v>447</v>
      </c>
      <c r="I2340" s="48" t="s">
        <v>19</v>
      </c>
      <c r="J2340" s="49">
        <v>1068375.0</v>
      </c>
    </row>
    <row r="2341">
      <c r="A2341" s="45" t="s">
        <v>74</v>
      </c>
      <c r="B2341" s="16" t="s">
        <v>170</v>
      </c>
      <c r="C2341" s="17" t="s">
        <v>171</v>
      </c>
      <c r="D2341" s="15">
        <v>4.0</v>
      </c>
      <c r="E2341" s="17" t="s">
        <v>524</v>
      </c>
      <c r="F2341" s="15" t="s">
        <v>479</v>
      </c>
      <c r="G2341" s="46" t="s">
        <v>448</v>
      </c>
      <c r="H2341" s="47" t="s">
        <v>449</v>
      </c>
      <c r="I2341" s="48" t="s">
        <v>19</v>
      </c>
      <c r="J2341" s="49">
        <v>2904578.0</v>
      </c>
    </row>
    <row r="2342">
      <c r="A2342" s="45" t="s">
        <v>74</v>
      </c>
      <c r="B2342" s="16" t="s">
        <v>170</v>
      </c>
      <c r="C2342" s="17" t="s">
        <v>171</v>
      </c>
      <c r="D2342" s="15">
        <v>4.0</v>
      </c>
      <c r="E2342" s="17" t="s">
        <v>524</v>
      </c>
      <c r="F2342" s="15" t="s">
        <v>479</v>
      </c>
      <c r="G2342" s="46" t="s">
        <v>450</v>
      </c>
      <c r="H2342" s="47" t="s">
        <v>451</v>
      </c>
      <c r="I2342" s="48" t="s">
        <v>19</v>
      </c>
      <c r="J2342" s="49">
        <v>0.0</v>
      </c>
    </row>
    <row r="2343">
      <c r="A2343" s="45" t="s">
        <v>74</v>
      </c>
      <c r="B2343" s="16" t="s">
        <v>170</v>
      </c>
      <c r="C2343" s="17" t="s">
        <v>171</v>
      </c>
      <c r="D2343" s="15">
        <v>4.0</v>
      </c>
      <c r="E2343" s="17" t="s">
        <v>524</v>
      </c>
      <c r="F2343" s="15" t="s">
        <v>479</v>
      </c>
      <c r="G2343" s="46" t="s">
        <v>452</v>
      </c>
      <c r="H2343" s="47" t="s">
        <v>453</v>
      </c>
      <c r="I2343" s="48" t="s">
        <v>19</v>
      </c>
      <c r="J2343" s="49">
        <v>2014537.0</v>
      </c>
    </row>
    <row r="2344">
      <c r="A2344" s="45" t="s">
        <v>74</v>
      </c>
      <c r="B2344" s="16" t="s">
        <v>170</v>
      </c>
      <c r="C2344" s="17" t="s">
        <v>171</v>
      </c>
      <c r="D2344" s="15">
        <v>4.0</v>
      </c>
      <c r="E2344" s="17" t="s">
        <v>524</v>
      </c>
      <c r="F2344" s="15" t="s">
        <v>479</v>
      </c>
      <c r="G2344" s="46" t="s">
        <v>454</v>
      </c>
      <c r="H2344" s="47" t="s">
        <v>415</v>
      </c>
      <c r="I2344" s="48" t="s">
        <v>19</v>
      </c>
      <c r="J2344" s="49">
        <v>294014.0</v>
      </c>
    </row>
    <row r="2345">
      <c r="A2345" s="45" t="s">
        <v>74</v>
      </c>
      <c r="B2345" s="16" t="s">
        <v>170</v>
      </c>
      <c r="C2345" s="17" t="s">
        <v>171</v>
      </c>
      <c r="D2345" s="15">
        <v>4.0</v>
      </c>
      <c r="E2345" s="17" t="s">
        <v>524</v>
      </c>
      <c r="F2345" s="15" t="s">
        <v>479</v>
      </c>
      <c r="G2345" s="46" t="s">
        <v>455</v>
      </c>
      <c r="H2345" s="47" t="s">
        <v>415</v>
      </c>
      <c r="I2345" s="48" t="s">
        <v>19</v>
      </c>
      <c r="J2345" s="49">
        <v>163339.0</v>
      </c>
    </row>
    <row r="2346">
      <c r="A2346" s="45" t="s">
        <v>74</v>
      </c>
      <c r="B2346" s="16" t="s">
        <v>170</v>
      </c>
      <c r="C2346" s="17" t="s">
        <v>171</v>
      </c>
      <c r="D2346" s="15">
        <v>4.0</v>
      </c>
      <c r="E2346" s="17" t="s">
        <v>524</v>
      </c>
      <c r="F2346" s="15" t="s">
        <v>479</v>
      </c>
      <c r="G2346" s="46" t="s">
        <v>565</v>
      </c>
      <c r="H2346" s="47" t="s">
        <v>566</v>
      </c>
      <c r="I2346" s="48" t="s">
        <v>25</v>
      </c>
      <c r="J2346" s="49">
        <v>4075000.0</v>
      </c>
    </row>
    <row r="2347">
      <c r="A2347" s="45" t="s">
        <v>74</v>
      </c>
      <c r="B2347" s="16" t="s">
        <v>170</v>
      </c>
      <c r="C2347" s="17" t="s">
        <v>171</v>
      </c>
      <c r="D2347" s="15">
        <v>4.0</v>
      </c>
      <c r="E2347" s="17" t="s">
        <v>524</v>
      </c>
      <c r="F2347" s="15" t="s">
        <v>479</v>
      </c>
      <c r="G2347" s="46" t="s">
        <v>583</v>
      </c>
      <c r="H2347" s="47" t="s">
        <v>584</v>
      </c>
      <c r="I2347" s="48" t="s">
        <v>25</v>
      </c>
      <c r="J2347" s="49">
        <v>1.785E7</v>
      </c>
    </row>
    <row r="2348">
      <c r="A2348" s="45" t="s">
        <v>74</v>
      </c>
      <c r="B2348" s="16" t="s">
        <v>170</v>
      </c>
      <c r="C2348" s="17" t="s">
        <v>171</v>
      </c>
      <c r="D2348" s="15">
        <v>4.0</v>
      </c>
      <c r="E2348" s="17" t="s">
        <v>525</v>
      </c>
      <c r="F2348" s="15" t="s">
        <v>502</v>
      </c>
      <c r="G2348" s="46" t="s">
        <v>526</v>
      </c>
      <c r="H2348" s="47" t="s">
        <v>527</v>
      </c>
      <c r="I2348" s="48" t="s">
        <v>60</v>
      </c>
      <c r="J2348" s="49">
        <v>1.59424702E8</v>
      </c>
    </row>
    <row r="2349">
      <c r="A2349" s="45" t="s">
        <v>74</v>
      </c>
      <c r="B2349" s="16" t="s">
        <v>170</v>
      </c>
      <c r="C2349" s="17" t="s">
        <v>171</v>
      </c>
      <c r="D2349" s="15">
        <v>4.0</v>
      </c>
      <c r="E2349" s="17" t="s">
        <v>525</v>
      </c>
      <c r="F2349" s="15" t="s">
        <v>502</v>
      </c>
      <c r="G2349" s="46" t="s">
        <v>539</v>
      </c>
      <c r="H2349" s="47" t="s">
        <v>540</v>
      </c>
      <c r="I2349" s="48" t="s">
        <v>60</v>
      </c>
      <c r="J2349" s="49">
        <v>1783056.0</v>
      </c>
    </row>
    <row r="2350">
      <c r="A2350" s="45" t="s">
        <v>74</v>
      </c>
      <c r="B2350" s="16" t="s">
        <v>170</v>
      </c>
      <c r="C2350" s="17" t="s">
        <v>171</v>
      </c>
      <c r="D2350" s="15">
        <v>4.0</v>
      </c>
      <c r="E2350" s="17" t="s">
        <v>525</v>
      </c>
      <c r="F2350" s="15" t="s">
        <v>502</v>
      </c>
      <c r="G2350" s="46" t="s">
        <v>505</v>
      </c>
      <c r="H2350" s="47" t="s">
        <v>506</v>
      </c>
      <c r="I2350" s="48" t="s">
        <v>60</v>
      </c>
      <c r="J2350" s="49">
        <v>9086493.0</v>
      </c>
    </row>
    <row r="2351">
      <c r="A2351" s="45" t="s">
        <v>74</v>
      </c>
      <c r="B2351" s="16" t="s">
        <v>170</v>
      </c>
      <c r="C2351" s="17" t="s">
        <v>171</v>
      </c>
      <c r="D2351" s="15">
        <v>4.0</v>
      </c>
      <c r="E2351" s="17" t="s">
        <v>525</v>
      </c>
      <c r="F2351" s="15" t="s">
        <v>502</v>
      </c>
      <c r="G2351" s="46" t="s">
        <v>507</v>
      </c>
      <c r="H2351" s="47" t="s">
        <v>508</v>
      </c>
      <c r="I2351" s="48" t="s">
        <v>60</v>
      </c>
      <c r="J2351" s="49">
        <v>9548651.0</v>
      </c>
    </row>
    <row r="2352">
      <c r="A2352" s="45" t="s">
        <v>74</v>
      </c>
      <c r="B2352" s="16" t="s">
        <v>170</v>
      </c>
      <c r="C2352" s="17" t="s">
        <v>171</v>
      </c>
      <c r="D2352" s="15">
        <v>4.0</v>
      </c>
      <c r="E2352" s="17" t="s">
        <v>525</v>
      </c>
      <c r="F2352" s="15" t="s">
        <v>502</v>
      </c>
      <c r="G2352" s="46" t="s">
        <v>509</v>
      </c>
      <c r="H2352" s="47" t="s">
        <v>510</v>
      </c>
      <c r="I2352" s="48" t="s">
        <v>60</v>
      </c>
      <c r="J2352" s="49">
        <v>1233333.0</v>
      </c>
    </row>
    <row r="2353">
      <c r="A2353" s="45" t="s">
        <v>74</v>
      </c>
      <c r="B2353" s="16" t="s">
        <v>170</v>
      </c>
      <c r="C2353" s="17" t="s">
        <v>171</v>
      </c>
      <c r="D2353" s="15">
        <v>4.0</v>
      </c>
      <c r="E2353" s="17" t="s">
        <v>525</v>
      </c>
      <c r="F2353" s="15" t="s">
        <v>502</v>
      </c>
      <c r="G2353" s="46" t="s">
        <v>511</v>
      </c>
      <c r="H2353" s="47" t="s">
        <v>512</v>
      </c>
      <c r="I2353" s="48" t="s">
        <v>60</v>
      </c>
      <c r="J2353" s="49">
        <v>6.784373E7</v>
      </c>
    </row>
    <row r="2354">
      <c r="A2354" s="45" t="s">
        <v>74</v>
      </c>
      <c r="B2354" s="16" t="s">
        <v>170</v>
      </c>
      <c r="C2354" s="17" t="s">
        <v>171</v>
      </c>
      <c r="D2354" s="15">
        <v>4.0</v>
      </c>
      <c r="E2354" s="17" t="s">
        <v>525</v>
      </c>
      <c r="F2354" s="15" t="s">
        <v>502</v>
      </c>
      <c r="G2354" s="46" t="s">
        <v>513</v>
      </c>
      <c r="H2354" s="47" t="s">
        <v>514</v>
      </c>
      <c r="I2354" s="48" t="s">
        <v>60</v>
      </c>
      <c r="J2354" s="49">
        <v>1.1632719E7</v>
      </c>
    </row>
    <row r="2355">
      <c r="A2355" s="45" t="s">
        <v>74</v>
      </c>
      <c r="B2355" s="16" t="s">
        <v>12</v>
      </c>
      <c r="C2355" s="17" t="s">
        <v>13</v>
      </c>
      <c r="D2355" s="15">
        <v>4.0</v>
      </c>
      <c r="E2355" s="17" t="s">
        <v>456</v>
      </c>
      <c r="F2355" s="15" t="s">
        <v>457</v>
      </c>
      <c r="G2355" s="46" t="s">
        <v>515</v>
      </c>
      <c r="H2355" s="47" t="s">
        <v>413</v>
      </c>
      <c r="I2355" s="48" t="s">
        <v>19</v>
      </c>
      <c r="J2355" s="49">
        <v>1.9114011E7</v>
      </c>
    </row>
    <row r="2356">
      <c r="A2356" s="45" t="s">
        <v>74</v>
      </c>
      <c r="B2356" s="16" t="s">
        <v>12</v>
      </c>
      <c r="C2356" s="17" t="s">
        <v>13</v>
      </c>
      <c r="D2356" s="15">
        <v>4.0</v>
      </c>
      <c r="E2356" s="17" t="s">
        <v>473</v>
      </c>
      <c r="F2356" s="15" t="s">
        <v>474</v>
      </c>
      <c r="G2356" s="46" t="s">
        <v>523</v>
      </c>
      <c r="H2356" s="47" t="s">
        <v>431</v>
      </c>
      <c r="I2356" s="48" t="s">
        <v>25</v>
      </c>
      <c r="J2356" s="49">
        <v>1.0E7</v>
      </c>
    </row>
    <row r="2357">
      <c r="A2357" s="45" t="s">
        <v>74</v>
      </c>
      <c r="B2357" s="16" t="s">
        <v>12</v>
      </c>
      <c r="C2357" s="17" t="s">
        <v>13</v>
      </c>
      <c r="D2357" s="15">
        <v>4.0</v>
      </c>
      <c r="E2357" s="17" t="s">
        <v>491</v>
      </c>
      <c r="F2357" s="15" t="s">
        <v>492</v>
      </c>
      <c r="G2357" s="46" t="s">
        <v>493</v>
      </c>
      <c r="H2357" s="47" t="s">
        <v>437</v>
      </c>
      <c r="I2357" s="48" t="s">
        <v>25</v>
      </c>
      <c r="J2357" s="49">
        <v>1268578.0</v>
      </c>
    </row>
    <row r="2358">
      <c r="A2358" s="45" t="s">
        <v>74</v>
      </c>
      <c r="B2358" s="16" t="s">
        <v>12</v>
      </c>
      <c r="C2358" s="17" t="s">
        <v>13</v>
      </c>
      <c r="D2358" s="15">
        <v>4.0</v>
      </c>
      <c r="E2358" s="17" t="s">
        <v>475</v>
      </c>
      <c r="F2358" s="15" t="s">
        <v>476</v>
      </c>
      <c r="G2358" s="46" t="s">
        <v>554</v>
      </c>
      <c r="H2358" s="47" t="s">
        <v>555</v>
      </c>
      <c r="I2358" s="48" t="s">
        <v>17</v>
      </c>
      <c r="J2358" s="49">
        <v>2341136.0</v>
      </c>
    </row>
    <row r="2359">
      <c r="A2359" s="45" t="s">
        <v>74</v>
      </c>
      <c r="B2359" s="16" t="s">
        <v>12</v>
      </c>
      <c r="C2359" s="17" t="s">
        <v>13</v>
      </c>
      <c r="D2359" s="15">
        <v>4.0</v>
      </c>
      <c r="E2359" s="17" t="s">
        <v>475</v>
      </c>
      <c r="F2359" s="15" t="s">
        <v>476</v>
      </c>
      <c r="G2359" s="46" t="s">
        <v>498</v>
      </c>
      <c r="H2359" s="47" t="s">
        <v>434</v>
      </c>
      <c r="I2359" s="48" t="s">
        <v>25</v>
      </c>
      <c r="J2359" s="49">
        <v>1290000.0</v>
      </c>
    </row>
    <row r="2360">
      <c r="A2360" s="45" t="s">
        <v>74</v>
      </c>
      <c r="B2360" s="16" t="s">
        <v>12</v>
      </c>
      <c r="C2360" s="17" t="s">
        <v>13</v>
      </c>
      <c r="D2360" s="15">
        <v>4.0</v>
      </c>
      <c r="E2360" s="17" t="s">
        <v>475</v>
      </c>
      <c r="F2360" s="15" t="s">
        <v>476</v>
      </c>
      <c r="G2360" s="46" t="s">
        <v>477</v>
      </c>
      <c r="H2360" s="47" t="s">
        <v>429</v>
      </c>
      <c r="I2360" s="48" t="s">
        <v>50</v>
      </c>
      <c r="J2360" s="49">
        <v>1.4082968E7</v>
      </c>
    </row>
    <row r="2361">
      <c r="A2361" s="45" t="s">
        <v>74</v>
      </c>
      <c r="B2361" s="16" t="s">
        <v>12</v>
      </c>
      <c r="C2361" s="17" t="s">
        <v>13</v>
      </c>
      <c r="D2361" s="15">
        <v>4.0</v>
      </c>
      <c r="E2361" s="17" t="s">
        <v>525</v>
      </c>
      <c r="F2361" s="15" t="s">
        <v>502</v>
      </c>
      <c r="G2361" s="46" t="s">
        <v>526</v>
      </c>
      <c r="H2361" s="47" t="s">
        <v>527</v>
      </c>
      <c r="I2361" s="48" t="s">
        <v>60</v>
      </c>
      <c r="J2361" s="49">
        <v>461296.0</v>
      </c>
    </row>
    <row r="2362">
      <c r="A2362" s="45" t="s">
        <v>74</v>
      </c>
      <c r="B2362" s="16" t="s">
        <v>12</v>
      </c>
      <c r="C2362" s="17" t="s">
        <v>13</v>
      </c>
      <c r="D2362" s="15">
        <v>4.0</v>
      </c>
      <c r="E2362" s="17" t="s">
        <v>525</v>
      </c>
      <c r="F2362" s="15" t="s">
        <v>502</v>
      </c>
      <c r="G2362" s="46" t="s">
        <v>505</v>
      </c>
      <c r="H2362" s="47" t="s">
        <v>506</v>
      </c>
      <c r="I2362" s="48" t="s">
        <v>60</v>
      </c>
      <c r="J2362" s="49">
        <v>1107530.0</v>
      </c>
    </row>
    <row r="2363">
      <c r="A2363" s="45" t="s">
        <v>74</v>
      </c>
      <c r="B2363" s="16" t="s">
        <v>12</v>
      </c>
      <c r="C2363" s="17" t="s">
        <v>13</v>
      </c>
      <c r="D2363" s="15">
        <v>4.0</v>
      </c>
      <c r="E2363" s="17" t="s">
        <v>525</v>
      </c>
      <c r="F2363" s="15" t="s">
        <v>502</v>
      </c>
      <c r="G2363" s="46" t="s">
        <v>507</v>
      </c>
      <c r="H2363" s="47" t="s">
        <v>508</v>
      </c>
      <c r="I2363" s="48" t="s">
        <v>60</v>
      </c>
      <c r="J2363" s="49">
        <v>141852.0</v>
      </c>
    </row>
    <row r="2364">
      <c r="A2364" s="45" t="s">
        <v>74</v>
      </c>
      <c r="B2364" s="16" t="s">
        <v>12</v>
      </c>
      <c r="C2364" s="17" t="s">
        <v>13</v>
      </c>
      <c r="D2364" s="15">
        <v>4.0</v>
      </c>
      <c r="E2364" s="17" t="s">
        <v>525</v>
      </c>
      <c r="F2364" s="15" t="s">
        <v>502</v>
      </c>
      <c r="G2364" s="46" t="s">
        <v>511</v>
      </c>
      <c r="H2364" s="47" t="s">
        <v>512</v>
      </c>
      <c r="I2364" s="48" t="s">
        <v>60</v>
      </c>
      <c r="J2364" s="49">
        <v>8396384.0</v>
      </c>
    </row>
    <row r="2365">
      <c r="A2365" s="45" t="s">
        <v>74</v>
      </c>
      <c r="B2365" s="16" t="s">
        <v>12</v>
      </c>
      <c r="C2365" s="17" t="s">
        <v>13</v>
      </c>
      <c r="D2365" s="15">
        <v>4.0</v>
      </c>
      <c r="E2365" s="17" t="s">
        <v>525</v>
      </c>
      <c r="F2365" s="15" t="s">
        <v>502</v>
      </c>
      <c r="G2365" s="46" t="s">
        <v>513</v>
      </c>
      <c r="H2365" s="47" t="s">
        <v>514</v>
      </c>
      <c r="I2365" s="48" t="s">
        <v>60</v>
      </c>
      <c r="J2365" s="49">
        <v>2915926.0</v>
      </c>
    </row>
    <row r="2366">
      <c r="A2366" s="45" t="s">
        <v>74</v>
      </c>
      <c r="B2366" s="16" t="s">
        <v>12</v>
      </c>
      <c r="C2366" s="17" t="s">
        <v>13</v>
      </c>
      <c r="D2366" s="15">
        <v>4.0</v>
      </c>
      <c r="E2366" s="17" t="s">
        <v>501</v>
      </c>
      <c r="F2366" s="15" t="s">
        <v>502</v>
      </c>
      <c r="G2366" s="46" t="s">
        <v>503</v>
      </c>
      <c r="H2366" s="47" t="s">
        <v>504</v>
      </c>
      <c r="I2366" s="48" t="s">
        <v>60</v>
      </c>
      <c r="J2366" s="49">
        <v>1.53430136E8</v>
      </c>
    </row>
    <row r="2367">
      <c r="A2367" s="45" t="s">
        <v>74</v>
      </c>
      <c r="B2367" s="16" t="s">
        <v>187</v>
      </c>
      <c r="C2367" s="17" t="s">
        <v>188</v>
      </c>
      <c r="D2367" s="15">
        <v>4.0</v>
      </c>
      <c r="E2367" s="17" t="s">
        <v>441</v>
      </c>
      <c r="F2367" s="15" t="s">
        <v>442</v>
      </c>
      <c r="G2367" s="46" t="s">
        <v>443</v>
      </c>
      <c r="H2367" s="47" t="s">
        <v>420</v>
      </c>
      <c r="I2367" s="48" t="s">
        <v>19</v>
      </c>
      <c r="J2367" s="49">
        <v>2.2197788E7</v>
      </c>
    </row>
    <row r="2368">
      <c r="A2368" s="45" t="s">
        <v>74</v>
      </c>
      <c r="B2368" s="16" t="s">
        <v>187</v>
      </c>
      <c r="C2368" s="17" t="s">
        <v>188</v>
      </c>
      <c r="D2368" s="15">
        <v>4.0</v>
      </c>
      <c r="E2368" s="17" t="s">
        <v>441</v>
      </c>
      <c r="F2368" s="15" t="s">
        <v>442</v>
      </c>
      <c r="G2368" s="46" t="s">
        <v>444</v>
      </c>
      <c r="H2368" s="47" t="s">
        <v>445</v>
      </c>
      <c r="I2368" s="48" t="s">
        <v>19</v>
      </c>
      <c r="J2368" s="49">
        <v>1333838.0</v>
      </c>
    </row>
    <row r="2369">
      <c r="A2369" s="45" t="s">
        <v>74</v>
      </c>
      <c r="B2369" s="16" t="s">
        <v>187</v>
      </c>
      <c r="C2369" s="17" t="s">
        <v>188</v>
      </c>
      <c r="D2369" s="15">
        <v>4.0</v>
      </c>
      <c r="E2369" s="17" t="s">
        <v>441</v>
      </c>
      <c r="F2369" s="15" t="s">
        <v>442</v>
      </c>
      <c r="G2369" s="46" t="s">
        <v>579</v>
      </c>
      <c r="H2369" s="47" t="s">
        <v>580</v>
      </c>
      <c r="I2369" s="48" t="s">
        <v>19</v>
      </c>
      <c r="J2369" s="49">
        <v>2333063.0</v>
      </c>
    </row>
    <row r="2370">
      <c r="A2370" s="45" t="s">
        <v>74</v>
      </c>
      <c r="B2370" s="16" t="s">
        <v>187</v>
      </c>
      <c r="C2370" s="17" t="s">
        <v>188</v>
      </c>
      <c r="D2370" s="15">
        <v>4.0</v>
      </c>
      <c r="E2370" s="17" t="s">
        <v>441</v>
      </c>
      <c r="F2370" s="15" t="s">
        <v>442</v>
      </c>
      <c r="G2370" s="46" t="s">
        <v>446</v>
      </c>
      <c r="H2370" s="47" t="s">
        <v>447</v>
      </c>
      <c r="I2370" s="48" t="s">
        <v>19</v>
      </c>
      <c r="J2370" s="49">
        <v>286785.0</v>
      </c>
    </row>
    <row r="2371">
      <c r="A2371" s="45" t="s">
        <v>74</v>
      </c>
      <c r="B2371" s="16" t="s">
        <v>187</v>
      </c>
      <c r="C2371" s="17" t="s">
        <v>188</v>
      </c>
      <c r="D2371" s="15">
        <v>4.0</v>
      </c>
      <c r="E2371" s="17" t="s">
        <v>441</v>
      </c>
      <c r="F2371" s="15" t="s">
        <v>442</v>
      </c>
      <c r="G2371" s="46" t="s">
        <v>448</v>
      </c>
      <c r="H2371" s="47" t="s">
        <v>449</v>
      </c>
      <c r="I2371" s="48" t="s">
        <v>19</v>
      </c>
      <c r="J2371" s="49">
        <v>790860.0</v>
      </c>
    </row>
    <row r="2372">
      <c r="A2372" s="45" t="s">
        <v>74</v>
      </c>
      <c r="B2372" s="16" t="s">
        <v>187</v>
      </c>
      <c r="C2372" s="17" t="s">
        <v>188</v>
      </c>
      <c r="D2372" s="15">
        <v>4.0</v>
      </c>
      <c r="E2372" s="17" t="s">
        <v>441</v>
      </c>
      <c r="F2372" s="15" t="s">
        <v>442</v>
      </c>
      <c r="G2372" s="46" t="s">
        <v>450</v>
      </c>
      <c r="H2372" s="47" t="s">
        <v>451</v>
      </c>
      <c r="I2372" s="48" t="s">
        <v>19</v>
      </c>
      <c r="J2372" s="49">
        <v>0.0</v>
      </c>
    </row>
    <row r="2373">
      <c r="A2373" s="45" t="s">
        <v>74</v>
      </c>
      <c r="B2373" s="16" t="s">
        <v>187</v>
      </c>
      <c r="C2373" s="17" t="s">
        <v>188</v>
      </c>
      <c r="D2373" s="15">
        <v>4.0</v>
      </c>
      <c r="E2373" s="17" t="s">
        <v>441</v>
      </c>
      <c r="F2373" s="15" t="s">
        <v>442</v>
      </c>
      <c r="G2373" s="46" t="s">
        <v>452</v>
      </c>
      <c r="H2373" s="47" t="s">
        <v>453</v>
      </c>
      <c r="I2373" s="48" t="s">
        <v>19</v>
      </c>
      <c r="J2373" s="49">
        <v>530553.0</v>
      </c>
    </row>
    <row r="2374">
      <c r="A2374" s="45" t="s">
        <v>74</v>
      </c>
      <c r="B2374" s="16" t="s">
        <v>187</v>
      </c>
      <c r="C2374" s="17" t="s">
        <v>188</v>
      </c>
      <c r="D2374" s="15">
        <v>4.0</v>
      </c>
      <c r="E2374" s="17" t="s">
        <v>441</v>
      </c>
      <c r="F2374" s="15" t="s">
        <v>442</v>
      </c>
      <c r="G2374" s="46" t="s">
        <v>454</v>
      </c>
      <c r="H2374" s="47" t="s">
        <v>415</v>
      </c>
      <c r="I2374" s="48" t="s">
        <v>19</v>
      </c>
      <c r="J2374" s="49">
        <v>77432.0</v>
      </c>
    </row>
    <row r="2375">
      <c r="A2375" s="45" t="s">
        <v>74</v>
      </c>
      <c r="B2375" s="16" t="s">
        <v>187</v>
      </c>
      <c r="C2375" s="17" t="s">
        <v>188</v>
      </c>
      <c r="D2375" s="15">
        <v>4.0</v>
      </c>
      <c r="E2375" s="17" t="s">
        <v>441</v>
      </c>
      <c r="F2375" s="15" t="s">
        <v>442</v>
      </c>
      <c r="G2375" s="46" t="s">
        <v>455</v>
      </c>
      <c r="H2375" s="47" t="s">
        <v>415</v>
      </c>
      <c r="I2375" s="48" t="s">
        <v>19</v>
      </c>
      <c r="J2375" s="49">
        <v>43017.0</v>
      </c>
    </row>
    <row r="2376">
      <c r="A2376" s="45" t="s">
        <v>74</v>
      </c>
      <c r="B2376" s="16" t="s">
        <v>187</v>
      </c>
      <c r="C2376" s="17" t="s">
        <v>188</v>
      </c>
      <c r="D2376" s="15">
        <v>4.0</v>
      </c>
      <c r="E2376" s="17" t="s">
        <v>441</v>
      </c>
      <c r="F2376" s="15" t="s">
        <v>442</v>
      </c>
      <c r="G2376" s="46" t="s">
        <v>583</v>
      </c>
      <c r="H2376" s="47" t="s">
        <v>584</v>
      </c>
      <c r="I2376" s="48" t="s">
        <v>25</v>
      </c>
      <c r="J2376" s="49">
        <v>5100000.0</v>
      </c>
    </row>
    <row r="2377">
      <c r="A2377" s="45" t="s">
        <v>74</v>
      </c>
      <c r="B2377" s="16" t="s">
        <v>187</v>
      </c>
      <c r="C2377" s="17" t="s">
        <v>188</v>
      </c>
      <c r="D2377" s="15">
        <v>4.0</v>
      </c>
      <c r="E2377" s="17" t="s">
        <v>456</v>
      </c>
      <c r="F2377" s="15" t="s">
        <v>457</v>
      </c>
      <c r="G2377" s="46" t="s">
        <v>515</v>
      </c>
      <c r="H2377" s="47" t="s">
        <v>413</v>
      </c>
      <c r="I2377" s="48" t="s">
        <v>19</v>
      </c>
      <c r="J2377" s="49">
        <v>4340000.0</v>
      </c>
    </row>
    <row r="2378">
      <c r="A2378" s="45" t="s">
        <v>74</v>
      </c>
      <c r="B2378" s="16" t="s">
        <v>187</v>
      </c>
      <c r="C2378" s="17" t="s">
        <v>188</v>
      </c>
      <c r="D2378" s="15">
        <v>4.0</v>
      </c>
      <c r="E2378" s="17" t="s">
        <v>456</v>
      </c>
      <c r="F2378" s="15" t="s">
        <v>457</v>
      </c>
      <c r="G2378" s="46" t="s">
        <v>458</v>
      </c>
      <c r="H2378" s="47" t="s">
        <v>411</v>
      </c>
      <c r="I2378" s="48" t="s">
        <v>19</v>
      </c>
      <c r="J2378" s="49">
        <v>1.77695664E8</v>
      </c>
    </row>
    <row r="2379">
      <c r="A2379" s="45" t="s">
        <v>74</v>
      </c>
      <c r="B2379" s="16" t="s">
        <v>187</v>
      </c>
      <c r="C2379" s="17" t="s">
        <v>188</v>
      </c>
      <c r="D2379" s="15">
        <v>4.0</v>
      </c>
      <c r="E2379" s="17" t="s">
        <v>456</v>
      </c>
      <c r="F2379" s="15" t="s">
        <v>457</v>
      </c>
      <c r="G2379" s="46" t="s">
        <v>532</v>
      </c>
      <c r="H2379" s="47" t="s">
        <v>412</v>
      </c>
      <c r="I2379" s="48" t="s">
        <v>19</v>
      </c>
      <c r="J2379" s="49">
        <v>6829200.0</v>
      </c>
    </row>
    <row r="2380">
      <c r="A2380" s="45" t="s">
        <v>74</v>
      </c>
      <c r="B2380" s="16" t="s">
        <v>187</v>
      </c>
      <c r="C2380" s="17" t="s">
        <v>188</v>
      </c>
      <c r="D2380" s="15">
        <v>4.0</v>
      </c>
      <c r="E2380" s="17" t="s">
        <v>459</v>
      </c>
      <c r="F2380" s="15" t="s">
        <v>460</v>
      </c>
      <c r="G2380" s="46" t="s">
        <v>458</v>
      </c>
      <c r="H2380" s="47" t="s">
        <v>411</v>
      </c>
      <c r="I2380" s="48" t="s">
        <v>19</v>
      </c>
      <c r="J2380" s="49">
        <v>8162112.0</v>
      </c>
    </row>
    <row r="2381">
      <c r="A2381" s="45" t="s">
        <v>74</v>
      </c>
      <c r="B2381" s="16" t="s">
        <v>187</v>
      </c>
      <c r="C2381" s="17" t="s">
        <v>188</v>
      </c>
      <c r="D2381" s="15">
        <v>4.0</v>
      </c>
      <c r="E2381" s="17" t="s">
        <v>463</v>
      </c>
      <c r="F2381" s="15" t="s">
        <v>464</v>
      </c>
      <c r="G2381" s="46" t="s">
        <v>520</v>
      </c>
      <c r="H2381" s="47" t="s">
        <v>435</v>
      </c>
      <c r="I2381" s="48" t="s">
        <v>37</v>
      </c>
      <c r="J2381" s="49">
        <v>909080.0</v>
      </c>
    </row>
    <row r="2382">
      <c r="A2382" s="45" t="s">
        <v>74</v>
      </c>
      <c r="B2382" s="16" t="s">
        <v>187</v>
      </c>
      <c r="C2382" s="17" t="s">
        <v>188</v>
      </c>
      <c r="D2382" s="15">
        <v>4.0</v>
      </c>
      <c r="E2382" s="17" t="s">
        <v>463</v>
      </c>
      <c r="F2382" s="15" t="s">
        <v>464</v>
      </c>
      <c r="G2382" s="46" t="s">
        <v>519</v>
      </c>
      <c r="H2382" s="47" t="s">
        <v>414</v>
      </c>
      <c r="I2382" s="48" t="s">
        <v>37</v>
      </c>
      <c r="J2382" s="49">
        <v>1260000.0</v>
      </c>
    </row>
    <row r="2383">
      <c r="A2383" s="45" t="s">
        <v>74</v>
      </c>
      <c r="B2383" s="16" t="s">
        <v>187</v>
      </c>
      <c r="C2383" s="17" t="s">
        <v>188</v>
      </c>
      <c r="D2383" s="15">
        <v>4.0</v>
      </c>
      <c r="E2383" s="17" t="s">
        <v>463</v>
      </c>
      <c r="F2383" s="15" t="s">
        <v>464</v>
      </c>
      <c r="G2383" s="46" t="s">
        <v>458</v>
      </c>
      <c r="H2383" s="47" t="s">
        <v>411</v>
      </c>
      <c r="I2383" s="48" t="s">
        <v>19</v>
      </c>
      <c r="J2383" s="49">
        <v>1.3113718E7</v>
      </c>
    </row>
    <row r="2384">
      <c r="A2384" s="45" t="s">
        <v>74</v>
      </c>
      <c r="B2384" s="16" t="s">
        <v>187</v>
      </c>
      <c r="C2384" s="17" t="s">
        <v>188</v>
      </c>
      <c r="D2384" s="15">
        <v>4.0</v>
      </c>
      <c r="E2384" s="17" t="s">
        <v>463</v>
      </c>
      <c r="F2384" s="15" t="s">
        <v>464</v>
      </c>
      <c r="G2384" s="46" t="s">
        <v>585</v>
      </c>
      <c r="H2384" s="47" t="s">
        <v>423</v>
      </c>
      <c r="I2384" s="48" t="s">
        <v>37</v>
      </c>
      <c r="J2384" s="49">
        <v>2.6786456E7</v>
      </c>
    </row>
    <row r="2385">
      <c r="A2385" s="45" t="s">
        <v>74</v>
      </c>
      <c r="B2385" s="16" t="s">
        <v>187</v>
      </c>
      <c r="C2385" s="17" t="s">
        <v>188</v>
      </c>
      <c r="D2385" s="15">
        <v>4.0</v>
      </c>
      <c r="E2385" s="17" t="s">
        <v>487</v>
      </c>
      <c r="F2385" s="15" t="s">
        <v>488</v>
      </c>
      <c r="G2385" s="46" t="s">
        <v>458</v>
      </c>
      <c r="H2385" s="47" t="s">
        <v>411</v>
      </c>
      <c r="I2385" s="48" t="s">
        <v>19</v>
      </c>
      <c r="J2385" s="49">
        <v>5830080.0</v>
      </c>
    </row>
    <row r="2386">
      <c r="A2386" s="45" t="s">
        <v>74</v>
      </c>
      <c r="B2386" s="16" t="s">
        <v>187</v>
      </c>
      <c r="C2386" s="17" t="s">
        <v>188</v>
      </c>
      <c r="D2386" s="15">
        <v>4.0</v>
      </c>
      <c r="E2386" s="17" t="s">
        <v>473</v>
      </c>
      <c r="F2386" s="15" t="s">
        <v>474</v>
      </c>
      <c r="G2386" s="46" t="s">
        <v>554</v>
      </c>
      <c r="H2386" s="47" t="s">
        <v>555</v>
      </c>
      <c r="I2386" s="48" t="s">
        <v>17</v>
      </c>
      <c r="J2386" s="49">
        <v>1692805.0</v>
      </c>
    </row>
    <row r="2387">
      <c r="A2387" s="45" t="s">
        <v>74</v>
      </c>
      <c r="B2387" s="16" t="s">
        <v>187</v>
      </c>
      <c r="C2387" s="17" t="s">
        <v>188</v>
      </c>
      <c r="D2387" s="15">
        <v>4.0</v>
      </c>
      <c r="E2387" s="17" t="s">
        <v>473</v>
      </c>
      <c r="F2387" s="15" t="s">
        <v>474</v>
      </c>
      <c r="G2387" s="46" t="s">
        <v>523</v>
      </c>
      <c r="H2387" s="47" t="s">
        <v>431</v>
      </c>
      <c r="I2387" s="48" t="s">
        <v>17</v>
      </c>
      <c r="J2387" s="49">
        <v>5.17910835E8</v>
      </c>
    </row>
    <row r="2388">
      <c r="A2388" s="45" t="s">
        <v>74</v>
      </c>
      <c r="B2388" s="16" t="s">
        <v>187</v>
      </c>
      <c r="C2388" s="17" t="s">
        <v>188</v>
      </c>
      <c r="D2388" s="15">
        <v>4.0</v>
      </c>
      <c r="E2388" s="17" t="s">
        <v>473</v>
      </c>
      <c r="F2388" s="15" t="s">
        <v>474</v>
      </c>
      <c r="G2388" s="46" t="s">
        <v>523</v>
      </c>
      <c r="H2388" s="47" t="s">
        <v>431</v>
      </c>
      <c r="I2388" s="48" t="s">
        <v>25</v>
      </c>
      <c r="J2388" s="49">
        <v>-4.10924559E8</v>
      </c>
    </row>
    <row r="2389">
      <c r="A2389" s="45" t="s">
        <v>74</v>
      </c>
      <c r="B2389" s="16" t="s">
        <v>187</v>
      </c>
      <c r="C2389" s="17" t="s">
        <v>188</v>
      </c>
      <c r="D2389" s="15">
        <v>4.0</v>
      </c>
      <c r="E2389" s="17" t="s">
        <v>473</v>
      </c>
      <c r="F2389" s="15" t="s">
        <v>474</v>
      </c>
      <c r="G2389" s="46" t="s">
        <v>458</v>
      </c>
      <c r="H2389" s="47" t="s">
        <v>411</v>
      </c>
      <c r="I2389" s="48" t="s">
        <v>19</v>
      </c>
      <c r="J2389" s="49">
        <v>3.476088E7</v>
      </c>
    </row>
    <row r="2390">
      <c r="A2390" s="45" t="s">
        <v>74</v>
      </c>
      <c r="B2390" s="16" t="s">
        <v>187</v>
      </c>
      <c r="C2390" s="17" t="s">
        <v>188</v>
      </c>
      <c r="D2390" s="15">
        <v>4.0</v>
      </c>
      <c r="E2390" s="17" t="s">
        <v>491</v>
      </c>
      <c r="F2390" s="15" t="s">
        <v>492</v>
      </c>
      <c r="G2390" s="46" t="s">
        <v>493</v>
      </c>
      <c r="H2390" s="47" t="s">
        <v>437</v>
      </c>
      <c r="I2390" s="48" t="s">
        <v>25</v>
      </c>
      <c r="J2390" s="49">
        <v>3443962.0</v>
      </c>
    </row>
    <row r="2391">
      <c r="A2391" s="45" t="s">
        <v>74</v>
      </c>
      <c r="B2391" s="16" t="s">
        <v>187</v>
      </c>
      <c r="C2391" s="17" t="s">
        <v>188</v>
      </c>
      <c r="D2391" s="15">
        <v>4.0</v>
      </c>
      <c r="E2391" s="17" t="s">
        <v>491</v>
      </c>
      <c r="F2391" s="15" t="s">
        <v>492</v>
      </c>
      <c r="G2391" s="46" t="s">
        <v>458</v>
      </c>
      <c r="H2391" s="47" t="s">
        <v>411</v>
      </c>
      <c r="I2391" s="48" t="s">
        <v>19</v>
      </c>
      <c r="J2391" s="49">
        <v>5830080.0</v>
      </c>
    </row>
    <row r="2392">
      <c r="A2392" s="45" t="s">
        <v>74</v>
      </c>
      <c r="B2392" s="16" t="s">
        <v>187</v>
      </c>
      <c r="C2392" s="17" t="s">
        <v>188</v>
      </c>
      <c r="D2392" s="15">
        <v>4.0</v>
      </c>
      <c r="E2392" s="17" t="s">
        <v>494</v>
      </c>
      <c r="F2392" s="15" t="s">
        <v>495</v>
      </c>
      <c r="G2392" s="46" t="s">
        <v>477</v>
      </c>
      <c r="H2392" s="47" t="s">
        <v>429</v>
      </c>
      <c r="I2392" s="48" t="s">
        <v>50</v>
      </c>
      <c r="J2392" s="49">
        <v>7439645.0</v>
      </c>
    </row>
    <row r="2393">
      <c r="A2393" s="45" t="s">
        <v>74</v>
      </c>
      <c r="B2393" s="16" t="s">
        <v>187</v>
      </c>
      <c r="C2393" s="17" t="s">
        <v>188</v>
      </c>
      <c r="D2393" s="15">
        <v>4.0</v>
      </c>
      <c r="E2393" s="17" t="s">
        <v>475</v>
      </c>
      <c r="F2393" s="15" t="s">
        <v>476</v>
      </c>
      <c r="G2393" s="46" t="s">
        <v>477</v>
      </c>
      <c r="H2393" s="47" t="s">
        <v>429</v>
      </c>
      <c r="I2393" s="48" t="s">
        <v>50</v>
      </c>
      <c r="J2393" s="49">
        <v>9.5847949E7</v>
      </c>
    </row>
    <row r="2394">
      <c r="A2394" s="45" t="s">
        <v>74</v>
      </c>
      <c r="B2394" s="16" t="s">
        <v>187</v>
      </c>
      <c r="C2394" s="17" t="s">
        <v>188</v>
      </c>
      <c r="D2394" s="15">
        <v>4.0</v>
      </c>
      <c r="E2394" s="17" t="s">
        <v>524</v>
      </c>
      <c r="F2394" s="15" t="s">
        <v>479</v>
      </c>
      <c r="G2394" s="46" t="s">
        <v>443</v>
      </c>
      <c r="H2394" s="47" t="s">
        <v>420</v>
      </c>
      <c r="I2394" s="48" t="s">
        <v>19</v>
      </c>
      <c r="J2394" s="49">
        <v>7.6234028E7</v>
      </c>
    </row>
    <row r="2395">
      <c r="A2395" s="45" t="s">
        <v>74</v>
      </c>
      <c r="B2395" s="16" t="s">
        <v>187</v>
      </c>
      <c r="C2395" s="17" t="s">
        <v>188</v>
      </c>
      <c r="D2395" s="15">
        <v>4.0</v>
      </c>
      <c r="E2395" s="17" t="s">
        <v>524</v>
      </c>
      <c r="F2395" s="15" t="s">
        <v>479</v>
      </c>
      <c r="G2395" s="46" t="s">
        <v>444</v>
      </c>
      <c r="H2395" s="47" t="s">
        <v>445</v>
      </c>
      <c r="I2395" s="48" t="s">
        <v>19</v>
      </c>
      <c r="J2395" s="49">
        <v>7396075.0</v>
      </c>
    </row>
    <row r="2396">
      <c r="A2396" s="45" t="s">
        <v>74</v>
      </c>
      <c r="B2396" s="16" t="s">
        <v>187</v>
      </c>
      <c r="C2396" s="17" t="s">
        <v>188</v>
      </c>
      <c r="D2396" s="15">
        <v>4.0</v>
      </c>
      <c r="E2396" s="17" t="s">
        <v>524</v>
      </c>
      <c r="F2396" s="15" t="s">
        <v>479</v>
      </c>
      <c r="G2396" s="46" t="s">
        <v>579</v>
      </c>
      <c r="H2396" s="47" t="s">
        <v>580</v>
      </c>
      <c r="I2396" s="48" t="s">
        <v>19</v>
      </c>
      <c r="J2396" s="49">
        <v>8069756.0</v>
      </c>
    </row>
    <row r="2397">
      <c r="A2397" s="45" t="s">
        <v>74</v>
      </c>
      <c r="B2397" s="16" t="s">
        <v>187</v>
      </c>
      <c r="C2397" s="17" t="s">
        <v>188</v>
      </c>
      <c r="D2397" s="15">
        <v>4.0</v>
      </c>
      <c r="E2397" s="17" t="s">
        <v>524</v>
      </c>
      <c r="F2397" s="15" t="s">
        <v>479</v>
      </c>
      <c r="G2397" s="46" t="s">
        <v>446</v>
      </c>
      <c r="H2397" s="47" t="s">
        <v>447</v>
      </c>
      <c r="I2397" s="48" t="s">
        <v>19</v>
      </c>
      <c r="J2397" s="49">
        <v>975255.0</v>
      </c>
    </row>
    <row r="2398">
      <c r="A2398" s="45" t="s">
        <v>74</v>
      </c>
      <c r="B2398" s="16" t="s">
        <v>187</v>
      </c>
      <c r="C2398" s="17" t="s">
        <v>188</v>
      </c>
      <c r="D2398" s="15">
        <v>4.0</v>
      </c>
      <c r="E2398" s="17" t="s">
        <v>524</v>
      </c>
      <c r="F2398" s="15" t="s">
        <v>479</v>
      </c>
      <c r="G2398" s="46" t="s">
        <v>448</v>
      </c>
      <c r="H2398" s="47" t="s">
        <v>449</v>
      </c>
      <c r="I2398" s="48" t="s">
        <v>19</v>
      </c>
      <c r="J2398" s="49">
        <v>2689431.0</v>
      </c>
    </row>
    <row r="2399">
      <c r="A2399" s="45" t="s">
        <v>74</v>
      </c>
      <c r="B2399" s="16" t="s">
        <v>187</v>
      </c>
      <c r="C2399" s="17" t="s">
        <v>188</v>
      </c>
      <c r="D2399" s="15">
        <v>4.0</v>
      </c>
      <c r="E2399" s="17" t="s">
        <v>524</v>
      </c>
      <c r="F2399" s="15" t="s">
        <v>479</v>
      </c>
      <c r="G2399" s="46" t="s">
        <v>450</v>
      </c>
      <c r="H2399" s="47" t="s">
        <v>451</v>
      </c>
      <c r="I2399" s="48" t="s">
        <v>19</v>
      </c>
      <c r="J2399" s="49">
        <v>0.0</v>
      </c>
    </row>
    <row r="2400">
      <c r="A2400" s="45" t="s">
        <v>74</v>
      </c>
      <c r="B2400" s="16" t="s">
        <v>187</v>
      </c>
      <c r="C2400" s="17" t="s">
        <v>188</v>
      </c>
      <c r="D2400" s="15">
        <v>4.0</v>
      </c>
      <c r="E2400" s="17" t="s">
        <v>524</v>
      </c>
      <c r="F2400" s="15" t="s">
        <v>479</v>
      </c>
      <c r="G2400" s="46" t="s">
        <v>452</v>
      </c>
      <c r="H2400" s="47" t="s">
        <v>453</v>
      </c>
      <c r="I2400" s="48" t="s">
        <v>19</v>
      </c>
      <c r="J2400" s="49">
        <v>1804221.0</v>
      </c>
    </row>
    <row r="2401">
      <c r="A2401" s="45" t="s">
        <v>74</v>
      </c>
      <c r="B2401" s="16" t="s">
        <v>187</v>
      </c>
      <c r="C2401" s="17" t="s">
        <v>188</v>
      </c>
      <c r="D2401" s="15">
        <v>4.0</v>
      </c>
      <c r="E2401" s="17" t="s">
        <v>524</v>
      </c>
      <c r="F2401" s="15" t="s">
        <v>479</v>
      </c>
      <c r="G2401" s="46" t="s">
        <v>454</v>
      </c>
      <c r="H2401" s="47" t="s">
        <v>415</v>
      </c>
      <c r="I2401" s="48" t="s">
        <v>19</v>
      </c>
      <c r="J2401" s="49">
        <v>263318.0</v>
      </c>
    </row>
    <row r="2402">
      <c r="A2402" s="45" t="s">
        <v>74</v>
      </c>
      <c r="B2402" s="16" t="s">
        <v>187</v>
      </c>
      <c r="C2402" s="17" t="s">
        <v>188</v>
      </c>
      <c r="D2402" s="15">
        <v>4.0</v>
      </c>
      <c r="E2402" s="17" t="s">
        <v>524</v>
      </c>
      <c r="F2402" s="15" t="s">
        <v>479</v>
      </c>
      <c r="G2402" s="46" t="s">
        <v>455</v>
      </c>
      <c r="H2402" s="47" t="s">
        <v>415</v>
      </c>
      <c r="I2402" s="48" t="s">
        <v>19</v>
      </c>
      <c r="J2402" s="49">
        <v>146287.0</v>
      </c>
    </row>
    <row r="2403">
      <c r="A2403" s="45" t="s">
        <v>74</v>
      </c>
      <c r="B2403" s="16" t="s">
        <v>187</v>
      </c>
      <c r="C2403" s="17" t="s">
        <v>188</v>
      </c>
      <c r="D2403" s="15">
        <v>4.0</v>
      </c>
      <c r="E2403" s="17" t="s">
        <v>524</v>
      </c>
      <c r="F2403" s="15" t="s">
        <v>479</v>
      </c>
      <c r="G2403" s="46" t="s">
        <v>480</v>
      </c>
      <c r="H2403" s="47" t="s">
        <v>481</v>
      </c>
      <c r="I2403" s="48" t="s">
        <v>19</v>
      </c>
      <c r="J2403" s="49">
        <v>3500284.0</v>
      </c>
    </row>
    <row r="2404">
      <c r="A2404" s="45" t="s">
        <v>74</v>
      </c>
      <c r="B2404" s="16" t="s">
        <v>187</v>
      </c>
      <c r="C2404" s="17" t="s">
        <v>188</v>
      </c>
      <c r="D2404" s="15">
        <v>4.0</v>
      </c>
      <c r="E2404" s="17" t="s">
        <v>524</v>
      </c>
      <c r="F2404" s="15" t="s">
        <v>479</v>
      </c>
      <c r="G2404" s="46" t="s">
        <v>583</v>
      </c>
      <c r="H2404" s="47" t="s">
        <v>584</v>
      </c>
      <c r="I2404" s="48" t="s">
        <v>25</v>
      </c>
      <c r="J2404" s="49">
        <v>1.275E7</v>
      </c>
    </row>
    <row r="2405">
      <c r="A2405" s="45" t="s">
        <v>74</v>
      </c>
      <c r="B2405" s="16" t="s">
        <v>187</v>
      </c>
      <c r="C2405" s="17" t="s">
        <v>188</v>
      </c>
      <c r="D2405" s="15">
        <v>4.0</v>
      </c>
      <c r="E2405" s="17" t="s">
        <v>525</v>
      </c>
      <c r="F2405" s="15" t="s">
        <v>502</v>
      </c>
      <c r="G2405" s="46" t="s">
        <v>526</v>
      </c>
      <c r="H2405" s="47" t="s">
        <v>527</v>
      </c>
      <c r="I2405" s="48" t="s">
        <v>60</v>
      </c>
      <c r="J2405" s="49">
        <v>5.83050033E8</v>
      </c>
    </row>
    <row r="2406">
      <c r="A2406" s="45" t="s">
        <v>74</v>
      </c>
      <c r="B2406" s="16" t="s">
        <v>187</v>
      </c>
      <c r="C2406" s="17" t="s">
        <v>188</v>
      </c>
      <c r="D2406" s="15">
        <v>4.0</v>
      </c>
      <c r="E2406" s="17" t="s">
        <v>525</v>
      </c>
      <c r="F2406" s="15" t="s">
        <v>502</v>
      </c>
      <c r="G2406" s="46" t="s">
        <v>539</v>
      </c>
      <c r="H2406" s="47" t="s">
        <v>540</v>
      </c>
      <c r="I2406" s="48" t="s">
        <v>60</v>
      </c>
      <c r="J2406" s="49">
        <v>1.6730896E7</v>
      </c>
    </row>
    <row r="2407">
      <c r="A2407" s="45" t="s">
        <v>74</v>
      </c>
      <c r="B2407" s="16" t="s">
        <v>187</v>
      </c>
      <c r="C2407" s="17" t="s">
        <v>188</v>
      </c>
      <c r="D2407" s="15">
        <v>4.0</v>
      </c>
      <c r="E2407" s="17" t="s">
        <v>525</v>
      </c>
      <c r="F2407" s="15" t="s">
        <v>502</v>
      </c>
      <c r="G2407" s="46" t="s">
        <v>505</v>
      </c>
      <c r="H2407" s="47" t="s">
        <v>506</v>
      </c>
      <c r="I2407" s="48" t="s">
        <v>60</v>
      </c>
      <c r="J2407" s="49">
        <v>1036734.0</v>
      </c>
    </row>
    <row r="2408">
      <c r="A2408" s="45" t="s">
        <v>74</v>
      </c>
      <c r="B2408" s="16" t="s">
        <v>187</v>
      </c>
      <c r="C2408" s="17" t="s">
        <v>188</v>
      </c>
      <c r="D2408" s="15">
        <v>4.0</v>
      </c>
      <c r="E2408" s="17" t="s">
        <v>525</v>
      </c>
      <c r="F2408" s="15" t="s">
        <v>502</v>
      </c>
      <c r="G2408" s="46" t="s">
        <v>507</v>
      </c>
      <c r="H2408" s="47" t="s">
        <v>508</v>
      </c>
      <c r="I2408" s="48" t="s">
        <v>60</v>
      </c>
      <c r="J2408" s="49">
        <v>4131388.0</v>
      </c>
    </row>
    <row r="2409">
      <c r="A2409" s="45" t="s">
        <v>74</v>
      </c>
      <c r="B2409" s="16" t="s">
        <v>187</v>
      </c>
      <c r="C2409" s="17" t="s">
        <v>188</v>
      </c>
      <c r="D2409" s="15">
        <v>4.0</v>
      </c>
      <c r="E2409" s="17" t="s">
        <v>525</v>
      </c>
      <c r="F2409" s="15" t="s">
        <v>502</v>
      </c>
      <c r="G2409" s="46" t="s">
        <v>509</v>
      </c>
      <c r="H2409" s="47" t="s">
        <v>510</v>
      </c>
      <c r="I2409" s="48" t="s">
        <v>60</v>
      </c>
      <c r="J2409" s="49">
        <v>1528666.0</v>
      </c>
    </row>
    <row r="2410">
      <c r="A2410" s="45" t="s">
        <v>74</v>
      </c>
      <c r="B2410" s="16" t="s">
        <v>187</v>
      </c>
      <c r="C2410" s="17" t="s">
        <v>188</v>
      </c>
      <c r="D2410" s="15">
        <v>4.0</v>
      </c>
      <c r="E2410" s="17" t="s">
        <v>525</v>
      </c>
      <c r="F2410" s="15" t="s">
        <v>502</v>
      </c>
      <c r="G2410" s="46" t="s">
        <v>511</v>
      </c>
      <c r="H2410" s="47" t="s">
        <v>512</v>
      </c>
      <c r="I2410" s="48" t="s">
        <v>60</v>
      </c>
      <c r="J2410" s="49">
        <v>1.24974052E8</v>
      </c>
    </row>
    <row r="2411">
      <c r="A2411" s="45" t="s">
        <v>74</v>
      </c>
      <c r="B2411" s="16" t="s">
        <v>187</v>
      </c>
      <c r="C2411" s="17" t="s">
        <v>188</v>
      </c>
      <c r="D2411" s="15">
        <v>4.0</v>
      </c>
      <c r="E2411" s="17" t="s">
        <v>525</v>
      </c>
      <c r="F2411" s="15" t="s">
        <v>502</v>
      </c>
      <c r="G2411" s="46" t="s">
        <v>513</v>
      </c>
      <c r="H2411" s="47" t="s">
        <v>514</v>
      </c>
      <c r="I2411" s="48" t="s">
        <v>60</v>
      </c>
      <c r="J2411" s="49">
        <v>8468117.0</v>
      </c>
    </row>
    <row r="2412">
      <c r="A2412" s="45" t="s">
        <v>74</v>
      </c>
      <c r="B2412" s="16" t="s">
        <v>203</v>
      </c>
      <c r="C2412" s="17" t="s">
        <v>204</v>
      </c>
      <c r="D2412" s="15">
        <v>4.0</v>
      </c>
      <c r="E2412" s="17" t="s">
        <v>441</v>
      </c>
      <c r="F2412" s="15" t="s">
        <v>442</v>
      </c>
      <c r="G2412" s="46" t="s">
        <v>443</v>
      </c>
      <c r="H2412" s="47" t="s">
        <v>420</v>
      </c>
      <c r="I2412" s="48" t="s">
        <v>19</v>
      </c>
      <c r="J2412" s="49">
        <v>4.3712067E7</v>
      </c>
    </row>
    <row r="2413">
      <c r="A2413" s="45" t="s">
        <v>74</v>
      </c>
      <c r="B2413" s="16" t="s">
        <v>203</v>
      </c>
      <c r="C2413" s="17" t="s">
        <v>204</v>
      </c>
      <c r="D2413" s="15">
        <v>4.0</v>
      </c>
      <c r="E2413" s="17" t="s">
        <v>441</v>
      </c>
      <c r="F2413" s="15" t="s">
        <v>442</v>
      </c>
      <c r="G2413" s="46" t="s">
        <v>444</v>
      </c>
      <c r="H2413" s="47" t="s">
        <v>445</v>
      </c>
      <c r="I2413" s="48" t="s">
        <v>19</v>
      </c>
      <c r="J2413" s="49">
        <v>5966812.0</v>
      </c>
    </row>
    <row r="2414">
      <c r="A2414" s="45" t="s">
        <v>74</v>
      </c>
      <c r="B2414" s="16" t="s">
        <v>203</v>
      </c>
      <c r="C2414" s="17" t="s">
        <v>204</v>
      </c>
      <c r="D2414" s="15">
        <v>4.0</v>
      </c>
      <c r="E2414" s="17" t="s">
        <v>441</v>
      </c>
      <c r="F2414" s="15" t="s">
        <v>442</v>
      </c>
      <c r="G2414" s="46" t="s">
        <v>579</v>
      </c>
      <c r="H2414" s="47" t="s">
        <v>580</v>
      </c>
      <c r="I2414" s="48" t="s">
        <v>19</v>
      </c>
      <c r="J2414" s="49">
        <v>4417941.0</v>
      </c>
    </row>
    <row r="2415">
      <c r="A2415" s="45" t="s">
        <v>74</v>
      </c>
      <c r="B2415" s="16" t="s">
        <v>203</v>
      </c>
      <c r="C2415" s="17" t="s">
        <v>204</v>
      </c>
      <c r="D2415" s="15">
        <v>4.0</v>
      </c>
      <c r="E2415" s="17" t="s">
        <v>441</v>
      </c>
      <c r="F2415" s="15" t="s">
        <v>442</v>
      </c>
      <c r="G2415" s="46" t="s">
        <v>446</v>
      </c>
      <c r="H2415" s="47" t="s">
        <v>447</v>
      </c>
      <c r="I2415" s="48" t="s">
        <v>19</v>
      </c>
      <c r="J2415" s="49">
        <v>459630.0</v>
      </c>
    </row>
    <row r="2416">
      <c r="A2416" s="45" t="s">
        <v>74</v>
      </c>
      <c r="B2416" s="16" t="s">
        <v>203</v>
      </c>
      <c r="C2416" s="17" t="s">
        <v>204</v>
      </c>
      <c r="D2416" s="15">
        <v>4.0</v>
      </c>
      <c r="E2416" s="17" t="s">
        <v>441</v>
      </c>
      <c r="F2416" s="15" t="s">
        <v>442</v>
      </c>
      <c r="G2416" s="46" t="s">
        <v>448</v>
      </c>
      <c r="H2416" s="47" t="s">
        <v>449</v>
      </c>
      <c r="I2416" s="48" t="s">
        <v>19</v>
      </c>
      <c r="J2416" s="49">
        <v>1191950.0</v>
      </c>
    </row>
    <row r="2417">
      <c r="A2417" s="45" t="s">
        <v>74</v>
      </c>
      <c r="B2417" s="16" t="s">
        <v>203</v>
      </c>
      <c r="C2417" s="17" t="s">
        <v>204</v>
      </c>
      <c r="D2417" s="15">
        <v>4.0</v>
      </c>
      <c r="E2417" s="17" t="s">
        <v>441</v>
      </c>
      <c r="F2417" s="15" t="s">
        <v>442</v>
      </c>
      <c r="G2417" s="46" t="s">
        <v>450</v>
      </c>
      <c r="H2417" s="47" t="s">
        <v>451</v>
      </c>
      <c r="I2417" s="48" t="s">
        <v>19</v>
      </c>
      <c r="J2417" s="49">
        <v>0.0</v>
      </c>
    </row>
    <row r="2418">
      <c r="A2418" s="45" t="s">
        <v>74</v>
      </c>
      <c r="B2418" s="16" t="s">
        <v>203</v>
      </c>
      <c r="C2418" s="17" t="s">
        <v>204</v>
      </c>
      <c r="D2418" s="15">
        <v>4.0</v>
      </c>
      <c r="E2418" s="17" t="s">
        <v>441</v>
      </c>
      <c r="F2418" s="15" t="s">
        <v>442</v>
      </c>
      <c r="G2418" s="46" t="s">
        <v>452</v>
      </c>
      <c r="H2418" s="47" t="s">
        <v>453</v>
      </c>
      <c r="I2418" s="48" t="s">
        <v>19</v>
      </c>
      <c r="J2418" s="49">
        <v>845015.0</v>
      </c>
    </row>
    <row r="2419">
      <c r="A2419" s="45" t="s">
        <v>74</v>
      </c>
      <c r="B2419" s="16" t="s">
        <v>203</v>
      </c>
      <c r="C2419" s="17" t="s">
        <v>204</v>
      </c>
      <c r="D2419" s="15">
        <v>4.0</v>
      </c>
      <c r="E2419" s="17" t="s">
        <v>441</v>
      </c>
      <c r="F2419" s="15" t="s">
        <v>442</v>
      </c>
      <c r="G2419" s="46" t="s">
        <v>454</v>
      </c>
      <c r="H2419" s="47" t="s">
        <v>415</v>
      </c>
      <c r="I2419" s="48" t="s">
        <v>19</v>
      </c>
      <c r="J2419" s="49">
        <v>114557.0</v>
      </c>
    </row>
    <row r="2420">
      <c r="A2420" s="45" t="s">
        <v>74</v>
      </c>
      <c r="B2420" s="16" t="s">
        <v>203</v>
      </c>
      <c r="C2420" s="17" t="s">
        <v>204</v>
      </c>
      <c r="D2420" s="15">
        <v>4.0</v>
      </c>
      <c r="E2420" s="17" t="s">
        <v>441</v>
      </c>
      <c r="F2420" s="15" t="s">
        <v>442</v>
      </c>
      <c r="G2420" s="46" t="s">
        <v>455</v>
      </c>
      <c r="H2420" s="47" t="s">
        <v>415</v>
      </c>
      <c r="I2420" s="48" t="s">
        <v>19</v>
      </c>
      <c r="J2420" s="49">
        <v>63643.0</v>
      </c>
    </row>
    <row r="2421">
      <c r="A2421" s="45" t="s">
        <v>74</v>
      </c>
      <c r="B2421" s="16" t="s">
        <v>203</v>
      </c>
      <c r="C2421" s="17" t="s">
        <v>204</v>
      </c>
      <c r="D2421" s="15">
        <v>4.0</v>
      </c>
      <c r="E2421" s="17" t="s">
        <v>441</v>
      </c>
      <c r="F2421" s="15" t="s">
        <v>442</v>
      </c>
      <c r="G2421" s="46" t="s">
        <v>480</v>
      </c>
      <c r="H2421" s="47" t="s">
        <v>481</v>
      </c>
      <c r="I2421" s="48" t="s">
        <v>19</v>
      </c>
      <c r="J2421" s="49">
        <v>3925579.0</v>
      </c>
    </row>
    <row r="2422">
      <c r="A2422" s="45" t="s">
        <v>74</v>
      </c>
      <c r="B2422" s="16" t="s">
        <v>203</v>
      </c>
      <c r="C2422" s="17" t="s">
        <v>204</v>
      </c>
      <c r="D2422" s="15">
        <v>4.0</v>
      </c>
      <c r="E2422" s="17" t="s">
        <v>441</v>
      </c>
      <c r="F2422" s="15" t="s">
        <v>442</v>
      </c>
      <c r="G2422" s="46" t="s">
        <v>583</v>
      </c>
      <c r="H2422" s="47" t="s">
        <v>584</v>
      </c>
      <c r="I2422" s="48" t="s">
        <v>25</v>
      </c>
      <c r="J2422" s="49">
        <v>7650000.0</v>
      </c>
    </row>
    <row r="2423">
      <c r="A2423" s="45" t="s">
        <v>74</v>
      </c>
      <c r="B2423" s="16" t="s">
        <v>203</v>
      </c>
      <c r="C2423" s="17" t="s">
        <v>204</v>
      </c>
      <c r="D2423" s="15">
        <v>4.0</v>
      </c>
      <c r="E2423" s="17" t="s">
        <v>456</v>
      </c>
      <c r="F2423" s="15" t="s">
        <v>457</v>
      </c>
      <c r="G2423" s="46" t="s">
        <v>515</v>
      </c>
      <c r="H2423" s="47" t="s">
        <v>413</v>
      </c>
      <c r="I2423" s="48" t="s">
        <v>19</v>
      </c>
      <c r="J2423" s="49">
        <v>5868456.0</v>
      </c>
    </row>
    <row r="2424">
      <c r="A2424" s="45" t="s">
        <v>74</v>
      </c>
      <c r="B2424" s="16" t="s">
        <v>203</v>
      </c>
      <c r="C2424" s="17" t="s">
        <v>204</v>
      </c>
      <c r="D2424" s="15">
        <v>4.0</v>
      </c>
      <c r="E2424" s="17" t="s">
        <v>456</v>
      </c>
      <c r="F2424" s="15" t="s">
        <v>457</v>
      </c>
      <c r="G2424" s="46" t="s">
        <v>458</v>
      </c>
      <c r="H2424" s="47" t="s">
        <v>411</v>
      </c>
      <c r="I2424" s="48" t="s">
        <v>19</v>
      </c>
      <c r="J2424" s="49">
        <v>2.2541966E8</v>
      </c>
    </row>
    <row r="2425">
      <c r="A2425" s="45" t="s">
        <v>74</v>
      </c>
      <c r="B2425" s="16" t="s">
        <v>203</v>
      </c>
      <c r="C2425" s="17" t="s">
        <v>204</v>
      </c>
      <c r="D2425" s="15">
        <v>4.0</v>
      </c>
      <c r="E2425" s="17" t="s">
        <v>463</v>
      </c>
      <c r="F2425" s="15" t="s">
        <v>464</v>
      </c>
      <c r="G2425" s="46" t="s">
        <v>520</v>
      </c>
      <c r="H2425" s="47" t="s">
        <v>435</v>
      </c>
      <c r="I2425" s="48" t="s">
        <v>37</v>
      </c>
      <c r="J2425" s="49">
        <v>895777.0</v>
      </c>
    </row>
    <row r="2426">
      <c r="A2426" s="45" t="s">
        <v>74</v>
      </c>
      <c r="B2426" s="16" t="s">
        <v>203</v>
      </c>
      <c r="C2426" s="17" t="s">
        <v>204</v>
      </c>
      <c r="D2426" s="15">
        <v>4.0</v>
      </c>
      <c r="E2426" s="17" t="s">
        <v>463</v>
      </c>
      <c r="F2426" s="15" t="s">
        <v>464</v>
      </c>
      <c r="G2426" s="46" t="s">
        <v>465</v>
      </c>
      <c r="H2426" s="47" t="s">
        <v>466</v>
      </c>
      <c r="I2426" s="48" t="s">
        <v>25</v>
      </c>
      <c r="J2426" s="49">
        <v>1457000.0</v>
      </c>
    </row>
    <row r="2427">
      <c r="A2427" s="45" t="s">
        <v>74</v>
      </c>
      <c r="B2427" s="16" t="s">
        <v>203</v>
      </c>
      <c r="C2427" s="17" t="s">
        <v>204</v>
      </c>
      <c r="D2427" s="15">
        <v>4.0</v>
      </c>
      <c r="E2427" s="17" t="s">
        <v>463</v>
      </c>
      <c r="F2427" s="15" t="s">
        <v>464</v>
      </c>
      <c r="G2427" s="46" t="s">
        <v>458</v>
      </c>
      <c r="H2427" s="47" t="s">
        <v>411</v>
      </c>
      <c r="I2427" s="48" t="s">
        <v>19</v>
      </c>
      <c r="J2427" s="49">
        <v>7925920.0</v>
      </c>
    </row>
    <row r="2428">
      <c r="A2428" s="45" t="s">
        <v>74</v>
      </c>
      <c r="B2428" s="16" t="s">
        <v>203</v>
      </c>
      <c r="C2428" s="17" t="s">
        <v>204</v>
      </c>
      <c r="D2428" s="15">
        <v>4.0</v>
      </c>
      <c r="E2428" s="17" t="s">
        <v>469</v>
      </c>
      <c r="F2428" s="15" t="s">
        <v>470</v>
      </c>
      <c r="G2428" s="46" t="s">
        <v>471</v>
      </c>
      <c r="H2428" s="47" t="s">
        <v>472</v>
      </c>
      <c r="I2428" s="48" t="s">
        <v>25</v>
      </c>
      <c r="J2428" s="49">
        <v>725000.0</v>
      </c>
    </row>
    <row r="2429">
      <c r="A2429" s="45" t="s">
        <v>74</v>
      </c>
      <c r="B2429" s="16" t="s">
        <v>203</v>
      </c>
      <c r="C2429" s="17" t="s">
        <v>204</v>
      </c>
      <c r="D2429" s="15">
        <v>4.0</v>
      </c>
      <c r="E2429" s="17" t="s">
        <v>473</v>
      </c>
      <c r="F2429" s="15" t="s">
        <v>474</v>
      </c>
      <c r="G2429" s="46" t="s">
        <v>554</v>
      </c>
      <c r="H2429" s="47" t="s">
        <v>555</v>
      </c>
      <c r="I2429" s="48" t="s">
        <v>17</v>
      </c>
      <c r="J2429" s="49">
        <v>857858.0</v>
      </c>
    </row>
    <row r="2430">
      <c r="A2430" s="45" t="s">
        <v>74</v>
      </c>
      <c r="B2430" s="16" t="s">
        <v>203</v>
      </c>
      <c r="C2430" s="17" t="s">
        <v>204</v>
      </c>
      <c r="D2430" s="15">
        <v>4.0</v>
      </c>
      <c r="E2430" s="17" t="s">
        <v>473</v>
      </c>
      <c r="F2430" s="15" t="s">
        <v>474</v>
      </c>
      <c r="G2430" s="46" t="s">
        <v>554</v>
      </c>
      <c r="H2430" s="47" t="s">
        <v>555</v>
      </c>
      <c r="I2430" s="48" t="s">
        <v>25</v>
      </c>
      <c r="J2430" s="49">
        <v>-428929.0</v>
      </c>
    </row>
    <row r="2431">
      <c r="A2431" s="45" t="s">
        <v>74</v>
      </c>
      <c r="B2431" s="16" t="s">
        <v>203</v>
      </c>
      <c r="C2431" s="17" t="s">
        <v>204</v>
      </c>
      <c r="D2431" s="15">
        <v>4.0</v>
      </c>
      <c r="E2431" s="17" t="s">
        <v>473</v>
      </c>
      <c r="F2431" s="15" t="s">
        <v>474</v>
      </c>
      <c r="G2431" s="46" t="s">
        <v>523</v>
      </c>
      <c r="H2431" s="47" t="s">
        <v>431</v>
      </c>
      <c r="I2431" s="48" t="s">
        <v>17</v>
      </c>
      <c r="J2431" s="49">
        <v>2.90935185E8</v>
      </c>
    </row>
    <row r="2432">
      <c r="A2432" s="45" t="s">
        <v>74</v>
      </c>
      <c r="B2432" s="16" t="s">
        <v>203</v>
      </c>
      <c r="C2432" s="17" t="s">
        <v>204</v>
      </c>
      <c r="D2432" s="15">
        <v>4.0</v>
      </c>
      <c r="E2432" s="17" t="s">
        <v>473</v>
      </c>
      <c r="F2432" s="15" t="s">
        <v>474</v>
      </c>
      <c r="G2432" s="46" t="s">
        <v>523</v>
      </c>
      <c r="H2432" s="47" t="s">
        <v>431</v>
      </c>
      <c r="I2432" s="48" t="s">
        <v>25</v>
      </c>
      <c r="J2432" s="49">
        <v>-2.04022121E8</v>
      </c>
    </row>
    <row r="2433">
      <c r="A2433" s="45" t="s">
        <v>74</v>
      </c>
      <c r="B2433" s="16" t="s">
        <v>203</v>
      </c>
      <c r="C2433" s="17" t="s">
        <v>204</v>
      </c>
      <c r="D2433" s="15">
        <v>4.0</v>
      </c>
      <c r="E2433" s="17" t="s">
        <v>473</v>
      </c>
      <c r="F2433" s="15" t="s">
        <v>474</v>
      </c>
      <c r="G2433" s="46" t="s">
        <v>458</v>
      </c>
      <c r="H2433" s="47" t="s">
        <v>411</v>
      </c>
      <c r="I2433" s="48" t="s">
        <v>19</v>
      </c>
      <c r="J2433" s="49">
        <v>6.87753E7</v>
      </c>
    </row>
    <row r="2434">
      <c r="A2434" s="45" t="s">
        <v>74</v>
      </c>
      <c r="B2434" s="16" t="s">
        <v>203</v>
      </c>
      <c r="C2434" s="17" t="s">
        <v>204</v>
      </c>
      <c r="D2434" s="15">
        <v>4.0</v>
      </c>
      <c r="E2434" s="17" t="s">
        <v>491</v>
      </c>
      <c r="F2434" s="15" t="s">
        <v>492</v>
      </c>
      <c r="G2434" s="46" t="s">
        <v>493</v>
      </c>
      <c r="H2434" s="47" t="s">
        <v>437</v>
      </c>
      <c r="I2434" s="48" t="s">
        <v>25</v>
      </c>
      <c r="J2434" s="49">
        <v>1.0304E7</v>
      </c>
    </row>
    <row r="2435">
      <c r="A2435" s="45" t="s">
        <v>74</v>
      </c>
      <c r="B2435" s="16" t="s">
        <v>203</v>
      </c>
      <c r="C2435" s="17" t="s">
        <v>204</v>
      </c>
      <c r="D2435" s="15">
        <v>4.0</v>
      </c>
      <c r="E2435" s="17" t="s">
        <v>491</v>
      </c>
      <c r="F2435" s="15" t="s">
        <v>492</v>
      </c>
      <c r="G2435" s="46" t="s">
        <v>458</v>
      </c>
      <c r="H2435" s="47" t="s">
        <v>411</v>
      </c>
      <c r="I2435" s="48" t="s">
        <v>19</v>
      </c>
      <c r="J2435" s="49">
        <v>1.188888E7</v>
      </c>
    </row>
    <row r="2436">
      <c r="A2436" s="45" t="s">
        <v>74</v>
      </c>
      <c r="B2436" s="16" t="s">
        <v>203</v>
      </c>
      <c r="C2436" s="17" t="s">
        <v>204</v>
      </c>
      <c r="D2436" s="15">
        <v>4.0</v>
      </c>
      <c r="E2436" s="17" t="s">
        <v>475</v>
      </c>
      <c r="F2436" s="15" t="s">
        <v>476</v>
      </c>
      <c r="G2436" s="46" t="s">
        <v>477</v>
      </c>
      <c r="H2436" s="47" t="s">
        <v>429</v>
      </c>
      <c r="I2436" s="48" t="s">
        <v>50</v>
      </c>
      <c r="J2436" s="49">
        <v>3.2735506E7</v>
      </c>
    </row>
    <row r="2437">
      <c r="A2437" s="45" t="s">
        <v>74</v>
      </c>
      <c r="B2437" s="16" t="s">
        <v>203</v>
      </c>
      <c r="C2437" s="17" t="s">
        <v>204</v>
      </c>
      <c r="D2437" s="15">
        <v>4.0</v>
      </c>
      <c r="E2437" s="17" t="s">
        <v>524</v>
      </c>
      <c r="F2437" s="15" t="s">
        <v>479</v>
      </c>
      <c r="G2437" s="46" t="s">
        <v>443</v>
      </c>
      <c r="H2437" s="47" t="s">
        <v>420</v>
      </c>
      <c r="I2437" s="48" t="s">
        <v>19</v>
      </c>
      <c r="J2437" s="49">
        <v>7.4472728E7</v>
      </c>
    </row>
    <row r="2438">
      <c r="A2438" s="45" t="s">
        <v>74</v>
      </c>
      <c r="B2438" s="16" t="s">
        <v>203</v>
      </c>
      <c r="C2438" s="17" t="s">
        <v>204</v>
      </c>
      <c r="D2438" s="15">
        <v>4.0</v>
      </c>
      <c r="E2438" s="17" t="s">
        <v>524</v>
      </c>
      <c r="F2438" s="15" t="s">
        <v>479</v>
      </c>
      <c r="G2438" s="46" t="s">
        <v>444</v>
      </c>
      <c r="H2438" s="47" t="s">
        <v>445</v>
      </c>
      <c r="I2438" s="48" t="s">
        <v>19</v>
      </c>
      <c r="J2438" s="49">
        <v>6193118.0</v>
      </c>
    </row>
    <row r="2439">
      <c r="A2439" s="45" t="s">
        <v>74</v>
      </c>
      <c r="B2439" s="16" t="s">
        <v>203</v>
      </c>
      <c r="C2439" s="17" t="s">
        <v>204</v>
      </c>
      <c r="D2439" s="15">
        <v>4.0</v>
      </c>
      <c r="E2439" s="17" t="s">
        <v>524</v>
      </c>
      <c r="F2439" s="15" t="s">
        <v>479</v>
      </c>
      <c r="G2439" s="46" t="s">
        <v>579</v>
      </c>
      <c r="H2439" s="47" t="s">
        <v>580</v>
      </c>
      <c r="I2439" s="48" t="s">
        <v>19</v>
      </c>
      <c r="J2439" s="49">
        <v>7473139.0</v>
      </c>
    </row>
    <row r="2440">
      <c r="A2440" s="45" t="s">
        <v>74</v>
      </c>
      <c r="B2440" s="16" t="s">
        <v>203</v>
      </c>
      <c r="C2440" s="17" t="s">
        <v>204</v>
      </c>
      <c r="D2440" s="15">
        <v>4.0</v>
      </c>
      <c r="E2440" s="17" t="s">
        <v>524</v>
      </c>
      <c r="F2440" s="15" t="s">
        <v>479</v>
      </c>
      <c r="G2440" s="46" t="s">
        <v>446</v>
      </c>
      <c r="H2440" s="47" t="s">
        <v>447</v>
      </c>
      <c r="I2440" s="48" t="s">
        <v>19</v>
      </c>
      <c r="J2440" s="49">
        <v>847159.0</v>
      </c>
    </row>
    <row r="2441">
      <c r="A2441" s="45" t="s">
        <v>74</v>
      </c>
      <c r="B2441" s="16" t="s">
        <v>203</v>
      </c>
      <c r="C2441" s="17" t="s">
        <v>204</v>
      </c>
      <c r="D2441" s="15">
        <v>4.0</v>
      </c>
      <c r="E2441" s="17" t="s">
        <v>524</v>
      </c>
      <c r="F2441" s="15" t="s">
        <v>479</v>
      </c>
      <c r="G2441" s="46" t="s">
        <v>448</v>
      </c>
      <c r="H2441" s="47" t="s">
        <v>449</v>
      </c>
      <c r="I2441" s="48" t="s">
        <v>19</v>
      </c>
      <c r="J2441" s="49">
        <v>2342527.0</v>
      </c>
    </row>
    <row r="2442">
      <c r="A2442" s="45" t="s">
        <v>74</v>
      </c>
      <c r="B2442" s="16" t="s">
        <v>203</v>
      </c>
      <c r="C2442" s="17" t="s">
        <v>204</v>
      </c>
      <c r="D2442" s="15">
        <v>4.0</v>
      </c>
      <c r="E2442" s="17" t="s">
        <v>524</v>
      </c>
      <c r="F2442" s="15" t="s">
        <v>479</v>
      </c>
      <c r="G2442" s="46" t="s">
        <v>450</v>
      </c>
      <c r="H2442" s="47" t="s">
        <v>451</v>
      </c>
      <c r="I2442" s="48" t="s">
        <v>19</v>
      </c>
      <c r="J2442" s="49">
        <v>0.0</v>
      </c>
    </row>
    <row r="2443">
      <c r="A2443" s="45" t="s">
        <v>74</v>
      </c>
      <c r="B2443" s="16" t="s">
        <v>203</v>
      </c>
      <c r="C2443" s="17" t="s">
        <v>204</v>
      </c>
      <c r="D2443" s="15">
        <v>4.0</v>
      </c>
      <c r="E2443" s="17" t="s">
        <v>524</v>
      </c>
      <c r="F2443" s="15" t="s">
        <v>479</v>
      </c>
      <c r="G2443" s="46" t="s">
        <v>452</v>
      </c>
      <c r="H2443" s="47" t="s">
        <v>453</v>
      </c>
      <c r="I2443" s="48" t="s">
        <v>19</v>
      </c>
      <c r="J2443" s="49">
        <v>1567245.0</v>
      </c>
    </row>
    <row r="2444">
      <c r="A2444" s="45" t="s">
        <v>74</v>
      </c>
      <c r="B2444" s="16" t="s">
        <v>203</v>
      </c>
      <c r="C2444" s="17" t="s">
        <v>204</v>
      </c>
      <c r="D2444" s="15">
        <v>4.0</v>
      </c>
      <c r="E2444" s="17" t="s">
        <v>524</v>
      </c>
      <c r="F2444" s="15" t="s">
        <v>479</v>
      </c>
      <c r="G2444" s="46" t="s">
        <v>454</v>
      </c>
      <c r="H2444" s="47" t="s">
        <v>415</v>
      </c>
      <c r="I2444" s="48" t="s">
        <v>19</v>
      </c>
      <c r="J2444" s="49">
        <v>228733.0</v>
      </c>
    </row>
    <row r="2445">
      <c r="A2445" s="45" t="s">
        <v>74</v>
      </c>
      <c r="B2445" s="16" t="s">
        <v>203</v>
      </c>
      <c r="C2445" s="17" t="s">
        <v>204</v>
      </c>
      <c r="D2445" s="15">
        <v>4.0</v>
      </c>
      <c r="E2445" s="17" t="s">
        <v>524</v>
      </c>
      <c r="F2445" s="15" t="s">
        <v>479</v>
      </c>
      <c r="G2445" s="46" t="s">
        <v>455</v>
      </c>
      <c r="H2445" s="47" t="s">
        <v>415</v>
      </c>
      <c r="I2445" s="48" t="s">
        <v>19</v>
      </c>
      <c r="J2445" s="49">
        <v>127073.0</v>
      </c>
    </row>
    <row r="2446">
      <c r="A2446" s="45" t="s">
        <v>74</v>
      </c>
      <c r="B2446" s="16" t="s">
        <v>203</v>
      </c>
      <c r="C2446" s="17" t="s">
        <v>204</v>
      </c>
      <c r="D2446" s="15">
        <v>4.0</v>
      </c>
      <c r="E2446" s="17" t="s">
        <v>524</v>
      </c>
      <c r="F2446" s="15" t="s">
        <v>479</v>
      </c>
      <c r="G2446" s="46" t="s">
        <v>499</v>
      </c>
      <c r="H2446" s="47" t="s">
        <v>500</v>
      </c>
      <c r="I2446" s="48" t="s">
        <v>19</v>
      </c>
      <c r="J2446" s="49">
        <v>1.4219149E7</v>
      </c>
    </row>
    <row r="2447">
      <c r="A2447" s="45" t="s">
        <v>74</v>
      </c>
      <c r="B2447" s="16" t="s">
        <v>203</v>
      </c>
      <c r="C2447" s="17" t="s">
        <v>204</v>
      </c>
      <c r="D2447" s="15">
        <v>4.0</v>
      </c>
      <c r="E2447" s="17" t="s">
        <v>524</v>
      </c>
      <c r="F2447" s="15" t="s">
        <v>479</v>
      </c>
      <c r="G2447" s="46" t="s">
        <v>480</v>
      </c>
      <c r="H2447" s="47" t="s">
        <v>481</v>
      </c>
      <c r="I2447" s="48" t="s">
        <v>19</v>
      </c>
      <c r="J2447" s="49">
        <v>3354935.0</v>
      </c>
    </row>
    <row r="2448">
      <c r="A2448" s="45" t="s">
        <v>74</v>
      </c>
      <c r="B2448" s="16" t="s">
        <v>203</v>
      </c>
      <c r="C2448" s="17" t="s">
        <v>204</v>
      </c>
      <c r="D2448" s="15">
        <v>4.0</v>
      </c>
      <c r="E2448" s="17" t="s">
        <v>524</v>
      </c>
      <c r="F2448" s="15" t="s">
        <v>479</v>
      </c>
      <c r="G2448" s="46" t="s">
        <v>583</v>
      </c>
      <c r="H2448" s="47" t="s">
        <v>584</v>
      </c>
      <c r="I2448" s="48" t="s">
        <v>25</v>
      </c>
      <c r="J2448" s="49">
        <v>1.275E7</v>
      </c>
    </row>
    <row r="2449">
      <c r="A2449" s="45" t="s">
        <v>74</v>
      </c>
      <c r="B2449" s="16" t="s">
        <v>203</v>
      </c>
      <c r="C2449" s="17" t="s">
        <v>204</v>
      </c>
      <c r="D2449" s="15">
        <v>4.0</v>
      </c>
      <c r="E2449" s="17" t="s">
        <v>525</v>
      </c>
      <c r="F2449" s="15" t="s">
        <v>502</v>
      </c>
      <c r="G2449" s="46" t="s">
        <v>526</v>
      </c>
      <c r="H2449" s="47" t="s">
        <v>527</v>
      </c>
      <c r="I2449" s="48" t="s">
        <v>60</v>
      </c>
      <c r="J2449" s="49">
        <v>1.39650881E8</v>
      </c>
    </row>
    <row r="2450">
      <c r="A2450" s="45" t="s">
        <v>74</v>
      </c>
      <c r="B2450" s="16" t="s">
        <v>203</v>
      </c>
      <c r="C2450" s="17" t="s">
        <v>204</v>
      </c>
      <c r="D2450" s="15">
        <v>4.0</v>
      </c>
      <c r="E2450" s="17" t="s">
        <v>525</v>
      </c>
      <c r="F2450" s="15" t="s">
        <v>502</v>
      </c>
      <c r="G2450" s="46" t="s">
        <v>505</v>
      </c>
      <c r="H2450" s="47" t="s">
        <v>506</v>
      </c>
      <c r="I2450" s="48" t="s">
        <v>60</v>
      </c>
      <c r="J2450" s="49">
        <v>6647718.0</v>
      </c>
    </row>
    <row r="2451">
      <c r="A2451" s="45" t="s">
        <v>74</v>
      </c>
      <c r="B2451" s="16" t="s">
        <v>203</v>
      </c>
      <c r="C2451" s="17" t="s">
        <v>204</v>
      </c>
      <c r="D2451" s="15">
        <v>4.0</v>
      </c>
      <c r="E2451" s="17" t="s">
        <v>525</v>
      </c>
      <c r="F2451" s="15" t="s">
        <v>502</v>
      </c>
      <c r="G2451" s="46" t="s">
        <v>507</v>
      </c>
      <c r="H2451" s="47" t="s">
        <v>508</v>
      </c>
      <c r="I2451" s="48" t="s">
        <v>60</v>
      </c>
      <c r="J2451" s="49">
        <v>1130302.0</v>
      </c>
    </row>
    <row r="2452">
      <c r="A2452" s="45" t="s">
        <v>74</v>
      </c>
      <c r="B2452" s="16" t="s">
        <v>203</v>
      </c>
      <c r="C2452" s="17" t="s">
        <v>204</v>
      </c>
      <c r="D2452" s="15">
        <v>4.0</v>
      </c>
      <c r="E2452" s="17" t="s">
        <v>525</v>
      </c>
      <c r="F2452" s="15" t="s">
        <v>502</v>
      </c>
      <c r="G2452" s="46" t="s">
        <v>509</v>
      </c>
      <c r="H2452" s="47" t="s">
        <v>510</v>
      </c>
      <c r="I2452" s="48" t="s">
        <v>60</v>
      </c>
      <c r="J2452" s="49">
        <v>2065112.0</v>
      </c>
    </row>
    <row r="2453">
      <c r="A2453" s="45" t="s">
        <v>74</v>
      </c>
      <c r="B2453" s="16" t="s">
        <v>203</v>
      </c>
      <c r="C2453" s="17" t="s">
        <v>204</v>
      </c>
      <c r="D2453" s="15">
        <v>4.0</v>
      </c>
      <c r="E2453" s="17" t="s">
        <v>525</v>
      </c>
      <c r="F2453" s="15" t="s">
        <v>502</v>
      </c>
      <c r="G2453" s="46" t="s">
        <v>511</v>
      </c>
      <c r="H2453" s="47" t="s">
        <v>512</v>
      </c>
      <c r="I2453" s="48" t="s">
        <v>60</v>
      </c>
      <c r="J2453" s="49">
        <v>9.5889072E7</v>
      </c>
    </row>
    <row r="2454">
      <c r="A2454" s="45" t="s">
        <v>74</v>
      </c>
      <c r="B2454" s="16" t="s">
        <v>203</v>
      </c>
      <c r="C2454" s="17" t="s">
        <v>204</v>
      </c>
      <c r="D2454" s="15">
        <v>4.0</v>
      </c>
      <c r="E2454" s="17" t="s">
        <v>525</v>
      </c>
      <c r="F2454" s="15" t="s">
        <v>502</v>
      </c>
      <c r="G2454" s="46" t="s">
        <v>513</v>
      </c>
      <c r="H2454" s="47" t="s">
        <v>514</v>
      </c>
      <c r="I2454" s="48" t="s">
        <v>60</v>
      </c>
      <c r="J2454" s="49">
        <v>2182515.0</v>
      </c>
    </row>
    <row r="2455">
      <c r="A2455" s="45" t="s">
        <v>74</v>
      </c>
      <c r="B2455" s="16" t="s">
        <v>203</v>
      </c>
      <c r="C2455" s="17" t="s">
        <v>204</v>
      </c>
      <c r="D2455" s="15">
        <v>4.0</v>
      </c>
      <c r="E2455" s="17" t="s">
        <v>548</v>
      </c>
      <c r="F2455" s="15" t="s">
        <v>549</v>
      </c>
      <c r="G2455" s="46" t="s">
        <v>550</v>
      </c>
      <c r="H2455" s="47" t="s">
        <v>551</v>
      </c>
      <c r="I2455" s="48" t="s">
        <v>25</v>
      </c>
      <c r="J2455" s="49">
        <v>8.3088E7</v>
      </c>
    </row>
    <row r="2456">
      <c r="A2456" s="45" t="s">
        <v>74</v>
      </c>
      <c r="B2456" s="16" t="s">
        <v>212</v>
      </c>
      <c r="C2456" s="17" t="s">
        <v>213</v>
      </c>
      <c r="D2456" s="15">
        <v>4.0</v>
      </c>
      <c r="E2456" s="17" t="s">
        <v>441</v>
      </c>
      <c r="F2456" s="15" t="s">
        <v>442</v>
      </c>
      <c r="G2456" s="46" t="s">
        <v>443</v>
      </c>
      <c r="H2456" s="47" t="s">
        <v>420</v>
      </c>
      <c r="I2456" s="48" t="s">
        <v>19</v>
      </c>
      <c r="J2456" s="49">
        <v>4.4936979E7</v>
      </c>
    </row>
    <row r="2457">
      <c r="A2457" s="45" t="s">
        <v>74</v>
      </c>
      <c r="B2457" s="16" t="s">
        <v>212</v>
      </c>
      <c r="C2457" s="17" t="s">
        <v>213</v>
      </c>
      <c r="D2457" s="15">
        <v>4.0</v>
      </c>
      <c r="E2457" s="17" t="s">
        <v>441</v>
      </c>
      <c r="F2457" s="15" t="s">
        <v>442</v>
      </c>
      <c r="G2457" s="46" t="s">
        <v>444</v>
      </c>
      <c r="H2457" s="47" t="s">
        <v>445</v>
      </c>
      <c r="I2457" s="48" t="s">
        <v>19</v>
      </c>
      <c r="J2457" s="49">
        <v>5614308.0</v>
      </c>
    </row>
    <row r="2458">
      <c r="A2458" s="45" t="s">
        <v>74</v>
      </c>
      <c r="B2458" s="16" t="s">
        <v>212</v>
      </c>
      <c r="C2458" s="17" t="s">
        <v>213</v>
      </c>
      <c r="D2458" s="15">
        <v>4.0</v>
      </c>
      <c r="E2458" s="17" t="s">
        <v>441</v>
      </c>
      <c r="F2458" s="15" t="s">
        <v>442</v>
      </c>
      <c r="G2458" s="46" t="s">
        <v>579</v>
      </c>
      <c r="H2458" s="47" t="s">
        <v>580</v>
      </c>
      <c r="I2458" s="48" t="s">
        <v>19</v>
      </c>
      <c r="J2458" s="49">
        <v>4863488.0</v>
      </c>
    </row>
    <row r="2459">
      <c r="A2459" s="45" t="s">
        <v>74</v>
      </c>
      <c r="B2459" s="16" t="s">
        <v>212</v>
      </c>
      <c r="C2459" s="17" t="s">
        <v>213</v>
      </c>
      <c r="D2459" s="15">
        <v>4.0</v>
      </c>
      <c r="E2459" s="17" t="s">
        <v>441</v>
      </c>
      <c r="F2459" s="15" t="s">
        <v>442</v>
      </c>
      <c r="G2459" s="46" t="s">
        <v>446</v>
      </c>
      <c r="H2459" s="47" t="s">
        <v>447</v>
      </c>
      <c r="I2459" s="48" t="s">
        <v>19</v>
      </c>
      <c r="J2459" s="49">
        <v>513556.0</v>
      </c>
    </row>
    <row r="2460">
      <c r="A2460" s="45" t="s">
        <v>74</v>
      </c>
      <c r="B2460" s="16" t="s">
        <v>212</v>
      </c>
      <c r="C2460" s="17" t="s">
        <v>213</v>
      </c>
      <c r="D2460" s="15">
        <v>4.0</v>
      </c>
      <c r="E2460" s="17" t="s">
        <v>441</v>
      </c>
      <c r="F2460" s="15" t="s">
        <v>442</v>
      </c>
      <c r="G2460" s="46" t="s">
        <v>448</v>
      </c>
      <c r="H2460" s="47" t="s">
        <v>449</v>
      </c>
      <c r="I2460" s="48" t="s">
        <v>19</v>
      </c>
      <c r="J2460" s="49">
        <v>1417310.0</v>
      </c>
    </row>
    <row r="2461">
      <c r="A2461" s="45" t="s">
        <v>74</v>
      </c>
      <c r="B2461" s="16" t="s">
        <v>212</v>
      </c>
      <c r="C2461" s="17" t="s">
        <v>213</v>
      </c>
      <c r="D2461" s="15">
        <v>4.0</v>
      </c>
      <c r="E2461" s="17" t="s">
        <v>441</v>
      </c>
      <c r="F2461" s="15" t="s">
        <v>442</v>
      </c>
      <c r="G2461" s="46" t="s">
        <v>450</v>
      </c>
      <c r="H2461" s="47" t="s">
        <v>451</v>
      </c>
      <c r="I2461" s="48" t="s">
        <v>19</v>
      </c>
      <c r="J2461" s="49">
        <v>0.0</v>
      </c>
    </row>
    <row r="2462">
      <c r="A2462" s="45" t="s">
        <v>74</v>
      </c>
      <c r="B2462" s="16" t="s">
        <v>212</v>
      </c>
      <c r="C2462" s="17" t="s">
        <v>213</v>
      </c>
      <c r="D2462" s="15">
        <v>4.0</v>
      </c>
      <c r="E2462" s="17" t="s">
        <v>441</v>
      </c>
      <c r="F2462" s="15" t="s">
        <v>442</v>
      </c>
      <c r="G2462" s="46" t="s">
        <v>452</v>
      </c>
      <c r="H2462" s="47" t="s">
        <v>453</v>
      </c>
      <c r="I2462" s="48" t="s">
        <v>19</v>
      </c>
      <c r="J2462" s="49">
        <v>955528.0</v>
      </c>
    </row>
    <row r="2463">
      <c r="A2463" s="45" t="s">
        <v>74</v>
      </c>
      <c r="B2463" s="16" t="s">
        <v>212</v>
      </c>
      <c r="C2463" s="17" t="s">
        <v>213</v>
      </c>
      <c r="D2463" s="15">
        <v>4.0</v>
      </c>
      <c r="E2463" s="17" t="s">
        <v>441</v>
      </c>
      <c r="F2463" s="15" t="s">
        <v>442</v>
      </c>
      <c r="G2463" s="46" t="s">
        <v>454</v>
      </c>
      <c r="H2463" s="47" t="s">
        <v>415</v>
      </c>
      <c r="I2463" s="48" t="s">
        <v>19</v>
      </c>
      <c r="J2463" s="49">
        <v>139456.0</v>
      </c>
    </row>
    <row r="2464">
      <c r="A2464" s="45" t="s">
        <v>74</v>
      </c>
      <c r="B2464" s="16" t="s">
        <v>212</v>
      </c>
      <c r="C2464" s="17" t="s">
        <v>213</v>
      </c>
      <c r="D2464" s="15">
        <v>4.0</v>
      </c>
      <c r="E2464" s="17" t="s">
        <v>441</v>
      </c>
      <c r="F2464" s="15" t="s">
        <v>442</v>
      </c>
      <c r="G2464" s="46" t="s">
        <v>455</v>
      </c>
      <c r="H2464" s="47" t="s">
        <v>415</v>
      </c>
      <c r="I2464" s="48" t="s">
        <v>19</v>
      </c>
      <c r="J2464" s="49">
        <v>77475.0</v>
      </c>
    </row>
    <row r="2465">
      <c r="A2465" s="45" t="s">
        <v>74</v>
      </c>
      <c r="B2465" s="16" t="s">
        <v>212</v>
      </c>
      <c r="C2465" s="17" t="s">
        <v>213</v>
      </c>
      <c r="D2465" s="15">
        <v>4.0</v>
      </c>
      <c r="E2465" s="17" t="s">
        <v>441</v>
      </c>
      <c r="F2465" s="15" t="s">
        <v>442</v>
      </c>
      <c r="G2465" s="46" t="s">
        <v>583</v>
      </c>
      <c r="H2465" s="47" t="s">
        <v>584</v>
      </c>
      <c r="I2465" s="48" t="s">
        <v>25</v>
      </c>
      <c r="J2465" s="49">
        <v>5100000.0</v>
      </c>
    </row>
    <row r="2466">
      <c r="A2466" s="45" t="s">
        <v>74</v>
      </c>
      <c r="B2466" s="16" t="s">
        <v>212</v>
      </c>
      <c r="C2466" s="17" t="s">
        <v>213</v>
      </c>
      <c r="D2466" s="15">
        <v>4.0</v>
      </c>
      <c r="E2466" s="17" t="s">
        <v>456</v>
      </c>
      <c r="F2466" s="15" t="s">
        <v>457</v>
      </c>
      <c r="G2466" s="46" t="s">
        <v>515</v>
      </c>
      <c r="H2466" s="47" t="s">
        <v>413</v>
      </c>
      <c r="I2466" s="48" t="s">
        <v>19</v>
      </c>
      <c r="J2466" s="49">
        <v>4300000.0</v>
      </c>
    </row>
    <row r="2467">
      <c r="A2467" s="45" t="s">
        <v>74</v>
      </c>
      <c r="B2467" s="16" t="s">
        <v>212</v>
      </c>
      <c r="C2467" s="17" t="s">
        <v>213</v>
      </c>
      <c r="D2467" s="15">
        <v>4.0</v>
      </c>
      <c r="E2467" s="17" t="s">
        <v>456</v>
      </c>
      <c r="F2467" s="15" t="s">
        <v>457</v>
      </c>
      <c r="G2467" s="46" t="s">
        <v>458</v>
      </c>
      <c r="H2467" s="47" t="s">
        <v>411</v>
      </c>
      <c r="I2467" s="48" t="s">
        <v>19</v>
      </c>
      <c r="J2467" s="49">
        <v>2.12993172E8</v>
      </c>
    </row>
    <row r="2468">
      <c r="A2468" s="45" t="s">
        <v>74</v>
      </c>
      <c r="B2468" s="16" t="s">
        <v>212</v>
      </c>
      <c r="C2468" s="17" t="s">
        <v>213</v>
      </c>
      <c r="D2468" s="15">
        <v>4.0</v>
      </c>
      <c r="E2468" s="17" t="s">
        <v>482</v>
      </c>
      <c r="F2468" s="15" t="s">
        <v>483</v>
      </c>
      <c r="G2468" s="46" t="s">
        <v>465</v>
      </c>
      <c r="H2468" s="47" t="s">
        <v>466</v>
      </c>
      <c r="I2468" s="48" t="s">
        <v>25</v>
      </c>
      <c r="J2468" s="49">
        <v>925000.0</v>
      </c>
    </row>
    <row r="2469">
      <c r="A2469" s="45" t="s">
        <v>74</v>
      </c>
      <c r="B2469" s="16" t="s">
        <v>212</v>
      </c>
      <c r="C2469" s="17" t="s">
        <v>213</v>
      </c>
      <c r="D2469" s="15">
        <v>4.0</v>
      </c>
      <c r="E2469" s="17" t="s">
        <v>482</v>
      </c>
      <c r="F2469" s="15" t="s">
        <v>483</v>
      </c>
      <c r="G2469" s="46" t="s">
        <v>544</v>
      </c>
      <c r="H2469" s="47" t="s">
        <v>421</v>
      </c>
      <c r="I2469" s="48" t="s">
        <v>37</v>
      </c>
      <c r="J2469" s="49">
        <v>703000.0</v>
      </c>
    </row>
    <row r="2470">
      <c r="A2470" s="45" t="s">
        <v>74</v>
      </c>
      <c r="B2470" s="16" t="s">
        <v>212</v>
      </c>
      <c r="C2470" s="17" t="s">
        <v>213</v>
      </c>
      <c r="D2470" s="15">
        <v>4.0</v>
      </c>
      <c r="E2470" s="17" t="s">
        <v>459</v>
      </c>
      <c r="F2470" s="15" t="s">
        <v>460</v>
      </c>
      <c r="G2470" s="46" t="s">
        <v>458</v>
      </c>
      <c r="H2470" s="47" t="s">
        <v>411</v>
      </c>
      <c r="I2470" s="48" t="s">
        <v>19</v>
      </c>
      <c r="J2470" s="49">
        <v>6346800.0</v>
      </c>
    </row>
    <row r="2471">
      <c r="A2471" s="45" t="s">
        <v>74</v>
      </c>
      <c r="B2471" s="16" t="s">
        <v>212</v>
      </c>
      <c r="C2471" s="17" t="s">
        <v>213</v>
      </c>
      <c r="D2471" s="15">
        <v>4.0</v>
      </c>
      <c r="E2471" s="17" t="s">
        <v>463</v>
      </c>
      <c r="F2471" s="15" t="s">
        <v>464</v>
      </c>
      <c r="G2471" s="46" t="s">
        <v>458</v>
      </c>
      <c r="H2471" s="47" t="s">
        <v>411</v>
      </c>
      <c r="I2471" s="48" t="s">
        <v>19</v>
      </c>
      <c r="J2471" s="49">
        <v>4.3722104E7</v>
      </c>
    </row>
    <row r="2472">
      <c r="A2472" s="45" t="s">
        <v>74</v>
      </c>
      <c r="B2472" s="16" t="s">
        <v>212</v>
      </c>
      <c r="C2472" s="17" t="s">
        <v>213</v>
      </c>
      <c r="D2472" s="15">
        <v>4.0</v>
      </c>
      <c r="E2472" s="17" t="s">
        <v>463</v>
      </c>
      <c r="F2472" s="15" t="s">
        <v>464</v>
      </c>
      <c r="G2472" s="46" t="s">
        <v>486</v>
      </c>
      <c r="H2472" s="47" t="s">
        <v>432</v>
      </c>
      <c r="I2472" s="48" t="s">
        <v>25</v>
      </c>
      <c r="J2472" s="49">
        <v>2407000.0</v>
      </c>
    </row>
    <row r="2473">
      <c r="A2473" s="45" t="s">
        <v>74</v>
      </c>
      <c r="B2473" s="16" t="s">
        <v>212</v>
      </c>
      <c r="C2473" s="17" t="s">
        <v>213</v>
      </c>
      <c r="D2473" s="15">
        <v>4.0</v>
      </c>
      <c r="E2473" s="17" t="s">
        <v>487</v>
      </c>
      <c r="F2473" s="15" t="s">
        <v>488</v>
      </c>
      <c r="G2473" s="46" t="s">
        <v>489</v>
      </c>
      <c r="H2473" s="47" t="s">
        <v>490</v>
      </c>
      <c r="I2473" s="48" t="s">
        <v>25</v>
      </c>
      <c r="J2473" s="49">
        <v>4850000.0</v>
      </c>
    </row>
    <row r="2474">
      <c r="A2474" s="45" t="s">
        <v>74</v>
      </c>
      <c r="B2474" s="16" t="s">
        <v>212</v>
      </c>
      <c r="C2474" s="17" t="s">
        <v>213</v>
      </c>
      <c r="D2474" s="15">
        <v>4.0</v>
      </c>
      <c r="E2474" s="17" t="s">
        <v>487</v>
      </c>
      <c r="F2474" s="15" t="s">
        <v>488</v>
      </c>
      <c r="G2474" s="46" t="s">
        <v>458</v>
      </c>
      <c r="H2474" s="47" t="s">
        <v>411</v>
      </c>
      <c r="I2474" s="48" t="s">
        <v>19</v>
      </c>
      <c r="J2474" s="49">
        <v>1.004232E7</v>
      </c>
    </row>
    <row r="2475">
      <c r="A2475" s="45" t="s">
        <v>74</v>
      </c>
      <c r="B2475" s="16" t="s">
        <v>212</v>
      </c>
      <c r="C2475" s="17" t="s">
        <v>213</v>
      </c>
      <c r="D2475" s="15">
        <v>4.0</v>
      </c>
      <c r="E2475" s="17" t="s">
        <v>487</v>
      </c>
      <c r="F2475" s="15" t="s">
        <v>488</v>
      </c>
      <c r="G2475" s="46" t="s">
        <v>477</v>
      </c>
      <c r="H2475" s="47" t="s">
        <v>429</v>
      </c>
      <c r="I2475" s="48" t="s">
        <v>50</v>
      </c>
      <c r="J2475" s="49">
        <v>651935.0</v>
      </c>
    </row>
    <row r="2476">
      <c r="A2476" s="45" t="s">
        <v>74</v>
      </c>
      <c r="B2476" s="16" t="s">
        <v>212</v>
      </c>
      <c r="C2476" s="17" t="s">
        <v>213</v>
      </c>
      <c r="D2476" s="15">
        <v>4.0</v>
      </c>
      <c r="E2476" s="17" t="s">
        <v>469</v>
      </c>
      <c r="F2476" s="15" t="s">
        <v>470</v>
      </c>
      <c r="G2476" s="46" t="s">
        <v>516</v>
      </c>
      <c r="H2476" s="47" t="s">
        <v>436</v>
      </c>
      <c r="I2476" s="48" t="s">
        <v>25</v>
      </c>
      <c r="J2476" s="49">
        <v>126000.0</v>
      </c>
    </row>
    <row r="2477">
      <c r="A2477" s="45" t="s">
        <v>74</v>
      </c>
      <c r="B2477" s="16" t="s">
        <v>212</v>
      </c>
      <c r="C2477" s="17" t="s">
        <v>213</v>
      </c>
      <c r="D2477" s="15">
        <v>4.0</v>
      </c>
      <c r="E2477" s="17" t="s">
        <v>469</v>
      </c>
      <c r="F2477" s="15" t="s">
        <v>470</v>
      </c>
      <c r="G2477" s="46" t="s">
        <v>517</v>
      </c>
      <c r="H2477" s="47" t="s">
        <v>518</v>
      </c>
      <c r="I2477" s="48" t="s">
        <v>25</v>
      </c>
      <c r="J2477" s="49">
        <v>2580200.0</v>
      </c>
    </row>
    <row r="2478">
      <c r="A2478" s="45" t="s">
        <v>74</v>
      </c>
      <c r="B2478" s="16" t="s">
        <v>212</v>
      </c>
      <c r="C2478" s="17" t="s">
        <v>213</v>
      </c>
      <c r="D2478" s="15">
        <v>4.0</v>
      </c>
      <c r="E2478" s="17" t="s">
        <v>473</v>
      </c>
      <c r="F2478" s="15" t="s">
        <v>474</v>
      </c>
      <c r="G2478" s="46" t="s">
        <v>523</v>
      </c>
      <c r="H2478" s="47" t="s">
        <v>431</v>
      </c>
      <c r="I2478" s="48" t="s">
        <v>17</v>
      </c>
      <c r="J2478" s="49">
        <v>2.72755123E8</v>
      </c>
    </row>
    <row r="2479">
      <c r="A2479" s="45" t="s">
        <v>74</v>
      </c>
      <c r="B2479" s="16" t="s">
        <v>212</v>
      </c>
      <c r="C2479" s="17" t="s">
        <v>213</v>
      </c>
      <c r="D2479" s="15">
        <v>4.0</v>
      </c>
      <c r="E2479" s="17" t="s">
        <v>473</v>
      </c>
      <c r="F2479" s="15" t="s">
        <v>474</v>
      </c>
      <c r="G2479" s="46" t="s">
        <v>523</v>
      </c>
      <c r="H2479" s="47" t="s">
        <v>431</v>
      </c>
      <c r="I2479" s="48" t="s">
        <v>25</v>
      </c>
      <c r="J2479" s="49">
        <v>-1.88764369E8</v>
      </c>
    </row>
    <row r="2480">
      <c r="A2480" s="45" t="s">
        <v>74</v>
      </c>
      <c r="B2480" s="16" t="s">
        <v>212</v>
      </c>
      <c r="C2480" s="17" t="s">
        <v>213</v>
      </c>
      <c r="D2480" s="15">
        <v>4.0</v>
      </c>
      <c r="E2480" s="17" t="s">
        <v>473</v>
      </c>
      <c r="F2480" s="15" t="s">
        <v>474</v>
      </c>
      <c r="G2480" s="46" t="s">
        <v>458</v>
      </c>
      <c r="H2480" s="47" t="s">
        <v>411</v>
      </c>
      <c r="I2480" s="48" t="s">
        <v>19</v>
      </c>
      <c r="J2480" s="49">
        <v>5.71212E7</v>
      </c>
    </row>
    <row r="2481">
      <c r="A2481" s="45" t="s">
        <v>74</v>
      </c>
      <c r="B2481" s="16" t="s">
        <v>212</v>
      </c>
      <c r="C2481" s="17" t="s">
        <v>213</v>
      </c>
      <c r="D2481" s="15">
        <v>4.0</v>
      </c>
      <c r="E2481" s="17" t="s">
        <v>491</v>
      </c>
      <c r="F2481" s="15" t="s">
        <v>492</v>
      </c>
      <c r="G2481" s="46" t="s">
        <v>545</v>
      </c>
      <c r="H2481" s="47" t="s">
        <v>427</v>
      </c>
      <c r="I2481" s="48" t="s">
        <v>37</v>
      </c>
      <c r="J2481" s="49">
        <v>4.3247561E7</v>
      </c>
    </row>
    <row r="2482">
      <c r="A2482" s="45" t="s">
        <v>74</v>
      </c>
      <c r="B2482" s="16" t="s">
        <v>212</v>
      </c>
      <c r="C2482" s="17" t="s">
        <v>213</v>
      </c>
      <c r="D2482" s="15">
        <v>4.0</v>
      </c>
      <c r="E2482" s="17" t="s">
        <v>491</v>
      </c>
      <c r="F2482" s="15" t="s">
        <v>492</v>
      </c>
      <c r="G2482" s="46" t="s">
        <v>521</v>
      </c>
      <c r="H2482" s="47" t="s">
        <v>522</v>
      </c>
      <c r="I2482" s="48" t="s">
        <v>37</v>
      </c>
      <c r="J2482" s="49">
        <v>303294.0</v>
      </c>
    </row>
    <row r="2483">
      <c r="A2483" s="45" t="s">
        <v>74</v>
      </c>
      <c r="B2483" s="16" t="s">
        <v>212</v>
      </c>
      <c r="C2483" s="17" t="s">
        <v>213</v>
      </c>
      <c r="D2483" s="15">
        <v>4.0</v>
      </c>
      <c r="E2483" s="17" t="s">
        <v>491</v>
      </c>
      <c r="F2483" s="15" t="s">
        <v>492</v>
      </c>
      <c r="G2483" s="46" t="s">
        <v>493</v>
      </c>
      <c r="H2483" s="47" t="s">
        <v>437</v>
      </c>
      <c r="I2483" s="48" t="s">
        <v>25</v>
      </c>
      <c r="J2483" s="49">
        <v>9643377.0</v>
      </c>
    </row>
    <row r="2484">
      <c r="A2484" s="45" t="s">
        <v>74</v>
      </c>
      <c r="B2484" s="16" t="s">
        <v>212</v>
      </c>
      <c r="C2484" s="17" t="s">
        <v>213</v>
      </c>
      <c r="D2484" s="15">
        <v>4.0</v>
      </c>
      <c r="E2484" s="17" t="s">
        <v>475</v>
      </c>
      <c r="F2484" s="15" t="s">
        <v>476</v>
      </c>
      <c r="G2484" s="46" t="s">
        <v>498</v>
      </c>
      <c r="H2484" s="47" t="s">
        <v>434</v>
      </c>
      <c r="I2484" s="48" t="s">
        <v>25</v>
      </c>
      <c r="J2484" s="49">
        <v>3439400.0</v>
      </c>
    </row>
    <row r="2485">
      <c r="A2485" s="45" t="s">
        <v>74</v>
      </c>
      <c r="B2485" s="16" t="s">
        <v>212</v>
      </c>
      <c r="C2485" s="17" t="s">
        <v>213</v>
      </c>
      <c r="D2485" s="15">
        <v>4.0</v>
      </c>
      <c r="E2485" s="17" t="s">
        <v>475</v>
      </c>
      <c r="F2485" s="15" t="s">
        <v>476</v>
      </c>
      <c r="G2485" s="46" t="s">
        <v>477</v>
      </c>
      <c r="H2485" s="47" t="s">
        <v>429</v>
      </c>
      <c r="I2485" s="48" t="s">
        <v>50</v>
      </c>
      <c r="J2485" s="49">
        <v>3.788221E7</v>
      </c>
    </row>
    <row r="2486">
      <c r="A2486" s="45" t="s">
        <v>74</v>
      </c>
      <c r="B2486" s="16" t="s">
        <v>212</v>
      </c>
      <c r="C2486" s="17" t="s">
        <v>213</v>
      </c>
      <c r="D2486" s="15">
        <v>4.0</v>
      </c>
      <c r="E2486" s="17" t="s">
        <v>524</v>
      </c>
      <c r="F2486" s="15" t="s">
        <v>479</v>
      </c>
      <c r="G2486" s="46" t="s">
        <v>443</v>
      </c>
      <c r="H2486" s="47" t="s">
        <v>420</v>
      </c>
      <c r="I2486" s="48" t="s">
        <v>19</v>
      </c>
      <c r="J2486" s="49">
        <v>9.4339942E7</v>
      </c>
    </row>
    <row r="2487">
      <c r="A2487" s="45" t="s">
        <v>74</v>
      </c>
      <c r="B2487" s="16" t="s">
        <v>212</v>
      </c>
      <c r="C2487" s="17" t="s">
        <v>213</v>
      </c>
      <c r="D2487" s="15">
        <v>4.0</v>
      </c>
      <c r="E2487" s="17" t="s">
        <v>524</v>
      </c>
      <c r="F2487" s="15" t="s">
        <v>479</v>
      </c>
      <c r="G2487" s="46" t="s">
        <v>444</v>
      </c>
      <c r="H2487" s="47" t="s">
        <v>445</v>
      </c>
      <c r="I2487" s="48" t="s">
        <v>19</v>
      </c>
      <c r="J2487" s="49">
        <v>7092611.0</v>
      </c>
    </row>
    <row r="2488">
      <c r="A2488" s="45" t="s">
        <v>74</v>
      </c>
      <c r="B2488" s="16" t="s">
        <v>212</v>
      </c>
      <c r="C2488" s="17" t="s">
        <v>213</v>
      </c>
      <c r="D2488" s="15">
        <v>4.0</v>
      </c>
      <c r="E2488" s="17" t="s">
        <v>524</v>
      </c>
      <c r="F2488" s="15" t="s">
        <v>479</v>
      </c>
      <c r="G2488" s="46" t="s">
        <v>579</v>
      </c>
      <c r="H2488" s="47" t="s">
        <v>580</v>
      </c>
      <c r="I2488" s="48" t="s">
        <v>19</v>
      </c>
      <c r="J2488" s="49">
        <v>9833790.0</v>
      </c>
    </row>
    <row r="2489">
      <c r="A2489" s="45" t="s">
        <v>74</v>
      </c>
      <c r="B2489" s="16" t="s">
        <v>212</v>
      </c>
      <c r="C2489" s="17" t="s">
        <v>213</v>
      </c>
      <c r="D2489" s="15">
        <v>4.0</v>
      </c>
      <c r="E2489" s="17" t="s">
        <v>524</v>
      </c>
      <c r="F2489" s="15" t="s">
        <v>479</v>
      </c>
      <c r="G2489" s="46" t="s">
        <v>446</v>
      </c>
      <c r="H2489" s="47" t="s">
        <v>447</v>
      </c>
      <c r="I2489" s="48" t="s">
        <v>19</v>
      </c>
      <c r="J2489" s="49">
        <v>1110902.0</v>
      </c>
    </row>
    <row r="2490">
      <c r="A2490" s="45" t="s">
        <v>74</v>
      </c>
      <c r="B2490" s="16" t="s">
        <v>212</v>
      </c>
      <c r="C2490" s="17" t="s">
        <v>213</v>
      </c>
      <c r="D2490" s="15">
        <v>4.0</v>
      </c>
      <c r="E2490" s="17" t="s">
        <v>524</v>
      </c>
      <c r="F2490" s="15" t="s">
        <v>479</v>
      </c>
      <c r="G2490" s="46" t="s">
        <v>448</v>
      </c>
      <c r="H2490" s="47" t="s">
        <v>449</v>
      </c>
      <c r="I2490" s="48" t="s">
        <v>19</v>
      </c>
      <c r="J2490" s="49">
        <v>3048381.0</v>
      </c>
    </row>
    <row r="2491">
      <c r="A2491" s="45" t="s">
        <v>74</v>
      </c>
      <c r="B2491" s="16" t="s">
        <v>212</v>
      </c>
      <c r="C2491" s="17" t="s">
        <v>213</v>
      </c>
      <c r="D2491" s="15">
        <v>4.0</v>
      </c>
      <c r="E2491" s="17" t="s">
        <v>524</v>
      </c>
      <c r="F2491" s="15" t="s">
        <v>479</v>
      </c>
      <c r="G2491" s="46" t="s">
        <v>450</v>
      </c>
      <c r="H2491" s="47" t="s">
        <v>451</v>
      </c>
      <c r="I2491" s="48" t="s">
        <v>19</v>
      </c>
      <c r="J2491" s="49">
        <v>0.0</v>
      </c>
    </row>
    <row r="2492">
      <c r="A2492" s="45" t="s">
        <v>74</v>
      </c>
      <c r="B2492" s="16" t="s">
        <v>212</v>
      </c>
      <c r="C2492" s="17" t="s">
        <v>213</v>
      </c>
      <c r="D2492" s="15">
        <v>4.0</v>
      </c>
      <c r="E2492" s="17" t="s">
        <v>524</v>
      </c>
      <c r="F2492" s="15" t="s">
        <v>479</v>
      </c>
      <c r="G2492" s="46" t="s">
        <v>452</v>
      </c>
      <c r="H2492" s="47" t="s">
        <v>453</v>
      </c>
      <c r="I2492" s="48" t="s">
        <v>19</v>
      </c>
      <c r="J2492" s="49">
        <v>2055168.0</v>
      </c>
    </row>
    <row r="2493">
      <c r="A2493" s="45" t="s">
        <v>74</v>
      </c>
      <c r="B2493" s="16" t="s">
        <v>212</v>
      </c>
      <c r="C2493" s="17" t="s">
        <v>213</v>
      </c>
      <c r="D2493" s="15">
        <v>4.0</v>
      </c>
      <c r="E2493" s="17" t="s">
        <v>524</v>
      </c>
      <c r="F2493" s="15" t="s">
        <v>479</v>
      </c>
      <c r="G2493" s="46" t="s">
        <v>454</v>
      </c>
      <c r="H2493" s="47" t="s">
        <v>415</v>
      </c>
      <c r="I2493" s="48" t="s">
        <v>19</v>
      </c>
      <c r="J2493" s="49">
        <v>299944.0</v>
      </c>
    </row>
    <row r="2494">
      <c r="A2494" s="45" t="s">
        <v>74</v>
      </c>
      <c r="B2494" s="16" t="s">
        <v>212</v>
      </c>
      <c r="C2494" s="17" t="s">
        <v>213</v>
      </c>
      <c r="D2494" s="15">
        <v>4.0</v>
      </c>
      <c r="E2494" s="17" t="s">
        <v>524</v>
      </c>
      <c r="F2494" s="15" t="s">
        <v>479</v>
      </c>
      <c r="G2494" s="46" t="s">
        <v>455</v>
      </c>
      <c r="H2494" s="47" t="s">
        <v>415</v>
      </c>
      <c r="I2494" s="48" t="s">
        <v>19</v>
      </c>
      <c r="J2494" s="49">
        <v>166636.0</v>
      </c>
    </row>
    <row r="2495">
      <c r="A2495" s="45" t="s">
        <v>74</v>
      </c>
      <c r="B2495" s="16" t="s">
        <v>212</v>
      </c>
      <c r="C2495" s="17" t="s">
        <v>213</v>
      </c>
      <c r="D2495" s="15">
        <v>4.0</v>
      </c>
      <c r="E2495" s="17" t="s">
        <v>524</v>
      </c>
      <c r="F2495" s="15" t="s">
        <v>479</v>
      </c>
      <c r="G2495" s="46" t="s">
        <v>499</v>
      </c>
      <c r="H2495" s="47" t="s">
        <v>500</v>
      </c>
      <c r="I2495" s="48" t="s">
        <v>19</v>
      </c>
      <c r="J2495" s="49">
        <v>1.442344E7</v>
      </c>
    </row>
    <row r="2496">
      <c r="A2496" s="45" t="s">
        <v>74</v>
      </c>
      <c r="B2496" s="16" t="s">
        <v>212</v>
      </c>
      <c r="C2496" s="17" t="s">
        <v>213</v>
      </c>
      <c r="D2496" s="15">
        <v>4.0</v>
      </c>
      <c r="E2496" s="17" t="s">
        <v>524</v>
      </c>
      <c r="F2496" s="15" t="s">
        <v>479</v>
      </c>
      <c r="G2496" s="46" t="s">
        <v>583</v>
      </c>
      <c r="H2496" s="47" t="s">
        <v>584</v>
      </c>
      <c r="I2496" s="48" t="s">
        <v>25</v>
      </c>
      <c r="J2496" s="49">
        <v>1.785E7</v>
      </c>
    </row>
    <row r="2497">
      <c r="A2497" s="45" t="s">
        <v>74</v>
      </c>
      <c r="B2497" s="16" t="s">
        <v>212</v>
      </c>
      <c r="C2497" s="17" t="s">
        <v>213</v>
      </c>
      <c r="D2497" s="15">
        <v>4.0</v>
      </c>
      <c r="E2497" s="17" t="s">
        <v>525</v>
      </c>
      <c r="F2497" s="15" t="s">
        <v>502</v>
      </c>
      <c r="G2497" s="46" t="s">
        <v>526</v>
      </c>
      <c r="H2497" s="47" t="s">
        <v>527</v>
      </c>
      <c r="I2497" s="48" t="s">
        <v>60</v>
      </c>
      <c r="J2497" s="49">
        <v>8.8449163E7</v>
      </c>
    </row>
    <row r="2498">
      <c r="A2498" s="45" t="s">
        <v>74</v>
      </c>
      <c r="B2498" s="16" t="s">
        <v>212</v>
      </c>
      <c r="C2498" s="17" t="s">
        <v>213</v>
      </c>
      <c r="D2498" s="15">
        <v>4.0</v>
      </c>
      <c r="E2498" s="17" t="s">
        <v>525</v>
      </c>
      <c r="F2498" s="15" t="s">
        <v>502</v>
      </c>
      <c r="G2498" s="46" t="s">
        <v>539</v>
      </c>
      <c r="H2498" s="47" t="s">
        <v>540</v>
      </c>
      <c r="I2498" s="48" t="s">
        <v>60</v>
      </c>
      <c r="J2498" s="49">
        <v>4700201.0</v>
      </c>
    </row>
    <row r="2499">
      <c r="A2499" s="45" t="s">
        <v>74</v>
      </c>
      <c r="B2499" s="16" t="s">
        <v>212</v>
      </c>
      <c r="C2499" s="17" t="s">
        <v>213</v>
      </c>
      <c r="D2499" s="15">
        <v>4.0</v>
      </c>
      <c r="E2499" s="17" t="s">
        <v>525</v>
      </c>
      <c r="F2499" s="15" t="s">
        <v>502</v>
      </c>
      <c r="G2499" s="46" t="s">
        <v>505</v>
      </c>
      <c r="H2499" s="47" t="s">
        <v>506</v>
      </c>
      <c r="I2499" s="48" t="s">
        <v>60</v>
      </c>
      <c r="J2499" s="49">
        <v>1.631165E7</v>
      </c>
    </row>
    <row r="2500">
      <c r="A2500" s="45" t="s">
        <v>74</v>
      </c>
      <c r="B2500" s="16" t="s">
        <v>212</v>
      </c>
      <c r="C2500" s="17" t="s">
        <v>213</v>
      </c>
      <c r="D2500" s="15">
        <v>4.0</v>
      </c>
      <c r="E2500" s="17" t="s">
        <v>525</v>
      </c>
      <c r="F2500" s="15" t="s">
        <v>502</v>
      </c>
      <c r="G2500" s="46" t="s">
        <v>507</v>
      </c>
      <c r="H2500" s="47" t="s">
        <v>508</v>
      </c>
      <c r="I2500" s="48" t="s">
        <v>60</v>
      </c>
      <c r="J2500" s="49">
        <v>1.0689243E7</v>
      </c>
    </row>
    <row r="2501">
      <c r="A2501" s="45" t="s">
        <v>74</v>
      </c>
      <c r="B2501" s="16" t="s">
        <v>212</v>
      </c>
      <c r="C2501" s="17" t="s">
        <v>213</v>
      </c>
      <c r="D2501" s="15">
        <v>4.0</v>
      </c>
      <c r="E2501" s="17" t="s">
        <v>525</v>
      </c>
      <c r="F2501" s="15" t="s">
        <v>502</v>
      </c>
      <c r="G2501" s="46" t="s">
        <v>561</v>
      </c>
      <c r="H2501" s="47" t="s">
        <v>562</v>
      </c>
      <c r="I2501" s="48" t="s">
        <v>60</v>
      </c>
      <c r="J2501" s="49">
        <v>2400083.0</v>
      </c>
    </row>
    <row r="2502">
      <c r="A2502" s="45" t="s">
        <v>74</v>
      </c>
      <c r="B2502" s="16" t="s">
        <v>212</v>
      </c>
      <c r="C2502" s="17" t="s">
        <v>213</v>
      </c>
      <c r="D2502" s="15">
        <v>4.0</v>
      </c>
      <c r="E2502" s="17" t="s">
        <v>525</v>
      </c>
      <c r="F2502" s="15" t="s">
        <v>502</v>
      </c>
      <c r="G2502" s="46" t="s">
        <v>509</v>
      </c>
      <c r="H2502" s="47" t="s">
        <v>510</v>
      </c>
      <c r="I2502" s="48" t="s">
        <v>60</v>
      </c>
      <c r="J2502" s="49">
        <v>236666.0</v>
      </c>
    </row>
    <row r="2503">
      <c r="A2503" s="45" t="s">
        <v>74</v>
      </c>
      <c r="B2503" s="16" t="s">
        <v>212</v>
      </c>
      <c r="C2503" s="17" t="s">
        <v>213</v>
      </c>
      <c r="D2503" s="15">
        <v>4.0</v>
      </c>
      <c r="E2503" s="17" t="s">
        <v>525</v>
      </c>
      <c r="F2503" s="15" t="s">
        <v>502</v>
      </c>
      <c r="G2503" s="46" t="s">
        <v>511</v>
      </c>
      <c r="H2503" s="47" t="s">
        <v>512</v>
      </c>
      <c r="I2503" s="48" t="s">
        <v>60</v>
      </c>
      <c r="J2503" s="49">
        <v>1.07609313E8</v>
      </c>
    </row>
    <row r="2504">
      <c r="A2504" s="45" t="s">
        <v>74</v>
      </c>
      <c r="B2504" s="16" t="s">
        <v>212</v>
      </c>
      <c r="C2504" s="17" t="s">
        <v>213</v>
      </c>
      <c r="D2504" s="15">
        <v>4.0</v>
      </c>
      <c r="E2504" s="17" t="s">
        <v>525</v>
      </c>
      <c r="F2504" s="15" t="s">
        <v>502</v>
      </c>
      <c r="G2504" s="46" t="s">
        <v>513</v>
      </c>
      <c r="H2504" s="47" t="s">
        <v>514</v>
      </c>
      <c r="I2504" s="48" t="s">
        <v>60</v>
      </c>
      <c r="J2504" s="49">
        <v>1821493.0</v>
      </c>
    </row>
    <row r="2505">
      <c r="A2505" s="45" t="s">
        <v>74</v>
      </c>
      <c r="B2505" s="16" t="s">
        <v>212</v>
      </c>
      <c r="C2505" s="17" t="s">
        <v>213</v>
      </c>
      <c r="D2505" s="15">
        <v>4.0</v>
      </c>
      <c r="E2505" s="17" t="s">
        <v>548</v>
      </c>
      <c r="F2505" s="15" t="s">
        <v>549</v>
      </c>
      <c r="G2505" s="46" t="s">
        <v>550</v>
      </c>
      <c r="H2505" s="47" t="s">
        <v>551</v>
      </c>
      <c r="I2505" s="48" t="s">
        <v>25</v>
      </c>
      <c r="J2505" s="49">
        <v>9.3048E7</v>
      </c>
    </row>
    <row r="2506">
      <c r="A2506" s="45" t="s">
        <v>74</v>
      </c>
      <c r="B2506" s="16" t="s">
        <v>212</v>
      </c>
      <c r="C2506" s="17" t="s">
        <v>213</v>
      </c>
      <c r="D2506" s="15">
        <v>4.0</v>
      </c>
      <c r="E2506" s="17" t="s">
        <v>563</v>
      </c>
      <c r="F2506" s="15" t="s">
        <v>564</v>
      </c>
      <c r="G2506" s="46" t="s">
        <v>558</v>
      </c>
      <c r="H2506" s="47" t="s">
        <v>559</v>
      </c>
      <c r="I2506" s="48" t="s">
        <v>25</v>
      </c>
      <c r="J2506" s="49">
        <v>610000.0</v>
      </c>
    </row>
    <row r="2507">
      <c r="A2507" s="45" t="s">
        <v>74</v>
      </c>
      <c r="B2507" s="16" t="s">
        <v>212</v>
      </c>
      <c r="C2507" s="17" t="s">
        <v>213</v>
      </c>
      <c r="D2507" s="15">
        <v>4.0</v>
      </c>
      <c r="E2507" s="17" t="s">
        <v>563</v>
      </c>
      <c r="F2507" s="15" t="s">
        <v>564</v>
      </c>
      <c r="G2507" s="46" t="s">
        <v>544</v>
      </c>
      <c r="H2507" s="47" t="s">
        <v>421</v>
      </c>
      <c r="I2507" s="48" t="s">
        <v>25</v>
      </c>
      <c r="J2507" s="49">
        <v>775000.0</v>
      </c>
    </row>
    <row r="2508">
      <c r="A2508" s="45" t="s">
        <v>74</v>
      </c>
      <c r="B2508" s="16" t="s">
        <v>220</v>
      </c>
      <c r="C2508" s="17" t="s">
        <v>221</v>
      </c>
      <c r="D2508" s="15">
        <v>4.0</v>
      </c>
      <c r="E2508" s="17" t="s">
        <v>441</v>
      </c>
      <c r="F2508" s="15" t="s">
        <v>442</v>
      </c>
      <c r="G2508" s="46" t="s">
        <v>443</v>
      </c>
      <c r="H2508" s="47" t="s">
        <v>420</v>
      </c>
      <c r="I2508" s="48" t="s">
        <v>19</v>
      </c>
      <c r="J2508" s="49">
        <v>5.0859084E7</v>
      </c>
    </row>
    <row r="2509">
      <c r="A2509" s="45" t="s">
        <v>74</v>
      </c>
      <c r="B2509" s="16" t="s">
        <v>220</v>
      </c>
      <c r="C2509" s="17" t="s">
        <v>221</v>
      </c>
      <c r="D2509" s="15">
        <v>4.0</v>
      </c>
      <c r="E2509" s="17" t="s">
        <v>441</v>
      </c>
      <c r="F2509" s="15" t="s">
        <v>442</v>
      </c>
      <c r="G2509" s="46" t="s">
        <v>444</v>
      </c>
      <c r="H2509" s="47" t="s">
        <v>445</v>
      </c>
      <c r="I2509" s="48" t="s">
        <v>19</v>
      </c>
      <c r="J2509" s="49">
        <v>6880041.0</v>
      </c>
    </row>
    <row r="2510">
      <c r="A2510" s="45" t="s">
        <v>74</v>
      </c>
      <c r="B2510" s="16" t="s">
        <v>220</v>
      </c>
      <c r="C2510" s="17" t="s">
        <v>221</v>
      </c>
      <c r="D2510" s="15">
        <v>4.0</v>
      </c>
      <c r="E2510" s="17" t="s">
        <v>441</v>
      </c>
      <c r="F2510" s="15" t="s">
        <v>442</v>
      </c>
      <c r="G2510" s="46" t="s">
        <v>579</v>
      </c>
      <c r="H2510" s="47" t="s">
        <v>580</v>
      </c>
      <c r="I2510" s="48" t="s">
        <v>19</v>
      </c>
      <c r="J2510" s="49">
        <v>5417560.0</v>
      </c>
    </row>
    <row r="2511">
      <c r="A2511" s="45" t="s">
        <v>74</v>
      </c>
      <c r="B2511" s="16" t="s">
        <v>220</v>
      </c>
      <c r="C2511" s="17" t="s">
        <v>221</v>
      </c>
      <c r="D2511" s="15">
        <v>4.0</v>
      </c>
      <c r="E2511" s="17" t="s">
        <v>441</v>
      </c>
      <c r="F2511" s="15" t="s">
        <v>442</v>
      </c>
      <c r="G2511" s="46" t="s">
        <v>446</v>
      </c>
      <c r="H2511" s="47" t="s">
        <v>447</v>
      </c>
      <c r="I2511" s="48" t="s">
        <v>19</v>
      </c>
      <c r="J2511" s="49">
        <v>534882.0</v>
      </c>
    </row>
    <row r="2512">
      <c r="A2512" s="45" t="s">
        <v>74</v>
      </c>
      <c r="B2512" s="16" t="s">
        <v>220</v>
      </c>
      <c r="C2512" s="17" t="s">
        <v>221</v>
      </c>
      <c r="D2512" s="15">
        <v>4.0</v>
      </c>
      <c r="E2512" s="17" t="s">
        <v>441</v>
      </c>
      <c r="F2512" s="15" t="s">
        <v>442</v>
      </c>
      <c r="G2512" s="46" t="s">
        <v>448</v>
      </c>
      <c r="H2512" s="47" t="s">
        <v>449</v>
      </c>
      <c r="I2512" s="48" t="s">
        <v>19</v>
      </c>
      <c r="J2512" s="49">
        <v>1265286.0</v>
      </c>
    </row>
    <row r="2513">
      <c r="A2513" s="45" t="s">
        <v>74</v>
      </c>
      <c r="B2513" s="16" t="s">
        <v>220</v>
      </c>
      <c r="C2513" s="17" t="s">
        <v>221</v>
      </c>
      <c r="D2513" s="15">
        <v>4.0</v>
      </c>
      <c r="E2513" s="17" t="s">
        <v>441</v>
      </c>
      <c r="F2513" s="15" t="s">
        <v>442</v>
      </c>
      <c r="G2513" s="46" t="s">
        <v>450</v>
      </c>
      <c r="H2513" s="47" t="s">
        <v>451</v>
      </c>
      <c r="I2513" s="48" t="s">
        <v>19</v>
      </c>
      <c r="J2513" s="49">
        <v>0.0</v>
      </c>
    </row>
    <row r="2514">
      <c r="A2514" s="45" t="s">
        <v>74</v>
      </c>
      <c r="B2514" s="16" t="s">
        <v>220</v>
      </c>
      <c r="C2514" s="17" t="s">
        <v>221</v>
      </c>
      <c r="D2514" s="15">
        <v>4.0</v>
      </c>
      <c r="E2514" s="17" t="s">
        <v>441</v>
      </c>
      <c r="F2514" s="15" t="s">
        <v>442</v>
      </c>
      <c r="G2514" s="46" t="s">
        <v>452</v>
      </c>
      <c r="H2514" s="47" t="s">
        <v>453</v>
      </c>
      <c r="I2514" s="48" t="s">
        <v>19</v>
      </c>
      <c r="J2514" s="49">
        <v>989531.0</v>
      </c>
    </row>
    <row r="2515">
      <c r="A2515" s="45" t="s">
        <v>74</v>
      </c>
      <c r="B2515" s="16" t="s">
        <v>220</v>
      </c>
      <c r="C2515" s="17" t="s">
        <v>221</v>
      </c>
      <c r="D2515" s="15">
        <v>4.0</v>
      </c>
      <c r="E2515" s="17" t="s">
        <v>441</v>
      </c>
      <c r="F2515" s="15" t="s">
        <v>442</v>
      </c>
      <c r="G2515" s="46" t="s">
        <v>454</v>
      </c>
      <c r="H2515" s="47" t="s">
        <v>415</v>
      </c>
      <c r="I2515" s="48" t="s">
        <v>19</v>
      </c>
      <c r="J2515" s="49">
        <v>144418.0</v>
      </c>
    </row>
    <row r="2516">
      <c r="A2516" s="45" t="s">
        <v>74</v>
      </c>
      <c r="B2516" s="16" t="s">
        <v>220</v>
      </c>
      <c r="C2516" s="17" t="s">
        <v>221</v>
      </c>
      <c r="D2516" s="15">
        <v>4.0</v>
      </c>
      <c r="E2516" s="17" t="s">
        <v>441</v>
      </c>
      <c r="F2516" s="15" t="s">
        <v>442</v>
      </c>
      <c r="G2516" s="46" t="s">
        <v>455</v>
      </c>
      <c r="H2516" s="47" t="s">
        <v>415</v>
      </c>
      <c r="I2516" s="48" t="s">
        <v>19</v>
      </c>
      <c r="J2516" s="49">
        <v>80232.0</v>
      </c>
    </row>
    <row r="2517">
      <c r="A2517" s="45" t="s">
        <v>74</v>
      </c>
      <c r="B2517" s="16" t="s">
        <v>220</v>
      </c>
      <c r="C2517" s="17" t="s">
        <v>221</v>
      </c>
      <c r="D2517" s="15">
        <v>4.0</v>
      </c>
      <c r="E2517" s="17" t="s">
        <v>441</v>
      </c>
      <c r="F2517" s="15" t="s">
        <v>442</v>
      </c>
      <c r="G2517" s="46" t="s">
        <v>583</v>
      </c>
      <c r="H2517" s="47" t="s">
        <v>584</v>
      </c>
      <c r="I2517" s="48" t="s">
        <v>25</v>
      </c>
      <c r="J2517" s="49">
        <v>7650000.0</v>
      </c>
    </row>
    <row r="2518">
      <c r="A2518" s="45" t="s">
        <v>74</v>
      </c>
      <c r="B2518" s="16" t="s">
        <v>220</v>
      </c>
      <c r="C2518" s="17" t="s">
        <v>221</v>
      </c>
      <c r="D2518" s="15">
        <v>4.0</v>
      </c>
      <c r="E2518" s="17" t="s">
        <v>456</v>
      </c>
      <c r="F2518" s="15" t="s">
        <v>457</v>
      </c>
      <c r="G2518" s="46" t="s">
        <v>458</v>
      </c>
      <c r="H2518" s="47" t="s">
        <v>411</v>
      </c>
      <c r="I2518" s="48" t="s">
        <v>19</v>
      </c>
      <c r="J2518" s="49">
        <v>1.6695684E8</v>
      </c>
    </row>
    <row r="2519">
      <c r="A2519" s="45" t="s">
        <v>74</v>
      </c>
      <c r="B2519" s="16" t="s">
        <v>220</v>
      </c>
      <c r="C2519" s="17" t="s">
        <v>221</v>
      </c>
      <c r="D2519" s="15">
        <v>4.0</v>
      </c>
      <c r="E2519" s="17" t="s">
        <v>459</v>
      </c>
      <c r="F2519" s="15" t="s">
        <v>460</v>
      </c>
      <c r="G2519" s="46" t="s">
        <v>458</v>
      </c>
      <c r="H2519" s="47" t="s">
        <v>411</v>
      </c>
      <c r="I2519" s="48" t="s">
        <v>19</v>
      </c>
      <c r="J2519" s="49">
        <v>5889420.0</v>
      </c>
    </row>
    <row r="2520">
      <c r="A2520" s="45" t="s">
        <v>74</v>
      </c>
      <c r="B2520" s="16" t="s">
        <v>220</v>
      </c>
      <c r="C2520" s="17" t="s">
        <v>221</v>
      </c>
      <c r="D2520" s="15">
        <v>4.0</v>
      </c>
      <c r="E2520" s="17" t="s">
        <v>463</v>
      </c>
      <c r="F2520" s="15" t="s">
        <v>464</v>
      </c>
      <c r="G2520" s="46" t="s">
        <v>517</v>
      </c>
      <c r="H2520" s="47" t="s">
        <v>518</v>
      </c>
      <c r="I2520" s="48" t="s">
        <v>25</v>
      </c>
      <c r="J2520" s="49">
        <v>1354405.0</v>
      </c>
    </row>
    <row r="2521">
      <c r="A2521" s="45" t="s">
        <v>74</v>
      </c>
      <c r="B2521" s="16" t="s">
        <v>220</v>
      </c>
      <c r="C2521" s="17" t="s">
        <v>221</v>
      </c>
      <c r="D2521" s="15">
        <v>4.0</v>
      </c>
      <c r="E2521" s="17" t="s">
        <v>463</v>
      </c>
      <c r="F2521" s="15" t="s">
        <v>464</v>
      </c>
      <c r="G2521" s="46" t="s">
        <v>486</v>
      </c>
      <c r="H2521" s="47" t="s">
        <v>432</v>
      </c>
      <c r="I2521" s="48" t="s">
        <v>37</v>
      </c>
      <c r="J2521" s="49">
        <v>1336988.0</v>
      </c>
    </row>
    <row r="2522">
      <c r="A2522" s="45" t="s">
        <v>74</v>
      </c>
      <c r="B2522" s="16" t="s">
        <v>220</v>
      </c>
      <c r="C2522" s="17" t="s">
        <v>221</v>
      </c>
      <c r="D2522" s="15">
        <v>4.0</v>
      </c>
      <c r="E2522" s="17" t="s">
        <v>473</v>
      </c>
      <c r="F2522" s="15" t="s">
        <v>474</v>
      </c>
      <c r="G2522" s="46" t="s">
        <v>443</v>
      </c>
      <c r="H2522" s="47" t="s">
        <v>420</v>
      </c>
      <c r="I2522" s="48" t="s">
        <v>19</v>
      </c>
      <c r="J2522" s="49">
        <v>6975000.0</v>
      </c>
    </row>
    <row r="2523">
      <c r="A2523" s="45" t="s">
        <v>74</v>
      </c>
      <c r="B2523" s="16" t="s">
        <v>220</v>
      </c>
      <c r="C2523" s="17" t="s">
        <v>221</v>
      </c>
      <c r="D2523" s="15">
        <v>4.0</v>
      </c>
      <c r="E2523" s="17" t="s">
        <v>473</v>
      </c>
      <c r="F2523" s="15" t="s">
        <v>474</v>
      </c>
      <c r="G2523" s="46" t="s">
        <v>444</v>
      </c>
      <c r="H2523" s="47" t="s">
        <v>445</v>
      </c>
      <c r="I2523" s="48" t="s">
        <v>19</v>
      </c>
      <c r="J2523" s="49">
        <v>88291.0</v>
      </c>
    </row>
    <row r="2524">
      <c r="A2524" s="45" t="s">
        <v>74</v>
      </c>
      <c r="B2524" s="16" t="s">
        <v>220</v>
      </c>
      <c r="C2524" s="17" t="s">
        <v>221</v>
      </c>
      <c r="D2524" s="15">
        <v>4.0</v>
      </c>
      <c r="E2524" s="17" t="s">
        <v>473</v>
      </c>
      <c r="F2524" s="15" t="s">
        <v>474</v>
      </c>
      <c r="G2524" s="46" t="s">
        <v>579</v>
      </c>
      <c r="H2524" s="47" t="s">
        <v>580</v>
      </c>
      <c r="I2524" s="48" t="s">
        <v>19</v>
      </c>
      <c r="J2524" s="49">
        <v>600000.0</v>
      </c>
    </row>
    <row r="2525">
      <c r="A2525" s="45" t="s">
        <v>74</v>
      </c>
      <c r="B2525" s="16" t="s">
        <v>220</v>
      </c>
      <c r="C2525" s="17" t="s">
        <v>221</v>
      </c>
      <c r="D2525" s="15">
        <v>4.0</v>
      </c>
      <c r="E2525" s="17" t="s">
        <v>473</v>
      </c>
      <c r="F2525" s="15" t="s">
        <v>474</v>
      </c>
      <c r="G2525" s="46" t="s">
        <v>523</v>
      </c>
      <c r="H2525" s="47" t="s">
        <v>431</v>
      </c>
      <c r="I2525" s="48" t="s">
        <v>25</v>
      </c>
      <c r="J2525" s="49">
        <v>1.0E7</v>
      </c>
    </row>
    <row r="2526">
      <c r="A2526" s="45" t="s">
        <v>74</v>
      </c>
      <c r="B2526" s="16" t="s">
        <v>220</v>
      </c>
      <c r="C2526" s="17" t="s">
        <v>221</v>
      </c>
      <c r="D2526" s="15">
        <v>4.0</v>
      </c>
      <c r="E2526" s="17" t="s">
        <v>491</v>
      </c>
      <c r="F2526" s="15" t="s">
        <v>492</v>
      </c>
      <c r="G2526" s="46" t="s">
        <v>493</v>
      </c>
      <c r="H2526" s="47" t="s">
        <v>437</v>
      </c>
      <c r="I2526" s="48" t="s">
        <v>25</v>
      </c>
      <c r="J2526" s="49">
        <v>1.7638044E7</v>
      </c>
    </row>
    <row r="2527">
      <c r="A2527" s="45" t="s">
        <v>74</v>
      </c>
      <c r="B2527" s="16" t="s">
        <v>220</v>
      </c>
      <c r="C2527" s="17" t="s">
        <v>221</v>
      </c>
      <c r="D2527" s="15">
        <v>4.0</v>
      </c>
      <c r="E2527" s="17" t="s">
        <v>494</v>
      </c>
      <c r="F2527" s="15" t="s">
        <v>495</v>
      </c>
      <c r="G2527" s="46" t="s">
        <v>496</v>
      </c>
      <c r="H2527" s="47" t="s">
        <v>497</v>
      </c>
      <c r="I2527" s="48" t="s">
        <v>25</v>
      </c>
      <c r="J2527" s="49">
        <v>2849388.0</v>
      </c>
    </row>
    <row r="2528">
      <c r="A2528" s="45" t="s">
        <v>74</v>
      </c>
      <c r="B2528" s="16" t="s">
        <v>220</v>
      </c>
      <c r="C2528" s="17" t="s">
        <v>221</v>
      </c>
      <c r="D2528" s="15">
        <v>4.0</v>
      </c>
      <c r="E2528" s="17" t="s">
        <v>475</v>
      </c>
      <c r="F2528" s="15" t="s">
        <v>476</v>
      </c>
      <c r="G2528" s="46" t="s">
        <v>477</v>
      </c>
      <c r="H2528" s="47" t="s">
        <v>429</v>
      </c>
      <c r="I2528" s="48" t="s">
        <v>50</v>
      </c>
      <c r="J2528" s="49">
        <v>6.55221E7</v>
      </c>
    </row>
    <row r="2529">
      <c r="A2529" s="45" t="s">
        <v>74</v>
      </c>
      <c r="B2529" s="16" t="s">
        <v>220</v>
      </c>
      <c r="C2529" s="17" t="s">
        <v>221</v>
      </c>
      <c r="D2529" s="15">
        <v>4.0</v>
      </c>
      <c r="E2529" s="17" t="s">
        <v>524</v>
      </c>
      <c r="F2529" s="15" t="s">
        <v>479</v>
      </c>
      <c r="G2529" s="46" t="s">
        <v>443</v>
      </c>
      <c r="H2529" s="47" t="s">
        <v>420</v>
      </c>
      <c r="I2529" s="48" t="s">
        <v>19</v>
      </c>
      <c r="J2529" s="49">
        <v>1.49329726E8</v>
      </c>
    </row>
    <row r="2530">
      <c r="A2530" s="45" t="s">
        <v>74</v>
      </c>
      <c r="B2530" s="16" t="s">
        <v>220</v>
      </c>
      <c r="C2530" s="17" t="s">
        <v>221</v>
      </c>
      <c r="D2530" s="15">
        <v>4.0</v>
      </c>
      <c r="E2530" s="17" t="s">
        <v>524</v>
      </c>
      <c r="F2530" s="15" t="s">
        <v>479</v>
      </c>
      <c r="G2530" s="46" t="s">
        <v>444</v>
      </c>
      <c r="H2530" s="47" t="s">
        <v>445</v>
      </c>
      <c r="I2530" s="48" t="s">
        <v>19</v>
      </c>
      <c r="J2530" s="49">
        <v>1.374457E7</v>
      </c>
    </row>
    <row r="2531">
      <c r="A2531" s="45" t="s">
        <v>74</v>
      </c>
      <c r="B2531" s="16" t="s">
        <v>220</v>
      </c>
      <c r="C2531" s="17" t="s">
        <v>221</v>
      </c>
      <c r="D2531" s="15">
        <v>4.0</v>
      </c>
      <c r="E2531" s="17" t="s">
        <v>524</v>
      </c>
      <c r="F2531" s="15" t="s">
        <v>479</v>
      </c>
      <c r="G2531" s="46" t="s">
        <v>579</v>
      </c>
      <c r="H2531" s="47" t="s">
        <v>580</v>
      </c>
      <c r="I2531" s="48" t="s">
        <v>19</v>
      </c>
      <c r="J2531" s="49">
        <v>1.5109102E7</v>
      </c>
    </row>
    <row r="2532">
      <c r="A2532" s="45" t="s">
        <v>74</v>
      </c>
      <c r="B2532" s="16" t="s">
        <v>220</v>
      </c>
      <c r="C2532" s="17" t="s">
        <v>221</v>
      </c>
      <c r="D2532" s="15">
        <v>4.0</v>
      </c>
      <c r="E2532" s="17" t="s">
        <v>524</v>
      </c>
      <c r="F2532" s="15" t="s">
        <v>479</v>
      </c>
      <c r="G2532" s="46" t="s">
        <v>446</v>
      </c>
      <c r="H2532" s="47" t="s">
        <v>447</v>
      </c>
      <c r="I2532" s="48" t="s">
        <v>19</v>
      </c>
      <c r="J2532" s="49">
        <v>1736208.0</v>
      </c>
    </row>
    <row r="2533">
      <c r="A2533" s="45" t="s">
        <v>74</v>
      </c>
      <c r="B2533" s="16" t="s">
        <v>220</v>
      </c>
      <c r="C2533" s="17" t="s">
        <v>221</v>
      </c>
      <c r="D2533" s="15">
        <v>4.0</v>
      </c>
      <c r="E2533" s="17" t="s">
        <v>524</v>
      </c>
      <c r="F2533" s="15" t="s">
        <v>479</v>
      </c>
      <c r="G2533" s="46" t="s">
        <v>448</v>
      </c>
      <c r="H2533" s="47" t="s">
        <v>449</v>
      </c>
      <c r="I2533" s="48" t="s">
        <v>19</v>
      </c>
      <c r="J2533" s="49">
        <v>4150299.0</v>
      </c>
    </row>
    <row r="2534">
      <c r="A2534" s="45" t="s">
        <v>74</v>
      </c>
      <c r="B2534" s="16" t="s">
        <v>220</v>
      </c>
      <c r="C2534" s="17" t="s">
        <v>221</v>
      </c>
      <c r="D2534" s="15">
        <v>4.0</v>
      </c>
      <c r="E2534" s="17" t="s">
        <v>524</v>
      </c>
      <c r="F2534" s="15" t="s">
        <v>479</v>
      </c>
      <c r="G2534" s="46" t="s">
        <v>450</v>
      </c>
      <c r="H2534" s="47" t="s">
        <v>451</v>
      </c>
      <c r="I2534" s="48" t="s">
        <v>19</v>
      </c>
      <c r="J2534" s="49">
        <v>0.0</v>
      </c>
    </row>
    <row r="2535">
      <c r="A2535" s="45" t="s">
        <v>74</v>
      </c>
      <c r="B2535" s="16" t="s">
        <v>220</v>
      </c>
      <c r="C2535" s="17" t="s">
        <v>221</v>
      </c>
      <c r="D2535" s="15">
        <v>4.0</v>
      </c>
      <c r="E2535" s="17" t="s">
        <v>524</v>
      </c>
      <c r="F2535" s="15" t="s">
        <v>479</v>
      </c>
      <c r="G2535" s="46" t="s">
        <v>452</v>
      </c>
      <c r="H2535" s="47" t="s">
        <v>453</v>
      </c>
      <c r="I2535" s="48" t="s">
        <v>19</v>
      </c>
      <c r="J2535" s="49">
        <v>3280871.0</v>
      </c>
    </row>
    <row r="2536">
      <c r="A2536" s="45" t="s">
        <v>74</v>
      </c>
      <c r="B2536" s="16" t="s">
        <v>220</v>
      </c>
      <c r="C2536" s="17" t="s">
        <v>221</v>
      </c>
      <c r="D2536" s="15">
        <v>4.0</v>
      </c>
      <c r="E2536" s="17" t="s">
        <v>524</v>
      </c>
      <c r="F2536" s="15" t="s">
        <v>479</v>
      </c>
      <c r="G2536" s="46" t="s">
        <v>454</v>
      </c>
      <c r="H2536" s="47" t="s">
        <v>415</v>
      </c>
      <c r="I2536" s="48" t="s">
        <v>19</v>
      </c>
      <c r="J2536" s="49">
        <v>478830.0</v>
      </c>
    </row>
    <row r="2537">
      <c r="A2537" s="45" t="s">
        <v>74</v>
      </c>
      <c r="B2537" s="16" t="s">
        <v>220</v>
      </c>
      <c r="C2537" s="17" t="s">
        <v>221</v>
      </c>
      <c r="D2537" s="15">
        <v>4.0</v>
      </c>
      <c r="E2537" s="17" t="s">
        <v>524</v>
      </c>
      <c r="F2537" s="15" t="s">
        <v>479</v>
      </c>
      <c r="G2537" s="46" t="s">
        <v>455</v>
      </c>
      <c r="H2537" s="47" t="s">
        <v>415</v>
      </c>
      <c r="I2537" s="48" t="s">
        <v>19</v>
      </c>
      <c r="J2537" s="49">
        <v>266016.0</v>
      </c>
    </row>
    <row r="2538">
      <c r="A2538" s="45" t="s">
        <v>74</v>
      </c>
      <c r="B2538" s="16" t="s">
        <v>220</v>
      </c>
      <c r="C2538" s="17" t="s">
        <v>221</v>
      </c>
      <c r="D2538" s="15">
        <v>4.0</v>
      </c>
      <c r="E2538" s="17" t="s">
        <v>524</v>
      </c>
      <c r="F2538" s="15" t="s">
        <v>479</v>
      </c>
      <c r="G2538" s="46" t="s">
        <v>480</v>
      </c>
      <c r="H2538" s="47" t="s">
        <v>481</v>
      </c>
      <c r="I2538" s="48" t="s">
        <v>19</v>
      </c>
      <c r="J2538" s="49">
        <v>3276188.0</v>
      </c>
    </row>
    <row r="2539">
      <c r="A2539" s="45" t="s">
        <v>74</v>
      </c>
      <c r="B2539" s="16" t="s">
        <v>220</v>
      </c>
      <c r="C2539" s="17" t="s">
        <v>221</v>
      </c>
      <c r="D2539" s="15">
        <v>4.0</v>
      </c>
      <c r="E2539" s="17" t="s">
        <v>524</v>
      </c>
      <c r="F2539" s="15" t="s">
        <v>479</v>
      </c>
      <c r="G2539" s="46" t="s">
        <v>583</v>
      </c>
      <c r="H2539" s="47" t="s">
        <v>584</v>
      </c>
      <c r="I2539" s="48" t="s">
        <v>25</v>
      </c>
      <c r="J2539" s="49">
        <v>2.805E7</v>
      </c>
    </row>
    <row r="2540">
      <c r="A2540" s="45" t="s">
        <v>74</v>
      </c>
      <c r="B2540" s="16" t="s">
        <v>220</v>
      </c>
      <c r="C2540" s="17" t="s">
        <v>221</v>
      </c>
      <c r="D2540" s="15">
        <v>4.0</v>
      </c>
      <c r="E2540" s="17" t="s">
        <v>525</v>
      </c>
      <c r="F2540" s="15" t="s">
        <v>502</v>
      </c>
      <c r="G2540" s="46" t="s">
        <v>526</v>
      </c>
      <c r="H2540" s="47" t="s">
        <v>527</v>
      </c>
      <c r="I2540" s="48" t="s">
        <v>60</v>
      </c>
      <c r="J2540" s="49">
        <v>3.95295377E8</v>
      </c>
    </row>
    <row r="2541">
      <c r="A2541" s="45" t="s">
        <v>74</v>
      </c>
      <c r="B2541" s="16" t="s">
        <v>220</v>
      </c>
      <c r="C2541" s="17" t="s">
        <v>221</v>
      </c>
      <c r="D2541" s="15">
        <v>4.0</v>
      </c>
      <c r="E2541" s="17" t="s">
        <v>525</v>
      </c>
      <c r="F2541" s="15" t="s">
        <v>502</v>
      </c>
      <c r="G2541" s="46" t="s">
        <v>539</v>
      </c>
      <c r="H2541" s="47" t="s">
        <v>540</v>
      </c>
      <c r="I2541" s="48" t="s">
        <v>60</v>
      </c>
      <c r="J2541" s="49">
        <v>588473.0</v>
      </c>
    </row>
    <row r="2542">
      <c r="A2542" s="45" t="s">
        <v>74</v>
      </c>
      <c r="B2542" s="16" t="s">
        <v>220</v>
      </c>
      <c r="C2542" s="17" t="s">
        <v>221</v>
      </c>
      <c r="D2542" s="15">
        <v>4.0</v>
      </c>
      <c r="E2542" s="17" t="s">
        <v>525</v>
      </c>
      <c r="F2542" s="15" t="s">
        <v>502</v>
      </c>
      <c r="G2542" s="46" t="s">
        <v>505</v>
      </c>
      <c r="H2542" s="47" t="s">
        <v>506</v>
      </c>
      <c r="I2542" s="48" t="s">
        <v>60</v>
      </c>
      <c r="J2542" s="49">
        <v>3019926.0</v>
      </c>
    </row>
    <row r="2543">
      <c r="A2543" s="45" t="s">
        <v>74</v>
      </c>
      <c r="B2543" s="16" t="s">
        <v>220</v>
      </c>
      <c r="C2543" s="17" t="s">
        <v>221</v>
      </c>
      <c r="D2543" s="15">
        <v>4.0</v>
      </c>
      <c r="E2543" s="17" t="s">
        <v>525</v>
      </c>
      <c r="F2543" s="15" t="s">
        <v>502</v>
      </c>
      <c r="G2543" s="46" t="s">
        <v>509</v>
      </c>
      <c r="H2543" s="47" t="s">
        <v>510</v>
      </c>
      <c r="I2543" s="48" t="s">
        <v>60</v>
      </c>
      <c r="J2543" s="49">
        <v>1025043.0</v>
      </c>
    </row>
    <row r="2544">
      <c r="A2544" s="45" t="s">
        <v>74</v>
      </c>
      <c r="B2544" s="16" t="s">
        <v>220</v>
      </c>
      <c r="C2544" s="17" t="s">
        <v>221</v>
      </c>
      <c r="D2544" s="15">
        <v>4.0</v>
      </c>
      <c r="E2544" s="17" t="s">
        <v>525</v>
      </c>
      <c r="F2544" s="15" t="s">
        <v>502</v>
      </c>
      <c r="G2544" s="46" t="s">
        <v>511</v>
      </c>
      <c r="H2544" s="47" t="s">
        <v>512</v>
      </c>
      <c r="I2544" s="48" t="s">
        <v>60</v>
      </c>
      <c r="J2544" s="49">
        <v>3.86738E7</v>
      </c>
    </row>
    <row r="2545">
      <c r="A2545" s="45" t="s">
        <v>74</v>
      </c>
      <c r="B2545" s="16" t="s">
        <v>220</v>
      </c>
      <c r="C2545" s="17" t="s">
        <v>221</v>
      </c>
      <c r="D2545" s="15">
        <v>4.0</v>
      </c>
      <c r="E2545" s="17" t="s">
        <v>525</v>
      </c>
      <c r="F2545" s="15" t="s">
        <v>502</v>
      </c>
      <c r="G2545" s="46" t="s">
        <v>513</v>
      </c>
      <c r="H2545" s="47" t="s">
        <v>514</v>
      </c>
      <c r="I2545" s="48" t="s">
        <v>60</v>
      </c>
      <c r="J2545" s="49">
        <v>1930164.0</v>
      </c>
    </row>
    <row r="2546">
      <c r="A2546" s="45" t="s">
        <v>74</v>
      </c>
      <c r="B2546" s="16" t="s">
        <v>231</v>
      </c>
      <c r="C2546" s="17" t="s">
        <v>232</v>
      </c>
      <c r="D2546" s="15">
        <v>4.0</v>
      </c>
      <c r="E2546" s="17" t="s">
        <v>441</v>
      </c>
      <c r="F2546" s="15" t="s">
        <v>442</v>
      </c>
      <c r="G2546" s="46" t="s">
        <v>443</v>
      </c>
      <c r="H2546" s="47" t="s">
        <v>420</v>
      </c>
      <c r="I2546" s="48" t="s">
        <v>19</v>
      </c>
      <c r="J2546" s="49">
        <v>5.3897397E7</v>
      </c>
    </row>
    <row r="2547">
      <c r="A2547" s="45" t="s">
        <v>74</v>
      </c>
      <c r="B2547" s="16" t="s">
        <v>231</v>
      </c>
      <c r="C2547" s="17" t="s">
        <v>232</v>
      </c>
      <c r="D2547" s="15">
        <v>4.0</v>
      </c>
      <c r="E2547" s="17" t="s">
        <v>441</v>
      </c>
      <c r="F2547" s="15" t="s">
        <v>442</v>
      </c>
      <c r="G2547" s="46" t="s">
        <v>444</v>
      </c>
      <c r="H2547" s="47" t="s">
        <v>445</v>
      </c>
      <c r="I2547" s="48" t="s">
        <v>19</v>
      </c>
      <c r="J2547" s="49">
        <v>7827828.0</v>
      </c>
    </row>
    <row r="2548">
      <c r="A2548" s="45" t="s">
        <v>74</v>
      </c>
      <c r="B2548" s="16" t="s">
        <v>231</v>
      </c>
      <c r="C2548" s="17" t="s">
        <v>232</v>
      </c>
      <c r="D2548" s="15">
        <v>4.0</v>
      </c>
      <c r="E2548" s="17" t="s">
        <v>441</v>
      </c>
      <c r="F2548" s="15" t="s">
        <v>442</v>
      </c>
      <c r="G2548" s="46" t="s">
        <v>579</v>
      </c>
      <c r="H2548" s="47" t="s">
        <v>580</v>
      </c>
      <c r="I2548" s="48" t="s">
        <v>19</v>
      </c>
      <c r="J2548" s="49">
        <v>5631768.0</v>
      </c>
    </row>
    <row r="2549">
      <c r="A2549" s="45" t="s">
        <v>74</v>
      </c>
      <c r="B2549" s="16" t="s">
        <v>231</v>
      </c>
      <c r="C2549" s="17" t="s">
        <v>232</v>
      </c>
      <c r="D2549" s="15">
        <v>4.0</v>
      </c>
      <c r="E2549" s="17" t="s">
        <v>441</v>
      </c>
      <c r="F2549" s="15" t="s">
        <v>442</v>
      </c>
      <c r="G2549" s="46" t="s">
        <v>446</v>
      </c>
      <c r="H2549" s="47" t="s">
        <v>447</v>
      </c>
      <c r="I2549" s="48" t="s">
        <v>19</v>
      </c>
      <c r="J2549" s="49">
        <v>536602.0</v>
      </c>
    </row>
    <row r="2550">
      <c r="A2550" s="45" t="s">
        <v>74</v>
      </c>
      <c r="B2550" s="16" t="s">
        <v>231</v>
      </c>
      <c r="C2550" s="17" t="s">
        <v>232</v>
      </c>
      <c r="D2550" s="15">
        <v>4.0</v>
      </c>
      <c r="E2550" s="17" t="s">
        <v>441</v>
      </c>
      <c r="F2550" s="15" t="s">
        <v>442</v>
      </c>
      <c r="G2550" s="46" t="s">
        <v>448</v>
      </c>
      <c r="H2550" s="47" t="s">
        <v>449</v>
      </c>
      <c r="I2550" s="48" t="s">
        <v>19</v>
      </c>
      <c r="J2550" s="49">
        <v>1353795.0</v>
      </c>
    </row>
    <row r="2551">
      <c r="A2551" s="45" t="s">
        <v>74</v>
      </c>
      <c r="B2551" s="16" t="s">
        <v>231</v>
      </c>
      <c r="C2551" s="17" t="s">
        <v>232</v>
      </c>
      <c r="D2551" s="15">
        <v>4.0</v>
      </c>
      <c r="E2551" s="17" t="s">
        <v>441</v>
      </c>
      <c r="F2551" s="15" t="s">
        <v>442</v>
      </c>
      <c r="G2551" s="46" t="s">
        <v>450</v>
      </c>
      <c r="H2551" s="47" t="s">
        <v>451</v>
      </c>
      <c r="I2551" s="48" t="s">
        <v>19</v>
      </c>
      <c r="J2551" s="49">
        <v>0.0</v>
      </c>
    </row>
    <row r="2552">
      <c r="A2552" s="45" t="s">
        <v>74</v>
      </c>
      <c r="B2552" s="16" t="s">
        <v>231</v>
      </c>
      <c r="C2552" s="17" t="s">
        <v>232</v>
      </c>
      <c r="D2552" s="15">
        <v>4.0</v>
      </c>
      <c r="E2552" s="17" t="s">
        <v>441</v>
      </c>
      <c r="F2552" s="15" t="s">
        <v>442</v>
      </c>
      <c r="G2552" s="46" t="s">
        <v>452</v>
      </c>
      <c r="H2552" s="47" t="s">
        <v>453</v>
      </c>
      <c r="I2552" s="48" t="s">
        <v>19</v>
      </c>
      <c r="J2552" s="49">
        <v>1086975.0</v>
      </c>
    </row>
    <row r="2553">
      <c r="A2553" s="45" t="s">
        <v>74</v>
      </c>
      <c r="B2553" s="16" t="s">
        <v>231</v>
      </c>
      <c r="C2553" s="17" t="s">
        <v>232</v>
      </c>
      <c r="D2553" s="15">
        <v>4.0</v>
      </c>
      <c r="E2553" s="17" t="s">
        <v>441</v>
      </c>
      <c r="F2553" s="15" t="s">
        <v>442</v>
      </c>
      <c r="G2553" s="46" t="s">
        <v>454</v>
      </c>
      <c r="H2553" s="47" t="s">
        <v>415</v>
      </c>
      <c r="I2553" s="48" t="s">
        <v>19</v>
      </c>
      <c r="J2553" s="49">
        <v>158639.0</v>
      </c>
    </row>
    <row r="2554">
      <c r="A2554" s="45" t="s">
        <v>74</v>
      </c>
      <c r="B2554" s="16" t="s">
        <v>231</v>
      </c>
      <c r="C2554" s="17" t="s">
        <v>232</v>
      </c>
      <c r="D2554" s="15">
        <v>4.0</v>
      </c>
      <c r="E2554" s="17" t="s">
        <v>441</v>
      </c>
      <c r="F2554" s="15" t="s">
        <v>442</v>
      </c>
      <c r="G2554" s="46" t="s">
        <v>455</v>
      </c>
      <c r="H2554" s="47" t="s">
        <v>415</v>
      </c>
      <c r="I2554" s="48" t="s">
        <v>19</v>
      </c>
      <c r="J2554" s="49">
        <v>88133.0</v>
      </c>
    </row>
    <row r="2555">
      <c r="A2555" s="45" t="s">
        <v>74</v>
      </c>
      <c r="B2555" s="16" t="s">
        <v>231</v>
      </c>
      <c r="C2555" s="17" t="s">
        <v>232</v>
      </c>
      <c r="D2555" s="15">
        <v>4.0</v>
      </c>
      <c r="E2555" s="17" t="s">
        <v>441</v>
      </c>
      <c r="F2555" s="15" t="s">
        <v>442</v>
      </c>
      <c r="G2555" s="46" t="s">
        <v>583</v>
      </c>
      <c r="H2555" s="47" t="s">
        <v>584</v>
      </c>
      <c r="I2555" s="48" t="s">
        <v>25</v>
      </c>
      <c r="J2555" s="49">
        <v>7650000.0</v>
      </c>
    </row>
    <row r="2556">
      <c r="A2556" s="45" t="s">
        <v>74</v>
      </c>
      <c r="B2556" s="16" t="s">
        <v>231</v>
      </c>
      <c r="C2556" s="17" t="s">
        <v>232</v>
      </c>
      <c r="D2556" s="15">
        <v>4.0</v>
      </c>
      <c r="E2556" s="17" t="s">
        <v>456</v>
      </c>
      <c r="F2556" s="15" t="s">
        <v>457</v>
      </c>
      <c r="G2556" s="46" t="s">
        <v>458</v>
      </c>
      <c r="H2556" s="47" t="s">
        <v>411</v>
      </c>
      <c r="I2556" s="48" t="s">
        <v>19</v>
      </c>
      <c r="J2556" s="49">
        <v>5.0648151E7</v>
      </c>
    </row>
    <row r="2557">
      <c r="A2557" s="45" t="s">
        <v>74</v>
      </c>
      <c r="B2557" s="16" t="s">
        <v>231</v>
      </c>
      <c r="C2557" s="17" t="s">
        <v>232</v>
      </c>
      <c r="D2557" s="15">
        <v>4.0</v>
      </c>
      <c r="E2557" s="17" t="s">
        <v>473</v>
      </c>
      <c r="F2557" s="15" t="s">
        <v>474</v>
      </c>
      <c r="G2557" s="46" t="s">
        <v>443</v>
      </c>
      <c r="H2557" s="47" t="s">
        <v>420</v>
      </c>
      <c r="I2557" s="48" t="s">
        <v>19</v>
      </c>
      <c r="J2557" s="49">
        <v>7975000.0</v>
      </c>
    </row>
    <row r="2558">
      <c r="A2558" s="45" t="s">
        <v>74</v>
      </c>
      <c r="B2558" s="16" t="s">
        <v>231</v>
      </c>
      <c r="C2558" s="17" t="s">
        <v>232</v>
      </c>
      <c r="D2558" s="15">
        <v>4.0</v>
      </c>
      <c r="E2558" s="17" t="s">
        <v>473</v>
      </c>
      <c r="F2558" s="15" t="s">
        <v>474</v>
      </c>
      <c r="G2558" s="46" t="s">
        <v>444</v>
      </c>
      <c r="H2558" s="47" t="s">
        <v>445</v>
      </c>
      <c r="I2558" s="48" t="s">
        <v>19</v>
      </c>
      <c r="J2558" s="49">
        <v>121447.0</v>
      </c>
    </row>
    <row r="2559">
      <c r="A2559" s="45" t="s">
        <v>74</v>
      </c>
      <c r="B2559" s="16" t="s">
        <v>231</v>
      </c>
      <c r="C2559" s="17" t="s">
        <v>232</v>
      </c>
      <c r="D2559" s="15">
        <v>4.0</v>
      </c>
      <c r="E2559" s="17" t="s">
        <v>473</v>
      </c>
      <c r="F2559" s="15" t="s">
        <v>474</v>
      </c>
      <c r="G2559" s="46" t="s">
        <v>579</v>
      </c>
      <c r="H2559" s="47" t="s">
        <v>580</v>
      </c>
      <c r="I2559" s="48" t="s">
        <v>19</v>
      </c>
      <c r="J2559" s="49">
        <v>700000.0</v>
      </c>
    </row>
    <row r="2560">
      <c r="A2560" s="45" t="s">
        <v>74</v>
      </c>
      <c r="B2560" s="16" t="s">
        <v>231</v>
      </c>
      <c r="C2560" s="17" t="s">
        <v>232</v>
      </c>
      <c r="D2560" s="15">
        <v>4.0</v>
      </c>
      <c r="E2560" s="17" t="s">
        <v>473</v>
      </c>
      <c r="F2560" s="15" t="s">
        <v>474</v>
      </c>
      <c r="G2560" s="46" t="s">
        <v>523</v>
      </c>
      <c r="H2560" s="47" t="s">
        <v>431</v>
      </c>
      <c r="I2560" s="48" t="s">
        <v>17</v>
      </c>
      <c r="J2560" s="49">
        <v>6.8611554E7</v>
      </c>
    </row>
    <row r="2561">
      <c r="A2561" s="45" t="s">
        <v>74</v>
      </c>
      <c r="B2561" s="16" t="s">
        <v>231</v>
      </c>
      <c r="C2561" s="17" t="s">
        <v>232</v>
      </c>
      <c r="D2561" s="15">
        <v>4.0</v>
      </c>
      <c r="E2561" s="17" t="s">
        <v>473</v>
      </c>
      <c r="F2561" s="15" t="s">
        <v>474</v>
      </c>
      <c r="G2561" s="46" t="s">
        <v>523</v>
      </c>
      <c r="H2561" s="47" t="s">
        <v>431</v>
      </c>
      <c r="I2561" s="48" t="s">
        <v>37</v>
      </c>
      <c r="J2561" s="49">
        <v>5000000.0</v>
      </c>
    </row>
    <row r="2562">
      <c r="A2562" s="45" t="s">
        <v>74</v>
      </c>
      <c r="B2562" s="16" t="s">
        <v>231</v>
      </c>
      <c r="C2562" s="17" t="s">
        <v>232</v>
      </c>
      <c r="D2562" s="15">
        <v>4.0</v>
      </c>
      <c r="E2562" s="17" t="s">
        <v>473</v>
      </c>
      <c r="F2562" s="15" t="s">
        <v>474</v>
      </c>
      <c r="G2562" s="46" t="s">
        <v>523</v>
      </c>
      <c r="H2562" s="47" t="s">
        <v>431</v>
      </c>
      <c r="I2562" s="48" t="s">
        <v>25</v>
      </c>
      <c r="J2562" s="49">
        <v>1140000.0</v>
      </c>
    </row>
    <row r="2563">
      <c r="A2563" s="45" t="s">
        <v>74</v>
      </c>
      <c r="B2563" s="16" t="s">
        <v>231</v>
      </c>
      <c r="C2563" s="17" t="s">
        <v>232</v>
      </c>
      <c r="D2563" s="15">
        <v>4.0</v>
      </c>
      <c r="E2563" s="17" t="s">
        <v>491</v>
      </c>
      <c r="F2563" s="15" t="s">
        <v>492</v>
      </c>
      <c r="G2563" s="46" t="s">
        <v>493</v>
      </c>
      <c r="H2563" s="47" t="s">
        <v>437</v>
      </c>
      <c r="I2563" s="48" t="s">
        <v>25</v>
      </c>
      <c r="J2563" s="49">
        <v>3018000.0</v>
      </c>
    </row>
    <row r="2564">
      <c r="A2564" s="45" t="s">
        <v>74</v>
      </c>
      <c r="B2564" s="16" t="s">
        <v>231</v>
      </c>
      <c r="C2564" s="17" t="s">
        <v>232</v>
      </c>
      <c r="D2564" s="15">
        <v>4.0</v>
      </c>
      <c r="E2564" s="17" t="s">
        <v>475</v>
      </c>
      <c r="F2564" s="15" t="s">
        <v>476</v>
      </c>
      <c r="G2564" s="46" t="s">
        <v>498</v>
      </c>
      <c r="H2564" s="47" t="s">
        <v>434</v>
      </c>
      <c r="I2564" s="48" t="s">
        <v>25</v>
      </c>
      <c r="J2564" s="49">
        <v>1.19827E7</v>
      </c>
    </row>
    <row r="2565">
      <c r="A2565" s="45" t="s">
        <v>74</v>
      </c>
      <c r="B2565" s="16" t="s">
        <v>231</v>
      </c>
      <c r="C2565" s="17" t="s">
        <v>232</v>
      </c>
      <c r="D2565" s="15">
        <v>4.0</v>
      </c>
      <c r="E2565" s="17" t="s">
        <v>475</v>
      </c>
      <c r="F2565" s="15" t="s">
        <v>476</v>
      </c>
      <c r="G2565" s="46" t="s">
        <v>477</v>
      </c>
      <c r="H2565" s="47" t="s">
        <v>429</v>
      </c>
      <c r="I2565" s="48" t="s">
        <v>50</v>
      </c>
      <c r="J2565" s="49">
        <v>4.1027843E7</v>
      </c>
    </row>
    <row r="2566">
      <c r="A2566" s="45" t="s">
        <v>74</v>
      </c>
      <c r="B2566" s="16" t="s">
        <v>231</v>
      </c>
      <c r="C2566" s="17" t="s">
        <v>232</v>
      </c>
      <c r="D2566" s="15">
        <v>4.0</v>
      </c>
      <c r="E2566" s="17" t="s">
        <v>524</v>
      </c>
      <c r="F2566" s="15" t="s">
        <v>479</v>
      </c>
      <c r="G2566" s="46" t="s">
        <v>443</v>
      </c>
      <c r="H2566" s="47" t="s">
        <v>420</v>
      </c>
      <c r="I2566" s="48" t="s">
        <v>19</v>
      </c>
      <c r="J2566" s="49">
        <v>6.0862679E7</v>
      </c>
    </row>
    <row r="2567">
      <c r="A2567" s="45" t="s">
        <v>74</v>
      </c>
      <c r="B2567" s="16" t="s">
        <v>231</v>
      </c>
      <c r="C2567" s="17" t="s">
        <v>232</v>
      </c>
      <c r="D2567" s="15">
        <v>4.0</v>
      </c>
      <c r="E2567" s="17" t="s">
        <v>524</v>
      </c>
      <c r="F2567" s="15" t="s">
        <v>479</v>
      </c>
      <c r="G2567" s="46" t="s">
        <v>444</v>
      </c>
      <c r="H2567" s="47" t="s">
        <v>445</v>
      </c>
      <c r="I2567" s="48" t="s">
        <v>19</v>
      </c>
      <c r="J2567" s="49">
        <v>5511665.0</v>
      </c>
    </row>
    <row r="2568">
      <c r="A2568" s="45" t="s">
        <v>74</v>
      </c>
      <c r="B2568" s="16" t="s">
        <v>231</v>
      </c>
      <c r="C2568" s="17" t="s">
        <v>232</v>
      </c>
      <c r="D2568" s="15">
        <v>4.0</v>
      </c>
      <c r="E2568" s="17" t="s">
        <v>524</v>
      </c>
      <c r="F2568" s="15" t="s">
        <v>479</v>
      </c>
      <c r="G2568" s="46" t="s">
        <v>579</v>
      </c>
      <c r="H2568" s="47" t="s">
        <v>580</v>
      </c>
      <c r="I2568" s="48" t="s">
        <v>19</v>
      </c>
      <c r="J2568" s="49">
        <v>6743576.0</v>
      </c>
    </row>
    <row r="2569">
      <c r="A2569" s="45" t="s">
        <v>74</v>
      </c>
      <c r="B2569" s="16" t="s">
        <v>231</v>
      </c>
      <c r="C2569" s="17" t="s">
        <v>232</v>
      </c>
      <c r="D2569" s="15">
        <v>4.0</v>
      </c>
      <c r="E2569" s="17" t="s">
        <v>524</v>
      </c>
      <c r="F2569" s="15" t="s">
        <v>479</v>
      </c>
      <c r="G2569" s="46" t="s">
        <v>446</v>
      </c>
      <c r="H2569" s="47" t="s">
        <v>447</v>
      </c>
      <c r="I2569" s="48" t="s">
        <v>19</v>
      </c>
      <c r="J2569" s="49">
        <v>662081.0</v>
      </c>
    </row>
    <row r="2570">
      <c r="A2570" s="45" t="s">
        <v>74</v>
      </c>
      <c r="B2570" s="16" t="s">
        <v>231</v>
      </c>
      <c r="C2570" s="17" t="s">
        <v>232</v>
      </c>
      <c r="D2570" s="15">
        <v>4.0</v>
      </c>
      <c r="E2570" s="17" t="s">
        <v>524</v>
      </c>
      <c r="F2570" s="15" t="s">
        <v>479</v>
      </c>
      <c r="G2570" s="46" t="s">
        <v>448</v>
      </c>
      <c r="H2570" s="47" t="s">
        <v>449</v>
      </c>
      <c r="I2570" s="48" t="s">
        <v>19</v>
      </c>
      <c r="J2570" s="49">
        <v>1615358.0</v>
      </c>
    </row>
    <row r="2571">
      <c r="A2571" s="45" t="s">
        <v>74</v>
      </c>
      <c r="B2571" s="16" t="s">
        <v>231</v>
      </c>
      <c r="C2571" s="17" t="s">
        <v>232</v>
      </c>
      <c r="D2571" s="15">
        <v>4.0</v>
      </c>
      <c r="E2571" s="17" t="s">
        <v>524</v>
      </c>
      <c r="F2571" s="15" t="s">
        <v>479</v>
      </c>
      <c r="G2571" s="46" t="s">
        <v>452</v>
      </c>
      <c r="H2571" s="47" t="s">
        <v>453</v>
      </c>
      <c r="I2571" s="48" t="s">
        <v>19</v>
      </c>
      <c r="J2571" s="49">
        <v>1224849.0</v>
      </c>
    </row>
    <row r="2572">
      <c r="A2572" s="45" t="s">
        <v>74</v>
      </c>
      <c r="B2572" s="16" t="s">
        <v>231</v>
      </c>
      <c r="C2572" s="17" t="s">
        <v>232</v>
      </c>
      <c r="D2572" s="15">
        <v>4.0</v>
      </c>
      <c r="E2572" s="17" t="s">
        <v>524</v>
      </c>
      <c r="F2572" s="15" t="s">
        <v>479</v>
      </c>
      <c r="G2572" s="46" t="s">
        <v>454</v>
      </c>
      <c r="H2572" s="47" t="s">
        <v>415</v>
      </c>
      <c r="I2572" s="48" t="s">
        <v>19</v>
      </c>
      <c r="J2572" s="49">
        <v>178763.0</v>
      </c>
    </row>
    <row r="2573">
      <c r="A2573" s="45" t="s">
        <v>74</v>
      </c>
      <c r="B2573" s="16" t="s">
        <v>231</v>
      </c>
      <c r="C2573" s="17" t="s">
        <v>232</v>
      </c>
      <c r="D2573" s="15">
        <v>4.0</v>
      </c>
      <c r="E2573" s="17" t="s">
        <v>524</v>
      </c>
      <c r="F2573" s="15" t="s">
        <v>479</v>
      </c>
      <c r="G2573" s="46" t="s">
        <v>455</v>
      </c>
      <c r="H2573" s="47" t="s">
        <v>415</v>
      </c>
      <c r="I2573" s="48" t="s">
        <v>19</v>
      </c>
      <c r="J2573" s="49">
        <v>99311.0</v>
      </c>
    </row>
    <row r="2574">
      <c r="A2574" s="45" t="s">
        <v>74</v>
      </c>
      <c r="B2574" s="16" t="s">
        <v>231</v>
      </c>
      <c r="C2574" s="17" t="s">
        <v>232</v>
      </c>
      <c r="D2574" s="15">
        <v>4.0</v>
      </c>
      <c r="E2574" s="17" t="s">
        <v>524</v>
      </c>
      <c r="F2574" s="15" t="s">
        <v>479</v>
      </c>
      <c r="G2574" s="46" t="s">
        <v>565</v>
      </c>
      <c r="H2574" s="47" t="s">
        <v>566</v>
      </c>
      <c r="I2574" s="48" t="s">
        <v>25</v>
      </c>
      <c r="J2574" s="49">
        <v>1.15E7</v>
      </c>
    </row>
    <row r="2575">
      <c r="A2575" s="45" t="s">
        <v>74</v>
      </c>
      <c r="B2575" s="16" t="s">
        <v>231</v>
      </c>
      <c r="C2575" s="17" t="s">
        <v>232</v>
      </c>
      <c r="D2575" s="15">
        <v>4.0</v>
      </c>
      <c r="E2575" s="17" t="s">
        <v>524</v>
      </c>
      <c r="F2575" s="15" t="s">
        <v>479</v>
      </c>
      <c r="G2575" s="46" t="s">
        <v>583</v>
      </c>
      <c r="H2575" s="47" t="s">
        <v>584</v>
      </c>
      <c r="I2575" s="48" t="s">
        <v>25</v>
      </c>
      <c r="J2575" s="49">
        <v>1.275E7</v>
      </c>
    </row>
    <row r="2576">
      <c r="A2576" s="45" t="s">
        <v>74</v>
      </c>
      <c r="B2576" s="16" t="s">
        <v>231</v>
      </c>
      <c r="C2576" s="17" t="s">
        <v>232</v>
      </c>
      <c r="D2576" s="15">
        <v>4.0</v>
      </c>
      <c r="E2576" s="17" t="s">
        <v>525</v>
      </c>
      <c r="F2576" s="15" t="s">
        <v>502</v>
      </c>
      <c r="G2576" s="46" t="s">
        <v>526</v>
      </c>
      <c r="H2576" s="47" t="s">
        <v>527</v>
      </c>
      <c r="I2576" s="48" t="s">
        <v>60</v>
      </c>
      <c r="J2576" s="49">
        <v>1.60641669E8</v>
      </c>
    </row>
    <row r="2577">
      <c r="A2577" s="45" t="s">
        <v>74</v>
      </c>
      <c r="B2577" s="16" t="s">
        <v>231</v>
      </c>
      <c r="C2577" s="17" t="s">
        <v>232</v>
      </c>
      <c r="D2577" s="15">
        <v>4.0</v>
      </c>
      <c r="E2577" s="17" t="s">
        <v>525</v>
      </c>
      <c r="F2577" s="15" t="s">
        <v>502</v>
      </c>
      <c r="G2577" s="46" t="s">
        <v>539</v>
      </c>
      <c r="H2577" s="47" t="s">
        <v>540</v>
      </c>
      <c r="I2577" s="48" t="s">
        <v>60</v>
      </c>
      <c r="J2577" s="49">
        <v>711796.0</v>
      </c>
    </row>
    <row r="2578">
      <c r="A2578" s="45" t="s">
        <v>74</v>
      </c>
      <c r="B2578" s="16" t="s">
        <v>231</v>
      </c>
      <c r="C2578" s="17" t="s">
        <v>232</v>
      </c>
      <c r="D2578" s="15">
        <v>4.0</v>
      </c>
      <c r="E2578" s="17" t="s">
        <v>525</v>
      </c>
      <c r="F2578" s="15" t="s">
        <v>502</v>
      </c>
      <c r="G2578" s="46" t="s">
        <v>505</v>
      </c>
      <c r="H2578" s="47" t="s">
        <v>506</v>
      </c>
      <c r="I2578" s="48" t="s">
        <v>60</v>
      </c>
      <c r="J2578" s="49">
        <v>3340880.0</v>
      </c>
    </row>
    <row r="2579">
      <c r="A2579" s="45" t="s">
        <v>74</v>
      </c>
      <c r="B2579" s="16" t="s">
        <v>231</v>
      </c>
      <c r="C2579" s="17" t="s">
        <v>232</v>
      </c>
      <c r="D2579" s="15">
        <v>4.0</v>
      </c>
      <c r="E2579" s="17" t="s">
        <v>525</v>
      </c>
      <c r="F2579" s="15" t="s">
        <v>502</v>
      </c>
      <c r="G2579" s="46" t="s">
        <v>507</v>
      </c>
      <c r="H2579" s="47" t="s">
        <v>508</v>
      </c>
      <c r="I2579" s="48" t="s">
        <v>60</v>
      </c>
      <c r="J2579" s="49">
        <v>1088874.0</v>
      </c>
    </row>
    <row r="2580">
      <c r="A2580" s="45" t="s">
        <v>74</v>
      </c>
      <c r="B2580" s="16" t="s">
        <v>231</v>
      </c>
      <c r="C2580" s="17" t="s">
        <v>232</v>
      </c>
      <c r="D2580" s="15">
        <v>4.0</v>
      </c>
      <c r="E2580" s="17" t="s">
        <v>525</v>
      </c>
      <c r="F2580" s="15" t="s">
        <v>502</v>
      </c>
      <c r="G2580" s="46" t="s">
        <v>509</v>
      </c>
      <c r="H2580" s="47" t="s">
        <v>510</v>
      </c>
      <c r="I2580" s="48" t="s">
        <v>60</v>
      </c>
      <c r="J2580" s="49">
        <v>133333.0</v>
      </c>
    </row>
    <row r="2581">
      <c r="A2581" s="45" t="s">
        <v>74</v>
      </c>
      <c r="B2581" s="16" t="s">
        <v>231</v>
      </c>
      <c r="C2581" s="17" t="s">
        <v>232</v>
      </c>
      <c r="D2581" s="15">
        <v>4.0</v>
      </c>
      <c r="E2581" s="17" t="s">
        <v>525</v>
      </c>
      <c r="F2581" s="15" t="s">
        <v>502</v>
      </c>
      <c r="G2581" s="46" t="s">
        <v>511</v>
      </c>
      <c r="H2581" s="47" t="s">
        <v>512</v>
      </c>
      <c r="I2581" s="48" t="s">
        <v>60</v>
      </c>
      <c r="J2581" s="49">
        <v>2988806.0</v>
      </c>
    </row>
    <row r="2582">
      <c r="A2582" s="45" t="s">
        <v>74</v>
      </c>
      <c r="B2582" s="16" t="s">
        <v>231</v>
      </c>
      <c r="C2582" s="17" t="s">
        <v>232</v>
      </c>
      <c r="D2582" s="15">
        <v>4.0</v>
      </c>
      <c r="E2582" s="17" t="s">
        <v>525</v>
      </c>
      <c r="F2582" s="15" t="s">
        <v>502</v>
      </c>
      <c r="G2582" s="46" t="s">
        <v>513</v>
      </c>
      <c r="H2582" s="47" t="s">
        <v>514</v>
      </c>
      <c r="I2582" s="48" t="s">
        <v>60</v>
      </c>
      <c r="J2582" s="49">
        <v>1640105.0</v>
      </c>
    </row>
    <row r="2583">
      <c r="A2583" s="45" t="s">
        <v>74</v>
      </c>
      <c r="B2583" s="16" t="s">
        <v>231</v>
      </c>
      <c r="C2583" s="17" t="s">
        <v>232</v>
      </c>
      <c r="D2583" s="15">
        <v>4.0</v>
      </c>
      <c r="E2583" s="17" t="s">
        <v>548</v>
      </c>
      <c r="F2583" s="15" t="s">
        <v>549</v>
      </c>
      <c r="G2583" s="46" t="s">
        <v>550</v>
      </c>
      <c r="H2583" s="47" t="s">
        <v>551</v>
      </c>
      <c r="I2583" s="48" t="s">
        <v>25</v>
      </c>
      <c r="J2583" s="49">
        <v>3.5337E7</v>
      </c>
    </row>
    <row r="2584">
      <c r="A2584" s="45" t="s">
        <v>74</v>
      </c>
      <c r="B2584" s="16" t="s">
        <v>231</v>
      </c>
      <c r="C2584" s="17" t="s">
        <v>232</v>
      </c>
      <c r="D2584" s="15">
        <v>4.0</v>
      </c>
      <c r="E2584" s="17" t="s">
        <v>571</v>
      </c>
      <c r="F2584" s="15" t="s">
        <v>572</v>
      </c>
      <c r="G2584" s="46" t="s">
        <v>573</v>
      </c>
      <c r="H2584" s="47" t="s">
        <v>574</v>
      </c>
      <c r="I2584" s="48" t="s">
        <v>25</v>
      </c>
      <c r="J2584" s="49">
        <v>280000.0</v>
      </c>
    </row>
    <row r="2585">
      <c r="A2585" s="45" t="s">
        <v>74</v>
      </c>
      <c r="B2585" s="16" t="s">
        <v>233</v>
      </c>
      <c r="C2585" s="17" t="s">
        <v>234</v>
      </c>
      <c r="D2585" s="15">
        <v>4.0</v>
      </c>
      <c r="E2585" s="17" t="s">
        <v>441</v>
      </c>
      <c r="F2585" s="15" t="s">
        <v>442</v>
      </c>
      <c r="G2585" s="46" t="s">
        <v>443</v>
      </c>
      <c r="H2585" s="47" t="s">
        <v>420</v>
      </c>
      <c r="I2585" s="48" t="s">
        <v>19</v>
      </c>
      <c r="J2585" s="49">
        <v>4.7076032E7</v>
      </c>
    </row>
    <row r="2586">
      <c r="A2586" s="45" t="s">
        <v>74</v>
      </c>
      <c r="B2586" s="16" t="s">
        <v>233</v>
      </c>
      <c r="C2586" s="17" t="s">
        <v>234</v>
      </c>
      <c r="D2586" s="15">
        <v>4.0</v>
      </c>
      <c r="E2586" s="17" t="s">
        <v>441</v>
      </c>
      <c r="F2586" s="15" t="s">
        <v>442</v>
      </c>
      <c r="G2586" s="46" t="s">
        <v>444</v>
      </c>
      <c r="H2586" s="47" t="s">
        <v>445</v>
      </c>
      <c r="I2586" s="48" t="s">
        <v>19</v>
      </c>
      <c r="J2586" s="49">
        <v>5754257.0</v>
      </c>
    </row>
    <row r="2587">
      <c r="A2587" s="45" t="s">
        <v>74</v>
      </c>
      <c r="B2587" s="16" t="s">
        <v>233</v>
      </c>
      <c r="C2587" s="17" t="s">
        <v>234</v>
      </c>
      <c r="D2587" s="15">
        <v>4.0</v>
      </c>
      <c r="E2587" s="17" t="s">
        <v>441</v>
      </c>
      <c r="F2587" s="15" t="s">
        <v>442</v>
      </c>
      <c r="G2587" s="46" t="s">
        <v>579</v>
      </c>
      <c r="H2587" s="47" t="s">
        <v>580</v>
      </c>
      <c r="I2587" s="48" t="s">
        <v>19</v>
      </c>
      <c r="J2587" s="49">
        <v>5013282.0</v>
      </c>
    </row>
    <row r="2588">
      <c r="A2588" s="45" t="s">
        <v>74</v>
      </c>
      <c r="B2588" s="16" t="s">
        <v>233</v>
      </c>
      <c r="C2588" s="17" t="s">
        <v>234</v>
      </c>
      <c r="D2588" s="15">
        <v>4.0</v>
      </c>
      <c r="E2588" s="17" t="s">
        <v>441</v>
      </c>
      <c r="F2588" s="15" t="s">
        <v>442</v>
      </c>
      <c r="G2588" s="46" t="s">
        <v>446</v>
      </c>
      <c r="H2588" s="47" t="s">
        <v>447</v>
      </c>
      <c r="I2588" s="48" t="s">
        <v>19</v>
      </c>
      <c r="J2588" s="49">
        <v>484647.0</v>
      </c>
    </row>
    <row r="2589">
      <c r="A2589" s="45" t="s">
        <v>74</v>
      </c>
      <c r="B2589" s="16" t="s">
        <v>233</v>
      </c>
      <c r="C2589" s="17" t="s">
        <v>234</v>
      </c>
      <c r="D2589" s="15">
        <v>4.0</v>
      </c>
      <c r="E2589" s="17" t="s">
        <v>441</v>
      </c>
      <c r="F2589" s="15" t="s">
        <v>442</v>
      </c>
      <c r="G2589" s="46" t="s">
        <v>448</v>
      </c>
      <c r="H2589" s="47" t="s">
        <v>449</v>
      </c>
      <c r="I2589" s="48" t="s">
        <v>19</v>
      </c>
      <c r="J2589" s="49">
        <v>1153006.0</v>
      </c>
    </row>
    <row r="2590">
      <c r="A2590" s="45" t="s">
        <v>74</v>
      </c>
      <c r="B2590" s="16" t="s">
        <v>233</v>
      </c>
      <c r="C2590" s="17" t="s">
        <v>234</v>
      </c>
      <c r="D2590" s="15">
        <v>4.0</v>
      </c>
      <c r="E2590" s="17" t="s">
        <v>441</v>
      </c>
      <c r="F2590" s="15" t="s">
        <v>442</v>
      </c>
      <c r="G2590" s="46" t="s">
        <v>450</v>
      </c>
      <c r="H2590" s="47" t="s">
        <v>451</v>
      </c>
      <c r="I2590" s="48" t="s">
        <v>19</v>
      </c>
      <c r="J2590" s="49">
        <v>0.0</v>
      </c>
    </row>
    <row r="2591">
      <c r="A2591" s="45" t="s">
        <v>74</v>
      </c>
      <c r="B2591" s="16" t="s">
        <v>233</v>
      </c>
      <c r="C2591" s="17" t="s">
        <v>234</v>
      </c>
      <c r="D2591" s="15">
        <v>4.0</v>
      </c>
      <c r="E2591" s="17" t="s">
        <v>441</v>
      </c>
      <c r="F2591" s="15" t="s">
        <v>442</v>
      </c>
      <c r="G2591" s="46" t="s">
        <v>452</v>
      </c>
      <c r="H2591" s="47" t="s">
        <v>453</v>
      </c>
      <c r="I2591" s="48" t="s">
        <v>19</v>
      </c>
      <c r="J2591" s="49">
        <v>896597.0</v>
      </c>
    </row>
    <row r="2592">
      <c r="A2592" s="45" t="s">
        <v>74</v>
      </c>
      <c r="B2592" s="16" t="s">
        <v>233</v>
      </c>
      <c r="C2592" s="17" t="s">
        <v>234</v>
      </c>
      <c r="D2592" s="15">
        <v>4.0</v>
      </c>
      <c r="E2592" s="17" t="s">
        <v>441</v>
      </c>
      <c r="F2592" s="15" t="s">
        <v>442</v>
      </c>
      <c r="G2592" s="46" t="s">
        <v>454</v>
      </c>
      <c r="H2592" s="47" t="s">
        <v>415</v>
      </c>
      <c r="I2592" s="48" t="s">
        <v>19</v>
      </c>
      <c r="J2592" s="49">
        <v>130855.0</v>
      </c>
    </row>
    <row r="2593">
      <c r="A2593" s="45" t="s">
        <v>74</v>
      </c>
      <c r="B2593" s="16" t="s">
        <v>233</v>
      </c>
      <c r="C2593" s="17" t="s">
        <v>234</v>
      </c>
      <c r="D2593" s="15">
        <v>4.0</v>
      </c>
      <c r="E2593" s="17" t="s">
        <v>441</v>
      </c>
      <c r="F2593" s="15" t="s">
        <v>442</v>
      </c>
      <c r="G2593" s="46" t="s">
        <v>455</v>
      </c>
      <c r="H2593" s="47" t="s">
        <v>415</v>
      </c>
      <c r="I2593" s="48" t="s">
        <v>19</v>
      </c>
      <c r="J2593" s="49">
        <v>72696.0</v>
      </c>
    </row>
    <row r="2594">
      <c r="A2594" s="45" t="s">
        <v>74</v>
      </c>
      <c r="B2594" s="16" t="s">
        <v>233</v>
      </c>
      <c r="C2594" s="17" t="s">
        <v>234</v>
      </c>
      <c r="D2594" s="15">
        <v>4.0</v>
      </c>
      <c r="E2594" s="17" t="s">
        <v>441</v>
      </c>
      <c r="F2594" s="15" t="s">
        <v>442</v>
      </c>
      <c r="G2594" s="46" t="s">
        <v>565</v>
      </c>
      <c r="H2594" s="47" t="s">
        <v>566</v>
      </c>
      <c r="I2594" s="48" t="s">
        <v>25</v>
      </c>
      <c r="J2594" s="49">
        <v>1.0925E7</v>
      </c>
    </row>
    <row r="2595">
      <c r="A2595" s="45" t="s">
        <v>74</v>
      </c>
      <c r="B2595" s="16" t="s">
        <v>233</v>
      </c>
      <c r="C2595" s="17" t="s">
        <v>234</v>
      </c>
      <c r="D2595" s="15">
        <v>4.0</v>
      </c>
      <c r="E2595" s="17" t="s">
        <v>441</v>
      </c>
      <c r="F2595" s="15" t="s">
        <v>442</v>
      </c>
      <c r="G2595" s="46" t="s">
        <v>583</v>
      </c>
      <c r="H2595" s="47" t="s">
        <v>584</v>
      </c>
      <c r="I2595" s="48" t="s">
        <v>25</v>
      </c>
      <c r="J2595" s="49">
        <v>7650000.0</v>
      </c>
    </row>
    <row r="2596">
      <c r="A2596" s="45" t="s">
        <v>74</v>
      </c>
      <c r="B2596" s="16" t="s">
        <v>233</v>
      </c>
      <c r="C2596" s="17" t="s">
        <v>234</v>
      </c>
      <c r="D2596" s="15">
        <v>4.0</v>
      </c>
      <c r="E2596" s="17" t="s">
        <v>456</v>
      </c>
      <c r="F2596" s="15" t="s">
        <v>457</v>
      </c>
      <c r="G2596" s="46" t="s">
        <v>515</v>
      </c>
      <c r="H2596" s="47" t="s">
        <v>413</v>
      </c>
      <c r="I2596" s="48" t="s">
        <v>19</v>
      </c>
      <c r="J2596" s="49">
        <v>2961723.0</v>
      </c>
    </row>
    <row r="2597">
      <c r="A2597" s="45" t="s">
        <v>74</v>
      </c>
      <c r="B2597" s="16" t="s">
        <v>233</v>
      </c>
      <c r="C2597" s="17" t="s">
        <v>234</v>
      </c>
      <c r="D2597" s="15">
        <v>4.0</v>
      </c>
      <c r="E2597" s="17" t="s">
        <v>456</v>
      </c>
      <c r="F2597" s="15" t="s">
        <v>457</v>
      </c>
      <c r="G2597" s="46" t="s">
        <v>565</v>
      </c>
      <c r="H2597" s="47" t="s">
        <v>566</v>
      </c>
      <c r="I2597" s="48" t="s">
        <v>25</v>
      </c>
      <c r="J2597" s="49">
        <v>2937500.0</v>
      </c>
    </row>
    <row r="2598">
      <c r="A2598" s="45" t="s">
        <v>74</v>
      </c>
      <c r="B2598" s="16" t="s">
        <v>233</v>
      </c>
      <c r="C2598" s="17" t="s">
        <v>234</v>
      </c>
      <c r="D2598" s="15">
        <v>4.0</v>
      </c>
      <c r="E2598" s="17" t="s">
        <v>456</v>
      </c>
      <c r="F2598" s="15" t="s">
        <v>457</v>
      </c>
      <c r="G2598" s="46" t="s">
        <v>458</v>
      </c>
      <c r="H2598" s="47" t="s">
        <v>411</v>
      </c>
      <c r="I2598" s="48" t="s">
        <v>19</v>
      </c>
      <c r="J2598" s="49">
        <v>1.7225052E8</v>
      </c>
    </row>
    <row r="2599">
      <c r="A2599" s="45" t="s">
        <v>74</v>
      </c>
      <c r="B2599" s="16" t="s">
        <v>233</v>
      </c>
      <c r="C2599" s="17" t="s">
        <v>234</v>
      </c>
      <c r="D2599" s="15">
        <v>4.0</v>
      </c>
      <c r="E2599" s="17" t="s">
        <v>459</v>
      </c>
      <c r="F2599" s="15" t="s">
        <v>460</v>
      </c>
      <c r="G2599" s="46" t="s">
        <v>458</v>
      </c>
      <c r="H2599" s="47" t="s">
        <v>411</v>
      </c>
      <c r="I2599" s="48" t="s">
        <v>19</v>
      </c>
      <c r="J2599" s="49">
        <v>6381870.0</v>
      </c>
    </row>
    <row r="2600">
      <c r="A2600" s="45" t="s">
        <v>74</v>
      </c>
      <c r="B2600" s="16" t="s">
        <v>233</v>
      </c>
      <c r="C2600" s="17" t="s">
        <v>234</v>
      </c>
      <c r="D2600" s="15">
        <v>4.0</v>
      </c>
      <c r="E2600" s="17" t="s">
        <v>463</v>
      </c>
      <c r="F2600" s="15" t="s">
        <v>464</v>
      </c>
      <c r="G2600" s="46" t="s">
        <v>461</v>
      </c>
      <c r="H2600" s="47" t="s">
        <v>462</v>
      </c>
      <c r="I2600" s="48" t="s">
        <v>37</v>
      </c>
      <c r="J2600" s="49">
        <v>1447190.0</v>
      </c>
    </row>
    <row r="2601">
      <c r="A2601" s="45" t="s">
        <v>74</v>
      </c>
      <c r="B2601" s="16" t="s">
        <v>233</v>
      </c>
      <c r="C2601" s="17" t="s">
        <v>234</v>
      </c>
      <c r="D2601" s="15">
        <v>4.0</v>
      </c>
      <c r="E2601" s="17" t="s">
        <v>487</v>
      </c>
      <c r="F2601" s="15" t="s">
        <v>488</v>
      </c>
      <c r="G2601" s="46" t="s">
        <v>489</v>
      </c>
      <c r="H2601" s="47" t="s">
        <v>490</v>
      </c>
      <c r="I2601" s="48" t="s">
        <v>17</v>
      </c>
      <c r="J2601" s="49">
        <v>4000000.0</v>
      </c>
    </row>
    <row r="2602">
      <c r="A2602" s="45" t="s">
        <v>74</v>
      </c>
      <c r="B2602" s="16" t="s">
        <v>233</v>
      </c>
      <c r="C2602" s="17" t="s">
        <v>234</v>
      </c>
      <c r="D2602" s="15">
        <v>4.0</v>
      </c>
      <c r="E2602" s="17" t="s">
        <v>487</v>
      </c>
      <c r="F2602" s="15" t="s">
        <v>488</v>
      </c>
      <c r="G2602" s="46" t="s">
        <v>489</v>
      </c>
      <c r="H2602" s="47" t="s">
        <v>490</v>
      </c>
      <c r="I2602" s="48" t="s">
        <v>37</v>
      </c>
      <c r="J2602" s="49">
        <v>2.199602E7</v>
      </c>
    </row>
    <row r="2603">
      <c r="A2603" s="45" t="s">
        <v>74</v>
      </c>
      <c r="B2603" s="16" t="s">
        <v>233</v>
      </c>
      <c r="C2603" s="17" t="s">
        <v>234</v>
      </c>
      <c r="D2603" s="15">
        <v>4.0</v>
      </c>
      <c r="E2603" s="17" t="s">
        <v>487</v>
      </c>
      <c r="F2603" s="15" t="s">
        <v>488</v>
      </c>
      <c r="G2603" s="46" t="s">
        <v>489</v>
      </c>
      <c r="H2603" s="47" t="s">
        <v>490</v>
      </c>
      <c r="I2603" s="48" t="s">
        <v>25</v>
      </c>
      <c r="J2603" s="49">
        <v>5245000.0</v>
      </c>
    </row>
    <row r="2604">
      <c r="A2604" s="45" t="s">
        <v>74</v>
      </c>
      <c r="B2604" s="16" t="s">
        <v>233</v>
      </c>
      <c r="C2604" s="17" t="s">
        <v>234</v>
      </c>
      <c r="D2604" s="15">
        <v>4.0</v>
      </c>
      <c r="E2604" s="17" t="s">
        <v>469</v>
      </c>
      <c r="F2604" s="15" t="s">
        <v>470</v>
      </c>
      <c r="G2604" s="46" t="s">
        <v>471</v>
      </c>
      <c r="H2604" s="47" t="s">
        <v>472</v>
      </c>
      <c r="I2604" s="48" t="s">
        <v>25</v>
      </c>
      <c r="J2604" s="49">
        <v>1065600.0</v>
      </c>
    </row>
    <row r="2605">
      <c r="A2605" s="45" t="s">
        <v>74</v>
      </c>
      <c r="B2605" s="16" t="s">
        <v>233</v>
      </c>
      <c r="C2605" s="17" t="s">
        <v>234</v>
      </c>
      <c r="D2605" s="15">
        <v>4.0</v>
      </c>
      <c r="E2605" s="17" t="s">
        <v>473</v>
      </c>
      <c r="F2605" s="15" t="s">
        <v>474</v>
      </c>
      <c r="G2605" s="46" t="s">
        <v>523</v>
      </c>
      <c r="H2605" s="47" t="s">
        <v>431</v>
      </c>
      <c r="I2605" s="48" t="s">
        <v>17</v>
      </c>
      <c r="J2605" s="49">
        <v>4.91191451E8</v>
      </c>
    </row>
    <row r="2606">
      <c r="A2606" s="45" t="s">
        <v>74</v>
      </c>
      <c r="B2606" s="16" t="s">
        <v>233</v>
      </c>
      <c r="C2606" s="17" t="s">
        <v>234</v>
      </c>
      <c r="D2606" s="15">
        <v>4.0</v>
      </c>
      <c r="E2606" s="17" t="s">
        <v>473</v>
      </c>
      <c r="F2606" s="15" t="s">
        <v>474</v>
      </c>
      <c r="G2606" s="46" t="s">
        <v>523</v>
      </c>
      <c r="H2606" s="47" t="s">
        <v>431</v>
      </c>
      <c r="I2606" s="48" t="s">
        <v>25</v>
      </c>
      <c r="J2606" s="49">
        <v>-2.45318118E8</v>
      </c>
    </row>
    <row r="2607">
      <c r="A2607" s="45" t="s">
        <v>74</v>
      </c>
      <c r="B2607" s="16" t="s">
        <v>233</v>
      </c>
      <c r="C2607" s="17" t="s">
        <v>234</v>
      </c>
      <c r="D2607" s="15">
        <v>4.0</v>
      </c>
      <c r="E2607" s="17" t="s">
        <v>473</v>
      </c>
      <c r="F2607" s="15" t="s">
        <v>474</v>
      </c>
      <c r="G2607" s="46" t="s">
        <v>458</v>
      </c>
      <c r="H2607" s="47" t="s">
        <v>411</v>
      </c>
      <c r="I2607" s="48" t="s">
        <v>19</v>
      </c>
      <c r="J2607" s="49">
        <v>3.975012E7</v>
      </c>
    </row>
    <row r="2608">
      <c r="A2608" s="45" t="s">
        <v>74</v>
      </c>
      <c r="B2608" s="16" t="s">
        <v>233</v>
      </c>
      <c r="C2608" s="17" t="s">
        <v>234</v>
      </c>
      <c r="D2608" s="15">
        <v>4.0</v>
      </c>
      <c r="E2608" s="17" t="s">
        <v>491</v>
      </c>
      <c r="F2608" s="15" t="s">
        <v>492</v>
      </c>
      <c r="G2608" s="46" t="s">
        <v>493</v>
      </c>
      <c r="H2608" s="47" t="s">
        <v>437</v>
      </c>
      <c r="I2608" s="48" t="s">
        <v>25</v>
      </c>
      <c r="J2608" s="49">
        <v>6353121.0</v>
      </c>
    </row>
    <row r="2609">
      <c r="A2609" s="45" t="s">
        <v>74</v>
      </c>
      <c r="B2609" s="16" t="s">
        <v>233</v>
      </c>
      <c r="C2609" s="17" t="s">
        <v>234</v>
      </c>
      <c r="D2609" s="15">
        <v>4.0</v>
      </c>
      <c r="E2609" s="17" t="s">
        <v>491</v>
      </c>
      <c r="F2609" s="15" t="s">
        <v>492</v>
      </c>
      <c r="G2609" s="46" t="s">
        <v>458</v>
      </c>
      <c r="H2609" s="47" t="s">
        <v>411</v>
      </c>
      <c r="I2609" s="48" t="s">
        <v>19</v>
      </c>
      <c r="J2609" s="49">
        <v>6381870.0</v>
      </c>
    </row>
    <row r="2610">
      <c r="A2610" s="45" t="s">
        <v>74</v>
      </c>
      <c r="B2610" s="16" t="s">
        <v>233</v>
      </c>
      <c r="C2610" s="17" t="s">
        <v>234</v>
      </c>
      <c r="D2610" s="15">
        <v>4.0</v>
      </c>
      <c r="E2610" s="17" t="s">
        <v>475</v>
      </c>
      <c r="F2610" s="15" t="s">
        <v>476</v>
      </c>
      <c r="G2610" s="46" t="s">
        <v>554</v>
      </c>
      <c r="H2610" s="47" t="s">
        <v>555</v>
      </c>
      <c r="I2610" s="48" t="s">
        <v>17</v>
      </c>
      <c r="J2610" s="49">
        <v>1.176E7</v>
      </c>
    </row>
    <row r="2611">
      <c r="A2611" s="45" t="s">
        <v>74</v>
      </c>
      <c r="B2611" s="16" t="s">
        <v>233</v>
      </c>
      <c r="C2611" s="17" t="s">
        <v>234</v>
      </c>
      <c r="D2611" s="15">
        <v>4.0</v>
      </c>
      <c r="E2611" s="17" t="s">
        <v>475</v>
      </c>
      <c r="F2611" s="15" t="s">
        <v>476</v>
      </c>
      <c r="G2611" s="46" t="s">
        <v>498</v>
      </c>
      <c r="H2611" s="47" t="s">
        <v>434</v>
      </c>
      <c r="I2611" s="48" t="s">
        <v>25</v>
      </c>
      <c r="J2611" s="49">
        <v>1.1635E7</v>
      </c>
    </row>
    <row r="2612">
      <c r="A2612" s="45" t="s">
        <v>74</v>
      </c>
      <c r="B2612" s="16" t="s">
        <v>233</v>
      </c>
      <c r="C2612" s="17" t="s">
        <v>234</v>
      </c>
      <c r="D2612" s="15">
        <v>4.0</v>
      </c>
      <c r="E2612" s="17" t="s">
        <v>475</v>
      </c>
      <c r="F2612" s="15" t="s">
        <v>476</v>
      </c>
      <c r="G2612" s="46" t="s">
        <v>477</v>
      </c>
      <c r="H2612" s="47" t="s">
        <v>429</v>
      </c>
      <c r="I2612" s="48" t="s">
        <v>50</v>
      </c>
      <c r="J2612" s="49">
        <v>4.2651984E7</v>
      </c>
    </row>
    <row r="2613">
      <c r="A2613" s="45" t="s">
        <v>74</v>
      </c>
      <c r="B2613" s="16" t="s">
        <v>233</v>
      </c>
      <c r="C2613" s="17" t="s">
        <v>234</v>
      </c>
      <c r="D2613" s="15">
        <v>4.0</v>
      </c>
      <c r="E2613" s="17" t="s">
        <v>524</v>
      </c>
      <c r="F2613" s="15" t="s">
        <v>479</v>
      </c>
      <c r="G2613" s="46" t="s">
        <v>443</v>
      </c>
      <c r="H2613" s="47" t="s">
        <v>420</v>
      </c>
      <c r="I2613" s="48" t="s">
        <v>19</v>
      </c>
      <c r="J2613" s="49">
        <v>6.3804866E7</v>
      </c>
    </row>
    <row r="2614">
      <c r="A2614" s="45" t="s">
        <v>74</v>
      </c>
      <c r="B2614" s="16" t="s">
        <v>233</v>
      </c>
      <c r="C2614" s="17" t="s">
        <v>234</v>
      </c>
      <c r="D2614" s="15">
        <v>4.0</v>
      </c>
      <c r="E2614" s="17" t="s">
        <v>524</v>
      </c>
      <c r="F2614" s="15" t="s">
        <v>479</v>
      </c>
      <c r="G2614" s="46" t="s">
        <v>444</v>
      </c>
      <c r="H2614" s="47" t="s">
        <v>445</v>
      </c>
      <c r="I2614" s="48" t="s">
        <v>19</v>
      </c>
      <c r="J2614" s="49">
        <v>6279300.0</v>
      </c>
    </row>
    <row r="2615">
      <c r="A2615" s="45" t="s">
        <v>74</v>
      </c>
      <c r="B2615" s="16" t="s">
        <v>233</v>
      </c>
      <c r="C2615" s="17" t="s">
        <v>234</v>
      </c>
      <c r="D2615" s="15">
        <v>4.0</v>
      </c>
      <c r="E2615" s="17" t="s">
        <v>524</v>
      </c>
      <c r="F2615" s="15" t="s">
        <v>479</v>
      </c>
      <c r="G2615" s="46" t="s">
        <v>579</v>
      </c>
      <c r="H2615" s="47" t="s">
        <v>580</v>
      </c>
      <c r="I2615" s="48" t="s">
        <v>19</v>
      </c>
      <c r="J2615" s="49">
        <v>6267794.0</v>
      </c>
    </row>
    <row r="2616">
      <c r="A2616" s="45" t="s">
        <v>74</v>
      </c>
      <c r="B2616" s="16" t="s">
        <v>233</v>
      </c>
      <c r="C2616" s="17" t="s">
        <v>234</v>
      </c>
      <c r="D2616" s="15">
        <v>4.0</v>
      </c>
      <c r="E2616" s="17" t="s">
        <v>524</v>
      </c>
      <c r="F2616" s="15" t="s">
        <v>479</v>
      </c>
      <c r="G2616" s="46" t="s">
        <v>446</v>
      </c>
      <c r="H2616" s="47" t="s">
        <v>447</v>
      </c>
      <c r="I2616" s="48" t="s">
        <v>19</v>
      </c>
      <c r="J2616" s="49">
        <v>715262.0</v>
      </c>
    </row>
    <row r="2617">
      <c r="A2617" s="45" t="s">
        <v>74</v>
      </c>
      <c r="B2617" s="16" t="s">
        <v>233</v>
      </c>
      <c r="C2617" s="17" t="s">
        <v>234</v>
      </c>
      <c r="D2617" s="15">
        <v>4.0</v>
      </c>
      <c r="E2617" s="17" t="s">
        <v>524</v>
      </c>
      <c r="F2617" s="15" t="s">
        <v>479</v>
      </c>
      <c r="G2617" s="46" t="s">
        <v>448</v>
      </c>
      <c r="H2617" s="47" t="s">
        <v>449</v>
      </c>
      <c r="I2617" s="48" t="s">
        <v>19</v>
      </c>
      <c r="J2617" s="49">
        <v>1701652.0</v>
      </c>
    </row>
    <row r="2618">
      <c r="A2618" s="45" t="s">
        <v>74</v>
      </c>
      <c r="B2618" s="16" t="s">
        <v>233</v>
      </c>
      <c r="C2618" s="17" t="s">
        <v>234</v>
      </c>
      <c r="D2618" s="15">
        <v>4.0</v>
      </c>
      <c r="E2618" s="17" t="s">
        <v>524</v>
      </c>
      <c r="F2618" s="15" t="s">
        <v>479</v>
      </c>
      <c r="G2618" s="46" t="s">
        <v>452</v>
      </c>
      <c r="H2618" s="47" t="s">
        <v>453</v>
      </c>
      <c r="I2618" s="48" t="s">
        <v>19</v>
      </c>
      <c r="J2618" s="49">
        <v>1323233.0</v>
      </c>
    </row>
    <row r="2619">
      <c r="A2619" s="45" t="s">
        <v>74</v>
      </c>
      <c r="B2619" s="16" t="s">
        <v>233</v>
      </c>
      <c r="C2619" s="17" t="s">
        <v>234</v>
      </c>
      <c r="D2619" s="15">
        <v>4.0</v>
      </c>
      <c r="E2619" s="17" t="s">
        <v>524</v>
      </c>
      <c r="F2619" s="15" t="s">
        <v>479</v>
      </c>
      <c r="G2619" s="46" t="s">
        <v>454</v>
      </c>
      <c r="H2619" s="47" t="s">
        <v>415</v>
      </c>
      <c r="I2619" s="48" t="s">
        <v>19</v>
      </c>
      <c r="J2619" s="49">
        <v>193121.0</v>
      </c>
    </row>
    <row r="2620">
      <c r="A2620" s="45" t="s">
        <v>74</v>
      </c>
      <c r="B2620" s="16" t="s">
        <v>233</v>
      </c>
      <c r="C2620" s="17" t="s">
        <v>234</v>
      </c>
      <c r="D2620" s="15">
        <v>4.0</v>
      </c>
      <c r="E2620" s="17" t="s">
        <v>524</v>
      </c>
      <c r="F2620" s="15" t="s">
        <v>479</v>
      </c>
      <c r="G2620" s="46" t="s">
        <v>455</v>
      </c>
      <c r="H2620" s="47" t="s">
        <v>415</v>
      </c>
      <c r="I2620" s="48" t="s">
        <v>19</v>
      </c>
      <c r="J2620" s="49">
        <v>107290.0</v>
      </c>
    </row>
    <row r="2621">
      <c r="A2621" s="45" t="s">
        <v>74</v>
      </c>
      <c r="B2621" s="16" t="s">
        <v>233</v>
      </c>
      <c r="C2621" s="17" t="s">
        <v>234</v>
      </c>
      <c r="D2621" s="15">
        <v>4.0</v>
      </c>
      <c r="E2621" s="17" t="s">
        <v>524</v>
      </c>
      <c r="F2621" s="15" t="s">
        <v>479</v>
      </c>
      <c r="G2621" s="46" t="s">
        <v>499</v>
      </c>
      <c r="H2621" s="47" t="s">
        <v>500</v>
      </c>
      <c r="I2621" s="48" t="s">
        <v>19</v>
      </c>
      <c r="J2621" s="49">
        <v>9832915.0</v>
      </c>
    </row>
    <row r="2622">
      <c r="A2622" s="45" t="s">
        <v>74</v>
      </c>
      <c r="B2622" s="16" t="s">
        <v>233</v>
      </c>
      <c r="C2622" s="17" t="s">
        <v>234</v>
      </c>
      <c r="D2622" s="15">
        <v>4.0</v>
      </c>
      <c r="E2622" s="17" t="s">
        <v>524</v>
      </c>
      <c r="F2622" s="15" t="s">
        <v>479</v>
      </c>
      <c r="G2622" s="46" t="s">
        <v>480</v>
      </c>
      <c r="H2622" s="47" t="s">
        <v>481</v>
      </c>
      <c r="I2622" s="48" t="s">
        <v>19</v>
      </c>
      <c r="J2622" s="49">
        <v>3091588.0</v>
      </c>
    </row>
    <row r="2623">
      <c r="A2623" s="45" t="s">
        <v>74</v>
      </c>
      <c r="B2623" s="16" t="s">
        <v>233</v>
      </c>
      <c r="C2623" s="17" t="s">
        <v>234</v>
      </c>
      <c r="D2623" s="15">
        <v>4.0</v>
      </c>
      <c r="E2623" s="17" t="s">
        <v>524</v>
      </c>
      <c r="F2623" s="15" t="s">
        <v>479</v>
      </c>
      <c r="G2623" s="46" t="s">
        <v>583</v>
      </c>
      <c r="H2623" s="47" t="s">
        <v>584</v>
      </c>
      <c r="I2623" s="48" t="s">
        <v>25</v>
      </c>
      <c r="J2623" s="49">
        <v>1.275E7</v>
      </c>
    </row>
    <row r="2624">
      <c r="A2624" s="45" t="s">
        <v>74</v>
      </c>
      <c r="B2624" s="16" t="s">
        <v>233</v>
      </c>
      <c r="C2624" s="17" t="s">
        <v>234</v>
      </c>
      <c r="D2624" s="15">
        <v>4.0</v>
      </c>
      <c r="E2624" s="17" t="s">
        <v>525</v>
      </c>
      <c r="F2624" s="15" t="s">
        <v>502</v>
      </c>
      <c r="G2624" s="46" t="s">
        <v>526</v>
      </c>
      <c r="H2624" s="47" t="s">
        <v>527</v>
      </c>
      <c r="I2624" s="48" t="s">
        <v>60</v>
      </c>
      <c r="J2624" s="49">
        <v>3.67712827E8</v>
      </c>
    </row>
    <row r="2625">
      <c r="A2625" s="45" t="s">
        <v>74</v>
      </c>
      <c r="B2625" s="16" t="s">
        <v>233</v>
      </c>
      <c r="C2625" s="17" t="s">
        <v>234</v>
      </c>
      <c r="D2625" s="15">
        <v>4.0</v>
      </c>
      <c r="E2625" s="17" t="s">
        <v>525</v>
      </c>
      <c r="F2625" s="15" t="s">
        <v>502</v>
      </c>
      <c r="G2625" s="46" t="s">
        <v>507</v>
      </c>
      <c r="H2625" s="47" t="s">
        <v>508</v>
      </c>
      <c r="I2625" s="48" t="s">
        <v>60</v>
      </c>
      <c r="J2625" s="49">
        <v>7438770.0</v>
      </c>
    </row>
    <row r="2626">
      <c r="A2626" s="45" t="s">
        <v>74</v>
      </c>
      <c r="B2626" s="16" t="s">
        <v>233</v>
      </c>
      <c r="C2626" s="17" t="s">
        <v>234</v>
      </c>
      <c r="D2626" s="15">
        <v>4.0</v>
      </c>
      <c r="E2626" s="17" t="s">
        <v>525</v>
      </c>
      <c r="F2626" s="15" t="s">
        <v>502</v>
      </c>
      <c r="G2626" s="46" t="s">
        <v>509</v>
      </c>
      <c r="H2626" s="47" t="s">
        <v>510</v>
      </c>
      <c r="I2626" s="48" t="s">
        <v>60</v>
      </c>
      <c r="J2626" s="49">
        <v>408333.0</v>
      </c>
    </row>
    <row r="2627">
      <c r="A2627" s="45" t="s">
        <v>74</v>
      </c>
      <c r="B2627" s="16" t="s">
        <v>233</v>
      </c>
      <c r="C2627" s="17" t="s">
        <v>234</v>
      </c>
      <c r="D2627" s="15">
        <v>4.0</v>
      </c>
      <c r="E2627" s="17" t="s">
        <v>525</v>
      </c>
      <c r="F2627" s="15" t="s">
        <v>502</v>
      </c>
      <c r="G2627" s="46" t="s">
        <v>567</v>
      </c>
      <c r="H2627" s="47" t="s">
        <v>568</v>
      </c>
      <c r="I2627" s="48" t="s">
        <v>60</v>
      </c>
      <c r="J2627" s="49">
        <v>2930000.0</v>
      </c>
    </row>
    <row r="2628">
      <c r="A2628" s="45" t="s">
        <v>74</v>
      </c>
      <c r="B2628" s="16" t="s">
        <v>233</v>
      </c>
      <c r="C2628" s="17" t="s">
        <v>234</v>
      </c>
      <c r="D2628" s="15">
        <v>4.0</v>
      </c>
      <c r="E2628" s="17" t="s">
        <v>525</v>
      </c>
      <c r="F2628" s="15" t="s">
        <v>502</v>
      </c>
      <c r="G2628" s="46" t="s">
        <v>511</v>
      </c>
      <c r="H2628" s="47" t="s">
        <v>512</v>
      </c>
      <c r="I2628" s="48" t="s">
        <v>60</v>
      </c>
      <c r="J2628" s="49">
        <v>3.0863451E7</v>
      </c>
    </row>
    <row r="2629">
      <c r="A2629" s="45" t="s">
        <v>74</v>
      </c>
      <c r="B2629" s="16" t="s">
        <v>233</v>
      </c>
      <c r="C2629" s="17" t="s">
        <v>234</v>
      </c>
      <c r="D2629" s="15">
        <v>4.0</v>
      </c>
      <c r="E2629" s="17" t="s">
        <v>525</v>
      </c>
      <c r="F2629" s="15" t="s">
        <v>502</v>
      </c>
      <c r="G2629" s="46" t="s">
        <v>513</v>
      </c>
      <c r="H2629" s="47" t="s">
        <v>514</v>
      </c>
      <c r="I2629" s="48" t="s">
        <v>60</v>
      </c>
      <c r="J2629" s="49">
        <v>5162529.0</v>
      </c>
    </row>
    <row r="2630">
      <c r="A2630" s="45" t="s">
        <v>74</v>
      </c>
      <c r="B2630" s="16" t="s">
        <v>233</v>
      </c>
      <c r="C2630" s="17" t="s">
        <v>234</v>
      </c>
      <c r="D2630" s="15">
        <v>4.0</v>
      </c>
      <c r="E2630" s="17" t="s">
        <v>548</v>
      </c>
      <c r="F2630" s="15" t="s">
        <v>549</v>
      </c>
      <c r="G2630" s="46" t="s">
        <v>550</v>
      </c>
      <c r="H2630" s="47" t="s">
        <v>551</v>
      </c>
      <c r="I2630" s="48" t="s">
        <v>25</v>
      </c>
      <c r="J2630" s="49">
        <v>9.7797E7</v>
      </c>
    </row>
    <row r="2631">
      <c r="A2631" s="45" t="s">
        <v>74</v>
      </c>
      <c r="B2631" s="16" t="s">
        <v>244</v>
      </c>
      <c r="C2631" s="17" t="s">
        <v>245</v>
      </c>
      <c r="D2631" s="15">
        <v>4.0</v>
      </c>
      <c r="E2631" s="17" t="s">
        <v>441</v>
      </c>
      <c r="F2631" s="15" t="s">
        <v>442</v>
      </c>
      <c r="G2631" s="46" t="s">
        <v>443</v>
      </c>
      <c r="H2631" s="47" t="s">
        <v>420</v>
      </c>
      <c r="I2631" s="48" t="s">
        <v>19</v>
      </c>
      <c r="J2631" s="49">
        <v>-1.0539446E7</v>
      </c>
    </row>
    <row r="2632">
      <c r="A2632" s="45" t="s">
        <v>74</v>
      </c>
      <c r="B2632" s="16" t="s">
        <v>244</v>
      </c>
      <c r="C2632" s="17" t="s">
        <v>245</v>
      </c>
      <c r="D2632" s="15">
        <v>4.0</v>
      </c>
      <c r="E2632" s="17" t="s">
        <v>441</v>
      </c>
      <c r="F2632" s="15" t="s">
        <v>442</v>
      </c>
      <c r="G2632" s="46" t="s">
        <v>444</v>
      </c>
      <c r="H2632" s="47" t="s">
        <v>445</v>
      </c>
      <c r="I2632" s="48" t="s">
        <v>19</v>
      </c>
      <c r="J2632" s="49">
        <v>7900073.0</v>
      </c>
    </row>
    <row r="2633">
      <c r="A2633" s="45" t="s">
        <v>74</v>
      </c>
      <c r="B2633" s="16" t="s">
        <v>244</v>
      </c>
      <c r="C2633" s="17" t="s">
        <v>245</v>
      </c>
      <c r="D2633" s="15">
        <v>4.0</v>
      </c>
      <c r="E2633" s="17" t="s">
        <v>441</v>
      </c>
      <c r="F2633" s="15" t="s">
        <v>442</v>
      </c>
      <c r="G2633" s="46" t="s">
        <v>579</v>
      </c>
      <c r="H2633" s="47" t="s">
        <v>580</v>
      </c>
      <c r="I2633" s="48" t="s">
        <v>19</v>
      </c>
      <c r="J2633" s="49">
        <v>5185287.0</v>
      </c>
    </row>
    <row r="2634">
      <c r="A2634" s="45" t="s">
        <v>74</v>
      </c>
      <c r="B2634" s="16" t="s">
        <v>244</v>
      </c>
      <c r="C2634" s="17" t="s">
        <v>245</v>
      </c>
      <c r="D2634" s="15">
        <v>4.0</v>
      </c>
      <c r="E2634" s="17" t="s">
        <v>441</v>
      </c>
      <c r="F2634" s="15" t="s">
        <v>442</v>
      </c>
      <c r="G2634" s="46" t="s">
        <v>446</v>
      </c>
      <c r="H2634" s="47" t="s">
        <v>447</v>
      </c>
      <c r="I2634" s="48" t="s">
        <v>19</v>
      </c>
      <c r="J2634" s="49">
        <v>491234.0</v>
      </c>
    </row>
    <row r="2635">
      <c r="A2635" s="45" t="s">
        <v>74</v>
      </c>
      <c r="B2635" s="16" t="s">
        <v>244</v>
      </c>
      <c r="C2635" s="17" t="s">
        <v>245</v>
      </c>
      <c r="D2635" s="15">
        <v>4.0</v>
      </c>
      <c r="E2635" s="17" t="s">
        <v>441</v>
      </c>
      <c r="F2635" s="15" t="s">
        <v>442</v>
      </c>
      <c r="G2635" s="46" t="s">
        <v>448</v>
      </c>
      <c r="H2635" s="47" t="s">
        <v>449</v>
      </c>
      <c r="I2635" s="48" t="s">
        <v>19</v>
      </c>
      <c r="J2635" s="49">
        <v>1161934.0</v>
      </c>
    </row>
    <row r="2636">
      <c r="A2636" s="45" t="s">
        <v>74</v>
      </c>
      <c r="B2636" s="16" t="s">
        <v>244</v>
      </c>
      <c r="C2636" s="17" t="s">
        <v>245</v>
      </c>
      <c r="D2636" s="15">
        <v>4.0</v>
      </c>
      <c r="E2636" s="17" t="s">
        <v>441</v>
      </c>
      <c r="F2636" s="15" t="s">
        <v>442</v>
      </c>
      <c r="G2636" s="46" t="s">
        <v>452</v>
      </c>
      <c r="H2636" s="47" t="s">
        <v>453</v>
      </c>
      <c r="I2636" s="48" t="s">
        <v>19</v>
      </c>
      <c r="J2636" s="49">
        <v>908782.0</v>
      </c>
    </row>
    <row r="2637">
      <c r="A2637" s="45" t="s">
        <v>74</v>
      </c>
      <c r="B2637" s="16" t="s">
        <v>244</v>
      </c>
      <c r="C2637" s="17" t="s">
        <v>245</v>
      </c>
      <c r="D2637" s="15">
        <v>4.0</v>
      </c>
      <c r="E2637" s="17" t="s">
        <v>441</v>
      </c>
      <c r="F2637" s="15" t="s">
        <v>442</v>
      </c>
      <c r="G2637" s="46" t="s">
        <v>454</v>
      </c>
      <c r="H2637" s="47" t="s">
        <v>415</v>
      </c>
      <c r="I2637" s="48" t="s">
        <v>19</v>
      </c>
      <c r="J2637" s="49">
        <v>132634.0</v>
      </c>
    </row>
    <row r="2638">
      <c r="A2638" s="45" t="s">
        <v>74</v>
      </c>
      <c r="B2638" s="16" t="s">
        <v>244</v>
      </c>
      <c r="C2638" s="17" t="s">
        <v>245</v>
      </c>
      <c r="D2638" s="15">
        <v>4.0</v>
      </c>
      <c r="E2638" s="17" t="s">
        <v>441</v>
      </c>
      <c r="F2638" s="15" t="s">
        <v>442</v>
      </c>
      <c r="G2638" s="46" t="s">
        <v>455</v>
      </c>
      <c r="H2638" s="47" t="s">
        <v>415</v>
      </c>
      <c r="I2638" s="48" t="s">
        <v>19</v>
      </c>
      <c r="J2638" s="49">
        <v>73685.0</v>
      </c>
    </row>
    <row r="2639">
      <c r="A2639" s="45" t="s">
        <v>74</v>
      </c>
      <c r="B2639" s="16" t="s">
        <v>244</v>
      </c>
      <c r="C2639" s="17" t="s">
        <v>245</v>
      </c>
      <c r="D2639" s="15">
        <v>4.0</v>
      </c>
      <c r="E2639" s="17" t="s">
        <v>441</v>
      </c>
      <c r="F2639" s="15" t="s">
        <v>442</v>
      </c>
      <c r="G2639" s="46" t="s">
        <v>583</v>
      </c>
      <c r="H2639" s="47" t="s">
        <v>584</v>
      </c>
      <c r="I2639" s="48" t="s">
        <v>25</v>
      </c>
      <c r="J2639" s="49">
        <v>7650000.0</v>
      </c>
    </row>
    <row r="2640">
      <c r="A2640" s="45" t="s">
        <v>74</v>
      </c>
      <c r="B2640" s="16" t="s">
        <v>244</v>
      </c>
      <c r="C2640" s="17" t="s">
        <v>245</v>
      </c>
      <c r="D2640" s="15">
        <v>4.0</v>
      </c>
      <c r="E2640" s="17" t="s">
        <v>456</v>
      </c>
      <c r="F2640" s="15" t="s">
        <v>457</v>
      </c>
      <c r="G2640" s="46" t="s">
        <v>515</v>
      </c>
      <c r="H2640" s="47" t="s">
        <v>413</v>
      </c>
      <c r="I2640" s="48" t="s">
        <v>19</v>
      </c>
      <c r="J2640" s="49">
        <v>1.0E7</v>
      </c>
    </row>
    <row r="2641">
      <c r="A2641" s="45" t="s">
        <v>74</v>
      </c>
      <c r="B2641" s="16" t="s">
        <v>244</v>
      </c>
      <c r="C2641" s="17" t="s">
        <v>245</v>
      </c>
      <c r="D2641" s="15">
        <v>4.0</v>
      </c>
      <c r="E2641" s="17" t="s">
        <v>456</v>
      </c>
      <c r="F2641" s="15" t="s">
        <v>457</v>
      </c>
      <c r="G2641" s="46" t="s">
        <v>458</v>
      </c>
      <c r="H2641" s="47" t="s">
        <v>411</v>
      </c>
      <c r="I2641" s="48" t="s">
        <v>19</v>
      </c>
      <c r="J2641" s="49">
        <v>4.53521003E8</v>
      </c>
    </row>
    <row r="2642">
      <c r="A2642" s="45" t="s">
        <v>74</v>
      </c>
      <c r="B2642" s="16" t="s">
        <v>244</v>
      </c>
      <c r="C2642" s="17" t="s">
        <v>245</v>
      </c>
      <c r="D2642" s="15">
        <v>4.0</v>
      </c>
      <c r="E2642" s="17" t="s">
        <v>456</v>
      </c>
      <c r="F2642" s="15" t="s">
        <v>457</v>
      </c>
      <c r="G2642" s="46" t="s">
        <v>532</v>
      </c>
      <c r="H2642" s="47" t="s">
        <v>412</v>
      </c>
      <c r="I2642" s="48" t="s">
        <v>19</v>
      </c>
      <c r="J2642" s="49">
        <v>2252880.0</v>
      </c>
    </row>
    <row r="2643">
      <c r="A2643" s="45" t="s">
        <v>74</v>
      </c>
      <c r="B2643" s="16" t="s">
        <v>244</v>
      </c>
      <c r="C2643" s="17" t="s">
        <v>245</v>
      </c>
      <c r="D2643" s="15">
        <v>4.0</v>
      </c>
      <c r="E2643" s="17" t="s">
        <v>459</v>
      </c>
      <c r="F2643" s="15" t="s">
        <v>460</v>
      </c>
      <c r="G2643" s="46" t="s">
        <v>458</v>
      </c>
      <c r="H2643" s="47" t="s">
        <v>411</v>
      </c>
      <c r="I2643" s="48" t="s">
        <v>19</v>
      </c>
      <c r="J2643" s="49">
        <v>2.6252575E7</v>
      </c>
    </row>
    <row r="2644">
      <c r="A2644" s="45" t="s">
        <v>74</v>
      </c>
      <c r="B2644" s="16" t="s">
        <v>244</v>
      </c>
      <c r="C2644" s="17" t="s">
        <v>245</v>
      </c>
      <c r="D2644" s="15">
        <v>4.0</v>
      </c>
      <c r="E2644" s="17" t="s">
        <v>487</v>
      </c>
      <c r="F2644" s="15" t="s">
        <v>488</v>
      </c>
      <c r="G2644" s="46" t="s">
        <v>530</v>
      </c>
      <c r="H2644" s="47" t="s">
        <v>531</v>
      </c>
      <c r="I2644" s="48" t="s">
        <v>50</v>
      </c>
      <c r="J2644" s="49">
        <v>7600200.0</v>
      </c>
    </row>
    <row r="2645">
      <c r="A2645" s="45" t="s">
        <v>74</v>
      </c>
      <c r="B2645" s="16" t="s">
        <v>244</v>
      </c>
      <c r="C2645" s="17" t="s">
        <v>245</v>
      </c>
      <c r="D2645" s="15">
        <v>4.0</v>
      </c>
      <c r="E2645" s="17" t="s">
        <v>473</v>
      </c>
      <c r="F2645" s="15" t="s">
        <v>474</v>
      </c>
      <c r="G2645" s="46" t="s">
        <v>443</v>
      </c>
      <c r="H2645" s="47" t="s">
        <v>420</v>
      </c>
      <c r="I2645" s="48" t="s">
        <v>19</v>
      </c>
      <c r="J2645" s="49">
        <v>7975000.0</v>
      </c>
    </row>
    <row r="2646">
      <c r="A2646" s="45" t="s">
        <v>74</v>
      </c>
      <c r="B2646" s="16" t="s">
        <v>244</v>
      </c>
      <c r="C2646" s="17" t="s">
        <v>245</v>
      </c>
      <c r="D2646" s="15">
        <v>4.0</v>
      </c>
      <c r="E2646" s="17" t="s">
        <v>473</v>
      </c>
      <c r="F2646" s="15" t="s">
        <v>474</v>
      </c>
      <c r="G2646" s="46" t="s">
        <v>444</v>
      </c>
      <c r="H2646" s="47" t="s">
        <v>445</v>
      </c>
      <c r="I2646" s="48" t="s">
        <v>19</v>
      </c>
      <c r="J2646" s="49">
        <v>126777.0</v>
      </c>
    </row>
    <row r="2647">
      <c r="A2647" s="45" t="s">
        <v>74</v>
      </c>
      <c r="B2647" s="16" t="s">
        <v>244</v>
      </c>
      <c r="C2647" s="17" t="s">
        <v>245</v>
      </c>
      <c r="D2647" s="15">
        <v>4.0</v>
      </c>
      <c r="E2647" s="17" t="s">
        <v>473</v>
      </c>
      <c r="F2647" s="15" t="s">
        <v>474</v>
      </c>
      <c r="G2647" s="46" t="s">
        <v>579</v>
      </c>
      <c r="H2647" s="47" t="s">
        <v>580</v>
      </c>
      <c r="I2647" s="48" t="s">
        <v>19</v>
      </c>
      <c r="J2647" s="49">
        <v>700000.0</v>
      </c>
    </row>
    <row r="2648">
      <c r="A2648" s="45" t="s">
        <v>74</v>
      </c>
      <c r="B2648" s="16" t="s">
        <v>244</v>
      </c>
      <c r="C2648" s="17" t="s">
        <v>245</v>
      </c>
      <c r="D2648" s="15">
        <v>4.0</v>
      </c>
      <c r="E2648" s="17" t="s">
        <v>473</v>
      </c>
      <c r="F2648" s="15" t="s">
        <v>474</v>
      </c>
      <c r="G2648" s="46" t="s">
        <v>448</v>
      </c>
      <c r="H2648" s="47" t="s">
        <v>449</v>
      </c>
      <c r="I2648" s="48" t="s">
        <v>19</v>
      </c>
      <c r="J2648" s="49">
        <v>331148.0</v>
      </c>
    </row>
    <row r="2649">
      <c r="A2649" s="45" t="s">
        <v>74</v>
      </c>
      <c r="B2649" s="16" t="s">
        <v>244</v>
      </c>
      <c r="C2649" s="17" t="s">
        <v>245</v>
      </c>
      <c r="D2649" s="15">
        <v>4.0</v>
      </c>
      <c r="E2649" s="17" t="s">
        <v>473</v>
      </c>
      <c r="F2649" s="15" t="s">
        <v>474</v>
      </c>
      <c r="G2649" s="46" t="s">
        <v>523</v>
      </c>
      <c r="H2649" s="47" t="s">
        <v>431</v>
      </c>
      <c r="I2649" s="48" t="s">
        <v>17</v>
      </c>
      <c r="J2649" s="49">
        <v>3.97493486E8</v>
      </c>
    </row>
    <row r="2650">
      <c r="A2650" s="45" t="s">
        <v>74</v>
      </c>
      <c r="B2650" s="16" t="s">
        <v>244</v>
      </c>
      <c r="C2650" s="17" t="s">
        <v>245</v>
      </c>
      <c r="D2650" s="15">
        <v>4.0</v>
      </c>
      <c r="E2650" s="17" t="s">
        <v>473</v>
      </c>
      <c r="F2650" s="15" t="s">
        <v>474</v>
      </c>
      <c r="G2650" s="46" t="s">
        <v>523</v>
      </c>
      <c r="H2650" s="47" t="s">
        <v>431</v>
      </c>
      <c r="I2650" s="48" t="s">
        <v>25</v>
      </c>
      <c r="J2650" s="49">
        <v>-3.52008977E8</v>
      </c>
    </row>
    <row r="2651">
      <c r="A2651" s="45" t="s">
        <v>74</v>
      </c>
      <c r="B2651" s="16" t="s">
        <v>244</v>
      </c>
      <c r="C2651" s="17" t="s">
        <v>245</v>
      </c>
      <c r="D2651" s="15">
        <v>4.0</v>
      </c>
      <c r="E2651" s="17" t="s">
        <v>473</v>
      </c>
      <c r="F2651" s="15" t="s">
        <v>474</v>
      </c>
      <c r="G2651" s="46" t="s">
        <v>458</v>
      </c>
      <c r="H2651" s="47" t="s">
        <v>411</v>
      </c>
      <c r="I2651" s="48" t="s">
        <v>19</v>
      </c>
      <c r="J2651" s="49">
        <v>7.829712E7</v>
      </c>
    </row>
    <row r="2652">
      <c r="A2652" s="45" t="s">
        <v>74</v>
      </c>
      <c r="B2652" s="16" t="s">
        <v>244</v>
      </c>
      <c r="C2652" s="17" t="s">
        <v>245</v>
      </c>
      <c r="D2652" s="15">
        <v>4.0</v>
      </c>
      <c r="E2652" s="17" t="s">
        <v>491</v>
      </c>
      <c r="F2652" s="15" t="s">
        <v>492</v>
      </c>
      <c r="G2652" s="46" t="s">
        <v>493</v>
      </c>
      <c r="H2652" s="47" t="s">
        <v>437</v>
      </c>
      <c r="I2652" s="48" t="s">
        <v>17</v>
      </c>
      <c r="J2652" s="49">
        <v>4.9840898E7</v>
      </c>
    </row>
    <row r="2653">
      <c r="A2653" s="45" t="s">
        <v>74</v>
      </c>
      <c r="B2653" s="16" t="s">
        <v>244</v>
      </c>
      <c r="C2653" s="17" t="s">
        <v>245</v>
      </c>
      <c r="D2653" s="15">
        <v>4.0</v>
      </c>
      <c r="E2653" s="17" t="s">
        <v>491</v>
      </c>
      <c r="F2653" s="15" t="s">
        <v>492</v>
      </c>
      <c r="G2653" s="46" t="s">
        <v>493</v>
      </c>
      <c r="H2653" s="47" t="s">
        <v>437</v>
      </c>
      <c r="I2653" s="48" t="s">
        <v>37</v>
      </c>
      <c r="J2653" s="49">
        <v>1.36255269E8</v>
      </c>
    </row>
    <row r="2654">
      <c r="A2654" s="45" t="s">
        <v>74</v>
      </c>
      <c r="B2654" s="16" t="s">
        <v>244</v>
      </c>
      <c r="C2654" s="17" t="s">
        <v>245</v>
      </c>
      <c r="D2654" s="15">
        <v>4.0</v>
      </c>
      <c r="E2654" s="17" t="s">
        <v>491</v>
      </c>
      <c r="F2654" s="15" t="s">
        <v>492</v>
      </c>
      <c r="G2654" s="46" t="s">
        <v>493</v>
      </c>
      <c r="H2654" s="47" t="s">
        <v>437</v>
      </c>
      <c r="I2654" s="48" t="s">
        <v>25</v>
      </c>
      <c r="J2654" s="49">
        <v>4129850.0</v>
      </c>
    </row>
    <row r="2655">
      <c r="A2655" s="45" t="s">
        <v>74</v>
      </c>
      <c r="B2655" s="16" t="s">
        <v>244</v>
      </c>
      <c r="C2655" s="17" t="s">
        <v>245</v>
      </c>
      <c r="D2655" s="15">
        <v>4.0</v>
      </c>
      <c r="E2655" s="17" t="s">
        <v>491</v>
      </c>
      <c r="F2655" s="15" t="s">
        <v>492</v>
      </c>
      <c r="G2655" s="46" t="s">
        <v>458</v>
      </c>
      <c r="H2655" s="47" t="s">
        <v>411</v>
      </c>
      <c r="I2655" s="48" t="s">
        <v>19</v>
      </c>
      <c r="J2655" s="49">
        <v>1.3333188E7</v>
      </c>
    </row>
    <row r="2656">
      <c r="A2656" s="45" t="s">
        <v>74</v>
      </c>
      <c r="B2656" s="16" t="s">
        <v>244</v>
      </c>
      <c r="C2656" s="17" t="s">
        <v>245</v>
      </c>
      <c r="D2656" s="15">
        <v>4.0</v>
      </c>
      <c r="E2656" s="17" t="s">
        <v>491</v>
      </c>
      <c r="F2656" s="15" t="s">
        <v>492</v>
      </c>
      <c r="G2656" s="46" t="s">
        <v>532</v>
      </c>
      <c r="H2656" s="47" t="s">
        <v>412</v>
      </c>
      <c r="I2656" s="48" t="s">
        <v>19</v>
      </c>
      <c r="J2656" s="49">
        <v>3641523.0</v>
      </c>
    </row>
    <row r="2657">
      <c r="A2657" s="45" t="s">
        <v>74</v>
      </c>
      <c r="B2657" s="16" t="s">
        <v>244</v>
      </c>
      <c r="C2657" s="17" t="s">
        <v>245</v>
      </c>
      <c r="D2657" s="15">
        <v>4.0</v>
      </c>
      <c r="E2657" s="17" t="s">
        <v>494</v>
      </c>
      <c r="F2657" s="15" t="s">
        <v>495</v>
      </c>
      <c r="G2657" s="46" t="s">
        <v>543</v>
      </c>
      <c r="H2657" s="47" t="s">
        <v>430</v>
      </c>
      <c r="I2657" s="48" t="s">
        <v>25</v>
      </c>
      <c r="J2657" s="49">
        <v>758000.0</v>
      </c>
    </row>
    <row r="2658">
      <c r="A2658" s="45" t="s">
        <v>74</v>
      </c>
      <c r="B2658" s="16" t="s">
        <v>244</v>
      </c>
      <c r="C2658" s="17" t="s">
        <v>245</v>
      </c>
      <c r="D2658" s="15">
        <v>4.0</v>
      </c>
      <c r="E2658" s="17" t="s">
        <v>494</v>
      </c>
      <c r="F2658" s="15" t="s">
        <v>495</v>
      </c>
      <c r="G2658" s="46" t="s">
        <v>496</v>
      </c>
      <c r="H2658" s="47" t="s">
        <v>497</v>
      </c>
      <c r="I2658" s="48" t="s">
        <v>17</v>
      </c>
      <c r="J2658" s="49">
        <v>7927928.0</v>
      </c>
    </row>
    <row r="2659">
      <c r="A2659" s="45" t="s">
        <v>74</v>
      </c>
      <c r="B2659" s="16" t="s">
        <v>244</v>
      </c>
      <c r="C2659" s="17" t="s">
        <v>245</v>
      </c>
      <c r="D2659" s="15">
        <v>4.0</v>
      </c>
      <c r="E2659" s="17" t="s">
        <v>494</v>
      </c>
      <c r="F2659" s="15" t="s">
        <v>495</v>
      </c>
      <c r="G2659" s="46" t="s">
        <v>496</v>
      </c>
      <c r="H2659" s="47" t="s">
        <v>497</v>
      </c>
      <c r="I2659" s="48" t="s">
        <v>37</v>
      </c>
      <c r="J2659" s="49">
        <v>4.4743639E7</v>
      </c>
    </row>
    <row r="2660">
      <c r="A2660" s="45" t="s">
        <v>74</v>
      </c>
      <c r="B2660" s="16" t="s">
        <v>244</v>
      </c>
      <c r="C2660" s="17" t="s">
        <v>245</v>
      </c>
      <c r="D2660" s="15">
        <v>4.0</v>
      </c>
      <c r="E2660" s="17" t="s">
        <v>494</v>
      </c>
      <c r="F2660" s="15" t="s">
        <v>495</v>
      </c>
      <c r="G2660" s="46" t="s">
        <v>496</v>
      </c>
      <c r="H2660" s="47" t="s">
        <v>497</v>
      </c>
      <c r="I2660" s="48" t="s">
        <v>25</v>
      </c>
      <c r="J2660" s="49">
        <v>2100000.0</v>
      </c>
    </row>
    <row r="2661">
      <c r="A2661" s="45" t="s">
        <v>74</v>
      </c>
      <c r="B2661" s="16" t="s">
        <v>244</v>
      </c>
      <c r="C2661" s="17" t="s">
        <v>245</v>
      </c>
      <c r="D2661" s="15">
        <v>4.0</v>
      </c>
      <c r="E2661" s="17" t="s">
        <v>494</v>
      </c>
      <c r="F2661" s="15" t="s">
        <v>495</v>
      </c>
      <c r="G2661" s="46" t="s">
        <v>458</v>
      </c>
      <c r="H2661" s="47" t="s">
        <v>411</v>
      </c>
      <c r="I2661" s="48" t="s">
        <v>19</v>
      </c>
      <c r="J2661" s="49">
        <v>3.3132994E7</v>
      </c>
    </row>
    <row r="2662">
      <c r="A2662" s="45" t="s">
        <v>74</v>
      </c>
      <c r="B2662" s="16" t="s">
        <v>244</v>
      </c>
      <c r="C2662" s="17" t="s">
        <v>245</v>
      </c>
      <c r="D2662" s="15">
        <v>4.0</v>
      </c>
      <c r="E2662" s="17" t="s">
        <v>494</v>
      </c>
      <c r="F2662" s="15" t="s">
        <v>495</v>
      </c>
      <c r="G2662" s="46" t="s">
        <v>532</v>
      </c>
      <c r="H2662" s="47" t="s">
        <v>412</v>
      </c>
      <c r="I2662" s="48" t="s">
        <v>19</v>
      </c>
      <c r="J2662" s="49">
        <v>1577065.0</v>
      </c>
    </row>
    <row r="2663">
      <c r="A2663" s="45" t="s">
        <v>74</v>
      </c>
      <c r="B2663" s="16" t="s">
        <v>244</v>
      </c>
      <c r="C2663" s="17" t="s">
        <v>245</v>
      </c>
      <c r="D2663" s="15">
        <v>4.0</v>
      </c>
      <c r="E2663" s="17" t="s">
        <v>475</v>
      </c>
      <c r="F2663" s="15" t="s">
        <v>476</v>
      </c>
      <c r="G2663" s="46" t="s">
        <v>477</v>
      </c>
      <c r="H2663" s="47" t="s">
        <v>429</v>
      </c>
      <c r="I2663" s="48" t="s">
        <v>50</v>
      </c>
      <c r="J2663" s="49">
        <v>5.0277719E7</v>
      </c>
    </row>
    <row r="2664">
      <c r="A2664" s="45" t="s">
        <v>74</v>
      </c>
      <c r="B2664" s="16" t="s">
        <v>244</v>
      </c>
      <c r="C2664" s="17" t="s">
        <v>245</v>
      </c>
      <c r="D2664" s="15">
        <v>4.0</v>
      </c>
      <c r="E2664" s="17" t="s">
        <v>524</v>
      </c>
      <c r="F2664" s="15" t="s">
        <v>479</v>
      </c>
      <c r="G2664" s="46" t="s">
        <v>443</v>
      </c>
      <c r="H2664" s="47" t="s">
        <v>420</v>
      </c>
      <c r="I2664" s="48" t="s">
        <v>19</v>
      </c>
      <c r="J2664" s="49">
        <v>1.17098764E8</v>
      </c>
    </row>
    <row r="2665">
      <c r="A2665" s="45" t="s">
        <v>74</v>
      </c>
      <c r="B2665" s="16" t="s">
        <v>244</v>
      </c>
      <c r="C2665" s="17" t="s">
        <v>245</v>
      </c>
      <c r="D2665" s="15">
        <v>4.0</v>
      </c>
      <c r="E2665" s="17" t="s">
        <v>524</v>
      </c>
      <c r="F2665" s="15" t="s">
        <v>479</v>
      </c>
      <c r="G2665" s="46" t="s">
        <v>444</v>
      </c>
      <c r="H2665" s="47" t="s">
        <v>445</v>
      </c>
      <c r="I2665" s="48" t="s">
        <v>19</v>
      </c>
      <c r="J2665" s="49">
        <v>9541825.0</v>
      </c>
    </row>
    <row r="2666">
      <c r="A2666" s="45" t="s">
        <v>74</v>
      </c>
      <c r="B2666" s="16" t="s">
        <v>244</v>
      </c>
      <c r="C2666" s="17" t="s">
        <v>245</v>
      </c>
      <c r="D2666" s="15">
        <v>4.0</v>
      </c>
      <c r="E2666" s="17" t="s">
        <v>524</v>
      </c>
      <c r="F2666" s="15" t="s">
        <v>479</v>
      </c>
      <c r="G2666" s="46" t="s">
        <v>579</v>
      </c>
      <c r="H2666" s="47" t="s">
        <v>580</v>
      </c>
      <c r="I2666" s="48" t="s">
        <v>19</v>
      </c>
      <c r="J2666" s="49">
        <v>1.1704444E7</v>
      </c>
    </row>
    <row r="2667">
      <c r="A2667" s="45" t="s">
        <v>74</v>
      </c>
      <c r="B2667" s="16" t="s">
        <v>244</v>
      </c>
      <c r="C2667" s="17" t="s">
        <v>245</v>
      </c>
      <c r="D2667" s="15">
        <v>4.0</v>
      </c>
      <c r="E2667" s="17" t="s">
        <v>524</v>
      </c>
      <c r="F2667" s="15" t="s">
        <v>479</v>
      </c>
      <c r="G2667" s="46" t="s">
        <v>446</v>
      </c>
      <c r="H2667" s="47" t="s">
        <v>447</v>
      </c>
      <c r="I2667" s="48" t="s">
        <v>19</v>
      </c>
      <c r="J2667" s="49">
        <v>1338513.0</v>
      </c>
    </row>
    <row r="2668">
      <c r="A2668" s="45" t="s">
        <v>74</v>
      </c>
      <c r="B2668" s="16" t="s">
        <v>244</v>
      </c>
      <c r="C2668" s="17" t="s">
        <v>245</v>
      </c>
      <c r="D2668" s="15">
        <v>4.0</v>
      </c>
      <c r="E2668" s="17" t="s">
        <v>524</v>
      </c>
      <c r="F2668" s="15" t="s">
        <v>479</v>
      </c>
      <c r="G2668" s="46" t="s">
        <v>448</v>
      </c>
      <c r="H2668" s="47" t="s">
        <v>449</v>
      </c>
      <c r="I2668" s="48" t="s">
        <v>19</v>
      </c>
      <c r="J2668" s="49">
        <v>3166037.0</v>
      </c>
    </row>
    <row r="2669">
      <c r="A2669" s="45" t="s">
        <v>74</v>
      </c>
      <c r="B2669" s="16" t="s">
        <v>244</v>
      </c>
      <c r="C2669" s="17" t="s">
        <v>245</v>
      </c>
      <c r="D2669" s="15">
        <v>4.0</v>
      </c>
      <c r="E2669" s="17" t="s">
        <v>524</v>
      </c>
      <c r="F2669" s="15" t="s">
        <v>479</v>
      </c>
      <c r="G2669" s="46" t="s">
        <v>450</v>
      </c>
      <c r="H2669" s="47" t="s">
        <v>451</v>
      </c>
      <c r="I2669" s="48" t="s">
        <v>19</v>
      </c>
      <c r="J2669" s="49">
        <v>0.0</v>
      </c>
    </row>
    <row r="2670">
      <c r="A2670" s="45" t="s">
        <v>74</v>
      </c>
      <c r="B2670" s="16" t="s">
        <v>244</v>
      </c>
      <c r="C2670" s="17" t="s">
        <v>245</v>
      </c>
      <c r="D2670" s="15">
        <v>4.0</v>
      </c>
      <c r="E2670" s="17" t="s">
        <v>524</v>
      </c>
      <c r="F2670" s="15" t="s">
        <v>479</v>
      </c>
      <c r="G2670" s="46" t="s">
        <v>452</v>
      </c>
      <c r="H2670" s="47" t="s">
        <v>453</v>
      </c>
      <c r="I2670" s="48" t="s">
        <v>19</v>
      </c>
      <c r="J2670" s="49">
        <v>2476247.0</v>
      </c>
    </row>
    <row r="2671">
      <c r="A2671" s="45" t="s">
        <v>74</v>
      </c>
      <c r="B2671" s="16" t="s">
        <v>244</v>
      </c>
      <c r="C2671" s="17" t="s">
        <v>245</v>
      </c>
      <c r="D2671" s="15">
        <v>4.0</v>
      </c>
      <c r="E2671" s="17" t="s">
        <v>524</v>
      </c>
      <c r="F2671" s="15" t="s">
        <v>479</v>
      </c>
      <c r="G2671" s="46" t="s">
        <v>454</v>
      </c>
      <c r="H2671" s="47" t="s">
        <v>415</v>
      </c>
      <c r="I2671" s="48" t="s">
        <v>19</v>
      </c>
      <c r="J2671" s="49">
        <v>361399.0</v>
      </c>
    </row>
    <row r="2672">
      <c r="A2672" s="45" t="s">
        <v>74</v>
      </c>
      <c r="B2672" s="16" t="s">
        <v>244</v>
      </c>
      <c r="C2672" s="17" t="s">
        <v>245</v>
      </c>
      <c r="D2672" s="15">
        <v>4.0</v>
      </c>
      <c r="E2672" s="17" t="s">
        <v>524</v>
      </c>
      <c r="F2672" s="15" t="s">
        <v>479</v>
      </c>
      <c r="G2672" s="46" t="s">
        <v>455</v>
      </c>
      <c r="H2672" s="47" t="s">
        <v>415</v>
      </c>
      <c r="I2672" s="48" t="s">
        <v>19</v>
      </c>
      <c r="J2672" s="49">
        <v>200776.0</v>
      </c>
    </row>
    <row r="2673">
      <c r="A2673" s="45" t="s">
        <v>74</v>
      </c>
      <c r="B2673" s="16" t="s">
        <v>244</v>
      </c>
      <c r="C2673" s="17" t="s">
        <v>245</v>
      </c>
      <c r="D2673" s="15">
        <v>4.0</v>
      </c>
      <c r="E2673" s="17" t="s">
        <v>524</v>
      </c>
      <c r="F2673" s="15" t="s">
        <v>479</v>
      </c>
      <c r="G2673" s="46" t="s">
        <v>480</v>
      </c>
      <c r="H2673" s="47" t="s">
        <v>481</v>
      </c>
      <c r="I2673" s="48" t="s">
        <v>19</v>
      </c>
      <c r="J2673" s="49">
        <v>3336855.0</v>
      </c>
    </row>
    <row r="2674">
      <c r="A2674" s="45" t="s">
        <v>74</v>
      </c>
      <c r="B2674" s="16" t="s">
        <v>244</v>
      </c>
      <c r="C2674" s="17" t="s">
        <v>245</v>
      </c>
      <c r="D2674" s="15">
        <v>4.0</v>
      </c>
      <c r="E2674" s="17" t="s">
        <v>524</v>
      </c>
      <c r="F2674" s="15" t="s">
        <v>479</v>
      </c>
      <c r="G2674" s="46" t="s">
        <v>583</v>
      </c>
      <c r="H2674" s="47" t="s">
        <v>584</v>
      </c>
      <c r="I2674" s="48" t="s">
        <v>25</v>
      </c>
      <c r="J2674" s="49">
        <v>2.295E7</v>
      </c>
    </row>
    <row r="2675">
      <c r="A2675" s="45" t="s">
        <v>74</v>
      </c>
      <c r="B2675" s="16" t="s">
        <v>244</v>
      </c>
      <c r="C2675" s="17" t="s">
        <v>245</v>
      </c>
      <c r="D2675" s="15">
        <v>4.0</v>
      </c>
      <c r="E2675" s="17" t="s">
        <v>525</v>
      </c>
      <c r="F2675" s="15" t="s">
        <v>502</v>
      </c>
      <c r="G2675" s="46" t="s">
        <v>526</v>
      </c>
      <c r="H2675" s="47" t="s">
        <v>527</v>
      </c>
      <c r="I2675" s="48" t="s">
        <v>60</v>
      </c>
      <c r="J2675" s="49">
        <v>3.14216771E8</v>
      </c>
    </row>
    <row r="2676">
      <c r="A2676" s="45" t="s">
        <v>74</v>
      </c>
      <c r="B2676" s="16" t="s">
        <v>244</v>
      </c>
      <c r="C2676" s="17" t="s">
        <v>245</v>
      </c>
      <c r="D2676" s="15">
        <v>4.0</v>
      </c>
      <c r="E2676" s="17" t="s">
        <v>525</v>
      </c>
      <c r="F2676" s="15" t="s">
        <v>502</v>
      </c>
      <c r="G2676" s="46" t="s">
        <v>539</v>
      </c>
      <c r="H2676" s="47" t="s">
        <v>540</v>
      </c>
      <c r="I2676" s="48" t="s">
        <v>60</v>
      </c>
      <c r="J2676" s="49">
        <v>8794868.0</v>
      </c>
    </row>
    <row r="2677">
      <c r="A2677" s="45" t="s">
        <v>74</v>
      </c>
      <c r="B2677" s="16" t="s">
        <v>244</v>
      </c>
      <c r="C2677" s="17" t="s">
        <v>245</v>
      </c>
      <c r="D2677" s="15">
        <v>4.0</v>
      </c>
      <c r="E2677" s="17" t="s">
        <v>525</v>
      </c>
      <c r="F2677" s="15" t="s">
        <v>502</v>
      </c>
      <c r="G2677" s="46" t="s">
        <v>505</v>
      </c>
      <c r="H2677" s="47" t="s">
        <v>506</v>
      </c>
      <c r="I2677" s="48" t="s">
        <v>60</v>
      </c>
      <c r="J2677" s="49">
        <v>4255769.0</v>
      </c>
    </row>
    <row r="2678">
      <c r="A2678" s="45" t="s">
        <v>74</v>
      </c>
      <c r="B2678" s="16" t="s">
        <v>244</v>
      </c>
      <c r="C2678" s="17" t="s">
        <v>245</v>
      </c>
      <c r="D2678" s="15">
        <v>4.0</v>
      </c>
      <c r="E2678" s="17" t="s">
        <v>525</v>
      </c>
      <c r="F2678" s="15" t="s">
        <v>502</v>
      </c>
      <c r="G2678" s="46" t="s">
        <v>507</v>
      </c>
      <c r="H2678" s="47" t="s">
        <v>508</v>
      </c>
      <c r="I2678" s="48" t="s">
        <v>60</v>
      </c>
      <c r="J2678" s="49">
        <v>1.0447193E7</v>
      </c>
    </row>
    <row r="2679">
      <c r="A2679" s="45" t="s">
        <v>74</v>
      </c>
      <c r="B2679" s="16" t="s">
        <v>244</v>
      </c>
      <c r="C2679" s="17" t="s">
        <v>245</v>
      </c>
      <c r="D2679" s="15">
        <v>4.0</v>
      </c>
      <c r="E2679" s="17" t="s">
        <v>525</v>
      </c>
      <c r="F2679" s="15" t="s">
        <v>502</v>
      </c>
      <c r="G2679" s="46" t="s">
        <v>509</v>
      </c>
      <c r="H2679" s="47" t="s">
        <v>510</v>
      </c>
      <c r="I2679" s="48" t="s">
        <v>60</v>
      </c>
      <c r="J2679" s="49">
        <v>133333.0</v>
      </c>
    </row>
    <row r="2680">
      <c r="A2680" s="45" t="s">
        <v>74</v>
      </c>
      <c r="B2680" s="16" t="s">
        <v>244</v>
      </c>
      <c r="C2680" s="17" t="s">
        <v>245</v>
      </c>
      <c r="D2680" s="15">
        <v>4.0</v>
      </c>
      <c r="E2680" s="17" t="s">
        <v>525</v>
      </c>
      <c r="F2680" s="15" t="s">
        <v>502</v>
      </c>
      <c r="G2680" s="46" t="s">
        <v>511</v>
      </c>
      <c r="H2680" s="47" t="s">
        <v>512</v>
      </c>
      <c r="I2680" s="48" t="s">
        <v>60</v>
      </c>
      <c r="J2680" s="49">
        <v>4.1960041E7</v>
      </c>
    </row>
    <row r="2681">
      <c r="A2681" s="45" t="s">
        <v>74</v>
      </c>
      <c r="B2681" s="16" t="s">
        <v>244</v>
      </c>
      <c r="C2681" s="17" t="s">
        <v>245</v>
      </c>
      <c r="D2681" s="15">
        <v>4.0</v>
      </c>
      <c r="E2681" s="17" t="s">
        <v>525</v>
      </c>
      <c r="F2681" s="15" t="s">
        <v>502</v>
      </c>
      <c r="G2681" s="46" t="s">
        <v>513</v>
      </c>
      <c r="H2681" s="47" t="s">
        <v>514</v>
      </c>
      <c r="I2681" s="48" t="s">
        <v>60</v>
      </c>
      <c r="J2681" s="49">
        <v>4.9513827E7</v>
      </c>
    </row>
    <row r="2682">
      <c r="A2682" s="45" t="s">
        <v>74</v>
      </c>
      <c r="B2682" s="16" t="s">
        <v>244</v>
      </c>
      <c r="C2682" s="17" t="s">
        <v>245</v>
      </c>
      <c r="D2682" s="15">
        <v>4.0</v>
      </c>
      <c r="E2682" s="17" t="s">
        <v>548</v>
      </c>
      <c r="F2682" s="15" t="s">
        <v>549</v>
      </c>
      <c r="G2682" s="46" t="s">
        <v>550</v>
      </c>
      <c r="H2682" s="47" t="s">
        <v>551</v>
      </c>
      <c r="I2682" s="48" t="s">
        <v>25</v>
      </c>
      <c r="J2682" s="49">
        <v>1.64879E8</v>
      </c>
    </row>
    <row r="2683">
      <c r="A2683" s="45" t="s">
        <v>74</v>
      </c>
      <c r="B2683" s="16" t="s">
        <v>254</v>
      </c>
      <c r="C2683" s="17" t="s">
        <v>255</v>
      </c>
      <c r="D2683" s="15">
        <v>4.0</v>
      </c>
      <c r="E2683" s="17" t="s">
        <v>441</v>
      </c>
      <c r="F2683" s="15" t="s">
        <v>442</v>
      </c>
      <c r="G2683" s="46" t="s">
        <v>443</v>
      </c>
      <c r="H2683" s="47" t="s">
        <v>420</v>
      </c>
      <c r="I2683" s="48" t="s">
        <v>19</v>
      </c>
      <c r="J2683" s="49">
        <v>3.6971428E7</v>
      </c>
    </row>
    <row r="2684">
      <c r="A2684" s="45" t="s">
        <v>74</v>
      </c>
      <c r="B2684" s="16" t="s">
        <v>254</v>
      </c>
      <c r="C2684" s="17" t="s">
        <v>255</v>
      </c>
      <c r="D2684" s="15">
        <v>4.0</v>
      </c>
      <c r="E2684" s="17" t="s">
        <v>441</v>
      </c>
      <c r="F2684" s="15" t="s">
        <v>442</v>
      </c>
      <c r="G2684" s="46" t="s">
        <v>444</v>
      </c>
      <c r="H2684" s="47" t="s">
        <v>445</v>
      </c>
      <c r="I2684" s="48" t="s">
        <v>19</v>
      </c>
      <c r="J2684" s="49">
        <v>5176738.0</v>
      </c>
    </row>
    <row r="2685">
      <c r="A2685" s="45" t="s">
        <v>74</v>
      </c>
      <c r="B2685" s="16" t="s">
        <v>254</v>
      </c>
      <c r="C2685" s="17" t="s">
        <v>255</v>
      </c>
      <c r="D2685" s="15">
        <v>4.0</v>
      </c>
      <c r="E2685" s="17" t="s">
        <v>441</v>
      </c>
      <c r="F2685" s="15" t="s">
        <v>442</v>
      </c>
      <c r="G2685" s="46" t="s">
        <v>579</v>
      </c>
      <c r="H2685" s="47" t="s">
        <v>580</v>
      </c>
      <c r="I2685" s="48" t="s">
        <v>19</v>
      </c>
      <c r="J2685" s="49">
        <v>3952987.0</v>
      </c>
    </row>
    <row r="2686">
      <c r="A2686" s="45" t="s">
        <v>74</v>
      </c>
      <c r="B2686" s="16" t="s">
        <v>254</v>
      </c>
      <c r="C2686" s="17" t="s">
        <v>255</v>
      </c>
      <c r="D2686" s="15">
        <v>4.0</v>
      </c>
      <c r="E2686" s="17" t="s">
        <v>441</v>
      </c>
      <c r="F2686" s="15" t="s">
        <v>442</v>
      </c>
      <c r="G2686" s="46" t="s">
        <v>446</v>
      </c>
      <c r="H2686" s="47" t="s">
        <v>447</v>
      </c>
      <c r="I2686" s="48" t="s">
        <v>19</v>
      </c>
      <c r="J2686" s="49">
        <v>362712.0</v>
      </c>
    </row>
    <row r="2687">
      <c r="A2687" s="45" t="s">
        <v>74</v>
      </c>
      <c r="B2687" s="16" t="s">
        <v>254</v>
      </c>
      <c r="C2687" s="17" t="s">
        <v>255</v>
      </c>
      <c r="D2687" s="15">
        <v>4.0</v>
      </c>
      <c r="E2687" s="17" t="s">
        <v>441</v>
      </c>
      <c r="F2687" s="15" t="s">
        <v>442</v>
      </c>
      <c r="G2687" s="46" t="s">
        <v>448</v>
      </c>
      <c r="H2687" s="47" t="s">
        <v>449</v>
      </c>
      <c r="I2687" s="48" t="s">
        <v>19</v>
      </c>
      <c r="J2687" s="49">
        <v>858451.0</v>
      </c>
    </row>
    <row r="2688">
      <c r="A2688" s="45" t="s">
        <v>74</v>
      </c>
      <c r="B2688" s="16" t="s">
        <v>254</v>
      </c>
      <c r="C2688" s="17" t="s">
        <v>255</v>
      </c>
      <c r="D2688" s="15">
        <v>4.0</v>
      </c>
      <c r="E2688" s="17" t="s">
        <v>441</v>
      </c>
      <c r="F2688" s="15" t="s">
        <v>442</v>
      </c>
      <c r="G2688" s="46" t="s">
        <v>450</v>
      </c>
      <c r="H2688" s="47" t="s">
        <v>451</v>
      </c>
      <c r="I2688" s="48" t="s">
        <v>19</v>
      </c>
      <c r="J2688" s="49">
        <v>0.0</v>
      </c>
    </row>
    <row r="2689">
      <c r="A2689" s="45" t="s">
        <v>74</v>
      </c>
      <c r="B2689" s="16" t="s">
        <v>254</v>
      </c>
      <c r="C2689" s="17" t="s">
        <v>255</v>
      </c>
      <c r="D2689" s="15">
        <v>4.0</v>
      </c>
      <c r="E2689" s="17" t="s">
        <v>441</v>
      </c>
      <c r="F2689" s="15" t="s">
        <v>442</v>
      </c>
      <c r="G2689" s="46" t="s">
        <v>452</v>
      </c>
      <c r="H2689" s="47" t="s">
        <v>453</v>
      </c>
      <c r="I2689" s="48" t="s">
        <v>19</v>
      </c>
      <c r="J2689" s="49">
        <v>671017.0</v>
      </c>
    </row>
    <row r="2690">
      <c r="A2690" s="45" t="s">
        <v>74</v>
      </c>
      <c r="B2690" s="16" t="s">
        <v>254</v>
      </c>
      <c r="C2690" s="17" t="s">
        <v>255</v>
      </c>
      <c r="D2690" s="15">
        <v>4.0</v>
      </c>
      <c r="E2690" s="17" t="s">
        <v>441</v>
      </c>
      <c r="F2690" s="15" t="s">
        <v>442</v>
      </c>
      <c r="G2690" s="46" t="s">
        <v>454</v>
      </c>
      <c r="H2690" s="47" t="s">
        <v>415</v>
      </c>
      <c r="I2690" s="48" t="s">
        <v>19</v>
      </c>
      <c r="J2690" s="49">
        <v>97932.0</v>
      </c>
    </row>
    <row r="2691">
      <c r="A2691" s="45" t="s">
        <v>74</v>
      </c>
      <c r="B2691" s="16" t="s">
        <v>254</v>
      </c>
      <c r="C2691" s="17" t="s">
        <v>255</v>
      </c>
      <c r="D2691" s="15">
        <v>4.0</v>
      </c>
      <c r="E2691" s="17" t="s">
        <v>441</v>
      </c>
      <c r="F2691" s="15" t="s">
        <v>442</v>
      </c>
      <c r="G2691" s="46" t="s">
        <v>455</v>
      </c>
      <c r="H2691" s="47" t="s">
        <v>415</v>
      </c>
      <c r="I2691" s="48" t="s">
        <v>19</v>
      </c>
      <c r="J2691" s="49">
        <v>54407.0</v>
      </c>
    </row>
    <row r="2692">
      <c r="A2692" s="45" t="s">
        <v>74</v>
      </c>
      <c r="B2692" s="16" t="s">
        <v>254</v>
      </c>
      <c r="C2692" s="17" t="s">
        <v>255</v>
      </c>
      <c r="D2692" s="15">
        <v>4.0</v>
      </c>
      <c r="E2692" s="17" t="s">
        <v>441</v>
      </c>
      <c r="F2692" s="15" t="s">
        <v>442</v>
      </c>
      <c r="G2692" s="46" t="s">
        <v>583</v>
      </c>
      <c r="H2692" s="47" t="s">
        <v>584</v>
      </c>
      <c r="I2692" s="48" t="s">
        <v>25</v>
      </c>
      <c r="J2692" s="49">
        <v>5100000.0</v>
      </c>
    </row>
    <row r="2693">
      <c r="A2693" s="45" t="s">
        <v>74</v>
      </c>
      <c r="B2693" s="16" t="s">
        <v>254</v>
      </c>
      <c r="C2693" s="17" t="s">
        <v>255</v>
      </c>
      <c r="D2693" s="15">
        <v>4.0</v>
      </c>
      <c r="E2693" s="17" t="s">
        <v>456</v>
      </c>
      <c r="F2693" s="15" t="s">
        <v>457</v>
      </c>
      <c r="G2693" s="46" t="s">
        <v>458</v>
      </c>
      <c r="H2693" s="47" t="s">
        <v>411</v>
      </c>
      <c r="I2693" s="48" t="s">
        <v>19</v>
      </c>
      <c r="J2693" s="49">
        <v>2.5491357E8</v>
      </c>
    </row>
    <row r="2694">
      <c r="A2694" s="45" t="s">
        <v>74</v>
      </c>
      <c r="B2694" s="16" t="s">
        <v>254</v>
      </c>
      <c r="C2694" s="17" t="s">
        <v>255</v>
      </c>
      <c r="D2694" s="15">
        <v>4.0</v>
      </c>
      <c r="E2694" s="17" t="s">
        <v>459</v>
      </c>
      <c r="F2694" s="15" t="s">
        <v>460</v>
      </c>
      <c r="G2694" s="46" t="s">
        <v>458</v>
      </c>
      <c r="H2694" s="47" t="s">
        <v>411</v>
      </c>
      <c r="I2694" s="48" t="s">
        <v>19</v>
      </c>
      <c r="J2694" s="49">
        <v>1.4443443E7</v>
      </c>
    </row>
    <row r="2695">
      <c r="A2695" s="45" t="s">
        <v>74</v>
      </c>
      <c r="B2695" s="16" t="s">
        <v>254</v>
      </c>
      <c r="C2695" s="17" t="s">
        <v>255</v>
      </c>
      <c r="D2695" s="15">
        <v>4.0</v>
      </c>
      <c r="E2695" s="17" t="s">
        <v>463</v>
      </c>
      <c r="F2695" s="15" t="s">
        <v>464</v>
      </c>
      <c r="G2695" s="46" t="s">
        <v>520</v>
      </c>
      <c r="H2695" s="47" t="s">
        <v>435</v>
      </c>
      <c r="I2695" s="48" t="s">
        <v>37</v>
      </c>
      <c r="J2695" s="49">
        <v>619899.0</v>
      </c>
    </row>
    <row r="2696">
      <c r="A2696" s="45" t="s">
        <v>74</v>
      </c>
      <c r="B2696" s="16" t="s">
        <v>254</v>
      </c>
      <c r="C2696" s="17" t="s">
        <v>255</v>
      </c>
      <c r="D2696" s="15">
        <v>4.0</v>
      </c>
      <c r="E2696" s="17" t="s">
        <v>463</v>
      </c>
      <c r="F2696" s="15" t="s">
        <v>464</v>
      </c>
      <c r="G2696" s="46" t="s">
        <v>458</v>
      </c>
      <c r="H2696" s="47" t="s">
        <v>411</v>
      </c>
      <c r="I2696" s="48" t="s">
        <v>19</v>
      </c>
      <c r="J2696" s="49">
        <v>6190047.0</v>
      </c>
    </row>
    <row r="2697">
      <c r="A2697" s="45" t="s">
        <v>74</v>
      </c>
      <c r="B2697" s="16" t="s">
        <v>254</v>
      </c>
      <c r="C2697" s="17" t="s">
        <v>255</v>
      </c>
      <c r="D2697" s="15">
        <v>4.0</v>
      </c>
      <c r="E2697" s="17" t="s">
        <v>487</v>
      </c>
      <c r="F2697" s="15" t="s">
        <v>488</v>
      </c>
      <c r="G2697" s="46" t="s">
        <v>458</v>
      </c>
      <c r="H2697" s="47" t="s">
        <v>411</v>
      </c>
      <c r="I2697" s="48" t="s">
        <v>19</v>
      </c>
      <c r="J2697" s="49">
        <v>1.268229E7</v>
      </c>
    </row>
    <row r="2698">
      <c r="A2698" s="45" t="s">
        <v>74</v>
      </c>
      <c r="B2698" s="16" t="s">
        <v>254</v>
      </c>
      <c r="C2698" s="17" t="s">
        <v>255</v>
      </c>
      <c r="D2698" s="15">
        <v>4.0</v>
      </c>
      <c r="E2698" s="17" t="s">
        <v>469</v>
      </c>
      <c r="F2698" s="15" t="s">
        <v>470</v>
      </c>
      <c r="G2698" s="46" t="s">
        <v>471</v>
      </c>
      <c r="H2698" s="47" t="s">
        <v>472</v>
      </c>
      <c r="I2698" s="48" t="s">
        <v>25</v>
      </c>
      <c r="J2698" s="49">
        <v>4148175.0</v>
      </c>
    </row>
    <row r="2699">
      <c r="A2699" s="45" t="s">
        <v>74</v>
      </c>
      <c r="B2699" s="16" t="s">
        <v>254</v>
      </c>
      <c r="C2699" s="17" t="s">
        <v>255</v>
      </c>
      <c r="D2699" s="15">
        <v>4.0</v>
      </c>
      <c r="E2699" s="17" t="s">
        <v>473</v>
      </c>
      <c r="F2699" s="15" t="s">
        <v>474</v>
      </c>
      <c r="G2699" s="46" t="s">
        <v>523</v>
      </c>
      <c r="H2699" s="47" t="s">
        <v>431</v>
      </c>
      <c r="I2699" s="48" t="s">
        <v>17</v>
      </c>
      <c r="J2699" s="49">
        <v>5.64524509E8</v>
      </c>
    </row>
    <row r="2700">
      <c r="A2700" s="45" t="s">
        <v>74</v>
      </c>
      <c r="B2700" s="16" t="s">
        <v>254</v>
      </c>
      <c r="C2700" s="17" t="s">
        <v>255</v>
      </c>
      <c r="D2700" s="15">
        <v>4.0</v>
      </c>
      <c r="E2700" s="17" t="s">
        <v>473</v>
      </c>
      <c r="F2700" s="15" t="s">
        <v>474</v>
      </c>
      <c r="G2700" s="46" t="s">
        <v>523</v>
      </c>
      <c r="H2700" s="47" t="s">
        <v>431</v>
      </c>
      <c r="I2700" s="48" t="s">
        <v>25</v>
      </c>
      <c r="J2700" s="49">
        <v>-3.2423174E8</v>
      </c>
    </row>
    <row r="2701">
      <c r="A2701" s="45" t="s">
        <v>74</v>
      </c>
      <c r="B2701" s="16" t="s">
        <v>254</v>
      </c>
      <c r="C2701" s="17" t="s">
        <v>255</v>
      </c>
      <c r="D2701" s="15">
        <v>4.0</v>
      </c>
      <c r="E2701" s="17" t="s">
        <v>473</v>
      </c>
      <c r="F2701" s="15" t="s">
        <v>474</v>
      </c>
      <c r="G2701" s="46" t="s">
        <v>458</v>
      </c>
      <c r="H2701" s="47" t="s">
        <v>411</v>
      </c>
      <c r="I2701" s="48" t="s">
        <v>19</v>
      </c>
      <c r="J2701" s="49">
        <v>6.337773E7</v>
      </c>
    </row>
    <row r="2702">
      <c r="A2702" s="45" t="s">
        <v>74</v>
      </c>
      <c r="B2702" s="16" t="s">
        <v>254</v>
      </c>
      <c r="C2702" s="17" t="s">
        <v>255</v>
      </c>
      <c r="D2702" s="15">
        <v>4.0</v>
      </c>
      <c r="E2702" s="17" t="s">
        <v>491</v>
      </c>
      <c r="F2702" s="15" t="s">
        <v>492</v>
      </c>
      <c r="G2702" s="46" t="s">
        <v>545</v>
      </c>
      <c r="H2702" s="47" t="s">
        <v>427</v>
      </c>
      <c r="I2702" s="48" t="s">
        <v>37</v>
      </c>
      <c r="J2702" s="49">
        <v>1.3891436E7</v>
      </c>
    </row>
    <row r="2703">
      <c r="A2703" s="45" t="s">
        <v>74</v>
      </c>
      <c r="B2703" s="16" t="s">
        <v>254</v>
      </c>
      <c r="C2703" s="17" t="s">
        <v>255</v>
      </c>
      <c r="D2703" s="15">
        <v>4.0</v>
      </c>
      <c r="E2703" s="17" t="s">
        <v>491</v>
      </c>
      <c r="F2703" s="15" t="s">
        <v>492</v>
      </c>
      <c r="G2703" s="46" t="s">
        <v>543</v>
      </c>
      <c r="H2703" s="47" t="s">
        <v>430</v>
      </c>
      <c r="I2703" s="48" t="s">
        <v>37</v>
      </c>
      <c r="J2703" s="49">
        <v>1256100.0</v>
      </c>
    </row>
    <row r="2704">
      <c r="A2704" s="45" t="s">
        <v>74</v>
      </c>
      <c r="B2704" s="16" t="s">
        <v>254</v>
      </c>
      <c r="C2704" s="17" t="s">
        <v>255</v>
      </c>
      <c r="D2704" s="15">
        <v>4.0</v>
      </c>
      <c r="E2704" s="17" t="s">
        <v>491</v>
      </c>
      <c r="F2704" s="15" t="s">
        <v>492</v>
      </c>
      <c r="G2704" s="46" t="s">
        <v>521</v>
      </c>
      <c r="H2704" s="47" t="s">
        <v>522</v>
      </c>
      <c r="I2704" s="48" t="s">
        <v>37</v>
      </c>
      <c r="J2704" s="49">
        <v>1696000.0</v>
      </c>
    </row>
    <row r="2705">
      <c r="A2705" s="45" t="s">
        <v>74</v>
      </c>
      <c r="B2705" s="16" t="s">
        <v>254</v>
      </c>
      <c r="C2705" s="17" t="s">
        <v>255</v>
      </c>
      <c r="D2705" s="15">
        <v>4.0</v>
      </c>
      <c r="E2705" s="17" t="s">
        <v>491</v>
      </c>
      <c r="F2705" s="15" t="s">
        <v>492</v>
      </c>
      <c r="G2705" s="46" t="s">
        <v>493</v>
      </c>
      <c r="H2705" s="47" t="s">
        <v>437</v>
      </c>
      <c r="I2705" s="48" t="s">
        <v>17</v>
      </c>
      <c r="J2705" s="49">
        <v>1.0212636E7</v>
      </c>
    </row>
    <row r="2706">
      <c r="A2706" s="45" t="s">
        <v>74</v>
      </c>
      <c r="B2706" s="16" t="s">
        <v>254</v>
      </c>
      <c r="C2706" s="17" t="s">
        <v>255</v>
      </c>
      <c r="D2706" s="15">
        <v>4.0</v>
      </c>
      <c r="E2706" s="17" t="s">
        <v>491</v>
      </c>
      <c r="F2706" s="15" t="s">
        <v>492</v>
      </c>
      <c r="G2706" s="46" t="s">
        <v>493</v>
      </c>
      <c r="H2706" s="47" t="s">
        <v>437</v>
      </c>
      <c r="I2706" s="48" t="s">
        <v>25</v>
      </c>
      <c r="J2706" s="49">
        <v>5215423.0</v>
      </c>
    </row>
    <row r="2707">
      <c r="A2707" s="45" t="s">
        <v>74</v>
      </c>
      <c r="B2707" s="16" t="s">
        <v>254</v>
      </c>
      <c r="C2707" s="17" t="s">
        <v>255</v>
      </c>
      <c r="D2707" s="15">
        <v>4.0</v>
      </c>
      <c r="E2707" s="17" t="s">
        <v>491</v>
      </c>
      <c r="F2707" s="15" t="s">
        <v>492</v>
      </c>
      <c r="G2707" s="46" t="s">
        <v>458</v>
      </c>
      <c r="H2707" s="47" t="s">
        <v>411</v>
      </c>
      <c r="I2707" s="48" t="s">
        <v>19</v>
      </c>
      <c r="J2707" s="49">
        <v>1.222284E7</v>
      </c>
    </row>
    <row r="2708">
      <c r="A2708" s="45" t="s">
        <v>74</v>
      </c>
      <c r="B2708" s="16" t="s">
        <v>254</v>
      </c>
      <c r="C2708" s="17" t="s">
        <v>255</v>
      </c>
      <c r="D2708" s="15">
        <v>4.0</v>
      </c>
      <c r="E2708" s="17" t="s">
        <v>494</v>
      </c>
      <c r="F2708" s="15" t="s">
        <v>495</v>
      </c>
      <c r="G2708" s="46" t="s">
        <v>545</v>
      </c>
      <c r="H2708" s="47" t="s">
        <v>427</v>
      </c>
      <c r="I2708" s="48" t="s">
        <v>37</v>
      </c>
      <c r="J2708" s="49">
        <v>4118482.0</v>
      </c>
    </row>
    <row r="2709">
      <c r="A2709" s="45" t="s">
        <v>74</v>
      </c>
      <c r="B2709" s="16" t="s">
        <v>254</v>
      </c>
      <c r="C2709" s="17" t="s">
        <v>255</v>
      </c>
      <c r="D2709" s="15">
        <v>4.0</v>
      </c>
      <c r="E2709" s="17" t="s">
        <v>494</v>
      </c>
      <c r="F2709" s="15" t="s">
        <v>495</v>
      </c>
      <c r="G2709" s="46" t="s">
        <v>496</v>
      </c>
      <c r="H2709" s="47" t="s">
        <v>497</v>
      </c>
      <c r="I2709" s="48" t="s">
        <v>25</v>
      </c>
      <c r="J2709" s="49">
        <v>40125.0</v>
      </c>
    </row>
    <row r="2710">
      <c r="A2710" s="45" t="s">
        <v>74</v>
      </c>
      <c r="B2710" s="16" t="s">
        <v>254</v>
      </c>
      <c r="C2710" s="17" t="s">
        <v>255</v>
      </c>
      <c r="D2710" s="15">
        <v>4.0</v>
      </c>
      <c r="E2710" s="17" t="s">
        <v>494</v>
      </c>
      <c r="F2710" s="15" t="s">
        <v>495</v>
      </c>
      <c r="G2710" s="46" t="s">
        <v>458</v>
      </c>
      <c r="H2710" s="47" t="s">
        <v>411</v>
      </c>
      <c r="I2710" s="48" t="s">
        <v>19</v>
      </c>
      <c r="J2710" s="49">
        <v>1.208802E7</v>
      </c>
    </row>
    <row r="2711">
      <c r="A2711" s="45" t="s">
        <v>74</v>
      </c>
      <c r="B2711" s="16" t="s">
        <v>254</v>
      </c>
      <c r="C2711" s="17" t="s">
        <v>255</v>
      </c>
      <c r="D2711" s="15">
        <v>4.0</v>
      </c>
      <c r="E2711" s="17" t="s">
        <v>494</v>
      </c>
      <c r="F2711" s="15" t="s">
        <v>495</v>
      </c>
      <c r="G2711" s="46" t="s">
        <v>477</v>
      </c>
      <c r="H2711" s="47" t="s">
        <v>429</v>
      </c>
      <c r="I2711" s="48" t="s">
        <v>50</v>
      </c>
      <c r="J2711" s="49">
        <v>3.8047405E7</v>
      </c>
    </row>
    <row r="2712">
      <c r="A2712" s="45" t="s">
        <v>74</v>
      </c>
      <c r="B2712" s="16" t="s">
        <v>254</v>
      </c>
      <c r="C2712" s="17" t="s">
        <v>255</v>
      </c>
      <c r="D2712" s="15">
        <v>4.0</v>
      </c>
      <c r="E2712" s="17" t="s">
        <v>475</v>
      </c>
      <c r="F2712" s="15" t="s">
        <v>476</v>
      </c>
      <c r="G2712" s="46" t="s">
        <v>477</v>
      </c>
      <c r="H2712" s="47" t="s">
        <v>429</v>
      </c>
      <c r="I2712" s="48" t="s">
        <v>50</v>
      </c>
      <c r="J2712" s="49">
        <v>3.4656095E7</v>
      </c>
    </row>
    <row r="2713">
      <c r="A2713" s="45" t="s">
        <v>74</v>
      </c>
      <c r="B2713" s="16" t="s">
        <v>254</v>
      </c>
      <c r="C2713" s="17" t="s">
        <v>255</v>
      </c>
      <c r="D2713" s="15">
        <v>4.0</v>
      </c>
      <c r="E2713" s="17" t="s">
        <v>524</v>
      </c>
      <c r="F2713" s="15" t="s">
        <v>479</v>
      </c>
      <c r="G2713" s="46" t="s">
        <v>443</v>
      </c>
      <c r="H2713" s="47" t="s">
        <v>420</v>
      </c>
      <c r="I2713" s="48" t="s">
        <v>19</v>
      </c>
      <c r="J2713" s="49">
        <v>9.4483608E7</v>
      </c>
    </row>
    <row r="2714">
      <c r="A2714" s="45" t="s">
        <v>74</v>
      </c>
      <c r="B2714" s="16" t="s">
        <v>254</v>
      </c>
      <c r="C2714" s="17" t="s">
        <v>255</v>
      </c>
      <c r="D2714" s="15">
        <v>4.0</v>
      </c>
      <c r="E2714" s="17" t="s">
        <v>524</v>
      </c>
      <c r="F2714" s="15" t="s">
        <v>479</v>
      </c>
      <c r="G2714" s="46" t="s">
        <v>444</v>
      </c>
      <c r="H2714" s="47" t="s">
        <v>445</v>
      </c>
      <c r="I2714" s="48" t="s">
        <v>19</v>
      </c>
      <c r="J2714" s="49">
        <v>8357921.0</v>
      </c>
    </row>
    <row r="2715">
      <c r="A2715" s="45" t="s">
        <v>74</v>
      </c>
      <c r="B2715" s="16" t="s">
        <v>254</v>
      </c>
      <c r="C2715" s="17" t="s">
        <v>255</v>
      </c>
      <c r="D2715" s="15">
        <v>4.0</v>
      </c>
      <c r="E2715" s="17" t="s">
        <v>524</v>
      </c>
      <c r="F2715" s="15" t="s">
        <v>479</v>
      </c>
      <c r="G2715" s="46" t="s">
        <v>579</v>
      </c>
      <c r="H2715" s="47" t="s">
        <v>580</v>
      </c>
      <c r="I2715" s="48" t="s">
        <v>19</v>
      </c>
      <c r="J2715" s="49">
        <v>8443874.0</v>
      </c>
    </row>
    <row r="2716">
      <c r="A2716" s="45" t="s">
        <v>74</v>
      </c>
      <c r="B2716" s="16" t="s">
        <v>254</v>
      </c>
      <c r="C2716" s="17" t="s">
        <v>255</v>
      </c>
      <c r="D2716" s="15">
        <v>4.0</v>
      </c>
      <c r="E2716" s="17" t="s">
        <v>524</v>
      </c>
      <c r="F2716" s="15" t="s">
        <v>479</v>
      </c>
      <c r="G2716" s="46" t="s">
        <v>446</v>
      </c>
      <c r="H2716" s="47" t="s">
        <v>447</v>
      </c>
      <c r="I2716" s="48" t="s">
        <v>19</v>
      </c>
      <c r="J2716" s="49">
        <v>1002149.0</v>
      </c>
    </row>
    <row r="2717">
      <c r="A2717" s="45" t="s">
        <v>74</v>
      </c>
      <c r="B2717" s="16" t="s">
        <v>254</v>
      </c>
      <c r="C2717" s="17" t="s">
        <v>255</v>
      </c>
      <c r="D2717" s="15">
        <v>4.0</v>
      </c>
      <c r="E2717" s="17" t="s">
        <v>524</v>
      </c>
      <c r="F2717" s="15" t="s">
        <v>479</v>
      </c>
      <c r="G2717" s="46" t="s">
        <v>448</v>
      </c>
      <c r="H2717" s="47" t="s">
        <v>449</v>
      </c>
      <c r="I2717" s="48" t="s">
        <v>19</v>
      </c>
      <c r="J2717" s="49">
        <v>2371841.0</v>
      </c>
    </row>
    <row r="2718">
      <c r="A2718" s="45" t="s">
        <v>74</v>
      </c>
      <c r="B2718" s="16" t="s">
        <v>254</v>
      </c>
      <c r="C2718" s="17" t="s">
        <v>255</v>
      </c>
      <c r="D2718" s="15">
        <v>4.0</v>
      </c>
      <c r="E2718" s="17" t="s">
        <v>524</v>
      </c>
      <c r="F2718" s="15" t="s">
        <v>479</v>
      </c>
      <c r="G2718" s="46" t="s">
        <v>450</v>
      </c>
      <c r="H2718" s="47" t="s">
        <v>451</v>
      </c>
      <c r="I2718" s="48" t="s">
        <v>19</v>
      </c>
      <c r="J2718" s="49">
        <v>0.0</v>
      </c>
    </row>
    <row r="2719">
      <c r="A2719" s="45" t="s">
        <v>74</v>
      </c>
      <c r="B2719" s="16" t="s">
        <v>254</v>
      </c>
      <c r="C2719" s="17" t="s">
        <v>255</v>
      </c>
      <c r="D2719" s="15">
        <v>4.0</v>
      </c>
      <c r="E2719" s="17" t="s">
        <v>524</v>
      </c>
      <c r="F2719" s="15" t="s">
        <v>479</v>
      </c>
      <c r="G2719" s="46" t="s">
        <v>452</v>
      </c>
      <c r="H2719" s="47" t="s">
        <v>453</v>
      </c>
      <c r="I2719" s="48" t="s">
        <v>19</v>
      </c>
      <c r="J2719" s="49">
        <v>1853974.0</v>
      </c>
    </row>
    <row r="2720">
      <c r="A2720" s="45" t="s">
        <v>74</v>
      </c>
      <c r="B2720" s="16" t="s">
        <v>254</v>
      </c>
      <c r="C2720" s="17" t="s">
        <v>255</v>
      </c>
      <c r="D2720" s="15">
        <v>4.0</v>
      </c>
      <c r="E2720" s="17" t="s">
        <v>524</v>
      </c>
      <c r="F2720" s="15" t="s">
        <v>479</v>
      </c>
      <c r="G2720" s="46" t="s">
        <v>454</v>
      </c>
      <c r="H2720" s="47" t="s">
        <v>415</v>
      </c>
      <c r="I2720" s="48" t="s">
        <v>19</v>
      </c>
      <c r="J2720" s="49">
        <v>270580.0</v>
      </c>
    </row>
    <row r="2721">
      <c r="A2721" s="45" t="s">
        <v>74</v>
      </c>
      <c r="B2721" s="16" t="s">
        <v>254</v>
      </c>
      <c r="C2721" s="17" t="s">
        <v>255</v>
      </c>
      <c r="D2721" s="15">
        <v>4.0</v>
      </c>
      <c r="E2721" s="17" t="s">
        <v>524</v>
      </c>
      <c r="F2721" s="15" t="s">
        <v>479</v>
      </c>
      <c r="G2721" s="46" t="s">
        <v>455</v>
      </c>
      <c r="H2721" s="47" t="s">
        <v>415</v>
      </c>
      <c r="I2721" s="48" t="s">
        <v>19</v>
      </c>
      <c r="J2721" s="49">
        <v>150322.0</v>
      </c>
    </row>
    <row r="2722">
      <c r="A2722" s="45" t="s">
        <v>74</v>
      </c>
      <c r="B2722" s="16" t="s">
        <v>254</v>
      </c>
      <c r="C2722" s="17" t="s">
        <v>255</v>
      </c>
      <c r="D2722" s="15">
        <v>4.0</v>
      </c>
      <c r="E2722" s="17" t="s">
        <v>524</v>
      </c>
      <c r="F2722" s="15" t="s">
        <v>479</v>
      </c>
      <c r="G2722" s="46" t="s">
        <v>480</v>
      </c>
      <c r="H2722" s="47" t="s">
        <v>481</v>
      </c>
      <c r="I2722" s="48" t="s">
        <v>19</v>
      </c>
      <c r="J2722" s="49">
        <v>6888020.0</v>
      </c>
    </row>
    <row r="2723">
      <c r="A2723" s="45" t="s">
        <v>74</v>
      </c>
      <c r="B2723" s="16" t="s">
        <v>254</v>
      </c>
      <c r="C2723" s="17" t="s">
        <v>255</v>
      </c>
      <c r="D2723" s="15">
        <v>4.0</v>
      </c>
      <c r="E2723" s="17" t="s">
        <v>524</v>
      </c>
      <c r="F2723" s="15" t="s">
        <v>479</v>
      </c>
      <c r="G2723" s="46" t="s">
        <v>583</v>
      </c>
      <c r="H2723" s="47" t="s">
        <v>584</v>
      </c>
      <c r="I2723" s="48" t="s">
        <v>25</v>
      </c>
      <c r="J2723" s="49">
        <v>1.53E7</v>
      </c>
    </row>
    <row r="2724">
      <c r="A2724" s="45" t="s">
        <v>74</v>
      </c>
      <c r="B2724" s="16" t="s">
        <v>254</v>
      </c>
      <c r="C2724" s="17" t="s">
        <v>255</v>
      </c>
      <c r="D2724" s="15">
        <v>4.0</v>
      </c>
      <c r="E2724" s="17" t="s">
        <v>525</v>
      </c>
      <c r="F2724" s="15" t="s">
        <v>502</v>
      </c>
      <c r="G2724" s="46" t="s">
        <v>526</v>
      </c>
      <c r="H2724" s="47" t="s">
        <v>527</v>
      </c>
      <c r="I2724" s="48" t="s">
        <v>60</v>
      </c>
      <c r="J2724" s="49">
        <v>1.14010995E8</v>
      </c>
    </row>
    <row r="2725">
      <c r="A2725" s="45" t="s">
        <v>74</v>
      </c>
      <c r="B2725" s="16" t="s">
        <v>254</v>
      </c>
      <c r="C2725" s="17" t="s">
        <v>255</v>
      </c>
      <c r="D2725" s="15">
        <v>4.0</v>
      </c>
      <c r="E2725" s="17" t="s">
        <v>525</v>
      </c>
      <c r="F2725" s="15" t="s">
        <v>502</v>
      </c>
      <c r="G2725" s="46" t="s">
        <v>505</v>
      </c>
      <c r="H2725" s="47" t="s">
        <v>506</v>
      </c>
      <c r="I2725" s="48" t="s">
        <v>60</v>
      </c>
      <c r="J2725" s="49">
        <v>5778177.0</v>
      </c>
    </row>
    <row r="2726">
      <c r="A2726" s="45" t="s">
        <v>74</v>
      </c>
      <c r="B2726" s="16" t="s">
        <v>254</v>
      </c>
      <c r="C2726" s="17" t="s">
        <v>255</v>
      </c>
      <c r="D2726" s="15">
        <v>4.0</v>
      </c>
      <c r="E2726" s="17" t="s">
        <v>525</v>
      </c>
      <c r="F2726" s="15" t="s">
        <v>502</v>
      </c>
      <c r="G2726" s="46" t="s">
        <v>507</v>
      </c>
      <c r="H2726" s="47" t="s">
        <v>508</v>
      </c>
      <c r="I2726" s="48" t="s">
        <v>60</v>
      </c>
      <c r="J2726" s="49">
        <v>4465201.0</v>
      </c>
    </row>
    <row r="2727">
      <c r="A2727" s="45" t="s">
        <v>74</v>
      </c>
      <c r="B2727" s="16" t="s">
        <v>254</v>
      </c>
      <c r="C2727" s="17" t="s">
        <v>255</v>
      </c>
      <c r="D2727" s="15">
        <v>4.0</v>
      </c>
      <c r="E2727" s="17" t="s">
        <v>525</v>
      </c>
      <c r="F2727" s="15" t="s">
        <v>502</v>
      </c>
      <c r="G2727" s="46" t="s">
        <v>509</v>
      </c>
      <c r="H2727" s="47" t="s">
        <v>510</v>
      </c>
      <c r="I2727" s="48" t="s">
        <v>60</v>
      </c>
      <c r="J2727" s="49">
        <v>1744050.0</v>
      </c>
    </row>
    <row r="2728">
      <c r="A2728" s="45" t="s">
        <v>74</v>
      </c>
      <c r="B2728" s="16" t="s">
        <v>254</v>
      </c>
      <c r="C2728" s="17" t="s">
        <v>255</v>
      </c>
      <c r="D2728" s="15">
        <v>4.0</v>
      </c>
      <c r="E2728" s="17" t="s">
        <v>525</v>
      </c>
      <c r="F2728" s="15" t="s">
        <v>502</v>
      </c>
      <c r="G2728" s="46" t="s">
        <v>511</v>
      </c>
      <c r="H2728" s="47" t="s">
        <v>512</v>
      </c>
      <c r="I2728" s="48" t="s">
        <v>60</v>
      </c>
      <c r="J2728" s="49">
        <v>6.8770365E7</v>
      </c>
    </row>
    <row r="2729">
      <c r="A2729" s="45" t="s">
        <v>74</v>
      </c>
      <c r="B2729" s="16" t="s">
        <v>254</v>
      </c>
      <c r="C2729" s="17" t="s">
        <v>255</v>
      </c>
      <c r="D2729" s="15">
        <v>4.0</v>
      </c>
      <c r="E2729" s="17" t="s">
        <v>525</v>
      </c>
      <c r="F2729" s="15" t="s">
        <v>502</v>
      </c>
      <c r="G2729" s="46" t="s">
        <v>513</v>
      </c>
      <c r="H2729" s="47" t="s">
        <v>514</v>
      </c>
      <c r="I2729" s="48" t="s">
        <v>60</v>
      </c>
      <c r="J2729" s="49">
        <v>8235481.0</v>
      </c>
    </row>
    <row r="2730">
      <c r="A2730" s="45" t="s">
        <v>74</v>
      </c>
      <c r="B2730" s="16" t="s">
        <v>259</v>
      </c>
      <c r="C2730" s="17" t="s">
        <v>260</v>
      </c>
      <c r="D2730" s="15">
        <v>4.0</v>
      </c>
      <c r="E2730" s="17" t="s">
        <v>441</v>
      </c>
      <c r="F2730" s="15" t="s">
        <v>442</v>
      </c>
      <c r="G2730" s="46" t="s">
        <v>443</v>
      </c>
      <c r="H2730" s="47" t="s">
        <v>420</v>
      </c>
      <c r="I2730" s="48" t="s">
        <v>19</v>
      </c>
      <c r="J2730" s="49">
        <v>4.7611453E7</v>
      </c>
    </row>
    <row r="2731">
      <c r="A2731" s="45" t="s">
        <v>74</v>
      </c>
      <c r="B2731" s="16" t="s">
        <v>259</v>
      </c>
      <c r="C2731" s="17" t="s">
        <v>260</v>
      </c>
      <c r="D2731" s="15">
        <v>4.0</v>
      </c>
      <c r="E2731" s="17" t="s">
        <v>441</v>
      </c>
      <c r="F2731" s="15" t="s">
        <v>442</v>
      </c>
      <c r="G2731" s="46" t="s">
        <v>444</v>
      </c>
      <c r="H2731" s="47" t="s">
        <v>445</v>
      </c>
      <c r="I2731" s="48" t="s">
        <v>19</v>
      </c>
      <c r="J2731" s="49">
        <v>6531179.0</v>
      </c>
    </row>
    <row r="2732">
      <c r="A2732" s="45" t="s">
        <v>74</v>
      </c>
      <c r="B2732" s="16" t="s">
        <v>259</v>
      </c>
      <c r="C2732" s="17" t="s">
        <v>260</v>
      </c>
      <c r="D2732" s="15">
        <v>4.0</v>
      </c>
      <c r="E2732" s="17" t="s">
        <v>441</v>
      </c>
      <c r="F2732" s="15" t="s">
        <v>442</v>
      </c>
      <c r="G2732" s="46" t="s">
        <v>579</v>
      </c>
      <c r="H2732" s="47" t="s">
        <v>580</v>
      </c>
      <c r="I2732" s="48" t="s">
        <v>19</v>
      </c>
      <c r="J2732" s="49">
        <v>5220673.0</v>
      </c>
    </row>
    <row r="2733">
      <c r="A2733" s="45" t="s">
        <v>74</v>
      </c>
      <c r="B2733" s="16" t="s">
        <v>259</v>
      </c>
      <c r="C2733" s="17" t="s">
        <v>260</v>
      </c>
      <c r="D2733" s="15">
        <v>4.0</v>
      </c>
      <c r="E2733" s="17" t="s">
        <v>441</v>
      </c>
      <c r="F2733" s="15" t="s">
        <v>442</v>
      </c>
      <c r="G2733" s="46" t="s">
        <v>446</v>
      </c>
      <c r="H2733" s="47" t="s">
        <v>447</v>
      </c>
      <c r="I2733" s="48" t="s">
        <v>19</v>
      </c>
      <c r="J2733" s="49">
        <v>513500.0</v>
      </c>
    </row>
    <row r="2734">
      <c r="A2734" s="45" t="s">
        <v>74</v>
      </c>
      <c r="B2734" s="16" t="s">
        <v>259</v>
      </c>
      <c r="C2734" s="17" t="s">
        <v>260</v>
      </c>
      <c r="D2734" s="15">
        <v>4.0</v>
      </c>
      <c r="E2734" s="17" t="s">
        <v>441</v>
      </c>
      <c r="F2734" s="15" t="s">
        <v>442</v>
      </c>
      <c r="G2734" s="46" t="s">
        <v>448</v>
      </c>
      <c r="H2734" s="47" t="s">
        <v>449</v>
      </c>
      <c r="I2734" s="48" t="s">
        <v>19</v>
      </c>
      <c r="J2734" s="49">
        <v>1227948.0</v>
      </c>
    </row>
    <row r="2735">
      <c r="A2735" s="45" t="s">
        <v>74</v>
      </c>
      <c r="B2735" s="16" t="s">
        <v>259</v>
      </c>
      <c r="C2735" s="17" t="s">
        <v>260</v>
      </c>
      <c r="D2735" s="15">
        <v>4.0</v>
      </c>
      <c r="E2735" s="17" t="s">
        <v>441</v>
      </c>
      <c r="F2735" s="15" t="s">
        <v>442</v>
      </c>
      <c r="G2735" s="46" t="s">
        <v>450</v>
      </c>
      <c r="H2735" s="47" t="s">
        <v>451</v>
      </c>
      <c r="I2735" s="48" t="s">
        <v>19</v>
      </c>
      <c r="J2735" s="49">
        <v>0.0</v>
      </c>
    </row>
    <row r="2736">
      <c r="A2736" s="45" t="s">
        <v>74</v>
      </c>
      <c r="B2736" s="16" t="s">
        <v>259</v>
      </c>
      <c r="C2736" s="17" t="s">
        <v>260</v>
      </c>
      <c r="D2736" s="15">
        <v>4.0</v>
      </c>
      <c r="E2736" s="17" t="s">
        <v>441</v>
      </c>
      <c r="F2736" s="15" t="s">
        <v>442</v>
      </c>
      <c r="G2736" s="46" t="s">
        <v>452</v>
      </c>
      <c r="H2736" s="47" t="s">
        <v>453</v>
      </c>
      <c r="I2736" s="48" t="s">
        <v>19</v>
      </c>
      <c r="J2736" s="49">
        <v>1062140.0</v>
      </c>
    </row>
    <row r="2737">
      <c r="A2737" s="45" t="s">
        <v>74</v>
      </c>
      <c r="B2737" s="16" t="s">
        <v>259</v>
      </c>
      <c r="C2737" s="17" t="s">
        <v>260</v>
      </c>
      <c r="D2737" s="15">
        <v>4.0</v>
      </c>
      <c r="E2737" s="17" t="s">
        <v>441</v>
      </c>
      <c r="F2737" s="15" t="s">
        <v>442</v>
      </c>
      <c r="G2737" s="46" t="s">
        <v>454</v>
      </c>
      <c r="H2737" s="47" t="s">
        <v>415</v>
      </c>
      <c r="I2737" s="48" t="s">
        <v>19</v>
      </c>
      <c r="J2737" s="49">
        <v>155015.0</v>
      </c>
    </row>
    <row r="2738">
      <c r="A2738" s="45" t="s">
        <v>74</v>
      </c>
      <c r="B2738" s="16" t="s">
        <v>259</v>
      </c>
      <c r="C2738" s="17" t="s">
        <v>260</v>
      </c>
      <c r="D2738" s="15">
        <v>4.0</v>
      </c>
      <c r="E2738" s="17" t="s">
        <v>441</v>
      </c>
      <c r="F2738" s="15" t="s">
        <v>442</v>
      </c>
      <c r="G2738" s="46" t="s">
        <v>455</v>
      </c>
      <c r="H2738" s="47" t="s">
        <v>415</v>
      </c>
      <c r="I2738" s="48" t="s">
        <v>19</v>
      </c>
      <c r="J2738" s="49">
        <v>86120.0</v>
      </c>
    </row>
    <row r="2739">
      <c r="A2739" s="45" t="s">
        <v>74</v>
      </c>
      <c r="B2739" s="16" t="s">
        <v>259</v>
      </c>
      <c r="C2739" s="17" t="s">
        <v>260</v>
      </c>
      <c r="D2739" s="15">
        <v>4.0</v>
      </c>
      <c r="E2739" s="17" t="s">
        <v>441</v>
      </c>
      <c r="F2739" s="15" t="s">
        <v>442</v>
      </c>
      <c r="G2739" s="46" t="s">
        <v>583</v>
      </c>
      <c r="H2739" s="47" t="s">
        <v>584</v>
      </c>
      <c r="I2739" s="48" t="s">
        <v>25</v>
      </c>
      <c r="J2739" s="49">
        <v>5100000.0</v>
      </c>
    </row>
    <row r="2740">
      <c r="A2740" s="45" t="s">
        <v>74</v>
      </c>
      <c r="B2740" s="16" t="s">
        <v>259</v>
      </c>
      <c r="C2740" s="17" t="s">
        <v>260</v>
      </c>
      <c r="D2740" s="15">
        <v>4.0</v>
      </c>
      <c r="E2740" s="17" t="s">
        <v>456</v>
      </c>
      <c r="F2740" s="15" t="s">
        <v>457</v>
      </c>
      <c r="G2740" s="46" t="s">
        <v>458</v>
      </c>
      <c r="H2740" s="47" t="s">
        <v>411</v>
      </c>
      <c r="I2740" s="48" t="s">
        <v>19</v>
      </c>
      <c r="J2740" s="49">
        <v>1.1114799E8</v>
      </c>
    </row>
    <row r="2741">
      <c r="A2741" s="45" t="s">
        <v>74</v>
      </c>
      <c r="B2741" s="16" t="s">
        <v>259</v>
      </c>
      <c r="C2741" s="17" t="s">
        <v>260</v>
      </c>
      <c r="D2741" s="15">
        <v>4.0</v>
      </c>
      <c r="E2741" s="17" t="s">
        <v>469</v>
      </c>
      <c r="F2741" s="15" t="s">
        <v>470</v>
      </c>
      <c r="G2741" s="46" t="s">
        <v>471</v>
      </c>
      <c r="H2741" s="47" t="s">
        <v>472</v>
      </c>
      <c r="I2741" s="48" t="s">
        <v>25</v>
      </c>
      <c r="J2741" s="49">
        <v>2098175.0</v>
      </c>
    </row>
    <row r="2742">
      <c r="A2742" s="45" t="s">
        <v>74</v>
      </c>
      <c r="B2742" s="16" t="s">
        <v>259</v>
      </c>
      <c r="C2742" s="17" t="s">
        <v>260</v>
      </c>
      <c r="D2742" s="15">
        <v>4.0</v>
      </c>
      <c r="E2742" s="17" t="s">
        <v>473</v>
      </c>
      <c r="F2742" s="15" t="s">
        <v>474</v>
      </c>
      <c r="G2742" s="46" t="s">
        <v>523</v>
      </c>
      <c r="H2742" s="47" t="s">
        <v>431</v>
      </c>
      <c r="I2742" s="48" t="s">
        <v>17</v>
      </c>
      <c r="J2742" s="49">
        <v>4.95513087E8</v>
      </c>
    </row>
    <row r="2743">
      <c r="A2743" s="45" t="s">
        <v>74</v>
      </c>
      <c r="B2743" s="16" t="s">
        <v>259</v>
      </c>
      <c r="C2743" s="17" t="s">
        <v>260</v>
      </c>
      <c r="D2743" s="15">
        <v>4.0</v>
      </c>
      <c r="E2743" s="17" t="s">
        <v>473</v>
      </c>
      <c r="F2743" s="15" t="s">
        <v>474</v>
      </c>
      <c r="G2743" s="46" t="s">
        <v>523</v>
      </c>
      <c r="H2743" s="47" t="s">
        <v>431</v>
      </c>
      <c r="I2743" s="48" t="s">
        <v>25</v>
      </c>
      <c r="J2743" s="49">
        <v>-3.07996804E8</v>
      </c>
    </row>
    <row r="2744">
      <c r="A2744" s="45" t="s">
        <v>74</v>
      </c>
      <c r="B2744" s="16" t="s">
        <v>259</v>
      </c>
      <c r="C2744" s="17" t="s">
        <v>260</v>
      </c>
      <c r="D2744" s="15">
        <v>4.0</v>
      </c>
      <c r="E2744" s="17" t="s">
        <v>473</v>
      </c>
      <c r="F2744" s="15" t="s">
        <v>474</v>
      </c>
      <c r="G2744" s="46" t="s">
        <v>458</v>
      </c>
      <c r="H2744" s="47" t="s">
        <v>411</v>
      </c>
      <c r="I2744" s="48" t="s">
        <v>19</v>
      </c>
      <c r="J2744" s="49">
        <v>5.333136E7</v>
      </c>
    </row>
    <row r="2745">
      <c r="A2745" s="45" t="s">
        <v>74</v>
      </c>
      <c r="B2745" s="16" t="s">
        <v>259</v>
      </c>
      <c r="C2745" s="17" t="s">
        <v>260</v>
      </c>
      <c r="D2745" s="15">
        <v>4.0</v>
      </c>
      <c r="E2745" s="17" t="s">
        <v>491</v>
      </c>
      <c r="F2745" s="15" t="s">
        <v>492</v>
      </c>
      <c r="G2745" s="46" t="s">
        <v>545</v>
      </c>
      <c r="H2745" s="47" t="s">
        <v>427</v>
      </c>
      <c r="I2745" s="48" t="s">
        <v>37</v>
      </c>
      <c r="J2745" s="49">
        <v>4.10835E7</v>
      </c>
    </row>
    <row r="2746">
      <c r="A2746" s="45" t="s">
        <v>74</v>
      </c>
      <c r="B2746" s="16" t="s">
        <v>259</v>
      </c>
      <c r="C2746" s="17" t="s">
        <v>260</v>
      </c>
      <c r="D2746" s="15">
        <v>4.0</v>
      </c>
      <c r="E2746" s="17" t="s">
        <v>491</v>
      </c>
      <c r="F2746" s="15" t="s">
        <v>492</v>
      </c>
      <c r="G2746" s="46" t="s">
        <v>521</v>
      </c>
      <c r="H2746" s="47" t="s">
        <v>522</v>
      </c>
      <c r="I2746" s="48" t="s">
        <v>37</v>
      </c>
      <c r="J2746" s="49">
        <v>1480000.0</v>
      </c>
    </row>
    <row r="2747">
      <c r="A2747" s="45" t="s">
        <v>74</v>
      </c>
      <c r="B2747" s="16" t="s">
        <v>259</v>
      </c>
      <c r="C2747" s="17" t="s">
        <v>260</v>
      </c>
      <c r="D2747" s="15">
        <v>4.0</v>
      </c>
      <c r="E2747" s="17" t="s">
        <v>491</v>
      </c>
      <c r="F2747" s="15" t="s">
        <v>492</v>
      </c>
      <c r="G2747" s="46" t="s">
        <v>493</v>
      </c>
      <c r="H2747" s="47" t="s">
        <v>437</v>
      </c>
      <c r="I2747" s="48" t="s">
        <v>17</v>
      </c>
      <c r="J2747" s="49">
        <v>6463636.0</v>
      </c>
    </row>
    <row r="2748">
      <c r="A2748" s="45" t="s">
        <v>74</v>
      </c>
      <c r="B2748" s="16" t="s">
        <v>259</v>
      </c>
      <c r="C2748" s="17" t="s">
        <v>260</v>
      </c>
      <c r="D2748" s="15">
        <v>4.0</v>
      </c>
      <c r="E2748" s="17" t="s">
        <v>491</v>
      </c>
      <c r="F2748" s="15" t="s">
        <v>492</v>
      </c>
      <c r="G2748" s="46" t="s">
        <v>493</v>
      </c>
      <c r="H2748" s="47" t="s">
        <v>437</v>
      </c>
      <c r="I2748" s="48" t="s">
        <v>25</v>
      </c>
      <c r="J2748" s="49">
        <v>1348529.0</v>
      </c>
    </row>
    <row r="2749">
      <c r="A2749" s="45" t="s">
        <v>74</v>
      </c>
      <c r="B2749" s="16" t="s">
        <v>259</v>
      </c>
      <c r="C2749" s="17" t="s">
        <v>260</v>
      </c>
      <c r="D2749" s="15">
        <v>4.0</v>
      </c>
      <c r="E2749" s="17" t="s">
        <v>494</v>
      </c>
      <c r="F2749" s="15" t="s">
        <v>495</v>
      </c>
      <c r="G2749" s="46" t="s">
        <v>496</v>
      </c>
      <c r="H2749" s="47" t="s">
        <v>497</v>
      </c>
      <c r="I2749" s="48" t="s">
        <v>25</v>
      </c>
      <c r="J2749" s="49">
        <v>40125.0</v>
      </c>
    </row>
    <row r="2750">
      <c r="A2750" s="45" t="s">
        <v>74</v>
      </c>
      <c r="B2750" s="16" t="s">
        <v>259</v>
      </c>
      <c r="C2750" s="17" t="s">
        <v>260</v>
      </c>
      <c r="D2750" s="15">
        <v>4.0</v>
      </c>
      <c r="E2750" s="17" t="s">
        <v>494</v>
      </c>
      <c r="F2750" s="15" t="s">
        <v>495</v>
      </c>
      <c r="G2750" s="46" t="s">
        <v>477</v>
      </c>
      <c r="H2750" s="47" t="s">
        <v>429</v>
      </c>
      <c r="I2750" s="48" t="s">
        <v>50</v>
      </c>
      <c r="J2750" s="49">
        <v>4.6385031E7</v>
      </c>
    </row>
    <row r="2751">
      <c r="A2751" s="45" t="s">
        <v>74</v>
      </c>
      <c r="B2751" s="16" t="s">
        <v>259</v>
      </c>
      <c r="C2751" s="17" t="s">
        <v>260</v>
      </c>
      <c r="D2751" s="15">
        <v>4.0</v>
      </c>
      <c r="E2751" s="17" t="s">
        <v>475</v>
      </c>
      <c r="F2751" s="15" t="s">
        <v>476</v>
      </c>
      <c r="G2751" s="46" t="s">
        <v>498</v>
      </c>
      <c r="H2751" s="47" t="s">
        <v>434</v>
      </c>
      <c r="I2751" s="48" t="s">
        <v>25</v>
      </c>
      <c r="J2751" s="49">
        <v>7919000.0</v>
      </c>
    </row>
    <row r="2752">
      <c r="A2752" s="45" t="s">
        <v>74</v>
      </c>
      <c r="B2752" s="16" t="s">
        <v>259</v>
      </c>
      <c r="C2752" s="17" t="s">
        <v>260</v>
      </c>
      <c r="D2752" s="15">
        <v>4.0</v>
      </c>
      <c r="E2752" s="17" t="s">
        <v>475</v>
      </c>
      <c r="F2752" s="15" t="s">
        <v>476</v>
      </c>
      <c r="G2752" s="46" t="s">
        <v>477</v>
      </c>
      <c r="H2752" s="47" t="s">
        <v>429</v>
      </c>
      <c r="I2752" s="48" t="s">
        <v>50</v>
      </c>
      <c r="J2752" s="49">
        <v>5.3846164E7</v>
      </c>
    </row>
    <row r="2753">
      <c r="A2753" s="45" t="s">
        <v>74</v>
      </c>
      <c r="B2753" s="16" t="s">
        <v>259</v>
      </c>
      <c r="C2753" s="17" t="s">
        <v>260</v>
      </c>
      <c r="D2753" s="15">
        <v>4.0</v>
      </c>
      <c r="E2753" s="17" t="s">
        <v>524</v>
      </c>
      <c r="F2753" s="15" t="s">
        <v>479</v>
      </c>
      <c r="G2753" s="46" t="s">
        <v>443</v>
      </c>
      <c r="H2753" s="47" t="s">
        <v>420</v>
      </c>
      <c r="I2753" s="48" t="s">
        <v>19</v>
      </c>
      <c r="J2753" s="49">
        <v>7.7577328E7</v>
      </c>
    </row>
    <row r="2754">
      <c r="A2754" s="45" t="s">
        <v>74</v>
      </c>
      <c r="B2754" s="16" t="s">
        <v>259</v>
      </c>
      <c r="C2754" s="17" t="s">
        <v>260</v>
      </c>
      <c r="D2754" s="15">
        <v>4.0</v>
      </c>
      <c r="E2754" s="17" t="s">
        <v>524</v>
      </c>
      <c r="F2754" s="15" t="s">
        <v>479</v>
      </c>
      <c r="G2754" s="46" t="s">
        <v>444</v>
      </c>
      <c r="H2754" s="47" t="s">
        <v>445</v>
      </c>
      <c r="I2754" s="48" t="s">
        <v>19</v>
      </c>
      <c r="J2754" s="49">
        <v>5664964.0</v>
      </c>
    </row>
    <row r="2755">
      <c r="A2755" s="45" t="s">
        <v>74</v>
      </c>
      <c r="B2755" s="16" t="s">
        <v>259</v>
      </c>
      <c r="C2755" s="17" t="s">
        <v>260</v>
      </c>
      <c r="D2755" s="15">
        <v>4.0</v>
      </c>
      <c r="E2755" s="17" t="s">
        <v>524</v>
      </c>
      <c r="F2755" s="15" t="s">
        <v>479</v>
      </c>
      <c r="G2755" s="46" t="s">
        <v>579</v>
      </c>
      <c r="H2755" s="47" t="s">
        <v>580</v>
      </c>
      <c r="I2755" s="48" t="s">
        <v>19</v>
      </c>
      <c r="J2755" s="49">
        <v>9614516.0</v>
      </c>
    </row>
    <row r="2756">
      <c r="A2756" s="45" t="s">
        <v>74</v>
      </c>
      <c r="B2756" s="16" t="s">
        <v>259</v>
      </c>
      <c r="C2756" s="17" t="s">
        <v>260</v>
      </c>
      <c r="D2756" s="15">
        <v>4.0</v>
      </c>
      <c r="E2756" s="17" t="s">
        <v>524</v>
      </c>
      <c r="F2756" s="15" t="s">
        <v>479</v>
      </c>
      <c r="G2756" s="46" t="s">
        <v>446</v>
      </c>
      <c r="H2756" s="47" t="s">
        <v>447</v>
      </c>
      <c r="I2756" s="48" t="s">
        <v>19</v>
      </c>
      <c r="J2756" s="49">
        <v>869861.0</v>
      </c>
    </row>
    <row r="2757">
      <c r="A2757" s="45" t="s">
        <v>74</v>
      </c>
      <c r="B2757" s="16" t="s">
        <v>259</v>
      </c>
      <c r="C2757" s="17" t="s">
        <v>260</v>
      </c>
      <c r="D2757" s="15">
        <v>4.0</v>
      </c>
      <c r="E2757" s="17" t="s">
        <v>524</v>
      </c>
      <c r="F2757" s="15" t="s">
        <v>479</v>
      </c>
      <c r="G2757" s="46" t="s">
        <v>448</v>
      </c>
      <c r="H2757" s="47" t="s">
        <v>449</v>
      </c>
      <c r="I2757" s="48" t="s">
        <v>19</v>
      </c>
      <c r="J2757" s="49">
        <v>1971689.0</v>
      </c>
    </row>
    <row r="2758">
      <c r="A2758" s="45" t="s">
        <v>74</v>
      </c>
      <c r="B2758" s="16" t="s">
        <v>259</v>
      </c>
      <c r="C2758" s="17" t="s">
        <v>260</v>
      </c>
      <c r="D2758" s="15">
        <v>4.0</v>
      </c>
      <c r="E2758" s="17" t="s">
        <v>524</v>
      </c>
      <c r="F2758" s="15" t="s">
        <v>479</v>
      </c>
      <c r="G2758" s="46" t="s">
        <v>450</v>
      </c>
      <c r="H2758" s="47" t="s">
        <v>451</v>
      </c>
      <c r="I2758" s="48" t="s">
        <v>19</v>
      </c>
      <c r="J2758" s="49">
        <v>0.0</v>
      </c>
    </row>
    <row r="2759">
      <c r="A2759" s="45" t="s">
        <v>74</v>
      </c>
      <c r="B2759" s="16" t="s">
        <v>259</v>
      </c>
      <c r="C2759" s="17" t="s">
        <v>260</v>
      </c>
      <c r="D2759" s="15">
        <v>4.0</v>
      </c>
      <c r="E2759" s="17" t="s">
        <v>524</v>
      </c>
      <c r="F2759" s="15" t="s">
        <v>479</v>
      </c>
      <c r="G2759" s="46" t="s">
        <v>452</v>
      </c>
      <c r="H2759" s="47" t="s">
        <v>453</v>
      </c>
      <c r="I2759" s="48" t="s">
        <v>19</v>
      </c>
      <c r="J2759" s="49">
        <v>1609242.0</v>
      </c>
    </row>
    <row r="2760">
      <c r="A2760" s="45" t="s">
        <v>74</v>
      </c>
      <c r="B2760" s="16" t="s">
        <v>259</v>
      </c>
      <c r="C2760" s="17" t="s">
        <v>260</v>
      </c>
      <c r="D2760" s="15">
        <v>4.0</v>
      </c>
      <c r="E2760" s="17" t="s">
        <v>524</v>
      </c>
      <c r="F2760" s="15" t="s">
        <v>479</v>
      </c>
      <c r="G2760" s="46" t="s">
        <v>454</v>
      </c>
      <c r="H2760" s="47" t="s">
        <v>415</v>
      </c>
      <c r="I2760" s="48" t="s">
        <v>19</v>
      </c>
      <c r="J2760" s="49">
        <v>234862.0</v>
      </c>
    </row>
    <row r="2761">
      <c r="A2761" s="45" t="s">
        <v>74</v>
      </c>
      <c r="B2761" s="16" t="s">
        <v>259</v>
      </c>
      <c r="C2761" s="17" t="s">
        <v>260</v>
      </c>
      <c r="D2761" s="15">
        <v>4.0</v>
      </c>
      <c r="E2761" s="17" t="s">
        <v>524</v>
      </c>
      <c r="F2761" s="15" t="s">
        <v>479</v>
      </c>
      <c r="G2761" s="46" t="s">
        <v>455</v>
      </c>
      <c r="H2761" s="47" t="s">
        <v>415</v>
      </c>
      <c r="I2761" s="48" t="s">
        <v>19</v>
      </c>
      <c r="J2761" s="49">
        <v>130478.0</v>
      </c>
    </row>
    <row r="2762">
      <c r="A2762" s="45" t="s">
        <v>74</v>
      </c>
      <c r="B2762" s="16" t="s">
        <v>259</v>
      </c>
      <c r="C2762" s="17" t="s">
        <v>260</v>
      </c>
      <c r="D2762" s="15">
        <v>4.0</v>
      </c>
      <c r="E2762" s="17" t="s">
        <v>524</v>
      </c>
      <c r="F2762" s="15" t="s">
        <v>479</v>
      </c>
      <c r="G2762" s="46" t="s">
        <v>565</v>
      </c>
      <c r="H2762" s="47" t="s">
        <v>566</v>
      </c>
      <c r="I2762" s="48" t="s">
        <v>25</v>
      </c>
      <c r="J2762" s="49">
        <v>7575000.0</v>
      </c>
    </row>
    <row r="2763">
      <c r="A2763" s="45" t="s">
        <v>74</v>
      </c>
      <c r="B2763" s="16" t="s">
        <v>259</v>
      </c>
      <c r="C2763" s="17" t="s">
        <v>260</v>
      </c>
      <c r="D2763" s="15">
        <v>4.0</v>
      </c>
      <c r="E2763" s="17" t="s">
        <v>524</v>
      </c>
      <c r="F2763" s="15" t="s">
        <v>479</v>
      </c>
      <c r="G2763" s="46" t="s">
        <v>583</v>
      </c>
      <c r="H2763" s="47" t="s">
        <v>584</v>
      </c>
      <c r="I2763" s="48" t="s">
        <v>25</v>
      </c>
      <c r="J2763" s="49">
        <v>1.275E7</v>
      </c>
    </row>
    <row r="2764">
      <c r="A2764" s="45" t="s">
        <v>74</v>
      </c>
      <c r="B2764" s="16" t="s">
        <v>259</v>
      </c>
      <c r="C2764" s="17" t="s">
        <v>260</v>
      </c>
      <c r="D2764" s="15">
        <v>4.0</v>
      </c>
      <c r="E2764" s="17" t="s">
        <v>525</v>
      </c>
      <c r="F2764" s="15" t="s">
        <v>502</v>
      </c>
      <c r="G2764" s="46" t="s">
        <v>526</v>
      </c>
      <c r="H2764" s="47" t="s">
        <v>527</v>
      </c>
      <c r="I2764" s="48" t="s">
        <v>60</v>
      </c>
      <c r="J2764" s="49">
        <v>1.79392932E8</v>
      </c>
    </row>
    <row r="2765">
      <c r="A2765" s="45" t="s">
        <v>74</v>
      </c>
      <c r="B2765" s="16" t="s">
        <v>259</v>
      </c>
      <c r="C2765" s="17" t="s">
        <v>260</v>
      </c>
      <c r="D2765" s="15">
        <v>4.0</v>
      </c>
      <c r="E2765" s="17" t="s">
        <v>525</v>
      </c>
      <c r="F2765" s="15" t="s">
        <v>502</v>
      </c>
      <c r="G2765" s="46" t="s">
        <v>539</v>
      </c>
      <c r="H2765" s="47" t="s">
        <v>540</v>
      </c>
      <c r="I2765" s="48" t="s">
        <v>60</v>
      </c>
      <c r="J2765" s="49">
        <v>1.0323086E7</v>
      </c>
    </row>
    <row r="2766">
      <c r="A2766" s="45" t="s">
        <v>74</v>
      </c>
      <c r="B2766" s="16" t="s">
        <v>259</v>
      </c>
      <c r="C2766" s="17" t="s">
        <v>260</v>
      </c>
      <c r="D2766" s="15">
        <v>4.0</v>
      </c>
      <c r="E2766" s="17" t="s">
        <v>525</v>
      </c>
      <c r="F2766" s="15" t="s">
        <v>502</v>
      </c>
      <c r="G2766" s="46" t="s">
        <v>505</v>
      </c>
      <c r="H2766" s="47" t="s">
        <v>506</v>
      </c>
      <c r="I2766" s="48" t="s">
        <v>60</v>
      </c>
      <c r="J2766" s="49">
        <v>2.5737943E7</v>
      </c>
    </row>
    <row r="2767">
      <c r="A2767" s="45" t="s">
        <v>74</v>
      </c>
      <c r="B2767" s="16" t="s">
        <v>259</v>
      </c>
      <c r="C2767" s="17" t="s">
        <v>260</v>
      </c>
      <c r="D2767" s="15">
        <v>4.0</v>
      </c>
      <c r="E2767" s="17" t="s">
        <v>525</v>
      </c>
      <c r="F2767" s="15" t="s">
        <v>502</v>
      </c>
      <c r="G2767" s="46" t="s">
        <v>509</v>
      </c>
      <c r="H2767" s="47" t="s">
        <v>510</v>
      </c>
      <c r="I2767" s="48" t="s">
        <v>60</v>
      </c>
      <c r="J2767" s="49">
        <v>1233333.0</v>
      </c>
    </row>
    <row r="2768">
      <c r="A2768" s="45" t="s">
        <v>74</v>
      </c>
      <c r="B2768" s="16" t="s">
        <v>259</v>
      </c>
      <c r="C2768" s="17" t="s">
        <v>260</v>
      </c>
      <c r="D2768" s="15">
        <v>4.0</v>
      </c>
      <c r="E2768" s="17" t="s">
        <v>525</v>
      </c>
      <c r="F2768" s="15" t="s">
        <v>502</v>
      </c>
      <c r="G2768" s="46" t="s">
        <v>511</v>
      </c>
      <c r="H2768" s="47" t="s">
        <v>512</v>
      </c>
      <c r="I2768" s="48" t="s">
        <v>60</v>
      </c>
      <c r="J2768" s="49">
        <v>1.1935243E8</v>
      </c>
    </row>
    <row r="2769">
      <c r="A2769" s="45" t="s">
        <v>74</v>
      </c>
      <c r="B2769" s="16" t="s">
        <v>259</v>
      </c>
      <c r="C2769" s="17" t="s">
        <v>260</v>
      </c>
      <c r="D2769" s="15">
        <v>4.0</v>
      </c>
      <c r="E2769" s="17" t="s">
        <v>525</v>
      </c>
      <c r="F2769" s="15" t="s">
        <v>502</v>
      </c>
      <c r="G2769" s="46" t="s">
        <v>513</v>
      </c>
      <c r="H2769" s="47" t="s">
        <v>514</v>
      </c>
      <c r="I2769" s="48" t="s">
        <v>60</v>
      </c>
      <c r="J2769" s="49">
        <v>1101488.0</v>
      </c>
    </row>
    <row r="2770">
      <c r="A2770" s="45" t="s">
        <v>74</v>
      </c>
      <c r="B2770" s="16" t="s">
        <v>259</v>
      </c>
      <c r="C2770" s="17" t="s">
        <v>260</v>
      </c>
      <c r="D2770" s="15">
        <v>4.0</v>
      </c>
      <c r="E2770" s="17" t="s">
        <v>548</v>
      </c>
      <c r="F2770" s="15" t="s">
        <v>549</v>
      </c>
      <c r="G2770" s="46" t="s">
        <v>550</v>
      </c>
      <c r="H2770" s="47" t="s">
        <v>551</v>
      </c>
      <c r="I2770" s="48" t="s">
        <v>25</v>
      </c>
      <c r="J2770" s="49">
        <v>8.3697975E7</v>
      </c>
    </row>
    <row r="2771">
      <c r="A2771" s="45" t="s">
        <v>74</v>
      </c>
      <c r="B2771" s="16" t="s">
        <v>66</v>
      </c>
      <c r="C2771" s="17" t="s">
        <v>67</v>
      </c>
      <c r="D2771" s="15">
        <v>4.0</v>
      </c>
      <c r="E2771" s="17" t="s">
        <v>441</v>
      </c>
      <c r="F2771" s="15" t="s">
        <v>442</v>
      </c>
      <c r="G2771" s="46" t="s">
        <v>443</v>
      </c>
      <c r="H2771" s="47" t="s">
        <v>420</v>
      </c>
      <c r="I2771" s="48" t="s">
        <v>19</v>
      </c>
      <c r="J2771" s="49">
        <v>4.8570232E7</v>
      </c>
    </row>
    <row r="2772">
      <c r="A2772" s="45" t="s">
        <v>74</v>
      </c>
      <c r="B2772" s="16" t="s">
        <v>66</v>
      </c>
      <c r="C2772" s="17" t="s">
        <v>67</v>
      </c>
      <c r="D2772" s="15">
        <v>4.0</v>
      </c>
      <c r="E2772" s="17" t="s">
        <v>441</v>
      </c>
      <c r="F2772" s="15" t="s">
        <v>442</v>
      </c>
      <c r="G2772" s="46" t="s">
        <v>444</v>
      </c>
      <c r="H2772" s="47" t="s">
        <v>445</v>
      </c>
      <c r="I2772" s="48" t="s">
        <v>19</v>
      </c>
      <c r="J2772" s="49">
        <v>8492869.0</v>
      </c>
    </row>
    <row r="2773">
      <c r="A2773" s="45" t="s">
        <v>74</v>
      </c>
      <c r="B2773" s="16" t="s">
        <v>66</v>
      </c>
      <c r="C2773" s="17" t="s">
        <v>67</v>
      </c>
      <c r="D2773" s="15">
        <v>4.0</v>
      </c>
      <c r="E2773" s="17" t="s">
        <v>441</v>
      </c>
      <c r="F2773" s="15" t="s">
        <v>442</v>
      </c>
      <c r="G2773" s="46" t="s">
        <v>579</v>
      </c>
      <c r="H2773" s="47" t="s">
        <v>580</v>
      </c>
      <c r="I2773" s="48" t="s">
        <v>19</v>
      </c>
      <c r="J2773" s="49">
        <v>5402855.0</v>
      </c>
    </row>
    <row r="2774">
      <c r="A2774" s="45" t="s">
        <v>74</v>
      </c>
      <c r="B2774" s="16" t="s">
        <v>66</v>
      </c>
      <c r="C2774" s="17" t="s">
        <v>67</v>
      </c>
      <c r="D2774" s="15">
        <v>4.0</v>
      </c>
      <c r="E2774" s="17" t="s">
        <v>441</v>
      </c>
      <c r="F2774" s="15" t="s">
        <v>442</v>
      </c>
      <c r="G2774" s="46" t="s">
        <v>446</v>
      </c>
      <c r="H2774" s="47" t="s">
        <v>447</v>
      </c>
      <c r="I2774" s="48" t="s">
        <v>19</v>
      </c>
      <c r="J2774" s="49">
        <v>539392.0</v>
      </c>
    </row>
    <row r="2775">
      <c r="A2775" s="45" t="s">
        <v>74</v>
      </c>
      <c r="B2775" s="16" t="s">
        <v>66</v>
      </c>
      <c r="C2775" s="17" t="s">
        <v>67</v>
      </c>
      <c r="D2775" s="15">
        <v>4.0</v>
      </c>
      <c r="E2775" s="17" t="s">
        <v>441</v>
      </c>
      <c r="F2775" s="15" t="s">
        <v>442</v>
      </c>
      <c r="G2775" s="46" t="s">
        <v>448</v>
      </c>
      <c r="H2775" s="47" t="s">
        <v>449</v>
      </c>
      <c r="I2775" s="48" t="s">
        <v>19</v>
      </c>
      <c r="J2775" s="49">
        <v>1324307.0</v>
      </c>
    </row>
    <row r="2776">
      <c r="A2776" s="45" t="s">
        <v>74</v>
      </c>
      <c r="B2776" s="16" t="s">
        <v>66</v>
      </c>
      <c r="C2776" s="17" t="s">
        <v>67</v>
      </c>
      <c r="D2776" s="15">
        <v>4.0</v>
      </c>
      <c r="E2776" s="17" t="s">
        <v>441</v>
      </c>
      <c r="F2776" s="15" t="s">
        <v>442</v>
      </c>
      <c r="G2776" s="46" t="s">
        <v>450</v>
      </c>
      <c r="H2776" s="47" t="s">
        <v>451</v>
      </c>
      <c r="I2776" s="48" t="s">
        <v>19</v>
      </c>
      <c r="J2776" s="49">
        <v>0.0</v>
      </c>
    </row>
    <row r="2777">
      <c r="A2777" s="45" t="s">
        <v>74</v>
      </c>
      <c r="B2777" s="16" t="s">
        <v>66</v>
      </c>
      <c r="C2777" s="17" t="s">
        <v>67</v>
      </c>
      <c r="D2777" s="15">
        <v>4.0</v>
      </c>
      <c r="E2777" s="17" t="s">
        <v>441</v>
      </c>
      <c r="F2777" s="15" t="s">
        <v>442</v>
      </c>
      <c r="G2777" s="46" t="s">
        <v>452</v>
      </c>
      <c r="H2777" s="47" t="s">
        <v>453</v>
      </c>
      <c r="I2777" s="48" t="s">
        <v>19</v>
      </c>
      <c r="J2777" s="49">
        <v>1085814.0</v>
      </c>
    </row>
    <row r="2778">
      <c r="A2778" s="45" t="s">
        <v>74</v>
      </c>
      <c r="B2778" s="16" t="s">
        <v>66</v>
      </c>
      <c r="C2778" s="17" t="s">
        <v>67</v>
      </c>
      <c r="D2778" s="15">
        <v>4.0</v>
      </c>
      <c r="E2778" s="17" t="s">
        <v>441</v>
      </c>
      <c r="F2778" s="15" t="s">
        <v>442</v>
      </c>
      <c r="G2778" s="46" t="s">
        <v>454</v>
      </c>
      <c r="H2778" s="47" t="s">
        <v>415</v>
      </c>
      <c r="I2778" s="48" t="s">
        <v>19</v>
      </c>
      <c r="J2778" s="49">
        <v>158470.0</v>
      </c>
    </row>
    <row r="2779">
      <c r="A2779" s="45" t="s">
        <v>74</v>
      </c>
      <c r="B2779" s="16" t="s">
        <v>66</v>
      </c>
      <c r="C2779" s="17" t="s">
        <v>67</v>
      </c>
      <c r="D2779" s="15">
        <v>4.0</v>
      </c>
      <c r="E2779" s="17" t="s">
        <v>441</v>
      </c>
      <c r="F2779" s="15" t="s">
        <v>442</v>
      </c>
      <c r="G2779" s="46" t="s">
        <v>455</v>
      </c>
      <c r="H2779" s="47" t="s">
        <v>415</v>
      </c>
      <c r="I2779" s="48" t="s">
        <v>19</v>
      </c>
      <c r="J2779" s="49">
        <v>88039.0</v>
      </c>
    </row>
    <row r="2780">
      <c r="A2780" s="45" t="s">
        <v>74</v>
      </c>
      <c r="B2780" s="16" t="s">
        <v>66</v>
      </c>
      <c r="C2780" s="17" t="s">
        <v>67</v>
      </c>
      <c r="D2780" s="15">
        <v>4.0</v>
      </c>
      <c r="E2780" s="17" t="s">
        <v>441</v>
      </c>
      <c r="F2780" s="15" t="s">
        <v>442</v>
      </c>
      <c r="G2780" s="46" t="s">
        <v>480</v>
      </c>
      <c r="H2780" s="47" t="s">
        <v>481</v>
      </c>
      <c r="I2780" s="48" t="s">
        <v>19</v>
      </c>
      <c r="J2780" s="49">
        <v>6058381.0</v>
      </c>
    </row>
    <row r="2781">
      <c r="A2781" s="45" t="s">
        <v>74</v>
      </c>
      <c r="B2781" s="16" t="s">
        <v>66</v>
      </c>
      <c r="C2781" s="17" t="s">
        <v>67</v>
      </c>
      <c r="D2781" s="15">
        <v>4.0</v>
      </c>
      <c r="E2781" s="17" t="s">
        <v>441</v>
      </c>
      <c r="F2781" s="15" t="s">
        <v>442</v>
      </c>
      <c r="G2781" s="46" t="s">
        <v>583</v>
      </c>
      <c r="H2781" s="47" t="s">
        <v>584</v>
      </c>
      <c r="I2781" s="48" t="s">
        <v>25</v>
      </c>
      <c r="J2781" s="49">
        <v>5100000.0</v>
      </c>
    </row>
    <row r="2782">
      <c r="A2782" s="45" t="s">
        <v>74</v>
      </c>
      <c r="B2782" s="16" t="s">
        <v>66</v>
      </c>
      <c r="C2782" s="17" t="s">
        <v>67</v>
      </c>
      <c r="D2782" s="15">
        <v>4.0</v>
      </c>
      <c r="E2782" s="17" t="s">
        <v>456</v>
      </c>
      <c r="F2782" s="15" t="s">
        <v>457</v>
      </c>
      <c r="G2782" s="46" t="s">
        <v>515</v>
      </c>
      <c r="H2782" s="47" t="s">
        <v>413</v>
      </c>
      <c r="I2782" s="48" t="s">
        <v>19</v>
      </c>
      <c r="J2782" s="49">
        <v>8364000.0</v>
      </c>
    </row>
    <row r="2783">
      <c r="A2783" s="45" t="s">
        <v>74</v>
      </c>
      <c r="B2783" s="16" t="s">
        <v>66</v>
      </c>
      <c r="C2783" s="17" t="s">
        <v>67</v>
      </c>
      <c r="D2783" s="15">
        <v>4.0</v>
      </c>
      <c r="E2783" s="17" t="s">
        <v>456</v>
      </c>
      <c r="F2783" s="15" t="s">
        <v>457</v>
      </c>
      <c r="G2783" s="46" t="s">
        <v>458</v>
      </c>
      <c r="H2783" s="47" t="s">
        <v>411</v>
      </c>
      <c r="I2783" s="48" t="s">
        <v>19</v>
      </c>
      <c r="J2783" s="49">
        <v>3.15094212E8</v>
      </c>
    </row>
    <row r="2784">
      <c r="A2784" s="45" t="s">
        <v>74</v>
      </c>
      <c r="B2784" s="16" t="s">
        <v>66</v>
      </c>
      <c r="C2784" s="17" t="s">
        <v>67</v>
      </c>
      <c r="D2784" s="15">
        <v>4.0</v>
      </c>
      <c r="E2784" s="17" t="s">
        <v>456</v>
      </c>
      <c r="F2784" s="15" t="s">
        <v>457</v>
      </c>
      <c r="G2784" s="46" t="s">
        <v>532</v>
      </c>
      <c r="H2784" s="47" t="s">
        <v>412</v>
      </c>
      <c r="I2784" s="48" t="s">
        <v>19</v>
      </c>
      <c r="J2784" s="49">
        <v>5532540.0</v>
      </c>
    </row>
    <row r="2785">
      <c r="A2785" s="45" t="s">
        <v>74</v>
      </c>
      <c r="B2785" s="16" t="s">
        <v>66</v>
      </c>
      <c r="C2785" s="17" t="s">
        <v>67</v>
      </c>
      <c r="D2785" s="15">
        <v>4.0</v>
      </c>
      <c r="E2785" s="17" t="s">
        <v>482</v>
      </c>
      <c r="F2785" s="15" t="s">
        <v>483</v>
      </c>
      <c r="G2785" s="46" t="s">
        <v>458</v>
      </c>
      <c r="H2785" s="47" t="s">
        <v>411</v>
      </c>
      <c r="I2785" s="48" t="s">
        <v>19</v>
      </c>
      <c r="J2785" s="49">
        <v>7291920.0</v>
      </c>
    </row>
    <row r="2786">
      <c r="A2786" s="45" t="s">
        <v>74</v>
      </c>
      <c r="B2786" s="16" t="s">
        <v>66</v>
      </c>
      <c r="C2786" s="17" t="s">
        <v>67</v>
      </c>
      <c r="D2786" s="15">
        <v>4.0</v>
      </c>
      <c r="E2786" s="17" t="s">
        <v>459</v>
      </c>
      <c r="F2786" s="15" t="s">
        <v>460</v>
      </c>
      <c r="G2786" s="46" t="s">
        <v>458</v>
      </c>
      <c r="H2786" s="47" t="s">
        <v>411</v>
      </c>
      <c r="I2786" s="48" t="s">
        <v>19</v>
      </c>
      <c r="J2786" s="49">
        <v>1.910868E7</v>
      </c>
    </row>
    <row r="2787">
      <c r="A2787" s="45" t="s">
        <v>74</v>
      </c>
      <c r="B2787" s="16" t="s">
        <v>66</v>
      </c>
      <c r="C2787" s="17" t="s">
        <v>67</v>
      </c>
      <c r="D2787" s="15">
        <v>4.0</v>
      </c>
      <c r="E2787" s="17" t="s">
        <v>463</v>
      </c>
      <c r="F2787" s="15" t="s">
        <v>464</v>
      </c>
      <c r="G2787" s="46" t="s">
        <v>543</v>
      </c>
      <c r="H2787" s="47" t="s">
        <v>430</v>
      </c>
      <c r="I2787" s="48" t="s">
        <v>37</v>
      </c>
      <c r="J2787" s="49">
        <v>256520.0</v>
      </c>
    </row>
    <row r="2788">
      <c r="A2788" s="45" t="s">
        <v>74</v>
      </c>
      <c r="B2788" s="16" t="s">
        <v>66</v>
      </c>
      <c r="C2788" s="17" t="s">
        <v>67</v>
      </c>
      <c r="D2788" s="15">
        <v>4.0</v>
      </c>
      <c r="E2788" s="17" t="s">
        <v>463</v>
      </c>
      <c r="F2788" s="15" t="s">
        <v>464</v>
      </c>
      <c r="G2788" s="46" t="s">
        <v>519</v>
      </c>
      <c r="H2788" s="47" t="s">
        <v>414</v>
      </c>
      <c r="I2788" s="48" t="s">
        <v>37</v>
      </c>
      <c r="J2788" s="49">
        <v>1404500.0</v>
      </c>
    </row>
    <row r="2789">
      <c r="A2789" s="45" t="s">
        <v>74</v>
      </c>
      <c r="B2789" s="16" t="s">
        <v>66</v>
      </c>
      <c r="C2789" s="17" t="s">
        <v>67</v>
      </c>
      <c r="D2789" s="15">
        <v>4.0</v>
      </c>
      <c r="E2789" s="17" t="s">
        <v>463</v>
      </c>
      <c r="F2789" s="15" t="s">
        <v>464</v>
      </c>
      <c r="G2789" s="46" t="s">
        <v>458</v>
      </c>
      <c r="H2789" s="47" t="s">
        <v>411</v>
      </c>
      <c r="I2789" s="48" t="s">
        <v>19</v>
      </c>
      <c r="J2789" s="49">
        <v>1.458384E7</v>
      </c>
    </row>
    <row r="2790">
      <c r="A2790" s="45" t="s">
        <v>74</v>
      </c>
      <c r="B2790" s="16" t="s">
        <v>66</v>
      </c>
      <c r="C2790" s="17" t="s">
        <v>67</v>
      </c>
      <c r="D2790" s="15">
        <v>4.0</v>
      </c>
      <c r="E2790" s="17" t="s">
        <v>487</v>
      </c>
      <c r="F2790" s="15" t="s">
        <v>488</v>
      </c>
      <c r="G2790" s="46" t="s">
        <v>543</v>
      </c>
      <c r="H2790" s="47" t="s">
        <v>430</v>
      </c>
      <c r="I2790" s="48" t="s">
        <v>37</v>
      </c>
      <c r="J2790" s="49">
        <v>159000.0</v>
      </c>
    </row>
    <row r="2791">
      <c r="A2791" s="45" t="s">
        <v>74</v>
      </c>
      <c r="B2791" s="16" t="s">
        <v>66</v>
      </c>
      <c r="C2791" s="17" t="s">
        <v>67</v>
      </c>
      <c r="D2791" s="15">
        <v>4.0</v>
      </c>
      <c r="E2791" s="17" t="s">
        <v>487</v>
      </c>
      <c r="F2791" s="15" t="s">
        <v>488</v>
      </c>
      <c r="G2791" s="46" t="s">
        <v>519</v>
      </c>
      <c r="H2791" s="47" t="s">
        <v>414</v>
      </c>
      <c r="I2791" s="48" t="s">
        <v>37</v>
      </c>
      <c r="J2791" s="49">
        <v>6068500.0</v>
      </c>
    </row>
    <row r="2792">
      <c r="A2792" s="45" t="s">
        <v>74</v>
      </c>
      <c r="B2792" s="16" t="s">
        <v>66</v>
      </c>
      <c r="C2792" s="17" t="s">
        <v>67</v>
      </c>
      <c r="D2792" s="15">
        <v>4.0</v>
      </c>
      <c r="E2792" s="17" t="s">
        <v>487</v>
      </c>
      <c r="F2792" s="15" t="s">
        <v>488</v>
      </c>
      <c r="G2792" s="46" t="s">
        <v>458</v>
      </c>
      <c r="H2792" s="47" t="s">
        <v>411</v>
      </c>
      <c r="I2792" s="48" t="s">
        <v>19</v>
      </c>
      <c r="J2792" s="49">
        <v>5.160477E7</v>
      </c>
    </row>
    <row r="2793">
      <c r="A2793" s="45" t="s">
        <v>74</v>
      </c>
      <c r="B2793" s="16" t="s">
        <v>66</v>
      </c>
      <c r="C2793" s="17" t="s">
        <v>67</v>
      </c>
      <c r="D2793" s="15">
        <v>4.0</v>
      </c>
      <c r="E2793" s="17" t="s">
        <v>473</v>
      </c>
      <c r="F2793" s="15" t="s">
        <v>474</v>
      </c>
      <c r="G2793" s="46" t="s">
        <v>523</v>
      </c>
      <c r="H2793" s="47" t="s">
        <v>431</v>
      </c>
      <c r="I2793" s="48" t="s">
        <v>17</v>
      </c>
      <c r="J2793" s="49">
        <v>5.22326854E8</v>
      </c>
    </row>
    <row r="2794">
      <c r="A2794" s="45" t="s">
        <v>74</v>
      </c>
      <c r="B2794" s="16" t="s">
        <v>66</v>
      </c>
      <c r="C2794" s="17" t="s">
        <v>67</v>
      </c>
      <c r="D2794" s="15">
        <v>4.0</v>
      </c>
      <c r="E2794" s="17" t="s">
        <v>473</v>
      </c>
      <c r="F2794" s="15" t="s">
        <v>474</v>
      </c>
      <c r="G2794" s="46" t="s">
        <v>523</v>
      </c>
      <c r="H2794" s="47" t="s">
        <v>431</v>
      </c>
      <c r="I2794" s="48" t="s">
        <v>25</v>
      </c>
      <c r="J2794" s="49">
        <v>-3.1531212E8</v>
      </c>
    </row>
    <row r="2795">
      <c r="A2795" s="45" t="s">
        <v>74</v>
      </c>
      <c r="B2795" s="16" t="s">
        <v>66</v>
      </c>
      <c r="C2795" s="17" t="s">
        <v>67</v>
      </c>
      <c r="D2795" s="15">
        <v>4.0</v>
      </c>
      <c r="E2795" s="17" t="s">
        <v>473</v>
      </c>
      <c r="F2795" s="15" t="s">
        <v>474</v>
      </c>
      <c r="G2795" s="46" t="s">
        <v>458</v>
      </c>
      <c r="H2795" s="47" t="s">
        <v>411</v>
      </c>
      <c r="I2795" s="48" t="s">
        <v>19</v>
      </c>
      <c r="J2795" s="49">
        <v>2.00284736E8</v>
      </c>
    </row>
    <row r="2796">
      <c r="A2796" s="45" t="s">
        <v>74</v>
      </c>
      <c r="B2796" s="16" t="s">
        <v>66</v>
      </c>
      <c r="C2796" s="17" t="s">
        <v>67</v>
      </c>
      <c r="D2796" s="15">
        <v>4.0</v>
      </c>
      <c r="E2796" s="17" t="s">
        <v>491</v>
      </c>
      <c r="F2796" s="15" t="s">
        <v>492</v>
      </c>
      <c r="G2796" s="46" t="s">
        <v>545</v>
      </c>
      <c r="H2796" s="47" t="s">
        <v>427</v>
      </c>
      <c r="I2796" s="48" t="s">
        <v>37</v>
      </c>
      <c r="J2796" s="49">
        <v>1.05498319E8</v>
      </c>
    </row>
    <row r="2797">
      <c r="A2797" s="45" t="s">
        <v>74</v>
      </c>
      <c r="B2797" s="16" t="s">
        <v>66</v>
      </c>
      <c r="C2797" s="17" t="s">
        <v>67</v>
      </c>
      <c r="D2797" s="15">
        <v>4.0</v>
      </c>
      <c r="E2797" s="17" t="s">
        <v>491</v>
      </c>
      <c r="F2797" s="15" t="s">
        <v>492</v>
      </c>
      <c r="G2797" s="46" t="s">
        <v>521</v>
      </c>
      <c r="H2797" s="47" t="s">
        <v>522</v>
      </c>
      <c r="I2797" s="48" t="s">
        <v>37</v>
      </c>
      <c r="J2797" s="49">
        <v>1524003.0</v>
      </c>
    </row>
    <row r="2798">
      <c r="A2798" s="45" t="s">
        <v>74</v>
      </c>
      <c r="B2798" s="16" t="s">
        <v>66</v>
      </c>
      <c r="C2798" s="17" t="s">
        <v>67</v>
      </c>
      <c r="D2798" s="15">
        <v>4.0</v>
      </c>
      <c r="E2798" s="17" t="s">
        <v>491</v>
      </c>
      <c r="F2798" s="15" t="s">
        <v>492</v>
      </c>
      <c r="G2798" s="46" t="s">
        <v>493</v>
      </c>
      <c r="H2798" s="47" t="s">
        <v>437</v>
      </c>
      <c r="I2798" s="48" t="s">
        <v>25</v>
      </c>
      <c r="J2798" s="49">
        <v>3297597.0</v>
      </c>
    </row>
    <row r="2799">
      <c r="A2799" s="45" t="s">
        <v>74</v>
      </c>
      <c r="B2799" s="16" t="s">
        <v>66</v>
      </c>
      <c r="C2799" s="17" t="s">
        <v>67</v>
      </c>
      <c r="D2799" s="15">
        <v>4.0</v>
      </c>
      <c r="E2799" s="17" t="s">
        <v>491</v>
      </c>
      <c r="F2799" s="15" t="s">
        <v>492</v>
      </c>
      <c r="G2799" s="46" t="s">
        <v>458</v>
      </c>
      <c r="H2799" s="47" t="s">
        <v>411</v>
      </c>
      <c r="I2799" s="48" t="s">
        <v>19</v>
      </c>
      <c r="J2799" s="49">
        <v>5908380.0</v>
      </c>
    </row>
    <row r="2800">
      <c r="A2800" s="45" t="s">
        <v>74</v>
      </c>
      <c r="B2800" s="16" t="s">
        <v>66</v>
      </c>
      <c r="C2800" s="17" t="s">
        <v>67</v>
      </c>
      <c r="D2800" s="15">
        <v>4.0</v>
      </c>
      <c r="E2800" s="17" t="s">
        <v>494</v>
      </c>
      <c r="F2800" s="15" t="s">
        <v>495</v>
      </c>
      <c r="G2800" s="46" t="s">
        <v>477</v>
      </c>
      <c r="H2800" s="47" t="s">
        <v>429</v>
      </c>
      <c r="I2800" s="48" t="s">
        <v>50</v>
      </c>
      <c r="J2800" s="49">
        <v>2.8851131E7</v>
      </c>
    </row>
    <row r="2801">
      <c r="A2801" s="45" t="s">
        <v>74</v>
      </c>
      <c r="B2801" s="16" t="s">
        <v>66</v>
      </c>
      <c r="C2801" s="17" t="s">
        <v>67</v>
      </c>
      <c r="D2801" s="15">
        <v>4.0</v>
      </c>
      <c r="E2801" s="17" t="s">
        <v>475</v>
      </c>
      <c r="F2801" s="15" t="s">
        <v>476</v>
      </c>
      <c r="G2801" s="46" t="s">
        <v>545</v>
      </c>
      <c r="H2801" s="47" t="s">
        <v>427</v>
      </c>
      <c r="I2801" s="48" t="s">
        <v>37</v>
      </c>
      <c r="J2801" s="49">
        <v>970018.0</v>
      </c>
    </row>
    <row r="2802">
      <c r="A2802" s="45" t="s">
        <v>74</v>
      </c>
      <c r="B2802" s="16" t="s">
        <v>66</v>
      </c>
      <c r="C2802" s="17" t="s">
        <v>67</v>
      </c>
      <c r="D2802" s="15">
        <v>4.0</v>
      </c>
      <c r="E2802" s="17" t="s">
        <v>475</v>
      </c>
      <c r="F2802" s="15" t="s">
        <v>476</v>
      </c>
      <c r="G2802" s="46" t="s">
        <v>477</v>
      </c>
      <c r="H2802" s="47" t="s">
        <v>429</v>
      </c>
      <c r="I2802" s="48" t="s">
        <v>50</v>
      </c>
      <c r="J2802" s="49">
        <v>4.5544253E7</v>
      </c>
    </row>
    <row r="2803">
      <c r="A2803" s="45" t="s">
        <v>74</v>
      </c>
      <c r="B2803" s="16" t="s">
        <v>66</v>
      </c>
      <c r="C2803" s="17" t="s">
        <v>67</v>
      </c>
      <c r="D2803" s="15">
        <v>4.0</v>
      </c>
      <c r="E2803" s="17" t="s">
        <v>524</v>
      </c>
      <c r="F2803" s="15" t="s">
        <v>479</v>
      </c>
      <c r="G2803" s="46" t="s">
        <v>443</v>
      </c>
      <c r="H2803" s="47" t="s">
        <v>420</v>
      </c>
      <c r="I2803" s="48" t="s">
        <v>19</v>
      </c>
      <c r="J2803" s="49">
        <v>9.7004031E7</v>
      </c>
    </row>
    <row r="2804">
      <c r="A2804" s="45" t="s">
        <v>74</v>
      </c>
      <c r="B2804" s="16" t="s">
        <v>66</v>
      </c>
      <c r="C2804" s="17" t="s">
        <v>67</v>
      </c>
      <c r="D2804" s="15">
        <v>4.0</v>
      </c>
      <c r="E2804" s="17" t="s">
        <v>524</v>
      </c>
      <c r="F2804" s="15" t="s">
        <v>479</v>
      </c>
      <c r="G2804" s="46" t="s">
        <v>444</v>
      </c>
      <c r="H2804" s="47" t="s">
        <v>445</v>
      </c>
      <c r="I2804" s="48" t="s">
        <v>19</v>
      </c>
      <c r="J2804" s="49">
        <v>8288975.0</v>
      </c>
    </row>
    <row r="2805">
      <c r="A2805" s="45" t="s">
        <v>74</v>
      </c>
      <c r="B2805" s="16" t="s">
        <v>66</v>
      </c>
      <c r="C2805" s="17" t="s">
        <v>67</v>
      </c>
      <c r="D2805" s="15">
        <v>4.0</v>
      </c>
      <c r="E2805" s="17" t="s">
        <v>524</v>
      </c>
      <c r="F2805" s="15" t="s">
        <v>479</v>
      </c>
      <c r="G2805" s="46" t="s">
        <v>579</v>
      </c>
      <c r="H2805" s="47" t="s">
        <v>580</v>
      </c>
      <c r="I2805" s="48" t="s">
        <v>19</v>
      </c>
      <c r="J2805" s="49">
        <v>1.0253838E7</v>
      </c>
    </row>
    <row r="2806">
      <c r="A2806" s="45" t="s">
        <v>74</v>
      </c>
      <c r="B2806" s="16" t="s">
        <v>66</v>
      </c>
      <c r="C2806" s="17" t="s">
        <v>67</v>
      </c>
      <c r="D2806" s="15">
        <v>4.0</v>
      </c>
      <c r="E2806" s="17" t="s">
        <v>524</v>
      </c>
      <c r="F2806" s="15" t="s">
        <v>479</v>
      </c>
      <c r="G2806" s="46" t="s">
        <v>446</v>
      </c>
      <c r="H2806" s="47" t="s">
        <v>447</v>
      </c>
      <c r="I2806" s="48" t="s">
        <v>19</v>
      </c>
      <c r="J2806" s="49">
        <v>1182220.0</v>
      </c>
    </row>
    <row r="2807">
      <c r="A2807" s="45" t="s">
        <v>74</v>
      </c>
      <c r="B2807" s="16" t="s">
        <v>66</v>
      </c>
      <c r="C2807" s="17" t="s">
        <v>67</v>
      </c>
      <c r="D2807" s="15">
        <v>4.0</v>
      </c>
      <c r="E2807" s="17" t="s">
        <v>524</v>
      </c>
      <c r="F2807" s="15" t="s">
        <v>479</v>
      </c>
      <c r="G2807" s="46" t="s">
        <v>448</v>
      </c>
      <c r="H2807" s="47" t="s">
        <v>449</v>
      </c>
      <c r="I2807" s="48" t="s">
        <v>19</v>
      </c>
      <c r="J2807" s="49">
        <v>2807461.0</v>
      </c>
    </row>
    <row r="2808">
      <c r="A2808" s="45" t="s">
        <v>74</v>
      </c>
      <c r="B2808" s="16" t="s">
        <v>66</v>
      </c>
      <c r="C2808" s="17" t="s">
        <v>67</v>
      </c>
      <c r="D2808" s="15">
        <v>4.0</v>
      </c>
      <c r="E2808" s="17" t="s">
        <v>524</v>
      </c>
      <c r="F2808" s="15" t="s">
        <v>479</v>
      </c>
      <c r="G2808" s="46" t="s">
        <v>450</v>
      </c>
      <c r="H2808" s="47" t="s">
        <v>451</v>
      </c>
      <c r="I2808" s="48" t="s">
        <v>19</v>
      </c>
      <c r="J2808" s="49">
        <v>0.0</v>
      </c>
    </row>
    <row r="2809">
      <c r="A2809" s="45" t="s">
        <v>74</v>
      </c>
      <c r="B2809" s="16" t="s">
        <v>66</v>
      </c>
      <c r="C2809" s="17" t="s">
        <v>67</v>
      </c>
      <c r="D2809" s="15">
        <v>4.0</v>
      </c>
      <c r="E2809" s="17" t="s">
        <v>524</v>
      </c>
      <c r="F2809" s="15" t="s">
        <v>479</v>
      </c>
      <c r="G2809" s="46" t="s">
        <v>452</v>
      </c>
      <c r="H2809" s="47" t="s">
        <v>453</v>
      </c>
      <c r="I2809" s="48" t="s">
        <v>19</v>
      </c>
      <c r="J2809" s="49">
        <v>2187106.0</v>
      </c>
    </row>
    <row r="2810">
      <c r="A2810" s="45" t="s">
        <v>74</v>
      </c>
      <c r="B2810" s="16" t="s">
        <v>66</v>
      </c>
      <c r="C2810" s="17" t="s">
        <v>67</v>
      </c>
      <c r="D2810" s="15">
        <v>4.0</v>
      </c>
      <c r="E2810" s="17" t="s">
        <v>524</v>
      </c>
      <c r="F2810" s="15" t="s">
        <v>479</v>
      </c>
      <c r="G2810" s="46" t="s">
        <v>454</v>
      </c>
      <c r="H2810" s="47" t="s">
        <v>415</v>
      </c>
      <c r="I2810" s="48" t="s">
        <v>19</v>
      </c>
      <c r="J2810" s="49">
        <v>319199.0</v>
      </c>
    </row>
    <row r="2811">
      <c r="A2811" s="45" t="s">
        <v>74</v>
      </c>
      <c r="B2811" s="16" t="s">
        <v>66</v>
      </c>
      <c r="C2811" s="17" t="s">
        <v>67</v>
      </c>
      <c r="D2811" s="15">
        <v>4.0</v>
      </c>
      <c r="E2811" s="17" t="s">
        <v>524</v>
      </c>
      <c r="F2811" s="15" t="s">
        <v>479</v>
      </c>
      <c r="G2811" s="46" t="s">
        <v>455</v>
      </c>
      <c r="H2811" s="47" t="s">
        <v>415</v>
      </c>
      <c r="I2811" s="48" t="s">
        <v>19</v>
      </c>
      <c r="J2811" s="49">
        <v>177333.0</v>
      </c>
    </row>
    <row r="2812">
      <c r="A2812" s="45" t="s">
        <v>74</v>
      </c>
      <c r="B2812" s="16" t="s">
        <v>66</v>
      </c>
      <c r="C2812" s="17" t="s">
        <v>67</v>
      </c>
      <c r="D2812" s="15">
        <v>4.0</v>
      </c>
      <c r="E2812" s="17" t="s">
        <v>524</v>
      </c>
      <c r="F2812" s="15" t="s">
        <v>479</v>
      </c>
      <c r="G2812" s="46" t="s">
        <v>480</v>
      </c>
      <c r="H2812" s="47" t="s">
        <v>481</v>
      </c>
      <c r="I2812" s="48" t="s">
        <v>19</v>
      </c>
      <c r="J2812" s="49">
        <v>3336855.0</v>
      </c>
    </row>
    <row r="2813">
      <c r="A2813" s="45" t="s">
        <v>74</v>
      </c>
      <c r="B2813" s="16" t="s">
        <v>66</v>
      </c>
      <c r="C2813" s="17" t="s">
        <v>67</v>
      </c>
      <c r="D2813" s="15">
        <v>4.0</v>
      </c>
      <c r="E2813" s="17" t="s">
        <v>524</v>
      </c>
      <c r="F2813" s="15" t="s">
        <v>479</v>
      </c>
      <c r="G2813" s="46" t="s">
        <v>583</v>
      </c>
      <c r="H2813" s="47" t="s">
        <v>584</v>
      </c>
      <c r="I2813" s="48" t="s">
        <v>25</v>
      </c>
      <c r="J2813" s="49">
        <v>1.785E7</v>
      </c>
    </row>
    <row r="2814">
      <c r="A2814" s="45" t="s">
        <v>74</v>
      </c>
      <c r="B2814" s="16" t="s">
        <v>66</v>
      </c>
      <c r="C2814" s="17" t="s">
        <v>67</v>
      </c>
      <c r="D2814" s="15">
        <v>4.0</v>
      </c>
      <c r="E2814" s="17" t="s">
        <v>525</v>
      </c>
      <c r="F2814" s="15" t="s">
        <v>502</v>
      </c>
      <c r="G2814" s="46" t="s">
        <v>526</v>
      </c>
      <c r="H2814" s="47" t="s">
        <v>527</v>
      </c>
      <c r="I2814" s="48" t="s">
        <v>60</v>
      </c>
      <c r="J2814" s="49">
        <v>3.5260908E8</v>
      </c>
    </row>
    <row r="2815">
      <c r="A2815" s="45" t="s">
        <v>74</v>
      </c>
      <c r="B2815" s="16" t="s">
        <v>66</v>
      </c>
      <c r="C2815" s="17" t="s">
        <v>67</v>
      </c>
      <c r="D2815" s="15">
        <v>4.0</v>
      </c>
      <c r="E2815" s="17" t="s">
        <v>525</v>
      </c>
      <c r="F2815" s="15" t="s">
        <v>502</v>
      </c>
      <c r="G2815" s="46" t="s">
        <v>505</v>
      </c>
      <c r="H2815" s="47" t="s">
        <v>506</v>
      </c>
      <c r="I2815" s="48" t="s">
        <v>60</v>
      </c>
      <c r="J2815" s="49">
        <v>2.9982767E7</v>
      </c>
    </row>
    <row r="2816">
      <c r="A2816" s="45" t="s">
        <v>74</v>
      </c>
      <c r="B2816" s="16" t="s">
        <v>66</v>
      </c>
      <c r="C2816" s="17" t="s">
        <v>67</v>
      </c>
      <c r="D2816" s="15">
        <v>4.0</v>
      </c>
      <c r="E2816" s="17" t="s">
        <v>525</v>
      </c>
      <c r="F2816" s="15" t="s">
        <v>502</v>
      </c>
      <c r="G2816" s="46" t="s">
        <v>507</v>
      </c>
      <c r="H2816" s="47" t="s">
        <v>508</v>
      </c>
      <c r="I2816" s="48" t="s">
        <v>60</v>
      </c>
      <c r="J2816" s="49">
        <v>4727146.0</v>
      </c>
    </row>
    <row r="2817">
      <c r="A2817" s="45" t="s">
        <v>74</v>
      </c>
      <c r="B2817" s="16" t="s">
        <v>66</v>
      </c>
      <c r="C2817" s="17" t="s">
        <v>67</v>
      </c>
      <c r="D2817" s="15">
        <v>4.0</v>
      </c>
      <c r="E2817" s="17" t="s">
        <v>525</v>
      </c>
      <c r="F2817" s="15" t="s">
        <v>502</v>
      </c>
      <c r="G2817" s="46" t="s">
        <v>509</v>
      </c>
      <c r="H2817" s="47" t="s">
        <v>510</v>
      </c>
      <c r="I2817" s="48" t="s">
        <v>60</v>
      </c>
      <c r="J2817" s="49">
        <v>133333.0</v>
      </c>
    </row>
    <row r="2818">
      <c r="A2818" s="45" t="s">
        <v>74</v>
      </c>
      <c r="B2818" s="16" t="s">
        <v>66</v>
      </c>
      <c r="C2818" s="17" t="s">
        <v>67</v>
      </c>
      <c r="D2818" s="15">
        <v>4.0</v>
      </c>
      <c r="E2818" s="17" t="s">
        <v>525</v>
      </c>
      <c r="F2818" s="15" t="s">
        <v>502</v>
      </c>
      <c r="G2818" s="46" t="s">
        <v>511</v>
      </c>
      <c r="H2818" s="47" t="s">
        <v>512</v>
      </c>
      <c r="I2818" s="48" t="s">
        <v>60</v>
      </c>
      <c r="J2818" s="49">
        <v>6.8771708E7</v>
      </c>
    </row>
    <row r="2819">
      <c r="A2819" s="45" t="s">
        <v>74</v>
      </c>
      <c r="B2819" s="16" t="s">
        <v>66</v>
      </c>
      <c r="C2819" s="17" t="s">
        <v>67</v>
      </c>
      <c r="D2819" s="15">
        <v>4.0</v>
      </c>
      <c r="E2819" s="17" t="s">
        <v>525</v>
      </c>
      <c r="F2819" s="15" t="s">
        <v>502</v>
      </c>
      <c r="G2819" s="46" t="s">
        <v>513</v>
      </c>
      <c r="H2819" s="47" t="s">
        <v>514</v>
      </c>
      <c r="I2819" s="48" t="s">
        <v>60</v>
      </c>
      <c r="J2819" s="49">
        <v>6.006511E7</v>
      </c>
    </row>
    <row r="2820">
      <c r="A2820" s="45" t="s">
        <v>74</v>
      </c>
      <c r="B2820" s="16" t="s">
        <v>66</v>
      </c>
      <c r="C2820" s="17" t="s">
        <v>67</v>
      </c>
      <c r="D2820" s="15">
        <v>4.0</v>
      </c>
      <c r="E2820" s="17" t="s">
        <v>548</v>
      </c>
      <c r="F2820" s="15" t="s">
        <v>549</v>
      </c>
      <c r="G2820" s="46" t="s">
        <v>550</v>
      </c>
      <c r="H2820" s="47" t="s">
        <v>551</v>
      </c>
      <c r="I2820" s="48" t="s">
        <v>25</v>
      </c>
      <c r="J2820" s="49">
        <v>1.12260417E8</v>
      </c>
    </row>
    <row r="2821">
      <c r="A2821" s="45" t="s">
        <v>11</v>
      </c>
      <c r="B2821" s="16" t="s">
        <v>12</v>
      </c>
      <c r="C2821" s="17" t="s">
        <v>13</v>
      </c>
      <c r="D2821" s="15">
        <v>5.0</v>
      </c>
      <c r="E2821" s="17" t="s">
        <v>441</v>
      </c>
      <c r="F2821" s="15" t="s">
        <v>442</v>
      </c>
      <c r="G2821" s="46" t="s">
        <v>443</v>
      </c>
      <c r="H2821" s="47" t="s">
        <v>420</v>
      </c>
      <c r="I2821" s="48" t="s">
        <v>19</v>
      </c>
      <c r="J2821" s="49">
        <v>1.0362437E7</v>
      </c>
    </row>
    <row r="2822">
      <c r="A2822" s="45" t="s">
        <v>11</v>
      </c>
      <c r="B2822" s="16" t="s">
        <v>12</v>
      </c>
      <c r="C2822" s="17" t="s">
        <v>13</v>
      </c>
      <c r="D2822" s="15">
        <v>5.0</v>
      </c>
      <c r="E2822" s="17" t="s">
        <v>441</v>
      </c>
      <c r="F2822" s="15" t="s">
        <v>442</v>
      </c>
      <c r="G2822" s="46" t="s">
        <v>444</v>
      </c>
      <c r="H2822" s="47" t="s">
        <v>445</v>
      </c>
      <c r="I2822" s="48" t="s">
        <v>19</v>
      </c>
      <c r="J2822" s="49">
        <v>1520466.0</v>
      </c>
    </row>
    <row r="2823">
      <c r="A2823" s="45" t="s">
        <v>11</v>
      </c>
      <c r="B2823" s="16" t="s">
        <v>12</v>
      </c>
      <c r="C2823" s="17" t="s">
        <v>13</v>
      </c>
      <c r="D2823" s="15">
        <v>5.0</v>
      </c>
      <c r="E2823" s="17" t="s">
        <v>441</v>
      </c>
      <c r="F2823" s="15" t="s">
        <v>442</v>
      </c>
      <c r="G2823" s="46" t="s">
        <v>579</v>
      </c>
      <c r="H2823" s="47" t="s">
        <v>580</v>
      </c>
      <c r="I2823" s="48" t="s">
        <v>19</v>
      </c>
      <c r="J2823" s="49">
        <v>1130487.0</v>
      </c>
    </row>
    <row r="2824">
      <c r="A2824" s="45" t="s">
        <v>11</v>
      </c>
      <c r="B2824" s="16" t="s">
        <v>12</v>
      </c>
      <c r="C2824" s="17" t="s">
        <v>13</v>
      </c>
      <c r="D2824" s="15">
        <v>5.0</v>
      </c>
      <c r="E2824" s="17" t="s">
        <v>441</v>
      </c>
      <c r="F2824" s="15" t="s">
        <v>442</v>
      </c>
      <c r="G2824" s="46" t="s">
        <v>446</v>
      </c>
      <c r="H2824" s="47" t="s">
        <v>447</v>
      </c>
      <c r="I2824" s="48" t="s">
        <v>19</v>
      </c>
      <c r="J2824" s="49">
        <v>136530.0</v>
      </c>
    </row>
    <row r="2825">
      <c r="A2825" s="45" t="s">
        <v>11</v>
      </c>
      <c r="B2825" s="16" t="s">
        <v>12</v>
      </c>
      <c r="C2825" s="17" t="s">
        <v>13</v>
      </c>
      <c r="D2825" s="15">
        <v>5.0</v>
      </c>
      <c r="E2825" s="17" t="s">
        <v>441</v>
      </c>
      <c r="F2825" s="15" t="s">
        <v>442</v>
      </c>
      <c r="G2825" s="46" t="s">
        <v>448</v>
      </c>
      <c r="H2825" s="47" t="s">
        <v>449</v>
      </c>
      <c r="I2825" s="48" t="s">
        <v>19</v>
      </c>
      <c r="J2825" s="49">
        <v>435862.0</v>
      </c>
    </row>
    <row r="2826">
      <c r="A2826" s="45" t="s">
        <v>11</v>
      </c>
      <c r="B2826" s="16" t="s">
        <v>12</v>
      </c>
      <c r="C2826" s="17" t="s">
        <v>13</v>
      </c>
      <c r="D2826" s="15">
        <v>5.0</v>
      </c>
      <c r="E2826" s="17" t="s">
        <v>441</v>
      </c>
      <c r="F2826" s="15" t="s">
        <v>442</v>
      </c>
      <c r="G2826" s="46" t="s">
        <v>450</v>
      </c>
      <c r="H2826" s="47" t="s">
        <v>451</v>
      </c>
      <c r="I2826" s="48" t="s">
        <v>19</v>
      </c>
      <c r="J2826" s="49">
        <v>0.0</v>
      </c>
    </row>
    <row r="2827">
      <c r="A2827" s="45" t="s">
        <v>11</v>
      </c>
      <c r="B2827" s="16" t="s">
        <v>12</v>
      </c>
      <c r="C2827" s="17" t="s">
        <v>13</v>
      </c>
      <c r="D2827" s="15">
        <v>5.0</v>
      </c>
      <c r="E2827" s="17" t="s">
        <v>441</v>
      </c>
      <c r="F2827" s="15" t="s">
        <v>442</v>
      </c>
      <c r="G2827" s="46" t="s">
        <v>452</v>
      </c>
      <c r="H2827" s="47" t="s">
        <v>453</v>
      </c>
      <c r="I2827" s="48" t="s">
        <v>19</v>
      </c>
      <c r="J2827" s="49">
        <v>252581.0</v>
      </c>
    </row>
    <row r="2828">
      <c r="A2828" s="45" t="s">
        <v>11</v>
      </c>
      <c r="B2828" s="16" t="s">
        <v>12</v>
      </c>
      <c r="C2828" s="17" t="s">
        <v>13</v>
      </c>
      <c r="D2828" s="15">
        <v>5.0</v>
      </c>
      <c r="E2828" s="17" t="s">
        <v>441</v>
      </c>
      <c r="F2828" s="15" t="s">
        <v>442</v>
      </c>
      <c r="G2828" s="46" t="s">
        <v>454</v>
      </c>
      <c r="H2828" s="47" t="s">
        <v>415</v>
      </c>
      <c r="I2828" s="48" t="s">
        <v>19</v>
      </c>
      <c r="J2828" s="49">
        <v>36863.0</v>
      </c>
    </row>
    <row r="2829">
      <c r="A2829" s="45" t="s">
        <v>11</v>
      </c>
      <c r="B2829" s="16" t="s">
        <v>12</v>
      </c>
      <c r="C2829" s="17" t="s">
        <v>13</v>
      </c>
      <c r="D2829" s="15">
        <v>5.0</v>
      </c>
      <c r="E2829" s="17" t="s">
        <v>441</v>
      </c>
      <c r="F2829" s="15" t="s">
        <v>442</v>
      </c>
      <c r="G2829" s="46" t="s">
        <v>455</v>
      </c>
      <c r="H2829" s="47" t="s">
        <v>415</v>
      </c>
      <c r="I2829" s="48" t="s">
        <v>19</v>
      </c>
      <c r="J2829" s="49">
        <v>20480.0</v>
      </c>
    </row>
    <row r="2830">
      <c r="A2830" s="45" t="s">
        <v>11</v>
      </c>
      <c r="B2830" s="16" t="s">
        <v>12</v>
      </c>
      <c r="C2830" s="17" t="s">
        <v>13</v>
      </c>
      <c r="D2830" s="15">
        <v>5.0</v>
      </c>
      <c r="E2830" s="17" t="s">
        <v>441</v>
      </c>
      <c r="F2830" s="15" t="s">
        <v>442</v>
      </c>
      <c r="G2830" s="46" t="s">
        <v>583</v>
      </c>
      <c r="H2830" s="47" t="s">
        <v>584</v>
      </c>
      <c r="I2830" s="48" t="s">
        <v>25</v>
      </c>
      <c r="J2830" s="49">
        <v>3000000.0</v>
      </c>
    </row>
    <row r="2831">
      <c r="A2831" s="45" t="s">
        <v>11</v>
      </c>
      <c r="B2831" s="16" t="s">
        <v>12</v>
      </c>
      <c r="C2831" s="17" t="s">
        <v>13</v>
      </c>
      <c r="D2831" s="15">
        <v>5.0</v>
      </c>
      <c r="E2831" s="17" t="s">
        <v>456</v>
      </c>
      <c r="F2831" s="15" t="s">
        <v>457</v>
      </c>
      <c r="G2831" s="46" t="s">
        <v>458</v>
      </c>
      <c r="H2831" s="47" t="s">
        <v>411</v>
      </c>
      <c r="I2831" s="48" t="s">
        <v>19</v>
      </c>
      <c r="J2831" s="49">
        <v>7003155.0</v>
      </c>
    </row>
    <row r="2832">
      <c r="A2832" s="45" t="s">
        <v>11</v>
      </c>
      <c r="B2832" s="16" t="s">
        <v>12</v>
      </c>
      <c r="C2832" s="17" t="s">
        <v>13</v>
      </c>
      <c r="D2832" s="15">
        <v>5.0</v>
      </c>
      <c r="E2832" s="17" t="s">
        <v>556</v>
      </c>
      <c r="F2832" s="15" t="s">
        <v>557</v>
      </c>
      <c r="G2832" s="46" t="s">
        <v>586</v>
      </c>
      <c r="H2832" s="47" t="s">
        <v>425</v>
      </c>
      <c r="I2832" s="48" t="s">
        <v>25</v>
      </c>
      <c r="J2832" s="49">
        <v>245000.0</v>
      </c>
    </row>
    <row r="2833">
      <c r="A2833" s="45" t="s">
        <v>11</v>
      </c>
      <c r="B2833" s="16" t="s">
        <v>12</v>
      </c>
      <c r="C2833" s="17" t="s">
        <v>13</v>
      </c>
      <c r="D2833" s="15">
        <v>5.0</v>
      </c>
      <c r="E2833" s="17" t="s">
        <v>469</v>
      </c>
      <c r="F2833" s="15" t="s">
        <v>470</v>
      </c>
      <c r="G2833" s="46" t="s">
        <v>471</v>
      </c>
      <c r="H2833" s="47" t="s">
        <v>472</v>
      </c>
      <c r="I2833" s="48" t="s">
        <v>25</v>
      </c>
      <c r="J2833" s="49">
        <v>700000.0</v>
      </c>
    </row>
    <row r="2834">
      <c r="A2834" s="45" t="s">
        <v>11</v>
      </c>
      <c r="B2834" s="16" t="s">
        <v>12</v>
      </c>
      <c r="C2834" s="17" t="s">
        <v>13</v>
      </c>
      <c r="D2834" s="15">
        <v>5.0</v>
      </c>
      <c r="E2834" s="17" t="s">
        <v>473</v>
      </c>
      <c r="F2834" s="15" t="s">
        <v>474</v>
      </c>
      <c r="G2834" s="46" t="s">
        <v>443</v>
      </c>
      <c r="H2834" s="47" t="s">
        <v>420</v>
      </c>
      <c r="I2834" s="48" t="s">
        <v>19</v>
      </c>
      <c r="J2834" s="49">
        <v>6975000.0</v>
      </c>
    </row>
    <row r="2835">
      <c r="A2835" s="45" t="s">
        <v>11</v>
      </c>
      <c r="B2835" s="16" t="s">
        <v>12</v>
      </c>
      <c r="C2835" s="17" t="s">
        <v>13</v>
      </c>
      <c r="D2835" s="15">
        <v>5.0</v>
      </c>
      <c r="E2835" s="17" t="s">
        <v>473</v>
      </c>
      <c r="F2835" s="15" t="s">
        <v>474</v>
      </c>
      <c r="G2835" s="46" t="s">
        <v>515</v>
      </c>
      <c r="H2835" s="47" t="s">
        <v>413</v>
      </c>
      <c r="I2835" s="48" t="s">
        <v>19</v>
      </c>
      <c r="J2835" s="49">
        <v>2.0235355E7</v>
      </c>
    </row>
    <row r="2836">
      <c r="A2836" s="45" t="s">
        <v>11</v>
      </c>
      <c r="B2836" s="16" t="s">
        <v>12</v>
      </c>
      <c r="C2836" s="17" t="s">
        <v>13</v>
      </c>
      <c r="D2836" s="15">
        <v>5.0</v>
      </c>
      <c r="E2836" s="17" t="s">
        <v>473</v>
      </c>
      <c r="F2836" s="15" t="s">
        <v>474</v>
      </c>
      <c r="G2836" s="46" t="s">
        <v>444</v>
      </c>
      <c r="H2836" s="47" t="s">
        <v>445</v>
      </c>
      <c r="I2836" s="48" t="s">
        <v>19</v>
      </c>
      <c r="J2836" s="49">
        <v>119924.0</v>
      </c>
    </row>
    <row r="2837">
      <c r="A2837" s="45" t="s">
        <v>11</v>
      </c>
      <c r="B2837" s="16" t="s">
        <v>12</v>
      </c>
      <c r="C2837" s="17" t="s">
        <v>13</v>
      </c>
      <c r="D2837" s="15">
        <v>5.0</v>
      </c>
      <c r="E2837" s="17" t="s">
        <v>473</v>
      </c>
      <c r="F2837" s="15" t="s">
        <v>474</v>
      </c>
      <c r="G2837" s="46" t="s">
        <v>579</v>
      </c>
      <c r="H2837" s="47" t="s">
        <v>580</v>
      </c>
      <c r="I2837" s="48" t="s">
        <v>19</v>
      </c>
      <c r="J2837" s="49">
        <v>349465.0</v>
      </c>
    </row>
    <row r="2838">
      <c r="A2838" s="45" t="s">
        <v>11</v>
      </c>
      <c r="B2838" s="16" t="s">
        <v>12</v>
      </c>
      <c r="C2838" s="17" t="s">
        <v>13</v>
      </c>
      <c r="D2838" s="15">
        <v>5.0</v>
      </c>
      <c r="E2838" s="17" t="s">
        <v>473</v>
      </c>
      <c r="F2838" s="15" t="s">
        <v>474</v>
      </c>
      <c r="G2838" s="46" t="s">
        <v>452</v>
      </c>
      <c r="H2838" s="47" t="s">
        <v>453</v>
      </c>
      <c r="I2838" s="48" t="s">
        <v>19</v>
      </c>
      <c r="J2838" s="49">
        <v>1268580.0</v>
      </c>
    </row>
    <row r="2839">
      <c r="A2839" s="45" t="s">
        <v>11</v>
      </c>
      <c r="B2839" s="16" t="s">
        <v>12</v>
      </c>
      <c r="C2839" s="17" t="s">
        <v>13</v>
      </c>
      <c r="D2839" s="15">
        <v>5.0</v>
      </c>
      <c r="E2839" s="17" t="s">
        <v>473</v>
      </c>
      <c r="F2839" s="15" t="s">
        <v>474</v>
      </c>
      <c r="G2839" s="46" t="s">
        <v>458</v>
      </c>
      <c r="H2839" s="47" t="s">
        <v>411</v>
      </c>
      <c r="I2839" s="48" t="s">
        <v>19</v>
      </c>
      <c r="J2839" s="49">
        <v>4.567275E7</v>
      </c>
    </row>
    <row r="2840">
      <c r="A2840" s="45" t="s">
        <v>11</v>
      </c>
      <c r="B2840" s="16" t="s">
        <v>12</v>
      </c>
      <c r="C2840" s="17" t="s">
        <v>13</v>
      </c>
      <c r="D2840" s="15">
        <v>5.0</v>
      </c>
      <c r="E2840" s="17" t="s">
        <v>478</v>
      </c>
      <c r="F2840" s="15" t="s">
        <v>479</v>
      </c>
      <c r="G2840" s="46" t="s">
        <v>443</v>
      </c>
      <c r="H2840" s="47" t="s">
        <v>420</v>
      </c>
      <c r="I2840" s="48" t="s">
        <v>19</v>
      </c>
      <c r="J2840" s="49">
        <v>1.5492588E7</v>
      </c>
    </row>
    <row r="2841">
      <c r="A2841" s="45" t="s">
        <v>11</v>
      </c>
      <c r="B2841" s="16" t="s">
        <v>12</v>
      </c>
      <c r="C2841" s="17" t="s">
        <v>13</v>
      </c>
      <c r="D2841" s="15">
        <v>5.0</v>
      </c>
      <c r="E2841" s="17" t="s">
        <v>478</v>
      </c>
      <c r="F2841" s="15" t="s">
        <v>479</v>
      </c>
      <c r="G2841" s="46" t="s">
        <v>444</v>
      </c>
      <c r="H2841" s="47" t="s">
        <v>445</v>
      </c>
      <c r="I2841" s="48" t="s">
        <v>19</v>
      </c>
      <c r="J2841" s="49">
        <v>2636451.0</v>
      </c>
    </row>
    <row r="2842">
      <c r="A2842" s="45" t="s">
        <v>11</v>
      </c>
      <c r="B2842" s="16" t="s">
        <v>12</v>
      </c>
      <c r="C2842" s="17" t="s">
        <v>13</v>
      </c>
      <c r="D2842" s="15">
        <v>5.0</v>
      </c>
      <c r="E2842" s="17" t="s">
        <v>478</v>
      </c>
      <c r="F2842" s="15" t="s">
        <v>479</v>
      </c>
      <c r="G2842" s="46" t="s">
        <v>579</v>
      </c>
      <c r="H2842" s="47" t="s">
        <v>580</v>
      </c>
      <c r="I2842" s="48" t="s">
        <v>19</v>
      </c>
      <c r="J2842" s="49">
        <v>1586194.0</v>
      </c>
    </row>
    <row r="2843">
      <c r="A2843" s="45" t="s">
        <v>11</v>
      </c>
      <c r="B2843" s="16" t="s">
        <v>12</v>
      </c>
      <c r="C2843" s="17" t="s">
        <v>13</v>
      </c>
      <c r="D2843" s="15">
        <v>5.0</v>
      </c>
      <c r="E2843" s="17" t="s">
        <v>478</v>
      </c>
      <c r="F2843" s="15" t="s">
        <v>479</v>
      </c>
      <c r="G2843" s="46" t="s">
        <v>446</v>
      </c>
      <c r="H2843" s="47" t="s">
        <v>447</v>
      </c>
      <c r="I2843" s="48" t="s">
        <v>19</v>
      </c>
      <c r="J2843" s="49">
        <v>208018.0</v>
      </c>
    </row>
    <row r="2844">
      <c r="A2844" s="45" t="s">
        <v>11</v>
      </c>
      <c r="B2844" s="16" t="s">
        <v>12</v>
      </c>
      <c r="C2844" s="17" t="s">
        <v>13</v>
      </c>
      <c r="D2844" s="15">
        <v>5.0</v>
      </c>
      <c r="E2844" s="17" t="s">
        <v>478</v>
      </c>
      <c r="F2844" s="15" t="s">
        <v>479</v>
      </c>
      <c r="G2844" s="46" t="s">
        <v>448</v>
      </c>
      <c r="H2844" s="47" t="s">
        <v>449</v>
      </c>
      <c r="I2844" s="48" t="s">
        <v>19</v>
      </c>
      <c r="J2844" s="49">
        <v>664081.0</v>
      </c>
    </row>
    <row r="2845">
      <c r="A2845" s="45" t="s">
        <v>11</v>
      </c>
      <c r="B2845" s="16" t="s">
        <v>12</v>
      </c>
      <c r="C2845" s="17" t="s">
        <v>13</v>
      </c>
      <c r="D2845" s="15">
        <v>5.0</v>
      </c>
      <c r="E2845" s="17" t="s">
        <v>478</v>
      </c>
      <c r="F2845" s="15" t="s">
        <v>479</v>
      </c>
      <c r="G2845" s="46" t="s">
        <v>450</v>
      </c>
      <c r="H2845" s="47" t="s">
        <v>451</v>
      </c>
      <c r="I2845" s="48" t="s">
        <v>19</v>
      </c>
      <c r="J2845" s="49">
        <v>0.0</v>
      </c>
    </row>
    <row r="2846">
      <c r="A2846" s="45" t="s">
        <v>11</v>
      </c>
      <c r="B2846" s="16" t="s">
        <v>12</v>
      </c>
      <c r="C2846" s="17" t="s">
        <v>13</v>
      </c>
      <c r="D2846" s="15">
        <v>5.0</v>
      </c>
      <c r="E2846" s="17" t="s">
        <v>478</v>
      </c>
      <c r="F2846" s="15" t="s">
        <v>479</v>
      </c>
      <c r="G2846" s="46" t="s">
        <v>452</v>
      </c>
      <c r="H2846" s="47" t="s">
        <v>453</v>
      </c>
      <c r="I2846" s="48" t="s">
        <v>19</v>
      </c>
      <c r="J2846" s="49">
        <v>384834.0</v>
      </c>
    </row>
    <row r="2847">
      <c r="A2847" s="45" t="s">
        <v>11</v>
      </c>
      <c r="B2847" s="16" t="s">
        <v>12</v>
      </c>
      <c r="C2847" s="17" t="s">
        <v>13</v>
      </c>
      <c r="D2847" s="15">
        <v>5.0</v>
      </c>
      <c r="E2847" s="17" t="s">
        <v>478</v>
      </c>
      <c r="F2847" s="15" t="s">
        <v>479</v>
      </c>
      <c r="G2847" s="46" t="s">
        <v>454</v>
      </c>
      <c r="H2847" s="47" t="s">
        <v>415</v>
      </c>
      <c r="I2847" s="48" t="s">
        <v>19</v>
      </c>
      <c r="J2847" s="49">
        <v>56165.0</v>
      </c>
    </row>
    <row r="2848">
      <c r="A2848" s="45" t="s">
        <v>11</v>
      </c>
      <c r="B2848" s="16" t="s">
        <v>12</v>
      </c>
      <c r="C2848" s="17" t="s">
        <v>13</v>
      </c>
      <c r="D2848" s="15">
        <v>5.0</v>
      </c>
      <c r="E2848" s="17" t="s">
        <v>478</v>
      </c>
      <c r="F2848" s="15" t="s">
        <v>479</v>
      </c>
      <c r="G2848" s="46" t="s">
        <v>455</v>
      </c>
      <c r="H2848" s="47" t="s">
        <v>415</v>
      </c>
      <c r="I2848" s="48" t="s">
        <v>19</v>
      </c>
      <c r="J2848" s="49">
        <v>31203.0</v>
      </c>
    </row>
    <row r="2849">
      <c r="A2849" s="45" t="s">
        <v>11</v>
      </c>
      <c r="B2849" s="16" t="s">
        <v>12</v>
      </c>
      <c r="C2849" s="17" t="s">
        <v>13</v>
      </c>
      <c r="D2849" s="15">
        <v>5.0</v>
      </c>
      <c r="E2849" s="17" t="s">
        <v>478</v>
      </c>
      <c r="F2849" s="15" t="s">
        <v>479</v>
      </c>
      <c r="G2849" s="46" t="s">
        <v>583</v>
      </c>
      <c r="H2849" s="47" t="s">
        <v>584</v>
      </c>
      <c r="I2849" s="48" t="s">
        <v>25</v>
      </c>
      <c r="J2849" s="49">
        <v>3000000.0</v>
      </c>
    </row>
    <row r="2850">
      <c r="A2850" s="45" t="s">
        <v>11</v>
      </c>
      <c r="B2850" s="16" t="s">
        <v>32</v>
      </c>
      <c r="C2850" s="17" t="s">
        <v>33</v>
      </c>
      <c r="D2850" s="15">
        <v>5.0</v>
      </c>
      <c r="E2850" s="17" t="s">
        <v>441</v>
      </c>
      <c r="F2850" s="15" t="s">
        <v>442</v>
      </c>
      <c r="G2850" s="46" t="s">
        <v>443</v>
      </c>
      <c r="H2850" s="47" t="s">
        <v>420</v>
      </c>
      <c r="I2850" s="48" t="s">
        <v>19</v>
      </c>
      <c r="J2850" s="49">
        <v>4.9722344E7</v>
      </c>
    </row>
    <row r="2851">
      <c r="A2851" s="45" t="s">
        <v>11</v>
      </c>
      <c r="B2851" s="16" t="s">
        <v>32</v>
      </c>
      <c r="C2851" s="17" t="s">
        <v>33</v>
      </c>
      <c r="D2851" s="15">
        <v>5.0</v>
      </c>
      <c r="E2851" s="17" t="s">
        <v>441</v>
      </c>
      <c r="F2851" s="15" t="s">
        <v>442</v>
      </c>
      <c r="G2851" s="46" t="s">
        <v>444</v>
      </c>
      <c r="H2851" s="47" t="s">
        <v>445</v>
      </c>
      <c r="I2851" s="48" t="s">
        <v>19</v>
      </c>
      <c r="J2851" s="49">
        <v>1.0985653E7</v>
      </c>
    </row>
    <row r="2852">
      <c r="A2852" s="45" t="s">
        <v>11</v>
      </c>
      <c r="B2852" s="16" t="s">
        <v>32</v>
      </c>
      <c r="C2852" s="17" t="s">
        <v>33</v>
      </c>
      <c r="D2852" s="15">
        <v>5.0</v>
      </c>
      <c r="E2852" s="17" t="s">
        <v>441</v>
      </c>
      <c r="F2852" s="15" t="s">
        <v>442</v>
      </c>
      <c r="G2852" s="46" t="s">
        <v>579</v>
      </c>
      <c r="H2852" s="47" t="s">
        <v>580</v>
      </c>
      <c r="I2852" s="48" t="s">
        <v>19</v>
      </c>
      <c r="J2852" s="49">
        <v>5192182.0</v>
      </c>
    </row>
    <row r="2853">
      <c r="A2853" s="45" t="s">
        <v>11</v>
      </c>
      <c r="B2853" s="16" t="s">
        <v>32</v>
      </c>
      <c r="C2853" s="17" t="s">
        <v>33</v>
      </c>
      <c r="D2853" s="15">
        <v>5.0</v>
      </c>
      <c r="E2853" s="17" t="s">
        <v>441</v>
      </c>
      <c r="F2853" s="15" t="s">
        <v>442</v>
      </c>
      <c r="G2853" s="46" t="s">
        <v>446</v>
      </c>
      <c r="H2853" s="47" t="s">
        <v>447</v>
      </c>
      <c r="I2853" s="48" t="s">
        <v>19</v>
      </c>
      <c r="J2853" s="49">
        <v>511051.0</v>
      </c>
    </row>
    <row r="2854">
      <c r="A2854" s="45" t="s">
        <v>11</v>
      </c>
      <c r="B2854" s="16" t="s">
        <v>32</v>
      </c>
      <c r="C2854" s="17" t="s">
        <v>33</v>
      </c>
      <c r="D2854" s="15">
        <v>5.0</v>
      </c>
      <c r="E2854" s="17" t="s">
        <v>441</v>
      </c>
      <c r="F2854" s="15" t="s">
        <v>442</v>
      </c>
      <c r="G2854" s="46" t="s">
        <v>448</v>
      </c>
      <c r="H2854" s="47" t="s">
        <v>449</v>
      </c>
      <c r="I2854" s="48" t="s">
        <v>19</v>
      </c>
      <c r="J2854" s="49">
        <v>926447.0</v>
      </c>
    </row>
    <row r="2855">
      <c r="A2855" s="45" t="s">
        <v>11</v>
      </c>
      <c r="B2855" s="16" t="s">
        <v>32</v>
      </c>
      <c r="C2855" s="17" t="s">
        <v>33</v>
      </c>
      <c r="D2855" s="15">
        <v>5.0</v>
      </c>
      <c r="E2855" s="17" t="s">
        <v>441</v>
      </c>
      <c r="F2855" s="15" t="s">
        <v>442</v>
      </c>
      <c r="G2855" s="46" t="s">
        <v>450</v>
      </c>
      <c r="H2855" s="47" t="s">
        <v>451</v>
      </c>
      <c r="I2855" s="48" t="s">
        <v>19</v>
      </c>
      <c r="J2855" s="49">
        <v>0.0</v>
      </c>
    </row>
    <row r="2856">
      <c r="A2856" s="45" t="s">
        <v>11</v>
      </c>
      <c r="B2856" s="16" t="s">
        <v>32</v>
      </c>
      <c r="C2856" s="17" t="s">
        <v>33</v>
      </c>
      <c r="D2856" s="15">
        <v>5.0</v>
      </c>
      <c r="E2856" s="17" t="s">
        <v>441</v>
      </c>
      <c r="F2856" s="15" t="s">
        <v>442</v>
      </c>
      <c r="G2856" s="46" t="s">
        <v>452</v>
      </c>
      <c r="H2856" s="47" t="s">
        <v>453</v>
      </c>
      <c r="I2856" s="48" t="s">
        <v>19</v>
      </c>
      <c r="J2856" s="49">
        <v>1054540.0</v>
      </c>
    </row>
    <row r="2857">
      <c r="A2857" s="45" t="s">
        <v>11</v>
      </c>
      <c r="B2857" s="16" t="s">
        <v>32</v>
      </c>
      <c r="C2857" s="17" t="s">
        <v>33</v>
      </c>
      <c r="D2857" s="15">
        <v>5.0</v>
      </c>
      <c r="E2857" s="17" t="s">
        <v>441</v>
      </c>
      <c r="F2857" s="15" t="s">
        <v>442</v>
      </c>
      <c r="G2857" s="46" t="s">
        <v>454</v>
      </c>
      <c r="H2857" s="47" t="s">
        <v>415</v>
      </c>
      <c r="I2857" s="48" t="s">
        <v>19</v>
      </c>
      <c r="J2857" s="49">
        <v>153906.0</v>
      </c>
    </row>
    <row r="2858">
      <c r="A2858" s="45" t="s">
        <v>11</v>
      </c>
      <c r="B2858" s="16" t="s">
        <v>32</v>
      </c>
      <c r="C2858" s="17" t="s">
        <v>33</v>
      </c>
      <c r="D2858" s="15">
        <v>5.0</v>
      </c>
      <c r="E2858" s="17" t="s">
        <v>441</v>
      </c>
      <c r="F2858" s="15" t="s">
        <v>442</v>
      </c>
      <c r="G2858" s="46" t="s">
        <v>455</v>
      </c>
      <c r="H2858" s="47" t="s">
        <v>415</v>
      </c>
      <c r="I2858" s="48" t="s">
        <v>19</v>
      </c>
      <c r="J2858" s="49">
        <v>85504.0</v>
      </c>
    </row>
    <row r="2859">
      <c r="A2859" s="45" t="s">
        <v>11</v>
      </c>
      <c r="B2859" s="16" t="s">
        <v>32</v>
      </c>
      <c r="C2859" s="17" t="s">
        <v>33</v>
      </c>
      <c r="D2859" s="15">
        <v>5.0</v>
      </c>
      <c r="E2859" s="17" t="s">
        <v>441</v>
      </c>
      <c r="F2859" s="15" t="s">
        <v>442</v>
      </c>
      <c r="G2859" s="46" t="s">
        <v>583</v>
      </c>
      <c r="H2859" s="47" t="s">
        <v>584</v>
      </c>
      <c r="I2859" s="48" t="s">
        <v>25</v>
      </c>
      <c r="J2859" s="49">
        <v>6000000.0</v>
      </c>
    </row>
    <row r="2860">
      <c r="A2860" s="45" t="s">
        <v>11</v>
      </c>
      <c r="B2860" s="16" t="s">
        <v>32</v>
      </c>
      <c r="C2860" s="17" t="s">
        <v>33</v>
      </c>
      <c r="D2860" s="15">
        <v>5.0</v>
      </c>
      <c r="E2860" s="17" t="s">
        <v>456</v>
      </c>
      <c r="F2860" s="15" t="s">
        <v>457</v>
      </c>
      <c r="G2860" s="46" t="s">
        <v>458</v>
      </c>
      <c r="H2860" s="47" t="s">
        <v>411</v>
      </c>
      <c r="I2860" s="48" t="s">
        <v>19</v>
      </c>
      <c r="J2860" s="49">
        <v>8.5750216E7</v>
      </c>
    </row>
    <row r="2861">
      <c r="A2861" s="45" t="s">
        <v>11</v>
      </c>
      <c r="B2861" s="16" t="s">
        <v>32</v>
      </c>
      <c r="C2861" s="17" t="s">
        <v>33</v>
      </c>
      <c r="D2861" s="15">
        <v>5.0</v>
      </c>
      <c r="E2861" s="17" t="s">
        <v>463</v>
      </c>
      <c r="F2861" s="15" t="s">
        <v>464</v>
      </c>
      <c r="G2861" s="46" t="s">
        <v>519</v>
      </c>
      <c r="H2861" s="47" t="s">
        <v>414</v>
      </c>
      <c r="I2861" s="48" t="s">
        <v>37</v>
      </c>
      <c r="J2861" s="49">
        <v>655200.0</v>
      </c>
    </row>
    <row r="2862">
      <c r="A2862" s="45" t="s">
        <v>11</v>
      </c>
      <c r="B2862" s="16" t="s">
        <v>32</v>
      </c>
      <c r="C2862" s="17" t="s">
        <v>33</v>
      </c>
      <c r="D2862" s="15">
        <v>5.0</v>
      </c>
      <c r="E2862" s="17" t="s">
        <v>463</v>
      </c>
      <c r="F2862" s="15" t="s">
        <v>464</v>
      </c>
      <c r="G2862" s="46" t="s">
        <v>465</v>
      </c>
      <c r="H2862" s="47" t="s">
        <v>466</v>
      </c>
      <c r="I2862" s="48" t="s">
        <v>37</v>
      </c>
      <c r="J2862" s="49">
        <v>297440.0</v>
      </c>
    </row>
    <row r="2863">
      <c r="A2863" s="45" t="s">
        <v>11</v>
      </c>
      <c r="B2863" s="16" t="s">
        <v>32</v>
      </c>
      <c r="C2863" s="17" t="s">
        <v>33</v>
      </c>
      <c r="D2863" s="15">
        <v>5.0</v>
      </c>
      <c r="E2863" s="17" t="s">
        <v>463</v>
      </c>
      <c r="F2863" s="15" t="s">
        <v>464</v>
      </c>
      <c r="G2863" s="46" t="s">
        <v>458</v>
      </c>
      <c r="H2863" s="47" t="s">
        <v>411</v>
      </c>
      <c r="I2863" s="48" t="s">
        <v>19</v>
      </c>
      <c r="J2863" s="49">
        <v>1.6156208E7</v>
      </c>
    </row>
    <row r="2864">
      <c r="A2864" s="45" t="s">
        <v>11</v>
      </c>
      <c r="B2864" s="16" t="s">
        <v>32</v>
      </c>
      <c r="C2864" s="17" t="s">
        <v>33</v>
      </c>
      <c r="D2864" s="15">
        <v>5.0</v>
      </c>
      <c r="E2864" s="17" t="s">
        <v>487</v>
      </c>
      <c r="F2864" s="15" t="s">
        <v>488</v>
      </c>
      <c r="G2864" s="46" t="s">
        <v>519</v>
      </c>
      <c r="H2864" s="47" t="s">
        <v>414</v>
      </c>
      <c r="I2864" s="48" t="s">
        <v>37</v>
      </c>
      <c r="J2864" s="49">
        <v>5304000.0</v>
      </c>
    </row>
    <row r="2865">
      <c r="A2865" s="45" t="s">
        <v>11</v>
      </c>
      <c r="B2865" s="16" t="s">
        <v>32</v>
      </c>
      <c r="C2865" s="17" t="s">
        <v>33</v>
      </c>
      <c r="D2865" s="15">
        <v>5.0</v>
      </c>
      <c r="E2865" s="17" t="s">
        <v>487</v>
      </c>
      <c r="F2865" s="15" t="s">
        <v>488</v>
      </c>
      <c r="G2865" s="46" t="s">
        <v>489</v>
      </c>
      <c r="H2865" s="47" t="s">
        <v>490</v>
      </c>
      <c r="I2865" s="48" t="s">
        <v>37</v>
      </c>
      <c r="J2865" s="49">
        <v>6188000.0</v>
      </c>
    </row>
    <row r="2866">
      <c r="A2866" s="45" t="s">
        <v>11</v>
      </c>
      <c r="B2866" s="16" t="s">
        <v>32</v>
      </c>
      <c r="C2866" s="17" t="s">
        <v>33</v>
      </c>
      <c r="D2866" s="15">
        <v>5.0</v>
      </c>
      <c r="E2866" s="17" t="s">
        <v>473</v>
      </c>
      <c r="F2866" s="15" t="s">
        <v>474</v>
      </c>
      <c r="G2866" s="46" t="s">
        <v>443</v>
      </c>
      <c r="H2866" s="47" t="s">
        <v>420</v>
      </c>
      <c r="I2866" s="48" t="s">
        <v>19</v>
      </c>
      <c r="J2866" s="49">
        <v>6975000.0</v>
      </c>
    </row>
    <row r="2867">
      <c r="A2867" s="45" t="s">
        <v>11</v>
      </c>
      <c r="B2867" s="16" t="s">
        <v>32</v>
      </c>
      <c r="C2867" s="17" t="s">
        <v>33</v>
      </c>
      <c r="D2867" s="15">
        <v>5.0</v>
      </c>
      <c r="E2867" s="17" t="s">
        <v>473</v>
      </c>
      <c r="F2867" s="15" t="s">
        <v>474</v>
      </c>
      <c r="G2867" s="46" t="s">
        <v>444</v>
      </c>
      <c r="H2867" s="47" t="s">
        <v>445</v>
      </c>
      <c r="I2867" s="48" t="s">
        <v>19</v>
      </c>
      <c r="J2867" s="49">
        <v>156298.0</v>
      </c>
    </row>
    <row r="2868">
      <c r="A2868" s="45" t="s">
        <v>11</v>
      </c>
      <c r="B2868" s="16" t="s">
        <v>32</v>
      </c>
      <c r="C2868" s="17" t="s">
        <v>33</v>
      </c>
      <c r="D2868" s="15">
        <v>5.0</v>
      </c>
      <c r="E2868" s="17" t="s">
        <v>473</v>
      </c>
      <c r="F2868" s="15" t="s">
        <v>474</v>
      </c>
      <c r="G2868" s="46" t="s">
        <v>579</v>
      </c>
      <c r="H2868" s="47" t="s">
        <v>580</v>
      </c>
      <c r="I2868" s="48" t="s">
        <v>19</v>
      </c>
      <c r="J2868" s="49">
        <v>599082.0</v>
      </c>
    </row>
    <row r="2869">
      <c r="A2869" s="45" t="s">
        <v>11</v>
      </c>
      <c r="B2869" s="16" t="s">
        <v>32</v>
      </c>
      <c r="C2869" s="17" t="s">
        <v>33</v>
      </c>
      <c r="D2869" s="15">
        <v>5.0</v>
      </c>
      <c r="E2869" s="17" t="s">
        <v>473</v>
      </c>
      <c r="F2869" s="15" t="s">
        <v>474</v>
      </c>
      <c r="G2869" s="46" t="s">
        <v>523</v>
      </c>
      <c r="H2869" s="47" t="s">
        <v>431</v>
      </c>
      <c r="I2869" s="48" t="s">
        <v>25</v>
      </c>
      <c r="J2869" s="49">
        <v>3250000.0</v>
      </c>
    </row>
    <row r="2870">
      <c r="A2870" s="45" t="s">
        <v>11</v>
      </c>
      <c r="B2870" s="16" t="s">
        <v>32</v>
      </c>
      <c r="C2870" s="17" t="s">
        <v>33</v>
      </c>
      <c r="D2870" s="15">
        <v>5.0</v>
      </c>
      <c r="E2870" s="17" t="s">
        <v>473</v>
      </c>
      <c r="F2870" s="15" t="s">
        <v>474</v>
      </c>
      <c r="G2870" s="46" t="s">
        <v>458</v>
      </c>
      <c r="H2870" s="47" t="s">
        <v>411</v>
      </c>
      <c r="I2870" s="48" t="s">
        <v>19</v>
      </c>
      <c r="J2870" s="49">
        <v>7.7672112E7</v>
      </c>
    </row>
    <row r="2871">
      <c r="A2871" s="45" t="s">
        <v>11</v>
      </c>
      <c r="B2871" s="16" t="s">
        <v>32</v>
      </c>
      <c r="C2871" s="17" t="s">
        <v>33</v>
      </c>
      <c r="D2871" s="15">
        <v>5.0</v>
      </c>
      <c r="E2871" s="17" t="s">
        <v>473</v>
      </c>
      <c r="F2871" s="15" t="s">
        <v>474</v>
      </c>
      <c r="G2871" s="46" t="s">
        <v>477</v>
      </c>
      <c r="H2871" s="47" t="s">
        <v>429</v>
      </c>
      <c r="I2871" s="48" t="s">
        <v>50</v>
      </c>
      <c r="J2871" s="49">
        <v>2448009.0</v>
      </c>
    </row>
    <row r="2872">
      <c r="A2872" s="45" t="s">
        <v>11</v>
      </c>
      <c r="B2872" s="16" t="s">
        <v>32</v>
      </c>
      <c r="C2872" s="17" t="s">
        <v>33</v>
      </c>
      <c r="D2872" s="15">
        <v>5.0</v>
      </c>
      <c r="E2872" s="17" t="s">
        <v>491</v>
      </c>
      <c r="F2872" s="15" t="s">
        <v>492</v>
      </c>
      <c r="G2872" s="46" t="s">
        <v>519</v>
      </c>
      <c r="H2872" s="47" t="s">
        <v>414</v>
      </c>
      <c r="I2872" s="48" t="s">
        <v>37</v>
      </c>
      <c r="J2872" s="49">
        <v>898560.0</v>
      </c>
    </row>
    <row r="2873">
      <c r="A2873" s="45" t="s">
        <v>11</v>
      </c>
      <c r="B2873" s="16" t="s">
        <v>32</v>
      </c>
      <c r="C2873" s="17" t="s">
        <v>33</v>
      </c>
      <c r="D2873" s="15">
        <v>5.0</v>
      </c>
      <c r="E2873" s="17" t="s">
        <v>491</v>
      </c>
      <c r="F2873" s="15" t="s">
        <v>492</v>
      </c>
      <c r="G2873" s="46" t="s">
        <v>493</v>
      </c>
      <c r="H2873" s="47" t="s">
        <v>437</v>
      </c>
      <c r="I2873" s="48" t="s">
        <v>37</v>
      </c>
      <c r="J2873" s="49">
        <v>111280.0</v>
      </c>
    </row>
    <row r="2874">
      <c r="A2874" s="45" t="s">
        <v>11</v>
      </c>
      <c r="B2874" s="16" t="s">
        <v>32</v>
      </c>
      <c r="C2874" s="17" t="s">
        <v>33</v>
      </c>
      <c r="D2874" s="15">
        <v>5.0</v>
      </c>
      <c r="E2874" s="17" t="s">
        <v>491</v>
      </c>
      <c r="F2874" s="15" t="s">
        <v>492</v>
      </c>
      <c r="G2874" s="46" t="s">
        <v>493</v>
      </c>
      <c r="H2874" s="47" t="s">
        <v>437</v>
      </c>
      <c r="I2874" s="48" t="s">
        <v>25</v>
      </c>
      <c r="J2874" s="49">
        <v>1049148.0</v>
      </c>
    </row>
    <row r="2875">
      <c r="A2875" s="45" t="s">
        <v>11</v>
      </c>
      <c r="B2875" s="16" t="s">
        <v>32</v>
      </c>
      <c r="C2875" s="17" t="s">
        <v>33</v>
      </c>
      <c r="D2875" s="15">
        <v>5.0</v>
      </c>
      <c r="E2875" s="17" t="s">
        <v>494</v>
      </c>
      <c r="F2875" s="15" t="s">
        <v>495</v>
      </c>
      <c r="G2875" s="46" t="s">
        <v>496</v>
      </c>
      <c r="H2875" s="47" t="s">
        <v>497</v>
      </c>
      <c r="I2875" s="48" t="s">
        <v>25</v>
      </c>
      <c r="J2875" s="49">
        <v>1050700.0</v>
      </c>
    </row>
    <row r="2876">
      <c r="A2876" s="45" t="s">
        <v>11</v>
      </c>
      <c r="B2876" s="16" t="s">
        <v>32</v>
      </c>
      <c r="C2876" s="17" t="s">
        <v>33</v>
      </c>
      <c r="D2876" s="15">
        <v>5.0</v>
      </c>
      <c r="E2876" s="17" t="s">
        <v>475</v>
      </c>
      <c r="F2876" s="15" t="s">
        <v>476</v>
      </c>
      <c r="G2876" s="46" t="s">
        <v>477</v>
      </c>
      <c r="H2876" s="47" t="s">
        <v>429</v>
      </c>
      <c r="I2876" s="48" t="s">
        <v>50</v>
      </c>
      <c r="J2876" s="49">
        <v>2.830605E7</v>
      </c>
    </row>
    <row r="2877">
      <c r="A2877" s="45" t="s">
        <v>11</v>
      </c>
      <c r="B2877" s="16" t="s">
        <v>32</v>
      </c>
      <c r="C2877" s="17" t="s">
        <v>33</v>
      </c>
      <c r="D2877" s="15">
        <v>5.0</v>
      </c>
      <c r="E2877" s="17" t="s">
        <v>478</v>
      </c>
      <c r="F2877" s="15" t="s">
        <v>479</v>
      </c>
      <c r="G2877" s="46" t="s">
        <v>443</v>
      </c>
      <c r="H2877" s="47" t="s">
        <v>420</v>
      </c>
      <c r="I2877" s="48" t="s">
        <v>19</v>
      </c>
      <c r="J2877" s="49">
        <v>6.3634993E7</v>
      </c>
    </row>
    <row r="2878">
      <c r="A2878" s="45" t="s">
        <v>11</v>
      </c>
      <c r="B2878" s="16" t="s">
        <v>32</v>
      </c>
      <c r="C2878" s="17" t="s">
        <v>33</v>
      </c>
      <c r="D2878" s="15">
        <v>5.0</v>
      </c>
      <c r="E2878" s="17" t="s">
        <v>478</v>
      </c>
      <c r="F2878" s="15" t="s">
        <v>479</v>
      </c>
      <c r="G2878" s="46" t="s">
        <v>444</v>
      </c>
      <c r="H2878" s="47" t="s">
        <v>445</v>
      </c>
      <c r="I2878" s="48" t="s">
        <v>19</v>
      </c>
      <c r="J2878" s="49">
        <v>9800090.0</v>
      </c>
    </row>
    <row r="2879">
      <c r="A2879" s="45" t="s">
        <v>11</v>
      </c>
      <c r="B2879" s="16" t="s">
        <v>32</v>
      </c>
      <c r="C2879" s="17" t="s">
        <v>33</v>
      </c>
      <c r="D2879" s="15">
        <v>5.0</v>
      </c>
      <c r="E2879" s="17" t="s">
        <v>478</v>
      </c>
      <c r="F2879" s="15" t="s">
        <v>479</v>
      </c>
      <c r="G2879" s="46" t="s">
        <v>579</v>
      </c>
      <c r="H2879" s="47" t="s">
        <v>580</v>
      </c>
      <c r="I2879" s="48" t="s">
        <v>19</v>
      </c>
      <c r="J2879" s="49">
        <v>6441666.0</v>
      </c>
    </row>
    <row r="2880">
      <c r="A2880" s="45" t="s">
        <v>11</v>
      </c>
      <c r="B2880" s="16" t="s">
        <v>32</v>
      </c>
      <c r="C2880" s="17" t="s">
        <v>33</v>
      </c>
      <c r="D2880" s="15">
        <v>5.0</v>
      </c>
      <c r="E2880" s="17" t="s">
        <v>478</v>
      </c>
      <c r="F2880" s="15" t="s">
        <v>479</v>
      </c>
      <c r="G2880" s="46" t="s">
        <v>446</v>
      </c>
      <c r="H2880" s="47" t="s">
        <v>447</v>
      </c>
      <c r="I2880" s="48" t="s">
        <v>19</v>
      </c>
      <c r="J2880" s="49">
        <v>787075.0</v>
      </c>
    </row>
    <row r="2881">
      <c r="A2881" s="45" t="s">
        <v>11</v>
      </c>
      <c r="B2881" s="16" t="s">
        <v>32</v>
      </c>
      <c r="C2881" s="17" t="s">
        <v>33</v>
      </c>
      <c r="D2881" s="15">
        <v>5.0</v>
      </c>
      <c r="E2881" s="17" t="s">
        <v>478</v>
      </c>
      <c r="F2881" s="15" t="s">
        <v>479</v>
      </c>
      <c r="G2881" s="46" t="s">
        <v>448</v>
      </c>
      <c r="H2881" s="47" t="s">
        <v>449</v>
      </c>
      <c r="I2881" s="48" t="s">
        <v>19</v>
      </c>
      <c r="J2881" s="49">
        <v>1398381.0</v>
      </c>
    </row>
    <row r="2882">
      <c r="A2882" s="45" t="s">
        <v>11</v>
      </c>
      <c r="B2882" s="16" t="s">
        <v>32</v>
      </c>
      <c r="C2882" s="17" t="s">
        <v>33</v>
      </c>
      <c r="D2882" s="15">
        <v>5.0</v>
      </c>
      <c r="E2882" s="17" t="s">
        <v>478</v>
      </c>
      <c r="F2882" s="15" t="s">
        <v>479</v>
      </c>
      <c r="G2882" s="46" t="s">
        <v>450</v>
      </c>
      <c r="H2882" s="47" t="s">
        <v>451</v>
      </c>
      <c r="I2882" s="48" t="s">
        <v>19</v>
      </c>
      <c r="J2882" s="49">
        <v>0.0</v>
      </c>
    </row>
    <row r="2883">
      <c r="A2883" s="45" t="s">
        <v>11</v>
      </c>
      <c r="B2883" s="16" t="s">
        <v>32</v>
      </c>
      <c r="C2883" s="17" t="s">
        <v>33</v>
      </c>
      <c r="D2883" s="15">
        <v>5.0</v>
      </c>
      <c r="E2883" s="17" t="s">
        <v>478</v>
      </c>
      <c r="F2883" s="15" t="s">
        <v>479</v>
      </c>
      <c r="G2883" s="46" t="s">
        <v>452</v>
      </c>
      <c r="H2883" s="47" t="s">
        <v>453</v>
      </c>
      <c r="I2883" s="48" t="s">
        <v>19</v>
      </c>
      <c r="J2883" s="49">
        <v>1478083.0</v>
      </c>
    </row>
    <row r="2884">
      <c r="A2884" s="45" t="s">
        <v>11</v>
      </c>
      <c r="B2884" s="16" t="s">
        <v>32</v>
      </c>
      <c r="C2884" s="17" t="s">
        <v>33</v>
      </c>
      <c r="D2884" s="15">
        <v>5.0</v>
      </c>
      <c r="E2884" s="17" t="s">
        <v>478</v>
      </c>
      <c r="F2884" s="15" t="s">
        <v>479</v>
      </c>
      <c r="G2884" s="46" t="s">
        <v>454</v>
      </c>
      <c r="H2884" s="47" t="s">
        <v>415</v>
      </c>
      <c r="I2884" s="48" t="s">
        <v>19</v>
      </c>
      <c r="J2884" s="49">
        <v>215719.0</v>
      </c>
    </row>
    <row r="2885">
      <c r="A2885" s="45" t="s">
        <v>11</v>
      </c>
      <c r="B2885" s="16" t="s">
        <v>32</v>
      </c>
      <c r="C2885" s="17" t="s">
        <v>33</v>
      </c>
      <c r="D2885" s="15">
        <v>5.0</v>
      </c>
      <c r="E2885" s="17" t="s">
        <v>478</v>
      </c>
      <c r="F2885" s="15" t="s">
        <v>479</v>
      </c>
      <c r="G2885" s="46" t="s">
        <v>455</v>
      </c>
      <c r="H2885" s="47" t="s">
        <v>415</v>
      </c>
      <c r="I2885" s="48" t="s">
        <v>19</v>
      </c>
      <c r="J2885" s="49">
        <v>119843.0</v>
      </c>
    </row>
    <row r="2886">
      <c r="A2886" s="45" t="s">
        <v>11</v>
      </c>
      <c r="B2886" s="16" t="s">
        <v>32</v>
      </c>
      <c r="C2886" s="17" t="s">
        <v>33</v>
      </c>
      <c r="D2886" s="15">
        <v>5.0</v>
      </c>
      <c r="E2886" s="17" t="s">
        <v>478</v>
      </c>
      <c r="F2886" s="15" t="s">
        <v>479</v>
      </c>
      <c r="G2886" s="46" t="s">
        <v>499</v>
      </c>
      <c r="H2886" s="47" t="s">
        <v>500</v>
      </c>
      <c r="I2886" s="48" t="s">
        <v>19</v>
      </c>
      <c r="J2886" s="49">
        <v>7107975.0</v>
      </c>
    </row>
    <row r="2887">
      <c r="A2887" s="45" t="s">
        <v>11</v>
      </c>
      <c r="B2887" s="16" t="s">
        <v>32</v>
      </c>
      <c r="C2887" s="17" t="s">
        <v>33</v>
      </c>
      <c r="D2887" s="15">
        <v>5.0</v>
      </c>
      <c r="E2887" s="17" t="s">
        <v>478</v>
      </c>
      <c r="F2887" s="15" t="s">
        <v>479</v>
      </c>
      <c r="G2887" s="46" t="s">
        <v>480</v>
      </c>
      <c r="H2887" s="47" t="s">
        <v>481</v>
      </c>
      <c r="I2887" s="48" t="s">
        <v>19</v>
      </c>
      <c r="J2887" s="49">
        <v>2937354.0</v>
      </c>
    </row>
    <row r="2888">
      <c r="A2888" s="45" t="s">
        <v>11</v>
      </c>
      <c r="B2888" s="16" t="s">
        <v>32</v>
      </c>
      <c r="C2888" s="17" t="s">
        <v>33</v>
      </c>
      <c r="D2888" s="15">
        <v>5.0</v>
      </c>
      <c r="E2888" s="17" t="s">
        <v>478</v>
      </c>
      <c r="F2888" s="15" t="s">
        <v>479</v>
      </c>
      <c r="G2888" s="46" t="s">
        <v>583</v>
      </c>
      <c r="H2888" s="47" t="s">
        <v>584</v>
      </c>
      <c r="I2888" s="48" t="s">
        <v>25</v>
      </c>
      <c r="J2888" s="49">
        <v>1.2E7</v>
      </c>
    </row>
    <row r="2889">
      <c r="A2889" s="45" t="s">
        <v>11</v>
      </c>
      <c r="B2889" s="16" t="s">
        <v>32</v>
      </c>
      <c r="C2889" s="17" t="s">
        <v>33</v>
      </c>
      <c r="D2889" s="15">
        <v>5.0</v>
      </c>
      <c r="E2889" s="17" t="s">
        <v>501</v>
      </c>
      <c r="F2889" s="15" t="s">
        <v>502</v>
      </c>
      <c r="G2889" s="46" t="s">
        <v>503</v>
      </c>
      <c r="H2889" s="47" t="s">
        <v>504</v>
      </c>
      <c r="I2889" s="48" t="s">
        <v>60</v>
      </c>
      <c r="J2889" s="49">
        <v>2.11541937E8</v>
      </c>
    </row>
    <row r="2890">
      <c r="A2890" s="45" t="s">
        <v>11</v>
      </c>
      <c r="B2890" s="16" t="s">
        <v>32</v>
      </c>
      <c r="C2890" s="17" t="s">
        <v>33</v>
      </c>
      <c r="D2890" s="15">
        <v>5.0</v>
      </c>
      <c r="E2890" s="17" t="s">
        <v>501</v>
      </c>
      <c r="F2890" s="15" t="s">
        <v>502</v>
      </c>
      <c r="G2890" s="46" t="s">
        <v>505</v>
      </c>
      <c r="H2890" s="47" t="s">
        <v>506</v>
      </c>
      <c r="I2890" s="48" t="s">
        <v>60</v>
      </c>
      <c r="J2890" s="49">
        <v>2.0819374E7</v>
      </c>
    </row>
    <row r="2891">
      <c r="A2891" s="45" t="s">
        <v>11</v>
      </c>
      <c r="B2891" s="16" t="s">
        <v>32</v>
      </c>
      <c r="C2891" s="17" t="s">
        <v>33</v>
      </c>
      <c r="D2891" s="15">
        <v>5.0</v>
      </c>
      <c r="E2891" s="17" t="s">
        <v>501</v>
      </c>
      <c r="F2891" s="15" t="s">
        <v>502</v>
      </c>
      <c r="G2891" s="46" t="s">
        <v>507</v>
      </c>
      <c r="H2891" s="47" t="s">
        <v>508</v>
      </c>
      <c r="I2891" s="48" t="s">
        <v>60</v>
      </c>
      <c r="J2891" s="49">
        <v>1773341.0</v>
      </c>
    </row>
    <row r="2892">
      <c r="A2892" s="45" t="s">
        <v>11</v>
      </c>
      <c r="B2892" s="16" t="s">
        <v>32</v>
      </c>
      <c r="C2892" s="17" t="s">
        <v>33</v>
      </c>
      <c r="D2892" s="15">
        <v>5.0</v>
      </c>
      <c r="E2892" s="17" t="s">
        <v>501</v>
      </c>
      <c r="F2892" s="15" t="s">
        <v>502</v>
      </c>
      <c r="G2892" s="46" t="s">
        <v>509</v>
      </c>
      <c r="H2892" s="47" t="s">
        <v>510</v>
      </c>
      <c r="I2892" s="48" t="s">
        <v>60</v>
      </c>
      <c r="J2892" s="49">
        <v>133334.0</v>
      </c>
    </row>
    <row r="2893">
      <c r="A2893" s="45" t="s">
        <v>11</v>
      </c>
      <c r="B2893" s="16" t="s">
        <v>32</v>
      </c>
      <c r="C2893" s="17" t="s">
        <v>33</v>
      </c>
      <c r="D2893" s="15">
        <v>5.0</v>
      </c>
      <c r="E2893" s="17" t="s">
        <v>501</v>
      </c>
      <c r="F2893" s="15" t="s">
        <v>502</v>
      </c>
      <c r="G2893" s="46" t="s">
        <v>511</v>
      </c>
      <c r="H2893" s="47" t="s">
        <v>512</v>
      </c>
      <c r="I2893" s="48" t="s">
        <v>60</v>
      </c>
      <c r="J2893" s="49">
        <v>5.1768825E7</v>
      </c>
    </row>
    <row r="2894">
      <c r="A2894" s="45" t="s">
        <v>11</v>
      </c>
      <c r="B2894" s="16" t="s">
        <v>32</v>
      </c>
      <c r="C2894" s="17" t="s">
        <v>33</v>
      </c>
      <c r="D2894" s="15">
        <v>5.0</v>
      </c>
      <c r="E2894" s="17" t="s">
        <v>501</v>
      </c>
      <c r="F2894" s="15" t="s">
        <v>502</v>
      </c>
      <c r="G2894" s="46" t="s">
        <v>513</v>
      </c>
      <c r="H2894" s="47" t="s">
        <v>514</v>
      </c>
      <c r="I2894" s="48" t="s">
        <v>60</v>
      </c>
      <c r="J2894" s="49">
        <v>3931591.0</v>
      </c>
    </row>
    <row r="2895">
      <c r="A2895" s="45" t="s">
        <v>11</v>
      </c>
      <c r="B2895" s="16" t="s">
        <v>32</v>
      </c>
      <c r="C2895" s="17" t="s">
        <v>33</v>
      </c>
      <c r="D2895" s="15">
        <v>5.0</v>
      </c>
      <c r="E2895" s="17" t="s">
        <v>548</v>
      </c>
      <c r="F2895" s="15" t="s">
        <v>549</v>
      </c>
      <c r="G2895" s="46" t="s">
        <v>550</v>
      </c>
      <c r="H2895" s="47" t="s">
        <v>551</v>
      </c>
      <c r="I2895" s="48" t="s">
        <v>25</v>
      </c>
      <c r="J2895" s="49">
        <v>7.4115892E7</v>
      </c>
    </row>
    <row r="2896">
      <c r="A2896" s="45" t="s">
        <v>74</v>
      </c>
      <c r="B2896" s="16" t="s">
        <v>75</v>
      </c>
      <c r="C2896" s="17" t="s">
        <v>76</v>
      </c>
      <c r="D2896" s="15">
        <v>5.0</v>
      </c>
      <c r="E2896" s="17" t="s">
        <v>441</v>
      </c>
      <c r="F2896" s="15" t="s">
        <v>442</v>
      </c>
      <c r="G2896" s="46" t="s">
        <v>443</v>
      </c>
      <c r="H2896" s="47" t="s">
        <v>420</v>
      </c>
      <c r="I2896" s="48" t="s">
        <v>19</v>
      </c>
      <c r="J2896" s="49">
        <v>4.8486183E7</v>
      </c>
    </row>
    <row r="2897">
      <c r="A2897" s="45" t="s">
        <v>74</v>
      </c>
      <c r="B2897" s="16" t="s">
        <v>75</v>
      </c>
      <c r="C2897" s="17" t="s">
        <v>76</v>
      </c>
      <c r="D2897" s="15">
        <v>5.0</v>
      </c>
      <c r="E2897" s="17" t="s">
        <v>441</v>
      </c>
      <c r="F2897" s="15" t="s">
        <v>442</v>
      </c>
      <c r="G2897" s="46" t="s">
        <v>444</v>
      </c>
      <c r="H2897" s="47" t="s">
        <v>445</v>
      </c>
      <c r="I2897" s="48" t="s">
        <v>19</v>
      </c>
      <c r="J2897" s="49">
        <v>1.0212545E7</v>
      </c>
    </row>
    <row r="2898">
      <c r="A2898" s="45" t="s">
        <v>74</v>
      </c>
      <c r="B2898" s="16" t="s">
        <v>75</v>
      </c>
      <c r="C2898" s="17" t="s">
        <v>76</v>
      </c>
      <c r="D2898" s="15">
        <v>5.0</v>
      </c>
      <c r="E2898" s="17" t="s">
        <v>441</v>
      </c>
      <c r="F2898" s="15" t="s">
        <v>442</v>
      </c>
      <c r="G2898" s="46" t="s">
        <v>579</v>
      </c>
      <c r="H2898" s="47" t="s">
        <v>580</v>
      </c>
      <c r="I2898" s="48" t="s">
        <v>19</v>
      </c>
      <c r="J2898" s="49">
        <v>5199611.0</v>
      </c>
    </row>
    <row r="2899">
      <c r="A2899" s="45" t="s">
        <v>74</v>
      </c>
      <c r="B2899" s="16" t="s">
        <v>75</v>
      </c>
      <c r="C2899" s="17" t="s">
        <v>76</v>
      </c>
      <c r="D2899" s="15">
        <v>5.0</v>
      </c>
      <c r="E2899" s="17" t="s">
        <v>441</v>
      </c>
      <c r="F2899" s="15" t="s">
        <v>442</v>
      </c>
      <c r="G2899" s="46" t="s">
        <v>446</v>
      </c>
      <c r="H2899" s="47" t="s">
        <v>447</v>
      </c>
      <c r="I2899" s="48" t="s">
        <v>19</v>
      </c>
      <c r="J2899" s="49">
        <v>477014.0</v>
      </c>
    </row>
    <row r="2900">
      <c r="A2900" s="45" t="s">
        <v>74</v>
      </c>
      <c r="B2900" s="16" t="s">
        <v>75</v>
      </c>
      <c r="C2900" s="17" t="s">
        <v>76</v>
      </c>
      <c r="D2900" s="15">
        <v>5.0</v>
      </c>
      <c r="E2900" s="17" t="s">
        <v>441</v>
      </c>
      <c r="F2900" s="15" t="s">
        <v>442</v>
      </c>
      <c r="G2900" s="46" t="s">
        <v>448</v>
      </c>
      <c r="H2900" s="47" t="s">
        <v>449</v>
      </c>
      <c r="I2900" s="48" t="s">
        <v>19</v>
      </c>
      <c r="J2900" s="49">
        <v>977321.0</v>
      </c>
    </row>
    <row r="2901">
      <c r="A2901" s="45" t="s">
        <v>74</v>
      </c>
      <c r="B2901" s="16" t="s">
        <v>75</v>
      </c>
      <c r="C2901" s="17" t="s">
        <v>76</v>
      </c>
      <c r="D2901" s="15">
        <v>5.0</v>
      </c>
      <c r="E2901" s="17" t="s">
        <v>441</v>
      </c>
      <c r="F2901" s="15" t="s">
        <v>442</v>
      </c>
      <c r="G2901" s="46" t="s">
        <v>450</v>
      </c>
      <c r="H2901" s="47" t="s">
        <v>451</v>
      </c>
      <c r="I2901" s="48" t="s">
        <v>19</v>
      </c>
      <c r="J2901" s="49">
        <v>0.0</v>
      </c>
    </row>
    <row r="2902">
      <c r="A2902" s="45" t="s">
        <v>74</v>
      </c>
      <c r="B2902" s="16" t="s">
        <v>75</v>
      </c>
      <c r="C2902" s="17" t="s">
        <v>76</v>
      </c>
      <c r="D2902" s="15">
        <v>5.0</v>
      </c>
      <c r="E2902" s="17" t="s">
        <v>441</v>
      </c>
      <c r="F2902" s="15" t="s">
        <v>442</v>
      </c>
      <c r="G2902" s="46" t="s">
        <v>452</v>
      </c>
      <c r="H2902" s="47" t="s">
        <v>453</v>
      </c>
      <c r="I2902" s="48" t="s">
        <v>19</v>
      </c>
      <c r="J2902" s="49">
        <v>882477.0</v>
      </c>
    </row>
    <row r="2903">
      <c r="A2903" s="45" t="s">
        <v>74</v>
      </c>
      <c r="B2903" s="16" t="s">
        <v>75</v>
      </c>
      <c r="C2903" s="17" t="s">
        <v>76</v>
      </c>
      <c r="D2903" s="15">
        <v>5.0</v>
      </c>
      <c r="E2903" s="17" t="s">
        <v>441</v>
      </c>
      <c r="F2903" s="15" t="s">
        <v>442</v>
      </c>
      <c r="G2903" s="46" t="s">
        <v>454</v>
      </c>
      <c r="H2903" s="47" t="s">
        <v>415</v>
      </c>
      <c r="I2903" s="48" t="s">
        <v>19</v>
      </c>
      <c r="J2903" s="49">
        <v>128794.0</v>
      </c>
    </row>
    <row r="2904">
      <c r="A2904" s="45" t="s">
        <v>74</v>
      </c>
      <c r="B2904" s="16" t="s">
        <v>75</v>
      </c>
      <c r="C2904" s="17" t="s">
        <v>76</v>
      </c>
      <c r="D2904" s="15">
        <v>5.0</v>
      </c>
      <c r="E2904" s="17" t="s">
        <v>441</v>
      </c>
      <c r="F2904" s="15" t="s">
        <v>442</v>
      </c>
      <c r="G2904" s="46" t="s">
        <v>455</v>
      </c>
      <c r="H2904" s="47" t="s">
        <v>415</v>
      </c>
      <c r="I2904" s="48" t="s">
        <v>19</v>
      </c>
      <c r="J2904" s="49">
        <v>71551.0</v>
      </c>
    </row>
    <row r="2905">
      <c r="A2905" s="45" t="s">
        <v>74</v>
      </c>
      <c r="B2905" s="16" t="s">
        <v>75</v>
      </c>
      <c r="C2905" s="17" t="s">
        <v>76</v>
      </c>
      <c r="D2905" s="15">
        <v>5.0</v>
      </c>
      <c r="E2905" s="17" t="s">
        <v>441</v>
      </c>
      <c r="F2905" s="15" t="s">
        <v>442</v>
      </c>
      <c r="G2905" s="46" t="s">
        <v>583</v>
      </c>
      <c r="H2905" s="47" t="s">
        <v>584</v>
      </c>
      <c r="I2905" s="48" t="s">
        <v>25</v>
      </c>
      <c r="J2905" s="49">
        <v>9000000.0</v>
      </c>
    </row>
    <row r="2906">
      <c r="A2906" s="45" t="s">
        <v>74</v>
      </c>
      <c r="B2906" s="16" t="s">
        <v>75</v>
      </c>
      <c r="C2906" s="17" t="s">
        <v>76</v>
      </c>
      <c r="D2906" s="15">
        <v>5.0</v>
      </c>
      <c r="E2906" s="17" t="s">
        <v>456</v>
      </c>
      <c r="F2906" s="15" t="s">
        <v>457</v>
      </c>
      <c r="G2906" s="46" t="s">
        <v>515</v>
      </c>
      <c r="H2906" s="47" t="s">
        <v>413</v>
      </c>
      <c r="I2906" s="48" t="s">
        <v>19</v>
      </c>
      <c r="J2906" s="49">
        <v>4000000.0</v>
      </c>
    </row>
    <row r="2907">
      <c r="A2907" s="45" t="s">
        <v>74</v>
      </c>
      <c r="B2907" s="16" t="s">
        <v>75</v>
      </c>
      <c r="C2907" s="17" t="s">
        <v>76</v>
      </c>
      <c r="D2907" s="15">
        <v>5.0</v>
      </c>
      <c r="E2907" s="17" t="s">
        <v>456</v>
      </c>
      <c r="F2907" s="15" t="s">
        <v>457</v>
      </c>
      <c r="G2907" s="46" t="s">
        <v>579</v>
      </c>
      <c r="H2907" s="47" t="s">
        <v>580</v>
      </c>
      <c r="I2907" s="48" t="s">
        <v>19</v>
      </c>
      <c r="J2907" s="49">
        <v>399388.0</v>
      </c>
    </row>
    <row r="2908">
      <c r="A2908" s="45" t="s">
        <v>74</v>
      </c>
      <c r="B2908" s="16" t="s">
        <v>75</v>
      </c>
      <c r="C2908" s="17" t="s">
        <v>76</v>
      </c>
      <c r="D2908" s="15">
        <v>5.0</v>
      </c>
      <c r="E2908" s="17" t="s">
        <v>456</v>
      </c>
      <c r="F2908" s="15" t="s">
        <v>457</v>
      </c>
      <c r="G2908" s="46" t="s">
        <v>516</v>
      </c>
      <c r="H2908" s="47" t="s">
        <v>436</v>
      </c>
      <c r="I2908" s="48" t="s">
        <v>25</v>
      </c>
      <c r="J2908" s="49">
        <v>2000000.0</v>
      </c>
    </row>
    <row r="2909">
      <c r="A2909" s="45" t="s">
        <v>74</v>
      </c>
      <c r="B2909" s="16" t="s">
        <v>75</v>
      </c>
      <c r="C2909" s="17" t="s">
        <v>76</v>
      </c>
      <c r="D2909" s="15">
        <v>5.0</v>
      </c>
      <c r="E2909" s="17" t="s">
        <v>456</v>
      </c>
      <c r="F2909" s="15" t="s">
        <v>457</v>
      </c>
      <c r="G2909" s="46" t="s">
        <v>458</v>
      </c>
      <c r="H2909" s="47" t="s">
        <v>411</v>
      </c>
      <c r="I2909" s="48" t="s">
        <v>19</v>
      </c>
      <c r="J2909" s="49">
        <v>2.60066343E8</v>
      </c>
    </row>
    <row r="2910">
      <c r="A2910" s="45" t="s">
        <v>74</v>
      </c>
      <c r="B2910" s="16" t="s">
        <v>75</v>
      </c>
      <c r="C2910" s="17" t="s">
        <v>76</v>
      </c>
      <c r="D2910" s="15">
        <v>5.0</v>
      </c>
      <c r="E2910" s="17" t="s">
        <v>459</v>
      </c>
      <c r="F2910" s="15" t="s">
        <v>460</v>
      </c>
      <c r="G2910" s="46" t="s">
        <v>519</v>
      </c>
      <c r="H2910" s="47" t="s">
        <v>414</v>
      </c>
      <c r="I2910" s="48" t="s">
        <v>37</v>
      </c>
      <c r="J2910" s="49">
        <v>1988500.0</v>
      </c>
    </row>
    <row r="2911">
      <c r="A2911" s="45" t="s">
        <v>74</v>
      </c>
      <c r="B2911" s="16" t="s">
        <v>75</v>
      </c>
      <c r="C2911" s="17" t="s">
        <v>76</v>
      </c>
      <c r="D2911" s="15">
        <v>5.0</v>
      </c>
      <c r="E2911" s="17" t="s">
        <v>459</v>
      </c>
      <c r="F2911" s="15" t="s">
        <v>460</v>
      </c>
      <c r="G2911" s="46" t="s">
        <v>458</v>
      </c>
      <c r="H2911" s="47" t="s">
        <v>411</v>
      </c>
      <c r="I2911" s="48" t="s">
        <v>19</v>
      </c>
      <c r="J2911" s="49">
        <v>1.032525E7</v>
      </c>
    </row>
    <row r="2912">
      <c r="A2912" s="45" t="s">
        <v>74</v>
      </c>
      <c r="B2912" s="16" t="s">
        <v>75</v>
      </c>
      <c r="C2912" s="17" t="s">
        <v>76</v>
      </c>
      <c r="D2912" s="15">
        <v>5.0</v>
      </c>
      <c r="E2912" s="17" t="s">
        <v>463</v>
      </c>
      <c r="F2912" s="15" t="s">
        <v>464</v>
      </c>
      <c r="G2912" s="46" t="s">
        <v>520</v>
      </c>
      <c r="H2912" s="47" t="s">
        <v>435</v>
      </c>
      <c r="I2912" s="48" t="s">
        <v>37</v>
      </c>
      <c r="J2912" s="49">
        <v>310000.0</v>
      </c>
    </row>
    <row r="2913">
      <c r="A2913" s="45" t="s">
        <v>74</v>
      </c>
      <c r="B2913" s="16" t="s">
        <v>75</v>
      </c>
      <c r="C2913" s="17" t="s">
        <v>76</v>
      </c>
      <c r="D2913" s="15">
        <v>5.0</v>
      </c>
      <c r="E2913" s="17" t="s">
        <v>463</v>
      </c>
      <c r="F2913" s="15" t="s">
        <v>464</v>
      </c>
      <c r="G2913" s="46" t="s">
        <v>519</v>
      </c>
      <c r="H2913" s="47" t="s">
        <v>414</v>
      </c>
      <c r="I2913" s="48" t="s">
        <v>37</v>
      </c>
      <c r="J2913" s="49">
        <v>168605.0</v>
      </c>
    </row>
    <row r="2914">
      <c r="A2914" s="45" t="s">
        <v>74</v>
      </c>
      <c r="B2914" s="16" t="s">
        <v>75</v>
      </c>
      <c r="C2914" s="17" t="s">
        <v>76</v>
      </c>
      <c r="D2914" s="15">
        <v>5.0</v>
      </c>
      <c r="E2914" s="17" t="s">
        <v>463</v>
      </c>
      <c r="F2914" s="15" t="s">
        <v>464</v>
      </c>
      <c r="G2914" s="46" t="s">
        <v>519</v>
      </c>
      <c r="H2914" s="47" t="s">
        <v>414</v>
      </c>
      <c r="I2914" s="48" t="s">
        <v>25</v>
      </c>
      <c r="J2914" s="49">
        <v>379500.0</v>
      </c>
    </row>
    <row r="2915">
      <c r="A2915" s="45" t="s">
        <v>74</v>
      </c>
      <c r="B2915" s="16" t="s">
        <v>75</v>
      </c>
      <c r="C2915" s="17" t="s">
        <v>76</v>
      </c>
      <c r="D2915" s="15">
        <v>5.0</v>
      </c>
      <c r="E2915" s="17" t="s">
        <v>463</v>
      </c>
      <c r="F2915" s="15" t="s">
        <v>464</v>
      </c>
      <c r="G2915" s="46" t="s">
        <v>521</v>
      </c>
      <c r="H2915" s="47" t="s">
        <v>522</v>
      </c>
      <c r="I2915" s="48" t="s">
        <v>37</v>
      </c>
      <c r="J2915" s="49">
        <v>57800.0</v>
      </c>
    </row>
    <row r="2916">
      <c r="A2916" s="45" t="s">
        <v>74</v>
      </c>
      <c r="B2916" s="16" t="s">
        <v>75</v>
      </c>
      <c r="C2916" s="17" t="s">
        <v>76</v>
      </c>
      <c r="D2916" s="15">
        <v>5.0</v>
      </c>
      <c r="E2916" s="17" t="s">
        <v>463</v>
      </c>
      <c r="F2916" s="15" t="s">
        <v>464</v>
      </c>
      <c r="G2916" s="46" t="s">
        <v>467</v>
      </c>
      <c r="H2916" s="47" t="s">
        <v>468</v>
      </c>
      <c r="I2916" s="48" t="s">
        <v>25</v>
      </c>
      <c r="J2916" s="49">
        <v>3305000.0</v>
      </c>
    </row>
    <row r="2917">
      <c r="A2917" s="45" t="s">
        <v>74</v>
      </c>
      <c r="B2917" s="16" t="s">
        <v>75</v>
      </c>
      <c r="C2917" s="17" t="s">
        <v>76</v>
      </c>
      <c r="D2917" s="15">
        <v>5.0</v>
      </c>
      <c r="E2917" s="17" t="s">
        <v>463</v>
      </c>
      <c r="F2917" s="15" t="s">
        <v>464</v>
      </c>
      <c r="G2917" s="46" t="s">
        <v>458</v>
      </c>
      <c r="H2917" s="47" t="s">
        <v>411</v>
      </c>
      <c r="I2917" s="48" t="s">
        <v>19</v>
      </c>
      <c r="J2917" s="49">
        <v>4102760.0</v>
      </c>
    </row>
    <row r="2918">
      <c r="A2918" s="45" t="s">
        <v>74</v>
      </c>
      <c r="B2918" s="16" t="s">
        <v>75</v>
      </c>
      <c r="C2918" s="17" t="s">
        <v>76</v>
      </c>
      <c r="D2918" s="15">
        <v>5.0</v>
      </c>
      <c r="E2918" s="17" t="s">
        <v>487</v>
      </c>
      <c r="F2918" s="15" t="s">
        <v>488</v>
      </c>
      <c r="G2918" s="46" t="s">
        <v>489</v>
      </c>
      <c r="H2918" s="47" t="s">
        <v>490</v>
      </c>
      <c r="I2918" s="48" t="s">
        <v>25</v>
      </c>
      <c r="J2918" s="49">
        <v>1372876.0</v>
      </c>
    </row>
    <row r="2919">
      <c r="A2919" s="45" t="s">
        <v>74</v>
      </c>
      <c r="B2919" s="16" t="s">
        <v>75</v>
      </c>
      <c r="C2919" s="17" t="s">
        <v>76</v>
      </c>
      <c r="D2919" s="15">
        <v>5.0</v>
      </c>
      <c r="E2919" s="17" t="s">
        <v>487</v>
      </c>
      <c r="F2919" s="15" t="s">
        <v>488</v>
      </c>
      <c r="G2919" s="46" t="s">
        <v>458</v>
      </c>
      <c r="H2919" s="47" t="s">
        <v>411</v>
      </c>
      <c r="I2919" s="48" t="s">
        <v>19</v>
      </c>
      <c r="J2919" s="49">
        <v>1.195874E7</v>
      </c>
    </row>
    <row r="2920">
      <c r="A2920" s="45" t="s">
        <v>74</v>
      </c>
      <c r="B2920" s="16" t="s">
        <v>75</v>
      </c>
      <c r="C2920" s="17" t="s">
        <v>76</v>
      </c>
      <c r="D2920" s="15">
        <v>5.0</v>
      </c>
      <c r="E2920" s="17" t="s">
        <v>473</v>
      </c>
      <c r="F2920" s="15" t="s">
        <v>474</v>
      </c>
      <c r="G2920" s="46" t="s">
        <v>523</v>
      </c>
      <c r="H2920" s="47" t="s">
        <v>431</v>
      </c>
      <c r="I2920" s="48" t="s">
        <v>17</v>
      </c>
      <c r="J2920" s="49">
        <v>7.5862358E7</v>
      </c>
    </row>
    <row r="2921">
      <c r="A2921" s="45" t="s">
        <v>74</v>
      </c>
      <c r="B2921" s="16" t="s">
        <v>75</v>
      </c>
      <c r="C2921" s="17" t="s">
        <v>76</v>
      </c>
      <c r="D2921" s="15">
        <v>5.0</v>
      </c>
      <c r="E2921" s="17" t="s">
        <v>473</v>
      </c>
      <c r="F2921" s="15" t="s">
        <v>474</v>
      </c>
      <c r="G2921" s="46" t="s">
        <v>523</v>
      </c>
      <c r="H2921" s="47" t="s">
        <v>431</v>
      </c>
      <c r="I2921" s="48" t="s">
        <v>25</v>
      </c>
      <c r="J2921" s="49">
        <v>1.0E7</v>
      </c>
    </row>
    <row r="2922">
      <c r="A2922" s="45" t="s">
        <v>74</v>
      </c>
      <c r="B2922" s="16" t="s">
        <v>75</v>
      </c>
      <c r="C2922" s="17" t="s">
        <v>76</v>
      </c>
      <c r="D2922" s="15">
        <v>5.0</v>
      </c>
      <c r="E2922" s="17" t="s">
        <v>473</v>
      </c>
      <c r="F2922" s="15" t="s">
        <v>474</v>
      </c>
      <c r="G2922" s="46" t="s">
        <v>458</v>
      </c>
      <c r="H2922" s="47" t="s">
        <v>411</v>
      </c>
      <c r="I2922" s="48" t="s">
        <v>19</v>
      </c>
      <c r="J2922" s="49">
        <v>9.8457E7</v>
      </c>
    </row>
    <row r="2923">
      <c r="A2923" s="45" t="s">
        <v>74</v>
      </c>
      <c r="B2923" s="16" t="s">
        <v>75</v>
      </c>
      <c r="C2923" s="17" t="s">
        <v>76</v>
      </c>
      <c r="D2923" s="15">
        <v>5.0</v>
      </c>
      <c r="E2923" s="17" t="s">
        <v>491</v>
      </c>
      <c r="F2923" s="15" t="s">
        <v>492</v>
      </c>
      <c r="G2923" s="46" t="s">
        <v>519</v>
      </c>
      <c r="H2923" s="47" t="s">
        <v>414</v>
      </c>
      <c r="I2923" s="48" t="s">
        <v>25</v>
      </c>
      <c r="J2923" s="49">
        <v>959000.0</v>
      </c>
    </row>
    <row r="2924">
      <c r="A2924" s="45" t="s">
        <v>74</v>
      </c>
      <c r="B2924" s="16" t="s">
        <v>75</v>
      </c>
      <c r="C2924" s="17" t="s">
        <v>76</v>
      </c>
      <c r="D2924" s="15">
        <v>5.0</v>
      </c>
      <c r="E2924" s="17" t="s">
        <v>491</v>
      </c>
      <c r="F2924" s="15" t="s">
        <v>492</v>
      </c>
      <c r="G2924" s="46" t="s">
        <v>493</v>
      </c>
      <c r="H2924" s="47" t="s">
        <v>437</v>
      </c>
      <c r="I2924" s="48" t="s">
        <v>25</v>
      </c>
      <c r="J2924" s="49">
        <v>7127910.0</v>
      </c>
    </row>
    <row r="2925">
      <c r="A2925" s="45" t="s">
        <v>74</v>
      </c>
      <c r="B2925" s="16" t="s">
        <v>75</v>
      </c>
      <c r="C2925" s="17" t="s">
        <v>76</v>
      </c>
      <c r="D2925" s="15">
        <v>5.0</v>
      </c>
      <c r="E2925" s="17" t="s">
        <v>491</v>
      </c>
      <c r="F2925" s="15" t="s">
        <v>492</v>
      </c>
      <c r="G2925" s="46" t="s">
        <v>458</v>
      </c>
      <c r="H2925" s="47" t="s">
        <v>411</v>
      </c>
      <c r="I2925" s="48" t="s">
        <v>19</v>
      </c>
      <c r="J2925" s="49">
        <v>1.2889695E7</v>
      </c>
    </row>
    <row r="2926">
      <c r="A2926" s="45" t="s">
        <v>74</v>
      </c>
      <c r="B2926" s="16" t="s">
        <v>75</v>
      </c>
      <c r="C2926" s="17" t="s">
        <v>76</v>
      </c>
      <c r="D2926" s="15">
        <v>5.0</v>
      </c>
      <c r="E2926" s="17" t="s">
        <v>494</v>
      </c>
      <c r="F2926" s="15" t="s">
        <v>495</v>
      </c>
      <c r="G2926" s="46" t="s">
        <v>458</v>
      </c>
      <c r="H2926" s="47" t="s">
        <v>411</v>
      </c>
      <c r="I2926" s="48" t="s">
        <v>19</v>
      </c>
      <c r="J2926" s="49">
        <v>2313535.0</v>
      </c>
    </row>
    <row r="2927">
      <c r="A2927" s="45" t="s">
        <v>74</v>
      </c>
      <c r="B2927" s="16" t="s">
        <v>75</v>
      </c>
      <c r="C2927" s="17" t="s">
        <v>76</v>
      </c>
      <c r="D2927" s="15">
        <v>5.0</v>
      </c>
      <c r="E2927" s="17" t="s">
        <v>475</v>
      </c>
      <c r="F2927" s="15" t="s">
        <v>476</v>
      </c>
      <c r="G2927" s="46" t="s">
        <v>477</v>
      </c>
      <c r="H2927" s="47" t="s">
        <v>429</v>
      </c>
      <c r="I2927" s="48" t="s">
        <v>50</v>
      </c>
      <c r="J2927" s="49">
        <v>3.0296947E7</v>
      </c>
    </row>
    <row r="2928">
      <c r="A2928" s="45" t="s">
        <v>74</v>
      </c>
      <c r="B2928" s="16" t="s">
        <v>75</v>
      </c>
      <c r="C2928" s="17" t="s">
        <v>76</v>
      </c>
      <c r="D2928" s="15">
        <v>5.0</v>
      </c>
      <c r="E2928" s="17" t="s">
        <v>475</v>
      </c>
      <c r="F2928" s="15" t="s">
        <v>476</v>
      </c>
      <c r="G2928" s="46" t="s">
        <v>530</v>
      </c>
      <c r="H2928" s="47" t="s">
        <v>531</v>
      </c>
      <c r="I2928" s="48" t="s">
        <v>50</v>
      </c>
      <c r="J2928" s="49">
        <v>1.9889934E7</v>
      </c>
    </row>
    <row r="2929">
      <c r="A2929" s="45" t="s">
        <v>74</v>
      </c>
      <c r="B2929" s="16" t="s">
        <v>75</v>
      </c>
      <c r="C2929" s="17" t="s">
        <v>76</v>
      </c>
      <c r="D2929" s="15">
        <v>5.0</v>
      </c>
      <c r="E2929" s="17" t="s">
        <v>524</v>
      </c>
      <c r="F2929" s="15" t="s">
        <v>479</v>
      </c>
      <c r="G2929" s="46" t="s">
        <v>443</v>
      </c>
      <c r="H2929" s="47" t="s">
        <v>420</v>
      </c>
      <c r="I2929" s="48" t="s">
        <v>19</v>
      </c>
      <c r="J2929" s="49">
        <v>1.53260996E8</v>
      </c>
    </row>
    <row r="2930">
      <c r="A2930" s="45" t="s">
        <v>74</v>
      </c>
      <c r="B2930" s="16" t="s">
        <v>75</v>
      </c>
      <c r="C2930" s="17" t="s">
        <v>76</v>
      </c>
      <c r="D2930" s="15">
        <v>5.0</v>
      </c>
      <c r="E2930" s="17" t="s">
        <v>524</v>
      </c>
      <c r="F2930" s="15" t="s">
        <v>479</v>
      </c>
      <c r="G2930" s="46" t="s">
        <v>444</v>
      </c>
      <c r="H2930" s="47" t="s">
        <v>445</v>
      </c>
      <c r="I2930" s="48" t="s">
        <v>19</v>
      </c>
      <c r="J2930" s="49">
        <v>1.9165027E7</v>
      </c>
    </row>
    <row r="2931">
      <c r="A2931" s="45" t="s">
        <v>74</v>
      </c>
      <c r="B2931" s="16" t="s">
        <v>75</v>
      </c>
      <c r="C2931" s="17" t="s">
        <v>76</v>
      </c>
      <c r="D2931" s="15">
        <v>5.0</v>
      </c>
      <c r="E2931" s="17" t="s">
        <v>524</v>
      </c>
      <c r="F2931" s="15" t="s">
        <v>479</v>
      </c>
      <c r="G2931" s="46" t="s">
        <v>579</v>
      </c>
      <c r="H2931" s="47" t="s">
        <v>580</v>
      </c>
      <c r="I2931" s="48" t="s">
        <v>19</v>
      </c>
      <c r="J2931" s="49">
        <v>1.3178094E7</v>
      </c>
    </row>
    <row r="2932">
      <c r="A2932" s="45" t="s">
        <v>74</v>
      </c>
      <c r="B2932" s="16" t="s">
        <v>75</v>
      </c>
      <c r="C2932" s="17" t="s">
        <v>76</v>
      </c>
      <c r="D2932" s="15">
        <v>5.0</v>
      </c>
      <c r="E2932" s="17" t="s">
        <v>524</v>
      </c>
      <c r="F2932" s="15" t="s">
        <v>479</v>
      </c>
      <c r="G2932" s="46" t="s">
        <v>446</v>
      </c>
      <c r="H2932" s="47" t="s">
        <v>447</v>
      </c>
      <c r="I2932" s="48" t="s">
        <v>19</v>
      </c>
      <c r="J2932" s="49">
        <v>1489214.0</v>
      </c>
    </row>
    <row r="2933">
      <c r="A2933" s="45" t="s">
        <v>74</v>
      </c>
      <c r="B2933" s="16" t="s">
        <v>75</v>
      </c>
      <c r="C2933" s="17" t="s">
        <v>76</v>
      </c>
      <c r="D2933" s="15">
        <v>5.0</v>
      </c>
      <c r="E2933" s="17" t="s">
        <v>524</v>
      </c>
      <c r="F2933" s="15" t="s">
        <v>479</v>
      </c>
      <c r="G2933" s="46" t="s">
        <v>448</v>
      </c>
      <c r="H2933" s="47" t="s">
        <v>449</v>
      </c>
      <c r="I2933" s="48" t="s">
        <v>19</v>
      </c>
      <c r="J2933" s="49">
        <v>3071462.0</v>
      </c>
    </row>
    <row r="2934">
      <c r="A2934" s="45" t="s">
        <v>74</v>
      </c>
      <c r="B2934" s="16" t="s">
        <v>75</v>
      </c>
      <c r="C2934" s="17" t="s">
        <v>76</v>
      </c>
      <c r="D2934" s="15">
        <v>5.0</v>
      </c>
      <c r="E2934" s="17" t="s">
        <v>524</v>
      </c>
      <c r="F2934" s="15" t="s">
        <v>479</v>
      </c>
      <c r="G2934" s="46" t="s">
        <v>450</v>
      </c>
      <c r="H2934" s="47" t="s">
        <v>451</v>
      </c>
      <c r="I2934" s="48" t="s">
        <v>19</v>
      </c>
      <c r="J2934" s="49">
        <v>0.0</v>
      </c>
    </row>
    <row r="2935">
      <c r="A2935" s="45" t="s">
        <v>74</v>
      </c>
      <c r="B2935" s="16" t="s">
        <v>75</v>
      </c>
      <c r="C2935" s="17" t="s">
        <v>76</v>
      </c>
      <c r="D2935" s="15">
        <v>5.0</v>
      </c>
      <c r="E2935" s="17" t="s">
        <v>524</v>
      </c>
      <c r="F2935" s="15" t="s">
        <v>479</v>
      </c>
      <c r="G2935" s="46" t="s">
        <v>452</v>
      </c>
      <c r="H2935" s="47" t="s">
        <v>453</v>
      </c>
      <c r="I2935" s="48" t="s">
        <v>19</v>
      </c>
      <c r="J2935" s="49">
        <v>2773387.0</v>
      </c>
    </row>
    <row r="2936">
      <c r="A2936" s="45" t="s">
        <v>74</v>
      </c>
      <c r="B2936" s="16" t="s">
        <v>75</v>
      </c>
      <c r="C2936" s="17" t="s">
        <v>76</v>
      </c>
      <c r="D2936" s="15">
        <v>5.0</v>
      </c>
      <c r="E2936" s="17" t="s">
        <v>524</v>
      </c>
      <c r="F2936" s="15" t="s">
        <v>479</v>
      </c>
      <c r="G2936" s="46" t="s">
        <v>454</v>
      </c>
      <c r="H2936" s="47" t="s">
        <v>415</v>
      </c>
      <c r="I2936" s="48" t="s">
        <v>19</v>
      </c>
      <c r="J2936" s="49">
        <v>404765.0</v>
      </c>
    </row>
    <row r="2937">
      <c r="A2937" s="45" t="s">
        <v>74</v>
      </c>
      <c r="B2937" s="16" t="s">
        <v>75</v>
      </c>
      <c r="C2937" s="17" t="s">
        <v>76</v>
      </c>
      <c r="D2937" s="15">
        <v>5.0</v>
      </c>
      <c r="E2937" s="17" t="s">
        <v>524</v>
      </c>
      <c r="F2937" s="15" t="s">
        <v>479</v>
      </c>
      <c r="G2937" s="46" t="s">
        <v>455</v>
      </c>
      <c r="H2937" s="47" t="s">
        <v>415</v>
      </c>
      <c r="I2937" s="48" t="s">
        <v>19</v>
      </c>
      <c r="J2937" s="49">
        <v>224868.0</v>
      </c>
    </row>
    <row r="2938">
      <c r="A2938" s="45" t="s">
        <v>74</v>
      </c>
      <c r="B2938" s="16" t="s">
        <v>75</v>
      </c>
      <c r="C2938" s="17" t="s">
        <v>76</v>
      </c>
      <c r="D2938" s="15">
        <v>5.0</v>
      </c>
      <c r="E2938" s="17" t="s">
        <v>524</v>
      </c>
      <c r="F2938" s="15" t="s">
        <v>479</v>
      </c>
      <c r="G2938" s="46" t="s">
        <v>583</v>
      </c>
      <c r="H2938" s="47" t="s">
        <v>584</v>
      </c>
      <c r="I2938" s="48" t="s">
        <v>25</v>
      </c>
      <c r="J2938" s="49">
        <v>2.7E7</v>
      </c>
    </row>
    <row r="2939">
      <c r="A2939" s="45" t="s">
        <v>74</v>
      </c>
      <c r="B2939" s="16" t="s">
        <v>75</v>
      </c>
      <c r="C2939" s="17" t="s">
        <v>76</v>
      </c>
      <c r="D2939" s="15">
        <v>5.0</v>
      </c>
      <c r="E2939" s="17" t="s">
        <v>525</v>
      </c>
      <c r="F2939" s="15" t="s">
        <v>502</v>
      </c>
      <c r="G2939" s="46" t="s">
        <v>526</v>
      </c>
      <c r="H2939" s="47" t="s">
        <v>527</v>
      </c>
      <c r="I2939" s="48" t="s">
        <v>60</v>
      </c>
      <c r="J2939" s="49">
        <v>4.87597162E8</v>
      </c>
    </row>
    <row r="2940">
      <c r="A2940" s="45" t="s">
        <v>74</v>
      </c>
      <c r="B2940" s="16" t="s">
        <v>75</v>
      </c>
      <c r="C2940" s="17" t="s">
        <v>76</v>
      </c>
      <c r="D2940" s="15">
        <v>5.0</v>
      </c>
      <c r="E2940" s="17" t="s">
        <v>525</v>
      </c>
      <c r="F2940" s="15" t="s">
        <v>502</v>
      </c>
      <c r="G2940" s="46" t="s">
        <v>505</v>
      </c>
      <c r="H2940" s="47" t="s">
        <v>506</v>
      </c>
      <c r="I2940" s="48" t="s">
        <v>60</v>
      </c>
      <c r="J2940" s="49">
        <v>4817571.0</v>
      </c>
    </row>
    <row r="2941">
      <c r="A2941" s="45" t="s">
        <v>74</v>
      </c>
      <c r="B2941" s="16" t="s">
        <v>75</v>
      </c>
      <c r="C2941" s="17" t="s">
        <v>76</v>
      </c>
      <c r="D2941" s="15">
        <v>5.0</v>
      </c>
      <c r="E2941" s="17" t="s">
        <v>525</v>
      </c>
      <c r="F2941" s="15" t="s">
        <v>502</v>
      </c>
      <c r="G2941" s="46" t="s">
        <v>507</v>
      </c>
      <c r="H2941" s="47" t="s">
        <v>508</v>
      </c>
      <c r="I2941" s="48" t="s">
        <v>60</v>
      </c>
      <c r="J2941" s="49">
        <v>8789288.0</v>
      </c>
    </row>
    <row r="2942">
      <c r="A2942" s="45" t="s">
        <v>74</v>
      </c>
      <c r="B2942" s="16" t="s">
        <v>75</v>
      </c>
      <c r="C2942" s="17" t="s">
        <v>76</v>
      </c>
      <c r="D2942" s="15">
        <v>5.0</v>
      </c>
      <c r="E2942" s="17" t="s">
        <v>525</v>
      </c>
      <c r="F2942" s="15" t="s">
        <v>502</v>
      </c>
      <c r="G2942" s="46" t="s">
        <v>509</v>
      </c>
      <c r="H2942" s="47" t="s">
        <v>510</v>
      </c>
      <c r="I2942" s="48" t="s">
        <v>60</v>
      </c>
      <c r="J2942" s="49">
        <v>4500282.0</v>
      </c>
    </row>
    <row r="2943">
      <c r="A2943" s="45" t="s">
        <v>74</v>
      </c>
      <c r="B2943" s="16" t="s">
        <v>75</v>
      </c>
      <c r="C2943" s="17" t="s">
        <v>76</v>
      </c>
      <c r="D2943" s="15">
        <v>5.0</v>
      </c>
      <c r="E2943" s="17" t="s">
        <v>525</v>
      </c>
      <c r="F2943" s="15" t="s">
        <v>502</v>
      </c>
      <c r="G2943" s="46" t="s">
        <v>511</v>
      </c>
      <c r="H2943" s="47" t="s">
        <v>512</v>
      </c>
      <c r="I2943" s="48" t="s">
        <v>60</v>
      </c>
      <c r="J2943" s="49">
        <v>6.1906257E7</v>
      </c>
    </row>
    <row r="2944">
      <c r="A2944" s="45" t="s">
        <v>74</v>
      </c>
      <c r="B2944" s="16" t="s">
        <v>75</v>
      </c>
      <c r="C2944" s="17" t="s">
        <v>76</v>
      </c>
      <c r="D2944" s="15">
        <v>5.0</v>
      </c>
      <c r="E2944" s="17" t="s">
        <v>525</v>
      </c>
      <c r="F2944" s="15" t="s">
        <v>502</v>
      </c>
      <c r="G2944" s="46" t="s">
        <v>513</v>
      </c>
      <c r="H2944" s="47" t="s">
        <v>514</v>
      </c>
      <c r="I2944" s="48" t="s">
        <v>60</v>
      </c>
      <c r="J2944" s="49">
        <v>5347830.0</v>
      </c>
    </row>
    <row r="2945">
      <c r="A2945" s="45" t="s">
        <v>74</v>
      </c>
      <c r="B2945" s="16" t="s">
        <v>75</v>
      </c>
      <c r="C2945" s="17" t="s">
        <v>76</v>
      </c>
      <c r="D2945" s="15">
        <v>5.0</v>
      </c>
      <c r="E2945" s="17" t="s">
        <v>525</v>
      </c>
      <c r="F2945" s="15" t="s">
        <v>502</v>
      </c>
      <c r="G2945" s="46" t="s">
        <v>528</v>
      </c>
      <c r="H2945" s="47" t="s">
        <v>529</v>
      </c>
      <c r="I2945" s="48" t="s">
        <v>60</v>
      </c>
      <c r="J2945" s="49">
        <v>4523283.0</v>
      </c>
    </row>
    <row r="2946">
      <c r="A2946" s="45" t="s">
        <v>74</v>
      </c>
      <c r="B2946" s="16" t="s">
        <v>75</v>
      </c>
      <c r="C2946" s="17" t="s">
        <v>76</v>
      </c>
      <c r="D2946" s="15">
        <v>5.0</v>
      </c>
      <c r="E2946" s="17" t="s">
        <v>548</v>
      </c>
      <c r="F2946" s="15" t="s">
        <v>549</v>
      </c>
      <c r="G2946" s="46" t="s">
        <v>550</v>
      </c>
      <c r="H2946" s="47" t="s">
        <v>551</v>
      </c>
      <c r="I2946" s="48" t="s">
        <v>25</v>
      </c>
      <c r="J2946" s="49">
        <v>1.09734E8</v>
      </c>
    </row>
    <row r="2947">
      <c r="A2947" s="45" t="s">
        <v>74</v>
      </c>
      <c r="B2947" s="16" t="s">
        <v>148</v>
      </c>
      <c r="C2947" s="17" t="s">
        <v>149</v>
      </c>
      <c r="D2947" s="15">
        <v>5.0</v>
      </c>
      <c r="E2947" s="17" t="s">
        <v>441</v>
      </c>
      <c r="F2947" s="15" t="s">
        <v>442</v>
      </c>
      <c r="G2947" s="46" t="s">
        <v>443</v>
      </c>
      <c r="H2947" s="47" t="s">
        <v>420</v>
      </c>
      <c r="I2947" s="48" t="s">
        <v>19</v>
      </c>
      <c r="J2947" s="49">
        <v>5.4251371E7</v>
      </c>
    </row>
    <row r="2948">
      <c r="A2948" s="45" t="s">
        <v>74</v>
      </c>
      <c r="B2948" s="16" t="s">
        <v>148</v>
      </c>
      <c r="C2948" s="17" t="s">
        <v>149</v>
      </c>
      <c r="D2948" s="15">
        <v>5.0</v>
      </c>
      <c r="E2948" s="17" t="s">
        <v>441</v>
      </c>
      <c r="F2948" s="15" t="s">
        <v>442</v>
      </c>
      <c r="G2948" s="46" t="s">
        <v>444</v>
      </c>
      <c r="H2948" s="47" t="s">
        <v>445</v>
      </c>
      <c r="I2948" s="48" t="s">
        <v>19</v>
      </c>
      <c r="J2948" s="49">
        <v>1.2915846E7</v>
      </c>
    </row>
    <row r="2949">
      <c r="A2949" s="45" t="s">
        <v>74</v>
      </c>
      <c r="B2949" s="16" t="s">
        <v>148</v>
      </c>
      <c r="C2949" s="17" t="s">
        <v>149</v>
      </c>
      <c r="D2949" s="15">
        <v>5.0</v>
      </c>
      <c r="E2949" s="17" t="s">
        <v>441</v>
      </c>
      <c r="F2949" s="15" t="s">
        <v>442</v>
      </c>
      <c r="G2949" s="46" t="s">
        <v>579</v>
      </c>
      <c r="H2949" s="47" t="s">
        <v>580</v>
      </c>
      <c r="I2949" s="48" t="s">
        <v>19</v>
      </c>
      <c r="J2949" s="49">
        <v>5738311.0</v>
      </c>
    </row>
    <row r="2950">
      <c r="A2950" s="45" t="s">
        <v>74</v>
      </c>
      <c r="B2950" s="16" t="s">
        <v>148</v>
      </c>
      <c r="C2950" s="17" t="s">
        <v>149</v>
      </c>
      <c r="D2950" s="15">
        <v>5.0</v>
      </c>
      <c r="E2950" s="17" t="s">
        <v>441</v>
      </c>
      <c r="F2950" s="15" t="s">
        <v>442</v>
      </c>
      <c r="G2950" s="46" t="s">
        <v>446</v>
      </c>
      <c r="H2950" s="47" t="s">
        <v>447</v>
      </c>
      <c r="I2950" s="48" t="s">
        <v>19</v>
      </c>
      <c r="J2950" s="49">
        <v>538513.0</v>
      </c>
    </row>
    <row r="2951">
      <c r="A2951" s="45" t="s">
        <v>74</v>
      </c>
      <c r="B2951" s="16" t="s">
        <v>148</v>
      </c>
      <c r="C2951" s="17" t="s">
        <v>149</v>
      </c>
      <c r="D2951" s="15">
        <v>5.0</v>
      </c>
      <c r="E2951" s="17" t="s">
        <v>441</v>
      </c>
      <c r="F2951" s="15" t="s">
        <v>442</v>
      </c>
      <c r="G2951" s="46" t="s">
        <v>448</v>
      </c>
      <c r="H2951" s="47" t="s">
        <v>449</v>
      </c>
      <c r="I2951" s="48" t="s">
        <v>19</v>
      </c>
      <c r="J2951" s="49">
        <v>1125787.0</v>
      </c>
    </row>
    <row r="2952">
      <c r="A2952" s="45" t="s">
        <v>74</v>
      </c>
      <c r="B2952" s="16" t="s">
        <v>148</v>
      </c>
      <c r="C2952" s="17" t="s">
        <v>149</v>
      </c>
      <c r="D2952" s="15">
        <v>5.0</v>
      </c>
      <c r="E2952" s="17" t="s">
        <v>441</v>
      </c>
      <c r="F2952" s="15" t="s">
        <v>442</v>
      </c>
      <c r="G2952" s="46" t="s">
        <v>450</v>
      </c>
      <c r="H2952" s="47" t="s">
        <v>451</v>
      </c>
      <c r="I2952" s="48" t="s">
        <v>19</v>
      </c>
      <c r="J2952" s="49">
        <v>0.0</v>
      </c>
    </row>
    <row r="2953">
      <c r="A2953" s="45" t="s">
        <v>74</v>
      </c>
      <c r="B2953" s="16" t="s">
        <v>148</v>
      </c>
      <c r="C2953" s="17" t="s">
        <v>149</v>
      </c>
      <c r="D2953" s="15">
        <v>5.0</v>
      </c>
      <c r="E2953" s="17" t="s">
        <v>441</v>
      </c>
      <c r="F2953" s="15" t="s">
        <v>442</v>
      </c>
      <c r="G2953" s="46" t="s">
        <v>452</v>
      </c>
      <c r="H2953" s="47" t="s">
        <v>453</v>
      </c>
      <c r="I2953" s="48" t="s">
        <v>19</v>
      </c>
      <c r="J2953" s="49">
        <v>1123939.0</v>
      </c>
    </row>
    <row r="2954">
      <c r="A2954" s="45" t="s">
        <v>74</v>
      </c>
      <c r="B2954" s="16" t="s">
        <v>148</v>
      </c>
      <c r="C2954" s="17" t="s">
        <v>149</v>
      </c>
      <c r="D2954" s="15">
        <v>5.0</v>
      </c>
      <c r="E2954" s="17" t="s">
        <v>441</v>
      </c>
      <c r="F2954" s="15" t="s">
        <v>442</v>
      </c>
      <c r="G2954" s="46" t="s">
        <v>454</v>
      </c>
      <c r="H2954" s="47" t="s">
        <v>415</v>
      </c>
      <c r="I2954" s="48" t="s">
        <v>19</v>
      </c>
      <c r="J2954" s="49">
        <v>164034.0</v>
      </c>
    </row>
    <row r="2955">
      <c r="A2955" s="45" t="s">
        <v>74</v>
      </c>
      <c r="B2955" s="16" t="s">
        <v>148</v>
      </c>
      <c r="C2955" s="17" t="s">
        <v>149</v>
      </c>
      <c r="D2955" s="15">
        <v>5.0</v>
      </c>
      <c r="E2955" s="17" t="s">
        <v>441</v>
      </c>
      <c r="F2955" s="15" t="s">
        <v>442</v>
      </c>
      <c r="G2955" s="46" t="s">
        <v>455</v>
      </c>
      <c r="H2955" s="47" t="s">
        <v>415</v>
      </c>
      <c r="I2955" s="48" t="s">
        <v>19</v>
      </c>
      <c r="J2955" s="49">
        <v>91130.0</v>
      </c>
    </row>
    <row r="2956">
      <c r="A2956" s="45" t="s">
        <v>74</v>
      </c>
      <c r="B2956" s="16" t="s">
        <v>148</v>
      </c>
      <c r="C2956" s="17" t="s">
        <v>149</v>
      </c>
      <c r="D2956" s="15">
        <v>5.0</v>
      </c>
      <c r="E2956" s="17" t="s">
        <v>441</v>
      </c>
      <c r="F2956" s="15" t="s">
        <v>442</v>
      </c>
      <c r="G2956" s="46" t="s">
        <v>583</v>
      </c>
      <c r="H2956" s="47" t="s">
        <v>584</v>
      </c>
      <c r="I2956" s="48" t="s">
        <v>25</v>
      </c>
      <c r="J2956" s="49">
        <v>9000000.0</v>
      </c>
    </row>
    <row r="2957">
      <c r="A2957" s="45" t="s">
        <v>74</v>
      </c>
      <c r="B2957" s="16" t="s">
        <v>148</v>
      </c>
      <c r="C2957" s="17" t="s">
        <v>149</v>
      </c>
      <c r="D2957" s="15">
        <v>5.0</v>
      </c>
      <c r="E2957" s="17" t="s">
        <v>456</v>
      </c>
      <c r="F2957" s="15" t="s">
        <v>457</v>
      </c>
      <c r="G2957" s="46" t="s">
        <v>443</v>
      </c>
      <c r="H2957" s="47" t="s">
        <v>420</v>
      </c>
      <c r="I2957" s="48" t="s">
        <v>19</v>
      </c>
      <c r="J2957" s="49">
        <v>-3.249666E7</v>
      </c>
    </row>
    <row r="2958">
      <c r="A2958" s="45" t="s">
        <v>74</v>
      </c>
      <c r="B2958" s="16" t="s">
        <v>148</v>
      </c>
      <c r="C2958" s="17" t="s">
        <v>149</v>
      </c>
      <c r="D2958" s="15">
        <v>5.0</v>
      </c>
      <c r="E2958" s="17" t="s">
        <v>456</v>
      </c>
      <c r="F2958" s="15" t="s">
        <v>457</v>
      </c>
      <c r="G2958" s="46" t="s">
        <v>515</v>
      </c>
      <c r="H2958" s="47" t="s">
        <v>413</v>
      </c>
      <c r="I2958" s="48" t="s">
        <v>19</v>
      </c>
      <c r="J2958" s="49">
        <v>3000000.0</v>
      </c>
    </row>
    <row r="2959">
      <c r="A2959" s="45" t="s">
        <v>74</v>
      </c>
      <c r="B2959" s="16" t="s">
        <v>148</v>
      </c>
      <c r="C2959" s="17" t="s">
        <v>149</v>
      </c>
      <c r="D2959" s="15">
        <v>5.0</v>
      </c>
      <c r="E2959" s="17" t="s">
        <v>456</v>
      </c>
      <c r="F2959" s="15" t="s">
        <v>457</v>
      </c>
      <c r="G2959" s="46" t="s">
        <v>579</v>
      </c>
      <c r="H2959" s="47" t="s">
        <v>580</v>
      </c>
      <c r="I2959" s="48" t="s">
        <v>19</v>
      </c>
      <c r="J2959" s="49">
        <v>299542.0</v>
      </c>
    </row>
    <row r="2960">
      <c r="A2960" s="45" t="s">
        <v>74</v>
      </c>
      <c r="B2960" s="16" t="s">
        <v>148</v>
      </c>
      <c r="C2960" s="17" t="s">
        <v>149</v>
      </c>
      <c r="D2960" s="15">
        <v>5.0</v>
      </c>
      <c r="E2960" s="17" t="s">
        <v>456</v>
      </c>
      <c r="F2960" s="15" t="s">
        <v>457</v>
      </c>
      <c r="G2960" s="46" t="s">
        <v>458</v>
      </c>
      <c r="H2960" s="47" t="s">
        <v>411</v>
      </c>
      <c r="I2960" s="48" t="s">
        <v>19</v>
      </c>
      <c r="J2960" s="49">
        <v>2.50503311E8</v>
      </c>
    </row>
    <row r="2961">
      <c r="A2961" s="45" t="s">
        <v>74</v>
      </c>
      <c r="B2961" s="16" t="s">
        <v>148</v>
      </c>
      <c r="C2961" s="17" t="s">
        <v>149</v>
      </c>
      <c r="D2961" s="15">
        <v>5.0</v>
      </c>
      <c r="E2961" s="17" t="s">
        <v>482</v>
      </c>
      <c r="F2961" s="15" t="s">
        <v>483</v>
      </c>
      <c r="G2961" s="46" t="s">
        <v>458</v>
      </c>
      <c r="H2961" s="47" t="s">
        <v>411</v>
      </c>
      <c r="I2961" s="48" t="s">
        <v>19</v>
      </c>
      <c r="J2961" s="49">
        <v>0.0</v>
      </c>
    </row>
    <row r="2962">
      <c r="A2962" s="45" t="s">
        <v>74</v>
      </c>
      <c r="B2962" s="16" t="s">
        <v>148</v>
      </c>
      <c r="C2962" s="17" t="s">
        <v>149</v>
      </c>
      <c r="D2962" s="15">
        <v>5.0</v>
      </c>
      <c r="E2962" s="17" t="s">
        <v>459</v>
      </c>
      <c r="F2962" s="15" t="s">
        <v>460</v>
      </c>
      <c r="G2962" s="46" t="s">
        <v>521</v>
      </c>
      <c r="H2962" s="47" t="s">
        <v>522</v>
      </c>
      <c r="I2962" s="48" t="s">
        <v>37</v>
      </c>
      <c r="J2962" s="49">
        <v>28900.0</v>
      </c>
    </row>
    <row r="2963">
      <c r="A2963" s="45" t="s">
        <v>74</v>
      </c>
      <c r="B2963" s="16" t="s">
        <v>148</v>
      </c>
      <c r="C2963" s="17" t="s">
        <v>149</v>
      </c>
      <c r="D2963" s="15">
        <v>5.0</v>
      </c>
      <c r="E2963" s="17" t="s">
        <v>459</v>
      </c>
      <c r="F2963" s="15" t="s">
        <v>460</v>
      </c>
      <c r="G2963" s="46" t="s">
        <v>443</v>
      </c>
      <c r="H2963" s="47" t="s">
        <v>420</v>
      </c>
      <c r="I2963" s="48" t="s">
        <v>19</v>
      </c>
      <c r="J2963" s="49">
        <v>-1.5296458E7</v>
      </c>
    </row>
    <row r="2964">
      <c r="A2964" s="45" t="s">
        <v>74</v>
      </c>
      <c r="B2964" s="16" t="s">
        <v>148</v>
      </c>
      <c r="C2964" s="17" t="s">
        <v>149</v>
      </c>
      <c r="D2964" s="15">
        <v>5.0</v>
      </c>
      <c r="E2964" s="17" t="s">
        <v>459</v>
      </c>
      <c r="F2964" s="15" t="s">
        <v>460</v>
      </c>
      <c r="G2964" s="46" t="s">
        <v>458</v>
      </c>
      <c r="H2964" s="47" t="s">
        <v>411</v>
      </c>
      <c r="I2964" s="48" t="s">
        <v>19</v>
      </c>
      <c r="J2964" s="49">
        <v>3.9975557E7</v>
      </c>
    </row>
    <row r="2965">
      <c r="A2965" s="45" t="s">
        <v>74</v>
      </c>
      <c r="B2965" s="16" t="s">
        <v>148</v>
      </c>
      <c r="C2965" s="17" t="s">
        <v>149</v>
      </c>
      <c r="D2965" s="15">
        <v>5.0</v>
      </c>
      <c r="E2965" s="17" t="s">
        <v>463</v>
      </c>
      <c r="F2965" s="15" t="s">
        <v>464</v>
      </c>
      <c r="G2965" s="46" t="s">
        <v>521</v>
      </c>
      <c r="H2965" s="47" t="s">
        <v>522</v>
      </c>
      <c r="I2965" s="48" t="s">
        <v>37</v>
      </c>
      <c r="J2965" s="49">
        <v>57800.0</v>
      </c>
    </row>
    <row r="2966">
      <c r="A2966" s="45" t="s">
        <v>74</v>
      </c>
      <c r="B2966" s="16" t="s">
        <v>148</v>
      </c>
      <c r="C2966" s="17" t="s">
        <v>149</v>
      </c>
      <c r="D2966" s="15">
        <v>5.0</v>
      </c>
      <c r="E2966" s="17" t="s">
        <v>463</v>
      </c>
      <c r="F2966" s="15" t="s">
        <v>464</v>
      </c>
      <c r="G2966" s="46" t="s">
        <v>443</v>
      </c>
      <c r="H2966" s="47" t="s">
        <v>420</v>
      </c>
      <c r="I2966" s="48" t="s">
        <v>19</v>
      </c>
      <c r="J2966" s="49">
        <v>-1.6391378E7</v>
      </c>
    </row>
    <row r="2967">
      <c r="A2967" s="45" t="s">
        <v>74</v>
      </c>
      <c r="B2967" s="16" t="s">
        <v>148</v>
      </c>
      <c r="C2967" s="17" t="s">
        <v>149</v>
      </c>
      <c r="D2967" s="15">
        <v>5.0</v>
      </c>
      <c r="E2967" s="17" t="s">
        <v>463</v>
      </c>
      <c r="F2967" s="15" t="s">
        <v>464</v>
      </c>
      <c r="G2967" s="46" t="s">
        <v>458</v>
      </c>
      <c r="H2967" s="47" t="s">
        <v>411</v>
      </c>
      <c r="I2967" s="48" t="s">
        <v>19</v>
      </c>
      <c r="J2967" s="49">
        <v>4.4070113E7</v>
      </c>
    </row>
    <row r="2968">
      <c r="A2968" s="45" t="s">
        <v>74</v>
      </c>
      <c r="B2968" s="16" t="s">
        <v>148</v>
      </c>
      <c r="C2968" s="17" t="s">
        <v>149</v>
      </c>
      <c r="D2968" s="15">
        <v>5.0</v>
      </c>
      <c r="E2968" s="17" t="s">
        <v>487</v>
      </c>
      <c r="F2968" s="15" t="s">
        <v>488</v>
      </c>
      <c r="G2968" s="46" t="s">
        <v>530</v>
      </c>
      <c r="H2968" s="47" t="s">
        <v>531</v>
      </c>
      <c r="I2968" s="48" t="s">
        <v>50</v>
      </c>
      <c r="J2968" s="49">
        <v>2.2236262E7</v>
      </c>
    </row>
    <row r="2969">
      <c r="A2969" s="45" t="s">
        <v>74</v>
      </c>
      <c r="B2969" s="16" t="s">
        <v>148</v>
      </c>
      <c r="C2969" s="17" t="s">
        <v>149</v>
      </c>
      <c r="D2969" s="15">
        <v>5.0</v>
      </c>
      <c r="E2969" s="17" t="s">
        <v>469</v>
      </c>
      <c r="F2969" s="15" t="s">
        <v>470</v>
      </c>
      <c r="G2969" s="46" t="s">
        <v>517</v>
      </c>
      <c r="H2969" s="47" t="s">
        <v>518</v>
      </c>
      <c r="I2969" s="48" t="s">
        <v>25</v>
      </c>
      <c r="J2969" s="49">
        <v>352500.0</v>
      </c>
    </row>
    <row r="2970">
      <c r="A2970" s="45" t="s">
        <v>74</v>
      </c>
      <c r="B2970" s="16" t="s">
        <v>148</v>
      </c>
      <c r="C2970" s="17" t="s">
        <v>149</v>
      </c>
      <c r="D2970" s="15">
        <v>5.0</v>
      </c>
      <c r="E2970" s="17" t="s">
        <v>473</v>
      </c>
      <c r="F2970" s="15" t="s">
        <v>474</v>
      </c>
      <c r="G2970" s="46" t="s">
        <v>523</v>
      </c>
      <c r="H2970" s="47" t="s">
        <v>431</v>
      </c>
      <c r="I2970" s="48" t="s">
        <v>17</v>
      </c>
      <c r="J2970" s="49">
        <v>3.6059575E7</v>
      </c>
    </row>
    <row r="2971">
      <c r="A2971" s="45" t="s">
        <v>74</v>
      </c>
      <c r="B2971" s="16" t="s">
        <v>148</v>
      </c>
      <c r="C2971" s="17" t="s">
        <v>149</v>
      </c>
      <c r="D2971" s="15">
        <v>5.0</v>
      </c>
      <c r="E2971" s="17" t="s">
        <v>473</v>
      </c>
      <c r="F2971" s="15" t="s">
        <v>474</v>
      </c>
      <c r="G2971" s="46" t="s">
        <v>523</v>
      </c>
      <c r="H2971" s="47" t="s">
        <v>431</v>
      </c>
      <c r="I2971" s="48" t="s">
        <v>25</v>
      </c>
      <c r="J2971" s="49">
        <v>1.0E7</v>
      </c>
    </row>
    <row r="2972">
      <c r="A2972" s="45" t="s">
        <v>74</v>
      </c>
      <c r="B2972" s="16" t="s">
        <v>148</v>
      </c>
      <c r="C2972" s="17" t="s">
        <v>149</v>
      </c>
      <c r="D2972" s="15">
        <v>5.0</v>
      </c>
      <c r="E2972" s="17" t="s">
        <v>473</v>
      </c>
      <c r="F2972" s="15" t="s">
        <v>474</v>
      </c>
      <c r="G2972" s="46" t="s">
        <v>516</v>
      </c>
      <c r="H2972" s="47" t="s">
        <v>436</v>
      </c>
      <c r="I2972" s="48" t="s">
        <v>25</v>
      </c>
      <c r="J2972" s="49">
        <v>437000.0</v>
      </c>
    </row>
    <row r="2973">
      <c r="A2973" s="45" t="s">
        <v>74</v>
      </c>
      <c r="B2973" s="16" t="s">
        <v>148</v>
      </c>
      <c r="C2973" s="17" t="s">
        <v>149</v>
      </c>
      <c r="D2973" s="15">
        <v>5.0</v>
      </c>
      <c r="E2973" s="17" t="s">
        <v>473</v>
      </c>
      <c r="F2973" s="15" t="s">
        <v>474</v>
      </c>
      <c r="G2973" s="46" t="s">
        <v>458</v>
      </c>
      <c r="H2973" s="47" t="s">
        <v>411</v>
      </c>
      <c r="I2973" s="48" t="s">
        <v>19</v>
      </c>
      <c r="J2973" s="49">
        <v>5.9642884E7</v>
      </c>
    </row>
    <row r="2974">
      <c r="A2974" s="45" t="s">
        <v>74</v>
      </c>
      <c r="B2974" s="16" t="s">
        <v>148</v>
      </c>
      <c r="C2974" s="17" t="s">
        <v>149</v>
      </c>
      <c r="D2974" s="15">
        <v>5.0</v>
      </c>
      <c r="E2974" s="17" t="s">
        <v>491</v>
      </c>
      <c r="F2974" s="15" t="s">
        <v>492</v>
      </c>
      <c r="G2974" s="46" t="s">
        <v>493</v>
      </c>
      <c r="H2974" s="47" t="s">
        <v>437</v>
      </c>
      <c r="I2974" s="48" t="s">
        <v>25</v>
      </c>
      <c r="J2974" s="49">
        <v>1604852.0</v>
      </c>
    </row>
    <row r="2975">
      <c r="A2975" s="45" t="s">
        <v>74</v>
      </c>
      <c r="B2975" s="16" t="s">
        <v>148</v>
      </c>
      <c r="C2975" s="17" t="s">
        <v>149</v>
      </c>
      <c r="D2975" s="15">
        <v>5.0</v>
      </c>
      <c r="E2975" s="17" t="s">
        <v>475</v>
      </c>
      <c r="F2975" s="15" t="s">
        <v>476</v>
      </c>
      <c r="G2975" s="46" t="s">
        <v>498</v>
      </c>
      <c r="H2975" s="47" t="s">
        <v>434</v>
      </c>
      <c r="I2975" s="48" t="s">
        <v>25</v>
      </c>
      <c r="J2975" s="49">
        <v>6118000.0</v>
      </c>
    </row>
    <row r="2976">
      <c r="A2976" s="45" t="s">
        <v>74</v>
      </c>
      <c r="B2976" s="16" t="s">
        <v>148</v>
      </c>
      <c r="C2976" s="17" t="s">
        <v>149</v>
      </c>
      <c r="D2976" s="15">
        <v>5.0</v>
      </c>
      <c r="E2976" s="17" t="s">
        <v>475</v>
      </c>
      <c r="F2976" s="15" t="s">
        <v>476</v>
      </c>
      <c r="G2976" s="46" t="s">
        <v>477</v>
      </c>
      <c r="H2976" s="47" t="s">
        <v>429</v>
      </c>
      <c r="I2976" s="48" t="s">
        <v>50</v>
      </c>
      <c r="J2976" s="49">
        <v>5.4318218E7</v>
      </c>
    </row>
    <row r="2977">
      <c r="A2977" s="45" t="s">
        <v>74</v>
      </c>
      <c r="B2977" s="16" t="s">
        <v>148</v>
      </c>
      <c r="C2977" s="17" t="s">
        <v>149</v>
      </c>
      <c r="D2977" s="15">
        <v>5.0</v>
      </c>
      <c r="E2977" s="17" t="s">
        <v>524</v>
      </c>
      <c r="F2977" s="15" t="s">
        <v>479</v>
      </c>
      <c r="G2977" s="46" t="s">
        <v>443</v>
      </c>
      <c r="H2977" s="47" t="s">
        <v>420</v>
      </c>
      <c r="I2977" s="48" t="s">
        <v>19</v>
      </c>
      <c r="J2977" s="49">
        <v>1.03458349E8</v>
      </c>
    </row>
    <row r="2978">
      <c r="A2978" s="45" t="s">
        <v>74</v>
      </c>
      <c r="B2978" s="16" t="s">
        <v>148</v>
      </c>
      <c r="C2978" s="17" t="s">
        <v>149</v>
      </c>
      <c r="D2978" s="15">
        <v>5.0</v>
      </c>
      <c r="E2978" s="17" t="s">
        <v>524</v>
      </c>
      <c r="F2978" s="15" t="s">
        <v>479</v>
      </c>
      <c r="G2978" s="46" t="s">
        <v>444</v>
      </c>
      <c r="H2978" s="47" t="s">
        <v>445</v>
      </c>
      <c r="I2978" s="48" t="s">
        <v>19</v>
      </c>
      <c r="J2978" s="49">
        <v>1.5463453E7</v>
      </c>
    </row>
    <row r="2979">
      <c r="A2979" s="45" t="s">
        <v>74</v>
      </c>
      <c r="B2979" s="16" t="s">
        <v>148</v>
      </c>
      <c r="C2979" s="17" t="s">
        <v>149</v>
      </c>
      <c r="D2979" s="15">
        <v>5.0</v>
      </c>
      <c r="E2979" s="17" t="s">
        <v>524</v>
      </c>
      <c r="F2979" s="15" t="s">
        <v>479</v>
      </c>
      <c r="G2979" s="46" t="s">
        <v>579</v>
      </c>
      <c r="H2979" s="47" t="s">
        <v>580</v>
      </c>
      <c r="I2979" s="48" t="s">
        <v>19</v>
      </c>
      <c r="J2979" s="49">
        <v>1.0367519E7</v>
      </c>
    </row>
    <row r="2980">
      <c r="A2980" s="45" t="s">
        <v>74</v>
      </c>
      <c r="B2980" s="16" t="s">
        <v>148</v>
      </c>
      <c r="C2980" s="17" t="s">
        <v>149</v>
      </c>
      <c r="D2980" s="15">
        <v>5.0</v>
      </c>
      <c r="E2980" s="17" t="s">
        <v>524</v>
      </c>
      <c r="F2980" s="15" t="s">
        <v>479</v>
      </c>
      <c r="G2980" s="46" t="s">
        <v>446</v>
      </c>
      <c r="H2980" s="47" t="s">
        <v>447</v>
      </c>
      <c r="I2980" s="48" t="s">
        <v>19</v>
      </c>
      <c r="J2980" s="49">
        <v>1196067.0</v>
      </c>
    </row>
    <row r="2981">
      <c r="A2981" s="45" t="s">
        <v>74</v>
      </c>
      <c r="B2981" s="16" t="s">
        <v>148</v>
      </c>
      <c r="C2981" s="17" t="s">
        <v>149</v>
      </c>
      <c r="D2981" s="15">
        <v>5.0</v>
      </c>
      <c r="E2981" s="17" t="s">
        <v>524</v>
      </c>
      <c r="F2981" s="15" t="s">
        <v>479</v>
      </c>
      <c r="G2981" s="46" t="s">
        <v>448</v>
      </c>
      <c r="H2981" s="47" t="s">
        <v>449</v>
      </c>
      <c r="I2981" s="48" t="s">
        <v>19</v>
      </c>
      <c r="J2981" s="49">
        <v>2418372.0</v>
      </c>
    </row>
    <row r="2982">
      <c r="A2982" s="45" t="s">
        <v>74</v>
      </c>
      <c r="B2982" s="16" t="s">
        <v>148</v>
      </c>
      <c r="C2982" s="17" t="s">
        <v>149</v>
      </c>
      <c r="D2982" s="15">
        <v>5.0</v>
      </c>
      <c r="E2982" s="17" t="s">
        <v>524</v>
      </c>
      <c r="F2982" s="15" t="s">
        <v>479</v>
      </c>
      <c r="G2982" s="46" t="s">
        <v>450</v>
      </c>
      <c r="H2982" s="47" t="s">
        <v>451</v>
      </c>
      <c r="I2982" s="48" t="s">
        <v>19</v>
      </c>
      <c r="J2982" s="49">
        <v>0.0</v>
      </c>
    </row>
    <row r="2983">
      <c r="A2983" s="45" t="s">
        <v>74</v>
      </c>
      <c r="B2983" s="16" t="s">
        <v>148</v>
      </c>
      <c r="C2983" s="17" t="s">
        <v>149</v>
      </c>
      <c r="D2983" s="15">
        <v>5.0</v>
      </c>
      <c r="E2983" s="17" t="s">
        <v>524</v>
      </c>
      <c r="F2983" s="15" t="s">
        <v>479</v>
      </c>
      <c r="G2983" s="46" t="s">
        <v>452</v>
      </c>
      <c r="H2983" s="47" t="s">
        <v>453</v>
      </c>
      <c r="I2983" s="48" t="s">
        <v>19</v>
      </c>
      <c r="J2983" s="49">
        <v>2212722.0</v>
      </c>
    </row>
    <row r="2984">
      <c r="A2984" s="45" t="s">
        <v>74</v>
      </c>
      <c r="B2984" s="16" t="s">
        <v>148</v>
      </c>
      <c r="C2984" s="17" t="s">
        <v>149</v>
      </c>
      <c r="D2984" s="15">
        <v>5.0</v>
      </c>
      <c r="E2984" s="17" t="s">
        <v>524</v>
      </c>
      <c r="F2984" s="15" t="s">
        <v>479</v>
      </c>
      <c r="G2984" s="46" t="s">
        <v>454</v>
      </c>
      <c r="H2984" s="47" t="s">
        <v>415</v>
      </c>
      <c r="I2984" s="48" t="s">
        <v>19</v>
      </c>
      <c r="J2984" s="49">
        <v>322940.0</v>
      </c>
    </row>
    <row r="2985">
      <c r="A2985" s="45" t="s">
        <v>74</v>
      </c>
      <c r="B2985" s="16" t="s">
        <v>148</v>
      </c>
      <c r="C2985" s="17" t="s">
        <v>149</v>
      </c>
      <c r="D2985" s="15">
        <v>5.0</v>
      </c>
      <c r="E2985" s="17" t="s">
        <v>524</v>
      </c>
      <c r="F2985" s="15" t="s">
        <v>479</v>
      </c>
      <c r="G2985" s="46" t="s">
        <v>455</v>
      </c>
      <c r="H2985" s="47" t="s">
        <v>415</v>
      </c>
      <c r="I2985" s="48" t="s">
        <v>19</v>
      </c>
      <c r="J2985" s="49">
        <v>179409.0</v>
      </c>
    </row>
    <row r="2986">
      <c r="A2986" s="45" t="s">
        <v>74</v>
      </c>
      <c r="B2986" s="16" t="s">
        <v>148</v>
      </c>
      <c r="C2986" s="17" t="s">
        <v>149</v>
      </c>
      <c r="D2986" s="15">
        <v>5.0</v>
      </c>
      <c r="E2986" s="17" t="s">
        <v>524</v>
      </c>
      <c r="F2986" s="15" t="s">
        <v>479</v>
      </c>
      <c r="G2986" s="46" t="s">
        <v>499</v>
      </c>
      <c r="H2986" s="47" t="s">
        <v>500</v>
      </c>
      <c r="I2986" s="48" t="s">
        <v>19</v>
      </c>
      <c r="J2986" s="49">
        <v>1.9769572E7</v>
      </c>
    </row>
    <row r="2987">
      <c r="A2987" s="45" t="s">
        <v>74</v>
      </c>
      <c r="B2987" s="16" t="s">
        <v>148</v>
      </c>
      <c r="C2987" s="17" t="s">
        <v>149</v>
      </c>
      <c r="D2987" s="15">
        <v>5.0</v>
      </c>
      <c r="E2987" s="17" t="s">
        <v>524</v>
      </c>
      <c r="F2987" s="15" t="s">
        <v>479</v>
      </c>
      <c r="G2987" s="46" t="s">
        <v>583</v>
      </c>
      <c r="H2987" s="47" t="s">
        <v>584</v>
      </c>
      <c r="I2987" s="48" t="s">
        <v>25</v>
      </c>
      <c r="J2987" s="49">
        <v>2.4E7</v>
      </c>
    </row>
    <row r="2988">
      <c r="A2988" s="45" t="s">
        <v>74</v>
      </c>
      <c r="B2988" s="16" t="s">
        <v>148</v>
      </c>
      <c r="C2988" s="17" t="s">
        <v>149</v>
      </c>
      <c r="D2988" s="15">
        <v>5.0</v>
      </c>
      <c r="E2988" s="17" t="s">
        <v>525</v>
      </c>
      <c r="F2988" s="15" t="s">
        <v>502</v>
      </c>
      <c r="G2988" s="46" t="s">
        <v>526</v>
      </c>
      <c r="H2988" s="47" t="s">
        <v>527</v>
      </c>
      <c r="I2988" s="48" t="s">
        <v>60</v>
      </c>
      <c r="J2988" s="49">
        <v>2.0168143E8</v>
      </c>
    </row>
    <row r="2989">
      <c r="A2989" s="45" t="s">
        <v>74</v>
      </c>
      <c r="B2989" s="16" t="s">
        <v>148</v>
      </c>
      <c r="C2989" s="17" t="s">
        <v>149</v>
      </c>
      <c r="D2989" s="15">
        <v>5.0</v>
      </c>
      <c r="E2989" s="17" t="s">
        <v>525</v>
      </c>
      <c r="F2989" s="15" t="s">
        <v>502</v>
      </c>
      <c r="G2989" s="46" t="s">
        <v>505</v>
      </c>
      <c r="H2989" s="47" t="s">
        <v>506</v>
      </c>
      <c r="I2989" s="48" t="s">
        <v>60</v>
      </c>
      <c r="J2989" s="49">
        <v>7723532.0</v>
      </c>
    </row>
    <row r="2990">
      <c r="A2990" s="45" t="s">
        <v>74</v>
      </c>
      <c r="B2990" s="16" t="s">
        <v>148</v>
      </c>
      <c r="C2990" s="17" t="s">
        <v>149</v>
      </c>
      <c r="D2990" s="15">
        <v>5.0</v>
      </c>
      <c r="E2990" s="17" t="s">
        <v>525</v>
      </c>
      <c r="F2990" s="15" t="s">
        <v>502</v>
      </c>
      <c r="G2990" s="46" t="s">
        <v>507</v>
      </c>
      <c r="H2990" s="47" t="s">
        <v>508</v>
      </c>
      <c r="I2990" s="48" t="s">
        <v>60</v>
      </c>
      <c r="J2990" s="49">
        <v>1349183.0</v>
      </c>
    </row>
    <row r="2991">
      <c r="A2991" s="45" t="s">
        <v>74</v>
      </c>
      <c r="B2991" s="16" t="s">
        <v>148</v>
      </c>
      <c r="C2991" s="17" t="s">
        <v>149</v>
      </c>
      <c r="D2991" s="15">
        <v>5.0</v>
      </c>
      <c r="E2991" s="17" t="s">
        <v>525</v>
      </c>
      <c r="F2991" s="15" t="s">
        <v>502</v>
      </c>
      <c r="G2991" s="46" t="s">
        <v>509</v>
      </c>
      <c r="H2991" s="47" t="s">
        <v>510</v>
      </c>
      <c r="I2991" s="48" t="s">
        <v>60</v>
      </c>
      <c r="J2991" s="49">
        <v>660418.0</v>
      </c>
    </row>
    <row r="2992">
      <c r="A2992" s="45" t="s">
        <v>74</v>
      </c>
      <c r="B2992" s="16" t="s">
        <v>148</v>
      </c>
      <c r="C2992" s="17" t="s">
        <v>149</v>
      </c>
      <c r="D2992" s="15">
        <v>5.0</v>
      </c>
      <c r="E2992" s="17" t="s">
        <v>525</v>
      </c>
      <c r="F2992" s="15" t="s">
        <v>502</v>
      </c>
      <c r="G2992" s="46" t="s">
        <v>511</v>
      </c>
      <c r="H2992" s="47" t="s">
        <v>512</v>
      </c>
      <c r="I2992" s="48" t="s">
        <v>60</v>
      </c>
      <c r="J2992" s="49">
        <v>5.2437831E7</v>
      </c>
    </row>
    <row r="2993">
      <c r="A2993" s="45" t="s">
        <v>74</v>
      </c>
      <c r="B2993" s="16" t="s">
        <v>148</v>
      </c>
      <c r="C2993" s="17" t="s">
        <v>149</v>
      </c>
      <c r="D2993" s="15">
        <v>5.0</v>
      </c>
      <c r="E2993" s="17" t="s">
        <v>525</v>
      </c>
      <c r="F2993" s="15" t="s">
        <v>502</v>
      </c>
      <c r="G2993" s="46" t="s">
        <v>513</v>
      </c>
      <c r="H2993" s="47" t="s">
        <v>514</v>
      </c>
      <c r="I2993" s="48" t="s">
        <v>60</v>
      </c>
      <c r="J2993" s="49">
        <v>5418391.0</v>
      </c>
    </row>
    <row r="2994">
      <c r="A2994" s="45" t="s">
        <v>74</v>
      </c>
      <c r="B2994" s="16" t="s">
        <v>148</v>
      </c>
      <c r="C2994" s="17" t="s">
        <v>149</v>
      </c>
      <c r="D2994" s="15">
        <v>5.0</v>
      </c>
      <c r="E2994" s="17" t="s">
        <v>548</v>
      </c>
      <c r="F2994" s="15" t="s">
        <v>549</v>
      </c>
      <c r="G2994" s="46" t="s">
        <v>550</v>
      </c>
      <c r="H2994" s="47" t="s">
        <v>551</v>
      </c>
      <c r="I2994" s="48" t="s">
        <v>25</v>
      </c>
      <c r="J2994" s="49">
        <v>5.9461E7</v>
      </c>
    </row>
    <row r="2995">
      <c r="A2995" s="45" t="s">
        <v>74</v>
      </c>
      <c r="B2995" s="16" t="s">
        <v>148</v>
      </c>
      <c r="C2995" s="17" t="s">
        <v>149</v>
      </c>
      <c r="D2995" s="15">
        <v>5.0</v>
      </c>
      <c r="E2995" s="17" t="s">
        <v>571</v>
      </c>
      <c r="F2995" s="15" t="s">
        <v>572</v>
      </c>
      <c r="G2995" s="46" t="s">
        <v>573</v>
      </c>
      <c r="H2995" s="47" t="s">
        <v>574</v>
      </c>
      <c r="I2995" s="48" t="s">
        <v>25</v>
      </c>
      <c r="J2995" s="49">
        <v>89000.0</v>
      </c>
    </row>
    <row r="2996">
      <c r="A2996" s="45" t="s">
        <v>74</v>
      </c>
      <c r="B2996" s="16" t="s">
        <v>167</v>
      </c>
      <c r="C2996" s="17" t="s">
        <v>168</v>
      </c>
      <c r="D2996" s="15">
        <v>5.0</v>
      </c>
      <c r="E2996" s="17" t="s">
        <v>441</v>
      </c>
      <c r="F2996" s="15" t="s">
        <v>442</v>
      </c>
      <c r="G2996" s="46" t="s">
        <v>443</v>
      </c>
      <c r="H2996" s="47" t="s">
        <v>420</v>
      </c>
      <c r="I2996" s="48" t="s">
        <v>19</v>
      </c>
      <c r="J2996" s="49">
        <v>4.7058483E7</v>
      </c>
    </row>
    <row r="2997">
      <c r="A2997" s="45" t="s">
        <v>74</v>
      </c>
      <c r="B2997" s="16" t="s">
        <v>167</v>
      </c>
      <c r="C2997" s="17" t="s">
        <v>168</v>
      </c>
      <c r="D2997" s="15">
        <v>5.0</v>
      </c>
      <c r="E2997" s="17" t="s">
        <v>441</v>
      </c>
      <c r="F2997" s="15" t="s">
        <v>442</v>
      </c>
      <c r="G2997" s="46" t="s">
        <v>444</v>
      </c>
      <c r="H2997" s="47" t="s">
        <v>445</v>
      </c>
      <c r="I2997" s="48" t="s">
        <v>19</v>
      </c>
      <c r="J2997" s="49">
        <v>1.1796995E7</v>
      </c>
    </row>
    <row r="2998">
      <c r="A2998" s="45" t="s">
        <v>74</v>
      </c>
      <c r="B2998" s="16" t="s">
        <v>167</v>
      </c>
      <c r="C2998" s="17" t="s">
        <v>168</v>
      </c>
      <c r="D2998" s="15">
        <v>5.0</v>
      </c>
      <c r="E2998" s="17" t="s">
        <v>441</v>
      </c>
      <c r="F2998" s="15" t="s">
        <v>442</v>
      </c>
      <c r="G2998" s="46" t="s">
        <v>579</v>
      </c>
      <c r="H2998" s="47" t="s">
        <v>580</v>
      </c>
      <c r="I2998" s="48" t="s">
        <v>19</v>
      </c>
      <c r="J2998" s="49">
        <v>5054585.0</v>
      </c>
    </row>
    <row r="2999">
      <c r="A2999" s="45" t="s">
        <v>74</v>
      </c>
      <c r="B2999" s="16" t="s">
        <v>167</v>
      </c>
      <c r="C2999" s="17" t="s">
        <v>168</v>
      </c>
      <c r="D2999" s="15">
        <v>5.0</v>
      </c>
      <c r="E2999" s="17" t="s">
        <v>441</v>
      </c>
      <c r="F2999" s="15" t="s">
        <v>442</v>
      </c>
      <c r="G2999" s="46" t="s">
        <v>446</v>
      </c>
      <c r="H2999" s="47" t="s">
        <v>447</v>
      </c>
      <c r="I2999" s="48" t="s">
        <v>19</v>
      </c>
      <c r="J2999" s="49">
        <v>471027.0</v>
      </c>
    </row>
    <row r="3000">
      <c r="A3000" s="45" t="s">
        <v>74</v>
      </c>
      <c r="B3000" s="16" t="s">
        <v>167</v>
      </c>
      <c r="C3000" s="17" t="s">
        <v>168</v>
      </c>
      <c r="D3000" s="15">
        <v>5.0</v>
      </c>
      <c r="E3000" s="17" t="s">
        <v>441</v>
      </c>
      <c r="F3000" s="15" t="s">
        <v>442</v>
      </c>
      <c r="G3000" s="46" t="s">
        <v>448</v>
      </c>
      <c r="H3000" s="47" t="s">
        <v>449</v>
      </c>
      <c r="I3000" s="48" t="s">
        <v>19</v>
      </c>
      <c r="J3000" s="49">
        <v>962038.0</v>
      </c>
    </row>
    <row r="3001">
      <c r="A3001" s="45" t="s">
        <v>74</v>
      </c>
      <c r="B3001" s="16" t="s">
        <v>167</v>
      </c>
      <c r="C3001" s="17" t="s">
        <v>168</v>
      </c>
      <c r="D3001" s="15">
        <v>5.0</v>
      </c>
      <c r="E3001" s="17" t="s">
        <v>441</v>
      </c>
      <c r="F3001" s="15" t="s">
        <v>442</v>
      </c>
      <c r="G3001" s="46" t="s">
        <v>450</v>
      </c>
      <c r="H3001" s="47" t="s">
        <v>451</v>
      </c>
      <c r="I3001" s="48" t="s">
        <v>19</v>
      </c>
      <c r="J3001" s="49">
        <v>0.0</v>
      </c>
    </row>
    <row r="3002">
      <c r="A3002" s="45" t="s">
        <v>74</v>
      </c>
      <c r="B3002" s="16" t="s">
        <v>167</v>
      </c>
      <c r="C3002" s="17" t="s">
        <v>168</v>
      </c>
      <c r="D3002" s="15">
        <v>5.0</v>
      </c>
      <c r="E3002" s="17" t="s">
        <v>441</v>
      </c>
      <c r="F3002" s="15" t="s">
        <v>442</v>
      </c>
      <c r="G3002" s="46" t="s">
        <v>452</v>
      </c>
      <c r="H3002" s="47" t="s">
        <v>453</v>
      </c>
      <c r="I3002" s="48" t="s">
        <v>19</v>
      </c>
      <c r="J3002" s="49">
        <v>871401.0</v>
      </c>
    </row>
    <row r="3003">
      <c r="A3003" s="45" t="s">
        <v>74</v>
      </c>
      <c r="B3003" s="16" t="s">
        <v>167</v>
      </c>
      <c r="C3003" s="17" t="s">
        <v>168</v>
      </c>
      <c r="D3003" s="15">
        <v>5.0</v>
      </c>
      <c r="E3003" s="17" t="s">
        <v>441</v>
      </c>
      <c r="F3003" s="15" t="s">
        <v>442</v>
      </c>
      <c r="G3003" s="46" t="s">
        <v>454</v>
      </c>
      <c r="H3003" s="47" t="s">
        <v>415</v>
      </c>
      <c r="I3003" s="48" t="s">
        <v>19</v>
      </c>
      <c r="J3003" s="49">
        <v>127177.0</v>
      </c>
    </row>
    <row r="3004">
      <c r="A3004" s="45" t="s">
        <v>74</v>
      </c>
      <c r="B3004" s="16" t="s">
        <v>167</v>
      </c>
      <c r="C3004" s="17" t="s">
        <v>168</v>
      </c>
      <c r="D3004" s="15">
        <v>5.0</v>
      </c>
      <c r="E3004" s="17" t="s">
        <v>441</v>
      </c>
      <c r="F3004" s="15" t="s">
        <v>442</v>
      </c>
      <c r="G3004" s="46" t="s">
        <v>455</v>
      </c>
      <c r="H3004" s="47" t="s">
        <v>415</v>
      </c>
      <c r="I3004" s="48" t="s">
        <v>19</v>
      </c>
      <c r="J3004" s="49">
        <v>70653.0</v>
      </c>
    </row>
    <row r="3005">
      <c r="A3005" s="45" t="s">
        <v>74</v>
      </c>
      <c r="B3005" s="16" t="s">
        <v>167</v>
      </c>
      <c r="C3005" s="17" t="s">
        <v>168</v>
      </c>
      <c r="D3005" s="15">
        <v>5.0</v>
      </c>
      <c r="E3005" s="17" t="s">
        <v>441</v>
      </c>
      <c r="F3005" s="15" t="s">
        <v>442</v>
      </c>
      <c r="G3005" s="46" t="s">
        <v>480</v>
      </c>
      <c r="H3005" s="47" t="s">
        <v>481</v>
      </c>
      <c r="I3005" s="48" t="s">
        <v>19</v>
      </c>
      <c r="J3005" s="49">
        <v>4723407.0</v>
      </c>
    </row>
    <row r="3006">
      <c r="A3006" s="45" t="s">
        <v>74</v>
      </c>
      <c r="B3006" s="16" t="s">
        <v>167</v>
      </c>
      <c r="C3006" s="17" t="s">
        <v>168</v>
      </c>
      <c r="D3006" s="15">
        <v>5.0</v>
      </c>
      <c r="E3006" s="17" t="s">
        <v>441</v>
      </c>
      <c r="F3006" s="15" t="s">
        <v>442</v>
      </c>
      <c r="G3006" s="46" t="s">
        <v>583</v>
      </c>
      <c r="H3006" s="47" t="s">
        <v>584</v>
      </c>
      <c r="I3006" s="48" t="s">
        <v>25</v>
      </c>
      <c r="J3006" s="49">
        <v>9000000.0</v>
      </c>
    </row>
    <row r="3007">
      <c r="A3007" s="45" t="s">
        <v>74</v>
      </c>
      <c r="B3007" s="16" t="s">
        <v>167</v>
      </c>
      <c r="C3007" s="17" t="s">
        <v>168</v>
      </c>
      <c r="D3007" s="15">
        <v>5.0</v>
      </c>
      <c r="E3007" s="17" t="s">
        <v>456</v>
      </c>
      <c r="F3007" s="15" t="s">
        <v>457</v>
      </c>
      <c r="G3007" s="46" t="s">
        <v>515</v>
      </c>
      <c r="H3007" s="47" t="s">
        <v>413</v>
      </c>
      <c r="I3007" s="48" t="s">
        <v>19</v>
      </c>
      <c r="J3007" s="49">
        <v>1.527453E7</v>
      </c>
    </row>
    <row r="3008">
      <c r="A3008" s="45" t="s">
        <v>74</v>
      </c>
      <c r="B3008" s="16" t="s">
        <v>167</v>
      </c>
      <c r="C3008" s="17" t="s">
        <v>168</v>
      </c>
      <c r="D3008" s="15">
        <v>5.0</v>
      </c>
      <c r="E3008" s="17" t="s">
        <v>456</v>
      </c>
      <c r="F3008" s="15" t="s">
        <v>457</v>
      </c>
      <c r="G3008" s="46" t="s">
        <v>579</v>
      </c>
      <c r="H3008" s="47" t="s">
        <v>580</v>
      </c>
      <c r="I3008" s="48" t="s">
        <v>19</v>
      </c>
      <c r="J3008" s="49">
        <v>1830138.0</v>
      </c>
    </row>
    <row r="3009">
      <c r="A3009" s="45" t="s">
        <v>74</v>
      </c>
      <c r="B3009" s="16" t="s">
        <v>167</v>
      </c>
      <c r="C3009" s="17" t="s">
        <v>168</v>
      </c>
      <c r="D3009" s="15">
        <v>5.0</v>
      </c>
      <c r="E3009" s="17" t="s">
        <v>456</v>
      </c>
      <c r="F3009" s="15" t="s">
        <v>457</v>
      </c>
      <c r="G3009" s="46" t="s">
        <v>458</v>
      </c>
      <c r="H3009" s="47" t="s">
        <v>411</v>
      </c>
      <c r="I3009" s="48" t="s">
        <v>19</v>
      </c>
      <c r="J3009" s="49">
        <v>2.48259108E8</v>
      </c>
    </row>
    <row r="3010">
      <c r="A3010" s="45" t="s">
        <v>74</v>
      </c>
      <c r="B3010" s="16" t="s">
        <v>167</v>
      </c>
      <c r="C3010" s="17" t="s">
        <v>168</v>
      </c>
      <c r="D3010" s="15">
        <v>5.0</v>
      </c>
      <c r="E3010" s="17" t="s">
        <v>456</v>
      </c>
      <c r="F3010" s="15" t="s">
        <v>457</v>
      </c>
      <c r="G3010" s="46" t="s">
        <v>532</v>
      </c>
      <c r="H3010" s="47" t="s">
        <v>412</v>
      </c>
      <c r="I3010" s="48" t="s">
        <v>19</v>
      </c>
      <c r="J3010" s="49">
        <v>1.365189E7</v>
      </c>
    </row>
    <row r="3011">
      <c r="A3011" s="45" t="s">
        <v>74</v>
      </c>
      <c r="B3011" s="16" t="s">
        <v>167</v>
      </c>
      <c r="C3011" s="17" t="s">
        <v>168</v>
      </c>
      <c r="D3011" s="15">
        <v>5.0</v>
      </c>
      <c r="E3011" s="17" t="s">
        <v>459</v>
      </c>
      <c r="F3011" s="15" t="s">
        <v>460</v>
      </c>
      <c r="G3011" s="46" t="s">
        <v>519</v>
      </c>
      <c r="H3011" s="47" t="s">
        <v>414</v>
      </c>
      <c r="I3011" s="48" t="s">
        <v>37</v>
      </c>
      <c r="J3011" s="49">
        <v>330000.0</v>
      </c>
    </row>
    <row r="3012">
      <c r="A3012" s="45" t="s">
        <v>74</v>
      </c>
      <c r="B3012" s="16" t="s">
        <v>167</v>
      </c>
      <c r="C3012" s="17" t="s">
        <v>168</v>
      </c>
      <c r="D3012" s="15">
        <v>5.0</v>
      </c>
      <c r="E3012" s="17" t="s">
        <v>459</v>
      </c>
      <c r="F3012" s="15" t="s">
        <v>460</v>
      </c>
      <c r="G3012" s="46" t="s">
        <v>458</v>
      </c>
      <c r="H3012" s="47" t="s">
        <v>411</v>
      </c>
      <c r="I3012" s="48" t="s">
        <v>19</v>
      </c>
      <c r="J3012" s="49">
        <v>3708068.0</v>
      </c>
    </row>
    <row r="3013">
      <c r="A3013" s="45" t="s">
        <v>74</v>
      </c>
      <c r="B3013" s="16" t="s">
        <v>167</v>
      </c>
      <c r="C3013" s="17" t="s">
        <v>168</v>
      </c>
      <c r="D3013" s="15">
        <v>5.0</v>
      </c>
      <c r="E3013" s="17" t="s">
        <v>459</v>
      </c>
      <c r="F3013" s="15" t="s">
        <v>460</v>
      </c>
      <c r="G3013" s="46" t="s">
        <v>486</v>
      </c>
      <c r="H3013" s="47" t="s">
        <v>432</v>
      </c>
      <c r="I3013" s="48" t="s">
        <v>37</v>
      </c>
      <c r="J3013" s="49">
        <v>2249500.0</v>
      </c>
    </row>
    <row r="3014">
      <c r="A3014" s="45" t="s">
        <v>74</v>
      </c>
      <c r="B3014" s="16" t="s">
        <v>167</v>
      </c>
      <c r="C3014" s="17" t="s">
        <v>168</v>
      </c>
      <c r="D3014" s="15">
        <v>5.0</v>
      </c>
      <c r="E3014" s="17" t="s">
        <v>463</v>
      </c>
      <c r="F3014" s="15" t="s">
        <v>464</v>
      </c>
      <c r="G3014" s="46" t="s">
        <v>458</v>
      </c>
      <c r="H3014" s="47" t="s">
        <v>411</v>
      </c>
      <c r="I3014" s="48" t="s">
        <v>19</v>
      </c>
      <c r="J3014" s="49">
        <v>1.8825576E7</v>
      </c>
    </row>
    <row r="3015">
      <c r="A3015" s="45" t="s">
        <v>74</v>
      </c>
      <c r="B3015" s="16" t="s">
        <v>167</v>
      </c>
      <c r="C3015" s="17" t="s">
        <v>168</v>
      </c>
      <c r="D3015" s="15">
        <v>5.0</v>
      </c>
      <c r="E3015" s="17" t="s">
        <v>487</v>
      </c>
      <c r="F3015" s="15" t="s">
        <v>488</v>
      </c>
      <c r="G3015" s="46" t="s">
        <v>489</v>
      </c>
      <c r="H3015" s="47" t="s">
        <v>490</v>
      </c>
      <c r="I3015" s="48" t="s">
        <v>25</v>
      </c>
      <c r="J3015" s="49">
        <v>4118628.0</v>
      </c>
    </row>
    <row r="3016">
      <c r="A3016" s="45" t="s">
        <v>74</v>
      </c>
      <c r="B3016" s="16" t="s">
        <v>167</v>
      </c>
      <c r="C3016" s="17" t="s">
        <v>168</v>
      </c>
      <c r="D3016" s="15">
        <v>5.0</v>
      </c>
      <c r="E3016" s="17" t="s">
        <v>487</v>
      </c>
      <c r="F3016" s="15" t="s">
        <v>488</v>
      </c>
      <c r="G3016" s="46" t="s">
        <v>458</v>
      </c>
      <c r="H3016" s="47" t="s">
        <v>411</v>
      </c>
      <c r="I3016" s="48" t="s">
        <v>19</v>
      </c>
      <c r="J3016" s="49">
        <v>5419484.0</v>
      </c>
    </row>
    <row r="3017">
      <c r="A3017" s="45" t="s">
        <v>74</v>
      </c>
      <c r="B3017" s="16" t="s">
        <v>167</v>
      </c>
      <c r="C3017" s="17" t="s">
        <v>168</v>
      </c>
      <c r="D3017" s="15">
        <v>5.0</v>
      </c>
      <c r="E3017" s="17" t="s">
        <v>487</v>
      </c>
      <c r="F3017" s="15" t="s">
        <v>488</v>
      </c>
      <c r="G3017" s="46" t="s">
        <v>477</v>
      </c>
      <c r="H3017" s="47" t="s">
        <v>429</v>
      </c>
      <c r="I3017" s="48" t="s">
        <v>50</v>
      </c>
      <c r="J3017" s="49">
        <v>7832417.0</v>
      </c>
    </row>
    <row r="3018">
      <c r="A3018" s="45" t="s">
        <v>74</v>
      </c>
      <c r="B3018" s="16" t="s">
        <v>167</v>
      </c>
      <c r="C3018" s="17" t="s">
        <v>168</v>
      </c>
      <c r="D3018" s="15">
        <v>5.0</v>
      </c>
      <c r="E3018" s="17" t="s">
        <v>473</v>
      </c>
      <c r="F3018" s="15" t="s">
        <v>474</v>
      </c>
      <c r="G3018" s="46" t="s">
        <v>523</v>
      </c>
      <c r="H3018" s="47" t="s">
        <v>431</v>
      </c>
      <c r="I3018" s="48" t="s">
        <v>17</v>
      </c>
      <c r="J3018" s="49">
        <v>5.71409E7</v>
      </c>
    </row>
    <row r="3019">
      <c r="A3019" s="45" t="s">
        <v>74</v>
      </c>
      <c r="B3019" s="16" t="s">
        <v>167</v>
      </c>
      <c r="C3019" s="17" t="s">
        <v>168</v>
      </c>
      <c r="D3019" s="15">
        <v>5.0</v>
      </c>
      <c r="E3019" s="17" t="s">
        <v>473</v>
      </c>
      <c r="F3019" s="15" t="s">
        <v>474</v>
      </c>
      <c r="G3019" s="46" t="s">
        <v>523</v>
      </c>
      <c r="H3019" s="47" t="s">
        <v>431</v>
      </c>
      <c r="I3019" s="48" t="s">
        <v>25</v>
      </c>
      <c r="J3019" s="49">
        <v>1.29935E7</v>
      </c>
    </row>
    <row r="3020">
      <c r="A3020" s="45" t="s">
        <v>74</v>
      </c>
      <c r="B3020" s="16" t="s">
        <v>167</v>
      </c>
      <c r="C3020" s="17" t="s">
        <v>168</v>
      </c>
      <c r="D3020" s="15">
        <v>5.0</v>
      </c>
      <c r="E3020" s="17" t="s">
        <v>473</v>
      </c>
      <c r="F3020" s="15" t="s">
        <v>474</v>
      </c>
      <c r="G3020" s="46" t="s">
        <v>458</v>
      </c>
      <c r="H3020" s="47" t="s">
        <v>411</v>
      </c>
      <c r="I3020" s="48" t="s">
        <v>19</v>
      </c>
      <c r="J3020" s="49">
        <v>8.679528E7</v>
      </c>
    </row>
    <row r="3021">
      <c r="A3021" s="45" t="s">
        <v>74</v>
      </c>
      <c r="B3021" s="16" t="s">
        <v>167</v>
      </c>
      <c r="C3021" s="17" t="s">
        <v>168</v>
      </c>
      <c r="D3021" s="15">
        <v>5.0</v>
      </c>
      <c r="E3021" s="17" t="s">
        <v>491</v>
      </c>
      <c r="F3021" s="15" t="s">
        <v>492</v>
      </c>
      <c r="G3021" s="46" t="s">
        <v>493</v>
      </c>
      <c r="H3021" s="47" t="s">
        <v>437</v>
      </c>
      <c r="I3021" s="48" t="s">
        <v>25</v>
      </c>
      <c r="J3021" s="49">
        <v>8695771.0</v>
      </c>
    </row>
    <row r="3022">
      <c r="A3022" s="45" t="s">
        <v>74</v>
      </c>
      <c r="B3022" s="16" t="s">
        <v>167</v>
      </c>
      <c r="C3022" s="17" t="s">
        <v>168</v>
      </c>
      <c r="D3022" s="15">
        <v>5.0</v>
      </c>
      <c r="E3022" s="17" t="s">
        <v>494</v>
      </c>
      <c r="F3022" s="15" t="s">
        <v>495</v>
      </c>
      <c r="G3022" s="46" t="s">
        <v>458</v>
      </c>
      <c r="H3022" s="47" t="s">
        <v>411</v>
      </c>
      <c r="I3022" s="48" t="s">
        <v>19</v>
      </c>
      <c r="J3022" s="49">
        <v>6560428.0</v>
      </c>
    </row>
    <row r="3023">
      <c r="A3023" s="45" t="s">
        <v>74</v>
      </c>
      <c r="B3023" s="16" t="s">
        <v>167</v>
      </c>
      <c r="C3023" s="17" t="s">
        <v>168</v>
      </c>
      <c r="D3023" s="15">
        <v>5.0</v>
      </c>
      <c r="E3023" s="17" t="s">
        <v>475</v>
      </c>
      <c r="F3023" s="15" t="s">
        <v>476</v>
      </c>
      <c r="G3023" s="46" t="s">
        <v>519</v>
      </c>
      <c r="H3023" s="47" t="s">
        <v>414</v>
      </c>
      <c r="I3023" s="48" t="s">
        <v>25</v>
      </c>
      <c r="J3023" s="49">
        <v>960000.0</v>
      </c>
    </row>
    <row r="3024">
      <c r="A3024" s="45" t="s">
        <v>74</v>
      </c>
      <c r="B3024" s="16" t="s">
        <v>167</v>
      </c>
      <c r="C3024" s="17" t="s">
        <v>168</v>
      </c>
      <c r="D3024" s="15">
        <v>5.0</v>
      </c>
      <c r="E3024" s="17" t="s">
        <v>475</v>
      </c>
      <c r="F3024" s="15" t="s">
        <v>476</v>
      </c>
      <c r="G3024" s="46" t="s">
        <v>498</v>
      </c>
      <c r="H3024" s="47" t="s">
        <v>434</v>
      </c>
      <c r="I3024" s="48" t="s">
        <v>25</v>
      </c>
      <c r="J3024" s="49">
        <v>2777000.0</v>
      </c>
    </row>
    <row r="3025">
      <c r="A3025" s="45" t="s">
        <v>74</v>
      </c>
      <c r="B3025" s="16" t="s">
        <v>167</v>
      </c>
      <c r="C3025" s="17" t="s">
        <v>168</v>
      </c>
      <c r="D3025" s="15">
        <v>5.0</v>
      </c>
      <c r="E3025" s="17" t="s">
        <v>475</v>
      </c>
      <c r="F3025" s="15" t="s">
        <v>476</v>
      </c>
      <c r="G3025" s="46" t="s">
        <v>477</v>
      </c>
      <c r="H3025" s="47" t="s">
        <v>429</v>
      </c>
      <c r="I3025" s="48" t="s">
        <v>50</v>
      </c>
      <c r="J3025" s="49">
        <v>9.0401833E7</v>
      </c>
    </row>
    <row r="3026">
      <c r="A3026" s="45" t="s">
        <v>74</v>
      </c>
      <c r="B3026" s="16" t="s">
        <v>167</v>
      </c>
      <c r="C3026" s="17" t="s">
        <v>168</v>
      </c>
      <c r="D3026" s="15">
        <v>5.0</v>
      </c>
      <c r="E3026" s="17" t="s">
        <v>524</v>
      </c>
      <c r="F3026" s="15" t="s">
        <v>479</v>
      </c>
      <c r="G3026" s="46" t="s">
        <v>443</v>
      </c>
      <c r="H3026" s="47" t="s">
        <v>420</v>
      </c>
      <c r="I3026" s="48" t="s">
        <v>19</v>
      </c>
      <c r="J3026" s="49">
        <v>1.131517E8</v>
      </c>
    </row>
    <row r="3027">
      <c r="A3027" s="45" t="s">
        <v>74</v>
      </c>
      <c r="B3027" s="16" t="s">
        <v>167</v>
      </c>
      <c r="C3027" s="17" t="s">
        <v>168</v>
      </c>
      <c r="D3027" s="15">
        <v>5.0</v>
      </c>
      <c r="E3027" s="17" t="s">
        <v>524</v>
      </c>
      <c r="F3027" s="15" t="s">
        <v>479</v>
      </c>
      <c r="G3027" s="46" t="s">
        <v>444</v>
      </c>
      <c r="H3027" s="47" t="s">
        <v>445</v>
      </c>
      <c r="I3027" s="48" t="s">
        <v>19</v>
      </c>
      <c r="J3027" s="49">
        <v>1.6168692E7</v>
      </c>
    </row>
    <row r="3028">
      <c r="A3028" s="45" t="s">
        <v>74</v>
      </c>
      <c r="B3028" s="16" t="s">
        <v>167</v>
      </c>
      <c r="C3028" s="17" t="s">
        <v>168</v>
      </c>
      <c r="D3028" s="15">
        <v>5.0</v>
      </c>
      <c r="E3028" s="17" t="s">
        <v>524</v>
      </c>
      <c r="F3028" s="15" t="s">
        <v>479</v>
      </c>
      <c r="G3028" s="46" t="s">
        <v>579</v>
      </c>
      <c r="H3028" s="47" t="s">
        <v>580</v>
      </c>
      <c r="I3028" s="48" t="s">
        <v>19</v>
      </c>
      <c r="J3028" s="49">
        <v>1.1187158E7</v>
      </c>
    </row>
    <row r="3029">
      <c r="A3029" s="45" t="s">
        <v>74</v>
      </c>
      <c r="B3029" s="16" t="s">
        <v>167</v>
      </c>
      <c r="C3029" s="17" t="s">
        <v>168</v>
      </c>
      <c r="D3029" s="15">
        <v>5.0</v>
      </c>
      <c r="E3029" s="17" t="s">
        <v>524</v>
      </c>
      <c r="F3029" s="15" t="s">
        <v>479</v>
      </c>
      <c r="G3029" s="46" t="s">
        <v>446</v>
      </c>
      <c r="H3029" s="47" t="s">
        <v>447</v>
      </c>
      <c r="I3029" s="48" t="s">
        <v>19</v>
      </c>
      <c r="J3029" s="49">
        <v>1241069.0</v>
      </c>
    </row>
    <row r="3030">
      <c r="A3030" s="45" t="s">
        <v>74</v>
      </c>
      <c r="B3030" s="16" t="s">
        <v>167</v>
      </c>
      <c r="C3030" s="17" t="s">
        <v>168</v>
      </c>
      <c r="D3030" s="15">
        <v>5.0</v>
      </c>
      <c r="E3030" s="17" t="s">
        <v>524</v>
      </c>
      <c r="F3030" s="15" t="s">
        <v>479</v>
      </c>
      <c r="G3030" s="46" t="s">
        <v>448</v>
      </c>
      <c r="H3030" s="47" t="s">
        <v>449</v>
      </c>
      <c r="I3030" s="48" t="s">
        <v>19</v>
      </c>
      <c r="J3030" s="49">
        <v>2534788.0</v>
      </c>
    </row>
    <row r="3031">
      <c r="A3031" s="45" t="s">
        <v>74</v>
      </c>
      <c r="B3031" s="16" t="s">
        <v>167</v>
      </c>
      <c r="C3031" s="17" t="s">
        <v>168</v>
      </c>
      <c r="D3031" s="15">
        <v>5.0</v>
      </c>
      <c r="E3031" s="17" t="s">
        <v>524</v>
      </c>
      <c r="F3031" s="15" t="s">
        <v>479</v>
      </c>
      <c r="G3031" s="46" t="s">
        <v>450</v>
      </c>
      <c r="H3031" s="47" t="s">
        <v>451</v>
      </c>
      <c r="I3031" s="48" t="s">
        <v>19</v>
      </c>
      <c r="J3031" s="49">
        <v>0.0</v>
      </c>
    </row>
    <row r="3032">
      <c r="A3032" s="45" t="s">
        <v>74</v>
      </c>
      <c r="B3032" s="16" t="s">
        <v>167</v>
      </c>
      <c r="C3032" s="17" t="s">
        <v>168</v>
      </c>
      <c r="D3032" s="15">
        <v>5.0</v>
      </c>
      <c r="E3032" s="17" t="s">
        <v>524</v>
      </c>
      <c r="F3032" s="15" t="s">
        <v>479</v>
      </c>
      <c r="G3032" s="46" t="s">
        <v>452</v>
      </c>
      <c r="H3032" s="47" t="s">
        <v>453</v>
      </c>
      <c r="I3032" s="48" t="s">
        <v>19</v>
      </c>
      <c r="J3032" s="49">
        <v>2295973.0</v>
      </c>
    </row>
    <row r="3033">
      <c r="A3033" s="45" t="s">
        <v>74</v>
      </c>
      <c r="B3033" s="16" t="s">
        <v>167</v>
      </c>
      <c r="C3033" s="17" t="s">
        <v>168</v>
      </c>
      <c r="D3033" s="15">
        <v>5.0</v>
      </c>
      <c r="E3033" s="17" t="s">
        <v>524</v>
      </c>
      <c r="F3033" s="15" t="s">
        <v>479</v>
      </c>
      <c r="G3033" s="46" t="s">
        <v>454</v>
      </c>
      <c r="H3033" s="47" t="s">
        <v>415</v>
      </c>
      <c r="I3033" s="48" t="s">
        <v>19</v>
      </c>
      <c r="J3033" s="49">
        <v>335087.0</v>
      </c>
    </row>
    <row r="3034">
      <c r="A3034" s="45" t="s">
        <v>74</v>
      </c>
      <c r="B3034" s="16" t="s">
        <v>167</v>
      </c>
      <c r="C3034" s="17" t="s">
        <v>168</v>
      </c>
      <c r="D3034" s="15">
        <v>5.0</v>
      </c>
      <c r="E3034" s="17" t="s">
        <v>524</v>
      </c>
      <c r="F3034" s="15" t="s">
        <v>479</v>
      </c>
      <c r="G3034" s="46" t="s">
        <v>455</v>
      </c>
      <c r="H3034" s="47" t="s">
        <v>415</v>
      </c>
      <c r="I3034" s="48" t="s">
        <v>19</v>
      </c>
      <c r="J3034" s="49">
        <v>186158.0</v>
      </c>
    </row>
    <row r="3035">
      <c r="A3035" s="45" t="s">
        <v>74</v>
      </c>
      <c r="B3035" s="16" t="s">
        <v>167</v>
      </c>
      <c r="C3035" s="17" t="s">
        <v>168</v>
      </c>
      <c r="D3035" s="15">
        <v>5.0</v>
      </c>
      <c r="E3035" s="17" t="s">
        <v>524</v>
      </c>
      <c r="F3035" s="15" t="s">
        <v>479</v>
      </c>
      <c r="G3035" s="46" t="s">
        <v>499</v>
      </c>
      <c r="H3035" s="47" t="s">
        <v>500</v>
      </c>
      <c r="I3035" s="48" t="s">
        <v>19</v>
      </c>
      <c r="J3035" s="49">
        <v>3.0941248E7</v>
      </c>
    </row>
    <row r="3036">
      <c r="A3036" s="45" t="s">
        <v>74</v>
      </c>
      <c r="B3036" s="16" t="s">
        <v>167</v>
      </c>
      <c r="C3036" s="17" t="s">
        <v>168</v>
      </c>
      <c r="D3036" s="15">
        <v>5.0</v>
      </c>
      <c r="E3036" s="17" t="s">
        <v>524</v>
      </c>
      <c r="F3036" s="15" t="s">
        <v>479</v>
      </c>
      <c r="G3036" s="46" t="s">
        <v>583</v>
      </c>
      <c r="H3036" s="47" t="s">
        <v>584</v>
      </c>
      <c r="I3036" s="48" t="s">
        <v>25</v>
      </c>
      <c r="J3036" s="49">
        <v>2.7E7</v>
      </c>
    </row>
    <row r="3037">
      <c r="A3037" s="45" t="s">
        <v>74</v>
      </c>
      <c r="B3037" s="16" t="s">
        <v>167</v>
      </c>
      <c r="C3037" s="17" t="s">
        <v>168</v>
      </c>
      <c r="D3037" s="15">
        <v>5.0</v>
      </c>
      <c r="E3037" s="17" t="s">
        <v>525</v>
      </c>
      <c r="F3037" s="15" t="s">
        <v>502</v>
      </c>
      <c r="G3037" s="46" t="s">
        <v>526</v>
      </c>
      <c r="H3037" s="47" t="s">
        <v>527</v>
      </c>
      <c r="I3037" s="48" t="s">
        <v>60</v>
      </c>
      <c r="J3037" s="49">
        <v>1.048353763E9</v>
      </c>
    </row>
    <row r="3038">
      <c r="A3038" s="45" t="s">
        <v>74</v>
      </c>
      <c r="B3038" s="16" t="s">
        <v>167</v>
      </c>
      <c r="C3038" s="17" t="s">
        <v>168</v>
      </c>
      <c r="D3038" s="15">
        <v>5.0</v>
      </c>
      <c r="E3038" s="17" t="s">
        <v>525</v>
      </c>
      <c r="F3038" s="15" t="s">
        <v>502</v>
      </c>
      <c r="G3038" s="46" t="s">
        <v>539</v>
      </c>
      <c r="H3038" s="47" t="s">
        <v>540</v>
      </c>
      <c r="I3038" s="48" t="s">
        <v>60</v>
      </c>
      <c r="J3038" s="49">
        <v>2754156.0</v>
      </c>
    </row>
    <row r="3039">
      <c r="A3039" s="45" t="s">
        <v>74</v>
      </c>
      <c r="B3039" s="16" t="s">
        <v>167</v>
      </c>
      <c r="C3039" s="17" t="s">
        <v>168</v>
      </c>
      <c r="D3039" s="15">
        <v>5.0</v>
      </c>
      <c r="E3039" s="17" t="s">
        <v>525</v>
      </c>
      <c r="F3039" s="15" t="s">
        <v>502</v>
      </c>
      <c r="G3039" s="46" t="s">
        <v>505</v>
      </c>
      <c r="H3039" s="47" t="s">
        <v>506</v>
      </c>
      <c r="I3039" s="48" t="s">
        <v>60</v>
      </c>
      <c r="J3039" s="49">
        <v>7852265.0</v>
      </c>
    </row>
    <row r="3040">
      <c r="A3040" s="45" t="s">
        <v>74</v>
      </c>
      <c r="B3040" s="16" t="s">
        <v>167</v>
      </c>
      <c r="C3040" s="17" t="s">
        <v>168</v>
      </c>
      <c r="D3040" s="15">
        <v>5.0</v>
      </c>
      <c r="E3040" s="17" t="s">
        <v>525</v>
      </c>
      <c r="F3040" s="15" t="s">
        <v>502</v>
      </c>
      <c r="G3040" s="46" t="s">
        <v>507</v>
      </c>
      <c r="H3040" s="47" t="s">
        <v>508</v>
      </c>
      <c r="I3040" s="48" t="s">
        <v>60</v>
      </c>
      <c r="J3040" s="49">
        <v>4757272.0</v>
      </c>
    </row>
    <row r="3041">
      <c r="A3041" s="45" t="s">
        <v>74</v>
      </c>
      <c r="B3041" s="16" t="s">
        <v>167</v>
      </c>
      <c r="C3041" s="17" t="s">
        <v>168</v>
      </c>
      <c r="D3041" s="15">
        <v>5.0</v>
      </c>
      <c r="E3041" s="17" t="s">
        <v>525</v>
      </c>
      <c r="F3041" s="15" t="s">
        <v>502</v>
      </c>
      <c r="G3041" s="46" t="s">
        <v>509</v>
      </c>
      <c r="H3041" s="47" t="s">
        <v>510</v>
      </c>
      <c r="I3041" s="48" t="s">
        <v>60</v>
      </c>
      <c r="J3041" s="49">
        <v>220000.0</v>
      </c>
    </row>
    <row r="3042">
      <c r="A3042" s="45" t="s">
        <v>74</v>
      </c>
      <c r="B3042" s="16" t="s">
        <v>167</v>
      </c>
      <c r="C3042" s="17" t="s">
        <v>168</v>
      </c>
      <c r="D3042" s="15">
        <v>5.0</v>
      </c>
      <c r="E3042" s="17" t="s">
        <v>525</v>
      </c>
      <c r="F3042" s="15" t="s">
        <v>502</v>
      </c>
      <c r="G3042" s="46" t="s">
        <v>511</v>
      </c>
      <c r="H3042" s="47" t="s">
        <v>512</v>
      </c>
      <c r="I3042" s="48" t="s">
        <v>60</v>
      </c>
      <c r="J3042" s="49">
        <v>1.10789923E8</v>
      </c>
    </row>
    <row r="3043">
      <c r="A3043" s="45" t="s">
        <v>74</v>
      </c>
      <c r="B3043" s="16" t="s">
        <v>167</v>
      </c>
      <c r="C3043" s="17" t="s">
        <v>168</v>
      </c>
      <c r="D3043" s="15">
        <v>5.0</v>
      </c>
      <c r="E3043" s="17" t="s">
        <v>525</v>
      </c>
      <c r="F3043" s="15" t="s">
        <v>502</v>
      </c>
      <c r="G3043" s="46" t="s">
        <v>513</v>
      </c>
      <c r="H3043" s="47" t="s">
        <v>514</v>
      </c>
      <c r="I3043" s="48" t="s">
        <v>60</v>
      </c>
      <c r="J3043" s="49">
        <v>5737473.0</v>
      </c>
    </row>
    <row r="3044">
      <c r="A3044" s="45" t="s">
        <v>74</v>
      </c>
      <c r="B3044" s="16" t="s">
        <v>167</v>
      </c>
      <c r="C3044" s="17" t="s">
        <v>168</v>
      </c>
      <c r="D3044" s="15">
        <v>5.0</v>
      </c>
      <c r="E3044" s="17" t="s">
        <v>525</v>
      </c>
      <c r="F3044" s="15" t="s">
        <v>502</v>
      </c>
      <c r="G3044" s="46" t="s">
        <v>528</v>
      </c>
      <c r="H3044" s="47" t="s">
        <v>529</v>
      </c>
      <c r="I3044" s="48" t="s">
        <v>60</v>
      </c>
      <c r="J3044" s="49">
        <v>6123491.0</v>
      </c>
    </row>
    <row r="3045">
      <c r="A3045" s="45" t="s">
        <v>74</v>
      </c>
      <c r="B3045" s="16" t="s">
        <v>167</v>
      </c>
      <c r="C3045" s="17" t="s">
        <v>168</v>
      </c>
      <c r="D3045" s="15">
        <v>5.0</v>
      </c>
      <c r="E3045" s="17" t="s">
        <v>548</v>
      </c>
      <c r="F3045" s="15" t="s">
        <v>549</v>
      </c>
      <c r="G3045" s="46" t="s">
        <v>550</v>
      </c>
      <c r="H3045" s="47" t="s">
        <v>551</v>
      </c>
      <c r="I3045" s="48" t="s">
        <v>25</v>
      </c>
      <c r="J3045" s="49">
        <v>1.77365817E8</v>
      </c>
    </row>
    <row r="3046">
      <c r="A3046" s="45" t="s">
        <v>74</v>
      </c>
      <c r="B3046" s="16" t="s">
        <v>170</v>
      </c>
      <c r="C3046" s="17" t="s">
        <v>171</v>
      </c>
      <c r="D3046" s="15">
        <v>5.0</v>
      </c>
      <c r="E3046" s="17" t="s">
        <v>441</v>
      </c>
      <c r="F3046" s="15" t="s">
        <v>442</v>
      </c>
      <c r="G3046" s="46" t="s">
        <v>443</v>
      </c>
      <c r="H3046" s="47" t="s">
        <v>420</v>
      </c>
      <c r="I3046" s="48" t="s">
        <v>19</v>
      </c>
      <c r="J3046" s="49">
        <v>5.027273E7</v>
      </c>
    </row>
    <row r="3047">
      <c r="A3047" s="45" t="s">
        <v>74</v>
      </c>
      <c r="B3047" s="16" t="s">
        <v>170</v>
      </c>
      <c r="C3047" s="17" t="s">
        <v>171</v>
      </c>
      <c r="D3047" s="15">
        <v>5.0</v>
      </c>
      <c r="E3047" s="17" t="s">
        <v>441</v>
      </c>
      <c r="F3047" s="15" t="s">
        <v>442</v>
      </c>
      <c r="G3047" s="46" t="s">
        <v>444</v>
      </c>
      <c r="H3047" s="47" t="s">
        <v>445</v>
      </c>
      <c r="I3047" s="48" t="s">
        <v>19</v>
      </c>
      <c r="J3047" s="49">
        <v>1.2878189E7</v>
      </c>
    </row>
    <row r="3048">
      <c r="A3048" s="45" t="s">
        <v>74</v>
      </c>
      <c r="B3048" s="16" t="s">
        <v>170</v>
      </c>
      <c r="C3048" s="17" t="s">
        <v>171</v>
      </c>
      <c r="D3048" s="15">
        <v>5.0</v>
      </c>
      <c r="E3048" s="17" t="s">
        <v>441</v>
      </c>
      <c r="F3048" s="15" t="s">
        <v>442</v>
      </c>
      <c r="G3048" s="46" t="s">
        <v>579</v>
      </c>
      <c r="H3048" s="47" t="s">
        <v>580</v>
      </c>
      <c r="I3048" s="48" t="s">
        <v>19</v>
      </c>
      <c r="J3048" s="49">
        <v>5135742.0</v>
      </c>
    </row>
    <row r="3049">
      <c r="A3049" s="45" t="s">
        <v>74</v>
      </c>
      <c r="B3049" s="16" t="s">
        <v>170</v>
      </c>
      <c r="C3049" s="17" t="s">
        <v>171</v>
      </c>
      <c r="D3049" s="15">
        <v>5.0</v>
      </c>
      <c r="E3049" s="17" t="s">
        <v>441</v>
      </c>
      <c r="F3049" s="15" t="s">
        <v>442</v>
      </c>
      <c r="G3049" s="46" t="s">
        <v>446</v>
      </c>
      <c r="H3049" s="47" t="s">
        <v>447</v>
      </c>
      <c r="I3049" s="48" t="s">
        <v>19</v>
      </c>
      <c r="J3049" s="49">
        <v>531390.0</v>
      </c>
    </row>
    <row r="3050">
      <c r="A3050" s="45" t="s">
        <v>74</v>
      </c>
      <c r="B3050" s="16" t="s">
        <v>170</v>
      </c>
      <c r="C3050" s="17" t="s">
        <v>171</v>
      </c>
      <c r="D3050" s="15">
        <v>5.0</v>
      </c>
      <c r="E3050" s="17" t="s">
        <v>441</v>
      </c>
      <c r="F3050" s="15" t="s">
        <v>442</v>
      </c>
      <c r="G3050" s="46" t="s">
        <v>448</v>
      </c>
      <c r="H3050" s="47" t="s">
        <v>449</v>
      </c>
      <c r="I3050" s="48" t="s">
        <v>19</v>
      </c>
      <c r="J3050" s="49">
        <v>1127487.0</v>
      </c>
    </row>
    <row r="3051">
      <c r="A3051" s="45" t="s">
        <v>74</v>
      </c>
      <c r="B3051" s="16" t="s">
        <v>170</v>
      </c>
      <c r="C3051" s="17" t="s">
        <v>171</v>
      </c>
      <c r="D3051" s="15">
        <v>5.0</v>
      </c>
      <c r="E3051" s="17" t="s">
        <v>441</v>
      </c>
      <c r="F3051" s="15" t="s">
        <v>442</v>
      </c>
      <c r="G3051" s="46" t="s">
        <v>450</v>
      </c>
      <c r="H3051" s="47" t="s">
        <v>451</v>
      </c>
      <c r="I3051" s="48" t="s">
        <v>19</v>
      </c>
      <c r="J3051" s="49">
        <v>0.0</v>
      </c>
    </row>
    <row r="3052">
      <c r="A3052" s="45" t="s">
        <v>74</v>
      </c>
      <c r="B3052" s="16" t="s">
        <v>170</v>
      </c>
      <c r="C3052" s="17" t="s">
        <v>171</v>
      </c>
      <c r="D3052" s="15">
        <v>5.0</v>
      </c>
      <c r="E3052" s="17" t="s">
        <v>441</v>
      </c>
      <c r="F3052" s="15" t="s">
        <v>442</v>
      </c>
      <c r="G3052" s="46" t="s">
        <v>452</v>
      </c>
      <c r="H3052" s="47" t="s">
        <v>453</v>
      </c>
      <c r="I3052" s="48" t="s">
        <v>19</v>
      </c>
      <c r="J3052" s="49">
        <v>983071.0</v>
      </c>
    </row>
    <row r="3053">
      <c r="A3053" s="45" t="s">
        <v>74</v>
      </c>
      <c r="B3053" s="16" t="s">
        <v>170</v>
      </c>
      <c r="C3053" s="17" t="s">
        <v>171</v>
      </c>
      <c r="D3053" s="15">
        <v>5.0</v>
      </c>
      <c r="E3053" s="17" t="s">
        <v>441</v>
      </c>
      <c r="F3053" s="15" t="s">
        <v>442</v>
      </c>
      <c r="G3053" s="46" t="s">
        <v>454</v>
      </c>
      <c r="H3053" s="47" t="s">
        <v>415</v>
      </c>
      <c r="I3053" s="48" t="s">
        <v>19</v>
      </c>
      <c r="J3053" s="49">
        <v>143475.0</v>
      </c>
    </row>
    <row r="3054">
      <c r="A3054" s="45" t="s">
        <v>74</v>
      </c>
      <c r="B3054" s="16" t="s">
        <v>170</v>
      </c>
      <c r="C3054" s="17" t="s">
        <v>171</v>
      </c>
      <c r="D3054" s="15">
        <v>5.0</v>
      </c>
      <c r="E3054" s="17" t="s">
        <v>441</v>
      </c>
      <c r="F3054" s="15" t="s">
        <v>442</v>
      </c>
      <c r="G3054" s="46" t="s">
        <v>455</v>
      </c>
      <c r="H3054" s="47" t="s">
        <v>415</v>
      </c>
      <c r="I3054" s="48" t="s">
        <v>19</v>
      </c>
      <c r="J3054" s="49">
        <v>79709.0</v>
      </c>
    </row>
    <row r="3055">
      <c r="A3055" s="45" t="s">
        <v>74</v>
      </c>
      <c r="B3055" s="16" t="s">
        <v>170</v>
      </c>
      <c r="C3055" s="17" t="s">
        <v>171</v>
      </c>
      <c r="D3055" s="15">
        <v>5.0</v>
      </c>
      <c r="E3055" s="17" t="s">
        <v>441</v>
      </c>
      <c r="F3055" s="15" t="s">
        <v>442</v>
      </c>
      <c r="G3055" s="46" t="s">
        <v>480</v>
      </c>
      <c r="H3055" s="47" t="s">
        <v>481</v>
      </c>
      <c r="I3055" s="48" t="s">
        <v>19</v>
      </c>
      <c r="J3055" s="49">
        <v>4771976.0</v>
      </c>
    </row>
    <row r="3056">
      <c r="A3056" s="45" t="s">
        <v>74</v>
      </c>
      <c r="B3056" s="16" t="s">
        <v>170</v>
      </c>
      <c r="C3056" s="17" t="s">
        <v>171</v>
      </c>
      <c r="D3056" s="15">
        <v>5.0</v>
      </c>
      <c r="E3056" s="17" t="s">
        <v>441</v>
      </c>
      <c r="F3056" s="15" t="s">
        <v>442</v>
      </c>
      <c r="G3056" s="46" t="s">
        <v>583</v>
      </c>
      <c r="H3056" s="47" t="s">
        <v>584</v>
      </c>
      <c r="I3056" s="48" t="s">
        <v>25</v>
      </c>
      <c r="J3056" s="49">
        <v>9000000.0</v>
      </c>
    </row>
    <row r="3057">
      <c r="A3057" s="45" t="s">
        <v>74</v>
      </c>
      <c r="B3057" s="16" t="s">
        <v>170</v>
      </c>
      <c r="C3057" s="17" t="s">
        <v>171</v>
      </c>
      <c r="D3057" s="15">
        <v>5.0</v>
      </c>
      <c r="E3057" s="17" t="s">
        <v>456</v>
      </c>
      <c r="F3057" s="15" t="s">
        <v>457</v>
      </c>
      <c r="G3057" s="46" t="s">
        <v>515</v>
      </c>
      <c r="H3057" s="47" t="s">
        <v>413</v>
      </c>
      <c r="I3057" s="48" t="s">
        <v>19</v>
      </c>
      <c r="J3057" s="49">
        <v>1.25E7</v>
      </c>
    </row>
    <row r="3058">
      <c r="A3058" s="45" t="s">
        <v>74</v>
      </c>
      <c r="B3058" s="16" t="s">
        <v>170</v>
      </c>
      <c r="C3058" s="17" t="s">
        <v>171</v>
      </c>
      <c r="D3058" s="15">
        <v>5.0</v>
      </c>
      <c r="E3058" s="17" t="s">
        <v>456</v>
      </c>
      <c r="F3058" s="15" t="s">
        <v>457</v>
      </c>
      <c r="G3058" s="46" t="s">
        <v>579</v>
      </c>
      <c r="H3058" s="47" t="s">
        <v>580</v>
      </c>
      <c r="I3058" s="48" t="s">
        <v>19</v>
      </c>
      <c r="J3058" s="49">
        <v>1248090.0</v>
      </c>
    </row>
    <row r="3059">
      <c r="A3059" s="45" t="s">
        <v>74</v>
      </c>
      <c r="B3059" s="16" t="s">
        <v>170</v>
      </c>
      <c r="C3059" s="17" t="s">
        <v>171</v>
      </c>
      <c r="D3059" s="15">
        <v>5.0</v>
      </c>
      <c r="E3059" s="17" t="s">
        <v>456</v>
      </c>
      <c r="F3059" s="15" t="s">
        <v>457</v>
      </c>
      <c r="G3059" s="46" t="s">
        <v>499</v>
      </c>
      <c r="H3059" s="47" t="s">
        <v>500</v>
      </c>
      <c r="I3059" s="48" t="s">
        <v>19</v>
      </c>
      <c r="J3059" s="49">
        <v>250000.0</v>
      </c>
    </row>
    <row r="3060">
      <c r="A3060" s="45" t="s">
        <v>74</v>
      </c>
      <c r="B3060" s="16" t="s">
        <v>170</v>
      </c>
      <c r="C3060" s="17" t="s">
        <v>171</v>
      </c>
      <c r="D3060" s="15">
        <v>5.0</v>
      </c>
      <c r="E3060" s="17" t="s">
        <v>456</v>
      </c>
      <c r="F3060" s="15" t="s">
        <v>457</v>
      </c>
      <c r="G3060" s="46" t="s">
        <v>458</v>
      </c>
      <c r="H3060" s="47" t="s">
        <v>411</v>
      </c>
      <c r="I3060" s="48" t="s">
        <v>19</v>
      </c>
      <c r="J3060" s="49">
        <v>2.1408848E8</v>
      </c>
    </row>
    <row r="3061">
      <c r="A3061" s="45" t="s">
        <v>74</v>
      </c>
      <c r="B3061" s="16" t="s">
        <v>170</v>
      </c>
      <c r="C3061" s="17" t="s">
        <v>171</v>
      </c>
      <c r="D3061" s="15">
        <v>5.0</v>
      </c>
      <c r="E3061" s="17" t="s">
        <v>459</v>
      </c>
      <c r="F3061" s="15" t="s">
        <v>460</v>
      </c>
      <c r="G3061" s="46" t="s">
        <v>519</v>
      </c>
      <c r="H3061" s="47" t="s">
        <v>414</v>
      </c>
      <c r="I3061" s="48" t="s">
        <v>37</v>
      </c>
      <c r="J3061" s="49">
        <v>194450.0</v>
      </c>
    </row>
    <row r="3062">
      <c r="A3062" s="45" t="s">
        <v>74</v>
      </c>
      <c r="B3062" s="16" t="s">
        <v>170</v>
      </c>
      <c r="C3062" s="17" t="s">
        <v>171</v>
      </c>
      <c r="D3062" s="15">
        <v>5.0</v>
      </c>
      <c r="E3062" s="17" t="s">
        <v>459</v>
      </c>
      <c r="F3062" s="15" t="s">
        <v>460</v>
      </c>
      <c r="G3062" s="46" t="s">
        <v>519</v>
      </c>
      <c r="H3062" s="47" t="s">
        <v>414</v>
      </c>
      <c r="I3062" s="48" t="s">
        <v>25</v>
      </c>
      <c r="J3062" s="49">
        <v>3335000.0</v>
      </c>
    </row>
    <row r="3063">
      <c r="A3063" s="45" t="s">
        <v>74</v>
      </c>
      <c r="B3063" s="16" t="s">
        <v>170</v>
      </c>
      <c r="C3063" s="17" t="s">
        <v>171</v>
      </c>
      <c r="D3063" s="15">
        <v>5.0</v>
      </c>
      <c r="E3063" s="17" t="s">
        <v>463</v>
      </c>
      <c r="F3063" s="15" t="s">
        <v>464</v>
      </c>
      <c r="G3063" s="46" t="s">
        <v>543</v>
      </c>
      <c r="H3063" s="47" t="s">
        <v>430</v>
      </c>
      <c r="I3063" s="48" t="s">
        <v>37</v>
      </c>
      <c r="J3063" s="49">
        <v>90950.0</v>
      </c>
    </row>
    <row r="3064">
      <c r="A3064" s="45" t="s">
        <v>74</v>
      </c>
      <c r="B3064" s="16" t="s">
        <v>170</v>
      </c>
      <c r="C3064" s="17" t="s">
        <v>171</v>
      </c>
      <c r="D3064" s="15">
        <v>5.0</v>
      </c>
      <c r="E3064" s="17" t="s">
        <v>463</v>
      </c>
      <c r="F3064" s="15" t="s">
        <v>464</v>
      </c>
      <c r="G3064" s="46" t="s">
        <v>519</v>
      </c>
      <c r="H3064" s="47" t="s">
        <v>414</v>
      </c>
      <c r="I3064" s="48" t="s">
        <v>37</v>
      </c>
      <c r="J3064" s="49">
        <v>671960.0</v>
      </c>
    </row>
    <row r="3065">
      <c r="A3065" s="45" t="s">
        <v>74</v>
      </c>
      <c r="B3065" s="16" t="s">
        <v>170</v>
      </c>
      <c r="C3065" s="17" t="s">
        <v>171</v>
      </c>
      <c r="D3065" s="15">
        <v>5.0</v>
      </c>
      <c r="E3065" s="17" t="s">
        <v>463</v>
      </c>
      <c r="F3065" s="15" t="s">
        <v>464</v>
      </c>
      <c r="G3065" s="46" t="s">
        <v>458</v>
      </c>
      <c r="H3065" s="47" t="s">
        <v>411</v>
      </c>
      <c r="I3065" s="48" t="s">
        <v>19</v>
      </c>
      <c r="J3065" s="49">
        <v>2.4731445E7</v>
      </c>
    </row>
    <row r="3066">
      <c r="A3066" s="45" t="s">
        <v>74</v>
      </c>
      <c r="B3066" s="16" t="s">
        <v>170</v>
      </c>
      <c r="C3066" s="17" t="s">
        <v>171</v>
      </c>
      <c r="D3066" s="15">
        <v>5.0</v>
      </c>
      <c r="E3066" s="17" t="s">
        <v>469</v>
      </c>
      <c r="F3066" s="15" t="s">
        <v>470</v>
      </c>
      <c r="G3066" s="46" t="s">
        <v>544</v>
      </c>
      <c r="H3066" s="47" t="s">
        <v>421</v>
      </c>
      <c r="I3066" s="48" t="s">
        <v>25</v>
      </c>
      <c r="J3066" s="49">
        <v>350000.0</v>
      </c>
    </row>
    <row r="3067">
      <c r="A3067" s="45" t="s">
        <v>74</v>
      </c>
      <c r="B3067" s="16" t="s">
        <v>170</v>
      </c>
      <c r="C3067" s="17" t="s">
        <v>171</v>
      </c>
      <c r="D3067" s="15">
        <v>5.0</v>
      </c>
      <c r="E3067" s="17" t="s">
        <v>469</v>
      </c>
      <c r="F3067" s="15" t="s">
        <v>470</v>
      </c>
      <c r="G3067" s="46" t="s">
        <v>517</v>
      </c>
      <c r="H3067" s="47" t="s">
        <v>518</v>
      </c>
      <c r="I3067" s="48" t="s">
        <v>25</v>
      </c>
      <c r="J3067" s="49">
        <v>1460000.0</v>
      </c>
    </row>
    <row r="3068">
      <c r="A3068" s="45" t="s">
        <v>74</v>
      </c>
      <c r="B3068" s="16" t="s">
        <v>170</v>
      </c>
      <c r="C3068" s="17" t="s">
        <v>171</v>
      </c>
      <c r="D3068" s="15">
        <v>5.0</v>
      </c>
      <c r="E3068" s="17" t="s">
        <v>469</v>
      </c>
      <c r="F3068" s="15" t="s">
        <v>470</v>
      </c>
      <c r="G3068" s="46" t="s">
        <v>471</v>
      </c>
      <c r="H3068" s="47" t="s">
        <v>472</v>
      </c>
      <c r="I3068" s="48" t="s">
        <v>25</v>
      </c>
      <c r="J3068" s="49">
        <v>2350000.0</v>
      </c>
    </row>
    <row r="3069">
      <c r="A3069" s="45" t="s">
        <v>74</v>
      </c>
      <c r="B3069" s="16" t="s">
        <v>170</v>
      </c>
      <c r="C3069" s="17" t="s">
        <v>171</v>
      </c>
      <c r="D3069" s="15">
        <v>5.0</v>
      </c>
      <c r="E3069" s="17" t="s">
        <v>473</v>
      </c>
      <c r="F3069" s="15" t="s">
        <v>474</v>
      </c>
      <c r="G3069" s="46" t="s">
        <v>523</v>
      </c>
      <c r="H3069" s="47" t="s">
        <v>431</v>
      </c>
      <c r="I3069" s="48" t="s">
        <v>17</v>
      </c>
      <c r="J3069" s="49">
        <v>7.3936362E7</v>
      </c>
    </row>
    <row r="3070">
      <c r="A3070" s="45" t="s">
        <v>74</v>
      </c>
      <c r="B3070" s="16" t="s">
        <v>170</v>
      </c>
      <c r="C3070" s="17" t="s">
        <v>171</v>
      </c>
      <c r="D3070" s="15">
        <v>5.0</v>
      </c>
      <c r="E3070" s="17" t="s">
        <v>473</v>
      </c>
      <c r="F3070" s="15" t="s">
        <v>474</v>
      </c>
      <c r="G3070" s="46" t="s">
        <v>523</v>
      </c>
      <c r="H3070" s="47" t="s">
        <v>431</v>
      </c>
      <c r="I3070" s="48" t="s">
        <v>25</v>
      </c>
      <c r="J3070" s="49">
        <v>-2.4554266E7</v>
      </c>
    </row>
    <row r="3071">
      <c r="A3071" s="45" t="s">
        <v>74</v>
      </c>
      <c r="B3071" s="16" t="s">
        <v>170</v>
      </c>
      <c r="C3071" s="17" t="s">
        <v>171</v>
      </c>
      <c r="D3071" s="15">
        <v>5.0</v>
      </c>
      <c r="E3071" s="17" t="s">
        <v>473</v>
      </c>
      <c r="F3071" s="15" t="s">
        <v>474</v>
      </c>
      <c r="G3071" s="46" t="s">
        <v>458</v>
      </c>
      <c r="H3071" s="47" t="s">
        <v>411</v>
      </c>
      <c r="I3071" s="48" t="s">
        <v>19</v>
      </c>
      <c r="J3071" s="49">
        <v>1.34231217E8</v>
      </c>
    </row>
    <row r="3072">
      <c r="A3072" s="45" t="s">
        <v>74</v>
      </c>
      <c r="B3072" s="16" t="s">
        <v>170</v>
      </c>
      <c r="C3072" s="17" t="s">
        <v>171</v>
      </c>
      <c r="D3072" s="15">
        <v>5.0</v>
      </c>
      <c r="E3072" s="17" t="s">
        <v>491</v>
      </c>
      <c r="F3072" s="15" t="s">
        <v>492</v>
      </c>
      <c r="G3072" s="46" t="s">
        <v>543</v>
      </c>
      <c r="H3072" s="47" t="s">
        <v>430</v>
      </c>
      <c r="I3072" s="48" t="s">
        <v>37</v>
      </c>
      <c r="J3072" s="49">
        <v>35100.0</v>
      </c>
    </row>
    <row r="3073">
      <c r="A3073" s="45" t="s">
        <v>74</v>
      </c>
      <c r="B3073" s="16" t="s">
        <v>170</v>
      </c>
      <c r="C3073" s="17" t="s">
        <v>171</v>
      </c>
      <c r="D3073" s="15">
        <v>5.0</v>
      </c>
      <c r="E3073" s="17" t="s">
        <v>491</v>
      </c>
      <c r="F3073" s="15" t="s">
        <v>492</v>
      </c>
      <c r="G3073" s="46" t="s">
        <v>519</v>
      </c>
      <c r="H3073" s="47" t="s">
        <v>414</v>
      </c>
      <c r="I3073" s="48" t="s">
        <v>37</v>
      </c>
      <c r="J3073" s="49">
        <v>5062590.0</v>
      </c>
    </row>
    <row r="3074">
      <c r="A3074" s="45" t="s">
        <v>74</v>
      </c>
      <c r="B3074" s="16" t="s">
        <v>170</v>
      </c>
      <c r="C3074" s="17" t="s">
        <v>171</v>
      </c>
      <c r="D3074" s="15">
        <v>5.0</v>
      </c>
      <c r="E3074" s="17" t="s">
        <v>491</v>
      </c>
      <c r="F3074" s="15" t="s">
        <v>492</v>
      </c>
      <c r="G3074" s="46" t="s">
        <v>493</v>
      </c>
      <c r="H3074" s="47" t="s">
        <v>437</v>
      </c>
      <c r="I3074" s="48" t="s">
        <v>25</v>
      </c>
      <c r="J3074" s="49">
        <v>4106096.0</v>
      </c>
    </row>
    <row r="3075">
      <c r="A3075" s="45" t="s">
        <v>74</v>
      </c>
      <c r="B3075" s="16" t="s">
        <v>170</v>
      </c>
      <c r="C3075" s="17" t="s">
        <v>171</v>
      </c>
      <c r="D3075" s="15">
        <v>5.0</v>
      </c>
      <c r="E3075" s="17" t="s">
        <v>494</v>
      </c>
      <c r="F3075" s="15" t="s">
        <v>495</v>
      </c>
      <c r="G3075" s="46" t="s">
        <v>458</v>
      </c>
      <c r="H3075" s="47" t="s">
        <v>411</v>
      </c>
      <c r="I3075" s="48" t="s">
        <v>19</v>
      </c>
      <c r="J3075" s="49">
        <v>2.0319902E7</v>
      </c>
    </row>
    <row r="3076">
      <c r="A3076" s="45" t="s">
        <v>74</v>
      </c>
      <c r="B3076" s="16" t="s">
        <v>170</v>
      </c>
      <c r="C3076" s="17" t="s">
        <v>171</v>
      </c>
      <c r="D3076" s="15">
        <v>5.0</v>
      </c>
      <c r="E3076" s="17" t="s">
        <v>475</v>
      </c>
      <c r="F3076" s="15" t="s">
        <v>476</v>
      </c>
      <c r="G3076" s="46" t="s">
        <v>477</v>
      </c>
      <c r="H3076" s="47" t="s">
        <v>429</v>
      </c>
      <c r="I3076" s="48" t="s">
        <v>50</v>
      </c>
      <c r="J3076" s="49">
        <v>6.6692872E7</v>
      </c>
    </row>
    <row r="3077">
      <c r="A3077" s="45" t="s">
        <v>74</v>
      </c>
      <c r="B3077" s="16" t="s">
        <v>170</v>
      </c>
      <c r="C3077" s="17" t="s">
        <v>171</v>
      </c>
      <c r="D3077" s="15">
        <v>5.0</v>
      </c>
      <c r="E3077" s="17" t="s">
        <v>524</v>
      </c>
      <c r="F3077" s="15" t="s">
        <v>479</v>
      </c>
      <c r="G3077" s="46" t="s">
        <v>443</v>
      </c>
      <c r="H3077" s="47" t="s">
        <v>420</v>
      </c>
      <c r="I3077" s="48" t="s">
        <v>19</v>
      </c>
      <c r="J3077" s="49">
        <v>9.5096642E7</v>
      </c>
    </row>
    <row r="3078">
      <c r="A3078" s="45" t="s">
        <v>74</v>
      </c>
      <c r="B3078" s="16" t="s">
        <v>170</v>
      </c>
      <c r="C3078" s="17" t="s">
        <v>171</v>
      </c>
      <c r="D3078" s="15">
        <v>5.0</v>
      </c>
      <c r="E3078" s="17" t="s">
        <v>524</v>
      </c>
      <c r="F3078" s="15" t="s">
        <v>479</v>
      </c>
      <c r="G3078" s="46" t="s">
        <v>444</v>
      </c>
      <c r="H3078" s="47" t="s">
        <v>445</v>
      </c>
      <c r="I3078" s="48" t="s">
        <v>19</v>
      </c>
      <c r="J3078" s="49">
        <v>1.5122381E7</v>
      </c>
    </row>
    <row r="3079">
      <c r="A3079" s="45" t="s">
        <v>74</v>
      </c>
      <c r="B3079" s="16" t="s">
        <v>170</v>
      </c>
      <c r="C3079" s="17" t="s">
        <v>171</v>
      </c>
      <c r="D3079" s="15">
        <v>5.0</v>
      </c>
      <c r="E3079" s="17" t="s">
        <v>524</v>
      </c>
      <c r="F3079" s="15" t="s">
        <v>479</v>
      </c>
      <c r="G3079" s="46" t="s">
        <v>579</v>
      </c>
      <c r="H3079" s="47" t="s">
        <v>580</v>
      </c>
      <c r="I3079" s="48" t="s">
        <v>19</v>
      </c>
      <c r="J3079" s="49">
        <v>1.0622167E7</v>
      </c>
    </row>
    <row r="3080">
      <c r="A3080" s="45" t="s">
        <v>74</v>
      </c>
      <c r="B3080" s="16" t="s">
        <v>170</v>
      </c>
      <c r="C3080" s="17" t="s">
        <v>171</v>
      </c>
      <c r="D3080" s="15">
        <v>5.0</v>
      </c>
      <c r="E3080" s="17" t="s">
        <v>524</v>
      </c>
      <c r="F3080" s="15" t="s">
        <v>479</v>
      </c>
      <c r="G3080" s="46" t="s">
        <v>446</v>
      </c>
      <c r="H3080" s="47" t="s">
        <v>447</v>
      </c>
      <c r="I3080" s="48" t="s">
        <v>19</v>
      </c>
      <c r="J3080" s="49">
        <v>1068375.0</v>
      </c>
    </row>
    <row r="3081">
      <c r="A3081" s="45" t="s">
        <v>74</v>
      </c>
      <c r="B3081" s="16" t="s">
        <v>170</v>
      </c>
      <c r="C3081" s="17" t="s">
        <v>171</v>
      </c>
      <c r="D3081" s="15">
        <v>5.0</v>
      </c>
      <c r="E3081" s="17" t="s">
        <v>524</v>
      </c>
      <c r="F3081" s="15" t="s">
        <v>479</v>
      </c>
      <c r="G3081" s="46" t="s">
        <v>448</v>
      </c>
      <c r="H3081" s="47" t="s">
        <v>449</v>
      </c>
      <c r="I3081" s="48" t="s">
        <v>19</v>
      </c>
      <c r="J3081" s="49">
        <v>2305617.0</v>
      </c>
    </row>
    <row r="3082">
      <c r="A3082" s="45" t="s">
        <v>74</v>
      </c>
      <c r="B3082" s="16" t="s">
        <v>170</v>
      </c>
      <c r="C3082" s="17" t="s">
        <v>171</v>
      </c>
      <c r="D3082" s="15">
        <v>5.0</v>
      </c>
      <c r="E3082" s="17" t="s">
        <v>524</v>
      </c>
      <c r="F3082" s="15" t="s">
        <v>479</v>
      </c>
      <c r="G3082" s="46" t="s">
        <v>450</v>
      </c>
      <c r="H3082" s="47" t="s">
        <v>451</v>
      </c>
      <c r="I3082" s="48" t="s">
        <v>19</v>
      </c>
      <c r="J3082" s="49">
        <v>0.0</v>
      </c>
    </row>
    <row r="3083">
      <c r="A3083" s="45" t="s">
        <v>74</v>
      </c>
      <c r="B3083" s="16" t="s">
        <v>170</v>
      </c>
      <c r="C3083" s="17" t="s">
        <v>171</v>
      </c>
      <c r="D3083" s="15">
        <v>5.0</v>
      </c>
      <c r="E3083" s="17" t="s">
        <v>524</v>
      </c>
      <c r="F3083" s="15" t="s">
        <v>479</v>
      </c>
      <c r="G3083" s="46" t="s">
        <v>452</v>
      </c>
      <c r="H3083" s="47" t="s">
        <v>453</v>
      </c>
      <c r="I3083" s="48" t="s">
        <v>19</v>
      </c>
      <c r="J3083" s="49">
        <v>2014537.0</v>
      </c>
    </row>
    <row r="3084">
      <c r="A3084" s="45" t="s">
        <v>74</v>
      </c>
      <c r="B3084" s="16" t="s">
        <v>170</v>
      </c>
      <c r="C3084" s="17" t="s">
        <v>171</v>
      </c>
      <c r="D3084" s="15">
        <v>5.0</v>
      </c>
      <c r="E3084" s="17" t="s">
        <v>524</v>
      </c>
      <c r="F3084" s="15" t="s">
        <v>479</v>
      </c>
      <c r="G3084" s="46" t="s">
        <v>454</v>
      </c>
      <c r="H3084" s="47" t="s">
        <v>415</v>
      </c>
      <c r="I3084" s="48" t="s">
        <v>19</v>
      </c>
      <c r="J3084" s="49">
        <v>294014.0</v>
      </c>
    </row>
    <row r="3085">
      <c r="A3085" s="45" t="s">
        <v>74</v>
      </c>
      <c r="B3085" s="16" t="s">
        <v>170</v>
      </c>
      <c r="C3085" s="17" t="s">
        <v>171</v>
      </c>
      <c r="D3085" s="15">
        <v>5.0</v>
      </c>
      <c r="E3085" s="17" t="s">
        <v>524</v>
      </c>
      <c r="F3085" s="15" t="s">
        <v>479</v>
      </c>
      <c r="G3085" s="46" t="s">
        <v>455</v>
      </c>
      <c r="H3085" s="47" t="s">
        <v>415</v>
      </c>
      <c r="I3085" s="48" t="s">
        <v>19</v>
      </c>
      <c r="J3085" s="49">
        <v>163339.0</v>
      </c>
    </row>
    <row r="3086">
      <c r="A3086" s="45" t="s">
        <v>74</v>
      </c>
      <c r="B3086" s="16" t="s">
        <v>170</v>
      </c>
      <c r="C3086" s="17" t="s">
        <v>171</v>
      </c>
      <c r="D3086" s="15">
        <v>5.0</v>
      </c>
      <c r="E3086" s="17" t="s">
        <v>524</v>
      </c>
      <c r="F3086" s="15" t="s">
        <v>479</v>
      </c>
      <c r="G3086" s="46" t="s">
        <v>583</v>
      </c>
      <c r="H3086" s="47" t="s">
        <v>584</v>
      </c>
      <c r="I3086" s="48" t="s">
        <v>25</v>
      </c>
      <c r="J3086" s="49">
        <v>2.1E7</v>
      </c>
    </row>
    <row r="3087">
      <c r="A3087" s="45" t="s">
        <v>74</v>
      </c>
      <c r="B3087" s="16" t="s">
        <v>170</v>
      </c>
      <c r="C3087" s="17" t="s">
        <v>171</v>
      </c>
      <c r="D3087" s="15">
        <v>5.0</v>
      </c>
      <c r="E3087" s="17" t="s">
        <v>525</v>
      </c>
      <c r="F3087" s="15" t="s">
        <v>502</v>
      </c>
      <c r="G3087" s="46" t="s">
        <v>526</v>
      </c>
      <c r="H3087" s="47" t="s">
        <v>527</v>
      </c>
      <c r="I3087" s="48" t="s">
        <v>60</v>
      </c>
      <c r="J3087" s="49">
        <v>1.59424701E8</v>
      </c>
    </row>
    <row r="3088">
      <c r="A3088" s="45" t="s">
        <v>74</v>
      </c>
      <c r="B3088" s="16" t="s">
        <v>170</v>
      </c>
      <c r="C3088" s="17" t="s">
        <v>171</v>
      </c>
      <c r="D3088" s="15">
        <v>5.0</v>
      </c>
      <c r="E3088" s="17" t="s">
        <v>525</v>
      </c>
      <c r="F3088" s="15" t="s">
        <v>502</v>
      </c>
      <c r="G3088" s="46" t="s">
        <v>539</v>
      </c>
      <c r="H3088" s="47" t="s">
        <v>540</v>
      </c>
      <c r="I3088" s="48" t="s">
        <v>60</v>
      </c>
      <c r="J3088" s="49">
        <v>1783056.0</v>
      </c>
    </row>
    <row r="3089">
      <c r="A3089" s="45" t="s">
        <v>74</v>
      </c>
      <c r="B3089" s="16" t="s">
        <v>170</v>
      </c>
      <c r="C3089" s="17" t="s">
        <v>171</v>
      </c>
      <c r="D3089" s="15">
        <v>5.0</v>
      </c>
      <c r="E3089" s="17" t="s">
        <v>525</v>
      </c>
      <c r="F3089" s="15" t="s">
        <v>502</v>
      </c>
      <c r="G3089" s="46" t="s">
        <v>505</v>
      </c>
      <c r="H3089" s="47" t="s">
        <v>506</v>
      </c>
      <c r="I3089" s="48" t="s">
        <v>60</v>
      </c>
      <c r="J3089" s="49">
        <v>9086495.0</v>
      </c>
    </row>
    <row r="3090">
      <c r="A3090" s="45" t="s">
        <v>74</v>
      </c>
      <c r="B3090" s="16" t="s">
        <v>170</v>
      </c>
      <c r="C3090" s="17" t="s">
        <v>171</v>
      </c>
      <c r="D3090" s="15">
        <v>5.0</v>
      </c>
      <c r="E3090" s="17" t="s">
        <v>525</v>
      </c>
      <c r="F3090" s="15" t="s">
        <v>502</v>
      </c>
      <c r="G3090" s="46" t="s">
        <v>507</v>
      </c>
      <c r="H3090" s="47" t="s">
        <v>508</v>
      </c>
      <c r="I3090" s="48" t="s">
        <v>60</v>
      </c>
      <c r="J3090" s="49">
        <v>9548647.0</v>
      </c>
    </row>
    <row r="3091">
      <c r="A3091" s="45" t="s">
        <v>74</v>
      </c>
      <c r="B3091" s="16" t="s">
        <v>170</v>
      </c>
      <c r="C3091" s="17" t="s">
        <v>171</v>
      </c>
      <c r="D3091" s="15">
        <v>5.0</v>
      </c>
      <c r="E3091" s="17" t="s">
        <v>525</v>
      </c>
      <c r="F3091" s="15" t="s">
        <v>502</v>
      </c>
      <c r="G3091" s="46" t="s">
        <v>509</v>
      </c>
      <c r="H3091" s="47" t="s">
        <v>510</v>
      </c>
      <c r="I3091" s="48" t="s">
        <v>60</v>
      </c>
      <c r="J3091" s="49">
        <v>1233334.0</v>
      </c>
    </row>
    <row r="3092">
      <c r="A3092" s="45" t="s">
        <v>74</v>
      </c>
      <c r="B3092" s="16" t="s">
        <v>170</v>
      </c>
      <c r="C3092" s="17" t="s">
        <v>171</v>
      </c>
      <c r="D3092" s="15">
        <v>5.0</v>
      </c>
      <c r="E3092" s="17" t="s">
        <v>525</v>
      </c>
      <c r="F3092" s="15" t="s">
        <v>502</v>
      </c>
      <c r="G3092" s="46" t="s">
        <v>511</v>
      </c>
      <c r="H3092" s="47" t="s">
        <v>512</v>
      </c>
      <c r="I3092" s="48" t="s">
        <v>60</v>
      </c>
      <c r="J3092" s="49">
        <v>6.7843733E7</v>
      </c>
    </row>
    <row r="3093">
      <c r="A3093" s="45" t="s">
        <v>74</v>
      </c>
      <c r="B3093" s="16" t="s">
        <v>170</v>
      </c>
      <c r="C3093" s="17" t="s">
        <v>171</v>
      </c>
      <c r="D3093" s="15">
        <v>5.0</v>
      </c>
      <c r="E3093" s="17" t="s">
        <v>525</v>
      </c>
      <c r="F3093" s="15" t="s">
        <v>502</v>
      </c>
      <c r="G3093" s="46" t="s">
        <v>513</v>
      </c>
      <c r="H3093" s="47" t="s">
        <v>514</v>
      </c>
      <c r="I3093" s="48" t="s">
        <v>60</v>
      </c>
      <c r="J3093" s="49">
        <v>1.1632717E7</v>
      </c>
    </row>
    <row r="3094">
      <c r="A3094" s="45" t="s">
        <v>74</v>
      </c>
      <c r="B3094" s="16" t="s">
        <v>12</v>
      </c>
      <c r="C3094" s="17" t="s">
        <v>13</v>
      </c>
      <c r="D3094" s="15">
        <v>5.0</v>
      </c>
      <c r="E3094" s="17" t="s">
        <v>456</v>
      </c>
      <c r="F3094" s="15" t="s">
        <v>457</v>
      </c>
      <c r="G3094" s="46" t="s">
        <v>579</v>
      </c>
      <c r="H3094" s="47" t="s">
        <v>580</v>
      </c>
      <c r="I3094" s="48" t="s">
        <v>19</v>
      </c>
      <c r="J3094" s="49">
        <v>2136454.0</v>
      </c>
    </row>
    <row r="3095">
      <c r="A3095" s="45" t="s">
        <v>74</v>
      </c>
      <c r="B3095" s="16" t="s">
        <v>12</v>
      </c>
      <c r="C3095" s="17" t="s">
        <v>13</v>
      </c>
      <c r="D3095" s="15">
        <v>5.0</v>
      </c>
      <c r="E3095" s="17" t="s">
        <v>473</v>
      </c>
      <c r="F3095" s="15" t="s">
        <v>474</v>
      </c>
      <c r="G3095" s="46" t="s">
        <v>523</v>
      </c>
      <c r="H3095" s="47" t="s">
        <v>431</v>
      </c>
      <c r="I3095" s="48" t="s">
        <v>25</v>
      </c>
      <c r="J3095" s="49">
        <v>1.0E7</v>
      </c>
    </row>
    <row r="3096">
      <c r="A3096" s="45" t="s">
        <v>74</v>
      </c>
      <c r="B3096" s="16" t="s">
        <v>12</v>
      </c>
      <c r="C3096" s="17" t="s">
        <v>13</v>
      </c>
      <c r="D3096" s="15">
        <v>5.0</v>
      </c>
      <c r="E3096" s="17" t="s">
        <v>491</v>
      </c>
      <c r="F3096" s="15" t="s">
        <v>492</v>
      </c>
      <c r="G3096" s="46" t="s">
        <v>493</v>
      </c>
      <c r="H3096" s="47" t="s">
        <v>437</v>
      </c>
      <c r="I3096" s="48" t="s">
        <v>25</v>
      </c>
      <c r="J3096" s="49">
        <v>550000.0</v>
      </c>
    </row>
    <row r="3097">
      <c r="A3097" s="45" t="s">
        <v>74</v>
      </c>
      <c r="B3097" s="16" t="s">
        <v>12</v>
      </c>
      <c r="C3097" s="17" t="s">
        <v>13</v>
      </c>
      <c r="D3097" s="15">
        <v>5.0</v>
      </c>
      <c r="E3097" s="17" t="s">
        <v>475</v>
      </c>
      <c r="F3097" s="15" t="s">
        <v>476</v>
      </c>
      <c r="G3097" s="46" t="s">
        <v>554</v>
      </c>
      <c r="H3097" s="47" t="s">
        <v>555</v>
      </c>
      <c r="I3097" s="48" t="s">
        <v>17</v>
      </c>
      <c r="J3097" s="49">
        <v>2341136.0</v>
      </c>
    </row>
    <row r="3098">
      <c r="A3098" s="45" t="s">
        <v>74</v>
      </c>
      <c r="B3098" s="16" t="s">
        <v>12</v>
      </c>
      <c r="C3098" s="17" t="s">
        <v>13</v>
      </c>
      <c r="D3098" s="15">
        <v>5.0</v>
      </c>
      <c r="E3098" s="17" t="s">
        <v>475</v>
      </c>
      <c r="F3098" s="15" t="s">
        <v>476</v>
      </c>
      <c r="G3098" s="46" t="s">
        <v>498</v>
      </c>
      <c r="H3098" s="47" t="s">
        <v>434</v>
      </c>
      <c r="I3098" s="48" t="s">
        <v>25</v>
      </c>
      <c r="J3098" s="49">
        <v>3440000.0</v>
      </c>
    </row>
    <row r="3099">
      <c r="A3099" s="45" t="s">
        <v>74</v>
      </c>
      <c r="B3099" s="16" t="s">
        <v>12</v>
      </c>
      <c r="C3099" s="17" t="s">
        <v>13</v>
      </c>
      <c r="D3099" s="15">
        <v>5.0</v>
      </c>
      <c r="E3099" s="17" t="s">
        <v>475</v>
      </c>
      <c r="F3099" s="15" t="s">
        <v>476</v>
      </c>
      <c r="G3099" s="46" t="s">
        <v>477</v>
      </c>
      <c r="H3099" s="47" t="s">
        <v>429</v>
      </c>
      <c r="I3099" s="48" t="s">
        <v>50</v>
      </c>
      <c r="J3099" s="49">
        <v>3915202.0</v>
      </c>
    </row>
    <row r="3100">
      <c r="A3100" s="45" t="s">
        <v>74</v>
      </c>
      <c r="B3100" s="16" t="s">
        <v>12</v>
      </c>
      <c r="C3100" s="17" t="s">
        <v>13</v>
      </c>
      <c r="D3100" s="15">
        <v>5.0</v>
      </c>
      <c r="E3100" s="17" t="s">
        <v>525</v>
      </c>
      <c r="F3100" s="15" t="s">
        <v>502</v>
      </c>
      <c r="G3100" s="46" t="s">
        <v>526</v>
      </c>
      <c r="H3100" s="47" t="s">
        <v>527</v>
      </c>
      <c r="I3100" s="48" t="s">
        <v>60</v>
      </c>
      <c r="J3100" s="49">
        <v>461295.0</v>
      </c>
    </row>
    <row r="3101">
      <c r="A3101" s="45" t="s">
        <v>74</v>
      </c>
      <c r="B3101" s="16" t="s">
        <v>12</v>
      </c>
      <c r="C3101" s="17" t="s">
        <v>13</v>
      </c>
      <c r="D3101" s="15">
        <v>5.0</v>
      </c>
      <c r="E3101" s="17" t="s">
        <v>525</v>
      </c>
      <c r="F3101" s="15" t="s">
        <v>502</v>
      </c>
      <c r="G3101" s="46" t="s">
        <v>505</v>
      </c>
      <c r="H3101" s="47" t="s">
        <v>506</v>
      </c>
      <c r="I3101" s="48" t="s">
        <v>60</v>
      </c>
      <c r="J3101" s="49">
        <v>1107529.0</v>
      </c>
    </row>
    <row r="3102">
      <c r="A3102" s="45" t="s">
        <v>74</v>
      </c>
      <c r="B3102" s="16" t="s">
        <v>12</v>
      </c>
      <c r="C3102" s="17" t="s">
        <v>13</v>
      </c>
      <c r="D3102" s="15">
        <v>5.0</v>
      </c>
      <c r="E3102" s="17" t="s">
        <v>525</v>
      </c>
      <c r="F3102" s="15" t="s">
        <v>502</v>
      </c>
      <c r="G3102" s="46" t="s">
        <v>507</v>
      </c>
      <c r="H3102" s="47" t="s">
        <v>508</v>
      </c>
      <c r="I3102" s="48" t="s">
        <v>60</v>
      </c>
      <c r="J3102" s="49">
        <v>141851.0</v>
      </c>
    </row>
    <row r="3103">
      <c r="A3103" s="45" t="s">
        <v>74</v>
      </c>
      <c r="B3103" s="16" t="s">
        <v>12</v>
      </c>
      <c r="C3103" s="17" t="s">
        <v>13</v>
      </c>
      <c r="D3103" s="15">
        <v>5.0</v>
      </c>
      <c r="E3103" s="17" t="s">
        <v>525</v>
      </c>
      <c r="F3103" s="15" t="s">
        <v>502</v>
      </c>
      <c r="G3103" s="46" t="s">
        <v>511</v>
      </c>
      <c r="H3103" s="47" t="s">
        <v>512</v>
      </c>
      <c r="I3103" s="48" t="s">
        <v>60</v>
      </c>
      <c r="J3103" s="49">
        <v>8396383.0</v>
      </c>
    </row>
    <row r="3104">
      <c r="A3104" s="45" t="s">
        <v>74</v>
      </c>
      <c r="B3104" s="16" t="s">
        <v>12</v>
      </c>
      <c r="C3104" s="17" t="s">
        <v>13</v>
      </c>
      <c r="D3104" s="15">
        <v>5.0</v>
      </c>
      <c r="E3104" s="17" t="s">
        <v>525</v>
      </c>
      <c r="F3104" s="15" t="s">
        <v>502</v>
      </c>
      <c r="G3104" s="46" t="s">
        <v>513</v>
      </c>
      <c r="H3104" s="47" t="s">
        <v>514</v>
      </c>
      <c r="I3104" s="48" t="s">
        <v>60</v>
      </c>
      <c r="J3104" s="49">
        <v>2915925.0</v>
      </c>
    </row>
    <row r="3105">
      <c r="A3105" s="45" t="s">
        <v>74</v>
      </c>
      <c r="B3105" s="16" t="s">
        <v>12</v>
      </c>
      <c r="C3105" s="17" t="s">
        <v>13</v>
      </c>
      <c r="D3105" s="15">
        <v>5.0</v>
      </c>
      <c r="E3105" s="17" t="s">
        <v>501</v>
      </c>
      <c r="F3105" s="15" t="s">
        <v>502</v>
      </c>
      <c r="G3105" s="46" t="s">
        <v>503</v>
      </c>
      <c r="H3105" s="47" t="s">
        <v>504</v>
      </c>
      <c r="I3105" s="48" t="s">
        <v>60</v>
      </c>
      <c r="J3105" s="49">
        <v>1.53430139E8</v>
      </c>
    </row>
    <row r="3106">
      <c r="A3106" s="45" t="s">
        <v>74</v>
      </c>
      <c r="B3106" s="16" t="s">
        <v>187</v>
      </c>
      <c r="C3106" s="17" t="s">
        <v>188</v>
      </c>
      <c r="D3106" s="15">
        <v>5.0</v>
      </c>
      <c r="E3106" s="17" t="s">
        <v>441</v>
      </c>
      <c r="F3106" s="15" t="s">
        <v>442</v>
      </c>
      <c r="G3106" s="46" t="s">
        <v>443</v>
      </c>
      <c r="H3106" s="47" t="s">
        <v>420</v>
      </c>
      <c r="I3106" s="48" t="s">
        <v>19</v>
      </c>
      <c r="J3106" s="49">
        <v>2.2584968E7</v>
      </c>
    </row>
    <row r="3107">
      <c r="A3107" s="45" t="s">
        <v>74</v>
      </c>
      <c r="B3107" s="16" t="s">
        <v>187</v>
      </c>
      <c r="C3107" s="17" t="s">
        <v>188</v>
      </c>
      <c r="D3107" s="15">
        <v>5.0</v>
      </c>
      <c r="E3107" s="17" t="s">
        <v>441</v>
      </c>
      <c r="F3107" s="15" t="s">
        <v>442</v>
      </c>
      <c r="G3107" s="46" t="s">
        <v>444</v>
      </c>
      <c r="H3107" s="47" t="s">
        <v>445</v>
      </c>
      <c r="I3107" s="48" t="s">
        <v>19</v>
      </c>
      <c r="J3107" s="49">
        <v>2935671.0</v>
      </c>
    </row>
    <row r="3108">
      <c r="A3108" s="45" t="s">
        <v>74</v>
      </c>
      <c r="B3108" s="16" t="s">
        <v>187</v>
      </c>
      <c r="C3108" s="17" t="s">
        <v>188</v>
      </c>
      <c r="D3108" s="15">
        <v>5.0</v>
      </c>
      <c r="E3108" s="17" t="s">
        <v>441</v>
      </c>
      <c r="F3108" s="15" t="s">
        <v>442</v>
      </c>
      <c r="G3108" s="46" t="s">
        <v>579</v>
      </c>
      <c r="H3108" s="47" t="s">
        <v>580</v>
      </c>
      <c r="I3108" s="48" t="s">
        <v>19</v>
      </c>
      <c r="J3108" s="49">
        <v>2329493.0</v>
      </c>
    </row>
    <row r="3109">
      <c r="A3109" s="45" t="s">
        <v>74</v>
      </c>
      <c r="B3109" s="16" t="s">
        <v>187</v>
      </c>
      <c r="C3109" s="17" t="s">
        <v>188</v>
      </c>
      <c r="D3109" s="15">
        <v>5.0</v>
      </c>
      <c r="E3109" s="17" t="s">
        <v>441</v>
      </c>
      <c r="F3109" s="15" t="s">
        <v>442</v>
      </c>
      <c r="G3109" s="46" t="s">
        <v>446</v>
      </c>
      <c r="H3109" s="47" t="s">
        <v>447</v>
      </c>
      <c r="I3109" s="48" t="s">
        <v>19</v>
      </c>
      <c r="J3109" s="49">
        <v>286785.0</v>
      </c>
    </row>
    <row r="3110">
      <c r="A3110" s="45" t="s">
        <v>74</v>
      </c>
      <c r="B3110" s="16" t="s">
        <v>187</v>
      </c>
      <c r="C3110" s="17" t="s">
        <v>188</v>
      </c>
      <c r="D3110" s="15">
        <v>5.0</v>
      </c>
      <c r="E3110" s="17" t="s">
        <v>441</v>
      </c>
      <c r="F3110" s="15" t="s">
        <v>442</v>
      </c>
      <c r="G3110" s="46" t="s">
        <v>448</v>
      </c>
      <c r="H3110" s="47" t="s">
        <v>449</v>
      </c>
      <c r="I3110" s="48" t="s">
        <v>19</v>
      </c>
      <c r="J3110" s="49">
        <v>618019.0</v>
      </c>
    </row>
    <row r="3111">
      <c r="A3111" s="45" t="s">
        <v>74</v>
      </c>
      <c r="B3111" s="16" t="s">
        <v>187</v>
      </c>
      <c r="C3111" s="17" t="s">
        <v>188</v>
      </c>
      <c r="D3111" s="15">
        <v>5.0</v>
      </c>
      <c r="E3111" s="17" t="s">
        <v>441</v>
      </c>
      <c r="F3111" s="15" t="s">
        <v>442</v>
      </c>
      <c r="G3111" s="46" t="s">
        <v>450</v>
      </c>
      <c r="H3111" s="47" t="s">
        <v>451</v>
      </c>
      <c r="I3111" s="48" t="s">
        <v>19</v>
      </c>
      <c r="J3111" s="49">
        <v>0.0</v>
      </c>
    </row>
    <row r="3112">
      <c r="A3112" s="45" t="s">
        <v>74</v>
      </c>
      <c r="B3112" s="16" t="s">
        <v>187</v>
      </c>
      <c r="C3112" s="17" t="s">
        <v>188</v>
      </c>
      <c r="D3112" s="15">
        <v>5.0</v>
      </c>
      <c r="E3112" s="17" t="s">
        <v>441</v>
      </c>
      <c r="F3112" s="15" t="s">
        <v>442</v>
      </c>
      <c r="G3112" s="46" t="s">
        <v>452</v>
      </c>
      <c r="H3112" s="47" t="s">
        <v>453</v>
      </c>
      <c r="I3112" s="48" t="s">
        <v>19</v>
      </c>
      <c r="J3112" s="49">
        <v>530553.0</v>
      </c>
    </row>
    <row r="3113">
      <c r="A3113" s="45" t="s">
        <v>74</v>
      </c>
      <c r="B3113" s="16" t="s">
        <v>187</v>
      </c>
      <c r="C3113" s="17" t="s">
        <v>188</v>
      </c>
      <c r="D3113" s="15">
        <v>5.0</v>
      </c>
      <c r="E3113" s="17" t="s">
        <v>441</v>
      </c>
      <c r="F3113" s="15" t="s">
        <v>442</v>
      </c>
      <c r="G3113" s="46" t="s">
        <v>454</v>
      </c>
      <c r="H3113" s="47" t="s">
        <v>415</v>
      </c>
      <c r="I3113" s="48" t="s">
        <v>19</v>
      </c>
      <c r="J3113" s="49">
        <v>77432.0</v>
      </c>
    </row>
    <row r="3114">
      <c r="A3114" s="45" t="s">
        <v>74</v>
      </c>
      <c r="B3114" s="16" t="s">
        <v>187</v>
      </c>
      <c r="C3114" s="17" t="s">
        <v>188</v>
      </c>
      <c r="D3114" s="15">
        <v>5.0</v>
      </c>
      <c r="E3114" s="17" t="s">
        <v>441</v>
      </c>
      <c r="F3114" s="15" t="s">
        <v>442</v>
      </c>
      <c r="G3114" s="46" t="s">
        <v>455</v>
      </c>
      <c r="H3114" s="47" t="s">
        <v>415</v>
      </c>
      <c r="I3114" s="48" t="s">
        <v>19</v>
      </c>
      <c r="J3114" s="49">
        <v>43017.0</v>
      </c>
    </row>
    <row r="3115">
      <c r="A3115" s="45" t="s">
        <v>74</v>
      </c>
      <c r="B3115" s="16" t="s">
        <v>187</v>
      </c>
      <c r="C3115" s="17" t="s">
        <v>188</v>
      </c>
      <c r="D3115" s="15">
        <v>5.0</v>
      </c>
      <c r="E3115" s="17" t="s">
        <v>441</v>
      </c>
      <c r="F3115" s="15" t="s">
        <v>442</v>
      </c>
      <c r="G3115" s="46" t="s">
        <v>583</v>
      </c>
      <c r="H3115" s="47" t="s">
        <v>584</v>
      </c>
      <c r="I3115" s="48" t="s">
        <v>25</v>
      </c>
      <c r="J3115" s="49">
        <v>6000000.0</v>
      </c>
    </row>
    <row r="3116">
      <c r="A3116" s="45" t="s">
        <v>74</v>
      </c>
      <c r="B3116" s="16" t="s">
        <v>187</v>
      </c>
      <c r="C3116" s="17" t="s">
        <v>188</v>
      </c>
      <c r="D3116" s="15">
        <v>5.0</v>
      </c>
      <c r="E3116" s="17" t="s">
        <v>456</v>
      </c>
      <c r="F3116" s="15" t="s">
        <v>457</v>
      </c>
      <c r="G3116" s="46" t="s">
        <v>515</v>
      </c>
      <c r="H3116" s="47" t="s">
        <v>413</v>
      </c>
      <c r="I3116" s="48" t="s">
        <v>19</v>
      </c>
      <c r="J3116" s="49">
        <v>4200000.0</v>
      </c>
    </row>
    <row r="3117">
      <c r="A3117" s="45" t="s">
        <v>74</v>
      </c>
      <c r="B3117" s="16" t="s">
        <v>187</v>
      </c>
      <c r="C3117" s="17" t="s">
        <v>188</v>
      </c>
      <c r="D3117" s="15">
        <v>5.0</v>
      </c>
      <c r="E3117" s="17" t="s">
        <v>456</v>
      </c>
      <c r="F3117" s="15" t="s">
        <v>457</v>
      </c>
      <c r="G3117" s="46" t="s">
        <v>579</v>
      </c>
      <c r="H3117" s="47" t="s">
        <v>580</v>
      </c>
      <c r="I3117" s="48" t="s">
        <v>19</v>
      </c>
      <c r="J3117" s="49">
        <v>433336.0</v>
      </c>
    </row>
    <row r="3118">
      <c r="A3118" s="45" t="s">
        <v>74</v>
      </c>
      <c r="B3118" s="16" t="s">
        <v>187</v>
      </c>
      <c r="C3118" s="17" t="s">
        <v>188</v>
      </c>
      <c r="D3118" s="15">
        <v>5.0</v>
      </c>
      <c r="E3118" s="17" t="s">
        <v>456</v>
      </c>
      <c r="F3118" s="15" t="s">
        <v>457</v>
      </c>
      <c r="G3118" s="46" t="s">
        <v>458</v>
      </c>
      <c r="H3118" s="47" t="s">
        <v>411</v>
      </c>
      <c r="I3118" s="48" t="s">
        <v>19</v>
      </c>
      <c r="J3118" s="49">
        <v>2.55327639E8</v>
      </c>
    </row>
    <row r="3119">
      <c r="A3119" s="45" t="s">
        <v>74</v>
      </c>
      <c r="B3119" s="16" t="s">
        <v>187</v>
      </c>
      <c r="C3119" s="17" t="s">
        <v>188</v>
      </c>
      <c r="D3119" s="15">
        <v>5.0</v>
      </c>
      <c r="E3119" s="17" t="s">
        <v>456</v>
      </c>
      <c r="F3119" s="15" t="s">
        <v>457</v>
      </c>
      <c r="G3119" s="46" t="s">
        <v>532</v>
      </c>
      <c r="H3119" s="47" t="s">
        <v>412</v>
      </c>
      <c r="I3119" s="48" t="s">
        <v>19</v>
      </c>
      <c r="J3119" s="49">
        <v>8187162.0</v>
      </c>
    </row>
    <row r="3120">
      <c r="A3120" s="45" t="s">
        <v>74</v>
      </c>
      <c r="B3120" s="16" t="s">
        <v>187</v>
      </c>
      <c r="C3120" s="17" t="s">
        <v>188</v>
      </c>
      <c r="D3120" s="15">
        <v>5.0</v>
      </c>
      <c r="E3120" s="17" t="s">
        <v>459</v>
      </c>
      <c r="F3120" s="15" t="s">
        <v>460</v>
      </c>
      <c r="G3120" s="46" t="s">
        <v>461</v>
      </c>
      <c r="H3120" s="47" t="s">
        <v>462</v>
      </c>
      <c r="I3120" s="48" t="s">
        <v>25</v>
      </c>
      <c r="J3120" s="49">
        <v>2649040.0</v>
      </c>
    </row>
    <row r="3121">
      <c r="A3121" s="45" t="s">
        <v>74</v>
      </c>
      <c r="B3121" s="16" t="s">
        <v>187</v>
      </c>
      <c r="C3121" s="17" t="s">
        <v>188</v>
      </c>
      <c r="D3121" s="15">
        <v>5.0</v>
      </c>
      <c r="E3121" s="17" t="s">
        <v>459</v>
      </c>
      <c r="F3121" s="15" t="s">
        <v>460</v>
      </c>
      <c r="G3121" s="46" t="s">
        <v>458</v>
      </c>
      <c r="H3121" s="47" t="s">
        <v>411</v>
      </c>
      <c r="I3121" s="48" t="s">
        <v>19</v>
      </c>
      <c r="J3121" s="49">
        <v>7046594.0</v>
      </c>
    </row>
    <row r="3122">
      <c r="A3122" s="45" t="s">
        <v>74</v>
      </c>
      <c r="B3122" s="16" t="s">
        <v>187</v>
      </c>
      <c r="C3122" s="17" t="s">
        <v>188</v>
      </c>
      <c r="D3122" s="15">
        <v>5.0</v>
      </c>
      <c r="E3122" s="17" t="s">
        <v>463</v>
      </c>
      <c r="F3122" s="15" t="s">
        <v>464</v>
      </c>
      <c r="G3122" s="46" t="s">
        <v>465</v>
      </c>
      <c r="H3122" s="47" t="s">
        <v>466</v>
      </c>
      <c r="I3122" s="48" t="s">
        <v>25</v>
      </c>
      <c r="J3122" s="49">
        <v>2581026.0</v>
      </c>
    </row>
    <row r="3123">
      <c r="A3123" s="45" t="s">
        <v>74</v>
      </c>
      <c r="B3123" s="16" t="s">
        <v>187</v>
      </c>
      <c r="C3123" s="17" t="s">
        <v>188</v>
      </c>
      <c r="D3123" s="15">
        <v>5.0</v>
      </c>
      <c r="E3123" s="17" t="s">
        <v>463</v>
      </c>
      <c r="F3123" s="15" t="s">
        <v>464</v>
      </c>
      <c r="G3123" s="46" t="s">
        <v>467</v>
      </c>
      <c r="H3123" s="47" t="s">
        <v>468</v>
      </c>
      <c r="I3123" s="48" t="s">
        <v>25</v>
      </c>
      <c r="J3123" s="49">
        <v>325850.0</v>
      </c>
    </row>
    <row r="3124">
      <c r="A3124" s="45" t="s">
        <v>74</v>
      </c>
      <c r="B3124" s="16" t="s">
        <v>187</v>
      </c>
      <c r="C3124" s="17" t="s">
        <v>188</v>
      </c>
      <c r="D3124" s="15">
        <v>5.0</v>
      </c>
      <c r="E3124" s="17" t="s">
        <v>463</v>
      </c>
      <c r="F3124" s="15" t="s">
        <v>464</v>
      </c>
      <c r="G3124" s="46" t="s">
        <v>458</v>
      </c>
      <c r="H3124" s="47" t="s">
        <v>411</v>
      </c>
      <c r="I3124" s="48" t="s">
        <v>19</v>
      </c>
      <c r="J3124" s="49">
        <v>1.7942012E7</v>
      </c>
    </row>
    <row r="3125">
      <c r="A3125" s="45" t="s">
        <v>74</v>
      </c>
      <c r="B3125" s="16" t="s">
        <v>187</v>
      </c>
      <c r="C3125" s="17" t="s">
        <v>188</v>
      </c>
      <c r="D3125" s="15">
        <v>5.0</v>
      </c>
      <c r="E3125" s="17" t="s">
        <v>487</v>
      </c>
      <c r="F3125" s="15" t="s">
        <v>488</v>
      </c>
      <c r="G3125" s="46" t="s">
        <v>489</v>
      </c>
      <c r="H3125" s="47" t="s">
        <v>490</v>
      </c>
      <c r="I3125" s="48" t="s">
        <v>25</v>
      </c>
      <c r="J3125" s="49">
        <v>-7.87314E7</v>
      </c>
    </row>
    <row r="3126">
      <c r="A3126" s="45" t="s">
        <v>74</v>
      </c>
      <c r="B3126" s="16" t="s">
        <v>187</v>
      </c>
      <c r="C3126" s="17" t="s">
        <v>188</v>
      </c>
      <c r="D3126" s="15">
        <v>5.0</v>
      </c>
      <c r="E3126" s="17" t="s">
        <v>487</v>
      </c>
      <c r="F3126" s="15" t="s">
        <v>488</v>
      </c>
      <c r="G3126" s="46" t="s">
        <v>458</v>
      </c>
      <c r="H3126" s="47" t="s">
        <v>411</v>
      </c>
      <c r="I3126" s="48" t="s">
        <v>19</v>
      </c>
      <c r="J3126" s="49">
        <v>7532566.0</v>
      </c>
    </row>
    <row r="3127">
      <c r="A3127" s="45" t="s">
        <v>74</v>
      </c>
      <c r="B3127" s="16" t="s">
        <v>187</v>
      </c>
      <c r="C3127" s="17" t="s">
        <v>188</v>
      </c>
      <c r="D3127" s="15">
        <v>5.0</v>
      </c>
      <c r="E3127" s="17" t="s">
        <v>469</v>
      </c>
      <c r="F3127" s="15" t="s">
        <v>470</v>
      </c>
      <c r="G3127" s="46" t="s">
        <v>471</v>
      </c>
      <c r="H3127" s="47" t="s">
        <v>472</v>
      </c>
      <c r="I3127" s="48" t="s">
        <v>25</v>
      </c>
      <c r="J3127" s="49">
        <v>5780000.0</v>
      </c>
    </row>
    <row r="3128">
      <c r="A3128" s="45" t="s">
        <v>74</v>
      </c>
      <c r="B3128" s="16" t="s">
        <v>187</v>
      </c>
      <c r="C3128" s="17" t="s">
        <v>188</v>
      </c>
      <c r="D3128" s="15">
        <v>5.0</v>
      </c>
      <c r="E3128" s="17" t="s">
        <v>473</v>
      </c>
      <c r="F3128" s="15" t="s">
        <v>474</v>
      </c>
      <c r="G3128" s="46" t="s">
        <v>554</v>
      </c>
      <c r="H3128" s="47" t="s">
        <v>555</v>
      </c>
      <c r="I3128" s="48" t="s">
        <v>17</v>
      </c>
      <c r="J3128" s="49">
        <v>1265100.0</v>
      </c>
    </row>
    <row r="3129">
      <c r="A3129" s="45" t="s">
        <v>74</v>
      </c>
      <c r="B3129" s="16" t="s">
        <v>187</v>
      </c>
      <c r="C3129" s="17" t="s">
        <v>188</v>
      </c>
      <c r="D3129" s="15">
        <v>5.0</v>
      </c>
      <c r="E3129" s="17" t="s">
        <v>473</v>
      </c>
      <c r="F3129" s="15" t="s">
        <v>474</v>
      </c>
      <c r="G3129" s="46" t="s">
        <v>523</v>
      </c>
      <c r="H3129" s="47" t="s">
        <v>431</v>
      </c>
      <c r="I3129" s="48" t="s">
        <v>17</v>
      </c>
      <c r="J3129" s="49">
        <v>1.06986276E8</v>
      </c>
    </row>
    <row r="3130">
      <c r="A3130" s="45" t="s">
        <v>74</v>
      </c>
      <c r="B3130" s="16" t="s">
        <v>187</v>
      </c>
      <c r="C3130" s="17" t="s">
        <v>188</v>
      </c>
      <c r="D3130" s="15">
        <v>5.0</v>
      </c>
      <c r="E3130" s="17" t="s">
        <v>473</v>
      </c>
      <c r="F3130" s="15" t="s">
        <v>474</v>
      </c>
      <c r="G3130" s="46" t="s">
        <v>458</v>
      </c>
      <c r="H3130" s="47" t="s">
        <v>411</v>
      </c>
      <c r="I3130" s="48" t="s">
        <v>19</v>
      </c>
      <c r="J3130" s="49">
        <v>5.0176662E7</v>
      </c>
    </row>
    <row r="3131">
      <c r="A3131" s="45" t="s">
        <v>74</v>
      </c>
      <c r="B3131" s="16" t="s">
        <v>187</v>
      </c>
      <c r="C3131" s="17" t="s">
        <v>188</v>
      </c>
      <c r="D3131" s="15">
        <v>5.0</v>
      </c>
      <c r="E3131" s="17" t="s">
        <v>491</v>
      </c>
      <c r="F3131" s="15" t="s">
        <v>492</v>
      </c>
      <c r="G3131" s="46" t="s">
        <v>493</v>
      </c>
      <c r="H3131" s="47" t="s">
        <v>437</v>
      </c>
      <c r="I3131" s="48" t="s">
        <v>25</v>
      </c>
      <c r="J3131" s="49">
        <v>4532462.0</v>
      </c>
    </row>
    <row r="3132">
      <c r="A3132" s="45" t="s">
        <v>74</v>
      </c>
      <c r="B3132" s="16" t="s">
        <v>187</v>
      </c>
      <c r="C3132" s="17" t="s">
        <v>188</v>
      </c>
      <c r="D3132" s="15">
        <v>5.0</v>
      </c>
      <c r="E3132" s="17" t="s">
        <v>491</v>
      </c>
      <c r="F3132" s="15" t="s">
        <v>492</v>
      </c>
      <c r="G3132" s="46" t="s">
        <v>458</v>
      </c>
      <c r="H3132" s="47" t="s">
        <v>411</v>
      </c>
      <c r="I3132" s="48" t="s">
        <v>19</v>
      </c>
      <c r="J3132" s="49">
        <v>6074650.0</v>
      </c>
    </row>
    <row r="3133">
      <c r="A3133" s="45" t="s">
        <v>74</v>
      </c>
      <c r="B3133" s="16" t="s">
        <v>187</v>
      </c>
      <c r="C3133" s="17" t="s">
        <v>188</v>
      </c>
      <c r="D3133" s="15">
        <v>5.0</v>
      </c>
      <c r="E3133" s="17" t="s">
        <v>494</v>
      </c>
      <c r="F3133" s="15" t="s">
        <v>495</v>
      </c>
      <c r="G3133" s="46" t="s">
        <v>496</v>
      </c>
      <c r="H3133" s="47" t="s">
        <v>497</v>
      </c>
      <c r="I3133" s="48" t="s">
        <v>25</v>
      </c>
      <c r="J3133" s="49">
        <v>1251240.0</v>
      </c>
    </row>
    <row r="3134">
      <c r="A3134" s="45" t="s">
        <v>74</v>
      </c>
      <c r="B3134" s="16" t="s">
        <v>187</v>
      </c>
      <c r="C3134" s="17" t="s">
        <v>188</v>
      </c>
      <c r="D3134" s="15">
        <v>5.0</v>
      </c>
      <c r="E3134" s="17" t="s">
        <v>494</v>
      </c>
      <c r="F3134" s="15" t="s">
        <v>495</v>
      </c>
      <c r="G3134" s="46" t="s">
        <v>477</v>
      </c>
      <c r="H3134" s="47" t="s">
        <v>429</v>
      </c>
      <c r="I3134" s="48" t="s">
        <v>50</v>
      </c>
      <c r="J3134" s="49">
        <v>1.218121E7</v>
      </c>
    </row>
    <row r="3135">
      <c r="A3135" s="45" t="s">
        <v>74</v>
      </c>
      <c r="B3135" s="16" t="s">
        <v>187</v>
      </c>
      <c r="C3135" s="17" t="s">
        <v>188</v>
      </c>
      <c r="D3135" s="15">
        <v>5.0</v>
      </c>
      <c r="E3135" s="17" t="s">
        <v>475</v>
      </c>
      <c r="F3135" s="15" t="s">
        <v>476</v>
      </c>
      <c r="G3135" s="46" t="s">
        <v>498</v>
      </c>
      <c r="H3135" s="47" t="s">
        <v>434</v>
      </c>
      <c r="I3135" s="48" t="s">
        <v>25</v>
      </c>
      <c r="J3135" s="49">
        <v>7687000.0</v>
      </c>
    </row>
    <row r="3136">
      <c r="A3136" s="45" t="s">
        <v>74</v>
      </c>
      <c r="B3136" s="16" t="s">
        <v>187</v>
      </c>
      <c r="C3136" s="17" t="s">
        <v>188</v>
      </c>
      <c r="D3136" s="15">
        <v>5.0</v>
      </c>
      <c r="E3136" s="17" t="s">
        <v>475</v>
      </c>
      <c r="F3136" s="15" t="s">
        <v>476</v>
      </c>
      <c r="G3136" s="46" t="s">
        <v>477</v>
      </c>
      <c r="H3136" s="47" t="s">
        <v>429</v>
      </c>
      <c r="I3136" s="48" t="s">
        <v>50</v>
      </c>
      <c r="J3136" s="49">
        <v>1.16867107E8</v>
      </c>
    </row>
    <row r="3137">
      <c r="A3137" s="45" t="s">
        <v>74</v>
      </c>
      <c r="B3137" s="16" t="s">
        <v>187</v>
      </c>
      <c r="C3137" s="17" t="s">
        <v>188</v>
      </c>
      <c r="D3137" s="15">
        <v>5.0</v>
      </c>
      <c r="E3137" s="17" t="s">
        <v>524</v>
      </c>
      <c r="F3137" s="15" t="s">
        <v>479</v>
      </c>
      <c r="G3137" s="46" t="s">
        <v>443</v>
      </c>
      <c r="H3137" s="47" t="s">
        <v>420</v>
      </c>
      <c r="I3137" s="48" t="s">
        <v>19</v>
      </c>
      <c r="J3137" s="49">
        <v>7.6756358E7</v>
      </c>
    </row>
    <row r="3138">
      <c r="A3138" s="45" t="s">
        <v>74</v>
      </c>
      <c r="B3138" s="16" t="s">
        <v>187</v>
      </c>
      <c r="C3138" s="17" t="s">
        <v>188</v>
      </c>
      <c r="D3138" s="15">
        <v>5.0</v>
      </c>
      <c r="E3138" s="17" t="s">
        <v>524</v>
      </c>
      <c r="F3138" s="15" t="s">
        <v>479</v>
      </c>
      <c r="G3138" s="46" t="s">
        <v>444</v>
      </c>
      <c r="H3138" s="47" t="s">
        <v>445</v>
      </c>
      <c r="I3138" s="48" t="s">
        <v>19</v>
      </c>
      <c r="J3138" s="49">
        <v>1.1108148E7</v>
      </c>
    </row>
    <row r="3139">
      <c r="A3139" s="45" t="s">
        <v>74</v>
      </c>
      <c r="B3139" s="16" t="s">
        <v>187</v>
      </c>
      <c r="C3139" s="17" t="s">
        <v>188</v>
      </c>
      <c r="D3139" s="15">
        <v>5.0</v>
      </c>
      <c r="E3139" s="17" t="s">
        <v>524</v>
      </c>
      <c r="F3139" s="15" t="s">
        <v>479</v>
      </c>
      <c r="G3139" s="46" t="s">
        <v>579</v>
      </c>
      <c r="H3139" s="47" t="s">
        <v>580</v>
      </c>
      <c r="I3139" s="48" t="s">
        <v>19</v>
      </c>
      <c r="J3139" s="49">
        <v>8057418.0</v>
      </c>
    </row>
    <row r="3140">
      <c r="A3140" s="45" t="s">
        <v>74</v>
      </c>
      <c r="B3140" s="16" t="s">
        <v>187</v>
      </c>
      <c r="C3140" s="17" t="s">
        <v>188</v>
      </c>
      <c r="D3140" s="15">
        <v>5.0</v>
      </c>
      <c r="E3140" s="17" t="s">
        <v>524</v>
      </c>
      <c r="F3140" s="15" t="s">
        <v>479</v>
      </c>
      <c r="G3140" s="46" t="s">
        <v>446</v>
      </c>
      <c r="H3140" s="47" t="s">
        <v>447</v>
      </c>
      <c r="I3140" s="48" t="s">
        <v>19</v>
      </c>
      <c r="J3140" s="49">
        <v>975255.0</v>
      </c>
    </row>
    <row r="3141">
      <c r="A3141" s="45" t="s">
        <v>74</v>
      </c>
      <c r="B3141" s="16" t="s">
        <v>187</v>
      </c>
      <c r="C3141" s="17" t="s">
        <v>188</v>
      </c>
      <c r="D3141" s="15">
        <v>5.0</v>
      </c>
      <c r="E3141" s="17" t="s">
        <v>524</v>
      </c>
      <c r="F3141" s="15" t="s">
        <v>479</v>
      </c>
      <c r="G3141" s="46" t="s">
        <v>448</v>
      </c>
      <c r="H3141" s="47" t="s">
        <v>449</v>
      </c>
      <c r="I3141" s="48" t="s">
        <v>19</v>
      </c>
      <c r="J3141" s="49">
        <v>2101659.0</v>
      </c>
    </row>
    <row r="3142">
      <c r="A3142" s="45" t="s">
        <v>74</v>
      </c>
      <c r="B3142" s="16" t="s">
        <v>187</v>
      </c>
      <c r="C3142" s="17" t="s">
        <v>188</v>
      </c>
      <c r="D3142" s="15">
        <v>5.0</v>
      </c>
      <c r="E3142" s="17" t="s">
        <v>524</v>
      </c>
      <c r="F3142" s="15" t="s">
        <v>479</v>
      </c>
      <c r="G3142" s="46" t="s">
        <v>450</v>
      </c>
      <c r="H3142" s="47" t="s">
        <v>451</v>
      </c>
      <c r="I3142" s="48" t="s">
        <v>19</v>
      </c>
      <c r="J3142" s="49">
        <v>0.0</v>
      </c>
    </row>
    <row r="3143">
      <c r="A3143" s="45" t="s">
        <v>74</v>
      </c>
      <c r="B3143" s="16" t="s">
        <v>187</v>
      </c>
      <c r="C3143" s="17" t="s">
        <v>188</v>
      </c>
      <c r="D3143" s="15">
        <v>5.0</v>
      </c>
      <c r="E3143" s="17" t="s">
        <v>524</v>
      </c>
      <c r="F3143" s="15" t="s">
        <v>479</v>
      </c>
      <c r="G3143" s="46" t="s">
        <v>452</v>
      </c>
      <c r="H3143" s="47" t="s">
        <v>453</v>
      </c>
      <c r="I3143" s="48" t="s">
        <v>19</v>
      </c>
      <c r="J3143" s="49">
        <v>1804221.0</v>
      </c>
    </row>
    <row r="3144">
      <c r="A3144" s="45" t="s">
        <v>74</v>
      </c>
      <c r="B3144" s="16" t="s">
        <v>187</v>
      </c>
      <c r="C3144" s="17" t="s">
        <v>188</v>
      </c>
      <c r="D3144" s="15">
        <v>5.0</v>
      </c>
      <c r="E3144" s="17" t="s">
        <v>524</v>
      </c>
      <c r="F3144" s="15" t="s">
        <v>479</v>
      </c>
      <c r="G3144" s="46" t="s">
        <v>454</v>
      </c>
      <c r="H3144" s="47" t="s">
        <v>415</v>
      </c>
      <c r="I3144" s="48" t="s">
        <v>19</v>
      </c>
      <c r="J3144" s="49">
        <v>263318.0</v>
      </c>
    </row>
    <row r="3145">
      <c r="A3145" s="45" t="s">
        <v>74</v>
      </c>
      <c r="B3145" s="16" t="s">
        <v>187</v>
      </c>
      <c r="C3145" s="17" t="s">
        <v>188</v>
      </c>
      <c r="D3145" s="15">
        <v>5.0</v>
      </c>
      <c r="E3145" s="17" t="s">
        <v>524</v>
      </c>
      <c r="F3145" s="15" t="s">
        <v>479</v>
      </c>
      <c r="G3145" s="46" t="s">
        <v>455</v>
      </c>
      <c r="H3145" s="47" t="s">
        <v>415</v>
      </c>
      <c r="I3145" s="48" t="s">
        <v>19</v>
      </c>
      <c r="J3145" s="49">
        <v>146287.0</v>
      </c>
    </row>
    <row r="3146">
      <c r="A3146" s="45" t="s">
        <v>74</v>
      </c>
      <c r="B3146" s="16" t="s">
        <v>187</v>
      </c>
      <c r="C3146" s="17" t="s">
        <v>188</v>
      </c>
      <c r="D3146" s="15">
        <v>5.0</v>
      </c>
      <c r="E3146" s="17" t="s">
        <v>524</v>
      </c>
      <c r="F3146" s="15" t="s">
        <v>479</v>
      </c>
      <c r="G3146" s="46" t="s">
        <v>583</v>
      </c>
      <c r="H3146" s="47" t="s">
        <v>584</v>
      </c>
      <c r="I3146" s="48" t="s">
        <v>25</v>
      </c>
      <c r="J3146" s="49">
        <v>1.5E7</v>
      </c>
    </row>
    <row r="3147">
      <c r="A3147" s="45" t="s">
        <v>74</v>
      </c>
      <c r="B3147" s="16" t="s">
        <v>187</v>
      </c>
      <c r="C3147" s="17" t="s">
        <v>188</v>
      </c>
      <c r="D3147" s="15">
        <v>5.0</v>
      </c>
      <c r="E3147" s="17" t="s">
        <v>525</v>
      </c>
      <c r="F3147" s="15" t="s">
        <v>502</v>
      </c>
      <c r="G3147" s="46" t="s">
        <v>526</v>
      </c>
      <c r="H3147" s="47" t="s">
        <v>527</v>
      </c>
      <c r="I3147" s="48" t="s">
        <v>60</v>
      </c>
      <c r="J3147" s="49">
        <v>5.83050028E8</v>
      </c>
    </row>
    <row r="3148">
      <c r="A3148" s="45" t="s">
        <v>74</v>
      </c>
      <c r="B3148" s="16" t="s">
        <v>187</v>
      </c>
      <c r="C3148" s="17" t="s">
        <v>188</v>
      </c>
      <c r="D3148" s="15">
        <v>5.0</v>
      </c>
      <c r="E3148" s="17" t="s">
        <v>525</v>
      </c>
      <c r="F3148" s="15" t="s">
        <v>502</v>
      </c>
      <c r="G3148" s="46" t="s">
        <v>539</v>
      </c>
      <c r="H3148" s="47" t="s">
        <v>540</v>
      </c>
      <c r="I3148" s="48" t="s">
        <v>60</v>
      </c>
      <c r="J3148" s="49">
        <v>1.6730894E7</v>
      </c>
    </row>
    <row r="3149">
      <c r="A3149" s="45" t="s">
        <v>74</v>
      </c>
      <c r="B3149" s="16" t="s">
        <v>187</v>
      </c>
      <c r="C3149" s="17" t="s">
        <v>188</v>
      </c>
      <c r="D3149" s="15">
        <v>5.0</v>
      </c>
      <c r="E3149" s="17" t="s">
        <v>525</v>
      </c>
      <c r="F3149" s="15" t="s">
        <v>502</v>
      </c>
      <c r="G3149" s="46" t="s">
        <v>505</v>
      </c>
      <c r="H3149" s="47" t="s">
        <v>506</v>
      </c>
      <c r="I3149" s="48" t="s">
        <v>60</v>
      </c>
      <c r="J3149" s="49">
        <v>1036734.0</v>
      </c>
    </row>
    <row r="3150">
      <c r="A3150" s="45" t="s">
        <v>74</v>
      </c>
      <c r="B3150" s="16" t="s">
        <v>187</v>
      </c>
      <c r="C3150" s="17" t="s">
        <v>188</v>
      </c>
      <c r="D3150" s="15">
        <v>5.0</v>
      </c>
      <c r="E3150" s="17" t="s">
        <v>525</v>
      </c>
      <c r="F3150" s="15" t="s">
        <v>502</v>
      </c>
      <c r="G3150" s="46" t="s">
        <v>507</v>
      </c>
      <c r="H3150" s="47" t="s">
        <v>508</v>
      </c>
      <c r="I3150" s="48" t="s">
        <v>60</v>
      </c>
      <c r="J3150" s="49">
        <v>4131386.0</v>
      </c>
    </row>
    <row r="3151">
      <c r="A3151" s="45" t="s">
        <v>74</v>
      </c>
      <c r="B3151" s="16" t="s">
        <v>187</v>
      </c>
      <c r="C3151" s="17" t="s">
        <v>188</v>
      </c>
      <c r="D3151" s="15">
        <v>5.0</v>
      </c>
      <c r="E3151" s="17" t="s">
        <v>525</v>
      </c>
      <c r="F3151" s="15" t="s">
        <v>502</v>
      </c>
      <c r="G3151" s="46" t="s">
        <v>509</v>
      </c>
      <c r="H3151" s="47" t="s">
        <v>510</v>
      </c>
      <c r="I3151" s="48" t="s">
        <v>60</v>
      </c>
      <c r="J3151" s="49">
        <v>1528668.0</v>
      </c>
    </row>
    <row r="3152">
      <c r="A3152" s="45" t="s">
        <v>74</v>
      </c>
      <c r="B3152" s="16" t="s">
        <v>187</v>
      </c>
      <c r="C3152" s="17" t="s">
        <v>188</v>
      </c>
      <c r="D3152" s="15">
        <v>5.0</v>
      </c>
      <c r="E3152" s="17" t="s">
        <v>525</v>
      </c>
      <c r="F3152" s="15" t="s">
        <v>502</v>
      </c>
      <c r="G3152" s="46" t="s">
        <v>511</v>
      </c>
      <c r="H3152" s="47" t="s">
        <v>512</v>
      </c>
      <c r="I3152" s="48" t="s">
        <v>60</v>
      </c>
      <c r="J3152" s="49">
        <v>1.3167963E8</v>
      </c>
    </row>
    <row r="3153">
      <c r="A3153" s="45" t="s">
        <v>74</v>
      </c>
      <c r="B3153" s="16" t="s">
        <v>187</v>
      </c>
      <c r="C3153" s="17" t="s">
        <v>188</v>
      </c>
      <c r="D3153" s="15">
        <v>5.0</v>
      </c>
      <c r="E3153" s="17" t="s">
        <v>525</v>
      </c>
      <c r="F3153" s="15" t="s">
        <v>502</v>
      </c>
      <c r="G3153" s="46" t="s">
        <v>513</v>
      </c>
      <c r="H3153" s="47" t="s">
        <v>514</v>
      </c>
      <c r="I3153" s="48" t="s">
        <v>60</v>
      </c>
      <c r="J3153" s="49">
        <v>8468115.0</v>
      </c>
    </row>
    <row r="3154">
      <c r="A3154" s="45" t="s">
        <v>74</v>
      </c>
      <c r="B3154" s="16" t="s">
        <v>203</v>
      </c>
      <c r="C3154" s="17" t="s">
        <v>204</v>
      </c>
      <c r="D3154" s="15">
        <v>5.0</v>
      </c>
      <c r="E3154" s="17" t="s">
        <v>441</v>
      </c>
      <c r="F3154" s="15" t="s">
        <v>442</v>
      </c>
      <c r="G3154" s="46" t="s">
        <v>443</v>
      </c>
      <c r="H3154" s="47" t="s">
        <v>420</v>
      </c>
      <c r="I3154" s="48" t="s">
        <v>19</v>
      </c>
      <c r="J3154" s="49">
        <v>4.2575265E7</v>
      </c>
    </row>
    <row r="3155">
      <c r="A3155" s="45" t="s">
        <v>74</v>
      </c>
      <c r="B3155" s="16" t="s">
        <v>203</v>
      </c>
      <c r="C3155" s="17" t="s">
        <v>204</v>
      </c>
      <c r="D3155" s="15">
        <v>5.0</v>
      </c>
      <c r="E3155" s="17" t="s">
        <v>441</v>
      </c>
      <c r="F3155" s="15" t="s">
        <v>442</v>
      </c>
      <c r="G3155" s="46" t="s">
        <v>444</v>
      </c>
      <c r="H3155" s="47" t="s">
        <v>445</v>
      </c>
      <c r="I3155" s="48" t="s">
        <v>19</v>
      </c>
      <c r="J3155" s="49">
        <v>8880418.0</v>
      </c>
    </row>
    <row r="3156">
      <c r="A3156" s="45" t="s">
        <v>74</v>
      </c>
      <c r="B3156" s="16" t="s">
        <v>203</v>
      </c>
      <c r="C3156" s="17" t="s">
        <v>204</v>
      </c>
      <c r="D3156" s="15">
        <v>5.0</v>
      </c>
      <c r="E3156" s="17" t="s">
        <v>441</v>
      </c>
      <c r="F3156" s="15" t="s">
        <v>442</v>
      </c>
      <c r="G3156" s="46" t="s">
        <v>579</v>
      </c>
      <c r="H3156" s="47" t="s">
        <v>580</v>
      </c>
      <c r="I3156" s="48" t="s">
        <v>19</v>
      </c>
      <c r="J3156" s="49">
        <v>4410298.0</v>
      </c>
    </row>
    <row r="3157">
      <c r="A3157" s="45" t="s">
        <v>74</v>
      </c>
      <c r="B3157" s="16" t="s">
        <v>203</v>
      </c>
      <c r="C3157" s="17" t="s">
        <v>204</v>
      </c>
      <c r="D3157" s="15">
        <v>5.0</v>
      </c>
      <c r="E3157" s="17" t="s">
        <v>441</v>
      </c>
      <c r="F3157" s="15" t="s">
        <v>442</v>
      </c>
      <c r="G3157" s="46" t="s">
        <v>446</v>
      </c>
      <c r="H3157" s="47" t="s">
        <v>447</v>
      </c>
      <c r="I3157" s="48" t="s">
        <v>19</v>
      </c>
      <c r="J3157" s="49">
        <v>424282.0</v>
      </c>
    </row>
    <row r="3158">
      <c r="A3158" s="45" t="s">
        <v>74</v>
      </c>
      <c r="B3158" s="16" t="s">
        <v>203</v>
      </c>
      <c r="C3158" s="17" t="s">
        <v>204</v>
      </c>
      <c r="D3158" s="15">
        <v>5.0</v>
      </c>
      <c r="E3158" s="17" t="s">
        <v>441</v>
      </c>
      <c r="F3158" s="15" t="s">
        <v>442</v>
      </c>
      <c r="G3158" s="46" t="s">
        <v>448</v>
      </c>
      <c r="H3158" s="47" t="s">
        <v>449</v>
      </c>
      <c r="I3158" s="48" t="s">
        <v>19</v>
      </c>
      <c r="J3158" s="49">
        <v>903864.0</v>
      </c>
    </row>
    <row r="3159">
      <c r="A3159" s="45" t="s">
        <v>74</v>
      </c>
      <c r="B3159" s="16" t="s">
        <v>203</v>
      </c>
      <c r="C3159" s="17" t="s">
        <v>204</v>
      </c>
      <c r="D3159" s="15">
        <v>5.0</v>
      </c>
      <c r="E3159" s="17" t="s">
        <v>441</v>
      </c>
      <c r="F3159" s="15" t="s">
        <v>442</v>
      </c>
      <c r="G3159" s="46" t="s">
        <v>450</v>
      </c>
      <c r="H3159" s="47" t="s">
        <v>451</v>
      </c>
      <c r="I3159" s="48" t="s">
        <v>19</v>
      </c>
      <c r="J3159" s="49">
        <v>0.0</v>
      </c>
    </row>
    <row r="3160">
      <c r="A3160" s="45" t="s">
        <v>74</v>
      </c>
      <c r="B3160" s="16" t="s">
        <v>203</v>
      </c>
      <c r="C3160" s="17" t="s">
        <v>204</v>
      </c>
      <c r="D3160" s="15">
        <v>5.0</v>
      </c>
      <c r="E3160" s="17" t="s">
        <v>441</v>
      </c>
      <c r="F3160" s="15" t="s">
        <v>442</v>
      </c>
      <c r="G3160" s="46" t="s">
        <v>452</v>
      </c>
      <c r="H3160" s="47" t="s">
        <v>453</v>
      </c>
      <c r="I3160" s="48" t="s">
        <v>19</v>
      </c>
      <c r="J3160" s="49">
        <v>784922.0</v>
      </c>
    </row>
    <row r="3161">
      <c r="A3161" s="45" t="s">
        <v>74</v>
      </c>
      <c r="B3161" s="16" t="s">
        <v>203</v>
      </c>
      <c r="C3161" s="17" t="s">
        <v>204</v>
      </c>
      <c r="D3161" s="15">
        <v>5.0</v>
      </c>
      <c r="E3161" s="17" t="s">
        <v>441</v>
      </c>
      <c r="F3161" s="15" t="s">
        <v>442</v>
      </c>
      <c r="G3161" s="46" t="s">
        <v>454</v>
      </c>
      <c r="H3161" s="47" t="s">
        <v>415</v>
      </c>
      <c r="I3161" s="48" t="s">
        <v>19</v>
      </c>
      <c r="J3161" s="49">
        <v>114557.0</v>
      </c>
    </row>
    <row r="3162">
      <c r="A3162" s="45" t="s">
        <v>74</v>
      </c>
      <c r="B3162" s="16" t="s">
        <v>203</v>
      </c>
      <c r="C3162" s="17" t="s">
        <v>204</v>
      </c>
      <c r="D3162" s="15">
        <v>5.0</v>
      </c>
      <c r="E3162" s="17" t="s">
        <v>441</v>
      </c>
      <c r="F3162" s="15" t="s">
        <v>442</v>
      </c>
      <c r="G3162" s="46" t="s">
        <v>455</v>
      </c>
      <c r="H3162" s="47" t="s">
        <v>415</v>
      </c>
      <c r="I3162" s="48" t="s">
        <v>19</v>
      </c>
      <c r="J3162" s="49">
        <v>63643.0</v>
      </c>
    </row>
    <row r="3163">
      <c r="A3163" s="45" t="s">
        <v>74</v>
      </c>
      <c r="B3163" s="16" t="s">
        <v>203</v>
      </c>
      <c r="C3163" s="17" t="s">
        <v>204</v>
      </c>
      <c r="D3163" s="15">
        <v>5.0</v>
      </c>
      <c r="E3163" s="17" t="s">
        <v>441</v>
      </c>
      <c r="F3163" s="15" t="s">
        <v>442</v>
      </c>
      <c r="G3163" s="46" t="s">
        <v>583</v>
      </c>
      <c r="H3163" s="47" t="s">
        <v>584</v>
      </c>
      <c r="I3163" s="48" t="s">
        <v>25</v>
      </c>
      <c r="J3163" s="49">
        <v>9000000.0</v>
      </c>
    </row>
    <row r="3164">
      <c r="A3164" s="45" t="s">
        <v>74</v>
      </c>
      <c r="B3164" s="16" t="s">
        <v>203</v>
      </c>
      <c r="C3164" s="17" t="s">
        <v>204</v>
      </c>
      <c r="D3164" s="15">
        <v>5.0</v>
      </c>
      <c r="E3164" s="17" t="s">
        <v>456</v>
      </c>
      <c r="F3164" s="15" t="s">
        <v>457</v>
      </c>
      <c r="G3164" s="46" t="s">
        <v>515</v>
      </c>
      <c r="H3164" s="47" t="s">
        <v>413</v>
      </c>
      <c r="I3164" s="48" t="s">
        <v>19</v>
      </c>
      <c r="J3164" s="49">
        <v>5868456.0</v>
      </c>
    </row>
    <row r="3165">
      <c r="A3165" s="45" t="s">
        <v>74</v>
      </c>
      <c r="B3165" s="16" t="s">
        <v>203</v>
      </c>
      <c r="C3165" s="17" t="s">
        <v>204</v>
      </c>
      <c r="D3165" s="15">
        <v>5.0</v>
      </c>
      <c r="E3165" s="17" t="s">
        <v>456</v>
      </c>
      <c r="F3165" s="15" t="s">
        <v>457</v>
      </c>
      <c r="G3165" s="46" t="s">
        <v>579</v>
      </c>
      <c r="H3165" s="47" t="s">
        <v>580</v>
      </c>
      <c r="I3165" s="48" t="s">
        <v>19</v>
      </c>
      <c r="J3165" s="49">
        <v>585949.0</v>
      </c>
    </row>
    <row r="3166">
      <c r="A3166" s="45" t="s">
        <v>74</v>
      </c>
      <c r="B3166" s="16" t="s">
        <v>203</v>
      </c>
      <c r="C3166" s="17" t="s">
        <v>204</v>
      </c>
      <c r="D3166" s="15">
        <v>5.0</v>
      </c>
      <c r="E3166" s="17" t="s">
        <v>456</v>
      </c>
      <c r="F3166" s="15" t="s">
        <v>457</v>
      </c>
      <c r="G3166" s="46" t="s">
        <v>458</v>
      </c>
      <c r="H3166" s="47" t="s">
        <v>411</v>
      </c>
      <c r="I3166" s="48" t="s">
        <v>19</v>
      </c>
      <c r="J3166" s="49">
        <v>3.09758448E8</v>
      </c>
    </row>
    <row r="3167">
      <c r="A3167" s="45" t="s">
        <v>74</v>
      </c>
      <c r="B3167" s="16" t="s">
        <v>203</v>
      </c>
      <c r="C3167" s="17" t="s">
        <v>204</v>
      </c>
      <c r="D3167" s="15">
        <v>5.0</v>
      </c>
      <c r="E3167" s="17" t="s">
        <v>463</v>
      </c>
      <c r="F3167" s="15" t="s">
        <v>464</v>
      </c>
      <c r="G3167" s="46" t="s">
        <v>520</v>
      </c>
      <c r="H3167" s="47" t="s">
        <v>435</v>
      </c>
      <c r="I3167" s="48" t="s">
        <v>37</v>
      </c>
      <c r="J3167" s="49">
        <v>286225.0</v>
      </c>
    </row>
    <row r="3168">
      <c r="A3168" s="45" t="s">
        <v>74</v>
      </c>
      <c r="B3168" s="16" t="s">
        <v>203</v>
      </c>
      <c r="C3168" s="17" t="s">
        <v>204</v>
      </c>
      <c r="D3168" s="15">
        <v>5.0</v>
      </c>
      <c r="E3168" s="17" t="s">
        <v>463</v>
      </c>
      <c r="F3168" s="15" t="s">
        <v>464</v>
      </c>
      <c r="G3168" s="46" t="s">
        <v>465</v>
      </c>
      <c r="H3168" s="47" t="s">
        <v>466</v>
      </c>
      <c r="I3168" s="48" t="s">
        <v>25</v>
      </c>
      <c r="J3168" s="49">
        <v>6771000.0</v>
      </c>
    </row>
    <row r="3169">
      <c r="A3169" s="45" t="s">
        <v>74</v>
      </c>
      <c r="B3169" s="16" t="s">
        <v>203</v>
      </c>
      <c r="C3169" s="17" t="s">
        <v>204</v>
      </c>
      <c r="D3169" s="15">
        <v>5.0</v>
      </c>
      <c r="E3169" s="17" t="s">
        <v>463</v>
      </c>
      <c r="F3169" s="15" t="s">
        <v>464</v>
      </c>
      <c r="G3169" s="46" t="s">
        <v>458</v>
      </c>
      <c r="H3169" s="47" t="s">
        <v>411</v>
      </c>
      <c r="I3169" s="48" t="s">
        <v>19</v>
      </c>
      <c r="J3169" s="49">
        <v>1.207242E7</v>
      </c>
    </row>
    <row r="3170">
      <c r="A3170" s="45" t="s">
        <v>74</v>
      </c>
      <c r="B3170" s="16" t="s">
        <v>203</v>
      </c>
      <c r="C3170" s="17" t="s">
        <v>204</v>
      </c>
      <c r="D3170" s="15">
        <v>5.0</v>
      </c>
      <c r="E3170" s="17" t="s">
        <v>487</v>
      </c>
      <c r="F3170" s="15" t="s">
        <v>488</v>
      </c>
      <c r="G3170" s="46" t="s">
        <v>489</v>
      </c>
      <c r="H3170" s="47" t="s">
        <v>490</v>
      </c>
      <c r="I3170" s="48" t="s">
        <v>25</v>
      </c>
      <c r="J3170" s="49">
        <v>946000.0</v>
      </c>
    </row>
    <row r="3171">
      <c r="A3171" s="45" t="s">
        <v>74</v>
      </c>
      <c r="B3171" s="16" t="s">
        <v>203</v>
      </c>
      <c r="C3171" s="17" t="s">
        <v>204</v>
      </c>
      <c r="D3171" s="15">
        <v>5.0</v>
      </c>
      <c r="E3171" s="17" t="s">
        <v>469</v>
      </c>
      <c r="F3171" s="15" t="s">
        <v>470</v>
      </c>
      <c r="G3171" s="46" t="s">
        <v>471</v>
      </c>
      <c r="H3171" s="47" t="s">
        <v>472</v>
      </c>
      <c r="I3171" s="48" t="s">
        <v>25</v>
      </c>
      <c r="J3171" s="49">
        <v>1100000.0</v>
      </c>
    </row>
    <row r="3172">
      <c r="A3172" s="45" t="s">
        <v>74</v>
      </c>
      <c r="B3172" s="16" t="s">
        <v>203</v>
      </c>
      <c r="C3172" s="17" t="s">
        <v>204</v>
      </c>
      <c r="D3172" s="15">
        <v>5.0</v>
      </c>
      <c r="E3172" s="17" t="s">
        <v>473</v>
      </c>
      <c r="F3172" s="15" t="s">
        <v>474</v>
      </c>
      <c r="G3172" s="46" t="s">
        <v>554</v>
      </c>
      <c r="H3172" s="47" t="s">
        <v>555</v>
      </c>
      <c r="I3172" s="48" t="s">
        <v>17</v>
      </c>
      <c r="J3172" s="49">
        <v>1286786.0</v>
      </c>
    </row>
    <row r="3173">
      <c r="A3173" s="45" t="s">
        <v>74</v>
      </c>
      <c r="B3173" s="16" t="s">
        <v>203</v>
      </c>
      <c r="C3173" s="17" t="s">
        <v>204</v>
      </c>
      <c r="D3173" s="15">
        <v>5.0</v>
      </c>
      <c r="E3173" s="17" t="s">
        <v>473</v>
      </c>
      <c r="F3173" s="15" t="s">
        <v>474</v>
      </c>
      <c r="G3173" s="46" t="s">
        <v>554</v>
      </c>
      <c r="H3173" s="47" t="s">
        <v>555</v>
      </c>
      <c r="I3173" s="48" t="s">
        <v>25</v>
      </c>
      <c r="J3173" s="49">
        <v>-857857.0</v>
      </c>
    </row>
    <row r="3174">
      <c r="A3174" s="45" t="s">
        <v>74</v>
      </c>
      <c r="B3174" s="16" t="s">
        <v>203</v>
      </c>
      <c r="C3174" s="17" t="s">
        <v>204</v>
      </c>
      <c r="D3174" s="15">
        <v>5.0</v>
      </c>
      <c r="E3174" s="17" t="s">
        <v>473</v>
      </c>
      <c r="F3174" s="15" t="s">
        <v>474</v>
      </c>
      <c r="G3174" s="46" t="s">
        <v>523</v>
      </c>
      <c r="H3174" s="47" t="s">
        <v>431</v>
      </c>
      <c r="I3174" s="48" t="s">
        <v>17</v>
      </c>
      <c r="J3174" s="49">
        <v>7.1701065E7</v>
      </c>
    </row>
    <row r="3175">
      <c r="A3175" s="45" t="s">
        <v>74</v>
      </c>
      <c r="B3175" s="16" t="s">
        <v>203</v>
      </c>
      <c r="C3175" s="17" t="s">
        <v>204</v>
      </c>
      <c r="D3175" s="15">
        <v>5.0</v>
      </c>
      <c r="E3175" s="17" t="s">
        <v>473</v>
      </c>
      <c r="F3175" s="15" t="s">
        <v>474</v>
      </c>
      <c r="G3175" s="46" t="s">
        <v>523</v>
      </c>
      <c r="H3175" s="47" t="s">
        <v>431</v>
      </c>
      <c r="I3175" s="48" t="s">
        <v>25</v>
      </c>
      <c r="J3175" s="49">
        <v>2356900.0</v>
      </c>
    </row>
    <row r="3176">
      <c r="A3176" s="45" t="s">
        <v>74</v>
      </c>
      <c r="B3176" s="16" t="s">
        <v>203</v>
      </c>
      <c r="C3176" s="17" t="s">
        <v>204</v>
      </c>
      <c r="D3176" s="15">
        <v>5.0</v>
      </c>
      <c r="E3176" s="17" t="s">
        <v>473</v>
      </c>
      <c r="F3176" s="15" t="s">
        <v>474</v>
      </c>
      <c r="G3176" s="46" t="s">
        <v>458</v>
      </c>
      <c r="H3176" s="47" t="s">
        <v>411</v>
      </c>
      <c r="I3176" s="48" t="s">
        <v>19</v>
      </c>
      <c r="J3176" s="49">
        <v>9.867208E7</v>
      </c>
    </row>
    <row r="3177">
      <c r="A3177" s="45" t="s">
        <v>74</v>
      </c>
      <c r="B3177" s="16" t="s">
        <v>203</v>
      </c>
      <c r="C3177" s="17" t="s">
        <v>204</v>
      </c>
      <c r="D3177" s="15">
        <v>5.0</v>
      </c>
      <c r="E3177" s="17" t="s">
        <v>491</v>
      </c>
      <c r="F3177" s="15" t="s">
        <v>492</v>
      </c>
      <c r="G3177" s="46" t="s">
        <v>493</v>
      </c>
      <c r="H3177" s="47" t="s">
        <v>437</v>
      </c>
      <c r="I3177" s="48" t="s">
        <v>25</v>
      </c>
      <c r="J3177" s="49">
        <v>8117500.0</v>
      </c>
    </row>
    <row r="3178">
      <c r="A3178" s="45" t="s">
        <v>74</v>
      </c>
      <c r="B3178" s="16" t="s">
        <v>203</v>
      </c>
      <c r="C3178" s="17" t="s">
        <v>204</v>
      </c>
      <c r="D3178" s="15">
        <v>5.0</v>
      </c>
      <c r="E3178" s="17" t="s">
        <v>491</v>
      </c>
      <c r="F3178" s="15" t="s">
        <v>492</v>
      </c>
      <c r="G3178" s="46" t="s">
        <v>458</v>
      </c>
      <c r="H3178" s="47" t="s">
        <v>411</v>
      </c>
      <c r="I3178" s="48" t="s">
        <v>19</v>
      </c>
      <c r="J3178" s="49">
        <v>1.54116E7</v>
      </c>
    </row>
    <row r="3179">
      <c r="A3179" s="45" t="s">
        <v>74</v>
      </c>
      <c r="B3179" s="16" t="s">
        <v>203</v>
      </c>
      <c r="C3179" s="17" t="s">
        <v>204</v>
      </c>
      <c r="D3179" s="15">
        <v>5.0</v>
      </c>
      <c r="E3179" s="17" t="s">
        <v>475</v>
      </c>
      <c r="F3179" s="15" t="s">
        <v>476</v>
      </c>
      <c r="G3179" s="46" t="s">
        <v>477</v>
      </c>
      <c r="H3179" s="47" t="s">
        <v>429</v>
      </c>
      <c r="I3179" s="48" t="s">
        <v>50</v>
      </c>
      <c r="J3179" s="49">
        <v>4.5293375E7</v>
      </c>
    </row>
    <row r="3180">
      <c r="A3180" s="45" t="s">
        <v>74</v>
      </c>
      <c r="B3180" s="16" t="s">
        <v>203</v>
      </c>
      <c r="C3180" s="17" t="s">
        <v>204</v>
      </c>
      <c r="D3180" s="15">
        <v>5.0</v>
      </c>
      <c r="E3180" s="17" t="s">
        <v>524</v>
      </c>
      <c r="F3180" s="15" t="s">
        <v>479</v>
      </c>
      <c r="G3180" s="46" t="s">
        <v>443</v>
      </c>
      <c r="H3180" s="47" t="s">
        <v>420</v>
      </c>
      <c r="I3180" s="48" t="s">
        <v>19</v>
      </c>
      <c r="J3180" s="49">
        <v>7.487026E7</v>
      </c>
    </row>
    <row r="3181">
      <c r="A3181" s="45" t="s">
        <v>74</v>
      </c>
      <c r="B3181" s="16" t="s">
        <v>203</v>
      </c>
      <c r="C3181" s="17" t="s">
        <v>204</v>
      </c>
      <c r="D3181" s="15">
        <v>5.0</v>
      </c>
      <c r="E3181" s="17" t="s">
        <v>524</v>
      </c>
      <c r="F3181" s="15" t="s">
        <v>479</v>
      </c>
      <c r="G3181" s="46" t="s">
        <v>444</v>
      </c>
      <c r="H3181" s="47" t="s">
        <v>445</v>
      </c>
      <c r="I3181" s="48" t="s">
        <v>19</v>
      </c>
      <c r="J3181" s="49">
        <v>9781694.0</v>
      </c>
    </row>
    <row r="3182">
      <c r="A3182" s="45" t="s">
        <v>74</v>
      </c>
      <c r="B3182" s="16" t="s">
        <v>203</v>
      </c>
      <c r="C3182" s="17" t="s">
        <v>204</v>
      </c>
      <c r="D3182" s="15">
        <v>5.0</v>
      </c>
      <c r="E3182" s="17" t="s">
        <v>524</v>
      </c>
      <c r="F3182" s="15" t="s">
        <v>479</v>
      </c>
      <c r="G3182" s="46" t="s">
        <v>579</v>
      </c>
      <c r="H3182" s="47" t="s">
        <v>580</v>
      </c>
      <c r="I3182" s="48" t="s">
        <v>19</v>
      </c>
      <c r="J3182" s="49">
        <v>7461714.0</v>
      </c>
    </row>
    <row r="3183">
      <c r="A3183" s="45" t="s">
        <v>74</v>
      </c>
      <c r="B3183" s="16" t="s">
        <v>203</v>
      </c>
      <c r="C3183" s="17" t="s">
        <v>204</v>
      </c>
      <c r="D3183" s="15">
        <v>5.0</v>
      </c>
      <c r="E3183" s="17" t="s">
        <v>524</v>
      </c>
      <c r="F3183" s="15" t="s">
        <v>479</v>
      </c>
      <c r="G3183" s="46" t="s">
        <v>446</v>
      </c>
      <c r="H3183" s="47" t="s">
        <v>447</v>
      </c>
      <c r="I3183" s="48" t="s">
        <v>19</v>
      </c>
      <c r="J3183" s="49">
        <v>847159.0</v>
      </c>
    </row>
    <row r="3184">
      <c r="A3184" s="45" t="s">
        <v>74</v>
      </c>
      <c r="B3184" s="16" t="s">
        <v>203</v>
      </c>
      <c r="C3184" s="17" t="s">
        <v>204</v>
      </c>
      <c r="D3184" s="15">
        <v>5.0</v>
      </c>
      <c r="E3184" s="17" t="s">
        <v>524</v>
      </c>
      <c r="F3184" s="15" t="s">
        <v>479</v>
      </c>
      <c r="G3184" s="46" t="s">
        <v>448</v>
      </c>
      <c r="H3184" s="47" t="s">
        <v>449</v>
      </c>
      <c r="I3184" s="48" t="s">
        <v>19</v>
      </c>
      <c r="J3184" s="49">
        <v>1788965.0</v>
      </c>
    </row>
    <row r="3185">
      <c r="A3185" s="45" t="s">
        <v>74</v>
      </c>
      <c r="B3185" s="16" t="s">
        <v>203</v>
      </c>
      <c r="C3185" s="17" t="s">
        <v>204</v>
      </c>
      <c r="D3185" s="15">
        <v>5.0</v>
      </c>
      <c r="E3185" s="17" t="s">
        <v>524</v>
      </c>
      <c r="F3185" s="15" t="s">
        <v>479</v>
      </c>
      <c r="G3185" s="46" t="s">
        <v>450</v>
      </c>
      <c r="H3185" s="47" t="s">
        <v>451</v>
      </c>
      <c r="I3185" s="48" t="s">
        <v>19</v>
      </c>
      <c r="J3185" s="49">
        <v>0.0</v>
      </c>
    </row>
    <row r="3186">
      <c r="A3186" s="45" t="s">
        <v>74</v>
      </c>
      <c r="B3186" s="16" t="s">
        <v>203</v>
      </c>
      <c r="C3186" s="17" t="s">
        <v>204</v>
      </c>
      <c r="D3186" s="15">
        <v>5.0</v>
      </c>
      <c r="E3186" s="17" t="s">
        <v>524</v>
      </c>
      <c r="F3186" s="15" t="s">
        <v>479</v>
      </c>
      <c r="G3186" s="46" t="s">
        <v>452</v>
      </c>
      <c r="H3186" s="47" t="s">
        <v>453</v>
      </c>
      <c r="I3186" s="48" t="s">
        <v>19</v>
      </c>
      <c r="J3186" s="49">
        <v>1567245.0</v>
      </c>
    </row>
    <row r="3187">
      <c r="A3187" s="45" t="s">
        <v>74</v>
      </c>
      <c r="B3187" s="16" t="s">
        <v>203</v>
      </c>
      <c r="C3187" s="17" t="s">
        <v>204</v>
      </c>
      <c r="D3187" s="15">
        <v>5.0</v>
      </c>
      <c r="E3187" s="17" t="s">
        <v>524</v>
      </c>
      <c r="F3187" s="15" t="s">
        <v>479</v>
      </c>
      <c r="G3187" s="46" t="s">
        <v>454</v>
      </c>
      <c r="H3187" s="47" t="s">
        <v>415</v>
      </c>
      <c r="I3187" s="48" t="s">
        <v>19</v>
      </c>
      <c r="J3187" s="49">
        <v>228733.0</v>
      </c>
    </row>
    <row r="3188">
      <c r="A3188" s="45" t="s">
        <v>74</v>
      </c>
      <c r="B3188" s="16" t="s">
        <v>203</v>
      </c>
      <c r="C3188" s="17" t="s">
        <v>204</v>
      </c>
      <c r="D3188" s="15">
        <v>5.0</v>
      </c>
      <c r="E3188" s="17" t="s">
        <v>524</v>
      </c>
      <c r="F3188" s="15" t="s">
        <v>479</v>
      </c>
      <c r="G3188" s="46" t="s">
        <v>455</v>
      </c>
      <c r="H3188" s="47" t="s">
        <v>415</v>
      </c>
      <c r="I3188" s="48" t="s">
        <v>19</v>
      </c>
      <c r="J3188" s="49">
        <v>127073.0</v>
      </c>
    </row>
    <row r="3189">
      <c r="A3189" s="45" t="s">
        <v>74</v>
      </c>
      <c r="B3189" s="16" t="s">
        <v>203</v>
      </c>
      <c r="C3189" s="17" t="s">
        <v>204</v>
      </c>
      <c r="D3189" s="15">
        <v>5.0</v>
      </c>
      <c r="E3189" s="17" t="s">
        <v>524</v>
      </c>
      <c r="F3189" s="15" t="s">
        <v>479</v>
      </c>
      <c r="G3189" s="46" t="s">
        <v>583</v>
      </c>
      <c r="H3189" s="47" t="s">
        <v>584</v>
      </c>
      <c r="I3189" s="48" t="s">
        <v>25</v>
      </c>
      <c r="J3189" s="49">
        <v>1.5E7</v>
      </c>
    </row>
    <row r="3190">
      <c r="A3190" s="45" t="s">
        <v>74</v>
      </c>
      <c r="B3190" s="16" t="s">
        <v>203</v>
      </c>
      <c r="C3190" s="17" t="s">
        <v>204</v>
      </c>
      <c r="D3190" s="15">
        <v>5.0</v>
      </c>
      <c r="E3190" s="17" t="s">
        <v>525</v>
      </c>
      <c r="F3190" s="15" t="s">
        <v>502</v>
      </c>
      <c r="G3190" s="46" t="s">
        <v>526</v>
      </c>
      <c r="H3190" s="47" t="s">
        <v>527</v>
      </c>
      <c r="I3190" s="48" t="s">
        <v>60</v>
      </c>
      <c r="J3190" s="49">
        <v>1.39650881E8</v>
      </c>
    </row>
    <row r="3191">
      <c r="A3191" s="45" t="s">
        <v>74</v>
      </c>
      <c r="B3191" s="16" t="s">
        <v>203</v>
      </c>
      <c r="C3191" s="17" t="s">
        <v>204</v>
      </c>
      <c r="D3191" s="15">
        <v>5.0</v>
      </c>
      <c r="E3191" s="17" t="s">
        <v>525</v>
      </c>
      <c r="F3191" s="15" t="s">
        <v>502</v>
      </c>
      <c r="G3191" s="46" t="s">
        <v>505</v>
      </c>
      <c r="H3191" s="47" t="s">
        <v>506</v>
      </c>
      <c r="I3191" s="48" t="s">
        <v>60</v>
      </c>
      <c r="J3191" s="49">
        <v>6647719.0</v>
      </c>
    </row>
    <row r="3192">
      <c r="A3192" s="45" t="s">
        <v>74</v>
      </c>
      <c r="B3192" s="16" t="s">
        <v>203</v>
      </c>
      <c r="C3192" s="17" t="s">
        <v>204</v>
      </c>
      <c r="D3192" s="15">
        <v>5.0</v>
      </c>
      <c r="E3192" s="17" t="s">
        <v>525</v>
      </c>
      <c r="F3192" s="15" t="s">
        <v>502</v>
      </c>
      <c r="G3192" s="46" t="s">
        <v>507</v>
      </c>
      <c r="H3192" s="47" t="s">
        <v>508</v>
      </c>
      <c r="I3192" s="48" t="s">
        <v>60</v>
      </c>
      <c r="J3192" s="49">
        <v>1130301.0</v>
      </c>
    </row>
    <row r="3193">
      <c r="A3193" s="45" t="s">
        <v>74</v>
      </c>
      <c r="B3193" s="16" t="s">
        <v>203</v>
      </c>
      <c r="C3193" s="17" t="s">
        <v>204</v>
      </c>
      <c r="D3193" s="15">
        <v>5.0</v>
      </c>
      <c r="E3193" s="17" t="s">
        <v>525</v>
      </c>
      <c r="F3193" s="15" t="s">
        <v>502</v>
      </c>
      <c r="G3193" s="46" t="s">
        <v>509</v>
      </c>
      <c r="H3193" s="47" t="s">
        <v>510</v>
      </c>
      <c r="I3193" s="48" t="s">
        <v>60</v>
      </c>
      <c r="J3193" s="49">
        <v>2065108.0</v>
      </c>
    </row>
    <row r="3194">
      <c r="A3194" s="45" t="s">
        <v>74</v>
      </c>
      <c r="B3194" s="16" t="s">
        <v>203</v>
      </c>
      <c r="C3194" s="17" t="s">
        <v>204</v>
      </c>
      <c r="D3194" s="15">
        <v>5.0</v>
      </c>
      <c r="E3194" s="17" t="s">
        <v>525</v>
      </c>
      <c r="F3194" s="15" t="s">
        <v>502</v>
      </c>
      <c r="G3194" s="46" t="s">
        <v>511</v>
      </c>
      <c r="H3194" s="47" t="s">
        <v>512</v>
      </c>
      <c r="I3194" s="48" t="s">
        <v>60</v>
      </c>
      <c r="J3194" s="49">
        <v>9.5889073E7</v>
      </c>
    </row>
    <row r="3195">
      <c r="A3195" s="45" t="s">
        <v>74</v>
      </c>
      <c r="B3195" s="16" t="s">
        <v>203</v>
      </c>
      <c r="C3195" s="17" t="s">
        <v>204</v>
      </c>
      <c r="D3195" s="15">
        <v>5.0</v>
      </c>
      <c r="E3195" s="17" t="s">
        <v>525</v>
      </c>
      <c r="F3195" s="15" t="s">
        <v>502</v>
      </c>
      <c r="G3195" s="46" t="s">
        <v>513</v>
      </c>
      <c r="H3195" s="47" t="s">
        <v>514</v>
      </c>
      <c r="I3195" s="48" t="s">
        <v>60</v>
      </c>
      <c r="J3195" s="49">
        <v>2182516.0</v>
      </c>
    </row>
    <row r="3196">
      <c r="A3196" s="45" t="s">
        <v>74</v>
      </c>
      <c r="B3196" s="16" t="s">
        <v>203</v>
      </c>
      <c r="C3196" s="17" t="s">
        <v>204</v>
      </c>
      <c r="D3196" s="15">
        <v>5.0</v>
      </c>
      <c r="E3196" s="17" t="s">
        <v>548</v>
      </c>
      <c r="F3196" s="15" t="s">
        <v>549</v>
      </c>
      <c r="G3196" s="46" t="s">
        <v>550</v>
      </c>
      <c r="H3196" s="47" t="s">
        <v>551</v>
      </c>
      <c r="I3196" s="48" t="s">
        <v>25</v>
      </c>
      <c r="J3196" s="49">
        <v>5.5392E7</v>
      </c>
    </row>
    <row r="3197">
      <c r="A3197" s="45" t="s">
        <v>74</v>
      </c>
      <c r="B3197" s="16" t="s">
        <v>212</v>
      </c>
      <c r="C3197" s="17" t="s">
        <v>213</v>
      </c>
      <c r="D3197" s="15">
        <v>5.0</v>
      </c>
      <c r="E3197" s="17" t="s">
        <v>441</v>
      </c>
      <c r="F3197" s="15" t="s">
        <v>442</v>
      </c>
      <c r="G3197" s="46" t="s">
        <v>443</v>
      </c>
      <c r="H3197" s="47" t="s">
        <v>420</v>
      </c>
      <c r="I3197" s="48" t="s">
        <v>19</v>
      </c>
      <c r="J3197" s="49">
        <v>4.5326053E7</v>
      </c>
    </row>
    <row r="3198">
      <c r="A3198" s="45" t="s">
        <v>74</v>
      </c>
      <c r="B3198" s="16" t="s">
        <v>212</v>
      </c>
      <c r="C3198" s="17" t="s">
        <v>213</v>
      </c>
      <c r="D3198" s="15">
        <v>5.0</v>
      </c>
      <c r="E3198" s="17" t="s">
        <v>441</v>
      </c>
      <c r="F3198" s="15" t="s">
        <v>442</v>
      </c>
      <c r="G3198" s="46" t="s">
        <v>444</v>
      </c>
      <c r="H3198" s="47" t="s">
        <v>445</v>
      </c>
      <c r="I3198" s="48" t="s">
        <v>19</v>
      </c>
      <c r="J3198" s="49">
        <v>8916332.0</v>
      </c>
    </row>
    <row r="3199">
      <c r="A3199" s="45" t="s">
        <v>74</v>
      </c>
      <c r="B3199" s="16" t="s">
        <v>212</v>
      </c>
      <c r="C3199" s="17" t="s">
        <v>213</v>
      </c>
      <c r="D3199" s="15">
        <v>5.0</v>
      </c>
      <c r="E3199" s="17" t="s">
        <v>441</v>
      </c>
      <c r="F3199" s="15" t="s">
        <v>442</v>
      </c>
      <c r="G3199" s="46" t="s">
        <v>579</v>
      </c>
      <c r="H3199" s="47" t="s">
        <v>580</v>
      </c>
      <c r="I3199" s="48" t="s">
        <v>19</v>
      </c>
      <c r="J3199" s="49">
        <v>4856056.0</v>
      </c>
    </row>
    <row r="3200">
      <c r="A3200" s="45" t="s">
        <v>74</v>
      </c>
      <c r="B3200" s="16" t="s">
        <v>212</v>
      </c>
      <c r="C3200" s="17" t="s">
        <v>213</v>
      </c>
      <c r="D3200" s="15">
        <v>5.0</v>
      </c>
      <c r="E3200" s="17" t="s">
        <v>441</v>
      </c>
      <c r="F3200" s="15" t="s">
        <v>442</v>
      </c>
      <c r="G3200" s="46" t="s">
        <v>446</v>
      </c>
      <c r="H3200" s="47" t="s">
        <v>447</v>
      </c>
      <c r="I3200" s="48" t="s">
        <v>19</v>
      </c>
      <c r="J3200" s="49">
        <v>513556.0</v>
      </c>
    </row>
    <row r="3201">
      <c r="A3201" s="45" t="s">
        <v>74</v>
      </c>
      <c r="B3201" s="16" t="s">
        <v>212</v>
      </c>
      <c r="C3201" s="17" t="s">
        <v>213</v>
      </c>
      <c r="D3201" s="15">
        <v>5.0</v>
      </c>
      <c r="E3201" s="17" t="s">
        <v>441</v>
      </c>
      <c r="F3201" s="15" t="s">
        <v>442</v>
      </c>
      <c r="G3201" s="46" t="s">
        <v>448</v>
      </c>
      <c r="H3201" s="47" t="s">
        <v>449</v>
      </c>
      <c r="I3201" s="48" t="s">
        <v>19</v>
      </c>
      <c r="J3201" s="49">
        <v>1095211.0</v>
      </c>
    </row>
    <row r="3202">
      <c r="A3202" s="45" t="s">
        <v>74</v>
      </c>
      <c r="B3202" s="16" t="s">
        <v>212</v>
      </c>
      <c r="C3202" s="17" t="s">
        <v>213</v>
      </c>
      <c r="D3202" s="15">
        <v>5.0</v>
      </c>
      <c r="E3202" s="17" t="s">
        <v>441</v>
      </c>
      <c r="F3202" s="15" t="s">
        <v>442</v>
      </c>
      <c r="G3202" s="46" t="s">
        <v>450</v>
      </c>
      <c r="H3202" s="47" t="s">
        <v>451</v>
      </c>
      <c r="I3202" s="48" t="s">
        <v>19</v>
      </c>
      <c r="J3202" s="49">
        <v>0.0</v>
      </c>
    </row>
    <row r="3203">
      <c r="A3203" s="45" t="s">
        <v>74</v>
      </c>
      <c r="B3203" s="16" t="s">
        <v>212</v>
      </c>
      <c r="C3203" s="17" t="s">
        <v>213</v>
      </c>
      <c r="D3203" s="15">
        <v>5.0</v>
      </c>
      <c r="E3203" s="17" t="s">
        <v>441</v>
      </c>
      <c r="F3203" s="15" t="s">
        <v>442</v>
      </c>
      <c r="G3203" s="46" t="s">
        <v>452</v>
      </c>
      <c r="H3203" s="47" t="s">
        <v>453</v>
      </c>
      <c r="I3203" s="48" t="s">
        <v>19</v>
      </c>
      <c r="J3203" s="49">
        <v>955528.0</v>
      </c>
    </row>
    <row r="3204">
      <c r="A3204" s="45" t="s">
        <v>74</v>
      </c>
      <c r="B3204" s="16" t="s">
        <v>212</v>
      </c>
      <c r="C3204" s="17" t="s">
        <v>213</v>
      </c>
      <c r="D3204" s="15">
        <v>5.0</v>
      </c>
      <c r="E3204" s="17" t="s">
        <v>441</v>
      </c>
      <c r="F3204" s="15" t="s">
        <v>442</v>
      </c>
      <c r="G3204" s="46" t="s">
        <v>454</v>
      </c>
      <c r="H3204" s="47" t="s">
        <v>415</v>
      </c>
      <c r="I3204" s="48" t="s">
        <v>19</v>
      </c>
      <c r="J3204" s="49">
        <v>139456.0</v>
      </c>
    </row>
    <row r="3205">
      <c r="A3205" s="45" t="s">
        <v>74</v>
      </c>
      <c r="B3205" s="16" t="s">
        <v>212</v>
      </c>
      <c r="C3205" s="17" t="s">
        <v>213</v>
      </c>
      <c r="D3205" s="15">
        <v>5.0</v>
      </c>
      <c r="E3205" s="17" t="s">
        <v>441</v>
      </c>
      <c r="F3205" s="15" t="s">
        <v>442</v>
      </c>
      <c r="G3205" s="46" t="s">
        <v>455</v>
      </c>
      <c r="H3205" s="47" t="s">
        <v>415</v>
      </c>
      <c r="I3205" s="48" t="s">
        <v>19</v>
      </c>
      <c r="J3205" s="49">
        <v>77475.0</v>
      </c>
    </row>
    <row r="3206">
      <c r="A3206" s="45" t="s">
        <v>74</v>
      </c>
      <c r="B3206" s="16" t="s">
        <v>212</v>
      </c>
      <c r="C3206" s="17" t="s">
        <v>213</v>
      </c>
      <c r="D3206" s="15">
        <v>5.0</v>
      </c>
      <c r="E3206" s="17" t="s">
        <v>441</v>
      </c>
      <c r="F3206" s="15" t="s">
        <v>442</v>
      </c>
      <c r="G3206" s="46" t="s">
        <v>583</v>
      </c>
      <c r="H3206" s="47" t="s">
        <v>584</v>
      </c>
      <c r="I3206" s="48" t="s">
        <v>25</v>
      </c>
      <c r="J3206" s="49">
        <v>6000000.0</v>
      </c>
    </row>
    <row r="3207">
      <c r="A3207" s="45" t="s">
        <v>74</v>
      </c>
      <c r="B3207" s="16" t="s">
        <v>212</v>
      </c>
      <c r="C3207" s="17" t="s">
        <v>213</v>
      </c>
      <c r="D3207" s="15">
        <v>5.0</v>
      </c>
      <c r="E3207" s="17" t="s">
        <v>456</v>
      </c>
      <c r="F3207" s="15" t="s">
        <v>457</v>
      </c>
      <c r="G3207" s="46" t="s">
        <v>515</v>
      </c>
      <c r="H3207" s="47" t="s">
        <v>413</v>
      </c>
      <c r="I3207" s="48" t="s">
        <v>19</v>
      </c>
      <c r="J3207" s="49">
        <v>4300000.0</v>
      </c>
    </row>
    <row r="3208">
      <c r="A3208" s="45" t="s">
        <v>74</v>
      </c>
      <c r="B3208" s="16" t="s">
        <v>212</v>
      </c>
      <c r="C3208" s="17" t="s">
        <v>213</v>
      </c>
      <c r="D3208" s="15">
        <v>5.0</v>
      </c>
      <c r="E3208" s="17" t="s">
        <v>456</v>
      </c>
      <c r="F3208" s="15" t="s">
        <v>457</v>
      </c>
      <c r="G3208" s="46" t="s">
        <v>579</v>
      </c>
      <c r="H3208" s="47" t="s">
        <v>580</v>
      </c>
      <c r="I3208" s="48" t="s">
        <v>19</v>
      </c>
      <c r="J3208" s="49">
        <v>349465.0</v>
      </c>
    </row>
    <row r="3209">
      <c r="A3209" s="45" t="s">
        <v>74</v>
      </c>
      <c r="B3209" s="16" t="s">
        <v>212</v>
      </c>
      <c r="C3209" s="17" t="s">
        <v>213</v>
      </c>
      <c r="D3209" s="15">
        <v>5.0</v>
      </c>
      <c r="E3209" s="17" t="s">
        <v>456</v>
      </c>
      <c r="F3209" s="15" t="s">
        <v>457</v>
      </c>
      <c r="G3209" s="46" t="s">
        <v>458</v>
      </c>
      <c r="H3209" s="47" t="s">
        <v>411</v>
      </c>
      <c r="I3209" s="48" t="s">
        <v>19</v>
      </c>
      <c r="J3209" s="49">
        <v>2.86957019E8</v>
      </c>
    </row>
    <row r="3210">
      <c r="A3210" s="45" t="s">
        <v>74</v>
      </c>
      <c r="B3210" s="16" t="s">
        <v>212</v>
      </c>
      <c r="C3210" s="17" t="s">
        <v>213</v>
      </c>
      <c r="D3210" s="15">
        <v>5.0</v>
      </c>
      <c r="E3210" s="17" t="s">
        <v>482</v>
      </c>
      <c r="F3210" s="15" t="s">
        <v>483</v>
      </c>
      <c r="G3210" s="46" t="s">
        <v>465</v>
      </c>
      <c r="H3210" s="47" t="s">
        <v>466</v>
      </c>
      <c r="I3210" s="48" t="s">
        <v>25</v>
      </c>
      <c r="J3210" s="49">
        <v>775000.0</v>
      </c>
    </row>
    <row r="3211">
      <c r="A3211" s="45" t="s">
        <v>74</v>
      </c>
      <c r="B3211" s="16" t="s">
        <v>212</v>
      </c>
      <c r="C3211" s="17" t="s">
        <v>213</v>
      </c>
      <c r="D3211" s="15">
        <v>5.0</v>
      </c>
      <c r="E3211" s="17" t="s">
        <v>459</v>
      </c>
      <c r="F3211" s="15" t="s">
        <v>460</v>
      </c>
      <c r="G3211" s="46" t="s">
        <v>558</v>
      </c>
      <c r="H3211" s="47" t="s">
        <v>559</v>
      </c>
      <c r="I3211" s="48" t="s">
        <v>25</v>
      </c>
      <c r="J3211" s="49">
        <v>475000.0</v>
      </c>
    </row>
    <row r="3212">
      <c r="A3212" s="45" t="s">
        <v>74</v>
      </c>
      <c r="B3212" s="16" t="s">
        <v>212</v>
      </c>
      <c r="C3212" s="17" t="s">
        <v>213</v>
      </c>
      <c r="D3212" s="15">
        <v>5.0</v>
      </c>
      <c r="E3212" s="17" t="s">
        <v>459</v>
      </c>
      <c r="F3212" s="15" t="s">
        <v>460</v>
      </c>
      <c r="G3212" s="46" t="s">
        <v>458</v>
      </c>
      <c r="H3212" s="47" t="s">
        <v>411</v>
      </c>
      <c r="I3212" s="48" t="s">
        <v>19</v>
      </c>
      <c r="J3212" s="49">
        <v>1.5414782E7</v>
      </c>
    </row>
    <row r="3213">
      <c r="A3213" s="45" t="s">
        <v>74</v>
      </c>
      <c r="B3213" s="16" t="s">
        <v>212</v>
      </c>
      <c r="C3213" s="17" t="s">
        <v>213</v>
      </c>
      <c r="D3213" s="15">
        <v>5.0</v>
      </c>
      <c r="E3213" s="17" t="s">
        <v>463</v>
      </c>
      <c r="F3213" s="15" t="s">
        <v>464</v>
      </c>
      <c r="G3213" s="46" t="s">
        <v>465</v>
      </c>
      <c r="H3213" s="47" t="s">
        <v>466</v>
      </c>
      <c r="I3213" s="48" t="s">
        <v>25</v>
      </c>
      <c r="J3213" s="49">
        <v>4499000.0</v>
      </c>
    </row>
    <row r="3214">
      <c r="A3214" s="45" t="s">
        <v>74</v>
      </c>
      <c r="B3214" s="16" t="s">
        <v>212</v>
      </c>
      <c r="C3214" s="17" t="s">
        <v>213</v>
      </c>
      <c r="D3214" s="15">
        <v>5.0</v>
      </c>
      <c r="E3214" s="17" t="s">
        <v>463</v>
      </c>
      <c r="F3214" s="15" t="s">
        <v>464</v>
      </c>
      <c r="G3214" s="46" t="s">
        <v>458</v>
      </c>
      <c r="H3214" s="47" t="s">
        <v>411</v>
      </c>
      <c r="I3214" s="48" t="s">
        <v>19</v>
      </c>
      <c r="J3214" s="49">
        <v>3.9477101E7</v>
      </c>
    </row>
    <row r="3215">
      <c r="A3215" s="45" t="s">
        <v>74</v>
      </c>
      <c r="B3215" s="16" t="s">
        <v>212</v>
      </c>
      <c r="C3215" s="17" t="s">
        <v>213</v>
      </c>
      <c r="D3215" s="15">
        <v>5.0</v>
      </c>
      <c r="E3215" s="17" t="s">
        <v>463</v>
      </c>
      <c r="F3215" s="15" t="s">
        <v>464</v>
      </c>
      <c r="G3215" s="46" t="s">
        <v>486</v>
      </c>
      <c r="H3215" s="47" t="s">
        <v>432</v>
      </c>
      <c r="I3215" s="48" t="s">
        <v>25</v>
      </c>
      <c r="J3215" s="49">
        <v>2300000.0</v>
      </c>
    </row>
    <row r="3216">
      <c r="A3216" s="45" t="s">
        <v>74</v>
      </c>
      <c r="B3216" s="16" t="s">
        <v>212</v>
      </c>
      <c r="C3216" s="17" t="s">
        <v>213</v>
      </c>
      <c r="D3216" s="15">
        <v>5.0</v>
      </c>
      <c r="E3216" s="17" t="s">
        <v>487</v>
      </c>
      <c r="F3216" s="15" t="s">
        <v>488</v>
      </c>
      <c r="G3216" s="46" t="s">
        <v>489</v>
      </c>
      <c r="H3216" s="47" t="s">
        <v>490</v>
      </c>
      <c r="I3216" s="48" t="s">
        <v>25</v>
      </c>
      <c r="J3216" s="49">
        <v>1.01333E7</v>
      </c>
    </row>
    <row r="3217">
      <c r="A3217" s="45" t="s">
        <v>74</v>
      </c>
      <c r="B3217" s="16" t="s">
        <v>212</v>
      </c>
      <c r="C3217" s="17" t="s">
        <v>213</v>
      </c>
      <c r="D3217" s="15">
        <v>5.0</v>
      </c>
      <c r="E3217" s="17" t="s">
        <v>487</v>
      </c>
      <c r="F3217" s="15" t="s">
        <v>488</v>
      </c>
      <c r="G3217" s="46" t="s">
        <v>558</v>
      </c>
      <c r="H3217" s="47" t="s">
        <v>559</v>
      </c>
      <c r="I3217" s="48" t="s">
        <v>25</v>
      </c>
      <c r="J3217" s="49">
        <v>175000.0</v>
      </c>
    </row>
    <row r="3218">
      <c r="A3218" s="45" t="s">
        <v>74</v>
      </c>
      <c r="B3218" s="16" t="s">
        <v>212</v>
      </c>
      <c r="C3218" s="17" t="s">
        <v>213</v>
      </c>
      <c r="D3218" s="15">
        <v>5.0</v>
      </c>
      <c r="E3218" s="17" t="s">
        <v>487</v>
      </c>
      <c r="F3218" s="15" t="s">
        <v>488</v>
      </c>
      <c r="G3218" s="46" t="s">
        <v>458</v>
      </c>
      <c r="H3218" s="47" t="s">
        <v>411</v>
      </c>
      <c r="I3218" s="48" t="s">
        <v>19</v>
      </c>
      <c r="J3218" s="49">
        <v>2.4302037E7</v>
      </c>
    </row>
    <row r="3219">
      <c r="A3219" s="45" t="s">
        <v>74</v>
      </c>
      <c r="B3219" s="16" t="s">
        <v>212</v>
      </c>
      <c r="C3219" s="17" t="s">
        <v>213</v>
      </c>
      <c r="D3219" s="15">
        <v>5.0</v>
      </c>
      <c r="E3219" s="17" t="s">
        <v>487</v>
      </c>
      <c r="F3219" s="15" t="s">
        <v>488</v>
      </c>
      <c r="G3219" s="46" t="s">
        <v>486</v>
      </c>
      <c r="H3219" s="47" t="s">
        <v>432</v>
      </c>
      <c r="I3219" s="48" t="s">
        <v>25</v>
      </c>
      <c r="J3219" s="49">
        <v>2000000.0</v>
      </c>
    </row>
    <row r="3220">
      <c r="A3220" s="45" t="s">
        <v>74</v>
      </c>
      <c r="B3220" s="16" t="s">
        <v>212</v>
      </c>
      <c r="C3220" s="17" t="s">
        <v>213</v>
      </c>
      <c r="D3220" s="15">
        <v>5.0</v>
      </c>
      <c r="E3220" s="17" t="s">
        <v>469</v>
      </c>
      <c r="F3220" s="15" t="s">
        <v>470</v>
      </c>
      <c r="G3220" s="46" t="s">
        <v>516</v>
      </c>
      <c r="H3220" s="47" t="s">
        <v>436</v>
      </c>
      <c r="I3220" s="48" t="s">
        <v>25</v>
      </c>
      <c r="J3220" s="49">
        <v>119000.0</v>
      </c>
    </row>
    <row r="3221">
      <c r="A3221" s="45" t="s">
        <v>74</v>
      </c>
      <c r="B3221" s="16" t="s">
        <v>212</v>
      </c>
      <c r="C3221" s="17" t="s">
        <v>213</v>
      </c>
      <c r="D3221" s="15">
        <v>5.0</v>
      </c>
      <c r="E3221" s="17" t="s">
        <v>469</v>
      </c>
      <c r="F3221" s="15" t="s">
        <v>470</v>
      </c>
      <c r="G3221" s="46" t="s">
        <v>517</v>
      </c>
      <c r="H3221" s="47" t="s">
        <v>518</v>
      </c>
      <c r="I3221" s="48" t="s">
        <v>25</v>
      </c>
      <c r="J3221" s="49">
        <v>3130000.0</v>
      </c>
    </row>
    <row r="3222">
      <c r="A3222" s="45" t="s">
        <v>74</v>
      </c>
      <c r="B3222" s="16" t="s">
        <v>212</v>
      </c>
      <c r="C3222" s="17" t="s">
        <v>213</v>
      </c>
      <c r="D3222" s="15">
        <v>5.0</v>
      </c>
      <c r="E3222" s="17" t="s">
        <v>473</v>
      </c>
      <c r="F3222" s="15" t="s">
        <v>474</v>
      </c>
      <c r="G3222" s="46" t="s">
        <v>523</v>
      </c>
      <c r="H3222" s="47" t="s">
        <v>431</v>
      </c>
      <c r="I3222" s="48" t="s">
        <v>17</v>
      </c>
      <c r="J3222" s="49">
        <v>7.3990754E7</v>
      </c>
    </row>
    <row r="3223">
      <c r="A3223" s="45" t="s">
        <v>74</v>
      </c>
      <c r="B3223" s="16" t="s">
        <v>212</v>
      </c>
      <c r="C3223" s="17" t="s">
        <v>213</v>
      </c>
      <c r="D3223" s="15">
        <v>5.0</v>
      </c>
      <c r="E3223" s="17" t="s">
        <v>473</v>
      </c>
      <c r="F3223" s="15" t="s">
        <v>474</v>
      </c>
      <c r="G3223" s="46" t="s">
        <v>523</v>
      </c>
      <c r="H3223" s="47" t="s">
        <v>431</v>
      </c>
      <c r="I3223" s="48" t="s">
        <v>25</v>
      </c>
      <c r="J3223" s="49">
        <v>1.0E7</v>
      </c>
    </row>
    <row r="3224">
      <c r="A3224" s="45" t="s">
        <v>74</v>
      </c>
      <c r="B3224" s="16" t="s">
        <v>212</v>
      </c>
      <c r="C3224" s="17" t="s">
        <v>213</v>
      </c>
      <c r="D3224" s="15">
        <v>5.0</v>
      </c>
      <c r="E3224" s="17" t="s">
        <v>473</v>
      </c>
      <c r="F3224" s="15" t="s">
        <v>474</v>
      </c>
      <c r="G3224" s="46" t="s">
        <v>458</v>
      </c>
      <c r="H3224" s="47" t="s">
        <v>411</v>
      </c>
      <c r="I3224" s="48" t="s">
        <v>19</v>
      </c>
      <c r="J3224" s="49">
        <v>7.5748779E7</v>
      </c>
    </row>
    <row r="3225">
      <c r="A3225" s="45" t="s">
        <v>74</v>
      </c>
      <c r="B3225" s="16" t="s">
        <v>212</v>
      </c>
      <c r="C3225" s="17" t="s">
        <v>213</v>
      </c>
      <c r="D3225" s="15">
        <v>5.0</v>
      </c>
      <c r="E3225" s="17" t="s">
        <v>491</v>
      </c>
      <c r="F3225" s="15" t="s">
        <v>492</v>
      </c>
      <c r="G3225" s="46" t="s">
        <v>545</v>
      </c>
      <c r="H3225" s="47" t="s">
        <v>427</v>
      </c>
      <c r="I3225" s="48" t="s">
        <v>37</v>
      </c>
      <c r="J3225" s="49">
        <v>7.2267092E7</v>
      </c>
    </row>
    <row r="3226">
      <c r="A3226" s="45" t="s">
        <v>74</v>
      </c>
      <c r="B3226" s="16" t="s">
        <v>212</v>
      </c>
      <c r="C3226" s="17" t="s">
        <v>213</v>
      </c>
      <c r="D3226" s="15">
        <v>5.0</v>
      </c>
      <c r="E3226" s="17" t="s">
        <v>491</v>
      </c>
      <c r="F3226" s="15" t="s">
        <v>492</v>
      </c>
      <c r="G3226" s="46" t="s">
        <v>521</v>
      </c>
      <c r="H3226" s="47" t="s">
        <v>522</v>
      </c>
      <c r="I3226" s="48" t="s">
        <v>37</v>
      </c>
      <c r="J3226" s="49">
        <v>1698448.0</v>
      </c>
    </row>
    <row r="3227">
      <c r="A3227" s="45" t="s">
        <v>74</v>
      </c>
      <c r="B3227" s="16" t="s">
        <v>212</v>
      </c>
      <c r="C3227" s="17" t="s">
        <v>213</v>
      </c>
      <c r="D3227" s="15">
        <v>5.0</v>
      </c>
      <c r="E3227" s="17" t="s">
        <v>491</v>
      </c>
      <c r="F3227" s="15" t="s">
        <v>492</v>
      </c>
      <c r="G3227" s="46" t="s">
        <v>493</v>
      </c>
      <c r="H3227" s="47" t="s">
        <v>437</v>
      </c>
      <c r="I3227" s="48" t="s">
        <v>25</v>
      </c>
      <c r="J3227" s="49">
        <v>9490547.0</v>
      </c>
    </row>
    <row r="3228">
      <c r="A3228" s="45" t="s">
        <v>74</v>
      </c>
      <c r="B3228" s="16" t="s">
        <v>212</v>
      </c>
      <c r="C3228" s="17" t="s">
        <v>213</v>
      </c>
      <c r="D3228" s="15">
        <v>5.0</v>
      </c>
      <c r="E3228" s="17" t="s">
        <v>491</v>
      </c>
      <c r="F3228" s="15" t="s">
        <v>492</v>
      </c>
      <c r="G3228" s="46" t="s">
        <v>458</v>
      </c>
      <c r="H3228" s="47" t="s">
        <v>411</v>
      </c>
      <c r="I3228" s="48" t="s">
        <v>19</v>
      </c>
      <c r="J3228" s="49">
        <v>1.981772E7</v>
      </c>
    </row>
    <row r="3229">
      <c r="A3229" s="45" t="s">
        <v>74</v>
      </c>
      <c r="B3229" s="16" t="s">
        <v>212</v>
      </c>
      <c r="C3229" s="17" t="s">
        <v>213</v>
      </c>
      <c r="D3229" s="15">
        <v>5.0</v>
      </c>
      <c r="E3229" s="17" t="s">
        <v>475</v>
      </c>
      <c r="F3229" s="15" t="s">
        <v>476</v>
      </c>
      <c r="G3229" s="46" t="s">
        <v>498</v>
      </c>
      <c r="H3229" s="47" t="s">
        <v>434</v>
      </c>
      <c r="I3229" s="48" t="s">
        <v>25</v>
      </c>
      <c r="J3229" s="49">
        <v>2003500.0</v>
      </c>
    </row>
    <row r="3230">
      <c r="A3230" s="45" t="s">
        <v>74</v>
      </c>
      <c r="B3230" s="16" t="s">
        <v>212</v>
      </c>
      <c r="C3230" s="17" t="s">
        <v>213</v>
      </c>
      <c r="D3230" s="15">
        <v>5.0</v>
      </c>
      <c r="E3230" s="17" t="s">
        <v>475</v>
      </c>
      <c r="F3230" s="15" t="s">
        <v>476</v>
      </c>
      <c r="G3230" s="46" t="s">
        <v>477</v>
      </c>
      <c r="H3230" s="47" t="s">
        <v>429</v>
      </c>
      <c r="I3230" s="48" t="s">
        <v>50</v>
      </c>
      <c r="J3230" s="49">
        <v>3.5565709E7</v>
      </c>
    </row>
    <row r="3231">
      <c r="A3231" s="45" t="s">
        <v>74</v>
      </c>
      <c r="B3231" s="16" t="s">
        <v>212</v>
      </c>
      <c r="C3231" s="17" t="s">
        <v>213</v>
      </c>
      <c r="D3231" s="15">
        <v>5.0</v>
      </c>
      <c r="E3231" s="17" t="s">
        <v>524</v>
      </c>
      <c r="F3231" s="15" t="s">
        <v>479</v>
      </c>
      <c r="G3231" s="46" t="s">
        <v>443</v>
      </c>
      <c r="H3231" s="47" t="s">
        <v>420</v>
      </c>
      <c r="I3231" s="48" t="s">
        <v>19</v>
      </c>
      <c r="J3231" s="49">
        <v>9.5180064E7</v>
      </c>
    </row>
    <row r="3232">
      <c r="A3232" s="45" t="s">
        <v>74</v>
      </c>
      <c r="B3232" s="16" t="s">
        <v>212</v>
      </c>
      <c r="C3232" s="17" t="s">
        <v>213</v>
      </c>
      <c r="D3232" s="15">
        <v>5.0</v>
      </c>
      <c r="E3232" s="17" t="s">
        <v>524</v>
      </c>
      <c r="F3232" s="15" t="s">
        <v>479</v>
      </c>
      <c r="G3232" s="46" t="s">
        <v>444</v>
      </c>
      <c r="H3232" s="47" t="s">
        <v>445</v>
      </c>
      <c r="I3232" s="48" t="s">
        <v>19</v>
      </c>
      <c r="J3232" s="49">
        <v>1.2381332E7</v>
      </c>
    </row>
    <row r="3233">
      <c r="A3233" s="45" t="s">
        <v>74</v>
      </c>
      <c r="B3233" s="16" t="s">
        <v>212</v>
      </c>
      <c r="C3233" s="17" t="s">
        <v>213</v>
      </c>
      <c r="D3233" s="15">
        <v>5.0</v>
      </c>
      <c r="E3233" s="17" t="s">
        <v>524</v>
      </c>
      <c r="F3233" s="15" t="s">
        <v>479</v>
      </c>
      <c r="G3233" s="46" t="s">
        <v>579</v>
      </c>
      <c r="H3233" s="47" t="s">
        <v>580</v>
      </c>
      <c r="I3233" s="48" t="s">
        <v>19</v>
      </c>
      <c r="J3233" s="49">
        <v>9818751.0</v>
      </c>
    </row>
    <row r="3234">
      <c r="A3234" s="45" t="s">
        <v>74</v>
      </c>
      <c r="B3234" s="16" t="s">
        <v>212</v>
      </c>
      <c r="C3234" s="17" t="s">
        <v>213</v>
      </c>
      <c r="D3234" s="15">
        <v>5.0</v>
      </c>
      <c r="E3234" s="17" t="s">
        <v>524</v>
      </c>
      <c r="F3234" s="15" t="s">
        <v>479</v>
      </c>
      <c r="G3234" s="46" t="s">
        <v>446</v>
      </c>
      <c r="H3234" s="47" t="s">
        <v>447</v>
      </c>
      <c r="I3234" s="48" t="s">
        <v>19</v>
      </c>
      <c r="J3234" s="49">
        <v>1110902.0</v>
      </c>
    </row>
    <row r="3235">
      <c r="A3235" s="45" t="s">
        <v>74</v>
      </c>
      <c r="B3235" s="16" t="s">
        <v>212</v>
      </c>
      <c r="C3235" s="17" t="s">
        <v>213</v>
      </c>
      <c r="D3235" s="15">
        <v>5.0</v>
      </c>
      <c r="E3235" s="17" t="s">
        <v>524</v>
      </c>
      <c r="F3235" s="15" t="s">
        <v>479</v>
      </c>
      <c r="G3235" s="46" t="s">
        <v>448</v>
      </c>
      <c r="H3235" s="47" t="s">
        <v>449</v>
      </c>
      <c r="I3235" s="48" t="s">
        <v>19</v>
      </c>
      <c r="J3235" s="49">
        <v>2355599.0</v>
      </c>
    </row>
    <row r="3236">
      <c r="A3236" s="45" t="s">
        <v>74</v>
      </c>
      <c r="B3236" s="16" t="s">
        <v>212</v>
      </c>
      <c r="C3236" s="17" t="s">
        <v>213</v>
      </c>
      <c r="D3236" s="15">
        <v>5.0</v>
      </c>
      <c r="E3236" s="17" t="s">
        <v>524</v>
      </c>
      <c r="F3236" s="15" t="s">
        <v>479</v>
      </c>
      <c r="G3236" s="46" t="s">
        <v>450</v>
      </c>
      <c r="H3236" s="47" t="s">
        <v>451</v>
      </c>
      <c r="I3236" s="48" t="s">
        <v>19</v>
      </c>
      <c r="J3236" s="49">
        <v>0.0</v>
      </c>
    </row>
    <row r="3237">
      <c r="A3237" s="45" t="s">
        <v>74</v>
      </c>
      <c r="B3237" s="16" t="s">
        <v>212</v>
      </c>
      <c r="C3237" s="17" t="s">
        <v>213</v>
      </c>
      <c r="D3237" s="15">
        <v>5.0</v>
      </c>
      <c r="E3237" s="17" t="s">
        <v>524</v>
      </c>
      <c r="F3237" s="15" t="s">
        <v>479</v>
      </c>
      <c r="G3237" s="46" t="s">
        <v>452</v>
      </c>
      <c r="H3237" s="47" t="s">
        <v>453</v>
      </c>
      <c r="I3237" s="48" t="s">
        <v>19</v>
      </c>
      <c r="J3237" s="49">
        <v>2055168.0</v>
      </c>
    </row>
    <row r="3238">
      <c r="A3238" s="45" t="s">
        <v>74</v>
      </c>
      <c r="B3238" s="16" t="s">
        <v>212</v>
      </c>
      <c r="C3238" s="17" t="s">
        <v>213</v>
      </c>
      <c r="D3238" s="15">
        <v>5.0</v>
      </c>
      <c r="E3238" s="17" t="s">
        <v>524</v>
      </c>
      <c r="F3238" s="15" t="s">
        <v>479</v>
      </c>
      <c r="G3238" s="46" t="s">
        <v>454</v>
      </c>
      <c r="H3238" s="47" t="s">
        <v>415</v>
      </c>
      <c r="I3238" s="48" t="s">
        <v>19</v>
      </c>
      <c r="J3238" s="49">
        <v>299944.0</v>
      </c>
    </row>
    <row r="3239">
      <c r="A3239" s="45" t="s">
        <v>74</v>
      </c>
      <c r="B3239" s="16" t="s">
        <v>212</v>
      </c>
      <c r="C3239" s="17" t="s">
        <v>213</v>
      </c>
      <c r="D3239" s="15">
        <v>5.0</v>
      </c>
      <c r="E3239" s="17" t="s">
        <v>524</v>
      </c>
      <c r="F3239" s="15" t="s">
        <v>479</v>
      </c>
      <c r="G3239" s="46" t="s">
        <v>455</v>
      </c>
      <c r="H3239" s="47" t="s">
        <v>415</v>
      </c>
      <c r="I3239" s="48" t="s">
        <v>19</v>
      </c>
      <c r="J3239" s="49">
        <v>166636.0</v>
      </c>
    </row>
    <row r="3240">
      <c r="A3240" s="45" t="s">
        <v>74</v>
      </c>
      <c r="B3240" s="16" t="s">
        <v>212</v>
      </c>
      <c r="C3240" s="17" t="s">
        <v>213</v>
      </c>
      <c r="D3240" s="15">
        <v>5.0</v>
      </c>
      <c r="E3240" s="17" t="s">
        <v>524</v>
      </c>
      <c r="F3240" s="15" t="s">
        <v>479</v>
      </c>
      <c r="G3240" s="46" t="s">
        <v>499</v>
      </c>
      <c r="H3240" s="47" t="s">
        <v>500</v>
      </c>
      <c r="I3240" s="48" t="s">
        <v>19</v>
      </c>
      <c r="J3240" s="49">
        <v>2016348.0</v>
      </c>
    </row>
    <row r="3241">
      <c r="A3241" s="45" t="s">
        <v>74</v>
      </c>
      <c r="B3241" s="16" t="s">
        <v>212</v>
      </c>
      <c r="C3241" s="17" t="s">
        <v>213</v>
      </c>
      <c r="D3241" s="15">
        <v>5.0</v>
      </c>
      <c r="E3241" s="17" t="s">
        <v>524</v>
      </c>
      <c r="F3241" s="15" t="s">
        <v>479</v>
      </c>
      <c r="G3241" s="46" t="s">
        <v>583</v>
      </c>
      <c r="H3241" s="47" t="s">
        <v>584</v>
      </c>
      <c r="I3241" s="48" t="s">
        <v>25</v>
      </c>
      <c r="J3241" s="49">
        <v>2.1E7</v>
      </c>
    </row>
    <row r="3242">
      <c r="A3242" s="45" t="s">
        <v>74</v>
      </c>
      <c r="B3242" s="16" t="s">
        <v>212</v>
      </c>
      <c r="C3242" s="17" t="s">
        <v>213</v>
      </c>
      <c r="D3242" s="15">
        <v>5.0</v>
      </c>
      <c r="E3242" s="17" t="s">
        <v>525</v>
      </c>
      <c r="F3242" s="15" t="s">
        <v>502</v>
      </c>
      <c r="G3242" s="46" t="s">
        <v>526</v>
      </c>
      <c r="H3242" s="47" t="s">
        <v>527</v>
      </c>
      <c r="I3242" s="48" t="s">
        <v>60</v>
      </c>
      <c r="J3242" s="49">
        <v>8.8449164E7</v>
      </c>
    </row>
    <row r="3243">
      <c r="A3243" s="45" t="s">
        <v>74</v>
      </c>
      <c r="B3243" s="16" t="s">
        <v>212</v>
      </c>
      <c r="C3243" s="17" t="s">
        <v>213</v>
      </c>
      <c r="D3243" s="15">
        <v>5.0</v>
      </c>
      <c r="E3243" s="17" t="s">
        <v>525</v>
      </c>
      <c r="F3243" s="15" t="s">
        <v>502</v>
      </c>
      <c r="G3243" s="46" t="s">
        <v>539</v>
      </c>
      <c r="H3243" s="47" t="s">
        <v>540</v>
      </c>
      <c r="I3243" s="48" t="s">
        <v>60</v>
      </c>
      <c r="J3243" s="49">
        <v>4700200.0</v>
      </c>
    </row>
    <row r="3244">
      <c r="A3244" s="45" t="s">
        <v>74</v>
      </c>
      <c r="B3244" s="16" t="s">
        <v>212</v>
      </c>
      <c r="C3244" s="17" t="s">
        <v>213</v>
      </c>
      <c r="D3244" s="15">
        <v>5.0</v>
      </c>
      <c r="E3244" s="17" t="s">
        <v>525</v>
      </c>
      <c r="F3244" s="15" t="s">
        <v>502</v>
      </c>
      <c r="G3244" s="46" t="s">
        <v>505</v>
      </c>
      <c r="H3244" s="47" t="s">
        <v>506</v>
      </c>
      <c r="I3244" s="48" t="s">
        <v>60</v>
      </c>
      <c r="J3244" s="49">
        <v>1.6311643E7</v>
      </c>
    </row>
    <row r="3245">
      <c r="A3245" s="45" t="s">
        <v>74</v>
      </c>
      <c r="B3245" s="16" t="s">
        <v>212</v>
      </c>
      <c r="C3245" s="17" t="s">
        <v>213</v>
      </c>
      <c r="D3245" s="15">
        <v>5.0</v>
      </c>
      <c r="E3245" s="17" t="s">
        <v>525</v>
      </c>
      <c r="F3245" s="15" t="s">
        <v>502</v>
      </c>
      <c r="G3245" s="46" t="s">
        <v>507</v>
      </c>
      <c r="H3245" s="47" t="s">
        <v>508</v>
      </c>
      <c r="I3245" s="48" t="s">
        <v>60</v>
      </c>
      <c r="J3245" s="49">
        <v>1.0689239E7</v>
      </c>
    </row>
    <row r="3246">
      <c r="A3246" s="45" t="s">
        <v>74</v>
      </c>
      <c r="B3246" s="16" t="s">
        <v>212</v>
      </c>
      <c r="C3246" s="17" t="s">
        <v>213</v>
      </c>
      <c r="D3246" s="15">
        <v>5.0</v>
      </c>
      <c r="E3246" s="17" t="s">
        <v>525</v>
      </c>
      <c r="F3246" s="15" t="s">
        <v>502</v>
      </c>
      <c r="G3246" s="46" t="s">
        <v>561</v>
      </c>
      <c r="H3246" s="47" t="s">
        <v>562</v>
      </c>
      <c r="I3246" s="48" t="s">
        <v>60</v>
      </c>
      <c r="J3246" s="49">
        <v>2400084.0</v>
      </c>
    </row>
    <row r="3247">
      <c r="A3247" s="45" t="s">
        <v>74</v>
      </c>
      <c r="B3247" s="16" t="s">
        <v>212</v>
      </c>
      <c r="C3247" s="17" t="s">
        <v>213</v>
      </c>
      <c r="D3247" s="15">
        <v>5.0</v>
      </c>
      <c r="E3247" s="17" t="s">
        <v>525</v>
      </c>
      <c r="F3247" s="15" t="s">
        <v>502</v>
      </c>
      <c r="G3247" s="46" t="s">
        <v>509</v>
      </c>
      <c r="H3247" s="47" t="s">
        <v>510</v>
      </c>
      <c r="I3247" s="48" t="s">
        <v>60</v>
      </c>
      <c r="J3247" s="49">
        <v>236667.0</v>
      </c>
    </row>
    <row r="3248">
      <c r="A3248" s="45" t="s">
        <v>74</v>
      </c>
      <c r="B3248" s="16" t="s">
        <v>212</v>
      </c>
      <c r="C3248" s="17" t="s">
        <v>213</v>
      </c>
      <c r="D3248" s="15">
        <v>5.0</v>
      </c>
      <c r="E3248" s="17" t="s">
        <v>525</v>
      </c>
      <c r="F3248" s="15" t="s">
        <v>502</v>
      </c>
      <c r="G3248" s="46" t="s">
        <v>511</v>
      </c>
      <c r="H3248" s="47" t="s">
        <v>512</v>
      </c>
      <c r="I3248" s="48" t="s">
        <v>60</v>
      </c>
      <c r="J3248" s="49">
        <v>1.07609328E8</v>
      </c>
    </row>
    <row r="3249">
      <c r="A3249" s="45" t="s">
        <v>74</v>
      </c>
      <c r="B3249" s="16" t="s">
        <v>212</v>
      </c>
      <c r="C3249" s="17" t="s">
        <v>213</v>
      </c>
      <c r="D3249" s="15">
        <v>5.0</v>
      </c>
      <c r="E3249" s="17" t="s">
        <v>525</v>
      </c>
      <c r="F3249" s="15" t="s">
        <v>502</v>
      </c>
      <c r="G3249" s="46" t="s">
        <v>513</v>
      </c>
      <c r="H3249" s="47" t="s">
        <v>514</v>
      </c>
      <c r="I3249" s="48" t="s">
        <v>60</v>
      </c>
      <c r="J3249" s="49">
        <v>1821493.0</v>
      </c>
    </row>
    <row r="3250">
      <c r="A3250" s="45" t="s">
        <v>74</v>
      </c>
      <c r="B3250" s="16" t="s">
        <v>212</v>
      </c>
      <c r="C3250" s="17" t="s">
        <v>213</v>
      </c>
      <c r="D3250" s="15">
        <v>5.0</v>
      </c>
      <c r="E3250" s="17" t="s">
        <v>563</v>
      </c>
      <c r="F3250" s="15" t="s">
        <v>564</v>
      </c>
      <c r="G3250" s="46" t="s">
        <v>489</v>
      </c>
      <c r="H3250" s="47" t="s">
        <v>490</v>
      </c>
      <c r="I3250" s="48" t="s">
        <v>25</v>
      </c>
      <c r="J3250" s="49">
        <v>0.0</v>
      </c>
    </row>
    <row r="3251">
      <c r="A3251" s="45" t="s">
        <v>74</v>
      </c>
      <c r="B3251" s="16" t="s">
        <v>212</v>
      </c>
      <c r="C3251" s="17" t="s">
        <v>213</v>
      </c>
      <c r="D3251" s="15">
        <v>5.0</v>
      </c>
      <c r="E3251" s="17" t="s">
        <v>563</v>
      </c>
      <c r="F3251" s="15" t="s">
        <v>564</v>
      </c>
      <c r="G3251" s="46" t="s">
        <v>558</v>
      </c>
      <c r="H3251" s="47" t="s">
        <v>559</v>
      </c>
      <c r="I3251" s="48" t="s">
        <v>25</v>
      </c>
      <c r="J3251" s="49">
        <v>50000.0</v>
      </c>
    </row>
    <row r="3252">
      <c r="A3252" s="45" t="s">
        <v>74</v>
      </c>
      <c r="B3252" s="16" t="s">
        <v>212</v>
      </c>
      <c r="C3252" s="17" t="s">
        <v>213</v>
      </c>
      <c r="D3252" s="15">
        <v>5.0</v>
      </c>
      <c r="E3252" s="17" t="s">
        <v>563</v>
      </c>
      <c r="F3252" s="15" t="s">
        <v>564</v>
      </c>
      <c r="G3252" s="46" t="s">
        <v>544</v>
      </c>
      <c r="H3252" s="47" t="s">
        <v>421</v>
      </c>
      <c r="I3252" s="48" t="s">
        <v>25</v>
      </c>
      <c r="J3252" s="49">
        <v>880000.0</v>
      </c>
    </row>
    <row r="3253">
      <c r="A3253" s="45" t="s">
        <v>74</v>
      </c>
      <c r="B3253" s="16" t="s">
        <v>220</v>
      </c>
      <c r="C3253" s="17" t="s">
        <v>221</v>
      </c>
      <c r="D3253" s="15">
        <v>5.0</v>
      </c>
      <c r="E3253" s="17" t="s">
        <v>441</v>
      </c>
      <c r="F3253" s="15" t="s">
        <v>442</v>
      </c>
      <c r="G3253" s="46" t="s">
        <v>443</v>
      </c>
      <c r="H3253" s="47" t="s">
        <v>420</v>
      </c>
      <c r="I3253" s="48" t="s">
        <v>19</v>
      </c>
      <c r="J3253" s="49">
        <v>5.162009E7</v>
      </c>
    </row>
    <row r="3254">
      <c r="A3254" s="45" t="s">
        <v>74</v>
      </c>
      <c r="B3254" s="16" t="s">
        <v>220</v>
      </c>
      <c r="C3254" s="17" t="s">
        <v>221</v>
      </c>
      <c r="D3254" s="15">
        <v>5.0</v>
      </c>
      <c r="E3254" s="17" t="s">
        <v>441</v>
      </c>
      <c r="F3254" s="15" t="s">
        <v>442</v>
      </c>
      <c r="G3254" s="46" t="s">
        <v>444</v>
      </c>
      <c r="H3254" s="47" t="s">
        <v>445</v>
      </c>
      <c r="I3254" s="48" t="s">
        <v>19</v>
      </c>
      <c r="J3254" s="49">
        <v>1.1474111E7</v>
      </c>
    </row>
    <row r="3255">
      <c r="A3255" s="45" t="s">
        <v>74</v>
      </c>
      <c r="B3255" s="16" t="s">
        <v>220</v>
      </c>
      <c r="C3255" s="17" t="s">
        <v>221</v>
      </c>
      <c r="D3255" s="15">
        <v>5.0</v>
      </c>
      <c r="E3255" s="17" t="s">
        <v>441</v>
      </c>
      <c r="F3255" s="15" t="s">
        <v>442</v>
      </c>
      <c r="G3255" s="46" t="s">
        <v>579</v>
      </c>
      <c r="H3255" s="47" t="s">
        <v>580</v>
      </c>
      <c r="I3255" s="48" t="s">
        <v>19</v>
      </c>
      <c r="J3255" s="49">
        <v>5409278.0</v>
      </c>
    </row>
    <row r="3256">
      <c r="A3256" s="45" t="s">
        <v>74</v>
      </c>
      <c r="B3256" s="16" t="s">
        <v>220</v>
      </c>
      <c r="C3256" s="17" t="s">
        <v>221</v>
      </c>
      <c r="D3256" s="15">
        <v>5.0</v>
      </c>
      <c r="E3256" s="17" t="s">
        <v>441</v>
      </c>
      <c r="F3256" s="15" t="s">
        <v>442</v>
      </c>
      <c r="G3256" s="46" t="s">
        <v>446</v>
      </c>
      <c r="H3256" s="47" t="s">
        <v>447</v>
      </c>
      <c r="I3256" s="48" t="s">
        <v>19</v>
      </c>
      <c r="J3256" s="49">
        <v>534882.0</v>
      </c>
    </row>
    <row r="3257">
      <c r="A3257" s="45" t="s">
        <v>74</v>
      </c>
      <c r="B3257" s="16" t="s">
        <v>220</v>
      </c>
      <c r="C3257" s="17" t="s">
        <v>221</v>
      </c>
      <c r="D3257" s="15">
        <v>5.0</v>
      </c>
      <c r="E3257" s="17" t="s">
        <v>441</v>
      </c>
      <c r="F3257" s="15" t="s">
        <v>442</v>
      </c>
      <c r="G3257" s="46" t="s">
        <v>448</v>
      </c>
      <c r="H3257" s="47" t="s">
        <v>449</v>
      </c>
      <c r="I3257" s="48" t="s">
        <v>19</v>
      </c>
      <c r="J3257" s="49">
        <v>772465.0</v>
      </c>
    </row>
    <row r="3258">
      <c r="A3258" s="45" t="s">
        <v>74</v>
      </c>
      <c r="B3258" s="16" t="s">
        <v>220</v>
      </c>
      <c r="C3258" s="17" t="s">
        <v>221</v>
      </c>
      <c r="D3258" s="15">
        <v>5.0</v>
      </c>
      <c r="E3258" s="17" t="s">
        <v>441</v>
      </c>
      <c r="F3258" s="15" t="s">
        <v>442</v>
      </c>
      <c r="G3258" s="46" t="s">
        <v>450</v>
      </c>
      <c r="H3258" s="47" t="s">
        <v>451</v>
      </c>
      <c r="I3258" s="48" t="s">
        <v>19</v>
      </c>
      <c r="J3258" s="49">
        <v>0.0</v>
      </c>
    </row>
    <row r="3259">
      <c r="A3259" s="45" t="s">
        <v>74</v>
      </c>
      <c r="B3259" s="16" t="s">
        <v>220</v>
      </c>
      <c r="C3259" s="17" t="s">
        <v>221</v>
      </c>
      <c r="D3259" s="15">
        <v>5.0</v>
      </c>
      <c r="E3259" s="17" t="s">
        <v>441</v>
      </c>
      <c r="F3259" s="15" t="s">
        <v>442</v>
      </c>
      <c r="G3259" s="46" t="s">
        <v>452</v>
      </c>
      <c r="H3259" s="47" t="s">
        <v>453</v>
      </c>
      <c r="I3259" s="48" t="s">
        <v>19</v>
      </c>
      <c r="J3259" s="49">
        <v>989531.0</v>
      </c>
    </row>
    <row r="3260">
      <c r="A3260" s="45" t="s">
        <v>74</v>
      </c>
      <c r="B3260" s="16" t="s">
        <v>220</v>
      </c>
      <c r="C3260" s="17" t="s">
        <v>221</v>
      </c>
      <c r="D3260" s="15">
        <v>5.0</v>
      </c>
      <c r="E3260" s="17" t="s">
        <v>441</v>
      </c>
      <c r="F3260" s="15" t="s">
        <v>442</v>
      </c>
      <c r="G3260" s="46" t="s">
        <v>454</v>
      </c>
      <c r="H3260" s="47" t="s">
        <v>415</v>
      </c>
      <c r="I3260" s="48" t="s">
        <v>19</v>
      </c>
      <c r="J3260" s="49">
        <v>144418.0</v>
      </c>
    </row>
    <row r="3261">
      <c r="A3261" s="45" t="s">
        <v>74</v>
      </c>
      <c r="B3261" s="16" t="s">
        <v>220</v>
      </c>
      <c r="C3261" s="17" t="s">
        <v>221</v>
      </c>
      <c r="D3261" s="15">
        <v>5.0</v>
      </c>
      <c r="E3261" s="17" t="s">
        <v>441</v>
      </c>
      <c r="F3261" s="15" t="s">
        <v>442</v>
      </c>
      <c r="G3261" s="46" t="s">
        <v>455</v>
      </c>
      <c r="H3261" s="47" t="s">
        <v>415</v>
      </c>
      <c r="I3261" s="48" t="s">
        <v>19</v>
      </c>
      <c r="J3261" s="49">
        <v>80232.0</v>
      </c>
    </row>
    <row r="3262">
      <c r="A3262" s="45" t="s">
        <v>74</v>
      </c>
      <c r="B3262" s="16" t="s">
        <v>220</v>
      </c>
      <c r="C3262" s="17" t="s">
        <v>221</v>
      </c>
      <c r="D3262" s="15">
        <v>5.0</v>
      </c>
      <c r="E3262" s="17" t="s">
        <v>441</v>
      </c>
      <c r="F3262" s="15" t="s">
        <v>442</v>
      </c>
      <c r="G3262" s="46" t="s">
        <v>583</v>
      </c>
      <c r="H3262" s="47" t="s">
        <v>584</v>
      </c>
      <c r="I3262" s="48" t="s">
        <v>25</v>
      </c>
      <c r="J3262" s="49">
        <v>9000000.0</v>
      </c>
    </row>
    <row r="3263">
      <c r="A3263" s="45" t="s">
        <v>74</v>
      </c>
      <c r="B3263" s="16" t="s">
        <v>220</v>
      </c>
      <c r="C3263" s="17" t="s">
        <v>221</v>
      </c>
      <c r="D3263" s="15">
        <v>5.0</v>
      </c>
      <c r="E3263" s="17" t="s">
        <v>456</v>
      </c>
      <c r="F3263" s="15" t="s">
        <v>457</v>
      </c>
      <c r="G3263" s="46" t="s">
        <v>458</v>
      </c>
      <c r="H3263" s="47" t="s">
        <v>411</v>
      </c>
      <c r="I3263" s="48" t="s">
        <v>19</v>
      </c>
      <c r="J3263" s="49">
        <v>2.06933525E8</v>
      </c>
    </row>
    <row r="3264">
      <c r="A3264" s="45" t="s">
        <v>74</v>
      </c>
      <c r="B3264" s="16" t="s">
        <v>220</v>
      </c>
      <c r="C3264" s="17" t="s">
        <v>221</v>
      </c>
      <c r="D3264" s="15">
        <v>5.0</v>
      </c>
      <c r="E3264" s="17" t="s">
        <v>459</v>
      </c>
      <c r="F3264" s="15" t="s">
        <v>460</v>
      </c>
      <c r="G3264" s="46" t="s">
        <v>458</v>
      </c>
      <c r="H3264" s="47" t="s">
        <v>411</v>
      </c>
      <c r="I3264" s="48" t="s">
        <v>19</v>
      </c>
      <c r="J3264" s="49">
        <v>5979404.0</v>
      </c>
    </row>
    <row r="3265">
      <c r="A3265" s="45" t="s">
        <v>74</v>
      </c>
      <c r="B3265" s="16" t="s">
        <v>220</v>
      </c>
      <c r="C3265" s="17" t="s">
        <v>221</v>
      </c>
      <c r="D3265" s="15">
        <v>5.0</v>
      </c>
      <c r="E3265" s="17" t="s">
        <v>463</v>
      </c>
      <c r="F3265" s="15" t="s">
        <v>464</v>
      </c>
      <c r="G3265" s="46" t="s">
        <v>517</v>
      </c>
      <c r="H3265" s="47" t="s">
        <v>518</v>
      </c>
      <c r="I3265" s="48" t="s">
        <v>25</v>
      </c>
      <c r="J3265" s="49">
        <v>1354405.0</v>
      </c>
    </row>
    <row r="3266">
      <c r="A3266" s="45" t="s">
        <v>74</v>
      </c>
      <c r="B3266" s="16" t="s">
        <v>220</v>
      </c>
      <c r="C3266" s="17" t="s">
        <v>221</v>
      </c>
      <c r="D3266" s="15">
        <v>5.0</v>
      </c>
      <c r="E3266" s="17" t="s">
        <v>473</v>
      </c>
      <c r="F3266" s="15" t="s">
        <v>474</v>
      </c>
      <c r="G3266" s="46" t="s">
        <v>443</v>
      </c>
      <c r="H3266" s="47" t="s">
        <v>420</v>
      </c>
      <c r="I3266" s="48" t="s">
        <v>19</v>
      </c>
      <c r="J3266" s="49">
        <v>6975000.0</v>
      </c>
    </row>
    <row r="3267">
      <c r="A3267" s="45" t="s">
        <v>74</v>
      </c>
      <c r="B3267" s="16" t="s">
        <v>220</v>
      </c>
      <c r="C3267" s="17" t="s">
        <v>221</v>
      </c>
      <c r="D3267" s="15">
        <v>5.0</v>
      </c>
      <c r="E3267" s="17" t="s">
        <v>473</v>
      </c>
      <c r="F3267" s="15" t="s">
        <v>474</v>
      </c>
      <c r="G3267" s="46" t="s">
        <v>444</v>
      </c>
      <c r="H3267" s="47" t="s">
        <v>445</v>
      </c>
      <c r="I3267" s="48" t="s">
        <v>19</v>
      </c>
      <c r="J3267" s="49">
        <v>156298.0</v>
      </c>
    </row>
    <row r="3268">
      <c r="A3268" s="45" t="s">
        <v>74</v>
      </c>
      <c r="B3268" s="16" t="s">
        <v>220</v>
      </c>
      <c r="C3268" s="17" t="s">
        <v>221</v>
      </c>
      <c r="D3268" s="15">
        <v>5.0</v>
      </c>
      <c r="E3268" s="17" t="s">
        <v>473</v>
      </c>
      <c r="F3268" s="15" t="s">
        <v>474</v>
      </c>
      <c r="G3268" s="46" t="s">
        <v>579</v>
      </c>
      <c r="H3268" s="47" t="s">
        <v>580</v>
      </c>
      <c r="I3268" s="48" t="s">
        <v>19</v>
      </c>
      <c r="J3268" s="49">
        <v>599082.0</v>
      </c>
    </row>
    <row r="3269">
      <c r="A3269" s="45" t="s">
        <v>74</v>
      </c>
      <c r="B3269" s="16" t="s">
        <v>220</v>
      </c>
      <c r="C3269" s="17" t="s">
        <v>221</v>
      </c>
      <c r="D3269" s="15">
        <v>5.0</v>
      </c>
      <c r="E3269" s="17" t="s">
        <v>473</v>
      </c>
      <c r="F3269" s="15" t="s">
        <v>474</v>
      </c>
      <c r="G3269" s="46" t="s">
        <v>523</v>
      </c>
      <c r="H3269" s="47" t="s">
        <v>431</v>
      </c>
      <c r="I3269" s="48" t="s">
        <v>25</v>
      </c>
      <c r="J3269" s="49">
        <v>1.0E7</v>
      </c>
    </row>
    <row r="3270">
      <c r="A3270" s="45" t="s">
        <v>74</v>
      </c>
      <c r="B3270" s="16" t="s">
        <v>220</v>
      </c>
      <c r="C3270" s="17" t="s">
        <v>221</v>
      </c>
      <c r="D3270" s="15">
        <v>5.0</v>
      </c>
      <c r="E3270" s="17" t="s">
        <v>491</v>
      </c>
      <c r="F3270" s="15" t="s">
        <v>492</v>
      </c>
      <c r="G3270" s="46" t="s">
        <v>493</v>
      </c>
      <c r="H3270" s="47" t="s">
        <v>437</v>
      </c>
      <c r="I3270" s="48" t="s">
        <v>25</v>
      </c>
      <c r="J3270" s="49">
        <v>1.8602671E7</v>
      </c>
    </row>
    <row r="3271">
      <c r="A3271" s="45" t="s">
        <v>74</v>
      </c>
      <c r="B3271" s="16" t="s">
        <v>220</v>
      </c>
      <c r="C3271" s="17" t="s">
        <v>221</v>
      </c>
      <c r="D3271" s="15">
        <v>5.0</v>
      </c>
      <c r="E3271" s="17" t="s">
        <v>494</v>
      </c>
      <c r="F3271" s="15" t="s">
        <v>495</v>
      </c>
      <c r="G3271" s="46" t="s">
        <v>496</v>
      </c>
      <c r="H3271" s="47" t="s">
        <v>497</v>
      </c>
      <c r="I3271" s="48" t="s">
        <v>25</v>
      </c>
      <c r="J3271" s="49">
        <v>2735408.0</v>
      </c>
    </row>
    <row r="3272">
      <c r="A3272" s="45" t="s">
        <v>74</v>
      </c>
      <c r="B3272" s="16" t="s">
        <v>220</v>
      </c>
      <c r="C3272" s="17" t="s">
        <v>221</v>
      </c>
      <c r="D3272" s="15">
        <v>5.0</v>
      </c>
      <c r="E3272" s="17" t="s">
        <v>475</v>
      </c>
      <c r="F3272" s="15" t="s">
        <v>476</v>
      </c>
      <c r="G3272" s="46" t="s">
        <v>545</v>
      </c>
      <c r="H3272" s="47" t="s">
        <v>427</v>
      </c>
      <c r="I3272" s="48" t="s">
        <v>25</v>
      </c>
      <c r="J3272" s="49">
        <v>0.0</v>
      </c>
    </row>
    <row r="3273">
      <c r="A3273" s="45" t="s">
        <v>74</v>
      </c>
      <c r="B3273" s="16" t="s">
        <v>220</v>
      </c>
      <c r="C3273" s="17" t="s">
        <v>221</v>
      </c>
      <c r="D3273" s="15">
        <v>5.0</v>
      </c>
      <c r="E3273" s="17" t="s">
        <v>475</v>
      </c>
      <c r="F3273" s="15" t="s">
        <v>476</v>
      </c>
      <c r="G3273" s="46" t="s">
        <v>477</v>
      </c>
      <c r="H3273" s="47" t="s">
        <v>429</v>
      </c>
      <c r="I3273" s="48" t="s">
        <v>50</v>
      </c>
      <c r="J3273" s="49">
        <v>5.3054164E7</v>
      </c>
    </row>
    <row r="3274">
      <c r="A3274" s="45" t="s">
        <v>74</v>
      </c>
      <c r="B3274" s="16" t="s">
        <v>220</v>
      </c>
      <c r="C3274" s="17" t="s">
        <v>221</v>
      </c>
      <c r="D3274" s="15">
        <v>5.0</v>
      </c>
      <c r="E3274" s="17" t="s">
        <v>524</v>
      </c>
      <c r="F3274" s="15" t="s">
        <v>479</v>
      </c>
      <c r="G3274" s="46" t="s">
        <v>443</v>
      </c>
      <c r="H3274" s="47" t="s">
        <v>420</v>
      </c>
      <c r="I3274" s="48" t="s">
        <v>19</v>
      </c>
      <c r="J3274" s="49">
        <v>1.51635644E8</v>
      </c>
    </row>
    <row r="3275">
      <c r="A3275" s="45" t="s">
        <v>74</v>
      </c>
      <c r="B3275" s="16" t="s">
        <v>220</v>
      </c>
      <c r="C3275" s="17" t="s">
        <v>221</v>
      </c>
      <c r="D3275" s="15">
        <v>5.0</v>
      </c>
      <c r="E3275" s="17" t="s">
        <v>524</v>
      </c>
      <c r="F3275" s="15" t="s">
        <v>479</v>
      </c>
      <c r="G3275" s="46" t="s">
        <v>444</v>
      </c>
      <c r="H3275" s="47" t="s">
        <v>445</v>
      </c>
      <c r="I3275" s="48" t="s">
        <v>19</v>
      </c>
      <c r="J3275" s="49">
        <v>2.2283161E7</v>
      </c>
    </row>
    <row r="3276">
      <c r="A3276" s="45" t="s">
        <v>74</v>
      </c>
      <c r="B3276" s="16" t="s">
        <v>220</v>
      </c>
      <c r="C3276" s="17" t="s">
        <v>221</v>
      </c>
      <c r="D3276" s="15">
        <v>5.0</v>
      </c>
      <c r="E3276" s="17" t="s">
        <v>524</v>
      </c>
      <c r="F3276" s="15" t="s">
        <v>479</v>
      </c>
      <c r="G3276" s="46" t="s">
        <v>579</v>
      </c>
      <c r="H3276" s="47" t="s">
        <v>580</v>
      </c>
      <c r="I3276" s="48" t="s">
        <v>19</v>
      </c>
      <c r="J3276" s="49">
        <v>1.5086002E7</v>
      </c>
    </row>
    <row r="3277">
      <c r="A3277" s="45" t="s">
        <v>74</v>
      </c>
      <c r="B3277" s="16" t="s">
        <v>220</v>
      </c>
      <c r="C3277" s="17" t="s">
        <v>221</v>
      </c>
      <c r="D3277" s="15">
        <v>5.0</v>
      </c>
      <c r="E3277" s="17" t="s">
        <v>524</v>
      </c>
      <c r="F3277" s="15" t="s">
        <v>479</v>
      </c>
      <c r="G3277" s="46" t="s">
        <v>446</v>
      </c>
      <c r="H3277" s="47" t="s">
        <v>447</v>
      </c>
      <c r="I3277" s="48" t="s">
        <v>19</v>
      </c>
      <c r="J3277" s="49">
        <v>1736208.0</v>
      </c>
    </row>
    <row r="3278">
      <c r="A3278" s="45" t="s">
        <v>74</v>
      </c>
      <c r="B3278" s="16" t="s">
        <v>220</v>
      </c>
      <c r="C3278" s="17" t="s">
        <v>221</v>
      </c>
      <c r="D3278" s="15">
        <v>5.0</v>
      </c>
      <c r="E3278" s="17" t="s">
        <v>524</v>
      </c>
      <c r="F3278" s="15" t="s">
        <v>479</v>
      </c>
      <c r="G3278" s="46" t="s">
        <v>448</v>
      </c>
      <c r="H3278" s="47" t="s">
        <v>449</v>
      </c>
      <c r="I3278" s="48" t="s">
        <v>19</v>
      </c>
      <c r="J3278" s="49">
        <v>2533784.0</v>
      </c>
    </row>
    <row r="3279">
      <c r="A3279" s="45" t="s">
        <v>74</v>
      </c>
      <c r="B3279" s="16" t="s">
        <v>220</v>
      </c>
      <c r="C3279" s="17" t="s">
        <v>221</v>
      </c>
      <c r="D3279" s="15">
        <v>5.0</v>
      </c>
      <c r="E3279" s="17" t="s">
        <v>524</v>
      </c>
      <c r="F3279" s="15" t="s">
        <v>479</v>
      </c>
      <c r="G3279" s="46" t="s">
        <v>450</v>
      </c>
      <c r="H3279" s="47" t="s">
        <v>451</v>
      </c>
      <c r="I3279" s="48" t="s">
        <v>19</v>
      </c>
      <c r="J3279" s="49">
        <v>0.0</v>
      </c>
    </row>
    <row r="3280">
      <c r="A3280" s="45" t="s">
        <v>74</v>
      </c>
      <c r="B3280" s="16" t="s">
        <v>220</v>
      </c>
      <c r="C3280" s="17" t="s">
        <v>221</v>
      </c>
      <c r="D3280" s="15">
        <v>5.0</v>
      </c>
      <c r="E3280" s="17" t="s">
        <v>524</v>
      </c>
      <c r="F3280" s="15" t="s">
        <v>479</v>
      </c>
      <c r="G3280" s="46" t="s">
        <v>452</v>
      </c>
      <c r="H3280" s="47" t="s">
        <v>453</v>
      </c>
      <c r="I3280" s="48" t="s">
        <v>19</v>
      </c>
      <c r="J3280" s="49">
        <v>3280871.0</v>
      </c>
    </row>
    <row r="3281">
      <c r="A3281" s="45" t="s">
        <v>74</v>
      </c>
      <c r="B3281" s="16" t="s">
        <v>220</v>
      </c>
      <c r="C3281" s="17" t="s">
        <v>221</v>
      </c>
      <c r="D3281" s="15">
        <v>5.0</v>
      </c>
      <c r="E3281" s="17" t="s">
        <v>524</v>
      </c>
      <c r="F3281" s="15" t="s">
        <v>479</v>
      </c>
      <c r="G3281" s="46" t="s">
        <v>454</v>
      </c>
      <c r="H3281" s="47" t="s">
        <v>415</v>
      </c>
      <c r="I3281" s="48" t="s">
        <v>19</v>
      </c>
      <c r="J3281" s="49">
        <v>478830.0</v>
      </c>
    </row>
    <row r="3282">
      <c r="A3282" s="45" t="s">
        <v>74</v>
      </c>
      <c r="B3282" s="16" t="s">
        <v>220</v>
      </c>
      <c r="C3282" s="17" t="s">
        <v>221</v>
      </c>
      <c r="D3282" s="15">
        <v>5.0</v>
      </c>
      <c r="E3282" s="17" t="s">
        <v>524</v>
      </c>
      <c r="F3282" s="15" t="s">
        <v>479</v>
      </c>
      <c r="G3282" s="46" t="s">
        <v>455</v>
      </c>
      <c r="H3282" s="47" t="s">
        <v>415</v>
      </c>
      <c r="I3282" s="48" t="s">
        <v>19</v>
      </c>
      <c r="J3282" s="49">
        <v>266016.0</v>
      </c>
    </row>
    <row r="3283">
      <c r="A3283" s="45" t="s">
        <v>74</v>
      </c>
      <c r="B3283" s="16" t="s">
        <v>220</v>
      </c>
      <c r="C3283" s="17" t="s">
        <v>221</v>
      </c>
      <c r="D3283" s="15">
        <v>5.0</v>
      </c>
      <c r="E3283" s="17" t="s">
        <v>524</v>
      </c>
      <c r="F3283" s="15" t="s">
        <v>479</v>
      </c>
      <c r="G3283" s="46" t="s">
        <v>583</v>
      </c>
      <c r="H3283" s="47" t="s">
        <v>584</v>
      </c>
      <c r="I3283" s="48" t="s">
        <v>25</v>
      </c>
      <c r="J3283" s="49">
        <v>3.3E7</v>
      </c>
    </row>
    <row r="3284">
      <c r="A3284" s="45" t="s">
        <v>74</v>
      </c>
      <c r="B3284" s="16" t="s">
        <v>220</v>
      </c>
      <c r="C3284" s="17" t="s">
        <v>221</v>
      </c>
      <c r="D3284" s="15">
        <v>5.0</v>
      </c>
      <c r="E3284" s="17" t="s">
        <v>525</v>
      </c>
      <c r="F3284" s="15" t="s">
        <v>502</v>
      </c>
      <c r="G3284" s="46" t="s">
        <v>526</v>
      </c>
      <c r="H3284" s="47" t="s">
        <v>527</v>
      </c>
      <c r="I3284" s="48" t="s">
        <v>60</v>
      </c>
      <c r="J3284" s="49">
        <v>3.95295373E8</v>
      </c>
    </row>
    <row r="3285">
      <c r="A3285" s="45" t="s">
        <v>74</v>
      </c>
      <c r="B3285" s="16" t="s">
        <v>220</v>
      </c>
      <c r="C3285" s="17" t="s">
        <v>221</v>
      </c>
      <c r="D3285" s="15">
        <v>5.0</v>
      </c>
      <c r="E3285" s="17" t="s">
        <v>525</v>
      </c>
      <c r="F3285" s="15" t="s">
        <v>502</v>
      </c>
      <c r="G3285" s="46" t="s">
        <v>539</v>
      </c>
      <c r="H3285" s="47" t="s">
        <v>540</v>
      </c>
      <c r="I3285" s="48" t="s">
        <v>60</v>
      </c>
      <c r="J3285" s="49">
        <v>588472.0</v>
      </c>
    </row>
    <row r="3286">
      <c r="A3286" s="45" t="s">
        <v>74</v>
      </c>
      <c r="B3286" s="16" t="s">
        <v>220</v>
      </c>
      <c r="C3286" s="17" t="s">
        <v>221</v>
      </c>
      <c r="D3286" s="15">
        <v>5.0</v>
      </c>
      <c r="E3286" s="17" t="s">
        <v>525</v>
      </c>
      <c r="F3286" s="15" t="s">
        <v>502</v>
      </c>
      <c r="G3286" s="46" t="s">
        <v>505</v>
      </c>
      <c r="H3286" s="47" t="s">
        <v>506</v>
      </c>
      <c r="I3286" s="48" t="s">
        <v>60</v>
      </c>
      <c r="J3286" s="49">
        <v>3019926.0</v>
      </c>
    </row>
    <row r="3287">
      <c r="A3287" s="45" t="s">
        <v>74</v>
      </c>
      <c r="B3287" s="16" t="s">
        <v>220</v>
      </c>
      <c r="C3287" s="17" t="s">
        <v>221</v>
      </c>
      <c r="D3287" s="15">
        <v>5.0</v>
      </c>
      <c r="E3287" s="17" t="s">
        <v>525</v>
      </c>
      <c r="F3287" s="15" t="s">
        <v>502</v>
      </c>
      <c r="G3287" s="46" t="s">
        <v>509</v>
      </c>
      <c r="H3287" s="47" t="s">
        <v>510</v>
      </c>
      <c r="I3287" s="48" t="s">
        <v>60</v>
      </c>
      <c r="J3287" s="49">
        <v>1025043.0</v>
      </c>
    </row>
    <row r="3288">
      <c r="A3288" s="45" t="s">
        <v>74</v>
      </c>
      <c r="B3288" s="16" t="s">
        <v>220</v>
      </c>
      <c r="C3288" s="17" t="s">
        <v>221</v>
      </c>
      <c r="D3288" s="15">
        <v>5.0</v>
      </c>
      <c r="E3288" s="17" t="s">
        <v>525</v>
      </c>
      <c r="F3288" s="15" t="s">
        <v>502</v>
      </c>
      <c r="G3288" s="46" t="s">
        <v>511</v>
      </c>
      <c r="H3288" s="47" t="s">
        <v>512</v>
      </c>
      <c r="I3288" s="48" t="s">
        <v>60</v>
      </c>
      <c r="J3288" s="49">
        <v>3.8673799E7</v>
      </c>
    </row>
    <row r="3289">
      <c r="A3289" s="45" t="s">
        <v>74</v>
      </c>
      <c r="B3289" s="16" t="s">
        <v>220</v>
      </c>
      <c r="C3289" s="17" t="s">
        <v>221</v>
      </c>
      <c r="D3289" s="15">
        <v>5.0</v>
      </c>
      <c r="E3289" s="17" t="s">
        <v>525</v>
      </c>
      <c r="F3289" s="15" t="s">
        <v>502</v>
      </c>
      <c r="G3289" s="46" t="s">
        <v>513</v>
      </c>
      <c r="H3289" s="47" t="s">
        <v>514</v>
      </c>
      <c r="I3289" s="48" t="s">
        <v>60</v>
      </c>
      <c r="J3289" s="49">
        <v>1930163.0</v>
      </c>
    </row>
    <row r="3290">
      <c r="A3290" s="45" t="s">
        <v>74</v>
      </c>
      <c r="B3290" s="16" t="s">
        <v>220</v>
      </c>
      <c r="C3290" s="17" t="s">
        <v>221</v>
      </c>
      <c r="D3290" s="15">
        <v>5.0</v>
      </c>
      <c r="E3290" s="17" t="s">
        <v>548</v>
      </c>
      <c r="F3290" s="15" t="s">
        <v>549</v>
      </c>
      <c r="G3290" s="46" t="s">
        <v>550</v>
      </c>
      <c r="H3290" s="47" t="s">
        <v>551</v>
      </c>
      <c r="I3290" s="48" t="s">
        <v>25</v>
      </c>
      <c r="J3290" s="49">
        <v>8.1615768E7</v>
      </c>
    </row>
    <row r="3291">
      <c r="A3291" s="45" t="s">
        <v>74</v>
      </c>
      <c r="B3291" s="16" t="s">
        <v>231</v>
      </c>
      <c r="C3291" s="17" t="s">
        <v>232</v>
      </c>
      <c r="D3291" s="15">
        <v>5.0</v>
      </c>
      <c r="E3291" s="17" t="s">
        <v>441</v>
      </c>
      <c r="F3291" s="15" t="s">
        <v>442</v>
      </c>
      <c r="G3291" s="46" t="s">
        <v>443</v>
      </c>
      <c r="H3291" s="47" t="s">
        <v>420</v>
      </c>
      <c r="I3291" s="48" t="s">
        <v>19</v>
      </c>
      <c r="J3291" s="49">
        <v>5.5096445E7</v>
      </c>
    </row>
    <row r="3292">
      <c r="A3292" s="45" t="s">
        <v>74</v>
      </c>
      <c r="B3292" s="16" t="s">
        <v>231</v>
      </c>
      <c r="C3292" s="17" t="s">
        <v>232</v>
      </c>
      <c r="D3292" s="15">
        <v>5.0</v>
      </c>
      <c r="E3292" s="17" t="s">
        <v>441</v>
      </c>
      <c r="F3292" s="15" t="s">
        <v>442</v>
      </c>
      <c r="G3292" s="46" t="s">
        <v>444</v>
      </c>
      <c r="H3292" s="47" t="s">
        <v>445</v>
      </c>
      <c r="I3292" s="48" t="s">
        <v>19</v>
      </c>
      <c r="J3292" s="49">
        <v>1.2994524E7</v>
      </c>
    </row>
    <row r="3293">
      <c r="A3293" s="45" t="s">
        <v>74</v>
      </c>
      <c r="B3293" s="16" t="s">
        <v>231</v>
      </c>
      <c r="C3293" s="17" t="s">
        <v>232</v>
      </c>
      <c r="D3293" s="15">
        <v>5.0</v>
      </c>
      <c r="E3293" s="17" t="s">
        <v>441</v>
      </c>
      <c r="F3293" s="15" t="s">
        <v>442</v>
      </c>
      <c r="G3293" s="46" t="s">
        <v>579</v>
      </c>
      <c r="H3293" s="47" t="s">
        <v>580</v>
      </c>
      <c r="I3293" s="48" t="s">
        <v>19</v>
      </c>
      <c r="J3293" s="49">
        <v>5623149.0</v>
      </c>
    </row>
    <row r="3294">
      <c r="A3294" s="45" t="s">
        <v>74</v>
      </c>
      <c r="B3294" s="16" t="s">
        <v>231</v>
      </c>
      <c r="C3294" s="17" t="s">
        <v>232</v>
      </c>
      <c r="D3294" s="15">
        <v>5.0</v>
      </c>
      <c r="E3294" s="17" t="s">
        <v>441</v>
      </c>
      <c r="F3294" s="15" t="s">
        <v>442</v>
      </c>
      <c r="G3294" s="46" t="s">
        <v>446</v>
      </c>
      <c r="H3294" s="47" t="s">
        <v>447</v>
      </c>
      <c r="I3294" s="48" t="s">
        <v>19</v>
      </c>
      <c r="J3294" s="49">
        <v>536602.0</v>
      </c>
    </row>
    <row r="3295">
      <c r="A3295" s="45" t="s">
        <v>74</v>
      </c>
      <c r="B3295" s="16" t="s">
        <v>231</v>
      </c>
      <c r="C3295" s="17" t="s">
        <v>232</v>
      </c>
      <c r="D3295" s="15">
        <v>5.0</v>
      </c>
      <c r="E3295" s="17" t="s">
        <v>441</v>
      </c>
      <c r="F3295" s="15" t="s">
        <v>442</v>
      </c>
      <c r="G3295" s="46" t="s">
        <v>448</v>
      </c>
      <c r="H3295" s="47" t="s">
        <v>449</v>
      </c>
      <c r="I3295" s="48" t="s">
        <v>19</v>
      </c>
      <c r="J3295" s="49">
        <v>1021611.0</v>
      </c>
    </row>
    <row r="3296">
      <c r="A3296" s="45" t="s">
        <v>74</v>
      </c>
      <c r="B3296" s="16" t="s">
        <v>231</v>
      </c>
      <c r="C3296" s="17" t="s">
        <v>232</v>
      </c>
      <c r="D3296" s="15">
        <v>5.0</v>
      </c>
      <c r="E3296" s="17" t="s">
        <v>441</v>
      </c>
      <c r="F3296" s="15" t="s">
        <v>442</v>
      </c>
      <c r="G3296" s="46" t="s">
        <v>450</v>
      </c>
      <c r="H3296" s="47" t="s">
        <v>451</v>
      </c>
      <c r="I3296" s="48" t="s">
        <v>19</v>
      </c>
      <c r="J3296" s="49">
        <v>0.0</v>
      </c>
    </row>
    <row r="3297">
      <c r="A3297" s="45" t="s">
        <v>74</v>
      </c>
      <c r="B3297" s="16" t="s">
        <v>231</v>
      </c>
      <c r="C3297" s="17" t="s">
        <v>232</v>
      </c>
      <c r="D3297" s="15">
        <v>5.0</v>
      </c>
      <c r="E3297" s="17" t="s">
        <v>441</v>
      </c>
      <c r="F3297" s="15" t="s">
        <v>442</v>
      </c>
      <c r="G3297" s="46" t="s">
        <v>452</v>
      </c>
      <c r="H3297" s="47" t="s">
        <v>453</v>
      </c>
      <c r="I3297" s="48" t="s">
        <v>19</v>
      </c>
      <c r="J3297" s="49">
        <v>1086975.0</v>
      </c>
    </row>
    <row r="3298">
      <c r="A3298" s="45" t="s">
        <v>74</v>
      </c>
      <c r="B3298" s="16" t="s">
        <v>231</v>
      </c>
      <c r="C3298" s="17" t="s">
        <v>232</v>
      </c>
      <c r="D3298" s="15">
        <v>5.0</v>
      </c>
      <c r="E3298" s="17" t="s">
        <v>441</v>
      </c>
      <c r="F3298" s="15" t="s">
        <v>442</v>
      </c>
      <c r="G3298" s="46" t="s">
        <v>454</v>
      </c>
      <c r="H3298" s="47" t="s">
        <v>415</v>
      </c>
      <c r="I3298" s="48" t="s">
        <v>19</v>
      </c>
      <c r="J3298" s="49">
        <v>158639.0</v>
      </c>
    </row>
    <row r="3299">
      <c r="A3299" s="45" t="s">
        <v>74</v>
      </c>
      <c r="B3299" s="16" t="s">
        <v>231</v>
      </c>
      <c r="C3299" s="17" t="s">
        <v>232</v>
      </c>
      <c r="D3299" s="15">
        <v>5.0</v>
      </c>
      <c r="E3299" s="17" t="s">
        <v>441</v>
      </c>
      <c r="F3299" s="15" t="s">
        <v>442</v>
      </c>
      <c r="G3299" s="46" t="s">
        <v>455</v>
      </c>
      <c r="H3299" s="47" t="s">
        <v>415</v>
      </c>
      <c r="I3299" s="48" t="s">
        <v>19</v>
      </c>
      <c r="J3299" s="49">
        <v>88133.0</v>
      </c>
    </row>
    <row r="3300">
      <c r="A3300" s="45" t="s">
        <v>74</v>
      </c>
      <c r="B3300" s="16" t="s">
        <v>231</v>
      </c>
      <c r="C3300" s="17" t="s">
        <v>232</v>
      </c>
      <c r="D3300" s="15">
        <v>5.0</v>
      </c>
      <c r="E3300" s="17" t="s">
        <v>441</v>
      </c>
      <c r="F3300" s="15" t="s">
        <v>442</v>
      </c>
      <c r="G3300" s="46" t="s">
        <v>583</v>
      </c>
      <c r="H3300" s="47" t="s">
        <v>584</v>
      </c>
      <c r="I3300" s="48" t="s">
        <v>25</v>
      </c>
      <c r="J3300" s="49">
        <v>9000000.0</v>
      </c>
    </row>
    <row r="3301">
      <c r="A3301" s="45" t="s">
        <v>74</v>
      </c>
      <c r="B3301" s="16" t="s">
        <v>231</v>
      </c>
      <c r="C3301" s="17" t="s">
        <v>232</v>
      </c>
      <c r="D3301" s="15">
        <v>5.0</v>
      </c>
      <c r="E3301" s="17" t="s">
        <v>456</v>
      </c>
      <c r="F3301" s="15" t="s">
        <v>457</v>
      </c>
      <c r="G3301" s="46" t="s">
        <v>458</v>
      </c>
      <c r="H3301" s="47" t="s">
        <v>411</v>
      </c>
      <c r="I3301" s="48" t="s">
        <v>19</v>
      </c>
      <c r="J3301" s="49">
        <v>7.0795768E7</v>
      </c>
    </row>
    <row r="3302">
      <c r="A3302" s="45" t="s">
        <v>74</v>
      </c>
      <c r="B3302" s="16" t="s">
        <v>231</v>
      </c>
      <c r="C3302" s="17" t="s">
        <v>232</v>
      </c>
      <c r="D3302" s="15">
        <v>5.0</v>
      </c>
      <c r="E3302" s="17" t="s">
        <v>473</v>
      </c>
      <c r="F3302" s="15" t="s">
        <v>474</v>
      </c>
      <c r="G3302" s="46" t="s">
        <v>443</v>
      </c>
      <c r="H3302" s="47" t="s">
        <v>420</v>
      </c>
      <c r="I3302" s="48" t="s">
        <v>19</v>
      </c>
      <c r="J3302" s="49">
        <v>7975000.0</v>
      </c>
    </row>
    <row r="3303">
      <c r="A3303" s="45" t="s">
        <v>74</v>
      </c>
      <c r="B3303" s="16" t="s">
        <v>231</v>
      </c>
      <c r="C3303" s="17" t="s">
        <v>232</v>
      </c>
      <c r="D3303" s="15">
        <v>5.0</v>
      </c>
      <c r="E3303" s="17" t="s">
        <v>473</v>
      </c>
      <c r="F3303" s="15" t="s">
        <v>474</v>
      </c>
      <c r="G3303" s="46" t="s">
        <v>444</v>
      </c>
      <c r="H3303" s="47" t="s">
        <v>445</v>
      </c>
      <c r="I3303" s="48" t="s">
        <v>19</v>
      </c>
      <c r="J3303" s="49">
        <v>227877.0</v>
      </c>
    </row>
    <row r="3304">
      <c r="A3304" s="45" t="s">
        <v>74</v>
      </c>
      <c r="B3304" s="16" t="s">
        <v>231</v>
      </c>
      <c r="C3304" s="17" t="s">
        <v>232</v>
      </c>
      <c r="D3304" s="15">
        <v>5.0</v>
      </c>
      <c r="E3304" s="17" t="s">
        <v>473</v>
      </c>
      <c r="F3304" s="15" t="s">
        <v>474</v>
      </c>
      <c r="G3304" s="46" t="s">
        <v>579</v>
      </c>
      <c r="H3304" s="47" t="s">
        <v>580</v>
      </c>
      <c r="I3304" s="48" t="s">
        <v>19</v>
      </c>
      <c r="J3304" s="49">
        <v>698929.0</v>
      </c>
    </row>
    <row r="3305">
      <c r="A3305" s="45" t="s">
        <v>74</v>
      </c>
      <c r="B3305" s="16" t="s">
        <v>231</v>
      </c>
      <c r="C3305" s="17" t="s">
        <v>232</v>
      </c>
      <c r="D3305" s="15">
        <v>5.0</v>
      </c>
      <c r="E3305" s="17" t="s">
        <v>473</v>
      </c>
      <c r="F3305" s="15" t="s">
        <v>474</v>
      </c>
      <c r="G3305" s="46" t="s">
        <v>523</v>
      </c>
      <c r="H3305" s="47" t="s">
        <v>431</v>
      </c>
      <c r="I3305" s="48" t="s">
        <v>17</v>
      </c>
      <c r="J3305" s="49">
        <v>6.8611554E7</v>
      </c>
    </row>
    <row r="3306">
      <c r="A3306" s="45" t="s">
        <v>74</v>
      </c>
      <c r="B3306" s="16" t="s">
        <v>231</v>
      </c>
      <c r="C3306" s="17" t="s">
        <v>232</v>
      </c>
      <c r="D3306" s="15">
        <v>5.0</v>
      </c>
      <c r="E3306" s="17" t="s">
        <v>491</v>
      </c>
      <c r="F3306" s="15" t="s">
        <v>492</v>
      </c>
      <c r="G3306" s="46" t="s">
        <v>493</v>
      </c>
      <c r="H3306" s="47" t="s">
        <v>437</v>
      </c>
      <c r="I3306" s="48" t="s">
        <v>25</v>
      </c>
      <c r="J3306" s="49">
        <v>2515000.0</v>
      </c>
    </row>
    <row r="3307">
      <c r="A3307" s="45" t="s">
        <v>74</v>
      </c>
      <c r="B3307" s="16" t="s">
        <v>231</v>
      </c>
      <c r="C3307" s="17" t="s">
        <v>232</v>
      </c>
      <c r="D3307" s="15">
        <v>5.0</v>
      </c>
      <c r="E3307" s="17" t="s">
        <v>475</v>
      </c>
      <c r="F3307" s="15" t="s">
        <v>476</v>
      </c>
      <c r="G3307" s="46" t="s">
        <v>498</v>
      </c>
      <c r="H3307" s="47" t="s">
        <v>434</v>
      </c>
      <c r="I3307" s="48" t="s">
        <v>25</v>
      </c>
      <c r="J3307" s="49">
        <v>3.36251E7</v>
      </c>
    </row>
    <row r="3308">
      <c r="A3308" s="45" t="s">
        <v>74</v>
      </c>
      <c r="B3308" s="16" t="s">
        <v>231</v>
      </c>
      <c r="C3308" s="17" t="s">
        <v>232</v>
      </c>
      <c r="D3308" s="15">
        <v>5.0</v>
      </c>
      <c r="E3308" s="17" t="s">
        <v>475</v>
      </c>
      <c r="F3308" s="15" t="s">
        <v>476</v>
      </c>
      <c r="G3308" s="46" t="s">
        <v>477</v>
      </c>
      <c r="H3308" s="47" t="s">
        <v>429</v>
      </c>
      <c r="I3308" s="48" t="s">
        <v>50</v>
      </c>
      <c r="J3308" s="49">
        <v>5.6161956E7</v>
      </c>
    </row>
    <row r="3309">
      <c r="A3309" s="45" t="s">
        <v>74</v>
      </c>
      <c r="B3309" s="16" t="s">
        <v>231</v>
      </c>
      <c r="C3309" s="17" t="s">
        <v>232</v>
      </c>
      <c r="D3309" s="15">
        <v>5.0</v>
      </c>
      <c r="E3309" s="17" t="s">
        <v>524</v>
      </c>
      <c r="F3309" s="15" t="s">
        <v>479</v>
      </c>
      <c r="G3309" s="46" t="s">
        <v>443</v>
      </c>
      <c r="H3309" s="47" t="s">
        <v>420</v>
      </c>
      <c r="I3309" s="48" t="s">
        <v>19</v>
      </c>
      <c r="J3309" s="49">
        <v>6.1409816E7</v>
      </c>
    </row>
    <row r="3310">
      <c r="A3310" s="45" t="s">
        <v>74</v>
      </c>
      <c r="B3310" s="16" t="s">
        <v>231</v>
      </c>
      <c r="C3310" s="17" t="s">
        <v>232</v>
      </c>
      <c r="D3310" s="15">
        <v>5.0</v>
      </c>
      <c r="E3310" s="17" t="s">
        <v>524</v>
      </c>
      <c r="F3310" s="15" t="s">
        <v>479</v>
      </c>
      <c r="G3310" s="46" t="s">
        <v>444</v>
      </c>
      <c r="H3310" s="47" t="s">
        <v>445</v>
      </c>
      <c r="I3310" s="48" t="s">
        <v>19</v>
      </c>
      <c r="J3310" s="49">
        <v>8872223.0</v>
      </c>
    </row>
    <row r="3311">
      <c r="A3311" s="45" t="s">
        <v>74</v>
      </c>
      <c r="B3311" s="16" t="s">
        <v>231</v>
      </c>
      <c r="C3311" s="17" t="s">
        <v>232</v>
      </c>
      <c r="D3311" s="15">
        <v>5.0</v>
      </c>
      <c r="E3311" s="17" t="s">
        <v>524</v>
      </c>
      <c r="F3311" s="15" t="s">
        <v>479</v>
      </c>
      <c r="G3311" s="46" t="s">
        <v>579</v>
      </c>
      <c r="H3311" s="47" t="s">
        <v>580</v>
      </c>
      <c r="I3311" s="48" t="s">
        <v>19</v>
      </c>
      <c r="J3311" s="49">
        <v>6733258.0</v>
      </c>
    </row>
    <row r="3312">
      <c r="A3312" s="45" t="s">
        <v>74</v>
      </c>
      <c r="B3312" s="16" t="s">
        <v>231</v>
      </c>
      <c r="C3312" s="17" t="s">
        <v>232</v>
      </c>
      <c r="D3312" s="15">
        <v>5.0</v>
      </c>
      <c r="E3312" s="17" t="s">
        <v>524</v>
      </c>
      <c r="F3312" s="15" t="s">
        <v>479</v>
      </c>
      <c r="G3312" s="46" t="s">
        <v>446</v>
      </c>
      <c r="H3312" s="47" t="s">
        <v>447</v>
      </c>
      <c r="I3312" s="48" t="s">
        <v>19</v>
      </c>
      <c r="J3312" s="49">
        <v>662081.0</v>
      </c>
    </row>
    <row r="3313">
      <c r="A3313" s="45" t="s">
        <v>74</v>
      </c>
      <c r="B3313" s="16" t="s">
        <v>231</v>
      </c>
      <c r="C3313" s="17" t="s">
        <v>232</v>
      </c>
      <c r="D3313" s="15">
        <v>5.0</v>
      </c>
      <c r="E3313" s="17" t="s">
        <v>524</v>
      </c>
      <c r="F3313" s="15" t="s">
        <v>479</v>
      </c>
      <c r="G3313" s="46" t="s">
        <v>448</v>
      </c>
      <c r="H3313" s="47" t="s">
        <v>449</v>
      </c>
      <c r="I3313" s="48" t="s">
        <v>19</v>
      </c>
      <c r="J3313" s="49">
        <v>1218995.0</v>
      </c>
    </row>
    <row r="3314">
      <c r="A3314" s="45" t="s">
        <v>74</v>
      </c>
      <c r="B3314" s="16" t="s">
        <v>231</v>
      </c>
      <c r="C3314" s="17" t="s">
        <v>232</v>
      </c>
      <c r="D3314" s="15">
        <v>5.0</v>
      </c>
      <c r="E3314" s="17" t="s">
        <v>524</v>
      </c>
      <c r="F3314" s="15" t="s">
        <v>479</v>
      </c>
      <c r="G3314" s="46" t="s">
        <v>452</v>
      </c>
      <c r="H3314" s="47" t="s">
        <v>453</v>
      </c>
      <c r="I3314" s="48" t="s">
        <v>19</v>
      </c>
      <c r="J3314" s="49">
        <v>1224849.0</v>
      </c>
    </row>
    <row r="3315">
      <c r="A3315" s="45" t="s">
        <v>74</v>
      </c>
      <c r="B3315" s="16" t="s">
        <v>231</v>
      </c>
      <c r="C3315" s="17" t="s">
        <v>232</v>
      </c>
      <c r="D3315" s="15">
        <v>5.0</v>
      </c>
      <c r="E3315" s="17" t="s">
        <v>524</v>
      </c>
      <c r="F3315" s="15" t="s">
        <v>479</v>
      </c>
      <c r="G3315" s="46" t="s">
        <v>454</v>
      </c>
      <c r="H3315" s="47" t="s">
        <v>415</v>
      </c>
      <c r="I3315" s="48" t="s">
        <v>19</v>
      </c>
      <c r="J3315" s="49">
        <v>178763.0</v>
      </c>
    </row>
    <row r="3316">
      <c r="A3316" s="45" t="s">
        <v>74</v>
      </c>
      <c r="B3316" s="16" t="s">
        <v>231</v>
      </c>
      <c r="C3316" s="17" t="s">
        <v>232</v>
      </c>
      <c r="D3316" s="15">
        <v>5.0</v>
      </c>
      <c r="E3316" s="17" t="s">
        <v>524</v>
      </c>
      <c r="F3316" s="15" t="s">
        <v>479</v>
      </c>
      <c r="G3316" s="46" t="s">
        <v>455</v>
      </c>
      <c r="H3316" s="47" t="s">
        <v>415</v>
      </c>
      <c r="I3316" s="48" t="s">
        <v>19</v>
      </c>
      <c r="J3316" s="49">
        <v>99311.0</v>
      </c>
    </row>
    <row r="3317">
      <c r="A3317" s="45" t="s">
        <v>74</v>
      </c>
      <c r="B3317" s="16" t="s">
        <v>231</v>
      </c>
      <c r="C3317" s="17" t="s">
        <v>232</v>
      </c>
      <c r="D3317" s="15">
        <v>5.0</v>
      </c>
      <c r="E3317" s="17" t="s">
        <v>524</v>
      </c>
      <c r="F3317" s="15" t="s">
        <v>479</v>
      </c>
      <c r="G3317" s="46" t="s">
        <v>583</v>
      </c>
      <c r="H3317" s="47" t="s">
        <v>584</v>
      </c>
      <c r="I3317" s="48" t="s">
        <v>25</v>
      </c>
      <c r="J3317" s="49">
        <v>1.5E7</v>
      </c>
    </row>
    <row r="3318">
      <c r="A3318" s="45" t="s">
        <v>74</v>
      </c>
      <c r="B3318" s="16" t="s">
        <v>231</v>
      </c>
      <c r="C3318" s="17" t="s">
        <v>232</v>
      </c>
      <c r="D3318" s="15">
        <v>5.0</v>
      </c>
      <c r="E3318" s="17" t="s">
        <v>525</v>
      </c>
      <c r="F3318" s="15" t="s">
        <v>502</v>
      </c>
      <c r="G3318" s="46" t="s">
        <v>526</v>
      </c>
      <c r="H3318" s="47" t="s">
        <v>527</v>
      </c>
      <c r="I3318" s="48" t="s">
        <v>60</v>
      </c>
      <c r="J3318" s="49">
        <v>1.60641663E8</v>
      </c>
    </row>
    <row r="3319">
      <c r="A3319" s="45" t="s">
        <v>74</v>
      </c>
      <c r="B3319" s="16" t="s">
        <v>231</v>
      </c>
      <c r="C3319" s="17" t="s">
        <v>232</v>
      </c>
      <c r="D3319" s="15">
        <v>5.0</v>
      </c>
      <c r="E3319" s="17" t="s">
        <v>525</v>
      </c>
      <c r="F3319" s="15" t="s">
        <v>502</v>
      </c>
      <c r="G3319" s="46" t="s">
        <v>539</v>
      </c>
      <c r="H3319" s="47" t="s">
        <v>540</v>
      </c>
      <c r="I3319" s="48" t="s">
        <v>60</v>
      </c>
      <c r="J3319" s="49">
        <v>711797.0</v>
      </c>
    </row>
    <row r="3320">
      <c r="A3320" s="45" t="s">
        <v>74</v>
      </c>
      <c r="B3320" s="16" t="s">
        <v>231</v>
      </c>
      <c r="C3320" s="17" t="s">
        <v>232</v>
      </c>
      <c r="D3320" s="15">
        <v>5.0</v>
      </c>
      <c r="E3320" s="17" t="s">
        <v>525</v>
      </c>
      <c r="F3320" s="15" t="s">
        <v>502</v>
      </c>
      <c r="G3320" s="46" t="s">
        <v>505</v>
      </c>
      <c r="H3320" s="47" t="s">
        <v>506</v>
      </c>
      <c r="I3320" s="48" t="s">
        <v>60</v>
      </c>
      <c r="J3320" s="49">
        <v>3340881.0</v>
      </c>
    </row>
    <row r="3321">
      <c r="A3321" s="45" t="s">
        <v>74</v>
      </c>
      <c r="B3321" s="16" t="s">
        <v>231</v>
      </c>
      <c r="C3321" s="17" t="s">
        <v>232</v>
      </c>
      <c r="D3321" s="15">
        <v>5.0</v>
      </c>
      <c r="E3321" s="17" t="s">
        <v>525</v>
      </c>
      <c r="F3321" s="15" t="s">
        <v>502</v>
      </c>
      <c r="G3321" s="46" t="s">
        <v>507</v>
      </c>
      <c r="H3321" s="47" t="s">
        <v>508</v>
      </c>
      <c r="I3321" s="48" t="s">
        <v>60</v>
      </c>
      <c r="J3321" s="49">
        <v>1088874.0</v>
      </c>
    </row>
    <row r="3322">
      <c r="A3322" s="45" t="s">
        <v>74</v>
      </c>
      <c r="B3322" s="16" t="s">
        <v>231</v>
      </c>
      <c r="C3322" s="17" t="s">
        <v>232</v>
      </c>
      <c r="D3322" s="15">
        <v>5.0</v>
      </c>
      <c r="E3322" s="17" t="s">
        <v>525</v>
      </c>
      <c r="F3322" s="15" t="s">
        <v>502</v>
      </c>
      <c r="G3322" s="46" t="s">
        <v>509</v>
      </c>
      <c r="H3322" s="47" t="s">
        <v>510</v>
      </c>
      <c r="I3322" s="48" t="s">
        <v>60</v>
      </c>
      <c r="J3322" s="49">
        <v>133334.0</v>
      </c>
    </row>
    <row r="3323">
      <c r="A3323" s="45" t="s">
        <v>74</v>
      </c>
      <c r="B3323" s="16" t="s">
        <v>231</v>
      </c>
      <c r="C3323" s="17" t="s">
        <v>232</v>
      </c>
      <c r="D3323" s="15">
        <v>5.0</v>
      </c>
      <c r="E3323" s="17" t="s">
        <v>525</v>
      </c>
      <c r="F3323" s="15" t="s">
        <v>502</v>
      </c>
      <c r="G3323" s="46" t="s">
        <v>511</v>
      </c>
      <c r="H3323" s="47" t="s">
        <v>512</v>
      </c>
      <c r="I3323" s="48" t="s">
        <v>60</v>
      </c>
      <c r="J3323" s="49">
        <v>2988806.0</v>
      </c>
    </row>
    <row r="3324">
      <c r="A3324" s="45" t="s">
        <v>74</v>
      </c>
      <c r="B3324" s="16" t="s">
        <v>231</v>
      </c>
      <c r="C3324" s="17" t="s">
        <v>232</v>
      </c>
      <c r="D3324" s="15">
        <v>5.0</v>
      </c>
      <c r="E3324" s="17" t="s">
        <v>525</v>
      </c>
      <c r="F3324" s="15" t="s">
        <v>502</v>
      </c>
      <c r="G3324" s="46" t="s">
        <v>513</v>
      </c>
      <c r="H3324" s="47" t="s">
        <v>514</v>
      </c>
      <c r="I3324" s="48" t="s">
        <v>60</v>
      </c>
      <c r="J3324" s="49">
        <v>1640104.0</v>
      </c>
    </row>
    <row r="3325">
      <c r="A3325" s="45" t="s">
        <v>74</v>
      </c>
      <c r="B3325" s="16" t="s">
        <v>231</v>
      </c>
      <c r="C3325" s="17" t="s">
        <v>232</v>
      </c>
      <c r="D3325" s="15">
        <v>5.0</v>
      </c>
      <c r="E3325" s="17" t="s">
        <v>548</v>
      </c>
      <c r="F3325" s="15" t="s">
        <v>549</v>
      </c>
      <c r="G3325" s="46" t="s">
        <v>550</v>
      </c>
      <c r="H3325" s="47" t="s">
        <v>551</v>
      </c>
      <c r="I3325" s="48" t="s">
        <v>25</v>
      </c>
      <c r="J3325" s="49">
        <v>-1.3818761E7</v>
      </c>
    </row>
    <row r="3326">
      <c r="A3326" s="45" t="s">
        <v>74</v>
      </c>
      <c r="B3326" s="16" t="s">
        <v>233</v>
      </c>
      <c r="C3326" s="17" t="s">
        <v>234</v>
      </c>
      <c r="D3326" s="15">
        <v>5.0</v>
      </c>
      <c r="E3326" s="17" t="s">
        <v>441</v>
      </c>
      <c r="F3326" s="15" t="s">
        <v>442</v>
      </c>
      <c r="G3326" s="46" t="s">
        <v>443</v>
      </c>
      <c r="H3326" s="47" t="s">
        <v>420</v>
      </c>
      <c r="I3326" s="48" t="s">
        <v>19</v>
      </c>
      <c r="J3326" s="49">
        <v>4.7566852E7</v>
      </c>
    </row>
    <row r="3327">
      <c r="A3327" s="45" t="s">
        <v>74</v>
      </c>
      <c r="B3327" s="16" t="s">
        <v>233</v>
      </c>
      <c r="C3327" s="17" t="s">
        <v>234</v>
      </c>
      <c r="D3327" s="15">
        <v>5.0</v>
      </c>
      <c r="E3327" s="17" t="s">
        <v>441</v>
      </c>
      <c r="F3327" s="15" t="s">
        <v>442</v>
      </c>
      <c r="G3327" s="46" t="s">
        <v>444</v>
      </c>
      <c r="H3327" s="47" t="s">
        <v>445</v>
      </c>
      <c r="I3327" s="48" t="s">
        <v>19</v>
      </c>
      <c r="J3327" s="49">
        <v>1.0058332E7</v>
      </c>
    </row>
    <row r="3328">
      <c r="A3328" s="45" t="s">
        <v>74</v>
      </c>
      <c r="B3328" s="16" t="s">
        <v>233</v>
      </c>
      <c r="C3328" s="17" t="s">
        <v>234</v>
      </c>
      <c r="D3328" s="15">
        <v>5.0</v>
      </c>
      <c r="E3328" s="17" t="s">
        <v>441</v>
      </c>
      <c r="F3328" s="15" t="s">
        <v>442</v>
      </c>
      <c r="G3328" s="46" t="s">
        <v>579</v>
      </c>
      <c r="H3328" s="47" t="s">
        <v>580</v>
      </c>
      <c r="I3328" s="48" t="s">
        <v>19</v>
      </c>
      <c r="J3328" s="49">
        <v>5005611.0</v>
      </c>
    </row>
    <row r="3329">
      <c r="A3329" s="45" t="s">
        <v>74</v>
      </c>
      <c r="B3329" s="16" t="s">
        <v>233</v>
      </c>
      <c r="C3329" s="17" t="s">
        <v>234</v>
      </c>
      <c r="D3329" s="15">
        <v>5.0</v>
      </c>
      <c r="E3329" s="17" t="s">
        <v>441</v>
      </c>
      <c r="F3329" s="15" t="s">
        <v>442</v>
      </c>
      <c r="G3329" s="46" t="s">
        <v>446</v>
      </c>
      <c r="H3329" s="47" t="s">
        <v>447</v>
      </c>
      <c r="I3329" s="48" t="s">
        <v>19</v>
      </c>
      <c r="J3329" s="49">
        <v>484647.0</v>
      </c>
    </row>
    <row r="3330">
      <c r="A3330" s="45" t="s">
        <v>74</v>
      </c>
      <c r="B3330" s="16" t="s">
        <v>233</v>
      </c>
      <c r="C3330" s="17" t="s">
        <v>234</v>
      </c>
      <c r="D3330" s="15">
        <v>5.0</v>
      </c>
      <c r="E3330" s="17" t="s">
        <v>441</v>
      </c>
      <c r="F3330" s="15" t="s">
        <v>442</v>
      </c>
      <c r="G3330" s="46" t="s">
        <v>448</v>
      </c>
      <c r="H3330" s="47" t="s">
        <v>449</v>
      </c>
      <c r="I3330" s="48" t="s">
        <v>19</v>
      </c>
      <c r="J3330" s="49">
        <v>765077.0</v>
      </c>
    </row>
    <row r="3331">
      <c r="A3331" s="45" t="s">
        <v>74</v>
      </c>
      <c r="B3331" s="16" t="s">
        <v>233</v>
      </c>
      <c r="C3331" s="17" t="s">
        <v>234</v>
      </c>
      <c r="D3331" s="15">
        <v>5.0</v>
      </c>
      <c r="E3331" s="17" t="s">
        <v>441</v>
      </c>
      <c r="F3331" s="15" t="s">
        <v>442</v>
      </c>
      <c r="G3331" s="46" t="s">
        <v>450</v>
      </c>
      <c r="H3331" s="47" t="s">
        <v>451</v>
      </c>
      <c r="I3331" s="48" t="s">
        <v>19</v>
      </c>
      <c r="J3331" s="49">
        <v>0.0</v>
      </c>
    </row>
    <row r="3332">
      <c r="A3332" s="45" t="s">
        <v>74</v>
      </c>
      <c r="B3332" s="16" t="s">
        <v>233</v>
      </c>
      <c r="C3332" s="17" t="s">
        <v>234</v>
      </c>
      <c r="D3332" s="15">
        <v>5.0</v>
      </c>
      <c r="E3332" s="17" t="s">
        <v>441</v>
      </c>
      <c r="F3332" s="15" t="s">
        <v>442</v>
      </c>
      <c r="G3332" s="46" t="s">
        <v>452</v>
      </c>
      <c r="H3332" s="47" t="s">
        <v>453</v>
      </c>
      <c r="I3332" s="48" t="s">
        <v>19</v>
      </c>
      <c r="J3332" s="49">
        <v>896597.0</v>
      </c>
    </row>
    <row r="3333">
      <c r="A3333" s="45" t="s">
        <v>74</v>
      </c>
      <c r="B3333" s="16" t="s">
        <v>233</v>
      </c>
      <c r="C3333" s="17" t="s">
        <v>234</v>
      </c>
      <c r="D3333" s="15">
        <v>5.0</v>
      </c>
      <c r="E3333" s="17" t="s">
        <v>441</v>
      </c>
      <c r="F3333" s="15" t="s">
        <v>442</v>
      </c>
      <c r="G3333" s="46" t="s">
        <v>454</v>
      </c>
      <c r="H3333" s="47" t="s">
        <v>415</v>
      </c>
      <c r="I3333" s="48" t="s">
        <v>19</v>
      </c>
      <c r="J3333" s="49">
        <v>130855.0</v>
      </c>
    </row>
    <row r="3334">
      <c r="A3334" s="45" t="s">
        <v>74</v>
      </c>
      <c r="B3334" s="16" t="s">
        <v>233</v>
      </c>
      <c r="C3334" s="17" t="s">
        <v>234</v>
      </c>
      <c r="D3334" s="15">
        <v>5.0</v>
      </c>
      <c r="E3334" s="17" t="s">
        <v>441</v>
      </c>
      <c r="F3334" s="15" t="s">
        <v>442</v>
      </c>
      <c r="G3334" s="46" t="s">
        <v>455</v>
      </c>
      <c r="H3334" s="47" t="s">
        <v>415</v>
      </c>
      <c r="I3334" s="48" t="s">
        <v>19</v>
      </c>
      <c r="J3334" s="49">
        <v>72696.0</v>
      </c>
    </row>
    <row r="3335">
      <c r="A3335" s="45" t="s">
        <v>74</v>
      </c>
      <c r="B3335" s="16" t="s">
        <v>233</v>
      </c>
      <c r="C3335" s="17" t="s">
        <v>234</v>
      </c>
      <c r="D3335" s="15">
        <v>5.0</v>
      </c>
      <c r="E3335" s="17" t="s">
        <v>441</v>
      </c>
      <c r="F3335" s="15" t="s">
        <v>442</v>
      </c>
      <c r="G3335" s="46" t="s">
        <v>499</v>
      </c>
      <c r="H3335" s="47" t="s">
        <v>500</v>
      </c>
      <c r="I3335" s="48" t="s">
        <v>19</v>
      </c>
      <c r="J3335" s="49">
        <v>1895868.0</v>
      </c>
    </row>
    <row r="3336">
      <c r="A3336" s="45" t="s">
        <v>74</v>
      </c>
      <c r="B3336" s="16" t="s">
        <v>233</v>
      </c>
      <c r="C3336" s="17" t="s">
        <v>234</v>
      </c>
      <c r="D3336" s="15">
        <v>5.0</v>
      </c>
      <c r="E3336" s="17" t="s">
        <v>441</v>
      </c>
      <c r="F3336" s="15" t="s">
        <v>442</v>
      </c>
      <c r="G3336" s="46" t="s">
        <v>583</v>
      </c>
      <c r="H3336" s="47" t="s">
        <v>584</v>
      </c>
      <c r="I3336" s="48" t="s">
        <v>25</v>
      </c>
      <c r="J3336" s="49">
        <v>9000000.0</v>
      </c>
    </row>
    <row r="3337">
      <c r="A3337" s="45" t="s">
        <v>74</v>
      </c>
      <c r="B3337" s="16" t="s">
        <v>233</v>
      </c>
      <c r="C3337" s="17" t="s">
        <v>234</v>
      </c>
      <c r="D3337" s="15">
        <v>5.0</v>
      </c>
      <c r="E3337" s="17" t="s">
        <v>456</v>
      </c>
      <c r="F3337" s="15" t="s">
        <v>457</v>
      </c>
      <c r="G3337" s="46" t="s">
        <v>515</v>
      </c>
      <c r="H3337" s="47" t="s">
        <v>413</v>
      </c>
      <c r="I3337" s="48" t="s">
        <v>19</v>
      </c>
      <c r="J3337" s="49">
        <v>3175514.0</v>
      </c>
    </row>
    <row r="3338">
      <c r="A3338" s="45" t="s">
        <v>74</v>
      </c>
      <c r="B3338" s="16" t="s">
        <v>233</v>
      </c>
      <c r="C3338" s="17" t="s">
        <v>234</v>
      </c>
      <c r="D3338" s="15">
        <v>5.0</v>
      </c>
      <c r="E3338" s="17" t="s">
        <v>456</v>
      </c>
      <c r="F3338" s="15" t="s">
        <v>457</v>
      </c>
      <c r="G3338" s="46" t="s">
        <v>579</v>
      </c>
      <c r="H3338" s="47" t="s">
        <v>580</v>
      </c>
      <c r="I3338" s="48" t="s">
        <v>19</v>
      </c>
      <c r="J3338" s="49">
        <v>99617.0</v>
      </c>
    </row>
    <row r="3339">
      <c r="A3339" s="45" t="s">
        <v>74</v>
      </c>
      <c r="B3339" s="16" t="s">
        <v>233</v>
      </c>
      <c r="C3339" s="17" t="s">
        <v>234</v>
      </c>
      <c r="D3339" s="15">
        <v>5.0</v>
      </c>
      <c r="E3339" s="17" t="s">
        <v>456</v>
      </c>
      <c r="F3339" s="15" t="s">
        <v>457</v>
      </c>
      <c r="G3339" s="46" t="s">
        <v>458</v>
      </c>
      <c r="H3339" s="47" t="s">
        <v>411</v>
      </c>
      <c r="I3339" s="48" t="s">
        <v>19</v>
      </c>
      <c r="J3339" s="49">
        <v>2.27195528E8</v>
      </c>
    </row>
    <row r="3340">
      <c r="A3340" s="45" t="s">
        <v>74</v>
      </c>
      <c r="B3340" s="16" t="s">
        <v>233</v>
      </c>
      <c r="C3340" s="17" t="s">
        <v>234</v>
      </c>
      <c r="D3340" s="15">
        <v>5.0</v>
      </c>
      <c r="E3340" s="17" t="s">
        <v>459</v>
      </c>
      <c r="F3340" s="15" t="s">
        <v>460</v>
      </c>
      <c r="G3340" s="46" t="s">
        <v>458</v>
      </c>
      <c r="H3340" s="47" t="s">
        <v>411</v>
      </c>
      <c r="I3340" s="48" t="s">
        <v>19</v>
      </c>
      <c r="J3340" s="49">
        <v>7662642.0</v>
      </c>
    </row>
    <row r="3341">
      <c r="A3341" s="45" t="s">
        <v>74</v>
      </c>
      <c r="B3341" s="16" t="s">
        <v>233</v>
      </c>
      <c r="C3341" s="17" t="s">
        <v>234</v>
      </c>
      <c r="D3341" s="15">
        <v>5.0</v>
      </c>
      <c r="E3341" s="17" t="s">
        <v>463</v>
      </c>
      <c r="F3341" s="15" t="s">
        <v>464</v>
      </c>
      <c r="G3341" s="46" t="s">
        <v>458</v>
      </c>
      <c r="H3341" s="47" t="s">
        <v>411</v>
      </c>
      <c r="I3341" s="48" t="s">
        <v>19</v>
      </c>
      <c r="J3341" s="49">
        <v>0.0</v>
      </c>
    </row>
    <row r="3342">
      <c r="A3342" s="45" t="s">
        <v>74</v>
      </c>
      <c r="B3342" s="16" t="s">
        <v>233</v>
      </c>
      <c r="C3342" s="17" t="s">
        <v>234</v>
      </c>
      <c r="D3342" s="15">
        <v>5.0</v>
      </c>
      <c r="E3342" s="17" t="s">
        <v>487</v>
      </c>
      <c r="F3342" s="15" t="s">
        <v>488</v>
      </c>
      <c r="G3342" s="46" t="s">
        <v>519</v>
      </c>
      <c r="H3342" s="47" t="s">
        <v>414</v>
      </c>
      <c r="I3342" s="48" t="s">
        <v>37</v>
      </c>
      <c r="J3342" s="49">
        <v>1.03425E7</v>
      </c>
    </row>
    <row r="3343">
      <c r="A3343" s="45" t="s">
        <v>74</v>
      </c>
      <c r="B3343" s="16" t="s">
        <v>233</v>
      </c>
      <c r="C3343" s="17" t="s">
        <v>234</v>
      </c>
      <c r="D3343" s="15">
        <v>5.0</v>
      </c>
      <c r="E3343" s="17" t="s">
        <v>487</v>
      </c>
      <c r="F3343" s="15" t="s">
        <v>488</v>
      </c>
      <c r="G3343" s="46" t="s">
        <v>489</v>
      </c>
      <c r="H3343" s="47" t="s">
        <v>490</v>
      </c>
      <c r="I3343" s="48" t="s">
        <v>37</v>
      </c>
      <c r="J3343" s="49">
        <v>0.0</v>
      </c>
    </row>
    <row r="3344">
      <c r="A3344" s="45" t="s">
        <v>74</v>
      </c>
      <c r="B3344" s="16" t="s">
        <v>233</v>
      </c>
      <c r="C3344" s="17" t="s">
        <v>234</v>
      </c>
      <c r="D3344" s="15">
        <v>5.0</v>
      </c>
      <c r="E3344" s="17" t="s">
        <v>487</v>
      </c>
      <c r="F3344" s="15" t="s">
        <v>488</v>
      </c>
      <c r="G3344" s="46" t="s">
        <v>489</v>
      </c>
      <c r="H3344" s="47" t="s">
        <v>490</v>
      </c>
      <c r="I3344" s="48" t="s">
        <v>25</v>
      </c>
      <c r="J3344" s="49">
        <v>2160000.0</v>
      </c>
    </row>
    <row r="3345">
      <c r="A3345" s="45" t="s">
        <v>74</v>
      </c>
      <c r="B3345" s="16" t="s">
        <v>233</v>
      </c>
      <c r="C3345" s="17" t="s">
        <v>234</v>
      </c>
      <c r="D3345" s="15">
        <v>5.0</v>
      </c>
      <c r="E3345" s="17" t="s">
        <v>487</v>
      </c>
      <c r="F3345" s="15" t="s">
        <v>488</v>
      </c>
      <c r="G3345" s="46" t="s">
        <v>558</v>
      </c>
      <c r="H3345" s="47" t="s">
        <v>559</v>
      </c>
      <c r="I3345" s="48" t="s">
        <v>17</v>
      </c>
      <c r="J3345" s="49">
        <v>3950000.0</v>
      </c>
    </row>
    <row r="3346">
      <c r="A3346" s="45" t="s">
        <v>74</v>
      </c>
      <c r="B3346" s="16" t="s">
        <v>233</v>
      </c>
      <c r="C3346" s="17" t="s">
        <v>234</v>
      </c>
      <c r="D3346" s="15">
        <v>5.0</v>
      </c>
      <c r="E3346" s="17" t="s">
        <v>469</v>
      </c>
      <c r="F3346" s="15" t="s">
        <v>470</v>
      </c>
      <c r="G3346" s="46" t="s">
        <v>471</v>
      </c>
      <c r="H3346" s="47" t="s">
        <v>472</v>
      </c>
      <c r="I3346" s="48" t="s">
        <v>25</v>
      </c>
      <c r="J3346" s="49">
        <v>1060050.0</v>
      </c>
    </row>
    <row r="3347">
      <c r="A3347" s="45" t="s">
        <v>74</v>
      </c>
      <c r="B3347" s="16" t="s">
        <v>233</v>
      </c>
      <c r="C3347" s="17" t="s">
        <v>234</v>
      </c>
      <c r="D3347" s="15">
        <v>5.0</v>
      </c>
      <c r="E3347" s="17" t="s">
        <v>473</v>
      </c>
      <c r="F3347" s="15" t="s">
        <v>474</v>
      </c>
      <c r="G3347" s="46" t="s">
        <v>523</v>
      </c>
      <c r="H3347" s="47" t="s">
        <v>431</v>
      </c>
      <c r="I3347" s="48" t="s">
        <v>17</v>
      </c>
      <c r="J3347" s="49">
        <v>2.32383333E8</v>
      </c>
    </row>
    <row r="3348">
      <c r="A3348" s="45" t="s">
        <v>74</v>
      </c>
      <c r="B3348" s="16" t="s">
        <v>233</v>
      </c>
      <c r="C3348" s="17" t="s">
        <v>234</v>
      </c>
      <c r="D3348" s="15">
        <v>5.0</v>
      </c>
      <c r="E3348" s="17" t="s">
        <v>473</v>
      </c>
      <c r="F3348" s="15" t="s">
        <v>474</v>
      </c>
      <c r="G3348" s="46" t="s">
        <v>523</v>
      </c>
      <c r="H3348" s="47" t="s">
        <v>431</v>
      </c>
      <c r="I3348" s="48" t="s">
        <v>25</v>
      </c>
      <c r="J3348" s="49">
        <v>1.344615E7</v>
      </c>
    </row>
    <row r="3349">
      <c r="A3349" s="45" t="s">
        <v>74</v>
      </c>
      <c r="B3349" s="16" t="s">
        <v>233</v>
      </c>
      <c r="C3349" s="17" t="s">
        <v>234</v>
      </c>
      <c r="D3349" s="15">
        <v>5.0</v>
      </c>
      <c r="E3349" s="17" t="s">
        <v>473</v>
      </c>
      <c r="F3349" s="15" t="s">
        <v>474</v>
      </c>
      <c r="G3349" s="46" t="s">
        <v>458</v>
      </c>
      <c r="H3349" s="47" t="s">
        <v>411</v>
      </c>
      <c r="I3349" s="48" t="s">
        <v>19</v>
      </c>
      <c r="J3349" s="49">
        <v>4.8684756E7</v>
      </c>
    </row>
    <row r="3350">
      <c r="A3350" s="45" t="s">
        <v>74</v>
      </c>
      <c r="B3350" s="16" t="s">
        <v>233</v>
      </c>
      <c r="C3350" s="17" t="s">
        <v>234</v>
      </c>
      <c r="D3350" s="15">
        <v>5.0</v>
      </c>
      <c r="E3350" s="17" t="s">
        <v>491</v>
      </c>
      <c r="F3350" s="15" t="s">
        <v>492</v>
      </c>
      <c r="G3350" s="46" t="s">
        <v>493</v>
      </c>
      <c r="H3350" s="47" t="s">
        <v>437</v>
      </c>
      <c r="I3350" s="48" t="s">
        <v>25</v>
      </c>
      <c r="J3350" s="49">
        <v>6598557.0</v>
      </c>
    </row>
    <row r="3351">
      <c r="A3351" s="45" t="s">
        <v>74</v>
      </c>
      <c r="B3351" s="16" t="s">
        <v>233</v>
      </c>
      <c r="C3351" s="17" t="s">
        <v>234</v>
      </c>
      <c r="D3351" s="15">
        <v>5.0</v>
      </c>
      <c r="E3351" s="17" t="s">
        <v>491</v>
      </c>
      <c r="F3351" s="15" t="s">
        <v>492</v>
      </c>
      <c r="G3351" s="46" t="s">
        <v>458</v>
      </c>
      <c r="H3351" s="47" t="s">
        <v>411</v>
      </c>
      <c r="I3351" s="48" t="s">
        <v>19</v>
      </c>
      <c r="J3351" s="49">
        <v>7662642.0</v>
      </c>
    </row>
    <row r="3352">
      <c r="A3352" s="45" t="s">
        <v>74</v>
      </c>
      <c r="B3352" s="16" t="s">
        <v>233</v>
      </c>
      <c r="C3352" s="17" t="s">
        <v>234</v>
      </c>
      <c r="D3352" s="15">
        <v>5.0</v>
      </c>
      <c r="E3352" s="17" t="s">
        <v>475</v>
      </c>
      <c r="F3352" s="15" t="s">
        <v>476</v>
      </c>
      <c r="G3352" s="46" t="s">
        <v>498</v>
      </c>
      <c r="H3352" s="47" t="s">
        <v>434</v>
      </c>
      <c r="I3352" s="48" t="s">
        <v>25</v>
      </c>
      <c r="J3352" s="49">
        <v>1.758812E7</v>
      </c>
    </row>
    <row r="3353">
      <c r="A3353" s="45" t="s">
        <v>74</v>
      </c>
      <c r="B3353" s="16" t="s">
        <v>233</v>
      </c>
      <c r="C3353" s="17" t="s">
        <v>234</v>
      </c>
      <c r="D3353" s="15">
        <v>5.0</v>
      </c>
      <c r="E3353" s="17" t="s">
        <v>475</v>
      </c>
      <c r="F3353" s="15" t="s">
        <v>476</v>
      </c>
      <c r="G3353" s="46" t="s">
        <v>477</v>
      </c>
      <c r="H3353" s="47" t="s">
        <v>429</v>
      </c>
      <c r="I3353" s="48" t="s">
        <v>50</v>
      </c>
      <c r="J3353" s="49">
        <v>4.8901916E7</v>
      </c>
    </row>
    <row r="3354">
      <c r="A3354" s="45" t="s">
        <v>74</v>
      </c>
      <c r="B3354" s="16" t="s">
        <v>233</v>
      </c>
      <c r="C3354" s="17" t="s">
        <v>234</v>
      </c>
      <c r="D3354" s="15">
        <v>5.0</v>
      </c>
      <c r="E3354" s="17" t="s">
        <v>524</v>
      </c>
      <c r="F3354" s="15" t="s">
        <v>479</v>
      </c>
      <c r="G3354" s="46" t="s">
        <v>443</v>
      </c>
      <c r="H3354" s="47" t="s">
        <v>420</v>
      </c>
      <c r="I3354" s="48" t="s">
        <v>19</v>
      </c>
      <c r="J3354" s="49">
        <v>6.241385E7</v>
      </c>
    </row>
    <row r="3355">
      <c r="A3355" s="45" t="s">
        <v>74</v>
      </c>
      <c r="B3355" s="16" t="s">
        <v>233</v>
      </c>
      <c r="C3355" s="17" t="s">
        <v>234</v>
      </c>
      <c r="D3355" s="15">
        <v>5.0</v>
      </c>
      <c r="E3355" s="17" t="s">
        <v>524</v>
      </c>
      <c r="F3355" s="15" t="s">
        <v>479</v>
      </c>
      <c r="G3355" s="46" t="s">
        <v>444</v>
      </c>
      <c r="H3355" s="47" t="s">
        <v>445</v>
      </c>
      <c r="I3355" s="48" t="s">
        <v>19</v>
      </c>
      <c r="J3355" s="49">
        <v>9376307.0</v>
      </c>
    </row>
    <row r="3356">
      <c r="A3356" s="45" t="s">
        <v>74</v>
      </c>
      <c r="B3356" s="16" t="s">
        <v>233</v>
      </c>
      <c r="C3356" s="17" t="s">
        <v>234</v>
      </c>
      <c r="D3356" s="15">
        <v>5.0</v>
      </c>
      <c r="E3356" s="17" t="s">
        <v>524</v>
      </c>
      <c r="F3356" s="15" t="s">
        <v>479</v>
      </c>
      <c r="G3356" s="46" t="s">
        <v>579</v>
      </c>
      <c r="H3356" s="47" t="s">
        <v>580</v>
      </c>
      <c r="I3356" s="48" t="s">
        <v>19</v>
      </c>
      <c r="J3356" s="49">
        <v>6258208.0</v>
      </c>
    </row>
    <row r="3357">
      <c r="A3357" s="45" t="s">
        <v>74</v>
      </c>
      <c r="B3357" s="16" t="s">
        <v>233</v>
      </c>
      <c r="C3357" s="17" t="s">
        <v>234</v>
      </c>
      <c r="D3357" s="15">
        <v>5.0</v>
      </c>
      <c r="E3357" s="17" t="s">
        <v>524</v>
      </c>
      <c r="F3357" s="15" t="s">
        <v>479</v>
      </c>
      <c r="G3357" s="46" t="s">
        <v>446</v>
      </c>
      <c r="H3357" s="47" t="s">
        <v>447</v>
      </c>
      <c r="I3357" s="48" t="s">
        <v>19</v>
      </c>
      <c r="J3357" s="49">
        <v>715262.0</v>
      </c>
    </row>
    <row r="3358">
      <c r="A3358" s="45" t="s">
        <v>74</v>
      </c>
      <c r="B3358" s="16" t="s">
        <v>233</v>
      </c>
      <c r="C3358" s="17" t="s">
        <v>234</v>
      </c>
      <c r="D3358" s="15">
        <v>5.0</v>
      </c>
      <c r="E3358" s="17" t="s">
        <v>524</v>
      </c>
      <c r="F3358" s="15" t="s">
        <v>479</v>
      </c>
      <c r="G3358" s="46" t="s">
        <v>448</v>
      </c>
      <c r="H3358" s="47" t="s">
        <v>449</v>
      </c>
      <c r="I3358" s="48" t="s">
        <v>19</v>
      </c>
      <c r="J3358" s="49">
        <v>1129130.0</v>
      </c>
    </row>
    <row r="3359">
      <c r="A3359" s="45" t="s">
        <v>74</v>
      </c>
      <c r="B3359" s="16" t="s">
        <v>233</v>
      </c>
      <c r="C3359" s="17" t="s">
        <v>234</v>
      </c>
      <c r="D3359" s="15">
        <v>5.0</v>
      </c>
      <c r="E3359" s="17" t="s">
        <v>524</v>
      </c>
      <c r="F3359" s="15" t="s">
        <v>479</v>
      </c>
      <c r="G3359" s="46" t="s">
        <v>452</v>
      </c>
      <c r="H3359" s="47" t="s">
        <v>453</v>
      </c>
      <c r="I3359" s="48" t="s">
        <v>19</v>
      </c>
      <c r="J3359" s="49">
        <v>1323233.0</v>
      </c>
    </row>
    <row r="3360">
      <c r="A3360" s="45" t="s">
        <v>74</v>
      </c>
      <c r="B3360" s="16" t="s">
        <v>233</v>
      </c>
      <c r="C3360" s="17" t="s">
        <v>234</v>
      </c>
      <c r="D3360" s="15">
        <v>5.0</v>
      </c>
      <c r="E3360" s="17" t="s">
        <v>524</v>
      </c>
      <c r="F3360" s="15" t="s">
        <v>479</v>
      </c>
      <c r="G3360" s="46" t="s">
        <v>454</v>
      </c>
      <c r="H3360" s="47" t="s">
        <v>415</v>
      </c>
      <c r="I3360" s="48" t="s">
        <v>19</v>
      </c>
      <c r="J3360" s="49">
        <v>193121.0</v>
      </c>
    </row>
    <row r="3361">
      <c r="A3361" s="45" t="s">
        <v>74</v>
      </c>
      <c r="B3361" s="16" t="s">
        <v>233</v>
      </c>
      <c r="C3361" s="17" t="s">
        <v>234</v>
      </c>
      <c r="D3361" s="15">
        <v>5.0</v>
      </c>
      <c r="E3361" s="17" t="s">
        <v>524</v>
      </c>
      <c r="F3361" s="15" t="s">
        <v>479</v>
      </c>
      <c r="G3361" s="46" t="s">
        <v>455</v>
      </c>
      <c r="H3361" s="47" t="s">
        <v>415</v>
      </c>
      <c r="I3361" s="48" t="s">
        <v>19</v>
      </c>
      <c r="J3361" s="49">
        <v>107290.0</v>
      </c>
    </row>
    <row r="3362">
      <c r="A3362" s="45" t="s">
        <v>74</v>
      </c>
      <c r="B3362" s="16" t="s">
        <v>233</v>
      </c>
      <c r="C3362" s="17" t="s">
        <v>234</v>
      </c>
      <c r="D3362" s="15">
        <v>5.0</v>
      </c>
      <c r="E3362" s="17" t="s">
        <v>524</v>
      </c>
      <c r="F3362" s="15" t="s">
        <v>479</v>
      </c>
      <c r="G3362" s="46" t="s">
        <v>499</v>
      </c>
      <c r="H3362" s="47" t="s">
        <v>500</v>
      </c>
      <c r="I3362" s="48" t="s">
        <v>19</v>
      </c>
      <c r="J3362" s="49">
        <v>5849708.0</v>
      </c>
    </row>
    <row r="3363">
      <c r="A3363" s="45" t="s">
        <v>74</v>
      </c>
      <c r="B3363" s="16" t="s">
        <v>233</v>
      </c>
      <c r="C3363" s="17" t="s">
        <v>234</v>
      </c>
      <c r="D3363" s="15">
        <v>5.0</v>
      </c>
      <c r="E3363" s="17" t="s">
        <v>524</v>
      </c>
      <c r="F3363" s="15" t="s">
        <v>479</v>
      </c>
      <c r="G3363" s="46" t="s">
        <v>583</v>
      </c>
      <c r="H3363" s="47" t="s">
        <v>584</v>
      </c>
      <c r="I3363" s="48" t="s">
        <v>25</v>
      </c>
      <c r="J3363" s="49">
        <v>1.5E7</v>
      </c>
    </row>
    <row r="3364">
      <c r="A3364" s="45" t="s">
        <v>74</v>
      </c>
      <c r="B3364" s="16" t="s">
        <v>233</v>
      </c>
      <c r="C3364" s="17" t="s">
        <v>234</v>
      </c>
      <c r="D3364" s="15">
        <v>5.0</v>
      </c>
      <c r="E3364" s="17" t="s">
        <v>525</v>
      </c>
      <c r="F3364" s="15" t="s">
        <v>502</v>
      </c>
      <c r="G3364" s="46" t="s">
        <v>526</v>
      </c>
      <c r="H3364" s="47" t="s">
        <v>527</v>
      </c>
      <c r="I3364" s="48" t="s">
        <v>60</v>
      </c>
      <c r="J3364" s="49">
        <v>3.67712826E8</v>
      </c>
    </row>
    <row r="3365">
      <c r="A3365" s="45" t="s">
        <v>74</v>
      </c>
      <c r="B3365" s="16" t="s">
        <v>233</v>
      </c>
      <c r="C3365" s="17" t="s">
        <v>234</v>
      </c>
      <c r="D3365" s="15">
        <v>5.0</v>
      </c>
      <c r="E3365" s="17" t="s">
        <v>525</v>
      </c>
      <c r="F3365" s="15" t="s">
        <v>502</v>
      </c>
      <c r="G3365" s="46" t="s">
        <v>507</v>
      </c>
      <c r="H3365" s="47" t="s">
        <v>508</v>
      </c>
      <c r="I3365" s="48" t="s">
        <v>60</v>
      </c>
      <c r="J3365" s="49">
        <v>7438768.0</v>
      </c>
    </row>
    <row r="3366">
      <c r="A3366" s="45" t="s">
        <v>74</v>
      </c>
      <c r="B3366" s="16" t="s">
        <v>233</v>
      </c>
      <c r="C3366" s="17" t="s">
        <v>234</v>
      </c>
      <c r="D3366" s="15">
        <v>5.0</v>
      </c>
      <c r="E3366" s="17" t="s">
        <v>525</v>
      </c>
      <c r="F3366" s="15" t="s">
        <v>502</v>
      </c>
      <c r="G3366" s="46" t="s">
        <v>509</v>
      </c>
      <c r="H3366" s="47" t="s">
        <v>510</v>
      </c>
      <c r="I3366" s="48" t="s">
        <v>60</v>
      </c>
      <c r="J3366" s="49">
        <v>408333.0</v>
      </c>
    </row>
    <row r="3367">
      <c r="A3367" s="45" t="s">
        <v>74</v>
      </c>
      <c r="B3367" s="16" t="s">
        <v>233</v>
      </c>
      <c r="C3367" s="17" t="s">
        <v>234</v>
      </c>
      <c r="D3367" s="15">
        <v>5.0</v>
      </c>
      <c r="E3367" s="17" t="s">
        <v>525</v>
      </c>
      <c r="F3367" s="15" t="s">
        <v>502</v>
      </c>
      <c r="G3367" s="46" t="s">
        <v>567</v>
      </c>
      <c r="H3367" s="47" t="s">
        <v>568</v>
      </c>
      <c r="I3367" s="48" t="s">
        <v>60</v>
      </c>
      <c r="J3367" s="49">
        <v>2930000.0</v>
      </c>
    </row>
    <row r="3368">
      <c r="A3368" s="45" t="s">
        <v>74</v>
      </c>
      <c r="B3368" s="16" t="s">
        <v>233</v>
      </c>
      <c r="C3368" s="17" t="s">
        <v>234</v>
      </c>
      <c r="D3368" s="15">
        <v>5.0</v>
      </c>
      <c r="E3368" s="17" t="s">
        <v>525</v>
      </c>
      <c r="F3368" s="15" t="s">
        <v>502</v>
      </c>
      <c r="G3368" s="46" t="s">
        <v>511</v>
      </c>
      <c r="H3368" s="47" t="s">
        <v>512</v>
      </c>
      <c r="I3368" s="48" t="s">
        <v>60</v>
      </c>
      <c r="J3368" s="49">
        <v>3.0863447E7</v>
      </c>
    </row>
    <row r="3369">
      <c r="A3369" s="45" t="s">
        <v>74</v>
      </c>
      <c r="B3369" s="16" t="s">
        <v>233</v>
      </c>
      <c r="C3369" s="17" t="s">
        <v>234</v>
      </c>
      <c r="D3369" s="15">
        <v>5.0</v>
      </c>
      <c r="E3369" s="17" t="s">
        <v>525</v>
      </c>
      <c r="F3369" s="15" t="s">
        <v>502</v>
      </c>
      <c r="G3369" s="46" t="s">
        <v>513</v>
      </c>
      <c r="H3369" s="47" t="s">
        <v>514</v>
      </c>
      <c r="I3369" s="48" t="s">
        <v>60</v>
      </c>
      <c r="J3369" s="49">
        <v>5162528.0</v>
      </c>
    </row>
    <row r="3370">
      <c r="A3370" s="45" t="s">
        <v>74</v>
      </c>
      <c r="B3370" s="16" t="s">
        <v>233</v>
      </c>
      <c r="C3370" s="17" t="s">
        <v>234</v>
      </c>
      <c r="D3370" s="15">
        <v>5.0</v>
      </c>
      <c r="E3370" s="17" t="s">
        <v>548</v>
      </c>
      <c r="F3370" s="15" t="s">
        <v>549</v>
      </c>
      <c r="G3370" s="46" t="s">
        <v>550</v>
      </c>
      <c r="H3370" s="47" t="s">
        <v>551</v>
      </c>
      <c r="I3370" s="48" t="s">
        <v>25</v>
      </c>
      <c r="J3370" s="49">
        <v>9.7797E7</v>
      </c>
    </row>
    <row r="3371">
      <c r="A3371" s="45" t="s">
        <v>74</v>
      </c>
      <c r="B3371" s="16" t="s">
        <v>244</v>
      </c>
      <c r="C3371" s="17" t="s">
        <v>245</v>
      </c>
      <c r="D3371" s="15">
        <v>5.0</v>
      </c>
      <c r="E3371" s="17" t="s">
        <v>441</v>
      </c>
      <c r="F3371" s="15" t="s">
        <v>442</v>
      </c>
      <c r="G3371" s="46" t="s">
        <v>443</v>
      </c>
      <c r="H3371" s="47" t="s">
        <v>420</v>
      </c>
      <c r="I3371" s="48" t="s">
        <v>19</v>
      </c>
      <c r="J3371" s="49">
        <v>5.8948695E7</v>
      </c>
    </row>
    <row r="3372">
      <c r="A3372" s="45" t="s">
        <v>74</v>
      </c>
      <c r="B3372" s="16" t="s">
        <v>244</v>
      </c>
      <c r="C3372" s="17" t="s">
        <v>245</v>
      </c>
      <c r="D3372" s="15">
        <v>5.0</v>
      </c>
      <c r="E3372" s="17" t="s">
        <v>441</v>
      </c>
      <c r="F3372" s="15" t="s">
        <v>442</v>
      </c>
      <c r="G3372" s="46" t="s">
        <v>444</v>
      </c>
      <c r="H3372" s="47" t="s">
        <v>445</v>
      </c>
      <c r="I3372" s="48" t="s">
        <v>19</v>
      </c>
      <c r="J3372" s="49">
        <v>1.2891179E7</v>
      </c>
    </row>
    <row r="3373">
      <c r="A3373" s="45" t="s">
        <v>74</v>
      </c>
      <c r="B3373" s="16" t="s">
        <v>244</v>
      </c>
      <c r="C3373" s="17" t="s">
        <v>245</v>
      </c>
      <c r="D3373" s="15">
        <v>5.0</v>
      </c>
      <c r="E3373" s="17" t="s">
        <v>441</v>
      </c>
      <c r="F3373" s="15" t="s">
        <v>442</v>
      </c>
      <c r="G3373" s="46" t="s">
        <v>579</v>
      </c>
      <c r="H3373" s="47" t="s">
        <v>580</v>
      </c>
      <c r="I3373" s="48" t="s">
        <v>19</v>
      </c>
      <c r="J3373" s="49">
        <v>5177352.0</v>
      </c>
    </row>
    <row r="3374">
      <c r="A3374" s="45" t="s">
        <v>74</v>
      </c>
      <c r="B3374" s="16" t="s">
        <v>244</v>
      </c>
      <c r="C3374" s="17" t="s">
        <v>245</v>
      </c>
      <c r="D3374" s="15">
        <v>5.0</v>
      </c>
      <c r="E3374" s="17" t="s">
        <v>441</v>
      </c>
      <c r="F3374" s="15" t="s">
        <v>442</v>
      </c>
      <c r="G3374" s="46" t="s">
        <v>446</v>
      </c>
      <c r="H3374" s="47" t="s">
        <v>447</v>
      </c>
      <c r="I3374" s="48" t="s">
        <v>19</v>
      </c>
      <c r="J3374" s="49">
        <v>491234.0</v>
      </c>
    </row>
    <row r="3375">
      <c r="A3375" s="45" t="s">
        <v>74</v>
      </c>
      <c r="B3375" s="16" t="s">
        <v>244</v>
      </c>
      <c r="C3375" s="17" t="s">
        <v>245</v>
      </c>
      <c r="D3375" s="15">
        <v>5.0</v>
      </c>
      <c r="E3375" s="17" t="s">
        <v>441</v>
      </c>
      <c r="F3375" s="15" t="s">
        <v>442</v>
      </c>
      <c r="G3375" s="46" t="s">
        <v>448</v>
      </c>
      <c r="H3375" s="47" t="s">
        <v>449</v>
      </c>
      <c r="I3375" s="48" t="s">
        <v>19</v>
      </c>
      <c r="J3375" s="49">
        <v>874358.0</v>
      </c>
    </row>
    <row r="3376">
      <c r="A3376" s="45" t="s">
        <v>74</v>
      </c>
      <c r="B3376" s="16" t="s">
        <v>244</v>
      </c>
      <c r="C3376" s="17" t="s">
        <v>245</v>
      </c>
      <c r="D3376" s="15">
        <v>5.0</v>
      </c>
      <c r="E3376" s="17" t="s">
        <v>441</v>
      </c>
      <c r="F3376" s="15" t="s">
        <v>442</v>
      </c>
      <c r="G3376" s="46" t="s">
        <v>452</v>
      </c>
      <c r="H3376" s="47" t="s">
        <v>453</v>
      </c>
      <c r="I3376" s="48" t="s">
        <v>19</v>
      </c>
      <c r="J3376" s="49">
        <v>908782.0</v>
      </c>
    </row>
    <row r="3377">
      <c r="A3377" s="45" t="s">
        <v>74</v>
      </c>
      <c r="B3377" s="16" t="s">
        <v>244</v>
      </c>
      <c r="C3377" s="17" t="s">
        <v>245</v>
      </c>
      <c r="D3377" s="15">
        <v>5.0</v>
      </c>
      <c r="E3377" s="17" t="s">
        <v>441</v>
      </c>
      <c r="F3377" s="15" t="s">
        <v>442</v>
      </c>
      <c r="G3377" s="46" t="s">
        <v>454</v>
      </c>
      <c r="H3377" s="47" t="s">
        <v>415</v>
      </c>
      <c r="I3377" s="48" t="s">
        <v>19</v>
      </c>
      <c r="J3377" s="49">
        <v>132634.0</v>
      </c>
    </row>
    <row r="3378">
      <c r="A3378" s="45" t="s">
        <v>74</v>
      </c>
      <c r="B3378" s="16" t="s">
        <v>244</v>
      </c>
      <c r="C3378" s="17" t="s">
        <v>245</v>
      </c>
      <c r="D3378" s="15">
        <v>5.0</v>
      </c>
      <c r="E3378" s="17" t="s">
        <v>441</v>
      </c>
      <c r="F3378" s="15" t="s">
        <v>442</v>
      </c>
      <c r="G3378" s="46" t="s">
        <v>455</v>
      </c>
      <c r="H3378" s="47" t="s">
        <v>415</v>
      </c>
      <c r="I3378" s="48" t="s">
        <v>19</v>
      </c>
      <c r="J3378" s="49">
        <v>73685.0</v>
      </c>
    </row>
    <row r="3379">
      <c r="A3379" s="45" t="s">
        <v>74</v>
      </c>
      <c r="B3379" s="16" t="s">
        <v>244</v>
      </c>
      <c r="C3379" s="17" t="s">
        <v>245</v>
      </c>
      <c r="D3379" s="15">
        <v>5.0</v>
      </c>
      <c r="E3379" s="17" t="s">
        <v>441</v>
      </c>
      <c r="F3379" s="15" t="s">
        <v>442</v>
      </c>
      <c r="G3379" s="46" t="s">
        <v>583</v>
      </c>
      <c r="H3379" s="47" t="s">
        <v>584</v>
      </c>
      <c r="I3379" s="48" t="s">
        <v>25</v>
      </c>
      <c r="J3379" s="49">
        <v>9000000.0</v>
      </c>
    </row>
    <row r="3380">
      <c r="A3380" s="45" t="s">
        <v>74</v>
      </c>
      <c r="B3380" s="16" t="s">
        <v>244</v>
      </c>
      <c r="C3380" s="17" t="s">
        <v>245</v>
      </c>
      <c r="D3380" s="15">
        <v>5.0</v>
      </c>
      <c r="E3380" s="17" t="s">
        <v>456</v>
      </c>
      <c r="F3380" s="15" t="s">
        <v>457</v>
      </c>
      <c r="G3380" s="46" t="s">
        <v>515</v>
      </c>
      <c r="H3380" s="47" t="s">
        <v>413</v>
      </c>
      <c r="I3380" s="48" t="s">
        <v>19</v>
      </c>
      <c r="J3380" s="49">
        <v>1.0E7</v>
      </c>
    </row>
    <row r="3381">
      <c r="A3381" s="45" t="s">
        <v>74</v>
      </c>
      <c r="B3381" s="16" t="s">
        <v>244</v>
      </c>
      <c r="C3381" s="17" t="s">
        <v>245</v>
      </c>
      <c r="D3381" s="15">
        <v>5.0</v>
      </c>
      <c r="E3381" s="17" t="s">
        <v>456</v>
      </c>
      <c r="F3381" s="15" t="s">
        <v>457</v>
      </c>
      <c r="G3381" s="46" t="s">
        <v>579</v>
      </c>
      <c r="H3381" s="47" t="s">
        <v>580</v>
      </c>
      <c r="I3381" s="48" t="s">
        <v>19</v>
      </c>
      <c r="J3381" s="49">
        <v>486744.0</v>
      </c>
    </row>
    <row r="3382">
      <c r="A3382" s="45" t="s">
        <v>74</v>
      </c>
      <c r="B3382" s="16" t="s">
        <v>244</v>
      </c>
      <c r="C3382" s="17" t="s">
        <v>245</v>
      </c>
      <c r="D3382" s="15">
        <v>5.0</v>
      </c>
      <c r="E3382" s="17" t="s">
        <v>456</v>
      </c>
      <c r="F3382" s="15" t="s">
        <v>457</v>
      </c>
      <c r="G3382" s="46" t="s">
        <v>458</v>
      </c>
      <c r="H3382" s="47" t="s">
        <v>411</v>
      </c>
      <c r="I3382" s="48" t="s">
        <v>19</v>
      </c>
      <c r="J3382" s="49">
        <v>5.54734407E8</v>
      </c>
    </row>
    <row r="3383">
      <c r="A3383" s="45" t="s">
        <v>74</v>
      </c>
      <c r="B3383" s="16" t="s">
        <v>244</v>
      </c>
      <c r="C3383" s="17" t="s">
        <v>245</v>
      </c>
      <c r="D3383" s="15">
        <v>5.0</v>
      </c>
      <c r="E3383" s="17" t="s">
        <v>456</v>
      </c>
      <c r="F3383" s="15" t="s">
        <v>457</v>
      </c>
      <c r="G3383" s="46" t="s">
        <v>532</v>
      </c>
      <c r="H3383" s="47" t="s">
        <v>412</v>
      </c>
      <c r="I3383" s="48" t="s">
        <v>19</v>
      </c>
      <c r="J3383" s="49">
        <v>2685258.0</v>
      </c>
    </row>
    <row r="3384">
      <c r="A3384" s="45" t="s">
        <v>74</v>
      </c>
      <c r="B3384" s="16" t="s">
        <v>244</v>
      </c>
      <c r="C3384" s="17" t="s">
        <v>245</v>
      </c>
      <c r="D3384" s="15">
        <v>5.0</v>
      </c>
      <c r="E3384" s="17" t="s">
        <v>459</v>
      </c>
      <c r="F3384" s="15" t="s">
        <v>460</v>
      </c>
      <c r="G3384" s="46" t="s">
        <v>458</v>
      </c>
      <c r="H3384" s="47" t="s">
        <v>411</v>
      </c>
      <c r="I3384" s="48" t="s">
        <v>19</v>
      </c>
      <c r="J3384" s="49">
        <v>3.1992855E7</v>
      </c>
    </row>
    <row r="3385">
      <c r="A3385" s="45" t="s">
        <v>74</v>
      </c>
      <c r="B3385" s="16" t="s">
        <v>244</v>
      </c>
      <c r="C3385" s="17" t="s">
        <v>245</v>
      </c>
      <c r="D3385" s="15">
        <v>5.0</v>
      </c>
      <c r="E3385" s="17" t="s">
        <v>487</v>
      </c>
      <c r="F3385" s="15" t="s">
        <v>488</v>
      </c>
      <c r="G3385" s="46" t="s">
        <v>530</v>
      </c>
      <c r="H3385" s="47" t="s">
        <v>531</v>
      </c>
      <c r="I3385" s="48" t="s">
        <v>50</v>
      </c>
      <c r="J3385" s="49">
        <v>2.1798699E7</v>
      </c>
    </row>
    <row r="3386">
      <c r="A3386" s="45" t="s">
        <v>74</v>
      </c>
      <c r="B3386" s="16" t="s">
        <v>244</v>
      </c>
      <c r="C3386" s="17" t="s">
        <v>245</v>
      </c>
      <c r="D3386" s="15">
        <v>5.0</v>
      </c>
      <c r="E3386" s="17" t="s">
        <v>473</v>
      </c>
      <c r="F3386" s="15" t="s">
        <v>474</v>
      </c>
      <c r="G3386" s="46" t="s">
        <v>443</v>
      </c>
      <c r="H3386" s="47" t="s">
        <v>420</v>
      </c>
      <c r="I3386" s="48" t="s">
        <v>19</v>
      </c>
      <c r="J3386" s="49">
        <v>7975000.0</v>
      </c>
    </row>
    <row r="3387">
      <c r="A3387" s="45" t="s">
        <v>74</v>
      </c>
      <c r="B3387" s="16" t="s">
        <v>244</v>
      </c>
      <c r="C3387" s="17" t="s">
        <v>245</v>
      </c>
      <c r="D3387" s="15">
        <v>5.0</v>
      </c>
      <c r="E3387" s="17" t="s">
        <v>473</v>
      </c>
      <c r="F3387" s="15" t="s">
        <v>474</v>
      </c>
      <c r="G3387" s="46" t="s">
        <v>444</v>
      </c>
      <c r="H3387" s="47" t="s">
        <v>445</v>
      </c>
      <c r="I3387" s="48" t="s">
        <v>19</v>
      </c>
      <c r="J3387" s="49">
        <v>261026.0</v>
      </c>
    </row>
    <row r="3388">
      <c r="A3388" s="45" t="s">
        <v>74</v>
      </c>
      <c r="B3388" s="16" t="s">
        <v>244</v>
      </c>
      <c r="C3388" s="17" t="s">
        <v>245</v>
      </c>
      <c r="D3388" s="15">
        <v>5.0</v>
      </c>
      <c r="E3388" s="17" t="s">
        <v>473</v>
      </c>
      <c r="F3388" s="15" t="s">
        <v>474</v>
      </c>
      <c r="G3388" s="46" t="s">
        <v>579</v>
      </c>
      <c r="H3388" s="47" t="s">
        <v>580</v>
      </c>
      <c r="I3388" s="48" t="s">
        <v>19</v>
      </c>
      <c r="J3388" s="49">
        <v>698929.0</v>
      </c>
    </row>
    <row r="3389">
      <c r="A3389" s="45" t="s">
        <v>74</v>
      </c>
      <c r="B3389" s="16" t="s">
        <v>244</v>
      </c>
      <c r="C3389" s="17" t="s">
        <v>245</v>
      </c>
      <c r="D3389" s="15">
        <v>5.0</v>
      </c>
      <c r="E3389" s="17" t="s">
        <v>473</v>
      </c>
      <c r="F3389" s="15" t="s">
        <v>474</v>
      </c>
      <c r="G3389" s="46" t="s">
        <v>448</v>
      </c>
      <c r="H3389" s="47" t="s">
        <v>449</v>
      </c>
      <c r="I3389" s="48" t="s">
        <v>19</v>
      </c>
      <c r="J3389" s="49">
        <v>249190.0</v>
      </c>
    </row>
    <row r="3390">
      <c r="A3390" s="45" t="s">
        <v>74</v>
      </c>
      <c r="B3390" s="16" t="s">
        <v>244</v>
      </c>
      <c r="C3390" s="17" t="s">
        <v>245</v>
      </c>
      <c r="D3390" s="15">
        <v>5.0</v>
      </c>
      <c r="E3390" s="17" t="s">
        <v>473</v>
      </c>
      <c r="F3390" s="15" t="s">
        <v>474</v>
      </c>
      <c r="G3390" s="46" t="s">
        <v>523</v>
      </c>
      <c r="H3390" s="47" t="s">
        <v>431</v>
      </c>
      <c r="I3390" s="48" t="s">
        <v>17</v>
      </c>
      <c r="J3390" s="49">
        <v>3.5484509E7</v>
      </c>
    </row>
    <row r="3391">
      <c r="A3391" s="45" t="s">
        <v>74</v>
      </c>
      <c r="B3391" s="16" t="s">
        <v>244</v>
      </c>
      <c r="C3391" s="17" t="s">
        <v>245</v>
      </c>
      <c r="D3391" s="15">
        <v>5.0</v>
      </c>
      <c r="E3391" s="17" t="s">
        <v>473</v>
      </c>
      <c r="F3391" s="15" t="s">
        <v>474</v>
      </c>
      <c r="G3391" s="46" t="s">
        <v>523</v>
      </c>
      <c r="H3391" s="47" t="s">
        <v>431</v>
      </c>
      <c r="I3391" s="48" t="s">
        <v>25</v>
      </c>
      <c r="J3391" s="49">
        <v>1.0E7</v>
      </c>
    </row>
    <row r="3392">
      <c r="A3392" s="45" t="s">
        <v>74</v>
      </c>
      <c r="B3392" s="16" t="s">
        <v>244</v>
      </c>
      <c r="C3392" s="17" t="s">
        <v>245</v>
      </c>
      <c r="D3392" s="15">
        <v>5.0</v>
      </c>
      <c r="E3392" s="17" t="s">
        <v>473</v>
      </c>
      <c r="F3392" s="15" t="s">
        <v>474</v>
      </c>
      <c r="G3392" s="46" t="s">
        <v>458</v>
      </c>
      <c r="H3392" s="47" t="s">
        <v>411</v>
      </c>
      <c r="I3392" s="48" t="s">
        <v>19</v>
      </c>
      <c r="J3392" s="49">
        <v>1.01047321E8</v>
      </c>
    </row>
    <row r="3393">
      <c r="A3393" s="45" t="s">
        <v>74</v>
      </c>
      <c r="B3393" s="16" t="s">
        <v>244</v>
      </c>
      <c r="C3393" s="17" t="s">
        <v>245</v>
      </c>
      <c r="D3393" s="15">
        <v>5.0</v>
      </c>
      <c r="E3393" s="17" t="s">
        <v>491</v>
      </c>
      <c r="F3393" s="15" t="s">
        <v>492</v>
      </c>
      <c r="G3393" s="46" t="s">
        <v>545</v>
      </c>
      <c r="H3393" s="47" t="s">
        <v>427</v>
      </c>
      <c r="I3393" s="48" t="s">
        <v>37</v>
      </c>
      <c r="J3393" s="49">
        <v>5.750094E7</v>
      </c>
    </row>
    <row r="3394">
      <c r="A3394" s="45" t="s">
        <v>74</v>
      </c>
      <c r="B3394" s="16" t="s">
        <v>244</v>
      </c>
      <c r="C3394" s="17" t="s">
        <v>245</v>
      </c>
      <c r="D3394" s="15">
        <v>5.0</v>
      </c>
      <c r="E3394" s="17" t="s">
        <v>491</v>
      </c>
      <c r="F3394" s="15" t="s">
        <v>492</v>
      </c>
      <c r="G3394" s="46" t="s">
        <v>519</v>
      </c>
      <c r="H3394" s="47" t="s">
        <v>414</v>
      </c>
      <c r="I3394" s="48" t="s">
        <v>37</v>
      </c>
      <c r="J3394" s="49">
        <v>3850000.0</v>
      </c>
    </row>
    <row r="3395">
      <c r="A3395" s="45" t="s">
        <v>74</v>
      </c>
      <c r="B3395" s="16" t="s">
        <v>244</v>
      </c>
      <c r="C3395" s="17" t="s">
        <v>245</v>
      </c>
      <c r="D3395" s="15">
        <v>5.0</v>
      </c>
      <c r="E3395" s="17" t="s">
        <v>491</v>
      </c>
      <c r="F3395" s="15" t="s">
        <v>492</v>
      </c>
      <c r="G3395" s="46" t="s">
        <v>493</v>
      </c>
      <c r="H3395" s="47" t="s">
        <v>437</v>
      </c>
      <c r="I3395" s="48" t="s">
        <v>37</v>
      </c>
      <c r="J3395" s="49">
        <v>7.99365E7</v>
      </c>
    </row>
    <row r="3396">
      <c r="A3396" s="45" t="s">
        <v>74</v>
      </c>
      <c r="B3396" s="16" t="s">
        <v>244</v>
      </c>
      <c r="C3396" s="17" t="s">
        <v>245</v>
      </c>
      <c r="D3396" s="15">
        <v>5.0</v>
      </c>
      <c r="E3396" s="17" t="s">
        <v>491</v>
      </c>
      <c r="F3396" s="15" t="s">
        <v>492</v>
      </c>
      <c r="G3396" s="46" t="s">
        <v>493</v>
      </c>
      <c r="H3396" s="47" t="s">
        <v>437</v>
      </c>
      <c r="I3396" s="48" t="s">
        <v>25</v>
      </c>
      <c r="J3396" s="49">
        <v>5.5444528E7</v>
      </c>
    </row>
    <row r="3397">
      <c r="A3397" s="45" t="s">
        <v>74</v>
      </c>
      <c r="B3397" s="16" t="s">
        <v>244</v>
      </c>
      <c r="C3397" s="17" t="s">
        <v>245</v>
      </c>
      <c r="D3397" s="15">
        <v>5.0</v>
      </c>
      <c r="E3397" s="17" t="s">
        <v>491</v>
      </c>
      <c r="F3397" s="15" t="s">
        <v>492</v>
      </c>
      <c r="G3397" s="46" t="s">
        <v>587</v>
      </c>
      <c r="H3397" s="47" t="s">
        <v>107</v>
      </c>
      <c r="I3397" s="48" t="s">
        <v>17</v>
      </c>
      <c r="J3397" s="49">
        <v>4.9840898E7</v>
      </c>
    </row>
    <row r="3398">
      <c r="A3398" s="45" t="s">
        <v>74</v>
      </c>
      <c r="B3398" s="16" t="s">
        <v>244</v>
      </c>
      <c r="C3398" s="17" t="s">
        <v>245</v>
      </c>
      <c r="D3398" s="15">
        <v>5.0</v>
      </c>
      <c r="E3398" s="17" t="s">
        <v>491</v>
      </c>
      <c r="F3398" s="15" t="s">
        <v>492</v>
      </c>
      <c r="G3398" s="46" t="s">
        <v>587</v>
      </c>
      <c r="H3398" s="47" t="s">
        <v>107</v>
      </c>
      <c r="I3398" s="48" t="s">
        <v>25</v>
      </c>
      <c r="J3398" s="49">
        <v>-4.9840898E7</v>
      </c>
    </row>
    <row r="3399">
      <c r="A3399" s="45" t="s">
        <v>74</v>
      </c>
      <c r="B3399" s="16" t="s">
        <v>244</v>
      </c>
      <c r="C3399" s="17" t="s">
        <v>245</v>
      </c>
      <c r="D3399" s="15">
        <v>5.0</v>
      </c>
      <c r="E3399" s="17" t="s">
        <v>491</v>
      </c>
      <c r="F3399" s="15" t="s">
        <v>492</v>
      </c>
      <c r="G3399" s="46" t="s">
        <v>458</v>
      </c>
      <c r="H3399" s="47" t="s">
        <v>411</v>
      </c>
      <c r="I3399" s="48" t="s">
        <v>19</v>
      </c>
      <c r="J3399" s="49">
        <v>1.5965241E7</v>
      </c>
    </row>
    <row r="3400">
      <c r="A3400" s="45" t="s">
        <v>74</v>
      </c>
      <c r="B3400" s="16" t="s">
        <v>244</v>
      </c>
      <c r="C3400" s="17" t="s">
        <v>245</v>
      </c>
      <c r="D3400" s="15">
        <v>5.0</v>
      </c>
      <c r="E3400" s="17" t="s">
        <v>491</v>
      </c>
      <c r="F3400" s="15" t="s">
        <v>492</v>
      </c>
      <c r="G3400" s="46" t="s">
        <v>532</v>
      </c>
      <c r="H3400" s="47" t="s">
        <v>412</v>
      </c>
      <c r="I3400" s="48" t="s">
        <v>19</v>
      </c>
      <c r="J3400" s="49">
        <v>3671422.0</v>
      </c>
    </row>
    <row r="3401">
      <c r="A3401" s="45" t="s">
        <v>74</v>
      </c>
      <c r="B3401" s="16" t="s">
        <v>244</v>
      </c>
      <c r="C3401" s="17" t="s">
        <v>245</v>
      </c>
      <c r="D3401" s="15">
        <v>5.0</v>
      </c>
      <c r="E3401" s="17" t="s">
        <v>494</v>
      </c>
      <c r="F3401" s="15" t="s">
        <v>495</v>
      </c>
      <c r="G3401" s="46" t="s">
        <v>545</v>
      </c>
      <c r="H3401" s="47" t="s">
        <v>427</v>
      </c>
      <c r="I3401" s="48" t="s">
        <v>37</v>
      </c>
      <c r="J3401" s="49">
        <v>2.443458E7</v>
      </c>
    </row>
    <row r="3402">
      <c r="A3402" s="45" t="s">
        <v>74</v>
      </c>
      <c r="B3402" s="16" t="s">
        <v>244</v>
      </c>
      <c r="C3402" s="17" t="s">
        <v>245</v>
      </c>
      <c r="D3402" s="15">
        <v>5.0</v>
      </c>
      <c r="E3402" s="17" t="s">
        <v>494</v>
      </c>
      <c r="F3402" s="15" t="s">
        <v>495</v>
      </c>
      <c r="G3402" s="46" t="s">
        <v>519</v>
      </c>
      <c r="H3402" s="47" t="s">
        <v>414</v>
      </c>
      <c r="I3402" s="48" t="s">
        <v>37</v>
      </c>
      <c r="J3402" s="49">
        <v>346500.0</v>
      </c>
    </row>
    <row r="3403">
      <c r="A3403" s="45" t="s">
        <v>74</v>
      </c>
      <c r="B3403" s="16" t="s">
        <v>244</v>
      </c>
      <c r="C3403" s="17" t="s">
        <v>245</v>
      </c>
      <c r="D3403" s="15">
        <v>5.0</v>
      </c>
      <c r="E3403" s="17" t="s">
        <v>494</v>
      </c>
      <c r="F3403" s="15" t="s">
        <v>495</v>
      </c>
      <c r="G3403" s="46" t="s">
        <v>496</v>
      </c>
      <c r="H3403" s="47" t="s">
        <v>497</v>
      </c>
      <c r="I3403" s="48" t="s">
        <v>37</v>
      </c>
      <c r="J3403" s="49">
        <v>2.92215E7</v>
      </c>
    </row>
    <row r="3404">
      <c r="A3404" s="45" t="s">
        <v>74</v>
      </c>
      <c r="B3404" s="16" t="s">
        <v>244</v>
      </c>
      <c r="C3404" s="17" t="s">
        <v>245</v>
      </c>
      <c r="D3404" s="15">
        <v>5.0</v>
      </c>
      <c r="E3404" s="17" t="s">
        <v>494</v>
      </c>
      <c r="F3404" s="15" t="s">
        <v>495</v>
      </c>
      <c r="G3404" s="46" t="s">
        <v>496</v>
      </c>
      <c r="H3404" s="47" t="s">
        <v>497</v>
      </c>
      <c r="I3404" s="48" t="s">
        <v>25</v>
      </c>
      <c r="J3404" s="49">
        <v>7927928.0</v>
      </c>
    </row>
    <row r="3405">
      <c r="A3405" s="45" t="s">
        <v>74</v>
      </c>
      <c r="B3405" s="16" t="s">
        <v>244</v>
      </c>
      <c r="C3405" s="17" t="s">
        <v>245</v>
      </c>
      <c r="D3405" s="15">
        <v>5.0</v>
      </c>
      <c r="E3405" s="17" t="s">
        <v>494</v>
      </c>
      <c r="F3405" s="15" t="s">
        <v>495</v>
      </c>
      <c r="G3405" s="46" t="s">
        <v>587</v>
      </c>
      <c r="H3405" s="47" t="s">
        <v>107</v>
      </c>
      <c r="I3405" s="48" t="s">
        <v>17</v>
      </c>
      <c r="J3405" s="49">
        <v>7927928.0</v>
      </c>
    </row>
    <row r="3406">
      <c r="A3406" s="45" t="s">
        <v>74</v>
      </c>
      <c r="B3406" s="16" t="s">
        <v>244</v>
      </c>
      <c r="C3406" s="17" t="s">
        <v>245</v>
      </c>
      <c r="D3406" s="15">
        <v>5.0</v>
      </c>
      <c r="E3406" s="17" t="s">
        <v>494</v>
      </c>
      <c r="F3406" s="15" t="s">
        <v>495</v>
      </c>
      <c r="G3406" s="46" t="s">
        <v>587</v>
      </c>
      <c r="H3406" s="47" t="s">
        <v>107</v>
      </c>
      <c r="I3406" s="48" t="s">
        <v>25</v>
      </c>
      <c r="J3406" s="49">
        <v>-7927928.0</v>
      </c>
    </row>
    <row r="3407">
      <c r="A3407" s="45" t="s">
        <v>74</v>
      </c>
      <c r="B3407" s="16" t="s">
        <v>244</v>
      </c>
      <c r="C3407" s="17" t="s">
        <v>245</v>
      </c>
      <c r="D3407" s="15">
        <v>5.0</v>
      </c>
      <c r="E3407" s="17" t="s">
        <v>494</v>
      </c>
      <c r="F3407" s="15" t="s">
        <v>495</v>
      </c>
      <c r="G3407" s="46" t="s">
        <v>458</v>
      </c>
      <c r="H3407" s="47" t="s">
        <v>411</v>
      </c>
      <c r="I3407" s="48" t="s">
        <v>19</v>
      </c>
      <c r="J3407" s="49">
        <v>4.001432E7</v>
      </c>
    </row>
    <row r="3408">
      <c r="A3408" s="45" t="s">
        <v>74</v>
      </c>
      <c r="B3408" s="16" t="s">
        <v>244</v>
      </c>
      <c r="C3408" s="17" t="s">
        <v>245</v>
      </c>
      <c r="D3408" s="15">
        <v>5.0</v>
      </c>
      <c r="E3408" s="17" t="s">
        <v>494</v>
      </c>
      <c r="F3408" s="15" t="s">
        <v>495</v>
      </c>
      <c r="G3408" s="46" t="s">
        <v>532</v>
      </c>
      <c r="H3408" s="47" t="s">
        <v>412</v>
      </c>
      <c r="I3408" s="48" t="s">
        <v>19</v>
      </c>
      <c r="J3408" s="49">
        <v>2277357.0</v>
      </c>
    </row>
    <row r="3409">
      <c r="A3409" s="45" t="s">
        <v>74</v>
      </c>
      <c r="B3409" s="16" t="s">
        <v>244</v>
      </c>
      <c r="C3409" s="17" t="s">
        <v>245</v>
      </c>
      <c r="D3409" s="15">
        <v>5.0</v>
      </c>
      <c r="E3409" s="17" t="s">
        <v>475</v>
      </c>
      <c r="F3409" s="15" t="s">
        <v>476</v>
      </c>
      <c r="G3409" s="46" t="s">
        <v>477</v>
      </c>
      <c r="H3409" s="47" t="s">
        <v>429</v>
      </c>
      <c r="I3409" s="48" t="s">
        <v>50</v>
      </c>
      <c r="J3409" s="49">
        <v>4.5234724E7</v>
      </c>
    </row>
    <row r="3410">
      <c r="A3410" s="45" t="s">
        <v>74</v>
      </c>
      <c r="B3410" s="16" t="s">
        <v>244</v>
      </c>
      <c r="C3410" s="17" t="s">
        <v>245</v>
      </c>
      <c r="D3410" s="15">
        <v>5.0</v>
      </c>
      <c r="E3410" s="17" t="s">
        <v>524</v>
      </c>
      <c r="F3410" s="15" t="s">
        <v>479</v>
      </c>
      <c r="G3410" s="46" t="s">
        <v>443</v>
      </c>
      <c r="H3410" s="47" t="s">
        <v>420</v>
      </c>
      <c r="I3410" s="48" t="s">
        <v>19</v>
      </c>
      <c r="J3410" s="49">
        <v>1.17680048E8</v>
      </c>
    </row>
    <row r="3411">
      <c r="A3411" s="45" t="s">
        <v>74</v>
      </c>
      <c r="B3411" s="16" t="s">
        <v>244</v>
      </c>
      <c r="C3411" s="17" t="s">
        <v>245</v>
      </c>
      <c r="D3411" s="15">
        <v>5.0</v>
      </c>
      <c r="E3411" s="17" t="s">
        <v>524</v>
      </c>
      <c r="F3411" s="15" t="s">
        <v>479</v>
      </c>
      <c r="G3411" s="46" t="s">
        <v>444</v>
      </c>
      <c r="H3411" s="47" t="s">
        <v>445</v>
      </c>
      <c r="I3411" s="48" t="s">
        <v>19</v>
      </c>
      <c r="J3411" s="49">
        <v>1.5831782E7</v>
      </c>
    </row>
    <row r="3412">
      <c r="A3412" s="45" t="s">
        <v>74</v>
      </c>
      <c r="B3412" s="16" t="s">
        <v>244</v>
      </c>
      <c r="C3412" s="17" t="s">
        <v>245</v>
      </c>
      <c r="D3412" s="15">
        <v>5.0</v>
      </c>
      <c r="E3412" s="17" t="s">
        <v>524</v>
      </c>
      <c r="F3412" s="15" t="s">
        <v>479</v>
      </c>
      <c r="G3412" s="46" t="s">
        <v>579</v>
      </c>
      <c r="H3412" s="47" t="s">
        <v>580</v>
      </c>
      <c r="I3412" s="48" t="s">
        <v>19</v>
      </c>
      <c r="J3412" s="49">
        <v>1.1686538E7</v>
      </c>
    </row>
    <row r="3413">
      <c r="A3413" s="45" t="s">
        <v>74</v>
      </c>
      <c r="B3413" s="16" t="s">
        <v>244</v>
      </c>
      <c r="C3413" s="17" t="s">
        <v>245</v>
      </c>
      <c r="D3413" s="15">
        <v>5.0</v>
      </c>
      <c r="E3413" s="17" t="s">
        <v>524</v>
      </c>
      <c r="F3413" s="15" t="s">
        <v>479</v>
      </c>
      <c r="G3413" s="46" t="s">
        <v>446</v>
      </c>
      <c r="H3413" s="47" t="s">
        <v>447</v>
      </c>
      <c r="I3413" s="48" t="s">
        <v>19</v>
      </c>
      <c r="J3413" s="49">
        <v>1338513.0</v>
      </c>
    </row>
    <row r="3414">
      <c r="A3414" s="45" t="s">
        <v>74</v>
      </c>
      <c r="B3414" s="16" t="s">
        <v>244</v>
      </c>
      <c r="C3414" s="17" t="s">
        <v>245</v>
      </c>
      <c r="D3414" s="15">
        <v>5.0</v>
      </c>
      <c r="E3414" s="17" t="s">
        <v>524</v>
      </c>
      <c r="F3414" s="15" t="s">
        <v>479</v>
      </c>
      <c r="G3414" s="46" t="s">
        <v>448</v>
      </c>
      <c r="H3414" s="47" t="s">
        <v>449</v>
      </c>
      <c r="I3414" s="48" t="s">
        <v>19</v>
      </c>
      <c r="J3414" s="49">
        <v>2382450.0</v>
      </c>
    </row>
    <row r="3415">
      <c r="A3415" s="45" t="s">
        <v>74</v>
      </c>
      <c r="B3415" s="16" t="s">
        <v>244</v>
      </c>
      <c r="C3415" s="17" t="s">
        <v>245</v>
      </c>
      <c r="D3415" s="15">
        <v>5.0</v>
      </c>
      <c r="E3415" s="17" t="s">
        <v>524</v>
      </c>
      <c r="F3415" s="15" t="s">
        <v>479</v>
      </c>
      <c r="G3415" s="46" t="s">
        <v>450</v>
      </c>
      <c r="H3415" s="47" t="s">
        <v>451</v>
      </c>
      <c r="I3415" s="48" t="s">
        <v>19</v>
      </c>
      <c r="J3415" s="49">
        <v>0.0</v>
      </c>
    </row>
    <row r="3416">
      <c r="A3416" s="45" t="s">
        <v>74</v>
      </c>
      <c r="B3416" s="16" t="s">
        <v>244</v>
      </c>
      <c r="C3416" s="17" t="s">
        <v>245</v>
      </c>
      <c r="D3416" s="15">
        <v>5.0</v>
      </c>
      <c r="E3416" s="17" t="s">
        <v>524</v>
      </c>
      <c r="F3416" s="15" t="s">
        <v>479</v>
      </c>
      <c r="G3416" s="46" t="s">
        <v>452</v>
      </c>
      <c r="H3416" s="47" t="s">
        <v>453</v>
      </c>
      <c r="I3416" s="48" t="s">
        <v>19</v>
      </c>
      <c r="J3416" s="49">
        <v>2476247.0</v>
      </c>
    </row>
    <row r="3417">
      <c r="A3417" s="45" t="s">
        <v>74</v>
      </c>
      <c r="B3417" s="16" t="s">
        <v>244</v>
      </c>
      <c r="C3417" s="17" t="s">
        <v>245</v>
      </c>
      <c r="D3417" s="15">
        <v>5.0</v>
      </c>
      <c r="E3417" s="17" t="s">
        <v>524</v>
      </c>
      <c r="F3417" s="15" t="s">
        <v>479</v>
      </c>
      <c r="G3417" s="46" t="s">
        <v>454</v>
      </c>
      <c r="H3417" s="47" t="s">
        <v>415</v>
      </c>
      <c r="I3417" s="48" t="s">
        <v>19</v>
      </c>
      <c r="J3417" s="49">
        <v>361399.0</v>
      </c>
    </row>
    <row r="3418">
      <c r="A3418" s="45" t="s">
        <v>74</v>
      </c>
      <c r="B3418" s="16" t="s">
        <v>244</v>
      </c>
      <c r="C3418" s="17" t="s">
        <v>245</v>
      </c>
      <c r="D3418" s="15">
        <v>5.0</v>
      </c>
      <c r="E3418" s="17" t="s">
        <v>524</v>
      </c>
      <c r="F3418" s="15" t="s">
        <v>479</v>
      </c>
      <c r="G3418" s="46" t="s">
        <v>455</v>
      </c>
      <c r="H3418" s="47" t="s">
        <v>415</v>
      </c>
      <c r="I3418" s="48" t="s">
        <v>19</v>
      </c>
      <c r="J3418" s="49">
        <v>200776.0</v>
      </c>
    </row>
    <row r="3419">
      <c r="A3419" s="45" t="s">
        <v>74</v>
      </c>
      <c r="B3419" s="16" t="s">
        <v>244</v>
      </c>
      <c r="C3419" s="17" t="s">
        <v>245</v>
      </c>
      <c r="D3419" s="15">
        <v>5.0</v>
      </c>
      <c r="E3419" s="17" t="s">
        <v>524</v>
      </c>
      <c r="F3419" s="15" t="s">
        <v>479</v>
      </c>
      <c r="G3419" s="46" t="s">
        <v>583</v>
      </c>
      <c r="H3419" s="47" t="s">
        <v>584</v>
      </c>
      <c r="I3419" s="48" t="s">
        <v>25</v>
      </c>
      <c r="J3419" s="49">
        <v>2.7E7</v>
      </c>
    </row>
    <row r="3420">
      <c r="A3420" s="45" t="s">
        <v>74</v>
      </c>
      <c r="B3420" s="16" t="s">
        <v>244</v>
      </c>
      <c r="C3420" s="17" t="s">
        <v>245</v>
      </c>
      <c r="D3420" s="15">
        <v>5.0</v>
      </c>
      <c r="E3420" s="17" t="s">
        <v>525</v>
      </c>
      <c r="F3420" s="15" t="s">
        <v>502</v>
      </c>
      <c r="G3420" s="46" t="s">
        <v>526</v>
      </c>
      <c r="H3420" s="47" t="s">
        <v>527</v>
      </c>
      <c r="I3420" s="48" t="s">
        <v>60</v>
      </c>
      <c r="J3420" s="49">
        <v>3.14216773E8</v>
      </c>
    </row>
    <row r="3421">
      <c r="A3421" s="45" t="s">
        <v>74</v>
      </c>
      <c r="B3421" s="16" t="s">
        <v>244</v>
      </c>
      <c r="C3421" s="17" t="s">
        <v>245</v>
      </c>
      <c r="D3421" s="15">
        <v>5.0</v>
      </c>
      <c r="E3421" s="17" t="s">
        <v>525</v>
      </c>
      <c r="F3421" s="15" t="s">
        <v>502</v>
      </c>
      <c r="G3421" s="46" t="s">
        <v>539</v>
      </c>
      <c r="H3421" s="47" t="s">
        <v>540</v>
      </c>
      <c r="I3421" s="48" t="s">
        <v>60</v>
      </c>
      <c r="J3421" s="49">
        <v>8794870.0</v>
      </c>
    </row>
    <row r="3422">
      <c r="A3422" s="45" t="s">
        <v>74</v>
      </c>
      <c r="B3422" s="16" t="s">
        <v>244</v>
      </c>
      <c r="C3422" s="17" t="s">
        <v>245</v>
      </c>
      <c r="D3422" s="15">
        <v>5.0</v>
      </c>
      <c r="E3422" s="17" t="s">
        <v>525</v>
      </c>
      <c r="F3422" s="15" t="s">
        <v>502</v>
      </c>
      <c r="G3422" s="46" t="s">
        <v>505</v>
      </c>
      <c r="H3422" s="47" t="s">
        <v>506</v>
      </c>
      <c r="I3422" s="48" t="s">
        <v>60</v>
      </c>
      <c r="J3422" s="49">
        <v>4255771.0</v>
      </c>
    </row>
    <row r="3423">
      <c r="A3423" s="45" t="s">
        <v>74</v>
      </c>
      <c r="B3423" s="16" t="s">
        <v>244</v>
      </c>
      <c r="C3423" s="17" t="s">
        <v>245</v>
      </c>
      <c r="D3423" s="15">
        <v>5.0</v>
      </c>
      <c r="E3423" s="17" t="s">
        <v>525</v>
      </c>
      <c r="F3423" s="15" t="s">
        <v>502</v>
      </c>
      <c r="G3423" s="46" t="s">
        <v>507</v>
      </c>
      <c r="H3423" s="47" t="s">
        <v>508</v>
      </c>
      <c r="I3423" s="48" t="s">
        <v>60</v>
      </c>
      <c r="J3423" s="49">
        <v>1.0447194E7</v>
      </c>
    </row>
    <row r="3424">
      <c r="A3424" s="45" t="s">
        <v>74</v>
      </c>
      <c r="B3424" s="16" t="s">
        <v>244</v>
      </c>
      <c r="C3424" s="17" t="s">
        <v>245</v>
      </c>
      <c r="D3424" s="15">
        <v>5.0</v>
      </c>
      <c r="E3424" s="17" t="s">
        <v>525</v>
      </c>
      <c r="F3424" s="15" t="s">
        <v>502</v>
      </c>
      <c r="G3424" s="46" t="s">
        <v>509</v>
      </c>
      <c r="H3424" s="47" t="s">
        <v>510</v>
      </c>
      <c r="I3424" s="48" t="s">
        <v>60</v>
      </c>
      <c r="J3424" s="49">
        <v>133334.0</v>
      </c>
    </row>
    <row r="3425">
      <c r="A3425" s="45" t="s">
        <v>74</v>
      </c>
      <c r="B3425" s="16" t="s">
        <v>244</v>
      </c>
      <c r="C3425" s="17" t="s">
        <v>245</v>
      </c>
      <c r="D3425" s="15">
        <v>5.0</v>
      </c>
      <c r="E3425" s="17" t="s">
        <v>525</v>
      </c>
      <c r="F3425" s="15" t="s">
        <v>502</v>
      </c>
      <c r="G3425" s="46" t="s">
        <v>511</v>
      </c>
      <c r="H3425" s="47" t="s">
        <v>512</v>
      </c>
      <c r="I3425" s="48" t="s">
        <v>60</v>
      </c>
      <c r="J3425" s="49">
        <v>4.1960038E7</v>
      </c>
    </row>
    <row r="3426">
      <c r="A3426" s="45" t="s">
        <v>74</v>
      </c>
      <c r="B3426" s="16" t="s">
        <v>244</v>
      </c>
      <c r="C3426" s="17" t="s">
        <v>245</v>
      </c>
      <c r="D3426" s="15">
        <v>5.0</v>
      </c>
      <c r="E3426" s="17" t="s">
        <v>525</v>
      </c>
      <c r="F3426" s="15" t="s">
        <v>502</v>
      </c>
      <c r="G3426" s="46" t="s">
        <v>513</v>
      </c>
      <c r="H3426" s="47" t="s">
        <v>514</v>
      </c>
      <c r="I3426" s="48" t="s">
        <v>60</v>
      </c>
      <c r="J3426" s="49">
        <v>4.9513826E7</v>
      </c>
    </row>
    <row r="3427">
      <c r="A3427" s="45" t="s">
        <v>74</v>
      </c>
      <c r="B3427" s="16" t="s">
        <v>244</v>
      </c>
      <c r="C3427" s="17" t="s">
        <v>245</v>
      </c>
      <c r="D3427" s="15">
        <v>5.0</v>
      </c>
      <c r="E3427" s="17" t="s">
        <v>548</v>
      </c>
      <c r="F3427" s="15" t="s">
        <v>549</v>
      </c>
      <c r="G3427" s="46" t="s">
        <v>550</v>
      </c>
      <c r="H3427" s="47" t="s">
        <v>551</v>
      </c>
      <c r="I3427" s="48" t="s">
        <v>25</v>
      </c>
      <c r="J3427" s="49">
        <v>7.6541432E7</v>
      </c>
    </row>
    <row r="3428">
      <c r="A3428" s="45" t="s">
        <v>74</v>
      </c>
      <c r="B3428" s="16" t="s">
        <v>254</v>
      </c>
      <c r="C3428" s="17" t="s">
        <v>255</v>
      </c>
      <c r="D3428" s="15">
        <v>5.0</v>
      </c>
      <c r="E3428" s="17" t="s">
        <v>441</v>
      </c>
      <c r="F3428" s="15" t="s">
        <v>442</v>
      </c>
      <c r="G3428" s="46" t="s">
        <v>443</v>
      </c>
      <c r="H3428" s="47" t="s">
        <v>420</v>
      </c>
      <c r="I3428" s="48" t="s">
        <v>19</v>
      </c>
      <c r="J3428" s="49">
        <v>3.7290386E7</v>
      </c>
    </row>
    <row r="3429">
      <c r="A3429" s="45" t="s">
        <v>74</v>
      </c>
      <c r="B3429" s="16" t="s">
        <v>254</v>
      </c>
      <c r="C3429" s="17" t="s">
        <v>255</v>
      </c>
      <c r="D3429" s="15">
        <v>5.0</v>
      </c>
      <c r="E3429" s="17" t="s">
        <v>441</v>
      </c>
      <c r="F3429" s="15" t="s">
        <v>442</v>
      </c>
      <c r="G3429" s="46" t="s">
        <v>444</v>
      </c>
      <c r="H3429" s="47" t="s">
        <v>445</v>
      </c>
      <c r="I3429" s="48" t="s">
        <v>19</v>
      </c>
      <c r="J3429" s="49">
        <v>8674925.0</v>
      </c>
    </row>
    <row r="3430">
      <c r="A3430" s="45" t="s">
        <v>74</v>
      </c>
      <c r="B3430" s="16" t="s">
        <v>254</v>
      </c>
      <c r="C3430" s="17" t="s">
        <v>255</v>
      </c>
      <c r="D3430" s="15">
        <v>5.0</v>
      </c>
      <c r="E3430" s="17" t="s">
        <v>441</v>
      </c>
      <c r="F3430" s="15" t="s">
        <v>442</v>
      </c>
      <c r="G3430" s="46" t="s">
        <v>579</v>
      </c>
      <c r="H3430" s="47" t="s">
        <v>580</v>
      </c>
      <c r="I3430" s="48" t="s">
        <v>19</v>
      </c>
      <c r="J3430" s="49">
        <v>3946935.0</v>
      </c>
    </row>
    <row r="3431">
      <c r="A3431" s="45" t="s">
        <v>74</v>
      </c>
      <c r="B3431" s="16" t="s">
        <v>254</v>
      </c>
      <c r="C3431" s="17" t="s">
        <v>255</v>
      </c>
      <c r="D3431" s="15">
        <v>5.0</v>
      </c>
      <c r="E3431" s="17" t="s">
        <v>441</v>
      </c>
      <c r="F3431" s="15" t="s">
        <v>442</v>
      </c>
      <c r="G3431" s="46" t="s">
        <v>446</v>
      </c>
      <c r="H3431" s="47" t="s">
        <v>447</v>
      </c>
      <c r="I3431" s="48" t="s">
        <v>19</v>
      </c>
      <c r="J3431" s="49">
        <v>362712.0</v>
      </c>
    </row>
    <row r="3432">
      <c r="A3432" s="45" t="s">
        <v>74</v>
      </c>
      <c r="B3432" s="16" t="s">
        <v>254</v>
      </c>
      <c r="C3432" s="17" t="s">
        <v>255</v>
      </c>
      <c r="D3432" s="15">
        <v>5.0</v>
      </c>
      <c r="E3432" s="17" t="s">
        <v>441</v>
      </c>
      <c r="F3432" s="15" t="s">
        <v>442</v>
      </c>
      <c r="G3432" s="46" t="s">
        <v>448</v>
      </c>
      <c r="H3432" s="47" t="s">
        <v>449</v>
      </c>
      <c r="I3432" s="48" t="s">
        <v>19</v>
      </c>
      <c r="J3432" s="49">
        <v>643473.0</v>
      </c>
    </row>
    <row r="3433">
      <c r="A3433" s="45" t="s">
        <v>74</v>
      </c>
      <c r="B3433" s="16" t="s">
        <v>254</v>
      </c>
      <c r="C3433" s="17" t="s">
        <v>255</v>
      </c>
      <c r="D3433" s="15">
        <v>5.0</v>
      </c>
      <c r="E3433" s="17" t="s">
        <v>441</v>
      </c>
      <c r="F3433" s="15" t="s">
        <v>442</v>
      </c>
      <c r="G3433" s="46" t="s">
        <v>450</v>
      </c>
      <c r="H3433" s="47" t="s">
        <v>451</v>
      </c>
      <c r="I3433" s="48" t="s">
        <v>19</v>
      </c>
      <c r="J3433" s="49">
        <v>0.0</v>
      </c>
    </row>
    <row r="3434">
      <c r="A3434" s="45" t="s">
        <v>74</v>
      </c>
      <c r="B3434" s="16" t="s">
        <v>254</v>
      </c>
      <c r="C3434" s="17" t="s">
        <v>255</v>
      </c>
      <c r="D3434" s="15">
        <v>5.0</v>
      </c>
      <c r="E3434" s="17" t="s">
        <v>441</v>
      </c>
      <c r="F3434" s="15" t="s">
        <v>442</v>
      </c>
      <c r="G3434" s="46" t="s">
        <v>452</v>
      </c>
      <c r="H3434" s="47" t="s">
        <v>453</v>
      </c>
      <c r="I3434" s="48" t="s">
        <v>19</v>
      </c>
      <c r="J3434" s="49">
        <v>671017.0</v>
      </c>
    </row>
    <row r="3435">
      <c r="A3435" s="45" t="s">
        <v>74</v>
      </c>
      <c r="B3435" s="16" t="s">
        <v>254</v>
      </c>
      <c r="C3435" s="17" t="s">
        <v>255</v>
      </c>
      <c r="D3435" s="15">
        <v>5.0</v>
      </c>
      <c r="E3435" s="17" t="s">
        <v>441</v>
      </c>
      <c r="F3435" s="15" t="s">
        <v>442</v>
      </c>
      <c r="G3435" s="46" t="s">
        <v>454</v>
      </c>
      <c r="H3435" s="47" t="s">
        <v>415</v>
      </c>
      <c r="I3435" s="48" t="s">
        <v>19</v>
      </c>
      <c r="J3435" s="49">
        <v>97932.0</v>
      </c>
    </row>
    <row r="3436">
      <c r="A3436" s="45" t="s">
        <v>74</v>
      </c>
      <c r="B3436" s="16" t="s">
        <v>254</v>
      </c>
      <c r="C3436" s="17" t="s">
        <v>255</v>
      </c>
      <c r="D3436" s="15">
        <v>5.0</v>
      </c>
      <c r="E3436" s="17" t="s">
        <v>441</v>
      </c>
      <c r="F3436" s="15" t="s">
        <v>442</v>
      </c>
      <c r="G3436" s="46" t="s">
        <v>455</v>
      </c>
      <c r="H3436" s="47" t="s">
        <v>415</v>
      </c>
      <c r="I3436" s="48" t="s">
        <v>19</v>
      </c>
      <c r="J3436" s="49">
        <v>54407.0</v>
      </c>
    </row>
    <row r="3437">
      <c r="A3437" s="45" t="s">
        <v>74</v>
      </c>
      <c r="B3437" s="16" t="s">
        <v>254</v>
      </c>
      <c r="C3437" s="17" t="s">
        <v>255</v>
      </c>
      <c r="D3437" s="15">
        <v>5.0</v>
      </c>
      <c r="E3437" s="17" t="s">
        <v>441</v>
      </c>
      <c r="F3437" s="15" t="s">
        <v>442</v>
      </c>
      <c r="G3437" s="46" t="s">
        <v>583</v>
      </c>
      <c r="H3437" s="47" t="s">
        <v>584</v>
      </c>
      <c r="I3437" s="48" t="s">
        <v>25</v>
      </c>
      <c r="J3437" s="49">
        <v>6000000.0</v>
      </c>
    </row>
    <row r="3438">
      <c r="A3438" s="45" t="s">
        <v>74</v>
      </c>
      <c r="B3438" s="16" t="s">
        <v>254</v>
      </c>
      <c r="C3438" s="17" t="s">
        <v>255</v>
      </c>
      <c r="D3438" s="15">
        <v>5.0</v>
      </c>
      <c r="E3438" s="17" t="s">
        <v>456</v>
      </c>
      <c r="F3438" s="15" t="s">
        <v>457</v>
      </c>
      <c r="G3438" s="46" t="s">
        <v>579</v>
      </c>
      <c r="H3438" s="47" t="s">
        <v>580</v>
      </c>
      <c r="I3438" s="48" t="s">
        <v>19</v>
      </c>
      <c r="J3438" s="49">
        <v>325601.0</v>
      </c>
    </row>
    <row r="3439">
      <c r="A3439" s="45" t="s">
        <v>74</v>
      </c>
      <c r="B3439" s="16" t="s">
        <v>254</v>
      </c>
      <c r="C3439" s="17" t="s">
        <v>255</v>
      </c>
      <c r="D3439" s="15">
        <v>5.0</v>
      </c>
      <c r="E3439" s="17" t="s">
        <v>456</v>
      </c>
      <c r="F3439" s="15" t="s">
        <v>457</v>
      </c>
      <c r="G3439" s="46" t="s">
        <v>458</v>
      </c>
      <c r="H3439" s="47" t="s">
        <v>411</v>
      </c>
      <c r="I3439" s="48" t="s">
        <v>19</v>
      </c>
      <c r="J3439" s="49">
        <v>3.00990038E8</v>
      </c>
    </row>
    <row r="3440">
      <c r="A3440" s="45" t="s">
        <v>74</v>
      </c>
      <c r="B3440" s="16" t="s">
        <v>254</v>
      </c>
      <c r="C3440" s="17" t="s">
        <v>255</v>
      </c>
      <c r="D3440" s="15">
        <v>5.0</v>
      </c>
      <c r="E3440" s="17" t="s">
        <v>459</v>
      </c>
      <c r="F3440" s="15" t="s">
        <v>460</v>
      </c>
      <c r="G3440" s="46" t="s">
        <v>458</v>
      </c>
      <c r="H3440" s="47" t="s">
        <v>411</v>
      </c>
      <c r="I3440" s="48" t="s">
        <v>19</v>
      </c>
      <c r="J3440" s="49">
        <v>2.420697E7</v>
      </c>
    </row>
    <row r="3441">
      <c r="A3441" s="45" t="s">
        <v>74</v>
      </c>
      <c r="B3441" s="16" t="s">
        <v>254</v>
      </c>
      <c r="C3441" s="17" t="s">
        <v>255</v>
      </c>
      <c r="D3441" s="15">
        <v>5.0</v>
      </c>
      <c r="E3441" s="17" t="s">
        <v>463</v>
      </c>
      <c r="F3441" s="15" t="s">
        <v>464</v>
      </c>
      <c r="G3441" s="46" t="s">
        <v>520</v>
      </c>
      <c r="H3441" s="47" t="s">
        <v>435</v>
      </c>
      <c r="I3441" s="48" t="s">
        <v>37</v>
      </c>
      <c r="J3441" s="49">
        <v>619899.0</v>
      </c>
    </row>
    <row r="3442">
      <c r="A3442" s="45" t="s">
        <v>74</v>
      </c>
      <c r="B3442" s="16" t="s">
        <v>254</v>
      </c>
      <c r="C3442" s="17" t="s">
        <v>255</v>
      </c>
      <c r="D3442" s="15">
        <v>5.0</v>
      </c>
      <c r="E3442" s="17" t="s">
        <v>463</v>
      </c>
      <c r="F3442" s="15" t="s">
        <v>464</v>
      </c>
      <c r="G3442" s="46" t="s">
        <v>519</v>
      </c>
      <c r="H3442" s="47" t="s">
        <v>414</v>
      </c>
      <c r="I3442" s="48" t="s">
        <v>37</v>
      </c>
      <c r="J3442" s="49">
        <v>233200.0</v>
      </c>
    </row>
    <row r="3443">
      <c r="A3443" s="45" t="s">
        <v>74</v>
      </c>
      <c r="B3443" s="16" t="s">
        <v>254</v>
      </c>
      <c r="C3443" s="17" t="s">
        <v>255</v>
      </c>
      <c r="D3443" s="15">
        <v>5.0</v>
      </c>
      <c r="E3443" s="17" t="s">
        <v>463</v>
      </c>
      <c r="F3443" s="15" t="s">
        <v>464</v>
      </c>
      <c r="G3443" s="46" t="s">
        <v>465</v>
      </c>
      <c r="H3443" s="47" t="s">
        <v>466</v>
      </c>
      <c r="I3443" s="48" t="s">
        <v>37</v>
      </c>
      <c r="J3443" s="49">
        <v>79500.0</v>
      </c>
    </row>
    <row r="3444">
      <c r="A3444" s="45" t="s">
        <v>74</v>
      </c>
      <c r="B3444" s="16" t="s">
        <v>254</v>
      </c>
      <c r="C3444" s="17" t="s">
        <v>255</v>
      </c>
      <c r="D3444" s="15">
        <v>5.0</v>
      </c>
      <c r="E3444" s="17" t="s">
        <v>487</v>
      </c>
      <c r="F3444" s="15" t="s">
        <v>488</v>
      </c>
      <c r="G3444" s="46" t="s">
        <v>458</v>
      </c>
      <c r="H3444" s="47" t="s">
        <v>411</v>
      </c>
      <c r="I3444" s="48" t="s">
        <v>19</v>
      </c>
      <c r="J3444" s="49">
        <v>1.4739167E7</v>
      </c>
    </row>
    <row r="3445">
      <c r="A3445" s="45" t="s">
        <v>74</v>
      </c>
      <c r="B3445" s="16" t="s">
        <v>254</v>
      </c>
      <c r="C3445" s="17" t="s">
        <v>255</v>
      </c>
      <c r="D3445" s="15">
        <v>5.0</v>
      </c>
      <c r="E3445" s="17" t="s">
        <v>469</v>
      </c>
      <c r="F3445" s="15" t="s">
        <v>470</v>
      </c>
      <c r="G3445" s="46" t="s">
        <v>471</v>
      </c>
      <c r="H3445" s="47" t="s">
        <v>472</v>
      </c>
      <c r="I3445" s="48" t="s">
        <v>25</v>
      </c>
      <c r="J3445" s="49">
        <v>2448175.0</v>
      </c>
    </row>
    <row r="3446">
      <c r="A3446" s="45" t="s">
        <v>74</v>
      </c>
      <c r="B3446" s="16" t="s">
        <v>254</v>
      </c>
      <c r="C3446" s="17" t="s">
        <v>255</v>
      </c>
      <c r="D3446" s="15">
        <v>5.0</v>
      </c>
      <c r="E3446" s="17" t="s">
        <v>473</v>
      </c>
      <c r="F3446" s="15" t="s">
        <v>474</v>
      </c>
      <c r="G3446" s="46" t="s">
        <v>523</v>
      </c>
      <c r="H3446" s="47" t="s">
        <v>431</v>
      </c>
      <c r="I3446" s="48" t="s">
        <v>17</v>
      </c>
      <c r="J3446" s="49">
        <v>2.40292769E8</v>
      </c>
    </row>
    <row r="3447">
      <c r="A3447" s="45" t="s">
        <v>74</v>
      </c>
      <c r="B3447" s="16" t="s">
        <v>254</v>
      </c>
      <c r="C3447" s="17" t="s">
        <v>255</v>
      </c>
      <c r="D3447" s="15">
        <v>5.0</v>
      </c>
      <c r="E3447" s="17" t="s">
        <v>473</v>
      </c>
      <c r="F3447" s="15" t="s">
        <v>474</v>
      </c>
      <c r="G3447" s="46" t="s">
        <v>458</v>
      </c>
      <c r="H3447" s="47" t="s">
        <v>411</v>
      </c>
      <c r="I3447" s="48" t="s">
        <v>19</v>
      </c>
      <c r="J3447" s="49">
        <v>7.1311563E7</v>
      </c>
    </row>
    <row r="3448">
      <c r="A3448" s="45" t="s">
        <v>74</v>
      </c>
      <c r="B3448" s="16" t="s">
        <v>254</v>
      </c>
      <c r="C3448" s="17" t="s">
        <v>255</v>
      </c>
      <c r="D3448" s="15">
        <v>5.0</v>
      </c>
      <c r="E3448" s="17" t="s">
        <v>491</v>
      </c>
      <c r="F3448" s="15" t="s">
        <v>492</v>
      </c>
      <c r="G3448" s="46" t="s">
        <v>545</v>
      </c>
      <c r="H3448" s="47" t="s">
        <v>427</v>
      </c>
      <c r="I3448" s="48" t="s">
        <v>37</v>
      </c>
      <c r="J3448" s="49">
        <v>2.26751E7</v>
      </c>
    </row>
    <row r="3449">
      <c r="A3449" s="45" t="s">
        <v>74</v>
      </c>
      <c r="B3449" s="16" t="s">
        <v>254</v>
      </c>
      <c r="C3449" s="17" t="s">
        <v>255</v>
      </c>
      <c r="D3449" s="15">
        <v>5.0</v>
      </c>
      <c r="E3449" s="17" t="s">
        <v>491</v>
      </c>
      <c r="F3449" s="15" t="s">
        <v>492</v>
      </c>
      <c r="G3449" s="46" t="s">
        <v>543</v>
      </c>
      <c r="H3449" s="47" t="s">
        <v>430</v>
      </c>
      <c r="I3449" s="48" t="s">
        <v>37</v>
      </c>
      <c r="J3449" s="49">
        <v>901000.0</v>
      </c>
    </row>
    <row r="3450">
      <c r="A3450" s="45" t="s">
        <v>74</v>
      </c>
      <c r="B3450" s="16" t="s">
        <v>254</v>
      </c>
      <c r="C3450" s="17" t="s">
        <v>255</v>
      </c>
      <c r="D3450" s="15">
        <v>5.0</v>
      </c>
      <c r="E3450" s="17" t="s">
        <v>491</v>
      </c>
      <c r="F3450" s="15" t="s">
        <v>492</v>
      </c>
      <c r="G3450" s="46" t="s">
        <v>519</v>
      </c>
      <c r="H3450" s="47" t="s">
        <v>414</v>
      </c>
      <c r="I3450" s="48" t="s">
        <v>37</v>
      </c>
      <c r="J3450" s="49">
        <v>37100.0</v>
      </c>
    </row>
    <row r="3451">
      <c r="A3451" s="45" t="s">
        <v>74</v>
      </c>
      <c r="B3451" s="16" t="s">
        <v>254</v>
      </c>
      <c r="C3451" s="17" t="s">
        <v>255</v>
      </c>
      <c r="D3451" s="15">
        <v>5.0</v>
      </c>
      <c r="E3451" s="17" t="s">
        <v>491</v>
      </c>
      <c r="F3451" s="15" t="s">
        <v>492</v>
      </c>
      <c r="G3451" s="46" t="s">
        <v>521</v>
      </c>
      <c r="H3451" s="47" t="s">
        <v>522</v>
      </c>
      <c r="I3451" s="48" t="s">
        <v>37</v>
      </c>
      <c r="J3451" s="49">
        <v>1913300.0</v>
      </c>
    </row>
    <row r="3452">
      <c r="A3452" s="45" t="s">
        <v>74</v>
      </c>
      <c r="B3452" s="16" t="s">
        <v>254</v>
      </c>
      <c r="C3452" s="17" t="s">
        <v>255</v>
      </c>
      <c r="D3452" s="15">
        <v>5.0</v>
      </c>
      <c r="E3452" s="17" t="s">
        <v>491</v>
      </c>
      <c r="F3452" s="15" t="s">
        <v>492</v>
      </c>
      <c r="G3452" s="46" t="s">
        <v>493</v>
      </c>
      <c r="H3452" s="47" t="s">
        <v>437</v>
      </c>
      <c r="I3452" s="48" t="s">
        <v>17</v>
      </c>
      <c r="J3452" s="49">
        <v>2.0425272E7</v>
      </c>
    </row>
    <row r="3453">
      <c r="A3453" s="45" t="s">
        <v>74</v>
      </c>
      <c r="B3453" s="16" t="s">
        <v>254</v>
      </c>
      <c r="C3453" s="17" t="s">
        <v>255</v>
      </c>
      <c r="D3453" s="15">
        <v>5.0</v>
      </c>
      <c r="E3453" s="17" t="s">
        <v>491</v>
      </c>
      <c r="F3453" s="15" t="s">
        <v>492</v>
      </c>
      <c r="G3453" s="46" t="s">
        <v>493</v>
      </c>
      <c r="H3453" s="47" t="s">
        <v>437</v>
      </c>
      <c r="I3453" s="48" t="s">
        <v>37</v>
      </c>
      <c r="J3453" s="49">
        <v>450500.0</v>
      </c>
    </row>
    <row r="3454">
      <c r="A3454" s="45" t="s">
        <v>74</v>
      </c>
      <c r="B3454" s="16" t="s">
        <v>254</v>
      </c>
      <c r="C3454" s="17" t="s">
        <v>255</v>
      </c>
      <c r="D3454" s="15">
        <v>5.0</v>
      </c>
      <c r="E3454" s="17" t="s">
        <v>491</v>
      </c>
      <c r="F3454" s="15" t="s">
        <v>492</v>
      </c>
      <c r="G3454" s="46" t="s">
        <v>493</v>
      </c>
      <c r="H3454" s="47" t="s">
        <v>437</v>
      </c>
      <c r="I3454" s="48" t="s">
        <v>25</v>
      </c>
      <c r="J3454" s="49">
        <v>-4930692.0</v>
      </c>
    </row>
    <row r="3455">
      <c r="A3455" s="45" t="s">
        <v>74</v>
      </c>
      <c r="B3455" s="16" t="s">
        <v>254</v>
      </c>
      <c r="C3455" s="17" t="s">
        <v>255</v>
      </c>
      <c r="D3455" s="15">
        <v>5.0</v>
      </c>
      <c r="E3455" s="17" t="s">
        <v>491</v>
      </c>
      <c r="F3455" s="15" t="s">
        <v>492</v>
      </c>
      <c r="G3455" s="46" t="s">
        <v>458</v>
      </c>
      <c r="H3455" s="47" t="s">
        <v>411</v>
      </c>
      <c r="I3455" s="48" t="s">
        <v>19</v>
      </c>
      <c r="J3455" s="49">
        <v>1.4369678E7</v>
      </c>
    </row>
    <row r="3456">
      <c r="A3456" s="45" t="s">
        <v>74</v>
      </c>
      <c r="B3456" s="16" t="s">
        <v>254</v>
      </c>
      <c r="C3456" s="17" t="s">
        <v>255</v>
      </c>
      <c r="D3456" s="15">
        <v>5.0</v>
      </c>
      <c r="E3456" s="17" t="s">
        <v>494</v>
      </c>
      <c r="F3456" s="15" t="s">
        <v>495</v>
      </c>
      <c r="G3456" s="46" t="s">
        <v>545</v>
      </c>
      <c r="H3456" s="47" t="s">
        <v>427</v>
      </c>
      <c r="I3456" s="48" t="s">
        <v>37</v>
      </c>
      <c r="J3456" s="49">
        <v>6592950.0</v>
      </c>
    </row>
    <row r="3457">
      <c r="A3457" s="45" t="s">
        <v>74</v>
      </c>
      <c r="B3457" s="16" t="s">
        <v>254</v>
      </c>
      <c r="C3457" s="17" t="s">
        <v>255</v>
      </c>
      <c r="D3457" s="15">
        <v>5.0</v>
      </c>
      <c r="E3457" s="17" t="s">
        <v>494</v>
      </c>
      <c r="F3457" s="15" t="s">
        <v>495</v>
      </c>
      <c r="G3457" s="46" t="s">
        <v>554</v>
      </c>
      <c r="H3457" s="47" t="s">
        <v>555</v>
      </c>
      <c r="I3457" s="48" t="s">
        <v>17</v>
      </c>
      <c r="J3457" s="49">
        <v>1.2387385E7</v>
      </c>
    </row>
    <row r="3458">
      <c r="A3458" s="45" t="s">
        <v>74</v>
      </c>
      <c r="B3458" s="16" t="s">
        <v>254</v>
      </c>
      <c r="C3458" s="17" t="s">
        <v>255</v>
      </c>
      <c r="D3458" s="15">
        <v>5.0</v>
      </c>
      <c r="E3458" s="17" t="s">
        <v>494</v>
      </c>
      <c r="F3458" s="15" t="s">
        <v>495</v>
      </c>
      <c r="G3458" s="46" t="s">
        <v>554</v>
      </c>
      <c r="H3458" s="47" t="s">
        <v>555</v>
      </c>
      <c r="I3458" s="48" t="s">
        <v>25</v>
      </c>
      <c r="J3458" s="49">
        <v>-2477477.0</v>
      </c>
    </row>
    <row r="3459">
      <c r="A3459" s="45" t="s">
        <v>74</v>
      </c>
      <c r="B3459" s="16" t="s">
        <v>254</v>
      </c>
      <c r="C3459" s="17" t="s">
        <v>255</v>
      </c>
      <c r="D3459" s="15">
        <v>5.0</v>
      </c>
      <c r="E3459" s="17" t="s">
        <v>494</v>
      </c>
      <c r="F3459" s="15" t="s">
        <v>495</v>
      </c>
      <c r="G3459" s="46" t="s">
        <v>496</v>
      </c>
      <c r="H3459" s="47" t="s">
        <v>497</v>
      </c>
      <c r="I3459" s="48" t="s">
        <v>25</v>
      </c>
      <c r="J3459" s="49">
        <v>68310.0</v>
      </c>
    </row>
    <row r="3460">
      <c r="A3460" s="45" t="s">
        <v>74</v>
      </c>
      <c r="B3460" s="16" t="s">
        <v>254</v>
      </c>
      <c r="C3460" s="17" t="s">
        <v>255</v>
      </c>
      <c r="D3460" s="15">
        <v>5.0</v>
      </c>
      <c r="E3460" s="17" t="s">
        <v>494</v>
      </c>
      <c r="F3460" s="15" t="s">
        <v>495</v>
      </c>
      <c r="G3460" s="46" t="s">
        <v>458</v>
      </c>
      <c r="H3460" s="47" t="s">
        <v>411</v>
      </c>
      <c r="I3460" s="48" t="s">
        <v>19</v>
      </c>
      <c r="J3460" s="49">
        <v>5805804.0</v>
      </c>
    </row>
    <row r="3461">
      <c r="A3461" s="45" t="s">
        <v>74</v>
      </c>
      <c r="B3461" s="16" t="s">
        <v>254</v>
      </c>
      <c r="C3461" s="17" t="s">
        <v>255</v>
      </c>
      <c r="D3461" s="15">
        <v>5.0</v>
      </c>
      <c r="E3461" s="17" t="s">
        <v>494</v>
      </c>
      <c r="F3461" s="15" t="s">
        <v>495</v>
      </c>
      <c r="G3461" s="46" t="s">
        <v>477</v>
      </c>
      <c r="H3461" s="47" t="s">
        <v>429</v>
      </c>
      <c r="I3461" s="48" t="s">
        <v>50</v>
      </c>
      <c r="J3461" s="49">
        <v>4.8848886E7</v>
      </c>
    </row>
    <row r="3462">
      <c r="A3462" s="45" t="s">
        <v>74</v>
      </c>
      <c r="B3462" s="16" t="s">
        <v>254</v>
      </c>
      <c r="C3462" s="17" t="s">
        <v>255</v>
      </c>
      <c r="D3462" s="15">
        <v>5.0</v>
      </c>
      <c r="E3462" s="17" t="s">
        <v>475</v>
      </c>
      <c r="F3462" s="15" t="s">
        <v>476</v>
      </c>
      <c r="G3462" s="46" t="s">
        <v>477</v>
      </c>
      <c r="H3462" s="47" t="s">
        <v>429</v>
      </c>
      <c r="I3462" s="48" t="s">
        <v>50</v>
      </c>
      <c r="J3462" s="49">
        <v>3.4867833E7</v>
      </c>
    </row>
    <row r="3463">
      <c r="A3463" s="45" t="s">
        <v>74</v>
      </c>
      <c r="B3463" s="16" t="s">
        <v>254</v>
      </c>
      <c r="C3463" s="17" t="s">
        <v>255</v>
      </c>
      <c r="D3463" s="15">
        <v>5.0</v>
      </c>
      <c r="E3463" s="17" t="s">
        <v>524</v>
      </c>
      <c r="F3463" s="15" t="s">
        <v>479</v>
      </c>
      <c r="G3463" s="46" t="s">
        <v>443</v>
      </c>
      <c r="H3463" s="47" t="s">
        <v>420</v>
      </c>
      <c r="I3463" s="48" t="s">
        <v>19</v>
      </c>
      <c r="J3463" s="49">
        <v>7.3295258E7</v>
      </c>
    </row>
    <row r="3464">
      <c r="A3464" s="45" t="s">
        <v>74</v>
      </c>
      <c r="B3464" s="16" t="s">
        <v>254</v>
      </c>
      <c r="C3464" s="17" t="s">
        <v>255</v>
      </c>
      <c r="D3464" s="15">
        <v>5.0</v>
      </c>
      <c r="E3464" s="17" t="s">
        <v>524</v>
      </c>
      <c r="F3464" s="15" t="s">
        <v>479</v>
      </c>
      <c r="G3464" s="46" t="s">
        <v>444</v>
      </c>
      <c r="H3464" s="47" t="s">
        <v>445</v>
      </c>
      <c r="I3464" s="48" t="s">
        <v>19</v>
      </c>
      <c r="J3464" s="49">
        <v>1.1718628E7</v>
      </c>
    </row>
    <row r="3465">
      <c r="A3465" s="45" t="s">
        <v>74</v>
      </c>
      <c r="B3465" s="16" t="s">
        <v>254</v>
      </c>
      <c r="C3465" s="17" t="s">
        <v>255</v>
      </c>
      <c r="D3465" s="15">
        <v>5.0</v>
      </c>
      <c r="E3465" s="17" t="s">
        <v>524</v>
      </c>
      <c r="F3465" s="15" t="s">
        <v>479</v>
      </c>
      <c r="G3465" s="46" t="s">
        <v>579</v>
      </c>
      <c r="H3465" s="47" t="s">
        <v>580</v>
      </c>
      <c r="I3465" s="48" t="s">
        <v>19</v>
      </c>
      <c r="J3465" s="49">
        <v>8430966.0</v>
      </c>
    </row>
    <row r="3466">
      <c r="A3466" s="45" t="s">
        <v>74</v>
      </c>
      <c r="B3466" s="16" t="s">
        <v>254</v>
      </c>
      <c r="C3466" s="17" t="s">
        <v>255</v>
      </c>
      <c r="D3466" s="15">
        <v>5.0</v>
      </c>
      <c r="E3466" s="17" t="s">
        <v>524</v>
      </c>
      <c r="F3466" s="15" t="s">
        <v>479</v>
      </c>
      <c r="G3466" s="46" t="s">
        <v>446</v>
      </c>
      <c r="H3466" s="47" t="s">
        <v>447</v>
      </c>
      <c r="I3466" s="48" t="s">
        <v>19</v>
      </c>
      <c r="J3466" s="49">
        <v>1002149.0</v>
      </c>
    </row>
    <row r="3467">
      <c r="A3467" s="45" t="s">
        <v>74</v>
      </c>
      <c r="B3467" s="16" t="s">
        <v>254</v>
      </c>
      <c r="C3467" s="17" t="s">
        <v>255</v>
      </c>
      <c r="D3467" s="15">
        <v>5.0</v>
      </c>
      <c r="E3467" s="17" t="s">
        <v>524</v>
      </c>
      <c r="F3467" s="15" t="s">
        <v>479</v>
      </c>
      <c r="G3467" s="46" t="s">
        <v>448</v>
      </c>
      <c r="H3467" s="47" t="s">
        <v>449</v>
      </c>
      <c r="I3467" s="48" t="s">
        <v>19</v>
      </c>
      <c r="J3467" s="49">
        <v>1777871.0</v>
      </c>
    </row>
    <row r="3468">
      <c r="A3468" s="45" t="s">
        <v>74</v>
      </c>
      <c r="B3468" s="16" t="s">
        <v>254</v>
      </c>
      <c r="C3468" s="17" t="s">
        <v>255</v>
      </c>
      <c r="D3468" s="15">
        <v>5.0</v>
      </c>
      <c r="E3468" s="17" t="s">
        <v>524</v>
      </c>
      <c r="F3468" s="15" t="s">
        <v>479</v>
      </c>
      <c r="G3468" s="46" t="s">
        <v>450</v>
      </c>
      <c r="H3468" s="47" t="s">
        <v>451</v>
      </c>
      <c r="I3468" s="48" t="s">
        <v>19</v>
      </c>
      <c r="J3468" s="49">
        <v>0.0</v>
      </c>
    </row>
    <row r="3469">
      <c r="A3469" s="45" t="s">
        <v>74</v>
      </c>
      <c r="B3469" s="16" t="s">
        <v>254</v>
      </c>
      <c r="C3469" s="17" t="s">
        <v>255</v>
      </c>
      <c r="D3469" s="15">
        <v>5.0</v>
      </c>
      <c r="E3469" s="17" t="s">
        <v>524</v>
      </c>
      <c r="F3469" s="15" t="s">
        <v>479</v>
      </c>
      <c r="G3469" s="46" t="s">
        <v>452</v>
      </c>
      <c r="H3469" s="47" t="s">
        <v>453</v>
      </c>
      <c r="I3469" s="48" t="s">
        <v>19</v>
      </c>
      <c r="J3469" s="49">
        <v>1853974.0</v>
      </c>
    </row>
    <row r="3470">
      <c r="A3470" s="45" t="s">
        <v>74</v>
      </c>
      <c r="B3470" s="16" t="s">
        <v>254</v>
      </c>
      <c r="C3470" s="17" t="s">
        <v>255</v>
      </c>
      <c r="D3470" s="15">
        <v>5.0</v>
      </c>
      <c r="E3470" s="17" t="s">
        <v>524</v>
      </c>
      <c r="F3470" s="15" t="s">
        <v>479</v>
      </c>
      <c r="G3470" s="46" t="s">
        <v>454</v>
      </c>
      <c r="H3470" s="47" t="s">
        <v>415</v>
      </c>
      <c r="I3470" s="48" t="s">
        <v>19</v>
      </c>
      <c r="J3470" s="49">
        <v>270580.0</v>
      </c>
    </row>
    <row r="3471">
      <c r="A3471" s="45" t="s">
        <v>74</v>
      </c>
      <c r="B3471" s="16" t="s">
        <v>254</v>
      </c>
      <c r="C3471" s="17" t="s">
        <v>255</v>
      </c>
      <c r="D3471" s="15">
        <v>5.0</v>
      </c>
      <c r="E3471" s="17" t="s">
        <v>524</v>
      </c>
      <c r="F3471" s="15" t="s">
        <v>479</v>
      </c>
      <c r="G3471" s="46" t="s">
        <v>455</v>
      </c>
      <c r="H3471" s="47" t="s">
        <v>415</v>
      </c>
      <c r="I3471" s="48" t="s">
        <v>19</v>
      </c>
      <c r="J3471" s="49">
        <v>150322.0</v>
      </c>
    </row>
    <row r="3472">
      <c r="A3472" s="45" t="s">
        <v>74</v>
      </c>
      <c r="B3472" s="16" t="s">
        <v>254</v>
      </c>
      <c r="C3472" s="17" t="s">
        <v>255</v>
      </c>
      <c r="D3472" s="15">
        <v>5.0</v>
      </c>
      <c r="E3472" s="17" t="s">
        <v>524</v>
      </c>
      <c r="F3472" s="15" t="s">
        <v>479</v>
      </c>
      <c r="G3472" s="46" t="s">
        <v>583</v>
      </c>
      <c r="H3472" s="47" t="s">
        <v>584</v>
      </c>
      <c r="I3472" s="48" t="s">
        <v>25</v>
      </c>
      <c r="J3472" s="49">
        <v>1.8E7</v>
      </c>
    </row>
    <row r="3473">
      <c r="A3473" s="45" t="s">
        <v>74</v>
      </c>
      <c r="B3473" s="16" t="s">
        <v>254</v>
      </c>
      <c r="C3473" s="17" t="s">
        <v>255</v>
      </c>
      <c r="D3473" s="15">
        <v>5.0</v>
      </c>
      <c r="E3473" s="17" t="s">
        <v>525</v>
      </c>
      <c r="F3473" s="15" t="s">
        <v>502</v>
      </c>
      <c r="G3473" s="46" t="s">
        <v>526</v>
      </c>
      <c r="H3473" s="47" t="s">
        <v>527</v>
      </c>
      <c r="I3473" s="48" t="s">
        <v>60</v>
      </c>
      <c r="J3473" s="49">
        <v>1.1401099E8</v>
      </c>
    </row>
    <row r="3474">
      <c r="A3474" s="45" t="s">
        <v>74</v>
      </c>
      <c r="B3474" s="16" t="s">
        <v>254</v>
      </c>
      <c r="C3474" s="17" t="s">
        <v>255</v>
      </c>
      <c r="D3474" s="15">
        <v>5.0</v>
      </c>
      <c r="E3474" s="17" t="s">
        <v>525</v>
      </c>
      <c r="F3474" s="15" t="s">
        <v>502</v>
      </c>
      <c r="G3474" s="46" t="s">
        <v>505</v>
      </c>
      <c r="H3474" s="47" t="s">
        <v>506</v>
      </c>
      <c r="I3474" s="48" t="s">
        <v>60</v>
      </c>
      <c r="J3474" s="49">
        <v>5778176.0</v>
      </c>
    </row>
    <row r="3475">
      <c r="A3475" s="45" t="s">
        <v>74</v>
      </c>
      <c r="B3475" s="16" t="s">
        <v>254</v>
      </c>
      <c r="C3475" s="17" t="s">
        <v>255</v>
      </c>
      <c r="D3475" s="15">
        <v>5.0</v>
      </c>
      <c r="E3475" s="17" t="s">
        <v>525</v>
      </c>
      <c r="F3475" s="15" t="s">
        <v>502</v>
      </c>
      <c r="G3475" s="46" t="s">
        <v>507</v>
      </c>
      <c r="H3475" s="47" t="s">
        <v>508</v>
      </c>
      <c r="I3475" s="48" t="s">
        <v>60</v>
      </c>
      <c r="J3475" s="49">
        <v>4465199.0</v>
      </c>
    </row>
    <row r="3476">
      <c r="A3476" s="45" t="s">
        <v>74</v>
      </c>
      <c r="B3476" s="16" t="s">
        <v>254</v>
      </c>
      <c r="C3476" s="17" t="s">
        <v>255</v>
      </c>
      <c r="D3476" s="15">
        <v>5.0</v>
      </c>
      <c r="E3476" s="17" t="s">
        <v>525</v>
      </c>
      <c r="F3476" s="15" t="s">
        <v>502</v>
      </c>
      <c r="G3476" s="46" t="s">
        <v>509</v>
      </c>
      <c r="H3476" s="47" t="s">
        <v>510</v>
      </c>
      <c r="I3476" s="48" t="s">
        <v>60</v>
      </c>
      <c r="J3476" s="49">
        <v>1744050.0</v>
      </c>
    </row>
    <row r="3477">
      <c r="A3477" s="45" t="s">
        <v>74</v>
      </c>
      <c r="B3477" s="16" t="s">
        <v>254</v>
      </c>
      <c r="C3477" s="17" t="s">
        <v>255</v>
      </c>
      <c r="D3477" s="15">
        <v>5.0</v>
      </c>
      <c r="E3477" s="17" t="s">
        <v>525</v>
      </c>
      <c r="F3477" s="15" t="s">
        <v>502</v>
      </c>
      <c r="G3477" s="46" t="s">
        <v>511</v>
      </c>
      <c r="H3477" s="47" t="s">
        <v>512</v>
      </c>
      <c r="I3477" s="48" t="s">
        <v>60</v>
      </c>
      <c r="J3477" s="49">
        <v>6.8770377E7</v>
      </c>
    </row>
    <row r="3478">
      <c r="A3478" s="45" t="s">
        <v>74</v>
      </c>
      <c r="B3478" s="16" t="s">
        <v>254</v>
      </c>
      <c r="C3478" s="17" t="s">
        <v>255</v>
      </c>
      <c r="D3478" s="15">
        <v>5.0</v>
      </c>
      <c r="E3478" s="17" t="s">
        <v>525</v>
      </c>
      <c r="F3478" s="15" t="s">
        <v>502</v>
      </c>
      <c r="G3478" s="46" t="s">
        <v>513</v>
      </c>
      <c r="H3478" s="47" t="s">
        <v>514</v>
      </c>
      <c r="I3478" s="48" t="s">
        <v>60</v>
      </c>
      <c r="J3478" s="49">
        <v>8984782.0</v>
      </c>
    </row>
    <row r="3479">
      <c r="A3479" s="45" t="s">
        <v>74</v>
      </c>
      <c r="B3479" s="16" t="s">
        <v>259</v>
      </c>
      <c r="C3479" s="17" t="s">
        <v>260</v>
      </c>
      <c r="D3479" s="15">
        <v>5.0</v>
      </c>
      <c r="E3479" s="17" t="s">
        <v>441</v>
      </c>
      <c r="F3479" s="15" t="s">
        <v>442</v>
      </c>
      <c r="G3479" s="46" t="s">
        <v>443</v>
      </c>
      <c r="H3479" s="47" t="s">
        <v>420</v>
      </c>
      <c r="I3479" s="48" t="s">
        <v>19</v>
      </c>
      <c r="J3479" s="49">
        <v>4.8947446E7</v>
      </c>
    </row>
    <row r="3480">
      <c r="A3480" s="45" t="s">
        <v>74</v>
      </c>
      <c r="B3480" s="16" t="s">
        <v>259</v>
      </c>
      <c r="C3480" s="17" t="s">
        <v>260</v>
      </c>
      <c r="D3480" s="15">
        <v>5.0</v>
      </c>
      <c r="E3480" s="17" t="s">
        <v>441</v>
      </c>
      <c r="F3480" s="15" t="s">
        <v>442</v>
      </c>
      <c r="G3480" s="46" t="s">
        <v>444</v>
      </c>
      <c r="H3480" s="47" t="s">
        <v>445</v>
      </c>
      <c r="I3480" s="48" t="s">
        <v>19</v>
      </c>
      <c r="J3480" s="49">
        <v>1.1369331E7</v>
      </c>
    </row>
    <row r="3481">
      <c r="A3481" s="45" t="s">
        <v>74</v>
      </c>
      <c r="B3481" s="16" t="s">
        <v>259</v>
      </c>
      <c r="C3481" s="17" t="s">
        <v>260</v>
      </c>
      <c r="D3481" s="15">
        <v>5.0</v>
      </c>
      <c r="E3481" s="17" t="s">
        <v>441</v>
      </c>
      <c r="F3481" s="15" t="s">
        <v>442</v>
      </c>
      <c r="G3481" s="46" t="s">
        <v>579</v>
      </c>
      <c r="H3481" s="47" t="s">
        <v>580</v>
      </c>
      <c r="I3481" s="48" t="s">
        <v>19</v>
      </c>
      <c r="J3481" s="49">
        <v>5212690.0</v>
      </c>
    </row>
    <row r="3482">
      <c r="A3482" s="45" t="s">
        <v>74</v>
      </c>
      <c r="B3482" s="16" t="s">
        <v>259</v>
      </c>
      <c r="C3482" s="17" t="s">
        <v>260</v>
      </c>
      <c r="D3482" s="15">
        <v>5.0</v>
      </c>
      <c r="E3482" s="17" t="s">
        <v>441</v>
      </c>
      <c r="F3482" s="15" t="s">
        <v>442</v>
      </c>
      <c r="G3482" s="46" t="s">
        <v>446</v>
      </c>
      <c r="H3482" s="47" t="s">
        <v>447</v>
      </c>
      <c r="I3482" s="48" t="s">
        <v>19</v>
      </c>
      <c r="J3482" s="49">
        <v>513500.0</v>
      </c>
    </row>
    <row r="3483">
      <c r="A3483" s="45" t="s">
        <v>74</v>
      </c>
      <c r="B3483" s="16" t="s">
        <v>259</v>
      </c>
      <c r="C3483" s="17" t="s">
        <v>260</v>
      </c>
      <c r="D3483" s="15">
        <v>5.0</v>
      </c>
      <c r="E3483" s="17" t="s">
        <v>441</v>
      </c>
      <c r="F3483" s="15" t="s">
        <v>442</v>
      </c>
      <c r="G3483" s="46" t="s">
        <v>448</v>
      </c>
      <c r="H3483" s="47" t="s">
        <v>449</v>
      </c>
      <c r="I3483" s="48" t="s">
        <v>19</v>
      </c>
      <c r="J3483" s="49">
        <v>917935.0</v>
      </c>
    </row>
    <row r="3484">
      <c r="A3484" s="45" t="s">
        <v>74</v>
      </c>
      <c r="B3484" s="16" t="s">
        <v>259</v>
      </c>
      <c r="C3484" s="17" t="s">
        <v>260</v>
      </c>
      <c r="D3484" s="15">
        <v>5.0</v>
      </c>
      <c r="E3484" s="17" t="s">
        <v>441</v>
      </c>
      <c r="F3484" s="15" t="s">
        <v>442</v>
      </c>
      <c r="G3484" s="46" t="s">
        <v>450</v>
      </c>
      <c r="H3484" s="47" t="s">
        <v>451</v>
      </c>
      <c r="I3484" s="48" t="s">
        <v>19</v>
      </c>
      <c r="J3484" s="49">
        <v>0.0</v>
      </c>
    </row>
    <row r="3485">
      <c r="A3485" s="45" t="s">
        <v>74</v>
      </c>
      <c r="B3485" s="16" t="s">
        <v>259</v>
      </c>
      <c r="C3485" s="17" t="s">
        <v>260</v>
      </c>
      <c r="D3485" s="15">
        <v>5.0</v>
      </c>
      <c r="E3485" s="17" t="s">
        <v>441</v>
      </c>
      <c r="F3485" s="15" t="s">
        <v>442</v>
      </c>
      <c r="G3485" s="46" t="s">
        <v>452</v>
      </c>
      <c r="H3485" s="47" t="s">
        <v>453</v>
      </c>
      <c r="I3485" s="48" t="s">
        <v>19</v>
      </c>
      <c r="J3485" s="49">
        <v>1062140.0</v>
      </c>
    </row>
    <row r="3486">
      <c r="A3486" s="45" t="s">
        <v>74</v>
      </c>
      <c r="B3486" s="16" t="s">
        <v>259</v>
      </c>
      <c r="C3486" s="17" t="s">
        <v>260</v>
      </c>
      <c r="D3486" s="15">
        <v>5.0</v>
      </c>
      <c r="E3486" s="17" t="s">
        <v>441</v>
      </c>
      <c r="F3486" s="15" t="s">
        <v>442</v>
      </c>
      <c r="G3486" s="46" t="s">
        <v>454</v>
      </c>
      <c r="H3486" s="47" t="s">
        <v>415</v>
      </c>
      <c r="I3486" s="48" t="s">
        <v>19</v>
      </c>
      <c r="J3486" s="49">
        <v>155015.0</v>
      </c>
    </row>
    <row r="3487">
      <c r="A3487" s="45" t="s">
        <v>74</v>
      </c>
      <c r="B3487" s="16" t="s">
        <v>259</v>
      </c>
      <c r="C3487" s="17" t="s">
        <v>260</v>
      </c>
      <c r="D3487" s="15">
        <v>5.0</v>
      </c>
      <c r="E3487" s="17" t="s">
        <v>441</v>
      </c>
      <c r="F3487" s="15" t="s">
        <v>442</v>
      </c>
      <c r="G3487" s="46" t="s">
        <v>455</v>
      </c>
      <c r="H3487" s="47" t="s">
        <v>415</v>
      </c>
      <c r="I3487" s="48" t="s">
        <v>19</v>
      </c>
      <c r="J3487" s="49">
        <v>86120.0</v>
      </c>
    </row>
    <row r="3488">
      <c r="A3488" s="45" t="s">
        <v>74</v>
      </c>
      <c r="B3488" s="16" t="s">
        <v>259</v>
      </c>
      <c r="C3488" s="17" t="s">
        <v>260</v>
      </c>
      <c r="D3488" s="15">
        <v>5.0</v>
      </c>
      <c r="E3488" s="17" t="s">
        <v>441</v>
      </c>
      <c r="F3488" s="15" t="s">
        <v>442</v>
      </c>
      <c r="G3488" s="46" t="s">
        <v>583</v>
      </c>
      <c r="H3488" s="47" t="s">
        <v>584</v>
      </c>
      <c r="I3488" s="48" t="s">
        <v>25</v>
      </c>
      <c r="J3488" s="49">
        <v>6000000.0</v>
      </c>
    </row>
    <row r="3489">
      <c r="A3489" s="45" t="s">
        <v>74</v>
      </c>
      <c r="B3489" s="16" t="s">
        <v>259</v>
      </c>
      <c r="C3489" s="17" t="s">
        <v>260</v>
      </c>
      <c r="D3489" s="15">
        <v>5.0</v>
      </c>
      <c r="E3489" s="17" t="s">
        <v>456</v>
      </c>
      <c r="F3489" s="15" t="s">
        <v>457</v>
      </c>
      <c r="G3489" s="46" t="s">
        <v>458</v>
      </c>
      <c r="H3489" s="47" t="s">
        <v>411</v>
      </c>
      <c r="I3489" s="48" t="s">
        <v>19</v>
      </c>
      <c r="J3489" s="49">
        <v>1.58862848E8</v>
      </c>
    </row>
    <row r="3490">
      <c r="A3490" s="45" t="s">
        <v>74</v>
      </c>
      <c r="B3490" s="16" t="s">
        <v>259</v>
      </c>
      <c r="C3490" s="17" t="s">
        <v>260</v>
      </c>
      <c r="D3490" s="15">
        <v>5.0</v>
      </c>
      <c r="E3490" s="17" t="s">
        <v>469</v>
      </c>
      <c r="F3490" s="15" t="s">
        <v>470</v>
      </c>
      <c r="G3490" s="46" t="s">
        <v>471</v>
      </c>
      <c r="H3490" s="47" t="s">
        <v>472</v>
      </c>
      <c r="I3490" s="48" t="s">
        <v>25</v>
      </c>
      <c r="J3490" s="49">
        <v>1448175.0</v>
      </c>
    </row>
    <row r="3491">
      <c r="A3491" s="45" t="s">
        <v>74</v>
      </c>
      <c r="B3491" s="16" t="s">
        <v>259</v>
      </c>
      <c r="C3491" s="17" t="s">
        <v>260</v>
      </c>
      <c r="D3491" s="15">
        <v>5.0</v>
      </c>
      <c r="E3491" s="17" t="s">
        <v>473</v>
      </c>
      <c r="F3491" s="15" t="s">
        <v>474</v>
      </c>
      <c r="G3491" s="46" t="s">
        <v>523</v>
      </c>
      <c r="H3491" s="47" t="s">
        <v>431</v>
      </c>
      <c r="I3491" s="48" t="s">
        <v>17</v>
      </c>
      <c r="J3491" s="49">
        <v>1.77516283E8</v>
      </c>
    </row>
    <row r="3492">
      <c r="A3492" s="45" t="s">
        <v>74</v>
      </c>
      <c r="B3492" s="16" t="s">
        <v>259</v>
      </c>
      <c r="C3492" s="17" t="s">
        <v>260</v>
      </c>
      <c r="D3492" s="15">
        <v>5.0</v>
      </c>
      <c r="E3492" s="17" t="s">
        <v>473</v>
      </c>
      <c r="F3492" s="15" t="s">
        <v>474</v>
      </c>
      <c r="G3492" s="46" t="s">
        <v>523</v>
      </c>
      <c r="H3492" s="47" t="s">
        <v>431</v>
      </c>
      <c r="I3492" s="48" t="s">
        <v>25</v>
      </c>
      <c r="J3492" s="49">
        <v>1.0E7</v>
      </c>
    </row>
    <row r="3493">
      <c r="A3493" s="45" t="s">
        <v>74</v>
      </c>
      <c r="B3493" s="16" t="s">
        <v>259</v>
      </c>
      <c r="C3493" s="17" t="s">
        <v>260</v>
      </c>
      <c r="D3493" s="15">
        <v>5.0</v>
      </c>
      <c r="E3493" s="17" t="s">
        <v>473</v>
      </c>
      <c r="F3493" s="15" t="s">
        <v>474</v>
      </c>
      <c r="G3493" s="46" t="s">
        <v>458</v>
      </c>
      <c r="H3493" s="47" t="s">
        <v>411</v>
      </c>
      <c r="I3493" s="48" t="s">
        <v>19</v>
      </c>
      <c r="J3493" s="49">
        <v>6.836616E7</v>
      </c>
    </row>
    <row r="3494">
      <c r="A3494" s="45" t="s">
        <v>74</v>
      </c>
      <c r="B3494" s="16" t="s">
        <v>259</v>
      </c>
      <c r="C3494" s="17" t="s">
        <v>260</v>
      </c>
      <c r="D3494" s="15">
        <v>5.0</v>
      </c>
      <c r="E3494" s="17" t="s">
        <v>491</v>
      </c>
      <c r="F3494" s="15" t="s">
        <v>492</v>
      </c>
      <c r="G3494" s="46" t="s">
        <v>545</v>
      </c>
      <c r="H3494" s="47" t="s">
        <v>427</v>
      </c>
      <c r="I3494" s="48" t="s">
        <v>37</v>
      </c>
      <c r="J3494" s="49">
        <v>5.6448584E7</v>
      </c>
    </row>
    <row r="3495">
      <c r="A3495" s="45" t="s">
        <v>74</v>
      </c>
      <c r="B3495" s="16" t="s">
        <v>259</v>
      </c>
      <c r="C3495" s="17" t="s">
        <v>260</v>
      </c>
      <c r="D3495" s="15">
        <v>5.0</v>
      </c>
      <c r="E3495" s="17" t="s">
        <v>491</v>
      </c>
      <c r="F3495" s="15" t="s">
        <v>492</v>
      </c>
      <c r="G3495" s="46" t="s">
        <v>543</v>
      </c>
      <c r="H3495" s="47" t="s">
        <v>430</v>
      </c>
      <c r="I3495" s="48" t="s">
        <v>37</v>
      </c>
      <c r="J3495" s="49">
        <v>45000.0</v>
      </c>
    </row>
    <row r="3496">
      <c r="A3496" s="45" t="s">
        <v>74</v>
      </c>
      <c r="B3496" s="16" t="s">
        <v>259</v>
      </c>
      <c r="C3496" s="17" t="s">
        <v>260</v>
      </c>
      <c r="D3496" s="15">
        <v>5.0</v>
      </c>
      <c r="E3496" s="17" t="s">
        <v>491</v>
      </c>
      <c r="F3496" s="15" t="s">
        <v>492</v>
      </c>
      <c r="G3496" s="46" t="s">
        <v>521</v>
      </c>
      <c r="H3496" s="47" t="s">
        <v>522</v>
      </c>
      <c r="I3496" s="48" t="s">
        <v>37</v>
      </c>
      <c r="J3496" s="49">
        <v>2460000.0</v>
      </c>
    </row>
    <row r="3497">
      <c r="A3497" s="45" t="s">
        <v>74</v>
      </c>
      <c r="B3497" s="16" t="s">
        <v>259</v>
      </c>
      <c r="C3497" s="17" t="s">
        <v>260</v>
      </c>
      <c r="D3497" s="15">
        <v>5.0</v>
      </c>
      <c r="E3497" s="17" t="s">
        <v>491</v>
      </c>
      <c r="F3497" s="15" t="s">
        <v>492</v>
      </c>
      <c r="G3497" s="46" t="s">
        <v>554</v>
      </c>
      <c r="H3497" s="47" t="s">
        <v>555</v>
      </c>
      <c r="I3497" s="48" t="s">
        <v>17</v>
      </c>
      <c r="J3497" s="49">
        <v>1.8333332E7</v>
      </c>
    </row>
    <row r="3498">
      <c r="A3498" s="45" t="s">
        <v>74</v>
      </c>
      <c r="B3498" s="16" t="s">
        <v>259</v>
      </c>
      <c r="C3498" s="17" t="s">
        <v>260</v>
      </c>
      <c r="D3498" s="15">
        <v>5.0</v>
      </c>
      <c r="E3498" s="17" t="s">
        <v>491</v>
      </c>
      <c r="F3498" s="15" t="s">
        <v>492</v>
      </c>
      <c r="G3498" s="46" t="s">
        <v>493</v>
      </c>
      <c r="H3498" s="47" t="s">
        <v>437</v>
      </c>
      <c r="I3498" s="48" t="s">
        <v>17</v>
      </c>
      <c r="J3498" s="49">
        <v>6463636.0</v>
      </c>
    </row>
    <row r="3499">
      <c r="A3499" s="45" t="s">
        <v>74</v>
      </c>
      <c r="B3499" s="16" t="s">
        <v>259</v>
      </c>
      <c r="C3499" s="17" t="s">
        <v>260</v>
      </c>
      <c r="D3499" s="15">
        <v>5.0</v>
      </c>
      <c r="E3499" s="17" t="s">
        <v>491</v>
      </c>
      <c r="F3499" s="15" t="s">
        <v>492</v>
      </c>
      <c r="G3499" s="46" t="s">
        <v>493</v>
      </c>
      <c r="H3499" s="47" t="s">
        <v>437</v>
      </c>
      <c r="I3499" s="48" t="s">
        <v>25</v>
      </c>
      <c r="J3499" s="49">
        <v>1468509.0</v>
      </c>
    </row>
    <row r="3500">
      <c r="A3500" s="45" t="s">
        <v>74</v>
      </c>
      <c r="B3500" s="16" t="s">
        <v>259</v>
      </c>
      <c r="C3500" s="17" t="s">
        <v>260</v>
      </c>
      <c r="D3500" s="15">
        <v>5.0</v>
      </c>
      <c r="E3500" s="17" t="s">
        <v>494</v>
      </c>
      <c r="F3500" s="15" t="s">
        <v>495</v>
      </c>
      <c r="G3500" s="46" t="s">
        <v>496</v>
      </c>
      <c r="H3500" s="47" t="s">
        <v>497</v>
      </c>
      <c r="I3500" s="48" t="s">
        <v>25</v>
      </c>
      <c r="J3500" s="49">
        <v>68310.0</v>
      </c>
    </row>
    <row r="3501">
      <c r="A3501" s="45" t="s">
        <v>74</v>
      </c>
      <c r="B3501" s="16" t="s">
        <v>259</v>
      </c>
      <c r="C3501" s="17" t="s">
        <v>260</v>
      </c>
      <c r="D3501" s="15">
        <v>5.0</v>
      </c>
      <c r="E3501" s="17" t="s">
        <v>494</v>
      </c>
      <c r="F3501" s="15" t="s">
        <v>495</v>
      </c>
      <c r="G3501" s="46" t="s">
        <v>477</v>
      </c>
      <c r="H3501" s="47" t="s">
        <v>429</v>
      </c>
      <c r="I3501" s="48" t="s">
        <v>50</v>
      </c>
      <c r="J3501" s="49">
        <v>4.9629718E7</v>
      </c>
    </row>
    <row r="3502">
      <c r="A3502" s="45" t="s">
        <v>74</v>
      </c>
      <c r="B3502" s="16" t="s">
        <v>259</v>
      </c>
      <c r="C3502" s="17" t="s">
        <v>260</v>
      </c>
      <c r="D3502" s="15">
        <v>5.0</v>
      </c>
      <c r="E3502" s="17" t="s">
        <v>475</v>
      </c>
      <c r="F3502" s="15" t="s">
        <v>476</v>
      </c>
      <c r="G3502" s="46" t="s">
        <v>498</v>
      </c>
      <c r="H3502" s="47" t="s">
        <v>434</v>
      </c>
      <c r="I3502" s="48" t="s">
        <v>25</v>
      </c>
      <c r="J3502" s="49">
        <v>4961300.0</v>
      </c>
    </row>
    <row r="3503">
      <c r="A3503" s="45" t="s">
        <v>74</v>
      </c>
      <c r="B3503" s="16" t="s">
        <v>259</v>
      </c>
      <c r="C3503" s="17" t="s">
        <v>260</v>
      </c>
      <c r="D3503" s="15">
        <v>5.0</v>
      </c>
      <c r="E3503" s="17" t="s">
        <v>475</v>
      </c>
      <c r="F3503" s="15" t="s">
        <v>476</v>
      </c>
      <c r="G3503" s="46" t="s">
        <v>477</v>
      </c>
      <c r="H3503" s="47" t="s">
        <v>429</v>
      </c>
      <c r="I3503" s="48" t="s">
        <v>50</v>
      </c>
      <c r="J3503" s="49">
        <v>4.1445114E7</v>
      </c>
    </row>
    <row r="3504">
      <c r="A3504" s="45" t="s">
        <v>74</v>
      </c>
      <c r="B3504" s="16" t="s">
        <v>259</v>
      </c>
      <c r="C3504" s="17" t="s">
        <v>260</v>
      </c>
      <c r="D3504" s="15">
        <v>5.0</v>
      </c>
      <c r="E3504" s="17" t="s">
        <v>524</v>
      </c>
      <c r="F3504" s="15" t="s">
        <v>479</v>
      </c>
      <c r="G3504" s="46" t="s">
        <v>443</v>
      </c>
      <c r="H3504" s="47" t="s">
        <v>420</v>
      </c>
      <c r="I3504" s="48" t="s">
        <v>19</v>
      </c>
      <c r="J3504" s="49">
        <v>7.8527953E7</v>
      </c>
    </row>
    <row r="3505">
      <c r="A3505" s="45" t="s">
        <v>74</v>
      </c>
      <c r="B3505" s="16" t="s">
        <v>259</v>
      </c>
      <c r="C3505" s="17" t="s">
        <v>260</v>
      </c>
      <c r="D3505" s="15">
        <v>5.0</v>
      </c>
      <c r="E3505" s="17" t="s">
        <v>524</v>
      </c>
      <c r="F3505" s="15" t="s">
        <v>479</v>
      </c>
      <c r="G3505" s="46" t="s">
        <v>444</v>
      </c>
      <c r="H3505" s="47" t="s">
        <v>445</v>
      </c>
      <c r="I3505" s="48" t="s">
        <v>19</v>
      </c>
      <c r="J3505" s="49">
        <v>8931372.0</v>
      </c>
    </row>
    <row r="3506">
      <c r="A3506" s="45" t="s">
        <v>74</v>
      </c>
      <c r="B3506" s="16" t="s">
        <v>259</v>
      </c>
      <c r="C3506" s="17" t="s">
        <v>260</v>
      </c>
      <c r="D3506" s="15">
        <v>5.0</v>
      </c>
      <c r="E3506" s="17" t="s">
        <v>524</v>
      </c>
      <c r="F3506" s="15" t="s">
        <v>479</v>
      </c>
      <c r="G3506" s="46" t="s">
        <v>579</v>
      </c>
      <c r="H3506" s="47" t="s">
        <v>580</v>
      </c>
      <c r="I3506" s="48" t="s">
        <v>19</v>
      </c>
      <c r="J3506" s="49">
        <v>9599818.0</v>
      </c>
    </row>
    <row r="3507">
      <c r="A3507" s="45" t="s">
        <v>74</v>
      </c>
      <c r="B3507" s="16" t="s">
        <v>259</v>
      </c>
      <c r="C3507" s="17" t="s">
        <v>260</v>
      </c>
      <c r="D3507" s="15">
        <v>5.0</v>
      </c>
      <c r="E3507" s="17" t="s">
        <v>524</v>
      </c>
      <c r="F3507" s="15" t="s">
        <v>479</v>
      </c>
      <c r="G3507" s="46" t="s">
        <v>446</v>
      </c>
      <c r="H3507" s="47" t="s">
        <v>447</v>
      </c>
      <c r="I3507" s="48" t="s">
        <v>19</v>
      </c>
      <c r="J3507" s="49">
        <v>869861.0</v>
      </c>
    </row>
    <row r="3508">
      <c r="A3508" s="45" t="s">
        <v>74</v>
      </c>
      <c r="B3508" s="16" t="s">
        <v>259</v>
      </c>
      <c r="C3508" s="17" t="s">
        <v>260</v>
      </c>
      <c r="D3508" s="15">
        <v>5.0</v>
      </c>
      <c r="E3508" s="17" t="s">
        <v>524</v>
      </c>
      <c r="F3508" s="15" t="s">
        <v>479</v>
      </c>
      <c r="G3508" s="46" t="s">
        <v>448</v>
      </c>
      <c r="H3508" s="47" t="s">
        <v>449</v>
      </c>
      <c r="I3508" s="48" t="s">
        <v>19</v>
      </c>
      <c r="J3508" s="49">
        <v>1448498.0</v>
      </c>
    </row>
    <row r="3509">
      <c r="A3509" s="45" t="s">
        <v>74</v>
      </c>
      <c r="B3509" s="16" t="s">
        <v>259</v>
      </c>
      <c r="C3509" s="17" t="s">
        <v>260</v>
      </c>
      <c r="D3509" s="15">
        <v>5.0</v>
      </c>
      <c r="E3509" s="17" t="s">
        <v>524</v>
      </c>
      <c r="F3509" s="15" t="s">
        <v>479</v>
      </c>
      <c r="G3509" s="46" t="s">
        <v>450</v>
      </c>
      <c r="H3509" s="47" t="s">
        <v>451</v>
      </c>
      <c r="I3509" s="48" t="s">
        <v>19</v>
      </c>
      <c r="J3509" s="49">
        <v>0.0</v>
      </c>
    </row>
    <row r="3510">
      <c r="A3510" s="45" t="s">
        <v>74</v>
      </c>
      <c r="B3510" s="16" t="s">
        <v>259</v>
      </c>
      <c r="C3510" s="17" t="s">
        <v>260</v>
      </c>
      <c r="D3510" s="15">
        <v>5.0</v>
      </c>
      <c r="E3510" s="17" t="s">
        <v>524</v>
      </c>
      <c r="F3510" s="15" t="s">
        <v>479</v>
      </c>
      <c r="G3510" s="46" t="s">
        <v>452</v>
      </c>
      <c r="H3510" s="47" t="s">
        <v>453</v>
      </c>
      <c r="I3510" s="48" t="s">
        <v>19</v>
      </c>
      <c r="J3510" s="49">
        <v>1609242.0</v>
      </c>
    </row>
    <row r="3511">
      <c r="A3511" s="45" t="s">
        <v>74</v>
      </c>
      <c r="B3511" s="16" t="s">
        <v>259</v>
      </c>
      <c r="C3511" s="17" t="s">
        <v>260</v>
      </c>
      <c r="D3511" s="15">
        <v>5.0</v>
      </c>
      <c r="E3511" s="17" t="s">
        <v>524</v>
      </c>
      <c r="F3511" s="15" t="s">
        <v>479</v>
      </c>
      <c r="G3511" s="46" t="s">
        <v>454</v>
      </c>
      <c r="H3511" s="47" t="s">
        <v>415</v>
      </c>
      <c r="I3511" s="48" t="s">
        <v>19</v>
      </c>
      <c r="J3511" s="49">
        <v>234862.0</v>
      </c>
    </row>
    <row r="3512">
      <c r="A3512" s="45" t="s">
        <v>74</v>
      </c>
      <c r="B3512" s="16" t="s">
        <v>259</v>
      </c>
      <c r="C3512" s="17" t="s">
        <v>260</v>
      </c>
      <c r="D3512" s="15">
        <v>5.0</v>
      </c>
      <c r="E3512" s="17" t="s">
        <v>524</v>
      </c>
      <c r="F3512" s="15" t="s">
        <v>479</v>
      </c>
      <c r="G3512" s="46" t="s">
        <v>455</v>
      </c>
      <c r="H3512" s="47" t="s">
        <v>415</v>
      </c>
      <c r="I3512" s="48" t="s">
        <v>19</v>
      </c>
      <c r="J3512" s="49">
        <v>130478.0</v>
      </c>
    </row>
    <row r="3513">
      <c r="A3513" s="45" t="s">
        <v>74</v>
      </c>
      <c r="B3513" s="16" t="s">
        <v>259</v>
      </c>
      <c r="C3513" s="17" t="s">
        <v>260</v>
      </c>
      <c r="D3513" s="15">
        <v>5.0</v>
      </c>
      <c r="E3513" s="17" t="s">
        <v>524</v>
      </c>
      <c r="F3513" s="15" t="s">
        <v>479</v>
      </c>
      <c r="G3513" s="46" t="s">
        <v>583</v>
      </c>
      <c r="H3513" s="47" t="s">
        <v>584</v>
      </c>
      <c r="I3513" s="48" t="s">
        <v>25</v>
      </c>
      <c r="J3513" s="49">
        <v>1.5E7</v>
      </c>
    </row>
    <row r="3514">
      <c r="A3514" s="45" t="s">
        <v>74</v>
      </c>
      <c r="B3514" s="16" t="s">
        <v>259</v>
      </c>
      <c r="C3514" s="17" t="s">
        <v>260</v>
      </c>
      <c r="D3514" s="15">
        <v>5.0</v>
      </c>
      <c r="E3514" s="17" t="s">
        <v>525</v>
      </c>
      <c r="F3514" s="15" t="s">
        <v>502</v>
      </c>
      <c r="G3514" s="46" t="s">
        <v>526</v>
      </c>
      <c r="H3514" s="47" t="s">
        <v>527</v>
      </c>
      <c r="I3514" s="48" t="s">
        <v>60</v>
      </c>
      <c r="J3514" s="49">
        <v>1.79392933E8</v>
      </c>
    </row>
    <row r="3515">
      <c r="A3515" s="45" t="s">
        <v>74</v>
      </c>
      <c r="B3515" s="16" t="s">
        <v>259</v>
      </c>
      <c r="C3515" s="17" t="s">
        <v>260</v>
      </c>
      <c r="D3515" s="15">
        <v>5.0</v>
      </c>
      <c r="E3515" s="17" t="s">
        <v>525</v>
      </c>
      <c r="F3515" s="15" t="s">
        <v>502</v>
      </c>
      <c r="G3515" s="46" t="s">
        <v>539</v>
      </c>
      <c r="H3515" s="47" t="s">
        <v>540</v>
      </c>
      <c r="I3515" s="48" t="s">
        <v>60</v>
      </c>
      <c r="J3515" s="49">
        <v>1.0323087E7</v>
      </c>
    </row>
    <row r="3516">
      <c r="A3516" s="45" t="s">
        <v>74</v>
      </c>
      <c r="B3516" s="16" t="s">
        <v>259</v>
      </c>
      <c r="C3516" s="17" t="s">
        <v>260</v>
      </c>
      <c r="D3516" s="15">
        <v>5.0</v>
      </c>
      <c r="E3516" s="17" t="s">
        <v>525</v>
      </c>
      <c r="F3516" s="15" t="s">
        <v>502</v>
      </c>
      <c r="G3516" s="46" t="s">
        <v>505</v>
      </c>
      <c r="H3516" s="47" t="s">
        <v>506</v>
      </c>
      <c r="I3516" s="48" t="s">
        <v>60</v>
      </c>
      <c r="J3516" s="49">
        <v>2.5737935E7</v>
      </c>
    </row>
    <row r="3517">
      <c r="A3517" s="45" t="s">
        <v>74</v>
      </c>
      <c r="B3517" s="16" t="s">
        <v>259</v>
      </c>
      <c r="C3517" s="17" t="s">
        <v>260</v>
      </c>
      <c r="D3517" s="15">
        <v>5.0</v>
      </c>
      <c r="E3517" s="17" t="s">
        <v>525</v>
      </c>
      <c r="F3517" s="15" t="s">
        <v>502</v>
      </c>
      <c r="G3517" s="46" t="s">
        <v>509</v>
      </c>
      <c r="H3517" s="47" t="s">
        <v>510</v>
      </c>
      <c r="I3517" s="48" t="s">
        <v>60</v>
      </c>
      <c r="J3517" s="49">
        <v>1233334.0</v>
      </c>
    </row>
    <row r="3518">
      <c r="A3518" s="45" t="s">
        <v>74</v>
      </c>
      <c r="B3518" s="16" t="s">
        <v>259</v>
      </c>
      <c r="C3518" s="17" t="s">
        <v>260</v>
      </c>
      <c r="D3518" s="15">
        <v>5.0</v>
      </c>
      <c r="E3518" s="17" t="s">
        <v>525</v>
      </c>
      <c r="F3518" s="15" t="s">
        <v>502</v>
      </c>
      <c r="G3518" s="46" t="s">
        <v>511</v>
      </c>
      <c r="H3518" s="47" t="s">
        <v>512</v>
      </c>
      <c r="I3518" s="48" t="s">
        <v>60</v>
      </c>
      <c r="J3518" s="49">
        <v>1.10387443E8</v>
      </c>
    </row>
    <row r="3519">
      <c r="A3519" s="45" t="s">
        <v>74</v>
      </c>
      <c r="B3519" s="16" t="s">
        <v>259</v>
      </c>
      <c r="C3519" s="17" t="s">
        <v>260</v>
      </c>
      <c r="D3519" s="15">
        <v>5.0</v>
      </c>
      <c r="E3519" s="17" t="s">
        <v>525</v>
      </c>
      <c r="F3519" s="15" t="s">
        <v>502</v>
      </c>
      <c r="G3519" s="46" t="s">
        <v>513</v>
      </c>
      <c r="H3519" s="47" t="s">
        <v>514</v>
      </c>
      <c r="I3519" s="48" t="s">
        <v>60</v>
      </c>
      <c r="J3519" s="49">
        <v>1101488.0</v>
      </c>
    </row>
    <row r="3520">
      <c r="A3520" s="45" t="s">
        <v>74</v>
      </c>
      <c r="B3520" s="16" t="s">
        <v>259</v>
      </c>
      <c r="C3520" s="17" t="s">
        <v>260</v>
      </c>
      <c r="D3520" s="15">
        <v>5.0</v>
      </c>
      <c r="E3520" s="17" t="s">
        <v>548</v>
      </c>
      <c r="F3520" s="15" t="s">
        <v>549</v>
      </c>
      <c r="G3520" s="46" t="s">
        <v>550</v>
      </c>
      <c r="H3520" s="47" t="s">
        <v>551</v>
      </c>
      <c r="I3520" s="48" t="s">
        <v>25</v>
      </c>
      <c r="J3520" s="49">
        <v>-1.88626346E8</v>
      </c>
    </row>
    <row r="3521">
      <c r="A3521" s="45" t="s">
        <v>74</v>
      </c>
      <c r="B3521" s="16" t="s">
        <v>66</v>
      </c>
      <c r="C3521" s="17" t="s">
        <v>67</v>
      </c>
      <c r="D3521" s="15">
        <v>5.0</v>
      </c>
      <c r="E3521" s="17" t="s">
        <v>441</v>
      </c>
      <c r="F3521" s="15" t="s">
        <v>442</v>
      </c>
      <c r="G3521" s="46" t="s">
        <v>443</v>
      </c>
      <c r="H3521" s="47" t="s">
        <v>420</v>
      </c>
      <c r="I3521" s="48" t="s">
        <v>19</v>
      </c>
      <c r="J3521" s="49">
        <v>4.8676046E7</v>
      </c>
    </row>
    <row r="3522">
      <c r="A3522" s="45" t="s">
        <v>74</v>
      </c>
      <c r="B3522" s="16" t="s">
        <v>66</v>
      </c>
      <c r="C3522" s="17" t="s">
        <v>67</v>
      </c>
      <c r="D3522" s="15">
        <v>5.0</v>
      </c>
      <c r="E3522" s="17" t="s">
        <v>441</v>
      </c>
      <c r="F3522" s="15" t="s">
        <v>442</v>
      </c>
      <c r="G3522" s="46" t="s">
        <v>444</v>
      </c>
      <c r="H3522" s="47" t="s">
        <v>445</v>
      </c>
      <c r="I3522" s="48" t="s">
        <v>19</v>
      </c>
      <c r="J3522" s="49">
        <v>1.0563676E7</v>
      </c>
    </row>
    <row r="3523">
      <c r="A3523" s="45" t="s">
        <v>74</v>
      </c>
      <c r="B3523" s="16" t="s">
        <v>66</v>
      </c>
      <c r="C3523" s="17" t="s">
        <v>67</v>
      </c>
      <c r="D3523" s="15">
        <v>5.0</v>
      </c>
      <c r="E3523" s="17" t="s">
        <v>441</v>
      </c>
      <c r="F3523" s="15" t="s">
        <v>442</v>
      </c>
      <c r="G3523" s="46" t="s">
        <v>579</v>
      </c>
      <c r="H3523" s="47" t="s">
        <v>580</v>
      </c>
      <c r="I3523" s="48" t="s">
        <v>19</v>
      </c>
      <c r="J3523" s="49">
        <v>5394598.0</v>
      </c>
    </row>
    <row r="3524">
      <c r="A3524" s="45" t="s">
        <v>74</v>
      </c>
      <c r="B3524" s="16" t="s">
        <v>66</v>
      </c>
      <c r="C3524" s="17" t="s">
        <v>67</v>
      </c>
      <c r="D3524" s="15">
        <v>5.0</v>
      </c>
      <c r="E3524" s="17" t="s">
        <v>441</v>
      </c>
      <c r="F3524" s="15" t="s">
        <v>442</v>
      </c>
      <c r="G3524" s="46" t="s">
        <v>446</v>
      </c>
      <c r="H3524" s="47" t="s">
        <v>447</v>
      </c>
      <c r="I3524" s="48" t="s">
        <v>19</v>
      </c>
      <c r="J3524" s="49">
        <v>539392.0</v>
      </c>
    </row>
    <row r="3525">
      <c r="A3525" s="45" t="s">
        <v>74</v>
      </c>
      <c r="B3525" s="16" t="s">
        <v>66</v>
      </c>
      <c r="C3525" s="17" t="s">
        <v>67</v>
      </c>
      <c r="D3525" s="15">
        <v>5.0</v>
      </c>
      <c r="E3525" s="17" t="s">
        <v>441</v>
      </c>
      <c r="F3525" s="15" t="s">
        <v>442</v>
      </c>
      <c r="G3525" s="46" t="s">
        <v>448</v>
      </c>
      <c r="H3525" s="47" t="s">
        <v>449</v>
      </c>
      <c r="I3525" s="48" t="s">
        <v>19</v>
      </c>
      <c r="J3525" s="49">
        <v>991419.0</v>
      </c>
    </row>
    <row r="3526">
      <c r="A3526" s="45" t="s">
        <v>74</v>
      </c>
      <c r="B3526" s="16" t="s">
        <v>66</v>
      </c>
      <c r="C3526" s="17" t="s">
        <v>67</v>
      </c>
      <c r="D3526" s="15">
        <v>5.0</v>
      </c>
      <c r="E3526" s="17" t="s">
        <v>441</v>
      </c>
      <c r="F3526" s="15" t="s">
        <v>442</v>
      </c>
      <c r="G3526" s="46" t="s">
        <v>450</v>
      </c>
      <c r="H3526" s="47" t="s">
        <v>451</v>
      </c>
      <c r="I3526" s="48" t="s">
        <v>19</v>
      </c>
      <c r="J3526" s="49">
        <v>0.0</v>
      </c>
    </row>
    <row r="3527">
      <c r="A3527" s="45" t="s">
        <v>74</v>
      </c>
      <c r="B3527" s="16" t="s">
        <v>66</v>
      </c>
      <c r="C3527" s="17" t="s">
        <v>67</v>
      </c>
      <c r="D3527" s="15">
        <v>5.0</v>
      </c>
      <c r="E3527" s="17" t="s">
        <v>441</v>
      </c>
      <c r="F3527" s="15" t="s">
        <v>442</v>
      </c>
      <c r="G3527" s="46" t="s">
        <v>452</v>
      </c>
      <c r="H3527" s="47" t="s">
        <v>453</v>
      </c>
      <c r="I3527" s="48" t="s">
        <v>19</v>
      </c>
      <c r="J3527" s="49">
        <v>1085814.0</v>
      </c>
    </row>
    <row r="3528">
      <c r="A3528" s="45" t="s">
        <v>74</v>
      </c>
      <c r="B3528" s="16" t="s">
        <v>66</v>
      </c>
      <c r="C3528" s="17" t="s">
        <v>67</v>
      </c>
      <c r="D3528" s="15">
        <v>5.0</v>
      </c>
      <c r="E3528" s="17" t="s">
        <v>441</v>
      </c>
      <c r="F3528" s="15" t="s">
        <v>442</v>
      </c>
      <c r="G3528" s="46" t="s">
        <v>454</v>
      </c>
      <c r="H3528" s="47" t="s">
        <v>415</v>
      </c>
      <c r="I3528" s="48" t="s">
        <v>19</v>
      </c>
      <c r="J3528" s="49">
        <v>158470.0</v>
      </c>
    </row>
    <row r="3529">
      <c r="A3529" s="45" t="s">
        <v>74</v>
      </c>
      <c r="B3529" s="16" t="s">
        <v>66</v>
      </c>
      <c r="C3529" s="17" t="s">
        <v>67</v>
      </c>
      <c r="D3529" s="15">
        <v>5.0</v>
      </c>
      <c r="E3529" s="17" t="s">
        <v>441</v>
      </c>
      <c r="F3529" s="15" t="s">
        <v>442</v>
      </c>
      <c r="G3529" s="46" t="s">
        <v>455</v>
      </c>
      <c r="H3529" s="47" t="s">
        <v>415</v>
      </c>
      <c r="I3529" s="48" t="s">
        <v>19</v>
      </c>
      <c r="J3529" s="49">
        <v>88039.0</v>
      </c>
    </row>
    <row r="3530">
      <c r="A3530" s="45" t="s">
        <v>74</v>
      </c>
      <c r="B3530" s="16" t="s">
        <v>66</v>
      </c>
      <c r="C3530" s="17" t="s">
        <v>67</v>
      </c>
      <c r="D3530" s="15">
        <v>5.0</v>
      </c>
      <c r="E3530" s="17" t="s">
        <v>441</v>
      </c>
      <c r="F3530" s="15" t="s">
        <v>442</v>
      </c>
      <c r="G3530" s="46" t="s">
        <v>583</v>
      </c>
      <c r="H3530" s="47" t="s">
        <v>584</v>
      </c>
      <c r="I3530" s="48" t="s">
        <v>25</v>
      </c>
      <c r="J3530" s="49">
        <v>6000000.0</v>
      </c>
    </row>
    <row r="3531">
      <c r="A3531" s="45" t="s">
        <v>74</v>
      </c>
      <c r="B3531" s="16" t="s">
        <v>66</v>
      </c>
      <c r="C3531" s="17" t="s">
        <v>67</v>
      </c>
      <c r="D3531" s="15">
        <v>5.0</v>
      </c>
      <c r="E3531" s="17" t="s">
        <v>456</v>
      </c>
      <c r="F3531" s="15" t="s">
        <v>457</v>
      </c>
      <c r="G3531" s="46" t="s">
        <v>515</v>
      </c>
      <c r="H3531" s="47" t="s">
        <v>413</v>
      </c>
      <c r="I3531" s="48" t="s">
        <v>19</v>
      </c>
      <c r="J3531" s="49">
        <v>8364000.0</v>
      </c>
    </row>
    <row r="3532">
      <c r="A3532" s="45" t="s">
        <v>74</v>
      </c>
      <c r="B3532" s="16" t="s">
        <v>66</v>
      </c>
      <c r="C3532" s="17" t="s">
        <v>67</v>
      </c>
      <c r="D3532" s="15">
        <v>5.0</v>
      </c>
      <c r="E3532" s="17" t="s">
        <v>456</v>
      </c>
      <c r="F3532" s="15" t="s">
        <v>457</v>
      </c>
      <c r="G3532" s="46" t="s">
        <v>579</v>
      </c>
      <c r="H3532" s="47" t="s">
        <v>580</v>
      </c>
      <c r="I3532" s="48" t="s">
        <v>19</v>
      </c>
      <c r="J3532" s="49">
        <v>835122.0</v>
      </c>
    </row>
    <row r="3533">
      <c r="A3533" s="45" t="s">
        <v>74</v>
      </c>
      <c r="B3533" s="16" t="s">
        <v>66</v>
      </c>
      <c r="C3533" s="17" t="s">
        <v>67</v>
      </c>
      <c r="D3533" s="15">
        <v>5.0</v>
      </c>
      <c r="E3533" s="17" t="s">
        <v>456</v>
      </c>
      <c r="F3533" s="15" t="s">
        <v>457</v>
      </c>
      <c r="G3533" s="46" t="s">
        <v>458</v>
      </c>
      <c r="H3533" s="47" t="s">
        <v>411</v>
      </c>
      <c r="I3533" s="48" t="s">
        <v>19</v>
      </c>
      <c r="J3533" s="49">
        <v>3.75566924E8</v>
      </c>
    </row>
    <row r="3534">
      <c r="A3534" s="45" t="s">
        <v>74</v>
      </c>
      <c r="B3534" s="16" t="s">
        <v>66</v>
      </c>
      <c r="C3534" s="17" t="s">
        <v>67</v>
      </c>
      <c r="D3534" s="15">
        <v>5.0</v>
      </c>
      <c r="E3534" s="17" t="s">
        <v>456</v>
      </c>
      <c r="F3534" s="15" t="s">
        <v>457</v>
      </c>
      <c r="G3534" s="46" t="s">
        <v>532</v>
      </c>
      <c r="H3534" s="47" t="s">
        <v>412</v>
      </c>
      <c r="I3534" s="48" t="s">
        <v>19</v>
      </c>
      <c r="J3534" s="49">
        <v>7225883.0</v>
      </c>
    </row>
    <row r="3535">
      <c r="A3535" s="45" t="s">
        <v>74</v>
      </c>
      <c r="B3535" s="16" t="s">
        <v>66</v>
      </c>
      <c r="C3535" s="17" t="s">
        <v>67</v>
      </c>
      <c r="D3535" s="15">
        <v>5.0</v>
      </c>
      <c r="E3535" s="17" t="s">
        <v>482</v>
      </c>
      <c r="F3535" s="15" t="s">
        <v>483</v>
      </c>
      <c r="G3535" s="46" t="s">
        <v>520</v>
      </c>
      <c r="H3535" s="47" t="s">
        <v>435</v>
      </c>
      <c r="I3535" s="48" t="s">
        <v>37</v>
      </c>
      <c r="J3535" s="49">
        <v>124000.0</v>
      </c>
    </row>
    <row r="3536">
      <c r="A3536" s="45" t="s">
        <v>74</v>
      </c>
      <c r="B3536" s="16" t="s">
        <v>66</v>
      </c>
      <c r="C3536" s="17" t="s">
        <v>67</v>
      </c>
      <c r="D3536" s="15">
        <v>5.0</v>
      </c>
      <c r="E3536" s="17" t="s">
        <v>482</v>
      </c>
      <c r="F3536" s="15" t="s">
        <v>483</v>
      </c>
      <c r="G3536" s="46" t="s">
        <v>519</v>
      </c>
      <c r="H3536" s="47" t="s">
        <v>414</v>
      </c>
      <c r="I3536" s="48" t="s">
        <v>37</v>
      </c>
      <c r="J3536" s="49">
        <v>3535100.0</v>
      </c>
    </row>
    <row r="3537">
      <c r="A3537" s="45" t="s">
        <v>74</v>
      </c>
      <c r="B3537" s="16" t="s">
        <v>66</v>
      </c>
      <c r="C3537" s="17" t="s">
        <v>67</v>
      </c>
      <c r="D3537" s="15">
        <v>5.0</v>
      </c>
      <c r="E3537" s="17" t="s">
        <v>482</v>
      </c>
      <c r="F3537" s="15" t="s">
        <v>483</v>
      </c>
      <c r="G3537" s="46" t="s">
        <v>458</v>
      </c>
      <c r="H3537" s="47" t="s">
        <v>411</v>
      </c>
      <c r="I3537" s="48" t="s">
        <v>19</v>
      </c>
      <c r="J3537" s="49">
        <v>8641219.0</v>
      </c>
    </row>
    <row r="3538">
      <c r="A3538" s="45" t="s">
        <v>74</v>
      </c>
      <c r="B3538" s="16" t="s">
        <v>66</v>
      </c>
      <c r="C3538" s="17" t="s">
        <v>67</v>
      </c>
      <c r="D3538" s="15">
        <v>5.0</v>
      </c>
      <c r="E3538" s="17" t="s">
        <v>459</v>
      </c>
      <c r="F3538" s="15" t="s">
        <v>460</v>
      </c>
      <c r="G3538" s="46" t="s">
        <v>458</v>
      </c>
      <c r="H3538" s="47" t="s">
        <v>411</v>
      </c>
      <c r="I3538" s="48" t="s">
        <v>19</v>
      </c>
      <c r="J3538" s="49">
        <v>2.2969419E7</v>
      </c>
    </row>
    <row r="3539">
      <c r="A3539" s="45" t="s">
        <v>74</v>
      </c>
      <c r="B3539" s="16" t="s">
        <v>66</v>
      </c>
      <c r="C3539" s="17" t="s">
        <v>67</v>
      </c>
      <c r="D3539" s="15">
        <v>5.0</v>
      </c>
      <c r="E3539" s="17" t="s">
        <v>463</v>
      </c>
      <c r="F3539" s="15" t="s">
        <v>464</v>
      </c>
      <c r="G3539" s="46" t="s">
        <v>519</v>
      </c>
      <c r="H3539" s="47" t="s">
        <v>414</v>
      </c>
      <c r="I3539" s="48" t="s">
        <v>37</v>
      </c>
      <c r="J3539" s="49">
        <v>1007000.0</v>
      </c>
    </row>
    <row r="3540">
      <c r="A3540" s="45" t="s">
        <v>74</v>
      </c>
      <c r="B3540" s="16" t="s">
        <v>66</v>
      </c>
      <c r="C3540" s="17" t="s">
        <v>67</v>
      </c>
      <c r="D3540" s="15">
        <v>5.0</v>
      </c>
      <c r="E3540" s="17" t="s">
        <v>463</v>
      </c>
      <c r="F3540" s="15" t="s">
        <v>464</v>
      </c>
      <c r="G3540" s="46" t="s">
        <v>458</v>
      </c>
      <c r="H3540" s="47" t="s">
        <v>411</v>
      </c>
      <c r="I3540" s="48" t="s">
        <v>19</v>
      </c>
      <c r="J3540" s="49">
        <v>1.7282438E7</v>
      </c>
    </row>
    <row r="3541">
      <c r="A3541" s="45" t="s">
        <v>74</v>
      </c>
      <c r="B3541" s="16" t="s">
        <v>66</v>
      </c>
      <c r="C3541" s="17" t="s">
        <v>67</v>
      </c>
      <c r="D3541" s="15">
        <v>5.0</v>
      </c>
      <c r="E3541" s="17" t="s">
        <v>487</v>
      </c>
      <c r="F3541" s="15" t="s">
        <v>488</v>
      </c>
      <c r="G3541" s="46" t="s">
        <v>458</v>
      </c>
      <c r="H3541" s="47" t="s">
        <v>411</v>
      </c>
      <c r="I3541" s="48" t="s">
        <v>19</v>
      </c>
      <c r="J3541" s="49">
        <v>6.5954019E7</v>
      </c>
    </row>
    <row r="3542">
      <c r="A3542" s="45" t="s">
        <v>74</v>
      </c>
      <c r="B3542" s="16" t="s">
        <v>66</v>
      </c>
      <c r="C3542" s="17" t="s">
        <v>67</v>
      </c>
      <c r="D3542" s="15">
        <v>5.0</v>
      </c>
      <c r="E3542" s="17" t="s">
        <v>473</v>
      </c>
      <c r="F3542" s="15" t="s">
        <v>474</v>
      </c>
      <c r="G3542" s="46" t="s">
        <v>493</v>
      </c>
      <c r="H3542" s="47" t="s">
        <v>437</v>
      </c>
      <c r="I3542" s="48" t="s">
        <v>25</v>
      </c>
      <c r="J3542" s="49">
        <v>2.5E7</v>
      </c>
    </row>
    <row r="3543">
      <c r="A3543" s="45" t="s">
        <v>74</v>
      </c>
      <c r="B3543" s="16" t="s">
        <v>66</v>
      </c>
      <c r="C3543" s="17" t="s">
        <v>67</v>
      </c>
      <c r="D3543" s="15">
        <v>5.0</v>
      </c>
      <c r="E3543" s="17" t="s">
        <v>473</v>
      </c>
      <c r="F3543" s="15" t="s">
        <v>474</v>
      </c>
      <c r="G3543" s="46" t="s">
        <v>523</v>
      </c>
      <c r="H3543" s="47" t="s">
        <v>431</v>
      </c>
      <c r="I3543" s="48" t="s">
        <v>17</v>
      </c>
      <c r="J3543" s="49">
        <v>1.97014734E8</v>
      </c>
    </row>
    <row r="3544">
      <c r="A3544" s="45" t="s">
        <v>74</v>
      </c>
      <c r="B3544" s="16" t="s">
        <v>66</v>
      </c>
      <c r="C3544" s="17" t="s">
        <v>67</v>
      </c>
      <c r="D3544" s="15">
        <v>5.0</v>
      </c>
      <c r="E3544" s="17" t="s">
        <v>473</v>
      </c>
      <c r="F3544" s="15" t="s">
        <v>474</v>
      </c>
      <c r="G3544" s="46" t="s">
        <v>523</v>
      </c>
      <c r="H3544" s="47" t="s">
        <v>431</v>
      </c>
      <c r="I3544" s="48" t="s">
        <v>25</v>
      </c>
      <c r="J3544" s="49">
        <v>1.0E7</v>
      </c>
    </row>
    <row r="3545">
      <c r="A3545" s="45" t="s">
        <v>74</v>
      </c>
      <c r="B3545" s="16" t="s">
        <v>66</v>
      </c>
      <c r="C3545" s="17" t="s">
        <v>67</v>
      </c>
      <c r="D3545" s="15">
        <v>5.0</v>
      </c>
      <c r="E3545" s="17" t="s">
        <v>473</v>
      </c>
      <c r="F3545" s="15" t="s">
        <v>474</v>
      </c>
      <c r="G3545" s="46" t="s">
        <v>458</v>
      </c>
      <c r="H3545" s="47" t="s">
        <v>411</v>
      </c>
      <c r="I3545" s="48" t="s">
        <v>19</v>
      </c>
      <c r="J3545" s="49">
        <v>2.41954132E8</v>
      </c>
    </row>
    <row r="3546">
      <c r="A3546" s="45" t="s">
        <v>74</v>
      </c>
      <c r="B3546" s="16" t="s">
        <v>66</v>
      </c>
      <c r="C3546" s="17" t="s">
        <v>67</v>
      </c>
      <c r="D3546" s="15">
        <v>5.0</v>
      </c>
      <c r="E3546" s="17" t="s">
        <v>491</v>
      </c>
      <c r="F3546" s="15" t="s">
        <v>492</v>
      </c>
      <c r="G3546" s="46" t="s">
        <v>545</v>
      </c>
      <c r="H3546" s="47" t="s">
        <v>427</v>
      </c>
      <c r="I3546" s="48" t="s">
        <v>37</v>
      </c>
      <c r="J3546" s="49">
        <v>9.9143654E7</v>
      </c>
    </row>
    <row r="3547">
      <c r="A3547" s="45" t="s">
        <v>74</v>
      </c>
      <c r="B3547" s="16" t="s">
        <v>66</v>
      </c>
      <c r="C3547" s="17" t="s">
        <v>67</v>
      </c>
      <c r="D3547" s="15">
        <v>5.0</v>
      </c>
      <c r="E3547" s="17" t="s">
        <v>491</v>
      </c>
      <c r="F3547" s="15" t="s">
        <v>492</v>
      </c>
      <c r="G3547" s="46" t="s">
        <v>521</v>
      </c>
      <c r="H3547" s="47" t="s">
        <v>522</v>
      </c>
      <c r="I3547" s="48" t="s">
        <v>37</v>
      </c>
      <c r="J3547" s="49">
        <v>1088574.0</v>
      </c>
    </row>
    <row r="3548">
      <c r="A3548" s="45" t="s">
        <v>74</v>
      </c>
      <c r="B3548" s="16" t="s">
        <v>66</v>
      </c>
      <c r="C3548" s="17" t="s">
        <v>67</v>
      </c>
      <c r="D3548" s="15">
        <v>5.0</v>
      </c>
      <c r="E3548" s="17" t="s">
        <v>491</v>
      </c>
      <c r="F3548" s="15" t="s">
        <v>492</v>
      </c>
      <c r="G3548" s="46" t="s">
        <v>546</v>
      </c>
      <c r="H3548" s="47" t="s">
        <v>547</v>
      </c>
      <c r="I3548" s="48" t="s">
        <v>17</v>
      </c>
      <c r="J3548" s="49">
        <v>5.499099E7</v>
      </c>
    </row>
    <row r="3549">
      <c r="A3549" s="45" t="s">
        <v>74</v>
      </c>
      <c r="B3549" s="16" t="s">
        <v>66</v>
      </c>
      <c r="C3549" s="17" t="s">
        <v>67</v>
      </c>
      <c r="D3549" s="15">
        <v>5.0</v>
      </c>
      <c r="E3549" s="17" t="s">
        <v>491</v>
      </c>
      <c r="F3549" s="15" t="s">
        <v>492</v>
      </c>
      <c r="G3549" s="46" t="s">
        <v>493</v>
      </c>
      <c r="H3549" s="47" t="s">
        <v>437</v>
      </c>
      <c r="I3549" s="48" t="s">
        <v>25</v>
      </c>
      <c r="J3549" s="49">
        <v>3321636.0</v>
      </c>
    </row>
    <row r="3550">
      <c r="A3550" s="45" t="s">
        <v>74</v>
      </c>
      <c r="B3550" s="16" t="s">
        <v>66</v>
      </c>
      <c r="C3550" s="17" t="s">
        <v>67</v>
      </c>
      <c r="D3550" s="15">
        <v>5.0</v>
      </c>
      <c r="E3550" s="17" t="s">
        <v>491</v>
      </c>
      <c r="F3550" s="15" t="s">
        <v>492</v>
      </c>
      <c r="G3550" s="46" t="s">
        <v>458</v>
      </c>
      <c r="H3550" s="47" t="s">
        <v>411</v>
      </c>
      <c r="I3550" s="48" t="s">
        <v>19</v>
      </c>
      <c r="J3550" s="49">
        <v>6933000.0</v>
      </c>
    </row>
    <row r="3551">
      <c r="A3551" s="45" t="s">
        <v>74</v>
      </c>
      <c r="B3551" s="16" t="s">
        <v>66</v>
      </c>
      <c r="C3551" s="17" t="s">
        <v>67</v>
      </c>
      <c r="D3551" s="15">
        <v>5.0</v>
      </c>
      <c r="E3551" s="17" t="s">
        <v>494</v>
      </c>
      <c r="F3551" s="15" t="s">
        <v>495</v>
      </c>
      <c r="G3551" s="46" t="s">
        <v>477</v>
      </c>
      <c r="H3551" s="47" t="s">
        <v>429</v>
      </c>
      <c r="I3551" s="48" t="s">
        <v>50</v>
      </c>
      <c r="J3551" s="49">
        <v>2.2884358E7</v>
      </c>
    </row>
    <row r="3552">
      <c r="A3552" s="45" t="s">
        <v>74</v>
      </c>
      <c r="B3552" s="16" t="s">
        <v>66</v>
      </c>
      <c r="C3552" s="17" t="s">
        <v>67</v>
      </c>
      <c r="D3552" s="15">
        <v>5.0</v>
      </c>
      <c r="E3552" s="17" t="s">
        <v>475</v>
      </c>
      <c r="F3552" s="15" t="s">
        <v>476</v>
      </c>
      <c r="G3552" s="46" t="s">
        <v>545</v>
      </c>
      <c r="H3552" s="47" t="s">
        <v>427</v>
      </c>
      <c r="I3552" s="48" t="s">
        <v>37</v>
      </c>
      <c r="J3552" s="49">
        <v>0.0</v>
      </c>
    </row>
    <row r="3553">
      <c r="A3553" s="45" t="s">
        <v>74</v>
      </c>
      <c r="B3553" s="16" t="s">
        <v>66</v>
      </c>
      <c r="C3553" s="17" t="s">
        <v>67</v>
      </c>
      <c r="D3553" s="15">
        <v>5.0</v>
      </c>
      <c r="E3553" s="17" t="s">
        <v>475</v>
      </c>
      <c r="F3553" s="15" t="s">
        <v>476</v>
      </c>
      <c r="G3553" s="46" t="s">
        <v>477</v>
      </c>
      <c r="H3553" s="47" t="s">
        <v>429</v>
      </c>
      <c r="I3553" s="48" t="s">
        <v>50</v>
      </c>
      <c r="J3553" s="49">
        <v>4.8821689E7</v>
      </c>
    </row>
    <row r="3554">
      <c r="A3554" s="45" t="s">
        <v>74</v>
      </c>
      <c r="B3554" s="16" t="s">
        <v>66</v>
      </c>
      <c r="C3554" s="17" t="s">
        <v>67</v>
      </c>
      <c r="D3554" s="15">
        <v>5.0</v>
      </c>
      <c r="E3554" s="17" t="s">
        <v>524</v>
      </c>
      <c r="F3554" s="15" t="s">
        <v>479</v>
      </c>
      <c r="G3554" s="46" t="s">
        <v>443</v>
      </c>
      <c r="H3554" s="47" t="s">
        <v>420</v>
      </c>
      <c r="I3554" s="48" t="s">
        <v>19</v>
      </c>
      <c r="J3554" s="49">
        <v>9.720815E7</v>
      </c>
    </row>
    <row r="3555">
      <c r="A3555" s="45" t="s">
        <v>74</v>
      </c>
      <c r="B3555" s="16" t="s">
        <v>66</v>
      </c>
      <c r="C3555" s="17" t="s">
        <v>67</v>
      </c>
      <c r="D3555" s="15">
        <v>5.0</v>
      </c>
      <c r="E3555" s="17" t="s">
        <v>524</v>
      </c>
      <c r="F3555" s="15" t="s">
        <v>479</v>
      </c>
      <c r="G3555" s="46" t="s">
        <v>444</v>
      </c>
      <c r="H3555" s="47" t="s">
        <v>445</v>
      </c>
      <c r="I3555" s="48" t="s">
        <v>19</v>
      </c>
      <c r="J3555" s="49">
        <v>1.27094E7</v>
      </c>
    </row>
    <row r="3556">
      <c r="A3556" s="45" t="s">
        <v>74</v>
      </c>
      <c r="B3556" s="16" t="s">
        <v>66</v>
      </c>
      <c r="C3556" s="17" t="s">
        <v>67</v>
      </c>
      <c r="D3556" s="15">
        <v>5.0</v>
      </c>
      <c r="E3556" s="17" t="s">
        <v>524</v>
      </c>
      <c r="F3556" s="15" t="s">
        <v>479</v>
      </c>
      <c r="G3556" s="46" t="s">
        <v>579</v>
      </c>
      <c r="H3556" s="47" t="s">
        <v>580</v>
      </c>
      <c r="I3556" s="48" t="s">
        <v>19</v>
      </c>
      <c r="J3556" s="49">
        <v>1.0238157E7</v>
      </c>
    </row>
    <row r="3557">
      <c r="A3557" s="45" t="s">
        <v>74</v>
      </c>
      <c r="B3557" s="16" t="s">
        <v>66</v>
      </c>
      <c r="C3557" s="17" t="s">
        <v>67</v>
      </c>
      <c r="D3557" s="15">
        <v>5.0</v>
      </c>
      <c r="E3557" s="17" t="s">
        <v>524</v>
      </c>
      <c r="F3557" s="15" t="s">
        <v>479</v>
      </c>
      <c r="G3557" s="46" t="s">
        <v>446</v>
      </c>
      <c r="H3557" s="47" t="s">
        <v>447</v>
      </c>
      <c r="I3557" s="48" t="s">
        <v>19</v>
      </c>
      <c r="J3557" s="49">
        <v>1182220.0</v>
      </c>
    </row>
    <row r="3558">
      <c r="A3558" s="45" t="s">
        <v>74</v>
      </c>
      <c r="B3558" s="16" t="s">
        <v>66</v>
      </c>
      <c r="C3558" s="17" t="s">
        <v>67</v>
      </c>
      <c r="D3558" s="15">
        <v>5.0</v>
      </c>
      <c r="E3558" s="17" t="s">
        <v>524</v>
      </c>
      <c r="F3558" s="15" t="s">
        <v>479</v>
      </c>
      <c r="G3558" s="46" t="s">
        <v>448</v>
      </c>
      <c r="H3558" s="47" t="s">
        <v>449</v>
      </c>
      <c r="I3558" s="48" t="s">
        <v>19</v>
      </c>
      <c r="J3558" s="49">
        <v>2101755.0</v>
      </c>
    </row>
    <row r="3559">
      <c r="A3559" s="45" t="s">
        <v>74</v>
      </c>
      <c r="B3559" s="16" t="s">
        <v>66</v>
      </c>
      <c r="C3559" s="17" t="s">
        <v>67</v>
      </c>
      <c r="D3559" s="15">
        <v>5.0</v>
      </c>
      <c r="E3559" s="17" t="s">
        <v>524</v>
      </c>
      <c r="F3559" s="15" t="s">
        <v>479</v>
      </c>
      <c r="G3559" s="46" t="s">
        <v>450</v>
      </c>
      <c r="H3559" s="47" t="s">
        <v>451</v>
      </c>
      <c r="I3559" s="48" t="s">
        <v>19</v>
      </c>
      <c r="J3559" s="49">
        <v>0.0</v>
      </c>
    </row>
    <row r="3560">
      <c r="A3560" s="45" t="s">
        <v>74</v>
      </c>
      <c r="B3560" s="16" t="s">
        <v>66</v>
      </c>
      <c r="C3560" s="17" t="s">
        <v>67</v>
      </c>
      <c r="D3560" s="15">
        <v>5.0</v>
      </c>
      <c r="E3560" s="17" t="s">
        <v>524</v>
      </c>
      <c r="F3560" s="15" t="s">
        <v>479</v>
      </c>
      <c r="G3560" s="46" t="s">
        <v>452</v>
      </c>
      <c r="H3560" s="47" t="s">
        <v>453</v>
      </c>
      <c r="I3560" s="48" t="s">
        <v>19</v>
      </c>
      <c r="J3560" s="49">
        <v>2187106.0</v>
      </c>
    </row>
    <row r="3561">
      <c r="A3561" s="45" t="s">
        <v>74</v>
      </c>
      <c r="B3561" s="16" t="s">
        <v>66</v>
      </c>
      <c r="C3561" s="17" t="s">
        <v>67</v>
      </c>
      <c r="D3561" s="15">
        <v>5.0</v>
      </c>
      <c r="E3561" s="17" t="s">
        <v>524</v>
      </c>
      <c r="F3561" s="15" t="s">
        <v>479</v>
      </c>
      <c r="G3561" s="46" t="s">
        <v>454</v>
      </c>
      <c r="H3561" s="47" t="s">
        <v>415</v>
      </c>
      <c r="I3561" s="48" t="s">
        <v>19</v>
      </c>
      <c r="J3561" s="49">
        <v>319199.0</v>
      </c>
    </row>
    <row r="3562">
      <c r="A3562" s="45" t="s">
        <v>74</v>
      </c>
      <c r="B3562" s="16" t="s">
        <v>66</v>
      </c>
      <c r="C3562" s="17" t="s">
        <v>67</v>
      </c>
      <c r="D3562" s="15">
        <v>5.0</v>
      </c>
      <c r="E3562" s="17" t="s">
        <v>524</v>
      </c>
      <c r="F3562" s="15" t="s">
        <v>479</v>
      </c>
      <c r="G3562" s="46" t="s">
        <v>455</v>
      </c>
      <c r="H3562" s="47" t="s">
        <v>415</v>
      </c>
      <c r="I3562" s="48" t="s">
        <v>19</v>
      </c>
      <c r="J3562" s="49">
        <v>177333.0</v>
      </c>
    </row>
    <row r="3563">
      <c r="A3563" s="45" t="s">
        <v>74</v>
      </c>
      <c r="B3563" s="16" t="s">
        <v>66</v>
      </c>
      <c r="C3563" s="17" t="s">
        <v>67</v>
      </c>
      <c r="D3563" s="15">
        <v>5.0</v>
      </c>
      <c r="E3563" s="17" t="s">
        <v>524</v>
      </c>
      <c r="F3563" s="15" t="s">
        <v>479</v>
      </c>
      <c r="G3563" s="46" t="s">
        <v>583</v>
      </c>
      <c r="H3563" s="47" t="s">
        <v>584</v>
      </c>
      <c r="I3563" s="48" t="s">
        <v>25</v>
      </c>
      <c r="J3563" s="49">
        <v>2.1E7</v>
      </c>
    </row>
    <row r="3564">
      <c r="A3564" s="45" t="s">
        <v>74</v>
      </c>
      <c r="B3564" s="16" t="s">
        <v>66</v>
      </c>
      <c r="C3564" s="17" t="s">
        <v>67</v>
      </c>
      <c r="D3564" s="15">
        <v>5.0</v>
      </c>
      <c r="E3564" s="17" t="s">
        <v>525</v>
      </c>
      <c r="F3564" s="15" t="s">
        <v>502</v>
      </c>
      <c r="G3564" s="46" t="s">
        <v>526</v>
      </c>
      <c r="H3564" s="47" t="s">
        <v>527</v>
      </c>
      <c r="I3564" s="48" t="s">
        <v>60</v>
      </c>
      <c r="J3564" s="49">
        <v>3.52609072E8</v>
      </c>
    </row>
    <row r="3565">
      <c r="A3565" s="45" t="s">
        <v>74</v>
      </c>
      <c r="B3565" s="16" t="s">
        <v>66</v>
      </c>
      <c r="C3565" s="17" t="s">
        <v>67</v>
      </c>
      <c r="D3565" s="15">
        <v>5.0</v>
      </c>
      <c r="E3565" s="17" t="s">
        <v>525</v>
      </c>
      <c r="F3565" s="15" t="s">
        <v>502</v>
      </c>
      <c r="G3565" s="46" t="s">
        <v>505</v>
      </c>
      <c r="H3565" s="47" t="s">
        <v>506</v>
      </c>
      <c r="I3565" s="48" t="s">
        <v>60</v>
      </c>
      <c r="J3565" s="49">
        <v>2.9982754E7</v>
      </c>
    </row>
    <row r="3566">
      <c r="A3566" s="45" t="s">
        <v>74</v>
      </c>
      <c r="B3566" s="16" t="s">
        <v>66</v>
      </c>
      <c r="C3566" s="17" t="s">
        <v>67</v>
      </c>
      <c r="D3566" s="15">
        <v>5.0</v>
      </c>
      <c r="E3566" s="17" t="s">
        <v>525</v>
      </c>
      <c r="F3566" s="15" t="s">
        <v>502</v>
      </c>
      <c r="G3566" s="46" t="s">
        <v>507</v>
      </c>
      <c r="H3566" s="47" t="s">
        <v>508</v>
      </c>
      <c r="I3566" s="48" t="s">
        <v>60</v>
      </c>
      <c r="J3566" s="49">
        <v>4727148.0</v>
      </c>
    </row>
    <row r="3567">
      <c r="A3567" s="45" t="s">
        <v>74</v>
      </c>
      <c r="B3567" s="16" t="s">
        <v>66</v>
      </c>
      <c r="C3567" s="17" t="s">
        <v>67</v>
      </c>
      <c r="D3567" s="15">
        <v>5.0</v>
      </c>
      <c r="E3567" s="17" t="s">
        <v>525</v>
      </c>
      <c r="F3567" s="15" t="s">
        <v>502</v>
      </c>
      <c r="G3567" s="46" t="s">
        <v>509</v>
      </c>
      <c r="H3567" s="47" t="s">
        <v>510</v>
      </c>
      <c r="I3567" s="48" t="s">
        <v>60</v>
      </c>
      <c r="J3567" s="49">
        <v>133334.0</v>
      </c>
    </row>
    <row r="3568">
      <c r="A3568" s="45" t="s">
        <v>74</v>
      </c>
      <c r="B3568" s="16" t="s">
        <v>66</v>
      </c>
      <c r="C3568" s="17" t="s">
        <v>67</v>
      </c>
      <c r="D3568" s="15">
        <v>5.0</v>
      </c>
      <c r="E3568" s="17" t="s">
        <v>525</v>
      </c>
      <c r="F3568" s="15" t="s">
        <v>502</v>
      </c>
      <c r="G3568" s="46" t="s">
        <v>511</v>
      </c>
      <c r="H3568" s="47" t="s">
        <v>512</v>
      </c>
      <c r="I3568" s="48" t="s">
        <v>60</v>
      </c>
      <c r="J3568" s="49">
        <v>6.8771718E7</v>
      </c>
    </row>
    <row r="3569">
      <c r="A3569" s="45" t="s">
        <v>74</v>
      </c>
      <c r="B3569" s="16" t="s">
        <v>66</v>
      </c>
      <c r="C3569" s="17" t="s">
        <v>67</v>
      </c>
      <c r="D3569" s="15">
        <v>5.0</v>
      </c>
      <c r="E3569" s="17" t="s">
        <v>525</v>
      </c>
      <c r="F3569" s="15" t="s">
        <v>502</v>
      </c>
      <c r="G3569" s="46" t="s">
        <v>513</v>
      </c>
      <c r="H3569" s="47" t="s">
        <v>514</v>
      </c>
      <c r="I3569" s="48" t="s">
        <v>60</v>
      </c>
      <c r="J3569" s="49">
        <v>6.0065108E7</v>
      </c>
    </row>
    <row r="3570">
      <c r="A3570" s="45" t="s">
        <v>74</v>
      </c>
      <c r="B3570" s="16" t="s">
        <v>66</v>
      </c>
      <c r="C3570" s="17" t="s">
        <v>67</v>
      </c>
      <c r="D3570" s="15">
        <v>5.0</v>
      </c>
      <c r="E3570" s="17" t="s">
        <v>548</v>
      </c>
      <c r="F3570" s="15" t="s">
        <v>549</v>
      </c>
      <c r="G3570" s="46" t="s">
        <v>550</v>
      </c>
      <c r="H3570" s="47" t="s">
        <v>551</v>
      </c>
      <c r="I3570" s="48" t="s">
        <v>25</v>
      </c>
      <c r="J3570" s="49">
        <v>1.12260417E8</v>
      </c>
    </row>
    <row r="3571">
      <c r="A3571" s="45"/>
      <c r="B3571" s="16"/>
      <c r="C3571" s="17"/>
      <c r="D3571" s="15"/>
      <c r="E3571" s="17"/>
      <c r="F3571" s="15"/>
      <c r="G3571" s="46"/>
      <c r="H3571" s="47"/>
      <c r="I3571" s="48"/>
      <c r="J3571" s="49"/>
    </row>
    <row r="3572">
      <c r="A3572" s="45"/>
      <c r="B3572" s="16"/>
      <c r="C3572" s="17"/>
      <c r="D3572" s="15"/>
      <c r="E3572" s="17"/>
      <c r="F3572" s="15"/>
      <c r="G3572" s="46"/>
      <c r="H3572" s="47"/>
      <c r="I3572" s="48"/>
      <c r="J3572" s="49"/>
    </row>
    <row r="3573">
      <c r="A3573" s="45"/>
      <c r="B3573" s="16"/>
      <c r="C3573" s="17"/>
      <c r="D3573" s="15"/>
      <c r="E3573" s="17"/>
      <c r="F3573" s="15"/>
      <c r="G3573" s="46"/>
      <c r="H3573" s="47"/>
      <c r="I3573" s="48"/>
      <c r="J3573" s="49"/>
    </row>
    <row r="3574">
      <c r="A3574" s="45"/>
      <c r="B3574" s="16"/>
      <c r="C3574" s="17"/>
      <c r="D3574" s="15"/>
      <c r="E3574" s="17"/>
      <c r="F3574" s="15"/>
      <c r="G3574" s="46"/>
      <c r="H3574" s="47"/>
      <c r="I3574" s="48"/>
      <c r="J3574" s="49"/>
    </row>
    <row r="3575">
      <c r="A3575" s="45"/>
      <c r="B3575" s="16"/>
      <c r="C3575" s="17"/>
      <c r="D3575" s="15"/>
      <c r="E3575" s="17"/>
      <c r="F3575" s="15"/>
      <c r="G3575" s="46"/>
      <c r="H3575" s="47"/>
      <c r="I3575" s="48"/>
      <c r="J3575" s="49"/>
    </row>
    <row r="3576">
      <c r="A3576" s="45"/>
      <c r="B3576" s="16"/>
      <c r="C3576" s="17"/>
      <c r="D3576" s="15"/>
      <c r="E3576" s="17"/>
      <c r="F3576" s="15"/>
      <c r="G3576" s="46"/>
      <c r="H3576" s="47"/>
      <c r="I3576" s="48"/>
      <c r="J3576" s="49"/>
    </row>
    <row r="3577">
      <c r="A3577" s="45"/>
      <c r="B3577" s="16"/>
      <c r="C3577" s="17"/>
      <c r="D3577" s="15"/>
      <c r="E3577" s="17"/>
      <c r="F3577" s="15"/>
      <c r="G3577" s="46"/>
      <c r="H3577" s="47"/>
      <c r="I3577" s="48"/>
      <c r="J3577" s="49"/>
    </row>
    <row r="3578">
      <c r="A3578" s="45"/>
      <c r="B3578" s="16"/>
      <c r="C3578" s="17"/>
      <c r="D3578" s="15"/>
      <c r="E3578" s="17"/>
      <c r="F3578" s="15"/>
      <c r="G3578" s="46"/>
      <c r="H3578" s="47"/>
      <c r="I3578" s="48"/>
      <c r="J3578" s="49"/>
    </row>
    <row r="3579">
      <c r="A3579" s="45"/>
      <c r="B3579" s="16"/>
      <c r="C3579" s="17"/>
      <c r="D3579" s="15"/>
      <c r="E3579" s="17"/>
      <c r="F3579" s="15"/>
      <c r="G3579" s="46"/>
      <c r="H3579" s="47"/>
      <c r="I3579" s="48"/>
      <c r="J3579" s="49"/>
    </row>
    <row r="3580">
      <c r="A3580" s="45"/>
      <c r="B3580" s="16"/>
      <c r="C3580" s="17"/>
      <c r="D3580" s="15"/>
      <c r="E3580" s="17"/>
      <c r="F3580" s="15"/>
      <c r="G3580" s="46"/>
      <c r="H3580" s="47"/>
      <c r="I3580" s="48"/>
      <c r="J3580" s="49"/>
    </row>
    <row r="3581">
      <c r="A3581" s="45"/>
      <c r="B3581" s="16"/>
      <c r="C3581" s="17"/>
      <c r="D3581" s="15"/>
      <c r="E3581" s="17"/>
      <c r="F3581" s="15"/>
      <c r="G3581" s="46"/>
      <c r="H3581" s="47"/>
      <c r="I3581" s="48"/>
      <c r="J3581" s="49"/>
    </row>
    <row r="3582">
      <c r="A3582" s="45"/>
      <c r="B3582" s="16"/>
      <c r="C3582" s="17"/>
      <c r="D3582" s="15"/>
      <c r="E3582" s="17"/>
      <c r="F3582" s="15"/>
      <c r="G3582" s="46"/>
      <c r="H3582" s="47"/>
      <c r="I3582" s="48"/>
      <c r="J3582" s="49"/>
    </row>
    <row r="3583">
      <c r="A3583" s="45"/>
      <c r="B3583" s="16"/>
      <c r="C3583" s="17"/>
      <c r="D3583" s="15"/>
      <c r="E3583" s="17"/>
      <c r="F3583" s="15"/>
      <c r="G3583" s="46"/>
      <c r="H3583" s="47"/>
      <c r="I3583" s="48"/>
      <c r="J3583" s="49"/>
    </row>
    <row r="3584">
      <c r="A3584" s="45"/>
      <c r="B3584" s="16"/>
      <c r="C3584" s="17"/>
      <c r="D3584" s="15"/>
      <c r="E3584" s="17"/>
      <c r="F3584" s="15"/>
      <c r="G3584" s="46"/>
      <c r="H3584" s="47"/>
      <c r="I3584" s="48"/>
      <c r="J3584" s="49"/>
    </row>
    <row r="3585">
      <c r="A3585" s="45"/>
      <c r="B3585" s="16"/>
      <c r="C3585" s="17"/>
      <c r="D3585" s="15"/>
      <c r="E3585" s="17"/>
      <c r="F3585" s="15"/>
      <c r="G3585" s="46"/>
      <c r="H3585" s="47"/>
      <c r="I3585" s="48"/>
      <c r="J3585" s="49"/>
    </row>
    <row r="3586">
      <c r="A3586" s="45"/>
      <c r="B3586" s="16"/>
      <c r="C3586" s="17"/>
      <c r="D3586" s="15"/>
      <c r="E3586" s="17"/>
      <c r="F3586" s="15"/>
      <c r="G3586" s="46"/>
      <c r="H3586" s="47"/>
      <c r="I3586" s="48"/>
      <c r="J3586" s="49"/>
    </row>
    <row r="3587">
      <c r="A3587" s="45"/>
      <c r="B3587" s="16"/>
      <c r="C3587" s="17"/>
      <c r="D3587" s="15"/>
      <c r="E3587" s="17"/>
      <c r="F3587" s="15"/>
      <c r="G3587" s="46"/>
      <c r="H3587" s="47"/>
      <c r="I3587" s="48"/>
      <c r="J3587" s="49"/>
    </row>
    <row r="3588">
      <c r="A3588" s="45"/>
      <c r="B3588" s="16"/>
      <c r="C3588" s="17"/>
      <c r="D3588" s="15"/>
      <c r="E3588" s="17"/>
      <c r="F3588" s="15"/>
      <c r="G3588" s="46"/>
      <c r="H3588" s="47"/>
      <c r="I3588" s="48"/>
      <c r="J3588" s="49"/>
    </row>
    <row r="3589">
      <c r="A3589" s="45"/>
      <c r="B3589" s="16"/>
      <c r="C3589" s="17"/>
      <c r="D3589" s="15"/>
      <c r="E3589" s="17"/>
      <c r="F3589" s="15"/>
      <c r="G3589" s="46"/>
      <c r="H3589" s="47"/>
      <c r="I3589" s="48"/>
      <c r="J3589" s="49"/>
    </row>
    <row r="3590">
      <c r="A3590" s="45"/>
      <c r="B3590" s="16"/>
      <c r="C3590" s="17"/>
      <c r="D3590" s="15"/>
      <c r="E3590" s="17"/>
      <c r="F3590" s="15"/>
      <c r="G3590" s="46"/>
      <c r="H3590" s="47"/>
      <c r="I3590" s="48"/>
      <c r="J3590" s="49"/>
    </row>
    <row r="3591">
      <c r="A3591" s="45"/>
      <c r="B3591" s="16"/>
      <c r="C3591" s="17"/>
      <c r="D3591" s="15"/>
      <c r="E3591" s="17"/>
      <c r="F3591" s="15"/>
      <c r="G3591" s="46"/>
      <c r="H3591" s="47"/>
      <c r="I3591" s="48"/>
      <c r="J3591" s="49"/>
    </row>
    <row r="3592">
      <c r="A3592" s="45"/>
      <c r="B3592" s="16"/>
      <c r="C3592" s="17"/>
      <c r="D3592" s="15"/>
      <c r="E3592" s="17"/>
      <c r="F3592" s="15"/>
      <c r="G3592" s="46"/>
      <c r="H3592" s="47"/>
      <c r="I3592" s="48"/>
      <c r="J3592" s="49"/>
    </row>
    <row r="3593">
      <c r="A3593" s="45"/>
      <c r="B3593" s="16"/>
      <c r="C3593" s="17"/>
      <c r="D3593" s="15"/>
      <c r="E3593" s="17"/>
      <c r="F3593" s="15"/>
      <c r="G3593" s="46"/>
      <c r="H3593" s="47"/>
      <c r="I3593" s="48"/>
      <c r="J3593" s="49"/>
    </row>
    <row r="3594">
      <c r="A3594" s="45"/>
      <c r="B3594" s="16"/>
      <c r="C3594" s="17"/>
      <c r="D3594" s="15"/>
      <c r="E3594" s="17"/>
      <c r="F3594" s="15"/>
      <c r="G3594" s="46"/>
      <c r="H3594" s="47"/>
      <c r="I3594" s="48"/>
      <c r="J3594" s="49"/>
    </row>
    <row r="3595">
      <c r="A3595" s="45"/>
      <c r="B3595" s="16"/>
      <c r="C3595" s="17"/>
      <c r="D3595" s="15"/>
      <c r="E3595" s="17"/>
      <c r="F3595" s="15"/>
      <c r="G3595" s="46"/>
      <c r="H3595" s="47"/>
      <c r="I3595" s="48"/>
      <c r="J3595" s="49"/>
    </row>
    <row r="3596">
      <c r="A3596" s="45"/>
      <c r="B3596" s="16"/>
      <c r="C3596" s="17"/>
      <c r="D3596" s="15"/>
      <c r="E3596" s="17"/>
      <c r="F3596" s="15"/>
      <c r="G3596" s="46"/>
      <c r="H3596" s="47"/>
      <c r="I3596" s="48"/>
      <c r="J3596" s="49"/>
    </row>
    <row r="3597">
      <c r="A3597" s="45"/>
      <c r="B3597" s="16"/>
      <c r="C3597" s="17"/>
      <c r="D3597" s="15"/>
      <c r="E3597" s="17"/>
      <c r="F3597" s="15"/>
      <c r="G3597" s="46"/>
      <c r="H3597" s="47"/>
      <c r="I3597" s="48"/>
      <c r="J3597" s="49"/>
    </row>
    <row r="3598">
      <c r="A3598" s="45"/>
      <c r="B3598" s="16"/>
      <c r="C3598" s="17"/>
      <c r="D3598" s="15"/>
      <c r="E3598" s="17"/>
      <c r="F3598" s="15"/>
      <c r="G3598" s="46"/>
      <c r="H3598" s="47"/>
      <c r="I3598" s="48"/>
      <c r="J3598" s="49"/>
    </row>
    <row r="3599">
      <c r="A3599" s="45"/>
      <c r="B3599" s="16"/>
      <c r="C3599" s="17"/>
      <c r="D3599" s="15"/>
      <c r="E3599" s="17"/>
      <c r="F3599" s="15"/>
      <c r="G3599" s="46"/>
      <c r="H3599" s="47"/>
      <c r="I3599" s="48"/>
      <c r="J3599" s="49"/>
    </row>
    <row r="3600">
      <c r="A3600" s="45"/>
      <c r="B3600" s="16"/>
      <c r="C3600" s="17"/>
      <c r="D3600" s="15"/>
      <c r="E3600" s="17"/>
      <c r="F3600" s="15"/>
      <c r="G3600" s="46"/>
      <c r="H3600" s="47"/>
      <c r="I3600" s="48"/>
      <c r="J3600" s="49"/>
    </row>
    <row r="3601">
      <c r="A3601" s="45"/>
      <c r="B3601" s="16"/>
      <c r="C3601" s="17"/>
      <c r="D3601" s="15"/>
      <c r="E3601" s="17"/>
      <c r="F3601" s="15"/>
      <c r="G3601" s="46"/>
      <c r="H3601" s="47"/>
      <c r="I3601" s="48"/>
      <c r="J3601" s="49"/>
    </row>
    <row r="3602">
      <c r="A3602" s="45"/>
      <c r="B3602" s="16"/>
      <c r="C3602" s="17"/>
      <c r="D3602" s="15"/>
      <c r="E3602" s="17"/>
      <c r="F3602" s="15"/>
      <c r="G3602" s="46"/>
      <c r="H3602" s="47"/>
      <c r="I3602" s="48"/>
      <c r="J3602" s="49"/>
    </row>
    <row r="3603">
      <c r="A3603" s="45"/>
      <c r="B3603" s="16"/>
      <c r="C3603" s="17"/>
      <c r="D3603" s="15"/>
      <c r="E3603" s="17"/>
      <c r="F3603" s="15"/>
      <c r="G3603" s="46"/>
      <c r="H3603" s="47"/>
      <c r="I3603" s="48"/>
      <c r="J3603" s="49"/>
    </row>
    <row r="3604">
      <c r="A3604" s="45"/>
      <c r="B3604" s="16"/>
      <c r="C3604" s="17"/>
      <c r="D3604" s="15"/>
      <c r="E3604" s="17"/>
      <c r="F3604" s="15"/>
      <c r="G3604" s="46"/>
      <c r="H3604" s="47"/>
      <c r="I3604" s="48"/>
      <c r="J3604" s="49"/>
    </row>
    <row r="3605">
      <c r="A3605" s="45"/>
      <c r="B3605" s="16"/>
      <c r="C3605" s="17"/>
      <c r="D3605" s="15"/>
      <c r="E3605" s="17"/>
      <c r="F3605" s="15"/>
      <c r="G3605" s="46"/>
      <c r="H3605" s="47"/>
      <c r="I3605" s="48"/>
      <c r="J3605" s="49"/>
    </row>
    <row r="3606">
      <c r="A3606" s="45"/>
      <c r="B3606" s="16"/>
      <c r="C3606" s="17"/>
      <c r="D3606" s="15"/>
      <c r="E3606" s="17"/>
      <c r="F3606" s="15"/>
      <c r="G3606" s="46"/>
      <c r="H3606" s="47"/>
      <c r="I3606" s="48"/>
      <c r="J3606" s="49"/>
    </row>
    <row r="3607">
      <c r="A3607" s="45"/>
      <c r="B3607" s="16"/>
      <c r="C3607" s="17"/>
      <c r="D3607" s="15"/>
      <c r="E3607" s="17"/>
      <c r="F3607" s="15"/>
      <c r="G3607" s="46"/>
      <c r="H3607" s="47"/>
      <c r="I3607" s="48"/>
      <c r="J3607" s="49"/>
    </row>
    <row r="3608">
      <c r="A3608" s="45"/>
      <c r="B3608" s="16"/>
      <c r="C3608" s="17"/>
      <c r="D3608" s="15"/>
      <c r="E3608" s="17"/>
      <c r="F3608" s="15"/>
      <c r="G3608" s="46"/>
      <c r="H3608" s="47"/>
      <c r="I3608" s="48"/>
      <c r="J3608" s="49"/>
    </row>
    <row r="3609">
      <c r="A3609" s="45"/>
      <c r="B3609" s="16"/>
      <c r="C3609" s="17"/>
      <c r="D3609" s="15"/>
      <c r="E3609" s="17"/>
      <c r="F3609" s="15"/>
      <c r="G3609" s="46"/>
      <c r="H3609" s="47"/>
      <c r="I3609" s="48"/>
      <c r="J3609" s="49"/>
    </row>
    <row r="3610">
      <c r="A3610" s="45"/>
      <c r="B3610" s="16"/>
      <c r="C3610" s="17"/>
      <c r="D3610" s="15"/>
      <c r="E3610" s="17"/>
      <c r="F3610" s="15"/>
      <c r="G3610" s="46"/>
      <c r="H3610" s="47"/>
      <c r="I3610" s="48"/>
      <c r="J3610" s="49"/>
    </row>
    <row r="3611">
      <c r="A3611" s="45"/>
      <c r="B3611" s="16"/>
      <c r="C3611" s="17"/>
      <c r="D3611" s="15"/>
      <c r="E3611" s="17"/>
      <c r="F3611" s="15"/>
      <c r="G3611" s="46"/>
      <c r="H3611" s="47"/>
      <c r="I3611" s="48"/>
      <c r="J3611" s="49"/>
    </row>
    <row r="3612">
      <c r="A3612" s="45"/>
      <c r="B3612" s="16"/>
      <c r="C3612" s="17"/>
      <c r="D3612" s="15"/>
      <c r="E3612" s="17"/>
      <c r="F3612" s="15"/>
      <c r="G3612" s="46"/>
      <c r="H3612" s="47"/>
      <c r="I3612" s="48"/>
      <c r="J3612" s="49"/>
    </row>
    <row r="3613">
      <c r="A3613" s="45"/>
      <c r="B3613" s="16"/>
      <c r="C3613" s="17"/>
      <c r="D3613" s="15"/>
      <c r="E3613" s="17"/>
      <c r="F3613" s="15"/>
      <c r="G3613" s="46"/>
      <c r="H3613" s="47"/>
      <c r="I3613" s="48"/>
      <c r="J3613" s="49"/>
    </row>
    <row r="3614">
      <c r="A3614" s="45"/>
      <c r="B3614" s="16"/>
      <c r="C3614" s="17"/>
      <c r="D3614" s="15"/>
      <c r="E3614" s="17"/>
      <c r="F3614" s="15"/>
      <c r="G3614" s="46"/>
      <c r="H3614" s="47"/>
      <c r="I3614" s="48"/>
      <c r="J3614" s="49"/>
    </row>
    <row r="3615">
      <c r="A3615" s="45"/>
      <c r="B3615" s="16"/>
      <c r="C3615" s="17"/>
      <c r="D3615" s="15"/>
      <c r="E3615" s="17"/>
      <c r="F3615" s="15"/>
      <c r="G3615" s="46"/>
      <c r="H3615" s="47"/>
      <c r="I3615" s="48"/>
      <c r="J3615" s="49"/>
    </row>
    <row r="3616">
      <c r="A3616" s="45"/>
      <c r="B3616" s="16"/>
      <c r="C3616" s="17"/>
      <c r="D3616" s="15"/>
      <c r="E3616" s="17"/>
      <c r="F3616" s="15"/>
      <c r="G3616" s="46"/>
      <c r="H3616" s="47"/>
      <c r="I3616" s="48"/>
      <c r="J3616" s="49"/>
    </row>
    <row r="3617">
      <c r="A3617" s="45"/>
      <c r="B3617" s="16"/>
      <c r="C3617" s="17"/>
      <c r="D3617" s="15"/>
      <c r="E3617" s="17"/>
      <c r="F3617" s="15"/>
      <c r="G3617" s="46"/>
      <c r="H3617" s="47"/>
      <c r="I3617" s="48"/>
      <c r="J3617" s="49"/>
    </row>
    <row r="3618">
      <c r="A3618" s="45"/>
      <c r="B3618" s="16"/>
      <c r="C3618" s="17"/>
      <c r="D3618" s="15"/>
      <c r="E3618" s="17"/>
      <c r="F3618" s="15"/>
      <c r="G3618" s="46"/>
      <c r="H3618" s="47"/>
      <c r="I3618" s="48"/>
      <c r="J3618" s="49"/>
    </row>
    <row r="3619">
      <c r="A3619" s="45"/>
      <c r="B3619" s="16"/>
      <c r="C3619" s="17"/>
      <c r="D3619" s="15"/>
      <c r="E3619" s="17"/>
      <c r="F3619" s="15"/>
      <c r="G3619" s="46"/>
      <c r="H3619" s="47"/>
      <c r="I3619" s="48"/>
      <c r="J3619" s="49"/>
    </row>
    <row r="3620">
      <c r="A3620" s="45"/>
      <c r="B3620" s="16"/>
      <c r="C3620" s="17"/>
      <c r="D3620" s="15"/>
      <c r="E3620" s="17"/>
      <c r="F3620" s="15"/>
      <c r="G3620" s="46"/>
      <c r="H3620" s="47"/>
      <c r="I3620" s="48"/>
      <c r="J3620" s="49"/>
    </row>
    <row r="3621">
      <c r="A3621" s="45"/>
      <c r="B3621" s="16"/>
      <c r="C3621" s="17"/>
      <c r="D3621" s="15"/>
      <c r="E3621" s="17"/>
      <c r="F3621" s="15"/>
      <c r="G3621" s="46"/>
      <c r="H3621" s="47"/>
      <c r="I3621" s="48"/>
      <c r="J3621" s="49"/>
    </row>
    <row r="3622">
      <c r="A3622" s="45"/>
      <c r="B3622" s="16"/>
      <c r="C3622" s="17"/>
      <c r="D3622" s="15"/>
      <c r="E3622" s="17"/>
      <c r="F3622" s="15"/>
      <c r="G3622" s="46"/>
      <c r="H3622" s="47"/>
      <c r="I3622" s="48"/>
      <c r="J3622" s="49"/>
    </row>
    <row r="3623">
      <c r="A3623" s="45"/>
      <c r="B3623" s="16"/>
      <c r="C3623" s="17"/>
      <c r="D3623" s="15"/>
      <c r="E3623" s="17"/>
      <c r="F3623" s="15"/>
      <c r="G3623" s="46"/>
      <c r="H3623" s="47"/>
      <c r="I3623" s="48"/>
      <c r="J3623" s="49"/>
    </row>
    <row r="3624">
      <c r="A3624" s="45"/>
      <c r="B3624" s="16"/>
      <c r="C3624" s="17"/>
      <c r="D3624" s="15"/>
      <c r="E3624" s="17"/>
      <c r="F3624" s="15"/>
      <c r="G3624" s="46"/>
      <c r="H3624" s="47"/>
      <c r="I3624" s="48"/>
      <c r="J3624" s="49"/>
    </row>
    <row r="3625">
      <c r="A3625" s="45"/>
      <c r="B3625" s="16"/>
      <c r="C3625" s="17"/>
      <c r="D3625" s="15"/>
      <c r="E3625" s="17"/>
      <c r="F3625" s="15"/>
      <c r="G3625" s="46"/>
      <c r="H3625" s="47"/>
      <c r="I3625" s="48"/>
      <c r="J3625" s="49"/>
    </row>
    <row r="3626">
      <c r="A3626" s="45"/>
      <c r="B3626" s="16"/>
      <c r="C3626" s="17"/>
      <c r="D3626" s="15"/>
      <c r="E3626" s="17"/>
      <c r="F3626" s="15"/>
      <c r="G3626" s="46"/>
      <c r="H3626" s="47"/>
      <c r="I3626" s="48"/>
      <c r="J3626" s="49"/>
    </row>
    <row r="3627">
      <c r="A3627" s="45"/>
      <c r="B3627" s="16"/>
      <c r="C3627" s="17"/>
      <c r="D3627" s="15"/>
      <c r="E3627" s="17"/>
      <c r="F3627" s="15"/>
      <c r="G3627" s="46"/>
      <c r="H3627" s="47"/>
      <c r="I3627" s="48"/>
      <c r="J3627" s="49"/>
    </row>
    <row r="3628">
      <c r="A3628" s="45"/>
      <c r="B3628" s="16"/>
      <c r="C3628" s="17"/>
      <c r="D3628" s="15"/>
      <c r="E3628" s="17"/>
      <c r="F3628" s="15"/>
      <c r="G3628" s="46"/>
      <c r="H3628" s="47"/>
      <c r="I3628" s="48"/>
      <c r="J3628" s="49"/>
    </row>
    <row r="3629">
      <c r="A3629" s="45"/>
      <c r="B3629" s="16"/>
      <c r="C3629" s="17"/>
      <c r="D3629" s="15"/>
      <c r="E3629" s="17"/>
      <c r="F3629" s="15"/>
      <c r="G3629" s="46"/>
      <c r="H3629" s="47"/>
      <c r="I3629" s="48"/>
      <c r="J3629" s="49"/>
    </row>
    <row r="3630">
      <c r="A3630" s="45"/>
      <c r="B3630" s="16"/>
      <c r="C3630" s="17"/>
      <c r="D3630" s="15"/>
      <c r="E3630" s="17"/>
      <c r="F3630" s="15"/>
      <c r="G3630" s="46"/>
      <c r="H3630" s="47"/>
      <c r="I3630" s="48"/>
      <c r="J3630" s="49"/>
    </row>
    <row r="3631">
      <c r="A3631" s="45"/>
      <c r="B3631" s="16"/>
      <c r="C3631" s="17"/>
      <c r="D3631" s="15"/>
      <c r="E3631" s="17"/>
      <c r="F3631" s="15"/>
      <c r="G3631" s="46"/>
      <c r="H3631" s="47"/>
      <c r="I3631" s="48"/>
      <c r="J3631" s="49"/>
    </row>
    <row r="3632">
      <c r="A3632" s="45"/>
      <c r="B3632" s="16"/>
      <c r="C3632" s="17"/>
      <c r="D3632" s="15"/>
      <c r="E3632" s="17"/>
      <c r="F3632" s="15"/>
      <c r="G3632" s="46"/>
      <c r="H3632" s="47"/>
      <c r="I3632" s="48"/>
      <c r="J3632" s="49"/>
    </row>
    <row r="3633">
      <c r="A3633" s="45"/>
      <c r="B3633" s="16"/>
      <c r="C3633" s="17"/>
      <c r="D3633" s="15"/>
      <c r="E3633" s="17"/>
      <c r="F3633" s="15"/>
      <c r="G3633" s="46"/>
      <c r="H3633" s="47"/>
      <c r="I3633" s="48"/>
      <c r="J3633" s="49"/>
    </row>
    <row r="3634">
      <c r="A3634" s="45"/>
      <c r="B3634" s="16"/>
      <c r="C3634" s="17"/>
      <c r="D3634" s="15"/>
      <c r="E3634" s="17"/>
      <c r="F3634" s="15"/>
      <c r="G3634" s="46"/>
      <c r="H3634" s="47"/>
      <c r="I3634" s="48"/>
      <c r="J3634" s="49"/>
    </row>
    <row r="3635">
      <c r="A3635" s="45"/>
      <c r="B3635" s="16"/>
      <c r="C3635" s="17"/>
      <c r="D3635" s="15"/>
      <c r="E3635" s="17"/>
      <c r="F3635" s="15"/>
      <c r="G3635" s="46"/>
      <c r="H3635" s="47"/>
      <c r="I3635" s="48"/>
      <c r="J3635" s="49"/>
    </row>
    <row r="3636">
      <c r="A3636" s="45"/>
      <c r="B3636" s="16"/>
      <c r="C3636" s="17"/>
      <c r="D3636" s="15"/>
      <c r="E3636" s="17"/>
      <c r="F3636" s="15"/>
      <c r="G3636" s="46"/>
      <c r="H3636" s="47"/>
      <c r="I3636" s="48"/>
      <c r="J3636" s="49"/>
    </row>
    <row r="3637">
      <c r="A3637" s="45"/>
      <c r="B3637" s="16"/>
      <c r="C3637" s="17"/>
      <c r="D3637" s="15"/>
      <c r="E3637" s="17"/>
      <c r="F3637" s="15"/>
      <c r="G3637" s="46"/>
      <c r="H3637" s="47"/>
      <c r="I3637" s="48"/>
      <c r="J3637" s="49"/>
    </row>
    <row r="3638">
      <c r="A3638" s="45"/>
      <c r="B3638" s="16"/>
      <c r="C3638" s="17"/>
      <c r="D3638" s="15"/>
      <c r="E3638" s="17"/>
      <c r="F3638" s="15"/>
      <c r="G3638" s="46"/>
      <c r="H3638" s="47"/>
      <c r="I3638" s="48"/>
      <c r="J3638" s="49"/>
    </row>
    <row r="3639">
      <c r="A3639" s="45"/>
      <c r="B3639" s="16"/>
      <c r="C3639" s="17"/>
      <c r="D3639" s="15"/>
      <c r="E3639" s="17"/>
      <c r="F3639" s="15"/>
      <c r="G3639" s="46"/>
      <c r="H3639" s="47"/>
      <c r="I3639" s="48"/>
      <c r="J3639" s="49"/>
    </row>
    <row r="3640">
      <c r="A3640" s="45"/>
      <c r="B3640" s="16"/>
      <c r="C3640" s="17"/>
      <c r="D3640" s="15"/>
      <c r="E3640" s="17"/>
      <c r="F3640" s="15"/>
      <c r="G3640" s="46"/>
      <c r="H3640" s="47"/>
      <c r="I3640" s="48"/>
      <c r="J3640" s="49"/>
    </row>
    <row r="3641">
      <c r="A3641" s="45"/>
      <c r="B3641" s="16"/>
      <c r="C3641" s="17"/>
      <c r="D3641" s="15"/>
      <c r="E3641" s="17"/>
      <c r="F3641" s="15"/>
      <c r="G3641" s="46"/>
      <c r="H3641" s="47"/>
      <c r="I3641" s="48"/>
      <c r="J3641" s="49"/>
    </row>
    <row r="3642">
      <c r="A3642" s="45"/>
      <c r="B3642" s="16"/>
      <c r="C3642" s="17"/>
      <c r="D3642" s="15"/>
      <c r="E3642" s="17"/>
      <c r="F3642" s="15"/>
      <c r="G3642" s="46"/>
      <c r="H3642" s="47"/>
      <c r="I3642" s="48"/>
      <c r="J3642" s="49"/>
    </row>
    <row r="3643">
      <c r="A3643" s="45"/>
      <c r="B3643" s="16"/>
      <c r="C3643" s="17"/>
      <c r="D3643" s="15"/>
      <c r="E3643" s="17"/>
      <c r="F3643" s="15"/>
      <c r="G3643" s="46"/>
      <c r="H3643" s="47"/>
      <c r="I3643" s="48"/>
      <c r="J3643" s="49"/>
    </row>
    <row r="3644">
      <c r="A3644" s="45"/>
      <c r="B3644" s="16"/>
      <c r="C3644" s="17"/>
      <c r="D3644" s="15"/>
      <c r="E3644" s="17"/>
      <c r="F3644" s="15"/>
      <c r="G3644" s="46"/>
      <c r="H3644" s="47"/>
      <c r="I3644" s="48"/>
      <c r="J3644" s="49"/>
    </row>
    <row r="3645">
      <c r="A3645" s="45"/>
      <c r="B3645" s="16"/>
      <c r="C3645" s="17"/>
      <c r="D3645" s="15"/>
      <c r="E3645" s="17"/>
      <c r="F3645" s="15"/>
      <c r="G3645" s="46"/>
      <c r="H3645" s="47"/>
      <c r="I3645" s="48"/>
      <c r="J3645" s="49"/>
    </row>
    <row r="3646">
      <c r="A3646" s="45"/>
      <c r="B3646" s="16"/>
      <c r="C3646" s="17"/>
      <c r="D3646" s="15"/>
      <c r="E3646" s="17"/>
      <c r="F3646" s="15"/>
      <c r="G3646" s="46"/>
      <c r="H3646" s="47"/>
      <c r="I3646" s="48"/>
      <c r="J3646" s="49"/>
    </row>
    <row r="3647">
      <c r="A3647" s="45"/>
      <c r="B3647" s="16"/>
      <c r="C3647" s="17"/>
      <c r="D3647" s="15"/>
      <c r="E3647" s="17"/>
      <c r="F3647" s="15"/>
      <c r="G3647" s="46"/>
      <c r="H3647" s="47"/>
      <c r="I3647" s="48"/>
      <c r="J3647" s="49"/>
    </row>
    <row r="3648">
      <c r="A3648" s="45"/>
      <c r="B3648" s="16"/>
      <c r="C3648" s="17"/>
      <c r="D3648" s="15"/>
      <c r="E3648" s="17"/>
      <c r="F3648" s="15"/>
      <c r="G3648" s="46"/>
      <c r="H3648" s="47"/>
      <c r="I3648" s="48"/>
      <c r="J3648" s="49"/>
    </row>
    <row r="3649">
      <c r="A3649" s="45"/>
      <c r="B3649" s="16"/>
      <c r="C3649" s="17"/>
      <c r="D3649" s="15"/>
      <c r="E3649" s="17"/>
      <c r="F3649" s="15"/>
      <c r="G3649" s="46"/>
      <c r="H3649" s="47"/>
      <c r="I3649" s="48"/>
      <c r="J3649" s="49"/>
    </row>
    <row r="3650">
      <c r="A3650" s="45"/>
      <c r="B3650" s="16"/>
      <c r="C3650" s="17"/>
      <c r="D3650" s="15"/>
      <c r="E3650" s="17"/>
      <c r="F3650" s="15"/>
      <c r="G3650" s="46"/>
      <c r="H3650" s="47"/>
      <c r="I3650" s="48"/>
      <c r="J3650" s="49"/>
    </row>
    <row r="3651">
      <c r="A3651" s="45"/>
      <c r="B3651" s="16"/>
      <c r="C3651" s="17"/>
      <c r="D3651" s="15"/>
      <c r="E3651" s="17"/>
      <c r="F3651" s="15"/>
      <c r="G3651" s="46"/>
      <c r="H3651" s="47"/>
      <c r="I3651" s="48"/>
      <c r="J3651" s="49"/>
    </row>
    <row r="3652">
      <c r="A3652" s="45"/>
      <c r="B3652" s="16"/>
      <c r="C3652" s="17"/>
      <c r="D3652" s="15"/>
      <c r="E3652" s="17"/>
      <c r="F3652" s="15"/>
      <c r="G3652" s="46"/>
      <c r="H3652" s="47"/>
      <c r="I3652" s="48"/>
      <c r="J3652" s="49"/>
    </row>
    <row r="3653">
      <c r="A3653" s="45"/>
      <c r="B3653" s="16"/>
      <c r="C3653" s="17"/>
      <c r="D3653" s="15"/>
      <c r="E3653" s="17"/>
      <c r="F3653" s="15"/>
      <c r="G3653" s="46"/>
      <c r="H3653" s="47"/>
      <c r="I3653" s="48"/>
      <c r="J3653" s="49"/>
    </row>
    <row r="3654">
      <c r="A3654" s="45"/>
      <c r="B3654" s="16"/>
      <c r="C3654" s="17"/>
      <c r="D3654" s="15"/>
      <c r="E3654" s="17"/>
      <c r="F3654" s="15"/>
      <c r="G3654" s="46"/>
      <c r="H3654" s="47"/>
      <c r="I3654" s="48"/>
      <c r="J3654" s="49"/>
    </row>
    <row r="3655">
      <c r="A3655" s="45"/>
      <c r="B3655" s="16"/>
      <c r="C3655" s="17"/>
      <c r="D3655" s="15"/>
      <c r="E3655" s="17"/>
      <c r="F3655" s="15"/>
      <c r="G3655" s="46"/>
      <c r="H3655" s="47"/>
      <c r="I3655" s="48"/>
      <c r="J3655" s="49"/>
    </row>
    <row r="3656">
      <c r="A3656" s="45"/>
      <c r="B3656" s="16"/>
      <c r="C3656" s="17"/>
      <c r="D3656" s="15"/>
      <c r="E3656" s="17"/>
      <c r="F3656" s="15"/>
      <c r="G3656" s="46"/>
      <c r="H3656" s="47"/>
      <c r="I3656" s="48"/>
      <c r="J3656" s="49"/>
    </row>
    <row r="3657">
      <c r="A3657" s="45"/>
      <c r="B3657" s="16"/>
      <c r="C3657" s="17"/>
      <c r="D3657" s="15"/>
      <c r="E3657" s="17"/>
      <c r="F3657" s="15"/>
      <c r="G3657" s="46"/>
      <c r="H3657" s="47"/>
      <c r="I3657" s="48"/>
      <c r="J3657" s="49"/>
    </row>
    <row r="3658">
      <c r="A3658" s="45"/>
      <c r="B3658" s="16"/>
      <c r="C3658" s="17"/>
      <c r="D3658" s="15"/>
      <c r="E3658" s="17"/>
      <c r="F3658" s="15"/>
      <c r="G3658" s="46"/>
      <c r="H3658" s="47"/>
      <c r="I3658" s="48"/>
      <c r="J3658" s="49"/>
    </row>
    <row r="3659">
      <c r="A3659" s="45"/>
      <c r="B3659" s="16"/>
      <c r="C3659" s="17"/>
      <c r="D3659" s="15"/>
      <c r="E3659" s="17"/>
      <c r="F3659" s="15"/>
      <c r="G3659" s="46"/>
      <c r="H3659" s="47"/>
      <c r="I3659" s="48"/>
      <c r="J3659" s="49"/>
    </row>
    <row r="3660">
      <c r="A3660" s="45"/>
      <c r="B3660" s="16"/>
      <c r="C3660" s="17"/>
      <c r="D3660" s="15"/>
      <c r="E3660" s="17"/>
      <c r="F3660" s="15"/>
      <c r="G3660" s="46"/>
      <c r="H3660" s="47"/>
      <c r="I3660" s="48"/>
      <c r="J3660" s="49"/>
    </row>
    <row r="3661">
      <c r="A3661" s="45"/>
      <c r="B3661" s="16"/>
      <c r="C3661" s="17"/>
      <c r="D3661" s="15"/>
      <c r="E3661" s="17"/>
      <c r="F3661" s="15"/>
      <c r="G3661" s="46"/>
      <c r="H3661" s="47"/>
      <c r="I3661" s="48"/>
      <c r="J3661" s="49"/>
    </row>
    <row r="3662">
      <c r="A3662" s="45"/>
      <c r="B3662" s="16"/>
      <c r="C3662" s="17"/>
      <c r="D3662" s="15"/>
      <c r="E3662" s="17"/>
      <c r="F3662" s="15"/>
      <c r="G3662" s="46"/>
      <c r="H3662" s="47"/>
      <c r="I3662" s="48"/>
      <c r="J3662" s="49"/>
    </row>
    <row r="3663">
      <c r="A3663" s="45"/>
      <c r="B3663" s="16"/>
      <c r="C3663" s="17"/>
      <c r="D3663" s="15"/>
      <c r="E3663" s="17"/>
      <c r="F3663" s="15"/>
      <c r="G3663" s="46"/>
      <c r="H3663" s="47"/>
      <c r="I3663" s="48"/>
      <c r="J3663" s="49"/>
    </row>
    <row r="3664">
      <c r="A3664" s="45"/>
      <c r="B3664" s="16"/>
      <c r="C3664" s="17"/>
      <c r="D3664" s="15"/>
      <c r="E3664" s="17"/>
      <c r="F3664" s="15"/>
      <c r="G3664" s="46"/>
      <c r="H3664" s="47"/>
      <c r="I3664" s="48"/>
      <c r="J3664" s="49"/>
    </row>
    <row r="3665">
      <c r="A3665" s="45"/>
      <c r="B3665" s="16"/>
      <c r="C3665" s="17"/>
      <c r="D3665" s="15"/>
      <c r="E3665" s="17"/>
      <c r="F3665" s="15"/>
      <c r="G3665" s="46"/>
      <c r="H3665" s="47"/>
      <c r="I3665" s="48"/>
      <c r="J3665" s="49"/>
    </row>
    <row r="3666">
      <c r="A3666" s="45"/>
      <c r="B3666" s="16"/>
      <c r="C3666" s="17"/>
      <c r="D3666" s="15"/>
      <c r="E3666" s="17"/>
      <c r="F3666" s="15"/>
      <c r="G3666" s="46"/>
      <c r="H3666" s="47"/>
      <c r="I3666" s="48"/>
      <c r="J3666" s="49"/>
    </row>
    <row r="3667">
      <c r="A3667" s="45"/>
      <c r="B3667" s="16"/>
      <c r="C3667" s="17"/>
      <c r="D3667" s="15"/>
      <c r="E3667" s="17"/>
      <c r="F3667" s="15"/>
      <c r="G3667" s="46"/>
      <c r="H3667" s="47"/>
      <c r="I3667" s="48"/>
      <c r="J3667" s="49"/>
    </row>
    <row r="3668">
      <c r="A3668" s="45"/>
      <c r="B3668" s="16"/>
      <c r="C3668" s="17"/>
      <c r="D3668" s="15"/>
      <c r="E3668" s="17"/>
      <c r="F3668" s="15"/>
      <c r="G3668" s="46"/>
      <c r="H3668" s="47"/>
      <c r="I3668" s="48"/>
      <c r="J3668" s="49"/>
    </row>
    <row r="3669">
      <c r="A3669" s="45"/>
      <c r="B3669" s="16"/>
      <c r="C3669" s="17"/>
      <c r="D3669" s="15"/>
      <c r="E3669" s="17"/>
      <c r="F3669" s="15"/>
      <c r="G3669" s="46"/>
      <c r="H3669" s="47"/>
      <c r="I3669" s="48"/>
      <c r="J3669" s="49"/>
    </row>
    <row r="3670">
      <c r="A3670" s="45"/>
      <c r="B3670" s="16"/>
      <c r="C3670" s="17"/>
      <c r="D3670" s="15"/>
      <c r="E3670" s="17"/>
      <c r="F3670" s="15"/>
      <c r="G3670" s="46"/>
      <c r="H3670" s="47"/>
      <c r="I3670" s="48"/>
      <c r="J3670" s="49"/>
    </row>
    <row r="3671">
      <c r="A3671" s="45"/>
      <c r="B3671" s="16"/>
      <c r="C3671" s="17"/>
      <c r="D3671" s="15"/>
      <c r="E3671" s="17"/>
      <c r="F3671" s="15"/>
      <c r="G3671" s="46"/>
      <c r="H3671" s="47"/>
      <c r="I3671" s="48"/>
      <c r="J3671" s="49"/>
    </row>
    <row r="3672">
      <c r="A3672" s="45"/>
      <c r="B3672" s="16"/>
      <c r="C3672" s="17"/>
      <c r="D3672" s="15"/>
      <c r="E3672" s="17"/>
      <c r="F3672" s="15"/>
      <c r="G3672" s="46"/>
      <c r="H3672" s="47"/>
      <c r="I3672" s="48"/>
      <c r="J3672" s="49"/>
    </row>
    <row r="3673">
      <c r="A3673" s="45"/>
      <c r="B3673" s="16"/>
      <c r="C3673" s="17"/>
      <c r="D3673" s="15"/>
      <c r="E3673" s="17"/>
      <c r="F3673" s="15"/>
      <c r="G3673" s="46"/>
      <c r="H3673" s="47"/>
      <c r="I3673" s="48"/>
      <c r="J3673" s="49"/>
    </row>
    <row r="3674">
      <c r="A3674" s="45"/>
      <c r="B3674" s="16"/>
      <c r="C3674" s="17"/>
      <c r="D3674" s="15"/>
      <c r="E3674" s="17"/>
      <c r="F3674" s="15"/>
      <c r="G3674" s="46"/>
      <c r="H3674" s="47"/>
      <c r="I3674" s="48"/>
      <c r="J3674" s="49"/>
    </row>
    <row r="3675">
      <c r="A3675" s="45"/>
      <c r="B3675" s="16"/>
      <c r="C3675" s="17"/>
      <c r="D3675" s="15"/>
      <c r="E3675" s="17"/>
      <c r="F3675" s="15"/>
      <c r="G3675" s="46"/>
      <c r="H3675" s="47"/>
      <c r="I3675" s="48"/>
      <c r="J3675" s="49"/>
    </row>
    <row r="3676">
      <c r="A3676" s="45"/>
      <c r="B3676" s="16"/>
      <c r="C3676" s="17"/>
      <c r="D3676" s="15"/>
      <c r="E3676" s="17"/>
      <c r="F3676" s="15"/>
      <c r="G3676" s="46"/>
      <c r="H3676" s="47"/>
      <c r="I3676" s="48"/>
      <c r="J3676" s="49"/>
    </row>
    <row r="3677">
      <c r="A3677" s="45"/>
      <c r="B3677" s="16"/>
      <c r="C3677" s="17"/>
      <c r="D3677" s="15"/>
      <c r="E3677" s="17"/>
      <c r="F3677" s="15"/>
      <c r="G3677" s="46"/>
      <c r="H3677" s="47"/>
      <c r="I3677" s="48"/>
      <c r="J3677" s="49"/>
    </row>
    <row r="3678">
      <c r="A3678" s="45"/>
      <c r="B3678" s="16"/>
      <c r="C3678" s="17"/>
      <c r="D3678" s="15"/>
      <c r="E3678" s="17"/>
      <c r="F3678" s="15"/>
      <c r="G3678" s="46"/>
      <c r="H3678" s="47"/>
      <c r="I3678" s="48"/>
      <c r="J3678" s="49"/>
    </row>
    <row r="3679">
      <c r="A3679" s="45"/>
      <c r="B3679" s="16"/>
      <c r="C3679" s="17"/>
      <c r="D3679" s="15"/>
      <c r="E3679" s="17"/>
      <c r="F3679" s="15"/>
      <c r="G3679" s="46"/>
      <c r="H3679" s="47"/>
      <c r="I3679" s="48"/>
      <c r="J3679" s="49"/>
    </row>
    <row r="3680">
      <c r="A3680" s="45"/>
      <c r="B3680" s="16"/>
      <c r="C3680" s="17"/>
      <c r="D3680" s="15"/>
      <c r="E3680" s="17"/>
      <c r="F3680" s="15"/>
      <c r="G3680" s="46"/>
      <c r="H3680" s="47"/>
      <c r="I3680" s="48"/>
      <c r="J3680" s="49"/>
    </row>
    <row r="3681">
      <c r="A3681" s="45"/>
      <c r="B3681" s="16"/>
      <c r="C3681" s="17"/>
      <c r="D3681" s="15"/>
      <c r="E3681" s="17"/>
      <c r="F3681" s="15"/>
      <c r="G3681" s="46"/>
      <c r="H3681" s="47"/>
      <c r="I3681" s="48"/>
      <c r="J3681" s="49"/>
    </row>
    <row r="3682">
      <c r="A3682" s="45"/>
      <c r="B3682" s="16"/>
      <c r="C3682" s="17"/>
      <c r="D3682" s="15"/>
      <c r="E3682" s="17"/>
      <c r="F3682" s="15"/>
      <c r="G3682" s="46"/>
      <c r="H3682" s="47"/>
      <c r="I3682" s="48"/>
      <c r="J3682" s="49"/>
    </row>
    <row r="3683">
      <c r="A3683" s="45"/>
      <c r="B3683" s="16"/>
      <c r="C3683" s="17"/>
      <c r="D3683" s="15"/>
      <c r="E3683" s="17"/>
      <c r="F3683" s="15"/>
      <c r="G3683" s="46"/>
      <c r="H3683" s="47"/>
      <c r="I3683" s="48"/>
      <c r="J3683" s="49"/>
    </row>
    <row r="3684">
      <c r="A3684" s="45"/>
      <c r="B3684" s="16"/>
      <c r="C3684" s="17"/>
      <c r="D3684" s="15"/>
      <c r="E3684" s="17"/>
      <c r="F3684" s="15"/>
      <c r="G3684" s="46"/>
      <c r="H3684" s="47"/>
      <c r="I3684" s="48"/>
      <c r="J3684" s="49"/>
    </row>
    <row r="3685">
      <c r="A3685" s="45"/>
      <c r="B3685" s="16"/>
      <c r="C3685" s="17"/>
      <c r="D3685" s="15"/>
      <c r="E3685" s="17"/>
      <c r="F3685" s="15"/>
      <c r="G3685" s="46"/>
      <c r="H3685" s="47"/>
      <c r="I3685" s="48"/>
      <c r="J3685" s="49"/>
    </row>
    <row r="3686">
      <c r="A3686" s="45"/>
      <c r="B3686" s="16"/>
      <c r="C3686" s="17"/>
      <c r="D3686" s="15"/>
      <c r="E3686" s="17"/>
      <c r="F3686" s="15"/>
      <c r="G3686" s="46"/>
      <c r="H3686" s="47"/>
      <c r="I3686" s="48"/>
      <c r="J3686" s="49"/>
    </row>
    <row r="3687">
      <c r="A3687" s="45"/>
      <c r="B3687" s="16"/>
      <c r="C3687" s="17"/>
      <c r="D3687" s="15"/>
      <c r="E3687" s="17"/>
      <c r="F3687" s="15"/>
      <c r="G3687" s="46"/>
      <c r="H3687" s="47"/>
      <c r="I3687" s="48"/>
      <c r="J3687" s="49"/>
    </row>
    <row r="3688">
      <c r="A3688" s="45"/>
      <c r="B3688" s="16"/>
      <c r="C3688" s="17"/>
      <c r="D3688" s="15"/>
      <c r="E3688" s="17"/>
      <c r="F3688" s="15"/>
      <c r="G3688" s="46"/>
      <c r="H3688" s="47"/>
      <c r="I3688" s="48"/>
      <c r="J3688" s="49"/>
    </row>
    <row r="3689">
      <c r="A3689" s="45"/>
      <c r="B3689" s="16"/>
      <c r="C3689" s="17"/>
      <c r="D3689" s="15"/>
      <c r="E3689" s="17"/>
      <c r="F3689" s="15"/>
      <c r="G3689" s="46"/>
      <c r="H3689" s="47"/>
      <c r="I3689" s="48"/>
      <c r="J3689" s="49"/>
    </row>
    <row r="3690">
      <c r="A3690" s="45"/>
      <c r="B3690" s="16"/>
      <c r="C3690" s="17"/>
      <c r="D3690" s="15"/>
      <c r="E3690" s="17"/>
      <c r="F3690" s="15"/>
      <c r="G3690" s="46"/>
      <c r="H3690" s="47"/>
      <c r="I3690" s="48"/>
      <c r="J3690" s="49"/>
    </row>
    <row r="3691">
      <c r="A3691" s="45"/>
      <c r="B3691" s="16"/>
      <c r="C3691" s="17"/>
      <c r="D3691" s="15"/>
      <c r="E3691" s="17"/>
      <c r="F3691" s="15"/>
      <c r="G3691" s="46"/>
      <c r="H3691" s="47"/>
      <c r="I3691" s="48"/>
      <c r="J3691" s="49"/>
    </row>
    <row r="3692">
      <c r="A3692" s="45"/>
      <c r="B3692" s="16"/>
      <c r="C3692" s="17"/>
      <c r="D3692" s="15"/>
      <c r="E3692" s="17"/>
      <c r="F3692" s="15"/>
      <c r="G3692" s="46"/>
      <c r="H3692" s="47"/>
      <c r="I3692" s="48"/>
      <c r="J3692" s="49"/>
    </row>
    <row r="3693">
      <c r="A3693" s="45"/>
      <c r="B3693" s="16"/>
      <c r="C3693" s="17"/>
      <c r="D3693" s="15"/>
      <c r="E3693" s="17"/>
      <c r="F3693" s="15"/>
      <c r="G3693" s="46"/>
      <c r="H3693" s="47"/>
      <c r="I3693" s="48"/>
      <c r="J3693" s="49"/>
    </row>
    <row r="3694">
      <c r="A3694" s="45"/>
      <c r="B3694" s="16"/>
      <c r="C3694" s="17"/>
      <c r="D3694" s="15"/>
      <c r="E3694" s="17"/>
      <c r="F3694" s="15"/>
      <c r="G3694" s="46"/>
      <c r="H3694" s="47"/>
      <c r="I3694" s="48"/>
      <c r="J3694" s="49"/>
    </row>
    <row r="3695">
      <c r="A3695" s="45"/>
      <c r="B3695" s="16"/>
      <c r="C3695" s="17"/>
      <c r="D3695" s="15"/>
      <c r="E3695" s="17"/>
      <c r="F3695" s="15"/>
      <c r="G3695" s="46"/>
      <c r="H3695" s="47"/>
      <c r="I3695" s="48"/>
      <c r="J3695" s="49"/>
    </row>
    <row r="3696">
      <c r="A3696" s="45"/>
      <c r="B3696" s="16"/>
      <c r="C3696" s="17"/>
      <c r="D3696" s="15"/>
      <c r="E3696" s="17"/>
      <c r="F3696" s="15"/>
      <c r="G3696" s="46"/>
      <c r="H3696" s="47"/>
      <c r="I3696" s="48"/>
      <c r="J3696" s="49"/>
    </row>
    <row r="3697">
      <c r="A3697" s="45"/>
      <c r="B3697" s="16"/>
      <c r="C3697" s="17"/>
      <c r="D3697" s="15"/>
      <c r="E3697" s="17"/>
      <c r="F3697" s="15"/>
      <c r="G3697" s="46"/>
      <c r="H3697" s="47"/>
      <c r="I3697" s="48"/>
      <c r="J3697" s="49"/>
    </row>
    <row r="3698">
      <c r="A3698" s="45"/>
      <c r="B3698" s="16"/>
      <c r="C3698" s="17"/>
      <c r="D3698" s="15"/>
      <c r="E3698" s="17"/>
      <c r="F3698" s="15"/>
      <c r="G3698" s="46"/>
      <c r="H3698" s="47"/>
      <c r="I3698" s="48"/>
      <c r="J3698" s="49"/>
    </row>
    <row r="3699">
      <c r="A3699" s="45"/>
      <c r="B3699" s="16"/>
      <c r="C3699" s="17"/>
      <c r="D3699" s="15"/>
      <c r="E3699" s="17"/>
      <c r="F3699" s="15"/>
      <c r="G3699" s="46"/>
      <c r="H3699" s="47"/>
      <c r="I3699" s="48"/>
      <c r="J3699" s="49"/>
    </row>
    <row r="3700">
      <c r="A3700" s="45"/>
      <c r="B3700" s="16"/>
      <c r="C3700" s="17"/>
      <c r="D3700" s="15"/>
      <c r="E3700" s="17"/>
      <c r="F3700" s="15"/>
      <c r="G3700" s="46"/>
      <c r="H3700" s="47"/>
      <c r="I3700" s="48"/>
      <c r="J3700" s="49"/>
    </row>
    <row r="3701">
      <c r="A3701" s="45"/>
      <c r="B3701" s="16"/>
      <c r="C3701" s="17"/>
      <c r="D3701" s="15"/>
      <c r="E3701" s="17"/>
      <c r="F3701" s="15"/>
      <c r="G3701" s="46"/>
      <c r="H3701" s="47"/>
      <c r="I3701" s="48"/>
      <c r="J3701" s="49"/>
    </row>
    <row r="3702">
      <c r="A3702" s="45"/>
      <c r="B3702" s="16"/>
      <c r="C3702" s="17"/>
      <c r="D3702" s="15"/>
      <c r="E3702" s="17"/>
      <c r="F3702" s="15"/>
      <c r="G3702" s="46"/>
      <c r="H3702" s="47"/>
      <c r="I3702" s="48"/>
      <c r="J3702" s="49"/>
    </row>
    <row r="3703">
      <c r="A3703" s="45"/>
      <c r="B3703" s="16"/>
      <c r="C3703" s="17"/>
      <c r="D3703" s="15"/>
      <c r="E3703" s="17"/>
      <c r="F3703" s="15"/>
      <c r="G3703" s="46"/>
      <c r="H3703" s="47"/>
      <c r="I3703" s="48"/>
      <c r="J3703" s="49"/>
    </row>
    <row r="3704">
      <c r="A3704" s="45"/>
      <c r="B3704" s="16"/>
      <c r="C3704" s="17"/>
      <c r="D3704" s="15"/>
      <c r="E3704" s="17"/>
      <c r="F3704" s="15"/>
      <c r="G3704" s="46"/>
      <c r="H3704" s="47"/>
      <c r="I3704" s="48"/>
      <c r="J3704" s="49"/>
    </row>
    <row r="3705">
      <c r="A3705" s="45"/>
      <c r="B3705" s="16"/>
      <c r="C3705" s="17"/>
      <c r="D3705" s="15"/>
      <c r="E3705" s="17"/>
      <c r="F3705" s="15"/>
      <c r="G3705" s="46"/>
      <c r="H3705" s="47"/>
      <c r="I3705" s="48"/>
      <c r="J3705" s="49"/>
    </row>
    <row r="3706">
      <c r="A3706" s="45"/>
      <c r="B3706" s="16"/>
      <c r="C3706" s="17"/>
      <c r="D3706" s="15"/>
      <c r="E3706" s="17"/>
      <c r="F3706" s="15"/>
      <c r="G3706" s="46"/>
      <c r="H3706" s="47"/>
      <c r="I3706" s="48"/>
      <c r="J3706" s="49"/>
    </row>
    <row r="3707">
      <c r="A3707" s="45"/>
      <c r="B3707" s="16"/>
      <c r="C3707" s="17"/>
      <c r="D3707" s="15"/>
      <c r="E3707" s="17"/>
      <c r="F3707" s="15"/>
      <c r="G3707" s="46"/>
      <c r="H3707" s="47"/>
      <c r="I3707" s="48"/>
      <c r="J3707" s="49"/>
    </row>
    <row r="3708">
      <c r="A3708" s="45"/>
      <c r="B3708" s="16"/>
      <c r="C3708" s="17"/>
      <c r="D3708" s="15"/>
      <c r="E3708" s="17"/>
      <c r="F3708" s="15"/>
      <c r="G3708" s="46"/>
      <c r="H3708" s="47"/>
      <c r="I3708" s="48"/>
      <c r="J3708" s="49"/>
    </row>
    <row r="3709">
      <c r="A3709" s="45"/>
      <c r="B3709" s="16"/>
      <c r="C3709" s="17"/>
      <c r="D3709" s="15"/>
      <c r="E3709" s="17"/>
      <c r="F3709" s="15"/>
      <c r="G3709" s="46"/>
      <c r="H3709" s="47"/>
      <c r="I3709" s="48"/>
      <c r="J3709" s="49"/>
    </row>
    <row r="3710">
      <c r="A3710" s="45"/>
      <c r="B3710" s="16"/>
      <c r="C3710" s="17"/>
      <c r="D3710" s="15"/>
      <c r="E3710" s="17"/>
      <c r="F3710" s="15"/>
      <c r="G3710" s="46"/>
      <c r="H3710" s="47"/>
      <c r="I3710" s="48"/>
      <c r="J3710" s="49"/>
    </row>
    <row r="3711">
      <c r="A3711" s="45"/>
      <c r="B3711" s="16"/>
      <c r="C3711" s="17"/>
      <c r="D3711" s="15"/>
      <c r="E3711" s="17"/>
      <c r="F3711" s="15"/>
      <c r="G3711" s="46"/>
      <c r="H3711" s="47"/>
      <c r="I3711" s="48"/>
      <c r="J3711" s="49"/>
    </row>
    <row r="3712">
      <c r="A3712" s="45"/>
      <c r="B3712" s="16"/>
      <c r="C3712" s="17"/>
      <c r="D3712" s="15"/>
      <c r="E3712" s="17"/>
      <c r="F3712" s="15"/>
      <c r="G3712" s="46"/>
      <c r="H3712" s="47"/>
      <c r="I3712" s="48"/>
      <c r="J3712" s="49"/>
    </row>
    <row r="3713">
      <c r="A3713" s="45"/>
      <c r="B3713" s="16"/>
      <c r="C3713" s="17"/>
      <c r="D3713" s="15"/>
      <c r="E3713" s="17"/>
      <c r="F3713" s="15"/>
      <c r="G3713" s="46"/>
      <c r="H3713" s="47"/>
      <c r="I3713" s="48"/>
      <c r="J3713" s="49"/>
    </row>
    <row r="3714">
      <c r="A3714" s="45"/>
      <c r="B3714" s="16"/>
      <c r="C3714" s="17"/>
      <c r="D3714" s="15"/>
      <c r="E3714" s="17"/>
      <c r="F3714" s="15"/>
      <c r="G3714" s="46"/>
      <c r="H3714" s="47"/>
      <c r="I3714" s="48"/>
      <c r="J3714" s="49"/>
    </row>
    <row r="3715">
      <c r="A3715" s="45"/>
      <c r="B3715" s="16"/>
      <c r="C3715" s="17"/>
      <c r="D3715" s="15"/>
      <c r="E3715" s="17"/>
      <c r="F3715" s="15"/>
      <c r="G3715" s="46"/>
      <c r="H3715" s="47"/>
      <c r="I3715" s="48"/>
      <c r="J3715" s="49"/>
    </row>
    <row r="3716">
      <c r="A3716" s="45"/>
      <c r="B3716" s="16"/>
      <c r="C3716" s="17"/>
      <c r="D3716" s="15"/>
      <c r="E3716" s="17"/>
      <c r="F3716" s="15"/>
      <c r="G3716" s="46"/>
      <c r="H3716" s="47"/>
      <c r="I3716" s="48"/>
      <c r="J3716" s="49"/>
    </row>
    <row r="3717">
      <c r="A3717" s="45"/>
      <c r="B3717" s="16"/>
      <c r="C3717" s="17"/>
      <c r="D3717" s="15"/>
      <c r="E3717" s="17"/>
      <c r="F3717" s="15"/>
      <c r="G3717" s="46"/>
      <c r="H3717" s="47"/>
      <c r="I3717" s="48"/>
      <c r="J3717" s="49"/>
    </row>
    <row r="3718">
      <c r="A3718" s="45"/>
      <c r="B3718" s="16"/>
      <c r="C3718" s="17"/>
      <c r="D3718" s="15"/>
      <c r="E3718" s="17"/>
      <c r="F3718" s="15"/>
      <c r="G3718" s="46"/>
      <c r="H3718" s="47"/>
      <c r="I3718" s="48"/>
      <c r="J3718" s="49"/>
    </row>
    <row r="3719">
      <c r="A3719" s="45"/>
      <c r="B3719" s="16"/>
      <c r="C3719" s="17"/>
      <c r="D3719" s="15"/>
      <c r="E3719" s="17"/>
      <c r="F3719" s="15"/>
      <c r="G3719" s="46"/>
      <c r="H3719" s="47"/>
      <c r="I3719" s="48"/>
      <c r="J3719" s="49"/>
    </row>
    <row r="3720">
      <c r="A3720" s="45"/>
      <c r="B3720" s="16"/>
      <c r="C3720" s="17"/>
      <c r="D3720" s="15"/>
      <c r="E3720" s="17"/>
      <c r="F3720" s="15"/>
      <c r="G3720" s="46"/>
      <c r="H3720" s="47"/>
      <c r="I3720" s="48"/>
      <c r="J3720" s="49"/>
    </row>
    <row r="3721">
      <c r="A3721" s="45"/>
      <c r="B3721" s="16"/>
      <c r="C3721" s="17"/>
      <c r="D3721" s="15"/>
      <c r="E3721" s="17"/>
      <c r="F3721" s="15"/>
      <c r="G3721" s="46"/>
      <c r="H3721" s="47"/>
      <c r="I3721" s="48"/>
      <c r="J3721" s="49"/>
    </row>
    <row r="3722">
      <c r="A3722" s="45"/>
      <c r="B3722" s="16"/>
      <c r="C3722" s="17"/>
      <c r="D3722" s="15"/>
      <c r="E3722" s="17"/>
      <c r="F3722" s="15"/>
      <c r="G3722" s="46"/>
      <c r="H3722" s="47"/>
      <c r="I3722" s="48"/>
      <c r="J3722" s="49"/>
    </row>
    <row r="3723">
      <c r="A3723" s="45"/>
      <c r="B3723" s="16"/>
      <c r="C3723" s="17"/>
      <c r="D3723" s="15"/>
      <c r="E3723" s="17"/>
      <c r="F3723" s="15"/>
      <c r="G3723" s="46"/>
      <c r="H3723" s="47"/>
      <c r="I3723" s="48"/>
      <c r="J3723" s="49"/>
    </row>
    <row r="3724">
      <c r="A3724" s="45"/>
      <c r="B3724" s="16"/>
      <c r="C3724" s="17"/>
      <c r="D3724" s="15"/>
      <c r="E3724" s="17"/>
      <c r="F3724" s="15"/>
      <c r="G3724" s="46"/>
      <c r="H3724" s="47"/>
      <c r="I3724" s="48"/>
      <c r="J3724" s="49"/>
    </row>
    <row r="3725">
      <c r="A3725" s="45"/>
      <c r="B3725" s="16"/>
      <c r="C3725" s="17"/>
      <c r="D3725" s="15"/>
      <c r="E3725" s="17"/>
      <c r="F3725" s="15"/>
      <c r="G3725" s="46"/>
      <c r="H3725" s="47"/>
      <c r="I3725" s="48"/>
      <c r="J3725" s="49"/>
    </row>
    <row r="3726">
      <c r="A3726" s="45"/>
      <c r="B3726" s="16"/>
      <c r="C3726" s="17"/>
      <c r="D3726" s="15"/>
      <c r="E3726" s="17"/>
      <c r="F3726" s="15"/>
      <c r="G3726" s="46"/>
      <c r="H3726" s="47"/>
      <c r="I3726" s="48"/>
      <c r="J3726" s="49"/>
    </row>
    <row r="3727">
      <c r="A3727" s="45"/>
      <c r="B3727" s="16"/>
      <c r="C3727" s="17"/>
      <c r="D3727" s="15"/>
      <c r="E3727" s="17"/>
      <c r="F3727" s="15"/>
      <c r="G3727" s="46"/>
      <c r="H3727" s="47"/>
      <c r="I3727" s="48"/>
      <c r="J3727" s="49"/>
    </row>
    <row r="3728">
      <c r="A3728" s="45"/>
      <c r="B3728" s="16"/>
      <c r="C3728" s="17"/>
      <c r="D3728" s="15"/>
      <c r="E3728" s="17"/>
      <c r="F3728" s="15"/>
      <c r="G3728" s="46"/>
      <c r="H3728" s="47"/>
      <c r="I3728" s="48"/>
      <c r="J3728" s="49"/>
    </row>
    <row r="3729">
      <c r="A3729" s="45"/>
      <c r="B3729" s="16"/>
      <c r="C3729" s="17"/>
      <c r="D3729" s="15"/>
      <c r="E3729" s="17"/>
      <c r="F3729" s="15"/>
      <c r="G3729" s="46"/>
      <c r="H3729" s="47"/>
      <c r="I3729" s="48"/>
      <c r="J3729" s="49"/>
    </row>
    <row r="3730">
      <c r="A3730" s="45"/>
      <c r="B3730" s="16"/>
      <c r="C3730" s="17"/>
      <c r="D3730" s="15"/>
      <c r="E3730" s="17"/>
      <c r="F3730" s="15"/>
      <c r="G3730" s="46"/>
      <c r="H3730" s="47"/>
      <c r="I3730" s="48"/>
      <c r="J3730" s="49"/>
    </row>
    <row r="3731">
      <c r="A3731" s="45"/>
      <c r="B3731" s="16"/>
      <c r="C3731" s="17"/>
      <c r="D3731" s="15"/>
      <c r="E3731" s="17"/>
      <c r="F3731" s="15"/>
      <c r="G3731" s="46"/>
      <c r="H3731" s="47"/>
      <c r="I3731" s="48"/>
      <c r="J3731" s="49"/>
    </row>
    <row r="3732">
      <c r="A3732" s="45"/>
      <c r="B3732" s="16"/>
      <c r="C3732" s="17"/>
      <c r="D3732" s="15"/>
      <c r="E3732" s="17"/>
      <c r="F3732" s="15"/>
      <c r="G3732" s="46"/>
      <c r="H3732" s="47"/>
      <c r="I3732" s="48"/>
      <c r="J3732" s="49"/>
    </row>
    <row r="3733">
      <c r="A3733" s="45"/>
      <c r="B3733" s="16"/>
      <c r="C3733" s="17"/>
      <c r="D3733" s="15"/>
      <c r="E3733" s="17"/>
      <c r="F3733" s="15"/>
      <c r="G3733" s="46"/>
      <c r="H3733" s="47"/>
      <c r="I3733" s="48"/>
      <c r="J3733" s="49"/>
    </row>
    <row r="3734">
      <c r="A3734" s="45"/>
      <c r="B3734" s="16"/>
      <c r="C3734" s="17"/>
      <c r="D3734" s="15"/>
      <c r="E3734" s="17"/>
      <c r="F3734" s="15"/>
      <c r="G3734" s="46"/>
      <c r="H3734" s="47"/>
      <c r="I3734" s="48"/>
      <c r="J3734" s="49"/>
    </row>
    <row r="3735">
      <c r="A3735" s="45"/>
      <c r="B3735" s="16"/>
      <c r="C3735" s="17"/>
      <c r="D3735" s="15"/>
      <c r="E3735" s="17"/>
      <c r="F3735" s="15"/>
      <c r="G3735" s="46"/>
      <c r="H3735" s="47"/>
      <c r="I3735" s="48"/>
      <c r="J3735" s="49"/>
    </row>
    <row r="3736">
      <c r="A3736" s="45"/>
      <c r="B3736" s="16"/>
      <c r="C3736" s="17"/>
      <c r="D3736" s="15"/>
      <c r="E3736" s="17"/>
      <c r="F3736" s="15"/>
      <c r="G3736" s="46"/>
      <c r="H3736" s="47"/>
      <c r="I3736" s="48"/>
      <c r="J3736" s="49"/>
    </row>
    <row r="3737">
      <c r="A3737" s="45"/>
      <c r="B3737" s="16"/>
      <c r="C3737" s="17"/>
      <c r="D3737" s="15"/>
      <c r="E3737" s="17"/>
      <c r="F3737" s="15"/>
      <c r="G3737" s="46"/>
      <c r="H3737" s="47"/>
      <c r="I3737" s="48"/>
      <c r="J3737" s="49"/>
    </row>
    <row r="3738">
      <c r="A3738" s="45"/>
      <c r="B3738" s="16"/>
      <c r="C3738" s="17"/>
      <c r="D3738" s="15"/>
      <c r="E3738" s="17"/>
      <c r="F3738" s="15"/>
      <c r="G3738" s="46"/>
      <c r="H3738" s="47"/>
      <c r="I3738" s="48"/>
      <c r="J3738" s="49"/>
    </row>
    <row r="3739">
      <c r="A3739" s="45"/>
      <c r="B3739" s="16"/>
      <c r="C3739" s="17"/>
      <c r="D3739" s="15"/>
      <c r="E3739" s="17"/>
      <c r="F3739" s="15"/>
      <c r="G3739" s="46"/>
      <c r="H3739" s="47"/>
      <c r="I3739" s="48"/>
      <c r="J3739" s="49"/>
    </row>
    <row r="3740">
      <c r="A3740" s="45"/>
      <c r="B3740" s="16"/>
      <c r="C3740" s="17"/>
      <c r="D3740" s="15"/>
      <c r="E3740" s="17"/>
      <c r="F3740" s="15"/>
      <c r="G3740" s="46"/>
      <c r="H3740" s="47"/>
      <c r="I3740" s="48"/>
      <c r="J3740" s="49"/>
    </row>
    <row r="3741">
      <c r="A3741" s="45"/>
      <c r="B3741" s="16"/>
      <c r="C3741" s="17"/>
      <c r="D3741" s="15"/>
      <c r="E3741" s="17"/>
      <c r="F3741" s="15"/>
      <c r="G3741" s="46"/>
      <c r="H3741" s="47"/>
      <c r="I3741" s="48"/>
      <c r="J3741" s="49"/>
    </row>
    <row r="3742">
      <c r="A3742" s="45"/>
      <c r="B3742" s="16"/>
      <c r="C3742" s="17"/>
      <c r="D3742" s="15"/>
      <c r="E3742" s="17"/>
      <c r="F3742" s="15"/>
      <c r="G3742" s="46"/>
      <c r="H3742" s="47"/>
      <c r="I3742" s="48"/>
      <c r="J3742" s="49"/>
    </row>
    <row r="3743">
      <c r="A3743" s="45"/>
      <c r="B3743" s="16"/>
      <c r="C3743" s="17"/>
      <c r="D3743" s="15"/>
      <c r="E3743" s="17"/>
      <c r="F3743" s="15"/>
      <c r="G3743" s="46"/>
      <c r="H3743" s="47"/>
      <c r="I3743" s="48"/>
      <c r="J3743" s="49"/>
    </row>
    <row r="3744">
      <c r="A3744" s="45"/>
      <c r="B3744" s="16"/>
      <c r="C3744" s="17"/>
      <c r="D3744" s="15"/>
      <c r="E3744" s="17"/>
      <c r="F3744" s="15"/>
      <c r="G3744" s="46"/>
      <c r="H3744" s="47"/>
      <c r="I3744" s="48"/>
      <c r="J3744" s="49"/>
    </row>
    <row r="3745">
      <c r="A3745" s="45"/>
      <c r="B3745" s="16"/>
      <c r="C3745" s="17"/>
      <c r="D3745" s="15"/>
      <c r="E3745" s="17"/>
      <c r="F3745" s="15"/>
      <c r="G3745" s="46"/>
      <c r="H3745" s="47"/>
      <c r="I3745" s="48"/>
      <c r="J3745" s="49"/>
    </row>
    <row r="3746">
      <c r="A3746" s="45"/>
      <c r="B3746" s="16"/>
      <c r="C3746" s="17"/>
      <c r="D3746" s="15"/>
      <c r="E3746" s="17"/>
      <c r="F3746" s="15"/>
      <c r="G3746" s="46"/>
      <c r="H3746" s="47"/>
      <c r="I3746" s="48"/>
      <c r="J3746" s="49"/>
    </row>
    <row r="3747">
      <c r="A3747" s="45"/>
      <c r="B3747" s="16"/>
      <c r="C3747" s="17"/>
      <c r="D3747" s="15"/>
      <c r="E3747" s="17"/>
      <c r="F3747" s="15"/>
      <c r="G3747" s="46"/>
      <c r="H3747" s="47"/>
      <c r="I3747" s="48"/>
      <c r="J3747" s="49"/>
    </row>
    <row r="3748">
      <c r="A3748" s="45"/>
      <c r="B3748" s="16"/>
      <c r="C3748" s="17"/>
      <c r="D3748" s="15"/>
      <c r="E3748" s="17"/>
      <c r="F3748" s="15"/>
      <c r="G3748" s="46"/>
      <c r="H3748" s="47"/>
      <c r="I3748" s="48"/>
      <c r="J3748" s="49"/>
    </row>
    <row r="3749">
      <c r="A3749" s="45"/>
      <c r="B3749" s="16"/>
      <c r="C3749" s="17"/>
      <c r="D3749" s="15"/>
      <c r="E3749" s="17"/>
      <c r="F3749" s="15"/>
      <c r="G3749" s="46"/>
      <c r="H3749" s="47"/>
      <c r="I3749" s="48"/>
      <c r="J3749" s="49"/>
    </row>
    <row r="3750">
      <c r="A3750" s="45"/>
      <c r="B3750" s="16"/>
      <c r="C3750" s="17"/>
      <c r="D3750" s="15"/>
      <c r="E3750" s="17"/>
      <c r="F3750" s="15"/>
      <c r="G3750" s="46"/>
      <c r="H3750" s="47"/>
      <c r="I3750" s="48"/>
      <c r="J3750" s="49"/>
    </row>
    <row r="3751">
      <c r="A3751" s="45"/>
      <c r="B3751" s="16"/>
      <c r="C3751" s="17"/>
      <c r="D3751" s="15"/>
      <c r="E3751" s="17"/>
      <c r="F3751" s="15"/>
      <c r="G3751" s="46"/>
      <c r="H3751" s="47"/>
      <c r="I3751" s="48"/>
      <c r="J3751" s="49"/>
    </row>
    <row r="3752">
      <c r="A3752" s="45"/>
      <c r="B3752" s="16"/>
      <c r="C3752" s="17"/>
      <c r="D3752" s="15"/>
      <c r="E3752" s="17"/>
      <c r="F3752" s="15"/>
      <c r="G3752" s="46"/>
      <c r="H3752" s="47"/>
      <c r="I3752" s="48"/>
      <c r="J3752" s="49"/>
    </row>
    <row r="3753">
      <c r="A3753" s="45"/>
      <c r="B3753" s="16"/>
      <c r="C3753" s="17"/>
      <c r="D3753" s="15"/>
      <c r="E3753" s="17"/>
      <c r="F3753" s="15"/>
      <c r="G3753" s="46"/>
      <c r="H3753" s="47"/>
      <c r="I3753" s="48"/>
      <c r="J3753" s="49"/>
    </row>
    <row r="3754">
      <c r="A3754" s="45"/>
      <c r="B3754" s="16"/>
      <c r="C3754" s="17"/>
      <c r="D3754" s="15"/>
      <c r="E3754" s="17"/>
      <c r="F3754" s="15"/>
      <c r="G3754" s="46"/>
      <c r="H3754" s="47"/>
      <c r="I3754" s="48"/>
      <c r="J3754" s="49"/>
    </row>
    <row r="3755">
      <c r="A3755" s="45"/>
      <c r="B3755" s="16"/>
      <c r="C3755" s="17"/>
      <c r="D3755" s="15"/>
      <c r="E3755" s="17"/>
      <c r="F3755" s="15"/>
      <c r="G3755" s="46"/>
      <c r="H3755" s="47"/>
      <c r="I3755" s="48"/>
      <c r="J3755" s="49"/>
    </row>
    <row r="3756">
      <c r="A3756" s="45"/>
      <c r="B3756" s="16"/>
      <c r="C3756" s="17"/>
      <c r="D3756" s="15"/>
      <c r="E3756" s="17"/>
      <c r="F3756" s="15"/>
      <c r="G3756" s="46"/>
      <c r="H3756" s="47"/>
      <c r="I3756" s="48"/>
      <c r="J3756" s="49"/>
    </row>
    <row r="3757">
      <c r="A3757" s="45"/>
      <c r="B3757" s="16"/>
      <c r="C3757" s="17"/>
      <c r="D3757" s="15"/>
      <c r="E3757" s="17"/>
      <c r="F3757" s="15"/>
      <c r="G3757" s="46"/>
      <c r="H3757" s="47"/>
      <c r="I3757" s="48"/>
      <c r="J3757" s="49"/>
    </row>
    <row r="3758">
      <c r="A3758" s="45"/>
      <c r="B3758" s="16"/>
      <c r="C3758" s="17"/>
      <c r="D3758" s="15"/>
      <c r="E3758" s="17"/>
      <c r="F3758" s="15"/>
      <c r="G3758" s="46"/>
      <c r="H3758" s="47"/>
      <c r="I3758" s="48"/>
      <c r="J3758" s="49"/>
    </row>
    <row r="3759">
      <c r="A3759" s="45"/>
      <c r="B3759" s="16"/>
      <c r="C3759" s="17"/>
      <c r="D3759" s="15"/>
      <c r="E3759" s="17"/>
      <c r="F3759" s="15"/>
      <c r="G3759" s="46"/>
      <c r="H3759" s="47"/>
      <c r="I3759" s="48"/>
      <c r="J3759" s="49"/>
    </row>
    <row r="3760">
      <c r="A3760" s="45"/>
      <c r="B3760" s="16"/>
      <c r="C3760" s="17"/>
      <c r="D3760" s="15"/>
      <c r="E3760" s="17"/>
      <c r="F3760" s="15"/>
      <c r="G3760" s="46"/>
      <c r="H3760" s="47"/>
      <c r="I3760" s="48"/>
      <c r="J3760" s="49"/>
    </row>
    <row r="3761">
      <c r="A3761" s="45"/>
      <c r="B3761" s="16"/>
      <c r="C3761" s="17"/>
      <c r="D3761" s="15"/>
      <c r="E3761" s="17"/>
      <c r="F3761" s="15"/>
      <c r="G3761" s="46"/>
      <c r="H3761" s="47"/>
      <c r="I3761" s="48"/>
      <c r="J3761" s="49"/>
    </row>
    <row r="3762">
      <c r="A3762" s="45"/>
      <c r="B3762" s="16"/>
      <c r="C3762" s="17"/>
      <c r="D3762" s="15"/>
      <c r="E3762" s="17"/>
      <c r="F3762" s="15"/>
      <c r="G3762" s="46"/>
      <c r="H3762" s="47"/>
      <c r="I3762" s="48"/>
      <c r="J3762" s="49"/>
    </row>
    <row r="3763">
      <c r="A3763" s="45"/>
      <c r="B3763" s="16"/>
      <c r="C3763" s="17"/>
      <c r="D3763" s="15"/>
      <c r="E3763" s="17"/>
      <c r="F3763" s="15"/>
      <c r="G3763" s="46"/>
      <c r="H3763" s="47"/>
      <c r="I3763" s="48"/>
      <c r="J3763" s="49"/>
    </row>
    <row r="3764">
      <c r="A3764" s="45"/>
      <c r="B3764" s="16"/>
      <c r="C3764" s="17"/>
      <c r="D3764" s="15"/>
      <c r="E3764" s="17"/>
      <c r="F3764" s="15"/>
      <c r="G3764" s="46"/>
      <c r="H3764" s="47"/>
      <c r="I3764" s="48"/>
      <c r="J3764" s="49"/>
    </row>
    <row r="3765">
      <c r="A3765" s="45"/>
      <c r="B3765" s="16"/>
      <c r="C3765" s="17"/>
      <c r="D3765" s="15"/>
      <c r="E3765" s="17"/>
      <c r="F3765" s="15"/>
      <c r="G3765" s="46"/>
      <c r="H3765" s="47"/>
      <c r="I3765" s="48"/>
      <c r="J3765" s="49"/>
    </row>
    <row r="3766">
      <c r="A3766" s="45"/>
      <c r="B3766" s="16"/>
      <c r="C3766" s="17"/>
      <c r="D3766" s="15"/>
      <c r="E3766" s="17"/>
      <c r="F3766" s="15"/>
      <c r="G3766" s="46"/>
      <c r="H3766" s="47"/>
      <c r="I3766" s="48"/>
      <c r="J3766" s="49"/>
    </row>
    <row r="3767">
      <c r="A3767" s="45"/>
      <c r="B3767" s="16"/>
      <c r="C3767" s="17"/>
      <c r="D3767" s="15"/>
      <c r="E3767" s="17"/>
      <c r="F3767" s="15"/>
      <c r="G3767" s="46"/>
      <c r="H3767" s="47"/>
      <c r="I3767" s="48"/>
      <c r="J3767" s="49"/>
    </row>
    <row r="3768">
      <c r="A3768" s="45"/>
      <c r="B3768" s="16"/>
      <c r="C3768" s="17"/>
      <c r="D3768" s="15"/>
      <c r="E3768" s="17"/>
      <c r="F3768" s="15"/>
      <c r="G3768" s="46"/>
      <c r="H3768" s="47"/>
      <c r="I3768" s="48"/>
      <c r="J3768" s="49"/>
    </row>
    <row r="3769">
      <c r="A3769" s="45"/>
      <c r="B3769" s="16"/>
      <c r="C3769" s="17"/>
      <c r="D3769" s="15"/>
      <c r="E3769" s="17"/>
      <c r="F3769" s="15"/>
      <c r="G3769" s="46"/>
      <c r="H3769" s="47"/>
      <c r="I3769" s="48"/>
      <c r="J3769" s="49"/>
    </row>
    <row r="3770">
      <c r="A3770" s="45"/>
      <c r="B3770" s="16"/>
      <c r="C3770" s="17"/>
      <c r="D3770" s="15"/>
      <c r="E3770" s="17"/>
      <c r="F3770" s="15"/>
      <c r="G3770" s="46"/>
      <c r="H3770" s="47"/>
      <c r="I3770" s="48"/>
      <c r="J3770" s="49"/>
    </row>
    <row r="3771">
      <c r="A3771" s="45"/>
      <c r="B3771" s="16"/>
      <c r="C3771" s="17"/>
      <c r="D3771" s="15"/>
      <c r="E3771" s="17"/>
      <c r="F3771" s="15"/>
      <c r="G3771" s="46"/>
      <c r="H3771" s="47"/>
      <c r="I3771" s="48"/>
      <c r="J3771" s="49"/>
    </row>
    <row r="3772">
      <c r="A3772" s="45"/>
      <c r="B3772" s="16"/>
      <c r="C3772" s="17"/>
      <c r="D3772" s="15"/>
      <c r="E3772" s="17"/>
      <c r="F3772" s="15"/>
      <c r="G3772" s="46"/>
      <c r="H3772" s="47"/>
      <c r="I3772" s="48"/>
      <c r="J3772" s="49"/>
    </row>
    <row r="3773">
      <c r="A3773" s="45"/>
      <c r="B3773" s="16"/>
      <c r="C3773" s="17"/>
      <c r="D3773" s="15"/>
      <c r="E3773" s="17"/>
      <c r="F3773" s="15"/>
      <c r="G3773" s="46"/>
      <c r="H3773" s="47"/>
      <c r="I3773" s="48"/>
      <c r="J3773" s="49"/>
    </row>
    <row r="3774">
      <c r="A3774" s="45"/>
      <c r="B3774" s="16"/>
      <c r="C3774" s="17"/>
      <c r="D3774" s="15"/>
      <c r="E3774" s="17"/>
      <c r="F3774" s="15"/>
      <c r="G3774" s="46"/>
      <c r="H3774" s="47"/>
      <c r="I3774" s="48"/>
      <c r="J3774" s="49"/>
    </row>
    <row r="3775">
      <c r="A3775" s="45"/>
      <c r="B3775" s="16"/>
      <c r="C3775" s="17"/>
      <c r="D3775" s="15"/>
      <c r="E3775" s="17"/>
      <c r="F3775" s="15"/>
      <c r="G3775" s="46"/>
      <c r="H3775" s="47"/>
      <c r="I3775" s="48"/>
      <c r="J3775" s="49"/>
    </row>
    <row r="3776">
      <c r="A3776" s="45"/>
      <c r="B3776" s="16"/>
      <c r="C3776" s="17"/>
      <c r="D3776" s="15"/>
      <c r="E3776" s="17"/>
      <c r="F3776" s="15"/>
      <c r="G3776" s="46"/>
      <c r="H3776" s="47"/>
      <c r="I3776" s="48"/>
      <c r="J3776" s="49"/>
    </row>
    <row r="3777">
      <c r="A3777" s="45"/>
      <c r="B3777" s="16"/>
      <c r="C3777" s="17"/>
      <c r="D3777" s="15"/>
      <c r="E3777" s="17"/>
      <c r="F3777" s="15"/>
      <c r="G3777" s="46"/>
      <c r="H3777" s="47"/>
      <c r="I3777" s="48"/>
      <c r="J3777" s="49"/>
    </row>
    <row r="3778">
      <c r="A3778" s="45"/>
      <c r="B3778" s="16"/>
      <c r="C3778" s="17"/>
      <c r="D3778" s="15"/>
      <c r="E3778" s="17"/>
      <c r="F3778" s="15"/>
      <c r="G3778" s="46"/>
      <c r="H3778" s="47"/>
      <c r="I3778" s="48"/>
      <c r="J3778" s="49"/>
    </row>
    <row r="3779">
      <c r="A3779" s="45"/>
      <c r="B3779" s="16"/>
      <c r="C3779" s="17"/>
      <c r="D3779" s="15"/>
      <c r="E3779" s="17"/>
      <c r="F3779" s="15"/>
      <c r="G3779" s="46"/>
      <c r="H3779" s="47"/>
      <c r="I3779" s="48"/>
      <c r="J3779" s="49"/>
    </row>
    <row r="3780">
      <c r="A3780" s="45"/>
      <c r="B3780" s="16"/>
      <c r="C3780" s="17"/>
      <c r="D3780" s="15"/>
      <c r="E3780" s="17"/>
      <c r="F3780" s="15"/>
      <c r="G3780" s="46"/>
      <c r="H3780" s="47"/>
      <c r="I3780" s="48"/>
      <c r="J3780" s="49"/>
    </row>
    <row r="3781">
      <c r="A3781" s="45"/>
      <c r="B3781" s="16"/>
      <c r="C3781" s="17"/>
      <c r="D3781" s="15"/>
      <c r="E3781" s="17"/>
      <c r="F3781" s="15"/>
      <c r="G3781" s="46"/>
      <c r="H3781" s="47"/>
      <c r="I3781" s="48"/>
      <c r="J3781" s="49"/>
    </row>
    <row r="3782">
      <c r="A3782" s="45"/>
      <c r="B3782" s="16"/>
      <c r="C3782" s="17"/>
      <c r="D3782" s="15"/>
      <c r="E3782" s="17"/>
      <c r="F3782" s="15"/>
      <c r="G3782" s="46"/>
      <c r="H3782" s="47"/>
      <c r="I3782" s="48"/>
      <c r="J3782" s="49"/>
    </row>
    <row r="3783">
      <c r="A3783" s="45"/>
      <c r="B3783" s="16"/>
      <c r="C3783" s="17"/>
      <c r="D3783" s="15"/>
      <c r="E3783" s="17"/>
      <c r="F3783" s="15"/>
      <c r="G3783" s="46"/>
      <c r="H3783" s="47"/>
      <c r="I3783" s="48"/>
      <c r="J3783" s="49"/>
    </row>
    <row r="3784">
      <c r="A3784" s="45"/>
      <c r="B3784" s="16"/>
      <c r="C3784" s="17"/>
      <c r="D3784" s="15"/>
      <c r="E3784" s="17"/>
      <c r="F3784" s="15"/>
      <c r="G3784" s="46"/>
      <c r="H3784" s="47"/>
      <c r="I3784" s="48"/>
      <c r="J3784" s="49"/>
    </row>
    <row r="3785">
      <c r="A3785" s="45"/>
      <c r="B3785" s="16"/>
      <c r="C3785" s="17"/>
      <c r="D3785" s="15"/>
      <c r="E3785" s="17"/>
      <c r="F3785" s="15"/>
      <c r="G3785" s="46"/>
      <c r="H3785" s="47"/>
      <c r="I3785" s="48"/>
      <c r="J3785" s="49"/>
    </row>
    <row r="3786">
      <c r="A3786" s="45"/>
      <c r="B3786" s="16"/>
      <c r="C3786" s="17"/>
      <c r="D3786" s="15"/>
      <c r="E3786" s="17"/>
      <c r="F3786" s="15"/>
      <c r="G3786" s="46"/>
      <c r="H3786" s="47"/>
      <c r="I3786" s="48"/>
      <c r="J3786" s="49"/>
    </row>
    <row r="3787">
      <c r="A3787" s="45"/>
      <c r="B3787" s="16"/>
      <c r="C3787" s="17"/>
      <c r="D3787" s="15"/>
      <c r="E3787" s="17"/>
      <c r="F3787" s="15"/>
      <c r="G3787" s="46"/>
      <c r="H3787" s="47"/>
      <c r="I3787" s="48"/>
      <c r="J3787" s="49"/>
    </row>
    <row r="3788">
      <c r="A3788" s="45"/>
      <c r="B3788" s="16"/>
      <c r="C3788" s="17"/>
      <c r="D3788" s="15"/>
      <c r="E3788" s="17"/>
      <c r="F3788" s="15"/>
      <c r="G3788" s="46"/>
      <c r="H3788" s="47"/>
      <c r="I3788" s="48"/>
      <c r="J3788" s="49"/>
    </row>
    <row r="3789">
      <c r="A3789" s="45"/>
      <c r="B3789" s="16"/>
      <c r="C3789" s="17"/>
      <c r="D3789" s="15"/>
      <c r="E3789" s="17"/>
      <c r="F3789" s="15"/>
      <c r="G3789" s="46"/>
      <c r="H3789" s="47"/>
      <c r="I3789" s="48"/>
      <c r="J3789" s="49"/>
    </row>
    <row r="3790">
      <c r="A3790" s="45"/>
      <c r="B3790" s="16"/>
      <c r="C3790" s="17"/>
      <c r="D3790" s="15"/>
      <c r="E3790" s="17"/>
      <c r="F3790" s="15"/>
      <c r="G3790" s="46"/>
      <c r="H3790" s="47"/>
      <c r="I3790" s="48"/>
      <c r="J3790" s="49"/>
    </row>
    <row r="3791">
      <c r="A3791" s="45"/>
      <c r="B3791" s="16"/>
      <c r="C3791" s="17"/>
      <c r="D3791" s="15"/>
      <c r="E3791" s="17"/>
      <c r="F3791" s="15"/>
      <c r="G3791" s="46"/>
      <c r="H3791" s="47"/>
      <c r="I3791" s="48"/>
      <c r="J3791" s="49"/>
    </row>
    <row r="3792">
      <c r="A3792" s="45"/>
      <c r="B3792" s="16"/>
      <c r="C3792" s="17"/>
      <c r="D3792" s="15"/>
      <c r="E3792" s="17"/>
      <c r="F3792" s="15"/>
      <c r="G3792" s="46"/>
      <c r="H3792" s="47"/>
      <c r="I3792" s="48"/>
      <c r="J3792" s="49"/>
    </row>
    <row r="3793">
      <c r="A3793" s="45"/>
      <c r="B3793" s="16"/>
      <c r="C3793" s="17"/>
      <c r="D3793" s="15"/>
      <c r="E3793" s="17"/>
      <c r="F3793" s="15"/>
      <c r="G3793" s="46"/>
      <c r="H3793" s="47"/>
      <c r="I3793" s="48"/>
      <c r="J3793" s="49"/>
    </row>
    <row r="3794">
      <c r="A3794" s="45"/>
      <c r="B3794" s="16"/>
      <c r="C3794" s="17"/>
      <c r="D3794" s="15"/>
      <c r="E3794" s="17"/>
      <c r="F3794" s="15"/>
      <c r="G3794" s="46"/>
      <c r="H3794" s="47"/>
      <c r="I3794" s="48"/>
      <c r="J3794" s="49"/>
    </row>
    <row r="3795">
      <c r="A3795" s="45"/>
      <c r="B3795" s="16"/>
      <c r="C3795" s="17"/>
      <c r="D3795" s="15"/>
      <c r="E3795" s="17"/>
      <c r="F3795" s="15"/>
      <c r="G3795" s="46"/>
      <c r="H3795" s="47"/>
      <c r="I3795" s="48"/>
      <c r="J3795" s="49"/>
    </row>
    <row r="3796">
      <c r="A3796" s="45"/>
      <c r="B3796" s="16"/>
      <c r="C3796" s="17"/>
      <c r="D3796" s="15"/>
      <c r="E3796" s="17"/>
      <c r="F3796" s="15"/>
      <c r="G3796" s="46"/>
      <c r="H3796" s="47"/>
      <c r="I3796" s="48"/>
      <c r="J3796" s="49"/>
    </row>
    <row r="3797">
      <c r="A3797" s="45"/>
      <c r="B3797" s="16"/>
      <c r="C3797" s="17"/>
      <c r="D3797" s="15"/>
      <c r="E3797" s="17"/>
      <c r="F3797" s="15"/>
      <c r="G3797" s="46"/>
      <c r="H3797" s="47"/>
      <c r="I3797" s="48"/>
      <c r="J3797" s="49"/>
    </row>
    <row r="3798">
      <c r="A3798" s="45"/>
      <c r="B3798" s="16"/>
      <c r="C3798" s="17"/>
      <c r="D3798" s="15"/>
      <c r="E3798" s="17"/>
      <c r="F3798" s="15"/>
      <c r="G3798" s="46"/>
      <c r="H3798" s="47"/>
      <c r="I3798" s="48"/>
      <c r="J3798" s="49"/>
    </row>
    <row r="3799">
      <c r="A3799" s="45"/>
      <c r="B3799" s="16"/>
      <c r="C3799" s="17"/>
      <c r="D3799" s="15"/>
      <c r="E3799" s="17"/>
      <c r="F3799" s="15"/>
      <c r="G3799" s="46"/>
      <c r="H3799" s="47"/>
      <c r="I3799" s="48"/>
      <c r="J3799" s="49"/>
    </row>
    <row r="3800">
      <c r="A3800" s="45"/>
      <c r="B3800" s="16"/>
      <c r="C3800" s="17"/>
      <c r="D3800" s="15"/>
      <c r="E3800" s="17"/>
      <c r="F3800" s="15"/>
      <c r="G3800" s="46"/>
      <c r="H3800" s="47"/>
      <c r="I3800" s="48"/>
      <c r="J3800" s="49"/>
    </row>
    <row r="3801">
      <c r="A3801" s="45"/>
      <c r="B3801" s="16"/>
      <c r="C3801" s="17"/>
      <c r="D3801" s="15"/>
      <c r="E3801" s="17"/>
      <c r="F3801" s="15"/>
      <c r="G3801" s="46"/>
      <c r="H3801" s="47"/>
      <c r="I3801" s="48"/>
      <c r="J3801" s="49"/>
    </row>
    <row r="3802">
      <c r="A3802" s="45"/>
      <c r="B3802" s="16"/>
      <c r="C3802" s="17"/>
      <c r="D3802" s="15"/>
      <c r="E3802" s="17"/>
      <c r="F3802" s="15"/>
      <c r="G3802" s="46"/>
      <c r="H3802" s="47"/>
      <c r="I3802" s="48"/>
      <c r="J3802" s="49"/>
    </row>
    <row r="3803">
      <c r="A3803" s="45"/>
      <c r="B3803" s="16"/>
      <c r="C3803" s="17"/>
      <c r="D3803" s="15"/>
      <c r="E3803" s="17"/>
      <c r="F3803" s="15"/>
      <c r="G3803" s="46"/>
      <c r="H3803" s="47"/>
      <c r="I3803" s="48"/>
      <c r="J3803" s="49"/>
    </row>
    <row r="3804">
      <c r="A3804" s="45"/>
      <c r="B3804" s="16"/>
      <c r="C3804" s="17"/>
      <c r="D3804" s="15"/>
      <c r="E3804" s="17"/>
      <c r="F3804" s="15"/>
      <c r="G3804" s="46"/>
      <c r="H3804" s="47"/>
      <c r="I3804" s="48"/>
      <c r="J3804" s="49"/>
    </row>
    <row r="3805">
      <c r="A3805" s="45"/>
      <c r="B3805" s="16"/>
      <c r="C3805" s="17"/>
      <c r="D3805" s="15"/>
      <c r="E3805" s="17"/>
      <c r="F3805" s="15"/>
      <c r="G3805" s="46"/>
      <c r="H3805" s="47"/>
      <c r="I3805" s="48"/>
      <c r="J3805" s="49"/>
    </row>
    <row r="3806">
      <c r="A3806" s="45"/>
      <c r="B3806" s="16"/>
      <c r="C3806" s="17"/>
      <c r="D3806" s="15"/>
      <c r="E3806" s="17"/>
      <c r="F3806" s="15"/>
      <c r="G3806" s="46"/>
      <c r="H3806" s="47"/>
      <c r="I3806" s="48"/>
      <c r="J3806" s="49"/>
    </row>
    <row r="3807">
      <c r="A3807" s="45"/>
      <c r="B3807" s="16"/>
      <c r="C3807" s="17"/>
      <c r="D3807" s="15"/>
      <c r="E3807" s="17"/>
      <c r="F3807" s="15"/>
      <c r="G3807" s="46"/>
      <c r="H3807" s="47"/>
      <c r="I3807" s="48"/>
      <c r="J3807" s="49"/>
    </row>
    <row r="3808">
      <c r="A3808" s="45"/>
      <c r="B3808" s="16"/>
      <c r="C3808" s="17"/>
      <c r="D3808" s="15"/>
      <c r="E3808" s="17"/>
      <c r="F3808" s="15"/>
      <c r="G3808" s="46"/>
      <c r="H3808" s="47"/>
      <c r="I3808" s="48"/>
      <c r="J3808" s="49"/>
    </row>
    <row r="3809">
      <c r="A3809" s="45"/>
      <c r="B3809" s="16"/>
      <c r="C3809" s="17"/>
      <c r="D3809" s="15"/>
      <c r="E3809" s="17"/>
      <c r="F3809" s="15"/>
      <c r="G3809" s="46"/>
      <c r="H3809" s="47"/>
      <c r="I3809" s="48"/>
      <c r="J3809" s="49"/>
    </row>
    <row r="3810">
      <c r="A3810" s="45"/>
      <c r="B3810" s="16"/>
      <c r="C3810" s="17"/>
      <c r="D3810" s="15"/>
      <c r="E3810" s="17"/>
      <c r="F3810" s="15"/>
      <c r="G3810" s="46"/>
      <c r="H3810" s="47"/>
      <c r="I3810" s="48"/>
      <c r="J3810" s="49"/>
    </row>
    <row r="3811">
      <c r="A3811" s="45"/>
      <c r="B3811" s="16"/>
      <c r="C3811" s="17"/>
      <c r="D3811" s="15"/>
      <c r="E3811" s="17"/>
      <c r="F3811" s="15"/>
      <c r="G3811" s="46"/>
      <c r="H3811" s="47"/>
      <c r="I3811" s="48"/>
      <c r="J3811" s="49"/>
    </row>
    <row r="3812">
      <c r="A3812" s="45"/>
      <c r="B3812" s="16"/>
      <c r="C3812" s="17"/>
      <c r="D3812" s="15"/>
      <c r="E3812" s="17"/>
      <c r="F3812" s="15"/>
      <c r="G3812" s="46"/>
      <c r="H3812" s="47"/>
      <c r="I3812" s="48"/>
      <c r="J3812" s="49"/>
    </row>
    <row r="3813">
      <c r="A3813" s="45"/>
      <c r="B3813" s="16"/>
      <c r="C3813" s="17"/>
      <c r="D3813" s="15"/>
      <c r="E3813" s="17"/>
      <c r="F3813" s="15"/>
      <c r="G3813" s="46"/>
      <c r="H3813" s="47"/>
      <c r="I3813" s="48"/>
      <c r="J3813" s="49"/>
    </row>
    <row r="3814">
      <c r="A3814" s="45"/>
      <c r="B3814" s="16"/>
      <c r="C3814" s="17"/>
      <c r="D3814" s="15"/>
      <c r="E3814" s="17"/>
      <c r="F3814" s="15"/>
      <c r="G3814" s="46"/>
      <c r="H3814" s="47"/>
      <c r="I3814" s="48"/>
      <c r="J3814" s="49"/>
    </row>
    <row r="3815">
      <c r="A3815" s="45"/>
      <c r="B3815" s="16"/>
      <c r="C3815" s="17"/>
      <c r="D3815" s="15"/>
      <c r="E3815" s="17"/>
      <c r="F3815" s="15"/>
      <c r="G3815" s="46"/>
      <c r="H3815" s="47"/>
      <c r="I3815" s="48"/>
      <c r="J3815" s="49"/>
    </row>
    <row r="3816">
      <c r="A3816" s="45"/>
      <c r="B3816" s="16"/>
      <c r="C3816" s="17"/>
      <c r="D3816" s="15"/>
      <c r="E3816" s="17"/>
      <c r="F3816" s="15"/>
      <c r="G3816" s="46"/>
      <c r="H3816" s="47"/>
      <c r="I3816" s="48"/>
      <c r="J3816" s="49"/>
    </row>
    <row r="3817">
      <c r="A3817" s="45"/>
      <c r="B3817" s="16"/>
      <c r="C3817" s="17"/>
      <c r="D3817" s="15"/>
      <c r="E3817" s="17"/>
      <c r="F3817" s="15"/>
      <c r="G3817" s="46"/>
      <c r="H3817" s="47"/>
      <c r="I3817" s="48"/>
      <c r="J3817" s="49"/>
    </row>
    <row r="3818">
      <c r="A3818" s="45"/>
      <c r="B3818" s="16"/>
      <c r="C3818" s="17"/>
      <c r="D3818" s="15"/>
      <c r="E3818" s="17"/>
      <c r="F3818" s="15"/>
      <c r="G3818" s="46"/>
      <c r="H3818" s="47"/>
      <c r="I3818" s="48"/>
      <c r="J3818" s="49"/>
    </row>
    <row r="3819">
      <c r="A3819" s="45"/>
      <c r="B3819" s="16"/>
      <c r="C3819" s="17"/>
      <c r="D3819" s="15"/>
      <c r="E3819" s="17"/>
      <c r="F3819" s="15"/>
      <c r="G3819" s="46"/>
      <c r="H3819" s="47"/>
      <c r="I3819" s="48"/>
      <c r="J3819" s="49"/>
    </row>
    <row r="3820">
      <c r="A3820" s="45"/>
      <c r="B3820" s="16"/>
      <c r="C3820" s="17"/>
      <c r="D3820" s="15"/>
      <c r="E3820" s="17"/>
      <c r="F3820" s="15"/>
      <c r="G3820" s="46"/>
      <c r="H3820" s="47"/>
      <c r="I3820" s="48"/>
      <c r="J3820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86"/>
    <col customWidth="1" min="2" max="2" width="17.57"/>
    <col customWidth="1" min="3" max="4" width="15.57"/>
    <col customWidth="1" min="5" max="5" width="15.43"/>
    <col customWidth="1" min="6" max="7" width="7.0"/>
    <col customWidth="1" min="8" max="8" width="7.29"/>
    <col customWidth="1" min="9" max="9" width="3.57"/>
    <col customWidth="1" min="10" max="10" width="30.71"/>
    <col customWidth="1" min="11" max="11" width="22.71"/>
    <col customWidth="1" min="16" max="16" width="5.86"/>
  </cols>
  <sheetData>
    <row r="1">
      <c r="F1" s="53"/>
      <c r="G1" s="53"/>
      <c r="P1" s="54"/>
    </row>
    <row r="2">
      <c r="F2" s="59"/>
      <c r="G2" s="59" t="s">
        <v>590</v>
      </c>
      <c r="O2" s="60"/>
      <c r="P2" s="61" t="s">
        <v>590</v>
      </c>
    </row>
    <row r="3">
      <c r="F3" s="54"/>
      <c r="G3" s="54">
        <f t="array" ref="G3:G640">IFERROR(D3:D640/E3:E640*100,0)</f>
        <v>88.18358019</v>
      </c>
      <c r="P3" s="54">
        <f t="array" ref="P3:P640">IFERROR(M3:M640/N3:N640*100,0)</f>
        <v>100</v>
      </c>
    </row>
    <row r="4">
      <c r="F4" s="54"/>
      <c r="G4" s="54">
        <v>72.55485007359958</v>
      </c>
      <c r="P4" s="54">
        <v>100.0</v>
      </c>
    </row>
    <row r="5">
      <c r="F5" s="54"/>
      <c r="G5" s="54">
        <v>80.38334936846404</v>
      </c>
      <c r="P5" s="54">
        <v>100.0</v>
      </c>
    </row>
    <row r="6">
      <c r="F6" s="54"/>
      <c r="G6" s="54">
        <v>89.97391705234297</v>
      </c>
      <c r="P6" s="54">
        <v>100.0</v>
      </c>
    </row>
    <row r="7">
      <c r="F7" s="54"/>
      <c r="G7" s="54">
        <v>100.00000551784274</v>
      </c>
      <c r="P7" s="54">
        <v>100.0</v>
      </c>
    </row>
    <row r="8">
      <c r="F8" s="54"/>
      <c r="G8" s="54">
        <v>127.07589185059487</v>
      </c>
      <c r="P8" s="54">
        <v>100.0</v>
      </c>
    </row>
    <row r="9">
      <c r="F9" s="54"/>
      <c r="G9" s="54">
        <v>95.20561584414277</v>
      </c>
      <c r="P9" s="54">
        <v>100.0</v>
      </c>
    </row>
    <row r="10">
      <c r="F10" s="54"/>
      <c r="G10" s="54">
        <v>96.82900255438537</v>
      </c>
      <c r="P10" s="54">
        <v>100.0</v>
      </c>
    </row>
    <row r="11">
      <c r="F11" s="54"/>
      <c r="G11" s="54">
        <v>144.57277253971498</v>
      </c>
      <c r="P11" s="54">
        <v>100.0</v>
      </c>
    </row>
    <row r="12">
      <c r="F12" s="54"/>
      <c r="G12" s="54">
        <v>515.574379605736</v>
      </c>
      <c r="P12" s="54">
        <v>100.0</v>
      </c>
    </row>
    <row r="13">
      <c r="F13" s="54"/>
      <c r="G13" s="54">
        <v>0.0</v>
      </c>
      <c r="P13" s="54">
        <v>100.0</v>
      </c>
    </row>
    <row r="14">
      <c r="F14" s="54"/>
      <c r="G14" s="54">
        <v>159.99746991635655</v>
      </c>
      <c r="P14" s="54">
        <v>100.0</v>
      </c>
    </row>
    <row r="15">
      <c r="F15" s="54"/>
      <c r="G15" s="54">
        <v>90.24180944455564</v>
      </c>
      <c r="P15" s="54">
        <v>100.0</v>
      </c>
    </row>
    <row r="16">
      <c r="F16" s="54"/>
      <c r="G16" s="54">
        <v>122.81887503239868</v>
      </c>
      <c r="P16" s="54">
        <v>100.0</v>
      </c>
    </row>
    <row r="17">
      <c r="F17" s="54"/>
      <c r="G17" s="54">
        <v>106.65747079131474</v>
      </c>
      <c r="P17" s="54">
        <v>100.0</v>
      </c>
    </row>
    <row r="18">
      <c r="F18" s="54"/>
      <c r="G18" s="54">
        <v>94.62238760429862</v>
      </c>
      <c r="P18" s="54">
        <v>100.0</v>
      </c>
    </row>
    <row r="19">
      <c r="F19" s="54"/>
      <c r="G19" s="54">
        <v>227.36812688234593</v>
      </c>
      <c r="P19" s="54">
        <v>100.0</v>
      </c>
    </row>
    <row r="20">
      <c r="F20" s="54"/>
      <c r="G20" s="54">
        <v>97.9303897944163</v>
      </c>
      <c r="P20" s="54">
        <v>100.0</v>
      </c>
    </row>
    <row r="21">
      <c r="F21" s="54"/>
      <c r="G21" s="54">
        <v>100.00000259961364</v>
      </c>
      <c r="P21" s="54">
        <v>100.0</v>
      </c>
    </row>
    <row r="22">
      <c r="F22" s="54"/>
      <c r="G22" s="54">
        <v>64.87609660254134</v>
      </c>
      <c r="P22" s="54">
        <v>100.0</v>
      </c>
    </row>
    <row r="23">
      <c r="F23" s="54"/>
      <c r="G23" s="54">
        <v>96.08973874425652</v>
      </c>
      <c r="P23" s="54">
        <v>100.0</v>
      </c>
    </row>
    <row r="24">
      <c r="F24" s="54"/>
      <c r="G24" s="54">
        <v>98.0258957137989</v>
      </c>
      <c r="P24" s="54">
        <v>100.0</v>
      </c>
    </row>
    <row r="25">
      <c r="F25" s="54"/>
      <c r="G25" s="54">
        <v>168.96181085221423</v>
      </c>
      <c r="P25" s="54">
        <v>100.0</v>
      </c>
    </row>
    <row r="26">
      <c r="F26" s="54"/>
      <c r="G26" s="54">
        <v>858.4408027499516</v>
      </c>
      <c r="P26" s="54">
        <v>100.0</v>
      </c>
    </row>
    <row r="27">
      <c r="F27" s="54"/>
      <c r="G27" s="54">
        <v>104.97686892148157</v>
      </c>
      <c r="P27" s="54">
        <v>100.0</v>
      </c>
    </row>
    <row r="28">
      <c r="F28" s="54"/>
      <c r="G28" s="54">
        <v>99.9376748860034</v>
      </c>
      <c r="P28" s="54">
        <v>100.0</v>
      </c>
    </row>
    <row r="29">
      <c r="F29" s="54"/>
      <c r="G29" s="54">
        <v>112.55666624163405</v>
      </c>
      <c r="P29" s="54">
        <v>100.0</v>
      </c>
    </row>
    <row r="30">
      <c r="F30" s="54"/>
      <c r="G30" s="54">
        <v>112.52047925348967</v>
      </c>
      <c r="P30" s="54">
        <v>100.0</v>
      </c>
    </row>
    <row r="31">
      <c r="F31" s="54"/>
      <c r="G31" s="54">
        <v>93.27122893652859</v>
      </c>
      <c r="P31" s="54">
        <v>100.0</v>
      </c>
    </row>
    <row r="32">
      <c r="F32" s="54"/>
      <c r="G32" s="54">
        <v>26.96448261838321</v>
      </c>
      <c r="P32" s="54">
        <v>100.0</v>
      </c>
    </row>
    <row r="33">
      <c r="F33" s="54"/>
      <c r="G33" s="54">
        <v>61.09563557038166</v>
      </c>
      <c r="P33" s="54">
        <v>100.0</v>
      </c>
    </row>
    <row r="34">
      <c r="F34" s="54"/>
      <c r="G34" s="54">
        <v>28.650798805676846</v>
      </c>
      <c r="P34" s="54">
        <v>100.0</v>
      </c>
    </row>
    <row r="35">
      <c r="F35" s="54"/>
      <c r="G35" s="54">
        <v>100.00000258313229</v>
      </c>
      <c r="P35" s="54">
        <v>100.0</v>
      </c>
    </row>
    <row r="36">
      <c r="F36" s="54"/>
      <c r="G36" s="54">
        <v>196.3061336510129</v>
      </c>
      <c r="P36" s="54">
        <v>100.0</v>
      </c>
    </row>
    <row r="37">
      <c r="F37" s="54"/>
      <c r="G37" s="54">
        <v>96.86564590851219</v>
      </c>
      <c r="P37" s="54">
        <v>100.0</v>
      </c>
    </row>
    <row r="38">
      <c r="F38" s="54"/>
      <c r="G38" s="54">
        <v>31.6170367905714</v>
      </c>
      <c r="P38" s="54">
        <v>100.0</v>
      </c>
    </row>
    <row r="39">
      <c r="F39" s="54"/>
      <c r="G39" s="54">
        <v>75.89031446314952</v>
      </c>
      <c r="P39" s="54">
        <v>100.0</v>
      </c>
    </row>
    <row r="40">
      <c r="F40" s="54"/>
      <c r="G40" s="54">
        <v>298.2136889032</v>
      </c>
      <c r="P40" s="54">
        <v>100.0</v>
      </c>
    </row>
    <row r="41">
      <c r="F41" s="54"/>
      <c r="G41" s="54">
        <v>56.446070005412366</v>
      </c>
      <c r="P41" s="54">
        <v>100.0</v>
      </c>
    </row>
    <row r="42">
      <c r="F42" s="54"/>
      <c r="G42" s="54">
        <v>13.730540922798593</v>
      </c>
      <c r="P42" s="54">
        <v>100.0</v>
      </c>
    </row>
    <row r="43">
      <c r="F43" s="54"/>
      <c r="G43" s="54">
        <v>1.5424750822586204</v>
      </c>
      <c r="P43" s="54">
        <v>100.0</v>
      </c>
    </row>
    <row r="44">
      <c r="F44" s="54"/>
      <c r="G44" s="54">
        <v>32.59830994598183</v>
      </c>
      <c r="P44" s="54">
        <v>100.0</v>
      </c>
    </row>
    <row r="45">
      <c r="F45" s="54"/>
      <c r="G45" s="54">
        <v>93.64320487462977</v>
      </c>
      <c r="P45" s="54">
        <v>100.0</v>
      </c>
    </row>
    <row r="46">
      <c r="F46" s="54"/>
      <c r="G46" s="54">
        <v>26.494462633955656</v>
      </c>
      <c r="P46" s="54">
        <v>100.0</v>
      </c>
    </row>
    <row r="47">
      <c r="F47" s="54"/>
      <c r="G47" s="54">
        <v>4940.980734404595</v>
      </c>
      <c r="P47" s="54">
        <v>100.0</v>
      </c>
    </row>
    <row r="48">
      <c r="F48" s="54"/>
      <c r="G48" s="54">
        <v>75.68357777638694</v>
      </c>
      <c r="P48" s="54">
        <v>100.0</v>
      </c>
    </row>
    <row r="49">
      <c r="F49" s="54"/>
      <c r="G49" s="54">
        <v>98.65173014681264</v>
      </c>
      <c r="P49" s="54">
        <v>100.0</v>
      </c>
    </row>
    <row r="50">
      <c r="F50" s="54"/>
      <c r="G50" s="54">
        <v>60.91614983748349</v>
      </c>
      <c r="P50" s="54">
        <v>100.0</v>
      </c>
    </row>
    <row r="51">
      <c r="F51" s="54"/>
      <c r="G51" s="54">
        <v>77.27318154427223</v>
      </c>
      <c r="P51" s="54">
        <v>100.0</v>
      </c>
    </row>
    <row r="52">
      <c r="F52" s="54"/>
      <c r="G52" s="54">
        <v>98.97213960424955</v>
      </c>
      <c r="P52" s="54">
        <v>0.0</v>
      </c>
    </row>
    <row r="53">
      <c r="F53" s="54"/>
      <c r="G53" s="54">
        <v>97.83396112136394</v>
      </c>
      <c r="P53" s="54">
        <v>0.0</v>
      </c>
    </row>
    <row r="54">
      <c r="F54" s="54"/>
      <c r="G54" s="54">
        <v>304.91760949102417</v>
      </c>
      <c r="P54" s="54">
        <v>0.0</v>
      </c>
    </row>
    <row r="55">
      <c r="F55" s="54"/>
      <c r="G55" s="54">
        <v>67.98000050619159</v>
      </c>
      <c r="P55" s="54">
        <v>0.0</v>
      </c>
    </row>
    <row r="56">
      <c r="F56" s="54"/>
      <c r="G56" s="54">
        <v>99.99999941364608</v>
      </c>
      <c r="P56" s="54">
        <v>0.0</v>
      </c>
    </row>
    <row r="57">
      <c r="F57" s="54"/>
      <c r="G57" s="54">
        <v>113.41817264006089</v>
      </c>
      <c r="P57" s="54">
        <v>0.0</v>
      </c>
    </row>
    <row r="58">
      <c r="F58" s="54"/>
      <c r="G58" s="54">
        <v>96.65170351521758</v>
      </c>
      <c r="P58" s="54">
        <v>0.0</v>
      </c>
    </row>
    <row r="59">
      <c r="F59" s="54"/>
      <c r="G59" s="54">
        <v>96.46712148921164</v>
      </c>
      <c r="P59" s="54">
        <v>0.0</v>
      </c>
    </row>
    <row r="60">
      <c r="F60" s="54"/>
      <c r="G60" s="54">
        <v>75.25151932829789</v>
      </c>
      <c r="P60" s="54">
        <v>0.0</v>
      </c>
    </row>
    <row r="61">
      <c r="F61" s="54"/>
      <c r="G61" s="54">
        <v>289.14447904428454</v>
      </c>
      <c r="P61" s="54">
        <v>0.0</v>
      </c>
    </row>
    <row r="62">
      <c r="F62" s="54"/>
      <c r="G62" s="54">
        <v>88.16230827003902</v>
      </c>
      <c r="P62" s="54">
        <v>0.0</v>
      </c>
    </row>
    <row r="63">
      <c r="F63" s="54"/>
      <c r="G63" s="54">
        <v>98.80466040429947</v>
      </c>
      <c r="P63" s="54">
        <v>0.0</v>
      </c>
    </row>
    <row r="64">
      <c r="F64" s="54"/>
      <c r="G64" s="54">
        <v>75.26394767685228</v>
      </c>
      <c r="P64" s="54">
        <v>0.0</v>
      </c>
    </row>
    <row r="65">
      <c r="F65" s="54"/>
      <c r="G65" s="54">
        <v>88.69180738502723</v>
      </c>
      <c r="P65" s="54">
        <v>0.0</v>
      </c>
    </row>
    <row r="66">
      <c r="F66" s="54"/>
      <c r="G66" s="54">
        <v>99.23678706648865</v>
      </c>
      <c r="P66" s="54">
        <v>0.0</v>
      </c>
    </row>
    <row r="67">
      <c r="F67" s="54"/>
      <c r="G67" s="54">
        <v>95.8352212527221</v>
      </c>
      <c r="P67" s="54">
        <v>0.0</v>
      </c>
    </row>
    <row r="68">
      <c r="F68" s="54"/>
      <c r="G68" s="54">
        <v>51.21074054983038</v>
      </c>
      <c r="P68" s="54">
        <v>0.0</v>
      </c>
    </row>
    <row r="69">
      <c r="F69" s="54"/>
      <c r="G69" s="54">
        <v>117.8321813040702</v>
      </c>
      <c r="P69" s="54">
        <v>0.0</v>
      </c>
    </row>
    <row r="70">
      <c r="F70" s="54"/>
      <c r="G70" s="54">
        <v>105.34567250683648</v>
      </c>
      <c r="P70" s="54">
        <v>0.0</v>
      </c>
    </row>
    <row r="71">
      <c r="F71" s="54"/>
      <c r="G71" s="54">
        <v>82.67716924433142</v>
      </c>
      <c r="P71" s="54">
        <v>0.0</v>
      </c>
    </row>
    <row r="72">
      <c r="F72" s="54"/>
      <c r="G72" s="54">
        <v>94.49788738923166</v>
      </c>
      <c r="P72" s="54">
        <v>0.0</v>
      </c>
    </row>
    <row r="73">
      <c r="F73" s="54"/>
      <c r="G73" s="54">
        <v>105.98764330182217</v>
      </c>
      <c r="P73" s="54">
        <v>0.0</v>
      </c>
    </row>
    <row r="74">
      <c r="F74" s="54"/>
      <c r="G74" s="54">
        <v>112.28736129583166</v>
      </c>
      <c r="P74" s="54">
        <v>0.0</v>
      </c>
    </row>
    <row r="75">
      <c r="F75" s="54"/>
      <c r="G75" s="54">
        <v>515.5152716419074</v>
      </c>
      <c r="P75" s="54">
        <v>0.0</v>
      </c>
    </row>
    <row r="76">
      <c r="F76" s="54"/>
      <c r="G76" s="54">
        <v>92.43369926043633</v>
      </c>
      <c r="P76" s="54">
        <v>0.0</v>
      </c>
    </row>
    <row r="77">
      <c r="F77" s="54"/>
      <c r="G77" s="54">
        <v>102.8961301600531</v>
      </c>
      <c r="P77" s="54">
        <v>0.0</v>
      </c>
    </row>
    <row r="78">
      <c r="F78" s="54"/>
      <c r="G78" s="54">
        <v>115.92701133890648</v>
      </c>
      <c r="P78" s="54">
        <v>0.0</v>
      </c>
    </row>
    <row r="79">
      <c r="F79" s="54"/>
      <c r="G79" s="54">
        <v>114.28558281395406</v>
      </c>
      <c r="P79" s="54">
        <v>0.0</v>
      </c>
    </row>
    <row r="80">
      <c r="F80" s="54"/>
      <c r="G80" s="54">
        <v>95.58613204548216</v>
      </c>
      <c r="P80" s="54">
        <v>0.0</v>
      </c>
    </row>
    <row r="81">
      <c r="F81" s="54"/>
      <c r="G81" s="54">
        <v>69.65229093672444</v>
      </c>
      <c r="P81" s="54">
        <v>0.0</v>
      </c>
    </row>
    <row r="82">
      <c r="F82" s="54"/>
      <c r="G82" s="54">
        <v>102.09432458105748</v>
      </c>
      <c r="P82" s="54">
        <v>0.0</v>
      </c>
    </row>
    <row r="83">
      <c r="F83" s="54"/>
      <c r="G83" s="54">
        <v>96.92192927559603</v>
      </c>
      <c r="P83" s="54">
        <v>0.0</v>
      </c>
    </row>
    <row r="84">
      <c r="F84" s="54"/>
      <c r="G84" s="54">
        <v>98.0146693728874</v>
      </c>
      <c r="P84" s="54">
        <v>0.0</v>
      </c>
    </row>
    <row r="85">
      <c r="F85" s="54"/>
      <c r="G85" s="54">
        <v>86.8859772534833</v>
      </c>
      <c r="P85" s="54">
        <v>0.0</v>
      </c>
    </row>
    <row r="86">
      <c r="F86" s="54"/>
      <c r="G86" s="54">
        <v>92.0652038481393</v>
      </c>
      <c r="P86" s="54">
        <v>0.0</v>
      </c>
    </row>
    <row r="87">
      <c r="F87" s="54"/>
      <c r="G87" s="54">
        <v>87.08967013161332</v>
      </c>
      <c r="P87" s="54">
        <v>0.0</v>
      </c>
    </row>
    <row r="88">
      <c r="F88" s="54"/>
      <c r="G88" s="54">
        <v>52.69360269360269</v>
      </c>
      <c r="P88" s="54">
        <v>0.0</v>
      </c>
    </row>
    <row r="89">
      <c r="F89" s="54"/>
      <c r="G89" s="54">
        <v>99.60447217874624</v>
      </c>
      <c r="P89" s="54">
        <v>0.0</v>
      </c>
    </row>
    <row r="90">
      <c r="F90" s="54"/>
      <c r="G90" s="54">
        <v>15.97410649205755</v>
      </c>
      <c r="P90" s="54">
        <v>0.0</v>
      </c>
    </row>
    <row r="91">
      <c r="F91" s="54"/>
      <c r="G91" s="54">
        <v>41.41714283255331</v>
      </c>
      <c r="P91" s="54">
        <v>0.0</v>
      </c>
    </row>
    <row r="92">
      <c r="F92" s="54"/>
      <c r="G92" s="54">
        <v>105.42431405499184</v>
      </c>
      <c r="P92" s="54">
        <v>0.0</v>
      </c>
    </row>
    <row r="93">
      <c r="F93" s="54"/>
      <c r="G93" s="54">
        <v>96.70917833419438</v>
      </c>
      <c r="P93" s="54">
        <v>0.0</v>
      </c>
    </row>
    <row r="94">
      <c r="F94" s="54"/>
      <c r="G94" s="54">
        <v>388.8751848951305</v>
      </c>
      <c r="P94" s="54">
        <v>0.0</v>
      </c>
    </row>
    <row r="95">
      <c r="F95" s="54"/>
      <c r="G95" s="54">
        <v>81.8548491414432</v>
      </c>
      <c r="P95" s="54">
        <v>0.0</v>
      </c>
    </row>
    <row r="96">
      <c r="F96" s="54"/>
      <c r="G96" s="54">
        <v>85.70405508922828</v>
      </c>
      <c r="P96" s="54">
        <v>0.0</v>
      </c>
    </row>
    <row r="97">
      <c r="F97" s="54"/>
      <c r="G97" s="54">
        <v>86.41537665184018</v>
      </c>
      <c r="P97" s="54">
        <v>0.0</v>
      </c>
    </row>
    <row r="98">
      <c r="F98" s="54"/>
      <c r="G98" s="54">
        <v>98.83462949734388</v>
      </c>
      <c r="P98" s="54">
        <v>0.0</v>
      </c>
    </row>
    <row r="99">
      <c r="F99" s="54"/>
      <c r="G99" s="54">
        <v>95.89278438351106</v>
      </c>
      <c r="P99" s="54">
        <v>0.0</v>
      </c>
    </row>
    <row r="100">
      <c r="F100" s="54"/>
      <c r="G100" s="54">
        <v>77.08504615105215</v>
      </c>
      <c r="P100" s="54">
        <v>0.0</v>
      </c>
    </row>
    <row r="101">
      <c r="F101" s="54"/>
      <c r="G101" s="54">
        <v>369.43830766174017</v>
      </c>
      <c r="P101" s="54">
        <v>0.0</v>
      </c>
    </row>
    <row r="102">
      <c r="F102" s="54"/>
      <c r="G102" s="54">
        <v>140.33278205178868</v>
      </c>
      <c r="P102" s="54">
        <v>0.0</v>
      </c>
    </row>
    <row r="103">
      <c r="F103" s="54"/>
      <c r="G103" s="54">
        <v>91.6359150130094</v>
      </c>
      <c r="P103" s="54">
        <v>0.0</v>
      </c>
    </row>
    <row r="104">
      <c r="F104" s="54"/>
      <c r="G104" s="54">
        <v>51.34709510816684</v>
      </c>
      <c r="P104" s="54">
        <v>0.0</v>
      </c>
    </row>
    <row r="105">
      <c r="F105" s="54"/>
      <c r="G105" s="54">
        <v>82.35692089818059</v>
      </c>
      <c r="P105" s="54">
        <v>0.0</v>
      </c>
    </row>
    <row r="106">
      <c r="F106" s="54"/>
      <c r="G106" s="54">
        <v>125.99347996188557</v>
      </c>
      <c r="P106" s="54">
        <v>0.0</v>
      </c>
    </row>
    <row r="107">
      <c r="F107" s="54"/>
      <c r="G107" s="54">
        <v>111.49321790242612</v>
      </c>
      <c r="P107" s="54">
        <v>0.0</v>
      </c>
    </row>
    <row r="108">
      <c r="F108" s="54"/>
      <c r="G108" s="54">
        <v>228.63703324732919</v>
      </c>
      <c r="P108" s="54">
        <v>0.0</v>
      </c>
    </row>
    <row r="109">
      <c r="F109" s="54"/>
      <c r="G109" s="54">
        <v>76.46629502537144</v>
      </c>
      <c r="P109" s="54">
        <v>0.0</v>
      </c>
    </row>
    <row r="110">
      <c r="F110" s="54"/>
      <c r="G110" s="54">
        <v>99.99999543169864</v>
      </c>
      <c r="P110" s="54">
        <v>0.0</v>
      </c>
    </row>
    <row r="111">
      <c r="F111" s="54"/>
      <c r="G111" s="54">
        <v>81.40531533315294</v>
      </c>
      <c r="P111" s="54">
        <v>0.0</v>
      </c>
    </row>
    <row r="112">
      <c r="F112" s="54"/>
      <c r="G112" s="54">
        <v>102.6268155524797</v>
      </c>
      <c r="P112" s="54">
        <v>0.0</v>
      </c>
    </row>
    <row r="113">
      <c r="A113" s="50"/>
      <c r="E113" s="52"/>
      <c r="F113" s="54"/>
      <c r="G113" s="54">
        <v>0.0</v>
      </c>
      <c r="P113" s="54">
        <v>0.0</v>
      </c>
    </row>
    <row r="114">
      <c r="A114" s="50"/>
      <c r="E114" s="52"/>
      <c r="F114" s="54"/>
      <c r="G114" s="54">
        <v>0.0</v>
      </c>
      <c r="P114" s="54">
        <v>0.0</v>
      </c>
    </row>
    <row r="115">
      <c r="A115" s="50"/>
      <c r="E115" s="52"/>
      <c r="F115" s="54"/>
      <c r="G115" s="54">
        <v>0.0</v>
      </c>
      <c r="P115" s="54">
        <v>0.0</v>
      </c>
    </row>
    <row r="116">
      <c r="A116" s="50"/>
      <c r="E116" s="52"/>
      <c r="F116" s="54"/>
      <c r="G116" s="54">
        <v>0.0</v>
      </c>
      <c r="P116" s="54">
        <v>0.0</v>
      </c>
    </row>
    <row r="117">
      <c r="A117" s="50"/>
      <c r="E117" s="52"/>
      <c r="F117" s="54"/>
      <c r="G117" s="54">
        <v>0.0</v>
      </c>
      <c r="P117" s="54">
        <v>0.0</v>
      </c>
    </row>
    <row r="118">
      <c r="A118" s="50"/>
      <c r="E118" s="52"/>
      <c r="F118" s="54"/>
      <c r="G118" s="54">
        <v>0.0</v>
      </c>
      <c r="P118" s="54">
        <v>0.0</v>
      </c>
    </row>
    <row r="119">
      <c r="A119" s="50"/>
      <c r="E119" s="52"/>
      <c r="F119" s="54"/>
      <c r="G119" s="54">
        <v>0.0</v>
      </c>
      <c r="P119" s="54">
        <v>0.0</v>
      </c>
    </row>
    <row r="120">
      <c r="A120" s="50"/>
      <c r="E120" s="52"/>
      <c r="F120" s="54"/>
      <c r="G120" s="54">
        <v>0.0</v>
      </c>
      <c r="P120" s="54">
        <v>0.0</v>
      </c>
    </row>
    <row r="121">
      <c r="A121" s="50"/>
      <c r="E121" s="52"/>
      <c r="F121" s="54"/>
      <c r="G121" s="54">
        <v>0.0</v>
      </c>
      <c r="P121" s="54">
        <v>0.0</v>
      </c>
    </row>
    <row r="122">
      <c r="A122" s="50"/>
      <c r="E122" s="52"/>
      <c r="F122" s="54"/>
      <c r="G122" s="54">
        <v>0.0</v>
      </c>
      <c r="P122" s="54">
        <v>0.0</v>
      </c>
    </row>
    <row r="123">
      <c r="A123" s="50"/>
      <c r="E123" s="52"/>
      <c r="F123" s="54"/>
      <c r="G123" s="54">
        <v>0.0</v>
      </c>
      <c r="P123" s="54">
        <v>0.0</v>
      </c>
    </row>
    <row r="124">
      <c r="A124" s="50"/>
      <c r="E124" s="52"/>
      <c r="F124" s="54"/>
      <c r="G124" s="54">
        <v>0.0</v>
      </c>
      <c r="P124" s="54">
        <v>0.0</v>
      </c>
    </row>
    <row r="125">
      <c r="A125" s="50"/>
      <c r="E125" s="52"/>
      <c r="F125" s="54"/>
      <c r="G125" s="54">
        <v>0.0</v>
      </c>
      <c r="P125" s="54">
        <v>0.0</v>
      </c>
    </row>
    <row r="126">
      <c r="A126" s="50"/>
      <c r="E126" s="52"/>
      <c r="F126" s="54"/>
      <c r="G126" s="54">
        <v>0.0</v>
      </c>
      <c r="P126" s="54">
        <v>0.0</v>
      </c>
    </row>
    <row r="127">
      <c r="A127" s="50"/>
      <c r="E127" s="52"/>
      <c r="F127" s="54"/>
      <c r="G127" s="54">
        <v>0.0</v>
      </c>
      <c r="P127" s="54">
        <v>0.0</v>
      </c>
    </row>
    <row r="128">
      <c r="A128" s="50"/>
      <c r="E128" s="52"/>
      <c r="F128" s="54"/>
      <c r="G128" s="54">
        <v>0.0</v>
      </c>
      <c r="P128" s="54">
        <v>0.0</v>
      </c>
    </row>
    <row r="129">
      <c r="A129" s="50"/>
      <c r="E129" s="52"/>
      <c r="F129" s="54"/>
      <c r="G129" s="54">
        <v>0.0</v>
      </c>
      <c r="P129" s="54">
        <v>0.0</v>
      </c>
    </row>
    <row r="130">
      <c r="A130" s="50"/>
      <c r="E130" s="52"/>
      <c r="F130" s="54"/>
      <c r="G130" s="54">
        <v>0.0</v>
      </c>
      <c r="P130" s="54">
        <v>0.0</v>
      </c>
    </row>
    <row r="131">
      <c r="A131" s="50"/>
      <c r="E131" s="52"/>
      <c r="F131" s="54"/>
      <c r="G131" s="54">
        <v>0.0</v>
      </c>
      <c r="P131" s="54">
        <v>0.0</v>
      </c>
    </row>
    <row r="132">
      <c r="A132" s="50"/>
      <c r="E132" s="52"/>
      <c r="F132" s="54"/>
      <c r="G132" s="54">
        <v>0.0</v>
      </c>
      <c r="P132" s="54">
        <v>0.0</v>
      </c>
    </row>
    <row r="133">
      <c r="A133" s="50"/>
      <c r="E133" s="52"/>
      <c r="F133" s="54"/>
      <c r="G133" s="54">
        <v>0.0</v>
      </c>
      <c r="P133" s="54">
        <v>0.0</v>
      </c>
    </row>
    <row r="134">
      <c r="A134" s="50"/>
      <c r="E134" s="52"/>
      <c r="F134" s="54"/>
      <c r="G134" s="54">
        <v>0.0</v>
      </c>
      <c r="P134" s="54">
        <v>0.0</v>
      </c>
    </row>
    <row r="135">
      <c r="A135" s="50"/>
      <c r="E135" s="52"/>
      <c r="F135" s="54"/>
      <c r="G135" s="54">
        <v>0.0</v>
      </c>
      <c r="P135" s="54">
        <v>0.0</v>
      </c>
    </row>
    <row r="136">
      <c r="A136" s="50"/>
      <c r="E136" s="52"/>
      <c r="F136" s="54"/>
      <c r="G136" s="54">
        <v>0.0</v>
      </c>
      <c r="P136" s="54">
        <v>0.0</v>
      </c>
    </row>
    <row r="137">
      <c r="A137" s="50"/>
      <c r="E137" s="52"/>
      <c r="F137" s="54"/>
      <c r="G137" s="54">
        <v>0.0</v>
      </c>
      <c r="P137" s="54">
        <v>0.0</v>
      </c>
    </row>
    <row r="138">
      <c r="A138" s="50"/>
      <c r="E138" s="52"/>
      <c r="F138" s="54"/>
      <c r="G138" s="54">
        <v>0.0</v>
      </c>
      <c r="P138" s="54">
        <v>0.0</v>
      </c>
    </row>
    <row r="139">
      <c r="A139" s="50"/>
      <c r="E139" s="52"/>
      <c r="F139" s="54"/>
      <c r="G139" s="54">
        <v>0.0</v>
      </c>
      <c r="P139" s="54">
        <v>0.0</v>
      </c>
    </row>
    <row r="140">
      <c r="A140" s="50"/>
      <c r="E140" s="52"/>
      <c r="F140" s="54"/>
      <c r="G140" s="54">
        <v>0.0</v>
      </c>
      <c r="P140" s="54">
        <v>0.0</v>
      </c>
    </row>
    <row r="141">
      <c r="A141" s="50"/>
      <c r="E141" s="52"/>
      <c r="F141" s="54"/>
      <c r="G141" s="54">
        <v>0.0</v>
      </c>
      <c r="P141" s="54">
        <v>0.0</v>
      </c>
    </row>
    <row r="142">
      <c r="A142" s="50"/>
      <c r="E142" s="52"/>
      <c r="F142" s="54"/>
      <c r="G142" s="54">
        <v>0.0</v>
      </c>
      <c r="P142" s="54">
        <v>0.0</v>
      </c>
    </row>
    <row r="143">
      <c r="A143" s="50"/>
      <c r="E143" s="52"/>
      <c r="F143" s="54"/>
      <c r="G143" s="54">
        <v>0.0</v>
      </c>
      <c r="P143" s="54">
        <v>0.0</v>
      </c>
    </row>
    <row r="144">
      <c r="A144" s="50"/>
      <c r="E144" s="52"/>
      <c r="F144" s="54"/>
      <c r="G144" s="54">
        <v>0.0</v>
      </c>
      <c r="P144" s="54">
        <v>0.0</v>
      </c>
    </row>
    <row r="145">
      <c r="A145" s="50"/>
      <c r="E145" s="52"/>
      <c r="F145" s="54"/>
      <c r="G145" s="54">
        <v>0.0</v>
      </c>
      <c r="P145" s="54">
        <v>0.0</v>
      </c>
    </row>
    <row r="146">
      <c r="A146" s="50"/>
      <c r="E146" s="52"/>
      <c r="F146" s="54"/>
      <c r="G146" s="54">
        <v>0.0</v>
      </c>
      <c r="P146" s="54">
        <v>0.0</v>
      </c>
    </row>
    <row r="147">
      <c r="A147" s="50"/>
      <c r="E147" s="52"/>
      <c r="F147" s="54"/>
      <c r="G147" s="54">
        <v>0.0</v>
      </c>
      <c r="P147" s="54">
        <v>0.0</v>
      </c>
    </row>
    <row r="148">
      <c r="A148" s="50"/>
      <c r="E148" s="52"/>
      <c r="F148" s="54"/>
      <c r="G148" s="54">
        <v>0.0</v>
      </c>
      <c r="P148" s="54">
        <v>0.0</v>
      </c>
    </row>
    <row r="149">
      <c r="A149" s="50"/>
      <c r="E149" s="52"/>
      <c r="F149" s="54"/>
      <c r="G149" s="54">
        <v>0.0</v>
      </c>
      <c r="P149" s="54">
        <v>0.0</v>
      </c>
    </row>
    <row r="150">
      <c r="A150" s="50"/>
      <c r="E150" s="52"/>
      <c r="F150" s="54"/>
      <c r="G150" s="54">
        <v>0.0</v>
      </c>
      <c r="P150" s="54">
        <v>0.0</v>
      </c>
    </row>
    <row r="151">
      <c r="A151" s="50"/>
      <c r="E151" s="52"/>
      <c r="F151" s="54"/>
      <c r="G151" s="54">
        <v>0.0</v>
      </c>
      <c r="P151" s="54">
        <v>0.0</v>
      </c>
    </row>
    <row r="152">
      <c r="A152" s="50"/>
      <c r="E152" s="52"/>
      <c r="F152" s="54"/>
      <c r="G152" s="54">
        <v>0.0</v>
      </c>
      <c r="P152" s="54">
        <v>0.0</v>
      </c>
    </row>
    <row r="153">
      <c r="A153" s="50"/>
      <c r="E153" s="52"/>
      <c r="F153" s="54"/>
      <c r="G153" s="54">
        <v>0.0</v>
      </c>
      <c r="P153" s="54">
        <v>0.0</v>
      </c>
    </row>
    <row r="154">
      <c r="A154" s="50"/>
      <c r="E154" s="52"/>
      <c r="F154" s="54"/>
      <c r="G154" s="54">
        <v>0.0</v>
      </c>
      <c r="P154" s="54">
        <v>0.0</v>
      </c>
    </row>
    <row r="155">
      <c r="A155" s="50"/>
      <c r="E155" s="52"/>
      <c r="F155" s="54"/>
      <c r="G155" s="54">
        <v>0.0</v>
      </c>
      <c r="P155" s="54">
        <v>0.0</v>
      </c>
    </row>
    <row r="156">
      <c r="A156" s="50"/>
      <c r="E156" s="52"/>
      <c r="F156" s="54"/>
      <c r="G156" s="54">
        <v>0.0</v>
      </c>
      <c r="P156" s="54">
        <v>0.0</v>
      </c>
    </row>
    <row r="157">
      <c r="A157" s="50"/>
      <c r="E157" s="52"/>
      <c r="F157" s="54"/>
      <c r="G157" s="54">
        <v>0.0</v>
      </c>
      <c r="P157" s="54">
        <v>0.0</v>
      </c>
    </row>
    <row r="158">
      <c r="A158" s="50"/>
      <c r="E158" s="52"/>
      <c r="F158" s="54"/>
      <c r="G158" s="54">
        <v>0.0</v>
      </c>
      <c r="P158" s="54">
        <v>0.0</v>
      </c>
    </row>
    <row r="159">
      <c r="A159" s="50"/>
      <c r="E159" s="52"/>
      <c r="F159" s="54"/>
      <c r="G159" s="54">
        <v>0.0</v>
      </c>
      <c r="P159" s="54">
        <v>0.0</v>
      </c>
    </row>
    <row r="160">
      <c r="A160" s="50"/>
      <c r="E160" s="52"/>
      <c r="F160" s="54"/>
      <c r="G160" s="54">
        <v>0.0</v>
      </c>
      <c r="P160" s="54">
        <v>0.0</v>
      </c>
    </row>
    <row r="161">
      <c r="A161" s="50"/>
      <c r="E161" s="52"/>
      <c r="F161" s="54"/>
      <c r="G161" s="54">
        <v>0.0</v>
      </c>
      <c r="P161" s="54">
        <v>0.0</v>
      </c>
    </row>
    <row r="162">
      <c r="A162" s="50"/>
      <c r="E162" s="52"/>
      <c r="F162" s="54"/>
      <c r="G162" s="54">
        <v>0.0</v>
      </c>
      <c r="P162" s="54">
        <v>0.0</v>
      </c>
    </row>
    <row r="163">
      <c r="A163" s="50"/>
      <c r="E163" s="52"/>
      <c r="F163" s="54"/>
      <c r="G163" s="54">
        <v>0.0</v>
      </c>
      <c r="P163" s="54">
        <v>0.0</v>
      </c>
    </row>
    <row r="164">
      <c r="A164" s="50"/>
      <c r="E164" s="52"/>
      <c r="F164" s="54"/>
      <c r="G164" s="54">
        <v>0.0</v>
      </c>
      <c r="P164" s="54">
        <v>0.0</v>
      </c>
    </row>
    <row r="165">
      <c r="A165" s="50"/>
      <c r="E165" s="52"/>
      <c r="F165" s="54"/>
      <c r="G165" s="54">
        <v>0.0</v>
      </c>
      <c r="P165" s="54">
        <v>0.0</v>
      </c>
    </row>
    <row r="166">
      <c r="A166" s="50"/>
      <c r="E166" s="52"/>
      <c r="F166" s="54"/>
      <c r="G166" s="54">
        <v>0.0</v>
      </c>
      <c r="P166" s="54">
        <v>0.0</v>
      </c>
    </row>
    <row r="167">
      <c r="A167" s="50"/>
      <c r="E167" s="52"/>
      <c r="F167" s="54"/>
      <c r="G167" s="54">
        <v>0.0</v>
      </c>
      <c r="P167" s="54">
        <v>0.0</v>
      </c>
    </row>
    <row r="168">
      <c r="A168" s="50"/>
      <c r="E168" s="52"/>
      <c r="F168" s="54"/>
      <c r="G168" s="54">
        <v>0.0</v>
      </c>
      <c r="P168" s="54">
        <v>0.0</v>
      </c>
    </row>
    <row r="169">
      <c r="A169" s="50"/>
      <c r="E169" s="52"/>
      <c r="F169" s="54"/>
      <c r="G169" s="54">
        <v>0.0</v>
      </c>
      <c r="P169" s="54">
        <v>0.0</v>
      </c>
    </row>
    <row r="170">
      <c r="A170" s="50"/>
      <c r="E170" s="52"/>
      <c r="F170" s="54"/>
      <c r="G170" s="54">
        <v>0.0</v>
      </c>
      <c r="P170" s="54">
        <v>0.0</v>
      </c>
    </row>
    <row r="171">
      <c r="A171" s="50"/>
      <c r="E171" s="52"/>
      <c r="F171" s="54"/>
      <c r="G171" s="54">
        <v>0.0</v>
      </c>
      <c r="P171" s="54">
        <v>0.0</v>
      </c>
    </row>
    <row r="172">
      <c r="A172" s="50"/>
      <c r="E172" s="52"/>
      <c r="F172" s="54"/>
      <c r="G172" s="54">
        <v>0.0</v>
      </c>
      <c r="P172" s="54">
        <v>0.0</v>
      </c>
    </row>
    <row r="173">
      <c r="A173" s="50"/>
      <c r="E173" s="52"/>
      <c r="F173" s="54"/>
      <c r="G173" s="54">
        <v>0.0</v>
      </c>
      <c r="P173" s="54">
        <v>0.0</v>
      </c>
    </row>
    <row r="174">
      <c r="A174" s="50"/>
      <c r="E174" s="52"/>
      <c r="F174" s="54"/>
      <c r="G174" s="54">
        <v>0.0</v>
      </c>
      <c r="P174" s="54">
        <v>0.0</v>
      </c>
    </row>
    <row r="175">
      <c r="A175" s="50"/>
      <c r="E175" s="52"/>
      <c r="F175" s="54"/>
      <c r="G175" s="54">
        <v>0.0</v>
      </c>
      <c r="P175" s="54">
        <v>0.0</v>
      </c>
    </row>
    <row r="176">
      <c r="A176" s="50"/>
      <c r="E176" s="52"/>
      <c r="F176" s="54"/>
      <c r="G176" s="54">
        <v>0.0</v>
      </c>
      <c r="P176" s="54">
        <v>0.0</v>
      </c>
    </row>
    <row r="177">
      <c r="A177" s="50"/>
      <c r="E177" s="52"/>
      <c r="F177" s="54"/>
      <c r="G177" s="54">
        <v>0.0</v>
      </c>
      <c r="P177" s="54">
        <v>0.0</v>
      </c>
    </row>
    <row r="178">
      <c r="A178" s="50"/>
      <c r="E178" s="52"/>
      <c r="F178" s="54"/>
      <c r="G178" s="54">
        <v>0.0</v>
      </c>
      <c r="P178" s="54">
        <v>0.0</v>
      </c>
    </row>
    <row r="179">
      <c r="A179" s="50"/>
      <c r="E179" s="52"/>
      <c r="F179" s="54"/>
      <c r="G179" s="54">
        <v>0.0</v>
      </c>
      <c r="P179" s="54">
        <v>0.0</v>
      </c>
    </row>
    <row r="180">
      <c r="A180" s="50"/>
      <c r="E180" s="52"/>
      <c r="F180" s="54"/>
      <c r="G180" s="54">
        <v>0.0</v>
      </c>
      <c r="P180" s="54">
        <v>0.0</v>
      </c>
    </row>
    <row r="181">
      <c r="A181" s="50"/>
      <c r="E181" s="52"/>
      <c r="F181" s="54"/>
      <c r="G181" s="54">
        <v>0.0</v>
      </c>
      <c r="P181" s="54">
        <v>0.0</v>
      </c>
    </row>
    <row r="182">
      <c r="A182" s="50"/>
      <c r="E182" s="52"/>
      <c r="F182" s="54"/>
      <c r="G182" s="54">
        <v>0.0</v>
      </c>
      <c r="P182" s="54">
        <v>0.0</v>
      </c>
    </row>
    <row r="183">
      <c r="A183" s="50"/>
      <c r="E183" s="52"/>
      <c r="F183" s="54"/>
      <c r="G183" s="54">
        <v>0.0</v>
      </c>
      <c r="P183" s="54">
        <v>0.0</v>
      </c>
    </row>
    <row r="184">
      <c r="A184" s="50"/>
      <c r="E184" s="52"/>
      <c r="F184" s="54"/>
      <c r="G184" s="54">
        <v>0.0</v>
      </c>
      <c r="P184" s="54">
        <v>0.0</v>
      </c>
    </row>
    <row r="185">
      <c r="A185" s="50"/>
      <c r="E185" s="52"/>
      <c r="F185" s="54"/>
      <c r="G185" s="54">
        <v>0.0</v>
      </c>
      <c r="P185" s="54">
        <v>0.0</v>
      </c>
    </row>
    <row r="186">
      <c r="A186" s="50"/>
      <c r="E186" s="52"/>
      <c r="F186" s="54"/>
      <c r="G186" s="54">
        <v>0.0</v>
      </c>
      <c r="P186" s="54">
        <v>0.0</v>
      </c>
    </row>
    <row r="187">
      <c r="A187" s="50"/>
      <c r="E187" s="52"/>
      <c r="F187" s="54"/>
      <c r="G187" s="54">
        <v>0.0</v>
      </c>
      <c r="P187" s="54">
        <v>0.0</v>
      </c>
    </row>
    <row r="188">
      <c r="A188" s="50"/>
      <c r="E188" s="52"/>
      <c r="F188" s="54"/>
      <c r="G188" s="54">
        <v>0.0</v>
      </c>
      <c r="P188" s="54">
        <v>0.0</v>
      </c>
    </row>
    <row r="189">
      <c r="A189" s="50"/>
      <c r="E189" s="52"/>
      <c r="F189" s="54"/>
      <c r="G189" s="54">
        <v>0.0</v>
      </c>
      <c r="P189" s="54">
        <v>0.0</v>
      </c>
    </row>
    <row r="190">
      <c r="A190" s="50"/>
      <c r="E190" s="52"/>
      <c r="F190" s="54"/>
      <c r="G190" s="54">
        <v>0.0</v>
      </c>
      <c r="P190" s="54">
        <v>0.0</v>
      </c>
    </row>
    <row r="191">
      <c r="A191" s="50"/>
      <c r="E191" s="52"/>
      <c r="F191" s="54"/>
      <c r="G191" s="54">
        <v>0.0</v>
      </c>
      <c r="P191" s="54">
        <v>0.0</v>
      </c>
    </row>
    <row r="192">
      <c r="A192" s="50"/>
      <c r="E192" s="52"/>
      <c r="F192" s="54"/>
      <c r="G192" s="54">
        <v>0.0</v>
      </c>
      <c r="P192" s="54">
        <v>0.0</v>
      </c>
    </row>
    <row r="193">
      <c r="A193" s="50"/>
      <c r="E193" s="52"/>
      <c r="F193" s="54"/>
      <c r="G193" s="54">
        <v>0.0</v>
      </c>
      <c r="P193" s="54">
        <v>0.0</v>
      </c>
    </row>
    <row r="194">
      <c r="A194" s="50"/>
      <c r="E194" s="52"/>
      <c r="F194" s="54"/>
      <c r="G194" s="54">
        <v>0.0</v>
      </c>
      <c r="P194" s="54">
        <v>0.0</v>
      </c>
    </row>
    <row r="195">
      <c r="A195" s="50"/>
      <c r="E195" s="52"/>
      <c r="F195" s="54"/>
      <c r="G195" s="54">
        <v>0.0</v>
      </c>
      <c r="P195" s="54">
        <v>0.0</v>
      </c>
    </row>
    <row r="196">
      <c r="A196" s="50"/>
      <c r="E196" s="52"/>
      <c r="F196" s="54"/>
      <c r="G196" s="54">
        <v>0.0</v>
      </c>
      <c r="P196" s="54">
        <v>0.0</v>
      </c>
    </row>
    <row r="197">
      <c r="A197" s="50"/>
      <c r="E197" s="52"/>
      <c r="F197" s="54"/>
      <c r="G197" s="54">
        <v>0.0</v>
      </c>
      <c r="P197" s="54">
        <v>0.0</v>
      </c>
    </row>
    <row r="198">
      <c r="A198" s="50"/>
      <c r="E198" s="52"/>
      <c r="F198" s="54"/>
      <c r="G198" s="54">
        <v>0.0</v>
      </c>
      <c r="P198" s="54">
        <v>0.0</v>
      </c>
    </row>
    <row r="199">
      <c r="A199" s="50"/>
      <c r="E199" s="52"/>
      <c r="F199" s="54"/>
      <c r="G199" s="54">
        <v>0.0</v>
      </c>
      <c r="P199" s="54">
        <v>0.0</v>
      </c>
    </row>
    <row r="200">
      <c r="A200" s="50"/>
      <c r="E200" s="52"/>
      <c r="F200" s="54"/>
      <c r="G200" s="54">
        <v>0.0</v>
      </c>
      <c r="P200" s="54">
        <v>0.0</v>
      </c>
    </row>
    <row r="201">
      <c r="A201" s="50"/>
      <c r="E201" s="52"/>
      <c r="F201" s="54"/>
      <c r="G201" s="54">
        <v>0.0</v>
      </c>
      <c r="P201" s="54">
        <v>0.0</v>
      </c>
    </row>
    <row r="202">
      <c r="A202" s="50"/>
      <c r="E202" s="52"/>
      <c r="F202" s="54"/>
      <c r="G202" s="54">
        <v>0.0</v>
      </c>
      <c r="P202" s="54">
        <v>0.0</v>
      </c>
    </row>
    <row r="203">
      <c r="A203" s="50"/>
      <c r="E203" s="52"/>
      <c r="F203" s="54"/>
      <c r="G203" s="54">
        <v>0.0</v>
      </c>
      <c r="P203" s="54">
        <v>0.0</v>
      </c>
    </row>
    <row r="204">
      <c r="A204" s="50"/>
      <c r="E204" s="52"/>
      <c r="F204" s="54"/>
      <c r="G204" s="54">
        <v>0.0</v>
      </c>
      <c r="P204" s="54">
        <v>0.0</v>
      </c>
    </row>
    <row r="205">
      <c r="A205" s="50"/>
      <c r="E205" s="52"/>
      <c r="F205" s="54"/>
      <c r="G205" s="54">
        <v>0.0</v>
      </c>
      <c r="P205" s="54">
        <v>0.0</v>
      </c>
    </row>
    <row r="206">
      <c r="A206" s="50"/>
      <c r="E206" s="52"/>
      <c r="F206" s="54"/>
      <c r="G206" s="54">
        <v>0.0</v>
      </c>
      <c r="P206" s="54">
        <v>0.0</v>
      </c>
    </row>
    <row r="207">
      <c r="A207" s="50"/>
      <c r="E207" s="52"/>
      <c r="F207" s="54"/>
      <c r="G207" s="54">
        <v>0.0</v>
      </c>
      <c r="P207" s="54">
        <v>0.0</v>
      </c>
    </row>
    <row r="208">
      <c r="A208" s="50"/>
      <c r="E208" s="52"/>
      <c r="F208" s="54"/>
      <c r="G208" s="54">
        <v>0.0</v>
      </c>
      <c r="P208" s="54">
        <v>0.0</v>
      </c>
    </row>
    <row r="209">
      <c r="A209" s="50"/>
      <c r="E209" s="52"/>
      <c r="F209" s="54"/>
      <c r="G209" s="54">
        <v>0.0</v>
      </c>
      <c r="P209" s="54">
        <v>0.0</v>
      </c>
    </row>
    <row r="210">
      <c r="A210" s="50"/>
      <c r="E210" s="52"/>
      <c r="F210" s="54"/>
      <c r="G210" s="54">
        <v>0.0</v>
      </c>
      <c r="P210" s="54">
        <v>0.0</v>
      </c>
    </row>
    <row r="211">
      <c r="A211" s="50"/>
      <c r="E211" s="52"/>
      <c r="F211" s="54"/>
      <c r="G211" s="54">
        <v>0.0</v>
      </c>
      <c r="P211" s="54">
        <v>0.0</v>
      </c>
    </row>
    <row r="212">
      <c r="A212" s="50"/>
      <c r="E212" s="52"/>
      <c r="F212" s="54"/>
      <c r="G212" s="54">
        <v>0.0</v>
      </c>
      <c r="P212" s="54">
        <v>0.0</v>
      </c>
    </row>
    <row r="213">
      <c r="A213" s="50"/>
      <c r="E213" s="52"/>
      <c r="F213" s="54"/>
      <c r="G213" s="54">
        <v>0.0</v>
      </c>
      <c r="P213" s="54">
        <v>0.0</v>
      </c>
    </row>
    <row r="214">
      <c r="A214" s="50"/>
      <c r="E214" s="52"/>
      <c r="F214" s="54"/>
      <c r="G214" s="54">
        <v>0.0</v>
      </c>
      <c r="P214" s="54">
        <v>0.0</v>
      </c>
    </row>
    <row r="215">
      <c r="A215" s="50"/>
      <c r="E215" s="52"/>
      <c r="F215" s="54"/>
      <c r="G215" s="54">
        <v>0.0</v>
      </c>
      <c r="P215" s="54">
        <v>0.0</v>
      </c>
    </row>
    <row r="216">
      <c r="A216" s="50"/>
      <c r="E216" s="52"/>
      <c r="F216" s="54"/>
      <c r="G216" s="54">
        <v>0.0</v>
      </c>
      <c r="P216" s="54">
        <v>0.0</v>
      </c>
    </row>
    <row r="217">
      <c r="A217" s="50"/>
      <c r="E217" s="52"/>
      <c r="F217" s="54"/>
      <c r="G217" s="54">
        <v>0.0</v>
      </c>
      <c r="P217" s="54">
        <v>0.0</v>
      </c>
    </row>
    <row r="218">
      <c r="A218" s="50"/>
      <c r="E218" s="52"/>
      <c r="F218" s="54"/>
      <c r="G218" s="54">
        <v>0.0</v>
      </c>
      <c r="P218" s="54">
        <v>0.0</v>
      </c>
    </row>
    <row r="219">
      <c r="A219" s="50"/>
      <c r="E219" s="52"/>
      <c r="F219" s="54"/>
      <c r="G219" s="54">
        <v>0.0</v>
      </c>
      <c r="P219" s="54">
        <v>0.0</v>
      </c>
    </row>
    <row r="220">
      <c r="A220" s="50"/>
      <c r="E220" s="52"/>
      <c r="F220" s="54"/>
      <c r="G220" s="54">
        <v>0.0</v>
      </c>
      <c r="P220" s="54">
        <v>0.0</v>
      </c>
    </row>
    <row r="221">
      <c r="A221" s="50"/>
      <c r="E221" s="52"/>
      <c r="F221" s="54"/>
      <c r="G221" s="54">
        <v>0.0</v>
      </c>
      <c r="P221" s="54">
        <v>0.0</v>
      </c>
    </row>
    <row r="222">
      <c r="A222" s="50"/>
      <c r="E222" s="52"/>
      <c r="F222" s="54"/>
      <c r="G222" s="54">
        <v>0.0</v>
      </c>
      <c r="P222" s="54">
        <v>0.0</v>
      </c>
    </row>
    <row r="223">
      <c r="A223" s="50"/>
      <c r="E223" s="52"/>
      <c r="F223" s="54"/>
      <c r="G223" s="54">
        <v>0.0</v>
      </c>
      <c r="P223" s="54">
        <v>0.0</v>
      </c>
    </row>
    <row r="224">
      <c r="A224" s="50"/>
      <c r="E224" s="52"/>
      <c r="F224" s="54"/>
      <c r="G224" s="54">
        <v>0.0</v>
      </c>
      <c r="P224" s="54">
        <v>0.0</v>
      </c>
    </row>
    <row r="225">
      <c r="A225" s="50"/>
      <c r="E225" s="52"/>
      <c r="F225" s="54"/>
      <c r="G225" s="54">
        <v>0.0</v>
      </c>
      <c r="P225" s="54">
        <v>0.0</v>
      </c>
    </row>
    <row r="226">
      <c r="A226" s="50"/>
      <c r="E226" s="52"/>
      <c r="F226" s="54"/>
      <c r="G226" s="54">
        <v>0.0</v>
      </c>
      <c r="P226" s="54">
        <v>0.0</v>
      </c>
    </row>
    <row r="227">
      <c r="A227" s="50"/>
      <c r="E227" s="52"/>
      <c r="F227" s="54"/>
      <c r="G227" s="54">
        <v>0.0</v>
      </c>
      <c r="P227" s="54">
        <v>0.0</v>
      </c>
    </row>
    <row r="228">
      <c r="A228" s="50"/>
      <c r="E228" s="52"/>
      <c r="F228" s="54"/>
      <c r="G228" s="54">
        <v>0.0</v>
      </c>
      <c r="P228" s="54">
        <v>0.0</v>
      </c>
    </row>
    <row r="229">
      <c r="A229" s="50"/>
      <c r="E229" s="52"/>
      <c r="F229" s="54"/>
      <c r="G229" s="54">
        <v>0.0</v>
      </c>
      <c r="P229" s="54">
        <v>0.0</v>
      </c>
    </row>
    <row r="230">
      <c r="A230" s="50"/>
      <c r="E230" s="52"/>
      <c r="F230" s="54"/>
      <c r="G230" s="54">
        <v>0.0</v>
      </c>
      <c r="P230" s="54">
        <v>0.0</v>
      </c>
    </row>
    <row r="231">
      <c r="A231" s="50"/>
      <c r="E231" s="52"/>
      <c r="F231" s="54"/>
      <c r="G231" s="54">
        <v>0.0</v>
      </c>
      <c r="P231" s="54">
        <v>0.0</v>
      </c>
    </row>
    <row r="232">
      <c r="A232" s="50"/>
      <c r="E232" s="52"/>
      <c r="F232" s="54"/>
      <c r="G232" s="54">
        <v>0.0</v>
      </c>
      <c r="P232" s="54">
        <v>0.0</v>
      </c>
    </row>
    <row r="233">
      <c r="A233" s="50"/>
      <c r="E233" s="52"/>
      <c r="F233" s="54"/>
      <c r="G233" s="54">
        <v>0.0</v>
      </c>
      <c r="P233" s="54">
        <v>0.0</v>
      </c>
    </row>
    <row r="234">
      <c r="A234" s="50"/>
      <c r="E234" s="52"/>
      <c r="F234" s="54"/>
      <c r="G234" s="54">
        <v>0.0</v>
      </c>
      <c r="P234" s="54">
        <v>0.0</v>
      </c>
    </row>
    <row r="235">
      <c r="A235" s="50"/>
      <c r="E235" s="52"/>
      <c r="F235" s="54"/>
      <c r="G235" s="54">
        <v>0.0</v>
      </c>
      <c r="P235" s="54">
        <v>0.0</v>
      </c>
    </row>
    <row r="236">
      <c r="A236" s="50"/>
      <c r="E236" s="52"/>
      <c r="F236" s="54"/>
      <c r="G236" s="54">
        <v>0.0</v>
      </c>
      <c r="P236" s="54">
        <v>0.0</v>
      </c>
    </row>
    <row r="237">
      <c r="A237" s="50"/>
      <c r="E237" s="52"/>
      <c r="F237" s="54"/>
      <c r="G237" s="54">
        <v>0.0</v>
      </c>
      <c r="P237" s="54">
        <v>0.0</v>
      </c>
    </row>
    <row r="238">
      <c r="A238" s="50"/>
      <c r="E238" s="52"/>
      <c r="F238" s="54"/>
      <c r="G238" s="54">
        <v>0.0</v>
      </c>
      <c r="P238" s="54">
        <v>0.0</v>
      </c>
    </row>
    <row r="239">
      <c r="A239" s="50"/>
      <c r="E239" s="52"/>
      <c r="F239" s="54"/>
      <c r="G239" s="54">
        <v>0.0</v>
      </c>
      <c r="P239" s="54">
        <v>0.0</v>
      </c>
    </row>
    <row r="240">
      <c r="A240" s="50"/>
      <c r="E240" s="52"/>
      <c r="F240" s="54"/>
      <c r="G240" s="54">
        <v>0.0</v>
      </c>
      <c r="P240" s="54">
        <v>0.0</v>
      </c>
    </row>
    <row r="241">
      <c r="A241" s="50"/>
      <c r="E241" s="52"/>
      <c r="F241" s="54"/>
      <c r="G241" s="54">
        <v>0.0</v>
      </c>
      <c r="P241" s="54">
        <v>0.0</v>
      </c>
    </row>
    <row r="242">
      <c r="A242" s="50"/>
      <c r="E242" s="52"/>
      <c r="F242" s="54"/>
      <c r="G242" s="54">
        <v>0.0</v>
      </c>
      <c r="P242" s="54">
        <v>0.0</v>
      </c>
    </row>
    <row r="243">
      <c r="A243" s="50"/>
      <c r="E243" s="52"/>
      <c r="F243" s="54"/>
      <c r="G243" s="54">
        <v>0.0</v>
      </c>
      <c r="P243" s="54">
        <v>0.0</v>
      </c>
    </row>
    <row r="244">
      <c r="A244" s="50"/>
      <c r="E244" s="52"/>
      <c r="F244" s="54"/>
      <c r="G244" s="54">
        <v>0.0</v>
      </c>
      <c r="P244" s="54">
        <v>0.0</v>
      </c>
    </row>
    <row r="245">
      <c r="A245" s="50"/>
      <c r="E245" s="52"/>
      <c r="F245" s="54"/>
      <c r="G245" s="54">
        <v>0.0</v>
      </c>
      <c r="P245" s="54">
        <v>0.0</v>
      </c>
    </row>
    <row r="246">
      <c r="A246" s="50"/>
      <c r="E246" s="52"/>
      <c r="F246" s="54"/>
      <c r="G246" s="54">
        <v>0.0</v>
      </c>
      <c r="P246" s="54">
        <v>0.0</v>
      </c>
    </row>
    <row r="247">
      <c r="A247" s="50"/>
      <c r="E247" s="52"/>
      <c r="F247" s="54"/>
      <c r="G247" s="54">
        <v>0.0</v>
      </c>
      <c r="P247" s="54">
        <v>0.0</v>
      </c>
    </row>
    <row r="248">
      <c r="A248" s="50"/>
      <c r="E248" s="52"/>
      <c r="F248" s="54"/>
      <c r="G248" s="54">
        <v>0.0</v>
      </c>
      <c r="P248" s="54">
        <v>0.0</v>
      </c>
    </row>
    <row r="249">
      <c r="A249" s="50"/>
      <c r="E249" s="52"/>
      <c r="F249" s="54"/>
      <c r="G249" s="54">
        <v>0.0</v>
      </c>
      <c r="P249" s="54">
        <v>0.0</v>
      </c>
    </row>
    <row r="250">
      <c r="A250" s="50"/>
      <c r="E250" s="52"/>
      <c r="F250" s="54"/>
      <c r="G250" s="54">
        <v>0.0</v>
      </c>
      <c r="P250" s="54">
        <v>0.0</v>
      </c>
    </row>
    <row r="251">
      <c r="A251" s="50"/>
      <c r="E251" s="52"/>
      <c r="F251" s="54"/>
      <c r="G251" s="54">
        <v>0.0</v>
      </c>
      <c r="P251" s="54">
        <v>0.0</v>
      </c>
    </row>
    <row r="252">
      <c r="A252" s="50"/>
      <c r="E252" s="52"/>
      <c r="F252" s="54"/>
      <c r="G252" s="54">
        <v>0.0</v>
      </c>
      <c r="P252" s="54">
        <v>0.0</v>
      </c>
    </row>
    <row r="253">
      <c r="A253" s="50"/>
      <c r="E253" s="52"/>
      <c r="F253" s="54"/>
      <c r="G253" s="54">
        <v>0.0</v>
      </c>
      <c r="P253" s="54">
        <v>0.0</v>
      </c>
    </row>
    <row r="254">
      <c r="A254" s="50"/>
      <c r="E254" s="52"/>
      <c r="F254" s="54"/>
      <c r="G254" s="54">
        <v>0.0</v>
      </c>
      <c r="P254" s="54">
        <v>0.0</v>
      </c>
    </row>
    <row r="255">
      <c r="A255" s="50"/>
      <c r="E255" s="52"/>
      <c r="F255" s="54"/>
      <c r="G255" s="54">
        <v>0.0</v>
      </c>
      <c r="P255" s="54">
        <v>0.0</v>
      </c>
    </row>
    <row r="256">
      <c r="A256" s="50"/>
      <c r="E256" s="52"/>
      <c r="F256" s="54"/>
      <c r="G256" s="54">
        <v>0.0</v>
      </c>
      <c r="P256" s="54">
        <v>0.0</v>
      </c>
    </row>
    <row r="257">
      <c r="A257" s="50"/>
      <c r="E257" s="52"/>
      <c r="F257" s="54"/>
      <c r="G257" s="54">
        <v>0.0</v>
      </c>
      <c r="P257" s="54">
        <v>0.0</v>
      </c>
    </row>
    <row r="258">
      <c r="A258" s="50"/>
      <c r="E258" s="52"/>
      <c r="F258" s="54"/>
      <c r="G258" s="54">
        <v>0.0</v>
      </c>
      <c r="P258" s="54">
        <v>0.0</v>
      </c>
    </row>
    <row r="259">
      <c r="A259" s="50"/>
      <c r="E259" s="52"/>
      <c r="F259" s="54"/>
      <c r="G259" s="54">
        <v>0.0</v>
      </c>
      <c r="P259" s="54">
        <v>0.0</v>
      </c>
    </row>
    <row r="260">
      <c r="A260" s="50"/>
      <c r="E260" s="52"/>
      <c r="F260" s="54"/>
      <c r="G260" s="54">
        <v>0.0</v>
      </c>
      <c r="P260" s="54">
        <v>0.0</v>
      </c>
    </row>
    <row r="261">
      <c r="A261" s="50"/>
      <c r="E261" s="52"/>
      <c r="F261" s="54"/>
      <c r="G261" s="54">
        <v>0.0</v>
      </c>
      <c r="P261" s="54">
        <v>0.0</v>
      </c>
    </row>
    <row r="262">
      <c r="A262" s="50"/>
      <c r="E262" s="52"/>
      <c r="F262" s="54"/>
      <c r="G262" s="54">
        <v>0.0</v>
      </c>
      <c r="P262" s="54">
        <v>0.0</v>
      </c>
    </row>
    <row r="263">
      <c r="A263" s="50"/>
      <c r="E263" s="52"/>
      <c r="F263" s="54"/>
      <c r="G263" s="54">
        <v>0.0</v>
      </c>
      <c r="P263" s="54">
        <v>0.0</v>
      </c>
    </row>
    <row r="264">
      <c r="A264" s="50"/>
      <c r="E264" s="52"/>
      <c r="F264" s="54"/>
      <c r="G264" s="54">
        <v>0.0</v>
      </c>
      <c r="P264" s="54">
        <v>0.0</v>
      </c>
    </row>
    <row r="265">
      <c r="A265" s="50"/>
      <c r="E265" s="52"/>
      <c r="F265" s="54"/>
      <c r="G265" s="54">
        <v>0.0</v>
      </c>
      <c r="P265" s="54">
        <v>0.0</v>
      </c>
    </row>
    <row r="266">
      <c r="A266" s="50"/>
      <c r="E266" s="52"/>
      <c r="F266" s="54"/>
      <c r="G266" s="54">
        <v>0.0</v>
      </c>
      <c r="P266" s="54">
        <v>0.0</v>
      </c>
    </row>
    <row r="267">
      <c r="A267" s="50"/>
      <c r="E267" s="52"/>
      <c r="F267" s="54"/>
      <c r="G267" s="54">
        <v>0.0</v>
      </c>
      <c r="P267" s="54">
        <v>0.0</v>
      </c>
    </row>
    <row r="268">
      <c r="A268" s="50"/>
      <c r="E268" s="52"/>
      <c r="F268" s="54"/>
      <c r="G268" s="54">
        <v>0.0</v>
      </c>
      <c r="P268" s="54">
        <v>0.0</v>
      </c>
    </row>
    <row r="269">
      <c r="A269" s="50"/>
      <c r="E269" s="52"/>
      <c r="F269" s="54"/>
      <c r="G269" s="54">
        <v>0.0</v>
      </c>
      <c r="P269" s="54">
        <v>0.0</v>
      </c>
    </row>
    <row r="270">
      <c r="A270" s="50"/>
      <c r="E270" s="52"/>
      <c r="F270" s="54"/>
      <c r="G270" s="54">
        <v>0.0</v>
      </c>
      <c r="P270" s="54">
        <v>0.0</v>
      </c>
    </row>
    <row r="271">
      <c r="A271" s="50"/>
      <c r="E271" s="52"/>
      <c r="F271" s="54"/>
      <c r="G271" s="54">
        <v>0.0</v>
      </c>
      <c r="P271" s="54">
        <v>0.0</v>
      </c>
    </row>
    <row r="272">
      <c r="A272" s="50"/>
      <c r="E272" s="52"/>
      <c r="F272" s="54"/>
      <c r="G272" s="54">
        <v>0.0</v>
      </c>
      <c r="P272" s="54">
        <v>0.0</v>
      </c>
    </row>
    <row r="273">
      <c r="A273" s="50"/>
      <c r="E273" s="52"/>
      <c r="F273" s="54"/>
      <c r="G273" s="54">
        <v>0.0</v>
      </c>
      <c r="P273" s="54">
        <v>0.0</v>
      </c>
    </row>
    <row r="274">
      <c r="A274" s="50"/>
      <c r="E274" s="52"/>
      <c r="F274" s="54"/>
      <c r="G274" s="54">
        <v>0.0</v>
      </c>
      <c r="P274" s="54">
        <v>0.0</v>
      </c>
    </row>
    <row r="275">
      <c r="A275" s="50"/>
      <c r="E275" s="52"/>
      <c r="F275" s="54"/>
      <c r="G275" s="54">
        <v>0.0</v>
      </c>
      <c r="P275" s="54">
        <v>0.0</v>
      </c>
    </row>
    <row r="276">
      <c r="A276" s="50"/>
      <c r="E276" s="52"/>
      <c r="F276" s="54"/>
      <c r="G276" s="54">
        <v>0.0</v>
      </c>
      <c r="P276" s="54">
        <v>0.0</v>
      </c>
    </row>
    <row r="277">
      <c r="A277" s="50"/>
      <c r="E277" s="52"/>
      <c r="F277" s="54"/>
      <c r="G277" s="54">
        <v>0.0</v>
      </c>
      <c r="P277" s="54">
        <v>0.0</v>
      </c>
    </row>
    <row r="278">
      <c r="A278" s="50"/>
      <c r="E278" s="52"/>
      <c r="F278" s="54"/>
      <c r="G278" s="54">
        <v>0.0</v>
      </c>
      <c r="P278" s="54">
        <v>0.0</v>
      </c>
    </row>
    <row r="279">
      <c r="A279" s="50"/>
      <c r="E279" s="52"/>
      <c r="F279" s="54"/>
      <c r="G279" s="54">
        <v>0.0</v>
      </c>
      <c r="P279" s="54">
        <v>0.0</v>
      </c>
    </row>
    <row r="280">
      <c r="A280" s="50"/>
      <c r="E280" s="52"/>
      <c r="F280" s="54"/>
      <c r="G280" s="54">
        <v>0.0</v>
      </c>
      <c r="P280" s="54">
        <v>0.0</v>
      </c>
    </row>
    <row r="281">
      <c r="A281" s="50"/>
      <c r="E281" s="52"/>
      <c r="F281" s="54"/>
      <c r="G281" s="54">
        <v>0.0</v>
      </c>
      <c r="P281" s="54">
        <v>0.0</v>
      </c>
    </row>
    <row r="282">
      <c r="A282" s="50"/>
      <c r="E282" s="52"/>
      <c r="F282" s="54"/>
      <c r="G282" s="54">
        <v>0.0</v>
      </c>
      <c r="P282" s="54">
        <v>0.0</v>
      </c>
    </row>
    <row r="283">
      <c r="A283" s="50"/>
      <c r="E283" s="52"/>
      <c r="F283" s="54"/>
      <c r="G283" s="54">
        <v>0.0</v>
      </c>
      <c r="P283" s="54">
        <v>0.0</v>
      </c>
    </row>
    <row r="284">
      <c r="A284" s="50"/>
      <c r="E284" s="52"/>
      <c r="F284" s="54"/>
      <c r="G284" s="54">
        <v>0.0</v>
      </c>
      <c r="P284" s="54">
        <v>0.0</v>
      </c>
    </row>
    <row r="285">
      <c r="A285" s="50"/>
      <c r="E285" s="52"/>
      <c r="F285" s="54"/>
      <c r="G285" s="54">
        <v>0.0</v>
      </c>
      <c r="P285" s="54">
        <v>0.0</v>
      </c>
    </row>
    <row r="286">
      <c r="A286" s="50"/>
      <c r="E286" s="52"/>
      <c r="F286" s="54"/>
      <c r="G286" s="54">
        <v>0.0</v>
      </c>
      <c r="P286" s="54">
        <v>0.0</v>
      </c>
    </row>
    <row r="287">
      <c r="A287" s="50"/>
      <c r="E287" s="52"/>
      <c r="F287" s="54"/>
      <c r="G287" s="54">
        <v>0.0</v>
      </c>
      <c r="P287" s="54">
        <v>0.0</v>
      </c>
    </row>
    <row r="288">
      <c r="A288" s="50"/>
      <c r="E288" s="52"/>
      <c r="F288" s="54"/>
      <c r="G288" s="54">
        <v>0.0</v>
      </c>
      <c r="P288" s="54">
        <v>0.0</v>
      </c>
    </row>
    <row r="289">
      <c r="A289" s="50"/>
      <c r="E289" s="52"/>
      <c r="F289" s="54"/>
      <c r="G289" s="54">
        <v>0.0</v>
      </c>
      <c r="P289" s="54">
        <v>0.0</v>
      </c>
    </row>
    <row r="290">
      <c r="A290" s="50"/>
      <c r="E290" s="52"/>
      <c r="F290" s="54"/>
      <c r="G290" s="54">
        <v>0.0</v>
      </c>
      <c r="P290" s="54">
        <v>0.0</v>
      </c>
    </row>
    <row r="291">
      <c r="A291" s="50"/>
      <c r="E291" s="52"/>
      <c r="F291" s="54"/>
      <c r="G291" s="54">
        <v>0.0</v>
      </c>
      <c r="P291" s="54">
        <v>0.0</v>
      </c>
    </row>
    <row r="292">
      <c r="A292" s="50"/>
      <c r="E292" s="52"/>
      <c r="F292" s="54"/>
      <c r="G292" s="54">
        <v>0.0</v>
      </c>
      <c r="P292" s="54">
        <v>0.0</v>
      </c>
    </row>
    <row r="293">
      <c r="A293" s="50"/>
      <c r="E293" s="52"/>
      <c r="F293" s="54"/>
      <c r="G293" s="54">
        <v>0.0</v>
      </c>
      <c r="P293" s="54">
        <v>0.0</v>
      </c>
    </row>
    <row r="294">
      <c r="A294" s="50"/>
      <c r="E294" s="52"/>
      <c r="F294" s="54"/>
      <c r="G294" s="54">
        <v>0.0</v>
      </c>
      <c r="P294" s="54">
        <v>0.0</v>
      </c>
    </row>
    <row r="295">
      <c r="A295" s="50"/>
      <c r="E295" s="52"/>
      <c r="F295" s="54"/>
      <c r="G295" s="54">
        <v>0.0</v>
      </c>
      <c r="P295" s="54">
        <v>0.0</v>
      </c>
    </row>
    <row r="296">
      <c r="A296" s="50"/>
      <c r="E296" s="52"/>
      <c r="F296" s="54"/>
      <c r="G296" s="54">
        <v>0.0</v>
      </c>
      <c r="P296" s="54">
        <v>0.0</v>
      </c>
    </row>
    <row r="297">
      <c r="A297" s="50"/>
      <c r="E297" s="52"/>
      <c r="F297" s="54"/>
      <c r="G297" s="54">
        <v>0.0</v>
      </c>
      <c r="P297" s="54">
        <v>0.0</v>
      </c>
    </row>
    <row r="298">
      <c r="A298" s="50"/>
      <c r="E298" s="52"/>
      <c r="F298" s="54"/>
      <c r="G298" s="54">
        <v>0.0</v>
      </c>
      <c r="P298" s="54">
        <v>0.0</v>
      </c>
    </row>
    <row r="299">
      <c r="A299" s="50"/>
      <c r="E299" s="52"/>
      <c r="F299" s="54"/>
      <c r="G299" s="54">
        <v>0.0</v>
      </c>
      <c r="P299" s="54">
        <v>0.0</v>
      </c>
    </row>
    <row r="300">
      <c r="A300" s="50"/>
      <c r="E300" s="52"/>
      <c r="F300" s="54"/>
      <c r="G300" s="54">
        <v>0.0</v>
      </c>
      <c r="P300" s="54">
        <v>0.0</v>
      </c>
    </row>
    <row r="301">
      <c r="A301" s="50"/>
      <c r="E301" s="52"/>
      <c r="F301" s="54"/>
      <c r="G301" s="54">
        <v>0.0</v>
      </c>
      <c r="P301" s="54">
        <v>0.0</v>
      </c>
    </row>
    <row r="302">
      <c r="A302" s="50"/>
      <c r="E302" s="52"/>
      <c r="F302" s="54"/>
      <c r="G302" s="54">
        <v>0.0</v>
      </c>
      <c r="P302" s="54">
        <v>0.0</v>
      </c>
    </row>
    <row r="303">
      <c r="A303" s="50"/>
      <c r="E303" s="52"/>
      <c r="F303" s="54"/>
      <c r="G303" s="54">
        <v>0.0</v>
      </c>
      <c r="P303" s="54">
        <v>0.0</v>
      </c>
    </row>
    <row r="304">
      <c r="A304" s="50"/>
      <c r="E304" s="52"/>
      <c r="F304" s="54"/>
      <c r="G304" s="54">
        <v>0.0</v>
      </c>
      <c r="P304" s="54">
        <v>0.0</v>
      </c>
    </row>
    <row r="305">
      <c r="A305" s="50"/>
      <c r="E305" s="52"/>
      <c r="F305" s="54"/>
      <c r="G305" s="54">
        <v>0.0</v>
      </c>
      <c r="P305" s="54">
        <v>0.0</v>
      </c>
    </row>
    <row r="306">
      <c r="A306" s="50"/>
      <c r="E306" s="52"/>
      <c r="F306" s="54"/>
      <c r="G306" s="54">
        <v>0.0</v>
      </c>
      <c r="P306" s="54">
        <v>0.0</v>
      </c>
    </row>
    <row r="307">
      <c r="A307" s="50"/>
      <c r="E307" s="52"/>
      <c r="F307" s="54"/>
      <c r="G307" s="54">
        <v>0.0</v>
      </c>
      <c r="P307" s="54">
        <v>0.0</v>
      </c>
    </row>
    <row r="308">
      <c r="A308" s="50"/>
      <c r="E308" s="52"/>
      <c r="F308" s="54"/>
      <c r="G308" s="54">
        <v>0.0</v>
      </c>
      <c r="P308" s="54">
        <v>0.0</v>
      </c>
    </row>
    <row r="309">
      <c r="A309" s="50"/>
      <c r="E309" s="52"/>
      <c r="F309" s="54"/>
      <c r="G309" s="54">
        <v>0.0</v>
      </c>
      <c r="P309" s="54">
        <v>0.0</v>
      </c>
    </row>
    <row r="310">
      <c r="A310" s="50"/>
      <c r="E310" s="52"/>
      <c r="F310" s="54"/>
      <c r="G310" s="54">
        <v>0.0</v>
      </c>
      <c r="P310" s="54">
        <v>0.0</v>
      </c>
    </row>
    <row r="311">
      <c r="A311" s="50"/>
      <c r="E311" s="52"/>
      <c r="F311" s="54"/>
      <c r="G311" s="54">
        <v>0.0</v>
      </c>
      <c r="P311" s="54">
        <v>0.0</v>
      </c>
    </row>
    <row r="312">
      <c r="A312" s="50"/>
      <c r="E312" s="52"/>
      <c r="F312" s="54"/>
      <c r="G312" s="54">
        <v>0.0</v>
      </c>
      <c r="P312" s="54">
        <v>0.0</v>
      </c>
    </row>
    <row r="313">
      <c r="A313" s="50"/>
      <c r="E313" s="52"/>
      <c r="F313" s="54"/>
      <c r="G313" s="54">
        <v>0.0</v>
      </c>
      <c r="P313" s="54">
        <v>0.0</v>
      </c>
    </row>
    <row r="314">
      <c r="A314" s="50"/>
      <c r="E314" s="52"/>
      <c r="F314" s="54"/>
      <c r="G314" s="54">
        <v>0.0</v>
      </c>
      <c r="P314" s="54">
        <v>0.0</v>
      </c>
    </row>
    <row r="315">
      <c r="A315" s="50"/>
      <c r="E315" s="52"/>
      <c r="F315" s="54"/>
      <c r="G315" s="54">
        <v>0.0</v>
      </c>
      <c r="P315" s="54">
        <v>0.0</v>
      </c>
    </row>
    <row r="316">
      <c r="A316" s="50"/>
      <c r="E316" s="52"/>
      <c r="F316" s="54"/>
      <c r="G316" s="54">
        <v>0.0</v>
      </c>
      <c r="P316" s="54">
        <v>0.0</v>
      </c>
    </row>
    <row r="317">
      <c r="A317" s="50"/>
      <c r="E317" s="52"/>
      <c r="F317" s="54"/>
      <c r="G317" s="54">
        <v>0.0</v>
      </c>
      <c r="P317" s="54">
        <v>0.0</v>
      </c>
    </row>
    <row r="318">
      <c r="A318" s="50"/>
      <c r="E318" s="52"/>
      <c r="F318" s="54"/>
      <c r="G318" s="54">
        <v>0.0</v>
      </c>
      <c r="P318" s="54">
        <v>0.0</v>
      </c>
    </row>
    <row r="319">
      <c r="A319" s="50"/>
      <c r="E319" s="52"/>
      <c r="F319" s="54"/>
      <c r="G319" s="54">
        <v>0.0</v>
      </c>
      <c r="P319" s="54">
        <v>0.0</v>
      </c>
    </row>
    <row r="320">
      <c r="A320" s="50"/>
      <c r="E320" s="52"/>
      <c r="F320" s="54"/>
      <c r="G320" s="54">
        <v>0.0</v>
      </c>
      <c r="P320" s="54">
        <v>0.0</v>
      </c>
    </row>
    <row r="321">
      <c r="A321" s="50"/>
      <c r="E321" s="52"/>
      <c r="F321" s="54"/>
      <c r="G321" s="54">
        <v>0.0</v>
      </c>
      <c r="P321" s="54">
        <v>0.0</v>
      </c>
    </row>
    <row r="322">
      <c r="A322" s="50"/>
      <c r="E322" s="52"/>
      <c r="F322" s="54"/>
      <c r="G322" s="54">
        <v>0.0</v>
      </c>
      <c r="P322" s="54">
        <v>0.0</v>
      </c>
    </row>
    <row r="323">
      <c r="A323" s="50"/>
      <c r="E323" s="52"/>
      <c r="F323" s="54"/>
      <c r="G323" s="54">
        <v>0.0</v>
      </c>
      <c r="P323" s="54">
        <v>0.0</v>
      </c>
    </row>
    <row r="324">
      <c r="A324" s="50"/>
      <c r="E324" s="52"/>
      <c r="F324" s="54"/>
      <c r="G324" s="54">
        <v>0.0</v>
      </c>
      <c r="P324" s="54">
        <v>0.0</v>
      </c>
    </row>
    <row r="325">
      <c r="A325" s="50"/>
      <c r="E325" s="52"/>
      <c r="F325" s="54"/>
      <c r="G325" s="54">
        <v>0.0</v>
      </c>
      <c r="P325" s="54">
        <v>0.0</v>
      </c>
    </row>
    <row r="326">
      <c r="A326" s="50"/>
      <c r="E326" s="52"/>
      <c r="F326" s="54"/>
      <c r="G326" s="54">
        <v>0.0</v>
      </c>
      <c r="P326" s="54">
        <v>0.0</v>
      </c>
    </row>
    <row r="327">
      <c r="A327" s="50"/>
      <c r="E327" s="52"/>
      <c r="F327" s="54"/>
      <c r="G327" s="54">
        <v>0.0</v>
      </c>
      <c r="P327" s="54">
        <v>0.0</v>
      </c>
    </row>
    <row r="328">
      <c r="A328" s="50"/>
      <c r="E328" s="52"/>
      <c r="F328" s="54"/>
      <c r="G328" s="54">
        <v>0.0</v>
      </c>
      <c r="P328" s="54">
        <v>0.0</v>
      </c>
    </row>
    <row r="329">
      <c r="A329" s="50"/>
      <c r="E329" s="52"/>
      <c r="F329" s="54"/>
      <c r="G329" s="54">
        <v>0.0</v>
      </c>
      <c r="P329" s="54">
        <v>0.0</v>
      </c>
    </row>
    <row r="330">
      <c r="A330" s="50"/>
      <c r="E330" s="52"/>
      <c r="F330" s="54"/>
      <c r="G330" s="54">
        <v>0.0</v>
      </c>
      <c r="P330" s="54">
        <v>0.0</v>
      </c>
    </row>
    <row r="331">
      <c r="A331" s="50"/>
      <c r="E331" s="52"/>
      <c r="F331" s="54"/>
      <c r="G331" s="54">
        <v>0.0</v>
      </c>
      <c r="P331" s="54">
        <v>0.0</v>
      </c>
    </row>
    <row r="332">
      <c r="A332" s="50"/>
      <c r="E332" s="52"/>
      <c r="F332" s="54"/>
      <c r="G332" s="54">
        <v>0.0</v>
      </c>
      <c r="P332" s="54">
        <v>0.0</v>
      </c>
    </row>
    <row r="333">
      <c r="A333" s="50"/>
      <c r="E333" s="52"/>
      <c r="F333" s="54"/>
      <c r="G333" s="54">
        <v>0.0</v>
      </c>
      <c r="P333" s="54">
        <v>0.0</v>
      </c>
    </row>
    <row r="334">
      <c r="A334" s="50"/>
      <c r="E334" s="52"/>
      <c r="F334" s="54"/>
      <c r="G334" s="54">
        <v>0.0</v>
      </c>
      <c r="P334" s="54">
        <v>0.0</v>
      </c>
    </row>
    <row r="335">
      <c r="A335" s="50"/>
      <c r="E335" s="52"/>
      <c r="F335" s="54"/>
      <c r="G335" s="54">
        <v>0.0</v>
      </c>
      <c r="P335" s="54">
        <v>0.0</v>
      </c>
    </row>
    <row r="336">
      <c r="A336" s="50"/>
      <c r="E336" s="52"/>
      <c r="F336" s="54"/>
      <c r="G336" s="54">
        <v>0.0</v>
      </c>
      <c r="P336" s="54">
        <v>0.0</v>
      </c>
    </row>
    <row r="337">
      <c r="A337" s="50"/>
      <c r="E337" s="52"/>
      <c r="F337" s="54"/>
      <c r="G337" s="54">
        <v>0.0</v>
      </c>
      <c r="P337" s="54">
        <v>0.0</v>
      </c>
    </row>
    <row r="338">
      <c r="A338" s="50"/>
      <c r="E338" s="52"/>
      <c r="F338" s="54"/>
      <c r="G338" s="54">
        <v>0.0</v>
      </c>
      <c r="P338" s="54">
        <v>0.0</v>
      </c>
    </row>
    <row r="339">
      <c r="A339" s="50"/>
      <c r="E339" s="52"/>
      <c r="F339" s="54"/>
      <c r="G339" s="54">
        <v>0.0</v>
      </c>
      <c r="P339" s="54">
        <v>0.0</v>
      </c>
    </row>
    <row r="340">
      <c r="A340" s="50"/>
      <c r="E340" s="52"/>
      <c r="F340" s="54"/>
      <c r="G340" s="54">
        <v>0.0</v>
      </c>
      <c r="P340" s="54">
        <v>0.0</v>
      </c>
    </row>
    <row r="341">
      <c r="A341" s="50"/>
      <c r="E341" s="52"/>
      <c r="F341" s="54"/>
      <c r="G341" s="54">
        <v>0.0</v>
      </c>
      <c r="P341" s="54">
        <v>0.0</v>
      </c>
    </row>
    <row r="342">
      <c r="A342" s="50"/>
      <c r="E342" s="52"/>
      <c r="F342" s="54"/>
      <c r="G342" s="54">
        <v>0.0</v>
      </c>
      <c r="P342" s="54">
        <v>0.0</v>
      </c>
    </row>
    <row r="343">
      <c r="A343" s="50"/>
      <c r="E343" s="52"/>
      <c r="F343" s="54"/>
      <c r="G343" s="54">
        <v>0.0</v>
      </c>
      <c r="P343" s="54">
        <v>0.0</v>
      </c>
    </row>
    <row r="344">
      <c r="A344" s="50"/>
      <c r="E344" s="52"/>
      <c r="F344" s="54"/>
      <c r="G344" s="54">
        <v>0.0</v>
      </c>
      <c r="P344" s="54">
        <v>0.0</v>
      </c>
    </row>
    <row r="345">
      <c r="A345" s="50"/>
      <c r="E345" s="52"/>
      <c r="F345" s="54"/>
      <c r="G345" s="54">
        <v>0.0</v>
      </c>
      <c r="P345" s="54">
        <v>0.0</v>
      </c>
    </row>
    <row r="346">
      <c r="A346" s="50"/>
      <c r="E346" s="52"/>
      <c r="F346" s="54"/>
      <c r="G346" s="54">
        <v>0.0</v>
      </c>
      <c r="P346" s="54">
        <v>0.0</v>
      </c>
    </row>
    <row r="347">
      <c r="A347" s="50"/>
      <c r="E347" s="52"/>
      <c r="F347" s="54"/>
      <c r="G347" s="54">
        <v>0.0</v>
      </c>
      <c r="P347" s="54">
        <v>0.0</v>
      </c>
    </row>
    <row r="348">
      <c r="A348" s="50"/>
      <c r="E348" s="52"/>
      <c r="F348" s="54"/>
      <c r="G348" s="54">
        <v>0.0</v>
      </c>
      <c r="P348" s="54">
        <v>0.0</v>
      </c>
    </row>
    <row r="349">
      <c r="A349" s="50"/>
      <c r="E349" s="52"/>
      <c r="F349" s="54"/>
      <c r="G349" s="54">
        <v>0.0</v>
      </c>
      <c r="P349" s="54">
        <v>0.0</v>
      </c>
    </row>
    <row r="350">
      <c r="A350" s="50"/>
      <c r="E350" s="52"/>
      <c r="F350" s="54"/>
      <c r="G350" s="54">
        <v>0.0</v>
      </c>
      <c r="P350" s="54">
        <v>0.0</v>
      </c>
    </row>
    <row r="351">
      <c r="A351" s="50"/>
      <c r="E351" s="52"/>
      <c r="F351" s="54"/>
      <c r="G351" s="54">
        <v>0.0</v>
      </c>
      <c r="P351" s="54">
        <v>0.0</v>
      </c>
    </row>
    <row r="352">
      <c r="A352" s="50"/>
      <c r="E352" s="52"/>
      <c r="F352" s="54"/>
      <c r="G352" s="54">
        <v>0.0</v>
      </c>
      <c r="P352" s="54">
        <v>0.0</v>
      </c>
    </row>
    <row r="353">
      <c r="A353" s="50"/>
      <c r="E353" s="52"/>
      <c r="F353" s="54"/>
      <c r="G353" s="54">
        <v>0.0</v>
      </c>
      <c r="P353" s="54">
        <v>0.0</v>
      </c>
    </row>
    <row r="354">
      <c r="A354" s="50"/>
      <c r="E354" s="52"/>
      <c r="F354" s="54"/>
      <c r="G354" s="54">
        <v>0.0</v>
      </c>
      <c r="P354" s="54">
        <v>0.0</v>
      </c>
    </row>
    <row r="355">
      <c r="A355" s="50"/>
      <c r="E355" s="52"/>
      <c r="F355" s="54"/>
      <c r="G355" s="54">
        <v>0.0</v>
      </c>
      <c r="P355" s="54">
        <v>0.0</v>
      </c>
    </row>
    <row r="356">
      <c r="A356" s="50"/>
      <c r="E356" s="52"/>
      <c r="F356" s="54"/>
      <c r="G356" s="54">
        <v>0.0</v>
      </c>
      <c r="P356" s="54">
        <v>0.0</v>
      </c>
    </row>
    <row r="357">
      <c r="A357" s="50"/>
      <c r="E357" s="52"/>
      <c r="F357" s="54"/>
      <c r="G357" s="54">
        <v>0.0</v>
      </c>
      <c r="P357" s="54">
        <v>0.0</v>
      </c>
    </row>
    <row r="358">
      <c r="A358" s="50"/>
      <c r="E358" s="52"/>
      <c r="F358" s="54"/>
      <c r="G358" s="54">
        <v>0.0</v>
      </c>
      <c r="P358" s="54">
        <v>0.0</v>
      </c>
    </row>
    <row r="359">
      <c r="A359" s="50"/>
      <c r="E359" s="52"/>
      <c r="F359" s="54"/>
      <c r="G359" s="54">
        <v>0.0</v>
      </c>
      <c r="P359" s="54">
        <v>0.0</v>
      </c>
    </row>
    <row r="360">
      <c r="A360" s="50"/>
      <c r="E360" s="52"/>
      <c r="F360" s="54"/>
      <c r="G360" s="54">
        <v>0.0</v>
      </c>
      <c r="P360" s="54">
        <v>0.0</v>
      </c>
    </row>
    <row r="361">
      <c r="A361" s="50"/>
      <c r="E361" s="52"/>
      <c r="F361" s="54"/>
      <c r="G361" s="54">
        <v>0.0</v>
      </c>
      <c r="P361" s="54">
        <v>0.0</v>
      </c>
    </row>
    <row r="362">
      <c r="A362" s="50"/>
      <c r="E362" s="52"/>
      <c r="F362" s="54"/>
      <c r="G362" s="54">
        <v>0.0</v>
      </c>
      <c r="P362" s="54">
        <v>0.0</v>
      </c>
    </row>
    <row r="363">
      <c r="A363" s="50"/>
      <c r="E363" s="52"/>
      <c r="F363" s="54"/>
      <c r="G363" s="54">
        <v>0.0</v>
      </c>
      <c r="P363" s="54">
        <v>0.0</v>
      </c>
    </row>
    <row r="364">
      <c r="A364" s="50"/>
      <c r="E364" s="52"/>
      <c r="F364" s="54"/>
      <c r="G364" s="54">
        <v>0.0</v>
      </c>
      <c r="P364" s="54">
        <v>0.0</v>
      </c>
    </row>
    <row r="365">
      <c r="A365" s="50"/>
      <c r="E365" s="52"/>
      <c r="F365" s="54"/>
      <c r="G365" s="54">
        <v>0.0</v>
      </c>
      <c r="P365" s="54">
        <v>0.0</v>
      </c>
    </row>
    <row r="366">
      <c r="A366" s="50"/>
      <c r="E366" s="52"/>
      <c r="F366" s="54"/>
      <c r="G366" s="54">
        <v>0.0</v>
      </c>
      <c r="P366" s="54">
        <v>0.0</v>
      </c>
    </row>
    <row r="367">
      <c r="A367" s="50"/>
      <c r="E367" s="52"/>
      <c r="F367" s="54"/>
      <c r="G367" s="54">
        <v>0.0</v>
      </c>
      <c r="P367" s="54">
        <v>0.0</v>
      </c>
    </row>
    <row r="368">
      <c r="A368" s="50"/>
      <c r="E368" s="52"/>
      <c r="F368" s="54"/>
      <c r="G368" s="54">
        <v>0.0</v>
      </c>
      <c r="P368" s="54">
        <v>0.0</v>
      </c>
    </row>
    <row r="369">
      <c r="A369" s="50"/>
      <c r="E369" s="52"/>
      <c r="F369" s="54"/>
      <c r="G369" s="54">
        <v>0.0</v>
      </c>
      <c r="P369" s="54">
        <v>0.0</v>
      </c>
    </row>
    <row r="370">
      <c r="A370" s="50"/>
      <c r="E370" s="52"/>
      <c r="F370" s="54"/>
      <c r="G370" s="54">
        <v>0.0</v>
      </c>
      <c r="P370" s="54">
        <v>0.0</v>
      </c>
    </row>
    <row r="371">
      <c r="A371" s="50"/>
      <c r="E371" s="52"/>
      <c r="F371" s="54"/>
      <c r="G371" s="54">
        <v>0.0</v>
      </c>
      <c r="P371" s="54">
        <v>0.0</v>
      </c>
    </row>
    <row r="372">
      <c r="A372" s="50"/>
      <c r="E372" s="52"/>
      <c r="F372" s="54"/>
      <c r="G372" s="54">
        <v>0.0</v>
      </c>
      <c r="P372" s="54">
        <v>0.0</v>
      </c>
    </row>
    <row r="373">
      <c r="A373" s="50"/>
      <c r="E373" s="52"/>
      <c r="F373" s="54"/>
      <c r="G373" s="54">
        <v>0.0</v>
      </c>
      <c r="P373" s="54">
        <v>0.0</v>
      </c>
    </row>
    <row r="374">
      <c r="A374" s="50"/>
      <c r="E374" s="52"/>
      <c r="F374" s="54"/>
      <c r="G374" s="54">
        <v>0.0</v>
      </c>
      <c r="P374" s="54">
        <v>0.0</v>
      </c>
    </row>
    <row r="375">
      <c r="A375" s="50"/>
      <c r="E375" s="52"/>
      <c r="F375" s="54"/>
      <c r="G375" s="54">
        <v>0.0</v>
      </c>
      <c r="P375" s="54">
        <v>0.0</v>
      </c>
    </row>
    <row r="376">
      <c r="A376" s="50"/>
      <c r="E376" s="52"/>
      <c r="F376" s="54"/>
      <c r="G376" s="54">
        <v>0.0</v>
      </c>
      <c r="P376" s="54">
        <v>0.0</v>
      </c>
    </row>
    <row r="377">
      <c r="A377" s="50"/>
      <c r="E377" s="52"/>
      <c r="F377" s="54"/>
      <c r="G377" s="54">
        <v>0.0</v>
      </c>
      <c r="P377" s="54">
        <v>0.0</v>
      </c>
    </row>
    <row r="378">
      <c r="A378" s="50"/>
      <c r="E378" s="52"/>
      <c r="F378" s="54"/>
      <c r="G378" s="54">
        <v>0.0</v>
      </c>
      <c r="P378" s="54">
        <v>0.0</v>
      </c>
    </row>
    <row r="379">
      <c r="A379" s="50"/>
      <c r="E379" s="52"/>
      <c r="F379" s="54"/>
      <c r="G379" s="54">
        <v>0.0</v>
      </c>
      <c r="P379" s="54">
        <v>0.0</v>
      </c>
    </row>
    <row r="380">
      <c r="A380" s="50"/>
      <c r="E380" s="52"/>
      <c r="F380" s="54"/>
      <c r="G380" s="54">
        <v>0.0</v>
      </c>
      <c r="P380" s="54">
        <v>0.0</v>
      </c>
    </row>
    <row r="381">
      <c r="A381" s="50"/>
      <c r="E381" s="52"/>
      <c r="F381" s="54"/>
      <c r="G381" s="54">
        <v>0.0</v>
      </c>
      <c r="P381" s="54">
        <v>0.0</v>
      </c>
    </row>
    <row r="382">
      <c r="A382" s="50"/>
      <c r="E382" s="52"/>
      <c r="F382" s="54"/>
      <c r="G382" s="54">
        <v>0.0</v>
      </c>
      <c r="P382" s="54">
        <v>0.0</v>
      </c>
    </row>
    <row r="383">
      <c r="A383" s="50"/>
      <c r="E383" s="52"/>
      <c r="F383" s="54"/>
      <c r="G383" s="54">
        <v>0.0</v>
      </c>
      <c r="P383" s="54">
        <v>0.0</v>
      </c>
    </row>
    <row r="384">
      <c r="A384" s="50"/>
      <c r="E384" s="52"/>
      <c r="F384" s="54"/>
      <c r="G384" s="54">
        <v>0.0</v>
      </c>
      <c r="P384" s="54">
        <v>0.0</v>
      </c>
    </row>
    <row r="385">
      <c r="A385" s="50"/>
      <c r="E385" s="52"/>
      <c r="F385" s="54"/>
      <c r="G385" s="54">
        <v>0.0</v>
      </c>
      <c r="P385" s="54">
        <v>0.0</v>
      </c>
    </row>
    <row r="386">
      <c r="A386" s="50"/>
      <c r="E386" s="52"/>
      <c r="F386" s="54"/>
      <c r="G386" s="54">
        <v>0.0</v>
      </c>
      <c r="P386" s="54">
        <v>0.0</v>
      </c>
    </row>
    <row r="387">
      <c r="A387" s="50"/>
      <c r="E387" s="52"/>
      <c r="F387" s="54"/>
      <c r="G387" s="54">
        <v>0.0</v>
      </c>
      <c r="P387" s="54">
        <v>0.0</v>
      </c>
    </row>
    <row r="388">
      <c r="A388" s="50"/>
      <c r="E388" s="52"/>
      <c r="F388" s="54"/>
      <c r="G388" s="54">
        <v>0.0</v>
      </c>
      <c r="P388" s="54">
        <v>0.0</v>
      </c>
    </row>
    <row r="389">
      <c r="A389" s="50"/>
      <c r="E389" s="52"/>
      <c r="F389" s="54"/>
      <c r="G389" s="54">
        <v>0.0</v>
      </c>
      <c r="P389" s="54">
        <v>0.0</v>
      </c>
    </row>
    <row r="390">
      <c r="A390" s="50"/>
      <c r="E390" s="52"/>
      <c r="F390" s="54"/>
      <c r="G390" s="54">
        <v>0.0</v>
      </c>
      <c r="P390" s="54">
        <v>0.0</v>
      </c>
    </row>
    <row r="391">
      <c r="A391" s="50"/>
      <c r="E391" s="52"/>
      <c r="F391" s="54"/>
      <c r="G391" s="54">
        <v>0.0</v>
      </c>
      <c r="P391" s="54">
        <v>0.0</v>
      </c>
    </row>
    <row r="392">
      <c r="A392" s="50"/>
      <c r="E392" s="52"/>
      <c r="F392" s="54"/>
      <c r="G392" s="54">
        <v>0.0</v>
      </c>
      <c r="P392" s="54">
        <v>0.0</v>
      </c>
    </row>
    <row r="393">
      <c r="A393" s="50"/>
      <c r="E393" s="52"/>
      <c r="F393" s="54"/>
      <c r="G393" s="54">
        <v>0.0</v>
      </c>
      <c r="P393" s="54">
        <v>0.0</v>
      </c>
    </row>
    <row r="394">
      <c r="A394" s="50"/>
      <c r="E394" s="52"/>
      <c r="F394" s="54"/>
      <c r="G394" s="54">
        <v>0.0</v>
      </c>
      <c r="P394" s="54">
        <v>0.0</v>
      </c>
    </row>
    <row r="395">
      <c r="A395" s="50"/>
      <c r="E395" s="52"/>
      <c r="F395" s="54"/>
      <c r="G395" s="54">
        <v>0.0</v>
      </c>
      <c r="P395" s="54">
        <v>0.0</v>
      </c>
    </row>
    <row r="396">
      <c r="A396" s="50"/>
      <c r="E396" s="52"/>
      <c r="F396" s="54"/>
      <c r="G396" s="54">
        <v>0.0</v>
      </c>
      <c r="P396" s="54">
        <v>0.0</v>
      </c>
    </row>
    <row r="397">
      <c r="A397" s="50"/>
      <c r="E397" s="52"/>
      <c r="F397" s="54"/>
      <c r="G397" s="54">
        <v>0.0</v>
      </c>
      <c r="P397" s="54">
        <v>0.0</v>
      </c>
    </row>
    <row r="398">
      <c r="A398" s="50"/>
      <c r="E398" s="52"/>
      <c r="F398" s="54"/>
      <c r="G398" s="54">
        <v>0.0</v>
      </c>
      <c r="P398" s="54">
        <v>0.0</v>
      </c>
    </row>
    <row r="399">
      <c r="A399" s="50"/>
      <c r="E399" s="52"/>
      <c r="F399" s="54"/>
      <c r="G399" s="54">
        <v>0.0</v>
      </c>
      <c r="P399" s="54">
        <v>0.0</v>
      </c>
    </row>
    <row r="400">
      <c r="A400" s="50"/>
      <c r="E400" s="52"/>
      <c r="F400" s="54"/>
      <c r="G400" s="54">
        <v>0.0</v>
      </c>
      <c r="P400" s="54">
        <v>0.0</v>
      </c>
    </row>
    <row r="401">
      <c r="A401" s="50"/>
      <c r="E401" s="52"/>
      <c r="F401" s="54"/>
      <c r="G401" s="54">
        <v>0.0</v>
      </c>
      <c r="P401" s="54">
        <v>0.0</v>
      </c>
    </row>
    <row r="402">
      <c r="A402" s="50"/>
      <c r="E402" s="52"/>
      <c r="F402" s="54"/>
      <c r="G402" s="54">
        <v>0.0</v>
      </c>
      <c r="P402" s="54">
        <v>0.0</v>
      </c>
    </row>
    <row r="403">
      <c r="A403" s="50"/>
      <c r="E403" s="52"/>
      <c r="F403" s="54"/>
      <c r="G403" s="54">
        <v>0.0</v>
      </c>
      <c r="P403" s="54">
        <v>0.0</v>
      </c>
    </row>
    <row r="404">
      <c r="A404" s="50"/>
      <c r="E404" s="52"/>
      <c r="F404" s="54"/>
      <c r="G404" s="54">
        <v>0.0</v>
      </c>
      <c r="P404" s="54">
        <v>0.0</v>
      </c>
    </row>
    <row r="405">
      <c r="A405" s="50"/>
      <c r="E405" s="52"/>
      <c r="F405" s="54"/>
      <c r="G405" s="54">
        <v>0.0</v>
      </c>
      <c r="P405" s="54">
        <v>0.0</v>
      </c>
    </row>
    <row r="406">
      <c r="A406" s="50"/>
      <c r="E406" s="52"/>
      <c r="F406" s="54"/>
      <c r="G406" s="54">
        <v>0.0</v>
      </c>
      <c r="P406" s="54">
        <v>0.0</v>
      </c>
    </row>
    <row r="407">
      <c r="A407" s="50"/>
      <c r="E407" s="52"/>
      <c r="F407" s="54"/>
      <c r="G407" s="54">
        <v>0.0</v>
      </c>
      <c r="P407" s="54">
        <v>0.0</v>
      </c>
    </row>
    <row r="408">
      <c r="A408" s="50"/>
      <c r="E408" s="52"/>
      <c r="F408" s="54"/>
      <c r="G408" s="54">
        <v>0.0</v>
      </c>
      <c r="P408" s="54">
        <v>0.0</v>
      </c>
    </row>
    <row r="409">
      <c r="A409" s="50"/>
      <c r="E409" s="52"/>
      <c r="F409" s="54"/>
      <c r="G409" s="54">
        <v>0.0</v>
      </c>
      <c r="P409" s="54">
        <v>0.0</v>
      </c>
    </row>
    <row r="410">
      <c r="A410" s="50"/>
      <c r="E410" s="52"/>
      <c r="F410" s="54"/>
      <c r="G410" s="54">
        <v>0.0</v>
      </c>
      <c r="P410" s="54">
        <v>0.0</v>
      </c>
    </row>
    <row r="411">
      <c r="A411" s="50"/>
      <c r="E411" s="52"/>
      <c r="F411" s="54"/>
      <c r="G411" s="54">
        <v>0.0</v>
      </c>
      <c r="P411" s="54">
        <v>0.0</v>
      </c>
    </row>
    <row r="412">
      <c r="A412" s="50"/>
      <c r="E412" s="52"/>
      <c r="F412" s="54"/>
      <c r="G412" s="54">
        <v>0.0</v>
      </c>
      <c r="P412" s="54">
        <v>0.0</v>
      </c>
    </row>
    <row r="413">
      <c r="A413" s="50"/>
      <c r="E413" s="52"/>
      <c r="F413" s="54"/>
      <c r="G413" s="54">
        <v>0.0</v>
      </c>
      <c r="P413" s="54">
        <v>0.0</v>
      </c>
    </row>
    <row r="414">
      <c r="A414" s="50"/>
      <c r="E414" s="52"/>
      <c r="F414" s="54"/>
      <c r="G414" s="54">
        <v>0.0</v>
      </c>
      <c r="P414" s="54">
        <v>0.0</v>
      </c>
    </row>
    <row r="415">
      <c r="A415" s="50"/>
      <c r="E415" s="52"/>
      <c r="F415" s="54"/>
      <c r="G415" s="54">
        <v>0.0</v>
      </c>
      <c r="P415" s="54">
        <v>0.0</v>
      </c>
    </row>
    <row r="416">
      <c r="A416" s="50"/>
      <c r="E416" s="52"/>
      <c r="F416" s="54"/>
      <c r="G416" s="54">
        <v>0.0</v>
      </c>
      <c r="P416" s="54">
        <v>0.0</v>
      </c>
    </row>
    <row r="417">
      <c r="A417" s="50"/>
      <c r="E417" s="52"/>
      <c r="F417" s="54"/>
      <c r="G417" s="54">
        <v>0.0</v>
      </c>
      <c r="P417" s="54">
        <v>0.0</v>
      </c>
    </row>
    <row r="418">
      <c r="A418" s="50"/>
      <c r="E418" s="52"/>
      <c r="F418" s="54"/>
      <c r="G418" s="54">
        <v>0.0</v>
      </c>
      <c r="P418" s="54">
        <v>0.0</v>
      </c>
    </row>
    <row r="419">
      <c r="A419" s="50"/>
      <c r="E419" s="52"/>
      <c r="F419" s="54"/>
      <c r="G419" s="54">
        <v>0.0</v>
      </c>
      <c r="P419" s="54">
        <v>0.0</v>
      </c>
    </row>
    <row r="420">
      <c r="A420" s="50"/>
      <c r="E420" s="52"/>
      <c r="F420" s="54"/>
      <c r="G420" s="54">
        <v>0.0</v>
      </c>
      <c r="P420" s="54">
        <v>0.0</v>
      </c>
    </row>
    <row r="421">
      <c r="A421" s="50"/>
      <c r="E421" s="52"/>
      <c r="F421" s="54"/>
      <c r="G421" s="54">
        <v>0.0</v>
      </c>
      <c r="P421" s="54">
        <v>0.0</v>
      </c>
    </row>
    <row r="422">
      <c r="A422" s="50"/>
      <c r="E422" s="52"/>
      <c r="F422" s="54"/>
      <c r="G422" s="54">
        <v>0.0</v>
      </c>
      <c r="P422" s="54">
        <v>0.0</v>
      </c>
    </row>
    <row r="423">
      <c r="A423" s="50"/>
      <c r="E423" s="52"/>
      <c r="F423" s="54"/>
      <c r="G423" s="54">
        <v>0.0</v>
      </c>
      <c r="P423" s="54">
        <v>0.0</v>
      </c>
    </row>
    <row r="424">
      <c r="A424" s="50"/>
      <c r="E424" s="52"/>
      <c r="F424" s="54"/>
      <c r="G424" s="54">
        <v>0.0</v>
      </c>
      <c r="P424" s="54">
        <v>0.0</v>
      </c>
    </row>
    <row r="425">
      <c r="A425" s="50"/>
      <c r="E425" s="52"/>
      <c r="F425" s="54"/>
      <c r="G425" s="54">
        <v>0.0</v>
      </c>
      <c r="P425" s="54">
        <v>0.0</v>
      </c>
    </row>
    <row r="426">
      <c r="A426" s="50"/>
      <c r="E426" s="52"/>
      <c r="F426" s="54"/>
      <c r="G426" s="54">
        <v>0.0</v>
      </c>
      <c r="P426" s="54">
        <v>0.0</v>
      </c>
    </row>
    <row r="427">
      <c r="A427" s="50"/>
      <c r="E427" s="52"/>
      <c r="F427" s="54"/>
      <c r="G427" s="54">
        <v>0.0</v>
      </c>
      <c r="P427" s="54">
        <v>0.0</v>
      </c>
    </row>
    <row r="428">
      <c r="A428" s="50"/>
      <c r="E428" s="52"/>
      <c r="F428" s="54"/>
      <c r="G428" s="54">
        <v>0.0</v>
      </c>
      <c r="P428" s="54">
        <v>0.0</v>
      </c>
    </row>
    <row r="429">
      <c r="A429" s="50"/>
      <c r="E429" s="52"/>
      <c r="F429" s="54"/>
      <c r="G429" s="54">
        <v>0.0</v>
      </c>
      <c r="P429" s="54">
        <v>0.0</v>
      </c>
    </row>
    <row r="430">
      <c r="A430" s="50"/>
      <c r="E430" s="52"/>
      <c r="F430" s="54"/>
      <c r="G430" s="54">
        <v>0.0</v>
      </c>
      <c r="P430" s="54">
        <v>0.0</v>
      </c>
    </row>
    <row r="431">
      <c r="A431" s="50"/>
      <c r="E431" s="52"/>
      <c r="F431" s="54"/>
      <c r="G431" s="54">
        <v>0.0</v>
      </c>
      <c r="P431" s="54">
        <v>0.0</v>
      </c>
    </row>
    <row r="432">
      <c r="A432" s="50"/>
      <c r="E432" s="52"/>
      <c r="F432" s="54"/>
      <c r="G432" s="54">
        <v>0.0</v>
      </c>
      <c r="P432" s="54">
        <v>0.0</v>
      </c>
    </row>
    <row r="433">
      <c r="A433" s="50"/>
      <c r="E433" s="52"/>
      <c r="F433" s="54"/>
      <c r="G433" s="54">
        <v>0.0</v>
      </c>
      <c r="P433" s="54">
        <v>0.0</v>
      </c>
    </row>
    <row r="434">
      <c r="A434" s="50"/>
      <c r="E434" s="52"/>
      <c r="F434" s="54"/>
      <c r="G434" s="54">
        <v>0.0</v>
      </c>
      <c r="P434" s="54">
        <v>0.0</v>
      </c>
    </row>
    <row r="435">
      <c r="A435" s="50"/>
      <c r="E435" s="52"/>
      <c r="F435" s="54"/>
      <c r="G435" s="54">
        <v>0.0</v>
      </c>
      <c r="P435" s="54">
        <v>0.0</v>
      </c>
    </row>
    <row r="436">
      <c r="A436" s="50"/>
      <c r="E436" s="52"/>
      <c r="F436" s="54"/>
      <c r="G436" s="54">
        <v>0.0</v>
      </c>
      <c r="P436" s="54">
        <v>0.0</v>
      </c>
    </row>
    <row r="437">
      <c r="A437" s="50"/>
      <c r="E437" s="52"/>
      <c r="F437" s="54"/>
      <c r="G437" s="54">
        <v>0.0</v>
      </c>
      <c r="P437" s="54">
        <v>0.0</v>
      </c>
    </row>
    <row r="438">
      <c r="A438" s="50"/>
      <c r="E438" s="52"/>
      <c r="F438" s="54"/>
      <c r="G438" s="54">
        <v>0.0</v>
      </c>
      <c r="P438" s="54">
        <v>0.0</v>
      </c>
    </row>
    <row r="439">
      <c r="A439" s="50"/>
      <c r="E439" s="52"/>
      <c r="F439" s="54"/>
      <c r="G439" s="54">
        <v>0.0</v>
      </c>
      <c r="P439" s="54">
        <v>0.0</v>
      </c>
    </row>
    <row r="440">
      <c r="A440" s="50"/>
      <c r="E440" s="52"/>
      <c r="F440" s="54"/>
      <c r="G440" s="54">
        <v>0.0</v>
      </c>
      <c r="P440" s="54">
        <v>0.0</v>
      </c>
    </row>
    <row r="441">
      <c r="A441" s="50"/>
      <c r="E441" s="52"/>
      <c r="F441" s="54"/>
      <c r="G441" s="54">
        <v>0.0</v>
      </c>
      <c r="P441" s="54">
        <v>0.0</v>
      </c>
    </row>
    <row r="442">
      <c r="A442" s="50"/>
      <c r="E442" s="52"/>
      <c r="F442" s="54"/>
      <c r="G442" s="54">
        <v>0.0</v>
      </c>
      <c r="P442" s="54">
        <v>0.0</v>
      </c>
    </row>
    <row r="443">
      <c r="A443" s="50"/>
      <c r="E443" s="52"/>
      <c r="F443" s="54"/>
      <c r="G443" s="54">
        <v>0.0</v>
      </c>
      <c r="P443" s="54">
        <v>0.0</v>
      </c>
    </row>
    <row r="444">
      <c r="A444" s="50"/>
      <c r="E444" s="52"/>
      <c r="F444" s="54"/>
      <c r="G444" s="54">
        <v>0.0</v>
      </c>
      <c r="P444" s="54">
        <v>0.0</v>
      </c>
    </row>
    <row r="445">
      <c r="A445" s="50"/>
      <c r="E445" s="52"/>
      <c r="F445" s="54"/>
      <c r="G445" s="54">
        <v>0.0</v>
      </c>
      <c r="P445" s="54">
        <v>0.0</v>
      </c>
    </row>
    <row r="446">
      <c r="A446" s="50"/>
      <c r="E446" s="52"/>
      <c r="F446" s="54"/>
      <c r="G446" s="54">
        <v>0.0</v>
      </c>
      <c r="P446" s="54">
        <v>0.0</v>
      </c>
    </row>
    <row r="447">
      <c r="A447" s="50"/>
      <c r="E447" s="52"/>
      <c r="F447" s="54"/>
      <c r="G447" s="54">
        <v>0.0</v>
      </c>
      <c r="P447" s="54">
        <v>0.0</v>
      </c>
    </row>
    <row r="448">
      <c r="A448" s="50"/>
      <c r="E448" s="52"/>
      <c r="F448" s="54"/>
      <c r="G448" s="54">
        <v>0.0</v>
      </c>
      <c r="P448" s="54">
        <v>0.0</v>
      </c>
    </row>
    <row r="449">
      <c r="A449" s="50"/>
      <c r="E449" s="52"/>
      <c r="F449" s="54"/>
      <c r="G449" s="54">
        <v>0.0</v>
      </c>
      <c r="P449" s="54">
        <v>0.0</v>
      </c>
    </row>
    <row r="450">
      <c r="A450" s="50"/>
      <c r="E450" s="52"/>
      <c r="F450" s="54"/>
      <c r="G450" s="54">
        <v>0.0</v>
      </c>
      <c r="P450" s="54">
        <v>0.0</v>
      </c>
    </row>
    <row r="451">
      <c r="A451" s="50"/>
      <c r="E451" s="52"/>
      <c r="F451" s="54"/>
      <c r="G451" s="54">
        <v>0.0</v>
      </c>
      <c r="P451" s="54">
        <v>0.0</v>
      </c>
    </row>
    <row r="452">
      <c r="A452" s="50"/>
      <c r="E452" s="52"/>
      <c r="F452" s="54"/>
      <c r="G452" s="54">
        <v>0.0</v>
      </c>
      <c r="P452" s="54">
        <v>0.0</v>
      </c>
    </row>
    <row r="453">
      <c r="A453" s="50"/>
      <c r="E453" s="52"/>
      <c r="F453" s="54"/>
      <c r="G453" s="54">
        <v>0.0</v>
      </c>
      <c r="P453" s="54">
        <v>0.0</v>
      </c>
    </row>
    <row r="454">
      <c r="A454" s="50"/>
      <c r="E454" s="52"/>
      <c r="F454" s="54"/>
      <c r="G454" s="54">
        <v>0.0</v>
      </c>
      <c r="P454" s="54">
        <v>0.0</v>
      </c>
    </row>
    <row r="455">
      <c r="A455" s="50"/>
      <c r="E455" s="52"/>
      <c r="F455" s="54"/>
      <c r="G455" s="54">
        <v>0.0</v>
      </c>
      <c r="P455" s="54">
        <v>0.0</v>
      </c>
    </row>
    <row r="456">
      <c r="A456" s="50"/>
      <c r="E456" s="52"/>
      <c r="F456" s="54"/>
      <c r="G456" s="54">
        <v>0.0</v>
      </c>
      <c r="P456" s="54">
        <v>0.0</v>
      </c>
    </row>
    <row r="457">
      <c r="A457" s="50"/>
      <c r="E457" s="52"/>
      <c r="F457" s="54"/>
      <c r="G457" s="54">
        <v>0.0</v>
      </c>
      <c r="P457" s="54">
        <v>0.0</v>
      </c>
    </row>
    <row r="458">
      <c r="A458" s="50"/>
      <c r="E458" s="52"/>
      <c r="F458" s="54"/>
      <c r="G458" s="54">
        <v>0.0</v>
      </c>
      <c r="P458" s="54">
        <v>0.0</v>
      </c>
    </row>
    <row r="459">
      <c r="A459" s="50"/>
      <c r="E459" s="52"/>
      <c r="F459" s="54"/>
      <c r="G459" s="54">
        <v>0.0</v>
      </c>
      <c r="P459" s="54">
        <v>0.0</v>
      </c>
    </row>
    <row r="460">
      <c r="A460" s="50"/>
      <c r="E460" s="52"/>
      <c r="F460" s="54"/>
      <c r="G460" s="54">
        <v>0.0</v>
      </c>
      <c r="P460" s="54">
        <v>0.0</v>
      </c>
    </row>
    <row r="461">
      <c r="A461" s="50"/>
      <c r="E461" s="52"/>
      <c r="F461" s="54"/>
      <c r="G461" s="54">
        <v>0.0</v>
      </c>
      <c r="P461" s="54">
        <v>0.0</v>
      </c>
    </row>
    <row r="462">
      <c r="A462" s="50"/>
      <c r="E462" s="52"/>
      <c r="F462" s="54"/>
      <c r="G462" s="54">
        <v>0.0</v>
      </c>
      <c r="P462" s="54">
        <v>0.0</v>
      </c>
    </row>
    <row r="463">
      <c r="A463" s="50"/>
      <c r="E463" s="52"/>
      <c r="F463" s="54"/>
      <c r="G463" s="54">
        <v>0.0</v>
      </c>
      <c r="P463" s="54">
        <v>0.0</v>
      </c>
    </row>
    <row r="464">
      <c r="A464" s="50"/>
      <c r="E464" s="52"/>
      <c r="F464" s="54"/>
      <c r="G464" s="54">
        <v>0.0</v>
      </c>
      <c r="P464" s="54">
        <v>0.0</v>
      </c>
    </row>
    <row r="465">
      <c r="A465" s="50"/>
      <c r="E465" s="52"/>
      <c r="F465" s="54"/>
      <c r="G465" s="54">
        <v>0.0</v>
      </c>
      <c r="P465" s="54">
        <v>0.0</v>
      </c>
    </row>
    <row r="466">
      <c r="A466" s="50"/>
      <c r="E466" s="52"/>
      <c r="F466" s="54"/>
      <c r="G466" s="54">
        <v>0.0</v>
      </c>
      <c r="P466" s="54">
        <v>0.0</v>
      </c>
    </row>
    <row r="467">
      <c r="A467" s="50"/>
      <c r="E467" s="52"/>
      <c r="F467" s="54"/>
      <c r="G467" s="54">
        <v>0.0</v>
      </c>
      <c r="P467" s="54">
        <v>0.0</v>
      </c>
    </row>
    <row r="468">
      <c r="A468" s="50"/>
      <c r="E468" s="52"/>
      <c r="F468" s="54"/>
      <c r="G468" s="54">
        <v>0.0</v>
      </c>
      <c r="P468" s="54">
        <v>0.0</v>
      </c>
    </row>
    <row r="469">
      <c r="A469" s="50"/>
      <c r="E469" s="52"/>
      <c r="F469" s="54"/>
      <c r="G469" s="54">
        <v>0.0</v>
      </c>
      <c r="P469" s="54">
        <v>0.0</v>
      </c>
    </row>
    <row r="470">
      <c r="A470" s="50"/>
      <c r="E470" s="52"/>
      <c r="F470" s="54"/>
      <c r="G470" s="54">
        <v>0.0</v>
      </c>
      <c r="P470" s="54">
        <v>0.0</v>
      </c>
    </row>
    <row r="471">
      <c r="A471" s="50"/>
      <c r="E471" s="52"/>
      <c r="F471" s="54"/>
      <c r="G471" s="54">
        <v>0.0</v>
      </c>
      <c r="P471" s="54">
        <v>0.0</v>
      </c>
    </row>
    <row r="472">
      <c r="A472" s="50"/>
      <c r="E472" s="52"/>
      <c r="F472" s="54"/>
      <c r="G472" s="54">
        <v>0.0</v>
      </c>
      <c r="P472" s="54">
        <v>0.0</v>
      </c>
    </row>
    <row r="473">
      <c r="A473" s="50"/>
      <c r="E473" s="52"/>
      <c r="F473" s="54"/>
      <c r="G473" s="54">
        <v>0.0</v>
      </c>
      <c r="P473" s="54">
        <v>0.0</v>
      </c>
    </row>
    <row r="474">
      <c r="A474" s="50"/>
      <c r="E474" s="52"/>
      <c r="F474" s="54"/>
      <c r="G474" s="54">
        <v>0.0</v>
      </c>
      <c r="P474" s="54">
        <v>0.0</v>
      </c>
    </row>
    <row r="475">
      <c r="A475" s="50"/>
      <c r="E475" s="52"/>
      <c r="F475" s="54"/>
      <c r="G475" s="54">
        <v>0.0</v>
      </c>
      <c r="P475" s="54">
        <v>0.0</v>
      </c>
    </row>
    <row r="476">
      <c r="A476" s="50"/>
      <c r="E476" s="52"/>
      <c r="F476" s="54"/>
      <c r="G476" s="54">
        <v>0.0</v>
      </c>
      <c r="P476" s="54">
        <v>0.0</v>
      </c>
    </row>
    <row r="477">
      <c r="A477" s="50"/>
      <c r="E477" s="52"/>
      <c r="F477" s="54"/>
      <c r="G477" s="54">
        <v>0.0</v>
      </c>
      <c r="P477" s="54">
        <v>0.0</v>
      </c>
    </row>
    <row r="478">
      <c r="A478" s="50"/>
      <c r="E478" s="52"/>
      <c r="F478" s="54"/>
      <c r="G478" s="54">
        <v>0.0</v>
      </c>
      <c r="P478" s="54">
        <v>0.0</v>
      </c>
    </row>
    <row r="479">
      <c r="A479" s="50"/>
      <c r="E479" s="52"/>
      <c r="F479" s="54"/>
      <c r="G479" s="54">
        <v>0.0</v>
      </c>
      <c r="P479" s="54">
        <v>0.0</v>
      </c>
    </row>
    <row r="480">
      <c r="A480" s="50"/>
      <c r="E480" s="52"/>
      <c r="F480" s="54"/>
      <c r="G480" s="54">
        <v>0.0</v>
      </c>
      <c r="P480" s="54">
        <v>0.0</v>
      </c>
    </row>
    <row r="481">
      <c r="A481" s="50"/>
      <c r="E481" s="52"/>
      <c r="F481" s="54"/>
      <c r="G481" s="54">
        <v>0.0</v>
      </c>
      <c r="P481" s="54">
        <v>0.0</v>
      </c>
    </row>
    <row r="482">
      <c r="A482" s="50"/>
      <c r="E482" s="52"/>
      <c r="F482" s="54"/>
      <c r="G482" s="54">
        <v>0.0</v>
      </c>
      <c r="P482" s="54">
        <v>0.0</v>
      </c>
    </row>
    <row r="483">
      <c r="A483" s="50"/>
      <c r="E483" s="52"/>
      <c r="F483" s="54"/>
      <c r="G483" s="54">
        <v>0.0</v>
      </c>
      <c r="P483" s="54">
        <v>0.0</v>
      </c>
    </row>
    <row r="484">
      <c r="A484" s="50"/>
      <c r="E484" s="52"/>
      <c r="F484" s="54"/>
      <c r="G484" s="54">
        <v>0.0</v>
      </c>
      <c r="P484" s="54">
        <v>0.0</v>
      </c>
    </row>
    <row r="485">
      <c r="A485" s="50"/>
      <c r="E485" s="52"/>
      <c r="F485" s="54"/>
      <c r="G485" s="54">
        <v>0.0</v>
      </c>
      <c r="P485" s="54">
        <v>0.0</v>
      </c>
    </row>
    <row r="486">
      <c r="A486" s="50"/>
      <c r="E486" s="52"/>
      <c r="F486" s="54"/>
      <c r="G486" s="54">
        <v>0.0</v>
      </c>
      <c r="P486" s="54">
        <v>0.0</v>
      </c>
    </row>
    <row r="487">
      <c r="A487" s="50"/>
      <c r="E487" s="52"/>
      <c r="F487" s="54"/>
      <c r="G487" s="54">
        <v>0.0</v>
      </c>
      <c r="P487" s="54">
        <v>0.0</v>
      </c>
    </row>
    <row r="488">
      <c r="A488" s="50"/>
      <c r="E488" s="52"/>
      <c r="F488" s="54"/>
      <c r="G488" s="54">
        <v>0.0</v>
      </c>
      <c r="P488" s="54">
        <v>0.0</v>
      </c>
    </row>
    <row r="489">
      <c r="A489" s="50"/>
      <c r="E489" s="52"/>
      <c r="F489" s="54"/>
      <c r="G489" s="54">
        <v>0.0</v>
      </c>
      <c r="P489" s="54">
        <v>0.0</v>
      </c>
    </row>
    <row r="490">
      <c r="A490" s="50"/>
      <c r="E490" s="52"/>
      <c r="F490" s="54"/>
      <c r="G490" s="54">
        <v>0.0</v>
      </c>
      <c r="P490" s="54">
        <v>0.0</v>
      </c>
    </row>
    <row r="491">
      <c r="A491" s="50"/>
      <c r="E491" s="52"/>
      <c r="F491" s="54"/>
      <c r="G491" s="54">
        <v>0.0</v>
      </c>
      <c r="P491" s="54">
        <v>0.0</v>
      </c>
    </row>
    <row r="492">
      <c r="A492" s="50"/>
      <c r="E492" s="52"/>
      <c r="F492" s="54"/>
      <c r="G492" s="54">
        <v>0.0</v>
      </c>
      <c r="P492" s="54">
        <v>0.0</v>
      </c>
    </row>
    <row r="493">
      <c r="A493" s="50"/>
      <c r="E493" s="52"/>
      <c r="F493" s="54"/>
      <c r="G493" s="54">
        <v>0.0</v>
      </c>
      <c r="P493" s="54">
        <v>0.0</v>
      </c>
    </row>
    <row r="494">
      <c r="A494" s="50"/>
      <c r="E494" s="52"/>
      <c r="F494" s="54"/>
      <c r="G494" s="54">
        <v>0.0</v>
      </c>
      <c r="P494" s="54">
        <v>0.0</v>
      </c>
    </row>
    <row r="495">
      <c r="A495" s="50"/>
      <c r="E495" s="52"/>
      <c r="F495" s="54"/>
      <c r="G495" s="54">
        <v>0.0</v>
      </c>
      <c r="P495" s="54">
        <v>0.0</v>
      </c>
    </row>
    <row r="496">
      <c r="A496" s="50"/>
      <c r="E496" s="52"/>
      <c r="F496" s="54"/>
      <c r="G496" s="54">
        <v>0.0</v>
      </c>
      <c r="P496" s="54">
        <v>0.0</v>
      </c>
    </row>
    <row r="497">
      <c r="A497" s="50"/>
      <c r="E497" s="52"/>
      <c r="F497" s="54"/>
      <c r="G497" s="54">
        <v>0.0</v>
      </c>
      <c r="P497" s="54">
        <v>0.0</v>
      </c>
    </row>
    <row r="498">
      <c r="A498" s="50"/>
      <c r="E498" s="52"/>
      <c r="F498" s="54"/>
      <c r="G498" s="54">
        <v>0.0</v>
      </c>
      <c r="P498" s="54">
        <v>0.0</v>
      </c>
    </row>
    <row r="499">
      <c r="A499" s="50"/>
      <c r="E499" s="52"/>
      <c r="F499" s="54"/>
      <c r="G499" s="54">
        <v>0.0</v>
      </c>
      <c r="P499" s="54">
        <v>0.0</v>
      </c>
    </row>
    <row r="500">
      <c r="A500" s="50"/>
      <c r="E500" s="52"/>
      <c r="F500" s="54"/>
      <c r="G500" s="54">
        <v>0.0</v>
      </c>
      <c r="P500" s="54">
        <v>0.0</v>
      </c>
    </row>
    <row r="501">
      <c r="A501" s="50"/>
      <c r="E501" s="52"/>
      <c r="F501" s="54"/>
      <c r="G501" s="54">
        <v>0.0</v>
      </c>
      <c r="P501" s="54">
        <v>0.0</v>
      </c>
    </row>
    <row r="502">
      <c r="A502" s="50"/>
      <c r="E502" s="52"/>
      <c r="F502" s="54"/>
      <c r="G502" s="54">
        <v>0.0</v>
      </c>
      <c r="P502" s="54">
        <v>0.0</v>
      </c>
    </row>
    <row r="503">
      <c r="A503" s="50"/>
      <c r="E503" s="52"/>
      <c r="F503" s="54"/>
      <c r="G503" s="54">
        <v>0.0</v>
      </c>
      <c r="P503" s="54">
        <v>0.0</v>
      </c>
    </row>
    <row r="504">
      <c r="A504" s="50"/>
      <c r="E504" s="52"/>
      <c r="F504" s="54"/>
      <c r="G504" s="54">
        <v>0.0</v>
      </c>
      <c r="P504" s="54">
        <v>0.0</v>
      </c>
    </row>
    <row r="505">
      <c r="A505" s="50"/>
      <c r="E505" s="52"/>
      <c r="F505" s="54"/>
      <c r="G505" s="54">
        <v>0.0</v>
      </c>
      <c r="P505" s="54">
        <v>0.0</v>
      </c>
    </row>
    <row r="506">
      <c r="A506" s="50"/>
      <c r="E506" s="52"/>
      <c r="F506" s="54"/>
      <c r="G506" s="54">
        <v>0.0</v>
      </c>
      <c r="P506" s="54">
        <v>0.0</v>
      </c>
    </row>
    <row r="507">
      <c r="A507" s="50"/>
      <c r="E507" s="52"/>
      <c r="F507" s="54"/>
      <c r="G507" s="54">
        <v>0.0</v>
      </c>
      <c r="P507" s="54">
        <v>0.0</v>
      </c>
    </row>
    <row r="508">
      <c r="A508" s="50"/>
      <c r="E508" s="52"/>
      <c r="F508" s="54"/>
      <c r="G508" s="54">
        <v>0.0</v>
      </c>
      <c r="P508" s="54">
        <v>0.0</v>
      </c>
    </row>
    <row r="509">
      <c r="A509" s="50"/>
      <c r="E509" s="52"/>
      <c r="F509" s="54"/>
      <c r="G509" s="54">
        <v>0.0</v>
      </c>
      <c r="P509" s="54">
        <v>0.0</v>
      </c>
    </row>
    <row r="510">
      <c r="A510" s="50"/>
      <c r="E510" s="52"/>
      <c r="F510" s="54"/>
      <c r="G510" s="54">
        <v>0.0</v>
      </c>
      <c r="P510" s="54">
        <v>0.0</v>
      </c>
    </row>
    <row r="511">
      <c r="A511" s="50"/>
      <c r="E511" s="52"/>
      <c r="F511" s="54"/>
      <c r="G511" s="54">
        <v>0.0</v>
      </c>
      <c r="P511" s="54">
        <v>0.0</v>
      </c>
    </row>
    <row r="512">
      <c r="A512" s="50"/>
      <c r="E512" s="52"/>
      <c r="F512" s="54"/>
      <c r="G512" s="54">
        <v>0.0</v>
      </c>
      <c r="P512" s="54">
        <v>0.0</v>
      </c>
    </row>
    <row r="513">
      <c r="A513" s="50"/>
      <c r="E513" s="52"/>
      <c r="F513" s="54"/>
      <c r="G513" s="54">
        <v>0.0</v>
      </c>
      <c r="P513" s="54">
        <v>0.0</v>
      </c>
    </row>
    <row r="514">
      <c r="A514" s="50"/>
      <c r="E514" s="52"/>
      <c r="F514" s="54"/>
      <c r="G514" s="54">
        <v>0.0</v>
      </c>
      <c r="P514" s="54">
        <v>0.0</v>
      </c>
    </row>
    <row r="515">
      <c r="A515" s="50"/>
      <c r="E515" s="52"/>
      <c r="F515" s="54"/>
      <c r="G515" s="54">
        <v>0.0</v>
      </c>
      <c r="P515" s="54">
        <v>0.0</v>
      </c>
    </row>
    <row r="516">
      <c r="A516" s="50"/>
      <c r="E516" s="52"/>
      <c r="F516" s="54"/>
      <c r="G516" s="54">
        <v>0.0</v>
      </c>
      <c r="P516" s="54">
        <v>0.0</v>
      </c>
    </row>
    <row r="517">
      <c r="A517" s="50"/>
      <c r="E517" s="52"/>
      <c r="F517" s="54"/>
      <c r="G517" s="54">
        <v>0.0</v>
      </c>
      <c r="P517" s="54">
        <v>0.0</v>
      </c>
    </row>
    <row r="518">
      <c r="A518" s="50"/>
      <c r="E518" s="52"/>
      <c r="F518" s="54"/>
      <c r="G518" s="54">
        <v>0.0</v>
      </c>
      <c r="P518" s="54">
        <v>0.0</v>
      </c>
    </row>
    <row r="519">
      <c r="A519" s="50"/>
      <c r="E519" s="52"/>
      <c r="F519" s="54"/>
      <c r="G519" s="54">
        <v>0.0</v>
      </c>
      <c r="P519" s="54">
        <v>0.0</v>
      </c>
    </row>
    <row r="520">
      <c r="A520" s="50"/>
      <c r="E520" s="52"/>
      <c r="F520" s="54"/>
      <c r="G520" s="54">
        <v>0.0</v>
      </c>
      <c r="P520" s="54">
        <v>0.0</v>
      </c>
    </row>
    <row r="521">
      <c r="A521" s="50"/>
      <c r="E521" s="52"/>
      <c r="F521" s="54"/>
      <c r="G521" s="54">
        <v>0.0</v>
      </c>
      <c r="P521" s="54">
        <v>0.0</v>
      </c>
    </row>
    <row r="522">
      <c r="A522" s="50"/>
      <c r="E522" s="52"/>
      <c r="F522" s="54"/>
      <c r="G522" s="54">
        <v>0.0</v>
      </c>
      <c r="P522" s="54">
        <v>0.0</v>
      </c>
    </row>
    <row r="523">
      <c r="A523" s="50"/>
      <c r="E523" s="52"/>
      <c r="F523" s="54"/>
      <c r="G523" s="54">
        <v>0.0</v>
      </c>
      <c r="P523" s="54">
        <v>0.0</v>
      </c>
    </row>
    <row r="524">
      <c r="A524" s="50"/>
      <c r="E524" s="52"/>
      <c r="F524" s="54"/>
      <c r="G524" s="54">
        <v>0.0</v>
      </c>
      <c r="P524" s="54">
        <v>0.0</v>
      </c>
    </row>
    <row r="525">
      <c r="A525" s="50"/>
      <c r="E525" s="52"/>
      <c r="F525" s="54"/>
      <c r="G525" s="54">
        <v>0.0</v>
      </c>
      <c r="P525" s="54">
        <v>0.0</v>
      </c>
    </row>
    <row r="526">
      <c r="A526" s="50"/>
      <c r="E526" s="52"/>
      <c r="F526" s="54"/>
      <c r="G526" s="54">
        <v>0.0</v>
      </c>
      <c r="P526" s="54">
        <v>0.0</v>
      </c>
    </row>
    <row r="527">
      <c r="A527" s="50"/>
      <c r="E527" s="52"/>
      <c r="F527" s="54"/>
      <c r="G527" s="54">
        <v>0.0</v>
      </c>
      <c r="P527" s="54">
        <v>0.0</v>
      </c>
    </row>
    <row r="528">
      <c r="A528" s="50"/>
      <c r="E528" s="52"/>
      <c r="F528" s="54"/>
      <c r="G528" s="54">
        <v>0.0</v>
      </c>
      <c r="P528" s="54">
        <v>0.0</v>
      </c>
    </row>
    <row r="529">
      <c r="A529" s="50"/>
      <c r="E529" s="52"/>
      <c r="F529" s="54"/>
      <c r="G529" s="54">
        <v>0.0</v>
      </c>
      <c r="P529" s="54">
        <v>0.0</v>
      </c>
    </row>
    <row r="530">
      <c r="A530" s="50"/>
      <c r="E530" s="52"/>
      <c r="F530" s="54"/>
      <c r="G530" s="54">
        <v>0.0</v>
      </c>
      <c r="P530" s="54">
        <v>0.0</v>
      </c>
    </row>
    <row r="531">
      <c r="A531" s="50"/>
      <c r="E531" s="52"/>
      <c r="F531" s="54"/>
      <c r="G531" s="54">
        <v>0.0</v>
      </c>
      <c r="P531" s="54">
        <v>0.0</v>
      </c>
    </row>
    <row r="532">
      <c r="A532" s="50"/>
      <c r="E532" s="52"/>
      <c r="F532" s="54"/>
      <c r="G532" s="54">
        <v>0.0</v>
      </c>
      <c r="P532" s="54">
        <v>0.0</v>
      </c>
    </row>
    <row r="533">
      <c r="A533" s="50"/>
      <c r="E533" s="52"/>
      <c r="F533" s="54"/>
      <c r="G533" s="54">
        <v>0.0</v>
      </c>
      <c r="P533" s="54">
        <v>0.0</v>
      </c>
    </row>
    <row r="534">
      <c r="A534" s="50"/>
      <c r="E534" s="52"/>
      <c r="F534" s="54"/>
      <c r="G534" s="54">
        <v>0.0</v>
      </c>
      <c r="P534" s="54">
        <v>0.0</v>
      </c>
    </row>
    <row r="535">
      <c r="A535" s="50"/>
      <c r="E535" s="52"/>
      <c r="F535" s="54"/>
      <c r="G535" s="54">
        <v>0.0</v>
      </c>
      <c r="P535" s="54">
        <v>0.0</v>
      </c>
    </row>
    <row r="536">
      <c r="A536" s="50"/>
      <c r="E536" s="52"/>
      <c r="F536" s="54"/>
      <c r="G536" s="54">
        <v>0.0</v>
      </c>
      <c r="P536" s="54">
        <v>0.0</v>
      </c>
    </row>
    <row r="537">
      <c r="A537" s="50"/>
      <c r="E537" s="52"/>
      <c r="F537" s="54"/>
      <c r="G537" s="54">
        <v>0.0</v>
      </c>
      <c r="P537" s="54">
        <v>0.0</v>
      </c>
    </row>
    <row r="538">
      <c r="A538" s="50"/>
      <c r="E538" s="52"/>
      <c r="F538" s="54"/>
      <c r="G538" s="54">
        <v>0.0</v>
      </c>
      <c r="P538" s="54">
        <v>0.0</v>
      </c>
    </row>
    <row r="539">
      <c r="A539" s="50"/>
      <c r="E539" s="52"/>
      <c r="F539" s="54"/>
      <c r="G539" s="54">
        <v>0.0</v>
      </c>
      <c r="P539" s="54">
        <v>0.0</v>
      </c>
    </row>
    <row r="540">
      <c r="A540" s="50"/>
      <c r="E540" s="52"/>
      <c r="F540" s="54"/>
      <c r="G540" s="54">
        <v>0.0</v>
      </c>
      <c r="P540" s="54">
        <v>0.0</v>
      </c>
    </row>
    <row r="541">
      <c r="A541" s="50"/>
      <c r="E541" s="52"/>
      <c r="F541" s="54"/>
      <c r="G541" s="54">
        <v>0.0</v>
      </c>
      <c r="P541" s="54">
        <v>0.0</v>
      </c>
    </row>
    <row r="542">
      <c r="A542" s="50"/>
      <c r="E542" s="52"/>
      <c r="F542" s="54"/>
      <c r="G542" s="54">
        <v>0.0</v>
      </c>
      <c r="P542" s="54">
        <v>0.0</v>
      </c>
    </row>
    <row r="543">
      <c r="A543" s="50"/>
      <c r="E543" s="52"/>
      <c r="F543" s="54"/>
      <c r="G543" s="54">
        <v>0.0</v>
      </c>
      <c r="P543" s="54">
        <v>0.0</v>
      </c>
    </row>
    <row r="544">
      <c r="A544" s="50"/>
      <c r="E544" s="52"/>
      <c r="F544" s="54"/>
      <c r="G544" s="54">
        <v>0.0</v>
      </c>
      <c r="P544" s="54">
        <v>0.0</v>
      </c>
    </row>
    <row r="545">
      <c r="A545" s="50"/>
      <c r="E545" s="52"/>
      <c r="F545" s="54"/>
      <c r="G545" s="54">
        <v>0.0</v>
      </c>
      <c r="P545" s="54">
        <v>0.0</v>
      </c>
    </row>
    <row r="546">
      <c r="A546" s="50"/>
      <c r="E546" s="52"/>
      <c r="F546" s="54"/>
      <c r="G546" s="54">
        <v>0.0</v>
      </c>
      <c r="P546" s="54">
        <v>0.0</v>
      </c>
    </row>
    <row r="547">
      <c r="A547" s="50"/>
      <c r="E547" s="52"/>
      <c r="F547" s="54"/>
      <c r="G547" s="54">
        <v>0.0</v>
      </c>
      <c r="P547" s="54">
        <v>0.0</v>
      </c>
    </row>
    <row r="548">
      <c r="A548" s="50"/>
      <c r="E548" s="52"/>
      <c r="F548" s="54"/>
      <c r="G548" s="54">
        <v>0.0</v>
      </c>
      <c r="P548" s="54">
        <v>0.0</v>
      </c>
    </row>
    <row r="549">
      <c r="A549" s="50"/>
      <c r="E549" s="52"/>
      <c r="F549" s="54"/>
      <c r="G549" s="54">
        <v>0.0</v>
      </c>
      <c r="P549" s="54">
        <v>0.0</v>
      </c>
    </row>
    <row r="550">
      <c r="A550" s="50"/>
      <c r="E550" s="52"/>
      <c r="F550" s="54"/>
      <c r="G550" s="54">
        <v>0.0</v>
      </c>
      <c r="P550" s="54">
        <v>0.0</v>
      </c>
    </row>
    <row r="551">
      <c r="A551" s="50"/>
      <c r="E551" s="52"/>
      <c r="F551" s="54"/>
      <c r="G551" s="54">
        <v>0.0</v>
      </c>
      <c r="P551" s="54">
        <v>0.0</v>
      </c>
    </row>
    <row r="552">
      <c r="A552" s="50"/>
      <c r="E552" s="52"/>
      <c r="F552" s="54"/>
      <c r="G552" s="54">
        <v>0.0</v>
      </c>
      <c r="P552" s="54">
        <v>0.0</v>
      </c>
    </row>
    <row r="553">
      <c r="A553" s="50"/>
      <c r="E553" s="52"/>
      <c r="F553" s="54"/>
      <c r="G553" s="54">
        <v>0.0</v>
      </c>
      <c r="P553" s="54">
        <v>0.0</v>
      </c>
    </row>
    <row r="554">
      <c r="A554" s="50"/>
      <c r="E554" s="52"/>
      <c r="F554" s="54"/>
      <c r="G554" s="54">
        <v>0.0</v>
      </c>
      <c r="P554" s="54">
        <v>0.0</v>
      </c>
    </row>
    <row r="555">
      <c r="A555" s="50"/>
      <c r="E555" s="52"/>
      <c r="F555" s="54"/>
      <c r="G555" s="54">
        <v>0.0</v>
      </c>
      <c r="P555" s="54">
        <v>0.0</v>
      </c>
    </row>
    <row r="556">
      <c r="A556" s="50"/>
      <c r="E556" s="52"/>
      <c r="F556" s="54"/>
      <c r="G556" s="54">
        <v>0.0</v>
      </c>
      <c r="P556" s="54">
        <v>0.0</v>
      </c>
    </row>
    <row r="557">
      <c r="A557" s="50"/>
      <c r="E557" s="52"/>
      <c r="F557" s="54"/>
      <c r="G557" s="54">
        <v>0.0</v>
      </c>
      <c r="P557" s="54">
        <v>0.0</v>
      </c>
    </row>
    <row r="558">
      <c r="A558" s="50"/>
      <c r="E558" s="52"/>
      <c r="F558" s="54"/>
      <c r="G558" s="54">
        <v>0.0</v>
      </c>
      <c r="P558" s="54">
        <v>0.0</v>
      </c>
    </row>
    <row r="559">
      <c r="A559" s="50"/>
      <c r="E559" s="52"/>
      <c r="F559" s="54"/>
      <c r="G559" s="54">
        <v>0.0</v>
      </c>
      <c r="P559" s="54">
        <v>0.0</v>
      </c>
    </row>
    <row r="560">
      <c r="A560" s="50"/>
      <c r="E560" s="52"/>
      <c r="F560" s="54"/>
      <c r="G560" s="54">
        <v>0.0</v>
      </c>
      <c r="P560" s="54">
        <v>0.0</v>
      </c>
    </row>
    <row r="561">
      <c r="A561" s="50"/>
      <c r="E561" s="52"/>
      <c r="F561" s="54"/>
      <c r="G561" s="54">
        <v>0.0</v>
      </c>
      <c r="P561" s="54">
        <v>0.0</v>
      </c>
    </row>
    <row r="562">
      <c r="A562" s="50"/>
      <c r="E562" s="52"/>
      <c r="F562" s="54"/>
      <c r="G562" s="54">
        <v>0.0</v>
      </c>
      <c r="P562" s="54">
        <v>0.0</v>
      </c>
    </row>
    <row r="563">
      <c r="A563" s="50"/>
      <c r="E563" s="52"/>
      <c r="F563" s="54"/>
      <c r="G563" s="54">
        <v>0.0</v>
      </c>
      <c r="P563" s="54">
        <v>0.0</v>
      </c>
    </row>
    <row r="564">
      <c r="A564" s="50"/>
      <c r="E564" s="52"/>
      <c r="F564" s="54"/>
      <c r="G564" s="54">
        <v>0.0</v>
      </c>
      <c r="P564" s="54">
        <v>0.0</v>
      </c>
    </row>
    <row r="565">
      <c r="A565" s="50"/>
      <c r="E565" s="52"/>
      <c r="F565" s="54"/>
      <c r="G565" s="54">
        <v>0.0</v>
      </c>
      <c r="P565" s="54">
        <v>0.0</v>
      </c>
    </row>
    <row r="566">
      <c r="A566" s="50"/>
      <c r="E566" s="52"/>
      <c r="F566" s="54"/>
      <c r="G566" s="54">
        <v>0.0</v>
      </c>
      <c r="P566" s="54">
        <v>0.0</v>
      </c>
    </row>
    <row r="567">
      <c r="A567" s="50"/>
      <c r="E567" s="52"/>
      <c r="F567" s="54"/>
      <c r="G567" s="54">
        <v>0.0</v>
      </c>
      <c r="P567" s="54">
        <v>0.0</v>
      </c>
    </row>
    <row r="568">
      <c r="A568" s="50"/>
      <c r="E568" s="52"/>
      <c r="F568" s="54"/>
      <c r="G568" s="54">
        <v>0.0</v>
      </c>
      <c r="P568" s="54">
        <v>0.0</v>
      </c>
    </row>
    <row r="569">
      <c r="A569" s="50"/>
      <c r="E569" s="52"/>
      <c r="F569" s="54"/>
      <c r="G569" s="54">
        <v>0.0</v>
      </c>
      <c r="P569" s="54">
        <v>0.0</v>
      </c>
    </row>
    <row r="570">
      <c r="A570" s="50"/>
      <c r="E570" s="52"/>
      <c r="F570" s="54"/>
      <c r="G570" s="54">
        <v>0.0</v>
      </c>
      <c r="P570" s="54">
        <v>0.0</v>
      </c>
    </row>
    <row r="571">
      <c r="A571" s="50"/>
      <c r="E571" s="52"/>
      <c r="F571" s="54"/>
      <c r="G571" s="54">
        <v>0.0</v>
      </c>
      <c r="P571" s="54">
        <v>0.0</v>
      </c>
    </row>
    <row r="572">
      <c r="A572" s="50"/>
      <c r="E572" s="52"/>
      <c r="F572" s="54"/>
      <c r="G572" s="54">
        <v>0.0</v>
      </c>
      <c r="P572" s="54">
        <v>0.0</v>
      </c>
    </row>
    <row r="573">
      <c r="A573" s="50"/>
      <c r="E573" s="52"/>
      <c r="F573" s="54"/>
      <c r="G573" s="54">
        <v>0.0</v>
      </c>
      <c r="P573" s="54">
        <v>0.0</v>
      </c>
    </row>
    <row r="574">
      <c r="A574" s="50"/>
      <c r="E574" s="52"/>
      <c r="F574" s="54"/>
      <c r="G574" s="54">
        <v>0.0</v>
      </c>
      <c r="P574" s="54">
        <v>0.0</v>
      </c>
    </row>
    <row r="575">
      <c r="A575" s="50"/>
      <c r="E575" s="52"/>
      <c r="F575" s="54"/>
      <c r="G575" s="54">
        <v>0.0</v>
      </c>
      <c r="P575" s="54">
        <v>0.0</v>
      </c>
    </row>
    <row r="576">
      <c r="A576" s="50"/>
      <c r="E576" s="52"/>
      <c r="F576" s="54"/>
      <c r="G576" s="54">
        <v>0.0</v>
      </c>
      <c r="P576" s="54">
        <v>0.0</v>
      </c>
    </row>
    <row r="577">
      <c r="A577" s="50"/>
      <c r="E577" s="52"/>
      <c r="F577" s="54"/>
      <c r="G577" s="54">
        <v>0.0</v>
      </c>
      <c r="P577" s="54">
        <v>0.0</v>
      </c>
    </row>
    <row r="578">
      <c r="A578" s="50"/>
      <c r="E578" s="52"/>
      <c r="F578" s="54"/>
      <c r="G578" s="54">
        <v>0.0</v>
      </c>
      <c r="P578" s="54">
        <v>0.0</v>
      </c>
    </row>
    <row r="579">
      <c r="A579" s="50"/>
      <c r="E579" s="52"/>
      <c r="F579" s="54"/>
      <c r="G579" s="54">
        <v>0.0</v>
      </c>
      <c r="P579" s="54">
        <v>0.0</v>
      </c>
    </row>
    <row r="580">
      <c r="A580" s="50"/>
      <c r="E580" s="52"/>
      <c r="F580" s="54"/>
      <c r="G580" s="54">
        <v>0.0</v>
      </c>
      <c r="P580" s="54">
        <v>0.0</v>
      </c>
    </row>
    <row r="581">
      <c r="A581" s="50"/>
      <c r="E581" s="52"/>
      <c r="F581" s="54"/>
      <c r="G581" s="54">
        <v>0.0</v>
      </c>
      <c r="P581" s="54">
        <v>0.0</v>
      </c>
    </row>
    <row r="582">
      <c r="A582" s="50"/>
      <c r="E582" s="52"/>
      <c r="F582" s="54"/>
      <c r="G582" s="54">
        <v>0.0</v>
      </c>
      <c r="P582" s="54">
        <v>0.0</v>
      </c>
    </row>
    <row r="583">
      <c r="A583" s="50"/>
      <c r="E583" s="52"/>
      <c r="F583" s="54"/>
      <c r="G583" s="54">
        <v>0.0</v>
      </c>
      <c r="P583" s="54">
        <v>0.0</v>
      </c>
    </row>
    <row r="584">
      <c r="A584" s="50"/>
      <c r="E584" s="52"/>
      <c r="F584" s="54"/>
      <c r="G584" s="54">
        <v>0.0</v>
      </c>
      <c r="P584" s="54">
        <v>0.0</v>
      </c>
    </row>
    <row r="585">
      <c r="A585" s="50"/>
      <c r="E585" s="52"/>
      <c r="F585" s="54"/>
      <c r="G585" s="54">
        <v>0.0</v>
      </c>
      <c r="P585" s="54">
        <v>0.0</v>
      </c>
    </row>
    <row r="586">
      <c r="A586" s="50"/>
      <c r="E586" s="52"/>
      <c r="F586" s="54"/>
      <c r="G586" s="54">
        <v>0.0</v>
      </c>
      <c r="P586" s="54">
        <v>0.0</v>
      </c>
    </row>
    <row r="587">
      <c r="A587" s="50"/>
      <c r="E587" s="52"/>
      <c r="F587" s="54"/>
      <c r="G587" s="54">
        <v>0.0</v>
      </c>
      <c r="P587" s="54">
        <v>0.0</v>
      </c>
    </row>
    <row r="588">
      <c r="A588" s="50"/>
      <c r="E588" s="52"/>
      <c r="F588" s="54"/>
      <c r="G588" s="54">
        <v>0.0</v>
      </c>
      <c r="P588" s="54">
        <v>0.0</v>
      </c>
    </row>
    <row r="589">
      <c r="A589" s="50"/>
      <c r="E589" s="52"/>
      <c r="F589" s="54"/>
      <c r="G589" s="54">
        <v>0.0</v>
      </c>
      <c r="P589" s="54">
        <v>0.0</v>
      </c>
    </row>
    <row r="590">
      <c r="A590" s="50"/>
      <c r="E590" s="52"/>
      <c r="F590" s="54"/>
      <c r="G590" s="54">
        <v>0.0</v>
      </c>
      <c r="P590" s="54">
        <v>0.0</v>
      </c>
    </row>
    <row r="591">
      <c r="A591" s="50"/>
      <c r="E591" s="52"/>
      <c r="F591" s="54"/>
      <c r="G591" s="54">
        <v>0.0</v>
      </c>
      <c r="P591" s="54">
        <v>0.0</v>
      </c>
    </row>
    <row r="592">
      <c r="A592" s="50"/>
      <c r="E592" s="52"/>
      <c r="F592" s="54"/>
      <c r="G592" s="54">
        <v>0.0</v>
      </c>
      <c r="P592" s="54">
        <v>0.0</v>
      </c>
    </row>
    <row r="593">
      <c r="A593" s="50"/>
      <c r="E593" s="52"/>
      <c r="F593" s="54"/>
      <c r="G593" s="54">
        <v>0.0</v>
      </c>
      <c r="P593" s="54">
        <v>0.0</v>
      </c>
    </row>
    <row r="594">
      <c r="A594" s="50"/>
      <c r="E594" s="52"/>
      <c r="F594" s="54"/>
      <c r="G594" s="54">
        <v>0.0</v>
      </c>
      <c r="P594" s="54">
        <v>0.0</v>
      </c>
    </row>
    <row r="595">
      <c r="A595" s="50"/>
      <c r="E595" s="52"/>
      <c r="F595" s="54"/>
      <c r="G595" s="54">
        <v>0.0</v>
      </c>
      <c r="P595" s="54">
        <v>0.0</v>
      </c>
    </row>
    <row r="596">
      <c r="A596" s="50"/>
      <c r="E596" s="52"/>
      <c r="F596" s="54"/>
      <c r="G596" s="54">
        <v>0.0</v>
      </c>
      <c r="P596" s="54">
        <v>0.0</v>
      </c>
    </row>
    <row r="597">
      <c r="A597" s="50"/>
      <c r="E597" s="52"/>
      <c r="F597" s="54"/>
      <c r="G597" s="54">
        <v>0.0</v>
      </c>
      <c r="P597" s="54">
        <v>0.0</v>
      </c>
    </row>
    <row r="598">
      <c r="A598" s="50"/>
      <c r="E598" s="52"/>
      <c r="F598" s="54"/>
      <c r="G598" s="54">
        <v>0.0</v>
      </c>
      <c r="P598" s="54">
        <v>0.0</v>
      </c>
    </row>
    <row r="599">
      <c r="A599" s="50"/>
      <c r="E599" s="52"/>
      <c r="F599" s="54"/>
      <c r="G599" s="54">
        <v>0.0</v>
      </c>
      <c r="P599" s="54">
        <v>0.0</v>
      </c>
    </row>
    <row r="600">
      <c r="A600" s="50"/>
      <c r="E600" s="52"/>
      <c r="F600" s="54"/>
      <c r="G600" s="54">
        <v>0.0</v>
      </c>
      <c r="P600" s="54">
        <v>0.0</v>
      </c>
    </row>
    <row r="601">
      <c r="A601" s="50"/>
      <c r="E601" s="52"/>
      <c r="F601" s="54"/>
      <c r="G601" s="54">
        <v>0.0</v>
      </c>
      <c r="P601" s="54">
        <v>0.0</v>
      </c>
    </row>
    <row r="602">
      <c r="A602" s="50"/>
      <c r="E602" s="52"/>
      <c r="F602" s="54"/>
      <c r="G602" s="54">
        <v>0.0</v>
      </c>
      <c r="P602" s="54">
        <v>0.0</v>
      </c>
    </row>
    <row r="603">
      <c r="A603" s="50"/>
      <c r="E603" s="52"/>
      <c r="F603" s="54"/>
      <c r="G603" s="54">
        <v>0.0</v>
      </c>
      <c r="P603" s="54">
        <v>0.0</v>
      </c>
    </row>
    <row r="604">
      <c r="A604" s="50"/>
      <c r="E604" s="52"/>
      <c r="F604" s="54"/>
      <c r="G604" s="54">
        <v>0.0</v>
      </c>
      <c r="P604" s="54">
        <v>0.0</v>
      </c>
    </row>
    <row r="605">
      <c r="A605" s="50"/>
      <c r="E605" s="52"/>
      <c r="F605" s="54"/>
      <c r="G605" s="54">
        <v>0.0</v>
      </c>
      <c r="P605" s="54">
        <v>0.0</v>
      </c>
    </row>
    <row r="606">
      <c r="A606" s="50"/>
      <c r="E606" s="52"/>
      <c r="F606" s="54"/>
      <c r="G606" s="54">
        <v>0.0</v>
      </c>
      <c r="P606" s="54">
        <v>0.0</v>
      </c>
    </row>
    <row r="607">
      <c r="A607" s="50"/>
      <c r="E607" s="52"/>
      <c r="F607" s="54"/>
      <c r="G607" s="54">
        <v>0.0</v>
      </c>
      <c r="P607" s="54">
        <v>0.0</v>
      </c>
    </row>
    <row r="608">
      <c r="A608" s="50"/>
      <c r="E608" s="52"/>
      <c r="F608" s="54"/>
      <c r="G608" s="54">
        <v>0.0</v>
      </c>
      <c r="P608" s="54">
        <v>0.0</v>
      </c>
    </row>
    <row r="609">
      <c r="A609" s="50"/>
      <c r="E609" s="52"/>
      <c r="F609" s="54"/>
      <c r="G609" s="54">
        <v>0.0</v>
      </c>
      <c r="P609" s="54">
        <v>0.0</v>
      </c>
    </row>
    <row r="610">
      <c r="A610" s="50"/>
      <c r="E610" s="52"/>
      <c r="F610" s="54"/>
      <c r="G610" s="54">
        <v>0.0</v>
      </c>
      <c r="P610" s="54">
        <v>0.0</v>
      </c>
    </row>
    <row r="611">
      <c r="A611" s="50"/>
      <c r="E611" s="52"/>
      <c r="F611" s="54"/>
      <c r="G611" s="54">
        <v>0.0</v>
      </c>
      <c r="P611" s="54">
        <v>0.0</v>
      </c>
    </row>
    <row r="612">
      <c r="A612" s="50"/>
      <c r="E612" s="52"/>
      <c r="F612" s="54"/>
      <c r="G612" s="54">
        <v>0.0</v>
      </c>
      <c r="P612" s="54">
        <v>0.0</v>
      </c>
    </row>
    <row r="613">
      <c r="A613" s="50"/>
      <c r="E613" s="52"/>
      <c r="F613" s="54"/>
      <c r="G613" s="54">
        <v>0.0</v>
      </c>
      <c r="P613" s="54">
        <v>0.0</v>
      </c>
    </row>
    <row r="614">
      <c r="A614" s="50"/>
      <c r="E614" s="52"/>
      <c r="F614" s="54"/>
      <c r="G614" s="54">
        <v>0.0</v>
      </c>
      <c r="P614" s="54">
        <v>0.0</v>
      </c>
    </row>
    <row r="615">
      <c r="A615" s="50"/>
      <c r="E615" s="52"/>
      <c r="F615" s="54"/>
      <c r="G615" s="54">
        <v>0.0</v>
      </c>
      <c r="P615" s="54">
        <v>0.0</v>
      </c>
    </row>
    <row r="616">
      <c r="A616" s="50"/>
      <c r="E616" s="52"/>
      <c r="F616" s="54"/>
      <c r="G616" s="54">
        <v>0.0</v>
      </c>
      <c r="P616" s="54">
        <v>0.0</v>
      </c>
    </row>
    <row r="617">
      <c r="A617" s="50"/>
      <c r="E617" s="52"/>
      <c r="F617" s="54"/>
      <c r="G617" s="54">
        <v>0.0</v>
      </c>
      <c r="P617" s="54">
        <v>0.0</v>
      </c>
    </row>
    <row r="618">
      <c r="A618" s="50"/>
      <c r="E618" s="52"/>
      <c r="F618" s="54"/>
      <c r="G618" s="54">
        <v>0.0</v>
      </c>
      <c r="P618" s="54">
        <v>0.0</v>
      </c>
    </row>
    <row r="619">
      <c r="A619" s="50"/>
      <c r="E619" s="52"/>
      <c r="F619" s="54"/>
      <c r="G619" s="54">
        <v>0.0</v>
      </c>
      <c r="P619" s="54">
        <v>0.0</v>
      </c>
    </row>
    <row r="620">
      <c r="A620" s="50"/>
      <c r="E620" s="52"/>
      <c r="F620" s="54"/>
      <c r="G620" s="54">
        <v>0.0</v>
      </c>
      <c r="P620" s="54">
        <v>0.0</v>
      </c>
    </row>
    <row r="621">
      <c r="A621" s="50"/>
      <c r="E621" s="52"/>
      <c r="F621" s="54"/>
      <c r="G621" s="54">
        <v>0.0</v>
      </c>
      <c r="P621" s="54">
        <v>0.0</v>
      </c>
    </row>
    <row r="622">
      <c r="A622" s="50"/>
      <c r="E622" s="52"/>
      <c r="F622" s="54"/>
      <c r="G622" s="54">
        <v>0.0</v>
      </c>
      <c r="P622" s="54">
        <v>0.0</v>
      </c>
    </row>
    <row r="623">
      <c r="A623" s="50"/>
      <c r="E623" s="52"/>
      <c r="F623" s="54"/>
      <c r="G623" s="54">
        <v>0.0</v>
      </c>
      <c r="P623" s="54">
        <v>0.0</v>
      </c>
    </row>
    <row r="624">
      <c r="A624" s="50"/>
      <c r="E624" s="52"/>
      <c r="F624" s="54"/>
      <c r="G624" s="54">
        <v>0.0</v>
      </c>
      <c r="P624" s="54">
        <v>0.0</v>
      </c>
    </row>
    <row r="625">
      <c r="A625" s="50"/>
      <c r="E625" s="52"/>
      <c r="F625" s="54"/>
      <c r="G625" s="54">
        <v>0.0</v>
      </c>
      <c r="P625" s="54">
        <v>0.0</v>
      </c>
    </row>
    <row r="626">
      <c r="A626" s="50"/>
      <c r="E626" s="52"/>
      <c r="F626" s="54"/>
      <c r="G626" s="54">
        <v>0.0</v>
      </c>
      <c r="P626" s="54">
        <v>0.0</v>
      </c>
    </row>
    <row r="627">
      <c r="A627" s="50"/>
      <c r="E627" s="52"/>
      <c r="F627" s="54"/>
      <c r="G627" s="54">
        <v>0.0</v>
      </c>
      <c r="P627" s="54">
        <v>0.0</v>
      </c>
    </row>
    <row r="628">
      <c r="A628" s="50"/>
      <c r="E628" s="52"/>
      <c r="F628" s="54"/>
      <c r="G628" s="54">
        <v>0.0</v>
      </c>
      <c r="P628" s="54">
        <v>0.0</v>
      </c>
    </row>
    <row r="629">
      <c r="A629" s="50"/>
      <c r="E629" s="52"/>
      <c r="F629" s="54"/>
      <c r="G629" s="54">
        <v>0.0</v>
      </c>
      <c r="P629" s="54">
        <v>0.0</v>
      </c>
    </row>
    <row r="630">
      <c r="A630" s="50"/>
      <c r="E630" s="52"/>
      <c r="F630" s="54"/>
      <c r="G630" s="54">
        <v>0.0</v>
      </c>
      <c r="P630" s="54">
        <v>0.0</v>
      </c>
    </row>
    <row r="631">
      <c r="A631" s="50"/>
      <c r="E631" s="52"/>
      <c r="F631" s="54"/>
      <c r="G631" s="54">
        <v>0.0</v>
      </c>
      <c r="P631" s="54">
        <v>0.0</v>
      </c>
    </row>
    <row r="632">
      <c r="A632" s="50"/>
      <c r="E632" s="52"/>
      <c r="F632" s="54"/>
      <c r="G632" s="54">
        <v>0.0</v>
      </c>
      <c r="P632" s="54">
        <v>0.0</v>
      </c>
    </row>
    <row r="633">
      <c r="A633" s="50"/>
      <c r="E633" s="52"/>
      <c r="F633" s="54"/>
      <c r="G633" s="54">
        <v>0.0</v>
      </c>
      <c r="P633" s="54">
        <v>0.0</v>
      </c>
    </row>
    <row r="634">
      <c r="A634" s="50"/>
      <c r="E634" s="52"/>
      <c r="F634" s="54"/>
      <c r="G634" s="54">
        <v>0.0</v>
      </c>
      <c r="P634" s="54">
        <v>0.0</v>
      </c>
    </row>
    <row r="635">
      <c r="A635" s="50"/>
      <c r="E635" s="52"/>
      <c r="F635" s="54"/>
      <c r="G635" s="54">
        <v>0.0</v>
      </c>
      <c r="P635" s="54">
        <v>0.0</v>
      </c>
    </row>
    <row r="636">
      <c r="A636" s="50"/>
      <c r="E636" s="52"/>
      <c r="F636" s="54"/>
      <c r="G636" s="54">
        <v>0.0</v>
      </c>
      <c r="P636" s="54">
        <v>0.0</v>
      </c>
    </row>
    <row r="637">
      <c r="A637" s="50"/>
      <c r="E637" s="52"/>
      <c r="F637" s="54"/>
      <c r="G637" s="54">
        <v>0.0</v>
      </c>
      <c r="P637" s="54">
        <v>0.0</v>
      </c>
    </row>
    <row r="638">
      <c r="A638" s="50"/>
      <c r="E638" s="52"/>
      <c r="F638" s="54"/>
      <c r="G638" s="54">
        <v>0.0</v>
      </c>
      <c r="P638" s="54">
        <v>0.0</v>
      </c>
    </row>
    <row r="639">
      <c r="A639" s="50"/>
      <c r="E639" s="52"/>
      <c r="F639" s="54"/>
      <c r="G639" s="54">
        <v>0.0</v>
      </c>
      <c r="P639" s="54">
        <v>0.0</v>
      </c>
    </row>
    <row r="640">
      <c r="A640" s="50"/>
      <c r="E640" s="52"/>
      <c r="F640" s="54"/>
      <c r="G640" s="54">
        <v>0.0</v>
      </c>
      <c r="P640" s="54">
        <v>0.0</v>
      </c>
    </row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6.57"/>
    <col customWidth="1" min="2" max="2" width="33.14"/>
    <col customWidth="1" min="3" max="3" width="22.57"/>
    <col customWidth="1" min="4" max="4" width="8.14"/>
    <col customWidth="1" min="5" max="5" width="9.57"/>
    <col customWidth="1" min="6" max="8" width="9.86"/>
    <col customWidth="1" min="9" max="9" width="10.86"/>
  </cols>
  <sheetData>
    <row r="1">
      <c r="A1" s="64" t="s">
        <v>617</v>
      </c>
      <c r="B1" s="65"/>
      <c r="C1" s="65"/>
      <c r="D1" s="66"/>
      <c r="E1" s="67"/>
      <c r="F1" s="67"/>
      <c r="G1" s="67"/>
      <c r="H1" s="67"/>
      <c r="I1" s="67"/>
    </row>
    <row r="2">
      <c r="A2" s="68" t="s">
        <v>618</v>
      </c>
      <c r="B2" s="65"/>
      <c r="C2" s="65"/>
      <c r="D2" s="66"/>
      <c r="E2" s="67"/>
      <c r="F2" s="67"/>
      <c r="G2" s="67"/>
      <c r="H2" s="67"/>
      <c r="I2" s="67"/>
    </row>
    <row r="3">
      <c r="A3" s="69" t="str">
        <f>UPPER('Balin-A'!E5)</f>
        <v>BULAN MEI 2026</v>
      </c>
      <c r="B3" s="65"/>
      <c r="C3" s="65"/>
      <c r="D3" s="66"/>
      <c r="E3" s="67"/>
      <c r="F3" s="67"/>
      <c r="G3" s="67"/>
      <c r="H3" s="67"/>
      <c r="I3" s="67"/>
    </row>
    <row r="4">
      <c r="A4" s="70"/>
      <c r="B4" s="65"/>
      <c r="C4" s="65"/>
      <c r="D4" s="66"/>
      <c r="E4" s="67"/>
      <c r="F4" s="67"/>
      <c r="G4" s="67"/>
      <c r="H4" s="67"/>
      <c r="I4" s="67"/>
    </row>
    <row r="5">
      <c r="A5" s="71" t="s">
        <v>619</v>
      </c>
      <c r="B5" s="72" t="s">
        <v>405</v>
      </c>
      <c r="C5" s="73" t="s">
        <v>620</v>
      </c>
      <c r="D5" s="73" t="s">
        <v>621</v>
      </c>
      <c r="E5" s="74" t="s">
        <v>406</v>
      </c>
      <c r="F5" s="75"/>
      <c r="G5" s="75"/>
      <c r="H5" s="75"/>
      <c r="I5" s="75"/>
    </row>
    <row r="6">
      <c r="A6" s="76"/>
      <c r="B6" s="76"/>
      <c r="C6" s="76"/>
      <c r="D6" s="76"/>
      <c r="E6" s="77" t="s">
        <v>622</v>
      </c>
      <c r="F6" s="77" t="s">
        <v>623</v>
      </c>
      <c r="G6" s="77" t="s">
        <v>624</v>
      </c>
      <c r="H6" s="77" t="s">
        <v>625</v>
      </c>
      <c r="I6" s="78" t="s">
        <v>626</v>
      </c>
    </row>
    <row r="7">
      <c r="A7" s="79" t="s">
        <v>627</v>
      </c>
      <c r="B7" s="80" t="s">
        <v>628</v>
      </c>
      <c r="C7" s="65"/>
      <c r="D7" s="66"/>
      <c r="E7" s="67"/>
      <c r="F7" s="67"/>
      <c r="G7" s="67"/>
      <c r="H7" s="67"/>
      <c r="I7" s="67"/>
    </row>
    <row r="8">
      <c r="A8" s="81">
        <v>1.0</v>
      </c>
      <c r="B8" s="82" t="s">
        <v>629</v>
      </c>
      <c r="C8" s="83" t="s">
        <v>630</v>
      </c>
      <c r="D8" s="84" t="s">
        <v>631</v>
      </c>
      <c r="E8" s="85">
        <f>'Balin-A'!$E$14/1000</f>
        <v>105921.179</v>
      </c>
      <c r="F8" s="85">
        <f>'Kumai-A'!$E$14/1000</f>
        <v>0</v>
      </c>
      <c r="G8" s="85">
        <f>'Sinta-A'!$E$14/1000</f>
        <v>24059.534</v>
      </c>
      <c r="H8" s="85">
        <f>'Lokal-A'!$E$14/1000</f>
        <v>0</v>
      </c>
      <c r="I8" s="85">
        <f t="shared" ref="I8:I12" si="1">sum(E8:H8)</f>
        <v>129980.713</v>
      </c>
    </row>
    <row r="9">
      <c r="A9" s="70"/>
      <c r="B9" s="65"/>
      <c r="C9" s="83" t="s">
        <v>632</v>
      </c>
      <c r="D9" s="84" t="s">
        <v>631</v>
      </c>
      <c r="E9" s="85">
        <f>'Balin-A'!$F$14/1000</f>
        <v>725438.24</v>
      </c>
      <c r="F9" s="85">
        <f>'Kumai-A'!$F$14/1000</f>
        <v>0</v>
      </c>
      <c r="G9" s="85">
        <f>'Sinta-A'!$F$14/1000</f>
        <v>238057.737</v>
      </c>
      <c r="H9" s="85">
        <f>'Lokal-A'!$F$14/1000</f>
        <v>80487.721</v>
      </c>
      <c r="I9" s="85">
        <f t="shared" si="1"/>
        <v>1043983.698</v>
      </c>
    </row>
    <row r="10">
      <c r="A10" s="70"/>
      <c r="B10" s="65"/>
      <c r="C10" s="83" t="s">
        <v>633</v>
      </c>
      <c r="D10" s="84" t="s">
        <v>631</v>
      </c>
      <c r="E10" s="85">
        <f>'Balin-A'!$G$14/1000</f>
        <v>66095.992</v>
      </c>
      <c r="F10" s="85">
        <f>'Kumai-A'!$G$14/1000</f>
        <v>0</v>
      </c>
      <c r="G10" s="85">
        <f>'Sinta-A'!$G$14/1000</f>
        <v>18144.433</v>
      </c>
      <c r="H10" s="85">
        <f>'Lokal-A'!$G$14/1000</f>
        <v>0</v>
      </c>
      <c r="I10" s="85">
        <f t="shared" si="1"/>
        <v>84240.425</v>
      </c>
    </row>
    <row r="11">
      <c r="A11" s="70"/>
      <c r="B11" s="65"/>
      <c r="C11" s="83" t="s">
        <v>634</v>
      </c>
      <c r="D11" s="84" t="s">
        <v>631</v>
      </c>
      <c r="E11" s="85">
        <f>'Balin-A'!$H$14/1000</f>
        <v>65272.351</v>
      </c>
      <c r="F11" s="85">
        <f>'Kumai-A'!$H$14/1000</f>
        <v>0</v>
      </c>
      <c r="G11" s="85">
        <f>'Sinta-A'!$H$14/1000</f>
        <v>0</v>
      </c>
      <c r="H11" s="85">
        <f>'Lokal-A'!$H$14/1000</f>
        <v>0</v>
      </c>
      <c r="I11" s="85">
        <f t="shared" si="1"/>
        <v>65272.351</v>
      </c>
    </row>
    <row r="12">
      <c r="A12" s="70"/>
      <c r="B12" s="65"/>
      <c r="C12" s="83" t="s">
        <v>635</v>
      </c>
      <c r="D12" s="84" t="s">
        <v>631</v>
      </c>
      <c r="E12" s="85">
        <f>'Balin-A'!$I$14/1000</f>
        <v>65272.351</v>
      </c>
      <c r="F12" s="85">
        <f>'Kumai-A'!$I$14/1000</f>
        <v>0</v>
      </c>
      <c r="G12" s="85">
        <f>'Sinta-A'!$I$14/1000</f>
        <v>0</v>
      </c>
      <c r="H12" s="85">
        <f>'Lokal-A'!$I$14/1000</f>
        <v>0</v>
      </c>
      <c r="I12" s="85">
        <f t="shared" si="1"/>
        <v>65272.351</v>
      </c>
    </row>
    <row r="13" ht="7.5" customHeight="1">
      <c r="A13" s="70"/>
      <c r="B13" s="65"/>
      <c r="C13" s="86"/>
      <c r="D13" s="87"/>
      <c r="E13" s="88"/>
      <c r="F13" s="88"/>
      <c r="G13" s="88"/>
      <c r="H13" s="88"/>
      <c r="I13" s="88"/>
    </row>
    <row r="14">
      <c r="A14" s="70"/>
      <c r="B14" s="65"/>
      <c r="C14" s="83" t="s">
        <v>636</v>
      </c>
      <c r="D14" s="89" t="s">
        <v>590</v>
      </c>
      <c r="E14" s="90">
        <f t="shared" ref="E14:I14" si="2">IFERROR(E8/E9*100,0)</f>
        <v>14.60099195</v>
      </c>
      <c r="F14" s="90">
        <f t="shared" si="2"/>
        <v>0</v>
      </c>
      <c r="G14" s="90">
        <f t="shared" si="2"/>
        <v>10.10659612</v>
      </c>
      <c r="H14" s="90">
        <f t="shared" si="2"/>
        <v>0</v>
      </c>
      <c r="I14" s="90">
        <f t="shared" si="2"/>
        <v>12.45045428</v>
      </c>
    </row>
    <row r="15">
      <c r="A15" s="70"/>
      <c r="B15" s="65"/>
      <c r="C15" s="83" t="s">
        <v>637</v>
      </c>
      <c r="D15" s="89" t="s">
        <v>590</v>
      </c>
      <c r="E15" s="90">
        <f t="shared" ref="E15:I15" si="3">IFERROR(E8/E10*100,0)</f>
        <v>160.2535582</v>
      </c>
      <c r="F15" s="90">
        <f t="shared" si="3"/>
        <v>0</v>
      </c>
      <c r="G15" s="90">
        <f t="shared" si="3"/>
        <v>132.6000873</v>
      </c>
      <c r="H15" s="90">
        <f t="shared" si="3"/>
        <v>0</v>
      </c>
      <c r="I15" s="90">
        <f t="shared" si="3"/>
        <v>154.2973139</v>
      </c>
    </row>
    <row r="16">
      <c r="A16" s="70"/>
      <c r="B16" s="65"/>
      <c r="C16" s="83" t="s">
        <v>638</v>
      </c>
      <c r="D16" s="89" t="s">
        <v>590</v>
      </c>
      <c r="E16" s="90">
        <f t="shared" ref="E16:I16" si="4">IFERROR(E8/E11*100,0)</f>
        <v>162.2757222</v>
      </c>
      <c r="F16" s="90">
        <f t="shared" si="4"/>
        <v>0</v>
      </c>
      <c r="G16" s="90">
        <f t="shared" si="4"/>
        <v>0</v>
      </c>
      <c r="H16" s="90">
        <f t="shared" si="4"/>
        <v>0</v>
      </c>
      <c r="I16" s="90">
        <f t="shared" si="4"/>
        <v>199.135945</v>
      </c>
    </row>
    <row r="17">
      <c r="A17" s="91"/>
      <c r="B17" s="92"/>
      <c r="C17" s="93" t="s">
        <v>639</v>
      </c>
      <c r="D17" s="94" t="s">
        <v>590</v>
      </c>
      <c r="E17" s="95">
        <f t="shared" ref="E17:I17" si="5">IFERROR(E8/E12*100,0)</f>
        <v>162.2757222</v>
      </c>
      <c r="F17" s="95">
        <f t="shared" si="5"/>
        <v>0</v>
      </c>
      <c r="G17" s="95">
        <f t="shared" si="5"/>
        <v>0</v>
      </c>
      <c r="H17" s="95">
        <f t="shared" si="5"/>
        <v>0</v>
      </c>
      <c r="I17" s="95">
        <f t="shared" si="5"/>
        <v>199.135945</v>
      </c>
    </row>
    <row r="18" ht="3.75" customHeight="1">
      <c r="A18" s="96"/>
      <c r="B18" s="97"/>
      <c r="C18" s="97"/>
      <c r="D18" s="98"/>
      <c r="E18" s="99"/>
      <c r="F18" s="99"/>
      <c r="G18" s="99"/>
      <c r="H18" s="99"/>
      <c r="I18" s="99"/>
    </row>
    <row r="19">
      <c r="A19" s="81">
        <v>2.0</v>
      </c>
      <c r="B19" s="82" t="s">
        <v>640</v>
      </c>
      <c r="C19" s="100" t="s">
        <v>630</v>
      </c>
      <c r="D19" s="84" t="s">
        <v>631</v>
      </c>
      <c r="E19" s="67">
        <f>'Balin-A'!$E$32/1000</f>
        <v>31997.642</v>
      </c>
      <c r="F19" s="67">
        <f>'Kumai-A'!$E$32/1000</f>
        <v>0</v>
      </c>
      <c r="G19" s="67">
        <f>'Sinta-A'!$E$32/1000</f>
        <v>0</v>
      </c>
      <c r="H19" s="67">
        <f>'Lokal-A'!$E$32/1000</f>
        <v>0</v>
      </c>
      <c r="I19" s="67">
        <f t="shared" ref="I19:I23" si="6">sum(E19:H19)</f>
        <v>31997.642</v>
      </c>
    </row>
    <row r="20">
      <c r="A20" s="70"/>
      <c r="B20" s="65"/>
      <c r="C20" s="83" t="s">
        <v>632</v>
      </c>
      <c r="D20" s="84" t="s">
        <v>631</v>
      </c>
      <c r="E20" s="88">
        <f>'Balin-A'!$F$32/1000</f>
        <v>26271.3</v>
      </c>
      <c r="F20" s="88">
        <f>'Kumai-A'!$F$32/1000</f>
        <v>0</v>
      </c>
      <c r="G20" s="88">
        <f>'Sinta-A'!$F$32/1000</f>
        <v>0</v>
      </c>
      <c r="H20" s="88">
        <f>'Lokal-A'!$F$32/1000</f>
        <v>0</v>
      </c>
      <c r="I20" s="88">
        <f t="shared" si="6"/>
        <v>26271.3</v>
      </c>
    </row>
    <row r="21">
      <c r="A21" s="70"/>
      <c r="B21" s="65"/>
      <c r="C21" s="83" t="s">
        <v>633</v>
      </c>
      <c r="D21" s="84" t="s">
        <v>631</v>
      </c>
      <c r="E21" s="88">
        <f>'Balin-A'!$G$32/1000</f>
        <v>23271.917</v>
      </c>
      <c r="F21" s="88">
        <f>'Kumai-A'!$G$32/1000</f>
        <v>0</v>
      </c>
      <c r="G21" s="88">
        <f>'Sinta-A'!$G$32/1000</f>
        <v>0</v>
      </c>
      <c r="H21" s="88">
        <f>'Lokal-A'!$G$32/1000</f>
        <v>0</v>
      </c>
      <c r="I21" s="88">
        <f t="shared" si="6"/>
        <v>23271.917</v>
      </c>
    </row>
    <row r="22">
      <c r="A22" s="70"/>
      <c r="B22" s="65"/>
      <c r="C22" s="83" t="s">
        <v>634</v>
      </c>
      <c r="D22" s="84" t="s">
        <v>631</v>
      </c>
      <c r="E22" s="88">
        <f>'Balin-A'!$H$32/1000</f>
        <v>160.172</v>
      </c>
      <c r="F22" s="88">
        <f>'Kumai-A'!$H$32/1000</f>
        <v>0</v>
      </c>
      <c r="G22" s="88">
        <f>'Sinta-A'!$H$32/1000</f>
        <v>0</v>
      </c>
      <c r="H22" s="88">
        <f>'Lokal-A'!$H$32/1000</f>
        <v>0</v>
      </c>
      <c r="I22" s="88">
        <f t="shared" si="6"/>
        <v>160.172</v>
      </c>
    </row>
    <row r="23">
      <c r="A23" s="70"/>
      <c r="B23" s="65"/>
      <c r="C23" s="83" t="s">
        <v>635</v>
      </c>
      <c r="D23" s="84" t="s">
        <v>631</v>
      </c>
      <c r="E23" s="88">
        <f>'Balin-A'!$I$32/1000</f>
        <v>160.172</v>
      </c>
      <c r="F23" s="88">
        <f>'Kumai-A'!$I$32/1000</f>
        <v>0</v>
      </c>
      <c r="G23" s="88">
        <f>'Sinta-A'!$I$32/1000</f>
        <v>0</v>
      </c>
      <c r="H23" s="88">
        <f>'Lokal-A'!$I$32/1000</f>
        <v>0</v>
      </c>
      <c r="I23" s="88">
        <f t="shared" si="6"/>
        <v>160.172</v>
      </c>
    </row>
    <row r="24" ht="7.5" customHeight="1">
      <c r="A24" s="70"/>
      <c r="B24" s="65"/>
      <c r="C24" s="86"/>
      <c r="D24" s="87"/>
      <c r="E24" s="88"/>
      <c r="F24" s="88"/>
      <c r="G24" s="88"/>
      <c r="H24" s="88"/>
      <c r="I24" s="88"/>
    </row>
    <row r="25">
      <c r="A25" s="70"/>
      <c r="B25" s="65"/>
      <c r="C25" s="83" t="s">
        <v>636</v>
      </c>
      <c r="D25" s="89" t="s">
        <v>590</v>
      </c>
      <c r="E25" s="90">
        <f t="shared" ref="E25:I25" si="7">IFERROR(E19/E20*100,0)</f>
        <v>121.7969495</v>
      </c>
      <c r="F25" s="90">
        <f t="shared" si="7"/>
        <v>0</v>
      </c>
      <c r="G25" s="90">
        <f t="shared" si="7"/>
        <v>0</v>
      </c>
      <c r="H25" s="90">
        <f t="shared" si="7"/>
        <v>0</v>
      </c>
      <c r="I25" s="90">
        <f t="shared" si="7"/>
        <v>121.7969495</v>
      </c>
    </row>
    <row r="26">
      <c r="A26" s="70"/>
      <c r="B26" s="65"/>
      <c r="C26" s="83" t="s">
        <v>637</v>
      </c>
      <c r="D26" s="89" t="s">
        <v>590</v>
      </c>
      <c r="E26" s="90">
        <f t="shared" ref="E26:I26" si="8">IFERROR(E19/E21*100,0)</f>
        <v>137.494655</v>
      </c>
      <c r="F26" s="90">
        <f t="shared" si="8"/>
        <v>0</v>
      </c>
      <c r="G26" s="90">
        <f t="shared" si="8"/>
        <v>0</v>
      </c>
      <c r="H26" s="90">
        <f t="shared" si="8"/>
        <v>0</v>
      </c>
      <c r="I26" s="90">
        <f t="shared" si="8"/>
        <v>137.494655</v>
      </c>
    </row>
    <row r="27">
      <c r="A27" s="70"/>
      <c r="B27" s="65"/>
      <c r="C27" s="83" t="s">
        <v>638</v>
      </c>
      <c r="D27" s="89" t="s">
        <v>590</v>
      </c>
      <c r="E27" s="90">
        <f t="shared" ref="E27:I27" si="9">IFERROR(E19/E22*100,0)</f>
        <v>19977.05092</v>
      </c>
      <c r="F27" s="90">
        <f t="shared" si="9"/>
        <v>0</v>
      </c>
      <c r="G27" s="90">
        <f t="shared" si="9"/>
        <v>0</v>
      </c>
      <c r="H27" s="90">
        <f t="shared" si="9"/>
        <v>0</v>
      </c>
      <c r="I27" s="90">
        <f t="shared" si="9"/>
        <v>19977.05092</v>
      </c>
    </row>
    <row r="28">
      <c r="A28" s="91"/>
      <c r="B28" s="92"/>
      <c r="C28" s="93" t="s">
        <v>639</v>
      </c>
      <c r="D28" s="94" t="s">
        <v>590</v>
      </c>
      <c r="E28" s="95">
        <f t="shared" ref="E28:I28" si="10">IFERROR(E19/E23*100,0)</f>
        <v>19977.05092</v>
      </c>
      <c r="F28" s="95">
        <f t="shared" si="10"/>
        <v>0</v>
      </c>
      <c r="G28" s="95">
        <f t="shared" si="10"/>
        <v>0</v>
      </c>
      <c r="H28" s="95">
        <f t="shared" si="10"/>
        <v>0</v>
      </c>
      <c r="I28" s="95">
        <f t="shared" si="10"/>
        <v>19977.05092</v>
      </c>
    </row>
    <row r="29" ht="3.75" customHeight="1">
      <c r="A29" s="96"/>
      <c r="B29" s="97"/>
      <c r="C29" s="97"/>
      <c r="D29" s="98"/>
      <c r="E29" s="99"/>
      <c r="F29" s="99"/>
      <c r="G29" s="99"/>
      <c r="H29" s="99"/>
      <c r="I29" s="99"/>
    </row>
    <row r="30">
      <c r="A30" s="81">
        <v>3.0</v>
      </c>
      <c r="B30" s="82" t="s">
        <v>641</v>
      </c>
      <c r="C30" s="100" t="s">
        <v>630</v>
      </c>
      <c r="D30" s="84" t="s">
        <v>631</v>
      </c>
      <c r="E30" s="67">
        <f>'Balin-A'!$E$34/1000</f>
        <v>0</v>
      </c>
      <c r="F30" s="67">
        <f>'Kumai-A'!$E$34/1000</f>
        <v>0</v>
      </c>
      <c r="G30" s="67">
        <f>'Sinta-A'!$E$34/1000</f>
        <v>0</v>
      </c>
      <c r="H30" s="67">
        <f>'Lokal-A'!$E$34/1000</f>
        <v>0</v>
      </c>
      <c r="I30" s="67">
        <f t="shared" ref="I30:I34" si="11">sum(E30:H30)</f>
        <v>0</v>
      </c>
    </row>
    <row r="31">
      <c r="A31" s="70"/>
      <c r="B31" s="65"/>
      <c r="C31" s="83" t="s">
        <v>632</v>
      </c>
      <c r="D31" s="84" t="s">
        <v>631</v>
      </c>
      <c r="E31" s="88">
        <f>'Balin-A'!$F$34/1000</f>
        <v>0</v>
      </c>
      <c r="F31" s="88">
        <f>'Kumai-A'!$F$34/1000</f>
        <v>0</v>
      </c>
      <c r="G31" s="88">
        <f>'Sinta-A'!$F$34/1000</f>
        <v>0</v>
      </c>
      <c r="H31" s="88">
        <f>'Lokal-A'!$F$34/1000</f>
        <v>0</v>
      </c>
      <c r="I31" s="88">
        <f t="shared" si="11"/>
        <v>0</v>
      </c>
    </row>
    <row r="32">
      <c r="A32" s="70"/>
      <c r="B32" s="65"/>
      <c r="C32" s="83" t="s">
        <v>633</v>
      </c>
      <c r="D32" s="84" t="s">
        <v>631</v>
      </c>
      <c r="E32" s="88">
        <f>'Balin-A'!$G$34/1000</f>
        <v>0</v>
      </c>
      <c r="F32" s="88">
        <f>'Kumai-A'!$G$34/1000</f>
        <v>0</v>
      </c>
      <c r="G32" s="88">
        <f>'Sinta-A'!$G$34/1000</f>
        <v>0</v>
      </c>
      <c r="H32" s="88">
        <f>'Lokal-A'!$G$34/1000</f>
        <v>0</v>
      </c>
      <c r="I32" s="88">
        <f t="shared" si="11"/>
        <v>0</v>
      </c>
    </row>
    <row r="33">
      <c r="A33" s="70"/>
      <c r="B33" s="65"/>
      <c r="C33" s="83" t="s">
        <v>634</v>
      </c>
      <c r="D33" s="84" t="s">
        <v>631</v>
      </c>
      <c r="E33" s="88">
        <f>'Balin-A'!$H$34/1000</f>
        <v>0</v>
      </c>
      <c r="F33" s="88">
        <f>'Kumai-A'!$H$34/1000</f>
        <v>0</v>
      </c>
      <c r="G33" s="88">
        <f>'Sinta-A'!$H$34/1000</f>
        <v>0</v>
      </c>
      <c r="H33" s="88">
        <f>'Lokal-A'!$H$34/1000</f>
        <v>0</v>
      </c>
      <c r="I33" s="88">
        <f t="shared" si="11"/>
        <v>0</v>
      </c>
    </row>
    <row r="34">
      <c r="A34" s="70"/>
      <c r="B34" s="65"/>
      <c r="C34" s="83" t="s">
        <v>635</v>
      </c>
      <c r="D34" s="84" t="s">
        <v>631</v>
      </c>
      <c r="E34" s="88">
        <f>'Balin-A'!$I$34/1000</f>
        <v>0</v>
      </c>
      <c r="F34" s="88">
        <f>'Kumai-A'!$I$34/1000</f>
        <v>0</v>
      </c>
      <c r="G34" s="88">
        <f>'Sinta-A'!$I$34/1000</f>
        <v>0</v>
      </c>
      <c r="H34" s="88">
        <f>'Lokal-A'!$I$34/1000</f>
        <v>0</v>
      </c>
      <c r="I34" s="88">
        <f t="shared" si="11"/>
        <v>0</v>
      </c>
    </row>
    <row r="35" ht="7.5" customHeight="1">
      <c r="A35" s="70"/>
      <c r="B35" s="65"/>
      <c r="C35" s="86"/>
      <c r="D35" s="87"/>
      <c r="E35" s="88"/>
      <c r="F35" s="88"/>
      <c r="G35" s="88"/>
      <c r="H35" s="88"/>
      <c r="I35" s="88"/>
    </row>
    <row r="36">
      <c r="A36" s="70"/>
      <c r="B36" s="65"/>
      <c r="C36" s="83" t="s">
        <v>636</v>
      </c>
      <c r="D36" s="89" t="s">
        <v>590</v>
      </c>
      <c r="E36" s="90">
        <f t="shared" ref="E36:I36" si="12">IFERROR(E30/E31*100,0)</f>
        <v>0</v>
      </c>
      <c r="F36" s="90">
        <f t="shared" si="12"/>
        <v>0</v>
      </c>
      <c r="G36" s="90">
        <f t="shared" si="12"/>
        <v>0</v>
      </c>
      <c r="H36" s="90">
        <f t="shared" si="12"/>
        <v>0</v>
      </c>
      <c r="I36" s="90">
        <f t="shared" si="12"/>
        <v>0</v>
      </c>
    </row>
    <row r="37">
      <c r="A37" s="70"/>
      <c r="B37" s="65"/>
      <c r="C37" s="83" t="s">
        <v>637</v>
      </c>
      <c r="D37" s="89" t="s">
        <v>590</v>
      </c>
      <c r="E37" s="90">
        <f t="shared" ref="E37:I37" si="13">IFERROR(E30/E32*100,0)</f>
        <v>0</v>
      </c>
      <c r="F37" s="90">
        <f t="shared" si="13"/>
        <v>0</v>
      </c>
      <c r="G37" s="90">
        <f t="shared" si="13"/>
        <v>0</v>
      </c>
      <c r="H37" s="90">
        <f t="shared" si="13"/>
        <v>0</v>
      </c>
      <c r="I37" s="90">
        <f t="shared" si="13"/>
        <v>0</v>
      </c>
    </row>
    <row r="38">
      <c r="A38" s="70"/>
      <c r="B38" s="65"/>
      <c r="C38" s="83" t="s">
        <v>638</v>
      </c>
      <c r="D38" s="89" t="s">
        <v>590</v>
      </c>
      <c r="E38" s="90">
        <f t="shared" ref="E38:I38" si="14">IFERROR(E30/E33*100,0)</f>
        <v>0</v>
      </c>
      <c r="F38" s="90">
        <f t="shared" si="14"/>
        <v>0</v>
      </c>
      <c r="G38" s="90">
        <f t="shared" si="14"/>
        <v>0</v>
      </c>
      <c r="H38" s="90">
        <f t="shared" si="14"/>
        <v>0</v>
      </c>
      <c r="I38" s="90">
        <f t="shared" si="14"/>
        <v>0</v>
      </c>
    </row>
    <row r="39">
      <c r="A39" s="91"/>
      <c r="B39" s="92"/>
      <c r="C39" s="93" t="s">
        <v>639</v>
      </c>
      <c r="D39" s="94" t="s">
        <v>590</v>
      </c>
      <c r="E39" s="95">
        <f t="shared" ref="E39:I39" si="15">IFERROR(E30/E34*100,0)</f>
        <v>0</v>
      </c>
      <c r="F39" s="95">
        <f t="shared" si="15"/>
        <v>0</v>
      </c>
      <c r="G39" s="95">
        <f t="shared" si="15"/>
        <v>0</v>
      </c>
      <c r="H39" s="95">
        <f t="shared" si="15"/>
        <v>0</v>
      </c>
      <c r="I39" s="95">
        <f t="shared" si="15"/>
        <v>0</v>
      </c>
    </row>
    <row r="40" ht="3.75" customHeight="1">
      <c r="A40" s="96"/>
      <c r="B40" s="97"/>
      <c r="C40" s="97"/>
      <c r="D40" s="98"/>
      <c r="E40" s="99"/>
      <c r="F40" s="99"/>
      <c r="G40" s="99"/>
      <c r="H40" s="99"/>
      <c r="I40" s="99"/>
    </row>
    <row r="41">
      <c r="A41" s="81">
        <v>4.0</v>
      </c>
      <c r="B41" s="82" t="s">
        <v>642</v>
      </c>
      <c r="C41" s="100" t="s">
        <v>630</v>
      </c>
      <c r="D41" s="84" t="s">
        <v>631</v>
      </c>
      <c r="E41" s="67">
        <f>'Balin-A'!$E$45/1000</f>
        <v>81857.408</v>
      </c>
      <c r="F41" s="67">
        <f>'Kumai-A'!$E$45/1000</f>
        <v>0</v>
      </c>
      <c r="G41" s="67">
        <f>'Sinta-A'!$E$45/1000</f>
        <v>0</v>
      </c>
      <c r="H41" s="67">
        <f>'Lokal-A'!$E$45/1000</f>
        <v>0</v>
      </c>
      <c r="I41" s="67">
        <f t="shared" ref="I41:I45" si="16">sum(E41:H41)</f>
        <v>81857.408</v>
      </c>
    </row>
    <row r="42">
      <c r="A42" s="70"/>
      <c r="B42" s="65"/>
      <c r="C42" s="83" t="s">
        <v>632</v>
      </c>
      <c r="D42" s="84" t="s">
        <v>631</v>
      </c>
      <c r="E42" s="88">
        <f>'Balin-A'!$F$45/1000</f>
        <v>39005.879</v>
      </c>
      <c r="F42" s="88">
        <f>'Kumai-A'!$F$45/1000</f>
        <v>0</v>
      </c>
      <c r="G42" s="88">
        <f>'Sinta-A'!$F$45/1000</f>
        <v>0</v>
      </c>
      <c r="H42" s="88">
        <f>'Lokal-A'!$F$45/1000</f>
        <v>0</v>
      </c>
      <c r="I42" s="88">
        <f t="shared" si="16"/>
        <v>39005.879</v>
      </c>
    </row>
    <row r="43">
      <c r="A43" s="70"/>
      <c r="B43" s="65"/>
      <c r="C43" s="83" t="s">
        <v>633</v>
      </c>
      <c r="D43" s="84" t="s">
        <v>631</v>
      </c>
      <c r="E43" s="88">
        <f>'Balin-A'!$G$45/1000</f>
        <v>46575.686</v>
      </c>
      <c r="F43" s="88">
        <f>'Kumai-A'!$G$45/1000</f>
        <v>0</v>
      </c>
      <c r="G43" s="88">
        <f>'Sinta-A'!$G$45/1000</f>
        <v>0</v>
      </c>
      <c r="H43" s="88">
        <f>'Lokal-A'!$G$45/1000</f>
        <v>0</v>
      </c>
      <c r="I43" s="88">
        <f t="shared" si="16"/>
        <v>46575.686</v>
      </c>
    </row>
    <row r="44">
      <c r="A44" s="70"/>
      <c r="B44" s="65"/>
      <c r="C44" s="83" t="s">
        <v>634</v>
      </c>
      <c r="D44" s="84" t="s">
        <v>631</v>
      </c>
      <c r="E44" s="88">
        <f>'Balin-A'!$H$45/1000</f>
        <v>78138.964</v>
      </c>
      <c r="F44" s="88">
        <f>'Kumai-A'!$H$45/1000</f>
        <v>0</v>
      </c>
      <c r="G44" s="88">
        <f>'Sinta-A'!$H$45/1000</f>
        <v>0</v>
      </c>
      <c r="H44" s="88">
        <f>'Lokal-A'!$H$45/1000</f>
        <v>0</v>
      </c>
      <c r="I44" s="88">
        <f t="shared" si="16"/>
        <v>78138.964</v>
      </c>
    </row>
    <row r="45">
      <c r="A45" s="70"/>
      <c r="B45" s="65"/>
      <c r="C45" s="83" t="s">
        <v>635</v>
      </c>
      <c r="D45" s="84" t="s">
        <v>631</v>
      </c>
      <c r="E45" s="88">
        <f>'Balin-A'!$I$45/1000</f>
        <v>78138.964</v>
      </c>
      <c r="F45" s="88">
        <f>'Kumai-A'!$I$45/1000</f>
        <v>0</v>
      </c>
      <c r="G45" s="88">
        <f>'Sinta-A'!$I$45/1000</f>
        <v>0</v>
      </c>
      <c r="H45" s="88">
        <f>'Lokal-A'!$I$45/1000</f>
        <v>0</v>
      </c>
      <c r="I45" s="88">
        <f t="shared" si="16"/>
        <v>78138.964</v>
      </c>
    </row>
    <row r="46" ht="7.5" customHeight="1">
      <c r="A46" s="70"/>
      <c r="B46" s="65"/>
      <c r="C46" s="86"/>
      <c r="D46" s="87"/>
      <c r="E46" s="88"/>
      <c r="F46" s="88"/>
      <c r="G46" s="88"/>
      <c r="H46" s="88"/>
      <c r="I46" s="88"/>
    </row>
    <row r="47">
      <c r="A47" s="70"/>
      <c r="B47" s="65"/>
      <c r="C47" s="83" t="s">
        <v>636</v>
      </c>
      <c r="D47" s="89" t="s">
        <v>590</v>
      </c>
      <c r="E47" s="90">
        <f t="shared" ref="E47:I47" si="17">IFERROR(E41/E42*100,0)</f>
        <v>209.8591548</v>
      </c>
      <c r="F47" s="90">
        <f t="shared" si="17"/>
        <v>0</v>
      </c>
      <c r="G47" s="90">
        <f t="shared" si="17"/>
        <v>0</v>
      </c>
      <c r="H47" s="90">
        <f t="shared" si="17"/>
        <v>0</v>
      </c>
      <c r="I47" s="90">
        <f t="shared" si="17"/>
        <v>209.8591548</v>
      </c>
    </row>
    <row r="48">
      <c r="A48" s="70"/>
      <c r="B48" s="65"/>
      <c r="C48" s="83" t="s">
        <v>637</v>
      </c>
      <c r="D48" s="89" t="s">
        <v>590</v>
      </c>
      <c r="E48" s="90">
        <f t="shared" ref="E48:I48" si="18">IFERROR(E41/E43*100,0)</f>
        <v>175.7513738</v>
      </c>
      <c r="F48" s="90">
        <f t="shared" si="18"/>
        <v>0</v>
      </c>
      <c r="G48" s="90">
        <f t="shared" si="18"/>
        <v>0</v>
      </c>
      <c r="H48" s="90">
        <f t="shared" si="18"/>
        <v>0</v>
      </c>
      <c r="I48" s="90">
        <f t="shared" si="18"/>
        <v>175.7513738</v>
      </c>
    </row>
    <row r="49">
      <c r="A49" s="70"/>
      <c r="B49" s="65"/>
      <c r="C49" s="83" t="s">
        <v>638</v>
      </c>
      <c r="D49" s="89" t="s">
        <v>590</v>
      </c>
      <c r="E49" s="90">
        <f t="shared" ref="E49:I49" si="19">IFERROR(E41/E44*100,0)</f>
        <v>104.7587577</v>
      </c>
      <c r="F49" s="90">
        <f t="shared" si="19"/>
        <v>0</v>
      </c>
      <c r="G49" s="90">
        <f t="shared" si="19"/>
        <v>0</v>
      </c>
      <c r="H49" s="90">
        <f t="shared" si="19"/>
        <v>0</v>
      </c>
      <c r="I49" s="90">
        <f t="shared" si="19"/>
        <v>104.7587577</v>
      </c>
    </row>
    <row r="50">
      <c r="A50" s="91"/>
      <c r="B50" s="92"/>
      <c r="C50" s="93" t="s">
        <v>639</v>
      </c>
      <c r="D50" s="94" t="s">
        <v>590</v>
      </c>
      <c r="E50" s="95">
        <f t="shared" ref="E50:I50" si="20">IFERROR(E41/E45*100,0)</f>
        <v>104.7587577</v>
      </c>
      <c r="F50" s="95">
        <f t="shared" si="20"/>
        <v>0</v>
      </c>
      <c r="G50" s="95">
        <f t="shared" si="20"/>
        <v>0</v>
      </c>
      <c r="H50" s="95">
        <f t="shared" si="20"/>
        <v>0</v>
      </c>
      <c r="I50" s="95">
        <f t="shared" si="20"/>
        <v>104.7587577</v>
      </c>
    </row>
    <row r="51" ht="3.75" customHeight="1">
      <c r="A51" s="96"/>
      <c r="B51" s="97"/>
      <c r="C51" s="97"/>
      <c r="D51" s="98"/>
      <c r="E51" s="99"/>
      <c r="F51" s="99"/>
      <c r="G51" s="99"/>
      <c r="H51" s="99"/>
      <c r="I51" s="99"/>
    </row>
    <row r="52">
      <c r="A52" s="81">
        <v>5.0</v>
      </c>
      <c r="B52" s="82" t="s">
        <v>643</v>
      </c>
      <c r="C52" s="100" t="s">
        <v>630</v>
      </c>
      <c r="D52" s="84" t="s">
        <v>631</v>
      </c>
      <c r="E52" s="67">
        <f>'Balin-A'!$E$58/1000</f>
        <v>2943.589</v>
      </c>
      <c r="F52" s="67">
        <f>'Kumai-A'!$E$58/1000</f>
        <v>0</v>
      </c>
      <c r="G52" s="67">
        <f>'Sinta-A'!$E$58/1000</f>
        <v>0</v>
      </c>
      <c r="H52" s="67">
        <f>'Lokal-A'!$E$58/1000</f>
        <v>0</v>
      </c>
      <c r="I52" s="67">
        <f t="shared" ref="I52:I56" si="21">sum(E52:H52)</f>
        <v>2943.589</v>
      </c>
    </row>
    <row r="53">
      <c r="A53" s="70"/>
      <c r="B53" s="65"/>
      <c r="C53" s="83" t="s">
        <v>632</v>
      </c>
      <c r="D53" s="84" t="s">
        <v>631</v>
      </c>
      <c r="E53" s="88">
        <f>'Balin-A'!$F$58/1000</f>
        <v>2900.301</v>
      </c>
      <c r="F53" s="88">
        <f>'Kumai-A'!$F$58/1000</f>
        <v>0</v>
      </c>
      <c r="G53" s="88">
        <f>'Sinta-A'!$F$58/1000</f>
        <v>0</v>
      </c>
      <c r="H53" s="88">
        <f>'Lokal-A'!$F$58/1000</f>
        <v>0</v>
      </c>
      <c r="I53" s="88">
        <f t="shared" si="21"/>
        <v>2900.301</v>
      </c>
    </row>
    <row r="54">
      <c r="A54" s="70"/>
      <c r="B54" s="65"/>
      <c r="C54" s="83" t="s">
        <v>633</v>
      </c>
      <c r="D54" s="84" t="s">
        <v>631</v>
      </c>
      <c r="E54" s="88">
        <f>'Balin-A'!$G$58/1000</f>
        <v>7387.346</v>
      </c>
      <c r="F54" s="88">
        <f>'Kumai-A'!$G$58/1000</f>
        <v>0</v>
      </c>
      <c r="G54" s="88">
        <f>'Sinta-A'!$G$58/1000</f>
        <v>0</v>
      </c>
      <c r="H54" s="88">
        <f>'Lokal-A'!$G$58/1000</f>
        <v>0</v>
      </c>
      <c r="I54" s="88">
        <f t="shared" si="21"/>
        <v>7387.346</v>
      </c>
    </row>
    <row r="55">
      <c r="A55" s="70"/>
      <c r="B55" s="65"/>
      <c r="C55" s="83" t="s">
        <v>634</v>
      </c>
      <c r="D55" s="84" t="s">
        <v>631</v>
      </c>
      <c r="E55" s="88">
        <f>'Balin-A'!$H$58/1000</f>
        <v>0</v>
      </c>
      <c r="F55" s="88">
        <f>'Kumai-A'!$H$58/1000</f>
        <v>0</v>
      </c>
      <c r="G55" s="88">
        <f>'Sinta-A'!$H$58/1000</f>
        <v>0</v>
      </c>
      <c r="H55" s="88">
        <f>'Lokal-A'!$H$58/1000</f>
        <v>0</v>
      </c>
      <c r="I55" s="88">
        <f t="shared" si="21"/>
        <v>0</v>
      </c>
    </row>
    <row r="56">
      <c r="A56" s="70"/>
      <c r="B56" s="65"/>
      <c r="C56" s="83" t="s">
        <v>635</v>
      </c>
      <c r="D56" s="84" t="s">
        <v>631</v>
      </c>
      <c r="E56" s="88">
        <f>'Balin-A'!$I$58/1000</f>
        <v>0</v>
      </c>
      <c r="F56" s="88">
        <f>'Kumai-A'!$I$58/1000</f>
        <v>0</v>
      </c>
      <c r="G56" s="88">
        <f>'Sinta-A'!$I$58/1000</f>
        <v>0</v>
      </c>
      <c r="H56" s="88">
        <f>'Lokal-A'!$I$58/1000</f>
        <v>0</v>
      </c>
      <c r="I56" s="88">
        <f t="shared" si="21"/>
        <v>0</v>
      </c>
    </row>
    <row r="57" ht="7.5" customHeight="1">
      <c r="A57" s="70"/>
      <c r="B57" s="65"/>
      <c r="C57" s="86"/>
      <c r="D57" s="87"/>
      <c r="E57" s="88"/>
      <c r="F57" s="88"/>
      <c r="G57" s="88"/>
      <c r="H57" s="88"/>
      <c r="I57" s="88"/>
    </row>
    <row r="58">
      <c r="A58" s="70"/>
      <c r="B58" s="65"/>
      <c r="C58" s="83" t="s">
        <v>636</v>
      </c>
      <c r="D58" s="89" t="s">
        <v>590</v>
      </c>
      <c r="E58" s="90">
        <f t="shared" ref="E58:I58" si="22">IFERROR(E52/E53*100,0)</f>
        <v>101.4925347</v>
      </c>
      <c r="F58" s="90">
        <f t="shared" si="22"/>
        <v>0</v>
      </c>
      <c r="G58" s="90">
        <f t="shared" si="22"/>
        <v>0</v>
      </c>
      <c r="H58" s="90">
        <f t="shared" si="22"/>
        <v>0</v>
      </c>
      <c r="I58" s="90">
        <f t="shared" si="22"/>
        <v>101.4925347</v>
      </c>
    </row>
    <row r="59">
      <c r="A59" s="70"/>
      <c r="B59" s="65"/>
      <c r="C59" s="83" t="s">
        <v>637</v>
      </c>
      <c r="D59" s="89" t="s">
        <v>590</v>
      </c>
      <c r="E59" s="90">
        <f t="shared" ref="E59:I59" si="23">IFERROR(E52/E54*100,0)</f>
        <v>39.84636702</v>
      </c>
      <c r="F59" s="90">
        <f t="shared" si="23"/>
        <v>0</v>
      </c>
      <c r="G59" s="90">
        <f t="shared" si="23"/>
        <v>0</v>
      </c>
      <c r="H59" s="90">
        <f t="shared" si="23"/>
        <v>0</v>
      </c>
      <c r="I59" s="90">
        <f t="shared" si="23"/>
        <v>39.84636702</v>
      </c>
    </row>
    <row r="60">
      <c r="A60" s="70"/>
      <c r="B60" s="65"/>
      <c r="C60" s="83" t="s">
        <v>638</v>
      </c>
      <c r="D60" s="89" t="s">
        <v>590</v>
      </c>
      <c r="E60" s="90">
        <f t="shared" ref="E60:I60" si="24">IFERROR(E52/E55*100,0)</f>
        <v>0</v>
      </c>
      <c r="F60" s="90">
        <f t="shared" si="24"/>
        <v>0</v>
      </c>
      <c r="G60" s="90">
        <f t="shared" si="24"/>
        <v>0</v>
      </c>
      <c r="H60" s="90">
        <f t="shared" si="24"/>
        <v>0</v>
      </c>
      <c r="I60" s="90">
        <f t="shared" si="24"/>
        <v>0</v>
      </c>
    </row>
    <row r="61">
      <c r="A61" s="91"/>
      <c r="B61" s="92"/>
      <c r="C61" s="93" t="s">
        <v>639</v>
      </c>
      <c r="D61" s="94" t="s">
        <v>590</v>
      </c>
      <c r="E61" s="95">
        <f t="shared" ref="E61:I61" si="25">IFERROR(E52/E56*100,0)</f>
        <v>0</v>
      </c>
      <c r="F61" s="95">
        <f t="shared" si="25"/>
        <v>0</v>
      </c>
      <c r="G61" s="95">
        <f t="shared" si="25"/>
        <v>0</v>
      </c>
      <c r="H61" s="95">
        <f t="shared" si="25"/>
        <v>0</v>
      </c>
      <c r="I61" s="95">
        <f t="shared" si="25"/>
        <v>0</v>
      </c>
    </row>
    <row r="62" ht="3.75" customHeight="1">
      <c r="A62" s="96"/>
      <c r="B62" s="97"/>
      <c r="C62" s="97"/>
      <c r="D62" s="98"/>
      <c r="E62" s="99"/>
      <c r="F62" s="99"/>
      <c r="G62" s="99"/>
      <c r="H62" s="99"/>
      <c r="I62" s="99"/>
    </row>
    <row r="63">
      <c r="A63" s="81">
        <v>6.0</v>
      </c>
      <c r="B63" s="82" t="s">
        <v>644</v>
      </c>
      <c r="C63" s="100" t="s">
        <v>630</v>
      </c>
      <c r="D63" s="84" t="s">
        <v>631</v>
      </c>
      <c r="E63" s="67">
        <f>'Balin-A'!$E$64/1000</f>
        <v>0</v>
      </c>
      <c r="F63" s="67">
        <f>'Kumai-A'!$E$64/1000</f>
        <v>0</v>
      </c>
      <c r="G63" s="67">
        <f>'Sinta-A'!$E$64/1000</f>
        <v>0</v>
      </c>
      <c r="H63" s="67">
        <f>'Lokal-A'!$E$64/1000</f>
        <v>0</v>
      </c>
      <c r="I63" s="67">
        <f t="shared" ref="I63:I67" si="26">sum(E63:H63)</f>
        <v>0</v>
      </c>
    </row>
    <row r="64">
      <c r="A64" s="70"/>
      <c r="B64" s="65"/>
      <c r="C64" s="83" t="s">
        <v>632</v>
      </c>
      <c r="D64" s="84" t="s">
        <v>631</v>
      </c>
      <c r="E64" s="88">
        <f>'Balin-A'!$F$64/1000</f>
        <v>0</v>
      </c>
      <c r="F64" s="88">
        <f>'Kumai-A'!$F$64/1000</f>
        <v>0</v>
      </c>
      <c r="G64" s="88">
        <f>'Sinta-A'!$F$64/1000</f>
        <v>0</v>
      </c>
      <c r="H64" s="88">
        <f>'Lokal-A'!$F$64/1000</f>
        <v>0</v>
      </c>
      <c r="I64" s="88">
        <f t="shared" si="26"/>
        <v>0</v>
      </c>
    </row>
    <row r="65">
      <c r="A65" s="70"/>
      <c r="B65" s="65"/>
      <c r="C65" s="83" t="s">
        <v>633</v>
      </c>
      <c r="D65" s="84" t="s">
        <v>631</v>
      </c>
      <c r="E65" s="88">
        <f>'Balin-A'!$G$64/1000</f>
        <v>0</v>
      </c>
      <c r="F65" s="88">
        <f>'Kumai-A'!$G$64/1000</f>
        <v>0</v>
      </c>
      <c r="G65" s="88">
        <f>'Sinta-A'!$G$64/1000</f>
        <v>0</v>
      </c>
      <c r="H65" s="88">
        <f>'Lokal-A'!$G$64/1000</f>
        <v>0</v>
      </c>
      <c r="I65" s="88">
        <f t="shared" si="26"/>
        <v>0</v>
      </c>
    </row>
    <row r="66">
      <c r="A66" s="70"/>
      <c r="B66" s="65"/>
      <c r="C66" s="83" t="s">
        <v>634</v>
      </c>
      <c r="D66" s="84" t="s">
        <v>631</v>
      </c>
      <c r="E66" s="88">
        <f>'Balin-A'!$H$64/1000</f>
        <v>0</v>
      </c>
      <c r="F66" s="88">
        <f>'Kumai-A'!$H$64/1000</f>
        <v>0</v>
      </c>
      <c r="G66" s="88">
        <f>'Sinta-A'!$H$64/1000</f>
        <v>0</v>
      </c>
      <c r="H66" s="88">
        <f>'Lokal-A'!$H$64/1000</f>
        <v>0</v>
      </c>
      <c r="I66" s="88">
        <f t="shared" si="26"/>
        <v>0</v>
      </c>
    </row>
    <row r="67">
      <c r="A67" s="70"/>
      <c r="B67" s="65"/>
      <c r="C67" s="83" t="s">
        <v>635</v>
      </c>
      <c r="D67" s="84" t="s">
        <v>631</v>
      </c>
      <c r="E67" s="88">
        <f>'Balin-A'!$I$64/1000</f>
        <v>0</v>
      </c>
      <c r="F67" s="88">
        <f>'Kumai-A'!$I$64/1000</f>
        <v>0</v>
      </c>
      <c r="G67" s="88">
        <f>'Sinta-A'!$I$64/1000</f>
        <v>0</v>
      </c>
      <c r="H67" s="88">
        <f>'Lokal-A'!$I$64/1000</f>
        <v>0</v>
      </c>
      <c r="I67" s="88">
        <f t="shared" si="26"/>
        <v>0</v>
      </c>
    </row>
    <row r="68" ht="7.5" customHeight="1">
      <c r="A68" s="70"/>
      <c r="B68" s="65"/>
      <c r="C68" s="86"/>
      <c r="D68" s="87"/>
      <c r="E68" s="88"/>
      <c r="F68" s="88"/>
      <c r="G68" s="88"/>
      <c r="H68" s="88"/>
      <c r="I68" s="88"/>
    </row>
    <row r="69">
      <c r="A69" s="70"/>
      <c r="B69" s="65"/>
      <c r="C69" s="83" t="s">
        <v>636</v>
      </c>
      <c r="D69" s="89" t="s">
        <v>590</v>
      </c>
      <c r="E69" s="90">
        <f t="shared" ref="E69:I69" si="27">IFERROR(E63/E64*100,0)</f>
        <v>0</v>
      </c>
      <c r="F69" s="90">
        <f t="shared" si="27"/>
        <v>0</v>
      </c>
      <c r="G69" s="90">
        <f t="shared" si="27"/>
        <v>0</v>
      </c>
      <c r="H69" s="90">
        <f t="shared" si="27"/>
        <v>0</v>
      </c>
      <c r="I69" s="90">
        <f t="shared" si="27"/>
        <v>0</v>
      </c>
    </row>
    <row r="70">
      <c r="A70" s="70"/>
      <c r="B70" s="65"/>
      <c r="C70" s="83" t="s">
        <v>637</v>
      </c>
      <c r="D70" s="89" t="s">
        <v>590</v>
      </c>
      <c r="E70" s="90">
        <f t="shared" ref="E70:I70" si="28">IFERROR(E63/E65*100,0)</f>
        <v>0</v>
      </c>
      <c r="F70" s="90">
        <f t="shared" si="28"/>
        <v>0</v>
      </c>
      <c r="G70" s="90">
        <f t="shared" si="28"/>
        <v>0</v>
      </c>
      <c r="H70" s="90">
        <f t="shared" si="28"/>
        <v>0</v>
      </c>
      <c r="I70" s="90">
        <f t="shared" si="28"/>
        <v>0</v>
      </c>
    </row>
    <row r="71">
      <c r="A71" s="70"/>
      <c r="B71" s="65"/>
      <c r="C71" s="83" t="s">
        <v>638</v>
      </c>
      <c r="D71" s="89" t="s">
        <v>590</v>
      </c>
      <c r="E71" s="90">
        <f t="shared" ref="E71:I71" si="29">IFERROR(E63/E66*100,0)</f>
        <v>0</v>
      </c>
      <c r="F71" s="90">
        <f t="shared" si="29"/>
        <v>0</v>
      </c>
      <c r="G71" s="90">
        <f t="shared" si="29"/>
        <v>0</v>
      </c>
      <c r="H71" s="90">
        <f t="shared" si="29"/>
        <v>0</v>
      </c>
      <c r="I71" s="90">
        <f t="shared" si="29"/>
        <v>0</v>
      </c>
    </row>
    <row r="72">
      <c r="A72" s="91"/>
      <c r="B72" s="92"/>
      <c r="C72" s="93" t="s">
        <v>639</v>
      </c>
      <c r="D72" s="94" t="s">
        <v>590</v>
      </c>
      <c r="E72" s="95">
        <f t="shared" ref="E72:I72" si="30">IFERROR(E63/E67*100,0)</f>
        <v>0</v>
      </c>
      <c r="F72" s="95">
        <f t="shared" si="30"/>
        <v>0</v>
      </c>
      <c r="G72" s="95">
        <f t="shared" si="30"/>
        <v>0</v>
      </c>
      <c r="H72" s="95">
        <f t="shared" si="30"/>
        <v>0</v>
      </c>
      <c r="I72" s="95">
        <f t="shared" si="30"/>
        <v>0</v>
      </c>
    </row>
    <row r="73" ht="3.75" customHeight="1">
      <c r="A73" s="96"/>
      <c r="B73" s="97"/>
      <c r="C73" s="97"/>
      <c r="D73" s="98"/>
      <c r="E73" s="99"/>
      <c r="F73" s="99"/>
      <c r="G73" s="99"/>
      <c r="H73" s="99"/>
      <c r="I73" s="99"/>
    </row>
    <row r="74">
      <c r="A74" s="81">
        <v>7.0</v>
      </c>
      <c r="B74" s="82" t="s">
        <v>645</v>
      </c>
      <c r="C74" s="100" t="s">
        <v>630</v>
      </c>
      <c r="D74" s="84" t="s">
        <v>631</v>
      </c>
      <c r="E74" s="67">
        <f>'Balin-A'!$E$69/1000</f>
        <v>0</v>
      </c>
      <c r="F74" s="67">
        <f>'Kumai-A'!$E$69/1000</f>
        <v>0</v>
      </c>
      <c r="G74" s="67">
        <f>'Sinta-A'!$E$69/1000</f>
        <v>0</v>
      </c>
      <c r="H74" s="67">
        <f>'Lokal-A'!$E$69/1000</f>
        <v>0</v>
      </c>
      <c r="I74" s="67">
        <f t="shared" ref="I74:I78" si="31">sum(E74:H74)</f>
        <v>0</v>
      </c>
    </row>
    <row r="75">
      <c r="A75" s="70"/>
      <c r="B75" s="65"/>
      <c r="C75" s="83" t="s">
        <v>632</v>
      </c>
      <c r="D75" s="84" t="s">
        <v>631</v>
      </c>
      <c r="E75" s="88">
        <f>'Balin-A'!$F$69/1000</f>
        <v>0</v>
      </c>
      <c r="F75" s="88">
        <f>'Kumai-A'!$F$69/1000</f>
        <v>0</v>
      </c>
      <c r="G75" s="88">
        <f>'Sinta-A'!$F$69/1000</f>
        <v>0</v>
      </c>
      <c r="H75" s="88">
        <f>'Lokal-A'!$F$69/1000</f>
        <v>0</v>
      </c>
      <c r="I75" s="88">
        <f t="shared" si="31"/>
        <v>0</v>
      </c>
    </row>
    <row r="76">
      <c r="A76" s="70"/>
      <c r="B76" s="65"/>
      <c r="C76" s="83" t="s">
        <v>633</v>
      </c>
      <c r="D76" s="84" t="s">
        <v>631</v>
      </c>
      <c r="E76" s="88">
        <f>'Balin-A'!$G$69/1000</f>
        <v>0</v>
      </c>
      <c r="F76" s="88">
        <f>'Kumai-A'!$G$69/1000</f>
        <v>0</v>
      </c>
      <c r="G76" s="88">
        <f>'Sinta-A'!$G$69/1000</f>
        <v>0</v>
      </c>
      <c r="H76" s="88">
        <f>'Lokal-A'!$G$69/1000</f>
        <v>0</v>
      </c>
      <c r="I76" s="88">
        <f t="shared" si="31"/>
        <v>0</v>
      </c>
    </row>
    <row r="77">
      <c r="A77" s="70"/>
      <c r="B77" s="65"/>
      <c r="C77" s="83" t="s">
        <v>634</v>
      </c>
      <c r="D77" s="84" t="s">
        <v>631</v>
      </c>
      <c r="E77" s="88">
        <f>'Balin-A'!$H$69/1000</f>
        <v>0</v>
      </c>
      <c r="F77" s="88">
        <f>'Kumai-A'!$H$69/1000</f>
        <v>0</v>
      </c>
      <c r="G77" s="88">
        <f>'Sinta-A'!$H$69/1000</f>
        <v>0</v>
      </c>
      <c r="H77" s="88">
        <f>'Lokal-A'!$H$69/1000</f>
        <v>0</v>
      </c>
      <c r="I77" s="88">
        <f t="shared" si="31"/>
        <v>0</v>
      </c>
    </row>
    <row r="78">
      <c r="A78" s="70"/>
      <c r="B78" s="65"/>
      <c r="C78" s="83" t="s">
        <v>635</v>
      </c>
      <c r="D78" s="84" t="s">
        <v>631</v>
      </c>
      <c r="E78" s="88">
        <f>'Balin-A'!$I$69/1000</f>
        <v>0</v>
      </c>
      <c r="F78" s="88">
        <f>'Kumai-A'!$I$69/1000</f>
        <v>0</v>
      </c>
      <c r="G78" s="88">
        <f>'Sinta-A'!$I$69/1000</f>
        <v>0</v>
      </c>
      <c r="H78" s="88">
        <f>'Lokal-A'!$I$69/1000</f>
        <v>0</v>
      </c>
      <c r="I78" s="88">
        <f t="shared" si="31"/>
        <v>0</v>
      </c>
    </row>
    <row r="79" ht="7.5" customHeight="1">
      <c r="A79" s="70"/>
      <c r="B79" s="65"/>
      <c r="C79" s="86"/>
      <c r="D79" s="87"/>
      <c r="E79" s="88"/>
      <c r="F79" s="88"/>
      <c r="G79" s="88"/>
      <c r="H79" s="88"/>
      <c r="I79" s="88"/>
    </row>
    <row r="80">
      <c r="A80" s="70"/>
      <c r="B80" s="65"/>
      <c r="C80" s="83" t="s">
        <v>636</v>
      </c>
      <c r="D80" s="89" t="s">
        <v>590</v>
      </c>
      <c r="E80" s="90">
        <f t="shared" ref="E80:I80" si="32">IFERROR(E74/E75*100,0)</f>
        <v>0</v>
      </c>
      <c r="F80" s="90">
        <f t="shared" si="32"/>
        <v>0</v>
      </c>
      <c r="G80" s="90">
        <f t="shared" si="32"/>
        <v>0</v>
      </c>
      <c r="H80" s="90">
        <f t="shared" si="32"/>
        <v>0</v>
      </c>
      <c r="I80" s="90">
        <f t="shared" si="32"/>
        <v>0</v>
      </c>
    </row>
    <row r="81">
      <c r="A81" s="70"/>
      <c r="B81" s="65"/>
      <c r="C81" s="83" t="s">
        <v>637</v>
      </c>
      <c r="D81" s="89" t="s">
        <v>590</v>
      </c>
      <c r="E81" s="90">
        <f t="shared" ref="E81:I81" si="33">IFERROR(E74/E76*100,0)</f>
        <v>0</v>
      </c>
      <c r="F81" s="90">
        <f t="shared" si="33"/>
        <v>0</v>
      </c>
      <c r="G81" s="90">
        <f t="shared" si="33"/>
        <v>0</v>
      </c>
      <c r="H81" s="90">
        <f t="shared" si="33"/>
        <v>0</v>
      </c>
      <c r="I81" s="90">
        <f t="shared" si="33"/>
        <v>0</v>
      </c>
    </row>
    <row r="82">
      <c r="A82" s="70"/>
      <c r="B82" s="65"/>
      <c r="C82" s="83" t="s">
        <v>638</v>
      </c>
      <c r="D82" s="89" t="s">
        <v>590</v>
      </c>
      <c r="E82" s="90">
        <f t="shared" ref="E82:I82" si="34">IFERROR(E74/E77*100,0)</f>
        <v>0</v>
      </c>
      <c r="F82" s="90">
        <f t="shared" si="34"/>
        <v>0</v>
      </c>
      <c r="G82" s="90">
        <f t="shared" si="34"/>
        <v>0</v>
      </c>
      <c r="H82" s="90">
        <f t="shared" si="34"/>
        <v>0</v>
      </c>
      <c r="I82" s="90">
        <f t="shared" si="34"/>
        <v>0</v>
      </c>
    </row>
    <row r="83">
      <c r="A83" s="91"/>
      <c r="B83" s="92"/>
      <c r="C83" s="93" t="s">
        <v>639</v>
      </c>
      <c r="D83" s="94" t="s">
        <v>590</v>
      </c>
      <c r="E83" s="95">
        <f t="shared" ref="E83:I83" si="35">IFERROR(E74/E78*100,0)</f>
        <v>0</v>
      </c>
      <c r="F83" s="95">
        <f t="shared" si="35"/>
        <v>0</v>
      </c>
      <c r="G83" s="95">
        <f t="shared" si="35"/>
        <v>0</v>
      </c>
      <c r="H83" s="95">
        <f t="shared" si="35"/>
        <v>0</v>
      </c>
      <c r="I83" s="95">
        <f t="shared" si="35"/>
        <v>0</v>
      </c>
    </row>
    <row r="84" ht="3.75" customHeight="1">
      <c r="A84" s="96"/>
      <c r="B84" s="97"/>
      <c r="C84" s="97"/>
      <c r="D84" s="98"/>
      <c r="E84" s="99"/>
      <c r="F84" s="99"/>
      <c r="G84" s="99"/>
      <c r="H84" s="99"/>
      <c r="I84" s="99"/>
    </row>
    <row r="85">
      <c r="A85" s="81">
        <v>8.0</v>
      </c>
      <c r="B85" s="82" t="s">
        <v>646</v>
      </c>
      <c r="C85" s="100" t="s">
        <v>630</v>
      </c>
      <c r="D85" s="84" t="s">
        <v>631</v>
      </c>
      <c r="E85" s="67">
        <f>'Balin-A'!$E$73/1000</f>
        <v>0</v>
      </c>
      <c r="F85" s="67">
        <f>'Kumai-A'!$E$73/1000</f>
        <v>0</v>
      </c>
      <c r="G85" s="67">
        <f>'Sinta-A'!$E$73/1000</f>
        <v>0</v>
      </c>
      <c r="H85" s="67">
        <f>'Lokal-A'!$E$73/1000</f>
        <v>0</v>
      </c>
      <c r="I85" s="67">
        <f t="shared" ref="I85:I89" si="36">sum(E85:H85)</f>
        <v>0</v>
      </c>
    </row>
    <row r="86">
      <c r="A86" s="70"/>
      <c r="B86" s="65"/>
      <c r="C86" s="83" t="s">
        <v>632</v>
      </c>
      <c r="D86" s="84" t="s">
        <v>631</v>
      </c>
      <c r="E86" s="88">
        <f>'Balin-A'!$F$73/1000</f>
        <v>0</v>
      </c>
      <c r="F86" s="88">
        <f>'Kumai-A'!$F$73/1000</f>
        <v>0</v>
      </c>
      <c r="G86" s="88">
        <f>'Sinta-A'!$F$73/1000</f>
        <v>0</v>
      </c>
      <c r="H86" s="88">
        <f>'Lokal-A'!$F$73/1000</f>
        <v>0</v>
      </c>
      <c r="I86" s="88">
        <f t="shared" si="36"/>
        <v>0</v>
      </c>
    </row>
    <row r="87">
      <c r="A87" s="70"/>
      <c r="B87" s="65"/>
      <c r="C87" s="83" t="s">
        <v>633</v>
      </c>
      <c r="D87" s="84" t="s">
        <v>631</v>
      </c>
      <c r="E87" s="88">
        <f>'Balin-A'!$G$73/1000</f>
        <v>0</v>
      </c>
      <c r="F87" s="88">
        <f>'Kumai-A'!$G$73/1000</f>
        <v>0</v>
      </c>
      <c r="G87" s="88">
        <f>'Sinta-A'!$G$73/1000</f>
        <v>0</v>
      </c>
      <c r="H87" s="88">
        <f>'Lokal-A'!$G$73/1000</f>
        <v>0</v>
      </c>
      <c r="I87" s="88">
        <f t="shared" si="36"/>
        <v>0</v>
      </c>
    </row>
    <row r="88">
      <c r="A88" s="70"/>
      <c r="B88" s="65"/>
      <c r="C88" s="83" t="s">
        <v>634</v>
      </c>
      <c r="D88" s="84" t="s">
        <v>631</v>
      </c>
      <c r="E88" s="88">
        <f>'Balin-A'!$H$73/1000</f>
        <v>0</v>
      </c>
      <c r="F88" s="88">
        <f>'Kumai-A'!$H$73/1000</f>
        <v>0</v>
      </c>
      <c r="G88" s="88">
        <f>'Sinta-A'!$H$73/1000</f>
        <v>0</v>
      </c>
      <c r="H88" s="88">
        <f>'Lokal-A'!$H$73/1000</f>
        <v>0</v>
      </c>
      <c r="I88" s="88">
        <f t="shared" si="36"/>
        <v>0</v>
      </c>
    </row>
    <row r="89">
      <c r="A89" s="70"/>
      <c r="B89" s="65"/>
      <c r="C89" s="83" t="s">
        <v>635</v>
      </c>
      <c r="D89" s="84" t="s">
        <v>631</v>
      </c>
      <c r="E89" s="88">
        <f>'Balin-A'!$I$73/1000</f>
        <v>0</v>
      </c>
      <c r="F89" s="88">
        <f>'Kumai-A'!$I$73/1000</f>
        <v>0</v>
      </c>
      <c r="G89" s="88">
        <f>'Sinta-A'!$I$73/1000</f>
        <v>0</v>
      </c>
      <c r="H89" s="88">
        <f>'Lokal-A'!$I$73/1000</f>
        <v>0</v>
      </c>
      <c r="I89" s="88">
        <f t="shared" si="36"/>
        <v>0</v>
      </c>
    </row>
    <row r="90" ht="7.5" customHeight="1">
      <c r="A90" s="70"/>
      <c r="B90" s="65"/>
      <c r="C90" s="86"/>
      <c r="D90" s="87"/>
      <c r="E90" s="88"/>
      <c r="F90" s="88"/>
      <c r="G90" s="88"/>
      <c r="H90" s="88"/>
      <c r="I90" s="88"/>
    </row>
    <row r="91">
      <c r="A91" s="70"/>
      <c r="B91" s="65"/>
      <c r="C91" s="83" t="s">
        <v>636</v>
      </c>
      <c r="D91" s="89" t="s">
        <v>590</v>
      </c>
      <c r="E91" s="90">
        <f t="shared" ref="E91:I91" si="37">IFERROR(E85/E86*100,0)</f>
        <v>0</v>
      </c>
      <c r="F91" s="90">
        <f t="shared" si="37"/>
        <v>0</v>
      </c>
      <c r="G91" s="90">
        <f t="shared" si="37"/>
        <v>0</v>
      </c>
      <c r="H91" s="90">
        <f t="shared" si="37"/>
        <v>0</v>
      </c>
      <c r="I91" s="90">
        <f t="shared" si="37"/>
        <v>0</v>
      </c>
    </row>
    <row r="92">
      <c r="A92" s="70"/>
      <c r="B92" s="65"/>
      <c r="C92" s="83" t="s">
        <v>637</v>
      </c>
      <c r="D92" s="89" t="s">
        <v>590</v>
      </c>
      <c r="E92" s="90">
        <f t="shared" ref="E92:I92" si="38">IFERROR(E85/E87*100,0)</f>
        <v>0</v>
      </c>
      <c r="F92" s="90">
        <f t="shared" si="38"/>
        <v>0</v>
      </c>
      <c r="G92" s="90">
        <f t="shared" si="38"/>
        <v>0</v>
      </c>
      <c r="H92" s="90">
        <f t="shared" si="38"/>
        <v>0</v>
      </c>
      <c r="I92" s="90">
        <f t="shared" si="38"/>
        <v>0</v>
      </c>
    </row>
    <row r="93">
      <c r="A93" s="70"/>
      <c r="B93" s="65"/>
      <c r="C93" s="83" t="s">
        <v>638</v>
      </c>
      <c r="D93" s="89" t="s">
        <v>590</v>
      </c>
      <c r="E93" s="90">
        <f t="shared" ref="E93:I93" si="39">IFERROR(E85/E88*100,0)</f>
        <v>0</v>
      </c>
      <c r="F93" s="90">
        <f t="shared" si="39"/>
        <v>0</v>
      </c>
      <c r="G93" s="90">
        <f t="shared" si="39"/>
        <v>0</v>
      </c>
      <c r="H93" s="90">
        <f t="shared" si="39"/>
        <v>0</v>
      </c>
      <c r="I93" s="90">
        <f t="shared" si="39"/>
        <v>0</v>
      </c>
    </row>
    <row r="94">
      <c r="A94" s="91"/>
      <c r="B94" s="92"/>
      <c r="C94" s="93" t="s">
        <v>639</v>
      </c>
      <c r="D94" s="94" t="s">
        <v>590</v>
      </c>
      <c r="E94" s="95">
        <f t="shared" ref="E94:I94" si="40">IFERROR(E85/E89*100,0)</f>
        <v>0</v>
      </c>
      <c r="F94" s="95">
        <f t="shared" si="40"/>
        <v>0</v>
      </c>
      <c r="G94" s="95">
        <f t="shared" si="40"/>
        <v>0</v>
      </c>
      <c r="H94" s="95">
        <f t="shared" si="40"/>
        <v>0</v>
      </c>
      <c r="I94" s="95">
        <f t="shared" si="40"/>
        <v>0</v>
      </c>
    </row>
    <row r="95" ht="3.75" customHeight="1">
      <c r="A95" s="96"/>
      <c r="B95" s="97"/>
      <c r="C95" s="97"/>
      <c r="D95" s="98"/>
      <c r="E95" s="99"/>
      <c r="F95" s="99"/>
      <c r="G95" s="99"/>
      <c r="H95" s="99"/>
      <c r="I95" s="99"/>
    </row>
    <row r="96">
      <c r="A96" s="81">
        <v>9.0</v>
      </c>
      <c r="B96" s="82" t="s">
        <v>647</v>
      </c>
      <c r="C96" s="100" t="s">
        <v>630</v>
      </c>
      <c r="D96" s="84" t="s">
        <v>631</v>
      </c>
      <c r="E96" s="67">
        <f>'Balin-A'!$E$76/1000</f>
        <v>0</v>
      </c>
      <c r="F96" s="67">
        <f>'Kumai-A'!$E$76/1000</f>
        <v>0</v>
      </c>
      <c r="G96" s="67">
        <f>'Sinta-A'!$E$76/1000</f>
        <v>0</v>
      </c>
      <c r="H96" s="67">
        <f>'Lokal-A'!$E$76/1000</f>
        <v>0</v>
      </c>
      <c r="I96" s="67">
        <f t="shared" ref="I96:I100" si="41">sum(E96:H96)</f>
        <v>0</v>
      </c>
    </row>
    <row r="97">
      <c r="A97" s="70"/>
      <c r="B97" s="65"/>
      <c r="C97" s="83" t="s">
        <v>632</v>
      </c>
      <c r="D97" s="84" t="s">
        <v>631</v>
      </c>
      <c r="E97" s="88">
        <f>'Balin-A'!$F$76/1000</f>
        <v>0</v>
      </c>
      <c r="F97" s="88">
        <f>'Kumai-A'!$F$76/1000</f>
        <v>0</v>
      </c>
      <c r="G97" s="88">
        <f>'Sinta-A'!$F$76/1000</f>
        <v>0</v>
      </c>
      <c r="H97" s="88">
        <f>'Lokal-A'!$F$76/1000</f>
        <v>0</v>
      </c>
      <c r="I97" s="88">
        <f t="shared" si="41"/>
        <v>0</v>
      </c>
    </row>
    <row r="98">
      <c r="A98" s="70"/>
      <c r="B98" s="65"/>
      <c r="C98" s="83" t="s">
        <v>633</v>
      </c>
      <c r="D98" s="84" t="s">
        <v>631</v>
      </c>
      <c r="E98" s="88">
        <f>'Balin-A'!$G$76/1000</f>
        <v>0</v>
      </c>
      <c r="F98" s="88">
        <f>'Kumai-A'!$G$76/1000</f>
        <v>0</v>
      </c>
      <c r="G98" s="88">
        <f>'Sinta-A'!$G$76/1000</f>
        <v>0</v>
      </c>
      <c r="H98" s="88">
        <f>'Lokal-A'!$G$76/1000</f>
        <v>0</v>
      </c>
      <c r="I98" s="88">
        <f t="shared" si="41"/>
        <v>0</v>
      </c>
    </row>
    <row r="99">
      <c r="A99" s="70"/>
      <c r="B99" s="65"/>
      <c r="C99" s="83" t="s">
        <v>634</v>
      </c>
      <c r="D99" s="84" t="s">
        <v>631</v>
      </c>
      <c r="E99" s="88">
        <f>'Balin-A'!$H$76/1000</f>
        <v>0</v>
      </c>
      <c r="F99" s="88">
        <f>'Kumai-A'!$H$76/1000</f>
        <v>0</v>
      </c>
      <c r="G99" s="88">
        <f>'Sinta-A'!$H$76/1000</f>
        <v>0</v>
      </c>
      <c r="H99" s="88">
        <f>'Lokal-A'!$H$76/1000</f>
        <v>0</v>
      </c>
      <c r="I99" s="88">
        <f t="shared" si="41"/>
        <v>0</v>
      </c>
    </row>
    <row r="100">
      <c r="A100" s="70"/>
      <c r="B100" s="65"/>
      <c r="C100" s="83" t="s">
        <v>635</v>
      </c>
      <c r="D100" s="84" t="s">
        <v>631</v>
      </c>
      <c r="E100" s="88">
        <f>'Balin-A'!$I$76/1000</f>
        <v>0</v>
      </c>
      <c r="F100" s="88">
        <f>'Kumai-A'!$I$76/1000</f>
        <v>0</v>
      </c>
      <c r="G100" s="88">
        <f>'Sinta-A'!$I$76/1000</f>
        <v>0</v>
      </c>
      <c r="H100" s="88">
        <f>'Lokal-A'!$I$76/1000</f>
        <v>0</v>
      </c>
      <c r="I100" s="88">
        <f t="shared" si="41"/>
        <v>0</v>
      </c>
    </row>
    <row r="101" ht="7.5" customHeight="1">
      <c r="A101" s="70"/>
      <c r="B101" s="65"/>
      <c r="C101" s="86"/>
      <c r="D101" s="87"/>
      <c r="E101" s="88"/>
      <c r="F101" s="88"/>
      <c r="G101" s="88"/>
      <c r="H101" s="88"/>
      <c r="I101" s="88"/>
    </row>
    <row r="102">
      <c r="A102" s="70"/>
      <c r="B102" s="65"/>
      <c r="C102" s="83" t="s">
        <v>636</v>
      </c>
      <c r="D102" s="89" t="s">
        <v>590</v>
      </c>
      <c r="E102" s="90">
        <f t="shared" ref="E102:I102" si="42">IFERROR(E96/E97*100,0)</f>
        <v>0</v>
      </c>
      <c r="F102" s="90">
        <f t="shared" si="42"/>
        <v>0</v>
      </c>
      <c r="G102" s="90">
        <f t="shared" si="42"/>
        <v>0</v>
      </c>
      <c r="H102" s="90">
        <f t="shared" si="42"/>
        <v>0</v>
      </c>
      <c r="I102" s="90">
        <f t="shared" si="42"/>
        <v>0</v>
      </c>
    </row>
    <row r="103">
      <c r="A103" s="70"/>
      <c r="B103" s="65"/>
      <c r="C103" s="83" t="s">
        <v>637</v>
      </c>
      <c r="D103" s="89" t="s">
        <v>590</v>
      </c>
      <c r="E103" s="90">
        <f t="shared" ref="E103:I103" si="43">IFERROR(E96/E98*100,0)</f>
        <v>0</v>
      </c>
      <c r="F103" s="90">
        <f t="shared" si="43"/>
        <v>0</v>
      </c>
      <c r="G103" s="90">
        <f t="shared" si="43"/>
        <v>0</v>
      </c>
      <c r="H103" s="90">
        <f t="shared" si="43"/>
        <v>0</v>
      </c>
      <c r="I103" s="90">
        <f t="shared" si="43"/>
        <v>0</v>
      </c>
    </row>
    <row r="104">
      <c r="A104" s="70"/>
      <c r="B104" s="65"/>
      <c r="C104" s="83" t="s">
        <v>638</v>
      </c>
      <c r="D104" s="89" t="s">
        <v>590</v>
      </c>
      <c r="E104" s="90">
        <f t="shared" ref="E104:I104" si="44">IFERROR(E96/E99*100,0)</f>
        <v>0</v>
      </c>
      <c r="F104" s="90">
        <f t="shared" si="44"/>
        <v>0</v>
      </c>
      <c r="G104" s="90">
        <f t="shared" si="44"/>
        <v>0</v>
      </c>
      <c r="H104" s="90">
        <f t="shared" si="44"/>
        <v>0</v>
      </c>
      <c r="I104" s="90">
        <f t="shared" si="44"/>
        <v>0</v>
      </c>
    </row>
    <row r="105">
      <c r="A105" s="91"/>
      <c r="B105" s="92"/>
      <c r="C105" s="93" t="s">
        <v>639</v>
      </c>
      <c r="D105" s="94" t="s">
        <v>590</v>
      </c>
      <c r="E105" s="95">
        <f t="shared" ref="E105:I105" si="45">IFERROR(E96/E100*100,0)</f>
        <v>0</v>
      </c>
      <c r="F105" s="95">
        <f t="shared" si="45"/>
        <v>0</v>
      </c>
      <c r="G105" s="95">
        <f t="shared" si="45"/>
        <v>0</v>
      </c>
      <c r="H105" s="95">
        <f t="shared" si="45"/>
        <v>0</v>
      </c>
      <c r="I105" s="95">
        <f t="shared" si="45"/>
        <v>0</v>
      </c>
    </row>
    <row r="106" ht="3.75" customHeight="1">
      <c r="A106" s="96"/>
      <c r="B106" s="97"/>
      <c r="C106" s="97"/>
      <c r="D106" s="98"/>
      <c r="E106" s="99"/>
      <c r="F106" s="99"/>
      <c r="G106" s="99"/>
      <c r="H106" s="99"/>
      <c r="I106" s="99"/>
    </row>
    <row r="107">
      <c r="A107" s="101"/>
      <c r="B107" s="102" t="s">
        <v>648</v>
      </c>
      <c r="C107" s="103" t="s">
        <v>630</v>
      </c>
      <c r="D107" s="104" t="s">
        <v>631</v>
      </c>
      <c r="E107" s="105">
        <f t="shared" ref="E107:H107" si="46">SUMIF($C$8:$C$105,$C107,E$8:E$105)</f>
        <v>222719.818</v>
      </c>
      <c r="F107" s="105">
        <f t="shared" si="46"/>
        <v>0</v>
      </c>
      <c r="G107" s="105">
        <f t="shared" si="46"/>
        <v>24059.534</v>
      </c>
      <c r="H107" s="105">
        <f t="shared" si="46"/>
        <v>0</v>
      </c>
      <c r="I107" s="105">
        <f t="shared" ref="I107:I111" si="48">sum(E107:H107)</f>
        <v>246779.352</v>
      </c>
    </row>
    <row r="108">
      <c r="A108" s="106"/>
      <c r="B108" s="107"/>
      <c r="C108" s="108" t="s">
        <v>632</v>
      </c>
      <c r="D108" s="109" t="s">
        <v>631</v>
      </c>
      <c r="E108" s="110">
        <f t="shared" ref="E108:H108" si="47">SUMIF($C$8:$C$105,$C108,E$8:E$105)</f>
        <v>793615.72</v>
      </c>
      <c r="F108" s="110">
        <f t="shared" si="47"/>
        <v>0</v>
      </c>
      <c r="G108" s="110">
        <f t="shared" si="47"/>
        <v>238057.737</v>
      </c>
      <c r="H108" s="110">
        <f t="shared" si="47"/>
        <v>80487.721</v>
      </c>
      <c r="I108" s="110">
        <f t="shared" si="48"/>
        <v>1112161.178</v>
      </c>
    </row>
    <row r="109">
      <c r="A109" s="106"/>
      <c r="B109" s="107"/>
      <c r="C109" s="108" t="s">
        <v>633</v>
      </c>
      <c r="D109" s="109" t="s">
        <v>631</v>
      </c>
      <c r="E109" s="110">
        <f t="shared" ref="E109:H109" si="49">SUMIF($C$8:$C$105,$C109,E$8:E$105)</f>
        <v>143330.941</v>
      </c>
      <c r="F109" s="110">
        <f t="shared" si="49"/>
        <v>0</v>
      </c>
      <c r="G109" s="110">
        <f t="shared" si="49"/>
        <v>18144.433</v>
      </c>
      <c r="H109" s="110">
        <f t="shared" si="49"/>
        <v>0</v>
      </c>
      <c r="I109" s="110">
        <f t="shared" si="48"/>
        <v>161475.374</v>
      </c>
    </row>
    <row r="110">
      <c r="A110" s="106"/>
      <c r="B110" s="107"/>
      <c r="C110" s="108" t="s">
        <v>634</v>
      </c>
      <c r="D110" s="109" t="s">
        <v>631</v>
      </c>
      <c r="E110" s="110">
        <f t="shared" ref="E110:H110" si="50">SUMIF($C$8:$C$105,$C110,E$8:E$105)</f>
        <v>143571.487</v>
      </c>
      <c r="F110" s="110">
        <f t="shared" si="50"/>
        <v>0</v>
      </c>
      <c r="G110" s="110">
        <f t="shared" si="50"/>
        <v>0</v>
      </c>
      <c r="H110" s="110">
        <f t="shared" si="50"/>
        <v>0</v>
      </c>
      <c r="I110" s="110">
        <f t="shared" si="48"/>
        <v>143571.487</v>
      </c>
    </row>
    <row r="111">
      <c r="A111" s="106"/>
      <c r="B111" s="107"/>
      <c r="C111" s="108" t="s">
        <v>635</v>
      </c>
      <c r="D111" s="109" t="s">
        <v>631</v>
      </c>
      <c r="E111" s="110">
        <f t="shared" ref="E111:H111" si="51">SUMIF($C$8:$C$105,$C111,E$8:E$105)</f>
        <v>143571.487</v>
      </c>
      <c r="F111" s="110">
        <f t="shared" si="51"/>
        <v>0</v>
      </c>
      <c r="G111" s="110">
        <f t="shared" si="51"/>
        <v>0</v>
      </c>
      <c r="H111" s="110">
        <f t="shared" si="51"/>
        <v>0</v>
      </c>
      <c r="I111" s="110">
        <f t="shared" si="48"/>
        <v>143571.487</v>
      </c>
    </row>
    <row r="112" ht="7.5" customHeight="1">
      <c r="A112" s="106"/>
      <c r="B112" s="107"/>
      <c r="C112" s="111"/>
      <c r="D112" s="112"/>
      <c r="E112" s="110"/>
      <c r="F112" s="110"/>
      <c r="G112" s="110"/>
      <c r="H112" s="110"/>
      <c r="I112" s="110"/>
    </row>
    <row r="113">
      <c r="A113" s="106"/>
      <c r="B113" s="107"/>
      <c r="C113" s="108" t="s">
        <v>636</v>
      </c>
      <c r="D113" s="113" t="s">
        <v>590</v>
      </c>
      <c r="E113" s="114">
        <f t="shared" ref="E113:I113" si="52">IFERROR(E107/E108*100,0)</f>
        <v>28.06393729</v>
      </c>
      <c r="F113" s="114">
        <f t="shared" si="52"/>
        <v>0</v>
      </c>
      <c r="G113" s="114">
        <f t="shared" si="52"/>
        <v>10.10659612</v>
      </c>
      <c r="H113" s="114">
        <f t="shared" si="52"/>
        <v>0</v>
      </c>
      <c r="I113" s="114">
        <f t="shared" si="52"/>
        <v>22.18917158</v>
      </c>
    </row>
    <row r="114">
      <c r="A114" s="106"/>
      <c r="B114" s="107"/>
      <c r="C114" s="108" t="s">
        <v>637</v>
      </c>
      <c r="D114" s="113" t="s">
        <v>590</v>
      </c>
      <c r="E114" s="114">
        <f t="shared" ref="E114:I114" si="53">IFERROR(E107/E109*100,0)</f>
        <v>155.3885131</v>
      </c>
      <c r="F114" s="114">
        <f t="shared" si="53"/>
        <v>0</v>
      </c>
      <c r="G114" s="114">
        <f t="shared" si="53"/>
        <v>132.6000873</v>
      </c>
      <c r="H114" s="114">
        <f t="shared" si="53"/>
        <v>0</v>
      </c>
      <c r="I114" s="114">
        <f t="shared" si="53"/>
        <v>152.827856</v>
      </c>
    </row>
    <row r="115">
      <c r="A115" s="106"/>
      <c r="B115" s="107"/>
      <c r="C115" s="108" t="s">
        <v>638</v>
      </c>
      <c r="D115" s="113" t="s">
        <v>590</v>
      </c>
      <c r="E115" s="114">
        <f t="shared" ref="E115:I115" si="54">IFERROR(E107/E110*100,0)</f>
        <v>155.1281683</v>
      </c>
      <c r="F115" s="114">
        <f t="shared" si="54"/>
        <v>0</v>
      </c>
      <c r="G115" s="114">
        <f t="shared" si="54"/>
        <v>0</v>
      </c>
      <c r="H115" s="114">
        <f t="shared" si="54"/>
        <v>0</v>
      </c>
      <c r="I115" s="114">
        <f t="shared" si="54"/>
        <v>171.8860459</v>
      </c>
    </row>
    <row r="116">
      <c r="A116" s="115"/>
      <c r="B116" s="116"/>
      <c r="C116" s="117" t="s">
        <v>639</v>
      </c>
      <c r="D116" s="118" t="s">
        <v>590</v>
      </c>
      <c r="E116" s="119">
        <f t="shared" ref="E116:I116" si="55">IFERROR(E107/E111*100,0)</f>
        <v>155.1281683</v>
      </c>
      <c r="F116" s="119">
        <f t="shared" si="55"/>
        <v>0</v>
      </c>
      <c r="G116" s="119">
        <f t="shared" si="55"/>
        <v>0</v>
      </c>
      <c r="H116" s="119">
        <f t="shared" si="55"/>
        <v>0</v>
      </c>
      <c r="I116" s="119">
        <f t="shared" si="55"/>
        <v>171.8860459</v>
      </c>
    </row>
    <row r="117" ht="3.75" customHeight="1">
      <c r="A117" s="96"/>
      <c r="B117" s="97"/>
      <c r="C117" s="97"/>
      <c r="D117" s="98"/>
      <c r="E117" s="99"/>
      <c r="F117" s="99"/>
      <c r="G117" s="99"/>
      <c r="H117" s="99"/>
      <c r="I117" s="99"/>
    </row>
    <row r="118">
      <c r="A118" s="79" t="s">
        <v>649</v>
      </c>
      <c r="B118" s="80" t="s">
        <v>650</v>
      </c>
      <c r="C118" s="65"/>
      <c r="D118" s="66"/>
      <c r="E118" s="67"/>
      <c r="F118" s="67"/>
      <c r="G118" s="67"/>
      <c r="H118" s="67"/>
      <c r="I118" s="67"/>
    </row>
    <row r="119">
      <c r="A119" s="81">
        <v>1.0</v>
      </c>
      <c r="B119" s="82" t="s">
        <v>651</v>
      </c>
      <c r="C119" s="83" t="s">
        <v>630</v>
      </c>
      <c r="D119" s="84" t="s">
        <v>631</v>
      </c>
      <c r="E119" s="88">
        <f>'Balin-A'!$E$132/1000</f>
        <v>0</v>
      </c>
      <c r="F119" s="88">
        <f>'Kumai-A'!$E$132/1000</f>
        <v>0</v>
      </c>
      <c r="G119" s="88">
        <f>'Sinta-A'!$E$132/1000</f>
        <v>0</v>
      </c>
      <c r="H119" s="88">
        <f>'Lokal-A'!$E$132/1000</f>
        <v>0</v>
      </c>
      <c r="I119" s="88">
        <f t="shared" ref="I119:I123" si="56">sum(E119:H119)</f>
        <v>0</v>
      </c>
    </row>
    <row r="120">
      <c r="A120" s="70"/>
      <c r="B120" s="65"/>
      <c r="C120" s="83" t="s">
        <v>632</v>
      </c>
      <c r="D120" s="84" t="s">
        <v>631</v>
      </c>
      <c r="E120" s="88">
        <f>'Balin-A'!$F$132/1000</f>
        <v>0</v>
      </c>
      <c r="F120" s="88">
        <f>'Kumai-A'!$F$132/1000</f>
        <v>0</v>
      </c>
      <c r="G120" s="88">
        <f>'Sinta-A'!$F$132/1000</f>
        <v>0</v>
      </c>
      <c r="H120" s="88">
        <f>'Lokal-A'!$F$132/1000</f>
        <v>0</v>
      </c>
      <c r="I120" s="88">
        <f t="shared" si="56"/>
        <v>0</v>
      </c>
    </row>
    <row r="121">
      <c r="A121" s="70"/>
      <c r="B121" s="65"/>
      <c r="C121" s="83" t="s">
        <v>633</v>
      </c>
      <c r="D121" s="84" t="s">
        <v>631</v>
      </c>
      <c r="E121" s="88">
        <f>'Balin-A'!$G$132/1000</f>
        <v>0</v>
      </c>
      <c r="F121" s="88">
        <f>'Kumai-A'!$G$132/1000</f>
        <v>0</v>
      </c>
      <c r="G121" s="88">
        <f>'Sinta-A'!$G$132/1000</f>
        <v>0</v>
      </c>
      <c r="H121" s="88">
        <f>'Lokal-A'!$G$132/1000</f>
        <v>0</v>
      </c>
      <c r="I121" s="88">
        <f t="shared" si="56"/>
        <v>0</v>
      </c>
    </row>
    <row r="122">
      <c r="A122" s="70"/>
      <c r="B122" s="65"/>
      <c r="C122" s="83" t="s">
        <v>634</v>
      </c>
      <c r="D122" s="84" t="s">
        <v>631</v>
      </c>
      <c r="E122" s="88">
        <f>'Balin-A'!$H$132/1000</f>
        <v>0</v>
      </c>
      <c r="F122" s="88">
        <f>'Kumai-A'!$H$132/1000</f>
        <v>0</v>
      </c>
      <c r="G122" s="88">
        <f>'Sinta-A'!$H$132/1000</f>
        <v>0</v>
      </c>
      <c r="H122" s="88">
        <f>'Lokal-A'!$H$132/1000</f>
        <v>0</v>
      </c>
      <c r="I122" s="88">
        <f t="shared" si="56"/>
        <v>0</v>
      </c>
    </row>
    <row r="123">
      <c r="A123" s="70"/>
      <c r="B123" s="65"/>
      <c r="C123" s="83" t="s">
        <v>635</v>
      </c>
      <c r="D123" s="84" t="s">
        <v>631</v>
      </c>
      <c r="E123" s="88">
        <f>'Balin-A'!$I$132/1000</f>
        <v>0</v>
      </c>
      <c r="F123" s="88">
        <f>'Kumai-A'!$I$132/1000</f>
        <v>0</v>
      </c>
      <c r="G123" s="88">
        <f>'Sinta-A'!$I$132/1000</f>
        <v>0</v>
      </c>
      <c r="H123" s="88">
        <f>'Lokal-A'!$I$132/1000</f>
        <v>0</v>
      </c>
      <c r="I123" s="88">
        <f t="shared" si="56"/>
        <v>0</v>
      </c>
    </row>
    <row r="124" ht="7.5" customHeight="1">
      <c r="A124" s="70"/>
      <c r="B124" s="65"/>
      <c r="C124" s="86"/>
      <c r="D124" s="87"/>
      <c r="E124" s="88"/>
      <c r="F124" s="88"/>
      <c r="G124" s="88"/>
      <c r="H124" s="88"/>
      <c r="I124" s="88"/>
    </row>
    <row r="125">
      <c r="A125" s="70"/>
      <c r="B125" s="65"/>
      <c r="C125" s="83" t="s">
        <v>636</v>
      </c>
      <c r="D125" s="89" t="s">
        <v>590</v>
      </c>
      <c r="E125" s="90">
        <f t="shared" ref="E125:I125" si="57">IFERROR(E119/E120*100,0)</f>
        <v>0</v>
      </c>
      <c r="F125" s="90">
        <f t="shared" si="57"/>
        <v>0</v>
      </c>
      <c r="G125" s="90">
        <f t="shared" si="57"/>
        <v>0</v>
      </c>
      <c r="H125" s="90">
        <f t="shared" si="57"/>
        <v>0</v>
      </c>
      <c r="I125" s="90">
        <f t="shared" si="57"/>
        <v>0</v>
      </c>
    </row>
    <row r="126">
      <c r="A126" s="70"/>
      <c r="B126" s="65"/>
      <c r="C126" s="83" t="s">
        <v>637</v>
      </c>
      <c r="D126" s="89" t="s">
        <v>590</v>
      </c>
      <c r="E126" s="90">
        <f t="shared" ref="E126:I126" si="58">IFERROR(E119/E121*100,0)</f>
        <v>0</v>
      </c>
      <c r="F126" s="90">
        <f t="shared" si="58"/>
        <v>0</v>
      </c>
      <c r="G126" s="90">
        <f t="shared" si="58"/>
        <v>0</v>
      </c>
      <c r="H126" s="90">
        <f t="shared" si="58"/>
        <v>0</v>
      </c>
      <c r="I126" s="90">
        <f t="shared" si="58"/>
        <v>0</v>
      </c>
    </row>
    <row r="127">
      <c r="A127" s="70"/>
      <c r="B127" s="65"/>
      <c r="C127" s="83" t="s">
        <v>638</v>
      </c>
      <c r="D127" s="89" t="s">
        <v>590</v>
      </c>
      <c r="E127" s="90">
        <f t="shared" ref="E127:I127" si="59">IFERROR(E119/E122*100,0)</f>
        <v>0</v>
      </c>
      <c r="F127" s="90">
        <f t="shared" si="59"/>
        <v>0</v>
      </c>
      <c r="G127" s="90">
        <f t="shared" si="59"/>
        <v>0</v>
      </c>
      <c r="H127" s="90">
        <f t="shared" si="59"/>
        <v>0</v>
      </c>
      <c r="I127" s="90">
        <f t="shared" si="59"/>
        <v>0</v>
      </c>
    </row>
    <row r="128">
      <c r="A128" s="91"/>
      <c r="B128" s="92"/>
      <c r="C128" s="93" t="s">
        <v>639</v>
      </c>
      <c r="D128" s="94" t="s">
        <v>590</v>
      </c>
      <c r="E128" s="95">
        <f t="shared" ref="E128:I128" si="60">IFERROR(E119/E123*100,0)</f>
        <v>0</v>
      </c>
      <c r="F128" s="95">
        <f t="shared" si="60"/>
        <v>0</v>
      </c>
      <c r="G128" s="95">
        <f t="shared" si="60"/>
        <v>0</v>
      </c>
      <c r="H128" s="95">
        <f t="shared" si="60"/>
        <v>0</v>
      </c>
      <c r="I128" s="95">
        <f t="shared" si="60"/>
        <v>0</v>
      </c>
    </row>
    <row r="129" ht="3.75" customHeight="1">
      <c r="A129" s="96"/>
      <c r="B129" s="97"/>
      <c r="C129" s="97"/>
      <c r="D129" s="98"/>
      <c r="E129" s="99"/>
      <c r="F129" s="99"/>
      <c r="G129" s="99"/>
      <c r="H129" s="99"/>
      <c r="I129" s="99"/>
    </row>
    <row r="130">
      <c r="A130" s="79" t="s">
        <v>652</v>
      </c>
      <c r="B130" s="80" t="s">
        <v>653</v>
      </c>
      <c r="C130" s="65"/>
      <c r="D130" s="66"/>
      <c r="E130" s="67"/>
      <c r="F130" s="67"/>
      <c r="G130" s="67"/>
      <c r="H130" s="67"/>
      <c r="I130" s="67"/>
    </row>
    <row r="131">
      <c r="A131" s="81">
        <v>1.0</v>
      </c>
      <c r="B131" s="82" t="s">
        <v>654</v>
      </c>
      <c r="C131" s="83" t="s">
        <v>630</v>
      </c>
      <c r="D131" s="84" t="s">
        <v>631</v>
      </c>
      <c r="E131" s="88">
        <f>'Balin-A'!$E$91/1000</f>
        <v>405518.411</v>
      </c>
      <c r="F131" s="88">
        <f>'Kumai-A'!$E$91/1000</f>
        <v>0</v>
      </c>
      <c r="G131" s="88">
        <f>'Sinta-A'!$E$91/1000</f>
        <v>68056.858</v>
      </c>
      <c r="H131" s="88">
        <f>'Lokal-A'!$E$91/1000</f>
        <v>1928.688</v>
      </c>
      <c r="I131" s="88">
        <f t="shared" ref="I131:I135" si="61">sum(E131:H131)</f>
        <v>475503.957</v>
      </c>
    </row>
    <row r="132">
      <c r="A132" s="70"/>
      <c r="B132" s="65"/>
      <c r="C132" s="83" t="s">
        <v>632</v>
      </c>
      <c r="D132" s="84" t="s">
        <v>631</v>
      </c>
      <c r="E132" s="88">
        <f>'Balin-A'!$F$91/1000</f>
        <v>419392.466</v>
      </c>
      <c r="F132" s="88">
        <f>'Kumai-A'!$F$91/1000</f>
        <v>0</v>
      </c>
      <c r="G132" s="88">
        <f>'Sinta-A'!$F$91/1000</f>
        <v>49866.411</v>
      </c>
      <c r="H132" s="88">
        <f>'Lokal-A'!$F$91/1000</f>
        <v>1872.784</v>
      </c>
      <c r="I132" s="88">
        <f t="shared" si="61"/>
        <v>471131.661</v>
      </c>
    </row>
    <row r="133">
      <c r="A133" s="70"/>
      <c r="B133" s="65"/>
      <c r="C133" s="83" t="s">
        <v>633</v>
      </c>
      <c r="D133" s="84" t="s">
        <v>631</v>
      </c>
      <c r="E133" s="88">
        <f>'Balin-A'!$G$91/1000</f>
        <v>517166.375</v>
      </c>
      <c r="F133" s="88">
        <f>'Kumai-A'!$G$91/1000</f>
        <v>0</v>
      </c>
      <c r="G133" s="88">
        <f>'Sinta-A'!$G$91/1000</f>
        <v>186732.056</v>
      </c>
      <c r="H133" s="88">
        <f>'Lokal-A'!$G$91/1000</f>
        <v>4961.48</v>
      </c>
      <c r="I133" s="88">
        <f t="shared" si="61"/>
        <v>708859.911</v>
      </c>
    </row>
    <row r="134">
      <c r="A134" s="70"/>
      <c r="B134" s="65"/>
      <c r="C134" s="83" t="s">
        <v>634</v>
      </c>
      <c r="D134" s="84" t="s">
        <v>631</v>
      </c>
      <c r="E134" s="88">
        <f>'Balin-A'!$H$91/1000</f>
        <v>620015.439</v>
      </c>
      <c r="F134" s="88">
        <f>'Kumai-A'!$H$91/1000</f>
        <v>0</v>
      </c>
      <c r="G134" s="88">
        <f>'Sinta-A'!$H$91/1000</f>
        <v>0</v>
      </c>
      <c r="H134" s="88">
        <f>'Lokal-A'!$H$91/1000</f>
        <v>0</v>
      </c>
      <c r="I134" s="88">
        <f t="shared" si="61"/>
        <v>620015.439</v>
      </c>
    </row>
    <row r="135">
      <c r="A135" s="70"/>
      <c r="B135" s="65"/>
      <c r="C135" s="83" t="s">
        <v>635</v>
      </c>
      <c r="D135" s="84" t="s">
        <v>631</v>
      </c>
      <c r="E135" s="88">
        <f>'Balin-A'!$I$91/1000</f>
        <v>620015.439</v>
      </c>
      <c r="F135" s="88">
        <f>'Kumai-A'!$I$91/1000</f>
        <v>0</v>
      </c>
      <c r="G135" s="88">
        <f>'Sinta-A'!$I$91/1000</f>
        <v>0</v>
      </c>
      <c r="H135" s="88">
        <f>'Lokal-A'!$I$91/1000</f>
        <v>0</v>
      </c>
      <c r="I135" s="88">
        <f t="shared" si="61"/>
        <v>620015.439</v>
      </c>
    </row>
    <row r="136" ht="7.5" customHeight="1">
      <c r="A136" s="70"/>
      <c r="B136" s="65"/>
      <c r="C136" s="86"/>
      <c r="D136" s="87"/>
      <c r="E136" s="88"/>
      <c r="F136" s="88"/>
      <c r="G136" s="88"/>
      <c r="H136" s="88"/>
      <c r="I136" s="88"/>
    </row>
    <row r="137">
      <c r="A137" s="70"/>
      <c r="B137" s="65"/>
      <c r="C137" s="83" t="s">
        <v>636</v>
      </c>
      <c r="D137" s="89" t="s">
        <v>590</v>
      </c>
      <c r="E137" s="90">
        <f t="shared" ref="E137:I137" si="62">IFERROR(E131/E132*100,0)</f>
        <v>96.69186833</v>
      </c>
      <c r="F137" s="90">
        <f t="shared" si="62"/>
        <v>0</v>
      </c>
      <c r="G137" s="90">
        <f t="shared" si="62"/>
        <v>136.4783561</v>
      </c>
      <c r="H137" s="90">
        <f t="shared" si="62"/>
        <v>102.9850746</v>
      </c>
      <c r="I137" s="90">
        <f t="shared" si="62"/>
        <v>100.9280412</v>
      </c>
    </row>
    <row r="138">
      <c r="A138" s="70"/>
      <c r="B138" s="65"/>
      <c r="C138" s="83" t="s">
        <v>637</v>
      </c>
      <c r="D138" s="89" t="s">
        <v>590</v>
      </c>
      <c r="E138" s="90">
        <f t="shared" ref="E138:I138" si="63">IFERROR(E131/E133*100,0)</f>
        <v>78.41159646</v>
      </c>
      <c r="F138" s="90">
        <f t="shared" si="63"/>
        <v>0</v>
      </c>
      <c r="G138" s="90">
        <f t="shared" si="63"/>
        <v>36.44626395</v>
      </c>
      <c r="H138" s="90">
        <f t="shared" si="63"/>
        <v>38.87323944</v>
      </c>
      <c r="I138" s="90">
        <f t="shared" si="63"/>
        <v>67.0801028</v>
      </c>
    </row>
    <row r="139">
      <c r="A139" s="70"/>
      <c r="B139" s="65"/>
      <c r="C139" s="83" t="s">
        <v>638</v>
      </c>
      <c r="D139" s="89" t="s">
        <v>590</v>
      </c>
      <c r="E139" s="90">
        <f t="shared" ref="E139:I139" si="64">IFERROR(E131/E134*100,0)</f>
        <v>65.40456664</v>
      </c>
      <c r="F139" s="90">
        <f t="shared" si="64"/>
        <v>0</v>
      </c>
      <c r="G139" s="90">
        <f t="shared" si="64"/>
        <v>0</v>
      </c>
      <c r="H139" s="90">
        <f t="shared" si="64"/>
        <v>0</v>
      </c>
      <c r="I139" s="90">
        <f t="shared" si="64"/>
        <v>76.69227685</v>
      </c>
    </row>
    <row r="140">
      <c r="A140" s="91"/>
      <c r="B140" s="92"/>
      <c r="C140" s="93" t="s">
        <v>639</v>
      </c>
      <c r="D140" s="94" t="s">
        <v>590</v>
      </c>
      <c r="E140" s="95">
        <f t="shared" ref="E140:I140" si="65">IFERROR(E131/E135*100,0)</f>
        <v>65.40456664</v>
      </c>
      <c r="F140" s="95">
        <f t="shared" si="65"/>
        <v>0</v>
      </c>
      <c r="G140" s="95">
        <f t="shared" si="65"/>
        <v>0</v>
      </c>
      <c r="H140" s="95">
        <f t="shared" si="65"/>
        <v>0</v>
      </c>
      <c r="I140" s="95">
        <f t="shared" si="65"/>
        <v>76.69227685</v>
      </c>
    </row>
    <row r="141" ht="3.75" customHeight="1">
      <c r="A141" s="96"/>
      <c r="B141" s="97"/>
      <c r="C141" s="97"/>
      <c r="D141" s="98"/>
      <c r="E141" s="99"/>
      <c r="F141" s="99"/>
      <c r="G141" s="99"/>
      <c r="H141" s="99"/>
      <c r="I141" s="99"/>
    </row>
    <row r="142">
      <c r="A142" s="81">
        <v>2.0</v>
      </c>
      <c r="B142" s="82" t="s">
        <v>655</v>
      </c>
      <c r="C142" s="100" t="s">
        <v>630</v>
      </c>
      <c r="D142" s="120" t="s">
        <v>631</v>
      </c>
      <c r="E142" s="67">
        <f>'Balin-A'!$E$97/1000</f>
        <v>0</v>
      </c>
      <c r="F142" s="67">
        <f>'Kumai-A'!$E$97/1000</f>
        <v>0</v>
      </c>
      <c r="G142" s="67">
        <f>'Sinta-A'!$E$97/1000</f>
        <v>0</v>
      </c>
      <c r="H142" s="67">
        <f>'Lokal-A'!$E$97/1000</f>
        <v>0</v>
      </c>
      <c r="I142" s="67">
        <f t="shared" ref="I142:I146" si="66">sum(E142:H142)</f>
        <v>0</v>
      </c>
    </row>
    <row r="143">
      <c r="A143" s="70"/>
      <c r="B143" s="65"/>
      <c r="C143" s="83" t="s">
        <v>632</v>
      </c>
      <c r="D143" s="84" t="s">
        <v>631</v>
      </c>
      <c r="E143" s="88">
        <f>'Balin-A'!$F$97/1000</f>
        <v>0</v>
      </c>
      <c r="F143" s="88">
        <f>'Kumai-A'!$F$97/1000</f>
        <v>0</v>
      </c>
      <c r="G143" s="88">
        <f>'Sinta-A'!$F$97/1000</f>
        <v>0</v>
      </c>
      <c r="H143" s="88">
        <f>'Lokal-A'!$F$97/1000</f>
        <v>0</v>
      </c>
      <c r="I143" s="88">
        <f t="shared" si="66"/>
        <v>0</v>
      </c>
    </row>
    <row r="144">
      <c r="A144" s="70"/>
      <c r="B144" s="65"/>
      <c r="C144" s="83" t="s">
        <v>633</v>
      </c>
      <c r="D144" s="84" t="s">
        <v>631</v>
      </c>
      <c r="E144" s="88">
        <f>'Balin-A'!$G$97/1000</f>
        <v>0</v>
      </c>
      <c r="F144" s="88">
        <f>'Kumai-A'!$G$97/1000</f>
        <v>0</v>
      </c>
      <c r="G144" s="88">
        <f>'Sinta-A'!$G$97/1000</f>
        <v>0</v>
      </c>
      <c r="H144" s="88">
        <f>'Lokal-A'!$G$97/1000</f>
        <v>0</v>
      </c>
      <c r="I144" s="88">
        <f t="shared" si="66"/>
        <v>0</v>
      </c>
    </row>
    <row r="145">
      <c r="A145" s="70"/>
      <c r="B145" s="65"/>
      <c r="C145" s="83" t="s">
        <v>634</v>
      </c>
      <c r="D145" s="84" t="s">
        <v>631</v>
      </c>
      <c r="E145" s="88">
        <f>'Balin-A'!$H$97/1000</f>
        <v>0</v>
      </c>
      <c r="F145" s="88">
        <f>'Kumai-A'!$H$97/1000</f>
        <v>0</v>
      </c>
      <c r="G145" s="88">
        <f>'Sinta-A'!$H$97/1000</f>
        <v>0</v>
      </c>
      <c r="H145" s="88">
        <f>'Lokal-A'!$H$97/1000</f>
        <v>0</v>
      </c>
      <c r="I145" s="88">
        <f t="shared" si="66"/>
        <v>0</v>
      </c>
    </row>
    <row r="146">
      <c r="A146" s="70"/>
      <c r="B146" s="65"/>
      <c r="C146" s="83" t="s">
        <v>635</v>
      </c>
      <c r="D146" s="84" t="s">
        <v>631</v>
      </c>
      <c r="E146" s="88">
        <f>'Balin-A'!$I$97/1000</f>
        <v>0</v>
      </c>
      <c r="F146" s="88">
        <f>'Kumai-A'!$I$97/1000</f>
        <v>0</v>
      </c>
      <c r="G146" s="88">
        <f>'Sinta-A'!$I$97/1000</f>
        <v>0</v>
      </c>
      <c r="H146" s="88">
        <f>'Lokal-A'!$I$97/1000</f>
        <v>0</v>
      </c>
      <c r="I146" s="88">
        <f t="shared" si="66"/>
        <v>0</v>
      </c>
    </row>
    <row r="147" ht="7.5" customHeight="1">
      <c r="A147" s="70"/>
      <c r="B147" s="65"/>
      <c r="C147" s="86"/>
      <c r="D147" s="87"/>
      <c r="E147" s="88"/>
      <c r="F147" s="88"/>
      <c r="G147" s="88"/>
      <c r="H147" s="88"/>
      <c r="I147" s="88"/>
    </row>
    <row r="148">
      <c r="A148" s="70"/>
      <c r="B148" s="65"/>
      <c r="C148" s="83" t="s">
        <v>636</v>
      </c>
      <c r="D148" s="89" t="s">
        <v>590</v>
      </c>
      <c r="E148" s="90">
        <f t="shared" ref="E148:I148" si="67">IFERROR(E142/E143*100,0)</f>
        <v>0</v>
      </c>
      <c r="F148" s="90">
        <f t="shared" si="67"/>
        <v>0</v>
      </c>
      <c r="G148" s="90">
        <f t="shared" si="67"/>
        <v>0</v>
      </c>
      <c r="H148" s="90">
        <f t="shared" si="67"/>
        <v>0</v>
      </c>
      <c r="I148" s="90">
        <f t="shared" si="67"/>
        <v>0</v>
      </c>
    </row>
    <row r="149">
      <c r="A149" s="70"/>
      <c r="B149" s="65"/>
      <c r="C149" s="83" t="s">
        <v>637</v>
      </c>
      <c r="D149" s="89" t="s">
        <v>590</v>
      </c>
      <c r="E149" s="90">
        <f t="shared" ref="E149:I149" si="68">IFERROR(E142/E144*100,0)</f>
        <v>0</v>
      </c>
      <c r="F149" s="90">
        <f t="shared" si="68"/>
        <v>0</v>
      </c>
      <c r="G149" s="90">
        <f t="shared" si="68"/>
        <v>0</v>
      </c>
      <c r="H149" s="90">
        <f t="shared" si="68"/>
        <v>0</v>
      </c>
      <c r="I149" s="90">
        <f t="shared" si="68"/>
        <v>0</v>
      </c>
    </row>
    <row r="150">
      <c r="A150" s="70"/>
      <c r="B150" s="65"/>
      <c r="C150" s="83" t="s">
        <v>638</v>
      </c>
      <c r="D150" s="89" t="s">
        <v>590</v>
      </c>
      <c r="E150" s="90">
        <f t="shared" ref="E150:I150" si="69">IFERROR(E142/E145*100,0)</f>
        <v>0</v>
      </c>
      <c r="F150" s="90">
        <f t="shared" si="69"/>
        <v>0</v>
      </c>
      <c r="G150" s="90">
        <f t="shared" si="69"/>
        <v>0</v>
      </c>
      <c r="H150" s="90">
        <f t="shared" si="69"/>
        <v>0</v>
      </c>
      <c r="I150" s="90">
        <f t="shared" si="69"/>
        <v>0</v>
      </c>
    </row>
    <row r="151">
      <c r="A151" s="91"/>
      <c r="B151" s="92"/>
      <c r="C151" s="93" t="s">
        <v>639</v>
      </c>
      <c r="D151" s="94" t="s">
        <v>590</v>
      </c>
      <c r="E151" s="95">
        <f t="shared" ref="E151:I151" si="70">IFERROR(E142/E146*100,0)</f>
        <v>0</v>
      </c>
      <c r="F151" s="95">
        <f t="shared" si="70"/>
        <v>0</v>
      </c>
      <c r="G151" s="95">
        <f t="shared" si="70"/>
        <v>0</v>
      </c>
      <c r="H151" s="95">
        <f t="shared" si="70"/>
        <v>0</v>
      </c>
      <c r="I151" s="95">
        <f t="shared" si="70"/>
        <v>0</v>
      </c>
    </row>
    <row r="152" ht="3.75" customHeight="1">
      <c r="A152" s="96"/>
      <c r="B152" s="97"/>
      <c r="C152" s="97"/>
      <c r="D152" s="98"/>
      <c r="E152" s="99"/>
      <c r="F152" s="99"/>
      <c r="G152" s="99"/>
      <c r="H152" s="99"/>
      <c r="I152" s="99"/>
    </row>
    <row r="153">
      <c r="A153" s="101"/>
      <c r="B153" s="102" t="s">
        <v>656</v>
      </c>
      <c r="C153" s="103" t="s">
        <v>630</v>
      </c>
      <c r="D153" s="104" t="s">
        <v>631</v>
      </c>
      <c r="E153" s="105">
        <f t="shared" ref="E153:H153" si="71">SUMIF($C$131:$C$151,$C153,E$131:E$151)</f>
        <v>405518.411</v>
      </c>
      <c r="F153" s="105">
        <f t="shared" si="71"/>
        <v>0</v>
      </c>
      <c r="G153" s="105">
        <f t="shared" si="71"/>
        <v>68056.858</v>
      </c>
      <c r="H153" s="105">
        <f t="shared" si="71"/>
        <v>1928.688</v>
      </c>
      <c r="I153" s="105">
        <f t="shared" ref="I153:I157" si="73">sum(E153:H153)</f>
        <v>475503.957</v>
      </c>
    </row>
    <row r="154">
      <c r="A154" s="106"/>
      <c r="B154" s="107"/>
      <c r="C154" s="108" t="s">
        <v>632</v>
      </c>
      <c r="D154" s="109" t="s">
        <v>631</v>
      </c>
      <c r="E154" s="110">
        <f t="shared" ref="E154:H154" si="72">SUMIF($C$131:$C$151,$C154,E$131:E$151)</f>
        <v>419392.466</v>
      </c>
      <c r="F154" s="110">
        <f t="shared" si="72"/>
        <v>0</v>
      </c>
      <c r="G154" s="110">
        <f t="shared" si="72"/>
        <v>49866.411</v>
      </c>
      <c r="H154" s="110">
        <f t="shared" si="72"/>
        <v>1872.784</v>
      </c>
      <c r="I154" s="110">
        <f t="shared" si="73"/>
        <v>471131.661</v>
      </c>
    </row>
    <row r="155">
      <c r="A155" s="106"/>
      <c r="B155" s="107"/>
      <c r="C155" s="108" t="s">
        <v>633</v>
      </c>
      <c r="D155" s="109" t="s">
        <v>631</v>
      </c>
      <c r="E155" s="110">
        <f t="shared" ref="E155:H155" si="74">SUMIF($C$131:$C$151,$C155,E$131:E$151)</f>
        <v>517166.375</v>
      </c>
      <c r="F155" s="110">
        <f t="shared" si="74"/>
        <v>0</v>
      </c>
      <c r="G155" s="110">
        <f t="shared" si="74"/>
        <v>186732.056</v>
      </c>
      <c r="H155" s="110">
        <f t="shared" si="74"/>
        <v>4961.48</v>
      </c>
      <c r="I155" s="110">
        <f t="shared" si="73"/>
        <v>708859.911</v>
      </c>
    </row>
    <row r="156">
      <c r="A156" s="106"/>
      <c r="B156" s="107"/>
      <c r="C156" s="108" t="s">
        <v>634</v>
      </c>
      <c r="D156" s="109" t="s">
        <v>631</v>
      </c>
      <c r="E156" s="110">
        <f t="shared" ref="E156:H156" si="75">SUMIF($C$131:$C$151,$C156,E$131:E$151)</f>
        <v>620015.439</v>
      </c>
      <c r="F156" s="110">
        <f t="shared" si="75"/>
        <v>0</v>
      </c>
      <c r="G156" s="110">
        <f t="shared" si="75"/>
        <v>0</v>
      </c>
      <c r="H156" s="110">
        <f t="shared" si="75"/>
        <v>0</v>
      </c>
      <c r="I156" s="110">
        <f t="shared" si="73"/>
        <v>620015.439</v>
      </c>
    </row>
    <row r="157">
      <c r="A157" s="106"/>
      <c r="B157" s="107"/>
      <c r="C157" s="108" t="s">
        <v>635</v>
      </c>
      <c r="D157" s="109" t="s">
        <v>631</v>
      </c>
      <c r="E157" s="110">
        <f t="shared" ref="E157:H157" si="76">SUMIF($C$131:$C$151,$C157,E$131:E$151)</f>
        <v>620015.439</v>
      </c>
      <c r="F157" s="110">
        <f t="shared" si="76"/>
        <v>0</v>
      </c>
      <c r="G157" s="110">
        <f t="shared" si="76"/>
        <v>0</v>
      </c>
      <c r="H157" s="110">
        <f t="shared" si="76"/>
        <v>0</v>
      </c>
      <c r="I157" s="110">
        <f t="shared" si="73"/>
        <v>620015.439</v>
      </c>
    </row>
    <row r="158" ht="7.5" customHeight="1">
      <c r="A158" s="106"/>
      <c r="B158" s="107"/>
      <c r="C158" s="111"/>
      <c r="D158" s="112"/>
      <c r="E158" s="110"/>
      <c r="F158" s="110"/>
      <c r="G158" s="110"/>
      <c r="H158" s="110"/>
      <c r="I158" s="110"/>
    </row>
    <row r="159">
      <c r="A159" s="106"/>
      <c r="B159" s="107"/>
      <c r="C159" s="108" t="s">
        <v>636</v>
      </c>
      <c r="D159" s="113" t="s">
        <v>590</v>
      </c>
      <c r="E159" s="114">
        <f t="shared" ref="E159:I159" si="77">IFERROR(E153/E154*100,0)</f>
        <v>96.69186833</v>
      </c>
      <c r="F159" s="114">
        <f t="shared" si="77"/>
        <v>0</v>
      </c>
      <c r="G159" s="114">
        <f t="shared" si="77"/>
        <v>136.4783561</v>
      </c>
      <c r="H159" s="114">
        <f t="shared" si="77"/>
        <v>102.9850746</v>
      </c>
      <c r="I159" s="114">
        <f t="shared" si="77"/>
        <v>100.9280412</v>
      </c>
    </row>
    <row r="160">
      <c r="A160" s="106"/>
      <c r="B160" s="107"/>
      <c r="C160" s="108" t="s">
        <v>637</v>
      </c>
      <c r="D160" s="113" t="s">
        <v>590</v>
      </c>
      <c r="E160" s="114">
        <f t="shared" ref="E160:I160" si="78">IFERROR(E153/E155*100,0)</f>
        <v>78.41159646</v>
      </c>
      <c r="F160" s="114">
        <f t="shared" si="78"/>
        <v>0</v>
      </c>
      <c r="G160" s="114">
        <f t="shared" si="78"/>
        <v>36.44626395</v>
      </c>
      <c r="H160" s="114">
        <f t="shared" si="78"/>
        <v>38.87323944</v>
      </c>
      <c r="I160" s="114">
        <f t="shared" si="78"/>
        <v>67.0801028</v>
      </c>
    </row>
    <row r="161">
      <c r="A161" s="106"/>
      <c r="B161" s="107"/>
      <c r="C161" s="108" t="s">
        <v>638</v>
      </c>
      <c r="D161" s="113" t="s">
        <v>590</v>
      </c>
      <c r="E161" s="114">
        <f t="shared" ref="E161:I161" si="79">IFERROR(E153/E156*100,0)</f>
        <v>65.40456664</v>
      </c>
      <c r="F161" s="114">
        <f t="shared" si="79"/>
        <v>0</v>
      </c>
      <c r="G161" s="114">
        <f t="shared" si="79"/>
        <v>0</v>
      </c>
      <c r="H161" s="114">
        <f t="shared" si="79"/>
        <v>0</v>
      </c>
      <c r="I161" s="114">
        <f t="shared" si="79"/>
        <v>76.69227685</v>
      </c>
    </row>
    <row r="162">
      <c r="A162" s="115"/>
      <c r="B162" s="116"/>
      <c r="C162" s="117" t="s">
        <v>639</v>
      </c>
      <c r="D162" s="118" t="s">
        <v>590</v>
      </c>
      <c r="E162" s="119">
        <f t="shared" ref="E162:I162" si="80">IFERROR(E153/E157*100,0)</f>
        <v>65.40456664</v>
      </c>
      <c r="F162" s="119">
        <f t="shared" si="80"/>
        <v>0</v>
      </c>
      <c r="G162" s="119">
        <f t="shared" si="80"/>
        <v>0</v>
      </c>
      <c r="H162" s="119">
        <f t="shared" si="80"/>
        <v>0</v>
      </c>
      <c r="I162" s="119">
        <f t="shared" si="80"/>
        <v>76.69227685</v>
      </c>
    </row>
    <row r="163" ht="3.75" customHeight="1">
      <c r="A163" s="96"/>
      <c r="B163" s="97"/>
      <c r="C163" s="97"/>
      <c r="D163" s="98"/>
      <c r="E163" s="99"/>
      <c r="F163" s="99"/>
      <c r="G163" s="99"/>
      <c r="H163" s="99"/>
      <c r="I163" s="99"/>
    </row>
    <row r="164">
      <c r="A164" s="79" t="s">
        <v>657</v>
      </c>
      <c r="B164" s="80" t="s">
        <v>658</v>
      </c>
      <c r="C164" s="65"/>
      <c r="D164" s="66"/>
      <c r="E164" s="67"/>
      <c r="F164" s="67"/>
      <c r="G164" s="67"/>
      <c r="H164" s="67"/>
      <c r="I164" s="67"/>
    </row>
    <row r="165">
      <c r="A165" s="81">
        <v>1.0</v>
      </c>
      <c r="B165" s="82" t="s">
        <v>659</v>
      </c>
      <c r="C165" s="83" t="s">
        <v>630</v>
      </c>
      <c r="D165" s="84" t="s">
        <v>631</v>
      </c>
      <c r="E165" s="88">
        <f>'Balin-A'!$E$139/1000</f>
        <v>0</v>
      </c>
      <c r="F165" s="88">
        <f>'Kumai-A'!$E$139/1000</f>
        <v>0</v>
      </c>
      <c r="G165" s="88">
        <f>'Sinta-A'!$E$139/1000</f>
        <v>0</v>
      </c>
      <c r="H165" s="88">
        <f>'Lokal-A'!$E$139/1000</f>
        <v>0</v>
      </c>
      <c r="I165" s="88">
        <f t="shared" ref="I165:I169" si="81">sum(E165:H165)</f>
        <v>0</v>
      </c>
    </row>
    <row r="166">
      <c r="A166" s="70"/>
      <c r="B166" s="65"/>
      <c r="C166" s="83" t="s">
        <v>632</v>
      </c>
      <c r="D166" s="84" t="s">
        <v>631</v>
      </c>
      <c r="E166" s="88">
        <f>'Balin-A'!$F$139/1000</f>
        <v>0</v>
      </c>
      <c r="F166" s="88">
        <f>'Kumai-A'!$F$139/1000</f>
        <v>0</v>
      </c>
      <c r="G166" s="88">
        <f>'Sinta-A'!$F$139/1000</f>
        <v>0</v>
      </c>
      <c r="H166" s="88">
        <f>'Lokal-A'!$F$139/1000</f>
        <v>0</v>
      </c>
      <c r="I166" s="88">
        <f t="shared" si="81"/>
        <v>0</v>
      </c>
    </row>
    <row r="167">
      <c r="A167" s="70"/>
      <c r="B167" s="65"/>
      <c r="C167" s="83" t="s">
        <v>633</v>
      </c>
      <c r="D167" s="84" t="s">
        <v>631</v>
      </c>
      <c r="E167" s="88">
        <f>'Balin-A'!$G$139/1000</f>
        <v>0</v>
      </c>
      <c r="F167" s="88">
        <f>'Kumai-A'!$G$139/1000</f>
        <v>0</v>
      </c>
      <c r="G167" s="88">
        <f>'Sinta-A'!$G$139/1000</f>
        <v>0</v>
      </c>
      <c r="H167" s="88">
        <f>'Lokal-A'!$G$139/1000</f>
        <v>0</v>
      </c>
      <c r="I167" s="88">
        <f t="shared" si="81"/>
        <v>0</v>
      </c>
    </row>
    <row r="168">
      <c r="A168" s="70"/>
      <c r="B168" s="65"/>
      <c r="C168" s="83" t="s">
        <v>634</v>
      </c>
      <c r="D168" s="84" t="s">
        <v>631</v>
      </c>
      <c r="E168" s="88">
        <f>'Balin-A'!$H$139/1000</f>
        <v>0</v>
      </c>
      <c r="F168" s="88">
        <f>'Kumai-A'!$H$139/1000</f>
        <v>0</v>
      </c>
      <c r="G168" s="88">
        <f>'Sinta-A'!$H$139/1000</f>
        <v>0</v>
      </c>
      <c r="H168" s="88">
        <f>'Lokal-A'!$H$139/1000</f>
        <v>0</v>
      </c>
      <c r="I168" s="88">
        <f t="shared" si="81"/>
        <v>0</v>
      </c>
    </row>
    <row r="169">
      <c r="A169" s="70"/>
      <c r="B169" s="65"/>
      <c r="C169" s="83" t="s">
        <v>635</v>
      </c>
      <c r="D169" s="84" t="s">
        <v>631</v>
      </c>
      <c r="E169" s="88">
        <f>'Balin-A'!$I$139/1000</f>
        <v>0</v>
      </c>
      <c r="F169" s="88">
        <f>'Kumai-A'!$I$139/1000</f>
        <v>0</v>
      </c>
      <c r="G169" s="88">
        <f>'Sinta-A'!$I$139/1000</f>
        <v>0</v>
      </c>
      <c r="H169" s="88">
        <f>'Lokal-A'!$I$139/1000</f>
        <v>0</v>
      </c>
      <c r="I169" s="88">
        <f t="shared" si="81"/>
        <v>0</v>
      </c>
    </row>
    <row r="170" ht="7.5" customHeight="1">
      <c r="A170" s="70"/>
      <c r="B170" s="65"/>
      <c r="C170" s="86"/>
      <c r="D170" s="87"/>
      <c r="E170" s="88"/>
      <c r="F170" s="88"/>
      <c r="G170" s="88"/>
      <c r="H170" s="88"/>
      <c r="I170" s="88"/>
    </row>
    <row r="171">
      <c r="A171" s="70"/>
      <c r="B171" s="65"/>
      <c r="C171" s="83" t="s">
        <v>636</v>
      </c>
      <c r="D171" s="89" t="s">
        <v>590</v>
      </c>
      <c r="E171" s="90">
        <f t="shared" ref="E171:I171" si="82">IFERROR(E165/E166*100,0)</f>
        <v>0</v>
      </c>
      <c r="F171" s="90">
        <f t="shared" si="82"/>
        <v>0</v>
      </c>
      <c r="G171" s="90">
        <f t="shared" si="82"/>
        <v>0</v>
      </c>
      <c r="H171" s="90">
        <f t="shared" si="82"/>
        <v>0</v>
      </c>
      <c r="I171" s="90">
        <f t="shared" si="82"/>
        <v>0</v>
      </c>
    </row>
    <row r="172">
      <c r="A172" s="70"/>
      <c r="B172" s="65"/>
      <c r="C172" s="83" t="s">
        <v>637</v>
      </c>
      <c r="D172" s="89" t="s">
        <v>590</v>
      </c>
      <c r="E172" s="90">
        <f t="shared" ref="E172:I172" si="83">IFERROR(E165/E167*100,0)</f>
        <v>0</v>
      </c>
      <c r="F172" s="90">
        <f t="shared" si="83"/>
        <v>0</v>
      </c>
      <c r="G172" s="90">
        <f t="shared" si="83"/>
        <v>0</v>
      </c>
      <c r="H172" s="90">
        <f t="shared" si="83"/>
        <v>0</v>
      </c>
      <c r="I172" s="90">
        <f t="shared" si="83"/>
        <v>0</v>
      </c>
    </row>
    <row r="173">
      <c r="A173" s="70"/>
      <c r="B173" s="65"/>
      <c r="C173" s="83" t="s">
        <v>638</v>
      </c>
      <c r="D173" s="89" t="s">
        <v>590</v>
      </c>
      <c r="E173" s="90">
        <f t="shared" ref="E173:I173" si="84">IFERROR(E165/E168*100,0)</f>
        <v>0</v>
      </c>
      <c r="F173" s="90">
        <f t="shared" si="84"/>
        <v>0</v>
      </c>
      <c r="G173" s="90">
        <f t="shared" si="84"/>
        <v>0</v>
      </c>
      <c r="H173" s="90">
        <f t="shared" si="84"/>
        <v>0</v>
      </c>
      <c r="I173" s="90">
        <f t="shared" si="84"/>
        <v>0</v>
      </c>
    </row>
    <row r="174">
      <c r="A174" s="91"/>
      <c r="B174" s="92"/>
      <c r="C174" s="93" t="s">
        <v>639</v>
      </c>
      <c r="D174" s="94" t="s">
        <v>590</v>
      </c>
      <c r="E174" s="95">
        <f t="shared" ref="E174:I174" si="85">IFERROR(E165/E169*100,0)</f>
        <v>0</v>
      </c>
      <c r="F174" s="95">
        <f t="shared" si="85"/>
        <v>0</v>
      </c>
      <c r="G174" s="95">
        <f t="shared" si="85"/>
        <v>0</v>
      </c>
      <c r="H174" s="95">
        <f t="shared" si="85"/>
        <v>0</v>
      </c>
      <c r="I174" s="95">
        <f t="shared" si="85"/>
        <v>0</v>
      </c>
    </row>
    <row r="175" ht="3.75" customHeight="1">
      <c r="A175" s="96"/>
      <c r="B175" s="97"/>
      <c r="C175" s="97"/>
      <c r="D175" s="98"/>
      <c r="E175" s="99"/>
      <c r="F175" s="99"/>
      <c r="G175" s="99"/>
      <c r="H175" s="99"/>
      <c r="I175" s="99"/>
    </row>
    <row r="176">
      <c r="A176" s="81">
        <v>2.0</v>
      </c>
      <c r="B176" s="82" t="s">
        <v>660</v>
      </c>
      <c r="C176" s="100" t="s">
        <v>630</v>
      </c>
      <c r="D176" s="120" t="s">
        <v>631</v>
      </c>
      <c r="E176" s="67">
        <f>'Balin-A'!$E$147/1000</f>
        <v>46323.253</v>
      </c>
      <c r="F176" s="67">
        <f>'Kumai-A'!$E$147/1000</f>
        <v>0</v>
      </c>
      <c r="G176" s="67">
        <f>'Sinta-A'!$E$147/1000</f>
        <v>0</v>
      </c>
      <c r="H176" s="67">
        <f>'Lokal-A'!$E$147/1000</f>
        <v>257.4</v>
      </c>
      <c r="I176" s="67">
        <f t="shared" ref="I176:I180" si="86">sum(E176:H176)</f>
        <v>46580.653</v>
      </c>
    </row>
    <row r="177">
      <c r="A177" s="70"/>
      <c r="B177" s="65"/>
      <c r="C177" s="83" t="s">
        <v>632</v>
      </c>
      <c r="D177" s="84" t="s">
        <v>631</v>
      </c>
      <c r="E177" s="88">
        <f>'Balin-A'!$F$147/1000</f>
        <v>46180.815</v>
      </c>
      <c r="F177" s="88">
        <f>'Kumai-A'!$F$147/1000</f>
        <v>0</v>
      </c>
      <c r="G177" s="88">
        <f>'Sinta-A'!$F$147/1000</f>
        <v>0</v>
      </c>
      <c r="H177" s="88">
        <f>'Lokal-A'!$F$147/1000</f>
        <v>252</v>
      </c>
      <c r="I177" s="88">
        <f t="shared" si="86"/>
        <v>46432.815</v>
      </c>
    </row>
    <row r="178">
      <c r="A178" s="70"/>
      <c r="B178" s="65"/>
      <c r="C178" s="83" t="s">
        <v>633</v>
      </c>
      <c r="D178" s="84" t="s">
        <v>631</v>
      </c>
      <c r="E178" s="88">
        <f>'Balin-A'!$G$147/1000</f>
        <v>50693.198</v>
      </c>
      <c r="F178" s="88">
        <f>'Kumai-A'!$G$147/1000</f>
        <v>0</v>
      </c>
      <c r="G178" s="88">
        <f>'Sinta-A'!$G$147/1000</f>
        <v>1182.503</v>
      </c>
      <c r="H178" s="88">
        <f>'Lokal-A'!$G$147/1000</f>
        <v>0</v>
      </c>
      <c r="I178" s="88">
        <f t="shared" si="86"/>
        <v>51875.701</v>
      </c>
    </row>
    <row r="179">
      <c r="A179" s="70"/>
      <c r="B179" s="65"/>
      <c r="C179" s="83" t="s">
        <v>634</v>
      </c>
      <c r="D179" s="84" t="s">
        <v>631</v>
      </c>
      <c r="E179" s="88">
        <f>'Balin-A'!$H$147/1000</f>
        <v>41457.711</v>
      </c>
      <c r="F179" s="88">
        <f>'Kumai-A'!$H$147/1000</f>
        <v>0</v>
      </c>
      <c r="G179" s="88">
        <f>'Sinta-A'!$H$147/1000</f>
        <v>0</v>
      </c>
      <c r="H179" s="88">
        <f>'Lokal-A'!$H$147/1000</f>
        <v>0</v>
      </c>
      <c r="I179" s="88">
        <f t="shared" si="86"/>
        <v>41457.711</v>
      </c>
    </row>
    <row r="180">
      <c r="A180" s="70"/>
      <c r="B180" s="65"/>
      <c r="C180" s="83" t="s">
        <v>635</v>
      </c>
      <c r="D180" s="84" t="s">
        <v>631</v>
      </c>
      <c r="E180" s="88">
        <f>'Balin-A'!$I$147/1000</f>
        <v>41457.711</v>
      </c>
      <c r="F180" s="88">
        <f>'Kumai-A'!$I$147/1000</f>
        <v>0</v>
      </c>
      <c r="G180" s="88">
        <f>'Sinta-A'!$I$147/1000</f>
        <v>0</v>
      </c>
      <c r="H180" s="88">
        <f>'Lokal-A'!$I$147/1000</f>
        <v>0</v>
      </c>
      <c r="I180" s="88">
        <f t="shared" si="86"/>
        <v>41457.711</v>
      </c>
    </row>
    <row r="181" ht="7.5" customHeight="1">
      <c r="A181" s="70"/>
      <c r="B181" s="65"/>
      <c r="C181" s="86"/>
      <c r="D181" s="87"/>
      <c r="E181" s="88"/>
      <c r="F181" s="88"/>
      <c r="G181" s="88"/>
      <c r="H181" s="88"/>
      <c r="I181" s="88"/>
    </row>
    <row r="182">
      <c r="A182" s="70"/>
      <c r="B182" s="65"/>
      <c r="C182" s="83" t="s">
        <v>636</v>
      </c>
      <c r="D182" s="89" t="s">
        <v>590</v>
      </c>
      <c r="E182" s="90">
        <f t="shared" ref="E182:I182" si="87">IFERROR(E176/E177*100,0)</f>
        <v>100.3084354</v>
      </c>
      <c r="F182" s="90">
        <f t="shared" si="87"/>
        <v>0</v>
      </c>
      <c r="G182" s="90">
        <f t="shared" si="87"/>
        <v>0</v>
      </c>
      <c r="H182" s="90">
        <f t="shared" si="87"/>
        <v>102.1428571</v>
      </c>
      <c r="I182" s="90">
        <f t="shared" si="87"/>
        <v>100.3183912</v>
      </c>
    </row>
    <row r="183">
      <c r="A183" s="70"/>
      <c r="B183" s="65"/>
      <c r="C183" s="83" t="s">
        <v>637</v>
      </c>
      <c r="D183" s="89" t="s">
        <v>590</v>
      </c>
      <c r="E183" s="90">
        <f t="shared" ref="E183:I183" si="88">IFERROR(E176/E178*100,0)</f>
        <v>91.37962257</v>
      </c>
      <c r="F183" s="90">
        <f t="shared" si="88"/>
        <v>0</v>
      </c>
      <c r="G183" s="90">
        <f t="shared" si="88"/>
        <v>0</v>
      </c>
      <c r="H183" s="90">
        <f t="shared" si="88"/>
        <v>0</v>
      </c>
      <c r="I183" s="90">
        <f t="shared" si="88"/>
        <v>89.79281649</v>
      </c>
    </row>
    <row r="184">
      <c r="A184" s="70"/>
      <c r="B184" s="65"/>
      <c r="C184" s="121" t="s">
        <v>638</v>
      </c>
      <c r="D184" s="122" t="s">
        <v>590</v>
      </c>
      <c r="E184" s="123">
        <f t="shared" ref="E184:I184" si="89">IFERROR(E176/E179*100,0)</f>
        <v>111.7361569</v>
      </c>
      <c r="F184" s="123">
        <f t="shared" si="89"/>
        <v>0</v>
      </c>
      <c r="G184" s="123">
        <f t="shared" si="89"/>
        <v>0</v>
      </c>
      <c r="H184" s="123">
        <f t="shared" si="89"/>
        <v>0</v>
      </c>
      <c r="I184" s="123">
        <f t="shared" si="89"/>
        <v>112.3570305</v>
      </c>
    </row>
    <row r="185">
      <c r="A185" s="91"/>
      <c r="B185" s="92"/>
      <c r="C185" s="93" t="s">
        <v>639</v>
      </c>
      <c r="D185" s="94" t="s">
        <v>590</v>
      </c>
      <c r="E185" s="95">
        <f t="shared" ref="E185:I185" si="90">IFERROR(E176/E180*100,0)</f>
        <v>111.7361569</v>
      </c>
      <c r="F185" s="95">
        <f t="shared" si="90"/>
        <v>0</v>
      </c>
      <c r="G185" s="95">
        <f t="shared" si="90"/>
        <v>0</v>
      </c>
      <c r="H185" s="95">
        <f t="shared" si="90"/>
        <v>0</v>
      </c>
      <c r="I185" s="95">
        <f t="shared" si="90"/>
        <v>112.3570305</v>
      </c>
    </row>
    <row r="186" ht="3.75" customHeight="1">
      <c r="A186" s="96"/>
      <c r="B186" s="97"/>
      <c r="C186" s="97"/>
      <c r="D186" s="98"/>
      <c r="E186" s="99"/>
      <c r="F186" s="99"/>
      <c r="G186" s="99"/>
      <c r="H186" s="99"/>
      <c r="I186" s="99"/>
    </row>
    <row r="187">
      <c r="A187" s="101"/>
      <c r="B187" s="102" t="s">
        <v>661</v>
      </c>
      <c r="C187" s="103" t="s">
        <v>630</v>
      </c>
      <c r="D187" s="104" t="s">
        <v>631</v>
      </c>
      <c r="E187" s="105">
        <f t="shared" ref="E187:H187" si="91">SUMIF($C$165:$C$185,$C187,E$165:E$185)</f>
        <v>46323.253</v>
      </c>
      <c r="F187" s="105">
        <f t="shared" si="91"/>
        <v>0</v>
      </c>
      <c r="G187" s="105">
        <f t="shared" si="91"/>
        <v>0</v>
      </c>
      <c r="H187" s="105">
        <f t="shared" si="91"/>
        <v>257.4</v>
      </c>
      <c r="I187" s="105">
        <f t="shared" ref="I187:I191" si="93">sum(E187:H187)</f>
        <v>46580.653</v>
      </c>
    </row>
    <row r="188">
      <c r="A188" s="106"/>
      <c r="B188" s="107"/>
      <c r="C188" s="124" t="s">
        <v>632</v>
      </c>
      <c r="D188" s="125" t="s">
        <v>631</v>
      </c>
      <c r="E188" s="126">
        <f t="shared" ref="E188:H188" si="92">SUMIF($C$165:$C$185,$C188,E$165:E$185)</f>
        <v>46180.815</v>
      </c>
      <c r="F188" s="126">
        <f t="shared" si="92"/>
        <v>0</v>
      </c>
      <c r="G188" s="126">
        <f t="shared" si="92"/>
        <v>0</v>
      </c>
      <c r="H188" s="126">
        <f t="shared" si="92"/>
        <v>252</v>
      </c>
      <c r="I188" s="126">
        <f t="shared" si="93"/>
        <v>46432.815</v>
      </c>
    </row>
    <row r="189">
      <c r="A189" s="106"/>
      <c r="B189" s="107"/>
      <c r="C189" s="108" t="s">
        <v>633</v>
      </c>
      <c r="D189" s="109" t="s">
        <v>631</v>
      </c>
      <c r="E189" s="110">
        <f t="shared" ref="E189:H189" si="94">SUMIF($C$165:$C$185,$C189,E$165:E$185)</f>
        <v>50693.198</v>
      </c>
      <c r="F189" s="110">
        <f t="shared" si="94"/>
        <v>0</v>
      </c>
      <c r="G189" s="110">
        <f t="shared" si="94"/>
        <v>1182.503</v>
      </c>
      <c r="H189" s="110">
        <f t="shared" si="94"/>
        <v>0</v>
      </c>
      <c r="I189" s="110">
        <f t="shared" si="93"/>
        <v>51875.701</v>
      </c>
    </row>
    <row r="190">
      <c r="A190" s="106"/>
      <c r="B190" s="107"/>
      <c r="C190" s="108" t="s">
        <v>634</v>
      </c>
      <c r="D190" s="109" t="s">
        <v>631</v>
      </c>
      <c r="E190" s="110">
        <f t="shared" ref="E190:H190" si="95">SUMIF($C$165:$C$185,$C190,E$165:E$185)</f>
        <v>41457.711</v>
      </c>
      <c r="F190" s="110">
        <f t="shared" si="95"/>
        <v>0</v>
      </c>
      <c r="G190" s="110">
        <f t="shared" si="95"/>
        <v>0</v>
      </c>
      <c r="H190" s="110">
        <f t="shared" si="95"/>
        <v>0</v>
      </c>
      <c r="I190" s="110">
        <f t="shared" si="93"/>
        <v>41457.711</v>
      </c>
    </row>
    <row r="191">
      <c r="A191" s="106"/>
      <c r="B191" s="107"/>
      <c r="C191" s="108" t="s">
        <v>635</v>
      </c>
      <c r="D191" s="109" t="s">
        <v>631</v>
      </c>
      <c r="E191" s="110">
        <f t="shared" ref="E191:H191" si="96">SUMIF($C$165:$C$185,$C191,E$165:E$185)</f>
        <v>41457.711</v>
      </c>
      <c r="F191" s="110">
        <f t="shared" si="96"/>
        <v>0</v>
      </c>
      <c r="G191" s="110">
        <f t="shared" si="96"/>
        <v>0</v>
      </c>
      <c r="H191" s="110">
        <f t="shared" si="96"/>
        <v>0</v>
      </c>
      <c r="I191" s="110">
        <f t="shared" si="93"/>
        <v>41457.711</v>
      </c>
    </row>
    <row r="192" ht="7.5" customHeight="1">
      <c r="A192" s="106"/>
      <c r="B192" s="107"/>
      <c r="C192" s="111"/>
      <c r="D192" s="112"/>
      <c r="E192" s="110"/>
      <c r="F192" s="110"/>
      <c r="G192" s="110"/>
      <c r="H192" s="110"/>
      <c r="I192" s="110"/>
    </row>
    <row r="193">
      <c r="A193" s="106"/>
      <c r="B193" s="107"/>
      <c r="C193" s="108" t="s">
        <v>636</v>
      </c>
      <c r="D193" s="113" t="s">
        <v>590</v>
      </c>
      <c r="E193" s="114">
        <f t="shared" ref="E193:I193" si="97">IFERROR(E187/E188*100,0)</f>
        <v>100.3084354</v>
      </c>
      <c r="F193" s="114">
        <f t="shared" si="97"/>
        <v>0</v>
      </c>
      <c r="G193" s="114">
        <f t="shared" si="97"/>
        <v>0</v>
      </c>
      <c r="H193" s="114">
        <f t="shared" si="97"/>
        <v>102.1428571</v>
      </c>
      <c r="I193" s="114">
        <f t="shared" si="97"/>
        <v>100.3183912</v>
      </c>
    </row>
    <row r="194">
      <c r="A194" s="106"/>
      <c r="B194" s="107"/>
      <c r="C194" s="108" t="s">
        <v>637</v>
      </c>
      <c r="D194" s="113" t="s">
        <v>590</v>
      </c>
      <c r="E194" s="114">
        <f t="shared" ref="E194:I194" si="98">IFERROR(E187/E189*100,0)</f>
        <v>91.37962257</v>
      </c>
      <c r="F194" s="114">
        <f t="shared" si="98"/>
        <v>0</v>
      </c>
      <c r="G194" s="114">
        <f t="shared" si="98"/>
        <v>0</v>
      </c>
      <c r="H194" s="114">
        <f t="shared" si="98"/>
        <v>0</v>
      </c>
      <c r="I194" s="114">
        <f t="shared" si="98"/>
        <v>89.79281649</v>
      </c>
    </row>
    <row r="195">
      <c r="A195" s="106"/>
      <c r="B195" s="107"/>
      <c r="C195" s="108" t="s">
        <v>638</v>
      </c>
      <c r="D195" s="113" t="s">
        <v>590</v>
      </c>
      <c r="E195" s="114">
        <f t="shared" ref="E195:I195" si="99">IFERROR(E187/E190*100,0)</f>
        <v>111.7361569</v>
      </c>
      <c r="F195" s="114">
        <f t="shared" si="99"/>
        <v>0</v>
      </c>
      <c r="G195" s="114">
        <f t="shared" si="99"/>
        <v>0</v>
      </c>
      <c r="H195" s="114">
        <f t="shared" si="99"/>
        <v>0</v>
      </c>
      <c r="I195" s="114">
        <f t="shared" si="99"/>
        <v>112.3570305</v>
      </c>
    </row>
    <row r="196">
      <c r="A196" s="115"/>
      <c r="B196" s="116"/>
      <c r="C196" s="117" t="s">
        <v>639</v>
      </c>
      <c r="D196" s="118" t="s">
        <v>590</v>
      </c>
      <c r="E196" s="119">
        <f t="shared" ref="E196:I196" si="100">IFERROR(E187/E191*100,0)</f>
        <v>111.7361569</v>
      </c>
      <c r="F196" s="119">
        <f t="shared" si="100"/>
        <v>0</v>
      </c>
      <c r="G196" s="119">
        <f t="shared" si="100"/>
        <v>0</v>
      </c>
      <c r="H196" s="119">
        <f t="shared" si="100"/>
        <v>0</v>
      </c>
      <c r="I196" s="119">
        <f t="shared" si="100"/>
        <v>112.3570305</v>
      </c>
    </row>
    <row r="197" ht="3.75" customHeight="1">
      <c r="A197" s="96"/>
      <c r="B197" s="97"/>
      <c r="C197" s="97"/>
      <c r="D197" s="98"/>
      <c r="E197" s="99"/>
      <c r="F197" s="99"/>
      <c r="G197" s="99"/>
      <c r="H197" s="99"/>
      <c r="I197" s="99"/>
    </row>
    <row r="198">
      <c r="A198" s="70"/>
      <c r="B198" s="65"/>
      <c r="C198" s="65"/>
      <c r="D198" s="66"/>
      <c r="E198" s="67"/>
      <c r="F198" s="67"/>
      <c r="G198" s="67"/>
      <c r="H198" s="67"/>
      <c r="I198" s="67"/>
    </row>
    <row r="199">
      <c r="A199" s="70"/>
      <c r="B199" s="65"/>
      <c r="C199" s="65"/>
      <c r="D199" s="66"/>
      <c r="E199" s="67"/>
      <c r="F199" s="67"/>
      <c r="G199" s="67"/>
      <c r="H199" s="67"/>
      <c r="I199" s="67"/>
    </row>
  </sheetData>
  <mergeCells count="5">
    <mergeCell ref="A5:A6"/>
    <mergeCell ref="B5:B6"/>
    <mergeCell ref="C5:C6"/>
    <mergeCell ref="D5:D6"/>
    <mergeCell ref="E5:I5"/>
  </mergeCells>
  <conditionalFormatting sqref="E14:I17">
    <cfRule type="cellIs" dxfId="0" priority="1" operator="greaterThan">
      <formula>99.99</formula>
    </cfRule>
  </conditionalFormatting>
  <conditionalFormatting sqref="E25:I28">
    <cfRule type="cellIs" dxfId="0" priority="2" operator="greaterThan">
      <formula>99.99</formula>
    </cfRule>
  </conditionalFormatting>
  <conditionalFormatting sqref="E36:I39">
    <cfRule type="cellIs" dxfId="0" priority="3" operator="greaterThan">
      <formula>99.99</formula>
    </cfRule>
  </conditionalFormatting>
  <conditionalFormatting sqref="E47:I50">
    <cfRule type="cellIs" dxfId="0" priority="4" operator="greaterThan">
      <formula>99.99</formula>
    </cfRule>
  </conditionalFormatting>
  <conditionalFormatting sqref="E58:I61">
    <cfRule type="cellIs" dxfId="0" priority="5" operator="greaterThan">
      <formula>99.99</formula>
    </cfRule>
  </conditionalFormatting>
  <conditionalFormatting sqref="E69:I72">
    <cfRule type="cellIs" dxfId="0" priority="6" operator="greaterThan">
      <formula>99.99</formula>
    </cfRule>
  </conditionalFormatting>
  <conditionalFormatting sqref="E80:I83">
    <cfRule type="cellIs" dxfId="0" priority="7" operator="greaterThan">
      <formula>99.99</formula>
    </cfRule>
  </conditionalFormatting>
  <conditionalFormatting sqref="E91:I94">
    <cfRule type="cellIs" dxfId="0" priority="8" operator="greaterThan">
      <formula>99.99</formula>
    </cfRule>
  </conditionalFormatting>
  <conditionalFormatting sqref="E113:I116">
    <cfRule type="cellIs" dxfId="0" priority="9" operator="greaterThan">
      <formula>99.99</formula>
    </cfRule>
  </conditionalFormatting>
  <conditionalFormatting sqref="E125:I128">
    <cfRule type="cellIs" dxfId="0" priority="10" operator="greaterThan">
      <formula>99.99</formula>
    </cfRule>
  </conditionalFormatting>
  <conditionalFormatting sqref="E137:I140">
    <cfRule type="cellIs" dxfId="0" priority="11" operator="greaterThan">
      <formula>99.99</formula>
    </cfRule>
  </conditionalFormatting>
  <conditionalFormatting sqref="E148:I151">
    <cfRule type="cellIs" dxfId="0" priority="12" operator="greaterThan">
      <formula>99.99</formula>
    </cfRule>
  </conditionalFormatting>
  <conditionalFormatting sqref="E159:I162">
    <cfRule type="cellIs" dxfId="0" priority="13" operator="greaterThan">
      <formula>99.99</formula>
    </cfRule>
  </conditionalFormatting>
  <conditionalFormatting sqref="E171:I174">
    <cfRule type="cellIs" dxfId="0" priority="14" operator="greaterThan">
      <formula>99.99</formula>
    </cfRule>
  </conditionalFormatting>
  <conditionalFormatting sqref="E182:I185">
    <cfRule type="cellIs" dxfId="0" priority="15" operator="greaterThan">
      <formula>99.99</formula>
    </cfRule>
  </conditionalFormatting>
  <conditionalFormatting sqref="E193:I196">
    <cfRule type="cellIs" dxfId="0" priority="16" operator="greaterThan">
      <formula>99.99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6.57"/>
    <col customWidth="1" min="2" max="2" width="33.14"/>
    <col customWidth="1" min="3" max="3" width="24.86"/>
    <col customWidth="1" min="4" max="4" width="8.14"/>
    <col customWidth="1" min="5" max="5" width="9.57"/>
    <col customWidth="1" min="6" max="8" width="9.86"/>
    <col customWidth="1" min="9" max="9" width="10.86"/>
  </cols>
  <sheetData>
    <row r="1">
      <c r="A1" s="64" t="s">
        <v>617</v>
      </c>
      <c r="B1" s="65"/>
      <c r="C1" s="65"/>
      <c r="D1" s="66"/>
      <c r="E1" s="67"/>
      <c r="F1" s="67"/>
      <c r="G1" s="67"/>
      <c r="H1" s="67"/>
      <c r="I1" s="67"/>
    </row>
    <row r="2">
      <c r="A2" s="68" t="s">
        <v>618</v>
      </c>
      <c r="B2" s="65"/>
      <c r="C2" s="65"/>
      <c r="D2" s="66"/>
      <c r="E2" s="67"/>
      <c r="F2" s="67"/>
      <c r="G2" s="67"/>
      <c r="H2" s="67"/>
      <c r="I2" s="67"/>
    </row>
    <row r="3">
      <c r="A3" s="69" t="str">
        <f>UPPER('Balin-A'!N5)</f>
        <v>SD BULAN MEI 2026</v>
      </c>
      <c r="B3" s="65"/>
      <c r="C3" s="65"/>
      <c r="D3" s="66"/>
      <c r="E3" s="67"/>
      <c r="F3" s="67"/>
      <c r="G3" s="67"/>
      <c r="H3" s="67"/>
      <c r="I3" s="67"/>
    </row>
    <row r="4">
      <c r="A4" s="70"/>
      <c r="B4" s="65"/>
      <c r="C4" s="65"/>
      <c r="D4" s="66"/>
      <c r="E4" s="67"/>
      <c r="F4" s="67"/>
      <c r="G4" s="67"/>
      <c r="H4" s="67"/>
      <c r="I4" s="67"/>
    </row>
    <row r="5">
      <c r="A5" s="71" t="s">
        <v>619</v>
      </c>
      <c r="B5" s="72" t="s">
        <v>405</v>
      </c>
      <c r="C5" s="73" t="s">
        <v>620</v>
      </c>
      <c r="D5" s="73" t="s">
        <v>621</v>
      </c>
      <c r="E5" s="74" t="s">
        <v>406</v>
      </c>
      <c r="F5" s="75"/>
      <c r="G5" s="75"/>
      <c r="H5" s="75"/>
      <c r="I5" s="75"/>
    </row>
    <row r="6">
      <c r="A6" s="76"/>
      <c r="B6" s="76"/>
      <c r="C6" s="76"/>
      <c r="D6" s="76"/>
      <c r="E6" s="77" t="s">
        <v>622</v>
      </c>
      <c r="F6" s="77" t="s">
        <v>623</v>
      </c>
      <c r="G6" s="77" t="s">
        <v>624</v>
      </c>
      <c r="H6" s="77" t="s">
        <v>625</v>
      </c>
      <c r="I6" s="78" t="s">
        <v>626</v>
      </c>
    </row>
    <row r="7">
      <c r="A7" s="79" t="s">
        <v>627</v>
      </c>
      <c r="B7" s="80" t="s">
        <v>628</v>
      </c>
      <c r="C7" s="65"/>
      <c r="D7" s="66"/>
      <c r="E7" s="67"/>
      <c r="F7" s="67"/>
      <c r="G7" s="67"/>
      <c r="H7" s="67"/>
      <c r="I7" s="67"/>
    </row>
    <row r="8">
      <c r="A8" s="81">
        <v>1.0</v>
      </c>
      <c r="B8" s="82" t="s">
        <v>629</v>
      </c>
      <c r="C8" s="83" t="s">
        <v>662</v>
      </c>
      <c r="D8" s="84" t="s">
        <v>631</v>
      </c>
      <c r="E8" s="85">
        <f>'Balin-A'!$N$14/1000</f>
        <v>451311.525</v>
      </c>
      <c r="F8" s="85">
        <f>'Kumai-A'!$N$14/1000</f>
        <v>0</v>
      </c>
      <c r="G8" s="85">
        <f>'Sinta-A'!$N$14/1000</f>
        <v>113226.929</v>
      </c>
      <c r="H8" s="85">
        <f>'Lokal-A'!$N$14/1000</f>
        <v>0</v>
      </c>
      <c r="I8" s="85">
        <f t="shared" ref="I8:I12" si="1">sum(E8:H8)</f>
        <v>564538.454</v>
      </c>
    </row>
    <row r="9">
      <c r="A9" s="70"/>
      <c r="B9" s="65"/>
      <c r="C9" s="83" t="s">
        <v>632</v>
      </c>
      <c r="D9" s="84" t="s">
        <v>631</v>
      </c>
      <c r="E9" s="85">
        <f>'Balin-A'!$F$14/1000</f>
        <v>725438.24</v>
      </c>
      <c r="F9" s="85">
        <f>'Kumai-A'!$F$14/1000</f>
        <v>0</v>
      </c>
      <c r="G9" s="85">
        <f>'Sinta-A'!$F$14/1000</f>
        <v>238057.737</v>
      </c>
      <c r="H9" s="85">
        <f>'Lokal-A'!$F$14/1000</f>
        <v>80487.721</v>
      </c>
      <c r="I9" s="85">
        <f t="shared" si="1"/>
        <v>1043983.698</v>
      </c>
    </row>
    <row r="10">
      <c r="A10" s="70"/>
      <c r="B10" s="65"/>
      <c r="C10" s="83" t="s">
        <v>633</v>
      </c>
      <c r="D10" s="84" t="s">
        <v>631</v>
      </c>
      <c r="E10" s="85">
        <f>'Balin-A'!$O$14/1000</f>
        <v>340571.671</v>
      </c>
      <c r="F10" s="85">
        <f>'Kumai-A'!$O$14/1000</f>
        <v>0</v>
      </c>
      <c r="G10" s="85">
        <f>'Sinta-A'!$O$14/1000</f>
        <v>85062.998</v>
      </c>
      <c r="H10" s="85">
        <f>'Lokal-A'!$O$14/1000</f>
        <v>0</v>
      </c>
      <c r="I10" s="85">
        <f t="shared" si="1"/>
        <v>425634.669</v>
      </c>
    </row>
    <row r="11">
      <c r="A11" s="70"/>
      <c r="B11" s="65"/>
      <c r="C11" s="83" t="s">
        <v>634</v>
      </c>
      <c r="D11" s="84" t="s">
        <v>631</v>
      </c>
      <c r="E11" s="85">
        <f>'Balin-A'!$P$14/1000</f>
        <v>332113.312</v>
      </c>
      <c r="F11" s="85">
        <f>'Kumai-A'!$P$14/1000</f>
        <v>0</v>
      </c>
      <c r="G11" s="85">
        <f>'Sinta-A'!$P$14/1000</f>
        <v>0</v>
      </c>
      <c r="H11" s="85">
        <f>'Lokal-A'!$P$14/1000</f>
        <v>0</v>
      </c>
      <c r="I11" s="85">
        <f t="shared" si="1"/>
        <v>332113.312</v>
      </c>
    </row>
    <row r="12">
      <c r="A12" s="70"/>
      <c r="B12" s="65"/>
      <c r="C12" s="83" t="s">
        <v>635</v>
      </c>
      <c r="D12" s="84" t="s">
        <v>631</v>
      </c>
      <c r="E12" s="85">
        <f>'Balin-A'!$Q$14/1000</f>
        <v>332113.312</v>
      </c>
      <c r="F12" s="85">
        <f>'Kumai-A'!$Q$14/1000</f>
        <v>0</v>
      </c>
      <c r="G12" s="85">
        <f>'Sinta-A'!$Q$14/1000</f>
        <v>0</v>
      </c>
      <c r="H12" s="85">
        <f>'Lokal-A'!$Q$14/1000</f>
        <v>0</v>
      </c>
      <c r="I12" s="85">
        <f t="shared" si="1"/>
        <v>332113.312</v>
      </c>
    </row>
    <row r="13" ht="7.5" customHeight="1">
      <c r="A13" s="70"/>
      <c r="B13" s="65"/>
      <c r="C13" s="86"/>
      <c r="D13" s="87"/>
      <c r="E13" s="88"/>
      <c r="F13" s="88"/>
      <c r="G13" s="88"/>
      <c r="H13" s="88"/>
      <c r="I13" s="88"/>
    </row>
    <row r="14">
      <c r="A14" s="70"/>
      <c r="B14" s="65"/>
      <c r="C14" s="83" t="s">
        <v>663</v>
      </c>
      <c r="D14" s="89" t="s">
        <v>590</v>
      </c>
      <c r="E14" s="90">
        <f t="shared" ref="E14:I14" si="2">IFERROR(E8/E9*100,0)</f>
        <v>62.21226014</v>
      </c>
      <c r="F14" s="90">
        <f t="shared" si="2"/>
        <v>0</v>
      </c>
      <c r="G14" s="90">
        <f t="shared" si="2"/>
        <v>47.56280154</v>
      </c>
      <c r="H14" s="90">
        <f t="shared" si="2"/>
        <v>0</v>
      </c>
      <c r="I14" s="90">
        <f t="shared" si="2"/>
        <v>54.07540894</v>
      </c>
    </row>
    <row r="15">
      <c r="A15" s="70"/>
      <c r="B15" s="65"/>
      <c r="C15" s="83" t="s">
        <v>664</v>
      </c>
      <c r="D15" s="89" t="s">
        <v>590</v>
      </c>
      <c r="E15" s="90">
        <f t="shared" ref="E15:I15" si="3">IFERROR(E8/E10*100,0)</f>
        <v>132.5158736</v>
      </c>
      <c r="F15" s="90">
        <f t="shared" si="3"/>
        <v>0</v>
      </c>
      <c r="G15" s="90">
        <f t="shared" si="3"/>
        <v>133.1094973</v>
      </c>
      <c r="H15" s="90">
        <f t="shared" si="3"/>
        <v>0</v>
      </c>
      <c r="I15" s="90">
        <f t="shared" si="3"/>
        <v>132.6345091</v>
      </c>
    </row>
    <row r="16">
      <c r="A16" s="70"/>
      <c r="B16" s="65"/>
      <c r="C16" s="83" t="s">
        <v>665</v>
      </c>
      <c r="D16" s="89" t="s">
        <v>590</v>
      </c>
      <c r="E16" s="90">
        <f t="shared" ref="E16:I16" si="4">IFERROR(E8/E11*100,0)</f>
        <v>135.8908266</v>
      </c>
      <c r="F16" s="90">
        <f t="shared" si="4"/>
        <v>0</v>
      </c>
      <c r="G16" s="90">
        <f t="shared" si="4"/>
        <v>0</v>
      </c>
      <c r="H16" s="90">
        <f t="shared" si="4"/>
        <v>0</v>
      </c>
      <c r="I16" s="90">
        <f t="shared" si="4"/>
        <v>169.9836874</v>
      </c>
    </row>
    <row r="17">
      <c r="A17" s="91"/>
      <c r="B17" s="92"/>
      <c r="C17" s="93" t="s">
        <v>666</v>
      </c>
      <c r="D17" s="94" t="s">
        <v>590</v>
      </c>
      <c r="E17" s="95">
        <f t="shared" ref="E17:I17" si="5">IFERROR(E8/E12*100,0)</f>
        <v>135.8908266</v>
      </c>
      <c r="F17" s="95">
        <f t="shared" si="5"/>
        <v>0</v>
      </c>
      <c r="G17" s="95">
        <f t="shared" si="5"/>
        <v>0</v>
      </c>
      <c r="H17" s="95">
        <f t="shared" si="5"/>
        <v>0</v>
      </c>
      <c r="I17" s="95">
        <f t="shared" si="5"/>
        <v>169.9836874</v>
      </c>
    </row>
    <row r="18" ht="3.75" customHeight="1">
      <c r="A18" s="96"/>
      <c r="B18" s="97"/>
      <c r="C18" s="97"/>
      <c r="D18" s="98"/>
      <c r="E18" s="99"/>
      <c r="F18" s="99"/>
      <c r="G18" s="99"/>
      <c r="H18" s="99"/>
      <c r="I18" s="99"/>
    </row>
    <row r="19">
      <c r="A19" s="81">
        <v>2.0</v>
      </c>
      <c r="B19" s="82" t="s">
        <v>640</v>
      </c>
      <c r="C19" s="100" t="s">
        <v>662</v>
      </c>
      <c r="D19" s="84" t="s">
        <v>631</v>
      </c>
      <c r="E19" s="67">
        <f>'Balin-A'!$N$32/1000</f>
        <v>140515.182</v>
      </c>
      <c r="F19" s="67">
        <f>'Kumai-A'!$N$32/1000</f>
        <v>0</v>
      </c>
      <c r="G19" s="67">
        <f>'Sinta-A'!$N$32/1000</f>
        <v>0</v>
      </c>
      <c r="H19" s="67">
        <f>'Lokal-A'!$N$32/1000</f>
        <v>0</v>
      </c>
      <c r="I19" s="67">
        <f t="shared" ref="I19:I23" si="6">sum(E19:H19)</f>
        <v>140515.182</v>
      </c>
    </row>
    <row r="20">
      <c r="A20" s="70"/>
      <c r="B20" s="65"/>
      <c r="C20" s="83" t="s">
        <v>632</v>
      </c>
      <c r="D20" s="84" t="s">
        <v>631</v>
      </c>
      <c r="E20" s="88">
        <f>'Balin-A'!$F$32/1000</f>
        <v>26271.3</v>
      </c>
      <c r="F20" s="88">
        <f>'Kumai-A'!$F$32/1000</f>
        <v>0</v>
      </c>
      <c r="G20" s="88">
        <f>'Sinta-A'!$F$32/1000</f>
        <v>0</v>
      </c>
      <c r="H20" s="88">
        <f>'Lokal-A'!$F$32/1000</f>
        <v>0</v>
      </c>
      <c r="I20" s="88">
        <f t="shared" si="6"/>
        <v>26271.3</v>
      </c>
    </row>
    <row r="21">
      <c r="A21" s="70"/>
      <c r="B21" s="65"/>
      <c r="C21" s="83" t="s">
        <v>633</v>
      </c>
      <c r="D21" s="84" t="s">
        <v>631</v>
      </c>
      <c r="E21" s="88">
        <f>'Balin-A'!$O$32/1000</f>
        <v>139115.966</v>
      </c>
      <c r="F21" s="88">
        <f>'Kumai-A'!$O$32/1000</f>
        <v>0</v>
      </c>
      <c r="G21" s="88">
        <f>'Sinta-A'!$O$32/1000</f>
        <v>0</v>
      </c>
      <c r="H21" s="88">
        <f>'Lokal-A'!$O$32/1000</f>
        <v>0</v>
      </c>
      <c r="I21" s="88">
        <f t="shared" si="6"/>
        <v>139115.966</v>
      </c>
    </row>
    <row r="22">
      <c r="A22" s="70"/>
      <c r="B22" s="65"/>
      <c r="C22" s="83" t="s">
        <v>634</v>
      </c>
      <c r="D22" s="84" t="s">
        <v>631</v>
      </c>
      <c r="E22" s="88">
        <f>'Balin-A'!$P$32/1000</f>
        <v>790.849</v>
      </c>
      <c r="F22" s="88">
        <f>'Kumai-A'!$P$32/1000</f>
        <v>0</v>
      </c>
      <c r="G22" s="88">
        <f>'Sinta-A'!$P$32/1000</f>
        <v>0</v>
      </c>
      <c r="H22" s="88">
        <f>'Lokal-A'!$P$32/1000</f>
        <v>0</v>
      </c>
      <c r="I22" s="88">
        <f t="shared" si="6"/>
        <v>790.849</v>
      </c>
    </row>
    <row r="23">
      <c r="A23" s="70"/>
      <c r="B23" s="65"/>
      <c r="C23" s="83" t="s">
        <v>635</v>
      </c>
      <c r="D23" s="84" t="s">
        <v>631</v>
      </c>
      <c r="E23" s="88">
        <f>'Balin-A'!$Q$32/1000</f>
        <v>790.849</v>
      </c>
      <c r="F23" s="88">
        <f>'Kumai-A'!$Q$32/1000</f>
        <v>0</v>
      </c>
      <c r="G23" s="88">
        <f>'Sinta-A'!$Q$32/1000</f>
        <v>0</v>
      </c>
      <c r="H23" s="88">
        <f>'Lokal-A'!$Q$32/1000</f>
        <v>0</v>
      </c>
      <c r="I23" s="88">
        <f t="shared" si="6"/>
        <v>790.849</v>
      </c>
    </row>
    <row r="24" ht="7.5" customHeight="1">
      <c r="A24" s="70"/>
      <c r="B24" s="65"/>
      <c r="C24" s="86"/>
      <c r="D24" s="87"/>
      <c r="E24" s="88"/>
      <c r="F24" s="88"/>
      <c r="G24" s="88"/>
      <c r="H24" s="88"/>
      <c r="I24" s="88"/>
    </row>
    <row r="25">
      <c r="A25" s="70"/>
      <c r="B25" s="65"/>
      <c r="C25" s="83" t="s">
        <v>663</v>
      </c>
      <c r="D25" s="89" t="s">
        <v>590</v>
      </c>
      <c r="E25" s="90">
        <f t="shared" ref="E25:I25" si="7">IFERROR(E19/E20*100,0)</f>
        <v>534.8619292</v>
      </c>
      <c r="F25" s="90">
        <f t="shared" si="7"/>
        <v>0</v>
      </c>
      <c r="G25" s="90">
        <f t="shared" si="7"/>
        <v>0</v>
      </c>
      <c r="H25" s="90">
        <f t="shared" si="7"/>
        <v>0</v>
      </c>
      <c r="I25" s="90">
        <f t="shared" si="7"/>
        <v>534.8619292</v>
      </c>
    </row>
    <row r="26">
      <c r="A26" s="70"/>
      <c r="B26" s="65"/>
      <c r="C26" s="83" t="s">
        <v>664</v>
      </c>
      <c r="D26" s="89" t="s">
        <v>590</v>
      </c>
      <c r="E26" s="90">
        <f t="shared" ref="E26:I26" si="8">IFERROR(E19/E21*100,0)</f>
        <v>101.0057911</v>
      </c>
      <c r="F26" s="90">
        <f t="shared" si="8"/>
        <v>0</v>
      </c>
      <c r="G26" s="90">
        <f t="shared" si="8"/>
        <v>0</v>
      </c>
      <c r="H26" s="90">
        <f t="shared" si="8"/>
        <v>0</v>
      </c>
      <c r="I26" s="90">
        <f t="shared" si="8"/>
        <v>101.0057911</v>
      </c>
    </row>
    <row r="27">
      <c r="A27" s="70"/>
      <c r="B27" s="65"/>
      <c r="C27" s="83" t="s">
        <v>665</v>
      </c>
      <c r="D27" s="89" t="s">
        <v>590</v>
      </c>
      <c r="E27" s="90">
        <f t="shared" ref="E27:I27" si="9">IFERROR(E19/E22*100,0)</f>
        <v>17767.63731</v>
      </c>
      <c r="F27" s="90">
        <f t="shared" si="9"/>
        <v>0</v>
      </c>
      <c r="G27" s="90">
        <f t="shared" si="9"/>
        <v>0</v>
      </c>
      <c r="H27" s="90">
        <f t="shared" si="9"/>
        <v>0</v>
      </c>
      <c r="I27" s="90">
        <f t="shared" si="9"/>
        <v>17767.63731</v>
      </c>
    </row>
    <row r="28">
      <c r="A28" s="91"/>
      <c r="B28" s="92"/>
      <c r="C28" s="93" t="s">
        <v>666</v>
      </c>
      <c r="D28" s="94" t="s">
        <v>590</v>
      </c>
      <c r="E28" s="95">
        <f t="shared" ref="E28:I28" si="10">IFERROR(E19/E23*100,0)</f>
        <v>17767.63731</v>
      </c>
      <c r="F28" s="95">
        <f t="shared" si="10"/>
        <v>0</v>
      </c>
      <c r="G28" s="95">
        <f t="shared" si="10"/>
        <v>0</v>
      </c>
      <c r="H28" s="95">
        <f t="shared" si="10"/>
        <v>0</v>
      </c>
      <c r="I28" s="95">
        <f t="shared" si="10"/>
        <v>17767.63731</v>
      </c>
    </row>
    <row r="29" ht="3.75" customHeight="1">
      <c r="A29" s="96"/>
      <c r="B29" s="97"/>
      <c r="C29" s="97"/>
      <c r="D29" s="98"/>
      <c r="E29" s="99"/>
      <c r="F29" s="99"/>
      <c r="G29" s="99"/>
      <c r="H29" s="99"/>
      <c r="I29" s="99"/>
    </row>
    <row r="30">
      <c r="A30" s="81">
        <v>3.0</v>
      </c>
      <c r="B30" s="82" t="s">
        <v>641</v>
      </c>
      <c r="C30" s="100" t="s">
        <v>662</v>
      </c>
      <c r="D30" s="84" t="s">
        <v>631</v>
      </c>
      <c r="E30" s="67">
        <f>'Balin-A'!$N$34/1000</f>
        <v>0</v>
      </c>
      <c r="F30" s="67">
        <f>'Kumai-A'!$N$34/1000</f>
        <v>0</v>
      </c>
      <c r="G30" s="67">
        <f>'Sinta-A'!$N$34/1000</f>
        <v>0</v>
      </c>
      <c r="H30" s="67">
        <f>'Lokal-A'!$N$34/1000</f>
        <v>0</v>
      </c>
      <c r="I30" s="67">
        <f t="shared" ref="I30:I34" si="11">sum(E30:H30)</f>
        <v>0</v>
      </c>
    </row>
    <row r="31">
      <c r="A31" s="70"/>
      <c r="B31" s="65"/>
      <c r="C31" s="83" t="s">
        <v>632</v>
      </c>
      <c r="D31" s="84" t="s">
        <v>631</v>
      </c>
      <c r="E31" s="88">
        <f>'Balin-A'!$F$34/1000</f>
        <v>0</v>
      </c>
      <c r="F31" s="88">
        <f>'Kumai-A'!$F$34/1000</f>
        <v>0</v>
      </c>
      <c r="G31" s="88">
        <f>'Sinta-A'!$F$34/1000</f>
        <v>0</v>
      </c>
      <c r="H31" s="88">
        <f>'Lokal-A'!$F$34/1000</f>
        <v>0</v>
      </c>
      <c r="I31" s="88">
        <f t="shared" si="11"/>
        <v>0</v>
      </c>
    </row>
    <row r="32">
      <c r="A32" s="70"/>
      <c r="B32" s="65"/>
      <c r="C32" s="83" t="s">
        <v>633</v>
      </c>
      <c r="D32" s="84" t="s">
        <v>631</v>
      </c>
      <c r="E32" s="88">
        <f>'Balin-A'!$O$34/1000</f>
        <v>0</v>
      </c>
      <c r="F32" s="88">
        <f>'Kumai-A'!$O$34/1000</f>
        <v>0</v>
      </c>
      <c r="G32" s="88">
        <f>'Sinta-A'!$O$34/1000</f>
        <v>0</v>
      </c>
      <c r="H32" s="88">
        <f>'Lokal-A'!$O$34/1000</f>
        <v>0</v>
      </c>
      <c r="I32" s="88">
        <f t="shared" si="11"/>
        <v>0</v>
      </c>
    </row>
    <row r="33">
      <c r="A33" s="70"/>
      <c r="B33" s="65"/>
      <c r="C33" s="83" t="s">
        <v>634</v>
      </c>
      <c r="D33" s="84" t="s">
        <v>631</v>
      </c>
      <c r="E33" s="88">
        <f>'Balin-A'!$P$34/1000</f>
        <v>0</v>
      </c>
      <c r="F33" s="88">
        <f>'Kumai-A'!$P$34/1000</f>
        <v>0</v>
      </c>
      <c r="G33" s="88">
        <f>'Sinta-A'!$P$34/1000</f>
        <v>0</v>
      </c>
      <c r="H33" s="88">
        <f>'Lokal-A'!$P$34/1000</f>
        <v>0</v>
      </c>
      <c r="I33" s="88">
        <f t="shared" si="11"/>
        <v>0</v>
      </c>
    </row>
    <row r="34">
      <c r="A34" s="70"/>
      <c r="B34" s="65"/>
      <c r="C34" s="83" t="s">
        <v>635</v>
      </c>
      <c r="D34" s="84" t="s">
        <v>631</v>
      </c>
      <c r="E34" s="88">
        <f>'Balin-A'!$Q$34/1000</f>
        <v>0</v>
      </c>
      <c r="F34" s="88">
        <f>'Kumai-A'!$Q$34/1000</f>
        <v>0</v>
      </c>
      <c r="G34" s="88">
        <f>'Sinta-A'!$Q$34/1000</f>
        <v>0</v>
      </c>
      <c r="H34" s="88">
        <f>'Lokal-A'!$Q$34/1000</f>
        <v>0</v>
      </c>
      <c r="I34" s="88">
        <f t="shared" si="11"/>
        <v>0</v>
      </c>
    </row>
    <row r="35" ht="7.5" customHeight="1">
      <c r="A35" s="70"/>
      <c r="B35" s="65"/>
      <c r="C35" s="86"/>
      <c r="D35" s="87"/>
      <c r="E35" s="88"/>
      <c r="F35" s="88"/>
      <c r="G35" s="88"/>
      <c r="H35" s="88"/>
      <c r="I35" s="88"/>
    </row>
    <row r="36">
      <c r="A36" s="70"/>
      <c r="B36" s="65"/>
      <c r="C36" s="83" t="s">
        <v>663</v>
      </c>
      <c r="D36" s="89" t="s">
        <v>590</v>
      </c>
      <c r="E36" s="90">
        <f t="shared" ref="E36:I36" si="12">IFERROR(E30/E31*100,0)</f>
        <v>0</v>
      </c>
      <c r="F36" s="90">
        <f t="shared" si="12"/>
        <v>0</v>
      </c>
      <c r="G36" s="90">
        <f t="shared" si="12"/>
        <v>0</v>
      </c>
      <c r="H36" s="90">
        <f t="shared" si="12"/>
        <v>0</v>
      </c>
      <c r="I36" s="90">
        <f t="shared" si="12"/>
        <v>0</v>
      </c>
    </row>
    <row r="37">
      <c r="A37" s="70"/>
      <c r="B37" s="65"/>
      <c r="C37" s="83" t="s">
        <v>664</v>
      </c>
      <c r="D37" s="89" t="s">
        <v>590</v>
      </c>
      <c r="E37" s="90">
        <f t="shared" ref="E37:I37" si="13">IFERROR(E30/E32*100,0)</f>
        <v>0</v>
      </c>
      <c r="F37" s="90">
        <f t="shared" si="13"/>
        <v>0</v>
      </c>
      <c r="G37" s="90">
        <f t="shared" si="13"/>
        <v>0</v>
      </c>
      <c r="H37" s="90">
        <f t="shared" si="13"/>
        <v>0</v>
      </c>
      <c r="I37" s="90">
        <f t="shared" si="13"/>
        <v>0</v>
      </c>
    </row>
    <row r="38">
      <c r="A38" s="70"/>
      <c r="B38" s="65"/>
      <c r="C38" s="83" t="s">
        <v>665</v>
      </c>
      <c r="D38" s="89" t="s">
        <v>590</v>
      </c>
      <c r="E38" s="90">
        <f t="shared" ref="E38:I38" si="14">IFERROR(E30/E33*100,0)</f>
        <v>0</v>
      </c>
      <c r="F38" s="90">
        <f t="shared" si="14"/>
        <v>0</v>
      </c>
      <c r="G38" s="90">
        <f t="shared" si="14"/>
        <v>0</v>
      </c>
      <c r="H38" s="90">
        <f t="shared" si="14"/>
        <v>0</v>
      </c>
      <c r="I38" s="90">
        <f t="shared" si="14"/>
        <v>0</v>
      </c>
    </row>
    <row r="39">
      <c r="A39" s="91"/>
      <c r="B39" s="92"/>
      <c r="C39" s="93" t="s">
        <v>666</v>
      </c>
      <c r="D39" s="94" t="s">
        <v>590</v>
      </c>
      <c r="E39" s="95">
        <f t="shared" ref="E39:I39" si="15">IFERROR(E30/E34*100,0)</f>
        <v>0</v>
      </c>
      <c r="F39" s="95">
        <f t="shared" si="15"/>
        <v>0</v>
      </c>
      <c r="G39" s="95">
        <f t="shared" si="15"/>
        <v>0</v>
      </c>
      <c r="H39" s="95">
        <f t="shared" si="15"/>
        <v>0</v>
      </c>
      <c r="I39" s="95">
        <f t="shared" si="15"/>
        <v>0</v>
      </c>
    </row>
    <row r="40" ht="3.75" customHeight="1">
      <c r="A40" s="96"/>
      <c r="B40" s="97"/>
      <c r="C40" s="97"/>
      <c r="D40" s="98"/>
      <c r="E40" s="99"/>
      <c r="F40" s="99"/>
      <c r="G40" s="99"/>
      <c r="H40" s="99"/>
      <c r="I40" s="99"/>
    </row>
    <row r="41">
      <c r="A41" s="81">
        <v>4.0</v>
      </c>
      <c r="B41" s="82" t="s">
        <v>642</v>
      </c>
      <c r="C41" s="100" t="s">
        <v>662</v>
      </c>
      <c r="D41" s="84" t="s">
        <v>631</v>
      </c>
      <c r="E41" s="67">
        <f>'Balin-A'!$N$45/1000</f>
        <v>293519.504</v>
      </c>
      <c r="F41" s="67">
        <f>'Kumai-A'!$N$45/1000</f>
        <v>0</v>
      </c>
      <c r="G41" s="67">
        <f>'Sinta-A'!$N$45/1000</f>
        <v>0</v>
      </c>
      <c r="H41" s="67">
        <f>'Lokal-A'!$N$45/1000</f>
        <v>0</v>
      </c>
      <c r="I41" s="67">
        <f t="shared" ref="I41:I45" si="16">sum(E41:H41)</f>
        <v>293519.504</v>
      </c>
    </row>
    <row r="42">
      <c r="A42" s="70"/>
      <c r="B42" s="65"/>
      <c r="C42" s="83" t="s">
        <v>632</v>
      </c>
      <c r="D42" s="84" t="s">
        <v>631</v>
      </c>
      <c r="E42" s="88">
        <f>'Balin-A'!$F$45/1000</f>
        <v>39005.879</v>
      </c>
      <c r="F42" s="88">
        <f>'Kumai-A'!$F$45/1000</f>
        <v>0</v>
      </c>
      <c r="G42" s="88">
        <f>'Sinta-A'!$F$45/1000</f>
        <v>0</v>
      </c>
      <c r="H42" s="88">
        <f>'Lokal-A'!$F$45/1000</f>
        <v>0</v>
      </c>
      <c r="I42" s="88">
        <f t="shared" si="16"/>
        <v>39005.879</v>
      </c>
    </row>
    <row r="43">
      <c r="A43" s="70"/>
      <c r="B43" s="65"/>
      <c r="C43" s="83" t="s">
        <v>633</v>
      </c>
      <c r="D43" s="84" t="s">
        <v>631</v>
      </c>
      <c r="E43" s="88">
        <f>'Balin-A'!$O$45/1000</f>
        <v>196256.004</v>
      </c>
      <c r="F43" s="88">
        <f>'Kumai-A'!$O$45/1000</f>
        <v>0</v>
      </c>
      <c r="G43" s="88">
        <f>'Sinta-A'!$O$45/1000</f>
        <v>134884</v>
      </c>
      <c r="H43" s="88">
        <f>'Lokal-A'!$O$45/1000</f>
        <v>0</v>
      </c>
      <c r="I43" s="88">
        <f t="shared" si="16"/>
        <v>331140.004</v>
      </c>
    </row>
    <row r="44">
      <c r="A44" s="70"/>
      <c r="B44" s="65"/>
      <c r="C44" s="83" t="s">
        <v>634</v>
      </c>
      <c r="D44" s="84" t="s">
        <v>631</v>
      </c>
      <c r="E44" s="88">
        <f>'Balin-A'!$P$45/1000</f>
        <v>479097.543</v>
      </c>
      <c r="F44" s="88">
        <f>'Kumai-A'!$P$45/1000</f>
        <v>0</v>
      </c>
      <c r="G44" s="88">
        <f>'Sinta-A'!$P$45/1000</f>
        <v>0</v>
      </c>
      <c r="H44" s="88">
        <f>'Lokal-A'!$P$45/1000</f>
        <v>0</v>
      </c>
      <c r="I44" s="88">
        <f t="shared" si="16"/>
        <v>479097.543</v>
      </c>
    </row>
    <row r="45">
      <c r="A45" s="70"/>
      <c r="B45" s="65"/>
      <c r="C45" s="83" t="s">
        <v>635</v>
      </c>
      <c r="D45" s="84" t="s">
        <v>631</v>
      </c>
      <c r="E45" s="88">
        <f>'Balin-A'!$Q$45/1000</f>
        <v>479097.543</v>
      </c>
      <c r="F45" s="88">
        <f>'Kumai-A'!$Q$45/1000</f>
        <v>0</v>
      </c>
      <c r="G45" s="88">
        <f>'Sinta-A'!$Q$45/1000</f>
        <v>0</v>
      </c>
      <c r="H45" s="88">
        <f>'Lokal-A'!$Q$45/1000</f>
        <v>0</v>
      </c>
      <c r="I45" s="88">
        <f t="shared" si="16"/>
        <v>479097.543</v>
      </c>
    </row>
    <row r="46" ht="7.5" customHeight="1">
      <c r="A46" s="70"/>
      <c r="B46" s="65"/>
      <c r="C46" s="86"/>
      <c r="D46" s="87"/>
      <c r="E46" s="88"/>
      <c r="F46" s="88"/>
      <c r="G46" s="88"/>
      <c r="H46" s="88"/>
      <c r="I46" s="88"/>
    </row>
    <row r="47">
      <c r="A47" s="70"/>
      <c r="B47" s="65"/>
      <c r="C47" s="83" t="s">
        <v>663</v>
      </c>
      <c r="D47" s="89" t="s">
        <v>590</v>
      </c>
      <c r="E47" s="90">
        <f t="shared" ref="E47:I47" si="17">IFERROR(E41/E42*100,0)</f>
        <v>752.5006782</v>
      </c>
      <c r="F47" s="90">
        <f t="shared" si="17"/>
        <v>0</v>
      </c>
      <c r="G47" s="90">
        <f t="shared" si="17"/>
        <v>0</v>
      </c>
      <c r="H47" s="90">
        <f t="shared" si="17"/>
        <v>0</v>
      </c>
      <c r="I47" s="90">
        <f t="shared" si="17"/>
        <v>752.5006782</v>
      </c>
    </row>
    <row r="48">
      <c r="A48" s="70"/>
      <c r="B48" s="65"/>
      <c r="C48" s="83" t="s">
        <v>664</v>
      </c>
      <c r="D48" s="89" t="s">
        <v>590</v>
      </c>
      <c r="E48" s="90">
        <f t="shared" ref="E48:I48" si="18">IFERROR(E41/E43*100,0)</f>
        <v>149.5595029</v>
      </c>
      <c r="F48" s="90">
        <f t="shared" si="18"/>
        <v>0</v>
      </c>
      <c r="G48" s="90">
        <f t="shared" si="18"/>
        <v>0</v>
      </c>
      <c r="H48" s="90">
        <f t="shared" si="18"/>
        <v>0</v>
      </c>
      <c r="I48" s="90">
        <f t="shared" si="18"/>
        <v>88.63909538</v>
      </c>
    </row>
    <row r="49">
      <c r="A49" s="70"/>
      <c r="B49" s="65"/>
      <c r="C49" s="83" t="s">
        <v>665</v>
      </c>
      <c r="D49" s="89" t="s">
        <v>590</v>
      </c>
      <c r="E49" s="90">
        <f t="shared" ref="E49:I49" si="19">IFERROR(E41/E44*100,0)</f>
        <v>61.2650823</v>
      </c>
      <c r="F49" s="90">
        <f t="shared" si="19"/>
        <v>0</v>
      </c>
      <c r="G49" s="90">
        <f t="shared" si="19"/>
        <v>0</v>
      </c>
      <c r="H49" s="90">
        <f t="shared" si="19"/>
        <v>0</v>
      </c>
      <c r="I49" s="90">
        <f t="shared" si="19"/>
        <v>61.2650823</v>
      </c>
    </row>
    <row r="50">
      <c r="A50" s="91"/>
      <c r="B50" s="92"/>
      <c r="C50" s="93" t="s">
        <v>666</v>
      </c>
      <c r="D50" s="94" t="s">
        <v>590</v>
      </c>
      <c r="E50" s="95">
        <f t="shared" ref="E50:I50" si="20">IFERROR(E41/E45*100,0)</f>
        <v>61.2650823</v>
      </c>
      <c r="F50" s="95">
        <f t="shared" si="20"/>
        <v>0</v>
      </c>
      <c r="G50" s="95">
        <f t="shared" si="20"/>
        <v>0</v>
      </c>
      <c r="H50" s="95">
        <f t="shared" si="20"/>
        <v>0</v>
      </c>
      <c r="I50" s="95">
        <f t="shared" si="20"/>
        <v>61.2650823</v>
      </c>
    </row>
    <row r="51" ht="3.75" customHeight="1">
      <c r="A51" s="96"/>
      <c r="B51" s="97"/>
      <c r="C51" s="97"/>
      <c r="D51" s="98"/>
      <c r="E51" s="99"/>
      <c r="F51" s="99"/>
      <c r="G51" s="99"/>
      <c r="H51" s="99"/>
      <c r="I51" s="99"/>
    </row>
    <row r="52">
      <c r="A52" s="81">
        <v>5.0</v>
      </c>
      <c r="B52" s="82" t="s">
        <v>643</v>
      </c>
      <c r="C52" s="100" t="s">
        <v>662</v>
      </c>
      <c r="D52" s="84" t="s">
        <v>631</v>
      </c>
      <c r="E52" s="67">
        <f>'Balin-A'!$N$58/1000</f>
        <v>16103.158</v>
      </c>
      <c r="F52" s="67">
        <f>'Kumai-A'!$N$58/1000</f>
        <v>0</v>
      </c>
      <c r="G52" s="67">
        <f>'Sinta-A'!$N$58/1000</f>
        <v>0</v>
      </c>
      <c r="H52" s="67">
        <f>'Lokal-A'!$N$58/1000</f>
        <v>0</v>
      </c>
      <c r="I52" s="67">
        <f t="shared" ref="I52:I56" si="21">sum(E52:H52)</f>
        <v>16103.158</v>
      </c>
    </row>
    <row r="53">
      <c r="A53" s="70"/>
      <c r="B53" s="65"/>
      <c r="C53" s="83" t="s">
        <v>632</v>
      </c>
      <c r="D53" s="84" t="s">
        <v>631</v>
      </c>
      <c r="E53" s="88">
        <f>'Balin-A'!$F$58/1000</f>
        <v>2900.301</v>
      </c>
      <c r="F53" s="88">
        <f>'Kumai-A'!$F$58/1000</f>
        <v>0</v>
      </c>
      <c r="G53" s="88">
        <f>'Sinta-A'!$F$58/1000</f>
        <v>0</v>
      </c>
      <c r="H53" s="88">
        <f>'Lokal-A'!$F$58/1000</f>
        <v>0</v>
      </c>
      <c r="I53" s="88">
        <f t="shared" si="21"/>
        <v>2900.301</v>
      </c>
    </row>
    <row r="54">
      <c r="A54" s="70"/>
      <c r="B54" s="65"/>
      <c r="C54" s="83" t="s">
        <v>633</v>
      </c>
      <c r="D54" s="84" t="s">
        <v>631</v>
      </c>
      <c r="E54" s="88">
        <f>'Balin-A'!$O$58/1000</f>
        <v>35778.097</v>
      </c>
      <c r="F54" s="88">
        <f>'Kumai-A'!$O$58/1000</f>
        <v>0</v>
      </c>
      <c r="G54" s="88">
        <f>'Sinta-A'!$O$58/1000</f>
        <v>0</v>
      </c>
      <c r="H54" s="88">
        <f>'Lokal-A'!$O$58/1000</f>
        <v>0</v>
      </c>
      <c r="I54" s="88">
        <f t="shared" si="21"/>
        <v>35778.097</v>
      </c>
    </row>
    <row r="55">
      <c r="A55" s="70"/>
      <c r="B55" s="65"/>
      <c r="C55" s="83" t="s">
        <v>634</v>
      </c>
      <c r="D55" s="84" t="s">
        <v>631</v>
      </c>
      <c r="E55" s="88">
        <f>'Balin-A'!$P$58/1000</f>
        <v>0</v>
      </c>
      <c r="F55" s="88">
        <f>'Kumai-A'!$P$58/1000</f>
        <v>0</v>
      </c>
      <c r="G55" s="88">
        <f>'Sinta-A'!$P$58/1000</f>
        <v>0</v>
      </c>
      <c r="H55" s="88">
        <f>'Lokal-A'!$P$58/1000</f>
        <v>0</v>
      </c>
      <c r="I55" s="88">
        <f t="shared" si="21"/>
        <v>0</v>
      </c>
    </row>
    <row r="56">
      <c r="A56" s="70"/>
      <c r="B56" s="65"/>
      <c r="C56" s="83" t="s">
        <v>635</v>
      </c>
      <c r="D56" s="84" t="s">
        <v>631</v>
      </c>
      <c r="E56" s="88">
        <f>'Balin-A'!$Q$58/1000</f>
        <v>0</v>
      </c>
      <c r="F56" s="88">
        <f>'Kumai-A'!$Q$58/1000</f>
        <v>0</v>
      </c>
      <c r="G56" s="88">
        <f>'Sinta-A'!$Q$58/1000</f>
        <v>0</v>
      </c>
      <c r="H56" s="88">
        <f>'Lokal-A'!$Q$58/1000</f>
        <v>0</v>
      </c>
      <c r="I56" s="88">
        <f t="shared" si="21"/>
        <v>0</v>
      </c>
    </row>
    <row r="57" ht="7.5" customHeight="1">
      <c r="A57" s="70"/>
      <c r="B57" s="65"/>
      <c r="C57" s="86"/>
      <c r="D57" s="87"/>
      <c r="E57" s="88"/>
      <c r="F57" s="88"/>
      <c r="G57" s="88"/>
      <c r="H57" s="88"/>
      <c r="I57" s="88"/>
    </row>
    <row r="58">
      <c r="A58" s="70"/>
      <c r="B58" s="65"/>
      <c r="C58" s="83" t="s">
        <v>663</v>
      </c>
      <c r="D58" s="89" t="s">
        <v>590</v>
      </c>
      <c r="E58" s="90">
        <f t="shared" ref="E58:I58" si="22">IFERROR(E52/E53*100,0)</f>
        <v>555.223682</v>
      </c>
      <c r="F58" s="90">
        <f t="shared" si="22"/>
        <v>0</v>
      </c>
      <c r="G58" s="90">
        <f t="shared" si="22"/>
        <v>0</v>
      </c>
      <c r="H58" s="90">
        <f t="shared" si="22"/>
        <v>0</v>
      </c>
      <c r="I58" s="90">
        <f t="shared" si="22"/>
        <v>555.223682</v>
      </c>
    </row>
    <row r="59">
      <c r="A59" s="70"/>
      <c r="B59" s="65"/>
      <c r="C59" s="83" t="s">
        <v>664</v>
      </c>
      <c r="D59" s="89" t="s">
        <v>590</v>
      </c>
      <c r="E59" s="90">
        <f t="shared" ref="E59:I59" si="23">IFERROR(E52/E54*100,0)</f>
        <v>45.00842513</v>
      </c>
      <c r="F59" s="90">
        <f t="shared" si="23"/>
        <v>0</v>
      </c>
      <c r="G59" s="90">
        <f t="shared" si="23"/>
        <v>0</v>
      </c>
      <c r="H59" s="90">
        <f t="shared" si="23"/>
        <v>0</v>
      </c>
      <c r="I59" s="90">
        <f t="shared" si="23"/>
        <v>45.00842513</v>
      </c>
    </row>
    <row r="60">
      <c r="A60" s="70"/>
      <c r="B60" s="65"/>
      <c r="C60" s="83" t="s">
        <v>665</v>
      </c>
      <c r="D60" s="89" t="s">
        <v>590</v>
      </c>
      <c r="E60" s="90">
        <f t="shared" ref="E60:I60" si="24">IFERROR(E52/E55*100,0)</f>
        <v>0</v>
      </c>
      <c r="F60" s="90">
        <f t="shared" si="24"/>
        <v>0</v>
      </c>
      <c r="G60" s="90">
        <f t="shared" si="24"/>
        <v>0</v>
      </c>
      <c r="H60" s="90">
        <f t="shared" si="24"/>
        <v>0</v>
      </c>
      <c r="I60" s="90">
        <f t="shared" si="24"/>
        <v>0</v>
      </c>
    </row>
    <row r="61">
      <c r="A61" s="91"/>
      <c r="B61" s="92"/>
      <c r="C61" s="93" t="s">
        <v>666</v>
      </c>
      <c r="D61" s="94" t="s">
        <v>590</v>
      </c>
      <c r="E61" s="95">
        <f t="shared" ref="E61:I61" si="25">IFERROR(E52/E56*100,0)</f>
        <v>0</v>
      </c>
      <c r="F61" s="95">
        <f t="shared" si="25"/>
        <v>0</v>
      </c>
      <c r="G61" s="95">
        <f t="shared" si="25"/>
        <v>0</v>
      </c>
      <c r="H61" s="95">
        <f t="shared" si="25"/>
        <v>0</v>
      </c>
      <c r="I61" s="95">
        <f t="shared" si="25"/>
        <v>0</v>
      </c>
    </row>
    <row r="62" ht="3.75" customHeight="1">
      <c r="A62" s="96"/>
      <c r="B62" s="97"/>
      <c r="C62" s="97"/>
      <c r="D62" s="98"/>
      <c r="E62" s="99"/>
      <c r="F62" s="99"/>
      <c r="G62" s="99"/>
      <c r="H62" s="99"/>
      <c r="I62" s="99"/>
    </row>
    <row r="63">
      <c r="A63" s="81">
        <v>6.0</v>
      </c>
      <c r="B63" s="82" t="s">
        <v>644</v>
      </c>
      <c r="C63" s="100" t="s">
        <v>662</v>
      </c>
      <c r="D63" s="84" t="s">
        <v>631</v>
      </c>
      <c r="E63" s="67">
        <f>'Balin-A'!$N$64/1000</f>
        <v>0</v>
      </c>
      <c r="F63" s="67">
        <f>'Kumai-A'!$N$64/1000</f>
        <v>0</v>
      </c>
      <c r="G63" s="67">
        <f>'Sinta-A'!$N$64/1000</f>
        <v>0</v>
      </c>
      <c r="H63" s="67">
        <f>'Lokal-A'!$N$64/1000</f>
        <v>0</v>
      </c>
      <c r="I63" s="67">
        <f t="shared" ref="I63:I67" si="26">sum(E63:H63)</f>
        <v>0</v>
      </c>
    </row>
    <row r="64">
      <c r="A64" s="70"/>
      <c r="B64" s="65"/>
      <c r="C64" s="83" t="s">
        <v>632</v>
      </c>
      <c r="D64" s="84" t="s">
        <v>631</v>
      </c>
      <c r="E64" s="88">
        <f>'Balin-A'!$F$64/1000</f>
        <v>0</v>
      </c>
      <c r="F64" s="88">
        <f>'Kumai-A'!$F$64/1000</f>
        <v>0</v>
      </c>
      <c r="G64" s="88">
        <f>'Sinta-A'!$F$64/1000</f>
        <v>0</v>
      </c>
      <c r="H64" s="88">
        <f>'Lokal-A'!$F$64/1000</f>
        <v>0</v>
      </c>
      <c r="I64" s="88">
        <f t="shared" si="26"/>
        <v>0</v>
      </c>
    </row>
    <row r="65">
      <c r="A65" s="70"/>
      <c r="B65" s="65"/>
      <c r="C65" s="83" t="s">
        <v>633</v>
      </c>
      <c r="D65" s="84" t="s">
        <v>631</v>
      </c>
      <c r="E65" s="88">
        <f>'Balin-A'!$O$64/1000</f>
        <v>0</v>
      </c>
      <c r="F65" s="88">
        <f>'Kumai-A'!$O$64/1000</f>
        <v>0</v>
      </c>
      <c r="G65" s="88">
        <f>'Sinta-A'!$O$64/1000</f>
        <v>0</v>
      </c>
      <c r="H65" s="88">
        <f>'Lokal-A'!$O$64/1000</f>
        <v>0</v>
      </c>
      <c r="I65" s="88">
        <f t="shared" si="26"/>
        <v>0</v>
      </c>
    </row>
    <row r="66">
      <c r="A66" s="70"/>
      <c r="B66" s="65"/>
      <c r="C66" s="83" t="s">
        <v>634</v>
      </c>
      <c r="D66" s="84" t="s">
        <v>631</v>
      </c>
      <c r="E66" s="88">
        <f>'Balin-A'!$P$64/1000</f>
        <v>0</v>
      </c>
      <c r="F66" s="88">
        <f>'Kumai-A'!$P$64/1000</f>
        <v>0</v>
      </c>
      <c r="G66" s="88">
        <f>'Sinta-A'!$P$64/1000</f>
        <v>0</v>
      </c>
      <c r="H66" s="88">
        <f>'Lokal-A'!$P$64/1000</f>
        <v>0</v>
      </c>
      <c r="I66" s="88">
        <f t="shared" si="26"/>
        <v>0</v>
      </c>
    </row>
    <row r="67">
      <c r="A67" s="70"/>
      <c r="B67" s="65"/>
      <c r="C67" s="83" t="s">
        <v>635</v>
      </c>
      <c r="D67" s="84" t="s">
        <v>631</v>
      </c>
      <c r="E67" s="88">
        <f>'Balin-A'!$Q$64/1000</f>
        <v>0</v>
      </c>
      <c r="F67" s="88">
        <f>'Kumai-A'!$Q$64/1000</f>
        <v>0</v>
      </c>
      <c r="G67" s="88">
        <f>'Sinta-A'!$Q$64/1000</f>
        <v>0</v>
      </c>
      <c r="H67" s="88">
        <f>'Lokal-A'!$Q$64/1000</f>
        <v>0</v>
      </c>
      <c r="I67" s="88">
        <f t="shared" si="26"/>
        <v>0</v>
      </c>
    </row>
    <row r="68" ht="7.5" customHeight="1">
      <c r="A68" s="70"/>
      <c r="B68" s="65"/>
      <c r="C68" s="86"/>
      <c r="D68" s="87"/>
      <c r="E68" s="88"/>
      <c r="F68" s="88"/>
      <c r="G68" s="88"/>
      <c r="H68" s="88"/>
      <c r="I68" s="88"/>
    </row>
    <row r="69">
      <c r="A69" s="70"/>
      <c r="B69" s="65"/>
      <c r="C69" s="83" t="s">
        <v>663</v>
      </c>
      <c r="D69" s="89" t="s">
        <v>590</v>
      </c>
      <c r="E69" s="90">
        <f t="shared" ref="E69:I69" si="27">IFERROR(E63/E64*100,0)</f>
        <v>0</v>
      </c>
      <c r="F69" s="90">
        <f t="shared" si="27"/>
        <v>0</v>
      </c>
      <c r="G69" s="90">
        <f t="shared" si="27"/>
        <v>0</v>
      </c>
      <c r="H69" s="90">
        <f t="shared" si="27"/>
        <v>0</v>
      </c>
      <c r="I69" s="90">
        <f t="shared" si="27"/>
        <v>0</v>
      </c>
    </row>
    <row r="70">
      <c r="A70" s="70"/>
      <c r="B70" s="65"/>
      <c r="C70" s="83" t="s">
        <v>664</v>
      </c>
      <c r="D70" s="89" t="s">
        <v>590</v>
      </c>
      <c r="E70" s="90">
        <f t="shared" ref="E70:I70" si="28">IFERROR(E63/E65*100,0)</f>
        <v>0</v>
      </c>
      <c r="F70" s="90">
        <f t="shared" si="28"/>
        <v>0</v>
      </c>
      <c r="G70" s="90">
        <f t="shared" si="28"/>
        <v>0</v>
      </c>
      <c r="H70" s="90">
        <f t="shared" si="28"/>
        <v>0</v>
      </c>
      <c r="I70" s="90">
        <f t="shared" si="28"/>
        <v>0</v>
      </c>
    </row>
    <row r="71">
      <c r="A71" s="70"/>
      <c r="B71" s="65"/>
      <c r="C71" s="83" t="s">
        <v>665</v>
      </c>
      <c r="D71" s="89" t="s">
        <v>590</v>
      </c>
      <c r="E71" s="90">
        <f t="shared" ref="E71:I71" si="29">IFERROR(E63/E66*100,0)</f>
        <v>0</v>
      </c>
      <c r="F71" s="90">
        <f t="shared" si="29"/>
        <v>0</v>
      </c>
      <c r="G71" s="90">
        <f t="shared" si="29"/>
        <v>0</v>
      </c>
      <c r="H71" s="90">
        <f t="shared" si="29"/>
        <v>0</v>
      </c>
      <c r="I71" s="90">
        <f t="shared" si="29"/>
        <v>0</v>
      </c>
    </row>
    <row r="72">
      <c r="A72" s="91"/>
      <c r="B72" s="92"/>
      <c r="C72" s="93" t="s">
        <v>666</v>
      </c>
      <c r="D72" s="94" t="s">
        <v>590</v>
      </c>
      <c r="E72" s="95">
        <f t="shared" ref="E72:I72" si="30">IFERROR(E63/E67*100,0)</f>
        <v>0</v>
      </c>
      <c r="F72" s="95">
        <f t="shared" si="30"/>
        <v>0</v>
      </c>
      <c r="G72" s="95">
        <f t="shared" si="30"/>
        <v>0</v>
      </c>
      <c r="H72" s="95">
        <f t="shared" si="30"/>
        <v>0</v>
      </c>
      <c r="I72" s="95">
        <f t="shared" si="30"/>
        <v>0</v>
      </c>
    </row>
    <row r="73" ht="3.75" customHeight="1">
      <c r="A73" s="96"/>
      <c r="B73" s="97"/>
      <c r="C73" s="97"/>
      <c r="D73" s="98"/>
      <c r="E73" s="99"/>
      <c r="F73" s="99"/>
      <c r="G73" s="99"/>
      <c r="H73" s="99"/>
      <c r="I73" s="99"/>
    </row>
    <row r="74">
      <c r="A74" s="81">
        <v>7.0</v>
      </c>
      <c r="B74" s="82" t="s">
        <v>645</v>
      </c>
      <c r="C74" s="100" t="s">
        <v>662</v>
      </c>
      <c r="D74" s="84" t="s">
        <v>631</v>
      </c>
      <c r="E74" s="67">
        <f>'Balin-A'!$N$69/1000</f>
        <v>0</v>
      </c>
      <c r="F74" s="67">
        <f>'Kumai-A'!$N$69/1000</f>
        <v>0</v>
      </c>
      <c r="G74" s="67">
        <f>'Sinta-A'!$N$69/1000</f>
        <v>0</v>
      </c>
      <c r="H74" s="67">
        <f>'Lokal-A'!$N$69/1000</f>
        <v>0</v>
      </c>
      <c r="I74" s="67">
        <f t="shared" ref="I74:I78" si="31">sum(E74:H74)</f>
        <v>0</v>
      </c>
    </row>
    <row r="75">
      <c r="A75" s="70"/>
      <c r="B75" s="65"/>
      <c r="C75" s="83" t="s">
        <v>632</v>
      </c>
      <c r="D75" s="84" t="s">
        <v>631</v>
      </c>
      <c r="E75" s="88">
        <f>'Balin-A'!$F$69/1000</f>
        <v>0</v>
      </c>
      <c r="F75" s="88">
        <f>'Kumai-A'!$F$69/1000</f>
        <v>0</v>
      </c>
      <c r="G75" s="88">
        <f>'Sinta-A'!$F$69/1000</f>
        <v>0</v>
      </c>
      <c r="H75" s="88">
        <f>'Lokal-A'!$F$69/1000</f>
        <v>0</v>
      </c>
      <c r="I75" s="88">
        <f t="shared" si="31"/>
        <v>0</v>
      </c>
    </row>
    <row r="76">
      <c r="A76" s="70"/>
      <c r="B76" s="65"/>
      <c r="C76" s="83" t="s">
        <v>633</v>
      </c>
      <c r="D76" s="84" t="s">
        <v>631</v>
      </c>
      <c r="E76" s="88">
        <f>'Balin-A'!$O$69/1000</f>
        <v>0</v>
      </c>
      <c r="F76" s="88">
        <f>'Kumai-A'!$O$69/1000</f>
        <v>0</v>
      </c>
      <c r="G76" s="88">
        <f>'Sinta-A'!$O$69/1000</f>
        <v>0</v>
      </c>
      <c r="H76" s="88">
        <f>'Lokal-A'!$O$69/1000</f>
        <v>0</v>
      </c>
      <c r="I76" s="88">
        <f t="shared" si="31"/>
        <v>0</v>
      </c>
    </row>
    <row r="77">
      <c r="A77" s="70"/>
      <c r="B77" s="65"/>
      <c r="C77" s="83" t="s">
        <v>634</v>
      </c>
      <c r="D77" s="84" t="s">
        <v>631</v>
      </c>
      <c r="E77" s="88">
        <f>'Balin-A'!$P$69/1000</f>
        <v>0</v>
      </c>
      <c r="F77" s="88">
        <f>'Kumai-A'!$P$69/1000</f>
        <v>0</v>
      </c>
      <c r="G77" s="88">
        <f>'Sinta-A'!$P$69/1000</f>
        <v>0</v>
      </c>
      <c r="H77" s="88">
        <f>'Lokal-A'!$P$69/1000</f>
        <v>0</v>
      </c>
      <c r="I77" s="88">
        <f t="shared" si="31"/>
        <v>0</v>
      </c>
    </row>
    <row r="78">
      <c r="A78" s="70"/>
      <c r="B78" s="65"/>
      <c r="C78" s="83" t="s">
        <v>635</v>
      </c>
      <c r="D78" s="84" t="s">
        <v>631</v>
      </c>
      <c r="E78" s="88">
        <f>'Balin-A'!$Q$69/1000</f>
        <v>0</v>
      </c>
      <c r="F78" s="88">
        <f>'Kumai-A'!$Q$69/1000</f>
        <v>0</v>
      </c>
      <c r="G78" s="88">
        <f>'Sinta-A'!$Q$69/1000</f>
        <v>0</v>
      </c>
      <c r="H78" s="88">
        <f>'Lokal-A'!$Q$69/1000</f>
        <v>0</v>
      </c>
      <c r="I78" s="88">
        <f t="shared" si="31"/>
        <v>0</v>
      </c>
    </row>
    <row r="79" ht="7.5" customHeight="1">
      <c r="A79" s="70"/>
      <c r="B79" s="65"/>
      <c r="C79" s="86"/>
      <c r="D79" s="87"/>
      <c r="E79" s="88"/>
      <c r="F79" s="88"/>
      <c r="G79" s="88"/>
      <c r="H79" s="88"/>
      <c r="I79" s="88"/>
    </row>
    <row r="80">
      <c r="A80" s="70"/>
      <c r="B80" s="65"/>
      <c r="C80" s="83" t="s">
        <v>663</v>
      </c>
      <c r="D80" s="89" t="s">
        <v>590</v>
      </c>
      <c r="E80" s="90">
        <f t="shared" ref="E80:I80" si="32">IFERROR(E74/E75*100,0)</f>
        <v>0</v>
      </c>
      <c r="F80" s="90">
        <f t="shared" si="32"/>
        <v>0</v>
      </c>
      <c r="G80" s="90">
        <f t="shared" si="32"/>
        <v>0</v>
      </c>
      <c r="H80" s="90">
        <f t="shared" si="32"/>
        <v>0</v>
      </c>
      <c r="I80" s="90">
        <f t="shared" si="32"/>
        <v>0</v>
      </c>
    </row>
    <row r="81">
      <c r="A81" s="70"/>
      <c r="B81" s="65"/>
      <c r="C81" s="83" t="s">
        <v>664</v>
      </c>
      <c r="D81" s="89" t="s">
        <v>590</v>
      </c>
      <c r="E81" s="90">
        <f t="shared" ref="E81:I81" si="33">IFERROR(E74/E76*100,0)</f>
        <v>0</v>
      </c>
      <c r="F81" s="90">
        <f t="shared" si="33"/>
        <v>0</v>
      </c>
      <c r="G81" s="90">
        <f t="shared" si="33"/>
        <v>0</v>
      </c>
      <c r="H81" s="90">
        <f t="shared" si="33"/>
        <v>0</v>
      </c>
      <c r="I81" s="90">
        <f t="shared" si="33"/>
        <v>0</v>
      </c>
    </row>
    <row r="82">
      <c r="A82" s="70"/>
      <c r="B82" s="65"/>
      <c r="C82" s="83" t="s">
        <v>665</v>
      </c>
      <c r="D82" s="89" t="s">
        <v>590</v>
      </c>
      <c r="E82" s="90">
        <f t="shared" ref="E82:I82" si="34">IFERROR(E74/E77*100,0)</f>
        <v>0</v>
      </c>
      <c r="F82" s="90">
        <f t="shared" si="34"/>
        <v>0</v>
      </c>
      <c r="G82" s="90">
        <f t="shared" si="34"/>
        <v>0</v>
      </c>
      <c r="H82" s="90">
        <f t="shared" si="34"/>
        <v>0</v>
      </c>
      <c r="I82" s="90">
        <f t="shared" si="34"/>
        <v>0</v>
      </c>
    </row>
    <row r="83">
      <c r="A83" s="91"/>
      <c r="B83" s="92"/>
      <c r="C83" s="93" t="s">
        <v>666</v>
      </c>
      <c r="D83" s="94" t="s">
        <v>590</v>
      </c>
      <c r="E83" s="95">
        <f t="shared" ref="E83:I83" si="35">IFERROR(E74/E78*100,0)</f>
        <v>0</v>
      </c>
      <c r="F83" s="95">
        <f t="shared" si="35"/>
        <v>0</v>
      </c>
      <c r="G83" s="95">
        <f t="shared" si="35"/>
        <v>0</v>
      </c>
      <c r="H83" s="95">
        <f t="shared" si="35"/>
        <v>0</v>
      </c>
      <c r="I83" s="95">
        <f t="shared" si="35"/>
        <v>0</v>
      </c>
    </row>
    <row r="84" ht="3.75" customHeight="1">
      <c r="A84" s="96"/>
      <c r="B84" s="97"/>
      <c r="C84" s="97"/>
      <c r="D84" s="98"/>
      <c r="E84" s="99"/>
      <c r="F84" s="99"/>
      <c r="G84" s="99"/>
      <c r="H84" s="99"/>
      <c r="I84" s="99"/>
    </row>
    <row r="85">
      <c r="A85" s="81">
        <v>8.0</v>
      </c>
      <c r="B85" s="82" t="s">
        <v>646</v>
      </c>
      <c r="C85" s="100" t="s">
        <v>662</v>
      </c>
      <c r="D85" s="84" t="s">
        <v>631</v>
      </c>
      <c r="E85" s="67">
        <f>'Balin-A'!$N$73/1000</f>
        <v>0</v>
      </c>
      <c r="F85" s="67">
        <f>'Kumai-A'!$N$73/1000</f>
        <v>0</v>
      </c>
      <c r="G85" s="67">
        <f>'Sinta-A'!$N$73/1000</f>
        <v>0</v>
      </c>
      <c r="H85" s="67">
        <f>'Lokal-A'!$N$73/1000</f>
        <v>0</v>
      </c>
      <c r="I85" s="67">
        <f t="shared" ref="I85:I89" si="36">sum(E85:H85)</f>
        <v>0</v>
      </c>
    </row>
    <row r="86">
      <c r="A86" s="70"/>
      <c r="B86" s="65"/>
      <c r="C86" s="83" t="s">
        <v>632</v>
      </c>
      <c r="D86" s="84" t="s">
        <v>631</v>
      </c>
      <c r="E86" s="88">
        <f>'Balin-A'!$F$73/1000</f>
        <v>0</v>
      </c>
      <c r="F86" s="88">
        <f>'Kumai-A'!$F$73/1000</f>
        <v>0</v>
      </c>
      <c r="G86" s="88">
        <f>'Sinta-A'!$F$73/1000</f>
        <v>0</v>
      </c>
      <c r="H86" s="88">
        <f>'Lokal-A'!$F$73/1000</f>
        <v>0</v>
      </c>
      <c r="I86" s="88">
        <f t="shared" si="36"/>
        <v>0</v>
      </c>
    </row>
    <row r="87">
      <c r="A87" s="70"/>
      <c r="B87" s="65"/>
      <c r="C87" s="83" t="s">
        <v>633</v>
      </c>
      <c r="D87" s="84" t="s">
        <v>631</v>
      </c>
      <c r="E87" s="88">
        <f>'Balin-A'!$O$73/1000</f>
        <v>0</v>
      </c>
      <c r="F87" s="88">
        <f>'Kumai-A'!$O$73/1000</f>
        <v>0</v>
      </c>
      <c r="G87" s="88">
        <f>'Sinta-A'!$O$73/1000</f>
        <v>0</v>
      </c>
      <c r="H87" s="88">
        <f>'Lokal-A'!$O$73/1000</f>
        <v>0</v>
      </c>
      <c r="I87" s="88">
        <f t="shared" si="36"/>
        <v>0</v>
      </c>
    </row>
    <row r="88">
      <c r="A88" s="70"/>
      <c r="B88" s="65"/>
      <c r="C88" s="83" t="s">
        <v>634</v>
      </c>
      <c r="D88" s="84" t="s">
        <v>631</v>
      </c>
      <c r="E88" s="88">
        <f>'Balin-A'!$P$73/1000</f>
        <v>0</v>
      </c>
      <c r="F88" s="88">
        <f>'Kumai-A'!$P$73/1000</f>
        <v>0</v>
      </c>
      <c r="G88" s="88">
        <f>'Sinta-A'!$P$73/1000</f>
        <v>0</v>
      </c>
      <c r="H88" s="88">
        <f>'Lokal-A'!$P$73/1000</f>
        <v>0</v>
      </c>
      <c r="I88" s="88">
        <f t="shared" si="36"/>
        <v>0</v>
      </c>
    </row>
    <row r="89">
      <c r="A89" s="70"/>
      <c r="B89" s="65"/>
      <c r="C89" s="83" t="s">
        <v>635</v>
      </c>
      <c r="D89" s="84" t="s">
        <v>631</v>
      </c>
      <c r="E89" s="88">
        <f>'Balin-A'!$Q$73/1000</f>
        <v>0</v>
      </c>
      <c r="F89" s="88">
        <f>'Kumai-A'!$Q$73/1000</f>
        <v>0</v>
      </c>
      <c r="G89" s="88">
        <f>'Sinta-A'!$Q$73/1000</f>
        <v>0</v>
      </c>
      <c r="H89" s="88">
        <f>'Lokal-A'!$Q$73/1000</f>
        <v>0</v>
      </c>
      <c r="I89" s="88">
        <f t="shared" si="36"/>
        <v>0</v>
      </c>
    </row>
    <row r="90" ht="7.5" customHeight="1">
      <c r="A90" s="70"/>
      <c r="B90" s="65"/>
      <c r="C90" s="86"/>
      <c r="D90" s="87"/>
      <c r="E90" s="88"/>
      <c r="F90" s="88"/>
      <c r="G90" s="88"/>
      <c r="H90" s="88"/>
      <c r="I90" s="88"/>
    </row>
    <row r="91">
      <c r="A91" s="70"/>
      <c r="B91" s="65"/>
      <c r="C91" s="83" t="s">
        <v>663</v>
      </c>
      <c r="D91" s="89" t="s">
        <v>590</v>
      </c>
      <c r="E91" s="90">
        <f t="shared" ref="E91:I91" si="37">IFERROR(E85/E86*100,0)</f>
        <v>0</v>
      </c>
      <c r="F91" s="90">
        <f t="shared" si="37"/>
        <v>0</v>
      </c>
      <c r="G91" s="90">
        <f t="shared" si="37"/>
        <v>0</v>
      </c>
      <c r="H91" s="90">
        <f t="shared" si="37"/>
        <v>0</v>
      </c>
      <c r="I91" s="90">
        <f t="shared" si="37"/>
        <v>0</v>
      </c>
    </row>
    <row r="92">
      <c r="A92" s="70"/>
      <c r="B92" s="65"/>
      <c r="C92" s="83" t="s">
        <v>664</v>
      </c>
      <c r="D92" s="89" t="s">
        <v>590</v>
      </c>
      <c r="E92" s="90">
        <f t="shared" ref="E92:I92" si="38">IFERROR(E85/E87*100,0)</f>
        <v>0</v>
      </c>
      <c r="F92" s="90">
        <f t="shared" si="38"/>
        <v>0</v>
      </c>
      <c r="G92" s="90">
        <f t="shared" si="38"/>
        <v>0</v>
      </c>
      <c r="H92" s="90">
        <f t="shared" si="38"/>
        <v>0</v>
      </c>
      <c r="I92" s="90">
        <f t="shared" si="38"/>
        <v>0</v>
      </c>
    </row>
    <row r="93">
      <c r="A93" s="70"/>
      <c r="B93" s="65"/>
      <c r="C93" s="83" t="s">
        <v>665</v>
      </c>
      <c r="D93" s="89" t="s">
        <v>590</v>
      </c>
      <c r="E93" s="90">
        <f t="shared" ref="E93:I93" si="39">IFERROR(E85/E88*100,0)</f>
        <v>0</v>
      </c>
      <c r="F93" s="90">
        <f t="shared" si="39"/>
        <v>0</v>
      </c>
      <c r="G93" s="90">
        <f t="shared" si="39"/>
        <v>0</v>
      </c>
      <c r="H93" s="90">
        <f t="shared" si="39"/>
        <v>0</v>
      </c>
      <c r="I93" s="90">
        <f t="shared" si="39"/>
        <v>0</v>
      </c>
    </row>
    <row r="94">
      <c r="A94" s="91"/>
      <c r="B94" s="92"/>
      <c r="C94" s="93" t="s">
        <v>666</v>
      </c>
      <c r="D94" s="94" t="s">
        <v>590</v>
      </c>
      <c r="E94" s="95">
        <f t="shared" ref="E94:I94" si="40">IFERROR(E85/E89*100,0)</f>
        <v>0</v>
      </c>
      <c r="F94" s="95">
        <f t="shared" si="40"/>
        <v>0</v>
      </c>
      <c r="G94" s="95">
        <f t="shared" si="40"/>
        <v>0</v>
      </c>
      <c r="H94" s="95">
        <f t="shared" si="40"/>
        <v>0</v>
      </c>
      <c r="I94" s="95">
        <f t="shared" si="40"/>
        <v>0</v>
      </c>
    </row>
    <row r="95" ht="3.75" customHeight="1">
      <c r="A95" s="96"/>
      <c r="B95" s="97"/>
      <c r="C95" s="97"/>
      <c r="D95" s="98"/>
      <c r="E95" s="99"/>
      <c r="F95" s="99"/>
      <c r="G95" s="99"/>
      <c r="H95" s="99"/>
      <c r="I95" s="99"/>
    </row>
    <row r="96">
      <c r="A96" s="81">
        <v>9.0</v>
      </c>
      <c r="B96" s="82" t="s">
        <v>647</v>
      </c>
      <c r="C96" s="100" t="s">
        <v>662</v>
      </c>
      <c r="D96" s="84" t="s">
        <v>631</v>
      </c>
      <c r="E96" s="67">
        <f>'Balin-A'!$N$76/1000</f>
        <v>0</v>
      </c>
      <c r="F96" s="67">
        <f>'Kumai-A'!$N$76/1000</f>
        <v>0</v>
      </c>
      <c r="G96" s="67">
        <f>'Sinta-A'!$N$76/1000</f>
        <v>0</v>
      </c>
      <c r="H96" s="67">
        <f>'Lokal-A'!$N$76/1000</f>
        <v>0</v>
      </c>
      <c r="I96" s="67">
        <f t="shared" ref="I96:I100" si="41">sum(E96:H96)</f>
        <v>0</v>
      </c>
    </row>
    <row r="97">
      <c r="A97" s="70"/>
      <c r="B97" s="65"/>
      <c r="C97" s="83" t="s">
        <v>632</v>
      </c>
      <c r="D97" s="84" t="s">
        <v>631</v>
      </c>
      <c r="E97" s="88">
        <f>'Balin-A'!$F$76/1000</f>
        <v>0</v>
      </c>
      <c r="F97" s="88">
        <f>'Kumai-A'!$F$76/1000</f>
        <v>0</v>
      </c>
      <c r="G97" s="88">
        <f>'Sinta-A'!$F$76/1000</f>
        <v>0</v>
      </c>
      <c r="H97" s="88">
        <f>'Lokal-A'!$F$76/1000</f>
        <v>0</v>
      </c>
      <c r="I97" s="88">
        <f t="shared" si="41"/>
        <v>0</v>
      </c>
    </row>
    <row r="98">
      <c r="A98" s="70"/>
      <c r="B98" s="65"/>
      <c r="C98" s="83" t="s">
        <v>633</v>
      </c>
      <c r="D98" s="84" t="s">
        <v>631</v>
      </c>
      <c r="E98" s="88">
        <f>'Balin-A'!$O$76/1000</f>
        <v>0</v>
      </c>
      <c r="F98" s="88">
        <f>'Kumai-A'!$O$76/1000</f>
        <v>0</v>
      </c>
      <c r="G98" s="88">
        <f>'Sinta-A'!$O$76/1000</f>
        <v>0</v>
      </c>
      <c r="H98" s="88">
        <f>'Lokal-A'!$O$76/1000</f>
        <v>0</v>
      </c>
      <c r="I98" s="88">
        <f t="shared" si="41"/>
        <v>0</v>
      </c>
    </row>
    <row r="99">
      <c r="A99" s="70"/>
      <c r="B99" s="65"/>
      <c r="C99" s="83" t="s">
        <v>634</v>
      </c>
      <c r="D99" s="84" t="s">
        <v>631</v>
      </c>
      <c r="E99" s="88">
        <f>'Balin-A'!$P$76/1000</f>
        <v>0</v>
      </c>
      <c r="F99" s="88">
        <f>'Kumai-A'!$P$76/1000</f>
        <v>0</v>
      </c>
      <c r="G99" s="88">
        <f>'Sinta-A'!$P$76/1000</f>
        <v>0</v>
      </c>
      <c r="H99" s="88">
        <f>'Lokal-A'!$P$76/1000</f>
        <v>0</v>
      </c>
      <c r="I99" s="88">
        <f t="shared" si="41"/>
        <v>0</v>
      </c>
    </row>
    <row r="100">
      <c r="A100" s="70"/>
      <c r="B100" s="65"/>
      <c r="C100" s="83" t="s">
        <v>635</v>
      </c>
      <c r="D100" s="84" t="s">
        <v>631</v>
      </c>
      <c r="E100" s="88">
        <f>'Balin-A'!$Q$76/1000</f>
        <v>0</v>
      </c>
      <c r="F100" s="88">
        <f>'Kumai-A'!$Q$76/1000</f>
        <v>0</v>
      </c>
      <c r="G100" s="88">
        <f>'Sinta-A'!$Q$76/1000</f>
        <v>0</v>
      </c>
      <c r="H100" s="88">
        <f>'Lokal-A'!$Q$76/1000</f>
        <v>0</v>
      </c>
      <c r="I100" s="88">
        <f t="shared" si="41"/>
        <v>0</v>
      </c>
    </row>
    <row r="101" ht="7.5" customHeight="1">
      <c r="A101" s="70"/>
      <c r="B101" s="65"/>
      <c r="C101" s="86"/>
      <c r="D101" s="87"/>
      <c r="E101" s="88"/>
      <c r="F101" s="88"/>
      <c r="G101" s="88"/>
      <c r="H101" s="88"/>
      <c r="I101" s="88"/>
    </row>
    <row r="102">
      <c r="A102" s="70"/>
      <c r="B102" s="65"/>
      <c r="C102" s="83" t="s">
        <v>663</v>
      </c>
      <c r="D102" s="89" t="s">
        <v>590</v>
      </c>
      <c r="E102" s="90">
        <f t="shared" ref="E102:I102" si="42">IFERROR(E96/E97*100,0)</f>
        <v>0</v>
      </c>
      <c r="F102" s="90">
        <f t="shared" si="42"/>
        <v>0</v>
      </c>
      <c r="G102" s="90">
        <f t="shared" si="42"/>
        <v>0</v>
      </c>
      <c r="H102" s="90">
        <f t="shared" si="42"/>
        <v>0</v>
      </c>
      <c r="I102" s="90">
        <f t="shared" si="42"/>
        <v>0</v>
      </c>
    </row>
    <row r="103">
      <c r="A103" s="70"/>
      <c r="B103" s="65"/>
      <c r="C103" s="83" t="s">
        <v>664</v>
      </c>
      <c r="D103" s="89" t="s">
        <v>590</v>
      </c>
      <c r="E103" s="90">
        <f t="shared" ref="E103:I103" si="43">IFERROR(E96/E98*100,0)</f>
        <v>0</v>
      </c>
      <c r="F103" s="90">
        <f t="shared" si="43"/>
        <v>0</v>
      </c>
      <c r="G103" s="90">
        <f t="shared" si="43"/>
        <v>0</v>
      </c>
      <c r="H103" s="90">
        <f t="shared" si="43"/>
        <v>0</v>
      </c>
      <c r="I103" s="90">
        <f t="shared" si="43"/>
        <v>0</v>
      </c>
    </row>
    <row r="104">
      <c r="A104" s="70"/>
      <c r="B104" s="65"/>
      <c r="C104" s="83" t="s">
        <v>665</v>
      </c>
      <c r="D104" s="89" t="s">
        <v>590</v>
      </c>
      <c r="E104" s="90">
        <f t="shared" ref="E104:I104" si="44">IFERROR(E96/E99*100,0)</f>
        <v>0</v>
      </c>
      <c r="F104" s="90">
        <f t="shared" si="44"/>
        <v>0</v>
      </c>
      <c r="G104" s="90">
        <f t="shared" si="44"/>
        <v>0</v>
      </c>
      <c r="H104" s="90">
        <f t="shared" si="44"/>
        <v>0</v>
      </c>
      <c r="I104" s="90">
        <f t="shared" si="44"/>
        <v>0</v>
      </c>
    </row>
    <row r="105">
      <c r="A105" s="91"/>
      <c r="B105" s="92"/>
      <c r="C105" s="93" t="s">
        <v>666</v>
      </c>
      <c r="D105" s="94" t="s">
        <v>590</v>
      </c>
      <c r="E105" s="95">
        <f t="shared" ref="E105:I105" si="45">IFERROR(E96/E100*100,0)</f>
        <v>0</v>
      </c>
      <c r="F105" s="95">
        <f t="shared" si="45"/>
        <v>0</v>
      </c>
      <c r="G105" s="95">
        <f t="shared" si="45"/>
        <v>0</v>
      </c>
      <c r="H105" s="95">
        <f t="shared" si="45"/>
        <v>0</v>
      </c>
      <c r="I105" s="95">
        <f t="shared" si="45"/>
        <v>0</v>
      </c>
    </row>
    <row r="106" ht="3.75" customHeight="1">
      <c r="A106" s="96"/>
      <c r="B106" s="97"/>
      <c r="C106" s="97"/>
      <c r="D106" s="98"/>
      <c r="E106" s="99"/>
      <c r="F106" s="99"/>
      <c r="G106" s="99"/>
      <c r="H106" s="99"/>
      <c r="I106" s="99"/>
    </row>
    <row r="107">
      <c r="A107" s="101"/>
      <c r="B107" s="102" t="s">
        <v>648</v>
      </c>
      <c r="C107" s="103" t="s">
        <v>662</v>
      </c>
      <c r="D107" s="104" t="s">
        <v>631</v>
      </c>
      <c r="E107" s="105">
        <f t="shared" ref="E107:H107" si="46">SUMIF($C$8:$C$105,$C107,E$8:E$105)</f>
        <v>901449.369</v>
      </c>
      <c r="F107" s="105">
        <f t="shared" si="46"/>
        <v>0</v>
      </c>
      <c r="G107" s="105">
        <f t="shared" si="46"/>
        <v>113226.929</v>
      </c>
      <c r="H107" s="105">
        <f t="shared" si="46"/>
        <v>0</v>
      </c>
      <c r="I107" s="105">
        <f t="shared" ref="I107:I111" si="48">sum(E107:H107)</f>
        <v>1014676.298</v>
      </c>
    </row>
    <row r="108">
      <c r="A108" s="106"/>
      <c r="B108" s="107"/>
      <c r="C108" s="108" t="s">
        <v>632</v>
      </c>
      <c r="D108" s="109" t="s">
        <v>631</v>
      </c>
      <c r="E108" s="110">
        <f t="shared" ref="E108:H108" si="47">SUMIF($C$8:$C$105,$C108,E$8:E$105)</f>
        <v>793615.72</v>
      </c>
      <c r="F108" s="110">
        <f t="shared" si="47"/>
        <v>0</v>
      </c>
      <c r="G108" s="110">
        <f t="shared" si="47"/>
        <v>238057.737</v>
      </c>
      <c r="H108" s="110">
        <f t="shared" si="47"/>
        <v>80487.721</v>
      </c>
      <c r="I108" s="110">
        <f t="shared" si="48"/>
        <v>1112161.178</v>
      </c>
    </row>
    <row r="109">
      <c r="A109" s="106"/>
      <c r="B109" s="107"/>
      <c r="C109" s="108" t="s">
        <v>633</v>
      </c>
      <c r="D109" s="109" t="s">
        <v>631</v>
      </c>
      <c r="E109" s="110">
        <f t="shared" ref="E109:H109" si="49">SUMIF($C$8:$C$105,$C109,E$8:E$105)</f>
        <v>711721.738</v>
      </c>
      <c r="F109" s="110">
        <f t="shared" si="49"/>
        <v>0</v>
      </c>
      <c r="G109" s="110">
        <f t="shared" si="49"/>
        <v>219946.998</v>
      </c>
      <c r="H109" s="110">
        <f t="shared" si="49"/>
        <v>0</v>
      </c>
      <c r="I109" s="110">
        <f t="shared" si="48"/>
        <v>931668.736</v>
      </c>
    </row>
    <row r="110">
      <c r="A110" s="106"/>
      <c r="B110" s="107"/>
      <c r="C110" s="108" t="s">
        <v>634</v>
      </c>
      <c r="D110" s="109" t="s">
        <v>631</v>
      </c>
      <c r="E110" s="110">
        <f t="shared" ref="E110:H110" si="50">SUMIF($C$8:$C$105,$C110,E$8:E$105)</f>
        <v>812001.704</v>
      </c>
      <c r="F110" s="110">
        <f t="shared" si="50"/>
        <v>0</v>
      </c>
      <c r="G110" s="110">
        <f t="shared" si="50"/>
        <v>0</v>
      </c>
      <c r="H110" s="110">
        <f t="shared" si="50"/>
        <v>0</v>
      </c>
      <c r="I110" s="110">
        <f t="shared" si="48"/>
        <v>812001.704</v>
      </c>
    </row>
    <row r="111">
      <c r="A111" s="106"/>
      <c r="B111" s="107"/>
      <c r="C111" s="108" t="s">
        <v>635</v>
      </c>
      <c r="D111" s="109" t="s">
        <v>631</v>
      </c>
      <c r="E111" s="110">
        <f t="shared" ref="E111:H111" si="51">SUMIF($C$8:$C$105,$C111,E$8:E$105)</f>
        <v>812001.704</v>
      </c>
      <c r="F111" s="110">
        <f t="shared" si="51"/>
        <v>0</v>
      </c>
      <c r="G111" s="110">
        <f t="shared" si="51"/>
        <v>0</v>
      </c>
      <c r="H111" s="110">
        <f t="shared" si="51"/>
        <v>0</v>
      </c>
      <c r="I111" s="110">
        <f t="shared" si="48"/>
        <v>812001.704</v>
      </c>
    </row>
    <row r="112" ht="7.5" customHeight="1">
      <c r="A112" s="106"/>
      <c r="B112" s="107"/>
      <c r="C112" s="111"/>
      <c r="D112" s="112"/>
      <c r="E112" s="110"/>
      <c r="F112" s="110"/>
      <c r="G112" s="110"/>
      <c r="H112" s="110"/>
      <c r="I112" s="110"/>
    </row>
    <row r="113">
      <c r="A113" s="106"/>
      <c r="B113" s="107"/>
      <c r="C113" s="108" t="s">
        <v>663</v>
      </c>
      <c r="D113" s="113" t="s">
        <v>590</v>
      </c>
      <c r="E113" s="114">
        <f t="shared" ref="E113:I113" si="52">IFERROR(E107/E108*100,0)</f>
        <v>113.5876402</v>
      </c>
      <c r="F113" s="114">
        <f t="shared" si="52"/>
        <v>0</v>
      </c>
      <c r="G113" s="114">
        <f t="shared" si="52"/>
        <v>47.56280154</v>
      </c>
      <c r="H113" s="114">
        <f t="shared" si="52"/>
        <v>0</v>
      </c>
      <c r="I113" s="114">
        <f t="shared" si="52"/>
        <v>91.23464459</v>
      </c>
    </row>
    <row r="114">
      <c r="A114" s="106"/>
      <c r="B114" s="107"/>
      <c r="C114" s="108" t="s">
        <v>664</v>
      </c>
      <c r="D114" s="113" t="s">
        <v>590</v>
      </c>
      <c r="E114" s="114">
        <f t="shared" ref="E114:I114" si="53">IFERROR(E107/E109*100,0)</f>
        <v>126.6575574</v>
      </c>
      <c r="F114" s="114">
        <f t="shared" si="53"/>
        <v>0</v>
      </c>
      <c r="G114" s="114">
        <f t="shared" si="53"/>
        <v>51.47918818</v>
      </c>
      <c r="H114" s="114">
        <f t="shared" si="53"/>
        <v>0</v>
      </c>
      <c r="I114" s="114">
        <f t="shared" si="53"/>
        <v>108.9095575</v>
      </c>
    </row>
    <row r="115">
      <c r="A115" s="106"/>
      <c r="B115" s="107"/>
      <c r="C115" s="108" t="s">
        <v>665</v>
      </c>
      <c r="D115" s="113" t="s">
        <v>590</v>
      </c>
      <c r="E115" s="114">
        <f t="shared" ref="E115:I115" si="54">IFERROR(E107/E110*100,0)</f>
        <v>111.0156992</v>
      </c>
      <c r="F115" s="114">
        <f t="shared" si="54"/>
        <v>0</v>
      </c>
      <c r="G115" s="114">
        <f t="shared" si="54"/>
        <v>0</v>
      </c>
      <c r="H115" s="114">
        <f t="shared" si="54"/>
        <v>0</v>
      </c>
      <c r="I115" s="114">
        <f t="shared" si="54"/>
        <v>124.959873</v>
      </c>
    </row>
    <row r="116">
      <c r="A116" s="115"/>
      <c r="B116" s="116"/>
      <c r="C116" s="117" t="s">
        <v>666</v>
      </c>
      <c r="D116" s="118" t="s">
        <v>590</v>
      </c>
      <c r="E116" s="119">
        <f t="shared" ref="E116:I116" si="55">IFERROR(E107/E111*100,0)</f>
        <v>111.0156992</v>
      </c>
      <c r="F116" s="119">
        <f t="shared" si="55"/>
        <v>0</v>
      </c>
      <c r="G116" s="119">
        <f t="shared" si="55"/>
        <v>0</v>
      </c>
      <c r="H116" s="119">
        <f t="shared" si="55"/>
        <v>0</v>
      </c>
      <c r="I116" s="119">
        <f t="shared" si="55"/>
        <v>124.959873</v>
      </c>
    </row>
    <row r="117" ht="3.75" customHeight="1">
      <c r="A117" s="96"/>
      <c r="B117" s="97"/>
      <c r="C117" s="97"/>
      <c r="D117" s="98"/>
      <c r="E117" s="99"/>
      <c r="F117" s="99"/>
      <c r="G117" s="99"/>
      <c r="H117" s="99"/>
      <c r="I117" s="99"/>
    </row>
    <row r="118">
      <c r="A118" s="79" t="s">
        <v>649</v>
      </c>
      <c r="B118" s="80" t="s">
        <v>650</v>
      </c>
      <c r="C118" s="65"/>
      <c r="D118" s="66"/>
      <c r="E118" s="67"/>
      <c r="F118" s="67"/>
      <c r="G118" s="67"/>
      <c r="H118" s="67"/>
      <c r="I118" s="67"/>
    </row>
    <row r="119">
      <c r="A119" s="81">
        <v>1.0</v>
      </c>
      <c r="B119" s="82" t="s">
        <v>651</v>
      </c>
      <c r="C119" s="83" t="s">
        <v>662</v>
      </c>
      <c r="D119" s="84" t="s">
        <v>631</v>
      </c>
      <c r="E119" s="88">
        <f>'Balin-A'!$N$132/1000</f>
        <v>0</v>
      </c>
      <c r="F119" s="88">
        <f>'Kumai-A'!$N$132/1000</f>
        <v>0</v>
      </c>
      <c r="G119" s="88">
        <f>'Sinta-A'!$N$132/1000</f>
        <v>0</v>
      </c>
      <c r="H119" s="88">
        <f>'Lokal-A'!$N$132/1000</f>
        <v>0</v>
      </c>
      <c r="I119" s="88">
        <f t="shared" ref="I119:I123" si="56">sum(E119:H119)</f>
        <v>0</v>
      </c>
    </row>
    <row r="120">
      <c r="A120" s="70"/>
      <c r="B120" s="65"/>
      <c r="C120" s="83" t="s">
        <v>632</v>
      </c>
      <c r="D120" s="84" t="s">
        <v>631</v>
      </c>
      <c r="E120" s="88">
        <f>'Balin-A'!$F$132/1000</f>
        <v>0</v>
      </c>
      <c r="F120" s="88">
        <f>'Kumai-A'!$F$132/1000</f>
        <v>0</v>
      </c>
      <c r="G120" s="88">
        <f>'Sinta-A'!$F$132/1000</f>
        <v>0</v>
      </c>
      <c r="H120" s="88">
        <f>'Lokal-A'!$F$132/1000</f>
        <v>0</v>
      </c>
      <c r="I120" s="88">
        <f t="shared" si="56"/>
        <v>0</v>
      </c>
    </row>
    <row r="121">
      <c r="A121" s="70"/>
      <c r="B121" s="65"/>
      <c r="C121" s="83" t="s">
        <v>633</v>
      </c>
      <c r="D121" s="84" t="s">
        <v>631</v>
      </c>
      <c r="E121" s="88">
        <f>'Balin-A'!$O$132/1000</f>
        <v>0</v>
      </c>
      <c r="F121" s="88">
        <f>'Kumai-A'!$O$132/1000</f>
        <v>0</v>
      </c>
      <c r="G121" s="88">
        <f>'Sinta-A'!$O$132/1000</f>
        <v>0</v>
      </c>
      <c r="H121" s="88">
        <f>'Lokal-A'!$O$132/1000</f>
        <v>0</v>
      </c>
      <c r="I121" s="88">
        <f t="shared" si="56"/>
        <v>0</v>
      </c>
    </row>
    <row r="122">
      <c r="A122" s="70"/>
      <c r="B122" s="65"/>
      <c r="C122" s="83" t="s">
        <v>634</v>
      </c>
      <c r="D122" s="84" t="s">
        <v>631</v>
      </c>
      <c r="E122" s="88">
        <f>'Balin-A'!$P$132/1000</f>
        <v>0</v>
      </c>
      <c r="F122" s="88">
        <f>'Kumai-A'!$P$132/1000</f>
        <v>0</v>
      </c>
      <c r="G122" s="88">
        <f>'Sinta-A'!$P$132/1000</f>
        <v>0</v>
      </c>
      <c r="H122" s="88">
        <f>'Lokal-A'!$P$132/1000</f>
        <v>0</v>
      </c>
      <c r="I122" s="88">
        <f t="shared" si="56"/>
        <v>0</v>
      </c>
    </row>
    <row r="123">
      <c r="A123" s="70"/>
      <c r="B123" s="65"/>
      <c r="C123" s="83" t="s">
        <v>635</v>
      </c>
      <c r="D123" s="84" t="s">
        <v>631</v>
      </c>
      <c r="E123" s="88">
        <f>'Balin-A'!$Q$132/1000</f>
        <v>0</v>
      </c>
      <c r="F123" s="88">
        <f>'Kumai-A'!$Q$132/1000</f>
        <v>0</v>
      </c>
      <c r="G123" s="88">
        <f>'Sinta-A'!$Q$132/1000</f>
        <v>0</v>
      </c>
      <c r="H123" s="88">
        <f>'Lokal-A'!$Q$132/1000</f>
        <v>0</v>
      </c>
      <c r="I123" s="88">
        <f t="shared" si="56"/>
        <v>0</v>
      </c>
    </row>
    <row r="124" ht="7.5" customHeight="1">
      <c r="A124" s="70"/>
      <c r="B124" s="65"/>
      <c r="C124" s="86"/>
      <c r="D124" s="87"/>
      <c r="E124" s="88"/>
      <c r="F124" s="88"/>
      <c r="G124" s="88"/>
      <c r="H124" s="88"/>
      <c r="I124" s="88"/>
    </row>
    <row r="125">
      <c r="A125" s="70"/>
      <c r="B125" s="65"/>
      <c r="C125" s="83" t="s">
        <v>663</v>
      </c>
      <c r="D125" s="89" t="s">
        <v>590</v>
      </c>
      <c r="E125" s="90">
        <f t="shared" ref="E125:I125" si="57">IFERROR(E119/E120*100,0)</f>
        <v>0</v>
      </c>
      <c r="F125" s="90">
        <f t="shared" si="57"/>
        <v>0</v>
      </c>
      <c r="G125" s="90">
        <f t="shared" si="57"/>
        <v>0</v>
      </c>
      <c r="H125" s="90">
        <f t="shared" si="57"/>
        <v>0</v>
      </c>
      <c r="I125" s="90">
        <f t="shared" si="57"/>
        <v>0</v>
      </c>
    </row>
    <row r="126">
      <c r="A126" s="70"/>
      <c r="B126" s="65"/>
      <c r="C126" s="83" t="s">
        <v>664</v>
      </c>
      <c r="D126" s="89" t="s">
        <v>590</v>
      </c>
      <c r="E126" s="90">
        <f t="shared" ref="E126:I126" si="58">IFERROR(E119/E121*100,0)</f>
        <v>0</v>
      </c>
      <c r="F126" s="90">
        <f t="shared" si="58"/>
        <v>0</v>
      </c>
      <c r="G126" s="90">
        <f t="shared" si="58"/>
        <v>0</v>
      </c>
      <c r="H126" s="90">
        <f t="shared" si="58"/>
        <v>0</v>
      </c>
      <c r="I126" s="90">
        <f t="shared" si="58"/>
        <v>0</v>
      </c>
    </row>
    <row r="127">
      <c r="A127" s="70"/>
      <c r="B127" s="65"/>
      <c r="C127" s="83" t="s">
        <v>665</v>
      </c>
      <c r="D127" s="89" t="s">
        <v>590</v>
      </c>
      <c r="E127" s="90">
        <f t="shared" ref="E127:I127" si="59">IFERROR(E119/E122*100,0)</f>
        <v>0</v>
      </c>
      <c r="F127" s="90">
        <f t="shared" si="59"/>
        <v>0</v>
      </c>
      <c r="G127" s="90">
        <f t="shared" si="59"/>
        <v>0</v>
      </c>
      <c r="H127" s="90">
        <f t="shared" si="59"/>
        <v>0</v>
      </c>
      <c r="I127" s="90">
        <f t="shared" si="59"/>
        <v>0</v>
      </c>
    </row>
    <row r="128">
      <c r="A128" s="91"/>
      <c r="B128" s="92"/>
      <c r="C128" s="93" t="s">
        <v>666</v>
      </c>
      <c r="D128" s="94" t="s">
        <v>590</v>
      </c>
      <c r="E128" s="95">
        <f t="shared" ref="E128:I128" si="60">IFERROR(E119/E123*100,0)</f>
        <v>0</v>
      </c>
      <c r="F128" s="95">
        <f t="shared" si="60"/>
        <v>0</v>
      </c>
      <c r="G128" s="95">
        <f t="shared" si="60"/>
        <v>0</v>
      </c>
      <c r="H128" s="95">
        <f t="shared" si="60"/>
        <v>0</v>
      </c>
      <c r="I128" s="95">
        <f t="shared" si="60"/>
        <v>0</v>
      </c>
    </row>
    <row r="129" ht="3.75" customHeight="1">
      <c r="A129" s="96"/>
      <c r="B129" s="97"/>
      <c r="C129" s="97"/>
      <c r="D129" s="98"/>
      <c r="E129" s="99"/>
      <c r="F129" s="99"/>
      <c r="G129" s="99"/>
      <c r="H129" s="99"/>
      <c r="I129" s="99"/>
    </row>
    <row r="130">
      <c r="A130" s="79" t="s">
        <v>652</v>
      </c>
      <c r="B130" s="80" t="s">
        <v>653</v>
      </c>
      <c r="C130" s="65"/>
      <c r="D130" s="66"/>
      <c r="E130" s="67"/>
      <c r="F130" s="67"/>
      <c r="G130" s="67"/>
      <c r="H130" s="67"/>
      <c r="I130" s="67"/>
    </row>
    <row r="131">
      <c r="A131" s="81">
        <v>1.0</v>
      </c>
      <c r="B131" s="82" t="s">
        <v>654</v>
      </c>
      <c r="C131" s="83" t="s">
        <v>662</v>
      </c>
      <c r="D131" s="84" t="s">
        <v>631</v>
      </c>
      <c r="E131" s="88">
        <f>'Balin-A'!$N$91/1000</f>
        <v>2243866.763</v>
      </c>
      <c r="F131" s="88">
        <f>'Kumai-A'!$N$91/1000</f>
        <v>0</v>
      </c>
      <c r="G131" s="88">
        <f>'Sinta-A'!$N$91/1000</f>
        <v>295416.909</v>
      </c>
      <c r="H131" s="88">
        <f>'Lokal-A'!$N$91/1000</f>
        <v>9182.232</v>
      </c>
      <c r="I131" s="88">
        <f t="shared" ref="I131:I135" si="61">sum(E131:H131)</f>
        <v>2548465.904</v>
      </c>
    </row>
    <row r="132">
      <c r="A132" s="70"/>
      <c r="B132" s="65"/>
      <c r="C132" s="83" t="s">
        <v>632</v>
      </c>
      <c r="D132" s="84" t="s">
        <v>631</v>
      </c>
      <c r="E132" s="88">
        <f>'Balin-A'!$F$91/1000</f>
        <v>419392.466</v>
      </c>
      <c r="F132" s="88">
        <f>'Kumai-A'!$F$91/1000</f>
        <v>0</v>
      </c>
      <c r="G132" s="88">
        <f>'Sinta-A'!$F$91/1000</f>
        <v>49866.411</v>
      </c>
      <c r="H132" s="88">
        <f>'Lokal-A'!$F$91/1000</f>
        <v>1872.784</v>
      </c>
      <c r="I132" s="88">
        <f t="shared" si="61"/>
        <v>471131.661</v>
      </c>
    </row>
    <row r="133">
      <c r="A133" s="70"/>
      <c r="B133" s="65"/>
      <c r="C133" s="83" t="s">
        <v>633</v>
      </c>
      <c r="D133" s="84" t="s">
        <v>631</v>
      </c>
      <c r="E133" s="88">
        <f>'Balin-A'!$O$91/1000</f>
        <v>2459378.026</v>
      </c>
      <c r="F133" s="88">
        <f>'Kumai-A'!$O$91/1000</f>
        <v>0</v>
      </c>
      <c r="G133" s="88">
        <f>'Sinta-A'!$O$91/1000</f>
        <v>931786.726</v>
      </c>
      <c r="H133" s="88">
        <f>'Lokal-A'!$O$91/1000</f>
        <v>15359.724</v>
      </c>
      <c r="I133" s="88">
        <f t="shared" si="61"/>
        <v>3406524.476</v>
      </c>
    </row>
    <row r="134">
      <c r="A134" s="70"/>
      <c r="B134" s="65"/>
      <c r="C134" s="83" t="s">
        <v>634</v>
      </c>
      <c r="D134" s="84" t="s">
        <v>631</v>
      </c>
      <c r="E134" s="88">
        <f>'Balin-A'!$P$91/1000</f>
        <v>3554727.171</v>
      </c>
      <c r="F134" s="88">
        <f>'Kumai-A'!$P$91/1000</f>
        <v>0</v>
      </c>
      <c r="G134" s="88">
        <f>'Sinta-A'!$P$91/1000</f>
        <v>0</v>
      </c>
      <c r="H134" s="88">
        <f>'Lokal-A'!$P$91/1000</f>
        <v>0</v>
      </c>
      <c r="I134" s="88">
        <f t="shared" si="61"/>
        <v>3554727.171</v>
      </c>
    </row>
    <row r="135">
      <c r="A135" s="70"/>
      <c r="B135" s="65"/>
      <c r="C135" s="83" t="s">
        <v>635</v>
      </c>
      <c r="D135" s="84" t="s">
        <v>631</v>
      </c>
      <c r="E135" s="88">
        <f>'Balin-A'!$Q$91/1000</f>
        <v>3554727.171</v>
      </c>
      <c r="F135" s="88">
        <f>'Kumai-A'!$Q$91/1000</f>
        <v>0</v>
      </c>
      <c r="G135" s="88">
        <f>'Sinta-A'!$Q$91/1000</f>
        <v>0</v>
      </c>
      <c r="H135" s="88">
        <f>'Lokal-A'!$Q$91/1000</f>
        <v>0</v>
      </c>
      <c r="I135" s="88">
        <f t="shared" si="61"/>
        <v>3554727.171</v>
      </c>
    </row>
    <row r="136" ht="7.5" customHeight="1">
      <c r="A136" s="70"/>
      <c r="B136" s="65"/>
      <c r="C136" s="86"/>
      <c r="D136" s="87"/>
      <c r="E136" s="88"/>
      <c r="F136" s="88"/>
      <c r="G136" s="88"/>
      <c r="H136" s="88"/>
      <c r="I136" s="88"/>
    </row>
    <row r="137">
      <c r="A137" s="70"/>
      <c r="B137" s="65"/>
      <c r="C137" s="83" t="s">
        <v>663</v>
      </c>
      <c r="D137" s="89" t="s">
        <v>590</v>
      </c>
      <c r="E137" s="90">
        <f t="shared" ref="E137:I137" si="62">IFERROR(E131/E132*100,0)</f>
        <v>535.0279142</v>
      </c>
      <c r="F137" s="90">
        <f t="shared" si="62"/>
        <v>0</v>
      </c>
      <c r="G137" s="90">
        <f t="shared" si="62"/>
        <v>592.4166249</v>
      </c>
      <c r="H137" s="90">
        <f t="shared" si="62"/>
        <v>490.2985075</v>
      </c>
      <c r="I137" s="90">
        <f t="shared" si="62"/>
        <v>540.9243562</v>
      </c>
    </row>
    <row r="138">
      <c r="A138" s="70"/>
      <c r="B138" s="65"/>
      <c r="C138" s="83" t="s">
        <v>664</v>
      </c>
      <c r="D138" s="89" t="s">
        <v>590</v>
      </c>
      <c r="E138" s="90">
        <f t="shared" ref="E138:I138" si="63">IFERROR(E131/E133*100,0)</f>
        <v>91.237164</v>
      </c>
      <c r="F138" s="90">
        <f t="shared" si="63"/>
        <v>0</v>
      </c>
      <c r="G138" s="90">
        <f t="shared" si="63"/>
        <v>31.7043483</v>
      </c>
      <c r="H138" s="90">
        <f t="shared" si="63"/>
        <v>59.78123044</v>
      </c>
      <c r="I138" s="90">
        <f t="shared" si="63"/>
        <v>74.81131934</v>
      </c>
    </row>
    <row r="139">
      <c r="A139" s="70"/>
      <c r="B139" s="65"/>
      <c r="C139" s="83" t="s">
        <v>665</v>
      </c>
      <c r="D139" s="89" t="s">
        <v>590</v>
      </c>
      <c r="E139" s="90">
        <f t="shared" ref="E139:I139" si="64">IFERROR(E131/E134*100,0)</f>
        <v>63.12345941</v>
      </c>
      <c r="F139" s="90">
        <f t="shared" si="64"/>
        <v>0</v>
      </c>
      <c r="G139" s="90">
        <f t="shared" si="64"/>
        <v>0</v>
      </c>
      <c r="H139" s="90">
        <f t="shared" si="64"/>
        <v>0</v>
      </c>
      <c r="I139" s="90">
        <f t="shared" si="64"/>
        <v>71.69230665</v>
      </c>
    </row>
    <row r="140">
      <c r="A140" s="91"/>
      <c r="B140" s="92"/>
      <c r="C140" s="93" t="s">
        <v>666</v>
      </c>
      <c r="D140" s="94" t="s">
        <v>590</v>
      </c>
      <c r="E140" s="95">
        <f t="shared" ref="E140:I140" si="65">IFERROR(E131/E135*100,0)</f>
        <v>63.12345941</v>
      </c>
      <c r="F140" s="95">
        <f t="shared" si="65"/>
        <v>0</v>
      </c>
      <c r="G140" s="95">
        <f t="shared" si="65"/>
        <v>0</v>
      </c>
      <c r="H140" s="95">
        <f t="shared" si="65"/>
        <v>0</v>
      </c>
      <c r="I140" s="95">
        <f t="shared" si="65"/>
        <v>71.69230665</v>
      </c>
    </row>
    <row r="141" ht="3.75" customHeight="1">
      <c r="A141" s="96"/>
      <c r="B141" s="97"/>
      <c r="C141" s="97"/>
      <c r="D141" s="98"/>
      <c r="E141" s="99"/>
      <c r="F141" s="99"/>
      <c r="G141" s="99"/>
      <c r="H141" s="99"/>
      <c r="I141" s="99"/>
    </row>
    <row r="142">
      <c r="A142" s="81">
        <v>2.0</v>
      </c>
      <c r="B142" s="82" t="s">
        <v>655</v>
      </c>
      <c r="C142" s="100" t="s">
        <v>662</v>
      </c>
      <c r="D142" s="120" t="s">
        <v>631</v>
      </c>
      <c r="E142" s="67">
        <f>'Balin-A'!$N$97/1000</f>
        <v>0</v>
      </c>
      <c r="F142" s="67">
        <f>'Kumai-A'!$N$97/1000</f>
        <v>0</v>
      </c>
      <c r="G142" s="67">
        <f>'Sinta-A'!$N$97/1000</f>
        <v>0</v>
      </c>
      <c r="H142" s="67">
        <f>'Lokal-A'!$N$97/1000</f>
        <v>0</v>
      </c>
      <c r="I142" s="67">
        <f t="shared" ref="I142:I146" si="66">sum(E142:H142)</f>
        <v>0</v>
      </c>
    </row>
    <row r="143">
      <c r="A143" s="70"/>
      <c r="B143" s="65"/>
      <c r="C143" s="83" t="s">
        <v>632</v>
      </c>
      <c r="D143" s="84" t="s">
        <v>631</v>
      </c>
      <c r="E143" s="88">
        <f>'Balin-A'!$F$97/1000</f>
        <v>0</v>
      </c>
      <c r="F143" s="88">
        <f>'Kumai-A'!$F$97/1000</f>
        <v>0</v>
      </c>
      <c r="G143" s="88">
        <f>'Sinta-A'!$F$97/1000</f>
        <v>0</v>
      </c>
      <c r="H143" s="88">
        <f>'Lokal-A'!$F$97/1000</f>
        <v>0</v>
      </c>
      <c r="I143" s="88">
        <f t="shared" si="66"/>
        <v>0</v>
      </c>
    </row>
    <row r="144">
      <c r="A144" s="70"/>
      <c r="B144" s="65"/>
      <c r="C144" s="83" t="s">
        <v>633</v>
      </c>
      <c r="D144" s="84" t="s">
        <v>631</v>
      </c>
      <c r="E144" s="88">
        <f>'Balin-A'!$O$97/1000</f>
        <v>0</v>
      </c>
      <c r="F144" s="88">
        <f>'Kumai-A'!$O$97/1000</f>
        <v>0</v>
      </c>
      <c r="G144" s="88">
        <f>'Sinta-A'!$O$97/1000</f>
        <v>0</v>
      </c>
      <c r="H144" s="88">
        <f>'Lokal-A'!$O$97/1000</f>
        <v>0</v>
      </c>
      <c r="I144" s="88">
        <f t="shared" si="66"/>
        <v>0</v>
      </c>
    </row>
    <row r="145">
      <c r="A145" s="70"/>
      <c r="B145" s="65"/>
      <c r="C145" s="83" t="s">
        <v>634</v>
      </c>
      <c r="D145" s="84" t="s">
        <v>631</v>
      </c>
      <c r="E145" s="88">
        <f>'Balin-A'!$P$97/1000</f>
        <v>0</v>
      </c>
      <c r="F145" s="88">
        <f>'Kumai-A'!$P$97/1000</f>
        <v>0</v>
      </c>
      <c r="G145" s="88">
        <f>'Sinta-A'!$P$97/1000</f>
        <v>0</v>
      </c>
      <c r="H145" s="88">
        <f>'Lokal-A'!$P$97/1000</f>
        <v>0</v>
      </c>
      <c r="I145" s="88">
        <f t="shared" si="66"/>
        <v>0</v>
      </c>
    </row>
    <row r="146">
      <c r="A146" s="70"/>
      <c r="B146" s="65"/>
      <c r="C146" s="83" t="s">
        <v>635</v>
      </c>
      <c r="D146" s="84" t="s">
        <v>631</v>
      </c>
      <c r="E146" s="88">
        <f>'Balin-A'!$Q$97/1000</f>
        <v>0</v>
      </c>
      <c r="F146" s="88">
        <f>'Kumai-A'!$Q$97/1000</f>
        <v>0</v>
      </c>
      <c r="G146" s="88">
        <f>'Sinta-A'!$Q$97/1000</f>
        <v>0</v>
      </c>
      <c r="H146" s="88">
        <f>'Lokal-A'!$Q$97/1000</f>
        <v>0</v>
      </c>
      <c r="I146" s="88">
        <f t="shared" si="66"/>
        <v>0</v>
      </c>
    </row>
    <row r="147" ht="7.5" customHeight="1">
      <c r="A147" s="70"/>
      <c r="B147" s="65"/>
      <c r="C147" s="86"/>
      <c r="D147" s="87"/>
      <c r="E147" s="88"/>
      <c r="F147" s="88"/>
      <c r="G147" s="88"/>
      <c r="H147" s="88"/>
      <c r="I147" s="88"/>
    </row>
    <row r="148">
      <c r="A148" s="70"/>
      <c r="B148" s="65"/>
      <c r="C148" s="83" t="s">
        <v>663</v>
      </c>
      <c r="D148" s="89" t="s">
        <v>590</v>
      </c>
      <c r="E148" s="90">
        <f t="shared" ref="E148:I148" si="67">IFERROR(E142/E143*100,0)</f>
        <v>0</v>
      </c>
      <c r="F148" s="90">
        <f t="shared" si="67"/>
        <v>0</v>
      </c>
      <c r="G148" s="90">
        <f t="shared" si="67"/>
        <v>0</v>
      </c>
      <c r="H148" s="90">
        <f t="shared" si="67"/>
        <v>0</v>
      </c>
      <c r="I148" s="90">
        <f t="shared" si="67"/>
        <v>0</v>
      </c>
    </row>
    <row r="149">
      <c r="A149" s="70"/>
      <c r="B149" s="65"/>
      <c r="C149" s="83" t="s">
        <v>664</v>
      </c>
      <c r="D149" s="89" t="s">
        <v>590</v>
      </c>
      <c r="E149" s="90">
        <f t="shared" ref="E149:I149" si="68">IFERROR(E142/E144*100,0)</f>
        <v>0</v>
      </c>
      <c r="F149" s="90">
        <f t="shared" si="68"/>
        <v>0</v>
      </c>
      <c r="G149" s="90">
        <f t="shared" si="68"/>
        <v>0</v>
      </c>
      <c r="H149" s="90">
        <f t="shared" si="68"/>
        <v>0</v>
      </c>
      <c r="I149" s="90">
        <f t="shared" si="68"/>
        <v>0</v>
      </c>
    </row>
    <row r="150">
      <c r="A150" s="70"/>
      <c r="B150" s="65"/>
      <c r="C150" s="83" t="s">
        <v>665</v>
      </c>
      <c r="D150" s="89" t="s">
        <v>590</v>
      </c>
      <c r="E150" s="90">
        <f t="shared" ref="E150:I150" si="69">IFERROR(E142/E145*100,0)</f>
        <v>0</v>
      </c>
      <c r="F150" s="90">
        <f t="shared" si="69"/>
        <v>0</v>
      </c>
      <c r="G150" s="90">
        <f t="shared" si="69"/>
        <v>0</v>
      </c>
      <c r="H150" s="90">
        <f t="shared" si="69"/>
        <v>0</v>
      </c>
      <c r="I150" s="90">
        <f t="shared" si="69"/>
        <v>0</v>
      </c>
    </row>
    <row r="151">
      <c r="A151" s="91"/>
      <c r="B151" s="92"/>
      <c r="C151" s="93" t="s">
        <v>666</v>
      </c>
      <c r="D151" s="94" t="s">
        <v>590</v>
      </c>
      <c r="E151" s="95">
        <f t="shared" ref="E151:I151" si="70">IFERROR(E142/E146*100,0)</f>
        <v>0</v>
      </c>
      <c r="F151" s="95">
        <f t="shared" si="70"/>
        <v>0</v>
      </c>
      <c r="G151" s="95">
        <f t="shared" si="70"/>
        <v>0</v>
      </c>
      <c r="H151" s="95">
        <f t="shared" si="70"/>
        <v>0</v>
      </c>
      <c r="I151" s="95">
        <f t="shared" si="70"/>
        <v>0</v>
      </c>
    </row>
    <row r="152" ht="3.75" customHeight="1">
      <c r="A152" s="96"/>
      <c r="B152" s="97"/>
      <c r="C152" s="97"/>
      <c r="D152" s="98"/>
      <c r="E152" s="99"/>
      <c r="F152" s="99"/>
      <c r="G152" s="99"/>
      <c r="H152" s="99"/>
      <c r="I152" s="99"/>
    </row>
    <row r="153">
      <c r="A153" s="101"/>
      <c r="B153" s="102" t="s">
        <v>656</v>
      </c>
      <c r="C153" s="103" t="s">
        <v>662</v>
      </c>
      <c r="D153" s="104" t="s">
        <v>631</v>
      </c>
      <c r="E153" s="105">
        <f t="shared" ref="E153:H153" si="71">SUMIF($C$131:$C$151,$C153,E$131:E$151)</f>
        <v>2243866.763</v>
      </c>
      <c r="F153" s="105">
        <f t="shared" si="71"/>
        <v>0</v>
      </c>
      <c r="G153" s="105">
        <f t="shared" si="71"/>
        <v>295416.909</v>
      </c>
      <c r="H153" s="105">
        <f t="shared" si="71"/>
        <v>9182.232</v>
      </c>
      <c r="I153" s="105">
        <f t="shared" ref="I153:I157" si="73">sum(E153:H153)</f>
        <v>2548465.904</v>
      </c>
    </row>
    <row r="154">
      <c r="A154" s="106"/>
      <c r="B154" s="107"/>
      <c r="C154" s="108" t="s">
        <v>632</v>
      </c>
      <c r="D154" s="109" t="s">
        <v>631</v>
      </c>
      <c r="E154" s="110">
        <f t="shared" ref="E154:H154" si="72">SUMIF($C$131:$C$151,$C154,E$131:E$151)</f>
        <v>419392.466</v>
      </c>
      <c r="F154" s="110">
        <f t="shared" si="72"/>
        <v>0</v>
      </c>
      <c r="G154" s="110">
        <f t="shared" si="72"/>
        <v>49866.411</v>
      </c>
      <c r="H154" s="110">
        <f t="shared" si="72"/>
        <v>1872.784</v>
      </c>
      <c r="I154" s="110">
        <f t="shared" si="73"/>
        <v>471131.661</v>
      </c>
    </row>
    <row r="155">
      <c r="A155" s="106"/>
      <c r="B155" s="107"/>
      <c r="C155" s="108" t="s">
        <v>633</v>
      </c>
      <c r="D155" s="109" t="s">
        <v>631</v>
      </c>
      <c r="E155" s="110">
        <f t="shared" ref="E155:H155" si="74">SUMIF($C$131:$C$151,$C155,E$131:E$151)</f>
        <v>2459378.026</v>
      </c>
      <c r="F155" s="110">
        <f t="shared" si="74"/>
        <v>0</v>
      </c>
      <c r="G155" s="110">
        <f t="shared" si="74"/>
        <v>931786.726</v>
      </c>
      <c r="H155" s="110">
        <f t="shared" si="74"/>
        <v>15359.724</v>
      </c>
      <c r="I155" s="110">
        <f t="shared" si="73"/>
        <v>3406524.476</v>
      </c>
    </row>
    <row r="156">
      <c r="A156" s="106"/>
      <c r="B156" s="107"/>
      <c r="C156" s="108" t="s">
        <v>634</v>
      </c>
      <c r="D156" s="109" t="s">
        <v>631</v>
      </c>
      <c r="E156" s="110">
        <f t="shared" ref="E156:H156" si="75">SUMIF($C$131:$C$151,$C156,E$131:E$151)</f>
        <v>3554727.171</v>
      </c>
      <c r="F156" s="110">
        <f t="shared" si="75"/>
        <v>0</v>
      </c>
      <c r="G156" s="110">
        <f t="shared" si="75"/>
        <v>0</v>
      </c>
      <c r="H156" s="110">
        <f t="shared" si="75"/>
        <v>0</v>
      </c>
      <c r="I156" s="110">
        <f t="shared" si="73"/>
        <v>3554727.171</v>
      </c>
    </row>
    <row r="157">
      <c r="A157" s="106"/>
      <c r="B157" s="107"/>
      <c r="C157" s="108" t="s">
        <v>635</v>
      </c>
      <c r="D157" s="109" t="s">
        <v>631</v>
      </c>
      <c r="E157" s="110">
        <f t="shared" ref="E157:H157" si="76">SUMIF($C$131:$C$151,$C157,E$131:E$151)</f>
        <v>3554727.171</v>
      </c>
      <c r="F157" s="110">
        <f t="shared" si="76"/>
        <v>0</v>
      </c>
      <c r="G157" s="110">
        <f t="shared" si="76"/>
        <v>0</v>
      </c>
      <c r="H157" s="110">
        <f t="shared" si="76"/>
        <v>0</v>
      </c>
      <c r="I157" s="110">
        <f t="shared" si="73"/>
        <v>3554727.171</v>
      </c>
    </row>
    <row r="158" ht="7.5" customHeight="1">
      <c r="A158" s="106"/>
      <c r="B158" s="107"/>
      <c r="C158" s="111"/>
      <c r="D158" s="112"/>
      <c r="E158" s="110"/>
      <c r="F158" s="110"/>
      <c r="G158" s="110"/>
      <c r="H158" s="110"/>
      <c r="I158" s="110"/>
    </row>
    <row r="159">
      <c r="A159" s="106"/>
      <c r="B159" s="107"/>
      <c r="C159" s="108" t="s">
        <v>663</v>
      </c>
      <c r="D159" s="113" t="s">
        <v>590</v>
      </c>
      <c r="E159" s="114">
        <f t="shared" ref="E159:I159" si="77">IFERROR(E153/E154*100,0)</f>
        <v>535.0279142</v>
      </c>
      <c r="F159" s="114">
        <f t="shared" si="77"/>
        <v>0</v>
      </c>
      <c r="G159" s="114">
        <f t="shared" si="77"/>
        <v>592.4166249</v>
      </c>
      <c r="H159" s="114">
        <f t="shared" si="77"/>
        <v>490.2985075</v>
      </c>
      <c r="I159" s="114">
        <f t="shared" si="77"/>
        <v>540.9243562</v>
      </c>
    </row>
    <row r="160">
      <c r="A160" s="106"/>
      <c r="B160" s="107"/>
      <c r="C160" s="108" t="s">
        <v>664</v>
      </c>
      <c r="D160" s="113" t="s">
        <v>590</v>
      </c>
      <c r="E160" s="114">
        <f t="shared" ref="E160:I160" si="78">IFERROR(E153/E155*100,0)</f>
        <v>91.237164</v>
      </c>
      <c r="F160" s="114">
        <f t="shared" si="78"/>
        <v>0</v>
      </c>
      <c r="G160" s="114">
        <f t="shared" si="78"/>
        <v>31.7043483</v>
      </c>
      <c r="H160" s="114">
        <f t="shared" si="78"/>
        <v>59.78123044</v>
      </c>
      <c r="I160" s="114">
        <f t="shared" si="78"/>
        <v>74.81131934</v>
      </c>
    </row>
    <row r="161">
      <c r="A161" s="106"/>
      <c r="B161" s="107"/>
      <c r="C161" s="108" t="s">
        <v>665</v>
      </c>
      <c r="D161" s="113" t="s">
        <v>590</v>
      </c>
      <c r="E161" s="114">
        <f t="shared" ref="E161:I161" si="79">IFERROR(E153/E156*100,0)</f>
        <v>63.12345941</v>
      </c>
      <c r="F161" s="114">
        <f t="shared" si="79"/>
        <v>0</v>
      </c>
      <c r="G161" s="114">
        <f t="shared" si="79"/>
        <v>0</v>
      </c>
      <c r="H161" s="114">
        <f t="shared" si="79"/>
        <v>0</v>
      </c>
      <c r="I161" s="114">
        <f t="shared" si="79"/>
        <v>71.69230665</v>
      </c>
    </row>
    <row r="162">
      <c r="A162" s="115"/>
      <c r="B162" s="116"/>
      <c r="C162" s="117" t="s">
        <v>666</v>
      </c>
      <c r="D162" s="118" t="s">
        <v>590</v>
      </c>
      <c r="E162" s="119">
        <f t="shared" ref="E162:I162" si="80">IFERROR(E153/E157*100,0)</f>
        <v>63.12345941</v>
      </c>
      <c r="F162" s="119">
        <f t="shared" si="80"/>
        <v>0</v>
      </c>
      <c r="G162" s="119">
        <f t="shared" si="80"/>
        <v>0</v>
      </c>
      <c r="H162" s="119">
        <f t="shared" si="80"/>
        <v>0</v>
      </c>
      <c r="I162" s="119">
        <f t="shared" si="80"/>
        <v>71.69230665</v>
      </c>
    </row>
    <row r="163" ht="3.75" customHeight="1">
      <c r="A163" s="96"/>
      <c r="B163" s="97"/>
      <c r="C163" s="97"/>
      <c r="D163" s="98"/>
      <c r="E163" s="99"/>
      <c r="F163" s="99"/>
      <c r="G163" s="99"/>
      <c r="H163" s="99"/>
      <c r="I163" s="99"/>
    </row>
    <row r="164">
      <c r="A164" s="79" t="s">
        <v>657</v>
      </c>
      <c r="B164" s="80" t="s">
        <v>658</v>
      </c>
      <c r="C164" s="65"/>
      <c r="D164" s="66"/>
      <c r="E164" s="67"/>
      <c r="F164" s="67"/>
      <c r="G164" s="67"/>
      <c r="H164" s="67"/>
      <c r="I164" s="67"/>
    </row>
    <row r="165">
      <c r="A165" s="81">
        <v>1.0</v>
      </c>
      <c r="B165" s="82" t="s">
        <v>659</v>
      </c>
      <c r="C165" s="83" t="s">
        <v>662</v>
      </c>
      <c r="D165" s="84" t="s">
        <v>631</v>
      </c>
      <c r="E165" s="88">
        <f>'Balin-A'!$N$139/1000</f>
        <v>0</v>
      </c>
      <c r="F165" s="88">
        <f>'Kumai-A'!$N$139/1000</f>
        <v>0</v>
      </c>
      <c r="G165" s="88">
        <f>'Sinta-A'!$N$139/1000</f>
        <v>0</v>
      </c>
      <c r="H165" s="88">
        <f>'Lokal-A'!$N$139/1000</f>
        <v>0</v>
      </c>
      <c r="I165" s="88">
        <f t="shared" ref="I165:I169" si="81">sum(E165:H165)</f>
        <v>0</v>
      </c>
    </row>
    <row r="166">
      <c r="A166" s="70"/>
      <c r="B166" s="65"/>
      <c r="C166" s="83" t="s">
        <v>632</v>
      </c>
      <c r="D166" s="84" t="s">
        <v>631</v>
      </c>
      <c r="E166" s="88">
        <f>'Balin-A'!$F$139/1000</f>
        <v>0</v>
      </c>
      <c r="F166" s="88">
        <f>'Kumai-A'!$F$139/1000</f>
        <v>0</v>
      </c>
      <c r="G166" s="88">
        <f>'Sinta-A'!$F$139/1000</f>
        <v>0</v>
      </c>
      <c r="H166" s="88">
        <f>'Lokal-A'!$F$139/1000</f>
        <v>0</v>
      </c>
      <c r="I166" s="88">
        <f t="shared" si="81"/>
        <v>0</v>
      </c>
    </row>
    <row r="167">
      <c r="A167" s="70"/>
      <c r="B167" s="65"/>
      <c r="C167" s="83" t="s">
        <v>633</v>
      </c>
      <c r="D167" s="84" t="s">
        <v>631</v>
      </c>
      <c r="E167" s="88">
        <f>'Balin-A'!$O$139/1000</f>
        <v>0</v>
      </c>
      <c r="F167" s="88">
        <f>'Kumai-A'!$O$139/1000</f>
        <v>0</v>
      </c>
      <c r="G167" s="88">
        <f>'Sinta-A'!$O$139/1000</f>
        <v>0</v>
      </c>
      <c r="H167" s="88">
        <f>'Lokal-A'!$O$139/1000</f>
        <v>0</v>
      </c>
      <c r="I167" s="88">
        <f t="shared" si="81"/>
        <v>0</v>
      </c>
    </row>
    <row r="168">
      <c r="A168" s="70"/>
      <c r="B168" s="65"/>
      <c r="C168" s="83" t="s">
        <v>634</v>
      </c>
      <c r="D168" s="84" t="s">
        <v>631</v>
      </c>
      <c r="E168" s="88">
        <f>'Balin-A'!$P$139/1000</f>
        <v>0</v>
      </c>
      <c r="F168" s="88">
        <f>'Kumai-A'!$P$139/1000</f>
        <v>0</v>
      </c>
      <c r="G168" s="88">
        <f>'Sinta-A'!$P$139/1000</f>
        <v>0</v>
      </c>
      <c r="H168" s="88">
        <f>'Lokal-A'!$P$139/1000</f>
        <v>0</v>
      </c>
      <c r="I168" s="88">
        <f t="shared" si="81"/>
        <v>0</v>
      </c>
    </row>
    <row r="169">
      <c r="A169" s="70"/>
      <c r="B169" s="65"/>
      <c r="C169" s="83" t="s">
        <v>635</v>
      </c>
      <c r="D169" s="84" t="s">
        <v>631</v>
      </c>
      <c r="E169" s="88">
        <f>'Balin-A'!$Q$139/1000</f>
        <v>0</v>
      </c>
      <c r="F169" s="88">
        <f>'Kumai-A'!$Q$139/1000</f>
        <v>0</v>
      </c>
      <c r="G169" s="88">
        <f>'Sinta-A'!$Q$139/1000</f>
        <v>0</v>
      </c>
      <c r="H169" s="88">
        <f>'Lokal-A'!$Q$139/1000</f>
        <v>0</v>
      </c>
      <c r="I169" s="88">
        <f t="shared" si="81"/>
        <v>0</v>
      </c>
    </row>
    <row r="170" ht="7.5" customHeight="1">
      <c r="A170" s="70"/>
      <c r="B170" s="65"/>
      <c r="C170" s="86"/>
      <c r="D170" s="87"/>
      <c r="E170" s="88"/>
      <c r="F170" s="88"/>
      <c r="G170" s="88"/>
      <c r="H170" s="88"/>
      <c r="I170" s="88"/>
    </row>
    <row r="171">
      <c r="A171" s="70"/>
      <c r="B171" s="65"/>
      <c r="C171" s="83" t="s">
        <v>663</v>
      </c>
      <c r="D171" s="89" t="s">
        <v>590</v>
      </c>
      <c r="E171" s="90">
        <f t="shared" ref="E171:I171" si="82">IFERROR(E165/E166*100,0)</f>
        <v>0</v>
      </c>
      <c r="F171" s="90">
        <f t="shared" si="82"/>
        <v>0</v>
      </c>
      <c r="G171" s="90">
        <f t="shared" si="82"/>
        <v>0</v>
      </c>
      <c r="H171" s="90">
        <f t="shared" si="82"/>
        <v>0</v>
      </c>
      <c r="I171" s="90">
        <f t="shared" si="82"/>
        <v>0</v>
      </c>
    </row>
    <row r="172">
      <c r="A172" s="70"/>
      <c r="B172" s="65"/>
      <c r="C172" s="83" t="s">
        <v>664</v>
      </c>
      <c r="D172" s="89" t="s">
        <v>590</v>
      </c>
      <c r="E172" s="90">
        <f t="shared" ref="E172:I172" si="83">IFERROR(E165/E167*100,0)</f>
        <v>0</v>
      </c>
      <c r="F172" s="90">
        <f t="shared" si="83"/>
        <v>0</v>
      </c>
      <c r="G172" s="90">
        <f t="shared" si="83"/>
        <v>0</v>
      </c>
      <c r="H172" s="90">
        <f t="shared" si="83"/>
        <v>0</v>
      </c>
      <c r="I172" s="90">
        <f t="shared" si="83"/>
        <v>0</v>
      </c>
    </row>
    <row r="173">
      <c r="A173" s="70"/>
      <c r="B173" s="65"/>
      <c r="C173" s="83" t="s">
        <v>665</v>
      </c>
      <c r="D173" s="89" t="s">
        <v>590</v>
      </c>
      <c r="E173" s="90">
        <f t="shared" ref="E173:I173" si="84">IFERROR(E165/E168*100,0)</f>
        <v>0</v>
      </c>
      <c r="F173" s="90">
        <f t="shared" si="84"/>
        <v>0</v>
      </c>
      <c r="G173" s="90">
        <f t="shared" si="84"/>
        <v>0</v>
      </c>
      <c r="H173" s="90">
        <f t="shared" si="84"/>
        <v>0</v>
      </c>
      <c r="I173" s="90">
        <f t="shared" si="84"/>
        <v>0</v>
      </c>
    </row>
    <row r="174">
      <c r="A174" s="91"/>
      <c r="B174" s="92"/>
      <c r="C174" s="93" t="s">
        <v>666</v>
      </c>
      <c r="D174" s="94" t="s">
        <v>590</v>
      </c>
      <c r="E174" s="95">
        <f t="shared" ref="E174:I174" si="85">IFERROR(E165/E169*100,0)</f>
        <v>0</v>
      </c>
      <c r="F174" s="95">
        <f t="shared" si="85"/>
        <v>0</v>
      </c>
      <c r="G174" s="95">
        <f t="shared" si="85"/>
        <v>0</v>
      </c>
      <c r="H174" s="95">
        <f t="shared" si="85"/>
        <v>0</v>
      </c>
      <c r="I174" s="95">
        <f t="shared" si="85"/>
        <v>0</v>
      </c>
    </row>
    <row r="175" ht="3.75" customHeight="1">
      <c r="A175" s="96"/>
      <c r="B175" s="97"/>
      <c r="C175" s="97"/>
      <c r="D175" s="98"/>
      <c r="E175" s="99"/>
      <c r="F175" s="99"/>
      <c r="G175" s="99"/>
      <c r="H175" s="99"/>
      <c r="I175" s="99"/>
    </row>
    <row r="176">
      <c r="A176" s="81">
        <v>2.0</v>
      </c>
      <c r="B176" s="82" t="s">
        <v>660</v>
      </c>
      <c r="C176" s="100" t="s">
        <v>662</v>
      </c>
      <c r="D176" s="120" t="s">
        <v>631</v>
      </c>
      <c r="E176" s="67">
        <f>'Balin-A'!$N$147/1000</f>
        <v>227746.446</v>
      </c>
      <c r="F176" s="67">
        <f>'Kumai-A'!$N$147/1000</f>
        <v>0</v>
      </c>
      <c r="G176" s="67">
        <f>'Sinta-A'!$N$147/1000</f>
        <v>6333.334</v>
      </c>
      <c r="H176" s="67">
        <f>'Lokal-A'!$N$147/1000</f>
        <v>1231.2</v>
      </c>
      <c r="I176" s="67">
        <f t="shared" ref="I176:I180" si="86">sum(E176:H176)</f>
        <v>235310.98</v>
      </c>
    </row>
    <row r="177">
      <c r="A177" s="70"/>
      <c r="B177" s="65"/>
      <c r="C177" s="83" t="s">
        <v>632</v>
      </c>
      <c r="D177" s="84" t="s">
        <v>631</v>
      </c>
      <c r="E177" s="88">
        <f>'Balin-A'!$F$147/1000</f>
        <v>46180.815</v>
      </c>
      <c r="F177" s="88">
        <f>'Kumai-A'!$F$147/1000</f>
        <v>0</v>
      </c>
      <c r="G177" s="88">
        <f>'Sinta-A'!$F$147/1000</f>
        <v>0</v>
      </c>
      <c r="H177" s="88">
        <f>'Lokal-A'!$F$147/1000</f>
        <v>252</v>
      </c>
      <c r="I177" s="88">
        <f t="shared" si="86"/>
        <v>46432.815</v>
      </c>
    </row>
    <row r="178">
      <c r="A178" s="70"/>
      <c r="B178" s="65"/>
      <c r="C178" s="83" t="s">
        <v>633</v>
      </c>
      <c r="D178" s="84" t="s">
        <v>631</v>
      </c>
      <c r="E178" s="88">
        <f>'Balin-A'!$O$147/1000</f>
        <v>257133.471</v>
      </c>
      <c r="F178" s="88">
        <f>'Kumai-A'!$O$147/1000</f>
        <v>0</v>
      </c>
      <c r="G178" s="88">
        <f>'Sinta-A'!$O$147/1000</f>
        <v>45001.795</v>
      </c>
      <c r="H178" s="88">
        <f>'Lokal-A'!$O$147/1000</f>
        <v>1443.6</v>
      </c>
      <c r="I178" s="88">
        <f t="shared" si="86"/>
        <v>303578.866</v>
      </c>
    </row>
    <row r="179">
      <c r="A179" s="70"/>
      <c r="B179" s="65"/>
      <c r="C179" s="83" t="s">
        <v>634</v>
      </c>
      <c r="D179" s="84" t="s">
        <v>631</v>
      </c>
      <c r="E179" s="88">
        <f>'Balin-A'!$P$147/1000</f>
        <v>254930.812</v>
      </c>
      <c r="F179" s="88">
        <f>'Kumai-A'!$P$147/1000</f>
        <v>0</v>
      </c>
      <c r="G179" s="88">
        <f>'Sinta-A'!$P$147/1000</f>
        <v>0</v>
      </c>
      <c r="H179" s="88">
        <f>'Lokal-A'!$P$147/1000</f>
        <v>0</v>
      </c>
      <c r="I179" s="88">
        <f t="shared" si="86"/>
        <v>254930.812</v>
      </c>
    </row>
    <row r="180">
      <c r="A180" s="70"/>
      <c r="B180" s="65"/>
      <c r="C180" s="83" t="s">
        <v>635</v>
      </c>
      <c r="D180" s="84" t="s">
        <v>631</v>
      </c>
      <c r="E180" s="88">
        <f>'Balin-A'!$Q$147/1000</f>
        <v>254930.812</v>
      </c>
      <c r="F180" s="88">
        <f>'Kumai-A'!$Q$147/1000</f>
        <v>0</v>
      </c>
      <c r="G180" s="88">
        <f>'Sinta-A'!$Q$147/1000</f>
        <v>0</v>
      </c>
      <c r="H180" s="88">
        <f>'Lokal-A'!$Q$147/1000</f>
        <v>0</v>
      </c>
      <c r="I180" s="88">
        <f t="shared" si="86"/>
        <v>254930.812</v>
      </c>
    </row>
    <row r="181" ht="7.5" customHeight="1">
      <c r="A181" s="70"/>
      <c r="B181" s="65"/>
      <c r="C181" s="86"/>
      <c r="D181" s="87"/>
      <c r="E181" s="88"/>
      <c r="F181" s="88"/>
      <c r="G181" s="88"/>
      <c r="H181" s="88"/>
      <c r="I181" s="88"/>
    </row>
    <row r="182">
      <c r="A182" s="70"/>
      <c r="B182" s="65"/>
      <c r="C182" s="83" t="s">
        <v>663</v>
      </c>
      <c r="D182" s="89" t="s">
        <v>590</v>
      </c>
      <c r="E182" s="90">
        <f t="shared" ref="E182:I182" si="87">IFERROR(E176/E177*100,0)</f>
        <v>493.1624658</v>
      </c>
      <c r="F182" s="90">
        <f t="shared" si="87"/>
        <v>0</v>
      </c>
      <c r="G182" s="90">
        <f t="shared" si="87"/>
        <v>0</v>
      </c>
      <c r="H182" s="90">
        <f t="shared" si="87"/>
        <v>488.5714286</v>
      </c>
      <c r="I182" s="90">
        <f t="shared" si="87"/>
        <v>506.7773298</v>
      </c>
    </row>
    <row r="183">
      <c r="A183" s="70"/>
      <c r="B183" s="65"/>
      <c r="C183" s="83" t="s">
        <v>664</v>
      </c>
      <c r="D183" s="89" t="s">
        <v>590</v>
      </c>
      <c r="E183" s="90">
        <f t="shared" ref="E183:I183" si="88">IFERROR(E176/E178*100,0)</f>
        <v>88.57129533</v>
      </c>
      <c r="F183" s="90">
        <f t="shared" si="88"/>
        <v>0</v>
      </c>
      <c r="G183" s="90">
        <f t="shared" si="88"/>
        <v>14.07351418</v>
      </c>
      <c r="H183" s="90">
        <f t="shared" si="88"/>
        <v>85.28678304</v>
      </c>
      <c r="I183" s="90">
        <f t="shared" si="88"/>
        <v>77.51230614</v>
      </c>
    </row>
    <row r="184">
      <c r="A184" s="70"/>
      <c r="B184" s="65"/>
      <c r="C184" s="121" t="s">
        <v>665</v>
      </c>
      <c r="D184" s="122" t="s">
        <v>590</v>
      </c>
      <c r="E184" s="123">
        <f t="shared" ref="E184:I184" si="89">IFERROR(E176/E179*100,0)</f>
        <v>89.33657105</v>
      </c>
      <c r="F184" s="123">
        <f t="shared" si="89"/>
        <v>0</v>
      </c>
      <c r="G184" s="123">
        <f t="shared" si="89"/>
        <v>0</v>
      </c>
      <c r="H184" s="123">
        <f t="shared" si="89"/>
        <v>0</v>
      </c>
      <c r="I184" s="123">
        <f t="shared" si="89"/>
        <v>92.30386008</v>
      </c>
    </row>
    <row r="185">
      <c r="A185" s="91"/>
      <c r="B185" s="92"/>
      <c r="C185" s="93" t="s">
        <v>666</v>
      </c>
      <c r="D185" s="94" t="s">
        <v>590</v>
      </c>
      <c r="E185" s="95">
        <f t="shared" ref="E185:I185" si="90">IFERROR(E176/E180*100,0)</f>
        <v>89.33657105</v>
      </c>
      <c r="F185" s="95">
        <f t="shared" si="90"/>
        <v>0</v>
      </c>
      <c r="G185" s="95">
        <f t="shared" si="90"/>
        <v>0</v>
      </c>
      <c r="H185" s="95">
        <f t="shared" si="90"/>
        <v>0</v>
      </c>
      <c r="I185" s="95">
        <f t="shared" si="90"/>
        <v>92.30386008</v>
      </c>
    </row>
    <row r="186" ht="3.75" customHeight="1">
      <c r="A186" s="96"/>
      <c r="B186" s="97"/>
      <c r="C186" s="97"/>
      <c r="D186" s="98"/>
      <c r="E186" s="99"/>
      <c r="F186" s="99"/>
      <c r="G186" s="99"/>
      <c r="H186" s="99"/>
      <c r="I186" s="99"/>
    </row>
    <row r="187">
      <c r="A187" s="101"/>
      <c r="B187" s="102" t="s">
        <v>661</v>
      </c>
      <c r="C187" s="103" t="s">
        <v>662</v>
      </c>
      <c r="D187" s="104" t="s">
        <v>631</v>
      </c>
      <c r="E187" s="105">
        <f t="shared" ref="E187:H187" si="91">SUMIF($C$165:$C$185,$C187,E$165:E$185)</f>
        <v>227746.446</v>
      </c>
      <c r="F187" s="105">
        <f t="shared" si="91"/>
        <v>0</v>
      </c>
      <c r="G187" s="105">
        <f t="shared" si="91"/>
        <v>6333.334</v>
      </c>
      <c r="H187" s="105">
        <f t="shared" si="91"/>
        <v>1231.2</v>
      </c>
      <c r="I187" s="105">
        <f t="shared" ref="I187:I191" si="93">sum(E187:H187)</f>
        <v>235310.98</v>
      </c>
    </row>
    <row r="188">
      <c r="A188" s="106"/>
      <c r="B188" s="107"/>
      <c r="C188" s="124" t="s">
        <v>632</v>
      </c>
      <c r="D188" s="125" t="s">
        <v>631</v>
      </c>
      <c r="E188" s="126">
        <f t="shared" ref="E188:H188" si="92">SUMIF($C$165:$C$185,$C188,E$165:E$185)</f>
        <v>46180.815</v>
      </c>
      <c r="F188" s="126">
        <f t="shared" si="92"/>
        <v>0</v>
      </c>
      <c r="G188" s="126">
        <f t="shared" si="92"/>
        <v>0</v>
      </c>
      <c r="H188" s="126">
        <f t="shared" si="92"/>
        <v>252</v>
      </c>
      <c r="I188" s="126">
        <f t="shared" si="93"/>
        <v>46432.815</v>
      </c>
    </row>
    <row r="189">
      <c r="A189" s="106"/>
      <c r="B189" s="107"/>
      <c r="C189" s="108" t="s">
        <v>633</v>
      </c>
      <c r="D189" s="109" t="s">
        <v>631</v>
      </c>
      <c r="E189" s="110">
        <f t="shared" ref="E189:H189" si="94">SUMIF($C$165:$C$185,$C189,E$165:E$185)</f>
        <v>257133.471</v>
      </c>
      <c r="F189" s="110">
        <f t="shared" si="94"/>
        <v>0</v>
      </c>
      <c r="G189" s="110">
        <f t="shared" si="94"/>
        <v>45001.795</v>
      </c>
      <c r="H189" s="110">
        <f t="shared" si="94"/>
        <v>1443.6</v>
      </c>
      <c r="I189" s="110">
        <f t="shared" si="93"/>
        <v>303578.866</v>
      </c>
    </row>
    <row r="190">
      <c r="A190" s="106"/>
      <c r="B190" s="107"/>
      <c r="C190" s="108" t="s">
        <v>634</v>
      </c>
      <c r="D190" s="109" t="s">
        <v>631</v>
      </c>
      <c r="E190" s="110">
        <f t="shared" ref="E190:H190" si="95">SUMIF($C$165:$C$185,$C190,E$165:E$185)</f>
        <v>254930.812</v>
      </c>
      <c r="F190" s="110">
        <f t="shared" si="95"/>
        <v>0</v>
      </c>
      <c r="G190" s="110">
        <f t="shared" si="95"/>
        <v>0</v>
      </c>
      <c r="H190" s="110">
        <f t="shared" si="95"/>
        <v>0</v>
      </c>
      <c r="I190" s="110">
        <f t="shared" si="93"/>
        <v>254930.812</v>
      </c>
    </row>
    <row r="191">
      <c r="A191" s="106"/>
      <c r="B191" s="107"/>
      <c r="C191" s="108" t="s">
        <v>635</v>
      </c>
      <c r="D191" s="109" t="s">
        <v>631</v>
      </c>
      <c r="E191" s="110">
        <f t="shared" ref="E191:H191" si="96">SUMIF($C$165:$C$185,$C191,E$165:E$185)</f>
        <v>254930.812</v>
      </c>
      <c r="F191" s="110">
        <f t="shared" si="96"/>
        <v>0</v>
      </c>
      <c r="G191" s="110">
        <f t="shared" si="96"/>
        <v>0</v>
      </c>
      <c r="H191" s="110">
        <f t="shared" si="96"/>
        <v>0</v>
      </c>
      <c r="I191" s="110">
        <f t="shared" si="93"/>
        <v>254930.812</v>
      </c>
    </row>
    <row r="192" ht="7.5" customHeight="1">
      <c r="A192" s="106"/>
      <c r="B192" s="107"/>
      <c r="C192" s="111"/>
      <c r="D192" s="112"/>
      <c r="E192" s="110"/>
      <c r="F192" s="110"/>
      <c r="G192" s="110"/>
      <c r="H192" s="110"/>
      <c r="I192" s="110"/>
    </row>
    <row r="193">
      <c r="A193" s="106"/>
      <c r="B193" s="107"/>
      <c r="C193" s="108" t="s">
        <v>663</v>
      </c>
      <c r="D193" s="113" t="s">
        <v>590</v>
      </c>
      <c r="E193" s="114">
        <f t="shared" ref="E193:I193" si="97">IFERROR(E187/E188*100,0)</f>
        <v>493.1624658</v>
      </c>
      <c r="F193" s="114">
        <f t="shared" si="97"/>
        <v>0</v>
      </c>
      <c r="G193" s="114">
        <f t="shared" si="97"/>
        <v>0</v>
      </c>
      <c r="H193" s="114">
        <f t="shared" si="97"/>
        <v>488.5714286</v>
      </c>
      <c r="I193" s="114">
        <f t="shared" si="97"/>
        <v>506.7773298</v>
      </c>
    </row>
    <row r="194">
      <c r="A194" s="106"/>
      <c r="B194" s="107"/>
      <c r="C194" s="108" t="s">
        <v>664</v>
      </c>
      <c r="D194" s="113" t="s">
        <v>590</v>
      </c>
      <c r="E194" s="114">
        <f t="shared" ref="E194:I194" si="98">IFERROR(E187/E189*100,0)</f>
        <v>88.57129533</v>
      </c>
      <c r="F194" s="114">
        <f t="shared" si="98"/>
        <v>0</v>
      </c>
      <c r="G194" s="114">
        <f t="shared" si="98"/>
        <v>14.07351418</v>
      </c>
      <c r="H194" s="114">
        <f t="shared" si="98"/>
        <v>85.28678304</v>
      </c>
      <c r="I194" s="114">
        <f t="shared" si="98"/>
        <v>77.51230614</v>
      </c>
    </row>
    <row r="195">
      <c r="A195" s="106"/>
      <c r="B195" s="107"/>
      <c r="C195" s="108" t="s">
        <v>665</v>
      </c>
      <c r="D195" s="113" t="s">
        <v>590</v>
      </c>
      <c r="E195" s="114">
        <f t="shared" ref="E195:I195" si="99">IFERROR(E187/E190*100,0)</f>
        <v>89.33657105</v>
      </c>
      <c r="F195" s="114">
        <f t="shared" si="99"/>
        <v>0</v>
      </c>
      <c r="G195" s="114">
        <f t="shared" si="99"/>
        <v>0</v>
      </c>
      <c r="H195" s="114">
        <f t="shared" si="99"/>
        <v>0</v>
      </c>
      <c r="I195" s="114">
        <f t="shared" si="99"/>
        <v>92.30386008</v>
      </c>
    </row>
    <row r="196">
      <c r="A196" s="115"/>
      <c r="B196" s="116"/>
      <c r="C196" s="117" t="s">
        <v>666</v>
      </c>
      <c r="D196" s="118" t="s">
        <v>590</v>
      </c>
      <c r="E196" s="119">
        <f t="shared" ref="E196:I196" si="100">IFERROR(E187/E191*100,0)</f>
        <v>89.33657105</v>
      </c>
      <c r="F196" s="119">
        <f t="shared" si="100"/>
        <v>0</v>
      </c>
      <c r="G196" s="119">
        <f t="shared" si="100"/>
        <v>0</v>
      </c>
      <c r="H196" s="119">
        <f t="shared" si="100"/>
        <v>0</v>
      </c>
      <c r="I196" s="119">
        <f t="shared" si="100"/>
        <v>92.30386008</v>
      </c>
    </row>
    <row r="197" ht="3.75" customHeight="1">
      <c r="A197" s="96"/>
      <c r="B197" s="97"/>
      <c r="C197" s="97"/>
      <c r="D197" s="98"/>
      <c r="E197" s="99"/>
      <c r="F197" s="99"/>
      <c r="G197" s="99"/>
      <c r="H197" s="99"/>
      <c r="I197" s="99"/>
    </row>
    <row r="198">
      <c r="A198" s="70"/>
      <c r="B198" s="65"/>
      <c r="C198" s="65"/>
      <c r="D198" s="66"/>
      <c r="E198" s="67"/>
      <c r="F198" s="67"/>
      <c r="G198" s="67"/>
      <c r="H198" s="67"/>
      <c r="I198" s="67"/>
    </row>
    <row r="199">
      <c r="A199" s="70"/>
      <c r="B199" s="65"/>
      <c r="C199" s="65"/>
      <c r="D199" s="66"/>
      <c r="E199" s="67"/>
      <c r="F199" s="67"/>
      <c r="G199" s="67"/>
      <c r="H199" s="67"/>
      <c r="I199" s="67"/>
    </row>
  </sheetData>
  <mergeCells count="5">
    <mergeCell ref="A5:A6"/>
    <mergeCell ref="B5:B6"/>
    <mergeCell ref="C5:C6"/>
    <mergeCell ref="D5:D6"/>
    <mergeCell ref="E5:I5"/>
  </mergeCells>
  <conditionalFormatting sqref="E14:I17">
    <cfRule type="cellIs" dxfId="0" priority="1" operator="greaterThan">
      <formula>99.99</formula>
    </cfRule>
  </conditionalFormatting>
  <conditionalFormatting sqref="E25:I28">
    <cfRule type="cellIs" dxfId="0" priority="2" operator="greaterThan">
      <formula>99.99</formula>
    </cfRule>
  </conditionalFormatting>
  <conditionalFormatting sqref="E36:I39">
    <cfRule type="cellIs" dxfId="0" priority="3" operator="greaterThan">
      <formula>99.99</formula>
    </cfRule>
  </conditionalFormatting>
  <conditionalFormatting sqref="E47:I50">
    <cfRule type="cellIs" dxfId="0" priority="4" operator="greaterThan">
      <formula>99.99</formula>
    </cfRule>
  </conditionalFormatting>
  <conditionalFormatting sqref="E58:I61">
    <cfRule type="cellIs" dxfId="0" priority="5" operator="greaterThan">
      <formula>99.99</formula>
    </cfRule>
  </conditionalFormatting>
  <conditionalFormatting sqref="E69:I72">
    <cfRule type="cellIs" dxfId="0" priority="6" operator="greaterThan">
      <formula>99.99</formula>
    </cfRule>
  </conditionalFormatting>
  <conditionalFormatting sqref="E80:I83">
    <cfRule type="cellIs" dxfId="0" priority="7" operator="greaterThan">
      <formula>99.99</formula>
    </cfRule>
  </conditionalFormatting>
  <conditionalFormatting sqref="E91:I94">
    <cfRule type="cellIs" dxfId="0" priority="8" operator="greaterThan">
      <formula>99.99</formula>
    </cfRule>
  </conditionalFormatting>
  <conditionalFormatting sqref="E113:I116">
    <cfRule type="cellIs" dxfId="0" priority="9" operator="greaterThan">
      <formula>99.99</formula>
    </cfRule>
  </conditionalFormatting>
  <conditionalFormatting sqref="E125:I128">
    <cfRule type="cellIs" dxfId="0" priority="10" operator="greaterThan">
      <formula>99.99</formula>
    </cfRule>
  </conditionalFormatting>
  <conditionalFormatting sqref="E137:I140">
    <cfRule type="cellIs" dxfId="0" priority="11" operator="greaterThan">
      <formula>99.99</formula>
    </cfRule>
  </conditionalFormatting>
  <conditionalFormatting sqref="E148:I151">
    <cfRule type="cellIs" dxfId="0" priority="12" operator="greaterThan">
      <formula>99.99</formula>
    </cfRule>
  </conditionalFormatting>
  <conditionalFormatting sqref="E159:I162">
    <cfRule type="cellIs" dxfId="0" priority="13" operator="greaterThan">
      <formula>99.99</formula>
    </cfRule>
  </conditionalFormatting>
  <conditionalFormatting sqref="E171:I174">
    <cfRule type="cellIs" dxfId="0" priority="14" operator="greaterThan">
      <formula>99.99</formula>
    </cfRule>
  </conditionalFormatting>
  <conditionalFormatting sqref="E182:I185">
    <cfRule type="cellIs" dxfId="0" priority="15" operator="greaterThan">
      <formula>99.99</formula>
    </cfRule>
  </conditionalFormatting>
  <conditionalFormatting sqref="E193:I196">
    <cfRule type="cellIs" dxfId="0" priority="16" operator="greaterThan">
      <formula>99.99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</cols>
  <sheetData>
    <row r="1">
      <c r="A1" s="127" t="s">
        <v>406</v>
      </c>
      <c r="B1" s="128" t="s">
        <v>1</v>
      </c>
      <c r="C1" s="128" t="s">
        <v>667</v>
      </c>
    </row>
    <row r="2">
      <c r="A2" s="129" t="s">
        <v>668</v>
      </c>
      <c r="B2" s="129" t="s">
        <v>75</v>
      </c>
      <c r="C2" s="129" t="s">
        <v>669</v>
      </c>
    </row>
    <row r="3">
      <c r="A3" s="129" t="s">
        <v>670</v>
      </c>
      <c r="B3" s="129" t="s">
        <v>148</v>
      </c>
      <c r="C3" s="129" t="s">
        <v>671</v>
      </c>
    </row>
    <row r="4">
      <c r="A4" s="129" t="s">
        <v>672</v>
      </c>
      <c r="B4" s="129" t="s">
        <v>167</v>
      </c>
      <c r="C4" s="129" t="s">
        <v>673</v>
      </c>
    </row>
    <row r="5">
      <c r="A5" s="129" t="s">
        <v>674</v>
      </c>
      <c r="B5" s="129" t="s">
        <v>170</v>
      </c>
      <c r="C5" s="129" t="s">
        <v>675</v>
      </c>
    </row>
    <row r="6">
      <c r="A6" s="129" t="s">
        <v>676</v>
      </c>
      <c r="B6" s="129" t="s">
        <v>12</v>
      </c>
      <c r="C6" s="129" t="s">
        <v>677</v>
      </c>
    </row>
    <row r="7">
      <c r="A7" s="129" t="s">
        <v>678</v>
      </c>
      <c r="B7" s="129" t="s">
        <v>187</v>
      </c>
      <c r="C7" s="129" t="s">
        <v>679</v>
      </c>
    </row>
    <row r="8">
      <c r="A8" s="129" t="s">
        <v>680</v>
      </c>
      <c r="B8" s="129" t="s">
        <v>203</v>
      </c>
      <c r="C8" s="129" t="s">
        <v>681</v>
      </c>
    </row>
    <row r="9">
      <c r="A9" s="129" t="s">
        <v>682</v>
      </c>
      <c r="B9" s="129" t="s">
        <v>212</v>
      </c>
      <c r="C9" s="129" t="s">
        <v>683</v>
      </c>
    </row>
    <row r="10">
      <c r="A10" s="129" t="s">
        <v>684</v>
      </c>
      <c r="B10" s="129" t="s">
        <v>220</v>
      </c>
      <c r="C10" s="129" t="s">
        <v>685</v>
      </c>
    </row>
    <row r="11">
      <c r="A11" s="129" t="s">
        <v>686</v>
      </c>
      <c r="B11" s="129" t="s">
        <v>687</v>
      </c>
      <c r="C11" s="129" t="s">
        <v>688</v>
      </c>
    </row>
    <row r="12">
      <c r="A12" s="129" t="s">
        <v>689</v>
      </c>
      <c r="B12" s="129" t="s">
        <v>32</v>
      </c>
      <c r="C12" s="129" t="s">
        <v>690</v>
      </c>
    </row>
    <row r="13">
      <c r="A13" s="129" t="s">
        <v>691</v>
      </c>
      <c r="B13" s="129" t="s">
        <v>231</v>
      </c>
      <c r="C13" s="129" t="s">
        <v>692</v>
      </c>
    </row>
    <row r="14">
      <c r="A14" s="129" t="s">
        <v>693</v>
      </c>
      <c r="B14" s="129" t="s">
        <v>233</v>
      </c>
      <c r="C14" s="129" t="s">
        <v>694</v>
      </c>
    </row>
    <row r="15">
      <c r="A15" s="129" t="s">
        <v>695</v>
      </c>
      <c r="B15" s="129" t="s">
        <v>244</v>
      </c>
      <c r="C15" s="129" t="s">
        <v>696</v>
      </c>
    </row>
    <row r="16">
      <c r="A16" s="129" t="s">
        <v>697</v>
      </c>
      <c r="B16" s="129" t="s">
        <v>254</v>
      </c>
      <c r="C16" s="129" t="s">
        <v>698</v>
      </c>
    </row>
    <row r="17">
      <c r="A17" s="129" t="s">
        <v>699</v>
      </c>
      <c r="B17" s="129" t="s">
        <v>259</v>
      </c>
      <c r="C17" s="129" t="s">
        <v>700</v>
      </c>
    </row>
    <row r="18">
      <c r="A18" s="129" t="s">
        <v>701</v>
      </c>
      <c r="B18" s="129" t="s">
        <v>66</v>
      </c>
      <c r="C18" s="129" t="s">
        <v>702</v>
      </c>
    </row>
    <row r="19">
      <c r="A19" s="130" t="s">
        <v>703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6.57"/>
    <col customWidth="1" min="2" max="2" width="42.0"/>
    <col customWidth="1" min="3" max="3" width="22.57"/>
    <col customWidth="1" min="4" max="4" width="8.14"/>
    <col customWidth="1" min="5" max="5" width="9.57"/>
    <col customWidth="1" min="6" max="8" width="9.86"/>
    <col customWidth="1" min="9" max="9" width="10.86"/>
  </cols>
  <sheetData>
    <row r="1">
      <c r="A1" s="64" t="s">
        <v>617</v>
      </c>
      <c r="B1" s="65"/>
      <c r="C1" s="65"/>
      <c r="D1" s="66"/>
      <c r="E1" s="67"/>
      <c r="F1" s="67"/>
      <c r="G1" s="67"/>
      <c r="H1" s="67"/>
      <c r="I1" s="67"/>
    </row>
    <row r="2">
      <c r="A2" s="68" t="s">
        <v>704</v>
      </c>
      <c r="B2" s="65"/>
      <c r="C2" s="65"/>
      <c r="D2" s="66"/>
      <c r="E2" s="67"/>
      <c r="F2" s="67"/>
      <c r="G2" s="67"/>
      <c r="H2" s="67"/>
      <c r="I2" s="67"/>
    </row>
    <row r="3">
      <c r="A3" s="69" t="str">
        <f>UPPER('Balin-A'!E5)</f>
        <v>BULAN MEI 2026</v>
      </c>
      <c r="B3" s="65"/>
      <c r="C3" s="65"/>
      <c r="D3" s="66"/>
      <c r="E3" s="67"/>
      <c r="F3" s="67"/>
      <c r="G3" s="67"/>
      <c r="H3" s="67"/>
      <c r="I3" s="67"/>
    </row>
    <row r="4">
      <c r="A4" s="70"/>
      <c r="B4" s="65"/>
      <c r="C4" s="65"/>
      <c r="D4" s="66"/>
      <c r="E4" s="67"/>
      <c r="F4" s="67"/>
      <c r="G4" s="67"/>
      <c r="H4" s="67"/>
      <c r="I4" s="67"/>
    </row>
    <row r="5">
      <c r="A5" s="71" t="s">
        <v>619</v>
      </c>
      <c r="B5" s="72" t="s">
        <v>405</v>
      </c>
      <c r="C5" s="73" t="s">
        <v>620</v>
      </c>
      <c r="D5" s="73" t="s">
        <v>621</v>
      </c>
      <c r="E5" s="74" t="s">
        <v>406</v>
      </c>
      <c r="F5" s="75"/>
      <c r="G5" s="75"/>
      <c r="H5" s="75"/>
      <c r="I5" s="75"/>
    </row>
    <row r="6">
      <c r="A6" s="76"/>
      <c r="B6" s="76"/>
      <c r="C6" s="76"/>
      <c r="D6" s="76"/>
      <c r="E6" s="77" t="s">
        <v>622</v>
      </c>
      <c r="F6" s="77" t="s">
        <v>623</v>
      </c>
      <c r="G6" s="77" t="s">
        <v>624</v>
      </c>
      <c r="H6" s="77" t="s">
        <v>625</v>
      </c>
      <c r="I6" s="78" t="s">
        <v>626</v>
      </c>
    </row>
    <row r="7">
      <c r="A7" s="79" t="s">
        <v>627</v>
      </c>
      <c r="B7" s="80" t="s">
        <v>705</v>
      </c>
      <c r="C7" s="65"/>
      <c r="D7" s="66"/>
      <c r="E7" s="67"/>
      <c r="F7" s="67"/>
      <c r="G7" s="67"/>
      <c r="H7" s="67"/>
      <c r="I7" s="67"/>
    </row>
    <row r="8">
      <c r="A8" s="81">
        <v>1.0</v>
      </c>
      <c r="B8" s="82" t="s">
        <v>706</v>
      </c>
      <c r="C8" s="83" t="s">
        <v>630</v>
      </c>
      <c r="D8" s="84" t="s">
        <v>631</v>
      </c>
      <c r="E8" s="85">
        <f>'Balin-A'!$E$167/1000</f>
        <v>74631.627</v>
      </c>
      <c r="F8" s="85">
        <f>'Kumai-A'!$E$167/1000</f>
        <v>0</v>
      </c>
      <c r="G8" s="85">
        <f>'Sinta-A'!$E$167/1000</f>
        <v>16895.706</v>
      </c>
      <c r="H8" s="85">
        <f>'Lokal-A'!$E$167/1000</f>
        <v>0</v>
      </c>
      <c r="I8" s="85">
        <f t="shared" ref="I8:I12" si="1">sum(E8:H8)</f>
        <v>91527.333</v>
      </c>
    </row>
    <row r="9">
      <c r="A9" s="70"/>
      <c r="B9" s="65"/>
      <c r="C9" s="83" t="s">
        <v>632</v>
      </c>
      <c r="D9" s="84" t="s">
        <v>631</v>
      </c>
      <c r="E9" s="85">
        <f>'Balin-A'!$F$167/1000</f>
        <v>68837.3</v>
      </c>
      <c r="F9" s="85">
        <f>'Kumai-A'!$F$167/1000</f>
        <v>0</v>
      </c>
      <c r="G9" s="85">
        <f>'Sinta-A'!$F$167/1000</f>
        <v>15562.982</v>
      </c>
      <c r="H9" s="85">
        <f>'Lokal-A'!$F$167/1000</f>
        <v>0</v>
      </c>
      <c r="I9" s="85">
        <f t="shared" si="1"/>
        <v>84400.282</v>
      </c>
    </row>
    <row r="10">
      <c r="A10" s="70"/>
      <c r="B10" s="65"/>
      <c r="C10" s="83" t="s">
        <v>633</v>
      </c>
      <c r="D10" s="84" t="s">
        <v>631</v>
      </c>
      <c r="E10" s="85">
        <f>'Balin-A'!$G$167/1000</f>
        <v>44287.531</v>
      </c>
      <c r="F10" s="85">
        <f>'Kumai-A'!$G$167/1000</f>
        <v>0</v>
      </c>
      <c r="G10" s="85">
        <f>'Sinta-A'!$G$167/1000</f>
        <v>13422.542</v>
      </c>
      <c r="H10" s="85">
        <f>'Lokal-A'!$G$167/1000</f>
        <v>0</v>
      </c>
      <c r="I10" s="85">
        <f t="shared" si="1"/>
        <v>57710.073</v>
      </c>
    </row>
    <row r="11">
      <c r="A11" s="70"/>
      <c r="B11" s="65"/>
      <c r="C11" s="83" t="s">
        <v>634</v>
      </c>
      <c r="D11" s="84" t="s">
        <v>631</v>
      </c>
      <c r="E11" s="85">
        <f>'Balin-A'!$H$167/1000</f>
        <v>52674</v>
      </c>
      <c r="F11" s="85">
        <f>'Kumai-A'!$H$167/1000</f>
        <v>0</v>
      </c>
      <c r="G11" s="85">
        <f>'Sinta-A'!$H$167/1000</f>
        <v>0</v>
      </c>
      <c r="H11" s="85">
        <f>'Lokal-A'!$H$167/1000</f>
        <v>0</v>
      </c>
      <c r="I11" s="85">
        <f t="shared" si="1"/>
        <v>52674</v>
      </c>
    </row>
    <row r="12">
      <c r="A12" s="70"/>
      <c r="B12" s="65"/>
      <c r="C12" s="83" t="s">
        <v>635</v>
      </c>
      <c r="D12" s="84" t="s">
        <v>631</v>
      </c>
      <c r="E12" s="85">
        <f>'Balin-A'!$I$167/1000</f>
        <v>52673.975</v>
      </c>
      <c r="F12" s="85">
        <f>'Kumai-A'!$I$167/1000</f>
        <v>0</v>
      </c>
      <c r="G12" s="85">
        <f>'Sinta-A'!$I$167/1000</f>
        <v>0</v>
      </c>
      <c r="H12" s="85">
        <f>'Lokal-A'!$I$167/1000</f>
        <v>0</v>
      </c>
      <c r="I12" s="85">
        <f t="shared" si="1"/>
        <v>52673.975</v>
      </c>
    </row>
    <row r="13" ht="7.5" customHeight="1">
      <c r="A13" s="70"/>
      <c r="B13" s="65"/>
      <c r="C13" s="86"/>
      <c r="D13" s="87"/>
      <c r="E13" s="88"/>
      <c r="F13" s="88"/>
      <c r="G13" s="88"/>
      <c r="H13" s="88"/>
      <c r="I13" s="88"/>
    </row>
    <row r="14">
      <c r="A14" s="70"/>
      <c r="B14" s="65"/>
      <c r="C14" s="83" t="s">
        <v>636</v>
      </c>
      <c r="D14" s="89" t="s">
        <v>590</v>
      </c>
      <c r="E14" s="90">
        <f t="shared" ref="E14:I14" si="2">IFERROR(E8/E9*100,0)</f>
        <v>108.4174234</v>
      </c>
      <c r="F14" s="90">
        <f t="shared" si="2"/>
        <v>0</v>
      </c>
      <c r="G14" s="90">
        <f t="shared" si="2"/>
        <v>108.5634231</v>
      </c>
      <c r="H14" s="90">
        <f t="shared" si="2"/>
        <v>0</v>
      </c>
      <c r="I14" s="90">
        <f t="shared" si="2"/>
        <v>108.444345</v>
      </c>
    </row>
    <row r="15">
      <c r="A15" s="70"/>
      <c r="B15" s="65"/>
      <c r="C15" s="83" t="s">
        <v>637</v>
      </c>
      <c r="D15" s="89" t="s">
        <v>590</v>
      </c>
      <c r="E15" s="90">
        <f t="shared" ref="E15:I15" si="3">IFERROR(E8/E10*100,0)</f>
        <v>168.5161157</v>
      </c>
      <c r="F15" s="90">
        <f t="shared" si="3"/>
        <v>0</v>
      </c>
      <c r="G15" s="90">
        <f t="shared" si="3"/>
        <v>125.8756054</v>
      </c>
      <c r="H15" s="90">
        <f t="shared" si="3"/>
        <v>0</v>
      </c>
      <c r="I15" s="90">
        <f t="shared" si="3"/>
        <v>158.5985396</v>
      </c>
    </row>
    <row r="16">
      <c r="A16" s="70"/>
      <c r="B16" s="65"/>
      <c r="C16" s="83" t="s">
        <v>638</v>
      </c>
      <c r="D16" s="89" t="s">
        <v>590</v>
      </c>
      <c r="E16" s="90">
        <f t="shared" ref="E16:I16" si="4">IFERROR(E8/E11*100,0)</f>
        <v>141.6858925</v>
      </c>
      <c r="F16" s="90">
        <f t="shared" si="4"/>
        <v>0</v>
      </c>
      <c r="G16" s="90">
        <f t="shared" si="4"/>
        <v>0</v>
      </c>
      <c r="H16" s="90">
        <f t="shared" si="4"/>
        <v>0</v>
      </c>
      <c r="I16" s="90">
        <f t="shared" si="4"/>
        <v>173.7618806</v>
      </c>
    </row>
    <row r="17">
      <c r="A17" s="91"/>
      <c r="B17" s="92"/>
      <c r="C17" s="93" t="s">
        <v>639</v>
      </c>
      <c r="D17" s="94" t="s">
        <v>590</v>
      </c>
      <c r="E17" s="95">
        <f t="shared" ref="E17:I17" si="5">IFERROR(E8/E12*100,0)</f>
        <v>141.6859597</v>
      </c>
      <c r="F17" s="95">
        <f t="shared" si="5"/>
        <v>0</v>
      </c>
      <c r="G17" s="95">
        <f t="shared" si="5"/>
        <v>0</v>
      </c>
      <c r="H17" s="95">
        <f t="shared" si="5"/>
        <v>0</v>
      </c>
      <c r="I17" s="95">
        <f t="shared" si="5"/>
        <v>173.7619631</v>
      </c>
    </row>
    <row r="18" ht="3.75" customHeight="1">
      <c r="A18" s="96"/>
      <c r="B18" s="97"/>
      <c r="C18" s="97"/>
      <c r="D18" s="98"/>
      <c r="E18" s="99"/>
      <c r="F18" s="99"/>
      <c r="G18" s="99"/>
      <c r="H18" s="99"/>
      <c r="I18" s="99"/>
    </row>
    <row r="19">
      <c r="A19" s="81">
        <v>2.0</v>
      </c>
      <c r="B19" s="82" t="s">
        <v>707</v>
      </c>
      <c r="C19" s="100" t="s">
        <v>630</v>
      </c>
      <c r="D19" s="84" t="s">
        <v>631</v>
      </c>
      <c r="E19" s="67">
        <f>'Balin-A'!$E$168/1000</f>
        <v>85750.216</v>
      </c>
      <c r="F19" s="67">
        <f>'Kumai-A'!$E$168/1000</f>
        <v>0</v>
      </c>
      <c r="G19" s="67">
        <f>'Sinta-A'!$E$168/1000</f>
        <v>7003.155</v>
      </c>
      <c r="H19" s="67">
        <f>'Lokal-A'!$E$168/1000</f>
        <v>0</v>
      </c>
      <c r="I19" s="67">
        <f t="shared" ref="I19:I23" si="6">sum(E19:H19)</f>
        <v>92753.371</v>
      </c>
    </row>
    <row r="20">
      <c r="A20" s="70"/>
      <c r="B20" s="65"/>
      <c r="C20" s="83" t="s">
        <v>632</v>
      </c>
      <c r="D20" s="84" t="s">
        <v>631</v>
      </c>
      <c r="E20" s="88">
        <f>'Balin-A'!$F$168/1000</f>
        <v>66451.17</v>
      </c>
      <c r="F20" s="88">
        <f>'Kumai-A'!$F$168/1000</f>
        <v>0</v>
      </c>
      <c r="G20" s="88">
        <f>'Sinta-A'!$F$168/1000</f>
        <v>6287.35</v>
      </c>
      <c r="H20" s="88">
        <f>'Lokal-A'!$F$168/1000</f>
        <v>5709.408</v>
      </c>
      <c r="I20" s="88">
        <f t="shared" si="6"/>
        <v>78447.928</v>
      </c>
    </row>
    <row r="21">
      <c r="A21" s="70"/>
      <c r="B21" s="65"/>
      <c r="C21" s="83" t="s">
        <v>633</v>
      </c>
      <c r="D21" s="84" t="s">
        <v>631</v>
      </c>
      <c r="E21" s="88">
        <f>'Balin-A'!$G$168/1000</f>
        <v>70457.699</v>
      </c>
      <c r="F21" s="88">
        <f>'Kumai-A'!$G$168/1000</f>
        <v>0</v>
      </c>
      <c r="G21" s="88">
        <f>'Sinta-A'!$G$168/1000</f>
        <v>39395.376</v>
      </c>
      <c r="H21" s="88">
        <f>'Lokal-A'!$G$168/1000</f>
        <v>0</v>
      </c>
      <c r="I21" s="88">
        <f t="shared" si="6"/>
        <v>109853.075</v>
      </c>
    </row>
    <row r="22">
      <c r="A22" s="70"/>
      <c r="B22" s="65"/>
      <c r="C22" s="83" t="s">
        <v>634</v>
      </c>
      <c r="D22" s="84" t="s">
        <v>631</v>
      </c>
      <c r="E22" s="88">
        <f>'Balin-A'!$H$168/1000</f>
        <v>81717</v>
      </c>
      <c r="F22" s="88">
        <f>'Kumai-A'!$H$168/1000</f>
        <v>0</v>
      </c>
      <c r="G22" s="88">
        <f>'Sinta-A'!$H$168/1000</f>
        <v>0</v>
      </c>
      <c r="H22" s="88">
        <f>'Lokal-A'!$H$168/1000</f>
        <v>0</v>
      </c>
      <c r="I22" s="88">
        <f t="shared" si="6"/>
        <v>81717</v>
      </c>
    </row>
    <row r="23">
      <c r="A23" s="70"/>
      <c r="B23" s="65"/>
      <c r="C23" s="83" t="s">
        <v>635</v>
      </c>
      <c r="D23" s="84" t="s">
        <v>631</v>
      </c>
      <c r="E23" s="88">
        <f>'Balin-A'!$I$168/1000</f>
        <v>81716.506</v>
      </c>
      <c r="F23" s="88">
        <f>'Kumai-A'!$I$168/1000</f>
        <v>0</v>
      </c>
      <c r="G23" s="88">
        <f>'Sinta-A'!$I$168/1000</f>
        <v>0</v>
      </c>
      <c r="H23" s="88">
        <f>'Lokal-A'!$I$168/1000</f>
        <v>0</v>
      </c>
      <c r="I23" s="88">
        <f t="shared" si="6"/>
        <v>81716.506</v>
      </c>
    </row>
    <row r="24" ht="7.5" customHeight="1">
      <c r="A24" s="70"/>
      <c r="B24" s="65"/>
      <c r="C24" s="86"/>
      <c r="D24" s="87"/>
      <c r="E24" s="88"/>
      <c r="F24" s="88"/>
      <c r="G24" s="88"/>
      <c r="H24" s="88"/>
      <c r="I24" s="88"/>
    </row>
    <row r="25">
      <c r="A25" s="70"/>
      <c r="B25" s="65"/>
      <c r="C25" s="83" t="s">
        <v>636</v>
      </c>
      <c r="D25" s="89" t="s">
        <v>590</v>
      </c>
      <c r="E25" s="90">
        <f t="shared" ref="E25:I25" si="7">IFERROR(E19/E20*100,0)</f>
        <v>129.0424473</v>
      </c>
      <c r="F25" s="90">
        <f t="shared" si="7"/>
        <v>0</v>
      </c>
      <c r="G25" s="90">
        <f t="shared" si="7"/>
        <v>111.3848442</v>
      </c>
      <c r="H25" s="90">
        <f t="shared" si="7"/>
        <v>0</v>
      </c>
      <c r="I25" s="90">
        <f t="shared" si="7"/>
        <v>118.2355906</v>
      </c>
    </row>
    <row r="26">
      <c r="A26" s="70"/>
      <c r="B26" s="65"/>
      <c r="C26" s="83" t="s">
        <v>637</v>
      </c>
      <c r="D26" s="89" t="s">
        <v>590</v>
      </c>
      <c r="E26" s="90">
        <f t="shared" ref="E26:I26" si="8">IFERROR(E19/E21*100,0)</f>
        <v>121.7045365</v>
      </c>
      <c r="F26" s="90">
        <f t="shared" si="8"/>
        <v>0</v>
      </c>
      <c r="G26" s="90">
        <f t="shared" si="8"/>
        <v>17.77659134</v>
      </c>
      <c r="H26" s="90">
        <f t="shared" si="8"/>
        <v>0</v>
      </c>
      <c r="I26" s="90">
        <f t="shared" si="8"/>
        <v>84.43402335</v>
      </c>
    </row>
    <row r="27">
      <c r="A27" s="70"/>
      <c r="B27" s="65"/>
      <c r="C27" s="83" t="s">
        <v>638</v>
      </c>
      <c r="D27" s="89" t="s">
        <v>590</v>
      </c>
      <c r="E27" s="90">
        <f t="shared" ref="E27:I27" si="9">IFERROR(E19/E22*100,0)</f>
        <v>104.9355899</v>
      </c>
      <c r="F27" s="90">
        <f t="shared" si="9"/>
        <v>0</v>
      </c>
      <c r="G27" s="90">
        <f t="shared" si="9"/>
        <v>0</v>
      </c>
      <c r="H27" s="90">
        <f t="shared" si="9"/>
        <v>0</v>
      </c>
      <c r="I27" s="90">
        <f t="shared" si="9"/>
        <v>113.5055998</v>
      </c>
    </row>
    <row r="28">
      <c r="A28" s="91"/>
      <c r="B28" s="92"/>
      <c r="C28" s="93" t="s">
        <v>639</v>
      </c>
      <c r="D28" s="94" t="s">
        <v>590</v>
      </c>
      <c r="E28" s="95">
        <f t="shared" ref="E28:I28" si="10">IFERROR(E19/E23*100,0)</f>
        <v>104.9362243</v>
      </c>
      <c r="F28" s="95">
        <f t="shared" si="10"/>
        <v>0</v>
      </c>
      <c r="G28" s="95">
        <f t="shared" si="10"/>
        <v>0</v>
      </c>
      <c r="H28" s="95">
        <f t="shared" si="10"/>
        <v>0</v>
      </c>
      <c r="I28" s="95">
        <f t="shared" si="10"/>
        <v>113.506286</v>
      </c>
    </row>
    <row r="29" ht="3.75" customHeight="1">
      <c r="A29" s="96"/>
      <c r="B29" s="97"/>
      <c r="C29" s="97"/>
      <c r="D29" s="98"/>
      <c r="E29" s="99"/>
      <c r="F29" s="99"/>
      <c r="G29" s="99"/>
      <c r="H29" s="99"/>
      <c r="I29" s="99"/>
    </row>
    <row r="30">
      <c r="A30" s="81">
        <v>3.0</v>
      </c>
      <c r="B30" s="82" t="s">
        <v>708</v>
      </c>
      <c r="C30" s="100" t="s">
        <v>630</v>
      </c>
      <c r="D30" s="84" t="s">
        <v>631</v>
      </c>
      <c r="E30" s="67">
        <f>'Balin-A'!$E$172/1000</f>
        <v>28306.05</v>
      </c>
      <c r="F30" s="67">
        <f>'Kumai-A'!$E$172/1000</f>
        <v>0</v>
      </c>
      <c r="G30" s="67">
        <f>'Sinta-A'!$E$172/1000</f>
        <v>0</v>
      </c>
      <c r="H30" s="67">
        <f>'Lokal-A'!$E$172/1000</f>
        <v>0</v>
      </c>
      <c r="I30" s="67">
        <f t="shared" ref="I30:I34" si="11">sum(E30:H30)</f>
        <v>28306.05</v>
      </c>
    </row>
    <row r="31">
      <c r="A31" s="70"/>
      <c r="B31" s="65"/>
      <c r="C31" s="83" t="s">
        <v>632</v>
      </c>
      <c r="D31" s="84" t="s">
        <v>631</v>
      </c>
      <c r="E31" s="88">
        <f>'Balin-A'!$F$172/1000</f>
        <v>26237.103</v>
      </c>
      <c r="F31" s="88">
        <f>'Kumai-A'!$F$172/1000</f>
        <v>0</v>
      </c>
      <c r="G31" s="88">
        <f>'Sinta-A'!$F$172/1000</f>
        <v>0</v>
      </c>
      <c r="H31" s="88">
        <f>'Lokal-A'!$F$172/1000</f>
        <v>0</v>
      </c>
      <c r="I31" s="88">
        <f t="shared" si="11"/>
        <v>26237.103</v>
      </c>
    </row>
    <row r="32">
      <c r="A32" s="70"/>
      <c r="B32" s="65"/>
      <c r="C32" s="83" t="s">
        <v>633</v>
      </c>
      <c r="D32" s="84" t="s">
        <v>631</v>
      </c>
      <c r="E32" s="88">
        <f>'Balin-A'!$G$172/1000</f>
        <v>19698.252</v>
      </c>
      <c r="F32" s="88">
        <f>'Kumai-A'!$G$172/1000</f>
        <v>0</v>
      </c>
      <c r="G32" s="88">
        <f>'Sinta-A'!$G$172/1000</f>
        <v>3426.46</v>
      </c>
      <c r="H32" s="88">
        <f>'Lokal-A'!$G$172/1000</f>
        <v>0</v>
      </c>
      <c r="I32" s="88">
        <f t="shared" si="11"/>
        <v>23124.712</v>
      </c>
    </row>
    <row r="33">
      <c r="A33" s="70"/>
      <c r="B33" s="65"/>
      <c r="C33" s="83" t="s">
        <v>634</v>
      </c>
      <c r="D33" s="84" t="s">
        <v>631</v>
      </c>
      <c r="E33" s="88">
        <f>'Balin-A'!$H$172/1000</f>
        <v>22253</v>
      </c>
      <c r="F33" s="88">
        <f>'Kumai-A'!$H$172/1000</f>
        <v>0</v>
      </c>
      <c r="G33" s="88">
        <f>'Sinta-A'!$H$172/1000</f>
        <v>0</v>
      </c>
      <c r="H33" s="88">
        <f>'Lokal-A'!$H$172/1000</f>
        <v>0</v>
      </c>
      <c r="I33" s="88">
        <f t="shared" si="11"/>
        <v>22253</v>
      </c>
    </row>
    <row r="34">
      <c r="A34" s="70"/>
      <c r="B34" s="65"/>
      <c r="C34" s="83" t="s">
        <v>635</v>
      </c>
      <c r="D34" s="84" t="s">
        <v>631</v>
      </c>
      <c r="E34" s="88">
        <f>'Balin-A'!$I$172/1000</f>
        <v>22252.551</v>
      </c>
      <c r="F34" s="88">
        <f>'Kumai-A'!$I$172/1000</f>
        <v>0</v>
      </c>
      <c r="G34" s="88">
        <f>'Sinta-A'!$I$172/1000</f>
        <v>0</v>
      </c>
      <c r="H34" s="88">
        <f>'Lokal-A'!$I$172/1000</f>
        <v>0</v>
      </c>
      <c r="I34" s="88">
        <f t="shared" si="11"/>
        <v>22252.551</v>
      </c>
    </row>
    <row r="35" ht="7.5" customHeight="1">
      <c r="A35" s="70"/>
      <c r="B35" s="65"/>
      <c r="C35" s="86"/>
      <c r="D35" s="87"/>
      <c r="E35" s="88"/>
      <c r="F35" s="88"/>
      <c r="G35" s="88"/>
      <c r="H35" s="88"/>
      <c r="I35" s="88"/>
    </row>
    <row r="36">
      <c r="A36" s="70"/>
      <c r="B36" s="65"/>
      <c r="C36" s="83" t="s">
        <v>636</v>
      </c>
      <c r="D36" s="89" t="s">
        <v>590</v>
      </c>
      <c r="E36" s="90">
        <f t="shared" ref="E36:I36" si="12">IFERROR(E30/E31*100,0)</f>
        <v>107.8855772</v>
      </c>
      <c r="F36" s="90">
        <f t="shared" si="12"/>
        <v>0</v>
      </c>
      <c r="G36" s="90">
        <f t="shared" si="12"/>
        <v>0</v>
      </c>
      <c r="H36" s="90">
        <f t="shared" si="12"/>
        <v>0</v>
      </c>
      <c r="I36" s="90">
        <f t="shared" si="12"/>
        <v>107.8855772</v>
      </c>
    </row>
    <row r="37">
      <c r="A37" s="70"/>
      <c r="B37" s="65"/>
      <c r="C37" s="83" t="s">
        <v>637</v>
      </c>
      <c r="D37" s="89" t="s">
        <v>590</v>
      </c>
      <c r="E37" s="90">
        <f t="shared" ref="E37:I37" si="13">IFERROR(E30/E32*100,0)</f>
        <v>143.6982835</v>
      </c>
      <c r="F37" s="90">
        <f t="shared" si="13"/>
        <v>0</v>
      </c>
      <c r="G37" s="90">
        <f t="shared" si="13"/>
        <v>0</v>
      </c>
      <c r="H37" s="90">
        <f t="shared" si="13"/>
        <v>0</v>
      </c>
      <c r="I37" s="90">
        <f t="shared" si="13"/>
        <v>122.406065</v>
      </c>
    </row>
    <row r="38">
      <c r="A38" s="70"/>
      <c r="B38" s="65"/>
      <c r="C38" s="83" t="s">
        <v>638</v>
      </c>
      <c r="D38" s="89" t="s">
        <v>590</v>
      </c>
      <c r="E38" s="90">
        <f t="shared" ref="E38:I38" si="14">IFERROR(E30/E33*100,0)</f>
        <v>127.2010515</v>
      </c>
      <c r="F38" s="90">
        <f t="shared" si="14"/>
        <v>0</v>
      </c>
      <c r="G38" s="90">
        <f t="shared" si="14"/>
        <v>0</v>
      </c>
      <c r="H38" s="90">
        <f t="shared" si="14"/>
        <v>0</v>
      </c>
      <c r="I38" s="90">
        <f t="shared" si="14"/>
        <v>127.2010515</v>
      </c>
    </row>
    <row r="39">
      <c r="A39" s="91"/>
      <c r="B39" s="92"/>
      <c r="C39" s="93" t="s">
        <v>639</v>
      </c>
      <c r="D39" s="94" t="s">
        <v>590</v>
      </c>
      <c r="E39" s="95">
        <f t="shared" ref="E39:I39" si="15">IFERROR(E30/E34*100,0)</f>
        <v>127.2036181</v>
      </c>
      <c r="F39" s="95">
        <f t="shared" si="15"/>
        <v>0</v>
      </c>
      <c r="G39" s="95">
        <f t="shared" si="15"/>
        <v>0</v>
      </c>
      <c r="H39" s="95">
        <f t="shared" si="15"/>
        <v>0</v>
      </c>
      <c r="I39" s="95">
        <f t="shared" si="15"/>
        <v>127.2036181</v>
      </c>
    </row>
    <row r="40" ht="3.75" customHeight="1">
      <c r="A40" s="96"/>
      <c r="B40" s="97"/>
      <c r="C40" s="97"/>
      <c r="D40" s="98"/>
      <c r="E40" s="99"/>
      <c r="F40" s="99"/>
      <c r="G40" s="99"/>
      <c r="H40" s="99"/>
      <c r="I40" s="99"/>
    </row>
    <row r="41">
      <c r="A41" s="81">
        <v>4.0</v>
      </c>
      <c r="B41" s="82" t="s">
        <v>709</v>
      </c>
      <c r="C41" s="100" t="s">
        <v>630</v>
      </c>
      <c r="D41" s="84" t="s">
        <v>631</v>
      </c>
      <c r="E41" s="67">
        <f>'Balin-A'!$E$174/1000</f>
        <v>0</v>
      </c>
      <c r="F41" s="67">
        <f>'Kumai-A'!$E$174/1000</f>
        <v>0</v>
      </c>
      <c r="G41" s="67">
        <f>'Sinta-A'!$E$174/1000</f>
        <v>0</v>
      </c>
      <c r="H41" s="67">
        <f>'Lokal-A'!$E$174/1000</f>
        <v>0</v>
      </c>
      <c r="I41" s="67">
        <f t="shared" ref="I41:I45" si="16">sum(E41:H41)</f>
        <v>0</v>
      </c>
    </row>
    <row r="42">
      <c r="A42" s="70"/>
      <c r="B42" s="65"/>
      <c r="C42" s="83" t="s">
        <v>632</v>
      </c>
      <c r="D42" s="84" t="s">
        <v>631</v>
      </c>
      <c r="E42" s="88">
        <f>'Balin-A'!$F$174/1000</f>
        <v>0</v>
      </c>
      <c r="F42" s="88">
        <f>'Kumai-A'!$F$174/1000</f>
        <v>0</v>
      </c>
      <c r="G42" s="88">
        <f>'Sinta-A'!$F$174/1000</f>
        <v>0</v>
      </c>
      <c r="H42" s="88">
        <f>'Lokal-A'!$F$174/1000</f>
        <v>0</v>
      </c>
      <c r="I42" s="88">
        <f t="shared" si="16"/>
        <v>0</v>
      </c>
    </row>
    <row r="43">
      <c r="A43" s="70"/>
      <c r="B43" s="65"/>
      <c r="C43" s="83" t="s">
        <v>633</v>
      </c>
      <c r="D43" s="84" t="s">
        <v>631</v>
      </c>
      <c r="E43" s="88">
        <f>'Balin-A'!$G$174/1000</f>
        <v>0</v>
      </c>
      <c r="F43" s="88">
        <f>'Kumai-A'!$G$174/1000</f>
        <v>0</v>
      </c>
      <c r="G43" s="88">
        <f>'Sinta-A'!$G$174/1000</f>
        <v>0</v>
      </c>
      <c r="H43" s="88">
        <f>'Lokal-A'!$G$174/1000</f>
        <v>0</v>
      </c>
      <c r="I43" s="88">
        <f t="shared" si="16"/>
        <v>0</v>
      </c>
    </row>
    <row r="44">
      <c r="A44" s="70"/>
      <c r="B44" s="65"/>
      <c r="C44" s="83" t="s">
        <v>634</v>
      </c>
      <c r="D44" s="84" t="s">
        <v>631</v>
      </c>
      <c r="E44" s="88">
        <f>'Balin-A'!$H$174/1000</f>
        <v>0</v>
      </c>
      <c r="F44" s="88">
        <f>'Kumai-A'!$H$174/1000</f>
        <v>0</v>
      </c>
      <c r="G44" s="88">
        <f>'Sinta-A'!$H$174/1000</f>
        <v>0</v>
      </c>
      <c r="H44" s="88">
        <f>'Lokal-A'!$H$174/1000</f>
        <v>0</v>
      </c>
      <c r="I44" s="88">
        <f t="shared" si="16"/>
        <v>0</v>
      </c>
    </row>
    <row r="45">
      <c r="A45" s="70"/>
      <c r="B45" s="65"/>
      <c r="C45" s="83" t="s">
        <v>635</v>
      </c>
      <c r="D45" s="84" t="s">
        <v>631</v>
      </c>
      <c r="E45" s="88">
        <f>'Balin-A'!$I$174/1000</f>
        <v>0</v>
      </c>
      <c r="F45" s="88">
        <f>'Kumai-A'!$I$174/1000</f>
        <v>0</v>
      </c>
      <c r="G45" s="88">
        <f>'Sinta-A'!$I$174/1000</f>
        <v>0</v>
      </c>
      <c r="H45" s="88">
        <f>'Lokal-A'!$I$174/1000</f>
        <v>0</v>
      </c>
      <c r="I45" s="88">
        <f t="shared" si="16"/>
        <v>0</v>
      </c>
    </row>
    <row r="46" ht="7.5" customHeight="1">
      <c r="A46" s="70"/>
      <c r="B46" s="65"/>
      <c r="C46" s="86"/>
      <c r="D46" s="87"/>
      <c r="E46" s="88"/>
      <c r="F46" s="88"/>
      <c r="G46" s="88"/>
      <c r="H46" s="88"/>
      <c r="I46" s="88"/>
    </row>
    <row r="47">
      <c r="A47" s="70"/>
      <c r="B47" s="65"/>
      <c r="C47" s="83" t="s">
        <v>636</v>
      </c>
      <c r="D47" s="89" t="s">
        <v>590</v>
      </c>
      <c r="E47" s="90">
        <f t="shared" ref="E47:I47" si="17">IFERROR(E41/E42*100,0)</f>
        <v>0</v>
      </c>
      <c r="F47" s="90">
        <f t="shared" si="17"/>
        <v>0</v>
      </c>
      <c r="G47" s="90">
        <f t="shared" si="17"/>
        <v>0</v>
      </c>
      <c r="H47" s="90">
        <f t="shared" si="17"/>
        <v>0</v>
      </c>
      <c r="I47" s="90">
        <f t="shared" si="17"/>
        <v>0</v>
      </c>
    </row>
    <row r="48">
      <c r="A48" s="70"/>
      <c r="B48" s="65"/>
      <c r="C48" s="83" t="s">
        <v>637</v>
      </c>
      <c r="D48" s="89" t="s">
        <v>590</v>
      </c>
      <c r="E48" s="90">
        <f t="shared" ref="E48:I48" si="18">IFERROR(E41/E43*100,0)</f>
        <v>0</v>
      </c>
      <c r="F48" s="90">
        <f t="shared" si="18"/>
        <v>0</v>
      </c>
      <c r="G48" s="90">
        <f t="shared" si="18"/>
        <v>0</v>
      </c>
      <c r="H48" s="90">
        <f t="shared" si="18"/>
        <v>0</v>
      </c>
      <c r="I48" s="90">
        <f t="shared" si="18"/>
        <v>0</v>
      </c>
    </row>
    <row r="49">
      <c r="A49" s="70"/>
      <c r="B49" s="65"/>
      <c r="C49" s="83" t="s">
        <v>638</v>
      </c>
      <c r="D49" s="89" t="s">
        <v>590</v>
      </c>
      <c r="E49" s="90">
        <f t="shared" ref="E49:I49" si="19">IFERROR(E41/E44*100,0)</f>
        <v>0</v>
      </c>
      <c r="F49" s="90">
        <f t="shared" si="19"/>
        <v>0</v>
      </c>
      <c r="G49" s="90">
        <f t="shared" si="19"/>
        <v>0</v>
      </c>
      <c r="H49" s="90">
        <f t="shared" si="19"/>
        <v>0</v>
      </c>
      <c r="I49" s="90">
        <f t="shared" si="19"/>
        <v>0</v>
      </c>
    </row>
    <row r="50">
      <c r="A50" s="91"/>
      <c r="B50" s="92"/>
      <c r="C50" s="93" t="s">
        <v>639</v>
      </c>
      <c r="D50" s="94" t="s">
        <v>590</v>
      </c>
      <c r="E50" s="95">
        <f t="shared" ref="E50:I50" si="20">IFERROR(E41/E45*100,0)</f>
        <v>0</v>
      </c>
      <c r="F50" s="95">
        <f t="shared" si="20"/>
        <v>0</v>
      </c>
      <c r="G50" s="95">
        <f t="shared" si="20"/>
        <v>0</v>
      </c>
      <c r="H50" s="95">
        <f t="shared" si="20"/>
        <v>0</v>
      </c>
      <c r="I50" s="95">
        <f t="shared" si="20"/>
        <v>0</v>
      </c>
    </row>
    <row r="51" ht="3.75" customHeight="1">
      <c r="A51" s="96"/>
      <c r="B51" s="97"/>
      <c r="C51" s="97"/>
      <c r="D51" s="98"/>
      <c r="E51" s="99"/>
      <c r="F51" s="99"/>
      <c r="G51" s="99"/>
      <c r="H51" s="99"/>
      <c r="I51" s="99"/>
    </row>
    <row r="52">
      <c r="A52" s="81">
        <v>5.0</v>
      </c>
      <c r="B52" s="82" t="s">
        <v>710</v>
      </c>
      <c r="C52" s="100" t="s">
        <v>630</v>
      </c>
      <c r="D52" s="84" t="s">
        <v>631</v>
      </c>
      <c r="E52" s="67">
        <f>'Balin-A'!$E$175/1000</f>
        <v>0</v>
      </c>
      <c r="F52" s="67">
        <f>'Kumai-A'!$E$175/1000</f>
        <v>0</v>
      </c>
      <c r="G52" s="67">
        <f>'Sinta-A'!$E$175/1000</f>
        <v>0</v>
      </c>
      <c r="H52" s="67">
        <f>'Lokal-A'!$E$175/1000</f>
        <v>0</v>
      </c>
      <c r="I52" s="67">
        <f t="shared" ref="I52:I56" si="21">sum(E52:H52)</f>
        <v>0</v>
      </c>
    </row>
    <row r="53">
      <c r="A53" s="70"/>
      <c r="B53" s="65"/>
      <c r="C53" s="83" t="s">
        <v>632</v>
      </c>
      <c r="D53" s="84" t="s">
        <v>631</v>
      </c>
      <c r="E53" s="88">
        <f>'Balin-A'!$F$175/1000</f>
        <v>518.96</v>
      </c>
      <c r="F53" s="88">
        <f>'Kumai-A'!$F$175/1000</f>
        <v>0</v>
      </c>
      <c r="G53" s="88">
        <f>'Sinta-A'!$F$175/1000</f>
        <v>0</v>
      </c>
      <c r="H53" s="88">
        <f>'Lokal-A'!$F$175/1000</f>
        <v>0</v>
      </c>
      <c r="I53" s="88">
        <f t="shared" si="21"/>
        <v>518.96</v>
      </c>
    </row>
    <row r="54">
      <c r="A54" s="70"/>
      <c r="B54" s="65"/>
      <c r="C54" s="83" t="s">
        <v>633</v>
      </c>
      <c r="D54" s="84" t="s">
        <v>631</v>
      </c>
      <c r="E54" s="88">
        <f>'Balin-A'!$G$175/1000</f>
        <v>0</v>
      </c>
      <c r="F54" s="88">
        <f>'Kumai-A'!$G$175/1000</f>
        <v>0</v>
      </c>
      <c r="G54" s="88">
        <f>'Sinta-A'!$G$175/1000</f>
        <v>0</v>
      </c>
      <c r="H54" s="88">
        <f>'Lokal-A'!$G$175/1000</f>
        <v>0</v>
      </c>
      <c r="I54" s="88">
        <f t="shared" si="21"/>
        <v>0</v>
      </c>
    </row>
    <row r="55">
      <c r="A55" s="70"/>
      <c r="B55" s="65"/>
      <c r="C55" s="83" t="s">
        <v>634</v>
      </c>
      <c r="D55" s="84" t="s">
        <v>631</v>
      </c>
      <c r="E55" s="88">
        <f>'Balin-A'!$H$175/1000</f>
        <v>7190</v>
      </c>
      <c r="F55" s="88">
        <f>'Kumai-A'!$H$175/1000</f>
        <v>0</v>
      </c>
      <c r="G55" s="88">
        <f>'Sinta-A'!$H$175/1000</f>
        <v>0</v>
      </c>
      <c r="H55" s="88">
        <f>'Lokal-A'!$H$175/1000</f>
        <v>0</v>
      </c>
      <c r="I55" s="88">
        <f t="shared" si="21"/>
        <v>7190</v>
      </c>
    </row>
    <row r="56">
      <c r="A56" s="70"/>
      <c r="B56" s="65"/>
      <c r="C56" s="83" t="s">
        <v>635</v>
      </c>
      <c r="D56" s="84" t="s">
        <v>631</v>
      </c>
      <c r="E56" s="88">
        <f>'Balin-A'!$I$175/1000</f>
        <v>7189.843</v>
      </c>
      <c r="F56" s="88">
        <f>'Kumai-A'!$I$175/1000</f>
        <v>0</v>
      </c>
      <c r="G56" s="88">
        <f>'Sinta-A'!$I$175/1000</f>
        <v>0</v>
      </c>
      <c r="H56" s="88">
        <f>'Lokal-A'!$I$175/1000</f>
        <v>0</v>
      </c>
      <c r="I56" s="88">
        <f t="shared" si="21"/>
        <v>7189.843</v>
      </c>
    </row>
    <row r="57" ht="7.5" customHeight="1">
      <c r="A57" s="70"/>
      <c r="B57" s="65"/>
      <c r="C57" s="86"/>
      <c r="D57" s="87"/>
      <c r="E57" s="88"/>
      <c r="F57" s="88"/>
      <c r="G57" s="88"/>
      <c r="H57" s="88"/>
      <c r="I57" s="88"/>
    </row>
    <row r="58">
      <c r="A58" s="70"/>
      <c r="B58" s="65"/>
      <c r="C58" s="83" t="s">
        <v>636</v>
      </c>
      <c r="D58" s="89" t="s">
        <v>590</v>
      </c>
      <c r="E58" s="90">
        <f t="shared" ref="E58:I58" si="22">IFERROR(E52/E53*100,0)</f>
        <v>0</v>
      </c>
      <c r="F58" s="90">
        <f t="shared" si="22"/>
        <v>0</v>
      </c>
      <c r="G58" s="90">
        <f t="shared" si="22"/>
        <v>0</v>
      </c>
      <c r="H58" s="90">
        <f t="shared" si="22"/>
        <v>0</v>
      </c>
      <c r="I58" s="90">
        <f t="shared" si="22"/>
        <v>0</v>
      </c>
    </row>
    <row r="59">
      <c r="A59" s="70"/>
      <c r="B59" s="65"/>
      <c r="C59" s="83" t="s">
        <v>637</v>
      </c>
      <c r="D59" s="89" t="s">
        <v>590</v>
      </c>
      <c r="E59" s="90">
        <f t="shared" ref="E59:I59" si="23">IFERROR(E52/E54*100,0)</f>
        <v>0</v>
      </c>
      <c r="F59" s="90">
        <f t="shared" si="23"/>
        <v>0</v>
      </c>
      <c r="G59" s="90">
        <f t="shared" si="23"/>
        <v>0</v>
      </c>
      <c r="H59" s="90">
        <f t="shared" si="23"/>
        <v>0</v>
      </c>
      <c r="I59" s="90">
        <f t="shared" si="23"/>
        <v>0</v>
      </c>
    </row>
    <row r="60">
      <c r="A60" s="70"/>
      <c r="B60" s="65"/>
      <c r="C60" s="83" t="s">
        <v>638</v>
      </c>
      <c r="D60" s="89" t="s">
        <v>590</v>
      </c>
      <c r="E60" s="90">
        <f t="shared" ref="E60:I60" si="24">IFERROR(E52/E55*100,0)</f>
        <v>0</v>
      </c>
      <c r="F60" s="90">
        <f t="shared" si="24"/>
        <v>0</v>
      </c>
      <c r="G60" s="90">
        <f t="shared" si="24"/>
        <v>0</v>
      </c>
      <c r="H60" s="90">
        <f t="shared" si="24"/>
        <v>0</v>
      </c>
      <c r="I60" s="90">
        <f t="shared" si="24"/>
        <v>0</v>
      </c>
    </row>
    <row r="61">
      <c r="A61" s="91"/>
      <c r="B61" s="92"/>
      <c r="C61" s="93" t="s">
        <v>639</v>
      </c>
      <c r="D61" s="94" t="s">
        <v>590</v>
      </c>
      <c r="E61" s="95">
        <f t="shared" ref="E61:I61" si="25">IFERROR(E52/E56*100,0)</f>
        <v>0</v>
      </c>
      <c r="F61" s="95">
        <f t="shared" si="25"/>
        <v>0</v>
      </c>
      <c r="G61" s="95">
        <f t="shared" si="25"/>
        <v>0</v>
      </c>
      <c r="H61" s="95">
        <f t="shared" si="25"/>
        <v>0</v>
      </c>
      <c r="I61" s="95">
        <f t="shared" si="25"/>
        <v>0</v>
      </c>
    </row>
    <row r="62" ht="3.75" customHeight="1">
      <c r="A62" s="96"/>
      <c r="B62" s="97"/>
      <c r="C62" s="97"/>
      <c r="D62" s="98"/>
      <c r="E62" s="99"/>
      <c r="F62" s="99"/>
      <c r="G62" s="99"/>
      <c r="H62" s="99"/>
      <c r="I62" s="99"/>
    </row>
    <row r="63">
      <c r="A63" s="81">
        <v>6.0</v>
      </c>
      <c r="B63" s="82" t="s">
        <v>711</v>
      </c>
      <c r="C63" s="100" t="s">
        <v>630</v>
      </c>
      <c r="D63" s="84" t="s">
        <v>631</v>
      </c>
      <c r="E63" s="67">
        <f>'Balin-A'!$E$176/1000</f>
        <v>17108.848</v>
      </c>
      <c r="F63" s="67">
        <f>'Kumai-A'!$E$176/1000</f>
        <v>0</v>
      </c>
      <c r="G63" s="67">
        <f>'Sinta-A'!$E$176/1000</f>
        <v>0</v>
      </c>
      <c r="H63" s="67">
        <f>'Lokal-A'!$E$176/1000</f>
        <v>0</v>
      </c>
      <c r="I63" s="67">
        <f t="shared" ref="I63:I67" si="26">sum(E63:H63)</f>
        <v>17108.848</v>
      </c>
    </row>
    <row r="64">
      <c r="A64" s="70"/>
      <c r="B64" s="65"/>
      <c r="C64" s="83" t="s">
        <v>632</v>
      </c>
      <c r="D64" s="84" t="s">
        <v>631</v>
      </c>
      <c r="E64" s="88">
        <f>'Balin-A'!$F$176/1000</f>
        <v>14146.34</v>
      </c>
      <c r="F64" s="88">
        <f>'Kumai-A'!$F$176/1000</f>
        <v>0</v>
      </c>
      <c r="G64" s="88">
        <f>'Sinta-A'!$F$176/1000</f>
        <v>0</v>
      </c>
      <c r="H64" s="88">
        <f>'Lokal-A'!$F$176/1000</f>
        <v>0</v>
      </c>
      <c r="I64" s="88">
        <f t="shared" si="26"/>
        <v>14146.34</v>
      </c>
    </row>
    <row r="65">
      <c r="A65" s="70"/>
      <c r="B65" s="65"/>
      <c r="C65" s="83" t="s">
        <v>633</v>
      </c>
      <c r="D65" s="84" t="s">
        <v>631</v>
      </c>
      <c r="E65" s="88">
        <f>'Balin-A'!$G$176/1000</f>
        <v>13718.574</v>
      </c>
      <c r="F65" s="88">
        <f>'Kumai-A'!$G$176/1000</f>
        <v>0</v>
      </c>
      <c r="G65" s="88">
        <f>'Sinta-A'!$G$176/1000</f>
        <v>50</v>
      </c>
      <c r="H65" s="88">
        <f>'Lokal-A'!$G$176/1000</f>
        <v>0</v>
      </c>
      <c r="I65" s="88">
        <f t="shared" si="26"/>
        <v>13768.574</v>
      </c>
    </row>
    <row r="66">
      <c r="A66" s="70"/>
      <c r="B66" s="65"/>
      <c r="C66" s="83" t="s">
        <v>634</v>
      </c>
      <c r="D66" s="84" t="s">
        <v>631</v>
      </c>
      <c r="E66" s="88">
        <f>'Balin-A'!$H$176/1000</f>
        <v>0</v>
      </c>
      <c r="F66" s="88">
        <f>'Kumai-A'!$H$176/1000</f>
        <v>0</v>
      </c>
      <c r="G66" s="88">
        <f>'Sinta-A'!$H$176/1000</f>
        <v>0</v>
      </c>
      <c r="H66" s="88">
        <f>'Lokal-A'!$H$176/1000</f>
        <v>0</v>
      </c>
      <c r="I66" s="88">
        <f t="shared" si="26"/>
        <v>0</v>
      </c>
    </row>
    <row r="67">
      <c r="A67" s="70"/>
      <c r="B67" s="65"/>
      <c r="C67" s="83" t="s">
        <v>635</v>
      </c>
      <c r="D67" s="84" t="s">
        <v>631</v>
      </c>
      <c r="E67" s="88">
        <f>'Balin-A'!$I$176/1000</f>
        <v>0</v>
      </c>
      <c r="F67" s="88">
        <f>'Kumai-A'!$I$176/1000</f>
        <v>0</v>
      </c>
      <c r="G67" s="88">
        <f>'Sinta-A'!$I$176/1000</f>
        <v>0</v>
      </c>
      <c r="H67" s="88">
        <f>'Lokal-A'!$I$176/1000</f>
        <v>0</v>
      </c>
      <c r="I67" s="88">
        <f t="shared" si="26"/>
        <v>0</v>
      </c>
    </row>
    <row r="68" ht="7.5" customHeight="1">
      <c r="A68" s="70"/>
      <c r="B68" s="65"/>
      <c r="C68" s="86"/>
      <c r="D68" s="87"/>
      <c r="E68" s="88"/>
      <c r="F68" s="88"/>
      <c r="G68" s="88"/>
      <c r="H68" s="88"/>
      <c r="I68" s="88"/>
    </row>
    <row r="69">
      <c r="A69" s="70"/>
      <c r="B69" s="65"/>
      <c r="C69" s="83" t="s">
        <v>636</v>
      </c>
      <c r="D69" s="89" t="s">
        <v>590</v>
      </c>
      <c r="E69" s="90">
        <f t="shared" ref="E69:I69" si="27">IFERROR(E63/E64*100,0)</f>
        <v>120.9418691</v>
      </c>
      <c r="F69" s="90">
        <f t="shared" si="27"/>
        <v>0</v>
      </c>
      <c r="G69" s="90">
        <f t="shared" si="27"/>
        <v>0</v>
      </c>
      <c r="H69" s="90">
        <f t="shared" si="27"/>
        <v>0</v>
      </c>
      <c r="I69" s="90">
        <f t="shared" si="27"/>
        <v>120.9418691</v>
      </c>
    </row>
    <row r="70">
      <c r="A70" s="70"/>
      <c r="B70" s="65"/>
      <c r="C70" s="83" t="s">
        <v>637</v>
      </c>
      <c r="D70" s="89" t="s">
        <v>590</v>
      </c>
      <c r="E70" s="90">
        <f t="shared" ref="E70:I70" si="28">IFERROR(E63/E65*100,0)</f>
        <v>124.7130205</v>
      </c>
      <c r="F70" s="90">
        <f t="shared" si="28"/>
        <v>0</v>
      </c>
      <c r="G70" s="90">
        <f t="shared" si="28"/>
        <v>0</v>
      </c>
      <c r="H70" s="90">
        <f t="shared" si="28"/>
        <v>0</v>
      </c>
      <c r="I70" s="90">
        <f t="shared" si="28"/>
        <v>124.2601304</v>
      </c>
    </row>
    <row r="71">
      <c r="A71" s="70"/>
      <c r="B71" s="65"/>
      <c r="C71" s="83" t="s">
        <v>638</v>
      </c>
      <c r="D71" s="89" t="s">
        <v>590</v>
      </c>
      <c r="E71" s="90">
        <f t="shared" ref="E71:I71" si="29">IFERROR(E63/E66*100,0)</f>
        <v>0</v>
      </c>
      <c r="F71" s="90">
        <f t="shared" si="29"/>
        <v>0</v>
      </c>
      <c r="G71" s="90">
        <f t="shared" si="29"/>
        <v>0</v>
      </c>
      <c r="H71" s="90">
        <f t="shared" si="29"/>
        <v>0</v>
      </c>
      <c r="I71" s="90">
        <f t="shared" si="29"/>
        <v>0</v>
      </c>
    </row>
    <row r="72">
      <c r="A72" s="91"/>
      <c r="B72" s="92"/>
      <c r="C72" s="93" t="s">
        <v>639</v>
      </c>
      <c r="D72" s="94" t="s">
        <v>590</v>
      </c>
      <c r="E72" s="95">
        <f t="shared" ref="E72:I72" si="30">IFERROR(E63/E67*100,0)</f>
        <v>0</v>
      </c>
      <c r="F72" s="95">
        <f t="shared" si="30"/>
        <v>0</v>
      </c>
      <c r="G72" s="95">
        <f t="shared" si="30"/>
        <v>0</v>
      </c>
      <c r="H72" s="95">
        <f t="shared" si="30"/>
        <v>0</v>
      </c>
      <c r="I72" s="95">
        <f t="shared" si="30"/>
        <v>0</v>
      </c>
    </row>
    <row r="73" ht="3.75" customHeight="1">
      <c r="A73" s="96"/>
      <c r="B73" s="97"/>
      <c r="C73" s="97"/>
      <c r="D73" s="98"/>
      <c r="E73" s="99"/>
      <c r="F73" s="99"/>
      <c r="G73" s="99"/>
      <c r="H73" s="99"/>
      <c r="I73" s="99"/>
    </row>
    <row r="74">
      <c r="A74" s="81">
        <v>7.0</v>
      </c>
      <c r="B74" s="82" t="s">
        <v>712</v>
      </c>
      <c r="C74" s="100" t="s">
        <v>630</v>
      </c>
      <c r="D74" s="84" t="s">
        <v>631</v>
      </c>
      <c r="E74" s="67">
        <f>'Balin-A'!$E$177/1000</f>
        <v>0</v>
      </c>
      <c r="F74" s="67">
        <f>'Kumai-A'!$E$177/1000</f>
        <v>0</v>
      </c>
      <c r="G74" s="67">
        <f>'Sinta-A'!$E$177/1000</f>
        <v>700</v>
      </c>
      <c r="H74" s="67">
        <f>'Lokal-A'!$E$177/1000</f>
        <v>0</v>
      </c>
      <c r="I74" s="67">
        <f t="shared" ref="I74:I78" si="31">sum(E74:H74)</f>
        <v>700</v>
      </c>
    </row>
    <row r="75">
      <c r="A75" s="70"/>
      <c r="B75" s="65"/>
      <c r="C75" s="83" t="s">
        <v>632</v>
      </c>
      <c r="D75" s="84" t="s">
        <v>631</v>
      </c>
      <c r="E75" s="88">
        <f>'Balin-A'!$F$177/1000</f>
        <v>425</v>
      </c>
      <c r="F75" s="88">
        <f>'Kumai-A'!$F$177/1000</f>
        <v>0</v>
      </c>
      <c r="G75" s="88">
        <f>'Sinta-A'!$F$177/1000</f>
        <v>0</v>
      </c>
      <c r="H75" s="88">
        <f>'Lokal-A'!$F$177/1000</f>
        <v>0</v>
      </c>
      <c r="I75" s="88">
        <f t="shared" si="31"/>
        <v>425</v>
      </c>
    </row>
    <row r="76">
      <c r="A76" s="70"/>
      <c r="B76" s="65"/>
      <c r="C76" s="83" t="s">
        <v>633</v>
      </c>
      <c r="D76" s="84" t="s">
        <v>631</v>
      </c>
      <c r="E76" s="88">
        <f>'Balin-A'!$G$177/1000</f>
        <v>1225</v>
      </c>
      <c r="F76" s="88">
        <f>'Kumai-A'!$G$177/1000</f>
        <v>0</v>
      </c>
      <c r="G76" s="88">
        <f>'Sinta-A'!$G$177/1000</f>
        <v>1570</v>
      </c>
      <c r="H76" s="88">
        <f>'Lokal-A'!$G$177/1000</f>
        <v>0</v>
      </c>
      <c r="I76" s="88">
        <f t="shared" si="31"/>
        <v>2795</v>
      </c>
    </row>
    <row r="77">
      <c r="A77" s="70"/>
      <c r="B77" s="65"/>
      <c r="C77" s="83" t="s">
        <v>634</v>
      </c>
      <c r="D77" s="84" t="s">
        <v>631</v>
      </c>
      <c r="E77" s="88">
        <f>'Balin-A'!$H$177/1000</f>
        <v>0</v>
      </c>
      <c r="F77" s="88">
        <f>'Kumai-A'!$H$177/1000</f>
        <v>0</v>
      </c>
      <c r="G77" s="88">
        <f>'Sinta-A'!$H$177/1000</f>
        <v>0</v>
      </c>
      <c r="H77" s="88">
        <f>'Lokal-A'!$H$177/1000</f>
        <v>0</v>
      </c>
      <c r="I77" s="88">
        <f t="shared" si="31"/>
        <v>0</v>
      </c>
    </row>
    <row r="78">
      <c r="A78" s="70"/>
      <c r="B78" s="65"/>
      <c r="C78" s="83" t="s">
        <v>635</v>
      </c>
      <c r="D78" s="84" t="s">
        <v>631</v>
      </c>
      <c r="E78" s="88">
        <f>'Balin-A'!$I$177/1000</f>
        <v>0</v>
      </c>
      <c r="F78" s="88">
        <f>'Kumai-A'!$I$177/1000</f>
        <v>0</v>
      </c>
      <c r="G78" s="88">
        <f>'Sinta-A'!$I$177/1000</f>
        <v>0</v>
      </c>
      <c r="H78" s="88">
        <f>'Lokal-A'!$I$177/1000</f>
        <v>0</v>
      </c>
      <c r="I78" s="88">
        <f t="shared" si="31"/>
        <v>0</v>
      </c>
    </row>
    <row r="79" ht="7.5" customHeight="1">
      <c r="A79" s="70"/>
      <c r="B79" s="65"/>
      <c r="C79" s="86"/>
      <c r="D79" s="87"/>
      <c r="E79" s="88"/>
      <c r="F79" s="88"/>
      <c r="G79" s="88"/>
      <c r="H79" s="88"/>
      <c r="I79" s="88"/>
    </row>
    <row r="80">
      <c r="A80" s="70"/>
      <c r="B80" s="65"/>
      <c r="C80" s="83" t="s">
        <v>636</v>
      </c>
      <c r="D80" s="89" t="s">
        <v>590</v>
      </c>
      <c r="E80" s="90">
        <f t="shared" ref="E80:I80" si="32">IFERROR(E74/E75*100,0)</f>
        <v>0</v>
      </c>
      <c r="F80" s="90">
        <f t="shared" si="32"/>
        <v>0</v>
      </c>
      <c r="G80" s="90">
        <f t="shared" si="32"/>
        <v>0</v>
      </c>
      <c r="H80" s="90">
        <f t="shared" si="32"/>
        <v>0</v>
      </c>
      <c r="I80" s="90">
        <f t="shared" si="32"/>
        <v>164.7058824</v>
      </c>
    </row>
    <row r="81">
      <c r="A81" s="70"/>
      <c r="B81" s="65"/>
      <c r="C81" s="83" t="s">
        <v>637</v>
      </c>
      <c r="D81" s="89" t="s">
        <v>590</v>
      </c>
      <c r="E81" s="90">
        <f t="shared" ref="E81:I81" si="33">IFERROR(E74/E76*100,0)</f>
        <v>0</v>
      </c>
      <c r="F81" s="90">
        <f t="shared" si="33"/>
        <v>0</v>
      </c>
      <c r="G81" s="90">
        <f t="shared" si="33"/>
        <v>44.58598726</v>
      </c>
      <c r="H81" s="90">
        <f t="shared" si="33"/>
        <v>0</v>
      </c>
      <c r="I81" s="90">
        <f t="shared" si="33"/>
        <v>25.04472272</v>
      </c>
    </row>
    <row r="82">
      <c r="A82" s="70"/>
      <c r="B82" s="65"/>
      <c r="C82" s="83" t="s">
        <v>638</v>
      </c>
      <c r="D82" s="89" t="s">
        <v>590</v>
      </c>
      <c r="E82" s="90">
        <f t="shared" ref="E82:I82" si="34">IFERROR(E74/E77*100,0)</f>
        <v>0</v>
      </c>
      <c r="F82" s="90">
        <f t="shared" si="34"/>
        <v>0</v>
      </c>
      <c r="G82" s="90">
        <f t="shared" si="34"/>
        <v>0</v>
      </c>
      <c r="H82" s="90">
        <f t="shared" si="34"/>
        <v>0</v>
      </c>
      <c r="I82" s="90">
        <f t="shared" si="34"/>
        <v>0</v>
      </c>
    </row>
    <row r="83">
      <c r="A83" s="91"/>
      <c r="B83" s="92"/>
      <c r="C83" s="93" t="s">
        <v>639</v>
      </c>
      <c r="D83" s="94" t="s">
        <v>590</v>
      </c>
      <c r="E83" s="95">
        <f t="shared" ref="E83:I83" si="35">IFERROR(E74/E78*100,0)</f>
        <v>0</v>
      </c>
      <c r="F83" s="95">
        <f t="shared" si="35"/>
        <v>0</v>
      </c>
      <c r="G83" s="95">
        <f t="shared" si="35"/>
        <v>0</v>
      </c>
      <c r="H83" s="95">
        <f t="shared" si="35"/>
        <v>0</v>
      </c>
      <c r="I83" s="95">
        <f t="shared" si="35"/>
        <v>0</v>
      </c>
    </row>
    <row r="84" ht="3.75" customHeight="1">
      <c r="A84" s="96"/>
      <c r="B84" s="97"/>
      <c r="C84" s="97"/>
      <c r="D84" s="98"/>
      <c r="E84" s="99"/>
      <c r="F84" s="99"/>
      <c r="G84" s="99"/>
      <c r="H84" s="99"/>
      <c r="I84" s="99"/>
    </row>
    <row r="85">
      <c r="A85" s="81">
        <v>8.0</v>
      </c>
      <c r="B85" s="82" t="s">
        <v>713</v>
      </c>
      <c r="C85" s="100" t="s">
        <v>630</v>
      </c>
      <c r="D85" s="84" t="s">
        <v>631</v>
      </c>
      <c r="E85" s="67">
        <f>'Balin-A'!$E$178/1000</f>
        <v>11492</v>
      </c>
      <c r="F85" s="67">
        <f>'Kumai-A'!$E$178/1000</f>
        <v>0</v>
      </c>
      <c r="G85" s="67">
        <f>'Sinta-A'!$E$178/1000</f>
        <v>0</v>
      </c>
      <c r="H85" s="67">
        <f>'Lokal-A'!$E$178/1000</f>
        <v>0</v>
      </c>
      <c r="I85" s="67">
        <f t="shared" ref="I85:I89" si="36">sum(E85:H85)</f>
        <v>11492</v>
      </c>
    </row>
    <row r="86">
      <c r="A86" s="70"/>
      <c r="B86" s="65"/>
      <c r="C86" s="83" t="s">
        <v>632</v>
      </c>
      <c r="D86" s="84" t="s">
        <v>631</v>
      </c>
      <c r="E86" s="88">
        <f>'Balin-A'!$F$178/1000</f>
        <v>15184</v>
      </c>
      <c r="F86" s="88">
        <f>'Kumai-A'!$F$178/1000</f>
        <v>0</v>
      </c>
      <c r="G86" s="88">
        <f>'Sinta-A'!$F$178/1000</f>
        <v>0</v>
      </c>
      <c r="H86" s="88">
        <f>'Lokal-A'!$F$178/1000</f>
        <v>0</v>
      </c>
      <c r="I86" s="88">
        <f t="shared" si="36"/>
        <v>15184</v>
      </c>
    </row>
    <row r="87">
      <c r="A87" s="70"/>
      <c r="B87" s="65"/>
      <c r="C87" s="83" t="s">
        <v>633</v>
      </c>
      <c r="D87" s="84" t="s">
        <v>631</v>
      </c>
      <c r="E87" s="88">
        <f>'Balin-A'!$G$178/1000</f>
        <v>8320</v>
      </c>
      <c r="F87" s="88">
        <f>'Kumai-A'!$G$178/1000</f>
        <v>0</v>
      </c>
      <c r="G87" s="88">
        <f>'Sinta-A'!$G$178/1000</f>
        <v>0</v>
      </c>
      <c r="H87" s="88">
        <f>'Lokal-A'!$G$178/1000</f>
        <v>0</v>
      </c>
      <c r="I87" s="88">
        <f t="shared" si="36"/>
        <v>8320</v>
      </c>
    </row>
    <row r="88">
      <c r="A88" s="70"/>
      <c r="B88" s="65"/>
      <c r="C88" s="83" t="s">
        <v>634</v>
      </c>
      <c r="D88" s="84" t="s">
        <v>631</v>
      </c>
      <c r="E88" s="88">
        <f>'Balin-A'!$H$178/1000</f>
        <v>0</v>
      </c>
      <c r="F88" s="88">
        <f>'Kumai-A'!$H$178/1000</f>
        <v>0</v>
      </c>
      <c r="G88" s="88">
        <f>'Sinta-A'!$H$178/1000</f>
        <v>0</v>
      </c>
      <c r="H88" s="88">
        <f>'Lokal-A'!$H$178/1000</f>
        <v>0</v>
      </c>
      <c r="I88" s="88">
        <f t="shared" si="36"/>
        <v>0</v>
      </c>
    </row>
    <row r="89">
      <c r="A89" s="70"/>
      <c r="B89" s="65"/>
      <c r="C89" s="83" t="s">
        <v>635</v>
      </c>
      <c r="D89" s="84" t="s">
        <v>631</v>
      </c>
      <c r="E89" s="88">
        <f>'Balin-A'!$I$178/1000</f>
        <v>0</v>
      </c>
      <c r="F89" s="88">
        <f>'Kumai-A'!$I$178/1000</f>
        <v>0</v>
      </c>
      <c r="G89" s="88">
        <f>'Sinta-A'!$I$178/1000</f>
        <v>0</v>
      </c>
      <c r="H89" s="88">
        <f>'Lokal-A'!$I$178/1000</f>
        <v>0</v>
      </c>
      <c r="I89" s="88">
        <f t="shared" si="36"/>
        <v>0</v>
      </c>
    </row>
    <row r="90" ht="7.5" customHeight="1">
      <c r="A90" s="70"/>
      <c r="B90" s="65"/>
      <c r="C90" s="86"/>
      <c r="D90" s="87"/>
      <c r="E90" s="88"/>
      <c r="F90" s="88"/>
      <c r="G90" s="88"/>
      <c r="H90" s="88"/>
      <c r="I90" s="88"/>
    </row>
    <row r="91">
      <c r="A91" s="70"/>
      <c r="B91" s="65"/>
      <c r="C91" s="83" t="s">
        <v>636</v>
      </c>
      <c r="D91" s="89" t="s">
        <v>590</v>
      </c>
      <c r="E91" s="90">
        <f t="shared" ref="E91:I91" si="37">IFERROR(E85/E86*100,0)</f>
        <v>75.68493151</v>
      </c>
      <c r="F91" s="90">
        <f t="shared" si="37"/>
        <v>0</v>
      </c>
      <c r="G91" s="90">
        <f t="shared" si="37"/>
        <v>0</v>
      </c>
      <c r="H91" s="90">
        <f t="shared" si="37"/>
        <v>0</v>
      </c>
      <c r="I91" s="90">
        <f t="shared" si="37"/>
        <v>75.68493151</v>
      </c>
    </row>
    <row r="92">
      <c r="A92" s="70"/>
      <c r="B92" s="65"/>
      <c r="C92" s="83" t="s">
        <v>637</v>
      </c>
      <c r="D92" s="89" t="s">
        <v>590</v>
      </c>
      <c r="E92" s="90">
        <f t="shared" ref="E92:I92" si="38">IFERROR(E85/E87*100,0)</f>
        <v>138.125</v>
      </c>
      <c r="F92" s="90">
        <f t="shared" si="38"/>
        <v>0</v>
      </c>
      <c r="G92" s="90">
        <f t="shared" si="38"/>
        <v>0</v>
      </c>
      <c r="H92" s="90">
        <f t="shared" si="38"/>
        <v>0</v>
      </c>
      <c r="I92" s="90">
        <f t="shared" si="38"/>
        <v>138.125</v>
      </c>
    </row>
    <row r="93">
      <c r="A93" s="70"/>
      <c r="B93" s="65"/>
      <c r="C93" s="83" t="s">
        <v>638</v>
      </c>
      <c r="D93" s="89" t="s">
        <v>590</v>
      </c>
      <c r="E93" s="90">
        <f t="shared" ref="E93:I93" si="39">IFERROR(E85/E88*100,0)</f>
        <v>0</v>
      </c>
      <c r="F93" s="90">
        <f t="shared" si="39"/>
        <v>0</v>
      </c>
      <c r="G93" s="90">
        <f t="shared" si="39"/>
        <v>0</v>
      </c>
      <c r="H93" s="90">
        <f t="shared" si="39"/>
        <v>0</v>
      </c>
      <c r="I93" s="90">
        <f t="shared" si="39"/>
        <v>0</v>
      </c>
    </row>
    <row r="94">
      <c r="A94" s="91"/>
      <c r="B94" s="92"/>
      <c r="C94" s="93" t="s">
        <v>639</v>
      </c>
      <c r="D94" s="94" t="s">
        <v>590</v>
      </c>
      <c r="E94" s="95">
        <f t="shared" ref="E94:I94" si="40">IFERROR(E85/E89*100,0)</f>
        <v>0</v>
      </c>
      <c r="F94" s="95">
        <f t="shared" si="40"/>
        <v>0</v>
      </c>
      <c r="G94" s="95">
        <f t="shared" si="40"/>
        <v>0</v>
      </c>
      <c r="H94" s="95">
        <f t="shared" si="40"/>
        <v>0</v>
      </c>
      <c r="I94" s="95">
        <f t="shared" si="40"/>
        <v>0</v>
      </c>
    </row>
    <row r="95" ht="3.75" customHeight="1">
      <c r="A95" s="96"/>
      <c r="B95" s="97"/>
      <c r="C95" s="97"/>
      <c r="D95" s="98"/>
      <c r="E95" s="99"/>
      <c r="F95" s="99"/>
      <c r="G95" s="99"/>
      <c r="H95" s="99"/>
      <c r="I95" s="99"/>
    </row>
    <row r="96">
      <c r="A96" s="81">
        <v>9.0</v>
      </c>
      <c r="B96" s="82" t="s">
        <v>714</v>
      </c>
      <c r="C96" s="100" t="s">
        <v>630</v>
      </c>
      <c r="D96" s="84" t="s">
        <v>631</v>
      </c>
      <c r="E96" s="67">
        <f>'Balin-A'!$E$182/1000</f>
        <v>74115.892</v>
      </c>
      <c r="F96" s="67">
        <f>'Kumai-A'!$E$182/1000</f>
        <v>0</v>
      </c>
      <c r="G96" s="67">
        <f>'Sinta-A'!$E$182/1000</f>
        <v>0</v>
      </c>
      <c r="H96" s="67">
        <f>'Lokal-A'!$E$182/1000</f>
        <v>0</v>
      </c>
      <c r="I96" s="67">
        <f t="shared" ref="I96:I100" si="41">sum(E96:H96)</f>
        <v>74115.892</v>
      </c>
    </row>
    <row r="97">
      <c r="A97" s="70"/>
      <c r="B97" s="65"/>
      <c r="C97" s="83" t="s">
        <v>632</v>
      </c>
      <c r="D97" s="84" t="s">
        <v>631</v>
      </c>
      <c r="E97" s="88">
        <f>'Balin-A'!$F$182/1000</f>
        <v>74115.892</v>
      </c>
      <c r="F97" s="88">
        <f>'Kumai-A'!$F$182/1000</f>
        <v>0</v>
      </c>
      <c r="G97" s="88">
        <f>'Sinta-A'!$F$182/1000</f>
        <v>0</v>
      </c>
      <c r="H97" s="88">
        <f>'Lokal-A'!$F$182/1000</f>
        <v>0</v>
      </c>
      <c r="I97" s="88">
        <f t="shared" si="41"/>
        <v>74115.892</v>
      </c>
    </row>
    <row r="98">
      <c r="A98" s="70"/>
      <c r="B98" s="65"/>
      <c r="C98" s="83" t="s">
        <v>633</v>
      </c>
      <c r="D98" s="84" t="s">
        <v>631</v>
      </c>
      <c r="E98" s="88">
        <f>'Balin-A'!$G$182/1000</f>
        <v>0</v>
      </c>
      <c r="F98" s="88">
        <f>'Kumai-A'!$G$182/1000</f>
        <v>0</v>
      </c>
      <c r="G98" s="88">
        <f>'Sinta-A'!$G$182/1000</f>
        <v>0</v>
      </c>
      <c r="H98" s="88">
        <f>'Lokal-A'!$G$182/1000</f>
        <v>0</v>
      </c>
      <c r="I98" s="88">
        <f t="shared" si="41"/>
        <v>0</v>
      </c>
    </row>
    <row r="99">
      <c r="A99" s="70"/>
      <c r="B99" s="65"/>
      <c r="C99" s="83" t="s">
        <v>634</v>
      </c>
      <c r="D99" s="84" t="s">
        <v>631</v>
      </c>
      <c r="E99" s="88">
        <f>'Balin-A'!$H$182/1000</f>
        <v>74116</v>
      </c>
      <c r="F99" s="88">
        <f>'Kumai-A'!$H$182/1000</f>
        <v>0</v>
      </c>
      <c r="G99" s="88">
        <f>'Sinta-A'!$H$182/1000</f>
        <v>0</v>
      </c>
      <c r="H99" s="88">
        <f>'Lokal-A'!$H$182/1000</f>
        <v>0</v>
      </c>
      <c r="I99" s="88">
        <f t="shared" si="41"/>
        <v>74116</v>
      </c>
    </row>
    <row r="100">
      <c r="A100" s="70"/>
      <c r="B100" s="65"/>
      <c r="C100" s="83" t="s">
        <v>635</v>
      </c>
      <c r="D100" s="84" t="s">
        <v>631</v>
      </c>
      <c r="E100" s="88">
        <f>'Balin-A'!$I$182/1000</f>
        <v>74115.892</v>
      </c>
      <c r="F100" s="88">
        <f>'Kumai-A'!$I$182/1000</f>
        <v>0</v>
      </c>
      <c r="G100" s="88">
        <f>'Sinta-A'!$I$182/1000</f>
        <v>0</v>
      </c>
      <c r="H100" s="88">
        <f>'Lokal-A'!$I$182/1000</f>
        <v>0</v>
      </c>
      <c r="I100" s="88">
        <f t="shared" si="41"/>
        <v>74115.892</v>
      </c>
    </row>
    <row r="101" ht="7.5" customHeight="1">
      <c r="A101" s="70"/>
      <c r="B101" s="65"/>
      <c r="C101" s="86"/>
      <c r="D101" s="87"/>
      <c r="E101" s="88"/>
      <c r="F101" s="88"/>
      <c r="G101" s="88"/>
      <c r="H101" s="88"/>
      <c r="I101" s="88"/>
    </row>
    <row r="102">
      <c r="A102" s="70"/>
      <c r="B102" s="65"/>
      <c r="C102" s="83" t="s">
        <v>636</v>
      </c>
      <c r="D102" s="89" t="s">
        <v>590</v>
      </c>
      <c r="E102" s="90">
        <f t="shared" ref="E102:I102" si="42">IFERROR(E96/E97*100,0)</f>
        <v>100</v>
      </c>
      <c r="F102" s="90">
        <f t="shared" si="42"/>
        <v>0</v>
      </c>
      <c r="G102" s="90">
        <f t="shared" si="42"/>
        <v>0</v>
      </c>
      <c r="H102" s="90">
        <f t="shared" si="42"/>
        <v>0</v>
      </c>
      <c r="I102" s="90">
        <f t="shared" si="42"/>
        <v>100</v>
      </c>
    </row>
    <row r="103">
      <c r="A103" s="70"/>
      <c r="B103" s="65"/>
      <c r="C103" s="83" t="s">
        <v>637</v>
      </c>
      <c r="D103" s="89" t="s">
        <v>590</v>
      </c>
      <c r="E103" s="90">
        <f t="shared" ref="E103:I103" si="43">IFERROR(E96/E98*100,0)</f>
        <v>0</v>
      </c>
      <c r="F103" s="90">
        <f t="shared" si="43"/>
        <v>0</v>
      </c>
      <c r="G103" s="90">
        <f t="shared" si="43"/>
        <v>0</v>
      </c>
      <c r="H103" s="90">
        <f t="shared" si="43"/>
        <v>0</v>
      </c>
      <c r="I103" s="90">
        <f t="shared" si="43"/>
        <v>0</v>
      </c>
    </row>
    <row r="104">
      <c r="A104" s="70"/>
      <c r="B104" s="65"/>
      <c r="C104" s="83" t="s">
        <v>638</v>
      </c>
      <c r="D104" s="89" t="s">
        <v>590</v>
      </c>
      <c r="E104" s="90">
        <f t="shared" ref="E104:I104" si="44">IFERROR(E96/E99*100,0)</f>
        <v>99.99985428</v>
      </c>
      <c r="F104" s="90">
        <f t="shared" si="44"/>
        <v>0</v>
      </c>
      <c r="G104" s="90">
        <f t="shared" si="44"/>
        <v>0</v>
      </c>
      <c r="H104" s="90">
        <f t="shared" si="44"/>
        <v>0</v>
      </c>
      <c r="I104" s="90">
        <f t="shared" si="44"/>
        <v>99.99985428</v>
      </c>
    </row>
    <row r="105">
      <c r="A105" s="91"/>
      <c r="B105" s="92"/>
      <c r="C105" s="93" t="s">
        <v>639</v>
      </c>
      <c r="D105" s="94" t="s">
        <v>590</v>
      </c>
      <c r="E105" s="95">
        <f t="shared" ref="E105:I105" si="45">IFERROR(E96/E100*100,0)</f>
        <v>100</v>
      </c>
      <c r="F105" s="95">
        <f t="shared" si="45"/>
        <v>0</v>
      </c>
      <c r="G105" s="95">
        <f t="shared" si="45"/>
        <v>0</v>
      </c>
      <c r="H105" s="95">
        <f t="shared" si="45"/>
        <v>0</v>
      </c>
      <c r="I105" s="95">
        <f t="shared" si="45"/>
        <v>100</v>
      </c>
    </row>
    <row r="106" ht="3.75" customHeight="1">
      <c r="A106" s="96"/>
      <c r="B106" s="97"/>
      <c r="C106" s="97"/>
      <c r="D106" s="98"/>
      <c r="E106" s="99"/>
      <c r="F106" s="99"/>
      <c r="G106" s="99"/>
      <c r="H106" s="99"/>
      <c r="I106" s="99"/>
    </row>
    <row r="107">
      <c r="A107" s="81">
        <v>10.0</v>
      </c>
      <c r="B107" s="82" t="s">
        <v>715</v>
      </c>
      <c r="C107" s="100" t="s">
        <v>630</v>
      </c>
      <c r="D107" s="84" t="s">
        <v>631</v>
      </c>
      <c r="E107" s="67">
        <f>'Balin-A'!$E$183/1000</f>
        <v>0</v>
      </c>
      <c r="F107" s="67">
        <f>'Kumai-A'!$E$183/1000</f>
        <v>0</v>
      </c>
      <c r="G107" s="67">
        <f>'Sinta-A'!$E$183/1000</f>
        <v>0</v>
      </c>
      <c r="H107" s="67">
        <f>'Lokal-A'!$E$183/1000</f>
        <v>0</v>
      </c>
      <c r="I107" s="67">
        <f t="shared" ref="I107:I111" si="46">sum(E107:H107)</f>
        <v>0</v>
      </c>
    </row>
    <row r="108">
      <c r="A108" s="70"/>
      <c r="B108" s="65"/>
      <c r="C108" s="83" t="s">
        <v>632</v>
      </c>
      <c r="D108" s="84" t="s">
        <v>631</v>
      </c>
      <c r="E108" s="88">
        <f>'Balin-A'!$F$183/1000</f>
        <v>0</v>
      </c>
      <c r="F108" s="88">
        <f>'Kumai-A'!$F$183/1000</f>
        <v>0</v>
      </c>
      <c r="G108" s="88">
        <f>'Sinta-A'!$F$183/1000</f>
        <v>0</v>
      </c>
      <c r="H108" s="88">
        <f>'Lokal-A'!$F$183/1000</f>
        <v>0</v>
      </c>
      <c r="I108" s="88">
        <f t="shared" si="46"/>
        <v>0</v>
      </c>
    </row>
    <row r="109">
      <c r="A109" s="70"/>
      <c r="B109" s="65"/>
      <c r="C109" s="83" t="s">
        <v>633</v>
      </c>
      <c r="D109" s="84" t="s">
        <v>631</v>
      </c>
      <c r="E109" s="88">
        <f>'Balin-A'!$G$183/1000</f>
        <v>0</v>
      </c>
      <c r="F109" s="88">
        <f>'Kumai-A'!$G$183/1000</f>
        <v>0</v>
      </c>
      <c r="G109" s="88">
        <f>'Sinta-A'!$G$183/1000</f>
        <v>0</v>
      </c>
      <c r="H109" s="88">
        <f>'Lokal-A'!$G$183/1000</f>
        <v>0</v>
      </c>
      <c r="I109" s="88">
        <f t="shared" si="46"/>
        <v>0</v>
      </c>
    </row>
    <row r="110">
      <c r="A110" s="70"/>
      <c r="B110" s="65"/>
      <c r="C110" s="83" t="s">
        <v>634</v>
      </c>
      <c r="D110" s="84" t="s">
        <v>631</v>
      </c>
      <c r="E110" s="88">
        <f>'Balin-A'!$H$183/1000</f>
        <v>44</v>
      </c>
      <c r="F110" s="88">
        <f>'Kumai-A'!$H$183/1000</f>
        <v>0</v>
      </c>
      <c r="G110" s="88">
        <f>'Sinta-A'!$H$183/1000</f>
        <v>0</v>
      </c>
      <c r="H110" s="88">
        <f>'Lokal-A'!$H$183/1000</f>
        <v>0</v>
      </c>
      <c r="I110" s="88">
        <f t="shared" si="46"/>
        <v>44</v>
      </c>
    </row>
    <row r="111">
      <c r="A111" s="70"/>
      <c r="B111" s="65"/>
      <c r="C111" s="83" t="s">
        <v>635</v>
      </c>
      <c r="D111" s="84" t="s">
        <v>631</v>
      </c>
      <c r="E111" s="88">
        <f>'Balin-A'!$I$183/1000</f>
        <v>44</v>
      </c>
      <c r="F111" s="88">
        <f>'Kumai-A'!$I$183/1000</f>
        <v>0</v>
      </c>
      <c r="G111" s="88">
        <f>'Sinta-A'!$I$183/1000</f>
        <v>0</v>
      </c>
      <c r="H111" s="88">
        <f>'Lokal-A'!$I$183/1000</f>
        <v>0</v>
      </c>
      <c r="I111" s="88">
        <f t="shared" si="46"/>
        <v>44</v>
      </c>
    </row>
    <row r="112" ht="7.5" customHeight="1">
      <c r="A112" s="70"/>
      <c r="B112" s="65"/>
      <c r="C112" s="86"/>
      <c r="D112" s="87"/>
      <c r="E112" s="88"/>
      <c r="F112" s="88"/>
      <c r="G112" s="88"/>
      <c r="H112" s="88"/>
      <c r="I112" s="88"/>
    </row>
    <row r="113">
      <c r="A113" s="70"/>
      <c r="B113" s="65"/>
      <c r="C113" s="83" t="s">
        <v>636</v>
      </c>
      <c r="D113" s="89" t="s">
        <v>590</v>
      </c>
      <c r="E113" s="90">
        <f t="shared" ref="E113:I113" si="47">IFERROR(E107/E108*100,0)</f>
        <v>0</v>
      </c>
      <c r="F113" s="90">
        <f t="shared" si="47"/>
        <v>0</v>
      </c>
      <c r="G113" s="90">
        <f t="shared" si="47"/>
        <v>0</v>
      </c>
      <c r="H113" s="90">
        <f t="shared" si="47"/>
        <v>0</v>
      </c>
      <c r="I113" s="90">
        <f t="shared" si="47"/>
        <v>0</v>
      </c>
    </row>
    <row r="114">
      <c r="A114" s="70"/>
      <c r="B114" s="65"/>
      <c r="C114" s="83" t="s">
        <v>637</v>
      </c>
      <c r="D114" s="89" t="s">
        <v>590</v>
      </c>
      <c r="E114" s="90">
        <f t="shared" ref="E114:I114" si="48">IFERROR(E107/E109*100,0)</f>
        <v>0</v>
      </c>
      <c r="F114" s="90">
        <f t="shared" si="48"/>
        <v>0</v>
      </c>
      <c r="G114" s="90">
        <f t="shared" si="48"/>
        <v>0</v>
      </c>
      <c r="H114" s="90">
        <f t="shared" si="48"/>
        <v>0</v>
      </c>
      <c r="I114" s="90">
        <f t="shared" si="48"/>
        <v>0</v>
      </c>
    </row>
    <row r="115">
      <c r="A115" s="70"/>
      <c r="B115" s="65"/>
      <c r="C115" s="83" t="s">
        <v>638</v>
      </c>
      <c r="D115" s="89" t="s">
        <v>590</v>
      </c>
      <c r="E115" s="90">
        <f t="shared" ref="E115:I115" si="49">IFERROR(E107/E110*100,0)</f>
        <v>0</v>
      </c>
      <c r="F115" s="90">
        <f t="shared" si="49"/>
        <v>0</v>
      </c>
      <c r="G115" s="90">
        <f t="shared" si="49"/>
        <v>0</v>
      </c>
      <c r="H115" s="90">
        <f t="shared" si="49"/>
        <v>0</v>
      </c>
      <c r="I115" s="90">
        <f t="shared" si="49"/>
        <v>0</v>
      </c>
    </row>
    <row r="116">
      <c r="A116" s="91"/>
      <c r="B116" s="92"/>
      <c r="C116" s="93" t="s">
        <v>639</v>
      </c>
      <c r="D116" s="94" t="s">
        <v>590</v>
      </c>
      <c r="E116" s="95">
        <f t="shared" ref="E116:I116" si="50">IFERROR(E107/E111*100,0)</f>
        <v>0</v>
      </c>
      <c r="F116" s="95">
        <f t="shared" si="50"/>
        <v>0</v>
      </c>
      <c r="G116" s="95">
        <f t="shared" si="50"/>
        <v>0</v>
      </c>
      <c r="H116" s="95">
        <f t="shared" si="50"/>
        <v>0</v>
      </c>
      <c r="I116" s="95">
        <f t="shared" si="50"/>
        <v>0</v>
      </c>
    </row>
    <row r="117" ht="3.75" customHeight="1">
      <c r="A117" s="96"/>
      <c r="B117" s="97"/>
      <c r="C117" s="97"/>
      <c r="D117" s="98"/>
      <c r="E117" s="99"/>
      <c r="F117" s="99"/>
      <c r="G117" s="99"/>
      <c r="H117" s="99"/>
      <c r="I117" s="99"/>
    </row>
    <row r="118">
      <c r="A118" s="81">
        <v>11.0</v>
      </c>
      <c r="B118" s="82" t="s">
        <v>716</v>
      </c>
      <c r="C118" s="100" t="s">
        <v>630</v>
      </c>
      <c r="D118" s="84" t="s">
        <v>631</v>
      </c>
      <c r="E118" s="67">
        <f>'Balin-A'!$E$184/1000</f>
        <v>91100.501</v>
      </c>
      <c r="F118" s="67">
        <f>'Kumai-A'!$E$184/1000</f>
        <v>0</v>
      </c>
      <c r="G118" s="67">
        <f>'Sinta-A'!$E$184/1000</f>
        <v>74621.074</v>
      </c>
      <c r="H118" s="67">
        <f>'Lokal-A'!$E$184/1000</f>
        <v>0</v>
      </c>
      <c r="I118" s="67">
        <f t="shared" ref="I118:I122" si="51">sum(E118:H118)</f>
        <v>165721.575</v>
      </c>
    </row>
    <row r="119">
      <c r="A119" s="70"/>
      <c r="B119" s="65"/>
      <c r="C119" s="83" t="s">
        <v>632</v>
      </c>
      <c r="D119" s="84" t="s">
        <v>631</v>
      </c>
      <c r="E119" s="88">
        <f>'Balin-A'!$F$184/1000</f>
        <v>69891.788</v>
      </c>
      <c r="F119" s="88">
        <f>'Kumai-A'!$F$184/1000</f>
        <v>0</v>
      </c>
      <c r="G119" s="88">
        <f>'Sinta-A'!$F$184/1000</f>
        <v>40107.511</v>
      </c>
      <c r="H119" s="88">
        <f>'Lokal-A'!$F$184/1000</f>
        <v>3889.024</v>
      </c>
      <c r="I119" s="88">
        <f t="shared" si="51"/>
        <v>113888.323</v>
      </c>
    </row>
    <row r="120">
      <c r="A120" s="70"/>
      <c r="B120" s="65"/>
      <c r="C120" s="83" t="s">
        <v>633</v>
      </c>
      <c r="D120" s="84" t="s">
        <v>631</v>
      </c>
      <c r="E120" s="88">
        <f>'Balin-A'!$G$184/1000</f>
        <v>74362.776</v>
      </c>
      <c r="F120" s="88">
        <f>'Kumai-A'!$G$184/1000</f>
        <v>0</v>
      </c>
      <c r="G120" s="88">
        <f>'Sinta-A'!$G$184/1000</f>
        <v>58498.893</v>
      </c>
      <c r="H120" s="88">
        <f>'Lokal-A'!$G$184/1000</f>
        <v>0</v>
      </c>
      <c r="I120" s="88">
        <f t="shared" si="51"/>
        <v>132861.669</v>
      </c>
    </row>
    <row r="121">
      <c r="A121" s="70"/>
      <c r="B121" s="65"/>
      <c r="C121" s="83" t="s">
        <v>634</v>
      </c>
      <c r="D121" s="84" t="s">
        <v>631</v>
      </c>
      <c r="E121" s="88">
        <f>'Balin-A'!$H$184/1000</f>
        <v>98675</v>
      </c>
      <c r="F121" s="88">
        <f>'Kumai-A'!$H$184/1000</f>
        <v>0</v>
      </c>
      <c r="G121" s="88">
        <f>'Sinta-A'!$H$184/1000</f>
        <v>0</v>
      </c>
      <c r="H121" s="88">
        <f>'Lokal-A'!$H$184/1000</f>
        <v>0</v>
      </c>
      <c r="I121" s="88">
        <f t="shared" si="51"/>
        <v>98675</v>
      </c>
    </row>
    <row r="122">
      <c r="A122" s="70"/>
      <c r="B122" s="65"/>
      <c r="C122" s="83" t="s">
        <v>635</v>
      </c>
      <c r="D122" s="84" t="s">
        <v>631</v>
      </c>
      <c r="E122" s="88">
        <f>'Balin-A'!$I$184/1000</f>
        <v>98675.422</v>
      </c>
      <c r="F122" s="88">
        <f>'Kumai-A'!$I$184/1000</f>
        <v>0</v>
      </c>
      <c r="G122" s="88">
        <f>'Sinta-A'!$I$184/1000</f>
        <v>0</v>
      </c>
      <c r="H122" s="88">
        <f>'Lokal-A'!$I$184/1000</f>
        <v>0</v>
      </c>
      <c r="I122" s="88">
        <f t="shared" si="51"/>
        <v>98675.422</v>
      </c>
    </row>
    <row r="123" ht="7.5" customHeight="1">
      <c r="A123" s="70"/>
      <c r="B123" s="65"/>
      <c r="C123" s="86"/>
      <c r="D123" s="87"/>
      <c r="E123" s="88"/>
      <c r="F123" s="88"/>
      <c r="G123" s="88"/>
      <c r="H123" s="88"/>
      <c r="I123" s="88"/>
    </row>
    <row r="124">
      <c r="A124" s="70"/>
      <c r="B124" s="65"/>
      <c r="C124" s="83" t="s">
        <v>636</v>
      </c>
      <c r="D124" s="89" t="s">
        <v>590</v>
      </c>
      <c r="E124" s="90">
        <f t="shared" ref="E124:I124" si="52">IFERROR(E118/E119*100,0)</f>
        <v>130.3450714</v>
      </c>
      <c r="F124" s="90">
        <f t="shared" si="52"/>
        <v>0</v>
      </c>
      <c r="G124" s="90">
        <f t="shared" si="52"/>
        <v>186.0526174</v>
      </c>
      <c r="H124" s="90">
        <f t="shared" si="52"/>
        <v>0</v>
      </c>
      <c r="I124" s="90">
        <f t="shared" si="52"/>
        <v>145.5123498</v>
      </c>
    </row>
    <row r="125">
      <c r="A125" s="70"/>
      <c r="B125" s="65"/>
      <c r="C125" s="83" t="s">
        <v>637</v>
      </c>
      <c r="D125" s="89" t="s">
        <v>590</v>
      </c>
      <c r="E125" s="90">
        <f t="shared" ref="E125:I125" si="53">IFERROR(E118/E120*100,0)</f>
        <v>122.5082036</v>
      </c>
      <c r="F125" s="90">
        <f t="shared" si="53"/>
        <v>0</v>
      </c>
      <c r="G125" s="90">
        <f t="shared" si="53"/>
        <v>127.5598053</v>
      </c>
      <c r="H125" s="90">
        <f t="shared" si="53"/>
        <v>0</v>
      </c>
      <c r="I125" s="90">
        <f t="shared" si="53"/>
        <v>124.73242</v>
      </c>
    </row>
    <row r="126">
      <c r="A126" s="70"/>
      <c r="B126" s="65"/>
      <c r="C126" s="83" t="s">
        <v>638</v>
      </c>
      <c r="D126" s="89" t="s">
        <v>590</v>
      </c>
      <c r="E126" s="90">
        <f t="shared" ref="E126:I126" si="54">IFERROR(E118/E121*100,0)</f>
        <v>92.32379123</v>
      </c>
      <c r="F126" s="90">
        <f t="shared" si="54"/>
        <v>0</v>
      </c>
      <c r="G126" s="90">
        <f t="shared" si="54"/>
        <v>0</v>
      </c>
      <c r="H126" s="90">
        <f t="shared" si="54"/>
        <v>0</v>
      </c>
      <c r="I126" s="90">
        <f t="shared" si="54"/>
        <v>167.946871</v>
      </c>
    </row>
    <row r="127">
      <c r="A127" s="91"/>
      <c r="B127" s="92"/>
      <c r="C127" s="93" t="s">
        <v>639</v>
      </c>
      <c r="D127" s="94" t="s">
        <v>590</v>
      </c>
      <c r="E127" s="95">
        <f t="shared" ref="E127:I127" si="55">IFERROR(E118/E122*100,0)</f>
        <v>92.3233964</v>
      </c>
      <c r="F127" s="95">
        <f t="shared" si="55"/>
        <v>0</v>
      </c>
      <c r="G127" s="95">
        <f t="shared" si="55"/>
        <v>0</v>
      </c>
      <c r="H127" s="95">
        <f t="shared" si="55"/>
        <v>0</v>
      </c>
      <c r="I127" s="95">
        <f t="shared" si="55"/>
        <v>167.9461528</v>
      </c>
    </row>
    <row r="128" ht="3.75" customHeight="1">
      <c r="A128" s="96"/>
      <c r="B128" s="97"/>
      <c r="C128" s="97"/>
      <c r="D128" s="98"/>
      <c r="E128" s="99"/>
      <c r="F128" s="99"/>
      <c r="G128" s="99"/>
      <c r="H128" s="99"/>
      <c r="I128" s="99"/>
    </row>
    <row r="129">
      <c r="A129" s="81">
        <v>12.0</v>
      </c>
      <c r="B129" s="82" t="s">
        <v>717</v>
      </c>
      <c r="C129" s="100" t="s">
        <v>630</v>
      </c>
      <c r="D129" s="84" t="s">
        <v>631</v>
      </c>
      <c r="E129" s="67">
        <f>'Balin-A'!$E$185/1000</f>
        <v>2058.988</v>
      </c>
      <c r="F129" s="67">
        <f>'Kumai-A'!$E$185/1000</f>
        <v>0</v>
      </c>
      <c r="G129" s="67">
        <f>'Sinta-A'!$E$185/1000</f>
        <v>0</v>
      </c>
      <c r="H129" s="67">
        <f>'Lokal-A'!$E$185/1000</f>
        <v>0</v>
      </c>
      <c r="I129" s="67">
        <f t="shared" ref="I129:I133" si="56">sum(E129:H129)</f>
        <v>2058.988</v>
      </c>
    </row>
    <row r="130">
      <c r="A130" s="70"/>
      <c r="B130" s="65"/>
      <c r="C130" s="83" t="s">
        <v>632</v>
      </c>
      <c r="D130" s="84" t="s">
        <v>631</v>
      </c>
      <c r="E130" s="88">
        <f>'Balin-A'!$F$185/1000</f>
        <v>1062.968</v>
      </c>
      <c r="F130" s="88">
        <f>'Kumai-A'!$F$185/1000</f>
        <v>0</v>
      </c>
      <c r="G130" s="88">
        <f>'Sinta-A'!$F$185/1000</f>
        <v>0</v>
      </c>
      <c r="H130" s="88">
        <f>'Lokal-A'!$F$185/1000</f>
        <v>0</v>
      </c>
      <c r="I130" s="88">
        <f t="shared" si="56"/>
        <v>1062.968</v>
      </c>
    </row>
    <row r="131">
      <c r="A131" s="70"/>
      <c r="B131" s="65"/>
      <c r="C131" s="83" t="s">
        <v>633</v>
      </c>
      <c r="D131" s="84" t="s">
        <v>631</v>
      </c>
      <c r="E131" s="88">
        <f>'Balin-A'!$G$185/1000</f>
        <v>676.676</v>
      </c>
      <c r="F131" s="88">
        <f>'Kumai-A'!$G$185/1000</f>
        <v>0</v>
      </c>
      <c r="G131" s="88">
        <f>'Sinta-A'!$G$185/1000</f>
        <v>749</v>
      </c>
      <c r="H131" s="88">
        <f>'Lokal-A'!$G$185/1000</f>
        <v>0</v>
      </c>
      <c r="I131" s="88">
        <f t="shared" si="56"/>
        <v>1425.676</v>
      </c>
    </row>
    <row r="132">
      <c r="A132" s="70"/>
      <c r="B132" s="65"/>
      <c r="C132" s="83" t="s">
        <v>634</v>
      </c>
      <c r="D132" s="84" t="s">
        <v>631</v>
      </c>
      <c r="E132" s="88">
        <f>'Balin-A'!$H$185/1000</f>
        <v>3675</v>
      </c>
      <c r="F132" s="88">
        <f>'Kumai-A'!$H$185/1000</f>
        <v>0</v>
      </c>
      <c r="G132" s="88">
        <f>'Sinta-A'!$H$185/1000</f>
        <v>0</v>
      </c>
      <c r="H132" s="88">
        <f>'Lokal-A'!$H$185/1000</f>
        <v>0</v>
      </c>
      <c r="I132" s="88">
        <f t="shared" si="56"/>
        <v>3675</v>
      </c>
    </row>
    <row r="133">
      <c r="A133" s="70"/>
      <c r="B133" s="65"/>
      <c r="C133" s="83" t="s">
        <v>635</v>
      </c>
      <c r="D133" s="84" t="s">
        <v>631</v>
      </c>
      <c r="E133" s="88">
        <f>'Balin-A'!$I$185/1000</f>
        <v>3675</v>
      </c>
      <c r="F133" s="88">
        <f>'Kumai-A'!$I$185/1000</f>
        <v>0</v>
      </c>
      <c r="G133" s="88">
        <f>'Sinta-A'!$I$185/1000</f>
        <v>0</v>
      </c>
      <c r="H133" s="88">
        <f>'Lokal-A'!$I$185/1000</f>
        <v>0</v>
      </c>
      <c r="I133" s="88">
        <f t="shared" si="56"/>
        <v>3675</v>
      </c>
    </row>
    <row r="134" ht="7.5" customHeight="1">
      <c r="A134" s="70"/>
      <c r="B134" s="65"/>
      <c r="C134" s="86"/>
      <c r="D134" s="87"/>
      <c r="E134" s="88"/>
      <c r="F134" s="88"/>
      <c r="G134" s="88"/>
      <c r="H134" s="88"/>
      <c r="I134" s="88"/>
    </row>
    <row r="135">
      <c r="A135" s="70"/>
      <c r="B135" s="65"/>
      <c r="C135" s="83" t="s">
        <v>636</v>
      </c>
      <c r="D135" s="89" t="s">
        <v>590</v>
      </c>
      <c r="E135" s="90">
        <f t="shared" ref="E135:I135" si="57">IFERROR(E129/E130*100,0)</f>
        <v>193.7017859</v>
      </c>
      <c r="F135" s="90">
        <f t="shared" si="57"/>
        <v>0</v>
      </c>
      <c r="G135" s="90">
        <f t="shared" si="57"/>
        <v>0</v>
      </c>
      <c r="H135" s="90">
        <f t="shared" si="57"/>
        <v>0</v>
      </c>
      <c r="I135" s="90">
        <f t="shared" si="57"/>
        <v>193.7017859</v>
      </c>
    </row>
    <row r="136">
      <c r="A136" s="70"/>
      <c r="B136" s="65"/>
      <c r="C136" s="83" t="s">
        <v>637</v>
      </c>
      <c r="D136" s="89" t="s">
        <v>590</v>
      </c>
      <c r="E136" s="90">
        <f t="shared" ref="E136:I136" si="58">IFERROR(E129/E131*100,0)</f>
        <v>304.2797439</v>
      </c>
      <c r="F136" s="90">
        <f t="shared" si="58"/>
        <v>0</v>
      </c>
      <c r="G136" s="90">
        <f t="shared" si="58"/>
        <v>0</v>
      </c>
      <c r="H136" s="90">
        <f t="shared" si="58"/>
        <v>0</v>
      </c>
      <c r="I136" s="90">
        <f t="shared" si="58"/>
        <v>144.4218743</v>
      </c>
    </row>
    <row r="137">
      <c r="A137" s="70"/>
      <c r="B137" s="65"/>
      <c r="C137" s="83" t="s">
        <v>638</v>
      </c>
      <c r="D137" s="89" t="s">
        <v>590</v>
      </c>
      <c r="E137" s="90">
        <f t="shared" ref="E137:I137" si="59">IFERROR(E129/E132*100,0)</f>
        <v>56.02688435</v>
      </c>
      <c r="F137" s="90">
        <f t="shared" si="59"/>
        <v>0</v>
      </c>
      <c r="G137" s="90">
        <f t="shared" si="59"/>
        <v>0</v>
      </c>
      <c r="H137" s="90">
        <f t="shared" si="59"/>
        <v>0</v>
      </c>
      <c r="I137" s="90">
        <f t="shared" si="59"/>
        <v>56.02688435</v>
      </c>
    </row>
    <row r="138">
      <c r="A138" s="91"/>
      <c r="B138" s="92"/>
      <c r="C138" s="93" t="s">
        <v>639</v>
      </c>
      <c r="D138" s="94" t="s">
        <v>590</v>
      </c>
      <c r="E138" s="95">
        <f t="shared" ref="E138:I138" si="60">IFERROR(E129/E133*100,0)</f>
        <v>56.02688435</v>
      </c>
      <c r="F138" s="95">
        <f t="shared" si="60"/>
        <v>0</v>
      </c>
      <c r="G138" s="95">
        <f t="shared" si="60"/>
        <v>0</v>
      </c>
      <c r="H138" s="95">
        <f t="shared" si="60"/>
        <v>0</v>
      </c>
      <c r="I138" s="95">
        <f t="shared" si="60"/>
        <v>56.02688435</v>
      </c>
    </row>
    <row r="139" ht="3.75" customHeight="1">
      <c r="A139" s="96"/>
      <c r="B139" s="97"/>
      <c r="C139" s="97"/>
      <c r="D139" s="98"/>
      <c r="E139" s="99"/>
      <c r="F139" s="99"/>
      <c r="G139" s="99"/>
      <c r="H139" s="99"/>
      <c r="I139" s="99"/>
    </row>
    <row r="140">
      <c r="A140" s="81">
        <v>13.0</v>
      </c>
      <c r="B140" s="82" t="s">
        <v>718</v>
      </c>
      <c r="C140" s="100" t="s">
        <v>630</v>
      </c>
      <c r="D140" s="84" t="s">
        <v>631</v>
      </c>
      <c r="E140" s="67">
        <f>'Balin-A'!$E$186/1000</f>
        <v>1050.7</v>
      </c>
      <c r="F140" s="67">
        <f>'Kumai-A'!$E$186/1000</f>
        <v>0</v>
      </c>
      <c r="G140" s="67">
        <f>'Sinta-A'!$E$186/1000</f>
        <v>0</v>
      </c>
      <c r="H140" s="67">
        <f>'Lokal-A'!$E$186/1000</f>
        <v>0</v>
      </c>
      <c r="I140" s="67">
        <f t="shared" ref="I140:I144" si="61">sum(E140:H140)</f>
        <v>1050.7</v>
      </c>
    </row>
    <row r="141">
      <c r="A141" s="70"/>
      <c r="B141" s="65"/>
      <c r="C141" s="83" t="s">
        <v>632</v>
      </c>
      <c r="D141" s="84" t="s">
        <v>631</v>
      </c>
      <c r="E141" s="88">
        <f>'Balin-A'!$F$186/1000</f>
        <v>784.9</v>
      </c>
      <c r="F141" s="88">
        <f>'Kumai-A'!$F$186/1000</f>
        <v>0</v>
      </c>
      <c r="G141" s="88">
        <f>'Sinta-A'!$F$186/1000</f>
        <v>0</v>
      </c>
      <c r="H141" s="88">
        <f>'Lokal-A'!$F$186/1000</f>
        <v>0</v>
      </c>
      <c r="I141" s="88">
        <f t="shared" si="61"/>
        <v>784.9</v>
      </c>
    </row>
    <row r="142">
      <c r="A142" s="70"/>
      <c r="B142" s="65"/>
      <c r="C142" s="83" t="s">
        <v>633</v>
      </c>
      <c r="D142" s="84" t="s">
        <v>631</v>
      </c>
      <c r="E142" s="88">
        <f>'Balin-A'!$G$186/1000</f>
        <v>896.8</v>
      </c>
      <c r="F142" s="88">
        <f>'Kumai-A'!$G$186/1000</f>
        <v>0</v>
      </c>
      <c r="G142" s="88">
        <f>'Sinta-A'!$G$186/1000</f>
        <v>5234.101</v>
      </c>
      <c r="H142" s="88">
        <f>'Lokal-A'!$G$186/1000</f>
        <v>0</v>
      </c>
      <c r="I142" s="88">
        <f t="shared" si="61"/>
        <v>6130.901</v>
      </c>
    </row>
    <row r="143">
      <c r="A143" s="70"/>
      <c r="B143" s="65"/>
      <c r="C143" s="83" t="s">
        <v>634</v>
      </c>
      <c r="D143" s="84" t="s">
        <v>631</v>
      </c>
      <c r="E143" s="88">
        <f>'Balin-A'!$H$186/1000</f>
        <v>1705</v>
      </c>
      <c r="F143" s="88">
        <f>'Kumai-A'!$H$186/1000</f>
        <v>0</v>
      </c>
      <c r="G143" s="88">
        <f>'Sinta-A'!$H$186/1000</f>
        <v>0</v>
      </c>
      <c r="H143" s="88">
        <f>'Lokal-A'!$H$186/1000</f>
        <v>0</v>
      </c>
      <c r="I143" s="88">
        <f t="shared" si="61"/>
        <v>1705</v>
      </c>
    </row>
    <row r="144">
      <c r="A144" s="70"/>
      <c r="B144" s="65"/>
      <c r="C144" s="83" t="s">
        <v>635</v>
      </c>
      <c r="D144" s="84" t="s">
        <v>631</v>
      </c>
      <c r="E144" s="88">
        <f>'Balin-A'!$I$186/1000</f>
        <v>1705</v>
      </c>
      <c r="F144" s="88">
        <f>'Kumai-A'!$I$186/1000</f>
        <v>0</v>
      </c>
      <c r="G144" s="88">
        <f>'Sinta-A'!$I$186/1000</f>
        <v>0</v>
      </c>
      <c r="H144" s="88">
        <f>'Lokal-A'!$I$186/1000</f>
        <v>0</v>
      </c>
      <c r="I144" s="88">
        <f t="shared" si="61"/>
        <v>1705</v>
      </c>
    </row>
    <row r="145" ht="7.5" customHeight="1">
      <c r="A145" s="70"/>
      <c r="B145" s="65"/>
      <c r="C145" s="86"/>
      <c r="D145" s="87"/>
      <c r="E145" s="88"/>
      <c r="F145" s="88"/>
      <c r="G145" s="88"/>
      <c r="H145" s="88"/>
      <c r="I145" s="88"/>
    </row>
    <row r="146">
      <c r="A146" s="70"/>
      <c r="B146" s="65"/>
      <c r="C146" s="83" t="s">
        <v>636</v>
      </c>
      <c r="D146" s="89" t="s">
        <v>590</v>
      </c>
      <c r="E146" s="90">
        <f t="shared" ref="E146:I146" si="62">IFERROR(E140/E141*100,0)</f>
        <v>133.8641865</v>
      </c>
      <c r="F146" s="90">
        <f t="shared" si="62"/>
        <v>0</v>
      </c>
      <c r="G146" s="90">
        <f t="shared" si="62"/>
        <v>0</v>
      </c>
      <c r="H146" s="90">
        <f t="shared" si="62"/>
        <v>0</v>
      </c>
      <c r="I146" s="90">
        <f t="shared" si="62"/>
        <v>133.8641865</v>
      </c>
    </row>
    <row r="147">
      <c r="A147" s="70"/>
      <c r="B147" s="65"/>
      <c r="C147" s="83" t="s">
        <v>637</v>
      </c>
      <c r="D147" s="89" t="s">
        <v>590</v>
      </c>
      <c r="E147" s="90">
        <f t="shared" ref="E147:I147" si="63">IFERROR(E140/E142*100,0)</f>
        <v>117.1610169</v>
      </c>
      <c r="F147" s="90">
        <f t="shared" si="63"/>
        <v>0</v>
      </c>
      <c r="G147" s="90">
        <f t="shared" si="63"/>
        <v>0</v>
      </c>
      <c r="H147" s="90">
        <f t="shared" si="63"/>
        <v>0</v>
      </c>
      <c r="I147" s="90">
        <f t="shared" si="63"/>
        <v>17.13777469</v>
      </c>
    </row>
    <row r="148">
      <c r="A148" s="70"/>
      <c r="B148" s="65"/>
      <c r="C148" s="83" t="s">
        <v>638</v>
      </c>
      <c r="D148" s="89" t="s">
        <v>590</v>
      </c>
      <c r="E148" s="90">
        <f t="shared" ref="E148:I148" si="64">IFERROR(E140/E143*100,0)</f>
        <v>61.62463343</v>
      </c>
      <c r="F148" s="90">
        <f t="shared" si="64"/>
        <v>0</v>
      </c>
      <c r="G148" s="90">
        <f t="shared" si="64"/>
        <v>0</v>
      </c>
      <c r="H148" s="90">
        <f t="shared" si="64"/>
        <v>0</v>
      </c>
      <c r="I148" s="90">
        <f t="shared" si="64"/>
        <v>61.62463343</v>
      </c>
    </row>
    <row r="149">
      <c r="A149" s="91"/>
      <c r="B149" s="92"/>
      <c r="C149" s="93" t="s">
        <v>639</v>
      </c>
      <c r="D149" s="94" t="s">
        <v>590</v>
      </c>
      <c r="E149" s="95">
        <f t="shared" ref="E149:I149" si="65">IFERROR(E140/E144*100,0)</f>
        <v>61.62463343</v>
      </c>
      <c r="F149" s="95">
        <f t="shared" si="65"/>
        <v>0</v>
      </c>
      <c r="G149" s="95">
        <f t="shared" si="65"/>
        <v>0</v>
      </c>
      <c r="H149" s="95">
        <f t="shared" si="65"/>
        <v>0</v>
      </c>
      <c r="I149" s="95">
        <f t="shared" si="65"/>
        <v>61.62463343</v>
      </c>
    </row>
    <row r="150" ht="3.75" customHeight="1">
      <c r="A150" s="96"/>
      <c r="B150" s="97"/>
      <c r="C150" s="97"/>
      <c r="D150" s="98"/>
      <c r="E150" s="99"/>
      <c r="F150" s="99"/>
      <c r="G150" s="99"/>
      <c r="H150" s="99"/>
      <c r="I150" s="99"/>
    </row>
    <row r="151">
      <c r="A151" s="81">
        <v>14.0</v>
      </c>
      <c r="B151" s="82" t="s">
        <v>719</v>
      </c>
      <c r="C151" s="100" t="s">
        <v>630</v>
      </c>
      <c r="D151" s="84" t="s">
        <v>631</v>
      </c>
      <c r="E151" s="67">
        <f>'Balin-A'!$E$187/1000</f>
        <v>0</v>
      </c>
      <c r="F151" s="67">
        <f>'Kumai-A'!$E$187/1000</f>
        <v>0</v>
      </c>
      <c r="G151" s="67">
        <f>'Sinta-A'!$E$187/1000</f>
        <v>0</v>
      </c>
      <c r="H151" s="67">
        <f>'Lokal-A'!$E$187/1000</f>
        <v>0</v>
      </c>
      <c r="I151" s="67">
        <f t="shared" ref="I151:I155" si="66">sum(E151:H151)</f>
        <v>0</v>
      </c>
    </row>
    <row r="152">
      <c r="A152" s="70"/>
      <c r="B152" s="65"/>
      <c r="C152" s="83" t="s">
        <v>632</v>
      </c>
      <c r="D152" s="84" t="s">
        <v>631</v>
      </c>
      <c r="E152" s="88">
        <f>'Balin-A'!$F$187/1000</f>
        <v>0</v>
      </c>
      <c r="F152" s="88">
        <f>'Kumai-A'!$F$187/1000</f>
        <v>0</v>
      </c>
      <c r="G152" s="88">
        <f>'Sinta-A'!$F$187/1000</f>
        <v>0</v>
      </c>
      <c r="H152" s="88">
        <f>'Lokal-A'!$F$187/1000</f>
        <v>0</v>
      </c>
      <c r="I152" s="88">
        <f t="shared" si="66"/>
        <v>0</v>
      </c>
    </row>
    <row r="153">
      <c r="A153" s="70"/>
      <c r="B153" s="65"/>
      <c r="C153" s="83" t="s">
        <v>633</v>
      </c>
      <c r="D153" s="84" t="s">
        <v>631</v>
      </c>
      <c r="E153" s="88">
        <f>'Balin-A'!$G$187/1000</f>
        <v>0</v>
      </c>
      <c r="F153" s="88">
        <f>'Kumai-A'!$G$187/1000</f>
        <v>0</v>
      </c>
      <c r="G153" s="88">
        <f>'Sinta-A'!$G$187/1000</f>
        <v>0</v>
      </c>
      <c r="H153" s="88">
        <f>'Lokal-A'!$G$187/1000</f>
        <v>0</v>
      </c>
      <c r="I153" s="88">
        <f t="shared" si="66"/>
        <v>0</v>
      </c>
    </row>
    <row r="154">
      <c r="A154" s="70"/>
      <c r="B154" s="65"/>
      <c r="C154" s="83" t="s">
        <v>634</v>
      </c>
      <c r="D154" s="84" t="s">
        <v>631</v>
      </c>
      <c r="E154" s="88">
        <f>'Balin-A'!$H$187/1000</f>
        <v>0</v>
      </c>
      <c r="F154" s="88">
        <f>'Kumai-A'!$H$187/1000</f>
        <v>0</v>
      </c>
      <c r="G154" s="88">
        <f>'Sinta-A'!$H$187/1000</f>
        <v>0</v>
      </c>
      <c r="H154" s="88">
        <f>'Lokal-A'!$H$187/1000</f>
        <v>0</v>
      </c>
      <c r="I154" s="88">
        <f t="shared" si="66"/>
        <v>0</v>
      </c>
    </row>
    <row r="155">
      <c r="A155" s="70"/>
      <c r="B155" s="65"/>
      <c r="C155" s="83" t="s">
        <v>635</v>
      </c>
      <c r="D155" s="84" t="s">
        <v>631</v>
      </c>
      <c r="E155" s="88">
        <f>'Balin-A'!$I$187/1000</f>
        <v>0</v>
      </c>
      <c r="F155" s="88">
        <f>'Kumai-A'!$I$187/1000</f>
        <v>0</v>
      </c>
      <c r="G155" s="88">
        <f>'Sinta-A'!$I$187/1000</f>
        <v>0</v>
      </c>
      <c r="H155" s="88">
        <f>'Lokal-A'!$I$187/1000</f>
        <v>0</v>
      </c>
      <c r="I155" s="88">
        <f t="shared" si="66"/>
        <v>0</v>
      </c>
    </row>
    <row r="156" ht="7.5" customHeight="1">
      <c r="A156" s="70"/>
      <c r="B156" s="65"/>
      <c r="C156" s="86"/>
      <c r="D156" s="87"/>
      <c r="E156" s="88"/>
      <c r="F156" s="88"/>
      <c r="G156" s="88"/>
      <c r="H156" s="88"/>
      <c r="I156" s="88"/>
    </row>
    <row r="157">
      <c r="A157" s="70"/>
      <c r="B157" s="65"/>
      <c r="C157" s="83" t="s">
        <v>636</v>
      </c>
      <c r="D157" s="89" t="s">
        <v>590</v>
      </c>
      <c r="E157" s="90">
        <f t="shared" ref="E157:I157" si="67">IFERROR(E151/E152*100,0)</f>
        <v>0</v>
      </c>
      <c r="F157" s="90">
        <f t="shared" si="67"/>
        <v>0</v>
      </c>
      <c r="G157" s="90">
        <f t="shared" si="67"/>
        <v>0</v>
      </c>
      <c r="H157" s="90">
        <f t="shared" si="67"/>
        <v>0</v>
      </c>
      <c r="I157" s="90">
        <f t="shared" si="67"/>
        <v>0</v>
      </c>
    </row>
    <row r="158">
      <c r="A158" s="70"/>
      <c r="B158" s="65"/>
      <c r="C158" s="83" t="s">
        <v>637</v>
      </c>
      <c r="D158" s="89" t="s">
        <v>590</v>
      </c>
      <c r="E158" s="90">
        <f t="shared" ref="E158:I158" si="68">IFERROR(E151/E153*100,0)</f>
        <v>0</v>
      </c>
      <c r="F158" s="90">
        <f t="shared" si="68"/>
        <v>0</v>
      </c>
      <c r="G158" s="90">
        <f t="shared" si="68"/>
        <v>0</v>
      </c>
      <c r="H158" s="90">
        <f t="shared" si="68"/>
        <v>0</v>
      </c>
      <c r="I158" s="90">
        <f t="shared" si="68"/>
        <v>0</v>
      </c>
    </row>
    <row r="159">
      <c r="A159" s="70"/>
      <c r="B159" s="65"/>
      <c r="C159" s="83" t="s">
        <v>638</v>
      </c>
      <c r="D159" s="89" t="s">
        <v>590</v>
      </c>
      <c r="E159" s="90">
        <f t="shared" ref="E159:I159" si="69">IFERROR(E151/E154*100,0)</f>
        <v>0</v>
      </c>
      <c r="F159" s="90">
        <f t="shared" si="69"/>
        <v>0</v>
      </c>
      <c r="G159" s="90">
        <f t="shared" si="69"/>
        <v>0</v>
      </c>
      <c r="H159" s="90">
        <f t="shared" si="69"/>
        <v>0</v>
      </c>
      <c r="I159" s="90">
        <f t="shared" si="69"/>
        <v>0</v>
      </c>
    </row>
    <row r="160">
      <c r="A160" s="91"/>
      <c r="B160" s="92"/>
      <c r="C160" s="93" t="s">
        <v>639</v>
      </c>
      <c r="D160" s="94" t="s">
        <v>590</v>
      </c>
      <c r="E160" s="95">
        <f t="shared" ref="E160:I160" si="70">IFERROR(E151/E155*100,0)</f>
        <v>0</v>
      </c>
      <c r="F160" s="95">
        <f t="shared" si="70"/>
        <v>0</v>
      </c>
      <c r="G160" s="95">
        <f t="shared" si="70"/>
        <v>0</v>
      </c>
      <c r="H160" s="95">
        <f t="shared" si="70"/>
        <v>0</v>
      </c>
      <c r="I160" s="95">
        <f t="shared" si="70"/>
        <v>0</v>
      </c>
    </row>
    <row r="161" ht="3.75" customHeight="1">
      <c r="A161" s="96"/>
      <c r="B161" s="97"/>
      <c r="C161" s="97"/>
      <c r="D161" s="98"/>
      <c r="E161" s="99"/>
      <c r="F161" s="99"/>
      <c r="G161" s="99"/>
      <c r="H161" s="99"/>
      <c r="I161" s="99"/>
    </row>
    <row r="162">
      <c r="A162" s="101"/>
      <c r="B162" s="102" t="s">
        <v>720</v>
      </c>
      <c r="C162" s="103" t="s">
        <v>630</v>
      </c>
      <c r="D162" s="104" t="s">
        <v>631</v>
      </c>
      <c r="E162" s="105">
        <f t="shared" ref="E162:H162" si="71">SUMIF($C$8:$C$160,$C162,E$8:E$160)</f>
        <v>385614.822</v>
      </c>
      <c r="F162" s="105">
        <f t="shared" si="71"/>
        <v>0</v>
      </c>
      <c r="G162" s="105">
        <f t="shared" si="71"/>
        <v>99219.935</v>
      </c>
      <c r="H162" s="105">
        <f t="shared" si="71"/>
        <v>0</v>
      </c>
      <c r="I162" s="105">
        <f t="shared" ref="I162:I166" si="73">sum(E162:H162)</f>
        <v>484834.757</v>
      </c>
    </row>
    <row r="163">
      <c r="A163" s="106"/>
      <c r="B163" s="107"/>
      <c r="C163" s="108" t="s">
        <v>632</v>
      </c>
      <c r="D163" s="109" t="s">
        <v>631</v>
      </c>
      <c r="E163" s="110">
        <f t="shared" ref="E163:H163" si="72">SUMIF($C$8:$C$160,$C163,E$8:E$160)</f>
        <v>337655.421</v>
      </c>
      <c r="F163" s="110">
        <f t="shared" si="72"/>
        <v>0</v>
      </c>
      <c r="G163" s="110">
        <f t="shared" si="72"/>
        <v>61957.843</v>
      </c>
      <c r="H163" s="110">
        <f t="shared" si="72"/>
        <v>9598.432</v>
      </c>
      <c r="I163" s="110">
        <f t="shared" si="73"/>
        <v>409211.696</v>
      </c>
    </row>
    <row r="164">
      <c r="A164" s="106"/>
      <c r="B164" s="107"/>
      <c r="C164" s="108" t="s">
        <v>633</v>
      </c>
      <c r="D164" s="109" t="s">
        <v>631</v>
      </c>
      <c r="E164" s="110">
        <f t="shared" ref="E164:H164" si="74">SUMIF($C$8:$C$160,$C164,E$8:E$160)</f>
        <v>233643.308</v>
      </c>
      <c r="F164" s="110">
        <f t="shared" si="74"/>
        <v>0</v>
      </c>
      <c r="G164" s="110">
        <f t="shared" si="74"/>
        <v>122346.372</v>
      </c>
      <c r="H164" s="110">
        <f t="shared" si="74"/>
        <v>0</v>
      </c>
      <c r="I164" s="110">
        <f t="shared" si="73"/>
        <v>355989.68</v>
      </c>
    </row>
    <row r="165">
      <c r="A165" s="106"/>
      <c r="B165" s="107"/>
      <c r="C165" s="108" t="s">
        <v>634</v>
      </c>
      <c r="D165" s="109" t="s">
        <v>631</v>
      </c>
      <c r="E165" s="110">
        <f t="shared" ref="E165:H165" si="75">SUMIF($C$8:$C$160,$C165,E$8:E$160)</f>
        <v>342049</v>
      </c>
      <c r="F165" s="110">
        <f t="shared" si="75"/>
        <v>0</v>
      </c>
      <c r="G165" s="110">
        <f t="shared" si="75"/>
        <v>0</v>
      </c>
      <c r="H165" s="110">
        <f t="shared" si="75"/>
        <v>0</v>
      </c>
      <c r="I165" s="110">
        <f t="shared" si="73"/>
        <v>342049</v>
      </c>
    </row>
    <row r="166">
      <c r="A166" s="106"/>
      <c r="B166" s="107"/>
      <c r="C166" s="108" t="s">
        <v>635</v>
      </c>
      <c r="D166" s="109" t="s">
        <v>631</v>
      </c>
      <c r="E166" s="110">
        <f t="shared" ref="E166:H166" si="76">SUMIF($C$8:$C$160,$C166,E$8:E$160)</f>
        <v>342048.189</v>
      </c>
      <c r="F166" s="110">
        <f t="shared" si="76"/>
        <v>0</v>
      </c>
      <c r="G166" s="110">
        <f t="shared" si="76"/>
        <v>0</v>
      </c>
      <c r="H166" s="110">
        <f t="shared" si="76"/>
        <v>0</v>
      </c>
      <c r="I166" s="110">
        <f t="shared" si="73"/>
        <v>342048.189</v>
      </c>
    </row>
    <row r="167" ht="7.5" customHeight="1">
      <c r="A167" s="106"/>
      <c r="B167" s="107"/>
      <c r="C167" s="111"/>
      <c r="D167" s="112"/>
      <c r="E167" s="110"/>
      <c r="F167" s="110"/>
      <c r="G167" s="110"/>
      <c r="H167" s="110"/>
      <c r="I167" s="110"/>
    </row>
    <row r="168">
      <c r="A168" s="106"/>
      <c r="B168" s="107"/>
      <c r="C168" s="108" t="s">
        <v>636</v>
      </c>
      <c r="D168" s="113" t="s">
        <v>590</v>
      </c>
      <c r="E168" s="114">
        <f t="shared" ref="E168:I168" si="77">IFERROR(E162/E163*100,0)</f>
        <v>114.203652</v>
      </c>
      <c r="F168" s="114">
        <f t="shared" si="77"/>
        <v>0</v>
      </c>
      <c r="G168" s="114">
        <f t="shared" si="77"/>
        <v>160.1410414</v>
      </c>
      <c r="H168" s="114">
        <f t="shared" si="77"/>
        <v>0</v>
      </c>
      <c r="I168" s="114">
        <f t="shared" si="77"/>
        <v>118.4801807</v>
      </c>
    </row>
    <row r="169">
      <c r="A169" s="106"/>
      <c r="B169" s="107"/>
      <c r="C169" s="108" t="s">
        <v>637</v>
      </c>
      <c r="D169" s="113" t="s">
        <v>590</v>
      </c>
      <c r="E169" s="114">
        <f t="shared" ref="E169:I169" si="78">IFERROR(E162/E164*100,0)</f>
        <v>165.04424</v>
      </c>
      <c r="F169" s="114">
        <f t="shared" si="78"/>
        <v>0</v>
      </c>
      <c r="G169" s="114">
        <f t="shared" si="78"/>
        <v>81.09757027</v>
      </c>
      <c r="H169" s="114">
        <f t="shared" si="78"/>
        <v>0</v>
      </c>
      <c r="I169" s="114">
        <f t="shared" si="78"/>
        <v>136.1934866</v>
      </c>
    </row>
    <row r="170">
      <c r="A170" s="106"/>
      <c r="B170" s="107"/>
      <c r="C170" s="108" t="s">
        <v>638</v>
      </c>
      <c r="D170" s="113" t="s">
        <v>590</v>
      </c>
      <c r="E170" s="114">
        <f t="shared" ref="E170:I170" si="79">IFERROR(E162/E165*100,0)</f>
        <v>112.7367196</v>
      </c>
      <c r="F170" s="114">
        <f t="shared" si="79"/>
        <v>0</v>
      </c>
      <c r="G170" s="114">
        <f t="shared" si="79"/>
        <v>0</v>
      </c>
      <c r="H170" s="114">
        <f t="shared" si="79"/>
        <v>0</v>
      </c>
      <c r="I170" s="114">
        <f t="shared" si="79"/>
        <v>141.7442404</v>
      </c>
    </row>
    <row r="171">
      <c r="A171" s="115"/>
      <c r="B171" s="116"/>
      <c r="C171" s="117" t="s">
        <v>639</v>
      </c>
      <c r="D171" s="118" t="s">
        <v>590</v>
      </c>
      <c r="E171" s="119">
        <f t="shared" ref="E171:I171" si="80">IFERROR(E162/E166*100,0)</f>
        <v>112.7369869</v>
      </c>
      <c r="F171" s="119">
        <f t="shared" si="80"/>
        <v>0</v>
      </c>
      <c r="G171" s="119">
        <f t="shared" si="80"/>
        <v>0</v>
      </c>
      <c r="H171" s="119">
        <f t="shared" si="80"/>
        <v>0</v>
      </c>
      <c r="I171" s="119">
        <f t="shared" si="80"/>
        <v>141.7445765</v>
      </c>
    </row>
    <row r="172" ht="3.75" customHeight="1">
      <c r="A172" s="96"/>
      <c r="B172" s="97"/>
      <c r="C172" s="97"/>
      <c r="D172" s="98"/>
      <c r="E172" s="99"/>
      <c r="F172" s="99"/>
      <c r="G172" s="99"/>
      <c r="H172" s="99"/>
      <c r="I172" s="99"/>
    </row>
  </sheetData>
  <mergeCells count="5">
    <mergeCell ref="A5:A6"/>
    <mergeCell ref="B5:B6"/>
    <mergeCell ref="C5:C6"/>
    <mergeCell ref="D5:D6"/>
    <mergeCell ref="E5:I5"/>
  </mergeCells>
  <conditionalFormatting sqref="E14:I17">
    <cfRule type="cellIs" dxfId="0" priority="1" operator="greaterThan">
      <formula>99.99</formula>
    </cfRule>
  </conditionalFormatting>
  <conditionalFormatting sqref="E25:I28">
    <cfRule type="cellIs" dxfId="0" priority="2" operator="greaterThan">
      <formula>99.99</formula>
    </cfRule>
  </conditionalFormatting>
  <conditionalFormatting sqref="E36:I39">
    <cfRule type="cellIs" dxfId="0" priority="3" operator="greaterThan">
      <formula>99.99</formula>
    </cfRule>
  </conditionalFormatting>
  <conditionalFormatting sqref="E47:I50">
    <cfRule type="cellIs" dxfId="0" priority="4" operator="greaterThan">
      <formula>99.99</formula>
    </cfRule>
  </conditionalFormatting>
  <conditionalFormatting sqref="E58:I61">
    <cfRule type="cellIs" dxfId="0" priority="5" operator="greaterThan">
      <formula>99.99</formula>
    </cfRule>
  </conditionalFormatting>
  <conditionalFormatting sqref="E69:I72">
    <cfRule type="cellIs" dxfId="0" priority="6" operator="greaterThan">
      <formula>99.99</formula>
    </cfRule>
  </conditionalFormatting>
  <conditionalFormatting sqref="E80:I83">
    <cfRule type="cellIs" dxfId="0" priority="7" operator="greaterThan">
      <formula>99.99</formula>
    </cfRule>
  </conditionalFormatting>
  <conditionalFormatting sqref="E91:I94 E102:I105 E113:I116 E124:I127 E135:I138 E146:I149">
    <cfRule type="cellIs" dxfId="0" priority="8" operator="greaterThan">
      <formula>99.99</formula>
    </cfRule>
  </conditionalFormatting>
  <conditionalFormatting sqref="E168:I171">
    <cfRule type="cellIs" dxfId="0" priority="9" operator="greaterThan">
      <formula>99.99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6.57"/>
    <col customWidth="1" min="2" max="2" width="42.0"/>
    <col customWidth="1" min="3" max="3" width="24.86"/>
    <col customWidth="1" min="4" max="4" width="8.14"/>
    <col customWidth="1" min="5" max="5" width="9.57"/>
    <col customWidth="1" min="6" max="8" width="9.86"/>
    <col customWidth="1" min="9" max="9" width="10.86"/>
  </cols>
  <sheetData>
    <row r="1">
      <c r="A1" s="64" t="s">
        <v>617</v>
      </c>
      <c r="B1" s="65"/>
      <c r="C1" s="65"/>
      <c r="D1" s="66"/>
      <c r="E1" s="67"/>
      <c r="F1" s="67"/>
      <c r="G1" s="67"/>
      <c r="H1" s="67"/>
      <c r="I1" s="67"/>
    </row>
    <row r="2">
      <c r="A2" s="68" t="s">
        <v>704</v>
      </c>
      <c r="B2" s="65"/>
      <c r="C2" s="65"/>
      <c r="D2" s="66"/>
      <c r="E2" s="67"/>
      <c r="F2" s="67"/>
      <c r="G2" s="67"/>
      <c r="H2" s="67"/>
      <c r="I2" s="67"/>
    </row>
    <row r="3">
      <c r="A3" s="69" t="str">
        <f>UPPER('Balin-A'!N5)</f>
        <v>SD BULAN MEI 2026</v>
      </c>
      <c r="B3" s="65"/>
      <c r="C3" s="65"/>
      <c r="D3" s="66"/>
      <c r="E3" s="67"/>
      <c r="F3" s="67"/>
      <c r="G3" s="67"/>
      <c r="H3" s="67"/>
      <c r="I3" s="67"/>
    </row>
    <row r="4">
      <c r="A4" s="70"/>
      <c r="B4" s="65"/>
      <c r="C4" s="65"/>
      <c r="D4" s="66"/>
      <c r="E4" s="67"/>
      <c r="F4" s="67"/>
      <c r="G4" s="67"/>
      <c r="H4" s="67"/>
      <c r="I4" s="67"/>
    </row>
    <row r="5">
      <c r="A5" s="71" t="s">
        <v>619</v>
      </c>
      <c r="B5" s="72" t="s">
        <v>405</v>
      </c>
      <c r="C5" s="73" t="s">
        <v>620</v>
      </c>
      <c r="D5" s="73" t="s">
        <v>621</v>
      </c>
      <c r="E5" s="74" t="s">
        <v>406</v>
      </c>
      <c r="F5" s="75"/>
      <c r="G5" s="75"/>
      <c r="H5" s="75"/>
      <c r="I5" s="75"/>
    </row>
    <row r="6">
      <c r="A6" s="76"/>
      <c r="B6" s="76"/>
      <c r="C6" s="76"/>
      <c r="D6" s="76"/>
      <c r="E6" s="77" t="s">
        <v>622</v>
      </c>
      <c r="F6" s="77" t="s">
        <v>623</v>
      </c>
      <c r="G6" s="77" t="s">
        <v>624</v>
      </c>
      <c r="H6" s="77" t="s">
        <v>625</v>
      </c>
      <c r="I6" s="78" t="s">
        <v>626</v>
      </c>
    </row>
    <row r="7">
      <c r="A7" s="79" t="s">
        <v>627</v>
      </c>
      <c r="B7" s="80" t="s">
        <v>705</v>
      </c>
      <c r="C7" s="65"/>
      <c r="D7" s="66"/>
      <c r="E7" s="67"/>
      <c r="F7" s="67"/>
      <c r="G7" s="67"/>
      <c r="H7" s="67"/>
      <c r="I7" s="67"/>
    </row>
    <row r="8">
      <c r="A8" s="81">
        <v>1.0</v>
      </c>
      <c r="B8" s="82" t="s">
        <v>706</v>
      </c>
      <c r="C8" s="83" t="s">
        <v>662</v>
      </c>
      <c r="D8" s="84" t="s">
        <v>631</v>
      </c>
      <c r="E8" s="85">
        <f>'Balin-A'!$N$167/1000</f>
        <v>328288.546</v>
      </c>
      <c r="F8" s="85">
        <f>'Kumai-A'!$N$167/1000</f>
        <v>0</v>
      </c>
      <c r="G8" s="85">
        <f>'Sinta-A'!$N$167/1000</f>
        <v>70005.756</v>
      </c>
      <c r="H8" s="85">
        <f>'Lokal-A'!$N$167/1000</f>
        <v>0</v>
      </c>
      <c r="I8" s="85">
        <f t="shared" ref="I8:I12" si="1">sum(E8:H8)</f>
        <v>398294.302</v>
      </c>
    </row>
    <row r="9">
      <c r="A9" s="70"/>
      <c r="B9" s="65"/>
      <c r="C9" s="83" t="s">
        <v>632</v>
      </c>
      <c r="D9" s="84" t="s">
        <v>631</v>
      </c>
      <c r="E9" s="85">
        <f>'Balin-A'!$F$167/1000</f>
        <v>68837.3</v>
      </c>
      <c r="F9" s="85">
        <f>'Kumai-A'!$F$167/1000</f>
        <v>0</v>
      </c>
      <c r="G9" s="85">
        <f>'Sinta-A'!$F$167/1000</f>
        <v>15562.982</v>
      </c>
      <c r="H9" s="85">
        <f>'Lokal-A'!$F$167/1000</f>
        <v>0</v>
      </c>
      <c r="I9" s="85">
        <f t="shared" si="1"/>
        <v>84400.282</v>
      </c>
    </row>
    <row r="10">
      <c r="A10" s="70"/>
      <c r="B10" s="65"/>
      <c r="C10" s="83" t="s">
        <v>633</v>
      </c>
      <c r="D10" s="84" t="s">
        <v>631</v>
      </c>
      <c r="E10" s="85">
        <f>'Balin-A'!$O$167/1000</f>
        <v>228052.485</v>
      </c>
      <c r="F10" s="85">
        <f>'Kumai-A'!$O$167/1000</f>
        <v>0</v>
      </c>
      <c r="G10" s="85">
        <f>'Sinta-A'!$O$167/1000</f>
        <v>64840.554</v>
      </c>
      <c r="H10" s="85">
        <f>'Lokal-A'!$O$167/1000</f>
        <v>0</v>
      </c>
      <c r="I10" s="85">
        <f t="shared" si="1"/>
        <v>292893.039</v>
      </c>
    </row>
    <row r="11">
      <c r="A11" s="70"/>
      <c r="B11" s="65"/>
      <c r="C11" s="83" t="s">
        <v>634</v>
      </c>
      <c r="D11" s="84" t="s">
        <v>631</v>
      </c>
      <c r="E11" s="85">
        <f>'Balin-A'!$P$167/1000</f>
        <v>265339</v>
      </c>
      <c r="F11" s="85">
        <f>'Kumai-A'!$P$167/1000</f>
        <v>0</v>
      </c>
      <c r="G11" s="85">
        <f>'Sinta-A'!$P$167/1000</f>
        <v>0</v>
      </c>
      <c r="H11" s="85">
        <f>'Lokal-A'!$P$167/1000</f>
        <v>0</v>
      </c>
      <c r="I11" s="85">
        <f t="shared" si="1"/>
        <v>265339</v>
      </c>
    </row>
    <row r="12">
      <c r="A12" s="70"/>
      <c r="B12" s="65"/>
      <c r="C12" s="83" t="s">
        <v>635</v>
      </c>
      <c r="D12" s="84" t="s">
        <v>631</v>
      </c>
      <c r="E12" s="85">
        <f>'Balin-A'!$Q$167/1000</f>
        <v>265339.179</v>
      </c>
      <c r="F12" s="85">
        <f>'Kumai-A'!$Q$167/1000</f>
        <v>0</v>
      </c>
      <c r="G12" s="85">
        <f>'Sinta-A'!$Q$167/1000</f>
        <v>0</v>
      </c>
      <c r="H12" s="85">
        <f>'Lokal-A'!$Q$167/1000</f>
        <v>0</v>
      </c>
      <c r="I12" s="85">
        <f t="shared" si="1"/>
        <v>265339.179</v>
      </c>
    </row>
    <row r="13" ht="7.5" customHeight="1">
      <c r="A13" s="70"/>
      <c r="B13" s="65"/>
      <c r="C13" s="86"/>
      <c r="D13" s="87"/>
      <c r="E13" s="88"/>
      <c r="F13" s="88"/>
      <c r="G13" s="88"/>
      <c r="H13" s="88"/>
      <c r="I13" s="88"/>
    </row>
    <row r="14">
      <c r="A14" s="70"/>
      <c r="B14" s="65"/>
      <c r="C14" s="83" t="s">
        <v>663</v>
      </c>
      <c r="D14" s="89" t="s">
        <v>590</v>
      </c>
      <c r="E14" s="90">
        <f t="shared" ref="E14:I14" si="2">IFERROR(E8/E9*100,0)</f>
        <v>476.9050297</v>
      </c>
      <c r="F14" s="90">
        <f t="shared" si="2"/>
        <v>0</v>
      </c>
      <c r="G14" s="90">
        <f t="shared" si="2"/>
        <v>449.8222513</v>
      </c>
      <c r="H14" s="90">
        <f t="shared" si="2"/>
        <v>0</v>
      </c>
      <c r="I14" s="90">
        <f t="shared" si="2"/>
        <v>471.9111033</v>
      </c>
    </row>
    <row r="15">
      <c r="A15" s="70"/>
      <c r="B15" s="65"/>
      <c r="C15" s="83" t="s">
        <v>664</v>
      </c>
      <c r="D15" s="89" t="s">
        <v>590</v>
      </c>
      <c r="E15" s="90">
        <f t="shared" ref="E15:I15" si="3">IFERROR(E8/E10*100,0)</f>
        <v>143.9530668</v>
      </c>
      <c r="F15" s="90">
        <f t="shared" si="3"/>
        <v>0</v>
      </c>
      <c r="G15" s="90">
        <f t="shared" si="3"/>
        <v>107.9660053</v>
      </c>
      <c r="H15" s="90">
        <f t="shared" si="3"/>
        <v>0</v>
      </c>
      <c r="I15" s="90">
        <f t="shared" si="3"/>
        <v>135.9862643</v>
      </c>
    </row>
    <row r="16">
      <c r="A16" s="70"/>
      <c r="B16" s="65"/>
      <c r="C16" s="83" t="s">
        <v>665</v>
      </c>
      <c r="D16" s="89" t="s">
        <v>590</v>
      </c>
      <c r="E16" s="90">
        <f t="shared" ref="E16:I16" si="4">IFERROR(E8/E11*100,0)</f>
        <v>123.7241966</v>
      </c>
      <c r="F16" s="90">
        <f t="shared" si="4"/>
        <v>0</v>
      </c>
      <c r="G16" s="90">
        <f t="shared" si="4"/>
        <v>0</v>
      </c>
      <c r="H16" s="90">
        <f t="shared" si="4"/>
        <v>0</v>
      </c>
      <c r="I16" s="90">
        <f t="shared" si="4"/>
        <v>150.107712</v>
      </c>
    </row>
    <row r="17">
      <c r="A17" s="91"/>
      <c r="B17" s="92"/>
      <c r="C17" s="93" t="s">
        <v>666</v>
      </c>
      <c r="D17" s="94" t="s">
        <v>590</v>
      </c>
      <c r="E17" s="95">
        <f t="shared" ref="E17:I17" si="5">IFERROR(E8/E12*100,0)</f>
        <v>123.7241131</v>
      </c>
      <c r="F17" s="95">
        <f t="shared" si="5"/>
        <v>0</v>
      </c>
      <c r="G17" s="95">
        <f t="shared" si="5"/>
        <v>0</v>
      </c>
      <c r="H17" s="95">
        <f t="shared" si="5"/>
        <v>0</v>
      </c>
      <c r="I17" s="95">
        <f t="shared" si="5"/>
        <v>150.1076108</v>
      </c>
    </row>
    <row r="18" ht="3.75" customHeight="1">
      <c r="A18" s="96"/>
      <c r="B18" s="97"/>
      <c r="C18" s="97"/>
      <c r="D18" s="98"/>
      <c r="E18" s="99"/>
      <c r="F18" s="99"/>
      <c r="G18" s="99"/>
      <c r="H18" s="99"/>
      <c r="I18" s="99"/>
    </row>
    <row r="19">
      <c r="A19" s="81">
        <v>2.0</v>
      </c>
      <c r="B19" s="82" t="s">
        <v>707</v>
      </c>
      <c r="C19" s="100" t="s">
        <v>662</v>
      </c>
      <c r="D19" s="84" t="s">
        <v>631</v>
      </c>
      <c r="E19" s="67">
        <f>'Balin-A'!$N$168/1000</f>
        <v>350658.56</v>
      </c>
      <c r="F19" s="67">
        <f>'Kumai-A'!$N$168/1000</f>
        <v>0</v>
      </c>
      <c r="G19" s="67">
        <f>'Sinta-A'!$N$168/1000</f>
        <v>31792.96</v>
      </c>
      <c r="H19" s="67">
        <f>'Lokal-A'!$N$168/1000</f>
        <v>8539.632</v>
      </c>
      <c r="I19" s="67">
        <f t="shared" ref="I19:I23" si="6">sum(E19:H19)</f>
        <v>390991.152</v>
      </c>
    </row>
    <row r="20">
      <c r="A20" s="70"/>
      <c r="B20" s="65"/>
      <c r="C20" s="83" t="s">
        <v>632</v>
      </c>
      <c r="D20" s="84" t="s">
        <v>631</v>
      </c>
      <c r="E20" s="88">
        <f>'Balin-A'!$F$168/1000</f>
        <v>66451.17</v>
      </c>
      <c r="F20" s="88">
        <f>'Kumai-A'!$F$168/1000</f>
        <v>0</v>
      </c>
      <c r="G20" s="88">
        <f>'Sinta-A'!$F$168/1000</f>
        <v>6287.35</v>
      </c>
      <c r="H20" s="88">
        <f>'Lokal-A'!$F$168/1000</f>
        <v>5709.408</v>
      </c>
      <c r="I20" s="88">
        <f t="shared" si="6"/>
        <v>78447.928</v>
      </c>
    </row>
    <row r="21">
      <c r="A21" s="70"/>
      <c r="B21" s="65"/>
      <c r="C21" s="83" t="s">
        <v>633</v>
      </c>
      <c r="D21" s="84" t="s">
        <v>631</v>
      </c>
      <c r="E21" s="88">
        <f>'Balin-A'!$O$168/1000</f>
        <v>491220.349</v>
      </c>
      <c r="F21" s="88">
        <f>'Kumai-A'!$O$168/1000</f>
        <v>0</v>
      </c>
      <c r="G21" s="88">
        <f>'Sinta-A'!$O$168/1000</f>
        <v>249455.604</v>
      </c>
      <c r="H21" s="88">
        <f>'Lokal-A'!$O$168/1000</f>
        <v>0</v>
      </c>
      <c r="I21" s="88">
        <f t="shared" si="6"/>
        <v>740675.953</v>
      </c>
    </row>
    <row r="22">
      <c r="A22" s="70"/>
      <c r="B22" s="65"/>
      <c r="C22" s="83" t="s">
        <v>634</v>
      </c>
      <c r="D22" s="84" t="s">
        <v>631</v>
      </c>
      <c r="E22" s="88">
        <f>'Balin-A'!$P$168/1000</f>
        <v>421955</v>
      </c>
      <c r="F22" s="88">
        <f>'Kumai-A'!$P$168/1000</f>
        <v>0</v>
      </c>
      <c r="G22" s="88">
        <f>'Sinta-A'!$P$168/1000</f>
        <v>0</v>
      </c>
      <c r="H22" s="88">
        <f>'Lokal-A'!$P$168/1000</f>
        <v>0</v>
      </c>
      <c r="I22" s="88">
        <f t="shared" si="6"/>
        <v>421955</v>
      </c>
    </row>
    <row r="23">
      <c r="A23" s="70"/>
      <c r="B23" s="65"/>
      <c r="C23" s="83" t="s">
        <v>635</v>
      </c>
      <c r="D23" s="84" t="s">
        <v>631</v>
      </c>
      <c r="E23" s="88">
        <f>'Balin-A'!$Q$168/1000</f>
        <v>421954.842</v>
      </c>
      <c r="F23" s="88">
        <f>'Kumai-A'!$Q$168/1000</f>
        <v>0</v>
      </c>
      <c r="G23" s="88">
        <f>'Sinta-A'!$Q$168/1000</f>
        <v>0</v>
      </c>
      <c r="H23" s="88">
        <f>'Lokal-A'!$Q$168/1000</f>
        <v>0</v>
      </c>
      <c r="I23" s="88">
        <f t="shared" si="6"/>
        <v>421954.842</v>
      </c>
    </row>
    <row r="24" ht="7.5" customHeight="1">
      <c r="A24" s="70"/>
      <c r="B24" s="65"/>
      <c r="C24" s="86"/>
      <c r="D24" s="87"/>
      <c r="E24" s="88"/>
      <c r="F24" s="88"/>
      <c r="G24" s="88"/>
      <c r="H24" s="88"/>
      <c r="I24" s="88"/>
    </row>
    <row r="25">
      <c r="A25" s="70"/>
      <c r="B25" s="65"/>
      <c r="C25" s="83" t="s">
        <v>663</v>
      </c>
      <c r="D25" s="89" t="s">
        <v>590</v>
      </c>
      <c r="E25" s="90">
        <f t="shared" ref="E25:I25" si="7">IFERROR(E19/E20*100,0)</f>
        <v>527.6935831</v>
      </c>
      <c r="F25" s="90">
        <f t="shared" si="7"/>
        <v>0</v>
      </c>
      <c r="G25" s="90">
        <f t="shared" si="7"/>
        <v>505.665503</v>
      </c>
      <c r="H25" s="90">
        <f t="shared" si="7"/>
        <v>149.571234</v>
      </c>
      <c r="I25" s="90">
        <f t="shared" si="7"/>
        <v>498.4085137</v>
      </c>
    </row>
    <row r="26">
      <c r="A26" s="70"/>
      <c r="B26" s="65"/>
      <c r="C26" s="83" t="s">
        <v>664</v>
      </c>
      <c r="D26" s="89" t="s">
        <v>590</v>
      </c>
      <c r="E26" s="90">
        <f t="shared" ref="E26:I26" si="8">IFERROR(E19/E21*100,0)</f>
        <v>71.38518604</v>
      </c>
      <c r="F26" s="90">
        <f t="shared" si="8"/>
        <v>0</v>
      </c>
      <c r="G26" s="90">
        <f t="shared" si="8"/>
        <v>12.74493717</v>
      </c>
      <c r="H26" s="90">
        <f t="shared" si="8"/>
        <v>0</v>
      </c>
      <c r="I26" s="90">
        <f t="shared" si="8"/>
        <v>52.78842258</v>
      </c>
    </row>
    <row r="27">
      <c r="A27" s="70"/>
      <c r="B27" s="65"/>
      <c r="C27" s="83" t="s">
        <v>665</v>
      </c>
      <c r="D27" s="89" t="s">
        <v>590</v>
      </c>
      <c r="E27" s="90">
        <f t="shared" ref="E27:I27" si="9">IFERROR(E19/E22*100,0)</f>
        <v>83.10330722</v>
      </c>
      <c r="F27" s="90">
        <f t="shared" si="9"/>
        <v>0</v>
      </c>
      <c r="G27" s="90">
        <f t="shared" si="9"/>
        <v>0</v>
      </c>
      <c r="H27" s="90">
        <f t="shared" si="9"/>
        <v>0</v>
      </c>
      <c r="I27" s="90">
        <f t="shared" si="9"/>
        <v>92.66181275</v>
      </c>
    </row>
    <row r="28">
      <c r="A28" s="91"/>
      <c r="B28" s="92"/>
      <c r="C28" s="93" t="s">
        <v>666</v>
      </c>
      <c r="D28" s="94" t="s">
        <v>590</v>
      </c>
      <c r="E28" s="95">
        <f t="shared" ref="E28:I28" si="10">IFERROR(E19/E23*100,0)</f>
        <v>83.10333834</v>
      </c>
      <c r="F28" s="95">
        <f t="shared" si="10"/>
        <v>0</v>
      </c>
      <c r="G28" s="95">
        <f t="shared" si="10"/>
        <v>0</v>
      </c>
      <c r="H28" s="95">
        <f t="shared" si="10"/>
        <v>0</v>
      </c>
      <c r="I28" s="95">
        <f t="shared" si="10"/>
        <v>92.66184745</v>
      </c>
    </row>
    <row r="29" ht="3.75" customHeight="1">
      <c r="A29" s="96"/>
      <c r="B29" s="97"/>
      <c r="C29" s="97"/>
      <c r="D29" s="98"/>
      <c r="E29" s="99"/>
      <c r="F29" s="99"/>
      <c r="G29" s="99"/>
      <c r="H29" s="99"/>
      <c r="I29" s="99"/>
    </row>
    <row r="30">
      <c r="A30" s="81">
        <v>3.0</v>
      </c>
      <c r="B30" s="82" t="s">
        <v>708</v>
      </c>
      <c r="C30" s="100" t="s">
        <v>662</v>
      </c>
      <c r="D30" s="84" t="s">
        <v>631</v>
      </c>
      <c r="E30" s="67">
        <f>'Balin-A'!$N$172/1000</f>
        <v>147391.474</v>
      </c>
      <c r="F30" s="67">
        <f>'Kumai-A'!$N$172/1000</f>
        <v>0</v>
      </c>
      <c r="G30" s="67">
        <f>'Sinta-A'!$N$172/1000</f>
        <v>8696.136</v>
      </c>
      <c r="H30" s="67">
        <f>'Lokal-A'!$N$172/1000</f>
        <v>0</v>
      </c>
      <c r="I30" s="67">
        <f t="shared" ref="I30:I34" si="11">sum(E30:H30)</f>
        <v>156087.61</v>
      </c>
    </row>
    <row r="31">
      <c r="A31" s="70"/>
      <c r="B31" s="65"/>
      <c r="C31" s="83" t="s">
        <v>632</v>
      </c>
      <c r="D31" s="84" t="s">
        <v>631</v>
      </c>
      <c r="E31" s="88">
        <f>'Balin-A'!$F$172/1000</f>
        <v>26237.103</v>
      </c>
      <c r="F31" s="88">
        <f>'Kumai-A'!$F$172/1000</f>
        <v>0</v>
      </c>
      <c r="G31" s="88">
        <f>'Sinta-A'!$F$172/1000</f>
        <v>0</v>
      </c>
      <c r="H31" s="88">
        <f>'Lokal-A'!$F$172/1000</f>
        <v>0</v>
      </c>
      <c r="I31" s="88">
        <f t="shared" si="11"/>
        <v>26237.103</v>
      </c>
    </row>
    <row r="32">
      <c r="A32" s="70"/>
      <c r="B32" s="65"/>
      <c r="C32" s="83" t="s">
        <v>633</v>
      </c>
      <c r="D32" s="84" t="s">
        <v>631</v>
      </c>
      <c r="E32" s="88">
        <f>'Balin-A'!$O$172/1000</f>
        <v>104605.037</v>
      </c>
      <c r="F32" s="88">
        <f>'Kumai-A'!$O$172/1000</f>
        <v>0</v>
      </c>
      <c r="G32" s="88">
        <f>'Sinta-A'!$O$172/1000</f>
        <v>32079.987</v>
      </c>
      <c r="H32" s="88">
        <f>'Lokal-A'!$O$172/1000</f>
        <v>0</v>
      </c>
      <c r="I32" s="88">
        <f t="shared" si="11"/>
        <v>136685.024</v>
      </c>
    </row>
    <row r="33">
      <c r="A33" s="70"/>
      <c r="B33" s="65"/>
      <c r="C33" s="83" t="s">
        <v>634</v>
      </c>
      <c r="D33" s="84" t="s">
        <v>631</v>
      </c>
      <c r="E33" s="88">
        <f>'Balin-A'!$P$172/1000</f>
        <v>120878</v>
      </c>
      <c r="F33" s="88">
        <f>'Kumai-A'!$P$172/1000</f>
        <v>0</v>
      </c>
      <c r="G33" s="88">
        <f>'Sinta-A'!$P$172/1000</f>
        <v>0</v>
      </c>
      <c r="H33" s="88">
        <f>'Lokal-A'!$P$172/1000</f>
        <v>0</v>
      </c>
      <c r="I33" s="88">
        <f t="shared" si="11"/>
        <v>120878</v>
      </c>
    </row>
    <row r="34">
      <c r="A34" s="70"/>
      <c r="B34" s="65"/>
      <c r="C34" s="83" t="s">
        <v>635</v>
      </c>
      <c r="D34" s="84" t="s">
        <v>631</v>
      </c>
      <c r="E34" s="88">
        <f>'Balin-A'!$Q$172/1000</f>
        <v>120878.138</v>
      </c>
      <c r="F34" s="88">
        <f>'Kumai-A'!$Q$172/1000</f>
        <v>0</v>
      </c>
      <c r="G34" s="88">
        <f>'Sinta-A'!$Q$172/1000</f>
        <v>0</v>
      </c>
      <c r="H34" s="88">
        <f>'Lokal-A'!$Q$172/1000</f>
        <v>0</v>
      </c>
      <c r="I34" s="88">
        <f t="shared" si="11"/>
        <v>120878.138</v>
      </c>
    </row>
    <row r="35" ht="7.5" customHeight="1">
      <c r="A35" s="70"/>
      <c r="B35" s="65"/>
      <c r="C35" s="86"/>
      <c r="D35" s="87"/>
      <c r="E35" s="88"/>
      <c r="F35" s="88"/>
      <c r="G35" s="88"/>
      <c r="H35" s="88"/>
      <c r="I35" s="88"/>
    </row>
    <row r="36">
      <c r="A36" s="70"/>
      <c r="B36" s="65"/>
      <c r="C36" s="83" t="s">
        <v>663</v>
      </c>
      <c r="D36" s="89" t="s">
        <v>590</v>
      </c>
      <c r="E36" s="90">
        <f t="shared" ref="E36:I36" si="12">IFERROR(E30/E31*100,0)</f>
        <v>561.7673338</v>
      </c>
      <c r="F36" s="90">
        <f t="shared" si="12"/>
        <v>0</v>
      </c>
      <c r="G36" s="90">
        <f t="shared" si="12"/>
        <v>0</v>
      </c>
      <c r="H36" s="90">
        <f t="shared" si="12"/>
        <v>0</v>
      </c>
      <c r="I36" s="90">
        <f t="shared" si="12"/>
        <v>594.9117553</v>
      </c>
    </row>
    <row r="37">
      <c r="A37" s="70"/>
      <c r="B37" s="65"/>
      <c r="C37" s="83" t="s">
        <v>664</v>
      </c>
      <c r="D37" s="89" t="s">
        <v>590</v>
      </c>
      <c r="E37" s="90">
        <f t="shared" ref="E37:I37" si="13">IFERROR(E30/E32*100,0)</f>
        <v>140.9028458</v>
      </c>
      <c r="F37" s="90">
        <f t="shared" si="13"/>
        <v>0</v>
      </c>
      <c r="G37" s="90">
        <f t="shared" si="13"/>
        <v>27.10766685</v>
      </c>
      <c r="H37" s="90">
        <f t="shared" si="13"/>
        <v>0</v>
      </c>
      <c r="I37" s="90">
        <f t="shared" si="13"/>
        <v>114.1951074</v>
      </c>
    </row>
    <row r="38">
      <c r="A38" s="70"/>
      <c r="B38" s="65"/>
      <c r="C38" s="83" t="s">
        <v>665</v>
      </c>
      <c r="D38" s="89" t="s">
        <v>590</v>
      </c>
      <c r="E38" s="90">
        <f t="shared" ref="E38:I38" si="14">IFERROR(E30/E33*100,0)</f>
        <v>121.9340773</v>
      </c>
      <c r="F38" s="90">
        <f t="shared" si="14"/>
        <v>0</v>
      </c>
      <c r="G38" s="90">
        <f t="shared" si="14"/>
        <v>0</v>
      </c>
      <c r="H38" s="90">
        <f t="shared" si="14"/>
        <v>0</v>
      </c>
      <c r="I38" s="90">
        <f t="shared" si="14"/>
        <v>129.1282202</v>
      </c>
    </row>
    <row r="39">
      <c r="A39" s="91"/>
      <c r="B39" s="92"/>
      <c r="C39" s="93" t="s">
        <v>666</v>
      </c>
      <c r="D39" s="94" t="s">
        <v>590</v>
      </c>
      <c r="E39" s="95">
        <f t="shared" ref="E39:I39" si="15">IFERROR(E30/E34*100,0)</f>
        <v>121.9339381</v>
      </c>
      <c r="F39" s="95">
        <f t="shared" si="15"/>
        <v>0</v>
      </c>
      <c r="G39" s="95">
        <f t="shared" si="15"/>
        <v>0</v>
      </c>
      <c r="H39" s="95">
        <f t="shared" si="15"/>
        <v>0</v>
      </c>
      <c r="I39" s="95">
        <f t="shared" si="15"/>
        <v>129.1280728</v>
      </c>
    </row>
    <row r="40" ht="3.75" customHeight="1">
      <c r="A40" s="96"/>
      <c r="B40" s="97"/>
      <c r="C40" s="97"/>
      <c r="D40" s="98"/>
      <c r="E40" s="99"/>
      <c r="F40" s="99"/>
      <c r="G40" s="99"/>
      <c r="H40" s="99"/>
      <c r="I40" s="99"/>
    </row>
    <row r="41">
      <c r="A41" s="81">
        <v>4.0</v>
      </c>
      <c r="B41" s="82" t="s">
        <v>709</v>
      </c>
      <c r="C41" s="100" t="s">
        <v>662</v>
      </c>
      <c r="D41" s="84" t="s">
        <v>631</v>
      </c>
      <c r="E41" s="67">
        <f>'Balin-A'!$N$174/1000</f>
        <v>200</v>
      </c>
      <c r="F41" s="67">
        <f>'Kumai-A'!$N$174/1000</f>
        <v>0</v>
      </c>
      <c r="G41" s="67">
        <f>'Sinta-A'!$N$174/1000</f>
        <v>0</v>
      </c>
      <c r="H41" s="67">
        <f>'Lokal-A'!$N$174/1000</f>
        <v>0</v>
      </c>
      <c r="I41" s="67">
        <f t="shared" ref="I41:I45" si="16">sum(E41:H41)</f>
        <v>200</v>
      </c>
    </row>
    <row r="42">
      <c r="A42" s="70"/>
      <c r="B42" s="65"/>
      <c r="C42" s="83" t="s">
        <v>632</v>
      </c>
      <c r="D42" s="84" t="s">
        <v>631</v>
      </c>
      <c r="E42" s="88">
        <f>'Balin-A'!$F$174/1000</f>
        <v>0</v>
      </c>
      <c r="F42" s="88">
        <f>'Kumai-A'!$F$174/1000</f>
        <v>0</v>
      </c>
      <c r="G42" s="88">
        <f>'Sinta-A'!$F$174/1000</f>
        <v>0</v>
      </c>
      <c r="H42" s="88">
        <f>'Lokal-A'!$F$174/1000</f>
        <v>0</v>
      </c>
      <c r="I42" s="88">
        <f t="shared" si="16"/>
        <v>0</v>
      </c>
    </row>
    <row r="43">
      <c r="A43" s="70"/>
      <c r="B43" s="65"/>
      <c r="C43" s="83" t="s">
        <v>633</v>
      </c>
      <c r="D43" s="84" t="s">
        <v>631</v>
      </c>
      <c r="E43" s="88">
        <f>'Balin-A'!$O$174/1000</f>
        <v>0</v>
      </c>
      <c r="F43" s="88">
        <f>'Kumai-A'!$O$174/1000</f>
        <v>0</v>
      </c>
      <c r="G43" s="88">
        <f>'Sinta-A'!$O$174/1000</f>
        <v>0</v>
      </c>
      <c r="H43" s="88">
        <f>'Lokal-A'!$O$174/1000</f>
        <v>0</v>
      </c>
      <c r="I43" s="88">
        <f t="shared" si="16"/>
        <v>0</v>
      </c>
    </row>
    <row r="44">
      <c r="A44" s="70"/>
      <c r="B44" s="65"/>
      <c r="C44" s="83" t="s">
        <v>634</v>
      </c>
      <c r="D44" s="84" t="s">
        <v>631</v>
      </c>
      <c r="E44" s="88">
        <f>'Balin-A'!$P$174/1000</f>
        <v>0</v>
      </c>
      <c r="F44" s="88">
        <f>'Kumai-A'!$P$174/1000</f>
        <v>0</v>
      </c>
      <c r="G44" s="88">
        <f>'Sinta-A'!$P$174/1000</f>
        <v>0</v>
      </c>
      <c r="H44" s="88">
        <f>'Lokal-A'!$P$174/1000</f>
        <v>0</v>
      </c>
      <c r="I44" s="88">
        <f t="shared" si="16"/>
        <v>0</v>
      </c>
    </row>
    <row r="45">
      <c r="A45" s="70"/>
      <c r="B45" s="65"/>
      <c r="C45" s="83" t="s">
        <v>635</v>
      </c>
      <c r="D45" s="84" t="s">
        <v>631</v>
      </c>
      <c r="E45" s="88">
        <f>'Balin-A'!$Q$174/1000</f>
        <v>0</v>
      </c>
      <c r="F45" s="88">
        <f>'Kumai-A'!$Q$174/1000</f>
        <v>0</v>
      </c>
      <c r="G45" s="88">
        <f>'Sinta-A'!$Q$174/1000</f>
        <v>0</v>
      </c>
      <c r="H45" s="88">
        <f>'Lokal-A'!$Q$174/1000</f>
        <v>0</v>
      </c>
      <c r="I45" s="88">
        <f t="shared" si="16"/>
        <v>0</v>
      </c>
    </row>
    <row r="46" ht="7.5" customHeight="1">
      <c r="A46" s="70"/>
      <c r="B46" s="65"/>
      <c r="C46" s="86"/>
      <c r="D46" s="87"/>
      <c r="E46" s="88"/>
      <c r="F46" s="88"/>
      <c r="G46" s="88"/>
      <c r="H46" s="88"/>
      <c r="I46" s="88"/>
    </row>
    <row r="47">
      <c r="A47" s="70"/>
      <c r="B47" s="65"/>
      <c r="C47" s="83" t="s">
        <v>663</v>
      </c>
      <c r="D47" s="89" t="s">
        <v>590</v>
      </c>
      <c r="E47" s="90">
        <f t="shared" ref="E47:I47" si="17">IFERROR(E41/E42*100,0)</f>
        <v>0</v>
      </c>
      <c r="F47" s="90">
        <f t="shared" si="17"/>
        <v>0</v>
      </c>
      <c r="G47" s="90">
        <f t="shared" si="17"/>
        <v>0</v>
      </c>
      <c r="H47" s="90">
        <f t="shared" si="17"/>
        <v>0</v>
      </c>
      <c r="I47" s="90">
        <f t="shared" si="17"/>
        <v>0</v>
      </c>
    </row>
    <row r="48">
      <c r="A48" s="70"/>
      <c r="B48" s="65"/>
      <c r="C48" s="83" t="s">
        <v>664</v>
      </c>
      <c r="D48" s="89" t="s">
        <v>590</v>
      </c>
      <c r="E48" s="90">
        <f t="shared" ref="E48:I48" si="18">IFERROR(E41/E43*100,0)</f>
        <v>0</v>
      </c>
      <c r="F48" s="90">
        <f t="shared" si="18"/>
        <v>0</v>
      </c>
      <c r="G48" s="90">
        <f t="shared" si="18"/>
        <v>0</v>
      </c>
      <c r="H48" s="90">
        <f t="shared" si="18"/>
        <v>0</v>
      </c>
      <c r="I48" s="90">
        <f t="shared" si="18"/>
        <v>0</v>
      </c>
    </row>
    <row r="49">
      <c r="A49" s="70"/>
      <c r="B49" s="65"/>
      <c r="C49" s="83" t="s">
        <v>665</v>
      </c>
      <c r="D49" s="89" t="s">
        <v>590</v>
      </c>
      <c r="E49" s="90">
        <f t="shared" ref="E49:I49" si="19">IFERROR(E41/E44*100,0)</f>
        <v>0</v>
      </c>
      <c r="F49" s="90">
        <f t="shared" si="19"/>
        <v>0</v>
      </c>
      <c r="G49" s="90">
        <f t="shared" si="19"/>
        <v>0</v>
      </c>
      <c r="H49" s="90">
        <f t="shared" si="19"/>
        <v>0</v>
      </c>
      <c r="I49" s="90">
        <f t="shared" si="19"/>
        <v>0</v>
      </c>
    </row>
    <row r="50">
      <c r="A50" s="91"/>
      <c r="B50" s="92"/>
      <c r="C50" s="93" t="s">
        <v>666</v>
      </c>
      <c r="D50" s="94" t="s">
        <v>590</v>
      </c>
      <c r="E50" s="95">
        <f t="shared" ref="E50:I50" si="20">IFERROR(E41/E45*100,0)</f>
        <v>0</v>
      </c>
      <c r="F50" s="95">
        <f t="shared" si="20"/>
        <v>0</v>
      </c>
      <c r="G50" s="95">
        <f t="shared" si="20"/>
        <v>0</v>
      </c>
      <c r="H50" s="95">
        <f t="shared" si="20"/>
        <v>0</v>
      </c>
      <c r="I50" s="95">
        <f t="shared" si="20"/>
        <v>0</v>
      </c>
    </row>
    <row r="51" ht="3.75" customHeight="1">
      <c r="A51" s="96"/>
      <c r="B51" s="97"/>
      <c r="C51" s="97"/>
      <c r="D51" s="98"/>
      <c r="E51" s="99"/>
      <c r="F51" s="99"/>
      <c r="G51" s="99"/>
      <c r="H51" s="99"/>
      <c r="I51" s="99"/>
    </row>
    <row r="52">
      <c r="A52" s="81">
        <v>5.0</v>
      </c>
      <c r="B52" s="82" t="s">
        <v>710</v>
      </c>
      <c r="C52" s="100" t="s">
        <v>662</v>
      </c>
      <c r="D52" s="84" t="s">
        <v>631</v>
      </c>
      <c r="E52" s="67">
        <f>'Balin-A'!$N$175/1000</f>
        <v>11248.56</v>
      </c>
      <c r="F52" s="67">
        <f>'Kumai-A'!$N$175/1000</f>
        <v>0</v>
      </c>
      <c r="G52" s="67">
        <f>'Sinta-A'!$N$175/1000</f>
        <v>373</v>
      </c>
      <c r="H52" s="67">
        <f>'Lokal-A'!$N$175/1000</f>
        <v>0</v>
      </c>
      <c r="I52" s="67">
        <f t="shared" ref="I52:I56" si="21">sum(E52:H52)</f>
        <v>11621.56</v>
      </c>
    </row>
    <row r="53">
      <c r="A53" s="70"/>
      <c r="B53" s="65"/>
      <c r="C53" s="83" t="s">
        <v>632</v>
      </c>
      <c r="D53" s="84" t="s">
        <v>631</v>
      </c>
      <c r="E53" s="88">
        <f>'Balin-A'!$F$175/1000</f>
        <v>518.96</v>
      </c>
      <c r="F53" s="88">
        <f>'Kumai-A'!$F$175/1000</f>
        <v>0</v>
      </c>
      <c r="G53" s="88">
        <f>'Sinta-A'!$F$175/1000</f>
        <v>0</v>
      </c>
      <c r="H53" s="88">
        <f>'Lokal-A'!$F$175/1000</f>
        <v>0</v>
      </c>
      <c r="I53" s="88">
        <f t="shared" si="21"/>
        <v>518.96</v>
      </c>
    </row>
    <row r="54">
      <c r="A54" s="70"/>
      <c r="B54" s="65"/>
      <c r="C54" s="83" t="s">
        <v>633</v>
      </c>
      <c r="D54" s="84" t="s">
        <v>631</v>
      </c>
      <c r="E54" s="88">
        <f>'Balin-A'!$O$175/1000</f>
        <v>0</v>
      </c>
      <c r="F54" s="88">
        <f>'Kumai-A'!$O$175/1000</f>
        <v>0</v>
      </c>
      <c r="G54" s="88">
        <f>'Sinta-A'!$O$175/1000</f>
        <v>1451</v>
      </c>
      <c r="H54" s="88">
        <f>'Lokal-A'!$O$175/1000</f>
        <v>0</v>
      </c>
      <c r="I54" s="88">
        <f t="shared" si="21"/>
        <v>1451</v>
      </c>
    </row>
    <row r="55">
      <c r="A55" s="70"/>
      <c r="B55" s="65"/>
      <c r="C55" s="83" t="s">
        <v>634</v>
      </c>
      <c r="D55" s="84" t="s">
        <v>631</v>
      </c>
      <c r="E55" s="88">
        <f>'Balin-A'!$P$175/1000</f>
        <v>37167</v>
      </c>
      <c r="F55" s="88">
        <f>'Kumai-A'!$P$175/1000</f>
        <v>0</v>
      </c>
      <c r="G55" s="88">
        <f>'Sinta-A'!$P$175/1000</f>
        <v>0</v>
      </c>
      <c r="H55" s="88">
        <f>'Lokal-A'!$P$175/1000</f>
        <v>0</v>
      </c>
      <c r="I55" s="88">
        <f t="shared" si="21"/>
        <v>37167</v>
      </c>
    </row>
    <row r="56">
      <c r="A56" s="70"/>
      <c r="B56" s="65"/>
      <c r="C56" s="83" t="s">
        <v>635</v>
      </c>
      <c r="D56" s="84" t="s">
        <v>631</v>
      </c>
      <c r="E56" s="88">
        <f>'Balin-A'!$Q$175/1000</f>
        <v>37165.95</v>
      </c>
      <c r="F56" s="88">
        <f>'Kumai-A'!$Q$175/1000</f>
        <v>0</v>
      </c>
      <c r="G56" s="88">
        <f>'Sinta-A'!$Q$175/1000</f>
        <v>0</v>
      </c>
      <c r="H56" s="88">
        <f>'Lokal-A'!$Q$175/1000</f>
        <v>0</v>
      </c>
      <c r="I56" s="88">
        <f t="shared" si="21"/>
        <v>37165.95</v>
      </c>
    </row>
    <row r="57" ht="7.5" customHeight="1">
      <c r="A57" s="70"/>
      <c r="B57" s="65"/>
      <c r="C57" s="86"/>
      <c r="D57" s="87"/>
      <c r="E57" s="88"/>
      <c r="F57" s="88"/>
      <c r="G57" s="88"/>
      <c r="H57" s="88"/>
      <c r="I57" s="88"/>
    </row>
    <row r="58">
      <c r="A58" s="70"/>
      <c r="B58" s="65"/>
      <c r="C58" s="83" t="s">
        <v>663</v>
      </c>
      <c r="D58" s="89" t="s">
        <v>590</v>
      </c>
      <c r="E58" s="90">
        <f t="shared" ref="E58:I58" si="22">IFERROR(E52/E53*100,0)</f>
        <v>2167.519655</v>
      </c>
      <c r="F58" s="90">
        <f t="shared" si="22"/>
        <v>0</v>
      </c>
      <c r="G58" s="90">
        <f t="shared" si="22"/>
        <v>0</v>
      </c>
      <c r="H58" s="90">
        <f t="shared" si="22"/>
        <v>0</v>
      </c>
      <c r="I58" s="90">
        <f t="shared" si="22"/>
        <v>2239.394173</v>
      </c>
    </row>
    <row r="59">
      <c r="A59" s="70"/>
      <c r="B59" s="65"/>
      <c r="C59" s="83" t="s">
        <v>664</v>
      </c>
      <c r="D59" s="89" t="s">
        <v>590</v>
      </c>
      <c r="E59" s="90">
        <f t="shared" ref="E59:I59" si="23">IFERROR(E52/E54*100,0)</f>
        <v>0</v>
      </c>
      <c r="F59" s="90">
        <f t="shared" si="23"/>
        <v>0</v>
      </c>
      <c r="G59" s="90">
        <f t="shared" si="23"/>
        <v>25.70640937</v>
      </c>
      <c r="H59" s="90">
        <f t="shared" si="23"/>
        <v>0</v>
      </c>
      <c r="I59" s="90">
        <f t="shared" si="23"/>
        <v>800.9345279</v>
      </c>
    </row>
    <row r="60">
      <c r="A60" s="70"/>
      <c r="B60" s="65"/>
      <c r="C60" s="83" t="s">
        <v>665</v>
      </c>
      <c r="D60" s="89" t="s">
        <v>590</v>
      </c>
      <c r="E60" s="90">
        <f t="shared" ref="E60:I60" si="24">IFERROR(E52/E55*100,0)</f>
        <v>30.26491242</v>
      </c>
      <c r="F60" s="90">
        <f t="shared" si="24"/>
        <v>0</v>
      </c>
      <c r="G60" s="90">
        <f t="shared" si="24"/>
        <v>0</v>
      </c>
      <c r="H60" s="90">
        <f t="shared" si="24"/>
        <v>0</v>
      </c>
      <c r="I60" s="90">
        <f t="shared" si="24"/>
        <v>31.26849087</v>
      </c>
    </row>
    <row r="61">
      <c r="A61" s="91"/>
      <c r="B61" s="92"/>
      <c r="C61" s="93" t="s">
        <v>666</v>
      </c>
      <c r="D61" s="94" t="s">
        <v>590</v>
      </c>
      <c r="E61" s="95">
        <f t="shared" ref="E61:I61" si="25">IFERROR(E52/E56*100,0)</f>
        <v>30.26576746</v>
      </c>
      <c r="F61" s="95">
        <f t="shared" si="25"/>
        <v>0</v>
      </c>
      <c r="G61" s="95">
        <f t="shared" si="25"/>
        <v>0</v>
      </c>
      <c r="H61" s="95">
        <f t="shared" si="25"/>
        <v>0</v>
      </c>
      <c r="I61" s="95">
        <f t="shared" si="25"/>
        <v>31.26937425</v>
      </c>
    </row>
    <row r="62" ht="3.75" customHeight="1">
      <c r="A62" s="96"/>
      <c r="B62" s="97"/>
      <c r="C62" s="97"/>
      <c r="D62" s="98"/>
      <c r="E62" s="99"/>
      <c r="F62" s="99"/>
      <c r="G62" s="99"/>
      <c r="H62" s="99"/>
      <c r="I62" s="99"/>
    </row>
    <row r="63">
      <c r="A63" s="81">
        <v>6.0</v>
      </c>
      <c r="B63" s="82" t="s">
        <v>711</v>
      </c>
      <c r="C63" s="100" t="s">
        <v>662</v>
      </c>
      <c r="D63" s="84" t="s">
        <v>631</v>
      </c>
      <c r="E63" s="67">
        <f>'Balin-A'!$N$176/1000</f>
        <v>76299.04</v>
      </c>
      <c r="F63" s="67">
        <f>'Kumai-A'!$N$176/1000</f>
        <v>0</v>
      </c>
      <c r="G63" s="67">
        <f>'Sinta-A'!$N$176/1000</f>
        <v>3175</v>
      </c>
      <c r="H63" s="67">
        <f>'Lokal-A'!$N$176/1000</f>
        <v>0</v>
      </c>
      <c r="I63" s="67">
        <f t="shared" ref="I63:I67" si="26">sum(E63:H63)</f>
        <v>79474.04</v>
      </c>
    </row>
    <row r="64">
      <c r="A64" s="70"/>
      <c r="B64" s="65"/>
      <c r="C64" s="83" t="s">
        <v>632</v>
      </c>
      <c r="D64" s="84" t="s">
        <v>631</v>
      </c>
      <c r="E64" s="88">
        <f>'Balin-A'!$F$176/1000</f>
        <v>14146.34</v>
      </c>
      <c r="F64" s="88">
        <f>'Kumai-A'!$F$176/1000</f>
        <v>0</v>
      </c>
      <c r="G64" s="88">
        <f>'Sinta-A'!$F$176/1000</f>
        <v>0</v>
      </c>
      <c r="H64" s="88">
        <f>'Lokal-A'!$F$176/1000</f>
        <v>0</v>
      </c>
      <c r="I64" s="88">
        <f t="shared" si="26"/>
        <v>14146.34</v>
      </c>
    </row>
    <row r="65">
      <c r="A65" s="70"/>
      <c r="B65" s="65"/>
      <c r="C65" s="83" t="s">
        <v>633</v>
      </c>
      <c r="D65" s="84" t="s">
        <v>631</v>
      </c>
      <c r="E65" s="88">
        <f>'Balin-A'!$O$176/1000</f>
        <v>79631.679</v>
      </c>
      <c r="F65" s="88">
        <f>'Kumai-A'!$O$176/1000</f>
        <v>0</v>
      </c>
      <c r="G65" s="88">
        <f>'Sinta-A'!$O$176/1000</f>
        <v>6849</v>
      </c>
      <c r="H65" s="88">
        <f>'Lokal-A'!$O$176/1000</f>
        <v>0</v>
      </c>
      <c r="I65" s="88">
        <f t="shared" si="26"/>
        <v>86480.679</v>
      </c>
    </row>
    <row r="66">
      <c r="A66" s="70"/>
      <c r="B66" s="65"/>
      <c r="C66" s="83" t="s">
        <v>634</v>
      </c>
      <c r="D66" s="84" t="s">
        <v>631</v>
      </c>
      <c r="E66" s="88">
        <f>'Balin-A'!$P$176/1000</f>
        <v>0</v>
      </c>
      <c r="F66" s="88">
        <f>'Kumai-A'!$P$176/1000</f>
        <v>0</v>
      </c>
      <c r="G66" s="88">
        <f>'Sinta-A'!$P$176/1000</f>
        <v>0</v>
      </c>
      <c r="H66" s="88">
        <f>'Lokal-A'!$P$176/1000</f>
        <v>0</v>
      </c>
      <c r="I66" s="88">
        <f t="shared" si="26"/>
        <v>0</v>
      </c>
    </row>
    <row r="67">
      <c r="A67" s="70"/>
      <c r="B67" s="65"/>
      <c r="C67" s="83" t="s">
        <v>635</v>
      </c>
      <c r="D67" s="84" t="s">
        <v>631</v>
      </c>
      <c r="E67" s="88">
        <f>'Balin-A'!$Q$176/1000</f>
        <v>0</v>
      </c>
      <c r="F67" s="88">
        <f>'Kumai-A'!$Q$176/1000</f>
        <v>0</v>
      </c>
      <c r="G67" s="88">
        <f>'Sinta-A'!$Q$176/1000</f>
        <v>0</v>
      </c>
      <c r="H67" s="88">
        <f>'Lokal-A'!$Q$176/1000</f>
        <v>0</v>
      </c>
      <c r="I67" s="88">
        <f t="shared" si="26"/>
        <v>0</v>
      </c>
    </row>
    <row r="68" ht="7.5" customHeight="1">
      <c r="A68" s="70"/>
      <c r="B68" s="65"/>
      <c r="C68" s="86"/>
      <c r="D68" s="87"/>
      <c r="E68" s="88"/>
      <c r="F68" s="88"/>
      <c r="G68" s="88"/>
      <c r="H68" s="88"/>
      <c r="I68" s="88"/>
    </row>
    <row r="69">
      <c r="A69" s="70"/>
      <c r="B69" s="65"/>
      <c r="C69" s="83" t="s">
        <v>663</v>
      </c>
      <c r="D69" s="89" t="s">
        <v>590</v>
      </c>
      <c r="E69" s="90">
        <f t="shared" ref="E69:I69" si="27">IFERROR(E63/E64*100,0)</f>
        <v>539.3553386</v>
      </c>
      <c r="F69" s="90">
        <f t="shared" si="27"/>
        <v>0</v>
      </c>
      <c r="G69" s="90">
        <f t="shared" si="27"/>
        <v>0</v>
      </c>
      <c r="H69" s="90">
        <f t="shared" si="27"/>
        <v>0</v>
      </c>
      <c r="I69" s="90">
        <f t="shared" si="27"/>
        <v>561.7993064</v>
      </c>
    </row>
    <row r="70">
      <c r="A70" s="70"/>
      <c r="B70" s="65"/>
      <c r="C70" s="83" t="s">
        <v>664</v>
      </c>
      <c r="D70" s="89" t="s">
        <v>590</v>
      </c>
      <c r="E70" s="90">
        <f t="shared" ref="E70:I70" si="28">IFERROR(E63/E65*100,0)</f>
        <v>95.81493315</v>
      </c>
      <c r="F70" s="90">
        <f t="shared" si="28"/>
        <v>0</v>
      </c>
      <c r="G70" s="90">
        <f t="shared" si="28"/>
        <v>46.35713243</v>
      </c>
      <c r="H70" s="90">
        <f t="shared" si="28"/>
        <v>0</v>
      </c>
      <c r="I70" s="90">
        <f t="shared" si="28"/>
        <v>91.89802962</v>
      </c>
    </row>
    <row r="71">
      <c r="A71" s="70"/>
      <c r="B71" s="65"/>
      <c r="C71" s="83" t="s">
        <v>665</v>
      </c>
      <c r="D71" s="89" t="s">
        <v>590</v>
      </c>
      <c r="E71" s="90">
        <f t="shared" ref="E71:I71" si="29">IFERROR(E63/E66*100,0)</f>
        <v>0</v>
      </c>
      <c r="F71" s="90">
        <f t="shared" si="29"/>
        <v>0</v>
      </c>
      <c r="G71" s="90">
        <f t="shared" si="29"/>
        <v>0</v>
      </c>
      <c r="H71" s="90">
        <f t="shared" si="29"/>
        <v>0</v>
      </c>
      <c r="I71" s="90">
        <f t="shared" si="29"/>
        <v>0</v>
      </c>
    </row>
    <row r="72">
      <c r="A72" s="91"/>
      <c r="B72" s="92"/>
      <c r="C72" s="93" t="s">
        <v>666</v>
      </c>
      <c r="D72" s="94" t="s">
        <v>590</v>
      </c>
      <c r="E72" s="95">
        <f t="shared" ref="E72:I72" si="30">IFERROR(E63/E67*100,0)</f>
        <v>0</v>
      </c>
      <c r="F72" s="95">
        <f t="shared" si="30"/>
        <v>0</v>
      </c>
      <c r="G72" s="95">
        <f t="shared" si="30"/>
        <v>0</v>
      </c>
      <c r="H72" s="95">
        <f t="shared" si="30"/>
        <v>0</v>
      </c>
      <c r="I72" s="95">
        <f t="shared" si="30"/>
        <v>0</v>
      </c>
    </row>
    <row r="73" ht="3.75" customHeight="1">
      <c r="A73" s="96"/>
      <c r="B73" s="97"/>
      <c r="C73" s="97"/>
      <c r="D73" s="98"/>
      <c r="E73" s="99"/>
      <c r="F73" s="99"/>
      <c r="G73" s="99"/>
      <c r="H73" s="99"/>
      <c r="I73" s="99"/>
    </row>
    <row r="74">
      <c r="A74" s="81">
        <v>7.0</v>
      </c>
      <c r="B74" s="82" t="s">
        <v>712</v>
      </c>
      <c r="C74" s="100" t="s">
        <v>662</v>
      </c>
      <c r="D74" s="84" t="s">
        <v>631</v>
      </c>
      <c r="E74" s="67">
        <f>'Balin-A'!$N$177/1000</f>
        <v>3660</v>
      </c>
      <c r="F74" s="67">
        <f>'Kumai-A'!$N$177/1000</f>
        <v>0</v>
      </c>
      <c r="G74" s="67">
        <f>'Sinta-A'!$N$177/1000</f>
        <v>3700</v>
      </c>
      <c r="H74" s="67">
        <f>'Lokal-A'!$N$177/1000</f>
        <v>0</v>
      </c>
      <c r="I74" s="67">
        <f t="shared" ref="I74:I78" si="31">sum(E74:H74)</f>
        <v>7360</v>
      </c>
    </row>
    <row r="75">
      <c r="A75" s="70"/>
      <c r="B75" s="65"/>
      <c r="C75" s="83" t="s">
        <v>632</v>
      </c>
      <c r="D75" s="84" t="s">
        <v>631</v>
      </c>
      <c r="E75" s="88">
        <f>'Balin-A'!$F$177/1000</f>
        <v>425</v>
      </c>
      <c r="F75" s="88">
        <f>'Kumai-A'!$F$177/1000</f>
        <v>0</v>
      </c>
      <c r="G75" s="88">
        <f>'Sinta-A'!$F$177/1000</f>
        <v>0</v>
      </c>
      <c r="H75" s="88">
        <f>'Lokal-A'!$F$177/1000</f>
        <v>0</v>
      </c>
      <c r="I75" s="88">
        <f t="shared" si="31"/>
        <v>425</v>
      </c>
    </row>
    <row r="76">
      <c r="A76" s="70"/>
      <c r="B76" s="65"/>
      <c r="C76" s="83" t="s">
        <v>633</v>
      </c>
      <c r="D76" s="84" t="s">
        <v>631</v>
      </c>
      <c r="E76" s="88">
        <f>'Balin-A'!$O$177/1000</f>
        <v>4131</v>
      </c>
      <c r="F76" s="88">
        <f>'Kumai-A'!$O$177/1000</f>
        <v>0</v>
      </c>
      <c r="G76" s="88">
        <f>'Sinta-A'!$O$177/1000</f>
        <v>6570</v>
      </c>
      <c r="H76" s="88">
        <f>'Lokal-A'!$O$177/1000</f>
        <v>0</v>
      </c>
      <c r="I76" s="88">
        <f t="shared" si="31"/>
        <v>10701</v>
      </c>
    </row>
    <row r="77">
      <c r="A77" s="70"/>
      <c r="B77" s="65"/>
      <c r="C77" s="83" t="s">
        <v>634</v>
      </c>
      <c r="D77" s="84" t="s">
        <v>631</v>
      </c>
      <c r="E77" s="88">
        <f>'Balin-A'!$P$177/1000</f>
        <v>0</v>
      </c>
      <c r="F77" s="88">
        <f>'Kumai-A'!$P$177/1000</f>
        <v>0</v>
      </c>
      <c r="G77" s="88">
        <f>'Sinta-A'!$P$177/1000</f>
        <v>0</v>
      </c>
      <c r="H77" s="88">
        <f>'Lokal-A'!$P$177/1000</f>
        <v>0</v>
      </c>
      <c r="I77" s="88">
        <f t="shared" si="31"/>
        <v>0</v>
      </c>
    </row>
    <row r="78">
      <c r="A78" s="70"/>
      <c r="B78" s="65"/>
      <c r="C78" s="83" t="s">
        <v>635</v>
      </c>
      <c r="D78" s="84" t="s">
        <v>631</v>
      </c>
      <c r="E78" s="88">
        <f>'Balin-A'!$Q$177/1000</f>
        <v>0</v>
      </c>
      <c r="F78" s="88">
        <f>'Kumai-A'!$Q$177/1000</f>
        <v>0</v>
      </c>
      <c r="G78" s="88">
        <f>'Sinta-A'!$Q$177/1000</f>
        <v>0</v>
      </c>
      <c r="H78" s="88">
        <f>'Lokal-A'!$Q$177/1000</f>
        <v>0</v>
      </c>
      <c r="I78" s="88">
        <f t="shared" si="31"/>
        <v>0</v>
      </c>
    </row>
    <row r="79" ht="7.5" customHeight="1">
      <c r="A79" s="70"/>
      <c r="B79" s="65"/>
      <c r="C79" s="86"/>
      <c r="D79" s="87"/>
      <c r="E79" s="88"/>
      <c r="F79" s="88"/>
      <c r="G79" s="88"/>
      <c r="H79" s="88"/>
      <c r="I79" s="88"/>
    </row>
    <row r="80">
      <c r="A80" s="70"/>
      <c r="B80" s="65"/>
      <c r="C80" s="83" t="s">
        <v>663</v>
      </c>
      <c r="D80" s="89" t="s">
        <v>590</v>
      </c>
      <c r="E80" s="90">
        <f t="shared" ref="E80:I80" si="32">IFERROR(E74/E75*100,0)</f>
        <v>861.1764706</v>
      </c>
      <c r="F80" s="90">
        <f t="shared" si="32"/>
        <v>0</v>
      </c>
      <c r="G80" s="90">
        <f t="shared" si="32"/>
        <v>0</v>
      </c>
      <c r="H80" s="90">
        <f t="shared" si="32"/>
        <v>0</v>
      </c>
      <c r="I80" s="90">
        <f t="shared" si="32"/>
        <v>1731.764706</v>
      </c>
    </row>
    <row r="81">
      <c r="A81" s="70"/>
      <c r="B81" s="65"/>
      <c r="C81" s="83" t="s">
        <v>664</v>
      </c>
      <c r="D81" s="89" t="s">
        <v>590</v>
      </c>
      <c r="E81" s="90">
        <f t="shared" ref="E81:I81" si="33">IFERROR(E74/E76*100,0)</f>
        <v>88.59840232</v>
      </c>
      <c r="F81" s="90">
        <f t="shared" si="33"/>
        <v>0</v>
      </c>
      <c r="G81" s="90">
        <f t="shared" si="33"/>
        <v>56.31659056</v>
      </c>
      <c r="H81" s="90">
        <f t="shared" si="33"/>
        <v>0</v>
      </c>
      <c r="I81" s="90">
        <f t="shared" si="33"/>
        <v>68.77861882</v>
      </c>
    </row>
    <row r="82">
      <c r="A82" s="70"/>
      <c r="B82" s="65"/>
      <c r="C82" s="83" t="s">
        <v>665</v>
      </c>
      <c r="D82" s="89" t="s">
        <v>590</v>
      </c>
      <c r="E82" s="90">
        <f t="shared" ref="E82:I82" si="34">IFERROR(E74/E77*100,0)</f>
        <v>0</v>
      </c>
      <c r="F82" s="90">
        <f t="shared" si="34"/>
        <v>0</v>
      </c>
      <c r="G82" s="90">
        <f t="shared" si="34"/>
        <v>0</v>
      </c>
      <c r="H82" s="90">
        <f t="shared" si="34"/>
        <v>0</v>
      </c>
      <c r="I82" s="90">
        <f t="shared" si="34"/>
        <v>0</v>
      </c>
    </row>
    <row r="83">
      <c r="A83" s="91"/>
      <c r="B83" s="92"/>
      <c r="C83" s="93" t="s">
        <v>666</v>
      </c>
      <c r="D83" s="94" t="s">
        <v>590</v>
      </c>
      <c r="E83" s="95">
        <f t="shared" ref="E83:I83" si="35">IFERROR(E74/E78*100,0)</f>
        <v>0</v>
      </c>
      <c r="F83" s="95">
        <f t="shared" si="35"/>
        <v>0</v>
      </c>
      <c r="G83" s="95">
        <f t="shared" si="35"/>
        <v>0</v>
      </c>
      <c r="H83" s="95">
        <f t="shared" si="35"/>
        <v>0</v>
      </c>
      <c r="I83" s="95">
        <f t="shared" si="35"/>
        <v>0</v>
      </c>
    </row>
    <row r="84" ht="3.75" customHeight="1">
      <c r="A84" s="96"/>
      <c r="B84" s="97"/>
      <c r="C84" s="97"/>
      <c r="D84" s="98"/>
      <c r="E84" s="99"/>
      <c r="F84" s="99"/>
      <c r="G84" s="99"/>
      <c r="H84" s="99"/>
      <c r="I84" s="99"/>
    </row>
    <row r="85">
      <c r="A85" s="81">
        <v>8.0</v>
      </c>
      <c r="B85" s="82" t="s">
        <v>713</v>
      </c>
      <c r="C85" s="100" t="s">
        <v>662</v>
      </c>
      <c r="D85" s="84" t="s">
        <v>631</v>
      </c>
      <c r="E85" s="67">
        <f>'Balin-A'!$N$178/1000</f>
        <v>57840</v>
      </c>
      <c r="F85" s="67">
        <f>'Kumai-A'!$N$178/1000</f>
        <v>0</v>
      </c>
      <c r="G85" s="67">
        <f>'Sinta-A'!$N$178/1000</f>
        <v>0</v>
      </c>
      <c r="H85" s="67">
        <f>'Lokal-A'!$N$178/1000</f>
        <v>0</v>
      </c>
      <c r="I85" s="67">
        <f t="shared" ref="I85:I89" si="36">sum(E85:H85)</f>
        <v>57840</v>
      </c>
    </row>
    <row r="86">
      <c r="A86" s="70"/>
      <c r="B86" s="65"/>
      <c r="C86" s="83" t="s">
        <v>632</v>
      </c>
      <c r="D86" s="84" t="s">
        <v>631</v>
      </c>
      <c r="E86" s="88">
        <f>'Balin-A'!$F$178/1000</f>
        <v>15184</v>
      </c>
      <c r="F86" s="88">
        <f>'Kumai-A'!$F$178/1000</f>
        <v>0</v>
      </c>
      <c r="G86" s="88">
        <f>'Sinta-A'!$F$178/1000</f>
        <v>0</v>
      </c>
      <c r="H86" s="88">
        <f>'Lokal-A'!$F$178/1000</f>
        <v>0</v>
      </c>
      <c r="I86" s="88">
        <f t="shared" si="36"/>
        <v>15184</v>
      </c>
    </row>
    <row r="87">
      <c r="A87" s="70"/>
      <c r="B87" s="65"/>
      <c r="C87" s="83" t="s">
        <v>633</v>
      </c>
      <c r="D87" s="84" t="s">
        <v>631</v>
      </c>
      <c r="E87" s="88">
        <f>'Balin-A'!$O$178/1000</f>
        <v>24980</v>
      </c>
      <c r="F87" s="88">
        <f>'Kumai-A'!$O$178/1000</f>
        <v>0</v>
      </c>
      <c r="G87" s="88">
        <f>'Sinta-A'!$O$178/1000</f>
        <v>0</v>
      </c>
      <c r="H87" s="88">
        <f>'Lokal-A'!$O$178/1000</f>
        <v>0</v>
      </c>
      <c r="I87" s="88">
        <f t="shared" si="36"/>
        <v>24980</v>
      </c>
    </row>
    <row r="88">
      <c r="A88" s="70"/>
      <c r="B88" s="65"/>
      <c r="C88" s="83" t="s">
        <v>634</v>
      </c>
      <c r="D88" s="84" t="s">
        <v>631</v>
      </c>
      <c r="E88" s="88">
        <f>'Balin-A'!$P$178/1000</f>
        <v>0</v>
      </c>
      <c r="F88" s="88">
        <f>'Kumai-A'!$P$178/1000</f>
        <v>0</v>
      </c>
      <c r="G88" s="88">
        <f>'Sinta-A'!$P$178/1000</f>
        <v>0</v>
      </c>
      <c r="H88" s="88">
        <f>'Lokal-A'!$P$178/1000</f>
        <v>0</v>
      </c>
      <c r="I88" s="88">
        <f t="shared" si="36"/>
        <v>0</v>
      </c>
    </row>
    <row r="89">
      <c r="A89" s="70"/>
      <c r="B89" s="65"/>
      <c r="C89" s="83" t="s">
        <v>635</v>
      </c>
      <c r="D89" s="84" t="s">
        <v>631</v>
      </c>
      <c r="E89" s="88">
        <f>'Balin-A'!$Q$178/1000</f>
        <v>0</v>
      </c>
      <c r="F89" s="88">
        <f>'Kumai-A'!$Q$178/1000</f>
        <v>0</v>
      </c>
      <c r="G89" s="88">
        <f>'Sinta-A'!$Q$178/1000</f>
        <v>0</v>
      </c>
      <c r="H89" s="88">
        <f>'Lokal-A'!$Q$178/1000</f>
        <v>0</v>
      </c>
      <c r="I89" s="88">
        <f t="shared" si="36"/>
        <v>0</v>
      </c>
    </row>
    <row r="90" ht="7.5" customHeight="1">
      <c r="A90" s="70"/>
      <c r="B90" s="65"/>
      <c r="C90" s="86"/>
      <c r="D90" s="87"/>
      <c r="E90" s="88"/>
      <c r="F90" s="88"/>
      <c r="G90" s="88"/>
      <c r="H90" s="88"/>
      <c r="I90" s="88"/>
    </row>
    <row r="91">
      <c r="A91" s="70"/>
      <c r="B91" s="65"/>
      <c r="C91" s="83" t="s">
        <v>663</v>
      </c>
      <c r="D91" s="89" t="s">
        <v>590</v>
      </c>
      <c r="E91" s="90">
        <f t="shared" ref="E91:I91" si="37">IFERROR(E85/E86*100,0)</f>
        <v>380.9272919</v>
      </c>
      <c r="F91" s="90">
        <f t="shared" si="37"/>
        <v>0</v>
      </c>
      <c r="G91" s="90">
        <f t="shared" si="37"/>
        <v>0</v>
      </c>
      <c r="H91" s="90">
        <f t="shared" si="37"/>
        <v>0</v>
      </c>
      <c r="I91" s="90">
        <f t="shared" si="37"/>
        <v>380.9272919</v>
      </c>
    </row>
    <row r="92">
      <c r="A92" s="70"/>
      <c r="B92" s="65"/>
      <c r="C92" s="83" t="s">
        <v>664</v>
      </c>
      <c r="D92" s="89" t="s">
        <v>590</v>
      </c>
      <c r="E92" s="90">
        <f t="shared" ref="E92:I92" si="38">IFERROR(E85/E87*100,0)</f>
        <v>231.5452362</v>
      </c>
      <c r="F92" s="90">
        <f t="shared" si="38"/>
        <v>0</v>
      </c>
      <c r="G92" s="90">
        <f t="shared" si="38"/>
        <v>0</v>
      </c>
      <c r="H92" s="90">
        <f t="shared" si="38"/>
        <v>0</v>
      </c>
      <c r="I92" s="90">
        <f t="shared" si="38"/>
        <v>231.5452362</v>
      </c>
    </row>
    <row r="93">
      <c r="A93" s="70"/>
      <c r="B93" s="65"/>
      <c r="C93" s="83" t="s">
        <v>665</v>
      </c>
      <c r="D93" s="89" t="s">
        <v>590</v>
      </c>
      <c r="E93" s="90">
        <f t="shared" ref="E93:I93" si="39">IFERROR(E85/E88*100,0)</f>
        <v>0</v>
      </c>
      <c r="F93" s="90">
        <f t="shared" si="39"/>
        <v>0</v>
      </c>
      <c r="G93" s="90">
        <f t="shared" si="39"/>
        <v>0</v>
      </c>
      <c r="H93" s="90">
        <f t="shared" si="39"/>
        <v>0</v>
      </c>
      <c r="I93" s="90">
        <f t="shared" si="39"/>
        <v>0</v>
      </c>
    </row>
    <row r="94">
      <c r="A94" s="91"/>
      <c r="B94" s="92"/>
      <c r="C94" s="93" t="s">
        <v>666</v>
      </c>
      <c r="D94" s="94" t="s">
        <v>590</v>
      </c>
      <c r="E94" s="95">
        <f t="shared" ref="E94:I94" si="40">IFERROR(E85/E89*100,0)</f>
        <v>0</v>
      </c>
      <c r="F94" s="95">
        <f t="shared" si="40"/>
        <v>0</v>
      </c>
      <c r="G94" s="95">
        <f t="shared" si="40"/>
        <v>0</v>
      </c>
      <c r="H94" s="95">
        <f t="shared" si="40"/>
        <v>0</v>
      </c>
      <c r="I94" s="95">
        <f t="shared" si="40"/>
        <v>0</v>
      </c>
    </row>
    <row r="95" ht="3.75" customHeight="1">
      <c r="A95" s="96"/>
      <c r="B95" s="97"/>
      <c r="C95" s="97"/>
      <c r="D95" s="98"/>
      <c r="E95" s="99"/>
      <c r="F95" s="99"/>
      <c r="G95" s="99"/>
      <c r="H95" s="99"/>
      <c r="I95" s="99"/>
    </row>
    <row r="96">
      <c r="A96" s="81">
        <v>9.0</v>
      </c>
      <c r="B96" s="82" t="s">
        <v>714</v>
      </c>
      <c r="C96" s="100" t="s">
        <v>662</v>
      </c>
      <c r="D96" s="84" t="s">
        <v>631</v>
      </c>
      <c r="E96" s="67">
        <f>'Balin-A'!$N$182/1000</f>
        <v>370579.784</v>
      </c>
      <c r="F96" s="67">
        <f>'Kumai-A'!$N$182/1000</f>
        <v>0</v>
      </c>
      <c r="G96" s="67">
        <f>'Sinta-A'!$N$182/1000</f>
        <v>0</v>
      </c>
      <c r="H96" s="67">
        <f>'Lokal-A'!$N$182/1000</f>
        <v>0</v>
      </c>
      <c r="I96" s="67">
        <f t="shared" ref="I96:I100" si="41">sum(E96:H96)</f>
        <v>370579.784</v>
      </c>
    </row>
    <row r="97">
      <c r="A97" s="70"/>
      <c r="B97" s="65"/>
      <c r="C97" s="83" t="s">
        <v>632</v>
      </c>
      <c r="D97" s="84" t="s">
        <v>631</v>
      </c>
      <c r="E97" s="88">
        <f>'Balin-A'!$F$182/1000</f>
        <v>74115.892</v>
      </c>
      <c r="F97" s="88">
        <f>'Kumai-A'!$F$182/1000</f>
        <v>0</v>
      </c>
      <c r="G97" s="88">
        <f>'Sinta-A'!$F$182/1000</f>
        <v>0</v>
      </c>
      <c r="H97" s="88">
        <f>'Lokal-A'!$F$182/1000</f>
        <v>0</v>
      </c>
      <c r="I97" s="88">
        <f t="shared" si="41"/>
        <v>74115.892</v>
      </c>
    </row>
    <row r="98">
      <c r="A98" s="70"/>
      <c r="B98" s="65"/>
      <c r="C98" s="83" t="s">
        <v>633</v>
      </c>
      <c r="D98" s="84" t="s">
        <v>631</v>
      </c>
      <c r="E98" s="88">
        <f>'Balin-A'!$O$182/1000</f>
        <v>0</v>
      </c>
      <c r="F98" s="88">
        <f>'Kumai-A'!$O$182/1000</f>
        <v>0</v>
      </c>
      <c r="G98" s="88">
        <f>'Sinta-A'!$O$182/1000</f>
        <v>16008.426</v>
      </c>
      <c r="H98" s="88">
        <f>'Lokal-A'!$O$182/1000</f>
        <v>0</v>
      </c>
      <c r="I98" s="88">
        <f t="shared" si="41"/>
        <v>16008.426</v>
      </c>
    </row>
    <row r="99">
      <c r="A99" s="70"/>
      <c r="B99" s="65"/>
      <c r="C99" s="83" t="s">
        <v>634</v>
      </c>
      <c r="D99" s="84" t="s">
        <v>631</v>
      </c>
      <c r="E99" s="88">
        <f>'Balin-A'!$P$182/1000</f>
        <v>370580</v>
      </c>
      <c r="F99" s="88">
        <f>'Kumai-A'!$P$182/1000</f>
        <v>0</v>
      </c>
      <c r="G99" s="88">
        <f>'Sinta-A'!$P$182/1000</f>
        <v>0</v>
      </c>
      <c r="H99" s="88">
        <f>'Lokal-A'!$P$182/1000</f>
        <v>0</v>
      </c>
      <c r="I99" s="88">
        <f t="shared" si="41"/>
        <v>370580</v>
      </c>
    </row>
    <row r="100">
      <c r="A100" s="70"/>
      <c r="B100" s="65"/>
      <c r="C100" s="83" t="s">
        <v>635</v>
      </c>
      <c r="D100" s="84" t="s">
        <v>631</v>
      </c>
      <c r="E100" s="88">
        <f>'Balin-A'!$Q$182/1000</f>
        <v>370579.46</v>
      </c>
      <c r="F100" s="88">
        <f>'Kumai-A'!$Q$182/1000</f>
        <v>0</v>
      </c>
      <c r="G100" s="88">
        <f>'Sinta-A'!$Q$182/1000</f>
        <v>0</v>
      </c>
      <c r="H100" s="88">
        <f>'Lokal-A'!$Q$182/1000</f>
        <v>0</v>
      </c>
      <c r="I100" s="88">
        <f t="shared" si="41"/>
        <v>370579.46</v>
      </c>
    </row>
    <row r="101" ht="7.5" customHeight="1">
      <c r="A101" s="70"/>
      <c r="B101" s="65"/>
      <c r="C101" s="86"/>
      <c r="D101" s="87"/>
      <c r="E101" s="88"/>
      <c r="F101" s="88"/>
      <c r="G101" s="88"/>
      <c r="H101" s="88"/>
      <c r="I101" s="88"/>
    </row>
    <row r="102">
      <c r="A102" s="70"/>
      <c r="B102" s="65"/>
      <c r="C102" s="83" t="s">
        <v>663</v>
      </c>
      <c r="D102" s="89" t="s">
        <v>590</v>
      </c>
      <c r="E102" s="90">
        <f t="shared" ref="E102:I102" si="42">IFERROR(E96/E97*100,0)</f>
        <v>500.0004372</v>
      </c>
      <c r="F102" s="90">
        <f t="shared" si="42"/>
        <v>0</v>
      </c>
      <c r="G102" s="90">
        <f t="shared" si="42"/>
        <v>0</v>
      </c>
      <c r="H102" s="90">
        <f t="shared" si="42"/>
        <v>0</v>
      </c>
      <c r="I102" s="90">
        <f t="shared" si="42"/>
        <v>500.0004372</v>
      </c>
    </row>
    <row r="103">
      <c r="A103" s="70"/>
      <c r="B103" s="65"/>
      <c r="C103" s="83" t="s">
        <v>664</v>
      </c>
      <c r="D103" s="89" t="s">
        <v>590</v>
      </c>
      <c r="E103" s="90">
        <f t="shared" ref="E103:I103" si="43">IFERROR(E96/E98*100,0)</f>
        <v>0</v>
      </c>
      <c r="F103" s="90">
        <f t="shared" si="43"/>
        <v>0</v>
      </c>
      <c r="G103" s="90">
        <f t="shared" si="43"/>
        <v>0</v>
      </c>
      <c r="H103" s="90">
        <f t="shared" si="43"/>
        <v>0</v>
      </c>
      <c r="I103" s="90">
        <f t="shared" si="43"/>
        <v>2314.904563</v>
      </c>
    </row>
    <row r="104">
      <c r="A104" s="70"/>
      <c r="B104" s="65"/>
      <c r="C104" s="83" t="s">
        <v>665</v>
      </c>
      <c r="D104" s="89" t="s">
        <v>590</v>
      </c>
      <c r="E104" s="90">
        <f t="shared" ref="E104:I104" si="44">IFERROR(E96/E99*100,0)</f>
        <v>99.99994171</v>
      </c>
      <c r="F104" s="90">
        <f t="shared" si="44"/>
        <v>0</v>
      </c>
      <c r="G104" s="90">
        <f t="shared" si="44"/>
        <v>0</v>
      </c>
      <c r="H104" s="90">
        <f t="shared" si="44"/>
        <v>0</v>
      </c>
      <c r="I104" s="90">
        <f t="shared" si="44"/>
        <v>99.99994171</v>
      </c>
    </row>
    <row r="105">
      <c r="A105" s="91"/>
      <c r="B105" s="92"/>
      <c r="C105" s="93" t="s">
        <v>666</v>
      </c>
      <c r="D105" s="94" t="s">
        <v>590</v>
      </c>
      <c r="E105" s="95">
        <f t="shared" ref="E105:I105" si="45">IFERROR(E96/E100*100,0)</f>
        <v>100.0000874</v>
      </c>
      <c r="F105" s="95">
        <f t="shared" si="45"/>
        <v>0</v>
      </c>
      <c r="G105" s="95">
        <f t="shared" si="45"/>
        <v>0</v>
      </c>
      <c r="H105" s="95">
        <f t="shared" si="45"/>
        <v>0</v>
      </c>
      <c r="I105" s="95">
        <f t="shared" si="45"/>
        <v>100.0000874</v>
      </c>
    </row>
    <row r="106" ht="3.75" customHeight="1">
      <c r="A106" s="96"/>
      <c r="B106" s="97"/>
      <c r="C106" s="97"/>
      <c r="D106" s="98"/>
      <c r="E106" s="99"/>
      <c r="F106" s="99"/>
      <c r="G106" s="99"/>
      <c r="H106" s="99"/>
      <c r="I106" s="99"/>
    </row>
    <row r="107">
      <c r="A107" s="81">
        <v>10.0</v>
      </c>
      <c r="B107" s="82" t="s">
        <v>715</v>
      </c>
      <c r="C107" s="100" t="s">
        <v>662</v>
      </c>
      <c r="D107" s="84" t="s">
        <v>631</v>
      </c>
      <c r="E107" s="67">
        <f>'Balin-A'!$N$183/1000</f>
        <v>0</v>
      </c>
      <c r="F107" s="67">
        <f>'Kumai-A'!$N$183/1000</f>
        <v>0</v>
      </c>
      <c r="G107" s="67">
        <f>'Sinta-A'!$N$183/1000</f>
        <v>0</v>
      </c>
      <c r="H107" s="67">
        <f>'Lokal-A'!$N$183/1000</f>
        <v>0</v>
      </c>
      <c r="I107" s="67">
        <f t="shared" ref="I107:I111" si="46">sum(E107:H107)</f>
        <v>0</v>
      </c>
    </row>
    <row r="108">
      <c r="A108" s="70"/>
      <c r="B108" s="65"/>
      <c r="C108" s="83" t="s">
        <v>632</v>
      </c>
      <c r="D108" s="84" t="s">
        <v>631</v>
      </c>
      <c r="E108" s="88">
        <f>'Balin-A'!$F$183/1000</f>
        <v>0</v>
      </c>
      <c r="F108" s="88">
        <f>'Kumai-A'!$F$183/1000</f>
        <v>0</v>
      </c>
      <c r="G108" s="88">
        <f>'Sinta-A'!$F$183/1000</f>
        <v>0</v>
      </c>
      <c r="H108" s="88">
        <f>'Lokal-A'!$F$183/1000</f>
        <v>0</v>
      </c>
      <c r="I108" s="88">
        <f t="shared" si="46"/>
        <v>0</v>
      </c>
    </row>
    <row r="109">
      <c r="A109" s="70"/>
      <c r="B109" s="65"/>
      <c r="C109" s="83" t="s">
        <v>633</v>
      </c>
      <c r="D109" s="84" t="s">
        <v>631</v>
      </c>
      <c r="E109" s="88">
        <f>'Balin-A'!$O$183/1000</f>
        <v>72.299</v>
      </c>
      <c r="F109" s="88">
        <f>'Kumai-A'!$O$183/1000</f>
        <v>0</v>
      </c>
      <c r="G109" s="88">
        <f>'Sinta-A'!$O$183/1000</f>
        <v>5259.519</v>
      </c>
      <c r="H109" s="88">
        <f>'Lokal-A'!$O$183/1000</f>
        <v>0</v>
      </c>
      <c r="I109" s="88">
        <f t="shared" si="46"/>
        <v>5331.818</v>
      </c>
    </row>
    <row r="110">
      <c r="A110" s="70"/>
      <c r="B110" s="65"/>
      <c r="C110" s="83" t="s">
        <v>634</v>
      </c>
      <c r="D110" s="84" t="s">
        <v>631</v>
      </c>
      <c r="E110" s="88">
        <f>'Balin-A'!$P$183/1000</f>
        <v>220</v>
      </c>
      <c r="F110" s="88">
        <f>'Kumai-A'!$P$183/1000</f>
        <v>0</v>
      </c>
      <c r="G110" s="88">
        <f>'Sinta-A'!$P$183/1000</f>
        <v>0</v>
      </c>
      <c r="H110" s="88">
        <f>'Lokal-A'!$P$183/1000</f>
        <v>0</v>
      </c>
      <c r="I110" s="88">
        <f t="shared" si="46"/>
        <v>220</v>
      </c>
    </row>
    <row r="111">
      <c r="A111" s="70"/>
      <c r="B111" s="65"/>
      <c r="C111" s="83" t="s">
        <v>635</v>
      </c>
      <c r="D111" s="84" t="s">
        <v>631</v>
      </c>
      <c r="E111" s="88">
        <f>'Balin-A'!$Q$183/1000</f>
        <v>220</v>
      </c>
      <c r="F111" s="88">
        <f>'Kumai-A'!$Q$183/1000</f>
        <v>0</v>
      </c>
      <c r="G111" s="88">
        <f>'Sinta-A'!$Q$183/1000</f>
        <v>0</v>
      </c>
      <c r="H111" s="88">
        <f>'Lokal-A'!$Q$183/1000</f>
        <v>0</v>
      </c>
      <c r="I111" s="88">
        <f t="shared" si="46"/>
        <v>220</v>
      </c>
    </row>
    <row r="112" ht="7.5" customHeight="1">
      <c r="A112" s="70"/>
      <c r="B112" s="65"/>
      <c r="C112" s="86"/>
      <c r="D112" s="87"/>
      <c r="E112" s="88"/>
      <c r="F112" s="88"/>
      <c r="G112" s="88"/>
      <c r="H112" s="88"/>
      <c r="I112" s="88"/>
    </row>
    <row r="113">
      <c r="A113" s="70"/>
      <c r="B113" s="65"/>
      <c r="C113" s="83" t="s">
        <v>663</v>
      </c>
      <c r="D113" s="89" t="s">
        <v>590</v>
      </c>
      <c r="E113" s="90">
        <f t="shared" ref="E113:I113" si="47">IFERROR(E107/E108*100,0)</f>
        <v>0</v>
      </c>
      <c r="F113" s="90">
        <f t="shared" si="47"/>
        <v>0</v>
      </c>
      <c r="G113" s="90">
        <f t="shared" si="47"/>
        <v>0</v>
      </c>
      <c r="H113" s="90">
        <f t="shared" si="47"/>
        <v>0</v>
      </c>
      <c r="I113" s="90">
        <f t="shared" si="47"/>
        <v>0</v>
      </c>
    </row>
    <row r="114">
      <c r="A114" s="70"/>
      <c r="B114" s="65"/>
      <c r="C114" s="83" t="s">
        <v>664</v>
      </c>
      <c r="D114" s="89" t="s">
        <v>590</v>
      </c>
      <c r="E114" s="90">
        <f t="shared" ref="E114:I114" si="48">IFERROR(E107/E109*100,0)</f>
        <v>0</v>
      </c>
      <c r="F114" s="90">
        <f t="shared" si="48"/>
        <v>0</v>
      </c>
      <c r="G114" s="90">
        <f t="shared" si="48"/>
        <v>0</v>
      </c>
      <c r="H114" s="90">
        <f t="shared" si="48"/>
        <v>0</v>
      </c>
      <c r="I114" s="90">
        <f t="shared" si="48"/>
        <v>0</v>
      </c>
    </row>
    <row r="115">
      <c r="A115" s="70"/>
      <c r="B115" s="65"/>
      <c r="C115" s="83" t="s">
        <v>665</v>
      </c>
      <c r="D115" s="89" t="s">
        <v>590</v>
      </c>
      <c r="E115" s="90">
        <f t="shared" ref="E115:I115" si="49">IFERROR(E107/E110*100,0)</f>
        <v>0</v>
      </c>
      <c r="F115" s="90">
        <f t="shared" si="49"/>
        <v>0</v>
      </c>
      <c r="G115" s="90">
        <f t="shared" si="49"/>
        <v>0</v>
      </c>
      <c r="H115" s="90">
        <f t="shared" si="49"/>
        <v>0</v>
      </c>
      <c r="I115" s="90">
        <f t="shared" si="49"/>
        <v>0</v>
      </c>
    </row>
    <row r="116">
      <c r="A116" s="91"/>
      <c r="B116" s="92"/>
      <c r="C116" s="93" t="s">
        <v>666</v>
      </c>
      <c r="D116" s="94" t="s">
        <v>590</v>
      </c>
      <c r="E116" s="95">
        <f t="shared" ref="E116:I116" si="50">IFERROR(E107/E111*100,0)</f>
        <v>0</v>
      </c>
      <c r="F116" s="95">
        <f t="shared" si="50"/>
        <v>0</v>
      </c>
      <c r="G116" s="95">
        <f t="shared" si="50"/>
        <v>0</v>
      </c>
      <c r="H116" s="95">
        <f t="shared" si="50"/>
        <v>0</v>
      </c>
      <c r="I116" s="95">
        <f t="shared" si="50"/>
        <v>0</v>
      </c>
    </row>
    <row r="117" ht="3.75" customHeight="1">
      <c r="A117" s="96"/>
      <c r="B117" s="97"/>
      <c r="C117" s="97"/>
      <c r="D117" s="98"/>
      <c r="E117" s="99"/>
      <c r="F117" s="99"/>
      <c r="G117" s="99"/>
      <c r="H117" s="99"/>
      <c r="I117" s="99"/>
    </row>
    <row r="118">
      <c r="A118" s="81">
        <v>11.0</v>
      </c>
      <c r="B118" s="82" t="s">
        <v>716</v>
      </c>
      <c r="C118" s="100" t="s">
        <v>662</v>
      </c>
      <c r="D118" s="84" t="s">
        <v>631</v>
      </c>
      <c r="E118" s="67">
        <f>'Balin-A'!$N$184/1000</f>
        <v>376201.783</v>
      </c>
      <c r="F118" s="67">
        <f>'Kumai-A'!$N$184/1000</f>
        <v>0</v>
      </c>
      <c r="G118" s="67">
        <f>'Sinta-A'!$N$184/1000</f>
        <v>234398.714</v>
      </c>
      <c r="H118" s="67">
        <f>'Lokal-A'!$N$184/1000</f>
        <v>6508.171</v>
      </c>
      <c r="I118" s="67">
        <f t="shared" ref="I118:I122" si="51">sum(E118:H118)</f>
        <v>617108.668</v>
      </c>
    </row>
    <row r="119">
      <c r="A119" s="70"/>
      <c r="B119" s="65"/>
      <c r="C119" s="83" t="s">
        <v>632</v>
      </c>
      <c r="D119" s="84" t="s">
        <v>631</v>
      </c>
      <c r="E119" s="88">
        <f>'Balin-A'!$F$184/1000</f>
        <v>69891.788</v>
      </c>
      <c r="F119" s="88">
        <f>'Kumai-A'!$F$184/1000</f>
        <v>0</v>
      </c>
      <c r="G119" s="88">
        <f>'Sinta-A'!$F$184/1000</f>
        <v>40107.511</v>
      </c>
      <c r="H119" s="88">
        <f>'Lokal-A'!$F$184/1000</f>
        <v>3889.024</v>
      </c>
      <c r="I119" s="88">
        <f t="shared" si="51"/>
        <v>113888.323</v>
      </c>
    </row>
    <row r="120">
      <c r="A120" s="70"/>
      <c r="B120" s="65"/>
      <c r="C120" s="83" t="s">
        <v>633</v>
      </c>
      <c r="D120" s="84" t="s">
        <v>631</v>
      </c>
      <c r="E120" s="88">
        <f>'Balin-A'!$O$184/1000</f>
        <v>314221.037</v>
      </c>
      <c r="F120" s="88">
        <f>'Kumai-A'!$O$184/1000</f>
        <v>0</v>
      </c>
      <c r="G120" s="88">
        <f>'Sinta-A'!$O$184/1000</f>
        <v>253507.058</v>
      </c>
      <c r="H120" s="88">
        <f>'Lokal-A'!$O$184/1000</f>
        <v>0</v>
      </c>
      <c r="I120" s="88">
        <f t="shared" si="51"/>
        <v>567728.095</v>
      </c>
    </row>
    <row r="121">
      <c r="A121" s="70"/>
      <c r="B121" s="65"/>
      <c r="C121" s="83" t="s">
        <v>634</v>
      </c>
      <c r="D121" s="84" t="s">
        <v>631</v>
      </c>
      <c r="E121" s="88">
        <f>'Balin-A'!$P$184/1000</f>
        <v>510370</v>
      </c>
      <c r="F121" s="88">
        <f>'Kumai-A'!$P$184/1000</f>
        <v>0</v>
      </c>
      <c r="G121" s="88">
        <f>'Sinta-A'!$P$184/1000</f>
        <v>0</v>
      </c>
      <c r="H121" s="88">
        <f>'Lokal-A'!$P$184/1000</f>
        <v>0</v>
      </c>
      <c r="I121" s="88">
        <f t="shared" si="51"/>
        <v>510370</v>
      </c>
    </row>
    <row r="122">
      <c r="A122" s="70"/>
      <c r="B122" s="65"/>
      <c r="C122" s="83" t="s">
        <v>635</v>
      </c>
      <c r="D122" s="84" t="s">
        <v>631</v>
      </c>
      <c r="E122" s="88">
        <f>'Balin-A'!$Q$184/1000</f>
        <v>510370.631</v>
      </c>
      <c r="F122" s="88">
        <f>'Kumai-A'!$Q$184/1000</f>
        <v>0</v>
      </c>
      <c r="G122" s="88">
        <f>'Sinta-A'!$Q$184/1000</f>
        <v>0</v>
      </c>
      <c r="H122" s="88">
        <f>'Lokal-A'!$Q$184/1000</f>
        <v>0</v>
      </c>
      <c r="I122" s="88">
        <f t="shared" si="51"/>
        <v>510370.631</v>
      </c>
    </row>
    <row r="123" ht="7.5" customHeight="1">
      <c r="A123" s="70"/>
      <c r="B123" s="65"/>
      <c r="C123" s="86"/>
      <c r="D123" s="87"/>
      <c r="E123" s="88"/>
      <c r="F123" s="88"/>
      <c r="G123" s="88"/>
      <c r="H123" s="88"/>
      <c r="I123" s="88"/>
    </row>
    <row r="124">
      <c r="A124" s="70"/>
      <c r="B124" s="65"/>
      <c r="C124" s="83" t="s">
        <v>663</v>
      </c>
      <c r="D124" s="89" t="s">
        <v>590</v>
      </c>
      <c r="E124" s="90">
        <f t="shared" ref="E124:I124" si="52">IFERROR(E118/E119*100,0)</f>
        <v>538.263212</v>
      </c>
      <c r="F124" s="90">
        <f t="shared" si="52"/>
        <v>0</v>
      </c>
      <c r="G124" s="90">
        <f t="shared" si="52"/>
        <v>584.4259795</v>
      </c>
      <c r="H124" s="90">
        <f t="shared" si="52"/>
        <v>167.3471545</v>
      </c>
      <c r="I124" s="90">
        <f t="shared" si="52"/>
        <v>541.8542057</v>
      </c>
    </row>
    <row r="125">
      <c r="A125" s="70"/>
      <c r="B125" s="65"/>
      <c r="C125" s="83" t="s">
        <v>664</v>
      </c>
      <c r="D125" s="89" t="s">
        <v>590</v>
      </c>
      <c r="E125" s="90">
        <f t="shared" ref="E125:I125" si="53">IFERROR(E118/E120*100,0)</f>
        <v>119.7252057</v>
      </c>
      <c r="F125" s="90">
        <f t="shared" si="53"/>
        <v>0</v>
      </c>
      <c r="G125" s="90">
        <f t="shared" si="53"/>
        <v>92.46240158</v>
      </c>
      <c r="H125" s="90">
        <f t="shared" si="53"/>
        <v>0</v>
      </c>
      <c r="I125" s="90">
        <f t="shared" si="53"/>
        <v>108.6979266</v>
      </c>
    </row>
    <row r="126">
      <c r="A126" s="70"/>
      <c r="B126" s="65"/>
      <c r="C126" s="83" t="s">
        <v>665</v>
      </c>
      <c r="D126" s="89" t="s">
        <v>590</v>
      </c>
      <c r="E126" s="90">
        <f t="shared" ref="E126:I126" si="54">IFERROR(E118/E121*100,0)</f>
        <v>73.71157846</v>
      </c>
      <c r="F126" s="90">
        <f t="shared" si="54"/>
        <v>0</v>
      </c>
      <c r="G126" s="90">
        <f t="shared" si="54"/>
        <v>0</v>
      </c>
      <c r="H126" s="90">
        <f t="shared" si="54"/>
        <v>0</v>
      </c>
      <c r="I126" s="90">
        <f t="shared" si="54"/>
        <v>120.9139777</v>
      </c>
    </row>
    <row r="127">
      <c r="A127" s="91"/>
      <c r="B127" s="92"/>
      <c r="C127" s="93" t="s">
        <v>666</v>
      </c>
      <c r="D127" s="94" t="s">
        <v>590</v>
      </c>
      <c r="E127" s="95">
        <f t="shared" ref="E127:I127" si="55">IFERROR(E118/E122*100,0)</f>
        <v>73.71148733</v>
      </c>
      <c r="F127" s="95">
        <f t="shared" si="55"/>
        <v>0</v>
      </c>
      <c r="G127" s="95">
        <f t="shared" si="55"/>
        <v>0</v>
      </c>
      <c r="H127" s="95">
        <f t="shared" si="55"/>
        <v>0</v>
      </c>
      <c r="I127" s="95">
        <f t="shared" si="55"/>
        <v>120.9138282</v>
      </c>
    </row>
    <row r="128" ht="3.75" customHeight="1">
      <c r="A128" s="96"/>
      <c r="B128" s="97"/>
      <c r="C128" s="97"/>
      <c r="D128" s="98"/>
      <c r="E128" s="99"/>
      <c r="F128" s="99"/>
      <c r="G128" s="99"/>
      <c r="H128" s="99"/>
      <c r="I128" s="99"/>
    </row>
    <row r="129">
      <c r="A129" s="81">
        <v>12.0</v>
      </c>
      <c r="B129" s="82" t="s">
        <v>717</v>
      </c>
      <c r="C129" s="100" t="s">
        <v>662</v>
      </c>
      <c r="D129" s="84" t="s">
        <v>631</v>
      </c>
      <c r="E129" s="67">
        <f>'Balin-A'!$N$185/1000</f>
        <v>7545.143</v>
      </c>
      <c r="F129" s="67">
        <f>'Kumai-A'!$N$185/1000</f>
        <v>0</v>
      </c>
      <c r="G129" s="67">
        <f>'Sinta-A'!$N$185/1000</f>
        <v>432</v>
      </c>
      <c r="H129" s="67">
        <f>'Lokal-A'!$N$185/1000</f>
        <v>0</v>
      </c>
      <c r="I129" s="67">
        <f t="shared" ref="I129:I133" si="56">sum(E129:H129)</f>
        <v>7977.143</v>
      </c>
    </row>
    <row r="130">
      <c r="A130" s="70"/>
      <c r="B130" s="65"/>
      <c r="C130" s="83" t="s">
        <v>632</v>
      </c>
      <c r="D130" s="84" t="s">
        <v>631</v>
      </c>
      <c r="E130" s="88">
        <f>'Balin-A'!$F$185/1000</f>
        <v>1062.968</v>
      </c>
      <c r="F130" s="88">
        <f>'Kumai-A'!$F$185/1000</f>
        <v>0</v>
      </c>
      <c r="G130" s="88">
        <f>'Sinta-A'!$F$185/1000</f>
        <v>0</v>
      </c>
      <c r="H130" s="88">
        <f>'Lokal-A'!$F$185/1000</f>
        <v>0</v>
      </c>
      <c r="I130" s="88">
        <f t="shared" si="56"/>
        <v>1062.968</v>
      </c>
    </row>
    <row r="131">
      <c r="A131" s="70"/>
      <c r="B131" s="65"/>
      <c r="C131" s="83" t="s">
        <v>633</v>
      </c>
      <c r="D131" s="84" t="s">
        <v>631</v>
      </c>
      <c r="E131" s="88">
        <f>'Balin-A'!$O$185/1000</f>
        <v>4181.932</v>
      </c>
      <c r="F131" s="88">
        <f>'Kumai-A'!$O$185/1000</f>
        <v>0</v>
      </c>
      <c r="G131" s="88">
        <f>'Sinta-A'!$O$185/1000</f>
        <v>3386</v>
      </c>
      <c r="H131" s="88">
        <f>'Lokal-A'!$O$185/1000</f>
        <v>0</v>
      </c>
      <c r="I131" s="88">
        <f t="shared" si="56"/>
        <v>7567.932</v>
      </c>
    </row>
    <row r="132">
      <c r="A132" s="70"/>
      <c r="B132" s="65"/>
      <c r="C132" s="83" t="s">
        <v>634</v>
      </c>
      <c r="D132" s="84" t="s">
        <v>631</v>
      </c>
      <c r="E132" s="88">
        <f>'Balin-A'!$P$185/1000</f>
        <v>17850</v>
      </c>
      <c r="F132" s="88">
        <f>'Kumai-A'!$P$185/1000</f>
        <v>0</v>
      </c>
      <c r="G132" s="88">
        <f>'Sinta-A'!$P$185/1000</f>
        <v>0</v>
      </c>
      <c r="H132" s="88">
        <f>'Lokal-A'!$P$185/1000</f>
        <v>0</v>
      </c>
      <c r="I132" s="88">
        <f t="shared" si="56"/>
        <v>17850</v>
      </c>
    </row>
    <row r="133">
      <c r="A133" s="70"/>
      <c r="B133" s="65"/>
      <c r="C133" s="83" t="s">
        <v>635</v>
      </c>
      <c r="D133" s="84" t="s">
        <v>631</v>
      </c>
      <c r="E133" s="88">
        <f>'Balin-A'!$Q$185/1000</f>
        <v>17850</v>
      </c>
      <c r="F133" s="88">
        <f>'Kumai-A'!$Q$185/1000</f>
        <v>0</v>
      </c>
      <c r="G133" s="88">
        <f>'Sinta-A'!$Q$185/1000</f>
        <v>0</v>
      </c>
      <c r="H133" s="88">
        <f>'Lokal-A'!$Q$185/1000</f>
        <v>0</v>
      </c>
      <c r="I133" s="88">
        <f t="shared" si="56"/>
        <v>17850</v>
      </c>
    </row>
    <row r="134" ht="7.5" customHeight="1">
      <c r="A134" s="70"/>
      <c r="B134" s="65"/>
      <c r="C134" s="86"/>
      <c r="D134" s="87"/>
      <c r="E134" s="88"/>
      <c r="F134" s="88"/>
      <c r="G134" s="88"/>
      <c r="H134" s="88"/>
      <c r="I134" s="88"/>
    </row>
    <row r="135">
      <c r="A135" s="70"/>
      <c r="B135" s="65"/>
      <c r="C135" s="83" t="s">
        <v>663</v>
      </c>
      <c r="D135" s="89" t="s">
        <v>590</v>
      </c>
      <c r="E135" s="90">
        <f t="shared" ref="E135:I135" si="57">IFERROR(E129/E130*100,0)</f>
        <v>709.8184517</v>
      </c>
      <c r="F135" s="90">
        <f t="shared" si="57"/>
        <v>0</v>
      </c>
      <c r="G135" s="90">
        <f t="shared" si="57"/>
        <v>0</v>
      </c>
      <c r="H135" s="90">
        <f t="shared" si="57"/>
        <v>0</v>
      </c>
      <c r="I135" s="90">
        <f t="shared" si="57"/>
        <v>750.4593741</v>
      </c>
    </row>
    <row r="136">
      <c r="A136" s="70"/>
      <c r="B136" s="65"/>
      <c r="C136" s="83" t="s">
        <v>664</v>
      </c>
      <c r="D136" s="89" t="s">
        <v>590</v>
      </c>
      <c r="E136" s="90">
        <f t="shared" ref="E136:I136" si="58">IFERROR(E129/E131*100,0)</f>
        <v>180.422422</v>
      </c>
      <c r="F136" s="90">
        <f t="shared" si="58"/>
        <v>0</v>
      </c>
      <c r="G136" s="90">
        <f t="shared" si="58"/>
        <v>12.75841701</v>
      </c>
      <c r="H136" s="90">
        <f t="shared" si="58"/>
        <v>0</v>
      </c>
      <c r="I136" s="90">
        <f t="shared" si="58"/>
        <v>105.4071707</v>
      </c>
    </row>
    <row r="137">
      <c r="A137" s="70"/>
      <c r="B137" s="65"/>
      <c r="C137" s="83" t="s">
        <v>665</v>
      </c>
      <c r="D137" s="89" t="s">
        <v>590</v>
      </c>
      <c r="E137" s="90">
        <f t="shared" ref="E137:I137" si="59">IFERROR(E129/E132*100,0)</f>
        <v>42.26970868</v>
      </c>
      <c r="F137" s="90">
        <f t="shared" si="59"/>
        <v>0</v>
      </c>
      <c r="G137" s="90">
        <f t="shared" si="59"/>
        <v>0</v>
      </c>
      <c r="H137" s="90">
        <f t="shared" si="59"/>
        <v>0</v>
      </c>
      <c r="I137" s="90">
        <f t="shared" si="59"/>
        <v>44.68987675</v>
      </c>
    </row>
    <row r="138">
      <c r="A138" s="91"/>
      <c r="B138" s="92"/>
      <c r="C138" s="93" t="s">
        <v>666</v>
      </c>
      <c r="D138" s="94" t="s">
        <v>590</v>
      </c>
      <c r="E138" s="95">
        <f t="shared" ref="E138:I138" si="60">IFERROR(E129/E133*100,0)</f>
        <v>42.26970868</v>
      </c>
      <c r="F138" s="95">
        <f t="shared" si="60"/>
        <v>0</v>
      </c>
      <c r="G138" s="95">
        <f t="shared" si="60"/>
        <v>0</v>
      </c>
      <c r="H138" s="95">
        <f t="shared" si="60"/>
        <v>0</v>
      </c>
      <c r="I138" s="95">
        <f t="shared" si="60"/>
        <v>44.68987675</v>
      </c>
    </row>
    <row r="139" ht="3.75" customHeight="1">
      <c r="A139" s="96"/>
      <c r="B139" s="97"/>
      <c r="C139" s="97"/>
      <c r="D139" s="98"/>
      <c r="E139" s="99"/>
      <c r="F139" s="99"/>
      <c r="G139" s="99"/>
      <c r="H139" s="99"/>
      <c r="I139" s="99"/>
    </row>
    <row r="140">
      <c r="A140" s="81">
        <v>13.0</v>
      </c>
      <c r="B140" s="82" t="s">
        <v>718</v>
      </c>
      <c r="C140" s="100" t="s">
        <v>662</v>
      </c>
      <c r="D140" s="84" t="s">
        <v>631</v>
      </c>
      <c r="E140" s="67">
        <f>'Balin-A'!$N$186/1000</f>
        <v>5155.9</v>
      </c>
      <c r="F140" s="67">
        <f>'Kumai-A'!$N$186/1000</f>
        <v>0</v>
      </c>
      <c r="G140" s="67">
        <f>'Sinta-A'!$N$186/1000</f>
        <v>0</v>
      </c>
      <c r="H140" s="67">
        <f>'Lokal-A'!$N$186/1000</f>
        <v>0</v>
      </c>
      <c r="I140" s="67">
        <f t="shared" ref="I140:I144" si="61">sum(E140:H140)</f>
        <v>5155.9</v>
      </c>
    </row>
    <row r="141">
      <c r="A141" s="70"/>
      <c r="B141" s="65"/>
      <c r="C141" s="83" t="s">
        <v>632</v>
      </c>
      <c r="D141" s="84" t="s">
        <v>631</v>
      </c>
      <c r="E141" s="88">
        <f>'Balin-A'!$F$186/1000</f>
        <v>784.9</v>
      </c>
      <c r="F141" s="88">
        <f>'Kumai-A'!$F$186/1000</f>
        <v>0</v>
      </c>
      <c r="G141" s="88">
        <f>'Sinta-A'!$F$186/1000</f>
        <v>0</v>
      </c>
      <c r="H141" s="88">
        <f>'Lokal-A'!$F$186/1000</f>
        <v>0</v>
      </c>
      <c r="I141" s="88">
        <f t="shared" si="61"/>
        <v>784.9</v>
      </c>
    </row>
    <row r="142">
      <c r="A142" s="70"/>
      <c r="B142" s="65"/>
      <c r="C142" s="83" t="s">
        <v>633</v>
      </c>
      <c r="D142" s="84" t="s">
        <v>631</v>
      </c>
      <c r="E142" s="88">
        <f>'Balin-A'!$O$186/1000</f>
        <v>4357.2</v>
      </c>
      <c r="F142" s="88">
        <f>'Kumai-A'!$O$186/1000</f>
        <v>0</v>
      </c>
      <c r="G142" s="88">
        <f>'Sinta-A'!$O$186/1000</f>
        <v>23404.34</v>
      </c>
      <c r="H142" s="88">
        <f>'Lokal-A'!$O$186/1000</f>
        <v>0</v>
      </c>
      <c r="I142" s="88">
        <f t="shared" si="61"/>
        <v>27761.54</v>
      </c>
    </row>
    <row r="143">
      <c r="A143" s="70"/>
      <c r="B143" s="65"/>
      <c r="C143" s="83" t="s">
        <v>634</v>
      </c>
      <c r="D143" s="84" t="s">
        <v>631</v>
      </c>
      <c r="E143" s="88">
        <f>'Balin-A'!$P$186/1000</f>
        <v>8360</v>
      </c>
      <c r="F143" s="88">
        <f>'Kumai-A'!$P$186/1000</f>
        <v>0</v>
      </c>
      <c r="G143" s="88">
        <f>'Sinta-A'!$P$186/1000</f>
        <v>0</v>
      </c>
      <c r="H143" s="88">
        <f>'Lokal-A'!$P$186/1000</f>
        <v>0</v>
      </c>
      <c r="I143" s="88">
        <f t="shared" si="61"/>
        <v>8360</v>
      </c>
    </row>
    <row r="144">
      <c r="A144" s="70"/>
      <c r="B144" s="65"/>
      <c r="C144" s="83" t="s">
        <v>635</v>
      </c>
      <c r="D144" s="84" t="s">
        <v>631</v>
      </c>
      <c r="E144" s="88">
        <f>'Balin-A'!$Q$186/1000</f>
        <v>8360</v>
      </c>
      <c r="F144" s="88">
        <f>'Kumai-A'!$Q$186/1000</f>
        <v>0</v>
      </c>
      <c r="G144" s="88">
        <f>'Sinta-A'!$Q$186/1000</f>
        <v>0</v>
      </c>
      <c r="H144" s="88">
        <f>'Lokal-A'!$Q$186/1000</f>
        <v>0</v>
      </c>
      <c r="I144" s="88">
        <f t="shared" si="61"/>
        <v>8360</v>
      </c>
    </row>
    <row r="145" ht="7.5" customHeight="1">
      <c r="A145" s="70"/>
      <c r="B145" s="65"/>
      <c r="C145" s="86"/>
      <c r="D145" s="87"/>
      <c r="E145" s="88"/>
      <c r="F145" s="88"/>
      <c r="G145" s="88"/>
      <c r="H145" s="88"/>
      <c r="I145" s="88"/>
    </row>
    <row r="146">
      <c r="A146" s="70"/>
      <c r="B146" s="65"/>
      <c r="C146" s="83" t="s">
        <v>663</v>
      </c>
      <c r="D146" s="89" t="s">
        <v>590</v>
      </c>
      <c r="E146" s="90">
        <f t="shared" ref="E146:I146" si="62">IFERROR(E140/E141*100,0)</f>
        <v>656.8862275</v>
      </c>
      <c r="F146" s="90">
        <f t="shared" si="62"/>
        <v>0</v>
      </c>
      <c r="G146" s="90">
        <f t="shared" si="62"/>
        <v>0</v>
      </c>
      <c r="H146" s="90">
        <f t="shared" si="62"/>
        <v>0</v>
      </c>
      <c r="I146" s="90">
        <f t="shared" si="62"/>
        <v>656.8862275</v>
      </c>
    </row>
    <row r="147">
      <c r="A147" s="70"/>
      <c r="B147" s="65"/>
      <c r="C147" s="83" t="s">
        <v>664</v>
      </c>
      <c r="D147" s="89" t="s">
        <v>590</v>
      </c>
      <c r="E147" s="90">
        <f t="shared" ref="E147:I147" si="63">IFERROR(E140/E142*100,0)</f>
        <v>118.3305793</v>
      </c>
      <c r="F147" s="90">
        <f t="shared" si="63"/>
        <v>0</v>
      </c>
      <c r="G147" s="90">
        <f t="shared" si="63"/>
        <v>0</v>
      </c>
      <c r="H147" s="90">
        <f t="shared" si="63"/>
        <v>0</v>
      </c>
      <c r="I147" s="90">
        <f t="shared" si="63"/>
        <v>18.5720965</v>
      </c>
    </row>
    <row r="148">
      <c r="A148" s="70"/>
      <c r="B148" s="65"/>
      <c r="C148" s="83" t="s">
        <v>665</v>
      </c>
      <c r="D148" s="89" t="s">
        <v>590</v>
      </c>
      <c r="E148" s="90">
        <f t="shared" ref="E148:I148" si="64">IFERROR(E140/E143*100,0)</f>
        <v>61.67344498</v>
      </c>
      <c r="F148" s="90">
        <f t="shared" si="64"/>
        <v>0</v>
      </c>
      <c r="G148" s="90">
        <f t="shared" si="64"/>
        <v>0</v>
      </c>
      <c r="H148" s="90">
        <f t="shared" si="64"/>
        <v>0</v>
      </c>
      <c r="I148" s="90">
        <f t="shared" si="64"/>
        <v>61.67344498</v>
      </c>
    </row>
    <row r="149">
      <c r="A149" s="91"/>
      <c r="B149" s="92"/>
      <c r="C149" s="93" t="s">
        <v>666</v>
      </c>
      <c r="D149" s="94" t="s">
        <v>590</v>
      </c>
      <c r="E149" s="95">
        <f t="shared" ref="E149:I149" si="65">IFERROR(E140/E144*100,0)</f>
        <v>61.67344498</v>
      </c>
      <c r="F149" s="95">
        <f t="shared" si="65"/>
        <v>0</v>
      </c>
      <c r="G149" s="95">
        <f t="shared" si="65"/>
        <v>0</v>
      </c>
      <c r="H149" s="95">
        <f t="shared" si="65"/>
        <v>0</v>
      </c>
      <c r="I149" s="95">
        <f t="shared" si="65"/>
        <v>61.67344498</v>
      </c>
    </row>
    <row r="150" ht="3.75" customHeight="1">
      <c r="A150" s="96"/>
      <c r="B150" s="97"/>
      <c r="C150" s="97"/>
      <c r="D150" s="98"/>
      <c r="E150" s="99"/>
      <c r="F150" s="99"/>
      <c r="G150" s="99"/>
      <c r="H150" s="99"/>
      <c r="I150" s="99"/>
    </row>
    <row r="151">
      <c r="A151" s="81">
        <v>14.0</v>
      </c>
      <c r="B151" s="82" t="s">
        <v>719</v>
      </c>
      <c r="C151" s="100" t="s">
        <v>662</v>
      </c>
      <c r="D151" s="84" t="s">
        <v>631</v>
      </c>
      <c r="E151" s="67">
        <f>'Balin-A'!$N$187/1000</f>
        <v>0</v>
      </c>
      <c r="F151" s="67">
        <f>'Kumai-A'!$N$187/1000</f>
        <v>0</v>
      </c>
      <c r="G151" s="67">
        <f>'Sinta-A'!$N$187/1000</f>
        <v>0</v>
      </c>
      <c r="H151" s="67">
        <f>'Lokal-A'!$N$187/1000</f>
        <v>0</v>
      </c>
      <c r="I151" s="67">
        <f t="shared" ref="I151:I155" si="66">sum(E151:H151)</f>
        <v>0</v>
      </c>
    </row>
    <row r="152">
      <c r="A152" s="70"/>
      <c r="B152" s="65"/>
      <c r="C152" s="83" t="s">
        <v>632</v>
      </c>
      <c r="D152" s="84" t="s">
        <v>631</v>
      </c>
      <c r="E152" s="88">
        <f>'Balin-A'!$F$187/1000</f>
        <v>0</v>
      </c>
      <c r="F152" s="88">
        <f>'Kumai-A'!$F$187/1000</f>
        <v>0</v>
      </c>
      <c r="G152" s="88">
        <f>'Sinta-A'!$F$187/1000</f>
        <v>0</v>
      </c>
      <c r="H152" s="88">
        <f>'Lokal-A'!$F$187/1000</f>
        <v>0</v>
      </c>
      <c r="I152" s="88">
        <f t="shared" si="66"/>
        <v>0</v>
      </c>
    </row>
    <row r="153">
      <c r="A153" s="70"/>
      <c r="B153" s="65"/>
      <c r="C153" s="83" t="s">
        <v>633</v>
      </c>
      <c r="D153" s="84" t="s">
        <v>631</v>
      </c>
      <c r="E153" s="88">
        <f>'Balin-A'!$O$187/1000</f>
        <v>0</v>
      </c>
      <c r="F153" s="88">
        <f>'Kumai-A'!$O$187/1000</f>
        <v>0</v>
      </c>
      <c r="G153" s="88">
        <f>'Sinta-A'!$O$187/1000</f>
        <v>0</v>
      </c>
      <c r="H153" s="88">
        <f>'Lokal-A'!$O$187/1000</f>
        <v>0</v>
      </c>
      <c r="I153" s="88">
        <f t="shared" si="66"/>
        <v>0</v>
      </c>
    </row>
    <row r="154">
      <c r="A154" s="70"/>
      <c r="B154" s="65"/>
      <c r="C154" s="83" t="s">
        <v>634</v>
      </c>
      <c r="D154" s="84" t="s">
        <v>631</v>
      </c>
      <c r="E154" s="88">
        <f>'Balin-A'!$P$187/1000</f>
        <v>0</v>
      </c>
      <c r="F154" s="88">
        <f>'Kumai-A'!$P$187/1000</f>
        <v>0</v>
      </c>
      <c r="G154" s="88">
        <f>'Sinta-A'!$P$187/1000</f>
        <v>0</v>
      </c>
      <c r="H154" s="88">
        <f>'Lokal-A'!$P$187/1000</f>
        <v>0</v>
      </c>
      <c r="I154" s="88">
        <f t="shared" si="66"/>
        <v>0</v>
      </c>
    </row>
    <row r="155">
      <c r="A155" s="70"/>
      <c r="B155" s="65"/>
      <c r="C155" s="83" t="s">
        <v>635</v>
      </c>
      <c r="D155" s="84" t="s">
        <v>631</v>
      </c>
      <c r="E155" s="88">
        <f>'Balin-A'!$Q$187/1000</f>
        <v>0</v>
      </c>
      <c r="F155" s="88">
        <f>'Kumai-A'!$Q$187/1000</f>
        <v>0</v>
      </c>
      <c r="G155" s="88">
        <f>'Sinta-A'!$Q$187/1000</f>
        <v>0</v>
      </c>
      <c r="H155" s="88">
        <f>'Lokal-A'!$Q$187/1000</f>
        <v>0</v>
      </c>
      <c r="I155" s="88">
        <f t="shared" si="66"/>
        <v>0</v>
      </c>
    </row>
    <row r="156" ht="7.5" customHeight="1">
      <c r="A156" s="70"/>
      <c r="B156" s="65"/>
      <c r="C156" s="86"/>
      <c r="D156" s="87"/>
      <c r="E156" s="88"/>
      <c r="F156" s="88"/>
      <c r="G156" s="88"/>
      <c r="H156" s="88"/>
      <c r="I156" s="88"/>
    </row>
    <row r="157">
      <c r="A157" s="70"/>
      <c r="B157" s="65"/>
      <c r="C157" s="83" t="s">
        <v>663</v>
      </c>
      <c r="D157" s="89" t="s">
        <v>590</v>
      </c>
      <c r="E157" s="90">
        <f t="shared" ref="E157:I157" si="67">IFERROR(E151/E152*100,0)</f>
        <v>0</v>
      </c>
      <c r="F157" s="90">
        <f t="shared" si="67"/>
        <v>0</v>
      </c>
      <c r="G157" s="90">
        <f t="shared" si="67"/>
        <v>0</v>
      </c>
      <c r="H157" s="90">
        <f t="shared" si="67"/>
        <v>0</v>
      </c>
      <c r="I157" s="90">
        <f t="shared" si="67"/>
        <v>0</v>
      </c>
    </row>
    <row r="158">
      <c r="A158" s="70"/>
      <c r="B158" s="65"/>
      <c r="C158" s="83" t="s">
        <v>664</v>
      </c>
      <c r="D158" s="89" t="s">
        <v>590</v>
      </c>
      <c r="E158" s="90">
        <f t="shared" ref="E158:I158" si="68">IFERROR(E151/E153*100,0)</f>
        <v>0</v>
      </c>
      <c r="F158" s="90">
        <f t="shared" si="68"/>
        <v>0</v>
      </c>
      <c r="G158" s="90">
        <f t="shared" si="68"/>
        <v>0</v>
      </c>
      <c r="H158" s="90">
        <f t="shared" si="68"/>
        <v>0</v>
      </c>
      <c r="I158" s="90">
        <f t="shared" si="68"/>
        <v>0</v>
      </c>
    </row>
    <row r="159">
      <c r="A159" s="70"/>
      <c r="B159" s="65"/>
      <c r="C159" s="83" t="s">
        <v>665</v>
      </c>
      <c r="D159" s="89" t="s">
        <v>590</v>
      </c>
      <c r="E159" s="90">
        <f t="shared" ref="E159:I159" si="69">IFERROR(E151/E154*100,0)</f>
        <v>0</v>
      </c>
      <c r="F159" s="90">
        <f t="shared" si="69"/>
        <v>0</v>
      </c>
      <c r="G159" s="90">
        <f t="shared" si="69"/>
        <v>0</v>
      </c>
      <c r="H159" s="90">
        <f t="shared" si="69"/>
        <v>0</v>
      </c>
      <c r="I159" s="90">
        <f t="shared" si="69"/>
        <v>0</v>
      </c>
    </row>
    <row r="160">
      <c r="A160" s="91"/>
      <c r="B160" s="92"/>
      <c r="C160" s="93" t="s">
        <v>666</v>
      </c>
      <c r="D160" s="94" t="s">
        <v>590</v>
      </c>
      <c r="E160" s="95">
        <f t="shared" ref="E160:I160" si="70">IFERROR(E151/E155*100,0)</f>
        <v>0</v>
      </c>
      <c r="F160" s="95">
        <f t="shared" si="70"/>
        <v>0</v>
      </c>
      <c r="G160" s="95">
        <f t="shared" si="70"/>
        <v>0</v>
      </c>
      <c r="H160" s="95">
        <f t="shared" si="70"/>
        <v>0</v>
      </c>
      <c r="I160" s="95">
        <f t="shared" si="70"/>
        <v>0</v>
      </c>
    </row>
    <row r="161" ht="3.75" customHeight="1">
      <c r="A161" s="96"/>
      <c r="B161" s="97"/>
      <c r="C161" s="97"/>
      <c r="D161" s="98"/>
      <c r="E161" s="99"/>
      <c r="F161" s="99"/>
      <c r="G161" s="99"/>
      <c r="H161" s="99"/>
      <c r="I161" s="99"/>
    </row>
    <row r="162">
      <c r="A162" s="101"/>
      <c r="B162" s="102" t="s">
        <v>720</v>
      </c>
      <c r="C162" s="103" t="s">
        <v>662</v>
      </c>
      <c r="D162" s="104" t="s">
        <v>631</v>
      </c>
      <c r="E162" s="105">
        <f t="shared" ref="E162:H162" si="71">SUMIF($C$8:$C$160,$C162,E$8:E$160)</f>
        <v>1735068.79</v>
      </c>
      <c r="F162" s="105">
        <f t="shared" si="71"/>
        <v>0</v>
      </c>
      <c r="G162" s="105">
        <f t="shared" si="71"/>
        <v>352573.566</v>
      </c>
      <c r="H162" s="105">
        <f t="shared" si="71"/>
        <v>15047.803</v>
      </c>
      <c r="I162" s="105">
        <f t="shared" ref="I162:I166" si="73">sum(E162:H162)</f>
        <v>2102690.159</v>
      </c>
    </row>
    <row r="163">
      <c r="A163" s="106"/>
      <c r="B163" s="107"/>
      <c r="C163" s="108" t="s">
        <v>632</v>
      </c>
      <c r="D163" s="109" t="s">
        <v>631</v>
      </c>
      <c r="E163" s="110">
        <f t="shared" ref="E163:H163" si="72">SUMIF($C$8:$C$160,$C163,E$8:E$160)</f>
        <v>337655.421</v>
      </c>
      <c r="F163" s="110">
        <f t="shared" si="72"/>
        <v>0</v>
      </c>
      <c r="G163" s="110">
        <f t="shared" si="72"/>
        <v>61957.843</v>
      </c>
      <c r="H163" s="110">
        <f t="shared" si="72"/>
        <v>9598.432</v>
      </c>
      <c r="I163" s="110">
        <f t="shared" si="73"/>
        <v>409211.696</v>
      </c>
    </row>
    <row r="164">
      <c r="A164" s="106"/>
      <c r="B164" s="107"/>
      <c r="C164" s="108" t="s">
        <v>633</v>
      </c>
      <c r="D164" s="109" t="s">
        <v>631</v>
      </c>
      <c r="E164" s="110">
        <f t="shared" ref="E164:H164" si="74">SUMIF($C$8:$C$160,$C164,E$8:E$160)</f>
        <v>1255453.018</v>
      </c>
      <c r="F164" s="110">
        <f t="shared" si="74"/>
        <v>0</v>
      </c>
      <c r="G164" s="110">
        <f t="shared" si="74"/>
        <v>662811.488</v>
      </c>
      <c r="H164" s="110">
        <f t="shared" si="74"/>
        <v>0</v>
      </c>
      <c r="I164" s="110">
        <f t="shared" si="73"/>
        <v>1918264.506</v>
      </c>
    </row>
    <row r="165">
      <c r="A165" s="106"/>
      <c r="B165" s="107"/>
      <c r="C165" s="108" t="s">
        <v>634</v>
      </c>
      <c r="D165" s="109" t="s">
        <v>631</v>
      </c>
      <c r="E165" s="110">
        <f t="shared" ref="E165:H165" si="75">SUMIF($C$8:$C$160,$C165,E$8:E$160)</f>
        <v>1752719</v>
      </c>
      <c r="F165" s="110">
        <f t="shared" si="75"/>
        <v>0</v>
      </c>
      <c r="G165" s="110">
        <f t="shared" si="75"/>
        <v>0</v>
      </c>
      <c r="H165" s="110">
        <f t="shared" si="75"/>
        <v>0</v>
      </c>
      <c r="I165" s="110">
        <f t="shared" si="73"/>
        <v>1752719</v>
      </c>
    </row>
    <row r="166">
      <c r="A166" s="106"/>
      <c r="B166" s="107"/>
      <c r="C166" s="108" t="s">
        <v>635</v>
      </c>
      <c r="D166" s="109" t="s">
        <v>631</v>
      </c>
      <c r="E166" s="110">
        <f t="shared" ref="E166:H166" si="76">SUMIF($C$8:$C$160,$C166,E$8:E$160)</f>
        <v>1752718.2</v>
      </c>
      <c r="F166" s="110">
        <f t="shared" si="76"/>
        <v>0</v>
      </c>
      <c r="G166" s="110">
        <f t="shared" si="76"/>
        <v>0</v>
      </c>
      <c r="H166" s="110">
        <f t="shared" si="76"/>
        <v>0</v>
      </c>
      <c r="I166" s="110">
        <f t="shared" si="73"/>
        <v>1752718.2</v>
      </c>
    </row>
    <row r="167" ht="7.5" customHeight="1">
      <c r="A167" s="106"/>
      <c r="B167" s="107"/>
      <c r="C167" s="111"/>
      <c r="D167" s="112"/>
      <c r="E167" s="110"/>
      <c r="F167" s="110"/>
      <c r="G167" s="110"/>
      <c r="H167" s="110"/>
      <c r="I167" s="110"/>
    </row>
    <row r="168">
      <c r="A168" s="106"/>
      <c r="B168" s="107"/>
      <c r="C168" s="108" t="s">
        <v>663</v>
      </c>
      <c r="D168" s="113" t="s">
        <v>590</v>
      </c>
      <c r="E168" s="114">
        <f t="shared" ref="E168:I168" si="77">IFERROR(E162/E163*100,0)</f>
        <v>513.8578213</v>
      </c>
      <c r="F168" s="114">
        <f t="shared" si="77"/>
        <v>0</v>
      </c>
      <c r="G168" s="114">
        <f t="shared" si="77"/>
        <v>569.0539711</v>
      </c>
      <c r="H168" s="114">
        <f t="shared" si="77"/>
        <v>156.7735543</v>
      </c>
      <c r="I168" s="114">
        <f t="shared" si="77"/>
        <v>513.8392132</v>
      </c>
    </row>
    <row r="169">
      <c r="A169" s="106"/>
      <c r="B169" s="107"/>
      <c r="C169" s="108" t="s">
        <v>664</v>
      </c>
      <c r="D169" s="113" t="s">
        <v>590</v>
      </c>
      <c r="E169" s="114">
        <f t="shared" ref="E169:I169" si="78">IFERROR(E162/E164*100,0)</f>
        <v>138.2026062</v>
      </c>
      <c r="F169" s="114">
        <f t="shared" si="78"/>
        <v>0</v>
      </c>
      <c r="G169" s="114">
        <f t="shared" si="78"/>
        <v>53.19364139</v>
      </c>
      <c r="H169" s="114">
        <f t="shared" si="78"/>
        <v>0</v>
      </c>
      <c r="I169" s="114">
        <f t="shared" si="78"/>
        <v>109.6141931</v>
      </c>
    </row>
    <row r="170">
      <c r="A170" s="106"/>
      <c r="B170" s="107"/>
      <c r="C170" s="108" t="s">
        <v>665</v>
      </c>
      <c r="D170" s="113" t="s">
        <v>590</v>
      </c>
      <c r="E170" s="114">
        <f t="shared" ref="E170:I170" si="79">IFERROR(E162/E165*100,0)</f>
        <v>98.99298119</v>
      </c>
      <c r="F170" s="114">
        <f t="shared" si="79"/>
        <v>0</v>
      </c>
      <c r="G170" s="114">
        <f t="shared" si="79"/>
        <v>0</v>
      </c>
      <c r="H170" s="114">
        <f t="shared" si="79"/>
        <v>0</v>
      </c>
      <c r="I170" s="114">
        <f t="shared" si="79"/>
        <v>119.9673284</v>
      </c>
    </row>
    <row r="171">
      <c r="A171" s="115"/>
      <c r="B171" s="116"/>
      <c r="C171" s="117" t="s">
        <v>666</v>
      </c>
      <c r="D171" s="118" t="s">
        <v>590</v>
      </c>
      <c r="E171" s="119">
        <f t="shared" ref="E171:I171" si="80">IFERROR(E162/E166*100,0)</f>
        <v>98.99302637</v>
      </c>
      <c r="F171" s="119">
        <f t="shared" si="80"/>
        <v>0</v>
      </c>
      <c r="G171" s="119">
        <f t="shared" si="80"/>
        <v>0</v>
      </c>
      <c r="H171" s="119">
        <f t="shared" si="80"/>
        <v>0</v>
      </c>
      <c r="I171" s="119">
        <f t="shared" si="80"/>
        <v>119.9673832</v>
      </c>
    </row>
    <row r="172" ht="3.75" customHeight="1">
      <c r="A172" s="96"/>
      <c r="B172" s="97"/>
      <c r="C172" s="97"/>
      <c r="D172" s="98"/>
      <c r="E172" s="99"/>
      <c r="F172" s="99"/>
      <c r="G172" s="99"/>
      <c r="H172" s="99"/>
      <c r="I172" s="99"/>
    </row>
  </sheetData>
  <mergeCells count="5">
    <mergeCell ref="A5:A6"/>
    <mergeCell ref="B5:B6"/>
    <mergeCell ref="C5:C6"/>
    <mergeCell ref="D5:D6"/>
    <mergeCell ref="E5:I5"/>
  </mergeCells>
  <conditionalFormatting sqref="E14:I17">
    <cfRule type="cellIs" dxfId="0" priority="1" operator="greaterThan">
      <formula>99.99</formula>
    </cfRule>
  </conditionalFormatting>
  <conditionalFormatting sqref="E25:I28">
    <cfRule type="cellIs" dxfId="0" priority="2" operator="greaterThan">
      <formula>99.99</formula>
    </cfRule>
  </conditionalFormatting>
  <conditionalFormatting sqref="E36:I39">
    <cfRule type="cellIs" dxfId="0" priority="3" operator="greaterThan">
      <formula>99.99</formula>
    </cfRule>
  </conditionalFormatting>
  <conditionalFormatting sqref="E47:I50">
    <cfRule type="cellIs" dxfId="0" priority="4" operator="greaterThan">
      <formula>99.99</formula>
    </cfRule>
  </conditionalFormatting>
  <conditionalFormatting sqref="E58:I61">
    <cfRule type="cellIs" dxfId="0" priority="5" operator="greaterThan">
      <formula>99.99</formula>
    </cfRule>
  </conditionalFormatting>
  <conditionalFormatting sqref="E69:I72">
    <cfRule type="cellIs" dxfId="0" priority="6" operator="greaterThan">
      <formula>99.99</formula>
    </cfRule>
  </conditionalFormatting>
  <conditionalFormatting sqref="E80:I83">
    <cfRule type="cellIs" dxfId="0" priority="7" operator="greaterThan">
      <formula>99.99</formula>
    </cfRule>
  </conditionalFormatting>
  <conditionalFormatting sqref="E91:I94 E102:I105 E113:I116 E124:I127 E135:I138 E146:I149">
    <cfRule type="cellIs" dxfId="0" priority="8" operator="greaterThan">
      <formula>99.99</formula>
    </cfRule>
  </conditionalFormatting>
  <conditionalFormatting sqref="E168:I171">
    <cfRule type="cellIs" dxfId="0" priority="9" operator="greaterThan">
      <formula>99.99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6.57"/>
    <col customWidth="1" min="2" max="2" width="42.0"/>
    <col customWidth="1" min="3" max="3" width="22.57"/>
    <col customWidth="1" min="4" max="4" width="8.14"/>
    <col customWidth="1" min="5" max="5" width="9.57"/>
    <col customWidth="1" min="6" max="8" width="9.86"/>
    <col customWidth="1" min="9" max="9" width="10.86"/>
  </cols>
  <sheetData>
    <row r="1">
      <c r="A1" s="64" t="s">
        <v>617</v>
      </c>
      <c r="B1" s="65"/>
      <c r="C1" s="65"/>
      <c r="D1" s="66"/>
      <c r="E1" s="67"/>
      <c r="F1" s="67"/>
      <c r="G1" s="67"/>
      <c r="H1" s="67"/>
      <c r="I1" s="67"/>
    </row>
    <row r="2">
      <c r="A2" s="68" t="s">
        <v>721</v>
      </c>
      <c r="B2" s="65"/>
      <c r="C2" s="65"/>
      <c r="D2" s="66"/>
      <c r="E2" s="67"/>
      <c r="F2" s="67"/>
      <c r="G2" s="67"/>
      <c r="H2" s="67"/>
      <c r="I2" s="67"/>
    </row>
    <row r="3">
      <c r="A3" s="69" t="str">
        <f>UPPER('Balin-A'!E5)</f>
        <v>BULAN MEI 2026</v>
      </c>
      <c r="B3" s="65"/>
      <c r="C3" s="65"/>
      <c r="D3" s="66"/>
      <c r="E3" s="67"/>
      <c r="F3" s="67"/>
      <c r="G3" s="67"/>
      <c r="H3" s="67"/>
      <c r="I3" s="67"/>
    </row>
    <row r="4">
      <c r="A4" s="70"/>
      <c r="B4" s="65"/>
      <c r="C4" s="65"/>
      <c r="D4" s="66"/>
      <c r="E4" s="67"/>
      <c r="F4" s="67"/>
      <c r="G4" s="67"/>
      <c r="H4" s="67"/>
      <c r="I4" s="67"/>
    </row>
    <row r="5">
      <c r="A5" s="71" t="s">
        <v>619</v>
      </c>
      <c r="B5" s="72" t="s">
        <v>405</v>
      </c>
      <c r="C5" s="73" t="s">
        <v>620</v>
      </c>
      <c r="D5" s="73" t="s">
        <v>621</v>
      </c>
      <c r="E5" s="74" t="s">
        <v>406</v>
      </c>
      <c r="F5" s="75"/>
      <c r="G5" s="75"/>
      <c r="H5" s="75"/>
      <c r="I5" s="75"/>
    </row>
    <row r="6">
      <c r="A6" s="76"/>
      <c r="B6" s="76"/>
      <c r="C6" s="76"/>
      <c r="D6" s="76"/>
      <c r="E6" s="77" t="s">
        <v>622</v>
      </c>
      <c r="F6" s="77" t="s">
        <v>623</v>
      </c>
      <c r="G6" s="77" t="s">
        <v>624</v>
      </c>
      <c r="H6" s="77" t="s">
        <v>625</v>
      </c>
      <c r="I6" s="78" t="s">
        <v>626</v>
      </c>
    </row>
    <row r="7">
      <c r="A7" s="81">
        <v>1.0</v>
      </c>
      <c r="B7" s="82" t="s">
        <v>722</v>
      </c>
      <c r="C7" s="83" t="s">
        <v>630</v>
      </c>
      <c r="D7" s="84" t="s">
        <v>631</v>
      </c>
      <c r="E7" s="90">
        <f>'Balin-B'!$F$20/1000</f>
        <v>38.407</v>
      </c>
      <c r="F7" s="85">
        <f>'Kumai-B'!$F$20/1000</f>
        <v>0</v>
      </c>
      <c r="G7" s="90">
        <f>'Sinta-B'!$F$20/1000</f>
        <v>0.387</v>
      </c>
      <c r="H7" s="90">
        <f>'Lokal-B'!$F$20/1000</f>
        <v>0.137</v>
      </c>
      <c r="I7" s="85">
        <f t="shared" ref="I7:I11" si="1">sum(E7:H7)</f>
        <v>38.931</v>
      </c>
    </row>
    <row r="8">
      <c r="A8" s="70"/>
      <c r="B8" s="65"/>
      <c r="C8" s="83" t="s">
        <v>632</v>
      </c>
      <c r="D8" s="84" t="s">
        <v>631</v>
      </c>
      <c r="E8" s="131">
        <v>0.0</v>
      </c>
      <c r="F8" s="132">
        <v>0.0</v>
      </c>
      <c r="G8" s="131">
        <v>0.0</v>
      </c>
      <c r="H8" s="131">
        <v>0.0</v>
      </c>
      <c r="I8" s="85">
        <f t="shared" si="1"/>
        <v>0</v>
      </c>
    </row>
    <row r="9">
      <c r="A9" s="70"/>
      <c r="B9" s="65"/>
      <c r="C9" s="83" t="s">
        <v>633</v>
      </c>
      <c r="D9" s="84" t="s">
        <v>631</v>
      </c>
      <c r="E9" s="90">
        <f>'Balin-B'!$E$20/1000</f>
        <v>55.913</v>
      </c>
      <c r="F9" s="85">
        <f>'Kumai-B'!$E$20/1000</f>
        <v>0</v>
      </c>
      <c r="G9" s="90">
        <f>'Sinta-B'!$E$20/1000</f>
        <v>3.32</v>
      </c>
      <c r="H9" s="90">
        <f>'Lokal-B'!$E$20/1000</f>
        <v>0.35</v>
      </c>
      <c r="I9" s="85">
        <f t="shared" si="1"/>
        <v>59.583</v>
      </c>
    </row>
    <row r="10">
      <c r="A10" s="70"/>
      <c r="B10" s="65"/>
      <c r="C10" s="83" t="s">
        <v>634</v>
      </c>
      <c r="D10" s="84" t="s">
        <v>631</v>
      </c>
      <c r="E10" s="90">
        <f>'Balin-B'!$G$20/1000</f>
        <v>65.728</v>
      </c>
      <c r="F10" s="85">
        <f>'Kumai-B'!$G$20/1000</f>
        <v>0</v>
      </c>
      <c r="G10" s="90">
        <f>'Sinta-B'!$G$20/1000</f>
        <v>0</v>
      </c>
      <c r="H10" s="90">
        <f>'Lokal-B'!$G$20/1000</f>
        <v>0</v>
      </c>
      <c r="I10" s="85">
        <f t="shared" si="1"/>
        <v>65.728</v>
      </c>
    </row>
    <row r="11">
      <c r="A11" s="70"/>
      <c r="B11" s="65"/>
      <c r="C11" s="83" t="s">
        <v>635</v>
      </c>
      <c r="D11" s="84" t="s">
        <v>631</v>
      </c>
      <c r="E11" s="90">
        <f>'Balin-B'!$H$20/1000</f>
        <v>65.728</v>
      </c>
      <c r="F11" s="85">
        <f>'Kumai-B'!$H$20/1000</f>
        <v>0</v>
      </c>
      <c r="G11" s="90">
        <f>'Sinta-B'!$H$20/1000</f>
        <v>0</v>
      </c>
      <c r="H11" s="90">
        <f>'Lokal-B'!$H$20/1000</f>
        <v>0</v>
      </c>
      <c r="I11" s="85">
        <f t="shared" si="1"/>
        <v>65.728</v>
      </c>
    </row>
    <row r="12" ht="7.5" customHeight="1">
      <c r="A12" s="70"/>
      <c r="B12" s="65"/>
      <c r="C12" s="86"/>
      <c r="D12" s="87"/>
      <c r="E12" s="88"/>
      <c r="F12" s="88"/>
      <c r="G12" s="88"/>
      <c r="H12" s="88"/>
      <c r="I12" s="88"/>
    </row>
    <row r="13">
      <c r="A13" s="70"/>
      <c r="B13" s="65"/>
      <c r="C13" s="83" t="s">
        <v>636</v>
      </c>
      <c r="D13" s="89" t="s">
        <v>590</v>
      </c>
      <c r="E13" s="90">
        <f t="shared" ref="E13:I13" si="2">IFERROR(E7/E8*100,0)</f>
        <v>0</v>
      </c>
      <c r="F13" s="90">
        <f t="shared" si="2"/>
        <v>0</v>
      </c>
      <c r="G13" s="90">
        <f t="shared" si="2"/>
        <v>0</v>
      </c>
      <c r="H13" s="90">
        <f t="shared" si="2"/>
        <v>0</v>
      </c>
      <c r="I13" s="90">
        <f t="shared" si="2"/>
        <v>0</v>
      </c>
    </row>
    <row r="14">
      <c r="A14" s="70"/>
      <c r="B14" s="65"/>
      <c r="C14" s="83" t="s">
        <v>637</v>
      </c>
      <c r="D14" s="89" t="s">
        <v>590</v>
      </c>
      <c r="E14" s="90">
        <f t="shared" ref="E14:I14" si="3">IFERROR(E7/E9*100,0)</f>
        <v>68.69064439</v>
      </c>
      <c r="F14" s="90">
        <f t="shared" si="3"/>
        <v>0</v>
      </c>
      <c r="G14" s="90">
        <f t="shared" si="3"/>
        <v>11.65662651</v>
      </c>
      <c r="H14" s="90">
        <f t="shared" si="3"/>
        <v>39.14285714</v>
      </c>
      <c r="I14" s="90">
        <f t="shared" si="3"/>
        <v>65.33910679</v>
      </c>
    </row>
    <row r="15">
      <c r="A15" s="70"/>
      <c r="B15" s="65"/>
      <c r="C15" s="83" t="s">
        <v>638</v>
      </c>
      <c r="D15" s="89" t="s">
        <v>590</v>
      </c>
      <c r="E15" s="90">
        <f t="shared" ref="E15:I15" si="4">IFERROR(E7/E10*100,0)</f>
        <v>58.43324002</v>
      </c>
      <c r="F15" s="90">
        <f t="shared" si="4"/>
        <v>0</v>
      </c>
      <c r="G15" s="90">
        <f t="shared" si="4"/>
        <v>0</v>
      </c>
      <c r="H15" s="90">
        <f t="shared" si="4"/>
        <v>0</v>
      </c>
      <c r="I15" s="90">
        <f t="shared" si="4"/>
        <v>59.23046495</v>
      </c>
    </row>
    <row r="16">
      <c r="A16" s="91"/>
      <c r="B16" s="92"/>
      <c r="C16" s="93" t="s">
        <v>639</v>
      </c>
      <c r="D16" s="94" t="s">
        <v>590</v>
      </c>
      <c r="E16" s="95">
        <f t="shared" ref="E16:I16" si="5">IFERROR(E7/E11*100,0)</f>
        <v>58.43324002</v>
      </c>
      <c r="F16" s="95">
        <f t="shared" si="5"/>
        <v>0</v>
      </c>
      <c r="G16" s="95">
        <f t="shared" si="5"/>
        <v>0</v>
      </c>
      <c r="H16" s="95">
        <f t="shared" si="5"/>
        <v>0</v>
      </c>
      <c r="I16" s="95">
        <f t="shared" si="5"/>
        <v>59.23046495</v>
      </c>
    </row>
    <row r="17" ht="3.75" customHeight="1">
      <c r="A17" s="96"/>
      <c r="B17" s="97"/>
      <c r="C17" s="97"/>
      <c r="D17" s="98"/>
      <c r="E17" s="99"/>
      <c r="F17" s="99"/>
      <c r="G17" s="99"/>
      <c r="H17" s="99"/>
      <c r="I17" s="99"/>
    </row>
  </sheetData>
  <mergeCells count="5">
    <mergeCell ref="A5:A6"/>
    <mergeCell ref="B5:B6"/>
    <mergeCell ref="C5:C6"/>
    <mergeCell ref="D5:D6"/>
    <mergeCell ref="E5:I5"/>
  </mergeCells>
  <conditionalFormatting sqref="E13:I16">
    <cfRule type="cellIs" dxfId="0" priority="1" operator="greaterThan">
      <formula>99.99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6.57"/>
    <col customWidth="1" min="2" max="2" width="42.0"/>
    <col customWidth="1" min="3" max="3" width="22.57"/>
    <col customWidth="1" min="4" max="4" width="8.14"/>
    <col customWidth="1" min="5" max="5" width="9.57"/>
    <col customWidth="1" min="6" max="8" width="9.86"/>
    <col customWidth="1" min="9" max="9" width="10.86"/>
  </cols>
  <sheetData>
    <row r="1">
      <c r="A1" s="64" t="s">
        <v>617</v>
      </c>
      <c r="B1" s="65"/>
      <c r="C1" s="65"/>
      <c r="D1" s="66"/>
      <c r="E1" s="67"/>
      <c r="F1" s="67"/>
      <c r="G1" s="67"/>
      <c r="H1" s="67"/>
      <c r="I1" s="67"/>
    </row>
    <row r="2">
      <c r="A2" s="68" t="s">
        <v>721</v>
      </c>
      <c r="B2" s="65"/>
      <c r="C2" s="65"/>
      <c r="D2" s="66"/>
      <c r="E2" s="67"/>
      <c r="F2" s="67"/>
      <c r="G2" s="67"/>
      <c r="H2" s="67"/>
      <c r="I2" s="67"/>
    </row>
    <row r="3">
      <c r="A3" s="69" t="str">
        <f>UPPER('Balin-A'!N5)</f>
        <v>SD BULAN MEI 2026</v>
      </c>
      <c r="B3" s="65"/>
      <c r="C3" s="65"/>
      <c r="D3" s="66"/>
      <c r="E3" s="67"/>
      <c r="F3" s="67"/>
      <c r="G3" s="67"/>
      <c r="H3" s="67"/>
      <c r="I3" s="67"/>
    </row>
    <row r="4">
      <c r="A4" s="70"/>
      <c r="B4" s="65"/>
      <c r="C4" s="65"/>
      <c r="D4" s="66"/>
      <c r="E4" s="67"/>
      <c r="F4" s="67"/>
      <c r="G4" s="67"/>
      <c r="H4" s="67"/>
      <c r="I4" s="67"/>
    </row>
    <row r="5">
      <c r="A5" s="71" t="s">
        <v>619</v>
      </c>
      <c r="B5" s="72" t="s">
        <v>405</v>
      </c>
      <c r="C5" s="73" t="s">
        <v>620</v>
      </c>
      <c r="D5" s="73" t="s">
        <v>621</v>
      </c>
      <c r="E5" s="74" t="s">
        <v>406</v>
      </c>
      <c r="F5" s="75"/>
      <c r="G5" s="75"/>
      <c r="H5" s="75"/>
      <c r="I5" s="75"/>
    </row>
    <row r="6">
      <c r="A6" s="76"/>
      <c r="B6" s="76"/>
      <c r="C6" s="76"/>
      <c r="D6" s="76"/>
      <c r="E6" s="77" t="s">
        <v>622</v>
      </c>
      <c r="F6" s="77" t="s">
        <v>623</v>
      </c>
      <c r="G6" s="77" t="s">
        <v>624</v>
      </c>
      <c r="H6" s="77" t="s">
        <v>625</v>
      </c>
      <c r="I6" s="78" t="s">
        <v>626</v>
      </c>
    </row>
    <row r="7">
      <c r="A7" s="81">
        <v>1.0</v>
      </c>
      <c r="B7" s="82" t="s">
        <v>722</v>
      </c>
      <c r="C7" s="83" t="s">
        <v>662</v>
      </c>
      <c r="D7" s="84" t="s">
        <v>631</v>
      </c>
      <c r="E7" s="90">
        <f>'Balin-B'!$J$20/1000</f>
        <v>206.338</v>
      </c>
      <c r="F7" s="85">
        <f>'Kumai-B'!$J$20/1000</f>
        <v>0</v>
      </c>
      <c r="G7" s="90">
        <f>'Sinta-B'!$J$20/1000</f>
        <v>3.115</v>
      </c>
      <c r="H7" s="90">
        <f>'Lokal-B'!$J$20/1000</f>
        <v>0.604</v>
      </c>
      <c r="I7" s="85">
        <f t="shared" ref="I7:I11" si="1">sum(E7:H7)</f>
        <v>210.057</v>
      </c>
    </row>
    <row r="8">
      <c r="A8" s="70"/>
      <c r="B8" s="65"/>
      <c r="C8" s="83" t="s">
        <v>632</v>
      </c>
      <c r="D8" s="84" t="s">
        <v>631</v>
      </c>
      <c r="E8" s="131">
        <v>0.0</v>
      </c>
      <c r="F8" s="132">
        <v>0.0</v>
      </c>
      <c r="G8" s="131">
        <v>0.0</v>
      </c>
      <c r="H8" s="131">
        <v>0.0</v>
      </c>
      <c r="I8" s="85">
        <f t="shared" si="1"/>
        <v>0</v>
      </c>
    </row>
    <row r="9">
      <c r="A9" s="70"/>
      <c r="B9" s="65"/>
      <c r="C9" s="83" t="s">
        <v>633</v>
      </c>
      <c r="D9" s="84" t="s">
        <v>631</v>
      </c>
      <c r="E9" s="90">
        <f>'Balin-B'!$I$20/1000</f>
        <v>272.203</v>
      </c>
      <c r="F9" s="85">
        <f>'Kumai-B'!$I$20/1000</f>
        <v>0</v>
      </c>
      <c r="G9" s="90">
        <f>'Sinta-B'!$I$20/1000</f>
        <v>14.3</v>
      </c>
      <c r="H9" s="90">
        <f>'Lokal-B'!$I$20/1000</f>
        <v>1.641</v>
      </c>
      <c r="I9" s="85">
        <f t="shared" si="1"/>
        <v>288.144</v>
      </c>
    </row>
    <row r="10">
      <c r="A10" s="70"/>
      <c r="B10" s="65"/>
      <c r="C10" s="83" t="s">
        <v>634</v>
      </c>
      <c r="D10" s="84" t="s">
        <v>631</v>
      </c>
      <c r="E10" s="90">
        <f>'Balin-B'!$K$20/1000</f>
        <v>387.091</v>
      </c>
      <c r="F10" s="85">
        <f>'Kumai-B'!$K$20/1000</f>
        <v>0</v>
      </c>
      <c r="G10" s="90">
        <f>'Sinta-B'!$K$20/1000</f>
        <v>0</v>
      </c>
      <c r="H10" s="90">
        <f>'Lokal-B'!$K$20/1000</f>
        <v>0</v>
      </c>
      <c r="I10" s="85">
        <f t="shared" si="1"/>
        <v>387.091</v>
      </c>
    </row>
    <row r="11">
      <c r="A11" s="70"/>
      <c r="B11" s="65"/>
      <c r="C11" s="83" t="s">
        <v>635</v>
      </c>
      <c r="D11" s="84" t="s">
        <v>631</v>
      </c>
      <c r="E11" s="90">
        <f>'Balin-B'!$L$20/1000</f>
        <v>387.0908</v>
      </c>
      <c r="F11" s="85">
        <f>'Kumai-B'!$L$20/1000</f>
        <v>0</v>
      </c>
      <c r="G11" s="90">
        <f>'Sinta-B'!$L$20/1000</f>
        <v>0</v>
      </c>
      <c r="H11" s="90">
        <f>'Lokal-B'!$L$20/1000</f>
        <v>0</v>
      </c>
      <c r="I11" s="85">
        <f t="shared" si="1"/>
        <v>387.0908</v>
      </c>
    </row>
    <row r="12" ht="7.5" customHeight="1">
      <c r="A12" s="70"/>
      <c r="B12" s="65"/>
      <c r="C12" s="86"/>
      <c r="D12" s="87"/>
      <c r="E12" s="88"/>
      <c r="F12" s="88"/>
      <c r="G12" s="88"/>
      <c r="H12" s="88"/>
      <c r="I12" s="88"/>
    </row>
    <row r="13">
      <c r="A13" s="70"/>
      <c r="B13" s="65"/>
      <c r="C13" s="83" t="s">
        <v>636</v>
      </c>
      <c r="D13" s="89" t="s">
        <v>590</v>
      </c>
      <c r="E13" s="90">
        <f t="shared" ref="E13:I13" si="2">IFERROR(E7/E8*100,0)</f>
        <v>0</v>
      </c>
      <c r="F13" s="90">
        <f t="shared" si="2"/>
        <v>0</v>
      </c>
      <c r="G13" s="90">
        <f t="shared" si="2"/>
        <v>0</v>
      </c>
      <c r="H13" s="90">
        <f t="shared" si="2"/>
        <v>0</v>
      </c>
      <c r="I13" s="90">
        <f t="shared" si="2"/>
        <v>0</v>
      </c>
    </row>
    <row r="14">
      <c r="A14" s="70"/>
      <c r="B14" s="65"/>
      <c r="C14" s="83" t="s">
        <v>637</v>
      </c>
      <c r="D14" s="89" t="s">
        <v>590</v>
      </c>
      <c r="E14" s="90">
        <f t="shared" ref="E14:I14" si="3">IFERROR(E7/E9*100,0)</f>
        <v>75.80298527</v>
      </c>
      <c r="F14" s="90">
        <f t="shared" si="3"/>
        <v>0</v>
      </c>
      <c r="G14" s="90">
        <f t="shared" si="3"/>
        <v>21.78321678</v>
      </c>
      <c r="H14" s="90">
        <f t="shared" si="3"/>
        <v>36.80682511</v>
      </c>
      <c r="I14" s="90">
        <f t="shared" si="3"/>
        <v>72.90000833</v>
      </c>
    </row>
    <row r="15">
      <c r="A15" s="70"/>
      <c r="B15" s="65"/>
      <c r="C15" s="83" t="s">
        <v>638</v>
      </c>
      <c r="D15" s="89" t="s">
        <v>590</v>
      </c>
      <c r="E15" s="90">
        <f t="shared" ref="E15:I15" si="4">IFERROR(E7/E10*100,0)</f>
        <v>53.30477846</v>
      </c>
      <c r="F15" s="90">
        <f t="shared" si="4"/>
        <v>0</v>
      </c>
      <c r="G15" s="90">
        <f t="shared" si="4"/>
        <v>0</v>
      </c>
      <c r="H15" s="90">
        <f t="shared" si="4"/>
        <v>0</v>
      </c>
      <c r="I15" s="90">
        <f t="shared" si="4"/>
        <v>54.26553446</v>
      </c>
    </row>
    <row r="16">
      <c r="A16" s="91"/>
      <c r="B16" s="92"/>
      <c r="C16" s="93" t="s">
        <v>639</v>
      </c>
      <c r="D16" s="94" t="s">
        <v>590</v>
      </c>
      <c r="E16" s="95">
        <f t="shared" ref="E16:I16" si="5">IFERROR(E7/E11*100,0)</f>
        <v>53.304806</v>
      </c>
      <c r="F16" s="95">
        <f t="shared" si="5"/>
        <v>0</v>
      </c>
      <c r="G16" s="95">
        <f t="shared" si="5"/>
        <v>0</v>
      </c>
      <c r="H16" s="95">
        <f t="shared" si="5"/>
        <v>0</v>
      </c>
      <c r="I16" s="95">
        <f t="shared" si="5"/>
        <v>54.2655625</v>
      </c>
    </row>
    <row r="17" ht="3.75" customHeight="1">
      <c r="A17" s="96"/>
      <c r="B17" s="97"/>
      <c r="C17" s="97"/>
      <c r="D17" s="98"/>
      <c r="E17" s="99"/>
      <c r="F17" s="99"/>
      <c r="G17" s="99"/>
      <c r="H17" s="99"/>
      <c r="I17" s="99"/>
    </row>
  </sheetData>
  <mergeCells count="5">
    <mergeCell ref="A5:A6"/>
    <mergeCell ref="B5:B6"/>
    <mergeCell ref="C5:C6"/>
    <mergeCell ref="D5:D6"/>
    <mergeCell ref="E5:I5"/>
  </mergeCells>
  <conditionalFormatting sqref="E13:I16">
    <cfRule type="cellIs" dxfId="0" priority="1" operator="greaterThan">
      <formula>99.99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4.43" defaultRowHeight="15.0"/>
  <cols>
    <col customWidth="1" min="1" max="1" width="3.0"/>
    <col customWidth="1" min="2" max="2" width="8.43"/>
    <col customWidth="1" min="3" max="3" width="9.0"/>
    <col customWidth="1" min="4" max="4" width="44.14"/>
    <col customWidth="1" min="5" max="6" width="13.29"/>
    <col customWidth="1" min="7" max="9" width="12.29"/>
    <col customWidth="1" min="10" max="10" width="7.71"/>
    <col customWidth="1" min="11" max="11" width="7.0"/>
    <col customWidth="1" min="12" max="12" width="7.14"/>
    <col customWidth="1" min="13" max="13" width="7.0"/>
    <col customWidth="1" min="14" max="14" width="13.29"/>
    <col customWidth="1" min="15" max="16" width="11.86"/>
    <col customWidth="1" min="17" max="17" width="12.29"/>
    <col customWidth="1" min="18" max="18" width="7.71"/>
    <col customWidth="1" min="19" max="19" width="6.43"/>
    <col customWidth="1" min="20" max="20" width="7.29"/>
    <col customWidth="1" min="21" max="21" width="4.71"/>
    <col customWidth="1" min="22" max="22" width="13.29"/>
    <col customWidth="1" min="23" max="25" width="11.86"/>
    <col customWidth="1" min="26" max="26" width="15.29"/>
    <col customWidth="1" min="27" max="28" width="4.71"/>
  </cols>
  <sheetData>
    <row r="1">
      <c r="A1" s="133"/>
      <c r="B1" s="134" t="s">
        <v>723</v>
      </c>
      <c r="C1" s="135"/>
      <c r="D1" s="136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7" t="s">
        <v>724</v>
      </c>
      <c r="AA1" s="138">
        <v>5.0</v>
      </c>
      <c r="AB1" s="133"/>
    </row>
    <row r="2">
      <c r="A2" s="133"/>
      <c r="B2" s="134" t="s">
        <v>725</v>
      </c>
      <c r="C2" s="135"/>
      <c r="D2" s="136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7" t="s">
        <v>726</v>
      </c>
      <c r="AA2" s="138">
        <f>IF(AA1=1,12,AA1-1)</f>
        <v>4</v>
      </c>
      <c r="AB2" s="133"/>
    </row>
    <row r="3">
      <c r="A3" s="133"/>
      <c r="B3" s="134" t="s">
        <v>727</v>
      </c>
      <c r="C3" s="135"/>
      <c r="D3" s="139" t="s">
        <v>689</v>
      </c>
      <c r="E3" s="140" t="str">
        <f>VLOOKUP(D3,Plant!$A$2:$B$27,2,false)</f>
        <v>5E13</v>
      </c>
      <c r="F3" s="133"/>
      <c r="G3" s="133"/>
      <c r="H3" s="133"/>
      <c r="I3" s="133"/>
      <c r="J3" s="133"/>
      <c r="K3" s="133"/>
      <c r="L3" s="133"/>
      <c r="M3" s="133"/>
      <c r="N3" s="141"/>
      <c r="O3" s="133"/>
      <c r="P3" s="133"/>
      <c r="Q3" s="133"/>
      <c r="R3" s="133"/>
      <c r="S3" s="133"/>
      <c r="T3" s="133"/>
      <c r="U3" s="133"/>
      <c r="V3" s="141"/>
      <c r="W3" s="133"/>
      <c r="X3" s="133"/>
      <c r="Y3" s="133"/>
      <c r="Z3" s="133"/>
      <c r="AA3" s="133"/>
      <c r="AB3" s="133"/>
    </row>
    <row r="4" ht="14.25" customHeight="1">
      <c r="A4" s="133"/>
      <c r="B4" s="142" t="s">
        <v>728</v>
      </c>
      <c r="C4" s="143"/>
      <c r="D4" s="142" t="s">
        <v>11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44" t="s">
        <v>729</v>
      </c>
    </row>
    <row r="5" ht="14.25" customHeight="1">
      <c r="A5" s="145"/>
      <c r="B5" s="146" t="s">
        <v>730</v>
      </c>
      <c r="C5" s="147" t="s">
        <v>731</v>
      </c>
      <c r="D5" s="148"/>
      <c r="E5" s="149" t="str">
        <f>CONCATENATE("Bulan ",'Tahun Lalu'!D3," 2026")</f>
        <v>Bulan Mei 2026</v>
      </c>
      <c r="F5" s="150"/>
      <c r="G5" s="150"/>
      <c r="H5" s="150"/>
      <c r="I5" s="150"/>
      <c r="J5" s="150"/>
      <c r="K5" s="150"/>
      <c r="L5" s="150"/>
      <c r="M5" s="150"/>
      <c r="N5" s="151" t="str">
        <f>CONCATENATE("sd ",E5)</f>
        <v>sd Bulan Mei 2026</v>
      </c>
      <c r="O5" s="150"/>
      <c r="P5" s="150"/>
      <c r="Q5" s="150"/>
      <c r="R5" s="150"/>
      <c r="S5" s="150"/>
      <c r="T5" s="152"/>
      <c r="U5" s="153"/>
      <c r="V5" s="154"/>
      <c r="W5" s="155"/>
      <c r="X5" s="155"/>
      <c r="Y5" s="155"/>
      <c r="Z5" s="155"/>
      <c r="AA5" s="155"/>
      <c r="AB5" s="155"/>
    </row>
    <row r="6" ht="14.25" customHeight="1">
      <c r="A6" s="145"/>
      <c r="B6" s="156"/>
      <c r="C6" s="157"/>
      <c r="D6" s="158"/>
      <c r="E6" s="159" t="s">
        <v>732</v>
      </c>
      <c r="F6" s="159" t="s">
        <v>733</v>
      </c>
      <c r="G6" s="159" t="s">
        <v>734</v>
      </c>
      <c r="H6" s="159" t="s">
        <v>634</v>
      </c>
      <c r="I6" s="159" t="s">
        <v>635</v>
      </c>
      <c r="J6" s="160" t="s">
        <v>735</v>
      </c>
      <c r="K6" s="75"/>
      <c r="L6" s="75"/>
      <c r="M6" s="161"/>
      <c r="N6" s="162" t="s">
        <v>736</v>
      </c>
      <c r="O6" s="162" t="s">
        <v>734</v>
      </c>
      <c r="P6" s="162" t="s">
        <v>634</v>
      </c>
      <c r="Q6" s="162" t="s">
        <v>635</v>
      </c>
      <c r="R6" s="163" t="s">
        <v>735</v>
      </c>
      <c r="S6" s="75"/>
      <c r="T6" s="161"/>
      <c r="U6" s="164"/>
      <c r="V6" s="165" t="s">
        <v>736</v>
      </c>
      <c r="W6" s="165" t="s">
        <v>734</v>
      </c>
      <c r="X6" s="165" t="s">
        <v>634</v>
      </c>
      <c r="Y6" s="165" t="s">
        <v>635</v>
      </c>
      <c r="Z6" s="166" t="s">
        <v>735</v>
      </c>
      <c r="AA6" s="75"/>
      <c r="AB6" s="161"/>
    </row>
    <row r="7" ht="14.25" customHeight="1">
      <c r="A7" s="145"/>
      <c r="B7" s="156"/>
      <c r="C7" s="157"/>
      <c r="D7" s="158"/>
      <c r="E7" s="167"/>
      <c r="F7" s="167"/>
      <c r="G7" s="167"/>
      <c r="H7" s="167"/>
      <c r="I7" s="167"/>
      <c r="J7" s="168" t="str">
        <f t="shared" ref="J7:M7" si="1">F6</f>
        <v>Real Bulan Lalu</v>
      </c>
      <c r="K7" s="168" t="str">
        <f t="shared" si="1"/>
        <v>Real Tahun Lalu</v>
      </c>
      <c r="L7" s="168" t="str">
        <f t="shared" si="1"/>
        <v>RKO</v>
      </c>
      <c r="M7" s="168" t="str">
        <f t="shared" si="1"/>
        <v>RKAP</v>
      </c>
      <c r="N7" s="167"/>
      <c r="O7" s="167"/>
      <c r="P7" s="167"/>
      <c r="Q7" s="167"/>
      <c r="R7" s="169" t="str">
        <f>$O$6</f>
        <v>Real Tahun Lalu</v>
      </c>
      <c r="S7" s="169" t="str">
        <f>$P$6</f>
        <v>RKO</v>
      </c>
      <c r="T7" s="169" t="str">
        <f>$Q$6</f>
        <v>RKAP</v>
      </c>
      <c r="U7" s="164"/>
      <c r="V7" s="167"/>
      <c r="W7" s="167"/>
      <c r="X7" s="167"/>
      <c r="Y7" s="167"/>
      <c r="Z7" s="170" t="str">
        <f>$O$6</f>
        <v>Real Tahun Lalu</v>
      </c>
      <c r="AA7" s="170" t="str">
        <f>$P$6</f>
        <v>RKO</v>
      </c>
      <c r="AB7" s="170" t="str">
        <f>$Q$6</f>
        <v>RKAP</v>
      </c>
    </row>
    <row r="8" ht="14.25" customHeight="1">
      <c r="A8" s="145"/>
      <c r="B8" s="171"/>
      <c r="C8" s="172"/>
      <c r="D8" s="173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64"/>
      <c r="V8" s="174"/>
      <c r="W8" s="174"/>
      <c r="X8" s="174"/>
      <c r="Y8" s="174"/>
      <c r="Z8" s="174"/>
      <c r="AA8" s="174"/>
      <c r="AB8" s="174"/>
    </row>
    <row r="9" ht="14.25" customHeight="1">
      <c r="A9" s="175"/>
      <c r="B9" s="176"/>
      <c r="C9" s="177"/>
      <c r="D9" s="178" t="s">
        <v>737</v>
      </c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5"/>
      <c r="V9" s="179"/>
      <c r="W9" s="179"/>
      <c r="X9" s="179"/>
      <c r="Y9" s="179"/>
      <c r="Z9" s="179"/>
      <c r="AA9" s="179"/>
      <c r="AB9" s="179"/>
    </row>
    <row r="10" ht="14.25" customHeight="1">
      <c r="A10" s="175"/>
      <c r="B10" s="180" t="s">
        <v>22</v>
      </c>
      <c r="C10" s="181" t="str">
        <f>CONCATENATE(if(D4="KS","SP","SR"),"01")</f>
        <v>SR01</v>
      </c>
      <c r="D10" s="182" t="s">
        <v>738</v>
      </c>
      <c r="E10" s="183">
        <f>SUMIFS('DB BTL'!$J:$J,'DB BTL'!$E:$E,$C10,'DB BTL'!$A:$A,$D$4,'DB BTL'!$B:$B,$E$3,'DB BTL'!$D:$D,AA$1)</f>
        <v>105921179</v>
      </c>
      <c r="F10" s="183">
        <f>SUMIFS('DB WBS'!$J:$J,'DB WBS'!$A:$A,$D$4,'DB WBS'!$D:$D,AA$2,'DB WBS'!$B:$B,$E$3,'DB WBS'!$E:$E,$B10)</f>
        <v>725438240</v>
      </c>
      <c r="G10" s="184">
        <f>IFERROR(HLOOKUP($E$3,'Tahun Lalu'!$B$5:$V$158,MATCH(B10,'Tahun Lalu'!$B$5:$B$158,0),0),0)</f>
        <v>66095992</v>
      </c>
      <c r="H10" s="183">
        <f>IFERROR(round(HLOOKUP('Tahun Lalu'!$D$3,RKO!$A$1:$P$171,MATCH(B10,RKO!$A$1:$A$171,0),0)*1000,0),0)</f>
        <v>65272351</v>
      </c>
      <c r="I10" s="183">
        <f>IFERROR(round(HLOOKUP('Tahun Lalu'!$D$3,RKAP!$A$1:$P$171,MATCH(B10,RKAP!$A$1:$A$171,0),0)*1000,0),0)</f>
        <v>65272351</v>
      </c>
      <c r="J10" s="185">
        <f t="shared" ref="J10:J208" si="3">IFERROR(E10/F10*100,0)</f>
        <v>14.60099195</v>
      </c>
      <c r="K10" s="183">
        <f t="shared" ref="K10:K208" si="4">IFERROR(E10/G10*100,0)</f>
        <v>160.2535582</v>
      </c>
      <c r="L10" s="183">
        <f t="shared" ref="L10:L208" si="5">IFERROR(E10/H10*100,0)</f>
        <v>162.2757222</v>
      </c>
      <c r="M10" s="183">
        <f t="shared" ref="M10:M208" si="6">IFERROR(E10/I10*100,0)</f>
        <v>162.2757222</v>
      </c>
      <c r="N10" s="183">
        <f t="shared" ref="N10:N13" si="7">E10+V10</f>
        <v>451311525</v>
      </c>
      <c r="O10" s="183">
        <f t="shared" ref="O10:Q10" si="2">G10+W10</f>
        <v>340571671</v>
      </c>
      <c r="P10" s="183">
        <f t="shared" si="2"/>
        <v>332113312</v>
      </c>
      <c r="Q10" s="183">
        <f t="shared" si="2"/>
        <v>332113312</v>
      </c>
      <c r="R10" s="183">
        <f t="shared" ref="R10:R208" si="9">IFERROR(N10/O10*100,0)</f>
        <v>132.5158736</v>
      </c>
      <c r="S10" s="183">
        <f t="shared" ref="S10:S208" si="10">IFERROR(N10/P10*100,0)</f>
        <v>135.8908266</v>
      </c>
      <c r="T10" s="183">
        <f t="shared" ref="T10:T208" si="11">IFERROR(N10/Q10*100,0)</f>
        <v>135.8908266</v>
      </c>
      <c r="U10" s="186"/>
      <c r="V10" s="183">
        <f>IFERROR(__xludf.DUMMYFUNCTION("IFERROR(IMPORTRANGE(Link!B1,CONCATENATE(VLOOKUP($E$3,Link!$A$30:$B$39,2,false),""!N10:Q236"")),0)"),3.45390346E8)</f>
        <v>345390346</v>
      </c>
      <c r="W10" s="183">
        <f>IFERROR(__xludf.DUMMYFUNCTION("""COMPUTED_VALUE"""),2.74475679E8)</f>
        <v>274475679</v>
      </c>
      <c r="X10" s="183">
        <f>IFERROR(__xludf.DUMMYFUNCTION("""COMPUTED_VALUE"""),2.66840961E8)</f>
        <v>266840961</v>
      </c>
      <c r="Y10" s="183">
        <f>IFERROR(__xludf.DUMMYFUNCTION("""COMPUTED_VALUE"""),2.66840961E8)</f>
        <v>266840961</v>
      </c>
      <c r="Z10" s="183">
        <f t="shared" ref="Z10:Z208" si="12">IFERROR(V10/W10*100,0)</f>
        <v>125.8364119</v>
      </c>
      <c r="AA10" s="183">
        <f t="shared" ref="AA10:AA208" si="13">IFERROR(V10/X10*100,0)</f>
        <v>129.4367794</v>
      </c>
      <c r="AB10" s="183">
        <f t="shared" ref="AB10:AB208" si="14">IFERROR(V10/Y10*100,0)</f>
        <v>129.4367794</v>
      </c>
    </row>
    <row r="11" ht="14.25" customHeight="1">
      <c r="A11" s="175"/>
      <c r="B11" s="187" t="s">
        <v>739</v>
      </c>
      <c r="C11" s="181"/>
      <c r="D11" s="182" t="s">
        <v>740</v>
      </c>
      <c r="E11" s="183">
        <f>SUMIFS('DB WBS'!$J:$J,'DB WBS'!$A:$A,$D$4,'DB WBS'!$D:$D,AA$1,'DB WBS'!$B:$B,$E$3,'DB WBS'!$E:$E,$B11)</f>
        <v>0</v>
      </c>
      <c r="F11" s="183">
        <f>SUMIFS('DB WBS'!$J:$J,'DB WBS'!$A:$A,$D$4,'DB WBS'!$D:$D,AA$2,'DB WBS'!$B:$B,$E$3,'DB WBS'!$E:$E,$B11)</f>
        <v>0</v>
      </c>
      <c r="G11" s="184">
        <f>IFERROR(HLOOKUP($E$3,'Tahun Lalu'!$B$5:$V$158,MATCH(B11,'Tahun Lalu'!$B$5:$B$158,0),0),0)</f>
        <v>0</v>
      </c>
      <c r="H11" s="183">
        <f>IFERROR(round(HLOOKUP('Tahun Lalu'!$D$3,RKO!$A$1:$P$171,MATCH(B11,RKO!$A$1:$A$171,0),0)*1000,0),0)</f>
        <v>0</v>
      </c>
      <c r="I11" s="183">
        <f>IFERROR(round(HLOOKUP('Tahun Lalu'!$D$3,RKAP!$A$1:$P$171,MATCH(B11,RKAP!$A$1:$A$171,0),0)*1000,0),0)</f>
        <v>0</v>
      </c>
      <c r="J11" s="183">
        <f t="shared" si="3"/>
        <v>0</v>
      </c>
      <c r="K11" s="183">
        <f t="shared" si="4"/>
        <v>0</v>
      </c>
      <c r="L11" s="183">
        <f t="shared" si="5"/>
        <v>0</v>
      </c>
      <c r="M11" s="183">
        <f t="shared" si="6"/>
        <v>0</v>
      </c>
      <c r="N11" s="183">
        <f t="shared" si="7"/>
        <v>0</v>
      </c>
      <c r="O11" s="183">
        <f t="shared" ref="O11:Q11" si="8">G11+W11</f>
        <v>0</v>
      </c>
      <c r="P11" s="183">
        <f t="shared" si="8"/>
        <v>0</v>
      </c>
      <c r="Q11" s="183">
        <f t="shared" si="8"/>
        <v>0</v>
      </c>
      <c r="R11" s="183">
        <f t="shared" si="9"/>
        <v>0</v>
      </c>
      <c r="S11" s="183">
        <f t="shared" si="10"/>
        <v>0</v>
      </c>
      <c r="T11" s="183">
        <f t="shared" si="11"/>
        <v>0</v>
      </c>
      <c r="U11" s="186"/>
      <c r="V11" s="183">
        <f>IFERROR(__xludf.DUMMYFUNCTION("""COMPUTED_VALUE"""),0.0)</f>
        <v>0</v>
      </c>
      <c r="W11" s="183">
        <f>IFERROR(__xludf.DUMMYFUNCTION("""COMPUTED_VALUE"""),0.0)</f>
        <v>0</v>
      </c>
      <c r="X11" s="183">
        <f>IFERROR(__xludf.DUMMYFUNCTION("""COMPUTED_VALUE"""),0.0)</f>
        <v>0</v>
      </c>
      <c r="Y11" s="183">
        <f>IFERROR(__xludf.DUMMYFUNCTION("""COMPUTED_VALUE"""),0.0)</f>
        <v>0</v>
      </c>
      <c r="Z11" s="183">
        <f t="shared" si="12"/>
        <v>0</v>
      </c>
      <c r="AA11" s="183">
        <f t="shared" si="13"/>
        <v>0</v>
      </c>
      <c r="AB11" s="183">
        <f t="shared" si="14"/>
        <v>0</v>
      </c>
    </row>
    <row r="12" ht="14.25" customHeight="1">
      <c r="A12" s="175"/>
      <c r="B12" s="180"/>
      <c r="C12" s="177"/>
      <c r="D12" s="182" t="s">
        <v>741</v>
      </c>
      <c r="E12" s="183">
        <f>SUMIFS('DB WBS'!$J:$J,'DB WBS'!$A:$A,$D$4,'DB WBS'!$D:$D,AA$1,'DB WBS'!$B:$B,$E$3,'DB WBS'!$E:$E,$B12)</f>
        <v>0</v>
      </c>
      <c r="F12" s="183">
        <f>SUMIFS('DB WBS'!$J:$J,'DB WBS'!$A:$A,$D$4,'DB WBS'!$D:$D,AA$2,'DB WBS'!$B:$B,$E$3,'DB WBS'!$E:$E,$B12)</f>
        <v>0</v>
      </c>
      <c r="G12" s="184">
        <f>IFERROR(HLOOKUP($E$3,'Tahun Lalu'!$B$5:$V$158,MATCH(B12,'Tahun Lalu'!$B$5:$B$158,0),0),0)</f>
        <v>0</v>
      </c>
      <c r="H12" s="183">
        <f>IFERROR(round(HLOOKUP('Tahun Lalu'!$D$3,RKO!$A$1:$P$171,MATCH(B12,RKO!$A$1:$A$171,0),0)*1000,0),0)</f>
        <v>0</v>
      </c>
      <c r="I12" s="183">
        <f>IFERROR(round(HLOOKUP('Tahun Lalu'!$D$3,RKAP!$A$1:$P$171,MATCH(B12,RKAP!$A$1:$A$171,0),0)*1000,0),0)</f>
        <v>0</v>
      </c>
      <c r="J12" s="183">
        <f t="shared" si="3"/>
        <v>0</v>
      </c>
      <c r="K12" s="183">
        <f t="shared" si="4"/>
        <v>0</v>
      </c>
      <c r="L12" s="188">
        <f t="shared" si="5"/>
        <v>0</v>
      </c>
      <c r="M12" s="188">
        <f t="shared" si="6"/>
        <v>0</v>
      </c>
      <c r="N12" s="183">
        <f t="shared" si="7"/>
        <v>0</v>
      </c>
      <c r="O12" s="183">
        <f t="shared" ref="O12:Q12" si="15">G12+W12</f>
        <v>0</v>
      </c>
      <c r="P12" s="183">
        <f t="shared" si="15"/>
        <v>0</v>
      </c>
      <c r="Q12" s="183">
        <f t="shared" si="15"/>
        <v>0</v>
      </c>
      <c r="R12" s="183">
        <f t="shared" si="9"/>
        <v>0</v>
      </c>
      <c r="S12" s="183">
        <f t="shared" si="10"/>
        <v>0</v>
      </c>
      <c r="T12" s="188">
        <f t="shared" si="11"/>
        <v>0</v>
      </c>
      <c r="U12" s="189"/>
      <c r="V12" s="183">
        <f>IFERROR(__xludf.DUMMYFUNCTION("""COMPUTED_VALUE"""),0.0)</f>
        <v>0</v>
      </c>
      <c r="W12" s="183">
        <f>IFERROR(__xludf.DUMMYFUNCTION("""COMPUTED_VALUE"""),0.0)</f>
        <v>0</v>
      </c>
      <c r="X12" s="188">
        <f>IFERROR(__xludf.DUMMYFUNCTION("""COMPUTED_VALUE"""),0.0)</f>
        <v>0</v>
      </c>
      <c r="Y12" s="188">
        <f>IFERROR(__xludf.DUMMYFUNCTION("""COMPUTED_VALUE"""),0.0)</f>
        <v>0</v>
      </c>
      <c r="Z12" s="183">
        <f t="shared" si="12"/>
        <v>0</v>
      </c>
      <c r="AA12" s="183">
        <f t="shared" si="13"/>
        <v>0</v>
      </c>
      <c r="AB12" s="188">
        <f t="shared" si="14"/>
        <v>0</v>
      </c>
    </row>
    <row r="13" ht="14.25" customHeight="1">
      <c r="A13" s="175"/>
      <c r="B13" s="180"/>
      <c r="C13" s="177"/>
      <c r="D13" s="182" t="s">
        <v>742</v>
      </c>
      <c r="E13" s="183">
        <f>SUMIFS('DB WBS'!$J:$J,'DB WBS'!$A:$A,$D$4,'DB WBS'!$D:$D,AA$1,'DB WBS'!$B:$B,$E$3,'DB WBS'!$E:$E,$B13)</f>
        <v>0</v>
      </c>
      <c r="F13" s="183">
        <f>SUMIFS('DB WBS'!$J:$J,'DB WBS'!$A:$A,$D$4,'DB WBS'!$D:$D,AA$2,'DB WBS'!$B:$B,$E$3,'DB WBS'!$E:$E,$B13)</f>
        <v>0</v>
      </c>
      <c r="G13" s="184">
        <f>IFERROR(HLOOKUP($E$3,'Tahun Lalu'!$B$5:$V$158,MATCH(B13,'Tahun Lalu'!$B$5:$B$158,0),0),0)</f>
        <v>0</v>
      </c>
      <c r="H13" s="183">
        <f>IFERROR(round(HLOOKUP('Tahun Lalu'!$D$3,RKO!$A$1:$P$171,MATCH(B13,RKO!$A$1:$A$171,0),0)*1000,0),0)</f>
        <v>0</v>
      </c>
      <c r="I13" s="183">
        <f>IFERROR(round(HLOOKUP('Tahun Lalu'!$D$3,RKAP!$A$1:$P$171,MATCH(B13,RKAP!$A$1:$A$171,0),0)*1000,0),0)</f>
        <v>0</v>
      </c>
      <c r="J13" s="183">
        <f t="shared" si="3"/>
        <v>0</v>
      </c>
      <c r="K13" s="183">
        <f t="shared" si="4"/>
        <v>0</v>
      </c>
      <c r="L13" s="188">
        <f t="shared" si="5"/>
        <v>0</v>
      </c>
      <c r="M13" s="188">
        <f t="shared" si="6"/>
        <v>0</v>
      </c>
      <c r="N13" s="183">
        <f t="shared" si="7"/>
        <v>0</v>
      </c>
      <c r="O13" s="183">
        <f t="shared" ref="O13:Q13" si="16">G13+W13</f>
        <v>0</v>
      </c>
      <c r="P13" s="183">
        <f t="shared" si="16"/>
        <v>0</v>
      </c>
      <c r="Q13" s="183">
        <f t="shared" si="16"/>
        <v>0</v>
      </c>
      <c r="R13" s="183">
        <f t="shared" si="9"/>
        <v>0</v>
      </c>
      <c r="S13" s="183">
        <f t="shared" si="10"/>
        <v>0</v>
      </c>
      <c r="T13" s="188">
        <f t="shared" si="11"/>
        <v>0</v>
      </c>
      <c r="U13" s="189"/>
      <c r="V13" s="183">
        <f>IFERROR(__xludf.DUMMYFUNCTION("""COMPUTED_VALUE"""),0.0)</f>
        <v>0</v>
      </c>
      <c r="W13" s="183">
        <f>IFERROR(__xludf.DUMMYFUNCTION("""COMPUTED_VALUE"""),0.0)</f>
        <v>0</v>
      </c>
      <c r="X13" s="188">
        <f>IFERROR(__xludf.DUMMYFUNCTION("""COMPUTED_VALUE"""),0.0)</f>
        <v>0</v>
      </c>
      <c r="Y13" s="188">
        <f>IFERROR(__xludf.DUMMYFUNCTION("""COMPUTED_VALUE"""),0.0)</f>
        <v>0</v>
      </c>
      <c r="Z13" s="183">
        <f t="shared" si="12"/>
        <v>0</v>
      </c>
      <c r="AA13" s="183">
        <f t="shared" si="13"/>
        <v>0</v>
      </c>
      <c r="AB13" s="188">
        <f t="shared" si="14"/>
        <v>0</v>
      </c>
    </row>
    <row r="14" ht="14.25" customHeight="1">
      <c r="A14" s="190"/>
      <c r="B14" s="191" t="s">
        <v>743</v>
      </c>
      <c r="C14" s="192"/>
      <c r="D14" s="193"/>
      <c r="E14" s="194">
        <f t="shared" ref="E14:I14" si="17">SUM(E10:E13)</f>
        <v>105921179</v>
      </c>
      <c r="F14" s="194">
        <f t="shared" si="17"/>
        <v>725438240</v>
      </c>
      <c r="G14" s="194">
        <f t="shared" si="17"/>
        <v>66095992</v>
      </c>
      <c r="H14" s="194">
        <f t="shared" si="17"/>
        <v>65272351</v>
      </c>
      <c r="I14" s="194">
        <f t="shared" si="17"/>
        <v>65272351</v>
      </c>
      <c r="J14" s="194">
        <f t="shared" si="3"/>
        <v>14.60099195</v>
      </c>
      <c r="K14" s="194">
        <f t="shared" si="4"/>
        <v>160.2535582</v>
      </c>
      <c r="L14" s="194">
        <f t="shared" si="5"/>
        <v>162.2757222</v>
      </c>
      <c r="M14" s="194">
        <f t="shared" si="6"/>
        <v>162.2757222</v>
      </c>
      <c r="N14" s="194">
        <f t="shared" ref="N14:Q14" si="18">SUM(N10:N13)</f>
        <v>451311525</v>
      </c>
      <c r="O14" s="194">
        <f t="shared" si="18"/>
        <v>340571671</v>
      </c>
      <c r="P14" s="194">
        <f t="shared" si="18"/>
        <v>332113312</v>
      </c>
      <c r="Q14" s="194">
        <f t="shared" si="18"/>
        <v>332113312</v>
      </c>
      <c r="R14" s="194">
        <f t="shared" si="9"/>
        <v>132.5158736</v>
      </c>
      <c r="S14" s="194">
        <f t="shared" si="10"/>
        <v>135.8908266</v>
      </c>
      <c r="T14" s="194">
        <f t="shared" si="11"/>
        <v>135.8908266</v>
      </c>
      <c r="U14" s="195"/>
      <c r="V14" s="194">
        <f>IFERROR(__xludf.DUMMYFUNCTION("""COMPUTED_VALUE"""),3.45390346E8)</f>
        <v>345390346</v>
      </c>
      <c r="W14" s="194">
        <f>IFERROR(__xludf.DUMMYFUNCTION("""COMPUTED_VALUE"""),2.74475679E8)</f>
        <v>274475679</v>
      </c>
      <c r="X14" s="194">
        <f>IFERROR(__xludf.DUMMYFUNCTION("""COMPUTED_VALUE"""),2.66840961E8)</f>
        <v>266840961</v>
      </c>
      <c r="Y14" s="194">
        <f>IFERROR(__xludf.DUMMYFUNCTION("""COMPUTED_VALUE"""),2.66840961E8)</f>
        <v>266840961</v>
      </c>
      <c r="Z14" s="194">
        <f t="shared" si="12"/>
        <v>125.8364119</v>
      </c>
      <c r="AA14" s="194">
        <f t="shared" si="13"/>
        <v>129.4367794</v>
      </c>
      <c r="AB14" s="194">
        <f t="shared" si="14"/>
        <v>129.4367794</v>
      </c>
    </row>
    <row r="15" ht="14.25" customHeight="1">
      <c r="A15" s="175"/>
      <c r="B15" s="196" t="s">
        <v>744</v>
      </c>
      <c r="C15" s="181"/>
      <c r="D15" s="197" t="s">
        <v>745</v>
      </c>
      <c r="E15" s="183">
        <f>SUMIFS('DB WBS'!$J:$J,'DB WBS'!$A:$A,$D$4,'DB WBS'!$D:$D,AA$1,'DB WBS'!$B:$B,$E$3,'DB WBS'!$E:$E,$B15)</f>
        <v>0</v>
      </c>
      <c r="F15" s="183">
        <f>SUMIFS('DB WBS'!$J:$J,'DB WBS'!$A:$A,$D$4,'DB WBS'!$D:$D,AA$2,'DB WBS'!$B:$B,$E$3,'DB WBS'!$E:$E,$B15)</f>
        <v>0</v>
      </c>
      <c r="G15" s="184">
        <f>IFERROR(HLOOKUP($E$3,'Tahun Lalu'!$B$5:$V$158,MATCH(B15,'Tahun Lalu'!$B$5:$B$158,0),0),0)</f>
        <v>0</v>
      </c>
      <c r="H15" s="183">
        <f>IFERROR(round(HLOOKUP('Tahun Lalu'!$D$3,RKO!$A$1:$P$171,MATCH(B15,RKO!$A$1:$A$171,0),0)*1000,0),0)</f>
        <v>0</v>
      </c>
      <c r="I15" s="183">
        <f>IFERROR(round(HLOOKUP('Tahun Lalu'!$D$3,RKAP!$A$1:$P$171,MATCH(B15,RKAP!$A$1:$A$171,0),0)*1000,0),0)</f>
        <v>0</v>
      </c>
      <c r="J15" s="183">
        <f t="shared" si="3"/>
        <v>0</v>
      </c>
      <c r="K15" s="183">
        <f t="shared" si="4"/>
        <v>0</v>
      </c>
      <c r="L15" s="183">
        <f t="shared" si="5"/>
        <v>0</v>
      </c>
      <c r="M15" s="183">
        <f t="shared" si="6"/>
        <v>0</v>
      </c>
      <c r="N15" s="183">
        <f t="shared" ref="N15:N31" si="20">E15+V15</f>
        <v>0</v>
      </c>
      <c r="O15" s="183">
        <f t="shared" ref="O15:Q15" si="19">G15+W15</f>
        <v>0</v>
      </c>
      <c r="P15" s="183">
        <f t="shared" si="19"/>
        <v>0</v>
      </c>
      <c r="Q15" s="183">
        <f t="shared" si="19"/>
        <v>0</v>
      </c>
      <c r="R15" s="183">
        <f t="shared" si="9"/>
        <v>0</v>
      </c>
      <c r="S15" s="183">
        <f t="shared" si="10"/>
        <v>0</v>
      </c>
      <c r="T15" s="183">
        <f t="shared" si="11"/>
        <v>0</v>
      </c>
      <c r="U15" s="186"/>
      <c r="V15" s="183">
        <f>IFERROR(__xludf.DUMMYFUNCTION("""COMPUTED_VALUE"""),0.0)</f>
        <v>0</v>
      </c>
      <c r="W15" s="183">
        <f>IFERROR(__xludf.DUMMYFUNCTION("""COMPUTED_VALUE"""),0.0)</f>
        <v>0</v>
      </c>
      <c r="X15" s="183">
        <f>IFERROR(__xludf.DUMMYFUNCTION("""COMPUTED_VALUE"""),0.0)</f>
        <v>0</v>
      </c>
      <c r="Y15" s="183">
        <f>IFERROR(__xludf.DUMMYFUNCTION("""COMPUTED_VALUE"""),0.0)</f>
        <v>0</v>
      </c>
      <c r="Z15" s="183">
        <f t="shared" si="12"/>
        <v>0</v>
      </c>
      <c r="AA15" s="183">
        <f t="shared" si="13"/>
        <v>0</v>
      </c>
      <c r="AB15" s="183">
        <f t="shared" si="14"/>
        <v>0</v>
      </c>
    </row>
    <row r="16" ht="14.25" customHeight="1">
      <c r="A16" s="175"/>
      <c r="B16" s="196" t="s">
        <v>746</v>
      </c>
      <c r="C16" s="181"/>
      <c r="D16" s="197" t="s">
        <v>747</v>
      </c>
      <c r="E16" s="183">
        <f>SUMIFS('DB WBS'!$J:$J,'DB WBS'!$A:$A,$D$4,'DB WBS'!$D:$D,AA$1,'DB WBS'!$B:$B,$E$3,'DB WBS'!$E:$E,$B16)</f>
        <v>0</v>
      </c>
      <c r="F16" s="183">
        <f>SUMIFS('DB WBS'!$J:$J,'DB WBS'!$A:$A,$D$4,'DB WBS'!$D:$D,AA$2,'DB WBS'!$B:$B,$E$3,'DB WBS'!$E:$E,$B16)</f>
        <v>0</v>
      </c>
      <c r="G16" s="184">
        <f>IFERROR(HLOOKUP($E$3,'Tahun Lalu'!$B$5:$V$158,MATCH(B16,'Tahun Lalu'!$B$5:$B$158,0),0),0)</f>
        <v>0</v>
      </c>
      <c r="H16" s="183">
        <f>IFERROR(round(HLOOKUP('Tahun Lalu'!$D$3,RKO!$A$1:$P$171,MATCH(B16,RKO!$A$1:$A$171,0),0)*1000,0),0)</f>
        <v>160172</v>
      </c>
      <c r="I16" s="183">
        <f>IFERROR(round(HLOOKUP('Tahun Lalu'!$D$3,RKAP!$A$1:$P$171,MATCH(B16,RKAP!$A$1:$A$171,0),0)*1000,0),0)</f>
        <v>160172</v>
      </c>
      <c r="J16" s="183">
        <f t="shared" si="3"/>
        <v>0</v>
      </c>
      <c r="K16" s="183">
        <f t="shared" si="4"/>
        <v>0</v>
      </c>
      <c r="L16" s="183">
        <f t="shared" si="5"/>
        <v>0</v>
      </c>
      <c r="M16" s="183">
        <f t="shared" si="6"/>
        <v>0</v>
      </c>
      <c r="N16" s="183">
        <f t="shared" si="20"/>
        <v>0</v>
      </c>
      <c r="O16" s="183">
        <f t="shared" ref="O16:Q16" si="21">G16+W16</f>
        <v>5000000</v>
      </c>
      <c r="P16" s="183">
        <f t="shared" si="21"/>
        <v>790849</v>
      </c>
      <c r="Q16" s="183">
        <f t="shared" si="21"/>
        <v>790849</v>
      </c>
      <c r="R16" s="183">
        <f t="shared" si="9"/>
        <v>0</v>
      </c>
      <c r="S16" s="183">
        <f t="shared" si="10"/>
        <v>0</v>
      </c>
      <c r="T16" s="183">
        <f t="shared" si="11"/>
        <v>0</v>
      </c>
      <c r="U16" s="186"/>
      <c r="V16" s="183">
        <f>IFERROR(__xludf.DUMMYFUNCTION("""COMPUTED_VALUE"""),0.0)</f>
        <v>0</v>
      </c>
      <c r="W16" s="183">
        <f>IFERROR(__xludf.DUMMYFUNCTION("""COMPUTED_VALUE"""),5000000.0)</f>
        <v>5000000</v>
      </c>
      <c r="X16" s="183">
        <f>IFERROR(__xludf.DUMMYFUNCTION("""COMPUTED_VALUE"""),630677.0)</f>
        <v>630677</v>
      </c>
      <c r="Y16" s="183">
        <f>IFERROR(__xludf.DUMMYFUNCTION("""COMPUTED_VALUE"""),630677.0)</f>
        <v>630677</v>
      </c>
      <c r="Z16" s="183">
        <f t="shared" si="12"/>
        <v>0</v>
      </c>
      <c r="AA16" s="183">
        <f t="shared" si="13"/>
        <v>0</v>
      </c>
      <c r="AB16" s="183">
        <f t="shared" si="14"/>
        <v>0</v>
      </c>
    </row>
    <row r="17" ht="14.25" customHeight="1">
      <c r="A17" s="175"/>
      <c r="B17" s="196" t="s">
        <v>748</v>
      </c>
      <c r="C17" s="181"/>
      <c r="D17" s="197" t="s">
        <v>749</v>
      </c>
      <c r="E17" s="183">
        <f>SUMIFS('DB WBS'!$J:$J,'DB WBS'!$A:$A,$D$4,'DB WBS'!$D:$D,AA$1,'DB WBS'!$B:$B,$E$3,'DB WBS'!$E:$E,$B17)</f>
        <v>0</v>
      </c>
      <c r="F17" s="183">
        <f>SUMIFS('DB WBS'!$J:$J,'DB WBS'!$A:$A,$D$4,'DB WBS'!$D:$D,AA$2,'DB WBS'!$B:$B,$E$3,'DB WBS'!$E:$E,$B17)</f>
        <v>0</v>
      </c>
      <c r="G17" s="184">
        <f>IFERROR(HLOOKUP($E$3,'Tahun Lalu'!$B$5:$V$158,MATCH(B17,'Tahun Lalu'!$B$5:$B$158,0),0),0)</f>
        <v>0</v>
      </c>
      <c r="H17" s="183">
        <f>IFERROR(round(HLOOKUP('Tahun Lalu'!$D$3,RKO!$A$1:$P$171,MATCH(B17,RKO!$A$1:$A$171,0),0)*1000,0),0)</f>
        <v>0</v>
      </c>
      <c r="I17" s="183">
        <f>IFERROR(round(HLOOKUP('Tahun Lalu'!$D$3,RKAP!$A$1:$P$171,MATCH(B17,RKAP!$A$1:$A$171,0),0)*1000,0),0)</f>
        <v>0</v>
      </c>
      <c r="J17" s="183">
        <f t="shared" si="3"/>
        <v>0</v>
      </c>
      <c r="K17" s="183">
        <f t="shared" si="4"/>
        <v>0</v>
      </c>
      <c r="L17" s="183">
        <f t="shared" si="5"/>
        <v>0</v>
      </c>
      <c r="M17" s="183">
        <f t="shared" si="6"/>
        <v>0</v>
      </c>
      <c r="N17" s="183">
        <f t="shared" si="20"/>
        <v>0</v>
      </c>
      <c r="O17" s="183">
        <f t="shared" ref="O17:Q17" si="22">G17+W17</f>
        <v>0</v>
      </c>
      <c r="P17" s="183">
        <f t="shared" si="22"/>
        <v>0</v>
      </c>
      <c r="Q17" s="183">
        <f t="shared" si="22"/>
        <v>0</v>
      </c>
      <c r="R17" s="183">
        <f t="shared" si="9"/>
        <v>0</v>
      </c>
      <c r="S17" s="183">
        <f t="shared" si="10"/>
        <v>0</v>
      </c>
      <c r="T17" s="183">
        <f t="shared" si="11"/>
        <v>0</v>
      </c>
      <c r="U17" s="186"/>
      <c r="V17" s="183">
        <f>IFERROR(__xludf.DUMMYFUNCTION("""COMPUTED_VALUE"""),0.0)</f>
        <v>0</v>
      </c>
      <c r="W17" s="183">
        <f>IFERROR(__xludf.DUMMYFUNCTION("""COMPUTED_VALUE"""),0.0)</f>
        <v>0</v>
      </c>
      <c r="X17" s="183">
        <f>IFERROR(__xludf.DUMMYFUNCTION("""COMPUTED_VALUE"""),0.0)</f>
        <v>0</v>
      </c>
      <c r="Y17" s="183">
        <f>IFERROR(__xludf.DUMMYFUNCTION("""COMPUTED_VALUE"""),0.0)</f>
        <v>0</v>
      </c>
      <c r="Z17" s="183">
        <f t="shared" si="12"/>
        <v>0</v>
      </c>
      <c r="AA17" s="183">
        <f t="shared" si="13"/>
        <v>0</v>
      </c>
      <c r="AB17" s="183">
        <f t="shared" si="14"/>
        <v>0</v>
      </c>
    </row>
    <row r="18" ht="14.25" customHeight="1">
      <c r="A18" s="175"/>
      <c r="B18" s="196" t="s">
        <v>750</v>
      </c>
      <c r="C18" s="181"/>
      <c r="D18" s="197" t="s">
        <v>751</v>
      </c>
      <c r="E18" s="183">
        <f>SUMIFS('DB WBS'!$J:$J,'DB WBS'!$A:$A,$D$4,'DB WBS'!$D:$D,AA$1,'DB WBS'!$B:$B,$E$3,'DB WBS'!$E:$E,$B18)</f>
        <v>0</v>
      </c>
      <c r="F18" s="183">
        <f>SUMIFS('DB WBS'!$J:$J,'DB WBS'!$A:$A,$D$4,'DB WBS'!$D:$D,AA$2,'DB WBS'!$B:$B,$E$3,'DB WBS'!$E:$E,$B18)</f>
        <v>0</v>
      </c>
      <c r="G18" s="184">
        <f>IFERROR(HLOOKUP($E$3,'Tahun Lalu'!$B$5:$V$158,MATCH(B18,'Tahun Lalu'!$B$5:$B$158,0),0),0)</f>
        <v>0</v>
      </c>
      <c r="H18" s="183">
        <f>IFERROR(round(HLOOKUP('Tahun Lalu'!$D$3,RKO!$A$1:$P$171,MATCH(B18,RKO!$A$1:$A$171,0),0)*1000,0),0)</f>
        <v>0</v>
      </c>
      <c r="I18" s="183">
        <f>IFERROR(round(HLOOKUP('Tahun Lalu'!$D$3,RKAP!$A$1:$P$171,MATCH(B18,RKAP!$A$1:$A$171,0),0)*1000,0),0)</f>
        <v>0</v>
      </c>
      <c r="J18" s="183">
        <f t="shared" si="3"/>
        <v>0</v>
      </c>
      <c r="K18" s="183">
        <f t="shared" si="4"/>
        <v>0</v>
      </c>
      <c r="L18" s="183">
        <f t="shared" si="5"/>
        <v>0</v>
      </c>
      <c r="M18" s="183">
        <f t="shared" si="6"/>
        <v>0</v>
      </c>
      <c r="N18" s="183">
        <f t="shared" si="20"/>
        <v>0</v>
      </c>
      <c r="O18" s="183">
        <f t="shared" ref="O18:Q18" si="23">G18+W18</f>
        <v>0</v>
      </c>
      <c r="P18" s="183">
        <f t="shared" si="23"/>
        <v>0</v>
      </c>
      <c r="Q18" s="183">
        <f t="shared" si="23"/>
        <v>0</v>
      </c>
      <c r="R18" s="183">
        <f t="shared" si="9"/>
        <v>0</v>
      </c>
      <c r="S18" s="183">
        <f t="shared" si="10"/>
        <v>0</v>
      </c>
      <c r="T18" s="183">
        <f t="shared" si="11"/>
        <v>0</v>
      </c>
      <c r="U18" s="186"/>
      <c r="V18" s="183">
        <f>IFERROR(__xludf.DUMMYFUNCTION("""COMPUTED_VALUE"""),0.0)</f>
        <v>0</v>
      </c>
      <c r="W18" s="183">
        <f>IFERROR(__xludf.DUMMYFUNCTION("""COMPUTED_VALUE"""),0.0)</f>
        <v>0</v>
      </c>
      <c r="X18" s="183">
        <f>IFERROR(__xludf.DUMMYFUNCTION("""COMPUTED_VALUE"""),0.0)</f>
        <v>0</v>
      </c>
      <c r="Y18" s="183">
        <f>IFERROR(__xludf.DUMMYFUNCTION("""COMPUTED_VALUE"""),0.0)</f>
        <v>0</v>
      </c>
      <c r="Z18" s="183">
        <f t="shared" si="12"/>
        <v>0</v>
      </c>
      <c r="AA18" s="183">
        <f t="shared" si="13"/>
        <v>0</v>
      </c>
      <c r="AB18" s="183">
        <f t="shared" si="14"/>
        <v>0</v>
      </c>
    </row>
    <row r="19" ht="14.25" customHeight="1">
      <c r="A19" s="175"/>
      <c r="B19" s="196" t="s">
        <v>752</v>
      </c>
      <c r="C19" s="181"/>
      <c r="D19" s="197" t="s">
        <v>753</v>
      </c>
      <c r="E19" s="183">
        <f>SUMIFS('DB WBS'!$J:$J,'DB WBS'!$A:$A,$D$4,'DB WBS'!$D:$D,AA$1,'DB WBS'!$B:$B,$E$3,'DB WBS'!$E:$E,$B19)</f>
        <v>0</v>
      </c>
      <c r="F19" s="183">
        <f>SUMIFS('DB WBS'!$J:$J,'DB WBS'!$A:$A,$D$4,'DB WBS'!$D:$D,AA$2,'DB WBS'!$B:$B,$E$3,'DB WBS'!$E:$E,$B19)</f>
        <v>0</v>
      </c>
      <c r="G19" s="184">
        <f>IFERROR(HLOOKUP($E$3,'Tahun Lalu'!$B$5:$V$158,MATCH(B19,'Tahun Lalu'!$B$5:$B$158,0),0),0)</f>
        <v>0</v>
      </c>
      <c r="H19" s="183">
        <f>IFERROR(round(HLOOKUP('Tahun Lalu'!$D$3,RKO!$A$1:$P$171,MATCH(B19,RKO!$A$1:$A$171,0),0)*1000,0),0)</f>
        <v>0</v>
      </c>
      <c r="I19" s="183">
        <f>IFERROR(round(HLOOKUP('Tahun Lalu'!$D$3,RKAP!$A$1:$P$171,MATCH(B19,RKAP!$A$1:$A$171,0),0)*1000,0),0)</f>
        <v>0</v>
      </c>
      <c r="J19" s="183">
        <f t="shared" si="3"/>
        <v>0</v>
      </c>
      <c r="K19" s="183">
        <f t="shared" si="4"/>
        <v>0</v>
      </c>
      <c r="L19" s="183">
        <f t="shared" si="5"/>
        <v>0</v>
      </c>
      <c r="M19" s="183">
        <f t="shared" si="6"/>
        <v>0</v>
      </c>
      <c r="N19" s="183">
        <f t="shared" si="20"/>
        <v>0</v>
      </c>
      <c r="O19" s="183">
        <f t="shared" ref="O19:Q19" si="24">G19+W19</f>
        <v>0</v>
      </c>
      <c r="P19" s="183">
        <f t="shared" si="24"/>
        <v>0</v>
      </c>
      <c r="Q19" s="183">
        <f t="shared" si="24"/>
        <v>0</v>
      </c>
      <c r="R19" s="183">
        <f t="shared" si="9"/>
        <v>0</v>
      </c>
      <c r="S19" s="183">
        <f t="shared" si="10"/>
        <v>0</v>
      </c>
      <c r="T19" s="183">
        <f t="shared" si="11"/>
        <v>0</v>
      </c>
      <c r="U19" s="186"/>
      <c r="V19" s="183">
        <f>IFERROR(__xludf.DUMMYFUNCTION("""COMPUTED_VALUE"""),0.0)</f>
        <v>0</v>
      </c>
      <c r="W19" s="183">
        <f>IFERROR(__xludf.DUMMYFUNCTION("""COMPUTED_VALUE"""),0.0)</f>
        <v>0</v>
      </c>
      <c r="X19" s="183">
        <f>IFERROR(__xludf.DUMMYFUNCTION("""COMPUTED_VALUE"""),0.0)</f>
        <v>0</v>
      </c>
      <c r="Y19" s="183">
        <f>IFERROR(__xludf.DUMMYFUNCTION("""COMPUTED_VALUE"""),0.0)</f>
        <v>0</v>
      </c>
      <c r="Z19" s="183">
        <f t="shared" si="12"/>
        <v>0</v>
      </c>
      <c r="AA19" s="183">
        <f t="shared" si="13"/>
        <v>0</v>
      </c>
      <c r="AB19" s="183">
        <f t="shared" si="14"/>
        <v>0</v>
      </c>
    </row>
    <row r="20" ht="14.25" customHeight="1">
      <c r="A20" s="175"/>
      <c r="B20" s="196" t="s">
        <v>754</v>
      </c>
      <c r="C20" s="181"/>
      <c r="D20" s="197" t="s">
        <v>755</v>
      </c>
      <c r="E20" s="183">
        <f>SUMIFS('DB WBS'!$J:$J,'DB WBS'!$A:$A,$D$4,'DB WBS'!$D:$D,AA$1,'DB WBS'!$B:$B,$E$3,'DB WBS'!$E:$E,$B20)</f>
        <v>0</v>
      </c>
      <c r="F20" s="183">
        <f>SUMIFS('DB WBS'!$J:$J,'DB WBS'!$A:$A,$D$4,'DB WBS'!$D:$D,AA$2,'DB WBS'!$B:$B,$E$3,'DB WBS'!$E:$E,$B20)</f>
        <v>0</v>
      </c>
      <c r="G20" s="184">
        <f>IFERROR(HLOOKUP($E$3,'Tahun Lalu'!$B$5:$V$158,MATCH(B20,'Tahun Lalu'!$B$5:$B$158,0),0),0)</f>
        <v>0</v>
      </c>
      <c r="H20" s="183">
        <f>IFERROR(round(HLOOKUP('Tahun Lalu'!$D$3,RKO!$A$1:$P$171,MATCH(B20,RKO!$A$1:$A$171,0),0)*1000,0),0)</f>
        <v>0</v>
      </c>
      <c r="I20" s="183">
        <f>IFERROR(round(HLOOKUP('Tahun Lalu'!$D$3,RKAP!$A$1:$P$171,MATCH(B20,RKAP!$A$1:$A$171,0),0)*1000,0),0)</f>
        <v>0</v>
      </c>
      <c r="J20" s="183">
        <f t="shared" si="3"/>
        <v>0</v>
      </c>
      <c r="K20" s="183">
        <f t="shared" si="4"/>
        <v>0</v>
      </c>
      <c r="L20" s="183">
        <f t="shared" si="5"/>
        <v>0</v>
      </c>
      <c r="M20" s="183">
        <f t="shared" si="6"/>
        <v>0</v>
      </c>
      <c r="N20" s="183">
        <f t="shared" si="20"/>
        <v>0</v>
      </c>
      <c r="O20" s="183">
        <f t="shared" ref="O20:Q20" si="25">G20+W20</f>
        <v>0</v>
      </c>
      <c r="P20" s="183">
        <f t="shared" si="25"/>
        <v>0</v>
      </c>
      <c r="Q20" s="183">
        <f t="shared" si="25"/>
        <v>0</v>
      </c>
      <c r="R20" s="183">
        <f t="shared" si="9"/>
        <v>0</v>
      </c>
      <c r="S20" s="183">
        <f t="shared" si="10"/>
        <v>0</v>
      </c>
      <c r="T20" s="183">
        <f t="shared" si="11"/>
        <v>0</v>
      </c>
      <c r="U20" s="186"/>
      <c r="V20" s="183">
        <f>IFERROR(__xludf.DUMMYFUNCTION("""COMPUTED_VALUE"""),0.0)</f>
        <v>0</v>
      </c>
      <c r="W20" s="183">
        <f>IFERROR(__xludf.DUMMYFUNCTION("""COMPUTED_VALUE"""),0.0)</f>
        <v>0</v>
      </c>
      <c r="X20" s="183">
        <f>IFERROR(__xludf.DUMMYFUNCTION("""COMPUTED_VALUE"""),0.0)</f>
        <v>0</v>
      </c>
      <c r="Y20" s="183">
        <f>IFERROR(__xludf.DUMMYFUNCTION("""COMPUTED_VALUE"""),0.0)</f>
        <v>0</v>
      </c>
      <c r="Z20" s="183">
        <f t="shared" si="12"/>
        <v>0</v>
      </c>
      <c r="AA20" s="183">
        <f t="shared" si="13"/>
        <v>0</v>
      </c>
      <c r="AB20" s="183">
        <f t="shared" si="14"/>
        <v>0</v>
      </c>
    </row>
    <row r="21" ht="14.25" customHeight="1">
      <c r="A21" s="175"/>
      <c r="B21" s="196" t="s">
        <v>756</v>
      </c>
      <c r="C21" s="181"/>
      <c r="D21" s="197" t="s">
        <v>757</v>
      </c>
      <c r="E21" s="183">
        <f>SUMIFS('DB WBS'!$J:$J,'DB WBS'!$A:$A,$D$4,'DB WBS'!$D:$D,AA$1,'DB WBS'!$B:$B,$E$3,'DB WBS'!$E:$E,$B21)</f>
        <v>0</v>
      </c>
      <c r="F21" s="183">
        <f>SUMIFS('DB WBS'!$J:$J,'DB WBS'!$A:$A,$D$4,'DB WBS'!$D:$D,AA$2,'DB WBS'!$B:$B,$E$3,'DB WBS'!$E:$E,$B21)</f>
        <v>0</v>
      </c>
      <c r="G21" s="184">
        <f>IFERROR(HLOOKUP($E$3,'Tahun Lalu'!$B$5:$V$158,MATCH(B21,'Tahun Lalu'!$B$5:$B$158,0),0),0)</f>
        <v>0</v>
      </c>
      <c r="H21" s="183">
        <f>IFERROR(round(HLOOKUP('Tahun Lalu'!$D$3,RKO!$A$1:$P$171,MATCH(B21,RKO!$A$1:$A$171,0),0)*1000,0),0)</f>
        <v>0</v>
      </c>
      <c r="I21" s="183">
        <f>IFERROR(round(HLOOKUP('Tahun Lalu'!$D$3,RKAP!$A$1:$P$171,MATCH(B21,RKAP!$A$1:$A$171,0),0)*1000,0),0)</f>
        <v>0</v>
      </c>
      <c r="J21" s="183">
        <f t="shared" si="3"/>
        <v>0</v>
      </c>
      <c r="K21" s="183">
        <f t="shared" si="4"/>
        <v>0</v>
      </c>
      <c r="L21" s="183">
        <f t="shared" si="5"/>
        <v>0</v>
      </c>
      <c r="M21" s="183">
        <f t="shared" si="6"/>
        <v>0</v>
      </c>
      <c r="N21" s="183">
        <f t="shared" si="20"/>
        <v>0</v>
      </c>
      <c r="O21" s="183">
        <f t="shared" ref="O21:Q21" si="26">G21+W21</f>
        <v>0</v>
      </c>
      <c r="P21" s="183">
        <f t="shared" si="26"/>
        <v>0</v>
      </c>
      <c r="Q21" s="183">
        <f t="shared" si="26"/>
        <v>0</v>
      </c>
      <c r="R21" s="183">
        <f t="shared" si="9"/>
        <v>0</v>
      </c>
      <c r="S21" s="183">
        <f t="shared" si="10"/>
        <v>0</v>
      </c>
      <c r="T21" s="183">
        <f t="shared" si="11"/>
        <v>0</v>
      </c>
      <c r="U21" s="186"/>
      <c r="V21" s="183">
        <f>IFERROR(__xludf.DUMMYFUNCTION("""COMPUTED_VALUE"""),0.0)</f>
        <v>0</v>
      </c>
      <c r="W21" s="183">
        <f>IFERROR(__xludf.DUMMYFUNCTION("""COMPUTED_VALUE"""),0.0)</f>
        <v>0</v>
      </c>
      <c r="X21" s="183">
        <f>IFERROR(__xludf.DUMMYFUNCTION("""COMPUTED_VALUE"""),0.0)</f>
        <v>0</v>
      </c>
      <c r="Y21" s="183">
        <f>IFERROR(__xludf.DUMMYFUNCTION("""COMPUTED_VALUE"""),0.0)</f>
        <v>0</v>
      </c>
      <c r="Z21" s="183">
        <f t="shared" si="12"/>
        <v>0</v>
      </c>
      <c r="AA21" s="183">
        <f t="shared" si="13"/>
        <v>0</v>
      </c>
      <c r="AB21" s="183">
        <f t="shared" si="14"/>
        <v>0</v>
      </c>
    </row>
    <row r="22" ht="14.25" customHeight="1">
      <c r="A22" s="175"/>
      <c r="B22" s="196" t="s">
        <v>758</v>
      </c>
      <c r="C22" s="181"/>
      <c r="D22" s="197" t="s">
        <v>759</v>
      </c>
      <c r="E22" s="183">
        <f>SUMIFS('DB WBS'!$J:$J,'DB WBS'!$A:$A,$D$4,'DB WBS'!$D:$D,AA$1,'DB WBS'!$B:$B,$E$3,'DB WBS'!$E:$E,$B22)</f>
        <v>0</v>
      </c>
      <c r="F22" s="183">
        <f>SUMIFS('DB WBS'!$J:$J,'DB WBS'!$A:$A,$D$4,'DB WBS'!$D:$D,AA$2,'DB WBS'!$B:$B,$E$3,'DB WBS'!$E:$E,$B22)</f>
        <v>0</v>
      </c>
      <c r="G22" s="184">
        <f>IFERROR(HLOOKUP($E$3,'Tahun Lalu'!$B$5:$V$158,MATCH(B22,'Tahun Lalu'!$B$5:$B$158,0),0),0)</f>
        <v>0</v>
      </c>
      <c r="H22" s="183">
        <f>IFERROR(round(HLOOKUP('Tahun Lalu'!$D$3,RKO!$A$1:$P$171,MATCH(B22,RKO!$A$1:$A$171,0),0)*1000,0),0)</f>
        <v>0</v>
      </c>
      <c r="I22" s="183">
        <f>IFERROR(round(HLOOKUP('Tahun Lalu'!$D$3,RKAP!$A$1:$P$171,MATCH(B22,RKAP!$A$1:$A$171,0),0)*1000,0),0)</f>
        <v>0</v>
      </c>
      <c r="J22" s="183">
        <f t="shared" si="3"/>
        <v>0</v>
      </c>
      <c r="K22" s="183">
        <f t="shared" si="4"/>
        <v>0</v>
      </c>
      <c r="L22" s="183">
        <f t="shared" si="5"/>
        <v>0</v>
      </c>
      <c r="M22" s="183">
        <f t="shared" si="6"/>
        <v>0</v>
      </c>
      <c r="N22" s="183">
        <f t="shared" si="20"/>
        <v>0</v>
      </c>
      <c r="O22" s="183">
        <f t="shared" ref="O22:Q22" si="27">G22+W22</f>
        <v>0</v>
      </c>
      <c r="P22" s="183">
        <f t="shared" si="27"/>
        <v>0</v>
      </c>
      <c r="Q22" s="183">
        <f t="shared" si="27"/>
        <v>0</v>
      </c>
      <c r="R22" s="183">
        <f t="shared" si="9"/>
        <v>0</v>
      </c>
      <c r="S22" s="183">
        <f t="shared" si="10"/>
        <v>0</v>
      </c>
      <c r="T22" s="183">
        <f t="shared" si="11"/>
        <v>0</v>
      </c>
      <c r="U22" s="186"/>
      <c r="V22" s="183">
        <f>IFERROR(__xludf.DUMMYFUNCTION("""COMPUTED_VALUE"""),0.0)</f>
        <v>0</v>
      </c>
      <c r="W22" s="183">
        <f>IFERROR(__xludf.DUMMYFUNCTION("""COMPUTED_VALUE"""),0.0)</f>
        <v>0</v>
      </c>
      <c r="X22" s="183">
        <f>IFERROR(__xludf.DUMMYFUNCTION("""COMPUTED_VALUE"""),0.0)</f>
        <v>0</v>
      </c>
      <c r="Y22" s="183">
        <f>IFERROR(__xludf.DUMMYFUNCTION("""COMPUTED_VALUE"""),0.0)</f>
        <v>0</v>
      </c>
      <c r="Z22" s="183">
        <f t="shared" si="12"/>
        <v>0</v>
      </c>
      <c r="AA22" s="183">
        <f t="shared" si="13"/>
        <v>0</v>
      </c>
      <c r="AB22" s="183">
        <f t="shared" si="14"/>
        <v>0</v>
      </c>
    </row>
    <row r="23" ht="14.25" customHeight="1">
      <c r="A23" s="175"/>
      <c r="B23" s="196" t="s">
        <v>760</v>
      </c>
      <c r="C23" s="181"/>
      <c r="D23" s="197" t="s">
        <v>761</v>
      </c>
      <c r="E23" s="183">
        <f>SUMIFS('DB WBS'!$J:$J,'DB WBS'!$A:$A,$D$4,'DB WBS'!$D:$D,AA$1,'DB WBS'!$B:$B,$E$3,'DB WBS'!$E:$E,$B23)</f>
        <v>0</v>
      </c>
      <c r="F23" s="183">
        <f>SUMIFS('DB WBS'!$J:$J,'DB WBS'!$A:$A,$D$4,'DB WBS'!$D:$D,AA$2,'DB WBS'!$B:$B,$E$3,'DB WBS'!$E:$E,$B23)</f>
        <v>0</v>
      </c>
      <c r="G23" s="184">
        <f>IFERROR(HLOOKUP($E$3,'Tahun Lalu'!$B$5:$V$158,MATCH(B23,'Tahun Lalu'!$B$5:$B$158,0),0),0)</f>
        <v>0</v>
      </c>
      <c r="H23" s="183">
        <f>IFERROR(round(HLOOKUP('Tahun Lalu'!$D$3,RKO!$A$1:$P$171,MATCH(B23,RKO!$A$1:$A$171,0),0)*1000,0),0)</f>
        <v>0</v>
      </c>
      <c r="I23" s="183">
        <f>IFERROR(round(HLOOKUP('Tahun Lalu'!$D$3,RKAP!$A$1:$P$171,MATCH(B23,RKAP!$A$1:$A$171,0),0)*1000,0),0)</f>
        <v>0</v>
      </c>
      <c r="J23" s="183">
        <f t="shared" si="3"/>
        <v>0</v>
      </c>
      <c r="K23" s="183">
        <f t="shared" si="4"/>
        <v>0</v>
      </c>
      <c r="L23" s="183">
        <f t="shared" si="5"/>
        <v>0</v>
      </c>
      <c r="M23" s="183">
        <f t="shared" si="6"/>
        <v>0</v>
      </c>
      <c r="N23" s="183">
        <f t="shared" si="20"/>
        <v>0</v>
      </c>
      <c r="O23" s="183">
        <f t="shared" ref="O23:Q23" si="28">G23+W23</f>
        <v>0</v>
      </c>
      <c r="P23" s="183">
        <f t="shared" si="28"/>
        <v>0</v>
      </c>
      <c r="Q23" s="183">
        <f t="shared" si="28"/>
        <v>0</v>
      </c>
      <c r="R23" s="183">
        <f t="shared" si="9"/>
        <v>0</v>
      </c>
      <c r="S23" s="183">
        <f t="shared" si="10"/>
        <v>0</v>
      </c>
      <c r="T23" s="183">
        <f t="shared" si="11"/>
        <v>0</v>
      </c>
      <c r="U23" s="186"/>
      <c r="V23" s="183">
        <f>IFERROR(__xludf.DUMMYFUNCTION("""COMPUTED_VALUE"""),0.0)</f>
        <v>0</v>
      </c>
      <c r="W23" s="183">
        <f>IFERROR(__xludf.DUMMYFUNCTION("""COMPUTED_VALUE"""),0.0)</f>
        <v>0</v>
      </c>
      <c r="X23" s="183">
        <f>IFERROR(__xludf.DUMMYFUNCTION("""COMPUTED_VALUE"""),0.0)</f>
        <v>0</v>
      </c>
      <c r="Y23" s="183">
        <f>IFERROR(__xludf.DUMMYFUNCTION("""COMPUTED_VALUE"""),0.0)</f>
        <v>0</v>
      </c>
      <c r="Z23" s="183">
        <f t="shared" si="12"/>
        <v>0</v>
      </c>
      <c r="AA23" s="183">
        <f t="shared" si="13"/>
        <v>0</v>
      </c>
      <c r="AB23" s="183">
        <f t="shared" si="14"/>
        <v>0</v>
      </c>
    </row>
    <row r="24" ht="14.25" customHeight="1">
      <c r="A24" s="175"/>
      <c r="B24" s="196" t="s">
        <v>762</v>
      </c>
      <c r="C24" s="181"/>
      <c r="D24" s="197" t="s">
        <v>763</v>
      </c>
      <c r="E24" s="183">
        <f>SUMIFS('DB WBS'!$J:$J,'DB WBS'!$A:$A,$D$4,'DB WBS'!$D:$D,AA$1,'DB WBS'!$B:$B,$E$3,'DB WBS'!$E:$E,$B24)</f>
        <v>0</v>
      </c>
      <c r="F24" s="183">
        <f>SUMIFS('DB WBS'!$J:$J,'DB WBS'!$A:$A,$D$4,'DB WBS'!$D:$D,AA$2,'DB WBS'!$B:$B,$E$3,'DB WBS'!$E:$E,$B24)</f>
        <v>0</v>
      </c>
      <c r="G24" s="184">
        <f>IFERROR(HLOOKUP($E$3,'Tahun Lalu'!$B$5:$V$158,MATCH(B24,'Tahun Lalu'!$B$5:$B$158,0),0),0)</f>
        <v>0</v>
      </c>
      <c r="H24" s="183">
        <f>IFERROR(round(HLOOKUP('Tahun Lalu'!$D$3,RKO!$A$1:$P$171,MATCH(B24,RKO!$A$1:$A$171,0),0)*1000,0),0)</f>
        <v>0</v>
      </c>
      <c r="I24" s="183">
        <f>IFERROR(round(HLOOKUP('Tahun Lalu'!$D$3,RKAP!$A$1:$P$171,MATCH(B24,RKAP!$A$1:$A$171,0),0)*1000,0),0)</f>
        <v>0</v>
      </c>
      <c r="J24" s="183">
        <f t="shared" si="3"/>
        <v>0</v>
      </c>
      <c r="K24" s="183">
        <f t="shared" si="4"/>
        <v>0</v>
      </c>
      <c r="L24" s="183">
        <f t="shared" si="5"/>
        <v>0</v>
      </c>
      <c r="M24" s="183">
        <f t="shared" si="6"/>
        <v>0</v>
      </c>
      <c r="N24" s="183">
        <f t="shared" si="20"/>
        <v>0</v>
      </c>
      <c r="O24" s="183">
        <f t="shared" ref="O24:Q24" si="29">G24+W24</f>
        <v>0</v>
      </c>
      <c r="P24" s="183">
        <f t="shared" si="29"/>
        <v>0</v>
      </c>
      <c r="Q24" s="183">
        <f t="shared" si="29"/>
        <v>0</v>
      </c>
      <c r="R24" s="183">
        <f t="shared" si="9"/>
        <v>0</v>
      </c>
      <c r="S24" s="183">
        <f t="shared" si="10"/>
        <v>0</v>
      </c>
      <c r="T24" s="183">
        <f t="shared" si="11"/>
        <v>0</v>
      </c>
      <c r="U24" s="186"/>
      <c r="V24" s="183">
        <f>IFERROR(__xludf.DUMMYFUNCTION("""COMPUTED_VALUE"""),0.0)</f>
        <v>0</v>
      </c>
      <c r="W24" s="183">
        <f>IFERROR(__xludf.DUMMYFUNCTION("""COMPUTED_VALUE"""),0.0)</f>
        <v>0</v>
      </c>
      <c r="X24" s="183">
        <f>IFERROR(__xludf.DUMMYFUNCTION("""COMPUTED_VALUE"""),0.0)</f>
        <v>0</v>
      </c>
      <c r="Y24" s="183">
        <f>IFERROR(__xludf.DUMMYFUNCTION("""COMPUTED_VALUE"""),0.0)</f>
        <v>0</v>
      </c>
      <c r="Z24" s="183">
        <f t="shared" si="12"/>
        <v>0</v>
      </c>
      <c r="AA24" s="183">
        <f t="shared" si="13"/>
        <v>0</v>
      </c>
      <c r="AB24" s="183">
        <f t="shared" si="14"/>
        <v>0</v>
      </c>
    </row>
    <row r="25" ht="14.25" customHeight="1">
      <c r="A25" s="175"/>
      <c r="B25" s="196" t="s">
        <v>764</v>
      </c>
      <c r="C25" s="181"/>
      <c r="D25" s="197" t="s">
        <v>765</v>
      </c>
      <c r="E25" s="183">
        <f>SUMIFS('DB WBS'!$J:$J,'DB WBS'!$A:$A,$D$4,'DB WBS'!$D:$D,AA$1,'DB WBS'!$B:$B,$E$3,'DB WBS'!$E:$E,$B25)</f>
        <v>0</v>
      </c>
      <c r="F25" s="183">
        <f>SUMIFS('DB WBS'!$J:$J,'DB WBS'!$A:$A,$D$4,'DB WBS'!$D:$D,AA$2,'DB WBS'!$B:$B,$E$3,'DB WBS'!$E:$E,$B25)</f>
        <v>0</v>
      </c>
      <c r="G25" s="184">
        <f>IFERROR(HLOOKUP($E$3,'Tahun Lalu'!$B$5:$V$158,MATCH(B25,'Tahun Lalu'!$B$5:$B$158,0),0),0)</f>
        <v>0</v>
      </c>
      <c r="H25" s="183">
        <f>IFERROR(round(HLOOKUP('Tahun Lalu'!$D$3,RKO!$A$1:$P$171,MATCH(B25,RKO!$A$1:$A$171,0),0)*1000,0),0)</f>
        <v>0</v>
      </c>
      <c r="I25" s="183">
        <f>IFERROR(round(HLOOKUP('Tahun Lalu'!$D$3,RKAP!$A$1:$P$171,MATCH(B25,RKAP!$A$1:$A$171,0),0)*1000,0),0)</f>
        <v>0</v>
      </c>
      <c r="J25" s="183">
        <f t="shared" si="3"/>
        <v>0</v>
      </c>
      <c r="K25" s="183">
        <f t="shared" si="4"/>
        <v>0</v>
      </c>
      <c r="L25" s="183">
        <f t="shared" si="5"/>
        <v>0</v>
      </c>
      <c r="M25" s="183">
        <f t="shared" si="6"/>
        <v>0</v>
      </c>
      <c r="N25" s="183">
        <f t="shared" si="20"/>
        <v>0</v>
      </c>
      <c r="O25" s="183">
        <f t="shared" ref="O25:Q25" si="30">G25+W25</f>
        <v>0</v>
      </c>
      <c r="P25" s="183">
        <f t="shared" si="30"/>
        <v>0</v>
      </c>
      <c r="Q25" s="183">
        <f t="shared" si="30"/>
        <v>0</v>
      </c>
      <c r="R25" s="183">
        <f t="shared" si="9"/>
        <v>0</v>
      </c>
      <c r="S25" s="183">
        <f t="shared" si="10"/>
        <v>0</v>
      </c>
      <c r="T25" s="183">
        <f t="shared" si="11"/>
        <v>0</v>
      </c>
      <c r="U25" s="186"/>
      <c r="V25" s="183">
        <f>IFERROR(__xludf.DUMMYFUNCTION("""COMPUTED_VALUE"""),0.0)</f>
        <v>0</v>
      </c>
      <c r="W25" s="183">
        <f>IFERROR(__xludf.DUMMYFUNCTION("""COMPUTED_VALUE"""),0.0)</f>
        <v>0</v>
      </c>
      <c r="X25" s="183">
        <f>IFERROR(__xludf.DUMMYFUNCTION("""COMPUTED_VALUE"""),0.0)</f>
        <v>0</v>
      </c>
      <c r="Y25" s="183">
        <f>IFERROR(__xludf.DUMMYFUNCTION("""COMPUTED_VALUE"""),0.0)</f>
        <v>0</v>
      </c>
      <c r="Z25" s="183">
        <f t="shared" si="12"/>
        <v>0</v>
      </c>
      <c r="AA25" s="183">
        <f t="shared" si="13"/>
        <v>0</v>
      </c>
      <c r="AB25" s="183">
        <f t="shared" si="14"/>
        <v>0</v>
      </c>
    </row>
    <row r="26" ht="14.25" customHeight="1">
      <c r="A26" s="175"/>
      <c r="B26" s="196" t="s">
        <v>766</v>
      </c>
      <c r="C26" s="181"/>
      <c r="D26" s="197" t="s">
        <v>767</v>
      </c>
      <c r="E26" s="183">
        <f>SUMIFS('DB WBS'!$J:$J,'DB WBS'!$A:$A,$D$4,'DB WBS'!$D:$D,AA$1,'DB WBS'!$B:$B,$E$3,'DB WBS'!$E:$E,$B26)</f>
        <v>0</v>
      </c>
      <c r="F26" s="183">
        <f>SUMIFS('DB WBS'!$J:$J,'DB WBS'!$A:$A,$D$4,'DB WBS'!$D:$D,AA$2,'DB WBS'!$B:$B,$E$3,'DB WBS'!$E:$E,$B26)</f>
        <v>0</v>
      </c>
      <c r="G26" s="184">
        <f>IFERROR(HLOOKUP($E$3,'Tahun Lalu'!$B$5:$V$158,MATCH(B26,'Tahun Lalu'!$B$5:$B$158,0),0),0)</f>
        <v>0</v>
      </c>
      <c r="H26" s="183">
        <f>IFERROR(round(HLOOKUP('Tahun Lalu'!$D$3,RKO!$A$1:$P$171,MATCH(B26,RKO!$A$1:$A$171,0),0)*1000,0),0)</f>
        <v>0</v>
      </c>
      <c r="I26" s="183">
        <f>IFERROR(round(HLOOKUP('Tahun Lalu'!$D$3,RKAP!$A$1:$P$171,MATCH(B26,RKAP!$A$1:$A$171,0),0)*1000,0),0)</f>
        <v>0</v>
      </c>
      <c r="J26" s="183">
        <f t="shared" si="3"/>
        <v>0</v>
      </c>
      <c r="K26" s="183">
        <f t="shared" si="4"/>
        <v>0</v>
      </c>
      <c r="L26" s="183">
        <f t="shared" si="5"/>
        <v>0</v>
      </c>
      <c r="M26" s="183">
        <f t="shared" si="6"/>
        <v>0</v>
      </c>
      <c r="N26" s="183">
        <f t="shared" si="20"/>
        <v>0</v>
      </c>
      <c r="O26" s="183">
        <f t="shared" ref="O26:Q26" si="31">G26+W26</f>
        <v>0</v>
      </c>
      <c r="P26" s="183">
        <f t="shared" si="31"/>
        <v>0</v>
      </c>
      <c r="Q26" s="183">
        <f t="shared" si="31"/>
        <v>0</v>
      </c>
      <c r="R26" s="183">
        <f t="shared" si="9"/>
        <v>0</v>
      </c>
      <c r="S26" s="183">
        <f t="shared" si="10"/>
        <v>0</v>
      </c>
      <c r="T26" s="183">
        <f t="shared" si="11"/>
        <v>0</v>
      </c>
      <c r="U26" s="186"/>
      <c r="V26" s="183">
        <f>IFERROR(__xludf.DUMMYFUNCTION("""COMPUTED_VALUE"""),0.0)</f>
        <v>0</v>
      </c>
      <c r="W26" s="183">
        <f>IFERROR(__xludf.DUMMYFUNCTION("""COMPUTED_VALUE"""),0.0)</f>
        <v>0</v>
      </c>
      <c r="X26" s="183">
        <f>IFERROR(__xludf.DUMMYFUNCTION("""COMPUTED_VALUE"""),0.0)</f>
        <v>0</v>
      </c>
      <c r="Y26" s="183">
        <f>IFERROR(__xludf.DUMMYFUNCTION("""COMPUTED_VALUE"""),0.0)</f>
        <v>0</v>
      </c>
      <c r="Z26" s="183">
        <f t="shared" si="12"/>
        <v>0</v>
      </c>
      <c r="AA26" s="183">
        <f t="shared" si="13"/>
        <v>0</v>
      </c>
      <c r="AB26" s="183">
        <f t="shared" si="14"/>
        <v>0</v>
      </c>
    </row>
    <row r="27" ht="14.25" customHeight="1">
      <c r="A27" s="175"/>
      <c r="B27" s="196" t="s">
        <v>768</v>
      </c>
      <c r="C27" s="181"/>
      <c r="D27" s="197" t="s">
        <v>769</v>
      </c>
      <c r="E27" s="183">
        <f>SUMIFS('DB WBS'!$J:$J,'DB WBS'!$A:$A,$D$4,'DB WBS'!$D:$D,AA$1,'DB WBS'!$B:$B,$E$3,'DB WBS'!$E:$E,$B27)</f>
        <v>0</v>
      </c>
      <c r="F27" s="183">
        <f>SUMIFS('DB WBS'!$J:$J,'DB WBS'!$A:$A,$D$4,'DB WBS'!$D:$D,AA$2,'DB WBS'!$B:$B,$E$3,'DB WBS'!$E:$E,$B27)</f>
        <v>0</v>
      </c>
      <c r="G27" s="184">
        <f>IFERROR(HLOOKUP($E$3,'Tahun Lalu'!$B$5:$V$158,MATCH(B27,'Tahun Lalu'!$B$5:$B$158,0),0),0)</f>
        <v>0</v>
      </c>
      <c r="H27" s="183">
        <f>IFERROR(round(HLOOKUP('Tahun Lalu'!$D$3,RKO!$A$1:$P$171,MATCH(B27,RKO!$A$1:$A$171,0),0)*1000,0),0)</f>
        <v>0</v>
      </c>
      <c r="I27" s="183">
        <f>IFERROR(round(HLOOKUP('Tahun Lalu'!$D$3,RKAP!$A$1:$P$171,MATCH(B27,RKAP!$A$1:$A$171,0),0)*1000,0),0)</f>
        <v>0</v>
      </c>
      <c r="J27" s="183">
        <f t="shared" si="3"/>
        <v>0</v>
      </c>
      <c r="K27" s="183">
        <f t="shared" si="4"/>
        <v>0</v>
      </c>
      <c r="L27" s="183">
        <f t="shared" si="5"/>
        <v>0</v>
      </c>
      <c r="M27" s="183">
        <f t="shared" si="6"/>
        <v>0</v>
      </c>
      <c r="N27" s="183">
        <f t="shared" si="20"/>
        <v>0</v>
      </c>
      <c r="O27" s="183">
        <f t="shared" ref="O27:Q27" si="32">G27+W27</f>
        <v>0</v>
      </c>
      <c r="P27" s="183">
        <f t="shared" si="32"/>
        <v>0</v>
      </c>
      <c r="Q27" s="183">
        <f t="shared" si="32"/>
        <v>0</v>
      </c>
      <c r="R27" s="183">
        <f t="shared" si="9"/>
        <v>0</v>
      </c>
      <c r="S27" s="183">
        <f t="shared" si="10"/>
        <v>0</v>
      </c>
      <c r="T27" s="183">
        <f t="shared" si="11"/>
        <v>0</v>
      </c>
      <c r="U27" s="186"/>
      <c r="V27" s="183">
        <f>IFERROR(__xludf.DUMMYFUNCTION("""COMPUTED_VALUE"""),0.0)</f>
        <v>0</v>
      </c>
      <c r="W27" s="183">
        <f>IFERROR(__xludf.DUMMYFUNCTION("""COMPUTED_VALUE"""),0.0)</f>
        <v>0</v>
      </c>
      <c r="X27" s="183">
        <f>IFERROR(__xludf.DUMMYFUNCTION("""COMPUTED_VALUE"""),0.0)</f>
        <v>0</v>
      </c>
      <c r="Y27" s="183">
        <f>IFERROR(__xludf.DUMMYFUNCTION("""COMPUTED_VALUE"""),0.0)</f>
        <v>0</v>
      </c>
      <c r="Z27" s="183">
        <f t="shared" si="12"/>
        <v>0</v>
      </c>
      <c r="AA27" s="183">
        <f t="shared" si="13"/>
        <v>0</v>
      </c>
      <c r="AB27" s="183">
        <f t="shared" si="14"/>
        <v>0</v>
      </c>
    </row>
    <row r="28" ht="14.25" customHeight="1">
      <c r="A28" s="175"/>
      <c r="B28" s="196" t="s">
        <v>770</v>
      </c>
      <c r="C28" s="181"/>
      <c r="D28" s="197" t="s">
        <v>771</v>
      </c>
      <c r="E28" s="183">
        <f>SUMIFS('DB WBS'!$J:$J,'DB WBS'!$A:$A,$D$4,'DB WBS'!$D:$D,AA$1,'DB WBS'!$B:$B,$E$3,'DB WBS'!$E:$E,$B28)</f>
        <v>0</v>
      </c>
      <c r="F28" s="183">
        <f>SUMIFS('DB WBS'!$J:$J,'DB WBS'!$A:$A,$D$4,'DB WBS'!$D:$D,AA$2,'DB WBS'!$B:$B,$E$3,'DB WBS'!$E:$E,$B28)</f>
        <v>0</v>
      </c>
      <c r="G28" s="184">
        <f>IFERROR(HLOOKUP($E$3,'Tahun Lalu'!$B$5:$V$158,MATCH(B28,'Tahun Lalu'!$B$5:$B$158,0),0),0)</f>
        <v>0</v>
      </c>
      <c r="H28" s="183">
        <f>IFERROR(round(HLOOKUP('Tahun Lalu'!$D$3,RKO!$A$1:$P$171,MATCH(B28,RKO!$A$1:$A$171,0),0)*1000,0),0)</f>
        <v>0</v>
      </c>
      <c r="I28" s="183">
        <f>IFERROR(round(HLOOKUP('Tahun Lalu'!$D$3,RKAP!$A$1:$P$171,MATCH(B28,RKAP!$A$1:$A$171,0),0)*1000,0),0)</f>
        <v>0</v>
      </c>
      <c r="J28" s="183">
        <f t="shared" si="3"/>
        <v>0</v>
      </c>
      <c r="K28" s="183">
        <f t="shared" si="4"/>
        <v>0</v>
      </c>
      <c r="L28" s="183">
        <f t="shared" si="5"/>
        <v>0</v>
      </c>
      <c r="M28" s="183">
        <f t="shared" si="6"/>
        <v>0</v>
      </c>
      <c r="N28" s="183">
        <f t="shared" si="20"/>
        <v>0</v>
      </c>
      <c r="O28" s="183">
        <f t="shared" ref="O28:Q28" si="33">G28+W28</f>
        <v>0</v>
      </c>
      <c r="P28" s="183">
        <f t="shared" si="33"/>
        <v>0</v>
      </c>
      <c r="Q28" s="183">
        <f t="shared" si="33"/>
        <v>0</v>
      </c>
      <c r="R28" s="183">
        <f t="shared" si="9"/>
        <v>0</v>
      </c>
      <c r="S28" s="183">
        <f t="shared" si="10"/>
        <v>0</v>
      </c>
      <c r="T28" s="183">
        <f t="shared" si="11"/>
        <v>0</v>
      </c>
      <c r="U28" s="186"/>
      <c r="V28" s="183">
        <f>IFERROR(__xludf.DUMMYFUNCTION("""COMPUTED_VALUE"""),0.0)</f>
        <v>0</v>
      </c>
      <c r="W28" s="183">
        <f>IFERROR(__xludf.DUMMYFUNCTION("""COMPUTED_VALUE"""),0.0)</f>
        <v>0</v>
      </c>
      <c r="X28" s="183">
        <f>IFERROR(__xludf.DUMMYFUNCTION("""COMPUTED_VALUE"""),0.0)</f>
        <v>0</v>
      </c>
      <c r="Y28" s="183">
        <f>IFERROR(__xludf.DUMMYFUNCTION("""COMPUTED_VALUE"""),0.0)</f>
        <v>0</v>
      </c>
      <c r="Z28" s="183">
        <f t="shared" si="12"/>
        <v>0</v>
      </c>
      <c r="AA28" s="183">
        <f t="shared" si="13"/>
        <v>0</v>
      </c>
      <c r="AB28" s="183">
        <f t="shared" si="14"/>
        <v>0</v>
      </c>
    </row>
    <row r="29" ht="14.25" customHeight="1">
      <c r="A29" s="175"/>
      <c r="B29" s="196" t="s">
        <v>54</v>
      </c>
      <c r="C29" s="181"/>
      <c r="D29" s="197" t="s">
        <v>139</v>
      </c>
      <c r="E29" s="183">
        <f>SUMIFS('DB WBS'!$J:$J,'DB WBS'!$A:$A,$D$4,'DB WBS'!$D:$D,AA$1,'DB WBS'!$B:$B,$E$3,'DB WBS'!$E:$E,$B29)</f>
        <v>31997642</v>
      </c>
      <c r="F29" s="183">
        <f>SUMIFS('DB WBS'!$J:$J,'DB WBS'!$A:$A,$D$4,'DB WBS'!$D:$D,AA$2,'DB WBS'!$B:$B,$E$3,'DB WBS'!$E:$E,$B29)</f>
        <v>26271300</v>
      </c>
      <c r="G29" s="184">
        <f>IFERROR(HLOOKUP($E$3,'Tahun Lalu'!$B$5:$V$158,MATCH(B29,'Tahun Lalu'!$B$5:$B$158,0),0),0)</f>
        <v>23271917</v>
      </c>
      <c r="H29" s="183">
        <f>IFERROR(round(HLOOKUP('Tahun Lalu'!$D$3,RKO!$A$1:$P$171,MATCH(B29,RKO!$A$1:$A$171,0),0)*1000,0),0)</f>
        <v>0</v>
      </c>
      <c r="I29" s="183">
        <f>IFERROR(round(HLOOKUP('Tahun Lalu'!$D$3,RKAP!$A$1:$P$171,MATCH(B29,RKAP!$A$1:$A$171,0),0)*1000,0),0)</f>
        <v>0</v>
      </c>
      <c r="J29" s="183">
        <f t="shared" si="3"/>
        <v>121.7969495</v>
      </c>
      <c r="K29" s="183">
        <f t="shared" si="4"/>
        <v>137.494655</v>
      </c>
      <c r="L29" s="183">
        <f t="shared" si="5"/>
        <v>0</v>
      </c>
      <c r="M29" s="183">
        <f t="shared" si="6"/>
        <v>0</v>
      </c>
      <c r="N29" s="183">
        <f t="shared" si="20"/>
        <v>140515182</v>
      </c>
      <c r="O29" s="183">
        <f t="shared" ref="O29:Q29" si="34">G29+W29</f>
        <v>134115966</v>
      </c>
      <c r="P29" s="183">
        <f t="shared" si="34"/>
        <v>0</v>
      </c>
      <c r="Q29" s="183">
        <f t="shared" si="34"/>
        <v>0</v>
      </c>
      <c r="R29" s="183">
        <f t="shared" si="9"/>
        <v>104.7714051</v>
      </c>
      <c r="S29" s="183">
        <f t="shared" si="10"/>
        <v>0</v>
      </c>
      <c r="T29" s="183">
        <f t="shared" si="11"/>
        <v>0</v>
      </c>
      <c r="U29" s="186"/>
      <c r="V29" s="183">
        <f>IFERROR(__xludf.DUMMYFUNCTION("""COMPUTED_VALUE"""),1.0851754E8)</f>
        <v>108517540</v>
      </c>
      <c r="W29" s="183">
        <f>IFERROR(__xludf.DUMMYFUNCTION("""COMPUTED_VALUE"""),1.10844049E8)</f>
        <v>110844049</v>
      </c>
      <c r="X29" s="183">
        <f>IFERROR(__xludf.DUMMYFUNCTION("""COMPUTED_VALUE"""),0.0)</f>
        <v>0</v>
      </c>
      <c r="Y29" s="183">
        <f>IFERROR(__xludf.DUMMYFUNCTION("""COMPUTED_VALUE"""),0.0)</f>
        <v>0</v>
      </c>
      <c r="Z29" s="183">
        <f t="shared" si="12"/>
        <v>97.90109706</v>
      </c>
      <c r="AA29" s="183">
        <f t="shared" si="13"/>
        <v>0</v>
      </c>
      <c r="AB29" s="183">
        <f t="shared" si="14"/>
        <v>0</v>
      </c>
    </row>
    <row r="30" ht="14.25" customHeight="1">
      <c r="A30" s="175"/>
      <c r="B30" s="196"/>
      <c r="C30" s="181"/>
      <c r="D30" s="197"/>
      <c r="E30" s="183">
        <f>SUMIFS('DB WBS'!$J:$J,'DB WBS'!$A:$A,$D$4,'DB WBS'!$D:$D,AA$1,'DB WBS'!$B:$B,$E$3,'DB WBS'!$E:$E,$B30)</f>
        <v>0</v>
      </c>
      <c r="F30" s="183">
        <f>SUMIFS('DB WBS'!$J:$J,'DB WBS'!$A:$A,$D$4,'DB WBS'!$D:$D,AA$2,'DB WBS'!$B:$B,$E$3,'DB WBS'!$E:$E,$B30)</f>
        <v>0</v>
      </c>
      <c r="G30" s="184">
        <f>IFERROR(HLOOKUP($E$3,'Tahun Lalu'!$B$5:$V$158,MATCH(B30,'Tahun Lalu'!$B$5:$B$158,0),0),0)</f>
        <v>0</v>
      </c>
      <c r="H30" s="183">
        <f>IFERROR(round(HLOOKUP('Tahun Lalu'!$D$3,RKO!$A$1:$P$171,MATCH(B30,RKO!$A$1:$A$171,0),0)*1000,0),0)</f>
        <v>0</v>
      </c>
      <c r="I30" s="183">
        <f>IFERROR(round(HLOOKUP('Tahun Lalu'!$D$3,RKAP!$A$1:$P$171,MATCH(B30,RKAP!$A$1:$A$171,0),0)*1000,0),0)</f>
        <v>0</v>
      </c>
      <c r="J30" s="183">
        <f t="shared" si="3"/>
        <v>0</v>
      </c>
      <c r="K30" s="183">
        <f t="shared" si="4"/>
        <v>0</v>
      </c>
      <c r="L30" s="183">
        <f t="shared" si="5"/>
        <v>0</v>
      </c>
      <c r="M30" s="183">
        <f t="shared" si="6"/>
        <v>0</v>
      </c>
      <c r="N30" s="183">
        <f t="shared" si="20"/>
        <v>0</v>
      </c>
      <c r="O30" s="183">
        <f t="shared" ref="O30:Q30" si="35">G30+W30</f>
        <v>0</v>
      </c>
      <c r="P30" s="183">
        <f t="shared" si="35"/>
        <v>0</v>
      </c>
      <c r="Q30" s="183">
        <f t="shared" si="35"/>
        <v>0</v>
      </c>
      <c r="R30" s="183">
        <f t="shared" si="9"/>
        <v>0</v>
      </c>
      <c r="S30" s="183">
        <f t="shared" si="10"/>
        <v>0</v>
      </c>
      <c r="T30" s="183">
        <f t="shared" si="11"/>
        <v>0</v>
      </c>
      <c r="U30" s="186"/>
      <c r="V30" s="183">
        <f>IFERROR(__xludf.DUMMYFUNCTION("""COMPUTED_VALUE"""),0.0)</f>
        <v>0</v>
      </c>
      <c r="W30" s="183">
        <f>IFERROR(__xludf.DUMMYFUNCTION("""COMPUTED_VALUE"""),0.0)</f>
        <v>0</v>
      </c>
      <c r="X30" s="183">
        <f>IFERROR(__xludf.DUMMYFUNCTION("""COMPUTED_VALUE"""),0.0)</f>
        <v>0</v>
      </c>
      <c r="Y30" s="183">
        <f>IFERROR(__xludf.DUMMYFUNCTION("""COMPUTED_VALUE"""),0.0)</f>
        <v>0</v>
      </c>
      <c r="Z30" s="183">
        <f t="shared" si="12"/>
        <v>0</v>
      </c>
      <c r="AA30" s="183">
        <f t="shared" si="13"/>
        <v>0</v>
      </c>
      <c r="AB30" s="183">
        <f t="shared" si="14"/>
        <v>0</v>
      </c>
    </row>
    <row r="31" ht="14.25" customHeight="1">
      <c r="A31" s="175"/>
      <c r="B31" s="198"/>
      <c r="C31" s="181"/>
      <c r="D31" s="197"/>
      <c r="E31" s="183">
        <f>SUMIFS('DB WBS'!$J:$J,'DB WBS'!$A:$A,$D$4,'DB WBS'!$D:$D,AA$1,'DB WBS'!$B:$B,$E$3,'DB WBS'!$E:$E,$B31)</f>
        <v>0</v>
      </c>
      <c r="F31" s="183">
        <f>SUMIFS('DB WBS'!$J:$J,'DB WBS'!$A:$A,$D$4,'DB WBS'!$D:$D,AA$2,'DB WBS'!$B:$B,$E$3,'DB WBS'!$E:$E,$B31)</f>
        <v>0</v>
      </c>
      <c r="G31" s="184">
        <f>IFERROR(HLOOKUP($E$3,'Tahun Lalu'!$B$5:$V$158,MATCH(B31,'Tahun Lalu'!$B$5:$B$158,0),0),0)</f>
        <v>0</v>
      </c>
      <c r="H31" s="183">
        <f>IFERROR(round(HLOOKUP('Tahun Lalu'!$D$3,RKO!$A$1:$P$171,MATCH(B31,RKO!$A$1:$A$171,0),0)*1000,0),0)</f>
        <v>0</v>
      </c>
      <c r="I31" s="183">
        <f>IFERROR(round(HLOOKUP('Tahun Lalu'!$D$3,RKAP!$A$1:$P$171,MATCH(B31,RKAP!$A$1:$A$171,0),0)*1000,0),0)</f>
        <v>0</v>
      </c>
      <c r="J31" s="183">
        <f t="shared" si="3"/>
        <v>0</v>
      </c>
      <c r="K31" s="183">
        <f t="shared" si="4"/>
        <v>0</v>
      </c>
      <c r="L31" s="183">
        <f t="shared" si="5"/>
        <v>0</v>
      </c>
      <c r="M31" s="183">
        <f t="shared" si="6"/>
        <v>0</v>
      </c>
      <c r="N31" s="183">
        <f t="shared" si="20"/>
        <v>0</v>
      </c>
      <c r="O31" s="183">
        <f t="shared" ref="O31:Q31" si="36">G31+W31</f>
        <v>0</v>
      </c>
      <c r="P31" s="183">
        <f t="shared" si="36"/>
        <v>0</v>
      </c>
      <c r="Q31" s="183">
        <f t="shared" si="36"/>
        <v>0</v>
      </c>
      <c r="R31" s="183">
        <f t="shared" si="9"/>
        <v>0</v>
      </c>
      <c r="S31" s="183">
        <f t="shared" si="10"/>
        <v>0</v>
      </c>
      <c r="T31" s="183">
        <f t="shared" si="11"/>
        <v>0</v>
      </c>
      <c r="U31" s="186"/>
      <c r="V31" s="183">
        <f>IFERROR(__xludf.DUMMYFUNCTION("""COMPUTED_VALUE"""),0.0)</f>
        <v>0</v>
      </c>
      <c r="W31" s="183">
        <f>IFERROR(__xludf.DUMMYFUNCTION("""COMPUTED_VALUE"""),0.0)</f>
        <v>0</v>
      </c>
      <c r="X31" s="183">
        <f>IFERROR(__xludf.DUMMYFUNCTION("""COMPUTED_VALUE"""),0.0)</f>
        <v>0</v>
      </c>
      <c r="Y31" s="183">
        <f>IFERROR(__xludf.DUMMYFUNCTION("""COMPUTED_VALUE"""),0.0)</f>
        <v>0</v>
      </c>
      <c r="Z31" s="183">
        <f t="shared" si="12"/>
        <v>0</v>
      </c>
      <c r="AA31" s="183">
        <f t="shared" si="13"/>
        <v>0</v>
      </c>
      <c r="AB31" s="183">
        <f t="shared" si="14"/>
        <v>0</v>
      </c>
    </row>
    <row r="32" ht="14.25" customHeight="1">
      <c r="A32" s="190"/>
      <c r="B32" s="191" t="s">
        <v>772</v>
      </c>
      <c r="C32" s="199"/>
      <c r="D32" s="200"/>
      <c r="E32" s="201">
        <f t="shared" ref="E32:I32" si="37">SUM(E15:E31)</f>
        <v>31997642</v>
      </c>
      <c r="F32" s="201">
        <f t="shared" si="37"/>
        <v>26271300</v>
      </c>
      <c r="G32" s="201">
        <f t="shared" si="37"/>
        <v>23271917</v>
      </c>
      <c r="H32" s="201">
        <f t="shared" si="37"/>
        <v>160172</v>
      </c>
      <c r="I32" s="201">
        <f t="shared" si="37"/>
        <v>160172</v>
      </c>
      <c r="J32" s="201">
        <f t="shared" si="3"/>
        <v>121.7969495</v>
      </c>
      <c r="K32" s="201">
        <f t="shared" si="4"/>
        <v>137.494655</v>
      </c>
      <c r="L32" s="201">
        <f t="shared" si="5"/>
        <v>19977.05092</v>
      </c>
      <c r="M32" s="201">
        <f t="shared" si="6"/>
        <v>19977.05092</v>
      </c>
      <c r="N32" s="201">
        <f t="shared" ref="N32:Q32" si="38">SUM(N15:N31)</f>
        <v>140515182</v>
      </c>
      <c r="O32" s="201">
        <f t="shared" si="38"/>
        <v>139115966</v>
      </c>
      <c r="P32" s="201">
        <f t="shared" si="38"/>
        <v>790849</v>
      </c>
      <c r="Q32" s="201">
        <f t="shared" si="38"/>
        <v>790849</v>
      </c>
      <c r="R32" s="201">
        <f t="shared" si="9"/>
        <v>101.0057911</v>
      </c>
      <c r="S32" s="201">
        <f t="shared" si="10"/>
        <v>17767.63731</v>
      </c>
      <c r="T32" s="201">
        <f t="shared" si="11"/>
        <v>17767.63731</v>
      </c>
      <c r="U32" s="202"/>
      <c r="V32" s="201">
        <f>IFERROR(__xludf.DUMMYFUNCTION("""COMPUTED_VALUE"""),1.0851754E8)</f>
        <v>108517540</v>
      </c>
      <c r="W32" s="201">
        <f>IFERROR(__xludf.DUMMYFUNCTION("""COMPUTED_VALUE"""),1.15844049E8)</f>
        <v>115844049</v>
      </c>
      <c r="X32" s="201">
        <f>IFERROR(__xludf.DUMMYFUNCTION("""COMPUTED_VALUE"""),630677.0)</f>
        <v>630677</v>
      </c>
      <c r="Y32" s="201">
        <f>IFERROR(__xludf.DUMMYFUNCTION("""COMPUTED_VALUE"""),630677.0)</f>
        <v>630677</v>
      </c>
      <c r="Z32" s="201">
        <f t="shared" si="12"/>
        <v>93.67554133</v>
      </c>
      <c r="AA32" s="201">
        <f t="shared" si="13"/>
        <v>17206.51617</v>
      </c>
      <c r="AB32" s="201">
        <f t="shared" si="14"/>
        <v>17206.51617</v>
      </c>
    </row>
    <row r="33" ht="14.25" customHeight="1">
      <c r="A33" s="175"/>
      <c r="B33" s="196"/>
      <c r="C33" s="181"/>
      <c r="D33" s="197" t="s">
        <v>773</v>
      </c>
      <c r="E33" s="183">
        <f>SUMIFS('DB WBS'!$J:$J,'DB WBS'!$A:$A,$D$4,'DB WBS'!$D:$D,AA$1,'DB WBS'!$B:$B,$E$3,'DB WBS'!$E:$E,$B33)</f>
        <v>0</v>
      </c>
      <c r="F33" s="183">
        <f>SUMIFS('DB WBS'!$J:$J,'DB WBS'!$A:$A,$D$4,'DB WBS'!$D:$D,AA$2,'DB WBS'!$B:$B,$E$3,'DB WBS'!$E:$E,$B33)</f>
        <v>0</v>
      </c>
      <c r="G33" s="184">
        <f>IFERROR(HLOOKUP($E$3,'Tahun Lalu'!$B$5:$V$158,MATCH(B33,'Tahun Lalu'!$B$5:$B$158,0),0),0)</f>
        <v>0</v>
      </c>
      <c r="H33" s="183">
        <f>IFERROR(round(HLOOKUP('Tahun Lalu'!$D$3,RKO!$A$1:$P$171,MATCH(B33,RKO!$A$1:$A$171,0),0)*1000,0),0)</f>
        <v>0</v>
      </c>
      <c r="I33" s="183">
        <f>IFERROR(round(HLOOKUP('Tahun Lalu'!$D$3,RKAP!$A$1:$P$171,MATCH(B33,RKAP!$A$1:$A$171,0),0)*1000,0),0)</f>
        <v>0</v>
      </c>
      <c r="J33" s="183">
        <f t="shared" si="3"/>
        <v>0</v>
      </c>
      <c r="K33" s="183">
        <f t="shared" si="4"/>
        <v>0</v>
      </c>
      <c r="L33" s="183">
        <f t="shared" si="5"/>
        <v>0</v>
      </c>
      <c r="M33" s="183">
        <f t="shared" si="6"/>
        <v>0</v>
      </c>
      <c r="N33" s="183">
        <f>E33+V33</f>
        <v>0</v>
      </c>
      <c r="O33" s="183">
        <f t="shared" ref="O33:Q33" si="39">G33+W33</f>
        <v>0</v>
      </c>
      <c r="P33" s="183">
        <f t="shared" si="39"/>
        <v>0</v>
      </c>
      <c r="Q33" s="183">
        <f t="shared" si="39"/>
        <v>0</v>
      </c>
      <c r="R33" s="183">
        <f t="shared" si="9"/>
        <v>0</v>
      </c>
      <c r="S33" s="183">
        <f t="shared" si="10"/>
        <v>0</v>
      </c>
      <c r="T33" s="183">
        <f t="shared" si="11"/>
        <v>0</v>
      </c>
      <c r="U33" s="186"/>
      <c r="V33" s="183">
        <f>IFERROR(__xludf.DUMMYFUNCTION("""COMPUTED_VALUE"""),0.0)</f>
        <v>0</v>
      </c>
      <c r="W33" s="183">
        <f>IFERROR(__xludf.DUMMYFUNCTION("""COMPUTED_VALUE"""),0.0)</f>
        <v>0</v>
      </c>
      <c r="X33" s="183">
        <f>IFERROR(__xludf.DUMMYFUNCTION("""COMPUTED_VALUE"""),0.0)</f>
        <v>0</v>
      </c>
      <c r="Y33" s="183">
        <f>IFERROR(__xludf.DUMMYFUNCTION("""COMPUTED_VALUE"""),0.0)</f>
        <v>0</v>
      </c>
      <c r="Z33" s="183">
        <f t="shared" si="12"/>
        <v>0</v>
      </c>
      <c r="AA33" s="183">
        <f t="shared" si="13"/>
        <v>0</v>
      </c>
      <c r="AB33" s="183">
        <f t="shared" si="14"/>
        <v>0</v>
      </c>
    </row>
    <row r="34" ht="14.25" customHeight="1">
      <c r="A34" s="190"/>
      <c r="B34" s="191" t="s">
        <v>774</v>
      </c>
      <c r="C34" s="199"/>
      <c r="D34" s="200"/>
      <c r="E34" s="201">
        <f t="shared" ref="E34:I34" si="40">SUM(E33)</f>
        <v>0</v>
      </c>
      <c r="F34" s="201">
        <f t="shared" si="40"/>
        <v>0</v>
      </c>
      <c r="G34" s="201">
        <f t="shared" si="40"/>
        <v>0</v>
      </c>
      <c r="H34" s="201">
        <f t="shared" si="40"/>
        <v>0</v>
      </c>
      <c r="I34" s="201">
        <f t="shared" si="40"/>
        <v>0</v>
      </c>
      <c r="J34" s="201">
        <f t="shared" si="3"/>
        <v>0</v>
      </c>
      <c r="K34" s="201">
        <f t="shared" si="4"/>
        <v>0</v>
      </c>
      <c r="L34" s="201">
        <f t="shared" si="5"/>
        <v>0</v>
      </c>
      <c r="M34" s="201">
        <f t="shared" si="6"/>
        <v>0</v>
      </c>
      <c r="N34" s="201">
        <f t="shared" ref="N34:Q34" si="41">SUM(N33)</f>
        <v>0</v>
      </c>
      <c r="O34" s="201">
        <f t="shared" si="41"/>
        <v>0</v>
      </c>
      <c r="P34" s="201">
        <f t="shared" si="41"/>
        <v>0</v>
      </c>
      <c r="Q34" s="201">
        <f t="shared" si="41"/>
        <v>0</v>
      </c>
      <c r="R34" s="201">
        <f t="shared" si="9"/>
        <v>0</v>
      </c>
      <c r="S34" s="201">
        <f t="shared" si="10"/>
        <v>0</v>
      </c>
      <c r="T34" s="201">
        <f t="shared" si="11"/>
        <v>0</v>
      </c>
      <c r="U34" s="202"/>
      <c r="V34" s="201">
        <f>IFERROR(__xludf.DUMMYFUNCTION("""COMPUTED_VALUE"""),0.0)</f>
        <v>0</v>
      </c>
      <c r="W34" s="201">
        <f>IFERROR(__xludf.DUMMYFUNCTION("""COMPUTED_VALUE"""),0.0)</f>
        <v>0</v>
      </c>
      <c r="X34" s="201">
        <f>IFERROR(__xludf.DUMMYFUNCTION("""COMPUTED_VALUE"""),0.0)</f>
        <v>0</v>
      </c>
      <c r="Y34" s="201">
        <f>IFERROR(__xludf.DUMMYFUNCTION("""COMPUTED_VALUE"""),0.0)</f>
        <v>0</v>
      </c>
      <c r="Z34" s="201">
        <f t="shared" si="12"/>
        <v>0</v>
      </c>
      <c r="AA34" s="201">
        <f t="shared" si="13"/>
        <v>0</v>
      </c>
      <c r="AB34" s="201">
        <f t="shared" si="14"/>
        <v>0</v>
      </c>
    </row>
    <row r="35" ht="14.25" customHeight="1">
      <c r="A35" s="175"/>
      <c r="B35" s="196" t="s">
        <v>775</v>
      </c>
      <c r="C35" s="181"/>
      <c r="D35" s="197" t="s">
        <v>776</v>
      </c>
      <c r="E35" s="183">
        <f>SUMIFS('DB WBS'!$J:$J,'DB WBS'!$A:$A,$D$4,'DB WBS'!$D:$D,AA$1,'DB WBS'!$B:$B,$E$3,'DB WBS'!$E:$E,$B35)</f>
        <v>0</v>
      </c>
      <c r="F35" s="183">
        <f>SUMIFS('DB WBS'!$J:$J,'DB WBS'!$A:$A,$D$4,'DB WBS'!$D:$D,AA$2,'DB WBS'!$B:$B,$E$3,'DB WBS'!$E:$E,$B35)</f>
        <v>0</v>
      </c>
      <c r="G35" s="184">
        <f>IFERROR(HLOOKUP($E$3,'Tahun Lalu'!$B$5:$V$158,MATCH(B35,'Tahun Lalu'!$B$5:$B$158,0),0),0)</f>
        <v>0</v>
      </c>
      <c r="H35" s="183">
        <f>IFERROR(round(HLOOKUP('Tahun Lalu'!$D$3,RKO!$A$1:$P$171,MATCH(B35,RKO!$A$1:$A$171,0),0)*1000,0),0)</f>
        <v>0</v>
      </c>
      <c r="I35" s="183">
        <f>IFERROR(round(HLOOKUP('Tahun Lalu'!$D$3,RKAP!$A$1:$P$171,MATCH(B35,RKAP!$A$1:$A$171,0),0)*1000,0),0)</f>
        <v>0</v>
      </c>
      <c r="J35" s="183">
        <f t="shared" si="3"/>
        <v>0</v>
      </c>
      <c r="K35" s="183">
        <f t="shared" si="4"/>
        <v>0</v>
      </c>
      <c r="L35" s="183">
        <f t="shared" si="5"/>
        <v>0</v>
      </c>
      <c r="M35" s="183">
        <f t="shared" si="6"/>
        <v>0</v>
      </c>
      <c r="N35" s="183">
        <f t="shared" ref="N35:N44" si="43">E35+V35</f>
        <v>0</v>
      </c>
      <c r="O35" s="183">
        <f t="shared" ref="O35:Q35" si="42">G35+W35</f>
        <v>0</v>
      </c>
      <c r="P35" s="183">
        <f t="shared" si="42"/>
        <v>0</v>
      </c>
      <c r="Q35" s="183">
        <f t="shared" si="42"/>
        <v>0</v>
      </c>
      <c r="R35" s="183">
        <f t="shared" si="9"/>
        <v>0</v>
      </c>
      <c r="S35" s="183">
        <f t="shared" si="10"/>
        <v>0</v>
      </c>
      <c r="T35" s="183">
        <f t="shared" si="11"/>
        <v>0</v>
      </c>
      <c r="U35" s="186"/>
      <c r="V35" s="183">
        <f>IFERROR(__xludf.DUMMYFUNCTION("""COMPUTED_VALUE"""),0.0)</f>
        <v>0</v>
      </c>
      <c r="W35" s="183">
        <f>IFERROR(__xludf.DUMMYFUNCTION("""COMPUTED_VALUE"""),0.0)</f>
        <v>0</v>
      </c>
      <c r="X35" s="183">
        <f>IFERROR(__xludf.DUMMYFUNCTION("""COMPUTED_VALUE"""),0.0)</f>
        <v>0</v>
      </c>
      <c r="Y35" s="183">
        <f>IFERROR(__xludf.DUMMYFUNCTION("""COMPUTED_VALUE"""),0.0)</f>
        <v>0</v>
      </c>
      <c r="Z35" s="183">
        <f t="shared" si="12"/>
        <v>0</v>
      </c>
      <c r="AA35" s="183">
        <f t="shared" si="13"/>
        <v>0</v>
      </c>
      <c r="AB35" s="183">
        <f t="shared" si="14"/>
        <v>0</v>
      </c>
    </row>
    <row r="36" ht="14.25" customHeight="1">
      <c r="A36" s="175"/>
      <c r="B36" s="196" t="s">
        <v>777</v>
      </c>
      <c r="C36" s="181"/>
      <c r="D36" s="197" t="s">
        <v>778</v>
      </c>
      <c r="E36" s="183">
        <f>SUMIFS('DB WBS'!$J:$J,'DB WBS'!$A:$A,$D$4,'DB WBS'!$D:$D,AA$1,'DB WBS'!$B:$B,$E$3,'DB WBS'!$E:$E,$B36)</f>
        <v>0</v>
      </c>
      <c r="F36" s="183">
        <f>SUMIFS('DB WBS'!$J:$J,'DB WBS'!$A:$A,$D$4,'DB WBS'!$D:$D,AA$2,'DB WBS'!$B:$B,$E$3,'DB WBS'!$E:$E,$B36)</f>
        <v>0</v>
      </c>
      <c r="G36" s="184">
        <f>IFERROR(HLOOKUP($E$3,'Tahun Lalu'!$B$5:$V$158,MATCH(B36,'Tahun Lalu'!$B$5:$B$158,0),0),0)</f>
        <v>0</v>
      </c>
      <c r="H36" s="183">
        <f>IFERROR(round(HLOOKUP('Tahun Lalu'!$D$3,RKO!$A$1:$P$171,MATCH(B36,RKO!$A$1:$A$171,0),0)*1000,0),0)</f>
        <v>0</v>
      </c>
      <c r="I36" s="183">
        <f>IFERROR(round(HLOOKUP('Tahun Lalu'!$D$3,RKAP!$A$1:$P$171,MATCH(B36,RKAP!$A$1:$A$171,0),0)*1000,0),0)</f>
        <v>0</v>
      </c>
      <c r="J36" s="183">
        <f t="shared" si="3"/>
        <v>0</v>
      </c>
      <c r="K36" s="183">
        <f t="shared" si="4"/>
        <v>0</v>
      </c>
      <c r="L36" s="183">
        <f t="shared" si="5"/>
        <v>0</v>
      </c>
      <c r="M36" s="183">
        <f t="shared" si="6"/>
        <v>0</v>
      </c>
      <c r="N36" s="183">
        <f t="shared" si="43"/>
        <v>0</v>
      </c>
      <c r="O36" s="183">
        <f t="shared" ref="O36:Q36" si="44">G36+W36</f>
        <v>0</v>
      </c>
      <c r="P36" s="183">
        <f t="shared" si="44"/>
        <v>0</v>
      </c>
      <c r="Q36" s="183">
        <f t="shared" si="44"/>
        <v>0</v>
      </c>
      <c r="R36" s="183">
        <f t="shared" si="9"/>
        <v>0</v>
      </c>
      <c r="S36" s="183">
        <f t="shared" si="10"/>
        <v>0</v>
      </c>
      <c r="T36" s="183">
        <f t="shared" si="11"/>
        <v>0</v>
      </c>
      <c r="U36" s="186"/>
      <c r="V36" s="183">
        <f>IFERROR(__xludf.DUMMYFUNCTION("""COMPUTED_VALUE"""),0.0)</f>
        <v>0</v>
      </c>
      <c r="W36" s="183">
        <f>IFERROR(__xludf.DUMMYFUNCTION("""COMPUTED_VALUE"""),0.0)</f>
        <v>0</v>
      </c>
      <c r="X36" s="183">
        <f>IFERROR(__xludf.DUMMYFUNCTION("""COMPUTED_VALUE"""),0.0)</f>
        <v>0</v>
      </c>
      <c r="Y36" s="183">
        <f>IFERROR(__xludf.DUMMYFUNCTION("""COMPUTED_VALUE"""),0.0)</f>
        <v>0</v>
      </c>
      <c r="Z36" s="183">
        <f t="shared" si="12"/>
        <v>0</v>
      </c>
      <c r="AA36" s="183">
        <f t="shared" si="13"/>
        <v>0</v>
      </c>
      <c r="AB36" s="183">
        <f t="shared" si="14"/>
        <v>0</v>
      </c>
    </row>
    <row r="37" ht="14.25" customHeight="1">
      <c r="A37" s="175"/>
      <c r="B37" s="196" t="s">
        <v>779</v>
      </c>
      <c r="C37" s="181"/>
      <c r="D37" s="197" t="s">
        <v>780</v>
      </c>
      <c r="E37" s="183">
        <f>SUMIFS('DB WBS'!$J:$J,'DB WBS'!$A:$A,$D$4,'DB WBS'!$D:$D,AA$1,'DB WBS'!$B:$B,$E$3,'DB WBS'!$E:$E,$B37)</f>
        <v>0</v>
      </c>
      <c r="F37" s="183">
        <f>SUMIFS('DB WBS'!$J:$J,'DB WBS'!$A:$A,$D$4,'DB WBS'!$D:$D,AA$2,'DB WBS'!$B:$B,$E$3,'DB WBS'!$E:$E,$B37)</f>
        <v>0</v>
      </c>
      <c r="G37" s="184">
        <f>IFERROR(HLOOKUP($E$3,'Tahun Lalu'!$B$5:$V$158,MATCH(B37,'Tahun Lalu'!$B$5:$B$158,0),0),0)</f>
        <v>0</v>
      </c>
      <c r="H37" s="183">
        <f>IFERROR(round(HLOOKUP('Tahun Lalu'!$D$3,RKO!$A$1:$P$171,MATCH(B37,RKO!$A$1:$A$171,0),0)*1000,0),0)</f>
        <v>0</v>
      </c>
      <c r="I37" s="183">
        <f>IFERROR(round(HLOOKUP('Tahun Lalu'!$D$3,RKAP!$A$1:$P$171,MATCH(B37,RKAP!$A$1:$A$171,0),0)*1000,0),0)</f>
        <v>0</v>
      </c>
      <c r="J37" s="183">
        <f t="shared" si="3"/>
        <v>0</v>
      </c>
      <c r="K37" s="183">
        <f t="shared" si="4"/>
        <v>0</v>
      </c>
      <c r="L37" s="183">
        <f t="shared" si="5"/>
        <v>0</v>
      </c>
      <c r="M37" s="183">
        <f t="shared" si="6"/>
        <v>0</v>
      </c>
      <c r="N37" s="183">
        <f t="shared" si="43"/>
        <v>0</v>
      </c>
      <c r="O37" s="183">
        <f t="shared" ref="O37:Q37" si="45">G37+W37</f>
        <v>0</v>
      </c>
      <c r="P37" s="183">
        <f t="shared" si="45"/>
        <v>0</v>
      </c>
      <c r="Q37" s="183">
        <f t="shared" si="45"/>
        <v>0</v>
      </c>
      <c r="R37" s="183">
        <f t="shared" si="9"/>
        <v>0</v>
      </c>
      <c r="S37" s="183">
        <f t="shared" si="10"/>
        <v>0</v>
      </c>
      <c r="T37" s="183">
        <f t="shared" si="11"/>
        <v>0</v>
      </c>
      <c r="U37" s="186"/>
      <c r="V37" s="183">
        <f>IFERROR(__xludf.DUMMYFUNCTION("""COMPUTED_VALUE"""),0.0)</f>
        <v>0</v>
      </c>
      <c r="W37" s="183">
        <f>IFERROR(__xludf.DUMMYFUNCTION("""COMPUTED_VALUE"""),0.0)</f>
        <v>0</v>
      </c>
      <c r="X37" s="183">
        <f>IFERROR(__xludf.DUMMYFUNCTION("""COMPUTED_VALUE"""),0.0)</f>
        <v>0</v>
      </c>
      <c r="Y37" s="183">
        <f>IFERROR(__xludf.DUMMYFUNCTION("""COMPUTED_VALUE"""),0.0)</f>
        <v>0</v>
      </c>
      <c r="Z37" s="183">
        <f t="shared" si="12"/>
        <v>0</v>
      </c>
      <c r="AA37" s="183">
        <f t="shared" si="13"/>
        <v>0</v>
      </c>
      <c r="AB37" s="183">
        <f t="shared" si="14"/>
        <v>0</v>
      </c>
    </row>
    <row r="38" ht="14.25" customHeight="1">
      <c r="A38" s="175"/>
      <c r="B38" s="196" t="s">
        <v>267</v>
      </c>
      <c r="C38" s="181"/>
      <c r="D38" s="197" t="s">
        <v>268</v>
      </c>
      <c r="E38" s="183">
        <f>SUMIFS('DB WBS'!$J:$J,'DB WBS'!$A:$A,$D$4,'DB WBS'!$D:$D,AA$1,'DB WBS'!$B:$B,$E$3,'DB WBS'!$E:$E,$B38)</f>
        <v>34720000</v>
      </c>
      <c r="F38" s="183">
        <f>SUMIFS('DB WBS'!$J:$J,'DB WBS'!$A:$A,$D$4,'DB WBS'!$D:$D,AA$2,'DB WBS'!$B:$B,$E$3,'DB WBS'!$E:$E,$B38)</f>
        <v>39005879</v>
      </c>
      <c r="G38" s="184">
        <f>IFERROR(HLOOKUP($E$3,'Tahun Lalu'!$B$5:$V$158,MATCH(B38,'Tahun Lalu'!$B$5:$B$158,0),0),0)</f>
        <v>0</v>
      </c>
      <c r="H38" s="183">
        <f>IFERROR(round(HLOOKUP('Tahun Lalu'!$D$3,RKO!$A$1:$P$171,MATCH(B38,RKO!$A$1:$A$171,0),0)*1000,0),0)</f>
        <v>46049482</v>
      </c>
      <c r="I38" s="183">
        <f>IFERROR(round(HLOOKUP('Tahun Lalu'!$D$3,RKAP!$A$1:$P$171,MATCH(B38,RKAP!$A$1:$A$171,0),0)*1000,0),0)</f>
        <v>46049482</v>
      </c>
      <c r="J38" s="183">
        <f t="shared" si="3"/>
        <v>89.012223</v>
      </c>
      <c r="K38" s="183">
        <f t="shared" si="4"/>
        <v>0</v>
      </c>
      <c r="L38" s="183">
        <f t="shared" si="5"/>
        <v>75.39715648</v>
      </c>
      <c r="M38" s="183">
        <f t="shared" si="6"/>
        <v>75.39715648</v>
      </c>
      <c r="N38" s="183">
        <f t="shared" si="43"/>
        <v>137984118</v>
      </c>
      <c r="O38" s="183">
        <f t="shared" ref="O38:Q38" si="46">G38+W38</f>
        <v>0</v>
      </c>
      <c r="P38" s="183">
        <f t="shared" si="46"/>
        <v>239507361</v>
      </c>
      <c r="Q38" s="183">
        <f t="shared" si="46"/>
        <v>239507361</v>
      </c>
      <c r="R38" s="183">
        <f t="shared" si="9"/>
        <v>0</v>
      </c>
      <c r="S38" s="183">
        <f t="shared" si="10"/>
        <v>57.61163975</v>
      </c>
      <c r="T38" s="183">
        <f t="shared" si="11"/>
        <v>57.61163975</v>
      </c>
      <c r="U38" s="186"/>
      <c r="V38" s="183">
        <f>IFERROR(__xludf.DUMMYFUNCTION("""COMPUTED_VALUE"""),1.03264118E8)</f>
        <v>103264118</v>
      </c>
      <c r="W38" s="183">
        <f>IFERROR(__xludf.DUMMYFUNCTION("""COMPUTED_VALUE"""),0.0)</f>
        <v>0</v>
      </c>
      <c r="X38" s="183">
        <f>IFERROR(__xludf.DUMMYFUNCTION("""COMPUTED_VALUE"""),1.93457879E8)</f>
        <v>193457879</v>
      </c>
      <c r="Y38" s="183">
        <f>IFERROR(__xludf.DUMMYFUNCTION("""COMPUTED_VALUE"""),1.93457879E8)</f>
        <v>193457879</v>
      </c>
      <c r="Z38" s="183">
        <f t="shared" si="12"/>
        <v>0</v>
      </c>
      <c r="AA38" s="183">
        <f t="shared" si="13"/>
        <v>53.37808857</v>
      </c>
      <c r="AB38" s="183">
        <f t="shared" si="14"/>
        <v>53.37808857</v>
      </c>
    </row>
    <row r="39" ht="14.25" customHeight="1">
      <c r="A39" s="175"/>
      <c r="B39" s="196" t="s">
        <v>781</v>
      </c>
      <c r="C39" s="181"/>
      <c r="D39" s="197" t="s">
        <v>782</v>
      </c>
      <c r="E39" s="183">
        <f>SUMIFS('DB WBS'!$J:$J,'DB WBS'!$A:$A,$D$4,'DB WBS'!$D:$D,AA$1,'DB WBS'!$B:$B,$E$3,'DB WBS'!$E:$E,$B39)</f>
        <v>0</v>
      </c>
      <c r="F39" s="183">
        <f>SUMIFS('DB WBS'!$J:$J,'DB WBS'!$A:$A,$D$4,'DB WBS'!$D:$D,AA$2,'DB WBS'!$B:$B,$E$3,'DB WBS'!$E:$E,$B39)</f>
        <v>0</v>
      </c>
      <c r="G39" s="184">
        <f>IFERROR(HLOOKUP($E$3,'Tahun Lalu'!$B$5:$V$158,MATCH(B39,'Tahun Lalu'!$B$5:$B$158,0),0),0)</f>
        <v>0</v>
      </c>
      <c r="H39" s="183">
        <f>IFERROR(round(HLOOKUP('Tahun Lalu'!$D$3,RKO!$A$1:$P$171,MATCH(B39,RKO!$A$1:$A$171,0),0)*1000,0),0)</f>
        <v>32089482</v>
      </c>
      <c r="I39" s="183">
        <f>IFERROR(round(HLOOKUP('Tahun Lalu'!$D$3,RKAP!$A$1:$P$171,MATCH(B39,RKAP!$A$1:$A$171,0),0)*1000,0),0)</f>
        <v>32089482</v>
      </c>
      <c r="J39" s="183">
        <f t="shared" si="3"/>
        <v>0</v>
      </c>
      <c r="K39" s="183">
        <f t="shared" si="4"/>
        <v>0</v>
      </c>
      <c r="L39" s="183">
        <f t="shared" si="5"/>
        <v>0</v>
      </c>
      <c r="M39" s="183">
        <f t="shared" si="6"/>
        <v>0</v>
      </c>
      <c r="N39" s="183">
        <f t="shared" si="43"/>
        <v>0</v>
      </c>
      <c r="O39" s="183">
        <f t="shared" ref="O39:Q39" si="47">G39+W39</f>
        <v>0</v>
      </c>
      <c r="P39" s="183">
        <f t="shared" si="47"/>
        <v>239590182</v>
      </c>
      <c r="Q39" s="183">
        <f t="shared" si="47"/>
        <v>239590182</v>
      </c>
      <c r="R39" s="183">
        <f t="shared" si="9"/>
        <v>0</v>
      </c>
      <c r="S39" s="183">
        <f t="shared" si="10"/>
        <v>0</v>
      </c>
      <c r="T39" s="183">
        <f t="shared" si="11"/>
        <v>0</v>
      </c>
      <c r="U39" s="186"/>
      <c r="V39" s="183">
        <f>IFERROR(__xludf.DUMMYFUNCTION("""COMPUTED_VALUE"""),0.0)</f>
        <v>0</v>
      </c>
      <c r="W39" s="183">
        <f>IFERROR(__xludf.DUMMYFUNCTION("""COMPUTED_VALUE"""),0.0)</f>
        <v>0</v>
      </c>
      <c r="X39" s="183">
        <f>IFERROR(__xludf.DUMMYFUNCTION("""COMPUTED_VALUE"""),2.075007E8)</f>
        <v>207500700</v>
      </c>
      <c r="Y39" s="183">
        <f>IFERROR(__xludf.DUMMYFUNCTION("""COMPUTED_VALUE"""),2.075007E8)</f>
        <v>207500700</v>
      </c>
      <c r="Z39" s="183">
        <f t="shared" si="12"/>
        <v>0</v>
      </c>
      <c r="AA39" s="183">
        <f t="shared" si="13"/>
        <v>0</v>
      </c>
      <c r="AB39" s="183">
        <f t="shared" si="14"/>
        <v>0</v>
      </c>
    </row>
    <row r="40" ht="14.25" customHeight="1">
      <c r="A40" s="175"/>
      <c r="B40" s="196" t="s">
        <v>783</v>
      </c>
      <c r="C40" s="181"/>
      <c r="D40" s="197" t="s">
        <v>784</v>
      </c>
      <c r="E40" s="183">
        <f>SUMIFS('DB WBS'!$J:$J,'DB WBS'!$A:$A,$D$4,'DB WBS'!$D:$D,AA$1,'DB WBS'!$B:$B,$E$3,'DB WBS'!$E:$E,$B40)</f>
        <v>0</v>
      </c>
      <c r="F40" s="183">
        <f>SUMIFS('DB WBS'!$J:$J,'DB WBS'!$A:$A,$D$4,'DB WBS'!$D:$D,AA$2,'DB WBS'!$B:$B,$E$3,'DB WBS'!$E:$E,$B40)</f>
        <v>0</v>
      </c>
      <c r="G40" s="184">
        <f>IFERROR(HLOOKUP($E$3,'Tahun Lalu'!$B$5:$V$158,MATCH(B40,'Tahun Lalu'!$B$5:$B$158,0),0),0)</f>
        <v>0</v>
      </c>
      <c r="H40" s="183">
        <f>IFERROR(round(HLOOKUP('Tahun Lalu'!$D$3,RKO!$A$1:$P$171,MATCH(B40,RKO!$A$1:$A$171,0),0)*1000,0),0)</f>
        <v>0</v>
      </c>
      <c r="I40" s="183">
        <f>IFERROR(round(HLOOKUP('Tahun Lalu'!$D$3,RKAP!$A$1:$P$171,MATCH(B40,RKAP!$A$1:$A$171,0),0)*1000,0),0)</f>
        <v>0</v>
      </c>
      <c r="J40" s="183">
        <f t="shared" si="3"/>
        <v>0</v>
      </c>
      <c r="K40" s="183">
        <f t="shared" si="4"/>
        <v>0</v>
      </c>
      <c r="L40" s="183">
        <f t="shared" si="5"/>
        <v>0</v>
      </c>
      <c r="M40" s="183">
        <f t="shared" si="6"/>
        <v>0</v>
      </c>
      <c r="N40" s="183">
        <f t="shared" si="43"/>
        <v>0</v>
      </c>
      <c r="O40" s="183">
        <f t="shared" ref="O40:Q40" si="48">G40+W40</f>
        <v>0</v>
      </c>
      <c r="P40" s="183">
        <f t="shared" si="48"/>
        <v>0</v>
      </c>
      <c r="Q40" s="183">
        <f t="shared" si="48"/>
        <v>0</v>
      </c>
      <c r="R40" s="183">
        <f t="shared" si="9"/>
        <v>0</v>
      </c>
      <c r="S40" s="183">
        <f t="shared" si="10"/>
        <v>0</v>
      </c>
      <c r="T40" s="183">
        <f t="shared" si="11"/>
        <v>0</v>
      </c>
      <c r="U40" s="186"/>
      <c r="V40" s="183">
        <f>IFERROR(__xludf.DUMMYFUNCTION("""COMPUTED_VALUE"""),0.0)</f>
        <v>0</v>
      </c>
      <c r="W40" s="183">
        <f>IFERROR(__xludf.DUMMYFUNCTION("""COMPUTED_VALUE"""),0.0)</f>
        <v>0</v>
      </c>
      <c r="X40" s="183">
        <f>IFERROR(__xludf.DUMMYFUNCTION("""COMPUTED_VALUE"""),0.0)</f>
        <v>0</v>
      </c>
      <c r="Y40" s="183">
        <f>IFERROR(__xludf.DUMMYFUNCTION("""COMPUTED_VALUE"""),0.0)</f>
        <v>0</v>
      </c>
      <c r="Z40" s="183">
        <f t="shared" si="12"/>
        <v>0</v>
      </c>
      <c r="AA40" s="183">
        <f t="shared" si="13"/>
        <v>0</v>
      </c>
      <c r="AB40" s="183">
        <f t="shared" si="14"/>
        <v>0</v>
      </c>
    </row>
    <row r="41" ht="14.25" customHeight="1">
      <c r="A41" s="175"/>
      <c r="B41" s="196" t="s">
        <v>34</v>
      </c>
      <c r="C41" s="181"/>
      <c r="D41" s="197" t="s">
        <v>35</v>
      </c>
      <c r="E41" s="183">
        <f>SUMIFS('DB WBS'!$J:$J,'DB WBS'!$A:$A,$D$4,'DB WBS'!$D:$D,AA$1,'DB WBS'!$B:$B,$E$3,'DB WBS'!$E:$E,$B41)</f>
        <v>47137408</v>
      </c>
      <c r="F41" s="183">
        <f>SUMIFS('DB WBS'!$J:$J,'DB WBS'!$A:$A,$D$4,'DB WBS'!$D:$D,AA$2,'DB WBS'!$B:$B,$E$3,'DB WBS'!$E:$E,$B41)</f>
        <v>0</v>
      </c>
      <c r="G41" s="184">
        <f>IFERROR(HLOOKUP($E$3,'Tahun Lalu'!$B$5:$V$158,MATCH(B41,'Tahun Lalu'!$B$5:$B$158,0),0),0)</f>
        <v>46575686</v>
      </c>
      <c r="H41" s="183">
        <f>IFERROR(round(HLOOKUP('Tahun Lalu'!$D$3,RKO!$A$1:$P$171,MATCH(B41,RKO!$A$1:$A$171,0),0)*1000,0),0)</f>
        <v>0</v>
      </c>
      <c r="I41" s="183">
        <f>IFERROR(round(HLOOKUP('Tahun Lalu'!$D$3,RKAP!$A$1:$P$171,MATCH(B41,RKAP!$A$1:$A$171,0),0)*1000,0),0)</f>
        <v>0</v>
      </c>
      <c r="J41" s="183">
        <f t="shared" si="3"/>
        <v>0</v>
      </c>
      <c r="K41" s="183">
        <f t="shared" si="4"/>
        <v>101.2060413</v>
      </c>
      <c r="L41" s="183">
        <f t="shared" si="5"/>
        <v>0</v>
      </c>
      <c r="M41" s="183">
        <f t="shared" si="6"/>
        <v>0</v>
      </c>
      <c r="N41" s="183">
        <f t="shared" si="43"/>
        <v>155535386</v>
      </c>
      <c r="O41" s="183">
        <f t="shared" ref="O41:Q41" si="49">G41+W41</f>
        <v>196256004</v>
      </c>
      <c r="P41" s="183">
        <f t="shared" si="49"/>
        <v>0</v>
      </c>
      <c r="Q41" s="183">
        <f t="shared" si="49"/>
        <v>0</v>
      </c>
      <c r="R41" s="183">
        <f t="shared" si="9"/>
        <v>79.25127529</v>
      </c>
      <c r="S41" s="183">
        <f t="shared" si="10"/>
        <v>0</v>
      </c>
      <c r="T41" s="183">
        <f t="shared" si="11"/>
        <v>0</v>
      </c>
      <c r="U41" s="186"/>
      <c r="V41" s="183">
        <f>IFERROR(__xludf.DUMMYFUNCTION("""COMPUTED_VALUE"""),1.08397978E8)</f>
        <v>108397978</v>
      </c>
      <c r="W41" s="183">
        <f>IFERROR(__xludf.DUMMYFUNCTION("""COMPUTED_VALUE"""),1.49680318E8)</f>
        <v>149680318</v>
      </c>
      <c r="X41" s="183">
        <f>IFERROR(__xludf.DUMMYFUNCTION("""COMPUTED_VALUE"""),0.0)</f>
        <v>0</v>
      </c>
      <c r="Y41" s="183">
        <f>IFERROR(__xludf.DUMMYFUNCTION("""COMPUTED_VALUE"""),0.0)</f>
        <v>0</v>
      </c>
      <c r="Z41" s="183">
        <f t="shared" si="12"/>
        <v>72.41966041</v>
      </c>
      <c r="AA41" s="183">
        <f t="shared" si="13"/>
        <v>0</v>
      </c>
      <c r="AB41" s="183">
        <f t="shared" si="14"/>
        <v>0</v>
      </c>
    </row>
    <row r="42" ht="14.25" customHeight="1">
      <c r="A42" s="175"/>
      <c r="B42" s="196" t="s">
        <v>785</v>
      </c>
      <c r="C42" s="181"/>
      <c r="D42" s="197" t="s">
        <v>258</v>
      </c>
      <c r="E42" s="183">
        <f>SUMIFS('DB WBS'!$J:$J,'DB WBS'!$A:$A,$D$4,'DB WBS'!$D:$D,AA$1,'DB WBS'!$B:$B,$E$3,'DB WBS'!$E:$E,$B42)</f>
        <v>0</v>
      </c>
      <c r="F42" s="183">
        <f>SUMIFS('DB WBS'!$J:$J,'DB WBS'!$A:$A,$D$4,'DB WBS'!$D:$D,AA$2,'DB WBS'!$B:$B,$E$3,'DB WBS'!$E:$E,$B42)</f>
        <v>0</v>
      </c>
      <c r="G42" s="184">
        <f>IFERROR(HLOOKUP($E$3,'Tahun Lalu'!$B$5:$V$158,MATCH(B42,'Tahun Lalu'!$B$5:$B$158,0),0),0)</f>
        <v>0</v>
      </c>
      <c r="H42" s="183">
        <f>IFERROR(round(HLOOKUP('Tahun Lalu'!$D$3,RKO!$A$1:$P$171,MATCH(B42,RKO!$A$1:$A$171,0),0)*1000,0),0)</f>
        <v>0</v>
      </c>
      <c r="I42" s="183">
        <f>IFERROR(round(HLOOKUP('Tahun Lalu'!$D$3,RKAP!$A$1:$P$171,MATCH(B42,RKAP!$A$1:$A$171,0),0)*1000,0),0)</f>
        <v>0</v>
      </c>
      <c r="J42" s="183">
        <f t="shared" si="3"/>
        <v>0</v>
      </c>
      <c r="K42" s="183">
        <f t="shared" si="4"/>
        <v>0</v>
      </c>
      <c r="L42" s="183">
        <f t="shared" si="5"/>
        <v>0</v>
      </c>
      <c r="M42" s="183">
        <f t="shared" si="6"/>
        <v>0</v>
      </c>
      <c r="N42" s="183">
        <f t="shared" si="43"/>
        <v>0</v>
      </c>
      <c r="O42" s="183">
        <f t="shared" ref="O42:Q42" si="50">G42+W42</f>
        <v>0</v>
      </c>
      <c r="P42" s="183">
        <f t="shared" si="50"/>
        <v>0</v>
      </c>
      <c r="Q42" s="183">
        <f t="shared" si="50"/>
        <v>0</v>
      </c>
      <c r="R42" s="183">
        <f t="shared" si="9"/>
        <v>0</v>
      </c>
      <c r="S42" s="183">
        <f t="shared" si="10"/>
        <v>0</v>
      </c>
      <c r="T42" s="183">
        <f t="shared" si="11"/>
        <v>0</v>
      </c>
      <c r="U42" s="186"/>
      <c r="V42" s="183">
        <f>IFERROR(__xludf.DUMMYFUNCTION("""COMPUTED_VALUE"""),0.0)</f>
        <v>0</v>
      </c>
      <c r="W42" s="183">
        <f>IFERROR(__xludf.DUMMYFUNCTION("""COMPUTED_VALUE"""),0.0)</f>
        <v>0</v>
      </c>
      <c r="X42" s="183">
        <f>IFERROR(__xludf.DUMMYFUNCTION("""COMPUTED_VALUE"""),0.0)</f>
        <v>0</v>
      </c>
      <c r="Y42" s="183">
        <f>IFERROR(__xludf.DUMMYFUNCTION("""COMPUTED_VALUE"""),0.0)</f>
        <v>0</v>
      </c>
      <c r="Z42" s="183">
        <f t="shared" si="12"/>
        <v>0</v>
      </c>
      <c r="AA42" s="183">
        <f t="shared" si="13"/>
        <v>0</v>
      </c>
      <c r="AB42" s="183">
        <f t="shared" si="14"/>
        <v>0</v>
      </c>
    </row>
    <row r="43" ht="14.25" customHeight="1">
      <c r="A43" s="175"/>
      <c r="B43" s="196" t="s">
        <v>786</v>
      </c>
      <c r="C43" s="181"/>
      <c r="D43" s="197" t="s">
        <v>787</v>
      </c>
      <c r="E43" s="183">
        <f>SUMIFS('DB WBS'!$J:$J,'DB WBS'!$A:$A,$D$4,'DB WBS'!$D:$D,AA$1,'DB WBS'!$B:$B,$E$3,'DB WBS'!$E:$E,$B43)</f>
        <v>0</v>
      </c>
      <c r="F43" s="183">
        <f>SUMIFS('DB WBS'!$J:$J,'DB WBS'!$A:$A,$D$4,'DB WBS'!$D:$D,AA$2,'DB WBS'!$B:$B,$E$3,'DB WBS'!$E:$E,$B43)</f>
        <v>0</v>
      </c>
      <c r="G43" s="184">
        <f>IFERROR(HLOOKUP($E$3,'Tahun Lalu'!$B$5:$V$158,MATCH(B43,'Tahun Lalu'!$B$5:$B$158,0),0),0)</f>
        <v>0</v>
      </c>
      <c r="H43" s="183">
        <f>IFERROR(round(HLOOKUP('Tahun Lalu'!$D$3,RKO!$A$1:$P$171,MATCH(B43,RKO!$A$1:$A$171,0),0)*1000,0),0)</f>
        <v>0</v>
      </c>
      <c r="I43" s="183">
        <f>IFERROR(round(HLOOKUP('Tahun Lalu'!$D$3,RKAP!$A$1:$P$171,MATCH(B43,RKAP!$A$1:$A$171,0),0)*1000,0),0)</f>
        <v>0</v>
      </c>
      <c r="J43" s="183">
        <f t="shared" si="3"/>
        <v>0</v>
      </c>
      <c r="K43" s="183">
        <f t="shared" si="4"/>
        <v>0</v>
      </c>
      <c r="L43" s="183">
        <f t="shared" si="5"/>
        <v>0</v>
      </c>
      <c r="M43" s="183">
        <f t="shared" si="6"/>
        <v>0</v>
      </c>
      <c r="N43" s="183">
        <f t="shared" si="43"/>
        <v>0</v>
      </c>
      <c r="O43" s="183">
        <f t="shared" ref="O43:Q43" si="51">G43+W43</f>
        <v>0</v>
      </c>
      <c r="P43" s="183">
        <f t="shared" si="51"/>
        <v>0</v>
      </c>
      <c r="Q43" s="183">
        <f t="shared" si="51"/>
        <v>0</v>
      </c>
      <c r="R43" s="183">
        <f t="shared" si="9"/>
        <v>0</v>
      </c>
      <c r="S43" s="183">
        <f t="shared" si="10"/>
        <v>0</v>
      </c>
      <c r="T43" s="183">
        <f t="shared" si="11"/>
        <v>0</v>
      </c>
      <c r="U43" s="186"/>
      <c r="V43" s="183">
        <f>IFERROR(__xludf.DUMMYFUNCTION("""COMPUTED_VALUE"""),0.0)</f>
        <v>0</v>
      </c>
      <c r="W43" s="183">
        <f>IFERROR(__xludf.DUMMYFUNCTION("""COMPUTED_VALUE"""),0.0)</f>
        <v>0</v>
      </c>
      <c r="X43" s="183">
        <f>IFERROR(__xludf.DUMMYFUNCTION("""COMPUTED_VALUE"""),0.0)</f>
        <v>0</v>
      </c>
      <c r="Y43" s="183">
        <f>IFERROR(__xludf.DUMMYFUNCTION("""COMPUTED_VALUE"""),0.0)</f>
        <v>0</v>
      </c>
      <c r="Z43" s="183">
        <f t="shared" si="12"/>
        <v>0</v>
      </c>
      <c r="AA43" s="183">
        <f t="shared" si="13"/>
        <v>0</v>
      </c>
      <c r="AB43" s="183">
        <f t="shared" si="14"/>
        <v>0</v>
      </c>
    </row>
    <row r="44" ht="14.25" customHeight="1">
      <c r="A44" s="175"/>
      <c r="B44" s="198"/>
      <c r="C44" s="177"/>
      <c r="D44" s="179"/>
      <c r="E44" s="183">
        <f>SUMIFS('DB WBS'!$J:$J,'DB WBS'!$A:$A,$D$4,'DB WBS'!$D:$D,AA$1,'DB WBS'!$B:$B,$E$3,'DB WBS'!$E:$E,$B44)</f>
        <v>0</v>
      </c>
      <c r="F44" s="183">
        <f>SUMIFS('DB WBS'!$J:$J,'DB WBS'!$A:$A,$D$4,'DB WBS'!$D:$D,AA$2,'DB WBS'!$B:$B,$E$3,'DB WBS'!$E:$E,$B44)</f>
        <v>0</v>
      </c>
      <c r="G44" s="184">
        <f>IFERROR(HLOOKUP($E$3,'Tahun Lalu'!$B$5:$V$158,MATCH(B44,'Tahun Lalu'!$B$5:$B$158,0),0),0)</f>
        <v>0</v>
      </c>
      <c r="H44" s="183">
        <f>IFERROR(round(HLOOKUP('Tahun Lalu'!$D$3,RKO!$A$1:$P$171,MATCH(B44,RKO!$A$1:$A$171,0),0)*1000,0),0)</f>
        <v>0</v>
      </c>
      <c r="I44" s="183">
        <f>IFERROR(round(HLOOKUP('Tahun Lalu'!$D$3,RKAP!$A$1:$P$171,MATCH(B44,RKAP!$A$1:$A$171,0),0)*1000,0),0)</f>
        <v>0</v>
      </c>
      <c r="J44" s="183">
        <f t="shared" si="3"/>
        <v>0</v>
      </c>
      <c r="K44" s="183">
        <f t="shared" si="4"/>
        <v>0</v>
      </c>
      <c r="L44" s="183">
        <f t="shared" si="5"/>
        <v>0</v>
      </c>
      <c r="M44" s="183">
        <f t="shared" si="6"/>
        <v>0</v>
      </c>
      <c r="N44" s="183">
        <f t="shared" si="43"/>
        <v>0</v>
      </c>
      <c r="O44" s="183">
        <f t="shared" ref="O44:Q44" si="52">G44+W44</f>
        <v>0</v>
      </c>
      <c r="P44" s="183">
        <f t="shared" si="52"/>
        <v>0</v>
      </c>
      <c r="Q44" s="183">
        <f t="shared" si="52"/>
        <v>0</v>
      </c>
      <c r="R44" s="183">
        <f t="shared" si="9"/>
        <v>0</v>
      </c>
      <c r="S44" s="183">
        <f t="shared" si="10"/>
        <v>0</v>
      </c>
      <c r="T44" s="183">
        <f t="shared" si="11"/>
        <v>0</v>
      </c>
      <c r="U44" s="186"/>
      <c r="V44" s="183">
        <f>IFERROR(__xludf.DUMMYFUNCTION("""COMPUTED_VALUE"""),0.0)</f>
        <v>0</v>
      </c>
      <c r="W44" s="183">
        <f>IFERROR(__xludf.DUMMYFUNCTION("""COMPUTED_VALUE"""),0.0)</f>
        <v>0</v>
      </c>
      <c r="X44" s="183">
        <f>IFERROR(__xludf.DUMMYFUNCTION("""COMPUTED_VALUE"""),0.0)</f>
        <v>0</v>
      </c>
      <c r="Y44" s="183">
        <f>IFERROR(__xludf.DUMMYFUNCTION("""COMPUTED_VALUE"""),0.0)</f>
        <v>0</v>
      </c>
      <c r="Z44" s="183">
        <f t="shared" si="12"/>
        <v>0</v>
      </c>
      <c r="AA44" s="183">
        <f t="shared" si="13"/>
        <v>0</v>
      </c>
      <c r="AB44" s="183">
        <f t="shared" si="14"/>
        <v>0</v>
      </c>
    </row>
    <row r="45" ht="14.25" customHeight="1">
      <c r="A45" s="175"/>
      <c r="B45" s="191" t="s">
        <v>788</v>
      </c>
      <c r="C45" s="199"/>
      <c r="D45" s="200"/>
      <c r="E45" s="201">
        <f t="shared" ref="E45:I45" si="53">SUM(E35:E44)</f>
        <v>81857408</v>
      </c>
      <c r="F45" s="201">
        <f t="shared" si="53"/>
        <v>39005879</v>
      </c>
      <c r="G45" s="201">
        <f t="shared" si="53"/>
        <v>46575686</v>
      </c>
      <c r="H45" s="201">
        <f t="shared" si="53"/>
        <v>78138964</v>
      </c>
      <c r="I45" s="201">
        <f t="shared" si="53"/>
        <v>78138964</v>
      </c>
      <c r="J45" s="201">
        <f t="shared" si="3"/>
        <v>209.8591548</v>
      </c>
      <c r="K45" s="201">
        <f t="shared" si="4"/>
        <v>175.7513738</v>
      </c>
      <c r="L45" s="201">
        <f t="shared" si="5"/>
        <v>104.7587577</v>
      </c>
      <c r="M45" s="201">
        <f t="shared" si="6"/>
        <v>104.7587577</v>
      </c>
      <c r="N45" s="201">
        <f t="shared" ref="N45:Q45" si="54">SUM(N35:N44)</f>
        <v>293519504</v>
      </c>
      <c r="O45" s="201">
        <f t="shared" si="54"/>
        <v>196256004</v>
      </c>
      <c r="P45" s="201">
        <f t="shared" si="54"/>
        <v>479097543</v>
      </c>
      <c r="Q45" s="201">
        <f t="shared" si="54"/>
        <v>479097543</v>
      </c>
      <c r="R45" s="201">
        <f t="shared" si="9"/>
        <v>149.5595029</v>
      </c>
      <c r="S45" s="201">
        <f t="shared" si="10"/>
        <v>61.2650823</v>
      </c>
      <c r="T45" s="201">
        <f t="shared" si="11"/>
        <v>61.2650823</v>
      </c>
      <c r="U45" s="202"/>
      <c r="V45" s="201">
        <f>IFERROR(__xludf.DUMMYFUNCTION("""COMPUTED_VALUE"""),2.11662096E8)</f>
        <v>211662096</v>
      </c>
      <c r="W45" s="201">
        <f>IFERROR(__xludf.DUMMYFUNCTION("""COMPUTED_VALUE"""),1.49680318E8)</f>
        <v>149680318</v>
      </c>
      <c r="X45" s="201">
        <f>IFERROR(__xludf.DUMMYFUNCTION("""COMPUTED_VALUE"""),4.00958579E8)</f>
        <v>400958579</v>
      </c>
      <c r="Y45" s="201">
        <f>IFERROR(__xludf.DUMMYFUNCTION("""COMPUTED_VALUE"""),4.00958579E8)</f>
        <v>400958579</v>
      </c>
      <c r="Z45" s="201">
        <f t="shared" si="12"/>
        <v>141.4094377</v>
      </c>
      <c r="AA45" s="201">
        <f t="shared" si="13"/>
        <v>52.78901789</v>
      </c>
      <c r="AB45" s="201">
        <f t="shared" si="14"/>
        <v>52.78901789</v>
      </c>
    </row>
    <row r="46" ht="14.25" customHeight="1">
      <c r="A46" s="175"/>
      <c r="B46" s="196" t="s">
        <v>40</v>
      </c>
      <c r="C46" s="181"/>
      <c r="D46" s="197" t="s">
        <v>41</v>
      </c>
      <c r="E46" s="183">
        <f>SUMIFS('DB WBS'!$J:$J,'DB WBS'!$A:$A,$D$4,'DB WBS'!$D:$D,AA$1,'DB WBS'!$B:$B,$E$3,'DB WBS'!$E:$E,$B46)</f>
        <v>2943589</v>
      </c>
      <c r="F46" s="183">
        <f>SUMIFS('DB WBS'!$J:$J,'DB WBS'!$A:$A,$D$4,'DB WBS'!$D:$D,AA$2,'DB WBS'!$B:$B,$E$3,'DB WBS'!$E:$E,$B46)</f>
        <v>2900301</v>
      </c>
      <c r="G46" s="184">
        <f>IFERROR(HLOOKUP($E$3,'Tahun Lalu'!$B$5:$V$158,MATCH(B46,'Tahun Lalu'!$B$5:$B$158,0),0),0)</f>
        <v>7387346</v>
      </c>
      <c r="H46" s="183">
        <f>IFERROR(round(HLOOKUP('Tahun Lalu'!$D$3,RKO!$A$1:$P$171,MATCH(B46,RKO!$A$1:$A$171,0),0)*1000,0),0)</f>
        <v>0</v>
      </c>
      <c r="I46" s="183">
        <f>IFERROR(round(HLOOKUP('Tahun Lalu'!$D$3,RKAP!$A$1:$P$171,MATCH(B46,RKAP!$A$1:$A$171,0),0)*1000,0),0)</f>
        <v>0</v>
      </c>
      <c r="J46" s="183">
        <f t="shared" si="3"/>
        <v>101.4925347</v>
      </c>
      <c r="K46" s="183">
        <f t="shared" si="4"/>
        <v>39.84636702</v>
      </c>
      <c r="L46" s="183">
        <f t="shared" si="5"/>
        <v>0</v>
      </c>
      <c r="M46" s="183">
        <f t="shared" si="6"/>
        <v>0</v>
      </c>
      <c r="N46" s="183">
        <f t="shared" ref="N46:N57" si="56">E46+V46</f>
        <v>16103158</v>
      </c>
      <c r="O46" s="183">
        <f t="shared" ref="O46:Q46" si="55">G46+W46</f>
        <v>35778097</v>
      </c>
      <c r="P46" s="183">
        <f t="shared" si="55"/>
        <v>0</v>
      </c>
      <c r="Q46" s="183">
        <f t="shared" si="55"/>
        <v>0</v>
      </c>
      <c r="R46" s="183">
        <f t="shared" si="9"/>
        <v>45.00842513</v>
      </c>
      <c r="S46" s="183">
        <f t="shared" si="10"/>
        <v>0</v>
      </c>
      <c r="T46" s="183">
        <f t="shared" si="11"/>
        <v>0</v>
      </c>
      <c r="U46" s="186"/>
      <c r="V46" s="183">
        <f>IFERROR(__xludf.DUMMYFUNCTION("""COMPUTED_VALUE"""),1.3159569E7)</f>
        <v>13159569</v>
      </c>
      <c r="W46" s="183">
        <f>IFERROR(__xludf.DUMMYFUNCTION("""COMPUTED_VALUE"""),2.8390751E7)</f>
        <v>28390751</v>
      </c>
      <c r="X46" s="183">
        <f>IFERROR(__xludf.DUMMYFUNCTION("""COMPUTED_VALUE"""),0.0)</f>
        <v>0</v>
      </c>
      <c r="Y46" s="183">
        <f>IFERROR(__xludf.DUMMYFUNCTION("""COMPUTED_VALUE"""),0.0)</f>
        <v>0</v>
      </c>
      <c r="Z46" s="183">
        <f t="shared" si="12"/>
        <v>46.35160585</v>
      </c>
      <c r="AA46" s="183">
        <f t="shared" si="13"/>
        <v>0</v>
      </c>
      <c r="AB46" s="183">
        <f t="shared" si="14"/>
        <v>0</v>
      </c>
    </row>
    <row r="47" ht="14.25" customHeight="1">
      <c r="A47" s="175"/>
      <c r="B47" s="196" t="s">
        <v>789</v>
      </c>
      <c r="C47" s="181"/>
      <c r="D47" s="197" t="s">
        <v>790</v>
      </c>
      <c r="E47" s="183">
        <f>SUMIFS('DB WBS'!$J:$J,'DB WBS'!$A:$A,$D$4,'DB WBS'!$D:$D,AA$1,'DB WBS'!$B:$B,$E$3,'DB WBS'!$E:$E,$B47)</f>
        <v>0</v>
      </c>
      <c r="F47" s="183">
        <f>SUMIFS('DB WBS'!$J:$J,'DB WBS'!$A:$A,$D$4,'DB WBS'!$D:$D,AA$2,'DB WBS'!$B:$B,$E$3,'DB WBS'!$E:$E,$B47)</f>
        <v>0</v>
      </c>
      <c r="G47" s="184">
        <f>IFERROR(HLOOKUP($E$3,'Tahun Lalu'!$B$5:$V$158,MATCH(B47,'Tahun Lalu'!$B$5:$B$158,0),0),0)</f>
        <v>0</v>
      </c>
      <c r="H47" s="183">
        <f>IFERROR(round(HLOOKUP('Tahun Lalu'!$D$3,RKO!$A$1:$P$171,MATCH(B47,RKO!$A$1:$A$171,0),0)*1000,0),0)</f>
        <v>0</v>
      </c>
      <c r="I47" s="183">
        <f>IFERROR(round(HLOOKUP('Tahun Lalu'!$D$3,RKAP!$A$1:$P$171,MATCH(B47,RKAP!$A$1:$A$171,0),0)*1000,0),0)</f>
        <v>0</v>
      </c>
      <c r="J47" s="183">
        <f t="shared" si="3"/>
        <v>0</v>
      </c>
      <c r="K47" s="183">
        <f t="shared" si="4"/>
        <v>0</v>
      </c>
      <c r="L47" s="183">
        <f t="shared" si="5"/>
        <v>0</v>
      </c>
      <c r="M47" s="183">
        <f t="shared" si="6"/>
        <v>0</v>
      </c>
      <c r="N47" s="183">
        <f t="shared" si="56"/>
        <v>0</v>
      </c>
      <c r="O47" s="183">
        <f t="shared" ref="O47:Q47" si="57">G47+W47</f>
        <v>0</v>
      </c>
      <c r="P47" s="183">
        <f t="shared" si="57"/>
        <v>0</v>
      </c>
      <c r="Q47" s="183">
        <f t="shared" si="57"/>
        <v>0</v>
      </c>
      <c r="R47" s="183">
        <f t="shared" si="9"/>
        <v>0</v>
      </c>
      <c r="S47" s="183">
        <f t="shared" si="10"/>
        <v>0</v>
      </c>
      <c r="T47" s="183">
        <f t="shared" si="11"/>
        <v>0</v>
      </c>
      <c r="U47" s="186"/>
      <c r="V47" s="183">
        <f>IFERROR(__xludf.DUMMYFUNCTION("""COMPUTED_VALUE"""),0.0)</f>
        <v>0</v>
      </c>
      <c r="W47" s="183">
        <f>IFERROR(__xludf.DUMMYFUNCTION("""COMPUTED_VALUE"""),0.0)</f>
        <v>0</v>
      </c>
      <c r="X47" s="183">
        <f>IFERROR(__xludf.DUMMYFUNCTION("""COMPUTED_VALUE"""),0.0)</f>
        <v>0</v>
      </c>
      <c r="Y47" s="183">
        <f>IFERROR(__xludf.DUMMYFUNCTION("""COMPUTED_VALUE"""),0.0)</f>
        <v>0</v>
      </c>
      <c r="Z47" s="183">
        <f t="shared" si="12"/>
        <v>0</v>
      </c>
      <c r="AA47" s="183">
        <f t="shared" si="13"/>
        <v>0</v>
      </c>
      <c r="AB47" s="183">
        <f t="shared" si="14"/>
        <v>0</v>
      </c>
    </row>
    <row r="48" ht="14.25" customHeight="1">
      <c r="A48" s="175"/>
      <c r="B48" s="196" t="s">
        <v>791</v>
      </c>
      <c r="C48" s="181"/>
      <c r="D48" s="197" t="s">
        <v>792</v>
      </c>
      <c r="E48" s="183">
        <f>SUMIFS('DB WBS'!$J:$J,'DB WBS'!$A:$A,$D$4,'DB WBS'!$D:$D,AA$1,'DB WBS'!$B:$B,$E$3,'DB WBS'!$E:$E,$B48)</f>
        <v>0</v>
      </c>
      <c r="F48" s="183">
        <f>SUMIFS('DB WBS'!$J:$J,'DB WBS'!$A:$A,$D$4,'DB WBS'!$D:$D,AA$2,'DB WBS'!$B:$B,$E$3,'DB WBS'!$E:$E,$B48)</f>
        <v>0</v>
      </c>
      <c r="G48" s="184">
        <f>IFERROR(HLOOKUP($E$3,'Tahun Lalu'!$B$5:$V$158,MATCH(B48,'Tahun Lalu'!$B$5:$B$158,0),0),0)</f>
        <v>0</v>
      </c>
      <c r="H48" s="183">
        <f>IFERROR(round(HLOOKUP('Tahun Lalu'!$D$3,RKO!$A$1:$P$171,MATCH(B48,RKO!$A$1:$A$171,0),0)*1000,0),0)</f>
        <v>0</v>
      </c>
      <c r="I48" s="183">
        <f>IFERROR(round(HLOOKUP('Tahun Lalu'!$D$3,RKAP!$A$1:$P$171,MATCH(B48,RKAP!$A$1:$A$171,0),0)*1000,0),0)</f>
        <v>0</v>
      </c>
      <c r="J48" s="183">
        <f t="shared" si="3"/>
        <v>0</v>
      </c>
      <c r="K48" s="183">
        <f t="shared" si="4"/>
        <v>0</v>
      </c>
      <c r="L48" s="183">
        <f t="shared" si="5"/>
        <v>0</v>
      </c>
      <c r="M48" s="183">
        <f t="shared" si="6"/>
        <v>0</v>
      </c>
      <c r="N48" s="183">
        <f t="shared" si="56"/>
        <v>0</v>
      </c>
      <c r="O48" s="183">
        <f t="shared" ref="O48:Q48" si="58">G48+W48</f>
        <v>0</v>
      </c>
      <c r="P48" s="183">
        <f t="shared" si="58"/>
        <v>0</v>
      </c>
      <c r="Q48" s="183">
        <f t="shared" si="58"/>
        <v>0</v>
      </c>
      <c r="R48" s="183">
        <f t="shared" si="9"/>
        <v>0</v>
      </c>
      <c r="S48" s="183">
        <f t="shared" si="10"/>
        <v>0</v>
      </c>
      <c r="T48" s="183">
        <f t="shared" si="11"/>
        <v>0</v>
      </c>
      <c r="U48" s="186"/>
      <c r="V48" s="183">
        <f>IFERROR(__xludf.DUMMYFUNCTION("""COMPUTED_VALUE"""),0.0)</f>
        <v>0</v>
      </c>
      <c r="W48" s="183">
        <f>IFERROR(__xludf.DUMMYFUNCTION("""COMPUTED_VALUE"""),0.0)</f>
        <v>0</v>
      </c>
      <c r="X48" s="183">
        <f>IFERROR(__xludf.DUMMYFUNCTION("""COMPUTED_VALUE"""),0.0)</f>
        <v>0</v>
      </c>
      <c r="Y48" s="183">
        <f>IFERROR(__xludf.DUMMYFUNCTION("""COMPUTED_VALUE"""),0.0)</f>
        <v>0</v>
      </c>
      <c r="Z48" s="183">
        <f t="shared" si="12"/>
        <v>0</v>
      </c>
      <c r="AA48" s="183">
        <f t="shared" si="13"/>
        <v>0</v>
      </c>
      <c r="AB48" s="183">
        <f t="shared" si="14"/>
        <v>0</v>
      </c>
    </row>
    <row r="49" ht="14.25" customHeight="1">
      <c r="A49" s="175"/>
      <c r="B49" s="196" t="s">
        <v>793</v>
      </c>
      <c r="C49" s="181"/>
      <c r="D49" s="197" t="s">
        <v>794</v>
      </c>
      <c r="E49" s="183">
        <f>SUMIFS('DB WBS'!$J:$J,'DB WBS'!$A:$A,$D$4,'DB WBS'!$D:$D,AA$1,'DB WBS'!$B:$B,$E$3,'DB WBS'!$E:$E,$B49)</f>
        <v>0</v>
      </c>
      <c r="F49" s="183">
        <f>SUMIFS('DB WBS'!$J:$J,'DB WBS'!$A:$A,$D$4,'DB WBS'!$D:$D,AA$2,'DB WBS'!$B:$B,$E$3,'DB WBS'!$E:$E,$B49)</f>
        <v>0</v>
      </c>
      <c r="G49" s="184">
        <f>IFERROR(HLOOKUP($E$3,'Tahun Lalu'!$B$5:$V$158,MATCH(B49,'Tahun Lalu'!$B$5:$B$158,0),0),0)</f>
        <v>0</v>
      </c>
      <c r="H49" s="183">
        <f>IFERROR(round(HLOOKUP('Tahun Lalu'!$D$3,RKO!$A$1:$P$171,MATCH(B49,RKO!$A$1:$A$171,0),0)*1000,0),0)</f>
        <v>0</v>
      </c>
      <c r="I49" s="183">
        <f>IFERROR(round(HLOOKUP('Tahun Lalu'!$D$3,RKAP!$A$1:$P$171,MATCH(B49,RKAP!$A$1:$A$171,0),0)*1000,0),0)</f>
        <v>0</v>
      </c>
      <c r="J49" s="183">
        <f t="shared" si="3"/>
        <v>0</v>
      </c>
      <c r="K49" s="183">
        <f t="shared" si="4"/>
        <v>0</v>
      </c>
      <c r="L49" s="183">
        <f t="shared" si="5"/>
        <v>0</v>
      </c>
      <c r="M49" s="183">
        <f t="shared" si="6"/>
        <v>0</v>
      </c>
      <c r="N49" s="183">
        <f t="shared" si="56"/>
        <v>0</v>
      </c>
      <c r="O49" s="183">
        <f t="shared" ref="O49:Q49" si="59">G49+W49</f>
        <v>0</v>
      </c>
      <c r="P49" s="183">
        <f t="shared" si="59"/>
        <v>0</v>
      </c>
      <c r="Q49" s="183">
        <f t="shared" si="59"/>
        <v>0</v>
      </c>
      <c r="R49" s="183">
        <f t="shared" si="9"/>
        <v>0</v>
      </c>
      <c r="S49" s="183">
        <f t="shared" si="10"/>
        <v>0</v>
      </c>
      <c r="T49" s="183">
        <f t="shared" si="11"/>
        <v>0</v>
      </c>
      <c r="U49" s="186"/>
      <c r="V49" s="183">
        <f>IFERROR(__xludf.DUMMYFUNCTION("""COMPUTED_VALUE"""),0.0)</f>
        <v>0</v>
      </c>
      <c r="W49" s="183">
        <f>IFERROR(__xludf.DUMMYFUNCTION("""COMPUTED_VALUE"""),0.0)</f>
        <v>0</v>
      </c>
      <c r="X49" s="183">
        <f>IFERROR(__xludf.DUMMYFUNCTION("""COMPUTED_VALUE"""),0.0)</f>
        <v>0</v>
      </c>
      <c r="Y49" s="183">
        <f>IFERROR(__xludf.DUMMYFUNCTION("""COMPUTED_VALUE"""),0.0)</f>
        <v>0</v>
      </c>
      <c r="Z49" s="183">
        <f t="shared" si="12"/>
        <v>0</v>
      </c>
      <c r="AA49" s="183">
        <f t="shared" si="13"/>
        <v>0</v>
      </c>
      <c r="AB49" s="183">
        <f t="shared" si="14"/>
        <v>0</v>
      </c>
    </row>
    <row r="50" ht="14.25" customHeight="1">
      <c r="A50" s="175"/>
      <c r="B50" s="196" t="s">
        <v>795</v>
      </c>
      <c r="C50" s="181"/>
      <c r="D50" s="197" t="s">
        <v>796</v>
      </c>
      <c r="E50" s="183">
        <f>SUMIFS('DB WBS'!$J:$J,'DB WBS'!$A:$A,$D$4,'DB WBS'!$D:$D,AA$1,'DB WBS'!$B:$B,$E$3,'DB WBS'!$E:$E,$B50)</f>
        <v>0</v>
      </c>
      <c r="F50" s="183">
        <f>SUMIFS('DB WBS'!$J:$J,'DB WBS'!$A:$A,$D$4,'DB WBS'!$D:$D,AA$2,'DB WBS'!$B:$B,$E$3,'DB WBS'!$E:$E,$B50)</f>
        <v>0</v>
      </c>
      <c r="G50" s="184">
        <f>IFERROR(HLOOKUP($E$3,'Tahun Lalu'!$B$5:$V$158,MATCH(B50,'Tahun Lalu'!$B$5:$B$158,0),0),0)</f>
        <v>0</v>
      </c>
      <c r="H50" s="183">
        <f>IFERROR(round(HLOOKUP('Tahun Lalu'!$D$3,RKO!$A$1:$P$171,MATCH(B50,RKO!$A$1:$A$171,0),0)*1000,0),0)</f>
        <v>0</v>
      </c>
      <c r="I50" s="183">
        <f>IFERROR(round(HLOOKUP('Tahun Lalu'!$D$3,RKAP!$A$1:$P$171,MATCH(B50,RKAP!$A$1:$A$171,0),0)*1000,0),0)</f>
        <v>0</v>
      </c>
      <c r="J50" s="183">
        <f t="shared" si="3"/>
        <v>0</v>
      </c>
      <c r="K50" s="183">
        <f t="shared" si="4"/>
        <v>0</v>
      </c>
      <c r="L50" s="183">
        <f t="shared" si="5"/>
        <v>0</v>
      </c>
      <c r="M50" s="183">
        <f t="shared" si="6"/>
        <v>0</v>
      </c>
      <c r="N50" s="183">
        <f t="shared" si="56"/>
        <v>0</v>
      </c>
      <c r="O50" s="183">
        <f t="shared" ref="O50:Q50" si="60">G50+W50</f>
        <v>0</v>
      </c>
      <c r="P50" s="183">
        <f t="shared" si="60"/>
        <v>0</v>
      </c>
      <c r="Q50" s="183">
        <f t="shared" si="60"/>
        <v>0</v>
      </c>
      <c r="R50" s="183">
        <f t="shared" si="9"/>
        <v>0</v>
      </c>
      <c r="S50" s="183">
        <f t="shared" si="10"/>
        <v>0</v>
      </c>
      <c r="T50" s="183">
        <f t="shared" si="11"/>
        <v>0</v>
      </c>
      <c r="U50" s="186"/>
      <c r="V50" s="183">
        <f>IFERROR(__xludf.DUMMYFUNCTION("""COMPUTED_VALUE"""),0.0)</f>
        <v>0</v>
      </c>
      <c r="W50" s="183">
        <f>IFERROR(__xludf.DUMMYFUNCTION("""COMPUTED_VALUE"""),0.0)</f>
        <v>0</v>
      </c>
      <c r="X50" s="183">
        <f>IFERROR(__xludf.DUMMYFUNCTION("""COMPUTED_VALUE"""),0.0)</f>
        <v>0</v>
      </c>
      <c r="Y50" s="183">
        <f>IFERROR(__xludf.DUMMYFUNCTION("""COMPUTED_VALUE"""),0.0)</f>
        <v>0</v>
      </c>
      <c r="Z50" s="183">
        <f t="shared" si="12"/>
        <v>0</v>
      </c>
      <c r="AA50" s="183">
        <f t="shared" si="13"/>
        <v>0</v>
      </c>
      <c r="AB50" s="183">
        <f t="shared" si="14"/>
        <v>0</v>
      </c>
    </row>
    <row r="51" ht="14.25" customHeight="1">
      <c r="A51" s="175"/>
      <c r="B51" s="196" t="s">
        <v>797</v>
      </c>
      <c r="C51" s="181"/>
      <c r="D51" s="197" t="s">
        <v>798</v>
      </c>
      <c r="E51" s="183">
        <f>SUMIFS('DB WBS'!$J:$J,'DB WBS'!$A:$A,$D$4,'DB WBS'!$D:$D,AA$1,'DB WBS'!$B:$B,$E$3,'DB WBS'!$E:$E,$B51)</f>
        <v>0</v>
      </c>
      <c r="F51" s="183">
        <f>SUMIFS('DB WBS'!$J:$J,'DB WBS'!$A:$A,$D$4,'DB WBS'!$D:$D,AA$2,'DB WBS'!$B:$B,$E$3,'DB WBS'!$E:$E,$B51)</f>
        <v>0</v>
      </c>
      <c r="G51" s="184">
        <f>IFERROR(HLOOKUP($E$3,'Tahun Lalu'!$B$5:$V$158,MATCH(B51,'Tahun Lalu'!$B$5:$B$158,0),0),0)</f>
        <v>0</v>
      </c>
      <c r="H51" s="183">
        <f>IFERROR(round(HLOOKUP('Tahun Lalu'!$D$3,RKO!$A$1:$P$171,MATCH(B51,RKO!$A$1:$A$171,0),0)*1000,0),0)</f>
        <v>0</v>
      </c>
      <c r="I51" s="183">
        <f>IFERROR(round(HLOOKUP('Tahun Lalu'!$D$3,RKAP!$A$1:$P$171,MATCH(B51,RKAP!$A$1:$A$171,0),0)*1000,0),0)</f>
        <v>0</v>
      </c>
      <c r="J51" s="183">
        <f t="shared" si="3"/>
        <v>0</v>
      </c>
      <c r="K51" s="183">
        <f t="shared" si="4"/>
        <v>0</v>
      </c>
      <c r="L51" s="183">
        <f t="shared" si="5"/>
        <v>0</v>
      </c>
      <c r="M51" s="183">
        <f t="shared" si="6"/>
        <v>0</v>
      </c>
      <c r="N51" s="183">
        <f t="shared" si="56"/>
        <v>0</v>
      </c>
      <c r="O51" s="183">
        <f t="shared" ref="O51:Q51" si="61">G51+W51</f>
        <v>0</v>
      </c>
      <c r="P51" s="183">
        <f t="shared" si="61"/>
        <v>0</v>
      </c>
      <c r="Q51" s="183">
        <f t="shared" si="61"/>
        <v>0</v>
      </c>
      <c r="R51" s="183">
        <f t="shared" si="9"/>
        <v>0</v>
      </c>
      <c r="S51" s="183">
        <f t="shared" si="10"/>
        <v>0</v>
      </c>
      <c r="T51" s="183">
        <f t="shared" si="11"/>
        <v>0</v>
      </c>
      <c r="U51" s="186"/>
      <c r="V51" s="183">
        <f>IFERROR(__xludf.DUMMYFUNCTION("""COMPUTED_VALUE"""),0.0)</f>
        <v>0</v>
      </c>
      <c r="W51" s="183">
        <f>IFERROR(__xludf.DUMMYFUNCTION("""COMPUTED_VALUE"""),0.0)</f>
        <v>0</v>
      </c>
      <c r="X51" s="183">
        <f>IFERROR(__xludf.DUMMYFUNCTION("""COMPUTED_VALUE"""),0.0)</f>
        <v>0</v>
      </c>
      <c r="Y51" s="183">
        <f>IFERROR(__xludf.DUMMYFUNCTION("""COMPUTED_VALUE"""),0.0)</f>
        <v>0</v>
      </c>
      <c r="Z51" s="183">
        <f t="shared" si="12"/>
        <v>0</v>
      </c>
      <c r="AA51" s="183">
        <f t="shared" si="13"/>
        <v>0</v>
      </c>
      <c r="AB51" s="183">
        <f t="shared" si="14"/>
        <v>0</v>
      </c>
    </row>
    <row r="52" ht="14.25" customHeight="1">
      <c r="A52" s="175"/>
      <c r="B52" s="196" t="s">
        <v>799</v>
      </c>
      <c r="C52" s="181"/>
      <c r="D52" s="197" t="s">
        <v>800</v>
      </c>
      <c r="E52" s="183">
        <f>SUMIFS('DB WBS'!$J:$J,'DB WBS'!$A:$A,$D$4,'DB WBS'!$D:$D,AA$1,'DB WBS'!$B:$B,$E$3,'DB WBS'!$E:$E,$B52)</f>
        <v>0</v>
      </c>
      <c r="F52" s="183">
        <f>SUMIFS('DB WBS'!$J:$J,'DB WBS'!$A:$A,$D$4,'DB WBS'!$D:$D,AA$2,'DB WBS'!$B:$B,$E$3,'DB WBS'!$E:$E,$B52)</f>
        <v>0</v>
      </c>
      <c r="G52" s="184">
        <f>IFERROR(HLOOKUP($E$3,'Tahun Lalu'!$B$5:$V$158,MATCH(B52,'Tahun Lalu'!$B$5:$B$158,0),0),0)</f>
        <v>0</v>
      </c>
      <c r="H52" s="183">
        <f>IFERROR(round(HLOOKUP('Tahun Lalu'!$D$3,RKO!$A$1:$P$171,MATCH(B52,RKO!$A$1:$A$171,0),0)*1000,0),0)</f>
        <v>0</v>
      </c>
      <c r="I52" s="183">
        <f>IFERROR(round(HLOOKUP('Tahun Lalu'!$D$3,RKAP!$A$1:$P$171,MATCH(B52,RKAP!$A$1:$A$171,0),0)*1000,0),0)</f>
        <v>0</v>
      </c>
      <c r="J52" s="183">
        <f t="shared" si="3"/>
        <v>0</v>
      </c>
      <c r="K52" s="183">
        <f t="shared" si="4"/>
        <v>0</v>
      </c>
      <c r="L52" s="183">
        <f t="shared" si="5"/>
        <v>0</v>
      </c>
      <c r="M52" s="183">
        <f t="shared" si="6"/>
        <v>0</v>
      </c>
      <c r="N52" s="183">
        <f t="shared" si="56"/>
        <v>0</v>
      </c>
      <c r="O52" s="183">
        <f t="shared" ref="O52:Q52" si="62">G52+W52</f>
        <v>0</v>
      </c>
      <c r="P52" s="183">
        <f t="shared" si="62"/>
        <v>0</v>
      </c>
      <c r="Q52" s="183">
        <f t="shared" si="62"/>
        <v>0</v>
      </c>
      <c r="R52" s="183">
        <f t="shared" si="9"/>
        <v>0</v>
      </c>
      <c r="S52" s="183">
        <f t="shared" si="10"/>
        <v>0</v>
      </c>
      <c r="T52" s="183">
        <f t="shared" si="11"/>
        <v>0</v>
      </c>
      <c r="U52" s="186"/>
      <c r="V52" s="183">
        <f>IFERROR(__xludf.DUMMYFUNCTION("""COMPUTED_VALUE"""),0.0)</f>
        <v>0</v>
      </c>
      <c r="W52" s="183">
        <f>IFERROR(__xludf.DUMMYFUNCTION("""COMPUTED_VALUE"""),0.0)</f>
        <v>0</v>
      </c>
      <c r="X52" s="183">
        <f>IFERROR(__xludf.DUMMYFUNCTION("""COMPUTED_VALUE"""),0.0)</f>
        <v>0</v>
      </c>
      <c r="Y52" s="183">
        <f>IFERROR(__xludf.DUMMYFUNCTION("""COMPUTED_VALUE"""),0.0)</f>
        <v>0</v>
      </c>
      <c r="Z52" s="183">
        <f t="shared" si="12"/>
        <v>0</v>
      </c>
      <c r="AA52" s="183">
        <f t="shared" si="13"/>
        <v>0</v>
      </c>
      <c r="AB52" s="183">
        <f t="shared" si="14"/>
        <v>0</v>
      </c>
    </row>
    <row r="53" ht="14.25" customHeight="1">
      <c r="A53" s="175"/>
      <c r="B53" s="196" t="s">
        <v>801</v>
      </c>
      <c r="C53" s="181"/>
      <c r="D53" s="197" t="s">
        <v>802</v>
      </c>
      <c r="E53" s="183">
        <f>SUMIFS('DB WBS'!$J:$J,'DB WBS'!$A:$A,$D$4,'DB WBS'!$D:$D,AA$1,'DB WBS'!$B:$B,$E$3,'DB WBS'!$E:$E,$B53)</f>
        <v>0</v>
      </c>
      <c r="F53" s="183">
        <f>SUMIFS('DB WBS'!$J:$J,'DB WBS'!$A:$A,$D$4,'DB WBS'!$D:$D,AA$2,'DB WBS'!$B:$B,$E$3,'DB WBS'!$E:$E,$B53)</f>
        <v>0</v>
      </c>
      <c r="G53" s="184">
        <f>IFERROR(HLOOKUP($E$3,'Tahun Lalu'!$B$5:$V$158,MATCH(B53,'Tahun Lalu'!$B$5:$B$158,0),0),0)</f>
        <v>0</v>
      </c>
      <c r="H53" s="183">
        <f>IFERROR(round(HLOOKUP('Tahun Lalu'!$D$3,RKO!$A$1:$P$171,MATCH(B53,RKO!$A$1:$A$171,0),0)*1000,0),0)</f>
        <v>0</v>
      </c>
      <c r="I53" s="183">
        <f>IFERROR(round(HLOOKUP('Tahun Lalu'!$D$3,RKAP!$A$1:$P$171,MATCH(B53,RKAP!$A$1:$A$171,0),0)*1000,0),0)</f>
        <v>0</v>
      </c>
      <c r="J53" s="183">
        <f t="shared" si="3"/>
        <v>0</v>
      </c>
      <c r="K53" s="183">
        <f t="shared" si="4"/>
        <v>0</v>
      </c>
      <c r="L53" s="183">
        <f t="shared" si="5"/>
        <v>0</v>
      </c>
      <c r="M53" s="183">
        <f t="shared" si="6"/>
        <v>0</v>
      </c>
      <c r="N53" s="183">
        <f t="shared" si="56"/>
        <v>0</v>
      </c>
      <c r="O53" s="183">
        <f t="shared" ref="O53:Q53" si="63">G53+W53</f>
        <v>0</v>
      </c>
      <c r="P53" s="183">
        <f t="shared" si="63"/>
        <v>0</v>
      </c>
      <c r="Q53" s="183">
        <f t="shared" si="63"/>
        <v>0</v>
      </c>
      <c r="R53" s="183">
        <f t="shared" si="9"/>
        <v>0</v>
      </c>
      <c r="S53" s="183">
        <f t="shared" si="10"/>
        <v>0</v>
      </c>
      <c r="T53" s="183">
        <f t="shared" si="11"/>
        <v>0</v>
      </c>
      <c r="U53" s="186"/>
      <c r="V53" s="183">
        <f>IFERROR(__xludf.DUMMYFUNCTION("""COMPUTED_VALUE"""),0.0)</f>
        <v>0</v>
      </c>
      <c r="W53" s="183">
        <f>IFERROR(__xludf.DUMMYFUNCTION("""COMPUTED_VALUE"""),0.0)</f>
        <v>0</v>
      </c>
      <c r="X53" s="183">
        <f>IFERROR(__xludf.DUMMYFUNCTION("""COMPUTED_VALUE"""),0.0)</f>
        <v>0</v>
      </c>
      <c r="Y53" s="183">
        <f>IFERROR(__xludf.DUMMYFUNCTION("""COMPUTED_VALUE"""),0.0)</f>
        <v>0</v>
      </c>
      <c r="Z53" s="183">
        <f t="shared" si="12"/>
        <v>0</v>
      </c>
      <c r="AA53" s="183">
        <f t="shared" si="13"/>
        <v>0</v>
      </c>
      <c r="AB53" s="183">
        <f t="shared" si="14"/>
        <v>0</v>
      </c>
    </row>
    <row r="54" ht="14.25" customHeight="1">
      <c r="A54" s="175"/>
      <c r="B54" s="196" t="s">
        <v>803</v>
      </c>
      <c r="C54" s="181"/>
      <c r="D54" s="197" t="s">
        <v>804</v>
      </c>
      <c r="E54" s="183">
        <f>SUMIFS('DB WBS'!$J:$J,'DB WBS'!$A:$A,$D$4,'DB WBS'!$D:$D,AA$1,'DB WBS'!$B:$B,$E$3,'DB WBS'!$E:$E,$B54)</f>
        <v>0</v>
      </c>
      <c r="F54" s="183">
        <f>SUMIFS('DB WBS'!$J:$J,'DB WBS'!$A:$A,$D$4,'DB WBS'!$D:$D,AA$2,'DB WBS'!$B:$B,$E$3,'DB WBS'!$E:$E,$B54)</f>
        <v>0</v>
      </c>
      <c r="G54" s="184">
        <f>IFERROR(HLOOKUP($E$3,'Tahun Lalu'!$B$5:$V$158,MATCH(B54,'Tahun Lalu'!$B$5:$B$158,0),0),0)</f>
        <v>0</v>
      </c>
      <c r="H54" s="183">
        <f>IFERROR(round(HLOOKUP('Tahun Lalu'!$D$3,RKO!$A$1:$P$171,MATCH(B54,RKO!$A$1:$A$171,0),0)*1000,0),0)</f>
        <v>0</v>
      </c>
      <c r="I54" s="183">
        <f>IFERROR(round(HLOOKUP('Tahun Lalu'!$D$3,RKAP!$A$1:$P$171,MATCH(B54,RKAP!$A$1:$A$171,0),0)*1000,0),0)</f>
        <v>0</v>
      </c>
      <c r="J54" s="183">
        <f t="shared" si="3"/>
        <v>0</v>
      </c>
      <c r="K54" s="183">
        <f t="shared" si="4"/>
        <v>0</v>
      </c>
      <c r="L54" s="183">
        <f t="shared" si="5"/>
        <v>0</v>
      </c>
      <c r="M54" s="183">
        <f t="shared" si="6"/>
        <v>0</v>
      </c>
      <c r="N54" s="183">
        <f t="shared" si="56"/>
        <v>0</v>
      </c>
      <c r="O54" s="183">
        <f t="shared" ref="O54:Q54" si="64">G54+W54</f>
        <v>0</v>
      </c>
      <c r="P54" s="183">
        <f t="shared" si="64"/>
        <v>0</v>
      </c>
      <c r="Q54" s="183">
        <f t="shared" si="64"/>
        <v>0</v>
      </c>
      <c r="R54" s="183">
        <f t="shared" si="9"/>
        <v>0</v>
      </c>
      <c r="S54" s="183">
        <f t="shared" si="10"/>
        <v>0</v>
      </c>
      <c r="T54" s="183">
        <f t="shared" si="11"/>
        <v>0</v>
      </c>
      <c r="U54" s="186"/>
      <c r="V54" s="183">
        <f>IFERROR(__xludf.DUMMYFUNCTION("""COMPUTED_VALUE"""),0.0)</f>
        <v>0</v>
      </c>
      <c r="W54" s="183">
        <f>IFERROR(__xludf.DUMMYFUNCTION("""COMPUTED_VALUE"""),0.0)</f>
        <v>0</v>
      </c>
      <c r="X54" s="183">
        <f>IFERROR(__xludf.DUMMYFUNCTION("""COMPUTED_VALUE"""),0.0)</f>
        <v>0</v>
      </c>
      <c r="Y54" s="183">
        <f>IFERROR(__xludf.DUMMYFUNCTION("""COMPUTED_VALUE"""),0.0)</f>
        <v>0</v>
      </c>
      <c r="Z54" s="183">
        <f t="shared" si="12"/>
        <v>0</v>
      </c>
      <c r="AA54" s="183">
        <f t="shared" si="13"/>
        <v>0</v>
      </c>
      <c r="AB54" s="183">
        <f t="shared" si="14"/>
        <v>0</v>
      </c>
    </row>
    <row r="55" ht="14.25" customHeight="1">
      <c r="A55" s="175"/>
      <c r="B55" s="196" t="s">
        <v>805</v>
      </c>
      <c r="C55" s="181"/>
      <c r="D55" s="197" t="s">
        <v>806</v>
      </c>
      <c r="E55" s="183">
        <f>SUMIFS('DB WBS'!$J:$J,'DB WBS'!$A:$A,$D$4,'DB WBS'!$D:$D,AA$1,'DB WBS'!$B:$B,$E$3,'DB WBS'!$E:$E,$B55)</f>
        <v>0</v>
      </c>
      <c r="F55" s="183">
        <f>SUMIFS('DB WBS'!$J:$J,'DB WBS'!$A:$A,$D$4,'DB WBS'!$D:$D,AA$2,'DB WBS'!$B:$B,$E$3,'DB WBS'!$E:$E,$B55)</f>
        <v>0</v>
      </c>
      <c r="G55" s="184">
        <f>IFERROR(HLOOKUP($E$3,'Tahun Lalu'!$B$5:$V$158,MATCH(B55,'Tahun Lalu'!$B$5:$B$158,0),0),0)</f>
        <v>0</v>
      </c>
      <c r="H55" s="183">
        <f>IFERROR(round(HLOOKUP('Tahun Lalu'!$D$3,RKO!$A$1:$P$171,MATCH(B55,RKO!$A$1:$A$171,0),0)*1000,0),0)</f>
        <v>0</v>
      </c>
      <c r="I55" s="183">
        <f>IFERROR(round(HLOOKUP('Tahun Lalu'!$D$3,RKAP!$A$1:$P$171,MATCH(B55,RKAP!$A$1:$A$171,0),0)*1000,0),0)</f>
        <v>0</v>
      </c>
      <c r="J55" s="183">
        <f t="shared" si="3"/>
        <v>0</v>
      </c>
      <c r="K55" s="183">
        <f t="shared" si="4"/>
        <v>0</v>
      </c>
      <c r="L55" s="183">
        <f t="shared" si="5"/>
        <v>0</v>
      </c>
      <c r="M55" s="183">
        <f t="shared" si="6"/>
        <v>0</v>
      </c>
      <c r="N55" s="183">
        <f t="shared" si="56"/>
        <v>0</v>
      </c>
      <c r="O55" s="183">
        <f t="shared" ref="O55:Q55" si="65">G55+W55</f>
        <v>0</v>
      </c>
      <c r="P55" s="183">
        <f t="shared" si="65"/>
        <v>0</v>
      </c>
      <c r="Q55" s="183">
        <f t="shared" si="65"/>
        <v>0</v>
      </c>
      <c r="R55" s="183">
        <f t="shared" si="9"/>
        <v>0</v>
      </c>
      <c r="S55" s="183">
        <f t="shared" si="10"/>
        <v>0</v>
      </c>
      <c r="T55" s="183">
        <f t="shared" si="11"/>
        <v>0</v>
      </c>
      <c r="U55" s="186"/>
      <c r="V55" s="183">
        <f>IFERROR(__xludf.DUMMYFUNCTION("""COMPUTED_VALUE"""),0.0)</f>
        <v>0</v>
      </c>
      <c r="W55" s="183">
        <f>IFERROR(__xludf.DUMMYFUNCTION("""COMPUTED_VALUE"""),0.0)</f>
        <v>0</v>
      </c>
      <c r="X55" s="183">
        <f>IFERROR(__xludf.DUMMYFUNCTION("""COMPUTED_VALUE"""),0.0)</f>
        <v>0</v>
      </c>
      <c r="Y55" s="183">
        <f>IFERROR(__xludf.DUMMYFUNCTION("""COMPUTED_VALUE"""),0.0)</f>
        <v>0</v>
      </c>
      <c r="Z55" s="183">
        <f t="shared" si="12"/>
        <v>0</v>
      </c>
      <c r="AA55" s="183">
        <f t="shared" si="13"/>
        <v>0</v>
      </c>
      <c r="AB55" s="183">
        <f t="shared" si="14"/>
        <v>0</v>
      </c>
    </row>
    <row r="56" ht="14.25" customHeight="1">
      <c r="A56" s="175"/>
      <c r="B56" s="196" t="s">
        <v>807</v>
      </c>
      <c r="C56" s="181"/>
      <c r="D56" s="197" t="s">
        <v>808</v>
      </c>
      <c r="E56" s="183">
        <f>SUMIFS('DB WBS'!$J:$J,'DB WBS'!$A:$A,$D$4,'DB WBS'!$D:$D,AA$1,'DB WBS'!$B:$B,$E$3,'DB WBS'!$E:$E,$B56)</f>
        <v>0</v>
      </c>
      <c r="F56" s="183">
        <f>SUMIFS('DB WBS'!$J:$J,'DB WBS'!$A:$A,$D$4,'DB WBS'!$D:$D,AA$2,'DB WBS'!$B:$B,$E$3,'DB WBS'!$E:$E,$B56)</f>
        <v>0</v>
      </c>
      <c r="G56" s="184">
        <f>IFERROR(HLOOKUP($E$3,'Tahun Lalu'!$B$5:$V$158,MATCH(B56,'Tahun Lalu'!$B$5:$B$158,0),0),0)</f>
        <v>0</v>
      </c>
      <c r="H56" s="183">
        <f>IFERROR(round(HLOOKUP('Tahun Lalu'!$D$3,RKO!$A$1:$P$171,MATCH(B56,RKO!$A$1:$A$171,0),0)*1000,0),0)</f>
        <v>0</v>
      </c>
      <c r="I56" s="183">
        <f>IFERROR(round(HLOOKUP('Tahun Lalu'!$D$3,RKAP!$A$1:$P$171,MATCH(B56,RKAP!$A$1:$A$171,0),0)*1000,0),0)</f>
        <v>0</v>
      </c>
      <c r="J56" s="183">
        <f t="shared" si="3"/>
        <v>0</v>
      </c>
      <c r="K56" s="183">
        <f t="shared" si="4"/>
        <v>0</v>
      </c>
      <c r="L56" s="183">
        <f t="shared" si="5"/>
        <v>0</v>
      </c>
      <c r="M56" s="183">
        <f t="shared" si="6"/>
        <v>0</v>
      </c>
      <c r="N56" s="183">
        <f t="shared" si="56"/>
        <v>0</v>
      </c>
      <c r="O56" s="183">
        <f t="shared" ref="O56:Q56" si="66">G56+W56</f>
        <v>0</v>
      </c>
      <c r="P56" s="183">
        <f t="shared" si="66"/>
        <v>0</v>
      </c>
      <c r="Q56" s="183">
        <f t="shared" si="66"/>
        <v>0</v>
      </c>
      <c r="R56" s="183">
        <f t="shared" si="9"/>
        <v>0</v>
      </c>
      <c r="S56" s="183">
        <f t="shared" si="10"/>
        <v>0</v>
      </c>
      <c r="T56" s="183">
        <f t="shared" si="11"/>
        <v>0</v>
      </c>
      <c r="U56" s="186"/>
      <c r="V56" s="183">
        <f>IFERROR(__xludf.DUMMYFUNCTION("""COMPUTED_VALUE"""),0.0)</f>
        <v>0</v>
      </c>
      <c r="W56" s="183">
        <f>IFERROR(__xludf.DUMMYFUNCTION("""COMPUTED_VALUE"""),0.0)</f>
        <v>0</v>
      </c>
      <c r="X56" s="183">
        <f>IFERROR(__xludf.DUMMYFUNCTION("""COMPUTED_VALUE"""),0.0)</f>
        <v>0</v>
      </c>
      <c r="Y56" s="183">
        <f>IFERROR(__xludf.DUMMYFUNCTION("""COMPUTED_VALUE"""),0.0)</f>
        <v>0</v>
      </c>
      <c r="Z56" s="183">
        <f t="shared" si="12"/>
        <v>0</v>
      </c>
      <c r="AA56" s="183">
        <f t="shared" si="13"/>
        <v>0</v>
      </c>
      <c r="AB56" s="183">
        <f t="shared" si="14"/>
        <v>0</v>
      </c>
    </row>
    <row r="57" ht="14.25" customHeight="1">
      <c r="A57" s="175"/>
      <c r="B57" s="196"/>
      <c r="C57" s="181"/>
      <c r="D57" s="197"/>
      <c r="E57" s="183">
        <f>SUMIFS('DB WBS'!$J:$J,'DB WBS'!$A:$A,$D$4,'DB WBS'!$D:$D,AA$1,'DB WBS'!$B:$B,$E$3,'DB WBS'!$E:$E,$B57)</f>
        <v>0</v>
      </c>
      <c r="F57" s="183">
        <f>SUMIFS('DB WBS'!$J:$J,'DB WBS'!$A:$A,$D$4,'DB WBS'!$D:$D,AA$2,'DB WBS'!$B:$B,$E$3,'DB WBS'!$E:$E,$B57)</f>
        <v>0</v>
      </c>
      <c r="G57" s="184">
        <f>IFERROR(HLOOKUP($E$3,'Tahun Lalu'!$B$5:$V$158,MATCH(B57,'Tahun Lalu'!$B$5:$B$158,0),0),0)</f>
        <v>0</v>
      </c>
      <c r="H57" s="183">
        <f>IFERROR(round(HLOOKUP('Tahun Lalu'!$D$3,RKO!$A$1:$P$171,MATCH(B57,RKO!$A$1:$A$171,0),0)*1000,0),0)</f>
        <v>0</v>
      </c>
      <c r="I57" s="183">
        <f>IFERROR(round(HLOOKUP('Tahun Lalu'!$D$3,RKAP!$A$1:$P$171,MATCH(B57,RKAP!$A$1:$A$171,0),0)*1000,0),0)</f>
        <v>0</v>
      </c>
      <c r="J57" s="183">
        <f t="shared" si="3"/>
        <v>0</v>
      </c>
      <c r="K57" s="183">
        <f t="shared" si="4"/>
        <v>0</v>
      </c>
      <c r="L57" s="183">
        <f t="shared" si="5"/>
        <v>0</v>
      </c>
      <c r="M57" s="183">
        <f t="shared" si="6"/>
        <v>0</v>
      </c>
      <c r="N57" s="183">
        <f t="shared" si="56"/>
        <v>0</v>
      </c>
      <c r="O57" s="183">
        <f t="shared" ref="O57:Q57" si="67">G57+W57</f>
        <v>0</v>
      </c>
      <c r="P57" s="183">
        <f t="shared" si="67"/>
        <v>0</v>
      </c>
      <c r="Q57" s="183">
        <f t="shared" si="67"/>
        <v>0</v>
      </c>
      <c r="R57" s="183">
        <f t="shared" si="9"/>
        <v>0</v>
      </c>
      <c r="S57" s="183">
        <f t="shared" si="10"/>
        <v>0</v>
      </c>
      <c r="T57" s="183">
        <f t="shared" si="11"/>
        <v>0</v>
      </c>
      <c r="U57" s="186"/>
      <c r="V57" s="183">
        <f>IFERROR(__xludf.DUMMYFUNCTION("""COMPUTED_VALUE"""),0.0)</f>
        <v>0</v>
      </c>
      <c r="W57" s="183">
        <f>IFERROR(__xludf.DUMMYFUNCTION("""COMPUTED_VALUE"""),0.0)</f>
        <v>0</v>
      </c>
      <c r="X57" s="183">
        <f>IFERROR(__xludf.DUMMYFUNCTION("""COMPUTED_VALUE"""),0.0)</f>
        <v>0</v>
      </c>
      <c r="Y57" s="183">
        <f>IFERROR(__xludf.DUMMYFUNCTION("""COMPUTED_VALUE"""),0.0)</f>
        <v>0</v>
      </c>
      <c r="Z57" s="183">
        <f t="shared" si="12"/>
        <v>0</v>
      </c>
      <c r="AA57" s="183">
        <f t="shared" si="13"/>
        <v>0</v>
      </c>
      <c r="AB57" s="183">
        <f t="shared" si="14"/>
        <v>0</v>
      </c>
    </row>
    <row r="58" ht="14.25" customHeight="1">
      <c r="A58" s="175"/>
      <c r="B58" s="191" t="s">
        <v>809</v>
      </c>
      <c r="C58" s="199"/>
      <c r="D58" s="200"/>
      <c r="E58" s="201">
        <f t="shared" ref="E58:I58" si="68">SUM(E46:E57)</f>
        <v>2943589</v>
      </c>
      <c r="F58" s="201">
        <f t="shared" si="68"/>
        <v>2900301</v>
      </c>
      <c r="G58" s="201">
        <f t="shared" si="68"/>
        <v>7387346</v>
      </c>
      <c r="H58" s="201">
        <f t="shared" si="68"/>
        <v>0</v>
      </c>
      <c r="I58" s="201">
        <f t="shared" si="68"/>
        <v>0</v>
      </c>
      <c r="J58" s="201">
        <f t="shared" si="3"/>
        <v>101.4925347</v>
      </c>
      <c r="K58" s="201">
        <f t="shared" si="4"/>
        <v>39.84636702</v>
      </c>
      <c r="L58" s="201">
        <f t="shared" si="5"/>
        <v>0</v>
      </c>
      <c r="M58" s="201">
        <f t="shared" si="6"/>
        <v>0</v>
      </c>
      <c r="N58" s="201">
        <f t="shared" ref="N58:Q58" si="69">SUM(N46:N57)</f>
        <v>16103158</v>
      </c>
      <c r="O58" s="201">
        <f t="shared" si="69"/>
        <v>35778097</v>
      </c>
      <c r="P58" s="201">
        <f t="shared" si="69"/>
        <v>0</v>
      </c>
      <c r="Q58" s="201">
        <f t="shared" si="69"/>
        <v>0</v>
      </c>
      <c r="R58" s="201">
        <f t="shared" si="9"/>
        <v>45.00842513</v>
      </c>
      <c r="S58" s="201">
        <f t="shared" si="10"/>
        <v>0</v>
      </c>
      <c r="T58" s="201">
        <f t="shared" si="11"/>
        <v>0</v>
      </c>
      <c r="U58" s="202"/>
      <c r="V58" s="201">
        <f>IFERROR(__xludf.DUMMYFUNCTION("""COMPUTED_VALUE"""),1.3159569E7)</f>
        <v>13159569</v>
      </c>
      <c r="W58" s="201">
        <f>IFERROR(__xludf.DUMMYFUNCTION("""COMPUTED_VALUE"""),2.8390751E7)</f>
        <v>28390751</v>
      </c>
      <c r="X58" s="201">
        <f>IFERROR(__xludf.DUMMYFUNCTION("""COMPUTED_VALUE"""),0.0)</f>
        <v>0</v>
      </c>
      <c r="Y58" s="201">
        <f>IFERROR(__xludf.DUMMYFUNCTION("""COMPUTED_VALUE"""),0.0)</f>
        <v>0</v>
      </c>
      <c r="Z58" s="201">
        <f t="shared" si="12"/>
        <v>46.35160585</v>
      </c>
      <c r="AA58" s="201">
        <f t="shared" si="13"/>
        <v>0</v>
      </c>
      <c r="AB58" s="201">
        <f t="shared" si="14"/>
        <v>0</v>
      </c>
    </row>
    <row r="59" ht="14.25" customHeight="1">
      <c r="A59" s="175"/>
      <c r="B59" s="196"/>
      <c r="C59" s="181"/>
      <c r="D59" s="197"/>
      <c r="E59" s="183">
        <f>SUMIFS('DB WBS'!$J:$J,'DB WBS'!$A:$A,$D$4,'DB WBS'!$D:$D,AA$1,'DB WBS'!$B:$B,$E$3,'DB WBS'!$E:$E,$B59)</f>
        <v>0</v>
      </c>
      <c r="F59" s="183">
        <f>SUMIFS('DB WBS'!$J:$J,'DB WBS'!$A:$A,$D$4,'DB WBS'!$D:$D,AA$2,'DB WBS'!$B:$B,$E$3,'DB WBS'!$E:$E,$B59)</f>
        <v>0</v>
      </c>
      <c r="G59" s="184">
        <f>IFERROR(HLOOKUP($E$3,'Tahun Lalu'!$B$5:$V$158,MATCH(B59,'Tahun Lalu'!$B$5:$B$158,0),0),0)</f>
        <v>0</v>
      </c>
      <c r="H59" s="183">
        <f>IFERROR(round(HLOOKUP('Tahun Lalu'!$D$3,RKO!$A$1:$P$171,MATCH(B59,RKO!$A$1:$A$171,0),0)*1000,0),0)</f>
        <v>0</v>
      </c>
      <c r="I59" s="183">
        <f>IFERROR(round(HLOOKUP('Tahun Lalu'!$D$3,RKAP!$A$1:$P$171,MATCH(B59,RKAP!$A$1:$A$171,0),0)*1000,0),0)</f>
        <v>0</v>
      </c>
      <c r="J59" s="183">
        <f t="shared" si="3"/>
        <v>0</v>
      </c>
      <c r="K59" s="183">
        <f t="shared" si="4"/>
        <v>0</v>
      </c>
      <c r="L59" s="183">
        <f t="shared" si="5"/>
        <v>0</v>
      </c>
      <c r="M59" s="183">
        <f t="shared" si="6"/>
        <v>0</v>
      </c>
      <c r="N59" s="183">
        <f t="shared" ref="N59:N63" si="71">E59+V59</f>
        <v>0</v>
      </c>
      <c r="O59" s="183">
        <f t="shared" ref="O59:Q59" si="70">G59+W59</f>
        <v>0</v>
      </c>
      <c r="P59" s="183">
        <f t="shared" si="70"/>
        <v>0</v>
      </c>
      <c r="Q59" s="183">
        <f t="shared" si="70"/>
        <v>0</v>
      </c>
      <c r="R59" s="183">
        <f t="shared" si="9"/>
        <v>0</v>
      </c>
      <c r="S59" s="183">
        <f t="shared" si="10"/>
        <v>0</v>
      </c>
      <c r="T59" s="183">
        <f t="shared" si="11"/>
        <v>0</v>
      </c>
      <c r="U59" s="186"/>
      <c r="V59" s="183">
        <f>IFERROR(__xludf.DUMMYFUNCTION("""COMPUTED_VALUE"""),0.0)</f>
        <v>0</v>
      </c>
      <c r="W59" s="183">
        <f>IFERROR(__xludf.DUMMYFUNCTION("""COMPUTED_VALUE"""),0.0)</f>
        <v>0</v>
      </c>
      <c r="X59" s="183">
        <f>IFERROR(__xludf.DUMMYFUNCTION("""COMPUTED_VALUE"""),0.0)</f>
        <v>0</v>
      </c>
      <c r="Y59" s="183">
        <f>IFERROR(__xludf.DUMMYFUNCTION("""COMPUTED_VALUE"""),0.0)</f>
        <v>0</v>
      </c>
      <c r="Z59" s="183">
        <f t="shared" si="12"/>
        <v>0</v>
      </c>
      <c r="AA59" s="183">
        <f t="shared" si="13"/>
        <v>0</v>
      </c>
      <c r="AB59" s="183">
        <f t="shared" si="14"/>
        <v>0</v>
      </c>
    </row>
    <row r="60" ht="14.25" customHeight="1">
      <c r="A60" s="175"/>
      <c r="B60" s="196"/>
      <c r="C60" s="181"/>
      <c r="D60" s="197"/>
      <c r="E60" s="183">
        <f>SUMIFS('DB WBS'!$J:$J,'DB WBS'!$A:$A,$D$4,'DB WBS'!$D:$D,AA$1,'DB WBS'!$B:$B,$E$3,'DB WBS'!$E:$E,$B60)</f>
        <v>0</v>
      </c>
      <c r="F60" s="183">
        <f>SUMIFS('DB WBS'!$J:$J,'DB WBS'!$A:$A,$D$4,'DB WBS'!$D:$D,AA$2,'DB WBS'!$B:$B,$E$3,'DB WBS'!$E:$E,$B60)</f>
        <v>0</v>
      </c>
      <c r="G60" s="184">
        <f>IFERROR(HLOOKUP($E$3,'Tahun Lalu'!$B$5:$V$158,MATCH(B60,'Tahun Lalu'!$B$5:$B$158,0),0),0)</f>
        <v>0</v>
      </c>
      <c r="H60" s="183">
        <f>IFERROR(round(HLOOKUP('Tahun Lalu'!$D$3,RKO!$A$1:$P$171,MATCH(B60,RKO!$A$1:$A$171,0),0)*1000,0),0)</f>
        <v>0</v>
      </c>
      <c r="I60" s="183">
        <f>IFERROR(round(HLOOKUP('Tahun Lalu'!$D$3,RKAP!$A$1:$P$171,MATCH(B60,RKAP!$A$1:$A$171,0),0)*1000,0),0)</f>
        <v>0</v>
      </c>
      <c r="J60" s="183">
        <f t="shared" si="3"/>
        <v>0</v>
      </c>
      <c r="K60" s="183">
        <f t="shared" si="4"/>
        <v>0</v>
      </c>
      <c r="L60" s="183">
        <f t="shared" si="5"/>
        <v>0</v>
      </c>
      <c r="M60" s="183">
        <f t="shared" si="6"/>
        <v>0</v>
      </c>
      <c r="N60" s="183">
        <f t="shared" si="71"/>
        <v>0</v>
      </c>
      <c r="O60" s="183">
        <f t="shared" ref="O60:Q60" si="72">G60+W60</f>
        <v>0</v>
      </c>
      <c r="P60" s="183">
        <f t="shared" si="72"/>
        <v>0</v>
      </c>
      <c r="Q60" s="183">
        <f t="shared" si="72"/>
        <v>0</v>
      </c>
      <c r="R60" s="183">
        <f t="shared" si="9"/>
        <v>0</v>
      </c>
      <c r="S60" s="183">
        <f t="shared" si="10"/>
        <v>0</v>
      </c>
      <c r="T60" s="183">
        <f t="shared" si="11"/>
        <v>0</v>
      </c>
      <c r="U60" s="186"/>
      <c r="V60" s="183">
        <f>IFERROR(__xludf.DUMMYFUNCTION("""COMPUTED_VALUE"""),0.0)</f>
        <v>0</v>
      </c>
      <c r="W60" s="183">
        <f>IFERROR(__xludf.DUMMYFUNCTION("""COMPUTED_VALUE"""),0.0)</f>
        <v>0</v>
      </c>
      <c r="X60" s="183">
        <f>IFERROR(__xludf.DUMMYFUNCTION("""COMPUTED_VALUE"""),0.0)</f>
        <v>0</v>
      </c>
      <c r="Y60" s="183">
        <f>IFERROR(__xludf.DUMMYFUNCTION("""COMPUTED_VALUE"""),0.0)</f>
        <v>0</v>
      </c>
      <c r="Z60" s="183">
        <f t="shared" si="12"/>
        <v>0</v>
      </c>
      <c r="AA60" s="183">
        <f t="shared" si="13"/>
        <v>0</v>
      </c>
      <c r="AB60" s="183">
        <f t="shared" si="14"/>
        <v>0</v>
      </c>
    </row>
    <row r="61" ht="14.25" customHeight="1">
      <c r="A61" s="175"/>
      <c r="B61" s="196"/>
      <c r="C61" s="181"/>
      <c r="D61" s="197"/>
      <c r="E61" s="183">
        <f>SUMIFS('DB WBS'!$J:$J,'DB WBS'!$A:$A,$D$4,'DB WBS'!$D:$D,AA$1,'DB WBS'!$B:$B,$E$3,'DB WBS'!$E:$E,$B61)</f>
        <v>0</v>
      </c>
      <c r="F61" s="183">
        <f>SUMIFS('DB WBS'!$J:$J,'DB WBS'!$A:$A,$D$4,'DB WBS'!$D:$D,AA$2,'DB WBS'!$B:$B,$E$3,'DB WBS'!$E:$E,$B61)</f>
        <v>0</v>
      </c>
      <c r="G61" s="184">
        <f>IFERROR(HLOOKUP($E$3,'Tahun Lalu'!$B$5:$V$158,MATCH(B61,'Tahun Lalu'!$B$5:$B$158,0),0),0)</f>
        <v>0</v>
      </c>
      <c r="H61" s="183">
        <f>IFERROR(round(HLOOKUP('Tahun Lalu'!$D$3,RKO!$A$1:$P$171,MATCH(B61,RKO!$A$1:$A$171,0),0)*1000,0),0)</f>
        <v>0</v>
      </c>
      <c r="I61" s="183">
        <f>IFERROR(round(HLOOKUP('Tahun Lalu'!$D$3,RKAP!$A$1:$P$171,MATCH(B61,RKAP!$A$1:$A$171,0),0)*1000,0),0)</f>
        <v>0</v>
      </c>
      <c r="J61" s="183">
        <f t="shared" si="3"/>
        <v>0</v>
      </c>
      <c r="K61" s="183">
        <f t="shared" si="4"/>
        <v>0</v>
      </c>
      <c r="L61" s="183">
        <f t="shared" si="5"/>
        <v>0</v>
      </c>
      <c r="M61" s="183">
        <f t="shared" si="6"/>
        <v>0</v>
      </c>
      <c r="N61" s="183">
        <f t="shared" si="71"/>
        <v>0</v>
      </c>
      <c r="O61" s="183">
        <f t="shared" ref="O61:Q61" si="73">G61+W61</f>
        <v>0</v>
      </c>
      <c r="P61" s="183">
        <f t="shared" si="73"/>
        <v>0</v>
      </c>
      <c r="Q61" s="183">
        <f t="shared" si="73"/>
        <v>0</v>
      </c>
      <c r="R61" s="183">
        <f t="shared" si="9"/>
        <v>0</v>
      </c>
      <c r="S61" s="183">
        <f t="shared" si="10"/>
        <v>0</v>
      </c>
      <c r="T61" s="183">
        <f t="shared" si="11"/>
        <v>0</v>
      </c>
      <c r="U61" s="186"/>
      <c r="V61" s="183">
        <f>IFERROR(__xludf.DUMMYFUNCTION("""COMPUTED_VALUE"""),0.0)</f>
        <v>0</v>
      </c>
      <c r="W61" s="183">
        <f>IFERROR(__xludf.DUMMYFUNCTION("""COMPUTED_VALUE"""),0.0)</f>
        <v>0</v>
      </c>
      <c r="X61" s="183">
        <f>IFERROR(__xludf.DUMMYFUNCTION("""COMPUTED_VALUE"""),0.0)</f>
        <v>0</v>
      </c>
      <c r="Y61" s="183">
        <f>IFERROR(__xludf.DUMMYFUNCTION("""COMPUTED_VALUE"""),0.0)</f>
        <v>0</v>
      </c>
      <c r="Z61" s="183">
        <f t="shared" si="12"/>
        <v>0</v>
      </c>
      <c r="AA61" s="183">
        <f t="shared" si="13"/>
        <v>0</v>
      </c>
      <c r="AB61" s="183">
        <f t="shared" si="14"/>
        <v>0</v>
      </c>
    </row>
    <row r="62" ht="14.25" customHeight="1">
      <c r="A62" s="175"/>
      <c r="B62" s="196"/>
      <c r="C62" s="181"/>
      <c r="D62" s="197"/>
      <c r="E62" s="183">
        <f>SUMIFS('DB WBS'!$J:$J,'DB WBS'!$A:$A,$D$4,'DB WBS'!$D:$D,AA$1,'DB WBS'!$B:$B,$E$3,'DB WBS'!$E:$E,$B62)</f>
        <v>0</v>
      </c>
      <c r="F62" s="183">
        <f>SUMIFS('DB WBS'!$J:$J,'DB WBS'!$A:$A,$D$4,'DB WBS'!$D:$D,AA$2,'DB WBS'!$B:$B,$E$3,'DB WBS'!$E:$E,$B62)</f>
        <v>0</v>
      </c>
      <c r="G62" s="184">
        <f>IFERROR(HLOOKUP($E$3,'Tahun Lalu'!$B$5:$V$158,MATCH(B62,'Tahun Lalu'!$B$5:$B$158,0),0),0)</f>
        <v>0</v>
      </c>
      <c r="H62" s="183">
        <f>IFERROR(round(HLOOKUP('Tahun Lalu'!$D$3,RKO!$A$1:$P$171,MATCH(B62,RKO!$A$1:$A$171,0),0)*1000,0),0)</f>
        <v>0</v>
      </c>
      <c r="I62" s="183">
        <f>IFERROR(round(HLOOKUP('Tahun Lalu'!$D$3,RKAP!$A$1:$P$171,MATCH(B62,RKAP!$A$1:$A$171,0),0)*1000,0),0)</f>
        <v>0</v>
      </c>
      <c r="J62" s="183">
        <f t="shared" si="3"/>
        <v>0</v>
      </c>
      <c r="K62" s="183">
        <f t="shared" si="4"/>
        <v>0</v>
      </c>
      <c r="L62" s="183">
        <f t="shared" si="5"/>
        <v>0</v>
      </c>
      <c r="M62" s="183">
        <f t="shared" si="6"/>
        <v>0</v>
      </c>
      <c r="N62" s="183">
        <f t="shared" si="71"/>
        <v>0</v>
      </c>
      <c r="O62" s="183">
        <f t="shared" ref="O62:Q62" si="74">G62+W62</f>
        <v>0</v>
      </c>
      <c r="P62" s="183">
        <f t="shared" si="74"/>
        <v>0</v>
      </c>
      <c r="Q62" s="183">
        <f t="shared" si="74"/>
        <v>0</v>
      </c>
      <c r="R62" s="183">
        <f t="shared" si="9"/>
        <v>0</v>
      </c>
      <c r="S62" s="183">
        <f t="shared" si="10"/>
        <v>0</v>
      </c>
      <c r="T62" s="183">
        <f t="shared" si="11"/>
        <v>0</v>
      </c>
      <c r="U62" s="186"/>
      <c r="V62" s="183">
        <f>IFERROR(__xludf.DUMMYFUNCTION("""COMPUTED_VALUE"""),0.0)</f>
        <v>0</v>
      </c>
      <c r="W62" s="183">
        <f>IFERROR(__xludf.DUMMYFUNCTION("""COMPUTED_VALUE"""),0.0)</f>
        <v>0</v>
      </c>
      <c r="X62" s="183">
        <f>IFERROR(__xludf.DUMMYFUNCTION("""COMPUTED_VALUE"""),0.0)</f>
        <v>0</v>
      </c>
      <c r="Y62" s="183">
        <f>IFERROR(__xludf.DUMMYFUNCTION("""COMPUTED_VALUE"""),0.0)</f>
        <v>0</v>
      </c>
      <c r="Z62" s="183">
        <f t="shared" si="12"/>
        <v>0</v>
      </c>
      <c r="AA62" s="183">
        <f t="shared" si="13"/>
        <v>0</v>
      </c>
      <c r="AB62" s="183">
        <f t="shared" si="14"/>
        <v>0</v>
      </c>
    </row>
    <row r="63" ht="14.25" customHeight="1">
      <c r="A63" s="175"/>
      <c r="B63" s="196"/>
      <c r="C63" s="181"/>
      <c r="D63" s="197"/>
      <c r="E63" s="183">
        <f>SUMIFS('DB WBS'!$J:$J,'DB WBS'!$A:$A,$D$4,'DB WBS'!$D:$D,AA$1,'DB WBS'!$B:$B,$E$3,'DB WBS'!$E:$E,$B63)</f>
        <v>0</v>
      </c>
      <c r="F63" s="183">
        <f>SUMIFS('DB WBS'!$J:$J,'DB WBS'!$A:$A,$D$4,'DB WBS'!$D:$D,AA$2,'DB WBS'!$B:$B,$E$3,'DB WBS'!$E:$E,$B63)</f>
        <v>0</v>
      </c>
      <c r="G63" s="184">
        <f>IFERROR(HLOOKUP($E$3,'Tahun Lalu'!$B$5:$V$158,MATCH(B63,'Tahun Lalu'!$B$5:$B$158,0),0),0)</f>
        <v>0</v>
      </c>
      <c r="H63" s="183">
        <f>IFERROR(round(HLOOKUP('Tahun Lalu'!$D$3,RKO!$A$1:$P$171,MATCH(B63,RKO!$A$1:$A$171,0),0)*1000,0),0)</f>
        <v>0</v>
      </c>
      <c r="I63" s="183">
        <f>IFERROR(round(HLOOKUP('Tahun Lalu'!$D$3,RKAP!$A$1:$P$171,MATCH(B63,RKAP!$A$1:$A$171,0),0)*1000,0),0)</f>
        <v>0</v>
      </c>
      <c r="J63" s="183">
        <f t="shared" si="3"/>
        <v>0</v>
      </c>
      <c r="K63" s="183">
        <f t="shared" si="4"/>
        <v>0</v>
      </c>
      <c r="L63" s="183">
        <f t="shared" si="5"/>
        <v>0</v>
      </c>
      <c r="M63" s="183">
        <f t="shared" si="6"/>
        <v>0</v>
      </c>
      <c r="N63" s="183">
        <f t="shared" si="71"/>
        <v>0</v>
      </c>
      <c r="O63" s="183">
        <f t="shared" ref="O63:Q63" si="75">G63+W63</f>
        <v>0</v>
      </c>
      <c r="P63" s="183">
        <f t="shared" si="75"/>
        <v>0</v>
      </c>
      <c r="Q63" s="183">
        <f t="shared" si="75"/>
        <v>0</v>
      </c>
      <c r="R63" s="183">
        <f t="shared" si="9"/>
        <v>0</v>
      </c>
      <c r="S63" s="183">
        <f t="shared" si="10"/>
        <v>0</v>
      </c>
      <c r="T63" s="183">
        <f t="shared" si="11"/>
        <v>0</v>
      </c>
      <c r="U63" s="186"/>
      <c r="V63" s="183">
        <f>IFERROR(__xludf.DUMMYFUNCTION("""COMPUTED_VALUE"""),0.0)</f>
        <v>0</v>
      </c>
      <c r="W63" s="183">
        <f>IFERROR(__xludf.DUMMYFUNCTION("""COMPUTED_VALUE"""),0.0)</f>
        <v>0</v>
      </c>
      <c r="X63" s="183">
        <f>IFERROR(__xludf.DUMMYFUNCTION("""COMPUTED_VALUE"""),0.0)</f>
        <v>0</v>
      </c>
      <c r="Y63" s="183">
        <f>IFERROR(__xludf.DUMMYFUNCTION("""COMPUTED_VALUE"""),0.0)</f>
        <v>0</v>
      </c>
      <c r="Z63" s="183">
        <f t="shared" si="12"/>
        <v>0</v>
      </c>
      <c r="AA63" s="183">
        <f t="shared" si="13"/>
        <v>0</v>
      </c>
      <c r="AB63" s="183">
        <f t="shared" si="14"/>
        <v>0</v>
      </c>
    </row>
    <row r="64" ht="14.25" customHeight="1">
      <c r="A64" s="175"/>
      <c r="B64" s="191" t="s">
        <v>810</v>
      </c>
      <c r="C64" s="199"/>
      <c r="D64" s="200"/>
      <c r="E64" s="201">
        <f t="shared" ref="E64:I64" si="76">SUM(E59:E63)</f>
        <v>0</v>
      </c>
      <c r="F64" s="201">
        <f t="shared" si="76"/>
        <v>0</v>
      </c>
      <c r="G64" s="201">
        <f t="shared" si="76"/>
        <v>0</v>
      </c>
      <c r="H64" s="201">
        <f t="shared" si="76"/>
        <v>0</v>
      </c>
      <c r="I64" s="201">
        <f t="shared" si="76"/>
        <v>0</v>
      </c>
      <c r="J64" s="201">
        <f t="shared" si="3"/>
        <v>0</v>
      </c>
      <c r="K64" s="201">
        <f t="shared" si="4"/>
        <v>0</v>
      </c>
      <c r="L64" s="201">
        <f t="shared" si="5"/>
        <v>0</v>
      </c>
      <c r="M64" s="201">
        <f t="shared" si="6"/>
        <v>0</v>
      </c>
      <c r="N64" s="201">
        <f t="shared" ref="N64:Q64" si="77">SUM(N59:N63)</f>
        <v>0</v>
      </c>
      <c r="O64" s="201">
        <f t="shared" si="77"/>
        <v>0</v>
      </c>
      <c r="P64" s="201">
        <f t="shared" si="77"/>
        <v>0</v>
      </c>
      <c r="Q64" s="201">
        <f t="shared" si="77"/>
        <v>0</v>
      </c>
      <c r="R64" s="201">
        <f t="shared" si="9"/>
        <v>0</v>
      </c>
      <c r="S64" s="201">
        <f t="shared" si="10"/>
        <v>0</v>
      </c>
      <c r="T64" s="201">
        <f t="shared" si="11"/>
        <v>0</v>
      </c>
      <c r="U64" s="202"/>
      <c r="V64" s="201">
        <f>IFERROR(__xludf.DUMMYFUNCTION("""COMPUTED_VALUE"""),0.0)</f>
        <v>0</v>
      </c>
      <c r="W64" s="201">
        <f>IFERROR(__xludf.DUMMYFUNCTION("""COMPUTED_VALUE"""),0.0)</f>
        <v>0</v>
      </c>
      <c r="X64" s="201">
        <f>IFERROR(__xludf.DUMMYFUNCTION("""COMPUTED_VALUE"""),0.0)</f>
        <v>0</v>
      </c>
      <c r="Y64" s="201">
        <f>IFERROR(__xludf.DUMMYFUNCTION("""COMPUTED_VALUE"""),0.0)</f>
        <v>0</v>
      </c>
      <c r="Z64" s="201">
        <f t="shared" si="12"/>
        <v>0</v>
      </c>
      <c r="AA64" s="201">
        <f t="shared" si="13"/>
        <v>0</v>
      </c>
      <c r="AB64" s="201">
        <f t="shared" si="14"/>
        <v>0</v>
      </c>
    </row>
    <row r="65" ht="14.25" customHeight="1">
      <c r="A65" s="175"/>
      <c r="B65" s="196" t="s">
        <v>811</v>
      </c>
      <c r="C65" s="181"/>
      <c r="D65" s="197" t="s">
        <v>812</v>
      </c>
      <c r="E65" s="183">
        <f>SUMIFS('DB WBS'!$J:$J,'DB WBS'!$A:$A,$D$4,'DB WBS'!$D:$D,AA$1,'DB WBS'!$B:$B,$E$3,'DB WBS'!$E:$E,$B65)</f>
        <v>0</v>
      </c>
      <c r="F65" s="183">
        <f>SUMIFS('DB WBS'!$J:$J,'DB WBS'!$A:$A,$D$4,'DB WBS'!$D:$D,AA$2,'DB WBS'!$B:$B,$E$3,'DB WBS'!$E:$E,$B65)</f>
        <v>0</v>
      </c>
      <c r="G65" s="184">
        <f>IFERROR(HLOOKUP($E$3,'Tahun Lalu'!$B$5:$V$158,MATCH(B65,'Tahun Lalu'!$B$5:$B$158,0),0),0)</f>
        <v>0</v>
      </c>
      <c r="H65" s="183">
        <f>IFERROR(round(HLOOKUP('Tahun Lalu'!$D$3,RKO!$A$1:$P$171,MATCH(B65,RKO!$A$1:$A$171,0),0)*1000,0),0)</f>
        <v>0</v>
      </c>
      <c r="I65" s="183">
        <f>IFERROR(round(HLOOKUP('Tahun Lalu'!$D$3,RKAP!$A$1:$P$171,MATCH(B65,RKAP!$A$1:$A$171,0),0)*1000,0),0)</f>
        <v>0</v>
      </c>
      <c r="J65" s="183">
        <f t="shared" si="3"/>
        <v>0</v>
      </c>
      <c r="K65" s="183">
        <f t="shared" si="4"/>
        <v>0</v>
      </c>
      <c r="L65" s="183">
        <f t="shared" si="5"/>
        <v>0</v>
      </c>
      <c r="M65" s="183">
        <f t="shared" si="6"/>
        <v>0</v>
      </c>
      <c r="N65" s="183">
        <f t="shared" ref="N65:N68" si="79">E65+V65</f>
        <v>0</v>
      </c>
      <c r="O65" s="183">
        <f t="shared" ref="O65:Q65" si="78">G65+W65</f>
        <v>0</v>
      </c>
      <c r="P65" s="183">
        <f t="shared" si="78"/>
        <v>0</v>
      </c>
      <c r="Q65" s="183">
        <f t="shared" si="78"/>
        <v>0</v>
      </c>
      <c r="R65" s="183">
        <f t="shared" si="9"/>
        <v>0</v>
      </c>
      <c r="S65" s="183">
        <f t="shared" si="10"/>
        <v>0</v>
      </c>
      <c r="T65" s="183">
        <f t="shared" si="11"/>
        <v>0</v>
      </c>
      <c r="U65" s="186"/>
      <c r="V65" s="183">
        <f>IFERROR(__xludf.DUMMYFUNCTION("""COMPUTED_VALUE"""),0.0)</f>
        <v>0</v>
      </c>
      <c r="W65" s="183">
        <f>IFERROR(__xludf.DUMMYFUNCTION("""COMPUTED_VALUE"""),0.0)</f>
        <v>0</v>
      </c>
      <c r="X65" s="183">
        <f>IFERROR(__xludf.DUMMYFUNCTION("""COMPUTED_VALUE"""),0.0)</f>
        <v>0</v>
      </c>
      <c r="Y65" s="183">
        <f>IFERROR(__xludf.DUMMYFUNCTION("""COMPUTED_VALUE"""),0.0)</f>
        <v>0</v>
      </c>
      <c r="Z65" s="183">
        <f t="shared" si="12"/>
        <v>0</v>
      </c>
      <c r="AA65" s="183">
        <f t="shared" si="13"/>
        <v>0</v>
      </c>
      <c r="AB65" s="183">
        <f t="shared" si="14"/>
        <v>0</v>
      </c>
    </row>
    <row r="66" ht="14.25" customHeight="1">
      <c r="A66" s="175"/>
      <c r="B66" s="196" t="s">
        <v>813</v>
      </c>
      <c r="C66" s="181"/>
      <c r="D66" s="197" t="s">
        <v>814</v>
      </c>
      <c r="E66" s="183">
        <f>SUMIFS('DB WBS'!$J:$J,'DB WBS'!$A:$A,$D$4,'DB WBS'!$D:$D,AA$1,'DB WBS'!$B:$B,$E$3,'DB WBS'!$E:$E,$B66)</f>
        <v>0</v>
      </c>
      <c r="F66" s="183">
        <f>SUMIFS('DB WBS'!$J:$J,'DB WBS'!$A:$A,$D$4,'DB WBS'!$D:$D,AA$2,'DB WBS'!$B:$B,$E$3,'DB WBS'!$E:$E,$B66)</f>
        <v>0</v>
      </c>
      <c r="G66" s="184">
        <f>IFERROR(HLOOKUP($E$3,'Tahun Lalu'!$B$5:$V$158,MATCH(B66,'Tahun Lalu'!$B$5:$B$158,0),0),0)</f>
        <v>0</v>
      </c>
      <c r="H66" s="183">
        <f>IFERROR(round(HLOOKUP('Tahun Lalu'!$D$3,RKO!$A$1:$P$171,MATCH(B66,RKO!$A$1:$A$171,0),0)*1000,0),0)</f>
        <v>0</v>
      </c>
      <c r="I66" s="183">
        <f>IFERROR(round(HLOOKUP('Tahun Lalu'!$D$3,RKAP!$A$1:$P$171,MATCH(B66,RKAP!$A$1:$A$171,0),0)*1000,0),0)</f>
        <v>0</v>
      </c>
      <c r="J66" s="183">
        <f t="shared" si="3"/>
        <v>0</v>
      </c>
      <c r="K66" s="183">
        <f t="shared" si="4"/>
        <v>0</v>
      </c>
      <c r="L66" s="183">
        <f t="shared" si="5"/>
        <v>0</v>
      </c>
      <c r="M66" s="183">
        <f t="shared" si="6"/>
        <v>0</v>
      </c>
      <c r="N66" s="183">
        <f t="shared" si="79"/>
        <v>0</v>
      </c>
      <c r="O66" s="183">
        <f t="shared" ref="O66:Q66" si="80">G66+W66</f>
        <v>0</v>
      </c>
      <c r="P66" s="183">
        <f t="shared" si="80"/>
        <v>0</v>
      </c>
      <c r="Q66" s="183">
        <f t="shared" si="80"/>
        <v>0</v>
      </c>
      <c r="R66" s="183">
        <f t="shared" si="9"/>
        <v>0</v>
      </c>
      <c r="S66" s="183">
        <f t="shared" si="10"/>
        <v>0</v>
      </c>
      <c r="T66" s="183">
        <f t="shared" si="11"/>
        <v>0</v>
      </c>
      <c r="U66" s="186"/>
      <c r="V66" s="183">
        <f>IFERROR(__xludf.DUMMYFUNCTION("""COMPUTED_VALUE"""),0.0)</f>
        <v>0</v>
      </c>
      <c r="W66" s="183">
        <f>IFERROR(__xludf.DUMMYFUNCTION("""COMPUTED_VALUE"""),0.0)</f>
        <v>0</v>
      </c>
      <c r="X66" s="183">
        <f>IFERROR(__xludf.DUMMYFUNCTION("""COMPUTED_VALUE"""),0.0)</f>
        <v>0</v>
      </c>
      <c r="Y66" s="183">
        <f>IFERROR(__xludf.DUMMYFUNCTION("""COMPUTED_VALUE"""),0.0)</f>
        <v>0</v>
      </c>
      <c r="Z66" s="183">
        <f t="shared" si="12"/>
        <v>0</v>
      </c>
      <c r="AA66" s="183">
        <f t="shared" si="13"/>
        <v>0</v>
      </c>
      <c r="AB66" s="183">
        <f t="shared" si="14"/>
        <v>0</v>
      </c>
    </row>
    <row r="67" ht="14.25" customHeight="1">
      <c r="A67" s="175"/>
      <c r="B67" s="196" t="s">
        <v>815</v>
      </c>
      <c r="C67" s="181"/>
      <c r="D67" s="197" t="s">
        <v>816</v>
      </c>
      <c r="E67" s="183">
        <f>SUMIFS('DB WBS'!$J:$J,'DB WBS'!$A:$A,$D$4,'DB WBS'!$D:$D,AA$1,'DB WBS'!$B:$B,$E$3,'DB WBS'!$E:$E,$B67)</f>
        <v>0</v>
      </c>
      <c r="F67" s="183">
        <f>SUMIFS('DB WBS'!$J:$J,'DB WBS'!$A:$A,$D$4,'DB WBS'!$D:$D,AA$2,'DB WBS'!$B:$B,$E$3,'DB WBS'!$E:$E,$B67)</f>
        <v>0</v>
      </c>
      <c r="G67" s="184">
        <f>IFERROR(HLOOKUP($E$3,'Tahun Lalu'!$B$5:$V$158,MATCH(B67,'Tahun Lalu'!$B$5:$B$158,0),0),0)</f>
        <v>0</v>
      </c>
      <c r="H67" s="183">
        <f>IFERROR(round(HLOOKUP('Tahun Lalu'!$D$3,RKO!$A$1:$P$171,MATCH(B67,RKO!$A$1:$A$171,0),0)*1000,0),0)</f>
        <v>0</v>
      </c>
      <c r="I67" s="183">
        <f>IFERROR(round(HLOOKUP('Tahun Lalu'!$D$3,RKAP!$A$1:$P$171,MATCH(B67,RKAP!$A$1:$A$171,0),0)*1000,0),0)</f>
        <v>0</v>
      </c>
      <c r="J67" s="183">
        <f t="shared" si="3"/>
        <v>0</v>
      </c>
      <c r="K67" s="183">
        <f t="shared" si="4"/>
        <v>0</v>
      </c>
      <c r="L67" s="183">
        <f t="shared" si="5"/>
        <v>0</v>
      </c>
      <c r="M67" s="183">
        <f t="shared" si="6"/>
        <v>0</v>
      </c>
      <c r="N67" s="183">
        <f t="shared" si="79"/>
        <v>0</v>
      </c>
      <c r="O67" s="183">
        <f t="shared" ref="O67:Q67" si="81">G67+W67</f>
        <v>0</v>
      </c>
      <c r="P67" s="183">
        <f t="shared" si="81"/>
        <v>0</v>
      </c>
      <c r="Q67" s="183">
        <f t="shared" si="81"/>
        <v>0</v>
      </c>
      <c r="R67" s="183">
        <f t="shared" si="9"/>
        <v>0</v>
      </c>
      <c r="S67" s="183">
        <f t="shared" si="10"/>
        <v>0</v>
      </c>
      <c r="T67" s="183">
        <f t="shared" si="11"/>
        <v>0</v>
      </c>
      <c r="U67" s="186"/>
      <c r="V67" s="183">
        <f>IFERROR(__xludf.DUMMYFUNCTION("""COMPUTED_VALUE"""),0.0)</f>
        <v>0</v>
      </c>
      <c r="W67" s="183">
        <f>IFERROR(__xludf.DUMMYFUNCTION("""COMPUTED_VALUE"""),0.0)</f>
        <v>0</v>
      </c>
      <c r="X67" s="183">
        <f>IFERROR(__xludf.DUMMYFUNCTION("""COMPUTED_VALUE"""),0.0)</f>
        <v>0</v>
      </c>
      <c r="Y67" s="183">
        <f>IFERROR(__xludf.DUMMYFUNCTION("""COMPUTED_VALUE"""),0.0)</f>
        <v>0</v>
      </c>
      <c r="Z67" s="183">
        <f t="shared" si="12"/>
        <v>0</v>
      </c>
      <c r="AA67" s="183">
        <f t="shared" si="13"/>
        <v>0</v>
      </c>
      <c r="AB67" s="183">
        <f t="shared" si="14"/>
        <v>0</v>
      </c>
    </row>
    <row r="68" ht="14.25" customHeight="1">
      <c r="A68" s="175"/>
      <c r="B68" s="196"/>
      <c r="C68" s="181"/>
      <c r="D68" s="197"/>
      <c r="E68" s="183">
        <f>SUMIFS('DB WBS'!$J:$J,'DB WBS'!$A:$A,$D$4,'DB WBS'!$D:$D,AA$1,'DB WBS'!$B:$B,$E$3,'DB WBS'!$E:$E,$B68)</f>
        <v>0</v>
      </c>
      <c r="F68" s="183">
        <f>SUMIFS('DB WBS'!$J:$J,'DB WBS'!$A:$A,$D$4,'DB WBS'!$D:$D,AA$2,'DB WBS'!$B:$B,$E$3,'DB WBS'!$E:$E,$B68)</f>
        <v>0</v>
      </c>
      <c r="G68" s="184">
        <f>IFERROR(HLOOKUP($E$3,'Tahun Lalu'!$B$5:$V$158,MATCH(B68,'Tahun Lalu'!$B$5:$B$158,0),0),0)</f>
        <v>0</v>
      </c>
      <c r="H68" s="183">
        <f>IFERROR(round(HLOOKUP('Tahun Lalu'!$D$3,RKO!$A$1:$P$171,MATCH(B68,RKO!$A$1:$A$171,0),0)*1000,0),0)</f>
        <v>0</v>
      </c>
      <c r="I68" s="183">
        <f>IFERROR(round(HLOOKUP('Tahun Lalu'!$D$3,RKAP!$A$1:$P$171,MATCH(B68,RKAP!$A$1:$A$171,0),0)*1000,0),0)</f>
        <v>0</v>
      </c>
      <c r="J68" s="183">
        <f t="shared" si="3"/>
        <v>0</v>
      </c>
      <c r="K68" s="183">
        <f t="shared" si="4"/>
        <v>0</v>
      </c>
      <c r="L68" s="183">
        <f t="shared" si="5"/>
        <v>0</v>
      </c>
      <c r="M68" s="183">
        <f t="shared" si="6"/>
        <v>0</v>
      </c>
      <c r="N68" s="183">
        <f t="shared" si="79"/>
        <v>0</v>
      </c>
      <c r="O68" s="183">
        <f t="shared" ref="O68:Q68" si="82">G68+W68</f>
        <v>0</v>
      </c>
      <c r="P68" s="183">
        <f t="shared" si="82"/>
        <v>0</v>
      </c>
      <c r="Q68" s="183">
        <f t="shared" si="82"/>
        <v>0</v>
      </c>
      <c r="R68" s="183">
        <f t="shared" si="9"/>
        <v>0</v>
      </c>
      <c r="S68" s="183">
        <f t="shared" si="10"/>
        <v>0</v>
      </c>
      <c r="T68" s="183">
        <f t="shared" si="11"/>
        <v>0</v>
      </c>
      <c r="U68" s="186"/>
      <c r="V68" s="183">
        <f>IFERROR(__xludf.DUMMYFUNCTION("""COMPUTED_VALUE"""),0.0)</f>
        <v>0</v>
      </c>
      <c r="W68" s="183">
        <f>IFERROR(__xludf.DUMMYFUNCTION("""COMPUTED_VALUE"""),0.0)</f>
        <v>0</v>
      </c>
      <c r="X68" s="183">
        <f>IFERROR(__xludf.DUMMYFUNCTION("""COMPUTED_VALUE"""),0.0)</f>
        <v>0</v>
      </c>
      <c r="Y68" s="183">
        <f>IFERROR(__xludf.DUMMYFUNCTION("""COMPUTED_VALUE"""),0.0)</f>
        <v>0</v>
      </c>
      <c r="Z68" s="183">
        <f t="shared" si="12"/>
        <v>0</v>
      </c>
      <c r="AA68" s="183">
        <f t="shared" si="13"/>
        <v>0</v>
      </c>
      <c r="AB68" s="183">
        <f t="shared" si="14"/>
        <v>0</v>
      </c>
    </row>
    <row r="69" ht="14.25" customHeight="1">
      <c r="A69" s="175"/>
      <c r="B69" s="191" t="s">
        <v>817</v>
      </c>
      <c r="C69" s="199"/>
      <c r="D69" s="200"/>
      <c r="E69" s="201">
        <f t="shared" ref="E69:I69" si="83">SUM(E65:E68)</f>
        <v>0</v>
      </c>
      <c r="F69" s="201">
        <f t="shared" si="83"/>
        <v>0</v>
      </c>
      <c r="G69" s="201">
        <f t="shared" si="83"/>
        <v>0</v>
      </c>
      <c r="H69" s="201">
        <f t="shared" si="83"/>
        <v>0</v>
      </c>
      <c r="I69" s="201">
        <f t="shared" si="83"/>
        <v>0</v>
      </c>
      <c r="J69" s="201">
        <f t="shared" si="3"/>
        <v>0</v>
      </c>
      <c r="K69" s="201">
        <f t="shared" si="4"/>
        <v>0</v>
      </c>
      <c r="L69" s="201">
        <f t="shared" si="5"/>
        <v>0</v>
      </c>
      <c r="M69" s="201">
        <f t="shared" si="6"/>
        <v>0</v>
      </c>
      <c r="N69" s="201">
        <f t="shared" ref="N69:Q69" si="84">SUM(N65:N68)</f>
        <v>0</v>
      </c>
      <c r="O69" s="201">
        <f t="shared" si="84"/>
        <v>0</v>
      </c>
      <c r="P69" s="201">
        <f t="shared" si="84"/>
        <v>0</v>
      </c>
      <c r="Q69" s="201">
        <f t="shared" si="84"/>
        <v>0</v>
      </c>
      <c r="R69" s="201">
        <f t="shared" si="9"/>
        <v>0</v>
      </c>
      <c r="S69" s="201">
        <f t="shared" si="10"/>
        <v>0</v>
      </c>
      <c r="T69" s="201">
        <f t="shared" si="11"/>
        <v>0</v>
      </c>
      <c r="U69" s="202"/>
      <c r="V69" s="201">
        <f>IFERROR(__xludf.DUMMYFUNCTION("""COMPUTED_VALUE"""),0.0)</f>
        <v>0</v>
      </c>
      <c r="W69" s="201">
        <f>IFERROR(__xludf.DUMMYFUNCTION("""COMPUTED_VALUE"""),0.0)</f>
        <v>0</v>
      </c>
      <c r="X69" s="201">
        <f>IFERROR(__xludf.DUMMYFUNCTION("""COMPUTED_VALUE"""),0.0)</f>
        <v>0</v>
      </c>
      <c r="Y69" s="201">
        <f>IFERROR(__xludf.DUMMYFUNCTION("""COMPUTED_VALUE"""),0.0)</f>
        <v>0</v>
      </c>
      <c r="Z69" s="201">
        <f t="shared" si="12"/>
        <v>0</v>
      </c>
      <c r="AA69" s="201">
        <f t="shared" si="13"/>
        <v>0</v>
      </c>
      <c r="AB69" s="201">
        <f t="shared" si="14"/>
        <v>0</v>
      </c>
    </row>
    <row r="70" ht="14.25" customHeight="1">
      <c r="A70" s="175"/>
      <c r="B70" s="196"/>
      <c r="C70" s="181"/>
      <c r="D70" s="197" t="s">
        <v>818</v>
      </c>
      <c r="E70" s="183">
        <f>SUMIFS('DB WBS'!$J:$J,'DB WBS'!$A:$A,$D$4,'DB WBS'!$D:$D,AA$1,'DB WBS'!$B:$B,$E$3,'DB WBS'!$E:$E,$B70)</f>
        <v>0</v>
      </c>
      <c r="F70" s="183">
        <f>SUMIFS('DB WBS'!$J:$J,'DB WBS'!$A:$A,$D$4,'DB WBS'!$D:$D,AA$2,'DB WBS'!$B:$B,$E$3,'DB WBS'!$E:$E,$B70)</f>
        <v>0</v>
      </c>
      <c r="G70" s="184">
        <f>IFERROR(HLOOKUP($E$3,'Tahun Lalu'!$B$5:$V$158,MATCH(B70,'Tahun Lalu'!$B$5:$B$158,0),0),0)</f>
        <v>0</v>
      </c>
      <c r="H70" s="183">
        <f>IFERROR(round(HLOOKUP('Tahun Lalu'!$D$3,RKO!$A$1:$P$171,MATCH(B70,RKO!$A$1:$A$171,0),0)*1000,0),0)</f>
        <v>0</v>
      </c>
      <c r="I70" s="183">
        <f>IFERROR(round(HLOOKUP('Tahun Lalu'!$D$3,RKAP!$A$1:$P$171,MATCH(B70,RKAP!$A$1:$A$171,0),0)*1000,0),0)</f>
        <v>0</v>
      </c>
      <c r="J70" s="183">
        <f t="shared" si="3"/>
        <v>0</v>
      </c>
      <c r="K70" s="183">
        <f t="shared" si="4"/>
        <v>0</v>
      </c>
      <c r="L70" s="183">
        <f t="shared" si="5"/>
        <v>0</v>
      </c>
      <c r="M70" s="183">
        <f t="shared" si="6"/>
        <v>0</v>
      </c>
      <c r="N70" s="183">
        <f t="shared" ref="N70:N72" si="86">E70+V70</f>
        <v>0</v>
      </c>
      <c r="O70" s="183">
        <f t="shared" ref="O70:Q70" si="85">G70+W70</f>
        <v>0</v>
      </c>
      <c r="P70" s="183">
        <f t="shared" si="85"/>
        <v>0</v>
      </c>
      <c r="Q70" s="183">
        <f t="shared" si="85"/>
        <v>0</v>
      </c>
      <c r="R70" s="183">
        <f t="shared" si="9"/>
        <v>0</v>
      </c>
      <c r="S70" s="183">
        <f t="shared" si="10"/>
        <v>0</v>
      </c>
      <c r="T70" s="183">
        <f t="shared" si="11"/>
        <v>0</v>
      </c>
      <c r="U70" s="186"/>
      <c r="V70" s="183">
        <f>IFERROR(__xludf.DUMMYFUNCTION("""COMPUTED_VALUE"""),0.0)</f>
        <v>0</v>
      </c>
      <c r="W70" s="183">
        <f>IFERROR(__xludf.DUMMYFUNCTION("""COMPUTED_VALUE"""),0.0)</f>
        <v>0</v>
      </c>
      <c r="X70" s="183">
        <f>IFERROR(__xludf.DUMMYFUNCTION("""COMPUTED_VALUE"""),0.0)</f>
        <v>0</v>
      </c>
      <c r="Y70" s="183">
        <f>IFERROR(__xludf.DUMMYFUNCTION("""COMPUTED_VALUE"""),0.0)</f>
        <v>0</v>
      </c>
      <c r="Z70" s="183">
        <f t="shared" si="12"/>
        <v>0</v>
      </c>
      <c r="AA70" s="183">
        <f t="shared" si="13"/>
        <v>0</v>
      </c>
      <c r="AB70" s="183">
        <f t="shared" si="14"/>
        <v>0</v>
      </c>
    </row>
    <row r="71" ht="14.25" customHeight="1">
      <c r="A71" s="175"/>
      <c r="B71" s="196"/>
      <c r="C71" s="181"/>
      <c r="D71" s="197" t="s">
        <v>819</v>
      </c>
      <c r="E71" s="183">
        <f>SUMIFS('DB WBS'!$J:$J,'DB WBS'!$A:$A,$D$4,'DB WBS'!$D:$D,AA$1,'DB WBS'!$B:$B,$E$3,'DB WBS'!$E:$E,$B71)</f>
        <v>0</v>
      </c>
      <c r="F71" s="183">
        <f>SUMIFS('DB WBS'!$J:$J,'DB WBS'!$A:$A,$D$4,'DB WBS'!$D:$D,AA$2,'DB WBS'!$B:$B,$E$3,'DB WBS'!$E:$E,$B71)</f>
        <v>0</v>
      </c>
      <c r="G71" s="184">
        <f>IFERROR(HLOOKUP($E$3,'Tahun Lalu'!$B$5:$V$158,MATCH(B71,'Tahun Lalu'!$B$5:$B$158,0),0),0)</f>
        <v>0</v>
      </c>
      <c r="H71" s="183">
        <f>IFERROR(round(HLOOKUP('Tahun Lalu'!$D$3,RKO!$A$1:$P$171,MATCH(B71,RKO!$A$1:$A$171,0),0)*1000,0),0)</f>
        <v>0</v>
      </c>
      <c r="I71" s="183">
        <f>IFERROR(round(HLOOKUP('Tahun Lalu'!$D$3,RKAP!$A$1:$P$171,MATCH(B71,RKAP!$A$1:$A$171,0),0)*1000,0),0)</f>
        <v>0</v>
      </c>
      <c r="J71" s="183">
        <f t="shared" si="3"/>
        <v>0</v>
      </c>
      <c r="K71" s="183">
        <f t="shared" si="4"/>
        <v>0</v>
      </c>
      <c r="L71" s="183">
        <f t="shared" si="5"/>
        <v>0</v>
      </c>
      <c r="M71" s="183">
        <f t="shared" si="6"/>
        <v>0</v>
      </c>
      <c r="N71" s="183">
        <f t="shared" si="86"/>
        <v>0</v>
      </c>
      <c r="O71" s="183">
        <f t="shared" ref="O71:Q71" si="87">G71+W71</f>
        <v>0</v>
      </c>
      <c r="P71" s="183">
        <f t="shared" si="87"/>
        <v>0</v>
      </c>
      <c r="Q71" s="183">
        <f t="shared" si="87"/>
        <v>0</v>
      </c>
      <c r="R71" s="183">
        <f t="shared" si="9"/>
        <v>0</v>
      </c>
      <c r="S71" s="183">
        <f t="shared" si="10"/>
        <v>0</v>
      </c>
      <c r="T71" s="183">
        <f t="shared" si="11"/>
        <v>0</v>
      </c>
      <c r="U71" s="186"/>
      <c r="V71" s="183">
        <f>IFERROR(__xludf.DUMMYFUNCTION("""COMPUTED_VALUE"""),0.0)</f>
        <v>0</v>
      </c>
      <c r="W71" s="183">
        <f>IFERROR(__xludf.DUMMYFUNCTION("""COMPUTED_VALUE"""),0.0)</f>
        <v>0</v>
      </c>
      <c r="X71" s="183">
        <f>IFERROR(__xludf.DUMMYFUNCTION("""COMPUTED_VALUE"""),0.0)</f>
        <v>0</v>
      </c>
      <c r="Y71" s="183">
        <f>IFERROR(__xludf.DUMMYFUNCTION("""COMPUTED_VALUE"""),0.0)</f>
        <v>0</v>
      </c>
      <c r="Z71" s="183">
        <f t="shared" si="12"/>
        <v>0</v>
      </c>
      <c r="AA71" s="183">
        <f t="shared" si="13"/>
        <v>0</v>
      </c>
      <c r="AB71" s="183">
        <f t="shared" si="14"/>
        <v>0</v>
      </c>
    </row>
    <row r="72" ht="14.25" customHeight="1">
      <c r="A72" s="175"/>
      <c r="B72" s="196"/>
      <c r="C72" s="181"/>
      <c r="D72" s="197"/>
      <c r="E72" s="183">
        <f>SUMIFS('DB WBS'!$J:$J,'DB WBS'!$A:$A,$D$4,'DB WBS'!$D:$D,AA$1,'DB WBS'!$B:$B,$E$3,'DB WBS'!$E:$E,$B72)</f>
        <v>0</v>
      </c>
      <c r="F72" s="183">
        <f>SUMIFS('DB WBS'!$J:$J,'DB WBS'!$A:$A,$D$4,'DB WBS'!$D:$D,AA$2,'DB WBS'!$B:$B,$E$3,'DB WBS'!$E:$E,$B72)</f>
        <v>0</v>
      </c>
      <c r="G72" s="184">
        <f>IFERROR(HLOOKUP($E$3,'Tahun Lalu'!$B$5:$V$158,MATCH(B72,'Tahun Lalu'!$B$5:$B$158,0),0),0)</f>
        <v>0</v>
      </c>
      <c r="H72" s="183">
        <f>IFERROR(round(HLOOKUP('Tahun Lalu'!$D$3,RKO!$A$1:$P$171,MATCH(B72,RKO!$A$1:$A$171,0),0)*1000,0),0)</f>
        <v>0</v>
      </c>
      <c r="I72" s="183">
        <f>IFERROR(round(HLOOKUP('Tahun Lalu'!$D$3,RKAP!$A$1:$P$171,MATCH(B72,RKAP!$A$1:$A$171,0),0)*1000,0),0)</f>
        <v>0</v>
      </c>
      <c r="J72" s="183">
        <f t="shared" si="3"/>
        <v>0</v>
      </c>
      <c r="K72" s="183">
        <f t="shared" si="4"/>
        <v>0</v>
      </c>
      <c r="L72" s="183">
        <f t="shared" si="5"/>
        <v>0</v>
      </c>
      <c r="M72" s="183">
        <f t="shared" si="6"/>
        <v>0</v>
      </c>
      <c r="N72" s="183">
        <f t="shared" si="86"/>
        <v>0</v>
      </c>
      <c r="O72" s="183">
        <f t="shared" ref="O72:Q72" si="88">G72+W72</f>
        <v>0</v>
      </c>
      <c r="P72" s="183">
        <f t="shared" si="88"/>
        <v>0</v>
      </c>
      <c r="Q72" s="183">
        <f t="shared" si="88"/>
        <v>0</v>
      </c>
      <c r="R72" s="183">
        <f t="shared" si="9"/>
        <v>0</v>
      </c>
      <c r="S72" s="183">
        <f t="shared" si="10"/>
        <v>0</v>
      </c>
      <c r="T72" s="183">
        <f t="shared" si="11"/>
        <v>0</v>
      </c>
      <c r="U72" s="186"/>
      <c r="V72" s="183">
        <f>IFERROR(__xludf.DUMMYFUNCTION("""COMPUTED_VALUE"""),0.0)</f>
        <v>0</v>
      </c>
      <c r="W72" s="183">
        <f>IFERROR(__xludf.DUMMYFUNCTION("""COMPUTED_VALUE"""),0.0)</f>
        <v>0</v>
      </c>
      <c r="X72" s="183">
        <f>IFERROR(__xludf.DUMMYFUNCTION("""COMPUTED_VALUE"""),0.0)</f>
        <v>0</v>
      </c>
      <c r="Y72" s="183">
        <f>IFERROR(__xludf.DUMMYFUNCTION("""COMPUTED_VALUE"""),0.0)</f>
        <v>0</v>
      </c>
      <c r="Z72" s="183">
        <f t="shared" si="12"/>
        <v>0</v>
      </c>
      <c r="AA72" s="183">
        <f t="shared" si="13"/>
        <v>0</v>
      </c>
      <c r="AB72" s="183">
        <f t="shared" si="14"/>
        <v>0</v>
      </c>
    </row>
    <row r="73" ht="14.25" customHeight="1">
      <c r="A73" s="175"/>
      <c r="B73" s="191" t="s">
        <v>820</v>
      </c>
      <c r="C73" s="199"/>
      <c r="D73" s="200"/>
      <c r="E73" s="201">
        <f t="shared" ref="E73:I73" si="89">SUM(E70:E72)</f>
        <v>0</v>
      </c>
      <c r="F73" s="201">
        <f t="shared" si="89"/>
        <v>0</v>
      </c>
      <c r="G73" s="201">
        <f t="shared" si="89"/>
        <v>0</v>
      </c>
      <c r="H73" s="201">
        <f t="shared" si="89"/>
        <v>0</v>
      </c>
      <c r="I73" s="201">
        <f t="shared" si="89"/>
        <v>0</v>
      </c>
      <c r="J73" s="201">
        <f t="shared" si="3"/>
        <v>0</v>
      </c>
      <c r="K73" s="201">
        <f t="shared" si="4"/>
        <v>0</v>
      </c>
      <c r="L73" s="201">
        <f t="shared" si="5"/>
        <v>0</v>
      </c>
      <c r="M73" s="201">
        <f t="shared" si="6"/>
        <v>0</v>
      </c>
      <c r="N73" s="201">
        <f t="shared" ref="N73:Q73" si="90">SUM(N70:N72)</f>
        <v>0</v>
      </c>
      <c r="O73" s="201">
        <f t="shared" si="90"/>
        <v>0</v>
      </c>
      <c r="P73" s="201">
        <f t="shared" si="90"/>
        <v>0</v>
      </c>
      <c r="Q73" s="201">
        <f t="shared" si="90"/>
        <v>0</v>
      </c>
      <c r="R73" s="201">
        <f t="shared" si="9"/>
        <v>0</v>
      </c>
      <c r="S73" s="201">
        <f t="shared" si="10"/>
        <v>0</v>
      </c>
      <c r="T73" s="201">
        <f t="shared" si="11"/>
        <v>0</v>
      </c>
      <c r="U73" s="202"/>
      <c r="V73" s="201">
        <f>IFERROR(__xludf.DUMMYFUNCTION("""COMPUTED_VALUE"""),0.0)</f>
        <v>0</v>
      </c>
      <c r="W73" s="201">
        <f>IFERROR(__xludf.DUMMYFUNCTION("""COMPUTED_VALUE"""),0.0)</f>
        <v>0</v>
      </c>
      <c r="X73" s="201">
        <f>IFERROR(__xludf.DUMMYFUNCTION("""COMPUTED_VALUE"""),0.0)</f>
        <v>0</v>
      </c>
      <c r="Y73" s="201">
        <f>IFERROR(__xludf.DUMMYFUNCTION("""COMPUTED_VALUE"""),0.0)</f>
        <v>0</v>
      </c>
      <c r="Z73" s="201">
        <f t="shared" si="12"/>
        <v>0</v>
      </c>
      <c r="AA73" s="201">
        <f t="shared" si="13"/>
        <v>0</v>
      </c>
      <c r="AB73" s="201">
        <f t="shared" si="14"/>
        <v>0</v>
      </c>
    </row>
    <row r="74" ht="14.25" customHeight="1">
      <c r="A74" s="175"/>
      <c r="B74" s="203"/>
      <c r="C74" s="181"/>
      <c r="D74" s="197"/>
      <c r="E74" s="183">
        <f>SUMIFS('DB WBS'!$J:$J,'DB WBS'!$A:$A,$D$4,'DB WBS'!$D:$D,AA$1,'DB WBS'!$B:$B,$E$3,'DB WBS'!$E:$E,$B74)</f>
        <v>0</v>
      </c>
      <c r="F74" s="183">
        <f>SUMIFS('DB WBS'!$J:$J,'DB WBS'!$A:$A,$D$4,'DB WBS'!$D:$D,AA$2,'DB WBS'!$B:$B,$E$3,'DB WBS'!$E:$E,$B74)</f>
        <v>0</v>
      </c>
      <c r="G74" s="184">
        <f>IFERROR(HLOOKUP($E$3,'Tahun Lalu'!$B$5:$V$158,MATCH(B74,'Tahun Lalu'!$B$5:$B$158,0),0),0)</f>
        <v>0</v>
      </c>
      <c r="H74" s="183">
        <f>IFERROR(round(HLOOKUP('Tahun Lalu'!$D$3,RKO!$A$1:$P$171,MATCH(B74,RKO!$A$1:$A$171,0),0)*1000,0),0)</f>
        <v>0</v>
      </c>
      <c r="I74" s="183">
        <f>IFERROR(round(HLOOKUP('Tahun Lalu'!$D$3,RKAP!$A$1:$P$171,MATCH(B74,RKAP!$A$1:$A$171,0),0)*1000,0),0)</f>
        <v>0</v>
      </c>
      <c r="J74" s="183">
        <f t="shared" si="3"/>
        <v>0</v>
      </c>
      <c r="K74" s="183">
        <f t="shared" si="4"/>
        <v>0</v>
      </c>
      <c r="L74" s="183">
        <f t="shared" si="5"/>
        <v>0</v>
      </c>
      <c r="M74" s="183">
        <f t="shared" si="6"/>
        <v>0</v>
      </c>
      <c r="N74" s="183">
        <f t="shared" ref="N74:N75" si="92">E74+V74</f>
        <v>0</v>
      </c>
      <c r="O74" s="183">
        <f t="shared" ref="O74:Q74" si="91">G74+W74</f>
        <v>0</v>
      </c>
      <c r="P74" s="183">
        <f t="shared" si="91"/>
        <v>0</v>
      </c>
      <c r="Q74" s="183">
        <f t="shared" si="91"/>
        <v>0</v>
      </c>
      <c r="R74" s="183">
        <f t="shared" si="9"/>
        <v>0</v>
      </c>
      <c r="S74" s="183">
        <f t="shared" si="10"/>
        <v>0</v>
      </c>
      <c r="T74" s="183">
        <f t="shared" si="11"/>
        <v>0</v>
      </c>
      <c r="U74" s="186"/>
      <c r="V74" s="183">
        <f>IFERROR(__xludf.DUMMYFUNCTION("""COMPUTED_VALUE"""),0.0)</f>
        <v>0</v>
      </c>
      <c r="W74" s="183">
        <f>IFERROR(__xludf.DUMMYFUNCTION("""COMPUTED_VALUE"""),0.0)</f>
        <v>0</v>
      </c>
      <c r="X74" s="183">
        <f>IFERROR(__xludf.DUMMYFUNCTION("""COMPUTED_VALUE"""),0.0)</f>
        <v>0</v>
      </c>
      <c r="Y74" s="183">
        <f>IFERROR(__xludf.DUMMYFUNCTION("""COMPUTED_VALUE"""),0.0)</f>
        <v>0</v>
      </c>
      <c r="Z74" s="183">
        <f t="shared" si="12"/>
        <v>0</v>
      </c>
      <c r="AA74" s="183">
        <f t="shared" si="13"/>
        <v>0</v>
      </c>
      <c r="AB74" s="183">
        <f t="shared" si="14"/>
        <v>0</v>
      </c>
    </row>
    <row r="75" ht="14.25" customHeight="1">
      <c r="A75" s="175"/>
      <c r="B75" s="203"/>
      <c r="C75" s="181"/>
      <c r="D75" s="197"/>
      <c r="E75" s="183">
        <f>SUMIFS('DB WBS'!$J:$J,'DB WBS'!$A:$A,$D$4,'DB WBS'!$D:$D,AA$1,'DB WBS'!$B:$B,$E$3,'DB WBS'!$E:$E,$B75)</f>
        <v>0</v>
      </c>
      <c r="F75" s="183">
        <f>SUMIFS('DB WBS'!$J:$J,'DB WBS'!$A:$A,$D$4,'DB WBS'!$D:$D,AA$2,'DB WBS'!$B:$B,$E$3,'DB WBS'!$E:$E,$B75)</f>
        <v>0</v>
      </c>
      <c r="G75" s="184">
        <f>IFERROR(HLOOKUP($E$3,'Tahun Lalu'!$B$5:$V$158,MATCH(B75,'Tahun Lalu'!$B$5:$B$158,0),0),0)</f>
        <v>0</v>
      </c>
      <c r="H75" s="183">
        <f>IFERROR(round(HLOOKUP('Tahun Lalu'!$D$3,RKO!$A$1:$P$171,MATCH(B75,RKO!$A$1:$A$171,0),0)*1000,0),0)</f>
        <v>0</v>
      </c>
      <c r="I75" s="183">
        <f>IFERROR(round(HLOOKUP('Tahun Lalu'!$D$3,RKAP!$A$1:$P$171,MATCH(B75,RKAP!$A$1:$A$171,0),0)*1000,0),0)</f>
        <v>0</v>
      </c>
      <c r="J75" s="183">
        <f t="shared" si="3"/>
        <v>0</v>
      </c>
      <c r="K75" s="183">
        <f t="shared" si="4"/>
        <v>0</v>
      </c>
      <c r="L75" s="183">
        <f t="shared" si="5"/>
        <v>0</v>
      </c>
      <c r="M75" s="183">
        <f t="shared" si="6"/>
        <v>0</v>
      </c>
      <c r="N75" s="183">
        <f t="shared" si="92"/>
        <v>0</v>
      </c>
      <c r="O75" s="183">
        <f t="shared" ref="O75:Q75" si="93">G75+W75</f>
        <v>0</v>
      </c>
      <c r="P75" s="183">
        <f t="shared" si="93"/>
        <v>0</v>
      </c>
      <c r="Q75" s="183">
        <f t="shared" si="93"/>
        <v>0</v>
      </c>
      <c r="R75" s="183">
        <f t="shared" si="9"/>
        <v>0</v>
      </c>
      <c r="S75" s="183">
        <f t="shared" si="10"/>
        <v>0</v>
      </c>
      <c r="T75" s="183">
        <f t="shared" si="11"/>
        <v>0</v>
      </c>
      <c r="U75" s="186"/>
      <c r="V75" s="183">
        <f>IFERROR(__xludf.DUMMYFUNCTION("""COMPUTED_VALUE"""),0.0)</f>
        <v>0</v>
      </c>
      <c r="W75" s="183">
        <f>IFERROR(__xludf.DUMMYFUNCTION("""COMPUTED_VALUE"""),0.0)</f>
        <v>0</v>
      </c>
      <c r="X75" s="183">
        <f>IFERROR(__xludf.DUMMYFUNCTION("""COMPUTED_VALUE"""),0.0)</f>
        <v>0</v>
      </c>
      <c r="Y75" s="183">
        <f>IFERROR(__xludf.DUMMYFUNCTION("""COMPUTED_VALUE"""),0.0)</f>
        <v>0</v>
      </c>
      <c r="Z75" s="183">
        <f t="shared" si="12"/>
        <v>0</v>
      </c>
      <c r="AA75" s="183">
        <f t="shared" si="13"/>
        <v>0</v>
      </c>
      <c r="AB75" s="183">
        <f t="shared" si="14"/>
        <v>0</v>
      </c>
    </row>
    <row r="76" ht="14.25" customHeight="1">
      <c r="A76" s="175"/>
      <c r="B76" s="191" t="s">
        <v>821</v>
      </c>
      <c r="C76" s="199"/>
      <c r="D76" s="200"/>
      <c r="E76" s="201">
        <f t="shared" ref="E76:I76" si="94">SUM(E74:E75)</f>
        <v>0</v>
      </c>
      <c r="F76" s="201">
        <f t="shared" si="94"/>
        <v>0</v>
      </c>
      <c r="G76" s="201">
        <f t="shared" si="94"/>
        <v>0</v>
      </c>
      <c r="H76" s="201">
        <f t="shared" si="94"/>
        <v>0</v>
      </c>
      <c r="I76" s="201">
        <f t="shared" si="94"/>
        <v>0</v>
      </c>
      <c r="J76" s="201">
        <f t="shared" si="3"/>
        <v>0</v>
      </c>
      <c r="K76" s="201">
        <f t="shared" si="4"/>
        <v>0</v>
      </c>
      <c r="L76" s="201">
        <f t="shared" si="5"/>
        <v>0</v>
      </c>
      <c r="M76" s="201">
        <f t="shared" si="6"/>
        <v>0</v>
      </c>
      <c r="N76" s="201">
        <f t="shared" ref="N76:Q76" si="95">SUM(N74:N75)</f>
        <v>0</v>
      </c>
      <c r="O76" s="201">
        <f t="shared" si="95"/>
        <v>0</v>
      </c>
      <c r="P76" s="201">
        <f t="shared" si="95"/>
        <v>0</v>
      </c>
      <c r="Q76" s="201">
        <f t="shared" si="95"/>
        <v>0</v>
      </c>
      <c r="R76" s="201">
        <f t="shared" si="9"/>
        <v>0</v>
      </c>
      <c r="S76" s="201">
        <f t="shared" si="10"/>
        <v>0</v>
      </c>
      <c r="T76" s="201">
        <f t="shared" si="11"/>
        <v>0</v>
      </c>
      <c r="U76" s="202"/>
      <c r="V76" s="201">
        <f>IFERROR(__xludf.DUMMYFUNCTION("""COMPUTED_VALUE"""),0.0)</f>
        <v>0</v>
      </c>
      <c r="W76" s="201">
        <f>IFERROR(__xludf.DUMMYFUNCTION("""COMPUTED_VALUE"""),0.0)</f>
        <v>0</v>
      </c>
      <c r="X76" s="201">
        <f>IFERROR(__xludf.DUMMYFUNCTION("""COMPUTED_VALUE"""),0.0)</f>
        <v>0</v>
      </c>
      <c r="Y76" s="201">
        <f>IFERROR(__xludf.DUMMYFUNCTION("""COMPUTED_VALUE"""),0.0)</f>
        <v>0</v>
      </c>
      <c r="Z76" s="201">
        <f t="shared" si="12"/>
        <v>0</v>
      </c>
      <c r="AA76" s="201">
        <f t="shared" si="13"/>
        <v>0</v>
      </c>
      <c r="AB76" s="201">
        <f t="shared" si="14"/>
        <v>0</v>
      </c>
    </row>
    <row r="77" ht="14.25" customHeight="1">
      <c r="A77" s="175"/>
      <c r="B77" s="204" t="s">
        <v>822</v>
      </c>
      <c r="C77" s="205"/>
      <c r="D77" s="206"/>
      <c r="E77" s="207">
        <f t="shared" ref="E77:I77" si="96">E76+E73+E69+E64+E58+E45+E34+E32+E13+E11</f>
        <v>116798639</v>
      </c>
      <c r="F77" s="207">
        <f t="shared" si="96"/>
        <v>68177480</v>
      </c>
      <c r="G77" s="207">
        <f t="shared" si="96"/>
        <v>77234949</v>
      </c>
      <c r="H77" s="207">
        <f t="shared" si="96"/>
        <v>78299136</v>
      </c>
      <c r="I77" s="207">
        <f t="shared" si="96"/>
        <v>78299136</v>
      </c>
      <c r="J77" s="207">
        <f t="shared" si="3"/>
        <v>171.3155708</v>
      </c>
      <c r="K77" s="207">
        <f t="shared" si="4"/>
        <v>151.2251131</v>
      </c>
      <c r="L77" s="207">
        <f t="shared" si="5"/>
        <v>149.1697673</v>
      </c>
      <c r="M77" s="207">
        <f t="shared" si="6"/>
        <v>149.1697673</v>
      </c>
      <c r="N77" s="207">
        <f t="shared" ref="N77:Q77" si="97">N76+N73+N69+N64+N58+N45+N34+N32+N13+N11</f>
        <v>450137844</v>
      </c>
      <c r="O77" s="207">
        <f t="shared" si="97"/>
        <v>371150067</v>
      </c>
      <c r="P77" s="207">
        <f t="shared" si="97"/>
        <v>479888392</v>
      </c>
      <c r="Q77" s="207">
        <f t="shared" si="97"/>
        <v>479888392</v>
      </c>
      <c r="R77" s="207">
        <f t="shared" si="9"/>
        <v>121.2818975</v>
      </c>
      <c r="S77" s="207">
        <f t="shared" si="10"/>
        <v>93.80052769</v>
      </c>
      <c r="T77" s="207">
        <f t="shared" si="11"/>
        <v>93.80052769</v>
      </c>
      <c r="U77" s="202"/>
      <c r="V77" s="207">
        <f>IFERROR(__xludf.DUMMYFUNCTION("""COMPUTED_VALUE"""),3.33339205E8)</f>
        <v>333339205</v>
      </c>
      <c r="W77" s="207">
        <f>IFERROR(__xludf.DUMMYFUNCTION("""COMPUTED_VALUE"""),2.93915118E8)</f>
        <v>293915118</v>
      </c>
      <c r="X77" s="207">
        <f>IFERROR(__xludf.DUMMYFUNCTION("""COMPUTED_VALUE"""),4.01589256E8)</f>
        <v>401589256</v>
      </c>
      <c r="Y77" s="207">
        <f>IFERROR(__xludf.DUMMYFUNCTION("""COMPUTED_VALUE"""),4.01589256E8)</f>
        <v>401589256</v>
      </c>
      <c r="Z77" s="207">
        <f t="shared" si="12"/>
        <v>113.413426</v>
      </c>
      <c r="AA77" s="207">
        <f t="shared" si="13"/>
        <v>83.00501072</v>
      </c>
      <c r="AB77" s="207">
        <f t="shared" si="14"/>
        <v>83.00501072</v>
      </c>
    </row>
    <row r="78" ht="14.25" customHeight="1">
      <c r="A78" s="175"/>
      <c r="B78" s="208" t="s">
        <v>20</v>
      </c>
      <c r="C78" s="181" t="s">
        <v>409</v>
      </c>
      <c r="D78" s="209" t="s">
        <v>140</v>
      </c>
      <c r="E78" s="183">
        <f>SUMIFS('DB WBS'!$J:$J,'DB WBS'!$A:$A,$D$4,'DB WBS'!$D:$D,AA$1,'DB WBS'!$B:$B,$E$3,'DB WBS'!$E:$E,$B78)</f>
        <v>172822714</v>
      </c>
      <c r="F78" s="183">
        <f>SUMIFS('DB WBS'!$J:$J,'DB WBS'!$A:$A,$D$4,'DB WBS'!$D:$D,AA$2,'DB WBS'!$B:$B,$E$3,'DB WBS'!$E:$E,$B78)</f>
        <v>139605542</v>
      </c>
      <c r="G78" s="184">
        <f>IFERROR(HLOOKUP($E$3,'Tahun Lalu'!$B$5:$V$158,MATCH(B78,'Tahun Lalu'!$B$5:$B$158,0),0),0)</f>
        <v>178125194</v>
      </c>
      <c r="H78" s="183">
        <f>IFERROR(round(HLOOKUP('Tahun Lalu'!$D$3,RKO!$A$1:$P$171,MATCH(B78,RKO!$A$1:$A$171,0),0)*1000,0),0)</f>
        <v>0</v>
      </c>
      <c r="I78" s="183">
        <f>IFERROR(round(HLOOKUP('Tahun Lalu'!$D$3,RKAP!$A$1:$P$171,MATCH(B78,RKAP!$A$1:$A$171,0),0)*1000,0),0)</f>
        <v>0</v>
      </c>
      <c r="J78" s="210">
        <f t="shared" si="3"/>
        <v>123.7935912</v>
      </c>
      <c r="K78" s="183">
        <f t="shared" si="4"/>
        <v>97.02317236</v>
      </c>
      <c r="L78" s="183">
        <f t="shared" si="5"/>
        <v>0</v>
      </c>
      <c r="M78" s="183">
        <f t="shared" si="6"/>
        <v>0</v>
      </c>
      <c r="N78" s="183">
        <f t="shared" ref="N78:N90" si="99">E78+V78</f>
        <v>993390117</v>
      </c>
      <c r="O78" s="183">
        <f t="shared" ref="O78:Q78" si="98">G78+W78</f>
        <v>799531222</v>
      </c>
      <c r="P78" s="183">
        <f t="shared" si="98"/>
        <v>0</v>
      </c>
      <c r="Q78" s="183">
        <f t="shared" si="98"/>
        <v>0</v>
      </c>
      <c r="R78" s="210">
        <f t="shared" si="9"/>
        <v>124.2465697</v>
      </c>
      <c r="S78" s="183">
        <f t="shared" si="10"/>
        <v>0</v>
      </c>
      <c r="T78" s="183">
        <f t="shared" si="11"/>
        <v>0</v>
      </c>
      <c r="U78" s="186"/>
      <c r="V78" s="183">
        <f>IFERROR(__xludf.DUMMYFUNCTION("""COMPUTED_VALUE"""),8.20567403E8)</f>
        <v>820567403</v>
      </c>
      <c r="W78" s="183">
        <f>IFERROR(__xludf.DUMMYFUNCTION("""COMPUTED_VALUE"""),6.21406028E8)</f>
        <v>621406028</v>
      </c>
      <c r="X78" s="183">
        <f>IFERROR(__xludf.DUMMYFUNCTION("""COMPUTED_VALUE"""),0.0)</f>
        <v>0</v>
      </c>
      <c r="Y78" s="183">
        <f>IFERROR(__xludf.DUMMYFUNCTION("""COMPUTED_VALUE"""),0.0)</f>
        <v>0</v>
      </c>
      <c r="Z78" s="210">
        <f t="shared" si="12"/>
        <v>132.0501196</v>
      </c>
      <c r="AA78" s="183">
        <f t="shared" si="13"/>
        <v>0</v>
      </c>
      <c r="AB78" s="183">
        <f t="shared" si="14"/>
        <v>0</v>
      </c>
    </row>
    <row r="79" ht="14.25" customHeight="1">
      <c r="A79" s="175"/>
      <c r="B79" s="208" t="s">
        <v>823</v>
      </c>
      <c r="C79" s="181"/>
      <c r="D79" s="209" t="s">
        <v>192</v>
      </c>
      <c r="E79" s="183">
        <f>SUMIFS('DB WBS'!$J:$J,'DB WBS'!$A:$A,$D$4,'DB WBS'!$D:$D,AA$1,'DB WBS'!$B:$B,$E$3,'DB WBS'!$E:$E,$B79)</f>
        <v>0</v>
      </c>
      <c r="F79" s="183">
        <f>SUMIFS('DB WBS'!$J:$J,'DB WBS'!$A:$A,$D$4,'DB WBS'!$D:$D,AA$2,'DB WBS'!$B:$B,$E$3,'DB WBS'!$E:$E,$B79)</f>
        <v>0</v>
      </c>
      <c r="G79" s="184">
        <f>IFERROR(HLOOKUP($E$3,'Tahun Lalu'!$B$5:$V$158,MATCH(B79,'Tahun Lalu'!$B$5:$B$158,0),0),0)</f>
        <v>0</v>
      </c>
      <c r="H79" s="183">
        <f>IFERROR(round(HLOOKUP('Tahun Lalu'!$D$3,RKO!$A$1:$P$171,MATCH(B79,RKO!$A$1:$A$171,0),0)*1000,0),0)</f>
        <v>181609568</v>
      </c>
      <c r="I79" s="183">
        <f>IFERROR(round(HLOOKUP('Tahun Lalu'!$D$3,RKAP!$A$1:$P$171,MATCH(B79,RKAP!$A$1:$A$171,0),0)*1000,0),0)</f>
        <v>181609568</v>
      </c>
      <c r="J79" s="183">
        <f t="shared" si="3"/>
        <v>0</v>
      </c>
      <c r="K79" s="183">
        <f t="shared" si="4"/>
        <v>0</v>
      </c>
      <c r="L79" s="183">
        <f t="shared" si="5"/>
        <v>0</v>
      </c>
      <c r="M79" s="183">
        <f t="shared" si="6"/>
        <v>0</v>
      </c>
      <c r="N79" s="183">
        <f t="shared" si="99"/>
        <v>0</v>
      </c>
      <c r="O79" s="183">
        <f t="shared" ref="O79:Q79" si="100">G79+W79</f>
        <v>0</v>
      </c>
      <c r="P79" s="183">
        <f t="shared" si="100"/>
        <v>970863499</v>
      </c>
      <c r="Q79" s="183">
        <f t="shared" si="100"/>
        <v>970863499</v>
      </c>
      <c r="R79" s="183">
        <f t="shared" si="9"/>
        <v>0</v>
      </c>
      <c r="S79" s="183">
        <f t="shared" si="10"/>
        <v>0</v>
      </c>
      <c r="T79" s="183">
        <f t="shared" si="11"/>
        <v>0</v>
      </c>
      <c r="U79" s="186"/>
      <c r="V79" s="183">
        <f>IFERROR(__xludf.DUMMYFUNCTION("""COMPUTED_VALUE"""),0.0)</f>
        <v>0</v>
      </c>
      <c r="W79" s="183">
        <f>IFERROR(__xludf.DUMMYFUNCTION("""COMPUTED_VALUE"""),0.0)</f>
        <v>0</v>
      </c>
      <c r="X79" s="183">
        <f>IFERROR(__xludf.DUMMYFUNCTION("""COMPUTED_VALUE"""),7.89253931E8)</f>
        <v>789253931</v>
      </c>
      <c r="Y79" s="183">
        <f>IFERROR(__xludf.DUMMYFUNCTION("""COMPUTED_VALUE"""),7.89253931E8)</f>
        <v>789253931</v>
      </c>
      <c r="Z79" s="183">
        <f t="shared" si="12"/>
        <v>0</v>
      </c>
      <c r="AA79" s="183">
        <f t="shared" si="13"/>
        <v>0</v>
      </c>
      <c r="AB79" s="183">
        <f t="shared" si="14"/>
        <v>0</v>
      </c>
    </row>
    <row r="80" ht="14.25" customHeight="1">
      <c r="A80" s="175"/>
      <c r="B80" s="208" t="s">
        <v>43</v>
      </c>
      <c r="C80" s="181"/>
      <c r="D80" s="209" t="s">
        <v>44</v>
      </c>
      <c r="E80" s="183">
        <f>SUMIFS('DB WBS'!$J:$J,'DB WBS'!$A:$A,$D$4,'DB WBS'!$D:$D,AA$1,'DB WBS'!$B:$B,$E$3,'DB WBS'!$E:$E,$B80)</f>
        <v>222522697</v>
      </c>
      <c r="F80" s="183">
        <f>SUMIFS('DB WBS'!$J:$J,'DB WBS'!$A:$A,$D$4,'DB WBS'!$D:$D,AA$2,'DB WBS'!$B:$B,$E$3,'DB WBS'!$E:$E,$B80)</f>
        <v>270292924</v>
      </c>
      <c r="G80" s="184">
        <f>IFERROR(HLOOKUP($E$3,'Tahun Lalu'!$B$5:$V$158,MATCH(B80,'Tahun Lalu'!$B$5:$B$158,0),0),0)</f>
        <v>327806831</v>
      </c>
      <c r="H80" s="183">
        <f>IFERROR(round(HLOOKUP('Tahun Lalu'!$D$3,RKO!$A$1:$P$171,MATCH(B80,RKO!$A$1:$A$171,0),0)*1000,0),0)</f>
        <v>0</v>
      </c>
      <c r="I80" s="183">
        <f>IFERROR(round(HLOOKUP('Tahun Lalu'!$D$3,RKAP!$A$1:$P$171,MATCH(B80,RKAP!$A$1:$A$171,0),0)*1000,0),0)</f>
        <v>0</v>
      </c>
      <c r="J80" s="183">
        <f t="shared" si="3"/>
        <v>82.32649738</v>
      </c>
      <c r="K80" s="183">
        <f t="shared" si="4"/>
        <v>67.88226356</v>
      </c>
      <c r="L80" s="183">
        <f t="shared" si="5"/>
        <v>0</v>
      </c>
      <c r="M80" s="183">
        <f t="shared" si="6"/>
        <v>0</v>
      </c>
      <c r="N80" s="183">
        <f t="shared" si="99"/>
        <v>1209021000</v>
      </c>
      <c r="O80" s="183">
        <f t="shared" ref="O80:Q80" si="101">G80+W80</f>
        <v>1612847050</v>
      </c>
      <c r="P80" s="183">
        <f t="shared" si="101"/>
        <v>0</v>
      </c>
      <c r="Q80" s="183">
        <f t="shared" si="101"/>
        <v>0</v>
      </c>
      <c r="R80" s="183">
        <f t="shared" si="9"/>
        <v>74.96191285</v>
      </c>
      <c r="S80" s="183">
        <f t="shared" si="10"/>
        <v>0</v>
      </c>
      <c r="T80" s="183">
        <f t="shared" si="11"/>
        <v>0</v>
      </c>
      <c r="U80" s="186"/>
      <c r="V80" s="183">
        <f>IFERROR(__xludf.DUMMYFUNCTION("""COMPUTED_VALUE"""),9.86498303E8)</f>
        <v>986498303</v>
      </c>
      <c r="W80" s="183">
        <f>IFERROR(__xludf.DUMMYFUNCTION("""COMPUTED_VALUE"""),1.285040219E9)</f>
        <v>1285040219</v>
      </c>
      <c r="X80" s="183">
        <f>IFERROR(__xludf.DUMMYFUNCTION("""COMPUTED_VALUE"""),0.0)</f>
        <v>0</v>
      </c>
      <c r="Y80" s="183">
        <f>IFERROR(__xludf.DUMMYFUNCTION("""COMPUTED_VALUE"""),0.0)</f>
        <v>0</v>
      </c>
      <c r="Z80" s="183">
        <f t="shared" si="12"/>
        <v>76.76789321</v>
      </c>
      <c r="AA80" s="183">
        <f t="shared" si="13"/>
        <v>0</v>
      </c>
      <c r="AB80" s="183">
        <f t="shared" si="14"/>
        <v>0</v>
      </c>
    </row>
    <row r="81" ht="14.25" customHeight="1">
      <c r="A81" s="175"/>
      <c r="B81" s="208" t="s">
        <v>14</v>
      </c>
      <c r="C81" s="181"/>
      <c r="D81" s="209" t="s">
        <v>15</v>
      </c>
      <c r="E81" s="183">
        <f>SUMIFS('DB WBS'!$J:$J,'DB WBS'!$A:$A,$D$4,'DB WBS'!$D:$D,AA$1,'DB WBS'!$B:$B,$E$3,'DB WBS'!$E:$E,$B81)</f>
        <v>10173000</v>
      </c>
      <c r="F81" s="183">
        <f>SUMIFS('DB WBS'!$J:$J,'DB WBS'!$A:$A,$D$4,'DB WBS'!$D:$D,AA$2,'DB WBS'!$B:$B,$E$3,'DB WBS'!$E:$E,$B81)</f>
        <v>9494000</v>
      </c>
      <c r="G81" s="184">
        <f>IFERROR(HLOOKUP($E$3,'Tahun Lalu'!$B$5:$V$158,MATCH(B81,'Tahun Lalu'!$B$5:$B$158,0),0),0)</f>
        <v>10590000</v>
      </c>
      <c r="H81" s="183">
        <f>IFERROR(round(HLOOKUP('Tahun Lalu'!$D$3,RKO!$A$1:$P$171,MATCH(B81,RKO!$A$1:$A$171,0),0)*1000,0),0)</f>
        <v>438405871</v>
      </c>
      <c r="I81" s="183">
        <f>IFERROR(round(HLOOKUP('Tahun Lalu'!$D$3,RKAP!$A$1:$P$171,MATCH(B81,RKAP!$A$1:$A$171,0),0)*1000,0),0)</f>
        <v>438405871</v>
      </c>
      <c r="J81" s="183">
        <f t="shared" si="3"/>
        <v>107.1518854</v>
      </c>
      <c r="K81" s="183">
        <f t="shared" si="4"/>
        <v>96.06232295</v>
      </c>
      <c r="L81" s="183">
        <f t="shared" si="5"/>
        <v>2.320452501</v>
      </c>
      <c r="M81" s="183">
        <f t="shared" si="6"/>
        <v>2.320452501</v>
      </c>
      <c r="N81" s="183">
        <f t="shared" si="99"/>
        <v>40901500</v>
      </c>
      <c r="O81" s="183">
        <f t="shared" ref="O81:Q81" si="102">G81+W81</f>
        <v>44040954</v>
      </c>
      <c r="P81" s="183">
        <f t="shared" si="102"/>
        <v>2583863672</v>
      </c>
      <c r="Q81" s="183">
        <f t="shared" si="102"/>
        <v>2583863672</v>
      </c>
      <c r="R81" s="183">
        <f t="shared" si="9"/>
        <v>92.87151227</v>
      </c>
      <c r="S81" s="183">
        <f t="shared" si="10"/>
        <v>1.582958902</v>
      </c>
      <c r="T81" s="183">
        <f t="shared" si="11"/>
        <v>1.582958902</v>
      </c>
      <c r="U81" s="186"/>
      <c r="V81" s="183">
        <f>IFERROR(__xludf.DUMMYFUNCTION("""COMPUTED_VALUE"""),3.07285E7)</f>
        <v>30728500</v>
      </c>
      <c r="W81" s="183">
        <f>IFERROR(__xludf.DUMMYFUNCTION("""COMPUTED_VALUE"""),3.3450954E7)</f>
        <v>33450954</v>
      </c>
      <c r="X81" s="183">
        <f>IFERROR(__xludf.DUMMYFUNCTION("""COMPUTED_VALUE"""),2.145457801E9)</f>
        <v>2145457801</v>
      </c>
      <c r="Y81" s="183">
        <f>IFERROR(__xludf.DUMMYFUNCTION("""COMPUTED_VALUE"""),2.145457801E9)</f>
        <v>2145457801</v>
      </c>
      <c r="Z81" s="183">
        <f t="shared" si="12"/>
        <v>91.86135618</v>
      </c>
      <c r="AA81" s="183">
        <f t="shared" si="13"/>
        <v>1.43225842</v>
      </c>
      <c r="AB81" s="183">
        <f t="shared" si="14"/>
        <v>1.43225842</v>
      </c>
    </row>
    <row r="82" ht="14.25" customHeight="1">
      <c r="A82" s="175"/>
      <c r="B82" s="208" t="s">
        <v>68</v>
      </c>
      <c r="C82" s="181"/>
      <c r="D82" s="209" t="s">
        <v>69</v>
      </c>
      <c r="E82" s="183">
        <f>SUMIFS('DB WBS'!$J:$J,'DB WBS'!$A:$A,$D$4,'DB WBS'!$D:$D,AA$1,'DB WBS'!$B:$B,$E$3,'DB WBS'!$E:$E,$B82)</f>
        <v>0</v>
      </c>
      <c r="F82" s="183">
        <f>SUMIFS('DB WBS'!$J:$J,'DB WBS'!$A:$A,$D$4,'DB WBS'!$D:$D,AA$2,'DB WBS'!$B:$B,$E$3,'DB WBS'!$E:$E,$B82)</f>
        <v>0</v>
      </c>
      <c r="G82" s="184">
        <f>IFERROR(HLOOKUP($E$3,'Tahun Lalu'!$B$5:$V$158,MATCH(B82,'Tahun Lalu'!$B$5:$B$158,0),0),0)</f>
        <v>0</v>
      </c>
      <c r="H82" s="183">
        <f>IFERROR(round(HLOOKUP('Tahun Lalu'!$D$3,RKO!$A$1:$P$171,MATCH(B82,RKO!$A$1:$A$171,0),0)*1000,0),0)</f>
        <v>0</v>
      </c>
      <c r="I82" s="183">
        <f>IFERROR(round(HLOOKUP('Tahun Lalu'!$D$3,RKAP!$A$1:$P$171,MATCH(B82,RKAP!$A$1:$A$171,0),0)*1000,0),0)</f>
        <v>0</v>
      </c>
      <c r="J82" s="183">
        <f t="shared" si="3"/>
        <v>0</v>
      </c>
      <c r="K82" s="183">
        <f t="shared" si="4"/>
        <v>0</v>
      </c>
      <c r="L82" s="183">
        <f t="shared" si="5"/>
        <v>0</v>
      </c>
      <c r="M82" s="183">
        <f t="shared" si="6"/>
        <v>0</v>
      </c>
      <c r="N82" s="183">
        <f t="shared" si="99"/>
        <v>0</v>
      </c>
      <c r="O82" s="183">
        <f t="shared" ref="O82:Q82" si="103">G82+W82</f>
        <v>0</v>
      </c>
      <c r="P82" s="183">
        <f t="shared" si="103"/>
        <v>0</v>
      </c>
      <c r="Q82" s="183">
        <f t="shared" si="103"/>
        <v>0</v>
      </c>
      <c r="R82" s="183">
        <f t="shared" si="9"/>
        <v>0</v>
      </c>
      <c r="S82" s="183">
        <f t="shared" si="10"/>
        <v>0</v>
      </c>
      <c r="T82" s="183">
        <f t="shared" si="11"/>
        <v>0</v>
      </c>
      <c r="U82" s="186"/>
      <c r="V82" s="183">
        <f>IFERROR(__xludf.DUMMYFUNCTION("""COMPUTED_VALUE"""),0.0)</f>
        <v>0</v>
      </c>
      <c r="W82" s="183">
        <f>IFERROR(__xludf.DUMMYFUNCTION("""COMPUTED_VALUE"""),0.0)</f>
        <v>0</v>
      </c>
      <c r="X82" s="183">
        <f>IFERROR(__xludf.DUMMYFUNCTION("""COMPUTED_VALUE"""),0.0)</f>
        <v>0</v>
      </c>
      <c r="Y82" s="183">
        <f>IFERROR(__xludf.DUMMYFUNCTION("""COMPUTED_VALUE"""),0.0)</f>
        <v>0</v>
      </c>
      <c r="Z82" s="183">
        <f t="shared" si="12"/>
        <v>0</v>
      </c>
      <c r="AA82" s="183">
        <f t="shared" si="13"/>
        <v>0</v>
      </c>
      <c r="AB82" s="183">
        <f t="shared" si="14"/>
        <v>0</v>
      </c>
    </row>
    <row r="83" ht="14.25" customHeight="1">
      <c r="A83" s="175"/>
      <c r="B83" s="208" t="s">
        <v>824</v>
      </c>
      <c r="C83" s="181"/>
      <c r="D83" s="209" t="s">
        <v>825</v>
      </c>
      <c r="E83" s="183">
        <f>SUMIFS('DB WBS'!$J:$J,'DB WBS'!$A:$A,$D$4,'DB WBS'!$D:$D,AA$1,'DB WBS'!$B:$B,$E$3,'DB WBS'!$E:$E,$B83)</f>
        <v>0</v>
      </c>
      <c r="F83" s="183">
        <f>SUMIFS('DB WBS'!$J:$J,'DB WBS'!$A:$A,$D$4,'DB WBS'!$D:$D,AA$2,'DB WBS'!$B:$B,$E$3,'DB WBS'!$E:$E,$B83)</f>
        <v>0</v>
      </c>
      <c r="G83" s="184">
        <f>IFERROR(HLOOKUP($E$3,'Tahun Lalu'!$B$5:$V$158,MATCH(B83,'Tahun Lalu'!$B$5:$B$158,0),0),0)</f>
        <v>0</v>
      </c>
      <c r="H83" s="183">
        <f>IFERROR(round(HLOOKUP('Tahun Lalu'!$D$3,RKO!$A$1:$P$171,MATCH(B83,RKO!$A$1:$A$171,0),0)*1000,0),0)</f>
        <v>0</v>
      </c>
      <c r="I83" s="183">
        <f>IFERROR(round(HLOOKUP('Tahun Lalu'!$D$3,RKAP!$A$1:$P$171,MATCH(B83,RKAP!$A$1:$A$171,0),0)*1000,0),0)</f>
        <v>0</v>
      </c>
      <c r="J83" s="183">
        <f t="shared" si="3"/>
        <v>0</v>
      </c>
      <c r="K83" s="183">
        <f t="shared" si="4"/>
        <v>0</v>
      </c>
      <c r="L83" s="183">
        <f t="shared" si="5"/>
        <v>0</v>
      </c>
      <c r="M83" s="183">
        <f t="shared" si="6"/>
        <v>0</v>
      </c>
      <c r="N83" s="183">
        <f t="shared" si="99"/>
        <v>0</v>
      </c>
      <c r="O83" s="183">
        <f t="shared" ref="O83:Q83" si="104">G83+W83</f>
        <v>0</v>
      </c>
      <c r="P83" s="183">
        <f t="shared" si="104"/>
        <v>0</v>
      </c>
      <c r="Q83" s="183">
        <f t="shared" si="104"/>
        <v>0</v>
      </c>
      <c r="R83" s="183">
        <f t="shared" si="9"/>
        <v>0</v>
      </c>
      <c r="S83" s="183">
        <f t="shared" si="10"/>
        <v>0</v>
      </c>
      <c r="T83" s="183">
        <f t="shared" si="11"/>
        <v>0</v>
      </c>
      <c r="U83" s="186"/>
      <c r="V83" s="183">
        <f>IFERROR(__xludf.DUMMYFUNCTION("""COMPUTED_VALUE"""),0.0)</f>
        <v>0</v>
      </c>
      <c r="W83" s="183">
        <f>IFERROR(__xludf.DUMMYFUNCTION("""COMPUTED_VALUE"""),0.0)</f>
        <v>0</v>
      </c>
      <c r="X83" s="183">
        <f>IFERROR(__xludf.DUMMYFUNCTION("""COMPUTED_VALUE"""),0.0)</f>
        <v>0</v>
      </c>
      <c r="Y83" s="183">
        <f>IFERROR(__xludf.DUMMYFUNCTION("""COMPUTED_VALUE"""),0.0)</f>
        <v>0</v>
      </c>
      <c r="Z83" s="183">
        <f t="shared" si="12"/>
        <v>0</v>
      </c>
      <c r="AA83" s="183">
        <f t="shared" si="13"/>
        <v>0</v>
      </c>
      <c r="AB83" s="183">
        <f t="shared" si="14"/>
        <v>0</v>
      </c>
    </row>
    <row r="84" ht="14.25" customHeight="1">
      <c r="A84" s="175"/>
      <c r="B84" s="208" t="s">
        <v>826</v>
      </c>
      <c r="C84" s="181"/>
      <c r="D84" s="209" t="s">
        <v>827</v>
      </c>
      <c r="E84" s="183">
        <f>SUMIFS('DB WBS'!$J:$J,'DB WBS'!$A:$A,$D$4,'DB WBS'!$D:$D,AA$1,'DB WBS'!$B:$B,$E$3,'DB WBS'!$E:$E,$B84)</f>
        <v>0</v>
      </c>
      <c r="F84" s="183">
        <f>SUMIFS('DB WBS'!$J:$J,'DB WBS'!$A:$A,$D$4,'DB WBS'!$D:$D,AA$2,'DB WBS'!$B:$B,$E$3,'DB WBS'!$E:$E,$B84)</f>
        <v>0</v>
      </c>
      <c r="G84" s="184">
        <f>IFERROR(HLOOKUP($E$3,'Tahun Lalu'!$B$5:$V$158,MATCH(B84,'Tahun Lalu'!$B$5:$B$158,0),0),0)</f>
        <v>0</v>
      </c>
      <c r="H84" s="183">
        <f>IFERROR(round(HLOOKUP('Tahun Lalu'!$D$3,RKO!$A$1:$P$171,MATCH(B84,RKO!$A$1:$A$171,0),0)*1000,0),0)</f>
        <v>0</v>
      </c>
      <c r="I84" s="183">
        <f>IFERROR(round(HLOOKUP('Tahun Lalu'!$D$3,RKAP!$A$1:$P$171,MATCH(B84,RKAP!$A$1:$A$171,0),0)*1000,0),0)</f>
        <v>0</v>
      </c>
      <c r="J84" s="183">
        <f t="shared" si="3"/>
        <v>0</v>
      </c>
      <c r="K84" s="183">
        <f t="shared" si="4"/>
        <v>0</v>
      </c>
      <c r="L84" s="183">
        <f t="shared" si="5"/>
        <v>0</v>
      </c>
      <c r="M84" s="183">
        <f t="shared" si="6"/>
        <v>0</v>
      </c>
      <c r="N84" s="183">
        <f t="shared" si="99"/>
        <v>0</v>
      </c>
      <c r="O84" s="183">
        <f t="shared" ref="O84:Q84" si="105">G84+W84</f>
        <v>0</v>
      </c>
      <c r="P84" s="183">
        <f t="shared" si="105"/>
        <v>0</v>
      </c>
      <c r="Q84" s="183">
        <f t="shared" si="105"/>
        <v>0</v>
      </c>
      <c r="R84" s="183">
        <f t="shared" si="9"/>
        <v>0</v>
      </c>
      <c r="S84" s="183">
        <f t="shared" si="10"/>
        <v>0</v>
      </c>
      <c r="T84" s="183">
        <f t="shared" si="11"/>
        <v>0</v>
      </c>
      <c r="U84" s="186"/>
      <c r="V84" s="183">
        <f>IFERROR(__xludf.DUMMYFUNCTION("""COMPUTED_VALUE"""),0.0)</f>
        <v>0</v>
      </c>
      <c r="W84" s="183">
        <f>IFERROR(__xludf.DUMMYFUNCTION("""COMPUTED_VALUE"""),0.0)</f>
        <v>0</v>
      </c>
      <c r="X84" s="183">
        <f>IFERROR(__xludf.DUMMYFUNCTION("""COMPUTED_VALUE"""),0.0)</f>
        <v>0</v>
      </c>
      <c r="Y84" s="183">
        <f>IFERROR(__xludf.DUMMYFUNCTION("""COMPUTED_VALUE"""),0.0)</f>
        <v>0</v>
      </c>
      <c r="Z84" s="183">
        <f t="shared" si="12"/>
        <v>0</v>
      </c>
      <c r="AA84" s="183">
        <f t="shared" si="13"/>
        <v>0</v>
      </c>
      <c r="AB84" s="183">
        <f t="shared" si="14"/>
        <v>0</v>
      </c>
    </row>
    <row r="85" ht="14.25" customHeight="1">
      <c r="A85" s="175"/>
      <c r="B85" s="208" t="s">
        <v>828</v>
      </c>
      <c r="C85" s="181"/>
      <c r="D85" s="209" t="s">
        <v>829</v>
      </c>
      <c r="E85" s="183">
        <f>SUMIFS('DB WBS'!$J:$J,'DB WBS'!$A:$A,$D$4,'DB WBS'!$D:$D,AA$1,'DB WBS'!$B:$B,$E$3,'DB WBS'!$E:$E,$B85)</f>
        <v>0</v>
      </c>
      <c r="F85" s="183">
        <f>SUMIFS('DB WBS'!$J:$J,'DB WBS'!$A:$A,$D$4,'DB WBS'!$D:$D,AA$2,'DB WBS'!$B:$B,$E$3,'DB WBS'!$E:$E,$B85)</f>
        <v>0</v>
      </c>
      <c r="G85" s="184">
        <f>IFERROR(HLOOKUP($E$3,'Tahun Lalu'!$B$5:$V$158,MATCH(B85,'Tahun Lalu'!$B$5:$B$158,0),0),0)</f>
        <v>0</v>
      </c>
      <c r="H85" s="183">
        <f>IFERROR(round(HLOOKUP('Tahun Lalu'!$D$3,RKO!$A$1:$P$171,MATCH(B85,RKO!$A$1:$A$171,0),0)*1000,0),0)</f>
        <v>0</v>
      </c>
      <c r="I85" s="183">
        <f>IFERROR(round(HLOOKUP('Tahun Lalu'!$D$3,RKAP!$A$1:$P$171,MATCH(B85,RKAP!$A$1:$A$171,0),0)*1000,0),0)</f>
        <v>0</v>
      </c>
      <c r="J85" s="183">
        <f t="shared" si="3"/>
        <v>0</v>
      </c>
      <c r="K85" s="183">
        <f t="shared" si="4"/>
        <v>0</v>
      </c>
      <c r="L85" s="183">
        <f t="shared" si="5"/>
        <v>0</v>
      </c>
      <c r="M85" s="183">
        <f t="shared" si="6"/>
        <v>0</v>
      </c>
      <c r="N85" s="183">
        <f t="shared" si="99"/>
        <v>0</v>
      </c>
      <c r="O85" s="183">
        <f t="shared" ref="O85:Q85" si="106">G85+W85</f>
        <v>0</v>
      </c>
      <c r="P85" s="183">
        <f t="shared" si="106"/>
        <v>0</v>
      </c>
      <c r="Q85" s="183">
        <f t="shared" si="106"/>
        <v>0</v>
      </c>
      <c r="R85" s="183">
        <f t="shared" si="9"/>
        <v>0</v>
      </c>
      <c r="S85" s="183">
        <f t="shared" si="10"/>
        <v>0</v>
      </c>
      <c r="T85" s="183">
        <f t="shared" si="11"/>
        <v>0</v>
      </c>
      <c r="U85" s="186"/>
      <c r="V85" s="183">
        <f>IFERROR(__xludf.DUMMYFUNCTION("""COMPUTED_VALUE"""),0.0)</f>
        <v>0</v>
      </c>
      <c r="W85" s="183">
        <f>IFERROR(__xludf.DUMMYFUNCTION("""COMPUTED_VALUE"""),0.0)</f>
        <v>0</v>
      </c>
      <c r="X85" s="183">
        <f>IFERROR(__xludf.DUMMYFUNCTION("""COMPUTED_VALUE"""),0.0)</f>
        <v>0</v>
      </c>
      <c r="Y85" s="183">
        <f>IFERROR(__xludf.DUMMYFUNCTION("""COMPUTED_VALUE"""),0.0)</f>
        <v>0</v>
      </c>
      <c r="Z85" s="183">
        <f t="shared" si="12"/>
        <v>0</v>
      </c>
      <c r="AA85" s="183">
        <f t="shared" si="13"/>
        <v>0</v>
      </c>
      <c r="AB85" s="183">
        <f t="shared" si="14"/>
        <v>0</v>
      </c>
    </row>
    <row r="86" ht="14.25" customHeight="1">
      <c r="A86" s="175"/>
      <c r="B86" s="208" t="s">
        <v>51</v>
      </c>
      <c r="C86" s="181"/>
      <c r="D86" s="209" t="s">
        <v>52</v>
      </c>
      <c r="E86" s="183">
        <f>SUMIFS('DB WBS'!$J:$J,'DB WBS'!$A:$A,$D$4,'DB WBS'!$D:$D,AA$1,'DB WBS'!$B:$B,$E$3,'DB WBS'!$E:$E,$B86)</f>
        <v>0</v>
      </c>
      <c r="F86" s="183">
        <f>SUMIFS('DB WBS'!$J:$J,'DB WBS'!$A:$A,$D$4,'DB WBS'!$D:$D,AA$2,'DB WBS'!$B:$B,$E$3,'DB WBS'!$E:$E,$B86)</f>
        <v>0</v>
      </c>
      <c r="G86" s="184">
        <f>IFERROR(HLOOKUP($E$3,'Tahun Lalu'!$B$5:$V$158,MATCH(B86,'Tahun Lalu'!$B$5:$B$158,0),0),0)</f>
        <v>644350</v>
      </c>
      <c r="H86" s="183">
        <f>IFERROR(round(HLOOKUP('Tahun Lalu'!$D$3,RKO!$A$1:$P$171,MATCH(B86,RKO!$A$1:$A$171,0),0)*1000,0),0)</f>
        <v>0</v>
      </c>
      <c r="I86" s="183">
        <f>IFERROR(round(HLOOKUP('Tahun Lalu'!$D$3,RKAP!$A$1:$P$171,MATCH(B86,RKAP!$A$1:$A$171,0),0)*1000,0),0)</f>
        <v>0</v>
      </c>
      <c r="J86" s="183">
        <f t="shared" si="3"/>
        <v>0</v>
      </c>
      <c r="K86" s="183">
        <f t="shared" si="4"/>
        <v>0</v>
      </c>
      <c r="L86" s="183">
        <f t="shared" si="5"/>
        <v>0</v>
      </c>
      <c r="M86" s="183">
        <f t="shared" si="6"/>
        <v>0</v>
      </c>
      <c r="N86" s="183">
        <f t="shared" si="99"/>
        <v>554146</v>
      </c>
      <c r="O86" s="183">
        <f t="shared" ref="O86:Q86" si="107">G86+W86</f>
        <v>1918703</v>
      </c>
      <c r="P86" s="183">
        <f t="shared" si="107"/>
        <v>0</v>
      </c>
      <c r="Q86" s="183">
        <f t="shared" si="107"/>
        <v>0</v>
      </c>
      <c r="R86" s="183">
        <f t="shared" si="9"/>
        <v>28.88128074</v>
      </c>
      <c r="S86" s="183">
        <f t="shared" si="10"/>
        <v>0</v>
      </c>
      <c r="T86" s="183">
        <f t="shared" si="11"/>
        <v>0</v>
      </c>
      <c r="U86" s="186"/>
      <c r="V86" s="183">
        <f>IFERROR(__xludf.DUMMYFUNCTION("""COMPUTED_VALUE"""),554146.0)</f>
        <v>554146</v>
      </c>
      <c r="W86" s="183">
        <f>IFERROR(__xludf.DUMMYFUNCTION("""COMPUTED_VALUE"""),1274353.0)</f>
        <v>1274353</v>
      </c>
      <c r="X86" s="183">
        <f>IFERROR(__xludf.DUMMYFUNCTION("""COMPUTED_VALUE"""),0.0)</f>
        <v>0</v>
      </c>
      <c r="Y86" s="183">
        <f>IFERROR(__xludf.DUMMYFUNCTION("""COMPUTED_VALUE"""),0.0)</f>
        <v>0</v>
      </c>
      <c r="Z86" s="183">
        <f t="shared" si="12"/>
        <v>43.48449762</v>
      </c>
      <c r="AA86" s="183">
        <f t="shared" si="13"/>
        <v>0</v>
      </c>
      <c r="AB86" s="183">
        <f t="shared" si="14"/>
        <v>0</v>
      </c>
    </row>
    <row r="87" ht="14.25" customHeight="1">
      <c r="A87" s="175"/>
      <c r="B87" s="208" t="s">
        <v>830</v>
      </c>
      <c r="C87" s="181"/>
      <c r="D87" s="209" t="s">
        <v>831</v>
      </c>
      <c r="E87" s="183">
        <f>SUMIFS('DB WBS'!$J:$J,'DB WBS'!$A:$A,$D$4,'DB WBS'!$D:$D,AA$1,'DB WBS'!$B:$B,$E$3,'DB WBS'!$E:$E,$B87)</f>
        <v>0</v>
      </c>
      <c r="F87" s="183">
        <f>SUMIFS('DB WBS'!$J:$J,'DB WBS'!$A:$A,$D$4,'DB WBS'!$D:$D,AA$2,'DB WBS'!$B:$B,$E$3,'DB WBS'!$E:$E,$B87)</f>
        <v>0</v>
      </c>
      <c r="G87" s="184">
        <f>IFERROR(HLOOKUP($E$3,'Tahun Lalu'!$B$5:$V$158,MATCH(B87,'Tahun Lalu'!$B$5:$B$158,0),0),0)</f>
        <v>0</v>
      </c>
      <c r="H87" s="183">
        <f>IFERROR(round(HLOOKUP('Tahun Lalu'!$D$3,RKO!$A$1:$P$171,MATCH(B87,RKO!$A$1:$A$171,0),0)*1000,0),0)</f>
        <v>0</v>
      </c>
      <c r="I87" s="183">
        <f>IFERROR(round(HLOOKUP('Tahun Lalu'!$D$3,RKAP!$A$1:$P$171,MATCH(B87,RKAP!$A$1:$A$171,0),0)*1000,0),0)</f>
        <v>0</v>
      </c>
      <c r="J87" s="183">
        <f t="shared" si="3"/>
        <v>0</v>
      </c>
      <c r="K87" s="183">
        <f t="shared" si="4"/>
        <v>0</v>
      </c>
      <c r="L87" s="183">
        <f t="shared" si="5"/>
        <v>0</v>
      </c>
      <c r="M87" s="183">
        <f t="shared" si="6"/>
        <v>0</v>
      </c>
      <c r="N87" s="183">
        <f t="shared" si="99"/>
        <v>0</v>
      </c>
      <c r="O87" s="183">
        <f t="shared" ref="O87:Q87" si="108">G87+W87</f>
        <v>0</v>
      </c>
      <c r="P87" s="183">
        <f t="shared" si="108"/>
        <v>0</v>
      </c>
      <c r="Q87" s="183">
        <f t="shared" si="108"/>
        <v>0</v>
      </c>
      <c r="R87" s="183">
        <f t="shared" si="9"/>
        <v>0</v>
      </c>
      <c r="S87" s="183">
        <f t="shared" si="10"/>
        <v>0</v>
      </c>
      <c r="T87" s="183">
        <f t="shared" si="11"/>
        <v>0</v>
      </c>
      <c r="U87" s="186"/>
      <c r="V87" s="183">
        <f>IFERROR(__xludf.DUMMYFUNCTION("""COMPUTED_VALUE"""),0.0)</f>
        <v>0</v>
      </c>
      <c r="W87" s="183">
        <f>IFERROR(__xludf.DUMMYFUNCTION("""COMPUTED_VALUE"""),0.0)</f>
        <v>0</v>
      </c>
      <c r="X87" s="183">
        <f>IFERROR(__xludf.DUMMYFUNCTION("""COMPUTED_VALUE"""),0.0)</f>
        <v>0</v>
      </c>
      <c r="Y87" s="183">
        <f>IFERROR(__xludf.DUMMYFUNCTION("""COMPUTED_VALUE"""),0.0)</f>
        <v>0</v>
      </c>
      <c r="Z87" s="183">
        <f t="shared" si="12"/>
        <v>0</v>
      </c>
      <c r="AA87" s="183">
        <f t="shared" si="13"/>
        <v>0</v>
      </c>
      <c r="AB87" s="183">
        <f t="shared" si="14"/>
        <v>0</v>
      </c>
    </row>
    <row r="88" ht="14.25" customHeight="1">
      <c r="A88" s="175"/>
      <c r="B88" s="208" t="s">
        <v>832</v>
      </c>
      <c r="C88" s="181"/>
      <c r="D88" s="209" t="s">
        <v>833</v>
      </c>
      <c r="E88" s="183">
        <f>SUMIFS('DB WBS'!$J:$J,'DB WBS'!$A:$A,$D$4,'DB WBS'!$D:$D,AA$1,'DB WBS'!$B:$B,$E$3,'DB WBS'!$E:$E,$B88)</f>
        <v>0</v>
      </c>
      <c r="F88" s="183">
        <f>SUMIFS('DB WBS'!$J:$J,'DB WBS'!$A:$A,$D$4,'DB WBS'!$D:$D,AA$2,'DB WBS'!$B:$B,$E$3,'DB WBS'!$E:$E,$B88)</f>
        <v>0</v>
      </c>
      <c r="G88" s="184">
        <f>IFERROR(HLOOKUP($E$3,'Tahun Lalu'!$B$5:$V$158,MATCH(B88,'Tahun Lalu'!$B$5:$B$158,0),0),0)</f>
        <v>0</v>
      </c>
      <c r="H88" s="183">
        <f>IFERROR(round(HLOOKUP('Tahun Lalu'!$D$3,RKO!$A$1:$P$171,MATCH(B88,RKO!$A$1:$A$171,0),0)*1000,0),0)</f>
        <v>0</v>
      </c>
      <c r="I88" s="183">
        <f>IFERROR(round(HLOOKUP('Tahun Lalu'!$D$3,RKAP!$A$1:$P$171,MATCH(B88,RKAP!$A$1:$A$171,0),0)*1000,0),0)</f>
        <v>0</v>
      </c>
      <c r="J88" s="183">
        <f t="shared" si="3"/>
        <v>0</v>
      </c>
      <c r="K88" s="183">
        <f t="shared" si="4"/>
        <v>0</v>
      </c>
      <c r="L88" s="183">
        <f t="shared" si="5"/>
        <v>0</v>
      </c>
      <c r="M88" s="183">
        <f t="shared" si="6"/>
        <v>0</v>
      </c>
      <c r="N88" s="183">
        <f t="shared" si="99"/>
        <v>0</v>
      </c>
      <c r="O88" s="183">
        <f t="shared" ref="O88:Q88" si="109">G88+W88</f>
        <v>1040000</v>
      </c>
      <c r="P88" s="183">
        <f t="shared" si="109"/>
        <v>0</v>
      </c>
      <c r="Q88" s="183">
        <f t="shared" si="109"/>
        <v>0</v>
      </c>
      <c r="R88" s="183">
        <f t="shared" si="9"/>
        <v>0</v>
      </c>
      <c r="S88" s="183">
        <f t="shared" si="10"/>
        <v>0</v>
      </c>
      <c r="T88" s="183">
        <f t="shared" si="11"/>
        <v>0</v>
      </c>
      <c r="U88" s="186"/>
      <c r="V88" s="183">
        <f>IFERROR(__xludf.DUMMYFUNCTION("""COMPUTED_VALUE"""),0.0)</f>
        <v>0</v>
      </c>
      <c r="W88" s="183">
        <f>IFERROR(__xludf.DUMMYFUNCTION("""COMPUTED_VALUE"""),1040000.0)</f>
        <v>1040000</v>
      </c>
      <c r="X88" s="183">
        <f>IFERROR(__xludf.DUMMYFUNCTION("""COMPUTED_VALUE"""),0.0)</f>
        <v>0</v>
      </c>
      <c r="Y88" s="183">
        <f>IFERROR(__xludf.DUMMYFUNCTION("""COMPUTED_VALUE"""),0.0)</f>
        <v>0</v>
      </c>
      <c r="Z88" s="183">
        <f t="shared" si="12"/>
        <v>0</v>
      </c>
      <c r="AA88" s="183">
        <f t="shared" si="13"/>
        <v>0</v>
      </c>
      <c r="AB88" s="183">
        <f t="shared" si="14"/>
        <v>0</v>
      </c>
    </row>
    <row r="89" ht="14.25" customHeight="1">
      <c r="A89" s="175"/>
      <c r="B89" s="208" t="s">
        <v>834</v>
      </c>
      <c r="C89" s="181"/>
      <c r="D89" s="209" t="s">
        <v>835</v>
      </c>
      <c r="E89" s="183">
        <f>SUMIFS('DB WBS'!$J:$J,'DB WBS'!$A:$A,$D$4,'DB WBS'!$D:$D,AA$1,'DB WBS'!$B:$B,$E$3,'DB WBS'!$E:$E,$B89)</f>
        <v>0</v>
      </c>
      <c r="F89" s="183">
        <f>SUMIFS('DB WBS'!$J:$J,'DB WBS'!$A:$A,$D$4,'DB WBS'!$D:$D,AA$2,'DB WBS'!$B:$B,$E$3,'DB WBS'!$E:$E,$B89)</f>
        <v>0</v>
      </c>
      <c r="G89" s="184">
        <f>IFERROR(HLOOKUP($E$3,'Tahun Lalu'!$B$5:$V$158,MATCH(B89,'Tahun Lalu'!$B$5:$B$158,0),0),0)</f>
        <v>0</v>
      </c>
      <c r="H89" s="183">
        <f>IFERROR(round(HLOOKUP('Tahun Lalu'!$D$3,RKO!$A$1:$P$171,MATCH(B89,RKO!$A$1:$A$171,0),0)*1000,0),0)</f>
        <v>0</v>
      </c>
      <c r="I89" s="183">
        <f>IFERROR(round(HLOOKUP('Tahun Lalu'!$D$3,RKAP!$A$1:$P$171,MATCH(B89,RKAP!$A$1:$A$171,0),0)*1000,0),0)</f>
        <v>0</v>
      </c>
      <c r="J89" s="183">
        <f t="shared" si="3"/>
        <v>0</v>
      </c>
      <c r="K89" s="183">
        <f t="shared" si="4"/>
        <v>0</v>
      </c>
      <c r="L89" s="183">
        <f t="shared" si="5"/>
        <v>0</v>
      </c>
      <c r="M89" s="183">
        <f t="shared" si="6"/>
        <v>0</v>
      </c>
      <c r="N89" s="183">
        <f t="shared" si="99"/>
        <v>0</v>
      </c>
      <c r="O89" s="183">
        <f t="shared" ref="O89:Q89" si="110">G89+W89</f>
        <v>21000</v>
      </c>
      <c r="P89" s="183">
        <f t="shared" si="110"/>
        <v>0</v>
      </c>
      <c r="Q89" s="183">
        <f t="shared" si="110"/>
        <v>0</v>
      </c>
      <c r="R89" s="183">
        <f t="shared" si="9"/>
        <v>0</v>
      </c>
      <c r="S89" s="183">
        <f t="shared" si="10"/>
        <v>0</v>
      </c>
      <c r="T89" s="183">
        <f t="shared" si="11"/>
        <v>0</v>
      </c>
      <c r="U89" s="186"/>
      <c r="V89" s="183">
        <f>IFERROR(__xludf.DUMMYFUNCTION("""COMPUTED_VALUE"""),0.0)</f>
        <v>0</v>
      </c>
      <c r="W89" s="183">
        <f>IFERROR(__xludf.DUMMYFUNCTION("""COMPUTED_VALUE"""),21000.0)</f>
        <v>21000</v>
      </c>
      <c r="X89" s="183">
        <f>IFERROR(__xludf.DUMMYFUNCTION("""COMPUTED_VALUE"""),0.0)</f>
        <v>0</v>
      </c>
      <c r="Y89" s="183">
        <f>IFERROR(__xludf.DUMMYFUNCTION("""COMPUTED_VALUE"""),0.0)</f>
        <v>0</v>
      </c>
      <c r="Z89" s="183">
        <f t="shared" si="12"/>
        <v>0</v>
      </c>
      <c r="AA89" s="183">
        <f t="shared" si="13"/>
        <v>0</v>
      </c>
      <c r="AB89" s="183">
        <f t="shared" si="14"/>
        <v>0</v>
      </c>
    </row>
    <row r="90" ht="14.25" customHeight="1">
      <c r="A90" s="175"/>
      <c r="B90" s="208" t="s">
        <v>836</v>
      </c>
      <c r="C90" s="181"/>
      <c r="D90" s="209" t="s">
        <v>837</v>
      </c>
      <c r="E90" s="183">
        <f>SUMIFS('DB WBS'!$J:$J,'DB WBS'!$A:$A,$D$4,'DB WBS'!$D:$D,AA$1,'DB WBS'!$B:$B,$E$3,'DB WBS'!$E:$E,$B90)</f>
        <v>0</v>
      </c>
      <c r="F90" s="183">
        <f>SUMIFS('DB WBS'!$J:$J,'DB WBS'!$A:$A,$D$4,'DB WBS'!$D:$D,AA$2,'DB WBS'!$B:$B,$E$3,'DB WBS'!$E:$E,$B90)</f>
        <v>0</v>
      </c>
      <c r="G90" s="184">
        <f>IFERROR(HLOOKUP($E$3,'Tahun Lalu'!$B$5:$V$158,MATCH(B90,'Tahun Lalu'!$B$5:$B$158,0),0),0)</f>
        <v>0</v>
      </c>
      <c r="H90" s="183">
        <f>IFERROR(round(HLOOKUP('Tahun Lalu'!$D$3,RKO!$A$1:$P$171,MATCH(B90,RKO!$A$1:$A$171,0),0)*1000,0),0)</f>
        <v>0</v>
      </c>
      <c r="I90" s="183">
        <f>IFERROR(round(HLOOKUP('Tahun Lalu'!$D$3,RKAP!$A$1:$P$171,MATCH(B90,RKAP!$A$1:$A$171,0),0)*1000,0),0)</f>
        <v>0</v>
      </c>
      <c r="J90" s="183">
        <f t="shared" si="3"/>
        <v>0</v>
      </c>
      <c r="K90" s="183">
        <f t="shared" si="4"/>
        <v>0</v>
      </c>
      <c r="L90" s="183">
        <f t="shared" si="5"/>
        <v>0</v>
      </c>
      <c r="M90" s="183">
        <f t="shared" si="6"/>
        <v>0</v>
      </c>
      <c r="N90" s="183">
        <f t="shared" si="99"/>
        <v>0</v>
      </c>
      <c r="O90" s="183">
        <f t="shared" ref="O90:Q90" si="111">G90+W90</f>
        <v>-20903</v>
      </c>
      <c r="P90" s="183">
        <f t="shared" si="111"/>
        <v>0</v>
      </c>
      <c r="Q90" s="183">
        <f t="shared" si="111"/>
        <v>0</v>
      </c>
      <c r="R90" s="183">
        <f t="shared" si="9"/>
        <v>0</v>
      </c>
      <c r="S90" s="183">
        <f t="shared" si="10"/>
        <v>0</v>
      </c>
      <c r="T90" s="183">
        <f t="shared" si="11"/>
        <v>0</v>
      </c>
      <c r="U90" s="186"/>
      <c r="V90" s="183">
        <f>IFERROR(__xludf.DUMMYFUNCTION("""COMPUTED_VALUE"""),0.0)</f>
        <v>0</v>
      </c>
      <c r="W90" s="183">
        <f>IFERROR(__xludf.DUMMYFUNCTION("""COMPUTED_VALUE"""),-20903.0)</f>
        <v>-20903</v>
      </c>
      <c r="X90" s="183">
        <f>IFERROR(__xludf.DUMMYFUNCTION("""COMPUTED_VALUE"""),0.0)</f>
        <v>0</v>
      </c>
      <c r="Y90" s="183">
        <f>IFERROR(__xludf.DUMMYFUNCTION("""COMPUTED_VALUE"""),0.0)</f>
        <v>0</v>
      </c>
      <c r="Z90" s="183">
        <f t="shared" si="12"/>
        <v>0</v>
      </c>
      <c r="AA90" s="183">
        <f t="shared" si="13"/>
        <v>0</v>
      </c>
      <c r="AB90" s="183">
        <f t="shared" si="14"/>
        <v>0</v>
      </c>
    </row>
    <row r="91" ht="14.25" customHeight="1">
      <c r="A91" s="175"/>
      <c r="B91" s="191" t="s">
        <v>838</v>
      </c>
      <c r="C91" s="199"/>
      <c r="D91" s="200"/>
      <c r="E91" s="201">
        <f t="shared" ref="E91:I91" si="112">SUM(E78:E90)</f>
        <v>405518411</v>
      </c>
      <c r="F91" s="201">
        <f t="shared" si="112"/>
        <v>419392466</v>
      </c>
      <c r="G91" s="201">
        <f t="shared" si="112"/>
        <v>517166375</v>
      </c>
      <c r="H91" s="201">
        <f t="shared" si="112"/>
        <v>620015439</v>
      </c>
      <c r="I91" s="201">
        <f t="shared" si="112"/>
        <v>620015439</v>
      </c>
      <c r="J91" s="201">
        <f t="shared" si="3"/>
        <v>96.69186833</v>
      </c>
      <c r="K91" s="201">
        <f t="shared" si="4"/>
        <v>78.41159646</v>
      </c>
      <c r="L91" s="201">
        <f t="shared" si="5"/>
        <v>65.40456664</v>
      </c>
      <c r="M91" s="201">
        <f t="shared" si="6"/>
        <v>65.40456664</v>
      </c>
      <c r="N91" s="201">
        <f t="shared" ref="N91:Q91" si="113">SUM(N78:N90)</f>
        <v>2243866763</v>
      </c>
      <c r="O91" s="201">
        <f t="shared" si="113"/>
        <v>2459378026</v>
      </c>
      <c r="P91" s="201">
        <f t="shared" si="113"/>
        <v>3554727171</v>
      </c>
      <c r="Q91" s="201">
        <f t="shared" si="113"/>
        <v>3554727171</v>
      </c>
      <c r="R91" s="201">
        <f t="shared" si="9"/>
        <v>91.237164</v>
      </c>
      <c r="S91" s="201">
        <f t="shared" si="10"/>
        <v>63.12345941</v>
      </c>
      <c r="T91" s="201">
        <f t="shared" si="11"/>
        <v>63.12345941</v>
      </c>
      <c r="U91" s="202"/>
      <c r="V91" s="201">
        <f>IFERROR(__xludf.DUMMYFUNCTION("""COMPUTED_VALUE"""),1.838348352E9)</f>
        <v>1838348352</v>
      </c>
      <c r="W91" s="201">
        <f>IFERROR(__xludf.DUMMYFUNCTION("""COMPUTED_VALUE"""),1.942211651E9)</f>
        <v>1942211651</v>
      </c>
      <c r="X91" s="201">
        <f>IFERROR(__xludf.DUMMYFUNCTION("""COMPUTED_VALUE"""),2.934711732E9)</f>
        <v>2934711732</v>
      </c>
      <c r="Y91" s="201">
        <f>IFERROR(__xludf.DUMMYFUNCTION("""COMPUTED_VALUE"""),2.934711732E9)</f>
        <v>2934711732</v>
      </c>
      <c r="Z91" s="201">
        <f t="shared" si="12"/>
        <v>94.6523182</v>
      </c>
      <c r="AA91" s="201">
        <f t="shared" si="13"/>
        <v>62.64153075</v>
      </c>
      <c r="AB91" s="201">
        <f t="shared" si="14"/>
        <v>62.64153075</v>
      </c>
    </row>
    <row r="92" ht="14.25" customHeight="1">
      <c r="A92" s="175"/>
      <c r="B92" s="208"/>
      <c r="C92" s="181"/>
      <c r="D92" s="209" t="s">
        <v>839</v>
      </c>
      <c r="E92" s="183">
        <f>SUMIFS('DB WBS'!$J:$J,'DB WBS'!$A:$A,$D$4,'DB WBS'!$D:$D,AA$1,'DB WBS'!$B:$B,$E$3,'DB WBS'!$E:$E,$B92)</f>
        <v>0</v>
      </c>
      <c r="F92" s="183">
        <f>SUMIFS('DB WBS'!$J:$J,'DB WBS'!$A:$A,$D$4,'DB WBS'!$D:$D,AA$2,'DB WBS'!$B:$B,$E$3,'DB WBS'!$E:$E,$B92)</f>
        <v>0</v>
      </c>
      <c r="G92" s="184">
        <f>IFERROR(HLOOKUP($E$3,'Tahun Lalu'!$B$5:$V$158,MATCH(B92,'Tahun Lalu'!$B$5:$B$158,0),0),0)</f>
        <v>0</v>
      </c>
      <c r="H92" s="183">
        <f>IFERROR(round(HLOOKUP('Tahun Lalu'!$D$3,RKO!$A$1:$P$171,MATCH(B92,RKO!$A$1:$A$171,0),0)*1000,0),0)</f>
        <v>0</v>
      </c>
      <c r="I92" s="183">
        <f>IFERROR(round(HLOOKUP('Tahun Lalu'!$D$3,RKAP!$A$1:$P$171,MATCH(B92,RKAP!$A$1:$A$171,0),0)*1000,0),0)</f>
        <v>0</v>
      </c>
      <c r="J92" s="183">
        <f t="shared" si="3"/>
        <v>0</v>
      </c>
      <c r="K92" s="183">
        <f t="shared" si="4"/>
        <v>0</v>
      </c>
      <c r="L92" s="183">
        <f t="shared" si="5"/>
        <v>0</v>
      </c>
      <c r="M92" s="183">
        <f t="shared" si="6"/>
        <v>0</v>
      </c>
      <c r="N92" s="183">
        <f t="shared" ref="N92:N96" si="115">E92+V92</f>
        <v>0</v>
      </c>
      <c r="O92" s="183">
        <f t="shared" ref="O92:Q92" si="114">G92+W92</f>
        <v>0</v>
      </c>
      <c r="P92" s="183">
        <f t="shared" si="114"/>
        <v>0</v>
      </c>
      <c r="Q92" s="183">
        <f t="shared" si="114"/>
        <v>0</v>
      </c>
      <c r="R92" s="183">
        <f t="shared" si="9"/>
        <v>0</v>
      </c>
      <c r="S92" s="183">
        <f t="shared" si="10"/>
        <v>0</v>
      </c>
      <c r="T92" s="183">
        <f t="shared" si="11"/>
        <v>0</v>
      </c>
      <c r="U92" s="186"/>
      <c r="V92" s="183">
        <f>IFERROR(__xludf.DUMMYFUNCTION("""COMPUTED_VALUE"""),0.0)</f>
        <v>0</v>
      </c>
      <c r="W92" s="183">
        <f>IFERROR(__xludf.DUMMYFUNCTION("""COMPUTED_VALUE"""),0.0)</f>
        <v>0</v>
      </c>
      <c r="X92" s="183">
        <f>IFERROR(__xludf.DUMMYFUNCTION("""COMPUTED_VALUE"""),0.0)</f>
        <v>0</v>
      </c>
      <c r="Y92" s="183">
        <f>IFERROR(__xludf.DUMMYFUNCTION("""COMPUTED_VALUE"""),0.0)</f>
        <v>0</v>
      </c>
      <c r="Z92" s="183">
        <f t="shared" si="12"/>
        <v>0</v>
      </c>
      <c r="AA92" s="183">
        <f t="shared" si="13"/>
        <v>0</v>
      </c>
      <c r="AB92" s="183">
        <f t="shared" si="14"/>
        <v>0</v>
      </c>
    </row>
    <row r="93" ht="14.25" customHeight="1">
      <c r="A93" s="175"/>
      <c r="B93" s="208"/>
      <c r="C93" s="181"/>
      <c r="D93" s="209" t="s">
        <v>840</v>
      </c>
      <c r="E93" s="183">
        <f>SUMIFS('DB WBS'!$J:$J,'DB WBS'!$A:$A,$D$4,'DB WBS'!$D:$D,AA$1,'DB WBS'!$B:$B,$E$3,'DB WBS'!$E:$E,$B93)</f>
        <v>0</v>
      </c>
      <c r="F93" s="183">
        <f>SUMIFS('DB WBS'!$J:$J,'DB WBS'!$A:$A,$D$4,'DB WBS'!$D:$D,AA$2,'DB WBS'!$B:$B,$E$3,'DB WBS'!$E:$E,$B93)</f>
        <v>0</v>
      </c>
      <c r="G93" s="184">
        <f>IFERROR(HLOOKUP($E$3,'Tahun Lalu'!$B$5:$V$158,MATCH(B93,'Tahun Lalu'!$B$5:$B$158,0),0),0)</f>
        <v>0</v>
      </c>
      <c r="H93" s="183">
        <f>IFERROR(round(HLOOKUP('Tahun Lalu'!$D$3,RKO!$A$1:$P$171,MATCH(B93,RKO!$A$1:$A$171,0),0)*1000,0),0)</f>
        <v>0</v>
      </c>
      <c r="I93" s="183">
        <f>IFERROR(round(HLOOKUP('Tahun Lalu'!$D$3,RKAP!$A$1:$P$171,MATCH(B93,RKAP!$A$1:$A$171,0),0)*1000,0),0)</f>
        <v>0</v>
      </c>
      <c r="J93" s="183">
        <f t="shared" si="3"/>
        <v>0</v>
      </c>
      <c r="K93" s="183">
        <f t="shared" si="4"/>
        <v>0</v>
      </c>
      <c r="L93" s="183">
        <f t="shared" si="5"/>
        <v>0</v>
      </c>
      <c r="M93" s="183">
        <f t="shared" si="6"/>
        <v>0</v>
      </c>
      <c r="N93" s="183">
        <f t="shared" si="115"/>
        <v>0</v>
      </c>
      <c r="O93" s="183">
        <f t="shared" ref="O93:Q93" si="116">G93+W93</f>
        <v>0</v>
      </c>
      <c r="P93" s="183">
        <f t="shared" si="116"/>
        <v>0</v>
      </c>
      <c r="Q93" s="183">
        <f t="shared" si="116"/>
        <v>0</v>
      </c>
      <c r="R93" s="183">
        <f t="shared" si="9"/>
        <v>0</v>
      </c>
      <c r="S93" s="183">
        <f t="shared" si="10"/>
        <v>0</v>
      </c>
      <c r="T93" s="183">
        <f t="shared" si="11"/>
        <v>0</v>
      </c>
      <c r="U93" s="186"/>
      <c r="V93" s="183">
        <f>IFERROR(__xludf.DUMMYFUNCTION("""COMPUTED_VALUE"""),0.0)</f>
        <v>0</v>
      </c>
      <c r="W93" s="183">
        <f>IFERROR(__xludf.DUMMYFUNCTION("""COMPUTED_VALUE"""),0.0)</f>
        <v>0</v>
      </c>
      <c r="X93" s="183">
        <f>IFERROR(__xludf.DUMMYFUNCTION("""COMPUTED_VALUE"""),0.0)</f>
        <v>0</v>
      </c>
      <c r="Y93" s="183">
        <f>IFERROR(__xludf.DUMMYFUNCTION("""COMPUTED_VALUE"""),0.0)</f>
        <v>0</v>
      </c>
      <c r="Z93" s="183">
        <f t="shared" si="12"/>
        <v>0</v>
      </c>
      <c r="AA93" s="183">
        <f t="shared" si="13"/>
        <v>0</v>
      </c>
      <c r="AB93" s="183">
        <f t="shared" si="14"/>
        <v>0</v>
      </c>
    </row>
    <row r="94" ht="14.25" customHeight="1">
      <c r="A94" s="175"/>
      <c r="B94" s="208"/>
      <c r="C94" s="181"/>
      <c r="D94" s="209" t="s">
        <v>841</v>
      </c>
      <c r="E94" s="183">
        <f>SUMIFS('DB WBS'!$J:$J,'DB WBS'!$A:$A,$D$4,'DB WBS'!$D:$D,AA$1,'DB WBS'!$B:$B,$E$3,'DB WBS'!$E:$E,$B94)</f>
        <v>0</v>
      </c>
      <c r="F94" s="183">
        <f>SUMIFS('DB WBS'!$J:$J,'DB WBS'!$A:$A,$D$4,'DB WBS'!$D:$D,AA$2,'DB WBS'!$B:$B,$E$3,'DB WBS'!$E:$E,$B94)</f>
        <v>0</v>
      </c>
      <c r="G94" s="184">
        <f>IFERROR(HLOOKUP($E$3,'Tahun Lalu'!$B$5:$V$158,MATCH(B94,'Tahun Lalu'!$B$5:$B$158,0),0),0)</f>
        <v>0</v>
      </c>
      <c r="H94" s="183">
        <f>IFERROR(round(HLOOKUP('Tahun Lalu'!$D$3,RKO!$A$1:$P$171,MATCH(B94,RKO!$A$1:$A$171,0),0)*1000,0),0)</f>
        <v>0</v>
      </c>
      <c r="I94" s="183">
        <f>IFERROR(round(HLOOKUP('Tahun Lalu'!$D$3,RKAP!$A$1:$P$171,MATCH(B94,RKAP!$A$1:$A$171,0),0)*1000,0),0)</f>
        <v>0</v>
      </c>
      <c r="J94" s="183">
        <f t="shared" si="3"/>
        <v>0</v>
      </c>
      <c r="K94" s="183">
        <f t="shared" si="4"/>
        <v>0</v>
      </c>
      <c r="L94" s="183">
        <f t="shared" si="5"/>
        <v>0</v>
      </c>
      <c r="M94" s="183">
        <f t="shared" si="6"/>
        <v>0</v>
      </c>
      <c r="N94" s="183">
        <f t="shared" si="115"/>
        <v>0</v>
      </c>
      <c r="O94" s="183">
        <f t="shared" ref="O94:Q94" si="117">G94+W94</f>
        <v>0</v>
      </c>
      <c r="P94" s="183">
        <f t="shared" si="117"/>
        <v>0</v>
      </c>
      <c r="Q94" s="183">
        <f t="shared" si="117"/>
        <v>0</v>
      </c>
      <c r="R94" s="183">
        <f t="shared" si="9"/>
        <v>0</v>
      </c>
      <c r="S94" s="183">
        <f t="shared" si="10"/>
        <v>0</v>
      </c>
      <c r="T94" s="183">
        <f t="shared" si="11"/>
        <v>0</v>
      </c>
      <c r="U94" s="186"/>
      <c r="V94" s="183">
        <f>IFERROR(__xludf.DUMMYFUNCTION("""COMPUTED_VALUE"""),0.0)</f>
        <v>0</v>
      </c>
      <c r="W94" s="183">
        <f>IFERROR(__xludf.DUMMYFUNCTION("""COMPUTED_VALUE"""),0.0)</f>
        <v>0</v>
      </c>
      <c r="X94" s="183">
        <f>IFERROR(__xludf.DUMMYFUNCTION("""COMPUTED_VALUE"""),0.0)</f>
        <v>0</v>
      </c>
      <c r="Y94" s="183">
        <f>IFERROR(__xludf.DUMMYFUNCTION("""COMPUTED_VALUE"""),0.0)</f>
        <v>0</v>
      </c>
      <c r="Z94" s="183">
        <f t="shared" si="12"/>
        <v>0</v>
      </c>
      <c r="AA94" s="183">
        <f t="shared" si="13"/>
        <v>0</v>
      </c>
      <c r="AB94" s="183">
        <f t="shared" si="14"/>
        <v>0</v>
      </c>
    </row>
    <row r="95" ht="14.25" customHeight="1">
      <c r="A95" s="175"/>
      <c r="B95" s="208"/>
      <c r="C95" s="181"/>
      <c r="D95" s="209" t="s">
        <v>842</v>
      </c>
      <c r="E95" s="183">
        <f>SUMIFS('DB WBS'!$J:$J,'DB WBS'!$A:$A,$D$4,'DB WBS'!$D:$D,AA$1,'DB WBS'!$B:$B,$E$3,'DB WBS'!$E:$E,$B95)</f>
        <v>0</v>
      </c>
      <c r="F95" s="183">
        <f>SUMIFS('DB WBS'!$J:$J,'DB WBS'!$A:$A,$D$4,'DB WBS'!$D:$D,AA$2,'DB WBS'!$B:$B,$E$3,'DB WBS'!$E:$E,$B95)</f>
        <v>0</v>
      </c>
      <c r="G95" s="184">
        <f>IFERROR(HLOOKUP($E$3,'Tahun Lalu'!$B$5:$V$158,MATCH(B95,'Tahun Lalu'!$B$5:$B$158,0),0),0)</f>
        <v>0</v>
      </c>
      <c r="H95" s="183">
        <f>IFERROR(round(HLOOKUP('Tahun Lalu'!$D$3,RKO!$A$1:$P$171,MATCH(B95,RKO!$A$1:$A$171,0),0)*1000,0),0)</f>
        <v>0</v>
      </c>
      <c r="I95" s="183">
        <f>IFERROR(round(HLOOKUP('Tahun Lalu'!$D$3,RKAP!$A$1:$P$171,MATCH(B95,RKAP!$A$1:$A$171,0),0)*1000,0),0)</f>
        <v>0</v>
      </c>
      <c r="J95" s="183">
        <f t="shared" si="3"/>
        <v>0</v>
      </c>
      <c r="K95" s="183">
        <f t="shared" si="4"/>
        <v>0</v>
      </c>
      <c r="L95" s="183">
        <f t="shared" si="5"/>
        <v>0</v>
      </c>
      <c r="M95" s="183">
        <f t="shared" si="6"/>
        <v>0</v>
      </c>
      <c r="N95" s="183">
        <f t="shared" si="115"/>
        <v>0</v>
      </c>
      <c r="O95" s="183">
        <f t="shared" ref="O95:Q95" si="118">G95+W95</f>
        <v>0</v>
      </c>
      <c r="P95" s="183">
        <f t="shared" si="118"/>
        <v>0</v>
      </c>
      <c r="Q95" s="183">
        <f t="shared" si="118"/>
        <v>0</v>
      </c>
      <c r="R95" s="183">
        <f t="shared" si="9"/>
        <v>0</v>
      </c>
      <c r="S95" s="183">
        <f t="shared" si="10"/>
        <v>0</v>
      </c>
      <c r="T95" s="183">
        <f t="shared" si="11"/>
        <v>0</v>
      </c>
      <c r="U95" s="186"/>
      <c r="V95" s="183">
        <f>IFERROR(__xludf.DUMMYFUNCTION("""COMPUTED_VALUE"""),0.0)</f>
        <v>0</v>
      </c>
      <c r="W95" s="183">
        <f>IFERROR(__xludf.DUMMYFUNCTION("""COMPUTED_VALUE"""),0.0)</f>
        <v>0</v>
      </c>
      <c r="X95" s="183">
        <f>IFERROR(__xludf.DUMMYFUNCTION("""COMPUTED_VALUE"""),0.0)</f>
        <v>0</v>
      </c>
      <c r="Y95" s="183">
        <f>IFERROR(__xludf.DUMMYFUNCTION("""COMPUTED_VALUE"""),0.0)</f>
        <v>0</v>
      </c>
      <c r="Z95" s="183">
        <f t="shared" si="12"/>
        <v>0</v>
      </c>
      <c r="AA95" s="183">
        <f t="shared" si="13"/>
        <v>0</v>
      </c>
      <c r="AB95" s="183">
        <f t="shared" si="14"/>
        <v>0</v>
      </c>
    </row>
    <row r="96" ht="14.25" customHeight="1">
      <c r="A96" s="175"/>
      <c r="B96" s="211"/>
      <c r="C96" s="177"/>
      <c r="D96" s="182"/>
      <c r="E96" s="183">
        <f>SUMIFS('DB WBS'!$J:$J,'DB WBS'!$A:$A,$D$4,'DB WBS'!$D:$D,AA$1,'DB WBS'!$B:$B,$E$3,'DB WBS'!$E:$E,$B96)</f>
        <v>0</v>
      </c>
      <c r="F96" s="183">
        <f>SUMIFS('DB WBS'!$J:$J,'DB WBS'!$A:$A,$D$4,'DB WBS'!$D:$D,AA$2,'DB WBS'!$B:$B,$E$3,'DB WBS'!$E:$E,$B96)</f>
        <v>0</v>
      </c>
      <c r="G96" s="184">
        <f>IFERROR(HLOOKUP($E$3,'Tahun Lalu'!$B$5:$V$158,MATCH(B96,'Tahun Lalu'!$B$5:$B$158,0),0),0)</f>
        <v>0</v>
      </c>
      <c r="H96" s="183">
        <f>IFERROR(round(HLOOKUP('Tahun Lalu'!$D$3,RKO!$A$1:$P$171,MATCH(B96,RKO!$A$1:$A$171,0),0)*1000,0),0)</f>
        <v>0</v>
      </c>
      <c r="I96" s="183">
        <f>IFERROR(round(HLOOKUP('Tahun Lalu'!$D$3,RKAP!$A$1:$P$171,MATCH(B96,RKAP!$A$1:$A$171,0),0)*1000,0),0)</f>
        <v>0</v>
      </c>
      <c r="J96" s="183">
        <f t="shared" si="3"/>
        <v>0</v>
      </c>
      <c r="K96" s="183">
        <f t="shared" si="4"/>
        <v>0</v>
      </c>
      <c r="L96" s="183">
        <f t="shared" si="5"/>
        <v>0</v>
      </c>
      <c r="M96" s="183">
        <f t="shared" si="6"/>
        <v>0</v>
      </c>
      <c r="N96" s="183">
        <f t="shared" si="115"/>
        <v>0</v>
      </c>
      <c r="O96" s="183">
        <f t="shared" ref="O96:Q96" si="119">G96+W96</f>
        <v>0</v>
      </c>
      <c r="P96" s="183">
        <f t="shared" si="119"/>
        <v>0</v>
      </c>
      <c r="Q96" s="183">
        <f t="shared" si="119"/>
        <v>0</v>
      </c>
      <c r="R96" s="183">
        <f t="shared" si="9"/>
        <v>0</v>
      </c>
      <c r="S96" s="183">
        <f t="shared" si="10"/>
        <v>0</v>
      </c>
      <c r="T96" s="183">
        <f t="shared" si="11"/>
        <v>0</v>
      </c>
      <c r="U96" s="186"/>
      <c r="V96" s="183">
        <f>IFERROR(__xludf.DUMMYFUNCTION("""COMPUTED_VALUE"""),0.0)</f>
        <v>0</v>
      </c>
      <c r="W96" s="183">
        <f>IFERROR(__xludf.DUMMYFUNCTION("""COMPUTED_VALUE"""),0.0)</f>
        <v>0</v>
      </c>
      <c r="X96" s="183">
        <f>IFERROR(__xludf.DUMMYFUNCTION("""COMPUTED_VALUE"""),0.0)</f>
        <v>0</v>
      </c>
      <c r="Y96" s="183">
        <f>IFERROR(__xludf.DUMMYFUNCTION("""COMPUTED_VALUE"""),0.0)</f>
        <v>0</v>
      </c>
      <c r="Z96" s="183">
        <f t="shared" si="12"/>
        <v>0</v>
      </c>
      <c r="AA96" s="183">
        <f t="shared" si="13"/>
        <v>0</v>
      </c>
      <c r="AB96" s="183">
        <f t="shared" si="14"/>
        <v>0</v>
      </c>
    </row>
    <row r="97" ht="14.25" customHeight="1">
      <c r="A97" s="175"/>
      <c r="B97" s="212" t="s">
        <v>843</v>
      </c>
      <c r="C97" s="199"/>
      <c r="D97" s="200"/>
      <c r="E97" s="201">
        <f t="shared" ref="E97:I97" si="120">SUM(E92:E96)</f>
        <v>0</v>
      </c>
      <c r="F97" s="201">
        <f t="shared" si="120"/>
        <v>0</v>
      </c>
      <c r="G97" s="201">
        <f t="shared" si="120"/>
        <v>0</v>
      </c>
      <c r="H97" s="201">
        <f t="shared" si="120"/>
        <v>0</v>
      </c>
      <c r="I97" s="201">
        <f t="shared" si="120"/>
        <v>0</v>
      </c>
      <c r="J97" s="201">
        <f t="shared" si="3"/>
        <v>0</v>
      </c>
      <c r="K97" s="201">
        <f t="shared" si="4"/>
        <v>0</v>
      </c>
      <c r="L97" s="201">
        <f t="shared" si="5"/>
        <v>0</v>
      </c>
      <c r="M97" s="201">
        <f t="shared" si="6"/>
        <v>0</v>
      </c>
      <c r="N97" s="201">
        <f t="shared" ref="N97:Q97" si="121">SUM(N92:N96)</f>
        <v>0</v>
      </c>
      <c r="O97" s="201">
        <f t="shared" si="121"/>
        <v>0</v>
      </c>
      <c r="P97" s="201">
        <f t="shared" si="121"/>
        <v>0</v>
      </c>
      <c r="Q97" s="201">
        <f t="shared" si="121"/>
        <v>0</v>
      </c>
      <c r="R97" s="201">
        <f t="shared" si="9"/>
        <v>0</v>
      </c>
      <c r="S97" s="201">
        <f t="shared" si="10"/>
        <v>0</v>
      </c>
      <c r="T97" s="201">
        <f t="shared" si="11"/>
        <v>0</v>
      </c>
      <c r="U97" s="202"/>
      <c r="V97" s="201">
        <f>IFERROR(__xludf.DUMMYFUNCTION("""COMPUTED_VALUE"""),0.0)</f>
        <v>0</v>
      </c>
      <c r="W97" s="201">
        <f>IFERROR(__xludf.DUMMYFUNCTION("""COMPUTED_VALUE"""),0.0)</f>
        <v>0</v>
      </c>
      <c r="X97" s="201">
        <f>IFERROR(__xludf.DUMMYFUNCTION("""COMPUTED_VALUE"""),0.0)</f>
        <v>0</v>
      </c>
      <c r="Y97" s="201">
        <f>IFERROR(__xludf.DUMMYFUNCTION("""COMPUTED_VALUE"""),0.0)</f>
        <v>0</v>
      </c>
      <c r="Z97" s="201">
        <f t="shared" si="12"/>
        <v>0</v>
      </c>
      <c r="AA97" s="201">
        <f t="shared" si="13"/>
        <v>0</v>
      </c>
      <c r="AB97" s="201">
        <f t="shared" si="14"/>
        <v>0</v>
      </c>
    </row>
    <row r="98" ht="14.25" customHeight="1">
      <c r="A98" s="175"/>
      <c r="B98" s="208"/>
      <c r="C98" s="181"/>
      <c r="D98" s="209" t="s">
        <v>844</v>
      </c>
      <c r="E98" s="183">
        <f>SUMIFS('DB WBS'!$J:$J,'DB WBS'!$A:$A,$D$4,'DB WBS'!$D:$D,AA$1,'DB WBS'!$B:$B,$E$3,'DB WBS'!$E:$E,$B98)</f>
        <v>0</v>
      </c>
      <c r="F98" s="183">
        <f>SUMIFS('DB WBS'!$J:$J,'DB WBS'!$A:$A,$D$4,'DB WBS'!$D:$D,AA$2,'DB WBS'!$B:$B,$E$3,'DB WBS'!$E:$E,$B98)</f>
        <v>0</v>
      </c>
      <c r="G98" s="184">
        <f>IFERROR(HLOOKUP($E$3,'Tahun Lalu'!$B$5:$V$158,MATCH(B98,'Tahun Lalu'!$B$5:$B$158,0),0),0)</f>
        <v>0</v>
      </c>
      <c r="H98" s="183">
        <f>IFERROR(round(HLOOKUP('Tahun Lalu'!$D$3,RKO!$A$1:$P$171,MATCH(B98,RKO!$A$1:$A$171,0),0)*1000,0),0)</f>
        <v>0</v>
      </c>
      <c r="I98" s="183">
        <f>IFERROR(round(HLOOKUP('Tahun Lalu'!$D$3,RKAP!$A$1:$P$171,MATCH(B98,RKAP!$A$1:$A$171,0),0)*1000,0),0)</f>
        <v>0</v>
      </c>
      <c r="J98" s="183">
        <f t="shared" si="3"/>
        <v>0</v>
      </c>
      <c r="K98" s="183">
        <f t="shared" si="4"/>
        <v>0</v>
      </c>
      <c r="L98" s="183">
        <f t="shared" si="5"/>
        <v>0</v>
      </c>
      <c r="M98" s="183">
        <f t="shared" si="6"/>
        <v>0</v>
      </c>
      <c r="N98" s="183">
        <f t="shared" ref="N98:N99" si="123">E98+V98</f>
        <v>0</v>
      </c>
      <c r="O98" s="183">
        <f t="shared" ref="O98:Q98" si="122">G98+W98</f>
        <v>0</v>
      </c>
      <c r="P98" s="183">
        <f t="shared" si="122"/>
        <v>0</v>
      </c>
      <c r="Q98" s="183">
        <f t="shared" si="122"/>
        <v>0</v>
      </c>
      <c r="R98" s="183">
        <f t="shared" si="9"/>
        <v>0</v>
      </c>
      <c r="S98" s="183">
        <f t="shared" si="10"/>
        <v>0</v>
      </c>
      <c r="T98" s="183">
        <f t="shared" si="11"/>
        <v>0</v>
      </c>
      <c r="U98" s="186"/>
      <c r="V98" s="183">
        <f>IFERROR(__xludf.DUMMYFUNCTION("""COMPUTED_VALUE"""),0.0)</f>
        <v>0</v>
      </c>
      <c r="W98" s="183">
        <f>IFERROR(__xludf.DUMMYFUNCTION("""COMPUTED_VALUE"""),0.0)</f>
        <v>0</v>
      </c>
      <c r="X98" s="183">
        <f>IFERROR(__xludf.DUMMYFUNCTION("""COMPUTED_VALUE"""),0.0)</f>
        <v>0</v>
      </c>
      <c r="Y98" s="183">
        <f>IFERROR(__xludf.DUMMYFUNCTION("""COMPUTED_VALUE"""),0.0)</f>
        <v>0</v>
      </c>
      <c r="Z98" s="183">
        <f t="shared" si="12"/>
        <v>0</v>
      </c>
      <c r="AA98" s="183">
        <f t="shared" si="13"/>
        <v>0</v>
      </c>
      <c r="AB98" s="183">
        <f t="shared" si="14"/>
        <v>0</v>
      </c>
    </row>
    <row r="99" ht="14.25" customHeight="1">
      <c r="A99" s="175"/>
      <c r="B99" s="208"/>
      <c r="C99" s="181"/>
      <c r="D99" s="209" t="s">
        <v>845</v>
      </c>
      <c r="E99" s="183">
        <f>SUMIFS('DB WBS'!$J:$J,'DB WBS'!$A:$A,$D$4,'DB WBS'!$D:$D,AA$1,'DB WBS'!$B:$B,$E$3,'DB WBS'!$E:$E,$B99)</f>
        <v>0</v>
      </c>
      <c r="F99" s="183">
        <f>SUMIFS('DB WBS'!$J:$J,'DB WBS'!$A:$A,$D$4,'DB WBS'!$D:$D,AA$2,'DB WBS'!$B:$B,$E$3,'DB WBS'!$E:$E,$B99)</f>
        <v>0</v>
      </c>
      <c r="G99" s="184">
        <f>IFERROR(HLOOKUP($E$3,'Tahun Lalu'!$B$5:$V$158,MATCH(B99,'Tahun Lalu'!$B$5:$B$158,0),0),0)</f>
        <v>0</v>
      </c>
      <c r="H99" s="183">
        <f>IFERROR(round(HLOOKUP('Tahun Lalu'!$D$3,RKO!$A$1:$P$171,MATCH(B99,RKO!$A$1:$A$171,0),0)*1000,0),0)</f>
        <v>0</v>
      </c>
      <c r="I99" s="183">
        <f>IFERROR(round(HLOOKUP('Tahun Lalu'!$D$3,RKAP!$A$1:$P$171,MATCH(B99,RKAP!$A$1:$A$171,0),0)*1000,0),0)</f>
        <v>0</v>
      </c>
      <c r="J99" s="183">
        <f t="shared" si="3"/>
        <v>0</v>
      </c>
      <c r="K99" s="183">
        <f t="shared" si="4"/>
        <v>0</v>
      </c>
      <c r="L99" s="183">
        <f t="shared" si="5"/>
        <v>0</v>
      </c>
      <c r="M99" s="183">
        <f t="shared" si="6"/>
        <v>0</v>
      </c>
      <c r="N99" s="183">
        <f t="shared" si="123"/>
        <v>0</v>
      </c>
      <c r="O99" s="183">
        <f t="shared" ref="O99:Q99" si="124">G99+W99</f>
        <v>0</v>
      </c>
      <c r="P99" s="183">
        <f t="shared" si="124"/>
        <v>0</v>
      </c>
      <c r="Q99" s="183">
        <f t="shared" si="124"/>
        <v>0</v>
      </c>
      <c r="R99" s="183">
        <f t="shared" si="9"/>
        <v>0</v>
      </c>
      <c r="S99" s="183">
        <f t="shared" si="10"/>
        <v>0</v>
      </c>
      <c r="T99" s="183">
        <f t="shared" si="11"/>
        <v>0</v>
      </c>
      <c r="U99" s="186"/>
      <c r="V99" s="183">
        <f>IFERROR(__xludf.DUMMYFUNCTION("""COMPUTED_VALUE"""),0.0)</f>
        <v>0</v>
      </c>
      <c r="W99" s="183">
        <f>IFERROR(__xludf.DUMMYFUNCTION("""COMPUTED_VALUE"""),0.0)</f>
        <v>0</v>
      </c>
      <c r="X99" s="183">
        <f>IFERROR(__xludf.DUMMYFUNCTION("""COMPUTED_VALUE"""),0.0)</f>
        <v>0</v>
      </c>
      <c r="Y99" s="183">
        <f>IFERROR(__xludf.DUMMYFUNCTION("""COMPUTED_VALUE"""),0.0)</f>
        <v>0</v>
      </c>
      <c r="Z99" s="183">
        <f t="shared" si="12"/>
        <v>0</v>
      </c>
      <c r="AA99" s="183">
        <f t="shared" si="13"/>
        <v>0</v>
      </c>
      <c r="AB99" s="183">
        <f t="shared" si="14"/>
        <v>0</v>
      </c>
    </row>
    <row r="100" ht="14.25" customHeight="1">
      <c r="A100" s="175"/>
      <c r="B100" s="212" t="s">
        <v>846</v>
      </c>
      <c r="C100" s="199"/>
      <c r="D100" s="200"/>
      <c r="E100" s="201">
        <f t="shared" ref="E100:I100" si="125">SUM(E98:E99)</f>
        <v>0</v>
      </c>
      <c r="F100" s="201">
        <f t="shared" si="125"/>
        <v>0</v>
      </c>
      <c r="G100" s="201">
        <f t="shared" si="125"/>
        <v>0</v>
      </c>
      <c r="H100" s="201">
        <f t="shared" si="125"/>
        <v>0</v>
      </c>
      <c r="I100" s="201">
        <f t="shared" si="125"/>
        <v>0</v>
      </c>
      <c r="J100" s="201">
        <f t="shared" si="3"/>
        <v>0</v>
      </c>
      <c r="K100" s="201">
        <f t="shared" si="4"/>
        <v>0</v>
      </c>
      <c r="L100" s="201">
        <f t="shared" si="5"/>
        <v>0</v>
      </c>
      <c r="M100" s="201">
        <f t="shared" si="6"/>
        <v>0</v>
      </c>
      <c r="N100" s="201">
        <f t="shared" ref="N100:Q100" si="126">SUM(N98:N99)</f>
        <v>0</v>
      </c>
      <c r="O100" s="201">
        <f t="shared" si="126"/>
        <v>0</v>
      </c>
      <c r="P100" s="201">
        <f t="shared" si="126"/>
        <v>0</v>
      </c>
      <c r="Q100" s="201">
        <f t="shared" si="126"/>
        <v>0</v>
      </c>
      <c r="R100" s="201">
        <f t="shared" si="9"/>
        <v>0</v>
      </c>
      <c r="S100" s="201">
        <f t="shared" si="10"/>
        <v>0</v>
      </c>
      <c r="T100" s="201">
        <f t="shared" si="11"/>
        <v>0</v>
      </c>
      <c r="U100" s="202"/>
      <c r="V100" s="201">
        <f>IFERROR(__xludf.DUMMYFUNCTION("""COMPUTED_VALUE"""),0.0)</f>
        <v>0</v>
      </c>
      <c r="W100" s="201">
        <f>IFERROR(__xludf.DUMMYFUNCTION("""COMPUTED_VALUE"""),0.0)</f>
        <v>0</v>
      </c>
      <c r="X100" s="201">
        <f>IFERROR(__xludf.DUMMYFUNCTION("""COMPUTED_VALUE"""),0.0)</f>
        <v>0</v>
      </c>
      <c r="Y100" s="201">
        <f>IFERROR(__xludf.DUMMYFUNCTION("""COMPUTED_VALUE"""),0.0)</f>
        <v>0</v>
      </c>
      <c r="Z100" s="201">
        <f t="shared" si="12"/>
        <v>0</v>
      </c>
      <c r="AA100" s="201">
        <f t="shared" si="13"/>
        <v>0</v>
      </c>
      <c r="AB100" s="201">
        <f t="shared" si="14"/>
        <v>0</v>
      </c>
    </row>
    <row r="101" ht="14.25" customHeight="1">
      <c r="A101" s="175"/>
      <c r="B101" s="208"/>
      <c r="C101" s="181"/>
      <c r="D101" s="209" t="s">
        <v>847</v>
      </c>
      <c r="E101" s="183">
        <f>SUMIFS('DB WBS'!$J:$J,'DB WBS'!$A:$A,$D$4,'DB WBS'!$D:$D,AA$1,'DB WBS'!$B:$B,$E$3,'DB WBS'!$E:$E,$B101)</f>
        <v>0</v>
      </c>
      <c r="F101" s="183">
        <f>SUMIFS('DB WBS'!$J:$J,'DB WBS'!$A:$A,$D$4,'DB WBS'!$D:$D,AA$2,'DB WBS'!$B:$B,$E$3,'DB WBS'!$E:$E,$B101)</f>
        <v>0</v>
      </c>
      <c r="G101" s="184">
        <f>IFERROR(HLOOKUP($E$3,'Tahun Lalu'!$B$5:$V$158,MATCH(B101,'Tahun Lalu'!$B$5:$B$158,0),0),0)</f>
        <v>0</v>
      </c>
      <c r="H101" s="183">
        <f>IFERROR(round(HLOOKUP('Tahun Lalu'!$D$3,RKO!$A$1:$P$171,MATCH(B101,RKO!$A$1:$A$171,0),0)*1000,0),0)</f>
        <v>0</v>
      </c>
      <c r="I101" s="183">
        <f>IFERROR(round(HLOOKUP('Tahun Lalu'!$D$3,RKAP!$A$1:$P$171,MATCH(B101,RKAP!$A$1:$A$171,0),0)*1000,0),0)</f>
        <v>0</v>
      </c>
      <c r="J101" s="183">
        <f t="shared" si="3"/>
        <v>0</v>
      </c>
      <c r="K101" s="183">
        <f t="shared" si="4"/>
        <v>0</v>
      </c>
      <c r="L101" s="183">
        <f t="shared" si="5"/>
        <v>0</v>
      </c>
      <c r="M101" s="183">
        <f t="shared" si="6"/>
        <v>0</v>
      </c>
      <c r="N101" s="183">
        <f t="shared" ref="N101:N102" si="128">E101+V101</f>
        <v>0</v>
      </c>
      <c r="O101" s="183">
        <f t="shared" ref="O101:Q101" si="127">G101+W101</f>
        <v>0</v>
      </c>
      <c r="P101" s="183">
        <f t="shared" si="127"/>
        <v>0</v>
      </c>
      <c r="Q101" s="183">
        <f t="shared" si="127"/>
        <v>0</v>
      </c>
      <c r="R101" s="183">
        <f t="shared" si="9"/>
        <v>0</v>
      </c>
      <c r="S101" s="183">
        <f t="shared" si="10"/>
        <v>0</v>
      </c>
      <c r="T101" s="183">
        <f t="shared" si="11"/>
        <v>0</v>
      </c>
      <c r="U101" s="186"/>
      <c r="V101" s="183">
        <f>IFERROR(__xludf.DUMMYFUNCTION("""COMPUTED_VALUE"""),0.0)</f>
        <v>0</v>
      </c>
      <c r="W101" s="183">
        <f>IFERROR(__xludf.DUMMYFUNCTION("""COMPUTED_VALUE"""),0.0)</f>
        <v>0</v>
      </c>
      <c r="X101" s="183">
        <f>IFERROR(__xludf.DUMMYFUNCTION("""COMPUTED_VALUE"""),0.0)</f>
        <v>0</v>
      </c>
      <c r="Y101" s="183">
        <f>IFERROR(__xludf.DUMMYFUNCTION("""COMPUTED_VALUE"""),0.0)</f>
        <v>0</v>
      </c>
      <c r="Z101" s="183">
        <f t="shared" si="12"/>
        <v>0</v>
      </c>
      <c r="AA101" s="183">
        <f t="shared" si="13"/>
        <v>0</v>
      </c>
      <c r="AB101" s="183">
        <f t="shared" si="14"/>
        <v>0</v>
      </c>
    </row>
    <row r="102" ht="14.25" customHeight="1">
      <c r="A102" s="175"/>
      <c r="B102" s="208"/>
      <c r="C102" s="181"/>
      <c r="D102" s="209" t="s">
        <v>848</v>
      </c>
      <c r="E102" s="183">
        <f>SUMIFS('DB WBS'!$J:$J,'DB WBS'!$A:$A,$D$4,'DB WBS'!$D:$D,AA$1,'DB WBS'!$B:$B,$E$3,'DB WBS'!$E:$E,$B102)</f>
        <v>0</v>
      </c>
      <c r="F102" s="183">
        <f>SUMIFS('DB WBS'!$J:$J,'DB WBS'!$A:$A,$D$4,'DB WBS'!$D:$D,AA$2,'DB WBS'!$B:$B,$E$3,'DB WBS'!$E:$E,$B102)</f>
        <v>0</v>
      </c>
      <c r="G102" s="184">
        <f>IFERROR(HLOOKUP($E$3,'Tahun Lalu'!$B$5:$V$158,MATCH(B102,'Tahun Lalu'!$B$5:$B$158,0),0),0)</f>
        <v>0</v>
      </c>
      <c r="H102" s="183">
        <f>IFERROR(round(HLOOKUP('Tahun Lalu'!$D$3,RKO!$A$1:$P$171,MATCH(B102,RKO!$A$1:$A$171,0),0)*1000,0),0)</f>
        <v>0</v>
      </c>
      <c r="I102" s="183">
        <f>IFERROR(round(HLOOKUP('Tahun Lalu'!$D$3,RKAP!$A$1:$P$171,MATCH(B102,RKAP!$A$1:$A$171,0),0)*1000,0),0)</f>
        <v>0</v>
      </c>
      <c r="J102" s="183">
        <f t="shared" si="3"/>
        <v>0</v>
      </c>
      <c r="K102" s="183">
        <f t="shared" si="4"/>
        <v>0</v>
      </c>
      <c r="L102" s="183">
        <f t="shared" si="5"/>
        <v>0</v>
      </c>
      <c r="M102" s="183">
        <f t="shared" si="6"/>
        <v>0</v>
      </c>
      <c r="N102" s="183">
        <f t="shared" si="128"/>
        <v>0</v>
      </c>
      <c r="O102" s="183">
        <f t="shared" ref="O102:Q102" si="129">G102+W102</f>
        <v>0</v>
      </c>
      <c r="P102" s="183">
        <f t="shared" si="129"/>
        <v>0</v>
      </c>
      <c r="Q102" s="183">
        <f t="shared" si="129"/>
        <v>0</v>
      </c>
      <c r="R102" s="183">
        <f t="shared" si="9"/>
        <v>0</v>
      </c>
      <c r="S102" s="183">
        <f t="shared" si="10"/>
        <v>0</v>
      </c>
      <c r="T102" s="183">
        <f t="shared" si="11"/>
        <v>0</v>
      </c>
      <c r="U102" s="186"/>
      <c r="V102" s="183">
        <f>IFERROR(__xludf.DUMMYFUNCTION("""COMPUTED_VALUE"""),0.0)</f>
        <v>0</v>
      </c>
      <c r="W102" s="183">
        <f>IFERROR(__xludf.DUMMYFUNCTION("""COMPUTED_VALUE"""),0.0)</f>
        <v>0</v>
      </c>
      <c r="X102" s="183">
        <f>IFERROR(__xludf.DUMMYFUNCTION("""COMPUTED_VALUE"""),0.0)</f>
        <v>0</v>
      </c>
      <c r="Y102" s="183">
        <f>IFERROR(__xludf.DUMMYFUNCTION("""COMPUTED_VALUE"""),0.0)</f>
        <v>0</v>
      </c>
      <c r="Z102" s="183">
        <f t="shared" si="12"/>
        <v>0</v>
      </c>
      <c r="AA102" s="183">
        <f t="shared" si="13"/>
        <v>0</v>
      </c>
      <c r="AB102" s="183">
        <f t="shared" si="14"/>
        <v>0</v>
      </c>
    </row>
    <row r="103" ht="14.25" customHeight="1">
      <c r="A103" s="175"/>
      <c r="B103" s="212" t="s">
        <v>849</v>
      </c>
      <c r="C103" s="199"/>
      <c r="D103" s="200"/>
      <c r="E103" s="201">
        <f t="shared" ref="E103:I103" si="130">SUM(E101:E102)</f>
        <v>0</v>
      </c>
      <c r="F103" s="201">
        <f t="shared" si="130"/>
        <v>0</v>
      </c>
      <c r="G103" s="201">
        <f t="shared" si="130"/>
        <v>0</v>
      </c>
      <c r="H103" s="201">
        <f t="shared" si="130"/>
        <v>0</v>
      </c>
      <c r="I103" s="201">
        <f t="shared" si="130"/>
        <v>0</v>
      </c>
      <c r="J103" s="201">
        <f t="shared" si="3"/>
        <v>0</v>
      </c>
      <c r="K103" s="201">
        <f t="shared" si="4"/>
        <v>0</v>
      </c>
      <c r="L103" s="201">
        <f t="shared" si="5"/>
        <v>0</v>
      </c>
      <c r="M103" s="201">
        <f t="shared" si="6"/>
        <v>0</v>
      </c>
      <c r="N103" s="201">
        <f t="shared" ref="N103:Q103" si="131">SUM(N101:N102)</f>
        <v>0</v>
      </c>
      <c r="O103" s="201">
        <f t="shared" si="131"/>
        <v>0</v>
      </c>
      <c r="P103" s="201">
        <f t="shared" si="131"/>
        <v>0</v>
      </c>
      <c r="Q103" s="201">
        <f t="shared" si="131"/>
        <v>0</v>
      </c>
      <c r="R103" s="201">
        <f t="shared" si="9"/>
        <v>0</v>
      </c>
      <c r="S103" s="201">
        <f t="shared" si="10"/>
        <v>0</v>
      </c>
      <c r="T103" s="201">
        <f t="shared" si="11"/>
        <v>0</v>
      </c>
      <c r="U103" s="202"/>
      <c r="V103" s="201">
        <f>IFERROR(__xludf.DUMMYFUNCTION("""COMPUTED_VALUE"""),0.0)</f>
        <v>0</v>
      </c>
      <c r="W103" s="201">
        <f>IFERROR(__xludf.DUMMYFUNCTION("""COMPUTED_VALUE"""),0.0)</f>
        <v>0</v>
      </c>
      <c r="X103" s="201">
        <f>IFERROR(__xludf.DUMMYFUNCTION("""COMPUTED_VALUE"""),0.0)</f>
        <v>0</v>
      </c>
      <c r="Y103" s="201">
        <f>IFERROR(__xludf.DUMMYFUNCTION("""COMPUTED_VALUE"""),0.0)</f>
        <v>0</v>
      </c>
      <c r="Z103" s="201">
        <f t="shared" si="12"/>
        <v>0</v>
      </c>
      <c r="AA103" s="201">
        <f t="shared" si="13"/>
        <v>0</v>
      </c>
      <c r="AB103" s="201">
        <f t="shared" si="14"/>
        <v>0</v>
      </c>
    </row>
    <row r="104" ht="14.25" customHeight="1">
      <c r="A104" s="175"/>
      <c r="B104" s="208"/>
      <c r="C104" s="181"/>
      <c r="D104" s="209" t="s">
        <v>850</v>
      </c>
      <c r="E104" s="183">
        <f>SUMIFS('DB WBS'!$J:$J,'DB WBS'!$A:$A,$D$4,'DB WBS'!$D:$D,AA$1,'DB WBS'!$B:$B,$E$3,'DB WBS'!$E:$E,$B104)</f>
        <v>0</v>
      </c>
      <c r="F104" s="183">
        <f>SUMIFS('DB WBS'!$J:$J,'DB WBS'!$A:$A,$D$4,'DB WBS'!$D:$D,AA$2,'DB WBS'!$B:$B,$E$3,'DB WBS'!$E:$E,$B104)</f>
        <v>0</v>
      </c>
      <c r="G104" s="184">
        <f>IFERROR(HLOOKUP($E$3,'Tahun Lalu'!$B$5:$V$158,MATCH(B104,'Tahun Lalu'!$B$5:$B$158,0),0),0)</f>
        <v>0</v>
      </c>
      <c r="H104" s="183">
        <f>IFERROR(round(HLOOKUP('Tahun Lalu'!$D$3,RKO!$A$1:$P$171,MATCH(B104,RKO!$A$1:$A$171,0),0)*1000,0),0)</f>
        <v>0</v>
      </c>
      <c r="I104" s="183">
        <f>IFERROR(round(HLOOKUP('Tahun Lalu'!$D$3,RKAP!$A$1:$P$171,MATCH(B104,RKAP!$A$1:$A$171,0),0)*1000,0),0)</f>
        <v>0</v>
      </c>
      <c r="J104" s="183">
        <f t="shared" si="3"/>
        <v>0</v>
      </c>
      <c r="K104" s="183">
        <f t="shared" si="4"/>
        <v>0</v>
      </c>
      <c r="L104" s="183">
        <f t="shared" si="5"/>
        <v>0</v>
      </c>
      <c r="M104" s="183">
        <f t="shared" si="6"/>
        <v>0</v>
      </c>
      <c r="N104" s="183">
        <f t="shared" ref="N104:N105" si="133">E104+V104</f>
        <v>0</v>
      </c>
      <c r="O104" s="183">
        <f t="shared" ref="O104:Q104" si="132">G104+W104</f>
        <v>0</v>
      </c>
      <c r="P104" s="183">
        <f t="shared" si="132"/>
        <v>0</v>
      </c>
      <c r="Q104" s="183">
        <f t="shared" si="132"/>
        <v>0</v>
      </c>
      <c r="R104" s="183">
        <f t="shared" si="9"/>
        <v>0</v>
      </c>
      <c r="S104" s="183">
        <f t="shared" si="10"/>
        <v>0</v>
      </c>
      <c r="T104" s="183">
        <f t="shared" si="11"/>
        <v>0</v>
      </c>
      <c r="U104" s="186"/>
      <c r="V104" s="183">
        <f>IFERROR(__xludf.DUMMYFUNCTION("""COMPUTED_VALUE"""),0.0)</f>
        <v>0</v>
      </c>
      <c r="W104" s="183">
        <f>IFERROR(__xludf.DUMMYFUNCTION("""COMPUTED_VALUE"""),0.0)</f>
        <v>0</v>
      </c>
      <c r="X104" s="183">
        <f>IFERROR(__xludf.DUMMYFUNCTION("""COMPUTED_VALUE"""),0.0)</f>
        <v>0</v>
      </c>
      <c r="Y104" s="183">
        <f>IFERROR(__xludf.DUMMYFUNCTION("""COMPUTED_VALUE"""),0.0)</f>
        <v>0</v>
      </c>
      <c r="Z104" s="183">
        <f t="shared" si="12"/>
        <v>0</v>
      </c>
      <c r="AA104" s="183">
        <f t="shared" si="13"/>
        <v>0</v>
      </c>
      <c r="AB104" s="183">
        <f t="shared" si="14"/>
        <v>0</v>
      </c>
    </row>
    <row r="105" ht="14.25" customHeight="1">
      <c r="A105" s="175"/>
      <c r="B105" s="208"/>
      <c r="C105" s="181"/>
      <c r="D105" s="209"/>
      <c r="E105" s="183">
        <f>SUMIFS('DB WBS'!$J:$J,'DB WBS'!$A:$A,$D$4,'DB WBS'!$D:$D,AA$1,'DB WBS'!$B:$B,$E$3,'DB WBS'!$E:$E,$B105)</f>
        <v>0</v>
      </c>
      <c r="F105" s="183">
        <f>SUMIFS('DB WBS'!$J:$J,'DB WBS'!$A:$A,$D$4,'DB WBS'!$D:$D,AA$2,'DB WBS'!$B:$B,$E$3,'DB WBS'!$E:$E,$B105)</f>
        <v>0</v>
      </c>
      <c r="G105" s="184">
        <f>IFERROR(HLOOKUP($E$3,'Tahun Lalu'!$B$5:$V$158,MATCH(B105,'Tahun Lalu'!$B$5:$B$158,0),0),0)</f>
        <v>0</v>
      </c>
      <c r="H105" s="183">
        <f>IFERROR(round(HLOOKUP('Tahun Lalu'!$D$3,RKO!$A$1:$P$171,MATCH(B105,RKO!$A$1:$A$171,0),0)*1000,0),0)</f>
        <v>0</v>
      </c>
      <c r="I105" s="183">
        <f>IFERROR(round(HLOOKUP('Tahun Lalu'!$D$3,RKAP!$A$1:$P$171,MATCH(B105,RKAP!$A$1:$A$171,0),0)*1000,0),0)</f>
        <v>0</v>
      </c>
      <c r="J105" s="183">
        <f t="shared" si="3"/>
        <v>0</v>
      </c>
      <c r="K105" s="183">
        <f t="shared" si="4"/>
        <v>0</v>
      </c>
      <c r="L105" s="183">
        <f t="shared" si="5"/>
        <v>0</v>
      </c>
      <c r="M105" s="183">
        <f t="shared" si="6"/>
        <v>0</v>
      </c>
      <c r="N105" s="183">
        <f t="shared" si="133"/>
        <v>0</v>
      </c>
      <c r="O105" s="183">
        <f t="shared" ref="O105:Q105" si="134">G105+W105</f>
        <v>0</v>
      </c>
      <c r="P105" s="183">
        <f t="shared" si="134"/>
        <v>0</v>
      </c>
      <c r="Q105" s="183">
        <f t="shared" si="134"/>
        <v>0</v>
      </c>
      <c r="R105" s="183">
        <f t="shared" si="9"/>
        <v>0</v>
      </c>
      <c r="S105" s="183">
        <f t="shared" si="10"/>
        <v>0</v>
      </c>
      <c r="T105" s="183">
        <f t="shared" si="11"/>
        <v>0</v>
      </c>
      <c r="U105" s="186"/>
      <c r="V105" s="183">
        <f>IFERROR(__xludf.DUMMYFUNCTION("""COMPUTED_VALUE"""),0.0)</f>
        <v>0</v>
      </c>
      <c r="W105" s="183">
        <f>IFERROR(__xludf.DUMMYFUNCTION("""COMPUTED_VALUE"""),0.0)</f>
        <v>0</v>
      </c>
      <c r="X105" s="183">
        <f>IFERROR(__xludf.DUMMYFUNCTION("""COMPUTED_VALUE"""),0.0)</f>
        <v>0</v>
      </c>
      <c r="Y105" s="183">
        <f>IFERROR(__xludf.DUMMYFUNCTION("""COMPUTED_VALUE"""),0.0)</f>
        <v>0</v>
      </c>
      <c r="Z105" s="183">
        <f t="shared" si="12"/>
        <v>0</v>
      </c>
      <c r="AA105" s="183">
        <f t="shared" si="13"/>
        <v>0</v>
      </c>
      <c r="AB105" s="183">
        <f t="shared" si="14"/>
        <v>0</v>
      </c>
    </row>
    <row r="106" ht="14.25" customHeight="1">
      <c r="A106" s="175"/>
      <c r="B106" s="212" t="s">
        <v>851</v>
      </c>
      <c r="C106" s="199"/>
      <c r="D106" s="200"/>
      <c r="E106" s="201">
        <f t="shared" ref="E106:I106" si="135">SUM(E104:E105)</f>
        <v>0</v>
      </c>
      <c r="F106" s="201">
        <f t="shared" si="135"/>
        <v>0</v>
      </c>
      <c r="G106" s="201">
        <f t="shared" si="135"/>
        <v>0</v>
      </c>
      <c r="H106" s="201">
        <f t="shared" si="135"/>
        <v>0</v>
      </c>
      <c r="I106" s="201">
        <f t="shared" si="135"/>
        <v>0</v>
      </c>
      <c r="J106" s="201">
        <f t="shared" si="3"/>
        <v>0</v>
      </c>
      <c r="K106" s="201">
        <f t="shared" si="4"/>
        <v>0</v>
      </c>
      <c r="L106" s="201">
        <f t="shared" si="5"/>
        <v>0</v>
      </c>
      <c r="M106" s="201">
        <f t="shared" si="6"/>
        <v>0</v>
      </c>
      <c r="N106" s="201">
        <f t="shared" ref="N106:Q106" si="136">SUM(N104:N105)</f>
        <v>0</v>
      </c>
      <c r="O106" s="201">
        <f t="shared" si="136"/>
        <v>0</v>
      </c>
      <c r="P106" s="201">
        <f t="shared" si="136"/>
        <v>0</v>
      </c>
      <c r="Q106" s="201">
        <f t="shared" si="136"/>
        <v>0</v>
      </c>
      <c r="R106" s="201">
        <f t="shared" si="9"/>
        <v>0</v>
      </c>
      <c r="S106" s="201">
        <f t="shared" si="10"/>
        <v>0</v>
      </c>
      <c r="T106" s="201">
        <f t="shared" si="11"/>
        <v>0</v>
      </c>
      <c r="U106" s="202"/>
      <c r="V106" s="201">
        <f>IFERROR(__xludf.DUMMYFUNCTION("""COMPUTED_VALUE"""),0.0)</f>
        <v>0</v>
      </c>
      <c r="W106" s="201">
        <f>IFERROR(__xludf.DUMMYFUNCTION("""COMPUTED_VALUE"""),0.0)</f>
        <v>0</v>
      </c>
      <c r="X106" s="201">
        <f>IFERROR(__xludf.DUMMYFUNCTION("""COMPUTED_VALUE"""),0.0)</f>
        <v>0</v>
      </c>
      <c r="Y106" s="201">
        <f>IFERROR(__xludf.DUMMYFUNCTION("""COMPUTED_VALUE"""),0.0)</f>
        <v>0</v>
      </c>
      <c r="Z106" s="201">
        <f t="shared" si="12"/>
        <v>0</v>
      </c>
      <c r="AA106" s="201">
        <f t="shared" si="13"/>
        <v>0</v>
      </c>
      <c r="AB106" s="201">
        <f t="shared" si="14"/>
        <v>0</v>
      </c>
    </row>
    <row r="107" ht="14.25" customHeight="1">
      <c r="A107" s="175"/>
      <c r="B107" s="208"/>
      <c r="C107" s="181"/>
      <c r="D107" s="209" t="s">
        <v>852</v>
      </c>
      <c r="E107" s="183">
        <f>SUMIFS('DB WBS'!$J:$J,'DB WBS'!$A:$A,$D$4,'DB WBS'!$D:$D,AA$1,'DB WBS'!$B:$B,$E$3,'DB WBS'!$E:$E,$B107)</f>
        <v>0</v>
      </c>
      <c r="F107" s="183">
        <f>SUMIFS('DB WBS'!$J:$J,'DB WBS'!$A:$A,$D$4,'DB WBS'!$D:$D,AA$2,'DB WBS'!$B:$B,$E$3,'DB WBS'!$E:$E,$B107)</f>
        <v>0</v>
      </c>
      <c r="G107" s="184">
        <f>IFERROR(HLOOKUP($E$3,'Tahun Lalu'!$B$5:$V$158,MATCH(B107,'Tahun Lalu'!$B$5:$B$158,0),0),0)</f>
        <v>0</v>
      </c>
      <c r="H107" s="183">
        <f>IFERROR(round(HLOOKUP('Tahun Lalu'!$D$3,RKO!$A$1:$P$171,MATCH(B107,RKO!$A$1:$A$171,0),0)*1000,0),0)</f>
        <v>0</v>
      </c>
      <c r="I107" s="183">
        <f>IFERROR(round(HLOOKUP('Tahun Lalu'!$D$3,RKAP!$A$1:$P$171,MATCH(B107,RKAP!$A$1:$A$171,0),0)*1000,0),0)</f>
        <v>0</v>
      </c>
      <c r="J107" s="183">
        <f t="shared" si="3"/>
        <v>0</v>
      </c>
      <c r="K107" s="183">
        <f t="shared" si="4"/>
        <v>0</v>
      </c>
      <c r="L107" s="183">
        <f t="shared" si="5"/>
        <v>0</v>
      </c>
      <c r="M107" s="183">
        <f t="shared" si="6"/>
        <v>0</v>
      </c>
      <c r="N107" s="183">
        <f t="shared" ref="N107:N108" si="138">E107+V107</f>
        <v>0</v>
      </c>
      <c r="O107" s="183">
        <f t="shared" ref="O107:Q107" si="137">G107+W107</f>
        <v>0</v>
      </c>
      <c r="P107" s="183">
        <f t="shared" si="137"/>
        <v>0</v>
      </c>
      <c r="Q107" s="183">
        <f t="shared" si="137"/>
        <v>0</v>
      </c>
      <c r="R107" s="183">
        <f t="shared" si="9"/>
        <v>0</v>
      </c>
      <c r="S107" s="183">
        <f t="shared" si="10"/>
        <v>0</v>
      </c>
      <c r="T107" s="183">
        <f t="shared" si="11"/>
        <v>0</v>
      </c>
      <c r="U107" s="186"/>
      <c r="V107" s="183">
        <f>IFERROR(__xludf.DUMMYFUNCTION("""COMPUTED_VALUE"""),0.0)</f>
        <v>0</v>
      </c>
      <c r="W107" s="183">
        <f>IFERROR(__xludf.DUMMYFUNCTION("""COMPUTED_VALUE"""),0.0)</f>
        <v>0</v>
      </c>
      <c r="X107" s="183">
        <f>IFERROR(__xludf.DUMMYFUNCTION("""COMPUTED_VALUE"""),0.0)</f>
        <v>0</v>
      </c>
      <c r="Y107" s="183">
        <f>IFERROR(__xludf.DUMMYFUNCTION("""COMPUTED_VALUE"""),0.0)</f>
        <v>0</v>
      </c>
      <c r="Z107" s="183">
        <f t="shared" si="12"/>
        <v>0</v>
      </c>
      <c r="AA107" s="183">
        <f t="shared" si="13"/>
        <v>0</v>
      </c>
      <c r="AB107" s="183">
        <f t="shared" si="14"/>
        <v>0</v>
      </c>
    </row>
    <row r="108" ht="14.25" customHeight="1">
      <c r="A108" s="175"/>
      <c r="B108" s="208"/>
      <c r="C108" s="181"/>
      <c r="D108" s="209"/>
      <c r="E108" s="183">
        <f>SUMIFS('DB WBS'!$J:$J,'DB WBS'!$A:$A,$D$4,'DB WBS'!$D:$D,AA$1,'DB WBS'!$B:$B,$E$3,'DB WBS'!$E:$E,$B108)</f>
        <v>0</v>
      </c>
      <c r="F108" s="183">
        <f>SUMIFS('DB WBS'!$J:$J,'DB WBS'!$A:$A,$D$4,'DB WBS'!$D:$D,AA$2,'DB WBS'!$B:$B,$E$3,'DB WBS'!$E:$E,$B108)</f>
        <v>0</v>
      </c>
      <c r="G108" s="184">
        <f>IFERROR(HLOOKUP($E$3,'Tahun Lalu'!$B$5:$V$158,MATCH(B108,'Tahun Lalu'!$B$5:$B$158,0),0),0)</f>
        <v>0</v>
      </c>
      <c r="H108" s="183">
        <f>IFERROR(round(HLOOKUP('Tahun Lalu'!$D$3,RKO!$A$1:$P$171,MATCH(B108,RKO!$A$1:$A$171,0),0)*1000,0),0)</f>
        <v>0</v>
      </c>
      <c r="I108" s="183">
        <f>IFERROR(round(HLOOKUP('Tahun Lalu'!$D$3,RKAP!$A$1:$P$171,MATCH(B108,RKAP!$A$1:$A$171,0),0)*1000,0),0)</f>
        <v>0</v>
      </c>
      <c r="J108" s="183">
        <f t="shared" si="3"/>
        <v>0</v>
      </c>
      <c r="K108" s="183">
        <f t="shared" si="4"/>
        <v>0</v>
      </c>
      <c r="L108" s="183">
        <f t="shared" si="5"/>
        <v>0</v>
      </c>
      <c r="M108" s="183">
        <f t="shared" si="6"/>
        <v>0</v>
      </c>
      <c r="N108" s="183">
        <f t="shared" si="138"/>
        <v>0</v>
      </c>
      <c r="O108" s="183">
        <f t="shared" ref="O108:Q108" si="139">G108+W108</f>
        <v>0</v>
      </c>
      <c r="P108" s="183">
        <f t="shared" si="139"/>
        <v>0</v>
      </c>
      <c r="Q108" s="183">
        <f t="shared" si="139"/>
        <v>0</v>
      </c>
      <c r="R108" s="183">
        <f t="shared" si="9"/>
        <v>0</v>
      </c>
      <c r="S108" s="183">
        <f t="shared" si="10"/>
        <v>0</v>
      </c>
      <c r="T108" s="183">
        <f t="shared" si="11"/>
        <v>0</v>
      </c>
      <c r="U108" s="186"/>
      <c r="V108" s="183">
        <f>IFERROR(__xludf.DUMMYFUNCTION("""COMPUTED_VALUE"""),0.0)</f>
        <v>0</v>
      </c>
      <c r="W108" s="183">
        <f>IFERROR(__xludf.DUMMYFUNCTION("""COMPUTED_VALUE"""),0.0)</f>
        <v>0</v>
      </c>
      <c r="X108" s="183">
        <f>IFERROR(__xludf.DUMMYFUNCTION("""COMPUTED_VALUE"""),0.0)</f>
        <v>0</v>
      </c>
      <c r="Y108" s="183">
        <f>IFERROR(__xludf.DUMMYFUNCTION("""COMPUTED_VALUE"""),0.0)</f>
        <v>0</v>
      </c>
      <c r="Z108" s="183">
        <f t="shared" si="12"/>
        <v>0</v>
      </c>
      <c r="AA108" s="183">
        <f t="shared" si="13"/>
        <v>0</v>
      </c>
      <c r="AB108" s="183">
        <f t="shared" si="14"/>
        <v>0</v>
      </c>
    </row>
    <row r="109" ht="14.25" customHeight="1">
      <c r="A109" s="175"/>
      <c r="B109" s="212" t="s">
        <v>853</v>
      </c>
      <c r="C109" s="199"/>
      <c r="D109" s="200"/>
      <c r="E109" s="201">
        <f t="shared" ref="E109:I109" si="140">SUM(E107:E108)</f>
        <v>0</v>
      </c>
      <c r="F109" s="201">
        <f t="shared" si="140"/>
        <v>0</v>
      </c>
      <c r="G109" s="201">
        <f t="shared" si="140"/>
        <v>0</v>
      </c>
      <c r="H109" s="201">
        <f t="shared" si="140"/>
        <v>0</v>
      </c>
      <c r="I109" s="201">
        <f t="shared" si="140"/>
        <v>0</v>
      </c>
      <c r="J109" s="201">
        <f t="shared" si="3"/>
        <v>0</v>
      </c>
      <c r="K109" s="201">
        <f t="shared" si="4"/>
        <v>0</v>
      </c>
      <c r="L109" s="201">
        <f t="shared" si="5"/>
        <v>0</v>
      </c>
      <c r="M109" s="201">
        <f t="shared" si="6"/>
        <v>0</v>
      </c>
      <c r="N109" s="201">
        <f t="shared" ref="N109:Q109" si="141">SUM(N107:N108)</f>
        <v>0</v>
      </c>
      <c r="O109" s="201">
        <f t="shared" si="141"/>
        <v>0</v>
      </c>
      <c r="P109" s="201">
        <f t="shared" si="141"/>
        <v>0</v>
      </c>
      <c r="Q109" s="201">
        <f t="shared" si="141"/>
        <v>0</v>
      </c>
      <c r="R109" s="201">
        <f t="shared" si="9"/>
        <v>0</v>
      </c>
      <c r="S109" s="201">
        <f t="shared" si="10"/>
        <v>0</v>
      </c>
      <c r="T109" s="201">
        <f t="shared" si="11"/>
        <v>0</v>
      </c>
      <c r="U109" s="202"/>
      <c r="V109" s="201">
        <f>IFERROR(__xludf.DUMMYFUNCTION("""COMPUTED_VALUE"""),0.0)</f>
        <v>0</v>
      </c>
      <c r="W109" s="201">
        <f>IFERROR(__xludf.DUMMYFUNCTION("""COMPUTED_VALUE"""),0.0)</f>
        <v>0</v>
      </c>
      <c r="X109" s="201">
        <f>IFERROR(__xludf.DUMMYFUNCTION("""COMPUTED_VALUE"""),0.0)</f>
        <v>0</v>
      </c>
      <c r="Y109" s="201">
        <f>IFERROR(__xludf.DUMMYFUNCTION("""COMPUTED_VALUE"""),0.0)</f>
        <v>0</v>
      </c>
      <c r="Z109" s="201">
        <f t="shared" si="12"/>
        <v>0</v>
      </c>
      <c r="AA109" s="201">
        <f t="shared" si="13"/>
        <v>0</v>
      </c>
      <c r="AB109" s="201">
        <f t="shared" si="14"/>
        <v>0</v>
      </c>
    </row>
    <row r="110" ht="14.25" customHeight="1">
      <c r="A110" s="175"/>
      <c r="B110" s="208"/>
      <c r="C110" s="181"/>
      <c r="D110" s="209" t="s">
        <v>854</v>
      </c>
      <c r="E110" s="183">
        <f>SUMIFS('DB WBS'!$J:$J,'DB WBS'!$A:$A,$D$4,'DB WBS'!$D:$D,AA$1,'DB WBS'!$B:$B,$E$3,'DB WBS'!$E:$E,$B110)</f>
        <v>0</v>
      </c>
      <c r="F110" s="183">
        <f>SUMIFS('DB WBS'!$J:$J,'DB WBS'!$A:$A,$D$4,'DB WBS'!$D:$D,AA$2,'DB WBS'!$B:$B,$E$3,'DB WBS'!$E:$E,$B110)</f>
        <v>0</v>
      </c>
      <c r="G110" s="184">
        <f>IFERROR(HLOOKUP($E$3,'Tahun Lalu'!$B$5:$V$158,MATCH(B110,'Tahun Lalu'!$B$5:$B$158,0),0),0)</f>
        <v>0</v>
      </c>
      <c r="H110" s="183">
        <f>IFERROR(round(HLOOKUP('Tahun Lalu'!$D$3,RKO!$A$1:$P$171,MATCH(B110,RKO!$A$1:$A$171,0),0)*1000,0),0)</f>
        <v>0</v>
      </c>
      <c r="I110" s="183">
        <f>IFERROR(round(HLOOKUP('Tahun Lalu'!$D$3,RKAP!$A$1:$P$171,MATCH(B110,RKAP!$A$1:$A$171,0),0)*1000,0),0)</f>
        <v>0</v>
      </c>
      <c r="J110" s="183">
        <f t="shared" si="3"/>
        <v>0</v>
      </c>
      <c r="K110" s="183">
        <f t="shared" si="4"/>
        <v>0</v>
      </c>
      <c r="L110" s="183">
        <f t="shared" si="5"/>
        <v>0</v>
      </c>
      <c r="M110" s="183">
        <f t="shared" si="6"/>
        <v>0</v>
      </c>
      <c r="N110" s="183">
        <f t="shared" ref="N110:N111" si="143">E110+V110</f>
        <v>0</v>
      </c>
      <c r="O110" s="183">
        <f t="shared" ref="O110:Q110" si="142">G110+W110</f>
        <v>0</v>
      </c>
      <c r="P110" s="183">
        <f t="shared" si="142"/>
        <v>0</v>
      </c>
      <c r="Q110" s="183">
        <f t="shared" si="142"/>
        <v>0</v>
      </c>
      <c r="R110" s="183">
        <f t="shared" si="9"/>
        <v>0</v>
      </c>
      <c r="S110" s="183">
        <f t="shared" si="10"/>
        <v>0</v>
      </c>
      <c r="T110" s="183">
        <f t="shared" si="11"/>
        <v>0</v>
      </c>
      <c r="U110" s="186"/>
      <c r="V110" s="183">
        <f>IFERROR(__xludf.DUMMYFUNCTION("""COMPUTED_VALUE"""),0.0)</f>
        <v>0</v>
      </c>
      <c r="W110" s="183">
        <f>IFERROR(__xludf.DUMMYFUNCTION("""COMPUTED_VALUE"""),0.0)</f>
        <v>0</v>
      </c>
      <c r="X110" s="183">
        <f>IFERROR(__xludf.DUMMYFUNCTION("""COMPUTED_VALUE"""),0.0)</f>
        <v>0</v>
      </c>
      <c r="Y110" s="183">
        <f>IFERROR(__xludf.DUMMYFUNCTION("""COMPUTED_VALUE"""),0.0)</f>
        <v>0</v>
      </c>
      <c r="Z110" s="183">
        <f t="shared" si="12"/>
        <v>0</v>
      </c>
      <c r="AA110" s="183">
        <f t="shared" si="13"/>
        <v>0</v>
      </c>
      <c r="AB110" s="183">
        <f t="shared" si="14"/>
        <v>0</v>
      </c>
    </row>
    <row r="111" ht="14.25" customHeight="1">
      <c r="A111" s="175"/>
      <c r="B111" s="208"/>
      <c r="C111" s="181"/>
      <c r="D111" s="209"/>
      <c r="E111" s="183">
        <f>SUMIFS('DB WBS'!$J:$J,'DB WBS'!$A:$A,$D$4,'DB WBS'!$D:$D,AA$1,'DB WBS'!$B:$B,$E$3,'DB WBS'!$E:$E,$B111)</f>
        <v>0</v>
      </c>
      <c r="F111" s="183">
        <f>SUMIFS('DB WBS'!$J:$J,'DB WBS'!$A:$A,$D$4,'DB WBS'!$D:$D,AA$2,'DB WBS'!$B:$B,$E$3,'DB WBS'!$E:$E,$B111)</f>
        <v>0</v>
      </c>
      <c r="G111" s="184">
        <f>IFERROR(HLOOKUP($E$3,'Tahun Lalu'!$B$5:$V$158,MATCH(B111,'Tahun Lalu'!$B$5:$B$158,0),0),0)</f>
        <v>0</v>
      </c>
      <c r="H111" s="183">
        <f>IFERROR(round(HLOOKUP('Tahun Lalu'!$D$3,RKO!$A$1:$P$171,MATCH(B111,RKO!$A$1:$A$171,0),0)*1000,0),0)</f>
        <v>0</v>
      </c>
      <c r="I111" s="183">
        <f>IFERROR(round(HLOOKUP('Tahun Lalu'!$D$3,RKAP!$A$1:$P$171,MATCH(B111,RKAP!$A$1:$A$171,0),0)*1000,0),0)</f>
        <v>0</v>
      </c>
      <c r="J111" s="183">
        <f t="shared" si="3"/>
        <v>0</v>
      </c>
      <c r="K111" s="183">
        <f t="shared" si="4"/>
        <v>0</v>
      </c>
      <c r="L111" s="183">
        <f t="shared" si="5"/>
        <v>0</v>
      </c>
      <c r="M111" s="183">
        <f t="shared" si="6"/>
        <v>0</v>
      </c>
      <c r="N111" s="183">
        <f t="shared" si="143"/>
        <v>0</v>
      </c>
      <c r="O111" s="183">
        <f t="shared" ref="O111:Q111" si="144">G111+W111</f>
        <v>0</v>
      </c>
      <c r="P111" s="183">
        <f t="shared" si="144"/>
        <v>0</v>
      </c>
      <c r="Q111" s="183">
        <f t="shared" si="144"/>
        <v>0</v>
      </c>
      <c r="R111" s="183">
        <f t="shared" si="9"/>
        <v>0</v>
      </c>
      <c r="S111" s="183">
        <f t="shared" si="10"/>
        <v>0</v>
      </c>
      <c r="T111" s="183">
        <f t="shared" si="11"/>
        <v>0</v>
      </c>
      <c r="U111" s="186"/>
      <c r="V111" s="183">
        <f>IFERROR(__xludf.DUMMYFUNCTION("""COMPUTED_VALUE"""),0.0)</f>
        <v>0</v>
      </c>
      <c r="W111" s="183">
        <f>IFERROR(__xludf.DUMMYFUNCTION("""COMPUTED_VALUE"""),0.0)</f>
        <v>0</v>
      </c>
      <c r="X111" s="183">
        <f>IFERROR(__xludf.DUMMYFUNCTION("""COMPUTED_VALUE"""),0.0)</f>
        <v>0</v>
      </c>
      <c r="Y111" s="183">
        <f>IFERROR(__xludf.DUMMYFUNCTION("""COMPUTED_VALUE"""),0.0)</f>
        <v>0</v>
      </c>
      <c r="Z111" s="183">
        <f t="shared" si="12"/>
        <v>0</v>
      </c>
      <c r="AA111" s="183">
        <f t="shared" si="13"/>
        <v>0</v>
      </c>
      <c r="AB111" s="183">
        <f t="shared" si="14"/>
        <v>0</v>
      </c>
    </row>
    <row r="112" ht="14.25" customHeight="1">
      <c r="A112" s="175"/>
      <c r="B112" s="212" t="s">
        <v>855</v>
      </c>
      <c r="C112" s="199"/>
      <c r="D112" s="200"/>
      <c r="E112" s="201">
        <f t="shared" ref="E112:I112" si="145">SUM(E110:E111)</f>
        <v>0</v>
      </c>
      <c r="F112" s="201">
        <f t="shared" si="145"/>
        <v>0</v>
      </c>
      <c r="G112" s="201">
        <f t="shared" si="145"/>
        <v>0</v>
      </c>
      <c r="H112" s="201">
        <f t="shared" si="145"/>
        <v>0</v>
      </c>
      <c r="I112" s="201">
        <f t="shared" si="145"/>
        <v>0</v>
      </c>
      <c r="J112" s="201">
        <f t="shared" si="3"/>
        <v>0</v>
      </c>
      <c r="K112" s="201">
        <f t="shared" si="4"/>
        <v>0</v>
      </c>
      <c r="L112" s="201">
        <f t="shared" si="5"/>
        <v>0</v>
      </c>
      <c r="M112" s="201">
        <f t="shared" si="6"/>
        <v>0</v>
      </c>
      <c r="N112" s="201">
        <f t="shared" ref="N112:Q112" si="146">SUM(N110:N111)</f>
        <v>0</v>
      </c>
      <c r="O112" s="201">
        <f t="shared" si="146"/>
        <v>0</v>
      </c>
      <c r="P112" s="201">
        <f t="shared" si="146"/>
        <v>0</v>
      </c>
      <c r="Q112" s="201">
        <f t="shared" si="146"/>
        <v>0</v>
      </c>
      <c r="R112" s="201">
        <f t="shared" si="9"/>
        <v>0</v>
      </c>
      <c r="S112" s="201">
        <f t="shared" si="10"/>
        <v>0</v>
      </c>
      <c r="T112" s="201">
        <f t="shared" si="11"/>
        <v>0</v>
      </c>
      <c r="U112" s="202"/>
      <c r="V112" s="201">
        <f>IFERROR(__xludf.DUMMYFUNCTION("""COMPUTED_VALUE"""),0.0)</f>
        <v>0</v>
      </c>
      <c r="W112" s="201">
        <f>IFERROR(__xludf.DUMMYFUNCTION("""COMPUTED_VALUE"""),0.0)</f>
        <v>0</v>
      </c>
      <c r="X112" s="201">
        <f>IFERROR(__xludf.DUMMYFUNCTION("""COMPUTED_VALUE"""),0.0)</f>
        <v>0</v>
      </c>
      <c r="Y112" s="201">
        <f>IFERROR(__xludf.DUMMYFUNCTION("""COMPUTED_VALUE"""),0.0)</f>
        <v>0</v>
      </c>
      <c r="Z112" s="201">
        <f t="shared" si="12"/>
        <v>0</v>
      </c>
      <c r="AA112" s="201">
        <f t="shared" si="13"/>
        <v>0</v>
      </c>
      <c r="AB112" s="201">
        <f t="shared" si="14"/>
        <v>0</v>
      </c>
    </row>
    <row r="113" ht="14.25" customHeight="1">
      <c r="A113" s="175"/>
      <c r="B113" s="208"/>
      <c r="C113" s="181"/>
      <c r="D113" s="209" t="s">
        <v>856</v>
      </c>
      <c r="E113" s="183">
        <f>SUMIFS('DB WBS'!$J:$J,'DB WBS'!$A:$A,$D$4,'DB WBS'!$D:$D,AA$1,'DB WBS'!$B:$B,$E$3,'DB WBS'!$E:$E,$B113)</f>
        <v>0</v>
      </c>
      <c r="F113" s="183">
        <f>SUMIFS('DB WBS'!$J:$J,'DB WBS'!$A:$A,$D$4,'DB WBS'!$D:$D,AA$2,'DB WBS'!$B:$B,$E$3,'DB WBS'!$E:$E,$B113)</f>
        <v>0</v>
      </c>
      <c r="G113" s="184">
        <f>IFERROR(HLOOKUP($E$3,'Tahun Lalu'!$B$5:$V$158,MATCH(B113,'Tahun Lalu'!$B$5:$B$158,0),0),0)</f>
        <v>0</v>
      </c>
      <c r="H113" s="183">
        <f>IFERROR(round(HLOOKUP('Tahun Lalu'!$D$3,RKO!$A$1:$P$171,MATCH(B113,RKO!$A$1:$A$171,0),0)*1000,0),0)</f>
        <v>0</v>
      </c>
      <c r="I113" s="183">
        <f>IFERROR(round(HLOOKUP('Tahun Lalu'!$D$3,RKAP!$A$1:$P$171,MATCH(B113,RKAP!$A$1:$A$171,0),0)*1000,0),0)</f>
        <v>0</v>
      </c>
      <c r="J113" s="183">
        <f t="shared" si="3"/>
        <v>0</v>
      </c>
      <c r="K113" s="183">
        <f t="shared" si="4"/>
        <v>0</v>
      </c>
      <c r="L113" s="183">
        <f t="shared" si="5"/>
        <v>0</v>
      </c>
      <c r="M113" s="183">
        <f t="shared" si="6"/>
        <v>0</v>
      </c>
      <c r="N113" s="183">
        <f t="shared" ref="N113:N117" si="148">E113+V113</f>
        <v>0</v>
      </c>
      <c r="O113" s="183">
        <f t="shared" ref="O113:Q113" si="147">G113+W113</f>
        <v>0</v>
      </c>
      <c r="P113" s="183">
        <f t="shared" si="147"/>
        <v>0</v>
      </c>
      <c r="Q113" s="183">
        <f t="shared" si="147"/>
        <v>0</v>
      </c>
      <c r="R113" s="183">
        <f t="shared" si="9"/>
        <v>0</v>
      </c>
      <c r="S113" s="183">
        <f t="shared" si="10"/>
        <v>0</v>
      </c>
      <c r="T113" s="183">
        <f t="shared" si="11"/>
        <v>0</v>
      </c>
      <c r="U113" s="186"/>
      <c r="V113" s="183">
        <f>IFERROR(__xludf.DUMMYFUNCTION("""COMPUTED_VALUE"""),0.0)</f>
        <v>0</v>
      </c>
      <c r="W113" s="183">
        <f>IFERROR(__xludf.DUMMYFUNCTION("""COMPUTED_VALUE"""),0.0)</f>
        <v>0</v>
      </c>
      <c r="X113" s="183">
        <f>IFERROR(__xludf.DUMMYFUNCTION("""COMPUTED_VALUE"""),0.0)</f>
        <v>0</v>
      </c>
      <c r="Y113" s="183">
        <f>IFERROR(__xludf.DUMMYFUNCTION("""COMPUTED_VALUE"""),0.0)</f>
        <v>0</v>
      </c>
      <c r="Z113" s="183">
        <f t="shared" si="12"/>
        <v>0</v>
      </c>
      <c r="AA113" s="183">
        <f t="shared" si="13"/>
        <v>0</v>
      </c>
      <c r="AB113" s="183">
        <f t="shared" si="14"/>
        <v>0</v>
      </c>
    </row>
    <row r="114" ht="14.25" customHeight="1">
      <c r="A114" s="175"/>
      <c r="B114" s="208"/>
      <c r="C114" s="181"/>
      <c r="D114" s="209" t="s">
        <v>857</v>
      </c>
      <c r="E114" s="183">
        <f>SUMIFS('DB WBS'!$J:$J,'DB WBS'!$A:$A,$D$4,'DB WBS'!$D:$D,AA$1,'DB WBS'!$B:$B,$E$3,'DB WBS'!$E:$E,$B114)</f>
        <v>0</v>
      </c>
      <c r="F114" s="183">
        <f>SUMIFS('DB WBS'!$J:$J,'DB WBS'!$A:$A,$D$4,'DB WBS'!$D:$D,AA$2,'DB WBS'!$B:$B,$E$3,'DB WBS'!$E:$E,$B114)</f>
        <v>0</v>
      </c>
      <c r="G114" s="184">
        <f>IFERROR(HLOOKUP($E$3,'Tahun Lalu'!$B$5:$V$158,MATCH(B114,'Tahun Lalu'!$B$5:$B$158,0),0),0)</f>
        <v>0</v>
      </c>
      <c r="H114" s="183">
        <f>IFERROR(round(HLOOKUP('Tahun Lalu'!$D$3,RKO!$A$1:$P$171,MATCH(B114,RKO!$A$1:$A$171,0),0)*1000,0),0)</f>
        <v>0</v>
      </c>
      <c r="I114" s="183">
        <f>IFERROR(round(HLOOKUP('Tahun Lalu'!$D$3,RKAP!$A$1:$P$171,MATCH(B114,RKAP!$A$1:$A$171,0),0)*1000,0),0)</f>
        <v>0</v>
      </c>
      <c r="J114" s="183">
        <f t="shared" si="3"/>
        <v>0</v>
      </c>
      <c r="K114" s="183">
        <f t="shared" si="4"/>
        <v>0</v>
      </c>
      <c r="L114" s="183">
        <f t="shared" si="5"/>
        <v>0</v>
      </c>
      <c r="M114" s="183">
        <f t="shared" si="6"/>
        <v>0</v>
      </c>
      <c r="N114" s="183">
        <f t="shared" si="148"/>
        <v>0</v>
      </c>
      <c r="O114" s="183">
        <f t="shared" ref="O114:Q114" si="149">G114+W114</f>
        <v>0</v>
      </c>
      <c r="P114" s="183">
        <f t="shared" si="149"/>
        <v>0</v>
      </c>
      <c r="Q114" s="183">
        <f t="shared" si="149"/>
        <v>0</v>
      </c>
      <c r="R114" s="183">
        <f t="shared" si="9"/>
        <v>0</v>
      </c>
      <c r="S114" s="183">
        <f t="shared" si="10"/>
        <v>0</v>
      </c>
      <c r="T114" s="183">
        <f t="shared" si="11"/>
        <v>0</v>
      </c>
      <c r="U114" s="186"/>
      <c r="V114" s="183">
        <f>IFERROR(__xludf.DUMMYFUNCTION("""COMPUTED_VALUE"""),0.0)</f>
        <v>0</v>
      </c>
      <c r="W114" s="183">
        <f>IFERROR(__xludf.DUMMYFUNCTION("""COMPUTED_VALUE"""),0.0)</f>
        <v>0</v>
      </c>
      <c r="X114" s="183">
        <f>IFERROR(__xludf.DUMMYFUNCTION("""COMPUTED_VALUE"""),0.0)</f>
        <v>0</v>
      </c>
      <c r="Y114" s="183">
        <f>IFERROR(__xludf.DUMMYFUNCTION("""COMPUTED_VALUE"""),0.0)</f>
        <v>0</v>
      </c>
      <c r="Z114" s="183">
        <f t="shared" si="12"/>
        <v>0</v>
      </c>
      <c r="AA114" s="183">
        <f t="shared" si="13"/>
        <v>0</v>
      </c>
      <c r="AB114" s="183">
        <f t="shared" si="14"/>
        <v>0</v>
      </c>
    </row>
    <row r="115" ht="14.25" customHeight="1">
      <c r="A115" s="175"/>
      <c r="B115" s="208"/>
      <c r="C115" s="181"/>
      <c r="D115" s="209" t="s">
        <v>858</v>
      </c>
      <c r="E115" s="183">
        <f>SUMIFS('DB WBS'!$J:$J,'DB WBS'!$A:$A,$D$4,'DB WBS'!$D:$D,AA$1,'DB WBS'!$B:$B,$E$3,'DB WBS'!$E:$E,$B115)</f>
        <v>0</v>
      </c>
      <c r="F115" s="183">
        <f>SUMIFS('DB WBS'!$J:$J,'DB WBS'!$A:$A,$D$4,'DB WBS'!$D:$D,AA$2,'DB WBS'!$B:$B,$E$3,'DB WBS'!$E:$E,$B115)</f>
        <v>0</v>
      </c>
      <c r="G115" s="184">
        <f>IFERROR(HLOOKUP($E$3,'Tahun Lalu'!$B$5:$V$158,MATCH(B115,'Tahun Lalu'!$B$5:$B$158,0),0),0)</f>
        <v>0</v>
      </c>
      <c r="H115" s="183">
        <f>IFERROR(round(HLOOKUP('Tahun Lalu'!$D$3,RKO!$A$1:$P$171,MATCH(B115,RKO!$A$1:$A$171,0),0)*1000,0),0)</f>
        <v>0</v>
      </c>
      <c r="I115" s="183">
        <f>IFERROR(round(HLOOKUP('Tahun Lalu'!$D$3,RKAP!$A$1:$P$171,MATCH(B115,RKAP!$A$1:$A$171,0),0)*1000,0),0)</f>
        <v>0</v>
      </c>
      <c r="J115" s="183">
        <f t="shared" si="3"/>
        <v>0</v>
      </c>
      <c r="K115" s="183">
        <f t="shared" si="4"/>
        <v>0</v>
      </c>
      <c r="L115" s="183">
        <f t="shared" si="5"/>
        <v>0</v>
      </c>
      <c r="M115" s="183">
        <f t="shared" si="6"/>
        <v>0</v>
      </c>
      <c r="N115" s="183">
        <f t="shared" si="148"/>
        <v>0</v>
      </c>
      <c r="O115" s="183">
        <f t="shared" ref="O115:Q115" si="150">G115+W115</f>
        <v>0</v>
      </c>
      <c r="P115" s="183">
        <f t="shared" si="150"/>
        <v>0</v>
      </c>
      <c r="Q115" s="183">
        <f t="shared" si="150"/>
        <v>0</v>
      </c>
      <c r="R115" s="183">
        <f t="shared" si="9"/>
        <v>0</v>
      </c>
      <c r="S115" s="183">
        <f t="shared" si="10"/>
        <v>0</v>
      </c>
      <c r="T115" s="183">
        <f t="shared" si="11"/>
        <v>0</v>
      </c>
      <c r="U115" s="186"/>
      <c r="V115" s="183">
        <f>IFERROR(__xludf.DUMMYFUNCTION("""COMPUTED_VALUE"""),0.0)</f>
        <v>0</v>
      </c>
      <c r="W115" s="183">
        <f>IFERROR(__xludf.DUMMYFUNCTION("""COMPUTED_VALUE"""),0.0)</f>
        <v>0</v>
      </c>
      <c r="X115" s="183">
        <f>IFERROR(__xludf.DUMMYFUNCTION("""COMPUTED_VALUE"""),0.0)</f>
        <v>0</v>
      </c>
      <c r="Y115" s="183">
        <f>IFERROR(__xludf.DUMMYFUNCTION("""COMPUTED_VALUE"""),0.0)</f>
        <v>0</v>
      </c>
      <c r="Z115" s="183">
        <f t="shared" si="12"/>
        <v>0</v>
      </c>
      <c r="AA115" s="183">
        <f t="shared" si="13"/>
        <v>0</v>
      </c>
      <c r="AB115" s="183">
        <f t="shared" si="14"/>
        <v>0</v>
      </c>
    </row>
    <row r="116" ht="14.25" customHeight="1">
      <c r="A116" s="175"/>
      <c r="B116" s="208"/>
      <c r="C116" s="181"/>
      <c r="D116" s="209" t="s">
        <v>859</v>
      </c>
      <c r="E116" s="183">
        <f>SUMIFS('DB WBS'!$J:$J,'DB WBS'!$A:$A,$D$4,'DB WBS'!$D:$D,AA$1,'DB WBS'!$B:$B,$E$3,'DB WBS'!$E:$E,$B116)</f>
        <v>0</v>
      </c>
      <c r="F116" s="183">
        <f>SUMIFS('DB WBS'!$J:$J,'DB WBS'!$A:$A,$D$4,'DB WBS'!$D:$D,AA$2,'DB WBS'!$B:$B,$E$3,'DB WBS'!$E:$E,$B116)</f>
        <v>0</v>
      </c>
      <c r="G116" s="184">
        <f>IFERROR(HLOOKUP($E$3,'Tahun Lalu'!$B$5:$V$158,MATCH(B116,'Tahun Lalu'!$B$5:$B$158,0),0),0)</f>
        <v>0</v>
      </c>
      <c r="H116" s="183">
        <f>IFERROR(round(HLOOKUP('Tahun Lalu'!$D$3,RKO!$A$1:$P$171,MATCH(B116,RKO!$A$1:$A$171,0),0)*1000,0),0)</f>
        <v>0</v>
      </c>
      <c r="I116" s="183">
        <f>IFERROR(round(HLOOKUP('Tahun Lalu'!$D$3,RKAP!$A$1:$P$171,MATCH(B116,RKAP!$A$1:$A$171,0),0)*1000,0),0)</f>
        <v>0</v>
      </c>
      <c r="J116" s="183">
        <f t="shared" si="3"/>
        <v>0</v>
      </c>
      <c r="K116" s="183">
        <f t="shared" si="4"/>
        <v>0</v>
      </c>
      <c r="L116" s="183">
        <f t="shared" si="5"/>
        <v>0</v>
      </c>
      <c r="M116" s="183">
        <f t="shared" si="6"/>
        <v>0</v>
      </c>
      <c r="N116" s="183">
        <f t="shared" si="148"/>
        <v>0</v>
      </c>
      <c r="O116" s="183">
        <f t="shared" ref="O116:Q116" si="151">G116+W116</f>
        <v>0</v>
      </c>
      <c r="P116" s="183">
        <f t="shared" si="151"/>
        <v>0</v>
      </c>
      <c r="Q116" s="183">
        <f t="shared" si="151"/>
        <v>0</v>
      </c>
      <c r="R116" s="183">
        <f t="shared" si="9"/>
        <v>0</v>
      </c>
      <c r="S116" s="183">
        <f t="shared" si="10"/>
        <v>0</v>
      </c>
      <c r="T116" s="183">
        <f t="shared" si="11"/>
        <v>0</v>
      </c>
      <c r="U116" s="186"/>
      <c r="V116" s="183">
        <f>IFERROR(__xludf.DUMMYFUNCTION("""COMPUTED_VALUE"""),0.0)</f>
        <v>0</v>
      </c>
      <c r="W116" s="183">
        <f>IFERROR(__xludf.DUMMYFUNCTION("""COMPUTED_VALUE"""),0.0)</f>
        <v>0</v>
      </c>
      <c r="X116" s="183">
        <f>IFERROR(__xludf.DUMMYFUNCTION("""COMPUTED_VALUE"""),0.0)</f>
        <v>0</v>
      </c>
      <c r="Y116" s="183">
        <f>IFERROR(__xludf.DUMMYFUNCTION("""COMPUTED_VALUE"""),0.0)</f>
        <v>0</v>
      </c>
      <c r="Z116" s="183">
        <f t="shared" si="12"/>
        <v>0</v>
      </c>
      <c r="AA116" s="183">
        <f t="shared" si="13"/>
        <v>0</v>
      </c>
      <c r="AB116" s="183">
        <f t="shared" si="14"/>
        <v>0</v>
      </c>
    </row>
    <row r="117" ht="14.25" customHeight="1">
      <c r="A117" s="175"/>
      <c r="B117" s="211"/>
      <c r="C117" s="177"/>
      <c r="D117" s="182"/>
      <c r="E117" s="183">
        <f>SUMIFS('DB WBS'!$J:$J,'DB WBS'!$A:$A,$D$4,'DB WBS'!$D:$D,AA$1,'DB WBS'!$B:$B,$E$3,'DB WBS'!$E:$E,$B117)</f>
        <v>0</v>
      </c>
      <c r="F117" s="183">
        <f>SUMIFS('DB WBS'!$J:$J,'DB WBS'!$A:$A,$D$4,'DB WBS'!$D:$D,AA$2,'DB WBS'!$B:$B,$E$3,'DB WBS'!$E:$E,$B117)</f>
        <v>0</v>
      </c>
      <c r="G117" s="184">
        <f>IFERROR(HLOOKUP($E$3,'Tahun Lalu'!$B$5:$V$158,MATCH(B117,'Tahun Lalu'!$B$5:$B$158,0),0),0)</f>
        <v>0</v>
      </c>
      <c r="H117" s="183">
        <f>IFERROR(round(HLOOKUP('Tahun Lalu'!$D$3,RKO!$A$1:$P$171,MATCH(B117,RKO!$A$1:$A$171,0),0)*1000,0),0)</f>
        <v>0</v>
      </c>
      <c r="I117" s="183">
        <f>IFERROR(round(HLOOKUP('Tahun Lalu'!$D$3,RKAP!$A$1:$P$171,MATCH(B117,RKAP!$A$1:$A$171,0),0)*1000,0),0)</f>
        <v>0</v>
      </c>
      <c r="J117" s="183">
        <f t="shared" si="3"/>
        <v>0</v>
      </c>
      <c r="K117" s="183">
        <f t="shared" si="4"/>
        <v>0</v>
      </c>
      <c r="L117" s="183">
        <f t="shared" si="5"/>
        <v>0</v>
      </c>
      <c r="M117" s="183">
        <f t="shared" si="6"/>
        <v>0</v>
      </c>
      <c r="N117" s="183">
        <f t="shared" si="148"/>
        <v>0</v>
      </c>
      <c r="O117" s="183">
        <f t="shared" ref="O117:Q117" si="152">G117+W117</f>
        <v>0</v>
      </c>
      <c r="P117" s="183">
        <f t="shared" si="152"/>
        <v>0</v>
      </c>
      <c r="Q117" s="183">
        <f t="shared" si="152"/>
        <v>0</v>
      </c>
      <c r="R117" s="183">
        <f t="shared" si="9"/>
        <v>0</v>
      </c>
      <c r="S117" s="183">
        <f t="shared" si="10"/>
        <v>0</v>
      </c>
      <c r="T117" s="183">
        <f t="shared" si="11"/>
        <v>0</v>
      </c>
      <c r="U117" s="186"/>
      <c r="V117" s="183">
        <f>IFERROR(__xludf.DUMMYFUNCTION("""COMPUTED_VALUE"""),0.0)</f>
        <v>0</v>
      </c>
      <c r="W117" s="183">
        <f>IFERROR(__xludf.DUMMYFUNCTION("""COMPUTED_VALUE"""),0.0)</f>
        <v>0</v>
      </c>
      <c r="X117" s="183">
        <f>IFERROR(__xludf.DUMMYFUNCTION("""COMPUTED_VALUE"""),0.0)</f>
        <v>0</v>
      </c>
      <c r="Y117" s="183">
        <f>IFERROR(__xludf.DUMMYFUNCTION("""COMPUTED_VALUE"""),0.0)</f>
        <v>0</v>
      </c>
      <c r="Z117" s="183">
        <f t="shared" si="12"/>
        <v>0</v>
      </c>
      <c r="AA117" s="183">
        <f t="shared" si="13"/>
        <v>0</v>
      </c>
      <c r="AB117" s="183">
        <f t="shared" si="14"/>
        <v>0</v>
      </c>
    </row>
    <row r="118" ht="14.25" customHeight="1">
      <c r="A118" s="175"/>
      <c r="B118" s="212" t="s">
        <v>860</v>
      </c>
      <c r="C118" s="199"/>
      <c r="D118" s="200"/>
      <c r="E118" s="201">
        <f t="shared" ref="E118:I118" si="153">SUM(E113:E117)</f>
        <v>0</v>
      </c>
      <c r="F118" s="201">
        <f t="shared" si="153"/>
        <v>0</v>
      </c>
      <c r="G118" s="201">
        <f t="shared" si="153"/>
        <v>0</v>
      </c>
      <c r="H118" s="201">
        <f t="shared" si="153"/>
        <v>0</v>
      </c>
      <c r="I118" s="201">
        <f t="shared" si="153"/>
        <v>0</v>
      </c>
      <c r="J118" s="201">
        <f t="shared" si="3"/>
        <v>0</v>
      </c>
      <c r="K118" s="201">
        <f t="shared" si="4"/>
        <v>0</v>
      </c>
      <c r="L118" s="201">
        <f t="shared" si="5"/>
        <v>0</v>
      </c>
      <c r="M118" s="201">
        <f t="shared" si="6"/>
        <v>0</v>
      </c>
      <c r="N118" s="201">
        <f t="shared" ref="N118:Q118" si="154">SUM(N113:N117)</f>
        <v>0</v>
      </c>
      <c r="O118" s="201">
        <f t="shared" si="154"/>
        <v>0</v>
      </c>
      <c r="P118" s="201">
        <f t="shared" si="154"/>
        <v>0</v>
      </c>
      <c r="Q118" s="201">
        <f t="shared" si="154"/>
        <v>0</v>
      </c>
      <c r="R118" s="201">
        <f t="shared" si="9"/>
        <v>0</v>
      </c>
      <c r="S118" s="201">
        <f t="shared" si="10"/>
        <v>0</v>
      </c>
      <c r="T118" s="201">
        <f t="shared" si="11"/>
        <v>0</v>
      </c>
      <c r="U118" s="202"/>
      <c r="V118" s="201">
        <f>IFERROR(__xludf.DUMMYFUNCTION("""COMPUTED_VALUE"""),0.0)</f>
        <v>0</v>
      </c>
      <c r="W118" s="201">
        <f>IFERROR(__xludf.DUMMYFUNCTION("""COMPUTED_VALUE"""),0.0)</f>
        <v>0</v>
      </c>
      <c r="X118" s="201">
        <f>IFERROR(__xludf.DUMMYFUNCTION("""COMPUTED_VALUE"""),0.0)</f>
        <v>0</v>
      </c>
      <c r="Y118" s="201">
        <f>IFERROR(__xludf.DUMMYFUNCTION("""COMPUTED_VALUE"""),0.0)</f>
        <v>0</v>
      </c>
      <c r="Z118" s="201">
        <f t="shared" si="12"/>
        <v>0</v>
      </c>
      <c r="AA118" s="201">
        <f t="shared" si="13"/>
        <v>0</v>
      </c>
      <c r="AB118" s="201">
        <f t="shared" si="14"/>
        <v>0</v>
      </c>
    </row>
    <row r="119" ht="14.25" customHeight="1">
      <c r="A119" s="175"/>
      <c r="B119" s="204" t="s">
        <v>861</v>
      </c>
      <c r="C119" s="205"/>
      <c r="D119" s="206"/>
      <c r="E119" s="207">
        <f t="shared" ref="E119:I119" si="155">E97+E91+E100+E103+E106+E109+E112+E118</f>
        <v>405518411</v>
      </c>
      <c r="F119" s="207">
        <f t="shared" si="155"/>
        <v>419392466</v>
      </c>
      <c r="G119" s="207">
        <f t="shared" si="155"/>
        <v>517166375</v>
      </c>
      <c r="H119" s="207">
        <f t="shared" si="155"/>
        <v>620015439</v>
      </c>
      <c r="I119" s="207">
        <f t="shared" si="155"/>
        <v>620015439</v>
      </c>
      <c r="J119" s="207">
        <f t="shared" si="3"/>
        <v>96.69186833</v>
      </c>
      <c r="K119" s="207">
        <f t="shared" si="4"/>
        <v>78.41159646</v>
      </c>
      <c r="L119" s="207">
        <f t="shared" si="5"/>
        <v>65.40456664</v>
      </c>
      <c r="M119" s="207">
        <f t="shared" si="6"/>
        <v>65.40456664</v>
      </c>
      <c r="N119" s="207">
        <f t="shared" ref="N119:Q119" si="156">N97+N91+N100+N103+N106+N109+N112+N118</f>
        <v>2243866763</v>
      </c>
      <c r="O119" s="207">
        <f t="shared" si="156"/>
        <v>2459378026</v>
      </c>
      <c r="P119" s="207">
        <f t="shared" si="156"/>
        <v>3554727171</v>
      </c>
      <c r="Q119" s="207">
        <f t="shared" si="156"/>
        <v>3554727171</v>
      </c>
      <c r="R119" s="207">
        <f t="shared" si="9"/>
        <v>91.237164</v>
      </c>
      <c r="S119" s="207">
        <f t="shared" si="10"/>
        <v>63.12345941</v>
      </c>
      <c r="T119" s="207">
        <f t="shared" si="11"/>
        <v>63.12345941</v>
      </c>
      <c r="U119" s="202"/>
      <c r="V119" s="207">
        <f>IFERROR(__xludf.DUMMYFUNCTION("""COMPUTED_VALUE"""),1.838348352E9)</f>
        <v>1838348352</v>
      </c>
      <c r="W119" s="207">
        <f>IFERROR(__xludf.DUMMYFUNCTION("""COMPUTED_VALUE"""),1.942211651E9)</f>
        <v>1942211651</v>
      </c>
      <c r="X119" s="207">
        <f>IFERROR(__xludf.DUMMYFUNCTION("""COMPUTED_VALUE"""),2.934711732E9)</f>
        <v>2934711732</v>
      </c>
      <c r="Y119" s="207">
        <f>IFERROR(__xludf.DUMMYFUNCTION("""COMPUTED_VALUE"""),2.934711732E9)</f>
        <v>2934711732</v>
      </c>
      <c r="Z119" s="207">
        <f t="shared" si="12"/>
        <v>94.6523182</v>
      </c>
      <c r="AA119" s="207">
        <f t="shared" si="13"/>
        <v>62.64153075</v>
      </c>
      <c r="AB119" s="207">
        <f t="shared" si="14"/>
        <v>62.64153075</v>
      </c>
    </row>
    <row r="120" ht="14.25" customHeight="1">
      <c r="A120" s="175"/>
      <c r="B120" s="208" t="s">
        <v>862</v>
      </c>
      <c r="C120" s="181"/>
      <c r="D120" s="209" t="s">
        <v>863</v>
      </c>
      <c r="E120" s="183">
        <f>SUMIFS('DB WBS'!$J:$J,'DB WBS'!$A:$A,$D$4,'DB WBS'!$D:$D,AA$1,'DB WBS'!$B:$B,$E$3,'DB WBS'!$E:$E,$B120)</f>
        <v>0</v>
      </c>
      <c r="F120" s="183">
        <f>SUMIFS('DB WBS'!$J:$J,'DB WBS'!$A:$A,$D$4,'DB WBS'!$D:$D,AA$2,'DB WBS'!$B:$B,$E$3,'DB WBS'!$E:$E,$B120)</f>
        <v>0</v>
      </c>
      <c r="G120" s="184">
        <f>IFERROR(HLOOKUP($E$3,'Tahun Lalu'!$B$5:$V$158,MATCH(B120,'Tahun Lalu'!$B$5:$B$158,0),0),0)</f>
        <v>0</v>
      </c>
      <c r="H120" s="183">
        <f>IFERROR(round(HLOOKUP('Tahun Lalu'!$D$3,RKO!$A$1:$P$171,MATCH(B120,RKO!$A$1:$A$171,0),0)*1000,0),0)</f>
        <v>0</v>
      </c>
      <c r="I120" s="183">
        <f>IFERROR(round(HLOOKUP('Tahun Lalu'!$D$3,RKAP!$A$1:$P$171,MATCH(B120,RKAP!$A$1:$A$171,0),0)*1000,0),0)</f>
        <v>0</v>
      </c>
      <c r="J120" s="183">
        <f t="shared" si="3"/>
        <v>0</v>
      </c>
      <c r="K120" s="183">
        <f t="shared" si="4"/>
        <v>0</v>
      </c>
      <c r="L120" s="183">
        <f t="shared" si="5"/>
        <v>0</v>
      </c>
      <c r="M120" s="183">
        <f t="shared" si="6"/>
        <v>0</v>
      </c>
      <c r="N120" s="183">
        <f t="shared" ref="N120:N121" si="158">E120+V120</f>
        <v>0</v>
      </c>
      <c r="O120" s="183">
        <f t="shared" ref="O120:Q120" si="157">G120+W120</f>
        <v>0</v>
      </c>
      <c r="P120" s="183">
        <f t="shared" si="157"/>
        <v>0</v>
      </c>
      <c r="Q120" s="183">
        <f t="shared" si="157"/>
        <v>0</v>
      </c>
      <c r="R120" s="183">
        <f t="shared" si="9"/>
        <v>0</v>
      </c>
      <c r="S120" s="183">
        <f t="shared" si="10"/>
        <v>0</v>
      </c>
      <c r="T120" s="183">
        <f t="shared" si="11"/>
        <v>0</v>
      </c>
      <c r="U120" s="186"/>
      <c r="V120" s="183">
        <f>IFERROR(__xludf.DUMMYFUNCTION("""COMPUTED_VALUE"""),0.0)</f>
        <v>0</v>
      </c>
      <c r="W120" s="183">
        <f>IFERROR(__xludf.DUMMYFUNCTION("""COMPUTED_VALUE"""),0.0)</f>
        <v>0</v>
      </c>
      <c r="X120" s="183">
        <f>IFERROR(__xludf.DUMMYFUNCTION("""COMPUTED_VALUE"""),0.0)</f>
        <v>0</v>
      </c>
      <c r="Y120" s="183">
        <f>IFERROR(__xludf.DUMMYFUNCTION("""COMPUTED_VALUE"""),0.0)</f>
        <v>0</v>
      </c>
      <c r="Z120" s="183">
        <f t="shared" si="12"/>
        <v>0</v>
      </c>
      <c r="AA120" s="183">
        <f t="shared" si="13"/>
        <v>0</v>
      </c>
      <c r="AB120" s="183">
        <f t="shared" si="14"/>
        <v>0</v>
      </c>
    </row>
    <row r="121" ht="14.25" customHeight="1">
      <c r="A121" s="175"/>
      <c r="B121" s="211"/>
      <c r="C121" s="177"/>
      <c r="D121" s="182"/>
      <c r="E121" s="183">
        <f>SUMIFS('DB WBS'!$J:$J,'DB WBS'!$A:$A,$D$4,'DB WBS'!$D:$D,AA$1,'DB WBS'!$B:$B,$E$3,'DB WBS'!$E:$E,$B121)</f>
        <v>0</v>
      </c>
      <c r="F121" s="183">
        <f>SUMIFS('DB WBS'!$J:$J,'DB WBS'!$A:$A,$D$4,'DB WBS'!$D:$D,AA$2,'DB WBS'!$B:$B,$E$3,'DB WBS'!$E:$E,$B121)</f>
        <v>0</v>
      </c>
      <c r="G121" s="184">
        <f>IFERROR(HLOOKUP($E$3,'Tahun Lalu'!$B$5:$V$158,MATCH(B121,'Tahun Lalu'!$B$5:$B$158,0),0),0)</f>
        <v>0</v>
      </c>
      <c r="H121" s="183">
        <f>IFERROR(round(HLOOKUP('Tahun Lalu'!$D$3,RKO!$A$1:$P$171,MATCH(B121,RKO!$A$1:$A$171,0),0)*1000,0),0)</f>
        <v>0</v>
      </c>
      <c r="I121" s="183">
        <f>IFERROR(round(HLOOKUP('Tahun Lalu'!$D$3,RKAP!$A$1:$P$171,MATCH(B121,RKAP!$A$1:$A$171,0),0)*1000,0),0)</f>
        <v>0</v>
      </c>
      <c r="J121" s="183">
        <f t="shared" si="3"/>
        <v>0</v>
      </c>
      <c r="K121" s="183">
        <f t="shared" si="4"/>
        <v>0</v>
      </c>
      <c r="L121" s="183">
        <f t="shared" si="5"/>
        <v>0</v>
      </c>
      <c r="M121" s="183">
        <f t="shared" si="6"/>
        <v>0</v>
      </c>
      <c r="N121" s="183">
        <f t="shared" si="158"/>
        <v>0</v>
      </c>
      <c r="O121" s="183">
        <f t="shared" ref="O121:Q121" si="159">G121+W121</f>
        <v>0</v>
      </c>
      <c r="P121" s="183">
        <f t="shared" si="159"/>
        <v>0</v>
      </c>
      <c r="Q121" s="183">
        <f t="shared" si="159"/>
        <v>0</v>
      </c>
      <c r="R121" s="183">
        <f t="shared" si="9"/>
        <v>0</v>
      </c>
      <c r="S121" s="183">
        <f t="shared" si="10"/>
        <v>0</v>
      </c>
      <c r="T121" s="183">
        <f t="shared" si="11"/>
        <v>0</v>
      </c>
      <c r="U121" s="186"/>
      <c r="V121" s="183">
        <f>IFERROR(__xludf.DUMMYFUNCTION("""COMPUTED_VALUE"""),0.0)</f>
        <v>0</v>
      </c>
      <c r="W121" s="183">
        <f>IFERROR(__xludf.DUMMYFUNCTION("""COMPUTED_VALUE"""),0.0)</f>
        <v>0</v>
      </c>
      <c r="X121" s="183">
        <f>IFERROR(__xludf.DUMMYFUNCTION("""COMPUTED_VALUE"""),0.0)</f>
        <v>0</v>
      </c>
      <c r="Y121" s="183">
        <f>IFERROR(__xludf.DUMMYFUNCTION("""COMPUTED_VALUE"""),0.0)</f>
        <v>0</v>
      </c>
      <c r="Z121" s="183">
        <f t="shared" si="12"/>
        <v>0</v>
      </c>
      <c r="AA121" s="183">
        <f t="shared" si="13"/>
        <v>0</v>
      </c>
      <c r="AB121" s="183">
        <f t="shared" si="14"/>
        <v>0</v>
      </c>
    </row>
    <row r="122" ht="14.25" customHeight="1">
      <c r="A122" s="175"/>
      <c r="B122" s="191" t="s">
        <v>864</v>
      </c>
      <c r="C122" s="199"/>
      <c r="D122" s="200"/>
      <c r="E122" s="201">
        <f t="shared" ref="E122:I122" si="160">SUM(E120:E121)</f>
        <v>0</v>
      </c>
      <c r="F122" s="201">
        <f t="shared" si="160"/>
        <v>0</v>
      </c>
      <c r="G122" s="201">
        <f t="shared" si="160"/>
        <v>0</v>
      </c>
      <c r="H122" s="201">
        <f t="shared" si="160"/>
        <v>0</v>
      </c>
      <c r="I122" s="201">
        <f t="shared" si="160"/>
        <v>0</v>
      </c>
      <c r="J122" s="201">
        <f t="shared" si="3"/>
        <v>0</v>
      </c>
      <c r="K122" s="201">
        <f t="shared" si="4"/>
        <v>0</v>
      </c>
      <c r="L122" s="201">
        <f t="shared" si="5"/>
        <v>0</v>
      </c>
      <c r="M122" s="201">
        <f t="shared" si="6"/>
        <v>0</v>
      </c>
      <c r="N122" s="201">
        <f t="shared" ref="N122:Q122" si="161">SUM(N120:N121)</f>
        <v>0</v>
      </c>
      <c r="O122" s="201">
        <f t="shared" si="161"/>
        <v>0</v>
      </c>
      <c r="P122" s="201">
        <f t="shared" si="161"/>
        <v>0</v>
      </c>
      <c r="Q122" s="201">
        <f t="shared" si="161"/>
        <v>0</v>
      </c>
      <c r="R122" s="201">
        <f t="shared" si="9"/>
        <v>0</v>
      </c>
      <c r="S122" s="201">
        <f t="shared" si="10"/>
        <v>0</v>
      </c>
      <c r="T122" s="201">
        <f t="shared" si="11"/>
        <v>0</v>
      </c>
      <c r="U122" s="202"/>
      <c r="V122" s="201">
        <f>IFERROR(__xludf.DUMMYFUNCTION("""COMPUTED_VALUE"""),0.0)</f>
        <v>0</v>
      </c>
      <c r="W122" s="201">
        <f>IFERROR(__xludf.DUMMYFUNCTION("""COMPUTED_VALUE"""),0.0)</f>
        <v>0</v>
      </c>
      <c r="X122" s="201">
        <f>IFERROR(__xludf.DUMMYFUNCTION("""COMPUTED_VALUE"""),0.0)</f>
        <v>0</v>
      </c>
      <c r="Y122" s="201">
        <f>IFERROR(__xludf.DUMMYFUNCTION("""COMPUTED_VALUE"""),0.0)</f>
        <v>0</v>
      </c>
      <c r="Z122" s="201">
        <f t="shared" si="12"/>
        <v>0</v>
      </c>
      <c r="AA122" s="201">
        <f t="shared" si="13"/>
        <v>0</v>
      </c>
      <c r="AB122" s="201">
        <f t="shared" si="14"/>
        <v>0</v>
      </c>
    </row>
    <row r="123" ht="14.25" customHeight="1">
      <c r="A123" s="175"/>
      <c r="B123" s="208" t="s">
        <v>164</v>
      </c>
      <c r="C123" s="181"/>
      <c r="D123" s="209" t="s">
        <v>165</v>
      </c>
      <c r="E123" s="183">
        <f>SUMIFS('DB WBS'!$J:$J,'DB WBS'!$A:$A,$D$4,'DB WBS'!$D:$D,AA$1,'DB WBS'!$B:$B,$E$3,'DB WBS'!$E:$E,$B123)</f>
        <v>0</v>
      </c>
      <c r="F123" s="183">
        <f>SUMIFS('DB WBS'!$J:$J,'DB WBS'!$A:$A,$D$4,'DB WBS'!$D:$D,AA$2,'DB WBS'!$B:$B,$E$3,'DB WBS'!$E:$E,$B123)</f>
        <v>0</v>
      </c>
      <c r="G123" s="184">
        <f>IFERROR(HLOOKUP($E$3,'Tahun Lalu'!$B$5:$V$158,MATCH(B123,'Tahun Lalu'!$B$5:$B$158,0),0),0)</f>
        <v>0</v>
      </c>
      <c r="H123" s="183">
        <f>IFERROR(round(HLOOKUP('Tahun Lalu'!$D$3,RKO!$A$1:$P$171,MATCH(B123,RKO!$A$1:$A$171,0),0)*1000,0),0)</f>
        <v>0</v>
      </c>
      <c r="I123" s="183">
        <f>IFERROR(round(HLOOKUP('Tahun Lalu'!$D$3,RKAP!$A$1:$P$171,MATCH(B123,RKAP!$A$1:$A$171,0),0)*1000,0),0)</f>
        <v>0</v>
      </c>
      <c r="J123" s="183">
        <f t="shared" si="3"/>
        <v>0</v>
      </c>
      <c r="K123" s="183">
        <f t="shared" si="4"/>
        <v>0</v>
      </c>
      <c r="L123" s="183">
        <f t="shared" si="5"/>
        <v>0</v>
      </c>
      <c r="M123" s="183">
        <f t="shared" si="6"/>
        <v>0</v>
      </c>
      <c r="N123" s="183">
        <f t="shared" ref="N123:N127" si="163">E123+V123</f>
        <v>0</v>
      </c>
      <c r="O123" s="183">
        <f t="shared" ref="O123:Q123" si="162">G123+W123</f>
        <v>0</v>
      </c>
      <c r="P123" s="183">
        <f t="shared" si="162"/>
        <v>0</v>
      </c>
      <c r="Q123" s="183">
        <f t="shared" si="162"/>
        <v>0</v>
      </c>
      <c r="R123" s="183">
        <f t="shared" si="9"/>
        <v>0</v>
      </c>
      <c r="S123" s="183">
        <f t="shared" si="10"/>
        <v>0</v>
      </c>
      <c r="T123" s="183">
        <f t="shared" si="11"/>
        <v>0</v>
      </c>
      <c r="U123" s="186"/>
      <c r="V123" s="183">
        <f>IFERROR(__xludf.DUMMYFUNCTION("""COMPUTED_VALUE"""),0.0)</f>
        <v>0</v>
      </c>
      <c r="W123" s="183">
        <f>IFERROR(__xludf.DUMMYFUNCTION("""COMPUTED_VALUE"""),0.0)</f>
        <v>0</v>
      </c>
      <c r="X123" s="183">
        <f>IFERROR(__xludf.DUMMYFUNCTION("""COMPUTED_VALUE"""),0.0)</f>
        <v>0</v>
      </c>
      <c r="Y123" s="183">
        <f>IFERROR(__xludf.DUMMYFUNCTION("""COMPUTED_VALUE"""),0.0)</f>
        <v>0</v>
      </c>
      <c r="Z123" s="183">
        <f t="shared" si="12"/>
        <v>0</v>
      </c>
      <c r="AA123" s="183">
        <f t="shared" si="13"/>
        <v>0</v>
      </c>
      <c r="AB123" s="183">
        <f t="shared" si="14"/>
        <v>0</v>
      </c>
    </row>
    <row r="124" ht="14.25" customHeight="1">
      <c r="A124" s="175"/>
      <c r="B124" s="208" t="s">
        <v>865</v>
      </c>
      <c r="C124" s="181"/>
      <c r="D124" s="209" t="s">
        <v>866</v>
      </c>
      <c r="E124" s="183">
        <f>SUMIFS('DB WBS'!$J:$J,'DB WBS'!$A:$A,$D$4,'DB WBS'!$D:$D,AA$1,'DB WBS'!$B:$B,$E$3,'DB WBS'!$E:$E,$B124)</f>
        <v>0</v>
      </c>
      <c r="F124" s="183">
        <f>SUMIFS('DB WBS'!$J:$J,'DB WBS'!$A:$A,$D$4,'DB WBS'!$D:$D,AA$2,'DB WBS'!$B:$B,$E$3,'DB WBS'!$E:$E,$B124)</f>
        <v>0</v>
      </c>
      <c r="G124" s="184">
        <f>IFERROR(HLOOKUP($E$3,'Tahun Lalu'!$B$5:$V$158,MATCH(B124,'Tahun Lalu'!$B$5:$B$158,0),0),0)</f>
        <v>0</v>
      </c>
      <c r="H124" s="183">
        <f>IFERROR(round(HLOOKUP('Tahun Lalu'!$D$3,RKO!$A$1:$P$171,MATCH(B124,RKO!$A$1:$A$171,0),0)*1000,0),0)</f>
        <v>0</v>
      </c>
      <c r="I124" s="183">
        <f>IFERROR(round(HLOOKUP('Tahun Lalu'!$D$3,RKAP!$A$1:$P$171,MATCH(B124,RKAP!$A$1:$A$171,0),0)*1000,0),0)</f>
        <v>0</v>
      </c>
      <c r="J124" s="183">
        <f t="shared" si="3"/>
        <v>0</v>
      </c>
      <c r="K124" s="183">
        <f t="shared" si="4"/>
        <v>0</v>
      </c>
      <c r="L124" s="183">
        <f t="shared" si="5"/>
        <v>0</v>
      </c>
      <c r="M124" s="183">
        <f t="shared" si="6"/>
        <v>0</v>
      </c>
      <c r="N124" s="183">
        <f t="shared" si="163"/>
        <v>0</v>
      </c>
      <c r="O124" s="183">
        <f t="shared" ref="O124:Q124" si="164">G124+W124</f>
        <v>0</v>
      </c>
      <c r="P124" s="183">
        <f t="shared" si="164"/>
        <v>0</v>
      </c>
      <c r="Q124" s="183">
        <f t="shared" si="164"/>
        <v>0</v>
      </c>
      <c r="R124" s="183">
        <f t="shared" si="9"/>
        <v>0</v>
      </c>
      <c r="S124" s="183">
        <f t="shared" si="10"/>
        <v>0</v>
      </c>
      <c r="T124" s="183">
        <f t="shared" si="11"/>
        <v>0</v>
      </c>
      <c r="U124" s="186"/>
      <c r="V124" s="183">
        <f>IFERROR(__xludf.DUMMYFUNCTION("""COMPUTED_VALUE"""),0.0)</f>
        <v>0</v>
      </c>
      <c r="W124" s="183">
        <f>IFERROR(__xludf.DUMMYFUNCTION("""COMPUTED_VALUE"""),0.0)</f>
        <v>0</v>
      </c>
      <c r="X124" s="183">
        <f>IFERROR(__xludf.DUMMYFUNCTION("""COMPUTED_VALUE"""),0.0)</f>
        <v>0</v>
      </c>
      <c r="Y124" s="183">
        <f>IFERROR(__xludf.DUMMYFUNCTION("""COMPUTED_VALUE"""),0.0)</f>
        <v>0</v>
      </c>
      <c r="Z124" s="183">
        <f t="shared" si="12"/>
        <v>0</v>
      </c>
      <c r="AA124" s="183">
        <f t="shared" si="13"/>
        <v>0</v>
      </c>
      <c r="AB124" s="183">
        <f t="shared" si="14"/>
        <v>0</v>
      </c>
    </row>
    <row r="125" ht="14.25" customHeight="1">
      <c r="A125" s="175"/>
      <c r="B125" s="208" t="s">
        <v>867</v>
      </c>
      <c r="C125" s="181"/>
      <c r="D125" s="209" t="s">
        <v>868</v>
      </c>
      <c r="E125" s="183">
        <f>SUMIFS('DB WBS'!$J:$J,'DB WBS'!$A:$A,$D$4,'DB WBS'!$D:$D,AA$1,'DB WBS'!$B:$B,$E$3,'DB WBS'!$E:$E,$B125)</f>
        <v>0</v>
      </c>
      <c r="F125" s="183">
        <f>SUMIFS('DB WBS'!$J:$J,'DB WBS'!$A:$A,$D$4,'DB WBS'!$D:$D,AA$2,'DB WBS'!$B:$B,$E$3,'DB WBS'!$E:$E,$B125)</f>
        <v>0</v>
      </c>
      <c r="G125" s="184">
        <f>IFERROR(HLOOKUP($E$3,'Tahun Lalu'!$B$5:$V$158,MATCH(B125,'Tahun Lalu'!$B$5:$B$158,0),0),0)</f>
        <v>0</v>
      </c>
      <c r="H125" s="183">
        <f>IFERROR(round(HLOOKUP('Tahun Lalu'!$D$3,RKO!$A$1:$P$171,MATCH(B125,RKO!$A$1:$A$171,0),0)*1000,0),0)</f>
        <v>0</v>
      </c>
      <c r="I125" s="183">
        <f>IFERROR(round(HLOOKUP('Tahun Lalu'!$D$3,RKAP!$A$1:$P$171,MATCH(B125,RKAP!$A$1:$A$171,0),0)*1000,0),0)</f>
        <v>0</v>
      </c>
      <c r="J125" s="183">
        <f t="shared" si="3"/>
        <v>0</v>
      </c>
      <c r="K125" s="183">
        <f t="shared" si="4"/>
        <v>0</v>
      </c>
      <c r="L125" s="183">
        <f t="shared" si="5"/>
        <v>0</v>
      </c>
      <c r="M125" s="183">
        <f t="shared" si="6"/>
        <v>0</v>
      </c>
      <c r="N125" s="183">
        <f t="shared" si="163"/>
        <v>0</v>
      </c>
      <c r="O125" s="183">
        <f t="shared" ref="O125:Q125" si="165">G125+W125</f>
        <v>0</v>
      </c>
      <c r="P125" s="183">
        <f t="shared" si="165"/>
        <v>0</v>
      </c>
      <c r="Q125" s="183">
        <f t="shared" si="165"/>
        <v>0</v>
      </c>
      <c r="R125" s="183">
        <f t="shared" si="9"/>
        <v>0</v>
      </c>
      <c r="S125" s="183">
        <f t="shared" si="10"/>
        <v>0</v>
      </c>
      <c r="T125" s="183">
        <f t="shared" si="11"/>
        <v>0</v>
      </c>
      <c r="U125" s="186"/>
      <c r="V125" s="183">
        <f>IFERROR(__xludf.DUMMYFUNCTION("""COMPUTED_VALUE"""),0.0)</f>
        <v>0</v>
      </c>
      <c r="W125" s="183">
        <f>IFERROR(__xludf.DUMMYFUNCTION("""COMPUTED_VALUE"""),0.0)</f>
        <v>0</v>
      </c>
      <c r="X125" s="183">
        <f>IFERROR(__xludf.DUMMYFUNCTION("""COMPUTED_VALUE"""),0.0)</f>
        <v>0</v>
      </c>
      <c r="Y125" s="183">
        <f>IFERROR(__xludf.DUMMYFUNCTION("""COMPUTED_VALUE"""),0.0)</f>
        <v>0</v>
      </c>
      <c r="Z125" s="183">
        <f t="shared" si="12"/>
        <v>0</v>
      </c>
      <c r="AA125" s="183">
        <f t="shared" si="13"/>
        <v>0</v>
      </c>
      <c r="AB125" s="183">
        <f t="shared" si="14"/>
        <v>0</v>
      </c>
    </row>
    <row r="126" ht="14.25" customHeight="1">
      <c r="A126" s="175"/>
      <c r="B126" s="208" t="s">
        <v>869</v>
      </c>
      <c r="C126" s="181"/>
      <c r="D126" s="209" t="s">
        <v>870</v>
      </c>
      <c r="E126" s="183">
        <f>SUMIFS('DB WBS'!$J:$J,'DB WBS'!$A:$A,$D$4,'DB WBS'!$D:$D,AA$1,'DB WBS'!$B:$B,$E$3,'DB WBS'!$E:$E,$B126)</f>
        <v>0</v>
      </c>
      <c r="F126" s="183">
        <f>SUMIFS('DB WBS'!$J:$J,'DB WBS'!$A:$A,$D$4,'DB WBS'!$D:$D,AA$2,'DB WBS'!$B:$B,$E$3,'DB WBS'!$E:$E,$B126)</f>
        <v>0</v>
      </c>
      <c r="G126" s="184">
        <f>IFERROR(HLOOKUP($E$3,'Tahun Lalu'!$B$5:$V$158,MATCH(B126,'Tahun Lalu'!$B$5:$B$158,0),0),0)</f>
        <v>0</v>
      </c>
      <c r="H126" s="183">
        <f>IFERROR(round(HLOOKUP('Tahun Lalu'!$D$3,RKO!$A$1:$P$171,MATCH(B126,RKO!$A$1:$A$171,0),0)*1000,0),0)</f>
        <v>0</v>
      </c>
      <c r="I126" s="183">
        <f>IFERROR(round(HLOOKUP('Tahun Lalu'!$D$3,RKAP!$A$1:$P$171,MATCH(B126,RKAP!$A$1:$A$171,0),0)*1000,0),0)</f>
        <v>0</v>
      </c>
      <c r="J126" s="183">
        <f t="shared" si="3"/>
        <v>0</v>
      </c>
      <c r="K126" s="183">
        <f t="shared" si="4"/>
        <v>0</v>
      </c>
      <c r="L126" s="183">
        <f t="shared" si="5"/>
        <v>0</v>
      </c>
      <c r="M126" s="183">
        <f t="shared" si="6"/>
        <v>0</v>
      </c>
      <c r="N126" s="183">
        <f t="shared" si="163"/>
        <v>0</v>
      </c>
      <c r="O126" s="183">
        <f t="shared" ref="O126:Q126" si="166">G126+W126</f>
        <v>0</v>
      </c>
      <c r="P126" s="183">
        <f t="shared" si="166"/>
        <v>0</v>
      </c>
      <c r="Q126" s="183">
        <f t="shared" si="166"/>
        <v>0</v>
      </c>
      <c r="R126" s="183">
        <f t="shared" si="9"/>
        <v>0</v>
      </c>
      <c r="S126" s="183">
        <f t="shared" si="10"/>
        <v>0</v>
      </c>
      <c r="T126" s="183">
        <f t="shared" si="11"/>
        <v>0</v>
      </c>
      <c r="U126" s="186"/>
      <c r="V126" s="183">
        <f>IFERROR(__xludf.DUMMYFUNCTION("""COMPUTED_VALUE"""),0.0)</f>
        <v>0</v>
      </c>
      <c r="W126" s="183">
        <f>IFERROR(__xludf.DUMMYFUNCTION("""COMPUTED_VALUE"""),0.0)</f>
        <v>0</v>
      </c>
      <c r="X126" s="183">
        <f>IFERROR(__xludf.DUMMYFUNCTION("""COMPUTED_VALUE"""),0.0)</f>
        <v>0</v>
      </c>
      <c r="Y126" s="183">
        <f>IFERROR(__xludf.DUMMYFUNCTION("""COMPUTED_VALUE"""),0.0)</f>
        <v>0</v>
      </c>
      <c r="Z126" s="183">
        <f t="shared" si="12"/>
        <v>0</v>
      </c>
      <c r="AA126" s="183">
        <f t="shared" si="13"/>
        <v>0</v>
      </c>
      <c r="AB126" s="183">
        <f t="shared" si="14"/>
        <v>0</v>
      </c>
    </row>
    <row r="127" ht="14.25" customHeight="1">
      <c r="A127" s="175"/>
      <c r="B127" s="208"/>
      <c r="C127" s="181"/>
      <c r="D127" s="209"/>
      <c r="E127" s="183">
        <f>SUMIFS('DB WBS'!$J:$J,'DB WBS'!$A:$A,$D$4,'DB WBS'!$D:$D,AA$1,'DB WBS'!$B:$B,$E$3,'DB WBS'!$E:$E,$B127)</f>
        <v>0</v>
      </c>
      <c r="F127" s="183">
        <f>SUMIFS('DB WBS'!$J:$J,'DB WBS'!$A:$A,$D$4,'DB WBS'!$D:$D,AA$2,'DB WBS'!$B:$B,$E$3,'DB WBS'!$E:$E,$B127)</f>
        <v>0</v>
      </c>
      <c r="G127" s="184">
        <f>IFERROR(HLOOKUP($E$3,'Tahun Lalu'!$B$5:$V$158,MATCH(B127,'Tahun Lalu'!$B$5:$B$158,0),0),0)</f>
        <v>0</v>
      </c>
      <c r="H127" s="183">
        <f>IFERROR(round(HLOOKUP('Tahun Lalu'!$D$3,RKO!$A$1:$P$171,MATCH(B127,RKO!$A$1:$A$171,0),0)*1000,0),0)</f>
        <v>0</v>
      </c>
      <c r="I127" s="183">
        <f>IFERROR(round(HLOOKUP('Tahun Lalu'!$D$3,RKAP!$A$1:$P$171,MATCH(B127,RKAP!$A$1:$A$171,0),0)*1000,0),0)</f>
        <v>0</v>
      </c>
      <c r="J127" s="183">
        <f t="shared" si="3"/>
        <v>0</v>
      </c>
      <c r="K127" s="183">
        <f t="shared" si="4"/>
        <v>0</v>
      </c>
      <c r="L127" s="183">
        <f t="shared" si="5"/>
        <v>0</v>
      </c>
      <c r="M127" s="183">
        <f t="shared" si="6"/>
        <v>0</v>
      </c>
      <c r="N127" s="183">
        <f t="shared" si="163"/>
        <v>0</v>
      </c>
      <c r="O127" s="183">
        <f t="shared" ref="O127:Q127" si="167">G127+W127</f>
        <v>0</v>
      </c>
      <c r="P127" s="183">
        <f t="shared" si="167"/>
        <v>0</v>
      </c>
      <c r="Q127" s="183">
        <f t="shared" si="167"/>
        <v>0</v>
      </c>
      <c r="R127" s="183">
        <f t="shared" si="9"/>
        <v>0</v>
      </c>
      <c r="S127" s="183">
        <f t="shared" si="10"/>
        <v>0</v>
      </c>
      <c r="T127" s="183">
        <f t="shared" si="11"/>
        <v>0</v>
      </c>
      <c r="U127" s="186"/>
      <c r="V127" s="183">
        <f>IFERROR(__xludf.DUMMYFUNCTION("""COMPUTED_VALUE"""),0.0)</f>
        <v>0</v>
      </c>
      <c r="W127" s="183">
        <f>IFERROR(__xludf.DUMMYFUNCTION("""COMPUTED_VALUE"""),0.0)</f>
        <v>0</v>
      </c>
      <c r="X127" s="183">
        <f>IFERROR(__xludf.DUMMYFUNCTION("""COMPUTED_VALUE"""),0.0)</f>
        <v>0</v>
      </c>
      <c r="Y127" s="183">
        <f>IFERROR(__xludf.DUMMYFUNCTION("""COMPUTED_VALUE"""),0.0)</f>
        <v>0</v>
      </c>
      <c r="Z127" s="183">
        <f t="shared" si="12"/>
        <v>0</v>
      </c>
      <c r="AA127" s="183">
        <f t="shared" si="13"/>
        <v>0</v>
      </c>
      <c r="AB127" s="183">
        <f t="shared" si="14"/>
        <v>0</v>
      </c>
    </row>
    <row r="128" ht="14.25" customHeight="1">
      <c r="A128" s="175"/>
      <c r="B128" s="191" t="s">
        <v>871</v>
      </c>
      <c r="C128" s="199"/>
      <c r="D128" s="200"/>
      <c r="E128" s="201">
        <f t="shared" ref="E128:I128" si="168">SUM(E123:E127)</f>
        <v>0</v>
      </c>
      <c r="F128" s="201">
        <f t="shared" si="168"/>
        <v>0</v>
      </c>
      <c r="G128" s="201">
        <f t="shared" si="168"/>
        <v>0</v>
      </c>
      <c r="H128" s="201">
        <f t="shared" si="168"/>
        <v>0</v>
      </c>
      <c r="I128" s="201">
        <f t="shared" si="168"/>
        <v>0</v>
      </c>
      <c r="J128" s="201">
        <f t="shared" si="3"/>
        <v>0</v>
      </c>
      <c r="K128" s="201">
        <f t="shared" si="4"/>
        <v>0</v>
      </c>
      <c r="L128" s="201">
        <f t="shared" si="5"/>
        <v>0</v>
      </c>
      <c r="M128" s="201">
        <f t="shared" si="6"/>
        <v>0</v>
      </c>
      <c r="N128" s="201">
        <f t="shared" ref="N128:Q128" si="169">SUM(N123:N127)</f>
        <v>0</v>
      </c>
      <c r="O128" s="201">
        <f t="shared" si="169"/>
        <v>0</v>
      </c>
      <c r="P128" s="201">
        <f t="shared" si="169"/>
        <v>0</v>
      </c>
      <c r="Q128" s="201">
        <f t="shared" si="169"/>
        <v>0</v>
      </c>
      <c r="R128" s="201">
        <f t="shared" si="9"/>
        <v>0</v>
      </c>
      <c r="S128" s="201">
        <f t="shared" si="10"/>
        <v>0</v>
      </c>
      <c r="T128" s="201">
        <f t="shared" si="11"/>
        <v>0</v>
      </c>
      <c r="U128" s="202"/>
      <c r="V128" s="201">
        <f>IFERROR(__xludf.DUMMYFUNCTION("""COMPUTED_VALUE"""),0.0)</f>
        <v>0</v>
      </c>
      <c r="W128" s="201">
        <f>IFERROR(__xludf.DUMMYFUNCTION("""COMPUTED_VALUE"""),0.0)</f>
        <v>0</v>
      </c>
      <c r="X128" s="201">
        <f>IFERROR(__xludf.DUMMYFUNCTION("""COMPUTED_VALUE"""),0.0)</f>
        <v>0</v>
      </c>
      <c r="Y128" s="201">
        <f>IFERROR(__xludf.DUMMYFUNCTION("""COMPUTED_VALUE"""),0.0)</f>
        <v>0</v>
      </c>
      <c r="Z128" s="201">
        <f t="shared" si="12"/>
        <v>0</v>
      </c>
      <c r="AA128" s="201">
        <f t="shared" si="13"/>
        <v>0</v>
      </c>
      <c r="AB128" s="201">
        <f t="shared" si="14"/>
        <v>0</v>
      </c>
    </row>
    <row r="129" ht="14.25" customHeight="1">
      <c r="A129" s="175"/>
      <c r="B129" s="208" t="s">
        <v>872</v>
      </c>
      <c r="C129" s="181"/>
      <c r="D129" s="213" t="s">
        <v>873</v>
      </c>
      <c r="E129" s="183">
        <f>SUMIFS('DB WBS'!$J:$J,'DB WBS'!$A:$A,$D$4,'DB WBS'!$D:$D,AA$1,'DB WBS'!$B:$B,$E$3,'DB WBS'!$E:$E,$B129)</f>
        <v>0</v>
      </c>
      <c r="F129" s="183">
        <f>SUMIFS('DB WBS'!$J:$J,'DB WBS'!$A:$A,$D$4,'DB WBS'!$D:$D,AA$2,'DB WBS'!$B:$B,$E$3,'DB WBS'!$E:$E,$B129)</f>
        <v>0</v>
      </c>
      <c r="G129" s="184">
        <f>IFERROR(HLOOKUP($E$3,'Tahun Lalu'!$B$5:$V$158,MATCH(B129,'Tahun Lalu'!$B$5:$B$158,0),0),0)</f>
        <v>0</v>
      </c>
      <c r="H129" s="183">
        <f>IFERROR(round(HLOOKUP('Tahun Lalu'!$D$3,RKO!$A$1:$P$171,MATCH(B129,RKO!$A$1:$A$171,0),0)*1000,0),0)</f>
        <v>0</v>
      </c>
      <c r="I129" s="183">
        <f>IFERROR(round(HLOOKUP('Tahun Lalu'!$D$3,RKAP!$A$1:$P$171,MATCH(B129,RKAP!$A$1:$A$171,0),0)*1000,0),0)</f>
        <v>0</v>
      </c>
      <c r="J129" s="183">
        <f t="shared" si="3"/>
        <v>0</v>
      </c>
      <c r="K129" s="183">
        <f t="shared" si="4"/>
        <v>0</v>
      </c>
      <c r="L129" s="183">
        <f t="shared" si="5"/>
        <v>0</v>
      </c>
      <c r="M129" s="183">
        <f t="shared" si="6"/>
        <v>0</v>
      </c>
      <c r="N129" s="183">
        <f t="shared" ref="N129:N130" si="171">E129+V129</f>
        <v>0</v>
      </c>
      <c r="O129" s="183">
        <f t="shared" ref="O129:Q129" si="170">G129+W129</f>
        <v>0</v>
      </c>
      <c r="P129" s="183">
        <f t="shared" si="170"/>
        <v>0</v>
      </c>
      <c r="Q129" s="183">
        <f t="shared" si="170"/>
        <v>0</v>
      </c>
      <c r="R129" s="183">
        <f t="shared" si="9"/>
        <v>0</v>
      </c>
      <c r="S129" s="183">
        <f t="shared" si="10"/>
        <v>0</v>
      </c>
      <c r="T129" s="183">
        <f t="shared" si="11"/>
        <v>0</v>
      </c>
      <c r="U129" s="186"/>
      <c r="V129" s="183">
        <f>IFERROR(__xludf.DUMMYFUNCTION("""COMPUTED_VALUE"""),0.0)</f>
        <v>0</v>
      </c>
      <c r="W129" s="183">
        <f>IFERROR(__xludf.DUMMYFUNCTION("""COMPUTED_VALUE"""),0.0)</f>
        <v>0</v>
      </c>
      <c r="X129" s="183">
        <f>IFERROR(__xludf.DUMMYFUNCTION("""COMPUTED_VALUE"""),0.0)</f>
        <v>0</v>
      </c>
      <c r="Y129" s="183">
        <f>IFERROR(__xludf.DUMMYFUNCTION("""COMPUTED_VALUE"""),0.0)</f>
        <v>0</v>
      </c>
      <c r="Z129" s="183">
        <f t="shared" si="12"/>
        <v>0</v>
      </c>
      <c r="AA129" s="183">
        <f t="shared" si="13"/>
        <v>0</v>
      </c>
      <c r="AB129" s="183">
        <f t="shared" si="14"/>
        <v>0</v>
      </c>
    </row>
    <row r="130" ht="14.25" customHeight="1">
      <c r="A130" s="175"/>
      <c r="B130" s="208" t="s">
        <v>874</v>
      </c>
      <c r="C130" s="181"/>
      <c r="D130" s="213" t="s">
        <v>275</v>
      </c>
      <c r="E130" s="183">
        <f>SUMIFS('DB WBS'!$J:$J,'DB WBS'!$A:$A,$D$4,'DB WBS'!$D:$D,AA$1,'DB WBS'!$B:$B,$E$3,'DB WBS'!$E:$E,$B130)</f>
        <v>0</v>
      </c>
      <c r="F130" s="183">
        <f>SUMIFS('DB WBS'!$J:$J,'DB WBS'!$A:$A,$D$4,'DB WBS'!$D:$D,AA$2,'DB WBS'!$B:$B,$E$3,'DB WBS'!$E:$E,$B130)</f>
        <v>0</v>
      </c>
      <c r="G130" s="184">
        <f>IFERROR(HLOOKUP($E$3,'Tahun Lalu'!$B$5:$V$158,MATCH(B130,'Tahun Lalu'!$B$5:$B$158,0),0),0)</f>
        <v>0</v>
      </c>
      <c r="H130" s="183">
        <f>IFERROR(round(HLOOKUP('Tahun Lalu'!$D$3,RKO!$A$1:$P$171,MATCH(B130,RKO!$A$1:$A$171,0),0)*1000,0),0)</f>
        <v>0</v>
      </c>
      <c r="I130" s="183">
        <f>IFERROR(round(HLOOKUP('Tahun Lalu'!$D$3,RKAP!$A$1:$P$171,MATCH(B130,RKAP!$A$1:$A$171,0),0)*1000,0),0)</f>
        <v>0</v>
      </c>
      <c r="J130" s="183">
        <f t="shared" si="3"/>
        <v>0</v>
      </c>
      <c r="K130" s="183">
        <f t="shared" si="4"/>
        <v>0</v>
      </c>
      <c r="L130" s="183">
        <f t="shared" si="5"/>
        <v>0</v>
      </c>
      <c r="M130" s="183">
        <f t="shared" si="6"/>
        <v>0</v>
      </c>
      <c r="N130" s="183">
        <f t="shared" si="171"/>
        <v>0</v>
      </c>
      <c r="O130" s="183">
        <f t="shared" ref="O130:Q130" si="172">G130+W130</f>
        <v>0</v>
      </c>
      <c r="P130" s="183">
        <f t="shared" si="172"/>
        <v>0</v>
      </c>
      <c r="Q130" s="183">
        <f t="shared" si="172"/>
        <v>0</v>
      </c>
      <c r="R130" s="183">
        <f t="shared" si="9"/>
        <v>0</v>
      </c>
      <c r="S130" s="183">
        <f t="shared" si="10"/>
        <v>0</v>
      </c>
      <c r="T130" s="183">
        <f t="shared" si="11"/>
        <v>0</v>
      </c>
      <c r="U130" s="186"/>
      <c r="V130" s="183">
        <f>IFERROR(__xludf.DUMMYFUNCTION("""COMPUTED_VALUE"""),0.0)</f>
        <v>0</v>
      </c>
      <c r="W130" s="183">
        <f>IFERROR(__xludf.DUMMYFUNCTION("""COMPUTED_VALUE"""),0.0)</f>
        <v>0</v>
      </c>
      <c r="X130" s="183">
        <f>IFERROR(__xludf.DUMMYFUNCTION("""COMPUTED_VALUE"""),0.0)</f>
        <v>0</v>
      </c>
      <c r="Y130" s="183">
        <f>IFERROR(__xludf.DUMMYFUNCTION("""COMPUTED_VALUE"""),0.0)</f>
        <v>0</v>
      </c>
      <c r="Z130" s="183">
        <f t="shared" si="12"/>
        <v>0</v>
      </c>
      <c r="AA130" s="183">
        <f t="shared" si="13"/>
        <v>0</v>
      </c>
      <c r="AB130" s="183">
        <f t="shared" si="14"/>
        <v>0</v>
      </c>
    </row>
    <row r="131" ht="14.25" customHeight="1">
      <c r="A131" s="175"/>
      <c r="B131" s="191" t="s">
        <v>875</v>
      </c>
      <c r="C131" s="199"/>
      <c r="D131" s="200"/>
      <c r="E131" s="201">
        <f t="shared" ref="E131:I131" si="173">SUM(E129:E130)</f>
        <v>0</v>
      </c>
      <c r="F131" s="201">
        <f t="shared" si="173"/>
        <v>0</v>
      </c>
      <c r="G131" s="201">
        <f t="shared" si="173"/>
        <v>0</v>
      </c>
      <c r="H131" s="201">
        <f t="shared" si="173"/>
        <v>0</v>
      </c>
      <c r="I131" s="201">
        <f t="shared" si="173"/>
        <v>0</v>
      </c>
      <c r="J131" s="201">
        <f t="shared" si="3"/>
        <v>0</v>
      </c>
      <c r="K131" s="201">
        <f t="shared" si="4"/>
        <v>0</v>
      </c>
      <c r="L131" s="201">
        <f t="shared" si="5"/>
        <v>0</v>
      </c>
      <c r="M131" s="201">
        <f t="shared" si="6"/>
        <v>0</v>
      </c>
      <c r="N131" s="201">
        <f t="shared" ref="N131:Q131" si="174">SUM(N129:N130)</f>
        <v>0</v>
      </c>
      <c r="O131" s="201">
        <f t="shared" si="174"/>
        <v>0</v>
      </c>
      <c r="P131" s="201">
        <f t="shared" si="174"/>
        <v>0</v>
      </c>
      <c r="Q131" s="201">
        <f t="shared" si="174"/>
        <v>0</v>
      </c>
      <c r="R131" s="201">
        <f t="shared" si="9"/>
        <v>0</v>
      </c>
      <c r="S131" s="201">
        <f t="shared" si="10"/>
        <v>0</v>
      </c>
      <c r="T131" s="201">
        <f t="shared" si="11"/>
        <v>0</v>
      </c>
      <c r="U131" s="202"/>
      <c r="V131" s="201">
        <f>IFERROR(__xludf.DUMMYFUNCTION("""COMPUTED_VALUE"""),0.0)</f>
        <v>0</v>
      </c>
      <c r="W131" s="201">
        <f>IFERROR(__xludf.DUMMYFUNCTION("""COMPUTED_VALUE"""),0.0)</f>
        <v>0</v>
      </c>
      <c r="X131" s="201">
        <f>IFERROR(__xludf.DUMMYFUNCTION("""COMPUTED_VALUE"""),0.0)</f>
        <v>0</v>
      </c>
      <c r="Y131" s="201">
        <f>IFERROR(__xludf.DUMMYFUNCTION("""COMPUTED_VALUE"""),0.0)</f>
        <v>0</v>
      </c>
      <c r="Z131" s="201">
        <f t="shared" si="12"/>
        <v>0</v>
      </c>
      <c r="AA131" s="201">
        <f t="shared" si="13"/>
        <v>0</v>
      </c>
      <c r="AB131" s="201">
        <f t="shared" si="14"/>
        <v>0</v>
      </c>
    </row>
    <row r="132" ht="14.25" customHeight="1">
      <c r="A132" s="175"/>
      <c r="B132" s="204" t="s">
        <v>876</v>
      </c>
      <c r="C132" s="205"/>
      <c r="D132" s="206"/>
      <c r="E132" s="207">
        <f t="shared" ref="E132:I132" si="175">E131+E128+E122</f>
        <v>0</v>
      </c>
      <c r="F132" s="207">
        <f t="shared" si="175"/>
        <v>0</v>
      </c>
      <c r="G132" s="207">
        <f t="shared" si="175"/>
        <v>0</v>
      </c>
      <c r="H132" s="207">
        <f t="shared" si="175"/>
        <v>0</v>
      </c>
      <c r="I132" s="207">
        <f t="shared" si="175"/>
        <v>0</v>
      </c>
      <c r="J132" s="207">
        <f t="shared" si="3"/>
        <v>0</v>
      </c>
      <c r="K132" s="207">
        <f t="shared" si="4"/>
        <v>0</v>
      </c>
      <c r="L132" s="207">
        <f t="shared" si="5"/>
        <v>0</v>
      </c>
      <c r="M132" s="207">
        <f t="shared" si="6"/>
        <v>0</v>
      </c>
      <c r="N132" s="207">
        <f t="shared" ref="N132:Q132" si="176">N131+N128+N122</f>
        <v>0</v>
      </c>
      <c r="O132" s="207">
        <f t="shared" si="176"/>
        <v>0</v>
      </c>
      <c r="P132" s="207">
        <f t="shared" si="176"/>
        <v>0</v>
      </c>
      <c r="Q132" s="207">
        <f t="shared" si="176"/>
        <v>0</v>
      </c>
      <c r="R132" s="207">
        <f t="shared" si="9"/>
        <v>0</v>
      </c>
      <c r="S132" s="207">
        <f t="shared" si="10"/>
        <v>0</v>
      </c>
      <c r="T132" s="207">
        <f t="shared" si="11"/>
        <v>0</v>
      </c>
      <c r="U132" s="202"/>
      <c r="V132" s="207">
        <f>IFERROR(__xludf.DUMMYFUNCTION("""COMPUTED_VALUE"""),0.0)</f>
        <v>0</v>
      </c>
      <c r="W132" s="207">
        <f>IFERROR(__xludf.DUMMYFUNCTION("""COMPUTED_VALUE"""),0.0)</f>
        <v>0</v>
      </c>
      <c r="X132" s="207">
        <f>IFERROR(__xludf.DUMMYFUNCTION("""COMPUTED_VALUE"""),0.0)</f>
        <v>0</v>
      </c>
      <c r="Y132" s="207">
        <f>IFERROR(__xludf.DUMMYFUNCTION("""COMPUTED_VALUE"""),0.0)</f>
        <v>0</v>
      </c>
      <c r="Z132" s="207">
        <f t="shared" si="12"/>
        <v>0</v>
      </c>
      <c r="AA132" s="207">
        <f t="shared" si="13"/>
        <v>0</v>
      </c>
      <c r="AB132" s="207">
        <f t="shared" si="14"/>
        <v>0</v>
      </c>
    </row>
    <row r="133" ht="14.25" customHeight="1">
      <c r="A133" s="175"/>
      <c r="B133" s="214"/>
      <c r="C133" s="181"/>
      <c r="D133" s="213"/>
      <c r="E133" s="183">
        <f>SUMIFS('DB WBS'!$J:$J,'DB WBS'!$A:$A,$D$4,'DB WBS'!$D:$D,AA$1,'DB WBS'!$B:$B,$E$3,'DB WBS'!$E:$E,$B133)</f>
        <v>0</v>
      </c>
      <c r="F133" s="183">
        <f>SUMIFS('DB WBS'!$J:$J,'DB WBS'!$A:$A,$D$4,'DB WBS'!$D:$D,AA$2,'DB WBS'!$B:$B,$E$3,'DB WBS'!$E:$E,$B133)</f>
        <v>0</v>
      </c>
      <c r="G133" s="184">
        <f>IFERROR(HLOOKUP($E$3,'Tahun Lalu'!$B$5:$V$158,MATCH(B133,'Tahun Lalu'!$B$5:$B$158,0),0),0)</f>
        <v>0</v>
      </c>
      <c r="H133" s="183">
        <f>IFERROR(round(HLOOKUP('Tahun Lalu'!$D$3,RKO!$A$1:$P$171,MATCH(B133,RKO!$A$1:$A$171,0),0)*1000,0),0)</f>
        <v>0</v>
      </c>
      <c r="I133" s="183">
        <f>IFERROR(round(HLOOKUP('Tahun Lalu'!$D$3,RKAP!$A$1:$P$171,MATCH(B133,RKAP!$A$1:$A$171,0),0)*1000,0),0)</f>
        <v>0</v>
      </c>
      <c r="J133" s="183">
        <f t="shared" si="3"/>
        <v>0</v>
      </c>
      <c r="K133" s="183">
        <f t="shared" si="4"/>
        <v>0</v>
      </c>
      <c r="L133" s="183">
        <f t="shared" si="5"/>
        <v>0</v>
      </c>
      <c r="M133" s="183">
        <f t="shared" si="6"/>
        <v>0</v>
      </c>
      <c r="N133" s="183">
        <f t="shared" ref="N133:N138" si="178">E133+V133</f>
        <v>0</v>
      </c>
      <c r="O133" s="183">
        <f t="shared" ref="O133:Q133" si="177">G133+W133</f>
        <v>0</v>
      </c>
      <c r="P133" s="183">
        <f t="shared" si="177"/>
        <v>0</v>
      </c>
      <c r="Q133" s="183">
        <f t="shared" si="177"/>
        <v>0</v>
      </c>
      <c r="R133" s="183">
        <f t="shared" si="9"/>
        <v>0</v>
      </c>
      <c r="S133" s="183">
        <f t="shared" si="10"/>
        <v>0</v>
      </c>
      <c r="T133" s="183">
        <f t="shared" si="11"/>
        <v>0</v>
      </c>
      <c r="U133" s="186"/>
      <c r="V133" s="183">
        <f>IFERROR(__xludf.DUMMYFUNCTION("""COMPUTED_VALUE"""),0.0)</f>
        <v>0</v>
      </c>
      <c r="W133" s="183">
        <f>IFERROR(__xludf.DUMMYFUNCTION("""COMPUTED_VALUE"""),0.0)</f>
        <v>0</v>
      </c>
      <c r="X133" s="183">
        <f>IFERROR(__xludf.DUMMYFUNCTION("""COMPUTED_VALUE"""),0.0)</f>
        <v>0</v>
      </c>
      <c r="Y133" s="183">
        <f>IFERROR(__xludf.DUMMYFUNCTION("""COMPUTED_VALUE"""),0.0)</f>
        <v>0</v>
      </c>
      <c r="Z133" s="183">
        <f t="shared" si="12"/>
        <v>0</v>
      </c>
      <c r="AA133" s="183">
        <f t="shared" si="13"/>
        <v>0</v>
      </c>
      <c r="AB133" s="183">
        <f t="shared" si="14"/>
        <v>0</v>
      </c>
    </row>
    <row r="134" ht="14.25" customHeight="1">
      <c r="A134" s="175"/>
      <c r="B134" s="214"/>
      <c r="C134" s="181"/>
      <c r="D134" s="209"/>
      <c r="E134" s="183">
        <f>SUMIFS('DB WBS'!$J:$J,'DB WBS'!$A:$A,$D$4,'DB WBS'!$D:$D,AA$1,'DB WBS'!$B:$B,$E$3,'DB WBS'!$E:$E,$B134)</f>
        <v>0</v>
      </c>
      <c r="F134" s="183">
        <f>SUMIFS('DB WBS'!$J:$J,'DB WBS'!$A:$A,$D$4,'DB WBS'!$D:$D,AA$2,'DB WBS'!$B:$B,$E$3,'DB WBS'!$E:$E,$B134)</f>
        <v>0</v>
      </c>
      <c r="G134" s="184">
        <f>IFERROR(HLOOKUP($E$3,'Tahun Lalu'!$B$5:$V$158,MATCH(B134,'Tahun Lalu'!$B$5:$B$158,0),0),0)</f>
        <v>0</v>
      </c>
      <c r="H134" s="183">
        <f>IFERROR(round(HLOOKUP('Tahun Lalu'!$D$3,RKO!$A$1:$P$171,MATCH(B134,RKO!$A$1:$A$171,0),0)*1000,0),0)</f>
        <v>0</v>
      </c>
      <c r="I134" s="183">
        <f>IFERROR(round(HLOOKUP('Tahun Lalu'!$D$3,RKAP!$A$1:$P$171,MATCH(B134,RKAP!$A$1:$A$171,0),0)*1000,0),0)</f>
        <v>0</v>
      </c>
      <c r="J134" s="183">
        <f t="shared" si="3"/>
        <v>0</v>
      </c>
      <c r="K134" s="183">
        <f t="shared" si="4"/>
        <v>0</v>
      </c>
      <c r="L134" s="183">
        <f t="shared" si="5"/>
        <v>0</v>
      </c>
      <c r="M134" s="183">
        <f t="shared" si="6"/>
        <v>0</v>
      </c>
      <c r="N134" s="183">
        <f t="shared" si="178"/>
        <v>0</v>
      </c>
      <c r="O134" s="183">
        <f t="shared" ref="O134:Q134" si="179">G134+W134</f>
        <v>0</v>
      </c>
      <c r="P134" s="183">
        <f t="shared" si="179"/>
        <v>0</v>
      </c>
      <c r="Q134" s="183">
        <f t="shared" si="179"/>
        <v>0</v>
      </c>
      <c r="R134" s="183">
        <f t="shared" si="9"/>
        <v>0</v>
      </c>
      <c r="S134" s="183">
        <f t="shared" si="10"/>
        <v>0</v>
      </c>
      <c r="T134" s="183">
        <f t="shared" si="11"/>
        <v>0</v>
      </c>
      <c r="U134" s="186"/>
      <c r="V134" s="183">
        <f>IFERROR(__xludf.DUMMYFUNCTION("""COMPUTED_VALUE"""),0.0)</f>
        <v>0</v>
      </c>
      <c r="W134" s="183">
        <f>IFERROR(__xludf.DUMMYFUNCTION("""COMPUTED_VALUE"""),0.0)</f>
        <v>0</v>
      </c>
      <c r="X134" s="183">
        <f>IFERROR(__xludf.DUMMYFUNCTION("""COMPUTED_VALUE"""),0.0)</f>
        <v>0</v>
      </c>
      <c r="Y134" s="183">
        <f>IFERROR(__xludf.DUMMYFUNCTION("""COMPUTED_VALUE"""),0.0)</f>
        <v>0</v>
      </c>
      <c r="Z134" s="183">
        <f t="shared" si="12"/>
        <v>0</v>
      </c>
      <c r="AA134" s="183">
        <f t="shared" si="13"/>
        <v>0</v>
      </c>
      <c r="AB134" s="183">
        <f t="shared" si="14"/>
        <v>0</v>
      </c>
    </row>
    <row r="135" ht="14.25" customHeight="1">
      <c r="A135" s="175"/>
      <c r="B135" s="215"/>
      <c r="C135" s="216"/>
      <c r="D135" s="209"/>
      <c r="E135" s="183">
        <f>SUMIFS('DB WBS'!$J:$J,'DB WBS'!$A:$A,$D$4,'DB WBS'!$D:$D,AA$1,'DB WBS'!$B:$B,$E$3,'DB WBS'!$E:$E,$B135)</f>
        <v>0</v>
      </c>
      <c r="F135" s="183">
        <f>SUMIFS('DB WBS'!$J:$J,'DB WBS'!$A:$A,$D$4,'DB WBS'!$D:$D,AA$2,'DB WBS'!$B:$B,$E$3,'DB WBS'!$E:$E,$B135)</f>
        <v>0</v>
      </c>
      <c r="G135" s="184">
        <f>IFERROR(HLOOKUP($E$3,'Tahun Lalu'!$B$5:$V$158,MATCH(B135,'Tahun Lalu'!$B$5:$B$158,0),0),0)</f>
        <v>0</v>
      </c>
      <c r="H135" s="183">
        <f>IFERROR(round(HLOOKUP('Tahun Lalu'!$D$3,RKO!$A$1:$P$171,MATCH(B135,RKO!$A$1:$A$171,0),0)*1000,0),0)</f>
        <v>0</v>
      </c>
      <c r="I135" s="183">
        <f>IFERROR(round(HLOOKUP('Tahun Lalu'!$D$3,RKAP!$A$1:$P$171,MATCH(B135,RKAP!$A$1:$A$171,0),0)*1000,0),0)</f>
        <v>0</v>
      </c>
      <c r="J135" s="183">
        <f t="shared" si="3"/>
        <v>0</v>
      </c>
      <c r="K135" s="183">
        <f t="shared" si="4"/>
        <v>0</v>
      </c>
      <c r="L135" s="183">
        <f t="shared" si="5"/>
        <v>0</v>
      </c>
      <c r="M135" s="183">
        <f t="shared" si="6"/>
        <v>0</v>
      </c>
      <c r="N135" s="183">
        <f t="shared" si="178"/>
        <v>0</v>
      </c>
      <c r="O135" s="183">
        <f t="shared" ref="O135:Q135" si="180">G135+W135</f>
        <v>0</v>
      </c>
      <c r="P135" s="183">
        <f t="shared" si="180"/>
        <v>0</v>
      </c>
      <c r="Q135" s="183">
        <f t="shared" si="180"/>
        <v>0</v>
      </c>
      <c r="R135" s="183">
        <f t="shared" si="9"/>
        <v>0</v>
      </c>
      <c r="S135" s="183">
        <f t="shared" si="10"/>
        <v>0</v>
      </c>
      <c r="T135" s="183">
        <f t="shared" si="11"/>
        <v>0</v>
      </c>
      <c r="U135" s="186"/>
      <c r="V135" s="183">
        <f>IFERROR(__xludf.DUMMYFUNCTION("""COMPUTED_VALUE"""),0.0)</f>
        <v>0</v>
      </c>
      <c r="W135" s="183">
        <f>IFERROR(__xludf.DUMMYFUNCTION("""COMPUTED_VALUE"""),0.0)</f>
        <v>0</v>
      </c>
      <c r="X135" s="183">
        <f>IFERROR(__xludf.DUMMYFUNCTION("""COMPUTED_VALUE"""),0.0)</f>
        <v>0</v>
      </c>
      <c r="Y135" s="183">
        <f>IFERROR(__xludf.DUMMYFUNCTION("""COMPUTED_VALUE"""),0.0)</f>
        <v>0</v>
      </c>
      <c r="Z135" s="183">
        <f t="shared" si="12"/>
        <v>0</v>
      </c>
      <c r="AA135" s="183">
        <f t="shared" si="13"/>
        <v>0</v>
      </c>
      <c r="AB135" s="183">
        <f t="shared" si="14"/>
        <v>0</v>
      </c>
    </row>
    <row r="136" ht="14.25" customHeight="1">
      <c r="A136" s="175"/>
      <c r="B136" s="214"/>
      <c r="C136" s="181"/>
      <c r="D136" s="209"/>
      <c r="E136" s="183">
        <f>SUMIFS('DB WBS'!$J:$J,'DB WBS'!$A:$A,$D$4,'DB WBS'!$D:$D,AA$1,'DB WBS'!$B:$B,$E$3,'DB WBS'!$E:$E,$B136)</f>
        <v>0</v>
      </c>
      <c r="F136" s="183">
        <f>SUMIFS('DB WBS'!$J:$J,'DB WBS'!$A:$A,$D$4,'DB WBS'!$D:$D,AA$2,'DB WBS'!$B:$B,$E$3,'DB WBS'!$E:$E,$B136)</f>
        <v>0</v>
      </c>
      <c r="G136" s="184">
        <f>IFERROR(HLOOKUP($E$3,'Tahun Lalu'!$B$5:$V$158,MATCH(B136,'Tahun Lalu'!$B$5:$B$158,0),0),0)</f>
        <v>0</v>
      </c>
      <c r="H136" s="183">
        <f>IFERROR(round(HLOOKUP('Tahun Lalu'!$D$3,RKO!$A$1:$P$171,MATCH(B136,RKO!$A$1:$A$171,0),0)*1000,0),0)</f>
        <v>0</v>
      </c>
      <c r="I136" s="183">
        <f>IFERROR(round(HLOOKUP('Tahun Lalu'!$D$3,RKAP!$A$1:$P$171,MATCH(B136,RKAP!$A$1:$A$171,0),0)*1000,0),0)</f>
        <v>0</v>
      </c>
      <c r="J136" s="183">
        <f t="shared" si="3"/>
        <v>0</v>
      </c>
      <c r="K136" s="183">
        <f t="shared" si="4"/>
        <v>0</v>
      </c>
      <c r="L136" s="183">
        <f t="shared" si="5"/>
        <v>0</v>
      </c>
      <c r="M136" s="183">
        <f t="shared" si="6"/>
        <v>0</v>
      </c>
      <c r="N136" s="183">
        <f t="shared" si="178"/>
        <v>0</v>
      </c>
      <c r="O136" s="183">
        <f t="shared" ref="O136:Q136" si="181">G136+W136</f>
        <v>0</v>
      </c>
      <c r="P136" s="183">
        <f t="shared" si="181"/>
        <v>0</v>
      </c>
      <c r="Q136" s="183">
        <f t="shared" si="181"/>
        <v>0</v>
      </c>
      <c r="R136" s="183">
        <f t="shared" si="9"/>
        <v>0</v>
      </c>
      <c r="S136" s="183">
        <f t="shared" si="10"/>
        <v>0</v>
      </c>
      <c r="T136" s="183">
        <f t="shared" si="11"/>
        <v>0</v>
      </c>
      <c r="U136" s="186"/>
      <c r="V136" s="183">
        <f>IFERROR(__xludf.DUMMYFUNCTION("""COMPUTED_VALUE"""),0.0)</f>
        <v>0</v>
      </c>
      <c r="W136" s="183">
        <f>IFERROR(__xludf.DUMMYFUNCTION("""COMPUTED_VALUE"""),0.0)</f>
        <v>0</v>
      </c>
      <c r="X136" s="183">
        <f>IFERROR(__xludf.DUMMYFUNCTION("""COMPUTED_VALUE"""),0.0)</f>
        <v>0</v>
      </c>
      <c r="Y136" s="183">
        <f>IFERROR(__xludf.DUMMYFUNCTION("""COMPUTED_VALUE"""),0.0)</f>
        <v>0</v>
      </c>
      <c r="Z136" s="183">
        <f t="shared" si="12"/>
        <v>0</v>
      </c>
      <c r="AA136" s="183">
        <f t="shared" si="13"/>
        <v>0</v>
      </c>
      <c r="AB136" s="183">
        <f t="shared" si="14"/>
        <v>0</v>
      </c>
    </row>
    <row r="137" ht="14.25" customHeight="1">
      <c r="A137" s="175"/>
      <c r="B137" s="214"/>
      <c r="C137" s="181"/>
      <c r="D137" s="209"/>
      <c r="E137" s="183">
        <f>SUMIFS('DB WBS'!$J:$J,'DB WBS'!$A:$A,$D$4,'DB WBS'!$D:$D,AA$1,'DB WBS'!$B:$B,$E$3,'DB WBS'!$E:$E,$B137)</f>
        <v>0</v>
      </c>
      <c r="F137" s="183">
        <f>SUMIFS('DB WBS'!$J:$J,'DB WBS'!$A:$A,$D$4,'DB WBS'!$D:$D,AA$2,'DB WBS'!$B:$B,$E$3,'DB WBS'!$E:$E,$B137)</f>
        <v>0</v>
      </c>
      <c r="G137" s="184">
        <f>IFERROR(HLOOKUP($E$3,'Tahun Lalu'!$B$5:$V$158,MATCH(B137,'Tahun Lalu'!$B$5:$B$158,0),0),0)</f>
        <v>0</v>
      </c>
      <c r="H137" s="183">
        <f>IFERROR(round(HLOOKUP('Tahun Lalu'!$D$3,RKO!$A$1:$P$171,MATCH(B137,RKO!$A$1:$A$171,0),0)*1000,0),0)</f>
        <v>0</v>
      </c>
      <c r="I137" s="183">
        <f>IFERROR(round(HLOOKUP('Tahun Lalu'!$D$3,RKAP!$A$1:$P$171,MATCH(B137,RKAP!$A$1:$A$171,0),0)*1000,0),0)</f>
        <v>0</v>
      </c>
      <c r="J137" s="183">
        <f t="shared" si="3"/>
        <v>0</v>
      </c>
      <c r="K137" s="183">
        <f t="shared" si="4"/>
        <v>0</v>
      </c>
      <c r="L137" s="183">
        <f t="shared" si="5"/>
        <v>0</v>
      </c>
      <c r="M137" s="183">
        <f t="shared" si="6"/>
        <v>0</v>
      </c>
      <c r="N137" s="183">
        <f t="shared" si="178"/>
        <v>0</v>
      </c>
      <c r="O137" s="183">
        <f t="shared" ref="O137:Q137" si="182">G137+W137</f>
        <v>0</v>
      </c>
      <c r="P137" s="183">
        <f t="shared" si="182"/>
        <v>0</v>
      </c>
      <c r="Q137" s="183">
        <f t="shared" si="182"/>
        <v>0</v>
      </c>
      <c r="R137" s="183">
        <f t="shared" si="9"/>
        <v>0</v>
      </c>
      <c r="S137" s="183">
        <f t="shared" si="10"/>
        <v>0</v>
      </c>
      <c r="T137" s="183">
        <f t="shared" si="11"/>
        <v>0</v>
      </c>
      <c r="U137" s="186"/>
      <c r="V137" s="183">
        <f>IFERROR(__xludf.DUMMYFUNCTION("""COMPUTED_VALUE"""),0.0)</f>
        <v>0</v>
      </c>
      <c r="W137" s="183">
        <f>IFERROR(__xludf.DUMMYFUNCTION("""COMPUTED_VALUE"""),0.0)</f>
        <v>0</v>
      </c>
      <c r="X137" s="183">
        <f>IFERROR(__xludf.DUMMYFUNCTION("""COMPUTED_VALUE"""),0.0)</f>
        <v>0</v>
      </c>
      <c r="Y137" s="183">
        <f>IFERROR(__xludf.DUMMYFUNCTION("""COMPUTED_VALUE"""),0.0)</f>
        <v>0</v>
      </c>
      <c r="Z137" s="183">
        <f t="shared" si="12"/>
        <v>0</v>
      </c>
      <c r="AA137" s="183">
        <f t="shared" si="13"/>
        <v>0</v>
      </c>
      <c r="AB137" s="183">
        <f t="shared" si="14"/>
        <v>0</v>
      </c>
    </row>
    <row r="138" ht="14.25" customHeight="1">
      <c r="A138" s="175"/>
      <c r="B138" s="215"/>
      <c r="C138" s="216"/>
      <c r="D138" s="209"/>
      <c r="E138" s="183">
        <f>SUMIFS('DB WBS'!$J:$J,'DB WBS'!$A:$A,$D$4,'DB WBS'!$D:$D,AA$1,'DB WBS'!$B:$B,$E$3,'DB WBS'!$E:$E,$B138)</f>
        <v>0</v>
      </c>
      <c r="F138" s="183">
        <f>SUMIFS('DB WBS'!$J:$J,'DB WBS'!$A:$A,$D$4,'DB WBS'!$D:$D,AA$2,'DB WBS'!$B:$B,$E$3,'DB WBS'!$E:$E,$B138)</f>
        <v>0</v>
      </c>
      <c r="G138" s="184">
        <f>IFERROR(HLOOKUP($E$3,'Tahun Lalu'!$B$5:$V$158,MATCH(B138,'Tahun Lalu'!$B$5:$B$158,0),0),0)</f>
        <v>0</v>
      </c>
      <c r="H138" s="183">
        <f>IFERROR(round(HLOOKUP('Tahun Lalu'!$D$3,RKO!$A$1:$P$171,MATCH(B138,RKO!$A$1:$A$171,0),0)*1000,0),0)</f>
        <v>0</v>
      </c>
      <c r="I138" s="183">
        <f>IFERROR(round(HLOOKUP('Tahun Lalu'!$D$3,RKAP!$A$1:$P$171,MATCH(B138,RKAP!$A$1:$A$171,0),0)*1000,0),0)</f>
        <v>0</v>
      </c>
      <c r="J138" s="183">
        <f t="shared" si="3"/>
        <v>0</v>
      </c>
      <c r="K138" s="183">
        <f t="shared" si="4"/>
        <v>0</v>
      </c>
      <c r="L138" s="183">
        <f t="shared" si="5"/>
        <v>0</v>
      </c>
      <c r="M138" s="183">
        <f t="shared" si="6"/>
        <v>0</v>
      </c>
      <c r="N138" s="183">
        <f t="shared" si="178"/>
        <v>0</v>
      </c>
      <c r="O138" s="183">
        <f t="shared" ref="O138:Q138" si="183">G138+W138</f>
        <v>0</v>
      </c>
      <c r="P138" s="183">
        <f t="shared" si="183"/>
        <v>0</v>
      </c>
      <c r="Q138" s="183">
        <f t="shared" si="183"/>
        <v>0</v>
      </c>
      <c r="R138" s="183">
        <f t="shared" si="9"/>
        <v>0</v>
      </c>
      <c r="S138" s="183">
        <f t="shared" si="10"/>
        <v>0</v>
      </c>
      <c r="T138" s="183">
        <f t="shared" si="11"/>
        <v>0</v>
      </c>
      <c r="U138" s="186"/>
      <c r="V138" s="183">
        <f>IFERROR(__xludf.DUMMYFUNCTION("""COMPUTED_VALUE"""),0.0)</f>
        <v>0</v>
      </c>
      <c r="W138" s="183">
        <f>IFERROR(__xludf.DUMMYFUNCTION("""COMPUTED_VALUE"""),0.0)</f>
        <v>0</v>
      </c>
      <c r="X138" s="183">
        <f>IFERROR(__xludf.DUMMYFUNCTION("""COMPUTED_VALUE"""),0.0)</f>
        <v>0</v>
      </c>
      <c r="Y138" s="183">
        <f>IFERROR(__xludf.DUMMYFUNCTION("""COMPUTED_VALUE"""),0.0)</f>
        <v>0</v>
      </c>
      <c r="Z138" s="183">
        <f t="shared" si="12"/>
        <v>0</v>
      </c>
      <c r="AA138" s="183">
        <f t="shared" si="13"/>
        <v>0</v>
      </c>
      <c r="AB138" s="183">
        <f t="shared" si="14"/>
        <v>0</v>
      </c>
    </row>
    <row r="139" ht="14.25" customHeight="1">
      <c r="A139" s="175"/>
      <c r="B139" s="191" t="s">
        <v>877</v>
      </c>
      <c r="C139" s="199"/>
      <c r="D139" s="200"/>
      <c r="E139" s="201">
        <f t="shared" ref="E139:I139" si="184">SUM(E133:E138)</f>
        <v>0</v>
      </c>
      <c r="F139" s="201">
        <f t="shared" si="184"/>
        <v>0</v>
      </c>
      <c r="G139" s="201">
        <f t="shared" si="184"/>
        <v>0</v>
      </c>
      <c r="H139" s="201">
        <f t="shared" si="184"/>
        <v>0</v>
      </c>
      <c r="I139" s="201">
        <f t="shared" si="184"/>
        <v>0</v>
      </c>
      <c r="J139" s="201">
        <f t="shared" si="3"/>
        <v>0</v>
      </c>
      <c r="K139" s="201">
        <f t="shared" si="4"/>
        <v>0</v>
      </c>
      <c r="L139" s="201">
        <f t="shared" si="5"/>
        <v>0</v>
      </c>
      <c r="M139" s="201">
        <f t="shared" si="6"/>
        <v>0</v>
      </c>
      <c r="N139" s="201">
        <f t="shared" ref="N139:Q139" si="185">SUM(N133:N138)</f>
        <v>0</v>
      </c>
      <c r="O139" s="201">
        <f t="shared" si="185"/>
        <v>0</v>
      </c>
      <c r="P139" s="201">
        <f t="shared" si="185"/>
        <v>0</v>
      </c>
      <c r="Q139" s="201">
        <f t="shared" si="185"/>
        <v>0</v>
      </c>
      <c r="R139" s="201">
        <f t="shared" si="9"/>
        <v>0</v>
      </c>
      <c r="S139" s="201">
        <f t="shared" si="10"/>
        <v>0</v>
      </c>
      <c r="T139" s="201">
        <f t="shared" si="11"/>
        <v>0</v>
      </c>
      <c r="U139" s="202"/>
      <c r="V139" s="201">
        <f>IFERROR(__xludf.DUMMYFUNCTION("""COMPUTED_VALUE"""),0.0)</f>
        <v>0</v>
      </c>
      <c r="W139" s="201">
        <f>IFERROR(__xludf.DUMMYFUNCTION("""COMPUTED_VALUE"""),0.0)</f>
        <v>0</v>
      </c>
      <c r="X139" s="201">
        <f>IFERROR(__xludf.DUMMYFUNCTION("""COMPUTED_VALUE"""),0.0)</f>
        <v>0</v>
      </c>
      <c r="Y139" s="201">
        <f>IFERROR(__xludf.DUMMYFUNCTION("""COMPUTED_VALUE"""),0.0)</f>
        <v>0</v>
      </c>
      <c r="Z139" s="201">
        <f t="shared" si="12"/>
        <v>0</v>
      </c>
      <c r="AA139" s="201">
        <f t="shared" si="13"/>
        <v>0</v>
      </c>
      <c r="AB139" s="201">
        <f t="shared" si="14"/>
        <v>0</v>
      </c>
    </row>
    <row r="140" ht="14.25" customHeight="1">
      <c r="A140" s="175"/>
      <c r="B140" s="208" t="s">
        <v>142</v>
      </c>
      <c r="C140" s="181" t="s">
        <v>417</v>
      </c>
      <c r="D140" s="217" t="s">
        <v>143</v>
      </c>
      <c r="E140" s="183">
        <f>SUMIFS('DB WBS'!$J:$J,'DB WBS'!$A:$A,$D$4,'DB WBS'!$D:$D,AA$1,'DB WBS'!$B:$B,$E$3,'DB WBS'!$E:$E,$B140)</f>
        <v>0</v>
      </c>
      <c r="F140" s="183">
        <f>SUMIFS('DB WBS'!$J:$J,'DB WBS'!$A:$A,$D$4,'DB WBS'!$D:$D,AA$2,'DB WBS'!$B:$B,$E$3,'DB WBS'!$E:$E,$B140)</f>
        <v>0</v>
      </c>
      <c r="G140" s="184">
        <f>IFERROR(HLOOKUP($E$3,'Tahun Lalu'!$B$5:$V$158,MATCH(B140,'Tahun Lalu'!$B$5:$B$158,0),0),0)</f>
        <v>0</v>
      </c>
      <c r="H140" s="183">
        <f>IFERROR(round(HLOOKUP('Tahun Lalu'!$D$3,RKO!$A$1:$P$171,MATCH(B140,RKO!$A$1:$A$171,0),0)*1000,0),0)</f>
        <v>0</v>
      </c>
      <c r="I140" s="183">
        <f>IFERROR(round(HLOOKUP('Tahun Lalu'!$D$3,RKAP!$A$1:$P$171,MATCH(B140,RKAP!$A$1:$A$171,0),0)*1000,0),0)</f>
        <v>0</v>
      </c>
      <c r="J140" s="210">
        <f t="shared" si="3"/>
        <v>0</v>
      </c>
      <c r="K140" s="183">
        <f t="shared" si="4"/>
        <v>0</v>
      </c>
      <c r="L140" s="183">
        <f t="shared" si="5"/>
        <v>0</v>
      </c>
      <c r="M140" s="183">
        <f t="shared" si="6"/>
        <v>0</v>
      </c>
      <c r="N140" s="183">
        <f t="shared" ref="N140:N146" si="187">E140+V140</f>
        <v>0</v>
      </c>
      <c r="O140" s="183">
        <f t="shared" ref="O140:Q140" si="186">G140+W140</f>
        <v>4148535</v>
      </c>
      <c r="P140" s="183">
        <f t="shared" si="186"/>
        <v>0</v>
      </c>
      <c r="Q140" s="183">
        <f t="shared" si="186"/>
        <v>0</v>
      </c>
      <c r="R140" s="210">
        <f t="shared" si="9"/>
        <v>0</v>
      </c>
      <c r="S140" s="183">
        <f t="shared" si="10"/>
        <v>0</v>
      </c>
      <c r="T140" s="183">
        <f t="shared" si="11"/>
        <v>0</v>
      </c>
      <c r="U140" s="186"/>
      <c r="V140" s="183">
        <f>IFERROR(__xludf.DUMMYFUNCTION("""COMPUTED_VALUE"""),0.0)</f>
        <v>0</v>
      </c>
      <c r="W140" s="183">
        <f>IFERROR(__xludf.DUMMYFUNCTION("""COMPUTED_VALUE"""),4148535.0)</f>
        <v>4148535</v>
      </c>
      <c r="X140" s="183">
        <f>IFERROR(__xludf.DUMMYFUNCTION("""COMPUTED_VALUE"""),0.0)</f>
        <v>0</v>
      </c>
      <c r="Y140" s="183">
        <f>IFERROR(__xludf.DUMMYFUNCTION("""COMPUTED_VALUE"""),0.0)</f>
        <v>0</v>
      </c>
      <c r="Z140" s="210">
        <f t="shared" si="12"/>
        <v>0</v>
      </c>
      <c r="AA140" s="183">
        <f t="shared" si="13"/>
        <v>0</v>
      </c>
      <c r="AB140" s="183">
        <f t="shared" si="14"/>
        <v>0</v>
      </c>
    </row>
    <row r="141" ht="14.25" customHeight="1">
      <c r="A141" s="175"/>
      <c r="B141" s="208" t="s">
        <v>878</v>
      </c>
      <c r="C141" s="181"/>
      <c r="D141" s="217" t="s">
        <v>134</v>
      </c>
      <c r="E141" s="183">
        <f>SUMIFS('DB WBS'!$J:$J,'DB WBS'!$A:$A,$D$4,'DB WBS'!$D:$D,AA$1,'DB WBS'!$B:$B,$E$3,'DB WBS'!$E:$E,$B141)</f>
        <v>0</v>
      </c>
      <c r="F141" s="183">
        <f>SUMIFS('DB WBS'!$J:$J,'DB WBS'!$A:$A,$D$4,'DB WBS'!$D:$D,AA$2,'DB WBS'!$B:$B,$E$3,'DB WBS'!$E:$E,$B141)</f>
        <v>0</v>
      </c>
      <c r="G141" s="184">
        <f>IFERROR(HLOOKUP($E$3,'Tahun Lalu'!$B$5:$V$158,MATCH(B141,'Tahun Lalu'!$B$5:$B$158,0),0),0)</f>
        <v>0</v>
      </c>
      <c r="H141" s="183">
        <f>IFERROR(round(HLOOKUP('Tahun Lalu'!$D$3,RKO!$A$1:$P$171,MATCH(B141,RKO!$A$1:$A$171,0),0)*1000,0),0)</f>
        <v>0</v>
      </c>
      <c r="I141" s="183">
        <f>IFERROR(round(HLOOKUP('Tahun Lalu'!$D$3,RKAP!$A$1:$P$171,MATCH(B141,RKAP!$A$1:$A$171,0),0)*1000,0),0)</f>
        <v>0</v>
      </c>
      <c r="J141" s="183">
        <f t="shared" si="3"/>
        <v>0</v>
      </c>
      <c r="K141" s="183">
        <f t="shared" si="4"/>
        <v>0</v>
      </c>
      <c r="L141" s="183">
        <f t="shared" si="5"/>
        <v>0</v>
      </c>
      <c r="M141" s="183">
        <f t="shared" si="6"/>
        <v>0</v>
      </c>
      <c r="N141" s="183">
        <f t="shared" si="187"/>
        <v>0</v>
      </c>
      <c r="O141" s="183">
        <f t="shared" ref="O141:Q141" si="188">G141+W141</f>
        <v>0</v>
      </c>
      <c r="P141" s="183">
        <f t="shared" si="188"/>
        <v>0</v>
      </c>
      <c r="Q141" s="183">
        <f t="shared" si="188"/>
        <v>0</v>
      </c>
      <c r="R141" s="183">
        <f t="shared" si="9"/>
        <v>0</v>
      </c>
      <c r="S141" s="183">
        <f t="shared" si="10"/>
        <v>0</v>
      </c>
      <c r="T141" s="183">
        <f t="shared" si="11"/>
        <v>0</v>
      </c>
      <c r="U141" s="186"/>
      <c r="V141" s="183">
        <f>IFERROR(__xludf.DUMMYFUNCTION("""COMPUTED_VALUE"""),0.0)</f>
        <v>0</v>
      </c>
      <c r="W141" s="183">
        <f>IFERROR(__xludf.DUMMYFUNCTION("""COMPUTED_VALUE"""),0.0)</f>
        <v>0</v>
      </c>
      <c r="X141" s="183">
        <f>IFERROR(__xludf.DUMMYFUNCTION("""COMPUTED_VALUE"""),0.0)</f>
        <v>0</v>
      </c>
      <c r="Y141" s="183">
        <f>IFERROR(__xludf.DUMMYFUNCTION("""COMPUTED_VALUE"""),0.0)</f>
        <v>0</v>
      </c>
      <c r="Z141" s="183">
        <f t="shared" si="12"/>
        <v>0</v>
      </c>
      <c r="AA141" s="183">
        <f t="shared" si="13"/>
        <v>0</v>
      </c>
      <c r="AB141" s="183">
        <f t="shared" si="14"/>
        <v>0</v>
      </c>
    </row>
    <row r="142" ht="14.25" customHeight="1">
      <c r="A142" s="175"/>
      <c r="B142" s="208" t="s">
        <v>45</v>
      </c>
      <c r="C142" s="181"/>
      <c r="D142" s="217" t="s">
        <v>46</v>
      </c>
      <c r="E142" s="183">
        <f>SUMIFS('DB WBS'!$J:$J,'DB WBS'!$A:$A,$D$4,'DB WBS'!$D:$D,AA$1,'DB WBS'!$B:$B,$E$3,'DB WBS'!$E:$E,$B142)</f>
        <v>16011168</v>
      </c>
      <c r="F142" s="183">
        <f>SUMIFS('DB WBS'!$J:$J,'DB WBS'!$A:$A,$D$4,'DB WBS'!$D:$D,AA$2,'DB WBS'!$B:$B,$E$3,'DB WBS'!$E:$E,$B142)</f>
        <v>19859439</v>
      </c>
      <c r="G142" s="184">
        <f>IFERROR(HLOOKUP($E$3,'Tahun Lalu'!$B$5:$V$158,MATCH(B142,'Tahun Lalu'!$B$5:$B$158,0),0),0)</f>
        <v>17010551</v>
      </c>
      <c r="H142" s="183">
        <f>IFERROR(round(HLOOKUP('Tahun Lalu'!$D$3,RKO!$A$1:$P$171,MATCH(B142,RKO!$A$1:$A$171,0),0)*1000,0),0)</f>
        <v>0</v>
      </c>
      <c r="I142" s="183">
        <f>IFERROR(round(HLOOKUP('Tahun Lalu'!$D$3,RKAP!$A$1:$P$171,MATCH(B142,RKAP!$A$1:$A$171,0),0)*1000,0),0)</f>
        <v>0</v>
      </c>
      <c r="J142" s="183">
        <f t="shared" si="3"/>
        <v>80.62245867</v>
      </c>
      <c r="K142" s="183">
        <f t="shared" si="4"/>
        <v>94.12492282</v>
      </c>
      <c r="L142" s="183">
        <f t="shared" si="5"/>
        <v>0</v>
      </c>
      <c r="M142" s="183">
        <f t="shared" si="6"/>
        <v>0</v>
      </c>
      <c r="N142" s="183">
        <f t="shared" si="187"/>
        <v>80958030</v>
      </c>
      <c r="O142" s="183">
        <f t="shared" ref="O142:Q142" si="189">G142+W142</f>
        <v>93390635</v>
      </c>
      <c r="P142" s="183">
        <f t="shared" si="189"/>
        <v>0</v>
      </c>
      <c r="Q142" s="183">
        <f t="shared" si="189"/>
        <v>0</v>
      </c>
      <c r="R142" s="183">
        <f t="shared" si="9"/>
        <v>86.68752493</v>
      </c>
      <c r="S142" s="183">
        <f t="shared" si="10"/>
        <v>0</v>
      </c>
      <c r="T142" s="183">
        <f t="shared" si="11"/>
        <v>0</v>
      </c>
      <c r="U142" s="186"/>
      <c r="V142" s="183">
        <f>IFERROR(__xludf.DUMMYFUNCTION("""COMPUTED_VALUE"""),6.4946862E7)</f>
        <v>64946862</v>
      </c>
      <c r="W142" s="183">
        <f>IFERROR(__xludf.DUMMYFUNCTION("""COMPUTED_VALUE"""),7.6380084E7)</f>
        <v>76380084</v>
      </c>
      <c r="X142" s="183">
        <f>IFERROR(__xludf.DUMMYFUNCTION("""COMPUTED_VALUE"""),0.0)</f>
        <v>0</v>
      </c>
      <c r="Y142" s="183">
        <f>IFERROR(__xludf.DUMMYFUNCTION("""COMPUTED_VALUE"""),0.0)</f>
        <v>0</v>
      </c>
      <c r="Z142" s="183">
        <f t="shared" si="12"/>
        <v>85.03114765</v>
      </c>
      <c r="AA142" s="183">
        <f t="shared" si="13"/>
        <v>0</v>
      </c>
      <c r="AB142" s="183">
        <f t="shared" si="14"/>
        <v>0</v>
      </c>
    </row>
    <row r="143" ht="14.25" customHeight="1">
      <c r="A143" s="175"/>
      <c r="B143" s="218" t="s">
        <v>879</v>
      </c>
      <c r="C143" s="181"/>
      <c r="D143" s="217" t="s">
        <v>880</v>
      </c>
      <c r="E143" s="183">
        <f>SUMIFS('DB WBS'!$J:$J,'DB WBS'!$A:$A,$D$4,'DB WBS'!$D:$D,AA$1,'DB WBS'!$B:$B,$E$3,'DB WBS'!$E:$E,$B143)</f>
        <v>0</v>
      </c>
      <c r="F143" s="183">
        <f>SUMIFS('DB WBS'!$J:$J,'DB WBS'!$A:$A,$D$4,'DB WBS'!$D:$D,AA$2,'DB WBS'!$B:$B,$E$3,'DB WBS'!$E:$E,$B143)</f>
        <v>0</v>
      </c>
      <c r="G143" s="184">
        <f>IFERROR(HLOOKUP($E$3,'Tahun Lalu'!$B$5:$V$158,MATCH(B143,'Tahun Lalu'!$B$5:$B$158,0),0),0)</f>
        <v>0</v>
      </c>
      <c r="H143" s="183">
        <f>IFERROR(round(HLOOKUP('Tahun Lalu'!$D$3,RKO!$A$1:$P$171,MATCH(B143,RKO!$A$1:$A$171,0),0)*1000,0),0)</f>
        <v>0</v>
      </c>
      <c r="I143" s="183">
        <f>IFERROR(round(HLOOKUP('Tahun Lalu'!$D$3,RKAP!$A$1:$P$171,MATCH(B143,RKAP!$A$1:$A$171,0),0)*1000,0),0)</f>
        <v>0</v>
      </c>
      <c r="J143" s="183">
        <f t="shared" si="3"/>
        <v>0</v>
      </c>
      <c r="K143" s="183">
        <f t="shared" si="4"/>
        <v>0</v>
      </c>
      <c r="L143" s="183">
        <f t="shared" si="5"/>
        <v>0</v>
      </c>
      <c r="M143" s="183">
        <f t="shared" si="6"/>
        <v>0</v>
      </c>
      <c r="N143" s="183">
        <f t="shared" si="187"/>
        <v>0</v>
      </c>
      <c r="O143" s="183">
        <f t="shared" ref="O143:Q143" si="190">G143+W143</f>
        <v>0</v>
      </c>
      <c r="P143" s="183">
        <f t="shared" si="190"/>
        <v>0</v>
      </c>
      <c r="Q143" s="183">
        <f t="shared" si="190"/>
        <v>0</v>
      </c>
      <c r="R143" s="183">
        <f t="shared" si="9"/>
        <v>0</v>
      </c>
      <c r="S143" s="183">
        <f t="shared" si="10"/>
        <v>0</v>
      </c>
      <c r="T143" s="183">
        <f t="shared" si="11"/>
        <v>0</v>
      </c>
      <c r="U143" s="186"/>
      <c r="V143" s="183">
        <f>IFERROR(__xludf.DUMMYFUNCTION("""COMPUTED_VALUE"""),0.0)</f>
        <v>0</v>
      </c>
      <c r="W143" s="183">
        <f>IFERROR(__xludf.DUMMYFUNCTION("""COMPUTED_VALUE"""),0.0)</f>
        <v>0</v>
      </c>
      <c r="X143" s="183">
        <f>IFERROR(__xludf.DUMMYFUNCTION("""COMPUTED_VALUE"""),0.0)</f>
        <v>0</v>
      </c>
      <c r="Y143" s="183">
        <f>IFERROR(__xludf.DUMMYFUNCTION("""COMPUTED_VALUE"""),0.0)</f>
        <v>0</v>
      </c>
      <c r="Z143" s="183">
        <f t="shared" si="12"/>
        <v>0</v>
      </c>
      <c r="AA143" s="183">
        <f t="shared" si="13"/>
        <v>0</v>
      </c>
      <c r="AB143" s="183">
        <f t="shared" si="14"/>
        <v>0</v>
      </c>
    </row>
    <row r="144" ht="14.25" customHeight="1">
      <c r="A144" s="175"/>
      <c r="B144" s="219" t="s">
        <v>70</v>
      </c>
      <c r="C144" s="181"/>
      <c r="D144" s="217" t="s">
        <v>71</v>
      </c>
      <c r="E144" s="183">
        <f>SUMIFS('DB WBS'!$J:$J,'DB WBS'!$A:$A,$D$4,'DB WBS'!$D:$D,AA$1,'DB WBS'!$B:$B,$E$3,'DB WBS'!$E:$E,$B144)</f>
        <v>0</v>
      </c>
      <c r="F144" s="183">
        <f>SUMIFS('DB WBS'!$J:$J,'DB WBS'!$A:$A,$D$4,'DB WBS'!$D:$D,AA$2,'DB WBS'!$B:$B,$E$3,'DB WBS'!$E:$E,$B144)</f>
        <v>0</v>
      </c>
      <c r="G144" s="184">
        <f>IFERROR(HLOOKUP($E$3,'Tahun Lalu'!$B$5:$V$158,MATCH(B144,'Tahun Lalu'!$B$5:$B$158,0),0),0)</f>
        <v>0</v>
      </c>
      <c r="H144" s="183">
        <f>IFERROR(round(HLOOKUP('Tahun Lalu'!$D$3,RKO!$A$1:$P$171,MATCH(B144,RKO!$A$1:$A$171,0),0)*1000,0),0)</f>
        <v>41457711</v>
      </c>
      <c r="I144" s="183">
        <f>IFERROR(round(HLOOKUP('Tahun Lalu'!$D$3,RKAP!$A$1:$P$171,MATCH(B144,RKAP!$A$1:$A$171,0),0)*1000,0),0)</f>
        <v>41457711</v>
      </c>
      <c r="J144" s="183">
        <f t="shared" si="3"/>
        <v>0</v>
      </c>
      <c r="K144" s="183">
        <f t="shared" si="4"/>
        <v>0</v>
      </c>
      <c r="L144" s="183">
        <f t="shared" si="5"/>
        <v>0</v>
      </c>
      <c r="M144" s="183">
        <f t="shared" si="6"/>
        <v>0</v>
      </c>
      <c r="N144" s="183">
        <f t="shared" si="187"/>
        <v>0</v>
      </c>
      <c r="O144" s="183">
        <f t="shared" ref="O144:Q144" si="191">G144+W144</f>
        <v>0</v>
      </c>
      <c r="P144" s="183">
        <f t="shared" si="191"/>
        <v>254930812</v>
      </c>
      <c r="Q144" s="183">
        <f t="shared" si="191"/>
        <v>254930812</v>
      </c>
      <c r="R144" s="183">
        <f t="shared" si="9"/>
        <v>0</v>
      </c>
      <c r="S144" s="183">
        <f t="shared" si="10"/>
        <v>0</v>
      </c>
      <c r="T144" s="183">
        <f t="shared" si="11"/>
        <v>0</v>
      </c>
      <c r="U144" s="186"/>
      <c r="V144" s="183">
        <f>IFERROR(__xludf.DUMMYFUNCTION("""COMPUTED_VALUE"""),0.0)</f>
        <v>0</v>
      </c>
      <c r="W144" s="183">
        <f>IFERROR(__xludf.DUMMYFUNCTION("""COMPUTED_VALUE"""),0.0)</f>
        <v>0</v>
      </c>
      <c r="X144" s="183">
        <f>IFERROR(__xludf.DUMMYFUNCTION("""COMPUTED_VALUE"""),2.13473101E8)</f>
        <v>213473101</v>
      </c>
      <c r="Y144" s="183">
        <f>IFERROR(__xludf.DUMMYFUNCTION("""COMPUTED_VALUE"""),2.13473101E8)</f>
        <v>213473101</v>
      </c>
      <c r="Z144" s="183">
        <f t="shared" si="12"/>
        <v>0</v>
      </c>
      <c r="AA144" s="183">
        <f t="shared" si="13"/>
        <v>0</v>
      </c>
      <c r="AB144" s="183">
        <f t="shared" si="14"/>
        <v>0</v>
      </c>
    </row>
    <row r="145" ht="14.25" customHeight="1">
      <c r="A145" s="175"/>
      <c r="B145" s="219" t="s">
        <v>47</v>
      </c>
      <c r="C145" s="181"/>
      <c r="D145" s="217" t="s">
        <v>48</v>
      </c>
      <c r="E145" s="183">
        <f>SUMIFS('DB WBS'!$J:$J,'DB WBS'!$A:$A,$D$4,'DB WBS'!$D:$D,AA$1,'DB WBS'!$B:$B,$E$3,'DB WBS'!$E:$E,$B145)</f>
        <v>30312085</v>
      </c>
      <c r="F145" s="183">
        <f>SUMIFS('DB WBS'!$J:$J,'DB WBS'!$A:$A,$D$4,'DB WBS'!$D:$D,AA$2,'DB WBS'!$B:$B,$E$3,'DB WBS'!$E:$E,$B145)</f>
        <v>26321376</v>
      </c>
      <c r="G145" s="184">
        <f>IFERROR(HLOOKUP($E$3,'Tahun Lalu'!$B$5:$V$158,MATCH(B145,'Tahun Lalu'!$B$5:$B$158,0),0),0)</f>
        <v>33682647</v>
      </c>
      <c r="H145" s="183">
        <f>IFERROR(round(HLOOKUP('Tahun Lalu'!$D$3,RKO!$A$1:$P$171,MATCH(B145,RKO!$A$1:$A$171,0),0)*1000,0),0)</f>
        <v>0</v>
      </c>
      <c r="I145" s="183">
        <f>IFERROR(round(HLOOKUP('Tahun Lalu'!$D$3,RKAP!$A$1:$P$171,MATCH(B145,RKAP!$A$1:$A$171,0),0)*1000,0),0)</f>
        <v>0</v>
      </c>
      <c r="J145" s="183">
        <f t="shared" si="3"/>
        <v>115.1614756</v>
      </c>
      <c r="K145" s="183">
        <f t="shared" si="4"/>
        <v>89.99317957</v>
      </c>
      <c r="L145" s="183">
        <f t="shared" si="5"/>
        <v>0</v>
      </c>
      <c r="M145" s="183">
        <f t="shared" si="6"/>
        <v>0</v>
      </c>
      <c r="N145" s="183">
        <f t="shared" si="187"/>
        <v>146788416</v>
      </c>
      <c r="O145" s="183">
        <f t="shared" ref="O145:Q145" si="192">G145+W145</f>
        <v>159594301</v>
      </c>
      <c r="P145" s="183">
        <f t="shared" si="192"/>
        <v>0</v>
      </c>
      <c r="Q145" s="183">
        <f t="shared" si="192"/>
        <v>0</v>
      </c>
      <c r="R145" s="183">
        <f t="shared" si="9"/>
        <v>91.97597601</v>
      </c>
      <c r="S145" s="183">
        <f t="shared" si="10"/>
        <v>0</v>
      </c>
      <c r="T145" s="183">
        <f t="shared" si="11"/>
        <v>0</v>
      </c>
      <c r="U145" s="186"/>
      <c r="V145" s="183">
        <f>IFERROR(__xludf.DUMMYFUNCTION("""COMPUTED_VALUE"""),1.16476331E8)</f>
        <v>116476331</v>
      </c>
      <c r="W145" s="183">
        <f>IFERROR(__xludf.DUMMYFUNCTION("""COMPUTED_VALUE"""),1.25911654E8)</f>
        <v>125911654</v>
      </c>
      <c r="X145" s="183">
        <f>IFERROR(__xludf.DUMMYFUNCTION("""COMPUTED_VALUE"""),0.0)</f>
        <v>0</v>
      </c>
      <c r="Y145" s="183">
        <f>IFERROR(__xludf.DUMMYFUNCTION("""COMPUTED_VALUE"""),0.0)</f>
        <v>0</v>
      </c>
      <c r="Z145" s="183">
        <f t="shared" si="12"/>
        <v>92.50639421</v>
      </c>
      <c r="AA145" s="183">
        <f t="shared" si="13"/>
        <v>0</v>
      </c>
      <c r="AB145" s="183">
        <f t="shared" si="14"/>
        <v>0</v>
      </c>
    </row>
    <row r="146" ht="14.25" customHeight="1">
      <c r="A146" s="175"/>
      <c r="B146" s="219"/>
      <c r="C146" s="181"/>
      <c r="D146" s="220"/>
      <c r="E146" s="183">
        <f>SUMIFS('DB WBS'!$J:$J,'DB WBS'!$A:$A,$D$4,'DB WBS'!$D:$D,AA$1,'DB WBS'!$B:$B,$E$3,'DB WBS'!$E:$E,$B146)</f>
        <v>0</v>
      </c>
      <c r="F146" s="183">
        <f>SUMIFS('DB WBS'!$J:$J,'DB WBS'!$A:$A,$D$4,'DB WBS'!$D:$D,AA$2,'DB WBS'!$B:$B,$E$3,'DB WBS'!$E:$E,$B146)</f>
        <v>0</v>
      </c>
      <c r="G146" s="184">
        <f>IFERROR(HLOOKUP($E$3,'Tahun Lalu'!$B$5:$V$158,MATCH(B146,'Tahun Lalu'!$B$5:$B$158,0),0),0)</f>
        <v>0</v>
      </c>
      <c r="H146" s="183">
        <f>IFERROR(round(HLOOKUP('Tahun Lalu'!$D$3,RKO!$A$1:$P$171,MATCH(B146,RKO!$A$1:$A$171,0),0)*1000,0),0)</f>
        <v>0</v>
      </c>
      <c r="I146" s="183">
        <f>IFERROR(round(HLOOKUP('Tahun Lalu'!$D$3,RKAP!$A$1:$P$171,MATCH(B146,RKAP!$A$1:$A$171,0),0)*1000,0),0)</f>
        <v>0</v>
      </c>
      <c r="J146" s="183">
        <f t="shared" si="3"/>
        <v>0</v>
      </c>
      <c r="K146" s="183">
        <f t="shared" si="4"/>
        <v>0</v>
      </c>
      <c r="L146" s="183">
        <f t="shared" si="5"/>
        <v>0</v>
      </c>
      <c r="M146" s="183">
        <f t="shared" si="6"/>
        <v>0</v>
      </c>
      <c r="N146" s="183">
        <f t="shared" si="187"/>
        <v>0</v>
      </c>
      <c r="O146" s="183">
        <f t="shared" ref="O146:Q146" si="193">G146+W146</f>
        <v>0</v>
      </c>
      <c r="P146" s="183">
        <f t="shared" si="193"/>
        <v>0</v>
      </c>
      <c r="Q146" s="183">
        <f t="shared" si="193"/>
        <v>0</v>
      </c>
      <c r="R146" s="183">
        <f t="shared" si="9"/>
        <v>0</v>
      </c>
      <c r="S146" s="183">
        <f t="shared" si="10"/>
        <v>0</v>
      </c>
      <c r="T146" s="183">
        <f t="shared" si="11"/>
        <v>0</v>
      </c>
      <c r="U146" s="186"/>
      <c r="V146" s="183">
        <f>IFERROR(__xludf.DUMMYFUNCTION("""COMPUTED_VALUE"""),0.0)</f>
        <v>0</v>
      </c>
      <c r="W146" s="183">
        <f>IFERROR(__xludf.DUMMYFUNCTION("""COMPUTED_VALUE"""),0.0)</f>
        <v>0</v>
      </c>
      <c r="X146" s="183">
        <f>IFERROR(__xludf.DUMMYFUNCTION("""COMPUTED_VALUE"""),0.0)</f>
        <v>0</v>
      </c>
      <c r="Y146" s="183">
        <f>IFERROR(__xludf.DUMMYFUNCTION("""COMPUTED_VALUE"""),0.0)</f>
        <v>0</v>
      </c>
      <c r="Z146" s="183">
        <f t="shared" si="12"/>
        <v>0</v>
      </c>
      <c r="AA146" s="183">
        <f t="shared" si="13"/>
        <v>0</v>
      </c>
      <c r="AB146" s="183">
        <f t="shared" si="14"/>
        <v>0</v>
      </c>
    </row>
    <row r="147" ht="14.25" customHeight="1">
      <c r="A147" s="175"/>
      <c r="B147" s="212" t="s">
        <v>881</v>
      </c>
      <c r="C147" s="199"/>
      <c r="D147" s="200"/>
      <c r="E147" s="201">
        <f t="shared" ref="E147:I147" si="194">SUM(E140:E146)</f>
        <v>46323253</v>
      </c>
      <c r="F147" s="201">
        <f t="shared" si="194"/>
        <v>46180815</v>
      </c>
      <c r="G147" s="201">
        <f t="shared" si="194"/>
        <v>50693198</v>
      </c>
      <c r="H147" s="201">
        <f t="shared" si="194"/>
        <v>41457711</v>
      </c>
      <c r="I147" s="201">
        <f t="shared" si="194"/>
        <v>41457711</v>
      </c>
      <c r="J147" s="201">
        <f t="shared" si="3"/>
        <v>100.3084354</v>
      </c>
      <c r="K147" s="201">
        <f t="shared" si="4"/>
        <v>91.37962257</v>
      </c>
      <c r="L147" s="201">
        <f t="shared" si="5"/>
        <v>111.7361569</v>
      </c>
      <c r="M147" s="201">
        <f t="shared" si="6"/>
        <v>111.7361569</v>
      </c>
      <c r="N147" s="201">
        <f t="shared" ref="N147:Q147" si="195">SUM(N140:N146)</f>
        <v>227746446</v>
      </c>
      <c r="O147" s="201">
        <f t="shared" si="195"/>
        <v>257133471</v>
      </c>
      <c r="P147" s="201">
        <f t="shared" si="195"/>
        <v>254930812</v>
      </c>
      <c r="Q147" s="201">
        <f t="shared" si="195"/>
        <v>254930812</v>
      </c>
      <c r="R147" s="201">
        <f t="shared" si="9"/>
        <v>88.57129533</v>
      </c>
      <c r="S147" s="201">
        <f t="shared" si="10"/>
        <v>89.33657105</v>
      </c>
      <c r="T147" s="201">
        <f t="shared" si="11"/>
        <v>89.33657105</v>
      </c>
      <c r="U147" s="202"/>
      <c r="V147" s="201">
        <f>IFERROR(__xludf.DUMMYFUNCTION("""COMPUTED_VALUE"""),1.81423193E8)</f>
        <v>181423193</v>
      </c>
      <c r="W147" s="201">
        <f>IFERROR(__xludf.DUMMYFUNCTION("""COMPUTED_VALUE"""),2.06440273E8)</f>
        <v>206440273</v>
      </c>
      <c r="X147" s="201">
        <f>IFERROR(__xludf.DUMMYFUNCTION("""COMPUTED_VALUE"""),2.13473101E8)</f>
        <v>213473101</v>
      </c>
      <c r="Y147" s="201">
        <f>IFERROR(__xludf.DUMMYFUNCTION("""COMPUTED_VALUE"""),2.13473101E8)</f>
        <v>213473101</v>
      </c>
      <c r="Z147" s="201">
        <f t="shared" si="12"/>
        <v>87.88168624</v>
      </c>
      <c r="AA147" s="201">
        <f t="shared" si="13"/>
        <v>84.98644192</v>
      </c>
      <c r="AB147" s="201">
        <f t="shared" si="14"/>
        <v>84.98644192</v>
      </c>
    </row>
    <row r="148" ht="14.25" customHeight="1">
      <c r="A148" s="175"/>
      <c r="B148" s="204" t="s">
        <v>882</v>
      </c>
      <c r="C148" s="205"/>
      <c r="D148" s="206"/>
      <c r="E148" s="207">
        <f t="shared" ref="E148:I148" si="196">E147+E139</f>
        <v>46323253</v>
      </c>
      <c r="F148" s="207">
        <f t="shared" si="196"/>
        <v>46180815</v>
      </c>
      <c r="G148" s="207">
        <f t="shared" si="196"/>
        <v>50693198</v>
      </c>
      <c r="H148" s="207">
        <f t="shared" si="196"/>
        <v>41457711</v>
      </c>
      <c r="I148" s="207">
        <f t="shared" si="196"/>
        <v>41457711</v>
      </c>
      <c r="J148" s="207">
        <f t="shared" si="3"/>
        <v>100.3084354</v>
      </c>
      <c r="K148" s="207">
        <f t="shared" si="4"/>
        <v>91.37962257</v>
      </c>
      <c r="L148" s="207">
        <f t="shared" si="5"/>
        <v>111.7361569</v>
      </c>
      <c r="M148" s="207">
        <f t="shared" si="6"/>
        <v>111.7361569</v>
      </c>
      <c r="N148" s="207">
        <f t="shared" ref="N148:Q148" si="197">N147+N139</f>
        <v>227746446</v>
      </c>
      <c r="O148" s="207">
        <f t="shared" si="197"/>
        <v>257133471</v>
      </c>
      <c r="P148" s="207">
        <f t="shared" si="197"/>
        <v>254930812</v>
      </c>
      <c r="Q148" s="207">
        <f t="shared" si="197"/>
        <v>254930812</v>
      </c>
      <c r="R148" s="207">
        <f t="shared" si="9"/>
        <v>88.57129533</v>
      </c>
      <c r="S148" s="207">
        <f t="shared" si="10"/>
        <v>89.33657105</v>
      </c>
      <c r="T148" s="207">
        <f t="shared" si="11"/>
        <v>89.33657105</v>
      </c>
      <c r="U148" s="202"/>
      <c r="V148" s="207">
        <f>IFERROR(__xludf.DUMMYFUNCTION("""COMPUTED_VALUE"""),1.81423193E8)</f>
        <v>181423193</v>
      </c>
      <c r="W148" s="207">
        <f>IFERROR(__xludf.DUMMYFUNCTION("""COMPUTED_VALUE"""),2.06440273E8)</f>
        <v>206440273</v>
      </c>
      <c r="X148" s="207">
        <f>IFERROR(__xludf.DUMMYFUNCTION("""COMPUTED_VALUE"""),2.13473101E8)</f>
        <v>213473101</v>
      </c>
      <c r="Y148" s="207">
        <f>IFERROR(__xludf.DUMMYFUNCTION("""COMPUTED_VALUE"""),2.13473101E8)</f>
        <v>213473101</v>
      </c>
      <c r="Z148" s="207">
        <f t="shared" si="12"/>
        <v>87.88168624</v>
      </c>
      <c r="AA148" s="207">
        <f t="shared" si="13"/>
        <v>84.98644192</v>
      </c>
      <c r="AB148" s="207">
        <f t="shared" si="14"/>
        <v>84.98644192</v>
      </c>
    </row>
    <row r="149" ht="14.25" customHeight="1">
      <c r="A149" s="175"/>
      <c r="B149" s="221" t="s">
        <v>883</v>
      </c>
      <c r="C149" s="222"/>
      <c r="D149" s="223"/>
      <c r="E149" s="224">
        <f t="shared" ref="E149:I149" si="198">E148+E132+E119+E77+E10+E12</f>
        <v>674561482</v>
      </c>
      <c r="F149" s="224">
        <f t="shared" si="198"/>
        <v>1259189001</v>
      </c>
      <c r="G149" s="224">
        <f t="shared" si="198"/>
        <v>711190514</v>
      </c>
      <c r="H149" s="224">
        <f t="shared" si="198"/>
        <v>805044637</v>
      </c>
      <c r="I149" s="224">
        <f t="shared" si="198"/>
        <v>805044637</v>
      </c>
      <c r="J149" s="224">
        <f t="shared" si="3"/>
        <v>53.5711066</v>
      </c>
      <c r="K149" s="224">
        <f t="shared" si="4"/>
        <v>94.84961747</v>
      </c>
      <c r="L149" s="224">
        <f t="shared" si="5"/>
        <v>83.79181116</v>
      </c>
      <c r="M149" s="224">
        <f t="shared" si="6"/>
        <v>83.79181116</v>
      </c>
      <c r="N149" s="224">
        <f t="shared" ref="N149:Q149" si="199">N148+N132+N119+N77+N10+N12</f>
        <v>3373062578</v>
      </c>
      <c r="O149" s="224">
        <f t="shared" si="199"/>
        <v>3428233235</v>
      </c>
      <c r="P149" s="224">
        <f t="shared" si="199"/>
        <v>4621659687</v>
      </c>
      <c r="Q149" s="224">
        <f t="shared" si="199"/>
        <v>4621659687</v>
      </c>
      <c r="R149" s="224">
        <f t="shared" si="9"/>
        <v>98.3906971</v>
      </c>
      <c r="S149" s="224">
        <f t="shared" si="10"/>
        <v>72.98379384</v>
      </c>
      <c r="T149" s="224">
        <f t="shared" si="11"/>
        <v>72.98379384</v>
      </c>
      <c r="U149" s="225"/>
      <c r="V149" s="224">
        <f>IFERROR(__xludf.DUMMYFUNCTION("""COMPUTED_VALUE"""),2.698501096E9)</f>
        <v>2698501096</v>
      </c>
      <c r="W149" s="224">
        <f>IFERROR(__xludf.DUMMYFUNCTION("""COMPUTED_VALUE"""),2.717042721E9)</f>
        <v>2717042721</v>
      </c>
      <c r="X149" s="224">
        <f>IFERROR(__xludf.DUMMYFUNCTION("""COMPUTED_VALUE"""),3.81661505E9)</f>
        <v>3816615050</v>
      </c>
      <c r="Y149" s="224">
        <f>IFERROR(__xludf.DUMMYFUNCTION("""COMPUTED_VALUE"""),3.81661505E9)</f>
        <v>3816615050</v>
      </c>
      <c r="Z149" s="224">
        <f t="shared" si="12"/>
        <v>99.31758066</v>
      </c>
      <c r="AA149" s="224">
        <f t="shared" si="13"/>
        <v>70.70404169</v>
      </c>
      <c r="AB149" s="224">
        <f t="shared" si="14"/>
        <v>70.70404169</v>
      </c>
    </row>
    <row r="150" ht="14.25" customHeight="1">
      <c r="A150" s="175"/>
      <c r="B150" s="226"/>
      <c r="C150" s="177"/>
      <c r="D150" s="178" t="s">
        <v>884</v>
      </c>
      <c r="E150" s="227"/>
      <c r="F150" s="227"/>
      <c r="G150" s="227"/>
      <c r="H150" s="228"/>
      <c r="I150" s="228"/>
      <c r="J150" s="227">
        <f t="shared" si="3"/>
        <v>0</v>
      </c>
      <c r="K150" s="227">
        <f t="shared" si="4"/>
        <v>0</v>
      </c>
      <c r="L150" s="228">
        <f t="shared" si="5"/>
        <v>0</v>
      </c>
      <c r="M150" s="228">
        <f t="shared" si="6"/>
        <v>0</v>
      </c>
      <c r="N150" s="227"/>
      <c r="O150" s="227"/>
      <c r="P150" s="228"/>
      <c r="Q150" s="228"/>
      <c r="R150" s="227">
        <f t="shared" si="9"/>
        <v>0</v>
      </c>
      <c r="S150" s="227">
        <f t="shared" si="10"/>
        <v>0</v>
      </c>
      <c r="T150" s="228">
        <f t="shared" si="11"/>
        <v>0</v>
      </c>
      <c r="U150" s="229"/>
      <c r="V150" s="227"/>
      <c r="W150" s="227"/>
      <c r="X150" s="228"/>
      <c r="Y150" s="228"/>
      <c r="Z150" s="227">
        <f t="shared" si="12"/>
        <v>0</v>
      </c>
      <c r="AA150" s="227">
        <f t="shared" si="13"/>
        <v>0</v>
      </c>
      <c r="AB150" s="228">
        <f t="shared" si="14"/>
        <v>0</v>
      </c>
    </row>
    <row r="151" ht="14.25" customHeight="1">
      <c r="A151" s="175"/>
      <c r="B151" s="230" t="s">
        <v>526</v>
      </c>
      <c r="D151" s="209" t="s">
        <v>885</v>
      </c>
      <c r="E151" s="183">
        <f>SUMIFS('DB BTL'!$J:$J,'DB BTL'!$G:$G,$B151,'DB BTL'!$A:$A,$D$4,'DB BTL'!$B:$B,$E$3,'DB BTL'!$D:$D,AA$1)</f>
        <v>0</v>
      </c>
      <c r="F151" s="183">
        <f>SUMIFS('DB BTL'!$J:$J,'DB BTL'!$G:$G,$B151,'DB BTL'!$A:$A,$D$4,'DB BTL'!$B:$B,$E$3,'DB BTL'!$D:$D,AA$2)</f>
        <v>0</v>
      </c>
      <c r="G151" s="184">
        <f>IFERROR(HLOOKUP($E$3,'Tahun Lalu'!$B$5:$V$158,MATCH(B151,'Tahun Lalu'!$B$5:$B$158,0),0),0)</f>
        <v>0</v>
      </c>
      <c r="H151" s="183">
        <f>IFERROR(round(HLOOKUP('Tahun Lalu'!$D$3,RKO!$A$1:$P$171,MATCH(B151,RKO!$A$1:$A$171,0),0)*1000,0),0)</f>
        <v>0</v>
      </c>
      <c r="I151" s="183">
        <f>IFERROR(round(HLOOKUP('Tahun Lalu'!$D$3,RKAP!$A$1:$P$171,MATCH(B151,RKAP!$A$1:$A$171,0),0)*1000,0),0)</f>
        <v>0</v>
      </c>
      <c r="J151" s="183">
        <f t="shared" si="3"/>
        <v>0</v>
      </c>
      <c r="K151" s="183">
        <f t="shared" si="4"/>
        <v>0</v>
      </c>
      <c r="L151" s="183">
        <f t="shared" si="5"/>
        <v>0</v>
      </c>
      <c r="M151" s="183">
        <f t="shared" si="6"/>
        <v>0</v>
      </c>
      <c r="N151" s="183">
        <f t="shared" ref="N151:N164" si="201">E151+V151</f>
        <v>0</v>
      </c>
      <c r="O151" s="183">
        <f t="shared" ref="O151:Q151" si="200">G151+W151</f>
        <v>0</v>
      </c>
      <c r="P151" s="183">
        <f t="shared" si="200"/>
        <v>0</v>
      </c>
      <c r="Q151" s="183">
        <f t="shared" si="200"/>
        <v>0</v>
      </c>
      <c r="R151" s="183">
        <f t="shared" si="9"/>
        <v>0</v>
      </c>
      <c r="S151" s="183">
        <f t="shared" si="10"/>
        <v>0</v>
      </c>
      <c r="T151" s="183">
        <f t="shared" si="11"/>
        <v>0</v>
      </c>
      <c r="U151" s="186"/>
      <c r="V151" s="183">
        <f>IFERROR(__xludf.DUMMYFUNCTION("""COMPUTED_VALUE"""),0.0)</f>
        <v>0</v>
      </c>
      <c r="W151" s="183">
        <f>IFERROR(__xludf.DUMMYFUNCTION("""COMPUTED_VALUE"""),0.0)</f>
        <v>0</v>
      </c>
      <c r="X151" s="183">
        <f>IFERROR(__xludf.DUMMYFUNCTION("""COMPUTED_VALUE"""),0.0)</f>
        <v>0</v>
      </c>
      <c r="Y151" s="183">
        <f>IFERROR(__xludf.DUMMYFUNCTION("""COMPUTED_VALUE"""),0.0)</f>
        <v>0</v>
      </c>
      <c r="Z151" s="183">
        <f t="shared" si="12"/>
        <v>0</v>
      </c>
      <c r="AA151" s="183">
        <f t="shared" si="13"/>
        <v>0</v>
      </c>
      <c r="AB151" s="183">
        <f t="shared" si="14"/>
        <v>0</v>
      </c>
    </row>
    <row r="152" ht="14.25" customHeight="1">
      <c r="A152" s="231"/>
      <c r="B152" s="232" t="s">
        <v>503</v>
      </c>
      <c r="D152" s="209" t="s">
        <v>886</v>
      </c>
      <c r="E152" s="183">
        <f>SUMIFS('DB BTL'!$J:$J,'DB BTL'!$G:$G,$B152,'DB BTL'!$A:$A,$D$4,'DB BTL'!$B:$B,$E$3,'DB BTL'!$D:$D,AA$1)</f>
        <v>211541937</v>
      </c>
      <c r="F152" s="183">
        <f>SUMIFS('DB BTL'!$J:$J,'DB BTL'!$G:$G,$B152,'DB BTL'!$A:$A,$D$4,'DB BTL'!$B:$B,$E$3,'DB BTL'!$D:$D,AA$2)</f>
        <v>211541934</v>
      </c>
      <c r="G152" s="184">
        <f>IFERROR(HLOOKUP($E$3,'Tahun Lalu'!$B$5:$V$158,MATCH(B152,'Tahun Lalu'!$B$5:$B$158,0),0),0)</f>
        <v>211541937</v>
      </c>
      <c r="H152" s="183">
        <f>IFERROR(round(HLOOKUP('Tahun Lalu'!$D$3,RKO!$A$1:$P$171,MATCH(B152,RKO!$A$1:$A$171,0),0)*1000,0),0)</f>
        <v>211541933</v>
      </c>
      <c r="I152" s="183">
        <f>IFERROR(round(HLOOKUP('Tahun Lalu'!$D$3,RKAP!$A$1:$P$171,MATCH(B152,RKAP!$A$1:$A$171,0),0)*1000,0),0)</f>
        <v>211542000</v>
      </c>
      <c r="J152" s="183">
        <f t="shared" si="3"/>
        <v>100.0000014</v>
      </c>
      <c r="K152" s="183">
        <f t="shared" si="4"/>
        <v>100</v>
      </c>
      <c r="L152" s="183">
        <f t="shared" si="5"/>
        <v>100.0000019</v>
      </c>
      <c r="M152" s="183">
        <f t="shared" si="6"/>
        <v>99.99997022</v>
      </c>
      <c r="N152" s="183">
        <f t="shared" si="201"/>
        <v>1057709675</v>
      </c>
      <c r="O152" s="183">
        <f t="shared" ref="O152:Q152" si="202">G152+W152</f>
        <v>1057709675</v>
      </c>
      <c r="P152" s="183">
        <f t="shared" si="202"/>
        <v>1057709665</v>
      </c>
      <c r="Q152" s="183">
        <f t="shared" si="202"/>
        <v>1057710000</v>
      </c>
      <c r="R152" s="183">
        <f t="shared" si="9"/>
        <v>100</v>
      </c>
      <c r="S152" s="183">
        <f t="shared" si="10"/>
        <v>100.0000009</v>
      </c>
      <c r="T152" s="183">
        <f t="shared" si="11"/>
        <v>99.99996927</v>
      </c>
      <c r="U152" s="186"/>
      <c r="V152" s="183">
        <f>IFERROR(__xludf.DUMMYFUNCTION("""COMPUTED_VALUE"""),8.46167738E8)</f>
        <v>846167738</v>
      </c>
      <c r="W152" s="183">
        <f>IFERROR(__xludf.DUMMYFUNCTION("""COMPUTED_VALUE"""),8.46167738E8)</f>
        <v>846167738</v>
      </c>
      <c r="X152" s="183">
        <f>IFERROR(__xludf.DUMMYFUNCTION("""COMPUTED_VALUE"""),8.46167732E8)</f>
        <v>846167732</v>
      </c>
      <c r="Y152" s="183">
        <f>IFERROR(__xludf.DUMMYFUNCTION("""COMPUTED_VALUE"""),8.46168E8)</f>
        <v>846168000</v>
      </c>
      <c r="Z152" s="183">
        <f t="shared" si="12"/>
        <v>100</v>
      </c>
      <c r="AA152" s="183">
        <f t="shared" si="13"/>
        <v>100.0000007</v>
      </c>
      <c r="AB152" s="183">
        <f t="shared" si="14"/>
        <v>99.99996904</v>
      </c>
    </row>
    <row r="153" ht="14.25" customHeight="1">
      <c r="A153" s="175"/>
      <c r="B153" s="230" t="s">
        <v>505</v>
      </c>
      <c r="D153" s="209" t="s">
        <v>887</v>
      </c>
      <c r="E153" s="183">
        <f>SUMIFS('DB BTL'!$J:$J,'DB BTL'!$G:$G,$B153,'DB BTL'!$A:$A,$D$4,'DB BTL'!$B:$B,$E$3,'DB BTL'!$D:$D,AA$1)</f>
        <v>20819374</v>
      </c>
      <c r="F153" s="183">
        <f>SUMIFS('DB BTL'!$J:$J,'DB BTL'!$G:$G,$B153,'DB BTL'!$A:$A,$D$4,'DB BTL'!$B:$B,$E$3,'DB BTL'!$D:$D,AA$2)</f>
        <v>20819376</v>
      </c>
      <c r="G153" s="184">
        <f>IFERROR(HLOOKUP($E$3,'Tahun Lalu'!$B$5:$V$158,MATCH(B153,'Tahun Lalu'!$B$5:$B$158,0),0),0)</f>
        <v>20819376</v>
      </c>
      <c r="H153" s="183">
        <f>IFERROR(round(HLOOKUP('Tahun Lalu'!$D$3,RKO!$A$1:$P$171,MATCH(B153,RKO!$A$1:$A$171,0),0)*1000,0),0)</f>
        <v>0</v>
      </c>
      <c r="I153" s="183">
        <f>IFERROR(round(HLOOKUP('Tahun Lalu'!$D$3,RKAP!$A$1:$P$171,MATCH(B153,RKAP!$A$1:$A$171,0),0)*1000,0),0)</f>
        <v>20819000</v>
      </c>
      <c r="J153" s="183">
        <f t="shared" si="3"/>
        <v>99.99999039</v>
      </c>
      <c r="K153" s="183">
        <f t="shared" si="4"/>
        <v>99.99999039</v>
      </c>
      <c r="L153" s="183">
        <f t="shared" si="5"/>
        <v>0</v>
      </c>
      <c r="M153" s="183">
        <f t="shared" si="6"/>
        <v>100.0017964</v>
      </c>
      <c r="N153" s="183">
        <f t="shared" si="201"/>
        <v>104096874</v>
      </c>
      <c r="O153" s="183">
        <f t="shared" ref="O153:Q153" si="203">G153+W153</f>
        <v>104096874</v>
      </c>
      <c r="P153" s="183">
        <f t="shared" si="203"/>
        <v>0</v>
      </c>
      <c r="Q153" s="183">
        <f t="shared" si="203"/>
        <v>104095000</v>
      </c>
      <c r="R153" s="183">
        <f t="shared" si="9"/>
        <v>100</v>
      </c>
      <c r="S153" s="183">
        <f t="shared" si="10"/>
        <v>0</v>
      </c>
      <c r="T153" s="183">
        <f t="shared" si="11"/>
        <v>100.0018003</v>
      </c>
      <c r="U153" s="186"/>
      <c r="V153" s="183">
        <f>IFERROR(__xludf.DUMMYFUNCTION("""COMPUTED_VALUE"""),8.32775E7)</f>
        <v>83277500</v>
      </c>
      <c r="W153" s="183">
        <f>IFERROR(__xludf.DUMMYFUNCTION("""COMPUTED_VALUE"""),8.3277498E7)</f>
        <v>83277498</v>
      </c>
      <c r="X153" s="183">
        <f>IFERROR(__xludf.DUMMYFUNCTION("""COMPUTED_VALUE"""),0.0)</f>
        <v>0</v>
      </c>
      <c r="Y153" s="183">
        <f>IFERROR(__xludf.DUMMYFUNCTION("""COMPUTED_VALUE"""),8.3276E7)</f>
        <v>83276000</v>
      </c>
      <c r="Z153" s="183">
        <f t="shared" si="12"/>
        <v>100.0000024</v>
      </c>
      <c r="AA153" s="183">
        <f t="shared" si="13"/>
        <v>0</v>
      </c>
      <c r="AB153" s="183">
        <f t="shared" si="14"/>
        <v>100.0018012</v>
      </c>
    </row>
    <row r="154" ht="14.25" customHeight="1">
      <c r="A154" s="175"/>
      <c r="B154" s="230" t="s">
        <v>507</v>
      </c>
      <c r="D154" s="209" t="s">
        <v>888</v>
      </c>
      <c r="E154" s="183">
        <f>SUMIFS('DB BTL'!$J:$J,'DB BTL'!$G:$G,$B154,'DB BTL'!$A:$A,$D$4,'DB BTL'!$B:$B,$E$3,'DB BTL'!$D:$D,AA$1)</f>
        <v>1773341</v>
      </c>
      <c r="F154" s="183">
        <f>SUMIFS('DB BTL'!$J:$J,'DB BTL'!$G:$G,$B154,'DB BTL'!$A:$A,$D$4,'DB BTL'!$B:$B,$E$3,'DB BTL'!$D:$D,AA$2)</f>
        <v>1773342</v>
      </c>
      <c r="G154" s="184">
        <f>IFERROR(HLOOKUP($E$3,'Tahun Lalu'!$B$5:$V$158,MATCH(B154,'Tahun Lalu'!$B$5:$B$158,0),0),0)</f>
        <v>1773341</v>
      </c>
      <c r="H154" s="183">
        <f>IFERROR(round(HLOOKUP('Tahun Lalu'!$D$3,RKO!$A$1:$P$171,MATCH(B154,RKO!$A$1:$A$171,0),0)*1000,0),0)</f>
        <v>0</v>
      </c>
      <c r="I154" s="183">
        <f>IFERROR(round(HLOOKUP('Tahun Lalu'!$D$3,RKAP!$A$1:$P$171,MATCH(B154,RKAP!$A$1:$A$171,0),0)*1000,0),0)</f>
        <v>1773000</v>
      </c>
      <c r="J154" s="183">
        <f t="shared" si="3"/>
        <v>99.99994361</v>
      </c>
      <c r="K154" s="183">
        <f t="shared" si="4"/>
        <v>100</v>
      </c>
      <c r="L154" s="183">
        <f t="shared" si="5"/>
        <v>0</v>
      </c>
      <c r="M154" s="183">
        <f t="shared" si="6"/>
        <v>100.0192329</v>
      </c>
      <c r="N154" s="183">
        <f t="shared" si="201"/>
        <v>8866707</v>
      </c>
      <c r="O154" s="183">
        <f t="shared" ref="O154:Q154" si="204">G154+W154</f>
        <v>8866707</v>
      </c>
      <c r="P154" s="183">
        <f t="shared" si="204"/>
        <v>0</v>
      </c>
      <c r="Q154" s="183">
        <f t="shared" si="204"/>
        <v>8865000</v>
      </c>
      <c r="R154" s="183">
        <f t="shared" si="9"/>
        <v>100</v>
      </c>
      <c r="S154" s="183">
        <f t="shared" si="10"/>
        <v>0</v>
      </c>
      <c r="T154" s="183">
        <f t="shared" si="11"/>
        <v>100.0192555</v>
      </c>
      <c r="U154" s="186"/>
      <c r="V154" s="183">
        <f>IFERROR(__xludf.DUMMYFUNCTION("""COMPUTED_VALUE"""),7093366.0)</f>
        <v>7093366</v>
      </c>
      <c r="W154" s="183">
        <f>IFERROR(__xludf.DUMMYFUNCTION("""COMPUTED_VALUE"""),7093366.0)</f>
        <v>7093366</v>
      </c>
      <c r="X154" s="183">
        <f>IFERROR(__xludf.DUMMYFUNCTION("""COMPUTED_VALUE"""),0.0)</f>
        <v>0</v>
      </c>
      <c r="Y154" s="183">
        <f>IFERROR(__xludf.DUMMYFUNCTION("""COMPUTED_VALUE"""),7092000.0)</f>
        <v>7092000</v>
      </c>
      <c r="Z154" s="183">
        <f t="shared" si="12"/>
        <v>100</v>
      </c>
      <c r="AA154" s="183">
        <f t="shared" si="13"/>
        <v>0</v>
      </c>
      <c r="AB154" s="183">
        <f t="shared" si="14"/>
        <v>100.0192611</v>
      </c>
    </row>
    <row r="155" ht="14.25" customHeight="1">
      <c r="A155" s="175"/>
      <c r="B155" s="230" t="s">
        <v>561</v>
      </c>
      <c r="D155" s="209" t="s">
        <v>889</v>
      </c>
      <c r="E155" s="183">
        <f>SUMIFS('DB BTL'!$J:$J,'DB BTL'!$G:$G,$B155,'DB BTL'!$A:$A,$D$4,'DB BTL'!$B:$B,$E$3,'DB BTL'!$D:$D,AA$1)</f>
        <v>0</v>
      </c>
      <c r="F155" s="183">
        <f>SUMIFS('DB BTL'!$J:$J,'DB BTL'!$G:$G,$B155,'DB BTL'!$A:$A,$D$4,'DB BTL'!$B:$B,$E$3,'DB BTL'!$D:$D,AA$2)</f>
        <v>0</v>
      </c>
      <c r="G155" s="184">
        <f>IFERROR(HLOOKUP($E$3,'Tahun Lalu'!$B$5:$V$158,MATCH(B155,'Tahun Lalu'!$B$5:$B$158,0),0),0)</f>
        <v>0</v>
      </c>
      <c r="H155" s="183">
        <f>IFERROR(round(HLOOKUP('Tahun Lalu'!$D$3,RKO!$A$1:$P$171,MATCH(B155,RKO!$A$1:$A$171,0),0)*1000,0),0)</f>
        <v>0</v>
      </c>
      <c r="I155" s="183">
        <f>IFERROR(round(HLOOKUP('Tahun Lalu'!$D$3,RKAP!$A$1:$P$171,MATCH(B155,RKAP!$A$1:$A$171,0),0)*1000,0),0)</f>
        <v>0</v>
      </c>
      <c r="J155" s="183">
        <f t="shared" si="3"/>
        <v>0</v>
      </c>
      <c r="K155" s="183">
        <f t="shared" si="4"/>
        <v>0</v>
      </c>
      <c r="L155" s="183">
        <f t="shared" si="5"/>
        <v>0</v>
      </c>
      <c r="M155" s="183">
        <f t="shared" si="6"/>
        <v>0</v>
      </c>
      <c r="N155" s="183">
        <f t="shared" si="201"/>
        <v>0</v>
      </c>
      <c r="O155" s="183">
        <f t="shared" ref="O155:Q155" si="205">G155+W155</f>
        <v>0</v>
      </c>
      <c r="P155" s="183">
        <f t="shared" si="205"/>
        <v>0</v>
      </c>
      <c r="Q155" s="183">
        <f t="shared" si="205"/>
        <v>0</v>
      </c>
      <c r="R155" s="183">
        <f t="shared" si="9"/>
        <v>0</v>
      </c>
      <c r="S155" s="183">
        <f t="shared" si="10"/>
        <v>0</v>
      </c>
      <c r="T155" s="183">
        <f t="shared" si="11"/>
        <v>0</v>
      </c>
      <c r="U155" s="186"/>
      <c r="V155" s="183">
        <f>IFERROR(__xludf.DUMMYFUNCTION("""COMPUTED_VALUE"""),0.0)</f>
        <v>0</v>
      </c>
      <c r="W155" s="183">
        <f>IFERROR(__xludf.DUMMYFUNCTION("""COMPUTED_VALUE"""),0.0)</f>
        <v>0</v>
      </c>
      <c r="X155" s="183">
        <f>IFERROR(__xludf.DUMMYFUNCTION("""COMPUTED_VALUE"""),0.0)</f>
        <v>0</v>
      </c>
      <c r="Y155" s="183">
        <f>IFERROR(__xludf.DUMMYFUNCTION("""COMPUTED_VALUE"""),0.0)</f>
        <v>0</v>
      </c>
      <c r="Z155" s="183">
        <f t="shared" si="12"/>
        <v>0</v>
      </c>
      <c r="AA155" s="183">
        <f t="shared" si="13"/>
        <v>0</v>
      </c>
      <c r="AB155" s="183">
        <f t="shared" si="14"/>
        <v>0</v>
      </c>
    </row>
    <row r="156" ht="14.25" customHeight="1">
      <c r="A156" s="175"/>
      <c r="B156" s="230" t="s">
        <v>509</v>
      </c>
      <c r="D156" s="209" t="s">
        <v>890</v>
      </c>
      <c r="E156" s="183">
        <f>SUMIFS('DB BTL'!$J:$J,'DB BTL'!$G:$G,$B156,'DB BTL'!$A:$A,$D$4,'DB BTL'!$B:$B,$E$3,'DB BTL'!$D:$D,AA$1)</f>
        <v>133334</v>
      </c>
      <c r="F156" s="183">
        <f>SUMIFS('DB BTL'!$J:$J,'DB BTL'!$G:$G,$B156,'DB BTL'!$A:$A,$D$4,'DB BTL'!$B:$B,$E$3,'DB BTL'!$D:$D,AA$2)</f>
        <v>133333</v>
      </c>
      <c r="G156" s="184">
        <f>IFERROR(HLOOKUP($E$3,'Tahun Lalu'!$B$5:$V$158,MATCH(B156,'Tahun Lalu'!$B$5:$B$158,0),0),0)</f>
        <v>133334</v>
      </c>
      <c r="H156" s="183">
        <f>IFERROR(round(HLOOKUP('Tahun Lalu'!$D$3,RKO!$A$1:$P$171,MATCH(B156,RKO!$A$1:$A$171,0),0)*1000,0),0)</f>
        <v>0</v>
      </c>
      <c r="I156" s="183">
        <f>IFERROR(round(HLOOKUP('Tahun Lalu'!$D$3,RKAP!$A$1:$P$171,MATCH(B156,RKAP!$A$1:$A$171,0),0)*1000,0),0)</f>
        <v>0</v>
      </c>
      <c r="J156" s="183">
        <f t="shared" si="3"/>
        <v>100.00075</v>
      </c>
      <c r="K156" s="183">
        <f t="shared" si="4"/>
        <v>100</v>
      </c>
      <c r="L156" s="183">
        <f t="shared" si="5"/>
        <v>0</v>
      </c>
      <c r="M156" s="183">
        <f t="shared" si="6"/>
        <v>0</v>
      </c>
      <c r="N156" s="183">
        <f t="shared" si="201"/>
        <v>666667</v>
      </c>
      <c r="O156" s="183">
        <f t="shared" ref="O156:Q156" si="206">G156+W156</f>
        <v>666667</v>
      </c>
      <c r="P156" s="183">
        <f t="shared" si="206"/>
        <v>0</v>
      </c>
      <c r="Q156" s="183">
        <f t="shared" si="206"/>
        <v>0</v>
      </c>
      <c r="R156" s="183">
        <f t="shared" si="9"/>
        <v>100</v>
      </c>
      <c r="S156" s="183">
        <f t="shared" si="10"/>
        <v>0</v>
      </c>
      <c r="T156" s="183">
        <f t="shared" si="11"/>
        <v>0</v>
      </c>
      <c r="U156" s="186"/>
      <c r="V156" s="183">
        <f>IFERROR(__xludf.DUMMYFUNCTION("""COMPUTED_VALUE"""),533333.0)</f>
        <v>533333</v>
      </c>
      <c r="W156" s="183">
        <f>IFERROR(__xludf.DUMMYFUNCTION("""COMPUTED_VALUE"""),533333.0)</f>
        <v>533333</v>
      </c>
      <c r="X156" s="183">
        <f>IFERROR(__xludf.DUMMYFUNCTION("""COMPUTED_VALUE"""),0.0)</f>
        <v>0</v>
      </c>
      <c r="Y156" s="183">
        <f>IFERROR(__xludf.DUMMYFUNCTION("""COMPUTED_VALUE"""),0.0)</f>
        <v>0</v>
      </c>
      <c r="Z156" s="183">
        <f t="shared" si="12"/>
        <v>100</v>
      </c>
      <c r="AA156" s="183">
        <f t="shared" si="13"/>
        <v>0</v>
      </c>
      <c r="AB156" s="183">
        <f t="shared" si="14"/>
        <v>0</v>
      </c>
    </row>
    <row r="157" ht="14.25" customHeight="1">
      <c r="A157" s="175"/>
      <c r="B157" s="230" t="s">
        <v>567</v>
      </c>
      <c r="D157" s="209" t="s">
        <v>891</v>
      </c>
      <c r="E157" s="183">
        <f>SUMIFS('DB BTL'!$J:$J,'DB BTL'!$G:$G,$B157,'DB BTL'!$A:$A,$D$4,'DB BTL'!$B:$B,$E$3,'DB BTL'!$D:$D,AA$1)</f>
        <v>0</v>
      </c>
      <c r="F157" s="183">
        <f>SUMIFS('DB BTL'!$J:$J,'DB BTL'!$G:$G,$B157,'DB BTL'!$A:$A,$D$4,'DB BTL'!$B:$B,$E$3,'DB BTL'!$D:$D,AA$2)</f>
        <v>0</v>
      </c>
      <c r="G157" s="184">
        <f>IFERROR(HLOOKUP($E$3,'Tahun Lalu'!$B$5:$V$158,MATCH(B157,'Tahun Lalu'!$B$5:$B$158,0),0),0)</f>
        <v>0</v>
      </c>
      <c r="H157" s="183">
        <f>IFERROR(round(HLOOKUP('Tahun Lalu'!$D$3,RKO!$A$1:$P$171,MATCH(B157,RKO!$A$1:$A$171,0),0)*1000,0),0)</f>
        <v>0</v>
      </c>
      <c r="I157" s="183">
        <f>IFERROR(round(HLOOKUP('Tahun Lalu'!$D$3,RKAP!$A$1:$P$171,MATCH(B157,RKAP!$A$1:$A$171,0),0)*1000,0),0)</f>
        <v>0</v>
      </c>
      <c r="J157" s="183">
        <f t="shared" si="3"/>
        <v>0</v>
      </c>
      <c r="K157" s="183">
        <f t="shared" si="4"/>
        <v>0</v>
      </c>
      <c r="L157" s="183">
        <f t="shared" si="5"/>
        <v>0</v>
      </c>
      <c r="M157" s="183">
        <f t="shared" si="6"/>
        <v>0</v>
      </c>
      <c r="N157" s="183">
        <f t="shared" si="201"/>
        <v>0</v>
      </c>
      <c r="O157" s="183">
        <f t="shared" ref="O157:Q157" si="207">G157+W157</f>
        <v>0</v>
      </c>
      <c r="P157" s="183">
        <f t="shared" si="207"/>
        <v>0</v>
      </c>
      <c r="Q157" s="183">
        <f t="shared" si="207"/>
        <v>0</v>
      </c>
      <c r="R157" s="183">
        <f t="shared" si="9"/>
        <v>0</v>
      </c>
      <c r="S157" s="183">
        <f t="shared" si="10"/>
        <v>0</v>
      </c>
      <c r="T157" s="183">
        <f t="shared" si="11"/>
        <v>0</v>
      </c>
      <c r="U157" s="186"/>
      <c r="V157" s="183">
        <f>IFERROR(__xludf.DUMMYFUNCTION("""COMPUTED_VALUE"""),0.0)</f>
        <v>0</v>
      </c>
      <c r="W157" s="183">
        <f>IFERROR(__xludf.DUMMYFUNCTION("""COMPUTED_VALUE"""),0.0)</f>
        <v>0</v>
      </c>
      <c r="X157" s="183">
        <f>IFERROR(__xludf.DUMMYFUNCTION("""COMPUTED_VALUE"""),0.0)</f>
        <v>0</v>
      </c>
      <c r="Y157" s="183">
        <f>IFERROR(__xludf.DUMMYFUNCTION("""COMPUTED_VALUE"""),0.0)</f>
        <v>0</v>
      </c>
      <c r="Z157" s="183">
        <f t="shared" si="12"/>
        <v>0</v>
      </c>
      <c r="AA157" s="183">
        <f t="shared" si="13"/>
        <v>0</v>
      </c>
      <c r="AB157" s="183">
        <f t="shared" si="14"/>
        <v>0</v>
      </c>
    </row>
    <row r="158" ht="14.25" customHeight="1">
      <c r="A158" s="175"/>
      <c r="B158" s="230" t="s">
        <v>511</v>
      </c>
      <c r="D158" s="209" t="s">
        <v>892</v>
      </c>
      <c r="E158" s="183">
        <f>SUMIFS('DB BTL'!$J:$J,'DB BTL'!$G:$G,$B158,'DB BTL'!$A:$A,$D$4,'DB BTL'!$B:$B,$E$3,'DB BTL'!$D:$D,AA$1)</f>
        <v>51768825</v>
      </c>
      <c r="F158" s="183">
        <f>SUMIFS('DB BTL'!$J:$J,'DB BTL'!$G:$G,$B158,'DB BTL'!$A:$A,$D$4,'DB BTL'!$B:$B,$E$3,'DB BTL'!$D:$D,AA$2)</f>
        <v>51768822</v>
      </c>
      <c r="G158" s="184">
        <f>IFERROR(HLOOKUP($E$3,'Tahun Lalu'!$B$5:$V$158,MATCH(B158,'Tahun Lalu'!$B$5:$B$158,0),0),0)</f>
        <v>55285063</v>
      </c>
      <c r="H158" s="183">
        <f>IFERROR(round(HLOOKUP('Tahun Lalu'!$D$3,RKO!$A$1:$P$171,MATCH(B158,RKO!$A$1:$A$171,0),0)*1000,0),0)</f>
        <v>0</v>
      </c>
      <c r="I158" s="183">
        <f>IFERROR(round(HLOOKUP('Tahun Lalu'!$D$3,RKAP!$A$1:$P$171,MATCH(B158,RKAP!$A$1:$A$171,0),0)*1000,0),0)</f>
        <v>55285000</v>
      </c>
      <c r="J158" s="183">
        <f t="shared" si="3"/>
        <v>100.0000058</v>
      </c>
      <c r="K158" s="183">
        <f t="shared" si="4"/>
        <v>93.63980466</v>
      </c>
      <c r="L158" s="183">
        <f t="shared" si="5"/>
        <v>0</v>
      </c>
      <c r="M158" s="183">
        <f t="shared" si="6"/>
        <v>93.63991137</v>
      </c>
      <c r="N158" s="183">
        <f t="shared" si="201"/>
        <v>258844126</v>
      </c>
      <c r="O158" s="183">
        <f t="shared" ref="O158:Q158" si="208">G158+W158</f>
        <v>276425314</v>
      </c>
      <c r="P158" s="183">
        <f t="shared" si="208"/>
        <v>0</v>
      </c>
      <c r="Q158" s="183">
        <f t="shared" si="208"/>
        <v>276425000</v>
      </c>
      <c r="R158" s="183">
        <f t="shared" si="9"/>
        <v>93.63980536</v>
      </c>
      <c r="S158" s="183">
        <f t="shared" si="10"/>
        <v>0</v>
      </c>
      <c r="T158" s="183">
        <f t="shared" si="11"/>
        <v>93.63991173</v>
      </c>
      <c r="U158" s="186"/>
      <c r="V158" s="183">
        <f>IFERROR(__xludf.DUMMYFUNCTION("""COMPUTED_VALUE"""),2.07075301E8)</f>
        <v>207075301</v>
      </c>
      <c r="W158" s="183">
        <f>IFERROR(__xludf.DUMMYFUNCTION("""COMPUTED_VALUE"""),2.21140251E8)</f>
        <v>221140251</v>
      </c>
      <c r="X158" s="183">
        <f>IFERROR(__xludf.DUMMYFUNCTION("""COMPUTED_VALUE"""),0.0)</f>
        <v>0</v>
      </c>
      <c r="Y158" s="183">
        <f>IFERROR(__xludf.DUMMYFUNCTION("""COMPUTED_VALUE"""),2.2114E8)</f>
        <v>221140000</v>
      </c>
      <c r="Z158" s="183">
        <f t="shared" si="12"/>
        <v>93.63980554</v>
      </c>
      <c r="AA158" s="183">
        <f t="shared" si="13"/>
        <v>0</v>
      </c>
      <c r="AB158" s="183">
        <f t="shared" si="14"/>
        <v>93.63991182</v>
      </c>
    </row>
    <row r="159" ht="14.25" customHeight="1">
      <c r="A159" s="175"/>
      <c r="B159" s="230" t="s">
        <v>513</v>
      </c>
      <c r="D159" s="209" t="s">
        <v>893</v>
      </c>
      <c r="E159" s="183">
        <f>SUMIFS('DB BTL'!$J:$J,'DB BTL'!$G:$G,$B159,'DB BTL'!$A:$A,$D$4,'DB BTL'!$B:$B,$E$3,'DB BTL'!$D:$D,AA$1)</f>
        <v>3931591</v>
      </c>
      <c r="F159" s="183">
        <f>SUMIFS('DB BTL'!$J:$J,'DB BTL'!$G:$G,$B159,'DB BTL'!$A:$A,$D$4,'DB BTL'!$B:$B,$E$3,'DB BTL'!$D:$D,AA$2)</f>
        <v>3931589</v>
      </c>
      <c r="G159" s="184">
        <f>IFERROR(HLOOKUP($E$3,'Tahun Lalu'!$B$5:$V$158,MATCH(B159,'Tahun Lalu'!$B$5:$B$158,0),0),0)</f>
        <v>3931589</v>
      </c>
      <c r="H159" s="183">
        <f>IFERROR(round(HLOOKUP('Tahun Lalu'!$D$3,RKO!$A$1:$P$171,MATCH(B159,RKO!$A$1:$A$171,0),0)*1000,0),0)</f>
        <v>0</v>
      </c>
      <c r="I159" s="183">
        <f>IFERROR(round(HLOOKUP('Tahun Lalu'!$D$3,RKAP!$A$1:$P$171,MATCH(B159,RKAP!$A$1:$A$171,0),0)*1000,0),0)</f>
        <v>4065000</v>
      </c>
      <c r="J159" s="183">
        <f t="shared" si="3"/>
        <v>100.0000509</v>
      </c>
      <c r="K159" s="183">
        <f t="shared" si="4"/>
        <v>100.0000509</v>
      </c>
      <c r="L159" s="183">
        <f t="shared" si="5"/>
        <v>0</v>
      </c>
      <c r="M159" s="183">
        <f t="shared" si="6"/>
        <v>96.71810578</v>
      </c>
      <c r="N159" s="183">
        <f t="shared" si="201"/>
        <v>19657951</v>
      </c>
      <c r="O159" s="183">
        <f t="shared" ref="O159:Q159" si="209">G159+W159</f>
        <v>19657951</v>
      </c>
      <c r="P159" s="183">
        <f t="shared" si="209"/>
        <v>0</v>
      </c>
      <c r="Q159" s="183">
        <f t="shared" si="209"/>
        <v>20325000</v>
      </c>
      <c r="R159" s="183">
        <f t="shared" si="9"/>
        <v>100</v>
      </c>
      <c r="S159" s="183">
        <f t="shared" si="10"/>
        <v>0</v>
      </c>
      <c r="T159" s="183">
        <f t="shared" si="11"/>
        <v>96.7180861</v>
      </c>
      <c r="U159" s="186"/>
      <c r="V159" s="183">
        <f>IFERROR(__xludf.DUMMYFUNCTION("""COMPUTED_VALUE"""),1.572636E7)</f>
        <v>15726360</v>
      </c>
      <c r="W159" s="183">
        <f>IFERROR(__xludf.DUMMYFUNCTION("""COMPUTED_VALUE"""),1.5726362E7)</f>
        <v>15726362</v>
      </c>
      <c r="X159" s="183">
        <f>IFERROR(__xludf.DUMMYFUNCTION("""COMPUTED_VALUE"""),0.0)</f>
        <v>0</v>
      </c>
      <c r="Y159" s="183">
        <f>IFERROR(__xludf.DUMMYFUNCTION("""COMPUTED_VALUE"""),1.626E7)</f>
        <v>16260000</v>
      </c>
      <c r="Z159" s="183">
        <f t="shared" si="12"/>
        <v>99.99998728</v>
      </c>
      <c r="AA159" s="183">
        <f t="shared" si="13"/>
        <v>0</v>
      </c>
      <c r="AB159" s="183">
        <f t="shared" si="14"/>
        <v>96.71808118</v>
      </c>
    </row>
    <row r="160" ht="14.25" customHeight="1">
      <c r="A160" s="175"/>
      <c r="B160" s="230" t="s">
        <v>528</v>
      </c>
      <c r="D160" s="209" t="s">
        <v>894</v>
      </c>
      <c r="E160" s="183">
        <f>SUMIFS('DB BTL'!$J:$J,'DB BTL'!$G:$G,$B160,'DB BTL'!$A:$A,$D$4,'DB BTL'!$B:$B,$E$3,'DB BTL'!$D:$D,AA$1)</f>
        <v>0</v>
      </c>
      <c r="F160" s="183">
        <f>SUMIFS('DB BTL'!$J:$J,'DB BTL'!$G:$G,$B160,'DB BTL'!$A:$A,$D$4,'DB BTL'!$B:$B,$E$3,'DB BTL'!$D:$D,AA$2)</f>
        <v>0</v>
      </c>
      <c r="G160" s="184">
        <f>IFERROR(HLOOKUP($E$3,'Tahun Lalu'!$B$5:$V$158,MATCH(B160,'Tahun Lalu'!$B$5:$B$158,0),0),0)</f>
        <v>0</v>
      </c>
      <c r="H160" s="183">
        <f>IFERROR(round(HLOOKUP('Tahun Lalu'!$D$3,RKO!$A$1:$P$171,MATCH(B160,RKO!$A$1:$A$171,0),0)*1000,0),0)</f>
        <v>0</v>
      </c>
      <c r="I160" s="183">
        <f>IFERROR(round(HLOOKUP('Tahun Lalu'!$D$3,RKAP!$A$1:$P$171,MATCH(B160,RKAP!$A$1:$A$171,0),0)*1000,0),0)</f>
        <v>0</v>
      </c>
      <c r="J160" s="183">
        <f t="shared" si="3"/>
        <v>0</v>
      </c>
      <c r="K160" s="183">
        <f t="shared" si="4"/>
        <v>0</v>
      </c>
      <c r="L160" s="183">
        <f t="shared" si="5"/>
        <v>0</v>
      </c>
      <c r="M160" s="183">
        <f t="shared" si="6"/>
        <v>0</v>
      </c>
      <c r="N160" s="183">
        <f t="shared" si="201"/>
        <v>0</v>
      </c>
      <c r="O160" s="183">
        <f t="shared" ref="O160:Q160" si="210">G160+W160</f>
        <v>0</v>
      </c>
      <c r="P160" s="183">
        <f t="shared" si="210"/>
        <v>0</v>
      </c>
      <c r="Q160" s="183">
        <f t="shared" si="210"/>
        <v>0</v>
      </c>
      <c r="R160" s="183">
        <f t="shared" si="9"/>
        <v>0</v>
      </c>
      <c r="S160" s="183">
        <f t="shared" si="10"/>
        <v>0</v>
      </c>
      <c r="T160" s="183">
        <f t="shared" si="11"/>
        <v>0</v>
      </c>
      <c r="U160" s="186"/>
      <c r="V160" s="183">
        <f>IFERROR(__xludf.DUMMYFUNCTION("""COMPUTED_VALUE"""),0.0)</f>
        <v>0</v>
      </c>
      <c r="W160" s="183">
        <f>IFERROR(__xludf.DUMMYFUNCTION("""COMPUTED_VALUE"""),0.0)</f>
        <v>0</v>
      </c>
      <c r="X160" s="183">
        <f>IFERROR(__xludf.DUMMYFUNCTION("""COMPUTED_VALUE"""),0.0)</f>
        <v>0</v>
      </c>
      <c r="Y160" s="183">
        <f>IFERROR(__xludf.DUMMYFUNCTION("""COMPUTED_VALUE"""),0.0)</f>
        <v>0</v>
      </c>
      <c r="Z160" s="183">
        <f t="shared" si="12"/>
        <v>0</v>
      </c>
      <c r="AA160" s="183">
        <f t="shared" si="13"/>
        <v>0</v>
      </c>
      <c r="AB160" s="183">
        <f t="shared" si="14"/>
        <v>0</v>
      </c>
    </row>
    <row r="161" ht="14.25" customHeight="1">
      <c r="A161" s="175"/>
      <c r="B161" s="230" t="s">
        <v>539</v>
      </c>
      <c r="D161" s="209" t="s">
        <v>895</v>
      </c>
      <c r="E161" s="183">
        <f>SUMIFS('DB BTL'!$J:$J,'DB BTL'!$G:$G,$B161,'DB BTL'!$A:$A,$D$4,'DB BTL'!$B:$B,$E$3,'DB BTL'!$D:$D,AA$1)</f>
        <v>0</v>
      </c>
      <c r="F161" s="183">
        <f>SUMIFS('DB BTL'!$J:$J,'DB BTL'!$G:$G,$B161,'DB BTL'!$A:$A,$D$4,'DB BTL'!$B:$B,$E$3,'DB BTL'!$D:$D,AA$2)</f>
        <v>0</v>
      </c>
      <c r="G161" s="184">
        <f>IFERROR(HLOOKUP($E$3,'Tahun Lalu'!$B$5:$V$158,MATCH(B161,'Tahun Lalu'!$B$5:$B$158,0),0),0)</f>
        <v>0</v>
      </c>
      <c r="H161" s="183">
        <f>IFERROR(round(HLOOKUP('Tahun Lalu'!$D$3,RKO!$A$1:$P$171,MATCH(B161,RKO!$A$1:$A$171,0),0)*1000,0),0)</f>
        <v>0</v>
      </c>
      <c r="I161" s="183">
        <f>IFERROR(round(HLOOKUP('Tahun Lalu'!$D$3,RKAP!$A$1:$P$171,MATCH(B161,RKAP!$A$1:$A$171,0),0)*1000,0),0)</f>
        <v>0</v>
      </c>
      <c r="J161" s="183">
        <f t="shared" si="3"/>
        <v>0</v>
      </c>
      <c r="K161" s="183">
        <f t="shared" si="4"/>
        <v>0</v>
      </c>
      <c r="L161" s="183">
        <f t="shared" si="5"/>
        <v>0</v>
      </c>
      <c r="M161" s="183">
        <f t="shared" si="6"/>
        <v>0</v>
      </c>
      <c r="N161" s="183">
        <f t="shared" si="201"/>
        <v>0</v>
      </c>
      <c r="O161" s="183">
        <f t="shared" ref="O161:Q161" si="211">G161+W161</f>
        <v>0</v>
      </c>
      <c r="P161" s="183">
        <f t="shared" si="211"/>
        <v>0</v>
      </c>
      <c r="Q161" s="183">
        <f t="shared" si="211"/>
        <v>0</v>
      </c>
      <c r="R161" s="183">
        <f t="shared" si="9"/>
        <v>0</v>
      </c>
      <c r="S161" s="183">
        <f t="shared" si="10"/>
        <v>0</v>
      </c>
      <c r="T161" s="183">
        <f t="shared" si="11"/>
        <v>0</v>
      </c>
      <c r="U161" s="186"/>
      <c r="V161" s="183">
        <f>IFERROR(__xludf.DUMMYFUNCTION("""COMPUTED_VALUE"""),0.0)</f>
        <v>0</v>
      </c>
      <c r="W161" s="183">
        <f>IFERROR(__xludf.DUMMYFUNCTION("""COMPUTED_VALUE"""),0.0)</f>
        <v>0</v>
      </c>
      <c r="X161" s="183">
        <f>IFERROR(__xludf.DUMMYFUNCTION("""COMPUTED_VALUE"""),0.0)</f>
        <v>0</v>
      </c>
      <c r="Y161" s="183">
        <f>IFERROR(__xludf.DUMMYFUNCTION("""COMPUTED_VALUE"""),0.0)</f>
        <v>0</v>
      </c>
      <c r="Z161" s="183">
        <f t="shared" si="12"/>
        <v>0</v>
      </c>
      <c r="AA161" s="183">
        <f t="shared" si="13"/>
        <v>0</v>
      </c>
      <c r="AB161" s="183">
        <f t="shared" si="14"/>
        <v>0</v>
      </c>
    </row>
    <row r="162" ht="14.25" customHeight="1">
      <c r="A162" s="175"/>
      <c r="B162" s="230" t="s">
        <v>896</v>
      </c>
      <c r="D162" s="209" t="s">
        <v>897</v>
      </c>
      <c r="E162" s="183">
        <f>SUMIFS('DB BTL'!$J:$J,'DB BTL'!$G:$G,$B162,'DB BTL'!$A:$A,$D$4,'DB BTL'!$B:$B,$E$3,'DB BTL'!$D:$D,AA$1)</f>
        <v>0</v>
      </c>
      <c r="F162" s="183">
        <f>SUMIFS('DB BTL'!$J:$J,'DB BTL'!$G:$G,$B162,'DB BTL'!$A:$A,$D$4,'DB BTL'!$B:$B,$E$3,'DB BTL'!$D:$D,AA$2)</f>
        <v>0</v>
      </c>
      <c r="G162" s="184">
        <f>IFERROR(HLOOKUP($E$3,'Tahun Lalu'!$B$5:$V$158,MATCH(B162,'Tahun Lalu'!$B$5:$B$158,0),0),0)</f>
        <v>0</v>
      </c>
      <c r="H162" s="183">
        <f>IFERROR(round(HLOOKUP('Tahun Lalu'!$D$3,RKO!$A$1:$P$171,MATCH(B162,RKO!$A$1:$A$171,0),0)*1000,0),0)</f>
        <v>0</v>
      </c>
      <c r="I162" s="183">
        <f>IFERROR(round(HLOOKUP('Tahun Lalu'!$D$3,RKAP!$A$1:$P$171,MATCH(B162,RKAP!$A$1:$A$171,0),0)*1000,0),0)</f>
        <v>0</v>
      </c>
      <c r="J162" s="183">
        <f t="shared" si="3"/>
        <v>0</v>
      </c>
      <c r="K162" s="183">
        <f t="shared" si="4"/>
        <v>0</v>
      </c>
      <c r="L162" s="183">
        <f t="shared" si="5"/>
        <v>0</v>
      </c>
      <c r="M162" s="183">
        <f t="shared" si="6"/>
        <v>0</v>
      </c>
      <c r="N162" s="183">
        <f t="shared" si="201"/>
        <v>0</v>
      </c>
      <c r="O162" s="183">
        <f t="shared" ref="O162:Q162" si="212">G162+W162</f>
        <v>0</v>
      </c>
      <c r="P162" s="183">
        <f t="shared" si="212"/>
        <v>0</v>
      </c>
      <c r="Q162" s="183">
        <f t="shared" si="212"/>
        <v>0</v>
      </c>
      <c r="R162" s="183">
        <f t="shared" si="9"/>
        <v>0</v>
      </c>
      <c r="S162" s="183">
        <f t="shared" si="10"/>
        <v>0</v>
      </c>
      <c r="T162" s="183">
        <f t="shared" si="11"/>
        <v>0</v>
      </c>
      <c r="U162" s="186"/>
      <c r="V162" s="183">
        <f>IFERROR(__xludf.DUMMYFUNCTION("""COMPUTED_VALUE"""),0.0)</f>
        <v>0</v>
      </c>
      <c r="W162" s="183">
        <f>IFERROR(__xludf.DUMMYFUNCTION("""COMPUTED_VALUE"""),0.0)</f>
        <v>0</v>
      </c>
      <c r="X162" s="183">
        <f>IFERROR(__xludf.DUMMYFUNCTION("""COMPUTED_VALUE"""),0.0)</f>
        <v>0</v>
      </c>
      <c r="Y162" s="183">
        <f>IFERROR(__xludf.DUMMYFUNCTION("""COMPUTED_VALUE"""),0.0)</f>
        <v>0</v>
      </c>
      <c r="Z162" s="183">
        <f t="shared" si="12"/>
        <v>0</v>
      </c>
      <c r="AA162" s="183">
        <f t="shared" si="13"/>
        <v>0</v>
      </c>
      <c r="AB162" s="183">
        <f t="shared" si="14"/>
        <v>0</v>
      </c>
    </row>
    <row r="163" ht="14.25" customHeight="1">
      <c r="A163" s="175"/>
      <c r="B163" s="230" t="s">
        <v>898</v>
      </c>
      <c r="D163" s="209" t="s">
        <v>899</v>
      </c>
      <c r="E163" s="183">
        <f>SUMIFS('DB BTL'!$J:$J,'DB BTL'!$G:$G,$B163,'DB BTL'!$A:$A,$D$4,'DB BTL'!$B:$B,$E$3,'DB BTL'!$D:$D,AA$1)</f>
        <v>0</v>
      </c>
      <c r="F163" s="183">
        <f>SUMIFS('DB BTL'!$J:$J,'DB BTL'!$G:$G,$B163,'DB BTL'!$A:$A,$D$4,'DB BTL'!$B:$B,$E$3,'DB BTL'!$D:$D,AA$2)</f>
        <v>0</v>
      </c>
      <c r="G163" s="184">
        <f>IFERROR(HLOOKUP($E$3,'Tahun Lalu'!$B$5:$V$158,MATCH(B163,'Tahun Lalu'!$B$5:$B$158,0),0),0)</f>
        <v>0</v>
      </c>
      <c r="H163" s="183">
        <f>IFERROR(round(HLOOKUP('Tahun Lalu'!$D$3,RKO!$A$1:$P$171,MATCH(B163,RKO!$A$1:$A$171,0),0)*1000,0),0)</f>
        <v>0</v>
      </c>
      <c r="I163" s="183">
        <f>IFERROR(round(HLOOKUP('Tahun Lalu'!$D$3,RKAP!$A$1:$P$171,MATCH(B163,RKAP!$A$1:$A$171,0),0)*1000,0),0)</f>
        <v>0</v>
      </c>
      <c r="J163" s="183">
        <f t="shared" si="3"/>
        <v>0</v>
      </c>
      <c r="K163" s="183">
        <f t="shared" si="4"/>
        <v>0</v>
      </c>
      <c r="L163" s="183">
        <f t="shared" si="5"/>
        <v>0</v>
      </c>
      <c r="M163" s="183">
        <f t="shared" si="6"/>
        <v>0</v>
      </c>
      <c r="N163" s="183">
        <f t="shared" si="201"/>
        <v>0</v>
      </c>
      <c r="O163" s="183">
        <f t="shared" ref="O163:Q163" si="213">G163+W163</f>
        <v>0</v>
      </c>
      <c r="P163" s="183">
        <f t="shared" si="213"/>
        <v>0</v>
      </c>
      <c r="Q163" s="183">
        <f t="shared" si="213"/>
        <v>0</v>
      </c>
      <c r="R163" s="183">
        <f t="shared" si="9"/>
        <v>0</v>
      </c>
      <c r="S163" s="183">
        <f t="shared" si="10"/>
        <v>0</v>
      </c>
      <c r="T163" s="183">
        <f t="shared" si="11"/>
        <v>0</v>
      </c>
      <c r="U163" s="186"/>
      <c r="V163" s="183">
        <f>IFERROR(__xludf.DUMMYFUNCTION("""COMPUTED_VALUE"""),0.0)</f>
        <v>0</v>
      </c>
      <c r="W163" s="183">
        <f>IFERROR(__xludf.DUMMYFUNCTION("""COMPUTED_VALUE"""),0.0)</f>
        <v>0</v>
      </c>
      <c r="X163" s="183">
        <f>IFERROR(__xludf.DUMMYFUNCTION("""COMPUTED_VALUE"""),0.0)</f>
        <v>0</v>
      </c>
      <c r="Y163" s="183">
        <f>IFERROR(__xludf.DUMMYFUNCTION("""COMPUTED_VALUE"""),0.0)</f>
        <v>0</v>
      </c>
      <c r="Z163" s="183">
        <f t="shared" si="12"/>
        <v>0</v>
      </c>
      <c r="AA163" s="183">
        <f t="shared" si="13"/>
        <v>0</v>
      </c>
      <c r="AB163" s="183">
        <f t="shared" si="14"/>
        <v>0</v>
      </c>
    </row>
    <row r="164" ht="14.25" customHeight="1">
      <c r="A164" s="175"/>
      <c r="B164" s="230" t="s">
        <v>900</v>
      </c>
      <c r="D164" s="209" t="s">
        <v>901</v>
      </c>
      <c r="E164" s="183">
        <f>SUMIFS('DB BTL'!$J:$J,'DB BTL'!$G:$G,$B164,'DB BTL'!$A:$A,$D$4,'DB BTL'!$B:$B,$E$3,'DB BTL'!$D:$D,AA$1)</f>
        <v>0</v>
      </c>
      <c r="F164" s="183">
        <f>SUMIFS('DB BTL'!$J:$J,'DB BTL'!$G:$G,$B164,'DB BTL'!$A:$A,$D$4,'DB BTL'!$B:$B,$E$3,'DB BTL'!$D:$D,AA$2)</f>
        <v>0</v>
      </c>
      <c r="G164" s="184">
        <f>IFERROR(HLOOKUP($E$3,'Tahun Lalu'!$B$5:$V$158,MATCH(B164,'Tahun Lalu'!$B$5:$B$158,0),0),0)</f>
        <v>4049854</v>
      </c>
      <c r="H164" s="183">
        <f>IFERROR(round(HLOOKUP('Tahun Lalu'!$D$3,RKO!$A$1:$P$171,MATCH(B164,RKO!$A$1:$A$171,0),0)*1000,0),0)</f>
        <v>85992570</v>
      </c>
      <c r="I164" s="183">
        <f>IFERROR(round(HLOOKUP('Tahun Lalu'!$D$3,RKAP!$A$1:$P$171,MATCH(B164,RKAP!$A$1:$A$171,0),0)*1000,0),0)</f>
        <v>4050000</v>
      </c>
      <c r="J164" s="183">
        <f t="shared" si="3"/>
        <v>0</v>
      </c>
      <c r="K164" s="183">
        <f t="shared" si="4"/>
        <v>0</v>
      </c>
      <c r="L164" s="183">
        <f t="shared" si="5"/>
        <v>0</v>
      </c>
      <c r="M164" s="183">
        <f t="shared" si="6"/>
        <v>0</v>
      </c>
      <c r="N164" s="183">
        <f t="shared" si="201"/>
        <v>0</v>
      </c>
      <c r="O164" s="183">
        <f t="shared" ref="O164:Q164" si="214">G164+W164</f>
        <v>20249266</v>
      </c>
      <c r="P164" s="183">
        <f t="shared" si="214"/>
        <v>429962850</v>
      </c>
      <c r="Q164" s="183">
        <f t="shared" si="214"/>
        <v>20250000</v>
      </c>
      <c r="R164" s="183">
        <f t="shared" si="9"/>
        <v>0</v>
      </c>
      <c r="S164" s="183">
        <f t="shared" si="10"/>
        <v>0</v>
      </c>
      <c r="T164" s="183">
        <f t="shared" si="11"/>
        <v>0</v>
      </c>
      <c r="U164" s="186"/>
      <c r="V164" s="183">
        <f>IFERROR(__xludf.DUMMYFUNCTION("""COMPUTED_VALUE"""),0.0)</f>
        <v>0</v>
      </c>
      <c r="W164" s="183">
        <f>IFERROR(__xludf.DUMMYFUNCTION("""COMPUTED_VALUE"""),1.6199412E7)</f>
        <v>16199412</v>
      </c>
      <c r="X164" s="183">
        <f>IFERROR(__xludf.DUMMYFUNCTION("""COMPUTED_VALUE"""),3.4397028E8)</f>
        <v>343970280</v>
      </c>
      <c r="Y164" s="183">
        <f>IFERROR(__xludf.DUMMYFUNCTION("""COMPUTED_VALUE"""),1.62E7)</f>
        <v>16200000</v>
      </c>
      <c r="Z164" s="183">
        <f t="shared" si="12"/>
        <v>0</v>
      </c>
      <c r="AA164" s="183">
        <f t="shared" si="13"/>
        <v>0</v>
      </c>
      <c r="AB164" s="183">
        <f t="shared" si="14"/>
        <v>0</v>
      </c>
    </row>
    <row r="165" ht="14.25" customHeight="1">
      <c r="A165" s="175"/>
      <c r="B165" s="222"/>
      <c r="C165" s="222"/>
      <c r="D165" s="233" t="s">
        <v>902</v>
      </c>
      <c r="E165" s="224">
        <f t="shared" ref="E165:I165" si="215">sum(E150:E164)</f>
        <v>289968402</v>
      </c>
      <c r="F165" s="224">
        <f t="shared" si="215"/>
        <v>289968396</v>
      </c>
      <c r="G165" s="224">
        <f t="shared" si="215"/>
        <v>297534494</v>
      </c>
      <c r="H165" s="224">
        <f t="shared" si="215"/>
        <v>297534503</v>
      </c>
      <c r="I165" s="224">
        <f t="shared" si="215"/>
        <v>297534000</v>
      </c>
      <c r="J165" s="224">
        <f t="shared" si="3"/>
        <v>100.0000021</v>
      </c>
      <c r="K165" s="224">
        <f t="shared" si="4"/>
        <v>97.45707064</v>
      </c>
      <c r="L165" s="224">
        <f t="shared" si="5"/>
        <v>97.45706769</v>
      </c>
      <c r="M165" s="224">
        <f t="shared" si="6"/>
        <v>97.45723245</v>
      </c>
      <c r="N165" s="224">
        <f t="shared" ref="N165:Q165" si="216">sum(N150:N164)</f>
        <v>1449842000</v>
      </c>
      <c r="O165" s="224">
        <f t="shared" si="216"/>
        <v>1487672454</v>
      </c>
      <c r="P165" s="224">
        <f t="shared" si="216"/>
        <v>1487672515</v>
      </c>
      <c r="Q165" s="224">
        <f t="shared" si="216"/>
        <v>1487670000</v>
      </c>
      <c r="R165" s="224">
        <f t="shared" si="9"/>
        <v>97.45707102</v>
      </c>
      <c r="S165" s="224">
        <f t="shared" si="10"/>
        <v>97.45706702</v>
      </c>
      <c r="T165" s="224">
        <f t="shared" si="11"/>
        <v>97.45723178</v>
      </c>
      <c r="U165" s="225"/>
      <c r="V165" s="224">
        <f>IFERROR(__xludf.DUMMYFUNCTION("""COMPUTED_VALUE"""),1.159873598E9)</f>
        <v>1159873598</v>
      </c>
      <c r="W165" s="224">
        <f>IFERROR(__xludf.DUMMYFUNCTION("""COMPUTED_VALUE"""),1.19013796E9)</f>
        <v>1190137960</v>
      </c>
      <c r="X165" s="224">
        <f>IFERROR(__xludf.DUMMYFUNCTION("""COMPUTED_VALUE"""),1.190138012E9)</f>
        <v>1190138012</v>
      </c>
      <c r="Y165" s="224">
        <f>IFERROR(__xludf.DUMMYFUNCTION("""COMPUTED_VALUE"""),1.190136E9)</f>
        <v>1190136000</v>
      </c>
      <c r="Z165" s="224">
        <f t="shared" si="12"/>
        <v>97.45707111</v>
      </c>
      <c r="AA165" s="224">
        <f t="shared" si="13"/>
        <v>97.45706685</v>
      </c>
      <c r="AB165" s="224">
        <f t="shared" si="14"/>
        <v>97.45723161</v>
      </c>
    </row>
    <row r="166" ht="14.25" customHeight="1">
      <c r="A166" s="175"/>
      <c r="B166" s="177"/>
      <c r="D166" s="234" t="s">
        <v>903</v>
      </c>
      <c r="E166" s="183"/>
      <c r="F166" s="183"/>
      <c r="G166" s="183"/>
      <c r="H166" s="183">
        <f>IFERROR(round(HLOOKUP('Tahun Lalu'!$D$3,RKO!$A$1:$P$171,MATCH(B166,RKO!$A$1:$A$171,0),0)*1000,0),0)</f>
        <v>0</v>
      </c>
      <c r="I166" s="183">
        <f>IFERROR(round(HLOOKUP('Tahun Lalu'!$D$3,RKAP!$A$1:$P$171,MATCH(B166,RKAP!$A$1:$A$171,0),0)*1000,0),0)</f>
        <v>0</v>
      </c>
      <c r="J166" s="183">
        <f t="shared" si="3"/>
        <v>0</v>
      </c>
      <c r="K166" s="183">
        <f t="shared" si="4"/>
        <v>0</v>
      </c>
      <c r="L166" s="188">
        <f t="shared" si="5"/>
        <v>0</v>
      </c>
      <c r="M166" s="188">
        <f t="shared" si="6"/>
        <v>0</v>
      </c>
      <c r="N166" s="183"/>
      <c r="O166" s="183"/>
      <c r="P166" s="188">
        <v>0.0</v>
      </c>
      <c r="Q166" s="188">
        <v>0.0</v>
      </c>
      <c r="R166" s="183">
        <f t="shared" si="9"/>
        <v>0</v>
      </c>
      <c r="S166" s="183">
        <f t="shared" si="10"/>
        <v>0</v>
      </c>
      <c r="T166" s="188">
        <f t="shared" si="11"/>
        <v>0</v>
      </c>
      <c r="U166" s="189"/>
      <c r="V166" s="183"/>
      <c r="W166" s="183"/>
      <c r="X166" s="188">
        <f>IFERROR(__xludf.DUMMYFUNCTION("""COMPUTED_VALUE"""),0.0)</f>
        <v>0</v>
      </c>
      <c r="Y166" s="188">
        <f>IFERROR(__xludf.DUMMYFUNCTION("""COMPUTED_VALUE"""),0.0)</f>
        <v>0</v>
      </c>
      <c r="Z166" s="183">
        <f t="shared" si="12"/>
        <v>0</v>
      </c>
      <c r="AA166" s="183">
        <f t="shared" si="13"/>
        <v>0</v>
      </c>
      <c r="AB166" s="188">
        <f t="shared" si="14"/>
        <v>0</v>
      </c>
    </row>
    <row r="167" ht="14.25" customHeight="1">
      <c r="A167" s="175"/>
      <c r="B167" s="181" t="s">
        <v>441</v>
      </c>
      <c r="D167" s="209" t="s">
        <v>706</v>
      </c>
      <c r="E167" s="183">
        <f>SUMIFS('DB BTL'!$J:$J,'DB BTL'!$E:$E,$B167,'DB BTL'!$A:$A,$D$4,'DB BTL'!$B:$B,$E$3,'DB BTL'!$D:$D,AA$1)</f>
        <v>74631627</v>
      </c>
      <c r="F167" s="183">
        <f>SUMIFS('DB BTL'!$J:$J,'DB BTL'!$E:$E,$B167,'DB BTL'!$A:$A,$D$4,'DB BTL'!$B:$B,$E$3,'DB BTL'!$D:$D,AA$2)</f>
        <v>68837300</v>
      </c>
      <c r="G167" s="184">
        <f>IFERROR(HLOOKUP($E$3,'Tahun Lalu'!$B$5:$V$158,MATCH(B167,'Tahun Lalu'!$B$5:$B$158,0),0),0)</f>
        <v>44287531</v>
      </c>
      <c r="H167" s="183">
        <f>IFERROR(round(HLOOKUP('Tahun Lalu'!$D$3,RKO!$A$1:$P$171,MATCH(B167,RKO!$A$1:$A$171,0),0)*1000,0),0)</f>
        <v>52674000</v>
      </c>
      <c r="I167" s="183">
        <f>IFERROR(round(HLOOKUP('Tahun Lalu'!$D$3,RKAP!$A$1:$P$171,MATCH(B167,RKAP!$A$1:$A$171,0),0)*1000,0),0)</f>
        <v>52673975</v>
      </c>
      <c r="J167" s="183">
        <f t="shared" si="3"/>
        <v>108.4174234</v>
      </c>
      <c r="K167" s="183">
        <f t="shared" si="4"/>
        <v>168.5161157</v>
      </c>
      <c r="L167" s="183">
        <f t="shared" si="5"/>
        <v>141.6858925</v>
      </c>
      <c r="M167" s="183">
        <f t="shared" si="6"/>
        <v>141.6859597</v>
      </c>
      <c r="N167" s="183">
        <f t="shared" ref="N167:N187" si="218">E167+V167</f>
        <v>328288546</v>
      </c>
      <c r="O167" s="183">
        <f t="shared" ref="O167:Q167" si="217">G167+W167</f>
        <v>228052485</v>
      </c>
      <c r="P167" s="183">
        <f t="shared" si="217"/>
        <v>265339000</v>
      </c>
      <c r="Q167" s="183">
        <f t="shared" si="217"/>
        <v>265339179</v>
      </c>
      <c r="R167" s="183">
        <f t="shared" si="9"/>
        <v>143.9530668</v>
      </c>
      <c r="S167" s="183">
        <f t="shared" si="10"/>
        <v>123.7241966</v>
      </c>
      <c r="T167" s="183">
        <f t="shared" si="11"/>
        <v>123.7241131</v>
      </c>
      <c r="U167" s="186"/>
      <c r="V167" s="183">
        <f>IFERROR(__xludf.DUMMYFUNCTION("""COMPUTED_VALUE"""),2.53656919E8)</f>
        <v>253656919</v>
      </c>
      <c r="W167" s="183">
        <f>IFERROR(__xludf.DUMMYFUNCTION("""COMPUTED_VALUE"""),1.83764954E8)</f>
        <v>183764954</v>
      </c>
      <c r="X167" s="183">
        <f>IFERROR(__xludf.DUMMYFUNCTION("""COMPUTED_VALUE"""),2.12665E8)</f>
        <v>212665000</v>
      </c>
      <c r="Y167" s="183">
        <f>IFERROR(__xludf.DUMMYFUNCTION("""COMPUTED_VALUE"""),2.12665204E8)</f>
        <v>212665204</v>
      </c>
      <c r="Z167" s="183">
        <f t="shared" si="12"/>
        <v>138.0333483</v>
      </c>
      <c r="AA167" s="183">
        <f t="shared" si="13"/>
        <v>119.2753481</v>
      </c>
      <c r="AB167" s="183">
        <f t="shared" si="14"/>
        <v>119.2752337</v>
      </c>
    </row>
    <row r="168" ht="14.25" customHeight="1">
      <c r="A168" s="175"/>
      <c r="B168" s="181" t="s">
        <v>456</v>
      </c>
      <c r="D168" s="209" t="s">
        <v>707</v>
      </c>
      <c r="E168" s="183">
        <f>SUMIFS('DB BTL'!$J:$J,'DB BTL'!$E:$E,$B168,'DB BTL'!$A:$A,$D$4,'DB BTL'!$B:$B,$E$3,'DB BTL'!$D:$D,AA$1)</f>
        <v>85750216</v>
      </c>
      <c r="F168" s="183">
        <f>SUMIFS('DB BTL'!$J:$J,'DB BTL'!$E:$E,$B168,'DB BTL'!$A:$A,$D$4,'DB BTL'!$B:$B,$E$3,'DB BTL'!$D:$D,AA$2)</f>
        <v>66451170</v>
      </c>
      <c r="G168" s="184">
        <f>IFERROR(HLOOKUP($E$3,'Tahun Lalu'!$B$5:$V$158,MATCH(B168,'Tahun Lalu'!$B$5:$B$158,0),0),0)</f>
        <v>70457699</v>
      </c>
      <c r="H168" s="183">
        <f>IFERROR(round(HLOOKUP('Tahun Lalu'!$D$3,RKO!$A$1:$P$171,MATCH(B168,RKO!$A$1:$A$171,0),0)*1000,0),0)</f>
        <v>81717000</v>
      </c>
      <c r="I168" s="183">
        <f>IFERROR(round(HLOOKUP('Tahun Lalu'!$D$3,RKAP!$A$1:$P$171,MATCH(B168,RKAP!$A$1:$A$171,0),0)*1000,0),0)</f>
        <v>81716506</v>
      </c>
      <c r="J168" s="183">
        <f t="shared" si="3"/>
        <v>129.0424473</v>
      </c>
      <c r="K168" s="183">
        <f t="shared" si="4"/>
        <v>121.7045365</v>
      </c>
      <c r="L168" s="183">
        <f t="shared" si="5"/>
        <v>104.9355899</v>
      </c>
      <c r="M168" s="183">
        <f t="shared" si="6"/>
        <v>104.9362243</v>
      </c>
      <c r="N168" s="183">
        <f t="shared" si="218"/>
        <v>350658560</v>
      </c>
      <c r="O168" s="183">
        <f t="shared" ref="O168:Q168" si="219">G168+W168</f>
        <v>491220349</v>
      </c>
      <c r="P168" s="183">
        <f t="shared" si="219"/>
        <v>421955000</v>
      </c>
      <c r="Q168" s="183">
        <f t="shared" si="219"/>
        <v>421954842</v>
      </c>
      <c r="R168" s="183">
        <f t="shared" si="9"/>
        <v>71.38518604</v>
      </c>
      <c r="S168" s="183">
        <f t="shared" si="10"/>
        <v>83.10330722</v>
      </c>
      <c r="T168" s="183">
        <f t="shared" si="11"/>
        <v>83.10333834</v>
      </c>
      <c r="U168" s="186"/>
      <c r="V168" s="183">
        <f>IFERROR(__xludf.DUMMYFUNCTION("""COMPUTED_VALUE"""),2.64908344E8)</f>
        <v>264908344</v>
      </c>
      <c r="W168" s="183">
        <f>IFERROR(__xludf.DUMMYFUNCTION("""COMPUTED_VALUE"""),4.2076265E8)</f>
        <v>420762650</v>
      </c>
      <c r="X168" s="183">
        <f>IFERROR(__xludf.DUMMYFUNCTION("""COMPUTED_VALUE"""),3.40238E8)</f>
        <v>340238000</v>
      </c>
      <c r="Y168" s="183">
        <f>IFERROR(__xludf.DUMMYFUNCTION("""COMPUTED_VALUE"""),3.40238336E8)</f>
        <v>340238336</v>
      </c>
      <c r="Z168" s="183">
        <f t="shared" si="12"/>
        <v>62.95909202</v>
      </c>
      <c r="AA168" s="183">
        <f t="shared" si="13"/>
        <v>77.85971702</v>
      </c>
      <c r="AB168" s="183">
        <f t="shared" si="14"/>
        <v>77.85964013</v>
      </c>
    </row>
    <row r="169" ht="14.25" customHeight="1">
      <c r="A169" s="175"/>
      <c r="B169" s="177"/>
      <c r="D169" s="209" t="s">
        <v>904</v>
      </c>
      <c r="E169" s="183">
        <f>SUMIFS('DB BTL'!$J:$J,'DB BTL'!$E:$E,$B169,'DB BTL'!$A:$A,$D$4,'DB BTL'!$B:$B,$E$3,'DB BTL'!$D:$D,AA$1)</f>
        <v>0</v>
      </c>
      <c r="F169" s="183">
        <f>SUMIFS('DB BTL'!$J:$J,'DB BTL'!$E:$E,$B169,'DB BTL'!$A:$A,$D$4,'DB BTL'!$B:$B,$E$3,'DB BTL'!$D:$D,AA$2)</f>
        <v>0</v>
      </c>
      <c r="G169" s="184">
        <f>IFERROR(HLOOKUP($E$3,'Tahun Lalu'!$B$5:$V$158,MATCH(B169,'Tahun Lalu'!$B$5:$B$158,0),0),0)</f>
        <v>0</v>
      </c>
      <c r="H169" s="183">
        <f>IFERROR(round(HLOOKUP('Tahun Lalu'!$D$3,RKO!$A$1:$P$171,MATCH(B169,RKO!$A$1:$A$171,0),0)*1000,0),0)</f>
        <v>0</v>
      </c>
      <c r="I169" s="183">
        <f>IFERROR(round(HLOOKUP('Tahun Lalu'!$D$3,RKAP!$A$1:$P$171,MATCH(B169,RKAP!$A$1:$A$171,0),0)*1000,0),0)</f>
        <v>0</v>
      </c>
      <c r="J169" s="183">
        <f t="shared" si="3"/>
        <v>0</v>
      </c>
      <c r="K169" s="183">
        <f t="shared" si="4"/>
        <v>0</v>
      </c>
      <c r="L169" s="183">
        <f t="shared" si="5"/>
        <v>0</v>
      </c>
      <c r="M169" s="183">
        <f t="shared" si="6"/>
        <v>0</v>
      </c>
      <c r="N169" s="183">
        <f t="shared" si="218"/>
        <v>0</v>
      </c>
      <c r="O169" s="183">
        <f t="shared" ref="O169:Q169" si="220">G169+W169</f>
        <v>0</v>
      </c>
      <c r="P169" s="183">
        <f t="shared" si="220"/>
        <v>0</v>
      </c>
      <c r="Q169" s="183">
        <f t="shared" si="220"/>
        <v>0</v>
      </c>
      <c r="R169" s="183">
        <f t="shared" si="9"/>
        <v>0</v>
      </c>
      <c r="S169" s="183">
        <f t="shared" si="10"/>
        <v>0</v>
      </c>
      <c r="T169" s="183">
        <f t="shared" si="11"/>
        <v>0</v>
      </c>
      <c r="U169" s="186"/>
      <c r="V169" s="183">
        <f>IFERROR(__xludf.DUMMYFUNCTION("""COMPUTED_VALUE"""),0.0)</f>
        <v>0</v>
      </c>
      <c r="W169" s="183">
        <f>IFERROR(__xludf.DUMMYFUNCTION("""COMPUTED_VALUE"""),0.0)</f>
        <v>0</v>
      </c>
      <c r="X169" s="183">
        <f>IFERROR(__xludf.DUMMYFUNCTION("""COMPUTED_VALUE"""),0.0)</f>
        <v>0</v>
      </c>
      <c r="Y169" s="183">
        <f>IFERROR(__xludf.DUMMYFUNCTION("""COMPUTED_VALUE"""),0.0)</f>
        <v>0</v>
      </c>
      <c r="Z169" s="183">
        <f t="shared" si="12"/>
        <v>0</v>
      </c>
      <c r="AA169" s="183">
        <f t="shared" si="13"/>
        <v>0</v>
      </c>
      <c r="AB169" s="183">
        <f t="shared" si="14"/>
        <v>0</v>
      </c>
    </row>
    <row r="170" ht="14.25" customHeight="1">
      <c r="A170" s="175"/>
      <c r="B170" s="177"/>
      <c r="D170" s="209" t="s">
        <v>905</v>
      </c>
      <c r="E170" s="183">
        <f>SUMIFS('DB BTL'!$J:$J,'DB BTL'!$E:$E,$B170,'DB BTL'!$A:$A,$D$4,'DB BTL'!$B:$B,$E$3,'DB BTL'!$D:$D,AA$1)</f>
        <v>0</v>
      </c>
      <c r="F170" s="183">
        <f>SUMIFS('DB BTL'!$J:$J,'DB BTL'!$E:$E,$B170,'DB BTL'!$A:$A,$D$4,'DB BTL'!$B:$B,$E$3,'DB BTL'!$D:$D,AA$2)</f>
        <v>0</v>
      </c>
      <c r="G170" s="184">
        <f>IFERROR(HLOOKUP($E$3,'Tahun Lalu'!$B$5:$V$158,MATCH(B170,'Tahun Lalu'!$B$5:$B$158,0),0),0)</f>
        <v>0</v>
      </c>
      <c r="H170" s="183">
        <f>IFERROR(round(HLOOKUP('Tahun Lalu'!$D$3,RKO!$A$1:$P$171,MATCH(B170,RKO!$A$1:$A$171,0),0)*1000,0),0)</f>
        <v>0</v>
      </c>
      <c r="I170" s="183">
        <f>IFERROR(round(HLOOKUP('Tahun Lalu'!$D$3,RKAP!$A$1:$P$171,MATCH(B170,RKAP!$A$1:$A$171,0),0)*1000,0),0)</f>
        <v>0</v>
      </c>
      <c r="J170" s="183">
        <f t="shared" si="3"/>
        <v>0</v>
      </c>
      <c r="K170" s="183">
        <f t="shared" si="4"/>
        <v>0</v>
      </c>
      <c r="L170" s="183">
        <f t="shared" si="5"/>
        <v>0</v>
      </c>
      <c r="M170" s="183">
        <f t="shared" si="6"/>
        <v>0</v>
      </c>
      <c r="N170" s="183">
        <f t="shared" si="218"/>
        <v>0</v>
      </c>
      <c r="O170" s="183">
        <f t="shared" ref="O170:Q170" si="221">G170+W170</f>
        <v>0</v>
      </c>
      <c r="P170" s="183">
        <f t="shared" si="221"/>
        <v>0</v>
      </c>
      <c r="Q170" s="183">
        <f t="shared" si="221"/>
        <v>0</v>
      </c>
      <c r="R170" s="183">
        <f t="shared" si="9"/>
        <v>0</v>
      </c>
      <c r="S170" s="183">
        <f t="shared" si="10"/>
        <v>0</v>
      </c>
      <c r="T170" s="183">
        <f t="shared" si="11"/>
        <v>0</v>
      </c>
      <c r="U170" s="186"/>
      <c r="V170" s="183">
        <f>IFERROR(__xludf.DUMMYFUNCTION("""COMPUTED_VALUE"""),0.0)</f>
        <v>0</v>
      </c>
      <c r="W170" s="183">
        <f>IFERROR(__xludf.DUMMYFUNCTION("""COMPUTED_VALUE"""),0.0)</f>
        <v>0</v>
      </c>
      <c r="X170" s="183">
        <f>IFERROR(__xludf.DUMMYFUNCTION("""COMPUTED_VALUE"""),0.0)</f>
        <v>0</v>
      </c>
      <c r="Y170" s="183">
        <f>IFERROR(__xludf.DUMMYFUNCTION("""COMPUTED_VALUE"""),0.0)</f>
        <v>0</v>
      </c>
      <c r="Z170" s="183">
        <f t="shared" si="12"/>
        <v>0</v>
      </c>
      <c r="AA170" s="183">
        <f t="shared" si="13"/>
        <v>0</v>
      </c>
      <c r="AB170" s="183">
        <f t="shared" si="14"/>
        <v>0</v>
      </c>
    </row>
    <row r="171" ht="14.25" customHeight="1">
      <c r="A171" s="175"/>
      <c r="B171" s="177"/>
      <c r="D171" s="209" t="s">
        <v>906</v>
      </c>
      <c r="E171" s="183">
        <f>SUMIFS('DB BTL'!$J:$J,'DB BTL'!$E:$E,$B171,'DB BTL'!$A:$A,$D$4,'DB BTL'!$B:$B,$E$3,'DB BTL'!$D:$D,AA$1)</f>
        <v>0</v>
      </c>
      <c r="F171" s="183">
        <f>SUMIFS('DB BTL'!$J:$J,'DB BTL'!$E:$E,$B171,'DB BTL'!$A:$A,$D$4,'DB BTL'!$B:$B,$E$3,'DB BTL'!$D:$D,AA$2)</f>
        <v>0</v>
      </c>
      <c r="G171" s="184">
        <f>IFERROR(HLOOKUP($E$3,'Tahun Lalu'!$B$5:$V$158,MATCH(B171,'Tahun Lalu'!$B$5:$B$158,0),0),0)</f>
        <v>0</v>
      </c>
      <c r="H171" s="183">
        <f>IFERROR(round(HLOOKUP('Tahun Lalu'!$D$3,RKO!$A$1:$P$171,MATCH(B171,RKO!$A$1:$A$171,0),0)*1000,0),0)</f>
        <v>0</v>
      </c>
      <c r="I171" s="183">
        <f>IFERROR(round(HLOOKUP('Tahun Lalu'!$D$3,RKAP!$A$1:$P$171,MATCH(B171,RKAP!$A$1:$A$171,0),0)*1000,0),0)</f>
        <v>0</v>
      </c>
      <c r="J171" s="183">
        <f t="shared" si="3"/>
        <v>0</v>
      </c>
      <c r="K171" s="183">
        <f t="shared" si="4"/>
        <v>0</v>
      </c>
      <c r="L171" s="183">
        <f t="shared" si="5"/>
        <v>0</v>
      </c>
      <c r="M171" s="183">
        <f t="shared" si="6"/>
        <v>0</v>
      </c>
      <c r="N171" s="183">
        <f t="shared" si="218"/>
        <v>0</v>
      </c>
      <c r="O171" s="183">
        <f t="shared" ref="O171:Q171" si="222">G171+W171</f>
        <v>0</v>
      </c>
      <c r="P171" s="183">
        <f t="shared" si="222"/>
        <v>0</v>
      </c>
      <c r="Q171" s="183">
        <f t="shared" si="222"/>
        <v>0</v>
      </c>
      <c r="R171" s="183">
        <f t="shared" si="9"/>
        <v>0</v>
      </c>
      <c r="S171" s="183">
        <f t="shared" si="10"/>
        <v>0</v>
      </c>
      <c r="T171" s="183">
        <f t="shared" si="11"/>
        <v>0</v>
      </c>
      <c r="U171" s="186"/>
      <c r="V171" s="183">
        <f>IFERROR(__xludf.DUMMYFUNCTION("""COMPUTED_VALUE"""),0.0)</f>
        <v>0</v>
      </c>
      <c r="W171" s="183">
        <f>IFERROR(__xludf.DUMMYFUNCTION("""COMPUTED_VALUE"""),0.0)</f>
        <v>0</v>
      </c>
      <c r="X171" s="183">
        <f>IFERROR(__xludf.DUMMYFUNCTION("""COMPUTED_VALUE"""),0.0)</f>
        <v>0</v>
      </c>
      <c r="Y171" s="183">
        <f>IFERROR(__xludf.DUMMYFUNCTION("""COMPUTED_VALUE"""),0.0)</f>
        <v>0</v>
      </c>
      <c r="Z171" s="183">
        <f t="shared" si="12"/>
        <v>0</v>
      </c>
      <c r="AA171" s="183">
        <f t="shared" si="13"/>
        <v>0</v>
      </c>
      <c r="AB171" s="183">
        <f t="shared" si="14"/>
        <v>0</v>
      </c>
    </row>
    <row r="172" ht="14.25" customHeight="1">
      <c r="A172" s="175"/>
      <c r="B172" s="181" t="s">
        <v>475</v>
      </c>
      <c r="D172" s="209" t="s">
        <v>708</v>
      </c>
      <c r="E172" s="183">
        <f>SUMIFS('DB BTL'!$J:$J,'DB BTL'!$E:$E,$B172,'DB BTL'!$A:$A,$D$4,'DB BTL'!$B:$B,$E$3,'DB BTL'!$D:$D,AA$1)</f>
        <v>28306050</v>
      </c>
      <c r="F172" s="183">
        <f>SUMIFS('DB BTL'!$J:$J,'DB BTL'!$E:$E,$B172,'DB BTL'!$A:$A,$D$4,'DB BTL'!$B:$B,$E$3,'DB BTL'!$D:$D,AA$2)</f>
        <v>26237103</v>
      </c>
      <c r="G172" s="184">
        <f>IFERROR(HLOOKUP($E$3,'Tahun Lalu'!$B$5:$V$158,MATCH(B172,'Tahun Lalu'!$B$5:$B$158,0),0),0)</f>
        <v>19698252</v>
      </c>
      <c r="H172" s="183">
        <f>IFERROR(round(HLOOKUP('Tahun Lalu'!$D$3,RKO!$A$1:$P$171,MATCH(B172,RKO!$A$1:$A$171,0),0)*1000,0),0)</f>
        <v>22253000</v>
      </c>
      <c r="I172" s="183">
        <f>IFERROR(round(HLOOKUP('Tahun Lalu'!$D$3,RKAP!$A$1:$P$171,MATCH(B172,RKAP!$A$1:$A$171,0),0)*1000,0),0)</f>
        <v>22252551</v>
      </c>
      <c r="J172" s="183">
        <f t="shared" si="3"/>
        <v>107.8855772</v>
      </c>
      <c r="K172" s="183">
        <f t="shared" si="4"/>
        <v>143.6982835</v>
      </c>
      <c r="L172" s="183">
        <f t="shared" si="5"/>
        <v>127.2010515</v>
      </c>
      <c r="M172" s="183">
        <f t="shared" si="6"/>
        <v>127.2036181</v>
      </c>
      <c r="N172" s="183">
        <f t="shared" si="218"/>
        <v>147391474</v>
      </c>
      <c r="O172" s="183">
        <f t="shared" ref="O172:Q172" si="223">G172+W172</f>
        <v>104605037</v>
      </c>
      <c r="P172" s="183">
        <f t="shared" si="223"/>
        <v>120878000</v>
      </c>
      <c r="Q172" s="183">
        <f t="shared" si="223"/>
        <v>120878138</v>
      </c>
      <c r="R172" s="183">
        <f t="shared" si="9"/>
        <v>140.9028458</v>
      </c>
      <c r="S172" s="183">
        <f t="shared" si="10"/>
        <v>121.9340773</v>
      </c>
      <c r="T172" s="183">
        <f t="shared" si="11"/>
        <v>121.9339381</v>
      </c>
      <c r="U172" s="186"/>
      <c r="V172" s="183">
        <f>IFERROR(__xludf.DUMMYFUNCTION("""COMPUTED_VALUE"""),1.19085424E8)</f>
        <v>119085424</v>
      </c>
      <c r="W172" s="183">
        <f>IFERROR(__xludf.DUMMYFUNCTION("""COMPUTED_VALUE"""),8.4906785E7)</f>
        <v>84906785</v>
      </c>
      <c r="X172" s="183">
        <f>IFERROR(__xludf.DUMMYFUNCTION("""COMPUTED_VALUE"""),9.8625E7)</f>
        <v>98625000</v>
      </c>
      <c r="Y172" s="183">
        <f>IFERROR(__xludf.DUMMYFUNCTION("""COMPUTED_VALUE"""),9.8625587E7)</f>
        <v>98625587</v>
      </c>
      <c r="Z172" s="183">
        <f t="shared" si="12"/>
        <v>140.2543083</v>
      </c>
      <c r="AA172" s="183">
        <f t="shared" si="13"/>
        <v>120.7456771</v>
      </c>
      <c r="AB172" s="183">
        <f t="shared" si="14"/>
        <v>120.7449584</v>
      </c>
    </row>
    <row r="173" ht="14.25" customHeight="1">
      <c r="A173" s="175"/>
      <c r="B173" s="177"/>
      <c r="D173" s="209" t="s">
        <v>907</v>
      </c>
      <c r="E173" s="183">
        <f>SUMIFS('DB BTL'!$J:$J,'DB BTL'!$E:$E,$B173,'DB BTL'!$A:$A,$D$4,'DB BTL'!$B:$B,$E$3,'DB BTL'!$D:$D,AA$1)</f>
        <v>0</v>
      </c>
      <c r="F173" s="183">
        <f>SUMIFS('DB BTL'!$J:$J,'DB BTL'!$E:$E,$B173,'DB BTL'!$A:$A,$D$4,'DB BTL'!$B:$B,$E$3,'DB BTL'!$D:$D,AA$2)</f>
        <v>0</v>
      </c>
      <c r="G173" s="184">
        <f>IFERROR(HLOOKUP($E$3,'Tahun Lalu'!$B$5:$V$158,MATCH(B173,'Tahun Lalu'!$B$5:$B$158,0),0),0)</f>
        <v>0</v>
      </c>
      <c r="H173" s="183">
        <f>IFERROR(round(HLOOKUP('Tahun Lalu'!$D$3,RKO!$A$1:$P$171,MATCH(B173,RKO!$A$1:$A$171,0),0)*1000,0),0)</f>
        <v>0</v>
      </c>
      <c r="I173" s="183">
        <f>IFERROR(round(HLOOKUP('Tahun Lalu'!$D$3,RKAP!$A$1:$P$171,MATCH(B173,RKAP!$A$1:$A$171,0),0)*1000,0),0)</f>
        <v>0</v>
      </c>
      <c r="J173" s="183">
        <f t="shared" si="3"/>
        <v>0</v>
      </c>
      <c r="K173" s="183">
        <f t="shared" si="4"/>
        <v>0</v>
      </c>
      <c r="L173" s="183">
        <f t="shared" si="5"/>
        <v>0</v>
      </c>
      <c r="M173" s="183">
        <f t="shared" si="6"/>
        <v>0</v>
      </c>
      <c r="N173" s="183">
        <f t="shared" si="218"/>
        <v>0</v>
      </c>
      <c r="O173" s="183">
        <f t="shared" ref="O173:Q173" si="224">G173+W173</f>
        <v>0</v>
      </c>
      <c r="P173" s="183">
        <f t="shared" si="224"/>
        <v>0</v>
      </c>
      <c r="Q173" s="183">
        <f t="shared" si="224"/>
        <v>0</v>
      </c>
      <c r="R173" s="183">
        <f t="shared" si="9"/>
        <v>0</v>
      </c>
      <c r="S173" s="183">
        <f t="shared" si="10"/>
        <v>0</v>
      </c>
      <c r="T173" s="183">
        <f t="shared" si="11"/>
        <v>0</v>
      </c>
      <c r="U173" s="186"/>
      <c r="V173" s="183">
        <f>IFERROR(__xludf.DUMMYFUNCTION("""COMPUTED_VALUE"""),0.0)</f>
        <v>0</v>
      </c>
      <c r="W173" s="183">
        <f>IFERROR(__xludf.DUMMYFUNCTION("""COMPUTED_VALUE"""),0.0)</f>
        <v>0</v>
      </c>
      <c r="X173" s="183">
        <f>IFERROR(__xludf.DUMMYFUNCTION("""COMPUTED_VALUE"""),0.0)</f>
        <v>0</v>
      </c>
      <c r="Y173" s="183">
        <f>IFERROR(__xludf.DUMMYFUNCTION("""COMPUTED_VALUE"""),0.0)</f>
        <v>0</v>
      </c>
      <c r="Z173" s="183">
        <f t="shared" si="12"/>
        <v>0</v>
      </c>
      <c r="AA173" s="183">
        <f t="shared" si="13"/>
        <v>0</v>
      </c>
      <c r="AB173" s="183">
        <f t="shared" si="14"/>
        <v>0</v>
      </c>
    </row>
    <row r="174" ht="14.25" customHeight="1">
      <c r="A174" s="175"/>
      <c r="B174" s="181" t="s">
        <v>482</v>
      </c>
      <c r="D174" s="209" t="s">
        <v>709</v>
      </c>
      <c r="E174" s="183">
        <f>SUMIFS('DB BTL'!$J:$J,'DB BTL'!$E:$E,$B174,'DB BTL'!$A:$A,$D$4,'DB BTL'!$B:$B,$E$3,'DB BTL'!$D:$D,AA$1)</f>
        <v>0</v>
      </c>
      <c r="F174" s="183">
        <f>SUMIFS('DB BTL'!$J:$J,'DB BTL'!$E:$E,$B174,'DB BTL'!$A:$A,$D$4,'DB BTL'!$B:$B,$E$3,'DB BTL'!$D:$D,AA$2)</f>
        <v>0</v>
      </c>
      <c r="G174" s="184">
        <f>IFERROR(HLOOKUP($E$3,'Tahun Lalu'!$B$5:$V$158,MATCH(B174,'Tahun Lalu'!$B$5:$B$158,0),0),0)</f>
        <v>0</v>
      </c>
      <c r="H174" s="183">
        <f>IFERROR(round(HLOOKUP('Tahun Lalu'!$D$3,RKO!$A$1:$P$171,MATCH(B174,RKO!$A$1:$A$171,0),0)*1000,0),0)</f>
        <v>0</v>
      </c>
      <c r="I174" s="183">
        <f>IFERROR(round(HLOOKUP('Tahun Lalu'!$D$3,RKAP!$A$1:$P$171,MATCH(B174,RKAP!$A$1:$A$171,0),0)*1000,0),0)</f>
        <v>0</v>
      </c>
      <c r="J174" s="183">
        <f t="shared" si="3"/>
        <v>0</v>
      </c>
      <c r="K174" s="183">
        <f t="shared" si="4"/>
        <v>0</v>
      </c>
      <c r="L174" s="183">
        <f t="shared" si="5"/>
        <v>0</v>
      </c>
      <c r="M174" s="183">
        <f t="shared" si="6"/>
        <v>0</v>
      </c>
      <c r="N174" s="210">
        <f t="shared" si="218"/>
        <v>200000</v>
      </c>
      <c r="O174" s="183">
        <f t="shared" ref="O174:Q174" si="225">G174+W174</f>
        <v>0</v>
      </c>
      <c r="P174" s="183">
        <f t="shared" si="225"/>
        <v>0</v>
      </c>
      <c r="Q174" s="183">
        <f t="shared" si="225"/>
        <v>0</v>
      </c>
      <c r="R174" s="183">
        <f t="shared" si="9"/>
        <v>0</v>
      </c>
      <c r="S174" s="183">
        <f t="shared" si="10"/>
        <v>0</v>
      </c>
      <c r="T174" s="183">
        <f t="shared" si="11"/>
        <v>0</v>
      </c>
      <c r="U174" s="186"/>
      <c r="V174" s="183">
        <f>IFERROR(__xludf.DUMMYFUNCTION("""COMPUTED_VALUE"""),200000.0)</f>
        <v>200000</v>
      </c>
      <c r="W174" s="183">
        <f>IFERROR(__xludf.DUMMYFUNCTION("""COMPUTED_VALUE"""),0.0)</f>
        <v>0</v>
      </c>
      <c r="X174" s="183">
        <f>IFERROR(__xludf.DUMMYFUNCTION("""COMPUTED_VALUE"""),0.0)</f>
        <v>0</v>
      </c>
      <c r="Y174" s="183">
        <f>IFERROR(__xludf.DUMMYFUNCTION("""COMPUTED_VALUE"""),0.0)</f>
        <v>0</v>
      </c>
      <c r="Z174" s="183">
        <f t="shared" si="12"/>
        <v>0</v>
      </c>
      <c r="AA174" s="183">
        <f t="shared" si="13"/>
        <v>0</v>
      </c>
      <c r="AB174" s="183">
        <f t="shared" si="14"/>
        <v>0</v>
      </c>
    </row>
    <row r="175" ht="14.25" customHeight="1">
      <c r="A175" s="175"/>
      <c r="B175" s="181" t="s">
        <v>459</v>
      </c>
      <c r="D175" s="209" t="s">
        <v>710</v>
      </c>
      <c r="E175" s="183">
        <f>SUMIFS('DB BTL'!$J:$J,'DB BTL'!$E:$E,$B175,'DB BTL'!$A:$A,$D$4,'DB BTL'!$B:$B,$E$3,'DB BTL'!$D:$D,AA$1)</f>
        <v>0</v>
      </c>
      <c r="F175" s="183">
        <f>SUMIFS('DB BTL'!$J:$J,'DB BTL'!$E:$E,$B175,'DB BTL'!$A:$A,$D$4,'DB BTL'!$B:$B,$E$3,'DB BTL'!$D:$D,AA$2)</f>
        <v>518960</v>
      </c>
      <c r="G175" s="184">
        <f>IFERROR(HLOOKUP($E$3,'Tahun Lalu'!$B$5:$V$158,MATCH(B175,'Tahun Lalu'!$B$5:$B$158,0),0),0)</f>
        <v>0</v>
      </c>
      <c r="H175" s="183">
        <f>IFERROR(round(HLOOKUP('Tahun Lalu'!$D$3,RKO!$A$1:$P$171,MATCH(B175,RKO!$A$1:$A$171,0),0)*1000,0),0)</f>
        <v>7190000</v>
      </c>
      <c r="I175" s="183">
        <f>IFERROR(round(HLOOKUP('Tahun Lalu'!$D$3,RKAP!$A$1:$P$171,MATCH(B175,RKAP!$A$1:$A$171,0),0)*1000,0),0)</f>
        <v>7189843</v>
      </c>
      <c r="J175" s="183">
        <f t="shared" si="3"/>
        <v>0</v>
      </c>
      <c r="K175" s="183">
        <f t="shared" si="4"/>
        <v>0</v>
      </c>
      <c r="L175" s="183">
        <f t="shared" si="5"/>
        <v>0</v>
      </c>
      <c r="M175" s="183">
        <f t="shared" si="6"/>
        <v>0</v>
      </c>
      <c r="N175" s="210">
        <f t="shared" si="218"/>
        <v>11248560</v>
      </c>
      <c r="O175" s="183">
        <f t="shared" ref="O175:Q175" si="226">G175+W175</f>
        <v>0</v>
      </c>
      <c r="P175" s="183">
        <f t="shared" si="226"/>
        <v>37167000</v>
      </c>
      <c r="Q175" s="183">
        <f t="shared" si="226"/>
        <v>37165950</v>
      </c>
      <c r="R175" s="183">
        <f t="shared" si="9"/>
        <v>0</v>
      </c>
      <c r="S175" s="183">
        <f t="shared" si="10"/>
        <v>30.26491242</v>
      </c>
      <c r="T175" s="183">
        <f t="shared" si="11"/>
        <v>30.26576746</v>
      </c>
      <c r="U175" s="186"/>
      <c r="V175" s="183">
        <f>IFERROR(__xludf.DUMMYFUNCTION("""COMPUTED_VALUE"""),1.124856E7)</f>
        <v>11248560</v>
      </c>
      <c r="W175" s="183">
        <f>IFERROR(__xludf.DUMMYFUNCTION("""COMPUTED_VALUE"""),0.0)</f>
        <v>0</v>
      </c>
      <c r="X175" s="183">
        <f>IFERROR(__xludf.DUMMYFUNCTION("""COMPUTED_VALUE"""),2.9977E7)</f>
        <v>29977000</v>
      </c>
      <c r="Y175" s="183">
        <f>IFERROR(__xludf.DUMMYFUNCTION("""COMPUTED_VALUE"""),2.9976107E7)</f>
        <v>29976107</v>
      </c>
      <c r="Z175" s="183">
        <f t="shared" si="12"/>
        <v>0</v>
      </c>
      <c r="AA175" s="183">
        <f t="shared" si="13"/>
        <v>37.52396838</v>
      </c>
      <c r="AB175" s="183">
        <f t="shared" si="14"/>
        <v>37.52508623</v>
      </c>
    </row>
    <row r="176" ht="14.25" customHeight="1">
      <c r="A176" s="175"/>
      <c r="B176" s="181" t="s">
        <v>463</v>
      </c>
      <c r="D176" s="209" t="s">
        <v>711</v>
      </c>
      <c r="E176" s="183">
        <f>SUMIFS('DB BTL'!$J:$J,'DB BTL'!$E:$E,$B176,'DB BTL'!$A:$A,$D$4,'DB BTL'!$B:$B,$E$3,'DB BTL'!$D:$D,AA$1)</f>
        <v>17108848</v>
      </c>
      <c r="F176" s="183">
        <f>SUMIFS('DB BTL'!$J:$J,'DB BTL'!$E:$E,$B176,'DB BTL'!$A:$A,$D$4,'DB BTL'!$B:$B,$E$3,'DB BTL'!$D:$D,AA$2)</f>
        <v>14146340</v>
      </c>
      <c r="G176" s="184">
        <f>IFERROR(HLOOKUP($E$3,'Tahun Lalu'!$B$5:$V$158,MATCH(B176,'Tahun Lalu'!$B$5:$B$158,0),0),0)</f>
        <v>13718574</v>
      </c>
      <c r="H176" s="183">
        <f>IFERROR(round(HLOOKUP('Tahun Lalu'!$D$3,RKO!$A$1:$P$171,MATCH(B176,RKO!$A$1:$A$171,0),0)*1000,0),0)</f>
        <v>0</v>
      </c>
      <c r="I176" s="183">
        <f>IFERROR(round(HLOOKUP('Tahun Lalu'!$D$3,RKAP!$A$1:$P$171,MATCH(B176,RKAP!$A$1:$A$171,0),0)*1000,0),0)</f>
        <v>0</v>
      </c>
      <c r="J176" s="183">
        <f t="shared" si="3"/>
        <v>120.9418691</v>
      </c>
      <c r="K176" s="183">
        <f t="shared" si="4"/>
        <v>124.7130205</v>
      </c>
      <c r="L176" s="183">
        <f t="shared" si="5"/>
        <v>0</v>
      </c>
      <c r="M176" s="183">
        <f t="shared" si="6"/>
        <v>0</v>
      </c>
      <c r="N176" s="210">
        <f t="shared" si="218"/>
        <v>76299040</v>
      </c>
      <c r="O176" s="183">
        <f t="shared" ref="O176:Q176" si="227">G176+W176</f>
        <v>79631679</v>
      </c>
      <c r="P176" s="183">
        <f t="shared" si="227"/>
        <v>0</v>
      </c>
      <c r="Q176" s="183">
        <f t="shared" si="227"/>
        <v>0</v>
      </c>
      <c r="R176" s="183">
        <f t="shared" si="9"/>
        <v>95.81493315</v>
      </c>
      <c r="S176" s="183">
        <f t="shared" si="10"/>
        <v>0</v>
      </c>
      <c r="T176" s="183">
        <f t="shared" si="11"/>
        <v>0</v>
      </c>
      <c r="U176" s="186"/>
      <c r="V176" s="183">
        <f>IFERROR(__xludf.DUMMYFUNCTION("""COMPUTED_VALUE"""),5.9190192E7)</f>
        <v>59190192</v>
      </c>
      <c r="W176" s="183">
        <f>IFERROR(__xludf.DUMMYFUNCTION("""COMPUTED_VALUE"""),6.5913105E7)</f>
        <v>65913105</v>
      </c>
      <c r="X176" s="183">
        <f>IFERROR(__xludf.DUMMYFUNCTION("""COMPUTED_VALUE"""),0.0)</f>
        <v>0</v>
      </c>
      <c r="Y176" s="183">
        <f>IFERROR(__xludf.DUMMYFUNCTION("""COMPUTED_VALUE"""),0.0)</f>
        <v>0</v>
      </c>
      <c r="Z176" s="183">
        <f t="shared" si="12"/>
        <v>89.8003394</v>
      </c>
      <c r="AA176" s="183">
        <f t="shared" si="13"/>
        <v>0</v>
      </c>
      <c r="AB176" s="183">
        <f t="shared" si="14"/>
        <v>0</v>
      </c>
    </row>
    <row r="177" ht="14.25" customHeight="1">
      <c r="A177" s="175"/>
      <c r="B177" s="181" t="s">
        <v>469</v>
      </c>
      <c r="D177" s="209" t="s">
        <v>712</v>
      </c>
      <c r="E177" s="183">
        <f>SUMIFS('DB BTL'!$J:$J,'DB BTL'!$E:$E,$B177,'DB BTL'!$A:$A,$D$4,'DB BTL'!$B:$B,$E$3,'DB BTL'!$D:$D,AA$1)</f>
        <v>0</v>
      </c>
      <c r="F177" s="183">
        <f>SUMIFS('DB BTL'!$J:$J,'DB BTL'!$E:$E,$B177,'DB BTL'!$A:$A,$D$4,'DB BTL'!$B:$B,$E$3,'DB BTL'!$D:$D,AA$2)</f>
        <v>425000</v>
      </c>
      <c r="G177" s="184">
        <f>IFERROR(HLOOKUP($E$3,'Tahun Lalu'!$B$5:$V$158,MATCH(B177,'Tahun Lalu'!$B$5:$B$158,0),0),0)</f>
        <v>1225000</v>
      </c>
      <c r="H177" s="183">
        <f>IFERROR(round(HLOOKUP('Tahun Lalu'!$D$3,RKO!$A$1:$P$171,MATCH(B177,RKO!$A$1:$A$171,0),0)*1000,0),0)</f>
        <v>0</v>
      </c>
      <c r="I177" s="183">
        <f>IFERROR(round(HLOOKUP('Tahun Lalu'!$D$3,RKAP!$A$1:$P$171,MATCH(B177,RKAP!$A$1:$A$171,0),0)*1000,0),0)</f>
        <v>0</v>
      </c>
      <c r="J177" s="183">
        <f t="shared" si="3"/>
        <v>0</v>
      </c>
      <c r="K177" s="183">
        <f t="shared" si="4"/>
        <v>0</v>
      </c>
      <c r="L177" s="183">
        <f t="shared" si="5"/>
        <v>0</v>
      </c>
      <c r="M177" s="183">
        <f t="shared" si="6"/>
        <v>0</v>
      </c>
      <c r="N177" s="183">
        <f t="shared" si="218"/>
        <v>3660000</v>
      </c>
      <c r="O177" s="183">
        <f t="shared" ref="O177:Q177" si="228">G177+W177</f>
        <v>4131000</v>
      </c>
      <c r="P177" s="183">
        <f t="shared" si="228"/>
        <v>0</v>
      </c>
      <c r="Q177" s="183">
        <f t="shared" si="228"/>
        <v>0</v>
      </c>
      <c r="R177" s="183">
        <f t="shared" si="9"/>
        <v>88.59840232</v>
      </c>
      <c r="S177" s="183">
        <f t="shared" si="10"/>
        <v>0</v>
      </c>
      <c r="T177" s="183">
        <f t="shared" si="11"/>
        <v>0</v>
      </c>
      <c r="U177" s="186"/>
      <c r="V177" s="183">
        <f>IFERROR(__xludf.DUMMYFUNCTION("""COMPUTED_VALUE"""),3660000.0)</f>
        <v>3660000</v>
      </c>
      <c r="W177" s="183">
        <f>IFERROR(__xludf.DUMMYFUNCTION("""COMPUTED_VALUE"""),2906000.0)</f>
        <v>2906000</v>
      </c>
      <c r="X177" s="183">
        <f>IFERROR(__xludf.DUMMYFUNCTION("""COMPUTED_VALUE"""),0.0)</f>
        <v>0</v>
      </c>
      <c r="Y177" s="183">
        <f>IFERROR(__xludf.DUMMYFUNCTION("""COMPUTED_VALUE"""),0.0)</f>
        <v>0</v>
      </c>
      <c r="Z177" s="183">
        <f t="shared" si="12"/>
        <v>125.946318</v>
      </c>
      <c r="AA177" s="183">
        <f t="shared" si="13"/>
        <v>0</v>
      </c>
      <c r="AB177" s="183">
        <f t="shared" si="14"/>
        <v>0</v>
      </c>
    </row>
    <row r="178" ht="14.25" customHeight="1">
      <c r="A178" s="175"/>
      <c r="B178" s="181" t="s">
        <v>487</v>
      </c>
      <c r="D178" s="209" t="s">
        <v>713</v>
      </c>
      <c r="E178" s="183">
        <f>SUMIFS('DB BTL'!$J:$J,'DB BTL'!$E:$E,$B178,'DB BTL'!$A:$A,$D$4,'DB BTL'!$B:$B,$E$3,'DB BTL'!$D:$D,AA$1)</f>
        <v>11492000</v>
      </c>
      <c r="F178" s="183">
        <f>SUMIFS('DB BTL'!$J:$J,'DB BTL'!$E:$E,$B178,'DB BTL'!$A:$A,$D$4,'DB BTL'!$B:$B,$E$3,'DB BTL'!$D:$D,AA$2)</f>
        <v>15184000</v>
      </c>
      <c r="G178" s="184">
        <f>IFERROR(HLOOKUP($E$3,'Tahun Lalu'!$B$5:$V$158,MATCH(B178,'Tahun Lalu'!$B$5:$B$158,0),0),0)</f>
        <v>8320000</v>
      </c>
      <c r="H178" s="183">
        <f>IFERROR(round(HLOOKUP('Tahun Lalu'!$D$3,RKO!$A$1:$P$171,MATCH(B178,RKO!$A$1:$A$171,0),0)*1000,0),0)</f>
        <v>0</v>
      </c>
      <c r="I178" s="183">
        <f>IFERROR(round(HLOOKUP('Tahun Lalu'!$D$3,RKAP!$A$1:$P$171,MATCH(B178,RKAP!$A$1:$A$171,0),0)*1000,0),0)</f>
        <v>0</v>
      </c>
      <c r="J178" s="183">
        <f t="shared" si="3"/>
        <v>75.68493151</v>
      </c>
      <c r="K178" s="183">
        <f t="shared" si="4"/>
        <v>138.125</v>
      </c>
      <c r="L178" s="183">
        <f t="shared" si="5"/>
        <v>0</v>
      </c>
      <c r="M178" s="183">
        <f t="shared" si="6"/>
        <v>0</v>
      </c>
      <c r="N178" s="210">
        <f t="shared" si="218"/>
        <v>57840000</v>
      </c>
      <c r="O178" s="183">
        <f t="shared" ref="O178:Q178" si="229">G178+W178</f>
        <v>24980000</v>
      </c>
      <c r="P178" s="183">
        <f t="shared" si="229"/>
        <v>0</v>
      </c>
      <c r="Q178" s="183">
        <f t="shared" si="229"/>
        <v>0</v>
      </c>
      <c r="R178" s="183">
        <f t="shared" si="9"/>
        <v>231.5452362</v>
      </c>
      <c r="S178" s="183">
        <f t="shared" si="10"/>
        <v>0</v>
      </c>
      <c r="T178" s="183">
        <f t="shared" si="11"/>
        <v>0</v>
      </c>
      <c r="U178" s="186"/>
      <c r="V178" s="183">
        <f>IFERROR(__xludf.DUMMYFUNCTION("""COMPUTED_VALUE"""),4.6348E7)</f>
        <v>46348000</v>
      </c>
      <c r="W178" s="183">
        <f>IFERROR(__xludf.DUMMYFUNCTION("""COMPUTED_VALUE"""),1.666E7)</f>
        <v>16660000</v>
      </c>
      <c r="X178" s="183">
        <f>IFERROR(__xludf.DUMMYFUNCTION("""COMPUTED_VALUE"""),0.0)</f>
        <v>0</v>
      </c>
      <c r="Y178" s="183">
        <f>IFERROR(__xludf.DUMMYFUNCTION("""COMPUTED_VALUE"""),0.0)</f>
        <v>0</v>
      </c>
      <c r="Z178" s="183">
        <f t="shared" si="12"/>
        <v>278.1992797</v>
      </c>
      <c r="AA178" s="183">
        <f t="shared" si="13"/>
        <v>0</v>
      </c>
      <c r="AB178" s="183">
        <f t="shared" si="14"/>
        <v>0</v>
      </c>
    </row>
    <row r="179" ht="14.25" customHeight="1">
      <c r="A179" s="175"/>
      <c r="B179" s="181" t="s">
        <v>556</v>
      </c>
      <c r="D179" s="209" t="s">
        <v>908</v>
      </c>
      <c r="E179" s="183">
        <f>SUMIFS('DB BTL'!$J:$J,'DB BTL'!$E:$E,$B179,'DB BTL'!$A:$A,$D$4,'DB BTL'!$B:$B,$E$3,'DB BTL'!$D:$D,AA$1)</f>
        <v>0</v>
      </c>
      <c r="F179" s="183">
        <f>SUMIFS('DB BTL'!$J:$J,'DB BTL'!$E:$E,$B179,'DB BTL'!$A:$A,$D$4,'DB BTL'!$B:$B,$E$3,'DB BTL'!$D:$D,AA$2)</f>
        <v>0</v>
      </c>
      <c r="G179" s="184">
        <f>IFERROR(HLOOKUP($E$3,'Tahun Lalu'!$B$5:$V$158,MATCH(B179,'Tahun Lalu'!$B$5:$B$158,0),0),0)</f>
        <v>0</v>
      </c>
      <c r="H179" s="183">
        <f>IFERROR(round(HLOOKUP('Tahun Lalu'!$D$3,RKO!$A$1:$P$171,MATCH(B179,RKO!$A$1:$A$171,0),0)*1000,0),0)</f>
        <v>0</v>
      </c>
      <c r="I179" s="183">
        <f>IFERROR(round(HLOOKUP('Tahun Lalu'!$D$3,RKAP!$A$1:$P$171,MATCH(B179,RKAP!$A$1:$A$171,0),0)*1000,0),0)</f>
        <v>0</v>
      </c>
      <c r="J179" s="183">
        <f t="shared" si="3"/>
        <v>0</v>
      </c>
      <c r="K179" s="183">
        <f t="shared" si="4"/>
        <v>0</v>
      </c>
      <c r="L179" s="183">
        <f t="shared" si="5"/>
        <v>0</v>
      </c>
      <c r="M179" s="183">
        <f t="shared" si="6"/>
        <v>0</v>
      </c>
      <c r="N179" s="183">
        <f t="shared" si="218"/>
        <v>0</v>
      </c>
      <c r="O179" s="183">
        <f t="shared" ref="O179:Q179" si="230">G179+W179</f>
        <v>0</v>
      </c>
      <c r="P179" s="183">
        <f t="shared" si="230"/>
        <v>15734000</v>
      </c>
      <c r="Q179" s="183">
        <f t="shared" si="230"/>
        <v>15734250</v>
      </c>
      <c r="R179" s="183">
        <f t="shared" si="9"/>
        <v>0</v>
      </c>
      <c r="S179" s="183">
        <f t="shared" si="10"/>
        <v>0</v>
      </c>
      <c r="T179" s="183">
        <f t="shared" si="11"/>
        <v>0</v>
      </c>
      <c r="U179" s="186"/>
      <c r="V179" s="183">
        <f>IFERROR(__xludf.DUMMYFUNCTION("""COMPUTED_VALUE"""),0.0)</f>
        <v>0</v>
      </c>
      <c r="W179" s="183">
        <f>IFERROR(__xludf.DUMMYFUNCTION("""COMPUTED_VALUE"""),0.0)</f>
        <v>0</v>
      </c>
      <c r="X179" s="183">
        <f>IFERROR(__xludf.DUMMYFUNCTION("""COMPUTED_VALUE"""),1.5734E7)</f>
        <v>15734000</v>
      </c>
      <c r="Y179" s="183">
        <f>IFERROR(__xludf.DUMMYFUNCTION("""COMPUTED_VALUE"""),1.573425E7)</f>
        <v>15734250</v>
      </c>
      <c r="Z179" s="183">
        <f t="shared" si="12"/>
        <v>0</v>
      </c>
      <c r="AA179" s="183">
        <f t="shared" si="13"/>
        <v>0</v>
      </c>
      <c r="AB179" s="183">
        <f t="shared" si="14"/>
        <v>0</v>
      </c>
    </row>
    <row r="180" ht="14.25" customHeight="1">
      <c r="A180" s="175"/>
      <c r="B180" s="181"/>
      <c r="D180" s="209" t="s">
        <v>909</v>
      </c>
      <c r="E180" s="183">
        <f>SUMIFS('DB BTL'!$J:$J,'DB BTL'!$E:$E,$B180,'DB BTL'!$A:$A,$D$4,'DB BTL'!$B:$B,$E$3,'DB BTL'!$D:$D,AA$1)</f>
        <v>0</v>
      </c>
      <c r="F180" s="183">
        <f>SUMIFS('DB BTL'!$J:$J,'DB BTL'!$E:$E,$B180,'DB BTL'!$A:$A,$D$4,'DB BTL'!$B:$B,$E$3,'DB BTL'!$D:$D,AA$2)</f>
        <v>0</v>
      </c>
      <c r="G180" s="184">
        <f>IFERROR(HLOOKUP($E$3,'Tahun Lalu'!$B$5:$V$158,MATCH(B180,'Tahun Lalu'!$B$5:$B$158,0),0),0)</f>
        <v>0</v>
      </c>
      <c r="H180" s="183">
        <f>IFERROR(round(HLOOKUP('Tahun Lalu'!$D$3,RKO!$A$1:$P$171,MATCH(B180,RKO!$A$1:$A$171,0),0)*1000,0),0)</f>
        <v>0</v>
      </c>
      <c r="I180" s="183">
        <f>IFERROR(round(HLOOKUP('Tahun Lalu'!$D$3,RKAP!$A$1:$P$171,MATCH(B180,RKAP!$A$1:$A$171,0),0)*1000,0),0)</f>
        <v>0</v>
      </c>
      <c r="J180" s="183">
        <f t="shared" si="3"/>
        <v>0</v>
      </c>
      <c r="K180" s="183">
        <f t="shared" si="4"/>
        <v>0</v>
      </c>
      <c r="L180" s="183">
        <f t="shared" si="5"/>
        <v>0</v>
      </c>
      <c r="M180" s="183">
        <f t="shared" si="6"/>
        <v>0</v>
      </c>
      <c r="N180" s="183">
        <f t="shared" si="218"/>
        <v>0</v>
      </c>
      <c r="O180" s="183">
        <f t="shared" ref="O180:Q180" si="231">G180+W180</f>
        <v>0</v>
      </c>
      <c r="P180" s="183">
        <f t="shared" si="231"/>
        <v>0</v>
      </c>
      <c r="Q180" s="183">
        <f t="shared" si="231"/>
        <v>0</v>
      </c>
      <c r="R180" s="183">
        <f t="shared" si="9"/>
        <v>0</v>
      </c>
      <c r="S180" s="183">
        <f t="shared" si="10"/>
        <v>0</v>
      </c>
      <c r="T180" s="183">
        <f t="shared" si="11"/>
        <v>0</v>
      </c>
      <c r="U180" s="186"/>
      <c r="V180" s="183">
        <f>IFERROR(__xludf.DUMMYFUNCTION("""COMPUTED_VALUE"""),0.0)</f>
        <v>0</v>
      </c>
      <c r="W180" s="183">
        <f>IFERROR(__xludf.DUMMYFUNCTION("""COMPUTED_VALUE"""),0.0)</f>
        <v>0</v>
      </c>
      <c r="X180" s="183">
        <f>IFERROR(__xludf.DUMMYFUNCTION("""COMPUTED_VALUE"""),0.0)</f>
        <v>0</v>
      </c>
      <c r="Y180" s="183">
        <f>IFERROR(__xludf.DUMMYFUNCTION("""COMPUTED_VALUE"""),0.0)</f>
        <v>0</v>
      </c>
      <c r="Z180" s="183">
        <f t="shared" si="12"/>
        <v>0</v>
      </c>
      <c r="AA180" s="183">
        <f t="shared" si="13"/>
        <v>0</v>
      </c>
      <c r="AB180" s="183">
        <f t="shared" si="14"/>
        <v>0</v>
      </c>
    </row>
    <row r="181" ht="14.25" customHeight="1">
      <c r="A181" s="175"/>
      <c r="B181" s="177"/>
      <c r="D181" s="209" t="s">
        <v>910</v>
      </c>
      <c r="E181" s="183">
        <f>SUMIFS('DB BTL'!$J:$J,'DB BTL'!$E:$E,$B181,'DB BTL'!$A:$A,$D$4,'DB BTL'!$B:$B,$E$3,'DB BTL'!$D:$D,AA$1)</f>
        <v>0</v>
      </c>
      <c r="F181" s="183">
        <f>SUMIFS('DB BTL'!$J:$J,'DB BTL'!$E:$E,$B181,'DB BTL'!$A:$A,$D$4,'DB BTL'!$B:$B,$E$3,'DB BTL'!$D:$D,AA$2)</f>
        <v>0</v>
      </c>
      <c r="G181" s="184">
        <f>IFERROR(HLOOKUP($E$3,'Tahun Lalu'!$B$5:$V$158,MATCH(B181,'Tahun Lalu'!$B$5:$B$158,0),0),0)</f>
        <v>0</v>
      </c>
      <c r="H181" s="183">
        <f>IFERROR(round(HLOOKUP('Tahun Lalu'!$D$3,RKO!$A$1:$P$171,MATCH(B181,RKO!$A$1:$A$171,0),0)*1000,0),0)</f>
        <v>0</v>
      </c>
      <c r="I181" s="183">
        <f>IFERROR(round(HLOOKUP('Tahun Lalu'!$D$3,RKAP!$A$1:$P$171,MATCH(B181,RKAP!$A$1:$A$171,0),0)*1000,0),0)</f>
        <v>0</v>
      </c>
      <c r="J181" s="183">
        <f t="shared" si="3"/>
        <v>0</v>
      </c>
      <c r="K181" s="183">
        <f t="shared" si="4"/>
        <v>0</v>
      </c>
      <c r="L181" s="183">
        <f t="shared" si="5"/>
        <v>0</v>
      </c>
      <c r="M181" s="183">
        <f t="shared" si="6"/>
        <v>0</v>
      </c>
      <c r="N181" s="183">
        <f t="shared" si="218"/>
        <v>0</v>
      </c>
      <c r="O181" s="183">
        <f t="shared" ref="O181:Q181" si="232">G181+W181</f>
        <v>0</v>
      </c>
      <c r="P181" s="183">
        <f t="shared" si="232"/>
        <v>0</v>
      </c>
      <c r="Q181" s="183">
        <f t="shared" si="232"/>
        <v>0</v>
      </c>
      <c r="R181" s="183">
        <f t="shared" si="9"/>
        <v>0</v>
      </c>
      <c r="S181" s="183">
        <f t="shared" si="10"/>
        <v>0</v>
      </c>
      <c r="T181" s="183">
        <f t="shared" si="11"/>
        <v>0</v>
      </c>
      <c r="U181" s="186"/>
      <c r="V181" s="183">
        <f>IFERROR(__xludf.DUMMYFUNCTION("""COMPUTED_VALUE"""),0.0)</f>
        <v>0</v>
      </c>
      <c r="W181" s="183">
        <f>IFERROR(__xludf.DUMMYFUNCTION("""COMPUTED_VALUE"""),0.0)</f>
        <v>0</v>
      </c>
      <c r="X181" s="183">
        <f>IFERROR(__xludf.DUMMYFUNCTION("""COMPUTED_VALUE"""),0.0)</f>
        <v>0</v>
      </c>
      <c r="Y181" s="183">
        <f>IFERROR(__xludf.DUMMYFUNCTION("""COMPUTED_VALUE"""),0.0)</f>
        <v>0</v>
      </c>
      <c r="Z181" s="183">
        <f t="shared" si="12"/>
        <v>0</v>
      </c>
      <c r="AA181" s="183">
        <f t="shared" si="13"/>
        <v>0</v>
      </c>
      <c r="AB181" s="183">
        <f t="shared" si="14"/>
        <v>0</v>
      </c>
    </row>
    <row r="182" ht="14.25" customHeight="1">
      <c r="A182" s="175"/>
      <c r="B182" s="181" t="s">
        <v>548</v>
      </c>
      <c r="D182" s="209" t="s">
        <v>714</v>
      </c>
      <c r="E182" s="183">
        <f>SUMIFS('DB BTL'!$J:$J,'DB BTL'!$E:$E,$B182,'DB BTL'!$A:$A,$D$4,'DB BTL'!$B:$B,$E$3,'DB BTL'!$D:$D,AA$1)</f>
        <v>74115892</v>
      </c>
      <c r="F182" s="183">
        <f>SUMIFS('DB BTL'!$J:$J,'DB BTL'!$E:$E,$B182,'DB BTL'!$A:$A,$D$4,'DB BTL'!$B:$B,$E$3,'DB BTL'!$D:$D,AA$2)</f>
        <v>74115892</v>
      </c>
      <c r="G182" s="184">
        <f>IFERROR(HLOOKUP($E$3,'Tahun Lalu'!$B$5:$V$158,MATCH(B182,'Tahun Lalu'!$B$5:$B$158,0),0),0)</f>
        <v>0</v>
      </c>
      <c r="H182" s="183">
        <f>IFERROR(round(HLOOKUP('Tahun Lalu'!$D$3,RKO!$A$1:$P$171,MATCH(B182,RKO!$A$1:$A$171,0),0)*1000,0),0)</f>
        <v>74116000</v>
      </c>
      <c r="I182" s="183">
        <f>IFERROR(round(HLOOKUP('Tahun Lalu'!$D$3,RKAP!$A$1:$P$171,MATCH(B182,RKAP!$A$1:$A$171,0),0)*1000,0),0)</f>
        <v>74115892</v>
      </c>
      <c r="J182" s="183">
        <f t="shared" si="3"/>
        <v>100</v>
      </c>
      <c r="K182" s="183">
        <f t="shared" si="4"/>
        <v>0</v>
      </c>
      <c r="L182" s="183">
        <f t="shared" si="5"/>
        <v>99.99985428</v>
      </c>
      <c r="M182" s="183">
        <f t="shared" si="6"/>
        <v>100</v>
      </c>
      <c r="N182" s="183">
        <f t="shared" si="218"/>
        <v>370579784</v>
      </c>
      <c r="O182" s="183">
        <f t="shared" ref="O182:Q182" si="233">G182+W182</f>
        <v>0</v>
      </c>
      <c r="P182" s="183">
        <f t="shared" si="233"/>
        <v>370580000</v>
      </c>
      <c r="Q182" s="183">
        <f t="shared" si="233"/>
        <v>370579460</v>
      </c>
      <c r="R182" s="183">
        <f t="shared" si="9"/>
        <v>0</v>
      </c>
      <c r="S182" s="183">
        <f t="shared" si="10"/>
        <v>99.99994171</v>
      </c>
      <c r="T182" s="183">
        <f t="shared" si="11"/>
        <v>100.0000874</v>
      </c>
      <c r="U182" s="186"/>
      <c r="V182" s="183">
        <f>IFERROR(__xludf.DUMMYFUNCTION("""COMPUTED_VALUE"""),2.96463892E8)</f>
        <v>296463892</v>
      </c>
      <c r="W182" s="183">
        <f>IFERROR(__xludf.DUMMYFUNCTION("""COMPUTED_VALUE"""),0.0)</f>
        <v>0</v>
      </c>
      <c r="X182" s="183">
        <f>IFERROR(__xludf.DUMMYFUNCTION("""COMPUTED_VALUE"""),2.96464E8)</f>
        <v>296464000</v>
      </c>
      <c r="Y182" s="183">
        <f>IFERROR(__xludf.DUMMYFUNCTION("""COMPUTED_VALUE"""),2.96463568E8)</f>
        <v>296463568</v>
      </c>
      <c r="Z182" s="183">
        <f t="shared" si="12"/>
        <v>0</v>
      </c>
      <c r="AA182" s="183">
        <f t="shared" si="13"/>
        <v>99.99996357</v>
      </c>
      <c r="AB182" s="183">
        <f t="shared" si="14"/>
        <v>100.0001093</v>
      </c>
    </row>
    <row r="183" ht="14.25" customHeight="1">
      <c r="A183" s="175"/>
      <c r="B183" s="181" t="s">
        <v>571</v>
      </c>
      <c r="D183" s="209" t="s">
        <v>715</v>
      </c>
      <c r="E183" s="183">
        <f>SUMIFS('DB BTL'!$J:$J,'DB BTL'!$E:$E,$B183,'DB BTL'!$A:$A,$D$4,'DB BTL'!$B:$B,$E$3,'DB BTL'!$D:$D,AA$1)</f>
        <v>0</v>
      </c>
      <c r="F183" s="183">
        <f>SUMIFS('DB BTL'!$J:$J,'DB BTL'!$E:$E,$B183,'DB BTL'!$A:$A,$D$4,'DB BTL'!$B:$B,$E$3,'DB BTL'!$D:$D,AA$2)</f>
        <v>0</v>
      </c>
      <c r="G183" s="184">
        <f>IFERROR(HLOOKUP($E$3,'Tahun Lalu'!$B$5:$V$158,MATCH(B183,'Tahun Lalu'!$B$5:$B$158,0),0),0)</f>
        <v>0</v>
      </c>
      <c r="H183" s="183">
        <f>IFERROR(round(HLOOKUP('Tahun Lalu'!$D$3,RKO!$A$1:$P$171,MATCH(B183,RKO!$A$1:$A$171,0),0)*1000,0),0)</f>
        <v>44000</v>
      </c>
      <c r="I183" s="183">
        <f>IFERROR(round(HLOOKUP('Tahun Lalu'!$D$3,RKAP!$A$1:$P$171,MATCH(B183,RKAP!$A$1:$A$171,0),0)*1000,0),0)</f>
        <v>44000</v>
      </c>
      <c r="J183" s="183">
        <f t="shared" si="3"/>
        <v>0</v>
      </c>
      <c r="K183" s="183">
        <f t="shared" si="4"/>
        <v>0</v>
      </c>
      <c r="L183" s="183">
        <f t="shared" si="5"/>
        <v>0</v>
      </c>
      <c r="M183" s="183">
        <f t="shared" si="6"/>
        <v>0</v>
      </c>
      <c r="N183" s="183">
        <f t="shared" si="218"/>
        <v>0</v>
      </c>
      <c r="O183" s="183">
        <f t="shared" ref="O183:Q183" si="234">G183+W183</f>
        <v>72299</v>
      </c>
      <c r="P183" s="183">
        <f t="shared" si="234"/>
        <v>220000</v>
      </c>
      <c r="Q183" s="183">
        <f t="shared" si="234"/>
        <v>220000</v>
      </c>
      <c r="R183" s="183">
        <f t="shared" si="9"/>
        <v>0</v>
      </c>
      <c r="S183" s="183">
        <f t="shared" si="10"/>
        <v>0</v>
      </c>
      <c r="T183" s="183">
        <f t="shared" si="11"/>
        <v>0</v>
      </c>
      <c r="U183" s="186"/>
      <c r="V183" s="183">
        <f>IFERROR(__xludf.DUMMYFUNCTION("""COMPUTED_VALUE"""),0.0)</f>
        <v>0</v>
      </c>
      <c r="W183" s="183">
        <f>IFERROR(__xludf.DUMMYFUNCTION("""COMPUTED_VALUE"""),72299.0)</f>
        <v>72299</v>
      </c>
      <c r="X183" s="183">
        <f>IFERROR(__xludf.DUMMYFUNCTION("""COMPUTED_VALUE"""),176000.0)</f>
        <v>176000</v>
      </c>
      <c r="Y183" s="183">
        <f>IFERROR(__xludf.DUMMYFUNCTION("""COMPUTED_VALUE"""),176000.0)</f>
        <v>176000</v>
      </c>
      <c r="Z183" s="183">
        <f t="shared" si="12"/>
        <v>0</v>
      </c>
      <c r="AA183" s="183">
        <f t="shared" si="13"/>
        <v>0</v>
      </c>
      <c r="AB183" s="183">
        <f t="shared" si="14"/>
        <v>0</v>
      </c>
    </row>
    <row r="184" ht="14.25" customHeight="1">
      <c r="A184" s="175"/>
      <c r="B184" s="181" t="s">
        <v>473</v>
      </c>
      <c r="D184" s="209" t="s">
        <v>716</v>
      </c>
      <c r="E184" s="183">
        <f>SUMIFS('DB BTL'!$J:$J,'DB BTL'!$E:$E,$B184,'DB BTL'!$A:$A,$D$4,'DB BTL'!$B:$B,$E$3,'DB BTL'!$D:$D,AA$1)</f>
        <v>91100501</v>
      </c>
      <c r="F184" s="183">
        <f>SUMIFS('DB BTL'!$J:$J,'DB BTL'!$E:$E,$B184,'DB BTL'!$A:$A,$D$4,'DB BTL'!$B:$B,$E$3,'DB BTL'!$D:$D,AA$2)</f>
        <v>69891788</v>
      </c>
      <c r="G184" s="184">
        <f>IFERROR(HLOOKUP($E$3,'Tahun Lalu'!$B$5:$V$158,MATCH(B184,'Tahun Lalu'!$B$5:$B$158,0),0),0)</f>
        <v>74362776</v>
      </c>
      <c r="H184" s="183">
        <f>IFERROR(round(HLOOKUP('Tahun Lalu'!$D$3,RKO!$A$1:$P$171,MATCH(B184,RKO!$A$1:$A$171,0),0)*1000,0),0)</f>
        <v>98675000</v>
      </c>
      <c r="I184" s="183">
        <f>IFERROR(round(HLOOKUP('Tahun Lalu'!$D$3,RKAP!$A$1:$P$171,MATCH(B184,RKAP!$A$1:$A$171,0),0)*1000,0),0)</f>
        <v>98675422</v>
      </c>
      <c r="J184" s="183">
        <f t="shared" si="3"/>
        <v>130.3450714</v>
      </c>
      <c r="K184" s="183">
        <f t="shared" si="4"/>
        <v>122.5082036</v>
      </c>
      <c r="L184" s="183">
        <f t="shared" si="5"/>
        <v>92.32379123</v>
      </c>
      <c r="M184" s="183">
        <f t="shared" si="6"/>
        <v>92.3233964</v>
      </c>
      <c r="N184" s="183">
        <f t="shared" si="218"/>
        <v>376201783</v>
      </c>
      <c r="O184" s="183">
        <f t="shared" ref="O184:Q184" si="235">G184+W184</f>
        <v>314221037</v>
      </c>
      <c r="P184" s="183">
        <f t="shared" si="235"/>
        <v>510370000</v>
      </c>
      <c r="Q184" s="183">
        <f t="shared" si="235"/>
        <v>510370631</v>
      </c>
      <c r="R184" s="183">
        <f t="shared" si="9"/>
        <v>119.7252057</v>
      </c>
      <c r="S184" s="183">
        <f t="shared" si="10"/>
        <v>73.71157846</v>
      </c>
      <c r="T184" s="183">
        <f t="shared" si="11"/>
        <v>73.71148733</v>
      </c>
      <c r="U184" s="186"/>
      <c r="V184" s="183">
        <f>IFERROR(__xludf.DUMMYFUNCTION("""COMPUTED_VALUE"""),2.85101282E8)</f>
        <v>285101282</v>
      </c>
      <c r="W184" s="183">
        <f>IFERROR(__xludf.DUMMYFUNCTION("""COMPUTED_VALUE"""),2.39858261E8)</f>
        <v>239858261</v>
      </c>
      <c r="X184" s="183">
        <f>IFERROR(__xludf.DUMMYFUNCTION("""COMPUTED_VALUE"""),4.11695E8)</f>
        <v>411695000</v>
      </c>
      <c r="Y184" s="183">
        <f>IFERROR(__xludf.DUMMYFUNCTION("""COMPUTED_VALUE"""),4.11695209E8)</f>
        <v>411695209</v>
      </c>
      <c r="Z184" s="183">
        <f t="shared" si="12"/>
        <v>118.8623985</v>
      </c>
      <c r="AA184" s="183">
        <f t="shared" si="13"/>
        <v>69.25060591</v>
      </c>
      <c r="AB184" s="183">
        <f t="shared" si="14"/>
        <v>69.25057075</v>
      </c>
    </row>
    <row r="185" ht="14.25" customHeight="1">
      <c r="A185" s="175"/>
      <c r="B185" s="181" t="s">
        <v>491</v>
      </c>
      <c r="D185" s="209" t="s">
        <v>717</v>
      </c>
      <c r="E185" s="183">
        <f>SUMIFS('DB BTL'!$J:$J,'DB BTL'!$E:$E,$B185,'DB BTL'!$A:$A,$D$4,'DB BTL'!$B:$B,$E$3,'DB BTL'!$D:$D,AA$1)</f>
        <v>2058988</v>
      </c>
      <c r="F185" s="183">
        <f>SUMIFS('DB BTL'!$J:$J,'DB BTL'!$E:$E,$B185,'DB BTL'!$A:$A,$D$4,'DB BTL'!$B:$B,$E$3,'DB BTL'!$D:$D,AA$2)</f>
        <v>1062968</v>
      </c>
      <c r="G185" s="184">
        <f>IFERROR(HLOOKUP($E$3,'Tahun Lalu'!$B$5:$V$158,MATCH(B185,'Tahun Lalu'!$B$5:$B$158,0),0),0)</f>
        <v>676676</v>
      </c>
      <c r="H185" s="183">
        <f>IFERROR(round(HLOOKUP('Tahun Lalu'!$D$3,RKO!$A$1:$P$171,MATCH(B185,RKO!$A$1:$A$171,0),0)*1000,0),0)</f>
        <v>3675000</v>
      </c>
      <c r="I185" s="183">
        <f>IFERROR(round(HLOOKUP('Tahun Lalu'!$D$3,RKAP!$A$1:$P$171,MATCH(B185,RKAP!$A$1:$A$171,0),0)*1000,0),0)</f>
        <v>3675000</v>
      </c>
      <c r="J185" s="183">
        <f t="shared" si="3"/>
        <v>193.7017859</v>
      </c>
      <c r="K185" s="183">
        <f t="shared" si="4"/>
        <v>304.2797439</v>
      </c>
      <c r="L185" s="183">
        <f t="shared" si="5"/>
        <v>56.02688435</v>
      </c>
      <c r="M185" s="183">
        <f t="shared" si="6"/>
        <v>56.02688435</v>
      </c>
      <c r="N185" s="183">
        <f t="shared" si="218"/>
        <v>7545143</v>
      </c>
      <c r="O185" s="183">
        <f t="shared" ref="O185:Q185" si="236">G185+W185</f>
        <v>4181932</v>
      </c>
      <c r="P185" s="183">
        <f t="shared" si="236"/>
        <v>17850000</v>
      </c>
      <c r="Q185" s="183">
        <f t="shared" si="236"/>
        <v>17850000</v>
      </c>
      <c r="R185" s="183">
        <f t="shared" si="9"/>
        <v>180.422422</v>
      </c>
      <c r="S185" s="183">
        <f t="shared" si="10"/>
        <v>42.26970868</v>
      </c>
      <c r="T185" s="183">
        <f t="shared" si="11"/>
        <v>42.26970868</v>
      </c>
      <c r="U185" s="186"/>
      <c r="V185" s="183">
        <f>IFERROR(__xludf.DUMMYFUNCTION("""COMPUTED_VALUE"""),5486155.0)</f>
        <v>5486155</v>
      </c>
      <c r="W185" s="183">
        <f>IFERROR(__xludf.DUMMYFUNCTION("""COMPUTED_VALUE"""),3505256.0)</f>
        <v>3505256</v>
      </c>
      <c r="X185" s="183">
        <f>IFERROR(__xludf.DUMMYFUNCTION("""COMPUTED_VALUE"""),1.4175E7)</f>
        <v>14175000</v>
      </c>
      <c r="Y185" s="183">
        <f>IFERROR(__xludf.DUMMYFUNCTION("""COMPUTED_VALUE"""),1.4175E7)</f>
        <v>14175000</v>
      </c>
      <c r="Z185" s="183">
        <f t="shared" si="12"/>
        <v>156.512249</v>
      </c>
      <c r="AA185" s="183">
        <f t="shared" si="13"/>
        <v>38.70303351</v>
      </c>
      <c r="AB185" s="183">
        <f t="shared" si="14"/>
        <v>38.70303351</v>
      </c>
    </row>
    <row r="186" ht="14.25" customHeight="1">
      <c r="A186" s="175"/>
      <c r="B186" s="181" t="s">
        <v>494</v>
      </c>
      <c r="D186" s="209" t="s">
        <v>718</v>
      </c>
      <c r="E186" s="183">
        <f>SUMIFS('DB BTL'!$J:$J,'DB BTL'!$E:$E,$B186,'DB BTL'!$A:$A,$D$4,'DB BTL'!$B:$B,$E$3,'DB BTL'!$D:$D,AA$1)</f>
        <v>1050700</v>
      </c>
      <c r="F186" s="183">
        <f>SUMIFS('DB BTL'!$J:$J,'DB BTL'!$E:$E,$B186,'DB BTL'!$A:$A,$D$4,'DB BTL'!$B:$B,$E$3,'DB BTL'!$D:$D,AA$2)</f>
        <v>784900</v>
      </c>
      <c r="G186" s="184">
        <f>IFERROR(HLOOKUP($E$3,'Tahun Lalu'!$B$5:$V$158,MATCH(B186,'Tahun Lalu'!$B$5:$B$158,0),0),0)</f>
        <v>896800</v>
      </c>
      <c r="H186" s="183">
        <f>IFERROR(round(HLOOKUP('Tahun Lalu'!$D$3,RKO!$A$1:$P$171,MATCH(B186,RKO!$A$1:$A$171,0),0)*1000,0),0)</f>
        <v>1705000</v>
      </c>
      <c r="I186" s="183">
        <f>IFERROR(round(HLOOKUP('Tahun Lalu'!$D$3,RKAP!$A$1:$P$171,MATCH(B186,RKAP!$A$1:$A$171,0),0)*1000,0),0)</f>
        <v>1705000</v>
      </c>
      <c r="J186" s="183">
        <f t="shared" si="3"/>
        <v>133.8641865</v>
      </c>
      <c r="K186" s="183">
        <f t="shared" si="4"/>
        <v>117.1610169</v>
      </c>
      <c r="L186" s="183">
        <f t="shared" si="5"/>
        <v>61.62463343</v>
      </c>
      <c r="M186" s="183">
        <f t="shared" si="6"/>
        <v>61.62463343</v>
      </c>
      <c r="N186" s="183">
        <f t="shared" si="218"/>
        <v>5155900</v>
      </c>
      <c r="O186" s="183">
        <f t="shared" ref="O186:Q186" si="237">G186+W186</f>
        <v>4357200</v>
      </c>
      <c r="P186" s="183">
        <f t="shared" si="237"/>
        <v>8360000</v>
      </c>
      <c r="Q186" s="183">
        <f t="shared" si="237"/>
        <v>8360000</v>
      </c>
      <c r="R186" s="183">
        <f t="shared" si="9"/>
        <v>118.3305793</v>
      </c>
      <c r="S186" s="183">
        <f t="shared" si="10"/>
        <v>61.67344498</v>
      </c>
      <c r="T186" s="183">
        <f t="shared" si="11"/>
        <v>61.67344498</v>
      </c>
      <c r="U186" s="186"/>
      <c r="V186" s="183">
        <f>IFERROR(__xludf.DUMMYFUNCTION("""COMPUTED_VALUE"""),4105200.0)</f>
        <v>4105200</v>
      </c>
      <c r="W186" s="183">
        <f>IFERROR(__xludf.DUMMYFUNCTION("""COMPUTED_VALUE"""),3460400.0)</f>
        <v>3460400</v>
      </c>
      <c r="X186" s="183">
        <f>IFERROR(__xludf.DUMMYFUNCTION("""COMPUTED_VALUE"""),6655000.0)</f>
        <v>6655000</v>
      </c>
      <c r="Y186" s="183">
        <f>IFERROR(__xludf.DUMMYFUNCTION("""COMPUTED_VALUE"""),6655000.0)</f>
        <v>6655000</v>
      </c>
      <c r="Z186" s="183">
        <f t="shared" si="12"/>
        <v>118.633684</v>
      </c>
      <c r="AA186" s="183">
        <f t="shared" si="13"/>
        <v>61.68595041</v>
      </c>
      <c r="AB186" s="183">
        <f t="shared" si="14"/>
        <v>61.68595041</v>
      </c>
    </row>
    <row r="187" ht="14.25" customHeight="1">
      <c r="A187" s="175"/>
      <c r="B187" s="181" t="s">
        <v>533</v>
      </c>
      <c r="D187" s="209" t="s">
        <v>719</v>
      </c>
      <c r="E187" s="183">
        <f>SUMIFS('DB BTL'!$J:$J,'DB BTL'!$E:$E,$B187,'DB BTL'!$A:$A,$D$4,'DB BTL'!$B:$B,$E$3,'DB BTL'!$D:$D,AA$1)</f>
        <v>0</v>
      </c>
      <c r="F187" s="183">
        <f>SUMIFS('DB BTL'!$J:$J,'DB BTL'!$E:$E,$B187,'DB BTL'!$A:$A,$D$4,'DB BTL'!$B:$B,$E$3,'DB BTL'!$D:$D,AA$2)</f>
        <v>0</v>
      </c>
      <c r="G187" s="184">
        <f>IFERROR(HLOOKUP($E$3,'Tahun Lalu'!$B$5:$V$158,MATCH(B187,'Tahun Lalu'!$B$5:$B$158,0),0),0)</f>
        <v>0</v>
      </c>
      <c r="H187" s="183">
        <f>IFERROR(round(HLOOKUP('Tahun Lalu'!$D$3,RKO!$A$1:$P$171,MATCH(B187,RKO!$A$1:$A$171,0),0)*1000,0),0)</f>
        <v>0</v>
      </c>
      <c r="I187" s="183">
        <f>IFERROR(round(HLOOKUP('Tahun Lalu'!$D$3,RKAP!$A$1:$P$171,MATCH(B187,RKAP!$A$1:$A$171,0),0)*1000,0),0)</f>
        <v>0</v>
      </c>
      <c r="J187" s="183">
        <f t="shared" si="3"/>
        <v>0</v>
      </c>
      <c r="K187" s="183">
        <f t="shared" si="4"/>
        <v>0</v>
      </c>
      <c r="L187" s="183">
        <f t="shared" si="5"/>
        <v>0</v>
      </c>
      <c r="M187" s="183">
        <f t="shared" si="6"/>
        <v>0</v>
      </c>
      <c r="N187" s="183">
        <f t="shared" si="218"/>
        <v>0</v>
      </c>
      <c r="O187" s="183">
        <f t="shared" ref="O187:Q187" si="238">G187+W187</f>
        <v>0</v>
      </c>
      <c r="P187" s="183">
        <f t="shared" si="238"/>
        <v>0</v>
      </c>
      <c r="Q187" s="183">
        <f t="shared" si="238"/>
        <v>0</v>
      </c>
      <c r="R187" s="183">
        <f t="shared" si="9"/>
        <v>0</v>
      </c>
      <c r="S187" s="183">
        <f t="shared" si="10"/>
        <v>0</v>
      </c>
      <c r="T187" s="183">
        <f t="shared" si="11"/>
        <v>0</v>
      </c>
      <c r="U187" s="186"/>
      <c r="V187" s="183">
        <f>IFERROR(__xludf.DUMMYFUNCTION("""COMPUTED_VALUE"""),0.0)</f>
        <v>0</v>
      </c>
      <c r="W187" s="183">
        <f>IFERROR(__xludf.DUMMYFUNCTION("""COMPUTED_VALUE"""),0.0)</f>
        <v>0</v>
      </c>
      <c r="X187" s="183">
        <f>IFERROR(__xludf.DUMMYFUNCTION("""COMPUTED_VALUE"""),0.0)</f>
        <v>0</v>
      </c>
      <c r="Y187" s="183">
        <f>IFERROR(__xludf.DUMMYFUNCTION("""COMPUTED_VALUE"""),0.0)</f>
        <v>0</v>
      </c>
      <c r="Z187" s="183">
        <f t="shared" si="12"/>
        <v>0</v>
      </c>
      <c r="AA187" s="183">
        <f t="shared" si="13"/>
        <v>0</v>
      </c>
      <c r="AB187" s="183">
        <f t="shared" si="14"/>
        <v>0</v>
      </c>
    </row>
    <row r="188" ht="14.25" customHeight="1">
      <c r="A188" s="175"/>
      <c r="B188" s="221"/>
      <c r="C188" s="222"/>
      <c r="D188" s="233" t="s">
        <v>911</v>
      </c>
      <c r="E188" s="224">
        <f t="shared" ref="E188:I188" si="239">sum(E166:E187)</f>
        <v>385614822</v>
      </c>
      <c r="F188" s="224">
        <f t="shared" si="239"/>
        <v>337655421</v>
      </c>
      <c r="G188" s="224">
        <f t="shared" si="239"/>
        <v>233643308</v>
      </c>
      <c r="H188" s="224">
        <f t="shared" si="239"/>
        <v>342049000</v>
      </c>
      <c r="I188" s="224">
        <f t="shared" si="239"/>
        <v>342048189</v>
      </c>
      <c r="J188" s="224">
        <f t="shared" si="3"/>
        <v>114.203652</v>
      </c>
      <c r="K188" s="224">
        <f t="shared" si="4"/>
        <v>165.04424</v>
      </c>
      <c r="L188" s="224">
        <f t="shared" si="5"/>
        <v>112.7367196</v>
      </c>
      <c r="M188" s="224">
        <f t="shared" si="6"/>
        <v>112.7369869</v>
      </c>
      <c r="N188" s="224">
        <f t="shared" ref="N188:Q188" si="240">sum(N166:N187)</f>
        <v>1735068790</v>
      </c>
      <c r="O188" s="224">
        <f t="shared" si="240"/>
        <v>1255453018</v>
      </c>
      <c r="P188" s="224">
        <f t="shared" si="240"/>
        <v>1768453000</v>
      </c>
      <c r="Q188" s="224">
        <f t="shared" si="240"/>
        <v>1768452450</v>
      </c>
      <c r="R188" s="224">
        <f t="shared" si="9"/>
        <v>138.2026062</v>
      </c>
      <c r="S188" s="224">
        <f t="shared" si="10"/>
        <v>98.11223651</v>
      </c>
      <c r="T188" s="224">
        <f t="shared" si="11"/>
        <v>98.11226703</v>
      </c>
      <c r="U188" s="225"/>
      <c r="V188" s="224">
        <f>IFERROR(__xludf.DUMMYFUNCTION("""COMPUTED_VALUE"""),1.349453968E9)</f>
        <v>1349453968</v>
      </c>
      <c r="W188" s="224">
        <f>IFERROR(__xludf.DUMMYFUNCTION("""COMPUTED_VALUE"""),1.02180971E9)</f>
        <v>1021809710</v>
      </c>
      <c r="X188" s="224">
        <f>IFERROR(__xludf.DUMMYFUNCTION("""COMPUTED_VALUE"""),1.426404E9)</f>
        <v>1426404000</v>
      </c>
      <c r="Y188" s="224">
        <f>IFERROR(__xludf.DUMMYFUNCTION("""COMPUTED_VALUE"""),1.426404261E9)</f>
        <v>1426404261</v>
      </c>
      <c r="Z188" s="224">
        <f t="shared" si="12"/>
        <v>132.0650954</v>
      </c>
      <c r="AA188" s="224">
        <f t="shared" si="13"/>
        <v>94.60531294</v>
      </c>
      <c r="AB188" s="224">
        <f t="shared" si="14"/>
        <v>94.60529563</v>
      </c>
    </row>
    <row r="189" ht="14.25" customHeight="1">
      <c r="A189" s="175"/>
      <c r="B189" s="221" t="s">
        <v>912</v>
      </c>
      <c r="C189" s="222"/>
      <c r="D189" s="223"/>
      <c r="E189" s="235">
        <f t="shared" ref="E189:I189" si="241">E188+E165</f>
        <v>675583224</v>
      </c>
      <c r="F189" s="235">
        <f t="shared" si="241"/>
        <v>627623817</v>
      </c>
      <c r="G189" s="235">
        <f t="shared" si="241"/>
        <v>531177802</v>
      </c>
      <c r="H189" s="235">
        <f t="shared" si="241"/>
        <v>639583503</v>
      </c>
      <c r="I189" s="235">
        <f t="shared" si="241"/>
        <v>639582189</v>
      </c>
      <c r="J189" s="235">
        <f t="shared" si="3"/>
        <v>107.6414256</v>
      </c>
      <c r="K189" s="235">
        <f t="shared" si="4"/>
        <v>127.1858917</v>
      </c>
      <c r="L189" s="235">
        <f t="shared" si="5"/>
        <v>105.6286194</v>
      </c>
      <c r="M189" s="235">
        <f t="shared" si="6"/>
        <v>105.6288364</v>
      </c>
      <c r="N189" s="235">
        <f t="shared" ref="N189:Q189" si="242">N188+N165</f>
        <v>3184910790</v>
      </c>
      <c r="O189" s="235">
        <f t="shared" si="242"/>
        <v>2743125472</v>
      </c>
      <c r="P189" s="235">
        <f t="shared" si="242"/>
        <v>3256125515</v>
      </c>
      <c r="Q189" s="235">
        <f t="shared" si="242"/>
        <v>3256122450</v>
      </c>
      <c r="R189" s="235">
        <f t="shared" si="9"/>
        <v>116.1051808</v>
      </c>
      <c r="S189" s="235">
        <f t="shared" si="10"/>
        <v>97.81289988</v>
      </c>
      <c r="T189" s="235">
        <f t="shared" si="11"/>
        <v>97.81299195</v>
      </c>
      <c r="U189" s="202"/>
      <c r="V189" s="235">
        <f>IFERROR(__xludf.DUMMYFUNCTION("""COMPUTED_VALUE"""),2.509327566E9)</f>
        <v>2509327566</v>
      </c>
      <c r="W189" s="235">
        <f>IFERROR(__xludf.DUMMYFUNCTION("""COMPUTED_VALUE"""),2.21194767E9)</f>
        <v>2211947670</v>
      </c>
      <c r="X189" s="235">
        <f>IFERROR(__xludf.DUMMYFUNCTION("""COMPUTED_VALUE"""),2.616542012E9)</f>
        <v>2616542012</v>
      </c>
      <c r="Y189" s="235">
        <f>IFERROR(__xludf.DUMMYFUNCTION("""COMPUTED_VALUE"""),2.616540261E9)</f>
        <v>2616540261</v>
      </c>
      <c r="Z189" s="235">
        <f t="shared" si="12"/>
        <v>113.4442555</v>
      </c>
      <c r="AA189" s="235">
        <f t="shared" si="13"/>
        <v>95.90243743</v>
      </c>
      <c r="AB189" s="235">
        <f t="shared" si="14"/>
        <v>95.90250161</v>
      </c>
    </row>
    <row r="190" ht="14.25" customHeight="1">
      <c r="A190" s="175"/>
      <c r="B190" s="236" t="s">
        <v>913</v>
      </c>
      <c r="C190" s="237"/>
      <c r="D190" s="238"/>
      <c r="E190" s="239">
        <f t="shared" ref="E190:I190" si="243">E189+E149</f>
        <v>1350144706</v>
      </c>
      <c r="F190" s="239">
        <f t="shared" si="243"/>
        <v>1886812818</v>
      </c>
      <c r="G190" s="239">
        <f t="shared" si="243"/>
        <v>1242368316</v>
      </c>
      <c r="H190" s="239">
        <f t="shared" si="243"/>
        <v>1444628140</v>
      </c>
      <c r="I190" s="239">
        <f t="shared" si="243"/>
        <v>1444626826</v>
      </c>
      <c r="J190" s="239">
        <f t="shared" si="3"/>
        <v>71.55689707</v>
      </c>
      <c r="K190" s="239">
        <f t="shared" si="4"/>
        <v>108.6750755</v>
      </c>
      <c r="L190" s="239">
        <f t="shared" si="5"/>
        <v>93.45967094</v>
      </c>
      <c r="M190" s="239">
        <f t="shared" si="6"/>
        <v>93.45975595</v>
      </c>
      <c r="N190" s="239">
        <f t="shared" ref="N190:Q190" si="244">N189+N149</f>
        <v>6557973368</v>
      </c>
      <c r="O190" s="239">
        <f t="shared" si="244"/>
        <v>6171358707</v>
      </c>
      <c r="P190" s="239">
        <f t="shared" si="244"/>
        <v>7877785202</v>
      </c>
      <c r="Q190" s="239">
        <f t="shared" si="244"/>
        <v>7877782137</v>
      </c>
      <c r="R190" s="239">
        <f t="shared" si="9"/>
        <v>106.2646603</v>
      </c>
      <c r="S190" s="239">
        <f t="shared" si="10"/>
        <v>83.24641</v>
      </c>
      <c r="T190" s="239">
        <f t="shared" si="11"/>
        <v>83.24644239</v>
      </c>
      <c r="U190" s="202"/>
      <c r="V190" s="239">
        <f>IFERROR(__xludf.DUMMYFUNCTION("""COMPUTED_VALUE"""),5.207828662E9)</f>
        <v>5207828662</v>
      </c>
      <c r="W190" s="239">
        <f>IFERROR(__xludf.DUMMYFUNCTION("""COMPUTED_VALUE"""),4.928990391E9)</f>
        <v>4928990391</v>
      </c>
      <c r="X190" s="239">
        <f>IFERROR(__xludf.DUMMYFUNCTION("""COMPUTED_VALUE"""),6.433157062E9)</f>
        <v>6433157062</v>
      </c>
      <c r="Y190" s="239">
        <f>IFERROR(__xludf.DUMMYFUNCTION("""COMPUTED_VALUE"""),6.433155311E9)</f>
        <v>6433155311</v>
      </c>
      <c r="Z190" s="239">
        <f t="shared" si="12"/>
        <v>105.6571072</v>
      </c>
      <c r="AA190" s="239">
        <f t="shared" si="13"/>
        <v>80.95292268</v>
      </c>
      <c r="AB190" s="239">
        <f t="shared" si="14"/>
        <v>80.95294471</v>
      </c>
    </row>
    <row r="191" ht="14.25" customHeight="1">
      <c r="A191" s="175"/>
      <c r="B191" s="180"/>
      <c r="C191" s="177"/>
      <c r="D191" s="240" t="s">
        <v>914</v>
      </c>
      <c r="E191" s="183"/>
      <c r="F191" s="183"/>
      <c r="G191" s="183"/>
      <c r="H191" s="183">
        <f>IFERROR(round(HLOOKUP('Tahun Lalu'!$D$3,RKO!$A$1:$P$171,MATCH(B191,RKO!$A$1:$A$171,0),0)*1000,0),0)</f>
        <v>0</v>
      </c>
      <c r="I191" s="183">
        <f>IFERROR(round(HLOOKUP('Tahun Lalu'!$D$3,RKAP!$A$1:$P$171,MATCH(B191,RKAP!$A$1:$A$171,0),0)*1000,0),0)</f>
        <v>0</v>
      </c>
      <c r="J191" s="183">
        <f t="shared" si="3"/>
        <v>0</v>
      </c>
      <c r="K191" s="183">
        <f t="shared" si="4"/>
        <v>0</v>
      </c>
      <c r="L191" s="188">
        <f t="shared" si="5"/>
        <v>0</v>
      </c>
      <c r="M191" s="188">
        <f t="shared" si="6"/>
        <v>0</v>
      </c>
      <c r="N191" s="183"/>
      <c r="O191" s="183"/>
      <c r="P191" s="188">
        <v>0.0</v>
      </c>
      <c r="Q191" s="188">
        <v>0.0</v>
      </c>
      <c r="R191" s="183">
        <f t="shared" si="9"/>
        <v>0</v>
      </c>
      <c r="S191" s="183">
        <f t="shared" si="10"/>
        <v>0</v>
      </c>
      <c r="T191" s="188">
        <f t="shared" si="11"/>
        <v>0</v>
      </c>
      <c r="U191" s="189"/>
      <c r="V191" s="183"/>
      <c r="W191" s="183"/>
      <c r="X191" s="188">
        <f>IFERROR(__xludf.DUMMYFUNCTION("""COMPUTED_VALUE"""),0.0)</f>
        <v>0</v>
      </c>
      <c r="Y191" s="188">
        <f>IFERROR(__xludf.DUMMYFUNCTION("""COMPUTED_VALUE"""),0.0)</f>
        <v>0</v>
      </c>
      <c r="Z191" s="183">
        <f t="shared" si="12"/>
        <v>0</v>
      </c>
      <c r="AA191" s="183">
        <f t="shared" si="13"/>
        <v>0</v>
      </c>
      <c r="AB191" s="188">
        <f t="shared" si="14"/>
        <v>0</v>
      </c>
    </row>
    <row r="192" ht="14.25" customHeight="1">
      <c r="A192" s="175"/>
      <c r="B192" s="181" t="s">
        <v>915</v>
      </c>
      <c r="D192" s="209" t="s">
        <v>904</v>
      </c>
      <c r="E192" s="183">
        <f>SUMIFS('DB BTL'!$J:$J,'DB BTL'!$E:$E,$B192,'DB BTL'!$A:$A,$D$4,'DB BTL'!$B:$B,$E$3,'DB BTL'!$D:$D,AA$1)</f>
        <v>0</v>
      </c>
      <c r="F192" s="183">
        <f>SUMIFS('DB BTL'!$J:$J,'DB BTL'!$E:$E,$B192,'DB BTL'!$A:$A,$D$4,'DB BTL'!$B:$B,$E$3,'DB BTL'!$D:$D,AA$2)</f>
        <v>0</v>
      </c>
      <c r="G192" s="184">
        <f>IFERROR(HLOOKUP($E$3,'Tahun Lalu'!$B$5:$V$158,MATCH(B192,'Tahun Lalu'!$B$5:$B$158,0),0),0)</f>
        <v>0</v>
      </c>
      <c r="H192" s="183">
        <f>IFERROR(round(HLOOKUP('Tahun Lalu'!$D$3,RKO!$A$1:$P$171,MATCH(B192,RKO!$A$1:$A$171,0),0)*1000,0),0)</f>
        <v>0</v>
      </c>
      <c r="I192" s="183">
        <f>IFERROR(round(HLOOKUP('Tahun Lalu'!$D$3,RKAP!$A$1:$P$171,MATCH(B192,RKAP!$A$1:$A$171,0),0)*1000,0),0)</f>
        <v>0</v>
      </c>
      <c r="J192" s="183">
        <f t="shared" si="3"/>
        <v>0</v>
      </c>
      <c r="K192" s="183">
        <f t="shared" si="4"/>
        <v>0</v>
      </c>
      <c r="L192" s="183">
        <f t="shared" si="5"/>
        <v>0</v>
      </c>
      <c r="M192" s="183">
        <f t="shared" si="6"/>
        <v>0</v>
      </c>
      <c r="N192" s="183">
        <f t="shared" ref="N192:N207" si="246">E192+V192</f>
        <v>0</v>
      </c>
      <c r="O192" s="183">
        <f t="shared" ref="O192:Q192" si="245">G192+W192</f>
        <v>0</v>
      </c>
      <c r="P192" s="183">
        <f t="shared" si="245"/>
        <v>0</v>
      </c>
      <c r="Q192" s="183">
        <f t="shared" si="245"/>
        <v>0</v>
      </c>
      <c r="R192" s="183">
        <f t="shared" si="9"/>
        <v>0</v>
      </c>
      <c r="S192" s="183">
        <f t="shared" si="10"/>
        <v>0</v>
      </c>
      <c r="T192" s="183">
        <f t="shared" si="11"/>
        <v>0</v>
      </c>
      <c r="U192" s="186"/>
      <c r="V192" s="183">
        <f>IFERROR(__xludf.DUMMYFUNCTION("""COMPUTED_VALUE"""),0.0)</f>
        <v>0</v>
      </c>
      <c r="W192" s="183">
        <f>IFERROR(__xludf.DUMMYFUNCTION("""COMPUTED_VALUE"""),0.0)</f>
        <v>0</v>
      </c>
      <c r="X192" s="183">
        <f>IFERROR(__xludf.DUMMYFUNCTION("""COMPUTED_VALUE"""),0.0)</f>
        <v>0</v>
      </c>
      <c r="Y192" s="183">
        <f>IFERROR(__xludf.DUMMYFUNCTION("""COMPUTED_VALUE"""),0.0)</f>
        <v>0</v>
      </c>
      <c r="Z192" s="183">
        <f t="shared" si="12"/>
        <v>0</v>
      </c>
      <c r="AA192" s="183">
        <f t="shared" si="13"/>
        <v>0</v>
      </c>
      <c r="AB192" s="183">
        <f t="shared" si="14"/>
        <v>0</v>
      </c>
    </row>
    <row r="193" ht="14.25" customHeight="1">
      <c r="A193" s="175"/>
      <c r="B193" s="181" t="s">
        <v>916</v>
      </c>
      <c r="D193" s="209" t="s">
        <v>917</v>
      </c>
      <c r="E193" s="183">
        <f>SUMIFS('DB BTL'!$J:$J,'DB BTL'!$E:$E,$B193,'DB BTL'!$A:$A,$D$4,'DB BTL'!$B:$B,$E$3,'DB BTL'!$D:$D,AA$1)</f>
        <v>0</v>
      </c>
      <c r="F193" s="183">
        <f>SUMIFS('DB BTL'!$J:$J,'DB BTL'!$E:$E,$B193,'DB BTL'!$A:$A,$D$4,'DB BTL'!$B:$B,$E$3,'DB BTL'!$D:$D,AA$2)</f>
        <v>0</v>
      </c>
      <c r="G193" s="184">
        <f>IFERROR(HLOOKUP($E$3,'Tahun Lalu'!$B$5:$V$158,MATCH(B193,'Tahun Lalu'!$B$5:$B$158,0),0),0)</f>
        <v>0</v>
      </c>
      <c r="H193" s="183">
        <f>IFERROR(round(HLOOKUP('Tahun Lalu'!$D$3,RKO!$A$1:$P$171,MATCH(B193,RKO!$A$1:$A$171,0),0)*1000,0),0)</f>
        <v>0</v>
      </c>
      <c r="I193" s="183">
        <f>IFERROR(round(HLOOKUP('Tahun Lalu'!$D$3,RKAP!$A$1:$P$171,MATCH(B193,RKAP!$A$1:$A$171,0),0)*1000,0),0)</f>
        <v>0</v>
      </c>
      <c r="J193" s="183">
        <f t="shared" si="3"/>
        <v>0</v>
      </c>
      <c r="K193" s="183">
        <f t="shared" si="4"/>
        <v>0</v>
      </c>
      <c r="L193" s="183">
        <f t="shared" si="5"/>
        <v>0</v>
      </c>
      <c r="M193" s="183">
        <f t="shared" si="6"/>
        <v>0</v>
      </c>
      <c r="N193" s="183">
        <f t="shared" si="246"/>
        <v>0</v>
      </c>
      <c r="O193" s="183">
        <f t="shared" ref="O193:Q193" si="247">G193+W193</f>
        <v>0</v>
      </c>
      <c r="P193" s="183">
        <f t="shared" si="247"/>
        <v>0</v>
      </c>
      <c r="Q193" s="183">
        <f t="shared" si="247"/>
        <v>0</v>
      </c>
      <c r="R193" s="183">
        <f t="shared" si="9"/>
        <v>0</v>
      </c>
      <c r="S193" s="183">
        <f t="shared" si="10"/>
        <v>0</v>
      </c>
      <c r="T193" s="183">
        <f t="shared" si="11"/>
        <v>0</v>
      </c>
      <c r="U193" s="186"/>
      <c r="V193" s="183">
        <f>IFERROR(__xludf.DUMMYFUNCTION("""COMPUTED_VALUE"""),0.0)</f>
        <v>0</v>
      </c>
      <c r="W193" s="183">
        <f>IFERROR(__xludf.DUMMYFUNCTION("""COMPUTED_VALUE"""),0.0)</f>
        <v>0</v>
      </c>
      <c r="X193" s="183">
        <f>IFERROR(__xludf.DUMMYFUNCTION("""COMPUTED_VALUE"""),0.0)</f>
        <v>0</v>
      </c>
      <c r="Y193" s="183">
        <f>IFERROR(__xludf.DUMMYFUNCTION("""COMPUTED_VALUE"""),0.0)</f>
        <v>0</v>
      </c>
      <c r="Z193" s="183">
        <f t="shared" si="12"/>
        <v>0</v>
      </c>
      <c r="AA193" s="183">
        <f t="shared" si="13"/>
        <v>0</v>
      </c>
      <c r="AB193" s="183">
        <f t="shared" si="14"/>
        <v>0</v>
      </c>
    </row>
    <row r="194">
      <c r="A194" s="241"/>
      <c r="B194" s="242" t="s">
        <v>918</v>
      </c>
      <c r="C194" s="243"/>
      <c r="D194" s="244" t="s">
        <v>919</v>
      </c>
      <c r="E194" s="245">
        <f>SUMIFS('DB BTL'!$J:$J,'DB BTL'!$E:$E,$B194,'DB BTL'!$A:$A,$D$4,'DB BTL'!$B:$B,$E$3,'DB BTL'!$D:$D,AA$1)</f>
        <v>0</v>
      </c>
      <c r="F194" s="245">
        <f>SUMIFS('DB BTL'!$J:$J,'DB BTL'!$E:$E,$B194,'DB BTL'!$A:$A,$D$4,'DB BTL'!$B:$B,$E$3,'DB BTL'!$D:$D,AA$2)</f>
        <v>0</v>
      </c>
      <c r="G194" s="246">
        <f>IFERROR(HLOOKUP($E$3,'Tahun Lalu'!$B$5:$V$158,MATCH(B194,'Tahun Lalu'!$B$5:$B$158,0),0),0)</f>
        <v>0</v>
      </c>
      <c r="H194" s="183">
        <f>IFERROR(round(HLOOKUP('Tahun Lalu'!$D$3,RKO!$A$1:$P$171,MATCH(B194,RKO!$A$1:$A$171,0),0)*1000,0),0)</f>
        <v>0</v>
      </c>
      <c r="I194" s="183">
        <f>IFERROR(round(HLOOKUP('Tahun Lalu'!$D$3,RKAP!$A$1:$P$171,MATCH(B194,RKAP!$A$1:$A$171,0),0)*1000,0),0)</f>
        <v>0</v>
      </c>
      <c r="J194" s="245">
        <f t="shared" si="3"/>
        <v>0</v>
      </c>
      <c r="K194" s="245">
        <f t="shared" si="4"/>
        <v>0</v>
      </c>
      <c r="L194" s="245">
        <f t="shared" si="5"/>
        <v>0</v>
      </c>
      <c r="M194" s="245">
        <f t="shared" si="6"/>
        <v>0</v>
      </c>
      <c r="N194" s="245">
        <f t="shared" si="246"/>
        <v>0</v>
      </c>
      <c r="O194" s="245">
        <f t="shared" ref="O194:Q194" si="248">G194+W194</f>
        <v>0</v>
      </c>
      <c r="P194" s="245">
        <f t="shared" si="248"/>
        <v>0</v>
      </c>
      <c r="Q194" s="245">
        <f t="shared" si="248"/>
        <v>0</v>
      </c>
      <c r="R194" s="245">
        <f t="shared" si="9"/>
        <v>0</v>
      </c>
      <c r="S194" s="245">
        <f t="shared" si="10"/>
        <v>0</v>
      </c>
      <c r="T194" s="245">
        <f t="shared" si="11"/>
        <v>0</v>
      </c>
      <c r="U194" s="247"/>
      <c r="V194" s="245">
        <f>IFERROR(__xludf.DUMMYFUNCTION("""COMPUTED_VALUE"""),0.0)</f>
        <v>0</v>
      </c>
      <c r="W194" s="245">
        <f>IFERROR(__xludf.DUMMYFUNCTION("""COMPUTED_VALUE"""),0.0)</f>
        <v>0</v>
      </c>
      <c r="X194" s="245">
        <f>IFERROR(__xludf.DUMMYFUNCTION("""COMPUTED_VALUE"""),0.0)</f>
        <v>0</v>
      </c>
      <c r="Y194" s="245">
        <f>IFERROR(__xludf.DUMMYFUNCTION("""COMPUTED_VALUE"""),0.0)</f>
        <v>0</v>
      </c>
      <c r="Z194" s="245">
        <f t="shared" si="12"/>
        <v>0</v>
      </c>
      <c r="AA194" s="245">
        <f t="shared" si="13"/>
        <v>0</v>
      </c>
      <c r="AB194" s="245">
        <f t="shared" si="14"/>
        <v>0</v>
      </c>
    </row>
    <row r="195" ht="14.25" customHeight="1">
      <c r="A195" s="175"/>
      <c r="B195" s="181" t="s">
        <v>920</v>
      </c>
      <c r="D195" s="209" t="s">
        <v>921</v>
      </c>
      <c r="E195" s="183">
        <f>SUMIFS('DB BTL'!$J:$J,'DB BTL'!$E:$E,$B195,'DB BTL'!$A:$A,$D$4,'DB BTL'!$B:$B,$E$3,'DB BTL'!$D:$D,AA$1)</f>
        <v>0</v>
      </c>
      <c r="F195" s="183">
        <f>SUMIFS('DB BTL'!$J:$J,'DB BTL'!$E:$E,$B195,'DB BTL'!$A:$A,$D$4,'DB BTL'!$B:$B,$E$3,'DB BTL'!$D:$D,AA$2)</f>
        <v>0</v>
      </c>
      <c r="G195" s="184">
        <f>IFERROR(HLOOKUP($E$3,'Tahun Lalu'!$B$5:$V$158,MATCH(B195,'Tahun Lalu'!$B$5:$B$158,0),0),0)</f>
        <v>0</v>
      </c>
      <c r="H195" s="183">
        <f>IFERROR(round(HLOOKUP('Tahun Lalu'!$D$3,RKO!$A$1:$P$171,MATCH(B195,RKO!$A$1:$A$171,0),0)*1000,0),0)</f>
        <v>4250000</v>
      </c>
      <c r="I195" s="183">
        <f>IFERROR(round(HLOOKUP('Tahun Lalu'!$D$3,RKAP!$A$1:$P$171,MATCH(B195,RKAP!$A$1:$A$171,0),0)*1000,0),0)</f>
        <v>4250000</v>
      </c>
      <c r="J195" s="183">
        <f t="shared" si="3"/>
        <v>0</v>
      </c>
      <c r="K195" s="183">
        <f t="shared" si="4"/>
        <v>0</v>
      </c>
      <c r="L195" s="183">
        <f t="shared" si="5"/>
        <v>0</v>
      </c>
      <c r="M195" s="183">
        <f t="shared" si="6"/>
        <v>0</v>
      </c>
      <c r="N195" s="183">
        <f t="shared" si="246"/>
        <v>0</v>
      </c>
      <c r="O195" s="183">
        <f t="shared" ref="O195:Q195" si="249">G195+W195</f>
        <v>0</v>
      </c>
      <c r="P195" s="183">
        <f t="shared" si="249"/>
        <v>21250000</v>
      </c>
      <c r="Q195" s="183">
        <f t="shared" si="249"/>
        <v>21250000</v>
      </c>
      <c r="R195" s="183">
        <f t="shared" si="9"/>
        <v>0</v>
      </c>
      <c r="S195" s="183">
        <f t="shared" si="10"/>
        <v>0</v>
      </c>
      <c r="T195" s="183">
        <f t="shared" si="11"/>
        <v>0</v>
      </c>
      <c r="U195" s="186"/>
      <c r="V195" s="183">
        <f>IFERROR(__xludf.DUMMYFUNCTION("""COMPUTED_VALUE"""),0.0)</f>
        <v>0</v>
      </c>
      <c r="W195" s="183">
        <f>IFERROR(__xludf.DUMMYFUNCTION("""COMPUTED_VALUE"""),0.0)</f>
        <v>0</v>
      </c>
      <c r="X195" s="183">
        <f>IFERROR(__xludf.DUMMYFUNCTION("""COMPUTED_VALUE"""),1.7E7)</f>
        <v>17000000</v>
      </c>
      <c r="Y195" s="183">
        <f>IFERROR(__xludf.DUMMYFUNCTION("""COMPUTED_VALUE"""),1.7E7)</f>
        <v>17000000</v>
      </c>
      <c r="Z195" s="183">
        <f t="shared" si="12"/>
        <v>0</v>
      </c>
      <c r="AA195" s="183">
        <f t="shared" si="13"/>
        <v>0</v>
      </c>
      <c r="AB195" s="183">
        <f t="shared" si="14"/>
        <v>0</v>
      </c>
    </row>
    <row r="196" ht="14.25" customHeight="1">
      <c r="A196" s="175"/>
      <c r="B196" s="181" t="s">
        <v>922</v>
      </c>
      <c r="D196" s="209" t="s">
        <v>923</v>
      </c>
      <c r="E196" s="183">
        <f>SUMIFS('DB BTL'!$J:$J,'DB BTL'!$E:$E,$B196,'DB BTL'!$A:$A,$D$4,'DB BTL'!$B:$B,$E$3,'DB BTL'!$D:$D,AA$1)</f>
        <v>0</v>
      </c>
      <c r="F196" s="183">
        <f>SUMIFS('DB BTL'!$J:$J,'DB BTL'!$E:$E,$B196,'DB BTL'!$A:$A,$D$4,'DB BTL'!$B:$B,$E$3,'DB BTL'!$D:$D,AA$2)</f>
        <v>0</v>
      </c>
      <c r="G196" s="184">
        <f>IFERROR(HLOOKUP($E$3,'Tahun Lalu'!$B$5:$V$158,MATCH(B196,'Tahun Lalu'!$B$5:$B$158,0),0),0)</f>
        <v>0</v>
      </c>
      <c r="H196" s="183">
        <f>IFERROR(round(HLOOKUP('Tahun Lalu'!$D$3,RKO!$A$1:$P$171,MATCH(B196,RKO!$A$1:$A$171,0),0)*1000,0),0)</f>
        <v>0</v>
      </c>
      <c r="I196" s="183">
        <f>IFERROR(round(HLOOKUP('Tahun Lalu'!$D$3,RKAP!$A$1:$P$171,MATCH(B196,RKAP!$A$1:$A$171,0),0)*1000,0),0)</f>
        <v>0</v>
      </c>
      <c r="J196" s="183">
        <f t="shared" si="3"/>
        <v>0</v>
      </c>
      <c r="K196" s="183">
        <f t="shared" si="4"/>
        <v>0</v>
      </c>
      <c r="L196" s="183">
        <f t="shared" si="5"/>
        <v>0</v>
      </c>
      <c r="M196" s="183">
        <f t="shared" si="6"/>
        <v>0</v>
      </c>
      <c r="N196" s="183">
        <f t="shared" si="246"/>
        <v>0</v>
      </c>
      <c r="O196" s="183">
        <f t="shared" ref="O196:Q196" si="250">G196+W196</f>
        <v>0</v>
      </c>
      <c r="P196" s="183">
        <f t="shared" si="250"/>
        <v>0</v>
      </c>
      <c r="Q196" s="183">
        <f t="shared" si="250"/>
        <v>0</v>
      </c>
      <c r="R196" s="183">
        <f t="shared" si="9"/>
        <v>0</v>
      </c>
      <c r="S196" s="183">
        <f t="shared" si="10"/>
        <v>0</v>
      </c>
      <c r="T196" s="183">
        <f t="shared" si="11"/>
        <v>0</v>
      </c>
      <c r="U196" s="186"/>
      <c r="V196" s="183">
        <f>IFERROR(__xludf.DUMMYFUNCTION("""COMPUTED_VALUE"""),0.0)</f>
        <v>0</v>
      </c>
      <c r="W196" s="183">
        <f>IFERROR(__xludf.DUMMYFUNCTION("""COMPUTED_VALUE"""),0.0)</f>
        <v>0</v>
      </c>
      <c r="X196" s="183">
        <f>IFERROR(__xludf.DUMMYFUNCTION("""COMPUTED_VALUE"""),0.0)</f>
        <v>0</v>
      </c>
      <c r="Y196" s="183">
        <f>IFERROR(__xludf.DUMMYFUNCTION("""COMPUTED_VALUE"""),0.0)</f>
        <v>0</v>
      </c>
      <c r="Z196" s="183">
        <f t="shared" si="12"/>
        <v>0</v>
      </c>
      <c r="AA196" s="183">
        <f t="shared" si="13"/>
        <v>0</v>
      </c>
      <c r="AB196" s="183">
        <f t="shared" si="14"/>
        <v>0</v>
      </c>
    </row>
    <row r="197" ht="14.25" customHeight="1">
      <c r="A197" s="175"/>
      <c r="B197" s="181" t="s">
        <v>924</v>
      </c>
      <c r="D197" s="209" t="s">
        <v>907</v>
      </c>
      <c r="E197" s="183">
        <f>SUMIFS('DB BTL'!$J:$J,'DB BTL'!$E:$E,$B197,'DB BTL'!$A:$A,$D$4,'DB BTL'!$B:$B,$E$3,'DB BTL'!$D:$D,AA$1)</f>
        <v>0</v>
      </c>
      <c r="F197" s="183">
        <f>SUMIFS('DB BTL'!$J:$J,'DB BTL'!$E:$E,$B197,'DB BTL'!$A:$A,$D$4,'DB BTL'!$B:$B,$E$3,'DB BTL'!$D:$D,AA$2)</f>
        <v>0</v>
      </c>
      <c r="G197" s="184">
        <f>IFERROR(HLOOKUP($E$3,'Tahun Lalu'!$B$5:$V$158,MATCH(B197,'Tahun Lalu'!$B$5:$B$158,0),0),0)</f>
        <v>0</v>
      </c>
      <c r="H197" s="183">
        <f>IFERROR(round(HLOOKUP('Tahun Lalu'!$D$3,RKO!$A$1:$P$171,MATCH(B197,RKO!$A$1:$A$171,0),0)*1000,0),0)</f>
        <v>0</v>
      </c>
      <c r="I197" s="183">
        <f>IFERROR(round(HLOOKUP('Tahun Lalu'!$D$3,RKAP!$A$1:$P$171,MATCH(B197,RKAP!$A$1:$A$171,0),0)*1000,0),0)</f>
        <v>0</v>
      </c>
      <c r="J197" s="183">
        <f t="shared" si="3"/>
        <v>0</v>
      </c>
      <c r="K197" s="183">
        <f t="shared" si="4"/>
        <v>0</v>
      </c>
      <c r="L197" s="183">
        <f t="shared" si="5"/>
        <v>0</v>
      </c>
      <c r="M197" s="183">
        <f t="shared" si="6"/>
        <v>0</v>
      </c>
      <c r="N197" s="183">
        <f t="shared" si="246"/>
        <v>0</v>
      </c>
      <c r="O197" s="183">
        <f t="shared" ref="O197:Q197" si="251">G197+W197</f>
        <v>0</v>
      </c>
      <c r="P197" s="183">
        <f t="shared" si="251"/>
        <v>0</v>
      </c>
      <c r="Q197" s="183">
        <f t="shared" si="251"/>
        <v>0</v>
      </c>
      <c r="R197" s="183">
        <f t="shared" si="9"/>
        <v>0</v>
      </c>
      <c r="S197" s="183">
        <f t="shared" si="10"/>
        <v>0</v>
      </c>
      <c r="T197" s="183">
        <f t="shared" si="11"/>
        <v>0</v>
      </c>
      <c r="U197" s="186"/>
      <c r="V197" s="183">
        <f>IFERROR(__xludf.DUMMYFUNCTION("""COMPUTED_VALUE"""),0.0)</f>
        <v>0</v>
      </c>
      <c r="W197" s="183">
        <f>IFERROR(__xludf.DUMMYFUNCTION("""COMPUTED_VALUE"""),0.0)</f>
        <v>0</v>
      </c>
      <c r="X197" s="183">
        <f>IFERROR(__xludf.DUMMYFUNCTION("""COMPUTED_VALUE"""),0.0)</f>
        <v>0</v>
      </c>
      <c r="Y197" s="183">
        <f>IFERROR(__xludf.DUMMYFUNCTION("""COMPUTED_VALUE"""),0.0)</f>
        <v>0</v>
      </c>
      <c r="Z197" s="183">
        <f t="shared" si="12"/>
        <v>0</v>
      </c>
      <c r="AA197" s="183">
        <f t="shared" si="13"/>
        <v>0</v>
      </c>
      <c r="AB197" s="183">
        <f t="shared" si="14"/>
        <v>0</v>
      </c>
    </row>
    <row r="198" ht="14.25" customHeight="1">
      <c r="A198" s="175"/>
      <c r="B198" s="181" t="s">
        <v>925</v>
      </c>
      <c r="D198" s="209" t="s">
        <v>926</v>
      </c>
      <c r="E198" s="183">
        <f>SUMIFS('DB BTL'!$J:$J,'DB BTL'!$E:$E,$B198,'DB BTL'!$A:$A,$D$4,'DB BTL'!$B:$B,$E$3,'DB BTL'!$D:$D,AA$1)</f>
        <v>0</v>
      </c>
      <c r="F198" s="183">
        <f>SUMIFS('DB BTL'!$J:$J,'DB BTL'!$E:$E,$B198,'DB BTL'!$A:$A,$D$4,'DB BTL'!$B:$B,$E$3,'DB BTL'!$D:$D,AA$2)</f>
        <v>0</v>
      </c>
      <c r="G198" s="184">
        <f>IFERROR(HLOOKUP($E$3,'Tahun Lalu'!$B$5:$V$158,MATCH(B198,'Tahun Lalu'!$B$5:$B$158,0),0),0)</f>
        <v>0</v>
      </c>
      <c r="H198" s="183">
        <f>IFERROR(round(HLOOKUP('Tahun Lalu'!$D$3,RKO!$A$1:$P$171,MATCH(B198,RKO!$A$1:$A$171,0),0)*1000,0),0)</f>
        <v>0</v>
      </c>
      <c r="I198" s="183">
        <f>IFERROR(round(HLOOKUP('Tahun Lalu'!$D$3,RKAP!$A$1:$P$171,MATCH(B198,RKAP!$A$1:$A$171,0),0)*1000,0),0)</f>
        <v>0</v>
      </c>
      <c r="J198" s="183">
        <f t="shared" si="3"/>
        <v>0</v>
      </c>
      <c r="K198" s="183">
        <f t="shared" si="4"/>
        <v>0</v>
      </c>
      <c r="L198" s="183">
        <f t="shared" si="5"/>
        <v>0</v>
      </c>
      <c r="M198" s="183">
        <f t="shared" si="6"/>
        <v>0</v>
      </c>
      <c r="N198" s="183">
        <f t="shared" si="246"/>
        <v>0</v>
      </c>
      <c r="O198" s="183">
        <f t="shared" ref="O198:Q198" si="252">G198+W198</f>
        <v>0</v>
      </c>
      <c r="P198" s="183">
        <f t="shared" si="252"/>
        <v>0</v>
      </c>
      <c r="Q198" s="183">
        <f t="shared" si="252"/>
        <v>0</v>
      </c>
      <c r="R198" s="183">
        <f t="shared" si="9"/>
        <v>0</v>
      </c>
      <c r="S198" s="183">
        <f t="shared" si="10"/>
        <v>0</v>
      </c>
      <c r="T198" s="183">
        <f t="shared" si="11"/>
        <v>0</v>
      </c>
      <c r="U198" s="186"/>
      <c r="V198" s="183">
        <f>IFERROR(__xludf.DUMMYFUNCTION("""COMPUTED_VALUE"""),0.0)</f>
        <v>0</v>
      </c>
      <c r="W198" s="183">
        <f>IFERROR(__xludf.DUMMYFUNCTION("""COMPUTED_VALUE"""),0.0)</f>
        <v>0</v>
      </c>
      <c r="X198" s="183">
        <f>IFERROR(__xludf.DUMMYFUNCTION("""COMPUTED_VALUE"""),0.0)</f>
        <v>0</v>
      </c>
      <c r="Y198" s="183">
        <f>IFERROR(__xludf.DUMMYFUNCTION("""COMPUTED_VALUE"""),0.0)</f>
        <v>0</v>
      </c>
      <c r="Z198" s="183">
        <f t="shared" si="12"/>
        <v>0</v>
      </c>
      <c r="AA198" s="183">
        <f t="shared" si="13"/>
        <v>0</v>
      </c>
      <c r="AB198" s="183">
        <f t="shared" si="14"/>
        <v>0</v>
      </c>
    </row>
    <row r="199" ht="14.25" customHeight="1">
      <c r="A199" s="175"/>
      <c r="B199" s="181" t="s">
        <v>927</v>
      </c>
      <c r="D199" s="209" t="s">
        <v>928</v>
      </c>
      <c r="E199" s="183">
        <f>SUMIFS('DB BTL'!$J:$J,'DB BTL'!$E:$E,$B199,'DB BTL'!$A:$A,$D$4,'DB BTL'!$B:$B,$E$3,'DB BTL'!$D:$D,AA$1)</f>
        <v>0</v>
      </c>
      <c r="F199" s="183">
        <f>SUMIFS('DB BTL'!$J:$J,'DB BTL'!$E:$E,$B199,'DB BTL'!$A:$A,$D$4,'DB BTL'!$B:$B,$E$3,'DB BTL'!$D:$D,AA$2)</f>
        <v>0</v>
      </c>
      <c r="G199" s="184">
        <f>IFERROR(HLOOKUP($E$3,'Tahun Lalu'!$B$5:$V$158,MATCH(B199,'Tahun Lalu'!$B$5:$B$158,0),0),0)</f>
        <v>0</v>
      </c>
      <c r="H199" s="183">
        <f>IFERROR(round(HLOOKUP('Tahun Lalu'!$D$3,RKO!$A$1:$P$171,MATCH(B199,RKO!$A$1:$A$171,0),0)*1000,0),0)</f>
        <v>0</v>
      </c>
      <c r="I199" s="183">
        <f>IFERROR(round(HLOOKUP('Tahun Lalu'!$D$3,RKAP!$A$1:$P$171,MATCH(B199,RKAP!$A$1:$A$171,0),0)*1000,0),0)</f>
        <v>0</v>
      </c>
      <c r="J199" s="183">
        <f t="shared" si="3"/>
        <v>0</v>
      </c>
      <c r="K199" s="183">
        <f t="shared" si="4"/>
        <v>0</v>
      </c>
      <c r="L199" s="183">
        <f t="shared" si="5"/>
        <v>0</v>
      </c>
      <c r="M199" s="183">
        <f t="shared" si="6"/>
        <v>0</v>
      </c>
      <c r="N199" s="183">
        <f t="shared" si="246"/>
        <v>0</v>
      </c>
      <c r="O199" s="183">
        <f t="shared" ref="O199:Q199" si="253">G199+W199</f>
        <v>0</v>
      </c>
      <c r="P199" s="183">
        <f t="shared" si="253"/>
        <v>0</v>
      </c>
      <c r="Q199" s="183">
        <f t="shared" si="253"/>
        <v>0</v>
      </c>
      <c r="R199" s="183">
        <f t="shared" si="9"/>
        <v>0</v>
      </c>
      <c r="S199" s="183">
        <f t="shared" si="10"/>
        <v>0</v>
      </c>
      <c r="T199" s="183">
        <f t="shared" si="11"/>
        <v>0</v>
      </c>
      <c r="U199" s="186"/>
      <c r="V199" s="183">
        <f>IFERROR(__xludf.DUMMYFUNCTION("""COMPUTED_VALUE"""),0.0)</f>
        <v>0</v>
      </c>
      <c r="W199" s="183">
        <f>IFERROR(__xludf.DUMMYFUNCTION("""COMPUTED_VALUE"""),0.0)</f>
        <v>0</v>
      </c>
      <c r="X199" s="183">
        <f>IFERROR(__xludf.DUMMYFUNCTION("""COMPUTED_VALUE"""),0.0)</f>
        <v>0</v>
      </c>
      <c r="Y199" s="183">
        <f>IFERROR(__xludf.DUMMYFUNCTION("""COMPUTED_VALUE"""),0.0)</f>
        <v>0</v>
      </c>
      <c r="Z199" s="183">
        <f t="shared" si="12"/>
        <v>0</v>
      </c>
      <c r="AA199" s="183">
        <f t="shared" si="13"/>
        <v>0</v>
      </c>
      <c r="AB199" s="183">
        <f t="shared" si="14"/>
        <v>0</v>
      </c>
    </row>
    <row r="200" ht="14.25" customHeight="1">
      <c r="A200" s="175"/>
      <c r="B200" s="181" t="s">
        <v>929</v>
      </c>
      <c r="D200" s="209" t="s">
        <v>930</v>
      </c>
      <c r="E200" s="183">
        <f>SUMIFS('DB BTL'!$J:$J,'DB BTL'!$E:$E,$B200,'DB BTL'!$A:$A,$D$4,'DB BTL'!$B:$B,$E$3,'DB BTL'!$D:$D,AA$1)</f>
        <v>0</v>
      </c>
      <c r="F200" s="183">
        <f>SUMIFS('DB BTL'!$J:$J,'DB BTL'!$E:$E,$B200,'DB BTL'!$A:$A,$D$4,'DB BTL'!$B:$B,$E$3,'DB BTL'!$D:$D,AA$2)</f>
        <v>0</v>
      </c>
      <c r="G200" s="184">
        <f>IFERROR(HLOOKUP($E$3,'Tahun Lalu'!$B$5:$V$158,MATCH(B200,'Tahun Lalu'!$B$5:$B$158,0),0),0)</f>
        <v>0</v>
      </c>
      <c r="H200" s="183">
        <f>IFERROR(round(HLOOKUP('Tahun Lalu'!$D$3,RKO!$A$1:$P$171,MATCH(B200,RKO!$A$1:$A$171,0),0)*1000,0),0)</f>
        <v>0</v>
      </c>
      <c r="I200" s="183">
        <f>IFERROR(round(HLOOKUP('Tahun Lalu'!$D$3,RKAP!$A$1:$P$171,MATCH(B200,RKAP!$A$1:$A$171,0),0)*1000,0),0)</f>
        <v>0</v>
      </c>
      <c r="J200" s="183">
        <f t="shared" si="3"/>
        <v>0</v>
      </c>
      <c r="K200" s="183">
        <f t="shared" si="4"/>
        <v>0</v>
      </c>
      <c r="L200" s="183">
        <f t="shared" si="5"/>
        <v>0</v>
      </c>
      <c r="M200" s="183">
        <f t="shared" si="6"/>
        <v>0</v>
      </c>
      <c r="N200" s="183">
        <f t="shared" si="246"/>
        <v>0</v>
      </c>
      <c r="O200" s="183">
        <f t="shared" ref="O200:Q200" si="254">G200+W200</f>
        <v>0</v>
      </c>
      <c r="P200" s="183">
        <f t="shared" si="254"/>
        <v>0</v>
      </c>
      <c r="Q200" s="183">
        <f t="shared" si="254"/>
        <v>0</v>
      </c>
      <c r="R200" s="183">
        <f t="shared" si="9"/>
        <v>0</v>
      </c>
      <c r="S200" s="183">
        <f t="shared" si="10"/>
        <v>0</v>
      </c>
      <c r="T200" s="183">
        <f t="shared" si="11"/>
        <v>0</v>
      </c>
      <c r="U200" s="186"/>
      <c r="V200" s="183">
        <f>IFERROR(__xludf.DUMMYFUNCTION("""COMPUTED_VALUE"""),0.0)</f>
        <v>0</v>
      </c>
      <c r="W200" s="183">
        <f>IFERROR(__xludf.DUMMYFUNCTION("""COMPUTED_VALUE"""),0.0)</f>
        <v>0</v>
      </c>
      <c r="X200" s="183">
        <f>IFERROR(__xludf.DUMMYFUNCTION("""COMPUTED_VALUE"""),0.0)</f>
        <v>0</v>
      </c>
      <c r="Y200" s="183">
        <f>IFERROR(__xludf.DUMMYFUNCTION("""COMPUTED_VALUE"""),0.0)</f>
        <v>0</v>
      </c>
      <c r="Z200" s="183">
        <f t="shared" si="12"/>
        <v>0</v>
      </c>
      <c r="AA200" s="183">
        <f t="shared" si="13"/>
        <v>0</v>
      </c>
      <c r="AB200" s="183">
        <f t="shared" si="14"/>
        <v>0</v>
      </c>
    </row>
    <row r="201" ht="14.25" customHeight="1">
      <c r="A201" s="175"/>
      <c r="B201" s="181" t="s">
        <v>931</v>
      </c>
      <c r="D201" s="209" t="s">
        <v>932</v>
      </c>
      <c r="E201" s="183">
        <f>SUMIFS('DB BTL'!$J:$J,'DB BTL'!$E:$E,$B201,'DB BTL'!$A:$A,$D$4,'DB BTL'!$B:$B,$E$3,'DB BTL'!$D:$D,AA$1)</f>
        <v>0</v>
      </c>
      <c r="F201" s="183">
        <f>SUMIFS('DB BTL'!$J:$J,'DB BTL'!$E:$E,$B201,'DB BTL'!$A:$A,$D$4,'DB BTL'!$B:$B,$E$3,'DB BTL'!$D:$D,AA$2)</f>
        <v>0</v>
      </c>
      <c r="G201" s="184">
        <f>IFERROR(HLOOKUP($E$3,'Tahun Lalu'!$B$5:$V$158,MATCH(B201,'Tahun Lalu'!$B$5:$B$158,0),0),0)</f>
        <v>0</v>
      </c>
      <c r="H201" s="183">
        <f>IFERROR(round(HLOOKUP('Tahun Lalu'!$D$3,RKO!$A$1:$P$171,MATCH(B201,RKO!$A$1:$A$171,0),0)*1000,0),0)</f>
        <v>12500000</v>
      </c>
      <c r="I201" s="183">
        <f>IFERROR(round(HLOOKUP('Tahun Lalu'!$D$3,RKAP!$A$1:$P$171,MATCH(B201,RKAP!$A$1:$A$171,0),0)*1000,0),0)</f>
        <v>12500000</v>
      </c>
      <c r="J201" s="183">
        <f t="shared" si="3"/>
        <v>0</v>
      </c>
      <c r="K201" s="183">
        <f t="shared" si="4"/>
        <v>0</v>
      </c>
      <c r="L201" s="183">
        <f t="shared" si="5"/>
        <v>0</v>
      </c>
      <c r="M201" s="183">
        <f t="shared" si="6"/>
        <v>0</v>
      </c>
      <c r="N201" s="183">
        <f t="shared" si="246"/>
        <v>0</v>
      </c>
      <c r="O201" s="183">
        <f t="shared" ref="O201:Q201" si="255">G201+W201</f>
        <v>0</v>
      </c>
      <c r="P201" s="183">
        <f t="shared" si="255"/>
        <v>62500000</v>
      </c>
      <c r="Q201" s="183">
        <f t="shared" si="255"/>
        <v>62500000</v>
      </c>
      <c r="R201" s="183">
        <f t="shared" si="9"/>
        <v>0</v>
      </c>
      <c r="S201" s="183">
        <f t="shared" si="10"/>
        <v>0</v>
      </c>
      <c r="T201" s="183">
        <f t="shared" si="11"/>
        <v>0</v>
      </c>
      <c r="U201" s="186"/>
      <c r="V201" s="183">
        <f>IFERROR(__xludf.DUMMYFUNCTION("""COMPUTED_VALUE"""),0.0)</f>
        <v>0</v>
      </c>
      <c r="W201" s="183">
        <f>IFERROR(__xludf.DUMMYFUNCTION("""COMPUTED_VALUE"""),0.0)</f>
        <v>0</v>
      </c>
      <c r="X201" s="183">
        <f>IFERROR(__xludf.DUMMYFUNCTION("""COMPUTED_VALUE"""),5.0E7)</f>
        <v>50000000</v>
      </c>
      <c r="Y201" s="183">
        <f>IFERROR(__xludf.DUMMYFUNCTION("""COMPUTED_VALUE"""),5.0E7)</f>
        <v>50000000</v>
      </c>
      <c r="Z201" s="183">
        <f t="shared" si="12"/>
        <v>0</v>
      </c>
      <c r="AA201" s="183">
        <f t="shared" si="13"/>
        <v>0</v>
      </c>
      <c r="AB201" s="183">
        <f t="shared" si="14"/>
        <v>0</v>
      </c>
    </row>
    <row r="202" ht="14.25" customHeight="1">
      <c r="A202" s="175"/>
      <c r="B202" s="181" t="s">
        <v>933</v>
      </c>
      <c r="D202" s="209" t="s">
        <v>934</v>
      </c>
      <c r="E202" s="183">
        <f>SUMIFS('DB BTL'!$J:$J,'DB BTL'!$E:$E,$B202,'DB BTL'!$A:$A,$D$4,'DB BTL'!$B:$B,$E$3,'DB BTL'!$D:$D,AA$1)</f>
        <v>0</v>
      </c>
      <c r="F202" s="183">
        <f>SUMIFS('DB BTL'!$J:$J,'DB BTL'!$E:$E,$B202,'DB BTL'!$A:$A,$D$4,'DB BTL'!$B:$B,$E$3,'DB BTL'!$D:$D,AA$2)</f>
        <v>0</v>
      </c>
      <c r="G202" s="184">
        <f>IFERROR(HLOOKUP($E$3,'Tahun Lalu'!$B$5:$V$158,MATCH(B202,'Tahun Lalu'!$B$5:$B$158,0),0),0)</f>
        <v>0</v>
      </c>
      <c r="H202" s="183">
        <f>IFERROR(round(HLOOKUP('Tahun Lalu'!$D$3,RKO!$A$1:$P$171,MATCH(B202,RKO!$A$1:$A$171,0),0)*1000,0),0)</f>
        <v>0</v>
      </c>
      <c r="I202" s="183">
        <f>IFERROR(round(HLOOKUP('Tahun Lalu'!$D$3,RKAP!$A$1:$P$171,MATCH(B202,RKAP!$A$1:$A$171,0),0)*1000,0),0)</f>
        <v>0</v>
      </c>
      <c r="J202" s="183">
        <f t="shared" si="3"/>
        <v>0</v>
      </c>
      <c r="K202" s="183">
        <f t="shared" si="4"/>
        <v>0</v>
      </c>
      <c r="L202" s="183">
        <f t="shared" si="5"/>
        <v>0</v>
      </c>
      <c r="M202" s="183">
        <f t="shared" si="6"/>
        <v>0</v>
      </c>
      <c r="N202" s="183">
        <f t="shared" si="246"/>
        <v>0</v>
      </c>
      <c r="O202" s="183">
        <f t="shared" ref="O202:Q202" si="256">G202+W202</f>
        <v>0</v>
      </c>
      <c r="P202" s="183">
        <f t="shared" si="256"/>
        <v>0</v>
      </c>
      <c r="Q202" s="183">
        <f t="shared" si="256"/>
        <v>0</v>
      </c>
      <c r="R202" s="183">
        <f t="shared" si="9"/>
        <v>0</v>
      </c>
      <c r="S202" s="183">
        <f t="shared" si="10"/>
        <v>0</v>
      </c>
      <c r="T202" s="183">
        <f t="shared" si="11"/>
        <v>0</v>
      </c>
      <c r="U202" s="186"/>
      <c r="V202" s="183">
        <f>IFERROR(__xludf.DUMMYFUNCTION("""COMPUTED_VALUE"""),0.0)</f>
        <v>0</v>
      </c>
      <c r="W202" s="183">
        <f>IFERROR(__xludf.DUMMYFUNCTION("""COMPUTED_VALUE"""),0.0)</f>
        <v>0</v>
      </c>
      <c r="X202" s="183">
        <f>IFERROR(__xludf.DUMMYFUNCTION("""COMPUTED_VALUE"""),0.0)</f>
        <v>0</v>
      </c>
      <c r="Y202" s="183">
        <f>IFERROR(__xludf.DUMMYFUNCTION("""COMPUTED_VALUE"""),0.0)</f>
        <v>0</v>
      </c>
      <c r="Z202" s="183">
        <f t="shared" si="12"/>
        <v>0</v>
      </c>
      <c r="AA202" s="183">
        <f t="shared" si="13"/>
        <v>0</v>
      </c>
      <c r="AB202" s="183">
        <f t="shared" si="14"/>
        <v>0</v>
      </c>
    </row>
    <row r="203" ht="14.25" customHeight="1">
      <c r="A203" s="175"/>
      <c r="B203" s="181" t="s">
        <v>935</v>
      </c>
      <c r="D203" s="209" t="s">
        <v>936</v>
      </c>
      <c r="E203" s="183">
        <f>SUMIFS('DB BTL'!$J:$J,'DB BTL'!$E:$E,$B203,'DB BTL'!$A:$A,$D$4,'DB BTL'!$B:$B,$E$3,'DB BTL'!$D:$D,AA$1)</f>
        <v>0</v>
      </c>
      <c r="F203" s="183">
        <f>SUMIFS('DB BTL'!$J:$J,'DB BTL'!$E:$E,$B203,'DB BTL'!$A:$A,$D$4,'DB BTL'!$B:$B,$E$3,'DB BTL'!$D:$D,AA$2)</f>
        <v>0</v>
      </c>
      <c r="G203" s="184">
        <f>IFERROR(HLOOKUP($E$3,'Tahun Lalu'!$B$5:$V$158,MATCH(B203,'Tahun Lalu'!$B$5:$B$158,0),0),0)</f>
        <v>0</v>
      </c>
      <c r="H203" s="183">
        <f>IFERROR(round(HLOOKUP('Tahun Lalu'!$D$3,RKO!$A$1:$P$171,MATCH(B203,RKO!$A$1:$A$171,0),0)*1000,0),0)</f>
        <v>0</v>
      </c>
      <c r="I203" s="183">
        <f>IFERROR(round(HLOOKUP('Tahun Lalu'!$D$3,RKAP!$A$1:$P$171,MATCH(B203,RKAP!$A$1:$A$171,0),0)*1000,0),0)</f>
        <v>0</v>
      </c>
      <c r="J203" s="183">
        <f t="shared" si="3"/>
        <v>0</v>
      </c>
      <c r="K203" s="183">
        <f t="shared" si="4"/>
        <v>0</v>
      </c>
      <c r="L203" s="183">
        <f t="shared" si="5"/>
        <v>0</v>
      </c>
      <c r="M203" s="183">
        <f t="shared" si="6"/>
        <v>0</v>
      </c>
      <c r="N203" s="183">
        <f t="shared" si="246"/>
        <v>0</v>
      </c>
      <c r="O203" s="183">
        <f t="shared" ref="O203:Q203" si="257">G203+W203</f>
        <v>0</v>
      </c>
      <c r="P203" s="183">
        <f t="shared" si="257"/>
        <v>0</v>
      </c>
      <c r="Q203" s="183">
        <f t="shared" si="257"/>
        <v>0</v>
      </c>
      <c r="R203" s="183">
        <f t="shared" si="9"/>
        <v>0</v>
      </c>
      <c r="S203" s="183">
        <f t="shared" si="10"/>
        <v>0</v>
      </c>
      <c r="T203" s="183">
        <f t="shared" si="11"/>
        <v>0</v>
      </c>
      <c r="U203" s="186"/>
      <c r="V203" s="183">
        <f>IFERROR(__xludf.DUMMYFUNCTION("""COMPUTED_VALUE"""),0.0)</f>
        <v>0</v>
      </c>
      <c r="W203" s="183">
        <f>IFERROR(__xludf.DUMMYFUNCTION("""COMPUTED_VALUE"""),0.0)</f>
        <v>0</v>
      </c>
      <c r="X203" s="183">
        <f>IFERROR(__xludf.DUMMYFUNCTION("""COMPUTED_VALUE"""),0.0)</f>
        <v>0</v>
      </c>
      <c r="Y203" s="183">
        <f>IFERROR(__xludf.DUMMYFUNCTION("""COMPUTED_VALUE"""),0.0)</f>
        <v>0</v>
      </c>
      <c r="Z203" s="183">
        <f t="shared" si="12"/>
        <v>0</v>
      </c>
      <c r="AA203" s="183">
        <f t="shared" si="13"/>
        <v>0</v>
      </c>
      <c r="AB203" s="183">
        <f t="shared" si="14"/>
        <v>0</v>
      </c>
    </row>
    <row r="204" ht="14.25" customHeight="1">
      <c r="A204" s="175"/>
      <c r="B204" s="181" t="s">
        <v>937</v>
      </c>
      <c r="D204" s="209" t="s">
        <v>938</v>
      </c>
      <c r="E204" s="183">
        <f>SUMIFS('DB BTL'!$J:$J,'DB BTL'!$E:$E,$B204,'DB BTL'!$A:$A,$D$4,'DB BTL'!$B:$B,$E$3,'DB BTL'!$D:$D,AA$1)</f>
        <v>0</v>
      </c>
      <c r="F204" s="183">
        <f>SUMIFS('DB BTL'!$J:$J,'DB BTL'!$E:$E,$B204,'DB BTL'!$A:$A,$D$4,'DB BTL'!$B:$B,$E$3,'DB BTL'!$D:$D,AA$2)</f>
        <v>0</v>
      </c>
      <c r="G204" s="184">
        <f>IFERROR(HLOOKUP($E$3,'Tahun Lalu'!$B$5:$V$158,MATCH(B204,'Tahun Lalu'!$B$5:$B$158,0),0),0)</f>
        <v>0</v>
      </c>
      <c r="H204" s="183">
        <f>IFERROR(round(HLOOKUP('Tahun Lalu'!$D$3,RKO!$A$1:$P$171,MATCH(B204,RKO!$A$1:$A$171,0),0)*1000,0),0)</f>
        <v>675000</v>
      </c>
      <c r="I204" s="183">
        <f>IFERROR(round(HLOOKUP('Tahun Lalu'!$D$3,RKAP!$A$1:$P$171,MATCH(B204,RKAP!$A$1:$A$171,0),0)*1000,0),0)</f>
        <v>675000</v>
      </c>
      <c r="J204" s="183">
        <f t="shared" si="3"/>
        <v>0</v>
      </c>
      <c r="K204" s="183">
        <f t="shared" si="4"/>
        <v>0</v>
      </c>
      <c r="L204" s="183">
        <f t="shared" si="5"/>
        <v>0</v>
      </c>
      <c r="M204" s="183">
        <f t="shared" si="6"/>
        <v>0</v>
      </c>
      <c r="N204" s="183">
        <f t="shared" si="246"/>
        <v>0</v>
      </c>
      <c r="O204" s="183">
        <f t="shared" ref="O204:Q204" si="258">G204+W204</f>
        <v>0</v>
      </c>
      <c r="P204" s="183">
        <f t="shared" si="258"/>
        <v>3375000</v>
      </c>
      <c r="Q204" s="183">
        <f t="shared" si="258"/>
        <v>3375000</v>
      </c>
      <c r="R204" s="183">
        <f t="shared" si="9"/>
        <v>0</v>
      </c>
      <c r="S204" s="183">
        <f t="shared" si="10"/>
        <v>0</v>
      </c>
      <c r="T204" s="183">
        <f t="shared" si="11"/>
        <v>0</v>
      </c>
      <c r="U204" s="186"/>
      <c r="V204" s="183">
        <f>IFERROR(__xludf.DUMMYFUNCTION("""COMPUTED_VALUE"""),0.0)</f>
        <v>0</v>
      </c>
      <c r="W204" s="183">
        <f>IFERROR(__xludf.DUMMYFUNCTION("""COMPUTED_VALUE"""),0.0)</f>
        <v>0</v>
      </c>
      <c r="X204" s="183">
        <f>IFERROR(__xludf.DUMMYFUNCTION("""COMPUTED_VALUE"""),2700000.0)</f>
        <v>2700000</v>
      </c>
      <c r="Y204" s="183">
        <f>IFERROR(__xludf.DUMMYFUNCTION("""COMPUTED_VALUE"""),2700000.0)</f>
        <v>2700000</v>
      </c>
      <c r="Z204" s="183">
        <f t="shared" si="12"/>
        <v>0</v>
      </c>
      <c r="AA204" s="183">
        <f t="shared" si="13"/>
        <v>0</v>
      </c>
      <c r="AB204" s="183">
        <f t="shared" si="14"/>
        <v>0</v>
      </c>
    </row>
    <row r="205" ht="14.25" customHeight="1">
      <c r="A205" s="175"/>
      <c r="B205" s="181" t="s">
        <v>939</v>
      </c>
      <c r="D205" s="209" t="s">
        <v>940</v>
      </c>
      <c r="E205" s="183">
        <f>SUMIFS('DB BTL'!$J:$J,'DB BTL'!$E:$E,$B205,'DB BTL'!$A:$A,$D$4,'DB BTL'!$B:$B,$E$3,'DB BTL'!$D:$D,AA$1)</f>
        <v>0</v>
      </c>
      <c r="F205" s="183">
        <f>SUMIFS('DB BTL'!$J:$J,'DB BTL'!$E:$E,$B205,'DB BTL'!$A:$A,$D$4,'DB BTL'!$B:$B,$E$3,'DB BTL'!$D:$D,AA$2)</f>
        <v>0</v>
      </c>
      <c r="G205" s="184">
        <f>IFERROR(HLOOKUP($E$3,'Tahun Lalu'!$B$5:$V$158,MATCH(B205,'Tahun Lalu'!$B$5:$B$158,0),0),0)</f>
        <v>0</v>
      </c>
      <c r="H205" s="183">
        <f>IFERROR(round(HLOOKUP('Tahun Lalu'!$D$3,RKO!$A$1:$P$171,MATCH(B205,RKO!$A$1:$A$171,0),0)*1000,0),0)</f>
        <v>750000</v>
      </c>
      <c r="I205" s="183">
        <f>IFERROR(round(HLOOKUP('Tahun Lalu'!$D$3,RKAP!$A$1:$P$171,MATCH(B205,RKAP!$A$1:$A$171,0),0)*1000,0),0)</f>
        <v>750000</v>
      </c>
      <c r="J205" s="183">
        <f t="shared" si="3"/>
        <v>0</v>
      </c>
      <c r="K205" s="183">
        <f t="shared" si="4"/>
        <v>0</v>
      </c>
      <c r="L205" s="183">
        <f t="shared" si="5"/>
        <v>0</v>
      </c>
      <c r="M205" s="183">
        <f t="shared" si="6"/>
        <v>0</v>
      </c>
      <c r="N205" s="183">
        <f t="shared" si="246"/>
        <v>0</v>
      </c>
      <c r="O205" s="183">
        <f t="shared" ref="O205:Q205" si="259">G205+W205</f>
        <v>0</v>
      </c>
      <c r="P205" s="183">
        <f t="shared" si="259"/>
        <v>4400000</v>
      </c>
      <c r="Q205" s="183">
        <f t="shared" si="259"/>
        <v>4400000</v>
      </c>
      <c r="R205" s="183">
        <f t="shared" si="9"/>
        <v>0</v>
      </c>
      <c r="S205" s="183">
        <f t="shared" si="10"/>
        <v>0</v>
      </c>
      <c r="T205" s="183">
        <f t="shared" si="11"/>
        <v>0</v>
      </c>
      <c r="U205" s="186"/>
      <c r="V205" s="183">
        <f>IFERROR(__xludf.DUMMYFUNCTION("""COMPUTED_VALUE"""),0.0)</f>
        <v>0</v>
      </c>
      <c r="W205" s="183">
        <f>IFERROR(__xludf.DUMMYFUNCTION("""COMPUTED_VALUE"""),0.0)</f>
        <v>0</v>
      </c>
      <c r="X205" s="183">
        <f>IFERROR(__xludf.DUMMYFUNCTION("""COMPUTED_VALUE"""),3650000.0)</f>
        <v>3650000</v>
      </c>
      <c r="Y205" s="183">
        <f>IFERROR(__xludf.DUMMYFUNCTION("""COMPUTED_VALUE"""),3650000.0)</f>
        <v>3650000</v>
      </c>
      <c r="Z205" s="183">
        <f t="shared" si="12"/>
        <v>0</v>
      </c>
      <c r="AA205" s="183">
        <f t="shared" si="13"/>
        <v>0</v>
      </c>
      <c r="AB205" s="183">
        <f t="shared" si="14"/>
        <v>0</v>
      </c>
    </row>
    <row r="206" ht="14.25" customHeight="1">
      <c r="A206" s="175"/>
      <c r="B206" s="181" t="s">
        <v>941</v>
      </c>
      <c r="D206" s="209" t="s">
        <v>582</v>
      </c>
      <c r="E206" s="183">
        <f>SUMIFS('DB BTL'!$J:$J,'DB BTL'!$E:$E,$B206,'DB BTL'!$A:$A,$D$4,'DB BTL'!$B:$B,$E$3,'DB BTL'!$D:$D,AA$1)</f>
        <v>0</v>
      </c>
      <c r="F206" s="183">
        <f>SUMIFS('DB BTL'!$J:$J,'DB BTL'!$E:$E,$B206,'DB BTL'!$A:$A,$D$4,'DB BTL'!$B:$B,$E$3,'DB BTL'!$D:$D,AA$2)</f>
        <v>0</v>
      </c>
      <c r="G206" s="184">
        <f>IFERROR(HLOOKUP($E$3,'Tahun Lalu'!$B$5:$V$158,MATCH(B206,'Tahun Lalu'!$B$5:$B$158,0),0),0)</f>
        <v>0</v>
      </c>
      <c r="H206" s="183">
        <f>IFERROR(round(HLOOKUP('Tahun Lalu'!$D$3,RKO!$A$1:$P$171,MATCH(B206,RKO!$A$1:$A$171,0),0)*1000,0),0)</f>
        <v>0</v>
      </c>
      <c r="I206" s="183">
        <f>IFERROR(round(HLOOKUP('Tahun Lalu'!$D$3,RKAP!$A$1:$P$171,MATCH(B206,RKAP!$A$1:$A$171,0),0)*1000,0),0)</f>
        <v>0</v>
      </c>
      <c r="J206" s="183">
        <f t="shared" si="3"/>
        <v>0</v>
      </c>
      <c r="K206" s="183">
        <f t="shared" si="4"/>
        <v>0</v>
      </c>
      <c r="L206" s="183">
        <f t="shared" si="5"/>
        <v>0</v>
      </c>
      <c r="M206" s="183">
        <f t="shared" si="6"/>
        <v>0</v>
      </c>
      <c r="N206" s="183">
        <f t="shared" si="246"/>
        <v>0</v>
      </c>
      <c r="O206" s="183">
        <f t="shared" ref="O206:Q206" si="260">G206+W206</f>
        <v>0</v>
      </c>
      <c r="P206" s="183">
        <f t="shared" si="260"/>
        <v>0</v>
      </c>
      <c r="Q206" s="183">
        <f t="shared" si="260"/>
        <v>0</v>
      </c>
      <c r="R206" s="183">
        <f t="shared" si="9"/>
        <v>0</v>
      </c>
      <c r="S206" s="183">
        <f t="shared" si="10"/>
        <v>0</v>
      </c>
      <c r="T206" s="183">
        <f t="shared" si="11"/>
        <v>0</v>
      </c>
      <c r="U206" s="186"/>
      <c r="V206" s="183">
        <f>IFERROR(__xludf.DUMMYFUNCTION("""COMPUTED_VALUE"""),0.0)</f>
        <v>0</v>
      </c>
      <c r="W206" s="183">
        <f>IFERROR(__xludf.DUMMYFUNCTION("""COMPUTED_VALUE"""),0.0)</f>
        <v>0</v>
      </c>
      <c r="X206" s="183">
        <f>IFERROR(__xludf.DUMMYFUNCTION("""COMPUTED_VALUE"""),0.0)</f>
        <v>0</v>
      </c>
      <c r="Y206" s="183">
        <f>IFERROR(__xludf.DUMMYFUNCTION("""COMPUTED_VALUE"""),0.0)</f>
        <v>0</v>
      </c>
      <c r="Z206" s="183">
        <f t="shared" si="12"/>
        <v>0</v>
      </c>
      <c r="AA206" s="183">
        <f t="shared" si="13"/>
        <v>0</v>
      </c>
      <c r="AB206" s="183">
        <f t="shared" si="14"/>
        <v>0</v>
      </c>
    </row>
    <row r="207" ht="14.25" customHeight="1">
      <c r="A207" s="175"/>
      <c r="B207" s="181" t="s">
        <v>942</v>
      </c>
      <c r="D207" s="209" t="s">
        <v>943</v>
      </c>
      <c r="E207" s="183">
        <f>SUMIFS('DB BTL'!$J:$J,'DB BTL'!$E:$E,$B207,'DB BTL'!$A:$A,$D$4,'DB BTL'!$B:$B,$E$3,'DB BTL'!$D:$D,AA$1)</f>
        <v>0</v>
      </c>
      <c r="F207" s="183">
        <f>SUMIFS('DB BTL'!$J:$J,'DB BTL'!$E:$E,$B207,'DB BTL'!$A:$A,$D$4,'DB BTL'!$B:$B,$E$3,'DB BTL'!$D:$D,AA$2)</f>
        <v>0</v>
      </c>
      <c r="G207" s="184">
        <f>IFERROR(HLOOKUP($E$3,'Tahun Lalu'!$B$5:$V$158,MATCH(B207,'Tahun Lalu'!$B$5:$B$158,0),0),0)</f>
        <v>0</v>
      </c>
      <c r="H207" s="183">
        <f>IFERROR(round(HLOOKUP('Tahun Lalu'!$D$3,RKO!$A$1:$P$171,MATCH(B207,RKO!$A$1:$A$171,0),0)*1000,0),0)</f>
        <v>500000</v>
      </c>
      <c r="I207" s="183">
        <f>IFERROR(round(HLOOKUP('Tahun Lalu'!$D$3,RKAP!$A$1:$P$171,MATCH(B207,RKAP!$A$1:$A$171,0),0)*1000,0),0)</f>
        <v>500000</v>
      </c>
      <c r="J207" s="183">
        <f t="shared" si="3"/>
        <v>0</v>
      </c>
      <c r="K207" s="183">
        <f t="shared" si="4"/>
        <v>0</v>
      </c>
      <c r="L207" s="183">
        <f t="shared" si="5"/>
        <v>0</v>
      </c>
      <c r="M207" s="183">
        <f t="shared" si="6"/>
        <v>0</v>
      </c>
      <c r="N207" s="183">
        <f t="shared" si="246"/>
        <v>0</v>
      </c>
      <c r="O207" s="183">
        <f t="shared" ref="O207:Q207" si="261">G207+W207</f>
        <v>0</v>
      </c>
      <c r="P207" s="183">
        <f t="shared" si="261"/>
        <v>6500000</v>
      </c>
      <c r="Q207" s="183">
        <f t="shared" si="261"/>
        <v>6500000</v>
      </c>
      <c r="R207" s="183">
        <f t="shared" si="9"/>
        <v>0</v>
      </c>
      <c r="S207" s="183">
        <f t="shared" si="10"/>
        <v>0</v>
      </c>
      <c r="T207" s="183">
        <f t="shared" si="11"/>
        <v>0</v>
      </c>
      <c r="U207" s="186"/>
      <c r="V207" s="183">
        <f>IFERROR(__xludf.DUMMYFUNCTION("""COMPUTED_VALUE"""),0.0)</f>
        <v>0</v>
      </c>
      <c r="W207" s="183">
        <f>IFERROR(__xludf.DUMMYFUNCTION("""COMPUTED_VALUE"""),0.0)</f>
        <v>0</v>
      </c>
      <c r="X207" s="183">
        <f>IFERROR(__xludf.DUMMYFUNCTION("""COMPUTED_VALUE"""),6000000.0)</f>
        <v>6000000</v>
      </c>
      <c r="Y207" s="183">
        <f>IFERROR(__xludf.DUMMYFUNCTION("""COMPUTED_VALUE"""),6000000.0)</f>
        <v>6000000</v>
      </c>
      <c r="Z207" s="183">
        <f t="shared" si="12"/>
        <v>0</v>
      </c>
      <c r="AA207" s="183">
        <f t="shared" si="13"/>
        <v>0</v>
      </c>
      <c r="AB207" s="183">
        <f t="shared" si="14"/>
        <v>0</v>
      </c>
    </row>
    <row r="208" ht="14.25" customHeight="1">
      <c r="A208" s="175"/>
      <c r="B208" s="221"/>
      <c r="C208" s="222"/>
      <c r="D208" s="233" t="s">
        <v>944</v>
      </c>
      <c r="E208" s="224">
        <f t="shared" ref="E208:I208" si="262">sum(E191:E207)</f>
        <v>0</v>
      </c>
      <c r="F208" s="224">
        <f t="shared" si="262"/>
        <v>0</v>
      </c>
      <c r="G208" s="224">
        <f t="shared" si="262"/>
        <v>0</v>
      </c>
      <c r="H208" s="224">
        <f t="shared" si="262"/>
        <v>18675000</v>
      </c>
      <c r="I208" s="224">
        <f t="shared" si="262"/>
        <v>18675000</v>
      </c>
      <c r="J208" s="224">
        <f t="shared" si="3"/>
        <v>0</v>
      </c>
      <c r="K208" s="224">
        <f t="shared" si="4"/>
        <v>0</v>
      </c>
      <c r="L208" s="224">
        <f t="shared" si="5"/>
        <v>0</v>
      </c>
      <c r="M208" s="224">
        <f t="shared" si="6"/>
        <v>0</v>
      </c>
      <c r="N208" s="224">
        <f t="shared" ref="N208:Q208" si="263">sum(N191:N207)</f>
        <v>0</v>
      </c>
      <c r="O208" s="224">
        <f t="shared" si="263"/>
        <v>0</v>
      </c>
      <c r="P208" s="224">
        <f t="shared" si="263"/>
        <v>98025000</v>
      </c>
      <c r="Q208" s="224">
        <f t="shared" si="263"/>
        <v>98025000</v>
      </c>
      <c r="R208" s="224">
        <f t="shared" si="9"/>
        <v>0</v>
      </c>
      <c r="S208" s="224">
        <f t="shared" si="10"/>
        <v>0</v>
      </c>
      <c r="T208" s="224">
        <f t="shared" si="11"/>
        <v>0</v>
      </c>
      <c r="U208" s="225"/>
      <c r="V208" s="224">
        <f>IFERROR(__xludf.DUMMYFUNCTION("""COMPUTED_VALUE"""),0.0)</f>
        <v>0</v>
      </c>
      <c r="W208" s="224">
        <f>IFERROR(__xludf.DUMMYFUNCTION("""COMPUTED_VALUE"""),0.0)</f>
        <v>0</v>
      </c>
      <c r="X208" s="224">
        <f>IFERROR(__xludf.DUMMYFUNCTION("""COMPUTED_VALUE"""),7.935E7)</f>
        <v>79350000</v>
      </c>
      <c r="Y208" s="224">
        <f>IFERROR(__xludf.DUMMYFUNCTION("""COMPUTED_VALUE"""),7.935E7)</f>
        <v>79350000</v>
      </c>
      <c r="Z208" s="224">
        <f t="shared" si="12"/>
        <v>0</v>
      </c>
      <c r="AA208" s="224">
        <f t="shared" si="13"/>
        <v>0</v>
      </c>
      <c r="AB208" s="224">
        <f t="shared" si="14"/>
        <v>0</v>
      </c>
    </row>
  </sheetData>
  <mergeCells count="31">
    <mergeCell ref="H6:H8"/>
    <mergeCell ref="I6:I8"/>
    <mergeCell ref="B190:D190"/>
    <mergeCell ref="J6:M6"/>
    <mergeCell ref="N6:N8"/>
    <mergeCell ref="J7:J8"/>
    <mergeCell ref="K7:K8"/>
    <mergeCell ref="L7:L8"/>
    <mergeCell ref="M7:M8"/>
    <mergeCell ref="N5:T5"/>
    <mergeCell ref="R6:T6"/>
    <mergeCell ref="B5:B8"/>
    <mergeCell ref="C5:D8"/>
    <mergeCell ref="E5:M5"/>
    <mergeCell ref="E6:E8"/>
    <mergeCell ref="F6:F8"/>
    <mergeCell ref="G6:G8"/>
    <mergeCell ref="Q6:Q8"/>
    <mergeCell ref="R7:R8"/>
    <mergeCell ref="S7:S8"/>
    <mergeCell ref="Y6:Y8"/>
    <mergeCell ref="Z7:Z8"/>
    <mergeCell ref="AA7:AA8"/>
    <mergeCell ref="AB7:AB8"/>
    <mergeCell ref="O6:O8"/>
    <mergeCell ref="P6:P8"/>
    <mergeCell ref="V6:V8"/>
    <mergeCell ref="W6:W8"/>
    <mergeCell ref="X6:X8"/>
    <mergeCell ref="Z6:AB6"/>
    <mergeCell ref="T7:T8"/>
  </mergeCells>
  <dataValidations>
    <dataValidation type="list" allowBlank="1" showErrorMessage="1" sqref="D3">
      <formula1>Plant!$A$2:$A$28</formula1>
    </dataValidation>
  </dataValidations>
  <printOptions/>
  <pageMargins bottom="0.2" footer="0.0" header="0.0" left="0.8" right="0.5" top="0.1"/>
  <pageSetup paperSize="9" orientation="landscape"/>
  <rowBreaks count="4" manualBreakCount="4">
    <brk id="64" man="1"/>
    <brk id="32" man="1"/>
    <brk id="119" man="1"/>
    <brk id="139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4.43" defaultRowHeight="15.0"/>
  <cols>
    <col customWidth="1" min="1" max="1" width="3.0"/>
    <col customWidth="1" min="2" max="2" width="8.43"/>
    <col customWidth="1" min="3" max="3" width="9.0"/>
    <col customWidth="1" min="4" max="4" width="44.14"/>
    <col customWidth="1" min="5" max="6" width="13.29"/>
    <col customWidth="1" min="7" max="9" width="12.29"/>
    <col customWidth="1" min="10" max="10" width="7.71"/>
    <col customWidth="1" min="11" max="11" width="7.0"/>
    <col customWidth="1" min="12" max="12" width="7.14"/>
    <col customWidth="1" min="13" max="13" width="7.0"/>
    <col customWidth="1" min="14" max="14" width="13.29"/>
    <col customWidth="1" min="15" max="16" width="11.86"/>
    <col customWidth="1" min="17" max="17" width="12.29"/>
    <col customWidth="1" min="18" max="18" width="7.71"/>
    <col customWidth="1" min="19" max="19" width="6.43"/>
    <col customWidth="1" min="20" max="20" width="7.29"/>
    <col customWidth="1" min="21" max="21" width="4.71"/>
    <col customWidth="1" min="22" max="22" width="13.29"/>
    <col customWidth="1" min="23" max="25" width="11.86"/>
    <col customWidth="1" min="26" max="26" width="15.29"/>
    <col customWidth="1" min="27" max="28" width="4.71"/>
  </cols>
  <sheetData>
    <row r="1">
      <c r="A1" s="133"/>
      <c r="B1" s="134" t="s">
        <v>723</v>
      </c>
      <c r="C1" s="135"/>
      <c r="D1" s="136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7" t="s">
        <v>724</v>
      </c>
      <c r="AA1" s="138">
        <f>'Balin-A'!AA1</f>
        <v>5</v>
      </c>
      <c r="AB1" s="133"/>
    </row>
    <row r="2">
      <c r="A2" s="133"/>
      <c r="B2" s="134" t="s">
        <v>725</v>
      </c>
      <c r="C2" s="135"/>
      <c r="D2" s="136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7" t="s">
        <v>726</v>
      </c>
      <c r="AA2" s="138">
        <f>'Balin-A'!AA2</f>
        <v>4</v>
      </c>
      <c r="AB2" s="133"/>
    </row>
    <row r="3">
      <c r="A3" s="133"/>
      <c r="B3" s="134" t="s">
        <v>727</v>
      </c>
      <c r="C3" s="135"/>
      <c r="D3" s="139" t="s">
        <v>676</v>
      </c>
      <c r="E3" s="140" t="str">
        <f>VLOOKUP(D3,Plant!$A$2:$B$27,2,false)</f>
        <v>5E06</v>
      </c>
      <c r="F3" s="133"/>
      <c r="G3" s="133"/>
      <c r="H3" s="133"/>
      <c r="I3" s="133"/>
      <c r="J3" s="133"/>
      <c r="K3" s="133"/>
      <c r="L3" s="133"/>
      <c r="M3" s="133"/>
      <c r="N3" s="141"/>
      <c r="O3" s="133"/>
      <c r="P3" s="133"/>
      <c r="Q3" s="133"/>
      <c r="R3" s="133"/>
      <c r="S3" s="133"/>
      <c r="T3" s="133"/>
      <c r="U3" s="133"/>
      <c r="V3" s="141"/>
      <c r="W3" s="133"/>
      <c r="X3" s="133"/>
      <c r="Y3" s="133"/>
      <c r="Z3" s="133"/>
      <c r="AA3" s="133"/>
      <c r="AB3" s="133"/>
    </row>
    <row r="4" ht="14.25" customHeight="1">
      <c r="A4" s="133"/>
      <c r="B4" s="142" t="s">
        <v>728</v>
      </c>
      <c r="C4" s="143"/>
      <c r="D4" s="142" t="s">
        <v>11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44" t="s">
        <v>729</v>
      </c>
    </row>
    <row r="5" ht="14.25" customHeight="1">
      <c r="A5" s="145"/>
      <c r="B5" s="146" t="s">
        <v>730</v>
      </c>
      <c r="C5" s="147" t="s">
        <v>731</v>
      </c>
      <c r="D5" s="148"/>
      <c r="E5" s="149" t="str">
        <f>CONCATENATE("Bulan ",'Tahun Lalu'!D3," 2026")</f>
        <v>Bulan Mei 2026</v>
      </c>
      <c r="F5" s="150"/>
      <c r="G5" s="150"/>
      <c r="H5" s="150"/>
      <c r="I5" s="150"/>
      <c r="J5" s="150"/>
      <c r="K5" s="150"/>
      <c r="L5" s="150"/>
      <c r="M5" s="150"/>
      <c r="N5" s="151" t="str">
        <f>CONCATENATE("sd ",E5)</f>
        <v>sd Bulan Mei 2026</v>
      </c>
      <c r="O5" s="150"/>
      <c r="P5" s="150"/>
      <c r="Q5" s="150"/>
      <c r="R5" s="150"/>
      <c r="S5" s="150"/>
      <c r="T5" s="152"/>
      <c r="U5" s="153"/>
      <c r="V5" s="154"/>
      <c r="W5" s="155"/>
      <c r="X5" s="155"/>
      <c r="Y5" s="155"/>
      <c r="Z5" s="155"/>
      <c r="AA5" s="155"/>
      <c r="AB5" s="155"/>
    </row>
    <row r="6" ht="14.25" customHeight="1">
      <c r="A6" s="145"/>
      <c r="B6" s="156"/>
      <c r="C6" s="157"/>
      <c r="D6" s="158"/>
      <c r="E6" s="159" t="s">
        <v>732</v>
      </c>
      <c r="F6" s="159" t="s">
        <v>733</v>
      </c>
      <c r="G6" s="159" t="s">
        <v>734</v>
      </c>
      <c r="H6" s="159" t="s">
        <v>634</v>
      </c>
      <c r="I6" s="159" t="s">
        <v>635</v>
      </c>
      <c r="J6" s="160" t="s">
        <v>735</v>
      </c>
      <c r="K6" s="75"/>
      <c r="L6" s="75"/>
      <c r="M6" s="161"/>
      <c r="N6" s="162" t="s">
        <v>736</v>
      </c>
      <c r="O6" s="162" t="s">
        <v>734</v>
      </c>
      <c r="P6" s="162" t="s">
        <v>634</v>
      </c>
      <c r="Q6" s="162" t="s">
        <v>635</v>
      </c>
      <c r="R6" s="163" t="s">
        <v>735</v>
      </c>
      <c r="S6" s="75"/>
      <c r="T6" s="161"/>
      <c r="U6" s="164"/>
      <c r="V6" s="165" t="s">
        <v>736</v>
      </c>
      <c r="W6" s="165" t="s">
        <v>734</v>
      </c>
      <c r="X6" s="165" t="s">
        <v>634</v>
      </c>
      <c r="Y6" s="165" t="s">
        <v>635</v>
      </c>
      <c r="Z6" s="166" t="s">
        <v>735</v>
      </c>
      <c r="AA6" s="75"/>
      <c r="AB6" s="161"/>
    </row>
    <row r="7" ht="14.25" customHeight="1">
      <c r="A7" s="145"/>
      <c r="B7" s="156"/>
      <c r="C7" s="157"/>
      <c r="D7" s="158"/>
      <c r="E7" s="167"/>
      <c r="F7" s="167"/>
      <c r="G7" s="167"/>
      <c r="H7" s="167"/>
      <c r="I7" s="167"/>
      <c r="J7" s="168" t="str">
        <f t="shared" ref="J7:M7" si="1">F6</f>
        <v>Real Bulan Lalu</v>
      </c>
      <c r="K7" s="168" t="str">
        <f t="shared" si="1"/>
        <v>Real Tahun Lalu</v>
      </c>
      <c r="L7" s="168" t="str">
        <f t="shared" si="1"/>
        <v>RKO</v>
      </c>
      <c r="M7" s="168" t="str">
        <f t="shared" si="1"/>
        <v>RKAP</v>
      </c>
      <c r="N7" s="167"/>
      <c r="O7" s="167"/>
      <c r="P7" s="167"/>
      <c r="Q7" s="167"/>
      <c r="R7" s="169" t="str">
        <f>$O$6</f>
        <v>Real Tahun Lalu</v>
      </c>
      <c r="S7" s="169" t="str">
        <f>$P$6</f>
        <v>RKO</v>
      </c>
      <c r="T7" s="169" t="str">
        <f>$Q$6</f>
        <v>RKAP</v>
      </c>
      <c r="U7" s="164"/>
      <c r="V7" s="167"/>
      <c r="W7" s="167"/>
      <c r="X7" s="167"/>
      <c r="Y7" s="167"/>
      <c r="Z7" s="170" t="str">
        <f>$O$6</f>
        <v>Real Tahun Lalu</v>
      </c>
      <c r="AA7" s="170" t="str">
        <f>$P$6</f>
        <v>RKO</v>
      </c>
      <c r="AB7" s="170" t="str">
        <f>$Q$6</f>
        <v>RKAP</v>
      </c>
    </row>
    <row r="8" ht="14.25" customHeight="1">
      <c r="A8" s="145"/>
      <c r="B8" s="171"/>
      <c r="C8" s="172"/>
      <c r="D8" s="173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64"/>
      <c r="V8" s="174"/>
      <c r="W8" s="174"/>
      <c r="X8" s="174"/>
      <c r="Y8" s="174"/>
      <c r="Z8" s="174"/>
      <c r="AA8" s="174"/>
      <c r="AB8" s="174"/>
    </row>
    <row r="9" ht="14.25" customHeight="1">
      <c r="A9" s="175"/>
      <c r="B9" s="176"/>
      <c r="C9" s="177"/>
      <c r="D9" s="178" t="s">
        <v>737</v>
      </c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5"/>
      <c r="V9" s="179"/>
      <c r="W9" s="179"/>
      <c r="X9" s="179"/>
      <c r="Y9" s="179"/>
      <c r="Z9" s="179"/>
      <c r="AA9" s="179"/>
      <c r="AB9" s="179"/>
    </row>
    <row r="10" ht="14.25" customHeight="1">
      <c r="A10" s="175"/>
      <c r="B10" s="180" t="s">
        <v>22</v>
      </c>
      <c r="C10" s="181" t="str">
        <f>CONCATENATE(if(D4="KS","SP","SR"),"01")</f>
        <v>SR01</v>
      </c>
      <c r="D10" s="182" t="s">
        <v>738</v>
      </c>
      <c r="E10" s="183">
        <f>SUMIFS('DB BTL'!$J:$J,'DB BTL'!$E:$E,$C10,'DB BTL'!$A:$A,$D$4,'DB BTL'!$B:$B,$E$3,'DB BTL'!$D:$D,AA$1)</f>
        <v>24059534</v>
      </c>
      <c r="F10" s="183">
        <f>SUMIFS('DB WBS'!$J:$J,'DB WBS'!$A:$A,$D$4,'DB WBS'!$D:$D,AA$2,'DB WBS'!$B:$B,$E$3,'DB WBS'!$E:$E,$B10)</f>
        <v>238057737</v>
      </c>
      <c r="G10" s="184">
        <f>IFERROR(HLOOKUP($E$3,'Tahun Lalu'!$B$5:$V$158,MATCH(B10,'Tahun Lalu'!$B$5:$B$158,0),0),0)</f>
        <v>18144433</v>
      </c>
      <c r="H10" s="184">
        <v>0.0</v>
      </c>
      <c r="I10" s="184">
        <v>0.0</v>
      </c>
      <c r="J10" s="185">
        <f t="shared" ref="J10:J208" si="3">IFERROR(E10/F10*100,0)</f>
        <v>10.10659612</v>
      </c>
      <c r="K10" s="183">
        <f t="shared" ref="K10:K208" si="4">IFERROR(E10/G10*100,0)</f>
        <v>132.6000873</v>
      </c>
      <c r="L10" s="183">
        <f t="shared" ref="L10:L208" si="5">IFERROR(E10/H10*100,0)</f>
        <v>0</v>
      </c>
      <c r="M10" s="183">
        <f t="shared" ref="M10:M208" si="6">IFERROR(E10/I10*100,0)</f>
        <v>0</v>
      </c>
      <c r="N10" s="183">
        <f t="shared" ref="N10:N13" si="7">E10+V10</f>
        <v>113226929</v>
      </c>
      <c r="O10" s="183">
        <f t="shared" ref="O10:Q10" si="2">G10+W10</f>
        <v>85062998</v>
      </c>
      <c r="P10" s="183">
        <f t="shared" si="2"/>
        <v>0</v>
      </c>
      <c r="Q10" s="183">
        <f t="shared" si="2"/>
        <v>0</v>
      </c>
      <c r="R10" s="183">
        <f t="shared" ref="R10:R208" si="9">IFERROR(N10/O10*100,0)</f>
        <v>133.1094973</v>
      </c>
      <c r="S10" s="183">
        <f t="shared" ref="S10:S208" si="10">IFERROR(N10/P10*100,0)</f>
        <v>0</v>
      </c>
      <c r="T10" s="183">
        <f t="shared" ref="T10:T208" si="11">IFERROR(N10/Q10*100,0)</f>
        <v>0</v>
      </c>
      <c r="U10" s="186"/>
      <c r="V10" s="183">
        <f>IFERROR(__xludf.DUMMYFUNCTION("IFERROR(IMPORTRANGE(Link!B1,CONCATENATE(VLOOKUP($E$3,Link!$A$30:$B$39,2,false),""!N10:Q236"")),0)"),8.9167395E7)</f>
        <v>89167395</v>
      </c>
      <c r="W10" s="183">
        <f>IFERROR(__xludf.DUMMYFUNCTION("""COMPUTED_VALUE"""),6.6918565E7)</f>
        <v>66918565</v>
      </c>
      <c r="X10" s="183">
        <f>IFERROR(__xludf.DUMMYFUNCTION("""COMPUTED_VALUE"""),0.0)</f>
        <v>0</v>
      </c>
      <c r="Y10" s="183">
        <f>IFERROR(__xludf.DUMMYFUNCTION("""COMPUTED_VALUE"""),0.0)</f>
        <v>0</v>
      </c>
      <c r="Z10" s="183">
        <f t="shared" ref="Z10:Z208" si="12">IFERROR(V10/W10*100,0)</f>
        <v>133.2476197</v>
      </c>
      <c r="AA10" s="183">
        <f t="shared" ref="AA10:AA208" si="13">IFERROR(V10/X10*100,0)</f>
        <v>0</v>
      </c>
      <c r="AB10" s="183">
        <f t="shared" ref="AB10:AB208" si="14">IFERROR(V10/Y10*100,0)</f>
        <v>0</v>
      </c>
    </row>
    <row r="11" ht="14.25" customHeight="1">
      <c r="A11" s="175"/>
      <c r="B11" s="187" t="s">
        <v>739</v>
      </c>
      <c r="C11" s="181"/>
      <c r="D11" s="182" t="s">
        <v>740</v>
      </c>
      <c r="E11" s="183">
        <f>SUMIFS('DB WBS'!$J:$J,'DB WBS'!$A:$A,$D$4,'DB WBS'!$D:$D,AA$1,'DB WBS'!$B:$B,$E$3,'DB WBS'!$E:$E,$B11)</f>
        <v>0</v>
      </c>
      <c r="F11" s="183">
        <f>SUMIFS('DB WBS'!$J:$J,'DB WBS'!$A:$A,$D$4,'DB WBS'!$D:$D,AA$2,'DB WBS'!$B:$B,$E$3,'DB WBS'!$E:$E,$B11)</f>
        <v>0</v>
      </c>
      <c r="G11" s="184">
        <f>IFERROR(HLOOKUP($E$3,'Tahun Lalu'!$B$5:$V$158,MATCH(B11,'Tahun Lalu'!$B$5:$B$158,0),0),0)</f>
        <v>0</v>
      </c>
      <c r="H11" s="184">
        <v>0.0</v>
      </c>
      <c r="I11" s="184">
        <v>0.0</v>
      </c>
      <c r="J11" s="183">
        <f t="shared" si="3"/>
        <v>0</v>
      </c>
      <c r="K11" s="183">
        <f t="shared" si="4"/>
        <v>0</v>
      </c>
      <c r="L11" s="183">
        <f t="shared" si="5"/>
        <v>0</v>
      </c>
      <c r="M11" s="183">
        <f t="shared" si="6"/>
        <v>0</v>
      </c>
      <c r="N11" s="183">
        <f t="shared" si="7"/>
        <v>0</v>
      </c>
      <c r="O11" s="183">
        <f t="shared" ref="O11:Q11" si="8">G11+W11</f>
        <v>0</v>
      </c>
      <c r="P11" s="183">
        <f t="shared" si="8"/>
        <v>0</v>
      </c>
      <c r="Q11" s="183">
        <f t="shared" si="8"/>
        <v>0</v>
      </c>
      <c r="R11" s="183">
        <f t="shared" si="9"/>
        <v>0</v>
      </c>
      <c r="S11" s="183">
        <f t="shared" si="10"/>
        <v>0</v>
      </c>
      <c r="T11" s="183">
        <f t="shared" si="11"/>
        <v>0</v>
      </c>
      <c r="U11" s="186"/>
      <c r="V11" s="183">
        <f>IFERROR(__xludf.DUMMYFUNCTION("""COMPUTED_VALUE"""),0.0)</f>
        <v>0</v>
      </c>
      <c r="W11" s="183">
        <f>IFERROR(__xludf.DUMMYFUNCTION("""COMPUTED_VALUE"""),0.0)</f>
        <v>0</v>
      </c>
      <c r="X11" s="183">
        <f>IFERROR(__xludf.DUMMYFUNCTION("""COMPUTED_VALUE"""),0.0)</f>
        <v>0</v>
      </c>
      <c r="Y11" s="183">
        <f>IFERROR(__xludf.DUMMYFUNCTION("""COMPUTED_VALUE"""),0.0)</f>
        <v>0</v>
      </c>
      <c r="Z11" s="183">
        <f t="shared" si="12"/>
        <v>0</v>
      </c>
      <c r="AA11" s="183">
        <f t="shared" si="13"/>
        <v>0</v>
      </c>
      <c r="AB11" s="183">
        <f t="shared" si="14"/>
        <v>0</v>
      </c>
    </row>
    <row r="12" ht="14.25" customHeight="1">
      <c r="A12" s="175"/>
      <c r="B12" s="180"/>
      <c r="C12" s="177"/>
      <c r="D12" s="182" t="s">
        <v>741</v>
      </c>
      <c r="E12" s="183">
        <f>SUMIFS('DB WBS'!$J:$J,'DB WBS'!$A:$A,$D$4,'DB WBS'!$D:$D,AA$1,'DB WBS'!$B:$B,$E$3,'DB WBS'!$E:$E,$B12)</f>
        <v>0</v>
      </c>
      <c r="F12" s="183">
        <f>SUMIFS('DB WBS'!$J:$J,'DB WBS'!$A:$A,$D$4,'DB WBS'!$D:$D,AA$2,'DB WBS'!$B:$B,$E$3,'DB WBS'!$E:$E,$B12)</f>
        <v>0</v>
      </c>
      <c r="G12" s="184">
        <f>IFERROR(HLOOKUP($E$3,'Tahun Lalu'!$B$5:$V$158,MATCH(B12,'Tahun Lalu'!$B$5:$B$158,0),0),0)</f>
        <v>0</v>
      </c>
      <c r="H12" s="184">
        <v>0.0</v>
      </c>
      <c r="I12" s="184">
        <v>0.0</v>
      </c>
      <c r="J12" s="183">
        <f t="shared" si="3"/>
        <v>0</v>
      </c>
      <c r="K12" s="183">
        <f t="shared" si="4"/>
        <v>0</v>
      </c>
      <c r="L12" s="188">
        <f t="shared" si="5"/>
        <v>0</v>
      </c>
      <c r="M12" s="188">
        <f t="shared" si="6"/>
        <v>0</v>
      </c>
      <c r="N12" s="183">
        <f t="shared" si="7"/>
        <v>0</v>
      </c>
      <c r="O12" s="183">
        <f t="shared" ref="O12:Q12" si="15">G12+W12</f>
        <v>0</v>
      </c>
      <c r="P12" s="183">
        <f t="shared" si="15"/>
        <v>0</v>
      </c>
      <c r="Q12" s="183">
        <f t="shared" si="15"/>
        <v>0</v>
      </c>
      <c r="R12" s="183">
        <f t="shared" si="9"/>
        <v>0</v>
      </c>
      <c r="S12" s="183">
        <f t="shared" si="10"/>
        <v>0</v>
      </c>
      <c r="T12" s="188">
        <f t="shared" si="11"/>
        <v>0</v>
      </c>
      <c r="U12" s="189"/>
      <c r="V12" s="183">
        <f>IFERROR(__xludf.DUMMYFUNCTION("""COMPUTED_VALUE"""),0.0)</f>
        <v>0</v>
      </c>
      <c r="W12" s="183">
        <f>IFERROR(__xludf.DUMMYFUNCTION("""COMPUTED_VALUE"""),0.0)</f>
        <v>0</v>
      </c>
      <c r="X12" s="188">
        <f>IFERROR(__xludf.DUMMYFUNCTION("""COMPUTED_VALUE"""),0.0)</f>
        <v>0</v>
      </c>
      <c r="Y12" s="188">
        <f>IFERROR(__xludf.DUMMYFUNCTION("""COMPUTED_VALUE"""),0.0)</f>
        <v>0</v>
      </c>
      <c r="Z12" s="183">
        <f t="shared" si="12"/>
        <v>0</v>
      </c>
      <c r="AA12" s="183">
        <f t="shared" si="13"/>
        <v>0</v>
      </c>
      <c r="AB12" s="188">
        <f t="shared" si="14"/>
        <v>0</v>
      </c>
    </row>
    <row r="13" ht="14.25" customHeight="1">
      <c r="A13" s="175"/>
      <c r="B13" s="180"/>
      <c r="C13" s="177"/>
      <c r="D13" s="182" t="s">
        <v>742</v>
      </c>
      <c r="E13" s="183">
        <f>SUMIFS('DB WBS'!$J:$J,'DB WBS'!$A:$A,$D$4,'DB WBS'!$D:$D,AA$1,'DB WBS'!$B:$B,$E$3,'DB WBS'!$E:$E,$B13)</f>
        <v>0</v>
      </c>
      <c r="F13" s="183">
        <f>SUMIFS('DB WBS'!$J:$J,'DB WBS'!$A:$A,$D$4,'DB WBS'!$D:$D,AA$2,'DB WBS'!$B:$B,$E$3,'DB WBS'!$E:$E,$B13)</f>
        <v>0</v>
      </c>
      <c r="G13" s="184">
        <f>IFERROR(HLOOKUP($E$3,'Tahun Lalu'!$B$5:$V$158,MATCH(B13,'Tahun Lalu'!$B$5:$B$158,0),0),0)</f>
        <v>0</v>
      </c>
      <c r="H13" s="184">
        <v>0.0</v>
      </c>
      <c r="I13" s="184">
        <v>0.0</v>
      </c>
      <c r="J13" s="183">
        <f t="shared" si="3"/>
        <v>0</v>
      </c>
      <c r="K13" s="183">
        <f t="shared" si="4"/>
        <v>0</v>
      </c>
      <c r="L13" s="188">
        <f t="shared" si="5"/>
        <v>0</v>
      </c>
      <c r="M13" s="188">
        <f t="shared" si="6"/>
        <v>0</v>
      </c>
      <c r="N13" s="183">
        <f t="shared" si="7"/>
        <v>0</v>
      </c>
      <c r="O13" s="183">
        <f t="shared" ref="O13:Q13" si="16">G13+W13</f>
        <v>0</v>
      </c>
      <c r="P13" s="183">
        <f t="shared" si="16"/>
        <v>0</v>
      </c>
      <c r="Q13" s="183">
        <f t="shared" si="16"/>
        <v>0</v>
      </c>
      <c r="R13" s="183">
        <f t="shared" si="9"/>
        <v>0</v>
      </c>
      <c r="S13" s="183">
        <f t="shared" si="10"/>
        <v>0</v>
      </c>
      <c r="T13" s="188">
        <f t="shared" si="11"/>
        <v>0</v>
      </c>
      <c r="U13" s="189"/>
      <c r="V13" s="183">
        <f>IFERROR(__xludf.DUMMYFUNCTION("""COMPUTED_VALUE"""),0.0)</f>
        <v>0</v>
      </c>
      <c r="W13" s="183">
        <f>IFERROR(__xludf.DUMMYFUNCTION("""COMPUTED_VALUE"""),0.0)</f>
        <v>0</v>
      </c>
      <c r="X13" s="188">
        <f>IFERROR(__xludf.DUMMYFUNCTION("""COMPUTED_VALUE"""),0.0)</f>
        <v>0</v>
      </c>
      <c r="Y13" s="188">
        <f>IFERROR(__xludf.DUMMYFUNCTION("""COMPUTED_VALUE"""),0.0)</f>
        <v>0</v>
      </c>
      <c r="Z13" s="183">
        <f t="shared" si="12"/>
        <v>0</v>
      </c>
      <c r="AA13" s="183">
        <f t="shared" si="13"/>
        <v>0</v>
      </c>
      <c r="AB13" s="188">
        <f t="shared" si="14"/>
        <v>0</v>
      </c>
    </row>
    <row r="14" ht="14.25" customHeight="1">
      <c r="A14" s="190"/>
      <c r="B14" s="191" t="s">
        <v>743</v>
      </c>
      <c r="C14" s="192"/>
      <c r="D14" s="193"/>
      <c r="E14" s="194">
        <f t="shared" ref="E14:I14" si="17">SUM(E10:E13)</f>
        <v>24059534</v>
      </c>
      <c r="F14" s="194">
        <f t="shared" si="17"/>
        <v>238057737</v>
      </c>
      <c r="G14" s="194">
        <f t="shared" si="17"/>
        <v>18144433</v>
      </c>
      <c r="H14" s="194">
        <f t="shared" si="17"/>
        <v>0</v>
      </c>
      <c r="I14" s="194">
        <f t="shared" si="17"/>
        <v>0</v>
      </c>
      <c r="J14" s="194">
        <f t="shared" si="3"/>
        <v>10.10659612</v>
      </c>
      <c r="K14" s="194">
        <f t="shared" si="4"/>
        <v>132.6000873</v>
      </c>
      <c r="L14" s="194">
        <f t="shared" si="5"/>
        <v>0</v>
      </c>
      <c r="M14" s="194">
        <f t="shared" si="6"/>
        <v>0</v>
      </c>
      <c r="N14" s="194">
        <f t="shared" ref="N14:Q14" si="18">SUM(N10:N13)</f>
        <v>113226929</v>
      </c>
      <c r="O14" s="194">
        <f t="shared" si="18"/>
        <v>85062998</v>
      </c>
      <c r="P14" s="194">
        <f t="shared" si="18"/>
        <v>0</v>
      </c>
      <c r="Q14" s="194">
        <f t="shared" si="18"/>
        <v>0</v>
      </c>
      <c r="R14" s="194">
        <f t="shared" si="9"/>
        <v>133.1094973</v>
      </c>
      <c r="S14" s="194">
        <f t="shared" si="10"/>
        <v>0</v>
      </c>
      <c r="T14" s="194">
        <f t="shared" si="11"/>
        <v>0</v>
      </c>
      <c r="U14" s="195"/>
      <c r="V14" s="194">
        <f>IFERROR(__xludf.DUMMYFUNCTION("""COMPUTED_VALUE"""),8.9167395E7)</f>
        <v>89167395</v>
      </c>
      <c r="W14" s="194">
        <f>IFERROR(__xludf.DUMMYFUNCTION("""COMPUTED_VALUE"""),6.6918565E7)</f>
        <v>66918565</v>
      </c>
      <c r="X14" s="194">
        <f>IFERROR(__xludf.DUMMYFUNCTION("""COMPUTED_VALUE"""),0.0)</f>
        <v>0</v>
      </c>
      <c r="Y14" s="194">
        <f>IFERROR(__xludf.DUMMYFUNCTION("""COMPUTED_VALUE"""),0.0)</f>
        <v>0</v>
      </c>
      <c r="Z14" s="194">
        <f t="shared" si="12"/>
        <v>133.2476197</v>
      </c>
      <c r="AA14" s="194">
        <f t="shared" si="13"/>
        <v>0</v>
      </c>
      <c r="AB14" s="194">
        <f t="shared" si="14"/>
        <v>0</v>
      </c>
    </row>
    <row r="15" ht="14.25" customHeight="1">
      <c r="A15" s="175"/>
      <c r="B15" s="196" t="s">
        <v>744</v>
      </c>
      <c r="C15" s="181"/>
      <c r="D15" s="197" t="s">
        <v>745</v>
      </c>
      <c r="E15" s="183">
        <f>SUMIFS('DB WBS'!$J:$J,'DB WBS'!$A:$A,$D$4,'DB WBS'!$D:$D,AA$1,'DB WBS'!$B:$B,$E$3,'DB WBS'!$E:$E,$B15)</f>
        <v>0</v>
      </c>
      <c r="F15" s="183">
        <f>SUMIFS('DB WBS'!$J:$J,'DB WBS'!$A:$A,$D$4,'DB WBS'!$D:$D,AA$2,'DB WBS'!$B:$B,$E$3,'DB WBS'!$E:$E,$B15)</f>
        <v>0</v>
      </c>
      <c r="G15" s="184">
        <f>IFERROR(HLOOKUP($E$3,'Tahun Lalu'!$B$5:$V$158,MATCH(B15,'Tahun Lalu'!$B$5:$B$158,0),0),0)</f>
        <v>0</v>
      </c>
      <c r="H15" s="184">
        <v>0.0</v>
      </c>
      <c r="I15" s="184">
        <v>0.0</v>
      </c>
      <c r="J15" s="183">
        <f t="shared" si="3"/>
        <v>0</v>
      </c>
      <c r="K15" s="183">
        <f t="shared" si="4"/>
        <v>0</v>
      </c>
      <c r="L15" s="183">
        <f t="shared" si="5"/>
        <v>0</v>
      </c>
      <c r="M15" s="183">
        <f t="shared" si="6"/>
        <v>0</v>
      </c>
      <c r="N15" s="183">
        <f t="shared" ref="N15:N31" si="20">E15+V15</f>
        <v>0</v>
      </c>
      <c r="O15" s="183">
        <f t="shared" ref="O15:Q15" si="19">G15+W15</f>
        <v>0</v>
      </c>
      <c r="P15" s="183">
        <f t="shared" si="19"/>
        <v>0</v>
      </c>
      <c r="Q15" s="183">
        <f t="shared" si="19"/>
        <v>0</v>
      </c>
      <c r="R15" s="183">
        <f t="shared" si="9"/>
        <v>0</v>
      </c>
      <c r="S15" s="183">
        <f t="shared" si="10"/>
        <v>0</v>
      </c>
      <c r="T15" s="183">
        <f t="shared" si="11"/>
        <v>0</v>
      </c>
      <c r="U15" s="186"/>
      <c r="V15" s="183">
        <f>IFERROR(__xludf.DUMMYFUNCTION("""COMPUTED_VALUE"""),0.0)</f>
        <v>0</v>
      </c>
      <c r="W15" s="183">
        <f>IFERROR(__xludf.DUMMYFUNCTION("""COMPUTED_VALUE"""),0.0)</f>
        <v>0</v>
      </c>
      <c r="X15" s="183">
        <f>IFERROR(__xludf.DUMMYFUNCTION("""COMPUTED_VALUE"""),0.0)</f>
        <v>0</v>
      </c>
      <c r="Y15" s="183">
        <f>IFERROR(__xludf.DUMMYFUNCTION("""COMPUTED_VALUE"""),0.0)</f>
        <v>0</v>
      </c>
      <c r="Z15" s="183">
        <f t="shared" si="12"/>
        <v>0</v>
      </c>
      <c r="AA15" s="183">
        <f t="shared" si="13"/>
        <v>0</v>
      </c>
      <c r="AB15" s="183">
        <f t="shared" si="14"/>
        <v>0</v>
      </c>
    </row>
    <row r="16" ht="14.25" customHeight="1">
      <c r="A16" s="175"/>
      <c r="B16" s="196" t="s">
        <v>746</v>
      </c>
      <c r="C16" s="181"/>
      <c r="D16" s="197" t="s">
        <v>747</v>
      </c>
      <c r="E16" s="183">
        <f>SUMIFS('DB WBS'!$J:$J,'DB WBS'!$A:$A,$D$4,'DB WBS'!$D:$D,AA$1,'DB WBS'!$B:$B,$E$3,'DB WBS'!$E:$E,$B16)</f>
        <v>0</v>
      </c>
      <c r="F16" s="183">
        <f>SUMIFS('DB WBS'!$J:$J,'DB WBS'!$A:$A,$D$4,'DB WBS'!$D:$D,AA$2,'DB WBS'!$B:$B,$E$3,'DB WBS'!$E:$E,$B16)</f>
        <v>0</v>
      </c>
      <c r="G16" s="184">
        <f>IFERROR(HLOOKUP($E$3,'Tahun Lalu'!$B$5:$V$158,MATCH(B16,'Tahun Lalu'!$B$5:$B$158,0),0),0)</f>
        <v>0</v>
      </c>
      <c r="H16" s="184">
        <v>0.0</v>
      </c>
      <c r="I16" s="184">
        <v>0.0</v>
      </c>
      <c r="J16" s="183">
        <f t="shared" si="3"/>
        <v>0</v>
      </c>
      <c r="K16" s="183">
        <f t="shared" si="4"/>
        <v>0</v>
      </c>
      <c r="L16" s="183">
        <f t="shared" si="5"/>
        <v>0</v>
      </c>
      <c r="M16" s="183">
        <f t="shared" si="6"/>
        <v>0</v>
      </c>
      <c r="N16" s="183">
        <f t="shared" si="20"/>
        <v>0</v>
      </c>
      <c r="O16" s="183">
        <f t="shared" ref="O16:Q16" si="21">G16+W16</f>
        <v>0</v>
      </c>
      <c r="P16" s="183">
        <f t="shared" si="21"/>
        <v>0</v>
      </c>
      <c r="Q16" s="183">
        <f t="shared" si="21"/>
        <v>0</v>
      </c>
      <c r="R16" s="183">
        <f t="shared" si="9"/>
        <v>0</v>
      </c>
      <c r="S16" s="183">
        <f t="shared" si="10"/>
        <v>0</v>
      </c>
      <c r="T16" s="183">
        <f t="shared" si="11"/>
        <v>0</v>
      </c>
      <c r="U16" s="186"/>
      <c r="V16" s="183">
        <f>IFERROR(__xludf.DUMMYFUNCTION("""COMPUTED_VALUE"""),0.0)</f>
        <v>0</v>
      </c>
      <c r="W16" s="183">
        <f>IFERROR(__xludf.DUMMYFUNCTION("""COMPUTED_VALUE"""),0.0)</f>
        <v>0</v>
      </c>
      <c r="X16" s="183">
        <f>IFERROR(__xludf.DUMMYFUNCTION("""COMPUTED_VALUE"""),0.0)</f>
        <v>0</v>
      </c>
      <c r="Y16" s="183">
        <f>IFERROR(__xludf.DUMMYFUNCTION("""COMPUTED_VALUE"""),0.0)</f>
        <v>0</v>
      </c>
      <c r="Z16" s="183">
        <f t="shared" si="12"/>
        <v>0</v>
      </c>
      <c r="AA16" s="183">
        <f t="shared" si="13"/>
        <v>0</v>
      </c>
      <c r="AB16" s="183">
        <f t="shared" si="14"/>
        <v>0</v>
      </c>
    </row>
    <row r="17" ht="14.25" customHeight="1">
      <c r="A17" s="175"/>
      <c r="B17" s="196" t="s">
        <v>748</v>
      </c>
      <c r="C17" s="181"/>
      <c r="D17" s="197" t="s">
        <v>749</v>
      </c>
      <c r="E17" s="183">
        <f>SUMIFS('DB WBS'!$J:$J,'DB WBS'!$A:$A,$D$4,'DB WBS'!$D:$D,AA$1,'DB WBS'!$B:$B,$E$3,'DB WBS'!$E:$E,$B17)</f>
        <v>0</v>
      </c>
      <c r="F17" s="183">
        <f>SUMIFS('DB WBS'!$J:$J,'DB WBS'!$A:$A,$D$4,'DB WBS'!$D:$D,AA$2,'DB WBS'!$B:$B,$E$3,'DB WBS'!$E:$E,$B17)</f>
        <v>0</v>
      </c>
      <c r="G17" s="184">
        <f>IFERROR(HLOOKUP($E$3,'Tahun Lalu'!$B$5:$V$158,MATCH(B17,'Tahun Lalu'!$B$5:$B$158,0),0),0)</f>
        <v>0</v>
      </c>
      <c r="H17" s="184">
        <v>0.0</v>
      </c>
      <c r="I17" s="184">
        <v>0.0</v>
      </c>
      <c r="J17" s="183">
        <f t="shared" si="3"/>
        <v>0</v>
      </c>
      <c r="K17" s="183">
        <f t="shared" si="4"/>
        <v>0</v>
      </c>
      <c r="L17" s="183">
        <f t="shared" si="5"/>
        <v>0</v>
      </c>
      <c r="M17" s="183">
        <f t="shared" si="6"/>
        <v>0</v>
      </c>
      <c r="N17" s="183">
        <f t="shared" si="20"/>
        <v>0</v>
      </c>
      <c r="O17" s="183">
        <f t="shared" ref="O17:Q17" si="22">G17+W17</f>
        <v>0</v>
      </c>
      <c r="P17" s="183">
        <f t="shared" si="22"/>
        <v>0</v>
      </c>
      <c r="Q17" s="183">
        <f t="shared" si="22"/>
        <v>0</v>
      </c>
      <c r="R17" s="183">
        <f t="shared" si="9"/>
        <v>0</v>
      </c>
      <c r="S17" s="183">
        <f t="shared" si="10"/>
        <v>0</v>
      </c>
      <c r="T17" s="183">
        <f t="shared" si="11"/>
        <v>0</v>
      </c>
      <c r="U17" s="186"/>
      <c r="V17" s="183">
        <f>IFERROR(__xludf.DUMMYFUNCTION("""COMPUTED_VALUE"""),0.0)</f>
        <v>0</v>
      </c>
      <c r="W17" s="183">
        <f>IFERROR(__xludf.DUMMYFUNCTION("""COMPUTED_VALUE"""),0.0)</f>
        <v>0</v>
      </c>
      <c r="X17" s="183">
        <f>IFERROR(__xludf.DUMMYFUNCTION("""COMPUTED_VALUE"""),0.0)</f>
        <v>0</v>
      </c>
      <c r="Y17" s="183">
        <f>IFERROR(__xludf.DUMMYFUNCTION("""COMPUTED_VALUE"""),0.0)</f>
        <v>0</v>
      </c>
      <c r="Z17" s="183">
        <f t="shared" si="12"/>
        <v>0</v>
      </c>
      <c r="AA17" s="183">
        <f t="shared" si="13"/>
        <v>0</v>
      </c>
      <c r="AB17" s="183">
        <f t="shared" si="14"/>
        <v>0</v>
      </c>
    </row>
    <row r="18" ht="14.25" customHeight="1">
      <c r="A18" s="175"/>
      <c r="B18" s="196" t="s">
        <v>750</v>
      </c>
      <c r="C18" s="181"/>
      <c r="D18" s="197" t="s">
        <v>751</v>
      </c>
      <c r="E18" s="183">
        <f>SUMIFS('DB WBS'!$J:$J,'DB WBS'!$A:$A,$D$4,'DB WBS'!$D:$D,AA$1,'DB WBS'!$B:$B,$E$3,'DB WBS'!$E:$E,$B18)</f>
        <v>0</v>
      </c>
      <c r="F18" s="183">
        <f>SUMIFS('DB WBS'!$J:$J,'DB WBS'!$A:$A,$D$4,'DB WBS'!$D:$D,AA$2,'DB WBS'!$B:$B,$E$3,'DB WBS'!$E:$E,$B18)</f>
        <v>0</v>
      </c>
      <c r="G18" s="184">
        <f>IFERROR(HLOOKUP($E$3,'Tahun Lalu'!$B$5:$V$158,MATCH(B18,'Tahun Lalu'!$B$5:$B$158,0),0),0)</f>
        <v>0</v>
      </c>
      <c r="H18" s="184">
        <v>0.0</v>
      </c>
      <c r="I18" s="184">
        <v>0.0</v>
      </c>
      <c r="J18" s="183">
        <f t="shared" si="3"/>
        <v>0</v>
      </c>
      <c r="K18" s="183">
        <f t="shared" si="4"/>
        <v>0</v>
      </c>
      <c r="L18" s="183">
        <f t="shared" si="5"/>
        <v>0</v>
      </c>
      <c r="M18" s="183">
        <f t="shared" si="6"/>
        <v>0</v>
      </c>
      <c r="N18" s="183">
        <f t="shared" si="20"/>
        <v>0</v>
      </c>
      <c r="O18" s="183">
        <f t="shared" ref="O18:Q18" si="23">G18+W18</f>
        <v>0</v>
      </c>
      <c r="P18" s="183">
        <f t="shared" si="23"/>
        <v>0</v>
      </c>
      <c r="Q18" s="183">
        <f t="shared" si="23"/>
        <v>0</v>
      </c>
      <c r="R18" s="183">
        <f t="shared" si="9"/>
        <v>0</v>
      </c>
      <c r="S18" s="183">
        <f t="shared" si="10"/>
        <v>0</v>
      </c>
      <c r="T18" s="183">
        <f t="shared" si="11"/>
        <v>0</v>
      </c>
      <c r="U18" s="186"/>
      <c r="V18" s="183">
        <f>IFERROR(__xludf.DUMMYFUNCTION("""COMPUTED_VALUE"""),0.0)</f>
        <v>0</v>
      </c>
      <c r="W18" s="183">
        <f>IFERROR(__xludf.DUMMYFUNCTION("""COMPUTED_VALUE"""),0.0)</f>
        <v>0</v>
      </c>
      <c r="X18" s="183">
        <f>IFERROR(__xludf.DUMMYFUNCTION("""COMPUTED_VALUE"""),0.0)</f>
        <v>0</v>
      </c>
      <c r="Y18" s="183">
        <f>IFERROR(__xludf.DUMMYFUNCTION("""COMPUTED_VALUE"""),0.0)</f>
        <v>0</v>
      </c>
      <c r="Z18" s="183">
        <f t="shared" si="12"/>
        <v>0</v>
      </c>
      <c r="AA18" s="183">
        <f t="shared" si="13"/>
        <v>0</v>
      </c>
      <c r="AB18" s="183">
        <f t="shared" si="14"/>
        <v>0</v>
      </c>
    </row>
    <row r="19" ht="14.25" customHeight="1">
      <c r="A19" s="175"/>
      <c r="B19" s="196" t="s">
        <v>752</v>
      </c>
      <c r="C19" s="181"/>
      <c r="D19" s="197" t="s">
        <v>753</v>
      </c>
      <c r="E19" s="183">
        <f>SUMIFS('DB WBS'!$J:$J,'DB WBS'!$A:$A,$D$4,'DB WBS'!$D:$D,AA$1,'DB WBS'!$B:$B,$E$3,'DB WBS'!$E:$E,$B19)</f>
        <v>0</v>
      </c>
      <c r="F19" s="183">
        <f>SUMIFS('DB WBS'!$J:$J,'DB WBS'!$A:$A,$D$4,'DB WBS'!$D:$D,AA$2,'DB WBS'!$B:$B,$E$3,'DB WBS'!$E:$E,$B19)</f>
        <v>0</v>
      </c>
      <c r="G19" s="184">
        <f>IFERROR(HLOOKUP($E$3,'Tahun Lalu'!$B$5:$V$158,MATCH(B19,'Tahun Lalu'!$B$5:$B$158,0),0),0)</f>
        <v>0</v>
      </c>
      <c r="H19" s="184">
        <v>0.0</v>
      </c>
      <c r="I19" s="184">
        <v>0.0</v>
      </c>
      <c r="J19" s="183">
        <f t="shared" si="3"/>
        <v>0</v>
      </c>
      <c r="K19" s="183">
        <f t="shared" si="4"/>
        <v>0</v>
      </c>
      <c r="L19" s="183">
        <f t="shared" si="5"/>
        <v>0</v>
      </c>
      <c r="M19" s="183">
        <f t="shared" si="6"/>
        <v>0</v>
      </c>
      <c r="N19" s="183">
        <f t="shared" si="20"/>
        <v>0</v>
      </c>
      <c r="O19" s="183">
        <f t="shared" ref="O19:Q19" si="24">G19+W19</f>
        <v>0</v>
      </c>
      <c r="P19" s="183">
        <f t="shared" si="24"/>
        <v>0</v>
      </c>
      <c r="Q19" s="183">
        <f t="shared" si="24"/>
        <v>0</v>
      </c>
      <c r="R19" s="183">
        <f t="shared" si="9"/>
        <v>0</v>
      </c>
      <c r="S19" s="183">
        <f t="shared" si="10"/>
        <v>0</v>
      </c>
      <c r="T19" s="183">
        <f t="shared" si="11"/>
        <v>0</v>
      </c>
      <c r="U19" s="186"/>
      <c r="V19" s="183">
        <f>IFERROR(__xludf.DUMMYFUNCTION("""COMPUTED_VALUE"""),0.0)</f>
        <v>0</v>
      </c>
      <c r="W19" s="183">
        <f>IFERROR(__xludf.DUMMYFUNCTION("""COMPUTED_VALUE"""),0.0)</f>
        <v>0</v>
      </c>
      <c r="X19" s="183">
        <f>IFERROR(__xludf.DUMMYFUNCTION("""COMPUTED_VALUE"""),0.0)</f>
        <v>0</v>
      </c>
      <c r="Y19" s="183">
        <f>IFERROR(__xludf.DUMMYFUNCTION("""COMPUTED_VALUE"""),0.0)</f>
        <v>0</v>
      </c>
      <c r="Z19" s="183">
        <f t="shared" si="12"/>
        <v>0</v>
      </c>
      <c r="AA19" s="183">
        <f t="shared" si="13"/>
        <v>0</v>
      </c>
      <c r="AB19" s="183">
        <f t="shared" si="14"/>
        <v>0</v>
      </c>
    </row>
    <row r="20" ht="14.25" customHeight="1">
      <c r="A20" s="175"/>
      <c r="B20" s="196" t="s">
        <v>754</v>
      </c>
      <c r="C20" s="181"/>
      <c r="D20" s="197" t="s">
        <v>755</v>
      </c>
      <c r="E20" s="183">
        <f>SUMIFS('DB WBS'!$J:$J,'DB WBS'!$A:$A,$D$4,'DB WBS'!$D:$D,AA$1,'DB WBS'!$B:$B,$E$3,'DB WBS'!$E:$E,$B20)</f>
        <v>0</v>
      </c>
      <c r="F20" s="183">
        <f>SUMIFS('DB WBS'!$J:$J,'DB WBS'!$A:$A,$D$4,'DB WBS'!$D:$D,AA$2,'DB WBS'!$B:$B,$E$3,'DB WBS'!$E:$E,$B20)</f>
        <v>0</v>
      </c>
      <c r="G20" s="184">
        <f>IFERROR(HLOOKUP($E$3,'Tahun Lalu'!$B$5:$V$158,MATCH(B20,'Tahun Lalu'!$B$5:$B$158,0),0),0)</f>
        <v>0</v>
      </c>
      <c r="H20" s="184">
        <v>0.0</v>
      </c>
      <c r="I20" s="184">
        <v>0.0</v>
      </c>
      <c r="J20" s="183">
        <f t="shared" si="3"/>
        <v>0</v>
      </c>
      <c r="K20" s="183">
        <f t="shared" si="4"/>
        <v>0</v>
      </c>
      <c r="L20" s="183">
        <f t="shared" si="5"/>
        <v>0</v>
      </c>
      <c r="M20" s="183">
        <f t="shared" si="6"/>
        <v>0</v>
      </c>
      <c r="N20" s="183">
        <f t="shared" si="20"/>
        <v>0</v>
      </c>
      <c r="O20" s="183">
        <f t="shared" ref="O20:Q20" si="25">G20+W20</f>
        <v>0</v>
      </c>
      <c r="P20" s="183">
        <f t="shared" si="25"/>
        <v>0</v>
      </c>
      <c r="Q20" s="183">
        <f t="shared" si="25"/>
        <v>0</v>
      </c>
      <c r="R20" s="183">
        <f t="shared" si="9"/>
        <v>0</v>
      </c>
      <c r="S20" s="183">
        <f t="shared" si="10"/>
        <v>0</v>
      </c>
      <c r="T20" s="183">
        <f t="shared" si="11"/>
        <v>0</v>
      </c>
      <c r="U20" s="186"/>
      <c r="V20" s="183">
        <f>IFERROR(__xludf.DUMMYFUNCTION("""COMPUTED_VALUE"""),0.0)</f>
        <v>0</v>
      </c>
      <c r="W20" s="183">
        <f>IFERROR(__xludf.DUMMYFUNCTION("""COMPUTED_VALUE"""),0.0)</f>
        <v>0</v>
      </c>
      <c r="X20" s="183">
        <f>IFERROR(__xludf.DUMMYFUNCTION("""COMPUTED_VALUE"""),0.0)</f>
        <v>0</v>
      </c>
      <c r="Y20" s="183">
        <f>IFERROR(__xludf.DUMMYFUNCTION("""COMPUTED_VALUE"""),0.0)</f>
        <v>0</v>
      </c>
      <c r="Z20" s="183">
        <f t="shared" si="12"/>
        <v>0</v>
      </c>
      <c r="AA20" s="183">
        <f t="shared" si="13"/>
        <v>0</v>
      </c>
      <c r="AB20" s="183">
        <f t="shared" si="14"/>
        <v>0</v>
      </c>
    </row>
    <row r="21" ht="14.25" customHeight="1">
      <c r="A21" s="175"/>
      <c r="B21" s="196" t="s">
        <v>756</v>
      </c>
      <c r="C21" s="181"/>
      <c r="D21" s="197" t="s">
        <v>757</v>
      </c>
      <c r="E21" s="183">
        <f>SUMIFS('DB WBS'!$J:$J,'DB WBS'!$A:$A,$D$4,'DB WBS'!$D:$D,AA$1,'DB WBS'!$B:$B,$E$3,'DB WBS'!$E:$E,$B21)</f>
        <v>0</v>
      </c>
      <c r="F21" s="183">
        <f>SUMIFS('DB WBS'!$J:$J,'DB WBS'!$A:$A,$D$4,'DB WBS'!$D:$D,AA$2,'DB WBS'!$B:$B,$E$3,'DB WBS'!$E:$E,$B21)</f>
        <v>0</v>
      </c>
      <c r="G21" s="184">
        <f>IFERROR(HLOOKUP($E$3,'Tahun Lalu'!$B$5:$V$158,MATCH(B21,'Tahun Lalu'!$B$5:$B$158,0),0),0)</f>
        <v>0</v>
      </c>
      <c r="H21" s="184">
        <v>0.0</v>
      </c>
      <c r="I21" s="184">
        <v>0.0</v>
      </c>
      <c r="J21" s="183">
        <f t="shared" si="3"/>
        <v>0</v>
      </c>
      <c r="K21" s="183">
        <f t="shared" si="4"/>
        <v>0</v>
      </c>
      <c r="L21" s="183">
        <f t="shared" si="5"/>
        <v>0</v>
      </c>
      <c r="M21" s="183">
        <f t="shared" si="6"/>
        <v>0</v>
      </c>
      <c r="N21" s="183">
        <f t="shared" si="20"/>
        <v>0</v>
      </c>
      <c r="O21" s="183">
        <f t="shared" ref="O21:Q21" si="26">G21+W21</f>
        <v>0</v>
      </c>
      <c r="P21" s="183">
        <f t="shared" si="26"/>
        <v>0</v>
      </c>
      <c r="Q21" s="183">
        <f t="shared" si="26"/>
        <v>0</v>
      </c>
      <c r="R21" s="183">
        <f t="shared" si="9"/>
        <v>0</v>
      </c>
      <c r="S21" s="183">
        <f t="shared" si="10"/>
        <v>0</v>
      </c>
      <c r="T21" s="183">
        <f t="shared" si="11"/>
        <v>0</v>
      </c>
      <c r="U21" s="186"/>
      <c r="V21" s="183">
        <f>IFERROR(__xludf.DUMMYFUNCTION("""COMPUTED_VALUE"""),0.0)</f>
        <v>0</v>
      </c>
      <c r="W21" s="183">
        <f>IFERROR(__xludf.DUMMYFUNCTION("""COMPUTED_VALUE"""),0.0)</f>
        <v>0</v>
      </c>
      <c r="X21" s="183">
        <f>IFERROR(__xludf.DUMMYFUNCTION("""COMPUTED_VALUE"""),0.0)</f>
        <v>0</v>
      </c>
      <c r="Y21" s="183">
        <f>IFERROR(__xludf.DUMMYFUNCTION("""COMPUTED_VALUE"""),0.0)</f>
        <v>0</v>
      </c>
      <c r="Z21" s="183">
        <f t="shared" si="12"/>
        <v>0</v>
      </c>
      <c r="AA21" s="183">
        <f t="shared" si="13"/>
        <v>0</v>
      </c>
      <c r="AB21" s="183">
        <f t="shared" si="14"/>
        <v>0</v>
      </c>
    </row>
    <row r="22" ht="14.25" customHeight="1">
      <c r="A22" s="175"/>
      <c r="B22" s="196" t="s">
        <v>758</v>
      </c>
      <c r="C22" s="181"/>
      <c r="D22" s="197" t="s">
        <v>759</v>
      </c>
      <c r="E22" s="183">
        <f>SUMIFS('DB WBS'!$J:$J,'DB WBS'!$A:$A,$D$4,'DB WBS'!$D:$D,AA$1,'DB WBS'!$B:$B,$E$3,'DB WBS'!$E:$E,$B22)</f>
        <v>0</v>
      </c>
      <c r="F22" s="183">
        <f>SUMIFS('DB WBS'!$J:$J,'DB WBS'!$A:$A,$D$4,'DB WBS'!$D:$D,AA$2,'DB WBS'!$B:$B,$E$3,'DB WBS'!$E:$E,$B22)</f>
        <v>0</v>
      </c>
      <c r="G22" s="184">
        <f>IFERROR(HLOOKUP($E$3,'Tahun Lalu'!$B$5:$V$158,MATCH(B22,'Tahun Lalu'!$B$5:$B$158,0),0),0)</f>
        <v>0</v>
      </c>
      <c r="H22" s="184">
        <v>0.0</v>
      </c>
      <c r="I22" s="184">
        <v>0.0</v>
      </c>
      <c r="J22" s="183">
        <f t="shared" si="3"/>
        <v>0</v>
      </c>
      <c r="K22" s="183">
        <f t="shared" si="4"/>
        <v>0</v>
      </c>
      <c r="L22" s="183">
        <f t="shared" si="5"/>
        <v>0</v>
      </c>
      <c r="M22" s="183">
        <f t="shared" si="6"/>
        <v>0</v>
      </c>
      <c r="N22" s="183">
        <f t="shared" si="20"/>
        <v>0</v>
      </c>
      <c r="O22" s="183">
        <f t="shared" ref="O22:Q22" si="27">G22+W22</f>
        <v>0</v>
      </c>
      <c r="P22" s="183">
        <f t="shared" si="27"/>
        <v>0</v>
      </c>
      <c r="Q22" s="183">
        <f t="shared" si="27"/>
        <v>0</v>
      </c>
      <c r="R22" s="183">
        <f t="shared" si="9"/>
        <v>0</v>
      </c>
      <c r="S22" s="183">
        <f t="shared" si="10"/>
        <v>0</v>
      </c>
      <c r="T22" s="183">
        <f t="shared" si="11"/>
        <v>0</v>
      </c>
      <c r="U22" s="186"/>
      <c r="V22" s="183">
        <f>IFERROR(__xludf.DUMMYFUNCTION("""COMPUTED_VALUE"""),0.0)</f>
        <v>0</v>
      </c>
      <c r="W22" s="183">
        <f>IFERROR(__xludf.DUMMYFUNCTION("""COMPUTED_VALUE"""),0.0)</f>
        <v>0</v>
      </c>
      <c r="X22" s="183">
        <f>IFERROR(__xludf.DUMMYFUNCTION("""COMPUTED_VALUE"""),0.0)</f>
        <v>0</v>
      </c>
      <c r="Y22" s="183">
        <f>IFERROR(__xludf.DUMMYFUNCTION("""COMPUTED_VALUE"""),0.0)</f>
        <v>0</v>
      </c>
      <c r="Z22" s="183">
        <f t="shared" si="12"/>
        <v>0</v>
      </c>
      <c r="AA22" s="183">
        <f t="shared" si="13"/>
        <v>0</v>
      </c>
      <c r="AB22" s="183">
        <f t="shared" si="14"/>
        <v>0</v>
      </c>
    </row>
    <row r="23" ht="14.25" customHeight="1">
      <c r="A23" s="175"/>
      <c r="B23" s="196" t="s">
        <v>760</v>
      </c>
      <c r="C23" s="181"/>
      <c r="D23" s="197" t="s">
        <v>761</v>
      </c>
      <c r="E23" s="183">
        <f>SUMIFS('DB WBS'!$J:$J,'DB WBS'!$A:$A,$D$4,'DB WBS'!$D:$D,AA$1,'DB WBS'!$B:$B,$E$3,'DB WBS'!$E:$E,$B23)</f>
        <v>0</v>
      </c>
      <c r="F23" s="183">
        <f>SUMIFS('DB WBS'!$J:$J,'DB WBS'!$A:$A,$D$4,'DB WBS'!$D:$D,AA$2,'DB WBS'!$B:$B,$E$3,'DB WBS'!$E:$E,$B23)</f>
        <v>0</v>
      </c>
      <c r="G23" s="184">
        <f>IFERROR(HLOOKUP($E$3,'Tahun Lalu'!$B$5:$V$158,MATCH(B23,'Tahun Lalu'!$B$5:$B$158,0),0),0)</f>
        <v>0</v>
      </c>
      <c r="H23" s="184">
        <v>0.0</v>
      </c>
      <c r="I23" s="184">
        <v>0.0</v>
      </c>
      <c r="J23" s="183">
        <f t="shared" si="3"/>
        <v>0</v>
      </c>
      <c r="K23" s="183">
        <f t="shared" si="4"/>
        <v>0</v>
      </c>
      <c r="L23" s="183">
        <f t="shared" si="5"/>
        <v>0</v>
      </c>
      <c r="M23" s="183">
        <f t="shared" si="6"/>
        <v>0</v>
      </c>
      <c r="N23" s="183">
        <f t="shared" si="20"/>
        <v>0</v>
      </c>
      <c r="O23" s="183">
        <f t="shared" ref="O23:Q23" si="28">G23+W23</f>
        <v>0</v>
      </c>
      <c r="P23" s="183">
        <f t="shared" si="28"/>
        <v>0</v>
      </c>
      <c r="Q23" s="183">
        <f t="shared" si="28"/>
        <v>0</v>
      </c>
      <c r="R23" s="183">
        <f t="shared" si="9"/>
        <v>0</v>
      </c>
      <c r="S23" s="183">
        <f t="shared" si="10"/>
        <v>0</v>
      </c>
      <c r="T23" s="183">
        <f t="shared" si="11"/>
        <v>0</v>
      </c>
      <c r="U23" s="186"/>
      <c r="V23" s="183">
        <f>IFERROR(__xludf.DUMMYFUNCTION("""COMPUTED_VALUE"""),0.0)</f>
        <v>0</v>
      </c>
      <c r="W23" s="183">
        <f>IFERROR(__xludf.DUMMYFUNCTION("""COMPUTED_VALUE"""),0.0)</f>
        <v>0</v>
      </c>
      <c r="X23" s="183">
        <f>IFERROR(__xludf.DUMMYFUNCTION("""COMPUTED_VALUE"""),0.0)</f>
        <v>0</v>
      </c>
      <c r="Y23" s="183">
        <f>IFERROR(__xludf.DUMMYFUNCTION("""COMPUTED_VALUE"""),0.0)</f>
        <v>0</v>
      </c>
      <c r="Z23" s="183">
        <f t="shared" si="12"/>
        <v>0</v>
      </c>
      <c r="AA23" s="183">
        <f t="shared" si="13"/>
        <v>0</v>
      </c>
      <c r="AB23" s="183">
        <f t="shared" si="14"/>
        <v>0</v>
      </c>
    </row>
    <row r="24" ht="14.25" customHeight="1">
      <c r="A24" s="175"/>
      <c r="B24" s="196" t="s">
        <v>762</v>
      </c>
      <c r="C24" s="181"/>
      <c r="D24" s="197" t="s">
        <v>763</v>
      </c>
      <c r="E24" s="183">
        <f>SUMIFS('DB WBS'!$J:$J,'DB WBS'!$A:$A,$D$4,'DB WBS'!$D:$D,AA$1,'DB WBS'!$B:$B,$E$3,'DB WBS'!$E:$E,$B24)</f>
        <v>0</v>
      </c>
      <c r="F24" s="183">
        <f>SUMIFS('DB WBS'!$J:$J,'DB WBS'!$A:$A,$D$4,'DB WBS'!$D:$D,AA$2,'DB WBS'!$B:$B,$E$3,'DB WBS'!$E:$E,$B24)</f>
        <v>0</v>
      </c>
      <c r="G24" s="184">
        <f>IFERROR(HLOOKUP($E$3,'Tahun Lalu'!$B$5:$V$158,MATCH(B24,'Tahun Lalu'!$B$5:$B$158,0),0),0)</f>
        <v>0</v>
      </c>
      <c r="H24" s="184">
        <v>0.0</v>
      </c>
      <c r="I24" s="184">
        <v>0.0</v>
      </c>
      <c r="J24" s="183">
        <f t="shared" si="3"/>
        <v>0</v>
      </c>
      <c r="K24" s="183">
        <f t="shared" si="4"/>
        <v>0</v>
      </c>
      <c r="L24" s="183">
        <f t="shared" si="5"/>
        <v>0</v>
      </c>
      <c r="M24" s="183">
        <f t="shared" si="6"/>
        <v>0</v>
      </c>
      <c r="N24" s="183">
        <f t="shared" si="20"/>
        <v>0</v>
      </c>
      <c r="O24" s="183">
        <f t="shared" ref="O24:Q24" si="29">G24+W24</f>
        <v>0</v>
      </c>
      <c r="P24" s="183">
        <f t="shared" si="29"/>
        <v>0</v>
      </c>
      <c r="Q24" s="183">
        <f t="shared" si="29"/>
        <v>0</v>
      </c>
      <c r="R24" s="183">
        <f t="shared" si="9"/>
        <v>0</v>
      </c>
      <c r="S24" s="183">
        <f t="shared" si="10"/>
        <v>0</v>
      </c>
      <c r="T24" s="183">
        <f t="shared" si="11"/>
        <v>0</v>
      </c>
      <c r="U24" s="186"/>
      <c r="V24" s="183">
        <f>IFERROR(__xludf.DUMMYFUNCTION("""COMPUTED_VALUE"""),0.0)</f>
        <v>0</v>
      </c>
      <c r="W24" s="183">
        <f>IFERROR(__xludf.DUMMYFUNCTION("""COMPUTED_VALUE"""),0.0)</f>
        <v>0</v>
      </c>
      <c r="X24" s="183">
        <f>IFERROR(__xludf.DUMMYFUNCTION("""COMPUTED_VALUE"""),0.0)</f>
        <v>0</v>
      </c>
      <c r="Y24" s="183">
        <f>IFERROR(__xludf.DUMMYFUNCTION("""COMPUTED_VALUE"""),0.0)</f>
        <v>0</v>
      </c>
      <c r="Z24" s="183">
        <f t="shared" si="12"/>
        <v>0</v>
      </c>
      <c r="AA24" s="183">
        <f t="shared" si="13"/>
        <v>0</v>
      </c>
      <c r="AB24" s="183">
        <f t="shared" si="14"/>
        <v>0</v>
      </c>
    </row>
    <row r="25" ht="14.25" customHeight="1">
      <c r="A25" s="175"/>
      <c r="B25" s="196" t="s">
        <v>764</v>
      </c>
      <c r="C25" s="181"/>
      <c r="D25" s="197" t="s">
        <v>765</v>
      </c>
      <c r="E25" s="183">
        <f>SUMIFS('DB WBS'!$J:$J,'DB WBS'!$A:$A,$D$4,'DB WBS'!$D:$D,AA$1,'DB WBS'!$B:$B,$E$3,'DB WBS'!$E:$E,$B25)</f>
        <v>0</v>
      </c>
      <c r="F25" s="183">
        <f>SUMIFS('DB WBS'!$J:$J,'DB WBS'!$A:$A,$D$4,'DB WBS'!$D:$D,AA$2,'DB WBS'!$B:$B,$E$3,'DB WBS'!$E:$E,$B25)</f>
        <v>0</v>
      </c>
      <c r="G25" s="184">
        <f>IFERROR(HLOOKUP($E$3,'Tahun Lalu'!$B$5:$V$158,MATCH(B25,'Tahun Lalu'!$B$5:$B$158,0),0),0)</f>
        <v>0</v>
      </c>
      <c r="H25" s="184">
        <v>0.0</v>
      </c>
      <c r="I25" s="184">
        <v>0.0</v>
      </c>
      <c r="J25" s="183">
        <f t="shared" si="3"/>
        <v>0</v>
      </c>
      <c r="K25" s="183">
        <f t="shared" si="4"/>
        <v>0</v>
      </c>
      <c r="L25" s="183">
        <f t="shared" si="5"/>
        <v>0</v>
      </c>
      <c r="M25" s="183">
        <f t="shared" si="6"/>
        <v>0</v>
      </c>
      <c r="N25" s="183">
        <f t="shared" si="20"/>
        <v>0</v>
      </c>
      <c r="O25" s="183">
        <f t="shared" ref="O25:Q25" si="30">G25+W25</f>
        <v>0</v>
      </c>
      <c r="P25" s="183">
        <f t="shared" si="30"/>
        <v>0</v>
      </c>
      <c r="Q25" s="183">
        <f t="shared" si="30"/>
        <v>0</v>
      </c>
      <c r="R25" s="183">
        <f t="shared" si="9"/>
        <v>0</v>
      </c>
      <c r="S25" s="183">
        <f t="shared" si="10"/>
        <v>0</v>
      </c>
      <c r="T25" s="183">
        <f t="shared" si="11"/>
        <v>0</v>
      </c>
      <c r="U25" s="186"/>
      <c r="V25" s="183">
        <f>IFERROR(__xludf.DUMMYFUNCTION("""COMPUTED_VALUE"""),0.0)</f>
        <v>0</v>
      </c>
      <c r="W25" s="183">
        <f>IFERROR(__xludf.DUMMYFUNCTION("""COMPUTED_VALUE"""),0.0)</f>
        <v>0</v>
      </c>
      <c r="X25" s="183">
        <f>IFERROR(__xludf.DUMMYFUNCTION("""COMPUTED_VALUE"""),0.0)</f>
        <v>0</v>
      </c>
      <c r="Y25" s="183">
        <f>IFERROR(__xludf.DUMMYFUNCTION("""COMPUTED_VALUE"""),0.0)</f>
        <v>0</v>
      </c>
      <c r="Z25" s="183">
        <f t="shared" si="12"/>
        <v>0</v>
      </c>
      <c r="AA25" s="183">
        <f t="shared" si="13"/>
        <v>0</v>
      </c>
      <c r="AB25" s="183">
        <f t="shared" si="14"/>
        <v>0</v>
      </c>
    </row>
    <row r="26" ht="14.25" customHeight="1">
      <c r="A26" s="175"/>
      <c r="B26" s="196" t="s">
        <v>766</v>
      </c>
      <c r="C26" s="181"/>
      <c r="D26" s="197" t="s">
        <v>767</v>
      </c>
      <c r="E26" s="183">
        <f>SUMIFS('DB WBS'!$J:$J,'DB WBS'!$A:$A,$D$4,'DB WBS'!$D:$D,AA$1,'DB WBS'!$B:$B,$E$3,'DB WBS'!$E:$E,$B26)</f>
        <v>0</v>
      </c>
      <c r="F26" s="183">
        <f>SUMIFS('DB WBS'!$J:$J,'DB WBS'!$A:$A,$D$4,'DB WBS'!$D:$D,AA$2,'DB WBS'!$B:$B,$E$3,'DB WBS'!$E:$E,$B26)</f>
        <v>0</v>
      </c>
      <c r="G26" s="184">
        <f>IFERROR(HLOOKUP($E$3,'Tahun Lalu'!$B$5:$V$158,MATCH(B26,'Tahun Lalu'!$B$5:$B$158,0),0),0)</f>
        <v>0</v>
      </c>
      <c r="H26" s="184">
        <v>0.0</v>
      </c>
      <c r="I26" s="184">
        <v>0.0</v>
      </c>
      <c r="J26" s="183">
        <f t="shared" si="3"/>
        <v>0</v>
      </c>
      <c r="K26" s="183">
        <f t="shared" si="4"/>
        <v>0</v>
      </c>
      <c r="L26" s="183">
        <f t="shared" si="5"/>
        <v>0</v>
      </c>
      <c r="M26" s="183">
        <f t="shared" si="6"/>
        <v>0</v>
      </c>
      <c r="N26" s="183">
        <f t="shared" si="20"/>
        <v>0</v>
      </c>
      <c r="O26" s="183">
        <f t="shared" ref="O26:Q26" si="31">G26+W26</f>
        <v>0</v>
      </c>
      <c r="P26" s="183">
        <f t="shared" si="31"/>
        <v>0</v>
      </c>
      <c r="Q26" s="183">
        <f t="shared" si="31"/>
        <v>0</v>
      </c>
      <c r="R26" s="183">
        <f t="shared" si="9"/>
        <v>0</v>
      </c>
      <c r="S26" s="183">
        <f t="shared" si="10"/>
        <v>0</v>
      </c>
      <c r="T26" s="183">
        <f t="shared" si="11"/>
        <v>0</v>
      </c>
      <c r="U26" s="186"/>
      <c r="V26" s="183">
        <f>IFERROR(__xludf.DUMMYFUNCTION("""COMPUTED_VALUE"""),0.0)</f>
        <v>0</v>
      </c>
      <c r="W26" s="183">
        <f>IFERROR(__xludf.DUMMYFUNCTION("""COMPUTED_VALUE"""),0.0)</f>
        <v>0</v>
      </c>
      <c r="X26" s="183">
        <f>IFERROR(__xludf.DUMMYFUNCTION("""COMPUTED_VALUE"""),0.0)</f>
        <v>0</v>
      </c>
      <c r="Y26" s="183">
        <f>IFERROR(__xludf.DUMMYFUNCTION("""COMPUTED_VALUE"""),0.0)</f>
        <v>0</v>
      </c>
      <c r="Z26" s="183">
        <f t="shared" si="12"/>
        <v>0</v>
      </c>
      <c r="AA26" s="183">
        <f t="shared" si="13"/>
        <v>0</v>
      </c>
      <c r="AB26" s="183">
        <f t="shared" si="14"/>
        <v>0</v>
      </c>
    </row>
    <row r="27" ht="14.25" customHeight="1">
      <c r="A27" s="175"/>
      <c r="B27" s="196" t="s">
        <v>768</v>
      </c>
      <c r="C27" s="181"/>
      <c r="D27" s="197" t="s">
        <v>769</v>
      </c>
      <c r="E27" s="183">
        <f>SUMIFS('DB WBS'!$J:$J,'DB WBS'!$A:$A,$D$4,'DB WBS'!$D:$D,AA$1,'DB WBS'!$B:$B,$E$3,'DB WBS'!$E:$E,$B27)</f>
        <v>0</v>
      </c>
      <c r="F27" s="183">
        <f>SUMIFS('DB WBS'!$J:$J,'DB WBS'!$A:$A,$D$4,'DB WBS'!$D:$D,AA$2,'DB WBS'!$B:$B,$E$3,'DB WBS'!$E:$E,$B27)</f>
        <v>0</v>
      </c>
      <c r="G27" s="184">
        <f>IFERROR(HLOOKUP($E$3,'Tahun Lalu'!$B$5:$V$158,MATCH(B27,'Tahun Lalu'!$B$5:$B$158,0),0),0)</f>
        <v>0</v>
      </c>
      <c r="H27" s="184">
        <v>0.0</v>
      </c>
      <c r="I27" s="184">
        <v>0.0</v>
      </c>
      <c r="J27" s="183">
        <f t="shared" si="3"/>
        <v>0</v>
      </c>
      <c r="K27" s="183">
        <f t="shared" si="4"/>
        <v>0</v>
      </c>
      <c r="L27" s="183">
        <f t="shared" si="5"/>
        <v>0</v>
      </c>
      <c r="M27" s="183">
        <f t="shared" si="6"/>
        <v>0</v>
      </c>
      <c r="N27" s="183">
        <f t="shared" si="20"/>
        <v>0</v>
      </c>
      <c r="O27" s="183">
        <f t="shared" ref="O27:Q27" si="32">G27+W27</f>
        <v>0</v>
      </c>
      <c r="P27" s="183">
        <f t="shared" si="32"/>
        <v>0</v>
      </c>
      <c r="Q27" s="183">
        <f t="shared" si="32"/>
        <v>0</v>
      </c>
      <c r="R27" s="183">
        <f t="shared" si="9"/>
        <v>0</v>
      </c>
      <c r="S27" s="183">
        <f t="shared" si="10"/>
        <v>0</v>
      </c>
      <c r="T27" s="183">
        <f t="shared" si="11"/>
        <v>0</v>
      </c>
      <c r="U27" s="186"/>
      <c r="V27" s="183">
        <f>IFERROR(__xludf.DUMMYFUNCTION("""COMPUTED_VALUE"""),0.0)</f>
        <v>0</v>
      </c>
      <c r="W27" s="183">
        <f>IFERROR(__xludf.DUMMYFUNCTION("""COMPUTED_VALUE"""),0.0)</f>
        <v>0</v>
      </c>
      <c r="X27" s="183">
        <f>IFERROR(__xludf.DUMMYFUNCTION("""COMPUTED_VALUE"""),0.0)</f>
        <v>0</v>
      </c>
      <c r="Y27" s="183">
        <f>IFERROR(__xludf.DUMMYFUNCTION("""COMPUTED_VALUE"""),0.0)</f>
        <v>0</v>
      </c>
      <c r="Z27" s="183">
        <f t="shared" si="12"/>
        <v>0</v>
      </c>
      <c r="AA27" s="183">
        <f t="shared" si="13"/>
        <v>0</v>
      </c>
      <c r="AB27" s="183">
        <f t="shared" si="14"/>
        <v>0</v>
      </c>
    </row>
    <row r="28" ht="14.25" customHeight="1">
      <c r="A28" s="175"/>
      <c r="B28" s="196" t="s">
        <v>770</v>
      </c>
      <c r="C28" s="181"/>
      <c r="D28" s="197" t="s">
        <v>771</v>
      </c>
      <c r="E28" s="183">
        <f>SUMIFS('DB WBS'!$J:$J,'DB WBS'!$A:$A,$D$4,'DB WBS'!$D:$D,AA$1,'DB WBS'!$B:$B,$E$3,'DB WBS'!$E:$E,$B28)</f>
        <v>0</v>
      </c>
      <c r="F28" s="183">
        <f>SUMIFS('DB WBS'!$J:$J,'DB WBS'!$A:$A,$D$4,'DB WBS'!$D:$D,AA$2,'DB WBS'!$B:$B,$E$3,'DB WBS'!$E:$E,$B28)</f>
        <v>0</v>
      </c>
      <c r="G28" s="184">
        <f>IFERROR(HLOOKUP($E$3,'Tahun Lalu'!$B$5:$V$158,MATCH(B28,'Tahun Lalu'!$B$5:$B$158,0),0),0)</f>
        <v>0</v>
      </c>
      <c r="H28" s="184">
        <v>0.0</v>
      </c>
      <c r="I28" s="184">
        <v>0.0</v>
      </c>
      <c r="J28" s="183">
        <f t="shared" si="3"/>
        <v>0</v>
      </c>
      <c r="K28" s="183">
        <f t="shared" si="4"/>
        <v>0</v>
      </c>
      <c r="L28" s="183">
        <f t="shared" si="5"/>
        <v>0</v>
      </c>
      <c r="M28" s="183">
        <f t="shared" si="6"/>
        <v>0</v>
      </c>
      <c r="N28" s="183">
        <f t="shared" si="20"/>
        <v>0</v>
      </c>
      <c r="O28" s="183">
        <f t="shared" ref="O28:Q28" si="33">G28+W28</f>
        <v>0</v>
      </c>
      <c r="P28" s="183">
        <f t="shared" si="33"/>
        <v>0</v>
      </c>
      <c r="Q28" s="183">
        <f t="shared" si="33"/>
        <v>0</v>
      </c>
      <c r="R28" s="183">
        <f t="shared" si="9"/>
        <v>0</v>
      </c>
      <c r="S28" s="183">
        <f t="shared" si="10"/>
        <v>0</v>
      </c>
      <c r="T28" s="183">
        <f t="shared" si="11"/>
        <v>0</v>
      </c>
      <c r="U28" s="186"/>
      <c r="V28" s="183">
        <f>IFERROR(__xludf.DUMMYFUNCTION("""COMPUTED_VALUE"""),0.0)</f>
        <v>0</v>
      </c>
      <c r="W28" s="183">
        <f>IFERROR(__xludf.DUMMYFUNCTION("""COMPUTED_VALUE"""),0.0)</f>
        <v>0</v>
      </c>
      <c r="X28" s="183">
        <f>IFERROR(__xludf.DUMMYFUNCTION("""COMPUTED_VALUE"""),0.0)</f>
        <v>0</v>
      </c>
      <c r="Y28" s="183">
        <f>IFERROR(__xludf.DUMMYFUNCTION("""COMPUTED_VALUE"""),0.0)</f>
        <v>0</v>
      </c>
      <c r="Z28" s="183">
        <f t="shared" si="12"/>
        <v>0</v>
      </c>
      <c r="AA28" s="183">
        <f t="shared" si="13"/>
        <v>0</v>
      </c>
      <c r="AB28" s="183">
        <f t="shared" si="14"/>
        <v>0</v>
      </c>
    </row>
    <row r="29" ht="14.25" customHeight="1">
      <c r="A29" s="175"/>
      <c r="B29" s="196" t="s">
        <v>54</v>
      </c>
      <c r="C29" s="181"/>
      <c r="D29" s="197" t="s">
        <v>139</v>
      </c>
      <c r="E29" s="183">
        <f>SUMIFS('DB WBS'!$J:$J,'DB WBS'!$A:$A,$D$4,'DB WBS'!$D:$D,AA$1,'DB WBS'!$B:$B,$E$3,'DB WBS'!$E:$E,$B29)</f>
        <v>0</v>
      </c>
      <c r="F29" s="183">
        <f>SUMIFS('DB WBS'!$J:$J,'DB WBS'!$A:$A,$D$4,'DB WBS'!$D:$D,AA$2,'DB WBS'!$B:$B,$E$3,'DB WBS'!$E:$E,$B29)</f>
        <v>0</v>
      </c>
      <c r="G29" s="184">
        <f>IFERROR(HLOOKUP($E$3,'Tahun Lalu'!$B$5:$V$158,MATCH(B29,'Tahun Lalu'!$B$5:$B$158,0),0),0)</f>
        <v>0</v>
      </c>
      <c r="H29" s="184">
        <v>0.0</v>
      </c>
      <c r="I29" s="184">
        <v>0.0</v>
      </c>
      <c r="J29" s="183">
        <f t="shared" si="3"/>
        <v>0</v>
      </c>
      <c r="K29" s="183">
        <f t="shared" si="4"/>
        <v>0</v>
      </c>
      <c r="L29" s="183">
        <f t="shared" si="5"/>
        <v>0</v>
      </c>
      <c r="M29" s="183">
        <f t="shared" si="6"/>
        <v>0</v>
      </c>
      <c r="N29" s="183">
        <f t="shared" si="20"/>
        <v>0</v>
      </c>
      <c r="O29" s="183">
        <f t="shared" ref="O29:Q29" si="34">G29+W29</f>
        <v>0</v>
      </c>
      <c r="P29" s="183">
        <f t="shared" si="34"/>
        <v>0</v>
      </c>
      <c r="Q29" s="183">
        <f t="shared" si="34"/>
        <v>0</v>
      </c>
      <c r="R29" s="183">
        <f t="shared" si="9"/>
        <v>0</v>
      </c>
      <c r="S29" s="183">
        <f t="shared" si="10"/>
        <v>0</v>
      </c>
      <c r="T29" s="183">
        <f t="shared" si="11"/>
        <v>0</v>
      </c>
      <c r="U29" s="186"/>
      <c r="V29" s="183">
        <f>IFERROR(__xludf.DUMMYFUNCTION("""COMPUTED_VALUE"""),0.0)</f>
        <v>0</v>
      </c>
      <c r="W29" s="183">
        <f>IFERROR(__xludf.DUMMYFUNCTION("""COMPUTED_VALUE"""),0.0)</f>
        <v>0</v>
      </c>
      <c r="X29" s="183">
        <f>IFERROR(__xludf.DUMMYFUNCTION("""COMPUTED_VALUE"""),0.0)</f>
        <v>0</v>
      </c>
      <c r="Y29" s="183">
        <f>IFERROR(__xludf.DUMMYFUNCTION("""COMPUTED_VALUE"""),0.0)</f>
        <v>0</v>
      </c>
      <c r="Z29" s="183">
        <f t="shared" si="12"/>
        <v>0</v>
      </c>
      <c r="AA29" s="183">
        <f t="shared" si="13"/>
        <v>0</v>
      </c>
      <c r="AB29" s="183">
        <f t="shared" si="14"/>
        <v>0</v>
      </c>
    </row>
    <row r="30" ht="14.25" customHeight="1">
      <c r="A30" s="175"/>
      <c r="B30" s="196"/>
      <c r="C30" s="181"/>
      <c r="D30" s="197"/>
      <c r="E30" s="183">
        <f>SUMIFS('DB WBS'!$J:$J,'DB WBS'!$A:$A,$D$4,'DB WBS'!$D:$D,AA$1,'DB WBS'!$B:$B,$E$3,'DB WBS'!$E:$E,$B30)</f>
        <v>0</v>
      </c>
      <c r="F30" s="183">
        <f>SUMIFS('DB WBS'!$J:$J,'DB WBS'!$A:$A,$D$4,'DB WBS'!$D:$D,AA$2,'DB WBS'!$B:$B,$E$3,'DB WBS'!$E:$E,$B30)</f>
        <v>0</v>
      </c>
      <c r="G30" s="184">
        <f>IFERROR(HLOOKUP($E$3,'Tahun Lalu'!$B$5:$V$158,MATCH(B30,'Tahun Lalu'!$B$5:$B$158,0),0),0)</f>
        <v>0</v>
      </c>
      <c r="H30" s="184">
        <v>0.0</v>
      </c>
      <c r="I30" s="184">
        <v>0.0</v>
      </c>
      <c r="J30" s="183">
        <f t="shared" si="3"/>
        <v>0</v>
      </c>
      <c r="K30" s="183">
        <f t="shared" si="4"/>
        <v>0</v>
      </c>
      <c r="L30" s="183">
        <f t="shared" si="5"/>
        <v>0</v>
      </c>
      <c r="M30" s="183">
        <f t="shared" si="6"/>
        <v>0</v>
      </c>
      <c r="N30" s="183">
        <f t="shared" si="20"/>
        <v>0</v>
      </c>
      <c r="O30" s="183">
        <f t="shared" ref="O30:Q30" si="35">G30+W30</f>
        <v>0</v>
      </c>
      <c r="P30" s="183">
        <f t="shared" si="35"/>
        <v>0</v>
      </c>
      <c r="Q30" s="183">
        <f t="shared" si="35"/>
        <v>0</v>
      </c>
      <c r="R30" s="183">
        <f t="shared" si="9"/>
        <v>0</v>
      </c>
      <c r="S30" s="183">
        <f t="shared" si="10"/>
        <v>0</v>
      </c>
      <c r="T30" s="183">
        <f t="shared" si="11"/>
        <v>0</v>
      </c>
      <c r="U30" s="186"/>
      <c r="V30" s="183">
        <f>IFERROR(__xludf.DUMMYFUNCTION("""COMPUTED_VALUE"""),0.0)</f>
        <v>0</v>
      </c>
      <c r="W30" s="183">
        <f>IFERROR(__xludf.DUMMYFUNCTION("""COMPUTED_VALUE"""),0.0)</f>
        <v>0</v>
      </c>
      <c r="X30" s="183">
        <f>IFERROR(__xludf.DUMMYFUNCTION("""COMPUTED_VALUE"""),0.0)</f>
        <v>0</v>
      </c>
      <c r="Y30" s="183">
        <f>IFERROR(__xludf.DUMMYFUNCTION("""COMPUTED_VALUE"""),0.0)</f>
        <v>0</v>
      </c>
      <c r="Z30" s="183">
        <f t="shared" si="12"/>
        <v>0</v>
      </c>
      <c r="AA30" s="183">
        <f t="shared" si="13"/>
        <v>0</v>
      </c>
      <c r="AB30" s="183">
        <f t="shared" si="14"/>
        <v>0</v>
      </c>
    </row>
    <row r="31" ht="14.25" customHeight="1">
      <c r="A31" s="175"/>
      <c r="B31" s="198"/>
      <c r="C31" s="181"/>
      <c r="D31" s="197"/>
      <c r="E31" s="183">
        <f>SUMIFS('DB WBS'!$J:$J,'DB WBS'!$A:$A,$D$4,'DB WBS'!$D:$D,AA$1,'DB WBS'!$B:$B,$E$3,'DB WBS'!$E:$E,$B31)</f>
        <v>0</v>
      </c>
      <c r="F31" s="183">
        <f>SUMIFS('DB WBS'!$J:$J,'DB WBS'!$A:$A,$D$4,'DB WBS'!$D:$D,AA$2,'DB WBS'!$B:$B,$E$3,'DB WBS'!$E:$E,$B31)</f>
        <v>0</v>
      </c>
      <c r="G31" s="184">
        <f>IFERROR(HLOOKUP($E$3,'Tahun Lalu'!$B$5:$V$158,MATCH(B31,'Tahun Lalu'!$B$5:$B$158,0),0),0)</f>
        <v>0</v>
      </c>
      <c r="H31" s="184">
        <v>0.0</v>
      </c>
      <c r="I31" s="184">
        <v>0.0</v>
      </c>
      <c r="J31" s="183">
        <f t="shared" si="3"/>
        <v>0</v>
      </c>
      <c r="K31" s="183">
        <f t="shared" si="4"/>
        <v>0</v>
      </c>
      <c r="L31" s="183">
        <f t="shared" si="5"/>
        <v>0</v>
      </c>
      <c r="M31" s="183">
        <f t="shared" si="6"/>
        <v>0</v>
      </c>
      <c r="N31" s="183">
        <f t="shared" si="20"/>
        <v>0</v>
      </c>
      <c r="O31" s="183">
        <f t="shared" ref="O31:Q31" si="36">G31+W31</f>
        <v>0</v>
      </c>
      <c r="P31" s="183">
        <f t="shared" si="36"/>
        <v>0</v>
      </c>
      <c r="Q31" s="183">
        <f t="shared" si="36"/>
        <v>0</v>
      </c>
      <c r="R31" s="183">
        <f t="shared" si="9"/>
        <v>0</v>
      </c>
      <c r="S31" s="183">
        <f t="shared" si="10"/>
        <v>0</v>
      </c>
      <c r="T31" s="183">
        <f t="shared" si="11"/>
        <v>0</v>
      </c>
      <c r="U31" s="186"/>
      <c r="V31" s="183">
        <f>IFERROR(__xludf.DUMMYFUNCTION("""COMPUTED_VALUE"""),0.0)</f>
        <v>0</v>
      </c>
      <c r="W31" s="183">
        <f>IFERROR(__xludf.DUMMYFUNCTION("""COMPUTED_VALUE"""),0.0)</f>
        <v>0</v>
      </c>
      <c r="X31" s="183">
        <f>IFERROR(__xludf.DUMMYFUNCTION("""COMPUTED_VALUE"""),0.0)</f>
        <v>0</v>
      </c>
      <c r="Y31" s="183">
        <f>IFERROR(__xludf.DUMMYFUNCTION("""COMPUTED_VALUE"""),0.0)</f>
        <v>0</v>
      </c>
      <c r="Z31" s="183">
        <f t="shared" si="12"/>
        <v>0</v>
      </c>
      <c r="AA31" s="183">
        <f t="shared" si="13"/>
        <v>0</v>
      </c>
      <c r="AB31" s="183">
        <f t="shared" si="14"/>
        <v>0</v>
      </c>
    </row>
    <row r="32" ht="14.25" customHeight="1">
      <c r="A32" s="190"/>
      <c r="B32" s="191" t="s">
        <v>772</v>
      </c>
      <c r="C32" s="199"/>
      <c r="D32" s="200"/>
      <c r="E32" s="201">
        <f t="shared" ref="E32:I32" si="37">SUM(E15:E31)</f>
        <v>0</v>
      </c>
      <c r="F32" s="201">
        <f t="shared" si="37"/>
        <v>0</v>
      </c>
      <c r="G32" s="201">
        <f t="shared" si="37"/>
        <v>0</v>
      </c>
      <c r="H32" s="201">
        <f t="shared" si="37"/>
        <v>0</v>
      </c>
      <c r="I32" s="201">
        <f t="shared" si="37"/>
        <v>0</v>
      </c>
      <c r="J32" s="201">
        <f t="shared" si="3"/>
        <v>0</v>
      </c>
      <c r="K32" s="201">
        <f t="shared" si="4"/>
        <v>0</v>
      </c>
      <c r="L32" s="201">
        <f t="shared" si="5"/>
        <v>0</v>
      </c>
      <c r="M32" s="201">
        <f t="shared" si="6"/>
        <v>0</v>
      </c>
      <c r="N32" s="201">
        <f t="shared" ref="N32:Q32" si="38">SUM(N15:N31)</f>
        <v>0</v>
      </c>
      <c r="O32" s="201">
        <f t="shared" si="38"/>
        <v>0</v>
      </c>
      <c r="P32" s="201">
        <f t="shared" si="38"/>
        <v>0</v>
      </c>
      <c r="Q32" s="201">
        <f t="shared" si="38"/>
        <v>0</v>
      </c>
      <c r="R32" s="201">
        <f t="shared" si="9"/>
        <v>0</v>
      </c>
      <c r="S32" s="201">
        <f t="shared" si="10"/>
        <v>0</v>
      </c>
      <c r="T32" s="201">
        <f t="shared" si="11"/>
        <v>0</v>
      </c>
      <c r="U32" s="202"/>
      <c r="V32" s="201">
        <f>IFERROR(__xludf.DUMMYFUNCTION("""COMPUTED_VALUE"""),0.0)</f>
        <v>0</v>
      </c>
      <c r="W32" s="201">
        <f>IFERROR(__xludf.DUMMYFUNCTION("""COMPUTED_VALUE"""),0.0)</f>
        <v>0</v>
      </c>
      <c r="X32" s="201">
        <f>IFERROR(__xludf.DUMMYFUNCTION("""COMPUTED_VALUE"""),0.0)</f>
        <v>0</v>
      </c>
      <c r="Y32" s="201">
        <f>IFERROR(__xludf.DUMMYFUNCTION("""COMPUTED_VALUE"""),0.0)</f>
        <v>0</v>
      </c>
      <c r="Z32" s="201">
        <f t="shared" si="12"/>
        <v>0</v>
      </c>
      <c r="AA32" s="201">
        <f t="shared" si="13"/>
        <v>0</v>
      </c>
      <c r="AB32" s="201">
        <f t="shared" si="14"/>
        <v>0</v>
      </c>
    </row>
    <row r="33" ht="14.25" customHeight="1">
      <c r="A33" s="175"/>
      <c r="B33" s="196"/>
      <c r="C33" s="181"/>
      <c r="D33" s="197" t="s">
        <v>773</v>
      </c>
      <c r="E33" s="183">
        <f>SUMIFS('DB WBS'!$J:$J,'DB WBS'!$A:$A,$D$4,'DB WBS'!$D:$D,AA$1,'DB WBS'!$B:$B,$E$3,'DB WBS'!$E:$E,$B33)</f>
        <v>0</v>
      </c>
      <c r="F33" s="183">
        <f>SUMIFS('DB WBS'!$J:$J,'DB WBS'!$A:$A,$D$4,'DB WBS'!$D:$D,AA$2,'DB WBS'!$B:$B,$E$3,'DB WBS'!$E:$E,$B33)</f>
        <v>0</v>
      </c>
      <c r="G33" s="184">
        <f>IFERROR(HLOOKUP($E$3,'Tahun Lalu'!$B$5:$V$158,MATCH(B33,'Tahun Lalu'!$B$5:$B$158,0),0),0)</f>
        <v>0</v>
      </c>
      <c r="H33" s="184">
        <v>0.0</v>
      </c>
      <c r="I33" s="184">
        <v>0.0</v>
      </c>
      <c r="J33" s="183">
        <f t="shared" si="3"/>
        <v>0</v>
      </c>
      <c r="K33" s="183">
        <f t="shared" si="4"/>
        <v>0</v>
      </c>
      <c r="L33" s="183">
        <f t="shared" si="5"/>
        <v>0</v>
      </c>
      <c r="M33" s="183">
        <f t="shared" si="6"/>
        <v>0</v>
      </c>
      <c r="N33" s="183">
        <f>E33+V33</f>
        <v>0</v>
      </c>
      <c r="O33" s="183">
        <f t="shared" ref="O33:Q33" si="39">G33+W33</f>
        <v>0</v>
      </c>
      <c r="P33" s="183">
        <f t="shared" si="39"/>
        <v>0</v>
      </c>
      <c r="Q33" s="183">
        <f t="shared" si="39"/>
        <v>0</v>
      </c>
      <c r="R33" s="183">
        <f t="shared" si="9"/>
        <v>0</v>
      </c>
      <c r="S33" s="183">
        <f t="shared" si="10"/>
        <v>0</v>
      </c>
      <c r="T33" s="183">
        <f t="shared" si="11"/>
        <v>0</v>
      </c>
      <c r="U33" s="186"/>
      <c r="V33" s="183">
        <f>IFERROR(__xludf.DUMMYFUNCTION("""COMPUTED_VALUE"""),0.0)</f>
        <v>0</v>
      </c>
      <c r="W33" s="183">
        <f>IFERROR(__xludf.DUMMYFUNCTION("""COMPUTED_VALUE"""),0.0)</f>
        <v>0</v>
      </c>
      <c r="X33" s="183">
        <f>IFERROR(__xludf.DUMMYFUNCTION("""COMPUTED_VALUE"""),0.0)</f>
        <v>0</v>
      </c>
      <c r="Y33" s="183">
        <f>IFERROR(__xludf.DUMMYFUNCTION("""COMPUTED_VALUE"""),0.0)</f>
        <v>0</v>
      </c>
      <c r="Z33" s="183">
        <f t="shared" si="12"/>
        <v>0</v>
      </c>
      <c r="AA33" s="183">
        <f t="shared" si="13"/>
        <v>0</v>
      </c>
      <c r="AB33" s="183">
        <f t="shared" si="14"/>
        <v>0</v>
      </c>
    </row>
    <row r="34" ht="14.25" customHeight="1">
      <c r="A34" s="190"/>
      <c r="B34" s="191" t="s">
        <v>774</v>
      </c>
      <c r="C34" s="199"/>
      <c r="D34" s="200"/>
      <c r="E34" s="201">
        <f t="shared" ref="E34:I34" si="40">SUM(E33)</f>
        <v>0</v>
      </c>
      <c r="F34" s="201">
        <f t="shared" si="40"/>
        <v>0</v>
      </c>
      <c r="G34" s="201">
        <f t="shared" si="40"/>
        <v>0</v>
      </c>
      <c r="H34" s="201">
        <f t="shared" si="40"/>
        <v>0</v>
      </c>
      <c r="I34" s="201">
        <f t="shared" si="40"/>
        <v>0</v>
      </c>
      <c r="J34" s="201">
        <f t="shared" si="3"/>
        <v>0</v>
      </c>
      <c r="K34" s="201">
        <f t="shared" si="4"/>
        <v>0</v>
      </c>
      <c r="L34" s="201">
        <f t="shared" si="5"/>
        <v>0</v>
      </c>
      <c r="M34" s="201">
        <f t="shared" si="6"/>
        <v>0</v>
      </c>
      <c r="N34" s="201">
        <f t="shared" ref="N34:Q34" si="41">SUM(N33)</f>
        <v>0</v>
      </c>
      <c r="O34" s="201">
        <f t="shared" si="41"/>
        <v>0</v>
      </c>
      <c r="P34" s="201">
        <f t="shared" si="41"/>
        <v>0</v>
      </c>
      <c r="Q34" s="201">
        <f t="shared" si="41"/>
        <v>0</v>
      </c>
      <c r="R34" s="201">
        <f t="shared" si="9"/>
        <v>0</v>
      </c>
      <c r="S34" s="201">
        <f t="shared" si="10"/>
        <v>0</v>
      </c>
      <c r="T34" s="201">
        <f t="shared" si="11"/>
        <v>0</v>
      </c>
      <c r="U34" s="202"/>
      <c r="V34" s="201">
        <f>IFERROR(__xludf.DUMMYFUNCTION("""COMPUTED_VALUE"""),0.0)</f>
        <v>0</v>
      </c>
      <c r="W34" s="201">
        <f>IFERROR(__xludf.DUMMYFUNCTION("""COMPUTED_VALUE"""),0.0)</f>
        <v>0</v>
      </c>
      <c r="X34" s="201">
        <f>IFERROR(__xludf.DUMMYFUNCTION("""COMPUTED_VALUE"""),0.0)</f>
        <v>0</v>
      </c>
      <c r="Y34" s="201">
        <f>IFERROR(__xludf.DUMMYFUNCTION("""COMPUTED_VALUE"""),0.0)</f>
        <v>0</v>
      </c>
      <c r="Z34" s="201">
        <f t="shared" si="12"/>
        <v>0</v>
      </c>
      <c r="AA34" s="201">
        <f t="shared" si="13"/>
        <v>0</v>
      </c>
      <c r="AB34" s="201">
        <f t="shared" si="14"/>
        <v>0</v>
      </c>
    </row>
    <row r="35" ht="14.25" customHeight="1">
      <c r="A35" s="175"/>
      <c r="B35" s="196" t="s">
        <v>775</v>
      </c>
      <c r="C35" s="181"/>
      <c r="D35" s="197" t="s">
        <v>776</v>
      </c>
      <c r="E35" s="183">
        <f>SUMIFS('DB WBS'!$J:$J,'DB WBS'!$A:$A,$D$4,'DB WBS'!$D:$D,AA$1,'DB WBS'!$B:$B,$E$3,'DB WBS'!$E:$E,$B35)</f>
        <v>0</v>
      </c>
      <c r="F35" s="183">
        <f>SUMIFS('DB WBS'!$J:$J,'DB WBS'!$A:$A,$D$4,'DB WBS'!$D:$D,AA$2,'DB WBS'!$B:$B,$E$3,'DB WBS'!$E:$E,$B35)</f>
        <v>0</v>
      </c>
      <c r="G35" s="184">
        <f>IFERROR(HLOOKUP($E$3,'Tahun Lalu'!$B$5:$V$158,MATCH(B35,'Tahun Lalu'!$B$5:$B$158,0),0),0)</f>
        <v>0</v>
      </c>
      <c r="H35" s="184">
        <v>0.0</v>
      </c>
      <c r="I35" s="184">
        <v>0.0</v>
      </c>
      <c r="J35" s="183">
        <f t="shared" si="3"/>
        <v>0</v>
      </c>
      <c r="K35" s="183">
        <f t="shared" si="4"/>
        <v>0</v>
      </c>
      <c r="L35" s="183">
        <f t="shared" si="5"/>
        <v>0</v>
      </c>
      <c r="M35" s="183">
        <f t="shared" si="6"/>
        <v>0</v>
      </c>
      <c r="N35" s="183">
        <f t="shared" ref="N35:N44" si="43">E35+V35</f>
        <v>0</v>
      </c>
      <c r="O35" s="183">
        <f t="shared" ref="O35:Q35" si="42">G35+W35</f>
        <v>0</v>
      </c>
      <c r="P35" s="183">
        <f t="shared" si="42"/>
        <v>0</v>
      </c>
      <c r="Q35" s="183">
        <f t="shared" si="42"/>
        <v>0</v>
      </c>
      <c r="R35" s="183">
        <f t="shared" si="9"/>
        <v>0</v>
      </c>
      <c r="S35" s="183">
        <f t="shared" si="10"/>
        <v>0</v>
      </c>
      <c r="T35" s="183">
        <f t="shared" si="11"/>
        <v>0</v>
      </c>
      <c r="U35" s="186"/>
      <c r="V35" s="183">
        <f>IFERROR(__xludf.DUMMYFUNCTION("""COMPUTED_VALUE"""),0.0)</f>
        <v>0</v>
      </c>
      <c r="W35" s="183">
        <f>IFERROR(__xludf.DUMMYFUNCTION("""COMPUTED_VALUE"""),0.0)</f>
        <v>0</v>
      </c>
      <c r="X35" s="183">
        <f>IFERROR(__xludf.DUMMYFUNCTION("""COMPUTED_VALUE"""),0.0)</f>
        <v>0</v>
      </c>
      <c r="Y35" s="183">
        <f>IFERROR(__xludf.DUMMYFUNCTION("""COMPUTED_VALUE"""),0.0)</f>
        <v>0</v>
      </c>
      <c r="Z35" s="183">
        <f t="shared" si="12"/>
        <v>0</v>
      </c>
      <c r="AA35" s="183">
        <f t="shared" si="13"/>
        <v>0</v>
      </c>
      <c r="AB35" s="183">
        <f t="shared" si="14"/>
        <v>0</v>
      </c>
    </row>
    <row r="36" ht="14.25" customHeight="1">
      <c r="A36" s="175"/>
      <c r="B36" s="196" t="s">
        <v>777</v>
      </c>
      <c r="C36" s="181"/>
      <c r="D36" s="197" t="s">
        <v>778</v>
      </c>
      <c r="E36" s="183">
        <f>SUMIFS('DB WBS'!$J:$J,'DB WBS'!$A:$A,$D$4,'DB WBS'!$D:$D,AA$1,'DB WBS'!$B:$B,$E$3,'DB WBS'!$E:$E,$B36)</f>
        <v>0</v>
      </c>
      <c r="F36" s="183">
        <f>SUMIFS('DB WBS'!$J:$J,'DB WBS'!$A:$A,$D$4,'DB WBS'!$D:$D,AA$2,'DB WBS'!$B:$B,$E$3,'DB WBS'!$E:$E,$B36)</f>
        <v>0</v>
      </c>
      <c r="G36" s="184">
        <f>IFERROR(HLOOKUP($E$3,'Tahun Lalu'!$B$5:$V$158,MATCH(B36,'Tahun Lalu'!$B$5:$B$158,0),0),0)</f>
        <v>0</v>
      </c>
      <c r="H36" s="184">
        <v>0.0</v>
      </c>
      <c r="I36" s="184">
        <v>0.0</v>
      </c>
      <c r="J36" s="183">
        <f t="shared" si="3"/>
        <v>0</v>
      </c>
      <c r="K36" s="183">
        <f t="shared" si="4"/>
        <v>0</v>
      </c>
      <c r="L36" s="183">
        <f t="shared" si="5"/>
        <v>0</v>
      </c>
      <c r="M36" s="183">
        <f t="shared" si="6"/>
        <v>0</v>
      </c>
      <c r="N36" s="183">
        <f t="shared" si="43"/>
        <v>0</v>
      </c>
      <c r="O36" s="183">
        <f t="shared" ref="O36:Q36" si="44">G36+W36</f>
        <v>0</v>
      </c>
      <c r="P36" s="183">
        <f t="shared" si="44"/>
        <v>0</v>
      </c>
      <c r="Q36" s="183">
        <f t="shared" si="44"/>
        <v>0</v>
      </c>
      <c r="R36" s="183">
        <f t="shared" si="9"/>
        <v>0</v>
      </c>
      <c r="S36" s="183">
        <f t="shared" si="10"/>
        <v>0</v>
      </c>
      <c r="T36" s="183">
        <f t="shared" si="11"/>
        <v>0</v>
      </c>
      <c r="U36" s="186"/>
      <c r="V36" s="183">
        <f>IFERROR(__xludf.DUMMYFUNCTION("""COMPUTED_VALUE"""),0.0)</f>
        <v>0</v>
      </c>
      <c r="W36" s="183">
        <f>IFERROR(__xludf.DUMMYFUNCTION("""COMPUTED_VALUE"""),0.0)</f>
        <v>0</v>
      </c>
      <c r="X36" s="183">
        <f>IFERROR(__xludf.DUMMYFUNCTION("""COMPUTED_VALUE"""),0.0)</f>
        <v>0</v>
      </c>
      <c r="Y36" s="183">
        <f>IFERROR(__xludf.DUMMYFUNCTION("""COMPUTED_VALUE"""),0.0)</f>
        <v>0</v>
      </c>
      <c r="Z36" s="183">
        <f t="shared" si="12"/>
        <v>0</v>
      </c>
      <c r="AA36" s="183">
        <f t="shared" si="13"/>
        <v>0</v>
      </c>
      <c r="AB36" s="183">
        <f t="shared" si="14"/>
        <v>0</v>
      </c>
    </row>
    <row r="37" ht="14.25" customHeight="1">
      <c r="A37" s="175"/>
      <c r="B37" s="196" t="s">
        <v>779</v>
      </c>
      <c r="C37" s="181"/>
      <c r="D37" s="197" t="s">
        <v>780</v>
      </c>
      <c r="E37" s="183">
        <f>SUMIFS('DB WBS'!$J:$J,'DB WBS'!$A:$A,$D$4,'DB WBS'!$D:$D,AA$1,'DB WBS'!$B:$B,$E$3,'DB WBS'!$E:$E,$B37)</f>
        <v>0</v>
      </c>
      <c r="F37" s="183">
        <f>SUMIFS('DB WBS'!$J:$J,'DB WBS'!$A:$A,$D$4,'DB WBS'!$D:$D,AA$2,'DB WBS'!$B:$B,$E$3,'DB WBS'!$E:$E,$B37)</f>
        <v>0</v>
      </c>
      <c r="G37" s="184">
        <f>IFERROR(HLOOKUP($E$3,'Tahun Lalu'!$B$5:$V$158,MATCH(B37,'Tahun Lalu'!$B$5:$B$158,0),0),0)</f>
        <v>0</v>
      </c>
      <c r="H37" s="184">
        <v>0.0</v>
      </c>
      <c r="I37" s="184">
        <v>0.0</v>
      </c>
      <c r="J37" s="183">
        <f t="shared" si="3"/>
        <v>0</v>
      </c>
      <c r="K37" s="183">
        <f t="shared" si="4"/>
        <v>0</v>
      </c>
      <c r="L37" s="183">
        <f t="shared" si="5"/>
        <v>0</v>
      </c>
      <c r="M37" s="183">
        <f t="shared" si="6"/>
        <v>0</v>
      </c>
      <c r="N37" s="183">
        <f t="shared" si="43"/>
        <v>0</v>
      </c>
      <c r="O37" s="183">
        <f t="shared" ref="O37:Q37" si="45">G37+W37</f>
        <v>0</v>
      </c>
      <c r="P37" s="183">
        <f t="shared" si="45"/>
        <v>0</v>
      </c>
      <c r="Q37" s="183">
        <f t="shared" si="45"/>
        <v>0</v>
      </c>
      <c r="R37" s="183">
        <f t="shared" si="9"/>
        <v>0</v>
      </c>
      <c r="S37" s="183">
        <f t="shared" si="10"/>
        <v>0</v>
      </c>
      <c r="T37" s="183">
        <f t="shared" si="11"/>
        <v>0</v>
      </c>
      <c r="U37" s="186"/>
      <c r="V37" s="183">
        <f>IFERROR(__xludf.DUMMYFUNCTION("""COMPUTED_VALUE"""),0.0)</f>
        <v>0</v>
      </c>
      <c r="W37" s="183">
        <f>IFERROR(__xludf.DUMMYFUNCTION("""COMPUTED_VALUE"""),0.0)</f>
        <v>0</v>
      </c>
      <c r="X37" s="183">
        <f>IFERROR(__xludf.DUMMYFUNCTION("""COMPUTED_VALUE"""),0.0)</f>
        <v>0</v>
      </c>
      <c r="Y37" s="183">
        <f>IFERROR(__xludf.DUMMYFUNCTION("""COMPUTED_VALUE"""),0.0)</f>
        <v>0</v>
      </c>
      <c r="Z37" s="183">
        <f t="shared" si="12"/>
        <v>0</v>
      </c>
      <c r="AA37" s="183">
        <f t="shared" si="13"/>
        <v>0</v>
      </c>
      <c r="AB37" s="183">
        <f t="shared" si="14"/>
        <v>0</v>
      </c>
    </row>
    <row r="38" ht="14.25" customHeight="1">
      <c r="A38" s="175"/>
      <c r="B38" s="196" t="s">
        <v>267</v>
      </c>
      <c r="C38" s="181"/>
      <c r="D38" s="197" t="s">
        <v>268</v>
      </c>
      <c r="E38" s="183">
        <f>SUMIFS('DB WBS'!$J:$J,'DB WBS'!$A:$A,$D$4,'DB WBS'!$D:$D,AA$1,'DB WBS'!$B:$B,$E$3,'DB WBS'!$E:$E,$B38)</f>
        <v>0</v>
      </c>
      <c r="F38" s="183">
        <f>SUMIFS('DB WBS'!$J:$J,'DB WBS'!$A:$A,$D$4,'DB WBS'!$D:$D,AA$2,'DB WBS'!$B:$B,$E$3,'DB WBS'!$E:$E,$B38)</f>
        <v>0</v>
      </c>
      <c r="G38" s="184">
        <f>IFERROR(HLOOKUP($E$3,'Tahun Lalu'!$B$5:$V$158,MATCH(B38,'Tahun Lalu'!$B$5:$B$158,0),0),0)</f>
        <v>0</v>
      </c>
      <c r="H38" s="184">
        <v>0.0</v>
      </c>
      <c r="I38" s="184">
        <v>0.0</v>
      </c>
      <c r="J38" s="183">
        <f t="shared" si="3"/>
        <v>0</v>
      </c>
      <c r="K38" s="183">
        <f t="shared" si="4"/>
        <v>0</v>
      </c>
      <c r="L38" s="183">
        <f t="shared" si="5"/>
        <v>0</v>
      </c>
      <c r="M38" s="183">
        <f t="shared" si="6"/>
        <v>0</v>
      </c>
      <c r="N38" s="183">
        <f t="shared" si="43"/>
        <v>0</v>
      </c>
      <c r="O38" s="183">
        <f t="shared" ref="O38:Q38" si="46">G38+W38</f>
        <v>134884000</v>
      </c>
      <c r="P38" s="183">
        <f t="shared" si="46"/>
        <v>0</v>
      </c>
      <c r="Q38" s="183">
        <f t="shared" si="46"/>
        <v>0</v>
      </c>
      <c r="R38" s="183">
        <f t="shared" si="9"/>
        <v>0</v>
      </c>
      <c r="S38" s="183">
        <f t="shared" si="10"/>
        <v>0</v>
      </c>
      <c r="T38" s="183">
        <f t="shared" si="11"/>
        <v>0</v>
      </c>
      <c r="U38" s="186"/>
      <c r="V38" s="183">
        <f>IFERROR(__xludf.DUMMYFUNCTION("""COMPUTED_VALUE"""),0.0)</f>
        <v>0</v>
      </c>
      <c r="W38" s="183">
        <f>IFERROR(__xludf.DUMMYFUNCTION("""COMPUTED_VALUE"""),1.34884E8)</f>
        <v>134884000</v>
      </c>
      <c r="X38" s="183">
        <f>IFERROR(__xludf.DUMMYFUNCTION("""COMPUTED_VALUE"""),0.0)</f>
        <v>0</v>
      </c>
      <c r="Y38" s="183">
        <f>IFERROR(__xludf.DUMMYFUNCTION("""COMPUTED_VALUE"""),0.0)</f>
        <v>0</v>
      </c>
      <c r="Z38" s="183">
        <f t="shared" si="12"/>
        <v>0</v>
      </c>
      <c r="AA38" s="183">
        <f t="shared" si="13"/>
        <v>0</v>
      </c>
      <c r="AB38" s="183">
        <f t="shared" si="14"/>
        <v>0</v>
      </c>
    </row>
    <row r="39" ht="14.25" customHeight="1">
      <c r="A39" s="175"/>
      <c r="B39" s="196" t="s">
        <v>781</v>
      </c>
      <c r="C39" s="181"/>
      <c r="D39" s="197" t="s">
        <v>782</v>
      </c>
      <c r="E39" s="183">
        <f>SUMIFS('DB WBS'!$J:$J,'DB WBS'!$A:$A,$D$4,'DB WBS'!$D:$D,AA$1,'DB WBS'!$B:$B,$E$3,'DB WBS'!$E:$E,$B39)</f>
        <v>0</v>
      </c>
      <c r="F39" s="183">
        <f>SUMIFS('DB WBS'!$J:$J,'DB WBS'!$A:$A,$D$4,'DB WBS'!$D:$D,AA$2,'DB WBS'!$B:$B,$E$3,'DB WBS'!$E:$E,$B39)</f>
        <v>0</v>
      </c>
      <c r="G39" s="184">
        <f>IFERROR(HLOOKUP($E$3,'Tahun Lalu'!$B$5:$V$158,MATCH(B39,'Tahun Lalu'!$B$5:$B$158,0),0),0)</f>
        <v>0</v>
      </c>
      <c r="H39" s="184">
        <v>0.0</v>
      </c>
      <c r="I39" s="184">
        <v>0.0</v>
      </c>
      <c r="J39" s="183">
        <f t="shared" si="3"/>
        <v>0</v>
      </c>
      <c r="K39" s="183">
        <f t="shared" si="4"/>
        <v>0</v>
      </c>
      <c r="L39" s="183">
        <f t="shared" si="5"/>
        <v>0</v>
      </c>
      <c r="M39" s="183">
        <f t="shared" si="6"/>
        <v>0</v>
      </c>
      <c r="N39" s="183">
        <f t="shared" si="43"/>
        <v>0</v>
      </c>
      <c r="O39" s="183">
        <f t="shared" ref="O39:Q39" si="47">G39+W39</f>
        <v>0</v>
      </c>
      <c r="P39" s="183">
        <f t="shared" si="47"/>
        <v>0</v>
      </c>
      <c r="Q39" s="183">
        <f t="shared" si="47"/>
        <v>0</v>
      </c>
      <c r="R39" s="183">
        <f t="shared" si="9"/>
        <v>0</v>
      </c>
      <c r="S39" s="183">
        <f t="shared" si="10"/>
        <v>0</v>
      </c>
      <c r="T39" s="183">
        <f t="shared" si="11"/>
        <v>0</v>
      </c>
      <c r="U39" s="186"/>
      <c r="V39" s="183">
        <f>IFERROR(__xludf.DUMMYFUNCTION("""COMPUTED_VALUE"""),0.0)</f>
        <v>0</v>
      </c>
      <c r="W39" s="183">
        <f>IFERROR(__xludf.DUMMYFUNCTION("""COMPUTED_VALUE"""),0.0)</f>
        <v>0</v>
      </c>
      <c r="X39" s="183">
        <f>IFERROR(__xludf.DUMMYFUNCTION("""COMPUTED_VALUE"""),0.0)</f>
        <v>0</v>
      </c>
      <c r="Y39" s="183">
        <f>IFERROR(__xludf.DUMMYFUNCTION("""COMPUTED_VALUE"""),0.0)</f>
        <v>0</v>
      </c>
      <c r="Z39" s="183">
        <f t="shared" si="12"/>
        <v>0</v>
      </c>
      <c r="AA39" s="183">
        <f t="shared" si="13"/>
        <v>0</v>
      </c>
      <c r="AB39" s="183">
        <f t="shared" si="14"/>
        <v>0</v>
      </c>
    </row>
    <row r="40" ht="14.25" customHeight="1">
      <c r="A40" s="175"/>
      <c r="B40" s="196" t="s">
        <v>783</v>
      </c>
      <c r="C40" s="181"/>
      <c r="D40" s="197" t="s">
        <v>784</v>
      </c>
      <c r="E40" s="183">
        <f>SUMIFS('DB WBS'!$J:$J,'DB WBS'!$A:$A,$D$4,'DB WBS'!$D:$D,AA$1,'DB WBS'!$B:$B,$E$3,'DB WBS'!$E:$E,$B40)</f>
        <v>0</v>
      </c>
      <c r="F40" s="183">
        <f>SUMIFS('DB WBS'!$J:$J,'DB WBS'!$A:$A,$D$4,'DB WBS'!$D:$D,AA$2,'DB WBS'!$B:$B,$E$3,'DB WBS'!$E:$E,$B40)</f>
        <v>0</v>
      </c>
      <c r="G40" s="184">
        <f>IFERROR(HLOOKUP($E$3,'Tahun Lalu'!$B$5:$V$158,MATCH(B40,'Tahun Lalu'!$B$5:$B$158,0),0),0)</f>
        <v>0</v>
      </c>
      <c r="H40" s="184">
        <v>0.0</v>
      </c>
      <c r="I40" s="184">
        <v>0.0</v>
      </c>
      <c r="J40" s="183">
        <f t="shared" si="3"/>
        <v>0</v>
      </c>
      <c r="K40" s="183">
        <f t="shared" si="4"/>
        <v>0</v>
      </c>
      <c r="L40" s="183">
        <f t="shared" si="5"/>
        <v>0</v>
      </c>
      <c r="M40" s="183">
        <f t="shared" si="6"/>
        <v>0</v>
      </c>
      <c r="N40" s="183">
        <f t="shared" si="43"/>
        <v>0</v>
      </c>
      <c r="O40" s="183">
        <f t="shared" ref="O40:Q40" si="48">G40+W40</f>
        <v>0</v>
      </c>
      <c r="P40" s="183">
        <f t="shared" si="48"/>
        <v>0</v>
      </c>
      <c r="Q40" s="183">
        <f t="shared" si="48"/>
        <v>0</v>
      </c>
      <c r="R40" s="183">
        <f t="shared" si="9"/>
        <v>0</v>
      </c>
      <c r="S40" s="183">
        <f t="shared" si="10"/>
        <v>0</v>
      </c>
      <c r="T40" s="183">
        <f t="shared" si="11"/>
        <v>0</v>
      </c>
      <c r="U40" s="186"/>
      <c r="V40" s="183">
        <f>IFERROR(__xludf.DUMMYFUNCTION("""COMPUTED_VALUE"""),0.0)</f>
        <v>0</v>
      </c>
      <c r="W40" s="183">
        <f>IFERROR(__xludf.DUMMYFUNCTION("""COMPUTED_VALUE"""),0.0)</f>
        <v>0</v>
      </c>
      <c r="X40" s="183">
        <f>IFERROR(__xludf.DUMMYFUNCTION("""COMPUTED_VALUE"""),0.0)</f>
        <v>0</v>
      </c>
      <c r="Y40" s="183">
        <f>IFERROR(__xludf.DUMMYFUNCTION("""COMPUTED_VALUE"""),0.0)</f>
        <v>0</v>
      </c>
      <c r="Z40" s="183">
        <f t="shared" si="12"/>
        <v>0</v>
      </c>
      <c r="AA40" s="183">
        <f t="shared" si="13"/>
        <v>0</v>
      </c>
      <c r="AB40" s="183">
        <f t="shared" si="14"/>
        <v>0</v>
      </c>
    </row>
    <row r="41" ht="14.25" customHeight="1">
      <c r="A41" s="175"/>
      <c r="B41" s="196" t="s">
        <v>34</v>
      </c>
      <c r="C41" s="181"/>
      <c r="D41" s="197" t="s">
        <v>35</v>
      </c>
      <c r="E41" s="183">
        <f>SUMIFS('DB WBS'!$J:$J,'DB WBS'!$A:$A,$D$4,'DB WBS'!$D:$D,AA$1,'DB WBS'!$B:$B,$E$3,'DB WBS'!$E:$E,$B41)</f>
        <v>0</v>
      </c>
      <c r="F41" s="183">
        <f>SUMIFS('DB WBS'!$J:$J,'DB WBS'!$A:$A,$D$4,'DB WBS'!$D:$D,AA$2,'DB WBS'!$B:$B,$E$3,'DB WBS'!$E:$E,$B41)</f>
        <v>0</v>
      </c>
      <c r="G41" s="184">
        <f>IFERROR(HLOOKUP($E$3,'Tahun Lalu'!$B$5:$V$158,MATCH(B41,'Tahun Lalu'!$B$5:$B$158,0),0),0)</f>
        <v>0</v>
      </c>
      <c r="H41" s="184">
        <v>0.0</v>
      </c>
      <c r="I41" s="184">
        <v>0.0</v>
      </c>
      <c r="J41" s="183">
        <f t="shared" si="3"/>
        <v>0</v>
      </c>
      <c r="K41" s="183">
        <f t="shared" si="4"/>
        <v>0</v>
      </c>
      <c r="L41" s="183">
        <f t="shared" si="5"/>
        <v>0</v>
      </c>
      <c r="M41" s="183">
        <f t="shared" si="6"/>
        <v>0</v>
      </c>
      <c r="N41" s="183">
        <f t="shared" si="43"/>
        <v>0</v>
      </c>
      <c r="O41" s="183">
        <f t="shared" ref="O41:Q41" si="49">G41+W41</f>
        <v>0</v>
      </c>
      <c r="P41" s="183">
        <f t="shared" si="49"/>
        <v>0</v>
      </c>
      <c r="Q41" s="183">
        <f t="shared" si="49"/>
        <v>0</v>
      </c>
      <c r="R41" s="183">
        <f t="shared" si="9"/>
        <v>0</v>
      </c>
      <c r="S41" s="183">
        <f t="shared" si="10"/>
        <v>0</v>
      </c>
      <c r="T41" s="183">
        <f t="shared" si="11"/>
        <v>0</v>
      </c>
      <c r="U41" s="186"/>
      <c r="V41" s="183">
        <f>IFERROR(__xludf.DUMMYFUNCTION("""COMPUTED_VALUE"""),0.0)</f>
        <v>0</v>
      </c>
      <c r="W41" s="183">
        <f>IFERROR(__xludf.DUMMYFUNCTION("""COMPUTED_VALUE"""),0.0)</f>
        <v>0</v>
      </c>
      <c r="X41" s="183">
        <f>IFERROR(__xludf.DUMMYFUNCTION("""COMPUTED_VALUE"""),0.0)</f>
        <v>0</v>
      </c>
      <c r="Y41" s="183">
        <f>IFERROR(__xludf.DUMMYFUNCTION("""COMPUTED_VALUE"""),0.0)</f>
        <v>0</v>
      </c>
      <c r="Z41" s="183">
        <f t="shared" si="12"/>
        <v>0</v>
      </c>
      <c r="AA41" s="183">
        <f t="shared" si="13"/>
        <v>0</v>
      </c>
      <c r="AB41" s="183">
        <f t="shared" si="14"/>
        <v>0</v>
      </c>
    </row>
    <row r="42" ht="14.25" customHeight="1">
      <c r="A42" s="175"/>
      <c r="B42" s="196" t="s">
        <v>785</v>
      </c>
      <c r="C42" s="181"/>
      <c r="D42" s="197" t="s">
        <v>258</v>
      </c>
      <c r="E42" s="183">
        <f>SUMIFS('DB WBS'!$J:$J,'DB WBS'!$A:$A,$D$4,'DB WBS'!$D:$D,AA$1,'DB WBS'!$B:$B,$E$3,'DB WBS'!$E:$E,$B42)</f>
        <v>0</v>
      </c>
      <c r="F42" s="183">
        <f>SUMIFS('DB WBS'!$J:$J,'DB WBS'!$A:$A,$D$4,'DB WBS'!$D:$D,AA$2,'DB WBS'!$B:$B,$E$3,'DB WBS'!$E:$E,$B42)</f>
        <v>0</v>
      </c>
      <c r="G42" s="184">
        <f>IFERROR(HLOOKUP($E$3,'Tahun Lalu'!$B$5:$V$158,MATCH(B42,'Tahun Lalu'!$B$5:$B$158,0),0),0)</f>
        <v>0</v>
      </c>
      <c r="H42" s="184">
        <v>0.0</v>
      </c>
      <c r="I42" s="184">
        <v>0.0</v>
      </c>
      <c r="J42" s="183">
        <f t="shared" si="3"/>
        <v>0</v>
      </c>
      <c r="K42" s="183">
        <f t="shared" si="4"/>
        <v>0</v>
      </c>
      <c r="L42" s="183">
        <f t="shared" si="5"/>
        <v>0</v>
      </c>
      <c r="M42" s="183">
        <f t="shared" si="6"/>
        <v>0</v>
      </c>
      <c r="N42" s="183">
        <f t="shared" si="43"/>
        <v>0</v>
      </c>
      <c r="O42" s="183">
        <f t="shared" ref="O42:Q42" si="50">G42+W42</f>
        <v>0</v>
      </c>
      <c r="P42" s="183">
        <f t="shared" si="50"/>
        <v>0</v>
      </c>
      <c r="Q42" s="183">
        <f t="shared" si="50"/>
        <v>0</v>
      </c>
      <c r="R42" s="183">
        <f t="shared" si="9"/>
        <v>0</v>
      </c>
      <c r="S42" s="183">
        <f t="shared" si="10"/>
        <v>0</v>
      </c>
      <c r="T42" s="183">
        <f t="shared" si="11"/>
        <v>0</v>
      </c>
      <c r="U42" s="186"/>
      <c r="V42" s="183">
        <f>IFERROR(__xludf.DUMMYFUNCTION("""COMPUTED_VALUE"""),0.0)</f>
        <v>0</v>
      </c>
      <c r="W42" s="183">
        <f>IFERROR(__xludf.DUMMYFUNCTION("""COMPUTED_VALUE"""),0.0)</f>
        <v>0</v>
      </c>
      <c r="X42" s="183">
        <f>IFERROR(__xludf.DUMMYFUNCTION("""COMPUTED_VALUE"""),0.0)</f>
        <v>0</v>
      </c>
      <c r="Y42" s="183">
        <f>IFERROR(__xludf.DUMMYFUNCTION("""COMPUTED_VALUE"""),0.0)</f>
        <v>0</v>
      </c>
      <c r="Z42" s="183">
        <f t="shared" si="12"/>
        <v>0</v>
      </c>
      <c r="AA42" s="183">
        <f t="shared" si="13"/>
        <v>0</v>
      </c>
      <c r="AB42" s="183">
        <f t="shared" si="14"/>
        <v>0</v>
      </c>
    </row>
    <row r="43" ht="14.25" customHeight="1">
      <c r="A43" s="175"/>
      <c r="B43" s="196" t="s">
        <v>786</v>
      </c>
      <c r="C43" s="181"/>
      <c r="D43" s="197" t="s">
        <v>787</v>
      </c>
      <c r="E43" s="183">
        <f>SUMIFS('DB WBS'!$J:$J,'DB WBS'!$A:$A,$D$4,'DB WBS'!$D:$D,AA$1,'DB WBS'!$B:$B,$E$3,'DB WBS'!$E:$E,$B43)</f>
        <v>0</v>
      </c>
      <c r="F43" s="183">
        <f>SUMIFS('DB WBS'!$J:$J,'DB WBS'!$A:$A,$D$4,'DB WBS'!$D:$D,AA$2,'DB WBS'!$B:$B,$E$3,'DB WBS'!$E:$E,$B43)</f>
        <v>0</v>
      </c>
      <c r="G43" s="184">
        <f>IFERROR(HLOOKUP($E$3,'Tahun Lalu'!$B$5:$V$158,MATCH(B43,'Tahun Lalu'!$B$5:$B$158,0),0),0)</f>
        <v>0</v>
      </c>
      <c r="H43" s="184">
        <v>0.0</v>
      </c>
      <c r="I43" s="184">
        <v>0.0</v>
      </c>
      <c r="J43" s="183">
        <f t="shared" si="3"/>
        <v>0</v>
      </c>
      <c r="K43" s="183">
        <f t="shared" si="4"/>
        <v>0</v>
      </c>
      <c r="L43" s="183">
        <f t="shared" si="5"/>
        <v>0</v>
      </c>
      <c r="M43" s="183">
        <f t="shared" si="6"/>
        <v>0</v>
      </c>
      <c r="N43" s="183">
        <f t="shared" si="43"/>
        <v>0</v>
      </c>
      <c r="O43" s="183">
        <f t="shared" ref="O43:Q43" si="51">G43+W43</f>
        <v>0</v>
      </c>
      <c r="P43" s="183">
        <f t="shared" si="51"/>
        <v>0</v>
      </c>
      <c r="Q43" s="183">
        <f t="shared" si="51"/>
        <v>0</v>
      </c>
      <c r="R43" s="183">
        <f t="shared" si="9"/>
        <v>0</v>
      </c>
      <c r="S43" s="183">
        <f t="shared" si="10"/>
        <v>0</v>
      </c>
      <c r="T43" s="183">
        <f t="shared" si="11"/>
        <v>0</v>
      </c>
      <c r="U43" s="186"/>
      <c r="V43" s="183">
        <f>IFERROR(__xludf.DUMMYFUNCTION("""COMPUTED_VALUE"""),0.0)</f>
        <v>0</v>
      </c>
      <c r="W43" s="183">
        <f>IFERROR(__xludf.DUMMYFUNCTION("""COMPUTED_VALUE"""),0.0)</f>
        <v>0</v>
      </c>
      <c r="X43" s="183">
        <f>IFERROR(__xludf.DUMMYFUNCTION("""COMPUTED_VALUE"""),0.0)</f>
        <v>0</v>
      </c>
      <c r="Y43" s="183">
        <f>IFERROR(__xludf.DUMMYFUNCTION("""COMPUTED_VALUE"""),0.0)</f>
        <v>0</v>
      </c>
      <c r="Z43" s="183">
        <f t="shared" si="12"/>
        <v>0</v>
      </c>
      <c r="AA43" s="183">
        <f t="shared" si="13"/>
        <v>0</v>
      </c>
      <c r="AB43" s="183">
        <f t="shared" si="14"/>
        <v>0</v>
      </c>
    </row>
    <row r="44" ht="14.25" customHeight="1">
      <c r="A44" s="175"/>
      <c r="B44" s="198"/>
      <c r="C44" s="177"/>
      <c r="D44" s="179"/>
      <c r="E44" s="183">
        <f>SUMIFS('DB WBS'!$J:$J,'DB WBS'!$A:$A,$D$4,'DB WBS'!$D:$D,AA$1,'DB WBS'!$B:$B,$E$3,'DB WBS'!$E:$E,$B44)</f>
        <v>0</v>
      </c>
      <c r="F44" s="183">
        <f>SUMIFS('DB WBS'!$J:$J,'DB WBS'!$A:$A,$D$4,'DB WBS'!$D:$D,AA$2,'DB WBS'!$B:$B,$E$3,'DB WBS'!$E:$E,$B44)</f>
        <v>0</v>
      </c>
      <c r="G44" s="184">
        <f>IFERROR(HLOOKUP($E$3,'Tahun Lalu'!$B$5:$V$158,MATCH(B44,'Tahun Lalu'!$B$5:$B$158,0),0),0)</f>
        <v>0</v>
      </c>
      <c r="H44" s="184">
        <v>0.0</v>
      </c>
      <c r="I44" s="184">
        <v>0.0</v>
      </c>
      <c r="J44" s="183">
        <f t="shared" si="3"/>
        <v>0</v>
      </c>
      <c r="K44" s="183">
        <f t="shared" si="4"/>
        <v>0</v>
      </c>
      <c r="L44" s="183">
        <f t="shared" si="5"/>
        <v>0</v>
      </c>
      <c r="M44" s="183">
        <f t="shared" si="6"/>
        <v>0</v>
      </c>
      <c r="N44" s="183">
        <f t="shared" si="43"/>
        <v>0</v>
      </c>
      <c r="O44" s="183">
        <f t="shared" ref="O44:Q44" si="52">G44+W44</f>
        <v>0</v>
      </c>
      <c r="P44" s="183">
        <f t="shared" si="52"/>
        <v>0</v>
      </c>
      <c r="Q44" s="183">
        <f t="shared" si="52"/>
        <v>0</v>
      </c>
      <c r="R44" s="183">
        <f t="shared" si="9"/>
        <v>0</v>
      </c>
      <c r="S44" s="183">
        <f t="shared" si="10"/>
        <v>0</v>
      </c>
      <c r="T44" s="183">
        <f t="shared" si="11"/>
        <v>0</v>
      </c>
      <c r="U44" s="186"/>
      <c r="V44" s="183">
        <f>IFERROR(__xludf.DUMMYFUNCTION("""COMPUTED_VALUE"""),0.0)</f>
        <v>0</v>
      </c>
      <c r="W44" s="183">
        <f>IFERROR(__xludf.DUMMYFUNCTION("""COMPUTED_VALUE"""),0.0)</f>
        <v>0</v>
      </c>
      <c r="X44" s="183">
        <f>IFERROR(__xludf.DUMMYFUNCTION("""COMPUTED_VALUE"""),0.0)</f>
        <v>0</v>
      </c>
      <c r="Y44" s="183">
        <f>IFERROR(__xludf.DUMMYFUNCTION("""COMPUTED_VALUE"""),0.0)</f>
        <v>0</v>
      </c>
      <c r="Z44" s="183">
        <f t="shared" si="12"/>
        <v>0</v>
      </c>
      <c r="AA44" s="183">
        <f t="shared" si="13"/>
        <v>0</v>
      </c>
      <c r="AB44" s="183">
        <f t="shared" si="14"/>
        <v>0</v>
      </c>
    </row>
    <row r="45" ht="14.25" customHeight="1">
      <c r="A45" s="175"/>
      <c r="B45" s="191" t="s">
        <v>788</v>
      </c>
      <c r="C45" s="199"/>
      <c r="D45" s="200"/>
      <c r="E45" s="201">
        <f t="shared" ref="E45:I45" si="53">SUM(E35:E44)</f>
        <v>0</v>
      </c>
      <c r="F45" s="201">
        <f t="shared" si="53"/>
        <v>0</v>
      </c>
      <c r="G45" s="201">
        <f t="shared" si="53"/>
        <v>0</v>
      </c>
      <c r="H45" s="201">
        <f t="shared" si="53"/>
        <v>0</v>
      </c>
      <c r="I45" s="201">
        <f t="shared" si="53"/>
        <v>0</v>
      </c>
      <c r="J45" s="201">
        <f t="shared" si="3"/>
        <v>0</v>
      </c>
      <c r="K45" s="201">
        <f t="shared" si="4"/>
        <v>0</v>
      </c>
      <c r="L45" s="201">
        <f t="shared" si="5"/>
        <v>0</v>
      </c>
      <c r="M45" s="201">
        <f t="shared" si="6"/>
        <v>0</v>
      </c>
      <c r="N45" s="201">
        <f t="shared" ref="N45:Q45" si="54">SUM(N35:N44)</f>
        <v>0</v>
      </c>
      <c r="O45" s="201">
        <f t="shared" si="54"/>
        <v>134884000</v>
      </c>
      <c r="P45" s="201">
        <f t="shared" si="54"/>
        <v>0</v>
      </c>
      <c r="Q45" s="201">
        <f t="shared" si="54"/>
        <v>0</v>
      </c>
      <c r="R45" s="201">
        <f t="shared" si="9"/>
        <v>0</v>
      </c>
      <c r="S45" s="201">
        <f t="shared" si="10"/>
        <v>0</v>
      </c>
      <c r="T45" s="201">
        <f t="shared" si="11"/>
        <v>0</v>
      </c>
      <c r="U45" s="202"/>
      <c r="V45" s="201">
        <f>IFERROR(__xludf.DUMMYFUNCTION("""COMPUTED_VALUE"""),0.0)</f>
        <v>0</v>
      </c>
      <c r="W45" s="201">
        <f>IFERROR(__xludf.DUMMYFUNCTION("""COMPUTED_VALUE"""),1.34884E8)</f>
        <v>134884000</v>
      </c>
      <c r="X45" s="201">
        <f>IFERROR(__xludf.DUMMYFUNCTION("""COMPUTED_VALUE"""),0.0)</f>
        <v>0</v>
      </c>
      <c r="Y45" s="201">
        <f>IFERROR(__xludf.DUMMYFUNCTION("""COMPUTED_VALUE"""),0.0)</f>
        <v>0</v>
      </c>
      <c r="Z45" s="201">
        <f t="shared" si="12"/>
        <v>0</v>
      </c>
      <c r="AA45" s="201">
        <f t="shared" si="13"/>
        <v>0</v>
      </c>
      <c r="AB45" s="201">
        <f t="shared" si="14"/>
        <v>0</v>
      </c>
    </row>
    <row r="46" ht="14.25" customHeight="1">
      <c r="A46" s="175"/>
      <c r="B46" s="196" t="s">
        <v>40</v>
      </c>
      <c r="C46" s="181"/>
      <c r="D46" s="197" t="s">
        <v>41</v>
      </c>
      <c r="E46" s="183">
        <f>SUMIFS('DB WBS'!$J:$J,'DB WBS'!$A:$A,$D$4,'DB WBS'!$D:$D,AA$1,'DB WBS'!$B:$B,$E$3,'DB WBS'!$E:$E,$B46)</f>
        <v>0</v>
      </c>
      <c r="F46" s="183">
        <f>SUMIFS('DB WBS'!$J:$J,'DB WBS'!$A:$A,$D$4,'DB WBS'!$D:$D,AA$2,'DB WBS'!$B:$B,$E$3,'DB WBS'!$E:$E,$B46)</f>
        <v>0</v>
      </c>
      <c r="G46" s="184">
        <f>IFERROR(HLOOKUP($E$3,'Tahun Lalu'!$B$5:$V$158,MATCH(B46,'Tahun Lalu'!$B$5:$B$158,0),0),0)</f>
        <v>0</v>
      </c>
      <c r="H46" s="184">
        <v>0.0</v>
      </c>
      <c r="I46" s="184">
        <v>0.0</v>
      </c>
      <c r="J46" s="183">
        <f t="shared" si="3"/>
        <v>0</v>
      </c>
      <c r="K46" s="183">
        <f t="shared" si="4"/>
        <v>0</v>
      </c>
      <c r="L46" s="183">
        <f t="shared" si="5"/>
        <v>0</v>
      </c>
      <c r="M46" s="183">
        <f t="shared" si="6"/>
        <v>0</v>
      </c>
      <c r="N46" s="183">
        <f t="shared" ref="N46:N57" si="56">E46+V46</f>
        <v>0</v>
      </c>
      <c r="O46" s="183">
        <f t="shared" ref="O46:Q46" si="55">G46+W46</f>
        <v>0</v>
      </c>
      <c r="P46" s="183">
        <f t="shared" si="55"/>
        <v>0</v>
      </c>
      <c r="Q46" s="183">
        <f t="shared" si="55"/>
        <v>0</v>
      </c>
      <c r="R46" s="183">
        <f t="shared" si="9"/>
        <v>0</v>
      </c>
      <c r="S46" s="183">
        <f t="shared" si="10"/>
        <v>0</v>
      </c>
      <c r="T46" s="183">
        <f t="shared" si="11"/>
        <v>0</v>
      </c>
      <c r="U46" s="186"/>
      <c r="V46" s="183">
        <f>IFERROR(__xludf.DUMMYFUNCTION("""COMPUTED_VALUE"""),0.0)</f>
        <v>0</v>
      </c>
      <c r="W46" s="183">
        <f>IFERROR(__xludf.DUMMYFUNCTION("""COMPUTED_VALUE"""),0.0)</f>
        <v>0</v>
      </c>
      <c r="X46" s="183">
        <f>IFERROR(__xludf.DUMMYFUNCTION("""COMPUTED_VALUE"""),0.0)</f>
        <v>0</v>
      </c>
      <c r="Y46" s="183">
        <f>IFERROR(__xludf.DUMMYFUNCTION("""COMPUTED_VALUE"""),0.0)</f>
        <v>0</v>
      </c>
      <c r="Z46" s="183">
        <f t="shared" si="12"/>
        <v>0</v>
      </c>
      <c r="AA46" s="183">
        <f t="shared" si="13"/>
        <v>0</v>
      </c>
      <c r="AB46" s="183">
        <f t="shared" si="14"/>
        <v>0</v>
      </c>
    </row>
    <row r="47" ht="14.25" customHeight="1">
      <c r="A47" s="175"/>
      <c r="B47" s="196" t="s">
        <v>789</v>
      </c>
      <c r="C47" s="181"/>
      <c r="D47" s="197" t="s">
        <v>790</v>
      </c>
      <c r="E47" s="183">
        <f>SUMIFS('DB WBS'!$J:$J,'DB WBS'!$A:$A,$D$4,'DB WBS'!$D:$D,AA$1,'DB WBS'!$B:$B,$E$3,'DB WBS'!$E:$E,$B47)</f>
        <v>0</v>
      </c>
      <c r="F47" s="183">
        <f>SUMIFS('DB WBS'!$J:$J,'DB WBS'!$A:$A,$D$4,'DB WBS'!$D:$D,AA$2,'DB WBS'!$B:$B,$E$3,'DB WBS'!$E:$E,$B47)</f>
        <v>0</v>
      </c>
      <c r="G47" s="184">
        <f>IFERROR(HLOOKUP($E$3,'Tahun Lalu'!$B$5:$V$158,MATCH(B47,'Tahun Lalu'!$B$5:$B$158,0),0),0)</f>
        <v>0</v>
      </c>
      <c r="H47" s="184">
        <v>0.0</v>
      </c>
      <c r="I47" s="184">
        <v>0.0</v>
      </c>
      <c r="J47" s="183">
        <f t="shared" si="3"/>
        <v>0</v>
      </c>
      <c r="K47" s="183">
        <f t="shared" si="4"/>
        <v>0</v>
      </c>
      <c r="L47" s="183">
        <f t="shared" si="5"/>
        <v>0</v>
      </c>
      <c r="M47" s="183">
        <f t="shared" si="6"/>
        <v>0</v>
      </c>
      <c r="N47" s="183">
        <f t="shared" si="56"/>
        <v>0</v>
      </c>
      <c r="O47" s="183">
        <f t="shared" ref="O47:Q47" si="57">G47+W47</f>
        <v>0</v>
      </c>
      <c r="P47" s="183">
        <f t="shared" si="57"/>
        <v>0</v>
      </c>
      <c r="Q47" s="183">
        <f t="shared" si="57"/>
        <v>0</v>
      </c>
      <c r="R47" s="183">
        <f t="shared" si="9"/>
        <v>0</v>
      </c>
      <c r="S47" s="183">
        <f t="shared" si="10"/>
        <v>0</v>
      </c>
      <c r="T47" s="183">
        <f t="shared" si="11"/>
        <v>0</v>
      </c>
      <c r="U47" s="186"/>
      <c r="V47" s="183">
        <f>IFERROR(__xludf.DUMMYFUNCTION("""COMPUTED_VALUE"""),0.0)</f>
        <v>0</v>
      </c>
      <c r="W47" s="183">
        <f>IFERROR(__xludf.DUMMYFUNCTION("""COMPUTED_VALUE"""),0.0)</f>
        <v>0</v>
      </c>
      <c r="X47" s="183">
        <f>IFERROR(__xludf.DUMMYFUNCTION("""COMPUTED_VALUE"""),0.0)</f>
        <v>0</v>
      </c>
      <c r="Y47" s="183">
        <f>IFERROR(__xludf.DUMMYFUNCTION("""COMPUTED_VALUE"""),0.0)</f>
        <v>0</v>
      </c>
      <c r="Z47" s="183">
        <f t="shared" si="12"/>
        <v>0</v>
      </c>
      <c r="AA47" s="183">
        <f t="shared" si="13"/>
        <v>0</v>
      </c>
      <c r="AB47" s="183">
        <f t="shared" si="14"/>
        <v>0</v>
      </c>
    </row>
    <row r="48" ht="14.25" customHeight="1">
      <c r="A48" s="175"/>
      <c r="B48" s="196" t="s">
        <v>791</v>
      </c>
      <c r="C48" s="181"/>
      <c r="D48" s="197" t="s">
        <v>792</v>
      </c>
      <c r="E48" s="183">
        <f>SUMIFS('DB WBS'!$J:$J,'DB WBS'!$A:$A,$D$4,'DB WBS'!$D:$D,AA$1,'DB WBS'!$B:$B,$E$3,'DB WBS'!$E:$E,$B48)</f>
        <v>0</v>
      </c>
      <c r="F48" s="183">
        <f>SUMIFS('DB WBS'!$J:$J,'DB WBS'!$A:$A,$D$4,'DB WBS'!$D:$D,AA$2,'DB WBS'!$B:$B,$E$3,'DB WBS'!$E:$E,$B48)</f>
        <v>0</v>
      </c>
      <c r="G48" s="184">
        <f>IFERROR(HLOOKUP($E$3,'Tahun Lalu'!$B$5:$V$158,MATCH(B48,'Tahun Lalu'!$B$5:$B$158,0),0),0)</f>
        <v>0</v>
      </c>
      <c r="H48" s="184">
        <v>0.0</v>
      </c>
      <c r="I48" s="184">
        <v>0.0</v>
      </c>
      <c r="J48" s="183">
        <f t="shared" si="3"/>
        <v>0</v>
      </c>
      <c r="K48" s="183">
        <f t="shared" si="4"/>
        <v>0</v>
      </c>
      <c r="L48" s="183">
        <f t="shared" si="5"/>
        <v>0</v>
      </c>
      <c r="M48" s="183">
        <f t="shared" si="6"/>
        <v>0</v>
      </c>
      <c r="N48" s="183">
        <f t="shared" si="56"/>
        <v>0</v>
      </c>
      <c r="O48" s="183">
        <f t="shared" ref="O48:Q48" si="58">G48+W48</f>
        <v>0</v>
      </c>
      <c r="P48" s="183">
        <f t="shared" si="58"/>
        <v>0</v>
      </c>
      <c r="Q48" s="183">
        <f t="shared" si="58"/>
        <v>0</v>
      </c>
      <c r="R48" s="183">
        <f t="shared" si="9"/>
        <v>0</v>
      </c>
      <c r="S48" s="183">
        <f t="shared" si="10"/>
        <v>0</v>
      </c>
      <c r="T48" s="183">
        <f t="shared" si="11"/>
        <v>0</v>
      </c>
      <c r="U48" s="186"/>
      <c r="V48" s="183">
        <f>IFERROR(__xludf.DUMMYFUNCTION("""COMPUTED_VALUE"""),0.0)</f>
        <v>0</v>
      </c>
      <c r="W48" s="183">
        <f>IFERROR(__xludf.DUMMYFUNCTION("""COMPUTED_VALUE"""),0.0)</f>
        <v>0</v>
      </c>
      <c r="X48" s="183">
        <f>IFERROR(__xludf.DUMMYFUNCTION("""COMPUTED_VALUE"""),0.0)</f>
        <v>0</v>
      </c>
      <c r="Y48" s="183">
        <f>IFERROR(__xludf.DUMMYFUNCTION("""COMPUTED_VALUE"""),0.0)</f>
        <v>0</v>
      </c>
      <c r="Z48" s="183">
        <f t="shared" si="12"/>
        <v>0</v>
      </c>
      <c r="AA48" s="183">
        <f t="shared" si="13"/>
        <v>0</v>
      </c>
      <c r="AB48" s="183">
        <f t="shared" si="14"/>
        <v>0</v>
      </c>
    </row>
    <row r="49" ht="14.25" customHeight="1">
      <c r="A49" s="175"/>
      <c r="B49" s="196" t="s">
        <v>793</v>
      </c>
      <c r="C49" s="181"/>
      <c r="D49" s="197" t="s">
        <v>794</v>
      </c>
      <c r="E49" s="183">
        <f>SUMIFS('DB WBS'!$J:$J,'DB WBS'!$A:$A,$D$4,'DB WBS'!$D:$D,AA$1,'DB WBS'!$B:$B,$E$3,'DB WBS'!$E:$E,$B49)</f>
        <v>0</v>
      </c>
      <c r="F49" s="183">
        <f>SUMIFS('DB WBS'!$J:$J,'DB WBS'!$A:$A,$D$4,'DB WBS'!$D:$D,AA$2,'DB WBS'!$B:$B,$E$3,'DB WBS'!$E:$E,$B49)</f>
        <v>0</v>
      </c>
      <c r="G49" s="184">
        <f>IFERROR(HLOOKUP($E$3,'Tahun Lalu'!$B$5:$V$158,MATCH(B49,'Tahun Lalu'!$B$5:$B$158,0),0),0)</f>
        <v>0</v>
      </c>
      <c r="H49" s="184">
        <v>0.0</v>
      </c>
      <c r="I49" s="184">
        <v>0.0</v>
      </c>
      <c r="J49" s="183">
        <f t="shared" si="3"/>
        <v>0</v>
      </c>
      <c r="K49" s="183">
        <f t="shared" si="4"/>
        <v>0</v>
      </c>
      <c r="L49" s="183">
        <f t="shared" si="5"/>
        <v>0</v>
      </c>
      <c r="M49" s="183">
        <f t="shared" si="6"/>
        <v>0</v>
      </c>
      <c r="N49" s="183">
        <f t="shared" si="56"/>
        <v>0</v>
      </c>
      <c r="O49" s="183">
        <f t="shared" ref="O49:Q49" si="59">G49+W49</f>
        <v>0</v>
      </c>
      <c r="P49" s="183">
        <f t="shared" si="59"/>
        <v>0</v>
      </c>
      <c r="Q49" s="183">
        <f t="shared" si="59"/>
        <v>0</v>
      </c>
      <c r="R49" s="183">
        <f t="shared" si="9"/>
        <v>0</v>
      </c>
      <c r="S49" s="183">
        <f t="shared" si="10"/>
        <v>0</v>
      </c>
      <c r="T49" s="183">
        <f t="shared" si="11"/>
        <v>0</v>
      </c>
      <c r="U49" s="186"/>
      <c r="V49" s="183">
        <f>IFERROR(__xludf.DUMMYFUNCTION("""COMPUTED_VALUE"""),0.0)</f>
        <v>0</v>
      </c>
      <c r="W49" s="183">
        <f>IFERROR(__xludf.DUMMYFUNCTION("""COMPUTED_VALUE"""),0.0)</f>
        <v>0</v>
      </c>
      <c r="X49" s="183">
        <f>IFERROR(__xludf.DUMMYFUNCTION("""COMPUTED_VALUE"""),0.0)</f>
        <v>0</v>
      </c>
      <c r="Y49" s="183">
        <f>IFERROR(__xludf.DUMMYFUNCTION("""COMPUTED_VALUE"""),0.0)</f>
        <v>0</v>
      </c>
      <c r="Z49" s="183">
        <f t="shared" si="12"/>
        <v>0</v>
      </c>
      <c r="AA49" s="183">
        <f t="shared" si="13"/>
        <v>0</v>
      </c>
      <c r="AB49" s="183">
        <f t="shared" si="14"/>
        <v>0</v>
      </c>
    </row>
    <row r="50" ht="14.25" customHeight="1">
      <c r="A50" s="175"/>
      <c r="B50" s="196" t="s">
        <v>795</v>
      </c>
      <c r="C50" s="181"/>
      <c r="D50" s="197" t="s">
        <v>796</v>
      </c>
      <c r="E50" s="183">
        <f>SUMIFS('DB WBS'!$J:$J,'DB WBS'!$A:$A,$D$4,'DB WBS'!$D:$D,AA$1,'DB WBS'!$B:$B,$E$3,'DB WBS'!$E:$E,$B50)</f>
        <v>0</v>
      </c>
      <c r="F50" s="183">
        <f>SUMIFS('DB WBS'!$J:$J,'DB WBS'!$A:$A,$D$4,'DB WBS'!$D:$D,AA$2,'DB WBS'!$B:$B,$E$3,'DB WBS'!$E:$E,$B50)</f>
        <v>0</v>
      </c>
      <c r="G50" s="184">
        <f>IFERROR(HLOOKUP($E$3,'Tahun Lalu'!$B$5:$V$158,MATCH(B50,'Tahun Lalu'!$B$5:$B$158,0),0),0)</f>
        <v>0</v>
      </c>
      <c r="H50" s="184">
        <v>0.0</v>
      </c>
      <c r="I50" s="184">
        <v>0.0</v>
      </c>
      <c r="J50" s="183">
        <f t="shared" si="3"/>
        <v>0</v>
      </c>
      <c r="K50" s="183">
        <f t="shared" si="4"/>
        <v>0</v>
      </c>
      <c r="L50" s="183">
        <f t="shared" si="5"/>
        <v>0</v>
      </c>
      <c r="M50" s="183">
        <f t="shared" si="6"/>
        <v>0</v>
      </c>
      <c r="N50" s="183">
        <f t="shared" si="56"/>
        <v>0</v>
      </c>
      <c r="O50" s="183">
        <f t="shared" ref="O50:Q50" si="60">G50+W50</f>
        <v>0</v>
      </c>
      <c r="P50" s="183">
        <f t="shared" si="60"/>
        <v>0</v>
      </c>
      <c r="Q50" s="183">
        <f t="shared" si="60"/>
        <v>0</v>
      </c>
      <c r="R50" s="183">
        <f t="shared" si="9"/>
        <v>0</v>
      </c>
      <c r="S50" s="183">
        <f t="shared" si="10"/>
        <v>0</v>
      </c>
      <c r="T50" s="183">
        <f t="shared" si="11"/>
        <v>0</v>
      </c>
      <c r="U50" s="186"/>
      <c r="V50" s="183">
        <f>IFERROR(__xludf.DUMMYFUNCTION("""COMPUTED_VALUE"""),0.0)</f>
        <v>0</v>
      </c>
      <c r="W50" s="183">
        <f>IFERROR(__xludf.DUMMYFUNCTION("""COMPUTED_VALUE"""),0.0)</f>
        <v>0</v>
      </c>
      <c r="X50" s="183">
        <f>IFERROR(__xludf.DUMMYFUNCTION("""COMPUTED_VALUE"""),0.0)</f>
        <v>0</v>
      </c>
      <c r="Y50" s="183">
        <f>IFERROR(__xludf.DUMMYFUNCTION("""COMPUTED_VALUE"""),0.0)</f>
        <v>0</v>
      </c>
      <c r="Z50" s="183">
        <f t="shared" si="12"/>
        <v>0</v>
      </c>
      <c r="AA50" s="183">
        <f t="shared" si="13"/>
        <v>0</v>
      </c>
      <c r="AB50" s="183">
        <f t="shared" si="14"/>
        <v>0</v>
      </c>
    </row>
    <row r="51" ht="14.25" customHeight="1">
      <c r="A51" s="175"/>
      <c r="B51" s="196" t="s">
        <v>797</v>
      </c>
      <c r="C51" s="181"/>
      <c r="D51" s="197" t="s">
        <v>798</v>
      </c>
      <c r="E51" s="183">
        <f>SUMIFS('DB WBS'!$J:$J,'DB WBS'!$A:$A,$D$4,'DB WBS'!$D:$D,AA$1,'DB WBS'!$B:$B,$E$3,'DB WBS'!$E:$E,$B51)</f>
        <v>0</v>
      </c>
      <c r="F51" s="183">
        <f>SUMIFS('DB WBS'!$J:$J,'DB WBS'!$A:$A,$D$4,'DB WBS'!$D:$D,AA$2,'DB WBS'!$B:$B,$E$3,'DB WBS'!$E:$E,$B51)</f>
        <v>0</v>
      </c>
      <c r="G51" s="184">
        <f>IFERROR(HLOOKUP($E$3,'Tahun Lalu'!$B$5:$V$158,MATCH(B51,'Tahun Lalu'!$B$5:$B$158,0),0),0)</f>
        <v>0</v>
      </c>
      <c r="H51" s="184">
        <v>0.0</v>
      </c>
      <c r="I51" s="184">
        <v>0.0</v>
      </c>
      <c r="J51" s="183">
        <f t="shared" si="3"/>
        <v>0</v>
      </c>
      <c r="K51" s="183">
        <f t="shared" si="4"/>
        <v>0</v>
      </c>
      <c r="L51" s="183">
        <f t="shared" si="5"/>
        <v>0</v>
      </c>
      <c r="M51" s="183">
        <f t="shared" si="6"/>
        <v>0</v>
      </c>
      <c r="N51" s="183">
        <f t="shared" si="56"/>
        <v>0</v>
      </c>
      <c r="O51" s="183">
        <f t="shared" ref="O51:Q51" si="61">G51+W51</f>
        <v>0</v>
      </c>
      <c r="P51" s="183">
        <f t="shared" si="61"/>
        <v>0</v>
      </c>
      <c r="Q51" s="183">
        <f t="shared" si="61"/>
        <v>0</v>
      </c>
      <c r="R51" s="183">
        <f t="shared" si="9"/>
        <v>0</v>
      </c>
      <c r="S51" s="183">
        <f t="shared" si="10"/>
        <v>0</v>
      </c>
      <c r="T51" s="183">
        <f t="shared" si="11"/>
        <v>0</v>
      </c>
      <c r="U51" s="186"/>
      <c r="V51" s="183">
        <f>IFERROR(__xludf.DUMMYFUNCTION("""COMPUTED_VALUE"""),0.0)</f>
        <v>0</v>
      </c>
      <c r="W51" s="183">
        <f>IFERROR(__xludf.DUMMYFUNCTION("""COMPUTED_VALUE"""),0.0)</f>
        <v>0</v>
      </c>
      <c r="X51" s="183">
        <f>IFERROR(__xludf.DUMMYFUNCTION("""COMPUTED_VALUE"""),0.0)</f>
        <v>0</v>
      </c>
      <c r="Y51" s="183">
        <f>IFERROR(__xludf.DUMMYFUNCTION("""COMPUTED_VALUE"""),0.0)</f>
        <v>0</v>
      </c>
      <c r="Z51" s="183">
        <f t="shared" si="12"/>
        <v>0</v>
      </c>
      <c r="AA51" s="183">
        <f t="shared" si="13"/>
        <v>0</v>
      </c>
      <c r="AB51" s="183">
        <f t="shared" si="14"/>
        <v>0</v>
      </c>
    </row>
    <row r="52" ht="14.25" customHeight="1">
      <c r="A52" s="175"/>
      <c r="B52" s="196" t="s">
        <v>799</v>
      </c>
      <c r="C52" s="181"/>
      <c r="D52" s="197" t="s">
        <v>800</v>
      </c>
      <c r="E52" s="183">
        <f>SUMIFS('DB WBS'!$J:$J,'DB WBS'!$A:$A,$D$4,'DB WBS'!$D:$D,AA$1,'DB WBS'!$B:$B,$E$3,'DB WBS'!$E:$E,$B52)</f>
        <v>0</v>
      </c>
      <c r="F52" s="183">
        <f>SUMIFS('DB WBS'!$J:$J,'DB WBS'!$A:$A,$D$4,'DB WBS'!$D:$D,AA$2,'DB WBS'!$B:$B,$E$3,'DB WBS'!$E:$E,$B52)</f>
        <v>0</v>
      </c>
      <c r="G52" s="184">
        <f>IFERROR(HLOOKUP($E$3,'Tahun Lalu'!$B$5:$V$158,MATCH(B52,'Tahun Lalu'!$B$5:$B$158,0),0),0)</f>
        <v>0</v>
      </c>
      <c r="H52" s="184">
        <v>0.0</v>
      </c>
      <c r="I52" s="184">
        <v>0.0</v>
      </c>
      <c r="J52" s="183">
        <f t="shared" si="3"/>
        <v>0</v>
      </c>
      <c r="K52" s="183">
        <f t="shared" si="4"/>
        <v>0</v>
      </c>
      <c r="L52" s="183">
        <f t="shared" si="5"/>
        <v>0</v>
      </c>
      <c r="M52" s="183">
        <f t="shared" si="6"/>
        <v>0</v>
      </c>
      <c r="N52" s="183">
        <f t="shared" si="56"/>
        <v>0</v>
      </c>
      <c r="O52" s="183">
        <f t="shared" ref="O52:Q52" si="62">G52+W52</f>
        <v>0</v>
      </c>
      <c r="P52" s="183">
        <f t="shared" si="62"/>
        <v>0</v>
      </c>
      <c r="Q52" s="183">
        <f t="shared" si="62"/>
        <v>0</v>
      </c>
      <c r="R52" s="183">
        <f t="shared" si="9"/>
        <v>0</v>
      </c>
      <c r="S52" s="183">
        <f t="shared" si="10"/>
        <v>0</v>
      </c>
      <c r="T52" s="183">
        <f t="shared" si="11"/>
        <v>0</v>
      </c>
      <c r="U52" s="186"/>
      <c r="V52" s="183">
        <f>IFERROR(__xludf.DUMMYFUNCTION("""COMPUTED_VALUE"""),0.0)</f>
        <v>0</v>
      </c>
      <c r="W52" s="183">
        <f>IFERROR(__xludf.DUMMYFUNCTION("""COMPUTED_VALUE"""),0.0)</f>
        <v>0</v>
      </c>
      <c r="X52" s="183">
        <f>IFERROR(__xludf.DUMMYFUNCTION("""COMPUTED_VALUE"""),0.0)</f>
        <v>0</v>
      </c>
      <c r="Y52" s="183">
        <f>IFERROR(__xludf.DUMMYFUNCTION("""COMPUTED_VALUE"""),0.0)</f>
        <v>0</v>
      </c>
      <c r="Z52" s="183">
        <f t="shared" si="12"/>
        <v>0</v>
      </c>
      <c r="AA52" s="183">
        <f t="shared" si="13"/>
        <v>0</v>
      </c>
      <c r="AB52" s="183">
        <f t="shared" si="14"/>
        <v>0</v>
      </c>
    </row>
    <row r="53" ht="14.25" customHeight="1">
      <c r="A53" s="175"/>
      <c r="B53" s="196" t="s">
        <v>801</v>
      </c>
      <c r="C53" s="181"/>
      <c r="D53" s="197" t="s">
        <v>802</v>
      </c>
      <c r="E53" s="183">
        <f>SUMIFS('DB WBS'!$J:$J,'DB WBS'!$A:$A,$D$4,'DB WBS'!$D:$D,AA$1,'DB WBS'!$B:$B,$E$3,'DB WBS'!$E:$E,$B53)</f>
        <v>0</v>
      </c>
      <c r="F53" s="183">
        <f>SUMIFS('DB WBS'!$J:$J,'DB WBS'!$A:$A,$D$4,'DB WBS'!$D:$D,AA$2,'DB WBS'!$B:$B,$E$3,'DB WBS'!$E:$E,$B53)</f>
        <v>0</v>
      </c>
      <c r="G53" s="184">
        <f>IFERROR(HLOOKUP($E$3,'Tahun Lalu'!$B$5:$V$158,MATCH(B53,'Tahun Lalu'!$B$5:$B$158,0),0),0)</f>
        <v>0</v>
      </c>
      <c r="H53" s="184">
        <v>0.0</v>
      </c>
      <c r="I53" s="184">
        <v>0.0</v>
      </c>
      <c r="J53" s="183">
        <f t="shared" si="3"/>
        <v>0</v>
      </c>
      <c r="K53" s="183">
        <f t="shared" si="4"/>
        <v>0</v>
      </c>
      <c r="L53" s="183">
        <f t="shared" si="5"/>
        <v>0</v>
      </c>
      <c r="M53" s="183">
        <f t="shared" si="6"/>
        <v>0</v>
      </c>
      <c r="N53" s="183">
        <f t="shared" si="56"/>
        <v>0</v>
      </c>
      <c r="O53" s="183">
        <f t="shared" ref="O53:Q53" si="63">G53+W53</f>
        <v>0</v>
      </c>
      <c r="P53" s="183">
        <f t="shared" si="63"/>
        <v>0</v>
      </c>
      <c r="Q53" s="183">
        <f t="shared" si="63"/>
        <v>0</v>
      </c>
      <c r="R53" s="183">
        <f t="shared" si="9"/>
        <v>0</v>
      </c>
      <c r="S53" s="183">
        <f t="shared" si="10"/>
        <v>0</v>
      </c>
      <c r="T53" s="183">
        <f t="shared" si="11"/>
        <v>0</v>
      </c>
      <c r="U53" s="186"/>
      <c r="V53" s="183">
        <f>IFERROR(__xludf.DUMMYFUNCTION("""COMPUTED_VALUE"""),0.0)</f>
        <v>0</v>
      </c>
      <c r="W53" s="183">
        <f>IFERROR(__xludf.DUMMYFUNCTION("""COMPUTED_VALUE"""),0.0)</f>
        <v>0</v>
      </c>
      <c r="X53" s="183">
        <f>IFERROR(__xludf.DUMMYFUNCTION("""COMPUTED_VALUE"""),0.0)</f>
        <v>0</v>
      </c>
      <c r="Y53" s="183">
        <f>IFERROR(__xludf.DUMMYFUNCTION("""COMPUTED_VALUE"""),0.0)</f>
        <v>0</v>
      </c>
      <c r="Z53" s="183">
        <f t="shared" si="12"/>
        <v>0</v>
      </c>
      <c r="AA53" s="183">
        <f t="shared" si="13"/>
        <v>0</v>
      </c>
      <c r="AB53" s="183">
        <f t="shared" si="14"/>
        <v>0</v>
      </c>
    </row>
    <row r="54" ht="14.25" customHeight="1">
      <c r="A54" s="175"/>
      <c r="B54" s="196" t="s">
        <v>803</v>
      </c>
      <c r="C54" s="181"/>
      <c r="D54" s="197" t="s">
        <v>804</v>
      </c>
      <c r="E54" s="183">
        <f>SUMIFS('DB WBS'!$J:$J,'DB WBS'!$A:$A,$D$4,'DB WBS'!$D:$D,AA$1,'DB WBS'!$B:$B,$E$3,'DB WBS'!$E:$E,$B54)</f>
        <v>0</v>
      </c>
      <c r="F54" s="183">
        <f>SUMIFS('DB WBS'!$J:$J,'DB WBS'!$A:$A,$D$4,'DB WBS'!$D:$D,AA$2,'DB WBS'!$B:$B,$E$3,'DB WBS'!$E:$E,$B54)</f>
        <v>0</v>
      </c>
      <c r="G54" s="184">
        <f>IFERROR(HLOOKUP($E$3,'Tahun Lalu'!$B$5:$V$158,MATCH(B54,'Tahun Lalu'!$B$5:$B$158,0),0),0)</f>
        <v>0</v>
      </c>
      <c r="H54" s="184">
        <v>0.0</v>
      </c>
      <c r="I54" s="184">
        <v>0.0</v>
      </c>
      <c r="J54" s="183">
        <f t="shared" si="3"/>
        <v>0</v>
      </c>
      <c r="K54" s="183">
        <f t="shared" si="4"/>
        <v>0</v>
      </c>
      <c r="L54" s="183">
        <f t="shared" si="5"/>
        <v>0</v>
      </c>
      <c r="M54" s="183">
        <f t="shared" si="6"/>
        <v>0</v>
      </c>
      <c r="N54" s="183">
        <f t="shared" si="56"/>
        <v>0</v>
      </c>
      <c r="O54" s="183">
        <f t="shared" ref="O54:Q54" si="64">G54+W54</f>
        <v>0</v>
      </c>
      <c r="P54" s="183">
        <f t="shared" si="64"/>
        <v>0</v>
      </c>
      <c r="Q54" s="183">
        <f t="shared" si="64"/>
        <v>0</v>
      </c>
      <c r="R54" s="183">
        <f t="shared" si="9"/>
        <v>0</v>
      </c>
      <c r="S54" s="183">
        <f t="shared" si="10"/>
        <v>0</v>
      </c>
      <c r="T54" s="183">
        <f t="shared" si="11"/>
        <v>0</v>
      </c>
      <c r="U54" s="186"/>
      <c r="V54" s="183">
        <f>IFERROR(__xludf.DUMMYFUNCTION("""COMPUTED_VALUE"""),0.0)</f>
        <v>0</v>
      </c>
      <c r="W54" s="183">
        <f>IFERROR(__xludf.DUMMYFUNCTION("""COMPUTED_VALUE"""),0.0)</f>
        <v>0</v>
      </c>
      <c r="X54" s="183">
        <f>IFERROR(__xludf.DUMMYFUNCTION("""COMPUTED_VALUE"""),0.0)</f>
        <v>0</v>
      </c>
      <c r="Y54" s="183">
        <f>IFERROR(__xludf.DUMMYFUNCTION("""COMPUTED_VALUE"""),0.0)</f>
        <v>0</v>
      </c>
      <c r="Z54" s="183">
        <f t="shared" si="12"/>
        <v>0</v>
      </c>
      <c r="AA54" s="183">
        <f t="shared" si="13"/>
        <v>0</v>
      </c>
      <c r="AB54" s="183">
        <f t="shared" si="14"/>
        <v>0</v>
      </c>
    </row>
    <row r="55" ht="14.25" customHeight="1">
      <c r="A55" s="175"/>
      <c r="B55" s="196" t="s">
        <v>805</v>
      </c>
      <c r="C55" s="181"/>
      <c r="D55" s="197" t="s">
        <v>806</v>
      </c>
      <c r="E55" s="183">
        <f>SUMIFS('DB WBS'!$J:$J,'DB WBS'!$A:$A,$D$4,'DB WBS'!$D:$D,AA$1,'DB WBS'!$B:$B,$E$3,'DB WBS'!$E:$E,$B55)</f>
        <v>0</v>
      </c>
      <c r="F55" s="183">
        <f>SUMIFS('DB WBS'!$J:$J,'DB WBS'!$A:$A,$D$4,'DB WBS'!$D:$D,AA$2,'DB WBS'!$B:$B,$E$3,'DB WBS'!$E:$E,$B55)</f>
        <v>0</v>
      </c>
      <c r="G55" s="184">
        <f>IFERROR(HLOOKUP($E$3,'Tahun Lalu'!$B$5:$V$158,MATCH(B55,'Tahun Lalu'!$B$5:$B$158,0),0),0)</f>
        <v>0</v>
      </c>
      <c r="H55" s="184">
        <v>0.0</v>
      </c>
      <c r="I55" s="184">
        <v>0.0</v>
      </c>
      <c r="J55" s="183">
        <f t="shared" si="3"/>
        <v>0</v>
      </c>
      <c r="K55" s="183">
        <f t="shared" si="4"/>
        <v>0</v>
      </c>
      <c r="L55" s="183">
        <f t="shared" si="5"/>
        <v>0</v>
      </c>
      <c r="M55" s="183">
        <f t="shared" si="6"/>
        <v>0</v>
      </c>
      <c r="N55" s="183">
        <f t="shared" si="56"/>
        <v>0</v>
      </c>
      <c r="O55" s="183">
        <f t="shared" ref="O55:Q55" si="65">G55+W55</f>
        <v>0</v>
      </c>
      <c r="P55" s="183">
        <f t="shared" si="65"/>
        <v>0</v>
      </c>
      <c r="Q55" s="183">
        <f t="shared" si="65"/>
        <v>0</v>
      </c>
      <c r="R55" s="183">
        <f t="shared" si="9"/>
        <v>0</v>
      </c>
      <c r="S55" s="183">
        <f t="shared" si="10"/>
        <v>0</v>
      </c>
      <c r="T55" s="183">
        <f t="shared" si="11"/>
        <v>0</v>
      </c>
      <c r="U55" s="186"/>
      <c r="V55" s="183">
        <f>IFERROR(__xludf.DUMMYFUNCTION("""COMPUTED_VALUE"""),0.0)</f>
        <v>0</v>
      </c>
      <c r="W55" s="183">
        <f>IFERROR(__xludf.DUMMYFUNCTION("""COMPUTED_VALUE"""),0.0)</f>
        <v>0</v>
      </c>
      <c r="X55" s="183">
        <f>IFERROR(__xludf.DUMMYFUNCTION("""COMPUTED_VALUE"""),0.0)</f>
        <v>0</v>
      </c>
      <c r="Y55" s="183">
        <f>IFERROR(__xludf.DUMMYFUNCTION("""COMPUTED_VALUE"""),0.0)</f>
        <v>0</v>
      </c>
      <c r="Z55" s="183">
        <f t="shared" si="12"/>
        <v>0</v>
      </c>
      <c r="AA55" s="183">
        <f t="shared" si="13"/>
        <v>0</v>
      </c>
      <c r="AB55" s="183">
        <f t="shared" si="14"/>
        <v>0</v>
      </c>
    </row>
    <row r="56" ht="14.25" customHeight="1">
      <c r="A56" s="175"/>
      <c r="B56" s="196" t="s">
        <v>807</v>
      </c>
      <c r="C56" s="181"/>
      <c r="D56" s="197" t="s">
        <v>808</v>
      </c>
      <c r="E56" s="183">
        <f>SUMIFS('DB WBS'!$J:$J,'DB WBS'!$A:$A,$D$4,'DB WBS'!$D:$D,AA$1,'DB WBS'!$B:$B,$E$3,'DB WBS'!$E:$E,$B56)</f>
        <v>0</v>
      </c>
      <c r="F56" s="183">
        <f>SUMIFS('DB WBS'!$J:$J,'DB WBS'!$A:$A,$D$4,'DB WBS'!$D:$D,AA$2,'DB WBS'!$B:$B,$E$3,'DB WBS'!$E:$E,$B56)</f>
        <v>0</v>
      </c>
      <c r="G56" s="184">
        <f>IFERROR(HLOOKUP($E$3,'Tahun Lalu'!$B$5:$V$158,MATCH(B56,'Tahun Lalu'!$B$5:$B$158,0),0),0)</f>
        <v>0</v>
      </c>
      <c r="H56" s="184">
        <v>0.0</v>
      </c>
      <c r="I56" s="184">
        <v>0.0</v>
      </c>
      <c r="J56" s="183">
        <f t="shared" si="3"/>
        <v>0</v>
      </c>
      <c r="K56" s="183">
        <f t="shared" si="4"/>
        <v>0</v>
      </c>
      <c r="L56" s="183">
        <f t="shared" si="5"/>
        <v>0</v>
      </c>
      <c r="M56" s="183">
        <f t="shared" si="6"/>
        <v>0</v>
      </c>
      <c r="N56" s="183">
        <f t="shared" si="56"/>
        <v>0</v>
      </c>
      <c r="O56" s="183">
        <f t="shared" ref="O56:Q56" si="66">G56+W56</f>
        <v>0</v>
      </c>
      <c r="P56" s="183">
        <f t="shared" si="66"/>
        <v>0</v>
      </c>
      <c r="Q56" s="183">
        <f t="shared" si="66"/>
        <v>0</v>
      </c>
      <c r="R56" s="183">
        <f t="shared" si="9"/>
        <v>0</v>
      </c>
      <c r="S56" s="183">
        <f t="shared" si="10"/>
        <v>0</v>
      </c>
      <c r="T56" s="183">
        <f t="shared" si="11"/>
        <v>0</v>
      </c>
      <c r="U56" s="186"/>
      <c r="V56" s="183">
        <f>IFERROR(__xludf.DUMMYFUNCTION("""COMPUTED_VALUE"""),0.0)</f>
        <v>0</v>
      </c>
      <c r="W56" s="183">
        <f>IFERROR(__xludf.DUMMYFUNCTION("""COMPUTED_VALUE"""),0.0)</f>
        <v>0</v>
      </c>
      <c r="X56" s="183">
        <f>IFERROR(__xludf.DUMMYFUNCTION("""COMPUTED_VALUE"""),0.0)</f>
        <v>0</v>
      </c>
      <c r="Y56" s="183">
        <f>IFERROR(__xludf.DUMMYFUNCTION("""COMPUTED_VALUE"""),0.0)</f>
        <v>0</v>
      </c>
      <c r="Z56" s="183">
        <f t="shared" si="12"/>
        <v>0</v>
      </c>
      <c r="AA56" s="183">
        <f t="shared" si="13"/>
        <v>0</v>
      </c>
      <c r="AB56" s="183">
        <f t="shared" si="14"/>
        <v>0</v>
      </c>
    </row>
    <row r="57" ht="14.25" customHeight="1">
      <c r="A57" s="175"/>
      <c r="B57" s="196"/>
      <c r="C57" s="181"/>
      <c r="D57" s="197"/>
      <c r="E57" s="183">
        <f>SUMIFS('DB WBS'!$J:$J,'DB WBS'!$A:$A,$D$4,'DB WBS'!$D:$D,AA$1,'DB WBS'!$B:$B,$E$3,'DB WBS'!$E:$E,$B57)</f>
        <v>0</v>
      </c>
      <c r="F57" s="183">
        <f>SUMIFS('DB WBS'!$J:$J,'DB WBS'!$A:$A,$D$4,'DB WBS'!$D:$D,AA$2,'DB WBS'!$B:$B,$E$3,'DB WBS'!$E:$E,$B57)</f>
        <v>0</v>
      </c>
      <c r="G57" s="184">
        <f>IFERROR(HLOOKUP($E$3,'Tahun Lalu'!$B$5:$V$158,MATCH(B57,'Tahun Lalu'!$B$5:$B$158,0),0),0)</f>
        <v>0</v>
      </c>
      <c r="H57" s="184">
        <v>0.0</v>
      </c>
      <c r="I57" s="184">
        <v>0.0</v>
      </c>
      <c r="J57" s="183">
        <f t="shared" si="3"/>
        <v>0</v>
      </c>
      <c r="K57" s="183">
        <f t="shared" si="4"/>
        <v>0</v>
      </c>
      <c r="L57" s="183">
        <f t="shared" si="5"/>
        <v>0</v>
      </c>
      <c r="M57" s="183">
        <f t="shared" si="6"/>
        <v>0</v>
      </c>
      <c r="N57" s="183">
        <f t="shared" si="56"/>
        <v>0</v>
      </c>
      <c r="O57" s="183">
        <f t="shared" ref="O57:Q57" si="67">G57+W57</f>
        <v>0</v>
      </c>
      <c r="P57" s="183">
        <f t="shared" si="67"/>
        <v>0</v>
      </c>
      <c r="Q57" s="183">
        <f t="shared" si="67"/>
        <v>0</v>
      </c>
      <c r="R57" s="183">
        <f t="shared" si="9"/>
        <v>0</v>
      </c>
      <c r="S57" s="183">
        <f t="shared" si="10"/>
        <v>0</v>
      </c>
      <c r="T57" s="183">
        <f t="shared" si="11"/>
        <v>0</v>
      </c>
      <c r="U57" s="186"/>
      <c r="V57" s="183">
        <f>IFERROR(__xludf.DUMMYFUNCTION("""COMPUTED_VALUE"""),0.0)</f>
        <v>0</v>
      </c>
      <c r="W57" s="183">
        <f>IFERROR(__xludf.DUMMYFUNCTION("""COMPUTED_VALUE"""),0.0)</f>
        <v>0</v>
      </c>
      <c r="X57" s="183">
        <f>IFERROR(__xludf.DUMMYFUNCTION("""COMPUTED_VALUE"""),0.0)</f>
        <v>0</v>
      </c>
      <c r="Y57" s="183">
        <f>IFERROR(__xludf.DUMMYFUNCTION("""COMPUTED_VALUE"""),0.0)</f>
        <v>0</v>
      </c>
      <c r="Z57" s="183">
        <f t="shared" si="12"/>
        <v>0</v>
      </c>
      <c r="AA57" s="183">
        <f t="shared" si="13"/>
        <v>0</v>
      </c>
      <c r="AB57" s="183">
        <f t="shared" si="14"/>
        <v>0</v>
      </c>
    </row>
    <row r="58" ht="14.25" customHeight="1">
      <c r="A58" s="175"/>
      <c r="B58" s="191" t="s">
        <v>809</v>
      </c>
      <c r="C58" s="199"/>
      <c r="D58" s="200"/>
      <c r="E58" s="201">
        <f t="shared" ref="E58:I58" si="68">SUM(E46:E57)</f>
        <v>0</v>
      </c>
      <c r="F58" s="201">
        <f t="shared" si="68"/>
        <v>0</v>
      </c>
      <c r="G58" s="201">
        <f t="shared" si="68"/>
        <v>0</v>
      </c>
      <c r="H58" s="201">
        <f t="shared" si="68"/>
        <v>0</v>
      </c>
      <c r="I58" s="201">
        <f t="shared" si="68"/>
        <v>0</v>
      </c>
      <c r="J58" s="201">
        <f t="shared" si="3"/>
        <v>0</v>
      </c>
      <c r="K58" s="201">
        <f t="shared" si="4"/>
        <v>0</v>
      </c>
      <c r="L58" s="201">
        <f t="shared" si="5"/>
        <v>0</v>
      </c>
      <c r="M58" s="201">
        <f t="shared" si="6"/>
        <v>0</v>
      </c>
      <c r="N58" s="201">
        <f t="shared" ref="N58:Q58" si="69">SUM(N46:N57)</f>
        <v>0</v>
      </c>
      <c r="O58" s="201">
        <f t="shared" si="69"/>
        <v>0</v>
      </c>
      <c r="P58" s="201">
        <f t="shared" si="69"/>
        <v>0</v>
      </c>
      <c r="Q58" s="201">
        <f t="shared" si="69"/>
        <v>0</v>
      </c>
      <c r="R58" s="201">
        <f t="shared" si="9"/>
        <v>0</v>
      </c>
      <c r="S58" s="201">
        <f t="shared" si="10"/>
        <v>0</v>
      </c>
      <c r="T58" s="201">
        <f t="shared" si="11"/>
        <v>0</v>
      </c>
      <c r="U58" s="202"/>
      <c r="V58" s="201">
        <f>IFERROR(__xludf.DUMMYFUNCTION("""COMPUTED_VALUE"""),0.0)</f>
        <v>0</v>
      </c>
      <c r="W58" s="201">
        <f>IFERROR(__xludf.DUMMYFUNCTION("""COMPUTED_VALUE"""),0.0)</f>
        <v>0</v>
      </c>
      <c r="X58" s="201">
        <f>IFERROR(__xludf.DUMMYFUNCTION("""COMPUTED_VALUE"""),0.0)</f>
        <v>0</v>
      </c>
      <c r="Y58" s="201">
        <f>IFERROR(__xludf.DUMMYFUNCTION("""COMPUTED_VALUE"""),0.0)</f>
        <v>0</v>
      </c>
      <c r="Z58" s="201">
        <f t="shared" si="12"/>
        <v>0</v>
      </c>
      <c r="AA58" s="201">
        <f t="shared" si="13"/>
        <v>0</v>
      </c>
      <c r="AB58" s="201">
        <f t="shared" si="14"/>
        <v>0</v>
      </c>
    </row>
    <row r="59" ht="14.25" customHeight="1">
      <c r="A59" s="175"/>
      <c r="B59" s="196"/>
      <c r="C59" s="181"/>
      <c r="D59" s="197"/>
      <c r="E59" s="183">
        <f>SUMIFS('DB WBS'!$J:$J,'DB WBS'!$A:$A,$D$4,'DB WBS'!$D:$D,AA$1,'DB WBS'!$B:$B,$E$3,'DB WBS'!$E:$E,$B59)</f>
        <v>0</v>
      </c>
      <c r="F59" s="183">
        <f>SUMIFS('DB WBS'!$J:$J,'DB WBS'!$A:$A,$D$4,'DB WBS'!$D:$D,AA$2,'DB WBS'!$B:$B,$E$3,'DB WBS'!$E:$E,$B59)</f>
        <v>0</v>
      </c>
      <c r="G59" s="184">
        <f>IFERROR(HLOOKUP($E$3,'Tahun Lalu'!$B$5:$V$158,MATCH(B59,'Tahun Lalu'!$B$5:$B$158,0),0),0)</f>
        <v>0</v>
      </c>
      <c r="H59" s="184">
        <v>0.0</v>
      </c>
      <c r="I59" s="184">
        <v>0.0</v>
      </c>
      <c r="J59" s="183">
        <f t="shared" si="3"/>
        <v>0</v>
      </c>
      <c r="K59" s="183">
        <f t="shared" si="4"/>
        <v>0</v>
      </c>
      <c r="L59" s="183">
        <f t="shared" si="5"/>
        <v>0</v>
      </c>
      <c r="M59" s="183">
        <f t="shared" si="6"/>
        <v>0</v>
      </c>
      <c r="N59" s="183">
        <f t="shared" ref="N59:N63" si="71">E59+V59</f>
        <v>0</v>
      </c>
      <c r="O59" s="183">
        <f t="shared" ref="O59:Q59" si="70">G59+W59</f>
        <v>0</v>
      </c>
      <c r="P59" s="183">
        <f t="shared" si="70"/>
        <v>0</v>
      </c>
      <c r="Q59" s="183">
        <f t="shared" si="70"/>
        <v>0</v>
      </c>
      <c r="R59" s="183">
        <f t="shared" si="9"/>
        <v>0</v>
      </c>
      <c r="S59" s="183">
        <f t="shared" si="10"/>
        <v>0</v>
      </c>
      <c r="T59" s="183">
        <f t="shared" si="11"/>
        <v>0</v>
      </c>
      <c r="U59" s="186"/>
      <c r="V59" s="183">
        <f>IFERROR(__xludf.DUMMYFUNCTION("""COMPUTED_VALUE"""),0.0)</f>
        <v>0</v>
      </c>
      <c r="W59" s="183">
        <f>IFERROR(__xludf.DUMMYFUNCTION("""COMPUTED_VALUE"""),0.0)</f>
        <v>0</v>
      </c>
      <c r="X59" s="183">
        <f>IFERROR(__xludf.DUMMYFUNCTION("""COMPUTED_VALUE"""),0.0)</f>
        <v>0</v>
      </c>
      <c r="Y59" s="183">
        <f>IFERROR(__xludf.DUMMYFUNCTION("""COMPUTED_VALUE"""),0.0)</f>
        <v>0</v>
      </c>
      <c r="Z59" s="183">
        <f t="shared" si="12"/>
        <v>0</v>
      </c>
      <c r="AA59" s="183">
        <f t="shared" si="13"/>
        <v>0</v>
      </c>
      <c r="AB59" s="183">
        <f t="shared" si="14"/>
        <v>0</v>
      </c>
    </row>
    <row r="60" ht="14.25" customHeight="1">
      <c r="A60" s="175"/>
      <c r="B60" s="196"/>
      <c r="C60" s="181"/>
      <c r="D60" s="197"/>
      <c r="E60" s="183">
        <f>SUMIFS('DB WBS'!$J:$J,'DB WBS'!$A:$A,$D$4,'DB WBS'!$D:$D,AA$1,'DB WBS'!$B:$B,$E$3,'DB WBS'!$E:$E,$B60)</f>
        <v>0</v>
      </c>
      <c r="F60" s="183">
        <f>SUMIFS('DB WBS'!$J:$J,'DB WBS'!$A:$A,$D$4,'DB WBS'!$D:$D,AA$2,'DB WBS'!$B:$B,$E$3,'DB WBS'!$E:$E,$B60)</f>
        <v>0</v>
      </c>
      <c r="G60" s="184">
        <f>IFERROR(HLOOKUP($E$3,'Tahun Lalu'!$B$5:$V$158,MATCH(B60,'Tahun Lalu'!$B$5:$B$158,0),0),0)</f>
        <v>0</v>
      </c>
      <c r="H60" s="184">
        <v>0.0</v>
      </c>
      <c r="I60" s="184">
        <v>0.0</v>
      </c>
      <c r="J60" s="183">
        <f t="shared" si="3"/>
        <v>0</v>
      </c>
      <c r="K60" s="183">
        <f t="shared" si="4"/>
        <v>0</v>
      </c>
      <c r="L60" s="183">
        <f t="shared" si="5"/>
        <v>0</v>
      </c>
      <c r="M60" s="183">
        <f t="shared" si="6"/>
        <v>0</v>
      </c>
      <c r="N60" s="183">
        <f t="shared" si="71"/>
        <v>0</v>
      </c>
      <c r="O60" s="183">
        <f t="shared" ref="O60:Q60" si="72">G60+W60</f>
        <v>0</v>
      </c>
      <c r="P60" s="183">
        <f t="shared" si="72"/>
        <v>0</v>
      </c>
      <c r="Q60" s="183">
        <f t="shared" si="72"/>
        <v>0</v>
      </c>
      <c r="R60" s="183">
        <f t="shared" si="9"/>
        <v>0</v>
      </c>
      <c r="S60" s="183">
        <f t="shared" si="10"/>
        <v>0</v>
      </c>
      <c r="T60" s="183">
        <f t="shared" si="11"/>
        <v>0</v>
      </c>
      <c r="U60" s="186"/>
      <c r="V60" s="183">
        <f>IFERROR(__xludf.DUMMYFUNCTION("""COMPUTED_VALUE"""),0.0)</f>
        <v>0</v>
      </c>
      <c r="W60" s="183">
        <f>IFERROR(__xludf.DUMMYFUNCTION("""COMPUTED_VALUE"""),0.0)</f>
        <v>0</v>
      </c>
      <c r="X60" s="183">
        <f>IFERROR(__xludf.DUMMYFUNCTION("""COMPUTED_VALUE"""),0.0)</f>
        <v>0</v>
      </c>
      <c r="Y60" s="183">
        <f>IFERROR(__xludf.DUMMYFUNCTION("""COMPUTED_VALUE"""),0.0)</f>
        <v>0</v>
      </c>
      <c r="Z60" s="183">
        <f t="shared" si="12"/>
        <v>0</v>
      </c>
      <c r="AA60" s="183">
        <f t="shared" si="13"/>
        <v>0</v>
      </c>
      <c r="AB60" s="183">
        <f t="shared" si="14"/>
        <v>0</v>
      </c>
    </row>
    <row r="61" ht="14.25" customHeight="1">
      <c r="A61" s="175"/>
      <c r="B61" s="196"/>
      <c r="C61" s="181"/>
      <c r="D61" s="197"/>
      <c r="E61" s="183">
        <f>SUMIFS('DB WBS'!$J:$J,'DB WBS'!$A:$A,$D$4,'DB WBS'!$D:$D,AA$1,'DB WBS'!$B:$B,$E$3,'DB WBS'!$E:$E,$B61)</f>
        <v>0</v>
      </c>
      <c r="F61" s="183">
        <f>SUMIFS('DB WBS'!$J:$J,'DB WBS'!$A:$A,$D$4,'DB WBS'!$D:$D,AA$2,'DB WBS'!$B:$B,$E$3,'DB WBS'!$E:$E,$B61)</f>
        <v>0</v>
      </c>
      <c r="G61" s="184">
        <f>IFERROR(HLOOKUP($E$3,'Tahun Lalu'!$B$5:$V$158,MATCH(B61,'Tahun Lalu'!$B$5:$B$158,0),0),0)</f>
        <v>0</v>
      </c>
      <c r="H61" s="184">
        <v>0.0</v>
      </c>
      <c r="I61" s="184">
        <v>0.0</v>
      </c>
      <c r="J61" s="183">
        <f t="shared" si="3"/>
        <v>0</v>
      </c>
      <c r="K61" s="183">
        <f t="shared" si="4"/>
        <v>0</v>
      </c>
      <c r="L61" s="183">
        <f t="shared" si="5"/>
        <v>0</v>
      </c>
      <c r="M61" s="183">
        <f t="shared" si="6"/>
        <v>0</v>
      </c>
      <c r="N61" s="183">
        <f t="shared" si="71"/>
        <v>0</v>
      </c>
      <c r="O61" s="183">
        <f t="shared" ref="O61:Q61" si="73">G61+W61</f>
        <v>0</v>
      </c>
      <c r="P61" s="183">
        <f t="shared" si="73"/>
        <v>0</v>
      </c>
      <c r="Q61" s="183">
        <f t="shared" si="73"/>
        <v>0</v>
      </c>
      <c r="R61" s="183">
        <f t="shared" si="9"/>
        <v>0</v>
      </c>
      <c r="S61" s="183">
        <f t="shared" si="10"/>
        <v>0</v>
      </c>
      <c r="T61" s="183">
        <f t="shared" si="11"/>
        <v>0</v>
      </c>
      <c r="U61" s="186"/>
      <c r="V61" s="183">
        <f>IFERROR(__xludf.DUMMYFUNCTION("""COMPUTED_VALUE"""),0.0)</f>
        <v>0</v>
      </c>
      <c r="W61" s="183">
        <f>IFERROR(__xludf.DUMMYFUNCTION("""COMPUTED_VALUE"""),0.0)</f>
        <v>0</v>
      </c>
      <c r="X61" s="183">
        <f>IFERROR(__xludf.DUMMYFUNCTION("""COMPUTED_VALUE"""),0.0)</f>
        <v>0</v>
      </c>
      <c r="Y61" s="183">
        <f>IFERROR(__xludf.DUMMYFUNCTION("""COMPUTED_VALUE"""),0.0)</f>
        <v>0</v>
      </c>
      <c r="Z61" s="183">
        <f t="shared" si="12"/>
        <v>0</v>
      </c>
      <c r="AA61" s="183">
        <f t="shared" si="13"/>
        <v>0</v>
      </c>
      <c r="AB61" s="183">
        <f t="shared" si="14"/>
        <v>0</v>
      </c>
    </row>
    <row r="62" ht="14.25" customHeight="1">
      <c r="A62" s="175"/>
      <c r="B62" s="196"/>
      <c r="C62" s="181"/>
      <c r="D62" s="197"/>
      <c r="E62" s="183">
        <f>SUMIFS('DB WBS'!$J:$J,'DB WBS'!$A:$A,$D$4,'DB WBS'!$D:$D,AA$1,'DB WBS'!$B:$B,$E$3,'DB WBS'!$E:$E,$B62)</f>
        <v>0</v>
      </c>
      <c r="F62" s="183">
        <f>SUMIFS('DB WBS'!$J:$J,'DB WBS'!$A:$A,$D$4,'DB WBS'!$D:$D,AA$2,'DB WBS'!$B:$B,$E$3,'DB WBS'!$E:$E,$B62)</f>
        <v>0</v>
      </c>
      <c r="G62" s="184">
        <f>IFERROR(HLOOKUP($E$3,'Tahun Lalu'!$B$5:$V$158,MATCH(B62,'Tahun Lalu'!$B$5:$B$158,0),0),0)</f>
        <v>0</v>
      </c>
      <c r="H62" s="184">
        <v>0.0</v>
      </c>
      <c r="I62" s="184">
        <v>0.0</v>
      </c>
      <c r="J62" s="183">
        <f t="shared" si="3"/>
        <v>0</v>
      </c>
      <c r="K62" s="183">
        <f t="shared" si="4"/>
        <v>0</v>
      </c>
      <c r="L62" s="183">
        <f t="shared" si="5"/>
        <v>0</v>
      </c>
      <c r="M62" s="183">
        <f t="shared" si="6"/>
        <v>0</v>
      </c>
      <c r="N62" s="183">
        <f t="shared" si="71"/>
        <v>0</v>
      </c>
      <c r="O62" s="183">
        <f t="shared" ref="O62:Q62" si="74">G62+W62</f>
        <v>0</v>
      </c>
      <c r="P62" s="183">
        <f t="shared" si="74"/>
        <v>0</v>
      </c>
      <c r="Q62" s="183">
        <f t="shared" si="74"/>
        <v>0</v>
      </c>
      <c r="R62" s="183">
        <f t="shared" si="9"/>
        <v>0</v>
      </c>
      <c r="S62" s="183">
        <f t="shared" si="10"/>
        <v>0</v>
      </c>
      <c r="T62" s="183">
        <f t="shared" si="11"/>
        <v>0</v>
      </c>
      <c r="U62" s="186"/>
      <c r="V62" s="183">
        <f>IFERROR(__xludf.DUMMYFUNCTION("""COMPUTED_VALUE"""),0.0)</f>
        <v>0</v>
      </c>
      <c r="W62" s="183">
        <f>IFERROR(__xludf.DUMMYFUNCTION("""COMPUTED_VALUE"""),0.0)</f>
        <v>0</v>
      </c>
      <c r="X62" s="183">
        <f>IFERROR(__xludf.DUMMYFUNCTION("""COMPUTED_VALUE"""),0.0)</f>
        <v>0</v>
      </c>
      <c r="Y62" s="183">
        <f>IFERROR(__xludf.DUMMYFUNCTION("""COMPUTED_VALUE"""),0.0)</f>
        <v>0</v>
      </c>
      <c r="Z62" s="183">
        <f t="shared" si="12"/>
        <v>0</v>
      </c>
      <c r="AA62" s="183">
        <f t="shared" si="13"/>
        <v>0</v>
      </c>
      <c r="AB62" s="183">
        <f t="shared" si="14"/>
        <v>0</v>
      </c>
    </row>
    <row r="63" ht="14.25" customHeight="1">
      <c r="A63" s="175"/>
      <c r="B63" s="196"/>
      <c r="C63" s="181"/>
      <c r="D63" s="197"/>
      <c r="E63" s="183">
        <f>SUMIFS('DB WBS'!$J:$J,'DB WBS'!$A:$A,$D$4,'DB WBS'!$D:$D,AA$1,'DB WBS'!$B:$B,$E$3,'DB WBS'!$E:$E,$B63)</f>
        <v>0</v>
      </c>
      <c r="F63" s="183">
        <f>SUMIFS('DB WBS'!$J:$J,'DB WBS'!$A:$A,$D$4,'DB WBS'!$D:$D,AA$2,'DB WBS'!$B:$B,$E$3,'DB WBS'!$E:$E,$B63)</f>
        <v>0</v>
      </c>
      <c r="G63" s="184">
        <f>IFERROR(HLOOKUP($E$3,'Tahun Lalu'!$B$5:$V$158,MATCH(B63,'Tahun Lalu'!$B$5:$B$158,0),0),0)</f>
        <v>0</v>
      </c>
      <c r="H63" s="184">
        <v>0.0</v>
      </c>
      <c r="I63" s="184">
        <v>0.0</v>
      </c>
      <c r="J63" s="183">
        <f t="shared" si="3"/>
        <v>0</v>
      </c>
      <c r="K63" s="183">
        <f t="shared" si="4"/>
        <v>0</v>
      </c>
      <c r="L63" s="183">
        <f t="shared" si="5"/>
        <v>0</v>
      </c>
      <c r="M63" s="183">
        <f t="shared" si="6"/>
        <v>0</v>
      </c>
      <c r="N63" s="183">
        <f t="shared" si="71"/>
        <v>0</v>
      </c>
      <c r="O63" s="183">
        <f t="shared" ref="O63:Q63" si="75">G63+W63</f>
        <v>0</v>
      </c>
      <c r="P63" s="183">
        <f t="shared" si="75"/>
        <v>0</v>
      </c>
      <c r="Q63" s="183">
        <f t="shared" si="75"/>
        <v>0</v>
      </c>
      <c r="R63" s="183">
        <f t="shared" si="9"/>
        <v>0</v>
      </c>
      <c r="S63" s="183">
        <f t="shared" si="10"/>
        <v>0</v>
      </c>
      <c r="T63" s="183">
        <f t="shared" si="11"/>
        <v>0</v>
      </c>
      <c r="U63" s="186"/>
      <c r="V63" s="183">
        <f>IFERROR(__xludf.DUMMYFUNCTION("""COMPUTED_VALUE"""),0.0)</f>
        <v>0</v>
      </c>
      <c r="W63" s="183">
        <f>IFERROR(__xludf.DUMMYFUNCTION("""COMPUTED_VALUE"""),0.0)</f>
        <v>0</v>
      </c>
      <c r="X63" s="183">
        <f>IFERROR(__xludf.DUMMYFUNCTION("""COMPUTED_VALUE"""),0.0)</f>
        <v>0</v>
      </c>
      <c r="Y63" s="183">
        <f>IFERROR(__xludf.DUMMYFUNCTION("""COMPUTED_VALUE"""),0.0)</f>
        <v>0</v>
      </c>
      <c r="Z63" s="183">
        <f t="shared" si="12"/>
        <v>0</v>
      </c>
      <c r="AA63" s="183">
        <f t="shared" si="13"/>
        <v>0</v>
      </c>
      <c r="AB63" s="183">
        <f t="shared" si="14"/>
        <v>0</v>
      </c>
    </row>
    <row r="64" ht="14.25" customHeight="1">
      <c r="A64" s="175"/>
      <c r="B64" s="191" t="s">
        <v>810</v>
      </c>
      <c r="C64" s="199"/>
      <c r="D64" s="200"/>
      <c r="E64" s="201">
        <f t="shared" ref="E64:I64" si="76">SUM(E59:E63)</f>
        <v>0</v>
      </c>
      <c r="F64" s="201">
        <f t="shared" si="76"/>
        <v>0</v>
      </c>
      <c r="G64" s="201">
        <f t="shared" si="76"/>
        <v>0</v>
      </c>
      <c r="H64" s="201">
        <f t="shared" si="76"/>
        <v>0</v>
      </c>
      <c r="I64" s="201">
        <f t="shared" si="76"/>
        <v>0</v>
      </c>
      <c r="J64" s="201">
        <f t="shared" si="3"/>
        <v>0</v>
      </c>
      <c r="K64" s="201">
        <f t="shared" si="4"/>
        <v>0</v>
      </c>
      <c r="L64" s="201">
        <f t="shared" si="5"/>
        <v>0</v>
      </c>
      <c r="M64" s="201">
        <f t="shared" si="6"/>
        <v>0</v>
      </c>
      <c r="N64" s="201">
        <f t="shared" ref="N64:Q64" si="77">SUM(N59:N63)</f>
        <v>0</v>
      </c>
      <c r="O64" s="201">
        <f t="shared" si="77"/>
        <v>0</v>
      </c>
      <c r="P64" s="201">
        <f t="shared" si="77"/>
        <v>0</v>
      </c>
      <c r="Q64" s="201">
        <f t="shared" si="77"/>
        <v>0</v>
      </c>
      <c r="R64" s="201">
        <f t="shared" si="9"/>
        <v>0</v>
      </c>
      <c r="S64" s="201">
        <f t="shared" si="10"/>
        <v>0</v>
      </c>
      <c r="T64" s="201">
        <f t="shared" si="11"/>
        <v>0</v>
      </c>
      <c r="U64" s="202"/>
      <c r="V64" s="201">
        <f>IFERROR(__xludf.DUMMYFUNCTION("""COMPUTED_VALUE"""),0.0)</f>
        <v>0</v>
      </c>
      <c r="W64" s="201">
        <f>IFERROR(__xludf.DUMMYFUNCTION("""COMPUTED_VALUE"""),0.0)</f>
        <v>0</v>
      </c>
      <c r="X64" s="201">
        <f>IFERROR(__xludf.DUMMYFUNCTION("""COMPUTED_VALUE"""),0.0)</f>
        <v>0</v>
      </c>
      <c r="Y64" s="201">
        <f>IFERROR(__xludf.DUMMYFUNCTION("""COMPUTED_VALUE"""),0.0)</f>
        <v>0</v>
      </c>
      <c r="Z64" s="201">
        <f t="shared" si="12"/>
        <v>0</v>
      </c>
      <c r="AA64" s="201">
        <f t="shared" si="13"/>
        <v>0</v>
      </c>
      <c r="AB64" s="201">
        <f t="shared" si="14"/>
        <v>0</v>
      </c>
    </row>
    <row r="65" ht="14.25" customHeight="1">
      <c r="A65" s="175"/>
      <c r="B65" s="196" t="s">
        <v>811</v>
      </c>
      <c r="C65" s="181"/>
      <c r="D65" s="197" t="s">
        <v>812</v>
      </c>
      <c r="E65" s="183">
        <f>SUMIFS('DB WBS'!$J:$J,'DB WBS'!$A:$A,$D$4,'DB WBS'!$D:$D,AA$1,'DB WBS'!$B:$B,$E$3,'DB WBS'!$E:$E,$B65)</f>
        <v>0</v>
      </c>
      <c r="F65" s="183">
        <f>SUMIFS('DB WBS'!$J:$J,'DB WBS'!$A:$A,$D$4,'DB WBS'!$D:$D,AA$2,'DB WBS'!$B:$B,$E$3,'DB WBS'!$E:$E,$B65)</f>
        <v>0</v>
      </c>
      <c r="G65" s="184">
        <f>IFERROR(HLOOKUP($E$3,'Tahun Lalu'!$B$5:$V$158,MATCH(B65,'Tahun Lalu'!$B$5:$B$158,0),0),0)</f>
        <v>0</v>
      </c>
      <c r="H65" s="184">
        <v>0.0</v>
      </c>
      <c r="I65" s="184">
        <v>0.0</v>
      </c>
      <c r="J65" s="183">
        <f t="shared" si="3"/>
        <v>0</v>
      </c>
      <c r="K65" s="183">
        <f t="shared" si="4"/>
        <v>0</v>
      </c>
      <c r="L65" s="183">
        <f t="shared" si="5"/>
        <v>0</v>
      </c>
      <c r="M65" s="183">
        <f t="shared" si="6"/>
        <v>0</v>
      </c>
      <c r="N65" s="183">
        <f t="shared" ref="N65:N68" si="79">E65+V65</f>
        <v>0</v>
      </c>
      <c r="O65" s="183">
        <f t="shared" ref="O65:Q65" si="78">G65+W65</f>
        <v>0</v>
      </c>
      <c r="P65" s="183">
        <f t="shared" si="78"/>
        <v>0</v>
      </c>
      <c r="Q65" s="183">
        <f t="shared" si="78"/>
        <v>0</v>
      </c>
      <c r="R65" s="183">
        <f t="shared" si="9"/>
        <v>0</v>
      </c>
      <c r="S65" s="183">
        <f t="shared" si="10"/>
        <v>0</v>
      </c>
      <c r="T65" s="183">
        <f t="shared" si="11"/>
        <v>0</v>
      </c>
      <c r="U65" s="186"/>
      <c r="V65" s="183">
        <f>IFERROR(__xludf.DUMMYFUNCTION("""COMPUTED_VALUE"""),0.0)</f>
        <v>0</v>
      </c>
      <c r="W65" s="183">
        <f>IFERROR(__xludf.DUMMYFUNCTION("""COMPUTED_VALUE"""),0.0)</f>
        <v>0</v>
      </c>
      <c r="X65" s="183">
        <f>IFERROR(__xludf.DUMMYFUNCTION("""COMPUTED_VALUE"""),0.0)</f>
        <v>0</v>
      </c>
      <c r="Y65" s="183">
        <f>IFERROR(__xludf.DUMMYFUNCTION("""COMPUTED_VALUE"""),0.0)</f>
        <v>0</v>
      </c>
      <c r="Z65" s="183">
        <f t="shared" si="12"/>
        <v>0</v>
      </c>
      <c r="AA65" s="183">
        <f t="shared" si="13"/>
        <v>0</v>
      </c>
      <c r="AB65" s="183">
        <f t="shared" si="14"/>
        <v>0</v>
      </c>
    </row>
    <row r="66" ht="14.25" customHeight="1">
      <c r="A66" s="175"/>
      <c r="B66" s="196" t="s">
        <v>813</v>
      </c>
      <c r="C66" s="181"/>
      <c r="D66" s="197" t="s">
        <v>814</v>
      </c>
      <c r="E66" s="183">
        <f>SUMIFS('DB WBS'!$J:$J,'DB WBS'!$A:$A,$D$4,'DB WBS'!$D:$D,AA$1,'DB WBS'!$B:$B,$E$3,'DB WBS'!$E:$E,$B66)</f>
        <v>0</v>
      </c>
      <c r="F66" s="183">
        <f>SUMIFS('DB WBS'!$J:$J,'DB WBS'!$A:$A,$D$4,'DB WBS'!$D:$D,AA$2,'DB WBS'!$B:$B,$E$3,'DB WBS'!$E:$E,$B66)</f>
        <v>0</v>
      </c>
      <c r="G66" s="184">
        <f>IFERROR(HLOOKUP($E$3,'Tahun Lalu'!$B$5:$V$158,MATCH(B66,'Tahun Lalu'!$B$5:$B$158,0),0),0)</f>
        <v>0</v>
      </c>
      <c r="H66" s="184">
        <v>0.0</v>
      </c>
      <c r="I66" s="184">
        <v>0.0</v>
      </c>
      <c r="J66" s="183">
        <f t="shared" si="3"/>
        <v>0</v>
      </c>
      <c r="K66" s="183">
        <f t="shared" si="4"/>
        <v>0</v>
      </c>
      <c r="L66" s="183">
        <f t="shared" si="5"/>
        <v>0</v>
      </c>
      <c r="M66" s="183">
        <f t="shared" si="6"/>
        <v>0</v>
      </c>
      <c r="N66" s="183">
        <f t="shared" si="79"/>
        <v>0</v>
      </c>
      <c r="O66" s="183">
        <f t="shared" ref="O66:Q66" si="80">G66+W66</f>
        <v>0</v>
      </c>
      <c r="P66" s="183">
        <f t="shared" si="80"/>
        <v>0</v>
      </c>
      <c r="Q66" s="183">
        <f t="shared" si="80"/>
        <v>0</v>
      </c>
      <c r="R66" s="183">
        <f t="shared" si="9"/>
        <v>0</v>
      </c>
      <c r="S66" s="183">
        <f t="shared" si="10"/>
        <v>0</v>
      </c>
      <c r="T66" s="183">
        <f t="shared" si="11"/>
        <v>0</v>
      </c>
      <c r="U66" s="186"/>
      <c r="V66" s="183">
        <f>IFERROR(__xludf.DUMMYFUNCTION("""COMPUTED_VALUE"""),0.0)</f>
        <v>0</v>
      </c>
      <c r="W66" s="183">
        <f>IFERROR(__xludf.DUMMYFUNCTION("""COMPUTED_VALUE"""),0.0)</f>
        <v>0</v>
      </c>
      <c r="X66" s="183">
        <f>IFERROR(__xludf.DUMMYFUNCTION("""COMPUTED_VALUE"""),0.0)</f>
        <v>0</v>
      </c>
      <c r="Y66" s="183">
        <f>IFERROR(__xludf.DUMMYFUNCTION("""COMPUTED_VALUE"""),0.0)</f>
        <v>0</v>
      </c>
      <c r="Z66" s="183">
        <f t="shared" si="12"/>
        <v>0</v>
      </c>
      <c r="AA66" s="183">
        <f t="shared" si="13"/>
        <v>0</v>
      </c>
      <c r="AB66" s="183">
        <f t="shared" si="14"/>
        <v>0</v>
      </c>
    </row>
    <row r="67" ht="14.25" customHeight="1">
      <c r="A67" s="175"/>
      <c r="B67" s="196" t="s">
        <v>815</v>
      </c>
      <c r="C67" s="181"/>
      <c r="D67" s="197" t="s">
        <v>816</v>
      </c>
      <c r="E67" s="183">
        <f>SUMIFS('DB WBS'!$J:$J,'DB WBS'!$A:$A,$D$4,'DB WBS'!$D:$D,AA$1,'DB WBS'!$B:$B,$E$3,'DB WBS'!$E:$E,$B67)</f>
        <v>0</v>
      </c>
      <c r="F67" s="183">
        <f>SUMIFS('DB WBS'!$J:$J,'DB WBS'!$A:$A,$D$4,'DB WBS'!$D:$D,AA$2,'DB WBS'!$B:$B,$E$3,'DB WBS'!$E:$E,$B67)</f>
        <v>0</v>
      </c>
      <c r="G67" s="184">
        <f>IFERROR(HLOOKUP($E$3,'Tahun Lalu'!$B$5:$V$158,MATCH(B67,'Tahun Lalu'!$B$5:$B$158,0),0),0)</f>
        <v>0</v>
      </c>
      <c r="H67" s="184">
        <v>0.0</v>
      </c>
      <c r="I67" s="184">
        <v>0.0</v>
      </c>
      <c r="J67" s="183">
        <f t="shared" si="3"/>
        <v>0</v>
      </c>
      <c r="K67" s="183">
        <f t="shared" si="4"/>
        <v>0</v>
      </c>
      <c r="L67" s="183">
        <f t="shared" si="5"/>
        <v>0</v>
      </c>
      <c r="M67" s="183">
        <f t="shared" si="6"/>
        <v>0</v>
      </c>
      <c r="N67" s="183">
        <f t="shared" si="79"/>
        <v>0</v>
      </c>
      <c r="O67" s="183">
        <f t="shared" ref="O67:Q67" si="81">G67+W67</f>
        <v>0</v>
      </c>
      <c r="P67" s="183">
        <f t="shared" si="81"/>
        <v>0</v>
      </c>
      <c r="Q67" s="183">
        <f t="shared" si="81"/>
        <v>0</v>
      </c>
      <c r="R67" s="183">
        <f t="shared" si="9"/>
        <v>0</v>
      </c>
      <c r="S67" s="183">
        <f t="shared" si="10"/>
        <v>0</v>
      </c>
      <c r="T67" s="183">
        <f t="shared" si="11"/>
        <v>0</v>
      </c>
      <c r="U67" s="186"/>
      <c r="V67" s="183">
        <f>IFERROR(__xludf.DUMMYFUNCTION("""COMPUTED_VALUE"""),0.0)</f>
        <v>0</v>
      </c>
      <c r="W67" s="183">
        <f>IFERROR(__xludf.DUMMYFUNCTION("""COMPUTED_VALUE"""),0.0)</f>
        <v>0</v>
      </c>
      <c r="X67" s="183">
        <f>IFERROR(__xludf.DUMMYFUNCTION("""COMPUTED_VALUE"""),0.0)</f>
        <v>0</v>
      </c>
      <c r="Y67" s="183">
        <f>IFERROR(__xludf.DUMMYFUNCTION("""COMPUTED_VALUE"""),0.0)</f>
        <v>0</v>
      </c>
      <c r="Z67" s="183">
        <f t="shared" si="12"/>
        <v>0</v>
      </c>
      <c r="AA67" s="183">
        <f t="shared" si="13"/>
        <v>0</v>
      </c>
      <c r="AB67" s="183">
        <f t="shared" si="14"/>
        <v>0</v>
      </c>
    </row>
    <row r="68" ht="14.25" customHeight="1">
      <c r="A68" s="175"/>
      <c r="B68" s="196"/>
      <c r="C68" s="181"/>
      <c r="D68" s="197"/>
      <c r="E68" s="183">
        <f>SUMIFS('DB WBS'!$J:$J,'DB WBS'!$A:$A,$D$4,'DB WBS'!$D:$D,AA$1,'DB WBS'!$B:$B,$E$3,'DB WBS'!$E:$E,$B68)</f>
        <v>0</v>
      </c>
      <c r="F68" s="183">
        <f>SUMIFS('DB WBS'!$J:$J,'DB WBS'!$A:$A,$D$4,'DB WBS'!$D:$D,AA$2,'DB WBS'!$B:$B,$E$3,'DB WBS'!$E:$E,$B68)</f>
        <v>0</v>
      </c>
      <c r="G68" s="184">
        <f>IFERROR(HLOOKUP($E$3,'Tahun Lalu'!$B$5:$V$158,MATCH(B68,'Tahun Lalu'!$B$5:$B$158,0),0),0)</f>
        <v>0</v>
      </c>
      <c r="H68" s="184">
        <v>0.0</v>
      </c>
      <c r="I68" s="184">
        <v>0.0</v>
      </c>
      <c r="J68" s="183">
        <f t="shared" si="3"/>
        <v>0</v>
      </c>
      <c r="K68" s="183">
        <f t="shared" si="4"/>
        <v>0</v>
      </c>
      <c r="L68" s="183">
        <f t="shared" si="5"/>
        <v>0</v>
      </c>
      <c r="M68" s="183">
        <f t="shared" si="6"/>
        <v>0</v>
      </c>
      <c r="N68" s="183">
        <f t="shared" si="79"/>
        <v>0</v>
      </c>
      <c r="O68" s="183">
        <f t="shared" ref="O68:Q68" si="82">G68+W68</f>
        <v>0</v>
      </c>
      <c r="P68" s="183">
        <f t="shared" si="82"/>
        <v>0</v>
      </c>
      <c r="Q68" s="183">
        <f t="shared" si="82"/>
        <v>0</v>
      </c>
      <c r="R68" s="183">
        <f t="shared" si="9"/>
        <v>0</v>
      </c>
      <c r="S68" s="183">
        <f t="shared" si="10"/>
        <v>0</v>
      </c>
      <c r="T68" s="183">
        <f t="shared" si="11"/>
        <v>0</v>
      </c>
      <c r="U68" s="186"/>
      <c r="V68" s="183">
        <f>IFERROR(__xludf.DUMMYFUNCTION("""COMPUTED_VALUE"""),0.0)</f>
        <v>0</v>
      </c>
      <c r="W68" s="183">
        <f>IFERROR(__xludf.DUMMYFUNCTION("""COMPUTED_VALUE"""),0.0)</f>
        <v>0</v>
      </c>
      <c r="X68" s="183">
        <f>IFERROR(__xludf.DUMMYFUNCTION("""COMPUTED_VALUE"""),0.0)</f>
        <v>0</v>
      </c>
      <c r="Y68" s="183">
        <f>IFERROR(__xludf.DUMMYFUNCTION("""COMPUTED_VALUE"""),0.0)</f>
        <v>0</v>
      </c>
      <c r="Z68" s="183">
        <f t="shared" si="12"/>
        <v>0</v>
      </c>
      <c r="AA68" s="183">
        <f t="shared" si="13"/>
        <v>0</v>
      </c>
      <c r="AB68" s="183">
        <f t="shared" si="14"/>
        <v>0</v>
      </c>
    </row>
    <row r="69" ht="14.25" customHeight="1">
      <c r="A69" s="175"/>
      <c r="B69" s="191" t="s">
        <v>817</v>
      </c>
      <c r="C69" s="199"/>
      <c r="D69" s="200"/>
      <c r="E69" s="201">
        <f t="shared" ref="E69:I69" si="83">SUM(E65:E68)</f>
        <v>0</v>
      </c>
      <c r="F69" s="201">
        <f t="shared" si="83"/>
        <v>0</v>
      </c>
      <c r="G69" s="201">
        <f t="shared" si="83"/>
        <v>0</v>
      </c>
      <c r="H69" s="201">
        <f t="shared" si="83"/>
        <v>0</v>
      </c>
      <c r="I69" s="201">
        <f t="shared" si="83"/>
        <v>0</v>
      </c>
      <c r="J69" s="201">
        <f t="shared" si="3"/>
        <v>0</v>
      </c>
      <c r="K69" s="201">
        <f t="shared" si="4"/>
        <v>0</v>
      </c>
      <c r="L69" s="201">
        <f t="shared" si="5"/>
        <v>0</v>
      </c>
      <c r="M69" s="201">
        <f t="shared" si="6"/>
        <v>0</v>
      </c>
      <c r="N69" s="201">
        <f t="shared" ref="N69:Q69" si="84">SUM(N65:N68)</f>
        <v>0</v>
      </c>
      <c r="O69" s="201">
        <f t="shared" si="84"/>
        <v>0</v>
      </c>
      <c r="P69" s="201">
        <f t="shared" si="84"/>
        <v>0</v>
      </c>
      <c r="Q69" s="201">
        <f t="shared" si="84"/>
        <v>0</v>
      </c>
      <c r="R69" s="201">
        <f t="shared" si="9"/>
        <v>0</v>
      </c>
      <c r="S69" s="201">
        <f t="shared" si="10"/>
        <v>0</v>
      </c>
      <c r="T69" s="201">
        <f t="shared" si="11"/>
        <v>0</v>
      </c>
      <c r="U69" s="202"/>
      <c r="V69" s="201">
        <f>IFERROR(__xludf.DUMMYFUNCTION("""COMPUTED_VALUE"""),0.0)</f>
        <v>0</v>
      </c>
      <c r="W69" s="201">
        <f>IFERROR(__xludf.DUMMYFUNCTION("""COMPUTED_VALUE"""),0.0)</f>
        <v>0</v>
      </c>
      <c r="X69" s="201">
        <f>IFERROR(__xludf.DUMMYFUNCTION("""COMPUTED_VALUE"""),0.0)</f>
        <v>0</v>
      </c>
      <c r="Y69" s="201">
        <f>IFERROR(__xludf.DUMMYFUNCTION("""COMPUTED_VALUE"""),0.0)</f>
        <v>0</v>
      </c>
      <c r="Z69" s="201">
        <f t="shared" si="12"/>
        <v>0</v>
      </c>
      <c r="AA69" s="201">
        <f t="shared" si="13"/>
        <v>0</v>
      </c>
      <c r="AB69" s="201">
        <f t="shared" si="14"/>
        <v>0</v>
      </c>
    </row>
    <row r="70" ht="14.25" customHeight="1">
      <c r="A70" s="175"/>
      <c r="B70" s="196"/>
      <c r="C70" s="181"/>
      <c r="D70" s="197" t="s">
        <v>818</v>
      </c>
      <c r="E70" s="183">
        <f>SUMIFS('DB WBS'!$J:$J,'DB WBS'!$A:$A,$D$4,'DB WBS'!$D:$D,AA$1,'DB WBS'!$B:$B,$E$3,'DB WBS'!$E:$E,$B70)</f>
        <v>0</v>
      </c>
      <c r="F70" s="183">
        <f>SUMIFS('DB WBS'!$J:$J,'DB WBS'!$A:$A,$D$4,'DB WBS'!$D:$D,AA$2,'DB WBS'!$B:$B,$E$3,'DB WBS'!$E:$E,$B70)</f>
        <v>0</v>
      </c>
      <c r="G70" s="184">
        <f>IFERROR(HLOOKUP($E$3,'Tahun Lalu'!$B$5:$V$158,MATCH(B70,'Tahun Lalu'!$B$5:$B$158,0),0),0)</f>
        <v>0</v>
      </c>
      <c r="H70" s="184">
        <v>0.0</v>
      </c>
      <c r="I70" s="184">
        <v>0.0</v>
      </c>
      <c r="J70" s="183">
        <f t="shared" si="3"/>
        <v>0</v>
      </c>
      <c r="K70" s="183">
        <f t="shared" si="4"/>
        <v>0</v>
      </c>
      <c r="L70" s="183">
        <f t="shared" si="5"/>
        <v>0</v>
      </c>
      <c r="M70" s="183">
        <f t="shared" si="6"/>
        <v>0</v>
      </c>
      <c r="N70" s="183">
        <f t="shared" ref="N70:N72" si="86">E70+V70</f>
        <v>0</v>
      </c>
      <c r="O70" s="183">
        <f t="shared" ref="O70:Q70" si="85">G70+W70</f>
        <v>0</v>
      </c>
      <c r="P70" s="183">
        <f t="shared" si="85"/>
        <v>0</v>
      </c>
      <c r="Q70" s="183">
        <f t="shared" si="85"/>
        <v>0</v>
      </c>
      <c r="R70" s="183">
        <f t="shared" si="9"/>
        <v>0</v>
      </c>
      <c r="S70" s="183">
        <f t="shared" si="10"/>
        <v>0</v>
      </c>
      <c r="T70" s="183">
        <f t="shared" si="11"/>
        <v>0</v>
      </c>
      <c r="U70" s="186"/>
      <c r="V70" s="183">
        <f>IFERROR(__xludf.DUMMYFUNCTION("""COMPUTED_VALUE"""),0.0)</f>
        <v>0</v>
      </c>
      <c r="W70" s="183">
        <f>IFERROR(__xludf.DUMMYFUNCTION("""COMPUTED_VALUE"""),0.0)</f>
        <v>0</v>
      </c>
      <c r="X70" s="183">
        <f>IFERROR(__xludf.DUMMYFUNCTION("""COMPUTED_VALUE"""),0.0)</f>
        <v>0</v>
      </c>
      <c r="Y70" s="183">
        <f>IFERROR(__xludf.DUMMYFUNCTION("""COMPUTED_VALUE"""),0.0)</f>
        <v>0</v>
      </c>
      <c r="Z70" s="183">
        <f t="shared" si="12"/>
        <v>0</v>
      </c>
      <c r="AA70" s="183">
        <f t="shared" si="13"/>
        <v>0</v>
      </c>
      <c r="AB70" s="183">
        <f t="shared" si="14"/>
        <v>0</v>
      </c>
    </row>
    <row r="71" ht="14.25" customHeight="1">
      <c r="A71" s="175"/>
      <c r="B71" s="196"/>
      <c r="C71" s="181"/>
      <c r="D71" s="197" t="s">
        <v>819</v>
      </c>
      <c r="E71" s="183">
        <f>SUMIFS('DB WBS'!$J:$J,'DB WBS'!$A:$A,$D$4,'DB WBS'!$D:$D,AA$1,'DB WBS'!$B:$B,$E$3,'DB WBS'!$E:$E,$B71)</f>
        <v>0</v>
      </c>
      <c r="F71" s="183">
        <f>SUMIFS('DB WBS'!$J:$J,'DB WBS'!$A:$A,$D$4,'DB WBS'!$D:$D,AA$2,'DB WBS'!$B:$B,$E$3,'DB WBS'!$E:$E,$B71)</f>
        <v>0</v>
      </c>
      <c r="G71" s="184">
        <f>IFERROR(HLOOKUP($E$3,'Tahun Lalu'!$B$5:$V$158,MATCH(B71,'Tahun Lalu'!$B$5:$B$158,0),0),0)</f>
        <v>0</v>
      </c>
      <c r="H71" s="184">
        <v>0.0</v>
      </c>
      <c r="I71" s="184">
        <v>0.0</v>
      </c>
      <c r="J71" s="183">
        <f t="shared" si="3"/>
        <v>0</v>
      </c>
      <c r="K71" s="183">
        <f t="shared" si="4"/>
        <v>0</v>
      </c>
      <c r="L71" s="183">
        <f t="shared" si="5"/>
        <v>0</v>
      </c>
      <c r="M71" s="183">
        <f t="shared" si="6"/>
        <v>0</v>
      </c>
      <c r="N71" s="183">
        <f t="shared" si="86"/>
        <v>0</v>
      </c>
      <c r="O71" s="183">
        <f t="shared" ref="O71:Q71" si="87">G71+W71</f>
        <v>0</v>
      </c>
      <c r="P71" s="183">
        <f t="shared" si="87"/>
        <v>0</v>
      </c>
      <c r="Q71" s="183">
        <f t="shared" si="87"/>
        <v>0</v>
      </c>
      <c r="R71" s="183">
        <f t="shared" si="9"/>
        <v>0</v>
      </c>
      <c r="S71" s="183">
        <f t="shared" si="10"/>
        <v>0</v>
      </c>
      <c r="T71" s="183">
        <f t="shared" si="11"/>
        <v>0</v>
      </c>
      <c r="U71" s="186"/>
      <c r="V71" s="183">
        <f>IFERROR(__xludf.DUMMYFUNCTION("""COMPUTED_VALUE"""),0.0)</f>
        <v>0</v>
      </c>
      <c r="W71" s="183">
        <f>IFERROR(__xludf.DUMMYFUNCTION("""COMPUTED_VALUE"""),0.0)</f>
        <v>0</v>
      </c>
      <c r="X71" s="183">
        <f>IFERROR(__xludf.DUMMYFUNCTION("""COMPUTED_VALUE"""),0.0)</f>
        <v>0</v>
      </c>
      <c r="Y71" s="183">
        <f>IFERROR(__xludf.DUMMYFUNCTION("""COMPUTED_VALUE"""),0.0)</f>
        <v>0</v>
      </c>
      <c r="Z71" s="183">
        <f t="shared" si="12"/>
        <v>0</v>
      </c>
      <c r="AA71" s="183">
        <f t="shared" si="13"/>
        <v>0</v>
      </c>
      <c r="AB71" s="183">
        <f t="shared" si="14"/>
        <v>0</v>
      </c>
    </row>
    <row r="72" ht="14.25" customHeight="1">
      <c r="A72" s="175"/>
      <c r="B72" s="196"/>
      <c r="C72" s="181"/>
      <c r="D72" s="197"/>
      <c r="E72" s="183">
        <f>SUMIFS('DB WBS'!$J:$J,'DB WBS'!$A:$A,$D$4,'DB WBS'!$D:$D,AA$1,'DB WBS'!$B:$B,$E$3,'DB WBS'!$E:$E,$B72)</f>
        <v>0</v>
      </c>
      <c r="F72" s="183">
        <f>SUMIFS('DB WBS'!$J:$J,'DB WBS'!$A:$A,$D$4,'DB WBS'!$D:$D,AA$2,'DB WBS'!$B:$B,$E$3,'DB WBS'!$E:$E,$B72)</f>
        <v>0</v>
      </c>
      <c r="G72" s="184">
        <f>IFERROR(HLOOKUP($E$3,'Tahun Lalu'!$B$5:$V$158,MATCH(B72,'Tahun Lalu'!$B$5:$B$158,0),0),0)</f>
        <v>0</v>
      </c>
      <c r="H72" s="184">
        <v>0.0</v>
      </c>
      <c r="I72" s="184">
        <v>0.0</v>
      </c>
      <c r="J72" s="183">
        <f t="shared" si="3"/>
        <v>0</v>
      </c>
      <c r="K72" s="183">
        <f t="shared" si="4"/>
        <v>0</v>
      </c>
      <c r="L72" s="183">
        <f t="shared" si="5"/>
        <v>0</v>
      </c>
      <c r="M72" s="183">
        <f t="shared" si="6"/>
        <v>0</v>
      </c>
      <c r="N72" s="183">
        <f t="shared" si="86"/>
        <v>0</v>
      </c>
      <c r="O72" s="183">
        <f t="shared" ref="O72:Q72" si="88">G72+W72</f>
        <v>0</v>
      </c>
      <c r="P72" s="183">
        <f t="shared" si="88"/>
        <v>0</v>
      </c>
      <c r="Q72" s="183">
        <f t="shared" si="88"/>
        <v>0</v>
      </c>
      <c r="R72" s="183">
        <f t="shared" si="9"/>
        <v>0</v>
      </c>
      <c r="S72" s="183">
        <f t="shared" si="10"/>
        <v>0</v>
      </c>
      <c r="T72" s="183">
        <f t="shared" si="11"/>
        <v>0</v>
      </c>
      <c r="U72" s="186"/>
      <c r="V72" s="183">
        <f>IFERROR(__xludf.DUMMYFUNCTION("""COMPUTED_VALUE"""),0.0)</f>
        <v>0</v>
      </c>
      <c r="W72" s="183">
        <f>IFERROR(__xludf.DUMMYFUNCTION("""COMPUTED_VALUE"""),0.0)</f>
        <v>0</v>
      </c>
      <c r="X72" s="183">
        <f>IFERROR(__xludf.DUMMYFUNCTION("""COMPUTED_VALUE"""),0.0)</f>
        <v>0</v>
      </c>
      <c r="Y72" s="183">
        <f>IFERROR(__xludf.DUMMYFUNCTION("""COMPUTED_VALUE"""),0.0)</f>
        <v>0</v>
      </c>
      <c r="Z72" s="183">
        <f t="shared" si="12"/>
        <v>0</v>
      </c>
      <c r="AA72" s="183">
        <f t="shared" si="13"/>
        <v>0</v>
      </c>
      <c r="AB72" s="183">
        <f t="shared" si="14"/>
        <v>0</v>
      </c>
    </row>
    <row r="73" ht="14.25" customHeight="1">
      <c r="A73" s="175"/>
      <c r="B73" s="191" t="s">
        <v>820</v>
      </c>
      <c r="C73" s="199"/>
      <c r="D73" s="200"/>
      <c r="E73" s="201">
        <f t="shared" ref="E73:I73" si="89">SUM(E70:E72)</f>
        <v>0</v>
      </c>
      <c r="F73" s="201">
        <f t="shared" si="89"/>
        <v>0</v>
      </c>
      <c r="G73" s="201">
        <f t="shared" si="89"/>
        <v>0</v>
      </c>
      <c r="H73" s="201">
        <f t="shared" si="89"/>
        <v>0</v>
      </c>
      <c r="I73" s="201">
        <f t="shared" si="89"/>
        <v>0</v>
      </c>
      <c r="J73" s="201">
        <f t="shared" si="3"/>
        <v>0</v>
      </c>
      <c r="K73" s="201">
        <f t="shared" si="4"/>
        <v>0</v>
      </c>
      <c r="L73" s="201">
        <f t="shared" si="5"/>
        <v>0</v>
      </c>
      <c r="M73" s="201">
        <f t="shared" si="6"/>
        <v>0</v>
      </c>
      <c r="N73" s="201">
        <f t="shared" ref="N73:Q73" si="90">SUM(N70:N72)</f>
        <v>0</v>
      </c>
      <c r="O73" s="201">
        <f t="shared" si="90"/>
        <v>0</v>
      </c>
      <c r="P73" s="201">
        <f t="shared" si="90"/>
        <v>0</v>
      </c>
      <c r="Q73" s="201">
        <f t="shared" si="90"/>
        <v>0</v>
      </c>
      <c r="R73" s="201">
        <f t="shared" si="9"/>
        <v>0</v>
      </c>
      <c r="S73" s="201">
        <f t="shared" si="10"/>
        <v>0</v>
      </c>
      <c r="T73" s="201">
        <f t="shared" si="11"/>
        <v>0</v>
      </c>
      <c r="U73" s="202"/>
      <c r="V73" s="201">
        <f>IFERROR(__xludf.DUMMYFUNCTION("""COMPUTED_VALUE"""),0.0)</f>
        <v>0</v>
      </c>
      <c r="W73" s="201">
        <f>IFERROR(__xludf.DUMMYFUNCTION("""COMPUTED_VALUE"""),0.0)</f>
        <v>0</v>
      </c>
      <c r="X73" s="201">
        <f>IFERROR(__xludf.DUMMYFUNCTION("""COMPUTED_VALUE"""),0.0)</f>
        <v>0</v>
      </c>
      <c r="Y73" s="201">
        <f>IFERROR(__xludf.DUMMYFUNCTION("""COMPUTED_VALUE"""),0.0)</f>
        <v>0</v>
      </c>
      <c r="Z73" s="201">
        <f t="shared" si="12"/>
        <v>0</v>
      </c>
      <c r="AA73" s="201">
        <f t="shared" si="13"/>
        <v>0</v>
      </c>
      <c r="AB73" s="201">
        <f t="shared" si="14"/>
        <v>0</v>
      </c>
    </row>
    <row r="74" ht="14.25" customHeight="1">
      <c r="A74" s="175"/>
      <c r="B74" s="203"/>
      <c r="C74" s="181"/>
      <c r="D74" s="197"/>
      <c r="E74" s="183">
        <f>SUMIFS('DB WBS'!$J:$J,'DB WBS'!$A:$A,$D$4,'DB WBS'!$D:$D,AA$1,'DB WBS'!$B:$B,$E$3,'DB WBS'!$E:$E,$B74)</f>
        <v>0</v>
      </c>
      <c r="F74" s="183">
        <f>SUMIFS('DB WBS'!$J:$J,'DB WBS'!$A:$A,$D$4,'DB WBS'!$D:$D,AA$2,'DB WBS'!$B:$B,$E$3,'DB WBS'!$E:$E,$B74)</f>
        <v>0</v>
      </c>
      <c r="G74" s="184">
        <f>IFERROR(HLOOKUP($E$3,'Tahun Lalu'!$B$5:$V$158,MATCH(B74,'Tahun Lalu'!$B$5:$B$158,0),0),0)</f>
        <v>0</v>
      </c>
      <c r="H74" s="184">
        <v>0.0</v>
      </c>
      <c r="I74" s="184">
        <v>0.0</v>
      </c>
      <c r="J74" s="183">
        <f t="shared" si="3"/>
        <v>0</v>
      </c>
      <c r="K74" s="183">
        <f t="shared" si="4"/>
        <v>0</v>
      </c>
      <c r="L74" s="183">
        <f t="shared" si="5"/>
        <v>0</v>
      </c>
      <c r="M74" s="183">
        <f t="shared" si="6"/>
        <v>0</v>
      </c>
      <c r="N74" s="183">
        <f t="shared" ref="N74:N75" si="92">E74+V74</f>
        <v>0</v>
      </c>
      <c r="O74" s="183">
        <f t="shared" ref="O74:Q74" si="91">G74+W74</f>
        <v>0</v>
      </c>
      <c r="P74" s="183">
        <f t="shared" si="91"/>
        <v>0</v>
      </c>
      <c r="Q74" s="183">
        <f t="shared" si="91"/>
        <v>0</v>
      </c>
      <c r="R74" s="183">
        <f t="shared" si="9"/>
        <v>0</v>
      </c>
      <c r="S74" s="183">
        <f t="shared" si="10"/>
        <v>0</v>
      </c>
      <c r="T74" s="183">
        <f t="shared" si="11"/>
        <v>0</v>
      </c>
      <c r="U74" s="186"/>
      <c r="V74" s="183">
        <f>IFERROR(__xludf.DUMMYFUNCTION("""COMPUTED_VALUE"""),0.0)</f>
        <v>0</v>
      </c>
      <c r="W74" s="183">
        <f>IFERROR(__xludf.DUMMYFUNCTION("""COMPUTED_VALUE"""),0.0)</f>
        <v>0</v>
      </c>
      <c r="X74" s="183">
        <f>IFERROR(__xludf.DUMMYFUNCTION("""COMPUTED_VALUE"""),0.0)</f>
        <v>0</v>
      </c>
      <c r="Y74" s="183">
        <f>IFERROR(__xludf.DUMMYFUNCTION("""COMPUTED_VALUE"""),0.0)</f>
        <v>0</v>
      </c>
      <c r="Z74" s="183">
        <f t="shared" si="12"/>
        <v>0</v>
      </c>
      <c r="AA74" s="183">
        <f t="shared" si="13"/>
        <v>0</v>
      </c>
      <c r="AB74" s="183">
        <f t="shared" si="14"/>
        <v>0</v>
      </c>
    </row>
    <row r="75" ht="14.25" customHeight="1">
      <c r="A75" s="175"/>
      <c r="B75" s="203"/>
      <c r="C75" s="181"/>
      <c r="D75" s="197"/>
      <c r="E75" s="183">
        <f>SUMIFS('DB WBS'!$J:$J,'DB WBS'!$A:$A,$D$4,'DB WBS'!$D:$D,AA$1,'DB WBS'!$B:$B,$E$3,'DB WBS'!$E:$E,$B75)</f>
        <v>0</v>
      </c>
      <c r="F75" s="183">
        <f>SUMIFS('DB WBS'!$J:$J,'DB WBS'!$A:$A,$D$4,'DB WBS'!$D:$D,AA$2,'DB WBS'!$B:$B,$E$3,'DB WBS'!$E:$E,$B75)</f>
        <v>0</v>
      </c>
      <c r="G75" s="184">
        <f>IFERROR(HLOOKUP($E$3,'Tahun Lalu'!$B$5:$V$158,MATCH(B75,'Tahun Lalu'!$B$5:$B$158,0),0),0)</f>
        <v>0</v>
      </c>
      <c r="H75" s="184">
        <v>0.0</v>
      </c>
      <c r="I75" s="184">
        <v>0.0</v>
      </c>
      <c r="J75" s="183">
        <f t="shared" si="3"/>
        <v>0</v>
      </c>
      <c r="K75" s="183">
        <f t="shared" si="4"/>
        <v>0</v>
      </c>
      <c r="L75" s="183">
        <f t="shared" si="5"/>
        <v>0</v>
      </c>
      <c r="M75" s="183">
        <f t="shared" si="6"/>
        <v>0</v>
      </c>
      <c r="N75" s="183">
        <f t="shared" si="92"/>
        <v>0</v>
      </c>
      <c r="O75" s="183">
        <f t="shared" ref="O75:Q75" si="93">G75+W75</f>
        <v>0</v>
      </c>
      <c r="P75" s="183">
        <f t="shared" si="93"/>
        <v>0</v>
      </c>
      <c r="Q75" s="183">
        <f t="shared" si="93"/>
        <v>0</v>
      </c>
      <c r="R75" s="183">
        <f t="shared" si="9"/>
        <v>0</v>
      </c>
      <c r="S75" s="183">
        <f t="shared" si="10"/>
        <v>0</v>
      </c>
      <c r="T75" s="183">
        <f t="shared" si="11"/>
        <v>0</v>
      </c>
      <c r="U75" s="186"/>
      <c r="V75" s="183">
        <f>IFERROR(__xludf.DUMMYFUNCTION("""COMPUTED_VALUE"""),0.0)</f>
        <v>0</v>
      </c>
      <c r="W75" s="183">
        <f>IFERROR(__xludf.DUMMYFUNCTION("""COMPUTED_VALUE"""),0.0)</f>
        <v>0</v>
      </c>
      <c r="X75" s="183">
        <f>IFERROR(__xludf.DUMMYFUNCTION("""COMPUTED_VALUE"""),0.0)</f>
        <v>0</v>
      </c>
      <c r="Y75" s="183">
        <f>IFERROR(__xludf.DUMMYFUNCTION("""COMPUTED_VALUE"""),0.0)</f>
        <v>0</v>
      </c>
      <c r="Z75" s="183">
        <f t="shared" si="12"/>
        <v>0</v>
      </c>
      <c r="AA75" s="183">
        <f t="shared" si="13"/>
        <v>0</v>
      </c>
      <c r="AB75" s="183">
        <f t="shared" si="14"/>
        <v>0</v>
      </c>
    </row>
    <row r="76" ht="14.25" customHeight="1">
      <c r="A76" s="175"/>
      <c r="B76" s="191" t="s">
        <v>821</v>
      </c>
      <c r="C76" s="199"/>
      <c r="D76" s="200"/>
      <c r="E76" s="201">
        <f t="shared" ref="E76:I76" si="94">SUM(E74:E75)</f>
        <v>0</v>
      </c>
      <c r="F76" s="201">
        <f t="shared" si="94"/>
        <v>0</v>
      </c>
      <c r="G76" s="201">
        <f t="shared" si="94"/>
        <v>0</v>
      </c>
      <c r="H76" s="201">
        <f t="shared" si="94"/>
        <v>0</v>
      </c>
      <c r="I76" s="201">
        <f t="shared" si="94"/>
        <v>0</v>
      </c>
      <c r="J76" s="201">
        <f t="shared" si="3"/>
        <v>0</v>
      </c>
      <c r="K76" s="201">
        <f t="shared" si="4"/>
        <v>0</v>
      </c>
      <c r="L76" s="201">
        <f t="shared" si="5"/>
        <v>0</v>
      </c>
      <c r="M76" s="201">
        <f t="shared" si="6"/>
        <v>0</v>
      </c>
      <c r="N76" s="201">
        <f t="shared" ref="N76:Q76" si="95">SUM(N74:N75)</f>
        <v>0</v>
      </c>
      <c r="O76" s="201">
        <f t="shared" si="95"/>
        <v>0</v>
      </c>
      <c r="P76" s="201">
        <f t="shared" si="95"/>
        <v>0</v>
      </c>
      <c r="Q76" s="201">
        <f t="shared" si="95"/>
        <v>0</v>
      </c>
      <c r="R76" s="201">
        <f t="shared" si="9"/>
        <v>0</v>
      </c>
      <c r="S76" s="201">
        <f t="shared" si="10"/>
        <v>0</v>
      </c>
      <c r="T76" s="201">
        <f t="shared" si="11"/>
        <v>0</v>
      </c>
      <c r="U76" s="202"/>
      <c r="V76" s="201">
        <f>IFERROR(__xludf.DUMMYFUNCTION("""COMPUTED_VALUE"""),0.0)</f>
        <v>0</v>
      </c>
      <c r="W76" s="201">
        <f>IFERROR(__xludf.DUMMYFUNCTION("""COMPUTED_VALUE"""),0.0)</f>
        <v>0</v>
      </c>
      <c r="X76" s="201">
        <f>IFERROR(__xludf.DUMMYFUNCTION("""COMPUTED_VALUE"""),0.0)</f>
        <v>0</v>
      </c>
      <c r="Y76" s="201">
        <f>IFERROR(__xludf.DUMMYFUNCTION("""COMPUTED_VALUE"""),0.0)</f>
        <v>0</v>
      </c>
      <c r="Z76" s="201">
        <f t="shared" si="12"/>
        <v>0</v>
      </c>
      <c r="AA76" s="201">
        <f t="shared" si="13"/>
        <v>0</v>
      </c>
      <c r="AB76" s="201">
        <f t="shared" si="14"/>
        <v>0</v>
      </c>
    </row>
    <row r="77" ht="14.25" customHeight="1">
      <c r="A77" s="175"/>
      <c r="B77" s="204" t="s">
        <v>822</v>
      </c>
      <c r="C77" s="205"/>
      <c r="D77" s="206"/>
      <c r="E77" s="207">
        <f t="shared" ref="E77:I77" si="96">E76+E73+E69+E64+E58+E45+E34+E32+E13+E11</f>
        <v>0</v>
      </c>
      <c r="F77" s="207">
        <f t="shared" si="96"/>
        <v>0</v>
      </c>
      <c r="G77" s="207">
        <f t="shared" si="96"/>
        <v>0</v>
      </c>
      <c r="H77" s="207">
        <f t="shared" si="96"/>
        <v>0</v>
      </c>
      <c r="I77" s="207">
        <f t="shared" si="96"/>
        <v>0</v>
      </c>
      <c r="J77" s="207">
        <f t="shared" si="3"/>
        <v>0</v>
      </c>
      <c r="K77" s="207">
        <f t="shared" si="4"/>
        <v>0</v>
      </c>
      <c r="L77" s="207">
        <f t="shared" si="5"/>
        <v>0</v>
      </c>
      <c r="M77" s="207">
        <f t="shared" si="6"/>
        <v>0</v>
      </c>
      <c r="N77" s="207">
        <f t="shared" ref="N77:Q77" si="97">N76+N73+N69+N64+N58+N45+N34+N32+N13+N11</f>
        <v>0</v>
      </c>
      <c r="O77" s="207">
        <f t="shared" si="97"/>
        <v>134884000</v>
      </c>
      <c r="P77" s="207">
        <f t="shared" si="97"/>
        <v>0</v>
      </c>
      <c r="Q77" s="207">
        <f t="shared" si="97"/>
        <v>0</v>
      </c>
      <c r="R77" s="207">
        <f t="shared" si="9"/>
        <v>0</v>
      </c>
      <c r="S77" s="207">
        <f t="shared" si="10"/>
        <v>0</v>
      </c>
      <c r="T77" s="207">
        <f t="shared" si="11"/>
        <v>0</v>
      </c>
      <c r="U77" s="202"/>
      <c r="V77" s="207">
        <f>IFERROR(__xludf.DUMMYFUNCTION("""COMPUTED_VALUE"""),0.0)</f>
        <v>0</v>
      </c>
      <c r="W77" s="207">
        <f>IFERROR(__xludf.DUMMYFUNCTION("""COMPUTED_VALUE"""),1.34884E8)</f>
        <v>134884000</v>
      </c>
      <c r="X77" s="207">
        <f>IFERROR(__xludf.DUMMYFUNCTION("""COMPUTED_VALUE"""),0.0)</f>
        <v>0</v>
      </c>
      <c r="Y77" s="207">
        <f>IFERROR(__xludf.DUMMYFUNCTION("""COMPUTED_VALUE"""),0.0)</f>
        <v>0</v>
      </c>
      <c r="Z77" s="207">
        <f t="shared" si="12"/>
        <v>0</v>
      </c>
      <c r="AA77" s="207">
        <f t="shared" si="13"/>
        <v>0</v>
      </c>
      <c r="AB77" s="207">
        <f t="shared" si="14"/>
        <v>0</v>
      </c>
    </row>
    <row r="78" ht="14.25" customHeight="1">
      <c r="A78" s="175"/>
      <c r="B78" s="208" t="s">
        <v>20</v>
      </c>
      <c r="C78" s="181" t="s">
        <v>409</v>
      </c>
      <c r="D78" s="209" t="s">
        <v>140</v>
      </c>
      <c r="E78" s="183">
        <f>SUMIFS('DB WBS'!$J:$J,'DB WBS'!$A:$A,$D$4,'DB WBS'!$D:$D,AA$1,'DB WBS'!$B:$B,$E$3,'DB WBS'!$E:$E,$B78)</f>
        <v>56161062</v>
      </c>
      <c r="F78" s="183">
        <f>SUMIFS('DB WBS'!$J:$J,'DB WBS'!$A:$A,$D$4,'DB WBS'!$D:$D,AA$2,'DB WBS'!$B:$B,$E$3,'DB WBS'!$E:$E,$B78)</f>
        <v>37255259</v>
      </c>
      <c r="G78" s="184">
        <f>IFERROR(HLOOKUP($E$3,'Tahun Lalu'!$B$5:$V$158,MATCH(B78,'Tahun Lalu'!$B$5:$B$158,0),0),0)</f>
        <v>69366292</v>
      </c>
      <c r="H78" s="184">
        <v>0.0</v>
      </c>
      <c r="I78" s="184">
        <v>0.0</v>
      </c>
      <c r="J78" s="210">
        <f t="shared" si="3"/>
        <v>150.7466691</v>
      </c>
      <c r="K78" s="183">
        <f t="shared" si="4"/>
        <v>80.9630447</v>
      </c>
      <c r="L78" s="183">
        <f t="shared" si="5"/>
        <v>0</v>
      </c>
      <c r="M78" s="183">
        <f t="shared" si="6"/>
        <v>0</v>
      </c>
      <c r="N78" s="183">
        <f t="shared" ref="N78:N90" si="99">E78+V78</f>
        <v>209504341</v>
      </c>
      <c r="O78" s="183">
        <f t="shared" ref="O78:Q78" si="98">G78+W78</f>
        <v>340096673</v>
      </c>
      <c r="P78" s="183">
        <f t="shared" si="98"/>
        <v>0</v>
      </c>
      <c r="Q78" s="183">
        <f t="shared" si="98"/>
        <v>0</v>
      </c>
      <c r="R78" s="210">
        <f t="shared" si="9"/>
        <v>61.60140855</v>
      </c>
      <c r="S78" s="183">
        <f t="shared" si="10"/>
        <v>0</v>
      </c>
      <c r="T78" s="183">
        <f t="shared" si="11"/>
        <v>0</v>
      </c>
      <c r="U78" s="186"/>
      <c r="V78" s="183">
        <f>IFERROR(__xludf.DUMMYFUNCTION("""COMPUTED_VALUE"""),1.53343279E8)</f>
        <v>153343279</v>
      </c>
      <c r="W78" s="183">
        <f>IFERROR(__xludf.DUMMYFUNCTION("""COMPUTED_VALUE"""),2.70730381E8)</f>
        <v>270730381</v>
      </c>
      <c r="X78" s="183">
        <f>IFERROR(__xludf.DUMMYFUNCTION("""COMPUTED_VALUE"""),0.0)</f>
        <v>0</v>
      </c>
      <c r="Y78" s="183">
        <f>IFERROR(__xludf.DUMMYFUNCTION("""COMPUTED_VALUE"""),0.0)</f>
        <v>0</v>
      </c>
      <c r="Z78" s="210">
        <f t="shared" si="12"/>
        <v>56.64058774</v>
      </c>
      <c r="AA78" s="183">
        <f t="shared" si="13"/>
        <v>0</v>
      </c>
      <c r="AB78" s="183">
        <f t="shared" si="14"/>
        <v>0</v>
      </c>
    </row>
    <row r="79" ht="14.25" customHeight="1">
      <c r="A79" s="175"/>
      <c r="B79" s="208" t="s">
        <v>823</v>
      </c>
      <c r="C79" s="181"/>
      <c r="D79" s="209" t="s">
        <v>192</v>
      </c>
      <c r="E79" s="183">
        <f>SUMIFS('DB WBS'!$J:$J,'DB WBS'!$A:$A,$D$4,'DB WBS'!$D:$D,AA$1,'DB WBS'!$B:$B,$E$3,'DB WBS'!$E:$E,$B79)</f>
        <v>0</v>
      </c>
      <c r="F79" s="183">
        <f>SUMIFS('DB WBS'!$J:$J,'DB WBS'!$A:$A,$D$4,'DB WBS'!$D:$D,AA$2,'DB WBS'!$B:$B,$E$3,'DB WBS'!$E:$E,$B79)</f>
        <v>0</v>
      </c>
      <c r="G79" s="184">
        <f>IFERROR(HLOOKUP($E$3,'Tahun Lalu'!$B$5:$V$158,MATCH(B79,'Tahun Lalu'!$B$5:$B$158,0),0),0)</f>
        <v>0</v>
      </c>
      <c r="H79" s="184">
        <v>0.0</v>
      </c>
      <c r="I79" s="184">
        <v>0.0</v>
      </c>
      <c r="J79" s="183">
        <f t="shared" si="3"/>
        <v>0</v>
      </c>
      <c r="K79" s="183">
        <f t="shared" si="4"/>
        <v>0</v>
      </c>
      <c r="L79" s="183">
        <f t="shared" si="5"/>
        <v>0</v>
      </c>
      <c r="M79" s="183">
        <f t="shared" si="6"/>
        <v>0</v>
      </c>
      <c r="N79" s="183">
        <f t="shared" si="99"/>
        <v>0</v>
      </c>
      <c r="O79" s="183">
        <f t="shared" ref="O79:Q79" si="100">G79+W79</f>
        <v>0</v>
      </c>
      <c r="P79" s="183">
        <f t="shared" si="100"/>
        <v>0</v>
      </c>
      <c r="Q79" s="183">
        <f t="shared" si="100"/>
        <v>0</v>
      </c>
      <c r="R79" s="183">
        <f t="shared" si="9"/>
        <v>0</v>
      </c>
      <c r="S79" s="183">
        <f t="shared" si="10"/>
        <v>0</v>
      </c>
      <c r="T79" s="183">
        <f t="shared" si="11"/>
        <v>0</v>
      </c>
      <c r="U79" s="186"/>
      <c r="V79" s="183">
        <f>IFERROR(__xludf.DUMMYFUNCTION("""COMPUTED_VALUE"""),0.0)</f>
        <v>0</v>
      </c>
      <c r="W79" s="183">
        <f>IFERROR(__xludf.DUMMYFUNCTION("""COMPUTED_VALUE"""),0.0)</f>
        <v>0</v>
      </c>
      <c r="X79" s="183">
        <f>IFERROR(__xludf.DUMMYFUNCTION("""COMPUTED_VALUE"""),0.0)</f>
        <v>0</v>
      </c>
      <c r="Y79" s="183">
        <f>IFERROR(__xludf.DUMMYFUNCTION("""COMPUTED_VALUE"""),0.0)</f>
        <v>0</v>
      </c>
      <c r="Z79" s="183">
        <f t="shared" si="12"/>
        <v>0</v>
      </c>
      <c r="AA79" s="183">
        <f t="shared" si="13"/>
        <v>0</v>
      </c>
      <c r="AB79" s="183">
        <f t="shared" si="14"/>
        <v>0</v>
      </c>
    </row>
    <row r="80" ht="14.25" customHeight="1">
      <c r="A80" s="175"/>
      <c r="B80" s="208" t="s">
        <v>43</v>
      </c>
      <c r="C80" s="181"/>
      <c r="D80" s="209" t="s">
        <v>44</v>
      </c>
      <c r="E80" s="183">
        <f>SUMIFS('DB WBS'!$J:$J,'DB WBS'!$A:$A,$D$4,'DB WBS'!$D:$D,AA$1,'DB WBS'!$B:$B,$E$3,'DB WBS'!$E:$E,$B80)</f>
        <v>0</v>
      </c>
      <c r="F80" s="183">
        <f>SUMIFS('DB WBS'!$J:$J,'DB WBS'!$A:$A,$D$4,'DB WBS'!$D:$D,AA$2,'DB WBS'!$B:$B,$E$3,'DB WBS'!$E:$E,$B80)</f>
        <v>0</v>
      </c>
      <c r="G80" s="184">
        <f>IFERROR(HLOOKUP($E$3,'Tahun Lalu'!$B$5:$V$158,MATCH(B80,'Tahun Lalu'!$B$5:$B$158,0),0),0)</f>
        <v>0</v>
      </c>
      <c r="H80" s="184">
        <v>0.0</v>
      </c>
      <c r="I80" s="184">
        <v>0.0</v>
      </c>
      <c r="J80" s="183">
        <f t="shared" si="3"/>
        <v>0</v>
      </c>
      <c r="K80" s="183">
        <f t="shared" si="4"/>
        <v>0</v>
      </c>
      <c r="L80" s="183">
        <f t="shared" si="5"/>
        <v>0</v>
      </c>
      <c r="M80" s="183">
        <f t="shared" si="6"/>
        <v>0</v>
      </c>
      <c r="N80" s="183">
        <f t="shared" si="99"/>
        <v>0</v>
      </c>
      <c r="O80" s="183">
        <f t="shared" ref="O80:Q80" si="101">G80+W80</f>
        <v>0</v>
      </c>
      <c r="P80" s="183">
        <f t="shared" si="101"/>
        <v>0</v>
      </c>
      <c r="Q80" s="183">
        <f t="shared" si="101"/>
        <v>0</v>
      </c>
      <c r="R80" s="183">
        <f t="shared" si="9"/>
        <v>0</v>
      </c>
      <c r="S80" s="183">
        <f t="shared" si="10"/>
        <v>0</v>
      </c>
      <c r="T80" s="183">
        <f t="shared" si="11"/>
        <v>0</v>
      </c>
      <c r="U80" s="186"/>
      <c r="V80" s="183">
        <f>IFERROR(__xludf.DUMMYFUNCTION("""COMPUTED_VALUE"""),0.0)</f>
        <v>0</v>
      </c>
      <c r="W80" s="183">
        <f>IFERROR(__xludf.DUMMYFUNCTION("""COMPUTED_VALUE"""),0.0)</f>
        <v>0</v>
      </c>
      <c r="X80" s="183">
        <f>IFERROR(__xludf.DUMMYFUNCTION("""COMPUTED_VALUE"""),0.0)</f>
        <v>0</v>
      </c>
      <c r="Y80" s="183">
        <f>IFERROR(__xludf.DUMMYFUNCTION("""COMPUTED_VALUE"""),0.0)</f>
        <v>0</v>
      </c>
      <c r="Z80" s="183">
        <f t="shared" si="12"/>
        <v>0</v>
      </c>
      <c r="AA80" s="183">
        <f t="shared" si="13"/>
        <v>0</v>
      </c>
      <c r="AB80" s="183">
        <f t="shared" si="14"/>
        <v>0</v>
      </c>
    </row>
    <row r="81" ht="14.25" customHeight="1">
      <c r="A81" s="175"/>
      <c r="B81" s="208" t="s">
        <v>14</v>
      </c>
      <c r="C81" s="181"/>
      <c r="D81" s="209" t="s">
        <v>15</v>
      </c>
      <c r="E81" s="183">
        <f>SUMIFS('DB WBS'!$J:$J,'DB WBS'!$A:$A,$D$4,'DB WBS'!$D:$D,AA$1,'DB WBS'!$B:$B,$E$3,'DB WBS'!$E:$E,$B81)</f>
        <v>11895796</v>
      </c>
      <c r="F81" s="183">
        <f>SUMIFS('DB WBS'!$J:$J,'DB WBS'!$A:$A,$D$4,'DB WBS'!$D:$D,AA$2,'DB WBS'!$B:$B,$E$3,'DB WBS'!$E:$E,$B81)</f>
        <v>12611152</v>
      </c>
      <c r="G81" s="184">
        <f>IFERROR(HLOOKUP($E$3,'Tahun Lalu'!$B$5:$V$158,MATCH(B81,'Tahun Lalu'!$B$5:$B$158,0),0),0)</f>
        <v>117365764</v>
      </c>
      <c r="H81" s="184">
        <v>0.0</v>
      </c>
      <c r="I81" s="184">
        <v>0.0</v>
      </c>
      <c r="J81" s="183">
        <f t="shared" si="3"/>
        <v>94.32759196</v>
      </c>
      <c r="K81" s="183">
        <f t="shared" si="4"/>
        <v>10.13566103</v>
      </c>
      <c r="L81" s="183">
        <f t="shared" si="5"/>
        <v>0</v>
      </c>
      <c r="M81" s="183">
        <f t="shared" si="6"/>
        <v>0</v>
      </c>
      <c r="N81" s="183">
        <f t="shared" si="99"/>
        <v>85912568</v>
      </c>
      <c r="O81" s="183">
        <f t="shared" ref="O81:Q81" si="102">G81+W81</f>
        <v>591690053</v>
      </c>
      <c r="P81" s="183">
        <f t="shared" si="102"/>
        <v>0</v>
      </c>
      <c r="Q81" s="183">
        <f t="shared" si="102"/>
        <v>0</v>
      </c>
      <c r="R81" s="183">
        <f t="shared" si="9"/>
        <v>14.51986011</v>
      </c>
      <c r="S81" s="183">
        <f t="shared" si="10"/>
        <v>0</v>
      </c>
      <c r="T81" s="183">
        <f t="shared" si="11"/>
        <v>0</v>
      </c>
      <c r="U81" s="186"/>
      <c r="V81" s="183">
        <f>IFERROR(__xludf.DUMMYFUNCTION("""COMPUTED_VALUE"""),7.4016772E7)</f>
        <v>74016772</v>
      </c>
      <c r="W81" s="183">
        <f>IFERROR(__xludf.DUMMYFUNCTION("""COMPUTED_VALUE"""),4.74324289E8)</f>
        <v>474324289</v>
      </c>
      <c r="X81" s="183">
        <f>IFERROR(__xludf.DUMMYFUNCTION("""COMPUTED_VALUE"""),0.0)</f>
        <v>0</v>
      </c>
      <c r="Y81" s="183">
        <f>IFERROR(__xludf.DUMMYFUNCTION("""COMPUTED_VALUE"""),0.0)</f>
        <v>0</v>
      </c>
      <c r="Z81" s="183">
        <f t="shared" si="12"/>
        <v>15.60467674</v>
      </c>
      <c r="AA81" s="183">
        <f t="shared" si="13"/>
        <v>0</v>
      </c>
      <c r="AB81" s="183">
        <f t="shared" si="14"/>
        <v>0</v>
      </c>
    </row>
    <row r="82" ht="14.25" customHeight="1">
      <c r="A82" s="175"/>
      <c r="B82" s="208" t="s">
        <v>68</v>
      </c>
      <c r="C82" s="181"/>
      <c r="D82" s="209" t="s">
        <v>69</v>
      </c>
      <c r="E82" s="183">
        <f>SUMIFS('DB WBS'!$J:$J,'DB WBS'!$A:$A,$D$4,'DB WBS'!$D:$D,AA$1,'DB WBS'!$B:$B,$E$3,'DB WBS'!$E:$E,$B82)</f>
        <v>0</v>
      </c>
      <c r="F82" s="183">
        <f>SUMIFS('DB WBS'!$J:$J,'DB WBS'!$A:$A,$D$4,'DB WBS'!$D:$D,AA$2,'DB WBS'!$B:$B,$E$3,'DB WBS'!$E:$E,$B82)</f>
        <v>0</v>
      </c>
      <c r="G82" s="184">
        <f>IFERROR(HLOOKUP($E$3,'Tahun Lalu'!$B$5:$V$158,MATCH(B82,'Tahun Lalu'!$B$5:$B$158,0),0),0)</f>
        <v>0</v>
      </c>
      <c r="H82" s="184">
        <v>0.0</v>
      </c>
      <c r="I82" s="184">
        <v>0.0</v>
      </c>
      <c r="J82" s="183">
        <f t="shared" si="3"/>
        <v>0</v>
      </c>
      <c r="K82" s="183">
        <f t="shared" si="4"/>
        <v>0</v>
      </c>
      <c r="L82" s="183">
        <f t="shared" si="5"/>
        <v>0</v>
      </c>
      <c r="M82" s="183">
        <f t="shared" si="6"/>
        <v>0</v>
      </c>
      <c r="N82" s="183">
        <f t="shared" si="99"/>
        <v>0</v>
      </c>
      <c r="O82" s="183">
        <f t="shared" ref="O82:Q82" si="103">G82+W82</f>
        <v>0</v>
      </c>
      <c r="P82" s="183">
        <f t="shared" si="103"/>
        <v>0</v>
      </c>
      <c r="Q82" s="183">
        <f t="shared" si="103"/>
        <v>0</v>
      </c>
      <c r="R82" s="183">
        <f t="shared" si="9"/>
        <v>0</v>
      </c>
      <c r="S82" s="183">
        <f t="shared" si="10"/>
        <v>0</v>
      </c>
      <c r="T82" s="183">
        <f t="shared" si="11"/>
        <v>0</v>
      </c>
      <c r="U82" s="186"/>
      <c r="V82" s="183">
        <f>IFERROR(__xludf.DUMMYFUNCTION("""COMPUTED_VALUE"""),0.0)</f>
        <v>0</v>
      </c>
      <c r="W82" s="183">
        <f>IFERROR(__xludf.DUMMYFUNCTION("""COMPUTED_VALUE"""),0.0)</f>
        <v>0</v>
      </c>
      <c r="X82" s="183">
        <f>IFERROR(__xludf.DUMMYFUNCTION("""COMPUTED_VALUE"""),0.0)</f>
        <v>0</v>
      </c>
      <c r="Y82" s="183">
        <f>IFERROR(__xludf.DUMMYFUNCTION("""COMPUTED_VALUE"""),0.0)</f>
        <v>0</v>
      </c>
      <c r="Z82" s="183">
        <f t="shared" si="12"/>
        <v>0</v>
      </c>
      <c r="AA82" s="183">
        <f t="shared" si="13"/>
        <v>0</v>
      </c>
      <c r="AB82" s="183">
        <f t="shared" si="14"/>
        <v>0</v>
      </c>
    </row>
    <row r="83" ht="14.25" customHeight="1">
      <c r="A83" s="175"/>
      <c r="B83" s="208" t="s">
        <v>824</v>
      </c>
      <c r="C83" s="181"/>
      <c r="D83" s="209" t="s">
        <v>825</v>
      </c>
      <c r="E83" s="183">
        <f>SUMIFS('DB WBS'!$J:$J,'DB WBS'!$A:$A,$D$4,'DB WBS'!$D:$D,AA$1,'DB WBS'!$B:$B,$E$3,'DB WBS'!$E:$E,$B83)</f>
        <v>0</v>
      </c>
      <c r="F83" s="183">
        <f>SUMIFS('DB WBS'!$J:$J,'DB WBS'!$A:$A,$D$4,'DB WBS'!$D:$D,AA$2,'DB WBS'!$B:$B,$E$3,'DB WBS'!$E:$E,$B83)</f>
        <v>0</v>
      </c>
      <c r="G83" s="184">
        <f>IFERROR(HLOOKUP($E$3,'Tahun Lalu'!$B$5:$V$158,MATCH(B83,'Tahun Lalu'!$B$5:$B$158,0),0),0)</f>
        <v>0</v>
      </c>
      <c r="H83" s="184">
        <v>0.0</v>
      </c>
      <c r="I83" s="184">
        <v>0.0</v>
      </c>
      <c r="J83" s="183">
        <f t="shared" si="3"/>
        <v>0</v>
      </c>
      <c r="K83" s="183">
        <f t="shared" si="4"/>
        <v>0</v>
      </c>
      <c r="L83" s="183">
        <f t="shared" si="5"/>
        <v>0</v>
      </c>
      <c r="M83" s="183">
        <f t="shared" si="6"/>
        <v>0</v>
      </c>
      <c r="N83" s="183">
        <f t="shared" si="99"/>
        <v>0</v>
      </c>
      <c r="O83" s="183">
        <f t="shared" ref="O83:Q83" si="104">G83+W83</f>
        <v>0</v>
      </c>
      <c r="P83" s="183">
        <f t="shared" si="104"/>
        <v>0</v>
      </c>
      <c r="Q83" s="183">
        <f t="shared" si="104"/>
        <v>0</v>
      </c>
      <c r="R83" s="183">
        <f t="shared" si="9"/>
        <v>0</v>
      </c>
      <c r="S83" s="183">
        <f t="shared" si="10"/>
        <v>0</v>
      </c>
      <c r="T83" s="183">
        <f t="shared" si="11"/>
        <v>0</v>
      </c>
      <c r="U83" s="186"/>
      <c r="V83" s="183">
        <f>IFERROR(__xludf.DUMMYFUNCTION("""COMPUTED_VALUE"""),0.0)</f>
        <v>0</v>
      </c>
      <c r="W83" s="183">
        <f>IFERROR(__xludf.DUMMYFUNCTION("""COMPUTED_VALUE"""),0.0)</f>
        <v>0</v>
      </c>
      <c r="X83" s="183">
        <f>IFERROR(__xludf.DUMMYFUNCTION("""COMPUTED_VALUE"""),0.0)</f>
        <v>0</v>
      </c>
      <c r="Y83" s="183">
        <f>IFERROR(__xludf.DUMMYFUNCTION("""COMPUTED_VALUE"""),0.0)</f>
        <v>0</v>
      </c>
      <c r="Z83" s="183">
        <f t="shared" si="12"/>
        <v>0</v>
      </c>
      <c r="AA83" s="183">
        <f t="shared" si="13"/>
        <v>0</v>
      </c>
      <c r="AB83" s="183">
        <f t="shared" si="14"/>
        <v>0</v>
      </c>
    </row>
    <row r="84" ht="14.25" customHeight="1">
      <c r="A84" s="175"/>
      <c r="B84" s="208" t="s">
        <v>826</v>
      </c>
      <c r="C84" s="181"/>
      <c r="D84" s="209" t="s">
        <v>827</v>
      </c>
      <c r="E84" s="183">
        <f>SUMIFS('DB WBS'!$J:$J,'DB WBS'!$A:$A,$D$4,'DB WBS'!$D:$D,AA$1,'DB WBS'!$B:$B,$E$3,'DB WBS'!$E:$E,$B84)</f>
        <v>0</v>
      </c>
      <c r="F84" s="183">
        <f>SUMIFS('DB WBS'!$J:$J,'DB WBS'!$A:$A,$D$4,'DB WBS'!$D:$D,AA$2,'DB WBS'!$B:$B,$E$3,'DB WBS'!$E:$E,$B84)</f>
        <v>0</v>
      </c>
      <c r="G84" s="184">
        <f>IFERROR(HLOOKUP($E$3,'Tahun Lalu'!$B$5:$V$158,MATCH(B84,'Tahun Lalu'!$B$5:$B$158,0),0),0)</f>
        <v>0</v>
      </c>
      <c r="H84" s="184">
        <v>0.0</v>
      </c>
      <c r="I84" s="184">
        <v>0.0</v>
      </c>
      <c r="J84" s="183">
        <f t="shared" si="3"/>
        <v>0</v>
      </c>
      <c r="K84" s="183">
        <f t="shared" si="4"/>
        <v>0</v>
      </c>
      <c r="L84" s="183">
        <f t="shared" si="5"/>
        <v>0</v>
      </c>
      <c r="M84" s="183">
        <f t="shared" si="6"/>
        <v>0</v>
      </c>
      <c r="N84" s="183">
        <f t="shared" si="99"/>
        <v>0</v>
      </c>
      <c r="O84" s="183">
        <f t="shared" ref="O84:Q84" si="105">G84+W84</f>
        <v>0</v>
      </c>
      <c r="P84" s="183">
        <f t="shared" si="105"/>
        <v>0</v>
      </c>
      <c r="Q84" s="183">
        <f t="shared" si="105"/>
        <v>0</v>
      </c>
      <c r="R84" s="183">
        <f t="shared" si="9"/>
        <v>0</v>
      </c>
      <c r="S84" s="183">
        <f t="shared" si="10"/>
        <v>0</v>
      </c>
      <c r="T84" s="183">
        <f t="shared" si="11"/>
        <v>0</v>
      </c>
      <c r="U84" s="186"/>
      <c r="V84" s="183">
        <f>IFERROR(__xludf.DUMMYFUNCTION("""COMPUTED_VALUE"""),0.0)</f>
        <v>0</v>
      </c>
      <c r="W84" s="183">
        <f>IFERROR(__xludf.DUMMYFUNCTION("""COMPUTED_VALUE"""),0.0)</f>
        <v>0</v>
      </c>
      <c r="X84" s="183">
        <f>IFERROR(__xludf.DUMMYFUNCTION("""COMPUTED_VALUE"""),0.0)</f>
        <v>0</v>
      </c>
      <c r="Y84" s="183">
        <f>IFERROR(__xludf.DUMMYFUNCTION("""COMPUTED_VALUE"""),0.0)</f>
        <v>0</v>
      </c>
      <c r="Z84" s="183">
        <f t="shared" si="12"/>
        <v>0</v>
      </c>
      <c r="AA84" s="183">
        <f t="shared" si="13"/>
        <v>0</v>
      </c>
      <c r="AB84" s="183">
        <f t="shared" si="14"/>
        <v>0</v>
      </c>
    </row>
    <row r="85" ht="14.25" customHeight="1">
      <c r="A85" s="175"/>
      <c r="B85" s="208" t="s">
        <v>828</v>
      </c>
      <c r="C85" s="181"/>
      <c r="D85" s="209" t="s">
        <v>829</v>
      </c>
      <c r="E85" s="183">
        <f>SUMIFS('DB WBS'!$J:$J,'DB WBS'!$A:$A,$D$4,'DB WBS'!$D:$D,AA$1,'DB WBS'!$B:$B,$E$3,'DB WBS'!$E:$E,$B85)</f>
        <v>0</v>
      </c>
      <c r="F85" s="183">
        <f>SUMIFS('DB WBS'!$J:$J,'DB WBS'!$A:$A,$D$4,'DB WBS'!$D:$D,AA$2,'DB WBS'!$B:$B,$E$3,'DB WBS'!$E:$E,$B85)</f>
        <v>0</v>
      </c>
      <c r="G85" s="184">
        <f>IFERROR(HLOOKUP($E$3,'Tahun Lalu'!$B$5:$V$158,MATCH(B85,'Tahun Lalu'!$B$5:$B$158,0),0),0)</f>
        <v>0</v>
      </c>
      <c r="H85" s="184">
        <v>0.0</v>
      </c>
      <c r="I85" s="184">
        <v>0.0</v>
      </c>
      <c r="J85" s="183">
        <f t="shared" si="3"/>
        <v>0</v>
      </c>
      <c r="K85" s="183">
        <f t="shared" si="4"/>
        <v>0</v>
      </c>
      <c r="L85" s="183">
        <f t="shared" si="5"/>
        <v>0</v>
      </c>
      <c r="M85" s="183">
        <f t="shared" si="6"/>
        <v>0</v>
      </c>
      <c r="N85" s="183">
        <f t="shared" si="99"/>
        <v>0</v>
      </c>
      <c r="O85" s="183">
        <f t="shared" ref="O85:Q85" si="106">G85+W85</f>
        <v>0</v>
      </c>
      <c r="P85" s="183">
        <f t="shared" si="106"/>
        <v>0</v>
      </c>
      <c r="Q85" s="183">
        <f t="shared" si="106"/>
        <v>0</v>
      </c>
      <c r="R85" s="183">
        <f t="shared" si="9"/>
        <v>0</v>
      </c>
      <c r="S85" s="183">
        <f t="shared" si="10"/>
        <v>0</v>
      </c>
      <c r="T85" s="183">
        <f t="shared" si="11"/>
        <v>0</v>
      </c>
      <c r="U85" s="186"/>
      <c r="V85" s="183">
        <f>IFERROR(__xludf.DUMMYFUNCTION("""COMPUTED_VALUE"""),0.0)</f>
        <v>0</v>
      </c>
      <c r="W85" s="183">
        <f>IFERROR(__xludf.DUMMYFUNCTION("""COMPUTED_VALUE"""),0.0)</f>
        <v>0</v>
      </c>
      <c r="X85" s="183">
        <f>IFERROR(__xludf.DUMMYFUNCTION("""COMPUTED_VALUE"""),0.0)</f>
        <v>0</v>
      </c>
      <c r="Y85" s="183">
        <f>IFERROR(__xludf.DUMMYFUNCTION("""COMPUTED_VALUE"""),0.0)</f>
        <v>0</v>
      </c>
      <c r="Z85" s="183">
        <f t="shared" si="12"/>
        <v>0</v>
      </c>
      <c r="AA85" s="183">
        <f t="shared" si="13"/>
        <v>0</v>
      </c>
      <c r="AB85" s="183">
        <f t="shared" si="14"/>
        <v>0</v>
      </c>
    </row>
    <row r="86" ht="14.25" customHeight="1">
      <c r="A86" s="175"/>
      <c r="B86" s="208" t="s">
        <v>51</v>
      </c>
      <c r="C86" s="181"/>
      <c r="D86" s="209" t="s">
        <v>52</v>
      </c>
      <c r="E86" s="183">
        <f>SUMIFS('DB WBS'!$J:$J,'DB WBS'!$A:$A,$D$4,'DB WBS'!$D:$D,AA$1,'DB WBS'!$B:$B,$E$3,'DB WBS'!$E:$E,$B86)</f>
        <v>0</v>
      </c>
      <c r="F86" s="183">
        <f>SUMIFS('DB WBS'!$J:$J,'DB WBS'!$A:$A,$D$4,'DB WBS'!$D:$D,AA$2,'DB WBS'!$B:$B,$E$3,'DB WBS'!$E:$E,$B86)</f>
        <v>0</v>
      </c>
      <c r="G86" s="184">
        <f>IFERROR(HLOOKUP($E$3,'Tahun Lalu'!$B$5:$V$158,MATCH(B86,'Tahun Lalu'!$B$5:$B$158,0),0),0)</f>
        <v>0</v>
      </c>
      <c r="H86" s="184">
        <v>0.0</v>
      </c>
      <c r="I86" s="184">
        <v>0.0</v>
      </c>
      <c r="J86" s="183">
        <f t="shared" si="3"/>
        <v>0</v>
      </c>
      <c r="K86" s="183">
        <f t="shared" si="4"/>
        <v>0</v>
      </c>
      <c r="L86" s="183">
        <f t="shared" si="5"/>
        <v>0</v>
      </c>
      <c r="M86" s="183">
        <f t="shared" si="6"/>
        <v>0</v>
      </c>
      <c r="N86" s="183">
        <f t="shared" si="99"/>
        <v>0</v>
      </c>
      <c r="O86" s="183">
        <f t="shared" ref="O86:Q86" si="107">G86+W86</f>
        <v>0</v>
      </c>
      <c r="P86" s="183">
        <f t="shared" si="107"/>
        <v>0</v>
      </c>
      <c r="Q86" s="183">
        <f t="shared" si="107"/>
        <v>0</v>
      </c>
      <c r="R86" s="183">
        <f t="shared" si="9"/>
        <v>0</v>
      </c>
      <c r="S86" s="183">
        <f t="shared" si="10"/>
        <v>0</v>
      </c>
      <c r="T86" s="183">
        <f t="shared" si="11"/>
        <v>0</v>
      </c>
      <c r="U86" s="186"/>
      <c r="V86" s="183">
        <f>IFERROR(__xludf.DUMMYFUNCTION("""COMPUTED_VALUE"""),0.0)</f>
        <v>0</v>
      </c>
      <c r="W86" s="183">
        <f>IFERROR(__xludf.DUMMYFUNCTION("""COMPUTED_VALUE"""),0.0)</f>
        <v>0</v>
      </c>
      <c r="X86" s="183">
        <f>IFERROR(__xludf.DUMMYFUNCTION("""COMPUTED_VALUE"""),0.0)</f>
        <v>0</v>
      </c>
      <c r="Y86" s="183">
        <f>IFERROR(__xludf.DUMMYFUNCTION("""COMPUTED_VALUE"""),0.0)</f>
        <v>0</v>
      </c>
      <c r="Z86" s="183">
        <f t="shared" si="12"/>
        <v>0</v>
      </c>
      <c r="AA86" s="183">
        <f t="shared" si="13"/>
        <v>0</v>
      </c>
      <c r="AB86" s="183">
        <f t="shared" si="14"/>
        <v>0</v>
      </c>
    </row>
    <row r="87" ht="14.25" customHeight="1">
      <c r="A87" s="175"/>
      <c r="B87" s="208" t="s">
        <v>830</v>
      </c>
      <c r="C87" s="181"/>
      <c r="D87" s="209" t="s">
        <v>831</v>
      </c>
      <c r="E87" s="183">
        <f>SUMIFS('DB WBS'!$J:$J,'DB WBS'!$A:$A,$D$4,'DB WBS'!$D:$D,AA$1,'DB WBS'!$B:$B,$E$3,'DB WBS'!$E:$E,$B87)</f>
        <v>0</v>
      </c>
      <c r="F87" s="183">
        <f>SUMIFS('DB WBS'!$J:$J,'DB WBS'!$A:$A,$D$4,'DB WBS'!$D:$D,AA$2,'DB WBS'!$B:$B,$E$3,'DB WBS'!$E:$E,$B87)</f>
        <v>0</v>
      </c>
      <c r="G87" s="184">
        <f>IFERROR(HLOOKUP($E$3,'Tahun Lalu'!$B$5:$V$158,MATCH(B87,'Tahun Lalu'!$B$5:$B$158,0),0),0)</f>
        <v>0</v>
      </c>
      <c r="H87" s="184">
        <v>0.0</v>
      </c>
      <c r="I87" s="184">
        <v>0.0</v>
      </c>
      <c r="J87" s="183">
        <f t="shared" si="3"/>
        <v>0</v>
      </c>
      <c r="K87" s="183">
        <f t="shared" si="4"/>
        <v>0</v>
      </c>
      <c r="L87" s="183">
        <f t="shared" si="5"/>
        <v>0</v>
      </c>
      <c r="M87" s="183">
        <f t="shared" si="6"/>
        <v>0</v>
      </c>
      <c r="N87" s="183">
        <f t="shared" si="99"/>
        <v>0</v>
      </c>
      <c r="O87" s="183">
        <f t="shared" ref="O87:Q87" si="108">G87+W87</f>
        <v>0</v>
      </c>
      <c r="P87" s="183">
        <f t="shared" si="108"/>
        <v>0</v>
      </c>
      <c r="Q87" s="183">
        <f t="shared" si="108"/>
        <v>0</v>
      </c>
      <c r="R87" s="183">
        <f t="shared" si="9"/>
        <v>0</v>
      </c>
      <c r="S87" s="183">
        <f t="shared" si="10"/>
        <v>0</v>
      </c>
      <c r="T87" s="183">
        <f t="shared" si="11"/>
        <v>0</v>
      </c>
      <c r="U87" s="186"/>
      <c r="V87" s="183">
        <f>IFERROR(__xludf.DUMMYFUNCTION("""COMPUTED_VALUE"""),0.0)</f>
        <v>0</v>
      </c>
      <c r="W87" s="183">
        <f>IFERROR(__xludf.DUMMYFUNCTION("""COMPUTED_VALUE"""),0.0)</f>
        <v>0</v>
      </c>
      <c r="X87" s="183">
        <f>IFERROR(__xludf.DUMMYFUNCTION("""COMPUTED_VALUE"""),0.0)</f>
        <v>0</v>
      </c>
      <c r="Y87" s="183">
        <f>IFERROR(__xludf.DUMMYFUNCTION("""COMPUTED_VALUE"""),0.0)</f>
        <v>0</v>
      </c>
      <c r="Z87" s="183">
        <f t="shared" si="12"/>
        <v>0</v>
      </c>
      <c r="AA87" s="183">
        <f t="shared" si="13"/>
        <v>0</v>
      </c>
      <c r="AB87" s="183">
        <f t="shared" si="14"/>
        <v>0</v>
      </c>
    </row>
    <row r="88" ht="14.25" customHeight="1">
      <c r="A88" s="175"/>
      <c r="B88" s="208" t="s">
        <v>832</v>
      </c>
      <c r="C88" s="181"/>
      <c r="D88" s="209" t="s">
        <v>833</v>
      </c>
      <c r="E88" s="183">
        <f>SUMIFS('DB WBS'!$J:$J,'DB WBS'!$A:$A,$D$4,'DB WBS'!$D:$D,AA$1,'DB WBS'!$B:$B,$E$3,'DB WBS'!$E:$E,$B88)</f>
        <v>0</v>
      </c>
      <c r="F88" s="183">
        <f>SUMIFS('DB WBS'!$J:$J,'DB WBS'!$A:$A,$D$4,'DB WBS'!$D:$D,AA$2,'DB WBS'!$B:$B,$E$3,'DB WBS'!$E:$E,$B88)</f>
        <v>0</v>
      </c>
      <c r="G88" s="184">
        <f>IFERROR(HLOOKUP($E$3,'Tahun Lalu'!$B$5:$V$158,MATCH(B88,'Tahun Lalu'!$B$5:$B$158,0),0),0)</f>
        <v>0</v>
      </c>
      <c r="H88" s="184">
        <v>0.0</v>
      </c>
      <c r="I88" s="184">
        <v>0.0</v>
      </c>
      <c r="J88" s="183">
        <f t="shared" si="3"/>
        <v>0</v>
      </c>
      <c r="K88" s="183">
        <f t="shared" si="4"/>
        <v>0</v>
      </c>
      <c r="L88" s="183">
        <f t="shared" si="5"/>
        <v>0</v>
      </c>
      <c r="M88" s="183">
        <f t="shared" si="6"/>
        <v>0</v>
      </c>
      <c r="N88" s="183">
        <f t="shared" si="99"/>
        <v>0</v>
      </c>
      <c r="O88" s="183">
        <f t="shared" ref="O88:Q88" si="109">G88+W88</f>
        <v>0</v>
      </c>
      <c r="P88" s="183">
        <f t="shared" si="109"/>
        <v>0</v>
      </c>
      <c r="Q88" s="183">
        <f t="shared" si="109"/>
        <v>0</v>
      </c>
      <c r="R88" s="183">
        <f t="shared" si="9"/>
        <v>0</v>
      </c>
      <c r="S88" s="183">
        <f t="shared" si="10"/>
        <v>0</v>
      </c>
      <c r="T88" s="183">
        <f t="shared" si="11"/>
        <v>0</v>
      </c>
      <c r="U88" s="186"/>
      <c r="V88" s="183">
        <f>IFERROR(__xludf.DUMMYFUNCTION("""COMPUTED_VALUE"""),0.0)</f>
        <v>0</v>
      </c>
      <c r="W88" s="183">
        <f>IFERROR(__xludf.DUMMYFUNCTION("""COMPUTED_VALUE"""),0.0)</f>
        <v>0</v>
      </c>
      <c r="X88" s="183">
        <f>IFERROR(__xludf.DUMMYFUNCTION("""COMPUTED_VALUE"""),0.0)</f>
        <v>0</v>
      </c>
      <c r="Y88" s="183">
        <f>IFERROR(__xludf.DUMMYFUNCTION("""COMPUTED_VALUE"""),0.0)</f>
        <v>0</v>
      </c>
      <c r="Z88" s="183">
        <f t="shared" si="12"/>
        <v>0</v>
      </c>
      <c r="AA88" s="183">
        <f t="shared" si="13"/>
        <v>0</v>
      </c>
      <c r="AB88" s="183">
        <f t="shared" si="14"/>
        <v>0</v>
      </c>
    </row>
    <row r="89" ht="14.25" customHeight="1">
      <c r="A89" s="175"/>
      <c r="B89" s="208" t="s">
        <v>834</v>
      </c>
      <c r="C89" s="181"/>
      <c r="D89" s="209" t="s">
        <v>835</v>
      </c>
      <c r="E89" s="183">
        <f>SUMIFS('DB WBS'!$J:$J,'DB WBS'!$A:$A,$D$4,'DB WBS'!$D:$D,AA$1,'DB WBS'!$B:$B,$E$3,'DB WBS'!$E:$E,$B89)</f>
        <v>0</v>
      </c>
      <c r="F89" s="183">
        <f>SUMIFS('DB WBS'!$J:$J,'DB WBS'!$A:$A,$D$4,'DB WBS'!$D:$D,AA$2,'DB WBS'!$B:$B,$E$3,'DB WBS'!$E:$E,$B89)</f>
        <v>0</v>
      </c>
      <c r="G89" s="184">
        <f>IFERROR(HLOOKUP($E$3,'Tahun Lalu'!$B$5:$V$158,MATCH(B89,'Tahun Lalu'!$B$5:$B$158,0),0),0)</f>
        <v>0</v>
      </c>
      <c r="H89" s="184">
        <v>0.0</v>
      </c>
      <c r="I89" s="184">
        <v>0.0</v>
      </c>
      <c r="J89" s="183">
        <f t="shared" si="3"/>
        <v>0</v>
      </c>
      <c r="K89" s="183">
        <f t="shared" si="4"/>
        <v>0</v>
      </c>
      <c r="L89" s="183">
        <f t="shared" si="5"/>
        <v>0</v>
      </c>
      <c r="M89" s="183">
        <f t="shared" si="6"/>
        <v>0</v>
      </c>
      <c r="N89" s="183">
        <f t="shared" si="99"/>
        <v>0</v>
      </c>
      <c r="O89" s="183">
        <f t="shared" ref="O89:Q89" si="110">G89+W89</f>
        <v>0</v>
      </c>
      <c r="P89" s="183">
        <f t="shared" si="110"/>
        <v>0</v>
      </c>
      <c r="Q89" s="183">
        <f t="shared" si="110"/>
        <v>0</v>
      </c>
      <c r="R89" s="183">
        <f t="shared" si="9"/>
        <v>0</v>
      </c>
      <c r="S89" s="183">
        <f t="shared" si="10"/>
        <v>0</v>
      </c>
      <c r="T89" s="183">
        <f t="shared" si="11"/>
        <v>0</v>
      </c>
      <c r="U89" s="186"/>
      <c r="V89" s="183">
        <f>IFERROR(__xludf.DUMMYFUNCTION("""COMPUTED_VALUE"""),0.0)</f>
        <v>0</v>
      </c>
      <c r="W89" s="183">
        <f>IFERROR(__xludf.DUMMYFUNCTION("""COMPUTED_VALUE"""),0.0)</f>
        <v>0</v>
      </c>
      <c r="X89" s="183">
        <f>IFERROR(__xludf.DUMMYFUNCTION("""COMPUTED_VALUE"""),0.0)</f>
        <v>0</v>
      </c>
      <c r="Y89" s="183">
        <f>IFERROR(__xludf.DUMMYFUNCTION("""COMPUTED_VALUE"""),0.0)</f>
        <v>0</v>
      </c>
      <c r="Z89" s="183">
        <f t="shared" si="12"/>
        <v>0</v>
      </c>
      <c r="AA89" s="183">
        <f t="shared" si="13"/>
        <v>0</v>
      </c>
      <c r="AB89" s="183">
        <f t="shared" si="14"/>
        <v>0</v>
      </c>
    </row>
    <row r="90" ht="14.25" customHeight="1">
      <c r="A90" s="175"/>
      <c r="B90" s="208" t="s">
        <v>836</v>
      </c>
      <c r="C90" s="181"/>
      <c r="D90" s="209" t="s">
        <v>837</v>
      </c>
      <c r="E90" s="183">
        <f>SUMIFS('DB WBS'!$J:$J,'DB WBS'!$A:$A,$D$4,'DB WBS'!$D:$D,AA$1,'DB WBS'!$B:$B,$E$3,'DB WBS'!$E:$E,$B90)</f>
        <v>0</v>
      </c>
      <c r="F90" s="183">
        <f>SUMIFS('DB WBS'!$J:$J,'DB WBS'!$A:$A,$D$4,'DB WBS'!$D:$D,AA$2,'DB WBS'!$B:$B,$E$3,'DB WBS'!$E:$E,$B90)</f>
        <v>0</v>
      </c>
      <c r="G90" s="184">
        <f>IFERROR(HLOOKUP($E$3,'Tahun Lalu'!$B$5:$V$158,MATCH(B90,'Tahun Lalu'!$B$5:$B$158,0),0),0)</f>
        <v>0</v>
      </c>
      <c r="H90" s="184">
        <v>0.0</v>
      </c>
      <c r="I90" s="184">
        <v>0.0</v>
      </c>
      <c r="J90" s="183">
        <f t="shared" si="3"/>
        <v>0</v>
      </c>
      <c r="K90" s="183">
        <f t="shared" si="4"/>
        <v>0</v>
      </c>
      <c r="L90" s="183">
        <f t="shared" si="5"/>
        <v>0</v>
      </c>
      <c r="M90" s="183">
        <f t="shared" si="6"/>
        <v>0</v>
      </c>
      <c r="N90" s="183">
        <f t="shared" si="99"/>
        <v>0</v>
      </c>
      <c r="O90" s="183">
        <f t="shared" ref="O90:Q90" si="111">G90+W90</f>
        <v>0</v>
      </c>
      <c r="P90" s="183">
        <f t="shared" si="111"/>
        <v>0</v>
      </c>
      <c r="Q90" s="183">
        <f t="shared" si="111"/>
        <v>0</v>
      </c>
      <c r="R90" s="183">
        <f t="shared" si="9"/>
        <v>0</v>
      </c>
      <c r="S90" s="183">
        <f t="shared" si="10"/>
        <v>0</v>
      </c>
      <c r="T90" s="183">
        <f t="shared" si="11"/>
        <v>0</v>
      </c>
      <c r="U90" s="186"/>
      <c r="V90" s="183">
        <f>IFERROR(__xludf.DUMMYFUNCTION("""COMPUTED_VALUE"""),0.0)</f>
        <v>0</v>
      </c>
      <c r="W90" s="183">
        <f>IFERROR(__xludf.DUMMYFUNCTION("""COMPUTED_VALUE"""),0.0)</f>
        <v>0</v>
      </c>
      <c r="X90" s="183">
        <f>IFERROR(__xludf.DUMMYFUNCTION("""COMPUTED_VALUE"""),0.0)</f>
        <v>0</v>
      </c>
      <c r="Y90" s="183">
        <f>IFERROR(__xludf.DUMMYFUNCTION("""COMPUTED_VALUE"""),0.0)</f>
        <v>0</v>
      </c>
      <c r="Z90" s="183">
        <f t="shared" si="12"/>
        <v>0</v>
      </c>
      <c r="AA90" s="183">
        <f t="shared" si="13"/>
        <v>0</v>
      </c>
      <c r="AB90" s="183">
        <f t="shared" si="14"/>
        <v>0</v>
      </c>
    </row>
    <row r="91" ht="14.25" customHeight="1">
      <c r="A91" s="175"/>
      <c r="B91" s="191" t="s">
        <v>838</v>
      </c>
      <c r="C91" s="199"/>
      <c r="D91" s="200"/>
      <c r="E91" s="201">
        <f t="shared" ref="E91:I91" si="112">SUM(E78:E90)</f>
        <v>68056858</v>
      </c>
      <c r="F91" s="201">
        <f t="shared" si="112"/>
        <v>49866411</v>
      </c>
      <c r="G91" s="201">
        <f t="shared" si="112"/>
        <v>186732056</v>
      </c>
      <c r="H91" s="201">
        <f t="shared" si="112"/>
        <v>0</v>
      </c>
      <c r="I91" s="201">
        <f t="shared" si="112"/>
        <v>0</v>
      </c>
      <c r="J91" s="201">
        <f t="shared" si="3"/>
        <v>136.4783561</v>
      </c>
      <c r="K91" s="201">
        <f t="shared" si="4"/>
        <v>36.44626395</v>
      </c>
      <c r="L91" s="201">
        <f t="shared" si="5"/>
        <v>0</v>
      </c>
      <c r="M91" s="201">
        <f t="shared" si="6"/>
        <v>0</v>
      </c>
      <c r="N91" s="201">
        <f t="shared" ref="N91:Q91" si="113">SUM(N78:N90)</f>
        <v>295416909</v>
      </c>
      <c r="O91" s="201">
        <f t="shared" si="113"/>
        <v>931786726</v>
      </c>
      <c r="P91" s="201">
        <f t="shared" si="113"/>
        <v>0</v>
      </c>
      <c r="Q91" s="201">
        <f t="shared" si="113"/>
        <v>0</v>
      </c>
      <c r="R91" s="201">
        <f t="shared" si="9"/>
        <v>31.7043483</v>
      </c>
      <c r="S91" s="201">
        <f t="shared" si="10"/>
        <v>0</v>
      </c>
      <c r="T91" s="201">
        <f t="shared" si="11"/>
        <v>0</v>
      </c>
      <c r="U91" s="202"/>
      <c r="V91" s="201">
        <f>IFERROR(__xludf.DUMMYFUNCTION("""COMPUTED_VALUE"""),2.27360051E8)</f>
        <v>227360051</v>
      </c>
      <c r="W91" s="201">
        <f>IFERROR(__xludf.DUMMYFUNCTION("""COMPUTED_VALUE"""),7.4505467E8)</f>
        <v>745054670</v>
      </c>
      <c r="X91" s="201">
        <f>IFERROR(__xludf.DUMMYFUNCTION("""COMPUTED_VALUE"""),0.0)</f>
        <v>0</v>
      </c>
      <c r="Y91" s="201">
        <f>IFERROR(__xludf.DUMMYFUNCTION("""COMPUTED_VALUE"""),0.0)</f>
        <v>0</v>
      </c>
      <c r="Z91" s="201">
        <f t="shared" si="12"/>
        <v>30.51588832</v>
      </c>
      <c r="AA91" s="201">
        <f t="shared" si="13"/>
        <v>0</v>
      </c>
      <c r="AB91" s="201">
        <f t="shared" si="14"/>
        <v>0</v>
      </c>
    </row>
    <row r="92" ht="14.25" customHeight="1">
      <c r="A92" s="175"/>
      <c r="B92" s="208"/>
      <c r="C92" s="181"/>
      <c r="D92" s="209" t="s">
        <v>839</v>
      </c>
      <c r="E92" s="183">
        <f>SUMIFS('DB WBS'!$J:$J,'DB WBS'!$A:$A,$D$4,'DB WBS'!$D:$D,AA$1,'DB WBS'!$B:$B,$E$3,'DB WBS'!$E:$E,$B92)</f>
        <v>0</v>
      </c>
      <c r="F92" s="183">
        <f>SUMIFS('DB WBS'!$J:$J,'DB WBS'!$A:$A,$D$4,'DB WBS'!$D:$D,AA$2,'DB WBS'!$B:$B,$E$3,'DB WBS'!$E:$E,$B92)</f>
        <v>0</v>
      </c>
      <c r="G92" s="184">
        <f>IFERROR(HLOOKUP($E$3,'Tahun Lalu'!$B$5:$V$158,MATCH(B92,'Tahun Lalu'!$B$5:$B$158,0),0),0)</f>
        <v>0</v>
      </c>
      <c r="H92" s="184">
        <v>0.0</v>
      </c>
      <c r="I92" s="184">
        <v>0.0</v>
      </c>
      <c r="J92" s="183">
        <f t="shared" si="3"/>
        <v>0</v>
      </c>
      <c r="K92" s="183">
        <f t="shared" si="4"/>
        <v>0</v>
      </c>
      <c r="L92" s="183">
        <f t="shared" si="5"/>
        <v>0</v>
      </c>
      <c r="M92" s="183">
        <f t="shared" si="6"/>
        <v>0</v>
      </c>
      <c r="N92" s="183">
        <f t="shared" ref="N92:N96" si="115">E92+V92</f>
        <v>0</v>
      </c>
      <c r="O92" s="183">
        <f t="shared" ref="O92:Q92" si="114">G92+W92</f>
        <v>0</v>
      </c>
      <c r="P92" s="183">
        <f t="shared" si="114"/>
        <v>0</v>
      </c>
      <c r="Q92" s="183">
        <f t="shared" si="114"/>
        <v>0</v>
      </c>
      <c r="R92" s="183">
        <f t="shared" si="9"/>
        <v>0</v>
      </c>
      <c r="S92" s="183">
        <f t="shared" si="10"/>
        <v>0</v>
      </c>
      <c r="T92" s="183">
        <f t="shared" si="11"/>
        <v>0</v>
      </c>
      <c r="U92" s="186"/>
      <c r="V92" s="183">
        <f>IFERROR(__xludf.DUMMYFUNCTION("""COMPUTED_VALUE"""),0.0)</f>
        <v>0</v>
      </c>
      <c r="W92" s="183">
        <f>IFERROR(__xludf.DUMMYFUNCTION("""COMPUTED_VALUE"""),0.0)</f>
        <v>0</v>
      </c>
      <c r="X92" s="183">
        <f>IFERROR(__xludf.DUMMYFUNCTION("""COMPUTED_VALUE"""),0.0)</f>
        <v>0</v>
      </c>
      <c r="Y92" s="183">
        <f>IFERROR(__xludf.DUMMYFUNCTION("""COMPUTED_VALUE"""),0.0)</f>
        <v>0</v>
      </c>
      <c r="Z92" s="183">
        <f t="shared" si="12"/>
        <v>0</v>
      </c>
      <c r="AA92" s="183">
        <f t="shared" si="13"/>
        <v>0</v>
      </c>
      <c r="AB92" s="183">
        <f t="shared" si="14"/>
        <v>0</v>
      </c>
    </row>
    <row r="93" ht="14.25" customHeight="1">
      <c r="A93" s="175"/>
      <c r="B93" s="208"/>
      <c r="C93" s="181"/>
      <c r="D93" s="209" t="s">
        <v>840</v>
      </c>
      <c r="E93" s="183">
        <f>SUMIFS('DB WBS'!$J:$J,'DB WBS'!$A:$A,$D$4,'DB WBS'!$D:$D,AA$1,'DB WBS'!$B:$B,$E$3,'DB WBS'!$E:$E,$B93)</f>
        <v>0</v>
      </c>
      <c r="F93" s="183">
        <f>SUMIFS('DB WBS'!$J:$J,'DB WBS'!$A:$A,$D$4,'DB WBS'!$D:$D,AA$2,'DB WBS'!$B:$B,$E$3,'DB WBS'!$E:$E,$B93)</f>
        <v>0</v>
      </c>
      <c r="G93" s="184">
        <f>IFERROR(HLOOKUP($E$3,'Tahun Lalu'!$B$5:$V$158,MATCH(B93,'Tahun Lalu'!$B$5:$B$158,0),0),0)</f>
        <v>0</v>
      </c>
      <c r="H93" s="184">
        <v>0.0</v>
      </c>
      <c r="I93" s="184">
        <v>0.0</v>
      </c>
      <c r="J93" s="183">
        <f t="shared" si="3"/>
        <v>0</v>
      </c>
      <c r="K93" s="183">
        <f t="shared" si="4"/>
        <v>0</v>
      </c>
      <c r="L93" s="183">
        <f t="shared" si="5"/>
        <v>0</v>
      </c>
      <c r="M93" s="183">
        <f t="shared" si="6"/>
        <v>0</v>
      </c>
      <c r="N93" s="183">
        <f t="shared" si="115"/>
        <v>0</v>
      </c>
      <c r="O93" s="183">
        <f t="shared" ref="O93:Q93" si="116">G93+W93</f>
        <v>0</v>
      </c>
      <c r="P93" s="183">
        <f t="shared" si="116"/>
        <v>0</v>
      </c>
      <c r="Q93" s="183">
        <f t="shared" si="116"/>
        <v>0</v>
      </c>
      <c r="R93" s="183">
        <f t="shared" si="9"/>
        <v>0</v>
      </c>
      <c r="S93" s="183">
        <f t="shared" si="10"/>
        <v>0</v>
      </c>
      <c r="T93" s="183">
        <f t="shared" si="11"/>
        <v>0</v>
      </c>
      <c r="U93" s="186"/>
      <c r="V93" s="183">
        <f>IFERROR(__xludf.DUMMYFUNCTION("""COMPUTED_VALUE"""),0.0)</f>
        <v>0</v>
      </c>
      <c r="W93" s="183">
        <f>IFERROR(__xludf.DUMMYFUNCTION("""COMPUTED_VALUE"""),0.0)</f>
        <v>0</v>
      </c>
      <c r="X93" s="183">
        <f>IFERROR(__xludf.DUMMYFUNCTION("""COMPUTED_VALUE"""),0.0)</f>
        <v>0</v>
      </c>
      <c r="Y93" s="183">
        <f>IFERROR(__xludf.DUMMYFUNCTION("""COMPUTED_VALUE"""),0.0)</f>
        <v>0</v>
      </c>
      <c r="Z93" s="183">
        <f t="shared" si="12"/>
        <v>0</v>
      </c>
      <c r="AA93" s="183">
        <f t="shared" si="13"/>
        <v>0</v>
      </c>
      <c r="AB93" s="183">
        <f t="shared" si="14"/>
        <v>0</v>
      </c>
    </row>
    <row r="94" ht="14.25" customHeight="1">
      <c r="A94" s="175"/>
      <c r="B94" s="208"/>
      <c r="C94" s="181"/>
      <c r="D94" s="209" t="s">
        <v>841</v>
      </c>
      <c r="E94" s="183">
        <f>SUMIFS('DB WBS'!$J:$J,'DB WBS'!$A:$A,$D$4,'DB WBS'!$D:$D,AA$1,'DB WBS'!$B:$B,$E$3,'DB WBS'!$E:$E,$B94)</f>
        <v>0</v>
      </c>
      <c r="F94" s="183">
        <f>SUMIFS('DB WBS'!$J:$J,'DB WBS'!$A:$A,$D$4,'DB WBS'!$D:$D,AA$2,'DB WBS'!$B:$B,$E$3,'DB WBS'!$E:$E,$B94)</f>
        <v>0</v>
      </c>
      <c r="G94" s="184">
        <f>IFERROR(HLOOKUP($E$3,'Tahun Lalu'!$B$5:$V$158,MATCH(B94,'Tahun Lalu'!$B$5:$B$158,0),0),0)</f>
        <v>0</v>
      </c>
      <c r="H94" s="184">
        <v>0.0</v>
      </c>
      <c r="I94" s="184">
        <v>0.0</v>
      </c>
      <c r="J94" s="183">
        <f t="shared" si="3"/>
        <v>0</v>
      </c>
      <c r="K94" s="183">
        <f t="shared" si="4"/>
        <v>0</v>
      </c>
      <c r="L94" s="183">
        <f t="shared" si="5"/>
        <v>0</v>
      </c>
      <c r="M94" s="183">
        <f t="shared" si="6"/>
        <v>0</v>
      </c>
      <c r="N94" s="183">
        <f t="shared" si="115"/>
        <v>0</v>
      </c>
      <c r="O94" s="183">
        <f t="shared" ref="O94:Q94" si="117">G94+W94</f>
        <v>0</v>
      </c>
      <c r="P94" s="183">
        <f t="shared" si="117"/>
        <v>0</v>
      </c>
      <c r="Q94" s="183">
        <f t="shared" si="117"/>
        <v>0</v>
      </c>
      <c r="R94" s="183">
        <f t="shared" si="9"/>
        <v>0</v>
      </c>
      <c r="S94" s="183">
        <f t="shared" si="10"/>
        <v>0</v>
      </c>
      <c r="T94" s="183">
        <f t="shared" si="11"/>
        <v>0</v>
      </c>
      <c r="U94" s="186"/>
      <c r="V94" s="183">
        <f>IFERROR(__xludf.DUMMYFUNCTION("""COMPUTED_VALUE"""),0.0)</f>
        <v>0</v>
      </c>
      <c r="W94" s="183">
        <f>IFERROR(__xludf.DUMMYFUNCTION("""COMPUTED_VALUE"""),0.0)</f>
        <v>0</v>
      </c>
      <c r="X94" s="183">
        <f>IFERROR(__xludf.DUMMYFUNCTION("""COMPUTED_VALUE"""),0.0)</f>
        <v>0</v>
      </c>
      <c r="Y94" s="183">
        <f>IFERROR(__xludf.DUMMYFUNCTION("""COMPUTED_VALUE"""),0.0)</f>
        <v>0</v>
      </c>
      <c r="Z94" s="183">
        <f t="shared" si="12"/>
        <v>0</v>
      </c>
      <c r="AA94" s="183">
        <f t="shared" si="13"/>
        <v>0</v>
      </c>
      <c r="AB94" s="183">
        <f t="shared" si="14"/>
        <v>0</v>
      </c>
    </row>
    <row r="95" ht="14.25" customHeight="1">
      <c r="A95" s="175"/>
      <c r="B95" s="208"/>
      <c r="C95" s="181"/>
      <c r="D95" s="209" t="s">
        <v>842</v>
      </c>
      <c r="E95" s="183">
        <f>SUMIFS('DB WBS'!$J:$J,'DB WBS'!$A:$A,$D$4,'DB WBS'!$D:$D,AA$1,'DB WBS'!$B:$B,$E$3,'DB WBS'!$E:$E,$B95)</f>
        <v>0</v>
      </c>
      <c r="F95" s="183">
        <f>SUMIFS('DB WBS'!$J:$J,'DB WBS'!$A:$A,$D$4,'DB WBS'!$D:$D,AA$2,'DB WBS'!$B:$B,$E$3,'DB WBS'!$E:$E,$B95)</f>
        <v>0</v>
      </c>
      <c r="G95" s="184">
        <f>IFERROR(HLOOKUP($E$3,'Tahun Lalu'!$B$5:$V$158,MATCH(B95,'Tahun Lalu'!$B$5:$B$158,0),0),0)</f>
        <v>0</v>
      </c>
      <c r="H95" s="184">
        <v>0.0</v>
      </c>
      <c r="I95" s="184">
        <v>0.0</v>
      </c>
      <c r="J95" s="183">
        <f t="shared" si="3"/>
        <v>0</v>
      </c>
      <c r="K95" s="183">
        <f t="shared" si="4"/>
        <v>0</v>
      </c>
      <c r="L95" s="183">
        <f t="shared" si="5"/>
        <v>0</v>
      </c>
      <c r="M95" s="183">
        <f t="shared" si="6"/>
        <v>0</v>
      </c>
      <c r="N95" s="183">
        <f t="shared" si="115"/>
        <v>0</v>
      </c>
      <c r="O95" s="183">
        <f t="shared" ref="O95:Q95" si="118">G95+W95</f>
        <v>0</v>
      </c>
      <c r="P95" s="183">
        <f t="shared" si="118"/>
        <v>0</v>
      </c>
      <c r="Q95" s="183">
        <f t="shared" si="118"/>
        <v>0</v>
      </c>
      <c r="R95" s="183">
        <f t="shared" si="9"/>
        <v>0</v>
      </c>
      <c r="S95" s="183">
        <f t="shared" si="10"/>
        <v>0</v>
      </c>
      <c r="T95" s="183">
        <f t="shared" si="11"/>
        <v>0</v>
      </c>
      <c r="U95" s="186"/>
      <c r="V95" s="183">
        <f>IFERROR(__xludf.DUMMYFUNCTION("""COMPUTED_VALUE"""),0.0)</f>
        <v>0</v>
      </c>
      <c r="W95" s="183">
        <f>IFERROR(__xludf.DUMMYFUNCTION("""COMPUTED_VALUE"""),0.0)</f>
        <v>0</v>
      </c>
      <c r="X95" s="183">
        <f>IFERROR(__xludf.DUMMYFUNCTION("""COMPUTED_VALUE"""),0.0)</f>
        <v>0</v>
      </c>
      <c r="Y95" s="183">
        <f>IFERROR(__xludf.DUMMYFUNCTION("""COMPUTED_VALUE"""),0.0)</f>
        <v>0</v>
      </c>
      <c r="Z95" s="183">
        <f t="shared" si="12"/>
        <v>0</v>
      </c>
      <c r="AA95" s="183">
        <f t="shared" si="13"/>
        <v>0</v>
      </c>
      <c r="AB95" s="183">
        <f t="shared" si="14"/>
        <v>0</v>
      </c>
    </row>
    <row r="96" ht="14.25" customHeight="1">
      <c r="A96" s="175"/>
      <c r="B96" s="211"/>
      <c r="C96" s="177"/>
      <c r="D96" s="182"/>
      <c r="E96" s="183">
        <f>SUMIFS('DB WBS'!$J:$J,'DB WBS'!$A:$A,$D$4,'DB WBS'!$D:$D,AA$1,'DB WBS'!$B:$B,$E$3,'DB WBS'!$E:$E,$B96)</f>
        <v>0</v>
      </c>
      <c r="F96" s="183">
        <f>SUMIFS('DB WBS'!$J:$J,'DB WBS'!$A:$A,$D$4,'DB WBS'!$D:$D,AA$2,'DB WBS'!$B:$B,$E$3,'DB WBS'!$E:$E,$B96)</f>
        <v>0</v>
      </c>
      <c r="G96" s="184">
        <f>IFERROR(HLOOKUP($E$3,'Tahun Lalu'!$B$5:$V$158,MATCH(B96,'Tahun Lalu'!$B$5:$B$158,0),0),0)</f>
        <v>0</v>
      </c>
      <c r="H96" s="184">
        <v>0.0</v>
      </c>
      <c r="I96" s="184">
        <v>0.0</v>
      </c>
      <c r="J96" s="183">
        <f t="shared" si="3"/>
        <v>0</v>
      </c>
      <c r="K96" s="183">
        <f t="shared" si="4"/>
        <v>0</v>
      </c>
      <c r="L96" s="183">
        <f t="shared" si="5"/>
        <v>0</v>
      </c>
      <c r="M96" s="183">
        <f t="shared" si="6"/>
        <v>0</v>
      </c>
      <c r="N96" s="183">
        <f t="shared" si="115"/>
        <v>0</v>
      </c>
      <c r="O96" s="183">
        <f t="shared" ref="O96:Q96" si="119">G96+W96</f>
        <v>0</v>
      </c>
      <c r="P96" s="183">
        <f t="shared" si="119"/>
        <v>0</v>
      </c>
      <c r="Q96" s="183">
        <f t="shared" si="119"/>
        <v>0</v>
      </c>
      <c r="R96" s="183">
        <f t="shared" si="9"/>
        <v>0</v>
      </c>
      <c r="S96" s="183">
        <f t="shared" si="10"/>
        <v>0</v>
      </c>
      <c r="T96" s="183">
        <f t="shared" si="11"/>
        <v>0</v>
      </c>
      <c r="U96" s="186"/>
      <c r="V96" s="183">
        <f>IFERROR(__xludf.DUMMYFUNCTION("""COMPUTED_VALUE"""),0.0)</f>
        <v>0</v>
      </c>
      <c r="W96" s="183">
        <f>IFERROR(__xludf.DUMMYFUNCTION("""COMPUTED_VALUE"""),0.0)</f>
        <v>0</v>
      </c>
      <c r="X96" s="183">
        <f>IFERROR(__xludf.DUMMYFUNCTION("""COMPUTED_VALUE"""),0.0)</f>
        <v>0</v>
      </c>
      <c r="Y96" s="183">
        <f>IFERROR(__xludf.DUMMYFUNCTION("""COMPUTED_VALUE"""),0.0)</f>
        <v>0</v>
      </c>
      <c r="Z96" s="183">
        <f t="shared" si="12"/>
        <v>0</v>
      </c>
      <c r="AA96" s="183">
        <f t="shared" si="13"/>
        <v>0</v>
      </c>
      <c r="AB96" s="183">
        <f t="shared" si="14"/>
        <v>0</v>
      </c>
    </row>
    <row r="97" ht="14.25" customHeight="1">
      <c r="A97" s="175"/>
      <c r="B97" s="212" t="s">
        <v>843</v>
      </c>
      <c r="C97" s="199"/>
      <c r="D97" s="200"/>
      <c r="E97" s="201">
        <f t="shared" ref="E97:I97" si="120">SUM(E92:E96)</f>
        <v>0</v>
      </c>
      <c r="F97" s="201">
        <f t="shared" si="120"/>
        <v>0</v>
      </c>
      <c r="G97" s="201">
        <f t="shared" si="120"/>
        <v>0</v>
      </c>
      <c r="H97" s="201">
        <f t="shared" si="120"/>
        <v>0</v>
      </c>
      <c r="I97" s="201">
        <f t="shared" si="120"/>
        <v>0</v>
      </c>
      <c r="J97" s="201">
        <f t="shared" si="3"/>
        <v>0</v>
      </c>
      <c r="K97" s="201">
        <f t="shared" si="4"/>
        <v>0</v>
      </c>
      <c r="L97" s="201">
        <f t="shared" si="5"/>
        <v>0</v>
      </c>
      <c r="M97" s="201">
        <f t="shared" si="6"/>
        <v>0</v>
      </c>
      <c r="N97" s="201">
        <f t="shared" ref="N97:Q97" si="121">SUM(N92:N96)</f>
        <v>0</v>
      </c>
      <c r="O97" s="201">
        <f t="shared" si="121"/>
        <v>0</v>
      </c>
      <c r="P97" s="201">
        <f t="shared" si="121"/>
        <v>0</v>
      </c>
      <c r="Q97" s="201">
        <f t="shared" si="121"/>
        <v>0</v>
      </c>
      <c r="R97" s="201">
        <f t="shared" si="9"/>
        <v>0</v>
      </c>
      <c r="S97" s="201">
        <f t="shared" si="10"/>
        <v>0</v>
      </c>
      <c r="T97" s="201">
        <f t="shared" si="11"/>
        <v>0</v>
      </c>
      <c r="U97" s="202"/>
      <c r="V97" s="201">
        <f>IFERROR(__xludf.DUMMYFUNCTION("""COMPUTED_VALUE"""),0.0)</f>
        <v>0</v>
      </c>
      <c r="W97" s="201">
        <f>IFERROR(__xludf.DUMMYFUNCTION("""COMPUTED_VALUE"""),0.0)</f>
        <v>0</v>
      </c>
      <c r="X97" s="201">
        <f>IFERROR(__xludf.DUMMYFUNCTION("""COMPUTED_VALUE"""),0.0)</f>
        <v>0</v>
      </c>
      <c r="Y97" s="201">
        <f>IFERROR(__xludf.DUMMYFUNCTION("""COMPUTED_VALUE"""),0.0)</f>
        <v>0</v>
      </c>
      <c r="Z97" s="201">
        <f t="shared" si="12"/>
        <v>0</v>
      </c>
      <c r="AA97" s="201">
        <f t="shared" si="13"/>
        <v>0</v>
      </c>
      <c r="AB97" s="201">
        <f t="shared" si="14"/>
        <v>0</v>
      </c>
    </row>
    <row r="98" ht="14.25" customHeight="1">
      <c r="A98" s="175"/>
      <c r="B98" s="208"/>
      <c r="C98" s="181"/>
      <c r="D98" s="209" t="s">
        <v>844</v>
      </c>
      <c r="E98" s="183">
        <f>SUMIFS('DB WBS'!$J:$J,'DB WBS'!$A:$A,$D$4,'DB WBS'!$D:$D,AA$1,'DB WBS'!$B:$B,$E$3,'DB WBS'!$E:$E,$B98)</f>
        <v>0</v>
      </c>
      <c r="F98" s="183">
        <f>SUMIFS('DB WBS'!$J:$J,'DB WBS'!$A:$A,$D$4,'DB WBS'!$D:$D,AA$2,'DB WBS'!$B:$B,$E$3,'DB WBS'!$E:$E,$B98)</f>
        <v>0</v>
      </c>
      <c r="G98" s="184">
        <f>IFERROR(HLOOKUP($E$3,'Tahun Lalu'!$B$5:$V$158,MATCH(B98,'Tahun Lalu'!$B$5:$B$158,0),0),0)</f>
        <v>0</v>
      </c>
      <c r="H98" s="184">
        <v>0.0</v>
      </c>
      <c r="I98" s="184">
        <v>0.0</v>
      </c>
      <c r="J98" s="183">
        <f t="shared" si="3"/>
        <v>0</v>
      </c>
      <c r="K98" s="183">
        <f t="shared" si="4"/>
        <v>0</v>
      </c>
      <c r="L98" s="183">
        <f t="shared" si="5"/>
        <v>0</v>
      </c>
      <c r="M98" s="183">
        <f t="shared" si="6"/>
        <v>0</v>
      </c>
      <c r="N98" s="183">
        <f t="shared" ref="N98:N99" si="123">E98+V98</f>
        <v>0</v>
      </c>
      <c r="O98" s="183">
        <f t="shared" ref="O98:Q98" si="122">G98+W98</f>
        <v>0</v>
      </c>
      <c r="P98" s="183">
        <f t="shared" si="122"/>
        <v>0</v>
      </c>
      <c r="Q98" s="183">
        <f t="shared" si="122"/>
        <v>0</v>
      </c>
      <c r="R98" s="183">
        <f t="shared" si="9"/>
        <v>0</v>
      </c>
      <c r="S98" s="183">
        <f t="shared" si="10"/>
        <v>0</v>
      </c>
      <c r="T98" s="183">
        <f t="shared" si="11"/>
        <v>0</v>
      </c>
      <c r="U98" s="186"/>
      <c r="V98" s="183">
        <f>IFERROR(__xludf.DUMMYFUNCTION("""COMPUTED_VALUE"""),0.0)</f>
        <v>0</v>
      </c>
      <c r="W98" s="183">
        <f>IFERROR(__xludf.DUMMYFUNCTION("""COMPUTED_VALUE"""),0.0)</f>
        <v>0</v>
      </c>
      <c r="X98" s="183">
        <f>IFERROR(__xludf.DUMMYFUNCTION("""COMPUTED_VALUE"""),0.0)</f>
        <v>0</v>
      </c>
      <c r="Y98" s="183">
        <f>IFERROR(__xludf.DUMMYFUNCTION("""COMPUTED_VALUE"""),0.0)</f>
        <v>0</v>
      </c>
      <c r="Z98" s="183">
        <f t="shared" si="12"/>
        <v>0</v>
      </c>
      <c r="AA98" s="183">
        <f t="shared" si="13"/>
        <v>0</v>
      </c>
      <c r="AB98" s="183">
        <f t="shared" si="14"/>
        <v>0</v>
      </c>
    </row>
    <row r="99" ht="14.25" customHeight="1">
      <c r="A99" s="175"/>
      <c r="B99" s="208"/>
      <c r="C99" s="181"/>
      <c r="D99" s="209" t="s">
        <v>845</v>
      </c>
      <c r="E99" s="183">
        <f>SUMIFS('DB WBS'!$J:$J,'DB WBS'!$A:$A,$D$4,'DB WBS'!$D:$D,AA$1,'DB WBS'!$B:$B,$E$3,'DB WBS'!$E:$E,$B99)</f>
        <v>0</v>
      </c>
      <c r="F99" s="183">
        <f>SUMIFS('DB WBS'!$J:$J,'DB WBS'!$A:$A,$D$4,'DB WBS'!$D:$D,AA$2,'DB WBS'!$B:$B,$E$3,'DB WBS'!$E:$E,$B99)</f>
        <v>0</v>
      </c>
      <c r="G99" s="184">
        <f>IFERROR(HLOOKUP($E$3,'Tahun Lalu'!$B$5:$V$158,MATCH(B99,'Tahun Lalu'!$B$5:$B$158,0),0),0)</f>
        <v>0</v>
      </c>
      <c r="H99" s="184">
        <v>0.0</v>
      </c>
      <c r="I99" s="184">
        <v>0.0</v>
      </c>
      <c r="J99" s="183">
        <f t="shared" si="3"/>
        <v>0</v>
      </c>
      <c r="K99" s="183">
        <f t="shared" si="4"/>
        <v>0</v>
      </c>
      <c r="L99" s="183">
        <f t="shared" si="5"/>
        <v>0</v>
      </c>
      <c r="M99" s="183">
        <f t="shared" si="6"/>
        <v>0</v>
      </c>
      <c r="N99" s="183">
        <f t="shared" si="123"/>
        <v>0</v>
      </c>
      <c r="O99" s="183">
        <f t="shared" ref="O99:Q99" si="124">G99+W99</f>
        <v>0</v>
      </c>
      <c r="P99" s="183">
        <f t="shared" si="124"/>
        <v>0</v>
      </c>
      <c r="Q99" s="183">
        <f t="shared" si="124"/>
        <v>0</v>
      </c>
      <c r="R99" s="183">
        <f t="shared" si="9"/>
        <v>0</v>
      </c>
      <c r="S99" s="183">
        <f t="shared" si="10"/>
        <v>0</v>
      </c>
      <c r="T99" s="183">
        <f t="shared" si="11"/>
        <v>0</v>
      </c>
      <c r="U99" s="186"/>
      <c r="V99" s="183">
        <f>IFERROR(__xludf.DUMMYFUNCTION("""COMPUTED_VALUE"""),0.0)</f>
        <v>0</v>
      </c>
      <c r="W99" s="183">
        <f>IFERROR(__xludf.DUMMYFUNCTION("""COMPUTED_VALUE"""),0.0)</f>
        <v>0</v>
      </c>
      <c r="X99" s="183">
        <f>IFERROR(__xludf.DUMMYFUNCTION("""COMPUTED_VALUE"""),0.0)</f>
        <v>0</v>
      </c>
      <c r="Y99" s="183">
        <f>IFERROR(__xludf.DUMMYFUNCTION("""COMPUTED_VALUE"""),0.0)</f>
        <v>0</v>
      </c>
      <c r="Z99" s="183">
        <f t="shared" si="12"/>
        <v>0</v>
      </c>
      <c r="AA99" s="183">
        <f t="shared" si="13"/>
        <v>0</v>
      </c>
      <c r="AB99" s="183">
        <f t="shared" si="14"/>
        <v>0</v>
      </c>
    </row>
    <row r="100" ht="14.25" customHeight="1">
      <c r="A100" s="175"/>
      <c r="B100" s="212" t="s">
        <v>846</v>
      </c>
      <c r="C100" s="199"/>
      <c r="D100" s="200"/>
      <c r="E100" s="201">
        <f t="shared" ref="E100:I100" si="125">SUM(E98:E99)</f>
        <v>0</v>
      </c>
      <c r="F100" s="201">
        <f t="shared" si="125"/>
        <v>0</v>
      </c>
      <c r="G100" s="201">
        <f t="shared" si="125"/>
        <v>0</v>
      </c>
      <c r="H100" s="201">
        <f t="shared" si="125"/>
        <v>0</v>
      </c>
      <c r="I100" s="201">
        <f t="shared" si="125"/>
        <v>0</v>
      </c>
      <c r="J100" s="201">
        <f t="shared" si="3"/>
        <v>0</v>
      </c>
      <c r="K100" s="201">
        <f t="shared" si="4"/>
        <v>0</v>
      </c>
      <c r="L100" s="201">
        <f t="shared" si="5"/>
        <v>0</v>
      </c>
      <c r="M100" s="201">
        <f t="shared" si="6"/>
        <v>0</v>
      </c>
      <c r="N100" s="201">
        <f t="shared" ref="N100:Q100" si="126">SUM(N98:N99)</f>
        <v>0</v>
      </c>
      <c r="O100" s="201">
        <f t="shared" si="126"/>
        <v>0</v>
      </c>
      <c r="P100" s="201">
        <f t="shared" si="126"/>
        <v>0</v>
      </c>
      <c r="Q100" s="201">
        <f t="shared" si="126"/>
        <v>0</v>
      </c>
      <c r="R100" s="201">
        <f t="shared" si="9"/>
        <v>0</v>
      </c>
      <c r="S100" s="201">
        <f t="shared" si="10"/>
        <v>0</v>
      </c>
      <c r="T100" s="201">
        <f t="shared" si="11"/>
        <v>0</v>
      </c>
      <c r="U100" s="202"/>
      <c r="V100" s="201">
        <f>IFERROR(__xludf.DUMMYFUNCTION("""COMPUTED_VALUE"""),0.0)</f>
        <v>0</v>
      </c>
      <c r="W100" s="201">
        <f>IFERROR(__xludf.DUMMYFUNCTION("""COMPUTED_VALUE"""),0.0)</f>
        <v>0</v>
      </c>
      <c r="X100" s="201">
        <f>IFERROR(__xludf.DUMMYFUNCTION("""COMPUTED_VALUE"""),0.0)</f>
        <v>0</v>
      </c>
      <c r="Y100" s="201">
        <f>IFERROR(__xludf.DUMMYFUNCTION("""COMPUTED_VALUE"""),0.0)</f>
        <v>0</v>
      </c>
      <c r="Z100" s="201">
        <f t="shared" si="12"/>
        <v>0</v>
      </c>
      <c r="AA100" s="201">
        <f t="shared" si="13"/>
        <v>0</v>
      </c>
      <c r="AB100" s="201">
        <f t="shared" si="14"/>
        <v>0</v>
      </c>
    </row>
    <row r="101" ht="14.25" customHeight="1">
      <c r="A101" s="175"/>
      <c r="B101" s="208"/>
      <c r="C101" s="181"/>
      <c r="D101" s="209" t="s">
        <v>847</v>
      </c>
      <c r="E101" s="183">
        <f>SUMIFS('DB WBS'!$J:$J,'DB WBS'!$A:$A,$D$4,'DB WBS'!$D:$D,AA$1,'DB WBS'!$B:$B,$E$3,'DB WBS'!$E:$E,$B101)</f>
        <v>0</v>
      </c>
      <c r="F101" s="183">
        <f>SUMIFS('DB WBS'!$J:$J,'DB WBS'!$A:$A,$D$4,'DB WBS'!$D:$D,AA$2,'DB WBS'!$B:$B,$E$3,'DB WBS'!$E:$E,$B101)</f>
        <v>0</v>
      </c>
      <c r="G101" s="184">
        <f>IFERROR(HLOOKUP($E$3,'Tahun Lalu'!$B$5:$V$158,MATCH(B101,'Tahun Lalu'!$B$5:$B$158,0),0),0)</f>
        <v>0</v>
      </c>
      <c r="H101" s="184">
        <v>0.0</v>
      </c>
      <c r="I101" s="184">
        <v>0.0</v>
      </c>
      <c r="J101" s="183">
        <f t="shared" si="3"/>
        <v>0</v>
      </c>
      <c r="K101" s="183">
        <f t="shared" si="4"/>
        <v>0</v>
      </c>
      <c r="L101" s="183">
        <f t="shared" si="5"/>
        <v>0</v>
      </c>
      <c r="M101" s="183">
        <f t="shared" si="6"/>
        <v>0</v>
      </c>
      <c r="N101" s="183">
        <f t="shared" ref="N101:N102" si="128">E101+V101</f>
        <v>0</v>
      </c>
      <c r="O101" s="183">
        <f t="shared" ref="O101:Q101" si="127">G101+W101</f>
        <v>0</v>
      </c>
      <c r="P101" s="183">
        <f t="shared" si="127"/>
        <v>0</v>
      </c>
      <c r="Q101" s="183">
        <f t="shared" si="127"/>
        <v>0</v>
      </c>
      <c r="R101" s="183">
        <f t="shared" si="9"/>
        <v>0</v>
      </c>
      <c r="S101" s="183">
        <f t="shared" si="10"/>
        <v>0</v>
      </c>
      <c r="T101" s="183">
        <f t="shared" si="11"/>
        <v>0</v>
      </c>
      <c r="U101" s="186"/>
      <c r="V101" s="183">
        <f>IFERROR(__xludf.DUMMYFUNCTION("""COMPUTED_VALUE"""),0.0)</f>
        <v>0</v>
      </c>
      <c r="W101" s="183">
        <f>IFERROR(__xludf.DUMMYFUNCTION("""COMPUTED_VALUE"""),0.0)</f>
        <v>0</v>
      </c>
      <c r="X101" s="183">
        <f>IFERROR(__xludf.DUMMYFUNCTION("""COMPUTED_VALUE"""),0.0)</f>
        <v>0</v>
      </c>
      <c r="Y101" s="183">
        <f>IFERROR(__xludf.DUMMYFUNCTION("""COMPUTED_VALUE"""),0.0)</f>
        <v>0</v>
      </c>
      <c r="Z101" s="183">
        <f t="shared" si="12"/>
        <v>0</v>
      </c>
      <c r="AA101" s="183">
        <f t="shared" si="13"/>
        <v>0</v>
      </c>
      <c r="AB101" s="183">
        <f t="shared" si="14"/>
        <v>0</v>
      </c>
    </row>
    <row r="102" ht="14.25" customHeight="1">
      <c r="A102" s="175"/>
      <c r="B102" s="208"/>
      <c r="C102" s="181"/>
      <c r="D102" s="209" t="s">
        <v>848</v>
      </c>
      <c r="E102" s="183">
        <f>SUMIFS('DB WBS'!$J:$J,'DB WBS'!$A:$A,$D$4,'DB WBS'!$D:$D,AA$1,'DB WBS'!$B:$B,$E$3,'DB WBS'!$E:$E,$B102)</f>
        <v>0</v>
      </c>
      <c r="F102" s="183">
        <f>SUMIFS('DB WBS'!$J:$J,'DB WBS'!$A:$A,$D$4,'DB WBS'!$D:$D,AA$2,'DB WBS'!$B:$B,$E$3,'DB WBS'!$E:$E,$B102)</f>
        <v>0</v>
      </c>
      <c r="G102" s="184">
        <f>IFERROR(HLOOKUP($E$3,'Tahun Lalu'!$B$5:$V$158,MATCH(B102,'Tahun Lalu'!$B$5:$B$158,0),0),0)</f>
        <v>0</v>
      </c>
      <c r="H102" s="184">
        <v>0.0</v>
      </c>
      <c r="I102" s="184">
        <v>0.0</v>
      </c>
      <c r="J102" s="183">
        <f t="shared" si="3"/>
        <v>0</v>
      </c>
      <c r="K102" s="183">
        <f t="shared" si="4"/>
        <v>0</v>
      </c>
      <c r="L102" s="183">
        <f t="shared" si="5"/>
        <v>0</v>
      </c>
      <c r="M102" s="183">
        <f t="shared" si="6"/>
        <v>0</v>
      </c>
      <c r="N102" s="183">
        <f t="shared" si="128"/>
        <v>0</v>
      </c>
      <c r="O102" s="183">
        <f t="shared" ref="O102:Q102" si="129">G102+W102</f>
        <v>0</v>
      </c>
      <c r="P102" s="183">
        <f t="shared" si="129"/>
        <v>0</v>
      </c>
      <c r="Q102" s="183">
        <f t="shared" si="129"/>
        <v>0</v>
      </c>
      <c r="R102" s="183">
        <f t="shared" si="9"/>
        <v>0</v>
      </c>
      <c r="S102" s="183">
        <f t="shared" si="10"/>
        <v>0</v>
      </c>
      <c r="T102" s="183">
        <f t="shared" si="11"/>
        <v>0</v>
      </c>
      <c r="U102" s="186"/>
      <c r="V102" s="183">
        <f>IFERROR(__xludf.DUMMYFUNCTION("""COMPUTED_VALUE"""),0.0)</f>
        <v>0</v>
      </c>
      <c r="W102" s="183">
        <f>IFERROR(__xludf.DUMMYFUNCTION("""COMPUTED_VALUE"""),0.0)</f>
        <v>0</v>
      </c>
      <c r="X102" s="183">
        <f>IFERROR(__xludf.DUMMYFUNCTION("""COMPUTED_VALUE"""),0.0)</f>
        <v>0</v>
      </c>
      <c r="Y102" s="183">
        <f>IFERROR(__xludf.DUMMYFUNCTION("""COMPUTED_VALUE"""),0.0)</f>
        <v>0</v>
      </c>
      <c r="Z102" s="183">
        <f t="shared" si="12"/>
        <v>0</v>
      </c>
      <c r="AA102" s="183">
        <f t="shared" si="13"/>
        <v>0</v>
      </c>
      <c r="AB102" s="183">
        <f t="shared" si="14"/>
        <v>0</v>
      </c>
    </row>
    <row r="103" ht="14.25" customHeight="1">
      <c r="A103" s="175"/>
      <c r="B103" s="212" t="s">
        <v>849</v>
      </c>
      <c r="C103" s="199"/>
      <c r="D103" s="200"/>
      <c r="E103" s="201">
        <f t="shared" ref="E103:I103" si="130">SUM(E101:E102)</f>
        <v>0</v>
      </c>
      <c r="F103" s="201">
        <f t="shared" si="130"/>
        <v>0</v>
      </c>
      <c r="G103" s="201">
        <f t="shared" si="130"/>
        <v>0</v>
      </c>
      <c r="H103" s="201">
        <f t="shared" si="130"/>
        <v>0</v>
      </c>
      <c r="I103" s="201">
        <f t="shared" si="130"/>
        <v>0</v>
      </c>
      <c r="J103" s="201">
        <f t="shared" si="3"/>
        <v>0</v>
      </c>
      <c r="K103" s="201">
        <f t="shared" si="4"/>
        <v>0</v>
      </c>
      <c r="L103" s="201">
        <f t="shared" si="5"/>
        <v>0</v>
      </c>
      <c r="M103" s="201">
        <f t="shared" si="6"/>
        <v>0</v>
      </c>
      <c r="N103" s="201">
        <f t="shared" ref="N103:Q103" si="131">SUM(N101:N102)</f>
        <v>0</v>
      </c>
      <c r="O103" s="201">
        <f t="shared" si="131"/>
        <v>0</v>
      </c>
      <c r="P103" s="201">
        <f t="shared" si="131"/>
        <v>0</v>
      </c>
      <c r="Q103" s="201">
        <f t="shared" si="131"/>
        <v>0</v>
      </c>
      <c r="R103" s="201">
        <f t="shared" si="9"/>
        <v>0</v>
      </c>
      <c r="S103" s="201">
        <f t="shared" si="10"/>
        <v>0</v>
      </c>
      <c r="T103" s="201">
        <f t="shared" si="11"/>
        <v>0</v>
      </c>
      <c r="U103" s="202"/>
      <c r="V103" s="201">
        <f>IFERROR(__xludf.DUMMYFUNCTION("""COMPUTED_VALUE"""),0.0)</f>
        <v>0</v>
      </c>
      <c r="W103" s="201">
        <f>IFERROR(__xludf.DUMMYFUNCTION("""COMPUTED_VALUE"""),0.0)</f>
        <v>0</v>
      </c>
      <c r="X103" s="201">
        <f>IFERROR(__xludf.DUMMYFUNCTION("""COMPUTED_VALUE"""),0.0)</f>
        <v>0</v>
      </c>
      <c r="Y103" s="201">
        <f>IFERROR(__xludf.DUMMYFUNCTION("""COMPUTED_VALUE"""),0.0)</f>
        <v>0</v>
      </c>
      <c r="Z103" s="201">
        <f t="shared" si="12"/>
        <v>0</v>
      </c>
      <c r="AA103" s="201">
        <f t="shared" si="13"/>
        <v>0</v>
      </c>
      <c r="AB103" s="201">
        <f t="shared" si="14"/>
        <v>0</v>
      </c>
    </row>
    <row r="104" ht="14.25" customHeight="1">
      <c r="A104" s="175"/>
      <c r="B104" s="208"/>
      <c r="C104" s="181"/>
      <c r="D104" s="209" t="s">
        <v>850</v>
      </c>
      <c r="E104" s="183">
        <f>SUMIFS('DB WBS'!$J:$J,'DB WBS'!$A:$A,$D$4,'DB WBS'!$D:$D,AA$1,'DB WBS'!$B:$B,$E$3,'DB WBS'!$E:$E,$B104)</f>
        <v>0</v>
      </c>
      <c r="F104" s="183">
        <f>SUMIFS('DB WBS'!$J:$J,'DB WBS'!$A:$A,$D$4,'DB WBS'!$D:$D,AA$2,'DB WBS'!$B:$B,$E$3,'DB WBS'!$E:$E,$B104)</f>
        <v>0</v>
      </c>
      <c r="G104" s="184">
        <f>IFERROR(HLOOKUP($E$3,'Tahun Lalu'!$B$5:$V$158,MATCH(B104,'Tahun Lalu'!$B$5:$B$158,0),0),0)</f>
        <v>0</v>
      </c>
      <c r="H104" s="184">
        <v>0.0</v>
      </c>
      <c r="I104" s="184">
        <v>0.0</v>
      </c>
      <c r="J104" s="183">
        <f t="shared" si="3"/>
        <v>0</v>
      </c>
      <c r="K104" s="183">
        <f t="shared" si="4"/>
        <v>0</v>
      </c>
      <c r="L104" s="183">
        <f t="shared" si="5"/>
        <v>0</v>
      </c>
      <c r="M104" s="183">
        <f t="shared" si="6"/>
        <v>0</v>
      </c>
      <c r="N104" s="183">
        <f t="shared" ref="N104:N105" si="133">E104+V104</f>
        <v>0</v>
      </c>
      <c r="O104" s="183">
        <f t="shared" ref="O104:Q104" si="132">G104+W104</f>
        <v>0</v>
      </c>
      <c r="P104" s="183">
        <f t="shared" si="132"/>
        <v>0</v>
      </c>
      <c r="Q104" s="183">
        <f t="shared" si="132"/>
        <v>0</v>
      </c>
      <c r="R104" s="183">
        <f t="shared" si="9"/>
        <v>0</v>
      </c>
      <c r="S104" s="183">
        <f t="shared" si="10"/>
        <v>0</v>
      </c>
      <c r="T104" s="183">
        <f t="shared" si="11"/>
        <v>0</v>
      </c>
      <c r="U104" s="186"/>
      <c r="V104" s="183">
        <f>IFERROR(__xludf.DUMMYFUNCTION("""COMPUTED_VALUE"""),0.0)</f>
        <v>0</v>
      </c>
      <c r="W104" s="183">
        <f>IFERROR(__xludf.DUMMYFUNCTION("""COMPUTED_VALUE"""),0.0)</f>
        <v>0</v>
      </c>
      <c r="X104" s="183">
        <f>IFERROR(__xludf.DUMMYFUNCTION("""COMPUTED_VALUE"""),0.0)</f>
        <v>0</v>
      </c>
      <c r="Y104" s="183">
        <f>IFERROR(__xludf.DUMMYFUNCTION("""COMPUTED_VALUE"""),0.0)</f>
        <v>0</v>
      </c>
      <c r="Z104" s="183">
        <f t="shared" si="12"/>
        <v>0</v>
      </c>
      <c r="AA104" s="183">
        <f t="shared" si="13"/>
        <v>0</v>
      </c>
      <c r="AB104" s="183">
        <f t="shared" si="14"/>
        <v>0</v>
      </c>
    </row>
    <row r="105" ht="14.25" customHeight="1">
      <c r="A105" s="175"/>
      <c r="B105" s="208"/>
      <c r="C105" s="181"/>
      <c r="D105" s="209"/>
      <c r="E105" s="183">
        <f>SUMIFS('DB WBS'!$J:$J,'DB WBS'!$A:$A,$D$4,'DB WBS'!$D:$D,AA$1,'DB WBS'!$B:$B,$E$3,'DB WBS'!$E:$E,$B105)</f>
        <v>0</v>
      </c>
      <c r="F105" s="183">
        <f>SUMIFS('DB WBS'!$J:$J,'DB WBS'!$A:$A,$D$4,'DB WBS'!$D:$D,AA$2,'DB WBS'!$B:$B,$E$3,'DB WBS'!$E:$E,$B105)</f>
        <v>0</v>
      </c>
      <c r="G105" s="184">
        <f>IFERROR(HLOOKUP($E$3,'Tahun Lalu'!$B$5:$V$158,MATCH(B105,'Tahun Lalu'!$B$5:$B$158,0),0),0)</f>
        <v>0</v>
      </c>
      <c r="H105" s="184">
        <v>0.0</v>
      </c>
      <c r="I105" s="184">
        <v>0.0</v>
      </c>
      <c r="J105" s="183">
        <f t="shared" si="3"/>
        <v>0</v>
      </c>
      <c r="K105" s="183">
        <f t="shared" si="4"/>
        <v>0</v>
      </c>
      <c r="L105" s="183">
        <f t="shared" si="5"/>
        <v>0</v>
      </c>
      <c r="M105" s="183">
        <f t="shared" si="6"/>
        <v>0</v>
      </c>
      <c r="N105" s="183">
        <f t="shared" si="133"/>
        <v>0</v>
      </c>
      <c r="O105" s="183">
        <f t="shared" ref="O105:Q105" si="134">G105+W105</f>
        <v>0</v>
      </c>
      <c r="P105" s="183">
        <f t="shared" si="134"/>
        <v>0</v>
      </c>
      <c r="Q105" s="183">
        <f t="shared" si="134"/>
        <v>0</v>
      </c>
      <c r="R105" s="183">
        <f t="shared" si="9"/>
        <v>0</v>
      </c>
      <c r="S105" s="183">
        <f t="shared" si="10"/>
        <v>0</v>
      </c>
      <c r="T105" s="183">
        <f t="shared" si="11"/>
        <v>0</v>
      </c>
      <c r="U105" s="186"/>
      <c r="V105" s="183">
        <f>IFERROR(__xludf.DUMMYFUNCTION("""COMPUTED_VALUE"""),0.0)</f>
        <v>0</v>
      </c>
      <c r="W105" s="183">
        <f>IFERROR(__xludf.DUMMYFUNCTION("""COMPUTED_VALUE"""),0.0)</f>
        <v>0</v>
      </c>
      <c r="X105" s="183">
        <f>IFERROR(__xludf.DUMMYFUNCTION("""COMPUTED_VALUE"""),0.0)</f>
        <v>0</v>
      </c>
      <c r="Y105" s="183">
        <f>IFERROR(__xludf.DUMMYFUNCTION("""COMPUTED_VALUE"""),0.0)</f>
        <v>0</v>
      </c>
      <c r="Z105" s="183">
        <f t="shared" si="12"/>
        <v>0</v>
      </c>
      <c r="AA105" s="183">
        <f t="shared" si="13"/>
        <v>0</v>
      </c>
      <c r="AB105" s="183">
        <f t="shared" si="14"/>
        <v>0</v>
      </c>
    </row>
    <row r="106" ht="14.25" customHeight="1">
      <c r="A106" s="175"/>
      <c r="B106" s="212" t="s">
        <v>851</v>
      </c>
      <c r="C106" s="199"/>
      <c r="D106" s="200"/>
      <c r="E106" s="201">
        <f t="shared" ref="E106:I106" si="135">SUM(E104:E105)</f>
        <v>0</v>
      </c>
      <c r="F106" s="201">
        <f t="shared" si="135"/>
        <v>0</v>
      </c>
      <c r="G106" s="201">
        <f t="shared" si="135"/>
        <v>0</v>
      </c>
      <c r="H106" s="201">
        <f t="shared" si="135"/>
        <v>0</v>
      </c>
      <c r="I106" s="201">
        <f t="shared" si="135"/>
        <v>0</v>
      </c>
      <c r="J106" s="201">
        <f t="shared" si="3"/>
        <v>0</v>
      </c>
      <c r="K106" s="201">
        <f t="shared" si="4"/>
        <v>0</v>
      </c>
      <c r="L106" s="201">
        <f t="shared" si="5"/>
        <v>0</v>
      </c>
      <c r="M106" s="201">
        <f t="shared" si="6"/>
        <v>0</v>
      </c>
      <c r="N106" s="201">
        <f t="shared" ref="N106:Q106" si="136">SUM(N104:N105)</f>
        <v>0</v>
      </c>
      <c r="O106" s="201">
        <f t="shared" si="136"/>
        <v>0</v>
      </c>
      <c r="P106" s="201">
        <f t="shared" si="136"/>
        <v>0</v>
      </c>
      <c r="Q106" s="201">
        <f t="shared" si="136"/>
        <v>0</v>
      </c>
      <c r="R106" s="201">
        <f t="shared" si="9"/>
        <v>0</v>
      </c>
      <c r="S106" s="201">
        <f t="shared" si="10"/>
        <v>0</v>
      </c>
      <c r="T106" s="201">
        <f t="shared" si="11"/>
        <v>0</v>
      </c>
      <c r="U106" s="202"/>
      <c r="V106" s="201">
        <f>IFERROR(__xludf.DUMMYFUNCTION("""COMPUTED_VALUE"""),0.0)</f>
        <v>0</v>
      </c>
      <c r="W106" s="201">
        <f>IFERROR(__xludf.DUMMYFUNCTION("""COMPUTED_VALUE"""),0.0)</f>
        <v>0</v>
      </c>
      <c r="X106" s="201">
        <f>IFERROR(__xludf.DUMMYFUNCTION("""COMPUTED_VALUE"""),0.0)</f>
        <v>0</v>
      </c>
      <c r="Y106" s="201">
        <f>IFERROR(__xludf.DUMMYFUNCTION("""COMPUTED_VALUE"""),0.0)</f>
        <v>0</v>
      </c>
      <c r="Z106" s="201">
        <f t="shared" si="12"/>
        <v>0</v>
      </c>
      <c r="AA106" s="201">
        <f t="shared" si="13"/>
        <v>0</v>
      </c>
      <c r="AB106" s="201">
        <f t="shared" si="14"/>
        <v>0</v>
      </c>
    </row>
    <row r="107" ht="14.25" customHeight="1">
      <c r="A107" s="175"/>
      <c r="B107" s="208"/>
      <c r="C107" s="181"/>
      <c r="D107" s="209" t="s">
        <v>852</v>
      </c>
      <c r="E107" s="183">
        <f>SUMIFS('DB WBS'!$J:$J,'DB WBS'!$A:$A,$D$4,'DB WBS'!$D:$D,AA$1,'DB WBS'!$B:$B,$E$3,'DB WBS'!$E:$E,$B107)</f>
        <v>0</v>
      </c>
      <c r="F107" s="183">
        <f>SUMIFS('DB WBS'!$J:$J,'DB WBS'!$A:$A,$D$4,'DB WBS'!$D:$D,AA$2,'DB WBS'!$B:$B,$E$3,'DB WBS'!$E:$E,$B107)</f>
        <v>0</v>
      </c>
      <c r="G107" s="184">
        <f>IFERROR(HLOOKUP($E$3,'Tahun Lalu'!$B$5:$V$158,MATCH(B107,'Tahun Lalu'!$B$5:$B$158,0),0),0)</f>
        <v>0</v>
      </c>
      <c r="H107" s="184">
        <v>0.0</v>
      </c>
      <c r="I107" s="184">
        <v>0.0</v>
      </c>
      <c r="J107" s="183">
        <f t="shared" si="3"/>
        <v>0</v>
      </c>
      <c r="K107" s="183">
        <f t="shared" si="4"/>
        <v>0</v>
      </c>
      <c r="L107" s="183">
        <f t="shared" si="5"/>
        <v>0</v>
      </c>
      <c r="M107" s="183">
        <f t="shared" si="6"/>
        <v>0</v>
      </c>
      <c r="N107" s="183">
        <f t="shared" ref="N107:N108" si="138">E107+V107</f>
        <v>0</v>
      </c>
      <c r="O107" s="183">
        <f t="shared" ref="O107:Q107" si="137">G107+W107</f>
        <v>0</v>
      </c>
      <c r="P107" s="183">
        <f t="shared" si="137"/>
        <v>0</v>
      </c>
      <c r="Q107" s="183">
        <f t="shared" si="137"/>
        <v>0</v>
      </c>
      <c r="R107" s="183">
        <f t="shared" si="9"/>
        <v>0</v>
      </c>
      <c r="S107" s="183">
        <f t="shared" si="10"/>
        <v>0</v>
      </c>
      <c r="T107" s="183">
        <f t="shared" si="11"/>
        <v>0</v>
      </c>
      <c r="U107" s="186"/>
      <c r="V107" s="183">
        <f>IFERROR(__xludf.DUMMYFUNCTION("""COMPUTED_VALUE"""),0.0)</f>
        <v>0</v>
      </c>
      <c r="W107" s="183">
        <f>IFERROR(__xludf.DUMMYFUNCTION("""COMPUTED_VALUE"""),0.0)</f>
        <v>0</v>
      </c>
      <c r="X107" s="183">
        <f>IFERROR(__xludf.DUMMYFUNCTION("""COMPUTED_VALUE"""),0.0)</f>
        <v>0</v>
      </c>
      <c r="Y107" s="183">
        <f>IFERROR(__xludf.DUMMYFUNCTION("""COMPUTED_VALUE"""),0.0)</f>
        <v>0</v>
      </c>
      <c r="Z107" s="183">
        <f t="shared" si="12"/>
        <v>0</v>
      </c>
      <c r="AA107" s="183">
        <f t="shared" si="13"/>
        <v>0</v>
      </c>
      <c r="AB107" s="183">
        <f t="shared" si="14"/>
        <v>0</v>
      </c>
    </row>
    <row r="108" ht="14.25" customHeight="1">
      <c r="A108" s="175"/>
      <c r="B108" s="208"/>
      <c r="C108" s="181"/>
      <c r="D108" s="209"/>
      <c r="E108" s="183">
        <f>SUMIFS('DB WBS'!$J:$J,'DB WBS'!$A:$A,$D$4,'DB WBS'!$D:$D,AA$1,'DB WBS'!$B:$B,$E$3,'DB WBS'!$E:$E,$B108)</f>
        <v>0</v>
      </c>
      <c r="F108" s="183">
        <f>SUMIFS('DB WBS'!$J:$J,'DB WBS'!$A:$A,$D$4,'DB WBS'!$D:$D,AA$2,'DB WBS'!$B:$B,$E$3,'DB WBS'!$E:$E,$B108)</f>
        <v>0</v>
      </c>
      <c r="G108" s="184">
        <f>IFERROR(HLOOKUP($E$3,'Tahun Lalu'!$B$5:$V$158,MATCH(B108,'Tahun Lalu'!$B$5:$B$158,0),0),0)</f>
        <v>0</v>
      </c>
      <c r="H108" s="184">
        <v>0.0</v>
      </c>
      <c r="I108" s="184">
        <v>0.0</v>
      </c>
      <c r="J108" s="183">
        <f t="shared" si="3"/>
        <v>0</v>
      </c>
      <c r="K108" s="183">
        <f t="shared" si="4"/>
        <v>0</v>
      </c>
      <c r="L108" s="183">
        <f t="shared" si="5"/>
        <v>0</v>
      </c>
      <c r="M108" s="183">
        <f t="shared" si="6"/>
        <v>0</v>
      </c>
      <c r="N108" s="183">
        <f t="shared" si="138"/>
        <v>0</v>
      </c>
      <c r="O108" s="183">
        <f t="shared" ref="O108:Q108" si="139">G108+W108</f>
        <v>0</v>
      </c>
      <c r="P108" s="183">
        <f t="shared" si="139"/>
        <v>0</v>
      </c>
      <c r="Q108" s="183">
        <f t="shared" si="139"/>
        <v>0</v>
      </c>
      <c r="R108" s="183">
        <f t="shared" si="9"/>
        <v>0</v>
      </c>
      <c r="S108" s="183">
        <f t="shared" si="10"/>
        <v>0</v>
      </c>
      <c r="T108" s="183">
        <f t="shared" si="11"/>
        <v>0</v>
      </c>
      <c r="U108" s="186"/>
      <c r="V108" s="183">
        <f>IFERROR(__xludf.DUMMYFUNCTION("""COMPUTED_VALUE"""),0.0)</f>
        <v>0</v>
      </c>
      <c r="W108" s="183">
        <f>IFERROR(__xludf.DUMMYFUNCTION("""COMPUTED_VALUE"""),0.0)</f>
        <v>0</v>
      </c>
      <c r="X108" s="183">
        <f>IFERROR(__xludf.DUMMYFUNCTION("""COMPUTED_VALUE"""),0.0)</f>
        <v>0</v>
      </c>
      <c r="Y108" s="183">
        <f>IFERROR(__xludf.DUMMYFUNCTION("""COMPUTED_VALUE"""),0.0)</f>
        <v>0</v>
      </c>
      <c r="Z108" s="183">
        <f t="shared" si="12"/>
        <v>0</v>
      </c>
      <c r="AA108" s="183">
        <f t="shared" si="13"/>
        <v>0</v>
      </c>
      <c r="AB108" s="183">
        <f t="shared" si="14"/>
        <v>0</v>
      </c>
    </row>
    <row r="109" ht="14.25" customHeight="1">
      <c r="A109" s="175"/>
      <c r="B109" s="212" t="s">
        <v>853</v>
      </c>
      <c r="C109" s="199"/>
      <c r="D109" s="200"/>
      <c r="E109" s="201">
        <f t="shared" ref="E109:I109" si="140">SUM(E107:E108)</f>
        <v>0</v>
      </c>
      <c r="F109" s="201">
        <f t="shared" si="140"/>
        <v>0</v>
      </c>
      <c r="G109" s="201">
        <f t="shared" si="140"/>
        <v>0</v>
      </c>
      <c r="H109" s="201">
        <f t="shared" si="140"/>
        <v>0</v>
      </c>
      <c r="I109" s="201">
        <f t="shared" si="140"/>
        <v>0</v>
      </c>
      <c r="J109" s="201">
        <f t="shared" si="3"/>
        <v>0</v>
      </c>
      <c r="K109" s="201">
        <f t="shared" si="4"/>
        <v>0</v>
      </c>
      <c r="L109" s="201">
        <f t="shared" si="5"/>
        <v>0</v>
      </c>
      <c r="M109" s="201">
        <f t="shared" si="6"/>
        <v>0</v>
      </c>
      <c r="N109" s="201">
        <f t="shared" ref="N109:Q109" si="141">SUM(N107:N108)</f>
        <v>0</v>
      </c>
      <c r="O109" s="201">
        <f t="shared" si="141"/>
        <v>0</v>
      </c>
      <c r="P109" s="201">
        <f t="shared" si="141"/>
        <v>0</v>
      </c>
      <c r="Q109" s="201">
        <f t="shared" si="141"/>
        <v>0</v>
      </c>
      <c r="R109" s="201">
        <f t="shared" si="9"/>
        <v>0</v>
      </c>
      <c r="S109" s="201">
        <f t="shared" si="10"/>
        <v>0</v>
      </c>
      <c r="T109" s="201">
        <f t="shared" si="11"/>
        <v>0</v>
      </c>
      <c r="U109" s="202"/>
      <c r="V109" s="201">
        <f>IFERROR(__xludf.DUMMYFUNCTION("""COMPUTED_VALUE"""),0.0)</f>
        <v>0</v>
      </c>
      <c r="W109" s="201">
        <f>IFERROR(__xludf.DUMMYFUNCTION("""COMPUTED_VALUE"""),0.0)</f>
        <v>0</v>
      </c>
      <c r="X109" s="201">
        <f>IFERROR(__xludf.DUMMYFUNCTION("""COMPUTED_VALUE"""),0.0)</f>
        <v>0</v>
      </c>
      <c r="Y109" s="201">
        <f>IFERROR(__xludf.DUMMYFUNCTION("""COMPUTED_VALUE"""),0.0)</f>
        <v>0</v>
      </c>
      <c r="Z109" s="201">
        <f t="shared" si="12"/>
        <v>0</v>
      </c>
      <c r="AA109" s="201">
        <f t="shared" si="13"/>
        <v>0</v>
      </c>
      <c r="AB109" s="201">
        <f t="shared" si="14"/>
        <v>0</v>
      </c>
    </row>
    <row r="110" ht="14.25" customHeight="1">
      <c r="A110" s="175"/>
      <c r="B110" s="208"/>
      <c r="C110" s="181"/>
      <c r="D110" s="209" t="s">
        <v>854</v>
      </c>
      <c r="E110" s="183">
        <f>SUMIFS('DB WBS'!$J:$J,'DB WBS'!$A:$A,$D$4,'DB WBS'!$D:$D,AA$1,'DB WBS'!$B:$B,$E$3,'DB WBS'!$E:$E,$B110)</f>
        <v>0</v>
      </c>
      <c r="F110" s="183">
        <f>SUMIFS('DB WBS'!$J:$J,'DB WBS'!$A:$A,$D$4,'DB WBS'!$D:$D,AA$2,'DB WBS'!$B:$B,$E$3,'DB WBS'!$E:$E,$B110)</f>
        <v>0</v>
      </c>
      <c r="G110" s="184">
        <f>IFERROR(HLOOKUP($E$3,'Tahun Lalu'!$B$5:$V$158,MATCH(B110,'Tahun Lalu'!$B$5:$B$158,0),0),0)</f>
        <v>0</v>
      </c>
      <c r="H110" s="184">
        <v>0.0</v>
      </c>
      <c r="I110" s="184">
        <v>0.0</v>
      </c>
      <c r="J110" s="183">
        <f t="shared" si="3"/>
        <v>0</v>
      </c>
      <c r="K110" s="183">
        <f t="shared" si="4"/>
        <v>0</v>
      </c>
      <c r="L110" s="183">
        <f t="shared" si="5"/>
        <v>0</v>
      </c>
      <c r="M110" s="183">
        <f t="shared" si="6"/>
        <v>0</v>
      </c>
      <c r="N110" s="183">
        <f t="shared" ref="N110:N111" si="143">E110+V110</f>
        <v>0</v>
      </c>
      <c r="O110" s="183">
        <f t="shared" ref="O110:Q110" si="142">G110+W110</f>
        <v>0</v>
      </c>
      <c r="P110" s="183">
        <f t="shared" si="142"/>
        <v>0</v>
      </c>
      <c r="Q110" s="183">
        <f t="shared" si="142"/>
        <v>0</v>
      </c>
      <c r="R110" s="183">
        <f t="shared" si="9"/>
        <v>0</v>
      </c>
      <c r="S110" s="183">
        <f t="shared" si="10"/>
        <v>0</v>
      </c>
      <c r="T110" s="183">
        <f t="shared" si="11"/>
        <v>0</v>
      </c>
      <c r="U110" s="186"/>
      <c r="V110" s="183">
        <f>IFERROR(__xludf.DUMMYFUNCTION("""COMPUTED_VALUE"""),0.0)</f>
        <v>0</v>
      </c>
      <c r="W110" s="183">
        <f>IFERROR(__xludf.DUMMYFUNCTION("""COMPUTED_VALUE"""),0.0)</f>
        <v>0</v>
      </c>
      <c r="X110" s="183">
        <f>IFERROR(__xludf.DUMMYFUNCTION("""COMPUTED_VALUE"""),0.0)</f>
        <v>0</v>
      </c>
      <c r="Y110" s="183">
        <f>IFERROR(__xludf.DUMMYFUNCTION("""COMPUTED_VALUE"""),0.0)</f>
        <v>0</v>
      </c>
      <c r="Z110" s="183">
        <f t="shared" si="12"/>
        <v>0</v>
      </c>
      <c r="AA110" s="183">
        <f t="shared" si="13"/>
        <v>0</v>
      </c>
      <c r="AB110" s="183">
        <f t="shared" si="14"/>
        <v>0</v>
      </c>
    </row>
    <row r="111" ht="14.25" customHeight="1">
      <c r="A111" s="175"/>
      <c r="B111" s="208"/>
      <c r="C111" s="181"/>
      <c r="D111" s="209"/>
      <c r="E111" s="183">
        <f>SUMIFS('DB WBS'!$J:$J,'DB WBS'!$A:$A,$D$4,'DB WBS'!$D:$D,AA$1,'DB WBS'!$B:$B,$E$3,'DB WBS'!$E:$E,$B111)</f>
        <v>0</v>
      </c>
      <c r="F111" s="183">
        <f>SUMIFS('DB WBS'!$J:$J,'DB WBS'!$A:$A,$D$4,'DB WBS'!$D:$D,AA$2,'DB WBS'!$B:$B,$E$3,'DB WBS'!$E:$E,$B111)</f>
        <v>0</v>
      </c>
      <c r="G111" s="184">
        <f>IFERROR(HLOOKUP($E$3,'Tahun Lalu'!$B$5:$V$158,MATCH(B111,'Tahun Lalu'!$B$5:$B$158,0),0),0)</f>
        <v>0</v>
      </c>
      <c r="H111" s="184">
        <v>0.0</v>
      </c>
      <c r="I111" s="184">
        <v>0.0</v>
      </c>
      <c r="J111" s="183">
        <f t="shared" si="3"/>
        <v>0</v>
      </c>
      <c r="K111" s="183">
        <f t="shared" si="4"/>
        <v>0</v>
      </c>
      <c r="L111" s="183">
        <f t="shared" si="5"/>
        <v>0</v>
      </c>
      <c r="M111" s="183">
        <f t="shared" si="6"/>
        <v>0</v>
      </c>
      <c r="N111" s="183">
        <f t="shared" si="143"/>
        <v>0</v>
      </c>
      <c r="O111" s="183">
        <f t="shared" ref="O111:Q111" si="144">G111+W111</f>
        <v>0</v>
      </c>
      <c r="P111" s="183">
        <f t="shared" si="144"/>
        <v>0</v>
      </c>
      <c r="Q111" s="183">
        <f t="shared" si="144"/>
        <v>0</v>
      </c>
      <c r="R111" s="183">
        <f t="shared" si="9"/>
        <v>0</v>
      </c>
      <c r="S111" s="183">
        <f t="shared" si="10"/>
        <v>0</v>
      </c>
      <c r="T111" s="183">
        <f t="shared" si="11"/>
        <v>0</v>
      </c>
      <c r="U111" s="186"/>
      <c r="V111" s="183">
        <f>IFERROR(__xludf.DUMMYFUNCTION("""COMPUTED_VALUE"""),0.0)</f>
        <v>0</v>
      </c>
      <c r="W111" s="183">
        <f>IFERROR(__xludf.DUMMYFUNCTION("""COMPUTED_VALUE"""),0.0)</f>
        <v>0</v>
      </c>
      <c r="X111" s="183">
        <f>IFERROR(__xludf.DUMMYFUNCTION("""COMPUTED_VALUE"""),0.0)</f>
        <v>0</v>
      </c>
      <c r="Y111" s="183">
        <f>IFERROR(__xludf.DUMMYFUNCTION("""COMPUTED_VALUE"""),0.0)</f>
        <v>0</v>
      </c>
      <c r="Z111" s="183">
        <f t="shared" si="12"/>
        <v>0</v>
      </c>
      <c r="AA111" s="183">
        <f t="shared" si="13"/>
        <v>0</v>
      </c>
      <c r="AB111" s="183">
        <f t="shared" si="14"/>
        <v>0</v>
      </c>
    </row>
    <row r="112" ht="14.25" customHeight="1">
      <c r="A112" s="175"/>
      <c r="B112" s="212" t="s">
        <v>855</v>
      </c>
      <c r="C112" s="199"/>
      <c r="D112" s="200"/>
      <c r="E112" s="201">
        <f t="shared" ref="E112:I112" si="145">SUM(E110:E111)</f>
        <v>0</v>
      </c>
      <c r="F112" s="201">
        <f t="shared" si="145"/>
        <v>0</v>
      </c>
      <c r="G112" s="201">
        <f t="shared" si="145"/>
        <v>0</v>
      </c>
      <c r="H112" s="201">
        <f t="shared" si="145"/>
        <v>0</v>
      </c>
      <c r="I112" s="201">
        <f t="shared" si="145"/>
        <v>0</v>
      </c>
      <c r="J112" s="201">
        <f t="shared" si="3"/>
        <v>0</v>
      </c>
      <c r="K112" s="201">
        <f t="shared" si="4"/>
        <v>0</v>
      </c>
      <c r="L112" s="201">
        <f t="shared" si="5"/>
        <v>0</v>
      </c>
      <c r="M112" s="201">
        <f t="shared" si="6"/>
        <v>0</v>
      </c>
      <c r="N112" s="201">
        <f t="shared" ref="N112:Q112" si="146">SUM(N110:N111)</f>
        <v>0</v>
      </c>
      <c r="O112" s="201">
        <f t="shared" si="146"/>
        <v>0</v>
      </c>
      <c r="P112" s="201">
        <f t="shared" si="146"/>
        <v>0</v>
      </c>
      <c r="Q112" s="201">
        <f t="shared" si="146"/>
        <v>0</v>
      </c>
      <c r="R112" s="201">
        <f t="shared" si="9"/>
        <v>0</v>
      </c>
      <c r="S112" s="201">
        <f t="shared" si="10"/>
        <v>0</v>
      </c>
      <c r="T112" s="201">
        <f t="shared" si="11"/>
        <v>0</v>
      </c>
      <c r="U112" s="202"/>
      <c r="V112" s="201">
        <f>IFERROR(__xludf.DUMMYFUNCTION("""COMPUTED_VALUE"""),0.0)</f>
        <v>0</v>
      </c>
      <c r="W112" s="201">
        <f>IFERROR(__xludf.DUMMYFUNCTION("""COMPUTED_VALUE"""),0.0)</f>
        <v>0</v>
      </c>
      <c r="X112" s="201">
        <f>IFERROR(__xludf.DUMMYFUNCTION("""COMPUTED_VALUE"""),0.0)</f>
        <v>0</v>
      </c>
      <c r="Y112" s="201">
        <f>IFERROR(__xludf.DUMMYFUNCTION("""COMPUTED_VALUE"""),0.0)</f>
        <v>0</v>
      </c>
      <c r="Z112" s="201">
        <f t="shared" si="12"/>
        <v>0</v>
      </c>
      <c r="AA112" s="201">
        <f t="shared" si="13"/>
        <v>0</v>
      </c>
      <c r="AB112" s="201">
        <f t="shared" si="14"/>
        <v>0</v>
      </c>
    </row>
    <row r="113" ht="14.25" customHeight="1">
      <c r="A113" s="175"/>
      <c r="B113" s="208"/>
      <c r="C113" s="181"/>
      <c r="D113" s="209" t="s">
        <v>856</v>
      </c>
      <c r="E113" s="183">
        <f>SUMIFS('DB WBS'!$J:$J,'DB WBS'!$A:$A,$D$4,'DB WBS'!$D:$D,AA$1,'DB WBS'!$B:$B,$E$3,'DB WBS'!$E:$E,$B113)</f>
        <v>0</v>
      </c>
      <c r="F113" s="183">
        <f>SUMIFS('DB WBS'!$J:$J,'DB WBS'!$A:$A,$D$4,'DB WBS'!$D:$D,AA$2,'DB WBS'!$B:$B,$E$3,'DB WBS'!$E:$E,$B113)</f>
        <v>0</v>
      </c>
      <c r="G113" s="184">
        <f>IFERROR(HLOOKUP($E$3,'Tahun Lalu'!$B$5:$V$158,MATCH(B113,'Tahun Lalu'!$B$5:$B$158,0),0),0)</f>
        <v>0</v>
      </c>
      <c r="H113" s="184">
        <v>0.0</v>
      </c>
      <c r="I113" s="184">
        <v>0.0</v>
      </c>
      <c r="J113" s="183">
        <f t="shared" si="3"/>
        <v>0</v>
      </c>
      <c r="K113" s="183">
        <f t="shared" si="4"/>
        <v>0</v>
      </c>
      <c r="L113" s="183">
        <f t="shared" si="5"/>
        <v>0</v>
      </c>
      <c r="M113" s="183">
        <f t="shared" si="6"/>
        <v>0</v>
      </c>
      <c r="N113" s="183">
        <f t="shared" ref="N113:N117" si="148">E113+V113</f>
        <v>0</v>
      </c>
      <c r="O113" s="183">
        <f t="shared" ref="O113:Q113" si="147">G113+W113</f>
        <v>0</v>
      </c>
      <c r="P113" s="183">
        <f t="shared" si="147"/>
        <v>0</v>
      </c>
      <c r="Q113" s="183">
        <f t="shared" si="147"/>
        <v>0</v>
      </c>
      <c r="R113" s="183">
        <f t="shared" si="9"/>
        <v>0</v>
      </c>
      <c r="S113" s="183">
        <f t="shared" si="10"/>
        <v>0</v>
      </c>
      <c r="T113" s="183">
        <f t="shared" si="11"/>
        <v>0</v>
      </c>
      <c r="U113" s="186"/>
      <c r="V113" s="183">
        <f>IFERROR(__xludf.DUMMYFUNCTION("""COMPUTED_VALUE"""),0.0)</f>
        <v>0</v>
      </c>
      <c r="W113" s="183">
        <f>IFERROR(__xludf.DUMMYFUNCTION("""COMPUTED_VALUE"""),0.0)</f>
        <v>0</v>
      </c>
      <c r="X113" s="183">
        <f>IFERROR(__xludf.DUMMYFUNCTION("""COMPUTED_VALUE"""),0.0)</f>
        <v>0</v>
      </c>
      <c r="Y113" s="183">
        <f>IFERROR(__xludf.DUMMYFUNCTION("""COMPUTED_VALUE"""),0.0)</f>
        <v>0</v>
      </c>
      <c r="Z113" s="183">
        <f t="shared" si="12"/>
        <v>0</v>
      </c>
      <c r="AA113" s="183">
        <f t="shared" si="13"/>
        <v>0</v>
      </c>
      <c r="AB113" s="183">
        <f t="shared" si="14"/>
        <v>0</v>
      </c>
    </row>
    <row r="114" ht="14.25" customHeight="1">
      <c r="A114" s="175"/>
      <c r="B114" s="208"/>
      <c r="C114" s="181"/>
      <c r="D114" s="209" t="s">
        <v>857</v>
      </c>
      <c r="E114" s="183">
        <f>SUMIFS('DB WBS'!$J:$J,'DB WBS'!$A:$A,$D$4,'DB WBS'!$D:$D,AA$1,'DB WBS'!$B:$B,$E$3,'DB WBS'!$E:$E,$B114)</f>
        <v>0</v>
      </c>
      <c r="F114" s="183">
        <f>SUMIFS('DB WBS'!$J:$J,'DB WBS'!$A:$A,$D$4,'DB WBS'!$D:$D,AA$2,'DB WBS'!$B:$B,$E$3,'DB WBS'!$E:$E,$B114)</f>
        <v>0</v>
      </c>
      <c r="G114" s="184">
        <f>IFERROR(HLOOKUP($E$3,'Tahun Lalu'!$B$5:$V$158,MATCH(B114,'Tahun Lalu'!$B$5:$B$158,0),0),0)</f>
        <v>0</v>
      </c>
      <c r="H114" s="184">
        <v>0.0</v>
      </c>
      <c r="I114" s="184">
        <v>0.0</v>
      </c>
      <c r="J114" s="183">
        <f t="shared" si="3"/>
        <v>0</v>
      </c>
      <c r="K114" s="183">
        <f t="shared" si="4"/>
        <v>0</v>
      </c>
      <c r="L114" s="183">
        <f t="shared" si="5"/>
        <v>0</v>
      </c>
      <c r="M114" s="183">
        <f t="shared" si="6"/>
        <v>0</v>
      </c>
      <c r="N114" s="183">
        <f t="shared" si="148"/>
        <v>0</v>
      </c>
      <c r="O114" s="183">
        <f t="shared" ref="O114:Q114" si="149">G114+W114</f>
        <v>0</v>
      </c>
      <c r="P114" s="183">
        <f t="shared" si="149"/>
        <v>0</v>
      </c>
      <c r="Q114" s="183">
        <f t="shared" si="149"/>
        <v>0</v>
      </c>
      <c r="R114" s="183">
        <f t="shared" si="9"/>
        <v>0</v>
      </c>
      <c r="S114" s="183">
        <f t="shared" si="10"/>
        <v>0</v>
      </c>
      <c r="T114" s="183">
        <f t="shared" si="11"/>
        <v>0</v>
      </c>
      <c r="U114" s="186"/>
      <c r="V114" s="183">
        <f>IFERROR(__xludf.DUMMYFUNCTION("""COMPUTED_VALUE"""),0.0)</f>
        <v>0</v>
      </c>
      <c r="W114" s="183">
        <f>IFERROR(__xludf.DUMMYFUNCTION("""COMPUTED_VALUE"""),0.0)</f>
        <v>0</v>
      </c>
      <c r="X114" s="183">
        <f>IFERROR(__xludf.DUMMYFUNCTION("""COMPUTED_VALUE"""),0.0)</f>
        <v>0</v>
      </c>
      <c r="Y114" s="183">
        <f>IFERROR(__xludf.DUMMYFUNCTION("""COMPUTED_VALUE"""),0.0)</f>
        <v>0</v>
      </c>
      <c r="Z114" s="183">
        <f t="shared" si="12"/>
        <v>0</v>
      </c>
      <c r="AA114" s="183">
        <f t="shared" si="13"/>
        <v>0</v>
      </c>
      <c r="AB114" s="183">
        <f t="shared" si="14"/>
        <v>0</v>
      </c>
    </row>
    <row r="115" ht="14.25" customHeight="1">
      <c r="A115" s="175"/>
      <c r="B115" s="208"/>
      <c r="C115" s="181"/>
      <c r="D115" s="209" t="s">
        <v>858</v>
      </c>
      <c r="E115" s="183">
        <f>SUMIFS('DB WBS'!$J:$J,'DB WBS'!$A:$A,$D$4,'DB WBS'!$D:$D,AA$1,'DB WBS'!$B:$B,$E$3,'DB WBS'!$E:$E,$B115)</f>
        <v>0</v>
      </c>
      <c r="F115" s="183">
        <f>SUMIFS('DB WBS'!$J:$J,'DB WBS'!$A:$A,$D$4,'DB WBS'!$D:$D,AA$2,'DB WBS'!$B:$B,$E$3,'DB WBS'!$E:$E,$B115)</f>
        <v>0</v>
      </c>
      <c r="G115" s="184">
        <f>IFERROR(HLOOKUP($E$3,'Tahun Lalu'!$B$5:$V$158,MATCH(B115,'Tahun Lalu'!$B$5:$B$158,0),0),0)</f>
        <v>0</v>
      </c>
      <c r="H115" s="184">
        <v>0.0</v>
      </c>
      <c r="I115" s="184">
        <v>0.0</v>
      </c>
      <c r="J115" s="183">
        <f t="shared" si="3"/>
        <v>0</v>
      </c>
      <c r="K115" s="183">
        <f t="shared" si="4"/>
        <v>0</v>
      </c>
      <c r="L115" s="183">
        <f t="shared" si="5"/>
        <v>0</v>
      </c>
      <c r="M115" s="183">
        <f t="shared" si="6"/>
        <v>0</v>
      </c>
      <c r="N115" s="183">
        <f t="shared" si="148"/>
        <v>0</v>
      </c>
      <c r="O115" s="183">
        <f t="shared" ref="O115:Q115" si="150">G115+W115</f>
        <v>0</v>
      </c>
      <c r="P115" s="183">
        <f t="shared" si="150"/>
        <v>0</v>
      </c>
      <c r="Q115" s="183">
        <f t="shared" si="150"/>
        <v>0</v>
      </c>
      <c r="R115" s="183">
        <f t="shared" si="9"/>
        <v>0</v>
      </c>
      <c r="S115" s="183">
        <f t="shared" si="10"/>
        <v>0</v>
      </c>
      <c r="T115" s="183">
        <f t="shared" si="11"/>
        <v>0</v>
      </c>
      <c r="U115" s="186"/>
      <c r="V115" s="183">
        <f>IFERROR(__xludf.DUMMYFUNCTION("""COMPUTED_VALUE"""),0.0)</f>
        <v>0</v>
      </c>
      <c r="W115" s="183">
        <f>IFERROR(__xludf.DUMMYFUNCTION("""COMPUTED_VALUE"""),0.0)</f>
        <v>0</v>
      </c>
      <c r="X115" s="183">
        <f>IFERROR(__xludf.DUMMYFUNCTION("""COMPUTED_VALUE"""),0.0)</f>
        <v>0</v>
      </c>
      <c r="Y115" s="183">
        <f>IFERROR(__xludf.DUMMYFUNCTION("""COMPUTED_VALUE"""),0.0)</f>
        <v>0</v>
      </c>
      <c r="Z115" s="183">
        <f t="shared" si="12"/>
        <v>0</v>
      </c>
      <c r="AA115" s="183">
        <f t="shared" si="13"/>
        <v>0</v>
      </c>
      <c r="AB115" s="183">
        <f t="shared" si="14"/>
        <v>0</v>
      </c>
    </row>
    <row r="116" ht="14.25" customHeight="1">
      <c r="A116" s="175"/>
      <c r="B116" s="208"/>
      <c r="C116" s="181"/>
      <c r="D116" s="209" t="s">
        <v>859</v>
      </c>
      <c r="E116" s="183">
        <f>SUMIFS('DB WBS'!$J:$J,'DB WBS'!$A:$A,$D$4,'DB WBS'!$D:$D,AA$1,'DB WBS'!$B:$B,$E$3,'DB WBS'!$E:$E,$B116)</f>
        <v>0</v>
      </c>
      <c r="F116" s="183">
        <f>SUMIFS('DB WBS'!$J:$J,'DB WBS'!$A:$A,$D$4,'DB WBS'!$D:$D,AA$2,'DB WBS'!$B:$B,$E$3,'DB WBS'!$E:$E,$B116)</f>
        <v>0</v>
      </c>
      <c r="G116" s="184">
        <f>IFERROR(HLOOKUP($E$3,'Tahun Lalu'!$B$5:$V$158,MATCH(B116,'Tahun Lalu'!$B$5:$B$158,0),0),0)</f>
        <v>0</v>
      </c>
      <c r="H116" s="184">
        <v>0.0</v>
      </c>
      <c r="I116" s="184">
        <v>0.0</v>
      </c>
      <c r="J116" s="183">
        <f t="shared" si="3"/>
        <v>0</v>
      </c>
      <c r="K116" s="183">
        <f t="shared" si="4"/>
        <v>0</v>
      </c>
      <c r="L116" s="183">
        <f t="shared" si="5"/>
        <v>0</v>
      </c>
      <c r="M116" s="183">
        <f t="shared" si="6"/>
        <v>0</v>
      </c>
      <c r="N116" s="183">
        <f t="shared" si="148"/>
        <v>0</v>
      </c>
      <c r="O116" s="183">
        <f t="shared" ref="O116:Q116" si="151">G116+W116</f>
        <v>0</v>
      </c>
      <c r="P116" s="183">
        <f t="shared" si="151"/>
        <v>0</v>
      </c>
      <c r="Q116" s="183">
        <f t="shared" si="151"/>
        <v>0</v>
      </c>
      <c r="R116" s="183">
        <f t="shared" si="9"/>
        <v>0</v>
      </c>
      <c r="S116" s="183">
        <f t="shared" si="10"/>
        <v>0</v>
      </c>
      <c r="T116" s="183">
        <f t="shared" si="11"/>
        <v>0</v>
      </c>
      <c r="U116" s="186"/>
      <c r="V116" s="183">
        <f>IFERROR(__xludf.DUMMYFUNCTION("""COMPUTED_VALUE"""),0.0)</f>
        <v>0</v>
      </c>
      <c r="W116" s="183">
        <f>IFERROR(__xludf.DUMMYFUNCTION("""COMPUTED_VALUE"""),0.0)</f>
        <v>0</v>
      </c>
      <c r="X116" s="183">
        <f>IFERROR(__xludf.DUMMYFUNCTION("""COMPUTED_VALUE"""),0.0)</f>
        <v>0</v>
      </c>
      <c r="Y116" s="183">
        <f>IFERROR(__xludf.DUMMYFUNCTION("""COMPUTED_VALUE"""),0.0)</f>
        <v>0</v>
      </c>
      <c r="Z116" s="183">
        <f t="shared" si="12"/>
        <v>0</v>
      </c>
      <c r="AA116" s="183">
        <f t="shared" si="13"/>
        <v>0</v>
      </c>
      <c r="AB116" s="183">
        <f t="shared" si="14"/>
        <v>0</v>
      </c>
    </row>
    <row r="117" ht="14.25" customHeight="1">
      <c r="A117" s="175"/>
      <c r="B117" s="211"/>
      <c r="C117" s="177"/>
      <c r="D117" s="182"/>
      <c r="E117" s="183">
        <f>SUMIFS('DB WBS'!$J:$J,'DB WBS'!$A:$A,$D$4,'DB WBS'!$D:$D,AA$1,'DB WBS'!$B:$B,$E$3,'DB WBS'!$E:$E,$B117)</f>
        <v>0</v>
      </c>
      <c r="F117" s="183">
        <f>SUMIFS('DB WBS'!$J:$J,'DB WBS'!$A:$A,$D$4,'DB WBS'!$D:$D,AA$2,'DB WBS'!$B:$B,$E$3,'DB WBS'!$E:$E,$B117)</f>
        <v>0</v>
      </c>
      <c r="G117" s="184">
        <f>IFERROR(HLOOKUP($E$3,'Tahun Lalu'!$B$5:$V$158,MATCH(B117,'Tahun Lalu'!$B$5:$B$158,0),0),0)</f>
        <v>0</v>
      </c>
      <c r="H117" s="184">
        <v>0.0</v>
      </c>
      <c r="I117" s="184">
        <v>0.0</v>
      </c>
      <c r="J117" s="183">
        <f t="shared" si="3"/>
        <v>0</v>
      </c>
      <c r="K117" s="183">
        <f t="shared" si="4"/>
        <v>0</v>
      </c>
      <c r="L117" s="183">
        <f t="shared" si="5"/>
        <v>0</v>
      </c>
      <c r="M117" s="183">
        <f t="shared" si="6"/>
        <v>0</v>
      </c>
      <c r="N117" s="183">
        <f t="shared" si="148"/>
        <v>0</v>
      </c>
      <c r="O117" s="183">
        <f t="shared" ref="O117:Q117" si="152">G117+W117</f>
        <v>0</v>
      </c>
      <c r="P117" s="183">
        <f t="shared" si="152"/>
        <v>0</v>
      </c>
      <c r="Q117" s="183">
        <f t="shared" si="152"/>
        <v>0</v>
      </c>
      <c r="R117" s="183">
        <f t="shared" si="9"/>
        <v>0</v>
      </c>
      <c r="S117" s="183">
        <f t="shared" si="10"/>
        <v>0</v>
      </c>
      <c r="T117" s="183">
        <f t="shared" si="11"/>
        <v>0</v>
      </c>
      <c r="U117" s="186"/>
      <c r="V117" s="183">
        <f>IFERROR(__xludf.DUMMYFUNCTION("""COMPUTED_VALUE"""),0.0)</f>
        <v>0</v>
      </c>
      <c r="W117" s="183">
        <f>IFERROR(__xludf.DUMMYFUNCTION("""COMPUTED_VALUE"""),0.0)</f>
        <v>0</v>
      </c>
      <c r="X117" s="183">
        <f>IFERROR(__xludf.DUMMYFUNCTION("""COMPUTED_VALUE"""),0.0)</f>
        <v>0</v>
      </c>
      <c r="Y117" s="183">
        <f>IFERROR(__xludf.DUMMYFUNCTION("""COMPUTED_VALUE"""),0.0)</f>
        <v>0</v>
      </c>
      <c r="Z117" s="183">
        <f t="shared" si="12"/>
        <v>0</v>
      </c>
      <c r="AA117" s="183">
        <f t="shared" si="13"/>
        <v>0</v>
      </c>
      <c r="AB117" s="183">
        <f t="shared" si="14"/>
        <v>0</v>
      </c>
    </row>
    <row r="118" ht="14.25" customHeight="1">
      <c r="A118" s="175"/>
      <c r="B118" s="212" t="s">
        <v>860</v>
      </c>
      <c r="C118" s="199"/>
      <c r="D118" s="200"/>
      <c r="E118" s="201">
        <f t="shared" ref="E118:I118" si="153">SUM(E113:E117)</f>
        <v>0</v>
      </c>
      <c r="F118" s="201">
        <f t="shared" si="153"/>
        <v>0</v>
      </c>
      <c r="G118" s="201">
        <f t="shared" si="153"/>
        <v>0</v>
      </c>
      <c r="H118" s="201">
        <f t="shared" si="153"/>
        <v>0</v>
      </c>
      <c r="I118" s="201">
        <f t="shared" si="153"/>
        <v>0</v>
      </c>
      <c r="J118" s="201">
        <f t="shared" si="3"/>
        <v>0</v>
      </c>
      <c r="K118" s="201">
        <f t="shared" si="4"/>
        <v>0</v>
      </c>
      <c r="L118" s="201">
        <f t="shared" si="5"/>
        <v>0</v>
      </c>
      <c r="M118" s="201">
        <f t="shared" si="6"/>
        <v>0</v>
      </c>
      <c r="N118" s="201">
        <f t="shared" ref="N118:Q118" si="154">SUM(N113:N117)</f>
        <v>0</v>
      </c>
      <c r="O118" s="201">
        <f t="shared" si="154"/>
        <v>0</v>
      </c>
      <c r="P118" s="201">
        <f t="shared" si="154"/>
        <v>0</v>
      </c>
      <c r="Q118" s="201">
        <f t="shared" si="154"/>
        <v>0</v>
      </c>
      <c r="R118" s="201">
        <f t="shared" si="9"/>
        <v>0</v>
      </c>
      <c r="S118" s="201">
        <f t="shared" si="10"/>
        <v>0</v>
      </c>
      <c r="T118" s="201">
        <f t="shared" si="11"/>
        <v>0</v>
      </c>
      <c r="U118" s="202"/>
      <c r="V118" s="201">
        <f>IFERROR(__xludf.DUMMYFUNCTION("""COMPUTED_VALUE"""),0.0)</f>
        <v>0</v>
      </c>
      <c r="W118" s="201">
        <f>IFERROR(__xludf.DUMMYFUNCTION("""COMPUTED_VALUE"""),0.0)</f>
        <v>0</v>
      </c>
      <c r="X118" s="201">
        <f>IFERROR(__xludf.DUMMYFUNCTION("""COMPUTED_VALUE"""),0.0)</f>
        <v>0</v>
      </c>
      <c r="Y118" s="201">
        <f>IFERROR(__xludf.DUMMYFUNCTION("""COMPUTED_VALUE"""),0.0)</f>
        <v>0</v>
      </c>
      <c r="Z118" s="201">
        <f t="shared" si="12"/>
        <v>0</v>
      </c>
      <c r="AA118" s="201">
        <f t="shared" si="13"/>
        <v>0</v>
      </c>
      <c r="AB118" s="201">
        <f t="shared" si="14"/>
        <v>0</v>
      </c>
    </row>
    <row r="119" ht="14.25" customHeight="1">
      <c r="A119" s="175"/>
      <c r="B119" s="204" t="s">
        <v>861</v>
      </c>
      <c r="C119" s="205"/>
      <c r="D119" s="206"/>
      <c r="E119" s="207">
        <f t="shared" ref="E119:I119" si="155">E97+E91+E100+E103+E106+E109+E112+E118</f>
        <v>68056858</v>
      </c>
      <c r="F119" s="207">
        <f t="shared" si="155"/>
        <v>49866411</v>
      </c>
      <c r="G119" s="207">
        <f t="shared" si="155"/>
        <v>186732056</v>
      </c>
      <c r="H119" s="207">
        <f t="shared" si="155"/>
        <v>0</v>
      </c>
      <c r="I119" s="207">
        <f t="shared" si="155"/>
        <v>0</v>
      </c>
      <c r="J119" s="207">
        <f t="shared" si="3"/>
        <v>136.4783561</v>
      </c>
      <c r="K119" s="207">
        <f t="shared" si="4"/>
        <v>36.44626395</v>
      </c>
      <c r="L119" s="207">
        <f t="shared" si="5"/>
        <v>0</v>
      </c>
      <c r="M119" s="207">
        <f t="shared" si="6"/>
        <v>0</v>
      </c>
      <c r="N119" s="207">
        <f t="shared" ref="N119:Q119" si="156">N97+N91+N100+N103+N106+N109+N112+N118</f>
        <v>295416909</v>
      </c>
      <c r="O119" s="207">
        <f t="shared" si="156"/>
        <v>931786726</v>
      </c>
      <c r="P119" s="207">
        <f t="shared" si="156"/>
        <v>0</v>
      </c>
      <c r="Q119" s="207">
        <f t="shared" si="156"/>
        <v>0</v>
      </c>
      <c r="R119" s="207">
        <f t="shared" si="9"/>
        <v>31.7043483</v>
      </c>
      <c r="S119" s="207">
        <f t="shared" si="10"/>
        <v>0</v>
      </c>
      <c r="T119" s="207">
        <f t="shared" si="11"/>
        <v>0</v>
      </c>
      <c r="U119" s="202"/>
      <c r="V119" s="207">
        <f>IFERROR(__xludf.DUMMYFUNCTION("""COMPUTED_VALUE"""),2.27360051E8)</f>
        <v>227360051</v>
      </c>
      <c r="W119" s="207">
        <f>IFERROR(__xludf.DUMMYFUNCTION("""COMPUTED_VALUE"""),7.4505467E8)</f>
        <v>745054670</v>
      </c>
      <c r="X119" s="207">
        <f>IFERROR(__xludf.DUMMYFUNCTION("""COMPUTED_VALUE"""),0.0)</f>
        <v>0</v>
      </c>
      <c r="Y119" s="207">
        <f>IFERROR(__xludf.DUMMYFUNCTION("""COMPUTED_VALUE"""),0.0)</f>
        <v>0</v>
      </c>
      <c r="Z119" s="207">
        <f t="shared" si="12"/>
        <v>30.51588832</v>
      </c>
      <c r="AA119" s="207">
        <f t="shared" si="13"/>
        <v>0</v>
      </c>
      <c r="AB119" s="207">
        <f t="shared" si="14"/>
        <v>0</v>
      </c>
    </row>
    <row r="120" ht="14.25" customHeight="1">
      <c r="A120" s="175"/>
      <c r="B120" s="208" t="s">
        <v>862</v>
      </c>
      <c r="C120" s="181"/>
      <c r="D120" s="209" t="s">
        <v>863</v>
      </c>
      <c r="E120" s="183">
        <f>SUMIFS('DB WBS'!$J:$J,'DB WBS'!$A:$A,$D$4,'DB WBS'!$D:$D,AA$1,'DB WBS'!$B:$B,$E$3,'DB WBS'!$E:$E,$B120)</f>
        <v>0</v>
      </c>
      <c r="F120" s="183">
        <f>SUMIFS('DB WBS'!$J:$J,'DB WBS'!$A:$A,$D$4,'DB WBS'!$D:$D,AA$2,'DB WBS'!$B:$B,$E$3,'DB WBS'!$E:$E,$B120)</f>
        <v>0</v>
      </c>
      <c r="G120" s="184">
        <f>IFERROR(HLOOKUP($E$3,'Tahun Lalu'!$B$5:$V$158,MATCH(B120,'Tahun Lalu'!$B$5:$B$158,0),0),0)</f>
        <v>0</v>
      </c>
      <c r="H120" s="184">
        <v>0.0</v>
      </c>
      <c r="I120" s="184">
        <v>0.0</v>
      </c>
      <c r="J120" s="183">
        <f t="shared" si="3"/>
        <v>0</v>
      </c>
      <c r="K120" s="183">
        <f t="shared" si="4"/>
        <v>0</v>
      </c>
      <c r="L120" s="183">
        <f t="shared" si="5"/>
        <v>0</v>
      </c>
      <c r="M120" s="183">
        <f t="shared" si="6"/>
        <v>0</v>
      </c>
      <c r="N120" s="183">
        <f t="shared" ref="N120:N121" si="158">E120+V120</f>
        <v>0</v>
      </c>
      <c r="O120" s="183">
        <f t="shared" ref="O120:Q120" si="157">G120+W120</f>
        <v>0</v>
      </c>
      <c r="P120" s="183">
        <f t="shared" si="157"/>
        <v>0</v>
      </c>
      <c r="Q120" s="183">
        <f t="shared" si="157"/>
        <v>0</v>
      </c>
      <c r="R120" s="183">
        <f t="shared" si="9"/>
        <v>0</v>
      </c>
      <c r="S120" s="183">
        <f t="shared" si="10"/>
        <v>0</v>
      </c>
      <c r="T120" s="183">
        <f t="shared" si="11"/>
        <v>0</v>
      </c>
      <c r="U120" s="186"/>
      <c r="V120" s="183">
        <f>IFERROR(__xludf.DUMMYFUNCTION("""COMPUTED_VALUE"""),0.0)</f>
        <v>0</v>
      </c>
      <c r="W120" s="183">
        <f>IFERROR(__xludf.DUMMYFUNCTION("""COMPUTED_VALUE"""),0.0)</f>
        <v>0</v>
      </c>
      <c r="X120" s="183">
        <f>IFERROR(__xludf.DUMMYFUNCTION("""COMPUTED_VALUE"""),0.0)</f>
        <v>0</v>
      </c>
      <c r="Y120" s="183">
        <f>IFERROR(__xludf.DUMMYFUNCTION("""COMPUTED_VALUE"""),0.0)</f>
        <v>0</v>
      </c>
      <c r="Z120" s="183">
        <f t="shared" si="12"/>
        <v>0</v>
      </c>
      <c r="AA120" s="183">
        <f t="shared" si="13"/>
        <v>0</v>
      </c>
      <c r="AB120" s="183">
        <f t="shared" si="14"/>
        <v>0</v>
      </c>
    </row>
    <row r="121" ht="14.25" customHeight="1">
      <c r="A121" s="175"/>
      <c r="B121" s="211"/>
      <c r="C121" s="177"/>
      <c r="D121" s="182"/>
      <c r="E121" s="183">
        <f>SUMIFS('DB WBS'!$J:$J,'DB WBS'!$A:$A,$D$4,'DB WBS'!$D:$D,AA$1,'DB WBS'!$B:$B,$E$3,'DB WBS'!$E:$E,$B121)</f>
        <v>0</v>
      </c>
      <c r="F121" s="183">
        <f>SUMIFS('DB WBS'!$J:$J,'DB WBS'!$A:$A,$D$4,'DB WBS'!$D:$D,AA$2,'DB WBS'!$B:$B,$E$3,'DB WBS'!$E:$E,$B121)</f>
        <v>0</v>
      </c>
      <c r="G121" s="184">
        <f>IFERROR(HLOOKUP($E$3,'Tahun Lalu'!$B$5:$V$158,MATCH(B121,'Tahun Lalu'!$B$5:$B$158,0),0),0)</f>
        <v>0</v>
      </c>
      <c r="H121" s="184">
        <v>0.0</v>
      </c>
      <c r="I121" s="184">
        <v>0.0</v>
      </c>
      <c r="J121" s="183">
        <f t="shared" si="3"/>
        <v>0</v>
      </c>
      <c r="K121" s="183">
        <f t="shared" si="4"/>
        <v>0</v>
      </c>
      <c r="L121" s="183">
        <f t="shared" si="5"/>
        <v>0</v>
      </c>
      <c r="M121" s="183">
        <f t="shared" si="6"/>
        <v>0</v>
      </c>
      <c r="N121" s="183">
        <f t="shared" si="158"/>
        <v>0</v>
      </c>
      <c r="O121" s="183">
        <f t="shared" ref="O121:Q121" si="159">G121+W121</f>
        <v>0</v>
      </c>
      <c r="P121" s="183">
        <f t="shared" si="159"/>
        <v>0</v>
      </c>
      <c r="Q121" s="183">
        <f t="shared" si="159"/>
        <v>0</v>
      </c>
      <c r="R121" s="183">
        <f t="shared" si="9"/>
        <v>0</v>
      </c>
      <c r="S121" s="183">
        <f t="shared" si="10"/>
        <v>0</v>
      </c>
      <c r="T121" s="183">
        <f t="shared" si="11"/>
        <v>0</v>
      </c>
      <c r="U121" s="186"/>
      <c r="V121" s="183">
        <f>IFERROR(__xludf.DUMMYFUNCTION("""COMPUTED_VALUE"""),0.0)</f>
        <v>0</v>
      </c>
      <c r="W121" s="183">
        <f>IFERROR(__xludf.DUMMYFUNCTION("""COMPUTED_VALUE"""),0.0)</f>
        <v>0</v>
      </c>
      <c r="X121" s="183">
        <f>IFERROR(__xludf.DUMMYFUNCTION("""COMPUTED_VALUE"""),0.0)</f>
        <v>0</v>
      </c>
      <c r="Y121" s="183">
        <f>IFERROR(__xludf.DUMMYFUNCTION("""COMPUTED_VALUE"""),0.0)</f>
        <v>0</v>
      </c>
      <c r="Z121" s="183">
        <f t="shared" si="12"/>
        <v>0</v>
      </c>
      <c r="AA121" s="183">
        <f t="shared" si="13"/>
        <v>0</v>
      </c>
      <c r="AB121" s="183">
        <f t="shared" si="14"/>
        <v>0</v>
      </c>
    </row>
    <row r="122" ht="14.25" customHeight="1">
      <c r="A122" s="175"/>
      <c r="B122" s="191" t="s">
        <v>864</v>
      </c>
      <c r="C122" s="199"/>
      <c r="D122" s="200"/>
      <c r="E122" s="201">
        <f t="shared" ref="E122:I122" si="160">SUM(E120:E121)</f>
        <v>0</v>
      </c>
      <c r="F122" s="201">
        <f t="shared" si="160"/>
        <v>0</v>
      </c>
      <c r="G122" s="201">
        <f t="shared" si="160"/>
        <v>0</v>
      </c>
      <c r="H122" s="201">
        <f t="shared" si="160"/>
        <v>0</v>
      </c>
      <c r="I122" s="201">
        <f t="shared" si="160"/>
        <v>0</v>
      </c>
      <c r="J122" s="201">
        <f t="shared" si="3"/>
        <v>0</v>
      </c>
      <c r="K122" s="201">
        <f t="shared" si="4"/>
        <v>0</v>
      </c>
      <c r="L122" s="201">
        <f t="shared" si="5"/>
        <v>0</v>
      </c>
      <c r="M122" s="201">
        <f t="shared" si="6"/>
        <v>0</v>
      </c>
      <c r="N122" s="201">
        <f t="shared" ref="N122:Q122" si="161">SUM(N120:N121)</f>
        <v>0</v>
      </c>
      <c r="O122" s="201">
        <f t="shared" si="161"/>
        <v>0</v>
      </c>
      <c r="P122" s="201">
        <f t="shared" si="161"/>
        <v>0</v>
      </c>
      <c r="Q122" s="201">
        <f t="shared" si="161"/>
        <v>0</v>
      </c>
      <c r="R122" s="201">
        <f t="shared" si="9"/>
        <v>0</v>
      </c>
      <c r="S122" s="201">
        <f t="shared" si="10"/>
        <v>0</v>
      </c>
      <c r="T122" s="201">
        <f t="shared" si="11"/>
        <v>0</v>
      </c>
      <c r="U122" s="202"/>
      <c r="V122" s="201">
        <f>IFERROR(__xludf.DUMMYFUNCTION("""COMPUTED_VALUE"""),0.0)</f>
        <v>0</v>
      </c>
      <c r="W122" s="201">
        <f>IFERROR(__xludf.DUMMYFUNCTION("""COMPUTED_VALUE"""),0.0)</f>
        <v>0</v>
      </c>
      <c r="X122" s="201">
        <f>IFERROR(__xludf.DUMMYFUNCTION("""COMPUTED_VALUE"""),0.0)</f>
        <v>0</v>
      </c>
      <c r="Y122" s="201">
        <f>IFERROR(__xludf.DUMMYFUNCTION("""COMPUTED_VALUE"""),0.0)</f>
        <v>0</v>
      </c>
      <c r="Z122" s="201">
        <f t="shared" si="12"/>
        <v>0</v>
      </c>
      <c r="AA122" s="201">
        <f t="shared" si="13"/>
        <v>0</v>
      </c>
      <c r="AB122" s="201">
        <f t="shared" si="14"/>
        <v>0</v>
      </c>
    </row>
    <row r="123" ht="14.25" customHeight="1">
      <c r="A123" s="175"/>
      <c r="B123" s="208" t="s">
        <v>164</v>
      </c>
      <c r="C123" s="181"/>
      <c r="D123" s="209" t="s">
        <v>165</v>
      </c>
      <c r="E123" s="183">
        <f>SUMIFS('DB WBS'!$J:$J,'DB WBS'!$A:$A,$D$4,'DB WBS'!$D:$D,AA$1,'DB WBS'!$B:$B,$E$3,'DB WBS'!$E:$E,$B123)</f>
        <v>0</v>
      </c>
      <c r="F123" s="183">
        <f>SUMIFS('DB WBS'!$J:$J,'DB WBS'!$A:$A,$D$4,'DB WBS'!$D:$D,AA$2,'DB WBS'!$B:$B,$E$3,'DB WBS'!$E:$E,$B123)</f>
        <v>0</v>
      </c>
      <c r="G123" s="184">
        <f>IFERROR(HLOOKUP($E$3,'Tahun Lalu'!$B$5:$V$158,MATCH(B123,'Tahun Lalu'!$B$5:$B$158,0),0),0)</f>
        <v>0</v>
      </c>
      <c r="H123" s="184">
        <v>0.0</v>
      </c>
      <c r="I123" s="184">
        <v>0.0</v>
      </c>
      <c r="J123" s="183">
        <f t="shared" si="3"/>
        <v>0</v>
      </c>
      <c r="K123" s="183">
        <f t="shared" si="4"/>
        <v>0</v>
      </c>
      <c r="L123" s="183">
        <f t="shared" si="5"/>
        <v>0</v>
      </c>
      <c r="M123" s="183">
        <f t="shared" si="6"/>
        <v>0</v>
      </c>
      <c r="N123" s="183">
        <f t="shared" ref="N123:N127" si="163">E123+V123</f>
        <v>0</v>
      </c>
      <c r="O123" s="183">
        <f t="shared" ref="O123:Q123" si="162">G123+W123</f>
        <v>0</v>
      </c>
      <c r="P123" s="183">
        <f t="shared" si="162"/>
        <v>0</v>
      </c>
      <c r="Q123" s="183">
        <f t="shared" si="162"/>
        <v>0</v>
      </c>
      <c r="R123" s="183">
        <f t="shared" si="9"/>
        <v>0</v>
      </c>
      <c r="S123" s="183">
        <f t="shared" si="10"/>
        <v>0</v>
      </c>
      <c r="T123" s="183">
        <f t="shared" si="11"/>
        <v>0</v>
      </c>
      <c r="U123" s="186"/>
      <c r="V123" s="183">
        <f>IFERROR(__xludf.DUMMYFUNCTION("""COMPUTED_VALUE"""),0.0)</f>
        <v>0</v>
      </c>
      <c r="W123" s="183">
        <f>IFERROR(__xludf.DUMMYFUNCTION("""COMPUTED_VALUE"""),0.0)</f>
        <v>0</v>
      </c>
      <c r="X123" s="183">
        <f>IFERROR(__xludf.DUMMYFUNCTION("""COMPUTED_VALUE"""),0.0)</f>
        <v>0</v>
      </c>
      <c r="Y123" s="183">
        <f>IFERROR(__xludf.DUMMYFUNCTION("""COMPUTED_VALUE"""),0.0)</f>
        <v>0</v>
      </c>
      <c r="Z123" s="183">
        <f t="shared" si="12"/>
        <v>0</v>
      </c>
      <c r="AA123" s="183">
        <f t="shared" si="13"/>
        <v>0</v>
      </c>
      <c r="AB123" s="183">
        <f t="shared" si="14"/>
        <v>0</v>
      </c>
    </row>
    <row r="124" ht="14.25" customHeight="1">
      <c r="A124" s="175"/>
      <c r="B124" s="208" t="s">
        <v>865</v>
      </c>
      <c r="C124" s="181"/>
      <c r="D124" s="209" t="s">
        <v>866</v>
      </c>
      <c r="E124" s="183">
        <f>SUMIFS('DB WBS'!$J:$J,'DB WBS'!$A:$A,$D$4,'DB WBS'!$D:$D,AA$1,'DB WBS'!$B:$B,$E$3,'DB WBS'!$E:$E,$B124)</f>
        <v>0</v>
      </c>
      <c r="F124" s="183">
        <f>SUMIFS('DB WBS'!$J:$J,'DB WBS'!$A:$A,$D$4,'DB WBS'!$D:$D,AA$2,'DB WBS'!$B:$B,$E$3,'DB WBS'!$E:$E,$B124)</f>
        <v>0</v>
      </c>
      <c r="G124" s="184">
        <f>IFERROR(HLOOKUP($E$3,'Tahun Lalu'!$B$5:$V$158,MATCH(B124,'Tahun Lalu'!$B$5:$B$158,0),0),0)</f>
        <v>0</v>
      </c>
      <c r="H124" s="184">
        <v>0.0</v>
      </c>
      <c r="I124" s="184">
        <v>0.0</v>
      </c>
      <c r="J124" s="183">
        <f t="shared" si="3"/>
        <v>0</v>
      </c>
      <c r="K124" s="183">
        <f t="shared" si="4"/>
        <v>0</v>
      </c>
      <c r="L124" s="183">
        <f t="shared" si="5"/>
        <v>0</v>
      </c>
      <c r="M124" s="183">
        <f t="shared" si="6"/>
        <v>0</v>
      </c>
      <c r="N124" s="183">
        <f t="shared" si="163"/>
        <v>0</v>
      </c>
      <c r="O124" s="183">
        <f t="shared" ref="O124:Q124" si="164">G124+W124</f>
        <v>0</v>
      </c>
      <c r="P124" s="183">
        <f t="shared" si="164"/>
        <v>0</v>
      </c>
      <c r="Q124" s="183">
        <f t="shared" si="164"/>
        <v>0</v>
      </c>
      <c r="R124" s="183">
        <f t="shared" si="9"/>
        <v>0</v>
      </c>
      <c r="S124" s="183">
        <f t="shared" si="10"/>
        <v>0</v>
      </c>
      <c r="T124" s="183">
        <f t="shared" si="11"/>
        <v>0</v>
      </c>
      <c r="U124" s="186"/>
      <c r="V124" s="183">
        <f>IFERROR(__xludf.DUMMYFUNCTION("""COMPUTED_VALUE"""),0.0)</f>
        <v>0</v>
      </c>
      <c r="W124" s="183">
        <f>IFERROR(__xludf.DUMMYFUNCTION("""COMPUTED_VALUE"""),0.0)</f>
        <v>0</v>
      </c>
      <c r="X124" s="183">
        <f>IFERROR(__xludf.DUMMYFUNCTION("""COMPUTED_VALUE"""),0.0)</f>
        <v>0</v>
      </c>
      <c r="Y124" s="183">
        <f>IFERROR(__xludf.DUMMYFUNCTION("""COMPUTED_VALUE"""),0.0)</f>
        <v>0</v>
      </c>
      <c r="Z124" s="183">
        <f t="shared" si="12"/>
        <v>0</v>
      </c>
      <c r="AA124" s="183">
        <f t="shared" si="13"/>
        <v>0</v>
      </c>
      <c r="AB124" s="183">
        <f t="shared" si="14"/>
        <v>0</v>
      </c>
    </row>
    <row r="125" ht="14.25" customHeight="1">
      <c r="A125" s="175"/>
      <c r="B125" s="208" t="s">
        <v>867</v>
      </c>
      <c r="C125" s="181"/>
      <c r="D125" s="209" t="s">
        <v>868</v>
      </c>
      <c r="E125" s="183">
        <f>SUMIFS('DB WBS'!$J:$J,'DB WBS'!$A:$A,$D$4,'DB WBS'!$D:$D,AA$1,'DB WBS'!$B:$B,$E$3,'DB WBS'!$E:$E,$B125)</f>
        <v>0</v>
      </c>
      <c r="F125" s="183">
        <f>SUMIFS('DB WBS'!$J:$J,'DB WBS'!$A:$A,$D$4,'DB WBS'!$D:$D,AA$2,'DB WBS'!$B:$B,$E$3,'DB WBS'!$E:$E,$B125)</f>
        <v>0</v>
      </c>
      <c r="G125" s="184">
        <f>IFERROR(HLOOKUP($E$3,'Tahun Lalu'!$B$5:$V$158,MATCH(B125,'Tahun Lalu'!$B$5:$B$158,0),0),0)</f>
        <v>0</v>
      </c>
      <c r="H125" s="184">
        <v>0.0</v>
      </c>
      <c r="I125" s="184">
        <v>0.0</v>
      </c>
      <c r="J125" s="183">
        <f t="shared" si="3"/>
        <v>0</v>
      </c>
      <c r="K125" s="183">
        <f t="shared" si="4"/>
        <v>0</v>
      </c>
      <c r="L125" s="183">
        <f t="shared" si="5"/>
        <v>0</v>
      </c>
      <c r="M125" s="183">
        <f t="shared" si="6"/>
        <v>0</v>
      </c>
      <c r="N125" s="183">
        <f t="shared" si="163"/>
        <v>0</v>
      </c>
      <c r="O125" s="183">
        <f t="shared" ref="O125:Q125" si="165">G125+W125</f>
        <v>0</v>
      </c>
      <c r="P125" s="183">
        <f t="shared" si="165"/>
        <v>0</v>
      </c>
      <c r="Q125" s="183">
        <f t="shared" si="165"/>
        <v>0</v>
      </c>
      <c r="R125" s="183">
        <f t="shared" si="9"/>
        <v>0</v>
      </c>
      <c r="S125" s="183">
        <f t="shared" si="10"/>
        <v>0</v>
      </c>
      <c r="T125" s="183">
        <f t="shared" si="11"/>
        <v>0</v>
      </c>
      <c r="U125" s="186"/>
      <c r="V125" s="183">
        <f>IFERROR(__xludf.DUMMYFUNCTION("""COMPUTED_VALUE"""),0.0)</f>
        <v>0</v>
      </c>
      <c r="W125" s="183">
        <f>IFERROR(__xludf.DUMMYFUNCTION("""COMPUTED_VALUE"""),0.0)</f>
        <v>0</v>
      </c>
      <c r="X125" s="183">
        <f>IFERROR(__xludf.DUMMYFUNCTION("""COMPUTED_VALUE"""),0.0)</f>
        <v>0</v>
      </c>
      <c r="Y125" s="183">
        <f>IFERROR(__xludf.DUMMYFUNCTION("""COMPUTED_VALUE"""),0.0)</f>
        <v>0</v>
      </c>
      <c r="Z125" s="183">
        <f t="shared" si="12"/>
        <v>0</v>
      </c>
      <c r="AA125" s="183">
        <f t="shared" si="13"/>
        <v>0</v>
      </c>
      <c r="AB125" s="183">
        <f t="shared" si="14"/>
        <v>0</v>
      </c>
    </row>
    <row r="126" ht="14.25" customHeight="1">
      <c r="A126" s="175"/>
      <c r="B126" s="208" t="s">
        <v>869</v>
      </c>
      <c r="C126" s="181"/>
      <c r="D126" s="209" t="s">
        <v>870</v>
      </c>
      <c r="E126" s="183">
        <f>SUMIFS('DB WBS'!$J:$J,'DB WBS'!$A:$A,$D$4,'DB WBS'!$D:$D,AA$1,'DB WBS'!$B:$B,$E$3,'DB WBS'!$E:$E,$B126)</f>
        <v>0</v>
      </c>
      <c r="F126" s="183">
        <f>SUMIFS('DB WBS'!$J:$J,'DB WBS'!$A:$A,$D$4,'DB WBS'!$D:$D,AA$2,'DB WBS'!$B:$B,$E$3,'DB WBS'!$E:$E,$B126)</f>
        <v>0</v>
      </c>
      <c r="G126" s="184">
        <f>IFERROR(HLOOKUP($E$3,'Tahun Lalu'!$B$5:$V$158,MATCH(B126,'Tahun Lalu'!$B$5:$B$158,0),0),0)</f>
        <v>0</v>
      </c>
      <c r="H126" s="184">
        <v>0.0</v>
      </c>
      <c r="I126" s="184">
        <v>0.0</v>
      </c>
      <c r="J126" s="183">
        <f t="shared" si="3"/>
        <v>0</v>
      </c>
      <c r="K126" s="183">
        <f t="shared" si="4"/>
        <v>0</v>
      </c>
      <c r="L126" s="183">
        <f t="shared" si="5"/>
        <v>0</v>
      </c>
      <c r="M126" s="183">
        <f t="shared" si="6"/>
        <v>0</v>
      </c>
      <c r="N126" s="183">
        <f t="shared" si="163"/>
        <v>0</v>
      </c>
      <c r="O126" s="183">
        <f t="shared" ref="O126:Q126" si="166">G126+W126</f>
        <v>0</v>
      </c>
      <c r="P126" s="183">
        <f t="shared" si="166"/>
        <v>0</v>
      </c>
      <c r="Q126" s="183">
        <f t="shared" si="166"/>
        <v>0</v>
      </c>
      <c r="R126" s="183">
        <f t="shared" si="9"/>
        <v>0</v>
      </c>
      <c r="S126" s="183">
        <f t="shared" si="10"/>
        <v>0</v>
      </c>
      <c r="T126" s="183">
        <f t="shared" si="11"/>
        <v>0</v>
      </c>
      <c r="U126" s="186"/>
      <c r="V126" s="183">
        <f>IFERROR(__xludf.DUMMYFUNCTION("""COMPUTED_VALUE"""),0.0)</f>
        <v>0</v>
      </c>
      <c r="W126" s="183">
        <f>IFERROR(__xludf.DUMMYFUNCTION("""COMPUTED_VALUE"""),0.0)</f>
        <v>0</v>
      </c>
      <c r="X126" s="183">
        <f>IFERROR(__xludf.DUMMYFUNCTION("""COMPUTED_VALUE"""),0.0)</f>
        <v>0</v>
      </c>
      <c r="Y126" s="183">
        <f>IFERROR(__xludf.DUMMYFUNCTION("""COMPUTED_VALUE"""),0.0)</f>
        <v>0</v>
      </c>
      <c r="Z126" s="183">
        <f t="shared" si="12"/>
        <v>0</v>
      </c>
      <c r="AA126" s="183">
        <f t="shared" si="13"/>
        <v>0</v>
      </c>
      <c r="AB126" s="183">
        <f t="shared" si="14"/>
        <v>0</v>
      </c>
    </row>
    <row r="127" ht="14.25" customHeight="1">
      <c r="A127" s="175"/>
      <c r="B127" s="208"/>
      <c r="C127" s="181"/>
      <c r="D127" s="209"/>
      <c r="E127" s="183">
        <f>SUMIFS('DB WBS'!$J:$J,'DB WBS'!$A:$A,$D$4,'DB WBS'!$D:$D,AA$1,'DB WBS'!$B:$B,$E$3,'DB WBS'!$E:$E,$B127)</f>
        <v>0</v>
      </c>
      <c r="F127" s="183">
        <f>SUMIFS('DB WBS'!$J:$J,'DB WBS'!$A:$A,$D$4,'DB WBS'!$D:$D,AA$2,'DB WBS'!$B:$B,$E$3,'DB WBS'!$E:$E,$B127)</f>
        <v>0</v>
      </c>
      <c r="G127" s="184">
        <f>IFERROR(HLOOKUP($E$3,'Tahun Lalu'!$B$5:$V$158,MATCH(B127,'Tahun Lalu'!$B$5:$B$158,0),0),0)</f>
        <v>0</v>
      </c>
      <c r="H127" s="184">
        <v>0.0</v>
      </c>
      <c r="I127" s="184">
        <v>0.0</v>
      </c>
      <c r="J127" s="183">
        <f t="shared" si="3"/>
        <v>0</v>
      </c>
      <c r="K127" s="183">
        <f t="shared" si="4"/>
        <v>0</v>
      </c>
      <c r="L127" s="183">
        <f t="shared" si="5"/>
        <v>0</v>
      </c>
      <c r="M127" s="183">
        <f t="shared" si="6"/>
        <v>0</v>
      </c>
      <c r="N127" s="183">
        <f t="shared" si="163"/>
        <v>0</v>
      </c>
      <c r="O127" s="183">
        <f t="shared" ref="O127:Q127" si="167">G127+W127</f>
        <v>0</v>
      </c>
      <c r="P127" s="183">
        <f t="shared" si="167"/>
        <v>0</v>
      </c>
      <c r="Q127" s="183">
        <f t="shared" si="167"/>
        <v>0</v>
      </c>
      <c r="R127" s="183">
        <f t="shared" si="9"/>
        <v>0</v>
      </c>
      <c r="S127" s="183">
        <f t="shared" si="10"/>
        <v>0</v>
      </c>
      <c r="T127" s="183">
        <f t="shared" si="11"/>
        <v>0</v>
      </c>
      <c r="U127" s="186"/>
      <c r="V127" s="183">
        <f>IFERROR(__xludf.DUMMYFUNCTION("""COMPUTED_VALUE"""),0.0)</f>
        <v>0</v>
      </c>
      <c r="W127" s="183">
        <f>IFERROR(__xludf.DUMMYFUNCTION("""COMPUTED_VALUE"""),0.0)</f>
        <v>0</v>
      </c>
      <c r="X127" s="183">
        <f>IFERROR(__xludf.DUMMYFUNCTION("""COMPUTED_VALUE"""),0.0)</f>
        <v>0</v>
      </c>
      <c r="Y127" s="183">
        <f>IFERROR(__xludf.DUMMYFUNCTION("""COMPUTED_VALUE"""),0.0)</f>
        <v>0</v>
      </c>
      <c r="Z127" s="183">
        <f t="shared" si="12"/>
        <v>0</v>
      </c>
      <c r="AA127" s="183">
        <f t="shared" si="13"/>
        <v>0</v>
      </c>
      <c r="AB127" s="183">
        <f t="shared" si="14"/>
        <v>0</v>
      </c>
    </row>
    <row r="128" ht="14.25" customHeight="1">
      <c r="A128" s="175"/>
      <c r="B128" s="191" t="s">
        <v>871</v>
      </c>
      <c r="C128" s="199"/>
      <c r="D128" s="200"/>
      <c r="E128" s="201">
        <f t="shared" ref="E128:I128" si="168">SUM(E123:E127)</f>
        <v>0</v>
      </c>
      <c r="F128" s="201">
        <f t="shared" si="168"/>
        <v>0</v>
      </c>
      <c r="G128" s="201">
        <f t="shared" si="168"/>
        <v>0</v>
      </c>
      <c r="H128" s="201">
        <f t="shared" si="168"/>
        <v>0</v>
      </c>
      <c r="I128" s="201">
        <f t="shared" si="168"/>
        <v>0</v>
      </c>
      <c r="J128" s="201">
        <f t="shared" si="3"/>
        <v>0</v>
      </c>
      <c r="K128" s="201">
        <f t="shared" si="4"/>
        <v>0</v>
      </c>
      <c r="L128" s="201">
        <f t="shared" si="5"/>
        <v>0</v>
      </c>
      <c r="M128" s="201">
        <f t="shared" si="6"/>
        <v>0</v>
      </c>
      <c r="N128" s="201">
        <f t="shared" ref="N128:Q128" si="169">SUM(N123:N127)</f>
        <v>0</v>
      </c>
      <c r="O128" s="201">
        <f t="shared" si="169"/>
        <v>0</v>
      </c>
      <c r="P128" s="201">
        <f t="shared" si="169"/>
        <v>0</v>
      </c>
      <c r="Q128" s="201">
        <f t="shared" si="169"/>
        <v>0</v>
      </c>
      <c r="R128" s="201">
        <f t="shared" si="9"/>
        <v>0</v>
      </c>
      <c r="S128" s="201">
        <f t="shared" si="10"/>
        <v>0</v>
      </c>
      <c r="T128" s="201">
        <f t="shared" si="11"/>
        <v>0</v>
      </c>
      <c r="U128" s="202"/>
      <c r="V128" s="201">
        <f>IFERROR(__xludf.DUMMYFUNCTION("""COMPUTED_VALUE"""),0.0)</f>
        <v>0</v>
      </c>
      <c r="W128" s="201">
        <f>IFERROR(__xludf.DUMMYFUNCTION("""COMPUTED_VALUE"""),0.0)</f>
        <v>0</v>
      </c>
      <c r="X128" s="201">
        <f>IFERROR(__xludf.DUMMYFUNCTION("""COMPUTED_VALUE"""),0.0)</f>
        <v>0</v>
      </c>
      <c r="Y128" s="201">
        <f>IFERROR(__xludf.DUMMYFUNCTION("""COMPUTED_VALUE"""),0.0)</f>
        <v>0</v>
      </c>
      <c r="Z128" s="201">
        <f t="shared" si="12"/>
        <v>0</v>
      </c>
      <c r="AA128" s="201">
        <f t="shared" si="13"/>
        <v>0</v>
      </c>
      <c r="AB128" s="201">
        <f t="shared" si="14"/>
        <v>0</v>
      </c>
    </row>
    <row r="129" ht="14.25" customHeight="1">
      <c r="A129" s="175"/>
      <c r="B129" s="208" t="s">
        <v>872</v>
      </c>
      <c r="C129" s="181"/>
      <c r="D129" s="213" t="s">
        <v>873</v>
      </c>
      <c r="E129" s="183">
        <f>SUMIFS('DB WBS'!$J:$J,'DB WBS'!$A:$A,$D$4,'DB WBS'!$D:$D,AA$1,'DB WBS'!$B:$B,$E$3,'DB WBS'!$E:$E,$B129)</f>
        <v>0</v>
      </c>
      <c r="F129" s="183">
        <f>SUMIFS('DB WBS'!$J:$J,'DB WBS'!$A:$A,$D$4,'DB WBS'!$D:$D,AA$2,'DB WBS'!$B:$B,$E$3,'DB WBS'!$E:$E,$B129)</f>
        <v>0</v>
      </c>
      <c r="G129" s="184">
        <f>IFERROR(HLOOKUP($E$3,'Tahun Lalu'!$B$5:$V$158,MATCH(B129,'Tahun Lalu'!$B$5:$B$158,0),0),0)</f>
        <v>0</v>
      </c>
      <c r="H129" s="184">
        <v>0.0</v>
      </c>
      <c r="I129" s="184">
        <v>0.0</v>
      </c>
      <c r="J129" s="183">
        <f t="shared" si="3"/>
        <v>0</v>
      </c>
      <c r="K129" s="183">
        <f t="shared" si="4"/>
        <v>0</v>
      </c>
      <c r="L129" s="183">
        <f t="shared" si="5"/>
        <v>0</v>
      </c>
      <c r="M129" s="183">
        <f t="shared" si="6"/>
        <v>0</v>
      </c>
      <c r="N129" s="183">
        <f t="shared" ref="N129:N130" si="171">E129+V129</f>
        <v>0</v>
      </c>
      <c r="O129" s="183">
        <f t="shared" ref="O129:Q129" si="170">G129+W129</f>
        <v>0</v>
      </c>
      <c r="P129" s="183">
        <f t="shared" si="170"/>
        <v>0</v>
      </c>
      <c r="Q129" s="183">
        <f t="shared" si="170"/>
        <v>0</v>
      </c>
      <c r="R129" s="183">
        <f t="shared" si="9"/>
        <v>0</v>
      </c>
      <c r="S129" s="183">
        <f t="shared" si="10"/>
        <v>0</v>
      </c>
      <c r="T129" s="183">
        <f t="shared" si="11"/>
        <v>0</v>
      </c>
      <c r="U129" s="186"/>
      <c r="V129" s="183">
        <f>IFERROR(__xludf.DUMMYFUNCTION("""COMPUTED_VALUE"""),0.0)</f>
        <v>0</v>
      </c>
      <c r="W129" s="183">
        <f>IFERROR(__xludf.DUMMYFUNCTION("""COMPUTED_VALUE"""),0.0)</f>
        <v>0</v>
      </c>
      <c r="X129" s="183">
        <f>IFERROR(__xludf.DUMMYFUNCTION("""COMPUTED_VALUE"""),0.0)</f>
        <v>0</v>
      </c>
      <c r="Y129" s="183">
        <f>IFERROR(__xludf.DUMMYFUNCTION("""COMPUTED_VALUE"""),0.0)</f>
        <v>0</v>
      </c>
      <c r="Z129" s="183">
        <f t="shared" si="12"/>
        <v>0</v>
      </c>
      <c r="AA129" s="183">
        <f t="shared" si="13"/>
        <v>0</v>
      </c>
      <c r="AB129" s="183">
        <f t="shared" si="14"/>
        <v>0</v>
      </c>
    </row>
    <row r="130" ht="14.25" customHeight="1">
      <c r="A130" s="175"/>
      <c r="B130" s="208" t="s">
        <v>874</v>
      </c>
      <c r="C130" s="181"/>
      <c r="D130" s="213" t="s">
        <v>275</v>
      </c>
      <c r="E130" s="183">
        <f>SUMIFS('DB WBS'!$J:$J,'DB WBS'!$A:$A,$D$4,'DB WBS'!$D:$D,AA$1,'DB WBS'!$B:$B,$E$3,'DB WBS'!$E:$E,$B130)</f>
        <v>0</v>
      </c>
      <c r="F130" s="183">
        <f>SUMIFS('DB WBS'!$J:$J,'DB WBS'!$A:$A,$D$4,'DB WBS'!$D:$D,AA$2,'DB WBS'!$B:$B,$E$3,'DB WBS'!$E:$E,$B130)</f>
        <v>0</v>
      </c>
      <c r="G130" s="184">
        <f>IFERROR(HLOOKUP($E$3,'Tahun Lalu'!$B$5:$V$158,MATCH(B130,'Tahun Lalu'!$B$5:$B$158,0),0),0)</f>
        <v>0</v>
      </c>
      <c r="H130" s="184">
        <v>0.0</v>
      </c>
      <c r="I130" s="184">
        <v>0.0</v>
      </c>
      <c r="J130" s="183">
        <f t="shared" si="3"/>
        <v>0</v>
      </c>
      <c r="K130" s="183">
        <f t="shared" si="4"/>
        <v>0</v>
      </c>
      <c r="L130" s="183">
        <f t="shared" si="5"/>
        <v>0</v>
      </c>
      <c r="M130" s="183">
        <f t="shared" si="6"/>
        <v>0</v>
      </c>
      <c r="N130" s="183">
        <f t="shared" si="171"/>
        <v>0</v>
      </c>
      <c r="O130" s="183">
        <f t="shared" ref="O130:Q130" si="172">G130+W130</f>
        <v>0</v>
      </c>
      <c r="P130" s="183">
        <f t="shared" si="172"/>
        <v>0</v>
      </c>
      <c r="Q130" s="183">
        <f t="shared" si="172"/>
        <v>0</v>
      </c>
      <c r="R130" s="183">
        <f t="shared" si="9"/>
        <v>0</v>
      </c>
      <c r="S130" s="183">
        <f t="shared" si="10"/>
        <v>0</v>
      </c>
      <c r="T130" s="183">
        <f t="shared" si="11"/>
        <v>0</v>
      </c>
      <c r="U130" s="186"/>
      <c r="V130" s="183">
        <f>IFERROR(__xludf.DUMMYFUNCTION("""COMPUTED_VALUE"""),0.0)</f>
        <v>0</v>
      </c>
      <c r="W130" s="183">
        <f>IFERROR(__xludf.DUMMYFUNCTION("""COMPUTED_VALUE"""),0.0)</f>
        <v>0</v>
      </c>
      <c r="X130" s="183">
        <f>IFERROR(__xludf.DUMMYFUNCTION("""COMPUTED_VALUE"""),0.0)</f>
        <v>0</v>
      </c>
      <c r="Y130" s="183">
        <f>IFERROR(__xludf.DUMMYFUNCTION("""COMPUTED_VALUE"""),0.0)</f>
        <v>0</v>
      </c>
      <c r="Z130" s="183">
        <f t="shared" si="12"/>
        <v>0</v>
      </c>
      <c r="AA130" s="183">
        <f t="shared" si="13"/>
        <v>0</v>
      </c>
      <c r="AB130" s="183">
        <f t="shared" si="14"/>
        <v>0</v>
      </c>
    </row>
    <row r="131" ht="14.25" customHeight="1">
      <c r="A131" s="175"/>
      <c r="B131" s="191" t="s">
        <v>875</v>
      </c>
      <c r="C131" s="199"/>
      <c r="D131" s="200"/>
      <c r="E131" s="201">
        <f t="shared" ref="E131:I131" si="173">SUM(E129:E130)</f>
        <v>0</v>
      </c>
      <c r="F131" s="201">
        <f t="shared" si="173"/>
        <v>0</v>
      </c>
      <c r="G131" s="201">
        <f t="shared" si="173"/>
        <v>0</v>
      </c>
      <c r="H131" s="201">
        <f t="shared" si="173"/>
        <v>0</v>
      </c>
      <c r="I131" s="201">
        <f t="shared" si="173"/>
        <v>0</v>
      </c>
      <c r="J131" s="201">
        <f t="shared" si="3"/>
        <v>0</v>
      </c>
      <c r="K131" s="201">
        <f t="shared" si="4"/>
        <v>0</v>
      </c>
      <c r="L131" s="201">
        <f t="shared" si="5"/>
        <v>0</v>
      </c>
      <c r="M131" s="201">
        <f t="shared" si="6"/>
        <v>0</v>
      </c>
      <c r="N131" s="201">
        <f t="shared" ref="N131:Q131" si="174">SUM(N129:N130)</f>
        <v>0</v>
      </c>
      <c r="O131" s="201">
        <f t="shared" si="174"/>
        <v>0</v>
      </c>
      <c r="P131" s="201">
        <f t="shared" si="174"/>
        <v>0</v>
      </c>
      <c r="Q131" s="201">
        <f t="shared" si="174"/>
        <v>0</v>
      </c>
      <c r="R131" s="201">
        <f t="shared" si="9"/>
        <v>0</v>
      </c>
      <c r="S131" s="201">
        <f t="shared" si="10"/>
        <v>0</v>
      </c>
      <c r="T131" s="201">
        <f t="shared" si="11"/>
        <v>0</v>
      </c>
      <c r="U131" s="202"/>
      <c r="V131" s="201">
        <f>IFERROR(__xludf.DUMMYFUNCTION("""COMPUTED_VALUE"""),0.0)</f>
        <v>0</v>
      </c>
      <c r="W131" s="201">
        <f>IFERROR(__xludf.DUMMYFUNCTION("""COMPUTED_VALUE"""),0.0)</f>
        <v>0</v>
      </c>
      <c r="X131" s="201">
        <f>IFERROR(__xludf.DUMMYFUNCTION("""COMPUTED_VALUE"""),0.0)</f>
        <v>0</v>
      </c>
      <c r="Y131" s="201">
        <f>IFERROR(__xludf.DUMMYFUNCTION("""COMPUTED_VALUE"""),0.0)</f>
        <v>0</v>
      </c>
      <c r="Z131" s="201">
        <f t="shared" si="12"/>
        <v>0</v>
      </c>
      <c r="AA131" s="201">
        <f t="shared" si="13"/>
        <v>0</v>
      </c>
      <c r="AB131" s="201">
        <f t="shared" si="14"/>
        <v>0</v>
      </c>
    </row>
    <row r="132" ht="14.25" customHeight="1">
      <c r="A132" s="175"/>
      <c r="B132" s="204" t="s">
        <v>876</v>
      </c>
      <c r="C132" s="205"/>
      <c r="D132" s="206"/>
      <c r="E132" s="207">
        <f t="shared" ref="E132:I132" si="175">E131+E128+E122</f>
        <v>0</v>
      </c>
      <c r="F132" s="207">
        <f t="shared" si="175"/>
        <v>0</v>
      </c>
      <c r="G132" s="207">
        <f t="shared" si="175"/>
        <v>0</v>
      </c>
      <c r="H132" s="207">
        <f t="shared" si="175"/>
        <v>0</v>
      </c>
      <c r="I132" s="207">
        <f t="shared" si="175"/>
        <v>0</v>
      </c>
      <c r="J132" s="207">
        <f t="shared" si="3"/>
        <v>0</v>
      </c>
      <c r="K132" s="207">
        <f t="shared" si="4"/>
        <v>0</v>
      </c>
      <c r="L132" s="207">
        <f t="shared" si="5"/>
        <v>0</v>
      </c>
      <c r="M132" s="207">
        <f t="shared" si="6"/>
        <v>0</v>
      </c>
      <c r="N132" s="207">
        <f t="shared" ref="N132:Q132" si="176">N131+N128+N122</f>
        <v>0</v>
      </c>
      <c r="O132" s="207">
        <f t="shared" si="176"/>
        <v>0</v>
      </c>
      <c r="P132" s="207">
        <f t="shared" si="176"/>
        <v>0</v>
      </c>
      <c r="Q132" s="207">
        <f t="shared" si="176"/>
        <v>0</v>
      </c>
      <c r="R132" s="207">
        <f t="shared" si="9"/>
        <v>0</v>
      </c>
      <c r="S132" s="207">
        <f t="shared" si="10"/>
        <v>0</v>
      </c>
      <c r="T132" s="207">
        <f t="shared" si="11"/>
        <v>0</v>
      </c>
      <c r="U132" s="202"/>
      <c r="V132" s="207">
        <f>IFERROR(__xludf.DUMMYFUNCTION("""COMPUTED_VALUE"""),0.0)</f>
        <v>0</v>
      </c>
      <c r="W132" s="207">
        <f>IFERROR(__xludf.DUMMYFUNCTION("""COMPUTED_VALUE"""),0.0)</f>
        <v>0</v>
      </c>
      <c r="X132" s="207">
        <f>IFERROR(__xludf.DUMMYFUNCTION("""COMPUTED_VALUE"""),0.0)</f>
        <v>0</v>
      </c>
      <c r="Y132" s="207">
        <f>IFERROR(__xludf.DUMMYFUNCTION("""COMPUTED_VALUE"""),0.0)</f>
        <v>0</v>
      </c>
      <c r="Z132" s="207">
        <f t="shared" si="12"/>
        <v>0</v>
      </c>
      <c r="AA132" s="207">
        <f t="shared" si="13"/>
        <v>0</v>
      </c>
      <c r="AB132" s="207">
        <f t="shared" si="14"/>
        <v>0</v>
      </c>
    </row>
    <row r="133" ht="14.25" customHeight="1">
      <c r="A133" s="175"/>
      <c r="B133" s="214"/>
      <c r="C133" s="181"/>
      <c r="D133" s="213"/>
      <c r="E133" s="183">
        <f>SUMIFS('DB WBS'!$J:$J,'DB WBS'!$A:$A,$D$4,'DB WBS'!$D:$D,AA$1,'DB WBS'!$B:$B,$E$3,'DB WBS'!$E:$E,$B133)</f>
        <v>0</v>
      </c>
      <c r="F133" s="183">
        <f>SUMIFS('DB WBS'!$J:$J,'DB WBS'!$A:$A,$D$4,'DB WBS'!$D:$D,AA$2,'DB WBS'!$B:$B,$E$3,'DB WBS'!$E:$E,$B133)</f>
        <v>0</v>
      </c>
      <c r="G133" s="184">
        <f>IFERROR(HLOOKUP($E$3,'Tahun Lalu'!$B$5:$V$158,MATCH(B133,'Tahun Lalu'!$B$5:$B$158,0),0),0)</f>
        <v>0</v>
      </c>
      <c r="H133" s="184">
        <v>0.0</v>
      </c>
      <c r="I133" s="184">
        <v>0.0</v>
      </c>
      <c r="J133" s="183">
        <f t="shared" si="3"/>
        <v>0</v>
      </c>
      <c r="K133" s="183">
        <f t="shared" si="4"/>
        <v>0</v>
      </c>
      <c r="L133" s="183">
        <f t="shared" si="5"/>
        <v>0</v>
      </c>
      <c r="M133" s="183">
        <f t="shared" si="6"/>
        <v>0</v>
      </c>
      <c r="N133" s="183">
        <f t="shared" ref="N133:N138" si="178">E133+V133</f>
        <v>0</v>
      </c>
      <c r="O133" s="183">
        <f t="shared" ref="O133:Q133" si="177">G133+W133</f>
        <v>0</v>
      </c>
      <c r="P133" s="183">
        <f t="shared" si="177"/>
        <v>0</v>
      </c>
      <c r="Q133" s="183">
        <f t="shared" si="177"/>
        <v>0</v>
      </c>
      <c r="R133" s="183">
        <f t="shared" si="9"/>
        <v>0</v>
      </c>
      <c r="S133" s="183">
        <f t="shared" si="10"/>
        <v>0</v>
      </c>
      <c r="T133" s="183">
        <f t="shared" si="11"/>
        <v>0</v>
      </c>
      <c r="U133" s="186"/>
      <c r="V133" s="183">
        <f>IFERROR(__xludf.DUMMYFUNCTION("""COMPUTED_VALUE"""),0.0)</f>
        <v>0</v>
      </c>
      <c r="W133" s="183">
        <f>IFERROR(__xludf.DUMMYFUNCTION("""COMPUTED_VALUE"""),0.0)</f>
        <v>0</v>
      </c>
      <c r="X133" s="183">
        <f>IFERROR(__xludf.DUMMYFUNCTION("""COMPUTED_VALUE"""),0.0)</f>
        <v>0</v>
      </c>
      <c r="Y133" s="183">
        <f>IFERROR(__xludf.DUMMYFUNCTION("""COMPUTED_VALUE"""),0.0)</f>
        <v>0</v>
      </c>
      <c r="Z133" s="183">
        <f t="shared" si="12"/>
        <v>0</v>
      </c>
      <c r="AA133" s="183">
        <f t="shared" si="13"/>
        <v>0</v>
      </c>
      <c r="AB133" s="183">
        <f t="shared" si="14"/>
        <v>0</v>
      </c>
    </row>
    <row r="134" ht="14.25" customHeight="1">
      <c r="A134" s="175"/>
      <c r="B134" s="214"/>
      <c r="C134" s="181"/>
      <c r="D134" s="209"/>
      <c r="E134" s="183">
        <f>SUMIFS('DB WBS'!$J:$J,'DB WBS'!$A:$A,$D$4,'DB WBS'!$D:$D,AA$1,'DB WBS'!$B:$B,$E$3,'DB WBS'!$E:$E,$B134)</f>
        <v>0</v>
      </c>
      <c r="F134" s="183">
        <f>SUMIFS('DB WBS'!$J:$J,'DB WBS'!$A:$A,$D$4,'DB WBS'!$D:$D,AA$2,'DB WBS'!$B:$B,$E$3,'DB WBS'!$E:$E,$B134)</f>
        <v>0</v>
      </c>
      <c r="G134" s="184">
        <f>IFERROR(HLOOKUP($E$3,'Tahun Lalu'!$B$5:$V$158,MATCH(B134,'Tahun Lalu'!$B$5:$B$158,0),0),0)</f>
        <v>0</v>
      </c>
      <c r="H134" s="184">
        <v>0.0</v>
      </c>
      <c r="I134" s="184">
        <v>0.0</v>
      </c>
      <c r="J134" s="183">
        <f t="shared" si="3"/>
        <v>0</v>
      </c>
      <c r="K134" s="183">
        <f t="shared" si="4"/>
        <v>0</v>
      </c>
      <c r="L134" s="183">
        <f t="shared" si="5"/>
        <v>0</v>
      </c>
      <c r="M134" s="183">
        <f t="shared" si="6"/>
        <v>0</v>
      </c>
      <c r="N134" s="183">
        <f t="shared" si="178"/>
        <v>0</v>
      </c>
      <c r="O134" s="183">
        <f t="shared" ref="O134:Q134" si="179">G134+W134</f>
        <v>0</v>
      </c>
      <c r="P134" s="183">
        <f t="shared" si="179"/>
        <v>0</v>
      </c>
      <c r="Q134" s="183">
        <f t="shared" si="179"/>
        <v>0</v>
      </c>
      <c r="R134" s="183">
        <f t="shared" si="9"/>
        <v>0</v>
      </c>
      <c r="S134" s="183">
        <f t="shared" si="10"/>
        <v>0</v>
      </c>
      <c r="T134" s="183">
        <f t="shared" si="11"/>
        <v>0</v>
      </c>
      <c r="U134" s="186"/>
      <c r="V134" s="183">
        <f>IFERROR(__xludf.DUMMYFUNCTION("""COMPUTED_VALUE"""),0.0)</f>
        <v>0</v>
      </c>
      <c r="W134" s="183">
        <f>IFERROR(__xludf.DUMMYFUNCTION("""COMPUTED_VALUE"""),0.0)</f>
        <v>0</v>
      </c>
      <c r="X134" s="183">
        <f>IFERROR(__xludf.DUMMYFUNCTION("""COMPUTED_VALUE"""),0.0)</f>
        <v>0</v>
      </c>
      <c r="Y134" s="183">
        <f>IFERROR(__xludf.DUMMYFUNCTION("""COMPUTED_VALUE"""),0.0)</f>
        <v>0</v>
      </c>
      <c r="Z134" s="183">
        <f t="shared" si="12"/>
        <v>0</v>
      </c>
      <c r="AA134" s="183">
        <f t="shared" si="13"/>
        <v>0</v>
      </c>
      <c r="AB134" s="183">
        <f t="shared" si="14"/>
        <v>0</v>
      </c>
    </row>
    <row r="135" ht="14.25" customHeight="1">
      <c r="A135" s="175"/>
      <c r="B135" s="215"/>
      <c r="C135" s="216"/>
      <c r="D135" s="209"/>
      <c r="E135" s="183">
        <f>SUMIFS('DB WBS'!$J:$J,'DB WBS'!$A:$A,$D$4,'DB WBS'!$D:$D,AA$1,'DB WBS'!$B:$B,$E$3,'DB WBS'!$E:$E,$B135)</f>
        <v>0</v>
      </c>
      <c r="F135" s="183">
        <f>SUMIFS('DB WBS'!$J:$J,'DB WBS'!$A:$A,$D$4,'DB WBS'!$D:$D,AA$2,'DB WBS'!$B:$B,$E$3,'DB WBS'!$E:$E,$B135)</f>
        <v>0</v>
      </c>
      <c r="G135" s="184">
        <f>IFERROR(HLOOKUP($E$3,'Tahun Lalu'!$B$5:$V$158,MATCH(B135,'Tahun Lalu'!$B$5:$B$158,0),0),0)</f>
        <v>0</v>
      </c>
      <c r="H135" s="184">
        <v>0.0</v>
      </c>
      <c r="I135" s="184">
        <v>0.0</v>
      </c>
      <c r="J135" s="183">
        <f t="shared" si="3"/>
        <v>0</v>
      </c>
      <c r="K135" s="183">
        <f t="shared" si="4"/>
        <v>0</v>
      </c>
      <c r="L135" s="183">
        <f t="shared" si="5"/>
        <v>0</v>
      </c>
      <c r="M135" s="183">
        <f t="shared" si="6"/>
        <v>0</v>
      </c>
      <c r="N135" s="183">
        <f t="shared" si="178"/>
        <v>0</v>
      </c>
      <c r="O135" s="183">
        <f t="shared" ref="O135:Q135" si="180">G135+W135</f>
        <v>0</v>
      </c>
      <c r="P135" s="183">
        <f t="shared" si="180"/>
        <v>0</v>
      </c>
      <c r="Q135" s="183">
        <f t="shared" si="180"/>
        <v>0</v>
      </c>
      <c r="R135" s="183">
        <f t="shared" si="9"/>
        <v>0</v>
      </c>
      <c r="S135" s="183">
        <f t="shared" si="10"/>
        <v>0</v>
      </c>
      <c r="T135" s="183">
        <f t="shared" si="11"/>
        <v>0</v>
      </c>
      <c r="U135" s="186"/>
      <c r="V135" s="183">
        <f>IFERROR(__xludf.DUMMYFUNCTION("""COMPUTED_VALUE"""),0.0)</f>
        <v>0</v>
      </c>
      <c r="W135" s="183">
        <f>IFERROR(__xludf.DUMMYFUNCTION("""COMPUTED_VALUE"""),0.0)</f>
        <v>0</v>
      </c>
      <c r="X135" s="183">
        <f>IFERROR(__xludf.DUMMYFUNCTION("""COMPUTED_VALUE"""),0.0)</f>
        <v>0</v>
      </c>
      <c r="Y135" s="183">
        <f>IFERROR(__xludf.DUMMYFUNCTION("""COMPUTED_VALUE"""),0.0)</f>
        <v>0</v>
      </c>
      <c r="Z135" s="183">
        <f t="shared" si="12"/>
        <v>0</v>
      </c>
      <c r="AA135" s="183">
        <f t="shared" si="13"/>
        <v>0</v>
      </c>
      <c r="AB135" s="183">
        <f t="shared" si="14"/>
        <v>0</v>
      </c>
    </row>
    <row r="136" ht="14.25" customHeight="1">
      <c r="A136" s="175"/>
      <c r="B136" s="214"/>
      <c r="C136" s="181"/>
      <c r="D136" s="209"/>
      <c r="E136" s="183">
        <f>SUMIFS('DB WBS'!$J:$J,'DB WBS'!$A:$A,$D$4,'DB WBS'!$D:$D,AA$1,'DB WBS'!$B:$B,$E$3,'DB WBS'!$E:$E,$B136)</f>
        <v>0</v>
      </c>
      <c r="F136" s="183">
        <f>SUMIFS('DB WBS'!$J:$J,'DB WBS'!$A:$A,$D$4,'DB WBS'!$D:$D,AA$2,'DB WBS'!$B:$B,$E$3,'DB WBS'!$E:$E,$B136)</f>
        <v>0</v>
      </c>
      <c r="G136" s="184">
        <f>IFERROR(HLOOKUP($E$3,'Tahun Lalu'!$B$5:$V$158,MATCH(B136,'Tahun Lalu'!$B$5:$B$158,0),0),0)</f>
        <v>0</v>
      </c>
      <c r="H136" s="184">
        <v>0.0</v>
      </c>
      <c r="I136" s="184">
        <v>0.0</v>
      </c>
      <c r="J136" s="183">
        <f t="shared" si="3"/>
        <v>0</v>
      </c>
      <c r="K136" s="183">
        <f t="shared" si="4"/>
        <v>0</v>
      </c>
      <c r="L136" s="183">
        <f t="shared" si="5"/>
        <v>0</v>
      </c>
      <c r="M136" s="183">
        <f t="shared" si="6"/>
        <v>0</v>
      </c>
      <c r="N136" s="183">
        <f t="shared" si="178"/>
        <v>0</v>
      </c>
      <c r="O136" s="183">
        <f t="shared" ref="O136:Q136" si="181">G136+W136</f>
        <v>0</v>
      </c>
      <c r="P136" s="183">
        <f t="shared" si="181"/>
        <v>0</v>
      </c>
      <c r="Q136" s="183">
        <f t="shared" si="181"/>
        <v>0</v>
      </c>
      <c r="R136" s="183">
        <f t="shared" si="9"/>
        <v>0</v>
      </c>
      <c r="S136" s="183">
        <f t="shared" si="10"/>
        <v>0</v>
      </c>
      <c r="T136" s="183">
        <f t="shared" si="11"/>
        <v>0</v>
      </c>
      <c r="U136" s="186"/>
      <c r="V136" s="183">
        <f>IFERROR(__xludf.DUMMYFUNCTION("""COMPUTED_VALUE"""),0.0)</f>
        <v>0</v>
      </c>
      <c r="W136" s="183">
        <f>IFERROR(__xludf.DUMMYFUNCTION("""COMPUTED_VALUE"""),0.0)</f>
        <v>0</v>
      </c>
      <c r="X136" s="183">
        <f>IFERROR(__xludf.DUMMYFUNCTION("""COMPUTED_VALUE"""),0.0)</f>
        <v>0</v>
      </c>
      <c r="Y136" s="183">
        <f>IFERROR(__xludf.DUMMYFUNCTION("""COMPUTED_VALUE"""),0.0)</f>
        <v>0</v>
      </c>
      <c r="Z136" s="183">
        <f t="shared" si="12"/>
        <v>0</v>
      </c>
      <c r="AA136" s="183">
        <f t="shared" si="13"/>
        <v>0</v>
      </c>
      <c r="AB136" s="183">
        <f t="shared" si="14"/>
        <v>0</v>
      </c>
    </row>
    <row r="137" ht="14.25" customHeight="1">
      <c r="A137" s="175"/>
      <c r="B137" s="214"/>
      <c r="C137" s="181"/>
      <c r="D137" s="209"/>
      <c r="E137" s="183">
        <f>SUMIFS('DB WBS'!$J:$J,'DB WBS'!$A:$A,$D$4,'DB WBS'!$D:$D,AA$1,'DB WBS'!$B:$B,$E$3,'DB WBS'!$E:$E,$B137)</f>
        <v>0</v>
      </c>
      <c r="F137" s="183">
        <f>SUMIFS('DB WBS'!$J:$J,'DB WBS'!$A:$A,$D$4,'DB WBS'!$D:$D,AA$2,'DB WBS'!$B:$B,$E$3,'DB WBS'!$E:$E,$B137)</f>
        <v>0</v>
      </c>
      <c r="G137" s="184">
        <f>IFERROR(HLOOKUP($E$3,'Tahun Lalu'!$B$5:$V$158,MATCH(B137,'Tahun Lalu'!$B$5:$B$158,0),0),0)</f>
        <v>0</v>
      </c>
      <c r="H137" s="184">
        <v>0.0</v>
      </c>
      <c r="I137" s="184">
        <v>0.0</v>
      </c>
      <c r="J137" s="183">
        <f t="shared" si="3"/>
        <v>0</v>
      </c>
      <c r="K137" s="183">
        <f t="shared" si="4"/>
        <v>0</v>
      </c>
      <c r="L137" s="183">
        <f t="shared" si="5"/>
        <v>0</v>
      </c>
      <c r="M137" s="183">
        <f t="shared" si="6"/>
        <v>0</v>
      </c>
      <c r="N137" s="183">
        <f t="shared" si="178"/>
        <v>0</v>
      </c>
      <c r="O137" s="183">
        <f t="shared" ref="O137:Q137" si="182">G137+W137</f>
        <v>0</v>
      </c>
      <c r="P137" s="183">
        <f t="shared" si="182"/>
        <v>0</v>
      </c>
      <c r="Q137" s="183">
        <f t="shared" si="182"/>
        <v>0</v>
      </c>
      <c r="R137" s="183">
        <f t="shared" si="9"/>
        <v>0</v>
      </c>
      <c r="S137" s="183">
        <f t="shared" si="10"/>
        <v>0</v>
      </c>
      <c r="T137" s="183">
        <f t="shared" si="11"/>
        <v>0</v>
      </c>
      <c r="U137" s="186"/>
      <c r="V137" s="183">
        <f>IFERROR(__xludf.DUMMYFUNCTION("""COMPUTED_VALUE"""),0.0)</f>
        <v>0</v>
      </c>
      <c r="W137" s="183">
        <f>IFERROR(__xludf.DUMMYFUNCTION("""COMPUTED_VALUE"""),0.0)</f>
        <v>0</v>
      </c>
      <c r="X137" s="183">
        <f>IFERROR(__xludf.DUMMYFUNCTION("""COMPUTED_VALUE"""),0.0)</f>
        <v>0</v>
      </c>
      <c r="Y137" s="183">
        <f>IFERROR(__xludf.DUMMYFUNCTION("""COMPUTED_VALUE"""),0.0)</f>
        <v>0</v>
      </c>
      <c r="Z137" s="183">
        <f t="shared" si="12"/>
        <v>0</v>
      </c>
      <c r="AA137" s="183">
        <f t="shared" si="13"/>
        <v>0</v>
      </c>
      <c r="AB137" s="183">
        <f t="shared" si="14"/>
        <v>0</v>
      </c>
    </row>
    <row r="138" ht="14.25" customHeight="1">
      <c r="A138" s="175"/>
      <c r="B138" s="215"/>
      <c r="C138" s="216"/>
      <c r="D138" s="209"/>
      <c r="E138" s="183">
        <f>SUMIFS('DB WBS'!$J:$J,'DB WBS'!$A:$A,$D$4,'DB WBS'!$D:$D,AA$1,'DB WBS'!$B:$B,$E$3,'DB WBS'!$E:$E,$B138)</f>
        <v>0</v>
      </c>
      <c r="F138" s="183">
        <f>SUMIFS('DB WBS'!$J:$J,'DB WBS'!$A:$A,$D$4,'DB WBS'!$D:$D,AA$2,'DB WBS'!$B:$B,$E$3,'DB WBS'!$E:$E,$B138)</f>
        <v>0</v>
      </c>
      <c r="G138" s="184">
        <f>IFERROR(HLOOKUP($E$3,'Tahun Lalu'!$B$5:$V$158,MATCH(B138,'Tahun Lalu'!$B$5:$B$158,0),0),0)</f>
        <v>0</v>
      </c>
      <c r="H138" s="184">
        <v>0.0</v>
      </c>
      <c r="I138" s="184">
        <v>0.0</v>
      </c>
      <c r="J138" s="183">
        <f t="shared" si="3"/>
        <v>0</v>
      </c>
      <c r="K138" s="183">
        <f t="shared" si="4"/>
        <v>0</v>
      </c>
      <c r="L138" s="183">
        <f t="shared" si="5"/>
        <v>0</v>
      </c>
      <c r="M138" s="183">
        <f t="shared" si="6"/>
        <v>0</v>
      </c>
      <c r="N138" s="183">
        <f t="shared" si="178"/>
        <v>0</v>
      </c>
      <c r="O138" s="183">
        <f t="shared" ref="O138:Q138" si="183">G138+W138</f>
        <v>0</v>
      </c>
      <c r="P138" s="183">
        <f t="shared" si="183"/>
        <v>0</v>
      </c>
      <c r="Q138" s="183">
        <f t="shared" si="183"/>
        <v>0</v>
      </c>
      <c r="R138" s="183">
        <f t="shared" si="9"/>
        <v>0</v>
      </c>
      <c r="S138" s="183">
        <f t="shared" si="10"/>
        <v>0</v>
      </c>
      <c r="T138" s="183">
        <f t="shared" si="11"/>
        <v>0</v>
      </c>
      <c r="U138" s="186"/>
      <c r="V138" s="183">
        <f>IFERROR(__xludf.DUMMYFUNCTION("""COMPUTED_VALUE"""),0.0)</f>
        <v>0</v>
      </c>
      <c r="W138" s="183">
        <f>IFERROR(__xludf.DUMMYFUNCTION("""COMPUTED_VALUE"""),0.0)</f>
        <v>0</v>
      </c>
      <c r="X138" s="183">
        <f>IFERROR(__xludf.DUMMYFUNCTION("""COMPUTED_VALUE"""),0.0)</f>
        <v>0</v>
      </c>
      <c r="Y138" s="183">
        <f>IFERROR(__xludf.DUMMYFUNCTION("""COMPUTED_VALUE"""),0.0)</f>
        <v>0</v>
      </c>
      <c r="Z138" s="183">
        <f t="shared" si="12"/>
        <v>0</v>
      </c>
      <c r="AA138" s="183">
        <f t="shared" si="13"/>
        <v>0</v>
      </c>
      <c r="AB138" s="183">
        <f t="shared" si="14"/>
        <v>0</v>
      </c>
    </row>
    <row r="139" ht="14.25" customHeight="1">
      <c r="A139" s="175"/>
      <c r="B139" s="191" t="s">
        <v>877</v>
      </c>
      <c r="C139" s="199"/>
      <c r="D139" s="200"/>
      <c r="E139" s="201">
        <f t="shared" ref="E139:I139" si="184">SUM(E133:E138)</f>
        <v>0</v>
      </c>
      <c r="F139" s="201">
        <f t="shared" si="184"/>
        <v>0</v>
      </c>
      <c r="G139" s="201">
        <f t="shared" si="184"/>
        <v>0</v>
      </c>
      <c r="H139" s="201">
        <f t="shared" si="184"/>
        <v>0</v>
      </c>
      <c r="I139" s="201">
        <f t="shared" si="184"/>
        <v>0</v>
      </c>
      <c r="J139" s="201">
        <f t="shared" si="3"/>
        <v>0</v>
      </c>
      <c r="K139" s="201">
        <f t="shared" si="4"/>
        <v>0</v>
      </c>
      <c r="L139" s="201">
        <f t="shared" si="5"/>
        <v>0</v>
      </c>
      <c r="M139" s="201">
        <f t="shared" si="6"/>
        <v>0</v>
      </c>
      <c r="N139" s="201">
        <f t="shared" ref="N139:Q139" si="185">SUM(N133:N138)</f>
        <v>0</v>
      </c>
      <c r="O139" s="201">
        <f t="shared" si="185"/>
        <v>0</v>
      </c>
      <c r="P139" s="201">
        <f t="shared" si="185"/>
        <v>0</v>
      </c>
      <c r="Q139" s="201">
        <f t="shared" si="185"/>
        <v>0</v>
      </c>
      <c r="R139" s="201">
        <f t="shared" si="9"/>
        <v>0</v>
      </c>
      <c r="S139" s="201">
        <f t="shared" si="10"/>
        <v>0</v>
      </c>
      <c r="T139" s="201">
        <f t="shared" si="11"/>
        <v>0</v>
      </c>
      <c r="U139" s="202"/>
      <c r="V139" s="201">
        <f>IFERROR(__xludf.DUMMYFUNCTION("""COMPUTED_VALUE"""),0.0)</f>
        <v>0</v>
      </c>
      <c r="W139" s="201">
        <f>IFERROR(__xludf.DUMMYFUNCTION("""COMPUTED_VALUE"""),0.0)</f>
        <v>0</v>
      </c>
      <c r="X139" s="201">
        <f>IFERROR(__xludf.DUMMYFUNCTION("""COMPUTED_VALUE"""),0.0)</f>
        <v>0</v>
      </c>
      <c r="Y139" s="201">
        <f>IFERROR(__xludf.DUMMYFUNCTION("""COMPUTED_VALUE"""),0.0)</f>
        <v>0</v>
      </c>
      <c r="Z139" s="201">
        <f t="shared" si="12"/>
        <v>0</v>
      </c>
      <c r="AA139" s="201">
        <f t="shared" si="13"/>
        <v>0</v>
      </c>
      <c r="AB139" s="201">
        <f t="shared" si="14"/>
        <v>0</v>
      </c>
    </row>
    <row r="140" ht="14.25" customHeight="1">
      <c r="A140" s="175"/>
      <c r="B140" s="208" t="s">
        <v>142</v>
      </c>
      <c r="C140" s="181" t="s">
        <v>417</v>
      </c>
      <c r="D140" s="217" t="s">
        <v>143</v>
      </c>
      <c r="E140" s="183">
        <f>SUMIFS('DB WBS'!$J:$J,'DB WBS'!$A:$A,$D$4,'DB WBS'!$D:$D,AA$1,'DB WBS'!$B:$B,$E$3,'DB WBS'!$E:$E,$B140)</f>
        <v>0</v>
      </c>
      <c r="F140" s="183">
        <f>SUMIFS('DB WBS'!$J:$J,'DB WBS'!$A:$A,$D$4,'DB WBS'!$D:$D,AA$2,'DB WBS'!$B:$B,$E$3,'DB WBS'!$E:$E,$B140)</f>
        <v>0</v>
      </c>
      <c r="G140" s="184">
        <f>IFERROR(HLOOKUP($E$3,'Tahun Lalu'!$B$5:$V$158,MATCH(B140,'Tahun Lalu'!$B$5:$B$158,0),0),0)</f>
        <v>0</v>
      </c>
      <c r="H140" s="184">
        <v>0.0</v>
      </c>
      <c r="I140" s="184">
        <v>0.0</v>
      </c>
      <c r="J140" s="210">
        <f t="shared" si="3"/>
        <v>0</v>
      </c>
      <c r="K140" s="183">
        <f t="shared" si="4"/>
        <v>0</v>
      </c>
      <c r="L140" s="183">
        <f t="shared" si="5"/>
        <v>0</v>
      </c>
      <c r="M140" s="183">
        <f t="shared" si="6"/>
        <v>0</v>
      </c>
      <c r="N140" s="183">
        <f t="shared" ref="N140:N146" si="187">E140+V140</f>
        <v>6333334</v>
      </c>
      <c r="O140" s="183">
        <f t="shared" ref="O140:Q140" si="186">G140+W140</f>
        <v>29179150</v>
      </c>
      <c r="P140" s="183">
        <f t="shared" si="186"/>
        <v>0</v>
      </c>
      <c r="Q140" s="183">
        <f t="shared" si="186"/>
        <v>0</v>
      </c>
      <c r="R140" s="210">
        <f t="shared" si="9"/>
        <v>21.70499826</v>
      </c>
      <c r="S140" s="183">
        <f t="shared" si="10"/>
        <v>0</v>
      </c>
      <c r="T140" s="183">
        <f t="shared" si="11"/>
        <v>0</v>
      </c>
      <c r="U140" s="186"/>
      <c r="V140" s="183">
        <f>IFERROR(__xludf.DUMMYFUNCTION("""COMPUTED_VALUE"""),6333334.0)</f>
        <v>6333334</v>
      </c>
      <c r="W140" s="183">
        <f>IFERROR(__xludf.DUMMYFUNCTION("""COMPUTED_VALUE"""),2.917915E7)</f>
        <v>29179150</v>
      </c>
      <c r="X140" s="183">
        <f>IFERROR(__xludf.DUMMYFUNCTION("""COMPUTED_VALUE"""),0.0)</f>
        <v>0</v>
      </c>
      <c r="Y140" s="183">
        <f>IFERROR(__xludf.DUMMYFUNCTION("""COMPUTED_VALUE"""),0.0)</f>
        <v>0</v>
      </c>
      <c r="Z140" s="210">
        <f t="shared" si="12"/>
        <v>21.70499826</v>
      </c>
      <c r="AA140" s="183">
        <f t="shared" si="13"/>
        <v>0</v>
      </c>
      <c r="AB140" s="183">
        <f t="shared" si="14"/>
        <v>0</v>
      </c>
    </row>
    <row r="141" ht="14.25" customHeight="1">
      <c r="A141" s="175"/>
      <c r="B141" s="208" t="s">
        <v>878</v>
      </c>
      <c r="C141" s="181"/>
      <c r="D141" s="217" t="s">
        <v>134</v>
      </c>
      <c r="E141" s="183">
        <f>SUMIFS('DB WBS'!$J:$J,'DB WBS'!$A:$A,$D$4,'DB WBS'!$D:$D,AA$1,'DB WBS'!$B:$B,$E$3,'DB WBS'!$E:$E,$B141)</f>
        <v>0</v>
      </c>
      <c r="F141" s="183">
        <f>SUMIFS('DB WBS'!$J:$J,'DB WBS'!$A:$A,$D$4,'DB WBS'!$D:$D,AA$2,'DB WBS'!$B:$B,$E$3,'DB WBS'!$E:$E,$B141)</f>
        <v>0</v>
      </c>
      <c r="G141" s="184">
        <f>IFERROR(HLOOKUP($E$3,'Tahun Lalu'!$B$5:$V$158,MATCH(B141,'Tahun Lalu'!$B$5:$B$158,0),0),0)</f>
        <v>0</v>
      </c>
      <c r="H141" s="184">
        <v>0.0</v>
      </c>
      <c r="I141" s="184">
        <v>0.0</v>
      </c>
      <c r="J141" s="183">
        <f t="shared" si="3"/>
        <v>0</v>
      </c>
      <c r="K141" s="183">
        <f t="shared" si="4"/>
        <v>0</v>
      </c>
      <c r="L141" s="183">
        <f t="shared" si="5"/>
        <v>0</v>
      </c>
      <c r="M141" s="183">
        <f t="shared" si="6"/>
        <v>0</v>
      </c>
      <c r="N141" s="183">
        <f t="shared" si="187"/>
        <v>0</v>
      </c>
      <c r="O141" s="183">
        <f t="shared" ref="O141:Q141" si="188">G141+W141</f>
        <v>0</v>
      </c>
      <c r="P141" s="183">
        <f t="shared" si="188"/>
        <v>0</v>
      </c>
      <c r="Q141" s="183">
        <f t="shared" si="188"/>
        <v>0</v>
      </c>
      <c r="R141" s="183">
        <f t="shared" si="9"/>
        <v>0</v>
      </c>
      <c r="S141" s="183">
        <f t="shared" si="10"/>
        <v>0</v>
      </c>
      <c r="T141" s="183">
        <f t="shared" si="11"/>
        <v>0</v>
      </c>
      <c r="U141" s="186"/>
      <c r="V141" s="183">
        <f>IFERROR(__xludf.DUMMYFUNCTION("""COMPUTED_VALUE"""),0.0)</f>
        <v>0</v>
      </c>
      <c r="W141" s="183">
        <f>IFERROR(__xludf.DUMMYFUNCTION("""COMPUTED_VALUE"""),0.0)</f>
        <v>0</v>
      </c>
      <c r="X141" s="183">
        <f>IFERROR(__xludf.DUMMYFUNCTION("""COMPUTED_VALUE"""),0.0)</f>
        <v>0</v>
      </c>
      <c r="Y141" s="183">
        <f>IFERROR(__xludf.DUMMYFUNCTION("""COMPUTED_VALUE"""),0.0)</f>
        <v>0</v>
      </c>
      <c r="Z141" s="183">
        <f t="shared" si="12"/>
        <v>0</v>
      </c>
      <c r="AA141" s="183">
        <f t="shared" si="13"/>
        <v>0</v>
      </c>
      <c r="AB141" s="183">
        <f t="shared" si="14"/>
        <v>0</v>
      </c>
    </row>
    <row r="142" ht="14.25" customHeight="1">
      <c r="A142" s="175"/>
      <c r="B142" s="208" t="s">
        <v>45</v>
      </c>
      <c r="C142" s="181"/>
      <c r="D142" s="217" t="s">
        <v>46</v>
      </c>
      <c r="E142" s="183">
        <f>SUMIFS('DB WBS'!$J:$J,'DB WBS'!$A:$A,$D$4,'DB WBS'!$D:$D,AA$1,'DB WBS'!$B:$B,$E$3,'DB WBS'!$E:$E,$B142)</f>
        <v>0</v>
      </c>
      <c r="F142" s="183">
        <f>SUMIFS('DB WBS'!$J:$J,'DB WBS'!$A:$A,$D$4,'DB WBS'!$D:$D,AA$2,'DB WBS'!$B:$B,$E$3,'DB WBS'!$E:$E,$B142)</f>
        <v>0</v>
      </c>
      <c r="G142" s="184">
        <f>IFERROR(HLOOKUP($E$3,'Tahun Lalu'!$B$5:$V$158,MATCH(B142,'Tahun Lalu'!$B$5:$B$158,0),0),0)</f>
        <v>1182503</v>
      </c>
      <c r="H142" s="184">
        <v>0.0</v>
      </c>
      <c r="I142" s="184">
        <v>0.0</v>
      </c>
      <c r="J142" s="183">
        <f t="shared" si="3"/>
        <v>0</v>
      </c>
      <c r="K142" s="183">
        <f t="shared" si="4"/>
        <v>0</v>
      </c>
      <c r="L142" s="183">
        <f t="shared" si="5"/>
        <v>0</v>
      </c>
      <c r="M142" s="183">
        <f t="shared" si="6"/>
        <v>0</v>
      </c>
      <c r="N142" s="183">
        <f t="shared" si="187"/>
        <v>0</v>
      </c>
      <c r="O142" s="183">
        <f t="shared" ref="O142:Q142" si="189">G142+W142</f>
        <v>15822645</v>
      </c>
      <c r="P142" s="183">
        <f t="shared" si="189"/>
        <v>0</v>
      </c>
      <c r="Q142" s="183">
        <f t="shared" si="189"/>
        <v>0</v>
      </c>
      <c r="R142" s="183">
        <f t="shared" si="9"/>
        <v>0</v>
      </c>
      <c r="S142" s="183">
        <f t="shared" si="10"/>
        <v>0</v>
      </c>
      <c r="T142" s="183">
        <f t="shared" si="11"/>
        <v>0</v>
      </c>
      <c r="U142" s="186"/>
      <c r="V142" s="183">
        <f>IFERROR(__xludf.DUMMYFUNCTION("""COMPUTED_VALUE"""),0.0)</f>
        <v>0</v>
      </c>
      <c r="W142" s="183">
        <f>IFERROR(__xludf.DUMMYFUNCTION("""COMPUTED_VALUE"""),1.4640142E7)</f>
        <v>14640142</v>
      </c>
      <c r="X142" s="183">
        <f>IFERROR(__xludf.DUMMYFUNCTION("""COMPUTED_VALUE"""),0.0)</f>
        <v>0</v>
      </c>
      <c r="Y142" s="183">
        <f>IFERROR(__xludf.DUMMYFUNCTION("""COMPUTED_VALUE"""),0.0)</f>
        <v>0</v>
      </c>
      <c r="Z142" s="183">
        <f t="shared" si="12"/>
        <v>0</v>
      </c>
      <c r="AA142" s="183">
        <f t="shared" si="13"/>
        <v>0</v>
      </c>
      <c r="AB142" s="183">
        <f t="shared" si="14"/>
        <v>0</v>
      </c>
    </row>
    <row r="143" ht="14.25" customHeight="1">
      <c r="A143" s="175"/>
      <c r="B143" s="218" t="s">
        <v>879</v>
      </c>
      <c r="C143" s="181"/>
      <c r="D143" s="217" t="s">
        <v>880</v>
      </c>
      <c r="E143" s="183">
        <f>SUMIFS('DB WBS'!$J:$J,'DB WBS'!$A:$A,$D$4,'DB WBS'!$D:$D,AA$1,'DB WBS'!$B:$B,$E$3,'DB WBS'!$E:$E,$B143)</f>
        <v>0</v>
      </c>
      <c r="F143" s="183">
        <f>SUMIFS('DB WBS'!$J:$J,'DB WBS'!$A:$A,$D$4,'DB WBS'!$D:$D,AA$2,'DB WBS'!$B:$B,$E$3,'DB WBS'!$E:$E,$B143)</f>
        <v>0</v>
      </c>
      <c r="G143" s="184">
        <f>IFERROR(HLOOKUP($E$3,'Tahun Lalu'!$B$5:$V$158,MATCH(B143,'Tahun Lalu'!$B$5:$B$158,0),0),0)</f>
        <v>0</v>
      </c>
      <c r="H143" s="184">
        <v>0.0</v>
      </c>
      <c r="I143" s="184">
        <v>0.0</v>
      </c>
      <c r="J143" s="183">
        <f t="shared" si="3"/>
        <v>0</v>
      </c>
      <c r="K143" s="183">
        <f t="shared" si="4"/>
        <v>0</v>
      </c>
      <c r="L143" s="183">
        <f t="shared" si="5"/>
        <v>0</v>
      </c>
      <c r="M143" s="183">
        <f t="shared" si="6"/>
        <v>0</v>
      </c>
      <c r="N143" s="183">
        <f t="shared" si="187"/>
        <v>0</v>
      </c>
      <c r="O143" s="183">
        <f t="shared" ref="O143:Q143" si="190">G143+W143</f>
        <v>0</v>
      </c>
      <c r="P143" s="183">
        <f t="shared" si="190"/>
        <v>0</v>
      </c>
      <c r="Q143" s="183">
        <f t="shared" si="190"/>
        <v>0</v>
      </c>
      <c r="R143" s="183">
        <f t="shared" si="9"/>
        <v>0</v>
      </c>
      <c r="S143" s="183">
        <f t="shared" si="10"/>
        <v>0</v>
      </c>
      <c r="T143" s="183">
        <f t="shared" si="11"/>
        <v>0</v>
      </c>
      <c r="U143" s="186"/>
      <c r="V143" s="183">
        <f>IFERROR(__xludf.DUMMYFUNCTION("""COMPUTED_VALUE"""),0.0)</f>
        <v>0</v>
      </c>
      <c r="W143" s="183">
        <f>IFERROR(__xludf.DUMMYFUNCTION("""COMPUTED_VALUE"""),0.0)</f>
        <v>0</v>
      </c>
      <c r="X143" s="183">
        <f>IFERROR(__xludf.DUMMYFUNCTION("""COMPUTED_VALUE"""),0.0)</f>
        <v>0</v>
      </c>
      <c r="Y143" s="183">
        <f>IFERROR(__xludf.DUMMYFUNCTION("""COMPUTED_VALUE"""),0.0)</f>
        <v>0</v>
      </c>
      <c r="Z143" s="183">
        <f t="shared" si="12"/>
        <v>0</v>
      </c>
      <c r="AA143" s="183">
        <f t="shared" si="13"/>
        <v>0</v>
      </c>
      <c r="AB143" s="183">
        <f t="shared" si="14"/>
        <v>0</v>
      </c>
    </row>
    <row r="144" ht="14.25" customHeight="1">
      <c r="A144" s="175"/>
      <c r="B144" s="219" t="s">
        <v>70</v>
      </c>
      <c r="C144" s="181"/>
      <c r="D144" s="217" t="s">
        <v>71</v>
      </c>
      <c r="E144" s="183">
        <f>SUMIFS('DB WBS'!$J:$J,'DB WBS'!$A:$A,$D$4,'DB WBS'!$D:$D,AA$1,'DB WBS'!$B:$B,$E$3,'DB WBS'!$E:$E,$B144)</f>
        <v>0</v>
      </c>
      <c r="F144" s="183">
        <f>SUMIFS('DB WBS'!$J:$J,'DB WBS'!$A:$A,$D$4,'DB WBS'!$D:$D,AA$2,'DB WBS'!$B:$B,$E$3,'DB WBS'!$E:$E,$B144)</f>
        <v>0</v>
      </c>
      <c r="G144" s="184">
        <f>IFERROR(HLOOKUP($E$3,'Tahun Lalu'!$B$5:$V$158,MATCH(B144,'Tahun Lalu'!$B$5:$B$158,0),0),0)</f>
        <v>0</v>
      </c>
      <c r="H144" s="184">
        <v>0.0</v>
      </c>
      <c r="I144" s="184">
        <v>0.0</v>
      </c>
      <c r="J144" s="183">
        <f t="shared" si="3"/>
        <v>0</v>
      </c>
      <c r="K144" s="183">
        <f t="shared" si="4"/>
        <v>0</v>
      </c>
      <c r="L144" s="183">
        <f t="shared" si="5"/>
        <v>0</v>
      </c>
      <c r="M144" s="183">
        <f t="shared" si="6"/>
        <v>0</v>
      </c>
      <c r="N144" s="183">
        <f t="shared" si="187"/>
        <v>0</v>
      </c>
      <c r="O144" s="183">
        <f t="shared" ref="O144:Q144" si="191">G144+W144</f>
        <v>0</v>
      </c>
      <c r="P144" s="183">
        <f t="shared" si="191"/>
        <v>0</v>
      </c>
      <c r="Q144" s="183">
        <f t="shared" si="191"/>
        <v>0</v>
      </c>
      <c r="R144" s="183">
        <f t="shared" si="9"/>
        <v>0</v>
      </c>
      <c r="S144" s="183">
        <f t="shared" si="10"/>
        <v>0</v>
      </c>
      <c r="T144" s="183">
        <f t="shared" si="11"/>
        <v>0</v>
      </c>
      <c r="U144" s="186"/>
      <c r="V144" s="183">
        <f>IFERROR(__xludf.DUMMYFUNCTION("""COMPUTED_VALUE"""),0.0)</f>
        <v>0</v>
      </c>
      <c r="W144" s="183">
        <f>IFERROR(__xludf.DUMMYFUNCTION("""COMPUTED_VALUE"""),0.0)</f>
        <v>0</v>
      </c>
      <c r="X144" s="183">
        <f>IFERROR(__xludf.DUMMYFUNCTION("""COMPUTED_VALUE"""),0.0)</f>
        <v>0</v>
      </c>
      <c r="Y144" s="183">
        <f>IFERROR(__xludf.DUMMYFUNCTION("""COMPUTED_VALUE"""),0.0)</f>
        <v>0</v>
      </c>
      <c r="Z144" s="183">
        <f t="shared" si="12"/>
        <v>0</v>
      </c>
      <c r="AA144" s="183">
        <f t="shared" si="13"/>
        <v>0</v>
      </c>
      <c r="AB144" s="183">
        <f t="shared" si="14"/>
        <v>0</v>
      </c>
    </row>
    <row r="145" ht="14.25" customHeight="1">
      <c r="A145" s="175"/>
      <c r="B145" s="219" t="s">
        <v>47</v>
      </c>
      <c r="C145" s="181"/>
      <c r="D145" s="217" t="s">
        <v>48</v>
      </c>
      <c r="E145" s="183">
        <f>SUMIFS('DB WBS'!$J:$J,'DB WBS'!$A:$A,$D$4,'DB WBS'!$D:$D,AA$1,'DB WBS'!$B:$B,$E$3,'DB WBS'!$E:$E,$B145)</f>
        <v>0</v>
      </c>
      <c r="F145" s="183">
        <f>SUMIFS('DB WBS'!$J:$J,'DB WBS'!$A:$A,$D$4,'DB WBS'!$D:$D,AA$2,'DB WBS'!$B:$B,$E$3,'DB WBS'!$E:$E,$B145)</f>
        <v>0</v>
      </c>
      <c r="G145" s="184">
        <f>IFERROR(HLOOKUP($E$3,'Tahun Lalu'!$B$5:$V$158,MATCH(B145,'Tahun Lalu'!$B$5:$B$158,0),0),0)</f>
        <v>0</v>
      </c>
      <c r="H145" s="184">
        <v>0.0</v>
      </c>
      <c r="I145" s="184">
        <v>0.0</v>
      </c>
      <c r="J145" s="183">
        <f t="shared" si="3"/>
        <v>0</v>
      </c>
      <c r="K145" s="183">
        <f t="shared" si="4"/>
        <v>0</v>
      </c>
      <c r="L145" s="183">
        <f t="shared" si="5"/>
        <v>0</v>
      </c>
      <c r="M145" s="183">
        <f t="shared" si="6"/>
        <v>0</v>
      </c>
      <c r="N145" s="183">
        <f t="shared" si="187"/>
        <v>0</v>
      </c>
      <c r="O145" s="183">
        <f t="shared" ref="O145:Q145" si="192">G145+W145</f>
        <v>0</v>
      </c>
      <c r="P145" s="183">
        <f t="shared" si="192"/>
        <v>0</v>
      </c>
      <c r="Q145" s="183">
        <f t="shared" si="192"/>
        <v>0</v>
      </c>
      <c r="R145" s="183">
        <f t="shared" si="9"/>
        <v>0</v>
      </c>
      <c r="S145" s="183">
        <f t="shared" si="10"/>
        <v>0</v>
      </c>
      <c r="T145" s="183">
        <f t="shared" si="11"/>
        <v>0</v>
      </c>
      <c r="U145" s="186"/>
      <c r="V145" s="183">
        <f>IFERROR(__xludf.DUMMYFUNCTION("""COMPUTED_VALUE"""),0.0)</f>
        <v>0</v>
      </c>
      <c r="W145" s="183">
        <f>IFERROR(__xludf.DUMMYFUNCTION("""COMPUTED_VALUE"""),0.0)</f>
        <v>0</v>
      </c>
      <c r="X145" s="183">
        <f>IFERROR(__xludf.DUMMYFUNCTION("""COMPUTED_VALUE"""),0.0)</f>
        <v>0</v>
      </c>
      <c r="Y145" s="183">
        <f>IFERROR(__xludf.DUMMYFUNCTION("""COMPUTED_VALUE"""),0.0)</f>
        <v>0</v>
      </c>
      <c r="Z145" s="183">
        <f t="shared" si="12"/>
        <v>0</v>
      </c>
      <c r="AA145" s="183">
        <f t="shared" si="13"/>
        <v>0</v>
      </c>
      <c r="AB145" s="183">
        <f t="shared" si="14"/>
        <v>0</v>
      </c>
    </row>
    <row r="146" ht="14.25" customHeight="1">
      <c r="A146" s="175"/>
      <c r="B146" s="219"/>
      <c r="C146" s="181"/>
      <c r="D146" s="220"/>
      <c r="E146" s="183">
        <f>SUMIFS('DB WBS'!$J:$J,'DB WBS'!$A:$A,$D$4,'DB WBS'!$D:$D,AA$1,'DB WBS'!$B:$B,$E$3,'DB WBS'!$E:$E,$B146)</f>
        <v>0</v>
      </c>
      <c r="F146" s="183">
        <f>SUMIFS('DB WBS'!$J:$J,'DB WBS'!$A:$A,$D$4,'DB WBS'!$D:$D,AA$2,'DB WBS'!$B:$B,$E$3,'DB WBS'!$E:$E,$B146)</f>
        <v>0</v>
      </c>
      <c r="G146" s="184">
        <f>IFERROR(HLOOKUP($E$3,'Tahun Lalu'!$B$5:$V$158,MATCH(B146,'Tahun Lalu'!$B$5:$B$158,0),0),0)</f>
        <v>0</v>
      </c>
      <c r="H146" s="184">
        <v>0.0</v>
      </c>
      <c r="I146" s="184">
        <v>0.0</v>
      </c>
      <c r="J146" s="183">
        <f t="shared" si="3"/>
        <v>0</v>
      </c>
      <c r="K146" s="183">
        <f t="shared" si="4"/>
        <v>0</v>
      </c>
      <c r="L146" s="183">
        <f t="shared" si="5"/>
        <v>0</v>
      </c>
      <c r="M146" s="183">
        <f t="shared" si="6"/>
        <v>0</v>
      </c>
      <c r="N146" s="183">
        <f t="shared" si="187"/>
        <v>0</v>
      </c>
      <c r="O146" s="183">
        <f t="shared" ref="O146:Q146" si="193">G146+W146</f>
        <v>0</v>
      </c>
      <c r="P146" s="183">
        <f t="shared" si="193"/>
        <v>0</v>
      </c>
      <c r="Q146" s="183">
        <f t="shared" si="193"/>
        <v>0</v>
      </c>
      <c r="R146" s="183">
        <f t="shared" si="9"/>
        <v>0</v>
      </c>
      <c r="S146" s="183">
        <f t="shared" si="10"/>
        <v>0</v>
      </c>
      <c r="T146" s="183">
        <f t="shared" si="11"/>
        <v>0</v>
      </c>
      <c r="U146" s="186"/>
      <c r="V146" s="183">
        <f>IFERROR(__xludf.DUMMYFUNCTION("""COMPUTED_VALUE"""),0.0)</f>
        <v>0</v>
      </c>
      <c r="W146" s="183">
        <f>IFERROR(__xludf.DUMMYFUNCTION("""COMPUTED_VALUE"""),0.0)</f>
        <v>0</v>
      </c>
      <c r="X146" s="183">
        <f>IFERROR(__xludf.DUMMYFUNCTION("""COMPUTED_VALUE"""),0.0)</f>
        <v>0</v>
      </c>
      <c r="Y146" s="183">
        <f>IFERROR(__xludf.DUMMYFUNCTION("""COMPUTED_VALUE"""),0.0)</f>
        <v>0</v>
      </c>
      <c r="Z146" s="183">
        <f t="shared" si="12"/>
        <v>0</v>
      </c>
      <c r="AA146" s="183">
        <f t="shared" si="13"/>
        <v>0</v>
      </c>
      <c r="AB146" s="183">
        <f t="shared" si="14"/>
        <v>0</v>
      </c>
    </row>
    <row r="147" ht="14.25" customHeight="1">
      <c r="A147" s="175"/>
      <c r="B147" s="212" t="s">
        <v>881</v>
      </c>
      <c r="C147" s="199"/>
      <c r="D147" s="200"/>
      <c r="E147" s="201">
        <f t="shared" ref="E147:I147" si="194">SUM(E140:E146)</f>
        <v>0</v>
      </c>
      <c r="F147" s="201">
        <f t="shared" si="194"/>
        <v>0</v>
      </c>
      <c r="G147" s="201">
        <f t="shared" si="194"/>
        <v>1182503</v>
      </c>
      <c r="H147" s="201">
        <f t="shared" si="194"/>
        <v>0</v>
      </c>
      <c r="I147" s="201">
        <f t="shared" si="194"/>
        <v>0</v>
      </c>
      <c r="J147" s="201">
        <f t="shared" si="3"/>
        <v>0</v>
      </c>
      <c r="K147" s="201">
        <f t="shared" si="4"/>
        <v>0</v>
      </c>
      <c r="L147" s="201">
        <f t="shared" si="5"/>
        <v>0</v>
      </c>
      <c r="M147" s="201">
        <f t="shared" si="6"/>
        <v>0</v>
      </c>
      <c r="N147" s="201">
        <f t="shared" ref="N147:Q147" si="195">SUM(N140:N146)</f>
        <v>6333334</v>
      </c>
      <c r="O147" s="201">
        <f t="shared" si="195"/>
        <v>45001795</v>
      </c>
      <c r="P147" s="201">
        <f t="shared" si="195"/>
        <v>0</v>
      </c>
      <c r="Q147" s="201">
        <f t="shared" si="195"/>
        <v>0</v>
      </c>
      <c r="R147" s="201">
        <f t="shared" si="9"/>
        <v>14.07351418</v>
      </c>
      <c r="S147" s="201">
        <f t="shared" si="10"/>
        <v>0</v>
      </c>
      <c r="T147" s="201">
        <f t="shared" si="11"/>
        <v>0</v>
      </c>
      <c r="U147" s="202"/>
      <c r="V147" s="201">
        <f>IFERROR(__xludf.DUMMYFUNCTION("""COMPUTED_VALUE"""),6333334.0)</f>
        <v>6333334</v>
      </c>
      <c r="W147" s="201">
        <f>IFERROR(__xludf.DUMMYFUNCTION("""COMPUTED_VALUE"""),4.3819292E7)</f>
        <v>43819292</v>
      </c>
      <c r="X147" s="201">
        <f>IFERROR(__xludf.DUMMYFUNCTION("""COMPUTED_VALUE"""),0.0)</f>
        <v>0</v>
      </c>
      <c r="Y147" s="201">
        <f>IFERROR(__xludf.DUMMYFUNCTION("""COMPUTED_VALUE"""),0.0)</f>
        <v>0</v>
      </c>
      <c r="Z147" s="201">
        <f t="shared" si="12"/>
        <v>14.45330061</v>
      </c>
      <c r="AA147" s="201">
        <f t="shared" si="13"/>
        <v>0</v>
      </c>
      <c r="AB147" s="201">
        <f t="shared" si="14"/>
        <v>0</v>
      </c>
    </row>
    <row r="148" ht="14.25" customHeight="1">
      <c r="A148" s="175"/>
      <c r="B148" s="204" t="s">
        <v>882</v>
      </c>
      <c r="C148" s="205"/>
      <c r="D148" s="206"/>
      <c r="E148" s="207">
        <f t="shared" ref="E148:I148" si="196">E147+E139</f>
        <v>0</v>
      </c>
      <c r="F148" s="207">
        <f t="shared" si="196"/>
        <v>0</v>
      </c>
      <c r="G148" s="207">
        <f t="shared" si="196"/>
        <v>1182503</v>
      </c>
      <c r="H148" s="207">
        <f t="shared" si="196"/>
        <v>0</v>
      </c>
      <c r="I148" s="207">
        <f t="shared" si="196"/>
        <v>0</v>
      </c>
      <c r="J148" s="207">
        <f t="shared" si="3"/>
        <v>0</v>
      </c>
      <c r="K148" s="207">
        <f t="shared" si="4"/>
        <v>0</v>
      </c>
      <c r="L148" s="207">
        <f t="shared" si="5"/>
        <v>0</v>
      </c>
      <c r="M148" s="207">
        <f t="shared" si="6"/>
        <v>0</v>
      </c>
      <c r="N148" s="207">
        <f t="shared" ref="N148:Q148" si="197">N147+N139</f>
        <v>6333334</v>
      </c>
      <c r="O148" s="207">
        <f t="shared" si="197"/>
        <v>45001795</v>
      </c>
      <c r="P148" s="207">
        <f t="shared" si="197"/>
        <v>0</v>
      </c>
      <c r="Q148" s="207">
        <f t="shared" si="197"/>
        <v>0</v>
      </c>
      <c r="R148" s="207">
        <f t="shared" si="9"/>
        <v>14.07351418</v>
      </c>
      <c r="S148" s="207">
        <f t="shared" si="10"/>
        <v>0</v>
      </c>
      <c r="T148" s="207">
        <f t="shared" si="11"/>
        <v>0</v>
      </c>
      <c r="U148" s="202"/>
      <c r="V148" s="207">
        <f>IFERROR(__xludf.DUMMYFUNCTION("""COMPUTED_VALUE"""),6333334.0)</f>
        <v>6333334</v>
      </c>
      <c r="W148" s="207">
        <f>IFERROR(__xludf.DUMMYFUNCTION("""COMPUTED_VALUE"""),4.3819292E7)</f>
        <v>43819292</v>
      </c>
      <c r="X148" s="207">
        <f>IFERROR(__xludf.DUMMYFUNCTION("""COMPUTED_VALUE"""),0.0)</f>
        <v>0</v>
      </c>
      <c r="Y148" s="207">
        <f>IFERROR(__xludf.DUMMYFUNCTION("""COMPUTED_VALUE"""),0.0)</f>
        <v>0</v>
      </c>
      <c r="Z148" s="207">
        <f t="shared" si="12"/>
        <v>14.45330061</v>
      </c>
      <c r="AA148" s="207">
        <f t="shared" si="13"/>
        <v>0</v>
      </c>
      <c r="AB148" s="207">
        <f t="shared" si="14"/>
        <v>0</v>
      </c>
    </row>
    <row r="149" ht="14.25" customHeight="1">
      <c r="A149" s="175"/>
      <c r="B149" s="221" t="s">
        <v>883</v>
      </c>
      <c r="C149" s="222"/>
      <c r="D149" s="223"/>
      <c r="E149" s="224">
        <f t="shared" ref="E149:I149" si="198">E148+E132+E119+E77+E10+E12</f>
        <v>92116392</v>
      </c>
      <c r="F149" s="224">
        <f t="shared" si="198"/>
        <v>287924148</v>
      </c>
      <c r="G149" s="224">
        <f t="shared" si="198"/>
        <v>206058992</v>
      </c>
      <c r="H149" s="224">
        <f t="shared" si="198"/>
        <v>0</v>
      </c>
      <c r="I149" s="224">
        <f t="shared" si="198"/>
        <v>0</v>
      </c>
      <c r="J149" s="224">
        <f t="shared" si="3"/>
        <v>31.99328456</v>
      </c>
      <c r="K149" s="224">
        <f t="shared" si="4"/>
        <v>44.70389334</v>
      </c>
      <c r="L149" s="224">
        <f t="shared" si="5"/>
        <v>0</v>
      </c>
      <c r="M149" s="224">
        <f t="shared" si="6"/>
        <v>0</v>
      </c>
      <c r="N149" s="224">
        <f t="shared" ref="N149:Q149" si="199">N148+N132+N119+N77+N10+N12</f>
        <v>414977172</v>
      </c>
      <c r="O149" s="224">
        <f t="shared" si="199"/>
        <v>1196735519</v>
      </c>
      <c r="P149" s="224">
        <f t="shared" si="199"/>
        <v>0</v>
      </c>
      <c r="Q149" s="224">
        <f t="shared" si="199"/>
        <v>0</v>
      </c>
      <c r="R149" s="224">
        <f t="shared" si="9"/>
        <v>34.67576297</v>
      </c>
      <c r="S149" s="224">
        <f t="shared" si="10"/>
        <v>0</v>
      </c>
      <c r="T149" s="224">
        <f t="shared" si="11"/>
        <v>0</v>
      </c>
      <c r="U149" s="225"/>
      <c r="V149" s="224">
        <f>IFERROR(__xludf.DUMMYFUNCTION("""COMPUTED_VALUE"""),3.2286078E8)</f>
        <v>322860780</v>
      </c>
      <c r="W149" s="224">
        <f>IFERROR(__xludf.DUMMYFUNCTION("""COMPUTED_VALUE"""),9.90676527E8)</f>
        <v>990676527</v>
      </c>
      <c r="X149" s="224">
        <f>IFERROR(__xludf.DUMMYFUNCTION("""COMPUTED_VALUE"""),0.0)</f>
        <v>0</v>
      </c>
      <c r="Y149" s="224">
        <f>IFERROR(__xludf.DUMMYFUNCTION("""COMPUTED_VALUE"""),0.0)</f>
        <v>0</v>
      </c>
      <c r="Z149" s="224">
        <f t="shared" si="12"/>
        <v>32.58992933</v>
      </c>
      <c r="AA149" s="224">
        <f t="shared" si="13"/>
        <v>0</v>
      </c>
      <c r="AB149" s="224">
        <f t="shared" si="14"/>
        <v>0</v>
      </c>
    </row>
    <row r="150" ht="14.25" customHeight="1">
      <c r="A150" s="175"/>
      <c r="B150" s="226"/>
      <c r="C150" s="177"/>
      <c r="D150" s="178" t="s">
        <v>884</v>
      </c>
      <c r="E150" s="227"/>
      <c r="F150" s="227"/>
      <c r="G150" s="227"/>
      <c r="H150" s="228"/>
      <c r="I150" s="228"/>
      <c r="J150" s="227">
        <f t="shared" si="3"/>
        <v>0</v>
      </c>
      <c r="K150" s="227">
        <f t="shared" si="4"/>
        <v>0</v>
      </c>
      <c r="L150" s="228">
        <f t="shared" si="5"/>
        <v>0</v>
      </c>
      <c r="M150" s="228">
        <f t="shared" si="6"/>
        <v>0</v>
      </c>
      <c r="N150" s="227"/>
      <c r="O150" s="227"/>
      <c r="P150" s="228"/>
      <c r="Q150" s="228"/>
      <c r="R150" s="227">
        <f t="shared" si="9"/>
        <v>0</v>
      </c>
      <c r="S150" s="227">
        <f t="shared" si="10"/>
        <v>0</v>
      </c>
      <c r="T150" s="228">
        <f t="shared" si="11"/>
        <v>0</v>
      </c>
      <c r="U150" s="229"/>
      <c r="V150" s="227"/>
      <c r="W150" s="227"/>
      <c r="X150" s="228"/>
      <c r="Y150" s="228"/>
      <c r="Z150" s="227">
        <f t="shared" si="12"/>
        <v>0</v>
      </c>
      <c r="AA150" s="227">
        <f t="shared" si="13"/>
        <v>0</v>
      </c>
      <c r="AB150" s="228">
        <f t="shared" si="14"/>
        <v>0</v>
      </c>
    </row>
    <row r="151" ht="14.25" customHeight="1">
      <c r="A151" s="175"/>
      <c r="B151" s="230" t="s">
        <v>526</v>
      </c>
      <c r="D151" s="209" t="s">
        <v>885</v>
      </c>
      <c r="E151" s="183">
        <f>SUMIFS('DB BTL'!$J:$J,'DB BTL'!$G:$G,$B151,'DB BTL'!$A:$A,$D$4,'DB BTL'!$B:$B,$E$3,'DB BTL'!$D:$D,AA$1)</f>
        <v>0</v>
      </c>
      <c r="F151" s="183">
        <f>SUMIFS('DB BTL'!$J:$J,'DB BTL'!$G:$G,$B151,'DB BTL'!$A:$A,$D$4,'DB BTL'!$B:$B,$E$3,'DB BTL'!$D:$D,AA$2)</f>
        <v>0</v>
      </c>
      <c r="G151" s="184">
        <f>IFERROR(HLOOKUP($E$3,'Tahun Lalu'!$B$5:$V$158,MATCH(B151,'Tahun Lalu'!$B$5:$B$158,0),0),0)</f>
        <v>0</v>
      </c>
      <c r="H151" s="184">
        <v>0.0</v>
      </c>
      <c r="I151" s="184">
        <v>0.0</v>
      </c>
      <c r="J151" s="183">
        <f t="shared" si="3"/>
        <v>0</v>
      </c>
      <c r="K151" s="183">
        <f t="shared" si="4"/>
        <v>0</v>
      </c>
      <c r="L151" s="183">
        <f t="shared" si="5"/>
        <v>0</v>
      </c>
      <c r="M151" s="183">
        <f t="shared" si="6"/>
        <v>0</v>
      </c>
      <c r="N151" s="183">
        <f t="shared" ref="N151:N164" si="201">E151+V151</f>
        <v>0</v>
      </c>
      <c r="O151" s="183">
        <f t="shared" ref="O151:Q151" si="200">G151+W151</f>
        <v>0</v>
      </c>
      <c r="P151" s="183">
        <f t="shared" si="200"/>
        <v>0</v>
      </c>
      <c r="Q151" s="183">
        <f t="shared" si="200"/>
        <v>0</v>
      </c>
      <c r="R151" s="183">
        <f t="shared" si="9"/>
        <v>0</v>
      </c>
      <c r="S151" s="183">
        <f t="shared" si="10"/>
        <v>0</v>
      </c>
      <c r="T151" s="183">
        <f t="shared" si="11"/>
        <v>0</v>
      </c>
      <c r="U151" s="186"/>
      <c r="V151" s="183">
        <f>IFERROR(__xludf.DUMMYFUNCTION("""COMPUTED_VALUE"""),0.0)</f>
        <v>0</v>
      </c>
      <c r="W151" s="183">
        <f>IFERROR(__xludf.DUMMYFUNCTION("""COMPUTED_VALUE"""),0.0)</f>
        <v>0</v>
      </c>
      <c r="X151" s="183">
        <f>IFERROR(__xludf.DUMMYFUNCTION("""COMPUTED_VALUE"""),0.0)</f>
        <v>0</v>
      </c>
      <c r="Y151" s="183">
        <f>IFERROR(__xludf.DUMMYFUNCTION("""COMPUTED_VALUE"""),0.0)</f>
        <v>0</v>
      </c>
      <c r="Z151" s="183">
        <f t="shared" si="12"/>
        <v>0</v>
      </c>
      <c r="AA151" s="183">
        <f t="shared" si="13"/>
        <v>0</v>
      </c>
      <c r="AB151" s="183">
        <f t="shared" si="14"/>
        <v>0</v>
      </c>
    </row>
    <row r="152" ht="14.25" customHeight="1">
      <c r="A152" s="231"/>
      <c r="B152" s="232" t="s">
        <v>503</v>
      </c>
      <c r="D152" s="209" t="s">
        <v>886</v>
      </c>
      <c r="E152" s="183">
        <f>SUMIFS('DB BTL'!$J:$J,'DB BTL'!$G:$G,$B152,'DB BTL'!$A:$A,$D$4,'DB BTL'!$B:$B,$E$3,'DB BTL'!$D:$D,AA$1)+153430136</f>
        <v>153430136</v>
      </c>
      <c r="F152" s="183">
        <f>SUMIFS('DB BTL'!$J:$J,'DB BTL'!$G:$G,$B152,'DB BTL'!$A:$A,$D$4,'DB BTL'!$B:$B,$E$3,'DB BTL'!$D:$D,AA$2)</f>
        <v>0</v>
      </c>
      <c r="G152" s="184">
        <f>IFERROR(HLOOKUP($E$3,'Tahun Lalu'!$B$5:$V$158,MATCH(B152,'Tahun Lalu'!$B$5:$B$158,0),0),0)</f>
        <v>153430139</v>
      </c>
      <c r="H152" s="184">
        <v>0.0</v>
      </c>
      <c r="I152" s="184">
        <v>0.0</v>
      </c>
      <c r="J152" s="183">
        <f t="shared" si="3"/>
        <v>0</v>
      </c>
      <c r="K152" s="183">
        <f t="shared" si="4"/>
        <v>99.99999804</v>
      </c>
      <c r="L152" s="183">
        <f t="shared" si="5"/>
        <v>0</v>
      </c>
      <c r="M152" s="183">
        <f t="shared" si="6"/>
        <v>0</v>
      </c>
      <c r="N152" s="183">
        <f t="shared" si="201"/>
        <v>613720546</v>
      </c>
      <c r="O152" s="183">
        <f t="shared" ref="O152:Q152" si="202">G152+W152</f>
        <v>767150685</v>
      </c>
      <c r="P152" s="183">
        <f t="shared" si="202"/>
        <v>0</v>
      </c>
      <c r="Q152" s="183">
        <f t="shared" si="202"/>
        <v>0</v>
      </c>
      <c r="R152" s="183">
        <f t="shared" si="9"/>
        <v>79.99999974</v>
      </c>
      <c r="S152" s="183">
        <f t="shared" si="10"/>
        <v>0</v>
      </c>
      <c r="T152" s="183">
        <f t="shared" si="11"/>
        <v>0</v>
      </c>
      <c r="U152" s="186"/>
      <c r="V152" s="183">
        <f>IFERROR(__xludf.DUMMYFUNCTION("""COMPUTED_VALUE"""),4.6029041E8)</f>
        <v>460290410</v>
      </c>
      <c r="W152" s="183">
        <f>IFERROR(__xludf.DUMMYFUNCTION("""COMPUTED_VALUE"""),6.13720546E8)</f>
        <v>613720546</v>
      </c>
      <c r="X152" s="183">
        <f>IFERROR(__xludf.DUMMYFUNCTION("""COMPUTED_VALUE"""),0.0)</f>
        <v>0</v>
      </c>
      <c r="Y152" s="183">
        <f>IFERROR(__xludf.DUMMYFUNCTION("""COMPUTED_VALUE"""),0.0)</f>
        <v>0</v>
      </c>
      <c r="Z152" s="183">
        <f t="shared" si="12"/>
        <v>75.00000008</v>
      </c>
      <c r="AA152" s="183">
        <f t="shared" si="13"/>
        <v>0</v>
      </c>
      <c r="AB152" s="183">
        <f t="shared" si="14"/>
        <v>0</v>
      </c>
    </row>
    <row r="153" ht="14.25" customHeight="1">
      <c r="A153" s="175"/>
      <c r="B153" s="230" t="s">
        <v>505</v>
      </c>
      <c r="D153" s="209" t="s">
        <v>887</v>
      </c>
      <c r="E153" s="183">
        <f>SUMIFS('DB BTL'!$J:$J,'DB BTL'!$G:$G,$B153,'DB BTL'!$A:$A,$D$4,'DB BTL'!$B:$B,$E$3,'DB BTL'!$D:$D,AA$1)</f>
        <v>0</v>
      </c>
      <c r="F153" s="183">
        <f>SUMIFS('DB BTL'!$J:$J,'DB BTL'!$G:$G,$B153,'DB BTL'!$A:$A,$D$4,'DB BTL'!$B:$B,$E$3,'DB BTL'!$D:$D,AA$2)</f>
        <v>0</v>
      </c>
      <c r="G153" s="184">
        <f>IFERROR(HLOOKUP($E$3,'Tahun Lalu'!$B$5:$V$158,MATCH(B153,'Tahun Lalu'!$B$5:$B$158,0),0),0)</f>
        <v>1107530</v>
      </c>
      <c r="H153" s="184">
        <v>0.0</v>
      </c>
      <c r="I153" s="184">
        <v>0.0</v>
      </c>
      <c r="J153" s="183">
        <f t="shared" si="3"/>
        <v>0</v>
      </c>
      <c r="K153" s="183">
        <f t="shared" si="4"/>
        <v>0</v>
      </c>
      <c r="L153" s="183">
        <f t="shared" si="5"/>
        <v>0</v>
      </c>
      <c r="M153" s="183">
        <f t="shared" si="6"/>
        <v>0</v>
      </c>
      <c r="N153" s="183">
        <f t="shared" si="201"/>
        <v>0</v>
      </c>
      <c r="O153" s="183">
        <f t="shared" ref="O153:Q153" si="203">G153+W153</f>
        <v>5537647</v>
      </c>
      <c r="P153" s="183">
        <f t="shared" si="203"/>
        <v>0</v>
      </c>
      <c r="Q153" s="183">
        <f t="shared" si="203"/>
        <v>0</v>
      </c>
      <c r="R153" s="183">
        <f t="shared" si="9"/>
        <v>0</v>
      </c>
      <c r="S153" s="183">
        <f t="shared" si="10"/>
        <v>0</v>
      </c>
      <c r="T153" s="183">
        <f t="shared" si="11"/>
        <v>0</v>
      </c>
      <c r="U153" s="186"/>
      <c r="V153" s="183">
        <f>IFERROR(__xludf.DUMMYFUNCTION("""COMPUTED_VALUE"""),0.0)</f>
        <v>0</v>
      </c>
      <c r="W153" s="183">
        <f>IFERROR(__xludf.DUMMYFUNCTION("""COMPUTED_VALUE"""),4430117.0)</f>
        <v>4430117</v>
      </c>
      <c r="X153" s="183">
        <f>IFERROR(__xludf.DUMMYFUNCTION("""COMPUTED_VALUE"""),0.0)</f>
        <v>0</v>
      </c>
      <c r="Y153" s="183">
        <f>IFERROR(__xludf.DUMMYFUNCTION("""COMPUTED_VALUE"""),0.0)</f>
        <v>0</v>
      </c>
      <c r="Z153" s="183">
        <f t="shared" si="12"/>
        <v>0</v>
      </c>
      <c r="AA153" s="183">
        <f t="shared" si="13"/>
        <v>0</v>
      </c>
      <c r="AB153" s="183">
        <f t="shared" si="14"/>
        <v>0</v>
      </c>
    </row>
    <row r="154" ht="14.25" customHeight="1">
      <c r="A154" s="175"/>
      <c r="B154" s="230" t="s">
        <v>507</v>
      </c>
      <c r="D154" s="209" t="s">
        <v>888</v>
      </c>
      <c r="E154" s="183">
        <f>SUMIFS('DB BTL'!$J:$J,'DB BTL'!$G:$G,$B154,'DB BTL'!$A:$A,$D$4,'DB BTL'!$B:$B,$E$3,'DB BTL'!$D:$D,AA$1)</f>
        <v>0</v>
      </c>
      <c r="F154" s="183">
        <f>SUMIFS('DB BTL'!$J:$J,'DB BTL'!$G:$G,$B154,'DB BTL'!$A:$A,$D$4,'DB BTL'!$B:$B,$E$3,'DB BTL'!$D:$D,AA$2)</f>
        <v>0</v>
      </c>
      <c r="G154" s="184">
        <f>IFERROR(HLOOKUP($E$3,'Tahun Lalu'!$B$5:$V$158,MATCH(B154,'Tahun Lalu'!$B$5:$B$158,0),0),0)</f>
        <v>141851</v>
      </c>
      <c r="H154" s="184">
        <v>0.0</v>
      </c>
      <c r="I154" s="184">
        <v>0.0</v>
      </c>
      <c r="J154" s="183">
        <f t="shared" si="3"/>
        <v>0</v>
      </c>
      <c r="K154" s="183">
        <f t="shared" si="4"/>
        <v>0</v>
      </c>
      <c r="L154" s="183">
        <f t="shared" si="5"/>
        <v>0</v>
      </c>
      <c r="M154" s="183">
        <f t="shared" si="6"/>
        <v>0</v>
      </c>
      <c r="N154" s="183">
        <f t="shared" si="201"/>
        <v>0</v>
      </c>
      <c r="O154" s="183">
        <f t="shared" ref="O154:Q154" si="204">G154+W154</f>
        <v>709257</v>
      </c>
      <c r="P154" s="183">
        <f t="shared" si="204"/>
        <v>0</v>
      </c>
      <c r="Q154" s="183">
        <f t="shared" si="204"/>
        <v>0</v>
      </c>
      <c r="R154" s="183">
        <f t="shared" si="9"/>
        <v>0</v>
      </c>
      <c r="S154" s="183">
        <f t="shared" si="10"/>
        <v>0</v>
      </c>
      <c r="T154" s="183">
        <f t="shared" si="11"/>
        <v>0</v>
      </c>
      <c r="U154" s="186"/>
      <c r="V154" s="183">
        <f>IFERROR(__xludf.DUMMYFUNCTION("""COMPUTED_VALUE"""),0.0)</f>
        <v>0</v>
      </c>
      <c r="W154" s="183">
        <f>IFERROR(__xludf.DUMMYFUNCTION("""COMPUTED_VALUE"""),567406.0)</f>
        <v>567406</v>
      </c>
      <c r="X154" s="183">
        <f>IFERROR(__xludf.DUMMYFUNCTION("""COMPUTED_VALUE"""),0.0)</f>
        <v>0</v>
      </c>
      <c r="Y154" s="183">
        <f>IFERROR(__xludf.DUMMYFUNCTION("""COMPUTED_VALUE"""),0.0)</f>
        <v>0</v>
      </c>
      <c r="Z154" s="183">
        <f t="shared" si="12"/>
        <v>0</v>
      </c>
      <c r="AA154" s="183">
        <f t="shared" si="13"/>
        <v>0</v>
      </c>
      <c r="AB154" s="183">
        <f t="shared" si="14"/>
        <v>0</v>
      </c>
    </row>
    <row r="155" ht="14.25" customHeight="1">
      <c r="A155" s="175"/>
      <c r="B155" s="230" t="s">
        <v>561</v>
      </c>
      <c r="D155" s="209" t="s">
        <v>889</v>
      </c>
      <c r="E155" s="183">
        <f>SUMIFS('DB BTL'!$J:$J,'DB BTL'!$G:$G,$B155,'DB BTL'!$A:$A,$D$4,'DB BTL'!$B:$B,$E$3,'DB BTL'!$D:$D,AA$1)</f>
        <v>0</v>
      </c>
      <c r="F155" s="183">
        <f>SUMIFS('DB BTL'!$J:$J,'DB BTL'!$G:$G,$B155,'DB BTL'!$A:$A,$D$4,'DB BTL'!$B:$B,$E$3,'DB BTL'!$D:$D,AA$2)</f>
        <v>0</v>
      </c>
      <c r="G155" s="184">
        <f>IFERROR(HLOOKUP($E$3,'Tahun Lalu'!$B$5:$V$158,MATCH(B155,'Tahun Lalu'!$B$5:$B$158,0),0),0)</f>
        <v>0</v>
      </c>
      <c r="H155" s="184">
        <v>0.0</v>
      </c>
      <c r="I155" s="184">
        <v>0.0</v>
      </c>
      <c r="J155" s="183">
        <f t="shared" si="3"/>
        <v>0</v>
      </c>
      <c r="K155" s="183">
        <f t="shared" si="4"/>
        <v>0</v>
      </c>
      <c r="L155" s="183">
        <f t="shared" si="5"/>
        <v>0</v>
      </c>
      <c r="M155" s="183">
        <f t="shared" si="6"/>
        <v>0</v>
      </c>
      <c r="N155" s="183">
        <f t="shared" si="201"/>
        <v>0</v>
      </c>
      <c r="O155" s="183">
        <f t="shared" ref="O155:Q155" si="205">G155+W155</f>
        <v>0</v>
      </c>
      <c r="P155" s="183">
        <f t="shared" si="205"/>
        <v>0</v>
      </c>
      <c r="Q155" s="183">
        <f t="shared" si="205"/>
        <v>0</v>
      </c>
      <c r="R155" s="183">
        <f t="shared" si="9"/>
        <v>0</v>
      </c>
      <c r="S155" s="183">
        <f t="shared" si="10"/>
        <v>0</v>
      </c>
      <c r="T155" s="183">
        <f t="shared" si="11"/>
        <v>0</v>
      </c>
      <c r="U155" s="186"/>
      <c r="V155" s="183">
        <f>IFERROR(__xludf.DUMMYFUNCTION("""COMPUTED_VALUE"""),0.0)</f>
        <v>0</v>
      </c>
      <c r="W155" s="183">
        <f>IFERROR(__xludf.DUMMYFUNCTION("""COMPUTED_VALUE"""),0.0)</f>
        <v>0</v>
      </c>
      <c r="X155" s="183">
        <f>IFERROR(__xludf.DUMMYFUNCTION("""COMPUTED_VALUE"""),0.0)</f>
        <v>0</v>
      </c>
      <c r="Y155" s="183">
        <f>IFERROR(__xludf.DUMMYFUNCTION("""COMPUTED_VALUE"""),0.0)</f>
        <v>0</v>
      </c>
      <c r="Z155" s="183">
        <f t="shared" si="12"/>
        <v>0</v>
      </c>
      <c r="AA155" s="183">
        <f t="shared" si="13"/>
        <v>0</v>
      </c>
      <c r="AB155" s="183">
        <f t="shared" si="14"/>
        <v>0</v>
      </c>
    </row>
    <row r="156" ht="14.25" customHeight="1">
      <c r="A156" s="175"/>
      <c r="B156" s="230" t="s">
        <v>509</v>
      </c>
      <c r="D156" s="209" t="s">
        <v>890</v>
      </c>
      <c r="E156" s="183">
        <f>SUMIFS('DB BTL'!$J:$J,'DB BTL'!$G:$G,$B156,'DB BTL'!$A:$A,$D$4,'DB BTL'!$B:$B,$E$3,'DB BTL'!$D:$D,AA$1)</f>
        <v>0</v>
      </c>
      <c r="F156" s="183">
        <f>SUMIFS('DB BTL'!$J:$J,'DB BTL'!$G:$G,$B156,'DB BTL'!$A:$A,$D$4,'DB BTL'!$B:$B,$E$3,'DB BTL'!$D:$D,AA$2)</f>
        <v>0</v>
      </c>
      <c r="G156" s="184">
        <f>IFERROR(HLOOKUP($E$3,'Tahun Lalu'!$B$5:$V$158,MATCH(B156,'Tahun Lalu'!$B$5:$B$158,0),0),0)</f>
        <v>0</v>
      </c>
      <c r="H156" s="184">
        <v>0.0</v>
      </c>
      <c r="I156" s="184">
        <v>0.0</v>
      </c>
      <c r="J156" s="183">
        <f t="shared" si="3"/>
        <v>0</v>
      </c>
      <c r="K156" s="183">
        <f t="shared" si="4"/>
        <v>0</v>
      </c>
      <c r="L156" s="183">
        <f t="shared" si="5"/>
        <v>0</v>
      </c>
      <c r="M156" s="183">
        <f t="shared" si="6"/>
        <v>0</v>
      </c>
      <c r="N156" s="183">
        <f t="shared" si="201"/>
        <v>0</v>
      </c>
      <c r="O156" s="183">
        <f t="shared" ref="O156:Q156" si="206">G156+W156</f>
        <v>0</v>
      </c>
      <c r="P156" s="183">
        <f t="shared" si="206"/>
        <v>0</v>
      </c>
      <c r="Q156" s="183">
        <f t="shared" si="206"/>
        <v>0</v>
      </c>
      <c r="R156" s="183">
        <f t="shared" si="9"/>
        <v>0</v>
      </c>
      <c r="S156" s="183">
        <f t="shared" si="10"/>
        <v>0</v>
      </c>
      <c r="T156" s="183">
        <f t="shared" si="11"/>
        <v>0</v>
      </c>
      <c r="U156" s="186"/>
      <c r="V156" s="183">
        <f>IFERROR(__xludf.DUMMYFUNCTION("""COMPUTED_VALUE"""),0.0)</f>
        <v>0</v>
      </c>
      <c r="W156" s="183">
        <f>IFERROR(__xludf.DUMMYFUNCTION("""COMPUTED_VALUE"""),0.0)</f>
        <v>0</v>
      </c>
      <c r="X156" s="183">
        <f>IFERROR(__xludf.DUMMYFUNCTION("""COMPUTED_VALUE"""),0.0)</f>
        <v>0</v>
      </c>
      <c r="Y156" s="183">
        <f>IFERROR(__xludf.DUMMYFUNCTION("""COMPUTED_VALUE"""),0.0)</f>
        <v>0</v>
      </c>
      <c r="Z156" s="183">
        <f t="shared" si="12"/>
        <v>0</v>
      </c>
      <c r="AA156" s="183">
        <f t="shared" si="13"/>
        <v>0</v>
      </c>
      <c r="AB156" s="183">
        <f t="shared" si="14"/>
        <v>0</v>
      </c>
    </row>
    <row r="157" ht="14.25" customHeight="1">
      <c r="A157" s="175"/>
      <c r="B157" s="230" t="s">
        <v>567</v>
      </c>
      <c r="D157" s="209" t="s">
        <v>891</v>
      </c>
      <c r="E157" s="183">
        <f>SUMIFS('DB BTL'!$J:$J,'DB BTL'!$G:$G,$B157,'DB BTL'!$A:$A,$D$4,'DB BTL'!$B:$B,$E$3,'DB BTL'!$D:$D,AA$1)</f>
        <v>0</v>
      </c>
      <c r="F157" s="183">
        <f>SUMIFS('DB BTL'!$J:$J,'DB BTL'!$G:$G,$B157,'DB BTL'!$A:$A,$D$4,'DB BTL'!$B:$B,$E$3,'DB BTL'!$D:$D,AA$2)</f>
        <v>0</v>
      </c>
      <c r="G157" s="184">
        <f>IFERROR(HLOOKUP($E$3,'Tahun Lalu'!$B$5:$V$158,MATCH(B157,'Tahun Lalu'!$B$5:$B$158,0),0),0)</f>
        <v>0</v>
      </c>
      <c r="H157" s="184">
        <v>0.0</v>
      </c>
      <c r="I157" s="184">
        <v>0.0</v>
      </c>
      <c r="J157" s="183">
        <f t="shared" si="3"/>
        <v>0</v>
      </c>
      <c r="K157" s="183">
        <f t="shared" si="4"/>
        <v>0</v>
      </c>
      <c r="L157" s="183">
        <f t="shared" si="5"/>
        <v>0</v>
      </c>
      <c r="M157" s="183">
        <f t="shared" si="6"/>
        <v>0</v>
      </c>
      <c r="N157" s="183">
        <f t="shared" si="201"/>
        <v>0</v>
      </c>
      <c r="O157" s="183">
        <f t="shared" ref="O157:Q157" si="207">G157+W157</f>
        <v>0</v>
      </c>
      <c r="P157" s="183">
        <f t="shared" si="207"/>
        <v>0</v>
      </c>
      <c r="Q157" s="183">
        <f t="shared" si="207"/>
        <v>0</v>
      </c>
      <c r="R157" s="183">
        <f t="shared" si="9"/>
        <v>0</v>
      </c>
      <c r="S157" s="183">
        <f t="shared" si="10"/>
        <v>0</v>
      </c>
      <c r="T157" s="183">
        <f t="shared" si="11"/>
        <v>0</v>
      </c>
      <c r="U157" s="186"/>
      <c r="V157" s="183">
        <f>IFERROR(__xludf.DUMMYFUNCTION("""COMPUTED_VALUE"""),0.0)</f>
        <v>0</v>
      </c>
      <c r="W157" s="183">
        <f>IFERROR(__xludf.DUMMYFUNCTION("""COMPUTED_VALUE"""),0.0)</f>
        <v>0</v>
      </c>
      <c r="X157" s="183">
        <f>IFERROR(__xludf.DUMMYFUNCTION("""COMPUTED_VALUE"""),0.0)</f>
        <v>0</v>
      </c>
      <c r="Y157" s="183">
        <f>IFERROR(__xludf.DUMMYFUNCTION("""COMPUTED_VALUE"""),0.0)</f>
        <v>0</v>
      </c>
      <c r="Z157" s="183">
        <f t="shared" si="12"/>
        <v>0</v>
      </c>
      <c r="AA157" s="183">
        <f t="shared" si="13"/>
        <v>0</v>
      </c>
      <c r="AB157" s="183">
        <f t="shared" si="14"/>
        <v>0</v>
      </c>
    </row>
    <row r="158" ht="14.25" customHeight="1">
      <c r="A158" s="175"/>
      <c r="B158" s="230" t="s">
        <v>511</v>
      </c>
      <c r="D158" s="209" t="s">
        <v>892</v>
      </c>
      <c r="E158" s="183">
        <f>SUMIFS('DB BTL'!$J:$J,'DB BTL'!$G:$G,$B158,'DB BTL'!$A:$A,$D$4,'DB BTL'!$B:$B,$E$3,'DB BTL'!$D:$D,AA$1)</f>
        <v>0</v>
      </c>
      <c r="F158" s="183">
        <f>SUMIFS('DB BTL'!$J:$J,'DB BTL'!$G:$G,$B158,'DB BTL'!$A:$A,$D$4,'DB BTL'!$B:$B,$E$3,'DB BTL'!$D:$D,AA$2)</f>
        <v>0</v>
      </c>
      <c r="G158" s="184">
        <f>IFERROR(HLOOKUP($E$3,'Tahun Lalu'!$B$5:$V$158,MATCH(B158,'Tahun Lalu'!$B$5:$B$158,0),0),0)</f>
        <v>9695597</v>
      </c>
      <c r="H158" s="184">
        <v>0.0</v>
      </c>
      <c r="I158" s="184">
        <v>0.0</v>
      </c>
      <c r="J158" s="183">
        <f t="shared" si="3"/>
        <v>0</v>
      </c>
      <c r="K158" s="183">
        <f t="shared" si="4"/>
        <v>0</v>
      </c>
      <c r="L158" s="183">
        <f t="shared" si="5"/>
        <v>0</v>
      </c>
      <c r="M158" s="183">
        <f t="shared" si="6"/>
        <v>0</v>
      </c>
      <c r="N158" s="183">
        <f t="shared" si="201"/>
        <v>0</v>
      </c>
      <c r="O158" s="183">
        <f t="shared" ref="O158:Q158" si="208">G158+W158</f>
        <v>48477980</v>
      </c>
      <c r="P158" s="183">
        <f t="shared" si="208"/>
        <v>0</v>
      </c>
      <c r="Q158" s="183">
        <f t="shared" si="208"/>
        <v>0</v>
      </c>
      <c r="R158" s="183">
        <f t="shared" si="9"/>
        <v>0</v>
      </c>
      <c r="S158" s="183">
        <f t="shared" si="10"/>
        <v>0</v>
      </c>
      <c r="T158" s="183">
        <f t="shared" si="11"/>
        <v>0</v>
      </c>
      <c r="U158" s="186"/>
      <c r="V158" s="183">
        <f>IFERROR(__xludf.DUMMYFUNCTION("""COMPUTED_VALUE"""),0.0)</f>
        <v>0</v>
      </c>
      <c r="W158" s="183">
        <f>IFERROR(__xludf.DUMMYFUNCTION("""COMPUTED_VALUE"""),3.8782383E7)</f>
        <v>38782383</v>
      </c>
      <c r="X158" s="183">
        <f>IFERROR(__xludf.DUMMYFUNCTION("""COMPUTED_VALUE"""),0.0)</f>
        <v>0</v>
      </c>
      <c r="Y158" s="183">
        <f>IFERROR(__xludf.DUMMYFUNCTION("""COMPUTED_VALUE"""),0.0)</f>
        <v>0</v>
      </c>
      <c r="Z158" s="183">
        <f t="shared" si="12"/>
        <v>0</v>
      </c>
      <c r="AA158" s="183">
        <f t="shared" si="13"/>
        <v>0</v>
      </c>
      <c r="AB158" s="183">
        <f t="shared" si="14"/>
        <v>0</v>
      </c>
    </row>
    <row r="159" ht="14.25" customHeight="1">
      <c r="A159" s="175"/>
      <c r="B159" s="230" t="s">
        <v>513</v>
      </c>
      <c r="D159" s="209" t="s">
        <v>893</v>
      </c>
      <c r="E159" s="183">
        <f>SUMIFS('DB BTL'!$J:$J,'DB BTL'!$G:$G,$B159,'DB BTL'!$A:$A,$D$4,'DB BTL'!$B:$B,$E$3,'DB BTL'!$D:$D,AA$1)</f>
        <v>0</v>
      </c>
      <c r="F159" s="183">
        <f>SUMIFS('DB BTL'!$J:$J,'DB BTL'!$G:$G,$B159,'DB BTL'!$A:$A,$D$4,'DB BTL'!$B:$B,$E$3,'DB BTL'!$D:$D,AA$2)</f>
        <v>0</v>
      </c>
      <c r="G159" s="184">
        <f>IFERROR(HLOOKUP($E$3,'Tahun Lalu'!$B$5:$V$158,MATCH(B159,'Tahun Lalu'!$B$5:$B$158,0),0),0)</f>
        <v>2915926</v>
      </c>
      <c r="H159" s="184">
        <v>0.0</v>
      </c>
      <c r="I159" s="184">
        <v>0.0</v>
      </c>
      <c r="J159" s="183">
        <f t="shared" si="3"/>
        <v>0</v>
      </c>
      <c r="K159" s="183">
        <f t="shared" si="4"/>
        <v>0</v>
      </c>
      <c r="L159" s="183">
        <f t="shared" si="5"/>
        <v>0</v>
      </c>
      <c r="M159" s="183">
        <f t="shared" si="6"/>
        <v>0</v>
      </c>
      <c r="N159" s="183">
        <f t="shared" si="201"/>
        <v>0</v>
      </c>
      <c r="O159" s="183">
        <f t="shared" ref="O159:Q159" si="209">G159+W159</f>
        <v>14579626</v>
      </c>
      <c r="P159" s="183">
        <f t="shared" si="209"/>
        <v>0</v>
      </c>
      <c r="Q159" s="183">
        <f t="shared" si="209"/>
        <v>0</v>
      </c>
      <c r="R159" s="183">
        <f t="shared" si="9"/>
        <v>0</v>
      </c>
      <c r="S159" s="183">
        <f t="shared" si="10"/>
        <v>0</v>
      </c>
      <c r="T159" s="183">
        <f t="shared" si="11"/>
        <v>0</v>
      </c>
      <c r="U159" s="186"/>
      <c r="V159" s="183">
        <f>IFERROR(__xludf.DUMMYFUNCTION("""COMPUTED_VALUE"""),0.0)</f>
        <v>0</v>
      </c>
      <c r="W159" s="183">
        <f>IFERROR(__xludf.DUMMYFUNCTION("""COMPUTED_VALUE"""),1.16637E7)</f>
        <v>11663700</v>
      </c>
      <c r="X159" s="183">
        <f>IFERROR(__xludf.DUMMYFUNCTION("""COMPUTED_VALUE"""),0.0)</f>
        <v>0</v>
      </c>
      <c r="Y159" s="183">
        <f>IFERROR(__xludf.DUMMYFUNCTION("""COMPUTED_VALUE"""),0.0)</f>
        <v>0</v>
      </c>
      <c r="Z159" s="183">
        <f t="shared" si="12"/>
        <v>0</v>
      </c>
      <c r="AA159" s="183">
        <f t="shared" si="13"/>
        <v>0</v>
      </c>
      <c r="AB159" s="183">
        <f t="shared" si="14"/>
        <v>0</v>
      </c>
    </row>
    <row r="160" ht="14.25" customHeight="1">
      <c r="A160" s="175"/>
      <c r="B160" s="230" t="s">
        <v>528</v>
      </c>
      <c r="D160" s="209" t="s">
        <v>894</v>
      </c>
      <c r="E160" s="183">
        <f>SUMIFS('DB BTL'!$J:$J,'DB BTL'!$G:$G,$B160,'DB BTL'!$A:$A,$D$4,'DB BTL'!$B:$B,$E$3,'DB BTL'!$D:$D,AA$1)</f>
        <v>0</v>
      </c>
      <c r="F160" s="183">
        <f>SUMIFS('DB BTL'!$J:$J,'DB BTL'!$G:$G,$B160,'DB BTL'!$A:$A,$D$4,'DB BTL'!$B:$B,$E$3,'DB BTL'!$D:$D,AA$2)</f>
        <v>0</v>
      </c>
      <c r="G160" s="184">
        <f>IFERROR(HLOOKUP($E$3,'Tahun Lalu'!$B$5:$V$158,MATCH(B160,'Tahun Lalu'!$B$5:$B$158,0),0),0)</f>
        <v>0</v>
      </c>
      <c r="H160" s="184">
        <v>0.0</v>
      </c>
      <c r="I160" s="184">
        <v>0.0</v>
      </c>
      <c r="J160" s="183">
        <f t="shared" si="3"/>
        <v>0</v>
      </c>
      <c r="K160" s="183">
        <f t="shared" si="4"/>
        <v>0</v>
      </c>
      <c r="L160" s="183">
        <f t="shared" si="5"/>
        <v>0</v>
      </c>
      <c r="M160" s="183">
        <f t="shared" si="6"/>
        <v>0</v>
      </c>
      <c r="N160" s="183">
        <f t="shared" si="201"/>
        <v>0</v>
      </c>
      <c r="O160" s="183">
        <f t="shared" ref="O160:Q160" si="210">G160+W160</f>
        <v>0</v>
      </c>
      <c r="P160" s="183">
        <f t="shared" si="210"/>
        <v>0</v>
      </c>
      <c r="Q160" s="183">
        <f t="shared" si="210"/>
        <v>0</v>
      </c>
      <c r="R160" s="183">
        <f t="shared" si="9"/>
        <v>0</v>
      </c>
      <c r="S160" s="183">
        <f t="shared" si="10"/>
        <v>0</v>
      </c>
      <c r="T160" s="183">
        <f t="shared" si="11"/>
        <v>0</v>
      </c>
      <c r="U160" s="186"/>
      <c r="V160" s="183">
        <f>IFERROR(__xludf.DUMMYFUNCTION("""COMPUTED_VALUE"""),0.0)</f>
        <v>0</v>
      </c>
      <c r="W160" s="183">
        <f>IFERROR(__xludf.DUMMYFUNCTION("""COMPUTED_VALUE"""),0.0)</f>
        <v>0</v>
      </c>
      <c r="X160" s="183">
        <f>IFERROR(__xludf.DUMMYFUNCTION("""COMPUTED_VALUE"""),0.0)</f>
        <v>0</v>
      </c>
      <c r="Y160" s="183">
        <f>IFERROR(__xludf.DUMMYFUNCTION("""COMPUTED_VALUE"""),0.0)</f>
        <v>0</v>
      </c>
      <c r="Z160" s="183">
        <f t="shared" si="12"/>
        <v>0</v>
      </c>
      <c r="AA160" s="183">
        <f t="shared" si="13"/>
        <v>0</v>
      </c>
      <c r="AB160" s="183">
        <f t="shared" si="14"/>
        <v>0</v>
      </c>
    </row>
    <row r="161" ht="14.25" customHeight="1">
      <c r="A161" s="175"/>
      <c r="B161" s="230" t="s">
        <v>539</v>
      </c>
      <c r="D161" s="209" t="s">
        <v>895</v>
      </c>
      <c r="E161" s="183">
        <f>SUMIFS('DB BTL'!$J:$J,'DB BTL'!$G:$G,$B161,'DB BTL'!$A:$A,$D$4,'DB BTL'!$B:$B,$E$3,'DB BTL'!$D:$D,AA$1)</f>
        <v>0</v>
      </c>
      <c r="F161" s="183">
        <f>SUMIFS('DB BTL'!$J:$J,'DB BTL'!$G:$G,$B161,'DB BTL'!$A:$A,$D$4,'DB BTL'!$B:$B,$E$3,'DB BTL'!$D:$D,AA$2)</f>
        <v>0</v>
      </c>
      <c r="G161" s="184">
        <f>IFERROR(HLOOKUP($E$3,'Tahun Lalu'!$B$5:$V$158,MATCH(B161,'Tahun Lalu'!$B$5:$B$158,0),0),0)</f>
        <v>0</v>
      </c>
      <c r="H161" s="184">
        <v>0.0</v>
      </c>
      <c r="I161" s="184">
        <v>0.0</v>
      </c>
      <c r="J161" s="183">
        <f t="shared" si="3"/>
        <v>0</v>
      </c>
      <c r="K161" s="183">
        <f t="shared" si="4"/>
        <v>0</v>
      </c>
      <c r="L161" s="183">
        <f t="shared" si="5"/>
        <v>0</v>
      </c>
      <c r="M161" s="183">
        <f t="shared" si="6"/>
        <v>0</v>
      </c>
      <c r="N161" s="183">
        <f t="shared" si="201"/>
        <v>0</v>
      </c>
      <c r="O161" s="183">
        <f t="shared" ref="O161:Q161" si="211">G161+W161</f>
        <v>0</v>
      </c>
      <c r="P161" s="183">
        <f t="shared" si="211"/>
        <v>0</v>
      </c>
      <c r="Q161" s="183">
        <f t="shared" si="211"/>
        <v>0</v>
      </c>
      <c r="R161" s="183">
        <f t="shared" si="9"/>
        <v>0</v>
      </c>
      <c r="S161" s="183">
        <f t="shared" si="10"/>
        <v>0</v>
      </c>
      <c r="T161" s="183">
        <f t="shared" si="11"/>
        <v>0</v>
      </c>
      <c r="U161" s="186"/>
      <c r="V161" s="183">
        <f>IFERROR(__xludf.DUMMYFUNCTION("""COMPUTED_VALUE"""),0.0)</f>
        <v>0</v>
      </c>
      <c r="W161" s="183">
        <f>IFERROR(__xludf.DUMMYFUNCTION("""COMPUTED_VALUE"""),0.0)</f>
        <v>0</v>
      </c>
      <c r="X161" s="183">
        <f>IFERROR(__xludf.DUMMYFUNCTION("""COMPUTED_VALUE"""),0.0)</f>
        <v>0</v>
      </c>
      <c r="Y161" s="183">
        <f>IFERROR(__xludf.DUMMYFUNCTION("""COMPUTED_VALUE"""),0.0)</f>
        <v>0</v>
      </c>
      <c r="Z161" s="183">
        <f t="shared" si="12"/>
        <v>0</v>
      </c>
      <c r="AA161" s="183">
        <f t="shared" si="13"/>
        <v>0</v>
      </c>
      <c r="AB161" s="183">
        <f t="shared" si="14"/>
        <v>0</v>
      </c>
    </row>
    <row r="162" ht="14.25" customHeight="1">
      <c r="A162" s="175"/>
      <c r="B162" s="230" t="s">
        <v>896</v>
      </c>
      <c r="D162" s="209" t="s">
        <v>897</v>
      </c>
      <c r="E162" s="183">
        <f>SUMIFS('DB BTL'!$J:$J,'DB BTL'!$G:$G,$B162,'DB BTL'!$A:$A,$D$4,'DB BTL'!$B:$B,$E$3,'DB BTL'!$D:$D,AA$1)</f>
        <v>0</v>
      </c>
      <c r="F162" s="183">
        <f>SUMIFS('DB BTL'!$J:$J,'DB BTL'!$G:$G,$B162,'DB BTL'!$A:$A,$D$4,'DB BTL'!$B:$B,$E$3,'DB BTL'!$D:$D,AA$2)</f>
        <v>0</v>
      </c>
      <c r="G162" s="184">
        <f>IFERROR(HLOOKUP($E$3,'Tahun Lalu'!$B$5:$V$158,MATCH(B162,'Tahun Lalu'!$B$5:$B$158,0),0),0)</f>
        <v>0</v>
      </c>
      <c r="H162" s="184">
        <v>0.0</v>
      </c>
      <c r="I162" s="184">
        <v>0.0</v>
      </c>
      <c r="J162" s="183">
        <f t="shared" si="3"/>
        <v>0</v>
      </c>
      <c r="K162" s="183">
        <f t="shared" si="4"/>
        <v>0</v>
      </c>
      <c r="L162" s="183">
        <f t="shared" si="5"/>
        <v>0</v>
      </c>
      <c r="M162" s="183">
        <f t="shared" si="6"/>
        <v>0</v>
      </c>
      <c r="N162" s="183">
        <f t="shared" si="201"/>
        <v>0</v>
      </c>
      <c r="O162" s="183">
        <f t="shared" ref="O162:Q162" si="212">G162+W162</f>
        <v>0</v>
      </c>
      <c r="P162" s="183">
        <f t="shared" si="212"/>
        <v>0</v>
      </c>
      <c r="Q162" s="183">
        <f t="shared" si="212"/>
        <v>0</v>
      </c>
      <c r="R162" s="183">
        <f t="shared" si="9"/>
        <v>0</v>
      </c>
      <c r="S162" s="183">
        <f t="shared" si="10"/>
        <v>0</v>
      </c>
      <c r="T162" s="183">
        <f t="shared" si="11"/>
        <v>0</v>
      </c>
      <c r="U162" s="186"/>
      <c r="V162" s="183">
        <f>IFERROR(__xludf.DUMMYFUNCTION("""COMPUTED_VALUE"""),0.0)</f>
        <v>0</v>
      </c>
      <c r="W162" s="183">
        <f>IFERROR(__xludf.DUMMYFUNCTION("""COMPUTED_VALUE"""),0.0)</f>
        <v>0</v>
      </c>
      <c r="X162" s="183">
        <f>IFERROR(__xludf.DUMMYFUNCTION("""COMPUTED_VALUE"""),0.0)</f>
        <v>0</v>
      </c>
      <c r="Y162" s="183">
        <f>IFERROR(__xludf.DUMMYFUNCTION("""COMPUTED_VALUE"""),0.0)</f>
        <v>0</v>
      </c>
      <c r="Z162" s="183">
        <f t="shared" si="12"/>
        <v>0</v>
      </c>
      <c r="AA162" s="183">
        <f t="shared" si="13"/>
        <v>0</v>
      </c>
      <c r="AB162" s="183">
        <f t="shared" si="14"/>
        <v>0</v>
      </c>
    </row>
    <row r="163" ht="14.25" customHeight="1">
      <c r="A163" s="175"/>
      <c r="B163" s="230" t="s">
        <v>898</v>
      </c>
      <c r="D163" s="209" t="s">
        <v>899</v>
      </c>
      <c r="E163" s="183">
        <f>SUMIFS('DB BTL'!$J:$J,'DB BTL'!$G:$G,$B163,'DB BTL'!$A:$A,$D$4,'DB BTL'!$B:$B,$E$3,'DB BTL'!$D:$D,AA$1)</f>
        <v>0</v>
      </c>
      <c r="F163" s="183">
        <f>SUMIFS('DB BTL'!$J:$J,'DB BTL'!$G:$G,$B163,'DB BTL'!$A:$A,$D$4,'DB BTL'!$B:$B,$E$3,'DB BTL'!$D:$D,AA$2)</f>
        <v>0</v>
      </c>
      <c r="G163" s="184">
        <f>IFERROR(HLOOKUP($E$3,'Tahun Lalu'!$B$5:$V$158,MATCH(B163,'Tahun Lalu'!$B$5:$B$158,0),0),0)</f>
        <v>0</v>
      </c>
      <c r="H163" s="184">
        <v>0.0</v>
      </c>
      <c r="I163" s="184">
        <v>0.0</v>
      </c>
      <c r="J163" s="183">
        <f t="shared" si="3"/>
        <v>0</v>
      </c>
      <c r="K163" s="183">
        <f t="shared" si="4"/>
        <v>0</v>
      </c>
      <c r="L163" s="183">
        <f t="shared" si="5"/>
        <v>0</v>
      </c>
      <c r="M163" s="183">
        <f t="shared" si="6"/>
        <v>0</v>
      </c>
      <c r="N163" s="183">
        <f t="shared" si="201"/>
        <v>0</v>
      </c>
      <c r="O163" s="183">
        <f t="shared" ref="O163:Q163" si="213">G163+W163</f>
        <v>0</v>
      </c>
      <c r="P163" s="183">
        <f t="shared" si="213"/>
        <v>0</v>
      </c>
      <c r="Q163" s="183">
        <f t="shared" si="213"/>
        <v>0</v>
      </c>
      <c r="R163" s="183">
        <f t="shared" si="9"/>
        <v>0</v>
      </c>
      <c r="S163" s="183">
        <f t="shared" si="10"/>
        <v>0</v>
      </c>
      <c r="T163" s="183">
        <f t="shared" si="11"/>
        <v>0</v>
      </c>
      <c r="U163" s="186"/>
      <c r="V163" s="183">
        <f>IFERROR(__xludf.DUMMYFUNCTION("""COMPUTED_VALUE"""),0.0)</f>
        <v>0</v>
      </c>
      <c r="W163" s="183">
        <f>IFERROR(__xludf.DUMMYFUNCTION("""COMPUTED_VALUE"""),0.0)</f>
        <v>0</v>
      </c>
      <c r="X163" s="183">
        <f>IFERROR(__xludf.DUMMYFUNCTION("""COMPUTED_VALUE"""),0.0)</f>
        <v>0</v>
      </c>
      <c r="Y163" s="183">
        <f>IFERROR(__xludf.DUMMYFUNCTION("""COMPUTED_VALUE"""),0.0)</f>
        <v>0</v>
      </c>
      <c r="Z163" s="183">
        <f t="shared" si="12"/>
        <v>0</v>
      </c>
      <c r="AA163" s="183">
        <f t="shared" si="13"/>
        <v>0</v>
      </c>
      <c r="AB163" s="183">
        <f t="shared" si="14"/>
        <v>0</v>
      </c>
    </row>
    <row r="164" ht="14.25" customHeight="1">
      <c r="A164" s="175"/>
      <c r="B164" s="230" t="s">
        <v>900</v>
      </c>
      <c r="D164" s="209" t="s">
        <v>901</v>
      </c>
      <c r="E164" s="183">
        <f>SUMIFS('DB BTL'!$J:$J,'DB BTL'!$G:$G,$B164,'DB BTL'!$A:$A,$D$4,'DB BTL'!$B:$B,$E$3,'DB BTL'!$D:$D,AA$1)</f>
        <v>0</v>
      </c>
      <c r="F164" s="183">
        <f>SUMIFS('DB BTL'!$J:$J,'DB BTL'!$G:$G,$B164,'DB BTL'!$A:$A,$D$4,'DB BTL'!$B:$B,$E$3,'DB BTL'!$D:$D,AA$2)</f>
        <v>0</v>
      </c>
      <c r="G164" s="184">
        <f>IFERROR(HLOOKUP($E$3,'Tahun Lalu'!$B$5:$V$158,MATCH(B164,'Tahun Lalu'!$B$5:$B$158,0),0),0)</f>
        <v>4805073</v>
      </c>
      <c r="H164" s="184">
        <v>0.0</v>
      </c>
      <c r="I164" s="184">
        <v>0.0</v>
      </c>
      <c r="J164" s="183">
        <f t="shared" si="3"/>
        <v>0</v>
      </c>
      <c r="K164" s="183">
        <f t="shared" si="4"/>
        <v>0</v>
      </c>
      <c r="L164" s="183">
        <f t="shared" si="5"/>
        <v>0</v>
      </c>
      <c r="M164" s="183">
        <f t="shared" si="6"/>
        <v>0</v>
      </c>
      <c r="N164" s="183">
        <f t="shared" si="201"/>
        <v>0</v>
      </c>
      <c r="O164" s="183">
        <f t="shared" ref="O164:Q164" si="214">G164+W164</f>
        <v>24025378</v>
      </c>
      <c r="P164" s="183">
        <f t="shared" si="214"/>
        <v>0</v>
      </c>
      <c r="Q164" s="183">
        <f t="shared" si="214"/>
        <v>0</v>
      </c>
      <c r="R164" s="183">
        <f t="shared" si="9"/>
        <v>0</v>
      </c>
      <c r="S164" s="183">
        <f t="shared" si="10"/>
        <v>0</v>
      </c>
      <c r="T164" s="183">
        <f t="shared" si="11"/>
        <v>0</v>
      </c>
      <c r="U164" s="186"/>
      <c r="V164" s="183">
        <f>IFERROR(__xludf.DUMMYFUNCTION("""COMPUTED_VALUE"""),0.0)</f>
        <v>0</v>
      </c>
      <c r="W164" s="183">
        <f>IFERROR(__xludf.DUMMYFUNCTION("""COMPUTED_VALUE"""),1.9220305E7)</f>
        <v>19220305</v>
      </c>
      <c r="X164" s="183">
        <f>IFERROR(__xludf.DUMMYFUNCTION("""COMPUTED_VALUE"""),0.0)</f>
        <v>0</v>
      </c>
      <c r="Y164" s="183">
        <f>IFERROR(__xludf.DUMMYFUNCTION("""COMPUTED_VALUE"""),0.0)</f>
        <v>0</v>
      </c>
      <c r="Z164" s="183">
        <f t="shared" si="12"/>
        <v>0</v>
      </c>
      <c r="AA164" s="183">
        <f t="shared" si="13"/>
        <v>0</v>
      </c>
      <c r="AB164" s="183">
        <f t="shared" si="14"/>
        <v>0</v>
      </c>
    </row>
    <row r="165" ht="14.25" customHeight="1">
      <c r="A165" s="175"/>
      <c r="B165" s="222"/>
      <c r="C165" s="222"/>
      <c r="D165" s="233" t="s">
        <v>902</v>
      </c>
      <c r="E165" s="224">
        <f t="shared" ref="E165:I165" si="215">sum(E150:E164)</f>
        <v>153430136</v>
      </c>
      <c r="F165" s="224">
        <f t="shared" si="215"/>
        <v>0</v>
      </c>
      <c r="G165" s="224">
        <f t="shared" si="215"/>
        <v>172096116</v>
      </c>
      <c r="H165" s="224">
        <f t="shared" si="215"/>
        <v>0</v>
      </c>
      <c r="I165" s="224">
        <f t="shared" si="215"/>
        <v>0</v>
      </c>
      <c r="J165" s="224">
        <f t="shared" si="3"/>
        <v>0</v>
      </c>
      <c r="K165" s="224">
        <f t="shared" si="4"/>
        <v>89.15374708</v>
      </c>
      <c r="L165" s="224">
        <f t="shared" si="5"/>
        <v>0</v>
      </c>
      <c r="M165" s="224">
        <f t="shared" si="6"/>
        <v>0</v>
      </c>
      <c r="N165" s="224">
        <f t="shared" ref="N165:Q165" si="216">sum(N150:N164)</f>
        <v>613720546</v>
      </c>
      <c r="O165" s="224">
        <f t="shared" si="216"/>
        <v>860480573</v>
      </c>
      <c r="P165" s="224">
        <f t="shared" si="216"/>
        <v>0</v>
      </c>
      <c r="Q165" s="224">
        <f t="shared" si="216"/>
        <v>0</v>
      </c>
      <c r="R165" s="224">
        <f t="shared" si="9"/>
        <v>71.32299848</v>
      </c>
      <c r="S165" s="224">
        <f t="shared" si="10"/>
        <v>0</v>
      </c>
      <c r="T165" s="224">
        <f t="shared" si="11"/>
        <v>0</v>
      </c>
      <c r="U165" s="225"/>
      <c r="V165" s="224">
        <f>IFERROR(__xludf.DUMMYFUNCTION("""COMPUTED_VALUE"""),4.6029041E8)</f>
        <v>460290410</v>
      </c>
      <c r="W165" s="224">
        <f>IFERROR(__xludf.DUMMYFUNCTION("""COMPUTED_VALUE"""),6.88384457E8)</f>
        <v>688384457</v>
      </c>
      <c r="X165" s="224">
        <f>IFERROR(__xludf.DUMMYFUNCTION("""COMPUTED_VALUE"""),0.0)</f>
        <v>0</v>
      </c>
      <c r="Y165" s="224">
        <f>IFERROR(__xludf.DUMMYFUNCTION("""COMPUTED_VALUE"""),0.0)</f>
        <v>0</v>
      </c>
      <c r="Z165" s="224">
        <f t="shared" si="12"/>
        <v>66.86531128</v>
      </c>
      <c r="AA165" s="224">
        <f t="shared" si="13"/>
        <v>0</v>
      </c>
      <c r="AB165" s="224">
        <f t="shared" si="14"/>
        <v>0</v>
      </c>
    </row>
    <row r="166" ht="14.25" customHeight="1">
      <c r="A166" s="175"/>
      <c r="B166" s="177"/>
      <c r="D166" s="234" t="s">
        <v>903</v>
      </c>
      <c r="E166" s="183"/>
      <c r="F166" s="183"/>
      <c r="G166" s="183"/>
      <c r="H166" s="184">
        <v>0.0</v>
      </c>
      <c r="I166" s="184">
        <v>0.0</v>
      </c>
      <c r="J166" s="183">
        <f t="shared" si="3"/>
        <v>0</v>
      </c>
      <c r="K166" s="183">
        <f t="shared" si="4"/>
        <v>0</v>
      </c>
      <c r="L166" s="188">
        <f t="shared" si="5"/>
        <v>0</v>
      </c>
      <c r="M166" s="188">
        <f t="shared" si="6"/>
        <v>0</v>
      </c>
      <c r="N166" s="183"/>
      <c r="O166" s="183"/>
      <c r="P166" s="188">
        <v>0.0</v>
      </c>
      <c r="Q166" s="188">
        <v>0.0</v>
      </c>
      <c r="R166" s="183">
        <f t="shared" si="9"/>
        <v>0</v>
      </c>
      <c r="S166" s="183">
        <f t="shared" si="10"/>
        <v>0</v>
      </c>
      <c r="T166" s="188">
        <f t="shared" si="11"/>
        <v>0</v>
      </c>
      <c r="U166" s="189"/>
      <c r="V166" s="183"/>
      <c r="W166" s="183"/>
      <c r="X166" s="188">
        <f>IFERROR(__xludf.DUMMYFUNCTION("""COMPUTED_VALUE"""),0.0)</f>
        <v>0</v>
      </c>
      <c r="Y166" s="188">
        <f>IFERROR(__xludf.DUMMYFUNCTION("""COMPUTED_VALUE"""),0.0)</f>
        <v>0</v>
      </c>
      <c r="Z166" s="183">
        <f t="shared" si="12"/>
        <v>0</v>
      </c>
      <c r="AA166" s="183">
        <f t="shared" si="13"/>
        <v>0</v>
      </c>
      <c r="AB166" s="188">
        <f t="shared" si="14"/>
        <v>0</v>
      </c>
    </row>
    <row r="167" ht="14.25" customHeight="1">
      <c r="A167" s="175"/>
      <c r="B167" s="181" t="s">
        <v>441</v>
      </c>
      <c r="D167" s="209" t="s">
        <v>706</v>
      </c>
      <c r="E167" s="183">
        <f>SUMIFS('DB BTL'!$J:$J,'DB BTL'!$E:$E,$B167,'DB BTL'!$A:$A,$D$4,'DB BTL'!$B:$B,$E$3,'DB BTL'!$D:$D,AA$1)</f>
        <v>16895706</v>
      </c>
      <c r="F167" s="183">
        <f>SUMIFS('DB BTL'!$J:$J,'DB BTL'!$E:$E,$B167,'DB BTL'!$A:$A,$D$4,'DB BTL'!$B:$B,$E$3,'DB BTL'!$D:$D,AA$2)</f>
        <v>15562982</v>
      </c>
      <c r="G167" s="184">
        <f>IFERROR(HLOOKUP($E$3,'Tahun Lalu'!$B$5:$V$158,MATCH(B167,'Tahun Lalu'!$B$5:$B$158,0),0),0)</f>
        <v>13422542</v>
      </c>
      <c r="H167" s="184">
        <v>0.0</v>
      </c>
      <c r="I167" s="184">
        <v>0.0</v>
      </c>
      <c r="J167" s="183">
        <f t="shared" si="3"/>
        <v>108.5634231</v>
      </c>
      <c r="K167" s="183">
        <f t="shared" si="4"/>
        <v>125.8756054</v>
      </c>
      <c r="L167" s="183">
        <f t="shared" si="5"/>
        <v>0</v>
      </c>
      <c r="M167" s="183">
        <f t="shared" si="6"/>
        <v>0</v>
      </c>
      <c r="N167" s="183">
        <f t="shared" ref="N167:N187" si="218">E167+V167</f>
        <v>70005756</v>
      </c>
      <c r="O167" s="183">
        <f t="shared" ref="O167:Q167" si="217">G167+W167</f>
        <v>64840554</v>
      </c>
      <c r="P167" s="183">
        <f t="shared" si="217"/>
        <v>0</v>
      </c>
      <c r="Q167" s="183">
        <f t="shared" si="217"/>
        <v>0</v>
      </c>
      <c r="R167" s="183">
        <f t="shared" si="9"/>
        <v>107.9660053</v>
      </c>
      <c r="S167" s="183">
        <f t="shared" si="10"/>
        <v>0</v>
      </c>
      <c r="T167" s="183">
        <f t="shared" si="11"/>
        <v>0</v>
      </c>
      <c r="U167" s="186"/>
      <c r="V167" s="183">
        <f>IFERROR(__xludf.DUMMYFUNCTION("""COMPUTED_VALUE"""),5.311005E7)</f>
        <v>53110050</v>
      </c>
      <c r="W167" s="183">
        <f>IFERROR(__xludf.DUMMYFUNCTION("""COMPUTED_VALUE"""),5.1418012E7)</f>
        <v>51418012</v>
      </c>
      <c r="X167" s="183">
        <f>IFERROR(__xludf.DUMMYFUNCTION("""COMPUTED_VALUE"""),0.0)</f>
        <v>0</v>
      </c>
      <c r="Y167" s="183">
        <f>IFERROR(__xludf.DUMMYFUNCTION("""COMPUTED_VALUE"""),0.0)</f>
        <v>0</v>
      </c>
      <c r="Z167" s="183">
        <f t="shared" si="12"/>
        <v>103.2907496</v>
      </c>
      <c r="AA167" s="183">
        <f t="shared" si="13"/>
        <v>0</v>
      </c>
      <c r="AB167" s="183">
        <f t="shared" si="14"/>
        <v>0</v>
      </c>
    </row>
    <row r="168" ht="14.25" customHeight="1">
      <c r="A168" s="175"/>
      <c r="B168" s="181" t="s">
        <v>456</v>
      </c>
      <c r="D168" s="209" t="s">
        <v>707</v>
      </c>
      <c r="E168" s="183">
        <f>SUMIFS('DB BTL'!$J:$J,'DB BTL'!$E:$E,$B168,'DB BTL'!$A:$A,$D$4,'DB BTL'!$B:$B,$E$3,'DB BTL'!$D:$D,AA$1)</f>
        <v>7003155</v>
      </c>
      <c r="F168" s="183">
        <f>SUMIFS('DB BTL'!$J:$J,'DB BTL'!$E:$E,$B168,'DB BTL'!$A:$A,$D$4,'DB BTL'!$B:$B,$E$3,'DB BTL'!$D:$D,AA$2)</f>
        <v>6287350</v>
      </c>
      <c r="G168" s="184">
        <f>IFERROR(HLOOKUP($E$3,'Tahun Lalu'!$B$5:$V$158,MATCH(B168,'Tahun Lalu'!$B$5:$B$158,0),0),0)</f>
        <v>39395376</v>
      </c>
      <c r="H168" s="184">
        <v>0.0</v>
      </c>
      <c r="I168" s="184">
        <v>0.0</v>
      </c>
      <c r="J168" s="183">
        <f t="shared" si="3"/>
        <v>111.3848442</v>
      </c>
      <c r="K168" s="183">
        <f t="shared" si="4"/>
        <v>17.77659134</v>
      </c>
      <c r="L168" s="183">
        <f t="shared" si="5"/>
        <v>0</v>
      </c>
      <c r="M168" s="183">
        <f t="shared" si="6"/>
        <v>0</v>
      </c>
      <c r="N168" s="183">
        <f t="shared" si="218"/>
        <v>31792960</v>
      </c>
      <c r="O168" s="183">
        <f t="shared" ref="O168:Q168" si="219">G168+W168</f>
        <v>249455604</v>
      </c>
      <c r="P168" s="183">
        <f t="shared" si="219"/>
        <v>0</v>
      </c>
      <c r="Q168" s="183">
        <f t="shared" si="219"/>
        <v>0</v>
      </c>
      <c r="R168" s="183">
        <f t="shared" si="9"/>
        <v>12.74493717</v>
      </c>
      <c r="S168" s="183">
        <f t="shared" si="10"/>
        <v>0</v>
      </c>
      <c r="T168" s="183">
        <f t="shared" si="11"/>
        <v>0</v>
      </c>
      <c r="U168" s="186"/>
      <c r="V168" s="183">
        <f>IFERROR(__xludf.DUMMYFUNCTION("""COMPUTED_VALUE"""),2.4789805E7)</f>
        <v>24789805</v>
      </c>
      <c r="W168" s="183">
        <f>IFERROR(__xludf.DUMMYFUNCTION("""COMPUTED_VALUE"""),2.10060228E8)</f>
        <v>210060228</v>
      </c>
      <c r="X168" s="183">
        <f>IFERROR(__xludf.DUMMYFUNCTION("""COMPUTED_VALUE"""),0.0)</f>
        <v>0</v>
      </c>
      <c r="Y168" s="183">
        <f>IFERROR(__xludf.DUMMYFUNCTION("""COMPUTED_VALUE"""),0.0)</f>
        <v>0</v>
      </c>
      <c r="Z168" s="183">
        <f t="shared" si="12"/>
        <v>11.80128444</v>
      </c>
      <c r="AA168" s="183">
        <f t="shared" si="13"/>
        <v>0</v>
      </c>
      <c r="AB168" s="183">
        <f t="shared" si="14"/>
        <v>0</v>
      </c>
    </row>
    <row r="169" ht="14.25" customHeight="1">
      <c r="A169" s="175"/>
      <c r="B169" s="177"/>
      <c r="D169" s="209" t="s">
        <v>904</v>
      </c>
      <c r="E169" s="183">
        <f>SUMIFS('DB BTL'!$J:$J,'DB BTL'!$E:$E,$B169,'DB BTL'!$A:$A,$D$4,'DB BTL'!$B:$B,$E$3,'DB BTL'!$D:$D,AA$1)</f>
        <v>0</v>
      </c>
      <c r="F169" s="183">
        <f>SUMIFS('DB BTL'!$J:$J,'DB BTL'!$E:$E,$B169,'DB BTL'!$A:$A,$D$4,'DB BTL'!$B:$B,$E$3,'DB BTL'!$D:$D,AA$2)</f>
        <v>0</v>
      </c>
      <c r="G169" s="184">
        <f>IFERROR(HLOOKUP($E$3,'Tahun Lalu'!$B$5:$V$158,MATCH(B169,'Tahun Lalu'!$B$5:$B$158,0),0),0)</f>
        <v>0</v>
      </c>
      <c r="H169" s="184">
        <v>0.0</v>
      </c>
      <c r="I169" s="184">
        <v>0.0</v>
      </c>
      <c r="J169" s="183">
        <f t="shared" si="3"/>
        <v>0</v>
      </c>
      <c r="K169" s="183">
        <f t="shared" si="4"/>
        <v>0</v>
      </c>
      <c r="L169" s="183">
        <f t="shared" si="5"/>
        <v>0</v>
      </c>
      <c r="M169" s="183">
        <f t="shared" si="6"/>
        <v>0</v>
      </c>
      <c r="N169" s="183">
        <f t="shared" si="218"/>
        <v>0</v>
      </c>
      <c r="O169" s="183">
        <f t="shared" ref="O169:Q169" si="220">G169+W169</f>
        <v>0</v>
      </c>
      <c r="P169" s="183">
        <f t="shared" si="220"/>
        <v>0</v>
      </c>
      <c r="Q169" s="183">
        <f t="shared" si="220"/>
        <v>0</v>
      </c>
      <c r="R169" s="183">
        <f t="shared" si="9"/>
        <v>0</v>
      </c>
      <c r="S169" s="183">
        <f t="shared" si="10"/>
        <v>0</v>
      </c>
      <c r="T169" s="183">
        <f t="shared" si="11"/>
        <v>0</v>
      </c>
      <c r="U169" s="186"/>
      <c r="V169" s="183">
        <f>IFERROR(__xludf.DUMMYFUNCTION("""COMPUTED_VALUE"""),0.0)</f>
        <v>0</v>
      </c>
      <c r="W169" s="183">
        <f>IFERROR(__xludf.DUMMYFUNCTION("""COMPUTED_VALUE"""),0.0)</f>
        <v>0</v>
      </c>
      <c r="X169" s="183">
        <f>IFERROR(__xludf.DUMMYFUNCTION("""COMPUTED_VALUE"""),0.0)</f>
        <v>0</v>
      </c>
      <c r="Y169" s="183">
        <f>IFERROR(__xludf.DUMMYFUNCTION("""COMPUTED_VALUE"""),0.0)</f>
        <v>0</v>
      </c>
      <c r="Z169" s="183">
        <f t="shared" si="12"/>
        <v>0</v>
      </c>
      <c r="AA169" s="183">
        <f t="shared" si="13"/>
        <v>0</v>
      </c>
      <c r="AB169" s="183">
        <f t="shared" si="14"/>
        <v>0</v>
      </c>
    </row>
    <row r="170" ht="14.25" customHeight="1">
      <c r="A170" s="175"/>
      <c r="B170" s="177"/>
      <c r="D170" s="209" t="s">
        <v>905</v>
      </c>
      <c r="E170" s="183">
        <f>SUMIFS('DB BTL'!$J:$J,'DB BTL'!$E:$E,$B170,'DB BTL'!$A:$A,$D$4,'DB BTL'!$B:$B,$E$3,'DB BTL'!$D:$D,AA$1)</f>
        <v>0</v>
      </c>
      <c r="F170" s="183">
        <f>SUMIFS('DB BTL'!$J:$J,'DB BTL'!$E:$E,$B170,'DB BTL'!$A:$A,$D$4,'DB BTL'!$B:$B,$E$3,'DB BTL'!$D:$D,AA$2)</f>
        <v>0</v>
      </c>
      <c r="G170" s="184">
        <f>IFERROR(HLOOKUP($E$3,'Tahun Lalu'!$B$5:$V$158,MATCH(B170,'Tahun Lalu'!$B$5:$B$158,0),0),0)</f>
        <v>0</v>
      </c>
      <c r="H170" s="184">
        <v>0.0</v>
      </c>
      <c r="I170" s="184">
        <v>0.0</v>
      </c>
      <c r="J170" s="183">
        <f t="shared" si="3"/>
        <v>0</v>
      </c>
      <c r="K170" s="183">
        <f t="shared" si="4"/>
        <v>0</v>
      </c>
      <c r="L170" s="183">
        <f t="shared" si="5"/>
        <v>0</v>
      </c>
      <c r="M170" s="183">
        <f t="shared" si="6"/>
        <v>0</v>
      </c>
      <c r="N170" s="183">
        <f t="shared" si="218"/>
        <v>0</v>
      </c>
      <c r="O170" s="183">
        <f t="shared" ref="O170:Q170" si="221">G170+W170</f>
        <v>0</v>
      </c>
      <c r="P170" s="183">
        <f t="shared" si="221"/>
        <v>0</v>
      </c>
      <c r="Q170" s="183">
        <f t="shared" si="221"/>
        <v>0</v>
      </c>
      <c r="R170" s="183">
        <f t="shared" si="9"/>
        <v>0</v>
      </c>
      <c r="S170" s="183">
        <f t="shared" si="10"/>
        <v>0</v>
      </c>
      <c r="T170" s="183">
        <f t="shared" si="11"/>
        <v>0</v>
      </c>
      <c r="U170" s="186"/>
      <c r="V170" s="183">
        <f>IFERROR(__xludf.DUMMYFUNCTION("""COMPUTED_VALUE"""),0.0)</f>
        <v>0</v>
      </c>
      <c r="W170" s="183">
        <f>IFERROR(__xludf.DUMMYFUNCTION("""COMPUTED_VALUE"""),0.0)</f>
        <v>0</v>
      </c>
      <c r="X170" s="183">
        <f>IFERROR(__xludf.DUMMYFUNCTION("""COMPUTED_VALUE"""),0.0)</f>
        <v>0</v>
      </c>
      <c r="Y170" s="183">
        <f>IFERROR(__xludf.DUMMYFUNCTION("""COMPUTED_VALUE"""),0.0)</f>
        <v>0</v>
      </c>
      <c r="Z170" s="183">
        <f t="shared" si="12"/>
        <v>0</v>
      </c>
      <c r="AA170" s="183">
        <f t="shared" si="13"/>
        <v>0</v>
      </c>
      <c r="AB170" s="183">
        <f t="shared" si="14"/>
        <v>0</v>
      </c>
    </row>
    <row r="171" ht="14.25" customHeight="1">
      <c r="A171" s="175"/>
      <c r="B171" s="177"/>
      <c r="D171" s="209" t="s">
        <v>906</v>
      </c>
      <c r="E171" s="183">
        <f>SUMIFS('DB BTL'!$J:$J,'DB BTL'!$E:$E,$B171,'DB BTL'!$A:$A,$D$4,'DB BTL'!$B:$B,$E$3,'DB BTL'!$D:$D,AA$1)</f>
        <v>0</v>
      </c>
      <c r="F171" s="183">
        <f>SUMIFS('DB BTL'!$J:$J,'DB BTL'!$E:$E,$B171,'DB BTL'!$A:$A,$D$4,'DB BTL'!$B:$B,$E$3,'DB BTL'!$D:$D,AA$2)</f>
        <v>0</v>
      </c>
      <c r="G171" s="184">
        <f>IFERROR(HLOOKUP($E$3,'Tahun Lalu'!$B$5:$V$158,MATCH(B171,'Tahun Lalu'!$B$5:$B$158,0),0),0)</f>
        <v>0</v>
      </c>
      <c r="H171" s="184">
        <v>0.0</v>
      </c>
      <c r="I171" s="184">
        <v>0.0</v>
      </c>
      <c r="J171" s="183">
        <f t="shared" si="3"/>
        <v>0</v>
      </c>
      <c r="K171" s="183">
        <f t="shared" si="4"/>
        <v>0</v>
      </c>
      <c r="L171" s="183">
        <f t="shared" si="5"/>
        <v>0</v>
      </c>
      <c r="M171" s="183">
        <f t="shared" si="6"/>
        <v>0</v>
      </c>
      <c r="N171" s="183">
        <f t="shared" si="218"/>
        <v>0</v>
      </c>
      <c r="O171" s="183">
        <f t="shared" ref="O171:Q171" si="222">G171+W171</f>
        <v>0</v>
      </c>
      <c r="P171" s="183">
        <f t="shared" si="222"/>
        <v>0</v>
      </c>
      <c r="Q171" s="183">
        <f t="shared" si="222"/>
        <v>0</v>
      </c>
      <c r="R171" s="183">
        <f t="shared" si="9"/>
        <v>0</v>
      </c>
      <c r="S171" s="183">
        <f t="shared" si="10"/>
        <v>0</v>
      </c>
      <c r="T171" s="183">
        <f t="shared" si="11"/>
        <v>0</v>
      </c>
      <c r="U171" s="186"/>
      <c r="V171" s="183">
        <f>IFERROR(__xludf.DUMMYFUNCTION("""COMPUTED_VALUE"""),0.0)</f>
        <v>0</v>
      </c>
      <c r="W171" s="183">
        <f>IFERROR(__xludf.DUMMYFUNCTION("""COMPUTED_VALUE"""),0.0)</f>
        <v>0</v>
      </c>
      <c r="X171" s="183">
        <f>IFERROR(__xludf.DUMMYFUNCTION("""COMPUTED_VALUE"""),0.0)</f>
        <v>0</v>
      </c>
      <c r="Y171" s="183">
        <f>IFERROR(__xludf.DUMMYFUNCTION("""COMPUTED_VALUE"""),0.0)</f>
        <v>0</v>
      </c>
      <c r="Z171" s="183">
        <f t="shared" si="12"/>
        <v>0</v>
      </c>
      <c r="AA171" s="183">
        <f t="shared" si="13"/>
        <v>0</v>
      </c>
      <c r="AB171" s="183">
        <f t="shared" si="14"/>
        <v>0</v>
      </c>
    </row>
    <row r="172" ht="14.25" customHeight="1">
      <c r="A172" s="175"/>
      <c r="B172" s="181" t="s">
        <v>475</v>
      </c>
      <c r="D172" s="209" t="s">
        <v>708</v>
      </c>
      <c r="E172" s="183">
        <f>SUMIFS('DB BTL'!$J:$J,'DB BTL'!$E:$E,$B172,'DB BTL'!$A:$A,$D$4,'DB BTL'!$B:$B,$E$3,'DB BTL'!$D:$D,AA$1)</f>
        <v>0</v>
      </c>
      <c r="F172" s="183">
        <f>SUMIFS('DB BTL'!$J:$J,'DB BTL'!$E:$E,$B172,'DB BTL'!$A:$A,$D$4,'DB BTL'!$B:$B,$E$3,'DB BTL'!$D:$D,AA$2)</f>
        <v>0</v>
      </c>
      <c r="G172" s="184">
        <f>IFERROR(HLOOKUP($E$3,'Tahun Lalu'!$B$5:$V$158,MATCH(B172,'Tahun Lalu'!$B$5:$B$158,0),0),0)</f>
        <v>3426460</v>
      </c>
      <c r="H172" s="184">
        <v>0.0</v>
      </c>
      <c r="I172" s="184">
        <v>0.0</v>
      </c>
      <c r="J172" s="183">
        <f t="shared" si="3"/>
        <v>0</v>
      </c>
      <c r="K172" s="183">
        <f t="shared" si="4"/>
        <v>0</v>
      </c>
      <c r="L172" s="183">
        <f t="shared" si="5"/>
        <v>0</v>
      </c>
      <c r="M172" s="183">
        <f t="shared" si="6"/>
        <v>0</v>
      </c>
      <c r="N172" s="183">
        <f t="shared" si="218"/>
        <v>8696136</v>
      </c>
      <c r="O172" s="183">
        <f t="shared" ref="O172:Q172" si="223">G172+W172</f>
        <v>32079987</v>
      </c>
      <c r="P172" s="183">
        <f t="shared" si="223"/>
        <v>0</v>
      </c>
      <c r="Q172" s="183">
        <f t="shared" si="223"/>
        <v>0</v>
      </c>
      <c r="R172" s="183">
        <f t="shared" si="9"/>
        <v>27.10766685</v>
      </c>
      <c r="S172" s="183">
        <f t="shared" si="10"/>
        <v>0</v>
      </c>
      <c r="T172" s="183">
        <f t="shared" si="11"/>
        <v>0</v>
      </c>
      <c r="U172" s="186"/>
      <c r="V172" s="183">
        <f>IFERROR(__xludf.DUMMYFUNCTION("""COMPUTED_VALUE"""),8696136.0)</f>
        <v>8696136</v>
      </c>
      <c r="W172" s="183">
        <f>IFERROR(__xludf.DUMMYFUNCTION("""COMPUTED_VALUE"""),2.8653527E7)</f>
        <v>28653527</v>
      </c>
      <c r="X172" s="183">
        <f>IFERROR(__xludf.DUMMYFUNCTION("""COMPUTED_VALUE"""),0.0)</f>
        <v>0</v>
      </c>
      <c r="Y172" s="183">
        <f>IFERROR(__xludf.DUMMYFUNCTION("""COMPUTED_VALUE"""),0.0)</f>
        <v>0</v>
      </c>
      <c r="Z172" s="183">
        <f t="shared" si="12"/>
        <v>30.34926904</v>
      </c>
      <c r="AA172" s="183">
        <f t="shared" si="13"/>
        <v>0</v>
      </c>
      <c r="AB172" s="183">
        <f t="shared" si="14"/>
        <v>0</v>
      </c>
    </row>
    <row r="173" ht="14.25" customHeight="1">
      <c r="A173" s="175"/>
      <c r="B173" s="177"/>
      <c r="D173" s="209" t="s">
        <v>907</v>
      </c>
      <c r="E173" s="183">
        <f>SUMIFS('DB BTL'!$J:$J,'DB BTL'!$E:$E,$B173,'DB BTL'!$A:$A,$D$4,'DB BTL'!$B:$B,$E$3,'DB BTL'!$D:$D,AA$1)</f>
        <v>0</v>
      </c>
      <c r="F173" s="183">
        <f>SUMIFS('DB BTL'!$J:$J,'DB BTL'!$E:$E,$B173,'DB BTL'!$A:$A,$D$4,'DB BTL'!$B:$B,$E$3,'DB BTL'!$D:$D,AA$2)</f>
        <v>0</v>
      </c>
      <c r="G173" s="184">
        <f>IFERROR(HLOOKUP($E$3,'Tahun Lalu'!$B$5:$V$158,MATCH(B173,'Tahun Lalu'!$B$5:$B$158,0),0),0)</f>
        <v>0</v>
      </c>
      <c r="H173" s="184">
        <v>0.0</v>
      </c>
      <c r="I173" s="184">
        <v>0.0</v>
      </c>
      <c r="J173" s="183">
        <f t="shared" si="3"/>
        <v>0</v>
      </c>
      <c r="K173" s="183">
        <f t="shared" si="4"/>
        <v>0</v>
      </c>
      <c r="L173" s="183">
        <f t="shared" si="5"/>
        <v>0</v>
      </c>
      <c r="M173" s="183">
        <f t="shared" si="6"/>
        <v>0</v>
      </c>
      <c r="N173" s="183">
        <f t="shared" si="218"/>
        <v>0</v>
      </c>
      <c r="O173" s="183">
        <f t="shared" ref="O173:Q173" si="224">G173+W173</f>
        <v>0</v>
      </c>
      <c r="P173" s="183">
        <f t="shared" si="224"/>
        <v>0</v>
      </c>
      <c r="Q173" s="183">
        <f t="shared" si="224"/>
        <v>0</v>
      </c>
      <c r="R173" s="183">
        <f t="shared" si="9"/>
        <v>0</v>
      </c>
      <c r="S173" s="183">
        <f t="shared" si="10"/>
        <v>0</v>
      </c>
      <c r="T173" s="183">
        <f t="shared" si="11"/>
        <v>0</v>
      </c>
      <c r="U173" s="186"/>
      <c r="V173" s="183">
        <f>IFERROR(__xludf.DUMMYFUNCTION("""COMPUTED_VALUE"""),0.0)</f>
        <v>0</v>
      </c>
      <c r="W173" s="183">
        <f>IFERROR(__xludf.DUMMYFUNCTION("""COMPUTED_VALUE"""),0.0)</f>
        <v>0</v>
      </c>
      <c r="X173" s="183">
        <f>IFERROR(__xludf.DUMMYFUNCTION("""COMPUTED_VALUE"""),0.0)</f>
        <v>0</v>
      </c>
      <c r="Y173" s="183">
        <f>IFERROR(__xludf.DUMMYFUNCTION("""COMPUTED_VALUE"""),0.0)</f>
        <v>0</v>
      </c>
      <c r="Z173" s="183">
        <f t="shared" si="12"/>
        <v>0</v>
      </c>
      <c r="AA173" s="183">
        <f t="shared" si="13"/>
        <v>0</v>
      </c>
      <c r="AB173" s="183">
        <f t="shared" si="14"/>
        <v>0</v>
      </c>
    </row>
    <row r="174" ht="14.25" customHeight="1">
      <c r="A174" s="175"/>
      <c r="B174" s="181" t="s">
        <v>482</v>
      </c>
      <c r="D174" s="209" t="s">
        <v>709</v>
      </c>
      <c r="E174" s="183">
        <f>SUMIFS('DB BTL'!$J:$J,'DB BTL'!$E:$E,$B174,'DB BTL'!$A:$A,$D$4,'DB BTL'!$B:$B,$E$3,'DB BTL'!$D:$D,AA$1)</f>
        <v>0</v>
      </c>
      <c r="F174" s="183">
        <f>SUMIFS('DB BTL'!$J:$J,'DB BTL'!$E:$E,$B174,'DB BTL'!$A:$A,$D$4,'DB BTL'!$B:$B,$E$3,'DB BTL'!$D:$D,AA$2)</f>
        <v>0</v>
      </c>
      <c r="G174" s="184">
        <f>IFERROR(HLOOKUP($E$3,'Tahun Lalu'!$B$5:$V$158,MATCH(B174,'Tahun Lalu'!$B$5:$B$158,0),0),0)</f>
        <v>0</v>
      </c>
      <c r="H174" s="184">
        <v>0.0</v>
      </c>
      <c r="I174" s="184">
        <v>0.0</v>
      </c>
      <c r="J174" s="183">
        <f t="shared" si="3"/>
        <v>0</v>
      </c>
      <c r="K174" s="183">
        <f t="shared" si="4"/>
        <v>0</v>
      </c>
      <c r="L174" s="183">
        <f t="shared" si="5"/>
        <v>0</v>
      </c>
      <c r="M174" s="183">
        <f t="shared" si="6"/>
        <v>0</v>
      </c>
      <c r="N174" s="183">
        <f t="shared" si="218"/>
        <v>0</v>
      </c>
      <c r="O174" s="183">
        <f t="shared" ref="O174:Q174" si="225">G174+W174</f>
        <v>0</v>
      </c>
      <c r="P174" s="183">
        <f t="shared" si="225"/>
        <v>0</v>
      </c>
      <c r="Q174" s="183">
        <f t="shared" si="225"/>
        <v>0</v>
      </c>
      <c r="R174" s="183">
        <f t="shared" si="9"/>
        <v>0</v>
      </c>
      <c r="S174" s="183">
        <f t="shared" si="10"/>
        <v>0</v>
      </c>
      <c r="T174" s="183">
        <f t="shared" si="11"/>
        <v>0</v>
      </c>
      <c r="U174" s="186"/>
      <c r="V174" s="183">
        <f>IFERROR(__xludf.DUMMYFUNCTION("""COMPUTED_VALUE"""),0.0)</f>
        <v>0</v>
      </c>
      <c r="W174" s="183">
        <f>IFERROR(__xludf.DUMMYFUNCTION("""COMPUTED_VALUE"""),0.0)</f>
        <v>0</v>
      </c>
      <c r="X174" s="183">
        <f>IFERROR(__xludf.DUMMYFUNCTION("""COMPUTED_VALUE"""),0.0)</f>
        <v>0</v>
      </c>
      <c r="Y174" s="183">
        <f>IFERROR(__xludf.DUMMYFUNCTION("""COMPUTED_VALUE"""),0.0)</f>
        <v>0</v>
      </c>
      <c r="Z174" s="183">
        <f t="shared" si="12"/>
        <v>0</v>
      </c>
      <c r="AA174" s="183">
        <f t="shared" si="13"/>
        <v>0</v>
      </c>
      <c r="AB174" s="183">
        <f t="shared" si="14"/>
        <v>0</v>
      </c>
    </row>
    <row r="175" ht="14.25" customHeight="1">
      <c r="A175" s="175"/>
      <c r="B175" s="181" t="s">
        <v>459</v>
      </c>
      <c r="D175" s="209" t="s">
        <v>710</v>
      </c>
      <c r="E175" s="183">
        <f>SUMIFS('DB BTL'!$J:$J,'DB BTL'!$E:$E,$B175,'DB BTL'!$A:$A,$D$4,'DB BTL'!$B:$B,$E$3,'DB BTL'!$D:$D,AA$1)</f>
        <v>0</v>
      </c>
      <c r="F175" s="183">
        <f>SUMIFS('DB BTL'!$J:$J,'DB BTL'!$E:$E,$B175,'DB BTL'!$A:$A,$D$4,'DB BTL'!$B:$B,$E$3,'DB BTL'!$D:$D,AA$2)</f>
        <v>0</v>
      </c>
      <c r="G175" s="184">
        <f>IFERROR(HLOOKUP($E$3,'Tahun Lalu'!$B$5:$V$158,MATCH(B175,'Tahun Lalu'!$B$5:$B$158,0),0),0)</f>
        <v>0</v>
      </c>
      <c r="H175" s="184">
        <v>0.0</v>
      </c>
      <c r="I175" s="184">
        <v>0.0</v>
      </c>
      <c r="J175" s="183">
        <f t="shared" si="3"/>
        <v>0</v>
      </c>
      <c r="K175" s="183">
        <f t="shared" si="4"/>
        <v>0</v>
      </c>
      <c r="L175" s="183">
        <f t="shared" si="5"/>
        <v>0</v>
      </c>
      <c r="M175" s="183">
        <f t="shared" si="6"/>
        <v>0</v>
      </c>
      <c r="N175" s="183">
        <f t="shared" si="218"/>
        <v>373000</v>
      </c>
      <c r="O175" s="183">
        <f t="shared" ref="O175:Q175" si="226">G175+W175</f>
        <v>1451000</v>
      </c>
      <c r="P175" s="183">
        <f t="shared" si="226"/>
        <v>0</v>
      </c>
      <c r="Q175" s="183">
        <f t="shared" si="226"/>
        <v>0</v>
      </c>
      <c r="R175" s="183">
        <f t="shared" si="9"/>
        <v>25.70640937</v>
      </c>
      <c r="S175" s="183">
        <f t="shared" si="10"/>
        <v>0</v>
      </c>
      <c r="T175" s="183">
        <f t="shared" si="11"/>
        <v>0</v>
      </c>
      <c r="U175" s="186"/>
      <c r="V175" s="183">
        <f>IFERROR(__xludf.DUMMYFUNCTION("""COMPUTED_VALUE"""),373000.0)</f>
        <v>373000</v>
      </c>
      <c r="W175" s="183">
        <f>IFERROR(__xludf.DUMMYFUNCTION("""COMPUTED_VALUE"""),1451000.0)</f>
        <v>1451000</v>
      </c>
      <c r="X175" s="183">
        <f>IFERROR(__xludf.DUMMYFUNCTION("""COMPUTED_VALUE"""),0.0)</f>
        <v>0</v>
      </c>
      <c r="Y175" s="183">
        <f>IFERROR(__xludf.DUMMYFUNCTION("""COMPUTED_VALUE"""),0.0)</f>
        <v>0</v>
      </c>
      <c r="Z175" s="183">
        <f t="shared" si="12"/>
        <v>25.70640937</v>
      </c>
      <c r="AA175" s="183">
        <f t="shared" si="13"/>
        <v>0</v>
      </c>
      <c r="AB175" s="183">
        <f t="shared" si="14"/>
        <v>0</v>
      </c>
    </row>
    <row r="176" ht="14.25" customHeight="1">
      <c r="A176" s="175"/>
      <c r="B176" s="181" t="s">
        <v>463</v>
      </c>
      <c r="D176" s="209" t="s">
        <v>711</v>
      </c>
      <c r="E176" s="183">
        <f>SUMIFS('DB BTL'!$J:$J,'DB BTL'!$E:$E,$B176,'DB BTL'!$A:$A,$D$4,'DB BTL'!$B:$B,$E$3,'DB BTL'!$D:$D,AA$1)</f>
        <v>0</v>
      </c>
      <c r="F176" s="183">
        <f>SUMIFS('DB BTL'!$J:$J,'DB BTL'!$E:$E,$B176,'DB BTL'!$A:$A,$D$4,'DB BTL'!$B:$B,$E$3,'DB BTL'!$D:$D,AA$2)</f>
        <v>0</v>
      </c>
      <c r="G176" s="184">
        <f>IFERROR(HLOOKUP($E$3,'Tahun Lalu'!$B$5:$V$158,MATCH(B176,'Tahun Lalu'!$B$5:$B$158,0),0),0)</f>
        <v>50000</v>
      </c>
      <c r="H176" s="184">
        <v>0.0</v>
      </c>
      <c r="I176" s="184">
        <v>0.0</v>
      </c>
      <c r="J176" s="183">
        <f t="shared" si="3"/>
        <v>0</v>
      </c>
      <c r="K176" s="183">
        <f t="shared" si="4"/>
        <v>0</v>
      </c>
      <c r="L176" s="183">
        <f t="shared" si="5"/>
        <v>0</v>
      </c>
      <c r="M176" s="183">
        <f t="shared" si="6"/>
        <v>0</v>
      </c>
      <c r="N176" s="183">
        <f t="shared" si="218"/>
        <v>3175000</v>
      </c>
      <c r="O176" s="183">
        <f t="shared" ref="O176:Q176" si="227">G176+W176</f>
        <v>6849000</v>
      </c>
      <c r="P176" s="183">
        <f t="shared" si="227"/>
        <v>0</v>
      </c>
      <c r="Q176" s="183">
        <f t="shared" si="227"/>
        <v>0</v>
      </c>
      <c r="R176" s="183">
        <f t="shared" si="9"/>
        <v>46.35713243</v>
      </c>
      <c r="S176" s="183">
        <f t="shared" si="10"/>
        <v>0</v>
      </c>
      <c r="T176" s="183">
        <f t="shared" si="11"/>
        <v>0</v>
      </c>
      <c r="U176" s="186"/>
      <c r="V176" s="183">
        <f>IFERROR(__xludf.DUMMYFUNCTION("""COMPUTED_VALUE"""),3175000.0)</f>
        <v>3175000</v>
      </c>
      <c r="W176" s="183">
        <f>IFERROR(__xludf.DUMMYFUNCTION("""COMPUTED_VALUE"""),6799000.0)</f>
        <v>6799000</v>
      </c>
      <c r="X176" s="183">
        <f>IFERROR(__xludf.DUMMYFUNCTION("""COMPUTED_VALUE"""),0.0)</f>
        <v>0</v>
      </c>
      <c r="Y176" s="183">
        <f>IFERROR(__xludf.DUMMYFUNCTION("""COMPUTED_VALUE"""),0.0)</f>
        <v>0</v>
      </c>
      <c r="Z176" s="183">
        <f t="shared" si="12"/>
        <v>46.69804383</v>
      </c>
      <c r="AA176" s="183">
        <f t="shared" si="13"/>
        <v>0</v>
      </c>
      <c r="AB176" s="183">
        <f t="shared" si="14"/>
        <v>0</v>
      </c>
    </row>
    <row r="177" ht="14.25" customHeight="1">
      <c r="A177" s="175"/>
      <c r="B177" s="181" t="s">
        <v>469</v>
      </c>
      <c r="D177" s="209" t="s">
        <v>712</v>
      </c>
      <c r="E177" s="183">
        <f>SUMIFS('DB BTL'!$J:$J,'DB BTL'!$E:$E,$B177,'DB BTL'!$A:$A,$D$4,'DB BTL'!$B:$B,$E$3,'DB BTL'!$D:$D,AA$1)</f>
        <v>700000</v>
      </c>
      <c r="F177" s="183">
        <f>SUMIFS('DB BTL'!$J:$J,'DB BTL'!$E:$E,$B177,'DB BTL'!$A:$A,$D$4,'DB BTL'!$B:$B,$E$3,'DB BTL'!$D:$D,AA$2)</f>
        <v>0</v>
      </c>
      <c r="G177" s="184">
        <f>IFERROR(HLOOKUP($E$3,'Tahun Lalu'!$B$5:$V$158,MATCH(B177,'Tahun Lalu'!$B$5:$B$158,0),0),0)</f>
        <v>1570000</v>
      </c>
      <c r="H177" s="184">
        <v>0.0</v>
      </c>
      <c r="I177" s="184">
        <v>0.0</v>
      </c>
      <c r="J177" s="183">
        <f t="shared" si="3"/>
        <v>0</v>
      </c>
      <c r="K177" s="183">
        <f t="shared" si="4"/>
        <v>44.58598726</v>
      </c>
      <c r="L177" s="183">
        <f t="shared" si="5"/>
        <v>0</v>
      </c>
      <c r="M177" s="183">
        <f t="shared" si="6"/>
        <v>0</v>
      </c>
      <c r="N177" s="183">
        <f t="shared" si="218"/>
        <v>3700000</v>
      </c>
      <c r="O177" s="183">
        <f t="shared" ref="O177:Q177" si="228">G177+W177</f>
        <v>6570000</v>
      </c>
      <c r="P177" s="183">
        <f t="shared" si="228"/>
        <v>0</v>
      </c>
      <c r="Q177" s="183">
        <f t="shared" si="228"/>
        <v>0</v>
      </c>
      <c r="R177" s="183">
        <f t="shared" si="9"/>
        <v>56.31659056</v>
      </c>
      <c r="S177" s="183">
        <f t="shared" si="10"/>
        <v>0</v>
      </c>
      <c r="T177" s="183">
        <f t="shared" si="11"/>
        <v>0</v>
      </c>
      <c r="U177" s="186"/>
      <c r="V177" s="183">
        <f>IFERROR(__xludf.DUMMYFUNCTION("""COMPUTED_VALUE"""),3000000.0)</f>
        <v>3000000</v>
      </c>
      <c r="W177" s="183">
        <f>IFERROR(__xludf.DUMMYFUNCTION("""COMPUTED_VALUE"""),5000000.0)</f>
        <v>5000000</v>
      </c>
      <c r="X177" s="183">
        <f>IFERROR(__xludf.DUMMYFUNCTION("""COMPUTED_VALUE"""),0.0)</f>
        <v>0</v>
      </c>
      <c r="Y177" s="183">
        <f>IFERROR(__xludf.DUMMYFUNCTION("""COMPUTED_VALUE"""),0.0)</f>
        <v>0</v>
      </c>
      <c r="Z177" s="183">
        <f t="shared" si="12"/>
        <v>60</v>
      </c>
      <c r="AA177" s="183">
        <f t="shared" si="13"/>
        <v>0</v>
      </c>
      <c r="AB177" s="183">
        <f t="shared" si="14"/>
        <v>0</v>
      </c>
    </row>
    <row r="178" ht="14.25" customHeight="1">
      <c r="A178" s="175"/>
      <c r="B178" s="181" t="s">
        <v>487</v>
      </c>
      <c r="D178" s="209" t="s">
        <v>713</v>
      </c>
      <c r="E178" s="183">
        <f>SUMIFS('DB BTL'!$J:$J,'DB BTL'!$E:$E,$B178,'DB BTL'!$A:$A,$D$4,'DB BTL'!$B:$B,$E$3,'DB BTL'!$D:$D,AA$1)</f>
        <v>0</v>
      </c>
      <c r="F178" s="183">
        <f>SUMIFS('DB BTL'!$J:$J,'DB BTL'!$E:$E,$B178,'DB BTL'!$A:$A,$D$4,'DB BTL'!$B:$B,$E$3,'DB BTL'!$D:$D,AA$2)</f>
        <v>0</v>
      </c>
      <c r="G178" s="184">
        <f>IFERROR(HLOOKUP($E$3,'Tahun Lalu'!$B$5:$V$158,MATCH(B178,'Tahun Lalu'!$B$5:$B$158,0),0),0)</f>
        <v>0</v>
      </c>
      <c r="H178" s="184">
        <v>0.0</v>
      </c>
      <c r="I178" s="184">
        <v>0.0</v>
      </c>
      <c r="J178" s="183">
        <f t="shared" si="3"/>
        <v>0</v>
      </c>
      <c r="K178" s="183">
        <f t="shared" si="4"/>
        <v>0</v>
      </c>
      <c r="L178" s="183">
        <f t="shared" si="5"/>
        <v>0</v>
      </c>
      <c r="M178" s="183">
        <f t="shared" si="6"/>
        <v>0</v>
      </c>
      <c r="N178" s="183">
        <f t="shared" si="218"/>
        <v>0</v>
      </c>
      <c r="O178" s="183">
        <f t="shared" ref="O178:Q178" si="229">G178+W178</f>
        <v>0</v>
      </c>
      <c r="P178" s="183">
        <f t="shared" si="229"/>
        <v>0</v>
      </c>
      <c r="Q178" s="183">
        <f t="shared" si="229"/>
        <v>0</v>
      </c>
      <c r="R178" s="183">
        <f t="shared" si="9"/>
        <v>0</v>
      </c>
      <c r="S178" s="183">
        <f t="shared" si="10"/>
        <v>0</v>
      </c>
      <c r="T178" s="183">
        <f t="shared" si="11"/>
        <v>0</v>
      </c>
      <c r="U178" s="186"/>
      <c r="V178" s="183">
        <f>IFERROR(__xludf.DUMMYFUNCTION("""COMPUTED_VALUE"""),0.0)</f>
        <v>0</v>
      </c>
      <c r="W178" s="183">
        <f>IFERROR(__xludf.DUMMYFUNCTION("""COMPUTED_VALUE"""),0.0)</f>
        <v>0</v>
      </c>
      <c r="X178" s="183">
        <f>IFERROR(__xludf.DUMMYFUNCTION("""COMPUTED_VALUE"""),0.0)</f>
        <v>0</v>
      </c>
      <c r="Y178" s="183">
        <f>IFERROR(__xludf.DUMMYFUNCTION("""COMPUTED_VALUE"""),0.0)</f>
        <v>0</v>
      </c>
      <c r="Z178" s="183">
        <f t="shared" si="12"/>
        <v>0</v>
      </c>
      <c r="AA178" s="183">
        <f t="shared" si="13"/>
        <v>0</v>
      </c>
      <c r="AB178" s="183">
        <f t="shared" si="14"/>
        <v>0</v>
      </c>
    </row>
    <row r="179" ht="14.25" customHeight="1">
      <c r="A179" s="175"/>
      <c r="B179" s="181" t="s">
        <v>556</v>
      </c>
      <c r="D179" s="209" t="s">
        <v>908</v>
      </c>
      <c r="E179" s="183">
        <f>SUMIFS('DB BTL'!$J:$J,'DB BTL'!$E:$E,$B179,'DB BTL'!$A:$A,$D$4,'DB BTL'!$B:$B,$E$3,'DB BTL'!$D:$D,AA$1)</f>
        <v>245000</v>
      </c>
      <c r="F179" s="183">
        <f>SUMIFS('DB BTL'!$J:$J,'DB BTL'!$E:$E,$B179,'DB BTL'!$A:$A,$D$4,'DB BTL'!$B:$B,$E$3,'DB BTL'!$D:$D,AA$2)</f>
        <v>0</v>
      </c>
      <c r="G179" s="184">
        <f>IFERROR(HLOOKUP($E$3,'Tahun Lalu'!$B$5:$V$158,MATCH(B179,'Tahun Lalu'!$B$5:$B$158,0),0),0)</f>
        <v>45000</v>
      </c>
      <c r="H179" s="184">
        <v>0.0</v>
      </c>
      <c r="I179" s="184">
        <v>0.0</v>
      </c>
      <c r="J179" s="183">
        <f t="shared" si="3"/>
        <v>0</v>
      </c>
      <c r="K179" s="183">
        <f t="shared" si="4"/>
        <v>544.4444444</v>
      </c>
      <c r="L179" s="183">
        <f t="shared" si="5"/>
        <v>0</v>
      </c>
      <c r="M179" s="183">
        <f t="shared" si="6"/>
        <v>0</v>
      </c>
      <c r="N179" s="183">
        <f t="shared" si="218"/>
        <v>245000</v>
      </c>
      <c r="O179" s="183">
        <f t="shared" ref="O179:Q179" si="230">G179+W179</f>
        <v>758000</v>
      </c>
      <c r="P179" s="183">
        <f t="shared" si="230"/>
        <v>0</v>
      </c>
      <c r="Q179" s="183">
        <f t="shared" si="230"/>
        <v>0</v>
      </c>
      <c r="R179" s="183">
        <f t="shared" si="9"/>
        <v>32.32189974</v>
      </c>
      <c r="S179" s="183">
        <f t="shared" si="10"/>
        <v>0</v>
      </c>
      <c r="T179" s="183">
        <f t="shared" si="11"/>
        <v>0</v>
      </c>
      <c r="U179" s="186"/>
      <c r="V179" s="183">
        <f>IFERROR(__xludf.DUMMYFUNCTION("""COMPUTED_VALUE"""),0.0)</f>
        <v>0</v>
      </c>
      <c r="W179" s="183">
        <f>IFERROR(__xludf.DUMMYFUNCTION("""COMPUTED_VALUE"""),713000.0)</f>
        <v>713000</v>
      </c>
      <c r="X179" s="183">
        <f>IFERROR(__xludf.DUMMYFUNCTION("""COMPUTED_VALUE"""),0.0)</f>
        <v>0</v>
      </c>
      <c r="Y179" s="183">
        <f>IFERROR(__xludf.DUMMYFUNCTION("""COMPUTED_VALUE"""),0.0)</f>
        <v>0</v>
      </c>
      <c r="Z179" s="183">
        <f t="shared" si="12"/>
        <v>0</v>
      </c>
      <c r="AA179" s="183">
        <f t="shared" si="13"/>
        <v>0</v>
      </c>
      <c r="AB179" s="183">
        <f t="shared" si="14"/>
        <v>0</v>
      </c>
    </row>
    <row r="180" ht="14.25" customHeight="1">
      <c r="A180" s="175"/>
      <c r="B180" s="181"/>
      <c r="D180" s="209" t="s">
        <v>909</v>
      </c>
      <c r="E180" s="183">
        <f>SUMIFS('DB BTL'!$J:$J,'DB BTL'!$E:$E,$B180,'DB BTL'!$A:$A,$D$4,'DB BTL'!$B:$B,$E$3,'DB BTL'!$D:$D,AA$1)</f>
        <v>0</v>
      </c>
      <c r="F180" s="183">
        <f>SUMIFS('DB BTL'!$J:$J,'DB BTL'!$E:$E,$B180,'DB BTL'!$A:$A,$D$4,'DB BTL'!$B:$B,$E$3,'DB BTL'!$D:$D,AA$2)</f>
        <v>0</v>
      </c>
      <c r="G180" s="184">
        <f>IFERROR(HLOOKUP($E$3,'Tahun Lalu'!$B$5:$V$158,MATCH(B180,'Tahun Lalu'!$B$5:$B$158,0),0),0)</f>
        <v>0</v>
      </c>
      <c r="H180" s="184">
        <v>0.0</v>
      </c>
      <c r="I180" s="184">
        <v>0.0</v>
      </c>
      <c r="J180" s="183">
        <f t="shared" si="3"/>
        <v>0</v>
      </c>
      <c r="K180" s="183">
        <f t="shared" si="4"/>
        <v>0</v>
      </c>
      <c r="L180" s="183">
        <f t="shared" si="5"/>
        <v>0</v>
      </c>
      <c r="M180" s="183">
        <f t="shared" si="6"/>
        <v>0</v>
      </c>
      <c r="N180" s="183">
        <f t="shared" si="218"/>
        <v>0</v>
      </c>
      <c r="O180" s="183">
        <f t="shared" ref="O180:Q180" si="231">G180+W180</f>
        <v>0</v>
      </c>
      <c r="P180" s="183">
        <f t="shared" si="231"/>
        <v>0</v>
      </c>
      <c r="Q180" s="183">
        <f t="shared" si="231"/>
        <v>0</v>
      </c>
      <c r="R180" s="183">
        <f t="shared" si="9"/>
        <v>0</v>
      </c>
      <c r="S180" s="183">
        <f t="shared" si="10"/>
        <v>0</v>
      </c>
      <c r="T180" s="183">
        <f t="shared" si="11"/>
        <v>0</v>
      </c>
      <c r="U180" s="186"/>
      <c r="V180" s="183">
        <f>IFERROR(__xludf.DUMMYFUNCTION("""COMPUTED_VALUE"""),0.0)</f>
        <v>0</v>
      </c>
      <c r="W180" s="183">
        <f>IFERROR(__xludf.DUMMYFUNCTION("""COMPUTED_VALUE"""),0.0)</f>
        <v>0</v>
      </c>
      <c r="X180" s="183">
        <f>IFERROR(__xludf.DUMMYFUNCTION("""COMPUTED_VALUE"""),0.0)</f>
        <v>0</v>
      </c>
      <c r="Y180" s="183">
        <f>IFERROR(__xludf.DUMMYFUNCTION("""COMPUTED_VALUE"""),0.0)</f>
        <v>0</v>
      </c>
      <c r="Z180" s="183">
        <f t="shared" si="12"/>
        <v>0</v>
      </c>
      <c r="AA180" s="183">
        <f t="shared" si="13"/>
        <v>0</v>
      </c>
      <c r="AB180" s="183">
        <f t="shared" si="14"/>
        <v>0</v>
      </c>
    </row>
    <row r="181" ht="14.25" customHeight="1">
      <c r="A181" s="175"/>
      <c r="B181" s="177"/>
      <c r="D181" s="209" t="s">
        <v>910</v>
      </c>
      <c r="E181" s="183">
        <f>SUMIFS('DB BTL'!$J:$J,'DB BTL'!$E:$E,$B181,'DB BTL'!$A:$A,$D$4,'DB BTL'!$B:$B,$E$3,'DB BTL'!$D:$D,AA$1)</f>
        <v>0</v>
      </c>
      <c r="F181" s="183">
        <f>SUMIFS('DB BTL'!$J:$J,'DB BTL'!$E:$E,$B181,'DB BTL'!$A:$A,$D$4,'DB BTL'!$B:$B,$E$3,'DB BTL'!$D:$D,AA$2)</f>
        <v>0</v>
      </c>
      <c r="G181" s="184">
        <f>IFERROR(HLOOKUP($E$3,'Tahun Lalu'!$B$5:$V$158,MATCH(B181,'Tahun Lalu'!$B$5:$B$158,0),0),0)</f>
        <v>0</v>
      </c>
      <c r="H181" s="184">
        <v>0.0</v>
      </c>
      <c r="I181" s="184">
        <v>0.0</v>
      </c>
      <c r="J181" s="183">
        <f t="shared" si="3"/>
        <v>0</v>
      </c>
      <c r="K181" s="183">
        <f t="shared" si="4"/>
        <v>0</v>
      </c>
      <c r="L181" s="183">
        <f t="shared" si="5"/>
        <v>0</v>
      </c>
      <c r="M181" s="183">
        <f t="shared" si="6"/>
        <v>0</v>
      </c>
      <c r="N181" s="183">
        <f t="shared" si="218"/>
        <v>0</v>
      </c>
      <c r="O181" s="183">
        <f t="shared" ref="O181:Q181" si="232">G181+W181</f>
        <v>0</v>
      </c>
      <c r="P181" s="183">
        <f t="shared" si="232"/>
        <v>0</v>
      </c>
      <c r="Q181" s="183">
        <f t="shared" si="232"/>
        <v>0</v>
      </c>
      <c r="R181" s="183">
        <f t="shared" si="9"/>
        <v>0</v>
      </c>
      <c r="S181" s="183">
        <f t="shared" si="10"/>
        <v>0</v>
      </c>
      <c r="T181" s="183">
        <f t="shared" si="11"/>
        <v>0</v>
      </c>
      <c r="U181" s="186"/>
      <c r="V181" s="183">
        <f>IFERROR(__xludf.DUMMYFUNCTION("""COMPUTED_VALUE"""),0.0)</f>
        <v>0</v>
      </c>
      <c r="W181" s="183">
        <f>IFERROR(__xludf.DUMMYFUNCTION("""COMPUTED_VALUE"""),0.0)</f>
        <v>0</v>
      </c>
      <c r="X181" s="183">
        <f>IFERROR(__xludf.DUMMYFUNCTION("""COMPUTED_VALUE"""),0.0)</f>
        <v>0</v>
      </c>
      <c r="Y181" s="183">
        <f>IFERROR(__xludf.DUMMYFUNCTION("""COMPUTED_VALUE"""),0.0)</f>
        <v>0</v>
      </c>
      <c r="Z181" s="183">
        <f t="shared" si="12"/>
        <v>0</v>
      </c>
      <c r="AA181" s="183">
        <f t="shared" si="13"/>
        <v>0</v>
      </c>
      <c r="AB181" s="183">
        <f t="shared" si="14"/>
        <v>0</v>
      </c>
    </row>
    <row r="182" ht="14.25" customHeight="1">
      <c r="A182" s="175"/>
      <c r="B182" s="181" t="s">
        <v>548</v>
      </c>
      <c r="D182" s="209" t="s">
        <v>714</v>
      </c>
      <c r="E182" s="183">
        <f>SUMIFS('DB BTL'!$J:$J,'DB BTL'!$E:$E,$B182,'DB BTL'!$A:$A,$D$4,'DB BTL'!$B:$B,$E$3,'DB BTL'!$D:$D,AA$1)</f>
        <v>0</v>
      </c>
      <c r="F182" s="183">
        <f>SUMIFS('DB BTL'!$J:$J,'DB BTL'!$E:$E,$B182,'DB BTL'!$A:$A,$D$4,'DB BTL'!$B:$B,$E$3,'DB BTL'!$D:$D,AA$2)</f>
        <v>0</v>
      </c>
      <c r="G182" s="184">
        <f>IFERROR(HLOOKUP($E$3,'Tahun Lalu'!$B$5:$V$158,MATCH(B182,'Tahun Lalu'!$B$5:$B$158,0),0),0)</f>
        <v>0</v>
      </c>
      <c r="H182" s="184">
        <v>0.0</v>
      </c>
      <c r="I182" s="184">
        <v>0.0</v>
      </c>
      <c r="J182" s="183">
        <f t="shared" si="3"/>
        <v>0</v>
      </c>
      <c r="K182" s="183">
        <f t="shared" si="4"/>
        <v>0</v>
      </c>
      <c r="L182" s="183">
        <f t="shared" si="5"/>
        <v>0</v>
      </c>
      <c r="M182" s="183">
        <f t="shared" si="6"/>
        <v>0</v>
      </c>
      <c r="N182" s="183">
        <f t="shared" si="218"/>
        <v>0</v>
      </c>
      <c r="O182" s="183">
        <f t="shared" ref="O182:Q182" si="233">G182+W182</f>
        <v>16008426</v>
      </c>
      <c r="P182" s="183">
        <f t="shared" si="233"/>
        <v>0</v>
      </c>
      <c r="Q182" s="183">
        <f t="shared" si="233"/>
        <v>0</v>
      </c>
      <c r="R182" s="183">
        <f t="shared" si="9"/>
        <v>0</v>
      </c>
      <c r="S182" s="183">
        <f t="shared" si="10"/>
        <v>0</v>
      </c>
      <c r="T182" s="183">
        <f t="shared" si="11"/>
        <v>0</v>
      </c>
      <c r="U182" s="186"/>
      <c r="V182" s="183">
        <f>IFERROR(__xludf.DUMMYFUNCTION("""COMPUTED_VALUE"""),0.0)</f>
        <v>0</v>
      </c>
      <c r="W182" s="183">
        <f>IFERROR(__xludf.DUMMYFUNCTION("""COMPUTED_VALUE"""),1.6008426E7)</f>
        <v>16008426</v>
      </c>
      <c r="X182" s="183">
        <f>IFERROR(__xludf.DUMMYFUNCTION("""COMPUTED_VALUE"""),0.0)</f>
        <v>0</v>
      </c>
      <c r="Y182" s="183">
        <f>IFERROR(__xludf.DUMMYFUNCTION("""COMPUTED_VALUE"""),0.0)</f>
        <v>0</v>
      </c>
      <c r="Z182" s="183">
        <f t="shared" si="12"/>
        <v>0</v>
      </c>
      <c r="AA182" s="183">
        <f t="shared" si="13"/>
        <v>0</v>
      </c>
      <c r="AB182" s="183">
        <f t="shared" si="14"/>
        <v>0</v>
      </c>
    </row>
    <row r="183" ht="14.25" customHeight="1">
      <c r="A183" s="175"/>
      <c r="B183" s="181" t="s">
        <v>571</v>
      </c>
      <c r="D183" s="209" t="s">
        <v>715</v>
      </c>
      <c r="E183" s="183">
        <f>SUMIFS('DB BTL'!$J:$J,'DB BTL'!$E:$E,$B183,'DB BTL'!$A:$A,$D$4,'DB BTL'!$B:$B,$E$3,'DB BTL'!$D:$D,AA$1)</f>
        <v>0</v>
      </c>
      <c r="F183" s="183">
        <f>SUMIFS('DB BTL'!$J:$J,'DB BTL'!$E:$E,$B183,'DB BTL'!$A:$A,$D$4,'DB BTL'!$B:$B,$E$3,'DB BTL'!$D:$D,AA$2)</f>
        <v>0</v>
      </c>
      <c r="G183" s="184">
        <f>IFERROR(HLOOKUP($E$3,'Tahun Lalu'!$B$5:$V$158,MATCH(B183,'Tahun Lalu'!$B$5:$B$158,0),0),0)</f>
        <v>0</v>
      </c>
      <c r="H183" s="184">
        <v>0.0</v>
      </c>
      <c r="I183" s="184">
        <v>0.0</v>
      </c>
      <c r="J183" s="183">
        <f t="shared" si="3"/>
        <v>0</v>
      </c>
      <c r="K183" s="183">
        <f t="shared" si="4"/>
        <v>0</v>
      </c>
      <c r="L183" s="183">
        <f t="shared" si="5"/>
        <v>0</v>
      </c>
      <c r="M183" s="183">
        <f t="shared" si="6"/>
        <v>0</v>
      </c>
      <c r="N183" s="183">
        <f t="shared" si="218"/>
        <v>0</v>
      </c>
      <c r="O183" s="183">
        <f t="shared" ref="O183:Q183" si="234">G183+W183</f>
        <v>5259519</v>
      </c>
      <c r="P183" s="183">
        <f t="shared" si="234"/>
        <v>0</v>
      </c>
      <c r="Q183" s="183">
        <f t="shared" si="234"/>
        <v>0</v>
      </c>
      <c r="R183" s="183">
        <f t="shared" si="9"/>
        <v>0</v>
      </c>
      <c r="S183" s="183">
        <f t="shared" si="10"/>
        <v>0</v>
      </c>
      <c r="T183" s="183">
        <f t="shared" si="11"/>
        <v>0</v>
      </c>
      <c r="U183" s="186"/>
      <c r="V183" s="183">
        <f>IFERROR(__xludf.DUMMYFUNCTION("""COMPUTED_VALUE"""),0.0)</f>
        <v>0</v>
      </c>
      <c r="W183" s="183">
        <f>IFERROR(__xludf.DUMMYFUNCTION("""COMPUTED_VALUE"""),5259519.0)</f>
        <v>5259519</v>
      </c>
      <c r="X183" s="183">
        <f>IFERROR(__xludf.DUMMYFUNCTION("""COMPUTED_VALUE"""),0.0)</f>
        <v>0</v>
      </c>
      <c r="Y183" s="183">
        <f>IFERROR(__xludf.DUMMYFUNCTION("""COMPUTED_VALUE"""),0.0)</f>
        <v>0</v>
      </c>
      <c r="Z183" s="183">
        <f t="shared" si="12"/>
        <v>0</v>
      </c>
      <c r="AA183" s="183">
        <f t="shared" si="13"/>
        <v>0</v>
      </c>
      <c r="AB183" s="183">
        <f t="shared" si="14"/>
        <v>0</v>
      </c>
    </row>
    <row r="184" ht="14.25" customHeight="1">
      <c r="A184" s="175"/>
      <c r="B184" s="181" t="s">
        <v>473</v>
      </c>
      <c r="D184" s="209" t="s">
        <v>716</v>
      </c>
      <c r="E184" s="183">
        <f>SUMIFS('DB BTL'!$J:$J,'DB BTL'!$E:$E,$B184,'DB BTL'!$A:$A,$D$4,'DB BTL'!$B:$B,$E$3,'DB BTL'!$D:$D,AA$1)</f>
        <v>74621074</v>
      </c>
      <c r="F184" s="183">
        <f>SUMIFS('DB BTL'!$J:$J,'DB BTL'!$E:$E,$B184,'DB BTL'!$A:$A,$D$4,'DB BTL'!$B:$B,$E$3,'DB BTL'!$D:$D,AA$2)</f>
        <v>40107511</v>
      </c>
      <c r="G184" s="184">
        <f>IFERROR(HLOOKUP($E$3,'Tahun Lalu'!$B$5:$V$158,MATCH(B184,'Tahun Lalu'!$B$5:$B$158,0),0),0)</f>
        <v>58498893</v>
      </c>
      <c r="H184" s="184">
        <v>0.0</v>
      </c>
      <c r="I184" s="184">
        <v>0.0</v>
      </c>
      <c r="J184" s="183">
        <f t="shared" si="3"/>
        <v>186.0526174</v>
      </c>
      <c r="K184" s="183">
        <f t="shared" si="4"/>
        <v>127.5598053</v>
      </c>
      <c r="L184" s="183">
        <f t="shared" si="5"/>
        <v>0</v>
      </c>
      <c r="M184" s="183">
        <f t="shared" si="6"/>
        <v>0</v>
      </c>
      <c r="N184" s="183">
        <f t="shared" si="218"/>
        <v>234398714</v>
      </c>
      <c r="O184" s="183">
        <f t="shared" ref="O184:Q184" si="235">G184+W184</f>
        <v>253507058</v>
      </c>
      <c r="P184" s="183">
        <f t="shared" si="235"/>
        <v>0</v>
      </c>
      <c r="Q184" s="183">
        <f t="shared" si="235"/>
        <v>0</v>
      </c>
      <c r="R184" s="183">
        <f t="shared" si="9"/>
        <v>92.46240158</v>
      </c>
      <c r="S184" s="183">
        <f t="shared" si="10"/>
        <v>0</v>
      </c>
      <c r="T184" s="183">
        <f t="shared" si="11"/>
        <v>0</v>
      </c>
      <c r="U184" s="186"/>
      <c r="V184" s="183">
        <f>IFERROR(__xludf.DUMMYFUNCTION("""COMPUTED_VALUE"""),1.5977764E8)</f>
        <v>159777640</v>
      </c>
      <c r="W184" s="183">
        <f>IFERROR(__xludf.DUMMYFUNCTION("""COMPUTED_VALUE"""),1.95008165E8)</f>
        <v>195008165</v>
      </c>
      <c r="X184" s="183">
        <f>IFERROR(__xludf.DUMMYFUNCTION("""COMPUTED_VALUE"""),0.0)</f>
        <v>0</v>
      </c>
      <c r="Y184" s="183">
        <f>IFERROR(__xludf.DUMMYFUNCTION("""COMPUTED_VALUE"""),0.0)</f>
        <v>0</v>
      </c>
      <c r="Z184" s="183">
        <f t="shared" si="12"/>
        <v>81.93382057</v>
      </c>
      <c r="AA184" s="183">
        <f t="shared" si="13"/>
        <v>0</v>
      </c>
      <c r="AB184" s="183">
        <f t="shared" si="14"/>
        <v>0</v>
      </c>
    </row>
    <row r="185" ht="14.25" customHeight="1">
      <c r="A185" s="175"/>
      <c r="B185" s="181" t="s">
        <v>491</v>
      </c>
      <c r="D185" s="209" t="s">
        <v>717</v>
      </c>
      <c r="E185" s="183">
        <f>SUMIFS('DB BTL'!$J:$J,'DB BTL'!$E:$E,$B185,'DB BTL'!$A:$A,$D$4,'DB BTL'!$B:$B,$E$3,'DB BTL'!$D:$D,AA$1)</f>
        <v>0</v>
      </c>
      <c r="F185" s="183">
        <f>SUMIFS('DB BTL'!$J:$J,'DB BTL'!$E:$E,$B185,'DB BTL'!$A:$A,$D$4,'DB BTL'!$B:$B,$E$3,'DB BTL'!$D:$D,AA$2)</f>
        <v>0</v>
      </c>
      <c r="G185" s="184">
        <f>IFERROR(HLOOKUP($E$3,'Tahun Lalu'!$B$5:$V$158,MATCH(B185,'Tahun Lalu'!$B$5:$B$158,0),0),0)</f>
        <v>749000</v>
      </c>
      <c r="H185" s="184">
        <v>0.0</v>
      </c>
      <c r="I185" s="184">
        <v>0.0</v>
      </c>
      <c r="J185" s="183">
        <f t="shared" si="3"/>
        <v>0</v>
      </c>
      <c r="K185" s="183">
        <f t="shared" si="4"/>
        <v>0</v>
      </c>
      <c r="L185" s="183">
        <f t="shared" si="5"/>
        <v>0</v>
      </c>
      <c r="M185" s="183">
        <f t="shared" si="6"/>
        <v>0</v>
      </c>
      <c r="N185" s="183">
        <f t="shared" si="218"/>
        <v>432000</v>
      </c>
      <c r="O185" s="183">
        <f t="shared" ref="O185:Q185" si="236">G185+W185</f>
        <v>3386000</v>
      </c>
      <c r="P185" s="183">
        <f t="shared" si="236"/>
        <v>0</v>
      </c>
      <c r="Q185" s="183">
        <f t="shared" si="236"/>
        <v>0</v>
      </c>
      <c r="R185" s="183">
        <f t="shared" si="9"/>
        <v>12.75841701</v>
      </c>
      <c r="S185" s="183">
        <f t="shared" si="10"/>
        <v>0</v>
      </c>
      <c r="T185" s="183">
        <f t="shared" si="11"/>
        <v>0</v>
      </c>
      <c r="U185" s="186"/>
      <c r="V185" s="183">
        <f>IFERROR(__xludf.DUMMYFUNCTION("""COMPUTED_VALUE"""),432000.0)</f>
        <v>432000</v>
      </c>
      <c r="W185" s="183">
        <f>IFERROR(__xludf.DUMMYFUNCTION("""COMPUTED_VALUE"""),2637000.0)</f>
        <v>2637000</v>
      </c>
      <c r="X185" s="183">
        <f>IFERROR(__xludf.DUMMYFUNCTION("""COMPUTED_VALUE"""),0.0)</f>
        <v>0</v>
      </c>
      <c r="Y185" s="183">
        <f>IFERROR(__xludf.DUMMYFUNCTION("""COMPUTED_VALUE"""),0.0)</f>
        <v>0</v>
      </c>
      <c r="Z185" s="183">
        <f t="shared" si="12"/>
        <v>16.38225256</v>
      </c>
      <c r="AA185" s="183">
        <f t="shared" si="13"/>
        <v>0</v>
      </c>
      <c r="AB185" s="183">
        <f t="shared" si="14"/>
        <v>0</v>
      </c>
    </row>
    <row r="186" ht="14.25" customHeight="1">
      <c r="A186" s="175"/>
      <c r="B186" s="181" t="s">
        <v>494</v>
      </c>
      <c r="D186" s="209" t="s">
        <v>718</v>
      </c>
      <c r="E186" s="183">
        <f>SUMIFS('DB BTL'!$J:$J,'DB BTL'!$E:$E,$B186,'DB BTL'!$A:$A,$D$4,'DB BTL'!$B:$B,$E$3,'DB BTL'!$D:$D,AA$1)</f>
        <v>0</v>
      </c>
      <c r="F186" s="183">
        <f>SUMIFS('DB BTL'!$J:$J,'DB BTL'!$E:$E,$B186,'DB BTL'!$A:$A,$D$4,'DB BTL'!$B:$B,$E$3,'DB BTL'!$D:$D,AA$2)</f>
        <v>0</v>
      </c>
      <c r="G186" s="184">
        <f>IFERROR(HLOOKUP($E$3,'Tahun Lalu'!$B$5:$V$158,MATCH(B186,'Tahun Lalu'!$B$5:$B$158,0),0),0)</f>
        <v>5234101</v>
      </c>
      <c r="H186" s="184">
        <v>0.0</v>
      </c>
      <c r="I186" s="184">
        <v>0.0</v>
      </c>
      <c r="J186" s="183">
        <f t="shared" si="3"/>
        <v>0</v>
      </c>
      <c r="K186" s="183">
        <f t="shared" si="4"/>
        <v>0</v>
      </c>
      <c r="L186" s="183">
        <f t="shared" si="5"/>
        <v>0</v>
      </c>
      <c r="M186" s="183">
        <f t="shared" si="6"/>
        <v>0</v>
      </c>
      <c r="N186" s="183">
        <f t="shared" si="218"/>
        <v>0</v>
      </c>
      <c r="O186" s="183">
        <f t="shared" ref="O186:Q186" si="237">G186+W186</f>
        <v>23404340</v>
      </c>
      <c r="P186" s="183">
        <f t="shared" si="237"/>
        <v>0</v>
      </c>
      <c r="Q186" s="183">
        <f t="shared" si="237"/>
        <v>0</v>
      </c>
      <c r="R186" s="183">
        <f t="shared" si="9"/>
        <v>0</v>
      </c>
      <c r="S186" s="183">
        <f t="shared" si="10"/>
        <v>0</v>
      </c>
      <c r="T186" s="183">
        <f t="shared" si="11"/>
        <v>0</v>
      </c>
      <c r="U186" s="186"/>
      <c r="V186" s="183">
        <f>IFERROR(__xludf.DUMMYFUNCTION("""COMPUTED_VALUE"""),0.0)</f>
        <v>0</v>
      </c>
      <c r="W186" s="183">
        <f>IFERROR(__xludf.DUMMYFUNCTION("""COMPUTED_VALUE"""),1.8170239E7)</f>
        <v>18170239</v>
      </c>
      <c r="X186" s="183">
        <f>IFERROR(__xludf.DUMMYFUNCTION("""COMPUTED_VALUE"""),0.0)</f>
        <v>0</v>
      </c>
      <c r="Y186" s="183">
        <f>IFERROR(__xludf.DUMMYFUNCTION("""COMPUTED_VALUE"""),0.0)</f>
        <v>0</v>
      </c>
      <c r="Z186" s="183">
        <f t="shared" si="12"/>
        <v>0</v>
      </c>
      <c r="AA186" s="183">
        <f t="shared" si="13"/>
        <v>0</v>
      </c>
      <c r="AB186" s="183">
        <f t="shared" si="14"/>
        <v>0</v>
      </c>
    </row>
    <row r="187" ht="14.25" customHeight="1">
      <c r="A187" s="175"/>
      <c r="B187" s="181" t="s">
        <v>533</v>
      </c>
      <c r="D187" s="209" t="s">
        <v>719</v>
      </c>
      <c r="E187" s="183">
        <f>SUMIFS('DB BTL'!$J:$J,'DB BTL'!$E:$E,$B187,'DB BTL'!$A:$A,$D$4,'DB BTL'!$B:$B,$E$3,'DB BTL'!$D:$D,AA$1)</f>
        <v>0</v>
      </c>
      <c r="F187" s="183">
        <f>SUMIFS('DB BTL'!$J:$J,'DB BTL'!$E:$E,$B187,'DB BTL'!$A:$A,$D$4,'DB BTL'!$B:$B,$E$3,'DB BTL'!$D:$D,AA$2)</f>
        <v>0</v>
      </c>
      <c r="G187" s="184">
        <f>IFERROR(HLOOKUP($E$3,'Tahun Lalu'!$B$5:$V$158,MATCH(B187,'Tahun Lalu'!$B$5:$B$158,0),0),0)</f>
        <v>0</v>
      </c>
      <c r="H187" s="184">
        <v>0.0</v>
      </c>
      <c r="I187" s="184">
        <v>0.0</v>
      </c>
      <c r="J187" s="183">
        <f t="shared" si="3"/>
        <v>0</v>
      </c>
      <c r="K187" s="183">
        <f t="shared" si="4"/>
        <v>0</v>
      </c>
      <c r="L187" s="183">
        <f t="shared" si="5"/>
        <v>0</v>
      </c>
      <c r="M187" s="183">
        <f t="shared" si="6"/>
        <v>0</v>
      </c>
      <c r="N187" s="183">
        <f t="shared" si="218"/>
        <v>0</v>
      </c>
      <c r="O187" s="183">
        <f t="shared" ref="O187:Q187" si="238">G187+W187</f>
        <v>0</v>
      </c>
      <c r="P187" s="183">
        <f t="shared" si="238"/>
        <v>0</v>
      </c>
      <c r="Q187" s="183">
        <f t="shared" si="238"/>
        <v>0</v>
      </c>
      <c r="R187" s="183">
        <f t="shared" si="9"/>
        <v>0</v>
      </c>
      <c r="S187" s="183">
        <f t="shared" si="10"/>
        <v>0</v>
      </c>
      <c r="T187" s="183">
        <f t="shared" si="11"/>
        <v>0</v>
      </c>
      <c r="U187" s="186"/>
      <c r="V187" s="183">
        <f>IFERROR(__xludf.DUMMYFUNCTION("""COMPUTED_VALUE"""),0.0)</f>
        <v>0</v>
      </c>
      <c r="W187" s="183">
        <f>IFERROR(__xludf.DUMMYFUNCTION("""COMPUTED_VALUE"""),0.0)</f>
        <v>0</v>
      </c>
      <c r="X187" s="183">
        <f>IFERROR(__xludf.DUMMYFUNCTION("""COMPUTED_VALUE"""),0.0)</f>
        <v>0</v>
      </c>
      <c r="Y187" s="183">
        <f>IFERROR(__xludf.DUMMYFUNCTION("""COMPUTED_VALUE"""),0.0)</f>
        <v>0</v>
      </c>
      <c r="Z187" s="183">
        <f t="shared" si="12"/>
        <v>0</v>
      </c>
      <c r="AA187" s="183">
        <f t="shared" si="13"/>
        <v>0</v>
      </c>
      <c r="AB187" s="183">
        <f t="shared" si="14"/>
        <v>0</v>
      </c>
    </row>
    <row r="188" ht="14.25" customHeight="1">
      <c r="A188" s="175"/>
      <c r="B188" s="221"/>
      <c r="C188" s="222"/>
      <c r="D188" s="233" t="s">
        <v>911</v>
      </c>
      <c r="E188" s="224">
        <f t="shared" ref="E188:I188" si="239">sum(E166:E187)</f>
        <v>99464935</v>
      </c>
      <c r="F188" s="224">
        <f t="shared" si="239"/>
        <v>61957843</v>
      </c>
      <c r="G188" s="224">
        <f t="shared" si="239"/>
        <v>122391372</v>
      </c>
      <c r="H188" s="224">
        <f t="shared" si="239"/>
        <v>0</v>
      </c>
      <c r="I188" s="224">
        <f t="shared" si="239"/>
        <v>0</v>
      </c>
      <c r="J188" s="224">
        <f t="shared" si="3"/>
        <v>160.5364715</v>
      </c>
      <c r="K188" s="224">
        <f t="shared" si="4"/>
        <v>81.26793039</v>
      </c>
      <c r="L188" s="224">
        <f t="shared" si="5"/>
        <v>0</v>
      </c>
      <c r="M188" s="224">
        <f t="shared" si="6"/>
        <v>0</v>
      </c>
      <c r="N188" s="224">
        <f t="shared" ref="N188:Q188" si="240">sum(N166:N187)</f>
        <v>352818566</v>
      </c>
      <c r="O188" s="224">
        <f t="shared" si="240"/>
        <v>663569488</v>
      </c>
      <c r="P188" s="224">
        <f t="shared" si="240"/>
        <v>0</v>
      </c>
      <c r="Q188" s="224">
        <f t="shared" si="240"/>
        <v>0</v>
      </c>
      <c r="R188" s="224">
        <f t="shared" si="9"/>
        <v>53.16979945</v>
      </c>
      <c r="S188" s="224">
        <f t="shared" si="10"/>
        <v>0</v>
      </c>
      <c r="T188" s="224">
        <f t="shared" si="11"/>
        <v>0</v>
      </c>
      <c r="U188" s="225"/>
      <c r="V188" s="224">
        <f>IFERROR(__xludf.DUMMYFUNCTION("""COMPUTED_VALUE"""),2.53353631E8)</f>
        <v>253353631</v>
      </c>
      <c r="W188" s="224">
        <f>IFERROR(__xludf.DUMMYFUNCTION("""COMPUTED_VALUE"""),5.41178116E8)</f>
        <v>541178116</v>
      </c>
      <c r="X188" s="224">
        <f>IFERROR(__xludf.DUMMYFUNCTION("""COMPUTED_VALUE"""),0.0)</f>
        <v>0</v>
      </c>
      <c r="Y188" s="224">
        <f>IFERROR(__xludf.DUMMYFUNCTION("""COMPUTED_VALUE"""),0.0)</f>
        <v>0</v>
      </c>
      <c r="Z188" s="224">
        <f t="shared" si="12"/>
        <v>46.81520252</v>
      </c>
      <c r="AA188" s="224">
        <f t="shared" si="13"/>
        <v>0</v>
      </c>
      <c r="AB188" s="224">
        <f t="shared" si="14"/>
        <v>0</v>
      </c>
    </row>
    <row r="189" ht="14.25" customHeight="1">
      <c r="A189" s="175"/>
      <c r="B189" s="221" t="s">
        <v>912</v>
      </c>
      <c r="C189" s="222"/>
      <c r="D189" s="223"/>
      <c r="E189" s="235">
        <f t="shared" ref="E189:I189" si="241">E188+E165</f>
        <v>252895071</v>
      </c>
      <c r="F189" s="235">
        <f t="shared" si="241"/>
        <v>61957843</v>
      </c>
      <c r="G189" s="235">
        <f t="shared" si="241"/>
        <v>294487488</v>
      </c>
      <c r="H189" s="235">
        <f t="shared" si="241"/>
        <v>0</v>
      </c>
      <c r="I189" s="235">
        <f t="shared" si="241"/>
        <v>0</v>
      </c>
      <c r="J189" s="235">
        <f t="shared" si="3"/>
        <v>408.1728136</v>
      </c>
      <c r="K189" s="235">
        <f t="shared" si="4"/>
        <v>85.87633815</v>
      </c>
      <c r="L189" s="235">
        <f t="shared" si="5"/>
        <v>0</v>
      </c>
      <c r="M189" s="235">
        <f t="shared" si="6"/>
        <v>0</v>
      </c>
      <c r="N189" s="235">
        <f t="shared" ref="N189:Q189" si="242">N188+N165</f>
        <v>966539112</v>
      </c>
      <c r="O189" s="235">
        <f t="shared" si="242"/>
        <v>1524050061</v>
      </c>
      <c r="P189" s="235">
        <f t="shared" si="242"/>
        <v>0</v>
      </c>
      <c r="Q189" s="235">
        <f t="shared" si="242"/>
        <v>0</v>
      </c>
      <c r="R189" s="235">
        <f t="shared" si="9"/>
        <v>63.41911836</v>
      </c>
      <c r="S189" s="235">
        <f t="shared" si="10"/>
        <v>0</v>
      </c>
      <c r="T189" s="235">
        <f t="shared" si="11"/>
        <v>0</v>
      </c>
      <c r="U189" s="202"/>
      <c r="V189" s="235">
        <f>IFERROR(__xludf.DUMMYFUNCTION("""COMPUTED_VALUE"""),7.13644041E8)</f>
        <v>713644041</v>
      </c>
      <c r="W189" s="235">
        <f>IFERROR(__xludf.DUMMYFUNCTION("""COMPUTED_VALUE"""),1.229562573E9)</f>
        <v>1229562573</v>
      </c>
      <c r="X189" s="235">
        <f>IFERROR(__xludf.DUMMYFUNCTION("""COMPUTED_VALUE"""),0.0)</f>
        <v>0</v>
      </c>
      <c r="Y189" s="235">
        <f>IFERROR(__xludf.DUMMYFUNCTION("""COMPUTED_VALUE"""),0.0)</f>
        <v>0</v>
      </c>
      <c r="Z189" s="235">
        <f t="shared" si="12"/>
        <v>58.04048177</v>
      </c>
      <c r="AA189" s="235">
        <f t="shared" si="13"/>
        <v>0</v>
      </c>
      <c r="AB189" s="235">
        <f t="shared" si="14"/>
        <v>0</v>
      </c>
    </row>
    <row r="190" ht="14.25" customHeight="1">
      <c r="A190" s="175"/>
      <c r="B190" s="236" t="s">
        <v>913</v>
      </c>
      <c r="C190" s="237"/>
      <c r="D190" s="238"/>
      <c r="E190" s="239">
        <f t="shared" ref="E190:I190" si="243">E189+E149</f>
        <v>345011463</v>
      </c>
      <c r="F190" s="239">
        <f t="shared" si="243"/>
        <v>349881991</v>
      </c>
      <c r="G190" s="239">
        <f t="shared" si="243"/>
        <v>500546480</v>
      </c>
      <c r="H190" s="239">
        <f t="shared" si="243"/>
        <v>0</v>
      </c>
      <c r="I190" s="239">
        <f t="shared" si="243"/>
        <v>0</v>
      </c>
      <c r="J190" s="239">
        <f t="shared" si="3"/>
        <v>98.60795122</v>
      </c>
      <c r="K190" s="239">
        <f t="shared" si="4"/>
        <v>68.92695819</v>
      </c>
      <c r="L190" s="239">
        <f t="shared" si="5"/>
        <v>0</v>
      </c>
      <c r="M190" s="239">
        <f t="shared" si="6"/>
        <v>0</v>
      </c>
      <c r="N190" s="239">
        <f t="shared" ref="N190:Q190" si="244">N189+N149</f>
        <v>1381516284</v>
      </c>
      <c r="O190" s="239">
        <f t="shared" si="244"/>
        <v>2720785580</v>
      </c>
      <c r="P190" s="239">
        <f t="shared" si="244"/>
        <v>0</v>
      </c>
      <c r="Q190" s="239">
        <f t="shared" si="244"/>
        <v>0</v>
      </c>
      <c r="R190" s="239">
        <f t="shared" si="9"/>
        <v>50.77637481</v>
      </c>
      <c r="S190" s="239">
        <f t="shared" si="10"/>
        <v>0</v>
      </c>
      <c r="T190" s="239">
        <f t="shared" si="11"/>
        <v>0</v>
      </c>
      <c r="U190" s="202"/>
      <c r="V190" s="239">
        <f>IFERROR(__xludf.DUMMYFUNCTION("""COMPUTED_VALUE"""),1.036504821E9)</f>
        <v>1036504821</v>
      </c>
      <c r="W190" s="239">
        <f>IFERROR(__xludf.DUMMYFUNCTION("""COMPUTED_VALUE"""),2.2202391E9)</f>
        <v>2220239100</v>
      </c>
      <c r="X190" s="239">
        <f>IFERROR(__xludf.DUMMYFUNCTION("""COMPUTED_VALUE"""),0.0)</f>
        <v>0</v>
      </c>
      <c r="Y190" s="239">
        <f>IFERROR(__xludf.DUMMYFUNCTION("""COMPUTED_VALUE"""),0.0)</f>
        <v>0</v>
      </c>
      <c r="Z190" s="239">
        <f t="shared" si="12"/>
        <v>46.68437832</v>
      </c>
      <c r="AA190" s="239">
        <f t="shared" si="13"/>
        <v>0</v>
      </c>
      <c r="AB190" s="239">
        <f t="shared" si="14"/>
        <v>0</v>
      </c>
    </row>
    <row r="191" ht="14.25" customHeight="1">
      <c r="A191" s="175"/>
      <c r="B191" s="180"/>
      <c r="C191" s="177"/>
      <c r="D191" s="240" t="s">
        <v>914</v>
      </c>
      <c r="E191" s="183"/>
      <c r="F191" s="183"/>
      <c r="G191" s="183"/>
      <c r="H191" s="184">
        <v>0.0</v>
      </c>
      <c r="I191" s="184">
        <v>0.0</v>
      </c>
      <c r="J191" s="183">
        <f t="shared" si="3"/>
        <v>0</v>
      </c>
      <c r="K191" s="183">
        <f t="shared" si="4"/>
        <v>0</v>
      </c>
      <c r="L191" s="188">
        <f t="shared" si="5"/>
        <v>0</v>
      </c>
      <c r="M191" s="188">
        <f t="shared" si="6"/>
        <v>0</v>
      </c>
      <c r="N191" s="183"/>
      <c r="O191" s="183"/>
      <c r="P191" s="188">
        <v>0.0</v>
      </c>
      <c r="Q191" s="188">
        <v>0.0</v>
      </c>
      <c r="R191" s="183">
        <f t="shared" si="9"/>
        <v>0</v>
      </c>
      <c r="S191" s="183">
        <f t="shared" si="10"/>
        <v>0</v>
      </c>
      <c r="T191" s="188">
        <f t="shared" si="11"/>
        <v>0</v>
      </c>
      <c r="U191" s="189"/>
      <c r="V191" s="183"/>
      <c r="W191" s="183"/>
      <c r="X191" s="188">
        <f>IFERROR(__xludf.DUMMYFUNCTION("""COMPUTED_VALUE"""),0.0)</f>
        <v>0</v>
      </c>
      <c r="Y191" s="188">
        <f>IFERROR(__xludf.DUMMYFUNCTION("""COMPUTED_VALUE"""),0.0)</f>
        <v>0</v>
      </c>
      <c r="Z191" s="183">
        <f t="shared" si="12"/>
        <v>0</v>
      </c>
      <c r="AA191" s="183">
        <f t="shared" si="13"/>
        <v>0</v>
      </c>
      <c r="AB191" s="188">
        <f t="shared" si="14"/>
        <v>0</v>
      </c>
    </row>
    <row r="192" ht="14.25" customHeight="1">
      <c r="A192" s="175"/>
      <c r="B192" s="181" t="s">
        <v>915</v>
      </c>
      <c r="D192" s="209" t="s">
        <v>904</v>
      </c>
      <c r="E192" s="183">
        <f>SUMIFS('DB BTL'!$J:$J,'DB BTL'!$E:$E,$B192,'DB BTL'!$A:$A,$D$4,'DB BTL'!$B:$B,$E$3,'DB BTL'!$D:$D,AA$1)</f>
        <v>0</v>
      </c>
      <c r="F192" s="183">
        <f>SUMIFS('DB BTL'!$J:$J,'DB BTL'!$E:$E,$B192,'DB BTL'!$A:$A,$D$4,'DB BTL'!$B:$B,$E$3,'DB BTL'!$D:$D,AA$2)</f>
        <v>0</v>
      </c>
      <c r="G192" s="184">
        <f>IFERROR(HLOOKUP($E$3,'Tahun Lalu'!$B$5:$V$158,MATCH(B192,'Tahun Lalu'!$B$5:$B$158,0),0),0)</f>
        <v>0</v>
      </c>
      <c r="H192" s="184">
        <v>0.0</v>
      </c>
      <c r="I192" s="184">
        <v>0.0</v>
      </c>
      <c r="J192" s="183">
        <f t="shared" si="3"/>
        <v>0</v>
      </c>
      <c r="K192" s="183">
        <f t="shared" si="4"/>
        <v>0</v>
      </c>
      <c r="L192" s="183">
        <f t="shared" si="5"/>
        <v>0</v>
      </c>
      <c r="M192" s="183">
        <f t="shared" si="6"/>
        <v>0</v>
      </c>
      <c r="N192" s="183">
        <f t="shared" ref="N192:N207" si="246">E192+V192</f>
        <v>0</v>
      </c>
      <c r="O192" s="183">
        <f t="shared" ref="O192:Q192" si="245">G192+W192</f>
        <v>0</v>
      </c>
      <c r="P192" s="183">
        <f t="shared" si="245"/>
        <v>0</v>
      </c>
      <c r="Q192" s="183">
        <f t="shared" si="245"/>
        <v>0</v>
      </c>
      <c r="R192" s="183">
        <f t="shared" si="9"/>
        <v>0</v>
      </c>
      <c r="S192" s="183">
        <f t="shared" si="10"/>
        <v>0</v>
      </c>
      <c r="T192" s="183">
        <f t="shared" si="11"/>
        <v>0</v>
      </c>
      <c r="U192" s="186"/>
      <c r="V192" s="183">
        <f>IFERROR(__xludf.DUMMYFUNCTION("""COMPUTED_VALUE"""),0.0)</f>
        <v>0</v>
      </c>
      <c r="W192" s="183">
        <f>IFERROR(__xludf.DUMMYFUNCTION("""COMPUTED_VALUE"""),0.0)</f>
        <v>0</v>
      </c>
      <c r="X192" s="183">
        <f>IFERROR(__xludf.DUMMYFUNCTION("""COMPUTED_VALUE"""),0.0)</f>
        <v>0</v>
      </c>
      <c r="Y192" s="183">
        <f>IFERROR(__xludf.DUMMYFUNCTION("""COMPUTED_VALUE"""),0.0)</f>
        <v>0</v>
      </c>
      <c r="Z192" s="183">
        <f t="shared" si="12"/>
        <v>0</v>
      </c>
      <c r="AA192" s="183">
        <f t="shared" si="13"/>
        <v>0</v>
      </c>
      <c r="AB192" s="183">
        <f t="shared" si="14"/>
        <v>0</v>
      </c>
    </row>
    <row r="193" ht="14.25" customHeight="1">
      <c r="A193" s="175"/>
      <c r="B193" s="181" t="s">
        <v>916</v>
      </c>
      <c r="D193" s="209" t="s">
        <v>917</v>
      </c>
      <c r="E193" s="183">
        <f>SUMIFS('DB BTL'!$J:$J,'DB BTL'!$E:$E,$B193,'DB BTL'!$A:$A,$D$4,'DB BTL'!$B:$B,$E$3,'DB BTL'!$D:$D,AA$1)</f>
        <v>0</v>
      </c>
      <c r="F193" s="183">
        <f>SUMIFS('DB BTL'!$J:$J,'DB BTL'!$E:$E,$B193,'DB BTL'!$A:$A,$D$4,'DB BTL'!$B:$B,$E$3,'DB BTL'!$D:$D,AA$2)</f>
        <v>0</v>
      </c>
      <c r="G193" s="184">
        <f>IFERROR(HLOOKUP($E$3,'Tahun Lalu'!$B$5:$V$158,MATCH(B193,'Tahun Lalu'!$B$5:$B$158,0),0),0)</f>
        <v>0</v>
      </c>
      <c r="H193" s="184">
        <v>0.0</v>
      </c>
      <c r="I193" s="184">
        <v>0.0</v>
      </c>
      <c r="J193" s="183">
        <f t="shared" si="3"/>
        <v>0</v>
      </c>
      <c r="K193" s="183">
        <f t="shared" si="4"/>
        <v>0</v>
      </c>
      <c r="L193" s="183">
        <f t="shared" si="5"/>
        <v>0</v>
      </c>
      <c r="M193" s="183">
        <f t="shared" si="6"/>
        <v>0</v>
      </c>
      <c r="N193" s="183">
        <f t="shared" si="246"/>
        <v>0</v>
      </c>
      <c r="O193" s="183">
        <f t="shared" ref="O193:Q193" si="247">G193+W193</f>
        <v>0</v>
      </c>
      <c r="P193" s="183">
        <f t="shared" si="247"/>
        <v>0</v>
      </c>
      <c r="Q193" s="183">
        <f t="shared" si="247"/>
        <v>0</v>
      </c>
      <c r="R193" s="183">
        <f t="shared" si="9"/>
        <v>0</v>
      </c>
      <c r="S193" s="183">
        <f t="shared" si="10"/>
        <v>0</v>
      </c>
      <c r="T193" s="183">
        <f t="shared" si="11"/>
        <v>0</v>
      </c>
      <c r="U193" s="186"/>
      <c r="V193" s="183">
        <f>IFERROR(__xludf.DUMMYFUNCTION("""COMPUTED_VALUE"""),0.0)</f>
        <v>0</v>
      </c>
      <c r="W193" s="183">
        <f>IFERROR(__xludf.DUMMYFUNCTION("""COMPUTED_VALUE"""),0.0)</f>
        <v>0</v>
      </c>
      <c r="X193" s="183">
        <f>IFERROR(__xludf.DUMMYFUNCTION("""COMPUTED_VALUE"""),0.0)</f>
        <v>0</v>
      </c>
      <c r="Y193" s="183">
        <f>IFERROR(__xludf.DUMMYFUNCTION("""COMPUTED_VALUE"""),0.0)</f>
        <v>0</v>
      </c>
      <c r="Z193" s="183">
        <f t="shared" si="12"/>
        <v>0</v>
      </c>
      <c r="AA193" s="183">
        <f t="shared" si="13"/>
        <v>0</v>
      </c>
      <c r="AB193" s="183">
        <f t="shared" si="14"/>
        <v>0</v>
      </c>
    </row>
    <row r="194" ht="14.25" customHeight="1">
      <c r="A194" s="241"/>
      <c r="B194" s="242" t="s">
        <v>918</v>
      </c>
      <c r="C194" s="243"/>
      <c r="D194" s="244" t="s">
        <v>919</v>
      </c>
      <c r="E194" s="245">
        <f>SUMIFS('DB BTL'!$J:$J,'DB BTL'!$E:$E,$B194,'DB BTL'!$A:$A,$D$4,'DB BTL'!$B:$B,$E$3,'DB BTL'!$D:$D,AA$1)</f>
        <v>0</v>
      </c>
      <c r="F194" s="245">
        <f>SUMIFS('DB BTL'!$J:$J,'DB BTL'!$E:$E,$B194,'DB BTL'!$A:$A,$D$4,'DB BTL'!$B:$B,$E$3,'DB BTL'!$D:$D,AA$2)</f>
        <v>0</v>
      </c>
      <c r="G194" s="246">
        <f>IFERROR(HLOOKUP($E$3,'Tahun Lalu'!$B$5:$V$158,MATCH(B194,'Tahun Lalu'!$B$5:$B$158,0),0),0)</f>
        <v>0</v>
      </c>
      <c r="H194" s="184">
        <v>0.0</v>
      </c>
      <c r="I194" s="184">
        <v>0.0</v>
      </c>
      <c r="J194" s="245">
        <f t="shared" si="3"/>
        <v>0</v>
      </c>
      <c r="K194" s="245">
        <f t="shared" si="4"/>
        <v>0</v>
      </c>
      <c r="L194" s="245">
        <f t="shared" si="5"/>
        <v>0</v>
      </c>
      <c r="M194" s="245">
        <f t="shared" si="6"/>
        <v>0</v>
      </c>
      <c r="N194" s="245">
        <f t="shared" si="246"/>
        <v>0</v>
      </c>
      <c r="O194" s="245">
        <f t="shared" ref="O194:Q194" si="248">G194+W194</f>
        <v>0</v>
      </c>
      <c r="P194" s="245">
        <f t="shared" si="248"/>
        <v>0</v>
      </c>
      <c r="Q194" s="245">
        <f t="shared" si="248"/>
        <v>0</v>
      </c>
      <c r="R194" s="245">
        <f t="shared" si="9"/>
        <v>0</v>
      </c>
      <c r="S194" s="245">
        <f t="shared" si="10"/>
        <v>0</v>
      </c>
      <c r="T194" s="245">
        <f t="shared" si="11"/>
        <v>0</v>
      </c>
      <c r="U194" s="247"/>
      <c r="V194" s="245">
        <f>IFERROR(__xludf.DUMMYFUNCTION("""COMPUTED_VALUE"""),0.0)</f>
        <v>0</v>
      </c>
      <c r="W194" s="245">
        <f>IFERROR(__xludf.DUMMYFUNCTION("""COMPUTED_VALUE"""),0.0)</f>
        <v>0</v>
      </c>
      <c r="X194" s="245">
        <f>IFERROR(__xludf.DUMMYFUNCTION("""COMPUTED_VALUE"""),0.0)</f>
        <v>0</v>
      </c>
      <c r="Y194" s="245">
        <f>IFERROR(__xludf.DUMMYFUNCTION("""COMPUTED_VALUE"""),0.0)</f>
        <v>0</v>
      </c>
      <c r="Z194" s="245">
        <f t="shared" si="12"/>
        <v>0</v>
      </c>
      <c r="AA194" s="245">
        <f t="shared" si="13"/>
        <v>0</v>
      </c>
      <c r="AB194" s="245">
        <f t="shared" si="14"/>
        <v>0</v>
      </c>
    </row>
    <row r="195" ht="14.25" customHeight="1">
      <c r="A195" s="175"/>
      <c r="B195" s="181" t="s">
        <v>920</v>
      </c>
      <c r="D195" s="209" t="s">
        <v>921</v>
      </c>
      <c r="E195" s="183">
        <f>SUMIFS('DB BTL'!$J:$J,'DB BTL'!$E:$E,$B195,'DB BTL'!$A:$A,$D$4,'DB BTL'!$B:$B,$E$3,'DB BTL'!$D:$D,AA$1)</f>
        <v>0</v>
      </c>
      <c r="F195" s="183">
        <f>SUMIFS('DB BTL'!$J:$J,'DB BTL'!$E:$E,$B195,'DB BTL'!$A:$A,$D$4,'DB BTL'!$B:$B,$E$3,'DB BTL'!$D:$D,AA$2)</f>
        <v>0</v>
      </c>
      <c r="G195" s="184">
        <f>IFERROR(HLOOKUP($E$3,'Tahun Lalu'!$B$5:$V$158,MATCH(B195,'Tahun Lalu'!$B$5:$B$158,0),0),0)</f>
        <v>0</v>
      </c>
      <c r="H195" s="184">
        <v>0.0</v>
      </c>
      <c r="I195" s="184">
        <v>0.0</v>
      </c>
      <c r="J195" s="183">
        <f t="shared" si="3"/>
        <v>0</v>
      </c>
      <c r="K195" s="183">
        <f t="shared" si="4"/>
        <v>0</v>
      </c>
      <c r="L195" s="183">
        <f t="shared" si="5"/>
        <v>0</v>
      </c>
      <c r="M195" s="183">
        <f t="shared" si="6"/>
        <v>0</v>
      </c>
      <c r="N195" s="183">
        <f t="shared" si="246"/>
        <v>0</v>
      </c>
      <c r="O195" s="183">
        <f t="shared" ref="O195:Q195" si="249">G195+W195</f>
        <v>0</v>
      </c>
      <c r="P195" s="183">
        <f t="shared" si="249"/>
        <v>0</v>
      </c>
      <c r="Q195" s="183">
        <f t="shared" si="249"/>
        <v>0</v>
      </c>
      <c r="R195" s="183">
        <f t="shared" si="9"/>
        <v>0</v>
      </c>
      <c r="S195" s="183">
        <f t="shared" si="10"/>
        <v>0</v>
      </c>
      <c r="T195" s="183">
        <f t="shared" si="11"/>
        <v>0</v>
      </c>
      <c r="U195" s="186"/>
      <c r="V195" s="183">
        <f>IFERROR(__xludf.DUMMYFUNCTION("""COMPUTED_VALUE"""),0.0)</f>
        <v>0</v>
      </c>
      <c r="W195" s="183">
        <f>IFERROR(__xludf.DUMMYFUNCTION("""COMPUTED_VALUE"""),0.0)</f>
        <v>0</v>
      </c>
      <c r="X195" s="183">
        <f>IFERROR(__xludf.DUMMYFUNCTION("""COMPUTED_VALUE"""),0.0)</f>
        <v>0</v>
      </c>
      <c r="Y195" s="183">
        <f>IFERROR(__xludf.DUMMYFUNCTION("""COMPUTED_VALUE"""),0.0)</f>
        <v>0</v>
      </c>
      <c r="Z195" s="183">
        <f t="shared" si="12"/>
        <v>0</v>
      </c>
      <c r="AA195" s="183">
        <f t="shared" si="13"/>
        <v>0</v>
      </c>
      <c r="AB195" s="183">
        <f t="shared" si="14"/>
        <v>0</v>
      </c>
    </row>
    <row r="196" ht="14.25" customHeight="1">
      <c r="A196" s="175"/>
      <c r="B196" s="181" t="s">
        <v>922</v>
      </c>
      <c r="D196" s="209" t="s">
        <v>923</v>
      </c>
      <c r="E196" s="183">
        <f>SUMIFS('DB BTL'!$J:$J,'DB BTL'!$E:$E,$B196,'DB BTL'!$A:$A,$D$4,'DB BTL'!$B:$B,$E$3,'DB BTL'!$D:$D,AA$1)</f>
        <v>0</v>
      </c>
      <c r="F196" s="183">
        <f>SUMIFS('DB BTL'!$J:$J,'DB BTL'!$E:$E,$B196,'DB BTL'!$A:$A,$D$4,'DB BTL'!$B:$B,$E$3,'DB BTL'!$D:$D,AA$2)</f>
        <v>0</v>
      </c>
      <c r="G196" s="184">
        <f>IFERROR(HLOOKUP($E$3,'Tahun Lalu'!$B$5:$V$158,MATCH(B196,'Tahun Lalu'!$B$5:$B$158,0),0),0)</f>
        <v>0</v>
      </c>
      <c r="H196" s="184">
        <v>0.0</v>
      </c>
      <c r="I196" s="184">
        <v>0.0</v>
      </c>
      <c r="J196" s="183">
        <f t="shared" si="3"/>
        <v>0</v>
      </c>
      <c r="K196" s="183">
        <f t="shared" si="4"/>
        <v>0</v>
      </c>
      <c r="L196" s="183">
        <f t="shared" si="5"/>
        <v>0</v>
      </c>
      <c r="M196" s="183">
        <f t="shared" si="6"/>
        <v>0</v>
      </c>
      <c r="N196" s="183">
        <f t="shared" si="246"/>
        <v>0</v>
      </c>
      <c r="O196" s="183">
        <f t="shared" ref="O196:Q196" si="250">G196+W196</f>
        <v>0</v>
      </c>
      <c r="P196" s="183">
        <f t="shared" si="250"/>
        <v>0</v>
      </c>
      <c r="Q196" s="183">
        <f t="shared" si="250"/>
        <v>0</v>
      </c>
      <c r="R196" s="183">
        <f t="shared" si="9"/>
        <v>0</v>
      </c>
      <c r="S196" s="183">
        <f t="shared" si="10"/>
        <v>0</v>
      </c>
      <c r="T196" s="183">
        <f t="shared" si="11"/>
        <v>0</v>
      </c>
      <c r="U196" s="186"/>
      <c r="V196" s="183">
        <f>IFERROR(__xludf.DUMMYFUNCTION("""COMPUTED_VALUE"""),0.0)</f>
        <v>0</v>
      </c>
      <c r="W196" s="183">
        <f>IFERROR(__xludf.DUMMYFUNCTION("""COMPUTED_VALUE"""),0.0)</f>
        <v>0</v>
      </c>
      <c r="X196" s="183">
        <f>IFERROR(__xludf.DUMMYFUNCTION("""COMPUTED_VALUE"""),0.0)</f>
        <v>0</v>
      </c>
      <c r="Y196" s="183">
        <f>IFERROR(__xludf.DUMMYFUNCTION("""COMPUTED_VALUE"""),0.0)</f>
        <v>0</v>
      </c>
      <c r="Z196" s="183">
        <f t="shared" si="12"/>
        <v>0</v>
      </c>
      <c r="AA196" s="183">
        <f t="shared" si="13"/>
        <v>0</v>
      </c>
      <c r="AB196" s="183">
        <f t="shared" si="14"/>
        <v>0</v>
      </c>
    </row>
    <row r="197" ht="14.25" customHeight="1">
      <c r="A197" s="175"/>
      <c r="B197" s="181" t="s">
        <v>924</v>
      </c>
      <c r="D197" s="209" t="s">
        <v>907</v>
      </c>
      <c r="E197" s="183">
        <f>SUMIFS('DB BTL'!$J:$J,'DB BTL'!$E:$E,$B197,'DB BTL'!$A:$A,$D$4,'DB BTL'!$B:$B,$E$3,'DB BTL'!$D:$D,AA$1)</f>
        <v>0</v>
      </c>
      <c r="F197" s="183">
        <f>SUMIFS('DB BTL'!$J:$J,'DB BTL'!$E:$E,$B197,'DB BTL'!$A:$A,$D$4,'DB BTL'!$B:$B,$E$3,'DB BTL'!$D:$D,AA$2)</f>
        <v>0</v>
      </c>
      <c r="G197" s="184">
        <f>IFERROR(HLOOKUP($E$3,'Tahun Lalu'!$B$5:$V$158,MATCH(B197,'Tahun Lalu'!$B$5:$B$158,0),0),0)</f>
        <v>0</v>
      </c>
      <c r="H197" s="184">
        <v>0.0</v>
      </c>
      <c r="I197" s="184">
        <v>0.0</v>
      </c>
      <c r="J197" s="183">
        <f t="shared" si="3"/>
        <v>0</v>
      </c>
      <c r="K197" s="183">
        <f t="shared" si="4"/>
        <v>0</v>
      </c>
      <c r="L197" s="183">
        <f t="shared" si="5"/>
        <v>0</v>
      </c>
      <c r="M197" s="183">
        <f t="shared" si="6"/>
        <v>0</v>
      </c>
      <c r="N197" s="183">
        <f t="shared" si="246"/>
        <v>0</v>
      </c>
      <c r="O197" s="183">
        <f t="shared" ref="O197:Q197" si="251">G197+W197</f>
        <v>0</v>
      </c>
      <c r="P197" s="183">
        <f t="shared" si="251"/>
        <v>0</v>
      </c>
      <c r="Q197" s="183">
        <f t="shared" si="251"/>
        <v>0</v>
      </c>
      <c r="R197" s="183">
        <f t="shared" si="9"/>
        <v>0</v>
      </c>
      <c r="S197" s="183">
        <f t="shared" si="10"/>
        <v>0</v>
      </c>
      <c r="T197" s="183">
        <f t="shared" si="11"/>
        <v>0</v>
      </c>
      <c r="U197" s="186"/>
      <c r="V197" s="183">
        <f>IFERROR(__xludf.DUMMYFUNCTION("""COMPUTED_VALUE"""),0.0)</f>
        <v>0</v>
      </c>
      <c r="W197" s="183">
        <f>IFERROR(__xludf.DUMMYFUNCTION("""COMPUTED_VALUE"""),0.0)</f>
        <v>0</v>
      </c>
      <c r="X197" s="183">
        <f>IFERROR(__xludf.DUMMYFUNCTION("""COMPUTED_VALUE"""),0.0)</f>
        <v>0</v>
      </c>
      <c r="Y197" s="183">
        <f>IFERROR(__xludf.DUMMYFUNCTION("""COMPUTED_VALUE"""),0.0)</f>
        <v>0</v>
      </c>
      <c r="Z197" s="183">
        <f t="shared" si="12"/>
        <v>0</v>
      </c>
      <c r="AA197" s="183">
        <f t="shared" si="13"/>
        <v>0</v>
      </c>
      <c r="AB197" s="183">
        <f t="shared" si="14"/>
        <v>0</v>
      </c>
    </row>
    <row r="198" ht="14.25" customHeight="1">
      <c r="A198" s="175"/>
      <c r="B198" s="181" t="s">
        <v>925</v>
      </c>
      <c r="D198" s="209" t="s">
        <v>926</v>
      </c>
      <c r="E198" s="183">
        <f>SUMIFS('DB BTL'!$J:$J,'DB BTL'!$E:$E,$B198,'DB BTL'!$A:$A,$D$4,'DB BTL'!$B:$B,$E$3,'DB BTL'!$D:$D,AA$1)</f>
        <v>0</v>
      </c>
      <c r="F198" s="183">
        <f>SUMIFS('DB BTL'!$J:$J,'DB BTL'!$E:$E,$B198,'DB BTL'!$A:$A,$D$4,'DB BTL'!$B:$B,$E$3,'DB BTL'!$D:$D,AA$2)</f>
        <v>0</v>
      </c>
      <c r="G198" s="184">
        <f>IFERROR(HLOOKUP($E$3,'Tahun Lalu'!$B$5:$V$158,MATCH(B198,'Tahun Lalu'!$B$5:$B$158,0),0),0)</f>
        <v>0</v>
      </c>
      <c r="H198" s="184">
        <v>0.0</v>
      </c>
      <c r="I198" s="184">
        <v>0.0</v>
      </c>
      <c r="J198" s="183">
        <f t="shared" si="3"/>
        <v>0</v>
      </c>
      <c r="K198" s="183">
        <f t="shared" si="4"/>
        <v>0</v>
      </c>
      <c r="L198" s="183">
        <f t="shared" si="5"/>
        <v>0</v>
      </c>
      <c r="M198" s="183">
        <f t="shared" si="6"/>
        <v>0</v>
      </c>
      <c r="N198" s="183">
        <f t="shared" si="246"/>
        <v>0</v>
      </c>
      <c r="O198" s="183">
        <f t="shared" ref="O198:Q198" si="252">G198+W198</f>
        <v>0</v>
      </c>
      <c r="P198" s="183">
        <f t="shared" si="252"/>
        <v>0</v>
      </c>
      <c r="Q198" s="183">
        <f t="shared" si="252"/>
        <v>0</v>
      </c>
      <c r="R198" s="183">
        <f t="shared" si="9"/>
        <v>0</v>
      </c>
      <c r="S198" s="183">
        <f t="shared" si="10"/>
        <v>0</v>
      </c>
      <c r="T198" s="183">
        <f t="shared" si="11"/>
        <v>0</v>
      </c>
      <c r="U198" s="186"/>
      <c r="V198" s="183">
        <f>IFERROR(__xludf.DUMMYFUNCTION("""COMPUTED_VALUE"""),0.0)</f>
        <v>0</v>
      </c>
      <c r="W198" s="183">
        <f>IFERROR(__xludf.DUMMYFUNCTION("""COMPUTED_VALUE"""),0.0)</f>
        <v>0</v>
      </c>
      <c r="X198" s="183">
        <f>IFERROR(__xludf.DUMMYFUNCTION("""COMPUTED_VALUE"""),0.0)</f>
        <v>0</v>
      </c>
      <c r="Y198" s="183">
        <f>IFERROR(__xludf.DUMMYFUNCTION("""COMPUTED_VALUE"""),0.0)</f>
        <v>0</v>
      </c>
      <c r="Z198" s="183">
        <f t="shared" si="12"/>
        <v>0</v>
      </c>
      <c r="AA198" s="183">
        <f t="shared" si="13"/>
        <v>0</v>
      </c>
      <c r="AB198" s="183">
        <f t="shared" si="14"/>
        <v>0</v>
      </c>
    </row>
    <row r="199" ht="14.25" customHeight="1">
      <c r="A199" s="175"/>
      <c r="B199" s="181" t="s">
        <v>927</v>
      </c>
      <c r="D199" s="209" t="s">
        <v>928</v>
      </c>
      <c r="E199" s="183">
        <f>SUMIFS('DB BTL'!$J:$J,'DB BTL'!$E:$E,$B199,'DB BTL'!$A:$A,$D$4,'DB BTL'!$B:$B,$E$3,'DB BTL'!$D:$D,AA$1)</f>
        <v>0</v>
      </c>
      <c r="F199" s="183">
        <f>SUMIFS('DB BTL'!$J:$J,'DB BTL'!$E:$E,$B199,'DB BTL'!$A:$A,$D$4,'DB BTL'!$B:$B,$E$3,'DB BTL'!$D:$D,AA$2)</f>
        <v>0</v>
      </c>
      <c r="G199" s="184">
        <f>IFERROR(HLOOKUP($E$3,'Tahun Lalu'!$B$5:$V$158,MATCH(B199,'Tahun Lalu'!$B$5:$B$158,0),0),0)</f>
        <v>0</v>
      </c>
      <c r="H199" s="184">
        <v>0.0</v>
      </c>
      <c r="I199" s="184">
        <v>0.0</v>
      </c>
      <c r="J199" s="183">
        <f t="shared" si="3"/>
        <v>0</v>
      </c>
      <c r="K199" s="183">
        <f t="shared" si="4"/>
        <v>0</v>
      </c>
      <c r="L199" s="183">
        <f t="shared" si="5"/>
        <v>0</v>
      </c>
      <c r="M199" s="183">
        <f t="shared" si="6"/>
        <v>0</v>
      </c>
      <c r="N199" s="183">
        <f t="shared" si="246"/>
        <v>0</v>
      </c>
      <c r="O199" s="183">
        <f t="shared" ref="O199:Q199" si="253">G199+W199</f>
        <v>0</v>
      </c>
      <c r="P199" s="183">
        <f t="shared" si="253"/>
        <v>0</v>
      </c>
      <c r="Q199" s="183">
        <f t="shared" si="253"/>
        <v>0</v>
      </c>
      <c r="R199" s="183">
        <f t="shared" si="9"/>
        <v>0</v>
      </c>
      <c r="S199" s="183">
        <f t="shared" si="10"/>
        <v>0</v>
      </c>
      <c r="T199" s="183">
        <f t="shared" si="11"/>
        <v>0</v>
      </c>
      <c r="U199" s="186"/>
      <c r="V199" s="183">
        <f>IFERROR(__xludf.DUMMYFUNCTION("""COMPUTED_VALUE"""),0.0)</f>
        <v>0</v>
      </c>
      <c r="W199" s="183">
        <f>IFERROR(__xludf.DUMMYFUNCTION("""COMPUTED_VALUE"""),0.0)</f>
        <v>0</v>
      </c>
      <c r="X199" s="183">
        <f>IFERROR(__xludf.DUMMYFUNCTION("""COMPUTED_VALUE"""),0.0)</f>
        <v>0</v>
      </c>
      <c r="Y199" s="183">
        <f>IFERROR(__xludf.DUMMYFUNCTION("""COMPUTED_VALUE"""),0.0)</f>
        <v>0</v>
      </c>
      <c r="Z199" s="183">
        <f t="shared" si="12"/>
        <v>0</v>
      </c>
      <c r="AA199" s="183">
        <f t="shared" si="13"/>
        <v>0</v>
      </c>
      <c r="AB199" s="183">
        <f t="shared" si="14"/>
        <v>0</v>
      </c>
    </row>
    <row r="200" ht="14.25" customHeight="1">
      <c r="A200" s="175"/>
      <c r="B200" s="181" t="s">
        <v>929</v>
      </c>
      <c r="D200" s="209" t="s">
        <v>930</v>
      </c>
      <c r="E200" s="183">
        <f>SUMIFS('DB BTL'!$J:$J,'DB BTL'!$E:$E,$B200,'DB BTL'!$A:$A,$D$4,'DB BTL'!$B:$B,$E$3,'DB BTL'!$D:$D,AA$1)</f>
        <v>0</v>
      </c>
      <c r="F200" s="183">
        <f>SUMIFS('DB BTL'!$J:$J,'DB BTL'!$E:$E,$B200,'DB BTL'!$A:$A,$D$4,'DB BTL'!$B:$B,$E$3,'DB BTL'!$D:$D,AA$2)</f>
        <v>0</v>
      </c>
      <c r="G200" s="184">
        <f>IFERROR(HLOOKUP($E$3,'Tahun Lalu'!$B$5:$V$158,MATCH(B200,'Tahun Lalu'!$B$5:$B$158,0),0),0)</f>
        <v>0</v>
      </c>
      <c r="H200" s="184">
        <v>0.0</v>
      </c>
      <c r="I200" s="184">
        <v>0.0</v>
      </c>
      <c r="J200" s="183">
        <f t="shared" si="3"/>
        <v>0</v>
      </c>
      <c r="K200" s="183">
        <f t="shared" si="4"/>
        <v>0</v>
      </c>
      <c r="L200" s="183">
        <f t="shared" si="5"/>
        <v>0</v>
      </c>
      <c r="M200" s="183">
        <f t="shared" si="6"/>
        <v>0</v>
      </c>
      <c r="N200" s="183">
        <f t="shared" si="246"/>
        <v>0</v>
      </c>
      <c r="O200" s="183">
        <f t="shared" ref="O200:Q200" si="254">G200+W200</f>
        <v>0</v>
      </c>
      <c r="P200" s="183">
        <f t="shared" si="254"/>
        <v>0</v>
      </c>
      <c r="Q200" s="183">
        <f t="shared" si="254"/>
        <v>0</v>
      </c>
      <c r="R200" s="183">
        <f t="shared" si="9"/>
        <v>0</v>
      </c>
      <c r="S200" s="183">
        <f t="shared" si="10"/>
        <v>0</v>
      </c>
      <c r="T200" s="183">
        <f t="shared" si="11"/>
        <v>0</v>
      </c>
      <c r="U200" s="186"/>
      <c r="V200" s="183">
        <f>IFERROR(__xludf.DUMMYFUNCTION("""COMPUTED_VALUE"""),0.0)</f>
        <v>0</v>
      </c>
      <c r="W200" s="183">
        <f>IFERROR(__xludf.DUMMYFUNCTION("""COMPUTED_VALUE"""),0.0)</f>
        <v>0</v>
      </c>
      <c r="X200" s="183">
        <f>IFERROR(__xludf.DUMMYFUNCTION("""COMPUTED_VALUE"""),0.0)</f>
        <v>0</v>
      </c>
      <c r="Y200" s="183">
        <f>IFERROR(__xludf.DUMMYFUNCTION("""COMPUTED_VALUE"""),0.0)</f>
        <v>0</v>
      </c>
      <c r="Z200" s="183">
        <f t="shared" si="12"/>
        <v>0</v>
      </c>
      <c r="AA200" s="183">
        <f t="shared" si="13"/>
        <v>0</v>
      </c>
      <c r="AB200" s="183">
        <f t="shared" si="14"/>
        <v>0</v>
      </c>
    </row>
    <row r="201" ht="14.25" customHeight="1">
      <c r="A201" s="175"/>
      <c r="B201" s="181" t="s">
        <v>931</v>
      </c>
      <c r="D201" s="209" t="s">
        <v>932</v>
      </c>
      <c r="E201" s="183">
        <f>SUMIFS('DB BTL'!$J:$J,'DB BTL'!$E:$E,$B201,'DB BTL'!$A:$A,$D$4,'DB BTL'!$B:$B,$E$3,'DB BTL'!$D:$D,AA$1)</f>
        <v>0</v>
      </c>
      <c r="F201" s="183">
        <f>SUMIFS('DB BTL'!$J:$J,'DB BTL'!$E:$E,$B201,'DB BTL'!$A:$A,$D$4,'DB BTL'!$B:$B,$E$3,'DB BTL'!$D:$D,AA$2)</f>
        <v>0</v>
      </c>
      <c r="G201" s="184">
        <f>IFERROR(HLOOKUP($E$3,'Tahun Lalu'!$B$5:$V$158,MATCH(B201,'Tahun Lalu'!$B$5:$B$158,0),0),0)</f>
        <v>0</v>
      </c>
      <c r="H201" s="184">
        <v>0.0</v>
      </c>
      <c r="I201" s="184">
        <v>0.0</v>
      </c>
      <c r="J201" s="183">
        <f t="shared" si="3"/>
        <v>0</v>
      </c>
      <c r="K201" s="183">
        <f t="shared" si="4"/>
        <v>0</v>
      </c>
      <c r="L201" s="183">
        <f t="shared" si="5"/>
        <v>0</v>
      </c>
      <c r="M201" s="183">
        <f t="shared" si="6"/>
        <v>0</v>
      </c>
      <c r="N201" s="183">
        <f t="shared" si="246"/>
        <v>0</v>
      </c>
      <c r="O201" s="183">
        <f t="shared" ref="O201:Q201" si="255">G201+W201</f>
        <v>0</v>
      </c>
      <c r="P201" s="183">
        <f t="shared" si="255"/>
        <v>0</v>
      </c>
      <c r="Q201" s="183">
        <f t="shared" si="255"/>
        <v>0</v>
      </c>
      <c r="R201" s="183">
        <f t="shared" si="9"/>
        <v>0</v>
      </c>
      <c r="S201" s="183">
        <f t="shared" si="10"/>
        <v>0</v>
      </c>
      <c r="T201" s="183">
        <f t="shared" si="11"/>
        <v>0</v>
      </c>
      <c r="U201" s="186"/>
      <c r="V201" s="183">
        <f>IFERROR(__xludf.DUMMYFUNCTION("""COMPUTED_VALUE"""),0.0)</f>
        <v>0</v>
      </c>
      <c r="W201" s="183">
        <f>IFERROR(__xludf.DUMMYFUNCTION("""COMPUTED_VALUE"""),0.0)</f>
        <v>0</v>
      </c>
      <c r="X201" s="183">
        <f>IFERROR(__xludf.DUMMYFUNCTION("""COMPUTED_VALUE"""),0.0)</f>
        <v>0</v>
      </c>
      <c r="Y201" s="183">
        <f>IFERROR(__xludf.DUMMYFUNCTION("""COMPUTED_VALUE"""),0.0)</f>
        <v>0</v>
      </c>
      <c r="Z201" s="183">
        <f t="shared" si="12"/>
        <v>0</v>
      </c>
      <c r="AA201" s="183">
        <f t="shared" si="13"/>
        <v>0</v>
      </c>
      <c r="AB201" s="183">
        <f t="shared" si="14"/>
        <v>0</v>
      </c>
    </row>
    <row r="202" ht="14.25" customHeight="1">
      <c r="A202" s="175"/>
      <c r="B202" s="181" t="s">
        <v>933</v>
      </c>
      <c r="D202" s="209" t="s">
        <v>934</v>
      </c>
      <c r="E202" s="183">
        <f>SUMIFS('DB BTL'!$J:$J,'DB BTL'!$E:$E,$B202,'DB BTL'!$A:$A,$D$4,'DB BTL'!$B:$B,$E$3,'DB BTL'!$D:$D,AA$1)</f>
        <v>0</v>
      </c>
      <c r="F202" s="183">
        <f>SUMIFS('DB BTL'!$J:$J,'DB BTL'!$E:$E,$B202,'DB BTL'!$A:$A,$D$4,'DB BTL'!$B:$B,$E$3,'DB BTL'!$D:$D,AA$2)</f>
        <v>0</v>
      </c>
      <c r="G202" s="184">
        <f>IFERROR(HLOOKUP($E$3,'Tahun Lalu'!$B$5:$V$158,MATCH(B202,'Tahun Lalu'!$B$5:$B$158,0),0),0)</f>
        <v>0</v>
      </c>
      <c r="H202" s="184">
        <v>0.0</v>
      </c>
      <c r="I202" s="184">
        <v>0.0</v>
      </c>
      <c r="J202" s="183">
        <f t="shared" si="3"/>
        <v>0</v>
      </c>
      <c r="K202" s="183">
        <f t="shared" si="4"/>
        <v>0</v>
      </c>
      <c r="L202" s="183">
        <f t="shared" si="5"/>
        <v>0</v>
      </c>
      <c r="M202" s="183">
        <f t="shared" si="6"/>
        <v>0</v>
      </c>
      <c r="N202" s="183">
        <f t="shared" si="246"/>
        <v>0</v>
      </c>
      <c r="O202" s="183">
        <f t="shared" ref="O202:Q202" si="256">G202+W202</f>
        <v>0</v>
      </c>
      <c r="P202" s="183">
        <f t="shared" si="256"/>
        <v>0</v>
      </c>
      <c r="Q202" s="183">
        <f t="shared" si="256"/>
        <v>0</v>
      </c>
      <c r="R202" s="183">
        <f t="shared" si="9"/>
        <v>0</v>
      </c>
      <c r="S202" s="183">
        <f t="shared" si="10"/>
        <v>0</v>
      </c>
      <c r="T202" s="183">
        <f t="shared" si="11"/>
        <v>0</v>
      </c>
      <c r="U202" s="186"/>
      <c r="V202" s="183">
        <f>IFERROR(__xludf.DUMMYFUNCTION("""COMPUTED_VALUE"""),0.0)</f>
        <v>0</v>
      </c>
      <c r="W202" s="183">
        <f>IFERROR(__xludf.DUMMYFUNCTION("""COMPUTED_VALUE"""),0.0)</f>
        <v>0</v>
      </c>
      <c r="X202" s="183">
        <f>IFERROR(__xludf.DUMMYFUNCTION("""COMPUTED_VALUE"""),0.0)</f>
        <v>0</v>
      </c>
      <c r="Y202" s="183">
        <f>IFERROR(__xludf.DUMMYFUNCTION("""COMPUTED_VALUE"""),0.0)</f>
        <v>0</v>
      </c>
      <c r="Z202" s="183">
        <f t="shared" si="12"/>
        <v>0</v>
      </c>
      <c r="AA202" s="183">
        <f t="shared" si="13"/>
        <v>0</v>
      </c>
      <c r="AB202" s="183">
        <f t="shared" si="14"/>
        <v>0</v>
      </c>
    </row>
    <row r="203" ht="14.25" customHeight="1">
      <c r="A203" s="175"/>
      <c r="B203" s="181" t="s">
        <v>935</v>
      </c>
      <c r="D203" s="209" t="s">
        <v>936</v>
      </c>
      <c r="E203" s="183">
        <f>SUMIFS('DB BTL'!$J:$J,'DB BTL'!$E:$E,$B203,'DB BTL'!$A:$A,$D$4,'DB BTL'!$B:$B,$E$3,'DB BTL'!$D:$D,AA$1)</f>
        <v>0</v>
      </c>
      <c r="F203" s="183">
        <f>SUMIFS('DB BTL'!$J:$J,'DB BTL'!$E:$E,$B203,'DB BTL'!$A:$A,$D$4,'DB BTL'!$B:$B,$E$3,'DB BTL'!$D:$D,AA$2)</f>
        <v>0</v>
      </c>
      <c r="G203" s="184">
        <f>IFERROR(HLOOKUP($E$3,'Tahun Lalu'!$B$5:$V$158,MATCH(B203,'Tahun Lalu'!$B$5:$B$158,0),0),0)</f>
        <v>0</v>
      </c>
      <c r="H203" s="184">
        <v>0.0</v>
      </c>
      <c r="I203" s="184">
        <v>0.0</v>
      </c>
      <c r="J203" s="183">
        <f t="shared" si="3"/>
        <v>0</v>
      </c>
      <c r="K203" s="183">
        <f t="shared" si="4"/>
        <v>0</v>
      </c>
      <c r="L203" s="183">
        <f t="shared" si="5"/>
        <v>0</v>
      </c>
      <c r="M203" s="183">
        <f t="shared" si="6"/>
        <v>0</v>
      </c>
      <c r="N203" s="183">
        <f t="shared" si="246"/>
        <v>0</v>
      </c>
      <c r="O203" s="183">
        <f t="shared" ref="O203:Q203" si="257">G203+W203</f>
        <v>0</v>
      </c>
      <c r="P203" s="183">
        <f t="shared" si="257"/>
        <v>0</v>
      </c>
      <c r="Q203" s="183">
        <f t="shared" si="257"/>
        <v>0</v>
      </c>
      <c r="R203" s="183">
        <f t="shared" si="9"/>
        <v>0</v>
      </c>
      <c r="S203" s="183">
        <f t="shared" si="10"/>
        <v>0</v>
      </c>
      <c r="T203" s="183">
        <f t="shared" si="11"/>
        <v>0</v>
      </c>
      <c r="U203" s="186"/>
      <c r="V203" s="183">
        <f>IFERROR(__xludf.DUMMYFUNCTION("""COMPUTED_VALUE"""),0.0)</f>
        <v>0</v>
      </c>
      <c r="W203" s="183">
        <f>IFERROR(__xludf.DUMMYFUNCTION("""COMPUTED_VALUE"""),0.0)</f>
        <v>0</v>
      </c>
      <c r="X203" s="183">
        <f>IFERROR(__xludf.DUMMYFUNCTION("""COMPUTED_VALUE"""),0.0)</f>
        <v>0</v>
      </c>
      <c r="Y203" s="183">
        <f>IFERROR(__xludf.DUMMYFUNCTION("""COMPUTED_VALUE"""),0.0)</f>
        <v>0</v>
      </c>
      <c r="Z203" s="183">
        <f t="shared" si="12"/>
        <v>0</v>
      </c>
      <c r="AA203" s="183">
        <f t="shared" si="13"/>
        <v>0</v>
      </c>
      <c r="AB203" s="183">
        <f t="shared" si="14"/>
        <v>0</v>
      </c>
    </row>
    <row r="204" ht="14.25" customHeight="1">
      <c r="A204" s="175"/>
      <c r="B204" s="181" t="s">
        <v>937</v>
      </c>
      <c r="D204" s="209" t="s">
        <v>938</v>
      </c>
      <c r="E204" s="183">
        <f>SUMIFS('DB BTL'!$J:$J,'DB BTL'!$E:$E,$B204,'DB BTL'!$A:$A,$D$4,'DB BTL'!$B:$B,$E$3,'DB BTL'!$D:$D,AA$1)</f>
        <v>0</v>
      </c>
      <c r="F204" s="183">
        <f>SUMIFS('DB BTL'!$J:$J,'DB BTL'!$E:$E,$B204,'DB BTL'!$A:$A,$D$4,'DB BTL'!$B:$B,$E$3,'DB BTL'!$D:$D,AA$2)</f>
        <v>0</v>
      </c>
      <c r="G204" s="184">
        <f>IFERROR(HLOOKUP($E$3,'Tahun Lalu'!$B$5:$V$158,MATCH(B204,'Tahun Lalu'!$B$5:$B$158,0),0),0)</f>
        <v>0</v>
      </c>
      <c r="H204" s="184">
        <v>0.0</v>
      </c>
      <c r="I204" s="184">
        <v>0.0</v>
      </c>
      <c r="J204" s="183">
        <f t="shared" si="3"/>
        <v>0</v>
      </c>
      <c r="K204" s="183">
        <f t="shared" si="4"/>
        <v>0</v>
      </c>
      <c r="L204" s="183">
        <f t="shared" si="5"/>
        <v>0</v>
      </c>
      <c r="M204" s="183">
        <f t="shared" si="6"/>
        <v>0</v>
      </c>
      <c r="N204" s="183">
        <f t="shared" si="246"/>
        <v>0</v>
      </c>
      <c r="O204" s="183">
        <f t="shared" ref="O204:Q204" si="258">G204+W204</f>
        <v>0</v>
      </c>
      <c r="P204" s="183">
        <f t="shared" si="258"/>
        <v>0</v>
      </c>
      <c r="Q204" s="183">
        <f t="shared" si="258"/>
        <v>0</v>
      </c>
      <c r="R204" s="183">
        <f t="shared" si="9"/>
        <v>0</v>
      </c>
      <c r="S204" s="183">
        <f t="shared" si="10"/>
        <v>0</v>
      </c>
      <c r="T204" s="183">
        <f t="shared" si="11"/>
        <v>0</v>
      </c>
      <c r="U204" s="186"/>
      <c r="V204" s="183">
        <f>IFERROR(__xludf.DUMMYFUNCTION("""COMPUTED_VALUE"""),0.0)</f>
        <v>0</v>
      </c>
      <c r="W204" s="183">
        <f>IFERROR(__xludf.DUMMYFUNCTION("""COMPUTED_VALUE"""),0.0)</f>
        <v>0</v>
      </c>
      <c r="X204" s="183">
        <f>IFERROR(__xludf.DUMMYFUNCTION("""COMPUTED_VALUE"""),0.0)</f>
        <v>0</v>
      </c>
      <c r="Y204" s="183">
        <f>IFERROR(__xludf.DUMMYFUNCTION("""COMPUTED_VALUE"""),0.0)</f>
        <v>0</v>
      </c>
      <c r="Z204" s="183">
        <f t="shared" si="12"/>
        <v>0</v>
      </c>
      <c r="AA204" s="183">
        <f t="shared" si="13"/>
        <v>0</v>
      </c>
      <c r="AB204" s="183">
        <f t="shared" si="14"/>
        <v>0</v>
      </c>
    </row>
    <row r="205" ht="14.25" customHeight="1">
      <c r="A205" s="175"/>
      <c r="B205" s="181" t="s">
        <v>939</v>
      </c>
      <c r="D205" s="209" t="s">
        <v>940</v>
      </c>
      <c r="E205" s="183">
        <f>SUMIFS('DB BTL'!$J:$J,'DB BTL'!$E:$E,$B205,'DB BTL'!$A:$A,$D$4,'DB BTL'!$B:$B,$E$3,'DB BTL'!$D:$D,AA$1)</f>
        <v>0</v>
      </c>
      <c r="F205" s="183">
        <f>SUMIFS('DB BTL'!$J:$J,'DB BTL'!$E:$E,$B205,'DB BTL'!$A:$A,$D$4,'DB BTL'!$B:$B,$E$3,'DB BTL'!$D:$D,AA$2)</f>
        <v>0</v>
      </c>
      <c r="G205" s="184">
        <f>IFERROR(HLOOKUP($E$3,'Tahun Lalu'!$B$5:$V$158,MATCH(B205,'Tahun Lalu'!$B$5:$B$158,0),0),0)</f>
        <v>0</v>
      </c>
      <c r="H205" s="184">
        <v>0.0</v>
      </c>
      <c r="I205" s="184">
        <v>0.0</v>
      </c>
      <c r="J205" s="183">
        <f t="shared" si="3"/>
        <v>0</v>
      </c>
      <c r="K205" s="183">
        <f t="shared" si="4"/>
        <v>0</v>
      </c>
      <c r="L205" s="183">
        <f t="shared" si="5"/>
        <v>0</v>
      </c>
      <c r="M205" s="183">
        <f t="shared" si="6"/>
        <v>0</v>
      </c>
      <c r="N205" s="183">
        <f t="shared" si="246"/>
        <v>0</v>
      </c>
      <c r="O205" s="183">
        <f t="shared" ref="O205:Q205" si="259">G205+W205</f>
        <v>0</v>
      </c>
      <c r="P205" s="183">
        <f t="shared" si="259"/>
        <v>0</v>
      </c>
      <c r="Q205" s="183">
        <f t="shared" si="259"/>
        <v>0</v>
      </c>
      <c r="R205" s="183">
        <f t="shared" si="9"/>
        <v>0</v>
      </c>
      <c r="S205" s="183">
        <f t="shared" si="10"/>
        <v>0</v>
      </c>
      <c r="T205" s="183">
        <f t="shared" si="11"/>
        <v>0</v>
      </c>
      <c r="U205" s="186"/>
      <c r="V205" s="183">
        <f>IFERROR(__xludf.DUMMYFUNCTION("""COMPUTED_VALUE"""),0.0)</f>
        <v>0</v>
      </c>
      <c r="W205" s="183">
        <f>IFERROR(__xludf.DUMMYFUNCTION("""COMPUTED_VALUE"""),0.0)</f>
        <v>0</v>
      </c>
      <c r="X205" s="183">
        <f>IFERROR(__xludf.DUMMYFUNCTION("""COMPUTED_VALUE"""),0.0)</f>
        <v>0</v>
      </c>
      <c r="Y205" s="183">
        <f>IFERROR(__xludf.DUMMYFUNCTION("""COMPUTED_VALUE"""),0.0)</f>
        <v>0</v>
      </c>
      <c r="Z205" s="183">
        <f t="shared" si="12"/>
        <v>0</v>
      </c>
      <c r="AA205" s="183">
        <f t="shared" si="13"/>
        <v>0</v>
      </c>
      <c r="AB205" s="183">
        <f t="shared" si="14"/>
        <v>0</v>
      </c>
    </row>
    <row r="206" ht="14.25" customHeight="1">
      <c r="A206" s="175"/>
      <c r="B206" s="181" t="s">
        <v>941</v>
      </c>
      <c r="D206" s="209" t="s">
        <v>582</v>
      </c>
      <c r="E206" s="183">
        <f>SUMIFS('DB BTL'!$J:$J,'DB BTL'!$E:$E,$B206,'DB BTL'!$A:$A,$D$4,'DB BTL'!$B:$B,$E$3,'DB BTL'!$D:$D,AA$1)</f>
        <v>0</v>
      </c>
      <c r="F206" s="183">
        <f>SUMIFS('DB BTL'!$J:$J,'DB BTL'!$E:$E,$B206,'DB BTL'!$A:$A,$D$4,'DB BTL'!$B:$B,$E$3,'DB BTL'!$D:$D,AA$2)</f>
        <v>0</v>
      </c>
      <c r="G206" s="184">
        <f>IFERROR(HLOOKUP($E$3,'Tahun Lalu'!$B$5:$V$158,MATCH(B206,'Tahun Lalu'!$B$5:$B$158,0),0),0)</f>
        <v>0</v>
      </c>
      <c r="H206" s="184">
        <v>0.0</v>
      </c>
      <c r="I206" s="184">
        <v>0.0</v>
      </c>
      <c r="J206" s="183">
        <f t="shared" si="3"/>
        <v>0</v>
      </c>
      <c r="K206" s="183">
        <f t="shared" si="4"/>
        <v>0</v>
      </c>
      <c r="L206" s="183">
        <f t="shared" si="5"/>
        <v>0</v>
      </c>
      <c r="M206" s="183">
        <f t="shared" si="6"/>
        <v>0</v>
      </c>
      <c r="N206" s="183">
        <f t="shared" si="246"/>
        <v>0</v>
      </c>
      <c r="O206" s="183">
        <f t="shared" ref="O206:Q206" si="260">G206+W206</f>
        <v>0</v>
      </c>
      <c r="P206" s="183">
        <f t="shared" si="260"/>
        <v>0</v>
      </c>
      <c r="Q206" s="183">
        <f t="shared" si="260"/>
        <v>0</v>
      </c>
      <c r="R206" s="183">
        <f t="shared" si="9"/>
        <v>0</v>
      </c>
      <c r="S206" s="183">
        <f t="shared" si="10"/>
        <v>0</v>
      </c>
      <c r="T206" s="183">
        <f t="shared" si="11"/>
        <v>0</v>
      </c>
      <c r="U206" s="186"/>
      <c r="V206" s="183">
        <f>IFERROR(__xludf.DUMMYFUNCTION("""COMPUTED_VALUE"""),0.0)</f>
        <v>0</v>
      </c>
      <c r="W206" s="183">
        <f>IFERROR(__xludf.DUMMYFUNCTION("""COMPUTED_VALUE"""),0.0)</f>
        <v>0</v>
      </c>
      <c r="X206" s="183">
        <f>IFERROR(__xludf.DUMMYFUNCTION("""COMPUTED_VALUE"""),0.0)</f>
        <v>0</v>
      </c>
      <c r="Y206" s="183">
        <f>IFERROR(__xludf.DUMMYFUNCTION("""COMPUTED_VALUE"""),0.0)</f>
        <v>0</v>
      </c>
      <c r="Z206" s="183">
        <f t="shared" si="12"/>
        <v>0</v>
      </c>
      <c r="AA206" s="183">
        <f t="shared" si="13"/>
        <v>0</v>
      </c>
      <c r="AB206" s="183">
        <f t="shared" si="14"/>
        <v>0</v>
      </c>
    </row>
    <row r="207" ht="14.25" customHeight="1">
      <c r="A207" s="175"/>
      <c r="B207" s="181" t="s">
        <v>942</v>
      </c>
      <c r="D207" s="209" t="s">
        <v>943</v>
      </c>
      <c r="E207" s="183">
        <f>SUMIFS('DB BTL'!$J:$J,'DB BTL'!$E:$E,$B207,'DB BTL'!$A:$A,$D$4,'DB BTL'!$B:$B,$E$3,'DB BTL'!$D:$D,AA$1)</f>
        <v>0</v>
      </c>
      <c r="F207" s="183">
        <f>SUMIFS('DB BTL'!$J:$J,'DB BTL'!$E:$E,$B207,'DB BTL'!$A:$A,$D$4,'DB BTL'!$B:$B,$E$3,'DB BTL'!$D:$D,AA$2)</f>
        <v>0</v>
      </c>
      <c r="G207" s="184">
        <f>IFERROR(HLOOKUP($E$3,'Tahun Lalu'!$B$5:$V$158,MATCH(B207,'Tahun Lalu'!$B$5:$B$158,0),0),0)</f>
        <v>0</v>
      </c>
      <c r="H207" s="184">
        <v>0.0</v>
      </c>
      <c r="I207" s="184">
        <v>0.0</v>
      </c>
      <c r="J207" s="183">
        <f t="shared" si="3"/>
        <v>0</v>
      </c>
      <c r="K207" s="183">
        <f t="shared" si="4"/>
        <v>0</v>
      </c>
      <c r="L207" s="183">
        <f t="shared" si="5"/>
        <v>0</v>
      </c>
      <c r="M207" s="183">
        <f t="shared" si="6"/>
        <v>0</v>
      </c>
      <c r="N207" s="183">
        <f t="shared" si="246"/>
        <v>0</v>
      </c>
      <c r="O207" s="183">
        <f t="shared" ref="O207:Q207" si="261">G207+W207</f>
        <v>0</v>
      </c>
      <c r="P207" s="183">
        <f t="shared" si="261"/>
        <v>0</v>
      </c>
      <c r="Q207" s="183">
        <f t="shared" si="261"/>
        <v>0</v>
      </c>
      <c r="R207" s="183">
        <f t="shared" si="9"/>
        <v>0</v>
      </c>
      <c r="S207" s="183">
        <f t="shared" si="10"/>
        <v>0</v>
      </c>
      <c r="T207" s="183">
        <f t="shared" si="11"/>
        <v>0</v>
      </c>
      <c r="U207" s="186"/>
      <c r="V207" s="183">
        <f>IFERROR(__xludf.DUMMYFUNCTION("""COMPUTED_VALUE"""),0.0)</f>
        <v>0</v>
      </c>
      <c r="W207" s="183">
        <f>IFERROR(__xludf.DUMMYFUNCTION("""COMPUTED_VALUE"""),0.0)</f>
        <v>0</v>
      </c>
      <c r="X207" s="183">
        <f>IFERROR(__xludf.DUMMYFUNCTION("""COMPUTED_VALUE"""),0.0)</f>
        <v>0</v>
      </c>
      <c r="Y207" s="183">
        <f>IFERROR(__xludf.DUMMYFUNCTION("""COMPUTED_VALUE"""),0.0)</f>
        <v>0</v>
      </c>
      <c r="Z207" s="183">
        <f t="shared" si="12"/>
        <v>0</v>
      </c>
      <c r="AA207" s="183">
        <f t="shared" si="13"/>
        <v>0</v>
      </c>
      <c r="AB207" s="183">
        <f t="shared" si="14"/>
        <v>0</v>
      </c>
    </row>
    <row r="208" ht="14.25" customHeight="1">
      <c r="A208" s="175"/>
      <c r="B208" s="221"/>
      <c r="C208" s="222"/>
      <c r="D208" s="233" t="s">
        <v>944</v>
      </c>
      <c r="E208" s="224">
        <f t="shared" ref="E208:I208" si="262">sum(E191:E207)</f>
        <v>0</v>
      </c>
      <c r="F208" s="224">
        <f t="shared" si="262"/>
        <v>0</v>
      </c>
      <c r="G208" s="224">
        <f t="shared" si="262"/>
        <v>0</v>
      </c>
      <c r="H208" s="224">
        <f t="shared" si="262"/>
        <v>0</v>
      </c>
      <c r="I208" s="224">
        <f t="shared" si="262"/>
        <v>0</v>
      </c>
      <c r="J208" s="224">
        <f t="shared" si="3"/>
        <v>0</v>
      </c>
      <c r="K208" s="224">
        <f t="shared" si="4"/>
        <v>0</v>
      </c>
      <c r="L208" s="224">
        <f t="shared" si="5"/>
        <v>0</v>
      </c>
      <c r="M208" s="224">
        <f t="shared" si="6"/>
        <v>0</v>
      </c>
      <c r="N208" s="224">
        <f t="shared" ref="N208:Q208" si="263">sum(N191:N207)</f>
        <v>0</v>
      </c>
      <c r="O208" s="224">
        <f t="shared" si="263"/>
        <v>0</v>
      </c>
      <c r="P208" s="224">
        <f t="shared" si="263"/>
        <v>0</v>
      </c>
      <c r="Q208" s="224">
        <f t="shared" si="263"/>
        <v>0</v>
      </c>
      <c r="R208" s="224">
        <f t="shared" si="9"/>
        <v>0</v>
      </c>
      <c r="S208" s="224">
        <f t="shared" si="10"/>
        <v>0</v>
      </c>
      <c r="T208" s="224">
        <f t="shared" si="11"/>
        <v>0</v>
      </c>
      <c r="U208" s="225"/>
      <c r="V208" s="224">
        <f>IFERROR(__xludf.DUMMYFUNCTION("""COMPUTED_VALUE"""),0.0)</f>
        <v>0</v>
      </c>
      <c r="W208" s="224">
        <f>IFERROR(__xludf.DUMMYFUNCTION("""COMPUTED_VALUE"""),0.0)</f>
        <v>0</v>
      </c>
      <c r="X208" s="224">
        <f>IFERROR(__xludf.DUMMYFUNCTION("""COMPUTED_VALUE"""),0.0)</f>
        <v>0</v>
      </c>
      <c r="Y208" s="224">
        <f>IFERROR(__xludf.DUMMYFUNCTION("""COMPUTED_VALUE"""),0.0)</f>
        <v>0</v>
      </c>
      <c r="Z208" s="224">
        <f t="shared" si="12"/>
        <v>0</v>
      </c>
      <c r="AA208" s="224">
        <f t="shared" si="13"/>
        <v>0</v>
      </c>
      <c r="AB208" s="224">
        <f t="shared" si="14"/>
        <v>0</v>
      </c>
    </row>
  </sheetData>
  <mergeCells count="31">
    <mergeCell ref="H6:H8"/>
    <mergeCell ref="I6:I8"/>
    <mergeCell ref="B190:D190"/>
    <mergeCell ref="J6:M6"/>
    <mergeCell ref="N6:N8"/>
    <mergeCell ref="J7:J8"/>
    <mergeCell ref="K7:K8"/>
    <mergeCell ref="L7:L8"/>
    <mergeCell ref="M7:M8"/>
    <mergeCell ref="N5:T5"/>
    <mergeCell ref="R6:T6"/>
    <mergeCell ref="B5:B8"/>
    <mergeCell ref="C5:D8"/>
    <mergeCell ref="E5:M5"/>
    <mergeCell ref="E6:E8"/>
    <mergeCell ref="F6:F8"/>
    <mergeCell ref="G6:G8"/>
    <mergeCell ref="Q6:Q8"/>
    <mergeCell ref="R7:R8"/>
    <mergeCell ref="S7:S8"/>
    <mergeCell ref="Y6:Y8"/>
    <mergeCell ref="Z7:Z8"/>
    <mergeCell ref="AA7:AA8"/>
    <mergeCell ref="AB7:AB8"/>
    <mergeCell ref="O6:O8"/>
    <mergeCell ref="P6:P8"/>
    <mergeCell ref="V6:V8"/>
    <mergeCell ref="W6:W8"/>
    <mergeCell ref="X6:X8"/>
    <mergeCell ref="Z6:AB6"/>
    <mergeCell ref="T7:T8"/>
  </mergeCells>
  <dataValidations>
    <dataValidation type="list" allowBlank="1" showErrorMessage="1" sqref="D3">
      <formula1>Plant!$A$2:$A$28</formula1>
    </dataValidation>
  </dataValidations>
  <printOptions/>
  <pageMargins bottom="0.2" footer="0.0" header="0.0" left="0.8" right="0.5" top="0.1"/>
  <pageSetup paperSize="9" orientation="landscape"/>
  <rowBreaks count="4" manualBreakCount="4">
    <brk id="131" man="1"/>
    <brk id="165" man="1"/>
    <brk id="55" man="1"/>
    <brk id="94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4.43" defaultRowHeight="15.0"/>
  <cols>
    <col customWidth="1" min="1" max="1" width="3.0"/>
    <col customWidth="1" min="2" max="2" width="8.43"/>
    <col customWidth="1" min="3" max="3" width="9.0"/>
    <col customWidth="1" min="4" max="4" width="44.14"/>
    <col customWidth="1" min="5" max="6" width="13.29"/>
    <col customWidth="1" min="7" max="9" width="12.29"/>
    <col customWidth="1" min="10" max="10" width="7.71"/>
    <col customWidth="1" min="11" max="11" width="7.0"/>
    <col customWidth="1" min="12" max="12" width="7.14"/>
    <col customWidth="1" min="13" max="13" width="7.0"/>
    <col customWidth="1" min="14" max="14" width="13.29"/>
    <col customWidth="1" min="15" max="16" width="11.86"/>
    <col customWidth="1" min="17" max="17" width="12.29"/>
    <col customWidth="1" min="18" max="18" width="7.71"/>
    <col customWidth="1" min="19" max="19" width="6.43"/>
    <col customWidth="1" min="20" max="20" width="7.29"/>
    <col customWidth="1" min="21" max="21" width="4.71"/>
    <col customWidth="1" min="22" max="22" width="13.29"/>
    <col customWidth="1" min="23" max="25" width="11.86"/>
    <col customWidth="1" min="26" max="26" width="15.29"/>
    <col customWidth="1" min="27" max="28" width="4.71"/>
  </cols>
  <sheetData>
    <row r="1">
      <c r="A1" s="133"/>
      <c r="B1" s="134" t="s">
        <v>723</v>
      </c>
      <c r="C1" s="135"/>
      <c r="D1" s="136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7" t="s">
        <v>724</v>
      </c>
      <c r="AA1" s="138">
        <f>'Balin-A'!AA1</f>
        <v>5</v>
      </c>
      <c r="AB1" s="133"/>
    </row>
    <row r="2">
      <c r="A2" s="133"/>
      <c r="B2" s="134" t="s">
        <v>725</v>
      </c>
      <c r="C2" s="135"/>
      <c r="D2" s="136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7" t="s">
        <v>726</v>
      </c>
      <c r="AA2" s="138">
        <f>'Balin-A'!AA2</f>
        <v>4</v>
      </c>
      <c r="AB2" s="133"/>
    </row>
    <row r="3">
      <c r="A3" s="133"/>
      <c r="B3" s="134" t="s">
        <v>727</v>
      </c>
      <c r="C3" s="135"/>
      <c r="D3" s="139" t="s">
        <v>686</v>
      </c>
      <c r="E3" s="140" t="str">
        <f>VLOOKUP(D3,Plant!$A$2:$B$27,2,false)</f>
        <v>5E12</v>
      </c>
      <c r="F3" s="133"/>
      <c r="G3" s="133"/>
      <c r="H3" s="133"/>
      <c r="I3" s="133"/>
      <c r="J3" s="133"/>
      <c r="K3" s="133"/>
      <c r="L3" s="133"/>
      <c r="M3" s="133"/>
      <c r="N3" s="141"/>
      <c r="O3" s="133"/>
      <c r="P3" s="133"/>
      <c r="Q3" s="133"/>
      <c r="R3" s="133"/>
      <c r="S3" s="133"/>
      <c r="T3" s="133"/>
      <c r="U3" s="133"/>
      <c r="V3" s="141"/>
      <c r="W3" s="133"/>
      <c r="X3" s="133"/>
      <c r="Y3" s="133"/>
      <c r="Z3" s="133"/>
      <c r="AA3" s="133"/>
      <c r="AB3" s="133"/>
    </row>
    <row r="4" ht="14.25" customHeight="1">
      <c r="A4" s="133"/>
      <c r="B4" s="142" t="s">
        <v>728</v>
      </c>
      <c r="C4" s="143"/>
      <c r="D4" s="142" t="s">
        <v>11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44" t="s">
        <v>729</v>
      </c>
    </row>
    <row r="5" ht="14.25" customHeight="1">
      <c r="A5" s="145"/>
      <c r="B5" s="146" t="s">
        <v>730</v>
      </c>
      <c r="C5" s="147" t="s">
        <v>731</v>
      </c>
      <c r="D5" s="148"/>
      <c r="E5" s="149" t="str">
        <f>CONCATENATE("Bulan ",'Tahun Lalu'!D3," 2026")</f>
        <v>Bulan Mei 2026</v>
      </c>
      <c r="F5" s="150"/>
      <c r="G5" s="150"/>
      <c r="H5" s="150"/>
      <c r="I5" s="150"/>
      <c r="J5" s="150"/>
      <c r="K5" s="150"/>
      <c r="L5" s="150"/>
      <c r="M5" s="150"/>
      <c r="N5" s="151" t="str">
        <f>CONCATENATE("sd ",E5)</f>
        <v>sd Bulan Mei 2026</v>
      </c>
      <c r="O5" s="150"/>
      <c r="P5" s="150"/>
      <c r="Q5" s="150"/>
      <c r="R5" s="150"/>
      <c r="S5" s="150"/>
      <c r="T5" s="152"/>
      <c r="U5" s="153"/>
      <c r="V5" s="154"/>
      <c r="W5" s="155"/>
      <c r="X5" s="155"/>
      <c r="Y5" s="155"/>
      <c r="Z5" s="155"/>
      <c r="AA5" s="155"/>
      <c r="AB5" s="155"/>
    </row>
    <row r="6" ht="14.25" customHeight="1">
      <c r="A6" s="145"/>
      <c r="B6" s="156"/>
      <c r="C6" s="157"/>
      <c r="D6" s="158"/>
      <c r="E6" s="159" t="s">
        <v>732</v>
      </c>
      <c r="F6" s="159" t="s">
        <v>733</v>
      </c>
      <c r="G6" s="159" t="s">
        <v>734</v>
      </c>
      <c r="H6" s="159" t="s">
        <v>634</v>
      </c>
      <c r="I6" s="159" t="s">
        <v>635</v>
      </c>
      <c r="J6" s="160" t="s">
        <v>735</v>
      </c>
      <c r="K6" s="75"/>
      <c r="L6" s="75"/>
      <c r="M6" s="161"/>
      <c r="N6" s="162" t="s">
        <v>736</v>
      </c>
      <c r="O6" s="162" t="s">
        <v>734</v>
      </c>
      <c r="P6" s="162" t="s">
        <v>634</v>
      </c>
      <c r="Q6" s="162" t="s">
        <v>635</v>
      </c>
      <c r="R6" s="163" t="s">
        <v>735</v>
      </c>
      <c r="S6" s="75"/>
      <c r="T6" s="161"/>
      <c r="U6" s="164"/>
      <c r="V6" s="165" t="s">
        <v>736</v>
      </c>
      <c r="W6" s="165" t="s">
        <v>734</v>
      </c>
      <c r="X6" s="165" t="s">
        <v>634</v>
      </c>
      <c r="Y6" s="165" t="s">
        <v>635</v>
      </c>
      <c r="Z6" s="166" t="s">
        <v>735</v>
      </c>
      <c r="AA6" s="75"/>
      <c r="AB6" s="161"/>
    </row>
    <row r="7" ht="14.25" customHeight="1">
      <c r="A7" s="145"/>
      <c r="B7" s="156"/>
      <c r="C7" s="157"/>
      <c r="D7" s="158"/>
      <c r="E7" s="167"/>
      <c r="F7" s="167"/>
      <c r="G7" s="167"/>
      <c r="H7" s="167"/>
      <c r="I7" s="167"/>
      <c r="J7" s="168" t="str">
        <f t="shared" ref="J7:M7" si="1">F6</f>
        <v>Real Bulan Lalu</v>
      </c>
      <c r="K7" s="168" t="str">
        <f t="shared" si="1"/>
        <v>Real Tahun Lalu</v>
      </c>
      <c r="L7" s="168" t="str">
        <f t="shared" si="1"/>
        <v>RKO</v>
      </c>
      <c r="M7" s="168" t="str">
        <f t="shared" si="1"/>
        <v>RKAP</v>
      </c>
      <c r="N7" s="167"/>
      <c r="O7" s="167"/>
      <c r="P7" s="167"/>
      <c r="Q7" s="167"/>
      <c r="R7" s="169" t="str">
        <f>$O$6</f>
        <v>Real Tahun Lalu</v>
      </c>
      <c r="S7" s="169" t="str">
        <f>$P$6</f>
        <v>RKO</v>
      </c>
      <c r="T7" s="169" t="str">
        <f>$Q$6</f>
        <v>RKAP</v>
      </c>
      <c r="U7" s="164"/>
      <c r="V7" s="167"/>
      <c r="W7" s="167"/>
      <c r="X7" s="167"/>
      <c r="Y7" s="167"/>
      <c r="Z7" s="170" t="str">
        <f>$O$6</f>
        <v>Real Tahun Lalu</v>
      </c>
      <c r="AA7" s="170" t="str">
        <f>$P$6</f>
        <v>RKO</v>
      </c>
      <c r="AB7" s="170" t="str">
        <f>$Q$6</f>
        <v>RKAP</v>
      </c>
    </row>
    <row r="8" ht="14.25" customHeight="1">
      <c r="A8" s="145"/>
      <c r="B8" s="171"/>
      <c r="C8" s="172"/>
      <c r="D8" s="173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64"/>
      <c r="V8" s="174"/>
      <c r="W8" s="174"/>
      <c r="X8" s="174"/>
      <c r="Y8" s="174"/>
      <c r="Z8" s="174"/>
      <c r="AA8" s="174"/>
      <c r="AB8" s="174"/>
    </row>
    <row r="9" ht="14.25" customHeight="1">
      <c r="A9" s="175"/>
      <c r="B9" s="176"/>
      <c r="C9" s="177"/>
      <c r="D9" s="178" t="s">
        <v>737</v>
      </c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5"/>
      <c r="V9" s="179"/>
      <c r="W9" s="179"/>
      <c r="X9" s="179"/>
      <c r="Y9" s="179"/>
      <c r="Z9" s="179"/>
      <c r="AA9" s="179"/>
      <c r="AB9" s="179"/>
    </row>
    <row r="10" ht="14.25" customHeight="1">
      <c r="A10" s="175"/>
      <c r="B10" s="180" t="s">
        <v>22</v>
      </c>
      <c r="C10" s="181" t="str">
        <f>CONCATENATE(if(D4="KS","SP","SR"),"01")</f>
        <v>SR01</v>
      </c>
      <c r="D10" s="182" t="s">
        <v>738</v>
      </c>
      <c r="E10" s="183">
        <f>SUMIFS('DB BTL'!$J:$J,'DB BTL'!$E:$E,$C10,'DB BTL'!$A:$A,$D$4,'DB BTL'!$B:$B,$E$3,'DB BTL'!$D:$D,AA$1)</f>
        <v>0</v>
      </c>
      <c r="F10" s="183">
        <f>SUMIFS('DB WBS'!$J:$J,'DB WBS'!$A:$A,$D$4,'DB WBS'!$D:$D,AA$2,'DB WBS'!$B:$B,$E$3,'DB WBS'!$E:$E,$B10)</f>
        <v>0</v>
      </c>
      <c r="G10" s="184">
        <f>IFERROR(HLOOKUP($E$3,'Tahun Lalu'!$B$5:$V$158,MATCH(B10,'Tahun Lalu'!$B$5:$B$158,0),0),0)</f>
        <v>0</v>
      </c>
      <c r="H10" s="184">
        <v>0.0</v>
      </c>
      <c r="I10" s="184">
        <v>0.0</v>
      </c>
      <c r="J10" s="185">
        <f t="shared" ref="J10:J208" si="3">IFERROR(E10/F10*100,0)</f>
        <v>0</v>
      </c>
      <c r="K10" s="183">
        <f t="shared" ref="K10:K208" si="4">IFERROR(E10/G10*100,0)</f>
        <v>0</v>
      </c>
      <c r="L10" s="183">
        <f t="shared" ref="L10:L208" si="5">IFERROR(E10/H10*100,0)</f>
        <v>0</v>
      </c>
      <c r="M10" s="183">
        <f t="shared" ref="M10:M208" si="6">IFERROR(E10/I10*100,0)</f>
        <v>0</v>
      </c>
      <c r="N10" s="183">
        <f t="shared" ref="N10:N13" si="7">E10+V10</f>
        <v>0</v>
      </c>
      <c r="O10" s="183">
        <f t="shared" ref="O10:Q10" si="2">G10+W10</f>
        <v>0</v>
      </c>
      <c r="P10" s="183">
        <f t="shared" si="2"/>
        <v>0</v>
      </c>
      <c r="Q10" s="183">
        <f t="shared" si="2"/>
        <v>0</v>
      </c>
      <c r="R10" s="183">
        <f t="shared" ref="R10:R208" si="9">IFERROR(N10/O10*100,0)</f>
        <v>0</v>
      </c>
      <c r="S10" s="183">
        <f t="shared" ref="S10:S208" si="10">IFERROR(N10/P10*100,0)</f>
        <v>0</v>
      </c>
      <c r="T10" s="183">
        <f t="shared" ref="T10:T208" si="11">IFERROR(N10/Q10*100,0)</f>
        <v>0</v>
      </c>
      <c r="U10" s="186"/>
      <c r="V10" s="183">
        <f>IFERROR(__xludf.DUMMYFUNCTION("IFERROR(IMPORTRANGE(Link!B1,CONCATENATE(VLOOKUP($E$3,Link!$A$30:$B$39,2,false),""!N10:Q236"")),0)"),0.0)</f>
        <v>0</v>
      </c>
      <c r="W10" s="183">
        <f>IFERROR(__xludf.DUMMYFUNCTION("""COMPUTED_VALUE"""),0.0)</f>
        <v>0</v>
      </c>
      <c r="X10" s="183">
        <f>IFERROR(__xludf.DUMMYFUNCTION("""COMPUTED_VALUE"""),0.0)</f>
        <v>0</v>
      </c>
      <c r="Y10" s="183">
        <f>IFERROR(__xludf.DUMMYFUNCTION("""COMPUTED_VALUE"""),0.0)</f>
        <v>0</v>
      </c>
      <c r="Z10" s="183">
        <f t="shared" ref="Z10:Z208" si="12">IFERROR(V10/W10*100,0)</f>
        <v>0</v>
      </c>
      <c r="AA10" s="183">
        <f t="shared" ref="AA10:AA208" si="13">IFERROR(V10/X10*100,0)</f>
        <v>0</v>
      </c>
      <c r="AB10" s="183">
        <f t="shared" ref="AB10:AB208" si="14">IFERROR(V10/Y10*100,0)</f>
        <v>0</v>
      </c>
    </row>
    <row r="11" ht="14.25" customHeight="1">
      <c r="A11" s="175"/>
      <c r="B11" s="187" t="s">
        <v>739</v>
      </c>
      <c r="C11" s="181"/>
      <c r="D11" s="182" t="s">
        <v>740</v>
      </c>
      <c r="E11" s="183">
        <f>SUMIFS('DB WBS'!$J:$J,'DB WBS'!$A:$A,$D$4,'DB WBS'!$D:$D,AA$1,'DB WBS'!$B:$B,$E$3,'DB WBS'!$E:$E,$B11)</f>
        <v>0</v>
      </c>
      <c r="F11" s="183">
        <f>SUMIFS('DB WBS'!$J:$J,'DB WBS'!$A:$A,$D$4,'DB WBS'!$D:$D,AA$2,'DB WBS'!$B:$B,$E$3,'DB WBS'!$E:$E,$B11)</f>
        <v>0</v>
      </c>
      <c r="G11" s="184">
        <f>IFERROR(HLOOKUP($E$3,'Tahun Lalu'!$B$5:$V$158,MATCH(B11,'Tahun Lalu'!$B$5:$B$158,0),0),0)</f>
        <v>0</v>
      </c>
      <c r="H11" s="184">
        <v>0.0</v>
      </c>
      <c r="I11" s="184">
        <v>0.0</v>
      </c>
      <c r="J11" s="183">
        <f t="shared" si="3"/>
        <v>0</v>
      </c>
      <c r="K11" s="183">
        <f t="shared" si="4"/>
        <v>0</v>
      </c>
      <c r="L11" s="183">
        <f t="shared" si="5"/>
        <v>0</v>
      </c>
      <c r="M11" s="183">
        <f t="shared" si="6"/>
        <v>0</v>
      </c>
      <c r="N11" s="183">
        <f t="shared" si="7"/>
        <v>0</v>
      </c>
      <c r="O11" s="183">
        <f t="shared" ref="O11:Q11" si="8">G11+W11</f>
        <v>0</v>
      </c>
      <c r="P11" s="183">
        <f t="shared" si="8"/>
        <v>0</v>
      </c>
      <c r="Q11" s="183">
        <f t="shared" si="8"/>
        <v>0</v>
      </c>
      <c r="R11" s="183">
        <f t="shared" si="9"/>
        <v>0</v>
      </c>
      <c r="S11" s="183">
        <f t="shared" si="10"/>
        <v>0</v>
      </c>
      <c r="T11" s="183">
        <f t="shared" si="11"/>
        <v>0</v>
      </c>
      <c r="U11" s="186"/>
      <c r="V11" s="183">
        <f>IFERROR(__xludf.DUMMYFUNCTION("""COMPUTED_VALUE"""),0.0)</f>
        <v>0</v>
      </c>
      <c r="W11" s="183">
        <f>IFERROR(__xludf.DUMMYFUNCTION("""COMPUTED_VALUE"""),0.0)</f>
        <v>0</v>
      </c>
      <c r="X11" s="183">
        <f>IFERROR(__xludf.DUMMYFUNCTION("""COMPUTED_VALUE"""),0.0)</f>
        <v>0</v>
      </c>
      <c r="Y11" s="183">
        <f>IFERROR(__xludf.DUMMYFUNCTION("""COMPUTED_VALUE"""),0.0)</f>
        <v>0</v>
      </c>
      <c r="Z11" s="183">
        <f t="shared" si="12"/>
        <v>0</v>
      </c>
      <c r="AA11" s="183">
        <f t="shared" si="13"/>
        <v>0</v>
      </c>
      <c r="AB11" s="183">
        <f t="shared" si="14"/>
        <v>0</v>
      </c>
    </row>
    <row r="12" ht="14.25" customHeight="1">
      <c r="A12" s="175"/>
      <c r="B12" s="180"/>
      <c r="C12" s="177"/>
      <c r="D12" s="182" t="s">
        <v>741</v>
      </c>
      <c r="E12" s="183">
        <f>SUMIFS('DB WBS'!$J:$J,'DB WBS'!$A:$A,$D$4,'DB WBS'!$D:$D,AA$1,'DB WBS'!$B:$B,$E$3,'DB WBS'!$E:$E,$B12)</f>
        <v>0</v>
      </c>
      <c r="F12" s="183">
        <f>SUMIFS('DB WBS'!$J:$J,'DB WBS'!$A:$A,$D$4,'DB WBS'!$D:$D,AA$2,'DB WBS'!$B:$B,$E$3,'DB WBS'!$E:$E,$B12)</f>
        <v>0</v>
      </c>
      <c r="G12" s="184">
        <f>IFERROR(HLOOKUP($E$3,'Tahun Lalu'!$B$5:$V$158,MATCH(B12,'Tahun Lalu'!$B$5:$B$158,0),0),0)</f>
        <v>0</v>
      </c>
      <c r="H12" s="184">
        <v>0.0</v>
      </c>
      <c r="I12" s="184">
        <v>0.0</v>
      </c>
      <c r="J12" s="183">
        <f t="shared" si="3"/>
        <v>0</v>
      </c>
      <c r="K12" s="183">
        <f t="shared" si="4"/>
        <v>0</v>
      </c>
      <c r="L12" s="188">
        <f t="shared" si="5"/>
        <v>0</v>
      </c>
      <c r="M12" s="188">
        <f t="shared" si="6"/>
        <v>0</v>
      </c>
      <c r="N12" s="183">
        <f t="shared" si="7"/>
        <v>0</v>
      </c>
      <c r="O12" s="183">
        <f t="shared" ref="O12:Q12" si="15">G12+W12</f>
        <v>0</v>
      </c>
      <c r="P12" s="183">
        <f t="shared" si="15"/>
        <v>0</v>
      </c>
      <c r="Q12" s="183">
        <f t="shared" si="15"/>
        <v>0</v>
      </c>
      <c r="R12" s="183">
        <f t="shared" si="9"/>
        <v>0</v>
      </c>
      <c r="S12" s="183">
        <f t="shared" si="10"/>
        <v>0</v>
      </c>
      <c r="T12" s="188">
        <f t="shared" si="11"/>
        <v>0</v>
      </c>
      <c r="U12" s="189"/>
      <c r="V12" s="183">
        <f>IFERROR(__xludf.DUMMYFUNCTION("""COMPUTED_VALUE"""),0.0)</f>
        <v>0</v>
      </c>
      <c r="W12" s="183">
        <f>IFERROR(__xludf.DUMMYFUNCTION("""COMPUTED_VALUE"""),0.0)</f>
        <v>0</v>
      </c>
      <c r="X12" s="188">
        <f>IFERROR(__xludf.DUMMYFUNCTION("""COMPUTED_VALUE"""),0.0)</f>
        <v>0</v>
      </c>
      <c r="Y12" s="188">
        <f>IFERROR(__xludf.DUMMYFUNCTION("""COMPUTED_VALUE"""),0.0)</f>
        <v>0</v>
      </c>
      <c r="Z12" s="183">
        <f t="shared" si="12"/>
        <v>0</v>
      </c>
      <c r="AA12" s="183">
        <f t="shared" si="13"/>
        <v>0</v>
      </c>
      <c r="AB12" s="188">
        <f t="shared" si="14"/>
        <v>0</v>
      </c>
    </row>
    <row r="13" ht="14.25" customHeight="1">
      <c r="A13" s="175"/>
      <c r="B13" s="180"/>
      <c r="C13" s="177"/>
      <c r="D13" s="182" t="s">
        <v>742</v>
      </c>
      <c r="E13" s="183">
        <f>SUMIFS('DB WBS'!$J:$J,'DB WBS'!$A:$A,$D$4,'DB WBS'!$D:$D,AA$1,'DB WBS'!$B:$B,$E$3,'DB WBS'!$E:$E,$B13)</f>
        <v>0</v>
      </c>
      <c r="F13" s="183">
        <f>SUMIFS('DB WBS'!$J:$J,'DB WBS'!$A:$A,$D$4,'DB WBS'!$D:$D,AA$2,'DB WBS'!$B:$B,$E$3,'DB WBS'!$E:$E,$B13)</f>
        <v>0</v>
      </c>
      <c r="G13" s="184">
        <f>IFERROR(HLOOKUP($E$3,'Tahun Lalu'!$B$5:$V$158,MATCH(B13,'Tahun Lalu'!$B$5:$B$158,0),0),0)</f>
        <v>0</v>
      </c>
      <c r="H13" s="184">
        <v>0.0</v>
      </c>
      <c r="I13" s="184">
        <v>0.0</v>
      </c>
      <c r="J13" s="183">
        <f t="shared" si="3"/>
        <v>0</v>
      </c>
      <c r="K13" s="183">
        <f t="shared" si="4"/>
        <v>0</v>
      </c>
      <c r="L13" s="188">
        <f t="shared" si="5"/>
        <v>0</v>
      </c>
      <c r="M13" s="188">
        <f t="shared" si="6"/>
        <v>0</v>
      </c>
      <c r="N13" s="183">
        <f t="shared" si="7"/>
        <v>0</v>
      </c>
      <c r="O13" s="183">
        <f t="shared" ref="O13:Q13" si="16">G13+W13</f>
        <v>0</v>
      </c>
      <c r="P13" s="183">
        <f t="shared" si="16"/>
        <v>0</v>
      </c>
      <c r="Q13" s="183">
        <f t="shared" si="16"/>
        <v>0</v>
      </c>
      <c r="R13" s="183">
        <f t="shared" si="9"/>
        <v>0</v>
      </c>
      <c r="S13" s="183">
        <f t="shared" si="10"/>
        <v>0</v>
      </c>
      <c r="T13" s="188">
        <f t="shared" si="11"/>
        <v>0</v>
      </c>
      <c r="U13" s="189"/>
      <c r="V13" s="183">
        <f>IFERROR(__xludf.DUMMYFUNCTION("""COMPUTED_VALUE"""),0.0)</f>
        <v>0</v>
      </c>
      <c r="W13" s="183">
        <f>IFERROR(__xludf.DUMMYFUNCTION("""COMPUTED_VALUE"""),0.0)</f>
        <v>0</v>
      </c>
      <c r="X13" s="188">
        <f>IFERROR(__xludf.DUMMYFUNCTION("""COMPUTED_VALUE"""),0.0)</f>
        <v>0</v>
      </c>
      <c r="Y13" s="188">
        <f>IFERROR(__xludf.DUMMYFUNCTION("""COMPUTED_VALUE"""),0.0)</f>
        <v>0</v>
      </c>
      <c r="Z13" s="183">
        <f t="shared" si="12"/>
        <v>0</v>
      </c>
      <c r="AA13" s="183">
        <f t="shared" si="13"/>
        <v>0</v>
      </c>
      <c r="AB13" s="188">
        <f t="shared" si="14"/>
        <v>0</v>
      </c>
    </row>
    <row r="14" ht="14.25" customHeight="1">
      <c r="A14" s="190"/>
      <c r="B14" s="191" t="s">
        <v>743</v>
      </c>
      <c r="C14" s="192"/>
      <c r="D14" s="193"/>
      <c r="E14" s="194">
        <f t="shared" ref="E14:I14" si="17">SUM(E10:E13)</f>
        <v>0</v>
      </c>
      <c r="F14" s="194">
        <f t="shared" si="17"/>
        <v>0</v>
      </c>
      <c r="G14" s="194">
        <f t="shared" si="17"/>
        <v>0</v>
      </c>
      <c r="H14" s="194">
        <f t="shared" si="17"/>
        <v>0</v>
      </c>
      <c r="I14" s="194">
        <f t="shared" si="17"/>
        <v>0</v>
      </c>
      <c r="J14" s="194">
        <f t="shared" si="3"/>
        <v>0</v>
      </c>
      <c r="K14" s="194">
        <f t="shared" si="4"/>
        <v>0</v>
      </c>
      <c r="L14" s="194">
        <f t="shared" si="5"/>
        <v>0</v>
      </c>
      <c r="M14" s="194">
        <f t="shared" si="6"/>
        <v>0</v>
      </c>
      <c r="N14" s="194">
        <f t="shared" ref="N14:Q14" si="18">SUM(N10:N13)</f>
        <v>0</v>
      </c>
      <c r="O14" s="194">
        <f t="shared" si="18"/>
        <v>0</v>
      </c>
      <c r="P14" s="194">
        <f t="shared" si="18"/>
        <v>0</v>
      </c>
      <c r="Q14" s="194">
        <f t="shared" si="18"/>
        <v>0</v>
      </c>
      <c r="R14" s="194">
        <f t="shared" si="9"/>
        <v>0</v>
      </c>
      <c r="S14" s="194">
        <f t="shared" si="10"/>
        <v>0</v>
      </c>
      <c r="T14" s="194">
        <f t="shared" si="11"/>
        <v>0</v>
      </c>
      <c r="U14" s="195"/>
      <c r="V14" s="194">
        <f>IFERROR(__xludf.DUMMYFUNCTION("""COMPUTED_VALUE"""),0.0)</f>
        <v>0</v>
      </c>
      <c r="W14" s="194">
        <f>IFERROR(__xludf.DUMMYFUNCTION("""COMPUTED_VALUE"""),0.0)</f>
        <v>0</v>
      </c>
      <c r="X14" s="194">
        <f>IFERROR(__xludf.DUMMYFUNCTION("""COMPUTED_VALUE"""),0.0)</f>
        <v>0</v>
      </c>
      <c r="Y14" s="194">
        <f>IFERROR(__xludf.DUMMYFUNCTION("""COMPUTED_VALUE"""),0.0)</f>
        <v>0</v>
      </c>
      <c r="Z14" s="194">
        <f t="shared" si="12"/>
        <v>0</v>
      </c>
      <c r="AA14" s="194">
        <f t="shared" si="13"/>
        <v>0</v>
      </c>
      <c r="AB14" s="194">
        <f t="shared" si="14"/>
        <v>0</v>
      </c>
    </row>
    <row r="15" ht="14.25" customHeight="1">
      <c r="A15" s="175"/>
      <c r="B15" s="196" t="s">
        <v>744</v>
      </c>
      <c r="C15" s="181"/>
      <c r="D15" s="197" t="s">
        <v>745</v>
      </c>
      <c r="E15" s="183">
        <f>SUMIFS('DB WBS'!$J:$J,'DB WBS'!$A:$A,$D$4,'DB WBS'!$D:$D,AA$1,'DB WBS'!$B:$B,$E$3,'DB WBS'!$E:$E,$B15)</f>
        <v>0</v>
      </c>
      <c r="F15" s="183">
        <f>SUMIFS('DB WBS'!$J:$J,'DB WBS'!$A:$A,$D$4,'DB WBS'!$D:$D,AA$2,'DB WBS'!$B:$B,$E$3,'DB WBS'!$E:$E,$B15)</f>
        <v>0</v>
      </c>
      <c r="G15" s="184">
        <f>IFERROR(HLOOKUP($E$3,'Tahun Lalu'!$B$5:$V$158,MATCH(B15,'Tahun Lalu'!$B$5:$B$158,0),0),0)</f>
        <v>0</v>
      </c>
      <c r="H15" s="184">
        <v>0.0</v>
      </c>
      <c r="I15" s="184">
        <v>0.0</v>
      </c>
      <c r="J15" s="183">
        <f t="shared" si="3"/>
        <v>0</v>
      </c>
      <c r="K15" s="183">
        <f t="shared" si="4"/>
        <v>0</v>
      </c>
      <c r="L15" s="183">
        <f t="shared" si="5"/>
        <v>0</v>
      </c>
      <c r="M15" s="183">
        <f t="shared" si="6"/>
        <v>0</v>
      </c>
      <c r="N15" s="183">
        <f t="shared" ref="N15:N31" si="20">E15+V15</f>
        <v>0</v>
      </c>
      <c r="O15" s="183">
        <f t="shared" ref="O15:Q15" si="19">G15+W15</f>
        <v>0</v>
      </c>
      <c r="P15" s="183">
        <f t="shared" si="19"/>
        <v>0</v>
      </c>
      <c r="Q15" s="183">
        <f t="shared" si="19"/>
        <v>0</v>
      </c>
      <c r="R15" s="183">
        <f t="shared" si="9"/>
        <v>0</v>
      </c>
      <c r="S15" s="183">
        <f t="shared" si="10"/>
        <v>0</v>
      </c>
      <c r="T15" s="183">
        <f t="shared" si="11"/>
        <v>0</v>
      </c>
      <c r="U15" s="186"/>
      <c r="V15" s="183">
        <f>IFERROR(__xludf.DUMMYFUNCTION("""COMPUTED_VALUE"""),0.0)</f>
        <v>0</v>
      </c>
      <c r="W15" s="183">
        <f>IFERROR(__xludf.DUMMYFUNCTION("""COMPUTED_VALUE"""),0.0)</f>
        <v>0</v>
      </c>
      <c r="X15" s="183">
        <f>IFERROR(__xludf.DUMMYFUNCTION("""COMPUTED_VALUE"""),0.0)</f>
        <v>0</v>
      </c>
      <c r="Y15" s="183">
        <f>IFERROR(__xludf.DUMMYFUNCTION("""COMPUTED_VALUE"""),0.0)</f>
        <v>0</v>
      </c>
      <c r="Z15" s="183">
        <f t="shared" si="12"/>
        <v>0</v>
      </c>
      <c r="AA15" s="183">
        <f t="shared" si="13"/>
        <v>0</v>
      </c>
      <c r="AB15" s="183">
        <f t="shared" si="14"/>
        <v>0</v>
      </c>
    </row>
    <row r="16" ht="14.25" customHeight="1">
      <c r="A16" s="175"/>
      <c r="B16" s="196" t="s">
        <v>746</v>
      </c>
      <c r="C16" s="181"/>
      <c r="D16" s="197" t="s">
        <v>747</v>
      </c>
      <c r="E16" s="183">
        <f>SUMIFS('DB WBS'!$J:$J,'DB WBS'!$A:$A,$D$4,'DB WBS'!$D:$D,AA$1,'DB WBS'!$B:$B,$E$3,'DB WBS'!$E:$E,$B16)</f>
        <v>0</v>
      </c>
      <c r="F16" s="183">
        <f>SUMIFS('DB WBS'!$J:$J,'DB WBS'!$A:$A,$D$4,'DB WBS'!$D:$D,AA$2,'DB WBS'!$B:$B,$E$3,'DB WBS'!$E:$E,$B16)</f>
        <v>0</v>
      </c>
      <c r="G16" s="184">
        <f>IFERROR(HLOOKUP($E$3,'Tahun Lalu'!$B$5:$V$158,MATCH(B16,'Tahun Lalu'!$B$5:$B$158,0),0),0)</f>
        <v>0</v>
      </c>
      <c r="H16" s="184">
        <v>0.0</v>
      </c>
      <c r="I16" s="184">
        <v>0.0</v>
      </c>
      <c r="J16" s="183">
        <f t="shared" si="3"/>
        <v>0</v>
      </c>
      <c r="K16" s="183">
        <f t="shared" si="4"/>
        <v>0</v>
      </c>
      <c r="L16" s="183">
        <f t="shared" si="5"/>
        <v>0</v>
      </c>
      <c r="M16" s="183">
        <f t="shared" si="6"/>
        <v>0</v>
      </c>
      <c r="N16" s="183">
        <f t="shared" si="20"/>
        <v>0</v>
      </c>
      <c r="O16" s="183">
        <f t="shared" ref="O16:Q16" si="21">G16+W16</f>
        <v>0</v>
      </c>
      <c r="P16" s="183">
        <f t="shared" si="21"/>
        <v>0</v>
      </c>
      <c r="Q16" s="183">
        <f t="shared" si="21"/>
        <v>0</v>
      </c>
      <c r="R16" s="183">
        <f t="shared" si="9"/>
        <v>0</v>
      </c>
      <c r="S16" s="183">
        <f t="shared" si="10"/>
        <v>0</v>
      </c>
      <c r="T16" s="183">
        <f t="shared" si="11"/>
        <v>0</v>
      </c>
      <c r="U16" s="186"/>
      <c r="V16" s="183">
        <f>IFERROR(__xludf.DUMMYFUNCTION("""COMPUTED_VALUE"""),0.0)</f>
        <v>0</v>
      </c>
      <c r="W16" s="183">
        <f>IFERROR(__xludf.DUMMYFUNCTION("""COMPUTED_VALUE"""),0.0)</f>
        <v>0</v>
      </c>
      <c r="X16" s="183">
        <f>IFERROR(__xludf.DUMMYFUNCTION("""COMPUTED_VALUE"""),0.0)</f>
        <v>0</v>
      </c>
      <c r="Y16" s="183">
        <f>IFERROR(__xludf.DUMMYFUNCTION("""COMPUTED_VALUE"""),0.0)</f>
        <v>0</v>
      </c>
      <c r="Z16" s="183">
        <f t="shared" si="12"/>
        <v>0</v>
      </c>
      <c r="AA16" s="183">
        <f t="shared" si="13"/>
        <v>0</v>
      </c>
      <c r="AB16" s="183">
        <f t="shared" si="14"/>
        <v>0</v>
      </c>
    </row>
    <row r="17" ht="14.25" customHeight="1">
      <c r="A17" s="175"/>
      <c r="B17" s="196" t="s">
        <v>748</v>
      </c>
      <c r="C17" s="181"/>
      <c r="D17" s="197" t="s">
        <v>749</v>
      </c>
      <c r="E17" s="183">
        <f>SUMIFS('DB WBS'!$J:$J,'DB WBS'!$A:$A,$D$4,'DB WBS'!$D:$D,AA$1,'DB WBS'!$B:$B,$E$3,'DB WBS'!$E:$E,$B17)</f>
        <v>0</v>
      </c>
      <c r="F17" s="183">
        <f>SUMIFS('DB WBS'!$J:$J,'DB WBS'!$A:$A,$D$4,'DB WBS'!$D:$D,AA$2,'DB WBS'!$B:$B,$E$3,'DB WBS'!$E:$E,$B17)</f>
        <v>0</v>
      </c>
      <c r="G17" s="184">
        <f>IFERROR(HLOOKUP($E$3,'Tahun Lalu'!$B$5:$V$158,MATCH(B17,'Tahun Lalu'!$B$5:$B$158,0),0),0)</f>
        <v>0</v>
      </c>
      <c r="H17" s="184">
        <v>0.0</v>
      </c>
      <c r="I17" s="184">
        <v>0.0</v>
      </c>
      <c r="J17" s="183">
        <f t="shared" si="3"/>
        <v>0</v>
      </c>
      <c r="K17" s="183">
        <f t="shared" si="4"/>
        <v>0</v>
      </c>
      <c r="L17" s="183">
        <f t="shared" si="5"/>
        <v>0</v>
      </c>
      <c r="M17" s="183">
        <f t="shared" si="6"/>
        <v>0</v>
      </c>
      <c r="N17" s="183">
        <f t="shared" si="20"/>
        <v>0</v>
      </c>
      <c r="O17" s="183">
        <f t="shared" ref="O17:Q17" si="22">G17+W17</f>
        <v>0</v>
      </c>
      <c r="P17" s="183">
        <f t="shared" si="22"/>
        <v>0</v>
      </c>
      <c r="Q17" s="183">
        <f t="shared" si="22"/>
        <v>0</v>
      </c>
      <c r="R17" s="183">
        <f t="shared" si="9"/>
        <v>0</v>
      </c>
      <c r="S17" s="183">
        <f t="shared" si="10"/>
        <v>0</v>
      </c>
      <c r="T17" s="183">
        <f t="shared" si="11"/>
        <v>0</v>
      </c>
      <c r="U17" s="186"/>
      <c r="V17" s="183">
        <f>IFERROR(__xludf.DUMMYFUNCTION("""COMPUTED_VALUE"""),0.0)</f>
        <v>0</v>
      </c>
      <c r="W17" s="183">
        <f>IFERROR(__xludf.DUMMYFUNCTION("""COMPUTED_VALUE"""),0.0)</f>
        <v>0</v>
      </c>
      <c r="X17" s="183">
        <f>IFERROR(__xludf.DUMMYFUNCTION("""COMPUTED_VALUE"""),0.0)</f>
        <v>0</v>
      </c>
      <c r="Y17" s="183">
        <f>IFERROR(__xludf.DUMMYFUNCTION("""COMPUTED_VALUE"""),0.0)</f>
        <v>0</v>
      </c>
      <c r="Z17" s="183">
        <f t="shared" si="12"/>
        <v>0</v>
      </c>
      <c r="AA17" s="183">
        <f t="shared" si="13"/>
        <v>0</v>
      </c>
      <c r="AB17" s="183">
        <f t="shared" si="14"/>
        <v>0</v>
      </c>
    </row>
    <row r="18" ht="14.25" customHeight="1">
      <c r="A18" s="175"/>
      <c r="B18" s="196" t="s">
        <v>750</v>
      </c>
      <c r="C18" s="181"/>
      <c r="D18" s="197" t="s">
        <v>751</v>
      </c>
      <c r="E18" s="183">
        <f>SUMIFS('DB WBS'!$J:$J,'DB WBS'!$A:$A,$D$4,'DB WBS'!$D:$D,AA$1,'DB WBS'!$B:$B,$E$3,'DB WBS'!$E:$E,$B18)</f>
        <v>0</v>
      </c>
      <c r="F18" s="183">
        <f>SUMIFS('DB WBS'!$J:$J,'DB WBS'!$A:$A,$D$4,'DB WBS'!$D:$D,AA$2,'DB WBS'!$B:$B,$E$3,'DB WBS'!$E:$E,$B18)</f>
        <v>0</v>
      </c>
      <c r="G18" s="184">
        <f>IFERROR(HLOOKUP($E$3,'Tahun Lalu'!$B$5:$V$158,MATCH(B18,'Tahun Lalu'!$B$5:$B$158,0),0),0)</f>
        <v>0</v>
      </c>
      <c r="H18" s="184">
        <v>0.0</v>
      </c>
      <c r="I18" s="184">
        <v>0.0</v>
      </c>
      <c r="J18" s="183">
        <f t="shared" si="3"/>
        <v>0</v>
      </c>
      <c r="K18" s="183">
        <f t="shared" si="4"/>
        <v>0</v>
      </c>
      <c r="L18" s="183">
        <f t="shared" si="5"/>
        <v>0</v>
      </c>
      <c r="M18" s="183">
        <f t="shared" si="6"/>
        <v>0</v>
      </c>
      <c r="N18" s="183">
        <f t="shared" si="20"/>
        <v>0</v>
      </c>
      <c r="O18" s="183">
        <f t="shared" ref="O18:Q18" si="23">G18+W18</f>
        <v>0</v>
      </c>
      <c r="P18" s="183">
        <f t="shared" si="23"/>
        <v>0</v>
      </c>
      <c r="Q18" s="183">
        <f t="shared" si="23"/>
        <v>0</v>
      </c>
      <c r="R18" s="183">
        <f t="shared" si="9"/>
        <v>0</v>
      </c>
      <c r="S18" s="183">
        <f t="shared" si="10"/>
        <v>0</v>
      </c>
      <c r="T18" s="183">
        <f t="shared" si="11"/>
        <v>0</v>
      </c>
      <c r="U18" s="186"/>
      <c r="V18" s="183">
        <f>IFERROR(__xludf.DUMMYFUNCTION("""COMPUTED_VALUE"""),0.0)</f>
        <v>0</v>
      </c>
      <c r="W18" s="183">
        <f>IFERROR(__xludf.DUMMYFUNCTION("""COMPUTED_VALUE"""),0.0)</f>
        <v>0</v>
      </c>
      <c r="X18" s="183">
        <f>IFERROR(__xludf.DUMMYFUNCTION("""COMPUTED_VALUE"""),0.0)</f>
        <v>0</v>
      </c>
      <c r="Y18" s="183">
        <f>IFERROR(__xludf.DUMMYFUNCTION("""COMPUTED_VALUE"""),0.0)</f>
        <v>0</v>
      </c>
      <c r="Z18" s="183">
        <f t="shared" si="12"/>
        <v>0</v>
      </c>
      <c r="AA18" s="183">
        <f t="shared" si="13"/>
        <v>0</v>
      </c>
      <c r="AB18" s="183">
        <f t="shared" si="14"/>
        <v>0</v>
      </c>
    </row>
    <row r="19" ht="14.25" customHeight="1">
      <c r="A19" s="175"/>
      <c r="B19" s="196" t="s">
        <v>752</v>
      </c>
      <c r="C19" s="181"/>
      <c r="D19" s="197" t="s">
        <v>753</v>
      </c>
      <c r="E19" s="183">
        <f>SUMIFS('DB WBS'!$J:$J,'DB WBS'!$A:$A,$D$4,'DB WBS'!$D:$D,AA$1,'DB WBS'!$B:$B,$E$3,'DB WBS'!$E:$E,$B19)</f>
        <v>0</v>
      </c>
      <c r="F19" s="183">
        <f>SUMIFS('DB WBS'!$J:$J,'DB WBS'!$A:$A,$D$4,'DB WBS'!$D:$D,AA$2,'DB WBS'!$B:$B,$E$3,'DB WBS'!$E:$E,$B19)</f>
        <v>0</v>
      </c>
      <c r="G19" s="184">
        <f>IFERROR(HLOOKUP($E$3,'Tahun Lalu'!$B$5:$V$158,MATCH(B19,'Tahun Lalu'!$B$5:$B$158,0),0),0)</f>
        <v>0</v>
      </c>
      <c r="H19" s="184">
        <v>0.0</v>
      </c>
      <c r="I19" s="184">
        <v>0.0</v>
      </c>
      <c r="J19" s="183">
        <f t="shared" si="3"/>
        <v>0</v>
      </c>
      <c r="K19" s="183">
        <f t="shared" si="4"/>
        <v>0</v>
      </c>
      <c r="L19" s="183">
        <f t="shared" si="5"/>
        <v>0</v>
      </c>
      <c r="M19" s="183">
        <f t="shared" si="6"/>
        <v>0</v>
      </c>
      <c r="N19" s="183">
        <f t="shared" si="20"/>
        <v>0</v>
      </c>
      <c r="O19" s="183">
        <f t="shared" ref="O19:Q19" si="24">G19+W19</f>
        <v>0</v>
      </c>
      <c r="P19" s="183">
        <f t="shared" si="24"/>
        <v>0</v>
      </c>
      <c r="Q19" s="183">
        <f t="shared" si="24"/>
        <v>0</v>
      </c>
      <c r="R19" s="183">
        <f t="shared" si="9"/>
        <v>0</v>
      </c>
      <c r="S19" s="183">
        <f t="shared" si="10"/>
        <v>0</v>
      </c>
      <c r="T19" s="183">
        <f t="shared" si="11"/>
        <v>0</v>
      </c>
      <c r="U19" s="186"/>
      <c r="V19" s="183">
        <f>IFERROR(__xludf.DUMMYFUNCTION("""COMPUTED_VALUE"""),0.0)</f>
        <v>0</v>
      </c>
      <c r="W19" s="183">
        <f>IFERROR(__xludf.DUMMYFUNCTION("""COMPUTED_VALUE"""),0.0)</f>
        <v>0</v>
      </c>
      <c r="X19" s="183">
        <f>IFERROR(__xludf.DUMMYFUNCTION("""COMPUTED_VALUE"""),0.0)</f>
        <v>0</v>
      </c>
      <c r="Y19" s="183">
        <f>IFERROR(__xludf.DUMMYFUNCTION("""COMPUTED_VALUE"""),0.0)</f>
        <v>0</v>
      </c>
      <c r="Z19" s="183">
        <f t="shared" si="12"/>
        <v>0</v>
      </c>
      <c r="AA19" s="183">
        <f t="shared" si="13"/>
        <v>0</v>
      </c>
      <c r="AB19" s="183">
        <f t="shared" si="14"/>
        <v>0</v>
      </c>
    </row>
    <row r="20" ht="14.25" customHeight="1">
      <c r="A20" s="175"/>
      <c r="B20" s="196" t="s">
        <v>754</v>
      </c>
      <c r="C20" s="181"/>
      <c r="D20" s="197" t="s">
        <v>755</v>
      </c>
      <c r="E20" s="183">
        <f>SUMIFS('DB WBS'!$J:$J,'DB WBS'!$A:$A,$D$4,'DB WBS'!$D:$D,AA$1,'DB WBS'!$B:$B,$E$3,'DB WBS'!$E:$E,$B20)</f>
        <v>0</v>
      </c>
      <c r="F20" s="183">
        <f>SUMIFS('DB WBS'!$J:$J,'DB WBS'!$A:$A,$D$4,'DB WBS'!$D:$D,AA$2,'DB WBS'!$B:$B,$E$3,'DB WBS'!$E:$E,$B20)</f>
        <v>0</v>
      </c>
      <c r="G20" s="184">
        <f>IFERROR(HLOOKUP($E$3,'Tahun Lalu'!$B$5:$V$158,MATCH(B20,'Tahun Lalu'!$B$5:$B$158,0),0),0)</f>
        <v>0</v>
      </c>
      <c r="H20" s="184">
        <v>0.0</v>
      </c>
      <c r="I20" s="184">
        <v>0.0</v>
      </c>
      <c r="J20" s="183">
        <f t="shared" si="3"/>
        <v>0</v>
      </c>
      <c r="K20" s="183">
        <f t="shared" si="4"/>
        <v>0</v>
      </c>
      <c r="L20" s="183">
        <f t="shared" si="5"/>
        <v>0</v>
      </c>
      <c r="M20" s="183">
        <f t="shared" si="6"/>
        <v>0</v>
      </c>
      <c r="N20" s="183">
        <f t="shared" si="20"/>
        <v>0</v>
      </c>
      <c r="O20" s="183">
        <f t="shared" ref="O20:Q20" si="25">G20+W20</f>
        <v>0</v>
      </c>
      <c r="P20" s="183">
        <f t="shared" si="25"/>
        <v>0</v>
      </c>
      <c r="Q20" s="183">
        <f t="shared" si="25"/>
        <v>0</v>
      </c>
      <c r="R20" s="183">
        <f t="shared" si="9"/>
        <v>0</v>
      </c>
      <c r="S20" s="183">
        <f t="shared" si="10"/>
        <v>0</v>
      </c>
      <c r="T20" s="183">
        <f t="shared" si="11"/>
        <v>0</v>
      </c>
      <c r="U20" s="186"/>
      <c r="V20" s="183">
        <f>IFERROR(__xludf.DUMMYFUNCTION("""COMPUTED_VALUE"""),0.0)</f>
        <v>0</v>
      </c>
      <c r="W20" s="183">
        <f>IFERROR(__xludf.DUMMYFUNCTION("""COMPUTED_VALUE"""),0.0)</f>
        <v>0</v>
      </c>
      <c r="X20" s="183">
        <f>IFERROR(__xludf.DUMMYFUNCTION("""COMPUTED_VALUE"""),0.0)</f>
        <v>0</v>
      </c>
      <c r="Y20" s="183">
        <f>IFERROR(__xludf.DUMMYFUNCTION("""COMPUTED_VALUE"""),0.0)</f>
        <v>0</v>
      </c>
      <c r="Z20" s="183">
        <f t="shared" si="12"/>
        <v>0</v>
      </c>
      <c r="AA20" s="183">
        <f t="shared" si="13"/>
        <v>0</v>
      </c>
      <c r="AB20" s="183">
        <f t="shared" si="14"/>
        <v>0</v>
      </c>
    </row>
    <row r="21" ht="14.25" customHeight="1">
      <c r="A21" s="175"/>
      <c r="B21" s="196" t="s">
        <v>756</v>
      </c>
      <c r="C21" s="181"/>
      <c r="D21" s="197" t="s">
        <v>757</v>
      </c>
      <c r="E21" s="183">
        <f>SUMIFS('DB WBS'!$J:$J,'DB WBS'!$A:$A,$D$4,'DB WBS'!$D:$D,AA$1,'DB WBS'!$B:$B,$E$3,'DB WBS'!$E:$E,$B21)</f>
        <v>0</v>
      </c>
      <c r="F21" s="183">
        <f>SUMIFS('DB WBS'!$J:$J,'DB WBS'!$A:$A,$D$4,'DB WBS'!$D:$D,AA$2,'DB WBS'!$B:$B,$E$3,'DB WBS'!$E:$E,$B21)</f>
        <v>0</v>
      </c>
      <c r="G21" s="184">
        <f>IFERROR(HLOOKUP($E$3,'Tahun Lalu'!$B$5:$V$158,MATCH(B21,'Tahun Lalu'!$B$5:$B$158,0),0),0)</f>
        <v>0</v>
      </c>
      <c r="H21" s="184">
        <v>0.0</v>
      </c>
      <c r="I21" s="184">
        <v>0.0</v>
      </c>
      <c r="J21" s="183">
        <f t="shared" si="3"/>
        <v>0</v>
      </c>
      <c r="K21" s="183">
        <f t="shared" si="4"/>
        <v>0</v>
      </c>
      <c r="L21" s="183">
        <f t="shared" si="5"/>
        <v>0</v>
      </c>
      <c r="M21" s="183">
        <f t="shared" si="6"/>
        <v>0</v>
      </c>
      <c r="N21" s="183">
        <f t="shared" si="20"/>
        <v>0</v>
      </c>
      <c r="O21" s="183">
        <f t="shared" ref="O21:Q21" si="26">G21+W21</f>
        <v>0</v>
      </c>
      <c r="P21" s="183">
        <f t="shared" si="26"/>
        <v>0</v>
      </c>
      <c r="Q21" s="183">
        <f t="shared" si="26"/>
        <v>0</v>
      </c>
      <c r="R21" s="183">
        <f t="shared" si="9"/>
        <v>0</v>
      </c>
      <c r="S21" s="183">
        <f t="shared" si="10"/>
        <v>0</v>
      </c>
      <c r="T21" s="183">
        <f t="shared" si="11"/>
        <v>0</v>
      </c>
      <c r="U21" s="186"/>
      <c r="V21" s="183">
        <f>IFERROR(__xludf.DUMMYFUNCTION("""COMPUTED_VALUE"""),0.0)</f>
        <v>0</v>
      </c>
      <c r="W21" s="183">
        <f>IFERROR(__xludf.DUMMYFUNCTION("""COMPUTED_VALUE"""),0.0)</f>
        <v>0</v>
      </c>
      <c r="X21" s="183">
        <f>IFERROR(__xludf.DUMMYFUNCTION("""COMPUTED_VALUE"""),0.0)</f>
        <v>0</v>
      </c>
      <c r="Y21" s="183">
        <f>IFERROR(__xludf.DUMMYFUNCTION("""COMPUTED_VALUE"""),0.0)</f>
        <v>0</v>
      </c>
      <c r="Z21" s="183">
        <f t="shared" si="12"/>
        <v>0</v>
      </c>
      <c r="AA21" s="183">
        <f t="shared" si="13"/>
        <v>0</v>
      </c>
      <c r="AB21" s="183">
        <f t="shared" si="14"/>
        <v>0</v>
      </c>
    </row>
    <row r="22" ht="14.25" customHeight="1">
      <c r="A22" s="175"/>
      <c r="B22" s="196" t="s">
        <v>758</v>
      </c>
      <c r="C22" s="181"/>
      <c r="D22" s="197" t="s">
        <v>759</v>
      </c>
      <c r="E22" s="183">
        <f>SUMIFS('DB WBS'!$J:$J,'DB WBS'!$A:$A,$D$4,'DB WBS'!$D:$D,AA$1,'DB WBS'!$B:$B,$E$3,'DB WBS'!$E:$E,$B22)</f>
        <v>0</v>
      </c>
      <c r="F22" s="183">
        <f>SUMIFS('DB WBS'!$J:$J,'DB WBS'!$A:$A,$D$4,'DB WBS'!$D:$D,AA$2,'DB WBS'!$B:$B,$E$3,'DB WBS'!$E:$E,$B22)</f>
        <v>0</v>
      </c>
      <c r="G22" s="184">
        <f>IFERROR(HLOOKUP($E$3,'Tahun Lalu'!$B$5:$V$158,MATCH(B22,'Tahun Lalu'!$B$5:$B$158,0),0),0)</f>
        <v>0</v>
      </c>
      <c r="H22" s="184">
        <v>0.0</v>
      </c>
      <c r="I22" s="184">
        <v>0.0</v>
      </c>
      <c r="J22" s="183">
        <f t="shared" si="3"/>
        <v>0</v>
      </c>
      <c r="K22" s="183">
        <f t="shared" si="4"/>
        <v>0</v>
      </c>
      <c r="L22" s="183">
        <f t="shared" si="5"/>
        <v>0</v>
      </c>
      <c r="M22" s="183">
        <f t="shared" si="6"/>
        <v>0</v>
      </c>
      <c r="N22" s="183">
        <f t="shared" si="20"/>
        <v>0</v>
      </c>
      <c r="O22" s="183">
        <f t="shared" ref="O22:Q22" si="27">G22+W22</f>
        <v>0</v>
      </c>
      <c r="P22" s="183">
        <f t="shared" si="27"/>
        <v>0</v>
      </c>
      <c r="Q22" s="183">
        <f t="shared" si="27"/>
        <v>0</v>
      </c>
      <c r="R22" s="183">
        <f t="shared" si="9"/>
        <v>0</v>
      </c>
      <c r="S22" s="183">
        <f t="shared" si="10"/>
        <v>0</v>
      </c>
      <c r="T22" s="183">
        <f t="shared" si="11"/>
        <v>0</v>
      </c>
      <c r="U22" s="186"/>
      <c r="V22" s="183">
        <f>IFERROR(__xludf.DUMMYFUNCTION("""COMPUTED_VALUE"""),0.0)</f>
        <v>0</v>
      </c>
      <c r="W22" s="183">
        <f>IFERROR(__xludf.DUMMYFUNCTION("""COMPUTED_VALUE"""),0.0)</f>
        <v>0</v>
      </c>
      <c r="X22" s="183">
        <f>IFERROR(__xludf.DUMMYFUNCTION("""COMPUTED_VALUE"""),0.0)</f>
        <v>0</v>
      </c>
      <c r="Y22" s="183">
        <f>IFERROR(__xludf.DUMMYFUNCTION("""COMPUTED_VALUE"""),0.0)</f>
        <v>0</v>
      </c>
      <c r="Z22" s="183">
        <f t="shared" si="12"/>
        <v>0</v>
      </c>
      <c r="AA22" s="183">
        <f t="shared" si="13"/>
        <v>0</v>
      </c>
      <c r="AB22" s="183">
        <f t="shared" si="14"/>
        <v>0</v>
      </c>
    </row>
    <row r="23" ht="14.25" customHeight="1">
      <c r="A23" s="175"/>
      <c r="B23" s="196" t="s">
        <v>760</v>
      </c>
      <c r="C23" s="181"/>
      <c r="D23" s="197" t="s">
        <v>761</v>
      </c>
      <c r="E23" s="183">
        <f>SUMIFS('DB WBS'!$J:$J,'DB WBS'!$A:$A,$D$4,'DB WBS'!$D:$D,AA$1,'DB WBS'!$B:$B,$E$3,'DB WBS'!$E:$E,$B23)</f>
        <v>0</v>
      </c>
      <c r="F23" s="183">
        <f>SUMIFS('DB WBS'!$J:$J,'DB WBS'!$A:$A,$D$4,'DB WBS'!$D:$D,AA$2,'DB WBS'!$B:$B,$E$3,'DB WBS'!$E:$E,$B23)</f>
        <v>0</v>
      </c>
      <c r="G23" s="184">
        <f>IFERROR(HLOOKUP($E$3,'Tahun Lalu'!$B$5:$V$158,MATCH(B23,'Tahun Lalu'!$B$5:$B$158,0),0),0)</f>
        <v>0</v>
      </c>
      <c r="H23" s="184">
        <v>0.0</v>
      </c>
      <c r="I23" s="184">
        <v>0.0</v>
      </c>
      <c r="J23" s="183">
        <f t="shared" si="3"/>
        <v>0</v>
      </c>
      <c r="K23" s="183">
        <f t="shared" si="4"/>
        <v>0</v>
      </c>
      <c r="L23" s="183">
        <f t="shared" si="5"/>
        <v>0</v>
      </c>
      <c r="M23" s="183">
        <f t="shared" si="6"/>
        <v>0</v>
      </c>
      <c r="N23" s="183">
        <f t="shared" si="20"/>
        <v>0</v>
      </c>
      <c r="O23" s="183">
        <f t="shared" ref="O23:Q23" si="28">G23+W23</f>
        <v>0</v>
      </c>
      <c r="P23" s="183">
        <f t="shared" si="28"/>
        <v>0</v>
      </c>
      <c r="Q23" s="183">
        <f t="shared" si="28"/>
        <v>0</v>
      </c>
      <c r="R23" s="183">
        <f t="shared" si="9"/>
        <v>0</v>
      </c>
      <c r="S23" s="183">
        <f t="shared" si="10"/>
        <v>0</v>
      </c>
      <c r="T23" s="183">
        <f t="shared" si="11"/>
        <v>0</v>
      </c>
      <c r="U23" s="186"/>
      <c r="V23" s="183">
        <f>IFERROR(__xludf.DUMMYFUNCTION("""COMPUTED_VALUE"""),0.0)</f>
        <v>0</v>
      </c>
      <c r="W23" s="183">
        <f>IFERROR(__xludf.DUMMYFUNCTION("""COMPUTED_VALUE"""),0.0)</f>
        <v>0</v>
      </c>
      <c r="X23" s="183">
        <f>IFERROR(__xludf.DUMMYFUNCTION("""COMPUTED_VALUE"""),0.0)</f>
        <v>0</v>
      </c>
      <c r="Y23" s="183">
        <f>IFERROR(__xludf.DUMMYFUNCTION("""COMPUTED_VALUE"""),0.0)</f>
        <v>0</v>
      </c>
      <c r="Z23" s="183">
        <f t="shared" si="12"/>
        <v>0</v>
      </c>
      <c r="AA23" s="183">
        <f t="shared" si="13"/>
        <v>0</v>
      </c>
      <c r="AB23" s="183">
        <f t="shared" si="14"/>
        <v>0</v>
      </c>
    </row>
    <row r="24" ht="14.25" customHeight="1">
      <c r="A24" s="175"/>
      <c r="B24" s="196" t="s">
        <v>762</v>
      </c>
      <c r="C24" s="181"/>
      <c r="D24" s="197" t="s">
        <v>763</v>
      </c>
      <c r="E24" s="183">
        <f>SUMIFS('DB WBS'!$J:$J,'DB WBS'!$A:$A,$D$4,'DB WBS'!$D:$D,AA$1,'DB WBS'!$B:$B,$E$3,'DB WBS'!$E:$E,$B24)</f>
        <v>0</v>
      </c>
      <c r="F24" s="183">
        <f>SUMIFS('DB WBS'!$J:$J,'DB WBS'!$A:$A,$D$4,'DB WBS'!$D:$D,AA$2,'DB WBS'!$B:$B,$E$3,'DB WBS'!$E:$E,$B24)</f>
        <v>0</v>
      </c>
      <c r="G24" s="184">
        <f>IFERROR(HLOOKUP($E$3,'Tahun Lalu'!$B$5:$V$158,MATCH(B24,'Tahun Lalu'!$B$5:$B$158,0),0),0)</f>
        <v>0</v>
      </c>
      <c r="H24" s="184">
        <v>0.0</v>
      </c>
      <c r="I24" s="184">
        <v>0.0</v>
      </c>
      <c r="J24" s="183">
        <f t="shared" si="3"/>
        <v>0</v>
      </c>
      <c r="K24" s="183">
        <f t="shared" si="4"/>
        <v>0</v>
      </c>
      <c r="L24" s="183">
        <f t="shared" si="5"/>
        <v>0</v>
      </c>
      <c r="M24" s="183">
        <f t="shared" si="6"/>
        <v>0</v>
      </c>
      <c r="N24" s="183">
        <f t="shared" si="20"/>
        <v>0</v>
      </c>
      <c r="O24" s="183">
        <f t="shared" ref="O24:Q24" si="29">G24+W24</f>
        <v>0</v>
      </c>
      <c r="P24" s="183">
        <f t="shared" si="29"/>
        <v>0</v>
      </c>
      <c r="Q24" s="183">
        <f t="shared" si="29"/>
        <v>0</v>
      </c>
      <c r="R24" s="183">
        <f t="shared" si="9"/>
        <v>0</v>
      </c>
      <c r="S24" s="183">
        <f t="shared" si="10"/>
        <v>0</v>
      </c>
      <c r="T24" s="183">
        <f t="shared" si="11"/>
        <v>0</v>
      </c>
      <c r="U24" s="186"/>
      <c r="V24" s="183">
        <f>IFERROR(__xludf.DUMMYFUNCTION("""COMPUTED_VALUE"""),0.0)</f>
        <v>0</v>
      </c>
      <c r="W24" s="183">
        <f>IFERROR(__xludf.DUMMYFUNCTION("""COMPUTED_VALUE"""),0.0)</f>
        <v>0</v>
      </c>
      <c r="X24" s="183">
        <f>IFERROR(__xludf.DUMMYFUNCTION("""COMPUTED_VALUE"""),0.0)</f>
        <v>0</v>
      </c>
      <c r="Y24" s="183">
        <f>IFERROR(__xludf.DUMMYFUNCTION("""COMPUTED_VALUE"""),0.0)</f>
        <v>0</v>
      </c>
      <c r="Z24" s="183">
        <f t="shared" si="12"/>
        <v>0</v>
      </c>
      <c r="AA24" s="183">
        <f t="shared" si="13"/>
        <v>0</v>
      </c>
      <c r="AB24" s="183">
        <f t="shared" si="14"/>
        <v>0</v>
      </c>
    </row>
    <row r="25" ht="14.25" customHeight="1">
      <c r="A25" s="175"/>
      <c r="B25" s="196" t="s">
        <v>764</v>
      </c>
      <c r="C25" s="181"/>
      <c r="D25" s="197" t="s">
        <v>765</v>
      </c>
      <c r="E25" s="183">
        <f>SUMIFS('DB WBS'!$J:$J,'DB WBS'!$A:$A,$D$4,'DB WBS'!$D:$D,AA$1,'DB WBS'!$B:$B,$E$3,'DB WBS'!$E:$E,$B25)</f>
        <v>0</v>
      </c>
      <c r="F25" s="183">
        <f>SUMIFS('DB WBS'!$J:$J,'DB WBS'!$A:$A,$D$4,'DB WBS'!$D:$D,AA$2,'DB WBS'!$B:$B,$E$3,'DB WBS'!$E:$E,$B25)</f>
        <v>0</v>
      </c>
      <c r="G25" s="184">
        <f>IFERROR(HLOOKUP($E$3,'Tahun Lalu'!$B$5:$V$158,MATCH(B25,'Tahun Lalu'!$B$5:$B$158,0),0),0)</f>
        <v>0</v>
      </c>
      <c r="H25" s="184">
        <v>0.0</v>
      </c>
      <c r="I25" s="184">
        <v>0.0</v>
      </c>
      <c r="J25" s="183">
        <f t="shared" si="3"/>
        <v>0</v>
      </c>
      <c r="K25" s="183">
        <f t="shared" si="4"/>
        <v>0</v>
      </c>
      <c r="L25" s="183">
        <f t="shared" si="5"/>
        <v>0</v>
      </c>
      <c r="M25" s="183">
        <f t="shared" si="6"/>
        <v>0</v>
      </c>
      <c r="N25" s="183">
        <f t="shared" si="20"/>
        <v>0</v>
      </c>
      <c r="O25" s="183">
        <f t="shared" ref="O25:Q25" si="30">G25+W25</f>
        <v>0</v>
      </c>
      <c r="P25" s="183">
        <f t="shared" si="30"/>
        <v>0</v>
      </c>
      <c r="Q25" s="183">
        <f t="shared" si="30"/>
        <v>0</v>
      </c>
      <c r="R25" s="183">
        <f t="shared" si="9"/>
        <v>0</v>
      </c>
      <c r="S25" s="183">
        <f t="shared" si="10"/>
        <v>0</v>
      </c>
      <c r="T25" s="183">
        <f t="shared" si="11"/>
        <v>0</v>
      </c>
      <c r="U25" s="186"/>
      <c r="V25" s="183">
        <f>IFERROR(__xludf.DUMMYFUNCTION("""COMPUTED_VALUE"""),0.0)</f>
        <v>0</v>
      </c>
      <c r="W25" s="183">
        <f>IFERROR(__xludf.DUMMYFUNCTION("""COMPUTED_VALUE"""),0.0)</f>
        <v>0</v>
      </c>
      <c r="X25" s="183">
        <f>IFERROR(__xludf.DUMMYFUNCTION("""COMPUTED_VALUE"""),0.0)</f>
        <v>0</v>
      </c>
      <c r="Y25" s="183">
        <f>IFERROR(__xludf.DUMMYFUNCTION("""COMPUTED_VALUE"""),0.0)</f>
        <v>0</v>
      </c>
      <c r="Z25" s="183">
        <f t="shared" si="12"/>
        <v>0</v>
      </c>
      <c r="AA25" s="183">
        <f t="shared" si="13"/>
        <v>0</v>
      </c>
      <c r="AB25" s="183">
        <f t="shared" si="14"/>
        <v>0</v>
      </c>
    </row>
    <row r="26" ht="14.25" customHeight="1">
      <c r="A26" s="175"/>
      <c r="B26" s="196" t="s">
        <v>766</v>
      </c>
      <c r="C26" s="181"/>
      <c r="D26" s="197" t="s">
        <v>767</v>
      </c>
      <c r="E26" s="183">
        <f>SUMIFS('DB WBS'!$J:$J,'DB WBS'!$A:$A,$D$4,'DB WBS'!$D:$D,AA$1,'DB WBS'!$B:$B,$E$3,'DB WBS'!$E:$E,$B26)</f>
        <v>0</v>
      </c>
      <c r="F26" s="183">
        <f>SUMIFS('DB WBS'!$J:$J,'DB WBS'!$A:$A,$D$4,'DB WBS'!$D:$D,AA$2,'DB WBS'!$B:$B,$E$3,'DB WBS'!$E:$E,$B26)</f>
        <v>0</v>
      </c>
      <c r="G26" s="184">
        <f>IFERROR(HLOOKUP($E$3,'Tahun Lalu'!$B$5:$V$158,MATCH(B26,'Tahun Lalu'!$B$5:$B$158,0),0),0)</f>
        <v>0</v>
      </c>
      <c r="H26" s="184">
        <v>0.0</v>
      </c>
      <c r="I26" s="184">
        <v>0.0</v>
      </c>
      <c r="J26" s="183">
        <f t="shared" si="3"/>
        <v>0</v>
      </c>
      <c r="K26" s="183">
        <f t="shared" si="4"/>
        <v>0</v>
      </c>
      <c r="L26" s="183">
        <f t="shared" si="5"/>
        <v>0</v>
      </c>
      <c r="M26" s="183">
        <f t="shared" si="6"/>
        <v>0</v>
      </c>
      <c r="N26" s="183">
        <f t="shared" si="20"/>
        <v>0</v>
      </c>
      <c r="O26" s="183">
        <f t="shared" ref="O26:Q26" si="31">G26+W26</f>
        <v>0</v>
      </c>
      <c r="P26" s="183">
        <f t="shared" si="31"/>
        <v>0</v>
      </c>
      <c r="Q26" s="183">
        <f t="shared" si="31"/>
        <v>0</v>
      </c>
      <c r="R26" s="183">
        <f t="shared" si="9"/>
        <v>0</v>
      </c>
      <c r="S26" s="183">
        <f t="shared" si="10"/>
        <v>0</v>
      </c>
      <c r="T26" s="183">
        <f t="shared" si="11"/>
        <v>0</v>
      </c>
      <c r="U26" s="186"/>
      <c r="V26" s="183">
        <f>IFERROR(__xludf.DUMMYFUNCTION("""COMPUTED_VALUE"""),0.0)</f>
        <v>0</v>
      </c>
      <c r="W26" s="183">
        <f>IFERROR(__xludf.DUMMYFUNCTION("""COMPUTED_VALUE"""),0.0)</f>
        <v>0</v>
      </c>
      <c r="X26" s="183">
        <f>IFERROR(__xludf.DUMMYFUNCTION("""COMPUTED_VALUE"""),0.0)</f>
        <v>0</v>
      </c>
      <c r="Y26" s="183">
        <f>IFERROR(__xludf.DUMMYFUNCTION("""COMPUTED_VALUE"""),0.0)</f>
        <v>0</v>
      </c>
      <c r="Z26" s="183">
        <f t="shared" si="12"/>
        <v>0</v>
      </c>
      <c r="AA26" s="183">
        <f t="shared" si="13"/>
        <v>0</v>
      </c>
      <c r="AB26" s="183">
        <f t="shared" si="14"/>
        <v>0</v>
      </c>
    </row>
    <row r="27" ht="14.25" customHeight="1">
      <c r="A27" s="175"/>
      <c r="B27" s="196" t="s">
        <v>768</v>
      </c>
      <c r="C27" s="181"/>
      <c r="D27" s="197" t="s">
        <v>769</v>
      </c>
      <c r="E27" s="183">
        <f>SUMIFS('DB WBS'!$J:$J,'DB WBS'!$A:$A,$D$4,'DB WBS'!$D:$D,AA$1,'DB WBS'!$B:$B,$E$3,'DB WBS'!$E:$E,$B27)</f>
        <v>0</v>
      </c>
      <c r="F27" s="183">
        <f>SUMIFS('DB WBS'!$J:$J,'DB WBS'!$A:$A,$D$4,'DB WBS'!$D:$D,AA$2,'DB WBS'!$B:$B,$E$3,'DB WBS'!$E:$E,$B27)</f>
        <v>0</v>
      </c>
      <c r="G27" s="184">
        <f>IFERROR(HLOOKUP($E$3,'Tahun Lalu'!$B$5:$V$158,MATCH(B27,'Tahun Lalu'!$B$5:$B$158,0),0),0)</f>
        <v>0</v>
      </c>
      <c r="H27" s="184">
        <v>0.0</v>
      </c>
      <c r="I27" s="184">
        <v>0.0</v>
      </c>
      <c r="J27" s="183">
        <f t="shared" si="3"/>
        <v>0</v>
      </c>
      <c r="K27" s="183">
        <f t="shared" si="4"/>
        <v>0</v>
      </c>
      <c r="L27" s="183">
        <f t="shared" si="5"/>
        <v>0</v>
      </c>
      <c r="M27" s="183">
        <f t="shared" si="6"/>
        <v>0</v>
      </c>
      <c r="N27" s="183">
        <f t="shared" si="20"/>
        <v>0</v>
      </c>
      <c r="O27" s="183">
        <f t="shared" ref="O27:Q27" si="32">G27+W27</f>
        <v>0</v>
      </c>
      <c r="P27" s="183">
        <f t="shared" si="32"/>
        <v>0</v>
      </c>
      <c r="Q27" s="183">
        <f t="shared" si="32"/>
        <v>0</v>
      </c>
      <c r="R27" s="183">
        <f t="shared" si="9"/>
        <v>0</v>
      </c>
      <c r="S27" s="183">
        <f t="shared" si="10"/>
        <v>0</v>
      </c>
      <c r="T27" s="183">
        <f t="shared" si="11"/>
        <v>0</v>
      </c>
      <c r="U27" s="186"/>
      <c r="V27" s="183">
        <f>IFERROR(__xludf.DUMMYFUNCTION("""COMPUTED_VALUE"""),0.0)</f>
        <v>0</v>
      </c>
      <c r="W27" s="183">
        <f>IFERROR(__xludf.DUMMYFUNCTION("""COMPUTED_VALUE"""),0.0)</f>
        <v>0</v>
      </c>
      <c r="X27" s="183">
        <f>IFERROR(__xludf.DUMMYFUNCTION("""COMPUTED_VALUE"""),0.0)</f>
        <v>0</v>
      </c>
      <c r="Y27" s="183">
        <f>IFERROR(__xludf.DUMMYFUNCTION("""COMPUTED_VALUE"""),0.0)</f>
        <v>0</v>
      </c>
      <c r="Z27" s="183">
        <f t="shared" si="12"/>
        <v>0</v>
      </c>
      <c r="AA27" s="183">
        <f t="shared" si="13"/>
        <v>0</v>
      </c>
      <c r="AB27" s="183">
        <f t="shared" si="14"/>
        <v>0</v>
      </c>
    </row>
    <row r="28" ht="14.25" customHeight="1">
      <c r="A28" s="175"/>
      <c r="B28" s="196" t="s">
        <v>770</v>
      </c>
      <c r="C28" s="181"/>
      <c r="D28" s="197" t="s">
        <v>771</v>
      </c>
      <c r="E28" s="183">
        <f>SUMIFS('DB WBS'!$J:$J,'DB WBS'!$A:$A,$D$4,'DB WBS'!$D:$D,AA$1,'DB WBS'!$B:$B,$E$3,'DB WBS'!$E:$E,$B28)</f>
        <v>0</v>
      </c>
      <c r="F28" s="183">
        <f>SUMIFS('DB WBS'!$J:$J,'DB WBS'!$A:$A,$D$4,'DB WBS'!$D:$D,AA$2,'DB WBS'!$B:$B,$E$3,'DB WBS'!$E:$E,$B28)</f>
        <v>0</v>
      </c>
      <c r="G28" s="184">
        <f>IFERROR(HLOOKUP($E$3,'Tahun Lalu'!$B$5:$V$158,MATCH(B28,'Tahun Lalu'!$B$5:$B$158,0),0),0)</f>
        <v>0</v>
      </c>
      <c r="H28" s="184">
        <v>0.0</v>
      </c>
      <c r="I28" s="184">
        <v>0.0</v>
      </c>
      <c r="J28" s="183">
        <f t="shared" si="3"/>
        <v>0</v>
      </c>
      <c r="K28" s="183">
        <f t="shared" si="4"/>
        <v>0</v>
      </c>
      <c r="L28" s="183">
        <f t="shared" si="5"/>
        <v>0</v>
      </c>
      <c r="M28" s="183">
        <f t="shared" si="6"/>
        <v>0</v>
      </c>
      <c r="N28" s="183">
        <f t="shared" si="20"/>
        <v>0</v>
      </c>
      <c r="O28" s="183">
        <f t="shared" ref="O28:Q28" si="33">G28+W28</f>
        <v>0</v>
      </c>
      <c r="P28" s="183">
        <f t="shared" si="33"/>
        <v>0</v>
      </c>
      <c r="Q28" s="183">
        <f t="shared" si="33"/>
        <v>0</v>
      </c>
      <c r="R28" s="183">
        <f t="shared" si="9"/>
        <v>0</v>
      </c>
      <c r="S28" s="183">
        <f t="shared" si="10"/>
        <v>0</v>
      </c>
      <c r="T28" s="183">
        <f t="shared" si="11"/>
        <v>0</v>
      </c>
      <c r="U28" s="186"/>
      <c r="V28" s="183">
        <f>IFERROR(__xludf.DUMMYFUNCTION("""COMPUTED_VALUE"""),0.0)</f>
        <v>0</v>
      </c>
      <c r="W28" s="183">
        <f>IFERROR(__xludf.DUMMYFUNCTION("""COMPUTED_VALUE"""),0.0)</f>
        <v>0</v>
      </c>
      <c r="X28" s="183">
        <f>IFERROR(__xludf.DUMMYFUNCTION("""COMPUTED_VALUE"""),0.0)</f>
        <v>0</v>
      </c>
      <c r="Y28" s="183">
        <f>IFERROR(__xludf.DUMMYFUNCTION("""COMPUTED_VALUE"""),0.0)</f>
        <v>0</v>
      </c>
      <c r="Z28" s="183">
        <f t="shared" si="12"/>
        <v>0</v>
      </c>
      <c r="AA28" s="183">
        <f t="shared" si="13"/>
        <v>0</v>
      </c>
      <c r="AB28" s="183">
        <f t="shared" si="14"/>
        <v>0</v>
      </c>
    </row>
    <row r="29" ht="14.25" customHeight="1">
      <c r="A29" s="175"/>
      <c r="B29" s="196" t="s">
        <v>54</v>
      </c>
      <c r="C29" s="181"/>
      <c r="D29" s="197" t="s">
        <v>139</v>
      </c>
      <c r="E29" s="183">
        <f>SUMIFS('DB WBS'!$J:$J,'DB WBS'!$A:$A,$D$4,'DB WBS'!$D:$D,AA$1,'DB WBS'!$B:$B,$E$3,'DB WBS'!$E:$E,$B29)</f>
        <v>0</v>
      </c>
      <c r="F29" s="183">
        <f>SUMIFS('DB WBS'!$J:$J,'DB WBS'!$A:$A,$D$4,'DB WBS'!$D:$D,AA$2,'DB WBS'!$B:$B,$E$3,'DB WBS'!$E:$E,$B29)</f>
        <v>0</v>
      </c>
      <c r="G29" s="184">
        <f>IFERROR(HLOOKUP($E$3,'Tahun Lalu'!$B$5:$V$158,MATCH(B29,'Tahun Lalu'!$B$5:$B$158,0),0),0)</f>
        <v>0</v>
      </c>
      <c r="H29" s="184">
        <v>0.0</v>
      </c>
      <c r="I29" s="184">
        <v>0.0</v>
      </c>
      <c r="J29" s="183">
        <f t="shared" si="3"/>
        <v>0</v>
      </c>
      <c r="K29" s="183">
        <f t="shared" si="4"/>
        <v>0</v>
      </c>
      <c r="L29" s="183">
        <f t="shared" si="5"/>
        <v>0</v>
      </c>
      <c r="M29" s="183">
        <f t="shared" si="6"/>
        <v>0</v>
      </c>
      <c r="N29" s="183">
        <f t="shared" si="20"/>
        <v>0</v>
      </c>
      <c r="O29" s="183">
        <f t="shared" ref="O29:Q29" si="34">G29+W29</f>
        <v>0</v>
      </c>
      <c r="P29" s="183">
        <f t="shared" si="34"/>
        <v>0</v>
      </c>
      <c r="Q29" s="183">
        <f t="shared" si="34"/>
        <v>0</v>
      </c>
      <c r="R29" s="183">
        <f t="shared" si="9"/>
        <v>0</v>
      </c>
      <c r="S29" s="183">
        <f t="shared" si="10"/>
        <v>0</v>
      </c>
      <c r="T29" s="183">
        <f t="shared" si="11"/>
        <v>0</v>
      </c>
      <c r="U29" s="186"/>
      <c r="V29" s="183">
        <f>IFERROR(__xludf.DUMMYFUNCTION("""COMPUTED_VALUE"""),0.0)</f>
        <v>0</v>
      </c>
      <c r="W29" s="183">
        <f>IFERROR(__xludf.DUMMYFUNCTION("""COMPUTED_VALUE"""),0.0)</f>
        <v>0</v>
      </c>
      <c r="X29" s="183">
        <f>IFERROR(__xludf.DUMMYFUNCTION("""COMPUTED_VALUE"""),0.0)</f>
        <v>0</v>
      </c>
      <c r="Y29" s="183">
        <f>IFERROR(__xludf.DUMMYFUNCTION("""COMPUTED_VALUE"""),0.0)</f>
        <v>0</v>
      </c>
      <c r="Z29" s="183">
        <f t="shared" si="12"/>
        <v>0</v>
      </c>
      <c r="AA29" s="183">
        <f t="shared" si="13"/>
        <v>0</v>
      </c>
      <c r="AB29" s="183">
        <f t="shared" si="14"/>
        <v>0</v>
      </c>
    </row>
    <row r="30" ht="14.25" customHeight="1">
      <c r="A30" s="175"/>
      <c r="B30" s="196"/>
      <c r="C30" s="181"/>
      <c r="D30" s="197"/>
      <c r="E30" s="183">
        <f>SUMIFS('DB WBS'!$J:$J,'DB WBS'!$A:$A,$D$4,'DB WBS'!$D:$D,AA$1,'DB WBS'!$B:$B,$E$3,'DB WBS'!$E:$E,$B30)</f>
        <v>0</v>
      </c>
      <c r="F30" s="183">
        <f>SUMIFS('DB WBS'!$J:$J,'DB WBS'!$A:$A,$D$4,'DB WBS'!$D:$D,AA$2,'DB WBS'!$B:$B,$E$3,'DB WBS'!$E:$E,$B30)</f>
        <v>0</v>
      </c>
      <c r="G30" s="184">
        <f>IFERROR(HLOOKUP($E$3,'Tahun Lalu'!$B$5:$V$158,MATCH(B30,'Tahun Lalu'!$B$5:$B$158,0),0),0)</f>
        <v>0</v>
      </c>
      <c r="H30" s="184">
        <v>0.0</v>
      </c>
      <c r="I30" s="184">
        <v>0.0</v>
      </c>
      <c r="J30" s="183">
        <f t="shared" si="3"/>
        <v>0</v>
      </c>
      <c r="K30" s="183">
        <f t="shared" si="4"/>
        <v>0</v>
      </c>
      <c r="L30" s="183">
        <f t="shared" si="5"/>
        <v>0</v>
      </c>
      <c r="M30" s="183">
        <f t="shared" si="6"/>
        <v>0</v>
      </c>
      <c r="N30" s="183">
        <f t="shared" si="20"/>
        <v>0</v>
      </c>
      <c r="O30" s="183">
        <f t="shared" ref="O30:Q30" si="35">G30+W30</f>
        <v>0</v>
      </c>
      <c r="P30" s="183">
        <f t="shared" si="35"/>
        <v>0</v>
      </c>
      <c r="Q30" s="183">
        <f t="shared" si="35"/>
        <v>0</v>
      </c>
      <c r="R30" s="183">
        <f t="shared" si="9"/>
        <v>0</v>
      </c>
      <c r="S30" s="183">
        <f t="shared" si="10"/>
        <v>0</v>
      </c>
      <c r="T30" s="183">
        <f t="shared" si="11"/>
        <v>0</v>
      </c>
      <c r="U30" s="186"/>
      <c r="V30" s="183">
        <f>IFERROR(__xludf.DUMMYFUNCTION("""COMPUTED_VALUE"""),0.0)</f>
        <v>0</v>
      </c>
      <c r="W30" s="183">
        <f>IFERROR(__xludf.DUMMYFUNCTION("""COMPUTED_VALUE"""),0.0)</f>
        <v>0</v>
      </c>
      <c r="X30" s="183">
        <f>IFERROR(__xludf.DUMMYFUNCTION("""COMPUTED_VALUE"""),0.0)</f>
        <v>0</v>
      </c>
      <c r="Y30" s="183">
        <f>IFERROR(__xludf.DUMMYFUNCTION("""COMPUTED_VALUE"""),0.0)</f>
        <v>0</v>
      </c>
      <c r="Z30" s="183">
        <f t="shared" si="12"/>
        <v>0</v>
      </c>
      <c r="AA30" s="183">
        <f t="shared" si="13"/>
        <v>0</v>
      </c>
      <c r="AB30" s="183">
        <f t="shared" si="14"/>
        <v>0</v>
      </c>
    </row>
    <row r="31" ht="14.25" customHeight="1">
      <c r="A31" s="175"/>
      <c r="B31" s="198"/>
      <c r="C31" s="181"/>
      <c r="D31" s="197"/>
      <c r="E31" s="183">
        <f>SUMIFS('DB WBS'!$J:$J,'DB WBS'!$A:$A,$D$4,'DB WBS'!$D:$D,AA$1,'DB WBS'!$B:$B,$E$3,'DB WBS'!$E:$E,$B31)</f>
        <v>0</v>
      </c>
      <c r="F31" s="183">
        <f>SUMIFS('DB WBS'!$J:$J,'DB WBS'!$A:$A,$D$4,'DB WBS'!$D:$D,AA$2,'DB WBS'!$B:$B,$E$3,'DB WBS'!$E:$E,$B31)</f>
        <v>0</v>
      </c>
      <c r="G31" s="184">
        <f>IFERROR(HLOOKUP($E$3,'Tahun Lalu'!$B$5:$V$158,MATCH(B31,'Tahun Lalu'!$B$5:$B$158,0),0),0)</f>
        <v>0</v>
      </c>
      <c r="H31" s="184">
        <v>0.0</v>
      </c>
      <c r="I31" s="184">
        <v>0.0</v>
      </c>
      <c r="J31" s="183">
        <f t="shared" si="3"/>
        <v>0</v>
      </c>
      <c r="K31" s="183">
        <f t="shared" si="4"/>
        <v>0</v>
      </c>
      <c r="L31" s="183">
        <f t="shared" si="5"/>
        <v>0</v>
      </c>
      <c r="M31" s="183">
        <f t="shared" si="6"/>
        <v>0</v>
      </c>
      <c r="N31" s="183">
        <f t="shared" si="20"/>
        <v>0</v>
      </c>
      <c r="O31" s="183">
        <f t="shared" ref="O31:Q31" si="36">G31+W31</f>
        <v>0</v>
      </c>
      <c r="P31" s="183">
        <f t="shared" si="36"/>
        <v>0</v>
      </c>
      <c r="Q31" s="183">
        <f t="shared" si="36"/>
        <v>0</v>
      </c>
      <c r="R31" s="183">
        <f t="shared" si="9"/>
        <v>0</v>
      </c>
      <c r="S31" s="183">
        <f t="shared" si="10"/>
        <v>0</v>
      </c>
      <c r="T31" s="183">
        <f t="shared" si="11"/>
        <v>0</v>
      </c>
      <c r="U31" s="186"/>
      <c r="V31" s="183">
        <f>IFERROR(__xludf.DUMMYFUNCTION("""COMPUTED_VALUE"""),0.0)</f>
        <v>0</v>
      </c>
      <c r="W31" s="183">
        <f>IFERROR(__xludf.DUMMYFUNCTION("""COMPUTED_VALUE"""),0.0)</f>
        <v>0</v>
      </c>
      <c r="X31" s="183">
        <f>IFERROR(__xludf.DUMMYFUNCTION("""COMPUTED_VALUE"""),0.0)</f>
        <v>0</v>
      </c>
      <c r="Y31" s="183">
        <f>IFERROR(__xludf.DUMMYFUNCTION("""COMPUTED_VALUE"""),0.0)</f>
        <v>0</v>
      </c>
      <c r="Z31" s="183">
        <f t="shared" si="12"/>
        <v>0</v>
      </c>
      <c r="AA31" s="183">
        <f t="shared" si="13"/>
        <v>0</v>
      </c>
      <c r="AB31" s="183">
        <f t="shared" si="14"/>
        <v>0</v>
      </c>
    </row>
    <row r="32" ht="14.25" customHeight="1">
      <c r="A32" s="190"/>
      <c r="B32" s="191" t="s">
        <v>772</v>
      </c>
      <c r="C32" s="199"/>
      <c r="D32" s="200"/>
      <c r="E32" s="201">
        <f t="shared" ref="E32:I32" si="37">SUM(E15:E31)</f>
        <v>0</v>
      </c>
      <c r="F32" s="201">
        <f t="shared" si="37"/>
        <v>0</v>
      </c>
      <c r="G32" s="201">
        <f t="shared" si="37"/>
        <v>0</v>
      </c>
      <c r="H32" s="201">
        <f t="shared" si="37"/>
        <v>0</v>
      </c>
      <c r="I32" s="201">
        <f t="shared" si="37"/>
        <v>0</v>
      </c>
      <c r="J32" s="201">
        <f t="shared" si="3"/>
        <v>0</v>
      </c>
      <c r="K32" s="201">
        <f t="shared" si="4"/>
        <v>0</v>
      </c>
      <c r="L32" s="201">
        <f t="shared" si="5"/>
        <v>0</v>
      </c>
      <c r="M32" s="201">
        <f t="shared" si="6"/>
        <v>0</v>
      </c>
      <c r="N32" s="201">
        <f t="shared" ref="N32:Q32" si="38">SUM(N15:N31)</f>
        <v>0</v>
      </c>
      <c r="O32" s="201">
        <f t="shared" si="38"/>
        <v>0</v>
      </c>
      <c r="P32" s="201">
        <f t="shared" si="38"/>
        <v>0</v>
      </c>
      <c r="Q32" s="201">
        <f t="shared" si="38"/>
        <v>0</v>
      </c>
      <c r="R32" s="201">
        <f t="shared" si="9"/>
        <v>0</v>
      </c>
      <c r="S32" s="201">
        <f t="shared" si="10"/>
        <v>0</v>
      </c>
      <c r="T32" s="201">
        <f t="shared" si="11"/>
        <v>0</v>
      </c>
      <c r="U32" s="202"/>
      <c r="V32" s="201">
        <f>IFERROR(__xludf.DUMMYFUNCTION("""COMPUTED_VALUE"""),0.0)</f>
        <v>0</v>
      </c>
      <c r="W32" s="201">
        <f>IFERROR(__xludf.DUMMYFUNCTION("""COMPUTED_VALUE"""),0.0)</f>
        <v>0</v>
      </c>
      <c r="X32" s="201">
        <f>IFERROR(__xludf.DUMMYFUNCTION("""COMPUTED_VALUE"""),0.0)</f>
        <v>0</v>
      </c>
      <c r="Y32" s="201">
        <f>IFERROR(__xludf.DUMMYFUNCTION("""COMPUTED_VALUE"""),0.0)</f>
        <v>0</v>
      </c>
      <c r="Z32" s="201">
        <f t="shared" si="12"/>
        <v>0</v>
      </c>
      <c r="AA32" s="201">
        <f t="shared" si="13"/>
        <v>0</v>
      </c>
      <c r="AB32" s="201">
        <f t="shared" si="14"/>
        <v>0</v>
      </c>
    </row>
    <row r="33" ht="14.25" customHeight="1">
      <c r="A33" s="175"/>
      <c r="B33" s="196"/>
      <c r="C33" s="181"/>
      <c r="D33" s="197" t="s">
        <v>773</v>
      </c>
      <c r="E33" s="183">
        <f>SUMIFS('DB WBS'!$J:$J,'DB WBS'!$A:$A,$D$4,'DB WBS'!$D:$D,AA$1,'DB WBS'!$B:$B,$E$3,'DB WBS'!$E:$E,$B33)</f>
        <v>0</v>
      </c>
      <c r="F33" s="183">
        <f>SUMIFS('DB WBS'!$J:$J,'DB WBS'!$A:$A,$D$4,'DB WBS'!$D:$D,AA$2,'DB WBS'!$B:$B,$E$3,'DB WBS'!$E:$E,$B33)</f>
        <v>0</v>
      </c>
      <c r="G33" s="184">
        <f>IFERROR(HLOOKUP($E$3,'Tahun Lalu'!$B$5:$V$158,MATCH(B33,'Tahun Lalu'!$B$5:$B$158,0),0),0)</f>
        <v>0</v>
      </c>
      <c r="H33" s="184">
        <v>0.0</v>
      </c>
      <c r="I33" s="184">
        <v>0.0</v>
      </c>
      <c r="J33" s="183">
        <f t="shared" si="3"/>
        <v>0</v>
      </c>
      <c r="K33" s="183">
        <f t="shared" si="4"/>
        <v>0</v>
      </c>
      <c r="L33" s="183">
        <f t="shared" si="5"/>
        <v>0</v>
      </c>
      <c r="M33" s="183">
        <f t="shared" si="6"/>
        <v>0</v>
      </c>
      <c r="N33" s="183">
        <f>E33+V33</f>
        <v>0</v>
      </c>
      <c r="O33" s="183">
        <f t="shared" ref="O33:Q33" si="39">G33+W33</f>
        <v>0</v>
      </c>
      <c r="P33" s="183">
        <f t="shared" si="39"/>
        <v>0</v>
      </c>
      <c r="Q33" s="183">
        <f t="shared" si="39"/>
        <v>0</v>
      </c>
      <c r="R33" s="183">
        <f t="shared" si="9"/>
        <v>0</v>
      </c>
      <c r="S33" s="183">
        <f t="shared" si="10"/>
        <v>0</v>
      </c>
      <c r="T33" s="183">
        <f t="shared" si="11"/>
        <v>0</v>
      </c>
      <c r="U33" s="186"/>
      <c r="V33" s="183">
        <f>IFERROR(__xludf.DUMMYFUNCTION("""COMPUTED_VALUE"""),0.0)</f>
        <v>0</v>
      </c>
      <c r="W33" s="183">
        <f>IFERROR(__xludf.DUMMYFUNCTION("""COMPUTED_VALUE"""),0.0)</f>
        <v>0</v>
      </c>
      <c r="X33" s="183">
        <f>IFERROR(__xludf.DUMMYFUNCTION("""COMPUTED_VALUE"""),0.0)</f>
        <v>0</v>
      </c>
      <c r="Y33" s="183">
        <f>IFERROR(__xludf.DUMMYFUNCTION("""COMPUTED_VALUE"""),0.0)</f>
        <v>0</v>
      </c>
      <c r="Z33" s="183">
        <f t="shared" si="12"/>
        <v>0</v>
      </c>
      <c r="AA33" s="183">
        <f t="shared" si="13"/>
        <v>0</v>
      </c>
      <c r="AB33" s="183">
        <f t="shared" si="14"/>
        <v>0</v>
      </c>
    </row>
    <row r="34" ht="14.25" customHeight="1">
      <c r="A34" s="190"/>
      <c r="B34" s="191" t="s">
        <v>774</v>
      </c>
      <c r="C34" s="199"/>
      <c r="D34" s="200"/>
      <c r="E34" s="201">
        <f t="shared" ref="E34:I34" si="40">SUM(E33)</f>
        <v>0</v>
      </c>
      <c r="F34" s="201">
        <f t="shared" si="40"/>
        <v>0</v>
      </c>
      <c r="G34" s="201">
        <f t="shared" si="40"/>
        <v>0</v>
      </c>
      <c r="H34" s="201">
        <f t="shared" si="40"/>
        <v>0</v>
      </c>
      <c r="I34" s="201">
        <f t="shared" si="40"/>
        <v>0</v>
      </c>
      <c r="J34" s="201">
        <f t="shared" si="3"/>
        <v>0</v>
      </c>
      <c r="K34" s="201">
        <f t="shared" si="4"/>
        <v>0</v>
      </c>
      <c r="L34" s="201">
        <f t="shared" si="5"/>
        <v>0</v>
      </c>
      <c r="M34" s="201">
        <f t="shared" si="6"/>
        <v>0</v>
      </c>
      <c r="N34" s="201">
        <f t="shared" ref="N34:Q34" si="41">SUM(N33)</f>
        <v>0</v>
      </c>
      <c r="O34" s="201">
        <f t="shared" si="41"/>
        <v>0</v>
      </c>
      <c r="P34" s="201">
        <f t="shared" si="41"/>
        <v>0</v>
      </c>
      <c r="Q34" s="201">
        <f t="shared" si="41"/>
        <v>0</v>
      </c>
      <c r="R34" s="201">
        <f t="shared" si="9"/>
        <v>0</v>
      </c>
      <c r="S34" s="201">
        <f t="shared" si="10"/>
        <v>0</v>
      </c>
      <c r="T34" s="201">
        <f t="shared" si="11"/>
        <v>0</v>
      </c>
      <c r="U34" s="202"/>
      <c r="V34" s="201">
        <f>IFERROR(__xludf.DUMMYFUNCTION("""COMPUTED_VALUE"""),0.0)</f>
        <v>0</v>
      </c>
      <c r="W34" s="201">
        <f>IFERROR(__xludf.DUMMYFUNCTION("""COMPUTED_VALUE"""),0.0)</f>
        <v>0</v>
      </c>
      <c r="X34" s="201">
        <f>IFERROR(__xludf.DUMMYFUNCTION("""COMPUTED_VALUE"""),0.0)</f>
        <v>0</v>
      </c>
      <c r="Y34" s="201">
        <f>IFERROR(__xludf.DUMMYFUNCTION("""COMPUTED_VALUE"""),0.0)</f>
        <v>0</v>
      </c>
      <c r="Z34" s="201">
        <f t="shared" si="12"/>
        <v>0</v>
      </c>
      <c r="AA34" s="201">
        <f t="shared" si="13"/>
        <v>0</v>
      </c>
      <c r="AB34" s="201">
        <f t="shared" si="14"/>
        <v>0</v>
      </c>
    </row>
    <row r="35" ht="14.25" customHeight="1">
      <c r="A35" s="175"/>
      <c r="B35" s="196" t="s">
        <v>775</v>
      </c>
      <c r="C35" s="181"/>
      <c r="D35" s="197" t="s">
        <v>776</v>
      </c>
      <c r="E35" s="183">
        <f>SUMIFS('DB WBS'!$J:$J,'DB WBS'!$A:$A,$D$4,'DB WBS'!$D:$D,AA$1,'DB WBS'!$B:$B,$E$3,'DB WBS'!$E:$E,$B35)</f>
        <v>0</v>
      </c>
      <c r="F35" s="183">
        <f>SUMIFS('DB WBS'!$J:$J,'DB WBS'!$A:$A,$D$4,'DB WBS'!$D:$D,AA$2,'DB WBS'!$B:$B,$E$3,'DB WBS'!$E:$E,$B35)</f>
        <v>0</v>
      </c>
      <c r="G35" s="184">
        <f>IFERROR(HLOOKUP($E$3,'Tahun Lalu'!$B$5:$V$158,MATCH(B35,'Tahun Lalu'!$B$5:$B$158,0),0),0)</f>
        <v>0</v>
      </c>
      <c r="H35" s="184">
        <v>0.0</v>
      </c>
      <c r="I35" s="184">
        <v>0.0</v>
      </c>
      <c r="J35" s="183">
        <f t="shared" si="3"/>
        <v>0</v>
      </c>
      <c r="K35" s="183">
        <f t="shared" si="4"/>
        <v>0</v>
      </c>
      <c r="L35" s="183">
        <f t="shared" si="5"/>
        <v>0</v>
      </c>
      <c r="M35" s="183">
        <f t="shared" si="6"/>
        <v>0</v>
      </c>
      <c r="N35" s="183">
        <f t="shared" ref="N35:N44" si="43">E35+V35</f>
        <v>0</v>
      </c>
      <c r="O35" s="183">
        <f t="shared" ref="O35:Q35" si="42">G35+W35</f>
        <v>0</v>
      </c>
      <c r="P35" s="183">
        <f t="shared" si="42"/>
        <v>0</v>
      </c>
      <c r="Q35" s="183">
        <f t="shared" si="42"/>
        <v>0</v>
      </c>
      <c r="R35" s="183">
        <f t="shared" si="9"/>
        <v>0</v>
      </c>
      <c r="S35" s="183">
        <f t="shared" si="10"/>
        <v>0</v>
      </c>
      <c r="T35" s="183">
        <f t="shared" si="11"/>
        <v>0</v>
      </c>
      <c r="U35" s="186"/>
      <c r="V35" s="183">
        <f>IFERROR(__xludf.DUMMYFUNCTION("""COMPUTED_VALUE"""),0.0)</f>
        <v>0</v>
      </c>
      <c r="W35" s="183">
        <f>IFERROR(__xludf.DUMMYFUNCTION("""COMPUTED_VALUE"""),0.0)</f>
        <v>0</v>
      </c>
      <c r="X35" s="183">
        <f>IFERROR(__xludf.DUMMYFUNCTION("""COMPUTED_VALUE"""),0.0)</f>
        <v>0</v>
      </c>
      <c r="Y35" s="183">
        <f>IFERROR(__xludf.DUMMYFUNCTION("""COMPUTED_VALUE"""),0.0)</f>
        <v>0</v>
      </c>
      <c r="Z35" s="183">
        <f t="shared" si="12"/>
        <v>0</v>
      </c>
      <c r="AA35" s="183">
        <f t="shared" si="13"/>
        <v>0</v>
      </c>
      <c r="AB35" s="183">
        <f t="shared" si="14"/>
        <v>0</v>
      </c>
    </row>
    <row r="36" ht="14.25" customHeight="1">
      <c r="A36" s="175"/>
      <c r="B36" s="196" t="s">
        <v>777</v>
      </c>
      <c r="C36" s="181"/>
      <c r="D36" s="197" t="s">
        <v>778</v>
      </c>
      <c r="E36" s="183">
        <f>SUMIFS('DB WBS'!$J:$J,'DB WBS'!$A:$A,$D$4,'DB WBS'!$D:$D,AA$1,'DB WBS'!$B:$B,$E$3,'DB WBS'!$E:$E,$B36)</f>
        <v>0</v>
      </c>
      <c r="F36" s="183">
        <f>SUMIFS('DB WBS'!$J:$J,'DB WBS'!$A:$A,$D$4,'DB WBS'!$D:$D,AA$2,'DB WBS'!$B:$B,$E$3,'DB WBS'!$E:$E,$B36)</f>
        <v>0</v>
      </c>
      <c r="G36" s="184">
        <f>IFERROR(HLOOKUP($E$3,'Tahun Lalu'!$B$5:$V$158,MATCH(B36,'Tahun Lalu'!$B$5:$B$158,0),0),0)</f>
        <v>0</v>
      </c>
      <c r="H36" s="184">
        <v>0.0</v>
      </c>
      <c r="I36" s="184">
        <v>0.0</v>
      </c>
      <c r="J36" s="183">
        <f t="shared" si="3"/>
        <v>0</v>
      </c>
      <c r="K36" s="183">
        <f t="shared" si="4"/>
        <v>0</v>
      </c>
      <c r="L36" s="183">
        <f t="shared" si="5"/>
        <v>0</v>
      </c>
      <c r="M36" s="183">
        <f t="shared" si="6"/>
        <v>0</v>
      </c>
      <c r="N36" s="183">
        <f t="shared" si="43"/>
        <v>0</v>
      </c>
      <c r="O36" s="183">
        <f t="shared" ref="O36:Q36" si="44">G36+W36</f>
        <v>0</v>
      </c>
      <c r="P36" s="183">
        <f t="shared" si="44"/>
        <v>0</v>
      </c>
      <c r="Q36" s="183">
        <f t="shared" si="44"/>
        <v>0</v>
      </c>
      <c r="R36" s="183">
        <f t="shared" si="9"/>
        <v>0</v>
      </c>
      <c r="S36" s="183">
        <f t="shared" si="10"/>
        <v>0</v>
      </c>
      <c r="T36" s="183">
        <f t="shared" si="11"/>
        <v>0</v>
      </c>
      <c r="U36" s="186"/>
      <c r="V36" s="183">
        <f>IFERROR(__xludf.DUMMYFUNCTION("""COMPUTED_VALUE"""),0.0)</f>
        <v>0</v>
      </c>
      <c r="W36" s="183">
        <f>IFERROR(__xludf.DUMMYFUNCTION("""COMPUTED_VALUE"""),0.0)</f>
        <v>0</v>
      </c>
      <c r="X36" s="183">
        <f>IFERROR(__xludf.DUMMYFUNCTION("""COMPUTED_VALUE"""),0.0)</f>
        <v>0</v>
      </c>
      <c r="Y36" s="183">
        <f>IFERROR(__xludf.DUMMYFUNCTION("""COMPUTED_VALUE"""),0.0)</f>
        <v>0</v>
      </c>
      <c r="Z36" s="183">
        <f t="shared" si="12"/>
        <v>0</v>
      </c>
      <c r="AA36" s="183">
        <f t="shared" si="13"/>
        <v>0</v>
      </c>
      <c r="AB36" s="183">
        <f t="shared" si="14"/>
        <v>0</v>
      </c>
    </row>
    <row r="37" ht="14.25" customHeight="1">
      <c r="A37" s="175"/>
      <c r="B37" s="196" t="s">
        <v>779</v>
      </c>
      <c r="C37" s="181"/>
      <c r="D37" s="197" t="s">
        <v>780</v>
      </c>
      <c r="E37" s="183">
        <f>SUMIFS('DB WBS'!$J:$J,'DB WBS'!$A:$A,$D$4,'DB WBS'!$D:$D,AA$1,'DB WBS'!$B:$B,$E$3,'DB WBS'!$E:$E,$B37)</f>
        <v>0</v>
      </c>
      <c r="F37" s="183">
        <f>SUMIFS('DB WBS'!$J:$J,'DB WBS'!$A:$A,$D$4,'DB WBS'!$D:$D,AA$2,'DB WBS'!$B:$B,$E$3,'DB WBS'!$E:$E,$B37)</f>
        <v>0</v>
      </c>
      <c r="G37" s="184">
        <f>IFERROR(HLOOKUP($E$3,'Tahun Lalu'!$B$5:$V$158,MATCH(B37,'Tahun Lalu'!$B$5:$B$158,0),0),0)</f>
        <v>0</v>
      </c>
      <c r="H37" s="184">
        <v>0.0</v>
      </c>
      <c r="I37" s="184">
        <v>0.0</v>
      </c>
      <c r="J37" s="183">
        <f t="shared" si="3"/>
        <v>0</v>
      </c>
      <c r="K37" s="183">
        <f t="shared" si="4"/>
        <v>0</v>
      </c>
      <c r="L37" s="183">
        <f t="shared" si="5"/>
        <v>0</v>
      </c>
      <c r="M37" s="183">
        <f t="shared" si="6"/>
        <v>0</v>
      </c>
      <c r="N37" s="183">
        <f t="shared" si="43"/>
        <v>0</v>
      </c>
      <c r="O37" s="183">
        <f t="shared" ref="O37:Q37" si="45">G37+W37</f>
        <v>0</v>
      </c>
      <c r="P37" s="183">
        <f t="shared" si="45"/>
        <v>0</v>
      </c>
      <c r="Q37" s="183">
        <f t="shared" si="45"/>
        <v>0</v>
      </c>
      <c r="R37" s="183">
        <f t="shared" si="9"/>
        <v>0</v>
      </c>
      <c r="S37" s="183">
        <f t="shared" si="10"/>
        <v>0</v>
      </c>
      <c r="T37" s="183">
        <f t="shared" si="11"/>
        <v>0</v>
      </c>
      <c r="U37" s="186"/>
      <c r="V37" s="183">
        <f>IFERROR(__xludf.DUMMYFUNCTION("""COMPUTED_VALUE"""),0.0)</f>
        <v>0</v>
      </c>
      <c r="W37" s="183">
        <f>IFERROR(__xludf.DUMMYFUNCTION("""COMPUTED_VALUE"""),0.0)</f>
        <v>0</v>
      </c>
      <c r="X37" s="183">
        <f>IFERROR(__xludf.DUMMYFUNCTION("""COMPUTED_VALUE"""),0.0)</f>
        <v>0</v>
      </c>
      <c r="Y37" s="183">
        <f>IFERROR(__xludf.DUMMYFUNCTION("""COMPUTED_VALUE"""),0.0)</f>
        <v>0</v>
      </c>
      <c r="Z37" s="183">
        <f t="shared" si="12"/>
        <v>0</v>
      </c>
      <c r="AA37" s="183">
        <f t="shared" si="13"/>
        <v>0</v>
      </c>
      <c r="AB37" s="183">
        <f t="shared" si="14"/>
        <v>0</v>
      </c>
    </row>
    <row r="38" ht="14.25" customHeight="1">
      <c r="A38" s="175"/>
      <c r="B38" s="196" t="s">
        <v>267</v>
      </c>
      <c r="C38" s="181"/>
      <c r="D38" s="197" t="s">
        <v>268</v>
      </c>
      <c r="E38" s="183">
        <f>SUMIFS('DB WBS'!$J:$J,'DB WBS'!$A:$A,$D$4,'DB WBS'!$D:$D,AA$1,'DB WBS'!$B:$B,$E$3,'DB WBS'!$E:$E,$B38)</f>
        <v>0</v>
      </c>
      <c r="F38" s="183">
        <f>SUMIFS('DB WBS'!$J:$J,'DB WBS'!$A:$A,$D$4,'DB WBS'!$D:$D,AA$2,'DB WBS'!$B:$B,$E$3,'DB WBS'!$E:$E,$B38)</f>
        <v>0</v>
      </c>
      <c r="G38" s="184">
        <f>IFERROR(HLOOKUP($E$3,'Tahun Lalu'!$B$5:$V$158,MATCH(B38,'Tahun Lalu'!$B$5:$B$158,0),0),0)</f>
        <v>0</v>
      </c>
      <c r="H38" s="184">
        <v>0.0</v>
      </c>
      <c r="I38" s="184">
        <v>0.0</v>
      </c>
      <c r="J38" s="183">
        <f t="shared" si="3"/>
        <v>0</v>
      </c>
      <c r="K38" s="183">
        <f t="shared" si="4"/>
        <v>0</v>
      </c>
      <c r="L38" s="183">
        <f t="shared" si="5"/>
        <v>0</v>
      </c>
      <c r="M38" s="183">
        <f t="shared" si="6"/>
        <v>0</v>
      </c>
      <c r="N38" s="183">
        <f t="shared" si="43"/>
        <v>0</v>
      </c>
      <c r="O38" s="183">
        <f t="shared" ref="O38:Q38" si="46">G38+W38</f>
        <v>0</v>
      </c>
      <c r="P38" s="183">
        <f t="shared" si="46"/>
        <v>0</v>
      </c>
      <c r="Q38" s="183">
        <f t="shared" si="46"/>
        <v>0</v>
      </c>
      <c r="R38" s="183">
        <f t="shared" si="9"/>
        <v>0</v>
      </c>
      <c r="S38" s="183">
        <f t="shared" si="10"/>
        <v>0</v>
      </c>
      <c r="T38" s="183">
        <f t="shared" si="11"/>
        <v>0</v>
      </c>
      <c r="U38" s="186"/>
      <c r="V38" s="183">
        <f>IFERROR(__xludf.DUMMYFUNCTION("""COMPUTED_VALUE"""),0.0)</f>
        <v>0</v>
      </c>
      <c r="W38" s="183">
        <f>IFERROR(__xludf.DUMMYFUNCTION("""COMPUTED_VALUE"""),0.0)</f>
        <v>0</v>
      </c>
      <c r="X38" s="183">
        <f>IFERROR(__xludf.DUMMYFUNCTION("""COMPUTED_VALUE"""),0.0)</f>
        <v>0</v>
      </c>
      <c r="Y38" s="183">
        <f>IFERROR(__xludf.DUMMYFUNCTION("""COMPUTED_VALUE"""),0.0)</f>
        <v>0</v>
      </c>
      <c r="Z38" s="183">
        <f t="shared" si="12"/>
        <v>0</v>
      </c>
      <c r="AA38" s="183">
        <f t="shared" si="13"/>
        <v>0</v>
      </c>
      <c r="AB38" s="183">
        <f t="shared" si="14"/>
        <v>0</v>
      </c>
    </row>
    <row r="39" ht="14.25" customHeight="1">
      <c r="A39" s="175"/>
      <c r="B39" s="196" t="s">
        <v>781</v>
      </c>
      <c r="C39" s="181"/>
      <c r="D39" s="197" t="s">
        <v>782</v>
      </c>
      <c r="E39" s="183">
        <f>SUMIFS('DB WBS'!$J:$J,'DB WBS'!$A:$A,$D$4,'DB WBS'!$D:$D,AA$1,'DB WBS'!$B:$B,$E$3,'DB WBS'!$E:$E,$B39)</f>
        <v>0</v>
      </c>
      <c r="F39" s="183">
        <f>SUMIFS('DB WBS'!$J:$J,'DB WBS'!$A:$A,$D$4,'DB WBS'!$D:$D,AA$2,'DB WBS'!$B:$B,$E$3,'DB WBS'!$E:$E,$B39)</f>
        <v>0</v>
      </c>
      <c r="G39" s="184">
        <f>IFERROR(HLOOKUP($E$3,'Tahun Lalu'!$B$5:$V$158,MATCH(B39,'Tahun Lalu'!$B$5:$B$158,0),0),0)</f>
        <v>0</v>
      </c>
      <c r="H39" s="184">
        <v>0.0</v>
      </c>
      <c r="I39" s="184">
        <v>0.0</v>
      </c>
      <c r="J39" s="183">
        <f t="shared" si="3"/>
        <v>0</v>
      </c>
      <c r="K39" s="183">
        <f t="shared" si="4"/>
        <v>0</v>
      </c>
      <c r="L39" s="183">
        <f t="shared" si="5"/>
        <v>0</v>
      </c>
      <c r="M39" s="183">
        <f t="shared" si="6"/>
        <v>0</v>
      </c>
      <c r="N39" s="183">
        <f t="shared" si="43"/>
        <v>0</v>
      </c>
      <c r="O39" s="183">
        <f t="shared" ref="O39:Q39" si="47">G39+W39</f>
        <v>0</v>
      </c>
      <c r="P39" s="183">
        <f t="shared" si="47"/>
        <v>0</v>
      </c>
      <c r="Q39" s="183">
        <f t="shared" si="47"/>
        <v>0</v>
      </c>
      <c r="R39" s="183">
        <f t="shared" si="9"/>
        <v>0</v>
      </c>
      <c r="S39" s="183">
        <f t="shared" si="10"/>
        <v>0</v>
      </c>
      <c r="T39" s="183">
        <f t="shared" si="11"/>
        <v>0</v>
      </c>
      <c r="U39" s="186"/>
      <c r="V39" s="183">
        <f>IFERROR(__xludf.DUMMYFUNCTION("""COMPUTED_VALUE"""),0.0)</f>
        <v>0</v>
      </c>
      <c r="W39" s="183">
        <f>IFERROR(__xludf.DUMMYFUNCTION("""COMPUTED_VALUE"""),0.0)</f>
        <v>0</v>
      </c>
      <c r="X39" s="183">
        <f>IFERROR(__xludf.DUMMYFUNCTION("""COMPUTED_VALUE"""),0.0)</f>
        <v>0</v>
      </c>
      <c r="Y39" s="183">
        <f>IFERROR(__xludf.DUMMYFUNCTION("""COMPUTED_VALUE"""),0.0)</f>
        <v>0</v>
      </c>
      <c r="Z39" s="183">
        <f t="shared" si="12"/>
        <v>0</v>
      </c>
      <c r="AA39" s="183">
        <f t="shared" si="13"/>
        <v>0</v>
      </c>
      <c r="AB39" s="183">
        <f t="shared" si="14"/>
        <v>0</v>
      </c>
    </row>
    <row r="40" ht="14.25" customHeight="1">
      <c r="A40" s="175"/>
      <c r="B40" s="196" t="s">
        <v>783</v>
      </c>
      <c r="C40" s="181"/>
      <c r="D40" s="197" t="s">
        <v>784</v>
      </c>
      <c r="E40" s="183">
        <f>SUMIFS('DB WBS'!$J:$J,'DB WBS'!$A:$A,$D$4,'DB WBS'!$D:$D,AA$1,'DB WBS'!$B:$B,$E$3,'DB WBS'!$E:$E,$B40)</f>
        <v>0</v>
      </c>
      <c r="F40" s="183">
        <f>SUMIFS('DB WBS'!$J:$J,'DB WBS'!$A:$A,$D$4,'DB WBS'!$D:$D,AA$2,'DB WBS'!$B:$B,$E$3,'DB WBS'!$E:$E,$B40)</f>
        <v>0</v>
      </c>
      <c r="G40" s="184">
        <f>IFERROR(HLOOKUP($E$3,'Tahun Lalu'!$B$5:$V$158,MATCH(B40,'Tahun Lalu'!$B$5:$B$158,0),0),0)</f>
        <v>0</v>
      </c>
      <c r="H40" s="184">
        <v>0.0</v>
      </c>
      <c r="I40" s="184">
        <v>0.0</v>
      </c>
      <c r="J40" s="183">
        <f t="shared" si="3"/>
        <v>0</v>
      </c>
      <c r="K40" s="183">
        <f t="shared" si="4"/>
        <v>0</v>
      </c>
      <c r="L40" s="183">
        <f t="shared" si="5"/>
        <v>0</v>
      </c>
      <c r="M40" s="183">
        <f t="shared" si="6"/>
        <v>0</v>
      </c>
      <c r="N40" s="183">
        <f t="shared" si="43"/>
        <v>0</v>
      </c>
      <c r="O40" s="183">
        <f t="shared" ref="O40:Q40" si="48">G40+W40</f>
        <v>0</v>
      </c>
      <c r="P40" s="183">
        <f t="shared" si="48"/>
        <v>0</v>
      </c>
      <c r="Q40" s="183">
        <f t="shared" si="48"/>
        <v>0</v>
      </c>
      <c r="R40" s="183">
        <f t="shared" si="9"/>
        <v>0</v>
      </c>
      <c r="S40" s="183">
        <f t="shared" si="10"/>
        <v>0</v>
      </c>
      <c r="T40" s="183">
        <f t="shared" si="11"/>
        <v>0</v>
      </c>
      <c r="U40" s="186"/>
      <c r="V40" s="183">
        <f>IFERROR(__xludf.DUMMYFUNCTION("""COMPUTED_VALUE"""),0.0)</f>
        <v>0</v>
      </c>
      <c r="W40" s="183">
        <f>IFERROR(__xludf.DUMMYFUNCTION("""COMPUTED_VALUE"""),0.0)</f>
        <v>0</v>
      </c>
      <c r="X40" s="183">
        <f>IFERROR(__xludf.DUMMYFUNCTION("""COMPUTED_VALUE"""),0.0)</f>
        <v>0</v>
      </c>
      <c r="Y40" s="183">
        <f>IFERROR(__xludf.DUMMYFUNCTION("""COMPUTED_VALUE"""),0.0)</f>
        <v>0</v>
      </c>
      <c r="Z40" s="183">
        <f t="shared" si="12"/>
        <v>0</v>
      </c>
      <c r="AA40" s="183">
        <f t="shared" si="13"/>
        <v>0</v>
      </c>
      <c r="AB40" s="183">
        <f t="shared" si="14"/>
        <v>0</v>
      </c>
    </row>
    <row r="41" ht="14.25" customHeight="1">
      <c r="A41" s="175"/>
      <c r="B41" s="196" t="s">
        <v>34</v>
      </c>
      <c r="C41" s="181"/>
      <c r="D41" s="197" t="s">
        <v>35</v>
      </c>
      <c r="E41" s="183">
        <f>SUMIFS('DB WBS'!$J:$J,'DB WBS'!$A:$A,$D$4,'DB WBS'!$D:$D,AA$1,'DB WBS'!$B:$B,$E$3,'DB WBS'!$E:$E,$B41)</f>
        <v>0</v>
      </c>
      <c r="F41" s="183">
        <f>SUMIFS('DB WBS'!$J:$J,'DB WBS'!$A:$A,$D$4,'DB WBS'!$D:$D,AA$2,'DB WBS'!$B:$B,$E$3,'DB WBS'!$E:$E,$B41)</f>
        <v>0</v>
      </c>
      <c r="G41" s="184">
        <f>IFERROR(HLOOKUP($E$3,'Tahun Lalu'!$B$5:$V$158,MATCH(B41,'Tahun Lalu'!$B$5:$B$158,0),0),0)</f>
        <v>0</v>
      </c>
      <c r="H41" s="184">
        <v>0.0</v>
      </c>
      <c r="I41" s="184">
        <v>0.0</v>
      </c>
      <c r="J41" s="183">
        <f t="shared" si="3"/>
        <v>0</v>
      </c>
      <c r="K41" s="183">
        <f t="shared" si="4"/>
        <v>0</v>
      </c>
      <c r="L41" s="183">
        <f t="shared" si="5"/>
        <v>0</v>
      </c>
      <c r="M41" s="183">
        <f t="shared" si="6"/>
        <v>0</v>
      </c>
      <c r="N41" s="183">
        <f t="shared" si="43"/>
        <v>0</v>
      </c>
      <c r="O41" s="183">
        <f t="shared" ref="O41:Q41" si="49">G41+W41</f>
        <v>0</v>
      </c>
      <c r="P41" s="183">
        <f t="shared" si="49"/>
        <v>0</v>
      </c>
      <c r="Q41" s="183">
        <f t="shared" si="49"/>
        <v>0</v>
      </c>
      <c r="R41" s="183">
        <f t="shared" si="9"/>
        <v>0</v>
      </c>
      <c r="S41" s="183">
        <f t="shared" si="10"/>
        <v>0</v>
      </c>
      <c r="T41" s="183">
        <f t="shared" si="11"/>
        <v>0</v>
      </c>
      <c r="U41" s="186"/>
      <c r="V41" s="183">
        <f>IFERROR(__xludf.DUMMYFUNCTION("""COMPUTED_VALUE"""),0.0)</f>
        <v>0</v>
      </c>
      <c r="W41" s="183">
        <f>IFERROR(__xludf.DUMMYFUNCTION("""COMPUTED_VALUE"""),0.0)</f>
        <v>0</v>
      </c>
      <c r="X41" s="183">
        <f>IFERROR(__xludf.DUMMYFUNCTION("""COMPUTED_VALUE"""),0.0)</f>
        <v>0</v>
      </c>
      <c r="Y41" s="183">
        <f>IFERROR(__xludf.DUMMYFUNCTION("""COMPUTED_VALUE"""),0.0)</f>
        <v>0</v>
      </c>
      <c r="Z41" s="183">
        <f t="shared" si="12"/>
        <v>0</v>
      </c>
      <c r="AA41" s="183">
        <f t="shared" si="13"/>
        <v>0</v>
      </c>
      <c r="AB41" s="183">
        <f t="shared" si="14"/>
        <v>0</v>
      </c>
    </row>
    <row r="42" ht="14.25" customHeight="1">
      <c r="A42" s="175"/>
      <c r="B42" s="196" t="s">
        <v>785</v>
      </c>
      <c r="C42" s="181"/>
      <c r="D42" s="197" t="s">
        <v>258</v>
      </c>
      <c r="E42" s="183">
        <f>SUMIFS('DB WBS'!$J:$J,'DB WBS'!$A:$A,$D$4,'DB WBS'!$D:$D,AA$1,'DB WBS'!$B:$B,$E$3,'DB WBS'!$E:$E,$B42)</f>
        <v>0</v>
      </c>
      <c r="F42" s="183">
        <f>SUMIFS('DB WBS'!$J:$J,'DB WBS'!$A:$A,$D$4,'DB WBS'!$D:$D,AA$2,'DB WBS'!$B:$B,$E$3,'DB WBS'!$E:$E,$B42)</f>
        <v>0</v>
      </c>
      <c r="G42" s="184">
        <f>IFERROR(HLOOKUP($E$3,'Tahun Lalu'!$B$5:$V$158,MATCH(B42,'Tahun Lalu'!$B$5:$B$158,0),0),0)</f>
        <v>0</v>
      </c>
      <c r="H42" s="184">
        <v>0.0</v>
      </c>
      <c r="I42" s="184">
        <v>0.0</v>
      </c>
      <c r="J42" s="183">
        <f t="shared" si="3"/>
        <v>0</v>
      </c>
      <c r="K42" s="183">
        <f t="shared" si="4"/>
        <v>0</v>
      </c>
      <c r="L42" s="183">
        <f t="shared" si="5"/>
        <v>0</v>
      </c>
      <c r="M42" s="183">
        <f t="shared" si="6"/>
        <v>0</v>
      </c>
      <c r="N42" s="183">
        <f t="shared" si="43"/>
        <v>0</v>
      </c>
      <c r="O42" s="183">
        <f t="shared" ref="O42:Q42" si="50">G42+W42</f>
        <v>0</v>
      </c>
      <c r="P42" s="183">
        <f t="shared" si="50"/>
        <v>0</v>
      </c>
      <c r="Q42" s="183">
        <f t="shared" si="50"/>
        <v>0</v>
      </c>
      <c r="R42" s="183">
        <f t="shared" si="9"/>
        <v>0</v>
      </c>
      <c r="S42" s="183">
        <f t="shared" si="10"/>
        <v>0</v>
      </c>
      <c r="T42" s="183">
        <f t="shared" si="11"/>
        <v>0</v>
      </c>
      <c r="U42" s="186"/>
      <c r="V42" s="183">
        <f>IFERROR(__xludf.DUMMYFUNCTION("""COMPUTED_VALUE"""),0.0)</f>
        <v>0</v>
      </c>
      <c r="W42" s="183">
        <f>IFERROR(__xludf.DUMMYFUNCTION("""COMPUTED_VALUE"""),0.0)</f>
        <v>0</v>
      </c>
      <c r="X42" s="183">
        <f>IFERROR(__xludf.DUMMYFUNCTION("""COMPUTED_VALUE"""),0.0)</f>
        <v>0</v>
      </c>
      <c r="Y42" s="183">
        <f>IFERROR(__xludf.DUMMYFUNCTION("""COMPUTED_VALUE"""),0.0)</f>
        <v>0</v>
      </c>
      <c r="Z42" s="183">
        <f t="shared" si="12"/>
        <v>0</v>
      </c>
      <c r="AA42" s="183">
        <f t="shared" si="13"/>
        <v>0</v>
      </c>
      <c r="AB42" s="183">
        <f t="shared" si="14"/>
        <v>0</v>
      </c>
    </row>
    <row r="43" ht="14.25" customHeight="1">
      <c r="A43" s="175"/>
      <c r="B43" s="196" t="s">
        <v>786</v>
      </c>
      <c r="C43" s="181"/>
      <c r="D43" s="197" t="s">
        <v>787</v>
      </c>
      <c r="E43" s="183">
        <f>SUMIFS('DB WBS'!$J:$J,'DB WBS'!$A:$A,$D$4,'DB WBS'!$D:$D,AA$1,'DB WBS'!$B:$B,$E$3,'DB WBS'!$E:$E,$B43)</f>
        <v>0</v>
      </c>
      <c r="F43" s="183">
        <f>SUMIFS('DB WBS'!$J:$J,'DB WBS'!$A:$A,$D$4,'DB WBS'!$D:$D,AA$2,'DB WBS'!$B:$B,$E$3,'DB WBS'!$E:$E,$B43)</f>
        <v>0</v>
      </c>
      <c r="G43" s="184">
        <f>IFERROR(HLOOKUP($E$3,'Tahun Lalu'!$B$5:$V$158,MATCH(B43,'Tahun Lalu'!$B$5:$B$158,0),0),0)</f>
        <v>0</v>
      </c>
      <c r="H43" s="184">
        <v>0.0</v>
      </c>
      <c r="I43" s="184">
        <v>0.0</v>
      </c>
      <c r="J43" s="183">
        <f t="shared" si="3"/>
        <v>0</v>
      </c>
      <c r="K43" s="183">
        <f t="shared" si="4"/>
        <v>0</v>
      </c>
      <c r="L43" s="183">
        <f t="shared" si="5"/>
        <v>0</v>
      </c>
      <c r="M43" s="183">
        <f t="shared" si="6"/>
        <v>0</v>
      </c>
      <c r="N43" s="183">
        <f t="shared" si="43"/>
        <v>0</v>
      </c>
      <c r="O43" s="183">
        <f t="shared" ref="O43:Q43" si="51">G43+W43</f>
        <v>0</v>
      </c>
      <c r="P43" s="183">
        <f t="shared" si="51"/>
        <v>0</v>
      </c>
      <c r="Q43" s="183">
        <f t="shared" si="51"/>
        <v>0</v>
      </c>
      <c r="R43" s="183">
        <f t="shared" si="9"/>
        <v>0</v>
      </c>
      <c r="S43" s="183">
        <f t="shared" si="10"/>
        <v>0</v>
      </c>
      <c r="T43" s="183">
        <f t="shared" si="11"/>
        <v>0</v>
      </c>
      <c r="U43" s="186"/>
      <c r="V43" s="183">
        <f>IFERROR(__xludf.DUMMYFUNCTION("""COMPUTED_VALUE"""),0.0)</f>
        <v>0</v>
      </c>
      <c r="W43" s="183">
        <f>IFERROR(__xludf.DUMMYFUNCTION("""COMPUTED_VALUE"""),0.0)</f>
        <v>0</v>
      </c>
      <c r="X43" s="183">
        <f>IFERROR(__xludf.DUMMYFUNCTION("""COMPUTED_VALUE"""),0.0)</f>
        <v>0</v>
      </c>
      <c r="Y43" s="183">
        <f>IFERROR(__xludf.DUMMYFUNCTION("""COMPUTED_VALUE"""),0.0)</f>
        <v>0</v>
      </c>
      <c r="Z43" s="183">
        <f t="shared" si="12"/>
        <v>0</v>
      </c>
      <c r="AA43" s="183">
        <f t="shared" si="13"/>
        <v>0</v>
      </c>
      <c r="AB43" s="183">
        <f t="shared" si="14"/>
        <v>0</v>
      </c>
    </row>
    <row r="44" ht="14.25" customHeight="1">
      <c r="A44" s="175"/>
      <c r="B44" s="198"/>
      <c r="C44" s="177"/>
      <c r="D44" s="179"/>
      <c r="E44" s="183">
        <f>SUMIFS('DB WBS'!$J:$J,'DB WBS'!$A:$A,$D$4,'DB WBS'!$D:$D,AA$1,'DB WBS'!$B:$B,$E$3,'DB WBS'!$E:$E,$B44)</f>
        <v>0</v>
      </c>
      <c r="F44" s="183">
        <f>SUMIFS('DB WBS'!$J:$J,'DB WBS'!$A:$A,$D$4,'DB WBS'!$D:$D,AA$2,'DB WBS'!$B:$B,$E$3,'DB WBS'!$E:$E,$B44)</f>
        <v>0</v>
      </c>
      <c r="G44" s="184">
        <f>IFERROR(HLOOKUP($E$3,'Tahun Lalu'!$B$5:$V$158,MATCH(B44,'Tahun Lalu'!$B$5:$B$158,0),0),0)</f>
        <v>0</v>
      </c>
      <c r="H44" s="184">
        <v>0.0</v>
      </c>
      <c r="I44" s="184">
        <v>0.0</v>
      </c>
      <c r="J44" s="183">
        <f t="shared" si="3"/>
        <v>0</v>
      </c>
      <c r="K44" s="183">
        <f t="shared" si="4"/>
        <v>0</v>
      </c>
      <c r="L44" s="183">
        <f t="shared" si="5"/>
        <v>0</v>
      </c>
      <c r="M44" s="183">
        <f t="shared" si="6"/>
        <v>0</v>
      </c>
      <c r="N44" s="183">
        <f t="shared" si="43"/>
        <v>0</v>
      </c>
      <c r="O44" s="183">
        <f t="shared" ref="O44:Q44" si="52">G44+W44</f>
        <v>0</v>
      </c>
      <c r="P44" s="183">
        <f t="shared" si="52"/>
        <v>0</v>
      </c>
      <c r="Q44" s="183">
        <f t="shared" si="52"/>
        <v>0</v>
      </c>
      <c r="R44" s="183">
        <f t="shared" si="9"/>
        <v>0</v>
      </c>
      <c r="S44" s="183">
        <f t="shared" si="10"/>
        <v>0</v>
      </c>
      <c r="T44" s="183">
        <f t="shared" si="11"/>
        <v>0</v>
      </c>
      <c r="U44" s="186"/>
      <c r="V44" s="183">
        <f>IFERROR(__xludf.DUMMYFUNCTION("""COMPUTED_VALUE"""),0.0)</f>
        <v>0</v>
      </c>
      <c r="W44" s="183">
        <f>IFERROR(__xludf.DUMMYFUNCTION("""COMPUTED_VALUE"""),0.0)</f>
        <v>0</v>
      </c>
      <c r="X44" s="183">
        <f>IFERROR(__xludf.DUMMYFUNCTION("""COMPUTED_VALUE"""),0.0)</f>
        <v>0</v>
      </c>
      <c r="Y44" s="183">
        <f>IFERROR(__xludf.DUMMYFUNCTION("""COMPUTED_VALUE"""),0.0)</f>
        <v>0</v>
      </c>
      <c r="Z44" s="183">
        <f t="shared" si="12"/>
        <v>0</v>
      </c>
      <c r="AA44" s="183">
        <f t="shared" si="13"/>
        <v>0</v>
      </c>
      <c r="AB44" s="183">
        <f t="shared" si="14"/>
        <v>0</v>
      </c>
    </row>
    <row r="45" ht="14.25" customHeight="1">
      <c r="A45" s="175"/>
      <c r="B45" s="191" t="s">
        <v>788</v>
      </c>
      <c r="C45" s="199"/>
      <c r="D45" s="200"/>
      <c r="E45" s="201">
        <f t="shared" ref="E45:I45" si="53">SUM(E35:E44)</f>
        <v>0</v>
      </c>
      <c r="F45" s="201">
        <f t="shared" si="53"/>
        <v>0</v>
      </c>
      <c r="G45" s="201">
        <f t="shared" si="53"/>
        <v>0</v>
      </c>
      <c r="H45" s="201">
        <f t="shared" si="53"/>
        <v>0</v>
      </c>
      <c r="I45" s="201">
        <f t="shared" si="53"/>
        <v>0</v>
      </c>
      <c r="J45" s="201">
        <f t="shared" si="3"/>
        <v>0</v>
      </c>
      <c r="K45" s="201">
        <f t="shared" si="4"/>
        <v>0</v>
      </c>
      <c r="L45" s="201">
        <f t="shared" si="5"/>
        <v>0</v>
      </c>
      <c r="M45" s="201">
        <f t="shared" si="6"/>
        <v>0</v>
      </c>
      <c r="N45" s="201">
        <f t="shared" ref="N45:Q45" si="54">SUM(N35:N44)</f>
        <v>0</v>
      </c>
      <c r="O45" s="201">
        <f t="shared" si="54"/>
        <v>0</v>
      </c>
      <c r="P45" s="201">
        <f t="shared" si="54"/>
        <v>0</v>
      </c>
      <c r="Q45" s="201">
        <f t="shared" si="54"/>
        <v>0</v>
      </c>
      <c r="R45" s="201">
        <f t="shared" si="9"/>
        <v>0</v>
      </c>
      <c r="S45" s="201">
        <f t="shared" si="10"/>
        <v>0</v>
      </c>
      <c r="T45" s="201">
        <f t="shared" si="11"/>
        <v>0</v>
      </c>
      <c r="U45" s="202"/>
      <c r="V45" s="201">
        <f>IFERROR(__xludf.DUMMYFUNCTION("""COMPUTED_VALUE"""),0.0)</f>
        <v>0</v>
      </c>
      <c r="W45" s="201">
        <f>IFERROR(__xludf.DUMMYFUNCTION("""COMPUTED_VALUE"""),0.0)</f>
        <v>0</v>
      </c>
      <c r="X45" s="201">
        <f>IFERROR(__xludf.DUMMYFUNCTION("""COMPUTED_VALUE"""),0.0)</f>
        <v>0</v>
      </c>
      <c r="Y45" s="201">
        <f>IFERROR(__xludf.DUMMYFUNCTION("""COMPUTED_VALUE"""),0.0)</f>
        <v>0</v>
      </c>
      <c r="Z45" s="201">
        <f t="shared" si="12"/>
        <v>0</v>
      </c>
      <c r="AA45" s="201">
        <f t="shared" si="13"/>
        <v>0</v>
      </c>
      <c r="AB45" s="201">
        <f t="shared" si="14"/>
        <v>0</v>
      </c>
    </row>
    <row r="46" ht="14.25" customHeight="1">
      <c r="A46" s="175"/>
      <c r="B46" s="196" t="s">
        <v>40</v>
      </c>
      <c r="C46" s="181"/>
      <c r="D46" s="197" t="s">
        <v>41</v>
      </c>
      <c r="E46" s="183">
        <f>SUMIFS('DB WBS'!$J:$J,'DB WBS'!$A:$A,$D$4,'DB WBS'!$D:$D,AA$1,'DB WBS'!$B:$B,$E$3,'DB WBS'!$E:$E,$B46)</f>
        <v>0</v>
      </c>
      <c r="F46" s="183">
        <f>SUMIFS('DB WBS'!$J:$J,'DB WBS'!$A:$A,$D$4,'DB WBS'!$D:$D,AA$2,'DB WBS'!$B:$B,$E$3,'DB WBS'!$E:$E,$B46)</f>
        <v>0</v>
      </c>
      <c r="G46" s="184">
        <f>IFERROR(HLOOKUP($E$3,'Tahun Lalu'!$B$5:$V$158,MATCH(B46,'Tahun Lalu'!$B$5:$B$158,0),0),0)</f>
        <v>0</v>
      </c>
      <c r="H46" s="184">
        <v>0.0</v>
      </c>
      <c r="I46" s="184">
        <v>0.0</v>
      </c>
      <c r="J46" s="183">
        <f t="shared" si="3"/>
        <v>0</v>
      </c>
      <c r="K46" s="183">
        <f t="shared" si="4"/>
        <v>0</v>
      </c>
      <c r="L46" s="183">
        <f t="shared" si="5"/>
        <v>0</v>
      </c>
      <c r="M46" s="183">
        <f t="shared" si="6"/>
        <v>0</v>
      </c>
      <c r="N46" s="183">
        <f t="shared" ref="N46:N57" si="56">E46+V46</f>
        <v>0</v>
      </c>
      <c r="O46" s="183">
        <f t="shared" ref="O46:Q46" si="55">G46+W46</f>
        <v>0</v>
      </c>
      <c r="P46" s="183">
        <f t="shared" si="55"/>
        <v>0</v>
      </c>
      <c r="Q46" s="183">
        <f t="shared" si="55"/>
        <v>0</v>
      </c>
      <c r="R46" s="183">
        <f t="shared" si="9"/>
        <v>0</v>
      </c>
      <c r="S46" s="183">
        <f t="shared" si="10"/>
        <v>0</v>
      </c>
      <c r="T46" s="183">
        <f t="shared" si="11"/>
        <v>0</v>
      </c>
      <c r="U46" s="186"/>
      <c r="V46" s="183">
        <f>IFERROR(__xludf.DUMMYFUNCTION("""COMPUTED_VALUE"""),0.0)</f>
        <v>0</v>
      </c>
      <c r="W46" s="183">
        <f>IFERROR(__xludf.DUMMYFUNCTION("""COMPUTED_VALUE"""),0.0)</f>
        <v>0</v>
      </c>
      <c r="X46" s="183">
        <f>IFERROR(__xludf.DUMMYFUNCTION("""COMPUTED_VALUE"""),0.0)</f>
        <v>0</v>
      </c>
      <c r="Y46" s="183">
        <f>IFERROR(__xludf.DUMMYFUNCTION("""COMPUTED_VALUE"""),0.0)</f>
        <v>0</v>
      </c>
      <c r="Z46" s="183">
        <f t="shared" si="12"/>
        <v>0</v>
      </c>
      <c r="AA46" s="183">
        <f t="shared" si="13"/>
        <v>0</v>
      </c>
      <c r="AB46" s="183">
        <f t="shared" si="14"/>
        <v>0</v>
      </c>
    </row>
    <row r="47" ht="14.25" customHeight="1">
      <c r="A47" s="175"/>
      <c r="B47" s="196" t="s">
        <v>789</v>
      </c>
      <c r="C47" s="181"/>
      <c r="D47" s="197" t="s">
        <v>790</v>
      </c>
      <c r="E47" s="183">
        <f>SUMIFS('DB WBS'!$J:$J,'DB WBS'!$A:$A,$D$4,'DB WBS'!$D:$D,AA$1,'DB WBS'!$B:$B,$E$3,'DB WBS'!$E:$E,$B47)</f>
        <v>0</v>
      </c>
      <c r="F47" s="183">
        <f>SUMIFS('DB WBS'!$J:$J,'DB WBS'!$A:$A,$D$4,'DB WBS'!$D:$D,AA$2,'DB WBS'!$B:$B,$E$3,'DB WBS'!$E:$E,$B47)</f>
        <v>0</v>
      </c>
      <c r="G47" s="184">
        <f>IFERROR(HLOOKUP($E$3,'Tahun Lalu'!$B$5:$V$158,MATCH(B47,'Tahun Lalu'!$B$5:$B$158,0),0),0)</f>
        <v>0</v>
      </c>
      <c r="H47" s="184">
        <v>0.0</v>
      </c>
      <c r="I47" s="184">
        <v>0.0</v>
      </c>
      <c r="J47" s="183">
        <f t="shared" si="3"/>
        <v>0</v>
      </c>
      <c r="K47" s="183">
        <f t="shared" si="4"/>
        <v>0</v>
      </c>
      <c r="L47" s="183">
        <f t="shared" si="5"/>
        <v>0</v>
      </c>
      <c r="M47" s="183">
        <f t="shared" si="6"/>
        <v>0</v>
      </c>
      <c r="N47" s="183">
        <f t="shared" si="56"/>
        <v>0</v>
      </c>
      <c r="O47" s="183">
        <f t="shared" ref="O47:Q47" si="57">G47+W47</f>
        <v>0</v>
      </c>
      <c r="P47" s="183">
        <f t="shared" si="57"/>
        <v>0</v>
      </c>
      <c r="Q47" s="183">
        <f t="shared" si="57"/>
        <v>0</v>
      </c>
      <c r="R47" s="183">
        <f t="shared" si="9"/>
        <v>0</v>
      </c>
      <c r="S47" s="183">
        <f t="shared" si="10"/>
        <v>0</v>
      </c>
      <c r="T47" s="183">
        <f t="shared" si="11"/>
        <v>0</v>
      </c>
      <c r="U47" s="186"/>
      <c r="V47" s="183">
        <f>IFERROR(__xludf.DUMMYFUNCTION("""COMPUTED_VALUE"""),0.0)</f>
        <v>0</v>
      </c>
      <c r="W47" s="183">
        <f>IFERROR(__xludf.DUMMYFUNCTION("""COMPUTED_VALUE"""),0.0)</f>
        <v>0</v>
      </c>
      <c r="X47" s="183">
        <f>IFERROR(__xludf.DUMMYFUNCTION("""COMPUTED_VALUE"""),0.0)</f>
        <v>0</v>
      </c>
      <c r="Y47" s="183">
        <f>IFERROR(__xludf.DUMMYFUNCTION("""COMPUTED_VALUE"""),0.0)</f>
        <v>0</v>
      </c>
      <c r="Z47" s="183">
        <f t="shared" si="12"/>
        <v>0</v>
      </c>
      <c r="AA47" s="183">
        <f t="shared" si="13"/>
        <v>0</v>
      </c>
      <c r="AB47" s="183">
        <f t="shared" si="14"/>
        <v>0</v>
      </c>
    </row>
    <row r="48" ht="14.25" customHeight="1">
      <c r="A48" s="175"/>
      <c r="B48" s="196" t="s">
        <v>791</v>
      </c>
      <c r="C48" s="181"/>
      <c r="D48" s="197" t="s">
        <v>792</v>
      </c>
      <c r="E48" s="183">
        <f>SUMIFS('DB WBS'!$J:$J,'DB WBS'!$A:$A,$D$4,'DB WBS'!$D:$D,AA$1,'DB WBS'!$B:$B,$E$3,'DB WBS'!$E:$E,$B48)</f>
        <v>0</v>
      </c>
      <c r="F48" s="183">
        <f>SUMIFS('DB WBS'!$J:$J,'DB WBS'!$A:$A,$D$4,'DB WBS'!$D:$D,AA$2,'DB WBS'!$B:$B,$E$3,'DB WBS'!$E:$E,$B48)</f>
        <v>0</v>
      </c>
      <c r="G48" s="184">
        <f>IFERROR(HLOOKUP($E$3,'Tahun Lalu'!$B$5:$V$158,MATCH(B48,'Tahun Lalu'!$B$5:$B$158,0),0),0)</f>
        <v>0</v>
      </c>
      <c r="H48" s="184">
        <v>0.0</v>
      </c>
      <c r="I48" s="184">
        <v>0.0</v>
      </c>
      <c r="J48" s="183">
        <f t="shared" si="3"/>
        <v>0</v>
      </c>
      <c r="K48" s="183">
        <f t="shared" si="4"/>
        <v>0</v>
      </c>
      <c r="L48" s="183">
        <f t="shared" si="5"/>
        <v>0</v>
      </c>
      <c r="M48" s="183">
        <f t="shared" si="6"/>
        <v>0</v>
      </c>
      <c r="N48" s="183">
        <f t="shared" si="56"/>
        <v>0</v>
      </c>
      <c r="O48" s="183">
        <f t="shared" ref="O48:Q48" si="58">G48+W48</f>
        <v>0</v>
      </c>
      <c r="P48" s="183">
        <f t="shared" si="58"/>
        <v>0</v>
      </c>
      <c r="Q48" s="183">
        <f t="shared" si="58"/>
        <v>0</v>
      </c>
      <c r="R48" s="183">
        <f t="shared" si="9"/>
        <v>0</v>
      </c>
      <c r="S48" s="183">
        <f t="shared" si="10"/>
        <v>0</v>
      </c>
      <c r="T48" s="183">
        <f t="shared" si="11"/>
        <v>0</v>
      </c>
      <c r="U48" s="186"/>
      <c r="V48" s="183">
        <f>IFERROR(__xludf.DUMMYFUNCTION("""COMPUTED_VALUE"""),0.0)</f>
        <v>0</v>
      </c>
      <c r="W48" s="183">
        <f>IFERROR(__xludf.DUMMYFUNCTION("""COMPUTED_VALUE"""),0.0)</f>
        <v>0</v>
      </c>
      <c r="X48" s="183">
        <f>IFERROR(__xludf.DUMMYFUNCTION("""COMPUTED_VALUE"""),0.0)</f>
        <v>0</v>
      </c>
      <c r="Y48" s="183">
        <f>IFERROR(__xludf.DUMMYFUNCTION("""COMPUTED_VALUE"""),0.0)</f>
        <v>0</v>
      </c>
      <c r="Z48" s="183">
        <f t="shared" si="12"/>
        <v>0</v>
      </c>
      <c r="AA48" s="183">
        <f t="shared" si="13"/>
        <v>0</v>
      </c>
      <c r="AB48" s="183">
        <f t="shared" si="14"/>
        <v>0</v>
      </c>
    </row>
    <row r="49" ht="14.25" customHeight="1">
      <c r="A49" s="175"/>
      <c r="B49" s="196" t="s">
        <v>793</v>
      </c>
      <c r="C49" s="181"/>
      <c r="D49" s="197" t="s">
        <v>794</v>
      </c>
      <c r="E49" s="183">
        <f>SUMIFS('DB WBS'!$J:$J,'DB WBS'!$A:$A,$D$4,'DB WBS'!$D:$D,AA$1,'DB WBS'!$B:$B,$E$3,'DB WBS'!$E:$E,$B49)</f>
        <v>0</v>
      </c>
      <c r="F49" s="183">
        <f>SUMIFS('DB WBS'!$J:$J,'DB WBS'!$A:$A,$D$4,'DB WBS'!$D:$D,AA$2,'DB WBS'!$B:$B,$E$3,'DB WBS'!$E:$E,$B49)</f>
        <v>0</v>
      </c>
      <c r="G49" s="184">
        <f>IFERROR(HLOOKUP($E$3,'Tahun Lalu'!$B$5:$V$158,MATCH(B49,'Tahun Lalu'!$B$5:$B$158,0),0),0)</f>
        <v>0</v>
      </c>
      <c r="H49" s="184">
        <v>0.0</v>
      </c>
      <c r="I49" s="184">
        <v>0.0</v>
      </c>
      <c r="J49" s="183">
        <f t="shared" si="3"/>
        <v>0</v>
      </c>
      <c r="K49" s="183">
        <f t="shared" si="4"/>
        <v>0</v>
      </c>
      <c r="L49" s="183">
        <f t="shared" si="5"/>
        <v>0</v>
      </c>
      <c r="M49" s="183">
        <f t="shared" si="6"/>
        <v>0</v>
      </c>
      <c r="N49" s="183">
        <f t="shared" si="56"/>
        <v>0</v>
      </c>
      <c r="O49" s="183">
        <f t="shared" ref="O49:Q49" si="59">G49+W49</f>
        <v>0</v>
      </c>
      <c r="P49" s="183">
        <f t="shared" si="59"/>
        <v>0</v>
      </c>
      <c r="Q49" s="183">
        <f t="shared" si="59"/>
        <v>0</v>
      </c>
      <c r="R49" s="183">
        <f t="shared" si="9"/>
        <v>0</v>
      </c>
      <c r="S49" s="183">
        <f t="shared" si="10"/>
        <v>0</v>
      </c>
      <c r="T49" s="183">
        <f t="shared" si="11"/>
        <v>0</v>
      </c>
      <c r="U49" s="186"/>
      <c r="V49" s="183">
        <f>IFERROR(__xludf.DUMMYFUNCTION("""COMPUTED_VALUE"""),0.0)</f>
        <v>0</v>
      </c>
      <c r="W49" s="183">
        <f>IFERROR(__xludf.DUMMYFUNCTION("""COMPUTED_VALUE"""),0.0)</f>
        <v>0</v>
      </c>
      <c r="X49" s="183">
        <f>IFERROR(__xludf.DUMMYFUNCTION("""COMPUTED_VALUE"""),0.0)</f>
        <v>0</v>
      </c>
      <c r="Y49" s="183">
        <f>IFERROR(__xludf.DUMMYFUNCTION("""COMPUTED_VALUE"""),0.0)</f>
        <v>0</v>
      </c>
      <c r="Z49" s="183">
        <f t="shared" si="12"/>
        <v>0</v>
      </c>
      <c r="AA49" s="183">
        <f t="shared" si="13"/>
        <v>0</v>
      </c>
      <c r="AB49" s="183">
        <f t="shared" si="14"/>
        <v>0</v>
      </c>
    </row>
    <row r="50" ht="14.25" customHeight="1">
      <c r="A50" s="175"/>
      <c r="B50" s="196" t="s">
        <v>795</v>
      </c>
      <c r="C50" s="181"/>
      <c r="D50" s="197" t="s">
        <v>796</v>
      </c>
      <c r="E50" s="183">
        <f>SUMIFS('DB WBS'!$J:$J,'DB WBS'!$A:$A,$D$4,'DB WBS'!$D:$D,AA$1,'DB WBS'!$B:$B,$E$3,'DB WBS'!$E:$E,$B50)</f>
        <v>0</v>
      </c>
      <c r="F50" s="183">
        <f>SUMIFS('DB WBS'!$J:$J,'DB WBS'!$A:$A,$D$4,'DB WBS'!$D:$D,AA$2,'DB WBS'!$B:$B,$E$3,'DB WBS'!$E:$E,$B50)</f>
        <v>0</v>
      </c>
      <c r="G50" s="184">
        <f>IFERROR(HLOOKUP($E$3,'Tahun Lalu'!$B$5:$V$158,MATCH(B50,'Tahun Lalu'!$B$5:$B$158,0),0),0)</f>
        <v>0</v>
      </c>
      <c r="H50" s="184">
        <v>0.0</v>
      </c>
      <c r="I50" s="184">
        <v>0.0</v>
      </c>
      <c r="J50" s="183">
        <f t="shared" si="3"/>
        <v>0</v>
      </c>
      <c r="K50" s="183">
        <f t="shared" si="4"/>
        <v>0</v>
      </c>
      <c r="L50" s="183">
        <f t="shared" si="5"/>
        <v>0</v>
      </c>
      <c r="M50" s="183">
        <f t="shared" si="6"/>
        <v>0</v>
      </c>
      <c r="N50" s="183">
        <f t="shared" si="56"/>
        <v>0</v>
      </c>
      <c r="O50" s="183">
        <f t="shared" ref="O50:Q50" si="60">G50+W50</f>
        <v>0</v>
      </c>
      <c r="P50" s="183">
        <f t="shared" si="60"/>
        <v>0</v>
      </c>
      <c r="Q50" s="183">
        <f t="shared" si="60"/>
        <v>0</v>
      </c>
      <c r="R50" s="183">
        <f t="shared" si="9"/>
        <v>0</v>
      </c>
      <c r="S50" s="183">
        <f t="shared" si="10"/>
        <v>0</v>
      </c>
      <c r="T50" s="183">
        <f t="shared" si="11"/>
        <v>0</v>
      </c>
      <c r="U50" s="186"/>
      <c r="V50" s="183">
        <f>IFERROR(__xludf.DUMMYFUNCTION("""COMPUTED_VALUE"""),0.0)</f>
        <v>0</v>
      </c>
      <c r="W50" s="183">
        <f>IFERROR(__xludf.DUMMYFUNCTION("""COMPUTED_VALUE"""),0.0)</f>
        <v>0</v>
      </c>
      <c r="X50" s="183">
        <f>IFERROR(__xludf.DUMMYFUNCTION("""COMPUTED_VALUE"""),0.0)</f>
        <v>0</v>
      </c>
      <c r="Y50" s="183">
        <f>IFERROR(__xludf.DUMMYFUNCTION("""COMPUTED_VALUE"""),0.0)</f>
        <v>0</v>
      </c>
      <c r="Z50" s="183">
        <f t="shared" si="12"/>
        <v>0</v>
      </c>
      <c r="AA50" s="183">
        <f t="shared" si="13"/>
        <v>0</v>
      </c>
      <c r="AB50" s="183">
        <f t="shared" si="14"/>
        <v>0</v>
      </c>
    </row>
    <row r="51" ht="14.25" customHeight="1">
      <c r="A51" s="175"/>
      <c r="B51" s="196" t="s">
        <v>797</v>
      </c>
      <c r="C51" s="181"/>
      <c r="D51" s="197" t="s">
        <v>798</v>
      </c>
      <c r="E51" s="183">
        <f>SUMIFS('DB WBS'!$J:$J,'DB WBS'!$A:$A,$D$4,'DB WBS'!$D:$D,AA$1,'DB WBS'!$B:$B,$E$3,'DB WBS'!$E:$E,$B51)</f>
        <v>0</v>
      </c>
      <c r="F51" s="183">
        <f>SUMIFS('DB WBS'!$J:$J,'DB WBS'!$A:$A,$D$4,'DB WBS'!$D:$D,AA$2,'DB WBS'!$B:$B,$E$3,'DB WBS'!$E:$E,$B51)</f>
        <v>0</v>
      </c>
      <c r="G51" s="184">
        <f>IFERROR(HLOOKUP($E$3,'Tahun Lalu'!$B$5:$V$158,MATCH(B51,'Tahun Lalu'!$B$5:$B$158,0),0),0)</f>
        <v>0</v>
      </c>
      <c r="H51" s="184">
        <v>0.0</v>
      </c>
      <c r="I51" s="184">
        <v>0.0</v>
      </c>
      <c r="J51" s="183">
        <f t="shared" si="3"/>
        <v>0</v>
      </c>
      <c r="K51" s="183">
        <f t="shared" si="4"/>
        <v>0</v>
      </c>
      <c r="L51" s="183">
        <f t="shared" si="5"/>
        <v>0</v>
      </c>
      <c r="M51" s="183">
        <f t="shared" si="6"/>
        <v>0</v>
      </c>
      <c r="N51" s="183">
        <f t="shared" si="56"/>
        <v>0</v>
      </c>
      <c r="O51" s="183">
        <f t="shared" ref="O51:Q51" si="61">G51+W51</f>
        <v>0</v>
      </c>
      <c r="P51" s="183">
        <f t="shared" si="61"/>
        <v>0</v>
      </c>
      <c r="Q51" s="183">
        <f t="shared" si="61"/>
        <v>0</v>
      </c>
      <c r="R51" s="183">
        <f t="shared" si="9"/>
        <v>0</v>
      </c>
      <c r="S51" s="183">
        <f t="shared" si="10"/>
        <v>0</v>
      </c>
      <c r="T51" s="183">
        <f t="shared" si="11"/>
        <v>0</v>
      </c>
      <c r="U51" s="186"/>
      <c r="V51" s="183">
        <f>IFERROR(__xludf.DUMMYFUNCTION("""COMPUTED_VALUE"""),0.0)</f>
        <v>0</v>
      </c>
      <c r="W51" s="183">
        <f>IFERROR(__xludf.DUMMYFUNCTION("""COMPUTED_VALUE"""),0.0)</f>
        <v>0</v>
      </c>
      <c r="X51" s="183">
        <f>IFERROR(__xludf.DUMMYFUNCTION("""COMPUTED_VALUE"""),0.0)</f>
        <v>0</v>
      </c>
      <c r="Y51" s="183">
        <f>IFERROR(__xludf.DUMMYFUNCTION("""COMPUTED_VALUE"""),0.0)</f>
        <v>0</v>
      </c>
      <c r="Z51" s="183">
        <f t="shared" si="12"/>
        <v>0</v>
      </c>
      <c r="AA51" s="183">
        <f t="shared" si="13"/>
        <v>0</v>
      </c>
      <c r="AB51" s="183">
        <f t="shared" si="14"/>
        <v>0</v>
      </c>
    </row>
    <row r="52" ht="14.25" customHeight="1">
      <c r="A52" s="175"/>
      <c r="B52" s="196" t="s">
        <v>799</v>
      </c>
      <c r="C52" s="181"/>
      <c r="D52" s="197" t="s">
        <v>800</v>
      </c>
      <c r="E52" s="183">
        <f>SUMIFS('DB WBS'!$J:$J,'DB WBS'!$A:$A,$D$4,'DB WBS'!$D:$D,AA$1,'DB WBS'!$B:$B,$E$3,'DB WBS'!$E:$E,$B52)</f>
        <v>0</v>
      </c>
      <c r="F52" s="183">
        <f>SUMIFS('DB WBS'!$J:$J,'DB WBS'!$A:$A,$D$4,'DB WBS'!$D:$D,AA$2,'DB WBS'!$B:$B,$E$3,'DB WBS'!$E:$E,$B52)</f>
        <v>0</v>
      </c>
      <c r="G52" s="184">
        <f>IFERROR(HLOOKUP($E$3,'Tahun Lalu'!$B$5:$V$158,MATCH(B52,'Tahun Lalu'!$B$5:$B$158,0),0),0)</f>
        <v>0</v>
      </c>
      <c r="H52" s="184">
        <v>0.0</v>
      </c>
      <c r="I52" s="184">
        <v>0.0</v>
      </c>
      <c r="J52" s="183">
        <f t="shared" si="3"/>
        <v>0</v>
      </c>
      <c r="K52" s="183">
        <f t="shared" si="4"/>
        <v>0</v>
      </c>
      <c r="L52" s="183">
        <f t="shared" si="5"/>
        <v>0</v>
      </c>
      <c r="M52" s="183">
        <f t="shared" si="6"/>
        <v>0</v>
      </c>
      <c r="N52" s="183">
        <f t="shared" si="56"/>
        <v>0</v>
      </c>
      <c r="O52" s="183">
        <f t="shared" ref="O52:Q52" si="62">G52+W52</f>
        <v>0</v>
      </c>
      <c r="P52" s="183">
        <f t="shared" si="62"/>
        <v>0</v>
      </c>
      <c r="Q52" s="183">
        <f t="shared" si="62"/>
        <v>0</v>
      </c>
      <c r="R52" s="183">
        <f t="shared" si="9"/>
        <v>0</v>
      </c>
      <c r="S52" s="183">
        <f t="shared" si="10"/>
        <v>0</v>
      </c>
      <c r="T52" s="183">
        <f t="shared" si="11"/>
        <v>0</v>
      </c>
      <c r="U52" s="186"/>
      <c r="V52" s="183">
        <f>IFERROR(__xludf.DUMMYFUNCTION("""COMPUTED_VALUE"""),0.0)</f>
        <v>0</v>
      </c>
      <c r="W52" s="183">
        <f>IFERROR(__xludf.DUMMYFUNCTION("""COMPUTED_VALUE"""),0.0)</f>
        <v>0</v>
      </c>
      <c r="X52" s="183">
        <f>IFERROR(__xludf.DUMMYFUNCTION("""COMPUTED_VALUE"""),0.0)</f>
        <v>0</v>
      </c>
      <c r="Y52" s="183">
        <f>IFERROR(__xludf.DUMMYFUNCTION("""COMPUTED_VALUE"""),0.0)</f>
        <v>0</v>
      </c>
      <c r="Z52" s="183">
        <f t="shared" si="12"/>
        <v>0</v>
      </c>
      <c r="AA52" s="183">
        <f t="shared" si="13"/>
        <v>0</v>
      </c>
      <c r="AB52" s="183">
        <f t="shared" si="14"/>
        <v>0</v>
      </c>
    </row>
    <row r="53" ht="14.25" customHeight="1">
      <c r="A53" s="175"/>
      <c r="B53" s="196" t="s">
        <v>801</v>
      </c>
      <c r="C53" s="181"/>
      <c r="D53" s="197" t="s">
        <v>802</v>
      </c>
      <c r="E53" s="183">
        <f>SUMIFS('DB WBS'!$J:$J,'DB WBS'!$A:$A,$D$4,'DB WBS'!$D:$D,AA$1,'DB WBS'!$B:$B,$E$3,'DB WBS'!$E:$E,$B53)</f>
        <v>0</v>
      </c>
      <c r="F53" s="183">
        <f>SUMIFS('DB WBS'!$J:$J,'DB WBS'!$A:$A,$D$4,'DB WBS'!$D:$D,AA$2,'DB WBS'!$B:$B,$E$3,'DB WBS'!$E:$E,$B53)</f>
        <v>0</v>
      </c>
      <c r="G53" s="184">
        <f>IFERROR(HLOOKUP($E$3,'Tahun Lalu'!$B$5:$V$158,MATCH(B53,'Tahun Lalu'!$B$5:$B$158,0),0),0)</f>
        <v>0</v>
      </c>
      <c r="H53" s="184">
        <v>0.0</v>
      </c>
      <c r="I53" s="184">
        <v>0.0</v>
      </c>
      <c r="J53" s="183">
        <f t="shared" si="3"/>
        <v>0</v>
      </c>
      <c r="K53" s="183">
        <f t="shared" si="4"/>
        <v>0</v>
      </c>
      <c r="L53" s="183">
        <f t="shared" si="5"/>
        <v>0</v>
      </c>
      <c r="M53" s="183">
        <f t="shared" si="6"/>
        <v>0</v>
      </c>
      <c r="N53" s="183">
        <f t="shared" si="56"/>
        <v>0</v>
      </c>
      <c r="O53" s="183">
        <f t="shared" ref="O53:Q53" si="63">G53+W53</f>
        <v>0</v>
      </c>
      <c r="P53" s="183">
        <f t="shared" si="63"/>
        <v>0</v>
      </c>
      <c r="Q53" s="183">
        <f t="shared" si="63"/>
        <v>0</v>
      </c>
      <c r="R53" s="183">
        <f t="shared" si="9"/>
        <v>0</v>
      </c>
      <c r="S53" s="183">
        <f t="shared" si="10"/>
        <v>0</v>
      </c>
      <c r="T53" s="183">
        <f t="shared" si="11"/>
        <v>0</v>
      </c>
      <c r="U53" s="186"/>
      <c r="V53" s="183">
        <f>IFERROR(__xludf.DUMMYFUNCTION("""COMPUTED_VALUE"""),0.0)</f>
        <v>0</v>
      </c>
      <c r="W53" s="183">
        <f>IFERROR(__xludf.DUMMYFUNCTION("""COMPUTED_VALUE"""),0.0)</f>
        <v>0</v>
      </c>
      <c r="X53" s="183">
        <f>IFERROR(__xludf.DUMMYFUNCTION("""COMPUTED_VALUE"""),0.0)</f>
        <v>0</v>
      </c>
      <c r="Y53" s="183">
        <f>IFERROR(__xludf.DUMMYFUNCTION("""COMPUTED_VALUE"""),0.0)</f>
        <v>0</v>
      </c>
      <c r="Z53" s="183">
        <f t="shared" si="12"/>
        <v>0</v>
      </c>
      <c r="AA53" s="183">
        <f t="shared" si="13"/>
        <v>0</v>
      </c>
      <c r="AB53" s="183">
        <f t="shared" si="14"/>
        <v>0</v>
      </c>
    </row>
    <row r="54" ht="14.25" customHeight="1">
      <c r="A54" s="175"/>
      <c r="B54" s="196" t="s">
        <v>803</v>
      </c>
      <c r="C54" s="181"/>
      <c r="D54" s="197" t="s">
        <v>804</v>
      </c>
      <c r="E54" s="183">
        <f>SUMIFS('DB WBS'!$J:$J,'DB WBS'!$A:$A,$D$4,'DB WBS'!$D:$D,AA$1,'DB WBS'!$B:$B,$E$3,'DB WBS'!$E:$E,$B54)</f>
        <v>0</v>
      </c>
      <c r="F54" s="183">
        <f>SUMIFS('DB WBS'!$J:$J,'DB WBS'!$A:$A,$D$4,'DB WBS'!$D:$D,AA$2,'DB WBS'!$B:$B,$E$3,'DB WBS'!$E:$E,$B54)</f>
        <v>0</v>
      </c>
      <c r="G54" s="184">
        <f>IFERROR(HLOOKUP($E$3,'Tahun Lalu'!$B$5:$V$158,MATCH(B54,'Tahun Lalu'!$B$5:$B$158,0),0),0)</f>
        <v>0</v>
      </c>
      <c r="H54" s="184">
        <v>0.0</v>
      </c>
      <c r="I54" s="184">
        <v>0.0</v>
      </c>
      <c r="J54" s="183">
        <f t="shared" si="3"/>
        <v>0</v>
      </c>
      <c r="K54" s="183">
        <f t="shared" si="4"/>
        <v>0</v>
      </c>
      <c r="L54" s="183">
        <f t="shared" si="5"/>
        <v>0</v>
      </c>
      <c r="M54" s="183">
        <f t="shared" si="6"/>
        <v>0</v>
      </c>
      <c r="N54" s="183">
        <f t="shared" si="56"/>
        <v>0</v>
      </c>
      <c r="O54" s="183">
        <f t="shared" ref="O54:Q54" si="64">G54+W54</f>
        <v>0</v>
      </c>
      <c r="P54" s="183">
        <f t="shared" si="64"/>
        <v>0</v>
      </c>
      <c r="Q54" s="183">
        <f t="shared" si="64"/>
        <v>0</v>
      </c>
      <c r="R54" s="183">
        <f t="shared" si="9"/>
        <v>0</v>
      </c>
      <c r="S54" s="183">
        <f t="shared" si="10"/>
        <v>0</v>
      </c>
      <c r="T54" s="183">
        <f t="shared" si="11"/>
        <v>0</v>
      </c>
      <c r="U54" s="186"/>
      <c r="V54" s="183">
        <f>IFERROR(__xludf.DUMMYFUNCTION("""COMPUTED_VALUE"""),0.0)</f>
        <v>0</v>
      </c>
      <c r="W54" s="183">
        <f>IFERROR(__xludf.DUMMYFUNCTION("""COMPUTED_VALUE"""),0.0)</f>
        <v>0</v>
      </c>
      <c r="X54" s="183">
        <f>IFERROR(__xludf.DUMMYFUNCTION("""COMPUTED_VALUE"""),0.0)</f>
        <v>0</v>
      </c>
      <c r="Y54" s="183">
        <f>IFERROR(__xludf.DUMMYFUNCTION("""COMPUTED_VALUE"""),0.0)</f>
        <v>0</v>
      </c>
      <c r="Z54" s="183">
        <f t="shared" si="12"/>
        <v>0</v>
      </c>
      <c r="AA54" s="183">
        <f t="shared" si="13"/>
        <v>0</v>
      </c>
      <c r="AB54" s="183">
        <f t="shared" si="14"/>
        <v>0</v>
      </c>
    </row>
    <row r="55" ht="14.25" customHeight="1">
      <c r="A55" s="175"/>
      <c r="B55" s="196" t="s">
        <v>805</v>
      </c>
      <c r="C55" s="181"/>
      <c r="D55" s="197" t="s">
        <v>806</v>
      </c>
      <c r="E55" s="183">
        <f>SUMIFS('DB WBS'!$J:$J,'DB WBS'!$A:$A,$D$4,'DB WBS'!$D:$D,AA$1,'DB WBS'!$B:$B,$E$3,'DB WBS'!$E:$E,$B55)</f>
        <v>0</v>
      </c>
      <c r="F55" s="183">
        <f>SUMIFS('DB WBS'!$J:$J,'DB WBS'!$A:$A,$D$4,'DB WBS'!$D:$D,AA$2,'DB WBS'!$B:$B,$E$3,'DB WBS'!$E:$E,$B55)</f>
        <v>0</v>
      </c>
      <c r="G55" s="184">
        <f>IFERROR(HLOOKUP($E$3,'Tahun Lalu'!$B$5:$V$158,MATCH(B55,'Tahun Lalu'!$B$5:$B$158,0),0),0)</f>
        <v>0</v>
      </c>
      <c r="H55" s="184">
        <v>0.0</v>
      </c>
      <c r="I55" s="184">
        <v>0.0</v>
      </c>
      <c r="J55" s="183">
        <f t="shared" si="3"/>
        <v>0</v>
      </c>
      <c r="K55" s="183">
        <f t="shared" si="4"/>
        <v>0</v>
      </c>
      <c r="L55" s="183">
        <f t="shared" si="5"/>
        <v>0</v>
      </c>
      <c r="M55" s="183">
        <f t="shared" si="6"/>
        <v>0</v>
      </c>
      <c r="N55" s="183">
        <f t="shared" si="56"/>
        <v>0</v>
      </c>
      <c r="O55" s="183">
        <f t="shared" ref="O55:Q55" si="65">G55+W55</f>
        <v>0</v>
      </c>
      <c r="P55" s="183">
        <f t="shared" si="65"/>
        <v>0</v>
      </c>
      <c r="Q55" s="183">
        <f t="shared" si="65"/>
        <v>0</v>
      </c>
      <c r="R55" s="183">
        <f t="shared" si="9"/>
        <v>0</v>
      </c>
      <c r="S55" s="183">
        <f t="shared" si="10"/>
        <v>0</v>
      </c>
      <c r="T55" s="183">
        <f t="shared" si="11"/>
        <v>0</v>
      </c>
      <c r="U55" s="186"/>
      <c r="V55" s="183">
        <f>IFERROR(__xludf.DUMMYFUNCTION("""COMPUTED_VALUE"""),0.0)</f>
        <v>0</v>
      </c>
      <c r="W55" s="183">
        <f>IFERROR(__xludf.DUMMYFUNCTION("""COMPUTED_VALUE"""),0.0)</f>
        <v>0</v>
      </c>
      <c r="X55" s="183">
        <f>IFERROR(__xludf.DUMMYFUNCTION("""COMPUTED_VALUE"""),0.0)</f>
        <v>0</v>
      </c>
      <c r="Y55" s="183">
        <f>IFERROR(__xludf.DUMMYFUNCTION("""COMPUTED_VALUE"""),0.0)</f>
        <v>0</v>
      </c>
      <c r="Z55" s="183">
        <f t="shared" si="12"/>
        <v>0</v>
      </c>
      <c r="AA55" s="183">
        <f t="shared" si="13"/>
        <v>0</v>
      </c>
      <c r="AB55" s="183">
        <f t="shared" si="14"/>
        <v>0</v>
      </c>
    </row>
    <row r="56" ht="14.25" customHeight="1">
      <c r="A56" s="175"/>
      <c r="B56" s="196" t="s">
        <v>807</v>
      </c>
      <c r="C56" s="181"/>
      <c r="D56" s="197" t="s">
        <v>808</v>
      </c>
      <c r="E56" s="183">
        <f>SUMIFS('DB WBS'!$J:$J,'DB WBS'!$A:$A,$D$4,'DB WBS'!$D:$D,AA$1,'DB WBS'!$B:$B,$E$3,'DB WBS'!$E:$E,$B56)</f>
        <v>0</v>
      </c>
      <c r="F56" s="183">
        <f>SUMIFS('DB WBS'!$J:$J,'DB WBS'!$A:$A,$D$4,'DB WBS'!$D:$D,AA$2,'DB WBS'!$B:$B,$E$3,'DB WBS'!$E:$E,$B56)</f>
        <v>0</v>
      </c>
      <c r="G56" s="184">
        <f>IFERROR(HLOOKUP($E$3,'Tahun Lalu'!$B$5:$V$158,MATCH(B56,'Tahun Lalu'!$B$5:$B$158,0),0),0)</f>
        <v>0</v>
      </c>
      <c r="H56" s="184">
        <v>0.0</v>
      </c>
      <c r="I56" s="184">
        <v>0.0</v>
      </c>
      <c r="J56" s="183">
        <f t="shared" si="3"/>
        <v>0</v>
      </c>
      <c r="K56" s="183">
        <f t="shared" si="4"/>
        <v>0</v>
      </c>
      <c r="L56" s="183">
        <f t="shared" si="5"/>
        <v>0</v>
      </c>
      <c r="M56" s="183">
        <f t="shared" si="6"/>
        <v>0</v>
      </c>
      <c r="N56" s="183">
        <f t="shared" si="56"/>
        <v>0</v>
      </c>
      <c r="O56" s="183">
        <f t="shared" ref="O56:Q56" si="66">G56+W56</f>
        <v>0</v>
      </c>
      <c r="P56" s="183">
        <f t="shared" si="66"/>
        <v>0</v>
      </c>
      <c r="Q56" s="183">
        <f t="shared" si="66"/>
        <v>0</v>
      </c>
      <c r="R56" s="183">
        <f t="shared" si="9"/>
        <v>0</v>
      </c>
      <c r="S56" s="183">
        <f t="shared" si="10"/>
        <v>0</v>
      </c>
      <c r="T56" s="183">
        <f t="shared" si="11"/>
        <v>0</v>
      </c>
      <c r="U56" s="186"/>
      <c r="V56" s="183">
        <f>IFERROR(__xludf.DUMMYFUNCTION("""COMPUTED_VALUE"""),0.0)</f>
        <v>0</v>
      </c>
      <c r="W56" s="183">
        <f>IFERROR(__xludf.DUMMYFUNCTION("""COMPUTED_VALUE"""),0.0)</f>
        <v>0</v>
      </c>
      <c r="X56" s="183">
        <f>IFERROR(__xludf.DUMMYFUNCTION("""COMPUTED_VALUE"""),0.0)</f>
        <v>0</v>
      </c>
      <c r="Y56" s="183">
        <f>IFERROR(__xludf.DUMMYFUNCTION("""COMPUTED_VALUE"""),0.0)</f>
        <v>0</v>
      </c>
      <c r="Z56" s="183">
        <f t="shared" si="12"/>
        <v>0</v>
      </c>
      <c r="AA56" s="183">
        <f t="shared" si="13"/>
        <v>0</v>
      </c>
      <c r="AB56" s="183">
        <f t="shared" si="14"/>
        <v>0</v>
      </c>
    </row>
    <row r="57" ht="14.25" customHeight="1">
      <c r="A57" s="175"/>
      <c r="B57" s="196"/>
      <c r="C57" s="181"/>
      <c r="D57" s="197"/>
      <c r="E57" s="183">
        <f>SUMIFS('DB WBS'!$J:$J,'DB WBS'!$A:$A,$D$4,'DB WBS'!$D:$D,AA$1,'DB WBS'!$B:$B,$E$3,'DB WBS'!$E:$E,$B57)</f>
        <v>0</v>
      </c>
      <c r="F57" s="183">
        <f>SUMIFS('DB WBS'!$J:$J,'DB WBS'!$A:$A,$D$4,'DB WBS'!$D:$D,AA$2,'DB WBS'!$B:$B,$E$3,'DB WBS'!$E:$E,$B57)</f>
        <v>0</v>
      </c>
      <c r="G57" s="184">
        <f>IFERROR(HLOOKUP($E$3,'Tahun Lalu'!$B$5:$V$158,MATCH(B57,'Tahun Lalu'!$B$5:$B$158,0),0),0)</f>
        <v>0</v>
      </c>
      <c r="H57" s="184">
        <v>0.0</v>
      </c>
      <c r="I57" s="184">
        <v>0.0</v>
      </c>
      <c r="J57" s="183">
        <f t="shared" si="3"/>
        <v>0</v>
      </c>
      <c r="K57" s="183">
        <f t="shared" si="4"/>
        <v>0</v>
      </c>
      <c r="L57" s="183">
        <f t="shared" si="5"/>
        <v>0</v>
      </c>
      <c r="M57" s="183">
        <f t="shared" si="6"/>
        <v>0</v>
      </c>
      <c r="N57" s="183">
        <f t="shared" si="56"/>
        <v>0</v>
      </c>
      <c r="O57" s="183">
        <f t="shared" ref="O57:Q57" si="67">G57+W57</f>
        <v>0</v>
      </c>
      <c r="P57" s="183">
        <f t="shared" si="67"/>
        <v>0</v>
      </c>
      <c r="Q57" s="183">
        <f t="shared" si="67"/>
        <v>0</v>
      </c>
      <c r="R57" s="183">
        <f t="shared" si="9"/>
        <v>0</v>
      </c>
      <c r="S57" s="183">
        <f t="shared" si="10"/>
        <v>0</v>
      </c>
      <c r="T57" s="183">
        <f t="shared" si="11"/>
        <v>0</v>
      </c>
      <c r="U57" s="186"/>
      <c r="V57" s="183">
        <f>IFERROR(__xludf.DUMMYFUNCTION("""COMPUTED_VALUE"""),0.0)</f>
        <v>0</v>
      </c>
      <c r="W57" s="183">
        <f>IFERROR(__xludf.DUMMYFUNCTION("""COMPUTED_VALUE"""),0.0)</f>
        <v>0</v>
      </c>
      <c r="X57" s="183">
        <f>IFERROR(__xludf.DUMMYFUNCTION("""COMPUTED_VALUE"""),0.0)</f>
        <v>0</v>
      </c>
      <c r="Y57" s="183">
        <f>IFERROR(__xludf.DUMMYFUNCTION("""COMPUTED_VALUE"""),0.0)</f>
        <v>0</v>
      </c>
      <c r="Z57" s="183">
        <f t="shared" si="12"/>
        <v>0</v>
      </c>
      <c r="AA57" s="183">
        <f t="shared" si="13"/>
        <v>0</v>
      </c>
      <c r="AB57" s="183">
        <f t="shared" si="14"/>
        <v>0</v>
      </c>
    </row>
    <row r="58" ht="14.25" customHeight="1">
      <c r="A58" s="175"/>
      <c r="B58" s="191" t="s">
        <v>809</v>
      </c>
      <c r="C58" s="199"/>
      <c r="D58" s="200"/>
      <c r="E58" s="201">
        <f t="shared" ref="E58:I58" si="68">SUM(E46:E57)</f>
        <v>0</v>
      </c>
      <c r="F58" s="201">
        <f t="shared" si="68"/>
        <v>0</v>
      </c>
      <c r="G58" s="201">
        <f t="shared" si="68"/>
        <v>0</v>
      </c>
      <c r="H58" s="201">
        <f t="shared" si="68"/>
        <v>0</v>
      </c>
      <c r="I58" s="201">
        <f t="shared" si="68"/>
        <v>0</v>
      </c>
      <c r="J58" s="201">
        <f t="shared" si="3"/>
        <v>0</v>
      </c>
      <c r="K58" s="201">
        <f t="shared" si="4"/>
        <v>0</v>
      </c>
      <c r="L58" s="201">
        <f t="shared" si="5"/>
        <v>0</v>
      </c>
      <c r="M58" s="201">
        <f t="shared" si="6"/>
        <v>0</v>
      </c>
      <c r="N58" s="201">
        <f t="shared" ref="N58:Q58" si="69">SUM(N46:N57)</f>
        <v>0</v>
      </c>
      <c r="O58" s="201">
        <f t="shared" si="69"/>
        <v>0</v>
      </c>
      <c r="P58" s="201">
        <f t="shared" si="69"/>
        <v>0</v>
      </c>
      <c r="Q58" s="201">
        <f t="shared" si="69"/>
        <v>0</v>
      </c>
      <c r="R58" s="201">
        <f t="shared" si="9"/>
        <v>0</v>
      </c>
      <c r="S58" s="201">
        <f t="shared" si="10"/>
        <v>0</v>
      </c>
      <c r="T58" s="201">
        <f t="shared" si="11"/>
        <v>0</v>
      </c>
      <c r="U58" s="202"/>
      <c r="V58" s="201">
        <f>IFERROR(__xludf.DUMMYFUNCTION("""COMPUTED_VALUE"""),0.0)</f>
        <v>0</v>
      </c>
      <c r="W58" s="201">
        <f>IFERROR(__xludf.DUMMYFUNCTION("""COMPUTED_VALUE"""),0.0)</f>
        <v>0</v>
      </c>
      <c r="X58" s="201">
        <f>IFERROR(__xludf.DUMMYFUNCTION("""COMPUTED_VALUE"""),0.0)</f>
        <v>0</v>
      </c>
      <c r="Y58" s="201">
        <f>IFERROR(__xludf.DUMMYFUNCTION("""COMPUTED_VALUE"""),0.0)</f>
        <v>0</v>
      </c>
      <c r="Z58" s="201">
        <f t="shared" si="12"/>
        <v>0</v>
      </c>
      <c r="AA58" s="201">
        <f t="shared" si="13"/>
        <v>0</v>
      </c>
      <c r="AB58" s="201">
        <f t="shared" si="14"/>
        <v>0</v>
      </c>
    </row>
    <row r="59" ht="14.25" customHeight="1">
      <c r="A59" s="175"/>
      <c r="B59" s="196"/>
      <c r="C59" s="181"/>
      <c r="D59" s="197"/>
      <c r="E59" s="183">
        <f>SUMIFS('DB WBS'!$J:$J,'DB WBS'!$A:$A,$D$4,'DB WBS'!$D:$D,AA$1,'DB WBS'!$B:$B,$E$3,'DB WBS'!$E:$E,$B59)</f>
        <v>0</v>
      </c>
      <c r="F59" s="183">
        <f>SUMIFS('DB WBS'!$J:$J,'DB WBS'!$A:$A,$D$4,'DB WBS'!$D:$D,AA$2,'DB WBS'!$B:$B,$E$3,'DB WBS'!$E:$E,$B59)</f>
        <v>0</v>
      </c>
      <c r="G59" s="184">
        <f>IFERROR(HLOOKUP($E$3,'Tahun Lalu'!$B$5:$V$158,MATCH(B59,'Tahun Lalu'!$B$5:$B$158,0),0),0)</f>
        <v>0</v>
      </c>
      <c r="H59" s="184">
        <v>0.0</v>
      </c>
      <c r="I59" s="184">
        <v>0.0</v>
      </c>
      <c r="J59" s="183">
        <f t="shared" si="3"/>
        <v>0</v>
      </c>
      <c r="K59" s="183">
        <f t="shared" si="4"/>
        <v>0</v>
      </c>
      <c r="L59" s="183">
        <f t="shared" si="5"/>
        <v>0</v>
      </c>
      <c r="M59" s="183">
        <f t="shared" si="6"/>
        <v>0</v>
      </c>
      <c r="N59" s="183">
        <f t="shared" ref="N59:N63" si="71">E59+V59</f>
        <v>0</v>
      </c>
      <c r="O59" s="183">
        <f t="shared" ref="O59:Q59" si="70">G59+W59</f>
        <v>0</v>
      </c>
      <c r="P59" s="183">
        <f t="shared" si="70"/>
        <v>0</v>
      </c>
      <c r="Q59" s="183">
        <f t="shared" si="70"/>
        <v>0</v>
      </c>
      <c r="R59" s="183">
        <f t="shared" si="9"/>
        <v>0</v>
      </c>
      <c r="S59" s="183">
        <f t="shared" si="10"/>
        <v>0</v>
      </c>
      <c r="T59" s="183">
        <f t="shared" si="11"/>
        <v>0</v>
      </c>
      <c r="U59" s="186"/>
      <c r="V59" s="183">
        <f>IFERROR(__xludf.DUMMYFUNCTION("""COMPUTED_VALUE"""),0.0)</f>
        <v>0</v>
      </c>
      <c r="W59" s="183">
        <f>IFERROR(__xludf.DUMMYFUNCTION("""COMPUTED_VALUE"""),0.0)</f>
        <v>0</v>
      </c>
      <c r="X59" s="183">
        <f>IFERROR(__xludf.DUMMYFUNCTION("""COMPUTED_VALUE"""),0.0)</f>
        <v>0</v>
      </c>
      <c r="Y59" s="183">
        <f>IFERROR(__xludf.DUMMYFUNCTION("""COMPUTED_VALUE"""),0.0)</f>
        <v>0</v>
      </c>
      <c r="Z59" s="183">
        <f t="shared" si="12"/>
        <v>0</v>
      </c>
      <c r="AA59" s="183">
        <f t="shared" si="13"/>
        <v>0</v>
      </c>
      <c r="AB59" s="183">
        <f t="shared" si="14"/>
        <v>0</v>
      </c>
    </row>
    <row r="60" ht="14.25" customHeight="1">
      <c r="A60" s="175"/>
      <c r="B60" s="196"/>
      <c r="C60" s="181"/>
      <c r="D60" s="197"/>
      <c r="E60" s="183">
        <f>SUMIFS('DB WBS'!$J:$J,'DB WBS'!$A:$A,$D$4,'DB WBS'!$D:$D,AA$1,'DB WBS'!$B:$B,$E$3,'DB WBS'!$E:$E,$B60)</f>
        <v>0</v>
      </c>
      <c r="F60" s="183">
        <f>SUMIFS('DB WBS'!$J:$J,'DB WBS'!$A:$A,$D$4,'DB WBS'!$D:$D,AA$2,'DB WBS'!$B:$B,$E$3,'DB WBS'!$E:$E,$B60)</f>
        <v>0</v>
      </c>
      <c r="G60" s="184">
        <f>IFERROR(HLOOKUP($E$3,'Tahun Lalu'!$B$5:$V$158,MATCH(B60,'Tahun Lalu'!$B$5:$B$158,0),0),0)</f>
        <v>0</v>
      </c>
      <c r="H60" s="184">
        <v>0.0</v>
      </c>
      <c r="I60" s="184">
        <v>0.0</v>
      </c>
      <c r="J60" s="183">
        <f t="shared" si="3"/>
        <v>0</v>
      </c>
      <c r="K60" s="183">
        <f t="shared" si="4"/>
        <v>0</v>
      </c>
      <c r="L60" s="183">
        <f t="shared" si="5"/>
        <v>0</v>
      </c>
      <c r="M60" s="183">
        <f t="shared" si="6"/>
        <v>0</v>
      </c>
      <c r="N60" s="183">
        <f t="shared" si="71"/>
        <v>0</v>
      </c>
      <c r="O60" s="183">
        <f t="shared" ref="O60:Q60" si="72">G60+W60</f>
        <v>0</v>
      </c>
      <c r="P60" s="183">
        <f t="shared" si="72"/>
        <v>0</v>
      </c>
      <c r="Q60" s="183">
        <f t="shared" si="72"/>
        <v>0</v>
      </c>
      <c r="R60" s="183">
        <f t="shared" si="9"/>
        <v>0</v>
      </c>
      <c r="S60" s="183">
        <f t="shared" si="10"/>
        <v>0</v>
      </c>
      <c r="T60" s="183">
        <f t="shared" si="11"/>
        <v>0</v>
      </c>
      <c r="U60" s="186"/>
      <c r="V60" s="183">
        <f>IFERROR(__xludf.DUMMYFUNCTION("""COMPUTED_VALUE"""),0.0)</f>
        <v>0</v>
      </c>
      <c r="W60" s="183">
        <f>IFERROR(__xludf.DUMMYFUNCTION("""COMPUTED_VALUE"""),0.0)</f>
        <v>0</v>
      </c>
      <c r="X60" s="183">
        <f>IFERROR(__xludf.DUMMYFUNCTION("""COMPUTED_VALUE"""),0.0)</f>
        <v>0</v>
      </c>
      <c r="Y60" s="183">
        <f>IFERROR(__xludf.DUMMYFUNCTION("""COMPUTED_VALUE"""),0.0)</f>
        <v>0</v>
      </c>
      <c r="Z60" s="183">
        <f t="shared" si="12"/>
        <v>0</v>
      </c>
      <c r="AA60" s="183">
        <f t="shared" si="13"/>
        <v>0</v>
      </c>
      <c r="AB60" s="183">
        <f t="shared" si="14"/>
        <v>0</v>
      </c>
    </row>
    <row r="61" ht="14.25" customHeight="1">
      <c r="A61" s="175"/>
      <c r="B61" s="196"/>
      <c r="C61" s="181"/>
      <c r="D61" s="197"/>
      <c r="E61" s="183">
        <f>SUMIFS('DB WBS'!$J:$J,'DB WBS'!$A:$A,$D$4,'DB WBS'!$D:$D,AA$1,'DB WBS'!$B:$B,$E$3,'DB WBS'!$E:$E,$B61)</f>
        <v>0</v>
      </c>
      <c r="F61" s="183">
        <f>SUMIFS('DB WBS'!$J:$J,'DB WBS'!$A:$A,$D$4,'DB WBS'!$D:$D,AA$2,'DB WBS'!$B:$B,$E$3,'DB WBS'!$E:$E,$B61)</f>
        <v>0</v>
      </c>
      <c r="G61" s="184">
        <f>IFERROR(HLOOKUP($E$3,'Tahun Lalu'!$B$5:$V$158,MATCH(B61,'Tahun Lalu'!$B$5:$B$158,0),0),0)</f>
        <v>0</v>
      </c>
      <c r="H61" s="184">
        <v>0.0</v>
      </c>
      <c r="I61" s="184">
        <v>0.0</v>
      </c>
      <c r="J61" s="183">
        <f t="shared" si="3"/>
        <v>0</v>
      </c>
      <c r="K61" s="183">
        <f t="shared" si="4"/>
        <v>0</v>
      </c>
      <c r="L61" s="183">
        <f t="shared" si="5"/>
        <v>0</v>
      </c>
      <c r="M61" s="183">
        <f t="shared" si="6"/>
        <v>0</v>
      </c>
      <c r="N61" s="183">
        <f t="shared" si="71"/>
        <v>0</v>
      </c>
      <c r="O61" s="183">
        <f t="shared" ref="O61:Q61" si="73">G61+W61</f>
        <v>0</v>
      </c>
      <c r="P61" s="183">
        <f t="shared" si="73"/>
        <v>0</v>
      </c>
      <c r="Q61" s="183">
        <f t="shared" si="73"/>
        <v>0</v>
      </c>
      <c r="R61" s="183">
        <f t="shared" si="9"/>
        <v>0</v>
      </c>
      <c r="S61" s="183">
        <f t="shared" si="10"/>
        <v>0</v>
      </c>
      <c r="T61" s="183">
        <f t="shared" si="11"/>
        <v>0</v>
      </c>
      <c r="U61" s="186"/>
      <c r="V61" s="183">
        <f>IFERROR(__xludf.DUMMYFUNCTION("""COMPUTED_VALUE"""),0.0)</f>
        <v>0</v>
      </c>
      <c r="W61" s="183">
        <f>IFERROR(__xludf.DUMMYFUNCTION("""COMPUTED_VALUE"""),0.0)</f>
        <v>0</v>
      </c>
      <c r="X61" s="183">
        <f>IFERROR(__xludf.DUMMYFUNCTION("""COMPUTED_VALUE"""),0.0)</f>
        <v>0</v>
      </c>
      <c r="Y61" s="183">
        <f>IFERROR(__xludf.DUMMYFUNCTION("""COMPUTED_VALUE"""),0.0)</f>
        <v>0</v>
      </c>
      <c r="Z61" s="183">
        <f t="shared" si="12"/>
        <v>0</v>
      </c>
      <c r="AA61" s="183">
        <f t="shared" si="13"/>
        <v>0</v>
      </c>
      <c r="AB61" s="183">
        <f t="shared" si="14"/>
        <v>0</v>
      </c>
    </row>
    <row r="62" ht="14.25" customHeight="1">
      <c r="A62" s="175"/>
      <c r="B62" s="196"/>
      <c r="C62" s="181"/>
      <c r="D62" s="197"/>
      <c r="E62" s="183">
        <f>SUMIFS('DB WBS'!$J:$J,'DB WBS'!$A:$A,$D$4,'DB WBS'!$D:$D,AA$1,'DB WBS'!$B:$B,$E$3,'DB WBS'!$E:$E,$B62)</f>
        <v>0</v>
      </c>
      <c r="F62" s="183">
        <f>SUMIFS('DB WBS'!$J:$J,'DB WBS'!$A:$A,$D$4,'DB WBS'!$D:$D,AA$2,'DB WBS'!$B:$B,$E$3,'DB WBS'!$E:$E,$B62)</f>
        <v>0</v>
      </c>
      <c r="G62" s="184">
        <f>IFERROR(HLOOKUP($E$3,'Tahun Lalu'!$B$5:$V$158,MATCH(B62,'Tahun Lalu'!$B$5:$B$158,0),0),0)</f>
        <v>0</v>
      </c>
      <c r="H62" s="184">
        <v>0.0</v>
      </c>
      <c r="I62" s="184">
        <v>0.0</v>
      </c>
      <c r="J62" s="183">
        <f t="shared" si="3"/>
        <v>0</v>
      </c>
      <c r="K62" s="183">
        <f t="shared" si="4"/>
        <v>0</v>
      </c>
      <c r="L62" s="183">
        <f t="shared" si="5"/>
        <v>0</v>
      </c>
      <c r="M62" s="183">
        <f t="shared" si="6"/>
        <v>0</v>
      </c>
      <c r="N62" s="183">
        <f t="shared" si="71"/>
        <v>0</v>
      </c>
      <c r="O62" s="183">
        <f t="shared" ref="O62:Q62" si="74">G62+W62</f>
        <v>0</v>
      </c>
      <c r="P62" s="183">
        <f t="shared" si="74"/>
        <v>0</v>
      </c>
      <c r="Q62" s="183">
        <f t="shared" si="74"/>
        <v>0</v>
      </c>
      <c r="R62" s="183">
        <f t="shared" si="9"/>
        <v>0</v>
      </c>
      <c r="S62" s="183">
        <f t="shared" si="10"/>
        <v>0</v>
      </c>
      <c r="T62" s="183">
        <f t="shared" si="11"/>
        <v>0</v>
      </c>
      <c r="U62" s="186"/>
      <c r="V62" s="183">
        <f>IFERROR(__xludf.DUMMYFUNCTION("""COMPUTED_VALUE"""),0.0)</f>
        <v>0</v>
      </c>
      <c r="W62" s="183">
        <f>IFERROR(__xludf.DUMMYFUNCTION("""COMPUTED_VALUE"""),0.0)</f>
        <v>0</v>
      </c>
      <c r="X62" s="183">
        <f>IFERROR(__xludf.DUMMYFUNCTION("""COMPUTED_VALUE"""),0.0)</f>
        <v>0</v>
      </c>
      <c r="Y62" s="183">
        <f>IFERROR(__xludf.DUMMYFUNCTION("""COMPUTED_VALUE"""),0.0)</f>
        <v>0</v>
      </c>
      <c r="Z62" s="183">
        <f t="shared" si="12"/>
        <v>0</v>
      </c>
      <c r="AA62" s="183">
        <f t="shared" si="13"/>
        <v>0</v>
      </c>
      <c r="AB62" s="183">
        <f t="shared" si="14"/>
        <v>0</v>
      </c>
    </row>
    <row r="63" ht="14.25" customHeight="1">
      <c r="A63" s="175"/>
      <c r="B63" s="196"/>
      <c r="C63" s="181"/>
      <c r="D63" s="197"/>
      <c r="E63" s="183">
        <f>SUMIFS('DB WBS'!$J:$J,'DB WBS'!$A:$A,$D$4,'DB WBS'!$D:$D,AA$1,'DB WBS'!$B:$B,$E$3,'DB WBS'!$E:$E,$B63)</f>
        <v>0</v>
      </c>
      <c r="F63" s="183">
        <f>SUMIFS('DB WBS'!$J:$J,'DB WBS'!$A:$A,$D$4,'DB WBS'!$D:$D,AA$2,'DB WBS'!$B:$B,$E$3,'DB WBS'!$E:$E,$B63)</f>
        <v>0</v>
      </c>
      <c r="G63" s="184">
        <f>IFERROR(HLOOKUP($E$3,'Tahun Lalu'!$B$5:$V$158,MATCH(B63,'Tahun Lalu'!$B$5:$B$158,0),0),0)</f>
        <v>0</v>
      </c>
      <c r="H63" s="184">
        <v>0.0</v>
      </c>
      <c r="I63" s="184">
        <v>0.0</v>
      </c>
      <c r="J63" s="183">
        <f t="shared" si="3"/>
        <v>0</v>
      </c>
      <c r="K63" s="183">
        <f t="shared" si="4"/>
        <v>0</v>
      </c>
      <c r="L63" s="183">
        <f t="shared" si="5"/>
        <v>0</v>
      </c>
      <c r="M63" s="183">
        <f t="shared" si="6"/>
        <v>0</v>
      </c>
      <c r="N63" s="183">
        <f t="shared" si="71"/>
        <v>0</v>
      </c>
      <c r="O63" s="183">
        <f t="shared" ref="O63:Q63" si="75">G63+W63</f>
        <v>0</v>
      </c>
      <c r="P63" s="183">
        <f t="shared" si="75"/>
        <v>0</v>
      </c>
      <c r="Q63" s="183">
        <f t="shared" si="75"/>
        <v>0</v>
      </c>
      <c r="R63" s="183">
        <f t="shared" si="9"/>
        <v>0</v>
      </c>
      <c r="S63" s="183">
        <f t="shared" si="10"/>
        <v>0</v>
      </c>
      <c r="T63" s="183">
        <f t="shared" si="11"/>
        <v>0</v>
      </c>
      <c r="U63" s="186"/>
      <c r="V63" s="183">
        <f>IFERROR(__xludf.DUMMYFUNCTION("""COMPUTED_VALUE"""),0.0)</f>
        <v>0</v>
      </c>
      <c r="W63" s="183">
        <f>IFERROR(__xludf.DUMMYFUNCTION("""COMPUTED_VALUE"""),0.0)</f>
        <v>0</v>
      </c>
      <c r="X63" s="183">
        <f>IFERROR(__xludf.DUMMYFUNCTION("""COMPUTED_VALUE"""),0.0)</f>
        <v>0</v>
      </c>
      <c r="Y63" s="183">
        <f>IFERROR(__xludf.DUMMYFUNCTION("""COMPUTED_VALUE"""),0.0)</f>
        <v>0</v>
      </c>
      <c r="Z63" s="183">
        <f t="shared" si="12"/>
        <v>0</v>
      </c>
      <c r="AA63" s="183">
        <f t="shared" si="13"/>
        <v>0</v>
      </c>
      <c r="AB63" s="183">
        <f t="shared" si="14"/>
        <v>0</v>
      </c>
    </row>
    <row r="64" ht="14.25" customHeight="1">
      <c r="A64" s="175"/>
      <c r="B64" s="191" t="s">
        <v>810</v>
      </c>
      <c r="C64" s="199"/>
      <c r="D64" s="200"/>
      <c r="E64" s="201">
        <f t="shared" ref="E64:I64" si="76">SUM(E59:E63)</f>
        <v>0</v>
      </c>
      <c r="F64" s="201">
        <f t="shared" si="76"/>
        <v>0</v>
      </c>
      <c r="G64" s="201">
        <f t="shared" si="76"/>
        <v>0</v>
      </c>
      <c r="H64" s="201">
        <f t="shared" si="76"/>
        <v>0</v>
      </c>
      <c r="I64" s="201">
        <f t="shared" si="76"/>
        <v>0</v>
      </c>
      <c r="J64" s="201">
        <f t="shared" si="3"/>
        <v>0</v>
      </c>
      <c r="K64" s="201">
        <f t="shared" si="4"/>
        <v>0</v>
      </c>
      <c r="L64" s="201">
        <f t="shared" si="5"/>
        <v>0</v>
      </c>
      <c r="M64" s="201">
        <f t="shared" si="6"/>
        <v>0</v>
      </c>
      <c r="N64" s="201">
        <f t="shared" ref="N64:Q64" si="77">SUM(N59:N63)</f>
        <v>0</v>
      </c>
      <c r="O64" s="201">
        <f t="shared" si="77"/>
        <v>0</v>
      </c>
      <c r="P64" s="201">
        <f t="shared" si="77"/>
        <v>0</v>
      </c>
      <c r="Q64" s="201">
        <f t="shared" si="77"/>
        <v>0</v>
      </c>
      <c r="R64" s="201">
        <f t="shared" si="9"/>
        <v>0</v>
      </c>
      <c r="S64" s="201">
        <f t="shared" si="10"/>
        <v>0</v>
      </c>
      <c r="T64" s="201">
        <f t="shared" si="11"/>
        <v>0</v>
      </c>
      <c r="U64" s="202"/>
      <c r="V64" s="201">
        <f>IFERROR(__xludf.DUMMYFUNCTION("""COMPUTED_VALUE"""),0.0)</f>
        <v>0</v>
      </c>
      <c r="W64" s="201">
        <f>IFERROR(__xludf.DUMMYFUNCTION("""COMPUTED_VALUE"""),0.0)</f>
        <v>0</v>
      </c>
      <c r="X64" s="201">
        <f>IFERROR(__xludf.DUMMYFUNCTION("""COMPUTED_VALUE"""),0.0)</f>
        <v>0</v>
      </c>
      <c r="Y64" s="201">
        <f>IFERROR(__xludf.DUMMYFUNCTION("""COMPUTED_VALUE"""),0.0)</f>
        <v>0</v>
      </c>
      <c r="Z64" s="201">
        <f t="shared" si="12"/>
        <v>0</v>
      </c>
      <c r="AA64" s="201">
        <f t="shared" si="13"/>
        <v>0</v>
      </c>
      <c r="AB64" s="201">
        <f t="shared" si="14"/>
        <v>0</v>
      </c>
    </row>
    <row r="65" ht="14.25" customHeight="1">
      <c r="A65" s="175"/>
      <c r="B65" s="196" t="s">
        <v>811</v>
      </c>
      <c r="C65" s="181"/>
      <c r="D65" s="197" t="s">
        <v>812</v>
      </c>
      <c r="E65" s="183">
        <f>SUMIFS('DB WBS'!$J:$J,'DB WBS'!$A:$A,$D$4,'DB WBS'!$D:$D,AA$1,'DB WBS'!$B:$B,$E$3,'DB WBS'!$E:$E,$B65)</f>
        <v>0</v>
      </c>
      <c r="F65" s="183">
        <f>SUMIFS('DB WBS'!$J:$J,'DB WBS'!$A:$A,$D$4,'DB WBS'!$D:$D,AA$2,'DB WBS'!$B:$B,$E$3,'DB WBS'!$E:$E,$B65)</f>
        <v>0</v>
      </c>
      <c r="G65" s="184">
        <f>IFERROR(HLOOKUP($E$3,'Tahun Lalu'!$B$5:$V$158,MATCH(B65,'Tahun Lalu'!$B$5:$B$158,0),0),0)</f>
        <v>0</v>
      </c>
      <c r="H65" s="184">
        <v>0.0</v>
      </c>
      <c r="I65" s="184">
        <v>0.0</v>
      </c>
      <c r="J65" s="183">
        <f t="shared" si="3"/>
        <v>0</v>
      </c>
      <c r="K65" s="183">
        <f t="shared" si="4"/>
        <v>0</v>
      </c>
      <c r="L65" s="183">
        <f t="shared" si="5"/>
        <v>0</v>
      </c>
      <c r="M65" s="183">
        <f t="shared" si="6"/>
        <v>0</v>
      </c>
      <c r="N65" s="183">
        <f t="shared" ref="N65:N68" si="79">E65+V65</f>
        <v>0</v>
      </c>
      <c r="O65" s="183">
        <f t="shared" ref="O65:Q65" si="78">G65+W65</f>
        <v>0</v>
      </c>
      <c r="P65" s="183">
        <f t="shared" si="78"/>
        <v>0</v>
      </c>
      <c r="Q65" s="183">
        <f t="shared" si="78"/>
        <v>0</v>
      </c>
      <c r="R65" s="183">
        <f t="shared" si="9"/>
        <v>0</v>
      </c>
      <c r="S65" s="183">
        <f t="shared" si="10"/>
        <v>0</v>
      </c>
      <c r="T65" s="183">
        <f t="shared" si="11"/>
        <v>0</v>
      </c>
      <c r="U65" s="186"/>
      <c r="V65" s="183">
        <f>IFERROR(__xludf.DUMMYFUNCTION("""COMPUTED_VALUE"""),0.0)</f>
        <v>0</v>
      </c>
      <c r="W65" s="183">
        <f>IFERROR(__xludf.DUMMYFUNCTION("""COMPUTED_VALUE"""),0.0)</f>
        <v>0</v>
      </c>
      <c r="X65" s="183">
        <f>IFERROR(__xludf.DUMMYFUNCTION("""COMPUTED_VALUE"""),0.0)</f>
        <v>0</v>
      </c>
      <c r="Y65" s="183">
        <f>IFERROR(__xludf.DUMMYFUNCTION("""COMPUTED_VALUE"""),0.0)</f>
        <v>0</v>
      </c>
      <c r="Z65" s="183">
        <f t="shared" si="12"/>
        <v>0</v>
      </c>
      <c r="AA65" s="183">
        <f t="shared" si="13"/>
        <v>0</v>
      </c>
      <c r="AB65" s="183">
        <f t="shared" si="14"/>
        <v>0</v>
      </c>
    </row>
    <row r="66" ht="14.25" customHeight="1">
      <c r="A66" s="175"/>
      <c r="B66" s="196" t="s">
        <v>813</v>
      </c>
      <c r="C66" s="181"/>
      <c r="D66" s="197" t="s">
        <v>814</v>
      </c>
      <c r="E66" s="183">
        <f>SUMIFS('DB WBS'!$J:$J,'DB WBS'!$A:$A,$D$4,'DB WBS'!$D:$D,AA$1,'DB WBS'!$B:$B,$E$3,'DB WBS'!$E:$E,$B66)</f>
        <v>0</v>
      </c>
      <c r="F66" s="183">
        <f>SUMIFS('DB WBS'!$J:$J,'DB WBS'!$A:$A,$D$4,'DB WBS'!$D:$D,AA$2,'DB WBS'!$B:$B,$E$3,'DB WBS'!$E:$E,$B66)</f>
        <v>0</v>
      </c>
      <c r="G66" s="184">
        <f>IFERROR(HLOOKUP($E$3,'Tahun Lalu'!$B$5:$V$158,MATCH(B66,'Tahun Lalu'!$B$5:$B$158,0),0),0)</f>
        <v>0</v>
      </c>
      <c r="H66" s="184">
        <v>0.0</v>
      </c>
      <c r="I66" s="184">
        <v>0.0</v>
      </c>
      <c r="J66" s="183">
        <f t="shared" si="3"/>
        <v>0</v>
      </c>
      <c r="K66" s="183">
        <f t="shared" si="4"/>
        <v>0</v>
      </c>
      <c r="L66" s="183">
        <f t="shared" si="5"/>
        <v>0</v>
      </c>
      <c r="M66" s="183">
        <f t="shared" si="6"/>
        <v>0</v>
      </c>
      <c r="N66" s="183">
        <f t="shared" si="79"/>
        <v>0</v>
      </c>
      <c r="O66" s="183">
        <f t="shared" ref="O66:Q66" si="80">G66+W66</f>
        <v>0</v>
      </c>
      <c r="P66" s="183">
        <f t="shared" si="80"/>
        <v>0</v>
      </c>
      <c r="Q66" s="183">
        <f t="shared" si="80"/>
        <v>0</v>
      </c>
      <c r="R66" s="183">
        <f t="shared" si="9"/>
        <v>0</v>
      </c>
      <c r="S66" s="183">
        <f t="shared" si="10"/>
        <v>0</v>
      </c>
      <c r="T66" s="183">
        <f t="shared" si="11"/>
        <v>0</v>
      </c>
      <c r="U66" s="186"/>
      <c r="V66" s="183">
        <f>IFERROR(__xludf.DUMMYFUNCTION("""COMPUTED_VALUE"""),0.0)</f>
        <v>0</v>
      </c>
      <c r="W66" s="183">
        <f>IFERROR(__xludf.DUMMYFUNCTION("""COMPUTED_VALUE"""),0.0)</f>
        <v>0</v>
      </c>
      <c r="X66" s="183">
        <f>IFERROR(__xludf.DUMMYFUNCTION("""COMPUTED_VALUE"""),0.0)</f>
        <v>0</v>
      </c>
      <c r="Y66" s="183">
        <f>IFERROR(__xludf.DUMMYFUNCTION("""COMPUTED_VALUE"""),0.0)</f>
        <v>0</v>
      </c>
      <c r="Z66" s="183">
        <f t="shared" si="12"/>
        <v>0</v>
      </c>
      <c r="AA66" s="183">
        <f t="shared" si="13"/>
        <v>0</v>
      </c>
      <c r="AB66" s="183">
        <f t="shared" si="14"/>
        <v>0</v>
      </c>
    </row>
    <row r="67" ht="14.25" customHeight="1">
      <c r="A67" s="175"/>
      <c r="B67" s="196" t="s">
        <v>815</v>
      </c>
      <c r="C67" s="181"/>
      <c r="D67" s="197" t="s">
        <v>816</v>
      </c>
      <c r="E67" s="183">
        <f>SUMIFS('DB WBS'!$J:$J,'DB WBS'!$A:$A,$D$4,'DB WBS'!$D:$D,AA$1,'DB WBS'!$B:$B,$E$3,'DB WBS'!$E:$E,$B67)</f>
        <v>0</v>
      </c>
      <c r="F67" s="183">
        <f>SUMIFS('DB WBS'!$J:$J,'DB WBS'!$A:$A,$D$4,'DB WBS'!$D:$D,AA$2,'DB WBS'!$B:$B,$E$3,'DB WBS'!$E:$E,$B67)</f>
        <v>0</v>
      </c>
      <c r="G67" s="184">
        <f>IFERROR(HLOOKUP($E$3,'Tahun Lalu'!$B$5:$V$158,MATCH(B67,'Tahun Lalu'!$B$5:$B$158,0),0),0)</f>
        <v>0</v>
      </c>
      <c r="H67" s="184">
        <v>0.0</v>
      </c>
      <c r="I67" s="184">
        <v>0.0</v>
      </c>
      <c r="J67" s="183">
        <f t="shared" si="3"/>
        <v>0</v>
      </c>
      <c r="K67" s="183">
        <f t="shared" si="4"/>
        <v>0</v>
      </c>
      <c r="L67" s="183">
        <f t="shared" si="5"/>
        <v>0</v>
      </c>
      <c r="M67" s="183">
        <f t="shared" si="6"/>
        <v>0</v>
      </c>
      <c r="N67" s="183">
        <f t="shared" si="79"/>
        <v>0</v>
      </c>
      <c r="O67" s="183">
        <f t="shared" ref="O67:Q67" si="81">G67+W67</f>
        <v>0</v>
      </c>
      <c r="P67" s="183">
        <f t="shared" si="81"/>
        <v>0</v>
      </c>
      <c r="Q67" s="183">
        <f t="shared" si="81"/>
        <v>0</v>
      </c>
      <c r="R67" s="183">
        <f t="shared" si="9"/>
        <v>0</v>
      </c>
      <c r="S67" s="183">
        <f t="shared" si="10"/>
        <v>0</v>
      </c>
      <c r="T67" s="183">
        <f t="shared" si="11"/>
        <v>0</v>
      </c>
      <c r="U67" s="186"/>
      <c r="V67" s="183">
        <f>IFERROR(__xludf.DUMMYFUNCTION("""COMPUTED_VALUE"""),0.0)</f>
        <v>0</v>
      </c>
      <c r="W67" s="183">
        <f>IFERROR(__xludf.DUMMYFUNCTION("""COMPUTED_VALUE"""),0.0)</f>
        <v>0</v>
      </c>
      <c r="X67" s="183">
        <f>IFERROR(__xludf.DUMMYFUNCTION("""COMPUTED_VALUE"""),0.0)</f>
        <v>0</v>
      </c>
      <c r="Y67" s="183">
        <f>IFERROR(__xludf.DUMMYFUNCTION("""COMPUTED_VALUE"""),0.0)</f>
        <v>0</v>
      </c>
      <c r="Z67" s="183">
        <f t="shared" si="12"/>
        <v>0</v>
      </c>
      <c r="AA67" s="183">
        <f t="shared" si="13"/>
        <v>0</v>
      </c>
      <c r="AB67" s="183">
        <f t="shared" si="14"/>
        <v>0</v>
      </c>
    </row>
    <row r="68" ht="14.25" customHeight="1">
      <c r="A68" s="175"/>
      <c r="B68" s="196"/>
      <c r="C68" s="181"/>
      <c r="D68" s="197"/>
      <c r="E68" s="183">
        <f>SUMIFS('DB WBS'!$J:$J,'DB WBS'!$A:$A,$D$4,'DB WBS'!$D:$D,AA$1,'DB WBS'!$B:$B,$E$3,'DB WBS'!$E:$E,$B68)</f>
        <v>0</v>
      </c>
      <c r="F68" s="183">
        <f>SUMIFS('DB WBS'!$J:$J,'DB WBS'!$A:$A,$D$4,'DB WBS'!$D:$D,AA$2,'DB WBS'!$B:$B,$E$3,'DB WBS'!$E:$E,$B68)</f>
        <v>0</v>
      </c>
      <c r="G68" s="184">
        <f>IFERROR(HLOOKUP($E$3,'Tahun Lalu'!$B$5:$V$158,MATCH(B68,'Tahun Lalu'!$B$5:$B$158,0),0),0)</f>
        <v>0</v>
      </c>
      <c r="H68" s="184">
        <v>0.0</v>
      </c>
      <c r="I68" s="184">
        <v>0.0</v>
      </c>
      <c r="J68" s="183">
        <f t="shared" si="3"/>
        <v>0</v>
      </c>
      <c r="K68" s="183">
        <f t="shared" si="4"/>
        <v>0</v>
      </c>
      <c r="L68" s="183">
        <f t="shared" si="5"/>
        <v>0</v>
      </c>
      <c r="M68" s="183">
        <f t="shared" si="6"/>
        <v>0</v>
      </c>
      <c r="N68" s="183">
        <f t="shared" si="79"/>
        <v>0</v>
      </c>
      <c r="O68" s="183">
        <f t="shared" ref="O68:Q68" si="82">G68+W68</f>
        <v>0</v>
      </c>
      <c r="P68" s="183">
        <f t="shared" si="82"/>
        <v>0</v>
      </c>
      <c r="Q68" s="183">
        <f t="shared" si="82"/>
        <v>0</v>
      </c>
      <c r="R68" s="183">
        <f t="shared" si="9"/>
        <v>0</v>
      </c>
      <c r="S68" s="183">
        <f t="shared" si="10"/>
        <v>0</v>
      </c>
      <c r="T68" s="183">
        <f t="shared" si="11"/>
        <v>0</v>
      </c>
      <c r="U68" s="186"/>
      <c r="V68" s="183">
        <f>IFERROR(__xludf.DUMMYFUNCTION("""COMPUTED_VALUE"""),0.0)</f>
        <v>0</v>
      </c>
      <c r="W68" s="183">
        <f>IFERROR(__xludf.DUMMYFUNCTION("""COMPUTED_VALUE"""),0.0)</f>
        <v>0</v>
      </c>
      <c r="X68" s="183">
        <f>IFERROR(__xludf.DUMMYFUNCTION("""COMPUTED_VALUE"""),0.0)</f>
        <v>0</v>
      </c>
      <c r="Y68" s="183">
        <f>IFERROR(__xludf.DUMMYFUNCTION("""COMPUTED_VALUE"""),0.0)</f>
        <v>0</v>
      </c>
      <c r="Z68" s="183">
        <f t="shared" si="12"/>
        <v>0</v>
      </c>
      <c r="AA68" s="183">
        <f t="shared" si="13"/>
        <v>0</v>
      </c>
      <c r="AB68" s="183">
        <f t="shared" si="14"/>
        <v>0</v>
      </c>
    </row>
    <row r="69" ht="14.25" customHeight="1">
      <c r="A69" s="175"/>
      <c r="B69" s="191" t="s">
        <v>817</v>
      </c>
      <c r="C69" s="199"/>
      <c r="D69" s="200"/>
      <c r="E69" s="201">
        <f t="shared" ref="E69:I69" si="83">SUM(E65:E68)</f>
        <v>0</v>
      </c>
      <c r="F69" s="201">
        <f t="shared" si="83"/>
        <v>0</v>
      </c>
      <c r="G69" s="201">
        <f t="shared" si="83"/>
        <v>0</v>
      </c>
      <c r="H69" s="201">
        <f t="shared" si="83"/>
        <v>0</v>
      </c>
      <c r="I69" s="201">
        <f t="shared" si="83"/>
        <v>0</v>
      </c>
      <c r="J69" s="201">
        <f t="shared" si="3"/>
        <v>0</v>
      </c>
      <c r="K69" s="201">
        <f t="shared" si="4"/>
        <v>0</v>
      </c>
      <c r="L69" s="201">
        <f t="shared" si="5"/>
        <v>0</v>
      </c>
      <c r="M69" s="201">
        <f t="shared" si="6"/>
        <v>0</v>
      </c>
      <c r="N69" s="201">
        <f t="shared" ref="N69:Q69" si="84">SUM(N65:N68)</f>
        <v>0</v>
      </c>
      <c r="O69" s="201">
        <f t="shared" si="84"/>
        <v>0</v>
      </c>
      <c r="P69" s="201">
        <f t="shared" si="84"/>
        <v>0</v>
      </c>
      <c r="Q69" s="201">
        <f t="shared" si="84"/>
        <v>0</v>
      </c>
      <c r="R69" s="201">
        <f t="shared" si="9"/>
        <v>0</v>
      </c>
      <c r="S69" s="201">
        <f t="shared" si="10"/>
        <v>0</v>
      </c>
      <c r="T69" s="201">
        <f t="shared" si="11"/>
        <v>0</v>
      </c>
      <c r="U69" s="202"/>
      <c r="V69" s="201">
        <f>IFERROR(__xludf.DUMMYFUNCTION("""COMPUTED_VALUE"""),0.0)</f>
        <v>0</v>
      </c>
      <c r="W69" s="201">
        <f>IFERROR(__xludf.DUMMYFUNCTION("""COMPUTED_VALUE"""),0.0)</f>
        <v>0</v>
      </c>
      <c r="X69" s="201">
        <f>IFERROR(__xludf.DUMMYFUNCTION("""COMPUTED_VALUE"""),0.0)</f>
        <v>0</v>
      </c>
      <c r="Y69" s="201">
        <f>IFERROR(__xludf.DUMMYFUNCTION("""COMPUTED_VALUE"""),0.0)</f>
        <v>0</v>
      </c>
      <c r="Z69" s="201">
        <f t="shared" si="12"/>
        <v>0</v>
      </c>
      <c r="AA69" s="201">
        <f t="shared" si="13"/>
        <v>0</v>
      </c>
      <c r="AB69" s="201">
        <f t="shared" si="14"/>
        <v>0</v>
      </c>
    </row>
    <row r="70" ht="14.25" customHeight="1">
      <c r="A70" s="175"/>
      <c r="B70" s="196"/>
      <c r="C70" s="181"/>
      <c r="D70" s="197" t="s">
        <v>818</v>
      </c>
      <c r="E70" s="183">
        <f>SUMIFS('DB WBS'!$J:$J,'DB WBS'!$A:$A,$D$4,'DB WBS'!$D:$D,AA$1,'DB WBS'!$B:$B,$E$3,'DB WBS'!$E:$E,$B70)</f>
        <v>0</v>
      </c>
      <c r="F70" s="183">
        <f>SUMIFS('DB WBS'!$J:$J,'DB WBS'!$A:$A,$D$4,'DB WBS'!$D:$D,AA$2,'DB WBS'!$B:$B,$E$3,'DB WBS'!$E:$E,$B70)</f>
        <v>0</v>
      </c>
      <c r="G70" s="184">
        <f>IFERROR(HLOOKUP($E$3,'Tahun Lalu'!$B$5:$V$158,MATCH(B70,'Tahun Lalu'!$B$5:$B$158,0),0),0)</f>
        <v>0</v>
      </c>
      <c r="H70" s="184">
        <v>0.0</v>
      </c>
      <c r="I70" s="184">
        <v>0.0</v>
      </c>
      <c r="J70" s="183">
        <f t="shared" si="3"/>
        <v>0</v>
      </c>
      <c r="K70" s="183">
        <f t="shared" si="4"/>
        <v>0</v>
      </c>
      <c r="L70" s="183">
        <f t="shared" si="5"/>
        <v>0</v>
      </c>
      <c r="M70" s="183">
        <f t="shared" si="6"/>
        <v>0</v>
      </c>
      <c r="N70" s="183">
        <f t="shared" ref="N70:N72" si="86">E70+V70</f>
        <v>0</v>
      </c>
      <c r="O70" s="183">
        <f t="shared" ref="O70:Q70" si="85">G70+W70</f>
        <v>0</v>
      </c>
      <c r="P70" s="183">
        <f t="shared" si="85"/>
        <v>0</v>
      </c>
      <c r="Q70" s="183">
        <f t="shared" si="85"/>
        <v>0</v>
      </c>
      <c r="R70" s="183">
        <f t="shared" si="9"/>
        <v>0</v>
      </c>
      <c r="S70" s="183">
        <f t="shared" si="10"/>
        <v>0</v>
      </c>
      <c r="T70" s="183">
        <f t="shared" si="11"/>
        <v>0</v>
      </c>
      <c r="U70" s="186"/>
      <c r="V70" s="183">
        <f>IFERROR(__xludf.DUMMYFUNCTION("""COMPUTED_VALUE"""),0.0)</f>
        <v>0</v>
      </c>
      <c r="W70" s="183">
        <f>IFERROR(__xludf.DUMMYFUNCTION("""COMPUTED_VALUE"""),0.0)</f>
        <v>0</v>
      </c>
      <c r="X70" s="183">
        <f>IFERROR(__xludf.DUMMYFUNCTION("""COMPUTED_VALUE"""),0.0)</f>
        <v>0</v>
      </c>
      <c r="Y70" s="183">
        <f>IFERROR(__xludf.DUMMYFUNCTION("""COMPUTED_VALUE"""),0.0)</f>
        <v>0</v>
      </c>
      <c r="Z70" s="183">
        <f t="shared" si="12"/>
        <v>0</v>
      </c>
      <c r="AA70" s="183">
        <f t="shared" si="13"/>
        <v>0</v>
      </c>
      <c r="AB70" s="183">
        <f t="shared" si="14"/>
        <v>0</v>
      </c>
    </row>
    <row r="71" ht="14.25" customHeight="1">
      <c r="A71" s="175"/>
      <c r="B71" s="196"/>
      <c r="C71" s="181"/>
      <c r="D71" s="197" t="s">
        <v>819</v>
      </c>
      <c r="E71" s="183">
        <f>SUMIFS('DB WBS'!$J:$J,'DB WBS'!$A:$A,$D$4,'DB WBS'!$D:$D,AA$1,'DB WBS'!$B:$B,$E$3,'DB WBS'!$E:$E,$B71)</f>
        <v>0</v>
      </c>
      <c r="F71" s="183">
        <f>SUMIFS('DB WBS'!$J:$J,'DB WBS'!$A:$A,$D$4,'DB WBS'!$D:$D,AA$2,'DB WBS'!$B:$B,$E$3,'DB WBS'!$E:$E,$B71)</f>
        <v>0</v>
      </c>
      <c r="G71" s="184">
        <f>IFERROR(HLOOKUP($E$3,'Tahun Lalu'!$B$5:$V$158,MATCH(B71,'Tahun Lalu'!$B$5:$B$158,0),0),0)</f>
        <v>0</v>
      </c>
      <c r="H71" s="184">
        <v>0.0</v>
      </c>
      <c r="I71" s="184">
        <v>0.0</v>
      </c>
      <c r="J71" s="183">
        <f t="shared" si="3"/>
        <v>0</v>
      </c>
      <c r="K71" s="183">
        <f t="shared" si="4"/>
        <v>0</v>
      </c>
      <c r="L71" s="183">
        <f t="shared" si="5"/>
        <v>0</v>
      </c>
      <c r="M71" s="183">
        <f t="shared" si="6"/>
        <v>0</v>
      </c>
      <c r="N71" s="183">
        <f t="shared" si="86"/>
        <v>0</v>
      </c>
      <c r="O71" s="183">
        <f t="shared" ref="O71:Q71" si="87">G71+W71</f>
        <v>0</v>
      </c>
      <c r="P71" s="183">
        <f t="shared" si="87"/>
        <v>0</v>
      </c>
      <c r="Q71" s="183">
        <f t="shared" si="87"/>
        <v>0</v>
      </c>
      <c r="R71" s="183">
        <f t="shared" si="9"/>
        <v>0</v>
      </c>
      <c r="S71" s="183">
        <f t="shared" si="10"/>
        <v>0</v>
      </c>
      <c r="T71" s="183">
        <f t="shared" si="11"/>
        <v>0</v>
      </c>
      <c r="U71" s="186"/>
      <c r="V71" s="183">
        <f>IFERROR(__xludf.DUMMYFUNCTION("""COMPUTED_VALUE"""),0.0)</f>
        <v>0</v>
      </c>
      <c r="W71" s="183">
        <f>IFERROR(__xludf.DUMMYFUNCTION("""COMPUTED_VALUE"""),0.0)</f>
        <v>0</v>
      </c>
      <c r="X71" s="183">
        <f>IFERROR(__xludf.DUMMYFUNCTION("""COMPUTED_VALUE"""),0.0)</f>
        <v>0</v>
      </c>
      <c r="Y71" s="183">
        <f>IFERROR(__xludf.DUMMYFUNCTION("""COMPUTED_VALUE"""),0.0)</f>
        <v>0</v>
      </c>
      <c r="Z71" s="183">
        <f t="shared" si="12"/>
        <v>0</v>
      </c>
      <c r="AA71" s="183">
        <f t="shared" si="13"/>
        <v>0</v>
      </c>
      <c r="AB71" s="183">
        <f t="shared" si="14"/>
        <v>0</v>
      </c>
    </row>
    <row r="72" ht="14.25" customHeight="1">
      <c r="A72" s="175"/>
      <c r="B72" s="196"/>
      <c r="C72" s="181"/>
      <c r="D72" s="197"/>
      <c r="E72" s="183">
        <f>SUMIFS('DB WBS'!$J:$J,'DB WBS'!$A:$A,$D$4,'DB WBS'!$D:$D,AA$1,'DB WBS'!$B:$B,$E$3,'DB WBS'!$E:$E,$B72)</f>
        <v>0</v>
      </c>
      <c r="F72" s="183">
        <f>SUMIFS('DB WBS'!$J:$J,'DB WBS'!$A:$A,$D$4,'DB WBS'!$D:$D,AA$2,'DB WBS'!$B:$B,$E$3,'DB WBS'!$E:$E,$B72)</f>
        <v>0</v>
      </c>
      <c r="G72" s="184">
        <f>IFERROR(HLOOKUP($E$3,'Tahun Lalu'!$B$5:$V$158,MATCH(B72,'Tahun Lalu'!$B$5:$B$158,0),0),0)</f>
        <v>0</v>
      </c>
      <c r="H72" s="184">
        <v>0.0</v>
      </c>
      <c r="I72" s="184">
        <v>0.0</v>
      </c>
      <c r="J72" s="183">
        <f t="shared" si="3"/>
        <v>0</v>
      </c>
      <c r="K72" s="183">
        <f t="shared" si="4"/>
        <v>0</v>
      </c>
      <c r="L72" s="183">
        <f t="shared" si="5"/>
        <v>0</v>
      </c>
      <c r="M72" s="183">
        <f t="shared" si="6"/>
        <v>0</v>
      </c>
      <c r="N72" s="183">
        <f t="shared" si="86"/>
        <v>0</v>
      </c>
      <c r="O72" s="183">
        <f t="shared" ref="O72:Q72" si="88">G72+W72</f>
        <v>0</v>
      </c>
      <c r="P72" s="183">
        <f t="shared" si="88"/>
        <v>0</v>
      </c>
      <c r="Q72" s="183">
        <f t="shared" si="88"/>
        <v>0</v>
      </c>
      <c r="R72" s="183">
        <f t="shared" si="9"/>
        <v>0</v>
      </c>
      <c r="S72" s="183">
        <f t="shared" si="10"/>
        <v>0</v>
      </c>
      <c r="T72" s="183">
        <f t="shared" si="11"/>
        <v>0</v>
      </c>
      <c r="U72" s="186"/>
      <c r="V72" s="183">
        <f>IFERROR(__xludf.DUMMYFUNCTION("""COMPUTED_VALUE"""),0.0)</f>
        <v>0</v>
      </c>
      <c r="W72" s="183">
        <f>IFERROR(__xludf.DUMMYFUNCTION("""COMPUTED_VALUE"""),0.0)</f>
        <v>0</v>
      </c>
      <c r="X72" s="183">
        <f>IFERROR(__xludf.DUMMYFUNCTION("""COMPUTED_VALUE"""),0.0)</f>
        <v>0</v>
      </c>
      <c r="Y72" s="183">
        <f>IFERROR(__xludf.DUMMYFUNCTION("""COMPUTED_VALUE"""),0.0)</f>
        <v>0</v>
      </c>
      <c r="Z72" s="183">
        <f t="shared" si="12"/>
        <v>0</v>
      </c>
      <c r="AA72" s="183">
        <f t="shared" si="13"/>
        <v>0</v>
      </c>
      <c r="AB72" s="183">
        <f t="shared" si="14"/>
        <v>0</v>
      </c>
    </row>
    <row r="73" ht="14.25" customHeight="1">
      <c r="A73" s="175"/>
      <c r="B73" s="191" t="s">
        <v>820</v>
      </c>
      <c r="C73" s="199"/>
      <c r="D73" s="200"/>
      <c r="E73" s="201">
        <f t="shared" ref="E73:I73" si="89">SUM(E70:E72)</f>
        <v>0</v>
      </c>
      <c r="F73" s="201">
        <f t="shared" si="89"/>
        <v>0</v>
      </c>
      <c r="G73" s="201">
        <f t="shared" si="89"/>
        <v>0</v>
      </c>
      <c r="H73" s="201">
        <f t="shared" si="89"/>
        <v>0</v>
      </c>
      <c r="I73" s="201">
        <f t="shared" si="89"/>
        <v>0</v>
      </c>
      <c r="J73" s="201">
        <f t="shared" si="3"/>
        <v>0</v>
      </c>
      <c r="K73" s="201">
        <f t="shared" si="4"/>
        <v>0</v>
      </c>
      <c r="L73" s="201">
        <f t="shared" si="5"/>
        <v>0</v>
      </c>
      <c r="M73" s="201">
        <f t="shared" si="6"/>
        <v>0</v>
      </c>
      <c r="N73" s="201">
        <f t="shared" ref="N73:Q73" si="90">SUM(N70:N72)</f>
        <v>0</v>
      </c>
      <c r="O73" s="201">
        <f t="shared" si="90"/>
        <v>0</v>
      </c>
      <c r="P73" s="201">
        <f t="shared" si="90"/>
        <v>0</v>
      </c>
      <c r="Q73" s="201">
        <f t="shared" si="90"/>
        <v>0</v>
      </c>
      <c r="R73" s="201">
        <f t="shared" si="9"/>
        <v>0</v>
      </c>
      <c r="S73" s="201">
        <f t="shared" si="10"/>
        <v>0</v>
      </c>
      <c r="T73" s="201">
        <f t="shared" si="11"/>
        <v>0</v>
      </c>
      <c r="U73" s="202"/>
      <c r="V73" s="201">
        <f>IFERROR(__xludf.DUMMYFUNCTION("""COMPUTED_VALUE"""),0.0)</f>
        <v>0</v>
      </c>
      <c r="W73" s="201">
        <f>IFERROR(__xludf.DUMMYFUNCTION("""COMPUTED_VALUE"""),0.0)</f>
        <v>0</v>
      </c>
      <c r="X73" s="201">
        <f>IFERROR(__xludf.DUMMYFUNCTION("""COMPUTED_VALUE"""),0.0)</f>
        <v>0</v>
      </c>
      <c r="Y73" s="201">
        <f>IFERROR(__xludf.DUMMYFUNCTION("""COMPUTED_VALUE"""),0.0)</f>
        <v>0</v>
      </c>
      <c r="Z73" s="201">
        <f t="shared" si="12"/>
        <v>0</v>
      </c>
      <c r="AA73" s="201">
        <f t="shared" si="13"/>
        <v>0</v>
      </c>
      <c r="AB73" s="201">
        <f t="shared" si="14"/>
        <v>0</v>
      </c>
    </row>
    <row r="74" ht="14.25" customHeight="1">
      <c r="A74" s="175"/>
      <c r="B74" s="203"/>
      <c r="C74" s="181"/>
      <c r="D74" s="197"/>
      <c r="E74" s="183">
        <f>SUMIFS('DB WBS'!$J:$J,'DB WBS'!$A:$A,$D$4,'DB WBS'!$D:$D,AA$1,'DB WBS'!$B:$B,$E$3,'DB WBS'!$E:$E,$B74)</f>
        <v>0</v>
      </c>
      <c r="F74" s="183">
        <f>SUMIFS('DB WBS'!$J:$J,'DB WBS'!$A:$A,$D$4,'DB WBS'!$D:$D,AA$2,'DB WBS'!$B:$B,$E$3,'DB WBS'!$E:$E,$B74)</f>
        <v>0</v>
      </c>
      <c r="G74" s="184">
        <f>IFERROR(HLOOKUP($E$3,'Tahun Lalu'!$B$5:$V$158,MATCH(B74,'Tahun Lalu'!$B$5:$B$158,0),0),0)</f>
        <v>0</v>
      </c>
      <c r="H74" s="184">
        <v>0.0</v>
      </c>
      <c r="I74" s="184">
        <v>0.0</v>
      </c>
      <c r="J74" s="183">
        <f t="shared" si="3"/>
        <v>0</v>
      </c>
      <c r="K74" s="183">
        <f t="shared" si="4"/>
        <v>0</v>
      </c>
      <c r="L74" s="183">
        <f t="shared" si="5"/>
        <v>0</v>
      </c>
      <c r="M74" s="183">
        <f t="shared" si="6"/>
        <v>0</v>
      </c>
      <c r="N74" s="183">
        <f t="shared" ref="N74:N75" si="92">E74+V74</f>
        <v>0</v>
      </c>
      <c r="O74" s="183">
        <f t="shared" ref="O74:Q74" si="91">G74+W74</f>
        <v>0</v>
      </c>
      <c r="P74" s="183">
        <f t="shared" si="91"/>
        <v>0</v>
      </c>
      <c r="Q74" s="183">
        <f t="shared" si="91"/>
        <v>0</v>
      </c>
      <c r="R74" s="183">
        <f t="shared" si="9"/>
        <v>0</v>
      </c>
      <c r="S74" s="183">
        <f t="shared" si="10"/>
        <v>0</v>
      </c>
      <c r="T74" s="183">
        <f t="shared" si="11"/>
        <v>0</v>
      </c>
      <c r="U74" s="186"/>
      <c r="V74" s="183">
        <f>IFERROR(__xludf.DUMMYFUNCTION("""COMPUTED_VALUE"""),0.0)</f>
        <v>0</v>
      </c>
      <c r="W74" s="183">
        <f>IFERROR(__xludf.DUMMYFUNCTION("""COMPUTED_VALUE"""),0.0)</f>
        <v>0</v>
      </c>
      <c r="X74" s="183">
        <f>IFERROR(__xludf.DUMMYFUNCTION("""COMPUTED_VALUE"""),0.0)</f>
        <v>0</v>
      </c>
      <c r="Y74" s="183">
        <f>IFERROR(__xludf.DUMMYFUNCTION("""COMPUTED_VALUE"""),0.0)</f>
        <v>0</v>
      </c>
      <c r="Z74" s="183">
        <f t="shared" si="12"/>
        <v>0</v>
      </c>
      <c r="AA74" s="183">
        <f t="shared" si="13"/>
        <v>0</v>
      </c>
      <c r="AB74" s="183">
        <f t="shared" si="14"/>
        <v>0</v>
      </c>
    </row>
    <row r="75" ht="14.25" customHeight="1">
      <c r="A75" s="175"/>
      <c r="B75" s="203"/>
      <c r="C75" s="181"/>
      <c r="D75" s="197"/>
      <c r="E75" s="183">
        <f>SUMIFS('DB WBS'!$J:$J,'DB WBS'!$A:$A,$D$4,'DB WBS'!$D:$D,AA$1,'DB WBS'!$B:$B,$E$3,'DB WBS'!$E:$E,$B75)</f>
        <v>0</v>
      </c>
      <c r="F75" s="183">
        <f>SUMIFS('DB WBS'!$J:$J,'DB WBS'!$A:$A,$D$4,'DB WBS'!$D:$D,AA$2,'DB WBS'!$B:$B,$E$3,'DB WBS'!$E:$E,$B75)</f>
        <v>0</v>
      </c>
      <c r="G75" s="184">
        <f>IFERROR(HLOOKUP($E$3,'Tahun Lalu'!$B$5:$V$158,MATCH(B75,'Tahun Lalu'!$B$5:$B$158,0),0),0)</f>
        <v>0</v>
      </c>
      <c r="H75" s="184">
        <v>0.0</v>
      </c>
      <c r="I75" s="184">
        <v>0.0</v>
      </c>
      <c r="J75" s="183">
        <f t="shared" si="3"/>
        <v>0</v>
      </c>
      <c r="K75" s="183">
        <f t="shared" si="4"/>
        <v>0</v>
      </c>
      <c r="L75" s="183">
        <f t="shared" si="5"/>
        <v>0</v>
      </c>
      <c r="M75" s="183">
        <f t="shared" si="6"/>
        <v>0</v>
      </c>
      <c r="N75" s="183">
        <f t="shared" si="92"/>
        <v>0</v>
      </c>
      <c r="O75" s="183">
        <f t="shared" ref="O75:Q75" si="93">G75+W75</f>
        <v>0</v>
      </c>
      <c r="P75" s="183">
        <f t="shared" si="93"/>
        <v>0</v>
      </c>
      <c r="Q75" s="183">
        <f t="shared" si="93"/>
        <v>0</v>
      </c>
      <c r="R75" s="183">
        <f t="shared" si="9"/>
        <v>0</v>
      </c>
      <c r="S75" s="183">
        <f t="shared" si="10"/>
        <v>0</v>
      </c>
      <c r="T75" s="183">
        <f t="shared" si="11"/>
        <v>0</v>
      </c>
      <c r="U75" s="186"/>
      <c r="V75" s="183">
        <f>IFERROR(__xludf.DUMMYFUNCTION("""COMPUTED_VALUE"""),0.0)</f>
        <v>0</v>
      </c>
      <c r="W75" s="183">
        <f>IFERROR(__xludf.DUMMYFUNCTION("""COMPUTED_VALUE"""),0.0)</f>
        <v>0</v>
      </c>
      <c r="X75" s="183">
        <f>IFERROR(__xludf.DUMMYFUNCTION("""COMPUTED_VALUE"""),0.0)</f>
        <v>0</v>
      </c>
      <c r="Y75" s="183">
        <f>IFERROR(__xludf.DUMMYFUNCTION("""COMPUTED_VALUE"""),0.0)</f>
        <v>0</v>
      </c>
      <c r="Z75" s="183">
        <f t="shared" si="12"/>
        <v>0</v>
      </c>
      <c r="AA75" s="183">
        <f t="shared" si="13"/>
        <v>0</v>
      </c>
      <c r="AB75" s="183">
        <f t="shared" si="14"/>
        <v>0</v>
      </c>
    </row>
    <row r="76" ht="14.25" customHeight="1">
      <c r="A76" s="175"/>
      <c r="B76" s="191" t="s">
        <v>821</v>
      </c>
      <c r="C76" s="199"/>
      <c r="D76" s="200"/>
      <c r="E76" s="201">
        <f t="shared" ref="E76:I76" si="94">SUM(E74:E75)</f>
        <v>0</v>
      </c>
      <c r="F76" s="201">
        <f t="shared" si="94"/>
        <v>0</v>
      </c>
      <c r="G76" s="201">
        <f t="shared" si="94"/>
        <v>0</v>
      </c>
      <c r="H76" s="201">
        <f t="shared" si="94"/>
        <v>0</v>
      </c>
      <c r="I76" s="201">
        <f t="shared" si="94"/>
        <v>0</v>
      </c>
      <c r="J76" s="201">
        <f t="shared" si="3"/>
        <v>0</v>
      </c>
      <c r="K76" s="201">
        <f t="shared" si="4"/>
        <v>0</v>
      </c>
      <c r="L76" s="201">
        <f t="shared" si="5"/>
        <v>0</v>
      </c>
      <c r="M76" s="201">
        <f t="shared" si="6"/>
        <v>0</v>
      </c>
      <c r="N76" s="201">
        <f t="shared" ref="N76:Q76" si="95">SUM(N74:N75)</f>
        <v>0</v>
      </c>
      <c r="O76" s="201">
        <f t="shared" si="95"/>
        <v>0</v>
      </c>
      <c r="P76" s="201">
        <f t="shared" si="95"/>
        <v>0</v>
      </c>
      <c r="Q76" s="201">
        <f t="shared" si="95"/>
        <v>0</v>
      </c>
      <c r="R76" s="201">
        <f t="shared" si="9"/>
        <v>0</v>
      </c>
      <c r="S76" s="201">
        <f t="shared" si="10"/>
        <v>0</v>
      </c>
      <c r="T76" s="201">
        <f t="shared" si="11"/>
        <v>0</v>
      </c>
      <c r="U76" s="202"/>
      <c r="V76" s="201">
        <f>IFERROR(__xludf.DUMMYFUNCTION("""COMPUTED_VALUE"""),0.0)</f>
        <v>0</v>
      </c>
      <c r="W76" s="201">
        <f>IFERROR(__xludf.DUMMYFUNCTION("""COMPUTED_VALUE"""),0.0)</f>
        <v>0</v>
      </c>
      <c r="X76" s="201">
        <f>IFERROR(__xludf.DUMMYFUNCTION("""COMPUTED_VALUE"""),0.0)</f>
        <v>0</v>
      </c>
      <c r="Y76" s="201">
        <f>IFERROR(__xludf.DUMMYFUNCTION("""COMPUTED_VALUE"""),0.0)</f>
        <v>0</v>
      </c>
      <c r="Z76" s="201">
        <f t="shared" si="12"/>
        <v>0</v>
      </c>
      <c r="AA76" s="201">
        <f t="shared" si="13"/>
        <v>0</v>
      </c>
      <c r="AB76" s="201">
        <f t="shared" si="14"/>
        <v>0</v>
      </c>
    </row>
    <row r="77" ht="14.25" customHeight="1">
      <c r="A77" s="175"/>
      <c r="B77" s="204" t="s">
        <v>822</v>
      </c>
      <c r="C77" s="205"/>
      <c r="D77" s="206"/>
      <c r="E77" s="207">
        <f t="shared" ref="E77:I77" si="96">E76+E73+E69+E64+E58+E45+E34+E32+E13+E11</f>
        <v>0</v>
      </c>
      <c r="F77" s="207">
        <f t="shared" si="96"/>
        <v>0</v>
      </c>
      <c r="G77" s="207">
        <f t="shared" si="96"/>
        <v>0</v>
      </c>
      <c r="H77" s="207">
        <f t="shared" si="96"/>
        <v>0</v>
      </c>
      <c r="I77" s="207">
        <f t="shared" si="96"/>
        <v>0</v>
      </c>
      <c r="J77" s="207">
        <f t="shared" si="3"/>
        <v>0</v>
      </c>
      <c r="K77" s="207">
        <f t="shared" si="4"/>
        <v>0</v>
      </c>
      <c r="L77" s="207">
        <f t="shared" si="5"/>
        <v>0</v>
      </c>
      <c r="M77" s="207">
        <f t="shared" si="6"/>
        <v>0</v>
      </c>
      <c r="N77" s="207">
        <f t="shared" ref="N77:Q77" si="97">N76+N73+N69+N64+N58+N45+N34+N32+N13+N11</f>
        <v>0</v>
      </c>
      <c r="O77" s="207">
        <f t="shared" si="97"/>
        <v>0</v>
      </c>
      <c r="P77" s="207">
        <f t="shared" si="97"/>
        <v>0</v>
      </c>
      <c r="Q77" s="207">
        <f t="shared" si="97"/>
        <v>0</v>
      </c>
      <c r="R77" s="207">
        <f t="shared" si="9"/>
        <v>0</v>
      </c>
      <c r="S77" s="207">
        <f t="shared" si="10"/>
        <v>0</v>
      </c>
      <c r="T77" s="207">
        <f t="shared" si="11"/>
        <v>0</v>
      </c>
      <c r="U77" s="202"/>
      <c r="V77" s="207">
        <f>IFERROR(__xludf.DUMMYFUNCTION("""COMPUTED_VALUE"""),0.0)</f>
        <v>0</v>
      </c>
      <c r="W77" s="207">
        <f>IFERROR(__xludf.DUMMYFUNCTION("""COMPUTED_VALUE"""),0.0)</f>
        <v>0</v>
      </c>
      <c r="X77" s="207">
        <f>IFERROR(__xludf.DUMMYFUNCTION("""COMPUTED_VALUE"""),0.0)</f>
        <v>0</v>
      </c>
      <c r="Y77" s="207">
        <f>IFERROR(__xludf.DUMMYFUNCTION("""COMPUTED_VALUE"""),0.0)</f>
        <v>0</v>
      </c>
      <c r="Z77" s="207">
        <f t="shared" si="12"/>
        <v>0</v>
      </c>
      <c r="AA77" s="207">
        <f t="shared" si="13"/>
        <v>0</v>
      </c>
      <c r="AB77" s="207">
        <f t="shared" si="14"/>
        <v>0</v>
      </c>
    </row>
    <row r="78" ht="14.25" customHeight="1">
      <c r="A78" s="175"/>
      <c r="B78" s="208" t="s">
        <v>20</v>
      </c>
      <c r="C78" s="181" t="s">
        <v>409</v>
      </c>
      <c r="D78" s="209" t="s">
        <v>140</v>
      </c>
      <c r="E78" s="183">
        <f>SUMIFS('DB WBS'!$J:$J,'DB WBS'!$A:$A,$D$4,'DB WBS'!$D:$D,AA$1,'DB WBS'!$B:$B,$E$3,'DB WBS'!$E:$E,$B78)</f>
        <v>0</v>
      </c>
      <c r="F78" s="183">
        <f>SUMIFS('DB WBS'!$J:$J,'DB WBS'!$A:$A,$D$4,'DB WBS'!$D:$D,AA$2,'DB WBS'!$B:$B,$E$3,'DB WBS'!$E:$E,$B78)</f>
        <v>0</v>
      </c>
      <c r="G78" s="184">
        <f>IFERROR(HLOOKUP($E$3,'Tahun Lalu'!$B$5:$V$158,MATCH(B78,'Tahun Lalu'!$B$5:$B$158,0),0),0)</f>
        <v>0</v>
      </c>
      <c r="H78" s="184">
        <v>0.0</v>
      </c>
      <c r="I78" s="184">
        <v>0.0</v>
      </c>
      <c r="J78" s="210">
        <f t="shared" si="3"/>
        <v>0</v>
      </c>
      <c r="K78" s="183">
        <f t="shared" si="4"/>
        <v>0</v>
      </c>
      <c r="L78" s="183">
        <f t="shared" si="5"/>
        <v>0</v>
      </c>
      <c r="M78" s="183">
        <f t="shared" si="6"/>
        <v>0</v>
      </c>
      <c r="N78" s="183">
        <f t="shared" ref="N78:N90" si="99">E78+V78</f>
        <v>0</v>
      </c>
      <c r="O78" s="183">
        <f t="shared" ref="O78:Q78" si="98">G78+W78</f>
        <v>0</v>
      </c>
      <c r="P78" s="183">
        <f t="shared" si="98"/>
        <v>0</v>
      </c>
      <c r="Q78" s="183">
        <f t="shared" si="98"/>
        <v>0</v>
      </c>
      <c r="R78" s="210">
        <f t="shared" si="9"/>
        <v>0</v>
      </c>
      <c r="S78" s="183">
        <f t="shared" si="10"/>
        <v>0</v>
      </c>
      <c r="T78" s="183">
        <f t="shared" si="11"/>
        <v>0</v>
      </c>
      <c r="U78" s="186"/>
      <c r="V78" s="183">
        <f>IFERROR(__xludf.DUMMYFUNCTION("""COMPUTED_VALUE"""),0.0)</f>
        <v>0</v>
      </c>
      <c r="W78" s="183">
        <f>IFERROR(__xludf.DUMMYFUNCTION("""COMPUTED_VALUE"""),0.0)</f>
        <v>0</v>
      </c>
      <c r="X78" s="183">
        <f>IFERROR(__xludf.DUMMYFUNCTION("""COMPUTED_VALUE"""),0.0)</f>
        <v>0</v>
      </c>
      <c r="Y78" s="183">
        <f>IFERROR(__xludf.DUMMYFUNCTION("""COMPUTED_VALUE"""),0.0)</f>
        <v>0</v>
      </c>
      <c r="Z78" s="210">
        <f t="shared" si="12"/>
        <v>0</v>
      </c>
      <c r="AA78" s="183">
        <f t="shared" si="13"/>
        <v>0</v>
      </c>
      <c r="AB78" s="183">
        <f t="shared" si="14"/>
        <v>0</v>
      </c>
    </row>
    <row r="79" ht="14.25" customHeight="1">
      <c r="A79" s="175"/>
      <c r="B79" s="208" t="s">
        <v>823</v>
      </c>
      <c r="C79" s="181"/>
      <c r="D79" s="209" t="s">
        <v>192</v>
      </c>
      <c r="E79" s="183">
        <f>SUMIFS('DB WBS'!$J:$J,'DB WBS'!$A:$A,$D$4,'DB WBS'!$D:$D,AA$1,'DB WBS'!$B:$B,$E$3,'DB WBS'!$E:$E,$B79)</f>
        <v>0</v>
      </c>
      <c r="F79" s="183">
        <f>SUMIFS('DB WBS'!$J:$J,'DB WBS'!$A:$A,$D$4,'DB WBS'!$D:$D,AA$2,'DB WBS'!$B:$B,$E$3,'DB WBS'!$E:$E,$B79)</f>
        <v>0</v>
      </c>
      <c r="G79" s="184">
        <f>IFERROR(HLOOKUP($E$3,'Tahun Lalu'!$B$5:$V$158,MATCH(B79,'Tahun Lalu'!$B$5:$B$158,0),0),0)</f>
        <v>0</v>
      </c>
      <c r="H79" s="184">
        <v>0.0</v>
      </c>
      <c r="I79" s="184">
        <v>0.0</v>
      </c>
      <c r="J79" s="183">
        <f t="shared" si="3"/>
        <v>0</v>
      </c>
      <c r="K79" s="183">
        <f t="shared" si="4"/>
        <v>0</v>
      </c>
      <c r="L79" s="183">
        <f t="shared" si="5"/>
        <v>0</v>
      </c>
      <c r="M79" s="183">
        <f t="shared" si="6"/>
        <v>0</v>
      </c>
      <c r="N79" s="183">
        <f t="shared" si="99"/>
        <v>0</v>
      </c>
      <c r="O79" s="183">
        <f t="shared" ref="O79:Q79" si="100">G79+W79</f>
        <v>0</v>
      </c>
      <c r="P79" s="183">
        <f t="shared" si="100"/>
        <v>0</v>
      </c>
      <c r="Q79" s="183">
        <f t="shared" si="100"/>
        <v>0</v>
      </c>
      <c r="R79" s="183">
        <f t="shared" si="9"/>
        <v>0</v>
      </c>
      <c r="S79" s="183">
        <f t="shared" si="10"/>
        <v>0</v>
      </c>
      <c r="T79" s="183">
        <f t="shared" si="11"/>
        <v>0</v>
      </c>
      <c r="U79" s="186"/>
      <c r="V79" s="183">
        <f>IFERROR(__xludf.DUMMYFUNCTION("""COMPUTED_VALUE"""),0.0)</f>
        <v>0</v>
      </c>
      <c r="W79" s="183">
        <f>IFERROR(__xludf.DUMMYFUNCTION("""COMPUTED_VALUE"""),0.0)</f>
        <v>0</v>
      </c>
      <c r="X79" s="183">
        <f>IFERROR(__xludf.DUMMYFUNCTION("""COMPUTED_VALUE"""),0.0)</f>
        <v>0</v>
      </c>
      <c r="Y79" s="183">
        <f>IFERROR(__xludf.DUMMYFUNCTION("""COMPUTED_VALUE"""),0.0)</f>
        <v>0</v>
      </c>
      <c r="Z79" s="183">
        <f t="shared" si="12"/>
        <v>0</v>
      </c>
      <c r="AA79" s="183">
        <f t="shared" si="13"/>
        <v>0</v>
      </c>
      <c r="AB79" s="183">
        <f t="shared" si="14"/>
        <v>0</v>
      </c>
    </row>
    <row r="80" ht="14.25" customHeight="1">
      <c r="A80" s="175"/>
      <c r="B80" s="208" t="s">
        <v>43</v>
      </c>
      <c r="C80" s="181"/>
      <c r="D80" s="209" t="s">
        <v>44</v>
      </c>
      <c r="E80" s="183">
        <f>SUMIFS('DB WBS'!$J:$J,'DB WBS'!$A:$A,$D$4,'DB WBS'!$D:$D,AA$1,'DB WBS'!$B:$B,$E$3,'DB WBS'!$E:$E,$B80)</f>
        <v>0</v>
      </c>
      <c r="F80" s="183">
        <f>SUMIFS('DB WBS'!$J:$J,'DB WBS'!$A:$A,$D$4,'DB WBS'!$D:$D,AA$2,'DB WBS'!$B:$B,$E$3,'DB WBS'!$E:$E,$B80)</f>
        <v>0</v>
      </c>
      <c r="G80" s="184">
        <f>IFERROR(HLOOKUP($E$3,'Tahun Lalu'!$B$5:$V$158,MATCH(B80,'Tahun Lalu'!$B$5:$B$158,0),0),0)</f>
        <v>0</v>
      </c>
      <c r="H80" s="184">
        <v>0.0</v>
      </c>
      <c r="I80" s="184">
        <v>0.0</v>
      </c>
      <c r="J80" s="183">
        <f t="shared" si="3"/>
        <v>0</v>
      </c>
      <c r="K80" s="183">
        <f t="shared" si="4"/>
        <v>0</v>
      </c>
      <c r="L80" s="183">
        <f t="shared" si="5"/>
        <v>0</v>
      </c>
      <c r="M80" s="183">
        <f t="shared" si="6"/>
        <v>0</v>
      </c>
      <c r="N80" s="183">
        <f t="shared" si="99"/>
        <v>0</v>
      </c>
      <c r="O80" s="183">
        <f t="shared" ref="O80:Q80" si="101">G80+W80</f>
        <v>0</v>
      </c>
      <c r="P80" s="183">
        <f t="shared" si="101"/>
        <v>0</v>
      </c>
      <c r="Q80" s="183">
        <f t="shared" si="101"/>
        <v>0</v>
      </c>
      <c r="R80" s="183">
        <f t="shared" si="9"/>
        <v>0</v>
      </c>
      <c r="S80" s="183">
        <f t="shared" si="10"/>
        <v>0</v>
      </c>
      <c r="T80" s="183">
        <f t="shared" si="11"/>
        <v>0</v>
      </c>
      <c r="U80" s="186"/>
      <c r="V80" s="183">
        <f>IFERROR(__xludf.DUMMYFUNCTION("""COMPUTED_VALUE"""),0.0)</f>
        <v>0</v>
      </c>
      <c r="W80" s="183">
        <f>IFERROR(__xludf.DUMMYFUNCTION("""COMPUTED_VALUE"""),0.0)</f>
        <v>0</v>
      </c>
      <c r="X80" s="183">
        <f>IFERROR(__xludf.DUMMYFUNCTION("""COMPUTED_VALUE"""),0.0)</f>
        <v>0</v>
      </c>
      <c r="Y80" s="183">
        <f>IFERROR(__xludf.DUMMYFUNCTION("""COMPUTED_VALUE"""),0.0)</f>
        <v>0</v>
      </c>
      <c r="Z80" s="183">
        <f t="shared" si="12"/>
        <v>0</v>
      </c>
      <c r="AA80" s="183">
        <f t="shared" si="13"/>
        <v>0</v>
      </c>
      <c r="AB80" s="183">
        <f t="shared" si="14"/>
        <v>0</v>
      </c>
    </row>
    <row r="81" ht="14.25" customHeight="1">
      <c r="A81" s="175"/>
      <c r="B81" s="208" t="s">
        <v>14</v>
      </c>
      <c r="C81" s="181"/>
      <c r="D81" s="209" t="s">
        <v>15</v>
      </c>
      <c r="E81" s="183">
        <f>SUMIFS('DB WBS'!$J:$J,'DB WBS'!$A:$A,$D$4,'DB WBS'!$D:$D,AA$1,'DB WBS'!$B:$B,$E$3,'DB WBS'!$E:$E,$B81)</f>
        <v>0</v>
      </c>
      <c r="F81" s="183">
        <f>SUMIFS('DB WBS'!$J:$J,'DB WBS'!$A:$A,$D$4,'DB WBS'!$D:$D,AA$2,'DB WBS'!$B:$B,$E$3,'DB WBS'!$E:$E,$B81)</f>
        <v>0</v>
      </c>
      <c r="G81" s="184">
        <f>IFERROR(HLOOKUP($E$3,'Tahun Lalu'!$B$5:$V$158,MATCH(B81,'Tahun Lalu'!$B$5:$B$158,0),0),0)</f>
        <v>0</v>
      </c>
      <c r="H81" s="184">
        <v>0.0</v>
      </c>
      <c r="I81" s="184">
        <v>0.0</v>
      </c>
      <c r="J81" s="183">
        <f t="shared" si="3"/>
        <v>0</v>
      </c>
      <c r="K81" s="183">
        <f t="shared" si="4"/>
        <v>0</v>
      </c>
      <c r="L81" s="183">
        <f t="shared" si="5"/>
        <v>0</v>
      </c>
      <c r="M81" s="183">
        <f t="shared" si="6"/>
        <v>0</v>
      </c>
      <c r="N81" s="183">
        <f t="shared" si="99"/>
        <v>0</v>
      </c>
      <c r="O81" s="183">
        <f t="shared" ref="O81:Q81" si="102">G81+W81</f>
        <v>0</v>
      </c>
      <c r="P81" s="183">
        <f t="shared" si="102"/>
        <v>0</v>
      </c>
      <c r="Q81" s="183">
        <f t="shared" si="102"/>
        <v>0</v>
      </c>
      <c r="R81" s="183">
        <f t="shared" si="9"/>
        <v>0</v>
      </c>
      <c r="S81" s="183">
        <f t="shared" si="10"/>
        <v>0</v>
      </c>
      <c r="T81" s="183">
        <f t="shared" si="11"/>
        <v>0</v>
      </c>
      <c r="U81" s="186"/>
      <c r="V81" s="183">
        <f>IFERROR(__xludf.DUMMYFUNCTION("""COMPUTED_VALUE"""),0.0)</f>
        <v>0</v>
      </c>
      <c r="W81" s="183">
        <f>IFERROR(__xludf.DUMMYFUNCTION("""COMPUTED_VALUE"""),0.0)</f>
        <v>0</v>
      </c>
      <c r="X81" s="183">
        <f>IFERROR(__xludf.DUMMYFUNCTION("""COMPUTED_VALUE"""),0.0)</f>
        <v>0</v>
      </c>
      <c r="Y81" s="183">
        <f>IFERROR(__xludf.DUMMYFUNCTION("""COMPUTED_VALUE"""),0.0)</f>
        <v>0</v>
      </c>
      <c r="Z81" s="183">
        <f t="shared" si="12"/>
        <v>0</v>
      </c>
      <c r="AA81" s="183">
        <f t="shared" si="13"/>
        <v>0</v>
      </c>
      <c r="AB81" s="183">
        <f t="shared" si="14"/>
        <v>0</v>
      </c>
    </row>
    <row r="82" ht="14.25" customHeight="1">
      <c r="A82" s="175"/>
      <c r="B82" s="208" t="s">
        <v>68</v>
      </c>
      <c r="C82" s="181"/>
      <c r="D82" s="209" t="s">
        <v>69</v>
      </c>
      <c r="E82" s="183">
        <f>SUMIFS('DB WBS'!$J:$J,'DB WBS'!$A:$A,$D$4,'DB WBS'!$D:$D,AA$1,'DB WBS'!$B:$B,$E$3,'DB WBS'!$E:$E,$B82)</f>
        <v>0</v>
      </c>
      <c r="F82" s="183">
        <f>SUMIFS('DB WBS'!$J:$J,'DB WBS'!$A:$A,$D$4,'DB WBS'!$D:$D,AA$2,'DB WBS'!$B:$B,$E$3,'DB WBS'!$E:$E,$B82)</f>
        <v>0</v>
      </c>
      <c r="G82" s="184">
        <f>IFERROR(HLOOKUP($E$3,'Tahun Lalu'!$B$5:$V$158,MATCH(B82,'Tahun Lalu'!$B$5:$B$158,0),0),0)</f>
        <v>0</v>
      </c>
      <c r="H82" s="184">
        <v>0.0</v>
      </c>
      <c r="I82" s="184">
        <v>0.0</v>
      </c>
      <c r="J82" s="183">
        <f t="shared" si="3"/>
        <v>0</v>
      </c>
      <c r="K82" s="183">
        <f t="shared" si="4"/>
        <v>0</v>
      </c>
      <c r="L82" s="183">
        <f t="shared" si="5"/>
        <v>0</v>
      </c>
      <c r="M82" s="183">
        <f t="shared" si="6"/>
        <v>0</v>
      </c>
      <c r="N82" s="183">
        <f t="shared" si="99"/>
        <v>0</v>
      </c>
      <c r="O82" s="183">
        <f t="shared" ref="O82:Q82" si="103">G82+W82</f>
        <v>0</v>
      </c>
      <c r="P82" s="183">
        <f t="shared" si="103"/>
        <v>0</v>
      </c>
      <c r="Q82" s="183">
        <f t="shared" si="103"/>
        <v>0</v>
      </c>
      <c r="R82" s="183">
        <f t="shared" si="9"/>
        <v>0</v>
      </c>
      <c r="S82" s="183">
        <f t="shared" si="10"/>
        <v>0</v>
      </c>
      <c r="T82" s="183">
        <f t="shared" si="11"/>
        <v>0</v>
      </c>
      <c r="U82" s="186"/>
      <c r="V82" s="183">
        <f>IFERROR(__xludf.DUMMYFUNCTION("""COMPUTED_VALUE"""),0.0)</f>
        <v>0</v>
      </c>
      <c r="W82" s="183">
        <f>IFERROR(__xludf.DUMMYFUNCTION("""COMPUTED_VALUE"""),0.0)</f>
        <v>0</v>
      </c>
      <c r="X82" s="183">
        <f>IFERROR(__xludf.DUMMYFUNCTION("""COMPUTED_VALUE"""),0.0)</f>
        <v>0</v>
      </c>
      <c r="Y82" s="183">
        <f>IFERROR(__xludf.DUMMYFUNCTION("""COMPUTED_VALUE"""),0.0)</f>
        <v>0</v>
      </c>
      <c r="Z82" s="183">
        <f t="shared" si="12"/>
        <v>0</v>
      </c>
      <c r="AA82" s="183">
        <f t="shared" si="13"/>
        <v>0</v>
      </c>
      <c r="AB82" s="183">
        <f t="shared" si="14"/>
        <v>0</v>
      </c>
    </row>
    <row r="83" ht="14.25" customHeight="1">
      <c r="A83" s="175"/>
      <c r="B83" s="208" t="s">
        <v>824</v>
      </c>
      <c r="C83" s="181"/>
      <c r="D83" s="209" t="s">
        <v>825</v>
      </c>
      <c r="E83" s="183">
        <f>SUMIFS('DB WBS'!$J:$J,'DB WBS'!$A:$A,$D$4,'DB WBS'!$D:$D,AA$1,'DB WBS'!$B:$B,$E$3,'DB WBS'!$E:$E,$B83)</f>
        <v>0</v>
      </c>
      <c r="F83" s="183">
        <f>SUMIFS('DB WBS'!$J:$J,'DB WBS'!$A:$A,$D$4,'DB WBS'!$D:$D,AA$2,'DB WBS'!$B:$B,$E$3,'DB WBS'!$E:$E,$B83)</f>
        <v>0</v>
      </c>
      <c r="G83" s="184">
        <f>IFERROR(HLOOKUP($E$3,'Tahun Lalu'!$B$5:$V$158,MATCH(B83,'Tahun Lalu'!$B$5:$B$158,0),0),0)</f>
        <v>0</v>
      </c>
      <c r="H83" s="184">
        <v>0.0</v>
      </c>
      <c r="I83" s="184">
        <v>0.0</v>
      </c>
      <c r="J83" s="183">
        <f t="shared" si="3"/>
        <v>0</v>
      </c>
      <c r="K83" s="183">
        <f t="shared" si="4"/>
        <v>0</v>
      </c>
      <c r="L83" s="183">
        <f t="shared" si="5"/>
        <v>0</v>
      </c>
      <c r="M83" s="183">
        <f t="shared" si="6"/>
        <v>0</v>
      </c>
      <c r="N83" s="183">
        <f t="shared" si="99"/>
        <v>0</v>
      </c>
      <c r="O83" s="183">
        <f t="shared" ref="O83:Q83" si="104">G83+W83</f>
        <v>0</v>
      </c>
      <c r="P83" s="183">
        <f t="shared" si="104"/>
        <v>0</v>
      </c>
      <c r="Q83" s="183">
        <f t="shared" si="104"/>
        <v>0</v>
      </c>
      <c r="R83" s="183">
        <f t="shared" si="9"/>
        <v>0</v>
      </c>
      <c r="S83" s="183">
        <f t="shared" si="10"/>
        <v>0</v>
      </c>
      <c r="T83" s="183">
        <f t="shared" si="11"/>
        <v>0</v>
      </c>
      <c r="U83" s="186"/>
      <c r="V83" s="183">
        <f>IFERROR(__xludf.DUMMYFUNCTION("""COMPUTED_VALUE"""),0.0)</f>
        <v>0</v>
      </c>
      <c r="W83" s="183">
        <f>IFERROR(__xludf.DUMMYFUNCTION("""COMPUTED_VALUE"""),0.0)</f>
        <v>0</v>
      </c>
      <c r="X83" s="183">
        <f>IFERROR(__xludf.DUMMYFUNCTION("""COMPUTED_VALUE"""),0.0)</f>
        <v>0</v>
      </c>
      <c r="Y83" s="183">
        <f>IFERROR(__xludf.DUMMYFUNCTION("""COMPUTED_VALUE"""),0.0)</f>
        <v>0</v>
      </c>
      <c r="Z83" s="183">
        <f t="shared" si="12"/>
        <v>0</v>
      </c>
      <c r="AA83" s="183">
        <f t="shared" si="13"/>
        <v>0</v>
      </c>
      <c r="AB83" s="183">
        <f t="shared" si="14"/>
        <v>0</v>
      </c>
    </row>
    <row r="84" ht="14.25" customHeight="1">
      <c r="A84" s="175"/>
      <c r="B84" s="208" t="s">
        <v>826</v>
      </c>
      <c r="C84" s="181"/>
      <c r="D84" s="209" t="s">
        <v>827</v>
      </c>
      <c r="E84" s="183">
        <f>SUMIFS('DB WBS'!$J:$J,'DB WBS'!$A:$A,$D$4,'DB WBS'!$D:$D,AA$1,'DB WBS'!$B:$B,$E$3,'DB WBS'!$E:$E,$B84)</f>
        <v>0</v>
      </c>
      <c r="F84" s="183">
        <f>SUMIFS('DB WBS'!$J:$J,'DB WBS'!$A:$A,$D$4,'DB WBS'!$D:$D,AA$2,'DB WBS'!$B:$B,$E$3,'DB WBS'!$E:$E,$B84)</f>
        <v>0</v>
      </c>
      <c r="G84" s="184">
        <f>IFERROR(HLOOKUP($E$3,'Tahun Lalu'!$B$5:$V$158,MATCH(B84,'Tahun Lalu'!$B$5:$B$158,0),0),0)</f>
        <v>0</v>
      </c>
      <c r="H84" s="184">
        <v>0.0</v>
      </c>
      <c r="I84" s="184">
        <v>0.0</v>
      </c>
      <c r="J84" s="183">
        <f t="shared" si="3"/>
        <v>0</v>
      </c>
      <c r="K84" s="183">
        <f t="shared" si="4"/>
        <v>0</v>
      </c>
      <c r="L84" s="183">
        <f t="shared" si="5"/>
        <v>0</v>
      </c>
      <c r="M84" s="183">
        <f t="shared" si="6"/>
        <v>0</v>
      </c>
      <c r="N84" s="183">
        <f t="shared" si="99"/>
        <v>0</v>
      </c>
      <c r="O84" s="183">
        <f t="shared" ref="O84:Q84" si="105">G84+W84</f>
        <v>0</v>
      </c>
      <c r="P84" s="183">
        <f t="shared" si="105"/>
        <v>0</v>
      </c>
      <c r="Q84" s="183">
        <f t="shared" si="105"/>
        <v>0</v>
      </c>
      <c r="R84" s="183">
        <f t="shared" si="9"/>
        <v>0</v>
      </c>
      <c r="S84" s="183">
        <f t="shared" si="10"/>
        <v>0</v>
      </c>
      <c r="T84" s="183">
        <f t="shared" si="11"/>
        <v>0</v>
      </c>
      <c r="U84" s="186"/>
      <c r="V84" s="183">
        <f>IFERROR(__xludf.DUMMYFUNCTION("""COMPUTED_VALUE"""),0.0)</f>
        <v>0</v>
      </c>
      <c r="W84" s="183">
        <f>IFERROR(__xludf.DUMMYFUNCTION("""COMPUTED_VALUE"""),0.0)</f>
        <v>0</v>
      </c>
      <c r="X84" s="183">
        <f>IFERROR(__xludf.DUMMYFUNCTION("""COMPUTED_VALUE"""),0.0)</f>
        <v>0</v>
      </c>
      <c r="Y84" s="183">
        <f>IFERROR(__xludf.DUMMYFUNCTION("""COMPUTED_VALUE"""),0.0)</f>
        <v>0</v>
      </c>
      <c r="Z84" s="183">
        <f t="shared" si="12"/>
        <v>0</v>
      </c>
      <c r="AA84" s="183">
        <f t="shared" si="13"/>
        <v>0</v>
      </c>
      <c r="AB84" s="183">
        <f t="shared" si="14"/>
        <v>0</v>
      </c>
    </row>
    <row r="85" ht="14.25" customHeight="1">
      <c r="A85" s="175"/>
      <c r="B85" s="208" t="s">
        <v>828</v>
      </c>
      <c r="C85" s="181"/>
      <c r="D85" s="209" t="s">
        <v>829</v>
      </c>
      <c r="E85" s="183">
        <f>SUMIFS('DB WBS'!$J:$J,'DB WBS'!$A:$A,$D$4,'DB WBS'!$D:$D,AA$1,'DB WBS'!$B:$B,$E$3,'DB WBS'!$E:$E,$B85)</f>
        <v>0</v>
      </c>
      <c r="F85" s="183">
        <f>SUMIFS('DB WBS'!$J:$J,'DB WBS'!$A:$A,$D$4,'DB WBS'!$D:$D,AA$2,'DB WBS'!$B:$B,$E$3,'DB WBS'!$E:$E,$B85)</f>
        <v>0</v>
      </c>
      <c r="G85" s="184">
        <f>IFERROR(HLOOKUP($E$3,'Tahun Lalu'!$B$5:$V$158,MATCH(B85,'Tahun Lalu'!$B$5:$B$158,0),0),0)</f>
        <v>0</v>
      </c>
      <c r="H85" s="184">
        <v>0.0</v>
      </c>
      <c r="I85" s="184">
        <v>0.0</v>
      </c>
      <c r="J85" s="183">
        <f t="shared" si="3"/>
        <v>0</v>
      </c>
      <c r="K85" s="183">
        <f t="shared" si="4"/>
        <v>0</v>
      </c>
      <c r="L85" s="183">
        <f t="shared" si="5"/>
        <v>0</v>
      </c>
      <c r="M85" s="183">
        <f t="shared" si="6"/>
        <v>0</v>
      </c>
      <c r="N85" s="183">
        <f t="shared" si="99"/>
        <v>0</v>
      </c>
      <c r="O85" s="183">
        <f t="shared" ref="O85:Q85" si="106">G85+W85</f>
        <v>0</v>
      </c>
      <c r="P85" s="183">
        <f t="shared" si="106"/>
        <v>0</v>
      </c>
      <c r="Q85" s="183">
        <f t="shared" si="106"/>
        <v>0</v>
      </c>
      <c r="R85" s="183">
        <f t="shared" si="9"/>
        <v>0</v>
      </c>
      <c r="S85" s="183">
        <f t="shared" si="10"/>
        <v>0</v>
      </c>
      <c r="T85" s="183">
        <f t="shared" si="11"/>
        <v>0</v>
      </c>
      <c r="U85" s="186"/>
      <c r="V85" s="183">
        <f>IFERROR(__xludf.DUMMYFUNCTION("""COMPUTED_VALUE"""),0.0)</f>
        <v>0</v>
      </c>
      <c r="W85" s="183">
        <f>IFERROR(__xludf.DUMMYFUNCTION("""COMPUTED_VALUE"""),0.0)</f>
        <v>0</v>
      </c>
      <c r="X85" s="183">
        <f>IFERROR(__xludf.DUMMYFUNCTION("""COMPUTED_VALUE"""),0.0)</f>
        <v>0</v>
      </c>
      <c r="Y85" s="183">
        <f>IFERROR(__xludf.DUMMYFUNCTION("""COMPUTED_VALUE"""),0.0)</f>
        <v>0</v>
      </c>
      <c r="Z85" s="183">
        <f t="shared" si="12"/>
        <v>0</v>
      </c>
      <c r="AA85" s="183">
        <f t="shared" si="13"/>
        <v>0</v>
      </c>
      <c r="AB85" s="183">
        <f t="shared" si="14"/>
        <v>0</v>
      </c>
    </row>
    <row r="86" ht="14.25" customHeight="1">
      <c r="A86" s="175"/>
      <c r="B86" s="208" t="s">
        <v>51</v>
      </c>
      <c r="C86" s="181"/>
      <c r="D86" s="209" t="s">
        <v>52</v>
      </c>
      <c r="E86" s="183">
        <f>SUMIFS('DB WBS'!$J:$J,'DB WBS'!$A:$A,$D$4,'DB WBS'!$D:$D,AA$1,'DB WBS'!$B:$B,$E$3,'DB WBS'!$E:$E,$B86)</f>
        <v>0</v>
      </c>
      <c r="F86" s="183">
        <f>SUMIFS('DB WBS'!$J:$J,'DB WBS'!$A:$A,$D$4,'DB WBS'!$D:$D,AA$2,'DB WBS'!$B:$B,$E$3,'DB WBS'!$E:$E,$B86)</f>
        <v>0</v>
      </c>
      <c r="G86" s="184">
        <f>IFERROR(HLOOKUP($E$3,'Tahun Lalu'!$B$5:$V$158,MATCH(B86,'Tahun Lalu'!$B$5:$B$158,0),0),0)</f>
        <v>0</v>
      </c>
      <c r="H86" s="184">
        <v>0.0</v>
      </c>
      <c r="I86" s="184">
        <v>0.0</v>
      </c>
      <c r="J86" s="183">
        <f t="shared" si="3"/>
        <v>0</v>
      </c>
      <c r="K86" s="183">
        <f t="shared" si="4"/>
        <v>0</v>
      </c>
      <c r="L86" s="183">
        <f t="shared" si="5"/>
        <v>0</v>
      </c>
      <c r="M86" s="183">
        <f t="shared" si="6"/>
        <v>0</v>
      </c>
      <c r="N86" s="183">
        <f t="shared" si="99"/>
        <v>0</v>
      </c>
      <c r="O86" s="183">
        <f t="shared" ref="O86:Q86" si="107">G86+W86</f>
        <v>0</v>
      </c>
      <c r="P86" s="183">
        <f t="shared" si="107"/>
        <v>0</v>
      </c>
      <c r="Q86" s="183">
        <f t="shared" si="107"/>
        <v>0</v>
      </c>
      <c r="R86" s="183">
        <f t="shared" si="9"/>
        <v>0</v>
      </c>
      <c r="S86" s="183">
        <f t="shared" si="10"/>
        <v>0</v>
      </c>
      <c r="T86" s="183">
        <f t="shared" si="11"/>
        <v>0</v>
      </c>
      <c r="U86" s="186"/>
      <c r="V86" s="183">
        <f>IFERROR(__xludf.DUMMYFUNCTION("""COMPUTED_VALUE"""),0.0)</f>
        <v>0</v>
      </c>
      <c r="W86" s="183">
        <f>IFERROR(__xludf.DUMMYFUNCTION("""COMPUTED_VALUE"""),0.0)</f>
        <v>0</v>
      </c>
      <c r="X86" s="183">
        <f>IFERROR(__xludf.DUMMYFUNCTION("""COMPUTED_VALUE"""),0.0)</f>
        <v>0</v>
      </c>
      <c r="Y86" s="183">
        <f>IFERROR(__xludf.DUMMYFUNCTION("""COMPUTED_VALUE"""),0.0)</f>
        <v>0</v>
      </c>
      <c r="Z86" s="183">
        <f t="shared" si="12"/>
        <v>0</v>
      </c>
      <c r="AA86" s="183">
        <f t="shared" si="13"/>
        <v>0</v>
      </c>
      <c r="AB86" s="183">
        <f t="shared" si="14"/>
        <v>0</v>
      </c>
    </row>
    <row r="87" ht="14.25" customHeight="1">
      <c r="A87" s="175"/>
      <c r="B87" s="208" t="s">
        <v>830</v>
      </c>
      <c r="C87" s="181"/>
      <c r="D87" s="209" t="s">
        <v>831</v>
      </c>
      <c r="E87" s="183">
        <f>SUMIFS('DB WBS'!$J:$J,'DB WBS'!$A:$A,$D$4,'DB WBS'!$D:$D,AA$1,'DB WBS'!$B:$B,$E$3,'DB WBS'!$E:$E,$B87)</f>
        <v>0</v>
      </c>
      <c r="F87" s="183">
        <f>SUMIFS('DB WBS'!$J:$J,'DB WBS'!$A:$A,$D$4,'DB WBS'!$D:$D,AA$2,'DB WBS'!$B:$B,$E$3,'DB WBS'!$E:$E,$B87)</f>
        <v>0</v>
      </c>
      <c r="G87" s="184">
        <f>IFERROR(HLOOKUP($E$3,'Tahun Lalu'!$B$5:$V$158,MATCH(B87,'Tahun Lalu'!$B$5:$B$158,0),0),0)</f>
        <v>0</v>
      </c>
      <c r="H87" s="184">
        <v>0.0</v>
      </c>
      <c r="I87" s="184">
        <v>0.0</v>
      </c>
      <c r="J87" s="183">
        <f t="shared" si="3"/>
        <v>0</v>
      </c>
      <c r="K87" s="183">
        <f t="shared" si="4"/>
        <v>0</v>
      </c>
      <c r="L87" s="183">
        <f t="shared" si="5"/>
        <v>0</v>
      </c>
      <c r="M87" s="183">
        <f t="shared" si="6"/>
        <v>0</v>
      </c>
      <c r="N87" s="183">
        <f t="shared" si="99"/>
        <v>0</v>
      </c>
      <c r="O87" s="183">
        <f t="shared" ref="O87:Q87" si="108">G87+W87</f>
        <v>0</v>
      </c>
      <c r="P87" s="183">
        <f t="shared" si="108"/>
        <v>0</v>
      </c>
      <c r="Q87" s="183">
        <f t="shared" si="108"/>
        <v>0</v>
      </c>
      <c r="R87" s="183">
        <f t="shared" si="9"/>
        <v>0</v>
      </c>
      <c r="S87" s="183">
        <f t="shared" si="10"/>
        <v>0</v>
      </c>
      <c r="T87" s="183">
        <f t="shared" si="11"/>
        <v>0</v>
      </c>
      <c r="U87" s="186"/>
      <c r="V87" s="183">
        <f>IFERROR(__xludf.DUMMYFUNCTION("""COMPUTED_VALUE"""),0.0)</f>
        <v>0</v>
      </c>
      <c r="W87" s="183">
        <f>IFERROR(__xludf.DUMMYFUNCTION("""COMPUTED_VALUE"""),0.0)</f>
        <v>0</v>
      </c>
      <c r="X87" s="183">
        <f>IFERROR(__xludf.DUMMYFUNCTION("""COMPUTED_VALUE"""),0.0)</f>
        <v>0</v>
      </c>
      <c r="Y87" s="183">
        <f>IFERROR(__xludf.DUMMYFUNCTION("""COMPUTED_VALUE"""),0.0)</f>
        <v>0</v>
      </c>
      <c r="Z87" s="183">
        <f t="shared" si="12"/>
        <v>0</v>
      </c>
      <c r="AA87" s="183">
        <f t="shared" si="13"/>
        <v>0</v>
      </c>
      <c r="AB87" s="183">
        <f t="shared" si="14"/>
        <v>0</v>
      </c>
    </row>
    <row r="88" ht="14.25" customHeight="1">
      <c r="A88" s="175"/>
      <c r="B88" s="208" t="s">
        <v>832</v>
      </c>
      <c r="C88" s="181"/>
      <c r="D88" s="209" t="s">
        <v>833</v>
      </c>
      <c r="E88" s="183">
        <f>SUMIFS('DB WBS'!$J:$J,'DB WBS'!$A:$A,$D$4,'DB WBS'!$D:$D,AA$1,'DB WBS'!$B:$B,$E$3,'DB WBS'!$E:$E,$B88)</f>
        <v>0</v>
      </c>
      <c r="F88" s="183">
        <f>SUMIFS('DB WBS'!$J:$J,'DB WBS'!$A:$A,$D$4,'DB WBS'!$D:$D,AA$2,'DB WBS'!$B:$B,$E$3,'DB WBS'!$E:$E,$B88)</f>
        <v>0</v>
      </c>
      <c r="G88" s="184">
        <f>IFERROR(HLOOKUP($E$3,'Tahun Lalu'!$B$5:$V$158,MATCH(B88,'Tahun Lalu'!$B$5:$B$158,0),0),0)</f>
        <v>0</v>
      </c>
      <c r="H88" s="184">
        <v>0.0</v>
      </c>
      <c r="I88" s="184">
        <v>0.0</v>
      </c>
      <c r="J88" s="183">
        <f t="shared" si="3"/>
        <v>0</v>
      </c>
      <c r="K88" s="183">
        <f t="shared" si="4"/>
        <v>0</v>
      </c>
      <c r="L88" s="183">
        <f t="shared" si="5"/>
        <v>0</v>
      </c>
      <c r="M88" s="183">
        <f t="shared" si="6"/>
        <v>0</v>
      </c>
      <c r="N88" s="183">
        <f t="shared" si="99"/>
        <v>0</v>
      </c>
      <c r="O88" s="183">
        <f t="shared" ref="O88:Q88" si="109">G88+W88</f>
        <v>0</v>
      </c>
      <c r="P88" s="183">
        <f t="shared" si="109"/>
        <v>0</v>
      </c>
      <c r="Q88" s="183">
        <f t="shared" si="109"/>
        <v>0</v>
      </c>
      <c r="R88" s="183">
        <f t="shared" si="9"/>
        <v>0</v>
      </c>
      <c r="S88" s="183">
        <f t="shared" si="10"/>
        <v>0</v>
      </c>
      <c r="T88" s="183">
        <f t="shared" si="11"/>
        <v>0</v>
      </c>
      <c r="U88" s="186"/>
      <c r="V88" s="183">
        <f>IFERROR(__xludf.DUMMYFUNCTION("""COMPUTED_VALUE"""),0.0)</f>
        <v>0</v>
      </c>
      <c r="W88" s="183">
        <f>IFERROR(__xludf.DUMMYFUNCTION("""COMPUTED_VALUE"""),0.0)</f>
        <v>0</v>
      </c>
      <c r="X88" s="183">
        <f>IFERROR(__xludf.DUMMYFUNCTION("""COMPUTED_VALUE"""),0.0)</f>
        <v>0</v>
      </c>
      <c r="Y88" s="183">
        <f>IFERROR(__xludf.DUMMYFUNCTION("""COMPUTED_VALUE"""),0.0)</f>
        <v>0</v>
      </c>
      <c r="Z88" s="183">
        <f t="shared" si="12"/>
        <v>0</v>
      </c>
      <c r="AA88" s="183">
        <f t="shared" si="13"/>
        <v>0</v>
      </c>
      <c r="AB88" s="183">
        <f t="shared" si="14"/>
        <v>0</v>
      </c>
    </row>
    <row r="89" ht="14.25" customHeight="1">
      <c r="A89" s="175"/>
      <c r="B89" s="208" t="s">
        <v>834</v>
      </c>
      <c r="C89" s="181"/>
      <c r="D89" s="209" t="s">
        <v>835</v>
      </c>
      <c r="E89" s="183">
        <f>SUMIFS('DB WBS'!$J:$J,'DB WBS'!$A:$A,$D$4,'DB WBS'!$D:$D,AA$1,'DB WBS'!$B:$B,$E$3,'DB WBS'!$E:$E,$B89)</f>
        <v>0</v>
      </c>
      <c r="F89" s="183">
        <f>SUMIFS('DB WBS'!$J:$J,'DB WBS'!$A:$A,$D$4,'DB WBS'!$D:$D,AA$2,'DB WBS'!$B:$B,$E$3,'DB WBS'!$E:$E,$B89)</f>
        <v>0</v>
      </c>
      <c r="G89" s="184">
        <f>IFERROR(HLOOKUP($E$3,'Tahun Lalu'!$B$5:$V$158,MATCH(B89,'Tahun Lalu'!$B$5:$B$158,0),0),0)</f>
        <v>0</v>
      </c>
      <c r="H89" s="184">
        <v>0.0</v>
      </c>
      <c r="I89" s="184">
        <v>0.0</v>
      </c>
      <c r="J89" s="183">
        <f t="shared" si="3"/>
        <v>0</v>
      </c>
      <c r="K89" s="183">
        <f t="shared" si="4"/>
        <v>0</v>
      </c>
      <c r="L89" s="183">
        <f t="shared" si="5"/>
        <v>0</v>
      </c>
      <c r="M89" s="183">
        <f t="shared" si="6"/>
        <v>0</v>
      </c>
      <c r="N89" s="183">
        <f t="shared" si="99"/>
        <v>0</v>
      </c>
      <c r="O89" s="183">
        <f t="shared" ref="O89:Q89" si="110">G89+W89</f>
        <v>0</v>
      </c>
      <c r="P89" s="183">
        <f t="shared" si="110"/>
        <v>0</v>
      </c>
      <c r="Q89" s="183">
        <f t="shared" si="110"/>
        <v>0</v>
      </c>
      <c r="R89" s="183">
        <f t="shared" si="9"/>
        <v>0</v>
      </c>
      <c r="S89" s="183">
        <f t="shared" si="10"/>
        <v>0</v>
      </c>
      <c r="T89" s="183">
        <f t="shared" si="11"/>
        <v>0</v>
      </c>
      <c r="U89" s="186"/>
      <c r="V89" s="183">
        <f>IFERROR(__xludf.DUMMYFUNCTION("""COMPUTED_VALUE"""),0.0)</f>
        <v>0</v>
      </c>
      <c r="W89" s="183">
        <f>IFERROR(__xludf.DUMMYFUNCTION("""COMPUTED_VALUE"""),0.0)</f>
        <v>0</v>
      </c>
      <c r="X89" s="183">
        <f>IFERROR(__xludf.DUMMYFUNCTION("""COMPUTED_VALUE"""),0.0)</f>
        <v>0</v>
      </c>
      <c r="Y89" s="183">
        <f>IFERROR(__xludf.DUMMYFUNCTION("""COMPUTED_VALUE"""),0.0)</f>
        <v>0</v>
      </c>
      <c r="Z89" s="183">
        <f t="shared" si="12"/>
        <v>0</v>
      </c>
      <c r="AA89" s="183">
        <f t="shared" si="13"/>
        <v>0</v>
      </c>
      <c r="AB89" s="183">
        <f t="shared" si="14"/>
        <v>0</v>
      </c>
    </row>
    <row r="90" ht="14.25" customHeight="1">
      <c r="A90" s="175"/>
      <c r="B90" s="208" t="s">
        <v>836</v>
      </c>
      <c r="C90" s="181"/>
      <c r="D90" s="209" t="s">
        <v>837</v>
      </c>
      <c r="E90" s="183">
        <f>SUMIFS('DB WBS'!$J:$J,'DB WBS'!$A:$A,$D$4,'DB WBS'!$D:$D,AA$1,'DB WBS'!$B:$B,$E$3,'DB WBS'!$E:$E,$B90)</f>
        <v>0</v>
      </c>
      <c r="F90" s="183">
        <f>SUMIFS('DB WBS'!$J:$J,'DB WBS'!$A:$A,$D$4,'DB WBS'!$D:$D,AA$2,'DB WBS'!$B:$B,$E$3,'DB WBS'!$E:$E,$B90)</f>
        <v>0</v>
      </c>
      <c r="G90" s="184">
        <f>IFERROR(HLOOKUP($E$3,'Tahun Lalu'!$B$5:$V$158,MATCH(B90,'Tahun Lalu'!$B$5:$B$158,0),0),0)</f>
        <v>0</v>
      </c>
      <c r="H90" s="184">
        <v>0.0</v>
      </c>
      <c r="I90" s="184">
        <v>0.0</v>
      </c>
      <c r="J90" s="183">
        <f t="shared" si="3"/>
        <v>0</v>
      </c>
      <c r="K90" s="183">
        <f t="shared" si="4"/>
        <v>0</v>
      </c>
      <c r="L90" s="183">
        <f t="shared" si="5"/>
        <v>0</v>
      </c>
      <c r="M90" s="183">
        <f t="shared" si="6"/>
        <v>0</v>
      </c>
      <c r="N90" s="183">
        <f t="shared" si="99"/>
        <v>0</v>
      </c>
      <c r="O90" s="183">
        <f t="shared" ref="O90:Q90" si="111">G90+W90</f>
        <v>0</v>
      </c>
      <c r="P90" s="183">
        <f t="shared" si="111"/>
        <v>0</v>
      </c>
      <c r="Q90" s="183">
        <f t="shared" si="111"/>
        <v>0</v>
      </c>
      <c r="R90" s="183">
        <f t="shared" si="9"/>
        <v>0</v>
      </c>
      <c r="S90" s="183">
        <f t="shared" si="10"/>
        <v>0</v>
      </c>
      <c r="T90" s="183">
        <f t="shared" si="11"/>
        <v>0</v>
      </c>
      <c r="U90" s="186"/>
      <c r="V90" s="183">
        <f>IFERROR(__xludf.DUMMYFUNCTION("""COMPUTED_VALUE"""),0.0)</f>
        <v>0</v>
      </c>
      <c r="W90" s="183">
        <f>IFERROR(__xludf.DUMMYFUNCTION("""COMPUTED_VALUE"""),0.0)</f>
        <v>0</v>
      </c>
      <c r="X90" s="183">
        <f>IFERROR(__xludf.DUMMYFUNCTION("""COMPUTED_VALUE"""),0.0)</f>
        <v>0</v>
      </c>
      <c r="Y90" s="183">
        <f>IFERROR(__xludf.DUMMYFUNCTION("""COMPUTED_VALUE"""),0.0)</f>
        <v>0</v>
      </c>
      <c r="Z90" s="183">
        <f t="shared" si="12"/>
        <v>0</v>
      </c>
      <c r="AA90" s="183">
        <f t="shared" si="13"/>
        <v>0</v>
      </c>
      <c r="AB90" s="183">
        <f t="shared" si="14"/>
        <v>0</v>
      </c>
    </row>
    <row r="91" ht="14.25" customHeight="1">
      <c r="A91" s="175"/>
      <c r="B91" s="191" t="s">
        <v>838</v>
      </c>
      <c r="C91" s="199"/>
      <c r="D91" s="200"/>
      <c r="E91" s="201">
        <f t="shared" ref="E91:I91" si="112">SUM(E78:E90)</f>
        <v>0</v>
      </c>
      <c r="F91" s="201">
        <f t="shared" si="112"/>
        <v>0</v>
      </c>
      <c r="G91" s="201">
        <f t="shared" si="112"/>
        <v>0</v>
      </c>
      <c r="H91" s="201">
        <f t="shared" si="112"/>
        <v>0</v>
      </c>
      <c r="I91" s="201">
        <f t="shared" si="112"/>
        <v>0</v>
      </c>
      <c r="J91" s="201">
        <f t="shared" si="3"/>
        <v>0</v>
      </c>
      <c r="K91" s="201">
        <f t="shared" si="4"/>
        <v>0</v>
      </c>
      <c r="L91" s="201">
        <f t="shared" si="5"/>
        <v>0</v>
      </c>
      <c r="M91" s="201">
        <f t="shared" si="6"/>
        <v>0</v>
      </c>
      <c r="N91" s="201">
        <f t="shared" ref="N91:Q91" si="113">SUM(N78:N90)</f>
        <v>0</v>
      </c>
      <c r="O91" s="201">
        <f t="shared" si="113"/>
        <v>0</v>
      </c>
      <c r="P91" s="201">
        <f t="shared" si="113"/>
        <v>0</v>
      </c>
      <c r="Q91" s="201">
        <f t="shared" si="113"/>
        <v>0</v>
      </c>
      <c r="R91" s="201">
        <f t="shared" si="9"/>
        <v>0</v>
      </c>
      <c r="S91" s="201">
        <f t="shared" si="10"/>
        <v>0</v>
      </c>
      <c r="T91" s="201">
        <f t="shared" si="11"/>
        <v>0</v>
      </c>
      <c r="U91" s="202"/>
      <c r="V91" s="201">
        <f>IFERROR(__xludf.DUMMYFUNCTION("""COMPUTED_VALUE"""),0.0)</f>
        <v>0</v>
      </c>
      <c r="W91" s="201">
        <f>IFERROR(__xludf.DUMMYFUNCTION("""COMPUTED_VALUE"""),0.0)</f>
        <v>0</v>
      </c>
      <c r="X91" s="201">
        <f>IFERROR(__xludf.DUMMYFUNCTION("""COMPUTED_VALUE"""),0.0)</f>
        <v>0</v>
      </c>
      <c r="Y91" s="201">
        <f>IFERROR(__xludf.DUMMYFUNCTION("""COMPUTED_VALUE"""),0.0)</f>
        <v>0</v>
      </c>
      <c r="Z91" s="201">
        <f t="shared" si="12"/>
        <v>0</v>
      </c>
      <c r="AA91" s="201">
        <f t="shared" si="13"/>
        <v>0</v>
      </c>
      <c r="AB91" s="201">
        <f t="shared" si="14"/>
        <v>0</v>
      </c>
    </row>
    <row r="92" ht="14.25" customHeight="1">
      <c r="A92" s="175"/>
      <c r="B92" s="208"/>
      <c r="C92" s="181"/>
      <c r="D92" s="209" t="s">
        <v>839</v>
      </c>
      <c r="E92" s="183">
        <f>SUMIFS('DB WBS'!$J:$J,'DB WBS'!$A:$A,$D$4,'DB WBS'!$D:$D,AA$1,'DB WBS'!$B:$B,$E$3,'DB WBS'!$E:$E,$B92)</f>
        <v>0</v>
      </c>
      <c r="F92" s="183">
        <f>SUMIFS('DB WBS'!$J:$J,'DB WBS'!$A:$A,$D$4,'DB WBS'!$D:$D,AA$2,'DB WBS'!$B:$B,$E$3,'DB WBS'!$E:$E,$B92)</f>
        <v>0</v>
      </c>
      <c r="G92" s="184">
        <f>IFERROR(HLOOKUP($E$3,'Tahun Lalu'!$B$5:$V$158,MATCH(B92,'Tahun Lalu'!$B$5:$B$158,0),0),0)</f>
        <v>0</v>
      </c>
      <c r="H92" s="184">
        <v>0.0</v>
      </c>
      <c r="I92" s="184">
        <v>0.0</v>
      </c>
      <c r="J92" s="183">
        <f t="shared" si="3"/>
        <v>0</v>
      </c>
      <c r="K92" s="183">
        <f t="shared" si="4"/>
        <v>0</v>
      </c>
      <c r="L92" s="183">
        <f t="shared" si="5"/>
        <v>0</v>
      </c>
      <c r="M92" s="183">
        <f t="shared" si="6"/>
        <v>0</v>
      </c>
      <c r="N92" s="183">
        <f t="shared" ref="N92:N96" si="115">E92+V92</f>
        <v>0</v>
      </c>
      <c r="O92" s="183">
        <f t="shared" ref="O92:Q92" si="114">G92+W92</f>
        <v>0</v>
      </c>
      <c r="P92" s="183">
        <f t="shared" si="114"/>
        <v>0</v>
      </c>
      <c r="Q92" s="183">
        <f t="shared" si="114"/>
        <v>0</v>
      </c>
      <c r="R92" s="183">
        <f t="shared" si="9"/>
        <v>0</v>
      </c>
      <c r="S92" s="183">
        <f t="shared" si="10"/>
        <v>0</v>
      </c>
      <c r="T92" s="183">
        <f t="shared" si="11"/>
        <v>0</v>
      </c>
      <c r="U92" s="186"/>
      <c r="V92" s="183">
        <f>IFERROR(__xludf.DUMMYFUNCTION("""COMPUTED_VALUE"""),0.0)</f>
        <v>0</v>
      </c>
      <c r="W92" s="183">
        <f>IFERROR(__xludf.DUMMYFUNCTION("""COMPUTED_VALUE"""),0.0)</f>
        <v>0</v>
      </c>
      <c r="X92" s="183">
        <f>IFERROR(__xludf.DUMMYFUNCTION("""COMPUTED_VALUE"""),0.0)</f>
        <v>0</v>
      </c>
      <c r="Y92" s="183">
        <f>IFERROR(__xludf.DUMMYFUNCTION("""COMPUTED_VALUE"""),0.0)</f>
        <v>0</v>
      </c>
      <c r="Z92" s="183">
        <f t="shared" si="12"/>
        <v>0</v>
      </c>
      <c r="AA92" s="183">
        <f t="shared" si="13"/>
        <v>0</v>
      </c>
      <c r="AB92" s="183">
        <f t="shared" si="14"/>
        <v>0</v>
      </c>
    </row>
    <row r="93" ht="14.25" customHeight="1">
      <c r="A93" s="175"/>
      <c r="B93" s="208"/>
      <c r="C93" s="181"/>
      <c r="D93" s="209" t="s">
        <v>840</v>
      </c>
      <c r="E93" s="183">
        <f>SUMIFS('DB WBS'!$J:$J,'DB WBS'!$A:$A,$D$4,'DB WBS'!$D:$D,AA$1,'DB WBS'!$B:$B,$E$3,'DB WBS'!$E:$E,$B93)</f>
        <v>0</v>
      </c>
      <c r="F93" s="183">
        <f>SUMIFS('DB WBS'!$J:$J,'DB WBS'!$A:$A,$D$4,'DB WBS'!$D:$D,AA$2,'DB WBS'!$B:$B,$E$3,'DB WBS'!$E:$E,$B93)</f>
        <v>0</v>
      </c>
      <c r="G93" s="184">
        <f>IFERROR(HLOOKUP($E$3,'Tahun Lalu'!$B$5:$V$158,MATCH(B93,'Tahun Lalu'!$B$5:$B$158,0),0),0)</f>
        <v>0</v>
      </c>
      <c r="H93" s="184">
        <v>0.0</v>
      </c>
      <c r="I93" s="184">
        <v>0.0</v>
      </c>
      <c r="J93" s="183">
        <f t="shared" si="3"/>
        <v>0</v>
      </c>
      <c r="K93" s="183">
        <f t="shared" si="4"/>
        <v>0</v>
      </c>
      <c r="L93" s="183">
        <f t="shared" si="5"/>
        <v>0</v>
      </c>
      <c r="M93" s="183">
        <f t="shared" si="6"/>
        <v>0</v>
      </c>
      <c r="N93" s="183">
        <f t="shared" si="115"/>
        <v>0</v>
      </c>
      <c r="O93" s="183">
        <f t="shared" ref="O93:Q93" si="116">G93+W93</f>
        <v>0</v>
      </c>
      <c r="P93" s="183">
        <f t="shared" si="116"/>
        <v>0</v>
      </c>
      <c r="Q93" s="183">
        <f t="shared" si="116"/>
        <v>0</v>
      </c>
      <c r="R93" s="183">
        <f t="shared" si="9"/>
        <v>0</v>
      </c>
      <c r="S93" s="183">
        <f t="shared" si="10"/>
        <v>0</v>
      </c>
      <c r="T93" s="183">
        <f t="shared" si="11"/>
        <v>0</v>
      </c>
      <c r="U93" s="186"/>
      <c r="V93" s="183">
        <f>IFERROR(__xludf.DUMMYFUNCTION("""COMPUTED_VALUE"""),0.0)</f>
        <v>0</v>
      </c>
      <c r="W93" s="183">
        <f>IFERROR(__xludf.DUMMYFUNCTION("""COMPUTED_VALUE"""),0.0)</f>
        <v>0</v>
      </c>
      <c r="X93" s="183">
        <f>IFERROR(__xludf.DUMMYFUNCTION("""COMPUTED_VALUE"""),0.0)</f>
        <v>0</v>
      </c>
      <c r="Y93" s="183">
        <f>IFERROR(__xludf.DUMMYFUNCTION("""COMPUTED_VALUE"""),0.0)</f>
        <v>0</v>
      </c>
      <c r="Z93" s="183">
        <f t="shared" si="12"/>
        <v>0</v>
      </c>
      <c r="AA93" s="183">
        <f t="shared" si="13"/>
        <v>0</v>
      </c>
      <c r="AB93" s="183">
        <f t="shared" si="14"/>
        <v>0</v>
      </c>
    </row>
    <row r="94" ht="14.25" customHeight="1">
      <c r="A94" s="175"/>
      <c r="B94" s="208"/>
      <c r="C94" s="181"/>
      <c r="D94" s="209" t="s">
        <v>841</v>
      </c>
      <c r="E94" s="183">
        <f>SUMIFS('DB WBS'!$J:$J,'DB WBS'!$A:$A,$D$4,'DB WBS'!$D:$D,AA$1,'DB WBS'!$B:$B,$E$3,'DB WBS'!$E:$E,$B94)</f>
        <v>0</v>
      </c>
      <c r="F94" s="183">
        <f>SUMIFS('DB WBS'!$J:$J,'DB WBS'!$A:$A,$D$4,'DB WBS'!$D:$D,AA$2,'DB WBS'!$B:$B,$E$3,'DB WBS'!$E:$E,$B94)</f>
        <v>0</v>
      </c>
      <c r="G94" s="184">
        <f>IFERROR(HLOOKUP($E$3,'Tahun Lalu'!$B$5:$V$158,MATCH(B94,'Tahun Lalu'!$B$5:$B$158,0),0),0)</f>
        <v>0</v>
      </c>
      <c r="H94" s="184">
        <v>0.0</v>
      </c>
      <c r="I94" s="184">
        <v>0.0</v>
      </c>
      <c r="J94" s="183">
        <f t="shared" si="3"/>
        <v>0</v>
      </c>
      <c r="K94" s="183">
        <f t="shared" si="4"/>
        <v>0</v>
      </c>
      <c r="L94" s="183">
        <f t="shared" si="5"/>
        <v>0</v>
      </c>
      <c r="M94" s="183">
        <f t="shared" si="6"/>
        <v>0</v>
      </c>
      <c r="N94" s="183">
        <f t="shared" si="115"/>
        <v>0</v>
      </c>
      <c r="O94" s="183">
        <f t="shared" ref="O94:Q94" si="117">G94+W94</f>
        <v>0</v>
      </c>
      <c r="P94" s="183">
        <f t="shared" si="117"/>
        <v>0</v>
      </c>
      <c r="Q94" s="183">
        <f t="shared" si="117"/>
        <v>0</v>
      </c>
      <c r="R94" s="183">
        <f t="shared" si="9"/>
        <v>0</v>
      </c>
      <c r="S94" s="183">
        <f t="shared" si="10"/>
        <v>0</v>
      </c>
      <c r="T94" s="183">
        <f t="shared" si="11"/>
        <v>0</v>
      </c>
      <c r="U94" s="186"/>
      <c r="V94" s="183">
        <f>IFERROR(__xludf.DUMMYFUNCTION("""COMPUTED_VALUE"""),0.0)</f>
        <v>0</v>
      </c>
      <c r="W94" s="183">
        <f>IFERROR(__xludf.DUMMYFUNCTION("""COMPUTED_VALUE"""),0.0)</f>
        <v>0</v>
      </c>
      <c r="X94" s="183">
        <f>IFERROR(__xludf.DUMMYFUNCTION("""COMPUTED_VALUE"""),0.0)</f>
        <v>0</v>
      </c>
      <c r="Y94" s="183">
        <f>IFERROR(__xludf.DUMMYFUNCTION("""COMPUTED_VALUE"""),0.0)</f>
        <v>0</v>
      </c>
      <c r="Z94" s="183">
        <f t="shared" si="12"/>
        <v>0</v>
      </c>
      <c r="AA94" s="183">
        <f t="shared" si="13"/>
        <v>0</v>
      </c>
      <c r="AB94" s="183">
        <f t="shared" si="14"/>
        <v>0</v>
      </c>
    </row>
    <row r="95" ht="14.25" customHeight="1">
      <c r="A95" s="175"/>
      <c r="B95" s="208"/>
      <c r="C95" s="181"/>
      <c r="D95" s="209" t="s">
        <v>842</v>
      </c>
      <c r="E95" s="183">
        <f>SUMIFS('DB WBS'!$J:$J,'DB WBS'!$A:$A,$D$4,'DB WBS'!$D:$D,AA$1,'DB WBS'!$B:$B,$E$3,'DB WBS'!$E:$E,$B95)</f>
        <v>0</v>
      </c>
      <c r="F95" s="183">
        <f>SUMIFS('DB WBS'!$J:$J,'DB WBS'!$A:$A,$D$4,'DB WBS'!$D:$D,AA$2,'DB WBS'!$B:$B,$E$3,'DB WBS'!$E:$E,$B95)</f>
        <v>0</v>
      </c>
      <c r="G95" s="184">
        <f>IFERROR(HLOOKUP($E$3,'Tahun Lalu'!$B$5:$V$158,MATCH(B95,'Tahun Lalu'!$B$5:$B$158,0),0),0)</f>
        <v>0</v>
      </c>
      <c r="H95" s="184">
        <v>0.0</v>
      </c>
      <c r="I95" s="184">
        <v>0.0</v>
      </c>
      <c r="J95" s="183">
        <f t="shared" si="3"/>
        <v>0</v>
      </c>
      <c r="K95" s="183">
        <f t="shared" si="4"/>
        <v>0</v>
      </c>
      <c r="L95" s="183">
        <f t="shared" si="5"/>
        <v>0</v>
      </c>
      <c r="M95" s="183">
        <f t="shared" si="6"/>
        <v>0</v>
      </c>
      <c r="N95" s="183">
        <f t="shared" si="115"/>
        <v>0</v>
      </c>
      <c r="O95" s="183">
        <f t="shared" ref="O95:Q95" si="118">G95+W95</f>
        <v>0</v>
      </c>
      <c r="P95" s="183">
        <f t="shared" si="118"/>
        <v>0</v>
      </c>
      <c r="Q95" s="183">
        <f t="shared" si="118"/>
        <v>0</v>
      </c>
      <c r="R95" s="183">
        <f t="shared" si="9"/>
        <v>0</v>
      </c>
      <c r="S95" s="183">
        <f t="shared" si="10"/>
        <v>0</v>
      </c>
      <c r="T95" s="183">
        <f t="shared" si="11"/>
        <v>0</v>
      </c>
      <c r="U95" s="186"/>
      <c r="V95" s="183">
        <f>IFERROR(__xludf.DUMMYFUNCTION("""COMPUTED_VALUE"""),0.0)</f>
        <v>0</v>
      </c>
      <c r="W95" s="183">
        <f>IFERROR(__xludf.DUMMYFUNCTION("""COMPUTED_VALUE"""),0.0)</f>
        <v>0</v>
      </c>
      <c r="X95" s="183">
        <f>IFERROR(__xludf.DUMMYFUNCTION("""COMPUTED_VALUE"""),0.0)</f>
        <v>0</v>
      </c>
      <c r="Y95" s="183">
        <f>IFERROR(__xludf.DUMMYFUNCTION("""COMPUTED_VALUE"""),0.0)</f>
        <v>0</v>
      </c>
      <c r="Z95" s="183">
        <f t="shared" si="12"/>
        <v>0</v>
      </c>
      <c r="AA95" s="183">
        <f t="shared" si="13"/>
        <v>0</v>
      </c>
      <c r="AB95" s="183">
        <f t="shared" si="14"/>
        <v>0</v>
      </c>
    </row>
    <row r="96" ht="14.25" customHeight="1">
      <c r="A96" s="175"/>
      <c r="B96" s="211"/>
      <c r="C96" s="177"/>
      <c r="D96" s="182"/>
      <c r="E96" s="183">
        <f>SUMIFS('DB WBS'!$J:$J,'DB WBS'!$A:$A,$D$4,'DB WBS'!$D:$D,AA$1,'DB WBS'!$B:$B,$E$3,'DB WBS'!$E:$E,$B96)</f>
        <v>0</v>
      </c>
      <c r="F96" s="183">
        <f>SUMIFS('DB WBS'!$J:$J,'DB WBS'!$A:$A,$D$4,'DB WBS'!$D:$D,AA$2,'DB WBS'!$B:$B,$E$3,'DB WBS'!$E:$E,$B96)</f>
        <v>0</v>
      </c>
      <c r="G96" s="184">
        <f>IFERROR(HLOOKUP($E$3,'Tahun Lalu'!$B$5:$V$158,MATCH(B96,'Tahun Lalu'!$B$5:$B$158,0),0),0)</f>
        <v>0</v>
      </c>
      <c r="H96" s="184">
        <v>0.0</v>
      </c>
      <c r="I96" s="184">
        <v>0.0</v>
      </c>
      <c r="J96" s="183">
        <f t="shared" si="3"/>
        <v>0</v>
      </c>
      <c r="K96" s="183">
        <f t="shared" si="4"/>
        <v>0</v>
      </c>
      <c r="L96" s="183">
        <f t="shared" si="5"/>
        <v>0</v>
      </c>
      <c r="M96" s="183">
        <f t="shared" si="6"/>
        <v>0</v>
      </c>
      <c r="N96" s="183">
        <f t="shared" si="115"/>
        <v>0</v>
      </c>
      <c r="O96" s="183">
        <f t="shared" ref="O96:Q96" si="119">G96+W96</f>
        <v>0</v>
      </c>
      <c r="P96" s="183">
        <f t="shared" si="119"/>
        <v>0</v>
      </c>
      <c r="Q96" s="183">
        <f t="shared" si="119"/>
        <v>0</v>
      </c>
      <c r="R96" s="183">
        <f t="shared" si="9"/>
        <v>0</v>
      </c>
      <c r="S96" s="183">
        <f t="shared" si="10"/>
        <v>0</v>
      </c>
      <c r="T96" s="183">
        <f t="shared" si="11"/>
        <v>0</v>
      </c>
      <c r="U96" s="186"/>
      <c r="V96" s="183">
        <f>IFERROR(__xludf.DUMMYFUNCTION("""COMPUTED_VALUE"""),0.0)</f>
        <v>0</v>
      </c>
      <c r="W96" s="183">
        <f>IFERROR(__xludf.DUMMYFUNCTION("""COMPUTED_VALUE"""),0.0)</f>
        <v>0</v>
      </c>
      <c r="X96" s="183">
        <f>IFERROR(__xludf.DUMMYFUNCTION("""COMPUTED_VALUE"""),0.0)</f>
        <v>0</v>
      </c>
      <c r="Y96" s="183">
        <f>IFERROR(__xludf.DUMMYFUNCTION("""COMPUTED_VALUE"""),0.0)</f>
        <v>0</v>
      </c>
      <c r="Z96" s="183">
        <f t="shared" si="12"/>
        <v>0</v>
      </c>
      <c r="AA96" s="183">
        <f t="shared" si="13"/>
        <v>0</v>
      </c>
      <c r="AB96" s="183">
        <f t="shared" si="14"/>
        <v>0</v>
      </c>
    </row>
    <row r="97" ht="14.25" customHeight="1">
      <c r="A97" s="175"/>
      <c r="B97" s="212" t="s">
        <v>843</v>
      </c>
      <c r="C97" s="199"/>
      <c r="D97" s="200"/>
      <c r="E97" s="201">
        <f t="shared" ref="E97:I97" si="120">SUM(E92:E96)</f>
        <v>0</v>
      </c>
      <c r="F97" s="201">
        <f t="shared" si="120"/>
        <v>0</v>
      </c>
      <c r="G97" s="201">
        <f t="shared" si="120"/>
        <v>0</v>
      </c>
      <c r="H97" s="201">
        <f t="shared" si="120"/>
        <v>0</v>
      </c>
      <c r="I97" s="201">
        <f t="shared" si="120"/>
        <v>0</v>
      </c>
      <c r="J97" s="201">
        <f t="shared" si="3"/>
        <v>0</v>
      </c>
      <c r="K97" s="201">
        <f t="shared" si="4"/>
        <v>0</v>
      </c>
      <c r="L97" s="201">
        <f t="shared" si="5"/>
        <v>0</v>
      </c>
      <c r="M97" s="201">
        <f t="shared" si="6"/>
        <v>0</v>
      </c>
      <c r="N97" s="201">
        <f t="shared" ref="N97:Q97" si="121">SUM(N92:N96)</f>
        <v>0</v>
      </c>
      <c r="O97" s="201">
        <f t="shared" si="121"/>
        <v>0</v>
      </c>
      <c r="P97" s="201">
        <f t="shared" si="121"/>
        <v>0</v>
      </c>
      <c r="Q97" s="201">
        <f t="shared" si="121"/>
        <v>0</v>
      </c>
      <c r="R97" s="201">
        <f t="shared" si="9"/>
        <v>0</v>
      </c>
      <c r="S97" s="201">
        <f t="shared" si="10"/>
        <v>0</v>
      </c>
      <c r="T97" s="201">
        <f t="shared" si="11"/>
        <v>0</v>
      </c>
      <c r="U97" s="202"/>
      <c r="V97" s="201">
        <f>IFERROR(__xludf.DUMMYFUNCTION("""COMPUTED_VALUE"""),0.0)</f>
        <v>0</v>
      </c>
      <c r="W97" s="201">
        <f>IFERROR(__xludf.DUMMYFUNCTION("""COMPUTED_VALUE"""),0.0)</f>
        <v>0</v>
      </c>
      <c r="X97" s="201">
        <f>IFERROR(__xludf.DUMMYFUNCTION("""COMPUTED_VALUE"""),0.0)</f>
        <v>0</v>
      </c>
      <c r="Y97" s="201">
        <f>IFERROR(__xludf.DUMMYFUNCTION("""COMPUTED_VALUE"""),0.0)</f>
        <v>0</v>
      </c>
      <c r="Z97" s="201">
        <f t="shared" si="12"/>
        <v>0</v>
      </c>
      <c r="AA97" s="201">
        <f t="shared" si="13"/>
        <v>0</v>
      </c>
      <c r="AB97" s="201">
        <f t="shared" si="14"/>
        <v>0</v>
      </c>
    </row>
    <row r="98" ht="14.25" customHeight="1">
      <c r="A98" s="175"/>
      <c r="B98" s="208"/>
      <c r="C98" s="181"/>
      <c r="D98" s="209" t="s">
        <v>844</v>
      </c>
      <c r="E98" s="183">
        <f>SUMIFS('DB WBS'!$J:$J,'DB WBS'!$A:$A,$D$4,'DB WBS'!$D:$D,AA$1,'DB WBS'!$B:$B,$E$3,'DB WBS'!$E:$E,$B98)</f>
        <v>0</v>
      </c>
      <c r="F98" s="183">
        <f>SUMIFS('DB WBS'!$J:$J,'DB WBS'!$A:$A,$D$4,'DB WBS'!$D:$D,AA$2,'DB WBS'!$B:$B,$E$3,'DB WBS'!$E:$E,$B98)</f>
        <v>0</v>
      </c>
      <c r="G98" s="184">
        <f>IFERROR(HLOOKUP($E$3,'Tahun Lalu'!$B$5:$V$158,MATCH(B98,'Tahun Lalu'!$B$5:$B$158,0),0),0)</f>
        <v>0</v>
      </c>
      <c r="H98" s="184">
        <v>0.0</v>
      </c>
      <c r="I98" s="184">
        <v>0.0</v>
      </c>
      <c r="J98" s="183">
        <f t="shared" si="3"/>
        <v>0</v>
      </c>
      <c r="K98" s="183">
        <f t="shared" si="4"/>
        <v>0</v>
      </c>
      <c r="L98" s="183">
        <f t="shared" si="5"/>
        <v>0</v>
      </c>
      <c r="M98" s="183">
        <f t="shared" si="6"/>
        <v>0</v>
      </c>
      <c r="N98" s="183">
        <f t="shared" ref="N98:N99" si="123">E98+V98</f>
        <v>0</v>
      </c>
      <c r="O98" s="183">
        <f t="shared" ref="O98:Q98" si="122">G98+W98</f>
        <v>0</v>
      </c>
      <c r="P98" s="183">
        <f t="shared" si="122"/>
        <v>0</v>
      </c>
      <c r="Q98" s="183">
        <f t="shared" si="122"/>
        <v>0</v>
      </c>
      <c r="R98" s="183">
        <f t="shared" si="9"/>
        <v>0</v>
      </c>
      <c r="S98" s="183">
        <f t="shared" si="10"/>
        <v>0</v>
      </c>
      <c r="T98" s="183">
        <f t="shared" si="11"/>
        <v>0</v>
      </c>
      <c r="U98" s="186"/>
      <c r="V98" s="183">
        <f>IFERROR(__xludf.DUMMYFUNCTION("""COMPUTED_VALUE"""),0.0)</f>
        <v>0</v>
      </c>
      <c r="W98" s="183">
        <f>IFERROR(__xludf.DUMMYFUNCTION("""COMPUTED_VALUE"""),0.0)</f>
        <v>0</v>
      </c>
      <c r="X98" s="183">
        <f>IFERROR(__xludf.DUMMYFUNCTION("""COMPUTED_VALUE"""),0.0)</f>
        <v>0</v>
      </c>
      <c r="Y98" s="183">
        <f>IFERROR(__xludf.DUMMYFUNCTION("""COMPUTED_VALUE"""),0.0)</f>
        <v>0</v>
      </c>
      <c r="Z98" s="183">
        <f t="shared" si="12"/>
        <v>0</v>
      </c>
      <c r="AA98" s="183">
        <f t="shared" si="13"/>
        <v>0</v>
      </c>
      <c r="AB98" s="183">
        <f t="shared" si="14"/>
        <v>0</v>
      </c>
    </row>
    <row r="99" ht="14.25" customHeight="1">
      <c r="A99" s="175"/>
      <c r="B99" s="208"/>
      <c r="C99" s="181"/>
      <c r="D99" s="209" t="s">
        <v>845</v>
      </c>
      <c r="E99" s="183">
        <f>SUMIFS('DB WBS'!$J:$J,'DB WBS'!$A:$A,$D$4,'DB WBS'!$D:$D,AA$1,'DB WBS'!$B:$B,$E$3,'DB WBS'!$E:$E,$B99)</f>
        <v>0</v>
      </c>
      <c r="F99" s="183">
        <f>SUMIFS('DB WBS'!$J:$J,'DB WBS'!$A:$A,$D$4,'DB WBS'!$D:$D,AA$2,'DB WBS'!$B:$B,$E$3,'DB WBS'!$E:$E,$B99)</f>
        <v>0</v>
      </c>
      <c r="G99" s="184">
        <f>IFERROR(HLOOKUP($E$3,'Tahun Lalu'!$B$5:$V$158,MATCH(B99,'Tahun Lalu'!$B$5:$B$158,0),0),0)</f>
        <v>0</v>
      </c>
      <c r="H99" s="184">
        <v>0.0</v>
      </c>
      <c r="I99" s="184">
        <v>0.0</v>
      </c>
      <c r="J99" s="183">
        <f t="shared" si="3"/>
        <v>0</v>
      </c>
      <c r="K99" s="183">
        <f t="shared" si="4"/>
        <v>0</v>
      </c>
      <c r="L99" s="183">
        <f t="shared" si="5"/>
        <v>0</v>
      </c>
      <c r="M99" s="183">
        <f t="shared" si="6"/>
        <v>0</v>
      </c>
      <c r="N99" s="183">
        <f t="shared" si="123"/>
        <v>0</v>
      </c>
      <c r="O99" s="183">
        <f t="shared" ref="O99:Q99" si="124">G99+W99</f>
        <v>0</v>
      </c>
      <c r="P99" s="183">
        <f t="shared" si="124"/>
        <v>0</v>
      </c>
      <c r="Q99" s="183">
        <f t="shared" si="124"/>
        <v>0</v>
      </c>
      <c r="R99" s="183">
        <f t="shared" si="9"/>
        <v>0</v>
      </c>
      <c r="S99" s="183">
        <f t="shared" si="10"/>
        <v>0</v>
      </c>
      <c r="T99" s="183">
        <f t="shared" si="11"/>
        <v>0</v>
      </c>
      <c r="U99" s="186"/>
      <c r="V99" s="183">
        <f>IFERROR(__xludf.DUMMYFUNCTION("""COMPUTED_VALUE"""),0.0)</f>
        <v>0</v>
      </c>
      <c r="W99" s="183">
        <f>IFERROR(__xludf.DUMMYFUNCTION("""COMPUTED_VALUE"""),0.0)</f>
        <v>0</v>
      </c>
      <c r="X99" s="183">
        <f>IFERROR(__xludf.DUMMYFUNCTION("""COMPUTED_VALUE"""),0.0)</f>
        <v>0</v>
      </c>
      <c r="Y99" s="183">
        <f>IFERROR(__xludf.DUMMYFUNCTION("""COMPUTED_VALUE"""),0.0)</f>
        <v>0</v>
      </c>
      <c r="Z99" s="183">
        <f t="shared" si="12"/>
        <v>0</v>
      </c>
      <c r="AA99" s="183">
        <f t="shared" si="13"/>
        <v>0</v>
      </c>
      <c r="AB99" s="183">
        <f t="shared" si="14"/>
        <v>0</v>
      </c>
    </row>
    <row r="100" ht="14.25" customHeight="1">
      <c r="A100" s="175"/>
      <c r="B100" s="212" t="s">
        <v>846</v>
      </c>
      <c r="C100" s="199"/>
      <c r="D100" s="200"/>
      <c r="E100" s="201">
        <f t="shared" ref="E100:I100" si="125">SUM(E98:E99)</f>
        <v>0</v>
      </c>
      <c r="F100" s="201">
        <f t="shared" si="125"/>
        <v>0</v>
      </c>
      <c r="G100" s="201">
        <f t="shared" si="125"/>
        <v>0</v>
      </c>
      <c r="H100" s="201">
        <f t="shared" si="125"/>
        <v>0</v>
      </c>
      <c r="I100" s="201">
        <f t="shared" si="125"/>
        <v>0</v>
      </c>
      <c r="J100" s="201">
        <f t="shared" si="3"/>
        <v>0</v>
      </c>
      <c r="K100" s="201">
        <f t="shared" si="4"/>
        <v>0</v>
      </c>
      <c r="L100" s="201">
        <f t="shared" si="5"/>
        <v>0</v>
      </c>
      <c r="M100" s="201">
        <f t="shared" si="6"/>
        <v>0</v>
      </c>
      <c r="N100" s="201">
        <f t="shared" ref="N100:Q100" si="126">SUM(N98:N99)</f>
        <v>0</v>
      </c>
      <c r="O100" s="201">
        <f t="shared" si="126"/>
        <v>0</v>
      </c>
      <c r="P100" s="201">
        <f t="shared" si="126"/>
        <v>0</v>
      </c>
      <c r="Q100" s="201">
        <f t="shared" si="126"/>
        <v>0</v>
      </c>
      <c r="R100" s="201">
        <f t="shared" si="9"/>
        <v>0</v>
      </c>
      <c r="S100" s="201">
        <f t="shared" si="10"/>
        <v>0</v>
      </c>
      <c r="T100" s="201">
        <f t="shared" si="11"/>
        <v>0</v>
      </c>
      <c r="U100" s="202"/>
      <c r="V100" s="201">
        <f>IFERROR(__xludf.DUMMYFUNCTION("""COMPUTED_VALUE"""),0.0)</f>
        <v>0</v>
      </c>
      <c r="W100" s="201">
        <f>IFERROR(__xludf.DUMMYFUNCTION("""COMPUTED_VALUE"""),0.0)</f>
        <v>0</v>
      </c>
      <c r="X100" s="201">
        <f>IFERROR(__xludf.DUMMYFUNCTION("""COMPUTED_VALUE"""),0.0)</f>
        <v>0</v>
      </c>
      <c r="Y100" s="201">
        <f>IFERROR(__xludf.DUMMYFUNCTION("""COMPUTED_VALUE"""),0.0)</f>
        <v>0</v>
      </c>
      <c r="Z100" s="201">
        <f t="shared" si="12"/>
        <v>0</v>
      </c>
      <c r="AA100" s="201">
        <f t="shared" si="13"/>
        <v>0</v>
      </c>
      <c r="AB100" s="201">
        <f t="shared" si="14"/>
        <v>0</v>
      </c>
    </row>
    <row r="101" ht="14.25" customHeight="1">
      <c r="A101" s="175"/>
      <c r="B101" s="208"/>
      <c r="C101" s="181"/>
      <c r="D101" s="209" t="s">
        <v>847</v>
      </c>
      <c r="E101" s="183">
        <f>SUMIFS('DB WBS'!$J:$J,'DB WBS'!$A:$A,$D$4,'DB WBS'!$D:$D,AA$1,'DB WBS'!$B:$B,$E$3,'DB WBS'!$E:$E,$B101)</f>
        <v>0</v>
      </c>
      <c r="F101" s="183">
        <f>SUMIFS('DB WBS'!$J:$J,'DB WBS'!$A:$A,$D$4,'DB WBS'!$D:$D,AA$2,'DB WBS'!$B:$B,$E$3,'DB WBS'!$E:$E,$B101)</f>
        <v>0</v>
      </c>
      <c r="G101" s="184">
        <f>IFERROR(HLOOKUP($E$3,'Tahun Lalu'!$B$5:$V$158,MATCH(B101,'Tahun Lalu'!$B$5:$B$158,0),0),0)</f>
        <v>0</v>
      </c>
      <c r="H101" s="184">
        <v>0.0</v>
      </c>
      <c r="I101" s="184">
        <v>0.0</v>
      </c>
      <c r="J101" s="183">
        <f t="shared" si="3"/>
        <v>0</v>
      </c>
      <c r="K101" s="183">
        <f t="shared" si="4"/>
        <v>0</v>
      </c>
      <c r="L101" s="183">
        <f t="shared" si="5"/>
        <v>0</v>
      </c>
      <c r="M101" s="183">
        <f t="shared" si="6"/>
        <v>0</v>
      </c>
      <c r="N101" s="183">
        <f t="shared" ref="N101:N102" si="128">E101+V101</f>
        <v>0</v>
      </c>
      <c r="O101" s="183">
        <f t="shared" ref="O101:Q101" si="127">G101+W101</f>
        <v>0</v>
      </c>
      <c r="P101" s="183">
        <f t="shared" si="127"/>
        <v>0</v>
      </c>
      <c r="Q101" s="183">
        <f t="shared" si="127"/>
        <v>0</v>
      </c>
      <c r="R101" s="183">
        <f t="shared" si="9"/>
        <v>0</v>
      </c>
      <c r="S101" s="183">
        <f t="shared" si="10"/>
        <v>0</v>
      </c>
      <c r="T101" s="183">
        <f t="shared" si="11"/>
        <v>0</v>
      </c>
      <c r="U101" s="186"/>
      <c r="V101" s="183">
        <f>IFERROR(__xludf.DUMMYFUNCTION("""COMPUTED_VALUE"""),0.0)</f>
        <v>0</v>
      </c>
      <c r="W101" s="183">
        <f>IFERROR(__xludf.DUMMYFUNCTION("""COMPUTED_VALUE"""),0.0)</f>
        <v>0</v>
      </c>
      <c r="X101" s="183">
        <f>IFERROR(__xludf.DUMMYFUNCTION("""COMPUTED_VALUE"""),0.0)</f>
        <v>0</v>
      </c>
      <c r="Y101" s="183">
        <f>IFERROR(__xludf.DUMMYFUNCTION("""COMPUTED_VALUE"""),0.0)</f>
        <v>0</v>
      </c>
      <c r="Z101" s="183">
        <f t="shared" si="12"/>
        <v>0</v>
      </c>
      <c r="AA101" s="183">
        <f t="shared" si="13"/>
        <v>0</v>
      </c>
      <c r="AB101" s="183">
        <f t="shared" si="14"/>
        <v>0</v>
      </c>
    </row>
    <row r="102" ht="14.25" customHeight="1">
      <c r="A102" s="175"/>
      <c r="B102" s="208"/>
      <c r="C102" s="181"/>
      <c r="D102" s="209" t="s">
        <v>848</v>
      </c>
      <c r="E102" s="183">
        <f>SUMIFS('DB WBS'!$J:$J,'DB WBS'!$A:$A,$D$4,'DB WBS'!$D:$D,AA$1,'DB WBS'!$B:$B,$E$3,'DB WBS'!$E:$E,$B102)</f>
        <v>0</v>
      </c>
      <c r="F102" s="183">
        <f>SUMIFS('DB WBS'!$J:$J,'DB WBS'!$A:$A,$D$4,'DB WBS'!$D:$D,AA$2,'DB WBS'!$B:$B,$E$3,'DB WBS'!$E:$E,$B102)</f>
        <v>0</v>
      </c>
      <c r="G102" s="184">
        <f>IFERROR(HLOOKUP($E$3,'Tahun Lalu'!$B$5:$V$158,MATCH(B102,'Tahun Lalu'!$B$5:$B$158,0),0),0)</f>
        <v>0</v>
      </c>
      <c r="H102" s="184">
        <v>0.0</v>
      </c>
      <c r="I102" s="184">
        <v>0.0</v>
      </c>
      <c r="J102" s="183">
        <f t="shared" si="3"/>
        <v>0</v>
      </c>
      <c r="K102" s="183">
        <f t="shared" si="4"/>
        <v>0</v>
      </c>
      <c r="L102" s="183">
        <f t="shared" si="5"/>
        <v>0</v>
      </c>
      <c r="M102" s="183">
        <f t="shared" si="6"/>
        <v>0</v>
      </c>
      <c r="N102" s="183">
        <f t="shared" si="128"/>
        <v>0</v>
      </c>
      <c r="O102" s="183">
        <f t="shared" ref="O102:Q102" si="129">G102+W102</f>
        <v>0</v>
      </c>
      <c r="P102" s="183">
        <f t="shared" si="129"/>
        <v>0</v>
      </c>
      <c r="Q102" s="183">
        <f t="shared" si="129"/>
        <v>0</v>
      </c>
      <c r="R102" s="183">
        <f t="shared" si="9"/>
        <v>0</v>
      </c>
      <c r="S102" s="183">
        <f t="shared" si="10"/>
        <v>0</v>
      </c>
      <c r="T102" s="183">
        <f t="shared" si="11"/>
        <v>0</v>
      </c>
      <c r="U102" s="186"/>
      <c r="V102" s="183">
        <f>IFERROR(__xludf.DUMMYFUNCTION("""COMPUTED_VALUE"""),0.0)</f>
        <v>0</v>
      </c>
      <c r="W102" s="183">
        <f>IFERROR(__xludf.DUMMYFUNCTION("""COMPUTED_VALUE"""),0.0)</f>
        <v>0</v>
      </c>
      <c r="X102" s="183">
        <f>IFERROR(__xludf.DUMMYFUNCTION("""COMPUTED_VALUE"""),0.0)</f>
        <v>0</v>
      </c>
      <c r="Y102" s="183">
        <f>IFERROR(__xludf.DUMMYFUNCTION("""COMPUTED_VALUE"""),0.0)</f>
        <v>0</v>
      </c>
      <c r="Z102" s="183">
        <f t="shared" si="12"/>
        <v>0</v>
      </c>
      <c r="AA102" s="183">
        <f t="shared" si="13"/>
        <v>0</v>
      </c>
      <c r="AB102" s="183">
        <f t="shared" si="14"/>
        <v>0</v>
      </c>
    </row>
    <row r="103" ht="14.25" customHeight="1">
      <c r="A103" s="175"/>
      <c r="B103" s="212" t="s">
        <v>849</v>
      </c>
      <c r="C103" s="199"/>
      <c r="D103" s="200"/>
      <c r="E103" s="201">
        <f t="shared" ref="E103:I103" si="130">SUM(E101:E102)</f>
        <v>0</v>
      </c>
      <c r="F103" s="201">
        <f t="shared" si="130"/>
        <v>0</v>
      </c>
      <c r="G103" s="201">
        <f t="shared" si="130"/>
        <v>0</v>
      </c>
      <c r="H103" s="201">
        <f t="shared" si="130"/>
        <v>0</v>
      </c>
      <c r="I103" s="201">
        <f t="shared" si="130"/>
        <v>0</v>
      </c>
      <c r="J103" s="201">
        <f t="shared" si="3"/>
        <v>0</v>
      </c>
      <c r="K103" s="201">
        <f t="shared" si="4"/>
        <v>0</v>
      </c>
      <c r="L103" s="201">
        <f t="shared" si="5"/>
        <v>0</v>
      </c>
      <c r="M103" s="201">
        <f t="shared" si="6"/>
        <v>0</v>
      </c>
      <c r="N103" s="201">
        <f t="shared" ref="N103:Q103" si="131">SUM(N101:N102)</f>
        <v>0</v>
      </c>
      <c r="O103" s="201">
        <f t="shared" si="131"/>
        <v>0</v>
      </c>
      <c r="P103" s="201">
        <f t="shared" si="131"/>
        <v>0</v>
      </c>
      <c r="Q103" s="201">
        <f t="shared" si="131"/>
        <v>0</v>
      </c>
      <c r="R103" s="201">
        <f t="shared" si="9"/>
        <v>0</v>
      </c>
      <c r="S103" s="201">
        <f t="shared" si="10"/>
        <v>0</v>
      </c>
      <c r="T103" s="201">
        <f t="shared" si="11"/>
        <v>0</v>
      </c>
      <c r="U103" s="202"/>
      <c r="V103" s="201">
        <f>IFERROR(__xludf.DUMMYFUNCTION("""COMPUTED_VALUE"""),0.0)</f>
        <v>0</v>
      </c>
      <c r="W103" s="201">
        <f>IFERROR(__xludf.DUMMYFUNCTION("""COMPUTED_VALUE"""),0.0)</f>
        <v>0</v>
      </c>
      <c r="X103" s="201">
        <f>IFERROR(__xludf.DUMMYFUNCTION("""COMPUTED_VALUE"""),0.0)</f>
        <v>0</v>
      </c>
      <c r="Y103" s="201">
        <f>IFERROR(__xludf.DUMMYFUNCTION("""COMPUTED_VALUE"""),0.0)</f>
        <v>0</v>
      </c>
      <c r="Z103" s="201">
        <f t="shared" si="12"/>
        <v>0</v>
      </c>
      <c r="AA103" s="201">
        <f t="shared" si="13"/>
        <v>0</v>
      </c>
      <c r="AB103" s="201">
        <f t="shared" si="14"/>
        <v>0</v>
      </c>
    </row>
    <row r="104" ht="14.25" customHeight="1">
      <c r="A104" s="175"/>
      <c r="B104" s="208"/>
      <c r="C104" s="181"/>
      <c r="D104" s="209" t="s">
        <v>850</v>
      </c>
      <c r="E104" s="183">
        <f>SUMIFS('DB WBS'!$J:$J,'DB WBS'!$A:$A,$D$4,'DB WBS'!$D:$D,AA$1,'DB WBS'!$B:$B,$E$3,'DB WBS'!$E:$E,$B104)</f>
        <v>0</v>
      </c>
      <c r="F104" s="183">
        <f>SUMIFS('DB WBS'!$J:$J,'DB WBS'!$A:$A,$D$4,'DB WBS'!$D:$D,AA$2,'DB WBS'!$B:$B,$E$3,'DB WBS'!$E:$E,$B104)</f>
        <v>0</v>
      </c>
      <c r="G104" s="184">
        <f>IFERROR(HLOOKUP($E$3,'Tahun Lalu'!$B$5:$V$158,MATCH(B104,'Tahun Lalu'!$B$5:$B$158,0),0),0)</f>
        <v>0</v>
      </c>
      <c r="H104" s="184">
        <v>0.0</v>
      </c>
      <c r="I104" s="184">
        <v>0.0</v>
      </c>
      <c r="J104" s="183">
        <f t="shared" si="3"/>
        <v>0</v>
      </c>
      <c r="K104" s="183">
        <f t="shared" si="4"/>
        <v>0</v>
      </c>
      <c r="L104" s="183">
        <f t="shared" si="5"/>
        <v>0</v>
      </c>
      <c r="M104" s="183">
        <f t="shared" si="6"/>
        <v>0</v>
      </c>
      <c r="N104" s="183">
        <f t="shared" ref="N104:N105" si="133">E104+V104</f>
        <v>0</v>
      </c>
      <c r="O104" s="183">
        <f t="shared" ref="O104:Q104" si="132">G104+W104</f>
        <v>0</v>
      </c>
      <c r="P104" s="183">
        <f t="shared" si="132"/>
        <v>0</v>
      </c>
      <c r="Q104" s="183">
        <f t="shared" si="132"/>
        <v>0</v>
      </c>
      <c r="R104" s="183">
        <f t="shared" si="9"/>
        <v>0</v>
      </c>
      <c r="S104" s="183">
        <f t="shared" si="10"/>
        <v>0</v>
      </c>
      <c r="T104" s="183">
        <f t="shared" si="11"/>
        <v>0</v>
      </c>
      <c r="U104" s="186"/>
      <c r="V104" s="183">
        <f>IFERROR(__xludf.DUMMYFUNCTION("""COMPUTED_VALUE"""),0.0)</f>
        <v>0</v>
      </c>
      <c r="W104" s="183">
        <f>IFERROR(__xludf.DUMMYFUNCTION("""COMPUTED_VALUE"""),0.0)</f>
        <v>0</v>
      </c>
      <c r="X104" s="183">
        <f>IFERROR(__xludf.DUMMYFUNCTION("""COMPUTED_VALUE"""),0.0)</f>
        <v>0</v>
      </c>
      <c r="Y104" s="183">
        <f>IFERROR(__xludf.DUMMYFUNCTION("""COMPUTED_VALUE"""),0.0)</f>
        <v>0</v>
      </c>
      <c r="Z104" s="183">
        <f t="shared" si="12"/>
        <v>0</v>
      </c>
      <c r="AA104" s="183">
        <f t="shared" si="13"/>
        <v>0</v>
      </c>
      <c r="AB104" s="183">
        <f t="shared" si="14"/>
        <v>0</v>
      </c>
    </row>
    <row r="105" ht="14.25" customHeight="1">
      <c r="A105" s="175"/>
      <c r="B105" s="208"/>
      <c r="C105" s="181"/>
      <c r="D105" s="209"/>
      <c r="E105" s="183">
        <f>SUMIFS('DB WBS'!$J:$J,'DB WBS'!$A:$A,$D$4,'DB WBS'!$D:$D,AA$1,'DB WBS'!$B:$B,$E$3,'DB WBS'!$E:$E,$B105)</f>
        <v>0</v>
      </c>
      <c r="F105" s="183">
        <f>SUMIFS('DB WBS'!$J:$J,'DB WBS'!$A:$A,$D$4,'DB WBS'!$D:$D,AA$2,'DB WBS'!$B:$B,$E$3,'DB WBS'!$E:$E,$B105)</f>
        <v>0</v>
      </c>
      <c r="G105" s="184">
        <f>IFERROR(HLOOKUP($E$3,'Tahun Lalu'!$B$5:$V$158,MATCH(B105,'Tahun Lalu'!$B$5:$B$158,0),0),0)</f>
        <v>0</v>
      </c>
      <c r="H105" s="184">
        <v>0.0</v>
      </c>
      <c r="I105" s="184">
        <v>0.0</v>
      </c>
      <c r="J105" s="183">
        <f t="shared" si="3"/>
        <v>0</v>
      </c>
      <c r="K105" s="183">
        <f t="shared" si="4"/>
        <v>0</v>
      </c>
      <c r="L105" s="183">
        <f t="shared" si="5"/>
        <v>0</v>
      </c>
      <c r="M105" s="183">
        <f t="shared" si="6"/>
        <v>0</v>
      </c>
      <c r="N105" s="183">
        <f t="shared" si="133"/>
        <v>0</v>
      </c>
      <c r="O105" s="183">
        <f t="shared" ref="O105:Q105" si="134">G105+W105</f>
        <v>0</v>
      </c>
      <c r="P105" s="183">
        <f t="shared" si="134"/>
        <v>0</v>
      </c>
      <c r="Q105" s="183">
        <f t="shared" si="134"/>
        <v>0</v>
      </c>
      <c r="R105" s="183">
        <f t="shared" si="9"/>
        <v>0</v>
      </c>
      <c r="S105" s="183">
        <f t="shared" si="10"/>
        <v>0</v>
      </c>
      <c r="T105" s="183">
        <f t="shared" si="11"/>
        <v>0</v>
      </c>
      <c r="U105" s="186"/>
      <c r="V105" s="183">
        <f>IFERROR(__xludf.DUMMYFUNCTION("""COMPUTED_VALUE"""),0.0)</f>
        <v>0</v>
      </c>
      <c r="W105" s="183">
        <f>IFERROR(__xludf.DUMMYFUNCTION("""COMPUTED_VALUE"""),0.0)</f>
        <v>0</v>
      </c>
      <c r="X105" s="183">
        <f>IFERROR(__xludf.DUMMYFUNCTION("""COMPUTED_VALUE"""),0.0)</f>
        <v>0</v>
      </c>
      <c r="Y105" s="183">
        <f>IFERROR(__xludf.DUMMYFUNCTION("""COMPUTED_VALUE"""),0.0)</f>
        <v>0</v>
      </c>
      <c r="Z105" s="183">
        <f t="shared" si="12"/>
        <v>0</v>
      </c>
      <c r="AA105" s="183">
        <f t="shared" si="13"/>
        <v>0</v>
      </c>
      <c r="AB105" s="183">
        <f t="shared" si="14"/>
        <v>0</v>
      </c>
    </row>
    <row r="106" ht="14.25" customHeight="1">
      <c r="A106" s="175"/>
      <c r="B106" s="212" t="s">
        <v>851</v>
      </c>
      <c r="C106" s="199"/>
      <c r="D106" s="200"/>
      <c r="E106" s="201">
        <f t="shared" ref="E106:I106" si="135">SUM(E104:E105)</f>
        <v>0</v>
      </c>
      <c r="F106" s="201">
        <f t="shared" si="135"/>
        <v>0</v>
      </c>
      <c r="G106" s="201">
        <f t="shared" si="135"/>
        <v>0</v>
      </c>
      <c r="H106" s="201">
        <f t="shared" si="135"/>
        <v>0</v>
      </c>
      <c r="I106" s="201">
        <f t="shared" si="135"/>
        <v>0</v>
      </c>
      <c r="J106" s="201">
        <f t="shared" si="3"/>
        <v>0</v>
      </c>
      <c r="K106" s="201">
        <f t="shared" si="4"/>
        <v>0</v>
      </c>
      <c r="L106" s="201">
        <f t="shared" si="5"/>
        <v>0</v>
      </c>
      <c r="M106" s="201">
        <f t="shared" si="6"/>
        <v>0</v>
      </c>
      <c r="N106" s="201">
        <f t="shared" ref="N106:Q106" si="136">SUM(N104:N105)</f>
        <v>0</v>
      </c>
      <c r="O106" s="201">
        <f t="shared" si="136"/>
        <v>0</v>
      </c>
      <c r="P106" s="201">
        <f t="shared" si="136"/>
        <v>0</v>
      </c>
      <c r="Q106" s="201">
        <f t="shared" si="136"/>
        <v>0</v>
      </c>
      <c r="R106" s="201">
        <f t="shared" si="9"/>
        <v>0</v>
      </c>
      <c r="S106" s="201">
        <f t="shared" si="10"/>
        <v>0</v>
      </c>
      <c r="T106" s="201">
        <f t="shared" si="11"/>
        <v>0</v>
      </c>
      <c r="U106" s="202"/>
      <c r="V106" s="201">
        <f>IFERROR(__xludf.DUMMYFUNCTION("""COMPUTED_VALUE"""),0.0)</f>
        <v>0</v>
      </c>
      <c r="W106" s="201">
        <f>IFERROR(__xludf.DUMMYFUNCTION("""COMPUTED_VALUE"""),0.0)</f>
        <v>0</v>
      </c>
      <c r="X106" s="201">
        <f>IFERROR(__xludf.DUMMYFUNCTION("""COMPUTED_VALUE"""),0.0)</f>
        <v>0</v>
      </c>
      <c r="Y106" s="201">
        <f>IFERROR(__xludf.DUMMYFUNCTION("""COMPUTED_VALUE"""),0.0)</f>
        <v>0</v>
      </c>
      <c r="Z106" s="201">
        <f t="shared" si="12"/>
        <v>0</v>
      </c>
      <c r="AA106" s="201">
        <f t="shared" si="13"/>
        <v>0</v>
      </c>
      <c r="AB106" s="201">
        <f t="shared" si="14"/>
        <v>0</v>
      </c>
    </row>
    <row r="107" ht="14.25" customHeight="1">
      <c r="A107" s="175"/>
      <c r="B107" s="208"/>
      <c r="C107" s="181"/>
      <c r="D107" s="209" t="s">
        <v>852</v>
      </c>
      <c r="E107" s="183">
        <f>SUMIFS('DB WBS'!$J:$J,'DB WBS'!$A:$A,$D$4,'DB WBS'!$D:$D,AA$1,'DB WBS'!$B:$B,$E$3,'DB WBS'!$E:$E,$B107)</f>
        <v>0</v>
      </c>
      <c r="F107" s="183">
        <f>SUMIFS('DB WBS'!$J:$J,'DB WBS'!$A:$A,$D$4,'DB WBS'!$D:$D,AA$2,'DB WBS'!$B:$B,$E$3,'DB WBS'!$E:$E,$B107)</f>
        <v>0</v>
      </c>
      <c r="G107" s="184">
        <f>IFERROR(HLOOKUP($E$3,'Tahun Lalu'!$B$5:$V$158,MATCH(B107,'Tahun Lalu'!$B$5:$B$158,0),0),0)</f>
        <v>0</v>
      </c>
      <c r="H107" s="184">
        <v>0.0</v>
      </c>
      <c r="I107" s="184">
        <v>0.0</v>
      </c>
      <c r="J107" s="183">
        <f t="shared" si="3"/>
        <v>0</v>
      </c>
      <c r="K107" s="183">
        <f t="shared" si="4"/>
        <v>0</v>
      </c>
      <c r="L107" s="183">
        <f t="shared" si="5"/>
        <v>0</v>
      </c>
      <c r="M107" s="183">
        <f t="shared" si="6"/>
        <v>0</v>
      </c>
      <c r="N107" s="183">
        <f t="shared" ref="N107:N108" si="138">E107+V107</f>
        <v>0</v>
      </c>
      <c r="O107" s="183">
        <f t="shared" ref="O107:Q107" si="137">G107+W107</f>
        <v>0</v>
      </c>
      <c r="P107" s="183">
        <f t="shared" si="137"/>
        <v>0</v>
      </c>
      <c r="Q107" s="183">
        <f t="shared" si="137"/>
        <v>0</v>
      </c>
      <c r="R107" s="183">
        <f t="shared" si="9"/>
        <v>0</v>
      </c>
      <c r="S107" s="183">
        <f t="shared" si="10"/>
        <v>0</v>
      </c>
      <c r="T107" s="183">
        <f t="shared" si="11"/>
        <v>0</v>
      </c>
      <c r="U107" s="186"/>
      <c r="V107" s="183">
        <f>IFERROR(__xludf.DUMMYFUNCTION("""COMPUTED_VALUE"""),0.0)</f>
        <v>0</v>
      </c>
      <c r="W107" s="183">
        <f>IFERROR(__xludf.DUMMYFUNCTION("""COMPUTED_VALUE"""),0.0)</f>
        <v>0</v>
      </c>
      <c r="X107" s="183">
        <f>IFERROR(__xludf.DUMMYFUNCTION("""COMPUTED_VALUE"""),0.0)</f>
        <v>0</v>
      </c>
      <c r="Y107" s="183">
        <f>IFERROR(__xludf.DUMMYFUNCTION("""COMPUTED_VALUE"""),0.0)</f>
        <v>0</v>
      </c>
      <c r="Z107" s="183">
        <f t="shared" si="12"/>
        <v>0</v>
      </c>
      <c r="AA107" s="183">
        <f t="shared" si="13"/>
        <v>0</v>
      </c>
      <c r="AB107" s="183">
        <f t="shared" si="14"/>
        <v>0</v>
      </c>
    </row>
    <row r="108" ht="14.25" customHeight="1">
      <c r="A108" s="175"/>
      <c r="B108" s="208"/>
      <c r="C108" s="181"/>
      <c r="D108" s="209"/>
      <c r="E108" s="183">
        <f>SUMIFS('DB WBS'!$J:$J,'DB WBS'!$A:$A,$D$4,'DB WBS'!$D:$D,AA$1,'DB WBS'!$B:$B,$E$3,'DB WBS'!$E:$E,$B108)</f>
        <v>0</v>
      </c>
      <c r="F108" s="183">
        <f>SUMIFS('DB WBS'!$J:$J,'DB WBS'!$A:$A,$D$4,'DB WBS'!$D:$D,AA$2,'DB WBS'!$B:$B,$E$3,'DB WBS'!$E:$E,$B108)</f>
        <v>0</v>
      </c>
      <c r="G108" s="184">
        <f>IFERROR(HLOOKUP($E$3,'Tahun Lalu'!$B$5:$V$158,MATCH(B108,'Tahun Lalu'!$B$5:$B$158,0),0),0)</f>
        <v>0</v>
      </c>
      <c r="H108" s="184">
        <v>0.0</v>
      </c>
      <c r="I108" s="184">
        <v>0.0</v>
      </c>
      <c r="J108" s="183">
        <f t="shared" si="3"/>
        <v>0</v>
      </c>
      <c r="K108" s="183">
        <f t="shared" si="4"/>
        <v>0</v>
      </c>
      <c r="L108" s="183">
        <f t="shared" si="5"/>
        <v>0</v>
      </c>
      <c r="M108" s="183">
        <f t="shared" si="6"/>
        <v>0</v>
      </c>
      <c r="N108" s="183">
        <f t="shared" si="138"/>
        <v>0</v>
      </c>
      <c r="O108" s="183">
        <f t="shared" ref="O108:Q108" si="139">G108+W108</f>
        <v>0</v>
      </c>
      <c r="P108" s="183">
        <f t="shared" si="139"/>
        <v>0</v>
      </c>
      <c r="Q108" s="183">
        <f t="shared" si="139"/>
        <v>0</v>
      </c>
      <c r="R108" s="183">
        <f t="shared" si="9"/>
        <v>0</v>
      </c>
      <c r="S108" s="183">
        <f t="shared" si="10"/>
        <v>0</v>
      </c>
      <c r="T108" s="183">
        <f t="shared" si="11"/>
        <v>0</v>
      </c>
      <c r="U108" s="186"/>
      <c r="V108" s="183">
        <f>IFERROR(__xludf.DUMMYFUNCTION("""COMPUTED_VALUE"""),0.0)</f>
        <v>0</v>
      </c>
      <c r="W108" s="183">
        <f>IFERROR(__xludf.DUMMYFUNCTION("""COMPUTED_VALUE"""),0.0)</f>
        <v>0</v>
      </c>
      <c r="X108" s="183">
        <f>IFERROR(__xludf.DUMMYFUNCTION("""COMPUTED_VALUE"""),0.0)</f>
        <v>0</v>
      </c>
      <c r="Y108" s="183">
        <f>IFERROR(__xludf.DUMMYFUNCTION("""COMPUTED_VALUE"""),0.0)</f>
        <v>0</v>
      </c>
      <c r="Z108" s="183">
        <f t="shared" si="12"/>
        <v>0</v>
      </c>
      <c r="AA108" s="183">
        <f t="shared" si="13"/>
        <v>0</v>
      </c>
      <c r="AB108" s="183">
        <f t="shared" si="14"/>
        <v>0</v>
      </c>
    </row>
    <row r="109" ht="14.25" customHeight="1">
      <c r="A109" s="175"/>
      <c r="B109" s="212" t="s">
        <v>853</v>
      </c>
      <c r="C109" s="199"/>
      <c r="D109" s="200"/>
      <c r="E109" s="201">
        <f t="shared" ref="E109:I109" si="140">SUM(E107:E108)</f>
        <v>0</v>
      </c>
      <c r="F109" s="201">
        <f t="shared" si="140"/>
        <v>0</v>
      </c>
      <c r="G109" s="201">
        <f t="shared" si="140"/>
        <v>0</v>
      </c>
      <c r="H109" s="201">
        <f t="shared" si="140"/>
        <v>0</v>
      </c>
      <c r="I109" s="201">
        <f t="shared" si="140"/>
        <v>0</v>
      </c>
      <c r="J109" s="201">
        <f t="shared" si="3"/>
        <v>0</v>
      </c>
      <c r="K109" s="201">
        <f t="shared" si="4"/>
        <v>0</v>
      </c>
      <c r="L109" s="201">
        <f t="shared" si="5"/>
        <v>0</v>
      </c>
      <c r="M109" s="201">
        <f t="shared" si="6"/>
        <v>0</v>
      </c>
      <c r="N109" s="201">
        <f t="shared" ref="N109:Q109" si="141">SUM(N107:N108)</f>
        <v>0</v>
      </c>
      <c r="O109" s="201">
        <f t="shared" si="141"/>
        <v>0</v>
      </c>
      <c r="P109" s="201">
        <f t="shared" si="141"/>
        <v>0</v>
      </c>
      <c r="Q109" s="201">
        <f t="shared" si="141"/>
        <v>0</v>
      </c>
      <c r="R109" s="201">
        <f t="shared" si="9"/>
        <v>0</v>
      </c>
      <c r="S109" s="201">
        <f t="shared" si="10"/>
        <v>0</v>
      </c>
      <c r="T109" s="201">
        <f t="shared" si="11"/>
        <v>0</v>
      </c>
      <c r="U109" s="202"/>
      <c r="V109" s="201">
        <f>IFERROR(__xludf.DUMMYFUNCTION("""COMPUTED_VALUE"""),0.0)</f>
        <v>0</v>
      </c>
      <c r="W109" s="201">
        <f>IFERROR(__xludf.DUMMYFUNCTION("""COMPUTED_VALUE"""),0.0)</f>
        <v>0</v>
      </c>
      <c r="X109" s="201">
        <f>IFERROR(__xludf.DUMMYFUNCTION("""COMPUTED_VALUE"""),0.0)</f>
        <v>0</v>
      </c>
      <c r="Y109" s="201">
        <f>IFERROR(__xludf.DUMMYFUNCTION("""COMPUTED_VALUE"""),0.0)</f>
        <v>0</v>
      </c>
      <c r="Z109" s="201">
        <f t="shared" si="12"/>
        <v>0</v>
      </c>
      <c r="AA109" s="201">
        <f t="shared" si="13"/>
        <v>0</v>
      </c>
      <c r="AB109" s="201">
        <f t="shared" si="14"/>
        <v>0</v>
      </c>
    </row>
    <row r="110" ht="14.25" customHeight="1">
      <c r="A110" s="175"/>
      <c r="B110" s="208"/>
      <c r="C110" s="181"/>
      <c r="D110" s="209" t="s">
        <v>854</v>
      </c>
      <c r="E110" s="183">
        <f>SUMIFS('DB WBS'!$J:$J,'DB WBS'!$A:$A,$D$4,'DB WBS'!$D:$D,AA$1,'DB WBS'!$B:$B,$E$3,'DB WBS'!$E:$E,$B110)</f>
        <v>0</v>
      </c>
      <c r="F110" s="183">
        <f>SUMIFS('DB WBS'!$J:$J,'DB WBS'!$A:$A,$D$4,'DB WBS'!$D:$D,AA$2,'DB WBS'!$B:$B,$E$3,'DB WBS'!$E:$E,$B110)</f>
        <v>0</v>
      </c>
      <c r="G110" s="184">
        <f>IFERROR(HLOOKUP($E$3,'Tahun Lalu'!$B$5:$V$158,MATCH(B110,'Tahun Lalu'!$B$5:$B$158,0),0),0)</f>
        <v>0</v>
      </c>
      <c r="H110" s="184">
        <v>0.0</v>
      </c>
      <c r="I110" s="184">
        <v>0.0</v>
      </c>
      <c r="J110" s="183">
        <f t="shared" si="3"/>
        <v>0</v>
      </c>
      <c r="K110" s="183">
        <f t="shared" si="4"/>
        <v>0</v>
      </c>
      <c r="L110" s="183">
        <f t="shared" si="5"/>
        <v>0</v>
      </c>
      <c r="M110" s="183">
        <f t="shared" si="6"/>
        <v>0</v>
      </c>
      <c r="N110" s="183">
        <f t="shared" ref="N110:N111" si="143">E110+V110</f>
        <v>0</v>
      </c>
      <c r="O110" s="183">
        <f t="shared" ref="O110:Q110" si="142">G110+W110</f>
        <v>0</v>
      </c>
      <c r="P110" s="183">
        <f t="shared" si="142"/>
        <v>0</v>
      </c>
      <c r="Q110" s="183">
        <f t="shared" si="142"/>
        <v>0</v>
      </c>
      <c r="R110" s="183">
        <f t="shared" si="9"/>
        <v>0</v>
      </c>
      <c r="S110" s="183">
        <f t="shared" si="10"/>
        <v>0</v>
      </c>
      <c r="T110" s="183">
        <f t="shared" si="11"/>
        <v>0</v>
      </c>
      <c r="U110" s="186"/>
      <c r="V110" s="183">
        <f>IFERROR(__xludf.DUMMYFUNCTION("""COMPUTED_VALUE"""),0.0)</f>
        <v>0</v>
      </c>
      <c r="W110" s="183">
        <f>IFERROR(__xludf.DUMMYFUNCTION("""COMPUTED_VALUE"""),0.0)</f>
        <v>0</v>
      </c>
      <c r="X110" s="183">
        <f>IFERROR(__xludf.DUMMYFUNCTION("""COMPUTED_VALUE"""),0.0)</f>
        <v>0</v>
      </c>
      <c r="Y110" s="183">
        <f>IFERROR(__xludf.DUMMYFUNCTION("""COMPUTED_VALUE"""),0.0)</f>
        <v>0</v>
      </c>
      <c r="Z110" s="183">
        <f t="shared" si="12"/>
        <v>0</v>
      </c>
      <c r="AA110" s="183">
        <f t="shared" si="13"/>
        <v>0</v>
      </c>
      <c r="AB110" s="183">
        <f t="shared" si="14"/>
        <v>0</v>
      </c>
    </row>
    <row r="111" ht="14.25" customHeight="1">
      <c r="A111" s="175"/>
      <c r="B111" s="208"/>
      <c r="C111" s="181"/>
      <c r="D111" s="209"/>
      <c r="E111" s="183">
        <f>SUMIFS('DB WBS'!$J:$J,'DB WBS'!$A:$A,$D$4,'DB WBS'!$D:$D,AA$1,'DB WBS'!$B:$B,$E$3,'DB WBS'!$E:$E,$B111)</f>
        <v>0</v>
      </c>
      <c r="F111" s="183">
        <f>SUMIFS('DB WBS'!$J:$J,'DB WBS'!$A:$A,$D$4,'DB WBS'!$D:$D,AA$2,'DB WBS'!$B:$B,$E$3,'DB WBS'!$E:$E,$B111)</f>
        <v>0</v>
      </c>
      <c r="G111" s="184">
        <f>IFERROR(HLOOKUP($E$3,'Tahun Lalu'!$B$5:$V$158,MATCH(B111,'Tahun Lalu'!$B$5:$B$158,0),0),0)</f>
        <v>0</v>
      </c>
      <c r="H111" s="184">
        <v>0.0</v>
      </c>
      <c r="I111" s="184">
        <v>0.0</v>
      </c>
      <c r="J111" s="183">
        <f t="shared" si="3"/>
        <v>0</v>
      </c>
      <c r="K111" s="183">
        <f t="shared" si="4"/>
        <v>0</v>
      </c>
      <c r="L111" s="183">
        <f t="shared" si="5"/>
        <v>0</v>
      </c>
      <c r="M111" s="183">
        <f t="shared" si="6"/>
        <v>0</v>
      </c>
      <c r="N111" s="183">
        <f t="shared" si="143"/>
        <v>0</v>
      </c>
      <c r="O111" s="183">
        <f t="shared" ref="O111:Q111" si="144">G111+W111</f>
        <v>0</v>
      </c>
      <c r="P111" s="183">
        <f t="shared" si="144"/>
        <v>0</v>
      </c>
      <c r="Q111" s="183">
        <f t="shared" si="144"/>
        <v>0</v>
      </c>
      <c r="R111" s="183">
        <f t="shared" si="9"/>
        <v>0</v>
      </c>
      <c r="S111" s="183">
        <f t="shared" si="10"/>
        <v>0</v>
      </c>
      <c r="T111" s="183">
        <f t="shared" si="11"/>
        <v>0</v>
      </c>
      <c r="U111" s="186"/>
      <c r="V111" s="183">
        <f>IFERROR(__xludf.DUMMYFUNCTION("""COMPUTED_VALUE"""),0.0)</f>
        <v>0</v>
      </c>
      <c r="W111" s="183">
        <f>IFERROR(__xludf.DUMMYFUNCTION("""COMPUTED_VALUE"""),0.0)</f>
        <v>0</v>
      </c>
      <c r="X111" s="183">
        <f>IFERROR(__xludf.DUMMYFUNCTION("""COMPUTED_VALUE"""),0.0)</f>
        <v>0</v>
      </c>
      <c r="Y111" s="183">
        <f>IFERROR(__xludf.DUMMYFUNCTION("""COMPUTED_VALUE"""),0.0)</f>
        <v>0</v>
      </c>
      <c r="Z111" s="183">
        <f t="shared" si="12"/>
        <v>0</v>
      </c>
      <c r="AA111" s="183">
        <f t="shared" si="13"/>
        <v>0</v>
      </c>
      <c r="AB111" s="183">
        <f t="shared" si="14"/>
        <v>0</v>
      </c>
    </row>
    <row r="112" ht="14.25" customHeight="1">
      <c r="A112" s="175"/>
      <c r="B112" s="212" t="s">
        <v>855</v>
      </c>
      <c r="C112" s="199"/>
      <c r="D112" s="200"/>
      <c r="E112" s="201">
        <f t="shared" ref="E112:I112" si="145">SUM(E110:E111)</f>
        <v>0</v>
      </c>
      <c r="F112" s="201">
        <f t="shared" si="145"/>
        <v>0</v>
      </c>
      <c r="G112" s="201">
        <f t="shared" si="145"/>
        <v>0</v>
      </c>
      <c r="H112" s="201">
        <f t="shared" si="145"/>
        <v>0</v>
      </c>
      <c r="I112" s="201">
        <f t="shared" si="145"/>
        <v>0</v>
      </c>
      <c r="J112" s="201">
        <f t="shared" si="3"/>
        <v>0</v>
      </c>
      <c r="K112" s="201">
        <f t="shared" si="4"/>
        <v>0</v>
      </c>
      <c r="L112" s="201">
        <f t="shared" si="5"/>
        <v>0</v>
      </c>
      <c r="M112" s="201">
        <f t="shared" si="6"/>
        <v>0</v>
      </c>
      <c r="N112" s="201">
        <f t="shared" ref="N112:Q112" si="146">SUM(N110:N111)</f>
        <v>0</v>
      </c>
      <c r="O112" s="201">
        <f t="shared" si="146"/>
        <v>0</v>
      </c>
      <c r="P112" s="201">
        <f t="shared" si="146"/>
        <v>0</v>
      </c>
      <c r="Q112" s="201">
        <f t="shared" si="146"/>
        <v>0</v>
      </c>
      <c r="R112" s="201">
        <f t="shared" si="9"/>
        <v>0</v>
      </c>
      <c r="S112" s="201">
        <f t="shared" si="10"/>
        <v>0</v>
      </c>
      <c r="T112" s="201">
        <f t="shared" si="11"/>
        <v>0</v>
      </c>
      <c r="U112" s="202"/>
      <c r="V112" s="201">
        <f>IFERROR(__xludf.DUMMYFUNCTION("""COMPUTED_VALUE"""),0.0)</f>
        <v>0</v>
      </c>
      <c r="W112" s="201">
        <f>IFERROR(__xludf.DUMMYFUNCTION("""COMPUTED_VALUE"""),0.0)</f>
        <v>0</v>
      </c>
      <c r="X112" s="201">
        <f>IFERROR(__xludf.DUMMYFUNCTION("""COMPUTED_VALUE"""),0.0)</f>
        <v>0</v>
      </c>
      <c r="Y112" s="201">
        <f>IFERROR(__xludf.DUMMYFUNCTION("""COMPUTED_VALUE"""),0.0)</f>
        <v>0</v>
      </c>
      <c r="Z112" s="201">
        <f t="shared" si="12"/>
        <v>0</v>
      </c>
      <c r="AA112" s="201">
        <f t="shared" si="13"/>
        <v>0</v>
      </c>
      <c r="AB112" s="201">
        <f t="shared" si="14"/>
        <v>0</v>
      </c>
    </row>
    <row r="113" ht="14.25" customHeight="1">
      <c r="A113" s="175"/>
      <c r="B113" s="208"/>
      <c r="C113" s="181"/>
      <c r="D113" s="209" t="s">
        <v>856</v>
      </c>
      <c r="E113" s="183">
        <f>SUMIFS('DB WBS'!$J:$J,'DB WBS'!$A:$A,$D$4,'DB WBS'!$D:$D,AA$1,'DB WBS'!$B:$B,$E$3,'DB WBS'!$E:$E,$B113)</f>
        <v>0</v>
      </c>
      <c r="F113" s="183">
        <f>SUMIFS('DB WBS'!$J:$J,'DB WBS'!$A:$A,$D$4,'DB WBS'!$D:$D,AA$2,'DB WBS'!$B:$B,$E$3,'DB WBS'!$E:$E,$B113)</f>
        <v>0</v>
      </c>
      <c r="G113" s="184">
        <f>IFERROR(HLOOKUP($E$3,'Tahun Lalu'!$B$5:$V$158,MATCH(B113,'Tahun Lalu'!$B$5:$B$158,0),0),0)</f>
        <v>0</v>
      </c>
      <c r="H113" s="184">
        <v>0.0</v>
      </c>
      <c r="I113" s="184">
        <v>0.0</v>
      </c>
      <c r="J113" s="183">
        <f t="shared" si="3"/>
        <v>0</v>
      </c>
      <c r="K113" s="183">
        <f t="shared" si="4"/>
        <v>0</v>
      </c>
      <c r="L113" s="183">
        <f t="shared" si="5"/>
        <v>0</v>
      </c>
      <c r="M113" s="183">
        <f t="shared" si="6"/>
        <v>0</v>
      </c>
      <c r="N113" s="183">
        <f t="shared" ref="N113:N117" si="148">E113+V113</f>
        <v>0</v>
      </c>
      <c r="O113" s="183">
        <f t="shared" ref="O113:Q113" si="147">G113+W113</f>
        <v>0</v>
      </c>
      <c r="P113" s="183">
        <f t="shared" si="147"/>
        <v>0</v>
      </c>
      <c r="Q113" s="183">
        <f t="shared" si="147"/>
        <v>0</v>
      </c>
      <c r="R113" s="183">
        <f t="shared" si="9"/>
        <v>0</v>
      </c>
      <c r="S113" s="183">
        <f t="shared" si="10"/>
        <v>0</v>
      </c>
      <c r="T113" s="183">
        <f t="shared" si="11"/>
        <v>0</v>
      </c>
      <c r="U113" s="186"/>
      <c r="V113" s="183">
        <f>IFERROR(__xludf.DUMMYFUNCTION("""COMPUTED_VALUE"""),0.0)</f>
        <v>0</v>
      </c>
      <c r="W113" s="183">
        <f>IFERROR(__xludf.DUMMYFUNCTION("""COMPUTED_VALUE"""),0.0)</f>
        <v>0</v>
      </c>
      <c r="X113" s="183">
        <f>IFERROR(__xludf.DUMMYFUNCTION("""COMPUTED_VALUE"""),0.0)</f>
        <v>0</v>
      </c>
      <c r="Y113" s="183">
        <f>IFERROR(__xludf.DUMMYFUNCTION("""COMPUTED_VALUE"""),0.0)</f>
        <v>0</v>
      </c>
      <c r="Z113" s="183">
        <f t="shared" si="12"/>
        <v>0</v>
      </c>
      <c r="AA113" s="183">
        <f t="shared" si="13"/>
        <v>0</v>
      </c>
      <c r="AB113" s="183">
        <f t="shared" si="14"/>
        <v>0</v>
      </c>
    </row>
    <row r="114" ht="14.25" customHeight="1">
      <c r="A114" s="175"/>
      <c r="B114" s="208"/>
      <c r="C114" s="181"/>
      <c r="D114" s="209" t="s">
        <v>857</v>
      </c>
      <c r="E114" s="183">
        <f>SUMIFS('DB WBS'!$J:$J,'DB WBS'!$A:$A,$D$4,'DB WBS'!$D:$D,AA$1,'DB WBS'!$B:$B,$E$3,'DB WBS'!$E:$E,$B114)</f>
        <v>0</v>
      </c>
      <c r="F114" s="183">
        <f>SUMIFS('DB WBS'!$J:$J,'DB WBS'!$A:$A,$D$4,'DB WBS'!$D:$D,AA$2,'DB WBS'!$B:$B,$E$3,'DB WBS'!$E:$E,$B114)</f>
        <v>0</v>
      </c>
      <c r="G114" s="184">
        <f>IFERROR(HLOOKUP($E$3,'Tahun Lalu'!$B$5:$V$158,MATCH(B114,'Tahun Lalu'!$B$5:$B$158,0),0),0)</f>
        <v>0</v>
      </c>
      <c r="H114" s="184">
        <v>0.0</v>
      </c>
      <c r="I114" s="184">
        <v>0.0</v>
      </c>
      <c r="J114" s="183">
        <f t="shared" si="3"/>
        <v>0</v>
      </c>
      <c r="K114" s="183">
        <f t="shared" si="4"/>
        <v>0</v>
      </c>
      <c r="L114" s="183">
        <f t="shared" si="5"/>
        <v>0</v>
      </c>
      <c r="M114" s="183">
        <f t="shared" si="6"/>
        <v>0</v>
      </c>
      <c r="N114" s="183">
        <f t="shared" si="148"/>
        <v>0</v>
      </c>
      <c r="O114" s="183">
        <f t="shared" ref="O114:Q114" si="149">G114+W114</f>
        <v>0</v>
      </c>
      <c r="P114" s="183">
        <f t="shared" si="149"/>
        <v>0</v>
      </c>
      <c r="Q114" s="183">
        <f t="shared" si="149"/>
        <v>0</v>
      </c>
      <c r="R114" s="183">
        <f t="shared" si="9"/>
        <v>0</v>
      </c>
      <c r="S114" s="183">
        <f t="shared" si="10"/>
        <v>0</v>
      </c>
      <c r="T114" s="183">
        <f t="shared" si="11"/>
        <v>0</v>
      </c>
      <c r="U114" s="186"/>
      <c r="V114" s="183">
        <f>IFERROR(__xludf.DUMMYFUNCTION("""COMPUTED_VALUE"""),0.0)</f>
        <v>0</v>
      </c>
      <c r="W114" s="183">
        <f>IFERROR(__xludf.DUMMYFUNCTION("""COMPUTED_VALUE"""),0.0)</f>
        <v>0</v>
      </c>
      <c r="X114" s="183">
        <f>IFERROR(__xludf.DUMMYFUNCTION("""COMPUTED_VALUE"""),0.0)</f>
        <v>0</v>
      </c>
      <c r="Y114" s="183">
        <f>IFERROR(__xludf.DUMMYFUNCTION("""COMPUTED_VALUE"""),0.0)</f>
        <v>0</v>
      </c>
      <c r="Z114" s="183">
        <f t="shared" si="12"/>
        <v>0</v>
      </c>
      <c r="AA114" s="183">
        <f t="shared" si="13"/>
        <v>0</v>
      </c>
      <c r="AB114" s="183">
        <f t="shared" si="14"/>
        <v>0</v>
      </c>
    </row>
    <row r="115" ht="14.25" customHeight="1">
      <c r="A115" s="175"/>
      <c r="B115" s="208"/>
      <c r="C115" s="181"/>
      <c r="D115" s="209" t="s">
        <v>858</v>
      </c>
      <c r="E115" s="183">
        <f>SUMIFS('DB WBS'!$J:$J,'DB WBS'!$A:$A,$D$4,'DB WBS'!$D:$D,AA$1,'DB WBS'!$B:$B,$E$3,'DB WBS'!$E:$E,$B115)</f>
        <v>0</v>
      </c>
      <c r="F115" s="183">
        <f>SUMIFS('DB WBS'!$J:$J,'DB WBS'!$A:$A,$D$4,'DB WBS'!$D:$D,AA$2,'DB WBS'!$B:$B,$E$3,'DB WBS'!$E:$E,$B115)</f>
        <v>0</v>
      </c>
      <c r="G115" s="184">
        <f>IFERROR(HLOOKUP($E$3,'Tahun Lalu'!$B$5:$V$158,MATCH(B115,'Tahun Lalu'!$B$5:$B$158,0),0),0)</f>
        <v>0</v>
      </c>
      <c r="H115" s="184">
        <v>0.0</v>
      </c>
      <c r="I115" s="184">
        <v>0.0</v>
      </c>
      <c r="J115" s="183">
        <f t="shared" si="3"/>
        <v>0</v>
      </c>
      <c r="K115" s="183">
        <f t="shared" si="4"/>
        <v>0</v>
      </c>
      <c r="L115" s="183">
        <f t="shared" si="5"/>
        <v>0</v>
      </c>
      <c r="M115" s="183">
        <f t="shared" si="6"/>
        <v>0</v>
      </c>
      <c r="N115" s="183">
        <f t="shared" si="148"/>
        <v>0</v>
      </c>
      <c r="O115" s="183">
        <f t="shared" ref="O115:Q115" si="150">G115+W115</f>
        <v>0</v>
      </c>
      <c r="P115" s="183">
        <f t="shared" si="150"/>
        <v>0</v>
      </c>
      <c r="Q115" s="183">
        <f t="shared" si="150"/>
        <v>0</v>
      </c>
      <c r="R115" s="183">
        <f t="shared" si="9"/>
        <v>0</v>
      </c>
      <c r="S115" s="183">
        <f t="shared" si="10"/>
        <v>0</v>
      </c>
      <c r="T115" s="183">
        <f t="shared" si="11"/>
        <v>0</v>
      </c>
      <c r="U115" s="186"/>
      <c r="V115" s="183">
        <f>IFERROR(__xludf.DUMMYFUNCTION("""COMPUTED_VALUE"""),0.0)</f>
        <v>0</v>
      </c>
      <c r="W115" s="183">
        <f>IFERROR(__xludf.DUMMYFUNCTION("""COMPUTED_VALUE"""),0.0)</f>
        <v>0</v>
      </c>
      <c r="X115" s="183">
        <f>IFERROR(__xludf.DUMMYFUNCTION("""COMPUTED_VALUE"""),0.0)</f>
        <v>0</v>
      </c>
      <c r="Y115" s="183">
        <f>IFERROR(__xludf.DUMMYFUNCTION("""COMPUTED_VALUE"""),0.0)</f>
        <v>0</v>
      </c>
      <c r="Z115" s="183">
        <f t="shared" si="12"/>
        <v>0</v>
      </c>
      <c r="AA115" s="183">
        <f t="shared" si="13"/>
        <v>0</v>
      </c>
      <c r="AB115" s="183">
        <f t="shared" si="14"/>
        <v>0</v>
      </c>
    </row>
    <row r="116" ht="14.25" customHeight="1">
      <c r="A116" s="175"/>
      <c r="B116" s="208"/>
      <c r="C116" s="181"/>
      <c r="D116" s="209" t="s">
        <v>859</v>
      </c>
      <c r="E116" s="183">
        <f>SUMIFS('DB WBS'!$J:$J,'DB WBS'!$A:$A,$D$4,'DB WBS'!$D:$D,AA$1,'DB WBS'!$B:$B,$E$3,'DB WBS'!$E:$E,$B116)</f>
        <v>0</v>
      </c>
      <c r="F116" s="183">
        <f>SUMIFS('DB WBS'!$J:$J,'DB WBS'!$A:$A,$D$4,'DB WBS'!$D:$D,AA$2,'DB WBS'!$B:$B,$E$3,'DB WBS'!$E:$E,$B116)</f>
        <v>0</v>
      </c>
      <c r="G116" s="184">
        <f>IFERROR(HLOOKUP($E$3,'Tahun Lalu'!$B$5:$V$158,MATCH(B116,'Tahun Lalu'!$B$5:$B$158,0),0),0)</f>
        <v>0</v>
      </c>
      <c r="H116" s="184">
        <v>0.0</v>
      </c>
      <c r="I116" s="184">
        <v>0.0</v>
      </c>
      <c r="J116" s="183">
        <f t="shared" si="3"/>
        <v>0</v>
      </c>
      <c r="K116" s="183">
        <f t="shared" si="4"/>
        <v>0</v>
      </c>
      <c r="L116" s="183">
        <f t="shared" si="5"/>
        <v>0</v>
      </c>
      <c r="M116" s="183">
        <f t="shared" si="6"/>
        <v>0</v>
      </c>
      <c r="N116" s="183">
        <f t="shared" si="148"/>
        <v>0</v>
      </c>
      <c r="O116" s="183">
        <f t="shared" ref="O116:Q116" si="151">G116+W116</f>
        <v>0</v>
      </c>
      <c r="P116" s="183">
        <f t="shared" si="151"/>
        <v>0</v>
      </c>
      <c r="Q116" s="183">
        <f t="shared" si="151"/>
        <v>0</v>
      </c>
      <c r="R116" s="183">
        <f t="shared" si="9"/>
        <v>0</v>
      </c>
      <c r="S116" s="183">
        <f t="shared" si="10"/>
        <v>0</v>
      </c>
      <c r="T116" s="183">
        <f t="shared" si="11"/>
        <v>0</v>
      </c>
      <c r="U116" s="186"/>
      <c r="V116" s="183">
        <f>IFERROR(__xludf.DUMMYFUNCTION("""COMPUTED_VALUE"""),0.0)</f>
        <v>0</v>
      </c>
      <c r="W116" s="183">
        <f>IFERROR(__xludf.DUMMYFUNCTION("""COMPUTED_VALUE"""),0.0)</f>
        <v>0</v>
      </c>
      <c r="X116" s="183">
        <f>IFERROR(__xludf.DUMMYFUNCTION("""COMPUTED_VALUE"""),0.0)</f>
        <v>0</v>
      </c>
      <c r="Y116" s="183">
        <f>IFERROR(__xludf.DUMMYFUNCTION("""COMPUTED_VALUE"""),0.0)</f>
        <v>0</v>
      </c>
      <c r="Z116" s="183">
        <f t="shared" si="12"/>
        <v>0</v>
      </c>
      <c r="AA116" s="183">
        <f t="shared" si="13"/>
        <v>0</v>
      </c>
      <c r="AB116" s="183">
        <f t="shared" si="14"/>
        <v>0</v>
      </c>
    </row>
    <row r="117" ht="14.25" customHeight="1">
      <c r="A117" s="175"/>
      <c r="B117" s="211"/>
      <c r="C117" s="177"/>
      <c r="D117" s="182"/>
      <c r="E117" s="183">
        <f>SUMIFS('DB WBS'!$J:$J,'DB WBS'!$A:$A,$D$4,'DB WBS'!$D:$D,AA$1,'DB WBS'!$B:$B,$E$3,'DB WBS'!$E:$E,$B117)</f>
        <v>0</v>
      </c>
      <c r="F117" s="183">
        <f>SUMIFS('DB WBS'!$J:$J,'DB WBS'!$A:$A,$D$4,'DB WBS'!$D:$D,AA$2,'DB WBS'!$B:$B,$E$3,'DB WBS'!$E:$E,$B117)</f>
        <v>0</v>
      </c>
      <c r="G117" s="184">
        <f>IFERROR(HLOOKUP($E$3,'Tahun Lalu'!$B$5:$V$158,MATCH(B117,'Tahun Lalu'!$B$5:$B$158,0),0),0)</f>
        <v>0</v>
      </c>
      <c r="H117" s="184">
        <v>0.0</v>
      </c>
      <c r="I117" s="184">
        <v>0.0</v>
      </c>
      <c r="J117" s="183">
        <f t="shared" si="3"/>
        <v>0</v>
      </c>
      <c r="K117" s="183">
        <f t="shared" si="4"/>
        <v>0</v>
      </c>
      <c r="L117" s="183">
        <f t="shared" si="5"/>
        <v>0</v>
      </c>
      <c r="M117" s="183">
        <f t="shared" si="6"/>
        <v>0</v>
      </c>
      <c r="N117" s="183">
        <f t="shared" si="148"/>
        <v>0</v>
      </c>
      <c r="O117" s="183">
        <f t="shared" ref="O117:Q117" si="152">G117+W117</f>
        <v>0</v>
      </c>
      <c r="P117" s="183">
        <f t="shared" si="152"/>
        <v>0</v>
      </c>
      <c r="Q117" s="183">
        <f t="shared" si="152"/>
        <v>0</v>
      </c>
      <c r="R117" s="183">
        <f t="shared" si="9"/>
        <v>0</v>
      </c>
      <c r="S117" s="183">
        <f t="shared" si="10"/>
        <v>0</v>
      </c>
      <c r="T117" s="183">
        <f t="shared" si="11"/>
        <v>0</v>
      </c>
      <c r="U117" s="186"/>
      <c r="V117" s="183">
        <f>IFERROR(__xludf.DUMMYFUNCTION("""COMPUTED_VALUE"""),0.0)</f>
        <v>0</v>
      </c>
      <c r="W117" s="183">
        <f>IFERROR(__xludf.DUMMYFUNCTION("""COMPUTED_VALUE"""),0.0)</f>
        <v>0</v>
      </c>
      <c r="X117" s="183">
        <f>IFERROR(__xludf.DUMMYFUNCTION("""COMPUTED_VALUE"""),0.0)</f>
        <v>0</v>
      </c>
      <c r="Y117" s="183">
        <f>IFERROR(__xludf.DUMMYFUNCTION("""COMPUTED_VALUE"""),0.0)</f>
        <v>0</v>
      </c>
      <c r="Z117" s="183">
        <f t="shared" si="12"/>
        <v>0</v>
      </c>
      <c r="AA117" s="183">
        <f t="shared" si="13"/>
        <v>0</v>
      </c>
      <c r="AB117" s="183">
        <f t="shared" si="14"/>
        <v>0</v>
      </c>
    </row>
    <row r="118" ht="14.25" customHeight="1">
      <c r="A118" s="175"/>
      <c r="B118" s="212" t="s">
        <v>860</v>
      </c>
      <c r="C118" s="199"/>
      <c r="D118" s="200"/>
      <c r="E118" s="201">
        <f t="shared" ref="E118:I118" si="153">SUM(E113:E117)</f>
        <v>0</v>
      </c>
      <c r="F118" s="201">
        <f t="shared" si="153"/>
        <v>0</v>
      </c>
      <c r="G118" s="201">
        <f t="shared" si="153"/>
        <v>0</v>
      </c>
      <c r="H118" s="201">
        <f t="shared" si="153"/>
        <v>0</v>
      </c>
      <c r="I118" s="201">
        <f t="shared" si="153"/>
        <v>0</v>
      </c>
      <c r="J118" s="201">
        <f t="shared" si="3"/>
        <v>0</v>
      </c>
      <c r="K118" s="201">
        <f t="shared" si="4"/>
        <v>0</v>
      </c>
      <c r="L118" s="201">
        <f t="shared" si="5"/>
        <v>0</v>
      </c>
      <c r="M118" s="201">
        <f t="shared" si="6"/>
        <v>0</v>
      </c>
      <c r="N118" s="201">
        <f t="shared" ref="N118:Q118" si="154">SUM(N113:N117)</f>
        <v>0</v>
      </c>
      <c r="O118" s="201">
        <f t="shared" si="154"/>
        <v>0</v>
      </c>
      <c r="P118" s="201">
        <f t="shared" si="154"/>
        <v>0</v>
      </c>
      <c r="Q118" s="201">
        <f t="shared" si="154"/>
        <v>0</v>
      </c>
      <c r="R118" s="201">
        <f t="shared" si="9"/>
        <v>0</v>
      </c>
      <c r="S118" s="201">
        <f t="shared" si="10"/>
        <v>0</v>
      </c>
      <c r="T118" s="201">
        <f t="shared" si="11"/>
        <v>0</v>
      </c>
      <c r="U118" s="202"/>
      <c r="V118" s="201">
        <f>IFERROR(__xludf.DUMMYFUNCTION("""COMPUTED_VALUE"""),0.0)</f>
        <v>0</v>
      </c>
      <c r="W118" s="201">
        <f>IFERROR(__xludf.DUMMYFUNCTION("""COMPUTED_VALUE"""),0.0)</f>
        <v>0</v>
      </c>
      <c r="X118" s="201">
        <f>IFERROR(__xludf.DUMMYFUNCTION("""COMPUTED_VALUE"""),0.0)</f>
        <v>0</v>
      </c>
      <c r="Y118" s="201">
        <f>IFERROR(__xludf.DUMMYFUNCTION("""COMPUTED_VALUE"""),0.0)</f>
        <v>0</v>
      </c>
      <c r="Z118" s="201">
        <f t="shared" si="12"/>
        <v>0</v>
      </c>
      <c r="AA118" s="201">
        <f t="shared" si="13"/>
        <v>0</v>
      </c>
      <c r="AB118" s="201">
        <f t="shared" si="14"/>
        <v>0</v>
      </c>
    </row>
    <row r="119" ht="14.25" customHeight="1">
      <c r="A119" s="175"/>
      <c r="B119" s="204" t="s">
        <v>861</v>
      </c>
      <c r="C119" s="205"/>
      <c r="D119" s="206"/>
      <c r="E119" s="207">
        <f t="shared" ref="E119:I119" si="155">E97+E91+E100+E103+E106+E109+E112+E118</f>
        <v>0</v>
      </c>
      <c r="F119" s="207">
        <f t="shared" si="155"/>
        <v>0</v>
      </c>
      <c r="G119" s="207">
        <f t="shared" si="155"/>
        <v>0</v>
      </c>
      <c r="H119" s="207">
        <f t="shared" si="155"/>
        <v>0</v>
      </c>
      <c r="I119" s="207">
        <f t="shared" si="155"/>
        <v>0</v>
      </c>
      <c r="J119" s="207">
        <f t="shared" si="3"/>
        <v>0</v>
      </c>
      <c r="K119" s="207">
        <f t="shared" si="4"/>
        <v>0</v>
      </c>
      <c r="L119" s="207">
        <f t="shared" si="5"/>
        <v>0</v>
      </c>
      <c r="M119" s="207">
        <f t="shared" si="6"/>
        <v>0</v>
      </c>
      <c r="N119" s="207">
        <f t="shared" ref="N119:Q119" si="156">N97+N91+N100+N103+N106+N109+N112+N118</f>
        <v>0</v>
      </c>
      <c r="O119" s="207">
        <f t="shared" si="156"/>
        <v>0</v>
      </c>
      <c r="P119" s="207">
        <f t="shared" si="156"/>
        <v>0</v>
      </c>
      <c r="Q119" s="207">
        <f t="shared" si="156"/>
        <v>0</v>
      </c>
      <c r="R119" s="207">
        <f t="shared" si="9"/>
        <v>0</v>
      </c>
      <c r="S119" s="207">
        <f t="shared" si="10"/>
        <v>0</v>
      </c>
      <c r="T119" s="207">
        <f t="shared" si="11"/>
        <v>0</v>
      </c>
      <c r="U119" s="202"/>
      <c r="V119" s="207">
        <f>IFERROR(__xludf.DUMMYFUNCTION("""COMPUTED_VALUE"""),0.0)</f>
        <v>0</v>
      </c>
      <c r="W119" s="207">
        <f>IFERROR(__xludf.DUMMYFUNCTION("""COMPUTED_VALUE"""),0.0)</f>
        <v>0</v>
      </c>
      <c r="X119" s="207">
        <f>IFERROR(__xludf.DUMMYFUNCTION("""COMPUTED_VALUE"""),0.0)</f>
        <v>0</v>
      </c>
      <c r="Y119" s="207">
        <f>IFERROR(__xludf.DUMMYFUNCTION("""COMPUTED_VALUE"""),0.0)</f>
        <v>0</v>
      </c>
      <c r="Z119" s="207">
        <f t="shared" si="12"/>
        <v>0</v>
      </c>
      <c r="AA119" s="207">
        <f t="shared" si="13"/>
        <v>0</v>
      </c>
      <c r="AB119" s="207">
        <f t="shared" si="14"/>
        <v>0</v>
      </c>
    </row>
    <row r="120" ht="14.25" customHeight="1">
      <c r="A120" s="175"/>
      <c r="B120" s="208" t="s">
        <v>862</v>
      </c>
      <c r="C120" s="181"/>
      <c r="D120" s="209" t="s">
        <v>863</v>
      </c>
      <c r="E120" s="183">
        <f>SUMIFS('DB WBS'!$J:$J,'DB WBS'!$A:$A,$D$4,'DB WBS'!$D:$D,AA$1,'DB WBS'!$B:$B,$E$3,'DB WBS'!$E:$E,$B120)</f>
        <v>0</v>
      </c>
      <c r="F120" s="183">
        <f>SUMIFS('DB WBS'!$J:$J,'DB WBS'!$A:$A,$D$4,'DB WBS'!$D:$D,AA$2,'DB WBS'!$B:$B,$E$3,'DB WBS'!$E:$E,$B120)</f>
        <v>0</v>
      </c>
      <c r="G120" s="184">
        <f>IFERROR(HLOOKUP($E$3,'Tahun Lalu'!$B$5:$V$158,MATCH(B120,'Tahun Lalu'!$B$5:$B$158,0),0),0)</f>
        <v>0</v>
      </c>
      <c r="H120" s="184">
        <v>0.0</v>
      </c>
      <c r="I120" s="184">
        <v>0.0</v>
      </c>
      <c r="J120" s="183">
        <f t="shared" si="3"/>
        <v>0</v>
      </c>
      <c r="K120" s="183">
        <f t="shared" si="4"/>
        <v>0</v>
      </c>
      <c r="L120" s="183">
        <f t="shared" si="5"/>
        <v>0</v>
      </c>
      <c r="M120" s="183">
        <f t="shared" si="6"/>
        <v>0</v>
      </c>
      <c r="N120" s="183">
        <f t="shared" ref="N120:N121" si="158">E120+V120</f>
        <v>0</v>
      </c>
      <c r="O120" s="183">
        <f t="shared" ref="O120:Q120" si="157">G120+W120</f>
        <v>0</v>
      </c>
      <c r="P120" s="183">
        <f t="shared" si="157"/>
        <v>0</v>
      </c>
      <c r="Q120" s="183">
        <f t="shared" si="157"/>
        <v>0</v>
      </c>
      <c r="R120" s="183">
        <f t="shared" si="9"/>
        <v>0</v>
      </c>
      <c r="S120" s="183">
        <f t="shared" si="10"/>
        <v>0</v>
      </c>
      <c r="T120" s="183">
        <f t="shared" si="11"/>
        <v>0</v>
      </c>
      <c r="U120" s="186"/>
      <c r="V120" s="183">
        <f>IFERROR(__xludf.DUMMYFUNCTION("""COMPUTED_VALUE"""),0.0)</f>
        <v>0</v>
      </c>
      <c r="W120" s="183">
        <f>IFERROR(__xludf.DUMMYFUNCTION("""COMPUTED_VALUE"""),0.0)</f>
        <v>0</v>
      </c>
      <c r="X120" s="183">
        <f>IFERROR(__xludf.DUMMYFUNCTION("""COMPUTED_VALUE"""),0.0)</f>
        <v>0</v>
      </c>
      <c r="Y120" s="183">
        <f>IFERROR(__xludf.DUMMYFUNCTION("""COMPUTED_VALUE"""),0.0)</f>
        <v>0</v>
      </c>
      <c r="Z120" s="183">
        <f t="shared" si="12"/>
        <v>0</v>
      </c>
      <c r="AA120" s="183">
        <f t="shared" si="13"/>
        <v>0</v>
      </c>
      <c r="AB120" s="183">
        <f t="shared" si="14"/>
        <v>0</v>
      </c>
    </row>
    <row r="121" ht="14.25" customHeight="1">
      <c r="A121" s="175"/>
      <c r="B121" s="211"/>
      <c r="C121" s="177"/>
      <c r="D121" s="182"/>
      <c r="E121" s="183">
        <f>SUMIFS('DB WBS'!$J:$J,'DB WBS'!$A:$A,$D$4,'DB WBS'!$D:$D,AA$1,'DB WBS'!$B:$B,$E$3,'DB WBS'!$E:$E,$B121)</f>
        <v>0</v>
      </c>
      <c r="F121" s="183">
        <f>SUMIFS('DB WBS'!$J:$J,'DB WBS'!$A:$A,$D$4,'DB WBS'!$D:$D,AA$2,'DB WBS'!$B:$B,$E$3,'DB WBS'!$E:$E,$B121)</f>
        <v>0</v>
      </c>
      <c r="G121" s="184">
        <f>IFERROR(HLOOKUP($E$3,'Tahun Lalu'!$B$5:$V$158,MATCH(B121,'Tahun Lalu'!$B$5:$B$158,0),0),0)</f>
        <v>0</v>
      </c>
      <c r="H121" s="184">
        <v>0.0</v>
      </c>
      <c r="I121" s="184">
        <v>0.0</v>
      </c>
      <c r="J121" s="183">
        <f t="shared" si="3"/>
        <v>0</v>
      </c>
      <c r="K121" s="183">
        <f t="shared" si="4"/>
        <v>0</v>
      </c>
      <c r="L121" s="183">
        <f t="shared" si="5"/>
        <v>0</v>
      </c>
      <c r="M121" s="183">
        <f t="shared" si="6"/>
        <v>0</v>
      </c>
      <c r="N121" s="183">
        <f t="shared" si="158"/>
        <v>0</v>
      </c>
      <c r="O121" s="183">
        <f t="shared" ref="O121:Q121" si="159">G121+W121</f>
        <v>0</v>
      </c>
      <c r="P121" s="183">
        <f t="shared" si="159"/>
        <v>0</v>
      </c>
      <c r="Q121" s="183">
        <f t="shared" si="159"/>
        <v>0</v>
      </c>
      <c r="R121" s="183">
        <f t="shared" si="9"/>
        <v>0</v>
      </c>
      <c r="S121" s="183">
        <f t="shared" si="10"/>
        <v>0</v>
      </c>
      <c r="T121" s="183">
        <f t="shared" si="11"/>
        <v>0</v>
      </c>
      <c r="U121" s="186"/>
      <c r="V121" s="183">
        <f>IFERROR(__xludf.DUMMYFUNCTION("""COMPUTED_VALUE"""),0.0)</f>
        <v>0</v>
      </c>
      <c r="W121" s="183">
        <f>IFERROR(__xludf.DUMMYFUNCTION("""COMPUTED_VALUE"""),0.0)</f>
        <v>0</v>
      </c>
      <c r="X121" s="183">
        <f>IFERROR(__xludf.DUMMYFUNCTION("""COMPUTED_VALUE"""),0.0)</f>
        <v>0</v>
      </c>
      <c r="Y121" s="183">
        <f>IFERROR(__xludf.DUMMYFUNCTION("""COMPUTED_VALUE"""),0.0)</f>
        <v>0</v>
      </c>
      <c r="Z121" s="183">
        <f t="shared" si="12"/>
        <v>0</v>
      </c>
      <c r="AA121" s="183">
        <f t="shared" si="13"/>
        <v>0</v>
      </c>
      <c r="AB121" s="183">
        <f t="shared" si="14"/>
        <v>0</v>
      </c>
    </row>
    <row r="122" ht="14.25" customHeight="1">
      <c r="A122" s="175"/>
      <c r="B122" s="191" t="s">
        <v>864</v>
      </c>
      <c r="C122" s="199"/>
      <c r="D122" s="200"/>
      <c r="E122" s="201">
        <f t="shared" ref="E122:I122" si="160">SUM(E120:E121)</f>
        <v>0</v>
      </c>
      <c r="F122" s="201">
        <f t="shared" si="160"/>
        <v>0</v>
      </c>
      <c r="G122" s="201">
        <f t="shared" si="160"/>
        <v>0</v>
      </c>
      <c r="H122" s="201">
        <f t="shared" si="160"/>
        <v>0</v>
      </c>
      <c r="I122" s="201">
        <f t="shared" si="160"/>
        <v>0</v>
      </c>
      <c r="J122" s="201">
        <f t="shared" si="3"/>
        <v>0</v>
      </c>
      <c r="K122" s="201">
        <f t="shared" si="4"/>
        <v>0</v>
      </c>
      <c r="L122" s="201">
        <f t="shared" si="5"/>
        <v>0</v>
      </c>
      <c r="M122" s="201">
        <f t="shared" si="6"/>
        <v>0</v>
      </c>
      <c r="N122" s="201">
        <f t="shared" ref="N122:Q122" si="161">SUM(N120:N121)</f>
        <v>0</v>
      </c>
      <c r="O122" s="201">
        <f t="shared" si="161"/>
        <v>0</v>
      </c>
      <c r="P122" s="201">
        <f t="shared" si="161"/>
        <v>0</v>
      </c>
      <c r="Q122" s="201">
        <f t="shared" si="161"/>
        <v>0</v>
      </c>
      <c r="R122" s="201">
        <f t="shared" si="9"/>
        <v>0</v>
      </c>
      <c r="S122" s="201">
        <f t="shared" si="10"/>
        <v>0</v>
      </c>
      <c r="T122" s="201">
        <f t="shared" si="11"/>
        <v>0</v>
      </c>
      <c r="U122" s="202"/>
      <c r="V122" s="201">
        <f>IFERROR(__xludf.DUMMYFUNCTION("""COMPUTED_VALUE"""),0.0)</f>
        <v>0</v>
      </c>
      <c r="W122" s="201">
        <f>IFERROR(__xludf.DUMMYFUNCTION("""COMPUTED_VALUE"""),0.0)</f>
        <v>0</v>
      </c>
      <c r="X122" s="201">
        <f>IFERROR(__xludf.DUMMYFUNCTION("""COMPUTED_VALUE"""),0.0)</f>
        <v>0</v>
      </c>
      <c r="Y122" s="201">
        <f>IFERROR(__xludf.DUMMYFUNCTION("""COMPUTED_VALUE"""),0.0)</f>
        <v>0</v>
      </c>
      <c r="Z122" s="201">
        <f t="shared" si="12"/>
        <v>0</v>
      </c>
      <c r="AA122" s="201">
        <f t="shared" si="13"/>
        <v>0</v>
      </c>
      <c r="AB122" s="201">
        <f t="shared" si="14"/>
        <v>0</v>
      </c>
    </row>
    <row r="123" ht="14.25" customHeight="1">
      <c r="A123" s="175"/>
      <c r="B123" s="208" t="s">
        <v>164</v>
      </c>
      <c r="C123" s="181"/>
      <c r="D123" s="209" t="s">
        <v>165</v>
      </c>
      <c r="E123" s="183">
        <f>SUMIFS('DB WBS'!$J:$J,'DB WBS'!$A:$A,$D$4,'DB WBS'!$D:$D,AA$1,'DB WBS'!$B:$B,$E$3,'DB WBS'!$E:$E,$B123)</f>
        <v>0</v>
      </c>
      <c r="F123" s="183">
        <f>SUMIFS('DB WBS'!$J:$J,'DB WBS'!$A:$A,$D$4,'DB WBS'!$D:$D,AA$2,'DB WBS'!$B:$B,$E$3,'DB WBS'!$E:$E,$B123)</f>
        <v>0</v>
      </c>
      <c r="G123" s="184">
        <f>IFERROR(HLOOKUP($E$3,'Tahun Lalu'!$B$5:$V$158,MATCH(B123,'Tahun Lalu'!$B$5:$B$158,0),0),0)</f>
        <v>0</v>
      </c>
      <c r="H123" s="184">
        <v>0.0</v>
      </c>
      <c r="I123" s="184">
        <v>0.0</v>
      </c>
      <c r="J123" s="183">
        <f t="shared" si="3"/>
        <v>0</v>
      </c>
      <c r="K123" s="183">
        <f t="shared" si="4"/>
        <v>0</v>
      </c>
      <c r="L123" s="183">
        <f t="shared" si="5"/>
        <v>0</v>
      </c>
      <c r="M123" s="183">
        <f t="shared" si="6"/>
        <v>0</v>
      </c>
      <c r="N123" s="183">
        <f t="shared" ref="N123:N127" si="163">E123+V123</f>
        <v>0</v>
      </c>
      <c r="O123" s="183">
        <f t="shared" ref="O123:Q123" si="162">G123+W123</f>
        <v>0</v>
      </c>
      <c r="P123" s="183">
        <f t="shared" si="162"/>
        <v>0</v>
      </c>
      <c r="Q123" s="183">
        <f t="shared" si="162"/>
        <v>0</v>
      </c>
      <c r="R123" s="183">
        <f t="shared" si="9"/>
        <v>0</v>
      </c>
      <c r="S123" s="183">
        <f t="shared" si="10"/>
        <v>0</v>
      </c>
      <c r="T123" s="183">
        <f t="shared" si="11"/>
        <v>0</v>
      </c>
      <c r="U123" s="186"/>
      <c r="V123" s="183">
        <f>IFERROR(__xludf.DUMMYFUNCTION("""COMPUTED_VALUE"""),0.0)</f>
        <v>0</v>
      </c>
      <c r="W123" s="183">
        <f>IFERROR(__xludf.DUMMYFUNCTION("""COMPUTED_VALUE"""),0.0)</f>
        <v>0</v>
      </c>
      <c r="X123" s="183">
        <f>IFERROR(__xludf.DUMMYFUNCTION("""COMPUTED_VALUE"""),0.0)</f>
        <v>0</v>
      </c>
      <c r="Y123" s="183">
        <f>IFERROR(__xludf.DUMMYFUNCTION("""COMPUTED_VALUE"""),0.0)</f>
        <v>0</v>
      </c>
      <c r="Z123" s="183">
        <f t="shared" si="12"/>
        <v>0</v>
      </c>
      <c r="AA123" s="183">
        <f t="shared" si="13"/>
        <v>0</v>
      </c>
      <c r="AB123" s="183">
        <f t="shared" si="14"/>
        <v>0</v>
      </c>
    </row>
    <row r="124" ht="14.25" customHeight="1">
      <c r="A124" s="175"/>
      <c r="B124" s="208" t="s">
        <v>865</v>
      </c>
      <c r="C124" s="181"/>
      <c r="D124" s="209" t="s">
        <v>866</v>
      </c>
      <c r="E124" s="183">
        <f>SUMIFS('DB WBS'!$J:$J,'DB WBS'!$A:$A,$D$4,'DB WBS'!$D:$D,AA$1,'DB WBS'!$B:$B,$E$3,'DB WBS'!$E:$E,$B124)</f>
        <v>0</v>
      </c>
      <c r="F124" s="183">
        <f>SUMIFS('DB WBS'!$J:$J,'DB WBS'!$A:$A,$D$4,'DB WBS'!$D:$D,AA$2,'DB WBS'!$B:$B,$E$3,'DB WBS'!$E:$E,$B124)</f>
        <v>0</v>
      </c>
      <c r="G124" s="184">
        <f>IFERROR(HLOOKUP($E$3,'Tahun Lalu'!$B$5:$V$158,MATCH(B124,'Tahun Lalu'!$B$5:$B$158,0),0),0)</f>
        <v>0</v>
      </c>
      <c r="H124" s="184">
        <v>0.0</v>
      </c>
      <c r="I124" s="184">
        <v>0.0</v>
      </c>
      <c r="J124" s="183">
        <f t="shared" si="3"/>
        <v>0</v>
      </c>
      <c r="K124" s="183">
        <f t="shared" si="4"/>
        <v>0</v>
      </c>
      <c r="L124" s="183">
        <f t="shared" si="5"/>
        <v>0</v>
      </c>
      <c r="M124" s="183">
        <f t="shared" si="6"/>
        <v>0</v>
      </c>
      <c r="N124" s="183">
        <f t="shared" si="163"/>
        <v>0</v>
      </c>
      <c r="O124" s="183">
        <f t="shared" ref="O124:Q124" si="164">G124+W124</f>
        <v>0</v>
      </c>
      <c r="P124" s="183">
        <f t="shared" si="164"/>
        <v>0</v>
      </c>
      <c r="Q124" s="183">
        <f t="shared" si="164"/>
        <v>0</v>
      </c>
      <c r="R124" s="183">
        <f t="shared" si="9"/>
        <v>0</v>
      </c>
      <c r="S124" s="183">
        <f t="shared" si="10"/>
        <v>0</v>
      </c>
      <c r="T124" s="183">
        <f t="shared" si="11"/>
        <v>0</v>
      </c>
      <c r="U124" s="186"/>
      <c r="V124" s="183">
        <f>IFERROR(__xludf.DUMMYFUNCTION("""COMPUTED_VALUE"""),0.0)</f>
        <v>0</v>
      </c>
      <c r="W124" s="183">
        <f>IFERROR(__xludf.DUMMYFUNCTION("""COMPUTED_VALUE"""),0.0)</f>
        <v>0</v>
      </c>
      <c r="X124" s="183">
        <f>IFERROR(__xludf.DUMMYFUNCTION("""COMPUTED_VALUE"""),0.0)</f>
        <v>0</v>
      </c>
      <c r="Y124" s="183">
        <f>IFERROR(__xludf.DUMMYFUNCTION("""COMPUTED_VALUE"""),0.0)</f>
        <v>0</v>
      </c>
      <c r="Z124" s="183">
        <f t="shared" si="12"/>
        <v>0</v>
      </c>
      <c r="AA124" s="183">
        <f t="shared" si="13"/>
        <v>0</v>
      </c>
      <c r="AB124" s="183">
        <f t="shared" si="14"/>
        <v>0</v>
      </c>
    </row>
    <row r="125" ht="14.25" customHeight="1">
      <c r="A125" s="175"/>
      <c r="B125" s="208" t="s">
        <v>867</v>
      </c>
      <c r="C125" s="181"/>
      <c r="D125" s="209" t="s">
        <v>868</v>
      </c>
      <c r="E125" s="183">
        <f>SUMIFS('DB WBS'!$J:$J,'DB WBS'!$A:$A,$D$4,'DB WBS'!$D:$D,AA$1,'DB WBS'!$B:$B,$E$3,'DB WBS'!$E:$E,$B125)</f>
        <v>0</v>
      </c>
      <c r="F125" s="183">
        <f>SUMIFS('DB WBS'!$J:$J,'DB WBS'!$A:$A,$D$4,'DB WBS'!$D:$D,AA$2,'DB WBS'!$B:$B,$E$3,'DB WBS'!$E:$E,$B125)</f>
        <v>0</v>
      </c>
      <c r="G125" s="184">
        <f>IFERROR(HLOOKUP($E$3,'Tahun Lalu'!$B$5:$V$158,MATCH(B125,'Tahun Lalu'!$B$5:$B$158,0),0),0)</f>
        <v>0</v>
      </c>
      <c r="H125" s="184">
        <v>0.0</v>
      </c>
      <c r="I125" s="184">
        <v>0.0</v>
      </c>
      <c r="J125" s="183">
        <f t="shared" si="3"/>
        <v>0</v>
      </c>
      <c r="K125" s="183">
        <f t="shared" si="4"/>
        <v>0</v>
      </c>
      <c r="L125" s="183">
        <f t="shared" si="5"/>
        <v>0</v>
      </c>
      <c r="M125" s="183">
        <f t="shared" si="6"/>
        <v>0</v>
      </c>
      <c r="N125" s="183">
        <f t="shared" si="163"/>
        <v>0</v>
      </c>
      <c r="O125" s="183">
        <f t="shared" ref="O125:Q125" si="165">G125+W125</f>
        <v>0</v>
      </c>
      <c r="P125" s="183">
        <f t="shared" si="165"/>
        <v>0</v>
      </c>
      <c r="Q125" s="183">
        <f t="shared" si="165"/>
        <v>0</v>
      </c>
      <c r="R125" s="183">
        <f t="shared" si="9"/>
        <v>0</v>
      </c>
      <c r="S125" s="183">
        <f t="shared" si="10"/>
        <v>0</v>
      </c>
      <c r="T125" s="183">
        <f t="shared" si="11"/>
        <v>0</v>
      </c>
      <c r="U125" s="186"/>
      <c r="V125" s="183">
        <f>IFERROR(__xludf.DUMMYFUNCTION("""COMPUTED_VALUE"""),0.0)</f>
        <v>0</v>
      </c>
      <c r="W125" s="183">
        <f>IFERROR(__xludf.DUMMYFUNCTION("""COMPUTED_VALUE"""),0.0)</f>
        <v>0</v>
      </c>
      <c r="X125" s="183">
        <f>IFERROR(__xludf.DUMMYFUNCTION("""COMPUTED_VALUE"""),0.0)</f>
        <v>0</v>
      </c>
      <c r="Y125" s="183">
        <f>IFERROR(__xludf.DUMMYFUNCTION("""COMPUTED_VALUE"""),0.0)</f>
        <v>0</v>
      </c>
      <c r="Z125" s="183">
        <f t="shared" si="12"/>
        <v>0</v>
      </c>
      <c r="AA125" s="183">
        <f t="shared" si="13"/>
        <v>0</v>
      </c>
      <c r="AB125" s="183">
        <f t="shared" si="14"/>
        <v>0</v>
      </c>
    </row>
    <row r="126" ht="14.25" customHeight="1">
      <c r="A126" s="175"/>
      <c r="B126" s="208" t="s">
        <v>869</v>
      </c>
      <c r="C126" s="181"/>
      <c r="D126" s="209" t="s">
        <v>870</v>
      </c>
      <c r="E126" s="183">
        <f>SUMIFS('DB WBS'!$J:$J,'DB WBS'!$A:$A,$D$4,'DB WBS'!$D:$D,AA$1,'DB WBS'!$B:$B,$E$3,'DB WBS'!$E:$E,$B126)</f>
        <v>0</v>
      </c>
      <c r="F126" s="183">
        <f>SUMIFS('DB WBS'!$J:$J,'DB WBS'!$A:$A,$D$4,'DB WBS'!$D:$D,AA$2,'DB WBS'!$B:$B,$E$3,'DB WBS'!$E:$E,$B126)</f>
        <v>0</v>
      </c>
      <c r="G126" s="184">
        <f>IFERROR(HLOOKUP($E$3,'Tahun Lalu'!$B$5:$V$158,MATCH(B126,'Tahun Lalu'!$B$5:$B$158,0),0),0)</f>
        <v>0</v>
      </c>
      <c r="H126" s="184">
        <v>0.0</v>
      </c>
      <c r="I126" s="184">
        <v>0.0</v>
      </c>
      <c r="J126" s="183">
        <f t="shared" si="3"/>
        <v>0</v>
      </c>
      <c r="K126" s="183">
        <f t="shared" si="4"/>
        <v>0</v>
      </c>
      <c r="L126" s="183">
        <f t="shared" si="5"/>
        <v>0</v>
      </c>
      <c r="M126" s="183">
        <f t="shared" si="6"/>
        <v>0</v>
      </c>
      <c r="N126" s="183">
        <f t="shared" si="163"/>
        <v>0</v>
      </c>
      <c r="O126" s="183">
        <f t="shared" ref="O126:Q126" si="166">G126+W126</f>
        <v>0</v>
      </c>
      <c r="P126" s="183">
        <f t="shared" si="166"/>
        <v>0</v>
      </c>
      <c r="Q126" s="183">
        <f t="shared" si="166"/>
        <v>0</v>
      </c>
      <c r="R126" s="183">
        <f t="shared" si="9"/>
        <v>0</v>
      </c>
      <c r="S126" s="183">
        <f t="shared" si="10"/>
        <v>0</v>
      </c>
      <c r="T126" s="183">
        <f t="shared" si="11"/>
        <v>0</v>
      </c>
      <c r="U126" s="186"/>
      <c r="V126" s="183">
        <f>IFERROR(__xludf.DUMMYFUNCTION("""COMPUTED_VALUE"""),0.0)</f>
        <v>0</v>
      </c>
      <c r="W126" s="183">
        <f>IFERROR(__xludf.DUMMYFUNCTION("""COMPUTED_VALUE"""),0.0)</f>
        <v>0</v>
      </c>
      <c r="X126" s="183">
        <f>IFERROR(__xludf.DUMMYFUNCTION("""COMPUTED_VALUE"""),0.0)</f>
        <v>0</v>
      </c>
      <c r="Y126" s="183">
        <f>IFERROR(__xludf.DUMMYFUNCTION("""COMPUTED_VALUE"""),0.0)</f>
        <v>0</v>
      </c>
      <c r="Z126" s="183">
        <f t="shared" si="12"/>
        <v>0</v>
      </c>
      <c r="AA126" s="183">
        <f t="shared" si="13"/>
        <v>0</v>
      </c>
      <c r="AB126" s="183">
        <f t="shared" si="14"/>
        <v>0</v>
      </c>
    </row>
    <row r="127" ht="14.25" customHeight="1">
      <c r="A127" s="175"/>
      <c r="B127" s="208"/>
      <c r="C127" s="181"/>
      <c r="D127" s="209"/>
      <c r="E127" s="183">
        <f>SUMIFS('DB WBS'!$J:$J,'DB WBS'!$A:$A,$D$4,'DB WBS'!$D:$D,AA$1,'DB WBS'!$B:$B,$E$3,'DB WBS'!$E:$E,$B127)</f>
        <v>0</v>
      </c>
      <c r="F127" s="183">
        <f>SUMIFS('DB WBS'!$J:$J,'DB WBS'!$A:$A,$D$4,'DB WBS'!$D:$D,AA$2,'DB WBS'!$B:$B,$E$3,'DB WBS'!$E:$E,$B127)</f>
        <v>0</v>
      </c>
      <c r="G127" s="184">
        <f>IFERROR(HLOOKUP($E$3,'Tahun Lalu'!$B$5:$V$158,MATCH(B127,'Tahun Lalu'!$B$5:$B$158,0),0),0)</f>
        <v>0</v>
      </c>
      <c r="H127" s="184">
        <v>0.0</v>
      </c>
      <c r="I127" s="184">
        <v>0.0</v>
      </c>
      <c r="J127" s="183">
        <f t="shared" si="3"/>
        <v>0</v>
      </c>
      <c r="K127" s="183">
        <f t="shared" si="4"/>
        <v>0</v>
      </c>
      <c r="L127" s="183">
        <f t="shared" si="5"/>
        <v>0</v>
      </c>
      <c r="M127" s="183">
        <f t="shared" si="6"/>
        <v>0</v>
      </c>
      <c r="N127" s="183">
        <f t="shared" si="163"/>
        <v>0</v>
      </c>
      <c r="O127" s="183">
        <f t="shared" ref="O127:Q127" si="167">G127+W127</f>
        <v>0</v>
      </c>
      <c r="P127" s="183">
        <f t="shared" si="167"/>
        <v>0</v>
      </c>
      <c r="Q127" s="183">
        <f t="shared" si="167"/>
        <v>0</v>
      </c>
      <c r="R127" s="183">
        <f t="shared" si="9"/>
        <v>0</v>
      </c>
      <c r="S127" s="183">
        <f t="shared" si="10"/>
        <v>0</v>
      </c>
      <c r="T127" s="183">
        <f t="shared" si="11"/>
        <v>0</v>
      </c>
      <c r="U127" s="186"/>
      <c r="V127" s="183">
        <f>IFERROR(__xludf.DUMMYFUNCTION("""COMPUTED_VALUE"""),0.0)</f>
        <v>0</v>
      </c>
      <c r="W127" s="183">
        <f>IFERROR(__xludf.DUMMYFUNCTION("""COMPUTED_VALUE"""),0.0)</f>
        <v>0</v>
      </c>
      <c r="X127" s="183">
        <f>IFERROR(__xludf.DUMMYFUNCTION("""COMPUTED_VALUE"""),0.0)</f>
        <v>0</v>
      </c>
      <c r="Y127" s="183">
        <f>IFERROR(__xludf.DUMMYFUNCTION("""COMPUTED_VALUE"""),0.0)</f>
        <v>0</v>
      </c>
      <c r="Z127" s="183">
        <f t="shared" si="12"/>
        <v>0</v>
      </c>
      <c r="AA127" s="183">
        <f t="shared" si="13"/>
        <v>0</v>
      </c>
      <c r="AB127" s="183">
        <f t="shared" si="14"/>
        <v>0</v>
      </c>
    </row>
    <row r="128" ht="14.25" customHeight="1">
      <c r="A128" s="175"/>
      <c r="B128" s="191" t="s">
        <v>871</v>
      </c>
      <c r="C128" s="199"/>
      <c r="D128" s="200"/>
      <c r="E128" s="201">
        <f t="shared" ref="E128:I128" si="168">SUM(E123:E127)</f>
        <v>0</v>
      </c>
      <c r="F128" s="201">
        <f t="shared" si="168"/>
        <v>0</v>
      </c>
      <c r="G128" s="201">
        <f t="shared" si="168"/>
        <v>0</v>
      </c>
      <c r="H128" s="201">
        <f t="shared" si="168"/>
        <v>0</v>
      </c>
      <c r="I128" s="201">
        <f t="shared" si="168"/>
        <v>0</v>
      </c>
      <c r="J128" s="201">
        <f t="shared" si="3"/>
        <v>0</v>
      </c>
      <c r="K128" s="201">
        <f t="shared" si="4"/>
        <v>0</v>
      </c>
      <c r="L128" s="201">
        <f t="shared" si="5"/>
        <v>0</v>
      </c>
      <c r="M128" s="201">
        <f t="shared" si="6"/>
        <v>0</v>
      </c>
      <c r="N128" s="201">
        <f t="shared" ref="N128:Q128" si="169">SUM(N123:N127)</f>
        <v>0</v>
      </c>
      <c r="O128" s="201">
        <f t="shared" si="169"/>
        <v>0</v>
      </c>
      <c r="P128" s="201">
        <f t="shared" si="169"/>
        <v>0</v>
      </c>
      <c r="Q128" s="201">
        <f t="shared" si="169"/>
        <v>0</v>
      </c>
      <c r="R128" s="201">
        <f t="shared" si="9"/>
        <v>0</v>
      </c>
      <c r="S128" s="201">
        <f t="shared" si="10"/>
        <v>0</v>
      </c>
      <c r="T128" s="201">
        <f t="shared" si="11"/>
        <v>0</v>
      </c>
      <c r="U128" s="202"/>
      <c r="V128" s="201">
        <f>IFERROR(__xludf.DUMMYFUNCTION("""COMPUTED_VALUE"""),0.0)</f>
        <v>0</v>
      </c>
      <c r="W128" s="201">
        <f>IFERROR(__xludf.DUMMYFUNCTION("""COMPUTED_VALUE"""),0.0)</f>
        <v>0</v>
      </c>
      <c r="X128" s="201">
        <f>IFERROR(__xludf.DUMMYFUNCTION("""COMPUTED_VALUE"""),0.0)</f>
        <v>0</v>
      </c>
      <c r="Y128" s="201">
        <f>IFERROR(__xludf.DUMMYFUNCTION("""COMPUTED_VALUE"""),0.0)</f>
        <v>0</v>
      </c>
      <c r="Z128" s="201">
        <f t="shared" si="12"/>
        <v>0</v>
      </c>
      <c r="AA128" s="201">
        <f t="shared" si="13"/>
        <v>0</v>
      </c>
      <c r="AB128" s="201">
        <f t="shared" si="14"/>
        <v>0</v>
      </c>
    </row>
    <row r="129" ht="14.25" customHeight="1">
      <c r="A129" s="175"/>
      <c r="B129" s="208" t="s">
        <v>872</v>
      </c>
      <c r="C129" s="181"/>
      <c r="D129" s="213" t="s">
        <v>873</v>
      </c>
      <c r="E129" s="183">
        <f>SUMIFS('DB WBS'!$J:$J,'DB WBS'!$A:$A,$D$4,'DB WBS'!$D:$D,AA$1,'DB WBS'!$B:$B,$E$3,'DB WBS'!$E:$E,$B129)</f>
        <v>0</v>
      </c>
      <c r="F129" s="183">
        <f>SUMIFS('DB WBS'!$J:$J,'DB WBS'!$A:$A,$D$4,'DB WBS'!$D:$D,AA$2,'DB WBS'!$B:$B,$E$3,'DB WBS'!$E:$E,$B129)</f>
        <v>0</v>
      </c>
      <c r="G129" s="184">
        <f>IFERROR(HLOOKUP($E$3,'Tahun Lalu'!$B$5:$V$158,MATCH(B129,'Tahun Lalu'!$B$5:$B$158,0),0),0)</f>
        <v>0</v>
      </c>
      <c r="H129" s="184">
        <v>0.0</v>
      </c>
      <c r="I129" s="184">
        <v>0.0</v>
      </c>
      <c r="J129" s="183">
        <f t="shared" si="3"/>
        <v>0</v>
      </c>
      <c r="K129" s="183">
        <f t="shared" si="4"/>
        <v>0</v>
      </c>
      <c r="L129" s="183">
        <f t="shared" si="5"/>
        <v>0</v>
      </c>
      <c r="M129" s="183">
        <f t="shared" si="6"/>
        <v>0</v>
      </c>
      <c r="N129" s="183">
        <f t="shared" ref="N129:N130" si="171">E129+V129</f>
        <v>0</v>
      </c>
      <c r="O129" s="183">
        <f t="shared" ref="O129:Q129" si="170">G129+W129</f>
        <v>0</v>
      </c>
      <c r="P129" s="183">
        <f t="shared" si="170"/>
        <v>0</v>
      </c>
      <c r="Q129" s="183">
        <f t="shared" si="170"/>
        <v>0</v>
      </c>
      <c r="R129" s="183">
        <f t="shared" si="9"/>
        <v>0</v>
      </c>
      <c r="S129" s="183">
        <f t="shared" si="10"/>
        <v>0</v>
      </c>
      <c r="T129" s="183">
        <f t="shared" si="11"/>
        <v>0</v>
      </c>
      <c r="U129" s="186"/>
      <c r="V129" s="183">
        <f>IFERROR(__xludf.DUMMYFUNCTION("""COMPUTED_VALUE"""),0.0)</f>
        <v>0</v>
      </c>
      <c r="W129" s="183">
        <f>IFERROR(__xludf.DUMMYFUNCTION("""COMPUTED_VALUE"""),0.0)</f>
        <v>0</v>
      </c>
      <c r="X129" s="183">
        <f>IFERROR(__xludf.DUMMYFUNCTION("""COMPUTED_VALUE"""),0.0)</f>
        <v>0</v>
      </c>
      <c r="Y129" s="183">
        <f>IFERROR(__xludf.DUMMYFUNCTION("""COMPUTED_VALUE"""),0.0)</f>
        <v>0</v>
      </c>
      <c r="Z129" s="183">
        <f t="shared" si="12"/>
        <v>0</v>
      </c>
      <c r="AA129" s="183">
        <f t="shared" si="13"/>
        <v>0</v>
      </c>
      <c r="AB129" s="183">
        <f t="shared" si="14"/>
        <v>0</v>
      </c>
    </row>
    <row r="130" ht="14.25" customHeight="1">
      <c r="A130" s="175"/>
      <c r="B130" s="208" t="s">
        <v>874</v>
      </c>
      <c r="C130" s="181"/>
      <c r="D130" s="213" t="s">
        <v>275</v>
      </c>
      <c r="E130" s="183">
        <f>SUMIFS('DB WBS'!$J:$J,'DB WBS'!$A:$A,$D$4,'DB WBS'!$D:$D,AA$1,'DB WBS'!$B:$B,$E$3,'DB WBS'!$E:$E,$B130)</f>
        <v>0</v>
      </c>
      <c r="F130" s="183">
        <f>SUMIFS('DB WBS'!$J:$J,'DB WBS'!$A:$A,$D$4,'DB WBS'!$D:$D,AA$2,'DB WBS'!$B:$B,$E$3,'DB WBS'!$E:$E,$B130)</f>
        <v>0</v>
      </c>
      <c r="G130" s="184">
        <f>IFERROR(HLOOKUP($E$3,'Tahun Lalu'!$B$5:$V$158,MATCH(B130,'Tahun Lalu'!$B$5:$B$158,0),0),0)</f>
        <v>0</v>
      </c>
      <c r="H130" s="184">
        <v>0.0</v>
      </c>
      <c r="I130" s="184">
        <v>0.0</v>
      </c>
      <c r="J130" s="183">
        <f t="shared" si="3"/>
        <v>0</v>
      </c>
      <c r="K130" s="183">
        <f t="shared" si="4"/>
        <v>0</v>
      </c>
      <c r="L130" s="183">
        <f t="shared" si="5"/>
        <v>0</v>
      </c>
      <c r="M130" s="183">
        <f t="shared" si="6"/>
        <v>0</v>
      </c>
      <c r="N130" s="183">
        <f t="shared" si="171"/>
        <v>0</v>
      </c>
      <c r="O130" s="183">
        <f t="shared" ref="O130:Q130" si="172">G130+W130</f>
        <v>0</v>
      </c>
      <c r="P130" s="183">
        <f t="shared" si="172"/>
        <v>0</v>
      </c>
      <c r="Q130" s="183">
        <f t="shared" si="172"/>
        <v>0</v>
      </c>
      <c r="R130" s="183">
        <f t="shared" si="9"/>
        <v>0</v>
      </c>
      <c r="S130" s="183">
        <f t="shared" si="10"/>
        <v>0</v>
      </c>
      <c r="T130" s="183">
        <f t="shared" si="11"/>
        <v>0</v>
      </c>
      <c r="U130" s="186"/>
      <c r="V130" s="183">
        <f>IFERROR(__xludf.DUMMYFUNCTION("""COMPUTED_VALUE"""),0.0)</f>
        <v>0</v>
      </c>
      <c r="W130" s="183">
        <f>IFERROR(__xludf.DUMMYFUNCTION("""COMPUTED_VALUE"""),0.0)</f>
        <v>0</v>
      </c>
      <c r="X130" s="183">
        <f>IFERROR(__xludf.DUMMYFUNCTION("""COMPUTED_VALUE"""),0.0)</f>
        <v>0</v>
      </c>
      <c r="Y130" s="183">
        <f>IFERROR(__xludf.DUMMYFUNCTION("""COMPUTED_VALUE"""),0.0)</f>
        <v>0</v>
      </c>
      <c r="Z130" s="183">
        <f t="shared" si="12"/>
        <v>0</v>
      </c>
      <c r="AA130" s="183">
        <f t="shared" si="13"/>
        <v>0</v>
      </c>
      <c r="AB130" s="183">
        <f t="shared" si="14"/>
        <v>0</v>
      </c>
    </row>
    <row r="131" ht="14.25" customHeight="1">
      <c r="A131" s="175"/>
      <c r="B131" s="191" t="s">
        <v>875</v>
      </c>
      <c r="C131" s="199"/>
      <c r="D131" s="200"/>
      <c r="E131" s="201">
        <f t="shared" ref="E131:I131" si="173">SUM(E129:E130)</f>
        <v>0</v>
      </c>
      <c r="F131" s="201">
        <f t="shared" si="173"/>
        <v>0</v>
      </c>
      <c r="G131" s="201">
        <f t="shared" si="173"/>
        <v>0</v>
      </c>
      <c r="H131" s="201">
        <f t="shared" si="173"/>
        <v>0</v>
      </c>
      <c r="I131" s="201">
        <f t="shared" si="173"/>
        <v>0</v>
      </c>
      <c r="J131" s="201">
        <f t="shared" si="3"/>
        <v>0</v>
      </c>
      <c r="K131" s="201">
        <f t="shared" si="4"/>
        <v>0</v>
      </c>
      <c r="L131" s="201">
        <f t="shared" si="5"/>
        <v>0</v>
      </c>
      <c r="M131" s="201">
        <f t="shared" si="6"/>
        <v>0</v>
      </c>
      <c r="N131" s="201">
        <f t="shared" ref="N131:Q131" si="174">SUM(N129:N130)</f>
        <v>0</v>
      </c>
      <c r="O131" s="201">
        <f t="shared" si="174"/>
        <v>0</v>
      </c>
      <c r="P131" s="201">
        <f t="shared" si="174"/>
        <v>0</v>
      </c>
      <c r="Q131" s="201">
        <f t="shared" si="174"/>
        <v>0</v>
      </c>
      <c r="R131" s="201">
        <f t="shared" si="9"/>
        <v>0</v>
      </c>
      <c r="S131" s="201">
        <f t="shared" si="10"/>
        <v>0</v>
      </c>
      <c r="T131" s="201">
        <f t="shared" si="11"/>
        <v>0</v>
      </c>
      <c r="U131" s="202"/>
      <c r="V131" s="201">
        <f>IFERROR(__xludf.DUMMYFUNCTION("""COMPUTED_VALUE"""),0.0)</f>
        <v>0</v>
      </c>
      <c r="W131" s="201">
        <f>IFERROR(__xludf.DUMMYFUNCTION("""COMPUTED_VALUE"""),0.0)</f>
        <v>0</v>
      </c>
      <c r="X131" s="201">
        <f>IFERROR(__xludf.DUMMYFUNCTION("""COMPUTED_VALUE"""),0.0)</f>
        <v>0</v>
      </c>
      <c r="Y131" s="201">
        <f>IFERROR(__xludf.DUMMYFUNCTION("""COMPUTED_VALUE"""),0.0)</f>
        <v>0</v>
      </c>
      <c r="Z131" s="201">
        <f t="shared" si="12"/>
        <v>0</v>
      </c>
      <c r="AA131" s="201">
        <f t="shared" si="13"/>
        <v>0</v>
      </c>
      <c r="AB131" s="201">
        <f t="shared" si="14"/>
        <v>0</v>
      </c>
    </row>
    <row r="132" ht="14.25" customHeight="1">
      <c r="A132" s="175"/>
      <c r="B132" s="204" t="s">
        <v>876</v>
      </c>
      <c r="C132" s="205"/>
      <c r="D132" s="206"/>
      <c r="E132" s="207">
        <f t="shared" ref="E132:I132" si="175">E131+E128+E122</f>
        <v>0</v>
      </c>
      <c r="F132" s="207">
        <f t="shared" si="175"/>
        <v>0</v>
      </c>
      <c r="G132" s="207">
        <f t="shared" si="175"/>
        <v>0</v>
      </c>
      <c r="H132" s="207">
        <f t="shared" si="175"/>
        <v>0</v>
      </c>
      <c r="I132" s="207">
        <f t="shared" si="175"/>
        <v>0</v>
      </c>
      <c r="J132" s="207">
        <f t="shared" si="3"/>
        <v>0</v>
      </c>
      <c r="K132" s="207">
        <f t="shared" si="4"/>
        <v>0</v>
      </c>
      <c r="L132" s="207">
        <f t="shared" si="5"/>
        <v>0</v>
      </c>
      <c r="M132" s="207">
        <f t="shared" si="6"/>
        <v>0</v>
      </c>
      <c r="N132" s="207">
        <f t="shared" ref="N132:Q132" si="176">N131+N128+N122</f>
        <v>0</v>
      </c>
      <c r="O132" s="207">
        <f t="shared" si="176"/>
        <v>0</v>
      </c>
      <c r="P132" s="207">
        <f t="shared" si="176"/>
        <v>0</v>
      </c>
      <c r="Q132" s="207">
        <f t="shared" si="176"/>
        <v>0</v>
      </c>
      <c r="R132" s="207">
        <f t="shared" si="9"/>
        <v>0</v>
      </c>
      <c r="S132" s="207">
        <f t="shared" si="10"/>
        <v>0</v>
      </c>
      <c r="T132" s="207">
        <f t="shared" si="11"/>
        <v>0</v>
      </c>
      <c r="U132" s="202"/>
      <c r="V132" s="207">
        <f>IFERROR(__xludf.DUMMYFUNCTION("""COMPUTED_VALUE"""),0.0)</f>
        <v>0</v>
      </c>
      <c r="W132" s="207">
        <f>IFERROR(__xludf.DUMMYFUNCTION("""COMPUTED_VALUE"""),0.0)</f>
        <v>0</v>
      </c>
      <c r="X132" s="207">
        <f>IFERROR(__xludf.DUMMYFUNCTION("""COMPUTED_VALUE"""),0.0)</f>
        <v>0</v>
      </c>
      <c r="Y132" s="207">
        <f>IFERROR(__xludf.DUMMYFUNCTION("""COMPUTED_VALUE"""),0.0)</f>
        <v>0</v>
      </c>
      <c r="Z132" s="207">
        <f t="shared" si="12"/>
        <v>0</v>
      </c>
      <c r="AA132" s="207">
        <f t="shared" si="13"/>
        <v>0</v>
      </c>
      <c r="AB132" s="207">
        <f t="shared" si="14"/>
        <v>0</v>
      </c>
    </row>
    <row r="133" ht="14.25" customHeight="1">
      <c r="A133" s="175"/>
      <c r="B133" s="214"/>
      <c r="C133" s="181"/>
      <c r="D133" s="213"/>
      <c r="E133" s="183">
        <f>SUMIFS('DB WBS'!$J:$J,'DB WBS'!$A:$A,$D$4,'DB WBS'!$D:$D,AA$1,'DB WBS'!$B:$B,$E$3,'DB WBS'!$E:$E,$B133)</f>
        <v>0</v>
      </c>
      <c r="F133" s="183">
        <f>SUMIFS('DB WBS'!$J:$J,'DB WBS'!$A:$A,$D$4,'DB WBS'!$D:$D,AA$2,'DB WBS'!$B:$B,$E$3,'DB WBS'!$E:$E,$B133)</f>
        <v>0</v>
      </c>
      <c r="G133" s="184">
        <f>IFERROR(HLOOKUP($E$3,'Tahun Lalu'!$B$5:$V$158,MATCH(B133,'Tahun Lalu'!$B$5:$B$158,0),0),0)</f>
        <v>0</v>
      </c>
      <c r="H133" s="184">
        <v>0.0</v>
      </c>
      <c r="I133" s="184">
        <v>0.0</v>
      </c>
      <c r="J133" s="183">
        <f t="shared" si="3"/>
        <v>0</v>
      </c>
      <c r="K133" s="183">
        <f t="shared" si="4"/>
        <v>0</v>
      </c>
      <c r="L133" s="183">
        <f t="shared" si="5"/>
        <v>0</v>
      </c>
      <c r="M133" s="183">
        <f t="shared" si="6"/>
        <v>0</v>
      </c>
      <c r="N133" s="183">
        <f t="shared" ref="N133:N138" si="178">E133+V133</f>
        <v>0</v>
      </c>
      <c r="O133" s="183">
        <f t="shared" ref="O133:Q133" si="177">G133+W133</f>
        <v>0</v>
      </c>
      <c r="P133" s="183">
        <f t="shared" si="177"/>
        <v>0</v>
      </c>
      <c r="Q133" s="183">
        <f t="shared" si="177"/>
        <v>0</v>
      </c>
      <c r="R133" s="183">
        <f t="shared" si="9"/>
        <v>0</v>
      </c>
      <c r="S133" s="183">
        <f t="shared" si="10"/>
        <v>0</v>
      </c>
      <c r="T133" s="183">
        <f t="shared" si="11"/>
        <v>0</v>
      </c>
      <c r="U133" s="186"/>
      <c r="V133" s="183">
        <f>IFERROR(__xludf.DUMMYFUNCTION("""COMPUTED_VALUE"""),0.0)</f>
        <v>0</v>
      </c>
      <c r="W133" s="183">
        <f>IFERROR(__xludf.DUMMYFUNCTION("""COMPUTED_VALUE"""),0.0)</f>
        <v>0</v>
      </c>
      <c r="X133" s="183">
        <f>IFERROR(__xludf.DUMMYFUNCTION("""COMPUTED_VALUE"""),0.0)</f>
        <v>0</v>
      </c>
      <c r="Y133" s="183">
        <f>IFERROR(__xludf.DUMMYFUNCTION("""COMPUTED_VALUE"""),0.0)</f>
        <v>0</v>
      </c>
      <c r="Z133" s="183">
        <f t="shared" si="12"/>
        <v>0</v>
      </c>
      <c r="AA133" s="183">
        <f t="shared" si="13"/>
        <v>0</v>
      </c>
      <c r="AB133" s="183">
        <f t="shared" si="14"/>
        <v>0</v>
      </c>
    </row>
    <row r="134" ht="14.25" customHeight="1">
      <c r="A134" s="175"/>
      <c r="B134" s="214"/>
      <c r="C134" s="181"/>
      <c r="D134" s="209"/>
      <c r="E134" s="183">
        <f>SUMIFS('DB WBS'!$J:$J,'DB WBS'!$A:$A,$D$4,'DB WBS'!$D:$D,AA$1,'DB WBS'!$B:$B,$E$3,'DB WBS'!$E:$E,$B134)</f>
        <v>0</v>
      </c>
      <c r="F134" s="183">
        <f>SUMIFS('DB WBS'!$J:$J,'DB WBS'!$A:$A,$D$4,'DB WBS'!$D:$D,AA$2,'DB WBS'!$B:$B,$E$3,'DB WBS'!$E:$E,$B134)</f>
        <v>0</v>
      </c>
      <c r="G134" s="184">
        <f>IFERROR(HLOOKUP($E$3,'Tahun Lalu'!$B$5:$V$158,MATCH(B134,'Tahun Lalu'!$B$5:$B$158,0),0),0)</f>
        <v>0</v>
      </c>
      <c r="H134" s="184">
        <v>0.0</v>
      </c>
      <c r="I134" s="184">
        <v>0.0</v>
      </c>
      <c r="J134" s="183">
        <f t="shared" si="3"/>
        <v>0</v>
      </c>
      <c r="K134" s="183">
        <f t="shared" si="4"/>
        <v>0</v>
      </c>
      <c r="L134" s="183">
        <f t="shared" si="5"/>
        <v>0</v>
      </c>
      <c r="M134" s="183">
        <f t="shared" si="6"/>
        <v>0</v>
      </c>
      <c r="N134" s="183">
        <f t="shared" si="178"/>
        <v>0</v>
      </c>
      <c r="O134" s="183">
        <f t="shared" ref="O134:Q134" si="179">G134+W134</f>
        <v>0</v>
      </c>
      <c r="P134" s="183">
        <f t="shared" si="179"/>
        <v>0</v>
      </c>
      <c r="Q134" s="183">
        <f t="shared" si="179"/>
        <v>0</v>
      </c>
      <c r="R134" s="183">
        <f t="shared" si="9"/>
        <v>0</v>
      </c>
      <c r="S134" s="183">
        <f t="shared" si="10"/>
        <v>0</v>
      </c>
      <c r="T134" s="183">
        <f t="shared" si="11"/>
        <v>0</v>
      </c>
      <c r="U134" s="186"/>
      <c r="V134" s="183">
        <f>IFERROR(__xludf.DUMMYFUNCTION("""COMPUTED_VALUE"""),0.0)</f>
        <v>0</v>
      </c>
      <c r="W134" s="183">
        <f>IFERROR(__xludf.DUMMYFUNCTION("""COMPUTED_VALUE"""),0.0)</f>
        <v>0</v>
      </c>
      <c r="X134" s="183">
        <f>IFERROR(__xludf.DUMMYFUNCTION("""COMPUTED_VALUE"""),0.0)</f>
        <v>0</v>
      </c>
      <c r="Y134" s="183">
        <f>IFERROR(__xludf.DUMMYFUNCTION("""COMPUTED_VALUE"""),0.0)</f>
        <v>0</v>
      </c>
      <c r="Z134" s="183">
        <f t="shared" si="12"/>
        <v>0</v>
      </c>
      <c r="AA134" s="183">
        <f t="shared" si="13"/>
        <v>0</v>
      </c>
      <c r="AB134" s="183">
        <f t="shared" si="14"/>
        <v>0</v>
      </c>
    </row>
    <row r="135" ht="14.25" customHeight="1">
      <c r="A135" s="175"/>
      <c r="B135" s="215"/>
      <c r="C135" s="216"/>
      <c r="D135" s="209"/>
      <c r="E135" s="183">
        <f>SUMIFS('DB WBS'!$J:$J,'DB WBS'!$A:$A,$D$4,'DB WBS'!$D:$D,AA$1,'DB WBS'!$B:$B,$E$3,'DB WBS'!$E:$E,$B135)</f>
        <v>0</v>
      </c>
      <c r="F135" s="183">
        <f>SUMIFS('DB WBS'!$J:$J,'DB WBS'!$A:$A,$D$4,'DB WBS'!$D:$D,AA$2,'DB WBS'!$B:$B,$E$3,'DB WBS'!$E:$E,$B135)</f>
        <v>0</v>
      </c>
      <c r="G135" s="184">
        <f>IFERROR(HLOOKUP($E$3,'Tahun Lalu'!$B$5:$V$158,MATCH(B135,'Tahun Lalu'!$B$5:$B$158,0),0),0)</f>
        <v>0</v>
      </c>
      <c r="H135" s="184">
        <v>0.0</v>
      </c>
      <c r="I135" s="184">
        <v>0.0</v>
      </c>
      <c r="J135" s="183">
        <f t="shared" si="3"/>
        <v>0</v>
      </c>
      <c r="K135" s="183">
        <f t="shared" si="4"/>
        <v>0</v>
      </c>
      <c r="L135" s="183">
        <f t="shared" si="5"/>
        <v>0</v>
      </c>
      <c r="M135" s="183">
        <f t="shared" si="6"/>
        <v>0</v>
      </c>
      <c r="N135" s="183">
        <f t="shared" si="178"/>
        <v>0</v>
      </c>
      <c r="O135" s="183">
        <f t="shared" ref="O135:Q135" si="180">G135+W135</f>
        <v>0</v>
      </c>
      <c r="P135" s="183">
        <f t="shared" si="180"/>
        <v>0</v>
      </c>
      <c r="Q135" s="183">
        <f t="shared" si="180"/>
        <v>0</v>
      </c>
      <c r="R135" s="183">
        <f t="shared" si="9"/>
        <v>0</v>
      </c>
      <c r="S135" s="183">
        <f t="shared" si="10"/>
        <v>0</v>
      </c>
      <c r="T135" s="183">
        <f t="shared" si="11"/>
        <v>0</v>
      </c>
      <c r="U135" s="186"/>
      <c r="V135" s="183">
        <f>IFERROR(__xludf.DUMMYFUNCTION("""COMPUTED_VALUE"""),0.0)</f>
        <v>0</v>
      </c>
      <c r="W135" s="183">
        <f>IFERROR(__xludf.DUMMYFUNCTION("""COMPUTED_VALUE"""),0.0)</f>
        <v>0</v>
      </c>
      <c r="X135" s="183">
        <f>IFERROR(__xludf.DUMMYFUNCTION("""COMPUTED_VALUE"""),0.0)</f>
        <v>0</v>
      </c>
      <c r="Y135" s="183">
        <f>IFERROR(__xludf.DUMMYFUNCTION("""COMPUTED_VALUE"""),0.0)</f>
        <v>0</v>
      </c>
      <c r="Z135" s="183">
        <f t="shared" si="12"/>
        <v>0</v>
      </c>
      <c r="AA135" s="183">
        <f t="shared" si="13"/>
        <v>0</v>
      </c>
      <c r="AB135" s="183">
        <f t="shared" si="14"/>
        <v>0</v>
      </c>
    </row>
    <row r="136" ht="14.25" customHeight="1">
      <c r="A136" s="175"/>
      <c r="B136" s="214"/>
      <c r="C136" s="181"/>
      <c r="D136" s="209"/>
      <c r="E136" s="183">
        <f>SUMIFS('DB WBS'!$J:$J,'DB WBS'!$A:$A,$D$4,'DB WBS'!$D:$D,AA$1,'DB WBS'!$B:$B,$E$3,'DB WBS'!$E:$E,$B136)</f>
        <v>0</v>
      </c>
      <c r="F136" s="183">
        <f>SUMIFS('DB WBS'!$J:$J,'DB WBS'!$A:$A,$D$4,'DB WBS'!$D:$D,AA$2,'DB WBS'!$B:$B,$E$3,'DB WBS'!$E:$E,$B136)</f>
        <v>0</v>
      </c>
      <c r="G136" s="184">
        <f>IFERROR(HLOOKUP($E$3,'Tahun Lalu'!$B$5:$V$158,MATCH(B136,'Tahun Lalu'!$B$5:$B$158,0),0),0)</f>
        <v>0</v>
      </c>
      <c r="H136" s="184">
        <v>0.0</v>
      </c>
      <c r="I136" s="184">
        <v>0.0</v>
      </c>
      <c r="J136" s="183">
        <f t="shared" si="3"/>
        <v>0</v>
      </c>
      <c r="K136" s="183">
        <f t="shared" si="4"/>
        <v>0</v>
      </c>
      <c r="L136" s="183">
        <f t="shared" si="5"/>
        <v>0</v>
      </c>
      <c r="M136" s="183">
        <f t="shared" si="6"/>
        <v>0</v>
      </c>
      <c r="N136" s="183">
        <f t="shared" si="178"/>
        <v>0</v>
      </c>
      <c r="O136" s="183">
        <f t="shared" ref="O136:Q136" si="181">G136+W136</f>
        <v>0</v>
      </c>
      <c r="P136" s="183">
        <f t="shared" si="181"/>
        <v>0</v>
      </c>
      <c r="Q136" s="183">
        <f t="shared" si="181"/>
        <v>0</v>
      </c>
      <c r="R136" s="183">
        <f t="shared" si="9"/>
        <v>0</v>
      </c>
      <c r="S136" s="183">
        <f t="shared" si="10"/>
        <v>0</v>
      </c>
      <c r="T136" s="183">
        <f t="shared" si="11"/>
        <v>0</v>
      </c>
      <c r="U136" s="186"/>
      <c r="V136" s="183">
        <f>IFERROR(__xludf.DUMMYFUNCTION("""COMPUTED_VALUE"""),0.0)</f>
        <v>0</v>
      </c>
      <c r="W136" s="183">
        <f>IFERROR(__xludf.DUMMYFUNCTION("""COMPUTED_VALUE"""),0.0)</f>
        <v>0</v>
      </c>
      <c r="X136" s="183">
        <f>IFERROR(__xludf.DUMMYFUNCTION("""COMPUTED_VALUE"""),0.0)</f>
        <v>0</v>
      </c>
      <c r="Y136" s="183">
        <f>IFERROR(__xludf.DUMMYFUNCTION("""COMPUTED_VALUE"""),0.0)</f>
        <v>0</v>
      </c>
      <c r="Z136" s="183">
        <f t="shared" si="12"/>
        <v>0</v>
      </c>
      <c r="AA136" s="183">
        <f t="shared" si="13"/>
        <v>0</v>
      </c>
      <c r="AB136" s="183">
        <f t="shared" si="14"/>
        <v>0</v>
      </c>
    </row>
    <row r="137" ht="14.25" customHeight="1">
      <c r="A137" s="175"/>
      <c r="B137" s="214"/>
      <c r="C137" s="181"/>
      <c r="D137" s="209"/>
      <c r="E137" s="183">
        <f>SUMIFS('DB WBS'!$J:$J,'DB WBS'!$A:$A,$D$4,'DB WBS'!$D:$D,AA$1,'DB WBS'!$B:$B,$E$3,'DB WBS'!$E:$E,$B137)</f>
        <v>0</v>
      </c>
      <c r="F137" s="183">
        <f>SUMIFS('DB WBS'!$J:$J,'DB WBS'!$A:$A,$D$4,'DB WBS'!$D:$D,AA$2,'DB WBS'!$B:$B,$E$3,'DB WBS'!$E:$E,$B137)</f>
        <v>0</v>
      </c>
      <c r="G137" s="184">
        <f>IFERROR(HLOOKUP($E$3,'Tahun Lalu'!$B$5:$V$158,MATCH(B137,'Tahun Lalu'!$B$5:$B$158,0),0),0)</f>
        <v>0</v>
      </c>
      <c r="H137" s="184">
        <v>0.0</v>
      </c>
      <c r="I137" s="184">
        <v>0.0</v>
      </c>
      <c r="J137" s="183">
        <f t="shared" si="3"/>
        <v>0</v>
      </c>
      <c r="K137" s="183">
        <f t="shared" si="4"/>
        <v>0</v>
      </c>
      <c r="L137" s="183">
        <f t="shared" si="5"/>
        <v>0</v>
      </c>
      <c r="M137" s="183">
        <f t="shared" si="6"/>
        <v>0</v>
      </c>
      <c r="N137" s="183">
        <f t="shared" si="178"/>
        <v>0</v>
      </c>
      <c r="O137" s="183">
        <f t="shared" ref="O137:Q137" si="182">G137+W137</f>
        <v>0</v>
      </c>
      <c r="P137" s="183">
        <f t="shared" si="182"/>
        <v>0</v>
      </c>
      <c r="Q137" s="183">
        <f t="shared" si="182"/>
        <v>0</v>
      </c>
      <c r="R137" s="183">
        <f t="shared" si="9"/>
        <v>0</v>
      </c>
      <c r="S137" s="183">
        <f t="shared" si="10"/>
        <v>0</v>
      </c>
      <c r="T137" s="183">
        <f t="shared" si="11"/>
        <v>0</v>
      </c>
      <c r="U137" s="186"/>
      <c r="V137" s="183">
        <f>IFERROR(__xludf.DUMMYFUNCTION("""COMPUTED_VALUE"""),0.0)</f>
        <v>0</v>
      </c>
      <c r="W137" s="183">
        <f>IFERROR(__xludf.DUMMYFUNCTION("""COMPUTED_VALUE"""),0.0)</f>
        <v>0</v>
      </c>
      <c r="X137" s="183">
        <f>IFERROR(__xludf.DUMMYFUNCTION("""COMPUTED_VALUE"""),0.0)</f>
        <v>0</v>
      </c>
      <c r="Y137" s="183">
        <f>IFERROR(__xludf.DUMMYFUNCTION("""COMPUTED_VALUE"""),0.0)</f>
        <v>0</v>
      </c>
      <c r="Z137" s="183">
        <f t="shared" si="12"/>
        <v>0</v>
      </c>
      <c r="AA137" s="183">
        <f t="shared" si="13"/>
        <v>0</v>
      </c>
      <c r="AB137" s="183">
        <f t="shared" si="14"/>
        <v>0</v>
      </c>
    </row>
    <row r="138" ht="14.25" customHeight="1">
      <c r="A138" s="175"/>
      <c r="B138" s="215"/>
      <c r="C138" s="216"/>
      <c r="D138" s="209"/>
      <c r="E138" s="183">
        <f>SUMIFS('DB WBS'!$J:$J,'DB WBS'!$A:$A,$D$4,'DB WBS'!$D:$D,AA$1,'DB WBS'!$B:$B,$E$3,'DB WBS'!$E:$E,$B138)</f>
        <v>0</v>
      </c>
      <c r="F138" s="183">
        <f>SUMIFS('DB WBS'!$J:$J,'DB WBS'!$A:$A,$D$4,'DB WBS'!$D:$D,AA$2,'DB WBS'!$B:$B,$E$3,'DB WBS'!$E:$E,$B138)</f>
        <v>0</v>
      </c>
      <c r="G138" s="184">
        <f>IFERROR(HLOOKUP($E$3,'Tahun Lalu'!$B$5:$V$158,MATCH(B138,'Tahun Lalu'!$B$5:$B$158,0),0),0)</f>
        <v>0</v>
      </c>
      <c r="H138" s="184">
        <v>0.0</v>
      </c>
      <c r="I138" s="184">
        <v>0.0</v>
      </c>
      <c r="J138" s="183">
        <f t="shared" si="3"/>
        <v>0</v>
      </c>
      <c r="K138" s="183">
        <f t="shared" si="4"/>
        <v>0</v>
      </c>
      <c r="L138" s="183">
        <f t="shared" si="5"/>
        <v>0</v>
      </c>
      <c r="M138" s="183">
        <f t="shared" si="6"/>
        <v>0</v>
      </c>
      <c r="N138" s="183">
        <f t="shared" si="178"/>
        <v>0</v>
      </c>
      <c r="O138" s="183">
        <f t="shared" ref="O138:Q138" si="183">G138+W138</f>
        <v>0</v>
      </c>
      <c r="P138" s="183">
        <f t="shared" si="183"/>
        <v>0</v>
      </c>
      <c r="Q138" s="183">
        <f t="shared" si="183"/>
        <v>0</v>
      </c>
      <c r="R138" s="183">
        <f t="shared" si="9"/>
        <v>0</v>
      </c>
      <c r="S138" s="183">
        <f t="shared" si="10"/>
        <v>0</v>
      </c>
      <c r="T138" s="183">
        <f t="shared" si="11"/>
        <v>0</v>
      </c>
      <c r="U138" s="186"/>
      <c r="V138" s="183">
        <f>IFERROR(__xludf.DUMMYFUNCTION("""COMPUTED_VALUE"""),0.0)</f>
        <v>0</v>
      </c>
      <c r="W138" s="183">
        <f>IFERROR(__xludf.DUMMYFUNCTION("""COMPUTED_VALUE"""),0.0)</f>
        <v>0</v>
      </c>
      <c r="X138" s="183">
        <f>IFERROR(__xludf.DUMMYFUNCTION("""COMPUTED_VALUE"""),0.0)</f>
        <v>0</v>
      </c>
      <c r="Y138" s="183">
        <f>IFERROR(__xludf.DUMMYFUNCTION("""COMPUTED_VALUE"""),0.0)</f>
        <v>0</v>
      </c>
      <c r="Z138" s="183">
        <f t="shared" si="12"/>
        <v>0</v>
      </c>
      <c r="AA138" s="183">
        <f t="shared" si="13"/>
        <v>0</v>
      </c>
      <c r="AB138" s="183">
        <f t="shared" si="14"/>
        <v>0</v>
      </c>
    </row>
    <row r="139" ht="14.25" customHeight="1">
      <c r="A139" s="175"/>
      <c r="B139" s="191" t="s">
        <v>877</v>
      </c>
      <c r="C139" s="199"/>
      <c r="D139" s="200"/>
      <c r="E139" s="201">
        <f t="shared" ref="E139:I139" si="184">SUM(E133:E138)</f>
        <v>0</v>
      </c>
      <c r="F139" s="201">
        <f t="shared" si="184"/>
        <v>0</v>
      </c>
      <c r="G139" s="201">
        <f t="shared" si="184"/>
        <v>0</v>
      </c>
      <c r="H139" s="201">
        <f t="shared" si="184"/>
        <v>0</v>
      </c>
      <c r="I139" s="201">
        <f t="shared" si="184"/>
        <v>0</v>
      </c>
      <c r="J139" s="201">
        <f t="shared" si="3"/>
        <v>0</v>
      </c>
      <c r="K139" s="201">
        <f t="shared" si="4"/>
        <v>0</v>
      </c>
      <c r="L139" s="201">
        <f t="shared" si="5"/>
        <v>0</v>
      </c>
      <c r="M139" s="201">
        <f t="shared" si="6"/>
        <v>0</v>
      </c>
      <c r="N139" s="201">
        <f t="shared" ref="N139:Q139" si="185">SUM(N133:N138)</f>
        <v>0</v>
      </c>
      <c r="O139" s="201">
        <f t="shared" si="185"/>
        <v>0</v>
      </c>
      <c r="P139" s="201">
        <f t="shared" si="185"/>
        <v>0</v>
      </c>
      <c r="Q139" s="201">
        <f t="shared" si="185"/>
        <v>0</v>
      </c>
      <c r="R139" s="201">
        <f t="shared" si="9"/>
        <v>0</v>
      </c>
      <c r="S139" s="201">
        <f t="shared" si="10"/>
        <v>0</v>
      </c>
      <c r="T139" s="201">
        <f t="shared" si="11"/>
        <v>0</v>
      </c>
      <c r="U139" s="202"/>
      <c r="V139" s="201">
        <f>IFERROR(__xludf.DUMMYFUNCTION("""COMPUTED_VALUE"""),0.0)</f>
        <v>0</v>
      </c>
      <c r="W139" s="201">
        <f>IFERROR(__xludf.DUMMYFUNCTION("""COMPUTED_VALUE"""),0.0)</f>
        <v>0</v>
      </c>
      <c r="X139" s="201">
        <f>IFERROR(__xludf.DUMMYFUNCTION("""COMPUTED_VALUE"""),0.0)</f>
        <v>0</v>
      </c>
      <c r="Y139" s="201">
        <f>IFERROR(__xludf.DUMMYFUNCTION("""COMPUTED_VALUE"""),0.0)</f>
        <v>0</v>
      </c>
      <c r="Z139" s="201">
        <f t="shared" si="12"/>
        <v>0</v>
      </c>
      <c r="AA139" s="201">
        <f t="shared" si="13"/>
        <v>0</v>
      </c>
      <c r="AB139" s="201">
        <f t="shared" si="14"/>
        <v>0</v>
      </c>
    </row>
    <row r="140" ht="14.25" customHeight="1">
      <c r="A140" s="175"/>
      <c r="B140" s="208" t="s">
        <v>142</v>
      </c>
      <c r="C140" s="181" t="s">
        <v>417</v>
      </c>
      <c r="D140" s="217" t="s">
        <v>143</v>
      </c>
      <c r="E140" s="183">
        <f>SUMIFS('DB WBS'!$J:$J,'DB WBS'!$A:$A,$D$4,'DB WBS'!$D:$D,AA$1,'DB WBS'!$B:$B,$E$3,'DB WBS'!$E:$E,$B140)</f>
        <v>0</v>
      </c>
      <c r="F140" s="183">
        <f>SUMIFS('DB WBS'!$J:$J,'DB WBS'!$A:$A,$D$4,'DB WBS'!$D:$D,AA$2,'DB WBS'!$B:$B,$E$3,'DB WBS'!$E:$E,$B140)</f>
        <v>0</v>
      </c>
      <c r="G140" s="184">
        <f>IFERROR(HLOOKUP($E$3,'Tahun Lalu'!$B$5:$V$158,MATCH(B140,'Tahun Lalu'!$B$5:$B$158,0),0),0)</f>
        <v>0</v>
      </c>
      <c r="H140" s="184">
        <v>0.0</v>
      </c>
      <c r="I140" s="184">
        <v>0.0</v>
      </c>
      <c r="J140" s="210">
        <f t="shared" si="3"/>
        <v>0</v>
      </c>
      <c r="K140" s="183">
        <f t="shared" si="4"/>
        <v>0</v>
      </c>
      <c r="L140" s="183">
        <f t="shared" si="5"/>
        <v>0</v>
      </c>
      <c r="M140" s="183">
        <f t="shared" si="6"/>
        <v>0</v>
      </c>
      <c r="N140" s="183">
        <f t="shared" ref="N140:N146" si="187">E140+V140</f>
        <v>0</v>
      </c>
      <c r="O140" s="183">
        <f t="shared" ref="O140:Q140" si="186">G140+W140</f>
        <v>0</v>
      </c>
      <c r="P140" s="183">
        <f t="shared" si="186"/>
        <v>0</v>
      </c>
      <c r="Q140" s="183">
        <f t="shared" si="186"/>
        <v>0</v>
      </c>
      <c r="R140" s="210">
        <f t="shared" si="9"/>
        <v>0</v>
      </c>
      <c r="S140" s="183">
        <f t="shared" si="10"/>
        <v>0</v>
      </c>
      <c r="T140" s="183">
        <f t="shared" si="11"/>
        <v>0</v>
      </c>
      <c r="U140" s="186"/>
      <c r="V140" s="183">
        <f>IFERROR(__xludf.DUMMYFUNCTION("""COMPUTED_VALUE"""),0.0)</f>
        <v>0</v>
      </c>
      <c r="W140" s="183">
        <f>IFERROR(__xludf.DUMMYFUNCTION("""COMPUTED_VALUE"""),0.0)</f>
        <v>0</v>
      </c>
      <c r="X140" s="183">
        <f>IFERROR(__xludf.DUMMYFUNCTION("""COMPUTED_VALUE"""),0.0)</f>
        <v>0</v>
      </c>
      <c r="Y140" s="183">
        <f>IFERROR(__xludf.DUMMYFUNCTION("""COMPUTED_VALUE"""),0.0)</f>
        <v>0</v>
      </c>
      <c r="Z140" s="210">
        <f t="shared" si="12"/>
        <v>0</v>
      </c>
      <c r="AA140" s="183">
        <f t="shared" si="13"/>
        <v>0</v>
      </c>
      <c r="AB140" s="183">
        <f t="shared" si="14"/>
        <v>0</v>
      </c>
    </row>
    <row r="141" ht="14.25" customHeight="1">
      <c r="A141" s="175"/>
      <c r="B141" s="208" t="s">
        <v>878</v>
      </c>
      <c r="C141" s="181"/>
      <c r="D141" s="217" t="s">
        <v>134</v>
      </c>
      <c r="E141" s="183">
        <f>SUMIFS('DB WBS'!$J:$J,'DB WBS'!$A:$A,$D$4,'DB WBS'!$D:$D,AA$1,'DB WBS'!$B:$B,$E$3,'DB WBS'!$E:$E,$B141)</f>
        <v>0</v>
      </c>
      <c r="F141" s="183">
        <f>SUMIFS('DB WBS'!$J:$J,'DB WBS'!$A:$A,$D$4,'DB WBS'!$D:$D,AA$2,'DB WBS'!$B:$B,$E$3,'DB WBS'!$E:$E,$B141)</f>
        <v>0</v>
      </c>
      <c r="G141" s="184">
        <f>IFERROR(HLOOKUP($E$3,'Tahun Lalu'!$B$5:$V$158,MATCH(B141,'Tahun Lalu'!$B$5:$B$158,0),0),0)</f>
        <v>0</v>
      </c>
      <c r="H141" s="184">
        <v>0.0</v>
      </c>
      <c r="I141" s="184">
        <v>0.0</v>
      </c>
      <c r="J141" s="183">
        <f t="shared" si="3"/>
        <v>0</v>
      </c>
      <c r="K141" s="183">
        <f t="shared" si="4"/>
        <v>0</v>
      </c>
      <c r="L141" s="183">
        <f t="shared" si="5"/>
        <v>0</v>
      </c>
      <c r="M141" s="183">
        <f t="shared" si="6"/>
        <v>0</v>
      </c>
      <c r="N141" s="183">
        <f t="shared" si="187"/>
        <v>0</v>
      </c>
      <c r="O141" s="183">
        <f t="shared" ref="O141:Q141" si="188">G141+W141</f>
        <v>0</v>
      </c>
      <c r="P141" s="183">
        <f t="shared" si="188"/>
        <v>0</v>
      </c>
      <c r="Q141" s="183">
        <f t="shared" si="188"/>
        <v>0</v>
      </c>
      <c r="R141" s="183">
        <f t="shared" si="9"/>
        <v>0</v>
      </c>
      <c r="S141" s="183">
        <f t="shared" si="10"/>
        <v>0</v>
      </c>
      <c r="T141" s="183">
        <f t="shared" si="11"/>
        <v>0</v>
      </c>
      <c r="U141" s="186"/>
      <c r="V141" s="183">
        <f>IFERROR(__xludf.DUMMYFUNCTION("""COMPUTED_VALUE"""),0.0)</f>
        <v>0</v>
      </c>
      <c r="W141" s="183">
        <f>IFERROR(__xludf.DUMMYFUNCTION("""COMPUTED_VALUE"""),0.0)</f>
        <v>0</v>
      </c>
      <c r="X141" s="183">
        <f>IFERROR(__xludf.DUMMYFUNCTION("""COMPUTED_VALUE"""),0.0)</f>
        <v>0</v>
      </c>
      <c r="Y141" s="183">
        <f>IFERROR(__xludf.DUMMYFUNCTION("""COMPUTED_VALUE"""),0.0)</f>
        <v>0</v>
      </c>
      <c r="Z141" s="183">
        <f t="shared" si="12"/>
        <v>0</v>
      </c>
      <c r="AA141" s="183">
        <f t="shared" si="13"/>
        <v>0</v>
      </c>
      <c r="AB141" s="183">
        <f t="shared" si="14"/>
        <v>0</v>
      </c>
    </row>
    <row r="142" ht="14.25" customHeight="1">
      <c r="A142" s="175"/>
      <c r="B142" s="208" t="s">
        <v>45</v>
      </c>
      <c r="C142" s="181"/>
      <c r="D142" s="217" t="s">
        <v>46</v>
      </c>
      <c r="E142" s="183">
        <f>SUMIFS('DB WBS'!$J:$J,'DB WBS'!$A:$A,$D$4,'DB WBS'!$D:$D,AA$1,'DB WBS'!$B:$B,$E$3,'DB WBS'!$E:$E,$B142)</f>
        <v>0</v>
      </c>
      <c r="F142" s="183">
        <f>SUMIFS('DB WBS'!$J:$J,'DB WBS'!$A:$A,$D$4,'DB WBS'!$D:$D,AA$2,'DB WBS'!$B:$B,$E$3,'DB WBS'!$E:$E,$B142)</f>
        <v>0</v>
      </c>
      <c r="G142" s="184">
        <f>IFERROR(HLOOKUP($E$3,'Tahun Lalu'!$B$5:$V$158,MATCH(B142,'Tahun Lalu'!$B$5:$B$158,0),0),0)</f>
        <v>0</v>
      </c>
      <c r="H142" s="184">
        <v>0.0</v>
      </c>
      <c r="I142" s="184">
        <v>0.0</v>
      </c>
      <c r="J142" s="183">
        <f t="shared" si="3"/>
        <v>0</v>
      </c>
      <c r="K142" s="183">
        <f t="shared" si="4"/>
        <v>0</v>
      </c>
      <c r="L142" s="183">
        <f t="shared" si="5"/>
        <v>0</v>
      </c>
      <c r="M142" s="183">
        <f t="shared" si="6"/>
        <v>0</v>
      </c>
      <c r="N142" s="183">
        <f t="shared" si="187"/>
        <v>0</v>
      </c>
      <c r="O142" s="183">
        <f t="shared" ref="O142:Q142" si="189">G142+W142</f>
        <v>0</v>
      </c>
      <c r="P142" s="183">
        <f t="shared" si="189"/>
        <v>0</v>
      </c>
      <c r="Q142" s="183">
        <f t="shared" si="189"/>
        <v>0</v>
      </c>
      <c r="R142" s="183">
        <f t="shared" si="9"/>
        <v>0</v>
      </c>
      <c r="S142" s="183">
        <f t="shared" si="10"/>
        <v>0</v>
      </c>
      <c r="T142" s="183">
        <f t="shared" si="11"/>
        <v>0</v>
      </c>
      <c r="U142" s="186"/>
      <c r="V142" s="183">
        <f>IFERROR(__xludf.DUMMYFUNCTION("""COMPUTED_VALUE"""),0.0)</f>
        <v>0</v>
      </c>
      <c r="W142" s="183">
        <f>IFERROR(__xludf.DUMMYFUNCTION("""COMPUTED_VALUE"""),0.0)</f>
        <v>0</v>
      </c>
      <c r="X142" s="183">
        <f>IFERROR(__xludf.DUMMYFUNCTION("""COMPUTED_VALUE"""),0.0)</f>
        <v>0</v>
      </c>
      <c r="Y142" s="183">
        <f>IFERROR(__xludf.DUMMYFUNCTION("""COMPUTED_VALUE"""),0.0)</f>
        <v>0</v>
      </c>
      <c r="Z142" s="183">
        <f t="shared" si="12"/>
        <v>0</v>
      </c>
      <c r="AA142" s="183">
        <f t="shared" si="13"/>
        <v>0</v>
      </c>
      <c r="AB142" s="183">
        <f t="shared" si="14"/>
        <v>0</v>
      </c>
    </row>
    <row r="143" ht="14.25" customHeight="1">
      <c r="A143" s="175"/>
      <c r="B143" s="218" t="s">
        <v>879</v>
      </c>
      <c r="C143" s="181"/>
      <c r="D143" s="217" t="s">
        <v>880</v>
      </c>
      <c r="E143" s="183">
        <f>SUMIFS('DB WBS'!$J:$J,'DB WBS'!$A:$A,$D$4,'DB WBS'!$D:$D,AA$1,'DB WBS'!$B:$B,$E$3,'DB WBS'!$E:$E,$B143)</f>
        <v>0</v>
      </c>
      <c r="F143" s="183">
        <f>SUMIFS('DB WBS'!$J:$J,'DB WBS'!$A:$A,$D$4,'DB WBS'!$D:$D,AA$2,'DB WBS'!$B:$B,$E$3,'DB WBS'!$E:$E,$B143)</f>
        <v>0</v>
      </c>
      <c r="G143" s="184">
        <f>IFERROR(HLOOKUP($E$3,'Tahun Lalu'!$B$5:$V$158,MATCH(B143,'Tahun Lalu'!$B$5:$B$158,0),0),0)</f>
        <v>0</v>
      </c>
      <c r="H143" s="184">
        <v>0.0</v>
      </c>
      <c r="I143" s="184">
        <v>0.0</v>
      </c>
      <c r="J143" s="183">
        <f t="shared" si="3"/>
        <v>0</v>
      </c>
      <c r="K143" s="183">
        <f t="shared" si="4"/>
        <v>0</v>
      </c>
      <c r="L143" s="183">
        <f t="shared" si="5"/>
        <v>0</v>
      </c>
      <c r="M143" s="183">
        <f t="shared" si="6"/>
        <v>0</v>
      </c>
      <c r="N143" s="183">
        <f t="shared" si="187"/>
        <v>0</v>
      </c>
      <c r="O143" s="183">
        <f t="shared" ref="O143:Q143" si="190">G143+W143</f>
        <v>0</v>
      </c>
      <c r="P143" s="183">
        <f t="shared" si="190"/>
        <v>0</v>
      </c>
      <c r="Q143" s="183">
        <f t="shared" si="190"/>
        <v>0</v>
      </c>
      <c r="R143" s="183">
        <f t="shared" si="9"/>
        <v>0</v>
      </c>
      <c r="S143" s="183">
        <f t="shared" si="10"/>
        <v>0</v>
      </c>
      <c r="T143" s="183">
        <f t="shared" si="11"/>
        <v>0</v>
      </c>
      <c r="U143" s="186"/>
      <c r="V143" s="183">
        <f>IFERROR(__xludf.DUMMYFUNCTION("""COMPUTED_VALUE"""),0.0)</f>
        <v>0</v>
      </c>
      <c r="W143" s="183">
        <f>IFERROR(__xludf.DUMMYFUNCTION("""COMPUTED_VALUE"""),0.0)</f>
        <v>0</v>
      </c>
      <c r="X143" s="183">
        <f>IFERROR(__xludf.DUMMYFUNCTION("""COMPUTED_VALUE"""),0.0)</f>
        <v>0</v>
      </c>
      <c r="Y143" s="183">
        <f>IFERROR(__xludf.DUMMYFUNCTION("""COMPUTED_VALUE"""),0.0)</f>
        <v>0</v>
      </c>
      <c r="Z143" s="183">
        <f t="shared" si="12"/>
        <v>0</v>
      </c>
      <c r="AA143" s="183">
        <f t="shared" si="13"/>
        <v>0</v>
      </c>
      <c r="AB143" s="183">
        <f t="shared" si="14"/>
        <v>0</v>
      </c>
    </row>
    <row r="144" ht="14.25" customHeight="1">
      <c r="A144" s="175"/>
      <c r="B144" s="219" t="s">
        <v>70</v>
      </c>
      <c r="C144" s="181"/>
      <c r="D144" s="217" t="s">
        <v>71</v>
      </c>
      <c r="E144" s="183">
        <f>SUMIFS('DB WBS'!$J:$J,'DB WBS'!$A:$A,$D$4,'DB WBS'!$D:$D,AA$1,'DB WBS'!$B:$B,$E$3,'DB WBS'!$E:$E,$B144)</f>
        <v>0</v>
      </c>
      <c r="F144" s="183">
        <f>SUMIFS('DB WBS'!$J:$J,'DB WBS'!$A:$A,$D$4,'DB WBS'!$D:$D,AA$2,'DB WBS'!$B:$B,$E$3,'DB WBS'!$E:$E,$B144)</f>
        <v>0</v>
      </c>
      <c r="G144" s="184">
        <f>IFERROR(HLOOKUP($E$3,'Tahun Lalu'!$B$5:$V$158,MATCH(B144,'Tahun Lalu'!$B$5:$B$158,0),0),0)</f>
        <v>0</v>
      </c>
      <c r="H144" s="184">
        <v>0.0</v>
      </c>
      <c r="I144" s="184">
        <v>0.0</v>
      </c>
      <c r="J144" s="183">
        <f t="shared" si="3"/>
        <v>0</v>
      </c>
      <c r="K144" s="183">
        <f t="shared" si="4"/>
        <v>0</v>
      </c>
      <c r="L144" s="183">
        <f t="shared" si="5"/>
        <v>0</v>
      </c>
      <c r="M144" s="183">
        <f t="shared" si="6"/>
        <v>0</v>
      </c>
      <c r="N144" s="183">
        <f t="shared" si="187"/>
        <v>0</v>
      </c>
      <c r="O144" s="183">
        <f t="shared" ref="O144:Q144" si="191">G144+W144</f>
        <v>0</v>
      </c>
      <c r="P144" s="183">
        <f t="shared" si="191"/>
        <v>0</v>
      </c>
      <c r="Q144" s="183">
        <f t="shared" si="191"/>
        <v>0</v>
      </c>
      <c r="R144" s="183">
        <f t="shared" si="9"/>
        <v>0</v>
      </c>
      <c r="S144" s="183">
        <f t="shared" si="10"/>
        <v>0</v>
      </c>
      <c r="T144" s="183">
        <f t="shared" si="11"/>
        <v>0</v>
      </c>
      <c r="U144" s="186"/>
      <c r="V144" s="183">
        <f>IFERROR(__xludf.DUMMYFUNCTION("""COMPUTED_VALUE"""),0.0)</f>
        <v>0</v>
      </c>
      <c r="W144" s="183">
        <f>IFERROR(__xludf.DUMMYFUNCTION("""COMPUTED_VALUE"""),0.0)</f>
        <v>0</v>
      </c>
      <c r="X144" s="183">
        <f>IFERROR(__xludf.DUMMYFUNCTION("""COMPUTED_VALUE"""),0.0)</f>
        <v>0</v>
      </c>
      <c r="Y144" s="183">
        <f>IFERROR(__xludf.DUMMYFUNCTION("""COMPUTED_VALUE"""),0.0)</f>
        <v>0</v>
      </c>
      <c r="Z144" s="183">
        <f t="shared" si="12"/>
        <v>0</v>
      </c>
      <c r="AA144" s="183">
        <f t="shared" si="13"/>
        <v>0</v>
      </c>
      <c r="AB144" s="183">
        <f t="shared" si="14"/>
        <v>0</v>
      </c>
    </row>
    <row r="145" ht="14.25" customHeight="1">
      <c r="A145" s="175"/>
      <c r="B145" s="219" t="s">
        <v>47</v>
      </c>
      <c r="C145" s="181"/>
      <c r="D145" s="217" t="s">
        <v>48</v>
      </c>
      <c r="E145" s="183">
        <f>SUMIFS('DB WBS'!$J:$J,'DB WBS'!$A:$A,$D$4,'DB WBS'!$D:$D,AA$1,'DB WBS'!$B:$B,$E$3,'DB WBS'!$E:$E,$B145)</f>
        <v>0</v>
      </c>
      <c r="F145" s="183">
        <f>SUMIFS('DB WBS'!$J:$J,'DB WBS'!$A:$A,$D$4,'DB WBS'!$D:$D,AA$2,'DB WBS'!$B:$B,$E$3,'DB WBS'!$E:$E,$B145)</f>
        <v>0</v>
      </c>
      <c r="G145" s="184">
        <f>IFERROR(HLOOKUP($E$3,'Tahun Lalu'!$B$5:$V$158,MATCH(B145,'Tahun Lalu'!$B$5:$B$158,0),0),0)</f>
        <v>0</v>
      </c>
      <c r="H145" s="184">
        <v>0.0</v>
      </c>
      <c r="I145" s="184">
        <v>0.0</v>
      </c>
      <c r="J145" s="183">
        <f t="shared" si="3"/>
        <v>0</v>
      </c>
      <c r="K145" s="183">
        <f t="shared" si="4"/>
        <v>0</v>
      </c>
      <c r="L145" s="183">
        <f t="shared" si="5"/>
        <v>0</v>
      </c>
      <c r="M145" s="183">
        <f t="shared" si="6"/>
        <v>0</v>
      </c>
      <c r="N145" s="183">
        <f t="shared" si="187"/>
        <v>0</v>
      </c>
      <c r="O145" s="183">
        <f t="shared" ref="O145:Q145" si="192">G145+W145</f>
        <v>0</v>
      </c>
      <c r="P145" s="183">
        <f t="shared" si="192"/>
        <v>0</v>
      </c>
      <c r="Q145" s="183">
        <f t="shared" si="192"/>
        <v>0</v>
      </c>
      <c r="R145" s="183">
        <f t="shared" si="9"/>
        <v>0</v>
      </c>
      <c r="S145" s="183">
        <f t="shared" si="10"/>
        <v>0</v>
      </c>
      <c r="T145" s="183">
        <f t="shared" si="11"/>
        <v>0</v>
      </c>
      <c r="U145" s="186"/>
      <c r="V145" s="183">
        <f>IFERROR(__xludf.DUMMYFUNCTION("""COMPUTED_VALUE"""),0.0)</f>
        <v>0</v>
      </c>
      <c r="W145" s="183">
        <f>IFERROR(__xludf.DUMMYFUNCTION("""COMPUTED_VALUE"""),0.0)</f>
        <v>0</v>
      </c>
      <c r="X145" s="183">
        <f>IFERROR(__xludf.DUMMYFUNCTION("""COMPUTED_VALUE"""),0.0)</f>
        <v>0</v>
      </c>
      <c r="Y145" s="183">
        <f>IFERROR(__xludf.DUMMYFUNCTION("""COMPUTED_VALUE"""),0.0)</f>
        <v>0</v>
      </c>
      <c r="Z145" s="183">
        <f t="shared" si="12"/>
        <v>0</v>
      </c>
      <c r="AA145" s="183">
        <f t="shared" si="13"/>
        <v>0</v>
      </c>
      <c r="AB145" s="183">
        <f t="shared" si="14"/>
        <v>0</v>
      </c>
    </row>
    <row r="146" ht="14.25" customHeight="1">
      <c r="A146" s="175"/>
      <c r="B146" s="219"/>
      <c r="C146" s="181"/>
      <c r="D146" s="220"/>
      <c r="E146" s="183">
        <f>SUMIFS('DB WBS'!$J:$J,'DB WBS'!$A:$A,$D$4,'DB WBS'!$D:$D,AA$1,'DB WBS'!$B:$B,$E$3,'DB WBS'!$E:$E,$B146)</f>
        <v>0</v>
      </c>
      <c r="F146" s="183">
        <f>SUMIFS('DB WBS'!$J:$J,'DB WBS'!$A:$A,$D$4,'DB WBS'!$D:$D,AA$2,'DB WBS'!$B:$B,$E$3,'DB WBS'!$E:$E,$B146)</f>
        <v>0</v>
      </c>
      <c r="G146" s="184">
        <f>IFERROR(HLOOKUP($E$3,'Tahun Lalu'!$B$5:$V$158,MATCH(B146,'Tahun Lalu'!$B$5:$B$158,0),0),0)</f>
        <v>0</v>
      </c>
      <c r="H146" s="184">
        <v>0.0</v>
      </c>
      <c r="I146" s="184">
        <v>0.0</v>
      </c>
      <c r="J146" s="183">
        <f t="shared" si="3"/>
        <v>0</v>
      </c>
      <c r="K146" s="183">
        <f t="shared" si="4"/>
        <v>0</v>
      </c>
      <c r="L146" s="183">
        <f t="shared" si="5"/>
        <v>0</v>
      </c>
      <c r="M146" s="183">
        <f t="shared" si="6"/>
        <v>0</v>
      </c>
      <c r="N146" s="183">
        <f t="shared" si="187"/>
        <v>0</v>
      </c>
      <c r="O146" s="183">
        <f t="shared" ref="O146:Q146" si="193">G146+W146</f>
        <v>0</v>
      </c>
      <c r="P146" s="183">
        <f t="shared" si="193"/>
        <v>0</v>
      </c>
      <c r="Q146" s="183">
        <f t="shared" si="193"/>
        <v>0</v>
      </c>
      <c r="R146" s="183">
        <f t="shared" si="9"/>
        <v>0</v>
      </c>
      <c r="S146" s="183">
        <f t="shared" si="10"/>
        <v>0</v>
      </c>
      <c r="T146" s="183">
        <f t="shared" si="11"/>
        <v>0</v>
      </c>
      <c r="U146" s="186"/>
      <c r="V146" s="183">
        <f>IFERROR(__xludf.DUMMYFUNCTION("""COMPUTED_VALUE"""),0.0)</f>
        <v>0</v>
      </c>
      <c r="W146" s="183">
        <f>IFERROR(__xludf.DUMMYFUNCTION("""COMPUTED_VALUE"""),0.0)</f>
        <v>0</v>
      </c>
      <c r="X146" s="183">
        <f>IFERROR(__xludf.DUMMYFUNCTION("""COMPUTED_VALUE"""),0.0)</f>
        <v>0</v>
      </c>
      <c r="Y146" s="183">
        <f>IFERROR(__xludf.DUMMYFUNCTION("""COMPUTED_VALUE"""),0.0)</f>
        <v>0</v>
      </c>
      <c r="Z146" s="183">
        <f t="shared" si="12"/>
        <v>0</v>
      </c>
      <c r="AA146" s="183">
        <f t="shared" si="13"/>
        <v>0</v>
      </c>
      <c r="AB146" s="183">
        <f t="shared" si="14"/>
        <v>0</v>
      </c>
    </row>
    <row r="147" ht="14.25" customHeight="1">
      <c r="A147" s="175"/>
      <c r="B147" s="212" t="s">
        <v>881</v>
      </c>
      <c r="C147" s="199"/>
      <c r="D147" s="200"/>
      <c r="E147" s="201">
        <f t="shared" ref="E147:I147" si="194">SUM(E140:E146)</f>
        <v>0</v>
      </c>
      <c r="F147" s="201">
        <f t="shared" si="194"/>
        <v>0</v>
      </c>
      <c r="G147" s="201">
        <f t="shared" si="194"/>
        <v>0</v>
      </c>
      <c r="H147" s="201">
        <f t="shared" si="194"/>
        <v>0</v>
      </c>
      <c r="I147" s="201">
        <f t="shared" si="194"/>
        <v>0</v>
      </c>
      <c r="J147" s="201">
        <f t="shared" si="3"/>
        <v>0</v>
      </c>
      <c r="K147" s="201">
        <f t="shared" si="4"/>
        <v>0</v>
      </c>
      <c r="L147" s="201">
        <f t="shared" si="5"/>
        <v>0</v>
      </c>
      <c r="M147" s="201">
        <f t="shared" si="6"/>
        <v>0</v>
      </c>
      <c r="N147" s="201">
        <f t="shared" ref="N147:Q147" si="195">SUM(N140:N146)</f>
        <v>0</v>
      </c>
      <c r="O147" s="201">
        <f t="shared" si="195"/>
        <v>0</v>
      </c>
      <c r="P147" s="201">
        <f t="shared" si="195"/>
        <v>0</v>
      </c>
      <c r="Q147" s="201">
        <f t="shared" si="195"/>
        <v>0</v>
      </c>
      <c r="R147" s="201">
        <f t="shared" si="9"/>
        <v>0</v>
      </c>
      <c r="S147" s="201">
        <f t="shared" si="10"/>
        <v>0</v>
      </c>
      <c r="T147" s="201">
        <f t="shared" si="11"/>
        <v>0</v>
      </c>
      <c r="U147" s="202"/>
      <c r="V147" s="201">
        <f>IFERROR(__xludf.DUMMYFUNCTION("""COMPUTED_VALUE"""),0.0)</f>
        <v>0</v>
      </c>
      <c r="W147" s="201">
        <f>IFERROR(__xludf.DUMMYFUNCTION("""COMPUTED_VALUE"""),0.0)</f>
        <v>0</v>
      </c>
      <c r="X147" s="201">
        <f>IFERROR(__xludf.DUMMYFUNCTION("""COMPUTED_VALUE"""),0.0)</f>
        <v>0</v>
      </c>
      <c r="Y147" s="201">
        <f>IFERROR(__xludf.DUMMYFUNCTION("""COMPUTED_VALUE"""),0.0)</f>
        <v>0</v>
      </c>
      <c r="Z147" s="201">
        <f t="shared" si="12"/>
        <v>0</v>
      </c>
      <c r="AA147" s="201">
        <f t="shared" si="13"/>
        <v>0</v>
      </c>
      <c r="AB147" s="201">
        <f t="shared" si="14"/>
        <v>0</v>
      </c>
    </row>
    <row r="148" ht="14.25" customHeight="1">
      <c r="A148" s="175"/>
      <c r="B148" s="204" t="s">
        <v>882</v>
      </c>
      <c r="C148" s="205"/>
      <c r="D148" s="206"/>
      <c r="E148" s="207">
        <f t="shared" ref="E148:I148" si="196">E147+E139</f>
        <v>0</v>
      </c>
      <c r="F148" s="207">
        <f t="shared" si="196"/>
        <v>0</v>
      </c>
      <c r="G148" s="207">
        <f t="shared" si="196"/>
        <v>0</v>
      </c>
      <c r="H148" s="207">
        <f t="shared" si="196"/>
        <v>0</v>
      </c>
      <c r="I148" s="207">
        <f t="shared" si="196"/>
        <v>0</v>
      </c>
      <c r="J148" s="207">
        <f t="shared" si="3"/>
        <v>0</v>
      </c>
      <c r="K148" s="207">
        <f t="shared" si="4"/>
        <v>0</v>
      </c>
      <c r="L148" s="207">
        <f t="shared" si="5"/>
        <v>0</v>
      </c>
      <c r="M148" s="207">
        <f t="shared" si="6"/>
        <v>0</v>
      </c>
      <c r="N148" s="207">
        <f t="shared" ref="N148:Q148" si="197">N147+N139</f>
        <v>0</v>
      </c>
      <c r="O148" s="207">
        <f t="shared" si="197"/>
        <v>0</v>
      </c>
      <c r="P148" s="207">
        <f t="shared" si="197"/>
        <v>0</v>
      </c>
      <c r="Q148" s="207">
        <f t="shared" si="197"/>
        <v>0</v>
      </c>
      <c r="R148" s="207">
        <f t="shared" si="9"/>
        <v>0</v>
      </c>
      <c r="S148" s="207">
        <f t="shared" si="10"/>
        <v>0</v>
      </c>
      <c r="T148" s="207">
        <f t="shared" si="11"/>
        <v>0</v>
      </c>
      <c r="U148" s="202"/>
      <c r="V148" s="207">
        <f>IFERROR(__xludf.DUMMYFUNCTION("""COMPUTED_VALUE"""),0.0)</f>
        <v>0</v>
      </c>
      <c r="W148" s="207">
        <f>IFERROR(__xludf.DUMMYFUNCTION("""COMPUTED_VALUE"""),0.0)</f>
        <v>0</v>
      </c>
      <c r="X148" s="207">
        <f>IFERROR(__xludf.DUMMYFUNCTION("""COMPUTED_VALUE"""),0.0)</f>
        <v>0</v>
      </c>
      <c r="Y148" s="207">
        <f>IFERROR(__xludf.DUMMYFUNCTION("""COMPUTED_VALUE"""),0.0)</f>
        <v>0</v>
      </c>
      <c r="Z148" s="207">
        <f t="shared" si="12"/>
        <v>0</v>
      </c>
      <c r="AA148" s="207">
        <f t="shared" si="13"/>
        <v>0</v>
      </c>
      <c r="AB148" s="207">
        <f t="shared" si="14"/>
        <v>0</v>
      </c>
    </row>
    <row r="149" ht="14.25" customHeight="1">
      <c r="A149" s="175"/>
      <c r="B149" s="221" t="s">
        <v>883</v>
      </c>
      <c r="C149" s="222"/>
      <c r="D149" s="223"/>
      <c r="E149" s="224">
        <f t="shared" ref="E149:I149" si="198">E148+E132+E119+E77+E10+E12</f>
        <v>0</v>
      </c>
      <c r="F149" s="224">
        <f t="shared" si="198"/>
        <v>0</v>
      </c>
      <c r="G149" s="224">
        <f t="shared" si="198"/>
        <v>0</v>
      </c>
      <c r="H149" s="224">
        <f t="shared" si="198"/>
        <v>0</v>
      </c>
      <c r="I149" s="224">
        <f t="shared" si="198"/>
        <v>0</v>
      </c>
      <c r="J149" s="224">
        <f t="shared" si="3"/>
        <v>0</v>
      </c>
      <c r="K149" s="224">
        <f t="shared" si="4"/>
        <v>0</v>
      </c>
      <c r="L149" s="224">
        <f t="shared" si="5"/>
        <v>0</v>
      </c>
      <c r="M149" s="224">
        <f t="shared" si="6"/>
        <v>0</v>
      </c>
      <c r="N149" s="224">
        <f t="shared" ref="N149:Q149" si="199">N148+N132+N119+N77+N10+N12</f>
        <v>0</v>
      </c>
      <c r="O149" s="224">
        <f t="shared" si="199"/>
        <v>0</v>
      </c>
      <c r="P149" s="224">
        <f t="shared" si="199"/>
        <v>0</v>
      </c>
      <c r="Q149" s="224">
        <f t="shared" si="199"/>
        <v>0</v>
      </c>
      <c r="R149" s="224">
        <f t="shared" si="9"/>
        <v>0</v>
      </c>
      <c r="S149" s="224">
        <f t="shared" si="10"/>
        <v>0</v>
      </c>
      <c r="T149" s="224">
        <f t="shared" si="11"/>
        <v>0</v>
      </c>
      <c r="U149" s="225"/>
      <c r="V149" s="224">
        <f>IFERROR(__xludf.DUMMYFUNCTION("""COMPUTED_VALUE"""),0.0)</f>
        <v>0</v>
      </c>
      <c r="W149" s="224">
        <f>IFERROR(__xludf.DUMMYFUNCTION("""COMPUTED_VALUE"""),0.0)</f>
        <v>0</v>
      </c>
      <c r="X149" s="224">
        <f>IFERROR(__xludf.DUMMYFUNCTION("""COMPUTED_VALUE"""),0.0)</f>
        <v>0</v>
      </c>
      <c r="Y149" s="224">
        <f>IFERROR(__xludf.DUMMYFUNCTION("""COMPUTED_VALUE"""),0.0)</f>
        <v>0</v>
      </c>
      <c r="Z149" s="224">
        <f t="shared" si="12"/>
        <v>0</v>
      </c>
      <c r="AA149" s="224">
        <f t="shared" si="13"/>
        <v>0</v>
      </c>
      <c r="AB149" s="224">
        <f t="shared" si="14"/>
        <v>0</v>
      </c>
    </row>
    <row r="150" ht="14.25" customHeight="1">
      <c r="A150" s="175"/>
      <c r="B150" s="226"/>
      <c r="C150" s="177"/>
      <c r="D150" s="178" t="s">
        <v>884</v>
      </c>
      <c r="E150" s="227"/>
      <c r="F150" s="227"/>
      <c r="G150" s="227"/>
      <c r="H150" s="228"/>
      <c r="I150" s="228"/>
      <c r="J150" s="227">
        <f t="shared" si="3"/>
        <v>0</v>
      </c>
      <c r="K150" s="227">
        <f t="shared" si="4"/>
        <v>0</v>
      </c>
      <c r="L150" s="228">
        <f t="shared" si="5"/>
        <v>0</v>
      </c>
      <c r="M150" s="228">
        <f t="shared" si="6"/>
        <v>0</v>
      </c>
      <c r="N150" s="227"/>
      <c r="O150" s="227"/>
      <c r="P150" s="228"/>
      <c r="Q150" s="228"/>
      <c r="R150" s="227">
        <f t="shared" si="9"/>
        <v>0</v>
      </c>
      <c r="S150" s="227">
        <f t="shared" si="10"/>
        <v>0</v>
      </c>
      <c r="T150" s="228">
        <f t="shared" si="11"/>
        <v>0</v>
      </c>
      <c r="U150" s="229"/>
      <c r="V150" s="227"/>
      <c r="W150" s="227"/>
      <c r="X150" s="228"/>
      <c r="Y150" s="228"/>
      <c r="Z150" s="227">
        <f t="shared" si="12"/>
        <v>0</v>
      </c>
      <c r="AA150" s="227">
        <f t="shared" si="13"/>
        <v>0</v>
      </c>
      <c r="AB150" s="228">
        <f t="shared" si="14"/>
        <v>0</v>
      </c>
    </row>
    <row r="151" ht="14.25" customHeight="1">
      <c r="A151" s="175"/>
      <c r="B151" s="230" t="s">
        <v>526</v>
      </c>
      <c r="D151" s="209" t="s">
        <v>885</v>
      </c>
      <c r="E151" s="183">
        <f>SUMIFS('DB BTL'!$J:$J,'DB BTL'!$G:$G,$B151,'DB BTL'!$A:$A,$D$4,'DB BTL'!$B:$B,$E$3,'DB BTL'!$D:$D,AA$1)</f>
        <v>0</v>
      </c>
      <c r="F151" s="183">
        <f>SUMIFS('DB BTL'!$J:$J,'DB BTL'!$G:$G,$B151,'DB BTL'!$A:$A,$D$4,'DB BTL'!$B:$B,$E$3,'DB BTL'!$D:$D,AA$2)</f>
        <v>0</v>
      </c>
      <c r="G151" s="184">
        <f>IFERROR(HLOOKUP($E$3,'Tahun Lalu'!$B$5:$V$158,MATCH(B151,'Tahun Lalu'!$B$5:$B$158,0),0),0)</f>
        <v>0</v>
      </c>
      <c r="H151" s="184">
        <v>0.0</v>
      </c>
      <c r="I151" s="184">
        <v>0.0</v>
      </c>
      <c r="J151" s="183">
        <f t="shared" si="3"/>
        <v>0</v>
      </c>
      <c r="K151" s="183">
        <f t="shared" si="4"/>
        <v>0</v>
      </c>
      <c r="L151" s="183">
        <f t="shared" si="5"/>
        <v>0</v>
      </c>
      <c r="M151" s="183">
        <f t="shared" si="6"/>
        <v>0</v>
      </c>
      <c r="N151" s="183">
        <f t="shared" ref="N151:N164" si="201">E151+V151</f>
        <v>0</v>
      </c>
      <c r="O151" s="183">
        <f t="shared" ref="O151:Q151" si="200">G151+W151</f>
        <v>0</v>
      </c>
      <c r="P151" s="183">
        <f t="shared" si="200"/>
        <v>0</v>
      </c>
      <c r="Q151" s="183">
        <f t="shared" si="200"/>
        <v>0</v>
      </c>
      <c r="R151" s="183">
        <f t="shared" si="9"/>
        <v>0</v>
      </c>
      <c r="S151" s="183">
        <f t="shared" si="10"/>
        <v>0</v>
      </c>
      <c r="T151" s="183">
        <f t="shared" si="11"/>
        <v>0</v>
      </c>
      <c r="U151" s="186"/>
      <c r="V151" s="183">
        <f>IFERROR(__xludf.DUMMYFUNCTION("""COMPUTED_VALUE"""),0.0)</f>
        <v>0</v>
      </c>
      <c r="W151" s="183">
        <f>IFERROR(__xludf.DUMMYFUNCTION("""COMPUTED_VALUE"""),0.0)</f>
        <v>0</v>
      </c>
      <c r="X151" s="183">
        <f>IFERROR(__xludf.DUMMYFUNCTION("""COMPUTED_VALUE"""),0.0)</f>
        <v>0</v>
      </c>
      <c r="Y151" s="183">
        <f>IFERROR(__xludf.DUMMYFUNCTION("""COMPUTED_VALUE"""),0.0)</f>
        <v>0</v>
      </c>
      <c r="Z151" s="183">
        <f t="shared" si="12"/>
        <v>0</v>
      </c>
      <c r="AA151" s="183">
        <f t="shared" si="13"/>
        <v>0</v>
      </c>
      <c r="AB151" s="183">
        <f t="shared" si="14"/>
        <v>0</v>
      </c>
    </row>
    <row r="152" ht="14.25" customHeight="1">
      <c r="A152" s="231"/>
      <c r="B152" s="232" t="s">
        <v>503</v>
      </c>
      <c r="D152" s="209" t="s">
        <v>886</v>
      </c>
      <c r="E152" s="183">
        <f>SUMIFS('DB BTL'!$J:$J,'DB BTL'!$G:$G,$B152,'DB BTL'!$A:$A,$D$4,'DB BTL'!$B:$B,$E$3,'DB BTL'!$D:$D,AA$1)</f>
        <v>0</v>
      </c>
      <c r="F152" s="183">
        <f>SUMIFS('DB BTL'!$J:$J,'DB BTL'!$G:$G,$B152,'DB BTL'!$A:$A,$D$4,'DB BTL'!$B:$B,$E$3,'DB BTL'!$D:$D,AA$2)</f>
        <v>0</v>
      </c>
      <c r="G152" s="184">
        <f>IFERROR(HLOOKUP($E$3,'Tahun Lalu'!$B$5:$V$158,MATCH(B152,'Tahun Lalu'!$B$5:$B$158,0),0),0)</f>
        <v>0</v>
      </c>
      <c r="H152" s="184">
        <v>0.0</v>
      </c>
      <c r="I152" s="184">
        <v>0.0</v>
      </c>
      <c r="J152" s="183">
        <f t="shared" si="3"/>
        <v>0</v>
      </c>
      <c r="K152" s="183">
        <f t="shared" si="4"/>
        <v>0</v>
      </c>
      <c r="L152" s="183">
        <f t="shared" si="5"/>
        <v>0</v>
      </c>
      <c r="M152" s="183">
        <f t="shared" si="6"/>
        <v>0</v>
      </c>
      <c r="N152" s="183">
        <f t="shared" si="201"/>
        <v>0</v>
      </c>
      <c r="O152" s="183">
        <f t="shared" ref="O152:Q152" si="202">G152+W152</f>
        <v>0</v>
      </c>
      <c r="P152" s="183">
        <f t="shared" si="202"/>
        <v>0</v>
      </c>
      <c r="Q152" s="183">
        <f t="shared" si="202"/>
        <v>0</v>
      </c>
      <c r="R152" s="183">
        <f t="shared" si="9"/>
        <v>0</v>
      </c>
      <c r="S152" s="183">
        <f t="shared" si="10"/>
        <v>0</v>
      </c>
      <c r="T152" s="183">
        <f t="shared" si="11"/>
        <v>0</v>
      </c>
      <c r="U152" s="186"/>
      <c r="V152" s="183">
        <f>IFERROR(__xludf.DUMMYFUNCTION("""COMPUTED_VALUE"""),0.0)</f>
        <v>0</v>
      </c>
      <c r="W152" s="183">
        <f>IFERROR(__xludf.DUMMYFUNCTION("""COMPUTED_VALUE"""),0.0)</f>
        <v>0</v>
      </c>
      <c r="X152" s="183">
        <f>IFERROR(__xludf.DUMMYFUNCTION("""COMPUTED_VALUE"""),0.0)</f>
        <v>0</v>
      </c>
      <c r="Y152" s="183">
        <f>IFERROR(__xludf.DUMMYFUNCTION("""COMPUTED_VALUE"""),0.0)</f>
        <v>0</v>
      </c>
      <c r="Z152" s="183">
        <f t="shared" si="12"/>
        <v>0</v>
      </c>
      <c r="AA152" s="183">
        <f t="shared" si="13"/>
        <v>0</v>
      </c>
      <c r="AB152" s="183">
        <f t="shared" si="14"/>
        <v>0</v>
      </c>
    </row>
    <row r="153" ht="14.25" customHeight="1">
      <c r="A153" s="175"/>
      <c r="B153" s="230" t="s">
        <v>505</v>
      </c>
      <c r="D153" s="209" t="s">
        <v>887</v>
      </c>
      <c r="E153" s="183">
        <f>SUMIFS('DB BTL'!$J:$J,'DB BTL'!$G:$G,$B153,'DB BTL'!$A:$A,$D$4,'DB BTL'!$B:$B,$E$3,'DB BTL'!$D:$D,AA$1)</f>
        <v>0</v>
      </c>
      <c r="F153" s="183">
        <f>SUMIFS('DB BTL'!$J:$J,'DB BTL'!$G:$G,$B153,'DB BTL'!$A:$A,$D$4,'DB BTL'!$B:$B,$E$3,'DB BTL'!$D:$D,AA$2)</f>
        <v>0</v>
      </c>
      <c r="G153" s="184">
        <f>IFERROR(HLOOKUP($E$3,'Tahun Lalu'!$B$5:$V$158,MATCH(B153,'Tahun Lalu'!$B$5:$B$158,0),0),0)</f>
        <v>0</v>
      </c>
      <c r="H153" s="184">
        <v>0.0</v>
      </c>
      <c r="I153" s="184">
        <v>0.0</v>
      </c>
      <c r="J153" s="183">
        <f t="shared" si="3"/>
        <v>0</v>
      </c>
      <c r="K153" s="183">
        <f t="shared" si="4"/>
        <v>0</v>
      </c>
      <c r="L153" s="183">
        <f t="shared" si="5"/>
        <v>0</v>
      </c>
      <c r="M153" s="183">
        <f t="shared" si="6"/>
        <v>0</v>
      </c>
      <c r="N153" s="183">
        <f t="shared" si="201"/>
        <v>0</v>
      </c>
      <c r="O153" s="183">
        <f t="shared" ref="O153:Q153" si="203">G153+W153</f>
        <v>0</v>
      </c>
      <c r="P153" s="183">
        <f t="shared" si="203"/>
        <v>0</v>
      </c>
      <c r="Q153" s="183">
        <f t="shared" si="203"/>
        <v>0</v>
      </c>
      <c r="R153" s="183">
        <f t="shared" si="9"/>
        <v>0</v>
      </c>
      <c r="S153" s="183">
        <f t="shared" si="10"/>
        <v>0</v>
      </c>
      <c r="T153" s="183">
        <f t="shared" si="11"/>
        <v>0</v>
      </c>
      <c r="U153" s="186"/>
      <c r="V153" s="183">
        <f>IFERROR(__xludf.DUMMYFUNCTION("""COMPUTED_VALUE"""),0.0)</f>
        <v>0</v>
      </c>
      <c r="W153" s="183">
        <f>IFERROR(__xludf.DUMMYFUNCTION("""COMPUTED_VALUE"""),0.0)</f>
        <v>0</v>
      </c>
      <c r="X153" s="183">
        <f>IFERROR(__xludf.DUMMYFUNCTION("""COMPUTED_VALUE"""),0.0)</f>
        <v>0</v>
      </c>
      <c r="Y153" s="183">
        <f>IFERROR(__xludf.DUMMYFUNCTION("""COMPUTED_VALUE"""),0.0)</f>
        <v>0</v>
      </c>
      <c r="Z153" s="183">
        <f t="shared" si="12"/>
        <v>0</v>
      </c>
      <c r="AA153" s="183">
        <f t="shared" si="13"/>
        <v>0</v>
      </c>
      <c r="AB153" s="183">
        <f t="shared" si="14"/>
        <v>0</v>
      </c>
    </row>
    <row r="154" ht="14.25" customHeight="1">
      <c r="A154" s="175"/>
      <c r="B154" s="230" t="s">
        <v>507</v>
      </c>
      <c r="D154" s="209" t="s">
        <v>888</v>
      </c>
      <c r="E154" s="183">
        <f>SUMIFS('DB BTL'!$J:$J,'DB BTL'!$G:$G,$B154,'DB BTL'!$A:$A,$D$4,'DB BTL'!$B:$B,$E$3,'DB BTL'!$D:$D,AA$1)</f>
        <v>0</v>
      </c>
      <c r="F154" s="183">
        <f>SUMIFS('DB BTL'!$J:$J,'DB BTL'!$G:$G,$B154,'DB BTL'!$A:$A,$D$4,'DB BTL'!$B:$B,$E$3,'DB BTL'!$D:$D,AA$2)</f>
        <v>0</v>
      </c>
      <c r="G154" s="184">
        <f>IFERROR(HLOOKUP($E$3,'Tahun Lalu'!$B$5:$V$158,MATCH(B154,'Tahun Lalu'!$B$5:$B$158,0),0),0)</f>
        <v>0</v>
      </c>
      <c r="H154" s="184">
        <v>0.0</v>
      </c>
      <c r="I154" s="184">
        <v>0.0</v>
      </c>
      <c r="J154" s="183">
        <f t="shared" si="3"/>
        <v>0</v>
      </c>
      <c r="K154" s="183">
        <f t="shared" si="4"/>
        <v>0</v>
      </c>
      <c r="L154" s="183">
        <f t="shared" si="5"/>
        <v>0</v>
      </c>
      <c r="M154" s="183">
        <f t="shared" si="6"/>
        <v>0</v>
      </c>
      <c r="N154" s="183">
        <f t="shared" si="201"/>
        <v>0</v>
      </c>
      <c r="O154" s="183">
        <f t="shared" ref="O154:Q154" si="204">G154+W154</f>
        <v>0</v>
      </c>
      <c r="P154" s="183">
        <f t="shared" si="204"/>
        <v>0</v>
      </c>
      <c r="Q154" s="183">
        <f t="shared" si="204"/>
        <v>0</v>
      </c>
      <c r="R154" s="183">
        <f t="shared" si="9"/>
        <v>0</v>
      </c>
      <c r="S154" s="183">
        <f t="shared" si="10"/>
        <v>0</v>
      </c>
      <c r="T154" s="183">
        <f t="shared" si="11"/>
        <v>0</v>
      </c>
      <c r="U154" s="186"/>
      <c r="V154" s="183">
        <f>IFERROR(__xludf.DUMMYFUNCTION("""COMPUTED_VALUE"""),0.0)</f>
        <v>0</v>
      </c>
      <c r="W154" s="183">
        <f>IFERROR(__xludf.DUMMYFUNCTION("""COMPUTED_VALUE"""),0.0)</f>
        <v>0</v>
      </c>
      <c r="X154" s="183">
        <f>IFERROR(__xludf.DUMMYFUNCTION("""COMPUTED_VALUE"""),0.0)</f>
        <v>0</v>
      </c>
      <c r="Y154" s="183">
        <f>IFERROR(__xludf.DUMMYFUNCTION("""COMPUTED_VALUE"""),0.0)</f>
        <v>0</v>
      </c>
      <c r="Z154" s="183">
        <f t="shared" si="12"/>
        <v>0</v>
      </c>
      <c r="AA154" s="183">
        <f t="shared" si="13"/>
        <v>0</v>
      </c>
      <c r="AB154" s="183">
        <f t="shared" si="14"/>
        <v>0</v>
      </c>
    </row>
    <row r="155" ht="14.25" customHeight="1">
      <c r="A155" s="175"/>
      <c r="B155" s="230" t="s">
        <v>561</v>
      </c>
      <c r="D155" s="209" t="s">
        <v>889</v>
      </c>
      <c r="E155" s="183">
        <f>SUMIFS('DB BTL'!$J:$J,'DB BTL'!$G:$G,$B155,'DB BTL'!$A:$A,$D$4,'DB BTL'!$B:$B,$E$3,'DB BTL'!$D:$D,AA$1)</f>
        <v>0</v>
      </c>
      <c r="F155" s="183">
        <f>SUMIFS('DB BTL'!$J:$J,'DB BTL'!$G:$G,$B155,'DB BTL'!$A:$A,$D$4,'DB BTL'!$B:$B,$E$3,'DB BTL'!$D:$D,AA$2)</f>
        <v>0</v>
      </c>
      <c r="G155" s="184">
        <f>IFERROR(HLOOKUP($E$3,'Tahun Lalu'!$B$5:$V$158,MATCH(B155,'Tahun Lalu'!$B$5:$B$158,0),0),0)</f>
        <v>0</v>
      </c>
      <c r="H155" s="184">
        <v>0.0</v>
      </c>
      <c r="I155" s="184">
        <v>0.0</v>
      </c>
      <c r="J155" s="183">
        <f t="shared" si="3"/>
        <v>0</v>
      </c>
      <c r="K155" s="183">
        <f t="shared" si="4"/>
        <v>0</v>
      </c>
      <c r="L155" s="183">
        <f t="shared" si="5"/>
        <v>0</v>
      </c>
      <c r="M155" s="183">
        <f t="shared" si="6"/>
        <v>0</v>
      </c>
      <c r="N155" s="183">
        <f t="shared" si="201"/>
        <v>0</v>
      </c>
      <c r="O155" s="183">
        <f t="shared" ref="O155:Q155" si="205">G155+W155</f>
        <v>0</v>
      </c>
      <c r="P155" s="183">
        <f t="shared" si="205"/>
        <v>0</v>
      </c>
      <c r="Q155" s="183">
        <f t="shared" si="205"/>
        <v>0</v>
      </c>
      <c r="R155" s="183">
        <f t="shared" si="9"/>
        <v>0</v>
      </c>
      <c r="S155" s="183">
        <f t="shared" si="10"/>
        <v>0</v>
      </c>
      <c r="T155" s="183">
        <f t="shared" si="11"/>
        <v>0</v>
      </c>
      <c r="U155" s="186"/>
      <c r="V155" s="183">
        <f>IFERROR(__xludf.DUMMYFUNCTION("""COMPUTED_VALUE"""),0.0)</f>
        <v>0</v>
      </c>
      <c r="W155" s="183">
        <f>IFERROR(__xludf.DUMMYFUNCTION("""COMPUTED_VALUE"""),0.0)</f>
        <v>0</v>
      </c>
      <c r="X155" s="183">
        <f>IFERROR(__xludf.DUMMYFUNCTION("""COMPUTED_VALUE"""),0.0)</f>
        <v>0</v>
      </c>
      <c r="Y155" s="183">
        <f>IFERROR(__xludf.DUMMYFUNCTION("""COMPUTED_VALUE"""),0.0)</f>
        <v>0</v>
      </c>
      <c r="Z155" s="183">
        <f t="shared" si="12"/>
        <v>0</v>
      </c>
      <c r="AA155" s="183">
        <f t="shared" si="13"/>
        <v>0</v>
      </c>
      <c r="AB155" s="183">
        <f t="shared" si="14"/>
        <v>0</v>
      </c>
    </row>
    <row r="156" ht="14.25" customHeight="1">
      <c r="A156" s="175"/>
      <c r="B156" s="230" t="s">
        <v>509</v>
      </c>
      <c r="D156" s="209" t="s">
        <v>890</v>
      </c>
      <c r="E156" s="183">
        <f>SUMIFS('DB BTL'!$J:$J,'DB BTL'!$G:$G,$B156,'DB BTL'!$A:$A,$D$4,'DB BTL'!$B:$B,$E$3,'DB BTL'!$D:$D,AA$1)</f>
        <v>0</v>
      </c>
      <c r="F156" s="183">
        <f>SUMIFS('DB BTL'!$J:$J,'DB BTL'!$G:$G,$B156,'DB BTL'!$A:$A,$D$4,'DB BTL'!$B:$B,$E$3,'DB BTL'!$D:$D,AA$2)</f>
        <v>0</v>
      </c>
      <c r="G156" s="184">
        <f>IFERROR(HLOOKUP($E$3,'Tahun Lalu'!$B$5:$V$158,MATCH(B156,'Tahun Lalu'!$B$5:$B$158,0),0),0)</f>
        <v>0</v>
      </c>
      <c r="H156" s="184">
        <v>0.0</v>
      </c>
      <c r="I156" s="184">
        <v>0.0</v>
      </c>
      <c r="J156" s="183">
        <f t="shared" si="3"/>
        <v>0</v>
      </c>
      <c r="K156" s="183">
        <f t="shared" si="4"/>
        <v>0</v>
      </c>
      <c r="L156" s="183">
        <f t="shared" si="5"/>
        <v>0</v>
      </c>
      <c r="M156" s="183">
        <f t="shared" si="6"/>
        <v>0</v>
      </c>
      <c r="N156" s="183">
        <f t="shared" si="201"/>
        <v>0</v>
      </c>
      <c r="O156" s="183">
        <f t="shared" ref="O156:Q156" si="206">G156+W156</f>
        <v>0</v>
      </c>
      <c r="P156" s="183">
        <f t="shared" si="206"/>
        <v>0</v>
      </c>
      <c r="Q156" s="183">
        <f t="shared" si="206"/>
        <v>0</v>
      </c>
      <c r="R156" s="183">
        <f t="shared" si="9"/>
        <v>0</v>
      </c>
      <c r="S156" s="183">
        <f t="shared" si="10"/>
        <v>0</v>
      </c>
      <c r="T156" s="183">
        <f t="shared" si="11"/>
        <v>0</v>
      </c>
      <c r="U156" s="186"/>
      <c r="V156" s="183">
        <f>IFERROR(__xludf.DUMMYFUNCTION("""COMPUTED_VALUE"""),0.0)</f>
        <v>0</v>
      </c>
      <c r="W156" s="183">
        <f>IFERROR(__xludf.DUMMYFUNCTION("""COMPUTED_VALUE"""),0.0)</f>
        <v>0</v>
      </c>
      <c r="X156" s="183">
        <f>IFERROR(__xludf.DUMMYFUNCTION("""COMPUTED_VALUE"""),0.0)</f>
        <v>0</v>
      </c>
      <c r="Y156" s="183">
        <f>IFERROR(__xludf.DUMMYFUNCTION("""COMPUTED_VALUE"""),0.0)</f>
        <v>0</v>
      </c>
      <c r="Z156" s="183">
        <f t="shared" si="12"/>
        <v>0</v>
      </c>
      <c r="AA156" s="183">
        <f t="shared" si="13"/>
        <v>0</v>
      </c>
      <c r="AB156" s="183">
        <f t="shared" si="14"/>
        <v>0</v>
      </c>
    </row>
    <row r="157" ht="14.25" customHeight="1">
      <c r="A157" s="175"/>
      <c r="B157" s="230" t="s">
        <v>567</v>
      </c>
      <c r="D157" s="209" t="s">
        <v>891</v>
      </c>
      <c r="E157" s="183">
        <f>SUMIFS('DB BTL'!$J:$J,'DB BTL'!$G:$G,$B157,'DB BTL'!$A:$A,$D$4,'DB BTL'!$B:$B,$E$3,'DB BTL'!$D:$D,AA$1)</f>
        <v>0</v>
      </c>
      <c r="F157" s="183">
        <f>SUMIFS('DB BTL'!$J:$J,'DB BTL'!$G:$G,$B157,'DB BTL'!$A:$A,$D$4,'DB BTL'!$B:$B,$E$3,'DB BTL'!$D:$D,AA$2)</f>
        <v>0</v>
      </c>
      <c r="G157" s="184">
        <f>IFERROR(HLOOKUP($E$3,'Tahun Lalu'!$B$5:$V$158,MATCH(B157,'Tahun Lalu'!$B$5:$B$158,0),0),0)</f>
        <v>0</v>
      </c>
      <c r="H157" s="184">
        <v>0.0</v>
      </c>
      <c r="I157" s="184">
        <v>0.0</v>
      </c>
      <c r="J157" s="183">
        <f t="shared" si="3"/>
        <v>0</v>
      </c>
      <c r="K157" s="183">
        <f t="shared" si="4"/>
        <v>0</v>
      </c>
      <c r="L157" s="183">
        <f t="shared" si="5"/>
        <v>0</v>
      </c>
      <c r="M157" s="183">
        <f t="shared" si="6"/>
        <v>0</v>
      </c>
      <c r="N157" s="183">
        <f t="shared" si="201"/>
        <v>0</v>
      </c>
      <c r="O157" s="183">
        <f t="shared" ref="O157:Q157" si="207">G157+W157</f>
        <v>0</v>
      </c>
      <c r="P157" s="183">
        <f t="shared" si="207"/>
        <v>0</v>
      </c>
      <c r="Q157" s="183">
        <f t="shared" si="207"/>
        <v>0</v>
      </c>
      <c r="R157" s="183">
        <f t="shared" si="9"/>
        <v>0</v>
      </c>
      <c r="S157" s="183">
        <f t="shared" si="10"/>
        <v>0</v>
      </c>
      <c r="T157" s="183">
        <f t="shared" si="11"/>
        <v>0</v>
      </c>
      <c r="U157" s="186"/>
      <c r="V157" s="183">
        <f>IFERROR(__xludf.DUMMYFUNCTION("""COMPUTED_VALUE"""),0.0)</f>
        <v>0</v>
      </c>
      <c r="W157" s="183">
        <f>IFERROR(__xludf.DUMMYFUNCTION("""COMPUTED_VALUE"""),0.0)</f>
        <v>0</v>
      </c>
      <c r="X157" s="183">
        <f>IFERROR(__xludf.DUMMYFUNCTION("""COMPUTED_VALUE"""),0.0)</f>
        <v>0</v>
      </c>
      <c r="Y157" s="183">
        <f>IFERROR(__xludf.DUMMYFUNCTION("""COMPUTED_VALUE"""),0.0)</f>
        <v>0</v>
      </c>
      <c r="Z157" s="183">
        <f t="shared" si="12"/>
        <v>0</v>
      </c>
      <c r="AA157" s="183">
        <f t="shared" si="13"/>
        <v>0</v>
      </c>
      <c r="AB157" s="183">
        <f t="shared" si="14"/>
        <v>0</v>
      </c>
    </row>
    <row r="158" ht="14.25" customHeight="1">
      <c r="A158" s="175"/>
      <c r="B158" s="230" t="s">
        <v>511</v>
      </c>
      <c r="D158" s="209" t="s">
        <v>892</v>
      </c>
      <c r="E158" s="183">
        <f>SUMIFS('DB BTL'!$J:$J,'DB BTL'!$G:$G,$B158,'DB BTL'!$A:$A,$D$4,'DB BTL'!$B:$B,$E$3,'DB BTL'!$D:$D,AA$1)</f>
        <v>0</v>
      </c>
      <c r="F158" s="183">
        <f>SUMIFS('DB BTL'!$J:$J,'DB BTL'!$G:$G,$B158,'DB BTL'!$A:$A,$D$4,'DB BTL'!$B:$B,$E$3,'DB BTL'!$D:$D,AA$2)</f>
        <v>0</v>
      </c>
      <c r="G158" s="184">
        <f>IFERROR(HLOOKUP($E$3,'Tahun Lalu'!$B$5:$V$158,MATCH(B158,'Tahun Lalu'!$B$5:$B$158,0),0),0)</f>
        <v>0</v>
      </c>
      <c r="H158" s="184">
        <v>0.0</v>
      </c>
      <c r="I158" s="184">
        <v>0.0</v>
      </c>
      <c r="J158" s="183">
        <f t="shared" si="3"/>
        <v>0</v>
      </c>
      <c r="K158" s="183">
        <f t="shared" si="4"/>
        <v>0</v>
      </c>
      <c r="L158" s="183">
        <f t="shared" si="5"/>
        <v>0</v>
      </c>
      <c r="M158" s="183">
        <f t="shared" si="6"/>
        <v>0</v>
      </c>
      <c r="N158" s="183">
        <f t="shared" si="201"/>
        <v>0</v>
      </c>
      <c r="O158" s="183">
        <f t="shared" ref="O158:Q158" si="208">G158+W158</f>
        <v>0</v>
      </c>
      <c r="P158" s="183">
        <f t="shared" si="208"/>
        <v>0</v>
      </c>
      <c r="Q158" s="183">
        <f t="shared" si="208"/>
        <v>0</v>
      </c>
      <c r="R158" s="183">
        <f t="shared" si="9"/>
        <v>0</v>
      </c>
      <c r="S158" s="183">
        <f t="shared" si="10"/>
        <v>0</v>
      </c>
      <c r="T158" s="183">
        <f t="shared" si="11"/>
        <v>0</v>
      </c>
      <c r="U158" s="186"/>
      <c r="V158" s="183">
        <f>IFERROR(__xludf.DUMMYFUNCTION("""COMPUTED_VALUE"""),0.0)</f>
        <v>0</v>
      </c>
      <c r="W158" s="183">
        <f>IFERROR(__xludf.DUMMYFUNCTION("""COMPUTED_VALUE"""),0.0)</f>
        <v>0</v>
      </c>
      <c r="X158" s="183">
        <f>IFERROR(__xludf.DUMMYFUNCTION("""COMPUTED_VALUE"""),0.0)</f>
        <v>0</v>
      </c>
      <c r="Y158" s="183">
        <f>IFERROR(__xludf.DUMMYFUNCTION("""COMPUTED_VALUE"""),0.0)</f>
        <v>0</v>
      </c>
      <c r="Z158" s="183">
        <f t="shared" si="12"/>
        <v>0</v>
      </c>
      <c r="AA158" s="183">
        <f t="shared" si="13"/>
        <v>0</v>
      </c>
      <c r="AB158" s="183">
        <f t="shared" si="14"/>
        <v>0</v>
      </c>
    </row>
    <row r="159" ht="14.25" customHeight="1">
      <c r="A159" s="175"/>
      <c r="B159" s="230" t="s">
        <v>513</v>
      </c>
      <c r="D159" s="209" t="s">
        <v>893</v>
      </c>
      <c r="E159" s="183">
        <f>SUMIFS('DB BTL'!$J:$J,'DB BTL'!$G:$G,$B159,'DB BTL'!$A:$A,$D$4,'DB BTL'!$B:$B,$E$3,'DB BTL'!$D:$D,AA$1)</f>
        <v>0</v>
      </c>
      <c r="F159" s="183">
        <f>SUMIFS('DB BTL'!$J:$J,'DB BTL'!$G:$G,$B159,'DB BTL'!$A:$A,$D$4,'DB BTL'!$B:$B,$E$3,'DB BTL'!$D:$D,AA$2)</f>
        <v>0</v>
      </c>
      <c r="G159" s="184">
        <f>IFERROR(HLOOKUP($E$3,'Tahun Lalu'!$B$5:$V$158,MATCH(B159,'Tahun Lalu'!$B$5:$B$158,0),0),0)</f>
        <v>0</v>
      </c>
      <c r="H159" s="184">
        <v>0.0</v>
      </c>
      <c r="I159" s="184">
        <v>0.0</v>
      </c>
      <c r="J159" s="183">
        <f t="shared" si="3"/>
        <v>0</v>
      </c>
      <c r="K159" s="183">
        <f t="shared" si="4"/>
        <v>0</v>
      </c>
      <c r="L159" s="183">
        <f t="shared" si="5"/>
        <v>0</v>
      </c>
      <c r="M159" s="183">
        <f t="shared" si="6"/>
        <v>0</v>
      </c>
      <c r="N159" s="183">
        <f t="shared" si="201"/>
        <v>0</v>
      </c>
      <c r="O159" s="183">
        <f t="shared" ref="O159:Q159" si="209">G159+W159</f>
        <v>0</v>
      </c>
      <c r="P159" s="183">
        <f t="shared" si="209"/>
        <v>0</v>
      </c>
      <c r="Q159" s="183">
        <f t="shared" si="209"/>
        <v>0</v>
      </c>
      <c r="R159" s="183">
        <f t="shared" si="9"/>
        <v>0</v>
      </c>
      <c r="S159" s="183">
        <f t="shared" si="10"/>
        <v>0</v>
      </c>
      <c r="T159" s="183">
        <f t="shared" si="11"/>
        <v>0</v>
      </c>
      <c r="U159" s="186"/>
      <c r="V159" s="183">
        <f>IFERROR(__xludf.DUMMYFUNCTION("""COMPUTED_VALUE"""),0.0)</f>
        <v>0</v>
      </c>
      <c r="W159" s="183">
        <f>IFERROR(__xludf.DUMMYFUNCTION("""COMPUTED_VALUE"""),0.0)</f>
        <v>0</v>
      </c>
      <c r="X159" s="183">
        <f>IFERROR(__xludf.DUMMYFUNCTION("""COMPUTED_VALUE"""),0.0)</f>
        <v>0</v>
      </c>
      <c r="Y159" s="183">
        <f>IFERROR(__xludf.DUMMYFUNCTION("""COMPUTED_VALUE"""),0.0)</f>
        <v>0</v>
      </c>
      <c r="Z159" s="183">
        <f t="shared" si="12"/>
        <v>0</v>
      </c>
      <c r="AA159" s="183">
        <f t="shared" si="13"/>
        <v>0</v>
      </c>
      <c r="AB159" s="183">
        <f t="shared" si="14"/>
        <v>0</v>
      </c>
    </row>
    <row r="160" ht="14.25" customHeight="1">
      <c r="A160" s="175"/>
      <c r="B160" s="230" t="s">
        <v>528</v>
      </c>
      <c r="D160" s="209" t="s">
        <v>894</v>
      </c>
      <c r="E160" s="183">
        <f>SUMIFS('DB BTL'!$J:$J,'DB BTL'!$G:$G,$B160,'DB BTL'!$A:$A,$D$4,'DB BTL'!$B:$B,$E$3,'DB BTL'!$D:$D,AA$1)</f>
        <v>0</v>
      </c>
      <c r="F160" s="183">
        <f>SUMIFS('DB BTL'!$J:$J,'DB BTL'!$G:$G,$B160,'DB BTL'!$A:$A,$D$4,'DB BTL'!$B:$B,$E$3,'DB BTL'!$D:$D,AA$2)</f>
        <v>0</v>
      </c>
      <c r="G160" s="184">
        <f>IFERROR(HLOOKUP($E$3,'Tahun Lalu'!$B$5:$V$158,MATCH(B160,'Tahun Lalu'!$B$5:$B$158,0),0),0)</f>
        <v>0</v>
      </c>
      <c r="H160" s="184">
        <v>0.0</v>
      </c>
      <c r="I160" s="184">
        <v>0.0</v>
      </c>
      <c r="J160" s="183">
        <f t="shared" si="3"/>
        <v>0</v>
      </c>
      <c r="K160" s="183">
        <f t="shared" si="4"/>
        <v>0</v>
      </c>
      <c r="L160" s="183">
        <f t="shared" si="5"/>
        <v>0</v>
      </c>
      <c r="M160" s="183">
        <f t="shared" si="6"/>
        <v>0</v>
      </c>
      <c r="N160" s="183">
        <f t="shared" si="201"/>
        <v>0</v>
      </c>
      <c r="O160" s="183">
        <f t="shared" ref="O160:Q160" si="210">G160+W160</f>
        <v>0</v>
      </c>
      <c r="P160" s="183">
        <f t="shared" si="210"/>
        <v>0</v>
      </c>
      <c r="Q160" s="183">
        <f t="shared" si="210"/>
        <v>0</v>
      </c>
      <c r="R160" s="183">
        <f t="shared" si="9"/>
        <v>0</v>
      </c>
      <c r="S160" s="183">
        <f t="shared" si="10"/>
        <v>0</v>
      </c>
      <c r="T160" s="183">
        <f t="shared" si="11"/>
        <v>0</v>
      </c>
      <c r="U160" s="186"/>
      <c r="V160" s="183">
        <f>IFERROR(__xludf.DUMMYFUNCTION("""COMPUTED_VALUE"""),0.0)</f>
        <v>0</v>
      </c>
      <c r="W160" s="183">
        <f>IFERROR(__xludf.DUMMYFUNCTION("""COMPUTED_VALUE"""),0.0)</f>
        <v>0</v>
      </c>
      <c r="X160" s="183">
        <f>IFERROR(__xludf.DUMMYFUNCTION("""COMPUTED_VALUE"""),0.0)</f>
        <v>0</v>
      </c>
      <c r="Y160" s="183">
        <f>IFERROR(__xludf.DUMMYFUNCTION("""COMPUTED_VALUE"""),0.0)</f>
        <v>0</v>
      </c>
      <c r="Z160" s="183">
        <f t="shared" si="12"/>
        <v>0</v>
      </c>
      <c r="AA160" s="183">
        <f t="shared" si="13"/>
        <v>0</v>
      </c>
      <c r="AB160" s="183">
        <f t="shared" si="14"/>
        <v>0</v>
      </c>
    </row>
    <row r="161" ht="14.25" customHeight="1">
      <c r="A161" s="175"/>
      <c r="B161" s="230" t="s">
        <v>539</v>
      </c>
      <c r="D161" s="209" t="s">
        <v>895</v>
      </c>
      <c r="E161" s="183">
        <f>SUMIFS('DB BTL'!$J:$J,'DB BTL'!$G:$G,$B161,'DB BTL'!$A:$A,$D$4,'DB BTL'!$B:$B,$E$3,'DB BTL'!$D:$D,AA$1)</f>
        <v>0</v>
      </c>
      <c r="F161" s="183">
        <f>SUMIFS('DB BTL'!$J:$J,'DB BTL'!$G:$G,$B161,'DB BTL'!$A:$A,$D$4,'DB BTL'!$B:$B,$E$3,'DB BTL'!$D:$D,AA$2)</f>
        <v>0</v>
      </c>
      <c r="G161" s="184">
        <f>IFERROR(HLOOKUP($E$3,'Tahun Lalu'!$B$5:$V$158,MATCH(B161,'Tahun Lalu'!$B$5:$B$158,0),0),0)</f>
        <v>0</v>
      </c>
      <c r="H161" s="184">
        <v>0.0</v>
      </c>
      <c r="I161" s="184">
        <v>0.0</v>
      </c>
      <c r="J161" s="183">
        <f t="shared" si="3"/>
        <v>0</v>
      </c>
      <c r="K161" s="183">
        <f t="shared" si="4"/>
        <v>0</v>
      </c>
      <c r="L161" s="183">
        <f t="shared" si="5"/>
        <v>0</v>
      </c>
      <c r="M161" s="183">
        <f t="shared" si="6"/>
        <v>0</v>
      </c>
      <c r="N161" s="183">
        <f t="shared" si="201"/>
        <v>0</v>
      </c>
      <c r="O161" s="183">
        <f t="shared" ref="O161:Q161" si="211">G161+W161</f>
        <v>0</v>
      </c>
      <c r="P161" s="183">
        <f t="shared" si="211"/>
        <v>0</v>
      </c>
      <c r="Q161" s="183">
        <f t="shared" si="211"/>
        <v>0</v>
      </c>
      <c r="R161" s="183">
        <f t="shared" si="9"/>
        <v>0</v>
      </c>
      <c r="S161" s="183">
        <f t="shared" si="10"/>
        <v>0</v>
      </c>
      <c r="T161" s="183">
        <f t="shared" si="11"/>
        <v>0</v>
      </c>
      <c r="U161" s="186"/>
      <c r="V161" s="183">
        <f>IFERROR(__xludf.DUMMYFUNCTION("""COMPUTED_VALUE"""),0.0)</f>
        <v>0</v>
      </c>
      <c r="W161" s="183">
        <f>IFERROR(__xludf.DUMMYFUNCTION("""COMPUTED_VALUE"""),0.0)</f>
        <v>0</v>
      </c>
      <c r="X161" s="183">
        <f>IFERROR(__xludf.DUMMYFUNCTION("""COMPUTED_VALUE"""),0.0)</f>
        <v>0</v>
      </c>
      <c r="Y161" s="183">
        <f>IFERROR(__xludf.DUMMYFUNCTION("""COMPUTED_VALUE"""),0.0)</f>
        <v>0</v>
      </c>
      <c r="Z161" s="183">
        <f t="shared" si="12"/>
        <v>0</v>
      </c>
      <c r="AA161" s="183">
        <f t="shared" si="13"/>
        <v>0</v>
      </c>
      <c r="AB161" s="183">
        <f t="shared" si="14"/>
        <v>0</v>
      </c>
    </row>
    <row r="162" ht="14.25" customHeight="1">
      <c r="A162" s="175"/>
      <c r="B162" s="230" t="s">
        <v>896</v>
      </c>
      <c r="D162" s="209" t="s">
        <v>897</v>
      </c>
      <c r="E162" s="183">
        <f>SUMIFS('DB BTL'!$J:$J,'DB BTL'!$G:$G,$B162,'DB BTL'!$A:$A,$D$4,'DB BTL'!$B:$B,$E$3,'DB BTL'!$D:$D,AA$1)</f>
        <v>0</v>
      </c>
      <c r="F162" s="183">
        <f>SUMIFS('DB BTL'!$J:$J,'DB BTL'!$G:$G,$B162,'DB BTL'!$A:$A,$D$4,'DB BTL'!$B:$B,$E$3,'DB BTL'!$D:$D,AA$2)</f>
        <v>0</v>
      </c>
      <c r="G162" s="184">
        <f>IFERROR(HLOOKUP($E$3,'Tahun Lalu'!$B$5:$V$158,MATCH(B162,'Tahun Lalu'!$B$5:$B$158,0),0),0)</f>
        <v>0</v>
      </c>
      <c r="H162" s="184">
        <v>0.0</v>
      </c>
      <c r="I162" s="184">
        <v>0.0</v>
      </c>
      <c r="J162" s="183">
        <f t="shared" si="3"/>
        <v>0</v>
      </c>
      <c r="K162" s="183">
        <f t="shared" si="4"/>
        <v>0</v>
      </c>
      <c r="L162" s="183">
        <f t="shared" si="5"/>
        <v>0</v>
      </c>
      <c r="M162" s="183">
        <f t="shared" si="6"/>
        <v>0</v>
      </c>
      <c r="N162" s="183">
        <f t="shared" si="201"/>
        <v>0</v>
      </c>
      <c r="O162" s="183">
        <f t="shared" ref="O162:Q162" si="212">G162+W162</f>
        <v>0</v>
      </c>
      <c r="P162" s="183">
        <f t="shared" si="212"/>
        <v>0</v>
      </c>
      <c r="Q162" s="183">
        <f t="shared" si="212"/>
        <v>0</v>
      </c>
      <c r="R162" s="183">
        <f t="shared" si="9"/>
        <v>0</v>
      </c>
      <c r="S162" s="183">
        <f t="shared" si="10"/>
        <v>0</v>
      </c>
      <c r="T162" s="183">
        <f t="shared" si="11"/>
        <v>0</v>
      </c>
      <c r="U162" s="186"/>
      <c r="V162" s="183">
        <f>IFERROR(__xludf.DUMMYFUNCTION("""COMPUTED_VALUE"""),0.0)</f>
        <v>0</v>
      </c>
      <c r="W162" s="183">
        <f>IFERROR(__xludf.DUMMYFUNCTION("""COMPUTED_VALUE"""),0.0)</f>
        <v>0</v>
      </c>
      <c r="X162" s="183">
        <f>IFERROR(__xludf.DUMMYFUNCTION("""COMPUTED_VALUE"""),0.0)</f>
        <v>0</v>
      </c>
      <c r="Y162" s="183">
        <f>IFERROR(__xludf.DUMMYFUNCTION("""COMPUTED_VALUE"""),0.0)</f>
        <v>0</v>
      </c>
      <c r="Z162" s="183">
        <f t="shared" si="12"/>
        <v>0</v>
      </c>
      <c r="AA162" s="183">
        <f t="shared" si="13"/>
        <v>0</v>
      </c>
      <c r="AB162" s="183">
        <f t="shared" si="14"/>
        <v>0</v>
      </c>
    </row>
    <row r="163" ht="14.25" customHeight="1">
      <c r="A163" s="175"/>
      <c r="B163" s="230" t="s">
        <v>898</v>
      </c>
      <c r="D163" s="209" t="s">
        <v>899</v>
      </c>
      <c r="E163" s="183">
        <f>SUMIFS('DB BTL'!$J:$J,'DB BTL'!$G:$G,$B163,'DB BTL'!$A:$A,$D$4,'DB BTL'!$B:$B,$E$3,'DB BTL'!$D:$D,AA$1)</f>
        <v>0</v>
      </c>
      <c r="F163" s="183">
        <f>SUMIFS('DB BTL'!$J:$J,'DB BTL'!$G:$G,$B163,'DB BTL'!$A:$A,$D$4,'DB BTL'!$B:$B,$E$3,'DB BTL'!$D:$D,AA$2)</f>
        <v>0</v>
      </c>
      <c r="G163" s="184">
        <f>IFERROR(HLOOKUP($E$3,'Tahun Lalu'!$B$5:$V$158,MATCH(B163,'Tahun Lalu'!$B$5:$B$158,0),0),0)</f>
        <v>0</v>
      </c>
      <c r="H163" s="184">
        <v>0.0</v>
      </c>
      <c r="I163" s="184">
        <v>0.0</v>
      </c>
      <c r="J163" s="183">
        <f t="shared" si="3"/>
        <v>0</v>
      </c>
      <c r="K163" s="183">
        <f t="shared" si="4"/>
        <v>0</v>
      </c>
      <c r="L163" s="183">
        <f t="shared" si="5"/>
        <v>0</v>
      </c>
      <c r="M163" s="183">
        <f t="shared" si="6"/>
        <v>0</v>
      </c>
      <c r="N163" s="183">
        <f t="shared" si="201"/>
        <v>0</v>
      </c>
      <c r="O163" s="183">
        <f t="shared" ref="O163:Q163" si="213">G163+W163</f>
        <v>0</v>
      </c>
      <c r="P163" s="183">
        <f t="shared" si="213"/>
        <v>0</v>
      </c>
      <c r="Q163" s="183">
        <f t="shared" si="213"/>
        <v>0</v>
      </c>
      <c r="R163" s="183">
        <f t="shared" si="9"/>
        <v>0</v>
      </c>
      <c r="S163" s="183">
        <f t="shared" si="10"/>
        <v>0</v>
      </c>
      <c r="T163" s="183">
        <f t="shared" si="11"/>
        <v>0</v>
      </c>
      <c r="U163" s="186"/>
      <c r="V163" s="183">
        <f>IFERROR(__xludf.DUMMYFUNCTION("""COMPUTED_VALUE"""),0.0)</f>
        <v>0</v>
      </c>
      <c r="W163" s="183">
        <f>IFERROR(__xludf.DUMMYFUNCTION("""COMPUTED_VALUE"""),0.0)</f>
        <v>0</v>
      </c>
      <c r="X163" s="183">
        <f>IFERROR(__xludf.DUMMYFUNCTION("""COMPUTED_VALUE"""),0.0)</f>
        <v>0</v>
      </c>
      <c r="Y163" s="183">
        <f>IFERROR(__xludf.DUMMYFUNCTION("""COMPUTED_VALUE"""),0.0)</f>
        <v>0</v>
      </c>
      <c r="Z163" s="183">
        <f t="shared" si="12"/>
        <v>0</v>
      </c>
      <c r="AA163" s="183">
        <f t="shared" si="13"/>
        <v>0</v>
      </c>
      <c r="AB163" s="183">
        <f t="shared" si="14"/>
        <v>0</v>
      </c>
    </row>
    <row r="164" ht="14.25" customHeight="1">
      <c r="A164" s="175"/>
      <c r="B164" s="230" t="s">
        <v>900</v>
      </c>
      <c r="D164" s="209" t="s">
        <v>901</v>
      </c>
      <c r="E164" s="183">
        <f>SUMIFS('DB BTL'!$J:$J,'DB BTL'!$G:$G,$B164,'DB BTL'!$A:$A,$D$4,'DB BTL'!$B:$B,$E$3,'DB BTL'!$D:$D,AA$1)</f>
        <v>0</v>
      </c>
      <c r="F164" s="183">
        <f>SUMIFS('DB BTL'!$J:$J,'DB BTL'!$G:$G,$B164,'DB BTL'!$A:$A,$D$4,'DB BTL'!$B:$B,$E$3,'DB BTL'!$D:$D,AA$2)</f>
        <v>0</v>
      </c>
      <c r="G164" s="184">
        <f>IFERROR(HLOOKUP($E$3,'Tahun Lalu'!$B$5:$V$158,MATCH(B164,'Tahun Lalu'!$B$5:$B$158,0),0),0)</f>
        <v>0</v>
      </c>
      <c r="H164" s="184">
        <v>0.0</v>
      </c>
      <c r="I164" s="184">
        <v>0.0</v>
      </c>
      <c r="J164" s="183">
        <f t="shared" si="3"/>
        <v>0</v>
      </c>
      <c r="K164" s="183">
        <f t="shared" si="4"/>
        <v>0</v>
      </c>
      <c r="L164" s="183">
        <f t="shared" si="5"/>
        <v>0</v>
      </c>
      <c r="M164" s="183">
        <f t="shared" si="6"/>
        <v>0</v>
      </c>
      <c r="N164" s="183">
        <f t="shared" si="201"/>
        <v>0</v>
      </c>
      <c r="O164" s="183">
        <f t="shared" ref="O164:Q164" si="214">G164+W164</f>
        <v>0</v>
      </c>
      <c r="P164" s="183">
        <f t="shared" si="214"/>
        <v>0</v>
      </c>
      <c r="Q164" s="183">
        <f t="shared" si="214"/>
        <v>0</v>
      </c>
      <c r="R164" s="183">
        <f t="shared" si="9"/>
        <v>0</v>
      </c>
      <c r="S164" s="183">
        <f t="shared" si="10"/>
        <v>0</v>
      </c>
      <c r="T164" s="183">
        <f t="shared" si="11"/>
        <v>0</v>
      </c>
      <c r="U164" s="186"/>
      <c r="V164" s="183">
        <f>IFERROR(__xludf.DUMMYFUNCTION("""COMPUTED_VALUE"""),0.0)</f>
        <v>0</v>
      </c>
      <c r="W164" s="183">
        <f>IFERROR(__xludf.DUMMYFUNCTION("""COMPUTED_VALUE"""),0.0)</f>
        <v>0</v>
      </c>
      <c r="X164" s="183">
        <f>IFERROR(__xludf.DUMMYFUNCTION("""COMPUTED_VALUE"""),0.0)</f>
        <v>0</v>
      </c>
      <c r="Y164" s="183">
        <f>IFERROR(__xludf.DUMMYFUNCTION("""COMPUTED_VALUE"""),0.0)</f>
        <v>0</v>
      </c>
      <c r="Z164" s="183">
        <f t="shared" si="12"/>
        <v>0</v>
      </c>
      <c r="AA164" s="183">
        <f t="shared" si="13"/>
        <v>0</v>
      </c>
      <c r="AB164" s="183">
        <f t="shared" si="14"/>
        <v>0</v>
      </c>
    </row>
    <row r="165" ht="14.25" customHeight="1">
      <c r="A165" s="175"/>
      <c r="B165" s="222"/>
      <c r="C165" s="222"/>
      <c r="D165" s="233" t="s">
        <v>902</v>
      </c>
      <c r="E165" s="224">
        <f t="shared" ref="E165:I165" si="215">sum(E150:E164)</f>
        <v>0</v>
      </c>
      <c r="F165" s="224">
        <f t="shared" si="215"/>
        <v>0</v>
      </c>
      <c r="G165" s="224">
        <f t="shared" si="215"/>
        <v>0</v>
      </c>
      <c r="H165" s="224">
        <f t="shared" si="215"/>
        <v>0</v>
      </c>
      <c r="I165" s="224">
        <f t="shared" si="215"/>
        <v>0</v>
      </c>
      <c r="J165" s="224">
        <f t="shared" si="3"/>
        <v>0</v>
      </c>
      <c r="K165" s="224">
        <f t="shared" si="4"/>
        <v>0</v>
      </c>
      <c r="L165" s="224">
        <f t="shared" si="5"/>
        <v>0</v>
      </c>
      <c r="M165" s="224">
        <f t="shared" si="6"/>
        <v>0</v>
      </c>
      <c r="N165" s="224">
        <f t="shared" ref="N165:Q165" si="216">sum(N150:N164)</f>
        <v>0</v>
      </c>
      <c r="O165" s="224">
        <f t="shared" si="216"/>
        <v>0</v>
      </c>
      <c r="P165" s="224">
        <f t="shared" si="216"/>
        <v>0</v>
      </c>
      <c r="Q165" s="224">
        <f t="shared" si="216"/>
        <v>0</v>
      </c>
      <c r="R165" s="224">
        <f t="shared" si="9"/>
        <v>0</v>
      </c>
      <c r="S165" s="224">
        <f t="shared" si="10"/>
        <v>0</v>
      </c>
      <c r="T165" s="224">
        <f t="shared" si="11"/>
        <v>0</v>
      </c>
      <c r="U165" s="225"/>
      <c r="V165" s="224">
        <f>IFERROR(__xludf.DUMMYFUNCTION("""COMPUTED_VALUE"""),0.0)</f>
        <v>0</v>
      </c>
      <c r="W165" s="224">
        <f>IFERROR(__xludf.DUMMYFUNCTION("""COMPUTED_VALUE"""),0.0)</f>
        <v>0</v>
      </c>
      <c r="X165" s="224">
        <f>IFERROR(__xludf.DUMMYFUNCTION("""COMPUTED_VALUE"""),0.0)</f>
        <v>0</v>
      </c>
      <c r="Y165" s="224">
        <f>IFERROR(__xludf.DUMMYFUNCTION("""COMPUTED_VALUE"""),0.0)</f>
        <v>0</v>
      </c>
      <c r="Z165" s="224">
        <f t="shared" si="12"/>
        <v>0</v>
      </c>
      <c r="AA165" s="224">
        <f t="shared" si="13"/>
        <v>0</v>
      </c>
      <c r="AB165" s="224">
        <f t="shared" si="14"/>
        <v>0</v>
      </c>
    </row>
    <row r="166" ht="14.25" customHeight="1">
      <c r="A166" s="175"/>
      <c r="B166" s="177"/>
      <c r="D166" s="234" t="s">
        <v>903</v>
      </c>
      <c r="E166" s="183"/>
      <c r="F166" s="183"/>
      <c r="G166" s="183"/>
      <c r="H166" s="184">
        <v>0.0</v>
      </c>
      <c r="I166" s="184">
        <v>0.0</v>
      </c>
      <c r="J166" s="183">
        <f t="shared" si="3"/>
        <v>0</v>
      </c>
      <c r="K166" s="183">
        <f t="shared" si="4"/>
        <v>0</v>
      </c>
      <c r="L166" s="188">
        <f t="shared" si="5"/>
        <v>0</v>
      </c>
      <c r="M166" s="188">
        <f t="shared" si="6"/>
        <v>0</v>
      </c>
      <c r="N166" s="183"/>
      <c r="O166" s="183"/>
      <c r="P166" s="188">
        <v>0.0</v>
      </c>
      <c r="Q166" s="188">
        <v>0.0</v>
      </c>
      <c r="R166" s="183">
        <f t="shared" si="9"/>
        <v>0</v>
      </c>
      <c r="S166" s="183">
        <f t="shared" si="10"/>
        <v>0</v>
      </c>
      <c r="T166" s="188">
        <f t="shared" si="11"/>
        <v>0</v>
      </c>
      <c r="U166" s="189"/>
      <c r="V166" s="183"/>
      <c r="W166" s="183"/>
      <c r="X166" s="188">
        <f>IFERROR(__xludf.DUMMYFUNCTION("""COMPUTED_VALUE"""),0.0)</f>
        <v>0</v>
      </c>
      <c r="Y166" s="188">
        <f>IFERROR(__xludf.DUMMYFUNCTION("""COMPUTED_VALUE"""),0.0)</f>
        <v>0</v>
      </c>
      <c r="Z166" s="183">
        <f t="shared" si="12"/>
        <v>0</v>
      </c>
      <c r="AA166" s="183">
        <f t="shared" si="13"/>
        <v>0</v>
      </c>
      <c r="AB166" s="188">
        <f t="shared" si="14"/>
        <v>0</v>
      </c>
    </row>
    <row r="167" ht="14.25" customHeight="1">
      <c r="A167" s="175"/>
      <c r="B167" s="181" t="s">
        <v>441</v>
      </c>
      <c r="D167" s="209" t="s">
        <v>706</v>
      </c>
      <c r="E167" s="183">
        <f>SUMIFS('DB BTL'!$J:$J,'DB BTL'!$E:$E,$B167,'DB BTL'!$A:$A,$D$4,'DB BTL'!$B:$B,$E$3,'DB BTL'!$D:$D,AA$1)</f>
        <v>0</v>
      </c>
      <c r="F167" s="183">
        <f>SUMIFS('DB BTL'!$J:$J,'DB BTL'!$E:$E,$B167,'DB BTL'!$A:$A,$D$4,'DB BTL'!$B:$B,$E$3,'DB BTL'!$D:$D,AA$2)</f>
        <v>0</v>
      </c>
      <c r="G167" s="184">
        <f>IFERROR(HLOOKUP($E$3,'Tahun Lalu'!$B$5:$V$158,MATCH(B167,'Tahun Lalu'!$B$5:$B$158,0),0),0)</f>
        <v>0</v>
      </c>
      <c r="H167" s="184">
        <v>0.0</v>
      </c>
      <c r="I167" s="184">
        <v>0.0</v>
      </c>
      <c r="J167" s="183">
        <f t="shared" si="3"/>
        <v>0</v>
      </c>
      <c r="K167" s="183">
        <f t="shared" si="4"/>
        <v>0</v>
      </c>
      <c r="L167" s="183">
        <f t="shared" si="5"/>
        <v>0</v>
      </c>
      <c r="M167" s="183">
        <f t="shared" si="6"/>
        <v>0</v>
      </c>
      <c r="N167" s="183">
        <f t="shared" ref="N167:N187" si="218">E167+V167</f>
        <v>0</v>
      </c>
      <c r="O167" s="183">
        <f t="shared" ref="O167:Q167" si="217">G167+W167</f>
        <v>0</v>
      </c>
      <c r="P167" s="183">
        <f t="shared" si="217"/>
        <v>0</v>
      </c>
      <c r="Q167" s="183">
        <f t="shared" si="217"/>
        <v>0</v>
      </c>
      <c r="R167" s="183">
        <f t="shared" si="9"/>
        <v>0</v>
      </c>
      <c r="S167" s="183">
        <f t="shared" si="10"/>
        <v>0</v>
      </c>
      <c r="T167" s="183">
        <f t="shared" si="11"/>
        <v>0</v>
      </c>
      <c r="U167" s="186"/>
      <c r="V167" s="183">
        <f>IFERROR(__xludf.DUMMYFUNCTION("""COMPUTED_VALUE"""),0.0)</f>
        <v>0</v>
      </c>
      <c r="W167" s="183">
        <f>IFERROR(__xludf.DUMMYFUNCTION("""COMPUTED_VALUE"""),0.0)</f>
        <v>0</v>
      </c>
      <c r="X167" s="183">
        <f>IFERROR(__xludf.DUMMYFUNCTION("""COMPUTED_VALUE"""),0.0)</f>
        <v>0</v>
      </c>
      <c r="Y167" s="183">
        <f>IFERROR(__xludf.DUMMYFUNCTION("""COMPUTED_VALUE"""),0.0)</f>
        <v>0</v>
      </c>
      <c r="Z167" s="183">
        <f t="shared" si="12"/>
        <v>0</v>
      </c>
      <c r="AA167" s="183">
        <f t="shared" si="13"/>
        <v>0</v>
      </c>
      <c r="AB167" s="183">
        <f t="shared" si="14"/>
        <v>0</v>
      </c>
    </row>
    <row r="168" ht="14.25" customHeight="1">
      <c r="A168" s="175"/>
      <c r="B168" s="181" t="s">
        <v>456</v>
      </c>
      <c r="D168" s="209" t="s">
        <v>707</v>
      </c>
      <c r="E168" s="183">
        <f>SUMIFS('DB BTL'!$J:$J,'DB BTL'!$E:$E,$B168,'DB BTL'!$A:$A,$D$4,'DB BTL'!$B:$B,$E$3,'DB BTL'!$D:$D,AA$1)</f>
        <v>0</v>
      </c>
      <c r="F168" s="183">
        <f>SUMIFS('DB BTL'!$J:$J,'DB BTL'!$E:$E,$B168,'DB BTL'!$A:$A,$D$4,'DB BTL'!$B:$B,$E$3,'DB BTL'!$D:$D,AA$2)</f>
        <v>0</v>
      </c>
      <c r="G168" s="184">
        <f>IFERROR(HLOOKUP($E$3,'Tahun Lalu'!$B$5:$V$158,MATCH(B168,'Tahun Lalu'!$B$5:$B$158,0),0),0)</f>
        <v>0</v>
      </c>
      <c r="H168" s="184">
        <v>0.0</v>
      </c>
      <c r="I168" s="184">
        <v>0.0</v>
      </c>
      <c r="J168" s="183">
        <f t="shared" si="3"/>
        <v>0</v>
      </c>
      <c r="K168" s="183">
        <f t="shared" si="4"/>
        <v>0</v>
      </c>
      <c r="L168" s="183">
        <f t="shared" si="5"/>
        <v>0</v>
      </c>
      <c r="M168" s="183">
        <f t="shared" si="6"/>
        <v>0</v>
      </c>
      <c r="N168" s="183">
        <f t="shared" si="218"/>
        <v>0</v>
      </c>
      <c r="O168" s="183">
        <f t="shared" ref="O168:Q168" si="219">G168+W168</f>
        <v>0</v>
      </c>
      <c r="P168" s="183">
        <f t="shared" si="219"/>
        <v>0</v>
      </c>
      <c r="Q168" s="183">
        <f t="shared" si="219"/>
        <v>0</v>
      </c>
      <c r="R168" s="183">
        <f t="shared" si="9"/>
        <v>0</v>
      </c>
      <c r="S168" s="183">
        <f t="shared" si="10"/>
        <v>0</v>
      </c>
      <c r="T168" s="183">
        <f t="shared" si="11"/>
        <v>0</v>
      </c>
      <c r="U168" s="186"/>
      <c r="V168" s="183">
        <f>IFERROR(__xludf.DUMMYFUNCTION("""COMPUTED_VALUE"""),0.0)</f>
        <v>0</v>
      </c>
      <c r="W168" s="183">
        <f>IFERROR(__xludf.DUMMYFUNCTION("""COMPUTED_VALUE"""),0.0)</f>
        <v>0</v>
      </c>
      <c r="X168" s="183">
        <f>IFERROR(__xludf.DUMMYFUNCTION("""COMPUTED_VALUE"""),0.0)</f>
        <v>0</v>
      </c>
      <c r="Y168" s="183">
        <f>IFERROR(__xludf.DUMMYFUNCTION("""COMPUTED_VALUE"""),0.0)</f>
        <v>0</v>
      </c>
      <c r="Z168" s="183">
        <f t="shared" si="12"/>
        <v>0</v>
      </c>
      <c r="AA168" s="183">
        <f t="shared" si="13"/>
        <v>0</v>
      </c>
      <c r="AB168" s="183">
        <f t="shared" si="14"/>
        <v>0</v>
      </c>
    </row>
    <row r="169" ht="14.25" customHeight="1">
      <c r="A169" s="175"/>
      <c r="B169" s="177"/>
      <c r="D169" s="209" t="s">
        <v>904</v>
      </c>
      <c r="E169" s="183">
        <f>SUMIFS('DB BTL'!$J:$J,'DB BTL'!$E:$E,$B169,'DB BTL'!$A:$A,$D$4,'DB BTL'!$B:$B,$E$3,'DB BTL'!$D:$D,AA$1)</f>
        <v>0</v>
      </c>
      <c r="F169" s="183">
        <f>SUMIFS('DB BTL'!$J:$J,'DB BTL'!$E:$E,$B169,'DB BTL'!$A:$A,$D$4,'DB BTL'!$B:$B,$E$3,'DB BTL'!$D:$D,AA$2)</f>
        <v>0</v>
      </c>
      <c r="G169" s="184">
        <f>IFERROR(HLOOKUP($E$3,'Tahun Lalu'!$B$5:$V$158,MATCH(B169,'Tahun Lalu'!$B$5:$B$158,0),0),0)</f>
        <v>0</v>
      </c>
      <c r="H169" s="184">
        <v>0.0</v>
      </c>
      <c r="I169" s="184">
        <v>0.0</v>
      </c>
      <c r="J169" s="183">
        <f t="shared" si="3"/>
        <v>0</v>
      </c>
      <c r="K169" s="183">
        <f t="shared" si="4"/>
        <v>0</v>
      </c>
      <c r="L169" s="183">
        <f t="shared" si="5"/>
        <v>0</v>
      </c>
      <c r="M169" s="183">
        <f t="shared" si="6"/>
        <v>0</v>
      </c>
      <c r="N169" s="183">
        <f t="shared" si="218"/>
        <v>0</v>
      </c>
      <c r="O169" s="183">
        <f t="shared" ref="O169:Q169" si="220">G169+W169</f>
        <v>0</v>
      </c>
      <c r="P169" s="183">
        <f t="shared" si="220"/>
        <v>0</v>
      </c>
      <c r="Q169" s="183">
        <f t="shared" si="220"/>
        <v>0</v>
      </c>
      <c r="R169" s="183">
        <f t="shared" si="9"/>
        <v>0</v>
      </c>
      <c r="S169" s="183">
        <f t="shared" si="10"/>
        <v>0</v>
      </c>
      <c r="T169" s="183">
        <f t="shared" si="11"/>
        <v>0</v>
      </c>
      <c r="U169" s="186"/>
      <c r="V169" s="183">
        <f>IFERROR(__xludf.DUMMYFUNCTION("""COMPUTED_VALUE"""),0.0)</f>
        <v>0</v>
      </c>
      <c r="W169" s="183">
        <f>IFERROR(__xludf.DUMMYFUNCTION("""COMPUTED_VALUE"""),0.0)</f>
        <v>0</v>
      </c>
      <c r="X169" s="183">
        <f>IFERROR(__xludf.DUMMYFUNCTION("""COMPUTED_VALUE"""),0.0)</f>
        <v>0</v>
      </c>
      <c r="Y169" s="183">
        <f>IFERROR(__xludf.DUMMYFUNCTION("""COMPUTED_VALUE"""),0.0)</f>
        <v>0</v>
      </c>
      <c r="Z169" s="183">
        <f t="shared" si="12"/>
        <v>0</v>
      </c>
      <c r="AA169" s="183">
        <f t="shared" si="13"/>
        <v>0</v>
      </c>
      <c r="AB169" s="183">
        <f t="shared" si="14"/>
        <v>0</v>
      </c>
    </row>
    <row r="170" ht="14.25" customHeight="1">
      <c r="A170" s="175"/>
      <c r="B170" s="177"/>
      <c r="D170" s="209" t="s">
        <v>905</v>
      </c>
      <c r="E170" s="183">
        <f>SUMIFS('DB BTL'!$J:$J,'DB BTL'!$E:$E,$B170,'DB BTL'!$A:$A,$D$4,'DB BTL'!$B:$B,$E$3,'DB BTL'!$D:$D,AA$1)</f>
        <v>0</v>
      </c>
      <c r="F170" s="183">
        <f>SUMIFS('DB BTL'!$J:$J,'DB BTL'!$E:$E,$B170,'DB BTL'!$A:$A,$D$4,'DB BTL'!$B:$B,$E$3,'DB BTL'!$D:$D,AA$2)</f>
        <v>0</v>
      </c>
      <c r="G170" s="184">
        <f>IFERROR(HLOOKUP($E$3,'Tahun Lalu'!$B$5:$V$158,MATCH(B170,'Tahun Lalu'!$B$5:$B$158,0),0),0)</f>
        <v>0</v>
      </c>
      <c r="H170" s="184">
        <v>0.0</v>
      </c>
      <c r="I170" s="184">
        <v>0.0</v>
      </c>
      <c r="J170" s="183">
        <f t="shared" si="3"/>
        <v>0</v>
      </c>
      <c r="K170" s="183">
        <f t="shared" si="4"/>
        <v>0</v>
      </c>
      <c r="L170" s="183">
        <f t="shared" si="5"/>
        <v>0</v>
      </c>
      <c r="M170" s="183">
        <f t="shared" si="6"/>
        <v>0</v>
      </c>
      <c r="N170" s="183">
        <f t="shared" si="218"/>
        <v>0</v>
      </c>
      <c r="O170" s="183">
        <f t="shared" ref="O170:Q170" si="221">G170+W170</f>
        <v>0</v>
      </c>
      <c r="P170" s="183">
        <f t="shared" si="221"/>
        <v>0</v>
      </c>
      <c r="Q170" s="183">
        <f t="shared" si="221"/>
        <v>0</v>
      </c>
      <c r="R170" s="183">
        <f t="shared" si="9"/>
        <v>0</v>
      </c>
      <c r="S170" s="183">
        <f t="shared" si="10"/>
        <v>0</v>
      </c>
      <c r="T170" s="183">
        <f t="shared" si="11"/>
        <v>0</v>
      </c>
      <c r="U170" s="186"/>
      <c r="V170" s="183">
        <f>IFERROR(__xludf.DUMMYFUNCTION("""COMPUTED_VALUE"""),0.0)</f>
        <v>0</v>
      </c>
      <c r="W170" s="183">
        <f>IFERROR(__xludf.DUMMYFUNCTION("""COMPUTED_VALUE"""),0.0)</f>
        <v>0</v>
      </c>
      <c r="X170" s="183">
        <f>IFERROR(__xludf.DUMMYFUNCTION("""COMPUTED_VALUE"""),0.0)</f>
        <v>0</v>
      </c>
      <c r="Y170" s="183">
        <f>IFERROR(__xludf.DUMMYFUNCTION("""COMPUTED_VALUE"""),0.0)</f>
        <v>0</v>
      </c>
      <c r="Z170" s="183">
        <f t="shared" si="12"/>
        <v>0</v>
      </c>
      <c r="AA170" s="183">
        <f t="shared" si="13"/>
        <v>0</v>
      </c>
      <c r="AB170" s="183">
        <f t="shared" si="14"/>
        <v>0</v>
      </c>
    </row>
    <row r="171" ht="14.25" customHeight="1">
      <c r="A171" s="175"/>
      <c r="B171" s="177"/>
      <c r="D171" s="209" t="s">
        <v>906</v>
      </c>
      <c r="E171" s="183">
        <f>SUMIFS('DB BTL'!$J:$J,'DB BTL'!$E:$E,$B171,'DB BTL'!$A:$A,$D$4,'DB BTL'!$B:$B,$E$3,'DB BTL'!$D:$D,AA$1)</f>
        <v>0</v>
      </c>
      <c r="F171" s="183">
        <f>SUMIFS('DB BTL'!$J:$J,'DB BTL'!$E:$E,$B171,'DB BTL'!$A:$A,$D$4,'DB BTL'!$B:$B,$E$3,'DB BTL'!$D:$D,AA$2)</f>
        <v>0</v>
      </c>
      <c r="G171" s="184">
        <f>IFERROR(HLOOKUP($E$3,'Tahun Lalu'!$B$5:$V$158,MATCH(B171,'Tahun Lalu'!$B$5:$B$158,0),0),0)</f>
        <v>0</v>
      </c>
      <c r="H171" s="184">
        <v>0.0</v>
      </c>
      <c r="I171" s="184">
        <v>0.0</v>
      </c>
      <c r="J171" s="183">
        <f t="shared" si="3"/>
        <v>0</v>
      </c>
      <c r="K171" s="183">
        <f t="shared" si="4"/>
        <v>0</v>
      </c>
      <c r="L171" s="183">
        <f t="shared" si="5"/>
        <v>0</v>
      </c>
      <c r="M171" s="183">
        <f t="shared" si="6"/>
        <v>0</v>
      </c>
      <c r="N171" s="183">
        <f t="shared" si="218"/>
        <v>0</v>
      </c>
      <c r="O171" s="183">
        <f t="shared" ref="O171:Q171" si="222">G171+W171</f>
        <v>0</v>
      </c>
      <c r="P171" s="183">
        <f t="shared" si="222"/>
        <v>0</v>
      </c>
      <c r="Q171" s="183">
        <f t="shared" si="222"/>
        <v>0</v>
      </c>
      <c r="R171" s="183">
        <f t="shared" si="9"/>
        <v>0</v>
      </c>
      <c r="S171" s="183">
        <f t="shared" si="10"/>
        <v>0</v>
      </c>
      <c r="T171" s="183">
        <f t="shared" si="11"/>
        <v>0</v>
      </c>
      <c r="U171" s="186"/>
      <c r="V171" s="183">
        <f>IFERROR(__xludf.DUMMYFUNCTION("""COMPUTED_VALUE"""),0.0)</f>
        <v>0</v>
      </c>
      <c r="W171" s="183">
        <f>IFERROR(__xludf.DUMMYFUNCTION("""COMPUTED_VALUE"""),0.0)</f>
        <v>0</v>
      </c>
      <c r="X171" s="183">
        <f>IFERROR(__xludf.DUMMYFUNCTION("""COMPUTED_VALUE"""),0.0)</f>
        <v>0</v>
      </c>
      <c r="Y171" s="183">
        <f>IFERROR(__xludf.DUMMYFUNCTION("""COMPUTED_VALUE"""),0.0)</f>
        <v>0</v>
      </c>
      <c r="Z171" s="183">
        <f t="shared" si="12"/>
        <v>0</v>
      </c>
      <c r="AA171" s="183">
        <f t="shared" si="13"/>
        <v>0</v>
      </c>
      <c r="AB171" s="183">
        <f t="shared" si="14"/>
        <v>0</v>
      </c>
    </row>
    <row r="172" ht="14.25" customHeight="1">
      <c r="A172" s="175"/>
      <c r="B172" s="181" t="s">
        <v>475</v>
      </c>
      <c r="D172" s="209" t="s">
        <v>708</v>
      </c>
      <c r="E172" s="183">
        <f>SUMIFS('DB BTL'!$J:$J,'DB BTL'!$E:$E,$B172,'DB BTL'!$A:$A,$D$4,'DB BTL'!$B:$B,$E$3,'DB BTL'!$D:$D,AA$1)</f>
        <v>0</v>
      </c>
      <c r="F172" s="183">
        <f>SUMIFS('DB BTL'!$J:$J,'DB BTL'!$E:$E,$B172,'DB BTL'!$A:$A,$D$4,'DB BTL'!$B:$B,$E$3,'DB BTL'!$D:$D,AA$2)</f>
        <v>0</v>
      </c>
      <c r="G172" s="184">
        <f>IFERROR(HLOOKUP($E$3,'Tahun Lalu'!$B$5:$V$158,MATCH(B172,'Tahun Lalu'!$B$5:$B$158,0),0),0)</f>
        <v>0</v>
      </c>
      <c r="H172" s="184">
        <v>0.0</v>
      </c>
      <c r="I172" s="184">
        <v>0.0</v>
      </c>
      <c r="J172" s="183">
        <f t="shared" si="3"/>
        <v>0</v>
      </c>
      <c r="K172" s="183">
        <f t="shared" si="4"/>
        <v>0</v>
      </c>
      <c r="L172" s="183">
        <f t="shared" si="5"/>
        <v>0</v>
      </c>
      <c r="M172" s="183">
        <f t="shared" si="6"/>
        <v>0</v>
      </c>
      <c r="N172" s="183">
        <f t="shared" si="218"/>
        <v>0</v>
      </c>
      <c r="O172" s="183">
        <f t="shared" ref="O172:Q172" si="223">G172+W172</f>
        <v>0</v>
      </c>
      <c r="P172" s="183">
        <f t="shared" si="223"/>
        <v>0</v>
      </c>
      <c r="Q172" s="183">
        <f t="shared" si="223"/>
        <v>0</v>
      </c>
      <c r="R172" s="183">
        <f t="shared" si="9"/>
        <v>0</v>
      </c>
      <c r="S172" s="183">
        <f t="shared" si="10"/>
        <v>0</v>
      </c>
      <c r="T172" s="183">
        <f t="shared" si="11"/>
        <v>0</v>
      </c>
      <c r="U172" s="186"/>
      <c r="V172" s="183">
        <f>IFERROR(__xludf.DUMMYFUNCTION("""COMPUTED_VALUE"""),0.0)</f>
        <v>0</v>
      </c>
      <c r="W172" s="183">
        <f>IFERROR(__xludf.DUMMYFUNCTION("""COMPUTED_VALUE"""),0.0)</f>
        <v>0</v>
      </c>
      <c r="X172" s="183">
        <f>IFERROR(__xludf.DUMMYFUNCTION("""COMPUTED_VALUE"""),0.0)</f>
        <v>0</v>
      </c>
      <c r="Y172" s="183">
        <f>IFERROR(__xludf.DUMMYFUNCTION("""COMPUTED_VALUE"""),0.0)</f>
        <v>0</v>
      </c>
      <c r="Z172" s="183">
        <f t="shared" si="12"/>
        <v>0</v>
      </c>
      <c r="AA172" s="183">
        <f t="shared" si="13"/>
        <v>0</v>
      </c>
      <c r="AB172" s="183">
        <f t="shared" si="14"/>
        <v>0</v>
      </c>
    </row>
    <row r="173" ht="14.25" customHeight="1">
      <c r="A173" s="175"/>
      <c r="B173" s="177"/>
      <c r="D173" s="209" t="s">
        <v>907</v>
      </c>
      <c r="E173" s="183">
        <f>SUMIFS('DB BTL'!$J:$J,'DB BTL'!$E:$E,$B173,'DB BTL'!$A:$A,$D$4,'DB BTL'!$B:$B,$E$3,'DB BTL'!$D:$D,AA$1)</f>
        <v>0</v>
      </c>
      <c r="F173" s="183">
        <f>SUMIFS('DB BTL'!$J:$J,'DB BTL'!$E:$E,$B173,'DB BTL'!$A:$A,$D$4,'DB BTL'!$B:$B,$E$3,'DB BTL'!$D:$D,AA$2)</f>
        <v>0</v>
      </c>
      <c r="G173" s="184">
        <f>IFERROR(HLOOKUP($E$3,'Tahun Lalu'!$B$5:$V$158,MATCH(B173,'Tahun Lalu'!$B$5:$B$158,0),0),0)</f>
        <v>0</v>
      </c>
      <c r="H173" s="184">
        <v>0.0</v>
      </c>
      <c r="I173" s="184">
        <v>0.0</v>
      </c>
      <c r="J173" s="183">
        <f t="shared" si="3"/>
        <v>0</v>
      </c>
      <c r="K173" s="183">
        <f t="shared" si="4"/>
        <v>0</v>
      </c>
      <c r="L173" s="183">
        <f t="shared" si="5"/>
        <v>0</v>
      </c>
      <c r="M173" s="183">
        <f t="shared" si="6"/>
        <v>0</v>
      </c>
      <c r="N173" s="183">
        <f t="shared" si="218"/>
        <v>0</v>
      </c>
      <c r="O173" s="183">
        <f t="shared" ref="O173:Q173" si="224">G173+W173</f>
        <v>0</v>
      </c>
      <c r="P173" s="183">
        <f t="shared" si="224"/>
        <v>0</v>
      </c>
      <c r="Q173" s="183">
        <f t="shared" si="224"/>
        <v>0</v>
      </c>
      <c r="R173" s="183">
        <f t="shared" si="9"/>
        <v>0</v>
      </c>
      <c r="S173" s="183">
        <f t="shared" si="10"/>
        <v>0</v>
      </c>
      <c r="T173" s="183">
        <f t="shared" si="11"/>
        <v>0</v>
      </c>
      <c r="U173" s="186"/>
      <c r="V173" s="183">
        <f>IFERROR(__xludf.DUMMYFUNCTION("""COMPUTED_VALUE"""),0.0)</f>
        <v>0</v>
      </c>
      <c r="W173" s="183">
        <f>IFERROR(__xludf.DUMMYFUNCTION("""COMPUTED_VALUE"""),0.0)</f>
        <v>0</v>
      </c>
      <c r="X173" s="183">
        <f>IFERROR(__xludf.DUMMYFUNCTION("""COMPUTED_VALUE"""),0.0)</f>
        <v>0</v>
      </c>
      <c r="Y173" s="183">
        <f>IFERROR(__xludf.DUMMYFUNCTION("""COMPUTED_VALUE"""),0.0)</f>
        <v>0</v>
      </c>
      <c r="Z173" s="183">
        <f t="shared" si="12"/>
        <v>0</v>
      </c>
      <c r="AA173" s="183">
        <f t="shared" si="13"/>
        <v>0</v>
      </c>
      <c r="AB173" s="183">
        <f t="shared" si="14"/>
        <v>0</v>
      </c>
    </row>
    <row r="174" ht="14.25" customHeight="1">
      <c r="A174" s="175"/>
      <c r="B174" s="181" t="s">
        <v>482</v>
      </c>
      <c r="D174" s="209" t="s">
        <v>709</v>
      </c>
      <c r="E174" s="183">
        <f>SUMIFS('DB BTL'!$J:$J,'DB BTL'!$E:$E,$B174,'DB BTL'!$A:$A,$D$4,'DB BTL'!$B:$B,$E$3,'DB BTL'!$D:$D,AA$1)</f>
        <v>0</v>
      </c>
      <c r="F174" s="183">
        <f>SUMIFS('DB BTL'!$J:$J,'DB BTL'!$E:$E,$B174,'DB BTL'!$A:$A,$D$4,'DB BTL'!$B:$B,$E$3,'DB BTL'!$D:$D,AA$2)</f>
        <v>0</v>
      </c>
      <c r="G174" s="184">
        <f>IFERROR(HLOOKUP($E$3,'Tahun Lalu'!$B$5:$V$158,MATCH(B174,'Tahun Lalu'!$B$5:$B$158,0),0),0)</f>
        <v>0</v>
      </c>
      <c r="H174" s="184">
        <v>0.0</v>
      </c>
      <c r="I174" s="184">
        <v>0.0</v>
      </c>
      <c r="J174" s="183">
        <f t="shared" si="3"/>
        <v>0</v>
      </c>
      <c r="K174" s="183">
        <f t="shared" si="4"/>
        <v>0</v>
      </c>
      <c r="L174" s="183">
        <f t="shared" si="5"/>
        <v>0</v>
      </c>
      <c r="M174" s="183">
        <f t="shared" si="6"/>
        <v>0</v>
      </c>
      <c r="N174" s="183">
        <f t="shared" si="218"/>
        <v>0</v>
      </c>
      <c r="O174" s="183">
        <f t="shared" ref="O174:Q174" si="225">G174+W174</f>
        <v>0</v>
      </c>
      <c r="P174" s="183">
        <f t="shared" si="225"/>
        <v>0</v>
      </c>
      <c r="Q174" s="183">
        <f t="shared" si="225"/>
        <v>0</v>
      </c>
      <c r="R174" s="183">
        <f t="shared" si="9"/>
        <v>0</v>
      </c>
      <c r="S174" s="183">
        <f t="shared" si="10"/>
        <v>0</v>
      </c>
      <c r="T174" s="183">
        <f t="shared" si="11"/>
        <v>0</v>
      </c>
      <c r="U174" s="186"/>
      <c r="V174" s="183">
        <f>IFERROR(__xludf.DUMMYFUNCTION("""COMPUTED_VALUE"""),0.0)</f>
        <v>0</v>
      </c>
      <c r="W174" s="183">
        <f>IFERROR(__xludf.DUMMYFUNCTION("""COMPUTED_VALUE"""),0.0)</f>
        <v>0</v>
      </c>
      <c r="X174" s="183">
        <f>IFERROR(__xludf.DUMMYFUNCTION("""COMPUTED_VALUE"""),0.0)</f>
        <v>0</v>
      </c>
      <c r="Y174" s="183">
        <f>IFERROR(__xludf.DUMMYFUNCTION("""COMPUTED_VALUE"""),0.0)</f>
        <v>0</v>
      </c>
      <c r="Z174" s="183">
        <f t="shared" si="12"/>
        <v>0</v>
      </c>
      <c r="AA174" s="183">
        <f t="shared" si="13"/>
        <v>0</v>
      </c>
      <c r="AB174" s="183">
        <f t="shared" si="14"/>
        <v>0</v>
      </c>
    </row>
    <row r="175" ht="14.25" customHeight="1">
      <c r="A175" s="175"/>
      <c r="B175" s="181" t="s">
        <v>459</v>
      </c>
      <c r="D175" s="209" t="s">
        <v>710</v>
      </c>
      <c r="E175" s="183">
        <f>SUMIFS('DB BTL'!$J:$J,'DB BTL'!$E:$E,$B175,'DB BTL'!$A:$A,$D$4,'DB BTL'!$B:$B,$E$3,'DB BTL'!$D:$D,AA$1)</f>
        <v>0</v>
      </c>
      <c r="F175" s="183">
        <f>SUMIFS('DB BTL'!$J:$J,'DB BTL'!$E:$E,$B175,'DB BTL'!$A:$A,$D$4,'DB BTL'!$B:$B,$E$3,'DB BTL'!$D:$D,AA$2)</f>
        <v>0</v>
      </c>
      <c r="G175" s="184">
        <f>IFERROR(HLOOKUP($E$3,'Tahun Lalu'!$B$5:$V$158,MATCH(B175,'Tahun Lalu'!$B$5:$B$158,0),0),0)</f>
        <v>0</v>
      </c>
      <c r="H175" s="184">
        <v>0.0</v>
      </c>
      <c r="I175" s="184">
        <v>0.0</v>
      </c>
      <c r="J175" s="183">
        <f t="shared" si="3"/>
        <v>0</v>
      </c>
      <c r="K175" s="183">
        <f t="shared" si="4"/>
        <v>0</v>
      </c>
      <c r="L175" s="183">
        <f t="shared" si="5"/>
        <v>0</v>
      </c>
      <c r="M175" s="183">
        <f t="shared" si="6"/>
        <v>0</v>
      </c>
      <c r="N175" s="183">
        <f t="shared" si="218"/>
        <v>0</v>
      </c>
      <c r="O175" s="183">
        <f t="shared" ref="O175:Q175" si="226">G175+W175</f>
        <v>0</v>
      </c>
      <c r="P175" s="183">
        <f t="shared" si="226"/>
        <v>0</v>
      </c>
      <c r="Q175" s="183">
        <f t="shared" si="226"/>
        <v>0</v>
      </c>
      <c r="R175" s="183">
        <f t="shared" si="9"/>
        <v>0</v>
      </c>
      <c r="S175" s="183">
        <f t="shared" si="10"/>
        <v>0</v>
      </c>
      <c r="T175" s="183">
        <f t="shared" si="11"/>
        <v>0</v>
      </c>
      <c r="U175" s="186"/>
      <c r="V175" s="183">
        <f>IFERROR(__xludf.DUMMYFUNCTION("""COMPUTED_VALUE"""),0.0)</f>
        <v>0</v>
      </c>
      <c r="W175" s="183">
        <f>IFERROR(__xludf.DUMMYFUNCTION("""COMPUTED_VALUE"""),0.0)</f>
        <v>0</v>
      </c>
      <c r="X175" s="183">
        <f>IFERROR(__xludf.DUMMYFUNCTION("""COMPUTED_VALUE"""),0.0)</f>
        <v>0</v>
      </c>
      <c r="Y175" s="183">
        <f>IFERROR(__xludf.DUMMYFUNCTION("""COMPUTED_VALUE"""),0.0)</f>
        <v>0</v>
      </c>
      <c r="Z175" s="183">
        <f t="shared" si="12"/>
        <v>0</v>
      </c>
      <c r="AA175" s="183">
        <f t="shared" si="13"/>
        <v>0</v>
      </c>
      <c r="AB175" s="183">
        <f t="shared" si="14"/>
        <v>0</v>
      </c>
    </row>
    <row r="176" ht="14.25" customHeight="1">
      <c r="A176" s="175"/>
      <c r="B176" s="181" t="s">
        <v>463</v>
      </c>
      <c r="D176" s="209" t="s">
        <v>711</v>
      </c>
      <c r="E176" s="183">
        <f>SUMIFS('DB BTL'!$J:$J,'DB BTL'!$E:$E,$B176,'DB BTL'!$A:$A,$D$4,'DB BTL'!$B:$B,$E$3,'DB BTL'!$D:$D,AA$1)</f>
        <v>0</v>
      </c>
      <c r="F176" s="183">
        <f>SUMIFS('DB BTL'!$J:$J,'DB BTL'!$E:$E,$B176,'DB BTL'!$A:$A,$D$4,'DB BTL'!$B:$B,$E$3,'DB BTL'!$D:$D,AA$2)</f>
        <v>0</v>
      </c>
      <c r="G176" s="184">
        <f>IFERROR(HLOOKUP($E$3,'Tahun Lalu'!$B$5:$V$158,MATCH(B176,'Tahun Lalu'!$B$5:$B$158,0),0),0)</f>
        <v>0</v>
      </c>
      <c r="H176" s="184">
        <v>0.0</v>
      </c>
      <c r="I176" s="184">
        <v>0.0</v>
      </c>
      <c r="J176" s="183">
        <f t="shared" si="3"/>
        <v>0</v>
      </c>
      <c r="K176" s="183">
        <f t="shared" si="4"/>
        <v>0</v>
      </c>
      <c r="L176" s="183">
        <f t="shared" si="5"/>
        <v>0</v>
      </c>
      <c r="M176" s="183">
        <f t="shared" si="6"/>
        <v>0</v>
      </c>
      <c r="N176" s="183">
        <f t="shared" si="218"/>
        <v>0</v>
      </c>
      <c r="O176" s="183">
        <f t="shared" ref="O176:Q176" si="227">G176+W176</f>
        <v>0</v>
      </c>
      <c r="P176" s="183">
        <f t="shared" si="227"/>
        <v>0</v>
      </c>
      <c r="Q176" s="183">
        <f t="shared" si="227"/>
        <v>0</v>
      </c>
      <c r="R176" s="183">
        <f t="shared" si="9"/>
        <v>0</v>
      </c>
      <c r="S176" s="183">
        <f t="shared" si="10"/>
        <v>0</v>
      </c>
      <c r="T176" s="183">
        <f t="shared" si="11"/>
        <v>0</v>
      </c>
      <c r="U176" s="186"/>
      <c r="V176" s="183">
        <f>IFERROR(__xludf.DUMMYFUNCTION("""COMPUTED_VALUE"""),0.0)</f>
        <v>0</v>
      </c>
      <c r="W176" s="183">
        <f>IFERROR(__xludf.DUMMYFUNCTION("""COMPUTED_VALUE"""),0.0)</f>
        <v>0</v>
      </c>
      <c r="X176" s="183">
        <f>IFERROR(__xludf.DUMMYFUNCTION("""COMPUTED_VALUE"""),0.0)</f>
        <v>0</v>
      </c>
      <c r="Y176" s="183">
        <f>IFERROR(__xludf.DUMMYFUNCTION("""COMPUTED_VALUE"""),0.0)</f>
        <v>0</v>
      </c>
      <c r="Z176" s="183">
        <f t="shared" si="12"/>
        <v>0</v>
      </c>
      <c r="AA176" s="183">
        <f t="shared" si="13"/>
        <v>0</v>
      </c>
      <c r="AB176" s="183">
        <f t="shared" si="14"/>
        <v>0</v>
      </c>
    </row>
    <row r="177" ht="14.25" customHeight="1">
      <c r="A177" s="175"/>
      <c r="B177" s="181" t="s">
        <v>469</v>
      </c>
      <c r="D177" s="209" t="s">
        <v>712</v>
      </c>
      <c r="E177" s="183">
        <f>SUMIFS('DB BTL'!$J:$J,'DB BTL'!$E:$E,$B177,'DB BTL'!$A:$A,$D$4,'DB BTL'!$B:$B,$E$3,'DB BTL'!$D:$D,AA$1)</f>
        <v>0</v>
      </c>
      <c r="F177" s="183">
        <f>SUMIFS('DB BTL'!$J:$J,'DB BTL'!$E:$E,$B177,'DB BTL'!$A:$A,$D$4,'DB BTL'!$B:$B,$E$3,'DB BTL'!$D:$D,AA$2)</f>
        <v>0</v>
      </c>
      <c r="G177" s="184">
        <f>IFERROR(HLOOKUP($E$3,'Tahun Lalu'!$B$5:$V$158,MATCH(B177,'Tahun Lalu'!$B$5:$B$158,0),0),0)</f>
        <v>0</v>
      </c>
      <c r="H177" s="184">
        <v>0.0</v>
      </c>
      <c r="I177" s="184">
        <v>0.0</v>
      </c>
      <c r="J177" s="183">
        <f t="shared" si="3"/>
        <v>0</v>
      </c>
      <c r="K177" s="183">
        <f t="shared" si="4"/>
        <v>0</v>
      </c>
      <c r="L177" s="183">
        <f t="shared" si="5"/>
        <v>0</v>
      </c>
      <c r="M177" s="183">
        <f t="shared" si="6"/>
        <v>0</v>
      </c>
      <c r="N177" s="183">
        <f t="shared" si="218"/>
        <v>0</v>
      </c>
      <c r="O177" s="183">
        <f t="shared" ref="O177:Q177" si="228">G177+W177</f>
        <v>0</v>
      </c>
      <c r="P177" s="183">
        <f t="shared" si="228"/>
        <v>0</v>
      </c>
      <c r="Q177" s="183">
        <f t="shared" si="228"/>
        <v>0</v>
      </c>
      <c r="R177" s="183">
        <f t="shared" si="9"/>
        <v>0</v>
      </c>
      <c r="S177" s="183">
        <f t="shared" si="10"/>
        <v>0</v>
      </c>
      <c r="T177" s="183">
        <f t="shared" si="11"/>
        <v>0</v>
      </c>
      <c r="U177" s="186"/>
      <c r="V177" s="183">
        <f>IFERROR(__xludf.DUMMYFUNCTION("""COMPUTED_VALUE"""),0.0)</f>
        <v>0</v>
      </c>
      <c r="W177" s="183">
        <f>IFERROR(__xludf.DUMMYFUNCTION("""COMPUTED_VALUE"""),0.0)</f>
        <v>0</v>
      </c>
      <c r="X177" s="183">
        <f>IFERROR(__xludf.DUMMYFUNCTION("""COMPUTED_VALUE"""),0.0)</f>
        <v>0</v>
      </c>
      <c r="Y177" s="183">
        <f>IFERROR(__xludf.DUMMYFUNCTION("""COMPUTED_VALUE"""),0.0)</f>
        <v>0</v>
      </c>
      <c r="Z177" s="183">
        <f t="shared" si="12"/>
        <v>0</v>
      </c>
      <c r="AA177" s="183">
        <f t="shared" si="13"/>
        <v>0</v>
      </c>
      <c r="AB177" s="183">
        <f t="shared" si="14"/>
        <v>0</v>
      </c>
    </row>
    <row r="178" ht="14.25" customHeight="1">
      <c r="A178" s="175"/>
      <c r="B178" s="181" t="s">
        <v>487</v>
      </c>
      <c r="D178" s="209" t="s">
        <v>713</v>
      </c>
      <c r="E178" s="183">
        <f>SUMIFS('DB BTL'!$J:$J,'DB BTL'!$E:$E,$B178,'DB BTL'!$A:$A,$D$4,'DB BTL'!$B:$B,$E$3,'DB BTL'!$D:$D,AA$1)</f>
        <v>0</v>
      </c>
      <c r="F178" s="183">
        <f>SUMIFS('DB BTL'!$J:$J,'DB BTL'!$E:$E,$B178,'DB BTL'!$A:$A,$D$4,'DB BTL'!$B:$B,$E$3,'DB BTL'!$D:$D,AA$2)</f>
        <v>0</v>
      </c>
      <c r="G178" s="184">
        <f>IFERROR(HLOOKUP($E$3,'Tahun Lalu'!$B$5:$V$158,MATCH(B178,'Tahun Lalu'!$B$5:$B$158,0),0),0)</f>
        <v>0</v>
      </c>
      <c r="H178" s="184">
        <v>0.0</v>
      </c>
      <c r="I178" s="184">
        <v>0.0</v>
      </c>
      <c r="J178" s="183">
        <f t="shared" si="3"/>
        <v>0</v>
      </c>
      <c r="K178" s="183">
        <f t="shared" si="4"/>
        <v>0</v>
      </c>
      <c r="L178" s="183">
        <f t="shared" si="5"/>
        <v>0</v>
      </c>
      <c r="M178" s="183">
        <f t="shared" si="6"/>
        <v>0</v>
      </c>
      <c r="N178" s="183">
        <f t="shared" si="218"/>
        <v>0</v>
      </c>
      <c r="O178" s="183">
        <f t="shared" ref="O178:Q178" si="229">G178+W178</f>
        <v>0</v>
      </c>
      <c r="P178" s="183">
        <f t="shared" si="229"/>
        <v>0</v>
      </c>
      <c r="Q178" s="183">
        <f t="shared" si="229"/>
        <v>0</v>
      </c>
      <c r="R178" s="183">
        <f t="shared" si="9"/>
        <v>0</v>
      </c>
      <c r="S178" s="183">
        <f t="shared" si="10"/>
        <v>0</v>
      </c>
      <c r="T178" s="183">
        <f t="shared" si="11"/>
        <v>0</v>
      </c>
      <c r="U178" s="186"/>
      <c r="V178" s="183">
        <f>IFERROR(__xludf.DUMMYFUNCTION("""COMPUTED_VALUE"""),0.0)</f>
        <v>0</v>
      </c>
      <c r="W178" s="183">
        <f>IFERROR(__xludf.DUMMYFUNCTION("""COMPUTED_VALUE"""),0.0)</f>
        <v>0</v>
      </c>
      <c r="X178" s="183">
        <f>IFERROR(__xludf.DUMMYFUNCTION("""COMPUTED_VALUE"""),0.0)</f>
        <v>0</v>
      </c>
      <c r="Y178" s="183">
        <f>IFERROR(__xludf.DUMMYFUNCTION("""COMPUTED_VALUE"""),0.0)</f>
        <v>0</v>
      </c>
      <c r="Z178" s="183">
        <f t="shared" si="12"/>
        <v>0</v>
      </c>
      <c r="AA178" s="183">
        <f t="shared" si="13"/>
        <v>0</v>
      </c>
      <c r="AB178" s="183">
        <f t="shared" si="14"/>
        <v>0</v>
      </c>
    </row>
    <row r="179" ht="14.25" customHeight="1">
      <c r="A179" s="175"/>
      <c r="B179" s="181" t="s">
        <v>556</v>
      </c>
      <c r="D179" s="209" t="s">
        <v>908</v>
      </c>
      <c r="E179" s="183">
        <f>SUMIFS('DB BTL'!$J:$J,'DB BTL'!$E:$E,$B179,'DB BTL'!$A:$A,$D$4,'DB BTL'!$B:$B,$E$3,'DB BTL'!$D:$D,AA$1)</f>
        <v>0</v>
      </c>
      <c r="F179" s="183">
        <f>SUMIFS('DB BTL'!$J:$J,'DB BTL'!$E:$E,$B179,'DB BTL'!$A:$A,$D$4,'DB BTL'!$B:$B,$E$3,'DB BTL'!$D:$D,AA$2)</f>
        <v>0</v>
      </c>
      <c r="G179" s="184">
        <f>IFERROR(HLOOKUP($E$3,'Tahun Lalu'!$B$5:$V$158,MATCH(B179,'Tahun Lalu'!$B$5:$B$158,0),0),0)</f>
        <v>0</v>
      </c>
      <c r="H179" s="184">
        <v>0.0</v>
      </c>
      <c r="I179" s="184">
        <v>0.0</v>
      </c>
      <c r="J179" s="183">
        <f t="shared" si="3"/>
        <v>0</v>
      </c>
      <c r="K179" s="183">
        <f t="shared" si="4"/>
        <v>0</v>
      </c>
      <c r="L179" s="183">
        <f t="shared" si="5"/>
        <v>0</v>
      </c>
      <c r="M179" s="183">
        <f t="shared" si="6"/>
        <v>0</v>
      </c>
      <c r="N179" s="183">
        <f t="shared" si="218"/>
        <v>0</v>
      </c>
      <c r="O179" s="183">
        <f t="shared" ref="O179:Q179" si="230">G179+W179</f>
        <v>0</v>
      </c>
      <c r="P179" s="183">
        <f t="shared" si="230"/>
        <v>0</v>
      </c>
      <c r="Q179" s="183">
        <f t="shared" si="230"/>
        <v>0</v>
      </c>
      <c r="R179" s="183">
        <f t="shared" si="9"/>
        <v>0</v>
      </c>
      <c r="S179" s="183">
        <f t="shared" si="10"/>
        <v>0</v>
      </c>
      <c r="T179" s="183">
        <f t="shared" si="11"/>
        <v>0</v>
      </c>
      <c r="U179" s="186"/>
      <c r="V179" s="183">
        <f>IFERROR(__xludf.DUMMYFUNCTION("""COMPUTED_VALUE"""),0.0)</f>
        <v>0</v>
      </c>
      <c r="W179" s="183">
        <f>IFERROR(__xludf.DUMMYFUNCTION("""COMPUTED_VALUE"""),0.0)</f>
        <v>0</v>
      </c>
      <c r="X179" s="183">
        <f>IFERROR(__xludf.DUMMYFUNCTION("""COMPUTED_VALUE"""),0.0)</f>
        <v>0</v>
      </c>
      <c r="Y179" s="183">
        <f>IFERROR(__xludf.DUMMYFUNCTION("""COMPUTED_VALUE"""),0.0)</f>
        <v>0</v>
      </c>
      <c r="Z179" s="183">
        <f t="shared" si="12"/>
        <v>0</v>
      </c>
      <c r="AA179" s="183">
        <f t="shared" si="13"/>
        <v>0</v>
      </c>
      <c r="AB179" s="183">
        <f t="shared" si="14"/>
        <v>0</v>
      </c>
    </row>
    <row r="180" ht="14.25" customHeight="1">
      <c r="A180" s="175"/>
      <c r="B180" s="181"/>
      <c r="D180" s="209" t="s">
        <v>909</v>
      </c>
      <c r="E180" s="183">
        <f>SUMIFS('DB BTL'!$J:$J,'DB BTL'!$E:$E,$B180,'DB BTL'!$A:$A,$D$4,'DB BTL'!$B:$B,$E$3,'DB BTL'!$D:$D,AA$1)</f>
        <v>0</v>
      </c>
      <c r="F180" s="183">
        <f>SUMIFS('DB BTL'!$J:$J,'DB BTL'!$E:$E,$B180,'DB BTL'!$A:$A,$D$4,'DB BTL'!$B:$B,$E$3,'DB BTL'!$D:$D,AA$2)</f>
        <v>0</v>
      </c>
      <c r="G180" s="184">
        <f>IFERROR(HLOOKUP($E$3,'Tahun Lalu'!$B$5:$V$158,MATCH(B180,'Tahun Lalu'!$B$5:$B$158,0),0),0)</f>
        <v>0</v>
      </c>
      <c r="H180" s="184">
        <v>0.0</v>
      </c>
      <c r="I180" s="184">
        <v>0.0</v>
      </c>
      <c r="J180" s="183">
        <f t="shared" si="3"/>
        <v>0</v>
      </c>
      <c r="K180" s="183">
        <f t="shared" si="4"/>
        <v>0</v>
      </c>
      <c r="L180" s="183">
        <f t="shared" si="5"/>
        <v>0</v>
      </c>
      <c r="M180" s="183">
        <f t="shared" si="6"/>
        <v>0</v>
      </c>
      <c r="N180" s="183">
        <f t="shared" si="218"/>
        <v>0</v>
      </c>
      <c r="O180" s="183">
        <f t="shared" ref="O180:Q180" si="231">G180+W180</f>
        <v>0</v>
      </c>
      <c r="P180" s="183">
        <f t="shared" si="231"/>
        <v>0</v>
      </c>
      <c r="Q180" s="183">
        <f t="shared" si="231"/>
        <v>0</v>
      </c>
      <c r="R180" s="183">
        <f t="shared" si="9"/>
        <v>0</v>
      </c>
      <c r="S180" s="183">
        <f t="shared" si="10"/>
        <v>0</v>
      </c>
      <c r="T180" s="183">
        <f t="shared" si="11"/>
        <v>0</v>
      </c>
      <c r="U180" s="186"/>
      <c r="V180" s="183">
        <f>IFERROR(__xludf.DUMMYFUNCTION("""COMPUTED_VALUE"""),0.0)</f>
        <v>0</v>
      </c>
      <c r="W180" s="183">
        <f>IFERROR(__xludf.DUMMYFUNCTION("""COMPUTED_VALUE"""),0.0)</f>
        <v>0</v>
      </c>
      <c r="X180" s="183">
        <f>IFERROR(__xludf.DUMMYFUNCTION("""COMPUTED_VALUE"""),0.0)</f>
        <v>0</v>
      </c>
      <c r="Y180" s="183">
        <f>IFERROR(__xludf.DUMMYFUNCTION("""COMPUTED_VALUE"""),0.0)</f>
        <v>0</v>
      </c>
      <c r="Z180" s="183">
        <f t="shared" si="12"/>
        <v>0</v>
      </c>
      <c r="AA180" s="183">
        <f t="shared" si="13"/>
        <v>0</v>
      </c>
      <c r="AB180" s="183">
        <f t="shared" si="14"/>
        <v>0</v>
      </c>
    </row>
    <row r="181" ht="14.25" customHeight="1">
      <c r="A181" s="175"/>
      <c r="B181" s="177"/>
      <c r="D181" s="209" t="s">
        <v>910</v>
      </c>
      <c r="E181" s="183">
        <f>SUMIFS('DB BTL'!$J:$J,'DB BTL'!$E:$E,$B181,'DB BTL'!$A:$A,$D$4,'DB BTL'!$B:$B,$E$3,'DB BTL'!$D:$D,AA$1)</f>
        <v>0</v>
      </c>
      <c r="F181" s="183">
        <f>SUMIFS('DB BTL'!$J:$J,'DB BTL'!$E:$E,$B181,'DB BTL'!$A:$A,$D$4,'DB BTL'!$B:$B,$E$3,'DB BTL'!$D:$D,AA$2)</f>
        <v>0</v>
      </c>
      <c r="G181" s="184">
        <f>IFERROR(HLOOKUP($E$3,'Tahun Lalu'!$B$5:$V$158,MATCH(B181,'Tahun Lalu'!$B$5:$B$158,0),0),0)</f>
        <v>0</v>
      </c>
      <c r="H181" s="184">
        <v>0.0</v>
      </c>
      <c r="I181" s="184">
        <v>0.0</v>
      </c>
      <c r="J181" s="183">
        <f t="shared" si="3"/>
        <v>0</v>
      </c>
      <c r="K181" s="183">
        <f t="shared" si="4"/>
        <v>0</v>
      </c>
      <c r="L181" s="183">
        <f t="shared" si="5"/>
        <v>0</v>
      </c>
      <c r="M181" s="183">
        <f t="shared" si="6"/>
        <v>0</v>
      </c>
      <c r="N181" s="183">
        <f t="shared" si="218"/>
        <v>0</v>
      </c>
      <c r="O181" s="183">
        <f t="shared" ref="O181:Q181" si="232">G181+W181</f>
        <v>0</v>
      </c>
      <c r="P181" s="183">
        <f t="shared" si="232"/>
        <v>0</v>
      </c>
      <c r="Q181" s="183">
        <f t="shared" si="232"/>
        <v>0</v>
      </c>
      <c r="R181" s="183">
        <f t="shared" si="9"/>
        <v>0</v>
      </c>
      <c r="S181" s="183">
        <f t="shared" si="10"/>
        <v>0</v>
      </c>
      <c r="T181" s="183">
        <f t="shared" si="11"/>
        <v>0</v>
      </c>
      <c r="U181" s="186"/>
      <c r="V181" s="183">
        <f>IFERROR(__xludf.DUMMYFUNCTION("""COMPUTED_VALUE"""),0.0)</f>
        <v>0</v>
      </c>
      <c r="W181" s="183">
        <f>IFERROR(__xludf.DUMMYFUNCTION("""COMPUTED_VALUE"""),0.0)</f>
        <v>0</v>
      </c>
      <c r="X181" s="183">
        <f>IFERROR(__xludf.DUMMYFUNCTION("""COMPUTED_VALUE"""),0.0)</f>
        <v>0</v>
      </c>
      <c r="Y181" s="183">
        <f>IFERROR(__xludf.DUMMYFUNCTION("""COMPUTED_VALUE"""),0.0)</f>
        <v>0</v>
      </c>
      <c r="Z181" s="183">
        <f t="shared" si="12"/>
        <v>0</v>
      </c>
      <c r="AA181" s="183">
        <f t="shared" si="13"/>
        <v>0</v>
      </c>
      <c r="AB181" s="183">
        <f t="shared" si="14"/>
        <v>0</v>
      </c>
    </row>
    <row r="182" ht="14.25" customHeight="1">
      <c r="A182" s="175"/>
      <c r="B182" s="181" t="s">
        <v>548</v>
      </c>
      <c r="D182" s="209" t="s">
        <v>714</v>
      </c>
      <c r="E182" s="183">
        <f>SUMIFS('DB BTL'!$J:$J,'DB BTL'!$E:$E,$B182,'DB BTL'!$A:$A,$D$4,'DB BTL'!$B:$B,$E$3,'DB BTL'!$D:$D,AA$1)</f>
        <v>0</v>
      </c>
      <c r="F182" s="183">
        <f>SUMIFS('DB BTL'!$J:$J,'DB BTL'!$E:$E,$B182,'DB BTL'!$A:$A,$D$4,'DB BTL'!$B:$B,$E$3,'DB BTL'!$D:$D,AA$2)</f>
        <v>0</v>
      </c>
      <c r="G182" s="184">
        <f>IFERROR(HLOOKUP($E$3,'Tahun Lalu'!$B$5:$V$158,MATCH(B182,'Tahun Lalu'!$B$5:$B$158,0),0),0)</f>
        <v>0</v>
      </c>
      <c r="H182" s="184">
        <v>0.0</v>
      </c>
      <c r="I182" s="184">
        <v>0.0</v>
      </c>
      <c r="J182" s="183">
        <f t="shared" si="3"/>
        <v>0</v>
      </c>
      <c r="K182" s="183">
        <f t="shared" si="4"/>
        <v>0</v>
      </c>
      <c r="L182" s="183">
        <f t="shared" si="5"/>
        <v>0</v>
      </c>
      <c r="M182" s="183">
        <f t="shared" si="6"/>
        <v>0</v>
      </c>
      <c r="N182" s="183">
        <f t="shared" si="218"/>
        <v>0</v>
      </c>
      <c r="O182" s="183">
        <f t="shared" ref="O182:Q182" si="233">G182+W182</f>
        <v>0</v>
      </c>
      <c r="P182" s="183">
        <f t="shared" si="233"/>
        <v>0</v>
      </c>
      <c r="Q182" s="183">
        <f t="shared" si="233"/>
        <v>0</v>
      </c>
      <c r="R182" s="183">
        <f t="shared" si="9"/>
        <v>0</v>
      </c>
      <c r="S182" s="183">
        <f t="shared" si="10"/>
        <v>0</v>
      </c>
      <c r="T182" s="183">
        <f t="shared" si="11"/>
        <v>0</v>
      </c>
      <c r="U182" s="186"/>
      <c r="V182" s="183">
        <f>IFERROR(__xludf.DUMMYFUNCTION("""COMPUTED_VALUE"""),0.0)</f>
        <v>0</v>
      </c>
      <c r="W182" s="183">
        <f>IFERROR(__xludf.DUMMYFUNCTION("""COMPUTED_VALUE"""),0.0)</f>
        <v>0</v>
      </c>
      <c r="X182" s="183">
        <f>IFERROR(__xludf.DUMMYFUNCTION("""COMPUTED_VALUE"""),0.0)</f>
        <v>0</v>
      </c>
      <c r="Y182" s="183">
        <f>IFERROR(__xludf.DUMMYFUNCTION("""COMPUTED_VALUE"""),0.0)</f>
        <v>0</v>
      </c>
      <c r="Z182" s="183">
        <f t="shared" si="12"/>
        <v>0</v>
      </c>
      <c r="AA182" s="183">
        <f t="shared" si="13"/>
        <v>0</v>
      </c>
      <c r="AB182" s="183">
        <f t="shared" si="14"/>
        <v>0</v>
      </c>
    </row>
    <row r="183" ht="14.25" customHeight="1">
      <c r="A183" s="175"/>
      <c r="B183" s="181" t="s">
        <v>571</v>
      </c>
      <c r="D183" s="209" t="s">
        <v>715</v>
      </c>
      <c r="E183" s="183">
        <f>SUMIFS('DB BTL'!$J:$J,'DB BTL'!$E:$E,$B183,'DB BTL'!$A:$A,$D$4,'DB BTL'!$B:$B,$E$3,'DB BTL'!$D:$D,AA$1)</f>
        <v>0</v>
      </c>
      <c r="F183" s="183">
        <f>SUMIFS('DB BTL'!$J:$J,'DB BTL'!$E:$E,$B183,'DB BTL'!$A:$A,$D$4,'DB BTL'!$B:$B,$E$3,'DB BTL'!$D:$D,AA$2)</f>
        <v>0</v>
      </c>
      <c r="G183" s="184">
        <f>IFERROR(HLOOKUP($E$3,'Tahun Lalu'!$B$5:$V$158,MATCH(B183,'Tahun Lalu'!$B$5:$B$158,0),0),0)</f>
        <v>0</v>
      </c>
      <c r="H183" s="184">
        <v>0.0</v>
      </c>
      <c r="I183" s="184">
        <v>0.0</v>
      </c>
      <c r="J183" s="183">
        <f t="shared" si="3"/>
        <v>0</v>
      </c>
      <c r="K183" s="183">
        <f t="shared" si="4"/>
        <v>0</v>
      </c>
      <c r="L183" s="183">
        <f t="shared" si="5"/>
        <v>0</v>
      </c>
      <c r="M183" s="183">
        <f t="shared" si="6"/>
        <v>0</v>
      </c>
      <c r="N183" s="183">
        <f t="shared" si="218"/>
        <v>0</v>
      </c>
      <c r="O183" s="183">
        <f t="shared" ref="O183:Q183" si="234">G183+W183</f>
        <v>0</v>
      </c>
      <c r="P183" s="183">
        <f t="shared" si="234"/>
        <v>0</v>
      </c>
      <c r="Q183" s="183">
        <f t="shared" si="234"/>
        <v>0</v>
      </c>
      <c r="R183" s="183">
        <f t="shared" si="9"/>
        <v>0</v>
      </c>
      <c r="S183" s="183">
        <f t="shared" si="10"/>
        <v>0</v>
      </c>
      <c r="T183" s="183">
        <f t="shared" si="11"/>
        <v>0</v>
      </c>
      <c r="U183" s="186"/>
      <c r="V183" s="183">
        <f>IFERROR(__xludf.DUMMYFUNCTION("""COMPUTED_VALUE"""),0.0)</f>
        <v>0</v>
      </c>
      <c r="W183" s="183">
        <f>IFERROR(__xludf.DUMMYFUNCTION("""COMPUTED_VALUE"""),0.0)</f>
        <v>0</v>
      </c>
      <c r="X183" s="183">
        <f>IFERROR(__xludf.DUMMYFUNCTION("""COMPUTED_VALUE"""),0.0)</f>
        <v>0</v>
      </c>
      <c r="Y183" s="183">
        <f>IFERROR(__xludf.DUMMYFUNCTION("""COMPUTED_VALUE"""),0.0)</f>
        <v>0</v>
      </c>
      <c r="Z183" s="183">
        <f t="shared" si="12"/>
        <v>0</v>
      </c>
      <c r="AA183" s="183">
        <f t="shared" si="13"/>
        <v>0</v>
      </c>
      <c r="AB183" s="183">
        <f t="shared" si="14"/>
        <v>0</v>
      </c>
    </row>
    <row r="184" ht="14.25" customHeight="1">
      <c r="A184" s="175"/>
      <c r="B184" s="181" t="s">
        <v>473</v>
      </c>
      <c r="D184" s="209" t="s">
        <v>716</v>
      </c>
      <c r="E184" s="183">
        <f>SUMIFS('DB BTL'!$J:$J,'DB BTL'!$E:$E,$B184,'DB BTL'!$A:$A,$D$4,'DB BTL'!$B:$B,$E$3,'DB BTL'!$D:$D,AA$1)</f>
        <v>0</v>
      </c>
      <c r="F184" s="183">
        <f>SUMIFS('DB BTL'!$J:$J,'DB BTL'!$E:$E,$B184,'DB BTL'!$A:$A,$D$4,'DB BTL'!$B:$B,$E$3,'DB BTL'!$D:$D,AA$2)</f>
        <v>0</v>
      </c>
      <c r="G184" s="184">
        <f>IFERROR(HLOOKUP($E$3,'Tahun Lalu'!$B$5:$V$158,MATCH(B184,'Tahun Lalu'!$B$5:$B$158,0),0),0)</f>
        <v>0</v>
      </c>
      <c r="H184" s="184">
        <v>0.0</v>
      </c>
      <c r="I184" s="184">
        <v>0.0</v>
      </c>
      <c r="J184" s="183">
        <f t="shared" si="3"/>
        <v>0</v>
      </c>
      <c r="K184" s="183">
        <f t="shared" si="4"/>
        <v>0</v>
      </c>
      <c r="L184" s="183">
        <f t="shared" si="5"/>
        <v>0</v>
      </c>
      <c r="M184" s="183">
        <f t="shared" si="6"/>
        <v>0</v>
      </c>
      <c r="N184" s="183">
        <f t="shared" si="218"/>
        <v>0</v>
      </c>
      <c r="O184" s="183">
        <f t="shared" ref="O184:Q184" si="235">G184+W184</f>
        <v>0</v>
      </c>
      <c r="P184" s="183">
        <f t="shared" si="235"/>
        <v>0</v>
      </c>
      <c r="Q184" s="183">
        <f t="shared" si="235"/>
        <v>0</v>
      </c>
      <c r="R184" s="183">
        <f t="shared" si="9"/>
        <v>0</v>
      </c>
      <c r="S184" s="183">
        <f t="shared" si="10"/>
        <v>0</v>
      </c>
      <c r="T184" s="183">
        <f t="shared" si="11"/>
        <v>0</v>
      </c>
      <c r="U184" s="186"/>
      <c r="V184" s="183">
        <f>IFERROR(__xludf.DUMMYFUNCTION("""COMPUTED_VALUE"""),0.0)</f>
        <v>0</v>
      </c>
      <c r="W184" s="183">
        <f>IFERROR(__xludf.DUMMYFUNCTION("""COMPUTED_VALUE"""),0.0)</f>
        <v>0</v>
      </c>
      <c r="X184" s="183">
        <f>IFERROR(__xludf.DUMMYFUNCTION("""COMPUTED_VALUE"""),0.0)</f>
        <v>0</v>
      </c>
      <c r="Y184" s="183">
        <f>IFERROR(__xludf.DUMMYFUNCTION("""COMPUTED_VALUE"""),0.0)</f>
        <v>0</v>
      </c>
      <c r="Z184" s="183">
        <f t="shared" si="12"/>
        <v>0</v>
      </c>
      <c r="AA184" s="183">
        <f t="shared" si="13"/>
        <v>0</v>
      </c>
      <c r="AB184" s="183">
        <f t="shared" si="14"/>
        <v>0</v>
      </c>
    </row>
    <row r="185" ht="14.25" customHeight="1">
      <c r="A185" s="175"/>
      <c r="B185" s="181" t="s">
        <v>491</v>
      </c>
      <c r="D185" s="209" t="s">
        <v>717</v>
      </c>
      <c r="E185" s="183">
        <f>SUMIFS('DB BTL'!$J:$J,'DB BTL'!$E:$E,$B185,'DB BTL'!$A:$A,$D$4,'DB BTL'!$B:$B,$E$3,'DB BTL'!$D:$D,AA$1)</f>
        <v>0</v>
      </c>
      <c r="F185" s="183">
        <f>SUMIFS('DB BTL'!$J:$J,'DB BTL'!$E:$E,$B185,'DB BTL'!$A:$A,$D$4,'DB BTL'!$B:$B,$E$3,'DB BTL'!$D:$D,AA$2)</f>
        <v>0</v>
      </c>
      <c r="G185" s="184">
        <f>IFERROR(HLOOKUP($E$3,'Tahun Lalu'!$B$5:$V$158,MATCH(B185,'Tahun Lalu'!$B$5:$B$158,0),0),0)</f>
        <v>0</v>
      </c>
      <c r="H185" s="184">
        <v>0.0</v>
      </c>
      <c r="I185" s="184">
        <v>0.0</v>
      </c>
      <c r="J185" s="183">
        <f t="shared" si="3"/>
        <v>0</v>
      </c>
      <c r="K185" s="183">
        <f t="shared" si="4"/>
        <v>0</v>
      </c>
      <c r="L185" s="183">
        <f t="shared" si="5"/>
        <v>0</v>
      </c>
      <c r="M185" s="183">
        <f t="shared" si="6"/>
        <v>0</v>
      </c>
      <c r="N185" s="183">
        <f t="shared" si="218"/>
        <v>0</v>
      </c>
      <c r="O185" s="183">
        <f t="shared" ref="O185:Q185" si="236">G185+W185</f>
        <v>0</v>
      </c>
      <c r="P185" s="183">
        <f t="shared" si="236"/>
        <v>0</v>
      </c>
      <c r="Q185" s="183">
        <f t="shared" si="236"/>
        <v>0</v>
      </c>
      <c r="R185" s="183">
        <f t="shared" si="9"/>
        <v>0</v>
      </c>
      <c r="S185" s="183">
        <f t="shared" si="10"/>
        <v>0</v>
      </c>
      <c r="T185" s="183">
        <f t="shared" si="11"/>
        <v>0</v>
      </c>
      <c r="U185" s="186"/>
      <c r="V185" s="183">
        <f>IFERROR(__xludf.DUMMYFUNCTION("""COMPUTED_VALUE"""),0.0)</f>
        <v>0</v>
      </c>
      <c r="W185" s="183">
        <f>IFERROR(__xludf.DUMMYFUNCTION("""COMPUTED_VALUE"""),0.0)</f>
        <v>0</v>
      </c>
      <c r="X185" s="183">
        <f>IFERROR(__xludf.DUMMYFUNCTION("""COMPUTED_VALUE"""),0.0)</f>
        <v>0</v>
      </c>
      <c r="Y185" s="183">
        <f>IFERROR(__xludf.DUMMYFUNCTION("""COMPUTED_VALUE"""),0.0)</f>
        <v>0</v>
      </c>
      <c r="Z185" s="183">
        <f t="shared" si="12"/>
        <v>0</v>
      </c>
      <c r="AA185" s="183">
        <f t="shared" si="13"/>
        <v>0</v>
      </c>
      <c r="AB185" s="183">
        <f t="shared" si="14"/>
        <v>0</v>
      </c>
    </row>
    <row r="186" ht="14.25" customHeight="1">
      <c r="A186" s="175"/>
      <c r="B186" s="181" t="s">
        <v>494</v>
      </c>
      <c r="D186" s="209" t="s">
        <v>718</v>
      </c>
      <c r="E186" s="183">
        <f>SUMIFS('DB BTL'!$J:$J,'DB BTL'!$E:$E,$B186,'DB BTL'!$A:$A,$D$4,'DB BTL'!$B:$B,$E$3,'DB BTL'!$D:$D,AA$1)</f>
        <v>0</v>
      </c>
      <c r="F186" s="183">
        <f>SUMIFS('DB BTL'!$J:$J,'DB BTL'!$E:$E,$B186,'DB BTL'!$A:$A,$D$4,'DB BTL'!$B:$B,$E$3,'DB BTL'!$D:$D,AA$2)</f>
        <v>0</v>
      </c>
      <c r="G186" s="184">
        <f>IFERROR(HLOOKUP($E$3,'Tahun Lalu'!$B$5:$V$158,MATCH(B186,'Tahun Lalu'!$B$5:$B$158,0),0),0)</f>
        <v>0</v>
      </c>
      <c r="H186" s="184">
        <v>0.0</v>
      </c>
      <c r="I186" s="184">
        <v>0.0</v>
      </c>
      <c r="J186" s="183">
        <f t="shared" si="3"/>
        <v>0</v>
      </c>
      <c r="K186" s="183">
        <f t="shared" si="4"/>
        <v>0</v>
      </c>
      <c r="L186" s="183">
        <f t="shared" si="5"/>
        <v>0</v>
      </c>
      <c r="M186" s="183">
        <f t="shared" si="6"/>
        <v>0</v>
      </c>
      <c r="N186" s="183">
        <f t="shared" si="218"/>
        <v>0</v>
      </c>
      <c r="O186" s="183">
        <f t="shared" ref="O186:Q186" si="237">G186+W186</f>
        <v>0</v>
      </c>
      <c r="P186" s="183">
        <f t="shared" si="237"/>
        <v>0</v>
      </c>
      <c r="Q186" s="183">
        <f t="shared" si="237"/>
        <v>0</v>
      </c>
      <c r="R186" s="183">
        <f t="shared" si="9"/>
        <v>0</v>
      </c>
      <c r="S186" s="183">
        <f t="shared" si="10"/>
        <v>0</v>
      </c>
      <c r="T186" s="183">
        <f t="shared" si="11"/>
        <v>0</v>
      </c>
      <c r="U186" s="186"/>
      <c r="V186" s="183">
        <f>IFERROR(__xludf.DUMMYFUNCTION("""COMPUTED_VALUE"""),0.0)</f>
        <v>0</v>
      </c>
      <c r="W186" s="183">
        <f>IFERROR(__xludf.DUMMYFUNCTION("""COMPUTED_VALUE"""),0.0)</f>
        <v>0</v>
      </c>
      <c r="X186" s="183">
        <f>IFERROR(__xludf.DUMMYFUNCTION("""COMPUTED_VALUE"""),0.0)</f>
        <v>0</v>
      </c>
      <c r="Y186" s="183">
        <f>IFERROR(__xludf.DUMMYFUNCTION("""COMPUTED_VALUE"""),0.0)</f>
        <v>0</v>
      </c>
      <c r="Z186" s="183">
        <f t="shared" si="12"/>
        <v>0</v>
      </c>
      <c r="AA186" s="183">
        <f t="shared" si="13"/>
        <v>0</v>
      </c>
      <c r="AB186" s="183">
        <f t="shared" si="14"/>
        <v>0</v>
      </c>
    </row>
    <row r="187" ht="14.25" customHeight="1">
      <c r="A187" s="175"/>
      <c r="B187" s="181" t="s">
        <v>533</v>
      </c>
      <c r="D187" s="209" t="s">
        <v>719</v>
      </c>
      <c r="E187" s="183">
        <f>SUMIFS('DB BTL'!$J:$J,'DB BTL'!$E:$E,$B187,'DB BTL'!$A:$A,$D$4,'DB BTL'!$B:$B,$E$3,'DB BTL'!$D:$D,AA$1)</f>
        <v>0</v>
      </c>
      <c r="F187" s="183">
        <f>SUMIFS('DB BTL'!$J:$J,'DB BTL'!$E:$E,$B187,'DB BTL'!$A:$A,$D$4,'DB BTL'!$B:$B,$E$3,'DB BTL'!$D:$D,AA$2)</f>
        <v>0</v>
      </c>
      <c r="G187" s="184">
        <f>IFERROR(HLOOKUP($E$3,'Tahun Lalu'!$B$5:$V$158,MATCH(B187,'Tahun Lalu'!$B$5:$B$158,0),0),0)</f>
        <v>0</v>
      </c>
      <c r="H187" s="184">
        <v>0.0</v>
      </c>
      <c r="I187" s="184">
        <v>0.0</v>
      </c>
      <c r="J187" s="183">
        <f t="shared" si="3"/>
        <v>0</v>
      </c>
      <c r="K187" s="183">
        <f t="shared" si="4"/>
        <v>0</v>
      </c>
      <c r="L187" s="183">
        <f t="shared" si="5"/>
        <v>0</v>
      </c>
      <c r="M187" s="183">
        <f t="shared" si="6"/>
        <v>0</v>
      </c>
      <c r="N187" s="183">
        <f t="shared" si="218"/>
        <v>0</v>
      </c>
      <c r="O187" s="183">
        <f t="shared" ref="O187:Q187" si="238">G187+W187</f>
        <v>0</v>
      </c>
      <c r="P187" s="183">
        <f t="shared" si="238"/>
        <v>0</v>
      </c>
      <c r="Q187" s="183">
        <f t="shared" si="238"/>
        <v>0</v>
      </c>
      <c r="R187" s="183">
        <f t="shared" si="9"/>
        <v>0</v>
      </c>
      <c r="S187" s="183">
        <f t="shared" si="10"/>
        <v>0</v>
      </c>
      <c r="T187" s="183">
        <f t="shared" si="11"/>
        <v>0</v>
      </c>
      <c r="U187" s="186"/>
      <c r="V187" s="183">
        <f>IFERROR(__xludf.DUMMYFUNCTION("""COMPUTED_VALUE"""),0.0)</f>
        <v>0</v>
      </c>
      <c r="W187" s="183">
        <f>IFERROR(__xludf.DUMMYFUNCTION("""COMPUTED_VALUE"""),0.0)</f>
        <v>0</v>
      </c>
      <c r="X187" s="183">
        <f>IFERROR(__xludf.DUMMYFUNCTION("""COMPUTED_VALUE"""),0.0)</f>
        <v>0</v>
      </c>
      <c r="Y187" s="183">
        <f>IFERROR(__xludf.DUMMYFUNCTION("""COMPUTED_VALUE"""),0.0)</f>
        <v>0</v>
      </c>
      <c r="Z187" s="183">
        <f t="shared" si="12"/>
        <v>0</v>
      </c>
      <c r="AA187" s="183">
        <f t="shared" si="13"/>
        <v>0</v>
      </c>
      <c r="AB187" s="183">
        <f t="shared" si="14"/>
        <v>0</v>
      </c>
    </row>
    <row r="188" ht="14.25" customHeight="1">
      <c r="A188" s="175"/>
      <c r="B188" s="221"/>
      <c r="C188" s="222"/>
      <c r="D188" s="233" t="s">
        <v>911</v>
      </c>
      <c r="E188" s="224">
        <f t="shared" ref="E188:I188" si="239">sum(E166:E187)</f>
        <v>0</v>
      </c>
      <c r="F188" s="224">
        <f t="shared" si="239"/>
        <v>0</v>
      </c>
      <c r="G188" s="224">
        <f t="shared" si="239"/>
        <v>0</v>
      </c>
      <c r="H188" s="224">
        <f t="shared" si="239"/>
        <v>0</v>
      </c>
      <c r="I188" s="224">
        <f t="shared" si="239"/>
        <v>0</v>
      </c>
      <c r="J188" s="224">
        <f t="shared" si="3"/>
        <v>0</v>
      </c>
      <c r="K188" s="224">
        <f t="shared" si="4"/>
        <v>0</v>
      </c>
      <c r="L188" s="224">
        <f t="shared" si="5"/>
        <v>0</v>
      </c>
      <c r="M188" s="224">
        <f t="shared" si="6"/>
        <v>0</v>
      </c>
      <c r="N188" s="224">
        <f t="shared" ref="N188:Q188" si="240">sum(N166:N187)</f>
        <v>0</v>
      </c>
      <c r="O188" s="224">
        <f t="shared" si="240"/>
        <v>0</v>
      </c>
      <c r="P188" s="224">
        <f t="shared" si="240"/>
        <v>0</v>
      </c>
      <c r="Q188" s="224">
        <f t="shared" si="240"/>
        <v>0</v>
      </c>
      <c r="R188" s="224">
        <f t="shared" si="9"/>
        <v>0</v>
      </c>
      <c r="S188" s="224">
        <f t="shared" si="10"/>
        <v>0</v>
      </c>
      <c r="T188" s="224">
        <f t="shared" si="11"/>
        <v>0</v>
      </c>
      <c r="U188" s="225"/>
      <c r="V188" s="224">
        <f>IFERROR(__xludf.DUMMYFUNCTION("""COMPUTED_VALUE"""),0.0)</f>
        <v>0</v>
      </c>
      <c r="W188" s="224">
        <f>IFERROR(__xludf.DUMMYFUNCTION("""COMPUTED_VALUE"""),0.0)</f>
        <v>0</v>
      </c>
      <c r="X188" s="224">
        <f>IFERROR(__xludf.DUMMYFUNCTION("""COMPUTED_VALUE"""),0.0)</f>
        <v>0</v>
      </c>
      <c r="Y188" s="224">
        <f>IFERROR(__xludf.DUMMYFUNCTION("""COMPUTED_VALUE"""),0.0)</f>
        <v>0</v>
      </c>
      <c r="Z188" s="224">
        <f t="shared" si="12"/>
        <v>0</v>
      </c>
      <c r="AA188" s="224">
        <f t="shared" si="13"/>
        <v>0</v>
      </c>
      <c r="AB188" s="224">
        <f t="shared" si="14"/>
        <v>0</v>
      </c>
    </row>
    <row r="189" ht="14.25" customHeight="1">
      <c r="A189" s="175"/>
      <c r="B189" s="221" t="s">
        <v>912</v>
      </c>
      <c r="C189" s="222"/>
      <c r="D189" s="223"/>
      <c r="E189" s="235">
        <f t="shared" ref="E189:I189" si="241">E188+E165</f>
        <v>0</v>
      </c>
      <c r="F189" s="235">
        <f t="shared" si="241"/>
        <v>0</v>
      </c>
      <c r="G189" s="235">
        <f t="shared" si="241"/>
        <v>0</v>
      </c>
      <c r="H189" s="235">
        <f t="shared" si="241"/>
        <v>0</v>
      </c>
      <c r="I189" s="235">
        <f t="shared" si="241"/>
        <v>0</v>
      </c>
      <c r="J189" s="235">
        <f t="shared" si="3"/>
        <v>0</v>
      </c>
      <c r="K189" s="235">
        <f t="shared" si="4"/>
        <v>0</v>
      </c>
      <c r="L189" s="235">
        <f t="shared" si="5"/>
        <v>0</v>
      </c>
      <c r="M189" s="235">
        <f t="shared" si="6"/>
        <v>0</v>
      </c>
      <c r="N189" s="235">
        <f t="shared" ref="N189:Q189" si="242">N188+N165</f>
        <v>0</v>
      </c>
      <c r="O189" s="235">
        <f t="shared" si="242"/>
        <v>0</v>
      </c>
      <c r="P189" s="235">
        <f t="shared" si="242"/>
        <v>0</v>
      </c>
      <c r="Q189" s="235">
        <f t="shared" si="242"/>
        <v>0</v>
      </c>
      <c r="R189" s="235">
        <f t="shared" si="9"/>
        <v>0</v>
      </c>
      <c r="S189" s="235">
        <f t="shared" si="10"/>
        <v>0</v>
      </c>
      <c r="T189" s="235">
        <f t="shared" si="11"/>
        <v>0</v>
      </c>
      <c r="U189" s="202"/>
      <c r="V189" s="235">
        <f>IFERROR(__xludf.DUMMYFUNCTION("""COMPUTED_VALUE"""),0.0)</f>
        <v>0</v>
      </c>
      <c r="W189" s="235">
        <f>IFERROR(__xludf.DUMMYFUNCTION("""COMPUTED_VALUE"""),0.0)</f>
        <v>0</v>
      </c>
      <c r="X189" s="235">
        <f>IFERROR(__xludf.DUMMYFUNCTION("""COMPUTED_VALUE"""),0.0)</f>
        <v>0</v>
      </c>
      <c r="Y189" s="235">
        <f>IFERROR(__xludf.DUMMYFUNCTION("""COMPUTED_VALUE"""),0.0)</f>
        <v>0</v>
      </c>
      <c r="Z189" s="235">
        <f t="shared" si="12"/>
        <v>0</v>
      </c>
      <c r="AA189" s="235">
        <f t="shared" si="13"/>
        <v>0</v>
      </c>
      <c r="AB189" s="235">
        <f t="shared" si="14"/>
        <v>0</v>
      </c>
    </row>
    <row r="190" ht="14.25" customHeight="1">
      <c r="A190" s="175"/>
      <c r="B190" s="236" t="s">
        <v>913</v>
      </c>
      <c r="C190" s="237"/>
      <c r="D190" s="238"/>
      <c r="E190" s="239">
        <f t="shared" ref="E190:I190" si="243">E189+E149</f>
        <v>0</v>
      </c>
      <c r="F190" s="239">
        <f t="shared" si="243"/>
        <v>0</v>
      </c>
      <c r="G190" s="239">
        <f t="shared" si="243"/>
        <v>0</v>
      </c>
      <c r="H190" s="239">
        <f t="shared" si="243"/>
        <v>0</v>
      </c>
      <c r="I190" s="239">
        <f t="shared" si="243"/>
        <v>0</v>
      </c>
      <c r="J190" s="239">
        <f t="shared" si="3"/>
        <v>0</v>
      </c>
      <c r="K190" s="239">
        <f t="shared" si="4"/>
        <v>0</v>
      </c>
      <c r="L190" s="239">
        <f t="shared" si="5"/>
        <v>0</v>
      </c>
      <c r="M190" s="239">
        <f t="shared" si="6"/>
        <v>0</v>
      </c>
      <c r="N190" s="239">
        <f t="shared" ref="N190:Q190" si="244">N189+N149</f>
        <v>0</v>
      </c>
      <c r="O190" s="239">
        <f t="shared" si="244"/>
        <v>0</v>
      </c>
      <c r="P190" s="239">
        <f t="shared" si="244"/>
        <v>0</v>
      </c>
      <c r="Q190" s="239">
        <f t="shared" si="244"/>
        <v>0</v>
      </c>
      <c r="R190" s="239">
        <f t="shared" si="9"/>
        <v>0</v>
      </c>
      <c r="S190" s="239">
        <f t="shared" si="10"/>
        <v>0</v>
      </c>
      <c r="T190" s="239">
        <f t="shared" si="11"/>
        <v>0</v>
      </c>
      <c r="U190" s="202"/>
      <c r="V190" s="239">
        <f>IFERROR(__xludf.DUMMYFUNCTION("""COMPUTED_VALUE"""),0.0)</f>
        <v>0</v>
      </c>
      <c r="W190" s="239">
        <f>IFERROR(__xludf.DUMMYFUNCTION("""COMPUTED_VALUE"""),0.0)</f>
        <v>0</v>
      </c>
      <c r="X190" s="239">
        <f>IFERROR(__xludf.DUMMYFUNCTION("""COMPUTED_VALUE"""),0.0)</f>
        <v>0</v>
      </c>
      <c r="Y190" s="239">
        <f>IFERROR(__xludf.DUMMYFUNCTION("""COMPUTED_VALUE"""),0.0)</f>
        <v>0</v>
      </c>
      <c r="Z190" s="239">
        <f t="shared" si="12"/>
        <v>0</v>
      </c>
      <c r="AA190" s="239">
        <f t="shared" si="13"/>
        <v>0</v>
      </c>
      <c r="AB190" s="239">
        <f t="shared" si="14"/>
        <v>0</v>
      </c>
    </row>
    <row r="191" ht="14.25" customHeight="1">
      <c r="A191" s="175"/>
      <c r="B191" s="180"/>
      <c r="C191" s="177"/>
      <c r="D191" s="240" t="s">
        <v>914</v>
      </c>
      <c r="E191" s="183"/>
      <c r="F191" s="183"/>
      <c r="G191" s="183"/>
      <c r="H191" s="184">
        <v>0.0</v>
      </c>
      <c r="I191" s="184">
        <v>0.0</v>
      </c>
      <c r="J191" s="183">
        <f t="shared" si="3"/>
        <v>0</v>
      </c>
      <c r="K191" s="183">
        <f t="shared" si="4"/>
        <v>0</v>
      </c>
      <c r="L191" s="188">
        <f t="shared" si="5"/>
        <v>0</v>
      </c>
      <c r="M191" s="188">
        <f t="shared" si="6"/>
        <v>0</v>
      </c>
      <c r="N191" s="183"/>
      <c r="O191" s="183"/>
      <c r="P191" s="188">
        <v>0.0</v>
      </c>
      <c r="Q191" s="188">
        <v>0.0</v>
      </c>
      <c r="R191" s="183">
        <f t="shared" si="9"/>
        <v>0</v>
      </c>
      <c r="S191" s="183">
        <f t="shared" si="10"/>
        <v>0</v>
      </c>
      <c r="T191" s="188">
        <f t="shared" si="11"/>
        <v>0</v>
      </c>
      <c r="U191" s="189"/>
      <c r="V191" s="183"/>
      <c r="W191" s="183"/>
      <c r="X191" s="188">
        <f>IFERROR(__xludf.DUMMYFUNCTION("""COMPUTED_VALUE"""),0.0)</f>
        <v>0</v>
      </c>
      <c r="Y191" s="188">
        <f>IFERROR(__xludf.DUMMYFUNCTION("""COMPUTED_VALUE"""),0.0)</f>
        <v>0</v>
      </c>
      <c r="Z191" s="183">
        <f t="shared" si="12"/>
        <v>0</v>
      </c>
      <c r="AA191" s="183">
        <f t="shared" si="13"/>
        <v>0</v>
      </c>
      <c r="AB191" s="188">
        <f t="shared" si="14"/>
        <v>0</v>
      </c>
    </row>
    <row r="192" ht="14.25" customHeight="1">
      <c r="A192" s="175"/>
      <c r="B192" s="181" t="s">
        <v>915</v>
      </c>
      <c r="D192" s="209" t="s">
        <v>904</v>
      </c>
      <c r="E192" s="183">
        <f>SUMIFS('DB BTL'!$J:$J,'DB BTL'!$E:$E,$B192,'DB BTL'!$A:$A,$D$4,'DB BTL'!$B:$B,$E$3,'DB BTL'!$D:$D,AA$1)</f>
        <v>0</v>
      </c>
      <c r="F192" s="183">
        <f>SUMIFS('DB BTL'!$J:$J,'DB BTL'!$E:$E,$B192,'DB BTL'!$A:$A,$D$4,'DB BTL'!$B:$B,$E$3,'DB BTL'!$D:$D,AA$2)</f>
        <v>0</v>
      </c>
      <c r="G192" s="184">
        <f>IFERROR(HLOOKUP($E$3,'Tahun Lalu'!$B$5:$V$158,MATCH(B192,'Tahun Lalu'!$B$5:$B$158,0),0),0)</f>
        <v>0</v>
      </c>
      <c r="H192" s="184">
        <v>0.0</v>
      </c>
      <c r="I192" s="184">
        <v>0.0</v>
      </c>
      <c r="J192" s="183">
        <f t="shared" si="3"/>
        <v>0</v>
      </c>
      <c r="K192" s="183">
        <f t="shared" si="4"/>
        <v>0</v>
      </c>
      <c r="L192" s="183">
        <f t="shared" si="5"/>
        <v>0</v>
      </c>
      <c r="M192" s="183">
        <f t="shared" si="6"/>
        <v>0</v>
      </c>
      <c r="N192" s="183">
        <f t="shared" ref="N192:N207" si="246">E192+V192</f>
        <v>0</v>
      </c>
      <c r="O192" s="183">
        <f t="shared" ref="O192:Q192" si="245">G192+W192</f>
        <v>0</v>
      </c>
      <c r="P192" s="183">
        <f t="shared" si="245"/>
        <v>0</v>
      </c>
      <c r="Q192" s="183">
        <f t="shared" si="245"/>
        <v>0</v>
      </c>
      <c r="R192" s="183">
        <f t="shared" si="9"/>
        <v>0</v>
      </c>
      <c r="S192" s="183">
        <f t="shared" si="10"/>
        <v>0</v>
      </c>
      <c r="T192" s="183">
        <f t="shared" si="11"/>
        <v>0</v>
      </c>
      <c r="U192" s="186"/>
      <c r="V192" s="183">
        <f>IFERROR(__xludf.DUMMYFUNCTION("""COMPUTED_VALUE"""),0.0)</f>
        <v>0</v>
      </c>
      <c r="W192" s="183">
        <f>IFERROR(__xludf.DUMMYFUNCTION("""COMPUTED_VALUE"""),0.0)</f>
        <v>0</v>
      </c>
      <c r="X192" s="183">
        <f>IFERROR(__xludf.DUMMYFUNCTION("""COMPUTED_VALUE"""),0.0)</f>
        <v>0</v>
      </c>
      <c r="Y192" s="183">
        <f>IFERROR(__xludf.DUMMYFUNCTION("""COMPUTED_VALUE"""),0.0)</f>
        <v>0</v>
      </c>
      <c r="Z192" s="183">
        <f t="shared" si="12"/>
        <v>0</v>
      </c>
      <c r="AA192" s="183">
        <f t="shared" si="13"/>
        <v>0</v>
      </c>
      <c r="AB192" s="183">
        <f t="shared" si="14"/>
        <v>0</v>
      </c>
    </row>
    <row r="193" ht="14.25" customHeight="1">
      <c r="A193" s="175"/>
      <c r="B193" s="181" t="s">
        <v>916</v>
      </c>
      <c r="D193" s="209" t="s">
        <v>917</v>
      </c>
      <c r="E193" s="183">
        <f>SUMIFS('DB BTL'!$J:$J,'DB BTL'!$E:$E,$B193,'DB BTL'!$A:$A,$D$4,'DB BTL'!$B:$B,$E$3,'DB BTL'!$D:$D,AA$1)</f>
        <v>0</v>
      </c>
      <c r="F193" s="183">
        <f>SUMIFS('DB BTL'!$J:$J,'DB BTL'!$E:$E,$B193,'DB BTL'!$A:$A,$D$4,'DB BTL'!$B:$B,$E$3,'DB BTL'!$D:$D,AA$2)</f>
        <v>0</v>
      </c>
      <c r="G193" s="184">
        <f>IFERROR(HLOOKUP($E$3,'Tahun Lalu'!$B$5:$V$158,MATCH(B193,'Tahun Lalu'!$B$5:$B$158,0),0),0)</f>
        <v>0</v>
      </c>
      <c r="H193" s="184">
        <v>0.0</v>
      </c>
      <c r="I193" s="184">
        <v>0.0</v>
      </c>
      <c r="J193" s="183">
        <f t="shared" si="3"/>
        <v>0</v>
      </c>
      <c r="K193" s="183">
        <f t="shared" si="4"/>
        <v>0</v>
      </c>
      <c r="L193" s="183">
        <f t="shared" si="5"/>
        <v>0</v>
      </c>
      <c r="M193" s="183">
        <f t="shared" si="6"/>
        <v>0</v>
      </c>
      <c r="N193" s="183">
        <f t="shared" si="246"/>
        <v>0</v>
      </c>
      <c r="O193" s="183">
        <f t="shared" ref="O193:Q193" si="247">G193+W193</f>
        <v>0</v>
      </c>
      <c r="P193" s="183">
        <f t="shared" si="247"/>
        <v>0</v>
      </c>
      <c r="Q193" s="183">
        <f t="shared" si="247"/>
        <v>0</v>
      </c>
      <c r="R193" s="183">
        <f t="shared" si="9"/>
        <v>0</v>
      </c>
      <c r="S193" s="183">
        <f t="shared" si="10"/>
        <v>0</v>
      </c>
      <c r="T193" s="183">
        <f t="shared" si="11"/>
        <v>0</v>
      </c>
      <c r="U193" s="186"/>
      <c r="V193" s="183">
        <f>IFERROR(__xludf.DUMMYFUNCTION("""COMPUTED_VALUE"""),0.0)</f>
        <v>0</v>
      </c>
      <c r="W193" s="183">
        <f>IFERROR(__xludf.DUMMYFUNCTION("""COMPUTED_VALUE"""),0.0)</f>
        <v>0</v>
      </c>
      <c r="X193" s="183">
        <f>IFERROR(__xludf.DUMMYFUNCTION("""COMPUTED_VALUE"""),0.0)</f>
        <v>0</v>
      </c>
      <c r="Y193" s="183">
        <f>IFERROR(__xludf.DUMMYFUNCTION("""COMPUTED_VALUE"""),0.0)</f>
        <v>0</v>
      </c>
      <c r="Z193" s="183">
        <f t="shared" si="12"/>
        <v>0</v>
      </c>
      <c r="AA193" s="183">
        <f t="shared" si="13"/>
        <v>0</v>
      </c>
      <c r="AB193" s="183">
        <f t="shared" si="14"/>
        <v>0</v>
      </c>
    </row>
    <row r="194" ht="14.25" customHeight="1">
      <c r="A194" s="241"/>
      <c r="B194" s="242" t="s">
        <v>918</v>
      </c>
      <c r="C194" s="243"/>
      <c r="D194" s="244" t="s">
        <v>919</v>
      </c>
      <c r="E194" s="245">
        <f>SUMIFS('DB BTL'!$J:$J,'DB BTL'!$E:$E,$B194,'DB BTL'!$A:$A,$D$4,'DB BTL'!$B:$B,$E$3,'DB BTL'!$D:$D,AA$1)</f>
        <v>0</v>
      </c>
      <c r="F194" s="245">
        <f>SUMIFS('DB BTL'!$J:$J,'DB BTL'!$E:$E,$B194,'DB BTL'!$A:$A,$D$4,'DB BTL'!$B:$B,$E$3,'DB BTL'!$D:$D,AA$2)</f>
        <v>0</v>
      </c>
      <c r="G194" s="246">
        <f>IFERROR(HLOOKUP($E$3,'Tahun Lalu'!$B$5:$V$158,MATCH(B194,'Tahun Lalu'!$B$5:$B$158,0),0),0)</f>
        <v>0</v>
      </c>
      <c r="H194" s="184">
        <v>0.0</v>
      </c>
      <c r="I194" s="184">
        <v>0.0</v>
      </c>
      <c r="J194" s="245">
        <f t="shared" si="3"/>
        <v>0</v>
      </c>
      <c r="K194" s="245">
        <f t="shared" si="4"/>
        <v>0</v>
      </c>
      <c r="L194" s="245">
        <f t="shared" si="5"/>
        <v>0</v>
      </c>
      <c r="M194" s="245">
        <f t="shared" si="6"/>
        <v>0</v>
      </c>
      <c r="N194" s="245">
        <f t="shared" si="246"/>
        <v>0</v>
      </c>
      <c r="O194" s="245">
        <f t="shared" ref="O194:Q194" si="248">G194+W194</f>
        <v>0</v>
      </c>
      <c r="P194" s="245">
        <f t="shared" si="248"/>
        <v>0</v>
      </c>
      <c r="Q194" s="245">
        <f t="shared" si="248"/>
        <v>0</v>
      </c>
      <c r="R194" s="245">
        <f t="shared" si="9"/>
        <v>0</v>
      </c>
      <c r="S194" s="245">
        <f t="shared" si="10"/>
        <v>0</v>
      </c>
      <c r="T194" s="245">
        <f t="shared" si="11"/>
        <v>0</v>
      </c>
      <c r="U194" s="247"/>
      <c r="V194" s="245">
        <f>IFERROR(__xludf.DUMMYFUNCTION("""COMPUTED_VALUE"""),0.0)</f>
        <v>0</v>
      </c>
      <c r="W194" s="245">
        <f>IFERROR(__xludf.DUMMYFUNCTION("""COMPUTED_VALUE"""),0.0)</f>
        <v>0</v>
      </c>
      <c r="X194" s="245">
        <f>IFERROR(__xludf.DUMMYFUNCTION("""COMPUTED_VALUE"""),0.0)</f>
        <v>0</v>
      </c>
      <c r="Y194" s="245">
        <f>IFERROR(__xludf.DUMMYFUNCTION("""COMPUTED_VALUE"""),0.0)</f>
        <v>0</v>
      </c>
      <c r="Z194" s="245">
        <f t="shared" si="12"/>
        <v>0</v>
      </c>
      <c r="AA194" s="245">
        <f t="shared" si="13"/>
        <v>0</v>
      </c>
      <c r="AB194" s="245">
        <f t="shared" si="14"/>
        <v>0</v>
      </c>
    </row>
    <row r="195" ht="14.25" customHeight="1">
      <c r="A195" s="175"/>
      <c r="B195" s="181" t="s">
        <v>920</v>
      </c>
      <c r="D195" s="209" t="s">
        <v>921</v>
      </c>
      <c r="E195" s="183">
        <f>SUMIFS('DB BTL'!$J:$J,'DB BTL'!$E:$E,$B195,'DB BTL'!$A:$A,$D$4,'DB BTL'!$B:$B,$E$3,'DB BTL'!$D:$D,AA$1)</f>
        <v>0</v>
      </c>
      <c r="F195" s="183">
        <f>SUMIFS('DB BTL'!$J:$J,'DB BTL'!$E:$E,$B195,'DB BTL'!$A:$A,$D$4,'DB BTL'!$B:$B,$E$3,'DB BTL'!$D:$D,AA$2)</f>
        <v>0</v>
      </c>
      <c r="G195" s="184">
        <f>IFERROR(HLOOKUP($E$3,'Tahun Lalu'!$B$5:$V$158,MATCH(B195,'Tahun Lalu'!$B$5:$B$158,0),0),0)</f>
        <v>0</v>
      </c>
      <c r="H195" s="184">
        <v>0.0</v>
      </c>
      <c r="I195" s="184">
        <v>0.0</v>
      </c>
      <c r="J195" s="183">
        <f t="shared" si="3"/>
        <v>0</v>
      </c>
      <c r="K195" s="183">
        <f t="shared" si="4"/>
        <v>0</v>
      </c>
      <c r="L195" s="183">
        <f t="shared" si="5"/>
        <v>0</v>
      </c>
      <c r="M195" s="183">
        <f t="shared" si="6"/>
        <v>0</v>
      </c>
      <c r="N195" s="183">
        <f t="shared" si="246"/>
        <v>0</v>
      </c>
      <c r="O195" s="183">
        <f t="shared" ref="O195:Q195" si="249">G195+W195</f>
        <v>0</v>
      </c>
      <c r="P195" s="183">
        <f t="shared" si="249"/>
        <v>0</v>
      </c>
      <c r="Q195" s="183">
        <f t="shared" si="249"/>
        <v>0</v>
      </c>
      <c r="R195" s="183">
        <f t="shared" si="9"/>
        <v>0</v>
      </c>
      <c r="S195" s="183">
        <f t="shared" si="10"/>
        <v>0</v>
      </c>
      <c r="T195" s="183">
        <f t="shared" si="11"/>
        <v>0</v>
      </c>
      <c r="U195" s="186"/>
      <c r="V195" s="183">
        <f>IFERROR(__xludf.DUMMYFUNCTION("""COMPUTED_VALUE"""),0.0)</f>
        <v>0</v>
      </c>
      <c r="W195" s="183">
        <f>IFERROR(__xludf.DUMMYFUNCTION("""COMPUTED_VALUE"""),0.0)</f>
        <v>0</v>
      </c>
      <c r="X195" s="183">
        <f>IFERROR(__xludf.DUMMYFUNCTION("""COMPUTED_VALUE"""),0.0)</f>
        <v>0</v>
      </c>
      <c r="Y195" s="183">
        <f>IFERROR(__xludf.DUMMYFUNCTION("""COMPUTED_VALUE"""),0.0)</f>
        <v>0</v>
      </c>
      <c r="Z195" s="183">
        <f t="shared" si="12"/>
        <v>0</v>
      </c>
      <c r="AA195" s="183">
        <f t="shared" si="13"/>
        <v>0</v>
      </c>
      <c r="AB195" s="183">
        <f t="shared" si="14"/>
        <v>0</v>
      </c>
    </row>
    <row r="196" ht="14.25" customHeight="1">
      <c r="A196" s="175"/>
      <c r="B196" s="181" t="s">
        <v>922</v>
      </c>
      <c r="D196" s="209" t="s">
        <v>923</v>
      </c>
      <c r="E196" s="183">
        <f>SUMIFS('DB BTL'!$J:$J,'DB BTL'!$E:$E,$B196,'DB BTL'!$A:$A,$D$4,'DB BTL'!$B:$B,$E$3,'DB BTL'!$D:$D,AA$1)</f>
        <v>0</v>
      </c>
      <c r="F196" s="183">
        <f>SUMIFS('DB BTL'!$J:$J,'DB BTL'!$E:$E,$B196,'DB BTL'!$A:$A,$D$4,'DB BTL'!$B:$B,$E$3,'DB BTL'!$D:$D,AA$2)</f>
        <v>0</v>
      </c>
      <c r="G196" s="184">
        <f>IFERROR(HLOOKUP($E$3,'Tahun Lalu'!$B$5:$V$158,MATCH(B196,'Tahun Lalu'!$B$5:$B$158,0),0),0)</f>
        <v>0</v>
      </c>
      <c r="H196" s="184">
        <v>0.0</v>
      </c>
      <c r="I196" s="184">
        <v>0.0</v>
      </c>
      <c r="J196" s="183">
        <f t="shared" si="3"/>
        <v>0</v>
      </c>
      <c r="K196" s="183">
        <f t="shared" si="4"/>
        <v>0</v>
      </c>
      <c r="L196" s="183">
        <f t="shared" si="5"/>
        <v>0</v>
      </c>
      <c r="M196" s="183">
        <f t="shared" si="6"/>
        <v>0</v>
      </c>
      <c r="N196" s="183">
        <f t="shared" si="246"/>
        <v>0</v>
      </c>
      <c r="O196" s="183">
        <f t="shared" ref="O196:Q196" si="250">G196+W196</f>
        <v>0</v>
      </c>
      <c r="P196" s="183">
        <f t="shared" si="250"/>
        <v>0</v>
      </c>
      <c r="Q196" s="183">
        <f t="shared" si="250"/>
        <v>0</v>
      </c>
      <c r="R196" s="183">
        <f t="shared" si="9"/>
        <v>0</v>
      </c>
      <c r="S196" s="183">
        <f t="shared" si="10"/>
        <v>0</v>
      </c>
      <c r="T196" s="183">
        <f t="shared" si="11"/>
        <v>0</v>
      </c>
      <c r="U196" s="186"/>
      <c r="V196" s="183">
        <f>IFERROR(__xludf.DUMMYFUNCTION("""COMPUTED_VALUE"""),0.0)</f>
        <v>0</v>
      </c>
      <c r="W196" s="183">
        <f>IFERROR(__xludf.DUMMYFUNCTION("""COMPUTED_VALUE"""),0.0)</f>
        <v>0</v>
      </c>
      <c r="X196" s="183">
        <f>IFERROR(__xludf.DUMMYFUNCTION("""COMPUTED_VALUE"""),0.0)</f>
        <v>0</v>
      </c>
      <c r="Y196" s="183">
        <f>IFERROR(__xludf.DUMMYFUNCTION("""COMPUTED_VALUE"""),0.0)</f>
        <v>0</v>
      </c>
      <c r="Z196" s="183">
        <f t="shared" si="12"/>
        <v>0</v>
      </c>
      <c r="AA196" s="183">
        <f t="shared" si="13"/>
        <v>0</v>
      </c>
      <c r="AB196" s="183">
        <f t="shared" si="14"/>
        <v>0</v>
      </c>
    </row>
    <row r="197" ht="14.25" customHeight="1">
      <c r="A197" s="175"/>
      <c r="B197" s="181" t="s">
        <v>924</v>
      </c>
      <c r="D197" s="209" t="s">
        <v>907</v>
      </c>
      <c r="E197" s="183">
        <f>SUMIFS('DB BTL'!$J:$J,'DB BTL'!$E:$E,$B197,'DB BTL'!$A:$A,$D$4,'DB BTL'!$B:$B,$E$3,'DB BTL'!$D:$D,AA$1)</f>
        <v>0</v>
      </c>
      <c r="F197" s="183">
        <f>SUMIFS('DB BTL'!$J:$J,'DB BTL'!$E:$E,$B197,'DB BTL'!$A:$A,$D$4,'DB BTL'!$B:$B,$E$3,'DB BTL'!$D:$D,AA$2)</f>
        <v>0</v>
      </c>
      <c r="G197" s="184">
        <f>IFERROR(HLOOKUP($E$3,'Tahun Lalu'!$B$5:$V$158,MATCH(B197,'Tahun Lalu'!$B$5:$B$158,0),0),0)</f>
        <v>0</v>
      </c>
      <c r="H197" s="184">
        <v>0.0</v>
      </c>
      <c r="I197" s="184">
        <v>0.0</v>
      </c>
      <c r="J197" s="183">
        <f t="shared" si="3"/>
        <v>0</v>
      </c>
      <c r="K197" s="183">
        <f t="shared" si="4"/>
        <v>0</v>
      </c>
      <c r="L197" s="183">
        <f t="shared" si="5"/>
        <v>0</v>
      </c>
      <c r="M197" s="183">
        <f t="shared" si="6"/>
        <v>0</v>
      </c>
      <c r="N197" s="183">
        <f t="shared" si="246"/>
        <v>0</v>
      </c>
      <c r="O197" s="183">
        <f t="shared" ref="O197:Q197" si="251">G197+W197</f>
        <v>0</v>
      </c>
      <c r="P197" s="183">
        <f t="shared" si="251"/>
        <v>0</v>
      </c>
      <c r="Q197" s="183">
        <f t="shared" si="251"/>
        <v>0</v>
      </c>
      <c r="R197" s="183">
        <f t="shared" si="9"/>
        <v>0</v>
      </c>
      <c r="S197" s="183">
        <f t="shared" si="10"/>
        <v>0</v>
      </c>
      <c r="T197" s="183">
        <f t="shared" si="11"/>
        <v>0</v>
      </c>
      <c r="U197" s="186"/>
      <c r="V197" s="183">
        <f>IFERROR(__xludf.DUMMYFUNCTION("""COMPUTED_VALUE"""),0.0)</f>
        <v>0</v>
      </c>
      <c r="W197" s="183">
        <f>IFERROR(__xludf.DUMMYFUNCTION("""COMPUTED_VALUE"""),0.0)</f>
        <v>0</v>
      </c>
      <c r="X197" s="183">
        <f>IFERROR(__xludf.DUMMYFUNCTION("""COMPUTED_VALUE"""),0.0)</f>
        <v>0</v>
      </c>
      <c r="Y197" s="183">
        <f>IFERROR(__xludf.DUMMYFUNCTION("""COMPUTED_VALUE"""),0.0)</f>
        <v>0</v>
      </c>
      <c r="Z197" s="183">
        <f t="shared" si="12"/>
        <v>0</v>
      </c>
      <c r="AA197" s="183">
        <f t="shared" si="13"/>
        <v>0</v>
      </c>
      <c r="AB197" s="183">
        <f t="shared" si="14"/>
        <v>0</v>
      </c>
    </row>
    <row r="198" ht="14.25" customHeight="1">
      <c r="A198" s="175"/>
      <c r="B198" s="181" t="s">
        <v>925</v>
      </c>
      <c r="D198" s="209" t="s">
        <v>926</v>
      </c>
      <c r="E198" s="183">
        <f>SUMIFS('DB BTL'!$J:$J,'DB BTL'!$E:$E,$B198,'DB BTL'!$A:$A,$D$4,'DB BTL'!$B:$B,$E$3,'DB BTL'!$D:$D,AA$1)</f>
        <v>0</v>
      </c>
      <c r="F198" s="183">
        <f>SUMIFS('DB BTL'!$J:$J,'DB BTL'!$E:$E,$B198,'DB BTL'!$A:$A,$D$4,'DB BTL'!$B:$B,$E$3,'DB BTL'!$D:$D,AA$2)</f>
        <v>0</v>
      </c>
      <c r="G198" s="184">
        <f>IFERROR(HLOOKUP($E$3,'Tahun Lalu'!$B$5:$V$158,MATCH(B198,'Tahun Lalu'!$B$5:$B$158,0),0),0)</f>
        <v>0</v>
      </c>
      <c r="H198" s="184">
        <v>0.0</v>
      </c>
      <c r="I198" s="184">
        <v>0.0</v>
      </c>
      <c r="J198" s="183">
        <f t="shared" si="3"/>
        <v>0</v>
      </c>
      <c r="K198" s="183">
        <f t="shared" si="4"/>
        <v>0</v>
      </c>
      <c r="L198" s="183">
        <f t="shared" si="5"/>
        <v>0</v>
      </c>
      <c r="M198" s="183">
        <f t="shared" si="6"/>
        <v>0</v>
      </c>
      <c r="N198" s="183">
        <f t="shared" si="246"/>
        <v>0</v>
      </c>
      <c r="O198" s="183">
        <f t="shared" ref="O198:Q198" si="252">G198+W198</f>
        <v>0</v>
      </c>
      <c r="P198" s="183">
        <f t="shared" si="252"/>
        <v>0</v>
      </c>
      <c r="Q198" s="183">
        <f t="shared" si="252"/>
        <v>0</v>
      </c>
      <c r="R198" s="183">
        <f t="shared" si="9"/>
        <v>0</v>
      </c>
      <c r="S198" s="183">
        <f t="shared" si="10"/>
        <v>0</v>
      </c>
      <c r="T198" s="183">
        <f t="shared" si="11"/>
        <v>0</v>
      </c>
      <c r="U198" s="186"/>
      <c r="V198" s="183">
        <f>IFERROR(__xludf.DUMMYFUNCTION("""COMPUTED_VALUE"""),0.0)</f>
        <v>0</v>
      </c>
      <c r="W198" s="183">
        <f>IFERROR(__xludf.DUMMYFUNCTION("""COMPUTED_VALUE"""),0.0)</f>
        <v>0</v>
      </c>
      <c r="X198" s="183">
        <f>IFERROR(__xludf.DUMMYFUNCTION("""COMPUTED_VALUE"""),0.0)</f>
        <v>0</v>
      </c>
      <c r="Y198" s="183">
        <f>IFERROR(__xludf.DUMMYFUNCTION("""COMPUTED_VALUE"""),0.0)</f>
        <v>0</v>
      </c>
      <c r="Z198" s="183">
        <f t="shared" si="12"/>
        <v>0</v>
      </c>
      <c r="AA198" s="183">
        <f t="shared" si="13"/>
        <v>0</v>
      </c>
      <c r="AB198" s="183">
        <f t="shared" si="14"/>
        <v>0</v>
      </c>
    </row>
    <row r="199" ht="14.25" customHeight="1">
      <c r="A199" s="175"/>
      <c r="B199" s="181" t="s">
        <v>927</v>
      </c>
      <c r="D199" s="209" t="s">
        <v>928</v>
      </c>
      <c r="E199" s="183">
        <f>SUMIFS('DB BTL'!$J:$J,'DB BTL'!$E:$E,$B199,'DB BTL'!$A:$A,$D$4,'DB BTL'!$B:$B,$E$3,'DB BTL'!$D:$D,AA$1)</f>
        <v>0</v>
      </c>
      <c r="F199" s="183">
        <f>SUMIFS('DB BTL'!$J:$J,'DB BTL'!$E:$E,$B199,'DB BTL'!$A:$A,$D$4,'DB BTL'!$B:$B,$E$3,'DB BTL'!$D:$D,AA$2)</f>
        <v>0</v>
      </c>
      <c r="G199" s="184">
        <f>IFERROR(HLOOKUP($E$3,'Tahun Lalu'!$B$5:$V$158,MATCH(B199,'Tahun Lalu'!$B$5:$B$158,0),0),0)</f>
        <v>0</v>
      </c>
      <c r="H199" s="184">
        <v>0.0</v>
      </c>
      <c r="I199" s="184">
        <v>0.0</v>
      </c>
      <c r="J199" s="183">
        <f t="shared" si="3"/>
        <v>0</v>
      </c>
      <c r="K199" s="183">
        <f t="shared" si="4"/>
        <v>0</v>
      </c>
      <c r="L199" s="183">
        <f t="shared" si="5"/>
        <v>0</v>
      </c>
      <c r="M199" s="183">
        <f t="shared" si="6"/>
        <v>0</v>
      </c>
      <c r="N199" s="183">
        <f t="shared" si="246"/>
        <v>0</v>
      </c>
      <c r="O199" s="183">
        <f t="shared" ref="O199:Q199" si="253">G199+W199</f>
        <v>0</v>
      </c>
      <c r="P199" s="183">
        <f t="shared" si="253"/>
        <v>0</v>
      </c>
      <c r="Q199" s="183">
        <f t="shared" si="253"/>
        <v>0</v>
      </c>
      <c r="R199" s="183">
        <f t="shared" si="9"/>
        <v>0</v>
      </c>
      <c r="S199" s="183">
        <f t="shared" si="10"/>
        <v>0</v>
      </c>
      <c r="T199" s="183">
        <f t="shared" si="11"/>
        <v>0</v>
      </c>
      <c r="U199" s="186"/>
      <c r="V199" s="183">
        <f>IFERROR(__xludf.DUMMYFUNCTION("""COMPUTED_VALUE"""),0.0)</f>
        <v>0</v>
      </c>
      <c r="W199" s="183">
        <f>IFERROR(__xludf.DUMMYFUNCTION("""COMPUTED_VALUE"""),0.0)</f>
        <v>0</v>
      </c>
      <c r="X199" s="183">
        <f>IFERROR(__xludf.DUMMYFUNCTION("""COMPUTED_VALUE"""),0.0)</f>
        <v>0</v>
      </c>
      <c r="Y199" s="183">
        <f>IFERROR(__xludf.DUMMYFUNCTION("""COMPUTED_VALUE"""),0.0)</f>
        <v>0</v>
      </c>
      <c r="Z199" s="183">
        <f t="shared" si="12"/>
        <v>0</v>
      </c>
      <c r="AA199" s="183">
        <f t="shared" si="13"/>
        <v>0</v>
      </c>
      <c r="AB199" s="183">
        <f t="shared" si="14"/>
        <v>0</v>
      </c>
    </row>
    <row r="200" ht="14.25" customHeight="1">
      <c r="A200" s="175"/>
      <c r="B200" s="181" t="s">
        <v>929</v>
      </c>
      <c r="D200" s="209" t="s">
        <v>930</v>
      </c>
      <c r="E200" s="183">
        <f>SUMIFS('DB BTL'!$J:$J,'DB BTL'!$E:$E,$B200,'DB BTL'!$A:$A,$D$4,'DB BTL'!$B:$B,$E$3,'DB BTL'!$D:$D,AA$1)</f>
        <v>0</v>
      </c>
      <c r="F200" s="183">
        <f>SUMIFS('DB BTL'!$J:$J,'DB BTL'!$E:$E,$B200,'DB BTL'!$A:$A,$D$4,'DB BTL'!$B:$B,$E$3,'DB BTL'!$D:$D,AA$2)</f>
        <v>0</v>
      </c>
      <c r="G200" s="184">
        <f>IFERROR(HLOOKUP($E$3,'Tahun Lalu'!$B$5:$V$158,MATCH(B200,'Tahun Lalu'!$B$5:$B$158,0),0),0)</f>
        <v>0</v>
      </c>
      <c r="H200" s="184">
        <v>0.0</v>
      </c>
      <c r="I200" s="184">
        <v>0.0</v>
      </c>
      <c r="J200" s="183">
        <f t="shared" si="3"/>
        <v>0</v>
      </c>
      <c r="K200" s="183">
        <f t="shared" si="4"/>
        <v>0</v>
      </c>
      <c r="L200" s="183">
        <f t="shared" si="5"/>
        <v>0</v>
      </c>
      <c r="M200" s="183">
        <f t="shared" si="6"/>
        <v>0</v>
      </c>
      <c r="N200" s="183">
        <f t="shared" si="246"/>
        <v>0</v>
      </c>
      <c r="O200" s="183">
        <f t="shared" ref="O200:Q200" si="254">G200+W200</f>
        <v>0</v>
      </c>
      <c r="P200" s="183">
        <f t="shared" si="254"/>
        <v>0</v>
      </c>
      <c r="Q200" s="183">
        <f t="shared" si="254"/>
        <v>0</v>
      </c>
      <c r="R200" s="183">
        <f t="shared" si="9"/>
        <v>0</v>
      </c>
      <c r="S200" s="183">
        <f t="shared" si="10"/>
        <v>0</v>
      </c>
      <c r="T200" s="183">
        <f t="shared" si="11"/>
        <v>0</v>
      </c>
      <c r="U200" s="186"/>
      <c r="V200" s="183">
        <f>IFERROR(__xludf.DUMMYFUNCTION("""COMPUTED_VALUE"""),0.0)</f>
        <v>0</v>
      </c>
      <c r="W200" s="183">
        <f>IFERROR(__xludf.DUMMYFUNCTION("""COMPUTED_VALUE"""),0.0)</f>
        <v>0</v>
      </c>
      <c r="X200" s="183">
        <f>IFERROR(__xludf.DUMMYFUNCTION("""COMPUTED_VALUE"""),0.0)</f>
        <v>0</v>
      </c>
      <c r="Y200" s="183">
        <f>IFERROR(__xludf.DUMMYFUNCTION("""COMPUTED_VALUE"""),0.0)</f>
        <v>0</v>
      </c>
      <c r="Z200" s="183">
        <f t="shared" si="12"/>
        <v>0</v>
      </c>
      <c r="AA200" s="183">
        <f t="shared" si="13"/>
        <v>0</v>
      </c>
      <c r="AB200" s="183">
        <f t="shared" si="14"/>
        <v>0</v>
      </c>
    </row>
    <row r="201" ht="14.25" customHeight="1">
      <c r="A201" s="175"/>
      <c r="B201" s="181" t="s">
        <v>931</v>
      </c>
      <c r="D201" s="209" t="s">
        <v>932</v>
      </c>
      <c r="E201" s="183">
        <f>SUMIFS('DB BTL'!$J:$J,'DB BTL'!$E:$E,$B201,'DB BTL'!$A:$A,$D$4,'DB BTL'!$B:$B,$E$3,'DB BTL'!$D:$D,AA$1)</f>
        <v>0</v>
      </c>
      <c r="F201" s="183">
        <f>SUMIFS('DB BTL'!$J:$J,'DB BTL'!$E:$E,$B201,'DB BTL'!$A:$A,$D$4,'DB BTL'!$B:$B,$E$3,'DB BTL'!$D:$D,AA$2)</f>
        <v>0</v>
      </c>
      <c r="G201" s="184">
        <f>IFERROR(HLOOKUP($E$3,'Tahun Lalu'!$B$5:$V$158,MATCH(B201,'Tahun Lalu'!$B$5:$B$158,0),0),0)</f>
        <v>0</v>
      </c>
      <c r="H201" s="184">
        <v>0.0</v>
      </c>
      <c r="I201" s="184">
        <v>0.0</v>
      </c>
      <c r="J201" s="183">
        <f t="shared" si="3"/>
        <v>0</v>
      </c>
      <c r="K201" s="183">
        <f t="shared" si="4"/>
        <v>0</v>
      </c>
      <c r="L201" s="183">
        <f t="shared" si="5"/>
        <v>0</v>
      </c>
      <c r="M201" s="183">
        <f t="shared" si="6"/>
        <v>0</v>
      </c>
      <c r="N201" s="183">
        <f t="shared" si="246"/>
        <v>0</v>
      </c>
      <c r="O201" s="183">
        <f t="shared" ref="O201:Q201" si="255">G201+W201</f>
        <v>0</v>
      </c>
      <c r="P201" s="183">
        <f t="shared" si="255"/>
        <v>0</v>
      </c>
      <c r="Q201" s="183">
        <f t="shared" si="255"/>
        <v>0</v>
      </c>
      <c r="R201" s="183">
        <f t="shared" si="9"/>
        <v>0</v>
      </c>
      <c r="S201" s="183">
        <f t="shared" si="10"/>
        <v>0</v>
      </c>
      <c r="T201" s="183">
        <f t="shared" si="11"/>
        <v>0</v>
      </c>
      <c r="U201" s="186"/>
      <c r="V201" s="183">
        <f>IFERROR(__xludf.DUMMYFUNCTION("""COMPUTED_VALUE"""),0.0)</f>
        <v>0</v>
      </c>
      <c r="W201" s="183">
        <f>IFERROR(__xludf.DUMMYFUNCTION("""COMPUTED_VALUE"""),0.0)</f>
        <v>0</v>
      </c>
      <c r="X201" s="183">
        <f>IFERROR(__xludf.DUMMYFUNCTION("""COMPUTED_VALUE"""),0.0)</f>
        <v>0</v>
      </c>
      <c r="Y201" s="183">
        <f>IFERROR(__xludf.DUMMYFUNCTION("""COMPUTED_VALUE"""),0.0)</f>
        <v>0</v>
      </c>
      <c r="Z201" s="183">
        <f t="shared" si="12"/>
        <v>0</v>
      </c>
      <c r="AA201" s="183">
        <f t="shared" si="13"/>
        <v>0</v>
      </c>
      <c r="AB201" s="183">
        <f t="shared" si="14"/>
        <v>0</v>
      </c>
    </row>
    <row r="202" ht="14.25" customHeight="1">
      <c r="A202" s="175"/>
      <c r="B202" s="181" t="s">
        <v>933</v>
      </c>
      <c r="D202" s="209" t="s">
        <v>934</v>
      </c>
      <c r="E202" s="183">
        <f>SUMIFS('DB BTL'!$J:$J,'DB BTL'!$E:$E,$B202,'DB BTL'!$A:$A,$D$4,'DB BTL'!$B:$B,$E$3,'DB BTL'!$D:$D,AA$1)</f>
        <v>0</v>
      </c>
      <c r="F202" s="183">
        <f>SUMIFS('DB BTL'!$J:$J,'DB BTL'!$E:$E,$B202,'DB BTL'!$A:$A,$D$4,'DB BTL'!$B:$B,$E$3,'DB BTL'!$D:$D,AA$2)</f>
        <v>0</v>
      </c>
      <c r="G202" s="184">
        <f>IFERROR(HLOOKUP($E$3,'Tahun Lalu'!$B$5:$V$158,MATCH(B202,'Tahun Lalu'!$B$5:$B$158,0),0),0)</f>
        <v>0</v>
      </c>
      <c r="H202" s="184">
        <v>0.0</v>
      </c>
      <c r="I202" s="184">
        <v>0.0</v>
      </c>
      <c r="J202" s="183">
        <f t="shared" si="3"/>
        <v>0</v>
      </c>
      <c r="K202" s="183">
        <f t="shared" si="4"/>
        <v>0</v>
      </c>
      <c r="L202" s="183">
        <f t="shared" si="5"/>
        <v>0</v>
      </c>
      <c r="M202" s="183">
        <f t="shared" si="6"/>
        <v>0</v>
      </c>
      <c r="N202" s="183">
        <f t="shared" si="246"/>
        <v>0</v>
      </c>
      <c r="O202" s="183">
        <f t="shared" ref="O202:Q202" si="256">G202+W202</f>
        <v>0</v>
      </c>
      <c r="P202" s="183">
        <f t="shared" si="256"/>
        <v>0</v>
      </c>
      <c r="Q202" s="183">
        <f t="shared" si="256"/>
        <v>0</v>
      </c>
      <c r="R202" s="183">
        <f t="shared" si="9"/>
        <v>0</v>
      </c>
      <c r="S202" s="183">
        <f t="shared" si="10"/>
        <v>0</v>
      </c>
      <c r="T202" s="183">
        <f t="shared" si="11"/>
        <v>0</v>
      </c>
      <c r="U202" s="186"/>
      <c r="V202" s="183">
        <f>IFERROR(__xludf.DUMMYFUNCTION("""COMPUTED_VALUE"""),0.0)</f>
        <v>0</v>
      </c>
      <c r="W202" s="183">
        <f>IFERROR(__xludf.DUMMYFUNCTION("""COMPUTED_VALUE"""),0.0)</f>
        <v>0</v>
      </c>
      <c r="X202" s="183">
        <f>IFERROR(__xludf.DUMMYFUNCTION("""COMPUTED_VALUE"""),0.0)</f>
        <v>0</v>
      </c>
      <c r="Y202" s="183">
        <f>IFERROR(__xludf.DUMMYFUNCTION("""COMPUTED_VALUE"""),0.0)</f>
        <v>0</v>
      </c>
      <c r="Z202" s="183">
        <f t="shared" si="12"/>
        <v>0</v>
      </c>
      <c r="AA202" s="183">
        <f t="shared" si="13"/>
        <v>0</v>
      </c>
      <c r="AB202" s="183">
        <f t="shared" si="14"/>
        <v>0</v>
      </c>
    </row>
    <row r="203" ht="14.25" customHeight="1">
      <c r="A203" s="175"/>
      <c r="B203" s="181" t="s">
        <v>935</v>
      </c>
      <c r="D203" s="209" t="s">
        <v>936</v>
      </c>
      <c r="E203" s="183">
        <f>SUMIFS('DB BTL'!$J:$J,'DB BTL'!$E:$E,$B203,'DB BTL'!$A:$A,$D$4,'DB BTL'!$B:$B,$E$3,'DB BTL'!$D:$D,AA$1)</f>
        <v>0</v>
      </c>
      <c r="F203" s="183">
        <f>SUMIFS('DB BTL'!$J:$J,'DB BTL'!$E:$E,$B203,'DB BTL'!$A:$A,$D$4,'DB BTL'!$B:$B,$E$3,'DB BTL'!$D:$D,AA$2)</f>
        <v>0</v>
      </c>
      <c r="G203" s="184">
        <f>IFERROR(HLOOKUP($E$3,'Tahun Lalu'!$B$5:$V$158,MATCH(B203,'Tahun Lalu'!$B$5:$B$158,0),0),0)</f>
        <v>0</v>
      </c>
      <c r="H203" s="184">
        <v>0.0</v>
      </c>
      <c r="I203" s="184">
        <v>0.0</v>
      </c>
      <c r="J203" s="183">
        <f t="shared" si="3"/>
        <v>0</v>
      </c>
      <c r="K203" s="183">
        <f t="shared" si="4"/>
        <v>0</v>
      </c>
      <c r="L203" s="183">
        <f t="shared" si="5"/>
        <v>0</v>
      </c>
      <c r="M203" s="183">
        <f t="shared" si="6"/>
        <v>0</v>
      </c>
      <c r="N203" s="183">
        <f t="shared" si="246"/>
        <v>0</v>
      </c>
      <c r="O203" s="183">
        <f t="shared" ref="O203:Q203" si="257">G203+W203</f>
        <v>0</v>
      </c>
      <c r="P203" s="183">
        <f t="shared" si="257"/>
        <v>0</v>
      </c>
      <c r="Q203" s="183">
        <f t="shared" si="257"/>
        <v>0</v>
      </c>
      <c r="R203" s="183">
        <f t="shared" si="9"/>
        <v>0</v>
      </c>
      <c r="S203" s="183">
        <f t="shared" si="10"/>
        <v>0</v>
      </c>
      <c r="T203" s="183">
        <f t="shared" si="11"/>
        <v>0</v>
      </c>
      <c r="U203" s="186"/>
      <c r="V203" s="183">
        <f>IFERROR(__xludf.DUMMYFUNCTION("""COMPUTED_VALUE"""),0.0)</f>
        <v>0</v>
      </c>
      <c r="W203" s="183">
        <f>IFERROR(__xludf.DUMMYFUNCTION("""COMPUTED_VALUE"""),0.0)</f>
        <v>0</v>
      </c>
      <c r="X203" s="183">
        <f>IFERROR(__xludf.DUMMYFUNCTION("""COMPUTED_VALUE"""),0.0)</f>
        <v>0</v>
      </c>
      <c r="Y203" s="183">
        <f>IFERROR(__xludf.DUMMYFUNCTION("""COMPUTED_VALUE"""),0.0)</f>
        <v>0</v>
      </c>
      <c r="Z203" s="183">
        <f t="shared" si="12"/>
        <v>0</v>
      </c>
      <c r="AA203" s="183">
        <f t="shared" si="13"/>
        <v>0</v>
      </c>
      <c r="AB203" s="183">
        <f t="shared" si="14"/>
        <v>0</v>
      </c>
    </row>
    <row r="204" ht="14.25" customHeight="1">
      <c r="A204" s="175"/>
      <c r="B204" s="181" t="s">
        <v>937</v>
      </c>
      <c r="D204" s="209" t="s">
        <v>938</v>
      </c>
      <c r="E204" s="183">
        <f>SUMIFS('DB BTL'!$J:$J,'DB BTL'!$E:$E,$B204,'DB BTL'!$A:$A,$D$4,'DB BTL'!$B:$B,$E$3,'DB BTL'!$D:$D,AA$1)</f>
        <v>0</v>
      </c>
      <c r="F204" s="183">
        <f>SUMIFS('DB BTL'!$J:$J,'DB BTL'!$E:$E,$B204,'DB BTL'!$A:$A,$D$4,'DB BTL'!$B:$B,$E$3,'DB BTL'!$D:$D,AA$2)</f>
        <v>0</v>
      </c>
      <c r="G204" s="184">
        <f>IFERROR(HLOOKUP($E$3,'Tahun Lalu'!$B$5:$V$158,MATCH(B204,'Tahun Lalu'!$B$5:$B$158,0),0),0)</f>
        <v>0</v>
      </c>
      <c r="H204" s="184">
        <v>0.0</v>
      </c>
      <c r="I204" s="184">
        <v>0.0</v>
      </c>
      <c r="J204" s="183">
        <f t="shared" si="3"/>
        <v>0</v>
      </c>
      <c r="K204" s="183">
        <f t="shared" si="4"/>
        <v>0</v>
      </c>
      <c r="L204" s="183">
        <f t="shared" si="5"/>
        <v>0</v>
      </c>
      <c r="M204" s="183">
        <f t="shared" si="6"/>
        <v>0</v>
      </c>
      <c r="N204" s="183">
        <f t="shared" si="246"/>
        <v>0</v>
      </c>
      <c r="O204" s="183">
        <f t="shared" ref="O204:Q204" si="258">G204+W204</f>
        <v>0</v>
      </c>
      <c r="P204" s="183">
        <f t="shared" si="258"/>
        <v>0</v>
      </c>
      <c r="Q204" s="183">
        <f t="shared" si="258"/>
        <v>0</v>
      </c>
      <c r="R204" s="183">
        <f t="shared" si="9"/>
        <v>0</v>
      </c>
      <c r="S204" s="183">
        <f t="shared" si="10"/>
        <v>0</v>
      </c>
      <c r="T204" s="183">
        <f t="shared" si="11"/>
        <v>0</v>
      </c>
      <c r="U204" s="186"/>
      <c r="V204" s="183">
        <f>IFERROR(__xludf.DUMMYFUNCTION("""COMPUTED_VALUE"""),0.0)</f>
        <v>0</v>
      </c>
      <c r="W204" s="183">
        <f>IFERROR(__xludf.DUMMYFUNCTION("""COMPUTED_VALUE"""),0.0)</f>
        <v>0</v>
      </c>
      <c r="X204" s="183">
        <f>IFERROR(__xludf.DUMMYFUNCTION("""COMPUTED_VALUE"""),0.0)</f>
        <v>0</v>
      </c>
      <c r="Y204" s="183">
        <f>IFERROR(__xludf.DUMMYFUNCTION("""COMPUTED_VALUE"""),0.0)</f>
        <v>0</v>
      </c>
      <c r="Z204" s="183">
        <f t="shared" si="12"/>
        <v>0</v>
      </c>
      <c r="AA204" s="183">
        <f t="shared" si="13"/>
        <v>0</v>
      </c>
      <c r="AB204" s="183">
        <f t="shared" si="14"/>
        <v>0</v>
      </c>
    </row>
    <row r="205" ht="14.25" customHeight="1">
      <c r="A205" s="175"/>
      <c r="B205" s="181" t="s">
        <v>939</v>
      </c>
      <c r="D205" s="209" t="s">
        <v>940</v>
      </c>
      <c r="E205" s="183">
        <f>SUMIFS('DB BTL'!$J:$J,'DB BTL'!$E:$E,$B205,'DB BTL'!$A:$A,$D$4,'DB BTL'!$B:$B,$E$3,'DB BTL'!$D:$D,AA$1)</f>
        <v>0</v>
      </c>
      <c r="F205" s="183">
        <f>SUMIFS('DB BTL'!$J:$J,'DB BTL'!$E:$E,$B205,'DB BTL'!$A:$A,$D$4,'DB BTL'!$B:$B,$E$3,'DB BTL'!$D:$D,AA$2)</f>
        <v>0</v>
      </c>
      <c r="G205" s="184">
        <f>IFERROR(HLOOKUP($E$3,'Tahun Lalu'!$B$5:$V$158,MATCH(B205,'Tahun Lalu'!$B$5:$B$158,0),0),0)</f>
        <v>0</v>
      </c>
      <c r="H205" s="184">
        <v>0.0</v>
      </c>
      <c r="I205" s="184">
        <v>0.0</v>
      </c>
      <c r="J205" s="183">
        <f t="shared" si="3"/>
        <v>0</v>
      </c>
      <c r="K205" s="183">
        <f t="shared" si="4"/>
        <v>0</v>
      </c>
      <c r="L205" s="183">
        <f t="shared" si="5"/>
        <v>0</v>
      </c>
      <c r="M205" s="183">
        <f t="shared" si="6"/>
        <v>0</v>
      </c>
      <c r="N205" s="183">
        <f t="shared" si="246"/>
        <v>0</v>
      </c>
      <c r="O205" s="183">
        <f t="shared" ref="O205:Q205" si="259">G205+W205</f>
        <v>0</v>
      </c>
      <c r="P205" s="183">
        <f t="shared" si="259"/>
        <v>0</v>
      </c>
      <c r="Q205" s="183">
        <f t="shared" si="259"/>
        <v>0</v>
      </c>
      <c r="R205" s="183">
        <f t="shared" si="9"/>
        <v>0</v>
      </c>
      <c r="S205" s="183">
        <f t="shared" si="10"/>
        <v>0</v>
      </c>
      <c r="T205" s="183">
        <f t="shared" si="11"/>
        <v>0</v>
      </c>
      <c r="U205" s="186"/>
      <c r="V205" s="183">
        <f>IFERROR(__xludf.DUMMYFUNCTION("""COMPUTED_VALUE"""),0.0)</f>
        <v>0</v>
      </c>
      <c r="W205" s="183">
        <f>IFERROR(__xludf.DUMMYFUNCTION("""COMPUTED_VALUE"""),0.0)</f>
        <v>0</v>
      </c>
      <c r="X205" s="183">
        <f>IFERROR(__xludf.DUMMYFUNCTION("""COMPUTED_VALUE"""),0.0)</f>
        <v>0</v>
      </c>
      <c r="Y205" s="183">
        <f>IFERROR(__xludf.DUMMYFUNCTION("""COMPUTED_VALUE"""),0.0)</f>
        <v>0</v>
      </c>
      <c r="Z205" s="183">
        <f t="shared" si="12"/>
        <v>0</v>
      </c>
      <c r="AA205" s="183">
        <f t="shared" si="13"/>
        <v>0</v>
      </c>
      <c r="AB205" s="183">
        <f t="shared" si="14"/>
        <v>0</v>
      </c>
    </row>
    <row r="206" ht="14.25" customHeight="1">
      <c r="A206" s="175"/>
      <c r="B206" s="181" t="s">
        <v>941</v>
      </c>
      <c r="D206" s="209" t="s">
        <v>582</v>
      </c>
      <c r="E206" s="183">
        <f>SUMIFS('DB BTL'!$J:$J,'DB BTL'!$E:$E,$B206,'DB BTL'!$A:$A,$D$4,'DB BTL'!$B:$B,$E$3,'DB BTL'!$D:$D,AA$1)</f>
        <v>0</v>
      </c>
      <c r="F206" s="183">
        <f>SUMIFS('DB BTL'!$J:$J,'DB BTL'!$E:$E,$B206,'DB BTL'!$A:$A,$D$4,'DB BTL'!$B:$B,$E$3,'DB BTL'!$D:$D,AA$2)</f>
        <v>0</v>
      </c>
      <c r="G206" s="184">
        <f>IFERROR(HLOOKUP($E$3,'Tahun Lalu'!$B$5:$V$158,MATCH(B206,'Tahun Lalu'!$B$5:$B$158,0),0),0)</f>
        <v>0</v>
      </c>
      <c r="H206" s="184">
        <v>0.0</v>
      </c>
      <c r="I206" s="184">
        <v>0.0</v>
      </c>
      <c r="J206" s="183">
        <f t="shared" si="3"/>
        <v>0</v>
      </c>
      <c r="K206" s="183">
        <f t="shared" si="4"/>
        <v>0</v>
      </c>
      <c r="L206" s="183">
        <f t="shared" si="5"/>
        <v>0</v>
      </c>
      <c r="M206" s="183">
        <f t="shared" si="6"/>
        <v>0</v>
      </c>
      <c r="N206" s="183">
        <f t="shared" si="246"/>
        <v>0</v>
      </c>
      <c r="O206" s="183">
        <f t="shared" ref="O206:Q206" si="260">G206+W206</f>
        <v>0</v>
      </c>
      <c r="P206" s="183">
        <f t="shared" si="260"/>
        <v>0</v>
      </c>
      <c r="Q206" s="183">
        <f t="shared" si="260"/>
        <v>0</v>
      </c>
      <c r="R206" s="183">
        <f t="shared" si="9"/>
        <v>0</v>
      </c>
      <c r="S206" s="183">
        <f t="shared" si="10"/>
        <v>0</v>
      </c>
      <c r="T206" s="183">
        <f t="shared" si="11"/>
        <v>0</v>
      </c>
      <c r="U206" s="186"/>
      <c r="V206" s="183">
        <f>IFERROR(__xludf.DUMMYFUNCTION("""COMPUTED_VALUE"""),0.0)</f>
        <v>0</v>
      </c>
      <c r="W206" s="183">
        <f>IFERROR(__xludf.DUMMYFUNCTION("""COMPUTED_VALUE"""),0.0)</f>
        <v>0</v>
      </c>
      <c r="X206" s="183">
        <f>IFERROR(__xludf.DUMMYFUNCTION("""COMPUTED_VALUE"""),0.0)</f>
        <v>0</v>
      </c>
      <c r="Y206" s="183">
        <f>IFERROR(__xludf.DUMMYFUNCTION("""COMPUTED_VALUE"""),0.0)</f>
        <v>0</v>
      </c>
      <c r="Z206" s="183">
        <f t="shared" si="12"/>
        <v>0</v>
      </c>
      <c r="AA206" s="183">
        <f t="shared" si="13"/>
        <v>0</v>
      </c>
      <c r="AB206" s="183">
        <f t="shared" si="14"/>
        <v>0</v>
      </c>
    </row>
    <row r="207" ht="14.25" customHeight="1">
      <c r="A207" s="175"/>
      <c r="B207" s="181" t="s">
        <v>942</v>
      </c>
      <c r="D207" s="209" t="s">
        <v>943</v>
      </c>
      <c r="E207" s="183">
        <f>SUMIFS('DB BTL'!$J:$J,'DB BTL'!$E:$E,$B207,'DB BTL'!$A:$A,$D$4,'DB BTL'!$B:$B,$E$3,'DB BTL'!$D:$D,AA$1)</f>
        <v>0</v>
      </c>
      <c r="F207" s="183">
        <f>SUMIFS('DB BTL'!$J:$J,'DB BTL'!$E:$E,$B207,'DB BTL'!$A:$A,$D$4,'DB BTL'!$B:$B,$E$3,'DB BTL'!$D:$D,AA$2)</f>
        <v>0</v>
      </c>
      <c r="G207" s="184">
        <f>IFERROR(HLOOKUP($E$3,'Tahun Lalu'!$B$5:$V$158,MATCH(B207,'Tahun Lalu'!$B$5:$B$158,0),0),0)</f>
        <v>0</v>
      </c>
      <c r="H207" s="184">
        <v>0.0</v>
      </c>
      <c r="I207" s="184">
        <v>0.0</v>
      </c>
      <c r="J207" s="183">
        <f t="shared" si="3"/>
        <v>0</v>
      </c>
      <c r="K207" s="183">
        <f t="shared" si="4"/>
        <v>0</v>
      </c>
      <c r="L207" s="183">
        <f t="shared" si="5"/>
        <v>0</v>
      </c>
      <c r="M207" s="183">
        <f t="shared" si="6"/>
        <v>0</v>
      </c>
      <c r="N207" s="183">
        <f t="shared" si="246"/>
        <v>0</v>
      </c>
      <c r="O207" s="183">
        <f t="shared" ref="O207:Q207" si="261">G207+W207</f>
        <v>0</v>
      </c>
      <c r="P207" s="183">
        <f t="shared" si="261"/>
        <v>0</v>
      </c>
      <c r="Q207" s="183">
        <f t="shared" si="261"/>
        <v>0</v>
      </c>
      <c r="R207" s="183">
        <f t="shared" si="9"/>
        <v>0</v>
      </c>
      <c r="S207" s="183">
        <f t="shared" si="10"/>
        <v>0</v>
      </c>
      <c r="T207" s="183">
        <f t="shared" si="11"/>
        <v>0</v>
      </c>
      <c r="U207" s="186"/>
      <c r="V207" s="183">
        <f>IFERROR(__xludf.DUMMYFUNCTION("""COMPUTED_VALUE"""),0.0)</f>
        <v>0</v>
      </c>
      <c r="W207" s="183">
        <f>IFERROR(__xludf.DUMMYFUNCTION("""COMPUTED_VALUE"""),0.0)</f>
        <v>0</v>
      </c>
      <c r="X207" s="183">
        <f>IFERROR(__xludf.DUMMYFUNCTION("""COMPUTED_VALUE"""),0.0)</f>
        <v>0</v>
      </c>
      <c r="Y207" s="183">
        <f>IFERROR(__xludf.DUMMYFUNCTION("""COMPUTED_VALUE"""),0.0)</f>
        <v>0</v>
      </c>
      <c r="Z207" s="183">
        <f t="shared" si="12"/>
        <v>0</v>
      </c>
      <c r="AA207" s="183">
        <f t="shared" si="13"/>
        <v>0</v>
      </c>
      <c r="AB207" s="183">
        <f t="shared" si="14"/>
        <v>0</v>
      </c>
    </row>
    <row r="208" ht="14.25" customHeight="1">
      <c r="A208" s="175"/>
      <c r="B208" s="221"/>
      <c r="C208" s="222"/>
      <c r="D208" s="233" t="s">
        <v>944</v>
      </c>
      <c r="E208" s="224">
        <f t="shared" ref="E208:I208" si="262">sum(E191:E207)</f>
        <v>0</v>
      </c>
      <c r="F208" s="224">
        <f t="shared" si="262"/>
        <v>0</v>
      </c>
      <c r="G208" s="224">
        <f t="shared" si="262"/>
        <v>0</v>
      </c>
      <c r="H208" s="224">
        <f t="shared" si="262"/>
        <v>0</v>
      </c>
      <c r="I208" s="224">
        <f t="shared" si="262"/>
        <v>0</v>
      </c>
      <c r="J208" s="224">
        <f t="shared" si="3"/>
        <v>0</v>
      </c>
      <c r="K208" s="224">
        <f t="shared" si="4"/>
        <v>0</v>
      </c>
      <c r="L208" s="224">
        <f t="shared" si="5"/>
        <v>0</v>
      </c>
      <c r="M208" s="224">
        <f t="shared" si="6"/>
        <v>0</v>
      </c>
      <c r="N208" s="224">
        <f t="shared" ref="N208:Q208" si="263">sum(N191:N207)</f>
        <v>0</v>
      </c>
      <c r="O208" s="224">
        <f t="shared" si="263"/>
        <v>0</v>
      </c>
      <c r="P208" s="224">
        <f t="shared" si="263"/>
        <v>0</v>
      </c>
      <c r="Q208" s="224">
        <f t="shared" si="263"/>
        <v>0</v>
      </c>
      <c r="R208" s="224">
        <f t="shared" si="9"/>
        <v>0</v>
      </c>
      <c r="S208" s="224">
        <f t="shared" si="10"/>
        <v>0</v>
      </c>
      <c r="T208" s="224">
        <f t="shared" si="11"/>
        <v>0</v>
      </c>
      <c r="U208" s="225"/>
      <c r="V208" s="224">
        <f>IFERROR(__xludf.DUMMYFUNCTION("""COMPUTED_VALUE"""),0.0)</f>
        <v>0</v>
      </c>
      <c r="W208" s="224">
        <f>IFERROR(__xludf.DUMMYFUNCTION("""COMPUTED_VALUE"""),0.0)</f>
        <v>0</v>
      </c>
      <c r="X208" s="224">
        <f>IFERROR(__xludf.DUMMYFUNCTION("""COMPUTED_VALUE"""),0.0)</f>
        <v>0</v>
      </c>
      <c r="Y208" s="224">
        <f>IFERROR(__xludf.DUMMYFUNCTION("""COMPUTED_VALUE"""),0.0)</f>
        <v>0</v>
      </c>
      <c r="Z208" s="224">
        <f t="shared" si="12"/>
        <v>0</v>
      </c>
      <c r="AA208" s="224">
        <f t="shared" si="13"/>
        <v>0</v>
      </c>
      <c r="AB208" s="224">
        <f t="shared" si="14"/>
        <v>0</v>
      </c>
    </row>
  </sheetData>
  <mergeCells count="31">
    <mergeCell ref="H6:H8"/>
    <mergeCell ref="I6:I8"/>
    <mergeCell ref="B190:D190"/>
    <mergeCell ref="J6:M6"/>
    <mergeCell ref="N6:N8"/>
    <mergeCell ref="J7:J8"/>
    <mergeCell ref="K7:K8"/>
    <mergeCell ref="L7:L8"/>
    <mergeCell ref="M7:M8"/>
    <mergeCell ref="N5:T5"/>
    <mergeCell ref="R6:T6"/>
    <mergeCell ref="B5:B8"/>
    <mergeCell ref="C5:D8"/>
    <mergeCell ref="E5:M5"/>
    <mergeCell ref="E6:E8"/>
    <mergeCell ref="F6:F8"/>
    <mergeCell ref="G6:G8"/>
    <mergeCell ref="Q6:Q8"/>
    <mergeCell ref="R7:R8"/>
    <mergeCell ref="S7:S8"/>
    <mergeCell ref="Y6:Y8"/>
    <mergeCell ref="Z7:Z8"/>
    <mergeCell ref="AA7:AA8"/>
    <mergeCell ref="AB7:AB8"/>
    <mergeCell ref="O6:O8"/>
    <mergeCell ref="P6:P8"/>
    <mergeCell ref="V6:V8"/>
    <mergeCell ref="W6:W8"/>
    <mergeCell ref="X6:X8"/>
    <mergeCell ref="Z6:AB6"/>
    <mergeCell ref="T7:T8"/>
  </mergeCells>
  <dataValidations>
    <dataValidation type="list" allowBlank="1" showErrorMessage="1" sqref="D3">
      <formula1>Plant!$A$2:$A$28</formula1>
    </dataValidation>
  </dataValidations>
  <printOptions/>
  <pageMargins bottom="0.2" footer="0.0" header="0.0" left="0.8" right="0.5" top="0.1"/>
  <pageSetup paperSize="9" orientation="landscape"/>
  <rowBreaks count="4" manualBreakCount="4">
    <brk id="131" man="1"/>
    <brk id="165" man="1"/>
    <brk id="55" man="1"/>
    <brk id="94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4.43" defaultRowHeight="15.0"/>
  <cols>
    <col customWidth="1" min="1" max="1" width="3.0"/>
    <col customWidth="1" min="2" max="2" width="8.43"/>
    <col customWidth="1" min="3" max="3" width="9.0"/>
    <col customWidth="1" min="4" max="4" width="44.14"/>
    <col customWidth="1" min="5" max="6" width="13.29"/>
    <col customWidth="1" min="7" max="9" width="12.29"/>
    <col customWidth="1" min="10" max="10" width="7.71"/>
    <col customWidth="1" min="11" max="11" width="7.0"/>
    <col customWidth="1" min="12" max="12" width="7.14"/>
    <col customWidth="1" min="13" max="13" width="7.0"/>
    <col customWidth="1" min="14" max="14" width="13.29"/>
    <col customWidth="1" min="15" max="16" width="11.86"/>
    <col customWidth="1" min="17" max="17" width="12.29"/>
    <col customWidth="1" min="18" max="18" width="7.71"/>
    <col customWidth="1" min="19" max="19" width="6.43"/>
    <col customWidth="1" min="20" max="20" width="7.29"/>
    <col customWidth="1" min="21" max="21" width="4.71"/>
    <col customWidth="1" min="22" max="22" width="13.29"/>
    <col customWidth="1" min="23" max="25" width="11.86"/>
    <col customWidth="1" min="26" max="26" width="15.29"/>
    <col customWidth="1" min="27" max="28" width="4.71"/>
  </cols>
  <sheetData>
    <row r="1">
      <c r="A1" s="133"/>
      <c r="B1" s="134" t="s">
        <v>723</v>
      </c>
      <c r="C1" s="135"/>
      <c r="D1" s="136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7" t="s">
        <v>724</v>
      </c>
      <c r="AA1" s="138">
        <f>'Balin-A'!AA1</f>
        <v>5</v>
      </c>
      <c r="AB1" s="133"/>
    </row>
    <row r="2">
      <c r="A2" s="133"/>
      <c r="B2" s="134" t="s">
        <v>725</v>
      </c>
      <c r="C2" s="135"/>
      <c r="D2" s="136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7" t="s">
        <v>726</v>
      </c>
      <c r="AA2" s="138">
        <f>'Balin-A'!AA2</f>
        <v>4</v>
      </c>
      <c r="AB2" s="133"/>
    </row>
    <row r="3">
      <c r="A3" s="133"/>
      <c r="B3" s="134" t="s">
        <v>727</v>
      </c>
      <c r="C3" s="135"/>
      <c r="D3" s="139" t="s">
        <v>701</v>
      </c>
      <c r="E3" s="140" t="str">
        <f>VLOOKUP(D3,Plant!$A$2:$B$27,2,false)</f>
        <v>5E19</v>
      </c>
      <c r="F3" s="133"/>
      <c r="G3" s="133"/>
      <c r="H3" s="133"/>
      <c r="I3" s="133"/>
      <c r="J3" s="133"/>
      <c r="K3" s="133"/>
      <c r="L3" s="133"/>
      <c r="M3" s="133"/>
      <c r="N3" s="141"/>
      <c r="O3" s="133"/>
      <c r="P3" s="133"/>
      <c r="Q3" s="133"/>
      <c r="R3" s="133"/>
      <c r="S3" s="133"/>
      <c r="T3" s="133"/>
      <c r="U3" s="133"/>
      <c r="V3" s="141"/>
      <c r="W3" s="133"/>
      <c r="X3" s="133"/>
      <c r="Y3" s="133"/>
      <c r="Z3" s="133"/>
      <c r="AA3" s="133"/>
      <c r="AB3" s="133"/>
    </row>
    <row r="4" ht="14.25" customHeight="1">
      <c r="A4" s="133"/>
      <c r="B4" s="142" t="s">
        <v>728</v>
      </c>
      <c r="C4" s="143"/>
      <c r="D4" s="142" t="s">
        <v>11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44" t="s">
        <v>729</v>
      </c>
    </row>
    <row r="5" ht="14.25" customHeight="1">
      <c r="A5" s="145"/>
      <c r="B5" s="146" t="s">
        <v>730</v>
      </c>
      <c r="C5" s="147" t="s">
        <v>731</v>
      </c>
      <c r="D5" s="148"/>
      <c r="E5" s="149" t="str">
        <f>CONCATENATE("Bulan ",'Tahun Lalu'!D3," 2026")</f>
        <v>Bulan Mei 2026</v>
      </c>
      <c r="F5" s="150"/>
      <c r="G5" s="150"/>
      <c r="H5" s="150"/>
      <c r="I5" s="150"/>
      <c r="J5" s="150"/>
      <c r="K5" s="150"/>
      <c r="L5" s="150"/>
      <c r="M5" s="150"/>
      <c r="N5" s="151" t="str">
        <f>CONCATENATE("sd ",E5)</f>
        <v>sd Bulan Mei 2026</v>
      </c>
      <c r="O5" s="150"/>
      <c r="P5" s="150"/>
      <c r="Q5" s="150"/>
      <c r="R5" s="150"/>
      <c r="S5" s="150"/>
      <c r="T5" s="152"/>
      <c r="U5" s="153"/>
      <c r="V5" s="154"/>
      <c r="W5" s="155"/>
      <c r="X5" s="155"/>
      <c r="Y5" s="155"/>
      <c r="Z5" s="155"/>
      <c r="AA5" s="155"/>
      <c r="AB5" s="155"/>
    </row>
    <row r="6" ht="14.25" customHeight="1">
      <c r="A6" s="145"/>
      <c r="B6" s="156"/>
      <c r="C6" s="157"/>
      <c r="D6" s="158"/>
      <c r="E6" s="159" t="s">
        <v>732</v>
      </c>
      <c r="F6" s="159" t="s">
        <v>733</v>
      </c>
      <c r="G6" s="159" t="s">
        <v>734</v>
      </c>
      <c r="H6" s="159" t="s">
        <v>634</v>
      </c>
      <c r="I6" s="159" t="s">
        <v>635</v>
      </c>
      <c r="J6" s="160" t="s">
        <v>735</v>
      </c>
      <c r="K6" s="75"/>
      <c r="L6" s="75"/>
      <c r="M6" s="161"/>
      <c r="N6" s="162" t="s">
        <v>736</v>
      </c>
      <c r="O6" s="162" t="s">
        <v>734</v>
      </c>
      <c r="P6" s="162" t="s">
        <v>634</v>
      </c>
      <c r="Q6" s="162" t="s">
        <v>635</v>
      </c>
      <c r="R6" s="163" t="s">
        <v>735</v>
      </c>
      <c r="S6" s="75"/>
      <c r="T6" s="161"/>
      <c r="U6" s="164"/>
      <c r="V6" s="165" t="s">
        <v>736</v>
      </c>
      <c r="W6" s="165" t="s">
        <v>734</v>
      </c>
      <c r="X6" s="165" t="s">
        <v>634</v>
      </c>
      <c r="Y6" s="165" t="s">
        <v>635</v>
      </c>
      <c r="Z6" s="166" t="s">
        <v>735</v>
      </c>
      <c r="AA6" s="75"/>
      <c r="AB6" s="161"/>
    </row>
    <row r="7" ht="14.25" customHeight="1">
      <c r="A7" s="145"/>
      <c r="B7" s="156"/>
      <c r="C7" s="157"/>
      <c r="D7" s="158"/>
      <c r="E7" s="167"/>
      <c r="F7" s="167"/>
      <c r="G7" s="167"/>
      <c r="H7" s="167"/>
      <c r="I7" s="167"/>
      <c r="J7" s="168" t="str">
        <f t="shared" ref="J7:M7" si="1">F6</f>
        <v>Real Bulan Lalu</v>
      </c>
      <c r="K7" s="168" t="str">
        <f t="shared" si="1"/>
        <v>Real Tahun Lalu</v>
      </c>
      <c r="L7" s="168" t="str">
        <f t="shared" si="1"/>
        <v>RKO</v>
      </c>
      <c r="M7" s="168" t="str">
        <f t="shared" si="1"/>
        <v>RKAP</v>
      </c>
      <c r="N7" s="167"/>
      <c r="O7" s="167"/>
      <c r="P7" s="167"/>
      <c r="Q7" s="167"/>
      <c r="R7" s="169" t="str">
        <f>$O$6</f>
        <v>Real Tahun Lalu</v>
      </c>
      <c r="S7" s="169" t="str">
        <f>$P$6</f>
        <v>RKO</v>
      </c>
      <c r="T7" s="169" t="str">
        <f>$Q$6</f>
        <v>RKAP</v>
      </c>
      <c r="U7" s="164"/>
      <c r="V7" s="167"/>
      <c r="W7" s="167"/>
      <c r="X7" s="167"/>
      <c r="Y7" s="167"/>
      <c r="Z7" s="170" t="str">
        <f>$O$6</f>
        <v>Real Tahun Lalu</v>
      </c>
      <c r="AA7" s="170" t="str">
        <f>$P$6</f>
        <v>RKO</v>
      </c>
      <c r="AB7" s="170" t="str">
        <f>$Q$6</f>
        <v>RKAP</v>
      </c>
    </row>
    <row r="8" ht="14.25" customHeight="1">
      <c r="A8" s="145"/>
      <c r="B8" s="171"/>
      <c r="C8" s="172"/>
      <c r="D8" s="173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64"/>
      <c r="V8" s="174"/>
      <c r="W8" s="174"/>
      <c r="X8" s="174"/>
      <c r="Y8" s="174"/>
      <c r="Z8" s="174"/>
      <c r="AA8" s="174"/>
      <c r="AB8" s="174"/>
    </row>
    <row r="9" ht="14.25" customHeight="1">
      <c r="A9" s="175"/>
      <c r="B9" s="176"/>
      <c r="C9" s="177"/>
      <c r="D9" s="178" t="s">
        <v>737</v>
      </c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5"/>
      <c r="V9" s="179"/>
      <c r="W9" s="179"/>
      <c r="X9" s="179"/>
      <c r="Y9" s="179"/>
      <c r="Z9" s="179"/>
      <c r="AA9" s="179"/>
      <c r="AB9" s="179"/>
    </row>
    <row r="10" ht="14.25" customHeight="1">
      <c r="A10" s="175"/>
      <c r="B10" s="180" t="s">
        <v>22</v>
      </c>
      <c r="C10" s="181" t="str">
        <f>CONCATENATE(if(D4="KS","SP","SR"),"01")</f>
        <v>SR01</v>
      </c>
      <c r="D10" s="182" t="s">
        <v>738</v>
      </c>
      <c r="E10" s="183">
        <f>SUMIFS('DB BTL'!$J:$J,'DB BTL'!$E:$E,$C10,'DB BTL'!$A:$A,$D$4,'DB BTL'!$B:$B,$E$3,'DB BTL'!$D:$D,AA$1)</f>
        <v>0</v>
      </c>
      <c r="F10" s="183">
        <f>SUMIFS('DB WBS'!$J:$J,'DB WBS'!$A:$A,$D$4,'DB WBS'!$D:$D,AA$2,'DB WBS'!$B:$B,$E$3,'DB WBS'!$E:$E,$B10)</f>
        <v>80487721</v>
      </c>
      <c r="G10" s="184">
        <f>IFERROR(HLOOKUP($E$3,'Tahun Lalu'!$B$5:$V$158,MATCH(B10,'Tahun Lalu'!$B$5:$B$158,0),0),0)</f>
        <v>0</v>
      </c>
      <c r="H10" s="184">
        <v>0.0</v>
      </c>
      <c r="I10" s="184">
        <v>0.0</v>
      </c>
      <c r="J10" s="185">
        <f t="shared" ref="J10:J208" si="3">IFERROR(E10/F10*100,0)</f>
        <v>0</v>
      </c>
      <c r="K10" s="183">
        <f t="shared" ref="K10:K208" si="4">IFERROR(E10/G10*100,0)</f>
        <v>0</v>
      </c>
      <c r="L10" s="183">
        <f t="shared" ref="L10:L208" si="5">IFERROR(E10/H10*100,0)</f>
        <v>0</v>
      </c>
      <c r="M10" s="183">
        <f t="shared" ref="M10:M208" si="6">IFERROR(E10/I10*100,0)</f>
        <v>0</v>
      </c>
      <c r="N10" s="183">
        <f t="shared" ref="N10:N13" si="7">E10+V10</f>
        <v>0</v>
      </c>
      <c r="O10" s="183">
        <f t="shared" ref="O10:Q10" si="2">G10+W10</f>
        <v>0</v>
      </c>
      <c r="P10" s="183">
        <f t="shared" si="2"/>
        <v>0</v>
      </c>
      <c r="Q10" s="183">
        <f t="shared" si="2"/>
        <v>0</v>
      </c>
      <c r="R10" s="183">
        <f t="shared" ref="R10:R208" si="9">IFERROR(N10/O10*100,0)</f>
        <v>0</v>
      </c>
      <c r="S10" s="183">
        <f t="shared" ref="S10:S208" si="10">IFERROR(N10/P10*100,0)</f>
        <v>0</v>
      </c>
      <c r="T10" s="183">
        <f t="shared" ref="T10:T208" si="11">IFERROR(N10/Q10*100,0)</f>
        <v>0</v>
      </c>
      <c r="U10" s="186"/>
      <c r="V10" s="183">
        <f>IFERROR(__xludf.DUMMYFUNCTION("IFERROR(IMPORTRANGE(Link!B1,CONCATENATE(VLOOKUP($E$3,Link!$A$30:$B$39,2,false),""!N10:Q236"")),0)"),0.0)</f>
        <v>0</v>
      </c>
      <c r="W10" s="183">
        <f>IFERROR(__xludf.DUMMYFUNCTION("""COMPUTED_VALUE"""),0.0)</f>
        <v>0</v>
      </c>
      <c r="X10" s="183">
        <f>IFERROR(__xludf.DUMMYFUNCTION("""COMPUTED_VALUE"""),0.0)</f>
        <v>0</v>
      </c>
      <c r="Y10" s="183">
        <f>IFERROR(__xludf.DUMMYFUNCTION("""COMPUTED_VALUE"""),0.0)</f>
        <v>0</v>
      </c>
      <c r="Z10" s="183">
        <f t="shared" ref="Z10:Z208" si="12">IFERROR(V10/W10*100,0)</f>
        <v>0</v>
      </c>
      <c r="AA10" s="183">
        <f t="shared" ref="AA10:AA208" si="13">IFERROR(V10/X10*100,0)</f>
        <v>0</v>
      </c>
      <c r="AB10" s="183">
        <f t="shared" ref="AB10:AB208" si="14">IFERROR(V10/Y10*100,0)</f>
        <v>0</v>
      </c>
    </row>
    <row r="11" ht="14.25" customHeight="1">
      <c r="A11" s="175"/>
      <c r="B11" s="187" t="s">
        <v>739</v>
      </c>
      <c r="C11" s="181"/>
      <c r="D11" s="182" t="s">
        <v>740</v>
      </c>
      <c r="E11" s="183">
        <f>SUMIFS('DB WBS'!$J:$J,'DB WBS'!$A:$A,$D$4,'DB WBS'!$D:$D,AA$1,'DB WBS'!$B:$B,$E$3,'DB WBS'!$E:$E,$B11)</f>
        <v>0</v>
      </c>
      <c r="F11" s="183">
        <f>SUMIFS('DB WBS'!$J:$J,'DB WBS'!$A:$A,$D$4,'DB WBS'!$D:$D,AA$2,'DB WBS'!$B:$B,$E$3,'DB WBS'!$E:$E,$B11)</f>
        <v>0</v>
      </c>
      <c r="G11" s="184">
        <f>IFERROR(HLOOKUP($E$3,'Tahun Lalu'!$B$5:$V$158,MATCH(B11,'Tahun Lalu'!$B$5:$B$158,0),0),0)</f>
        <v>0</v>
      </c>
      <c r="H11" s="184">
        <v>0.0</v>
      </c>
      <c r="I11" s="184">
        <v>0.0</v>
      </c>
      <c r="J11" s="183">
        <f t="shared" si="3"/>
        <v>0</v>
      </c>
      <c r="K11" s="183">
        <f t="shared" si="4"/>
        <v>0</v>
      </c>
      <c r="L11" s="183">
        <f t="shared" si="5"/>
        <v>0</v>
      </c>
      <c r="M11" s="183">
        <f t="shared" si="6"/>
        <v>0</v>
      </c>
      <c r="N11" s="183">
        <f t="shared" si="7"/>
        <v>0</v>
      </c>
      <c r="O11" s="183">
        <f t="shared" ref="O11:Q11" si="8">G11+W11</f>
        <v>0</v>
      </c>
      <c r="P11" s="183">
        <f t="shared" si="8"/>
        <v>0</v>
      </c>
      <c r="Q11" s="183">
        <f t="shared" si="8"/>
        <v>0</v>
      </c>
      <c r="R11" s="183">
        <f t="shared" si="9"/>
        <v>0</v>
      </c>
      <c r="S11" s="183">
        <f t="shared" si="10"/>
        <v>0</v>
      </c>
      <c r="T11" s="183">
        <f t="shared" si="11"/>
        <v>0</v>
      </c>
      <c r="U11" s="186"/>
      <c r="V11" s="183">
        <f>IFERROR(__xludf.DUMMYFUNCTION("""COMPUTED_VALUE"""),0.0)</f>
        <v>0</v>
      </c>
      <c r="W11" s="183">
        <f>IFERROR(__xludf.DUMMYFUNCTION("""COMPUTED_VALUE"""),0.0)</f>
        <v>0</v>
      </c>
      <c r="X11" s="183">
        <f>IFERROR(__xludf.DUMMYFUNCTION("""COMPUTED_VALUE"""),0.0)</f>
        <v>0</v>
      </c>
      <c r="Y11" s="183">
        <f>IFERROR(__xludf.DUMMYFUNCTION("""COMPUTED_VALUE"""),0.0)</f>
        <v>0</v>
      </c>
      <c r="Z11" s="183">
        <f t="shared" si="12"/>
        <v>0</v>
      </c>
      <c r="AA11" s="183">
        <f t="shared" si="13"/>
        <v>0</v>
      </c>
      <c r="AB11" s="183">
        <f t="shared" si="14"/>
        <v>0</v>
      </c>
    </row>
    <row r="12" ht="14.25" customHeight="1">
      <c r="A12" s="175"/>
      <c r="B12" s="180"/>
      <c r="C12" s="177"/>
      <c r="D12" s="182" t="s">
        <v>741</v>
      </c>
      <c r="E12" s="183">
        <f>SUMIFS('DB WBS'!$J:$J,'DB WBS'!$A:$A,$D$4,'DB WBS'!$D:$D,AA$1,'DB WBS'!$B:$B,$E$3,'DB WBS'!$E:$E,$B12)</f>
        <v>0</v>
      </c>
      <c r="F12" s="183">
        <f>SUMIFS('DB WBS'!$J:$J,'DB WBS'!$A:$A,$D$4,'DB WBS'!$D:$D,AA$2,'DB WBS'!$B:$B,$E$3,'DB WBS'!$E:$E,$B12)</f>
        <v>0</v>
      </c>
      <c r="G12" s="184">
        <f>IFERROR(HLOOKUP($E$3,'Tahun Lalu'!$B$5:$V$158,MATCH(B12,'Tahun Lalu'!$B$5:$B$158,0),0),0)</f>
        <v>0</v>
      </c>
      <c r="H12" s="184">
        <v>0.0</v>
      </c>
      <c r="I12" s="184">
        <v>0.0</v>
      </c>
      <c r="J12" s="183">
        <f t="shared" si="3"/>
        <v>0</v>
      </c>
      <c r="K12" s="183">
        <f t="shared" si="4"/>
        <v>0</v>
      </c>
      <c r="L12" s="188">
        <f t="shared" si="5"/>
        <v>0</v>
      </c>
      <c r="M12" s="188">
        <f t="shared" si="6"/>
        <v>0</v>
      </c>
      <c r="N12" s="183">
        <f t="shared" si="7"/>
        <v>0</v>
      </c>
      <c r="O12" s="183">
        <f t="shared" ref="O12:Q12" si="15">G12+W12</f>
        <v>0</v>
      </c>
      <c r="P12" s="183">
        <f t="shared" si="15"/>
        <v>0</v>
      </c>
      <c r="Q12" s="183">
        <f t="shared" si="15"/>
        <v>0</v>
      </c>
      <c r="R12" s="183">
        <f t="shared" si="9"/>
        <v>0</v>
      </c>
      <c r="S12" s="183">
        <f t="shared" si="10"/>
        <v>0</v>
      </c>
      <c r="T12" s="188">
        <f t="shared" si="11"/>
        <v>0</v>
      </c>
      <c r="U12" s="189"/>
      <c r="V12" s="183">
        <f>IFERROR(__xludf.DUMMYFUNCTION("""COMPUTED_VALUE"""),0.0)</f>
        <v>0</v>
      </c>
      <c r="W12" s="183">
        <f>IFERROR(__xludf.DUMMYFUNCTION("""COMPUTED_VALUE"""),0.0)</f>
        <v>0</v>
      </c>
      <c r="X12" s="188">
        <f>IFERROR(__xludf.DUMMYFUNCTION("""COMPUTED_VALUE"""),0.0)</f>
        <v>0</v>
      </c>
      <c r="Y12" s="188">
        <f>IFERROR(__xludf.DUMMYFUNCTION("""COMPUTED_VALUE"""),0.0)</f>
        <v>0</v>
      </c>
      <c r="Z12" s="183">
        <f t="shared" si="12"/>
        <v>0</v>
      </c>
      <c r="AA12" s="183">
        <f t="shared" si="13"/>
        <v>0</v>
      </c>
      <c r="AB12" s="188">
        <f t="shared" si="14"/>
        <v>0</v>
      </c>
    </row>
    <row r="13" ht="14.25" customHeight="1">
      <c r="A13" s="175"/>
      <c r="B13" s="180"/>
      <c r="C13" s="177"/>
      <c r="D13" s="182" t="s">
        <v>742</v>
      </c>
      <c r="E13" s="183">
        <f>SUMIFS('DB WBS'!$J:$J,'DB WBS'!$A:$A,$D$4,'DB WBS'!$D:$D,AA$1,'DB WBS'!$B:$B,$E$3,'DB WBS'!$E:$E,$B13)</f>
        <v>0</v>
      </c>
      <c r="F13" s="183">
        <f>SUMIFS('DB WBS'!$J:$J,'DB WBS'!$A:$A,$D$4,'DB WBS'!$D:$D,AA$2,'DB WBS'!$B:$B,$E$3,'DB WBS'!$E:$E,$B13)</f>
        <v>0</v>
      </c>
      <c r="G13" s="184">
        <f>IFERROR(HLOOKUP($E$3,'Tahun Lalu'!$B$5:$V$158,MATCH(B13,'Tahun Lalu'!$B$5:$B$158,0),0),0)</f>
        <v>0</v>
      </c>
      <c r="H13" s="184">
        <v>0.0</v>
      </c>
      <c r="I13" s="184">
        <v>0.0</v>
      </c>
      <c r="J13" s="183">
        <f t="shared" si="3"/>
        <v>0</v>
      </c>
      <c r="K13" s="183">
        <f t="shared" si="4"/>
        <v>0</v>
      </c>
      <c r="L13" s="188">
        <f t="shared" si="5"/>
        <v>0</v>
      </c>
      <c r="M13" s="188">
        <f t="shared" si="6"/>
        <v>0</v>
      </c>
      <c r="N13" s="183">
        <f t="shared" si="7"/>
        <v>0</v>
      </c>
      <c r="O13" s="183">
        <f t="shared" ref="O13:Q13" si="16">G13+W13</f>
        <v>0</v>
      </c>
      <c r="P13" s="183">
        <f t="shared" si="16"/>
        <v>0</v>
      </c>
      <c r="Q13" s="183">
        <f t="shared" si="16"/>
        <v>0</v>
      </c>
      <c r="R13" s="183">
        <f t="shared" si="9"/>
        <v>0</v>
      </c>
      <c r="S13" s="183">
        <f t="shared" si="10"/>
        <v>0</v>
      </c>
      <c r="T13" s="188">
        <f t="shared" si="11"/>
        <v>0</v>
      </c>
      <c r="U13" s="189"/>
      <c r="V13" s="183">
        <f>IFERROR(__xludf.DUMMYFUNCTION("""COMPUTED_VALUE"""),0.0)</f>
        <v>0</v>
      </c>
      <c r="W13" s="183">
        <f>IFERROR(__xludf.DUMMYFUNCTION("""COMPUTED_VALUE"""),0.0)</f>
        <v>0</v>
      </c>
      <c r="X13" s="188">
        <f>IFERROR(__xludf.DUMMYFUNCTION("""COMPUTED_VALUE"""),0.0)</f>
        <v>0</v>
      </c>
      <c r="Y13" s="188">
        <f>IFERROR(__xludf.DUMMYFUNCTION("""COMPUTED_VALUE"""),0.0)</f>
        <v>0</v>
      </c>
      <c r="Z13" s="183">
        <f t="shared" si="12"/>
        <v>0</v>
      </c>
      <c r="AA13" s="183">
        <f t="shared" si="13"/>
        <v>0</v>
      </c>
      <c r="AB13" s="188">
        <f t="shared" si="14"/>
        <v>0</v>
      </c>
    </row>
    <row r="14" ht="14.25" customHeight="1">
      <c r="A14" s="190"/>
      <c r="B14" s="191" t="s">
        <v>743</v>
      </c>
      <c r="C14" s="192"/>
      <c r="D14" s="193"/>
      <c r="E14" s="194">
        <f t="shared" ref="E14:I14" si="17">SUM(E10:E13)</f>
        <v>0</v>
      </c>
      <c r="F14" s="194">
        <f t="shared" si="17"/>
        <v>80487721</v>
      </c>
      <c r="G14" s="194">
        <f t="shared" si="17"/>
        <v>0</v>
      </c>
      <c r="H14" s="194">
        <f t="shared" si="17"/>
        <v>0</v>
      </c>
      <c r="I14" s="194">
        <f t="shared" si="17"/>
        <v>0</v>
      </c>
      <c r="J14" s="194">
        <f t="shared" si="3"/>
        <v>0</v>
      </c>
      <c r="K14" s="194">
        <f t="shared" si="4"/>
        <v>0</v>
      </c>
      <c r="L14" s="194">
        <f t="shared" si="5"/>
        <v>0</v>
      </c>
      <c r="M14" s="194">
        <f t="shared" si="6"/>
        <v>0</v>
      </c>
      <c r="N14" s="194">
        <f t="shared" ref="N14:Q14" si="18">SUM(N10:N13)</f>
        <v>0</v>
      </c>
      <c r="O14" s="194">
        <f t="shared" si="18"/>
        <v>0</v>
      </c>
      <c r="P14" s="194">
        <f t="shared" si="18"/>
        <v>0</v>
      </c>
      <c r="Q14" s="194">
        <f t="shared" si="18"/>
        <v>0</v>
      </c>
      <c r="R14" s="194">
        <f t="shared" si="9"/>
        <v>0</v>
      </c>
      <c r="S14" s="194">
        <f t="shared" si="10"/>
        <v>0</v>
      </c>
      <c r="T14" s="194">
        <f t="shared" si="11"/>
        <v>0</v>
      </c>
      <c r="U14" s="195"/>
      <c r="V14" s="194">
        <f>IFERROR(__xludf.DUMMYFUNCTION("""COMPUTED_VALUE"""),0.0)</f>
        <v>0</v>
      </c>
      <c r="W14" s="194">
        <f>IFERROR(__xludf.DUMMYFUNCTION("""COMPUTED_VALUE"""),0.0)</f>
        <v>0</v>
      </c>
      <c r="X14" s="194">
        <f>IFERROR(__xludf.DUMMYFUNCTION("""COMPUTED_VALUE"""),0.0)</f>
        <v>0</v>
      </c>
      <c r="Y14" s="194">
        <f>IFERROR(__xludf.DUMMYFUNCTION("""COMPUTED_VALUE"""),0.0)</f>
        <v>0</v>
      </c>
      <c r="Z14" s="194">
        <f t="shared" si="12"/>
        <v>0</v>
      </c>
      <c r="AA14" s="194">
        <f t="shared" si="13"/>
        <v>0</v>
      </c>
      <c r="AB14" s="194">
        <f t="shared" si="14"/>
        <v>0</v>
      </c>
    </row>
    <row r="15" ht="14.25" customHeight="1">
      <c r="A15" s="175"/>
      <c r="B15" s="196" t="s">
        <v>744</v>
      </c>
      <c r="C15" s="181"/>
      <c r="D15" s="197" t="s">
        <v>745</v>
      </c>
      <c r="E15" s="183">
        <f>SUMIFS('DB WBS'!$J:$J,'DB WBS'!$A:$A,$D$4,'DB WBS'!$D:$D,AA$1,'DB WBS'!$B:$B,$E$3,'DB WBS'!$E:$E,$B15)</f>
        <v>0</v>
      </c>
      <c r="F15" s="183">
        <f>SUMIFS('DB WBS'!$J:$J,'DB WBS'!$A:$A,$D$4,'DB WBS'!$D:$D,AA$2,'DB WBS'!$B:$B,$E$3,'DB WBS'!$E:$E,$B15)</f>
        <v>0</v>
      </c>
      <c r="G15" s="184">
        <f>IFERROR(HLOOKUP($E$3,'Tahun Lalu'!$B$5:$V$158,MATCH(B15,'Tahun Lalu'!$B$5:$B$158,0),0),0)</f>
        <v>0</v>
      </c>
      <c r="H15" s="184">
        <v>0.0</v>
      </c>
      <c r="I15" s="184">
        <v>0.0</v>
      </c>
      <c r="J15" s="183">
        <f t="shared" si="3"/>
        <v>0</v>
      </c>
      <c r="K15" s="183">
        <f t="shared" si="4"/>
        <v>0</v>
      </c>
      <c r="L15" s="183">
        <f t="shared" si="5"/>
        <v>0</v>
      </c>
      <c r="M15" s="183">
        <f t="shared" si="6"/>
        <v>0</v>
      </c>
      <c r="N15" s="183">
        <f t="shared" ref="N15:N31" si="20">E15+V15</f>
        <v>0</v>
      </c>
      <c r="O15" s="183">
        <f t="shared" ref="O15:Q15" si="19">G15+W15</f>
        <v>0</v>
      </c>
      <c r="P15" s="183">
        <f t="shared" si="19"/>
        <v>0</v>
      </c>
      <c r="Q15" s="183">
        <f t="shared" si="19"/>
        <v>0</v>
      </c>
      <c r="R15" s="183">
        <f t="shared" si="9"/>
        <v>0</v>
      </c>
      <c r="S15" s="183">
        <f t="shared" si="10"/>
        <v>0</v>
      </c>
      <c r="T15" s="183">
        <f t="shared" si="11"/>
        <v>0</v>
      </c>
      <c r="U15" s="186"/>
      <c r="V15" s="183">
        <f>IFERROR(__xludf.DUMMYFUNCTION("""COMPUTED_VALUE"""),0.0)</f>
        <v>0</v>
      </c>
      <c r="W15" s="183">
        <f>IFERROR(__xludf.DUMMYFUNCTION("""COMPUTED_VALUE"""),0.0)</f>
        <v>0</v>
      </c>
      <c r="X15" s="183">
        <f>IFERROR(__xludf.DUMMYFUNCTION("""COMPUTED_VALUE"""),0.0)</f>
        <v>0</v>
      </c>
      <c r="Y15" s="183">
        <f>IFERROR(__xludf.DUMMYFUNCTION("""COMPUTED_VALUE"""),0.0)</f>
        <v>0</v>
      </c>
      <c r="Z15" s="183">
        <f t="shared" si="12"/>
        <v>0</v>
      </c>
      <c r="AA15" s="183">
        <f t="shared" si="13"/>
        <v>0</v>
      </c>
      <c r="AB15" s="183">
        <f t="shared" si="14"/>
        <v>0</v>
      </c>
    </row>
    <row r="16" ht="14.25" customHeight="1">
      <c r="A16" s="175"/>
      <c r="B16" s="196" t="s">
        <v>746</v>
      </c>
      <c r="C16" s="181"/>
      <c r="D16" s="197" t="s">
        <v>747</v>
      </c>
      <c r="E16" s="183">
        <f>SUMIFS('DB WBS'!$J:$J,'DB WBS'!$A:$A,$D$4,'DB WBS'!$D:$D,AA$1,'DB WBS'!$B:$B,$E$3,'DB WBS'!$E:$E,$B16)</f>
        <v>0</v>
      </c>
      <c r="F16" s="183">
        <f>SUMIFS('DB WBS'!$J:$J,'DB WBS'!$A:$A,$D$4,'DB WBS'!$D:$D,AA$2,'DB WBS'!$B:$B,$E$3,'DB WBS'!$E:$E,$B16)</f>
        <v>0</v>
      </c>
      <c r="G16" s="184">
        <f>IFERROR(HLOOKUP($E$3,'Tahun Lalu'!$B$5:$V$158,MATCH(B16,'Tahun Lalu'!$B$5:$B$158,0),0),0)</f>
        <v>0</v>
      </c>
      <c r="H16" s="184">
        <v>0.0</v>
      </c>
      <c r="I16" s="184">
        <v>0.0</v>
      </c>
      <c r="J16" s="183">
        <f t="shared" si="3"/>
        <v>0</v>
      </c>
      <c r="K16" s="183">
        <f t="shared" si="4"/>
        <v>0</v>
      </c>
      <c r="L16" s="183">
        <f t="shared" si="5"/>
        <v>0</v>
      </c>
      <c r="M16" s="183">
        <f t="shared" si="6"/>
        <v>0</v>
      </c>
      <c r="N16" s="183">
        <f t="shared" si="20"/>
        <v>0</v>
      </c>
      <c r="O16" s="183">
        <f t="shared" ref="O16:Q16" si="21">G16+W16</f>
        <v>0</v>
      </c>
      <c r="P16" s="183">
        <f t="shared" si="21"/>
        <v>0</v>
      </c>
      <c r="Q16" s="183">
        <f t="shared" si="21"/>
        <v>0</v>
      </c>
      <c r="R16" s="183">
        <f t="shared" si="9"/>
        <v>0</v>
      </c>
      <c r="S16" s="183">
        <f t="shared" si="10"/>
        <v>0</v>
      </c>
      <c r="T16" s="183">
        <f t="shared" si="11"/>
        <v>0</v>
      </c>
      <c r="U16" s="186"/>
      <c r="V16" s="183">
        <f>IFERROR(__xludf.DUMMYFUNCTION("""COMPUTED_VALUE"""),0.0)</f>
        <v>0</v>
      </c>
      <c r="W16" s="183">
        <f>IFERROR(__xludf.DUMMYFUNCTION("""COMPUTED_VALUE"""),0.0)</f>
        <v>0</v>
      </c>
      <c r="X16" s="183">
        <f>IFERROR(__xludf.DUMMYFUNCTION("""COMPUTED_VALUE"""),0.0)</f>
        <v>0</v>
      </c>
      <c r="Y16" s="183">
        <f>IFERROR(__xludf.DUMMYFUNCTION("""COMPUTED_VALUE"""),0.0)</f>
        <v>0</v>
      </c>
      <c r="Z16" s="183">
        <f t="shared" si="12"/>
        <v>0</v>
      </c>
      <c r="AA16" s="183">
        <f t="shared" si="13"/>
        <v>0</v>
      </c>
      <c r="AB16" s="183">
        <f t="shared" si="14"/>
        <v>0</v>
      </c>
    </row>
    <row r="17" ht="14.25" customHeight="1">
      <c r="A17" s="175"/>
      <c r="B17" s="196" t="s">
        <v>748</v>
      </c>
      <c r="C17" s="181"/>
      <c r="D17" s="197" t="s">
        <v>749</v>
      </c>
      <c r="E17" s="183">
        <f>SUMIFS('DB WBS'!$J:$J,'DB WBS'!$A:$A,$D$4,'DB WBS'!$D:$D,AA$1,'DB WBS'!$B:$B,$E$3,'DB WBS'!$E:$E,$B17)</f>
        <v>0</v>
      </c>
      <c r="F17" s="183">
        <f>SUMIFS('DB WBS'!$J:$J,'DB WBS'!$A:$A,$D$4,'DB WBS'!$D:$D,AA$2,'DB WBS'!$B:$B,$E$3,'DB WBS'!$E:$E,$B17)</f>
        <v>0</v>
      </c>
      <c r="G17" s="184">
        <f>IFERROR(HLOOKUP($E$3,'Tahun Lalu'!$B$5:$V$158,MATCH(B17,'Tahun Lalu'!$B$5:$B$158,0),0),0)</f>
        <v>0</v>
      </c>
      <c r="H17" s="184">
        <v>0.0</v>
      </c>
      <c r="I17" s="184">
        <v>0.0</v>
      </c>
      <c r="J17" s="183">
        <f t="shared" si="3"/>
        <v>0</v>
      </c>
      <c r="K17" s="183">
        <f t="shared" si="4"/>
        <v>0</v>
      </c>
      <c r="L17" s="183">
        <f t="shared" si="5"/>
        <v>0</v>
      </c>
      <c r="M17" s="183">
        <f t="shared" si="6"/>
        <v>0</v>
      </c>
      <c r="N17" s="183">
        <f t="shared" si="20"/>
        <v>0</v>
      </c>
      <c r="O17" s="183">
        <f t="shared" ref="O17:Q17" si="22">G17+W17</f>
        <v>0</v>
      </c>
      <c r="P17" s="183">
        <f t="shared" si="22"/>
        <v>0</v>
      </c>
      <c r="Q17" s="183">
        <f t="shared" si="22"/>
        <v>0</v>
      </c>
      <c r="R17" s="183">
        <f t="shared" si="9"/>
        <v>0</v>
      </c>
      <c r="S17" s="183">
        <f t="shared" si="10"/>
        <v>0</v>
      </c>
      <c r="T17" s="183">
        <f t="shared" si="11"/>
        <v>0</v>
      </c>
      <c r="U17" s="186"/>
      <c r="V17" s="183">
        <f>IFERROR(__xludf.DUMMYFUNCTION("""COMPUTED_VALUE"""),0.0)</f>
        <v>0</v>
      </c>
      <c r="W17" s="183">
        <f>IFERROR(__xludf.DUMMYFUNCTION("""COMPUTED_VALUE"""),0.0)</f>
        <v>0</v>
      </c>
      <c r="X17" s="183">
        <f>IFERROR(__xludf.DUMMYFUNCTION("""COMPUTED_VALUE"""),0.0)</f>
        <v>0</v>
      </c>
      <c r="Y17" s="183">
        <f>IFERROR(__xludf.DUMMYFUNCTION("""COMPUTED_VALUE"""),0.0)</f>
        <v>0</v>
      </c>
      <c r="Z17" s="183">
        <f t="shared" si="12"/>
        <v>0</v>
      </c>
      <c r="AA17" s="183">
        <f t="shared" si="13"/>
        <v>0</v>
      </c>
      <c r="AB17" s="183">
        <f t="shared" si="14"/>
        <v>0</v>
      </c>
    </row>
    <row r="18" ht="14.25" customHeight="1">
      <c r="A18" s="175"/>
      <c r="B18" s="196" t="s">
        <v>750</v>
      </c>
      <c r="C18" s="181"/>
      <c r="D18" s="197" t="s">
        <v>751</v>
      </c>
      <c r="E18" s="183">
        <f>SUMIFS('DB WBS'!$J:$J,'DB WBS'!$A:$A,$D$4,'DB WBS'!$D:$D,AA$1,'DB WBS'!$B:$B,$E$3,'DB WBS'!$E:$E,$B18)</f>
        <v>0</v>
      </c>
      <c r="F18" s="183">
        <f>SUMIFS('DB WBS'!$J:$J,'DB WBS'!$A:$A,$D$4,'DB WBS'!$D:$D,AA$2,'DB WBS'!$B:$B,$E$3,'DB WBS'!$E:$E,$B18)</f>
        <v>0</v>
      </c>
      <c r="G18" s="184">
        <f>IFERROR(HLOOKUP($E$3,'Tahun Lalu'!$B$5:$V$158,MATCH(B18,'Tahun Lalu'!$B$5:$B$158,0),0),0)</f>
        <v>0</v>
      </c>
      <c r="H18" s="184">
        <v>0.0</v>
      </c>
      <c r="I18" s="184">
        <v>0.0</v>
      </c>
      <c r="J18" s="183">
        <f t="shared" si="3"/>
        <v>0</v>
      </c>
      <c r="K18" s="183">
        <f t="shared" si="4"/>
        <v>0</v>
      </c>
      <c r="L18" s="183">
        <f t="shared" si="5"/>
        <v>0</v>
      </c>
      <c r="M18" s="183">
        <f t="shared" si="6"/>
        <v>0</v>
      </c>
      <c r="N18" s="183">
        <f t="shared" si="20"/>
        <v>0</v>
      </c>
      <c r="O18" s="183">
        <f t="shared" ref="O18:Q18" si="23">G18+W18</f>
        <v>0</v>
      </c>
      <c r="P18" s="183">
        <f t="shared" si="23"/>
        <v>0</v>
      </c>
      <c r="Q18" s="183">
        <f t="shared" si="23"/>
        <v>0</v>
      </c>
      <c r="R18" s="183">
        <f t="shared" si="9"/>
        <v>0</v>
      </c>
      <c r="S18" s="183">
        <f t="shared" si="10"/>
        <v>0</v>
      </c>
      <c r="T18" s="183">
        <f t="shared" si="11"/>
        <v>0</v>
      </c>
      <c r="U18" s="186"/>
      <c r="V18" s="183">
        <f>IFERROR(__xludf.DUMMYFUNCTION("""COMPUTED_VALUE"""),0.0)</f>
        <v>0</v>
      </c>
      <c r="W18" s="183">
        <f>IFERROR(__xludf.DUMMYFUNCTION("""COMPUTED_VALUE"""),0.0)</f>
        <v>0</v>
      </c>
      <c r="X18" s="183">
        <f>IFERROR(__xludf.DUMMYFUNCTION("""COMPUTED_VALUE"""),0.0)</f>
        <v>0</v>
      </c>
      <c r="Y18" s="183">
        <f>IFERROR(__xludf.DUMMYFUNCTION("""COMPUTED_VALUE"""),0.0)</f>
        <v>0</v>
      </c>
      <c r="Z18" s="183">
        <f t="shared" si="12"/>
        <v>0</v>
      </c>
      <c r="AA18" s="183">
        <f t="shared" si="13"/>
        <v>0</v>
      </c>
      <c r="AB18" s="183">
        <f t="shared" si="14"/>
        <v>0</v>
      </c>
    </row>
    <row r="19" ht="14.25" customHeight="1">
      <c r="A19" s="175"/>
      <c r="B19" s="196" t="s">
        <v>752</v>
      </c>
      <c r="C19" s="181"/>
      <c r="D19" s="197" t="s">
        <v>753</v>
      </c>
      <c r="E19" s="183">
        <f>SUMIFS('DB WBS'!$J:$J,'DB WBS'!$A:$A,$D$4,'DB WBS'!$D:$D,AA$1,'DB WBS'!$B:$B,$E$3,'DB WBS'!$E:$E,$B19)</f>
        <v>0</v>
      </c>
      <c r="F19" s="183">
        <f>SUMIFS('DB WBS'!$J:$J,'DB WBS'!$A:$A,$D$4,'DB WBS'!$D:$D,AA$2,'DB WBS'!$B:$B,$E$3,'DB WBS'!$E:$E,$B19)</f>
        <v>0</v>
      </c>
      <c r="G19" s="184">
        <f>IFERROR(HLOOKUP($E$3,'Tahun Lalu'!$B$5:$V$158,MATCH(B19,'Tahun Lalu'!$B$5:$B$158,0),0),0)</f>
        <v>0</v>
      </c>
      <c r="H19" s="184">
        <v>0.0</v>
      </c>
      <c r="I19" s="184">
        <v>0.0</v>
      </c>
      <c r="J19" s="183">
        <f t="shared" si="3"/>
        <v>0</v>
      </c>
      <c r="K19" s="183">
        <f t="shared" si="4"/>
        <v>0</v>
      </c>
      <c r="L19" s="183">
        <f t="shared" si="5"/>
        <v>0</v>
      </c>
      <c r="M19" s="183">
        <f t="shared" si="6"/>
        <v>0</v>
      </c>
      <c r="N19" s="183">
        <f t="shared" si="20"/>
        <v>0</v>
      </c>
      <c r="O19" s="183">
        <f t="shared" ref="O19:Q19" si="24">G19+W19</f>
        <v>0</v>
      </c>
      <c r="P19" s="183">
        <f t="shared" si="24"/>
        <v>0</v>
      </c>
      <c r="Q19" s="183">
        <f t="shared" si="24"/>
        <v>0</v>
      </c>
      <c r="R19" s="183">
        <f t="shared" si="9"/>
        <v>0</v>
      </c>
      <c r="S19" s="183">
        <f t="shared" si="10"/>
        <v>0</v>
      </c>
      <c r="T19" s="183">
        <f t="shared" si="11"/>
        <v>0</v>
      </c>
      <c r="U19" s="186"/>
      <c r="V19" s="183">
        <f>IFERROR(__xludf.DUMMYFUNCTION("""COMPUTED_VALUE"""),0.0)</f>
        <v>0</v>
      </c>
      <c r="W19" s="183">
        <f>IFERROR(__xludf.DUMMYFUNCTION("""COMPUTED_VALUE"""),0.0)</f>
        <v>0</v>
      </c>
      <c r="X19" s="183">
        <f>IFERROR(__xludf.DUMMYFUNCTION("""COMPUTED_VALUE"""),0.0)</f>
        <v>0</v>
      </c>
      <c r="Y19" s="183">
        <f>IFERROR(__xludf.DUMMYFUNCTION("""COMPUTED_VALUE"""),0.0)</f>
        <v>0</v>
      </c>
      <c r="Z19" s="183">
        <f t="shared" si="12"/>
        <v>0</v>
      </c>
      <c r="AA19" s="183">
        <f t="shared" si="13"/>
        <v>0</v>
      </c>
      <c r="AB19" s="183">
        <f t="shared" si="14"/>
        <v>0</v>
      </c>
    </row>
    <row r="20" ht="14.25" customHeight="1">
      <c r="A20" s="175"/>
      <c r="B20" s="196" t="s">
        <v>754</v>
      </c>
      <c r="C20" s="181"/>
      <c r="D20" s="197" t="s">
        <v>755</v>
      </c>
      <c r="E20" s="183">
        <f>SUMIFS('DB WBS'!$J:$J,'DB WBS'!$A:$A,$D$4,'DB WBS'!$D:$D,AA$1,'DB WBS'!$B:$B,$E$3,'DB WBS'!$E:$E,$B20)</f>
        <v>0</v>
      </c>
      <c r="F20" s="183">
        <f>SUMIFS('DB WBS'!$J:$J,'DB WBS'!$A:$A,$D$4,'DB WBS'!$D:$D,AA$2,'DB WBS'!$B:$B,$E$3,'DB WBS'!$E:$E,$B20)</f>
        <v>0</v>
      </c>
      <c r="G20" s="184">
        <f>IFERROR(HLOOKUP($E$3,'Tahun Lalu'!$B$5:$V$158,MATCH(B20,'Tahun Lalu'!$B$5:$B$158,0),0),0)</f>
        <v>0</v>
      </c>
      <c r="H20" s="184">
        <v>0.0</v>
      </c>
      <c r="I20" s="184">
        <v>0.0</v>
      </c>
      <c r="J20" s="183">
        <f t="shared" si="3"/>
        <v>0</v>
      </c>
      <c r="K20" s="183">
        <f t="shared" si="4"/>
        <v>0</v>
      </c>
      <c r="L20" s="183">
        <f t="shared" si="5"/>
        <v>0</v>
      </c>
      <c r="M20" s="183">
        <f t="shared" si="6"/>
        <v>0</v>
      </c>
      <c r="N20" s="183">
        <f t="shared" si="20"/>
        <v>0</v>
      </c>
      <c r="O20" s="183">
        <f t="shared" ref="O20:Q20" si="25">G20+W20</f>
        <v>0</v>
      </c>
      <c r="P20" s="183">
        <f t="shared" si="25"/>
        <v>0</v>
      </c>
      <c r="Q20" s="183">
        <f t="shared" si="25"/>
        <v>0</v>
      </c>
      <c r="R20" s="183">
        <f t="shared" si="9"/>
        <v>0</v>
      </c>
      <c r="S20" s="183">
        <f t="shared" si="10"/>
        <v>0</v>
      </c>
      <c r="T20" s="183">
        <f t="shared" si="11"/>
        <v>0</v>
      </c>
      <c r="U20" s="186"/>
      <c r="V20" s="183">
        <f>IFERROR(__xludf.DUMMYFUNCTION("""COMPUTED_VALUE"""),0.0)</f>
        <v>0</v>
      </c>
      <c r="W20" s="183">
        <f>IFERROR(__xludf.DUMMYFUNCTION("""COMPUTED_VALUE"""),0.0)</f>
        <v>0</v>
      </c>
      <c r="X20" s="183">
        <f>IFERROR(__xludf.DUMMYFUNCTION("""COMPUTED_VALUE"""),0.0)</f>
        <v>0</v>
      </c>
      <c r="Y20" s="183">
        <f>IFERROR(__xludf.DUMMYFUNCTION("""COMPUTED_VALUE"""),0.0)</f>
        <v>0</v>
      </c>
      <c r="Z20" s="183">
        <f t="shared" si="12"/>
        <v>0</v>
      </c>
      <c r="AA20" s="183">
        <f t="shared" si="13"/>
        <v>0</v>
      </c>
      <c r="AB20" s="183">
        <f t="shared" si="14"/>
        <v>0</v>
      </c>
    </row>
    <row r="21" ht="14.25" customHeight="1">
      <c r="A21" s="175"/>
      <c r="B21" s="196" t="s">
        <v>756</v>
      </c>
      <c r="C21" s="181"/>
      <c r="D21" s="197" t="s">
        <v>757</v>
      </c>
      <c r="E21" s="183">
        <f>SUMIFS('DB WBS'!$J:$J,'DB WBS'!$A:$A,$D$4,'DB WBS'!$D:$D,AA$1,'DB WBS'!$B:$B,$E$3,'DB WBS'!$E:$E,$B21)</f>
        <v>0</v>
      </c>
      <c r="F21" s="183">
        <f>SUMIFS('DB WBS'!$J:$J,'DB WBS'!$A:$A,$D$4,'DB WBS'!$D:$D,AA$2,'DB WBS'!$B:$B,$E$3,'DB WBS'!$E:$E,$B21)</f>
        <v>0</v>
      </c>
      <c r="G21" s="184">
        <f>IFERROR(HLOOKUP($E$3,'Tahun Lalu'!$B$5:$V$158,MATCH(B21,'Tahun Lalu'!$B$5:$B$158,0),0),0)</f>
        <v>0</v>
      </c>
      <c r="H21" s="184">
        <v>0.0</v>
      </c>
      <c r="I21" s="184">
        <v>0.0</v>
      </c>
      <c r="J21" s="183">
        <f t="shared" si="3"/>
        <v>0</v>
      </c>
      <c r="K21" s="183">
        <f t="shared" si="4"/>
        <v>0</v>
      </c>
      <c r="L21" s="183">
        <f t="shared" si="5"/>
        <v>0</v>
      </c>
      <c r="M21" s="183">
        <f t="shared" si="6"/>
        <v>0</v>
      </c>
      <c r="N21" s="183">
        <f t="shared" si="20"/>
        <v>0</v>
      </c>
      <c r="O21" s="183">
        <f t="shared" ref="O21:Q21" si="26">G21+W21</f>
        <v>0</v>
      </c>
      <c r="P21" s="183">
        <f t="shared" si="26"/>
        <v>0</v>
      </c>
      <c r="Q21" s="183">
        <f t="shared" si="26"/>
        <v>0</v>
      </c>
      <c r="R21" s="183">
        <f t="shared" si="9"/>
        <v>0</v>
      </c>
      <c r="S21" s="183">
        <f t="shared" si="10"/>
        <v>0</v>
      </c>
      <c r="T21" s="183">
        <f t="shared" si="11"/>
        <v>0</v>
      </c>
      <c r="U21" s="186"/>
      <c r="V21" s="183">
        <f>IFERROR(__xludf.DUMMYFUNCTION("""COMPUTED_VALUE"""),0.0)</f>
        <v>0</v>
      </c>
      <c r="W21" s="183">
        <f>IFERROR(__xludf.DUMMYFUNCTION("""COMPUTED_VALUE"""),0.0)</f>
        <v>0</v>
      </c>
      <c r="X21" s="183">
        <f>IFERROR(__xludf.DUMMYFUNCTION("""COMPUTED_VALUE"""),0.0)</f>
        <v>0</v>
      </c>
      <c r="Y21" s="183">
        <f>IFERROR(__xludf.DUMMYFUNCTION("""COMPUTED_VALUE"""),0.0)</f>
        <v>0</v>
      </c>
      <c r="Z21" s="183">
        <f t="shared" si="12"/>
        <v>0</v>
      </c>
      <c r="AA21" s="183">
        <f t="shared" si="13"/>
        <v>0</v>
      </c>
      <c r="AB21" s="183">
        <f t="shared" si="14"/>
        <v>0</v>
      </c>
    </row>
    <row r="22" ht="14.25" customHeight="1">
      <c r="A22" s="175"/>
      <c r="B22" s="196" t="s">
        <v>758</v>
      </c>
      <c r="C22" s="181"/>
      <c r="D22" s="197" t="s">
        <v>759</v>
      </c>
      <c r="E22" s="183">
        <f>SUMIFS('DB WBS'!$J:$J,'DB WBS'!$A:$A,$D$4,'DB WBS'!$D:$D,AA$1,'DB WBS'!$B:$B,$E$3,'DB WBS'!$E:$E,$B22)</f>
        <v>0</v>
      </c>
      <c r="F22" s="183">
        <f>SUMIFS('DB WBS'!$J:$J,'DB WBS'!$A:$A,$D$4,'DB WBS'!$D:$D,AA$2,'DB WBS'!$B:$B,$E$3,'DB WBS'!$E:$E,$B22)</f>
        <v>0</v>
      </c>
      <c r="G22" s="184">
        <f>IFERROR(HLOOKUP($E$3,'Tahun Lalu'!$B$5:$V$158,MATCH(B22,'Tahun Lalu'!$B$5:$B$158,0),0),0)</f>
        <v>0</v>
      </c>
      <c r="H22" s="184">
        <v>0.0</v>
      </c>
      <c r="I22" s="184">
        <v>0.0</v>
      </c>
      <c r="J22" s="183">
        <f t="shared" si="3"/>
        <v>0</v>
      </c>
      <c r="K22" s="183">
        <f t="shared" si="4"/>
        <v>0</v>
      </c>
      <c r="L22" s="183">
        <f t="shared" si="5"/>
        <v>0</v>
      </c>
      <c r="M22" s="183">
        <f t="shared" si="6"/>
        <v>0</v>
      </c>
      <c r="N22" s="183">
        <f t="shared" si="20"/>
        <v>0</v>
      </c>
      <c r="O22" s="183">
        <f t="shared" ref="O22:Q22" si="27">G22+W22</f>
        <v>0</v>
      </c>
      <c r="P22" s="183">
        <f t="shared" si="27"/>
        <v>0</v>
      </c>
      <c r="Q22" s="183">
        <f t="shared" si="27"/>
        <v>0</v>
      </c>
      <c r="R22" s="183">
        <f t="shared" si="9"/>
        <v>0</v>
      </c>
      <c r="S22" s="183">
        <f t="shared" si="10"/>
        <v>0</v>
      </c>
      <c r="T22" s="183">
        <f t="shared" si="11"/>
        <v>0</v>
      </c>
      <c r="U22" s="186"/>
      <c r="V22" s="183">
        <f>IFERROR(__xludf.DUMMYFUNCTION("""COMPUTED_VALUE"""),0.0)</f>
        <v>0</v>
      </c>
      <c r="W22" s="183">
        <f>IFERROR(__xludf.DUMMYFUNCTION("""COMPUTED_VALUE"""),0.0)</f>
        <v>0</v>
      </c>
      <c r="X22" s="183">
        <f>IFERROR(__xludf.DUMMYFUNCTION("""COMPUTED_VALUE"""),0.0)</f>
        <v>0</v>
      </c>
      <c r="Y22" s="183">
        <f>IFERROR(__xludf.DUMMYFUNCTION("""COMPUTED_VALUE"""),0.0)</f>
        <v>0</v>
      </c>
      <c r="Z22" s="183">
        <f t="shared" si="12"/>
        <v>0</v>
      </c>
      <c r="AA22" s="183">
        <f t="shared" si="13"/>
        <v>0</v>
      </c>
      <c r="AB22" s="183">
        <f t="shared" si="14"/>
        <v>0</v>
      </c>
    </row>
    <row r="23" ht="14.25" customHeight="1">
      <c r="A23" s="175"/>
      <c r="B23" s="196" t="s">
        <v>760</v>
      </c>
      <c r="C23" s="181"/>
      <c r="D23" s="197" t="s">
        <v>761</v>
      </c>
      <c r="E23" s="183">
        <f>SUMIFS('DB WBS'!$J:$J,'DB WBS'!$A:$A,$D$4,'DB WBS'!$D:$D,AA$1,'DB WBS'!$B:$B,$E$3,'DB WBS'!$E:$E,$B23)</f>
        <v>0</v>
      </c>
      <c r="F23" s="183">
        <f>SUMIFS('DB WBS'!$J:$J,'DB WBS'!$A:$A,$D$4,'DB WBS'!$D:$D,AA$2,'DB WBS'!$B:$B,$E$3,'DB WBS'!$E:$E,$B23)</f>
        <v>0</v>
      </c>
      <c r="G23" s="184">
        <f>IFERROR(HLOOKUP($E$3,'Tahun Lalu'!$B$5:$V$158,MATCH(B23,'Tahun Lalu'!$B$5:$B$158,0),0),0)</f>
        <v>0</v>
      </c>
      <c r="H23" s="184">
        <v>0.0</v>
      </c>
      <c r="I23" s="184">
        <v>0.0</v>
      </c>
      <c r="J23" s="183">
        <f t="shared" si="3"/>
        <v>0</v>
      </c>
      <c r="K23" s="183">
        <f t="shared" si="4"/>
        <v>0</v>
      </c>
      <c r="L23" s="183">
        <f t="shared" si="5"/>
        <v>0</v>
      </c>
      <c r="M23" s="183">
        <f t="shared" si="6"/>
        <v>0</v>
      </c>
      <c r="N23" s="183">
        <f t="shared" si="20"/>
        <v>0</v>
      </c>
      <c r="O23" s="183">
        <f t="shared" ref="O23:Q23" si="28">G23+W23</f>
        <v>0</v>
      </c>
      <c r="P23" s="183">
        <f t="shared" si="28"/>
        <v>0</v>
      </c>
      <c r="Q23" s="183">
        <f t="shared" si="28"/>
        <v>0</v>
      </c>
      <c r="R23" s="183">
        <f t="shared" si="9"/>
        <v>0</v>
      </c>
      <c r="S23" s="183">
        <f t="shared" si="10"/>
        <v>0</v>
      </c>
      <c r="T23" s="183">
        <f t="shared" si="11"/>
        <v>0</v>
      </c>
      <c r="U23" s="186"/>
      <c r="V23" s="183">
        <f>IFERROR(__xludf.DUMMYFUNCTION("""COMPUTED_VALUE"""),0.0)</f>
        <v>0</v>
      </c>
      <c r="W23" s="183">
        <f>IFERROR(__xludf.DUMMYFUNCTION("""COMPUTED_VALUE"""),0.0)</f>
        <v>0</v>
      </c>
      <c r="X23" s="183">
        <f>IFERROR(__xludf.DUMMYFUNCTION("""COMPUTED_VALUE"""),0.0)</f>
        <v>0</v>
      </c>
      <c r="Y23" s="183">
        <f>IFERROR(__xludf.DUMMYFUNCTION("""COMPUTED_VALUE"""),0.0)</f>
        <v>0</v>
      </c>
      <c r="Z23" s="183">
        <f t="shared" si="12"/>
        <v>0</v>
      </c>
      <c r="AA23" s="183">
        <f t="shared" si="13"/>
        <v>0</v>
      </c>
      <c r="AB23" s="183">
        <f t="shared" si="14"/>
        <v>0</v>
      </c>
    </row>
    <row r="24" ht="14.25" customHeight="1">
      <c r="A24" s="175"/>
      <c r="B24" s="196" t="s">
        <v>762</v>
      </c>
      <c r="C24" s="181"/>
      <c r="D24" s="197" t="s">
        <v>763</v>
      </c>
      <c r="E24" s="183">
        <f>SUMIFS('DB WBS'!$J:$J,'DB WBS'!$A:$A,$D$4,'DB WBS'!$D:$D,AA$1,'DB WBS'!$B:$B,$E$3,'DB WBS'!$E:$E,$B24)</f>
        <v>0</v>
      </c>
      <c r="F24" s="183">
        <f>SUMIFS('DB WBS'!$J:$J,'DB WBS'!$A:$A,$D$4,'DB WBS'!$D:$D,AA$2,'DB WBS'!$B:$B,$E$3,'DB WBS'!$E:$E,$B24)</f>
        <v>0</v>
      </c>
      <c r="G24" s="184">
        <f>IFERROR(HLOOKUP($E$3,'Tahun Lalu'!$B$5:$V$158,MATCH(B24,'Tahun Lalu'!$B$5:$B$158,0),0),0)</f>
        <v>0</v>
      </c>
      <c r="H24" s="184">
        <v>0.0</v>
      </c>
      <c r="I24" s="184">
        <v>0.0</v>
      </c>
      <c r="J24" s="183">
        <f t="shared" si="3"/>
        <v>0</v>
      </c>
      <c r="K24" s="183">
        <f t="shared" si="4"/>
        <v>0</v>
      </c>
      <c r="L24" s="183">
        <f t="shared" si="5"/>
        <v>0</v>
      </c>
      <c r="M24" s="183">
        <f t="shared" si="6"/>
        <v>0</v>
      </c>
      <c r="N24" s="183">
        <f t="shared" si="20"/>
        <v>0</v>
      </c>
      <c r="O24" s="183">
        <f t="shared" ref="O24:Q24" si="29">G24+W24</f>
        <v>0</v>
      </c>
      <c r="P24" s="183">
        <f t="shared" si="29"/>
        <v>0</v>
      </c>
      <c r="Q24" s="183">
        <f t="shared" si="29"/>
        <v>0</v>
      </c>
      <c r="R24" s="183">
        <f t="shared" si="9"/>
        <v>0</v>
      </c>
      <c r="S24" s="183">
        <f t="shared" si="10"/>
        <v>0</v>
      </c>
      <c r="T24" s="183">
        <f t="shared" si="11"/>
        <v>0</v>
      </c>
      <c r="U24" s="186"/>
      <c r="V24" s="183">
        <f>IFERROR(__xludf.DUMMYFUNCTION("""COMPUTED_VALUE"""),0.0)</f>
        <v>0</v>
      </c>
      <c r="W24" s="183">
        <f>IFERROR(__xludf.DUMMYFUNCTION("""COMPUTED_VALUE"""),0.0)</f>
        <v>0</v>
      </c>
      <c r="X24" s="183">
        <f>IFERROR(__xludf.DUMMYFUNCTION("""COMPUTED_VALUE"""),0.0)</f>
        <v>0</v>
      </c>
      <c r="Y24" s="183">
        <f>IFERROR(__xludf.DUMMYFUNCTION("""COMPUTED_VALUE"""),0.0)</f>
        <v>0</v>
      </c>
      <c r="Z24" s="183">
        <f t="shared" si="12"/>
        <v>0</v>
      </c>
      <c r="AA24" s="183">
        <f t="shared" si="13"/>
        <v>0</v>
      </c>
      <c r="AB24" s="183">
        <f t="shared" si="14"/>
        <v>0</v>
      </c>
    </row>
    <row r="25" ht="14.25" customHeight="1">
      <c r="A25" s="175"/>
      <c r="B25" s="196" t="s">
        <v>764</v>
      </c>
      <c r="C25" s="181"/>
      <c r="D25" s="197" t="s">
        <v>765</v>
      </c>
      <c r="E25" s="183">
        <f>SUMIFS('DB WBS'!$J:$J,'DB WBS'!$A:$A,$D$4,'DB WBS'!$D:$D,AA$1,'DB WBS'!$B:$B,$E$3,'DB WBS'!$E:$E,$B25)</f>
        <v>0</v>
      </c>
      <c r="F25" s="183">
        <f>SUMIFS('DB WBS'!$J:$J,'DB WBS'!$A:$A,$D$4,'DB WBS'!$D:$D,AA$2,'DB WBS'!$B:$B,$E$3,'DB WBS'!$E:$E,$B25)</f>
        <v>0</v>
      </c>
      <c r="G25" s="184">
        <f>IFERROR(HLOOKUP($E$3,'Tahun Lalu'!$B$5:$V$158,MATCH(B25,'Tahun Lalu'!$B$5:$B$158,0),0),0)</f>
        <v>0</v>
      </c>
      <c r="H25" s="184">
        <v>0.0</v>
      </c>
      <c r="I25" s="184">
        <v>0.0</v>
      </c>
      <c r="J25" s="183">
        <f t="shared" si="3"/>
        <v>0</v>
      </c>
      <c r="K25" s="183">
        <f t="shared" si="4"/>
        <v>0</v>
      </c>
      <c r="L25" s="183">
        <f t="shared" si="5"/>
        <v>0</v>
      </c>
      <c r="M25" s="183">
        <f t="shared" si="6"/>
        <v>0</v>
      </c>
      <c r="N25" s="183">
        <f t="shared" si="20"/>
        <v>0</v>
      </c>
      <c r="O25" s="183">
        <f t="shared" ref="O25:Q25" si="30">G25+W25</f>
        <v>0</v>
      </c>
      <c r="P25" s="183">
        <f t="shared" si="30"/>
        <v>0</v>
      </c>
      <c r="Q25" s="183">
        <f t="shared" si="30"/>
        <v>0</v>
      </c>
      <c r="R25" s="183">
        <f t="shared" si="9"/>
        <v>0</v>
      </c>
      <c r="S25" s="183">
        <f t="shared" si="10"/>
        <v>0</v>
      </c>
      <c r="T25" s="183">
        <f t="shared" si="11"/>
        <v>0</v>
      </c>
      <c r="U25" s="186"/>
      <c r="V25" s="183">
        <f>IFERROR(__xludf.DUMMYFUNCTION("""COMPUTED_VALUE"""),0.0)</f>
        <v>0</v>
      </c>
      <c r="W25" s="183">
        <f>IFERROR(__xludf.DUMMYFUNCTION("""COMPUTED_VALUE"""),0.0)</f>
        <v>0</v>
      </c>
      <c r="X25" s="183">
        <f>IFERROR(__xludf.DUMMYFUNCTION("""COMPUTED_VALUE"""),0.0)</f>
        <v>0</v>
      </c>
      <c r="Y25" s="183">
        <f>IFERROR(__xludf.DUMMYFUNCTION("""COMPUTED_VALUE"""),0.0)</f>
        <v>0</v>
      </c>
      <c r="Z25" s="183">
        <f t="shared" si="12"/>
        <v>0</v>
      </c>
      <c r="AA25" s="183">
        <f t="shared" si="13"/>
        <v>0</v>
      </c>
      <c r="AB25" s="183">
        <f t="shared" si="14"/>
        <v>0</v>
      </c>
    </row>
    <row r="26" ht="14.25" customHeight="1">
      <c r="A26" s="175"/>
      <c r="B26" s="196" t="s">
        <v>766</v>
      </c>
      <c r="C26" s="181"/>
      <c r="D26" s="197" t="s">
        <v>767</v>
      </c>
      <c r="E26" s="183">
        <f>SUMIFS('DB WBS'!$J:$J,'DB WBS'!$A:$A,$D$4,'DB WBS'!$D:$D,AA$1,'DB WBS'!$B:$B,$E$3,'DB WBS'!$E:$E,$B26)</f>
        <v>0</v>
      </c>
      <c r="F26" s="183">
        <f>SUMIFS('DB WBS'!$J:$J,'DB WBS'!$A:$A,$D$4,'DB WBS'!$D:$D,AA$2,'DB WBS'!$B:$B,$E$3,'DB WBS'!$E:$E,$B26)</f>
        <v>0</v>
      </c>
      <c r="G26" s="184">
        <f>IFERROR(HLOOKUP($E$3,'Tahun Lalu'!$B$5:$V$158,MATCH(B26,'Tahun Lalu'!$B$5:$B$158,0),0),0)</f>
        <v>0</v>
      </c>
      <c r="H26" s="184">
        <v>0.0</v>
      </c>
      <c r="I26" s="184">
        <v>0.0</v>
      </c>
      <c r="J26" s="183">
        <f t="shared" si="3"/>
        <v>0</v>
      </c>
      <c r="K26" s="183">
        <f t="shared" si="4"/>
        <v>0</v>
      </c>
      <c r="L26" s="183">
        <f t="shared" si="5"/>
        <v>0</v>
      </c>
      <c r="M26" s="183">
        <f t="shared" si="6"/>
        <v>0</v>
      </c>
      <c r="N26" s="183">
        <f t="shared" si="20"/>
        <v>0</v>
      </c>
      <c r="O26" s="183">
        <f t="shared" ref="O26:Q26" si="31">G26+W26</f>
        <v>0</v>
      </c>
      <c r="P26" s="183">
        <f t="shared" si="31"/>
        <v>0</v>
      </c>
      <c r="Q26" s="183">
        <f t="shared" si="31"/>
        <v>0</v>
      </c>
      <c r="R26" s="183">
        <f t="shared" si="9"/>
        <v>0</v>
      </c>
      <c r="S26" s="183">
        <f t="shared" si="10"/>
        <v>0</v>
      </c>
      <c r="T26" s="183">
        <f t="shared" si="11"/>
        <v>0</v>
      </c>
      <c r="U26" s="186"/>
      <c r="V26" s="183">
        <f>IFERROR(__xludf.DUMMYFUNCTION("""COMPUTED_VALUE"""),0.0)</f>
        <v>0</v>
      </c>
      <c r="W26" s="183">
        <f>IFERROR(__xludf.DUMMYFUNCTION("""COMPUTED_VALUE"""),0.0)</f>
        <v>0</v>
      </c>
      <c r="X26" s="183">
        <f>IFERROR(__xludf.DUMMYFUNCTION("""COMPUTED_VALUE"""),0.0)</f>
        <v>0</v>
      </c>
      <c r="Y26" s="183">
        <f>IFERROR(__xludf.DUMMYFUNCTION("""COMPUTED_VALUE"""),0.0)</f>
        <v>0</v>
      </c>
      <c r="Z26" s="183">
        <f t="shared" si="12"/>
        <v>0</v>
      </c>
      <c r="AA26" s="183">
        <f t="shared" si="13"/>
        <v>0</v>
      </c>
      <c r="AB26" s="183">
        <f t="shared" si="14"/>
        <v>0</v>
      </c>
    </row>
    <row r="27" ht="14.25" customHeight="1">
      <c r="A27" s="175"/>
      <c r="B27" s="196" t="s">
        <v>768</v>
      </c>
      <c r="C27" s="181"/>
      <c r="D27" s="197" t="s">
        <v>769</v>
      </c>
      <c r="E27" s="183">
        <f>SUMIFS('DB WBS'!$J:$J,'DB WBS'!$A:$A,$D$4,'DB WBS'!$D:$D,AA$1,'DB WBS'!$B:$B,$E$3,'DB WBS'!$E:$E,$B27)</f>
        <v>0</v>
      </c>
      <c r="F27" s="183">
        <f>SUMIFS('DB WBS'!$J:$J,'DB WBS'!$A:$A,$D$4,'DB WBS'!$D:$D,AA$2,'DB WBS'!$B:$B,$E$3,'DB WBS'!$E:$E,$B27)</f>
        <v>0</v>
      </c>
      <c r="G27" s="184">
        <f>IFERROR(HLOOKUP($E$3,'Tahun Lalu'!$B$5:$V$158,MATCH(B27,'Tahun Lalu'!$B$5:$B$158,0),0),0)</f>
        <v>0</v>
      </c>
      <c r="H27" s="184">
        <v>0.0</v>
      </c>
      <c r="I27" s="184">
        <v>0.0</v>
      </c>
      <c r="J27" s="183">
        <f t="shared" si="3"/>
        <v>0</v>
      </c>
      <c r="K27" s="183">
        <f t="shared" si="4"/>
        <v>0</v>
      </c>
      <c r="L27" s="183">
        <f t="shared" si="5"/>
        <v>0</v>
      </c>
      <c r="M27" s="183">
        <f t="shared" si="6"/>
        <v>0</v>
      </c>
      <c r="N27" s="183">
        <f t="shared" si="20"/>
        <v>0</v>
      </c>
      <c r="O27" s="183">
        <f t="shared" ref="O27:Q27" si="32">G27+W27</f>
        <v>0</v>
      </c>
      <c r="P27" s="183">
        <f t="shared" si="32"/>
        <v>0</v>
      </c>
      <c r="Q27" s="183">
        <f t="shared" si="32"/>
        <v>0</v>
      </c>
      <c r="R27" s="183">
        <f t="shared" si="9"/>
        <v>0</v>
      </c>
      <c r="S27" s="183">
        <f t="shared" si="10"/>
        <v>0</v>
      </c>
      <c r="T27" s="183">
        <f t="shared" si="11"/>
        <v>0</v>
      </c>
      <c r="U27" s="186"/>
      <c r="V27" s="183">
        <f>IFERROR(__xludf.DUMMYFUNCTION("""COMPUTED_VALUE"""),0.0)</f>
        <v>0</v>
      </c>
      <c r="W27" s="183">
        <f>IFERROR(__xludf.DUMMYFUNCTION("""COMPUTED_VALUE"""),0.0)</f>
        <v>0</v>
      </c>
      <c r="X27" s="183">
        <f>IFERROR(__xludf.DUMMYFUNCTION("""COMPUTED_VALUE"""),0.0)</f>
        <v>0</v>
      </c>
      <c r="Y27" s="183">
        <f>IFERROR(__xludf.DUMMYFUNCTION("""COMPUTED_VALUE"""),0.0)</f>
        <v>0</v>
      </c>
      <c r="Z27" s="183">
        <f t="shared" si="12"/>
        <v>0</v>
      </c>
      <c r="AA27" s="183">
        <f t="shared" si="13"/>
        <v>0</v>
      </c>
      <c r="AB27" s="183">
        <f t="shared" si="14"/>
        <v>0</v>
      </c>
    </row>
    <row r="28" ht="14.25" customHeight="1">
      <c r="A28" s="175"/>
      <c r="B28" s="196" t="s">
        <v>770</v>
      </c>
      <c r="C28" s="181"/>
      <c r="D28" s="197" t="s">
        <v>771</v>
      </c>
      <c r="E28" s="183">
        <f>SUMIFS('DB WBS'!$J:$J,'DB WBS'!$A:$A,$D$4,'DB WBS'!$D:$D,AA$1,'DB WBS'!$B:$B,$E$3,'DB WBS'!$E:$E,$B28)</f>
        <v>0</v>
      </c>
      <c r="F28" s="183">
        <f>SUMIFS('DB WBS'!$J:$J,'DB WBS'!$A:$A,$D$4,'DB WBS'!$D:$D,AA$2,'DB WBS'!$B:$B,$E$3,'DB WBS'!$E:$E,$B28)</f>
        <v>0</v>
      </c>
      <c r="G28" s="184">
        <f>IFERROR(HLOOKUP($E$3,'Tahun Lalu'!$B$5:$V$158,MATCH(B28,'Tahun Lalu'!$B$5:$B$158,0),0),0)</f>
        <v>0</v>
      </c>
      <c r="H28" s="184">
        <v>0.0</v>
      </c>
      <c r="I28" s="184">
        <v>0.0</v>
      </c>
      <c r="J28" s="183">
        <f t="shared" si="3"/>
        <v>0</v>
      </c>
      <c r="K28" s="183">
        <f t="shared" si="4"/>
        <v>0</v>
      </c>
      <c r="L28" s="183">
        <f t="shared" si="5"/>
        <v>0</v>
      </c>
      <c r="M28" s="183">
        <f t="shared" si="6"/>
        <v>0</v>
      </c>
      <c r="N28" s="183">
        <f t="shared" si="20"/>
        <v>0</v>
      </c>
      <c r="O28" s="183">
        <f t="shared" ref="O28:Q28" si="33">G28+W28</f>
        <v>0</v>
      </c>
      <c r="P28" s="183">
        <f t="shared" si="33"/>
        <v>0</v>
      </c>
      <c r="Q28" s="183">
        <f t="shared" si="33"/>
        <v>0</v>
      </c>
      <c r="R28" s="183">
        <f t="shared" si="9"/>
        <v>0</v>
      </c>
      <c r="S28" s="183">
        <f t="shared" si="10"/>
        <v>0</v>
      </c>
      <c r="T28" s="183">
        <f t="shared" si="11"/>
        <v>0</v>
      </c>
      <c r="U28" s="186"/>
      <c r="V28" s="183">
        <f>IFERROR(__xludf.DUMMYFUNCTION("""COMPUTED_VALUE"""),0.0)</f>
        <v>0</v>
      </c>
      <c r="W28" s="183">
        <f>IFERROR(__xludf.DUMMYFUNCTION("""COMPUTED_VALUE"""),0.0)</f>
        <v>0</v>
      </c>
      <c r="X28" s="183">
        <f>IFERROR(__xludf.DUMMYFUNCTION("""COMPUTED_VALUE"""),0.0)</f>
        <v>0</v>
      </c>
      <c r="Y28" s="183">
        <f>IFERROR(__xludf.DUMMYFUNCTION("""COMPUTED_VALUE"""),0.0)</f>
        <v>0</v>
      </c>
      <c r="Z28" s="183">
        <f t="shared" si="12"/>
        <v>0</v>
      </c>
      <c r="AA28" s="183">
        <f t="shared" si="13"/>
        <v>0</v>
      </c>
      <c r="AB28" s="183">
        <f t="shared" si="14"/>
        <v>0</v>
      </c>
    </row>
    <row r="29" ht="14.25" customHeight="1">
      <c r="A29" s="175"/>
      <c r="B29" s="196" t="s">
        <v>54</v>
      </c>
      <c r="C29" s="181"/>
      <c r="D29" s="197" t="s">
        <v>139</v>
      </c>
      <c r="E29" s="183">
        <f>SUMIFS('DB WBS'!$J:$J,'DB WBS'!$A:$A,$D$4,'DB WBS'!$D:$D,AA$1,'DB WBS'!$B:$B,$E$3,'DB WBS'!$E:$E,$B29)</f>
        <v>0</v>
      </c>
      <c r="F29" s="183">
        <f>SUMIFS('DB WBS'!$J:$J,'DB WBS'!$A:$A,$D$4,'DB WBS'!$D:$D,AA$2,'DB WBS'!$B:$B,$E$3,'DB WBS'!$E:$E,$B29)</f>
        <v>0</v>
      </c>
      <c r="G29" s="184">
        <f>IFERROR(HLOOKUP($E$3,'Tahun Lalu'!$B$5:$V$158,MATCH(B29,'Tahun Lalu'!$B$5:$B$158,0),0),0)</f>
        <v>0</v>
      </c>
      <c r="H29" s="184">
        <v>0.0</v>
      </c>
      <c r="I29" s="184">
        <v>0.0</v>
      </c>
      <c r="J29" s="183">
        <f t="shared" si="3"/>
        <v>0</v>
      </c>
      <c r="K29" s="183">
        <f t="shared" si="4"/>
        <v>0</v>
      </c>
      <c r="L29" s="183">
        <f t="shared" si="5"/>
        <v>0</v>
      </c>
      <c r="M29" s="183">
        <f t="shared" si="6"/>
        <v>0</v>
      </c>
      <c r="N29" s="183">
        <f t="shared" si="20"/>
        <v>0</v>
      </c>
      <c r="O29" s="183">
        <f t="shared" ref="O29:Q29" si="34">G29+W29</f>
        <v>0</v>
      </c>
      <c r="P29" s="183">
        <f t="shared" si="34"/>
        <v>0</v>
      </c>
      <c r="Q29" s="183">
        <f t="shared" si="34"/>
        <v>0</v>
      </c>
      <c r="R29" s="183">
        <f t="shared" si="9"/>
        <v>0</v>
      </c>
      <c r="S29" s="183">
        <f t="shared" si="10"/>
        <v>0</v>
      </c>
      <c r="T29" s="183">
        <f t="shared" si="11"/>
        <v>0</v>
      </c>
      <c r="U29" s="186"/>
      <c r="V29" s="183">
        <f>IFERROR(__xludf.DUMMYFUNCTION("""COMPUTED_VALUE"""),0.0)</f>
        <v>0</v>
      </c>
      <c r="W29" s="183">
        <f>IFERROR(__xludf.DUMMYFUNCTION("""COMPUTED_VALUE"""),0.0)</f>
        <v>0</v>
      </c>
      <c r="X29" s="183">
        <f>IFERROR(__xludf.DUMMYFUNCTION("""COMPUTED_VALUE"""),0.0)</f>
        <v>0</v>
      </c>
      <c r="Y29" s="183">
        <f>IFERROR(__xludf.DUMMYFUNCTION("""COMPUTED_VALUE"""),0.0)</f>
        <v>0</v>
      </c>
      <c r="Z29" s="183">
        <f t="shared" si="12"/>
        <v>0</v>
      </c>
      <c r="AA29" s="183">
        <f t="shared" si="13"/>
        <v>0</v>
      </c>
      <c r="AB29" s="183">
        <f t="shared" si="14"/>
        <v>0</v>
      </c>
    </row>
    <row r="30" ht="14.25" customHeight="1">
      <c r="A30" s="175"/>
      <c r="B30" s="196"/>
      <c r="C30" s="181"/>
      <c r="D30" s="197"/>
      <c r="E30" s="183">
        <f>SUMIFS('DB WBS'!$J:$J,'DB WBS'!$A:$A,$D$4,'DB WBS'!$D:$D,AA$1,'DB WBS'!$B:$B,$E$3,'DB WBS'!$E:$E,$B30)</f>
        <v>0</v>
      </c>
      <c r="F30" s="183">
        <f>SUMIFS('DB WBS'!$J:$J,'DB WBS'!$A:$A,$D$4,'DB WBS'!$D:$D,AA$2,'DB WBS'!$B:$B,$E$3,'DB WBS'!$E:$E,$B30)</f>
        <v>0</v>
      </c>
      <c r="G30" s="184">
        <f>IFERROR(HLOOKUP($E$3,'Tahun Lalu'!$B$5:$V$158,MATCH(B30,'Tahun Lalu'!$B$5:$B$158,0),0),0)</f>
        <v>0</v>
      </c>
      <c r="H30" s="184">
        <v>0.0</v>
      </c>
      <c r="I30" s="184">
        <v>0.0</v>
      </c>
      <c r="J30" s="183">
        <f t="shared" si="3"/>
        <v>0</v>
      </c>
      <c r="K30" s="183">
        <f t="shared" si="4"/>
        <v>0</v>
      </c>
      <c r="L30" s="183">
        <f t="shared" si="5"/>
        <v>0</v>
      </c>
      <c r="M30" s="183">
        <f t="shared" si="6"/>
        <v>0</v>
      </c>
      <c r="N30" s="183">
        <f t="shared" si="20"/>
        <v>0</v>
      </c>
      <c r="O30" s="183">
        <f t="shared" ref="O30:Q30" si="35">G30+W30</f>
        <v>0</v>
      </c>
      <c r="P30" s="183">
        <f t="shared" si="35"/>
        <v>0</v>
      </c>
      <c r="Q30" s="183">
        <f t="shared" si="35"/>
        <v>0</v>
      </c>
      <c r="R30" s="183">
        <f t="shared" si="9"/>
        <v>0</v>
      </c>
      <c r="S30" s="183">
        <f t="shared" si="10"/>
        <v>0</v>
      </c>
      <c r="T30" s="183">
        <f t="shared" si="11"/>
        <v>0</v>
      </c>
      <c r="U30" s="186"/>
      <c r="V30" s="183">
        <f>IFERROR(__xludf.DUMMYFUNCTION("""COMPUTED_VALUE"""),0.0)</f>
        <v>0</v>
      </c>
      <c r="W30" s="183">
        <f>IFERROR(__xludf.DUMMYFUNCTION("""COMPUTED_VALUE"""),0.0)</f>
        <v>0</v>
      </c>
      <c r="X30" s="183">
        <f>IFERROR(__xludf.DUMMYFUNCTION("""COMPUTED_VALUE"""),0.0)</f>
        <v>0</v>
      </c>
      <c r="Y30" s="183">
        <f>IFERROR(__xludf.DUMMYFUNCTION("""COMPUTED_VALUE"""),0.0)</f>
        <v>0</v>
      </c>
      <c r="Z30" s="183">
        <f t="shared" si="12"/>
        <v>0</v>
      </c>
      <c r="AA30" s="183">
        <f t="shared" si="13"/>
        <v>0</v>
      </c>
      <c r="AB30" s="183">
        <f t="shared" si="14"/>
        <v>0</v>
      </c>
    </row>
    <row r="31" ht="14.25" customHeight="1">
      <c r="A31" s="175"/>
      <c r="B31" s="198"/>
      <c r="C31" s="181"/>
      <c r="D31" s="197"/>
      <c r="E31" s="183">
        <f>SUMIFS('DB WBS'!$J:$J,'DB WBS'!$A:$A,$D$4,'DB WBS'!$D:$D,AA$1,'DB WBS'!$B:$B,$E$3,'DB WBS'!$E:$E,$B31)</f>
        <v>0</v>
      </c>
      <c r="F31" s="183">
        <f>SUMIFS('DB WBS'!$J:$J,'DB WBS'!$A:$A,$D$4,'DB WBS'!$D:$D,AA$2,'DB WBS'!$B:$B,$E$3,'DB WBS'!$E:$E,$B31)</f>
        <v>0</v>
      </c>
      <c r="G31" s="184">
        <f>IFERROR(HLOOKUP($E$3,'Tahun Lalu'!$B$5:$V$158,MATCH(B31,'Tahun Lalu'!$B$5:$B$158,0),0),0)</f>
        <v>0</v>
      </c>
      <c r="H31" s="184">
        <v>0.0</v>
      </c>
      <c r="I31" s="184">
        <v>0.0</v>
      </c>
      <c r="J31" s="183">
        <f t="shared" si="3"/>
        <v>0</v>
      </c>
      <c r="K31" s="183">
        <f t="shared" si="4"/>
        <v>0</v>
      </c>
      <c r="L31" s="183">
        <f t="shared" si="5"/>
        <v>0</v>
      </c>
      <c r="M31" s="183">
        <f t="shared" si="6"/>
        <v>0</v>
      </c>
      <c r="N31" s="183">
        <f t="shared" si="20"/>
        <v>0</v>
      </c>
      <c r="O31" s="183">
        <f t="shared" ref="O31:Q31" si="36">G31+W31</f>
        <v>0</v>
      </c>
      <c r="P31" s="183">
        <f t="shared" si="36"/>
        <v>0</v>
      </c>
      <c r="Q31" s="183">
        <f t="shared" si="36"/>
        <v>0</v>
      </c>
      <c r="R31" s="183">
        <f t="shared" si="9"/>
        <v>0</v>
      </c>
      <c r="S31" s="183">
        <f t="shared" si="10"/>
        <v>0</v>
      </c>
      <c r="T31" s="183">
        <f t="shared" si="11"/>
        <v>0</v>
      </c>
      <c r="U31" s="186"/>
      <c r="V31" s="183">
        <f>IFERROR(__xludf.DUMMYFUNCTION("""COMPUTED_VALUE"""),0.0)</f>
        <v>0</v>
      </c>
      <c r="W31" s="183">
        <f>IFERROR(__xludf.DUMMYFUNCTION("""COMPUTED_VALUE"""),0.0)</f>
        <v>0</v>
      </c>
      <c r="X31" s="183">
        <f>IFERROR(__xludf.DUMMYFUNCTION("""COMPUTED_VALUE"""),0.0)</f>
        <v>0</v>
      </c>
      <c r="Y31" s="183">
        <f>IFERROR(__xludf.DUMMYFUNCTION("""COMPUTED_VALUE"""),0.0)</f>
        <v>0</v>
      </c>
      <c r="Z31" s="183">
        <f t="shared" si="12"/>
        <v>0</v>
      </c>
      <c r="AA31" s="183">
        <f t="shared" si="13"/>
        <v>0</v>
      </c>
      <c r="AB31" s="183">
        <f t="shared" si="14"/>
        <v>0</v>
      </c>
    </row>
    <row r="32" ht="14.25" customHeight="1">
      <c r="A32" s="190"/>
      <c r="B32" s="191" t="s">
        <v>772</v>
      </c>
      <c r="C32" s="199"/>
      <c r="D32" s="200"/>
      <c r="E32" s="201">
        <f t="shared" ref="E32:I32" si="37">SUM(E15:E31)</f>
        <v>0</v>
      </c>
      <c r="F32" s="201">
        <f t="shared" si="37"/>
        <v>0</v>
      </c>
      <c r="G32" s="201">
        <f t="shared" si="37"/>
        <v>0</v>
      </c>
      <c r="H32" s="201">
        <f t="shared" si="37"/>
        <v>0</v>
      </c>
      <c r="I32" s="201">
        <f t="shared" si="37"/>
        <v>0</v>
      </c>
      <c r="J32" s="201">
        <f t="shared" si="3"/>
        <v>0</v>
      </c>
      <c r="K32" s="201">
        <f t="shared" si="4"/>
        <v>0</v>
      </c>
      <c r="L32" s="201">
        <f t="shared" si="5"/>
        <v>0</v>
      </c>
      <c r="M32" s="201">
        <f t="shared" si="6"/>
        <v>0</v>
      </c>
      <c r="N32" s="201">
        <f t="shared" ref="N32:Q32" si="38">SUM(N15:N31)</f>
        <v>0</v>
      </c>
      <c r="O32" s="201">
        <f t="shared" si="38"/>
        <v>0</v>
      </c>
      <c r="P32" s="201">
        <f t="shared" si="38"/>
        <v>0</v>
      </c>
      <c r="Q32" s="201">
        <f t="shared" si="38"/>
        <v>0</v>
      </c>
      <c r="R32" s="201">
        <f t="shared" si="9"/>
        <v>0</v>
      </c>
      <c r="S32" s="201">
        <f t="shared" si="10"/>
        <v>0</v>
      </c>
      <c r="T32" s="201">
        <f t="shared" si="11"/>
        <v>0</v>
      </c>
      <c r="U32" s="202"/>
      <c r="V32" s="201">
        <f>IFERROR(__xludf.DUMMYFUNCTION("""COMPUTED_VALUE"""),0.0)</f>
        <v>0</v>
      </c>
      <c r="W32" s="201">
        <f>IFERROR(__xludf.DUMMYFUNCTION("""COMPUTED_VALUE"""),0.0)</f>
        <v>0</v>
      </c>
      <c r="X32" s="201">
        <f>IFERROR(__xludf.DUMMYFUNCTION("""COMPUTED_VALUE"""),0.0)</f>
        <v>0</v>
      </c>
      <c r="Y32" s="201">
        <f>IFERROR(__xludf.DUMMYFUNCTION("""COMPUTED_VALUE"""),0.0)</f>
        <v>0</v>
      </c>
      <c r="Z32" s="201">
        <f t="shared" si="12"/>
        <v>0</v>
      </c>
      <c r="AA32" s="201">
        <f t="shared" si="13"/>
        <v>0</v>
      </c>
      <c r="AB32" s="201">
        <f t="shared" si="14"/>
        <v>0</v>
      </c>
    </row>
    <row r="33" ht="14.25" customHeight="1">
      <c r="A33" s="175"/>
      <c r="B33" s="196"/>
      <c r="C33" s="181"/>
      <c r="D33" s="197" t="s">
        <v>773</v>
      </c>
      <c r="E33" s="183">
        <f>SUMIFS('DB WBS'!$J:$J,'DB WBS'!$A:$A,$D$4,'DB WBS'!$D:$D,AA$1,'DB WBS'!$B:$B,$E$3,'DB WBS'!$E:$E,$B33)</f>
        <v>0</v>
      </c>
      <c r="F33" s="183">
        <f>SUMIFS('DB WBS'!$J:$J,'DB WBS'!$A:$A,$D$4,'DB WBS'!$D:$D,AA$2,'DB WBS'!$B:$B,$E$3,'DB WBS'!$E:$E,$B33)</f>
        <v>0</v>
      </c>
      <c r="G33" s="184">
        <f>IFERROR(HLOOKUP($E$3,'Tahun Lalu'!$B$5:$V$158,MATCH(B33,'Tahun Lalu'!$B$5:$B$158,0),0),0)</f>
        <v>0</v>
      </c>
      <c r="H33" s="184">
        <v>0.0</v>
      </c>
      <c r="I33" s="184">
        <v>0.0</v>
      </c>
      <c r="J33" s="183">
        <f t="shared" si="3"/>
        <v>0</v>
      </c>
      <c r="K33" s="183">
        <f t="shared" si="4"/>
        <v>0</v>
      </c>
      <c r="L33" s="183">
        <f t="shared" si="5"/>
        <v>0</v>
      </c>
      <c r="M33" s="183">
        <f t="shared" si="6"/>
        <v>0</v>
      </c>
      <c r="N33" s="183">
        <f>E33+V33</f>
        <v>0</v>
      </c>
      <c r="O33" s="183">
        <f t="shared" ref="O33:Q33" si="39">G33+W33</f>
        <v>0</v>
      </c>
      <c r="P33" s="183">
        <f t="shared" si="39"/>
        <v>0</v>
      </c>
      <c r="Q33" s="183">
        <f t="shared" si="39"/>
        <v>0</v>
      </c>
      <c r="R33" s="183">
        <f t="shared" si="9"/>
        <v>0</v>
      </c>
      <c r="S33" s="183">
        <f t="shared" si="10"/>
        <v>0</v>
      </c>
      <c r="T33" s="183">
        <f t="shared" si="11"/>
        <v>0</v>
      </c>
      <c r="U33" s="186"/>
      <c r="V33" s="183">
        <f>IFERROR(__xludf.DUMMYFUNCTION("""COMPUTED_VALUE"""),0.0)</f>
        <v>0</v>
      </c>
      <c r="W33" s="183">
        <f>IFERROR(__xludf.DUMMYFUNCTION("""COMPUTED_VALUE"""),0.0)</f>
        <v>0</v>
      </c>
      <c r="X33" s="183">
        <f>IFERROR(__xludf.DUMMYFUNCTION("""COMPUTED_VALUE"""),0.0)</f>
        <v>0</v>
      </c>
      <c r="Y33" s="183">
        <f>IFERROR(__xludf.DUMMYFUNCTION("""COMPUTED_VALUE"""),0.0)</f>
        <v>0</v>
      </c>
      <c r="Z33" s="183">
        <f t="shared" si="12"/>
        <v>0</v>
      </c>
      <c r="AA33" s="183">
        <f t="shared" si="13"/>
        <v>0</v>
      </c>
      <c r="AB33" s="183">
        <f t="shared" si="14"/>
        <v>0</v>
      </c>
    </row>
    <row r="34" ht="14.25" customHeight="1">
      <c r="A34" s="190"/>
      <c r="B34" s="191" t="s">
        <v>774</v>
      </c>
      <c r="C34" s="199"/>
      <c r="D34" s="200"/>
      <c r="E34" s="201">
        <f t="shared" ref="E34:I34" si="40">SUM(E33)</f>
        <v>0</v>
      </c>
      <c r="F34" s="201">
        <f t="shared" si="40"/>
        <v>0</v>
      </c>
      <c r="G34" s="201">
        <f t="shared" si="40"/>
        <v>0</v>
      </c>
      <c r="H34" s="201">
        <f t="shared" si="40"/>
        <v>0</v>
      </c>
      <c r="I34" s="201">
        <f t="shared" si="40"/>
        <v>0</v>
      </c>
      <c r="J34" s="201">
        <f t="shared" si="3"/>
        <v>0</v>
      </c>
      <c r="K34" s="201">
        <f t="shared" si="4"/>
        <v>0</v>
      </c>
      <c r="L34" s="201">
        <f t="shared" si="5"/>
        <v>0</v>
      </c>
      <c r="M34" s="201">
        <f t="shared" si="6"/>
        <v>0</v>
      </c>
      <c r="N34" s="201">
        <f t="shared" ref="N34:Q34" si="41">SUM(N33)</f>
        <v>0</v>
      </c>
      <c r="O34" s="201">
        <f t="shared" si="41"/>
        <v>0</v>
      </c>
      <c r="P34" s="201">
        <f t="shared" si="41"/>
        <v>0</v>
      </c>
      <c r="Q34" s="201">
        <f t="shared" si="41"/>
        <v>0</v>
      </c>
      <c r="R34" s="201">
        <f t="shared" si="9"/>
        <v>0</v>
      </c>
      <c r="S34" s="201">
        <f t="shared" si="10"/>
        <v>0</v>
      </c>
      <c r="T34" s="201">
        <f t="shared" si="11"/>
        <v>0</v>
      </c>
      <c r="U34" s="202"/>
      <c r="V34" s="201">
        <f>IFERROR(__xludf.DUMMYFUNCTION("""COMPUTED_VALUE"""),0.0)</f>
        <v>0</v>
      </c>
      <c r="W34" s="201">
        <f>IFERROR(__xludf.DUMMYFUNCTION("""COMPUTED_VALUE"""),0.0)</f>
        <v>0</v>
      </c>
      <c r="X34" s="201">
        <f>IFERROR(__xludf.DUMMYFUNCTION("""COMPUTED_VALUE"""),0.0)</f>
        <v>0</v>
      </c>
      <c r="Y34" s="201">
        <f>IFERROR(__xludf.DUMMYFUNCTION("""COMPUTED_VALUE"""),0.0)</f>
        <v>0</v>
      </c>
      <c r="Z34" s="201">
        <f t="shared" si="12"/>
        <v>0</v>
      </c>
      <c r="AA34" s="201">
        <f t="shared" si="13"/>
        <v>0</v>
      </c>
      <c r="AB34" s="201">
        <f t="shared" si="14"/>
        <v>0</v>
      </c>
    </row>
    <row r="35" ht="14.25" customHeight="1">
      <c r="A35" s="175"/>
      <c r="B35" s="196" t="s">
        <v>775</v>
      </c>
      <c r="C35" s="181"/>
      <c r="D35" s="197" t="s">
        <v>776</v>
      </c>
      <c r="E35" s="183">
        <f>SUMIFS('DB WBS'!$J:$J,'DB WBS'!$A:$A,$D$4,'DB WBS'!$D:$D,AA$1,'DB WBS'!$B:$B,$E$3,'DB WBS'!$E:$E,$B35)</f>
        <v>0</v>
      </c>
      <c r="F35" s="183">
        <f>SUMIFS('DB WBS'!$J:$J,'DB WBS'!$A:$A,$D$4,'DB WBS'!$D:$D,AA$2,'DB WBS'!$B:$B,$E$3,'DB WBS'!$E:$E,$B35)</f>
        <v>0</v>
      </c>
      <c r="G35" s="184">
        <f>IFERROR(HLOOKUP($E$3,'Tahun Lalu'!$B$5:$V$158,MATCH(B35,'Tahun Lalu'!$B$5:$B$158,0),0),0)</f>
        <v>0</v>
      </c>
      <c r="H35" s="184">
        <v>0.0</v>
      </c>
      <c r="I35" s="184">
        <v>0.0</v>
      </c>
      <c r="J35" s="183">
        <f t="shared" si="3"/>
        <v>0</v>
      </c>
      <c r="K35" s="183">
        <f t="shared" si="4"/>
        <v>0</v>
      </c>
      <c r="L35" s="183">
        <f t="shared" si="5"/>
        <v>0</v>
      </c>
      <c r="M35" s="183">
        <f t="shared" si="6"/>
        <v>0</v>
      </c>
      <c r="N35" s="183">
        <f t="shared" ref="N35:N44" si="43">E35+V35</f>
        <v>0</v>
      </c>
      <c r="O35" s="183">
        <f t="shared" ref="O35:Q35" si="42">G35+W35</f>
        <v>0</v>
      </c>
      <c r="P35" s="183">
        <f t="shared" si="42"/>
        <v>0</v>
      </c>
      <c r="Q35" s="183">
        <f t="shared" si="42"/>
        <v>0</v>
      </c>
      <c r="R35" s="183">
        <f t="shared" si="9"/>
        <v>0</v>
      </c>
      <c r="S35" s="183">
        <f t="shared" si="10"/>
        <v>0</v>
      </c>
      <c r="T35" s="183">
        <f t="shared" si="11"/>
        <v>0</v>
      </c>
      <c r="U35" s="186"/>
      <c r="V35" s="183">
        <f>IFERROR(__xludf.DUMMYFUNCTION("""COMPUTED_VALUE"""),0.0)</f>
        <v>0</v>
      </c>
      <c r="W35" s="183">
        <f>IFERROR(__xludf.DUMMYFUNCTION("""COMPUTED_VALUE"""),0.0)</f>
        <v>0</v>
      </c>
      <c r="X35" s="183">
        <f>IFERROR(__xludf.DUMMYFUNCTION("""COMPUTED_VALUE"""),0.0)</f>
        <v>0</v>
      </c>
      <c r="Y35" s="183">
        <f>IFERROR(__xludf.DUMMYFUNCTION("""COMPUTED_VALUE"""),0.0)</f>
        <v>0</v>
      </c>
      <c r="Z35" s="183">
        <f t="shared" si="12"/>
        <v>0</v>
      </c>
      <c r="AA35" s="183">
        <f t="shared" si="13"/>
        <v>0</v>
      </c>
      <c r="AB35" s="183">
        <f t="shared" si="14"/>
        <v>0</v>
      </c>
    </row>
    <row r="36" ht="14.25" customHeight="1">
      <c r="A36" s="175"/>
      <c r="B36" s="196" t="s">
        <v>777</v>
      </c>
      <c r="C36" s="181"/>
      <c r="D36" s="197" t="s">
        <v>778</v>
      </c>
      <c r="E36" s="183">
        <f>SUMIFS('DB WBS'!$J:$J,'DB WBS'!$A:$A,$D$4,'DB WBS'!$D:$D,AA$1,'DB WBS'!$B:$B,$E$3,'DB WBS'!$E:$E,$B36)</f>
        <v>0</v>
      </c>
      <c r="F36" s="183">
        <f>SUMIFS('DB WBS'!$J:$J,'DB WBS'!$A:$A,$D$4,'DB WBS'!$D:$D,AA$2,'DB WBS'!$B:$B,$E$3,'DB WBS'!$E:$E,$B36)</f>
        <v>0</v>
      </c>
      <c r="G36" s="184">
        <f>IFERROR(HLOOKUP($E$3,'Tahun Lalu'!$B$5:$V$158,MATCH(B36,'Tahun Lalu'!$B$5:$B$158,0),0),0)</f>
        <v>0</v>
      </c>
      <c r="H36" s="184">
        <v>0.0</v>
      </c>
      <c r="I36" s="184">
        <v>0.0</v>
      </c>
      <c r="J36" s="183">
        <f t="shared" si="3"/>
        <v>0</v>
      </c>
      <c r="K36" s="183">
        <f t="shared" si="4"/>
        <v>0</v>
      </c>
      <c r="L36" s="183">
        <f t="shared" si="5"/>
        <v>0</v>
      </c>
      <c r="M36" s="183">
        <f t="shared" si="6"/>
        <v>0</v>
      </c>
      <c r="N36" s="183">
        <f t="shared" si="43"/>
        <v>0</v>
      </c>
      <c r="O36" s="183">
        <f t="shared" ref="O36:Q36" si="44">G36+W36</f>
        <v>0</v>
      </c>
      <c r="P36" s="183">
        <f t="shared" si="44"/>
        <v>0</v>
      </c>
      <c r="Q36" s="183">
        <f t="shared" si="44"/>
        <v>0</v>
      </c>
      <c r="R36" s="183">
        <f t="shared" si="9"/>
        <v>0</v>
      </c>
      <c r="S36" s="183">
        <f t="shared" si="10"/>
        <v>0</v>
      </c>
      <c r="T36" s="183">
        <f t="shared" si="11"/>
        <v>0</v>
      </c>
      <c r="U36" s="186"/>
      <c r="V36" s="183">
        <f>IFERROR(__xludf.DUMMYFUNCTION("""COMPUTED_VALUE"""),0.0)</f>
        <v>0</v>
      </c>
      <c r="W36" s="183">
        <f>IFERROR(__xludf.DUMMYFUNCTION("""COMPUTED_VALUE"""),0.0)</f>
        <v>0</v>
      </c>
      <c r="X36" s="183">
        <f>IFERROR(__xludf.DUMMYFUNCTION("""COMPUTED_VALUE"""),0.0)</f>
        <v>0</v>
      </c>
      <c r="Y36" s="183">
        <f>IFERROR(__xludf.DUMMYFUNCTION("""COMPUTED_VALUE"""),0.0)</f>
        <v>0</v>
      </c>
      <c r="Z36" s="183">
        <f t="shared" si="12"/>
        <v>0</v>
      </c>
      <c r="AA36" s="183">
        <f t="shared" si="13"/>
        <v>0</v>
      </c>
      <c r="AB36" s="183">
        <f t="shared" si="14"/>
        <v>0</v>
      </c>
    </row>
    <row r="37" ht="14.25" customHeight="1">
      <c r="A37" s="175"/>
      <c r="B37" s="196" t="s">
        <v>779</v>
      </c>
      <c r="C37" s="181"/>
      <c r="D37" s="197" t="s">
        <v>780</v>
      </c>
      <c r="E37" s="183">
        <f>SUMIFS('DB WBS'!$J:$J,'DB WBS'!$A:$A,$D$4,'DB WBS'!$D:$D,AA$1,'DB WBS'!$B:$B,$E$3,'DB WBS'!$E:$E,$B37)</f>
        <v>0</v>
      </c>
      <c r="F37" s="183">
        <f>SUMIFS('DB WBS'!$J:$J,'DB WBS'!$A:$A,$D$4,'DB WBS'!$D:$D,AA$2,'DB WBS'!$B:$B,$E$3,'DB WBS'!$E:$E,$B37)</f>
        <v>0</v>
      </c>
      <c r="G37" s="184">
        <f>IFERROR(HLOOKUP($E$3,'Tahun Lalu'!$B$5:$V$158,MATCH(B37,'Tahun Lalu'!$B$5:$B$158,0),0),0)</f>
        <v>0</v>
      </c>
      <c r="H37" s="184">
        <v>0.0</v>
      </c>
      <c r="I37" s="184">
        <v>0.0</v>
      </c>
      <c r="J37" s="183">
        <f t="shared" si="3"/>
        <v>0</v>
      </c>
      <c r="K37" s="183">
        <f t="shared" si="4"/>
        <v>0</v>
      </c>
      <c r="L37" s="183">
        <f t="shared" si="5"/>
        <v>0</v>
      </c>
      <c r="M37" s="183">
        <f t="shared" si="6"/>
        <v>0</v>
      </c>
      <c r="N37" s="183">
        <f t="shared" si="43"/>
        <v>0</v>
      </c>
      <c r="O37" s="183">
        <f t="shared" ref="O37:Q37" si="45">G37+W37</f>
        <v>0</v>
      </c>
      <c r="P37" s="183">
        <f t="shared" si="45"/>
        <v>0</v>
      </c>
      <c r="Q37" s="183">
        <f t="shared" si="45"/>
        <v>0</v>
      </c>
      <c r="R37" s="183">
        <f t="shared" si="9"/>
        <v>0</v>
      </c>
      <c r="S37" s="183">
        <f t="shared" si="10"/>
        <v>0</v>
      </c>
      <c r="T37" s="183">
        <f t="shared" si="11"/>
        <v>0</v>
      </c>
      <c r="U37" s="186"/>
      <c r="V37" s="183">
        <f>IFERROR(__xludf.DUMMYFUNCTION("""COMPUTED_VALUE"""),0.0)</f>
        <v>0</v>
      </c>
      <c r="W37" s="183">
        <f>IFERROR(__xludf.DUMMYFUNCTION("""COMPUTED_VALUE"""),0.0)</f>
        <v>0</v>
      </c>
      <c r="X37" s="183">
        <f>IFERROR(__xludf.DUMMYFUNCTION("""COMPUTED_VALUE"""),0.0)</f>
        <v>0</v>
      </c>
      <c r="Y37" s="183">
        <f>IFERROR(__xludf.DUMMYFUNCTION("""COMPUTED_VALUE"""),0.0)</f>
        <v>0</v>
      </c>
      <c r="Z37" s="183">
        <f t="shared" si="12"/>
        <v>0</v>
      </c>
      <c r="AA37" s="183">
        <f t="shared" si="13"/>
        <v>0</v>
      </c>
      <c r="AB37" s="183">
        <f t="shared" si="14"/>
        <v>0</v>
      </c>
    </row>
    <row r="38" ht="14.25" customHeight="1">
      <c r="A38" s="175"/>
      <c r="B38" s="196" t="s">
        <v>267</v>
      </c>
      <c r="C38" s="181"/>
      <c r="D38" s="197" t="s">
        <v>268</v>
      </c>
      <c r="E38" s="183">
        <f>SUMIFS('DB WBS'!$J:$J,'DB WBS'!$A:$A,$D$4,'DB WBS'!$D:$D,AA$1,'DB WBS'!$B:$B,$E$3,'DB WBS'!$E:$E,$B38)</f>
        <v>0</v>
      </c>
      <c r="F38" s="183">
        <f>SUMIFS('DB WBS'!$J:$J,'DB WBS'!$A:$A,$D$4,'DB WBS'!$D:$D,AA$2,'DB WBS'!$B:$B,$E$3,'DB WBS'!$E:$E,$B38)</f>
        <v>0</v>
      </c>
      <c r="G38" s="184">
        <f>IFERROR(HLOOKUP($E$3,'Tahun Lalu'!$B$5:$V$158,MATCH(B38,'Tahun Lalu'!$B$5:$B$158,0),0),0)</f>
        <v>0</v>
      </c>
      <c r="H38" s="184">
        <v>0.0</v>
      </c>
      <c r="I38" s="184">
        <v>0.0</v>
      </c>
      <c r="J38" s="183">
        <f t="shared" si="3"/>
        <v>0</v>
      </c>
      <c r="K38" s="183">
        <f t="shared" si="4"/>
        <v>0</v>
      </c>
      <c r="L38" s="183">
        <f t="shared" si="5"/>
        <v>0</v>
      </c>
      <c r="M38" s="183">
        <f t="shared" si="6"/>
        <v>0</v>
      </c>
      <c r="N38" s="183">
        <f t="shared" si="43"/>
        <v>0</v>
      </c>
      <c r="O38" s="183">
        <f t="shared" ref="O38:Q38" si="46">G38+W38</f>
        <v>0</v>
      </c>
      <c r="P38" s="183">
        <f t="shared" si="46"/>
        <v>0</v>
      </c>
      <c r="Q38" s="183">
        <f t="shared" si="46"/>
        <v>0</v>
      </c>
      <c r="R38" s="183">
        <f t="shared" si="9"/>
        <v>0</v>
      </c>
      <c r="S38" s="183">
        <f t="shared" si="10"/>
        <v>0</v>
      </c>
      <c r="T38" s="183">
        <f t="shared" si="11"/>
        <v>0</v>
      </c>
      <c r="U38" s="186"/>
      <c r="V38" s="183">
        <f>IFERROR(__xludf.DUMMYFUNCTION("""COMPUTED_VALUE"""),0.0)</f>
        <v>0</v>
      </c>
      <c r="W38" s="183">
        <f>IFERROR(__xludf.DUMMYFUNCTION("""COMPUTED_VALUE"""),0.0)</f>
        <v>0</v>
      </c>
      <c r="X38" s="183">
        <f>IFERROR(__xludf.DUMMYFUNCTION("""COMPUTED_VALUE"""),0.0)</f>
        <v>0</v>
      </c>
      <c r="Y38" s="183">
        <f>IFERROR(__xludf.DUMMYFUNCTION("""COMPUTED_VALUE"""),0.0)</f>
        <v>0</v>
      </c>
      <c r="Z38" s="183">
        <f t="shared" si="12"/>
        <v>0</v>
      </c>
      <c r="AA38" s="183">
        <f t="shared" si="13"/>
        <v>0</v>
      </c>
      <c r="AB38" s="183">
        <f t="shared" si="14"/>
        <v>0</v>
      </c>
    </row>
    <row r="39" ht="14.25" customHeight="1">
      <c r="A39" s="175"/>
      <c r="B39" s="196" t="s">
        <v>781</v>
      </c>
      <c r="C39" s="181"/>
      <c r="D39" s="197" t="s">
        <v>782</v>
      </c>
      <c r="E39" s="183">
        <f>SUMIFS('DB WBS'!$J:$J,'DB WBS'!$A:$A,$D$4,'DB WBS'!$D:$D,AA$1,'DB WBS'!$B:$B,$E$3,'DB WBS'!$E:$E,$B39)</f>
        <v>0</v>
      </c>
      <c r="F39" s="183">
        <f>SUMIFS('DB WBS'!$J:$J,'DB WBS'!$A:$A,$D$4,'DB WBS'!$D:$D,AA$2,'DB WBS'!$B:$B,$E$3,'DB WBS'!$E:$E,$B39)</f>
        <v>0</v>
      </c>
      <c r="G39" s="184">
        <f>IFERROR(HLOOKUP($E$3,'Tahun Lalu'!$B$5:$V$158,MATCH(B39,'Tahun Lalu'!$B$5:$B$158,0),0),0)</f>
        <v>0</v>
      </c>
      <c r="H39" s="184">
        <v>0.0</v>
      </c>
      <c r="I39" s="184">
        <v>0.0</v>
      </c>
      <c r="J39" s="183">
        <f t="shared" si="3"/>
        <v>0</v>
      </c>
      <c r="K39" s="183">
        <f t="shared" si="4"/>
        <v>0</v>
      </c>
      <c r="L39" s="183">
        <f t="shared" si="5"/>
        <v>0</v>
      </c>
      <c r="M39" s="183">
        <f t="shared" si="6"/>
        <v>0</v>
      </c>
      <c r="N39" s="183">
        <f t="shared" si="43"/>
        <v>0</v>
      </c>
      <c r="O39" s="183">
        <f t="shared" ref="O39:Q39" si="47">G39+W39</f>
        <v>0</v>
      </c>
      <c r="P39" s="183">
        <f t="shared" si="47"/>
        <v>0</v>
      </c>
      <c r="Q39" s="183">
        <f t="shared" si="47"/>
        <v>0</v>
      </c>
      <c r="R39" s="183">
        <f t="shared" si="9"/>
        <v>0</v>
      </c>
      <c r="S39" s="183">
        <f t="shared" si="10"/>
        <v>0</v>
      </c>
      <c r="T39" s="183">
        <f t="shared" si="11"/>
        <v>0</v>
      </c>
      <c r="U39" s="186"/>
      <c r="V39" s="183">
        <f>IFERROR(__xludf.DUMMYFUNCTION("""COMPUTED_VALUE"""),0.0)</f>
        <v>0</v>
      </c>
      <c r="W39" s="183">
        <f>IFERROR(__xludf.DUMMYFUNCTION("""COMPUTED_VALUE"""),0.0)</f>
        <v>0</v>
      </c>
      <c r="X39" s="183">
        <f>IFERROR(__xludf.DUMMYFUNCTION("""COMPUTED_VALUE"""),0.0)</f>
        <v>0</v>
      </c>
      <c r="Y39" s="183">
        <f>IFERROR(__xludf.DUMMYFUNCTION("""COMPUTED_VALUE"""),0.0)</f>
        <v>0</v>
      </c>
      <c r="Z39" s="183">
        <f t="shared" si="12"/>
        <v>0</v>
      </c>
      <c r="AA39" s="183">
        <f t="shared" si="13"/>
        <v>0</v>
      </c>
      <c r="AB39" s="183">
        <f t="shared" si="14"/>
        <v>0</v>
      </c>
    </row>
    <row r="40" ht="14.25" customHeight="1">
      <c r="A40" s="175"/>
      <c r="B40" s="196" t="s">
        <v>783</v>
      </c>
      <c r="C40" s="181"/>
      <c r="D40" s="197" t="s">
        <v>784</v>
      </c>
      <c r="E40" s="183">
        <f>SUMIFS('DB WBS'!$J:$J,'DB WBS'!$A:$A,$D$4,'DB WBS'!$D:$D,AA$1,'DB WBS'!$B:$B,$E$3,'DB WBS'!$E:$E,$B40)</f>
        <v>0</v>
      </c>
      <c r="F40" s="183">
        <f>SUMIFS('DB WBS'!$J:$J,'DB WBS'!$A:$A,$D$4,'DB WBS'!$D:$D,AA$2,'DB WBS'!$B:$B,$E$3,'DB WBS'!$E:$E,$B40)</f>
        <v>0</v>
      </c>
      <c r="G40" s="184">
        <f>IFERROR(HLOOKUP($E$3,'Tahun Lalu'!$B$5:$V$158,MATCH(B40,'Tahun Lalu'!$B$5:$B$158,0),0),0)</f>
        <v>0</v>
      </c>
      <c r="H40" s="184">
        <v>0.0</v>
      </c>
      <c r="I40" s="184">
        <v>0.0</v>
      </c>
      <c r="J40" s="183">
        <f t="shared" si="3"/>
        <v>0</v>
      </c>
      <c r="K40" s="183">
        <f t="shared" si="4"/>
        <v>0</v>
      </c>
      <c r="L40" s="183">
        <f t="shared" si="5"/>
        <v>0</v>
      </c>
      <c r="M40" s="183">
        <f t="shared" si="6"/>
        <v>0</v>
      </c>
      <c r="N40" s="183">
        <f t="shared" si="43"/>
        <v>0</v>
      </c>
      <c r="O40" s="183">
        <f t="shared" ref="O40:Q40" si="48">G40+W40</f>
        <v>0</v>
      </c>
      <c r="P40" s="183">
        <f t="shared" si="48"/>
        <v>0</v>
      </c>
      <c r="Q40" s="183">
        <f t="shared" si="48"/>
        <v>0</v>
      </c>
      <c r="R40" s="183">
        <f t="shared" si="9"/>
        <v>0</v>
      </c>
      <c r="S40" s="183">
        <f t="shared" si="10"/>
        <v>0</v>
      </c>
      <c r="T40" s="183">
        <f t="shared" si="11"/>
        <v>0</v>
      </c>
      <c r="U40" s="186"/>
      <c r="V40" s="183">
        <f>IFERROR(__xludf.DUMMYFUNCTION("""COMPUTED_VALUE"""),0.0)</f>
        <v>0</v>
      </c>
      <c r="W40" s="183">
        <f>IFERROR(__xludf.DUMMYFUNCTION("""COMPUTED_VALUE"""),0.0)</f>
        <v>0</v>
      </c>
      <c r="X40" s="183">
        <f>IFERROR(__xludf.DUMMYFUNCTION("""COMPUTED_VALUE"""),0.0)</f>
        <v>0</v>
      </c>
      <c r="Y40" s="183">
        <f>IFERROR(__xludf.DUMMYFUNCTION("""COMPUTED_VALUE"""),0.0)</f>
        <v>0</v>
      </c>
      <c r="Z40" s="183">
        <f t="shared" si="12"/>
        <v>0</v>
      </c>
      <c r="AA40" s="183">
        <f t="shared" si="13"/>
        <v>0</v>
      </c>
      <c r="AB40" s="183">
        <f t="shared" si="14"/>
        <v>0</v>
      </c>
    </row>
    <row r="41" ht="14.25" customHeight="1">
      <c r="A41" s="175"/>
      <c r="B41" s="196" t="s">
        <v>34</v>
      </c>
      <c r="C41" s="181"/>
      <c r="D41" s="197" t="s">
        <v>35</v>
      </c>
      <c r="E41" s="183">
        <f>SUMIFS('DB WBS'!$J:$J,'DB WBS'!$A:$A,$D$4,'DB WBS'!$D:$D,AA$1,'DB WBS'!$B:$B,$E$3,'DB WBS'!$E:$E,$B41)</f>
        <v>0</v>
      </c>
      <c r="F41" s="183">
        <f>SUMIFS('DB WBS'!$J:$J,'DB WBS'!$A:$A,$D$4,'DB WBS'!$D:$D,AA$2,'DB WBS'!$B:$B,$E$3,'DB WBS'!$E:$E,$B41)</f>
        <v>0</v>
      </c>
      <c r="G41" s="184">
        <f>IFERROR(HLOOKUP($E$3,'Tahun Lalu'!$B$5:$V$158,MATCH(B41,'Tahun Lalu'!$B$5:$B$158,0),0),0)</f>
        <v>0</v>
      </c>
      <c r="H41" s="184">
        <v>0.0</v>
      </c>
      <c r="I41" s="184">
        <v>0.0</v>
      </c>
      <c r="J41" s="183">
        <f t="shared" si="3"/>
        <v>0</v>
      </c>
      <c r="K41" s="183">
        <f t="shared" si="4"/>
        <v>0</v>
      </c>
      <c r="L41" s="183">
        <f t="shared" si="5"/>
        <v>0</v>
      </c>
      <c r="M41" s="183">
        <f t="shared" si="6"/>
        <v>0</v>
      </c>
      <c r="N41" s="183">
        <f t="shared" si="43"/>
        <v>0</v>
      </c>
      <c r="O41" s="183">
        <f t="shared" ref="O41:Q41" si="49">G41+W41</f>
        <v>0</v>
      </c>
      <c r="P41" s="183">
        <f t="shared" si="49"/>
        <v>0</v>
      </c>
      <c r="Q41" s="183">
        <f t="shared" si="49"/>
        <v>0</v>
      </c>
      <c r="R41" s="183">
        <f t="shared" si="9"/>
        <v>0</v>
      </c>
      <c r="S41" s="183">
        <f t="shared" si="10"/>
        <v>0</v>
      </c>
      <c r="T41" s="183">
        <f t="shared" si="11"/>
        <v>0</v>
      </c>
      <c r="U41" s="186"/>
      <c r="V41" s="183">
        <f>IFERROR(__xludf.DUMMYFUNCTION("""COMPUTED_VALUE"""),0.0)</f>
        <v>0</v>
      </c>
      <c r="W41" s="183">
        <f>IFERROR(__xludf.DUMMYFUNCTION("""COMPUTED_VALUE"""),0.0)</f>
        <v>0</v>
      </c>
      <c r="X41" s="183">
        <f>IFERROR(__xludf.DUMMYFUNCTION("""COMPUTED_VALUE"""),0.0)</f>
        <v>0</v>
      </c>
      <c r="Y41" s="183">
        <f>IFERROR(__xludf.DUMMYFUNCTION("""COMPUTED_VALUE"""),0.0)</f>
        <v>0</v>
      </c>
      <c r="Z41" s="183">
        <f t="shared" si="12"/>
        <v>0</v>
      </c>
      <c r="AA41" s="183">
        <f t="shared" si="13"/>
        <v>0</v>
      </c>
      <c r="AB41" s="183">
        <f t="shared" si="14"/>
        <v>0</v>
      </c>
    </row>
    <row r="42" ht="14.25" customHeight="1">
      <c r="A42" s="175"/>
      <c r="B42" s="196" t="s">
        <v>785</v>
      </c>
      <c r="C42" s="181"/>
      <c r="D42" s="197" t="s">
        <v>258</v>
      </c>
      <c r="E42" s="183">
        <f>SUMIFS('DB WBS'!$J:$J,'DB WBS'!$A:$A,$D$4,'DB WBS'!$D:$D,AA$1,'DB WBS'!$B:$B,$E$3,'DB WBS'!$E:$E,$B42)</f>
        <v>0</v>
      </c>
      <c r="F42" s="183">
        <f>SUMIFS('DB WBS'!$J:$J,'DB WBS'!$A:$A,$D$4,'DB WBS'!$D:$D,AA$2,'DB WBS'!$B:$B,$E$3,'DB WBS'!$E:$E,$B42)</f>
        <v>0</v>
      </c>
      <c r="G42" s="184">
        <f>IFERROR(HLOOKUP($E$3,'Tahun Lalu'!$B$5:$V$158,MATCH(B42,'Tahun Lalu'!$B$5:$B$158,0),0),0)</f>
        <v>0</v>
      </c>
      <c r="H42" s="184">
        <v>0.0</v>
      </c>
      <c r="I42" s="184">
        <v>0.0</v>
      </c>
      <c r="J42" s="183">
        <f t="shared" si="3"/>
        <v>0</v>
      </c>
      <c r="K42" s="183">
        <f t="shared" si="4"/>
        <v>0</v>
      </c>
      <c r="L42" s="183">
        <f t="shared" si="5"/>
        <v>0</v>
      </c>
      <c r="M42" s="183">
        <f t="shared" si="6"/>
        <v>0</v>
      </c>
      <c r="N42" s="183">
        <f t="shared" si="43"/>
        <v>0</v>
      </c>
      <c r="O42" s="183">
        <f t="shared" ref="O42:Q42" si="50">G42+W42</f>
        <v>0</v>
      </c>
      <c r="P42" s="183">
        <f t="shared" si="50"/>
        <v>0</v>
      </c>
      <c r="Q42" s="183">
        <f t="shared" si="50"/>
        <v>0</v>
      </c>
      <c r="R42" s="183">
        <f t="shared" si="9"/>
        <v>0</v>
      </c>
      <c r="S42" s="183">
        <f t="shared" si="10"/>
        <v>0</v>
      </c>
      <c r="T42" s="183">
        <f t="shared" si="11"/>
        <v>0</v>
      </c>
      <c r="U42" s="186"/>
      <c r="V42" s="183">
        <f>IFERROR(__xludf.DUMMYFUNCTION("""COMPUTED_VALUE"""),0.0)</f>
        <v>0</v>
      </c>
      <c r="W42" s="183">
        <f>IFERROR(__xludf.DUMMYFUNCTION("""COMPUTED_VALUE"""),0.0)</f>
        <v>0</v>
      </c>
      <c r="X42" s="183">
        <f>IFERROR(__xludf.DUMMYFUNCTION("""COMPUTED_VALUE"""),0.0)</f>
        <v>0</v>
      </c>
      <c r="Y42" s="183">
        <f>IFERROR(__xludf.DUMMYFUNCTION("""COMPUTED_VALUE"""),0.0)</f>
        <v>0</v>
      </c>
      <c r="Z42" s="183">
        <f t="shared" si="12"/>
        <v>0</v>
      </c>
      <c r="AA42" s="183">
        <f t="shared" si="13"/>
        <v>0</v>
      </c>
      <c r="AB42" s="183">
        <f t="shared" si="14"/>
        <v>0</v>
      </c>
    </row>
    <row r="43" ht="14.25" customHeight="1">
      <c r="A43" s="175"/>
      <c r="B43" s="196" t="s">
        <v>786</v>
      </c>
      <c r="C43" s="181"/>
      <c r="D43" s="197" t="s">
        <v>787</v>
      </c>
      <c r="E43" s="183">
        <f>SUMIFS('DB WBS'!$J:$J,'DB WBS'!$A:$A,$D$4,'DB WBS'!$D:$D,AA$1,'DB WBS'!$B:$B,$E$3,'DB WBS'!$E:$E,$B43)</f>
        <v>0</v>
      </c>
      <c r="F43" s="183">
        <f>SUMIFS('DB WBS'!$J:$J,'DB WBS'!$A:$A,$D$4,'DB WBS'!$D:$D,AA$2,'DB WBS'!$B:$B,$E$3,'DB WBS'!$E:$E,$B43)</f>
        <v>0</v>
      </c>
      <c r="G43" s="184">
        <f>IFERROR(HLOOKUP($E$3,'Tahun Lalu'!$B$5:$V$158,MATCH(B43,'Tahun Lalu'!$B$5:$B$158,0),0),0)</f>
        <v>0</v>
      </c>
      <c r="H43" s="184">
        <v>0.0</v>
      </c>
      <c r="I43" s="184">
        <v>0.0</v>
      </c>
      <c r="J43" s="183">
        <f t="shared" si="3"/>
        <v>0</v>
      </c>
      <c r="K43" s="183">
        <f t="shared" si="4"/>
        <v>0</v>
      </c>
      <c r="L43" s="183">
        <f t="shared" si="5"/>
        <v>0</v>
      </c>
      <c r="M43" s="183">
        <f t="shared" si="6"/>
        <v>0</v>
      </c>
      <c r="N43" s="183">
        <f t="shared" si="43"/>
        <v>0</v>
      </c>
      <c r="O43" s="183">
        <f t="shared" ref="O43:Q43" si="51">G43+W43</f>
        <v>0</v>
      </c>
      <c r="P43" s="183">
        <f t="shared" si="51"/>
        <v>0</v>
      </c>
      <c r="Q43" s="183">
        <f t="shared" si="51"/>
        <v>0</v>
      </c>
      <c r="R43" s="183">
        <f t="shared" si="9"/>
        <v>0</v>
      </c>
      <c r="S43" s="183">
        <f t="shared" si="10"/>
        <v>0</v>
      </c>
      <c r="T43" s="183">
        <f t="shared" si="11"/>
        <v>0</v>
      </c>
      <c r="U43" s="186"/>
      <c r="V43" s="183">
        <f>IFERROR(__xludf.DUMMYFUNCTION("""COMPUTED_VALUE"""),0.0)</f>
        <v>0</v>
      </c>
      <c r="W43" s="183">
        <f>IFERROR(__xludf.DUMMYFUNCTION("""COMPUTED_VALUE"""),0.0)</f>
        <v>0</v>
      </c>
      <c r="X43" s="183">
        <f>IFERROR(__xludf.DUMMYFUNCTION("""COMPUTED_VALUE"""),0.0)</f>
        <v>0</v>
      </c>
      <c r="Y43" s="183">
        <f>IFERROR(__xludf.DUMMYFUNCTION("""COMPUTED_VALUE"""),0.0)</f>
        <v>0</v>
      </c>
      <c r="Z43" s="183">
        <f t="shared" si="12"/>
        <v>0</v>
      </c>
      <c r="AA43" s="183">
        <f t="shared" si="13"/>
        <v>0</v>
      </c>
      <c r="AB43" s="183">
        <f t="shared" si="14"/>
        <v>0</v>
      </c>
    </row>
    <row r="44" ht="14.25" customHeight="1">
      <c r="A44" s="175"/>
      <c r="B44" s="198"/>
      <c r="C44" s="177"/>
      <c r="D44" s="179"/>
      <c r="E44" s="183">
        <f>SUMIFS('DB WBS'!$J:$J,'DB WBS'!$A:$A,$D$4,'DB WBS'!$D:$D,AA$1,'DB WBS'!$B:$B,$E$3,'DB WBS'!$E:$E,$B44)</f>
        <v>0</v>
      </c>
      <c r="F44" s="183">
        <f>SUMIFS('DB WBS'!$J:$J,'DB WBS'!$A:$A,$D$4,'DB WBS'!$D:$D,AA$2,'DB WBS'!$B:$B,$E$3,'DB WBS'!$E:$E,$B44)</f>
        <v>0</v>
      </c>
      <c r="G44" s="184">
        <f>IFERROR(HLOOKUP($E$3,'Tahun Lalu'!$B$5:$V$158,MATCH(B44,'Tahun Lalu'!$B$5:$B$158,0),0),0)</f>
        <v>0</v>
      </c>
      <c r="H44" s="184">
        <v>0.0</v>
      </c>
      <c r="I44" s="184">
        <v>0.0</v>
      </c>
      <c r="J44" s="183">
        <f t="shared" si="3"/>
        <v>0</v>
      </c>
      <c r="K44" s="183">
        <f t="shared" si="4"/>
        <v>0</v>
      </c>
      <c r="L44" s="183">
        <f t="shared" si="5"/>
        <v>0</v>
      </c>
      <c r="M44" s="183">
        <f t="shared" si="6"/>
        <v>0</v>
      </c>
      <c r="N44" s="183">
        <f t="shared" si="43"/>
        <v>0</v>
      </c>
      <c r="O44" s="183">
        <f t="shared" ref="O44:Q44" si="52">G44+W44</f>
        <v>0</v>
      </c>
      <c r="P44" s="183">
        <f t="shared" si="52"/>
        <v>0</v>
      </c>
      <c r="Q44" s="183">
        <f t="shared" si="52"/>
        <v>0</v>
      </c>
      <c r="R44" s="183">
        <f t="shared" si="9"/>
        <v>0</v>
      </c>
      <c r="S44" s="183">
        <f t="shared" si="10"/>
        <v>0</v>
      </c>
      <c r="T44" s="183">
        <f t="shared" si="11"/>
        <v>0</v>
      </c>
      <c r="U44" s="186"/>
      <c r="V44" s="183">
        <f>IFERROR(__xludf.DUMMYFUNCTION("""COMPUTED_VALUE"""),0.0)</f>
        <v>0</v>
      </c>
      <c r="W44" s="183">
        <f>IFERROR(__xludf.DUMMYFUNCTION("""COMPUTED_VALUE"""),0.0)</f>
        <v>0</v>
      </c>
      <c r="X44" s="183">
        <f>IFERROR(__xludf.DUMMYFUNCTION("""COMPUTED_VALUE"""),0.0)</f>
        <v>0</v>
      </c>
      <c r="Y44" s="183">
        <f>IFERROR(__xludf.DUMMYFUNCTION("""COMPUTED_VALUE"""),0.0)</f>
        <v>0</v>
      </c>
      <c r="Z44" s="183">
        <f t="shared" si="12"/>
        <v>0</v>
      </c>
      <c r="AA44" s="183">
        <f t="shared" si="13"/>
        <v>0</v>
      </c>
      <c r="AB44" s="183">
        <f t="shared" si="14"/>
        <v>0</v>
      </c>
    </row>
    <row r="45" ht="14.25" customHeight="1">
      <c r="A45" s="175"/>
      <c r="B45" s="191" t="s">
        <v>788</v>
      </c>
      <c r="C45" s="199"/>
      <c r="D45" s="200"/>
      <c r="E45" s="201">
        <f t="shared" ref="E45:I45" si="53">SUM(E35:E44)</f>
        <v>0</v>
      </c>
      <c r="F45" s="201">
        <f t="shared" si="53"/>
        <v>0</v>
      </c>
      <c r="G45" s="201">
        <f t="shared" si="53"/>
        <v>0</v>
      </c>
      <c r="H45" s="201">
        <f t="shared" si="53"/>
        <v>0</v>
      </c>
      <c r="I45" s="201">
        <f t="shared" si="53"/>
        <v>0</v>
      </c>
      <c r="J45" s="201">
        <f t="shared" si="3"/>
        <v>0</v>
      </c>
      <c r="K45" s="201">
        <f t="shared" si="4"/>
        <v>0</v>
      </c>
      <c r="L45" s="201">
        <f t="shared" si="5"/>
        <v>0</v>
      </c>
      <c r="M45" s="201">
        <f t="shared" si="6"/>
        <v>0</v>
      </c>
      <c r="N45" s="201">
        <f t="shared" ref="N45:Q45" si="54">SUM(N35:N44)</f>
        <v>0</v>
      </c>
      <c r="O45" s="201">
        <f t="shared" si="54"/>
        <v>0</v>
      </c>
      <c r="P45" s="201">
        <f t="shared" si="54"/>
        <v>0</v>
      </c>
      <c r="Q45" s="201">
        <f t="shared" si="54"/>
        <v>0</v>
      </c>
      <c r="R45" s="201">
        <f t="shared" si="9"/>
        <v>0</v>
      </c>
      <c r="S45" s="201">
        <f t="shared" si="10"/>
        <v>0</v>
      </c>
      <c r="T45" s="201">
        <f t="shared" si="11"/>
        <v>0</v>
      </c>
      <c r="U45" s="202"/>
      <c r="V45" s="201">
        <f>IFERROR(__xludf.DUMMYFUNCTION("""COMPUTED_VALUE"""),0.0)</f>
        <v>0</v>
      </c>
      <c r="W45" s="201">
        <f>IFERROR(__xludf.DUMMYFUNCTION("""COMPUTED_VALUE"""),0.0)</f>
        <v>0</v>
      </c>
      <c r="X45" s="201">
        <f>IFERROR(__xludf.DUMMYFUNCTION("""COMPUTED_VALUE"""),0.0)</f>
        <v>0</v>
      </c>
      <c r="Y45" s="201">
        <f>IFERROR(__xludf.DUMMYFUNCTION("""COMPUTED_VALUE"""),0.0)</f>
        <v>0</v>
      </c>
      <c r="Z45" s="201">
        <f t="shared" si="12"/>
        <v>0</v>
      </c>
      <c r="AA45" s="201">
        <f t="shared" si="13"/>
        <v>0</v>
      </c>
      <c r="AB45" s="201">
        <f t="shared" si="14"/>
        <v>0</v>
      </c>
    </row>
    <row r="46" ht="14.25" customHeight="1">
      <c r="A46" s="175"/>
      <c r="B46" s="196" t="s">
        <v>40</v>
      </c>
      <c r="C46" s="181"/>
      <c r="D46" s="197" t="s">
        <v>41</v>
      </c>
      <c r="E46" s="183">
        <f>SUMIFS('DB WBS'!$J:$J,'DB WBS'!$A:$A,$D$4,'DB WBS'!$D:$D,AA$1,'DB WBS'!$B:$B,$E$3,'DB WBS'!$E:$E,$B46)</f>
        <v>0</v>
      </c>
      <c r="F46" s="183">
        <f>SUMIFS('DB WBS'!$J:$J,'DB WBS'!$A:$A,$D$4,'DB WBS'!$D:$D,AA$2,'DB WBS'!$B:$B,$E$3,'DB WBS'!$E:$E,$B46)</f>
        <v>0</v>
      </c>
      <c r="G46" s="184">
        <f>IFERROR(HLOOKUP($E$3,'Tahun Lalu'!$B$5:$V$158,MATCH(B46,'Tahun Lalu'!$B$5:$B$158,0),0),0)</f>
        <v>0</v>
      </c>
      <c r="H46" s="184">
        <v>0.0</v>
      </c>
      <c r="I46" s="184">
        <v>0.0</v>
      </c>
      <c r="J46" s="183">
        <f t="shared" si="3"/>
        <v>0</v>
      </c>
      <c r="K46" s="183">
        <f t="shared" si="4"/>
        <v>0</v>
      </c>
      <c r="L46" s="183">
        <f t="shared" si="5"/>
        <v>0</v>
      </c>
      <c r="M46" s="183">
        <f t="shared" si="6"/>
        <v>0</v>
      </c>
      <c r="N46" s="183">
        <f t="shared" ref="N46:N57" si="56">E46+V46</f>
        <v>0</v>
      </c>
      <c r="O46" s="183">
        <f t="shared" ref="O46:Q46" si="55">G46+W46</f>
        <v>0</v>
      </c>
      <c r="P46" s="183">
        <f t="shared" si="55"/>
        <v>0</v>
      </c>
      <c r="Q46" s="183">
        <f t="shared" si="55"/>
        <v>0</v>
      </c>
      <c r="R46" s="183">
        <f t="shared" si="9"/>
        <v>0</v>
      </c>
      <c r="S46" s="183">
        <f t="shared" si="10"/>
        <v>0</v>
      </c>
      <c r="T46" s="183">
        <f t="shared" si="11"/>
        <v>0</v>
      </c>
      <c r="U46" s="186"/>
      <c r="V46" s="183">
        <f>IFERROR(__xludf.DUMMYFUNCTION("""COMPUTED_VALUE"""),0.0)</f>
        <v>0</v>
      </c>
      <c r="W46" s="183">
        <f>IFERROR(__xludf.DUMMYFUNCTION("""COMPUTED_VALUE"""),0.0)</f>
        <v>0</v>
      </c>
      <c r="X46" s="183">
        <f>IFERROR(__xludf.DUMMYFUNCTION("""COMPUTED_VALUE"""),0.0)</f>
        <v>0</v>
      </c>
      <c r="Y46" s="183">
        <f>IFERROR(__xludf.DUMMYFUNCTION("""COMPUTED_VALUE"""),0.0)</f>
        <v>0</v>
      </c>
      <c r="Z46" s="183">
        <f t="shared" si="12"/>
        <v>0</v>
      </c>
      <c r="AA46" s="183">
        <f t="shared" si="13"/>
        <v>0</v>
      </c>
      <c r="AB46" s="183">
        <f t="shared" si="14"/>
        <v>0</v>
      </c>
    </row>
    <row r="47" ht="14.25" customHeight="1">
      <c r="A47" s="175"/>
      <c r="B47" s="196" t="s">
        <v>789</v>
      </c>
      <c r="C47" s="181"/>
      <c r="D47" s="197" t="s">
        <v>790</v>
      </c>
      <c r="E47" s="183">
        <f>SUMIFS('DB WBS'!$J:$J,'DB WBS'!$A:$A,$D$4,'DB WBS'!$D:$D,AA$1,'DB WBS'!$B:$B,$E$3,'DB WBS'!$E:$E,$B47)</f>
        <v>0</v>
      </c>
      <c r="F47" s="183">
        <f>SUMIFS('DB WBS'!$J:$J,'DB WBS'!$A:$A,$D$4,'DB WBS'!$D:$D,AA$2,'DB WBS'!$B:$B,$E$3,'DB WBS'!$E:$E,$B47)</f>
        <v>0</v>
      </c>
      <c r="G47" s="184">
        <f>IFERROR(HLOOKUP($E$3,'Tahun Lalu'!$B$5:$V$158,MATCH(B47,'Tahun Lalu'!$B$5:$B$158,0),0),0)</f>
        <v>0</v>
      </c>
      <c r="H47" s="184">
        <v>0.0</v>
      </c>
      <c r="I47" s="184">
        <v>0.0</v>
      </c>
      <c r="J47" s="183">
        <f t="shared" si="3"/>
        <v>0</v>
      </c>
      <c r="K47" s="183">
        <f t="shared" si="4"/>
        <v>0</v>
      </c>
      <c r="L47" s="183">
        <f t="shared" si="5"/>
        <v>0</v>
      </c>
      <c r="M47" s="183">
        <f t="shared" si="6"/>
        <v>0</v>
      </c>
      <c r="N47" s="183">
        <f t="shared" si="56"/>
        <v>0</v>
      </c>
      <c r="O47" s="183">
        <f t="shared" ref="O47:Q47" si="57">G47+W47</f>
        <v>0</v>
      </c>
      <c r="P47" s="183">
        <f t="shared" si="57"/>
        <v>0</v>
      </c>
      <c r="Q47" s="183">
        <f t="shared" si="57"/>
        <v>0</v>
      </c>
      <c r="R47" s="183">
        <f t="shared" si="9"/>
        <v>0</v>
      </c>
      <c r="S47" s="183">
        <f t="shared" si="10"/>
        <v>0</v>
      </c>
      <c r="T47" s="183">
        <f t="shared" si="11"/>
        <v>0</v>
      </c>
      <c r="U47" s="186"/>
      <c r="V47" s="183">
        <f>IFERROR(__xludf.DUMMYFUNCTION("""COMPUTED_VALUE"""),0.0)</f>
        <v>0</v>
      </c>
      <c r="W47" s="183">
        <f>IFERROR(__xludf.DUMMYFUNCTION("""COMPUTED_VALUE"""),0.0)</f>
        <v>0</v>
      </c>
      <c r="X47" s="183">
        <f>IFERROR(__xludf.DUMMYFUNCTION("""COMPUTED_VALUE"""),0.0)</f>
        <v>0</v>
      </c>
      <c r="Y47" s="183">
        <f>IFERROR(__xludf.DUMMYFUNCTION("""COMPUTED_VALUE"""),0.0)</f>
        <v>0</v>
      </c>
      <c r="Z47" s="183">
        <f t="shared" si="12"/>
        <v>0</v>
      </c>
      <c r="AA47" s="183">
        <f t="shared" si="13"/>
        <v>0</v>
      </c>
      <c r="AB47" s="183">
        <f t="shared" si="14"/>
        <v>0</v>
      </c>
    </row>
    <row r="48" ht="14.25" customHeight="1">
      <c r="A48" s="175"/>
      <c r="B48" s="196" t="s">
        <v>791</v>
      </c>
      <c r="C48" s="181"/>
      <c r="D48" s="197" t="s">
        <v>792</v>
      </c>
      <c r="E48" s="183">
        <f>SUMIFS('DB WBS'!$J:$J,'DB WBS'!$A:$A,$D$4,'DB WBS'!$D:$D,AA$1,'DB WBS'!$B:$B,$E$3,'DB WBS'!$E:$E,$B48)</f>
        <v>0</v>
      </c>
      <c r="F48" s="183">
        <f>SUMIFS('DB WBS'!$J:$J,'DB WBS'!$A:$A,$D$4,'DB WBS'!$D:$D,AA$2,'DB WBS'!$B:$B,$E$3,'DB WBS'!$E:$E,$B48)</f>
        <v>0</v>
      </c>
      <c r="G48" s="184">
        <f>IFERROR(HLOOKUP($E$3,'Tahun Lalu'!$B$5:$V$158,MATCH(B48,'Tahun Lalu'!$B$5:$B$158,0),0),0)</f>
        <v>0</v>
      </c>
      <c r="H48" s="184">
        <v>0.0</v>
      </c>
      <c r="I48" s="184">
        <v>0.0</v>
      </c>
      <c r="J48" s="183">
        <f t="shared" si="3"/>
        <v>0</v>
      </c>
      <c r="K48" s="183">
        <f t="shared" si="4"/>
        <v>0</v>
      </c>
      <c r="L48" s="183">
        <f t="shared" si="5"/>
        <v>0</v>
      </c>
      <c r="M48" s="183">
        <f t="shared" si="6"/>
        <v>0</v>
      </c>
      <c r="N48" s="183">
        <f t="shared" si="56"/>
        <v>0</v>
      </c>
      <c r="O48" s="183">
        <f t="shared" ref="O48:Q48" si="58">G48+W48</f>
        <v>0</v>
      </c>
      <c r="P48" s="183">
        <f t="shared" si="58"/>
        <v>0</v>
      </c>
      <c r="Q48" s="183">
        <f t="shared" si="58"/>
        <v>0</v>
      </c>
      <c r="R48" s="183">
        <f t="shared" si="9"/>
        <v>0</v>
      </c>
      <c r="S48" s="183">
        <f t="shared" si="10"/>
        <v>0</v>
      </c>
      <c r="T48" s="183">
        <f t="shared" si="11"/>
        <v>0</v>
      </c>
      <c r="U48" s="186"/>
      <c r="V48" s="183">
        <f>IFERROR(__xludf.DUMMYFUNCTION("""COMPUTED_VALUE"""),0.0)</f>
        <v>0</v>
      </c>
      <c r="W48" s="183">
        <f>IFERROR(__xludf.DUMMYFUNCTION("""COMPUTED_VALUE"""),0.0)</f>
        <v>0</v>
      </c>
      <c r="X48" s="183">
        <f>IFERROR(__xludf.DUMMYFUNCTION("""COMPUTED_VALUE"""),0.0)</f>
        <v>0</v>
      </c>
      <c r="Y48" s="183">
        <f>IFERROR(__xludf.DUMMYFUNCTION("""COMPUTED_VALUE"""),0.0)</f>
        <v>0</v>
      </c>
      <c r="Z48" s="183">
        <f t="shared" si="12"/>
        <v>0</v>
      </c>
      <c r="AA48" s="183">
        <f t="shared" si="13"/>
        <v>0</v>
      </c>
      <c r="AB48" s="183">
        <f t="shared" si="14"/>
        <v>0</v>
      </c>
    </row>
    <row r="49" ht="14.25" customHeight="1">
      <c r="A49" s="175"/>
      <c r="B49" s="196" t="s">
        <v>793</v>
      </c>
      <c r="C49" s="181"/>
      <c r="D49" s="197" t="s">
        <v>794</v>
      </c>
      <c r="E49" s="183">
        <f>SUMIFS('DB WBS'!$J:$J,'DB WBS'!$A:$A,$D$4,'DB WBS'!$D:$D,AA$1,'DB WBS'!$B:$B,$E$3,'DB WBS'!$E:$E,$B49)</f>
        <v>0</v>
      </c>
      <c r="F49" s="183">
        <f>SUMIFS('DB WBS'!$J:$J,'DB WBS'!$A:$A,$D$4,'DB WBS'!$D:$D,AA$2,'DB WBS'!$B:$B,$E$3,'DB WBS'!$E:$E,$B49)</f>
        <v>0</v>
      </c>
      <c r="G49" s="184">
        <f>IFERROR(HLOOKUP($E$3,'Tahun Lalu'!$B$5:$V$158,MATCH(B49,'Tahun Lalu'!$B$5:$B$158,0),0),0)</f>
        <v>0</v>
      </c>
      <c r="H49" s="184">
        <v>0.0</v>
      </c>
      <c r="I49" s="184">
        <v>0.0</v>
      </c>
      <c r="J49" s="183">
        <f t="shared" si="3"/>
        <v>0</v>
      </c>
      <c r="K49" s="183">
        <f t="shared" si="4"/>
        <v>0</v>
      </c>
      <c r="L49" s="183">
        <f t="shared" si="5"/>
        <v>0</v>
      </c>
      <c r="M49" s="183">
        <f t="shared" si="6"/>
        <v>0</v>
      </c>
      <c r="N49" s="183">
        <f t="shared" si="56"/>
        <v>0</v>
      </c>
      <c r="O49" s="183">
        <f t="shared" ref="O49:Q49" si="59">G49+W49</f>
        <v>0</v>
      </c>
      <c r="P49" s="183">
        <f t="shared" si="59"/>
        <v>0</v>
      </c>
      <c r="Q49" s="183">
        <f t="shared" si="59"/>
        <v>0</v>
      </c>
      <c r="R49" s="183">
        <f t="shared" si="9"/>
        <v>0</v>
      </c>
      <c r="S49" s="183">
        <f t="shared" si="10"/>
        <v>0</v>
      </c>
      <c r="T49" s="183">
        <f t="shared" si="11"/>
        <v>0</v>
      </c>
      <c r="U49" s="186"/>
      <c r="V49" s="183">
        <f>IFERROR(__xludf.DUMMYFUNCTION("""COMPUTED_VALUE"""),0.0)</f>
        <v>0</v>
      </c>
      <c r="W49" s="183">
        <f>IFERROR(__xludf.DUMMYFUNCTION("""COMPUTED_VALUE"""),0.0)</f>
        <v>0</v>
      </c>
      <c r="X49" s="183">
        <f>IFERROR(__xludf.DUMMYFUNCTION("""COMPUTED_VALUE"""),0.0)</f>
        <v>0</v>
      </c>
      <c r="Y49" s="183">
        <f>IFERROR(__xludf.DUMMYFUNCTION("""COMPUTED_VALUE"""),0.0)</f>
        <v>0</v>
      </c>
      <c r="Z49" s="183">
        <f t="shared" si="12"/>
        <v>0</v>
      </c>
      <c r="AA49" s="183">
        <f t="shared" si="13"/>
        <v>0</v>
      </c>
      <c r="AB49" s="183">
        <f t="shared" si="14"/>
        <v>0</v>
      </c>
    </row>
    <row r="50" ht="14.25" customHeight="1">
      <c r="A50" s="175"/>
      <c r="B50" s="196" t="s">
        <v>795</v>
      </c>
      <c r="C50" s="181"/>
      <c r="D50" s="197" t="s">
        <v>796</v>
      </c>
      <c r="E50" s="183">
        <f>SUMIFS('DB WBS'!$J:$J,'DB WBS'!$A:$A,$D$4,'DB WBS'!$D:$D,AA$1,'DB WBS'!$B:$B,$E$3,'DB WBS'!$E:$E,$B50)</f>
        <v>0</v>
      </c>
      <c r="F50" s="183">
        <f>SUMIFS('DB WBS'!$J:$J,'DB WBS'!$A:$A,$D$4,'DB WBS'!$D:$D,AA$2,'DB WBS'!$B:$B,$E$3,'DB WBS'!$E:$E,$B50)</f>
        <v>0</v>
      </c>
      <c r="G50" s="184">
        <f>IFERROR(HLOOKUP($E$3,'Tahun Lalu'!$B$5:$V$158,MATCH(B50,'Tahun Lalu'!$B$5:$B$158,0),0),0)</f>
        <v>0</v>
      </c>
      <c r="H50" s="184">
        <v>0.0</v>
      </c>
      <c r="I50" s="184">
        <v>0.0</v>
      </c>
      <c r="J50" s="183">
        <f t="shared" si="3"/>
        <v>0</v>
      </c>
      <c r="K50" s="183">
        <f t="shared" si="4"/>
        <v>0</v>
      </c>
      <c r="L50" s="183">
        <f t="shared" si="5"/>
        <v>0</v>
      </c>
      <c r="M50" s="183">
        <f t="shared" si="6"/>
        <v>0</v>
      </c>
      <c r="N50" s="183">
        <f t="shared" si="56"/>
        <v>0</v>
      </c>
      <c r="O50" s="183">
        <f t="shared" ref="O50:Q50" si="60">G50+W50</f>
        <v>0</v>
      </c>
      <c r="P50" s="183">
        <f t="shared" si="60"/>
        <v>0</v>
      </c>
      <c r="Q50" s="183">
        <f t="shared" si="60"/>
        <v>0</v>
      </c>
      <c r="R50" s="183">
        <f t="shared" si="9"/>
        <v>0</v>
      </c>
      <c r="S50" s="183">
        <f t="shared" si="10"/>
        <v>0</v>
      </c>
      <c r="T50" s="183">
        <f t="shared" si="11"/>
        <v>0</v>
      </c>
      <c r="U50" s="186"/>
      <c r="V50" s="183">
        <f>IFERROR(__xludf.DUMMYFUNCTION("""COMPUTED_VALUE"""),0.0)</f>
        <v>0</v>
      </c>
      <c r="W50" s="183">
        <f>IFERROR(__xludf.DUMMYFUNCTION("""COMPUTED_VALUE"""),0.0)</f>
        <v>0</v>
      </c>
      <c r="X50" s="183">
        <f>IFERROR(__xludf.DUMMYFUNCTION("""COMPUTED_VALUE"""),0.0)</f>
        <v>0</v>
      </c>
      <c r="Y50" s="183">
        <f>IFERROR(__xludf.DUMMYFUNCTION("""COMPUTED_VALUE"""),0.0)</f>
        <v>0</v>
      </c>
      <c r="Z50" s="183">
        <f t="shared" si="12"/>
        <v>0</v>
      </c>
      <c r="AA50" s="183">
        <f t="shared" si="13"/>
        <v>0</v>
      </c>
      <c r="AB50" s="183">
        <f t="shared" si="14"/>
        <v>0</v>
      </c>
    </row>
    <row r="51" ht="14.25" customHeight="1">
      <c r="A51" s="175"/>
      <c r="B51" s="196" t="s">
        <v>797</v>
      </c>
      <c r="C51" s="181"/>
      <c r="D51" s="197" t="s">
        <v>798</v>
      </c>
      <c r="E51" s="183">
        <f>SUMIFS('DB WBS'!$J:$J,'DB WBS'!$A:$A,$D$4,'DB WBS'!$D:$D,AA$1,'DB WBS'!$B:$B,$E$3,'DB WBS'!$E:$E,$B51)</f>
        <v>0</v>
      </c>
      <c r="F51" s="183">
        <f>SUMIFS('DB WBS'!$J:$J,'DB WBS'!$A:$A,$D$4,'DB WBS'!$D:$D,AA$2,'DB WBS'!$B:$B,$E$3,'DB WBS'!$E:$E,$B51)</f>
        <v>0</v>
      </c>
      <c r="G51" s="184">
        <f>IFERROR(HLOOKUP($E$3,'Tahun Lalu'!$B$5:$V$158,MATCH(B51,'Tahun Lalu'!$B$5:$B$158,0),0),0)</f>
        <v>0</v>
      </c>
      <c r="H51" s="184">
        <v>0.0</v>
      </c>
      <c r="I51" s="184">
        <v>0.0</v>
      </c>
      <c r="J51" s="183">
        <f t="shared" si="3"/>
        <v>0</v>
      </c>
      <c r="K51" s="183">
        <f t="shared" si="4"/>
        <v>0</v>
      </c>
      <c r="L51" s="183">
        <f t="shared" si="5"/>
        <v>0</v>
      </c>
      <c r="M51" s="183">
        <f t="shared" si="6"/>
        <v>0</v>
      </c>
      <c r="N51" s="183">
        <f t="shared" si="56"/>
        <v>0</v>
      </c>
      <c r="O51" s="183">
        <f t="shared" ref="O51:Q51" si="61">G51+W51</f>
        <v>0</v>
      </c>
      <c r="P51" s="183">
        <f t="shared" si="61"/>
        <v>0</v>
      </c>
      <c r="Q51" s="183">
        <f t="shared" si="61"/>
        <v>0</v>
      </c>
      <c r="R51" s="183">
        <f t="shared" si="9"/>
        <v>0</v>
      </c>
      <c r="S51" s="183">
        <f t="shared" si="10"/>
        <v>0</v>
      </c>
      <c r="T51" s="183">
        <f t="shared" si="11"/>
        <v>0</v>
      </c>
      <c r="U51" s="186"/>
      <c r="V51" s="183">
        <f>IFERROR(__xludf.DUMMYFUNCTION("""COMPUTED_VALUE"""),0.0)</f>
        <v>0</v>
      </c>
      <c r="W51" s="183">
        <f>IFERROR(__xludf.DUMMYFUNCTION("""COMPUTED_VALUE"""),0.0)</f>
        <v>0</v>
      </c>
      <c r="X51" s="183">
        <f>IFERROR(__xludf.DUMMYFUNCTION("""COMPUTED_VALUE"""),0.0)</f>
        <v>0</v>
      </c>
      <c r="Y51" s="183">
        <f>IFERROR(__xludf.DUMMYFUNCTION("""COMPUTED_VALUE"""),0.0)</f>
        <v>0</v>
      </c>
      <c r="Z51" s="183">
        <f t="shared" si="12"/>
        <v>0</v>
      </c>
      <c r="AA51" s="183">
        <f t="shared" si="13"/>
        <v>0</v>
      </c>
      <c r="AB51" s="183">
        <f t="shared" si="14"/>
        <v>0</v>
      </c>
    </row>
    <row r="52" ht="14.25" customHeight="1">
      <c r="A52" s="175"/>
      <c r="B52" s="196" t="s">
        <v>799</v>
      </c>
      <c r="C52" s="181"/>
      <c r="D52" s="197" t="s">
        <v>800</v>
      </c>
      <c r="E52" s="183">
        <f>SUMIFS('DB WBS'!$J:$J,'DB WBS'!$A:$A,$D$4,'DB WBS'!$D:$D,AA$1,'DB WBS'!$B:$B,$E$3,'DB WBS'!$E:$E,$B52)</f>
        <v>0</v>
      </c>
      <c r="F52" s="183">
        <f>SUMIFS('DB WBS'!$J:$J,'DB WBS'!$A:$A,$D$4,'DB WBS'!$D:$D,AA$2,'DB WBS'!$B:$B,$E$3,'DB WBS'!$E:$E,$B52)</f>
        <v>0</v>
      </c>
      <c r="G52" s="184">
        <f>IFERROR(HLOOKUP($E$3,'Tahun Lalu'!$B$5:$V$158,MATCH(B52,'Tahun Lalu'!$B$5:$B$158,0),0),0)</f>
        <v>0</v>
      </c>
      <c r="H52" s="184">
        <v>0.0</v>
      </c>
      <c r="I52" s="184">
        <v>0.0</v>
      </c>
      <c r="J52" s="183">
        <f t="shared" si="3"/>
        <v>0</v>
      </c>
      <c r="K52" s="183">
        <f t="shared" si="4"/>
        <v>0</v>
      </c>
      <c r="L52" s="183">
        <f t="shared" si="5"/>
        <v>0</v>
      </c>
      <c r="M52" s="183">
        <f t="shared" si="6"/>
        <v>0</v>
      </c>
      <c r="N52" s="183">
        <f t="shared" si="56"/>
        <v>0</v>
      </c>
      <c r="O52" s="183">
        <f t="shared" ref="O52:Q52" si="62">G52+W52</f>
        <v>0</v>
      </c>
      <c r="P52" s="183">
        <f t="shared" si="62"/>
        <v>0</v>
      </c>
      <c r="Q52" s="183">
        <f t="shared" si="62"/>
        <v>0</v>
      </c>
      <c r="R52" s="183">
        <f t="shared" si="9"/>
        <v>0</v>
      </c>
      <c r="S52" s="183">
        <f t="shared" si="10"/>
        <v>0</v>
      </c>
      <c r="T52" s="183">
        <f t="shared" si="11"/>
        <v>0</v>
      </c>
      <c r="U52" s="186"/>
      <c r="V52" s="183">
        <f>IFERROR(__xludf.DUMMYFUNCTION("""COMPUTED_VALUE"""),0.0)</f>
        <v>0</v>
      </c>
      <c r="W52" s="183">
        <f>IFERROR(__xludf.DUMMYFUNCTION("""COMPUTED_VALUE"""),0.0)</f>
        <v>0</v>
      </c>
      <c r="X52" s="183">
        <f>IFERROR(__xludf.DUMMYFUNCTION("""COMPUTED_VALUE"""),0.0)</f>
        <v>0</v>
      </c>
      <c r="Y52" s="183">
        <f>IFERROR(__xludf.DUMMYFUNCTION("""COMPUTED_VALUE"""),0.0)</f>
        <v>0</v>
      </c>
      <c r="Z52" s="183">
        <f t="shared" si="12"/>
        <v>0</v>
      </c>
      <c r="AA52" s="183">
        <f t="shared" si="13"/>
        <v>0</v>
      </c>
      <c r="AB52" s="183">
        <f t="shared" si="14"/>
        <v>0</v>
      </c>
    </row>
    <row r="53" ht="14.25" customHeight="1">
      <c r="A53" s="175"/>
      <c r="B53" s="196" t="s">
        <v>801</v>
      </c>
      <c r="C53" s="181"/>
      <c r="D53" s="197" t="s">
        <v>802</v>
      </c>
      <c r="E53" s="183">
        <f>SUMIFS('DB WBS'!$J:$J,'DB WBS'!$A:$A,$D$4,'DB WBS'!$D:$D,AA$1,'DB WBS'!$B:$B,$E$3,'DB WBS'!$E:$E,$B53)</f>
        <v>0</v>
      </c>
      <c r="F53" s="183">
        <f>SUMIFS('DB WBS'!$J:$J,'DB WBS'!$A:$A,$D$4,'DB WBS'!$D:$D,AA$2,'DB WBS'!$B:$B,$E$3,'DB WBS'!$E:$E,$B53)</f>
        <v>0</v>
      </c>
      <c r="G53" s="184">
        <f>IFERROR(HLOOKUP($E$3,'Tahun Lalu'!$B$5:$V$158,MATCH(B53,'Tahun Lalu'!$B$5:$B$158,0),0),0)</f>
        <v>0</v>
      </c>
      <c r="H53" s="184">
        <v>0.0</v>
      </c>
      <c r="I53" s="184">
        <v>0.0</v>
      </c>
      <c r="J53" s="183">
        <f t="shared" si="3"/>
        <v>0</v>
      </c>
      <c r="K53" s="183">
        <f t="shared" si="4"/>
        <v>0</v>
      </c>
      <c r="L53" s="183">
        <f t="shared" si="5"/>
        <v>0</v>
      </c>
      <c r="M53" s="183">
        <f t="shared" si="6"/>
        <v>0</v>
      </c>
      <c r="N53" s="183">
        <f t="shared" si="56"/>
        <v>0</v>
      </c>
      <c r="O53" s="183">
        <f t="shared" ref="O53:Q53" si="63">G53+W53</f>
        <v>0</v>
      </c>
      <c r="P53" s="183">
        <f t="shared" si="63"/>
        <v>0</v>
      </c>
      <c r="Q53" s="183">
        <f t="shared" si="63"/>
        <v>0</v>
      </c>
      <c r="R53" s="183">
        <f t="shared" si="9"/>
        <v>0</v>
      </c>
      <c r="S53" s="183">
        <f t="shared" si="10"/>
        <v>0</v>
      </c>
      <c r="T53" s="183">
        <f t="shared" si="11"/>
        <v>0</v>
      </c>
      <c r="U53" s="186"/>
      <c r="V53" s="183">
        <f>IFERROR(__xludf.DUMMYFUNCTION("""COMPUTED_VALUE"""),0.0)</f>
        <v>0</v>
      </c>
      <c r="W53" s="183">
        <f>IFERROR(__xludf.DUMMYFUNCTION("""COMPUTED_VALUE"""),0.0)</f>
        <v>0</v>
      </c>
      <c r="X53" s="183">
        <f>IFERROR(__xludf.DUMMYFUNCTION("""COMPUTED_VALUE"""),0.0)</f>
        <v>0</v>
      </c>
      <c r="Y53" s="183">
        <f>IFERROR(__xludf.DUMMYFUNCTION("""COMPUTED_VALUE"""),0.0)</f>
        <v>0</v>
      </c>
      <c r="Z53" s="183">
        <f t="shared" si="12"/>
        <v>0</v>
      </c>
      <c r="AA53" s="183">
        <f t="shared" si="13"/>
        <v>0</v>
      </c>
      <c r="AB53" s="183">
        <f t="shared" si="14"/>
        <v>0</v>
      </c>
    </row>
    <row r="54" ht="14.25" customHeight="1">
      <c r="A54" s="175"/>
      <c r="B54" s="196" t="s">
        <v>803</v>
      </c>
      <c r="C54" s="181"/>
      <c r="D54" s="197" t="s">
        <v>804</v>
      </c>
      <c r="E54" s="183">
        <f>SUMIFS('DB WBS'!$J:$J,'DB WBS'!$A:$A,$D$4,'DB WBS'!$D:$D,AA$1,'DB WBS'!$B:$B,$E$3,'DB WBS'!$E:$E,$B54)</f>
        <v>0</v>
      </c>
      <c r="F54" s="183">
        <f>SUMIFS('DB WBS'!$J:$J,'DB WBS'!$A:$A,$D$4,'DB WBS'!$D:$D,AA$2,'DB WBS'!$B:$B,$E$3,'DB WBS'!$E:$E,$B54)</f>
        <v>0</v>
      </c>
      <c r="G54" s="184">
        <f>IFERROR(HLOOKUP($E$3,'Tahun Lalu'!$B$5:$V$158,MATCH(B54,'Tahun Lalu'!$B$5:$B$158,0),0),0)</f>
        <v>0</v>
      </c>
      <c r="H54" s="184">
        <v>0.0</v>
      </c>
      <c r="I54" s="184">
        <v>0.0</v>
      </c>
      <c r="J54" s="183">
        <f t="shared" si="3"/>
        <v>0</v>
      </c>
      <c r="K54" s="183">
        <f t="shared" si="4"/>
        <v>0</v>
      </c>
      <c r="L54" s="183">
        <f t="shared" si="5"/>
        <v>0</v>
      </c>
      <c r="M54" s="183">
        <f t="shared" si="6"/>
        <v>0</v>
      </c>
      <c r="N54" s="183">
        <f t="shared" si="56"/>
        <v>0</v>
      </c>
      <c r="O54" s="183">
        <f t="shared" ref="O54:Q54" si="64">G54+W54</f>
        <v>0</v>
      </c>
      <c r="P54" s="183">
        <f t="shared" si="64"/>
        <v>0</v>
      </c>
      <c r="Q54" s="183">
        <f t="shared" si="64"/>
        <v>0</v>
      </c>
      <c r="R54" s="183">
        <f t="shared" si="9"/>
        <v>0</v>
      </c>
      <c r="S54" s="183">
        <f t="shared" si="10"/>
        <v>0</v>
      </c>
      <c r="T54" s="183">
        <f t="shared" si="11"/>
        <v>0</v>
      </c>
      <c r="U54" s="186"/>
      <c r="V54" s="183">
        <f>IFERROR(__xludf.DUMMYFUNCTION("""COMPUTED_VALUE"""),0.0)</f>
        <v>0</v>
      </c>
      <c r="W54" s="183">
        <f>IFERROR(__xludf.DUMMYFUNCTION("""COMPUTED_VALUE"""),0.0)</f>
        <v>0</v>
      </c>
      <c r="X54" s="183">
        <f>IFERROR(__xludf.DUMMYFUNCTION("""COMPUTED_VALUE"""),0.0)</f>
        <v>0</v>
      </c>
      <c r="Y54" s="183">
        <f>IFERROR(__xludf.DUMMYFUNCTION("""COMPUTED_VALUE"""),0.0)</f>
        <v>0</v>
      </c>
      <c r="Z54" s="183">
        <f t="shared" si="12"/>
        <v>0</v>
      </c>
      <c r="AA54" s="183">
        <f t="shared" si="13"/>
        <v>0</v>
      </c>
      <c r="AB54" s="183">
        <f t="shared" si="14"/>
        <v>0</v>
      </c>
    </row>
    <row r="55" ht="14.25" customHeight="1">
      <c r="A55" s="175"/>
      <c r="B55" s="196" t="s">
        <v>805</v>
      </c>
      <c r="C55" s="181"/>
      <c r="D55" s="197" t="s">
        <v>806</v>
      </c>
      <c r="E55" s="183">
        <f>SUMIFS('DB WBS'!$J:$J,'DB WBS'!$A:$A,$D$4,'DB WBS'!$D:$D,AA$1,'DB WBS'!$B:$B,$E$3,'DB WBS'!$E:$E,$B55)</f>
        <v>0</v>
      </c>
      <c r="F55" s="183">
        <f>SUMIFS('DB WBS'!$J:$J,'DB WBS'!$A:$A,$D$4,'DB WBS'!$D:$D,AA$2,'DB WBS'!$B:$B,$E$3,'DB WBS'!$E:$E,$B55)</f>
        <v>0</v>
      </c>
      <c r="G55" s="184">
        <f>IFERROR(HLOOKUP($E$3,'Tahun Lalu'!$B$5:$V$158,MATCH(B55,'Tahun Lalu'!$B$5:$B$158,0),0),0)</f>
        <v>0</v>
      </c>
      <c r="H55" s="184">
        <v>0.0</v>
      </c>
      <c r="I55" s="184">
        <v>0.0</v>
      </c>
      <c r="J55" s="183">
        <f t="shared" si="3"/>
        <v>0</v>
      </c>
      <c r="K55" s="183">
        <f t="shared" si="4"/>
        <v>0</v>
      </c>
      <c r="L55" s="183">
        <f t="shared" si="5"/>
        <v>0</v>
      </c>
      <c r="M55" s="183">
        <f t="shared" si="6"/>
        <v>0</v>
      </c>
      <c r="N55" s="183">
        <f t="shared" si="56"/>
        <v>0</v>
      </c>
      <c r="O55" s="183">
        <f t="shared" ref="O55:Q55" si="65">G55+W55</f>
        <v>0</v>
      </c>
      <c r="P55" s="183">
        <f t="shared" si="65"/>
        <v>0</v>
      </c>
      <c r="Q55" s="183">
        <f t="shared" si="65"/>
        <v>0</v>
      </c>
      <c r="R55" s="183">
        <f t="shared" si="9"/>
        <v>0</v>
      </c>
      <c r="S55" s="183">
        <f t="shared" si="10"/>
        <v>0</v>
      </c>
      <c r="T55" s="183">
        <f t="shared" si="11"/>
        <v>0</v>
      </c>
      <c r="U55" s="186"/>
      <c r="V55" s="183">
        <f>IFERROR(__xludf.DUMMYFUNCTION("""COMPUTED_VALUE"""),0.0)</f>
        <v>0</v>
      </c>
      <c r="W55" s="183">
        <f>IFERROR(__xludf.DUMMYFUNCTION("""COMPUTED_VALUE"""),0.0)</f>
        <v>0</v>
      </c>
      <c r="X55" s="183">
        <f>IFERROR(__xludf.DUMMYFUNCTION("""COMPUTED_VALUE"""),0.0)</f>
        <v>0</v>
      </c>
      <c r="Y55" s="183">
        <f>IFERROR(__xludf.DUMMYFUNCTION("""COMPUTED_VALUE"""),0.0)</f>
        <v>0</v>
      </c>
      <c r="Z55" s="183">
        <f t="shared" si="12"/>
        <v>0</v>
      </c>
      <c r="AA55" s="183">
        <f t="shared" si="13"/>
        <v>0</v>
      </c>
      <c r="AB55" s="183">
        <f t="shared" si="14"/>
        <v>0</v>
      </c>
    </row>
    <row r="56" ht="14.25" customHeight="1">
      <c r="A56" s="175"/>
      <c r="B56" s="196" t="s">
        <v>807</v>
      </c>
      <c r="C56" s="181"/>
      <c r="D56" s="197" t="s">
        <v>808</v>
      </c>
      <c r="E56" s="183">
        <f>SUMIFS('DB WBS'!$J:$J,'DB WBS'!$A:$A,$D$4,'DB WBS'!$D:$D,AA$1,'DB WBS'!$B:$B,$E$3,'DB WBS'!$E:$E,$B56)</f>
        <v>0</v>
      </c>
      <c r="F56" s="183">
        <f>SUMIFS('DB WBS'!$J:$J,'DB WBS'!$A:$A,$D$4,'DB WBS'!$D:$D,AA$2,'DB WBS'!$B:$B,$E$3,'DB WBS'!$E:$E,$B56)</f>
        <v>0</v>
      </c>
      <c r="G56" s="184">
        <f>IFERROR(HLOOKUP($E$3,'Tahun Lalu'!$B$5:$V$158,MATCH(B56,'Tahun Lalu'!$B$5:$B$158,0),0),0)</f>
        <v>0</v>
      </c>
      <c r="H56" s="184">
        <v>0.0</v>
      </c>
      <c r="I56" s="184">
        <v>0.0</v>
      </c>
      <c r="J56" s="183">
        <f t="shared" si="3"/>
        <v>0</v>
      </c>
      <c r="K56" s="183">
        <f t="shared" si="4"/>
        <v>0</v>
      </c>
      <c r="L56" s="183">
        <f t="shared" si="5"/>
        <v>0</v>
      </c>
      <c r="M56" s="183">
        <f t="shared" si="6"/>
        <v>0</v>
      </c>
      <c r="N56" s="183">
        <f t="shared" si="56"/>
        <v>0</v>
      </c>
      <c r="O56" s="183">
        <f t="shared" ref="O56:Q56" si="66">G56+W56</f>
        <v>0</v>
      </c>
      <c r="P56" s="183">
        <f t="shared" si="66"/>
        <v>0</v>
      </c>
      <c r="Q56" s="183">
        <f t="shared" si="66"/>
        <v>0</v>
      </c>
      <c r="R56" s="183">
        <f t="shared" si="9"/>
        <v>0</v>
      </c>
      <c r="S56" s="183">
        <f t="shared" si="10"/>
        <v>0</v>
      </c>
      <c r="T56" s="183">
        <f t="shared" si="11"/>
        <v>0</v>
      </c>
      <c r="U56" s="186"/>
      <c r="V56" s="183">
        <f>IFERROR(__xludf.DUMMYFUNCTION("""COMPUTED_VALUE"""),0.0)</f>
        <v>0</v>
      </c>
      <c r="W56" s="183">
        <f>IFERROR(__xludf.DUMMYFUNCTION("""COMPUTED_VALUE"""),0.0)</f>
        <v>0</v>
      </c>
      <c r="X56" s="183">
        <f>IFERROR(__xludf.DUMMYFUNCTION("""COMPUTED_VALUE"""),0.0)</f>
        <v>0</v>
      </c>
      <c r="Y56" s="183">
        <f>IFERROR(__xludf.DUMMYFUNCTION("""COMPUTED_VALUE"""),0.0)</f>
        <v>0</v>
      </c>
      <c r="Z56" s="183">
        <f t="shared" si="12"/>
        <v>0</v>
      </c>
      <c r="AA56" s="183">
        <f t="shared" si="13"/>
        <v>0</v>
      </c>
      <c r="AB56" s="183">
        <f t="shared" si="14"/>
        <v>0</v>
      </c>
    </row>
    <row r="57" ht="14.25" customHeight="1">
      <c r="A57" s="175"/>
      <c r="B57" s="196"/>
      <c r="C57" s="181"/>
      <c r="D57" s="197"/>
      <c r="E57" s="183">
        <f>SUMIFS('DB WBS'!$J:$J,'DB WBS'!$A:$A,$D$4,'DB WBS'!$D:$D,AA$1,'DB WBS'!$B:$B,$E$3,'DB WBS'!$E:$E,$B57)</f>
        <v>0</v>
      </c>
      <c r="F57" s="183">
        <f>SUMIFS('DB WBS'!$J:$J,'DB WBS'!$A:$A,$D$4,'DB WBS'!$D:$D,AA$2,'DB WBS'!$B:$B,$E$3,'DB WBS'!$E:$E,$B57)</f>
        <v>0</v>
      </c>
      <c r="G57" s="184">
        <f>IFERROR(HLOOKUP($E$3,'Tahun Lalu'!$B$5:$V$158,MATCH(B57,'Tahun Lalu'!$B$5:$B$158,0),0),0)</f>
        <v>0</v>
      </c>
      <c r="H57" s="184">
        <v>0.0</v>
      </c>
      <c r="I57" s="184">
        <v>0.0</v>
      </c>
      <c r="J57" s="183">
        <f t="shared" si="3"/>
        <v>0</v>
      </c>
      <c r="K57" s="183">
        <f t="shared" si="4"/>
        <v>0</v>
      </c>
      <c r="L57" s="183">
        <f t="shared" si="5"/>
        <v>0</v>
      </c>
      <c r="M57" s="183">
        <f t="shared" si="6"/>
        <v>0</v>
      </c>
      <c r="N57" s="183">
        <f t="shared" si="56"/>
        <v>0</v>
      </c>
      <c r="O57" s="183">
        <f t="shared" ref="O57:Q57" si="67">G57+W57</f>
        <v>0</v>
      </c>
      <c r="P57" s="183">
        <f t="shared" si="67"/>
        <v>0</v>
      </c>
      <c r="Q57" s="183">
        <f t="shared" si="67"/>
        <v>0</v>
      </c>
      <c r="R57" s="183">
        <f t="shared" si="9"/>
        <v>0</v>
      </c>
      <c r="S57" s="183">
        <f t="shared" si="10"/>
        <v>0</v>
      </c>
      <c r="T57" s="183">
        <f t="shared" si="11"/>
        <v>0</v>
      </c>
      <c r="U57" s="186"/>
      <c r="V57" s="183">
        <f>IFERROR(__xludf.DUMMYFUNCTION("""COMPUTED_VALUE"""),0.0)</f>
        <v>0</v>
      </c>
      <c r="W57" s="183">
        <f>IFERROR(__xludf.DUMMYFUNCTION("""COMPUTED_VALUE"""),0.0)</f>
        <v>0</v>
      </c>
      <c r="X57" s="183">
        <f>IFERROR(__xludf.DUMMYFUNCTION("""COMPUTED_VALUE"""),0.0)</f>
        <v>0</v>
      </c>
      <c r="Y57" s="183">
        <f>IFERROR(__xludf.DUMMYFUNCTION("""COMPUTED_VALUE"""),0.0)</f>
        <v>0</v>
      </c>
      <c r="Z57" s="183">
        <f t="shared" si="12"/>
        <v>0</v>
      </c>
      <c r="AA57" s="183">
        <f t="shared" si="13"/>
        <v>0</v>
      </c>
      <c r="AB57" s="183">
        <f t="shared" si="14"/>
        <v>0</v>
      </c>
    </row>
    <row r="58" ht="14.25" customHeight="1">
      <c r="A58" s="175"/>
      <c r="B58" s="191" t="s">
        <v>809</v>
      </c>
      <c r="C58" s="199"/>
      <c r="D58" s="200"/>
      <c r="E58" s="201">
        <f t="shared" ref="E58:I58" si="68">SUM(E46:E57)</f>
        <v>0</v>
      </c>
      <c r="F58" s="201">
        <f t="shared" si="68"/>
        <v>0</v>
      </c>
      <c r="G58" s="201">
        <f t="shared" si="68"/>
        <v>0</v>
      </c>
      <c r="H58" s="201">
        <f t="shared" si="68"/>
        <v>0</v>
      </c>
      <c r="I58" s="201">
        <f t="shared" si="68"/>
        <v>0</v>
      </c>
      <c r="J58" s="201">
        <f t="shared" si="3"/>
        <v>0</v>
      </c>
      <c r="K58" s="201">
        <f t="shared" si="4"/>
        <v>0</v>
      </c>
      <c r="L58" s="201">
        <f t="shared" si="5"/>
        <v>0</v>
      </c>
      <c r="M58" s="201">
        <f t="shared" si="6"/>
        <v>0</v>
      </c>
      <c r="N58" s="201">
        <f t="shared" ref="N58:Q58" si="69">SUM(N46:N57)</f>
        <v>0</v>
      </c>
      <c r="O58" s="201">
        <f t="shared" si="69"/>
        <v>0</v>
      </c>
      <c r="P58" s="201">
        <f t="shared" si="69"/>
        <v>0</v>
      </c>
      <c r="Q58" s="201">
        <f t="shared" si="69"/>
        <v>0</v>
      </c>
      <c r="R58" s="201">
        <f t="shared" si="9"/>
        <v>0</v>
      </c>
      <c r="S58" s="201">
        <f t="shared" si="10"/>
        <v>0</v>
      </c>
      <c r="T58" s="201">
        <f t="shared" si="11"/>
        <v>0</v>
      </c>
      <c r="U58" s="202"/>
      <c r="V58" s="201">
        <f>IFERROR(__xludf.DUMMYFUNCTION("""COMPUTED_VALUE"""),0.0)</f>
        <v>0</v>
      </c>
      <c r="W58" s="201">
        <f>IFERROR(__xludf.DUMMYFUNCTION("""COMPUTED_VALUE"""),0.0)</f>
        <v>0</v>
      </c>
      <c r="X58" s="201">
        <f>IFERROR(__xludf.DUMMYFUNCTION("""COMPUTED_VALUE"""),0.0)</f>
        <v>0</v>
      </c>
      <c r="Y58" s="201">
        <f>IFERROR(__xludf.DUMMYFUNCTION("""COMPUTED_VALUE"""),0.0)</f>
        <v>0</v>
      </c>
      <c r="Z58" s="201">
        <f t="shared" si="12"/>
        <v>0</v>
      </c>
      <c r="AA58" s="201">
        <f t="shared" si="13"/>
        <v>0</v>
      </c>
      <c r="AB58" s="201">
        <f t="shared" si="14"/>
        <v>0</v>
      </c>
    </row>
    <row r="59" ht="14.25" customHeight="1">
      <c r="A59" s="175"/>
      <c r="B59" s="196"/>
      <c r="C59" s="181"/>
      <c r="D59" s="197"/>
      <c r="E59" s="183">
        <f>SUMIFS('DB WBS'!$J:$J,'DB WBS'!$A:$A,$D$4,'DB WBS'!$D:$D,AA$1,'DB WBS'!$B:$B,$E$3,'DB WBS'!$E:$E,$B59)</f>
        <v>0</v>
      </c>
      <c r="F59" s="183">
        <f>SUMIFS('DB WBS'!$J:$J,'DB WBS'!$A:$A,$D$4,'DB WBS'!$D:$D,AA$2,'DB WBS'!$B:$B,$E$3,'DB WBS'!$E:$E,$B59)</f>
        <v>0</v>
      </c>
      <c r="G59" s="184">
        <f>IFERROR(HLOOKUP($E$3,'Tahun Lalu'!$B$5:$V$158,MATCH(B59,'Tahun Lalu'!$B$5:$B$158,0),0),0)</f>
        <v>0</v>
      </c>
      <c r="H59" s="184">
        <v>0.0</v>
      </c>
      <c r="I59" s="184">
        <v>0.0</v>
      </c>
      <c r="J59" s="183">
        <f t="shared" si="3"/>
        <v>0</v>
      </c>
      <c r="K59" s="183">
        <f t="shared" si="4"/>
        <v>0</v>
      </c>
      <c r="L59" s="183">
        <f t="shared" si="5"/>
        <v>0</v>
      </c>
      <c r="M59" s="183">
        <f t="shared" si="6"/>
        <v>0</v>
      </c>
      <c r="N59" s="183">
        <f t="shared" ref="N59:N63" si="71">E59+V59</f>
        <v>0</v>
      </c>
      <c r="O59" s="183">
        <f t="shared" ref="O59:Q59" si="70">G59+W59</f>
        <v>0</v>
      </c>
      <c r="P59" s="183">
        <f t="shared" si="70"/>
        <v>0</v>
      </c>
      <c r="Q59" s="183">
        <f t="shared" si="70"/>
        <v>0</v>
      </c>
      <c r="R59" s="183">
        <f t="shared" si="9"/>
        <v>0</v>
      </c>
      <c r="S59" s="183">
        <f t="shared" si="10"/>
        <v>0</v>
      </c>
      <c r="T59" s="183">
        <f t="shared" si="11"/>
        <v>0</v>
      </c>
      <c r="U59" s="186"/>
      <c r="V59" s="183">
        <f>IFERROR(__xludf.DUMMYFUNCTION("""COMPUTED_VALUE"""),0.0)</f>
        <v>0</v>
      </c>
      <c r="W59" s="183">
        <f>IFERROR(__xludf.DUMMYFUNCTION("""COMPUTED_VALUE"""),0.0)</f>
        <v>0</v>
      </c>
      <c r="X59" s="183">
        <f>IFERROR(__xludf.DUMMYFUNCTION("""COMPUTED_VALUE"""),0.0)</f>
        <v>0</v>
      </c>
      <c r="Y59" s="183">
        <f>IFERROR(__xludf.DUMMYFUNCTION("""COMPUTED_VALUE"""),0.0)</f>
        <v>0</v>
      </c>
      <c r="Z59" s="183">
        <f t="shared" si="12"/>
        <v>0</v>
      </c>
      <c r="AA59" s="183">
        <f t="shared" si="13"/>
        <v>0</v>
      </c>
      <c r="AB59" s="183">
        <f t="shared" si="14"/>
        <v>0</v>
      </c>
    </row>
    <row r="60" ht="14.25" customHeight="1">
      <c r="A60" s="175"/>
      <c r="B60" s="196"/>
      <c r="C60" s="181"/>
      <c r="D60" s="197"/>
      <c r="E60" s="183">
        <f>SUMIFS('DB WBS'!$J:$J,'DB WBS'!$A:$A,$D$4,'DB WBS'!$D:$D,AA$1,'DB WBS'!$B:$B,$E$3,'DB WBS'!$E:$E,$B60)</f>
        <v>0</v>
      </c>
      <c r="F60" s="183">
        <f>SUMIFS('DB WBS'!$J:$J,'DB WBS'!$A:$A,$D$4,'DB WBS'!$D:$D,AA$2,'DB WBS'!$B:$B,$E$3,'DB WBS'!$E:$E,$B60)</f>
        <v>0</v>
      </c>
      <c r="G60" s="184">
        <f>IFERROR(HLOOKUP($E$3,'Tahun Lalu'!$B$5:$V$158,MATCH(B60,'Tahun Lalu'!$B$5:$B$158,0),0),0)</f>
        <v>0</v>
      </c>
      <c r="H60" s="184">
        <v>0.0</v>
      </c>
      <c r="I60" s="184">
        <v>0.0</v>
      </c>
      <c r="J60" s="183">
        <f t="shared" si="3"/>
        <v>0</v>
      </c>
      <c r="K60" s="183">
        <f t="shared" si="4"/>
        <v>0</v>
      </c>
      <c r="L60" s="183">
        <f t="shared" si="5"/>
        <v>0</v>
      </c>
      <c r="M60" s="183">
        <f t="shared" si="6"/>
        <v>0</v>
      </c>
      <c r="N60" s="183">
        <f t="shared" si="71"/>
        <v>0</v>
      </c>
      <c r="O60" s="183">
        <f t="shared" ref="O60:Q60" si="72">G60+W60</f>
        <v>0</v>
      </c>
      <c r="P60" s="183">
        <f t="shared" si="72"/>
        <v>0</v>
      </c>
      <c r="Q60" s="183">
        <f t="shared" si="72"/>
        <v>0</v>
      </c>
      <c r="R60" s="183">
        <f t="shared" si="9"/>
        <v>0</v>
      </c>
      <c r="S60" s="183">
        <f t="shared" si="10"/>
        <v>0</v>
      </c>
      <c r="T60" s="183">
        <f t="shared" si="11"/>
        <v>0</v>
      </c>
      <c r="U60" s="186"/>
      <c r="V60" s="183">
        <f>IFERROR(__xludf.DUMMYFUNCTION("""COMPUTED_VALUE"""),0.0)</f>
        <v>0</v>
      </c>
      <c r="W60" s="183">
        <f>IFERROR(__xludf.DUMMYFUNCTION("""COMPUTED_VALUE"""),0.0)</f>
        <v>0</v>
      </c>
      <c r="X60" s="183">
        <f>IFERROR(__xludf.DUMMYFUNCTION("""COMPUTED_VALUE"""),0.0)</f>
        <v>0</v>
      </c>
      <c r="Y60" s="183">
        <f>IFERROR(__xludf.DUMMYFUNCTION("""COMPUTED_VALUE"""),0.0)</f>
        <v>0</v>
      </c>
      <c r="Z60" s="183">
        <f t="shared" si="12"/>
        <v>0</v>
      </c>
      <c r="AA60" s="183">
        <f t="shared" si="13"/>
        <v>0</v>
      </c>
      <c r="AB60" s="183">
        <f t="shared" si="14"/>
        <v>0</v>
      </c>
    </row>
    <row r="61" ht="14.25" customHeight="1">
      <c r="A61" s="175"/>
      <c r="B61" s="196"/>
      <c r="C61" s="181"/>
      <c r="D61" s="197"/>
      <c r="E61" s="183">
        <f>SUMIFS('DB WBS'!$J:$J,'DB WBS'!$A:$A,$D$4,'DB WBS'!$D:$D,AA$1,'DB WBS'!$B:$B,$E$3,'DB WBS'!$E:$E,$B61)</f>
        <v>0</v>
      </c>
      <c r="F61" s="183">
        <f>SUMIFS('DB WBS'!$J:$J,'DB WBS'!$A:$A,$D$4,'DB WBS'!$D:$D,AA$2,'DB WBS'!$B:$B,$E$3,'DB WBS'!$E:$E,$B61)</f>
        <v>0</v>
      </c>
      <c r="G61" s="184">
        <f>IFERROR(HLOOKUP($E$3,'Tahun Lalu'!$B$5:$V$158,MATCH(B61,'Tahun Lalu'!$B$5:$B$158,0),0),0)</f>
        <v>0</v>
      </c>
      <c r="H61" s="184">
        <v>0.0</v>
      </c>
      <c r="I61" s="184">
        <v>0.0</v>
      </c>
      <c r="J61" s="183">
        <f t="shared" si="3"/>
        <v>0</v>
      </c>
      <c r="K61" s="183">
        <f t="shared" si="4"/>
        <v>0</v>
      </c>
      <c r="L61" s="183">
        <f t="shared" si="5"/>
        <v>0</v>
      </c>
      <c r="M61" s="183">
        <f t="shared" si="6"/>
        <v>0</v>
      </c>
      <c r="N61" s="183">
        <f t="shared" si="71"/>
        <v>0</v>
      </c>
      <c r="O61" s="183">
        <f t="shared" ref="O61:Q61" si="73">G61+W61</f>
        <v>0</v>
      </c>
      <c r="P61" s="183">
        <f t="shared" si="73"/>
        <v>0</v>
      </c>
      <c r="Q61" s="183">
        <f t="shared" si="73"/>
        <v>0</v>
      </c>
      <c r="R61" s="183">
        <f t="shared" si="9"/>
        <v>0</v>
      </c>
      <c r="S61" s="183">
        <f t="shared" si="10"/>
        <v>0</v>
      </c>
      <c r="T61" s="183">
        <f t="shared" si="11"/>
        <v>0</v>
      </c>
      <c r="U61" s="186"/>
      <c r="V61" s="183">
        <f>IFERROR(__xludf.DUMMYFUNCTION("""COMPUTED_VALUE"""),0.0)</f>
        <v>0</v>
      </c>
      <c r="W61" s="183">
        <f>IFERROR(__xludf.DUMMYFUNCTION("""COMPUTED_VALUE"""),0.0)</f>
        <v>0</v>
      </c>
      <c r="X61" s="183">
        <f>IFERROR(__xludf.DUMMYFUNCTION("""COMPUTED_VALUE"""),0.0)</f>
        <v>0</v>
      </c>
      <c r="Y61" s="183">
        <f>IFERROR(__xludf.DUMMYFUNCTION("""COMPUTED_VALUE"""),0.0)</f>
        <v>0</v>
      </c>
      <c r="Z61" s="183">
        <f t="shared" si="12"/>
        <v>0</v>
      </c>
      <c r="AA61" s="183">
        <f t="shared" si="13"/>
        <v>0</v>
      </c>
      <c r="AB61" s="183">
        <f t="shared" si="14"/>
        <v>0</v>
      </c>
    </row>
    <row r="62" ht="14.25" customHeight="1">
      <c r="A62" s="175"/>
      <c r="B62" s="196"/>
      <c r="C62" s="181"/>
      <c r="D62" s="197"/>
      <c r="E62" s="183">
        <f>SUMIFS('DB WBS'!$J:$J,'DB WBS'!$A:$A,$D$4,'DB WBS'!$D:$D,AA$1,'DB WBS'!$B:$B,$E$3,'DB WBS'!$E:$E,$B62)</f>
        <v>0</v>
      </c>
      <c r="F62" s="183">
        <f>SUMIFS('DB WBS'!$J:$J,'DB WBS'!$A:$A,$D$4,'DB WBS'!$D:$D,AA$2,'DB WBS'!$B:$B,$E$3,'DB WBS'!$E:$E,$B62)</f>
        <v>0</v>
      </c>
      <c r="G62" s="184">
        <f>IFERROR(HLOOKUP($E$3,'Tahun Lalu'!$B$5:$V$158,MATCH(B62,'Tahun Lalu'!$B$5:$B$158,0),0),0)</f>
        <v>0</v>
      </c>
      <c r="H62" s="184">
        <v>0.0</v>
      </c>
      <c r="I62" s="184">
        <v>0.0</v>
      </c>
      <c r="J62" s="183">
        <f t="shared" si="3"/>
        <v>0</v>
      </c>
      <c r="K62" s="183">
        <f t="shared" si="4"/>
        <v>0</v>
      </c>
      <c r="L62" s="183">
        <f t="shared" si="5"/>
        <v>0</v>
      </c>
      <c r="M62" s="183">
        <f t="shared" si="6"/>
        <v>0</v>
      </c>
      <c r="N62" s="183">
        <f t="shared" si="71"/>
        <v>0</v>
      </c>
      <c r="O62" s="183">
        <f t="shared" ref="O62:Q62" si="74">G62+W62</f>
        <v>0</v>
      </c>
      <c r="P62" s="183">
        <f t="shared" si="74"/>
        <v>0</v>
      </c>
      <c r="Q62" s="183">
        <f t="shared" si="74"/>
        <v>0</v>
      </c>
      <c r="R62" s="183">
        <f t="shared" si="9"/>
        <v>0</v>
      </c>
      <c r="S62" s="183">
        <f t="shared" si="10"/>
        <v>0</v>
      </c>
      <c r="T62" s="183">
        <f t="shared" si="11"/>
        <v>0</v>
      </c>
      <c r="U62" s="186"/>
      <c r="V62" s="183">
        <f>IFERROR(__xludf.DUMMYFUNCTION("""COMPUTED_VALUE"""),0.0)</f>
        <v>0</v>
      </c>
      <c r="W62" s="183">
        <f>IFERROR(__xludf.DUMMYFUNCTION("""COMPUTED_VALUE"""),0.0)</f>
        <v>0</v>
      </c>
      <c r="X62" s="183">
        <f>IFERROR(__xludf.DUMMYFUNCTION("""COMPUTED_VALUE"""),0.0)</f>
        <v>0</v>
      </c>
      <c r="Y62" s="183">
        <f>IFERROR(__xludf.DUMMYFUNCTION("""COMPUTED_VALUE"""),0.0)</f>
        <v>0</v>
      </c>
      <c r="Z62" s="183">
        <f t="shared" si="12"/>
        <v>0</v>
      </c>
      <c r="AA62" s="183">
        <f t="shared" si="13"/>
        <v>0</v>
      </c>
      <c r="AB62" s="183">
        <f t="shared" si="14"/>
        <v>0</v>
      </c>
    </row>
    <row r="63" ht="14.25" customHeight="1">
      <c r="A63" s="175"/>
      <c r="B63" s="196"/>
      <c r="C63" s="181"/>
      <c r="D63" s="197"/>
      <c r="E63" s="183">
        <f>SUMIFS('DB WBS'!$J:$J,'DB WBS'!$A:$A,$D$4,'DB WBS'!$D:$D,AA$1,'DB WBS'!$B:$B,$E$3,'DB WBS'!$E:$E,$B63)</f>
        <v>0</v>
      </c>
      <c r="F63" s="183">
        <f>SUMIFS('DB WBS'!$J:$J,'DB WBS'!$A:$A,$D$4,'DB WBS'!$D:$D,AA$2,'DB WBS'!$B:$B,$E$3,'DB WBS'!$E:$E,$B63)</f>
        <v>0</v>
      </c>
      <c r="G63" s="184">
        <f>IFERROR(HLOOKUP($E$3,'Tahun Lalu'!$B$5:$V$158,MATCH(B63,'Tahun Lalu'!$B$5:$B$158,0),0),0)</f>
        <v>0</v>
      </c>
      <c r="H63" s="184">
        <v>0.0</v>
      </c>
      <c r="I63" s="184">
        <v>0.0</v>
      </c>
      <c r="J63" s="183">
        <f t="shared" si="3"/>
        <v>0</v>
      </c>
      <c r="K63" s="183">
        <f t="shared" si="4"/>
        <v>0</v>
      </c>
      <c r="L63" s="183">
        <f t="shared" si="5"/>
        <v>0</v>
      </c>
      <c r="M63" s="183">
        <f t="shared" si="6"/>
        <v>0</v>
      </c>
      <c r="N63" s="183">
        <f t="shared" si="71"/>
        <v>0</v>
      </c>
      <c r="O63" s="183">
        <f t="shared" ref="O63:Q63" si="75">G63+W63</f>
        <v>0</v>
      </c>
      <c r="P63" s="183">
        <f t="shared" si="75"/>
        <v>0</v>
      </c>
      <c r="Q63" s="183">
        <f t="shared" si="75"/>
        <v>0</v>
      </c>
      <c r="R63" s="183">
        <f t="shared" si="9"/>
        <v>0</v>
      </c>
      <c r="S63" s="183">
        <f t="shared" si="10"/>
        <v>0</v>
      </c>
      <c r="T63" s="183">
        <f t="shared" si="11"/>
        <v>0</v>
      </c>
      <c r="U63" s="186"/>
      <c r="V63" s="183">
        <f>IFERROR(__xludf.DUMMYFUNCTION("""COMPUTED_VALUE"""),0.0)</f>
        <v>0</v>
      </c>
      <c r="W63" s="183">
        <f>IFERROR(__xludf.DUMMYFUNCTION("""COMPUTED_VALUE"""),0.0)</f>
        <v>0</v>
      </c>
      <c r="X63" s="183">
        <f>IFERROR(__xludf.DUMMYFUNCTION("""COMPUTED_VALUE"""),0.0)</f>
        <v>0</v>
      </c>
      <c r="Y63" s="183">
        <f>IFERROR(__xludf.DUMMYFUNCTION("""COMPUTED_VALUE"""),0.0)</f>
        <v>0</v>
      </c>
      <c r="Z63" s="183">
        <f t="shared" si="12"/>
        <v>0</v>
      </c>
      <c r="AA63" s="183">
        <f t="shared" si="13"/>
        <v>0</v>
      </c>
      <c r="AB63" s="183">
        <f t="shared" si="14"/>
        <v>0</v>
      </c>
    </row>
    <row r="64" ht="14.25" customHeight="1">
      <c r="A64" s="175"/>
      <c r="B64" s="191" t="s">
        <v>810</v>
      </c>
      <c r="C64" s="199"/>
      <c r="D64" s="200"/>
      <c r="E64" s="201">
        <f t="shared" ref="E64:I64" si="76">SUM(E59:E63)</f>
        <v>0</v>
      </c>
      <c r="F64" s="201">
        <f t="shared" si="76"/>
        <v>0</v>
      </c>
      <c r="G64" s="201">
        <f t="shared" si="76"/>
        <v>0</v>
      </c>
      <c r="H64" s="201">
        <f t="shared" si="76"/>
        <v>0</v>
      </c>
      <c r="I64" s="201">
        <f t="shared" si="76"/>
        <v>0</v>
      </c>
      <c r="J64" s="201">
        <f t="shared" si="3"/>
        <v>0</v>
      </c>
      <c r="K64" s="201">
        <f t="shared" si="4"/>
        <v>0</v>
      </c>
      <c r="L64" s="201">
        <f t="shared" si="5"/>
        <v>0</v>
      </c>
      <c r="M64" s="201">
        <f t="shared" si="6"/>
        <v>0</v>
      </c>
      <c r="N64" s="201">
        <f t="shared" ref="N64:Q64" si="77">SUM(N59:N63)</f>
        <v>0</v>
      </c>
      <c r="O64" s="201">
        <f t="shared" si="77"/>
        <v>0</v>
      </c>
      <c r="P64" s="201">
        <f t="shared" si="77"/>
        <v>0</v>
      </c>
      <c r="Q64" s="201">
        <f t="shared" si="77"/>
        <v>0</v>
      </c>
      <c r="R64" s="201">
        <f t="shared" si="9"/>
        <v>0</v>
      </c>
      <c r="S64" s="201">
        <f t="shared" si="10"/>
        <v>0</v>
      </c>
      <c r="T64" s="201">
        <f t="shared" si="11"/>
        <v>0</v>
      </c>
      <c r="U64" s="202"/>
      <c r="V64" s="201">
        <f>IFERROR(__xludf.DUMMYFUNCTION("""COMPUTED_VALUE"""),0.0)</f>
        <v>0</v>
      </c>
      <c r="W64" s="201">
        <f>IFERROR(__xludf.DUMMYFUNCTION("""COMPUTED_VALUE"""),0.0)</f>
        <v>0</v>
      </c>
      <c r="X64" s="201">
        <f>IFERROR(__xludf.DUMMYFUNCTION("""COMPUTED_VALUE"""),0.0)</f>
        <v>0</v>
      </c>
      <c r="Y64" s="201">
        <f>IFERROR(__xludf.DUMMYFUNCTION("""COMPUTED_VALUE"""),0.0)</f>
        <v>0</v>
      </c>
      <c r="Z64" s="201">
        <f t="shared" si="12"/>
        <v>0</v>
      </c>
      <c r="AA64" s="201">
        <f t="shared" si="13"/>
        <v>0</v>
      </c>
      <c r="AB64" s="201">
        <f t="shared" si="14"/>
        <v>0</v>
      </c>
    </row>
    <row r="65" ht="14.25" customHeight="1">
      <c r="A65" s="175"/>
      <c r="B65" s="196" t="s">
        <v>811</v>
      </c>
      <c r="C65" s="181"/>
      <c r="D65" s="197" t="s">
        <v>812</v>
      </c>
      <c r="E65" s="183">
        <f>SUMIFS('DB WBS'!$J:$J,'DB WBS'!$A:$A,$D$4,'DB WBS'!$D:$D,AA$1,'DB WBS'!$B:$B,$E$3,'DB WBS'!$E:$E,$B65)</f>
        <v>0</v>
      </c>
      <c r="F65" s="183">
        <f>SUMIFS('DB WBS'!$J:$J,'DB WBS'!$A:$A,$D$4,'DB WBS'!$D:$D,AA$2,'DB WBS'!$B:$B,$E$3,'DB WBS'!$E:$E,$B65)</f>
        <v>0</v>
      </c>
      <c r="G65" s="184">
        <f>IFERROR(HLOOKUP($E$3,'Tahun Lalu'!$B$5:$V$158,MATCH(B65,'Tahun Lalu'!$B$5:$B$158,0),0),0)</f>
        <v>0</v>
      </c>
      <c r="H65" s="184">
        <v>0.0</v>
      </c>
      <c r="I65" s="184">
        <v>0.0</v>
      </c>
      <c r="J65" s="183">
        <f t="shared" si="3"/>
        <v>0</v>
      </c>
      <c r="K65" s="183">
        <f t="shared" si="4"/>
        <v>0</v>
      </c>
      <c r="L65" s="183">
        <f t="shared" si="5"/>
        <v>0</v>
      </c>
      <c r="M65" s="183">
        <f t="shared" si="6"/>
        <v>0</v>
      </c>
      <c r="N65" s="183">
        <f t="shared" ref="N65:N68" si="79">E65+V65</f>
        <v>0</v>
      </c>
      <c r="O65" s="183">
        <f t="shared" ref="O65:Q65" si="78">G65+W65</f>
        <v>0</v>
      </c>
      <c r="P65" s="183">
        <f t="shared" si="78"/>
        <v>0</v>
      </c>
      <c r="Q65" s="183">
        <f t="shared" si="78"/>
        <v>0</v>
      </c>
      <c r="R65" s="183">
        <f t="shared" si="9"/>
        <v>0</v>
      </c>
      <c r="S65" s="183">
        <f t="shared" si="10"/>
        <v>0</v>
      </c>
      <c r="T65" s="183">
        <f t="shared" si="11"/>
        <v>0</v>
      </c>
      <c r="U65" s="186"/>
      <c r="V65" s="183">
        <f>IFERROR(__xludf.DUMMYFUNCTION("""COMPUTED_VALUE"""),0.0)</f>
        <v>0</v>
      </c>
      <c r="W65" s="183">
        <f>IFERROR(__xludf.DUMMYFUNCTION("""COMPUTED_VALUE"""),0.0)</f>
        <v>0</v>
      </c>
      <c r="X65" s="183">
        <f>IFERROR(__xludf.DUMMYFUNCTION("""COMPUTED_VALUE"""),0.0)</f>
        <v>0</v>
      </c>
      <c r="Y65" s="183">
        <f>IFERROR(__xludf.DUMMYFUNCTION("""COMPUTED_VALUE"""),0.0)</f>
        <v>0</v>
      </c>
      <c r="Z65" s="183">
        <f t="shared" si="12"/>
        <v>0</v>
      </c>
      <c r="AA65" s="183">
        <f t="shared" si="13"/>
        <v>0</v>
      </c>
      <c r="AB65" s="183">
        <f t="shared" si="14"/>
        <v>0</v>
      </c>
    </row>
    <row r="66" ht="14.25" customHeight="1">
      <c r="A66" s="175"/>
      <c r="B66" s="196" t="s">
        <v>813</v>
      </c>
      <c r="C66" s="181"/>
      <c r="D66" s="197" t="s">
        <v>814</v>
      </c>
      <c r="E66" s="183">
        <f>SUMIFS('DB WBS'!$J:$J,'DB WBS'!$A:$A,$D$4,'DB WBS'!$D:$D,AA$1,'DB WBS'!$B:$B,$E$3,'DB WBS'!$E:$E,$B66)</f>
        <v>0</v>
      </c>
      <c r="F66" s="183">
        <f>SUMIFS('DB WBS'!$J:$J,'DB WBS'!$A:$A,$D$4,'DB WBS'!$D:$D,AA$2,'DB WBS'!$B:$B,$E$3,'DB WBS'!$E:$E,$B66)</f>
        <v>0</v>
      </c>
      <c r="G66" s="184">
        <f>IFERROR(HLOOKUP($E$3,'Tahun Lalu'!$B$5:$V$158,MATCH(B66,'Tahun Lalu'!$B$5:$B$158,0),0),0)</f>
        <v>0</v>
      </c>
      <c r="H66" s="184">
        <v>0.0</v>
      </c>
      <c r="I66" s="184">
        <v>0.0</v>
      </c>
      <c r="J66" s="183">
        <f t="shared" si="3"/>
        <v>0</v>
      </c>
      <c r="K66" s="183">
        <f t="shared" si="4"/>
        <v>0</v>
      </c>
      <c r="L66" s="183">
        <f t="shared" si="5"/>
        <v>0</v>
      </c>
      <c r="M66" s="183">
        <f t="shared" si="6"/>
        <v>0</v>
      </c>
      <c r="N66" s="183">
        <f t="shared" si="79"/>
        <v>0</v>
      </c>
      <c r="O66" s="183">
        <f t="shared" ref="O66:Q66" si="80">G66+W66</f>
        <v>0</v>
      </c>
      <c r="P66" s="183">
        <f t="shared" si="80"/>
        <v>0</v>
      </c>
      <c r="Q66" s="183">
        <f t="shared" si="80"/>
        <v>0</v>
      </c>
      <c r="R66" s="183">
        <f t="shared" si="9"/>
        <v>0</v>
      </c>
      <c r="S66" s="183">
        <f t="shared" si="10"/>
        <v>0</v>
      </c>
      <c r="T66" s="183">
        <f t="shared" si="11"/>
        <v>0</v>
      </c>
      <c r="U66" s="186"/>
      <c r="V66" s="183">
        <f>IFERROR(__xludf.DUMMYFUNCTION("""COMPUTED_VALUE"""),0.0)</f>
        <v>0</v>
      </c>
      <c r="W66" s="183">
        <f>IFERROR(__xludf.DUMMYFUNCTION("""COMPUTED_VALUE"""),0.0)</f>
        <v>0</v>
      </c>
      <c r="X66" s="183">
        <f>IFERROR(__xludf.DUMMYFUNCTION("""COMPUTED_VALUE"""),0.0)</f>
        <v>0</v>
      </c>
      <c r="Y66" s="183">
        <f>IFERROR(__xludf.DUMMYFUNCTION("""COMPUTED_VALUE"""),0.0)</f>
        <v>0</v>
      </c>
      <c r="Z66" s="183">
        <f t="shared" si="12"/>
        <v>0</v>
      </c>
      <c r="AA66" s="183">
        <f t="shared" si="13"/>
        <v>0</v>
      </c>
      <c r="AB66" s="183">
        <f t="shared" si="14"/>
        <v>0</v>
      </c>
    </row>
    <row r="67" ht="14.25" customHeight="1">
      <c r="A67" s="175"/>
      <c r="B67" s="196" t="s">
        <v>815</v>
      </c>
      <c r="C67" s="181"/>
      <c r="D67" s="197" t="s">
        <v>816</v>
      </c>
      <c r="E67" s="183">
        <f>SUMIFS('DB WBS'!$J:$J,'DB WBS'!$A:$A,$D$4,'DB WBS'!$D:$D,AA$1,'DB WBS'!$B:$B,$E$3,'DB WBS'!$E:$E,$B67)</f>
        <v>0</v>
      </c>
      <c r="F67" s="183">
        <f>SUMIFS('DB WBS'!$J:$J,'DB WBS'!$A:$A,$D$4,'DB WBS'!$D:$D,AA$2,'DB WBS'!$B:$B,$E$3,'DB WBS'!$E:$E,$B67)</f>
        <v>0</v>
      </c>
      <c r="G67" s="184">
        <f>IFERROR(HLOOKUP($E$3,'Tahun Lalu'!$B$5:$V$158,MATCH(B67,'Tahun Lalu'!$B$5:$B$158,0),0),0)</f>
        <v>0</v>
      </c>
      <c r="H67" s="184">
        <v>0.0</v>
      </c>
      <c r="I67" s="184">
        <v>0.0</v>
      </c>
      <c r="J67" s="183">
        <f t="shared" si="3"/>
        <v>0</v>
      </c>
      <c r="K67" s="183">
        <f t="shared" si="4"/>
        <v>0</v>
      </c>
      <c r="L67" s="183">
        <f t="shared" si="5"/>
        <v>0</v>
      </c>
      <c r="M67" s="183">
        <f t="shared" si="6"/>
        <v>0</v>
      </c>
      <c r="N67" s="183">
        <f t="shared" si="79"/>
        <v>0</v>
      </c>
      <c r="O67" s="183">
        <f t="shared" ref="O67:Q67" si="81">G67+W67</f>
        <v>0</v>
      </c>
      <c r="P67" s="183">
        <f t="shared" si="81"/>
        <v>0</v>
      </c>
      <c r="Q67" s="183">
        <f t="shared" si="81"/>
        <v>0</v>
      </c>
      <c r="R67" s="183">
        <f t="shared" si="9"/>
        <v>0</v>
      </c>
      <c r="S67" s="183">
        <f t="shared" si="10"/>
        <v>0</v>
      </c>
      <c r="T67" s="183">
        <f t="shared" si="11"/>
        <v>0</v>
      </c>
      <c r="U67" s="186"/>
      <c r="V67" s="183">
        <f>IFERROR(__xludf.DUMMYFUNCTION("""COMPUTED_VALUE"""),0.0)</f>
        <v>0</v>
      </c>
      <c r="W67" s="183">
        <f>IFERROR(__xludf.DUMMYFUNCTION("""COMPUTED_VALUE"""),0.0)</f>
        <v>0</v>
      </c>
      <c r="X67" s="183">
        <f>IFERROR(__xludf.DUMMYFUNCTION("""COMPUTED_VALUE"""),0.0)</f>
        <v>0</v>
      </c>
      <c r="Y67" s="183">
        <f>IFERROR(__xludf.DUMMYFUNCTION("""COMPUTED_VALUE"""),0.0)</f>
        <v>0</v>
      </c>
      <c r="Z67" s="183">
        <f t="shared" si="12"/>
        <v>0</v>
      </c>
      <c r="AA67" s="183">
        <f t="shared" si="13"/>
        <v>0</v>
      </c>
      <c r="AB67" s="183">
        <f t="shared" si="14"/>
        <v>0</v>
      </c>
    </row>
    <row r="68" ht="14.25" customHeight="1">
      <c r="A68" s="175"/>
      <c r="B68" s="196"/>
      <c r="C68" s="181"/>
      <c r="D68" s="197"/>
      <c r="E68" s="183">
        <f>SUMIFS('DB WBS'!$J:$J,'DB WBS'!$A:$A,$D$4,'DB WBS'!$D:$D,AA$1,'DB WBS'!$B:$B,$E$3,'DB WBS'!$E:$E,$B68)</f>
        <v>0</v>
      </c>
      <c r="F68" s="183">
        <f>SUMIFS('DB WBS'!$J:$J,'DB WBS'!$A:$A,$D$4,'DB WBS'!$D:$D,AA$2,'DB WBS'!$B:$B,$E$3,'DB WBS'!$E:$E,$B68)</f>
        <v>0</v>
      </c>
      <c r="G68" s="184">
        <f>IFERROR(HLOOKUP($E$3,'Tahun Lalu'!$B$5:$V$158,MATCH(B68,'Tahun Lalu'!$B$5:$B$158,0),0),0)</f>
        <v>0</v>
      </c>
      <c r="H68" s="184">
        <v>0.0</v>
      </c>
      <c r="I68" s="184">
        <v>0.0</v>
      </c>
      <c r="J68" s="183">
        <f t="shared" si="3"/>
        <v>0</v>
      </c>
      <c r="K68" s="183">
        <f t="shared" si="4"/>
        <v>0</v>
      </c>
      <c r="L68" s="183">
        <f t="shared" si="5"/>
        <v>0</v>
      </c>
      <c r="M68" s="183">
        <f t="shared" si="6"/>
        <v>0</v>
      </c>
      <c r="N68" s="183">
        <f t="shared" si="79"/>
        <v>0</v>
      </c>
      <c r="O68" s="183">
        <f t="shared" ref="O68:Q68" si="82">G68+W68</f>
        <v>0</v>
      </c>
      <c r="P68" s="183">
        <f t="shared" si="82"/>
        <v>0</v>
      </c>
      <c r="Q68" s="183">
        <f t="shared" si="82"/>
        <v>0</v>
      </c>
      <c r="R68" s="183">
        <f t="shared" si="9"/>
        <v>0</v>
      </c>
      <c r="S68" s="183">
        <f t="shared" si="10"/>
        <v>0</v>
      </c>
      <c r="T68" s="183">
        <f t="shared" si="11"/>
        <v>0</v>
      </c>
      <c r="U68" s="186"/>
      <c r="V68" s="183">
        <f>IFERROR(__xludf.DUMMYFUNCTION("""COMPUTED_VALUE"""),0.0)</f>
        <v>0</v>
      </c>
      <c r="W68" s="183">
        <f>IFERROR(__xludf.DUMMYFUNCTION("""COMPUTED_VALUE"""),0.0)</f>
        <v>0</v>
      </c>
      <c r="X68" s="183">
        <f>IFERROR(__xludf.DUMMYFUNCTION("""COMPUTED_VALUE"""),0.0)</f>
        <v>0</v>
      </c>
      <c r="Y68" s="183">
        <f>IFERROR(__xludf.DUMMYFUNCTION("""COMPUTED_VALUE"""),0.0)</f>
        <v>0</v>
      </c>
      <c r="Z68" s="183">
        <f t="shared" si="12"/>
        <v>0</v>
      </c>
      <c r="AA68" s="183">
        <f t="shared" si="13"/>
        <v>0</v>
      </c>
      <c r="AB68" s="183">
        <f t="shared" si="14"/>
        <v>0</v>
      </c>
    </row>
    <row r="69" ht="14.25" customHeight="1">
      <c r="A69" s="175"/>
      <c r="B69" s="191" t="s">
        <v>817</v>
      </c>
      <c r="C69" s="199"/>
      <c r="D69" s="200"/>
      <c r="E69" s="201">
        <f t="shared" ref="E69:I69" si="83">SUM(E65:E68)</f>
        <v>0</v>
      </c>
      <c r="F69" s="201">
        <f t="shared" si="83"/>
        <v>0</v>
      </c>
      <c r="G69" s="201">
        <f t="shared" si="83"/>
        <v>0</v>
      </c>
      <c r="H69" s="201">
        <f t="shared" si="83"/>
        <v>0</v>
      </c>
      <c r="I69" s="201">
        <f t="shared" si="83"/>
        <v>0</v>
      </c>
      <c r="J69" s="201">
        <f t="shared" si="3"/>
        <v>0</v>
      </c>
      <c r="K69" s="201">
        <f t="shared" si="4"/>
        <v>0</v>
      </c>
      <c r="L69" s="201">
        <f t="shared" si="5"/>
        <v>0</v>
      </c>
      <c r="M69" s="201">
        <f t="shared" si="6"/>
        <v>0</v>
      </c>
      <c r="N69" s="201">
        <f t="shared" ref="N69:Q69" si="84">SUM(N65:N68)</f>
        <v>0</v>
      </c>
      <c r="O69" s="201">
        <f t="shared" si="84"/>
        <v>0</v>
      </c>
      <c r="P69" s="201">
        <f t="shared" si="84"/>
        <v>0</v>
      </c>
      <c r="Q69" s="201">
        <f t="shared" si="84"/>
        <v>0</v>
      </c>
      <c r="R69" s="201">
        <f t="shared" si="9"/>
        <v>0</v>
      </c>
      <c r="S69" s="201">
        <f t="shared" si="10"/>
        <v>0</v>
      </c>
      <c r="T69" s="201">
        <f t="shared" si="11"/>
        <v>0</v>
      </c>
      <c r="U69" s="202"/>
      <c r="V69" s="201">
        <f>IFERROR(__xludf.DUMMYFUNCTION("""COMPUTED_VALUE"""),0.0)</f>
        <v>0</v>
      </c>
      <c r="W69" s="201">
        <f>IFERROR(__xludf.DUMMYFUNCTION("""COMPUTED_VALUE"""),0.0)</f>
        <v>0</v>
      </c>
      <c r="X69" s="201">
        <f>IFERROR(__xludf.DUMMYFUNCTION("""COMPUTED_VALUE"""),0.0)</f>
        <v>0</v>
      </c>
      <c r="Y69" s="201">
        <f>IFERROR(__xludf.DUMMYFUNCTION("""COMPUTED_VALUE"""),0.0)</f>
        <v>0</v>
      </c>
      <c r="Z69" s="201">
        <f t="shared" si="12"/>
        <v>0</v>
      </c>
      <c r="AA69" s="201">
        <f t="shared" si="13"/>
        <v>0</v>
      </c>
      <c r="AB69" s="201">
        <f t="shared" si="14"/>
        <v>0</v>
      </c>
    </row>
    <row r="70" ht="14.25" customHeight="1">
      <c r="A70" s="175"/>
      <c r="B70" s="196"/>
      <c r="C70" s="181"/>
      <c r="D70" s="197" t="s">
        <v>818</v>
      </c>
      <c r="E70" s="183">
        <f>SUMIFS('DB WBS'!$J:$J,'DB WBS'!$A:$A,$D$4,'DB WBS'!$D:$D,AA$1,'DB WBS'!$B:$B,$E$3,'DB WBS'!$E:$E,$B70)</f>
        <v>0</v>
      </c>
      <c r="F70" s="183">
        <f>SUMIFS('DB WBS'!$J:$J,'DB WBS'!$A:$A,$D$4,'DB WBS'!$D:$D,AA$2,'DB WBS'!$B:$B,$E$3,'DB WBS'!$E:$E,$B70)</f>
        <v>0</v>
      </c>
      <c r="G70" s="184">
        <f>IFERROR(HLOOKUP($E$3,'Tahun Lalu'!$B$5:$V$158,MATCH(B70,'Tahun Lalu'!$B$5:$B$158,0),0),0)</f>
        <v>0</v>
      </c>
      <c r="H70" s="184">
        <v>0.0</v>
      </c>
      <c r="I70" s="184">
        <v>0.0</v>
      </c>
      <c r="J70" s="183">
        <f t="shared" si="3"/>
        <v>0</v>
      </c>
      <c r="K70" s="183">
        <f t="shared" si="4"/>
        <v>0</v>
      </c>
      <c r="L70" s="183">
        <f t="shared" si="5"/>
        <v>0</v>
      </c>
      <c r="M70" s="183">
        <f t="shared" si="6"/>
        <v>0</v>
      </c>
      <c r="N70" s="183">
        <f t="shared" ref="N70:N72" si="86">E70+V70</f>
        <v>0</v>
      </c>
      <c r="O70" s="183">
        <f t="shared" ref="O70:Q70" si="85">G70+W70</f>
        <v>0</v>
      </c>
      <c r="P70" s="183">
        <f t="shared" si="85"/>
        <v>0</v>
      </c>
      <c r="Q70" s="183">
        <f t="shared" si="85"/>
        <v>0</v>
      </c>
      <c r="R70" s="183">
        <f t="shared" si="9"/>
        <v>0</v>
      </c>
      <c r="S70" s="183">
        <f t="shared" si="10"/>
        <v>0</v>
      </c>
      <c r="T70" s="183">
        <f t="shared" si="11"/>
        <v>0</v>
      </c>
      <c r="U70" s="186"/>
      <c r="V70" s="183">
        <f>IFERROR(__xludf.DUMMYFUNCTION("""COMPUTED_VALUE"""),0.0)</f>
        <v>0</v>
      </c>
      <c r="W70" s="183">
        <f>IFERROR(__xludf.DUMMYFUNCTION("""COMPUTED_VALUE"""),0.0)</f>
        <v>0</v>
      </c>
      <c r="X70" s="183">
        <f>IFERROR(__xludf.DUMMYFUNCTION("""COMPUTED_VALUE"""),0.0)</f>
        <v>0</v>
      </c>
      <c r="Y70" s="183">
        <f>IFERROR(__xludf.DUMMYFUNCTION("""COMPUTED_VALUE"""),0.0)</f>
        <v>0</v>
      </c>
      <c r="Z70" s="183">
        <f t="shared" si="12"/>
        <v>0</v>
      </c>
      <c r="AA70" s="183">
        <f t="shared" si="13"/>
        <v>0</v>
      </c>
      <c r="AB70" s="183">
        <f t="shared" si="14"/>
        <v>0</v>
      </c>
    </row>
    <row r="71" ht="14.25" customHeight="1">
      <c r="A71" s="175"/>
      <c r="B71" s="196"/>
      <c r="C71" s="181"/>
      <c r="D71" s="197" t="s">
        <v>819</v>
      </c>
      <c r="E71" s="183">
        <f>SUMIFS('DB WBS'!$J:$J,'DB WBS'!$A:$A,$D$4,'DB WBS'!$D:$D,AA$1,'DB WBS'!$B:$B,$E$3,'DB WBS'!$E:$E,$B71)</f>
        <v>0</v>
      </c>
      <c r="F71" s="183">
        <f>SUMIFS('DB WBS'!$J:$J,'DB WBS'!$A:$A,$D$4,'DB WBS'!$D:$D,AA$2,'DB WBS'!$B:$B,$E$3,'DB WBS'!$E:$E,$B71)</f>
        <v>0</v>
      </c>
      <c r="G71" s="184">
        <f>IFERROR(HLOOKUP($E$3,'Tahun Lalu'!$B$5:$V$158,MATCH(B71,'Tahun Lalu'!$B$5:$B$158,0),0),0)</f>
        <v>0</v>
      </c>
      <c r="H71" s="184">
        <v>0.0</v>
      </c>
      <c r="I71" s="184">
        <v>0.0</v>
      </c>
      <c r="J71" s="183">
        <f t="shared" si="3"/>
        <v>0</v>
      </c>
      <c r="K71" s="183">
        <f t="shared" si="4"/>
        <v>0</v>
      </c>
      <c r="L71" s="183">
        <f t="shared" si="5"/>
        <v>0</v>
      </c>
      <c r="M71" s="183">
        <f t="shared" si="6"/>
        <v>0</v>
      </c>
      <c r="N71" s="183">
        <f t="shared" si="86"/>
        <v>0</v>
      </c>
      <c r="O71" s="183">
        <f t="shared" ref="O71:Q71" si="87">G71+W71</f>
        <v>0</v>
      </c>
      <c r="P71" s="183">
        <f t="shared" si="87"/>
        <v>0</v>
      </c>
      <c r="Q71" s="183">
        <f t="shared" si="87"/>
        <v>0</v>
      </c>
      <c r="R71" s="183">
        <f t="shared" si="9"/>
        <v>0</v>
      </c>
      <c r="S71" s="183">
        <f t="shared" si="10"/>
        <v>0</v>
      </c>
      <c r="T71" s="183">
        <f t="shared" si="11"/>
        <v>0</v>
      </c>
      <c r="U71" s="186"/>
      <c r="V71" s="183">
        <f>IFERROR(__xludf.DUMMYFUNCTION("""COMPUTED_VALUE"""),0.0)</f>
        <v>0</v>
      </c>
      <c r="W71" s="183">
        <f>IFERROR(__xludf.DUMMYFUNCTION("""COMPUTED_VALUE"""),0.0)</f>
        <v>0</v>
      </c>
      <c r="X71" s="183">
        <f>IFERROR(__xludf.DUMMYFUNCTION("""COMPUTED_VALUE"""),0.0)</f>
        <v>0</v>
      </c>
      <c r="Y71" s="183">
        <f>IFERROR(__xludf.DUMMYFUNCTION("""COMPUTED_VALUE"""),0.0)</f>
        <v>0</v>
      </c>
      <c r="Z71" s="183">
        <f t="shared" si="12"/>
        <v>0</v>
      </c>
      <c r="AA71" s="183">
        <f t="shared" si="13"/>
        <v>0</v>
      </c>
      <c r="AB71" s="183">
        <f t="shared" si="14"/>
        <v>0</v>
      </c>
    </row>
    <row r="72" ht="14.25" customHeight="1">
      <c r="A72" s="175"/>
      <c r="B72" s="196"/>
      <c r="C72" s="181"/>
      <c r="D72" s="197"/>
      <c r="E72" s="183">
        <f>SUMIFS('DB WBS'!$J:$J,'DB WBS'!$A:$A,$D$4,'DB WBS'!$D:$D,AA$1,'DB WBS'!$B:$B,$E$3,'DB WBS'!$E:$E,$B72)</f>
        <v>0</v>
      </c>
      <c r="F72" s="183">
        <f>SUMIFS('DB WBS'!$J:$J,'DB WBS'!$A:$A,$D$4,'DB WBS'!$D:$D,AA$2,'DB WBS'!$B:$B,$E$3,'DB WBS'!$E:$E,$B72)</f>
        <v>0</v>
      </c>
      <c r="G72" s="184">
        <f>IFERROR(HLOOKUP($E$3,'Tahun Lalu'!$B$5:$V$158,MATCH(B72,'Tahun Lalu'!$B$5:$B$158,0),0),0)</f>
        <v>0</v>
      </c>
      <c r="H72" s="184">
        <v>0.0</v>
      </c>
      <c r="I72" s="184">
        <v>0.0</v>
      </c>
      <c r="J72" s="183">
        <f t="shared" si="3"/>
        <v>0</v>
      </c>
      <c r="K72" s="183">
        <f t="shared" si="4"/>
        <v>0</v>
      </c>
      <c r="L72" s="183">
        <f t="shared" si="5"/>
        <v>0</v>
      </c>
      <c r="M72" s="183">
        <f t="shared" si="6"/>
        <v>0</v>
      </c>
      <c r="N72" s="183">
        <f t="shared" si="86"/>
        <v>0</v>
      </c>
      <c r="O72" s="183">
        <f t="shared" ref="O72:Q72" si="88">G72+W72</f>
        <v>0</v>
      </c>
      <c r="P72" s="183">
        <f t="shared" si="88"/>
        <v>0</v>
      </c>
      <c r="Q72" s="183">
        <f t="shared" si="88"/>
        <v>0</v>
      </c>
      <c r="R72" s="183">
        <f t="shared" si="9"/>
        <v>0</v>
      </c>
      <c r="S72" s="183">
        <f t="shared" si="10"/>
        <v>0</v>
      </c>
      <c r="T72" s="183">
        <f t="shared" si="11"/>
        <v>0</v>
      </c>
      <c r="U72" s="186"/>
      <c r="V72" s="183">
        <f>IFERROR(__xludf.DUMMYFUNCTION("""COMPUTED_VALUE"""),0.0)</f>
        <v>0</v>
      </c>
      <c r="W72" s="183">
        <f>IFERROR(__xludf.DUMMYFUNCTION("""COMPUTED_VALUE"""),0.0)</f>
        <v>0</v>
      </c>
      <c r="X72" s="183">
        <f>IFERROR(__xludf.DUMMYFUNCTION("""COMPUTED_VALUE"""),0.0)</f>
        <v>0</v>
      </c>
      <c r="Y72" s="183">
        <f>IFERROR(__xludf.DUMMYFUNCTION("""COMPUTED_VALUE"""),0.0)</f>
        <v>0</v>
      </c>
      <c r="Z72" s="183">
        <f t="shared" si="12"/>
        <v>0</v>
      </c>
      <c r="AA72" s="183">
        <f t="shared" si="13"/>
        <v>0</v>
      </c>
      <c r="AB72" s="183">
        <f t="shared" si="14"/>
        <v>0</v>
      </c>
    </row>
    <row r="73" ht="14.25" customHeight="1">
      <c r="A73" s="175"/>
      <c r="B73" s="191" t="s">
        <v>820</v>
      </c>
      <c r="C73" s="199"/>
      <c r="D73" s="200"/>
      <c r="E73" s="201">
        <f t="shared" ref="E73:I73" si="89">SUM(E70:E72)</f>
        <v>0</v>
      </c>
      <c r="F73" s="201">
        <f t="shared" si="89"/>
        <v>0</v>
      </c>
      <c r="G73" s="201">
        <f t="shared" si="89"/>
        <v>0</v>
      </c>
      <c r="H73" s="201">
        <f t="shared" si="89"/>
        <v>0</v>
      </c>
      <c r="I73" s="201">
        <f t="shared" si="89"/>
        <v>0</v>
      </c>
      <c r="J73" s="201">
        <f t="shared" si="3"/>
        <v>0</v>
      </c>
      <c r="K73" s="201">
        <f t="shared" si="4"/>
        <v>0</v>
      </c>
      <c r="L73" s="201">
        <f t="shared" si="5"/>
        <v>0</v>
      </c>
      <c r="M73" s="201">
        <f t="shared" si="6"/>
        <v>0</v>
      </c>
      <c r="N73" s="201">
        <f t="shared" ref="N73:Q73" si="90">SUM(N70:N72)</f>
        <v>0</v>
      </c>
      <c r="O73" s="201">
        <f t="shared" si="90"/>
        <v>0</v>
      </c>
      <c r="P73" s="201">
        <f t="shared" si="90"/>
        <v>0</v>
      </c>
      <c r="Q73" s="201">
        <f t="shared" si="90"/>
        <v>0</v>
      </c>
      <c r="R73" s="201">
        <f t="shared" si="9"/>
        <v>0</v>
      </c>
      <c r="S73" s="201">
        <f t="shared" si="10"/>
        <v>0</v>
      </c>
      <c r="T73" s="201">
        <f t="shared" si="11"/>
        <v>0</v>
      </c>
      <c r="U73" s="202"/>
      <c r="V73" s="201">
        <f>IFERROR(__xludf.DUMMYFUNCTION("""COMPUTED_VALUE"""),0.0)</f>
        <v>0</v>
      </c>
      <c r="W73" s="201">
        <f>IFERROR(__xludf.DUMMYFUNCTION("""COMPUTED_VALUE"""),0.0)</f>
        <v>0</v>
      </c>
      <c r="X73" s="201">
        <f>IFERROR(__xludf.DUMMYFUNCTION("""COMPUTED_VALUE"""),0.0)</f>
        <v>0</v>
      </c>
      <c r="Y73" s="201">
        <f>IFERROR(__xludf.DUMMYFUNCTION("""COMPUTED_VALUE"""),0.0)</f>
        <v>0</v>
      </c>
      <c r="Z73" s="201">
        <f t="shared" si="12"/>
        <v>0</v>
      </c>
      <c r="AA73" s="201">
        <f t="shared" si="13"/>
        <v>0</v>
      </c>
      <c r="AB73" s="201">
        <f t="shared" si="14"/>
        <v>0</v>
      </c>
    </row>
    <row r="74" ht="14.25" customHeight="1">
      <c r="A74" s="175"/>
      <c r="B74" s="203"/>
      <c r="C74" s="181"/>
      <c r="D74" s="197"/>
      <c r="E74" s="183">
        <f>SUMIFS('DB WBS'!$J:$J,'DB WBS'!$A:$A,$D$4,'DB WBS'!$D:$D,AA$1,'DB WBS'!$B:$B,$E$3,'DB WBS'!$E:$E,$B74)</f>
        <v>0</v>
      </c>
      <c r="F74" s="183">
        <f>SUMIFS('DB WBS'!$J:$J,'DB WBS'!$A:$A,$D$4,'DB WBS'!$D:$D,AA$2,'DB WBS'!$B:$B,$E$3,'DB WBS'!$E:$E,$B74)</f>
        <v>0</v>
      </c>
      <c r="G74" s="184">
        <f>IFERROR(HLOOKUP($E$3,'Tahun Lalu'!$B$5:$V$158,MATCH(B74,'Tahun Lalu'!$B$5:$B$158,0),0),0)</f>
        <v>0</v>
      </c>
      <c r="H74" s="184">
        <v>0.0</v>
      </c>
      <c r="I74" s="184">
        <v>0.0</v>
      </c>
      <c r="J74" s="183">
        <f t="shared" si="3"/>
        <v>0</v>
      </c>
      <c r="K74" s="183">
        <f t="shared" si="4"/>
        <v>0</v>
      </c>
      <c r="L74" s="183">
        <f t="shared" si="5"/>
        <v>0</v>
      </c>
      <c r="M74" s="183">
        <f t="shared" si="6"/>
        <v>0</v>
      </c>
      <c r="N74" s="183">
        <f t="shared" ref="N74:N75" si="92">E74+V74</f>
        <v>0</v>
      </c>
      <c r="O74" s="183">
        <f t="shared" ref="O74:Q74" si="91">G74+W74</f>
        <v>0</v>
      </c>
      <c r="P74" s="183">
        <f t="shared" si="91"/>
        <v>0</v>
      </c>
      <c r="Q74" s="183">
        <f t="shared" si="91"/>
        <v>0</v>
      </c>
      <c r="R74" s="183">
        <f t="shared" si="9"/>
        <v>0</v>
      </c>
      <c r="S74" s="183">
        <f t="shared" si="10"/>
        <v>0</v>
      </c>
      <c r="T74" s="183">
        <f t="shared" si="11"/>
        <v>0</v>
      </c>
      <c r="U74" s="186"/>
      <c r="V74" s="183">
        <f>IFERROR(__xludf.DUMMYFUNCTION("""COMPUTED_VALUE"""),0.0)</f>
        <v>0</v>
      </c>
      <c r="W74" s="183">
        <f>IFERROR(__xludf.DUMMYFUNCTION("""COMPUTED_VALUE"""),0.0)</f>
        <v>0</v>
      </c>
      <c r="X74" s="183">
        <f>IFERROR(__xludf.DUMMYFUNCTION("""COMPUTED_VALUE"""),0.0)</f>
        <v>0</v>
      </c>
      <c r="Y74" s="183">
        <f>IFERROR(__xludf.DUMMYFUNCTION("""COMPUTED_VALUE"""),0.0)</f>
        <v>0</v>
      </c>
      <c r="Z74" s="183">
        <f t="shared" si="12"/>
        <v>0</v>
      </c>
      <c r="AA74" s="183">
        <f t="shared" si="13"/>
        <v>0</v>
      </c>
      <c r="AB74" s="183">
        <f t="shared" si="14"/>
        <v>0</v>
      </c>
    </row>
    <row r="75" ht="14.25" customHeight="1">
      <c r="A75" s="175"/>
      <c r="B75" s="203"/>
      <c r="C75" s="181"/>
      <c r="D75" s="197"/>
      <c r="E75" s="183">
        <f>SUMIFS('DB WBS'!$J:$J,'DB WBS'!$A:$A,$D$4,'DB WBS'!$D:$D,AA$1,'DB WBS'!$B:$B,$E$3,'DB WBS'!$E:$E,$B75)</f>
        <v>0</v>
      </c>
      <c r="F75" s="183">
        <f>SUMIFS('DB WBS'!$J:$J,'DB WBS'!$A:$A,$D$4,'DB WBS'!$D:$D,AA$2,'DB WBS'!$B:$B,$E$3,'DB WBS'!$E:$E,$B75)</f>
        <v>0</v>
      </c>
      <c r="G75" s="184">
        <f>IFERROR(HLOOKUP($E$3,'Tahun Lalu'!$B$5:$V$158,MATCH(B75,'Tahun Lalu'!$B$5:$B$158,0),0),0)</f>
        <v>0</v>
      </c>
      <c r="H75" s="184">
        <v>0.0</v>
      </c>
      <c r="I75" s="184">
        <v>0.0</v>
      </c>
      <c r="J75" s="183">
        <f t="shared" si="3"/>
        <v>0</v>
      </c>
      <c r="K75" s="183">
        <f t="shared" si="4"/>
        <v>0</v>
      </c>
      <c r="L75" s="183">
        <f t="shared" si="5"/>
        <v>0</v>
      </c>
      <c r="M75" s="183">
        <f t="shared" si="6"/>
        <v>0</v>
      </c>
      <c r="N75" s="183">
        <f t="shared" si="92"/>
        <v>0</v>
      </c>
      <c r="O75" s="183">
        <f t="shared" ref="O75:Q75" si="93">G75+W75</f>
        <v>0</v>
      </c>
      <c r="P75" s="183">
        <f t="shared" si="93"/>
        <v>0</v>
      </c>
      <c r="Q75" s="183">
        <f t="shared" si="93"/>
        <v>0</v>
      </c>
      <c r="R75" s="183">
        <f t="shared" si="9"/>
        <v>0</v>
      </c>
      <c r="S75" s="183">
        <f t="shared" si="10"/>
        <v>0</v>
      </c>
      <c r="T75" s="183">
        <f t="shared" si="11"/>
        <v>0</v>
      </c>
      <c r="U75" s="186"/>
      <c r="V75" s="183">
        <f>IFERROR(__xludf.DUMMYFUNCTION("""COMPUTED_VALUE"""),0.0)</f>
        <v>0</v>
      </c>
      <c r="W75" s="183">
        <f>IFERROR(__xludf.DUMMYFUNCTION("""COMPUTED_VALUE"""),0.0)</f>
        <v>0</v>
      </c>
      <c r="X75" s="183">
        <f>IFERROR(__xludf.DUMMYFUNCTION("""COMPUTED_VALUE"""),0.0)</f>
        <v>0</v>
      </c>
      <c r="Y75" s="183">
        <f>IFERROR(__xludf.DUMMYFUNCTION("""COMPUTED_VALUE"""),0.0)</f>
        <v>0</v>
      </c>
      <c r="Z75" s="183">
        <f t="shared" si="12"/>
        <v>0</v>
      </c>
      <c r="AA75" s="183">
        <f t="shared" si="13"/>
        <v>0</v>
      </c>
      <c r="AB75" s="183">
        <f t="shared" si="14"/>
        <v>0</v>
      </c>
    </row>
    <row r="76" ht="14.25" customHeight="1">
      <c r="A76" s="175"/>
      <c r="B76" s="191" t="s">
        <v>821</v>
      </c>
      <c r="C76" s="199"/>
      <c r="D76" s="200"/>
      <c r="E76" s="201">
        <f t="shared" ref="E76:I76" si="94">SUM(E74:E75)</f>
        <v>0</v>
      </c>
      <c r="F76" s="201">
        <f t="shared" si="94"/>
        <v>0</v>
      </c>
      <c r="G76" s="201">
        <f t="shared" si="94"/>
        <v>0</v>
      </c>
      <c r="H76" s="201">
        <f t="shared" si="94"/>
        <v>0</v>
      </c>
      <c r="I76" s="201">
        <f t="shared" si="94"/>
        <v>0</v>
      </c>
      <c r="J76" s="201">
        <f t="shared" si="3"/>
        <v>0</v>
      </c>
      <c r="K76" s="201">
        <f t="shared" si="4"/>
        <v>0</v>
      </c>
      <c r="L76" s="201">
        <f t="shared" si="5"/>
        <v>0</v>
      </c>
      <c r="M76" s="201">
        <f t="shared" si="6"/>
        <v>0</v>
      </c>
      <c r="N76" s="201">
        <f t="shared" ref="N76:Q76" si="95">SUM(N74:N75)</f>
        <v>0</v>
      </c>
      <c r="O76" s="201">
        <f t="shared" si="95"/>
        <v>0</v>
      </c>
      <c r="P76" s="201">
        <f t="shared" si="95"/>
        <v>0</v>
      </c>
      <c r="Q76" s="201">
        <f t="shared" si="95"/>
        <v>0</v>
      </c>
      <c r="R76" s="201">
        <f t="shared" si="9"/>
        <v>0</v>
      </c>
      <c r="S76" s="201">
        <f t="shared" si="10"/>
        <v>0</v>
      </c>
      <c r="T76" s="201">
        <f t="shared" si="11"/>
        <v>0</v>
      </c>
      <c r="U76" s="202"/>
      <c r="V76" s="201">
        <f>IFERROR(__xludf.DUMMYFUNCTION("""COMPUTED_VALUE"""),0.0)</f>
        <v>0</v>
      </c>
      <c r="W76" s="201">
        <f>IFERROR(__xludf.DUMMYFUNCTION("""COMPUTED_VALUE"""),0.0)</f>
        <v>0</v>
      </c>
      <c r="X76" s="201">
        <f>IFERROR(__xludf.DUMMYFUNCTION("""COMPUTED_VALUE"""),0.0)</f>
        <v>0</v>
      </c>
      <c r="Y76" s="201">
        <f>IFERROR(__xludf.DUMMYFUNCTION("""COMPUTED_VALUE"""),0.0)</f>
        <v>0</v>
      </c>
      <c r="Z76" s="201">
        <f t="shared" si="12"/>
        <v>0</v>
      </c>
      <c r="AA76" s="201">
        <f t="shared" si="13"/>
        <v>0</v>
      </c>
      <c r="AB76" s="201">
        <f t="shared" si="14"/>
        <v>0</v>
      </c>
    </row>
    <row r="77" ht="14.25" customHeight="1">
      <c r="A77" s="175"/>
      <c r="B77" s="204" t="s">
        <v>822</v>
      </c>
      <c r="C77" s="205"/>
      <c r="D77" s="206"/>
      <c r="E77" s="207">
        <f t="shared" ref="E77:I77" si="96">E76+E73+E69+E64+E58+E45+E34+E32+E13+E11</f>
        <v>0</v>
      </c>
      <c r="F77" s="207">
        <f t="shared" si="96"/>
        <v>0</v>
      </c>
      <c r="G77" s="207">
        <f t="shared" si="96"/>
        <v>0</v>
      </c>
      <c r="H77" s="207">
        <f t="shared" si="96"/>
        <v>0</v>
      </c>
      <c r="I77" s="207">
        <f t="shared" si="96"/>
        <v>0</v>
      </c>
      <c r="J77" s="207">
        <f t="shared" si="3"/>
        <v>0</v>
      </c>
      <c r="K77" s="207">
        <f t="shared" si="4"/>
        <v>0</v>
      </c>
      <c r="L77" s="207">
        <f t="shared" si="5"/>
        <v>0</v>
      </c>
      <c r="M77" s="207">
        <f t="shared" si="6"/>
        <v>0</v>
      </c>
      <c r="N77" s="207">
        <f t="shared" ref="N77:Q77" si="97">N76+N73+N69+N64+N58+N45+N34+N32+N13+N11</f>
        <v>0</v>
      </c>
      <c r="O77" s="207">
        <f t="shared" si="97"/>
        <v>0</v>
      </c>
      <c r="P77" s="207">
        <f t="shared" si="97"/>
        <v>0</v>
      </c>
      <c r="Q77" s="207">
        <f t="shared" si="97"/>
        <v>0</v>
      </c>
      <c r="R77" s="207">
        <f t="shared" si="9"/>
        <v>0</v>
      </c>
      <c r="S77" s="207">
        <f t="shared" si="10"/>
        <v>0</v>
      </c>
      <c r="T77" s="207">
        <f t="shared" si="11"/>
        <v>0</v>
      </c>
      <c r="U77" s="202"/>
      <c r="V77" s="207">
        <f>IFERROR(__xludf.DUMMYFUNCTION("""COMPUTED_VALUE"""),0.0)</f>
        <v>0</v>
      </c>
      <c r="W77" s="207">
        <f>IFERROR(__xludf.DUMMYFUNCTION("""COMPUTED_VALUE"""),0.0)</f>
        <v>0</v>
      </c>
      <c r="X77" s="207">
        <f>IFERROR(__xludf.DUMMYFUNCTION("""COMPUTED_VALUE"""),0.0)</f>
        <v>0</v>
      </c>
      <c r="Y77" s="207">
        <f>IFERROR(__xludf.DUMMYFUNCTION("""COMPUTED_VALUE"""),0.0)</f>
        <v>0</v>
      </c>
      <c r="Z77" s="207">
        <f t="shared" si="12"/>
        <v>0</v>
      </c>
      <c r="AA77" s="207">
        <f t="shared" si="13"/>
        <v>0</v>
      </c>
      <c r="AB77" s="207">
        <f t="shared" si="14"/>
        <v>0</v>
      </c>
    </row>
    <row r="78" ht="14.25" customHeight="1">
      <c r="A78" s="175"/>
      <c r="B78" s="208" t="s">
        <v>20</v>
      </c>
      <c r="C78" s="181" t="s">
        <v>409</v>
      </c>
      <c r="D78" s="209" t="s">
        <v>140</v>
      </c>
      <c r="E78" s="183">
        <f>SUMIFS('DB WBS'!$J:$J,'DB WBS'!$A:$A,$D$4,'DB WBS'!$D:$D,AA$1,'DB WBS'!$B:$B,$E$3,'DB WBS'!$E:$E,$B78)</f>
        <v>0</v>
      </c>
      <c r="F78" s="183">
        <f>SUMIFS('DB WBS'!$J:$J,'DB WBS'!$A:$A,$D$4,'DB WBS'!$D:$D,AA$2,'DB WBS'!$B:$B,$E$3,'DB WBS'!$E:$E,$B78)</f>
        <v>0</v>
      </c>
      <c r="G78" s="184">
        <f>IFERROR(HLOOKUP($E$3,'Tahun Lalu'!$B$5:$V$158,MATCH(B78,'Tahun Lalu'!$B$5:$B$158,0),0),0)</f>
        <v>0</v>
      </c>
      <c r="H78" s="184">
        <v>0.0</v>
      </c>
      <c r="I78" s="184">
        <v>0.0</v>
      </c>
      <c r="J78" s="210">
        <f t="shared" si="3"/>
        <v>0</v>
      </c>
      <c r="K78" s="183">
        <f t="shared" si="4"/>
        <v>0</v>
      </c>
      <c r="L78" s="183">
        <f t="shared" si="5"/>
        <v>0</v>
      </c>
      <c r="M78" s="183">
        <f t="shared" si="6"/>
        <v>0</v>
      </c>
      <c r="N78" s="183">
        <f t="shared" ref="N78:N90" si="99">E78+V78</f>
        <v>0</v>
      </c>
      <c r="O78" s="183">
        <f t="shared" ref="O78:Q78" si="98">G78+W78</f>
        <v>349500</v>
      </c>
      <c r="P78" s="183">
        <f t="shared" si="98"/>
        <v>0</v>
      </c>
      <c r="Q78" s="183">
        <f t="shared" si="98"/>
        <v>0</v>
      </c>
      <c r="R78" s="210">
        <f t="shared" si="9"/>
        <v>0</v>
      </c>
      <c r="S78" s="183">
        <f t="shared" si="10"/>
        <v>0</v>
      </c>
      <c r="T78" s="183">
        <f t="shared" si="11"/>
        <v>0</v>
      </c>
      <c r="U78" s="186"/>
      <c r="V78" s="183">
        <f>IFERROR(__xludf.DUMMYFUNCTION("""COMPUTED_VALUE"""),0.0)</f>
        <v>0</v>
      </c>
      <c r="W78" s="183">
        <f>IFERROR(__xludf.DUMMYFUNCTION("""COMPUTED_VALUE"""),349500.0)</f>
        <v>349500</v>
      </c>
      <c r="X78" s="183">
        <f>IFERROR(__xludf.DUMMYFUNCTION("""COMPUTED_VALUE"""),0.0)</f>
        <v>0</v>
      </c>
      <c r="Y78" s="183">
        <f>IFERROR(__xludf.DUMMYFUNCTION("""COMPUTED_VALUE"""),0.0)</f>
        <v>0</v>
      </c>
      <c r="Z78" s="210">
        <f t="shared" si="12"/>
        <v>0</v>
      </c>
      <c r="AA78" s="183">
        <f t="shared" si="13"/>
        <v>0</v>
      </c>
      <c r="AB78" s="183">
        <f t="shared" si="14"/>
        <v>0</v>
      </c>
    </row>
    <row r="79" ht="14.25" customHeight="1">
      <c r="A79" s="175"/>
      <c r="B79" s="208" t="s">
        <v>823</v>
      </c>
      <c r="C79" s="181"/>
      <c r="D79" s="209" t="s">
        <v>192</v>
      </c>
      <c r="E79" s="183">
        <f>SUMIFS('DB WBS'!$J:$J,'DB WBS'!$A:$A,$D$4,'DB WBS'!$D:$D,AA$1,'DB WBS'!$B:$B,$E$3,'DB WBS'!$E:$E,$B79)</f>
        <v>0</v>
      </c>
      <c r="F79" s="183">
        <f>SUMIFS('DB WBS'!$J:$J,'DB WBS'!$A:$A,$D$4,'DB WBS'!$D:$D,AA$2,'DB WBS'!$B:$B,$E$3,'DB WBS'!$E:$E,$B79)</f>
        <v>0</v>
      </c>
      <c r="G79" s="184">
        <f>IFERROR(HLOOKUP($E$3,'Tahun Lalu'!$B$5:$V$158,MATCH(B79,'Tahun Lalu'!$B$5:$B$158,0),0),0)</f>
        <v>0</v>
      </c>
      <c r="H79" s="184">
        <v>0.0</v>
      </c>
      <c r="I79" s="184">
        <v>0.0</v>
      </c>
      <c r="J79" s="183">
        <f t="shared" si="3"/>
        <v>0</v>
      </c>
      <c r="K79" s="183">
        <f t="shared" si="4"/>
        <v>0</v>
      </c>
      <c r="L79" s="183">
        <f t="shared" si="5"/>
        <v>0</v>
      </c>
      <c r="M79" s="183">
        <f t="shared" si="6"/>
        <v>0</v>
      </c>
      <c r="N79" s="183">
        <f t="shared" si="99"/>
        <v>0</v>
      </c>
      <c r="O79" s="183">
        <f t="shared" ref="O79:Q79" si="100">G79+W79</f>
        <v>0</v>
      </c>
      <c r="P79" s="183">
        <f t="shared" si="100"/>
        <v>0</v>
      </c>
      <c r="Q79" s="183">
        <f t="shared" si="100"/>
        <v>0</v>
      </c>
      <c r="R79" s="183">
        <f t="shared" si="9"/>
        <v>0</v>
      </c>
      <c r="S79" s="183">
        <f t="shared" si="10"/>
        <v>0</v>
      </c>
      <c r="T79" s="183">
        <f t="shared" si="11"/>
        <v>0</v>
      </c>
      <c r="U79" s="186"/>
      <c r="V79" s="183">
        <f>IFERROR(__xludf.DUMMYFUNCTION("""COMPUTED_VALUE"""),0.0)</f>
        <v>0</v>
      </c>
      <c r="W79" s="183">
        <f>IFERROR(__xludf.DUMMYFUNCTION("""COMPUTED_VALUE"""),0.0)</f>
        <v>0</v>
      </c>
      <c r="X79" s="183">
        <f>IFERROR(__xludf.DUMMYFUNCTION("""COMPUTED_VALUE"""),0.0)</f>
        <v>0</v>
      </c>
      <c r="Y79" s="183">
        <f>IFERROR(__xludf.DUMMYFUNCTION("""COMPUTED_VALUE"""),0.0)</f>
        <v>0</v>
      </c>
      <c r="Z79" s="183">
        <f t="shared" si="12"/>
        <v>0</v>
      </c>
      <c r="AA79" s="183">
        <f t="shared" si="13"/>
        <v>0</v>
      </c>
      <c r="AB79" s="183">
        <f t="shared" si="14"/>
        <v>0</v>
      </c>
    </row>
    <row r="80" ht="14.25" customHeight="1">
      <c r="A80" s="175"/>
      <c r="B80" s="208" t="s">
        <v>43</v>
      </c>
      <c r="C80" s="181"/>
      <c r="D80" s="209" t="s">
        <v>44</v>
      </c>
      <c r="E80" s="183">
        <f>SUMIFS('DB WBS'!$J:$J,'DB WBS'!$A:$A,$D$4,'DB WBS'!$D:$D,AA$1,'DB WBS'!$B:$B,$E$3,'DB WBS'!$E:$E,$B80)</f>
        <v>0</v>
      </c>
      <c r="F80" s="183">
        <f>SUMIFS('DB WBS'!$J:$J,'DB WBS'!$A:$A,$D$4,'DB WBS'!$D:$D,AA$2,'DB WBS'!$B:$B,$E$3,'DB WBS'!$E:$E,$B80)</f>
        <v>0</v>
      </c>
      <c r="G80" s="184">
        <f>IFERROR(HLOOKUP($E$3,'Tahun Lalu'!$B$5:$V$158,MATCH(B80,'Tahun Lalu'!$B$5:$B$158,0),0),0)</f>
        <v>0</v>
      </c>
      <c r="H80" s="184">
        <v>0.0</v>
      </c>
      <c r="I80" s="184">
        <v>0.0</v>
      </c>
      <c r="J80" s="183">
        <f t="shared" si="3"/>
        <v>0</v>
      </c>
      <c r="K80" s="183">
        <f t="shared" si="4"/>
        <v>0</v>
      </c>
      <c r="L80" s="183">
        <f t="shared" si="5"/>
        <v>0</v>
      </c>
      <c r="M80" s="183">
        <f t="shared" si="6"/>
        <v>0</v>
      </c>
      <c r="N80" s="183">
        <f t="shared" si="99"/>
        <v>0</v>
      </c>
      <c r="O80" s="183">
        <f t="shared" ref="O80:Q80" si="101">G80+W80</f>
        <v>0</v>
      </c>
      <c r="P80" s="183">
        <f t="shared" si="101"/>
        <v>0</v>
      </c>
      <c r="Q80" s="183">
        <f t="shared" si="101"/>
        <v>0</v>
      </c>
      <c r="R80" s="183">
        <f t="shared" si="9"/>
        <v>0</v>
      </c>
      <c r="S80" s="183">
        <f t="shared" si="10"/>
        <v>0</v>
      </c>
      <c r="T80" s="183">
        <f t="shared" si="11"/>
        <v>0</v>
      </c>
      <c r="U80" s="186"/>
      <c r="V80" s="183">
        <f>IFERROR(__xludf.DUMMYFUNCTION("""COMPUTED_VALUE"""),0.0)</f>
        <v>0</v>
      </c>
      <c r="W80" s="183">
        <f>IFERROR(__xludf.DUMMYFUNCTION("""COMPUTED_VALUE"""),0.0)</f>
        <v>0</v>
      </c>
      <c r="X80" s="183">
        <f>IFERROR(__xludf.DUMMYFUNCTION("""COMPUTED_VALUE"""),0.0)</f>
        <v>0</v>
      </c>
      <c r="Y80" s="183">
        <f>IFERROR(__xludf.DUMMYFUNCTION("""COMPUTED_VALUE"""),0.0)</f>
        <v>0</v>
      </c>
      <c r="Z80" s="183">
        <f t="shared" si="12"/>
        <v>0</v>
      </c>
      <c r="AA80" s="183">
        <f t="shared" si="13"/>
        <v>0</v>
      </c>
      <c r="AB80" s="183">
        <f t="shared" si="14"/>
        <v>0</v>
      </c>
    </row>
    <row r="81" ht="14.25" customHeight="1">
      <c r="A81" s="175"/>
      <c r="B81" s="208" t="s">
        <v>14</v>
      </c>
      <c r="C81" s="181"/>
      <c r="D81" s="209" t="s">
        <v>15</v>
      </c>
      <c r="E81" s="183">
        <f>SUMIFS('DB WBS'!$J:$J,'DB WBS'!$A:$A,$D$4,'DB WBS'!$D:$D,AA$1,'DB WBS'!$B:$B,$E$3,'DB WBS'!$E:$E,$B81)</f>
        <v>0</v>
      </c>
      <c r="F81" s="183">
        <f>SUMIFS('DB WBS'!$J:$J,'DB WBS'!$A:$A,$D$4,'DB WBS'!$D:$D,AA$2,'DB WBS'!$B:$B,$E$3,'DB WBS'!$E:$E,$B81)</f>
        <v>0</v>
      </c>
      <c r="G81" s="184">
        <f>IFERROR(HLOOKUP($E$3,'Tahun Lalu'!$B$5:$V$158,MATCH(B81,'Tahun Lalu'!$B$5:$B$158,0),0),0)</f>
        <v>0</v>
      </c>
      <c r="H81" s="184">
        <v>0.0</v>
      </c>
      <c r="I81" s="184">
        <v>0.0</v>
      </c>
      <c r="J81" s="183">
        <f t="shared" si="3"/>
        <v>0</v>
      </c>
      <c r="K81" s="183">
        <f t="shared" si="4"/>
        <v>0</v>
      </c>
      <c r="L81" s="183">
        <f t="shared" si="5"/>
        <v>0</v>
      </c>
      <c r="M81" s="183">
        <f t="shared" si="6"/>
        <v>0</v>
      </c>
      <c r="N81" s="183">
        <f t="shared" si="99"/>
        <v>0</v>
      </c>
      <c r="O81" s="183">
        <f t="shared" ref="O81:Q81" si="102">G81+W81</f>
        <v>0</v>
      </c>
      <c r="P81" s="183">
        <f t="shared" si="102"/>
        <v>0</v>
      </c>
      <c r="Q81" s="183">
        <f t="shared" si="102"/>
        <v>0</v>
      </c>
      <c r="R81" s="183">
        <f t="shared" si="9"/>
        <v>0</v>
      </c>
      <c r="S81" s="183">
        <f t="shared" si="10"/>
        <v>0</v>
      </c>
      <c r="T81" s="183">
        <f t="shared" si="11"/>
        <v>0</v>
      </c>
      <c r="U81" s="186"/>
      <c r="V81" s="183">
        <f>IFERROR(__xludf.DUMMYFUNCTION("""COMPUTED_VALUE"""),0.0)</f>
        <v>0</v>
      </c>
      <c r="W81" s="183">
        <f>IFERROR(__xludf.DUMMYFUNCTION("""COMPUTED_VALUE"""),0.0)</f>
        <v>0</v>
      </c>
      <c r="X81" s="183">
        <f>IFERROR(__xludf.DUMMYFUNCTION("""COMPUTED_VALUE"""),0.0)</f>
        <v>0</v>
      </c>
      <c r="Y81" s="183">
        <f>IFERROR(__xludf.DUMMYFUNCTION("""COMPUTED_VALUE"""),0.0)</f>
        <v>0</v>
      </c>
      <c r="Z81" s="183">
        <f t="shared" si="12"/>
        <v>0</v>
      </c>
      <c r="AA81" s="183">
        <f t="shared" si="13"/>
        <v>0</v>
      </c>
      <c r="AB81" s="183">
        <f t="shared" si="14"/>
        <v>0</v>
      </c>
    </row>
    <row r="82" ht="14.25" customHeight="1">
      <c r="A82" s="175"/>
      <c r="B82" s="208" t="s">
        <v>68</v>
      </c>
      <c r="C82" s="181"/>
      <c r="D82" s="209" t="s">
        <v>69</v>
      </c>
      <c r="E82" s="183">
        <f>SUMIFS('DB WBS'!$J:$J,'DB WBS'!$A:$A,$D$4,'DB WBS'!$D:$D,AA$1,'DB WBS'!$B:$B,$E$3,'DB WBS'!$E:$E,$B82)</f>
        <v>1928688</v>
      </c>
      <c r="F82" s="183">
        <f>SUMIFS('DB WBS'!$J:$J,'DB WBS'!$A:$A,$D$4,'DB WBS'!$D:$D,AA$2,'DB WBS'!$B:$B,$E$3,'DB WBS'!$E:$E,$B82)</f>
        <v>1872784</v>
      </c>
      <c r="G82" s="184">
        <f>IFERROR(HLOOKUP($E$3,'Tahun Lalu'!$B$5:$V$158,MATCH(B82,'Tahun Lalu'!$B$5:$B$158,0),0),0)</f>
        <v>4961480</v>
      </c>
      <c r="H82" s="184">
        <v>0.0</v>
      </c>
      <c r="I82" s="184">
        <v>0.0</v>
      </c>
      <c r="J82" s="183">
        <f t="shared" si="3"/>
        <v>102.9850746</v>
      </c>
      <c r="K82" s="183">
        <f t="shared" si="4"/>
        <v>38.87323944</v>
      </c>
      <c r="L82" s="183">
        <f t="shared" si="5"/>
        <v>0</v>
      </c>
      <c r="M82" s="183">
        <f t="shared" si="6"/>
        <v>0</v>
      </c>
      <c r="N82" s="183">
        <f t="shared" si="99"/>
        <v>9182232</v>
      </c>
      <c r="O82" s="183">
        <f t="shared" ref="O82:Q82" si="103">G82+W82</f>
        <v>15010224</v>
      </c>
      <c r="P82" s="183">
        <f t="shared" si="103"/>
        <v>0</v>
      </c>
      <c r="Q82" s="183">
        <f t="shared" si="103"/>
        <v>0</v>
      </c>
      <c r="R82" s="183">
        <f t="shared" si="9"/>
        <v>61.17318436</v>
      </c>
      <c r="S82" s="183">
        <f t="shared" si="10"/>
        <v>0</v>
      </c>
      <c r="T82" s="183">
        <f t="shared" si="11"/>
        <v>0</v>
      </c>
      <c r="U82" s="186"/>
      <c r="V82" s="183">
        <f>IFERROR(__xludf.DUMMYFUNCTION("""COMPUTED_VALUE"""),7253544.0)</f>
        <v>7253544</v>
      </c>
      <c r="W82" s="183">
        <f>IFERROR(__xludf.DUMMYFUNCTION("""COMPUTED_VALUE"""),1.0048744E7)</f>
        <v>10048744</v>
      </c>
      <c r="X82" s="183">
        <f>IFERROR(__xludf.DUMMYFUNCTION("""COMPUTED_VALUE"""),0.0)</f>
        <v>0</v>
      </c>
      <c r="Y82" s="183">
        <f>IFERROR(__xludf.DUMMYFUNCTION("""COMPUTED_VALUE"""),0.0)</f>
        <v>0</v>
      </c>
      <c r="Z82" s="183">
        <f t="shared" si="12"/>
        <v>72.18358832</v>
      </c>
      <c r="AA82" s="183">
        <f t="shared" si="13"/>
        <v>0</v>
      </c>
      <c r="AB82" s="183">
        <f t="shared" si="14"/>
        <v>0</v>
      </c>
    </row>
    <row r="83" ht="14.25" customHeight="1">
      <c r="A83" s="175"/>
      <c r="B83" s="208" t="s">
        <v>824</v>
      </c>
      <c r="C83" s="181"/>
      <c r="D83" s="209" t="s">
        <v>825</v>
      </c>
      <c r="E83" s="183">
        <f>SUMIFS('DB WBS'!$J:$J,'DB WBS'!$A:$A,$D$4,'DB WBS'!$D:$D,AA$1,'DB WBS'!$B:$B,$E$3,'DB WBS'!$E:$E,$B83)</f>
        <v>0</v>
      </c>
      <c r="F83" s="183">
        <f>SUMIFS('DB WBS'!$J:$J,'DB WBS'!$A:$A,$D$4,'DB WBS'!$D:$D,AA$2,'DB WBS'!$B:$B,$E$3,'DB WBS'!$E:$E,$B83)</f>
        <v>0</v>
      </c>
      <c r="G83" s="184">
        <f>IFERROR(HLOOKUP($E$3,'Tahun Lalu'!$B$5:$V$158,MATCH(B83,'Tahun Lalu'!$B$5:$B$158,0),0),0)</f>
        <v>0</v>
      </c>
      <c r="H83" s="184">
        <v>0.0</v>
      </c>
      <c r="I83" s="184">
        <v>0.0</v>
      </c>
      <c r="J83" s="183">
        <f t="shared" si="3"/>
        <v>0</v>
      </c>
      <c r="K83" s="183">
        <f t="shared" si="4"/>
        <v>0</v>
      </c>
      <c r="L83" s="183">
        <f t="shared" si="5"/>
        <v>0</v>
      </c>
      <c r="M83" s="183">
        <f t="shared" si="6"/>
        <v>0</v>
      </c>
      <c r="N83" s="183">
        <f t="shared" si="99"/>
        <v>0</v>
      </c>
      <c r="O83" s="183">
        <f t="shared" ref="O83:Q83" si="104">G83+W83</f>
        <v>0</v>
      </c>
      <c r="P83" s="183">
        <f t="shared" si="104"/>
        <v>0</v>
      </c>
      <c r="Q83" s="183">
        <f t="shared" si="104"/>
        <v>0</v>
      </c>
      <c r="R83" s="183">
        <f t="shared" si="9"/>
        <v>0</v>
      </c>
      <c r="S83" s="183">
        <f t="shared" si="10"/>
        <v>0</v>
      </c>
      <c r="T83" s="183">
        <f t="shared" si="11"/>
        <v>0</v>
      </c>
      <c r="U83" s="186"/>
      <c r="V83" s="183">
        <f>IFERROR(__xludf.DUMMYFUNCTION("""COMPUTED_VALUE"""),0.0)</f>
        <v>0</v>
      </c>
      <c r="W83" s="183">
        <f>IFERROR(__xludf.DUMMYFUNCTION("""COMPUTED_VALUE"""),0.0)</f>
        <v>0</v>
      </c>
      <c r="X83" s="183">
        <f>IFERROR(__xludf.DUMMYFUNCTION("""COMPUTED_VALUE"""),0.0)</f>
        <v>0</v>
      </c>
      <c r="Y83" s="183">
        <f>IFERROR(__xludf.DUMMYFUNCTION("""COMPUTED_VALUE"""),0.0)</f>
        <v>0</v>
      </c>
      <c r="Z83" s="183">
        <f t="shared" si="12"/>
        <v>0</v>
      </c>
      <c r="AA83" s="183">
        <f t="shared" si="13"/>
        <v>0</v>
      </c>
      <c r="AB83" s="183">
        <f t="shared" si="14"/>
        <v>0</v>
      </c>
    </row>
    <row r="84" ht="14.25" customHeight="1">
      <c r="A84" s="175"/>
      <c r="B84" s="208" t="s">
        <v>826</v>
      </c>
      <c r="C84" s="181"/>
      <c r="D84" s="209" t="s">
        <v>827</v>
      </c>
      <c r="E84" s="183">
        <f>SUMIFS('DB WBS'!$J:$J,'DB WBS'!$A:$A,$D$4,'DB WBS'!$D:$D,AA$1,'DB WBS'!$B:$B,$E$3,'DB WBS'!$E:$E,$B84)</f>
        <v>0</v>
      </c>
      <c r="F84" s="183">
        <f>SUMIFS('DB WBS'!$J:$J,'DB WBS'!$A:$A,$D$4,'DB WBS'!$D:$D,AA$2,'DB WBS'!$B:$B,$E$3,'DB WBS'!$E:$E,$B84)</f>
        <v>0</v>
      </c>
      <c r="G84" s="184">
        <f>IFERROR(HLOOKUP($E$3,'Tahun Lalu'!$B$5:$V$158,MATCH(B84,'Tahun Lalu'!$B$5:$B$158,0),0),0)</f>
        <v>0</v>
      </c>
      <c r="H84" s="184">
        <v>0.0</v>
      </c>
      <c r="I84" s="184">
        <v>0.0</v>
      </c>
      <c r="J84" s="183">
        <f t="shared" si="3"/>
        <v>0</v>
      </c>
      <c r="K84" s="183">
        <f t="shared" si="4"/>
        <v>0</v>
      </c>
      <c r="L84" s="183">
        <f t="shared" si="5"/>
        <v>0</v>
      </c>
      <c r="M84" s="183">
        <f t="shared" si="6"/>
        <v>0</v>
      </c>
      <c r="N84" s="183">
        <f t="shared" si="99"/>
        <v>0</v>
      </c>
      <c r="O84" s="183">
        <f t="shared" ref="O84:Q84" si="105">G84+W84</f>
        <v>0</v>
      </c>
      <c r="P84" s="183">
        <f t="shared" si="105"/>
        <v>0</v>
      </c>
      <c r="Q84" s="183">
        <f t="shared" si="105"/>
        <v>0</v>
      </c>
      <c r="R84" s="183">
        <f t="shared" si="9"/>
        <v>0</v>
      </c>
      <c r="S84" s="183">
        <f t="shared" si="10"/>
        <v>0</v>
      </c>
      <c r="T84" s="183">
        <f t="shared" si="11"/>
        <v>0</v>
      </c>
      <c r="U84" s="186"/>
      <c r="V84" s="183">
        <f>IFERROR(__xludf.DUMMYFUNCTION("""COMPUTED_VALUE"""),0.0)</f>
        <v>0</v>
      </c>
      <c r="W84" s="183">
        <f>IFERROR(__xludf.DUMMYFUNCTION("""COMPUTED_VALUE"""),0.0)</f>
        <v>0</v>
      </c>
      <c r="X84" s="183">
        <f>IFERROR(__xludf.DUMMYFUNCTION("""COMPUTED_VALUE"""),0.0)</f>
        <v>0</v>
      </c>
      <c r="Y84" s="183">
        <f>IFERROR(__xludf.DUMMYFUNCTION("""COMPUTED_VALUE"""),0.0)</f>
        <v>0</v>
      </c>
      <c r="Z84" s="183">
        <f t="shared" si="12"/>
        <v>0</v>
      </c>
      <c r="AA84" s="183">
        <f t="shared" si="13"/>
        <v>0</v>
      </c>
      <c r="AB84" s="183">
        <f t="shared" si="14"/>
        <v>0</v>
      </c>
    </row>
    <row r="85" ht="14.25" customHeight="1">
      <c r="A85" s="175"/>
      <c r="B85" s="208" t="s">
        <v>828</v>
      </c>
      <c r="C85" s="181"/>
      <c r="D85" s="209" t="s">
        <v>829</v>
      </c>
      <c r="E85" s="183">
        <f>SUMIFS('DB WBS'!$J:$J,'DB WBS'!$A:$A,$D$4,'DB WBS'!$D:$D,AA$1,'DB WBS'!$B:$B,$E$3,'DB WBS'!$E:$E,$B85)</f>
        <v>0</v>
      </c>
      <c r="F85" s="183">
        <f>SUMIFS('DB WBS'!$J:$J,'DB WBS'!$A:$A,$D$4,'DB WBS'!$D:$D,AA$2,'DB WBS'!$B:$B,$E$3,'DB WBS'!$E:$E,$B85)</f>
        <v>0</v>
      </c>
      <c r="G85" s="184">
        <f>IFERROR(HLOOKUP($E$3,'Tahun Lalu'!$B$5:$V$158,MATCH(B85,'Tahun Lalu'!$B$5:$B$158,0),0),0)</f>
        <v>0</v>
      </c>
      <c r="H85" s="184">
        <v>0.0</v>
      </c>
      <c r="I85" s="184">
        <v>0.0</v>
      </c>
      <c r="J85" s="183">
        <f t="shared" si="3"/>
        <v>0</v>
      </c>
      <c r="K85" s="183">
        <f t="shared" si="4"/>
        <v>0</v>
      </c>
      <c r="L85" s="183">
        <f t="shared" si="5"/>
        <v>0</v>
      </c>
      <c r="M85" s="183">
        <f t="shared" si="6"/>
        <v>0</v>
      </c>
      <c r="N85" s="183">
        <f t="shared" si="99"/>
        <v>0</v>
      </c>
      <c r="O85" s="183">
        <f t="shared" ref="O85:Q85" si="106">G85+W85</f>
        <v>0</v>
      </c>
      <c r="P85" s="183">
        <f t="shared" si="106"/>
        <v>0</v>
      </c>
      <c r="Q85" s="183">
        <f t="shared" si="106"/>
        <v>0</v>
      </c>
      <c r="R85" s="183">
        <f t="shared" si="9"/>
        <v>0</v>
      </c>
      <c r="S85" s="183">
        <f t="shared" si="10"/>
        <v>0</v>
      </c>
      <c r="T85" s="183">
        <f t="shared" si="11"/>
        <v>0</v>
      </c>
      <c r="U85" s="186"/>
      <c r="V85" s="183">
        <f>IFERROR(__xludf.DUMMYFUNCTION("""COMPUTED_VALUE"""),0.0)</f>
        <v>0</v>
      </c>
      <c r="W85" s="183">
        <f>IFERROR(__xludf.DUMMYFUNCTION("""COMPUTED_VALUE"""),0.0)</f>
        <v>0</v>
      </c>
      <c r="X85" s="183">
        <f>IFERROR(__xludf.DUMMYFUNCTION("""COMPUTED_VALUE"""),0.0)</f>
        <v>0</v>
      </c>
      <c r="Y85" s="183">
        <f>IFERROR(__xludf.DUMMYFUNCTION("""COMPUTED_VALUE"""),0.0)</f>
        <v>0</v>
      </c>
      <c r="Z85" s="183">
        <f t="shared" si="12"/>
        <v>0</v>
      </c>
      <c r="AA85" s="183">
        <f t="shared" si="13"/>
        <v>0</v>
      </c>
      <c r="AB85" s="183">
        <f t="shared" si="14"/>
        <v>0</v>
      </c>
    </row>
    <row r="86" ht="14.25" customHeight="1">
      <c r="A86" s="175"/>
      <c r="B86" s="208" t="s">
        <v>51</v>
      </c>
      <c r="C86" s="181"/>
      <c r="D86" s="209" t="s">
        <v>52</v>
      </c>
      <c r="E86" s="183">
        <f>SUMIFS('DB WBS'!$J:$J,'DB WBS'!$A:$A,$D$4,'DB WBS'!$D:$D,AA$1,'DB WBS'!$B:$B,$E$3,'DB WBS'!$E:$E,$B86)</f>
        <v>0</v>
      </c>
      <c r="F86" s="183">
        <f>SUMIFS('DB WBS'!$J:$J,'DB WBS'!$A:$A,$D$4,'DB WBS'!$D:$D,AA$2,'DB WBS'!$B:$B,$E$3,'DB WBS'!$E:$E,$B86)</f>
        <v>0</v>
      </c>
      <c r="G86" s="184">
        <f>IFERROR(HLOOKUP($E$3,'Tahun Lalu'!$B$5:$V$158,MATCH(B86,'Tahun Lalu'!$B$5:$B$158,0),0),0)</f>
        <v>0</v>
      </c>
      <c r="H86" s="184">
        <v>0.0</v>
      </c>
      <c r="I86" s="184">
        <v>0.0</v>
      </c>
      <c r="J86" s="183">
        <f t="shared" si="3"/>
        <v>0</v>
      </c>
      <c r="K86" s="183">
        <f t="shared" si="4"/>
        <v>0</v>
      </c>
      <c r="L86" s="183">
        <f t="shared" si="5"/>
        <v>0</v>
      </c>
      <c r="M86" s="183">
        <f t="shared" si="6"/>
        <v>0</v>
      </c>
      <c r="N86" s="183">
        <f t="shared" si="99"/>
        <v>0</v>
      </c>
      <c r="O86" s="183">
        <f t="shared" ref="O86:Q86" si="107">G86+W86</f>
        <v>0</v>
      </c>
      <c r="P86" s="183">
        <f t="shared" si="107"/>
        <v>0</v>
      </c>
      <c r="Q86" s="183">
        <f t="shared" si="107"/>
        <v>0</v>
      </c>
      <c r="R86" s="183">
        <f t="shared" si="9"/>
        <v>0</v>
      </c>
      <c r="S86" s="183">
        <f t="shared" si="10"/>
        <v>0</v>
      </c>
      <c r="T86" s="183">
        <f t="shared" si="11"/>
        <v>0</v>
      </c>
      <c r="U86" s="186"/>
      <c r="V86" s="183">
        <f>IFERROR(__xludf.DUMMYFUNCTION("""COMPUTED_VALUE"""),0.0)</f>
        <v>0</v>
      </c>
      <c r="W86" s="183">
        <f>IFERROR(__xludf.DUMMYFUNCTION("""COMPUTED_VALUE"""),0.0)</f>
        <v>0</v>
      </c>
      <c r="X86" s="183">
        <f>IFERROR(__xludf.DUMMYFUNCTION("""COMPUTED_VALUE"""),0.0)</f>
        <v>0</v>
      </c>
      <c r="Y86" s="183">
        <f>IFERROR(__xludf.DUMMYFUNCTION("""COMPUTED_VALUE"""),0.0)</f>
        <v>0</v>
      </c>
      <c r="Z86" s="183">
        <f t="shared" si="12"/>
        <v>0</v>
      </c>
      <c r="AA86" s="183">
        <f t="shared" si="13"/>
        <v>0</v>
      </c>
      <c r="AB86" s="183">
        <f t="shared" si="14"/>
        <v>0</v>
      </c>
    </row>
    <row r="87" ht="14.25" customHeight="1">
      <c r="A87" s="175"/>
      <c r="B87" s="208" t="s">
        <v>830</v>
      </c>
      <c r="C87" s="181"/>
      <c r="D87" s="209" t="s">
        <v>831</v>
      </c>
      <c r="E87" s="183">
        <f>SUMIFS('DB WBS'!$J:$J,'DB WBS'!$A:$A,$D$4,'DB WBS'!$D:$D,AA$1,'DB WBS'!$B:$B,$E$3,'DB WBS'!$E:$E,$B87)</f>
        <v>0</v>
      </c>
      <c r="F87" s="183">
        <f>SUMIFS('DB WBS'!$J:$J,'DB WBS'!$A:$A,$D$4,'DB WBS'!$D:$D,AA$2,'DB WBS'!$B:$B,$E$3,'DB WBS'!$E:$E,$B87)</f>
        <v>0</v>
      </c>
      <c r="G87" s="184">
        <f>IFERROR(HLOOKUP($E$3,'Tahun Lalu'!$B$5:$V$158,MATCH(B87,'Tahun Lalu'!$B$5:$B$158,0),0),0)</f>
        <v>0</v>
      </c>
      <c r="H87" s="184">
        <v>0.0</v>
      </c>
      <c r="I87" s="184">
        <v>0.0</v>
      </c>
      <c r="J87" s="183">
        <f t="shared" si="3"/>
        <v>0</v>
      </c>
      <c r="K87" s="183">
        <f t="shared" si="4"/>
        <v>0</v>
      </c>
      <c r="L87" s="183">
        <f t="shared" si="5"/>
        <v>0</v>
      </c>
      <c r="M87" s="183">
        <f t="shared" si="6"/>
        <v>0</v>
      </c>
      <c r="N87" s="183">
        <f t="shared" si="99"/>
        <v>0</v>
      </c>
      <c r="O87" s="183">
        <f t="shared" ref="O87:Q87" si="108">G87+W87</f>
        <v>0</v>
      </c>
      <c r="P87" s="183">
        <f t="shared" si="108"/>
        <v>0</v>
      </c>
      <c r="Q87" s="183">
        <f t="shared" si="108"/>
        <v>0</v>
      </c>
      <c r="R87" s="183">
        <f t="shared" si="9"/>
        <v>0</v>
      </c>
      <c r="S87" s="183">
        <f t="shared" si="10"/>
        <v>0</v>
      </c>
      <c r="T87" s="183">
        <f t="shared" si="11"/>
        <v>0</v>
      </c>
      <c r="U87" s="186"/>
      <c r="V87" s="183">
        <f>IFERROR(__xludf.DUMMYFUNCTION("""COMPUTED_VALUE"""),0.0)</f>
        <v>0</v>
      </c>
      <c r="W87" s="183">
        <f>IFERROR(__xludf.DUMMYFUNCTION("""COMPUTED_VALUE"""),0.0)</f>
        <v>0</v>
      </c>
      <c r="X87" s="183">
        <f>IFERROR(__xludf.DUMMYFUNCTION("""COMPUTED_VALUE"""),0.0)</f>
        <v>0</v>
      </c>
      <c r="Y87" s="183">
        <f>IFERROR(__xludf.DUMMYFUNCTION("""COMPUTED_VALUE"""),0.0)</f>
        <v>0</v>
      </c>
      <c r="Z87" s="183">
        <f t="shared" si="12"/>
        <v>0</v>
      </c>
      <c r="AA87" s="183">
        <f t="shared" si="13"/>
        <v>0</v>
      </c>
      <c r="AB87" s="183">
        <f t="shared" si="14"/>
        <v>0</v>
      </c>
    </row>
    <row r="88" ht="14.25" customHeight="1">
      <c r="A88" s="175"/>
      <c r="B88" s="208" t="s">
        <v>832</v>
      </c>
      <c r="C88" s="181"/>
      <c r="D88" s="209" t="s">
        <v>833</v>
      </c>
      <c r="E88" s="183">
        <f>SUMIFS('DB WBS'!$J:$J,'DB WBS'!$A:$A,$D$4,'DB WBS'!$D:$D,AA$1,'DB WBS'!$B:$B,$E$3,'DB WBS'!$E:$E,$B88)</f>
        <v>0</v>
      </c>
      <c r="F88" s="183">
        <f>SUMIFS('DB WBS'!$J:$J,'DB WBS'!$A:$A,$D$4,'DB WBS'!$D:$D,AA$2,'DB WBS'!$B:$B,$E$3,'DB WBS'!$E:$E,$B88)</f>
        <v>0</v>
      </c>
      <c r="G88" s="184">
        <f>IFERROR(HLOOKUP($E$3,'Tahun Lalu'!$B$5:$V$158,MATCH(B88,'Tahun Lalu'!$B$5:$B$158,0),0),0)</f>
        <v>0</v>
      </c>
      <c r="H88" s="184">
        <v>0.0</v>
      </c>
      <c r="I88" s="184">
        <v>0.0</v>
      </c>
      <c r="J88" s="183">
        <f t="shared" si="3"/>
        <v>0</v>
      </c>
      <c r="K88" s="183">
        <f t="shared" si="4"/>
        <v>0</v>
      </c>
      <c r="L88" s="183">
        <f t="shared" si="5"/>
        <v>0</v>
      </c>
      <c r="M88" s="183">
        <f t="shared" si="6"/>
        <v>0</v>
      </c>
      <c r="N88" s="183">
        <f t="shared" si="99"/>
        <v>0</v>
      </c>
      <c r="O88" s="183">
        <f t="shared" ref="O88:Q88" si="109">G88+W88</f>
        <v>0</v>
      </c>
      <c r="P88" s="183">
        <f t="shared" si="109"/>
        <v>0</v>
      </c>
      <c r="Q88" s="183">
        <f t="shared" si="109"/>
        <v>0</v>
      </c>
      <c r="R88" s="183">
        <f t="shared" si="9"/>
        <v>0</v>
      </c>
      <c r="S88" s="183">
        <f t="shared" si="10"/>
        <v>0</v>
      </c>
      <c r="T88" s="183">
        <f t="shared" si="11"/>
        <v>0</v>
      </c>
      <c r="U88" s="186"/>
      <c r="V88" s="183">
        <f>IFERROR(__xludf.DUMMYFUNCTION("""COMPUTED_VALUE"""),0.0)</f>
        <v>0</v>
      </c>
      <c r="W88" s="183">
        <f>IFERROR(__xludf.DUMMYFUNCTION("""COMPUTED_VALUE"""),0.0)</f>
        <v>0</v>
      </c>
      <c r="X88" s="183">
        <f>IFERROR(__xludf.DUMMYFUNCTION("""COMPUTED_VALUE"""),0.0)</f>
        <v>0</v>
      </c>
      <c r="Y88" s="183">
        <f>IFERROR(__xludf.DUMMYFUNCTION("""COMPUTED_VALUE"""),0.0)</f>
        <v>0</v>
      </c>
      <c r="Z88" s="183">
        <f t="shared" si="12"/>
        <v>0</v>
      </c>
      <c r="AA88" s="183">
        <f t="shared" si="13"/>
        <v>0</v>
      </c>
      <c r="AB88" s="183">
        <f t="shared" si="14"/>
        <v>0</v>
      </c>
    </row>
    <row r="89" ht="14.25" customHeight="1">
      <c r="A89" s="175"/>
      <c r="B89" s="208" t="s">
        <v>834</v>
      </c>
      <c r="C89" s="181"/>
      <c r="D89" s="209" t="s">
        <v>835</v>
      </c>
      <c r="E89" s="183">
        <f>SUMIFS('DB WBS'!$J:$J,'DB WBS'!$A:$A,$D$4,'DB WBS'!$D:$D,AA$1,'DB WBS'!$B:$B,$E$3,'DB WBS'!$E:$E,$B89)</f>
        <v>0</v>
      </c>
      <c r="F89" s="183">
        <f>SUMIFS('DB WBS'!$J:$J,'DB WBS'!$A:$A,$D$4,'DB WBS'!$D:$D,AA$2,'DB WBS'!$B:$B,$E$3,'DB WBS'!$E:$E,$B89)</f>
        <v>0</v>
      </c>
      <c r="G89" s="184">
        <f>IFERROR(HLOOKUP($E$3,'Tahun Lalu'!$B$5:$V$158,MATCH(B89,'Tahun Lalu'!$B$5:$B$158,0),0),0)</f>
        <v>0</v>
      </c>
      <c r="H89" s="184">
        <v>0.0</v>
      </c>
      <c r="I89" s="184">
        <v>0.0</v>
      </c>
      <c r="J89" s="183">
        <f t="shared" si="3"/>
        <v>0</v>
      </c>
      <c r="K89" s="183">
        <f t="shared" si="4"/>
        <v>0</v>
      </c>
      <c r="L89" s="183">
        <f t="shared" si="5"/>
        <v>0</v>
      </c>
      <c r="M89" s="183">
        <f t="shared" si="6"/>
        <v>0</v>
      </c>
      <c r="N89" s="183">
        <f t="shared" si="99"/>
        <v>0</v>
      </c>
      <c r="O89" s="183">
        <f t="shared" ref="O89:Q89" si="110">G89+W89</f>
        <v>0</v>
      </c>
      <c r="P89" s="183">
        <f t="shared" si="110"/>
        <v>0</v>
      </c>
      <c r="Q89" s="183">
        <f t="shared" si="110"/>
        <v>0</v>
      </c>
      <c r="R89" s="183">
        <f t="shared" si="9"/>
        <v>0</v>
      </c>
      <c r="S89" s="183">
        <f t="shared" si="10"/>
        <v>0</v>
      </c>
      <c r="T89" s="183">
        <f t="shared" si="11"/>
        <v>0</v>
      </c>
      <c r="U89" s="186"/>
      <c r="V89" s="183">
        <f>IFERROR(__xludf.DUMMYFUNCTION("""COMPUTED_VALUE"""),0.0)</f>
        <v>0</v>
      </c>
      <c r="W89" s="183">
        <f>IFERROR(__xludf.DUMMYFUNCTION("""COMPUTED_VALUE"""),0.0)</f>
        <v>0</v>
      </c>
      <c r="X89" s="183">
        <f>IFERROR(__xludf.DUMMYFUNCTION("""COMPUTED_VALUE"""),0.0)</f>
        <v>0</v>
      </c>
      <c r="Y89" s="183">
        <f>IFERROR(__xludf.DUMMYFUNCTION("""COMPUTED_VALUE"""),0.0)</f>
        <v>0</v>
      </c>
      <c r="Z89" s="183">
        <f t="shared" si="12"/>
        <v>0</v>
      </c>
      <c r="AA89" s="183">
        <f t="shared" si="13"/>
        <v>0</v>
      </c>
      <c r="AB89" s="183">
        <f t="shared" si="14"/>
        <v>0</v>
      </c>
    </row>
    <row r="90" ht="14.25" customHeight="1">
      <c r="A90" s="175"/>
      <c r="B90" s="208" t="s">
        <v>836</v>
      </c>
      <c r="C90" s="181"/>
      <c r="D90" s="209" t="s">
        <v>837</v>
      </c>
      <c r="E90" s="183">
        <f>SUMIFS('DB WBS'!$J:$J,'DB WBS'!$A:$A,$D$4,'DB WBS'!$D:$D,AA$1,'DB WBS'!$B:$B,$E$3,'DB WBS'!$E:$E,$B90)</f>
        <v>0</v>
      </c>
      <c r="F90" s="183">
        <f>SUMIFS('DB WBS'!$J:$J,'DB WBS'!$A:$A,$D$4,'DB WBS'!$D:$D,AA$2,'DB WBS'!$B:$B,$E$3,'DB WBS'!$E:$E,$B90)</f>
        <v>0</v>
      </c>
      <c r="G90" s="184">
        <f>IFERROR(HLOOKUP($E$3,'Tahun Lalu'!$B$5:$V$158,MATCH(B90,'Tahun Lalu'!$B$5:$B$158,0),0),0)</f>
        <v>0</v>
      </c>
      <c r="H90" s="184">
        <v>0.0</v>
      </c>
      <c r="I90" s="184">
        <v>0.0</v>
      </c>
      <c r="J90" s="183">
        <f t="shared" si="3"/>
        <v>0</v>
      </c>
      <c r="K90" s="183">
        <f t="shared" si="4"/>
        <v>0</v>
      </c>
      <c r="L90" s="183">
        <f t="shared" si="5"/>
        <v>0</v>
      </c>
      <c r="M90" s="183">
        <f t="shared" si="6"/>
        <v>0</v>
      </c>
      <c r="N90" s="183">
        <f t="shared" si="99"/>
        <v>0</v>
      </c>
      <c r="O90" s="183">
        <f t="shared" ref="O90:Q90" si="111">G90+W90</f>
        <v>0</v>
      </c>
      <c r="P90" s="183">
        <f t="shared" si="111"/>
        <v>0</v>
      </c>
      <c r="Q90" s="183">
        <f t="shared" si="111"/>
        <v>0</v>
      </c>
      <c r="R90" s="183">
        <f t="shared" si="9"/>
        <v>0</v>
      </c>
      <c r="S90" s="183">
        <f t="shared" si="10"/>
        <v>0</v>
      </c>
      <c r="T90" s="183">
        <f t="shared" si="11"/>
        <v>0</v>
      </c>
      <c r="U90" s="186"/>
      <c r="V90" s="183">
        <f>IFERROR(__xludf.DUMMYFUNCTION("""COMPUTED_VALUE"""),0.0)</f>
        <v>0</v>
      </c>
      <c r="W90" s="183">
        <f>IFERROR(__xludf.DUMMYFUNCTION("""COMPUTED_VALUE"""),0.0)</f>
        <v>0</v>
      </c>
      <c r="X90" s="183">
        <f>IFERROR(__xludf.DUMMYFUNCTION("""COMPUTED_VALUE"""),0.0)</f>
        <v>0</v>
      </c>
      <c r="Y90" s="183">
        <f>IFERROR(__xludf.DUMMYFUNCTION("""COMPUTED_VALUE"""),0.0)</f>
        <v>0</v>
      </c>
      <c r="Z90" s="183">
        <f t="shared" si="12"/>
        <v>0</v>
      </c>
      <c r="AA90" s="183">
        <f t="shared" si="13"/>
        <v>0</v>
      </c>
      <c r="AB90" s="183">
        <f t="shared" si="14"/>
        <v>0</v>
      </c>
    </row>
    <row r="91" ht="14.25" customHeight="1">
      <c r="A91" s="175"/>
      <c r="B91" s="191" t="s">
        <v>838</v>
      </c>
      <c r="C91" s="199"/>
      <c r="D91" s="200"/>
      <c r="E91" s="201">
        <f t="shared" ref="E91:I91" si="112">SUM(E78:E90)</f>
        <v>1928688</v>
      </c>
      <c r="F91" s="201">
        <f t="shared" si="112"/>
        <v>1872784</v>
      </c>
      <c r="G91" s="201">
        <f t="shared" si="112"/>
        <v>4961480</v>
      </c>
      <c r="H91" s="201">
        <f t="shared" si="112"/>
        <v>0</v>
      </c>
      <c r="I91" s="201">
        <f t="shared" si="112"/>
        <v>0</v>
      </c>
      <c r="J91" s="201">
        <f t="shared" si="3"/>
        <v>102.9850746</v>
      </c>
      <c r="K91" s="201">
        <f t="shared" si="4"/>
        <v>38.87323944</v>
      </c>
      <c r="L91" s="201">
        <f t="shared" si="5"/>
        <v>0</v>
      </c>
      <c r="M91" s="201">
        <f t="shared" si="6"/>
        <v>0</v>
      </c>
      <c r="N91" s="201">
        <f t="shared" ref="N91:Q91" si="113">SUM(N78:N90)</f>
        <v>9182232</v>
      </c>
      <c r="O91" s="201">
        <f t="shared" si="113"/>
        <v>15359724</v>
      </c>
      <c r="P91" s="201">
        <f t="shared" si="113"/>
        <v>0</v>
      </c>
      <c r="Q91" s="201">
        <f t="shared" si="113"/>
        <v>0</v>
      </c>
      <c r="R91" s="201">
        <f t="shared" si="9"/>
        <v>59.78123044</v>
      </c>
      <c r="S91" s="201">
        <f t="shared" si="10"/>
        <v>0</v>
      </c>
      <c r="T91" s="201">
        <f t="shared" si="11"/>
        <v>0</v>
      </c>
      <c r="U91" s="202"/>
      <c r="V91" s="201">
        <f>IFERROR(__xludf.DUMMYFUNCTION("""COMPUTED_VALUE"""),7253544.0)</f>
        <v>7253544</v>
      </c>
      <c r="W91" s="201">
        <f>IFERROR(__xludf.DUMMYFUNCTION("""COMPUTED_VALUE"""),1.0398244E7)</f>
        <v>10398244</v>
      </c>
      <c r="X91" s="201">
        <f>IFERROR(__xludf.DUMMYFUNCTION("""COMPUTED_VALUE"""),0.0)</f>
        <v>0</v>
      </c>
      <c r="Y91" s="201">
        <f>IFERROR(__xludf.DUMMYFUNCTION("""COMPUTED_VALUE"""),0.0)</f>
        <v>0</v>
      </c>
      <c r="Z91" s="201">
        <f t="shared" si="12"/>
        <v>69.75739365</v>
      </c>
      <c r="AA91" s="201">
        <f t="shared" si="13"/>
        <v>0</v>
      </c>
      <c r="AB91" s="201">
        <f t="shared" si="14"/>
        <v>0</v>
      </c>
    </row>
    <row r="92" ht="14.25" customHeight="1">
      <c r="A92" s="175"/>
      <c r="B92" s="208"/>
      <c r="C92" s="181"/>
      <c r="D92" s="209" t="s">
        <v>839</v>
      </c>
      <c r="E92" s="183">
        <f>SUMIFS('DB WBS'!$J:$J,'DB WBS'!$A:$A,$D$4,'DB WBS'!$D:$D,AA$1,'DB WBS'!$B:$B,$E$3,'DB WBS'!$E:$E,$B92)</f>
        <v>0</v>
      </c>
      <c r="F92" s="183">
        <f>SUMIFS('DB WBS'!$J:$J,'DB WBS'!$A:$A,$D$4,'DB WBS'!$D:$D,AA$2,'DB WBS'!$B:$B,$E$3,'DB WBS'!$E:$E,$B92)</f>
        <v>0</v>
      </c>
      <c r="G92" s="184">
        <f>IFERROR(HLOOKUP($E$3,'Tahun Lalu'!$B$5:$V$158,MATCH(B92,'Tahun Lalu'!$B$5:$B$158,0),0),0)</f>
        <v>0</v>
      </c>
      <c r="H92" s="184">
        <v>0.0</v>
      </c>
      <c r="I92" s="184">
        <v>0.0</v>
      </c>
      <c r="J92" s="183">
        <f t="shared" si="3"/>
        <v>0</v>
      </c>
      <c r="K92" s="183">
        <f t="shared" si="4"/>
        <v>0</v>
      </c>
      <c r="L92" s="183">
        <f t="shared" si="5"/>
        <v>0</v>
      </c>
      <c r="M92" s="183">
        <f t="shared" si="6"/>
        <v>0</v>
      </c>
      <c r="N92" s="183">
        <f t="shared" ref="N92:N96" si="115">E92+V92</f>
        <v>0</v>
      </c>
      <c r="O92" s="183">
        <f t="shared" ref="O92:Q92" si="114">G92+W92</f>
        <v>0</v>
      </c>
      <c r="P92" s="183">
        <f t="shared" si="114"/>
        <v>0</v>
      </c>
      <c r="Q92" s="183">
        <f t="shared" si="114"/>
        <v>0</v>
      </c>
      <c r="R92" s="183">
        <f t="shared" si="9"/>
        <v>0</v>
      </c>
      <c r="S92" s="183">
        <f t="shared" si="10"/>
        <v>0</v>
      </c>
      <c r="T92" s="183">
        <f t="shared" si="11"/>
        <v>0</v>
      </c>
      <c r="U92" s="186"/>
      <c r="V92" s="183">
        <f>IFERROR(__xludf.DUMMYFUNCTION("""COMPUTED_VALUE"""),0.0)</f>
        <v>0</v>
      </c>
      <c r="W92" s="183">
        <f>IFERROR(__xludf.DUMMYFUNCTION("""COMPUTED_VALUE"""),0.0)</f>
        <v>0</v>
      </c>
      <c r="X92" s="183">
        <f>IFERROR(__xludf.DUMMYFUNCTION("""COMPUTED_VALUE"""),0.0)</f>
        <v>0</v>
      </c>
      <c r="Y92" s="183">
        <f>IFERROR(__xludf.DUMMYFUNCTION("""COMPUTED_VALUE"""),0.0)</f>
        <v>0</v>
      </c>
      <c r="Z92" s="183">
        <f t="shared" si="12"/>
        <v>0</v>
      </c>
      <c r="AA92" s="183">
        <f t="shared" si="13"/>
        <v>0</v>
      </c>
      <c r="AB92" s="183">
        <f t="shared" si="14"/>
        <v>0</v>
      </c>
    </row>
    <row r="93" ht="14.25" customHeight="1">
      <c r="A93" s="175"/>
      <c r="B93" s="208"/>
      <c r="C93" s="181"/>
      <c r="D93" s="209" t="s">
        <v>840</v>
      </c>
      <c r="E93" s="183">
        <f>SUMIFS('DB WBS'!$J:$J,'DB WBS'!$A:$A,$D$4,'DB WBS'!$D:$D,AA$1,'DB WBS'!$B:$B,$E$3,'DB WBS'!$E:$E,$B93)</f>
        <v>0</v>
      </c>
      <c r="F93" s="183">
        <f>SUMIFS('DB WBS'!$J:$J,'DB WBS'!$A:$A,$D$4,'DB WBS'!$D:$D,AA$2,'DB WBS'!$B:$B,$E$3,'DB WBS'!$E:$E,$B93)</f>
        <v>0</v>
      </c>
      <c r="G93" s="184">
        <f>IFERROR(HLOOKUP($E$3,'Tahun Lalu'!$B$5:$V$158,MATCH(B93,'Tahun Lalu'!$B$5:$B$158,0),0),0)</f>
        <v>0</v>
      </c>
      <c r="H93" s="184">
        <v>0.0</v>
      </c>
      <c r="I93" s="184">
        <v>0.0</v>
      </c>
      <c r="J93" s="183">
        <f t="shared" si="3"/>
        <v>0</v>
      </c>
      <c r="K93" s="183">
        <f t="shared" si="4"/>
        <v>0</v>
      </c>
      <c r="L93" s="183">
        <f t="shared" si="5"/>
        <v>0</v>
      </c>
      <c r="M93" s="183">
        <f t="shared" si="6"/>
        <v>0</v>
      </c>
      <c r="N93" s="183">
        <f t="shared" si="115"/>
        <v>0</v>
      </c>
      <c r="O93" s="183">
        <f t="shared" ref="O93:Q93" si="116">G93+W93</f>
        <v>0</v>
      </c>
      <c r="P93" s="183">
        <f t="shared" si="116"/>
        <v>0</v>
      </c>
      <c r="Q93" s="183">
        <f t="shared" si="116"/>
        <v>0</v>
      </c>
      <c r="R93" s="183">
        <f t="shared" si="9"/>
        <v>0</v>
      </c>
      <c r="S93" s="183">
        <f t="shared" si="10"/>
        <v>0</v>
      </c>
      <c r="T93" s="183">
        <f t="shared" si="11"/>
        <v>0</v>
      </c>
      <c r="U93" s="186"/>
      <c r="V93" s="183">
        <f>IFERROR(__xludf.DUMMYFUNCTION("""COMPUTED_VALUE"""),0.0)</f>
        <v>0</v>
      </c>
      <c r="W93" s="183">
        <f>IFERROR(__xludf.DUMMYFUNCTION("""COMPUTED_VALUE"""),0.0)</f>
        <v>0</v>
      </c>
      <c r="X93" s="183">
        <f>IFERROR(__xludf.DUMMYFUNCTION("""COMPUTED_VALUE"""),0.0)</f>
        <v>0</v>
      </c>
      <c r="Y93" s="183">
        <f>IFERROR(__xludf.DUMMYFUNCTION("""COMPUTED_VALUE"""),0.0)</f>
        <v>0</v>
      </c>
      <c r="Z93" s="183">
        <f t="shared" si="12"/>
        <v>0</v>
      </c>
      <c r="AA93" s="183">
        <f t="shared" si="13"/>
        <v>0</v>
      </c>
      <c r="AB93" s="183">
        <f t="shared" si="14"/>
        <v>0</v>
      </c>
    </row>
    <row r="94" ht="14.25" customHeight="1">
      <c r="A94" s="175"/>
      <c r="B94" s="208"/>
      <c r="C94" s="181"/>
      <c r="D94" s="209" t="s">
        <v>841</v>
      </c>
      <c r="E94" s="183">
        <f>SUMIFS('DB WBS'!$J:$J,'DB WBS'!$A:$A,$D$4,'DB WBS'!$D:$D,AA$1,'DB WBS'!$B:$B,$E$3,'DB WBS'!$E:$E,$B94)</f>
        <v>0</v>
      </c>
      <c r="F94" s="183">
        <f>SUMIFS('DB WBS'!$J:$J,'DB WBS'!$A:$A,$D$4,'DB WBS'!$D:$D,AA$2,'DB WBS'!$B:$B,$E$3,'DB WBS'!$E:$E,$B94)</f>
        <v>0</v>
      </c>
      <c r="G94" s="184">
        <f>IFERROR(HLOOKUP($E$3,'Tahun Lalu'!$B$5:$V$158,MATCH(B94,'Tahun Lalu'!$B$5:$B$158,0),0),0)</f>
        <v>0</v>
      </c>
      <c r="H94" s="184">
        <v>0.0</v>
      </c>
      <c r="I94" s="184">
        <v>0.0</v>
      </c>
      <c r="J94" s="183">
        <f t="shared" si="3"/>
        <v>0</v>
      </c>
      <c r="K94" s="183">
        <f t="shared" si="4"/>
        <v>0</v>
      </c>
      <c r="L94" s="183">
        <f t="shared" si="5"/>
        <v>0</v>
      </c>
      <c r="M94" s="183">
        <f t="shared" si="6"/>
        <v>0</v>
      </c>
      <c r="N94" s="183">
        <f t="shared" si="115"/>
        <v>0</v>
      </c>
      <c r="O94" s="183">
        <f t="shared" ref="O94:Q94" si="117">G94+W94</f>
        <v>0</v>
      </c>
      <c r="P94" s="183">
        <f t="shared" si="117"/>
        <v>0</v>
      </c>
      <c r="Q94" s="183">
        <f t="shared" si="117"/>
        <v>0</v>
      </c>
      <c r="R94" s="183">
        <f t="shared" si="9"/>
        <v>0</v>
      </c>
      <c r="S94" s="183">
        <f t="shared" si="10"/>
        <v>0</v>
      </c>
      <c r="T94" s="183">
        <f t="shared" si="11"/>
        <v>0</v>
      </c>
      <c r="U94" s="186"/>
      <c r="V94" s="183">
        <f>IFERROR(__xludf.DUMMYFUNCTION("""COMPUTED_VALUE"""),0.0)</f>
        <v>0</v>
      </c>
      <c r="W94" s="183">
        <f>IFERROR(__xludf.DUMMYFUNCTION("""COMPUTED_VALUE"""),0.0)</f>
        <v>0</v>
      </c>
      <c r="X94" s="183">
        <f>IFERROR(__xludf.DUMMYFUNCTION("""COMPUTED_VALUE"""),0.0)</f>
        <v>0</v>
      </c>
      <c r="Y94" s="183">
        <f>IFERROR(__xludf.DUMMYFUNCTION("""COMPUTED_VALUE"""),0.0)</f>
        <v>0</v>
      </c>
      <c r="Z94" s="183">
        <f t="shared" si="12"/>
        <v>0</v>
      </c>
      <c r="AA94" s="183">
        <f t="shared" si="13"/>
        <v>0</v>
      </c>
      <c r="AB94" s="183">
        <f t="shared" si="14"/>
        <v>0</v>
      </c>
    </row>
    <row r="95" ht="14.25" customHeight="1">
      <c r="A95" s="175"/>
      <c r="B95" s="208"/>
      <c r="C95" s="181"/>
      <c r="D95" s="209" t="s">
        <v>842</v>
      </c>
      <c r="E95" s="183">
        <f>SUMIFS('DB WBS'!$J:$J,'DB WBS'!$A:$A,$D$4,'DB WBS'!$D:$D,AA$1,'DB WBS'!$B:$B,$E$3,'DB WBS'!$E:$E,$B95)</f>
        <v>0</v>
      </c>
      <c r="F95" s="183">
        <f>SUMIFS('DB WBS'!$J:$J,'DB WBS'!$A:$A,$D$4,'DB WBS'!$D:$D,AA$2,'DB WBS'!$B:$B,$E$3,'DB WBS'!$E:$E,$B95)</f>
        <v>0</v>
      </c>
      <c r="G95" s="184">
        <f>IFERROR(HLOOKUP($E$3,'Tahun Lalu'!$B$5:$V$158,MATCH(B95,'Tahun Lalu'!$B$5:$B$158,0),0),0)</f>
        <v>0</v>
      </c>
      <c r="H95" s="184">
        <v>0.0</v>
      </c>
      <c r="I95" s="184">
        <v>0.0</v>
      </c>
      <c r="J95" s="183">
        <f t="shared" si="3"/>
        <v>0</v>
      </c>
      <c r="K95" s="183">
        <f t="shared" si="4"/>
        <v>0</v>
      </c>
      <c r="L95" s="183">
        <f t="shared" si="5"/>
        <v>0</v>
      </c>
      <c r="M95" s="183">
        <f t="shared" si="6"/>
        <v>0</v>
      </c>
      <c r="N95" s="183">
        <f t="shared" si="115"/>
        <v>0</v>
      </c>
      <c r="O95" s="183">
        <f t="shared" ref="O95:Q95" si="118">G95+W95</f>
        <v>0</v>
      </c>
      <c r="P95" s="183">
        <f t="shared" si="118"/>
        <v>0</v>
      </c>
      <c r="Q95" s="183">
        <f t="shared" si="118"/>
        <v>0</v>
      </c>
      <c r="R95" s="183">
        <f t="shared" si="9"/>
        <v>0</v>
      </c>
      <c r="S95" s="183">
        <f t="shared" si="10"/>
        <v>0</v>
      </c>
      <c r="T95" s="183">
        <f t="shared" si="11"/>
        <v>0</v>
      </c>
      <c r="U95" s="186"/>
      <c r="V95" s="183">
        <f>IFERROR(__xludf.DUMMYFUNCTION("""COMPUTED_VALUE"""),0.0)</f>
        <v>0</v>
      </c>
      <c r="W95" s="183">
        <f>IFERROR(__xludf.DUMMYFUNCTION("""COMPUTED_VALUE"""),0.0)</f>
        <v>0</v>
      </c>
      <c r="X95" s="183">
        <f>IFERROR(__xludf.DUMMYFUNCTION("""COMPUTED_VALUE"""),0.0)</f>
        <v>0</v>
      </c>
      <c r="Y95" s="183">
        <f>IFERROR(__xludf.DUMMYFUNCTION("""COMPUTED_VALUE"""),0.0)</f>
        <v>0</v>
      </c>
      <c r="Z95" s="183">
        <f t="shared" si="12"/>
        <v>0</v>
      </c>
      <c r="AA95" s="183">
        <f t="shared" si="13"/>
        <v>0</v>
      </c>
      <c r="AB95" s="183">
        <f t="shared" si="14"/>
        <v>0</v>
      </c>
    </row>
    <row r="96" ht="14.25" customHeight="1">
      <c r="A96" s="175"/>
      <c r="B96" s="211"/>
      <c r="C96" s="177"/>
      <c r="D96" s="182"/>
      <c r="E96" s="183">
        <f>SUMIFS('DB WBS'!$J:$J,'DB WBS'!$A:$A,$D$4,'DB WBS'!$D:$D,AA$1,'DB WBS'!$B:$B,$E$3,'DB WBS'!$E:$E,$B96)</f>
        <v>0</v>
      </c>
      <c r="F96" s="183">
        <f>SUMIFS('DB WBS'!$J:$J,'DB WBS'!$A:$A,$D$4,'DB WBS'!$D:$D,AA$2,'DB WBS'!$B:$B,$E$3,'DB WBS'!$E:$E,$B96)</f>
        <v>0</v>
      </c>
      <c r="G96" s="184">
        <f>IFERROR(HLOOKUP($E$3,'Tahun Lalu'!$B$5:$V$158,MATCH(B96,'Tahun Lalu'!$B$5:$B$158,0),0),0)</f>
        <v>0</v>
      </c>
      <c r="H96" s="184">
        <v>0.0</v>
      </c>
      <c r="I96" s="184">
        <v>0.0</v>
      </c>
      <c r="J96" s="183">
        <f t="shared" si="3"/>
        <v>0</v>
      </c>
      <c r="K96" s="183">
        <f t="shared" si="4"/>
        <v>0</v>
      </c>
      <c r="L96" s="183">
        <f t="shared" si="5"/>
        <v>0</v>
      </c>
      <c r="M96" s="183">
        <f t="shared" si="6"/>
        <v>0</v>
      </c>
      <c r="N96" s="183">
        <f t="shared" si="115"/>
        <v>0</v>
      </c>
      <c r="O96" s="183">
        <f t="shared" ref="O96:Q96" si="119">G96+W96</f>
        <v>0</v>
      </c>
      <c r="P96" s="183">
        <f t="shared" si="119"/>
        <v>0</v>
      </c>
      <c r="Q96" s="183">
        <f t="shared" si="119"/>
        <v>0</v>
      </c>
      <c r="R96" s="183">
        <f t="shared" si="9"/>
        <v>0</v>
      </c>
      <c r="S96" s="183">
        <f t="shared" si="10"/>
        <v>0</v>
      </c>
      <c r="T96" s="183">
        <f t="shared" si="11"/>
        <v>0</v>
      </c>
      <c r="U96" s="186"/>
      <c r="V96" s="183">
        <f>IFERROR(__xludf.DUMMYFUNCTION("""COMPUTED_VALUE"""),0.0)</f>
        <v>0</v>
      </c>
      <c r="W96" s="183">
        <f>IFERROR(__xludf.DUMMYFUNCTION("""COMPUTED_VALUE"""),0.0)</f>
        <v>0</v>
      </c>
      <c r="X96" s="183">
        <f>IFERROR(__xludf.DUMMYFUNCTION("""COMPUTED_VALUE"""),0.0)</f>
        <v>0</v>
      </c>
      <c r="Y96" s="183">
        <f>IFERROR(__xludf.DUMMYFUNCTION("""COMPUTED_VALUE"""),0.0)</f>
        <v>0</v>
      </c>
      <c r="Z96" s="183">
        <f t="shared" si="12"/>
        <v>0</v>
      </c>
      <c r="AA96" s="183">
        <f t="shared" si="13"/>
        <v>0</v>
      </c>
      <c r="AB96" s="183">
        <f t="shared" si="14"/>
        <v>0</v>
      </c>
    </row>
    <row r="97" ht="14.25" customHeight="1">
      <c r="A97" s="175"/>
      <c r="B97" s="212" t="s">
        <v>843</v>
      </c>
      <c r="C97" s="199"/>
      <c r="D97" s="200"/>
      <c r="E97" s="201">
        <f t="shared" ref="E97:I97" si="120">SUM(E92:E96)</f>
        <v>0</v>
      </c>
      <c r="F97" s="201">
        <f t="shared" si="120"/>
        <v>0</v>
      </c>
      <c r="G97" s="201">
        <f t="shared" si="120"/>
        <v>0</v>
      </c>
      <c r="H97" s="201">
        <f t="shared" si="120"/>
        <v>0</v>
      </c>
      <c r="I97" s="201">
        <f t="shared" si="120"/>
        <v>0</v>
      </c>
      <c r="J97" s="201">
        <f t="shared" si="3"/>
        <v>0</v>
      </c>
      <c r="K97" s="201">
        <f t="shared" si="4"/>
        <v>0</v>
      </c>
      <c r="L97" s="201">
        <f t="shared" si="5"/>
        <v>0</v>
      </c>
      <c r="M97" s="201">
        <f t="shared" si="6"/>
        <v>0</v>
      </c>
      <c r="N97" s="201">
        <f t="shared" ref="N97:Q97" si="121">SUM(N92:N96)</f>
        <v>0</v>
      </c>
      <c r="O97" s="201">
        <f t="shared" si="121"/>
        <v>0</v>
      </c>
      <c r="P97" s="201">
        <f t="shared" si="121"/>
        <v>0</v>
      </c>
      <c r="Q97" s="201">
        <f t="shared" si="121"/>
        <v>0</v>
      </c>
      <c r="R97" s="201">
        <f t="shared" si="9"/>
        <v>0</v>
      </c>
      <c r="S97" s="201">
        <f t="shared" si="10"/>
        <v>0</v>
      </c>
      <c r="T97" s="201">
        <f t="shared" si="11"/>
        <v>0</v>
      </c>
      <c r="U97" s="202"/>
      <c r="V97" s="201">
        <f>IFERROR(__xludf.DUMMYFUNCTION("""COMPUTED_VALUE"""),0.0)</f>
        <v>0</v>
      </c>
      <c r="W97" s="201">
        <f>IFERROR(__xludf.DUMMYFUNCTION("""COMPUTED_VALUE"""),0.0)</f>
        <v>0</v>
      </c>
      <c r="X97" s="201">
        <f>IFERROR(__xludf.DUMMYFUNCTION("""COMPUTED_VALUE"""),0.0)</f>
        <v>0</v>
      </c>
      <c r="Y97" s="201">
        <f>IFERROR(__xludf.DUMMYFUNCTION("""COMPUTED_VALUE"""),0.0)</f>
        <v>0</v>
      </c>
      <c r="Z97" s="201">
        <f t="shared" si="12"/>
        <v>0</v>
      </c>
      <c r="AA97" s="201">
        <f t="shared" si="13"/>
        <v>0</v>
      </c>
      <c r="AB97" s="201">
        <f t="shared" si="14"/>
        <v>0</v>
      </c>
    </row>
    <row r="98" ht="14.25" customHeight="1">
      <c r="A98" s="175"/>
      <c r="B98" s="208"/>
      <c r="C98" s="181"/>
      <c r="D98" s="209" t="s">
        <v>844</v>
      </c>
      <c r="E98" s="183">
        <f>SUMIFS('DB WBS'!$J:$J,'DB WBS'!$A:$A,$D$4,'DB WBS'!$D:$D,AA$1,'DB WBS'!$B:$B,$E$3,'DB WBS'!$E:$E,$B98)</f>
        <v>0</v>
      </c>
      <c r="F98" s="183">
        <f>SUMIFS('DB WBS'!$J:$J,'DB WBS'!$A:$A,$D$4,'DB WBS'!$D:$D,AA$2,'DB WBS'!$B:$B,$E$3,'DB WBS'!$E:$E,$B98)</f>
        <v>0</v>
      </c>
      <c r="G98" s="184">
        <f>IFERROR(HLOOKUP($E$3,'Tahun Lalu'!$B$5:$V$158,MATCH(B98,'Tahun Lalu'!$B$5:$B$158,0),0),0)</f>
        <v>0</v>
      </c>
      <c r="H98" s="184">
        <v>0.0</v>
      </c>
      <c r="I98" s="184">
        <v>0.0</v>
      </c>
      <c r="J98" s="183">
        <f t="shared" si="3"/>
        <v>0</v>
      </c>
      <c r="K98" s="183">
        <f t="shared" si="4"/>
        <v>0</v>
      </c>
      <c r="L98" s="183">
        <f t="shared" si="5"/>
        <v>0</v>
      </c>
      <c r="M98" s="183">
        <f t="shared" si="6"/>
        <v>0</v>
      </c>
      <c r="N98" s="183">
        <f t="shared" ref="N98:N99" si="123">E98+V98</f>
        <v>0</v>
      </c>
      <c r="O98" s="183">
        <f t="shared" ref="O98:Q98" si="122">G98+W98</f>
        <v>0</v>
      </c>
      <c r="P98" s="183">
        <f t="shared" si="122"/>
        <v>0</v>
      </c>
      <c r="Q98" s="183">
        <f t="shared" si="122"/>
        <v>0</v>
      </c>
      <c r="R98" s="183">
        <f t="shared" si="9"/>
        <v>0</v>
      </c>
      <c r="S98" s="183">
        <f t="shared" si="10"/>
        <v>0</v>
      </c>
      <c r="T98" s="183">
        <f t="shared" si="11"/>
        <v>0</v>
      </c>
      <c r="U98" s="186"/>
      <c r="V98" s="183">
        <f>IFERROR(__xludf.DUMMYFUNCTION("""COMPUTED_VALUE"""),0.0)</f>
        <v>0</v>
      </c>
      <c r="W98" s="183">
        <f>IFERROR(__xludf.DUMMYFUNCTION("""COMPUTED_VALUE"""),0.0)</f>
        <v>0</v>
      </c>
      <c r="X98" s="183">
        <f>IFERROR(__xludf.DUMMYFUNCTION("""COMPUTED_VALUE"""),0.0)</f>
        <v>0</v>
      </c>
      <c r="Y98" s="183">
        <f>IFERROR(__xludf.DUMMYFUNCTION("""COMPUTED_VALUE"""),0.0)</f>
        <v>0</v>
      </c>
      <c r="Z98" s="183">
        <f t="shared" si="12"/>
        <v>0</v>
      </c>
      <c r="AA98" s="183">
        <f t="shared" si="13"/>
        <v>0</v>
      </c>
      <c r="AB98" s="183">
        <f t="shared" si="14"/>
        <v>0</v>
      </c>
    </row>
    <row r="99" ht="14.25" customHeight="1">
      <c r="A99" s="175"/>
      <c r="B99" s="208"/>
      <c r="C99" s="181"/>
      <c r="D99" s="209" t="s">
        <v>845</v>
      </c>
      <c r="E99" s="183">
        <f>SUMIFS('DB WBS'!$J:$J,'DB WBS'!$A:$A,$D$4,'DB WBS'!$D:$D,AA$1,'DB WBS'!$B:$B,$E$3,'DB WBS'!$E:$E,$B99)</f>
        <v>0</v>
      </c>
      <c r="F99" s="183">
        <f>SUMIFS('DB WBS'!$J:$J,'DB WBS'!$A:$A,$D$4,'DB WBS'!$D:$D,AA$2,'DB WBS'!$B:$B,$E$3,'DB WBS'!$E:$E,$B99)</f>
        <v>0</v>
      </c>
      <c r="G99" s="184">
        <f>IFERROR(HLOOKUP($E$3,'Tahun Lalu'!$B$5:$V$158,MATCH(B99,'Tahun Lalu'!$B$5:$B$158,0),0),0)</f>
        <v>0</v>
      </c>
      <c r="H99" s="184">
        <v>0.0</v>
      </c>
      <c r="I99" s="184">
        <v>0.0</v>
      </c>
      <c r="J99" s="183">
        <f t="shared" si="3"/>
        <v>0</v>
      </c>
      <c r="K99" s="183">
        <f t="shared" si="4"/>
        <v>0</v>
      </c>
      <c r="L99" s="183">
        <f t="shared" si="5"/>
        <v>0</v>
      </c>
      <c r="M99" s="183">
        <f t="shared" si="6"/>
        <v>0</v>
      </c>
      <c r="N99" s="183">
        <f t="shared" si="123"/>
        <v>0</v>
      </c>
      <c r="O99" s="183">
        <f t="shared" ref="O99:Q99" si="124">G99+W99</f>
        <v>0</v>
      </c>
      <c r="P99" s="183">
        <f t="shared" si="124"/>
        <v>0</v>
      </c>
      <c r="Q99" s="183">
        <f t="shared" si="124"/>
        <v>0</v>
      </c>
      <c r="R99" s="183">
        <f t="shared" si="9"/>
        <v>0</v>
      </c>
      <c r="S99" s="183">
        <f t="shared" si="10"/>
        <v>0</v>
      </c>
      <c r="T99" s="183">
        <f t="shared" si="11"/>
        <v>0</v>
      </c>
      <c r="U99" s="186"/>
      <c r="V99" s="183">
        <f>IFERROR(__xludf.DUMMYFUNCTION("""COMPUTED_VALUE"""),0.0)</f>
        <v>0</v>
      </c>
      <c r="W99" s="183">
        <f>IFERROR(__xludf.DUMMYFUNCTION("""COMPUTED_VALUE"""),0.0)</f>
        <v>0</v>
      </c>
      <c r="X99" s="183">
        <f>IFERROR(__xludf.DUMMYFUNCTION("""COMPUTED_VALUE"""),0.0)</f>
        <v>0</v>
      </c>
      <c r="Y99" s="183">
        <f>IFERROR(__xludf.DUMMYFUNCTION("""COMPUTED_VALUE"""),0.0)</f>
        <v>0</v>
      </c>
      <c r="Z99" s="183">
        <f t="shared" si="12"/>
        <v>0</v>
      </c>
      <c r="AA99" s="183">
        <f t="shared" si="13"/>
        <v>0</v>
      </c>
      <c r="AB99" s="183">
        <f t="shared" si="14"/>
        <v>0</v>
      </c>
    </row>
    <row r="100" ht="14.25" customHeight="1">
      <c r="A100" s="175"/>
      <c r="B100" s="212" t="s">
        <v>846</v>
      </c>
      <c r="C100" s="199"/>
      <c r="D100" s="200"/>
      <c r="E100" s="201">
        <f t="shared" ref="E100:I100" si="125">SUM(E98:E99)</f>
        <v>0</v>
      </c>
      <c r="F100" s="201">
        <f t="shared" si="125"/>
        <v>0</v>
      </c>
      <c r="G100" s="201">
        <f t="shared" si="125"/>
        <v>0</v>
      </c>
      <c r="H100" s="201">
        <f t="shared" si="125"/>
        <v>0</v>
      </c>
      <c r="I100" s="201">
        <f t="shared" si="125"/>
        <v>0</v>
      </c>
      <c r="J100" s="201">
        <f t="shared" si="3"/>
        <v>0</v>
      </c>
      <c r="K100" s="201">
        <f t="shared" si="4"/>
        <v>0</v>
      </c>
      <c r="L100" s="201">
        <f t="shared" si="5"/>
        <v>0</v>
      </c>
      <c r="M100" s="201">
        <f t="shared" si="6"/>
        <v>0</v>
      </c>
      <c r="N100" s="201">
        <f t="shared" ref="N100:Q100" si="126">SUM(N98:N99)</f>
        <v>0</v>
      </c>
      <c r="O100" s="201">
        <f t="shared" si="126"/>
        <v>0</v>
      </c>
      <c r="P100" s="201">
        <f t="shared" si="126"/>
        <v>0</v>
      </c>
      <c r="Q100" s="201">
        <f t="shared" si="126"/>
        <v>0</v>
      </c>
      <c r="R100" s="201">
        <f t="shared" si="9"/>
        <v>0</v>
      </c>
      <c r="S100" s="201">
        <f t="shared" si="10"/>
        <v>0</v>
      </c>
      <c r="T100" s="201">
        <f t="shared" si="11"/>
        <v>0</v>
      </c>
      <c r="U100" s="202"/>
      <c r="V100" s="201">
        <f>IFERROR(__xludf.DUMMYFUNCTION("""COMPUTED_VALUE"""),0.0)</f>
        <v>0</v>
      </c>
      <c r="W100" s="201">
        <f>IFERROR(__xludf.DUMMYFUNCTION("""COMPUTED_VALUE"""),0.0)</f>
        <v>0</v>
      </c>
      <c r="X100" s="201">
        <f>IFERROR(__xludf.DUMMYFUNCTION("""COMPUTED_VALUE"""),0.0)</f>
        <v>0</v>
      </c>
      <c r="Y100" s="201">
        <f>IFERROR(__xludf.DUMMYFUNCTION("""COMPUTED_VALUE"""),0.0)</f>
        <v>0</v>
      </c>
      <c r="Z100" s="201">
        <f t="shared" si="12"/>
        <v>0</v>
      </c>
      <c r="AA100" s="201">
        <f t="shared" si="13"/>
        <v>0</v>
      </c>
      <c r="AB100" s="201">
        <f t="shared" si="14"/>
        <v>0</v>
      </c>
    </row>
    <row r="101" ht="14.25" customHeight="1">
      <c r="A101" s="175"/>
      <c r="B101" s="208"/>
      <c r="C101" s="181"/>
      <c r="D101" s="209" t="s">
        <v>847</v>
      </c>
      <c r="E101" s="183">
        <f>SUMIFS('DB WBS'!$J:$J,'DB WBS'!$A:$A,$D$4,'DB WBS'!$D:$D,AA$1,'DB WBS'!$B:$B,$E$3,'DB WBS'!$E:$E,$B101)</f>
        <v>0</v>
      </c>
      <c r="F101" s="183">
        <f>SUMIFS('DB WBS'!$J:$J,'DB WBS'!$A:$A,$D$4,'DB WBS'!$D:$D,AA$2,'DB WBS'!$B:$B,$E$3,'DB WBS'!$E:$E,$B101)</f>
        <v>0</v>
      </c>
      <c r="G101" s="184">
        <f>IFERROR(HLOOKUP($E$3,'Tahun Lalu'!$B$5:$V$158,MATCH(B101,'Tahun Lalu'!$B$5:$B$158,0),0),0)</f>
        <v>0</v>
      </c>
      <c r="H101" s="184">
        <v>0.0</v>
      </c>
      <c r="I101" s="184">
        <v>0.0</v>
      </c>
      <c r="J101" s="183">
        <f t="shared" si="3"/>
        <v>0</v>
      </c>
      <c r="K101" s="183">
        <f t="shared" si="4"/>
        <v>0</v>
      </c>
      <c r="L101" s="183">
        <f t="shared" si="5"/>
        <v>0</v>
      </c>
      <c r="M101" s="183">
        <f t="shared" si="6"/>
        <v>0</v>
      </c>
      <c r="N101" s="183">
        <f t="shared" ref="N101:N102" si="128">E101+V101</f>
        <v>0</v>
      </c>
      <c r="O101" s="183">
        <f t="shared" ref="O101:Q101" si="127">G101+W101</f>
        <v>0</v>
      </c>
      <c r="P101" s="183">
        <f t="shared" si="127"/>
        <v>0</v>
      </c>
      <c r="Q101" s="183">
        <f t="shared" si="127"/>
        <v>0</v>
      </c>
      <c r="R101" s="183">
        <f t="shared" si="9"/>
        <v>0</v>
      </c>
      <c r="S101" s="183">
        <f t="shared" si="10"/>
        <v>0</v>
      </c>
      <c r="T101" s="183">
        <f t="shared" si="11"/>
        <v>0</v>
      </c>
      <c r="U101" s="186"/>
      <c r="V101" s="183">
        <f>IFERROR(__xludf.DUMMYFUNCTION("""COMPUTED_VALUE"""),0.0)</f>
        <v>0</v>
      </c>
      <c r="W101" s="183">
        <f>IFERROR(__xludf.DUMMYFUNCTION("""COMPUTED_VALUE"""),0.0)</f>
        <v>0</v>
      </c>
      <c r="X101" s="183">
        <f>IFERROR(__xludf.DUMMYFUNCTION("""COMPUTED_VALUE"""),0.0)</f>
        <v>0</v>
      </c>
      <c r="Y101" s="183">
        <f>IFERROR(__xludf.DUMMYFUNCTION("""COMPUTED_VALUE"""),0.0)</f>
        <v>0</v>
      </c>
      <c r="Z101" s="183">
        <f t="shared" si="12"/>
        <v>0</v>
      </c>
      <c r="AA101" s="183">
        <f t="shared" si="13"/>
        <v>0</v>
      </c>
      <c r="AB101" s="183">
        <f t="shared" si="14"/>
        <v>0</v>
      </c>
    </row>
    <row r="102" ht="14.25" customHeight="1">
      <c r="A102" s="175"/>
      <c r="B102" s="208"/>
      <c r="C102" s="181"/>
      <c r="D102" s="209" t="s">
        <v>848</v>
      </c>
      <c r="E102" s="183">
        <f>SUMIFS('DB WBS'!$J:$J,'DB WBS'!$A:$A,$D$4,'DB WBS'!$D:$D,AA$1,'DB WBS'!$B:$B,$E$3,'DB WBS'!$E:$E,$B102)</f>
        <v>0</v>
      </c>
      <c r="F102" s="183">
        <f>SUMIFS('DB WBS'!$J:$J,'DB WBS'!$A:$A,$D$4,'DB WBS'!$D:$D,AA$2,'DB WBS'!$B:$B,$E$3,'DB WBS'!$E:$E,$B102)</f>
        <v>0</v>
      </c>
      <c r="G102" s="184">
        <f>IFERROR(HLOOKUP($E$3,'Tahun Lalu'!$B$5:$V$158,MATCH(B102,'Tahun Lalu'!$B$5:$B$158,0),0),0)</f>
        <v>0</v>
      </c>
      <c r="H102" s="184">
        <v>0.0</v>
      </c>
      <c r="I102" s="184">
        <v>0.0</v>
      </c>
      <c r="J102" s="183">
        <f t="shared" si="3"/>
        <v>0</v>
      </c>
      <c r="K102" s="183">
        <f t="shared" si="4"/>
        <v>0</v>
      </c>
      <c r="L102" s="183">
        <f t="shared" si="5"/>
        <v>0</v>
      </c>
      <c r="M102" s="183">
        <f t="shared" si="6"/>
        <v>0</v>
      </c>
      <c r="N102" s="183">
        <f t="shared" si="128"/>
        <v>0</v>
      </c>
      <c r="O102" s="183">
        <f t="shared" ref="O102:Q102" si="129">G102+W102</f>
        <v>0</v>
      </c>
      <c r="P102" s="183">
        <f t="shared" si="129"/>
        <v>0</v>
      </c>
      <c r="Q102" s="183">
        <f t="shared" si="129"/>
        <v>0</v>
      </c>
      <c r="R102" s="183">
        <f t="shared" si="9"/>
        <v>0</v>
      </c>
      <c r="S102" s="183">
        <f t="shared" si="10"/>
        <v>0</v>
      </c>
      <c r="T102" s="183">
        <f t="shared" si="11"/>
        <v>0</v>
      </c>
      <c r="U102" s="186"/>
      <c r="V102" s="183">
        <f>IFERROR(__xludf.DUMMYFUNCTION("""COMPUTED_VALUE"""),0.0)</f>
        <v>0</v>
      </c>
      <c r="W102" s="183">
        <f>IFERROR(__xludf.DUMMYFUNCTION("""COMPUTED_VALUE"""),0.0)</f>
        <v>0</v>
      </c>
      <c r="X102" s="183">
        <f>IFERROR(__xludf.DUMMYFUNCTION("""COMPUTED_VALUE"""),0.0)</f>
        <v>0</v>
      </c>
      <c r="Y102" s="183">
        <f>IFERROR(__xludf.DUMMYFUNCTION("""COMPUTED_VALUE"""),0.0)</f>
        <v>0</v>
      </c>
      <c r="Z102" s="183">
        <f t="shared" si="12"/>
        <v>0</v>
      </c>
      <c r="AA102" s="183">
        <f t="shared" si="13"/>
        <v>0</v>
      </c>
      <c r="AB102" s="183">
        <f t="shared" si="14"/>
        <v>0</v>
      </c>
    </row>
    <row r="103" ht="14.25" customHeight="1">
      <c r="A103" s="175"/>
      <c r="B103" s="212" t="s">
        <v>849</v>
      </c>
      <c r="C103" s="199"/>
      <c r="D103" s="200"/>
      <c r="E103" s="201">
        <f t="shared" ref="E103:I103" si="130">SUM(E101:E102)</f>
        <v>0</v>
      </c>
      <c r="F103" s="201">
        <f t="shared" si="130"/>
        <v>0</v>
      </c>
      <c r="G103" s="201">
        <f t="shared" si="130"/>
        <v>0</v>
      </c>
      <c r="H103" s="201">
        <f t="shared" si="130"/>
        <v>0</v>
      </c>
      <c r="I103" s="201">
        <f t="shared" si="130"/>
        <v>0</v>
      </c>
      <c r="J103" s="201">
        <f t="shared" si="3"/>
        <v>0</v>
      </c>
      <c r="K103" s="201">
        <f t="shared" si="4"/>
        <v>0</v>
      </c>
      <c r="L103" s="201">
        <f t="shared" si="5"/>
        <v>0</v>
      </c>
      <c r="M103" s="201">
        <f t="shared" si="6"/>
        <v>0</v>
      </c>
      <c r="N103" s="201">
        <f t="shared" ref="N103:Q103" si="131">SUM(N101:N102)</f>
        <v>0</v>
      </c>
      <c r="O103" s="201">
        <f t="shared" si="131"/>
        <v>0</v>
      </c>
      <c r="P103" s="201">
        <f t="shared" si="131"/>
        <v>0</v>
      </c>
      <c r="Q103" s="201">
        <f t="shared" si="131"/>
        <v>0</v>
      </c>
      <c r="R103" s="201">
        <f t="shared" si="9"/>
        <v>0</v>
      </c>
      <c r="S103" s="201">
        <f t="shared" si="10"/>
        <v>0</v>
      </c>
      <c r="T103" s="201">
        <f t="shared" si="11"/>
        <v>0</v>
      </c>
      <c r="U103" s="202"/>
      <c r="V103" s="201">
        <f>IFERROR(__xludf.DUMMYFUNCTION("""COMPUTED_VALUE"""),0.0)</f>
        <v>0</v>
      </c>
      <c r="W103" s="201">
        <f>IFERROR(__xludf.DUMMYFUNCTION("""COMPUTED_VALUE"""),0.0)</f>
        <v>0</v>
      </c>
      <c r="X103" s="201">
        <f>IFERROR(__xludf.DUMMYFUNCTION("""COMPUTED_VALUE"""),0.0)</f>
        <v>0</v>
      </c>
      <c r="Y103" s="201">
        <f>IFERROR(__xludf.DUMMYFUNCTION("""COMPUTED_VALUE"""),0.0)</f>
        <v>0</v>
      </c>
      <c r="Z103" s="201">
        <f t="shared" si="12"/>
        <v>0</v>
      </c>
      <c r="AA103" s="201">
        <f t="shared" si="13"/>
        <v>0</v>
      </c>
      <c r="AB103" s="201">
        <f t="shared" si="14"/>
        <v>0</v>
      </c>
    </row>
    <row r="104" ht="14.25" customHeight="1">
      <c r="A104" s="175"/>
      <c r="B104" s="208"/>
      <c r="C104" s="181"/>
      <c r="D104" s="209" t="s">
        <v>850</v>
      </c>
      <c r="E104" s="183">
        <f>SUMIFS('DB WBS'!$J:$J,'DB WBS'!$A:$A,$D$4,'DB WBS'!$D:$D,AA$1,'DB WBS'!$B:$B,$E$3,'DB WBS'!$E:$E,$B104)</f>
        <v>0</v>
      </c>
      <c r="F104" s="183">
        <f>SUMIFS('DB WBS'!$J:$J,'DB WBS'!$A:$A,$D$4,'DB WBS'!$D:$D,AA$2,'DB WBS'!$B:$B,$E$3,'DB WBS'!$E:$E,$B104)</f>
        <v>0</v>
      </c>
      <c r="G104" s="184">
        <f>IFERROR(HLOOKUP($E$3,'Tahun Lalu'!$B$5:$V$158,MATCH(B104,'Tahun Lalu'!$B$5:$B$158,0),0),0)</f>
        <v>0</v>
      </c>
      <c r="H104" s="184">
        <v>0.0</v>
      </c>
      <c r="I104" s="184">
        <v>0.0</v>
      </c>
      <c r="J104" s="183">
        <f t="shared" si="3"/>
        <v>0</v>
      </c>
      <c r="K104" s="183">
        <f t="shared" si="4"/>
        <v>0</v>
      </c>
      <c r="L104" s="183">
        <f t="shared" si="5"/>
        <v>0</v>
      </c>
      <c r="M104" s="183">
        <f t="shared" si="6"/>
        <v>0</v>
      </c>
      <c r="N104" s="183">
        <f t="shared" ref="N104:N105" si="133">E104+V104</f>
        <v>0</v>
      </c>
      <c r="O104" s="183">
        <f t="shared" ref="O104:Q104" si="132">G104+W104</f>
        <v>0</v>
      </c>
      <c r="P104" s="183">
        <f t="shared" si="132"/>
        <v>0</v>
      </c>
      <c r="Q104" s="183">
        <f t="shared" si="132"/>
        <v>0</v>
      </c>
      <c r="R104" s="183">
        <f t="shared" si="9"/>
        <v>0</v>
      </c>
      <c r="S104" s="183">
        <f t="shared" si="10"/>
        <v>0</v>
      </c>
      <c r="T104" s="183">
        <f t="shared" si="11"/>
        <v>0</v>
      </c>
      <c r="U104" s="186"/>
      <c r="V104" s="183">
        <f>IFERROR(__xludf.DUMMYFUNCTION("""COMPUTED_VALUE"""),0.0)</f>
        <v>0</v>
      </c>
      <c r="W104" s="183">
        <f>IFERROR(__xludf.DUMMYFUNCTION("""COMPUTED_VALUE"""),0.0)</f>
        <v>0</v>
      </c>
      <c r="X104" s="183">
        <f>IFERROR(__xludf.DUMMYFUNCTION("""COMPUTED_VALUE"""),0.0)</f>
        <v>0</v>
      </c>
      <c r="Y104" s="183">
        <f>IFERROR(__xludf.DUMMYFUNCTION("""COMPUTED_VALUE"""),0.0)</f>
        <v>0</v>
      </c>
      <c r="Z104" s="183">
        <f t="shared" si="12"/>
        <v>0</v>
      </c>
      <c r="AA104" s="183">
        <f t="shared" si="13"/>
        <v>0</v>
      </c>
      <c r="AB104" s="183">
        <f t="shared" si="14"/>
        <v>0</v>
      </c>
    </row>
    <row r="105" ht="14.25" customHeight="1">
      <c r="A105" s="175"/>
      <c r="B105" s="208"/>
      <c r="C105" s="181"/>
      <c r="D105" s="209"/>
      <c r="E105" s="183">
        <f>SUMIFS('DB WBS'!$J:$J,'DB WBS'!$A:$A,$D$4,'DB WBS'!$D:$D,AA$1,'DB WBS'!$B:$B,$E$3,'DB WBS'!$E:$E,$B105)</f>
        <v>0</v>
      </c>
      <c r="F105" s="183">
        <f>SUMIFS('DB WBS'!$J:$J,'DB WBS'!$A:$A,$D$4,'DB WBS'!$D:$D,AA$2,'DB WBS'!$B:$B,$E$3,'DB WBS'!$E:$E,$B105)</f>
        <v>0</v>
      </c>
      <c r="G105" s="184">
        <f>IFERROR(HLOOKUP($E$3,'Tahun Lalu'!$B$5:$V$158,MATCH(B105,'Tahun Lalu'!$B$5:$B$158,0),0),0)</f>
        <v>0</v>
      </c>
      <c r="H105" s="184">
        <v>0.0</v>
      </c>
      <c r="I105" s="184">
        <v>0.0</v>
      </c>
      <c r="J105" s="183">
        <f t="shared" si="3"/>
        <v>0</v>
      </c>
      <c r="K105" s="183">
        <f t="shared" si="4"/>
        <v>0</v>
      </c>
      <c r="L105" s="183">
        <f t="shared" si="5"/>
        <v>0</v>
      </c>
      <c r="M105" s="183">
        <f t="shared" si="6"/>
        <v>0</v>
      </c>
      <c r="N105" s="183">
        <f t="shared" si="133"/>
        <v>0</v>
      </c>
      <c r="O105" s="183">
        <f t="shared" ref="O105:Q105" si="134">G105+W105</f>
        <v>0</v>
      </c>
      <c r="P105" s="183">
        <f t="shared" si="134"/>
        <v>0</v>
      </c>
      <c r="Q105" s="183">
        <f t="shared" si="134"/>
        <v>0</v>
      </c>
      <c r="R105" s="183">
        <f t="shared" si="9"/>
        <v>0</v>
      </c>
      <c r="S105" s="183">
        <f t="shared" si="10"/>
        <v>0</v>
      </c>
      <c r="T105" s="183">
        <f t="shared" si="11"/>
        <v>0</v>
      </c>
      <c r="U105" s="186"/>
      <c r="V105" s="183">
        <f>IFERROR(__xludf.DUMMYFUNCTION("""COMPUTED_VALUE"""),0.0)</f>
        <v>0</v>
      </c>
      <c r="W105" s="183">
        <f>IFERROR(__xludf.DUMMYFUNCTION("""COMPUTED_VALUE"""),0.0)</f>
        <v>0</v>
      </c>
      <c r="X105" s="183">
        <f>IFERROR(__xludf.DUMMYFUNCTION("""COMPUTED_VALUE"""),0.0)</f>
        <v>0</v>
      </c>
      <c r="Y105" s="183">
        <f>IFERROR(__xludf.DUMMYFUNCTION("""COMPUTED_VALUE"""),0.0)</f>
        <v>0</v>
      </c>
      <c r="Z105" s="183">
        <f t="shared" si="12"/>
        <v>0</v>
      </c>
      <c r="AA105" s="183">
        <f t="shared" si="13"/>
        <v>0</v>
      </c>
      <c r="AB105" s="183">
        <f t="shared" si="14"/>
        <v>0</v>
      </c>
    </row>
    <row r="106" ht="14.25" customHeight="1">
      <c r="A106" s="175"/>
      <c r="B106" s="212" t="s">
        <v>851</v>
      </c>
      <c r="C106" s="199"/>
      <c r="D106" s="200"/>
      <c r="E106" s="201">
        <f t="shared" ref="E106:I106" si="135">SUM(E104:E105)</f>
        <v>0</v>
      </c>
      <c r="F106" s="201">
        <f t="shared" si="135"/>
        <v>0</v>
      </c>
      <c r="G106" s="201">
        <f t="shared" si="135"/>
        <v>0</v>
      </c>
      <c r="H106" s="201">
        <f t="shared" si="135"/>
        <v>0</v>
      </c>
      <c r="I106" s="201">
        <f t="shared" si="135"/>
        <v>0</v>
      </c>
      <c r="J106" s="201">
        <f t="shared" si="3"/>
        <v>0</v>
      </c>
      <c r="K106" s="201">
        <f t="shared" si="4"/>
        <v>0</v>
      </c>
      <c r="L106" s="201">
        <f t="shared" si="5"/>
        <v>0</v>
      </c>
      <c r="M106" s="201">
        <f t="shared" si="6"/>
        <v>0</v>
      </c>
      <c r="N106" s="201">
        <f t="shared" ref="N106:Q106" si="136">SUM(N104:N105)</f>
        <v>0</v>
      </c>
      <c r="O106" s="201">
        <f t="shared" si="136"/>
        <v>0</v>
      </c>
      <c r="P106" s="201">
        <f t="shared" si="136"/>
        <v>0</v>
      </c>
      <c r="Q106" s="201">
        <f t="shared" si="136"/>
        <v>0</v>
      </c>
      <c r="R106" s="201">
        <f t="shared" si="9"/>
        <v>0</v>
      </c>
      <c r="S106" s="201">
        <f t="shared" si="10"/>
        <v>0</v>
      </c>
      <c r="T106" s="201">
        <f t="shared" si="11"/>
        <v>0</v>
      </c>
      <c r="U106" s="202"/>
      <c r="V106" s="201">
        <f>IFERROR(__xludf.DUMMYFUNCTION("""COMPUTED_VALUE"""),0.0)</f>
        <v>0</v>
      </c>
      <c r="W106" s="201">
        <f>IFERROR(__xludf.DUMMYFUNCTION("""COMPUTED_VALUE"""),0.0)</f>
        <v>0</v>
      </c>
      <c r="X106" s="201">
        <f>IFERROR(__xludf.DUMMYFUNCTION("""COMPUTED_VALUE"""),0.0)</f>
        <v>0</v>
      </c>
      <c r="Y106" s="201">
        <f>IFERROR(__xludf.DUMMYFUNCTION("""COMPUTED_VALUE"""),0.0)</f>
        <v>0</v>
      </c>
      <c r="Z106" s="201">
        <f t="shared" si="12"/>
        <v>0</v>
      </c>
      <c r="AA106" s="201">
        <f t="shared" si="13"/>
        <v>0</v>
      </c>
      <c r="AB106" s="201">
        <f t="shared" si="14"/>
        <v>0</v>
      </c>
    </row>
    <row r="107" ht="14.25" customHeight="1">
      <c r="A107" s="175"/>
      <c r="B107" s="208"/>
      <c r="C107" s="181"/>
      <c r="D107" s="209" t="s">
        <v>852</v>
      </c>
      <c r="E107" s="183">
        <f>SUMIFS('DB WBS'!$J:$J,'DB WBS'!$A:$A,$D$4,'DB WBS'!$D:$D,AA$1,'DB WBS'!$B:$B,$E$3,'DB WBS'!$E:$E,$B107)</f>
        <v>0</v>
      </c>
      <c r="F107" s="183">
        <f>SUMIFS('DB WBS'!$J:$J,'DB WBS'!$A:$A,$D$4,'DB WBS'!$D:$D,AA$2,'DB WBS'!$B:$B,$E$3,'DB WBS'!$E:$E,$B107)</f>
        <v>0</v>
      </c>
      <c r="G107" s="184">
        <f>IFERROR(HLOOKUP($E$3,'Tahun Lalu'!$B$5:$V$158,MATCH(B107,'Tahun Lalu'!$B$5:$B$158,0),0),0)</f>
        <v>0</v>
      </c>
      <c r="H107" s="184">
        <v>0.0</v>
      </c>
      <c r="I107" s="184">
        <v>0.0</v>
      </c>
      <c r="J107" s="183">
        <f t="shared" si="3"/>
        <v>0</v>
      </c>
      <c r="K107" s="183">
        <f t="shared" si="4"/>
        <v>0</v>
      </c>
      <c r="L107" s="183">
        <f t="shared" si="5"/>
        <v>0</v>
      </c>
      <c r="M107" s="183">
        <f t="shared" si="6"/>
        <v>0</v>
      </c>
      <c r="N107" s="183">
        <f t="shared" ref="N107:N108" si="138">E107+V107</f>
        <v>0</v>
      </c>
      <c r="O107" s="183">
        <f t="shared" ref="O107:Q107" si="137">G107+W107</f>
        <v>0</v>
      </c>
      <c r="P107" s="183">
        <f t="shared" si="137"/>
        <v>0</v>
      </c>
      <c r="Q107" s="183">
        <f t="shared" si="137"/>
        <v>0</v>
      </c>
      <c r="R107" s="183">
        <f t="shared" si="9"/>
        <v>0</v>
      </c>
      <c r="S107" s="183">
        <f t="shared" si="10"/>
        <v>0</v>
      </c>
      <c r="T107" s="183">
        <f t="shared" si="11"/>
        <v>0</v>
      </c>
      <c r="U107" s="186"/>
      <c r="V107" s="183">
        <f>IFERROR(__xludf.DUMMYFUNCTION("""COMPUTED_VALUE"""),0.0)</f>
        <v>0</v>
      </c>
      <c r="W107" s="183">
        <f>IFERROR(__xludf.DUMMYFUNCTION("""COMPUTED_VALUE"""),0.0)</f>
        <v>0</v>
      </c>
      <c r="X107" s="183">
        <f>IFERROR(__xludf.DUMMYFUNCTION("""COMPUTED_VALUE"""),0.0)</f>
        <v>0</v>
      </c>
      <c r="Y107" s="183">
        <f>IFERROR(__xludf.DUMMYFUNCTION("""COMPUTED_VALUE"""),0.0)</f>
        <v>0</v>
      </c>
      <c r="Z107" s="183">
        <f t="shared" si="12"/>
        <v>0</v>
      </c>
      <c r="AA107" s="183">
        <f t="shared" si="13"/>
        <v>0</v>
      </c>
      <c r="AB107" s="183">
        <f t="shared" si="14"/>
        <v>0</v>
      </c>
    </row>
    <row r="108" ht="14.25" customHeight="1">
      <c r="A108" s="175"/>
      <c r="B108" s="208"/>
      <c r="C108" s="181"/>
      <c r="D108" s="209"/>
      <c r="E108" s="183">
        <f>SUMIFS('DB WBS'!$J:$J,'DB WBS'!$A:$A,$D$4,'DB WBS'!$D:$D,AA$1,'DB WBS'!$B:$B,$E$3,'DB WBS'!$E:$E,$B108)</f>
        <v>0</v>
      </c>
      <c r="F108" s="183">
        <f>SUMIFS('DB WBS'!$J:$J,'DB WBS'!$A:$A,$D$4,'DB WBS'!$D:$D,AA$2,'DB WBS'!$B:$B,$E$3,'DB WBS'!$E:$E,$B108)</f>
        <v>0</v>
      </c>
      <c r="G108" s="184">
        <f>IFERROR(HLOOKUP($E$3,'Tahun Lalu'!$B$5:$V$158,MATCH(B108,'Tahun Lalu'!$B$5:$B$158,0),0),0)</f>
        <v>0</v>
      </c>
      <c r="H108" s="184">
        <v>0.0</v>
      </c>
      <c r="I108" s="184">
        <v>0.0</v>
      </c>
      <c r="J108" s="183">
        <f t="shared" si="3"/>
        <v>0</v>
      </c>
      <c r="K108" s="183">
        <f t="shared" si="4"/>
        <v>0</v>
      </c>
      <c r="L108" s="183">
        <f t="shared" si="5"/>
        <v>0</v>
      </c>
      <c r="M108" s="183">
        <f t="shared" si="6"/>
        <v>0</v>
      </c>
      <c r="N108" s="183">
        <f t="shared" si="138"/>
        <v>0</v>
      </c>
      <c r="O108" s="183">
        <f t="shared" ref="O108:Q108" si="139">G108+W108</f>
        <v>0</v>
      </c>
      <c r="P108" s="183">
        <f t="shared" si="139"/>
        <v>0</v>
      </c>
      <c r="Q108" s="183">
        <f t="shared" si="139"/>
        <v>0</v>
      </c>
      <c r="R108" s="183">
        <f t="shared" si="9"/>
        <v>0</v>
      </c>
      <c r="S108" s="183">
        <f t="shared" si="10"/>
        <v>0</v>
      </c>
      <c r="T108" s="183">
        <f t="shared" si="11"/>
        <v>0</v>
      </c>
      <c r="U108" s="186"/>
      <c r="V108" s="183">
        <f>IFERROR(__xludf.DUMMYFUNCTION("""COMPUTED_VALUE"""),0.0)</f>
        <v>0</v>
      </c>
      <c r="W108" s="183">
        <f>IFERROR(__xludf.DUMMYFUNCTION("""COMPUTED_VALUE"""),0.0)</f>
        <v>0</v>
      </c>
      <c r="X108" s="183">
        <f>IFERROR(__xludf.DUMMYFUNCTION("""COMPUTED_VALUE"""),0.0)</f>
        <v>0</v>
      </c>
      <c r="Y108" s="183">
        <f>IFERROR(__xludf.DUMMYFUNCTION("""COMPUTED_VALUE"""),0.0)</f>
        <v>0</v>
      </c>
      <c r="Z108" s="183">
        <f t="shared" si="12"/>
        <v>0</v>
      </c>
      <c r="AA108" s="183">
        <f t="shared" si="13"/>
        <v>0</v>
      </c>
      <c r="AB108" s="183">
        <f t="shared" si="14"/>
        <v>0</v>
      </c>
    </row>
    <row r="109" ht="14.25" customHeight="1">
      <c r="A109" s="175"/>
      <c r="B109" s="212" t="s">
        <v>853</v>
      </c>
      <c r="C109" s="199"/>
      <c r="D109" s="200"/>
      <c r="E109" s="201">
        <f t="shared" ref="E109:I109" si="140">SUM(E107:E108)</f>
        <v>0</v>
      </c>
      <c r="F109" s="201">
        <f t="shared" si="140"/>
        <v>0</v>
      </c>
      <c r="G109" s="201">
        <f t="shared" si="140"/>
        <v>0</v>
      </c>
      <c r="H109" s="201">
        <f t="shared" si="140"/>
        <v>0</v>
      </c>
      <c r="I109" s="201">
        <f t="shared" si="140"/>
        <v>0</v>
      </c>
      <c r="J109" s="201">
        <f t="shared" si="3"/>
        <v>0</v>
      </c>
      <c r="K109" s="201">
        <f t="shared" si="4"/>
        <v>0</v>
      </c>
      <c r="L109" s="201">
        <f t="shared" si="5"/>
        <v>0</v>
      </c>
      <c r="M109" s="201">
        <f t="shared" si="6"/>
        <v>0</v>
      </c>
      <c r="N109" s="201">
        <f t="shared" ref="N109:Q109" si="141">SUM(N107:N108)</f>
        <v>0</v>
      </c>
      <c r="O109" s="201">
        <f t="shared" si="141"/>
        <v>0</v>
      </c>
      <c r="P109" s="201">
        <f t="shared" si="141"/>
        <v>0</v>
      </c>
      <c r="Q109" s="201">
        <f t="shared" si="141"/>
        <v>0</v>
      </c>
      <c r="R109" s="201">
        <f t="shared" si="9"/>
        <v>0</v>
      </c>
      <c r="S109" s="201">
        <f t="shared" si="10"/>
        <v>0</v>
      </c>
      <c r="T109" s="201">
        <f t="shared" si="11"/>
        <v>0</v>
      </c>
      <c r="U109" s="202"/>
      <c r="V109" s="201">
        <f>IFERROR(__xludf.DUMMYFUNCTION("""COMPUTED_VALUE"""),0.0)</f>
        <v>0</v>
      </c>
      <c r="W109" s="201">
        <f>IFERROR(__xludf.DUMMYFUNCTION("""COMPUTED_VALUE"""),0.0)</f>
        <v>0</v>
      </c>
      <c r="X109" s="201">
        <f>IFERROR(__xludf.DUMMYFUNCTION("""COMPUTED_VALUE"""),0.0)</f>
        <v>0</v>
      </c>
      <c r="Y109" s="201">
        <f>IFERROR(__xludf.DUMMYFUNCTION("""COMPUTED_VALUE"""),0.0)</f>
        <v>0</v>
      </c>
      <c r="Z109" s="201">
        <f t="shared" si="12"/>
        <v>0</v>
      </c>
      <c r="AA109" s="201">
        <f t="shared" si="13"/>
        <v>0</v>
      </c>
      <c r="AB109" s="201">
        <f t="shared" si="14"/>
        <v>0</v>
      </c>
    </row>
    <row r="110" ht="14.25" customHeight="1">
      <c r="A110" s="175"/>
      <c r="B110" s="208"/>
      <c r="C110" s="181"/>
      <c r="D110" s="209" t="s">
        <v>854</v>
      </c>
      <c r="E110" s="183">
        <f>SUMIFS('DB WBS'!$J:$J,'DB WBS'!$A:$A,$D$4,'DB WBS'!$D:$D,AA$1,'DB WBS'!$B:$B,$E$3,'DB WBS'!$E:$E,$B110)</f>
        <v>0</v>
      </c>
      <c r="F110" s="183">
        <f>SUMIFS('DB WBS'!$J:$J,'DB WBS'!$A:$A,$D$4,'DB WBS'!$D:$D,AA$2,'DB WBS'!$B:$B,$E$3,'DB WBS'!$E:$E,$B110)</f>
        <v>0</v>
      </c>
      <c r="G110" s="184">
        <f>IFERROR(HLOOKUP($E$3,'Tahun Lalu'!$B$5:$V$158,MATCH(B110,'Tahun Lalu'!$B$5:$B$158,0),0),0)</f>
        <v>0</v>
      </c>
      <c r="H110" s="184">
        <v>0.0</v>
      </c>
      <c r="I110" s="184">
        <v>0.0</v>
      </c>
      <c r="J110" s="183">
        <f t="shared" si="3"/>
        <v>0</v>
      </c>
      <c r="K110" s="183">
        <f t="shared" si="4"/>
        <v>0</v>
      </c>
      <c r="L110" s="183">
        <f t="shared" si="5"/>
        <v>0</v>
      </c>
      <c r="M110" s="183">
        <f t="shared" si="6"/>
        <v>0</v>
      </c>
      <c r="N110" s="183">
        <f t="shared" ref="N110:N111" si="143">E110+V110</f>
        <v>0</v>
      </c>
      <c r="O110" s="183">
        <f t="shared" ref="O110:Q110" si="142">G110+W110</f>
        <v>0</v>
      </c>
      <c r="P110" s="183">
        <f t="shared" si="142"/>
        <v>0</v>
      </c>
      <c r="Q110" s="183">
        <f t="shared" si="142"/>
        <v>0</v>
      </c>
      <c r="R110" s="183">
        <f t="shared" si="9"/>
        <v>0</v>
      </c>
      <c r="S110" s="183">
        <f t="shared" si="10"/>
        <v>0</v>
      </c>
      <c r="T110" s="183">
        <f t="shared" si="11"/>
        <v>0</v>
      </c>
      <c r="U110" s="186"/>
      <c r="V110" s="183">
        <f>IFERROR(__xludf.DUMMYFUNCTION("""COMPUTED_VALUE"""),0.0)</f>
        <v>0</v>
      </c>
      <c r="W110" s="183">
        <f>IFERROR(__xludf.DUMMYFUNCTION("""COMPUTED_VALUE"""),0.0)</f>
        <v>0</v>
      </c>
      <c r="X110" s="183">
        <f>IFERROR(__xludf.DUMMYFUNCTION("""COMPUTED_VALUE"""),0.0)</f>
        <v>0</v>
      </c>
      <c r="Y110" s="183">
        <f>IFERROR(__xludf.DUMMYFUNCTION("""COMPUTED_VALUE"""),0.0)</f>
        <v>0</v>
      </c>
      <c r="Z110" s="183">
        <f t="shared" si="12"/>
        <v>0</v>
      </c>
      <c r="AA110" s="183">
        <f t="shared" si="13"/>
        <v>0</v>
      </c>
      <c r="AB110" s="183">
        <f t="shared" si="14"/>
        <v>0</v>
      </c>
    </row>
    <row r="111" ht="14.25" customHeight="1">
      <c r="A111" s="175"/>
      <c r="B111" s="208"/>
      <c r="C111" s="181"/>
      <c r="D111" s="209"/>
      <c r="E111" s="183">
        <f>SUMIFS('DB WBS'!$J:$J,'DB WBS'!$A:$A,$D$4,'DB WBS'!$D:$D,AA$1,'DB WBS'!$B:$B,$E$3,'DB WBS'!$E:$E,$B111)</f>
        <v>0</v>
      </c>
      <c r="F111" s="183">
        <f>SUMIFS('DB WBS'!$J:$J,'DB WBS'!$A:$A,$D$4,'DB WBS'!$D:$D,AA$2,'DB WBS'!$B:$B,$E$3,'DB WBS'!$E:$E,$B111)</f>
        <v>0</v>
      </c>
      <c r="G111" s="184">
        <f>IFERROR(HLOOKUP($E$3,'Tahun Lalu'!$B$5:$V$158,MATCH(B111,'Tahun Lalu'!$B$5:$B$158,0),0),0)</f>
        <v>0</v>
      </c>
      <c r="H111" s="184">
        <v>0.0</v>
      </c>
      <c r="I111" s="184">
        <v>0.0</v>
      </c>
      <c r="J111" s="183">
        <f t="shared" si="3"/>
        <v>0</v>
      </c>
      <c r="K111" s="183">
        <f t="shared" si="4"/>
        <v>0</v>
      </c>
      <c r="L111" s="183">
        <f t="shared" si="5"/>
        <v>0</v>
      </c>
      <c r="M111" s="183">
        <f t="shared" si="6"/>
        <v>0</v>
      </c>
      <c r="N111" s="183">
        <f t="shared" si="143"/>
        <v>0</v>
      </c>
      <c r="O111" s="183">
        <f t="shared" ref="O111:Q111" si="144">G111+W111</f>
        <v>0</v>
      </c>
      <c r="P111" s="183">
        <f t="shared" si="144"/>
        <v>0</v>
      </c>
      <c r="Q111" s="183">
        <f t="shared" si="144"/>
        <v>0</v>
      </c>
      <c r="R111" s="183">
        <f t="shared" si="9"/>
        <v>0</v>
      </c>
      <c r="S111" s="183">
        <f t="shared" si="10"/>
        <v>0</v>
      </c>
      <c r="T111" s="183">
        <f t="shared" si="11"/>
        <v>0</v>
      </c>
      <c r="U111" s="186"/>
      <c r="V111" s="183">
        <f>IFERROR(__xludf.DUMMYFUNCTION("""COMPUTED_VALUE"""),0.0)</f>
        <v>0</v>
      </c>
      <c r="W111" s="183">
        <f>IFERROR(__xludf.DUMMYFUNCTION("""COMPUTED_VALUE"""),0.0)</f>
        <v>0</v>
      </c>
      <c r="X111" s="183">
        <f>IFERROR(__xludf.DUMMYFUNCTION("""COMPUTED_VALUE"""),0.0)</f>
        <v>0</v>
      </c>
      <c r="Y111" s="183">
        <f>IFERROR(__xludf.DUMMYFUNCTION("""COMPUTED_VALUE"""),0.0)</f>
        <v>0</v>
      </c>
      <c r="Z111" s="183">
        <f t="shared" si="12"/>
        <v>0</v>
      </c>
      <c r="AA111" s="183">
        <f t="shared" si="13"/>
        <v>0</v>
      </c>
      <c r="AB111" s="183">
        <f t="shared" si="14"/>
        <v>0</v>
      </c>
    </row>
    <row r="112" ht="14.25" customHeight="1">
      <c r="A112" s="175"/>
      <c r="B112" s="212" t="s">
        <v>855</v>
      </c>
      <c r="C112" s="199"/>
      <c r="D112" s="200"/>
      <c r="E112" s="201">
        <f t="shared" ref="E112:I112" si="145">SUM(E110:E111)</f>
        <v>0</v>
      </c>
      <c r="F112" s="201">
        <f t="shared" si="145"/>
        <v>0</v>
      </c>
      <c r="G112" s="201">
        <f t="shared" si="145"/>
        <v>0</v>
      </c>
      <c r="H112" s="201">
        <f t="shared" si="145"/>
        <v>0</v>
      </c>
      <c r="I112" s="201">
        <f t="shared" si="145"/>
        <v>0</v>
      </c>
      <c r="J112" s="201">
        <f t="shared" si="3"/>
        <v>0</v>
      </c>
      <c r="K112" s="201">
        <f t="shared" si="4"/>
        <v>0</v>
      </c>
      <c r="L112" s="201">
        <f t="shared" si="5"/>
        <v>0</v>
      </c>
      <c r="M112" s="201">
        <f t="shared" si="6"/>
        <v>0</v>
      </c>
      <c r="N112" s="201">
        <f t="shared" ref="N112:Q112" si="146">SUM(N110:N111)</f>
        <v>0</v>
      </c>
      <c r="O112" s="201">
        <f t="shared" si="146"/>
        <v>0</v>
      </c>
      <c r="P112" s="201">
        <f t="shared" si="146"/>
        <v>0</v>
      </c>
      <c r="Q112" s="201">
        <f t="shared" si="146"/>
        <v>0</v>
      </c>
      <c r="R112" s="201">
        <f t="shared" si="9"/>
        <v>0</v>
      </c>
      <c r="S112" s="201">
        <f t="shared" si="10"/>
        <v>0</v>
      </c>
      <c r="T112" s="201">
        <f t="shared" si="11"/>
        <v>0</v>
      </c>
      <c r="U112" s="202"/>
      <c r="V112" s="201">
        <f>IFERROR(__xludf.DUMMYFUNCTION("""COMPUTED_VALUE"""),0.0)</f>
        <v>0</v>
      </c>
      <c r="W112" s="201">
        <f>IFERROR(__xludf.DUMMYFUNCTION("""COMPUTED_VALUE"""),0.0)</f>
        <v>0</v>
      </c>
      <c r="X112" s="201">
        <f>IFERROR(__xludf.DUMMYFUNCTION("""COMPUTED_VALUE"""),0.0)</f>
        <v>0</v>
      </c>
      <c r="Y112" s="201">
        <f>IFERROR(__xludf.DUMMYFUNCTION("""COMPUTED_VALUE"""),0.0)</f>
        <v>0</v>
      </c>
      <c r="Z112" s="201">
        <f t="shared" si="12"/>
        <v>0</v>
      </c>
      <c r="AA112" s="201">
        <f t="shared" si="13"/>
        <v>0</v>
      </c>
      <c r="AB112" s="201">
        <f t="shared" si="14"/>
        <v>0</v>
      </c>
    </row>
    <row r="113" ht="14.25" customHeight="1">
      <c r="A113" s="175"/>
      <c r="B113" s="208"/>
      <c r="C113" s="181"/>
      <c r="D113" s="209" t="s">
        <v>856</v>
      </c>
      <c r="E113" s="183">
        <f>SUMIFS('DB WBS'!$J:$J,'DB WBS'!$A:$A,$D$4,'DB WBS'!$D:$D,AA$1,'DB WBS'!$B:$B,$E$3,'DB WBS'!$E:$E,$B113)</f>
        <v>0</v>
      </c>
      <c r="F113" s="183">
        <f>SUMIFS('DB WBS'!$J:$J,'DB WBS'!$A:$A,$D$4,'DB WBS'!$D:$D,AA$2,'DB WBS'!$B:$B,$E$3,'DB WBS'!$E:$E,$B113)</f>
        <v>0</v>
      </c>
      <c r="G113" s="184">
        <f>IFERROR(HLOOKUP($E$3,'Tahun Lalu'!$B$5:$V$158,MATCH(B113,'Tahun Lalu'!$B$5:$B$158,0),0),0)</f>
        <v>0</v>
      </c>
      <c r="H113" s="184">
        <v>0.0</v>
      </c>
      <c r="I113" s="184">
        <v>0.0</v>
      </c>
      <c r="J113" s="183">
        <f t="shared" si="3"/>
        <v>0</v>
      </c>
      <c r="K113" s="183">
        <f t="shared" si="4"/>
        <v>0</v>
      </c>
      <c r="L113" s="183">
        <f t="shared" si="5"/>
        <v>0</v>
      </c>
      <c r="M113" s="183">
        <f t="shared" si="6"/>
        <v>0</v>
      </c>
      <c r="N113" s="183">
        <f t="shared" ref="N113:N117" si="148">E113+V113</f>
        <v>0</v>
      </c>
      <c r="O113" s="183">
        <f t="shared" ref="O113:Q113" si="147">G113+W113</f>
        <v>0</v>
      </c>
      <c r="P113" s="183">
        <f t="shared" si="147"/>
        <v>0</v>
      </c>
      <c r="Q113" s="183">
        <f t="shared" si="147"/>
        <v>0</v>
      </c>
      <c r="R113" s="183">
        <f t="shared" si="9"/>
        <v>0</v>
      </c>
      <c r="S113" s="183">
        <f t="shared" si="10"/>
        <v>0</v>
      </c>
      <c r="T113" s="183">
        <f t="shared" si="11"/>
        <v>0</v>
      </c>
      <c r="U113" s="186"/>
      <c r="V113" s="183">
        <f>IFERROR(__xludf.DUMMYFUNCTION("""COMPUTED_VALUE"""),0.0)</f>
        <v>0</v>
      </c>
      <c r="W113" s="183">
        <f>IFERROR(__xludf.DUMMYFUNCTION("""COMPUTED_VALUE"""),0.0)</f>
        <v>0</v>
      </c>
      <c r="X113" s="183">
        <f>IFERROR(__xludf.DUMMYFUNCTION("""COMPUTED_VALUE"""),0.0)</f>
        <v>0</v>
      </c>
      <c r="Y113" s="183">
        <f>IFERROR(__xludf.DUMMYFUNCTION("""COMPUTED_VALUE"""),0.0)</f>
        <v>0</v>
      </c>
      <c r="Z113" s="183">
        <f t="shared" si="12"/>
        <v>0</v>
      </c>
      <c r="AA113" s="183">
        <f t="shared" si="13"/>
        <v>0</v>
      </c>
      <c r="AB113" s="183">
        <f t="shared" si="14"/>
        <v>0</v>
      </c>
    </row>
    <row r="114" ht="14.25" customHeight="1">
      <c r="A114" s="175"/>
      <c r="B114" s="208"/>
      <c r="C114" s="181"/>
      <c r="D114" s="209" t="s">
        <v>857</v>
      </c>
      <c r="E114" s="183">
        <f>SUMIFS('DB WBS'!$J:$J,'DB WBS'!$A:$A,$D$4,'DB WBS'!$D:$D,AA$1,'DB WBS'!$B:$B,$E$3,'DB WBS'!$E:$E,$B114)</f>
        <v>0</v>
      </c>
      <c r="F114" s="183">
        <f>SUMIFS('DB WBS'!$J:$J,'DB WBS'!$A:$A,$D$4,'DB WBS'!$D:$D,AA$2,'DB WBS'!$B:$B,$E$3,'DB WBS'!$E:$E,$B114)</f>
        <v>0</v>
      </c>
      <c r="G114" s="184">
        <f>IFERROR(HLOOKUP($E$3,'Tahun Lalu'!$B$5:$V$158,MATCH(B114,'Tahun Lalu'!$B$5:$B$158,0),0),0)</f>
        <v>0</v>
      </c>
      <c r="H114" s="184">
        <v>0.0</v>
      </c>
      <c r="I114" s="184">
        <v>0.0</v>
      </c>
      <c r="J114" s="183">
        <f t="shared" si="3"/>
        <v>0</v>
      </c>
      <c r="K114" s="183">
        <f t="shared" si="4"/>
        <v>0</v>
      </c>
      <c r="L114" s="183">
        <f t="shared" si="5"/>
        <v>0</v>
      </c>
      <c r="M114" s="183">
        <f t="shared" si="6"/>
        <v>0</v>
      </c>
      <c r="N114" s="183">
        <f t="shared" si="148"/>
        <v>0</v>
      </c>
      <c r="O114" s="183">
        <f t="shared" ref="O114:Q114" si="149">G114+W114</f>
        <v>0</v>
      </c>
      <c r="P114" s="183">
        <f t="shared" si="149"/>
        <v>0</v>
      </c>
      <c r="Q114" s="183">
        <f t="shared" si="149"/>
        <v>0</v>
      </c>
      <c r="R114" s="183">
        <f t="shared" si="9"/>
        <v>0</v>
      </c>
      <c r="S114" s="183">
        <f t="shared" si="10"/>
        <v>0</v>
      </c>
      <c r="T114" s="183">
        <f t="shared" si="11"/>
        <v>0</v>
      </c>
      <c r="U114" s="186"/>
      <c r="V114" s="183">
        <f>IFERROR(__xludf.DUMMYFUNCTION("""COMPUTED_VALUE"""),0.0)</f>
        <v>0</v>
      </c>
      <c r="W114" s="183">
        <f>IFERROR(__xludf.DUMMYFUNCTION("""COMPUTED_VALUE"""),0.0)</f>
        <v>0</v>
      </c>
      <c r="X114" s="183">
        <f>IFERROR(__xludf.DUMMYFUNCTION("""COMPUTED_VALUE"""),0.0)</f>
        <v>0</v>
      </c>
      <c r="Y114" s="183">
        <f>IFERROR(__xludf.DUMMYFUNCTION("""COMPUTED_VALUE"""),0.0)</f>
        <v>0</v>
      </c>
      <c r="Z114" s="183">
        <f t="shared" si="12"/>
        <v>0</v>
      </c>
      <c r="AA114" s="183">
        <f t="shared" si="13"/>
        <v>0</v>
      </c>
      <c r="AB114" s="183">
        <f t="shared" si="14"/>
        <v>0</v>
      </c>
    </row>
    <row r="115" ht="14.25" customHeight="1">
      <c r="A115" s="175"/>
      <c r="B115" s="208"/>
      <c r="C115" s="181"/>
      <c r="D115" s="209" t="s">
        <v>858</v>
      </c>
      <c r="E115" s="183">
        <f>SUMIFS('DB WBS'!$J:$J,'DB WBS'!$A:$A,$D$4,'DB WBS'!$D:$D,AA$1,'DB WBS'!$B:$B,$E$3,'DB WBS'!$E:$E,$B115)</f>
        <v>0</v>
      </c>
      <c r="F115" s="183">
        <f>SUMIFS('DB WBS'!$J:$J,'DB WBS'!$A:$A,$D$4,'DB WBS'!$D:$D,AA$2,'DB WBS'!$B:$B,$E$3,'DB WBS'!$E:$E,$B115)</f>
        <v>0</v>
      </c>
      <c r="G115" s="184">
        <f>IFERROR(HLOOKUP($E$3,'Tahun Lalu'!$B$5:$V$158,MATCH(B115,'Tahun Lalu'!$B$5:$B$158,0),0),0)</f>
        <v>0</v>
      </c>
      <c r="H115" s="184">
        <v>0.0</v>
      </c>
      <c r="I115" s="184">
        <v>0.0</v>
      </c>
      <c r="J115" s="183">
        <f t="shared" si="3"/>
        <v>0</v>
      </c>
      <c r="K115" s="183">
        <f t="shared" si="4"/>
        <v>0</v>
      </c>
      <c r="L115" s="183">
        <f t="shared" si="5"/>
        <v>0</v>
      </c>
      <c r="M115" s="183">
        <f t="shared" si="6"/>
        <v>0</v>
      </c>
      <c r="N115" s="183">
        <f t="shared" si="148"/>
        <v>0</v>
      </c>
      <c r="O115" s="183">
        <f t="shared" ref="O115:Q115" si="150">G115+W115</f>
        <v>0</v>
      </c>
      <c r="P115" s="183">
        <f t="shared" si="150"/>
        <v>0</v>
      </c>
      <c r="Q115" s="183">
        <f t="shared" si="150"/>
        <v>0</v>
      </c>
      <c r="R115" s="183">
        <f t="shared" si="9"/>
        <v>0</v>
      </c>
      <c r="S115" s="183">
        <f t="shared" si="10"/>
        <v>0</v>
      </c>
      <c r="T115" s="183">
        <f t="shared" si="11"/>
        <v>0</v>
      </c>
      <c r="U115" s="186"/>
      <c r="V115" s="183">
        <f>IFERROR(__xludf.DUMMYFUNCTION("""COMPUTED_VALUE"""),0.0)</f>
        <v>0</v>
      </c>
      <c r="W115" s="183">
        <f>IFERROR(__xludf.DUMMYFUNCTION("""COMPUTED_VALUE"""),0.0)</f>
        <v>0</v>
      </c>
      <c r="X115" s="183">
        <f>IFERROR(__xludf.DUMMYFUNCTION("""COMPUTED_VALUE"""),0.0)</f>
        <v>0</v>
      </c>
      <c r="Y115" s="183">
        <f>IFERROR(__xludf.DUMMYFUNCTION("""COMPUTED_VALUE"""),0.0)</f>
        <v>0</v>
      </c>
      <c r="Z115" s="183">
        <f t="shared" si="12"/>
        <v>0</v>
      </c>
      <c r="AA115" s="183">
        <f t="shared" si="13"/>
        <v>0</v>
      </c>
      <c r="AB115" s="183">
        <f t="shared" si="14"/>
        <v>0</v>
      </c>
    </row>
    <row r="116" ht="14.25" customHeight="1">
      <c r="A116" s="175"/>
      <c r="B116" s="208"/>
      <c r="C116" s="181"/>
      <c r="D116" s="209" t="s">
        <v>859</v>
      </c>
      <c r="E116" s="183">
        <f>SUMIFS('DB WBS'!$J:$J,'DB WBS'!$A:$A,$D$4,'DB WBS'!$D:$D,AA$1,'DB WBS'!$B:$B,$E$3,'DB WBS'!$E:$E,$B116)</f>
        <v>0</v>
      </c>
      <c r="F116" s="183">
        <f>SUMIFS('DB WBS'!$J:$J,'DB WBS'!$A:$A,$D$4,'DB WBS'!$D:$D,AA$2,'DB WBS'!$B:$B,$E$3,'DB WBS'!$E:$E,$B116)</f>
        <v>0</v>
      </c>
      <c r="G116" s="184">
        <f>IFERROR(HLOOKUP($E$3,'Tahun Lalu'!$B$5:$V$158,MATCH(B116,'Tahun Lalu'!$B$5:$B$158,0),0),0)</f>
        <v>0</v>
      </c>
      <c r="H116" s="184">
        <v>0.0</v>
      </c>
      <c r="I116" s="184">
        <v>0.0</v>
      </c>
      <c r="J116" s="183">
        <f t="shared" si="3"/>
        <v>0</v>
      </c>
      <c r="K116" s="183">
        <f t="shared" si="4"/>
        <v>0</v>
      </c>
      <c r="L116" s="183">
        <f t="shared" si="5"/>
        <v>0</v>
      </c>
      <c r="M116" s="183">
        <f t="shared" si="6"/>
        <v>0</v>
      </c>
      <c r="N116" s="183">
        <f t="shared" si="148"/>
        <v>0</v>
      </c>
      <c r="O116" s="183">
        <f t="shared" ref="O116:Q116" si="151">G116+W116</f>
        <v>0</v>
      </c>
      <c r="P116" s="183">
        <f t="shared" si="151"/>
        <v>0</v>
      </c>
      <c r="Q116" s="183">
        <f t="shared" si="151"/>
        <v>0</v>
      </c>
      <c r="R116" s="183">
        <f t="shared" si="9"/>
        <v>0</v>
      </c>
      <c r="S116" s="183">
        <f t="shared" si="10"/>
        <v>0</v>
      </c>
      <c r="T116" s="183">
        <f t="shared" si="11"/>
        <v>0</v>
      </c>
      <c r="U116" s="186"/>
      <c r="V116" s="183">
        <f>IFERROR(__xludf.DUMMYFUNCTION("""COMPUTED_VALUE"""),0.0)</f>
        <v>0</v>
      </c>
      <c r="W116" s="183">
        <f>IFERROR(__xludf.DUMMYFUNCTION("""COMPUTED_VALUE"""),0.0)</f>
        <v>0</v>
      </c>
      <c r="X116" s="183">
        <f>IFERROR(__xludf.DUMMYFUNCTION("""COMPUTED_VALUE"""),0.0)</f>
        <v>0</v>
      </c>
      <c r="Y116" s="183">
        <f>IFERROR(__xludf.DUMMYFUNCTION("""COMPUTED_VALUE"""),0.0)</f>
        <v>0</v>
      </c>
      <c r="Z116" s="183">
        <f t="shared" si="12"/>
        <v>0</v>
      </c>
      <c r="AA116" s="183">
        <f t="shared" si="13"/>
        <v>0</v>
      </c>
      <c r="AB116" s="183">
        <f t="shared" si="14"/>
        <v>0</v>
      </c>
    </row>
    <row r="117" ht="14.25" customHeight="1">
      <c r="A117" s="175"/>
      <c r="B117" s="211"/>
      <c r="C117" s="177"/>
      <c r="D117" s="182"/>
      <c r="E117" s="183">
        <f>SUMIFS('DB WBS'!$J:$J,'DB WBS'!$A:$A,$D$4,'DB WBS'!$D:$D,AA$1,'DB WBS'!$B:$B,$E$3,'DB WBS'!$E:$E,$B117)</f>
        <v>0</v>
      </c>
      <c r="F117" s="183">
        <f>SUMIFS('DB WBS'!$J:$J,'DB WBS'!$A:$A,$D$4,'DB WBS'!$D:$D,AA$2,'DB WBS'!$B:$B,$E$3,'DB WBS'!$E:$E,$B117)</f>
        <v>0</v>
      </c>
      <c r="G117" s="184">
        <f>IFERROR(HLOOKUP($E$3,'Tahun Lalu'!$B$5:$V$158,MATCH(B117,'Tahun Lalu'!$B$5:$B$158,0),0),0)</f>
        <v>0</v>
      </c>
      <c r="H117" s="184">
        <v>0.0</v>
      </c>
      <c r="I117" s="184">
        <v>0.0</v>
      </c>
      <c r="J117" s="183">
        <f t="shared" si="3"/>
        <v>0</v>
      </c>
      <c r="K117" s="183">
        <f t="shared" si="4"/>
        <v>0</v>
      </c>
      <c r="L117" s="183">
        <f t="shared" si="5"/>
        <v>0</v>
      </c>
      <c r="M117" s="183">
        <f t="shared" si="6"/>
        <v>0</v>
      </c>
      <c r="N117" s="183">
        <f t="shared" si="148"/>
        <v>0</v>
      </c>
      <c r="O117" s="183">
        <f t="shared" ref="O117:Q117" si="152">G117+W117</f>
        <v>0</v>
      </c>
      <c r="P117" s="183">
        <f t="shared" si="152"/>
        <v>0</v>
      </c>
      <c r="Q117" s="183">
        <f t="shared" si="152"/>
        <v>0</v>
      </c>
      <c r="R117" s="183">
        <f t="shared" si="9"/>
        <v>0</v>
      </c>
      <c r="S117" s="183">
        <f t="shared" si="10"/>
        <v>0</v>
      </c>
      <c r="T117" s="183">
        <f t="shared" si="11"/>
        <v>0</v>
      </c>
      <c r="U117" s="186"/>
      <c r="V117" s="183">
        <f>IFERROR(__xludf.DUMMYFUNCTION("""COMPUTED_VALUE"""),0.0)</f>
        <v>0</v>
      </c>
      <c r="W117" s="183">
        <f>IFERROR(__xludf.DUMMYFUNCTION("""COMPUTED_VALUE"""),0.0)</f>
        <v>0</v>
      </c>
      <c r="X117" s="183">
        <f>IFERROR(__xludf.DUMMYFUNCTION("""COMPUTED_VALUE"""),0.0)</f>
        <v>0</v>
      </c>
      <c r="Y117" s="183">
        <f>IFERROR(__xludf.DUMMYFUNCTION("""COMPUTED_VALUE"""),0.0)</f>
        <v>0</v>
      </c>
      <c r="Z117" s="183">
        <f t="shared" si="12"/>
        <v>0</v>
      </c>
      <c r="AA117" s="183">
        <f t="shared" si="13"/>
        <v>0</v>
      </c>
      <c r="AB117" s="183">
        <f t="shared" si="14"/>
        <v>0</v>
      </c>
    </row>
    <row r="118" ht="14.25" customHeight="1">
      <c r="A118" s="175"/>
      <c r="B118" s="212" t="s">
        <v>860</v>
      </c>
      <c r="C118" s="199"/>
      <c r="D118" s="200"/>
      <c r="E118" s="201">
        <f t="shared" ref="E118:I118" si="153">SUM(E113:E117)</f>
        <v>0</v>
      </c>
      <c r="F118" s="201">
        <f t="shared" si="153"/>
        <v>0</v>
      </c>
      <c r="G118" s="201">
        <f t="shared" si="153"/>
        <v>0</v>
      </c>
      <c r="H118" s="201">
        <f t="shared" si="153"/>
        <v>0</v>
      </c>
      <c r="I118" s="201">
        <f t="shared" si="153"/>
        <v>0</v>
      </c>
      <c r="J118" s="201">
        <f t="shared" si="3"/>
        <v>0</v>
      </c>
      <c r="K118" s="201">
        <f t="shared" si="4"/>
        <v>0</v>
      </c>
      <c r="L118" s="201">
        <f t="shared" si="5"/>
        <v>0</v>
      </c>
      <c r="M118" s="201">
        <f t="shared" si="6"/>
        <v>0</v>
      </c>
      <c r="N118" s="201">
        <f t="shared" ref="N118:Q118" si="154">SUM(N113:N117)</f>
        <v>0</v>
      </c>
      <c r="O118" s="201">
        <f t="shared" si="154"/>
        <v>0</v>
      </c>
      <c r="P118" s="201">
        <f t="shared" si="154"/>
        <v>0</v>
      </c>
      <c r="Q118" s="201">
        <f t="shared" si="154"/>
        <v>0</v>
      </c>
      <c r="R118" s="201">
        <f t="shared" si="9"/>
        <v>0</v>
      </c>
      <c r="S118" s="201">
        <f t="shared" si="10"/>
        <v>0</v>
      </c>
      <c r="T118" s="201">
        <f t="shared" si="11"/>
        <v>0</v>
      </c>
      <c r="U118" s="202"/>
      <c r="V118" s="201">
        <f>IFERROR(__xludf.DUMMYFUNCTION("""COMPUTED_VALUE"""),0.0)</f>
        <v>0</v>
      </c>
      <c r="W118" s="201">
        <f>IFERROR(__xludf.DUMMYFUNCTION("""COMPUTED_VALUE"""),0.0)</f>
        <v>0</v>
      </c>
      <c r="X118" s="201">
        <f>IFERROR(__xludf.DUMMYFUNCTION("""COMPUTED_VALUE"""),0.0)</f>
        <v>0</v>
      </c>
      <c r="Y118" s="201">
        <f>IFERROR(__xludf.DUMMYFUNCTION("""COMPUTED_VALUE"""),0.0)</f>
        <v>0</v>
      </c>
      <c r="Z118" s="201">
        <f t="shared" si="12"/>
        <v>0</v>
      </c>
      <c r="AA118" s="201">
        <f t="shared" si="13"/>
        <v>0</v>
      </c>
      <c r="AB118" s="201">
        <f t="shared" si="14"/>
        <v>0</v>
      </c>
    </row>
    <row r="119" ht="14.25" customHeight="1">
      <c r="A119" s="175"/>
      <c r="B119" s="204" t="s">
        <v>861</v>
      </c>
      <c r="C119" s="205"/>
      <c r="D119" s="206"/>
      <c r="E119" s="207">
        <f t="shared" ref="E119:I119" si="155">E97+E91+E100+E103+E106+E109+E112+E118</f>
        <v>1928688</v>
      </c>
      <c r="F119" s="207">
        <f t="shared" si="155"/>
        <v>1872784</v>
      </c>
      <c r="G119" s="207">
        <f t="shared" si="155"/>
        <v>4961480</v>
      </c>
      <c r="H119" s="207">
        <f t="shared" si="155"/>
        <v>0</v>
      </c>
      <c r="I119" s="207">
        <f t="shared" si="155"/>
        <v>0</v>
      </c>
      <c r="J119" s="207">
        <f t="shared" si="3"/>
        <v>102.9850746</v>
      </c>
      <c r="K119" s="207">
        <f t="shared" si="4"/>
        <v>38.87323944</v>
      </c>
      <c r="L119" s="207">
        <f t="shared" si="5"/>
        <v>0</v>
      </c>
      <c r="M119" s="207">
        <f t="shared" si="6"/>
        <v>0</v>
      </c>
      <c r="N119" s="207">
        <f t="shared" ref="N119:Q119" si="156">N97+N91+N100+N103+N106+N109+N112+N118</f>
        <v>9182232</v>
      </c>
      <c r="O119" s="207">
        <f t="shared" si="156"/>
        <v>15359724</v>
      </c>
      <c r="P119" s="207">
        <f t="shared" si="156"/>
        <v>0</v>
      </c>
      <c r="Q119" s="207">
        <f t="shared" si="156"/>
        <v>0</v>
      </c>
      <c r="R119" s="207">
        <f t="shared" si="9"/>
        <v>59.78123044</v>
      </c>
      <c r="S119" s="207">
        <f t="shared" si="10"/>
        <v>0</v>
      </c>
      <c r="T119" s="207">
        <f t="shared" si="11"/>
        <v>0</v>
      </c>
      <c r="U119" s="202"/>
      <c r="V119" s="207">
        <f>IFERROR(__xludf.DUMMYFUNCTION("""COMPUTED_VALUE"""),7253544.0)</f>
        <v>7253544</v>
      </c>
      <c r="W119" s="207">
        <f>IFERROR(__xludf.DUMMYFUNCTION("""COMPUTED_VALUE"""),1.0398244E7)</f>
        <v>10398244</v>
      </c>
      <c r="X119" s="207">
        <f>IFERROR(__xludf.DUMMYFUNCTION("""COMPUTED_VALUE"""),0.0)</f>
        <v>0</v>
      </c>
      <c r="Y119" s="207">
        <f>IFERROR(__xludf.DUMMYFUNCTION("""COMPUTED_VALUE"""),0.0)</f>
        <v>0</v>
      </c>
      <c r="Z119" s="207">
        <f t="shared" si="12"/>
        <v>69.75739365</v>
      </c>
      <c r="AA119" s="207">
        <f t="shared" si="13"/>
        <v>0</v>
      </c>
      <c r="AB119" s="207">
        <f t="shared" si="14"/>
        <v>0</v>
      </c>
    </row>
    <row r="120" ht="14.25" customHeight="1">
      <c r="A120" s="175"/>
      <c r="B120" s="208" t="s">
        <v>862</v>
      </c>
      <c r="C120" s="181"/>
      <c r="D120" s="209" t="s">
        <v>863</v>
      </c>
      <c r="E120" s="183">
        <f>SUMIFS('DB WBS'!$J:$J,'DB WBS'!$A:$A,$D$4,'DB WBS'!$D:$D,AA$1,'DB WBS'!$B:$B,$E$3,'DB WBS'!$E:$E,$B120)</f>
        <v>0</v>
      </c>
      <c r="F120" s="183">
        <f>SUMIFS('DB WBS'!$J:$J,'DB WBS'!$A:$A,$D$4,'DB WBS'!$D:$D,AA$2,'DB WBS'!$B:$B,$E$3,'DB WBS'!$E:$E,$B120)</f>
        <v>0</v>
      </c>
      <c r="G120" s="184">
        <f>IFERROR(HLOOKUP($E$3,'Tahun Lalu'!$B$5:$V$158,MATCH(B120,'Tahun Lalu'!$B$5:$B$158,0),0),0)</f>
        <v>0</v>
      </c>
      <c r="H120" s="184">
        <v>0.0</v>
      </c>
      <c r="I120" s="184">
        <v>0.0</v>
      </c>
      <c r="J120" s="183">
        <f t="shared" si="3"/>
        <v>0</v>
      </c>
      <c r="K120" s="183">
        <f t="shared" si="4"/>
        <v>0</v>
      </c>
      <c r="L120" s="183">
        <f t="shared" si="5"/>
        <v>0</v>
      </c>
      <c r="M120" s="183">
        <f t="shared" si="6"/>
        <v>0</v>
      </c>
      <c r="N120" s="183">
        <f t="shared" ref="N120:N121" si="158">E120+V120</f>
        <v>0</v>
      </c>
      <c r="O120" s="183">
        <f t="shared" ref="O120:Q120" si="157">G120+W120</f>
        <v>0</v>
      </c>
      <c r="P120" s="183">
        <f t="shared" si="157"/>
        <v>0</v>
      </c>
      <c r="Q120" s="183">
        <f t="shared" si="157"/>
        <v>0</v>
      </c>
      <c r="R120" s="183">
        <f t="shared" si="9"/>
        <v>0</v>
      </c>
      <c r="S120" s="183">
        <f t="shared" si="10"/>
        <v>0</v>
      </c>
      <c r="T120" s="183">
        <f t="shared" si="11"/>
        <v>0</v>
      </c>
      <c r="U120" s="186"/>
      <c r="V120" s="183">
        <f>IFERROR(__xludf.DUMMYFUNCTION("""COMPUTED_VALUE"""),0.0)</f>
        <v>0</v>
      </c>
      <c r="W120" s="183">
        <f>IFERROR(__xludf.DUMMYFUNCTION("""COMPUTED_VALUE"""),0.0)</f>
        <v>0</v>
      </c>
      <c r="X120" s="183">
        <f>IFERROR(__xludf.DUMMYFUNCTION("""COMPUTED_VALUE"""),0.0)</f>
        <v>0</v>
      </c>
      <c r="Y120" s="183">
        <f>IFERROR(__xludf.DUMMYFUNCTION("""COMPUTED_VALUE"""),0.0)</f>
        <v>0</v>
      </c>
      <c r="Z120" s="183">
        <f t="shared" si="12"/>
        <v>0</v>
      </c>
      <c r="AA120" s="183">
        <f t="shared" si="13"/>
        <v>0</v>
      </c>
      <c r="AB120" s="183">
        <f t="shared" si="14"/>
        <v>0</v>
      </c>
    </row>
    <row r="121" ht="14.25" customHeight="1">
      <c r="A121" s="175"/>
      <c r="B121" s="211"/>
      <c r="C121" s="177"/>
      <c r="D121" s="182"/>
      <c r="E121" s="183">
        <f>SUMIFS('DB WBS'!$J:$J,'DB WBS'!$A:$A,$D$4,'DB WBS'!$D:$D,AA$1,'DB WBS'!$B:$B,$E$3,'DB WBS'!$E:$E,$B121)</f>
        <v>0</v>
      </c>
      <c r="F121" s="183">
        <f>SUMIFS('DB WBS'!$J:$J,'DB WBS'!$A:$A,$D$4,'DB WBS'!$D:$D,AA$2,'DB WBS'!$B:$B,$E$3,'DB WBS'!$E:$E,$B121)</f>
        <v>0</v>
      </c>
      <c r="G121" s="184">
        <f>IFERROR(HLOOKUP($E$3,'Tahun Lalu'!$B$5:$V$158,MATCH(B121,'Tahun Lalu'!$B$5:$B$158,0),0),0)</f>
        <v>0</v>
      </c>
      <c r="H121" s="184">
        <v>0.0</v>
      </c>
      <c r="I121" s="184">
        <v>0.0</v>
      </c>
      <c r="J121" s="183">
        <f t="shared" si="3"/>
        <v>0</v>
      </c>
      <c r="K121" s="183">
        <f t="shared" si="4"/>
        <v>0</v>
      </c>
      <c r="L121" s="183">
        <f t="shared" si="5"/>
        <v>0</v>
      </c>
      <c r="M121" s="183">
        <f t="shared" si="6"/>
        <v>0</v>
      </c>
      <c r="N121" s="183">
        <f t="shared" si="158"/>
        <v>0</v>
      </c>
      <c r="O121" s="183">
        <f t="shared" ref="O121:Q121" si="159">G121+W121</f>
        <v>0</v>
      </c>
      <c r="P121" s="183">
        <f t="shared" si="159"/>
        <v>0</v>
      </c>
      <c r="Q121" s="183">
        <f t="shared" si="159"/>
        <v>0</v>
      </c>
      <c r="R121" s="183">
        <f t="shared" si="9"/>
        <v>0</v>
      </c>
      <c r="S121" s="183">
        <f t="shared" si="10"/>
        <v>0</v>
      </c>
      <c r="T121" s="183">
        <f t="shared" si="11"/>
        <v>0</v>
      </c>
      <c r="U121" s="186"/>
      <c r="V121" s="183">
        <f>IFERROR(__xludf.DUMMYFUNCTION("""COMPUTED_VALUE"""),0.0)</f>
        <v>0</v>
      </c>
      <c r="W121" s="183">
        <f>IFERROR(__xludf.DUMMYFUNCTION("""COMPUTED_VALUE"""),0.0)</f>
        <v>0</v>
      </c>
      <c r="X121" s="183">
        <f>IFERROR(__xludf.DUMMYFUNCTION("""COMPUTED_VALUE"""),0.0)</f>
        <v>0</v>
      </c>
      <c r="Y121" s="183">
        <f>IFERROR(__xludf.DUMMYFUNCTION("""COMPUTED_VALUE"""),0.0)</f>
        <v>0</v>
      </c>
      <c r="Z121" s="183">
        <f t="shared" si="12"/>
        <v>0</v>
      </c>
      <c r="AA121" s="183">
        <f t="shared" si="13"/>
        <v>0</v>
      </c>
      <c r="AB121" s="183">
        <f t="shared" si="14"/>
        <v>0</v>
      </c>
    </row>
    <row r="122" ht="14.25" customHeight="1">
      <c r="A122" s="175"/>
      <c r="B122" s="191" t="s">
        <v>864</v>
      </c>
      <c r="C122" s="199"/>
      <c r="D122" s="200"/>
      <c r="E122" s="201">
        <f t="shared" ref="E122:I122" si="160">SUM(E120:E121)</f>
        <v>0</v>
      </c>
      <c r="F122" s="201">
        <f t="shared" si="160"/>
        <v>0</v>
      </c>
      <c r="G122" s="201">
        <f t="shared" si="160"/>
        <v>0</v>
      </c>
      <c r="H122" s="201">
        <f t="shared" si="160"/>
        <v>0</v>
      </c>
      <c r="I122" s="201">
        <f t="shared" si="160"/>
        <v>0</v>
      </c>
      <c r="J122" s="201">
        <f t="shared" si="3"/>
        <v>0</v>
      </c>
      <c r="K122" s="201">
        <f t="shared" si="4"/>
        <v>0</v>
      </c>
      <c r="L122" s="201">
        <f t="shared" si="5"/>
        <v>0</v>
      </c>
      <c r="M122" s="201">
        <f t="shared" si="6"/>
        <v>0</v>
      </c>
      <c r="N122" s="201">
        <f t="shared" ref="N122:Q122" si="161">SUM(N120:N121)</f>
        <v>0</v>
      </c>
      <c r="O122" s="201">
        <f t="shared" si="161"/>
        <v>0</v>
      </c>
      <c r="P122" s="201">
        <f t="shared" si="161"/>
        <v>0</v>
      </c>
      <c r="Q122" s="201">
        <f t="shared" si="161"/>
        <v>0</v>
      </c>
      <c r="R122" s="201">
        <f t="shared" si="9"/>
        <v>0</v>
      </c>
      <c r="S122" s="201">
        <f t="shared" si="10"/>
        <v>0</v>
      </c>
      <c r="T122" s="201">
        <f t="shared" si="11"/>
        <v>0</v>
      </c>
      <c r="U122" s="202"/>
      <c r="V122" s="201">
        <f>IFERROR(__xludf.DUMMYFUNCTION("""COMPUTED_VALUE"""),0.0)</f>
        <v>0</v>
      </c>
      <c r="W122" s="201">
        <f>IFERROR(__xludf.DUMMYFUNCTION("""COMPUTED_VALUE"""),0.0)</f>
        <v>0</v>
      </c>
      <c r="X122" s="201">
        <f>IFERROR(__xludf.DUMMYFUNCTION("""COMPUTED_VALUE"""),0.0)</f>
        <v>0</v>
      </c>
      <c r="Y122" s="201">
        <f>IFERROR(__xludf.DUMMYFUNCTION("""COMPUTED_VALUE"""),0.0)</f>
        <v>0</v>
      </c>
      <c r="Z122" s="201">
        <f t="shared" si="12"/>
        <v>0</v>
      </c>
      <c r="AA122" s="201">
        <f t="shared" si="13"/>
        <v>0</v>
      </c>
      <c r="AB122" s="201">
        <f t="shared" si="14"/>
        <v>0</v>
      </c>
    </row>
    <row r="123" ht="14.25" customHeight="1">
      <c r="A123" s="175"/>
      <c r="B123" s="208" t="s">
        <v>164</v>
      </c>
      <c r="C123" s="181"/>
      <c r="D123" s="209" t="s">
        <v>165</v>
      </c>
      <c r="E123" s="183">
        <f>SUMIFS('DB WBS'!$J:$J,'DB WBS'!$A:$A,$D$4,'DB WBS'!$D:$D,AA$1,'DB WBS'!$B:$B,$E$3,'DB WBS'!$E:$E,$B123)</f>
        <v>0</v>
      </c>
      <c r="F123" s="183">
        <f>SUMIFS('DB WBS'!$J:$J,'DB WBS'!$A:$A,$D$4,'DB WBS'!$D:$D,AA$2,'DB WBS'!$B:$B,$E$3,'DB WBS'!$E:$E,$B123)</f>
        <v>0</v>
      </c>
      <c r="G123" s="184">
        <f>IFERROR(HLOOKUP($E$3,'Tahun Lalu'!$B$5:$V$158,MATCH(B123,'Tahun Lalu'!$B$5:$B$158,0),0),0)</f>
        <v>0</v>
      </c>
      <c r="H123" s="184">
        <v>0.0</v>
      </c>
      <c r="I123" s="184">
        <v>0.0</v>
      </c>
      <c r="J123" s="183">
        <f t="shared" si="3"/>
        <v>0</v>
      </c>
      <c r="K123" s="183">
        <f t="shared" si="4"/>
        <v>0</v>
      </c>
      <c r="L123" s="183">
        <f t="shared" si="5"/>
        <v>0</v>
      </c>
      <c r="M123" s="183">
        <f t="shared" si="6"/>
        <v>0</v>
      </c>
      <c r="N123" s="183">
        <f t="shared" ref="N123:N127" si="163">E123+V123</f>
        <v>0</v>
      </c>
      <c r="O123" s="183">
        <f t="shared" ref="O123:Q123" si="162">G123+W123</f>
        <v>0</v>
      </c>
      <c r="P123" s="183">
        <f t="shared" si="162"/>
        <v>0</v>
      </c>
      <c r="Q123" s="183">
        <f t="shared" si="162"/>
        <v>0</v>
      </c>
      <c r="R123" s="183">
        <f t="shared" si="9"/>
        <v>0</v>
      </c>
      <c r="S123" s="183">
        <f t="shared" si="10"/>
        <v>0</v>
      </c>
      <c r="T123" s="183">
        <f t="shared" si="11"/>
        <v>0</v>
      </c>
      <c r="U123" s="186"/>
      <c r="V123" s="183">
        <f>IFERROR(__xludf.DUMMYFUNCTION("""COMPUTED_VALUE"""),0.0)</f>
        <v>0</v>
      </c>
      <c r="W123" s="183">
        <f>IFERROR(__xludf.DUMMYFUNCTION("""COMPUTED_VALUE"""),0.0)</f>
        <v>0</v>
      </c>
      <c r="X123" s="183">
        <f>IFERROR(__xludf.DUMMYFUNCTION("""COMPUTED_VALUE"""),0.0)</f>
        <v>0</v>
      </c>
      <c r="Y123" s="183">
        <f>IFERROR(__xludf.DUMMYFUNCTION("""COMPUTED_VALUE"""),0.0)</f>
        <v>0</v>
      </c>
      <c r="Z123" s="183">
        <f t="shared" si="12"/>
        <v>0</v>
      </c>
      <c r="AA123" s="183">
        <f t="shared" si="13"/>
        <v>0</v>
      </c>
      <c r="AB123" s="183">
        <f t="shared" si="14"/>
        <v>0</v>
      </c>
    </row>
    <row r="124" ht="14.25" customHeight="1">
      <c r="A124" s="175"/>
      <c r="B124" s="208" t="s">
        <v>865</v>
      </c>
      <c r="C124" s="181"/>
      <c r="D124" s="209" t="s">
        <v>866</v>
      </c>
      <c r="E124" s="183">
        <f>SUMIFS('DB WBS'!$J:$J,'DB WBS'!$A:$A,$D$4,'DB WBS'!$D:$D,AA$1,'DB WBS'!$B:$B,$E$3,'DB WBS'!$E:$E,$B124)</f>
        <v>0</v>
      </c>
      <c r="F124" s="183">
        <f>SUMIFS('DB WBS'!$J:$J,'DB WBS'!$A:$A,$D$4,'DB WBS'!$D:$D,AA$2,'DB WBS'!$B:$B,$E$3,'DB WBS'!$E:$E,$B124)</f>
        <v>0</v>
      </c>
      <c r="G124" s="184">
        <f>IFERROR(HLOOKUP($E$3,'Tahun Lalu'!$B$5:$V$158,MATCH(B124,'Tahun Lalu'!$B$5:$B$158,0),0),0)</f>
        <v>0</v>
      </c>
      <c r="H124" s="184">
        <v>0.0</v>
      </c>
      <c r="I124" s="184">
        <v>0.0</v>
      </c>
      <c r="J124" s="183">
        <f t="shared" si="3"/>
        <v>0</v>
      </c>
      <c r="K124" s="183">
        <f t="shared" si="4"/>
        <v>0</v>
      </c>
      <c r="L124" s="183">
        <f t="shared" si="5"/>
        <v>0</v>
      </c>
      <c r="M124" s="183">
        <f t="shared" si="6"/>
        <v>0</v>
      </c>
      <c r="N124" s="183">
        <f t="shared" si="163"/>
        <v>0</v>
      </c>
      <c r="O124" s="183">
        <f t="shared" ref="O124:Q124" si="164">G124+W124</f>
        <v>0</v>
      </c>
      <c r="P124" s="183">
        <f t="shared" si="164"/>
        <v>0</v>
      </c>
      <c r="Q124" s="183">
        <f t="shared" si="164"/>
        <v>0</v>
      </c>
      <c r="R124" s="183">
        <f t="shared" si="9"/>
        <v>0</v>
      </c>
      <c r="S124" s="183">
        <f t="shared" si="10"/>
        <v>0</v>
      </c>
      <c r="T124" s="183">
        <f t="shared" si="11"/>
        <v>0</v>
      </c>
      <c r="U124" s="186"/>
      <c r="V124" s="183">
        <f>IFERROR(__xludf.DUMMYFUNCTION("""COMPUTED_VALUE"""),0.0)</f>
        <v>0</v>
      </c>
      <c r="W124" s="183">
        <f>IFERROR(__xludf.DUMMYFUNCTION("""COMPUTED_VALUE"""),0.0)</f>
        <v>0</v>
      </c>
      <c r="X124" s="183">
        <f>IFERROR(__xludf.DUMMYFUNCTION("""COMPUTED_VALUE"""),0.0)</f>
        <v>0</v>
      </c>
      <c r="Y124" s="183">
        <f>IFERROR(__xludf.DUMMYFUNCTION("""COMPUTED_VALUE"""),0.0)</f>
        <v>0</v>
      </c>
      <c r="Z124" s="183">
        <f t="shared" si="12"/>
        <v>0</v>
      </c>
      <c r="AA124" s="183">
        <f t="shared" si="13"/>
        <v>0</v>
      </c>
      <c r="AB124" s="183">
        <f t="shared" si="14"/>
        <v>0</v>
      </c>
    </row>
    <row r="125" ht="14.25" customHeight="1">
      <c r="A125" s="175"/>
      <c r="B125" s="208" t="s">
        <v>867</v>
      </c>
      <c r="C125" s="181"/>
      <c r="D125" s="209" t="s">
        <v>868</v>
      </c>
      <c r="E125" s="183">
        <f>SUMIFS('DB WBS'!$J:$J,'DB WBS'!$A:$A,$D$4,'DB WBS'!$D:$D,AA$1,'DB WBS'!$B:$B,$E$3,'DB WBS'!$E:$E,$B125)</f>
        <v>0</v>
      </c>
      <c r="F125" s="183">
        <f>SUMIFS('DB WBS'!$J:$J,'DB WBS'!$A:$A,$D$4,'DB WBS'!$D:$D,AA$2,'DB WBS'!$B:$B,$E$3,'DB WBS'!$E:$E,$B125)</f>
        <v>0</v>
      </c>
      <c r="G125" s="184">
        <f>IFERROR(HLOOKUP($E$3,'Tahun Lalu'!$B$5:$V$158,MATCH(B125,'Tahun Lalu'!$B$5:$B$158,0),0),0)</f>
        <v>0</v>
      </c>
      <c r="H125" s="184">
        <v>0.0</v>
      </c>
      <c r="I125" s="184">
        <v>0.0</v>
      </c>
      <c r="J125" s="183">
        <f t="shared" si="3"/>
        <v>0</v>
      </c>
      <c r="K125" s="183">
        <f t="shared" si="4"/>
        <v>0</v>
      </c>
      <c r="L125" s="183">
        <f t="shared" si="5"/>
        <v>0</v>
      </c>
      <c r="M125" s="183">
        <f t="shared" si="6"/>
        <v>0</v>
      </c>
      <c r="N125" s="183">
        <f t="shared" si="163"/>
        <v>0</v>
      </c>
      <c r="O125" s="183">
        <f t="shared" ref="O125:Q125" si="165">G125+W125</f>
        <v>0</v>
      </c>
      <c r="P125" s="183">
        <f t="shared" si="165"/>
        <v>0</v>
      </c>
      <c r="Q125" s="183">
        <f t="shared" si="165"/>
        <v>0</v>
      </c>
      <c r="R125" s="183">
        <f t="shared" si="9"/>
        <v>0</v>
      </c>
      <c r="S125" s="183">
        <f t="shared" si="10"/>
        <v>0</v>
      </c>
      <c r="T125" s="183">
        <f t="shared" si="11"/>
        <v>0</v>
      </c>
      <c r="U125" s="186"/>
      <c r="V125" s="183">
        <f>IFERROR(__xludf.DUMMYFUNCTION("""COMPUTED_VALUE"""),0.0)</f>
        <v>0</v>
      </c>
      <c r="W125" s="183">
        <f>IFERROR(__xludf.DUMMYFUNCTION("""COMPUTED_VALUE"""),0.0)</f>
        <v>0</v>
      </c>
      <c r="X125" s="183">
        <f>IFERROR(__xludf.DUMMYFUNCTION("""COMPUTED_VALUE"""),0.0)</f>
        <v>0</v>
      </c>
      <c r="Y125" s="183">
        <f>IFERROR(__xludf.DUMMYFUNCTION("""COMPUTED_VALUE"""),0.0)</f>
        <v>0</v>
      </c>
      <c r="Z125" s="183">
        <f t="shared" si="12"/>
        <v>0</v>
      </c>
      <c r="AA125" s="183">
        <f t="shared" si="13"/>
        <v>0</v>
      </c>
      <c r="AB125" s="183">
        <f t="shared" si="14"/>
        <v>0</v>
      </c>
    </row>
    <row r="126" ht="14.25" customHeight="1">
      <c r="A126" s="175"/>
      <c r="B126" s="208" t="s">
        <v>869</v>
      </c>
      <c r="C126" s="181"/>
      <c r="D126" s="209" t="s">
        <v>870</v>
      </c>
      <c r="E126" s="183">
        <f>SUMIFS('DB WBS'!$J:$J,'DB WBS'!$A:$A,$D$4,'DB WBS'!$D:$D,AA$1,'DB WBS'!$B:$B,$E$3,'DB WBS'!$E:$E,$B126)</f>
        <v>0</v>
      </c>
      <c r="F126" s="183">
        <f>SUMIFS('DB WBS'!$J:$J,'DB WBS'!$A:$A,$D$4,'DB WBS'!$D:$D,AA$2,'DB WBS'!$B:$B,$E$3,'DB WBS'!$E:$E,$B126)</f>
        <v>0</v>
      </c>
      <c r="G126" s="184">
        <f>IFERROR(HLOOKUP($E$3,'Tahun Lalu'!$B$5:$V$158,MATCH(B126,'Tahun Lalu'!$B$5:$B$158,0),0),0)</f>
        <v>0</v>
      </c>
      <c r="H126" s="184">
        <v>0.0</v>
      </c>
      <c r="I126" s="184">
        <v>0.0</v>
      </c>
      <c r="J126" s="183">
        <f t="shared" si="3"/>
        <v>0</v>
      </c>
      <c r="K126" s="183">
        <f t="shared" si="4"/>
        <v>0</v>
      </c>
      <c r="L126" s="183">
        <f t="shared" si="5"/>
        <v>0</v>
      </c>
      <c r="M126" s="183">
        <f t="shared" si="6"/>
        <v>0</v>
      </c>
      <c r="N126" s="183">
        <f t="shared" si="163"/>
        <v>0</v>
      </c>
      <c r="O126" s="183">
        <f t="shared" ref="O126:Q126" si="166">G126+W126</f>
        <v>0</v>
      </c>
      <c r="P126" s="183">
        <f t="shared" si="166"/>
        <v>0</v>
      </c>
      <c r="Q126" s="183">
        <f t="shared" si="166"/>
        <v>0</v>
      </c>
      <c r="R126" s="183">
        <f t="shared" si="9"/>
        <v>0</v>
      </c>
      <c r="S126" s="183">
        <f t="shared" si="10"/>
        <v>0</v>
      </c>
      <c r="T126" s="183">
        <f t="shared" si="11"/>
        <v>0</v>
      </c>
      <c r="U126" s="186"/>
      <c r="V126" s="183">
        <f>IFERROR(__xludf.DUMMYFUNCTION("""COMPUTED_VALUE"""),0.0)</f>
        <v>0</v>
      </c>
      <c r="W126" s="183">
        <f>IFERROR(__xludf.DUMMYFUNCTION("""COMPUTED_VALUE"""),0.0)</f>
        <v>0</v>
      </c>
      <c r="X126" s="183">
        <f>IFERROR(__xludf.DUMMYFUNCTION("""COMPUTED_VALUE"""),0.0)</f>
        <v>0</v>
      </c>
      <c r="Y126" s="183">
        <f>IFERROR(__xludf.DUMMYFUNCTION("""COMPUTED_VALUE"""),0.0)</f>
        <v>0</v>
      </c>
      <c r="Z126" s="183">
        <f t="shared" si="12"/>
        <v>0</v>
      </c>
      <c r="AA126" s="183">
        <f t="shared" si="13"/>
        <v>0</v>
      </c>
      <c r="AB126" s="183">
        <f t="shared" si="14"/>
        <v>0</v>
      </c>
    </row>
    <row r="127" ht="14.25" customHeight="1">
      <c r="A127" s="175"/>
      <c r="B127" s="208"/>
      <c r="C127" s="181"/>
      <c r="D127" s="209"/>
      <c r="E127" s="183">
        <f>SUMIFS('DB WBS'!$J:$J,'DB WBS'!$A:$A,$D$4,'DB WBS'!$D:$D,AA$1,'DB WBS'!$B:$B,$E$3,'DB WBS'!$E:$E,$B127)</f>
        <v>0</v>
      </c>
      <c r="F127" s="183">
        <f>SUMIFS('DB WBS'!$J:$J,'DB WBS'!$A:$A,$D$4,'DB WBS'!$D:$D,AA$2,'DB WBS'!$B:$B,$E$3,'DB WBS'!$E:$E,$B127)</f>
        <v>0</v>
      </c>
      <c r="G127" s="184">
        <f>IFERROR(HLOOKUP($E$3,'Tahun Lalu'!$B$5:$V$158,MATCH(B127,'Tahun Lalu'!$B$5:$B$158,0),0),0)</f>
        <v>0</v>
      </c>
      <c r="H127" s="184">
        <v>0.0</v>
      </c>
      <c r="I127" s="184">
        <v>0.0</v>
      </c>
      <c r="J127" s="183">
        <f t="shared" si="3"/>
        <v>0</v>
      </c>
      <c r="K127" s="183">
        <f t="shared" si="4"/>
        <v>0</v>
      </c>
      <c r="L127" s="183">
        <f t="shared" si="5"/>
        <v>0</v>
      </c>
      <c r="M127" s="183">
        <f t="shared" si="6"/>
        <v>0</v>
      </c>
      <c r="N127" s="183">
        <f t="shared" si="163"/>
        <v>0</v>
      </c>
      <c r="O127" s="183">
        <f t="shared" ref="O127:Q127" si="167">G127+W127</f>
        <v>0</v>
      </c>
      <c r="P127" s="183">
        <f t="shared" si="167"/>
        <v>0</v>
      </c>
      <c r="Q127" s="183">
        <f t="shared" si="167"/>
        <v>0</v>
      </c>
      <c r="R127" s="183">
        <f t="shared" si="9"/>
        <v>0</v>
      </c>
      <c r="S127" s="183">
        <f t="shared" si="10"/>
        <v>0</v>
      </c>
      <c r="T127" s="183">
        <f t="shared" si="11"/>
        <v>0</v>
      </c>
      <c r="U127" s="186"/>
      <c r="V127" s="183">
        <f>IFERROR(__xludf.DUMMYFUNCTION("""COMPUTED_VALUE"""),0.0)</f>
        <v>0</v>
      </c>
      <c r="W127" s="183">
        <f>IFERROR(__xludf.DUMMYFUNCTION("""COMPUTED_VALUE"""),0.0)</f>
        <v>0</v>
      </c>
      <c r="X127" s="183">
        <f>IFERROR(__xludf.DUMMYFUNCTION("""COMPUTED_VALUE"""),0.0)</f>
        <v>0</v>
      </c>
      <c r="Y127" s="183">
        <f>IFERROR(__xludf.DUMMYFUNCTION("""COMPUTED_VALUE"""),0.0)</f>
        <v>0</v>
      </c>
      <c r="Z127" s="183">
        <f t="shared" si="12"/>
        <v>0</v>
      </c>
      <c r="AA127" s="183">
        <f t="shared" si="13"/>
        <v>0</v>
      </c>
      <c r="AB127" s="183">
        <f t="shared" si="14"/>
        <v>0</v>
      </c>
    </row>
    <row r="128" ht="14.25" customHeight="1">
      <c r="A128" s="175"/>
      <c r="B128" s="191" t="s">
        <v>871</v>
      </c>
      <c r="C128" s="199"/>
      <c r="D128" s="200"/>
      <c r="E128" s="201">
        <f t="shared" ref="E128:I128" si="168">SUM(E123:E127)</f>
        <v>0</v>
      </c>
      <c r="F128" s="201">
        <f t="shared" si="168"/>
        <v>0</v>
      </c>
      <c r="G128" s="201">
        <f t="shared" si="168"/>
        <v>0</v>
      </c>
      <c r="H128" s="201">
        <f t="shared" si="168"/>
        <v>0</v>
      </c>
      <c r="I128" s="201">
        <f t="shared" si="168"/>
        <v>0</v>
      </c>
      <c r="J128" s="201">
        <f t="shared" si="3"/>
        <v>0</v>
      </c>
      <c r="K128" s="201">
        <f t="shared" si="4"/>
        <v>0</v>
      </c>
      <c r="L128" s="201">
        <f t="shared" si="5"/>
        <v>0</v>
      </c>
      <c r="M128" s="201">
        <f t="shared" si="6"/>
        <v>0</v>
      </c>
      <c r="N128" s="201">
        <f t="shared" ref="N128:Q128" si="169">SUM(N123:N127)</f>
        <v>0</v>
      </c>
      <c r="O128" s="201">
        <f t="shared" si="169"/>
        <v>0</v>
      </c>
      <c r="P128" s="201">
        <f t="shared" si="169"/>
        <v>0</v>
      </c>
      <c r="Q128" s="201">
        <f t="shared" si="169"/>
        <v>0</v>
      </c>
      <c r="R128" s="201">
        <f t="shared" si="9"/>
        <v>0</v>
      </c>
      <c r="S128" s="201">
        <f t="shared" si="10"/>
        <v>0</v>
      </c>
      <c r="T128" s="201">
        <f t="shared" si="11"/>
        <v>0</v>
      </c>
      <c r="U128" s="202"/>
      <c r="V128" s="201">
        <f>IFERROR(__xludf.DUMMYFUNCTION("""COMPUTED_VALUE"""),0.0)</f>
        <v>0</v>
      </c>
      <c r="W128" s="201">
        <f>IFERROR(__xludf.DUMMYFUNCTION("""COMPUTED_VALUE"""),0.0)</f>
        <v>0</v>
      </c>
      <c r="X128" s="201">
        <f>IFERROR(__xludf.DUMMYFUNCTION("""COMPUTED_VALUE"""),0.0)</f>
        <v>0</v>
      </c>
      <c r="Y128" s="201">
        <f>IFERROR(__xludf.DUMMYFUNCTION("""COMPUTED_VALUE"""),0.0)</f>
        <v>0</v>
      </c>
      <c r="Z128" s="201">
        <f t="shared" si="12"/>
        <v>0</v>
      </c>
      <c r="AA128" s="201">
        <f t="shared" si="13"/>
        <v>0</v>
      </c>
      <c r="AB128" s="201">
        <f t="shared" si="14"/>
        <v>0</v>
      </c>
    </row>
    <row r="129" ht="14.25" customHeight="1">
      <c r="A129" s="175"/>
      <c r="B129" s="208" t="s">
        <v>872</v>
      </c>
      <c r="C129" s="181"/>
      <c r="D129" s="213" t="s">
        <v>873</v>
      </c>
      <c r="E129" s="183">
        <f>SUMIFS('DB WBS'!$J:$J,'DB WBS'!$A:$A,$D$4,'DB WBS'!$D:$D,AA$1,'DB WBS'!$B:$B,$E$3,'DB WBS'!$E:$E,$B129)</f>
        <v>0</v>
      </c>
      <c r="F129" s="183">
        <f>SUMIFS('DB WBS'!$J:$J,'DB WBS'!$A:$A,$D$4,'DB WBS'!$D:$D,AA$2,'DB WBS'!$B:$B,$E$3,'DB WBS'!$E:$E,$B129)</f>
        <v>0</v>
      </c>
      <c r="G129" s="184">
        <f>IFERROR(HLOOKUP($E$3,'Tahun Lalu'!$B$5:$V$158,MATCH(B129,'Tahun Lalu'!$B$5:$B$158,0),0),0)</f>
        <v>0</v>
      </c>
      <c r="H129" s="184">
        <v>0.0</v>
      </c>
      <c r="I129" s="184">
        <v>0.0</v>
      </c>
      <c r="J129" s="183">
        <f t="shared" si="3"/>
        <v>0</v>
      </c>
      <c r="K129" s="183">
        <f t="shared" si="4"/>
        <v>0</v>
      </c>
      <c r="L129" s="183">
        <f t="shared" si="5"/>
        <v>0</v>
      </c>
      <c r="M129" s="183">
        <f t="shared" si="6"/>
        <v>0</v>
      </c>
      <c r="N129" s="183">
        <f t="shared" ref="N129:N130" si="171">E129+V129</f>
        <v>0</v>
      </c>
      <c r="O129" s="183">
        <f t="shared" ref="O129:Q129" si="170">G129+W129</f>
        <v>0</v>
      </c>
      <c r="P129" s="183">
        <f t="shared" si="170"/>
        <v>0</v>
      </c>
      <c r="Q129" s="183">
        <f t="shared" si="170"/>
        <v>0</v>
      </c>
      <c r="R129" s="183">
        <f t="shared" si="9"/>
        <v>0</v>
      </c>
      <c r="S129" s="183">
        <f t="shared" si="10"/>
        <v>0</v>
      </c>
      <c r="T129" s="183">
        <f t="shared" si="11"/>
        <v>0</v>
      </c>
      <c r="U129" s="186"/>
      <c r="V129" s="183">
        <f>IFERROR(__xludf.DUMMYFUNCTION("""COMPUTED_VALUE"""),0.0)</f>
        <v>0</v>
      </c>
      <c r="W129" s="183">
        <f>IFERROR(__xludf.DUMMYFUNCTION("""COMPUTED_VALUE"""),0.0)</f>
        <v>0</v>
      </c>
      <c r="X129" s="183">
        <f>IFERROR(__xludf.DUMMYFUNCTION("""COMPUTED_VALUE"""),0.0)</f>
        <v>0</v>
      </c>
      <c r="Y129" s="183">
        <f>IFERROR(__xludf.DUMMYFUNCTION("""COMPUTED_VALUE"""),0.0)</f>
        <v>0</v>
      </c>
      <c r="Z129" s="183">
        <f t="shared" si="12"/>
        <v>0</v>
      </c>
      <c r="AA129" s="183">
        <f t="shared" si="13"/>
        <v>0</v>
      </c>
      <c r="AB129" s="183">
        <f t="shared" si="14"/>
        <v>0</v>
      </c>
    </row>
    <row r="130" ht="14.25" customHeight="1">
      <c r="A130" s="175"/>
      <c r="B130" s="208" t="s">
        <v>874</v>
      </c>
      <c r="C130" s="181"/>
      <c r="D130" s="213" t="s">
        <v>275</v>
      </c>
      <c r="E130" s="183">
        <f>SUMIFS('DB WBS'!$J:$J,'DB WBS'!$A:$A,$D$4,'DB WBS'!$D:$D,AA$1,'DB WBS'!$B:$B,$E$3,'DB WBS'!$E:$E,$B130)</f>
        <v>0</v>
      </c>
      <c r="F130" s="183">
        <f>SUMIFS('DB WBS'!$J:$J,'DB WBS'!$A:$A,$D$4,'DB WBS'!$D:$D,AA$2,'DB WBS'!$B:$B,$E$3,'DB WBS'!$E:$E,$B130)</f>
        <v>0</v>
      </c>
      <c r="G130" s="184">
        <f>IFERROR(HLOOKUP($E$3,'Tahun Lalu'!$B$5:$V$158,MATCH(B130,'Tahun Lalu'!$B$5:$B$158,0),0),0)</f>
        <v>0</v>
      </c>
      <c r="H130" s="184">
        <v>0.0</v>
      </c>
      <c r="I130" s="184">
        <v>0.0</v>
      </c>
      <c r="J130" s="183">
        <f t="shared" si="3"/>
        <v>0</v>
      </c>
      <c r="K130" s="183">
        <f t="shared" si="4"/>
        <v>0</v>
      </c>
      <c r="L130" s="183">
        <f t="shared" si="5"/>
        <v>0</v>
      </c>
      <c r="M130" s="183">
        <f t="shared" si="6"/>
        <v>0</v>
      </c>
      <c r="N130" s="183">
        <f t="shared" si="171"/>
        <v>0</v>
      </c>
      <c r="O130" s="183">
        <f t="shared" ref="O130:Q130" si="172">G130+W130</f>
        <v>0</v>
      </c>
      <c r="P130" s="183">
        <f t="shared" si="172"/>
        <v>0</v>
      </c>
      <c r="Q130" s="183">
        <f t="shared" si="172"/>
        <v>0</v>
      </c>
      <c r="R130" s="183">
        <f t="shared" si="9"/>
        <v>0</v>
      </c>
      <c r="S130" s="183">
        <f t="shared" si="10"/>
        <v>0</v>
      </c>
      <c r="T130" s="183">
        <f t="shared" si="11"/>
        <v>0</v>
      </c>
      <c r="U130" s="186"/>
      <c r="V130" s="183">
        <f>IFERROR(__xludf.DUMMYFUNCTION("""COMPUTED_VALUE"""),0.0)</f>
        <v>0</v>
      </c>
      <c r="W130" s="183">
        <f>IFERROR(__xludf.DUMMYFUNCTION("""COMPUTED_VALUE"""),0.0)</f>
        <v>0</v>
      </c>
      <c r="X130" s="183">
        <f>IFERROR(__xludf.DUMMYFUNCTION("""COMPUTED_VALUE"""),0.0)</f>
        <v>0</v>
      </c>
      <c r="Y130" s="183">
        <f>IFERROR(__xludf.DUMMYFUNCTION("""COMPUTED_VALUE"""),0.0)</f>
        <v>0</v>
      </c>
      <c r="Z130" s="183">
        <f t="shared" si="12"/>
        <v>0</v>
      </c>
      <c r="AA130" s="183">
        <f t="shared" si="13"/>
        <v>0</v>
      </c>
      <c r="AB130" s="183">
        <f t="shared" si="14"/>
        <v>0</v>
      </c>
    </row>
    <row r="131" ht="14.25" customHeight="1">
      <c r="A131" s="175"/>
      <c r="B131" s="191" t="s">
        <v>875</v>
      </c>
      <c r="C131" s="199"/>
      <c r="D131" s="200"/>
      <c r="E131" s="201">
        <f t="shared" ref="E131:I131" si="173">SUM(E129:E130)</f>
        <v>0</v>
      </c>
      <c r="F131" s="201">
        <f t="shared" si="173"/>
        <v>0</v>
      </c>
      <c r="G131" s="201">
        <f t="shared" si="173"/>
        <v>0</v>
      </c>
      <c r="H131" s="201">
        <f t="shared" si="173"/>
        <v>0</v>
      </c>
      <c r="I131" s="201">
        <f t="shared" si="173"/>
        <v>0</v>
      </c>
      <c r="J131" s="201">
        <f t="shared" si="3"/>
        <v>0</v>
      </c>
      <c r="K131" s="201">
        <f t="shared" si="4"/>
        <v>0</v>
      </c>
      <c r="L131" s="201">
        <f t="shared" si="5"/>
        <v>0</v>
      </c>
      <c r="M131" s="201">
        <f t="shared" si="6"/>
        <v>0</v>
      </c>
      <c r="N131" s="201">
        <f t="shared" ref="N131:Q131" si="174">SUM(N129:N130)</f>
        <v>0</v>
      </c>
      <c r="O131" s="201">
        <f t="shared" si="174"/>
        <v>0</v>
      </c>
      <c r="P131" s="201">
        <f t="shared" si="174"/>
        <v>0</v>
      </c>
      <c r="Q131" s="201">
        <f t="shared" si="174"/>
        <v>0</v>
      </c>
      <c r="R131" s="201">
        <f t="shared" si="9"/>
        <v>0</v>
      </c>
      <c r="S131" s="201">
        <f t="shared" si="10"/>
        <v>0</v>
      </c>
      <c r="T131" s="201">
        <f t="shared" si="11"/>
        <v>0</v>
      </c>
      <c r="U131" s="202"/>
      <c r="V131" s="201">
        <f>IFERROR(__xludf.DUMMYFUNCTION("""COMPUTED_VALUE"""),0.0)</f>
        <v>0</v>
      </c>
      <c r="W131" s="201">
        <f>IFERROR(__xludf.DUMMYFUNCTION("""COMPUTED_VALUE"""),0.0)</f>
        <v>0</v>
      </c>
      <c r="X131" s="201">
        <f>IFERROR(__xludf.DUMMYFUNCTION("""COMPUTED_VALUE"""),0.0)</f>
        <v>0</v>
      </c>
      <c r="Y131" s="201">
        <f>IFERROR(__xludf.DUMMYFUNCTION("""COMPUTED_VALUE"""),0.0)</f>
        <v>0</v>
      </c>
      <c r="Z131" s="201">
        <f t="shared" si="12"/>
        <v>0</v>
      </c>
      <c r="AA131" s="201">
        <f t="shared" si="13"/>
        <v>0</v>
      </c>
      <c r="AB131" s="201">
        <f t="shared" si="14"/>
        <v>0</v>
      </c>
    </row>
    <row r="132" ht="14.25" customHeight="1">
      <c r="A132" s="175"/>
      <c r="B132" s="204" t="s">
        <v>876</v>
      </c>
      <c r="C132" s="205"/>
      <c r="D132" s="206"/>
      <c r="E132" s="207">
        <f t="shared" ref="E132:I132" si="175">E131+E128+E122</f>
        <v>0</v>
      </c>
      <c r="F132" s="207">
        <f t="shared" si="175"/>
        <v>0</v>
      </c>
      <c r="G132" s="207">
        <f t="shared" si="175"/>
        <v>0</v>
      </c>
      <c r="H132" s="207">
        <f t="shared" si="175"/>
        <v>0</v>
      </c>
      <c r="I132" s="207">
        <f t="shared" si="175"/>
        <v>0</v>
      </c>
      <c r="J132" s="207">
        <f t="shared" si="3"/>
        <v>0</v>
      </c>
      <c r="K132" s="207">
        <f t="shared" si="4"/>
        <v>0</v>
      </c>
      <c r="L132" s="207">
        <f t="shared" si="5"/>
        <v>0</v>
      </c>
      <c r="M132" s="207">
        <f t="shared" si="6"/>
        <v>0</v>
      </c>
      <c r="N132" s="207">
        <f t="shared" ref="N132:Q132" si="176">N131+N128+N122</f>
        <v>0</v>
      </c>
      <c r="O132" s="207">
        <f t="shared" si="176"/>
        <v>0</v>
      </c>
      <c r="P132" s="207">
        <f t="shared" si="176"/>
        <v>0</v>
      </c>
      <c r="Q132" s="207">
        <f t="shared" si="176"/>
        <v>0</v>
      </c>
      <c r="R132" s="207">
        <f t="shared" si="9"/>
        <v>0</v>
      </c>
      <c r="S132" s="207">
        <f t="shared" si="10"/>
        <v>0</v>
      </c>
      <c r="T132" s="207">
        <f t="shared" si="11"/>
        <v>0</v>
      </c>
      <c r="U132" s="202"/>
      <c r="V132" s="207">
        <f>IFERROR(__xludf.DUMMYFUNCTION("""COMPUTED_VALUE"""),0.0)</f>
        <v>0</v>
      </c>
      <c r="W132" s="207">
        <f>IFERROR(__xludf.DUMMYFUNCTION("""COMPUTED_VALUE"""),0.0)</f>
        <v>0</v>
      </c>
      <c r="X132" s="207">
        <f>IFERROR(__xludf.DUMMYFUNCTION("""COMPUTED_VALUE"""),0.0)</f>
        <v>0</v>
      </c>
      <c r="Y132" s="207">
        <f>IFERROR(__xludf.DUMMYFUNCTION("""COMPUTED_VALUE"""),0.0)</f>
        <v>0</v>
      </c>
      <c r="Z132" s="207">
        <f t="shared" si="12"/>
        <v>0</v>
      </c>
      <c r="AA132" s="207">
        <f t="shared" si="13"/>
        <v>0</v>
      </c>
      <c r="AB132" s="207">
        <f t="shared" si="14"/>
        <v>0</v>
      </c>
    </row>
    <row r="133" ht="14.25" customHeight="1">
      <c r="A133" s="175"/>
      <c r="B133" s="214"/>
      <c r="C133" s="181"/>
      <c r="D133" s="213"/>
      <c r="E133" s="183">
        <f>SUMIFS('DB WBS'!$J:$J,'DB WBS'!$A:$A,$D$4,'DB WBS'!$D:$D,AA$1,'DB WBS'!$B:$B,$E$3,'DB WBS'!$E:$E,$B133)</f>
        <v>0</v>
      </c>
      <c r="F133" s="183">
        <f>SUMIFS('DB WBS'!$J:$J,'DB WBS'!$A:$A,$D$4,'DB WBS'!$D:$D,AA$2,'DB WBS'!$B:$B,$E$3,'DB WBS'!$E:$E,$B133)</f>
        <v>0</v>
      </c>
      <c r="G133" s="184">
        <f>IFERROR(HLOOKUP($E$3,'Tahun Lalu'!$B$5:$V$158,MATCH(B133,'Tahun Lalu'!$B$5:$B$158,0),0),0)</f>
        <v>0</v>
      </c>
      <c r="H133" s="184">
        <v>0.0</v>
      </c>
      <c r="I133" s="184">
        <v>0.0</v>
      </c>
      <c r="J133" s="183">
        <f t="shared" si="3"/>
        <v>0</v>
      </c>
      <c r="K133" s="183">
        <f t="shared" si="4"/>
        <v>0</v>
      </c>
      <c r="L133" s="183">
        <f t="shared" si="5"/>
        <v>0</v>
      </c>
      <c r="M133" s="183">
        <f t="shared" si="6"/>
        <v>0</v>
      </c>
      <c r="N133" s="183">
        <f t="shared" ref="N133:N138" si="178">E133+V133</f>
        <v>0</v>
      </c>
      <c r="O133" s="183">
        <f t="shared" ref="O133:Q133" si="177">G133+W133</f>
        <v>0</v>
      </c>
      <c r="P133" s="183">
        <f t="shared" si="177"/>
        <v>0</v>
      </c>
      <c r="Q133" s="183">
        <f t="shared" si="177"/>
        <v>0</v>
      </c>
      <c r="R133" s="183">
        <f t="shared" si="9"/>
        <v>0</v>
      </c>
      <c r="S133" s="183">
        <f t="shared" si="10"/>
        <v>0</v>
      </c>
      <c r="T133" s="183">
        <f t="shared" si="11"/>
        <v>0</v>
      </c>
      <c r="U133" s="186"/>
      <c r="V133" s="183">
        <f>IFERROR(__xludf.DUMMYFUNCTION("""COMPUTED_VALUE"""),0.0)</f>
        <v>0</v>
      </c>
      <c r="W133" s="183">
        <f>IFERROR(__xludf.DUMMYFUNCTION("""COMPUTED_VALUE"""),0.0)</f>
        <v>0</v>
      </c>
      <c r="X133" s="183">
        <f>IFERROR(__xludf.DUMMYFUNCTION("""COMPUTED_VALUE"""),0.0)</f>
        <v>0</v>
      </c>
      <c r="Y133" s="183">
        <f>IFERROR(__xludf.DUMMYFUNCTION("""COMPUTED_VALUE"""),0.0)</f>
        <v>0</v>
      </c>
      <c r="Z133" s="183">
        <f t="shared" si="12"/>
        <v>0</v>
      </c>
      <c r="AA133" s="183">
        <f t="shared" si="13"/>
        <v>0</v>
      </c>
      <c r="AB133" s="183">
        <f t="shared" si="14"/>
        <v>0</v>
      </c>
    </row>
    <row r="134" ht="14.25" customHeight="1">
      <c r="A134" s="175"/>
      <c r="B134" s="214"/>
      <c r="C134" s="181"/>
      <c r="D134" s="209"/>
      <c r="E134" s="183">
        <f>SUMIFS('DB WBS'!$J:$J,'DB WBS'!$A:$A,$D$4,'DB WBS'!$D:$D,AA$1,'DB WBS'!$B:$B,$E$3,'DB WBS'!$E:$E,$B134)</f>
        <v>0</v>
      </c>
      <c r="F134" s="183">
        <f>SUMIFS('DB WBS'!$J:$J,'DB WBS'!$A:$A,$D$4,'DB WBS'!$D:$D,AA$2,'DB WBS'!$B:$B,$E$3,'DB WBS'!$E:$E,$B134)</f>
        <v>0</v>
      </c>
      <c r="G134" s="184">
        <f>IFERROR(HLOOKUP($E$3,'Tahun Lalu'!$B$5:$V$158,MATCH(B134,'Tahun Lalu'!$B$5:$B$158,0),0),0)</f>
        <v>0</v>
      </c>
      <c r="H134" s="184">
        <v>0.0</v>
      </c>
      <c r="I134" s="184">
        <v>0.0</v>
      </c>
      <c r="J134" s="183">
        <f t="shared" si="3"/>
        <v>0</v>
      </c>
      <c r="K134" s="183">
        <f t="shared" si="4"/>
        <v>0</v>
      </c>
      <c r="L134" s="183">
        <f t="shared" si="5"/>
        <v>0</v>
      </c>
      <c r="M134" s="183">
        <f t="shared" si="6"/>
        <v>0</v>
      </c>
      <c r="N134" s="183">
        <f t="shared" si="178"/>
        <v>0</v>
      </c>
      <c r="O134" s="183">
        <f t="shared" ref="O134:Q134" si="179">G134+W134</f>
        <v>0</v>
      </c>
      <c r="P134" s="183">
        <f t="shared" si="179"/>
        <v>0</v>
      </c>
      <c r="Q134" s="183">
        <f t="shared" si="179"/>
        <v>0</v>
      </c>
      <c r="R134" s="183">
        <f t="shared" si="9"/>
        <v>0</v>
      </c>
      <c r="S134" s="183">
        <f t="shared" si="10"/>
        <v>0</v>
      </c>
      <c r="T134" s="183">
        <f t="shared" si="11"/>
        <v>0</v>
      </c>
      <c r="U134" s="186"/>
      <c r="V134" s="183">
        <f>IFERROR(__xludf.DUMMYFUNCTION("""COMPUTED_VALUE"""),0.0)</f>
        <v>0</v>
      </c>
      <c r="W134" s="183">
        <f>IFERROR(__xludf.DUMMYFUNCTION("""COMPUTED_VALUE"""),0.0)</f>
        <v>0</v>
      </c>
      <c r="X134" s="183">
        <f>IFERROR(__xludf.DUMMYFUNCTION("""COMPUTED_VALUE"""),0.0)</f>
        <v>0</v>
      </c>
      <c r="Y134" s="183">
        <f>IFERROR(__xludf.DUMMYFUNCTION("""COMPUTED_VALUE"""),0.0)</f>
        <v>0</v>
      </c>
      <c r="Z134" s="183">
        <f t="shared" si="12"/>
        <v>0</v>
      </c>
      <c r="AA134" s="183">
        <f t="shared" si="13"/>
        <v>0</v>
      </c>
      <c r="AB134" s="183">
        <f t="shared" si="14"/>
        <v>0</v>
      </c>
    </row>
    <row r="135" ht="14.25" customHeight="1">
      <c r="A135" s="175"/>
      <c r="B135" s="215"/>
      <c r="C135" s="216"/>
      <c r="D135" s="209"/>
      <c r="E135" s="183">
        <f>SUMIFS('DB WBS'!$J:$J,'DB WBS'!$A:$A,$D$4,'DB WBS'!$D:$D,AA$1,'DB WBS'!$B:$B,$E$3,'DB WBS'!$E:$E,$B135)</f>
        <v>0</v>
      </c>
      <c r="F135" s="183">
        <f>SUMIFS('DB WBS'!$J:$J,'DB WBS'!$A:$A,$D$4,'DB WBS'!$D:$D,AA$2,'DB WBS'!$B:$B,$E$3,'DB WBS'!$E:$E,$B135)</f>
        <v>0</v>
      </c>
      <c r="G135" s="184">
        <f>IFERROR(HLOOKUP($E$3,'Tahun Lalu'!$B$5:$V$158,MATCH(B135,'Tahun Lalu'!$B$5:$B$158,0),0),0)</f>
        <v>0</v>
      </c>
      <c r="H135" s="184">
        <v>0.0</v>
      </c>
      <c r="I135" s="184">
        <v>0.0</v>
      </c>
      <c r="J135" s="183">
        <f t="shared" si="3"/>
        <v>0</v>
      </c>
      <c r="K135" s="183">
        <f t="shared" si="4"/>
        <v>0</v>
      </c>
      <c r="L135" s="183">
        <f t="shared" si="5"/>
        <v>0</v>
      </c>
      <c r="M135" s="183">
        <f t="shared" si="6"/>
        <v>0</v>
      </c>
      <c r="N135" s="183">
        <f t="shared" si="178"/>
        <v>0</v>
      </c>
      <c r="O135" s="183">
        <f t="shared" ref="O135:Q135" si="180">G135+W135</f>
        <v>0</v>
      </c>
      <c r="P135" s="183">
        <f t="shared" si="180"/>
        <v>0</v>
      </c>
      <c r="Q135" s="183">
        <f t="shared" si="180"/>
        <v>0</v>
      </c>
      <c r="R135" s="183">
        <f t="shared" si="9"/>
        <v>0</v>
      </c>
      <c r="S135" s="183">
        <f t="shared" si="10"/>
        <v>0</v>
      </c>
      <c r="T135" s="183">
        <f t="shared" si="11"/>
        <v>0</v>
      </c>
      <c r="U135" s="186"/>
      <c r="V135" s="183">
        <f>IFERROR(__xludf.DUMMYFUNCTION("""COMPUTED_VALUE"""),0.0)</f>
        <v>0</v>
      </c>
      <c r="W135" s="183">
        <f>IFERROR(__xludf.DUMMYFUNCTION("""COMPUTED_VALUE"""),0.0)</f>
        <v>0</v>
      </c>
      <c r="X135" s="183">
        <f>IFERROR(__xludf.DUMMYFUNCTION("""COMPUTED_VALUE"""),0.0)</f>
        <v>0</v>
      </c>
      <c r="Y135" s="183">
        <f>IFERROR(__xludf.DUMMYFUNCTION("""COMPUTED_VALUE"""),0.0)</f>
        <v>0</v>
      </c>
      <c r="Z135" s="183">
        <f t="shared" si="12"/>
        <v>0</v>
      </c>
      <c r="AA135" s="183">
        <f t="shared" si="13"/>
        <v>0</v>
      </c>
      <c r="AB135" s="183">
        <f t="shared" si="14"/>
        <v>0</v>
      </c>
    </row>
    <row r="136" ht="14.25" customHeight="1">
      <c r="A136" s="175"/>
      <c r="B136" s="214"/>
      <c r="C136" s="181"/>
      <c r="D136" s="209"/>
      <c r="E136" s="183">
        <f>SUMIFS('DB WBS'!$J:$J,'DB WBS'!$A:$A,$D$4,'DB WBS'!$D:$D,AA$1,'DB WBS'!$B:$B,$E$3,'DB WBS'!$E:$E,$B136)</f>
        <v>0</v>
      </c>
      <c r="F136" s="183">
        <f>SUMIFS('DB WBS'!$J:$J,'DB WBS'!$A:$A,$D$4,'DB WBS'!$D:$D,AA$2,'DB WBS'!$B:$B,$E$3,'DB WBS'!$E:$E,$B136)</f>
        <v>0</v>
      </c>
      <c r="G136" s="184">
        <f>IFERROR(HLOOKUP($E$3,'Tahun Lalu'!$B$5:$V$158,MATCH(B136,'Tahun Lalu'!$B$5:$B$158,0),0),0)</f>
        <v>0</v>
      </c>
      <c r="H136" s="184">
        <v>0.0</v>
      </c>
      <c r="I136" s="184">
        <v>0.0</v>
      </c>
      <c r="J136" s="183">
        <f t="shared" si="3"/>
        <v>0</v>
      </c>
      <c r="K136" s="183">
        <f t="shared" si="4"/>
        <v>0</v>
      </c>
      <c r="L136" s="183">
        <f t="shared" si="5"/>
        <v>0</v>
      </c>
      <c r="M136" s="183">
        <f t="shared" si="6"/>
        <v>0</v>
      </c>
      <c r="N136" s="183">
        <f t="shared" si="178"/>
        <v>0</v>
      </c>
      <c r="O136" s="183">
        <f t="shared" ref="O136:Q136" si="181">G136+W136</f>
        <v>0</v>
      </c>
      <c r="P136" s="183">
        <f t="shared" si="181"/>
        <v>0</v>
      </c>
      <c r="Q136" s="183">
        <f t="shared" si="181"/>
        <v>0</v>
      </c>
      <c r="R136" s="183">
        <f t="shared" si="9"/>
        <v>0</v>
      </c>
      <c r="S136" s="183">
        <f t="shared" si="10"/>
        <v>0</v>
      </c>
      <c r="T136" s="183">
        <f t="shared" si="11"/>
        <v>0</v>
      </c>
      <c r="U136" s="186"/>
      <c r="V136" s="183">
        <f>IFERROR(__xludf.DUMMYFUNCTION("""COMPUTED_VALUE"""),0.0)</f>
        <v>0</v>
      </c>
      <c r="W136" s="183">
        <f>IFERROR(__xludf.DUMMYFUNCTION("""COMPUTED_VALUE"""),0.0)</f>
        <v>0</v>
      </c>
      <c r="X136" s="183">
        <f>IFERROR(__xludf.DUMMYFUNCTION("""COMPUTED_VALUE"""),0.0)</f>
        <v>0</v>
      </c>
      <c r="Y136" s="183">
        <f>IFERROR(__xludf.DUMMYFUNCTION("""COMPUTED_VALUE"""),0.0)</f>
        <v>0</v>
      </c>
      <c r="Z136" s="183">
        <f t="shared" si="12"/>
        <v>0</v>
      </c>
      <c r="AA136" s="183">
        <f t="shared" si="13"/>
        <v>0</v>
      </c>
      <c r="AB136" s="183">
        <f t="shared" si="14"/>
        <v>0</v>
      </c>
    </row>
    <row r="137" ht="14.25" customHeight="1">
      <c r="A137" s="175"/>
      <c r="B137" s="214"/>
      <c r="C137" s="181"/>
      <c r="D137" s="209"/>
      <c r="E137" s="183">
        <f>SUMIFS('DB WBS'!$J:$J,'DB WBS'!$A:$A,$D$4,'DB WBS'!$D:$D,AA$1,'DB WBS'!$B:$B,$E$3,'DB WBS'!$E:$E,$B137)</f>
        <v>0</v>
      </c>
      <c r="F137" s="183">
        <f>SUMIFS('DB WBS'!$J:$J,'DB WBS'!$A:$A,$D$4,'DB WBS'!$D:$D,AA$2,'DB WBS'!$B:$B,$E$3,'DB WBS'!$E:$E,$B137)</f>
        <v>0</v>
      </c>
      <c r="G137" s="184">
        <f>IFERROR(HLOOKUP($E$3,'Tahun Lalu'!$B$5:$V$158,MATCH(B137,'Tahun Lalu'!$B$5:$B$158,0),0),0)</f>
        <v>0</v>
      </c>
      <c r="H137" s="184">
        <v>0.0</v>
      </c>
      <c r="I137" s="184">
        <v>0.0</v>
      </c>
      <c r="J137" s="183">
        <f t="shared" si="3"/>
        <v>0</v>
      </c>
      <c r="K137" s="183">
        <f t="shared" si="4"/>
        <v>0</v>
      </c>
      <c r="L137" s="183">
        <f t="shared" si="5"/>
        <v>0</v>
      </c>
      <c r="M137" s="183">
        <f t="shared" si="6"/>
        <v>0</v>
      </c>
      <c r="N137" s="183">
        <f t="shared" si="178"/>
        <v>0</v>
      </c>
      <c r="O137" s="183">
        <f t="shared" ref="O137:Q137" si="182">G137+W137</f>
        <v>0</v>
      </c>
      <c r="P137" s="183">
        <f t="shared" si="182"/>
        <v>0</v>
      </c>
      <c r="Q137" s="183">
        <f t="shared" si="182"/>
        <v>0</v>
      </c>
      <c r="R137" s="183">
        <f t="shared" si="9"/>
        <v>0</v>
      </c>
      <c r="S137" s="183">
        <f t="shared" si="10"/>
        <v>0</v>
      </c>
      <c r="T137" s="183">
        <f t="shared" si="11"/>
        <v>0</v>
      </c>
      <c r="U137" s="186"/>
      <c r="V137" s="183">
        <f>IFERROR(__xludf.DUMMYFUNCTION("""COMPUTED_VALUE"""),0.0)</f>
        <v>0</v>
      </c>
      <c r="W137" s="183">
        <f>IFERROR(__xludf.DUMMYFUNCTION("""COMPUTED_VALUE"""),0.0)</f>
        <v>0</v>
      </c>
      <c r="X137" s="183">
        <f>IFERROR(__xludf.DUMMYFUNCTION("""COMPUTED_VALUE"""),0.0)</f>
        <v>0</v>
      </c>
      <c r="Y137" s="183">
        <f>IFERROR(__xludf.DUMMYFUNCTION("""COMPUTED_VALUE"""),0.0)</f>
        <v>0</v>
      </c>
      <c r="Z137" s="183">
        <f t="shared" si="12"/>
        <v>0</v>
      </c>
      <c r="AA137" s="183">
        <f t="shared" si="13"/>
        <v>0</v>
      </c>
      <c r="AB137" s="183">
        <f t="shared" si="14"/>
        <v>0</v>
      </c>
    </row>
    <row r="138" ht="14.25" customHeight="1">
      <c r="A138" s="175"/>
      <c r="B138" s="215"/>
      <c r="C138" s="216"/>
      <c r="D138" s="209"/>
      <c r="E138" s="183">
        <f>SUMIFS('DB WBS'!$J:$J,'DB WBS'!$A:$A,$D$4,'DB WBS'!$D:$D,AA$1,'DB WBS'!$B:$B,$E$3,'DB WBS'!$E:$E,$B138)</f>
        <v>0</v>
      </c>
      <c r="F138" s="183">
        <f>SUMIFS('DB WBS'!$J:$J,'DB WBS'!$A:$A,$D$4,'DB WBS'!$D:$D,AA$2,'DB WBS'!$B:$B,$E$3,'DB WBS'!$E:$E,$B138)</f>
        <v>0</v>
      </c>
      <c r="G138" s="184">
        <f>IFERROR(HLOOKUP($E$3,'Tahun Lalu'!$B$5:$V$158,MATCH(B138,'Tahun Lalu'!$B$5:$B$158,0),0),0)</f>
        <v>0</v>
      </c>
      <c r="H138" s="184">
        <v>0.0</v>
      </c>
      <c r="I138" s="184">
        <v>0.0</v>
      </c>
      <c r="J138" s="183">
        <f t="shared" si="3"/>
        <v>0</v>
      </c>
      <c r="K138" s="183">
        <f t="shared" si="4"/>
        <v>0</v>
      </c>
      <c r="L138" s="183">
        <f t="shared" si="5"/>
        <v>0</v>
      </c>
      <c r="M138" s="183">
        <f t="shared" si="6"/>
        <v>0</v>
      </c>
      <c r="N138" s="183">
        <f t="shared" si="178"/>
        <v>0</v>
      </c>
      <c r="O138" s="183">
        <f t="shared" ref="O138:Q138" si="183">G138+W138</f>
        <v>0</v>
      </c>
      <c r="P138" s="183">
        <f t="shared" si="183"/>
        <v>0</v>
      </c>
      <c r="Q138" s="183">
        <f t="shared" si="183"/>
        <v>0</v>
      </c>
      <c r="R138" s="183">
        <f t="shared" si="9"/>
        <v>0</v>
      </c>
      <c r="S138" s="183">
        <f t="shared" si="10"/>
        <v>0</v>
      </c>
      <c r="T138" s="183">
        <f t="shared" si="11"/>
        <v>0</v>
      </c>
      <c r="U138" s="186"/>
      <c r="V138" s="183">
        <f>IFERROR(__xludf.DUMMYFUNCTION("""COMPUTED_VALUE"""),0.0)</f>
        <v>0</v>
      </c>
      <c r="W138" s="183">
        <f>IFERROR(__xludf.DUMMYFUNCTION("""COMPUTED_VALUE"""),0.0)</f>
        <v>0</v>
      </c>
      <c r="X138" s="183">
        <f>IFERROR(__xludf.DUMMYFUNCTION("""COMPUTED_VALUE"""),0.0)</f>
        <v>0</v>
      </c>
      <c r="Y138" s="183">
        <f>IFERROR(__xludf.DUMMYFUNCTION("""COMPUTED_VALUE"""),0.0)</f>
        <v>0</v>
      </c>
      <c r="Z138" s="183">
        <f t="shared" si="12"/>
        <v>0</v>
      </c>
      <c r="AA138" s="183">
        <f t="shared" si="13"/>
        <v>0</v>
      </c>
      <c r="AB138" s="183">
        <f t="shared" si="14"/>
        <v>0</v>
      </c>
    </row>
    <row r="139" ht="14.25" customHeight="1">
      <c r="A139" s="175"/>
      <c r="B139" s="191" t="s">
        <v>877</v>
      </c>
      <c r="C139" s="199"/>
      <c r="D139" s="200"/>
      <c r="E139" s="201">
        <f t="shared" ref="E139:I139" si="184">SUM(E133:E138)</f>
        <v>0</v>
      </c>
      <c r="F139" s="201">
        <f t="shared" si="184"/>
        <v>0</v>
      </c>
      <c r="G139" s="201">
        <f t="shared" si="184"/>
        <v>0</v>
      </c>
      <c r="H139" s="201">
        <f t="shared" si="184"/>
        <v>0</v>
      </c>
      <c r="I139" s="201">
        <f t="shared" si="184"/>
        <v>0</v>
      </c>
      <c r="J139" s="201">
        <f t="shared" si="3"/>
        <v>0</v>
      </c>
      <c r="K139" s="201">
        <f t="shared" si="4"/>
        <v>0</v>
      </c>
      <c r="L139" s="201">
        <f t="shared" si="5"/>
        <v>0</v>
      </c>
      <c r="M139" s="201">
        <f t="shared" si="6"/>
        <v>0</v>
      </c>
      <c r="N139" s="201">
        <f t="shared" ref="N139:Q139" si="185">SUM(N133:N138)</f>
        <v>0</v>
      </c>
      <c r="O139" s="201">
        <f t="shared" si="185"/>
        <v>0</v>
      </c>
      <c r="P139" s="201">
        <f t="shared" si="185"/>
        <v>0</v>
      </c>
      <c r="Q139" s="201">
        <f t="shared" si="185"/>
        <v>0</v>
      </c>
      <c r="R139" s="201">
        <f t="shared" si="9"/>
        <v>0</v>
      </c>
      <c r="S139" s="201">
        <f t="shared" si="10"/>
        <v>0</v>
      </c>
      <c r="T139" s="201">
        <f t="shared" si="11"/>
        <v>0</v>
      </c>
      <c r="U139" s="202"/>
      <c r="V139" s="201">
        <f>IFERROR(__xludf.DUMMYFUNCTION("""COMPUTED_VALUE"""),0.0)</f>
        <v>0</v>
      </c>
      <c r="W139" s="201">
        <f>IFERROR(__xludf.DUMMYFUNCTION("""COMPUTED_VALUE"""),0.0)</f>
        <v>0</v>
      </c>
      <c r="X139" s="201">
        <f>IFERROR(__xludf.DUMMYFUNCTION("""COMPUTED_VALUE"""),0.0)</f>
        <v>0</v>
      </c>
      <c r="Y139" s="201">
        <f>IFERROR(__xludf.DUMMYFUNCTION("""COMPUTED_VALUE"""),0.0)</f>
        <v>0</v>
      </c>
      <c r="Z139" s="201">
        <f t="shared" si="12"/>
        <v>0</v>
      </c>
      <c r="AA139" s="201">
        <f t="shared" si="13"/>
        <v>0</v>
      </c>
      <c r="AB139" s="201">
        <f t="shared" si="14"/>
        <v>0</v>
      </c>
    </row>
    <row r="140" ht="14.25" customHeight="1">
      <c r="A140" s="175"/>
      <c r="B140" s="208" t="s">
        <v>142</v>
      </c>
      <c r="C140" s="181" t="s">
        <v>417</v>
      </c>
      <c r="D140" s="217" t="s">
        <v>143</v>
      </c>
      <c r="E140" s="183">
        <f>SUMIFS('DB WBS'!$J:$J,'DB WBS'!$A:$A,$D$4,'DB WBS'!$D:$D,AA$1,'DB WBS'!$B:$B,$E$3,'DB WBS'!$E:$E,$B140)</f>
        <v>0</v>
      </c>
      <c r="F140" s="183">
        <f>SUMIFS('DB WBS'!$J:$J,'DB WBS'!$A:$A,$D$4,'DB WBS'!$D:$D,AA$2,'DB WBS'!$B:$B,$E$3,'DB WBS'!$E:$E,$B140)</f>
        <v>0</v>
      </c>
      <c r="G140" s="184">
        <f>IFERROR(HLOOKUP($E$3,'Tahun Lalu'!$B$5:$V$158,MATCH(B140,'Tahun Lalu'!$B$5:$B$158,0),0),0)</f>
        <v>0</v>
      </c>
      <c r="H140" s="184">
        <v>0.0</v>
      </c>
      <c r="I140" s="184">
        <v>0.0</v>
      </c>
      <c r="J140" s="210">
        <f t="shared" si="3"/>
        <v>0</v>
      </c>
      <c r="K140" s="183">
        <f t="shared" si="4"/>
        <v>0</v>
      </c>
      <c r="L140" s="183">
        <f t="shared" si="5"/>
        <v>0</v>
      </c>
      <c r="M140" s="183">
        <f t="shared" si="6"/>
        <v>0</v>
      </c>
      <c r="N140" s="183">
        <f t="shared" ref="N140:N146" si="187">E140+V140</f>
        <v>0</v>
      </c>
      <c r="O140" s="183">
        <f t="shared" ref="O140:Q140" si="186">G140+W140</f>
        <v>0</v>
      </c>
      <c r="P140" s="183">
        <f t="shared" si="186"/>
        <v>0</v>
      </c>
      <c r="Q140" s="183">
        <f t="shared" si="186"/>
        <v>0</v>
      </c>
      <c r="R140" s="210">
        <f t="shared" si="9"/>
        <v>0</v>
      </c>
      <c r="S140" s="183">
        <f t="shared" si="10"/>
        <v>0</v>
      </c>
      <c r="T140" s="183">
        <f t="shared" si="11"/>
        <v>0</v>
      </c>
      <c r="U140" s="186"/>
      <c r="V140" s="183">
        <f>IFERROR(__xludf.DUMMYFUNCTION("""COMPUTED_VALUE"""),0.0)</f>
        <v>0</v>
      </c>
      <c r="W140" s="183">
        <f>IFERROR(__xludf.DUMMYFUNCTION("""COMPUTED_VALUE"""),0.0)</f>
        <v>0</v>
      </c>
      <c r="X140" s="183">
        <f>IFERROR(__xludf.DUMMYFUNCTION("""COMPUTED_VALUE"""),0.0)</f>
        <v>0</v>
      </c>
      <c r="Y140" s="183">
        <f>IFERROR(__xludf.DUMMYFUNCTION("""COMPUTED_VALUE"""),0.0)</f>
        <v>0</v>
      </c>
      <c r="Z140" s="210">
        <f t="shared" si="12"/>
        <v>0</v>
      </c>
      <c r="AA140" s="183">
        <f t="shared" si="13"/>
        <v>0</v>
      </c>
      <c r="AB140" s="183">
        <f t="shared" si="14"/>
        <v>0</v>
      </c>
    </row>
    <row r="141" ht="14.25" customHeight="1">
      <c r="A141" s="175"/>
      <c r="B141" s="208" t="s">
        <v>878</v>
      </c>
      <c r="C141" s="181"/>
      <c r="D141" s="217" t="s">
        <v>134</v>
      </c>
      <c r="E141" s="183">
        <f>SUMIFS('DB WBS'!$J:$J,'DB WBS'!$A:$A,$D$4,'DB WBS'!$D:$D,AA$1,'DB WBS'!$B:$B,$E$3,'DB WBS'!$E:$E,$B141)</f>
        <v>0</v>
      </c>
      <c r="F141" s="183">
        <f>SUMIFS('DB WBS'!$J:$J,'DB WBS'!$A:$A,$D$4,'DB WBS'!$D:$D,AA$2,'DB WBS'!$B:$B,$E$3,'DB WBS'!$E:$E,$B141)</f>
        <v>0</v>
      </c>
      <c r="G141" s="184">
        <f>IFERROR(HLOOKUP($E$3,'Tahun Lalu'!$B$5:$V$158,MATCH(B141,'Tahun Lalu'!$B$5:$B$158,0),0),0)</f>
        <v>0</v>
      </c>
      <c r="H141" s="184">
        <v>0.0</v>
      </c>
      <c r="I141" s="184">
        <v>0.0</v>
      </c>
      <c r="J141" s="183">
        <f t="shared" si="3"/>
        <v>0</v>
      </c>
      <c r="K141" s="183">
        <f t="shared" si="4"/>
        <v>0</v>
      </c>
      <c r="L141" s="183">
        <f t="shared" si="5"/>
        <v>0</v>
      </c>
      <c r="M141" s="183">
        <f t="shared" si="6"/>
        <v>0</v>
      </c>
      <c r="N141" s="183">
        <f t="shared" si="187"/>
        <v>0</v>
      </c>
      <c r="O141" s="183">
        <f t="shared" ref="O141:Q141" si="188">G141+W141</f>
        <v>0</v>
      </c>
      <c r="P141" s="183">
        <f t="shared" si="188"/>
        <v>0</v>
      </c>
      <c r="Q141" s="183">
        <f t="shared" si="188"/>
        <v>0</v>
      </c>
      <c r="R141" s="183">
        <f t="shared" si="9"/>
        <v>0</v>
      </c>
      <c r="S141" s="183">
        <f t="shared" si="10"/>
        <v>0</v>
      </c>
      <c r="T141" s="183">
        <f t="shared" si="11"/>
        <v>0</v>
      </c>
      <c r="U141" s="186"/>
      <c r="V141" s="183">
        <f>IFERROR(__xludf.DUMMYFUNCTION("""COMPUTED_VALUE"""),0.0)</f>
        <v>0</v>
      </c>
      <c r="W141" s="183">
        <f>IFERROR(__xludf.DUMMYFUNCTION("""COMPUTED_VALUE"""),0.0)</f>
        <v>0</v>
      </c>
      <c r="X141" s="183">
        <f>IFERROR(__xludf.DUMMYFUNCTION("""COMPUTED_VALUE"""),0.0)</f>
        <v>0</v>
      </c>
      <c r="Y141" s="183">
        <f>IFERROR(__xludf.DUMMYFUNCTION("""COMPUTED_VALUE"""),0.0)</f>
        <v>0</v>
      </c>
      <c r="Z141" s="183">
        <f t="shared" si="12"/>
        <v>0</v>
      </c>
      <c r="AA141" s="183">
        <f t="shared" si="13"/>
        <v>0</v>
      </c>
      <c r="AB141" s="183">
        <f t="shared" si="14"/>
        <v>0</v>
      </c>
    </row>
    <row r="142" ht="14.25" customHeight="1">
      <c r="A142" s="175"/>
      <c r="B142" s="208" t="s">
        <v>45</v>
      </c>
      <c r="C142" s="181"/>
      <c r="D142" s="217" t="s">
        <v>46</v>
      </c>
      <c r="E142" s="183">
        <f>SUMIFS('DB WBS'!$J:$J,'DB WBS'!$A:$A,$D$4,'DB WBS'!$D:$D,AA$1,'DB WBS'!$B:$B,$E$3,'DB WBS'!$E:$E,$B142)</f>
        <v>0</v>
      </c>
      <c r="F142" s="183">
        <f>SUMIFS('DB WBS'!$J:$J,'DB WBS'!$A:$A,$D$4,'DB WBS'!$D:$D,AA$2,'DB WBS'!$B:$B,$E$3,'DB WBS'!$E:$E,$B142)</f>
        <v>0</v>
      </c>
      <c r="G142" s="184">
        <f>IFERROR(HLOOKUP($E$3,'Tahun Lalu'!$B$5:$V$158,MATCH(B142,'Tahun Lalu'!$B$5:$B$158,0),0),0)</f>
        <v>0</v>
      </c>
      <c r="H142" s="184">
        <v>0.0</v>
      </c>
      <c r="I142" s="184">
        <v>0.0</v>
      </c>
      <c r="J142" s="183">
        <f t="shared" si="3"/>
        <v>0</v>
      </c>
      <c r="K142" s="183">
        <f t="shared" si="4"/>
        <v>0</v>
      </c>
      <c r="L142" s="183">
        <f t="shared" si="5"/>
        <v>0</v>
      </c>
      <c r="M142" s="183">
        <f t="shared" si="6"/>
        <v>0</v>
      </c>
      <c r="N142" s="183">
        <f t="shared" si="187"/>
        <v>0</v>
      </c>
      <c r="O142" s="183">
        <f t="shared" ref="O142:Q142" si="189">G142+W142</f>
        <v>0</v>
      </c>
      <c r="P142" s="183">
        <f t="shared" si="189"/>
        <v>0</v>
      </c>
      <c r="Q142" s="183">
        <f t="shared" si="189"/>
        <v>0</v>
      </c>
      <c r="R142" s="183">
        <f t="shared" si="9"/>
        <v>0</v>
      </c>
      <c r="S142" s="183">
        <f t="shared" si="10"/>
        <v>0</v>
      </c>
      <c r="T142" s="183">
        <f t="shared" si="11"/>
        <v>0</v>
      </c>
      <c r="U142" s="186"/>
      <c r="V142" s="183">
        <f>IFERROR(__xludf.DUMMYFUNCTION("""COMPUTED_VALUE"""),0.0)</f>
        <v>0</v>
      </c>
      <c r="W142" s="183">
        <f>IFERROR(__xludf.DUMMYFUNCTION("""COMPUTED_VALUE"""),0.0)</f>
        <v>0</v>
      </c>
      <c r="X142" s="183">
        <f>IFERROR(__xludf.DUMMYFUNCTION("""COMPUTED_VALUE"""),0.0)</f>
        <v>0</v>
      </c>
      <c r="Y142" s="183">
        <f>IFERROR(__xludf.DUMMYFUNCTION("""COMPUTED_VALUE"""),0.0)</f>
        <v>0</v>
      </c>
      <c r="Z142" s="183">
        <f t="shared" si="12"/>
        <v>0</v>
      </c>
      <c r="AA142" s="183">
        <f t="shared" si="13"/>
        <v>0</v>
      </c>
      <c r="AB142" s="183">
        <f t="shared" si="14"/>
        <v>0</v>
      </c>
    </row>
    <row r="143" ht="14.25" customHeight="1">
      <c r="A143" s="175"/>
      <c r="B143" s="218" t="s">
        <v>879</v>
      </c>
      <c r="C143" s="181"/>
      <c r="D143" s="217" t="s">
        <v>880</v>
      </c>
      <c r="E143" s="183">
        <f>SUMIFS('DB WBS'!$J:$J,'DB WBS'!$A:$A,$D$4,'DB WBS'!$D:$D,AA$1,'DB WBS'!$B:$B,$E$3,'DB WBS'!$E:$E,$B143)</f>
        <v>0</v>
      </c>
      <c r="F143" s="183">
        <f>SUMIFS('DB WBS'!$J:$J,'DB WBS'!$A:$A,$D$4,'DB WBS'!$D:$D,AA$2,'DB WBS'!$B:$B,$E$3,'DB WBS'!$E:$E,$B143)</f>
        <v>0</v>
      </c>
      <c r="G143" s="184">
        <f>IFERROR(HLOOKUP($E$3,'Tahun Lalu'!$B$5:$V$158,MATCH(B143,'Tahun Lalu'!$B$5:$B$158,0),0),0)</f>
        <v>0</v>
      </c>
      <c r="H143" s="184">
        <v>0.0</v>
      </c>
      <c r="I143" s="184">
        <v>0.0</v>
      </c>
      <c r="J143" s="183">
        <f t="shared" si="3"/>
        <v>0</v>
      </c>
      <c r="K143" s="183">
        <f t="shared" si="4"/>
        <v>0</v>
      </c>
      <c r="L143" s="183">
        <f t="shared" si="5"/>
        <v>0</v>
      </c>
      <c r="M143" s="183">
        <f t="shared" si="6"/>
        <v>0</v>
      </c>
      <c r="N143" s="183">
        <f t="shared" si="187"/>
        <v>0</v>
      </c>
      <c r="O143" s="183">
        <f t="shared" ref="O143:Q143" si="190">G143+W143</f>
        <v>0</v>
      </c>
      <c r="P143" s="183">
        <f t="shared" si="190"/>
        <v>0</v>
      </c>
      <c r="Q143" s="183">
        <f t="shared" si="190"/>
        <v>0</v>
      </c>
      <c r="R143" s="183">
        <f t="shared" si="9"/>
        <v>0</v>
      </c>
      <c r="S143" s="183">
        <f t="shared" si="10"/>
        <v>0</v>
      </c>
      <c r="T143" s="183">
        <f t="shared" si="11"/>
        <v>0</v>
      </c>
      <c r="U143" s="186"/>
      <c r="V143" s="183">
        <f>IFERROR(__xludf.DUMMYFUNCTION("""COMPUTED_VALUE"""),0.0)</f>
        <v>0</v>
      </c>
      <c r="W143" s="183">
        <f>IFERROR(__xludf.DUMMYFUNCTION("""COMPUTED_VALUE"""),0.0)</f>
        <v>0</v>
      </c>
      <c r="X143" s="183">
        <f>IFERROR(__xludf.DUMMYFUNCTION("""COMPUTED_VALUE"""),0.0)</f>
        <v>0</v>
      </c>
      <c r="Y143" s="183">
        <f>IFERROR(__xludf.DUMMYFUNCTION("""COMPUTED_VALUE"""),0.0)</f>
        <v>0</v>
      </c>
      <c r="Z143" s="183">
        <f t="shared" si="12"/>
        <v>0</v>
      </c>
      <c r="AA143" s="183">
        <f t="shared" si="13"/>
        <v>0</v>
      </c>
      <c r="AB143" s="183">
        <f t="shared" si="14"/>
        <v>0</v>
      </c>
    </row>
    <row r="144" ht="14.25" customHeight="1">
      <c r="A144" s="175"/>
      <c r="B144" s="219" t="s">
        <v>70</v>
      </c>
      <c r="C144" s="181"/>
      <c r="D144" s="217" t="s">
        <v>71</v>
      </c>
      <c r="E144" s="183">
        <f>SUMIFS('DB WBS'!$J:$J,'DB WBS'!$A:$A,$D$4,'DB WBS'!$D:$D,AA$1,'DB WBS'!$B:$B,$E$3,'DB WBS'!$E:$E,$B144)</f>
        <v>257400</v>
      </c>
      <c r="F144" s="183">
        <f>SUMIFS('DB WBS'!$J:$J,'DB WBS'!$A:$A,$D$4,'DB WBS'!$D:$D,AA$2,'DB WBS'!$B:$B,$E$3,'DB WBS'!$E:$E,$B144)</f>
        <v>252000</v>
      </c>
      <c r="G144" s="184">
        <f>IFERROR(HLOOKUP($E$3,'Tahun Lalu'!$B$5:$V$158,MATCH(B144,'Tahun Lalu'!$B$5:$B$158,0),0),0)</f>
        <v>0</v>
      </c>
      <c r="H144" s="184">
        <v>0.0</v>
      </c>
      <c r="I144" s="184">
        <v>0.0</v>
      </c>
      <c r="J144" s="183">
        <f t="shared" si="3"/>
        <v>102.1428571</v>
      </c>
      <c r="K144" s="183">
        <f t="shared" si="4"/>
        <v>0</v>
      </c>
      <c r="L144" s="183">
        <f t="shared" si="5"/>
        <v>0</v>
      </c>
      <c r="M144" s="183">
        <f t="shared" si="6"/>
        <v>0</v>
      </c>
      <c r="N144" s="183">
        <f t="shared" si="187"/>
        <v>1231200</v>
      </c>
      <c r="O144" s="183">
        <f t="shared" ref="O144:Q144" si="191">G144+W144</f>
        <v>1443600</v>
      </c>
      <c r="P144" s="183">
        <f t="shared" si="191"/>
        <v>0</v>
      </c>
      <c r="Q144" s="183">
        <f t="shared" si="191"/>
        <v>0</v>
      </c>
      <c r="R144" s="183">
        <f t="shared" si="9"/>
        <v>85.28678304</v>
      </c>
      <c r="S144" s="183">
        <f t="shared" si="10"/>
        <v>0</v>
      </c>
      <c r="T144" s="183">
        <f t="shared" si="11"/>
        <v>0</v>
      </c>
      <c r="U144" s="186"/>
      <c r="V144" s="183">
        <f>IFERROR(__xludf.DUMMYFUNCTION("""COMPUTED_VALUE"""),973800.0)</f>
        <v>973800</v>
      </c>
      <c r="W144" s="183">
        <f>IFERROR(__xludf.DUMMYFUNCTION("""COMPUTED_VALUE"""),1443600.0)</f>
        <v>1443600</v>
      </c>
      <c r="X144" s="183">
        <f>IFERROR(__xludf.DUMMYFUNCTION("""COMPUTED_VALUE"""),0.0)</f>
        <v>0</v>
      </c>
      <c r="Y144" s="183">
        <f>IFERROR(__xludf.DUMMYFUNCTION("""COMPUTED_VALUE"""),0.0)</f>
        <v>0</v>
      </c>
      <c r="Z144" s="183">
        <f t="shared" si="12"/>
        <v>67.4563591</v>
      </c>
      <c r="AA144" s="183">
        <f t="shared" si="13"/>
        <v>0</v>
      </c>
      <c r="AB144" s="183">
        <f t="shared" si="14"/>
        <v>0</v>
      </c>
    </row>
    <row r="145" ht="14.25" customHeight="1">
      <c r="A145" s="175"/>
      <c r="B145" s="219" t="s">
        <v>47</v>
      </c>
      <c r="C145" s="181"/>
      <c r="D145" s="217" t="s">
        <v>48</v>
      </c>
      <c r="E145" s="183">
        <f>SUMIFS('DB WBS'!$J:$J,'DB WBS'!$A:$A,$D$4,'DB WBS'!$D:$D,AA$1,'DB WBS'!$B:$B,$E$3,'DB WBS'!$E:$E,$B145)</f>
        <v>0</v>
      </c>
      <c r="F145" s="183">
        <f>SUMIFS('DB WBS'!$J:$J,'DB WBS'!$A:$A,$D$4,'DB WBS'!$D:$D,AA$2,'DB WBS'!$B:$B,$E$3,'DB WBS'!$E:$E,$B145)</f>
        <v>0</v>
      </c>
      <c r="G145" s="184">
        <f>IFERROR(HLOOKUP($E$3,'Tahun Lalu'!$B$5:$V$158,MATCH(B145,'Tahun Lalu'!$B$5:$B$158,0),0),0)</f>
        <v>0</v>
      </c>
      <c r="H145" s="184">
        <v>0.0</v>
      </c>
      <c r="I145" s="184">
        <v>0.0</v>
      </c>
      <c r="J145" s="183">
        <f t="shared" si="3"/>
        <v>0</v>
      </c>
      <c r="K145" s="183">
        <f t="shared" si="4"/>
        <v>0</v>
      </c>
      <c r="L145" s="183">
        <f t="shared" si="5"/>
        <v>0</v>
      </c>
      <c r="M145" s="183">
        <f t="shared" si="6"/>
        <v>0</v>
      </c>
      <c r="N145" s="183">
        <f t="shared" si="187"/>
        <v>0</v>
      </c>
      <c r="O145" s="183">
        <f t="shared" ref="O145:Q145" si="192">G145+W145</f>
        <v>0</v>
      </c>
      <c r="P145" s="183">
        <f t="shared" si="192"/>
        <v>0</v>
      </c>
      <c r="Q145" s="183">
        <f t="shared" si="192"/>
        <v>0</v>
      </c>
      <c r="R145" s="183">
        <f t="shared" si="9"/>
        <v>0</v>
      </c>
      <c r="S145" s="183">
        <f t="shared" si="10"/>
        <v>0</v>
      </c>
      <c r="T145" s="183">
        <f t="shared" si="11"/>
        <v>0</v>
      </c>
      <c r="U145" s="186"/>
      <c r="V145" s="183">
        <f>IFERROR(__xludf.DUMMYFUNCTION("""COMPUTED_VALUE"""),0.0)</f>
        <v>0</v>
      </c>
      <c r="W145" s="183">
        <f>IFERROR(__xludf.DUMMYFUNCTION("""COMPUTED_VALUE"""),0.0)</f>
        <v>0</v>
      </c>
      <c r="X145" s="183">
        <f>IFERROR(__xludf.DUMMYFUNCTION("""COMPUTED_VALUE"""),0.0)</f>
        <v>0</v>
      </c>
      <c r="Y145" s="183">
        <f>IFERROR(__xludf.DUMMYFUNCTION("""COMPUTED_VALUE"""),0.0)</f>
        <v>0</v>
      </c>
      <c r="Z145" s="183">
        <f t="shared" si="12"/>
        <v>0</v>
      </c>
      <c r="AA145" s="183">
        <f t="shared" si="13"/>
        <v>0</v>
      </c>
      <c r="AB145" s="183">
        <f t="shared" si="14"/>
        <v>0</v>
      </c>
    </row>
    <row r="146" ht="14.25" customHeight="1">
      <c r="A146" s="175"/>
      <c r="B146" s="219"/>
      <c r="C146" s="181"/>
      <c r="D146" s="220"/>
      <c r="E146" s="183">
        <f>SUMIFS('DB WBS'!$J:$J,'DB WBS'!$A:$A,$D$4,'DB WBS'!$D:$D,AA$1,'DB WBS'!$B:$B,$E$3,'DB WBS'!$E:$E,$B146)</f>
        <v>0</v>
      </c>
      <c r="F146" s="183">
        <f>SUMIFS('DB WBS'!$J:$J,'DB WBS'!$A:$A,$D$4,'DB WBS'!$D:$D,AA$2,'DB WBS'!$B:$B,$E$3,'DB WBS'!$E:$E,$B146)</f>
        <v>0</v>
      </c>
      <c r="G146" s="184">
        <f>IFERROR(HLOOKUP($E$3,'Tahun Lalu'!$B$5:$V$158,MATCH(B146,'Tahun Lalu'!$B$5:$B$158,0),0),0)</f>
        <v>0</v>
      </c>
      <c r="H146" s="184">
        <v>0.0</v>
      </c>
      <c r="I146" s="184">
        <v>0.0</v>
      </c>
      <c r="J146" s="183">
        <f t="shared" si="3"/>
        <v>0</v>
      </c>
      <c r="K146" s="183">
        <f t="shared" si="4"/>
        <v>0</v>
      </c>
      <c r="L146" s="183">
        <f t="shared" si="5"/>
        <v>0</v>
      </c>
      <c r="M146" s="183">
        <f t="shared" si="6"/>
        <v>0</v>
      </c>
      <c r="N146" s="183">
        <f t="shared" si="187"/>
        <v>0</v>
      </c>
      <c r="O146" s="183">
        <f t="shared" ref="O146:Q146" si="193">G146+W146</f>
        <v>0</v>
      </c>
      <c r="P146" s="183">
        <f t="shared" si="193"/>
        <v>0</v>
      </c>
      <c r="Q146" s="183">
        <f t="shared" si="193"/>
        <v>0</v>
      </c>
      <c r="R146" s="183">
        <f t="shared" si="9"/>
        <v>0</v>
      </c>
      <c r="S146" s="183">
        <f t="shared" si="10"/>
        <v>0</v>
      </c>
      <c r="T146" s="183">
        <f t="shared" si="11"/>
        <v>0</v>
      </c>
      <c r="U146" s="186"/>
      <c r="V146" s="183">
        <f>IFERROR(__xludf.DUMMYFUNCTION("""COMPUTED_VALUE"""),0.0)</f>
        <v>0</v>
      </c>
      <c r="W146" s="183">
        <f>IFERROR(__xludf.DUMMYFUNCTION("""COMPUTED_VALUE"""),0.0)</f>
        <v>0</v>
      </c>
      <c r="X146" s="183">
        <f>IFERROR(__xludf.DUMMYFUNCTION("""COMPUTED_VALUE"""),0.0)</f>
        <v>0</v>
      </c>
      <c r="Y146" s="183">
        <f>IFERROR(__xludf.DUMMYFUNCTION("""COMPUTED_VALUE"""),0.0)</f>
        <v>0</v>
      </c>
      <c r="Z146" s="183">
        <f t="shared" si="12"/>
        <v>0</v>
      </c>
      <c r="AA146" s="183">
        <f t="shared" si="13"/>
        <v>0</v>
      </c>
      <c r="AB146" s="183">
        <f t="shared" si="14"/>
        <v>0</v>
      </c>
    </row>
    <row r="147" ht="14.25" customHeight="1">
      <c r="A147" s="175"/>
      <c r="B147" s="212" t="s">
        <v>881</v>
      </c>
      <c r="C147" s="199"/>
      <c r="D147" s="200"/>
      <c r="E147" s="201">
        <f t="shared" ref="E147:I147" si="194">SUM(E140:E146)</f>
        <v>257400</v>
      </c>
      <c r="F147" s="201">
        <f t="shared" si="194"/>
        <v>252000</v>
      </c>
      <c r="G147" s="201">
        <f t="shared" si="194"/>
        <v>0</v>
      </c>
      <c r="H147" s="201">
        <f t="shared" si="194"/>
        <v>0</v>
      </c>
      <c r="I147" s="201">
        <f t="shared" si="194"/>
        <v>0</v>
      </c>
      <c r="J147" s="201">
        <f t="shared" si="3"/>
        <v>102.1428571</v>
      </c>
      <c r="K147" s="201">
        <f t="shared" si="4"/>
        <v>0</v>
      </c>
      <c r="L147" s="201">
        <f t="shared" si="5"/>
        <v>0</v>
      </c>
      <c r="M147" s="201">
        <f t="shared" si="6"/>
        <v>0</v>
      </c>
      <c r="N147" s="201">
        <f t="shared" ref="N147:Q147" si="195">SUM(N140:N146)</f>
        <v>1231200</v>
      </c>
      <c r="O147" s="201">
        <f t="shared" si="195"/>
        <v>1443600</v>
      </c>
      <c r="P147" s="201">
        <f t="shared" si="195"/>
        <v>0</v>
      </c>
      <c r="Q147" s="201">
        <f t="shared" si="195"/>
        <v>0</v>
      </c>
      <c r="R147" s="201">
        <f t="shared" si="9"/>
        <v>85.28678304</v>
      </c>
      <c r="S147" s="201">
        <f t="shared" si="10"/>
        <v>0</v>
      </c>
      <c r="T147" s="201">
        <f t="shared" si="11"/>
        <v>0</v>
      </c>
      <c r="U147" s="202"/>
      <c r="V147" s="201">
        <f>IFERROR(__xludf.DUMMYFUNCTION("""COMPUTED_VALUE"""),973800.0)</f>
        <v>973800</v>
      </c>
      <c r="W147" s="201">
        <f>IFERROR(__xludf.DUMMYFUNCTION("""COMPUTED_VALUE"""),1443600.0)</f>
        <v>1443600</v>
      </c>
      <c r="X147" s="201">
        <f>IFERROR(__xludf.DUMMYFUNCTION("""COMPUTED_VALUE"""),0.0)</f>
        <v>0</v>
      </c>
      <c r="Y147" s="201">
        <f>IFERROR(__xludf.DUMMYFUNCTION("""COMPUTED_VALUE"""),0.0)</f>
        <v>0</v>
      </c>
      <c r="Z147" s="201">
        <f t="shared" si="12"/>
        <v>67.4563591</v>
      </c>
      <c r="AA147" s="201">
        <f t="shared" si="13"/>
        <v>0</v>
      </c>
      <c r="AB147" s="201">
        <f t="shared" si="14"/>
        <v>0</v>
      </c>
    </row>
    <row r="148" ht="14.25" customHeight="1">
      <c r="A148" s="175"/>
      <c r="B148" s="204" t="s">
        <v>882</v>
      </c>
      <c r="C148" s="205"/>
      <c r="D148" s="206"/>
      <c r="E148" s="207">
        <f t="shared" ref="E148:I148" si="196">E147+E139</f>
        <v>257400</v>
      </c>
      <c r="F148" s="207">
        <f t="shared" si="196"/>
        <v>252000</v>
      </c>
      <c r="G148" s="207">
        <f t="shared" si="196"/>
        <v>0</v>
      </c>
      <c r="H148" s="207">
        <f t="shared" si="196"/>
        <v>0</v>
      </c>
      <c r="I148" s="207">
        <f t="shared" si="196"/>
        <v>0</v>
      </c>
      <c r="J148" s="207">
        <f t="shared" si="3"/>
        <v>102.1428571</v>
      </c>
      <c r="K148" s="207">
        <f t="shared" si="4"/>
        <v>0</v>
      </c>
      <c r="L148" s="207">
        <f t="shared" si="5"/>
        <v>0</v>
      </c>
      <c r="M148" s="207">
        <f t="shared" si="6"/>
        <v>0</v>
      </c>
      <c r="N148" s="207">
        <f t="shared" ref="N148:Q148" si="197">N147+N139</f>
        <v>1231200</v>
      </c>
      <c r="O148" s="207">
        <f t="shared" si="197"/>
        <v>1443600</v>
      </c>
      <c r="P148" s="207">
        <f t="shared" si="197"/>
        <v>0</v>
      </c>
      <c r="Q148" s="207">
        <f t="shared" si="197"/>
        <v>0</v>
      </c>
      <c r="R148" s="207">
        <f t="shared" si="9"/>
        <v>85.28678304</v>
      </c>
      <c r="S148" s="207">
        <f t="shared" si="10"/>
        <v>0</v>
      </c>
      <c r="T148" s="207">
        <f t="shared" si="11"/>
        <v>0</v>
      </c>
      <c r="U148" s="202"/>
      <c r="V148" s="207">
        <f>IFERROR(__xludf.DUMMYFUNCTION("""COMPUTED_VALUE"""),973800.0)</f>
        <v>973800</v>
      </c>
      <c r="W148" s="207">
        <f>IFERROR(__xludf.DUMMYFUNCTION("""COMPUTED_VALUE"""),1443600.0)</f>
        <v>1443600</v>
      </c>
      <c r="X148" s="207">
        <f>IFERROR(__xludf.DUMMYFUNCTION("""COMPUTED_VALUE"""),0.0)</f>
        <v>0</v>
      </c>
      <c r="Y148" s="207">
        <f>IFERROR(__xludf.DUMMYFUNCTION("""COMPUTED_VALUE"""),0.0)</f>
        <v>0</v>
      </c>
      <c r="Z148" s="207">
        <f t="shared" si="12"/>
        <v>67.4563591</v>
      </c>
      <c r="AA148" s="207">
        <f t="shared" si="13"/>
        <v>0</v>
      </c>
      <c r="AB148" s="207">
        <f t="shared" si="14"/>
        <v>0</v>
      </c>
    </row>
    <row r="149" ht="14.25" customHeight="1">
      <c r="A149" s="175"/>
      <c r="B149" s="221" t="s">
        <v>883</v>
      </c>
      <c r="C149" s="222"/>
      <c r="D149" s="223"/>
      <c r="E149" s="224">
        <f t="shared" ref="E149:I149" si="198">E148+E132+E119+E77+E10+E12</f>
        <v>2186088</v>
      </c>
      <c r="F149" s="224">
        <f t="shared" si="198"/>
        <v>82612505</v>
      </c>
      <c r="G149" s="224">
        <f t="shared" si="198"/>
        <v>4961480</v>
      </c>
      <c r="H149" s="224">
        <f t="shared" si="198"/>
        <v>0</v>
      </c>
      <c r="I149" s="224">
        <f t="shared" si="198"/>
        <v>0</v>
      </c>
      <c r="J149" s="224">
        <f t="shared" si="3"/>
        <v>2.646195028</v>
      </c>
      <c r="K149" s="224">
        <f t="shared" si="4"/>
        <v>44.06120754</v>
      </c>
      <c r="L149" s="224">
        <f t="shared" si="5"/>
        <v>0</v>
      </c>
      <c r="M149" s="224">
        <f t="shared" si="6"/>
        <v>0</v>
      </c>
      <c r="N149" s="224">
        <f t="shared" ref="N149:Q149" si="199">N148+N132+N119+N77+N10+N12</f>
        <v>10413432</v>
      </c>
      <c r="O149" s="224">
        <f t="shared" si="199"/>
        <v>16803324</v>
      </c>
      <c r="P149" s="224">
        <f t="shared" si="199"/>
        <v>0</v>
      </c>
      <c r="Q149" s="224">
        <f t="shared" si="199"/>
        <v>0</v>
      </c>
      <c r="R149" s="224">
        <f t="shared" si="9"/>
        <v>61.97245259</v>
      </c>
      <c r="S149" s="224">
        <f t="shared" si="10"/>
        <v>0</v>
      </c>
      <c r="T149" s="224">
        <f t="shared" si="11"/>
        <v>0</v>
      </c>
      <c r="U149" s="225"/>
      <c r="V149" s="224">
        <f>IFERROR(__xludf.DUMMYFUNCTION("""COMPUTED_VALUE"""),8227344.0)</f>
        <v>8227344</v>
      </c>
      <c r="W149" s="224">
        <f>IFERROR(__xludf.DUMMYFUNCTION("""COMPUTED_VALUE"""),1.1841844E7)</f>
        <v>11841844</v>
      </c>
      <c r="X149" s="224">
        <f>IFERROR(__xludf.DUMMYFUNCTION("""COMPUTED_VALUE"""),0.0)</f>
        <v>0</v>
      </c>
      <c r="Y149" s="224">
        <f>IFERROR(__xludf.DUMMYFUNCTION("""COMPUTED_VALUE"""),0.0)</f>
        <v>0</v>
      </c>
      <c r="Z149" s="224">
        <f t="shared" si="12"/>
        <v>69.47688215</v>
      </c>
      <c r="AA149" s="224">
        <f t="shared" si="13"/>
        <v>0</v>
      </c>
      <c r="AB149" s="224">
        <f t="shared" si="14"/>
        <v>0</v>
      </c>
    </row>
    <row r="150" ht="14.25" customHeight="1">
      <c r="A150" s="175"/>
      <c r="B150" s="226"/>
      <c r="C150" s="177"/>
      <c r="D150" s="178" t="s">
        <v>884</v>
      </c>
      <c r="E150" s="227"/>
      <c r="F150" s="227"/>
      <c r="G150" s="227"/>
      <c r="H150" s="228"/>
      <c r="I150" s="228"/>
      <c r="J150" s="227">
        <f t="shared" si="3"/>
        <v>0</v>
      </c>
      <c r="K150" s="227">
        <f t="shared" si="4"/>
        <v>0</v>
      </c>
      <c r="L150" s="228">
        <f t="shared" si="5"/>
        <v>0</v>
      </c>
      <c r="M150" s="228">
        <f t="shared" si="6"/>
        <v>0</v>
      </c>
      <c r="N150" s="227"/>
      <c r="O150" s="227"/>
      <c r="P150" s="228"/>
      <c r="Q150" s="228"/>
      <c r="R150" s="227">
        <f t="shared" si="9"/>
        <v>0</v>
      </c>
      <c r="S150" s="227">
        <f t="shared" si="10"/>
        <v>0</v>
      </c>
      <c r="T150" s="228">
        <f t="shared" si="11"/>
        <v>0</v>
      </c>
      <c r="U150" s="229"/>
      <c r="V150" s="227"/>
      <c r="W150" s="227"/>
      <c r="X150" s="228"/>
      <c r="Y150" s="228"/>
      <c r="Z150" s="227">
        <f t="shared" si="12"/>
        <v>0</v>
      </c>
      <c r="AA150" s="227">
        <f t="shared" si="13"/>
        <v>0</v>
      </c>
      <c r="AB150" s="228">
        <f t="shared" si="14"/>
        <v>0</v>
      </c>
    </row>
    <row r="151" ht="14.25" customHeight="1">
      <c r="A151" s="175"/>
      <c r="B151" s="230" t="s">
        <v>526</v>
      </c>
      <c r="D151" s="209" t="s">
        <v>885</v>
      </c>
      <c r="E151" s="183">
        <f>SUMIFS('DB BTL'!$J:$J,'DB BTL'!$G:$G,$B151,'DB BTL'!$A:$A,$D$4,'DB BTL'!$B:$B,$E$3,'DB BTL'!$D:$D,AA$1)</f>
        <v>0</v>
      </c>
      <c r="F151" s="183">
        <f>SUMIFS('DB BTL'!$J:$J,'DB BTL'!$G:$G,$B151,'DB BTL'!$A:$A,$D$4,'DB BTL'!$B:$B,$E$3,'DB BTL'!$D:$D,AA$2)</f>
        <v>0</v>
      </c>
      <c r="G151" s="184">
        <f>IFERROR(HLOOKUP($E$3,'Tahun Lalu'!$B$5:$V$158,MATCH(B151,'Tahun Lalu'!$B$5:$B$158,0),0),0)</f>
        <v>0</v>
      </c>
      <c r="H151" s="184">
        <v>0.0</v>
      </c>
      <c r="I151" s="184">
        <v>0.0</v>
      </c>
      <c r="J151" s="183">
        <f t="shared" si="3"/>
        <v>0</v>
      </c>
      <c r="K151" s="183">
        <f t="shared" si="4"/>
        <v>0</v>
      </c>
      <c r="L151" s="183">
        <f t="shared" si="5"/>
        <v>0</v>
      </c>
      <c r="M151" s="183">
        <f t="shared" si="6"/>
        <v>0</v>
      </c>
      <c r="N151" s="183">
        <f t="shared" ref="N151:N164" si="201">E151+V151</f>
        <v>0</v>
      </c>
      <c r="O151" s="183">
        <f t="shared" ref="O151:Q151" si="200">G151+W151</f>
        <v>0</v>
      </c>
      <c r="P151" s="183">
        <f t="shared" si="200"/>
        <v>0</v>
      </c>
      <c r="Q151" s="183">
        <f t="shared" si="200"/>
        <v>0</v>
      </c>
      <c r="R151" s="183">
        <f t="shared" si="9"/>
        <v>0</v>
      </c>
      <c r="S151" s="183">
        <f t="shared" si="10"/>
        <v>0</v>
      </c>
      <c r="T151" s="183">
        <f t="shared" si="11"/>
        <v>0</v>
      </c>
      <c r="U151" s="186"/>
      <c r="V151" s="183">
        <f>IFERROR(__xludf.DUMMYFUNCTION("""COMPUTED_VALUE"""),0.0)</f>
        <v>0</v>
      </c>
      <c r="W151" s="183">
        <f>IFERROR(__xludf.DUMMYFUNCTION("""COMPUTED_VALUE"""),0.0)</f>
        <v>0</v>
      </c>
      <c r="X151" s="183">
        <f>IFERROR(__xludf.DUMMYFUNCTION("""COMPUTED_VALUE"""),0.0)</f>
        <v>0</v>
      </c>
      <c r="Y151" s="183">
        <f>IFERROR(__xludf.DUMMYFUNCTION("""COMPUTED_VALUE"""),0.0)</f>
        <v>0</v>
      </c>
      <c r="Z151" s="183">
        <f t="shared" si="12"/>
        <v>0</v>
      </c>
      <c r="AA151" s="183">
        <f t="shared" si="13"/>
        <v>0</v>
      </c>
      <c r="AB151" s="183">
        <f t="shared" si="14"/>
        <v>0</v>
      </c>
    </row>
    <row r="152" ht="14.25" customHeight="1">
      <c r="A152" s="231"/>
      <c r="B152" s="232" t="s">
        <v>503</v>
      </c>
      <c r="D152" s="209" t="s">
        <v>886</v>
      </c>
      <c r="E152" s="183">
        <f>SUMIFS('DB BTL'!$J:$J,'DB BTL'!$G:$G,$B152,'DB BTL'!$A:$A,$D$4,'DB BTL'!$B:$B,$E$3,'DB BTL'!$D:$D,AA$1)</f>
        <v>0</v>
      </c>
      <c r="F152" s="183">
        <f>SUMIFS('DB BTL'!$J:$J,'DB BTL'!$G:$G,$B152,'DB BTL'!$A:$A,$D$4,'DB BTL'!$B:$B,$E$3,'DB BTL'!$D:$D,AA$2)</f>
        <v>0</v>
      </c>
      <c r="G152" s="184">
        <f>IFERROR(HLOOKUP($E$3,'Tahun Lalu'!$B$5:$V$158,MATCH(B152,'Tahun Lalu'!$B$5:$B$158,0),0),0)</f>
        <v>0</v>
      </c>
      <c r="H152" s="184">
        <v>0.0</v>
      </c>
      <c r="I152" s="184">
        <v>0.0</v>
      </c>
      <c r="J152" s="183">
        <f t="shared" si="3"/>
        <v>0</v>
      </c>
      <c r="K152" s="183">
        <f t="shared" si="4"/>
        <v>0</v>
      </c>
      <c r="L152" s="183">
        <f t="shared" si="5"/>
        <v>0</v>
      </c>
      <c r="M152" s="183">
        <f t="shared" si="6"/>
        <v>0</v>
      </c>
      <c r="N152" s="183">
        <f t="shared" si="201"/>
        <v>58124638</v>
      </c>
      <c r="O152" s="183">
        <f t="shared" ref="O152:Q152" si="202">G152+W152</f>
        <v>0</v>
      </c>
      <c r="P152" s="183">
        <f t="shared" si="202"/>
        <v>0</v>
      </c>
      <c r="Q152" s="183">
        <f t="shared" si="202"/>
        <v>0</v>
      </c>
      <c r="R152" s="183">
        <f t="shared" si="9"/>
        <v>0</v>
      </c>
      <c r="S152" s="183">
        <f t="shared" si="10"/>
        <v>0</v>
      </c>
      <c r="T152" s="183">
        <f t="shared" si="11"/>
        <v>0</v>
      </c>
      <c r="U152" s="186"/>
      <c r="V152" s="183">
        <f>IFERROR(__xludf.DUMMYFUNCTION("""COMPUTED_VALUE"""),5.8124638E7)</f>
        <v>58124638</v>
      </c>
      <c r="W152" s="183">
        <f>IFERROR(__xludf.DUMMYFUNCTION("""COMPUTED_VALUE"""),0.0)</f>
        <v>0</v>
      </c>
      <c r="X152" s="183">
        <f>IFERROR(__xludf.DUMMYFUNCTION("""COMPUTED_VALUE"""),0.0)</f>
        <v>0</v>
      </c>
      <c r="Y152" s="183">
        <f>IFERROR(__xludf.DUMMYFUNCTION("""COMPUTED_VALUE"""),0.0)</f>
        <v>0</v>
      </c>
      <c r="Z152" s="183">
        <f t="shared" si="12"/>
        <v>0</v>
      </c>
      <c r="AA152" s="183">
        <f t="shared" si="13"/>
        <v>0</v>
      </c>
      <c r="AB152" s="183">
        <f t="shared" si="14"/>
        <v>0</v>
      </c>
    </row>
    <row r="153" ht="14.25" customHeight="1">
      <c r="A153" s="175"/>
      <c r="B153" s="230" t="s">
        <v>505</v>
      </c>
      <c r="D153" s="209" t="s">
        <v>887</v>
      </c>
      <c r="E153" s="183">
        <f>SUMIFS('DB BTL'!$J:$J,'DB BTL'!$G:$G,$B153,'DB BTL'!$A:$A,$D$4,'DB BTL'!$B:$B,$E$3,'DB BTL'!$D:$D,AA$1)</f>
        <v>0</v>
      </c>
      <c r="F153" s="183">
        <f>SUMIFS('DB BTL'!$J:$J,'DB BTL'!$G:$G,$B153,'DB BTL'!$A:$A,$D$4,'DB BTL'!$B:$B,$E$3,'DB BTL'!$D:$D,AA$2)</f>
        <v>0</v>
      </c>
      <c r="G153" s="184">
        <f>IFERROR(HLOOKUP($E$3,'Tahun Lalu'!$B$5:$V$158,MATCH(B153,'Tahun Lalu'!$B$5:$B$158,0),0),0)</f>
        <v>0</v>
      </c>
      <c r="H153" s="184">
        <v>0.0</v>
      </c>
      <c r="I153" s="184">
        <v>0.0</v>
      </c>
      <c r="J153" s="183">
        <f t="shared" si="3"/>
        <v>0</v>
      </c>
      <c r="K153" s="183">
        <f t="shared" si="4"/>
        <v>0</v>
      </c>
      <c r="L153" s="183">
        <f t="shared" si="5"/>
        <v>0</v>
      </c>
      <c r="M153" s="183">
        <f t="shared" si="6"/>
        <v>0</v>
      </c>
      <c r="N153" s="183">
        <f t="shared" si="201"/>
        <v>4942403</v>
      </c>
      <c r="O153" s="183">
        <f t="shared" ref="O153:Q153" si="203">G153+W153</f>
        <v>0</v>
      </c>
      <c r="P153" s="183">
        <f t="shared" si="203"/>
        <v>0</v>
      </c>
      <c r="Q153" s="183">
        <f t="shared" si="203"/>
        <v>0</v>
      </c>
      <c r="R153" s="183">
        <f t="shared" si="9"/>
        <v>0</v>
      </c>
      <c r="S153" s="183">
        <f t="shared" si="10"/>
        <v>0</v>
      </c>
      <c r="T153" s="183">
        <f t="shared" si="11"/>
        <v>0</v>
      </c>
      <c r="U153" s="186"/>
      <c r="V153" s="183">
        <f>IFERROR(__xludf.DUMMYFUNCTION("""COMPUTED_VALUE"""),4942403.0)</f>
        <v>4942403</v>
      </c>
      <c r="W153" s="183">
        <f>IFERROR(__xludf.DUMMYFUNCTION("""COMPUTED_VALUE"""),0.0)</f>
        <v>0</v>
      </c>
      <c r="X153" s="183">
        <f>IFERROR(__xludf.DUMMYFUNCTION("""COMPUTED_VALUE"""),0.0)</f>
        <v>0</v>
      </c>
      <c r="Y153" s="183">
        <f>IFERROR(__xludf.DUMMYFUNCTION("""COMPUTED_VALUE"""),0.0)</f>
        <v>0</v>
      </c>
      <c r="Z153" s="183">
        <f t="shared" si="12"/>
        <v>0</v>
      </c>
      <c r="AA153" s="183">
        <f t="shared" si="13"/>
        <v>0</v>
      </c>
      <c r="AB153" s="183">
        <f t="shared" si="14"/>
        <v>0</v>
      </c>
    </row>
    <row r="154" ht="14.25" customHeight="1">
      <c r="A154" s="175"/>
      <c r="B154" s="230" t="s">
        <v>507</v>
      </c>
      <c r="D154" s="209" t="s">
        <v>888</v>
      </c>
      <c r="E154" s="183">
        <f>SUMIFS('DB BTL'!$J:$J,'DB BTL'!$G:$G,$B154,'DB BTL'!$A:$A,$D$4,'DB BTL'!$B:$B,$E$3,'DB BTL'!$D:$D,AA$1)</f>
        <v>0</v>
      </c>
      <c r="F154" s="183">
        <f>SUMIFS('DB BTL'!$J:$J,'DB BTL'!$G:$G,$B154,'DB BTL'!$A:$A,$D$4,'DB BTL'!$B:$B,$E$3,'DB BTL'!$D:$D,AA$2)</f>
        <v>0</v>
      </c>
      <c r="G154" s="184">
        <f>IFERROR(HLOOKUP($E$3,'Tahun Lalu'!$B$5:$V$158,MATCH(B154,'Tahun Lalu'!$B$5:$B$158,0),0),0)</f>
        <v>0</v>
      </c>
      <c r="H154" s="184">
        <v>0.0</v>
      </c>
      <c r="I154" s="184">
        <v>0.0</v>
      </c>
      <c r="J154" s="183">
        <f t="shared" si="3"/>
        <v>0</v>
      </c>
      <c r="K154" s="183">
        <f t="shared" si="4"/>
        <v>0</v>
      </c>
      <c r="L154" s="183">
        <f t="shared" si="5"/>
        <v>0</v>
      </c>
      <c r="M154" s="183">
        <f t="shared" si="6"/>
        <v>0</v>
      </c>
      <c r="N154" s="183">
        <f t="shared" si="201"/>
        <v>779230</v>
      </c>
      <c r="O154" s="183">
        <f t="shared" ref="O154:Q154" si="204">G154+W154</f>
        <v>0</v>
      </c>
      <c r="P154" s="183">
        <f t="shared" si="204"/>
        <v>0</v>
      </c>
      <c r="Q154" s="183">
        <f t="shared" si="204"/>
        <v>0</v>
      </c>
      <c r="R154" s="183">
        <f t="shared" si="9"/>
        <v>0</v>
      </c>
      <c r="S154" s="183">
        <f t="shared" si="10"/>
        <v>0</v>
      </c>
      <c r="T154" s="183">
        <f t="shared" si="11"/>
        <v>0</v>
      </c>
      <c r="U154" s="186"/>
      <c r="V154" s="183">
        <f>IFERROR(__xludf.DUMMYFUNCTION("""COMPUTED_VALUE"""),779230.0)</f>
        <v>779230</v>
      </c>
      <c r="W154" s="183">
        <f>IFERROR(__xludf.DUMMYFUNCTION("""COMPUTED_VALUE"""),0.0)</f>
        <v>0</v>
      </c>
      <c r="X154" s="183">
        <f>IFERROR(__xludf.DUMMYFUNCTION("""COMPUTED_VALUE"""),0.0)</f>
        <v>0</v>
      </c>
      <c r="Y154" s="183">
        <f>IFERROR(__xludf.DUMMYFUNCTION("""COMPUTED_VALUE"""),0.0)</f>
        <v>0</v>
      </c>
      <c r="Z154" s="183">
        <f t="shared" si="12"/>
        <v>0</v>
      </c>
      <c r="AA154" s="183">
        <f t="shared" si="13"/>
        <v>0</v>
      </c>
      <c r="AB154" s="183">
        <f t="shared" si="14"/>
        <v>0</v>
      </c>
    </row>
    <row r="155" ht="14.25" customHeight="1">
      <c r="A155" s="175"/>
      <c r="B155" s="230" t="s">
        <v>561</v>
      </c>
      <c r="D155" s="209" t="s">
        <v>889</v>
      </c>
      <c r="E155" s="183">
        <f>SUMIFS('DB BTL'!$J:$J,'DB BTL'!$G:$G,$B155,'DB BTL'!$A:$A,$D$4,'DB BTL'!$B:$B,$E$3,'DB BTL'!$D:$D,AA$1)</f>
        <v>0</v>
      </c>
      <c r="F155" s="183">
        <f>SUMIFS('DB BTL'!$J:$J,'DB BTL'!$G:$G,$B155,'DB BTL'!$A:$A,$D$4,'DB BTL'!$B:$B,$E$3,'DB BTL'!$D:$D,AA$2)</f>
        <v>0</v>
      </c>
      <c r="G155" s="184">
        <f>IFERROR(HLOOKUP($E$3,'Tahun Lalu'!$B$5:$V$158,MATCH(B155,'Tahun Lalu'!$B$5:$B$158,0),0),0)</f>
        <v>0</v>
      </c>
      <c r="H155" s="184">
        <v>0.0</v>
      </c>
      <c r="I155" s="184">
        <v>0.0</v>
      </c>
      <c r="J155" s="183">
        <f t="shared" si="3"/>
        <v>0</v>
      </c>
      <c r="K155" s="183">
        <f t="shared" si="4"/>
        <v>0</v>
      </c>
      <c r="L155" s="183">
        <f t="shared" si="5"/>
        <v>0</v>
      </c>
      <c r="M155" s="183">
        <f t="shared" si="6"/>
        <v>0</v>
      </c>
      <c r="N155" s="183">
        <f t="shared" si="201"/>
        <v>0</v>
      </c>
      <c r="O155" s="183">
        <f t="shared" ref="O155:Q155" si="205">G155+W155</f>
        <v>0</v>
      </c>
      <c r="P155" s="183">
        <f t="shared" si="205"/>
        <v>0</v>
      </c>
      <c r="Q155" s="183">
        <f t="shared" si="205"/>
        <v>0</v>
      </c>
      <c r="R155" s="183">
        <f t="shared" si="9"/>
        <v>0</v>
      </c>
      <c r="S155" s="183">
        <f t="shared" si="10"/>
        <v>0</v>
      </c>
      <c r="T155" s="183">
        <f t="shared" si="11"/>
        <v>0</v>
      </c>
      <c r="U155" s="186"/>
      <c r="V155" s="183">
        <f>IFERROR(__xludf.DUMMYFUNCTION("""COMPUTED_VALUE"""),0.0)</f>
        <v>0</v>
      </c>
      <c r="W155" s="183">
        <f>IFERROR(__xludf.DUMMYFUNCTION("""COMPUTED_VALUE"""),0.0)</f>
        <v>0</v>
      </c>
      <c r="X155" s="183">
        <f>IFERROR(__xludf.DUMMYFUNCTION("""COMPUTED_VALUE"""),0.0)</f>
        <v>0</v>
      </c>
      <c r="Y155" s="183">
        <f>IFERROR(__xludf.DUMMYFUNCTION("""COMPUTED_VALUE"""),0.0)</f>
        <v>0</v>
      </c>
      <c r="Z155" s="183">
        <f t="shared" si="12"/>
        <v>0</v>
      </c>
      <c r="AA155" s="183">
        <f t="shared" si="13"/>
        <v>0</v>
      </c>
      <c r="AB155" s="183">
        <f t="shared" si="14"/>
        <v>0</v>
      </c>
    </row>
    <row r="156" ht="14.25" customHeight="1">
      <c r="A156" s="175"/>
      <c r="B156" s="230" t="s">
        <v>509</v>
      </c>
      <c r="D156" s="209" t="s">
        <v>890</v>
      </c>
      <c r="E156" s="183">
        <f>SUMIFS('DB BTL'!$J:$J,'DB BTL'!$G:$G,$B156,'DB BTL'!$A:$A,$D$4,'DB BTL'!$B:$B,$E$3,'DB BTL'!$D:$D,AA$1)</f>
        <v>0</v>
      </c>
      <c r="F156" s="183">
        <f>SUMIFS('DB BTL'!$J:$J,'DB BTL'!$G:$G,$B156,'DB BTL'!$A:$A,$D$4,'DB BTL'!$B:$B,$E$3,'DB BTL'!$D:$D,AA$2)</f>
        <v>0</v>
      </c>
      <c r="G156" s="184">
        <f>IFERROR(HLOOKUP($E$3,'Tahun Lalu'!$B$5:$V$158,MATCH(B156,'Tahun Lalu'!$B$5:$B$158,0),0),0)</f>
        <v>0</v>
      </c>
      <c r="H156" s="184">
        <v>0.0</v>
      </c>
      <c r="I156" s="184">
        <v>0.0</v>
      </c>
      <c r="J156" s="183">
        <f t="shared" si="3"/>
        <v>0</v>
      </c>
      <c r="K156" s="183">
        <f t="shared" si="4"/>
        <v>0</v>
      </c>
      <c r="L156" s="183">
        <f t="shared" si="5"/>
        <v>0</v>
      </c>
      <c r="M156" s="183">
        <f t="shared" si="6"/>
        <v>0</v>
      </c>
      <c r="N156" s="183">
        <f t="shared" si="201"/>
        <v>21979</v>
      </c>
      <c r="O156" s="183">
        <f t="shared" ref="O156:Q156" si="206">G156+W156</f>
        <v>0</v>
      </c>
      <c r="P156" s="183">
        <f t="shared" si="206"/>
        <v>0</v>
      </c>
      <c r="Q156" s="183">
        <f t="shared" si="206"/>
        <v>0</v>
      </c>
      <c r="R156" s="183">
        <f t="shared" si="9"/>
        <v>0</v>
      </c>
      <c r="S156" s="183">
        <f t="shared" si="10"/>
        <v>0</v>
      </c>
      <c r="T156" s="183">
        <f t="shared" si="11"/>
        <v>0</v>
      </c>
      <c r="U156" s="186"/>
      <c r="V156" s="183">
        <f>IFERROR(__xludf.DUMMYFUNCTION("""COMPUTED_VALUE"""),21979.0)</f>
        <v>21979</v>
      </c>
      <c r="W156" s="183">
        <f>IFERROR(__xludf.DUMMYFUNCTION("""COMPUTED_VALUE"""),0.0)</f>
        <v>0</v>
      </c>
      <c r="X156" s="183">
        <f>IFERROR(__xludf.DUMMYFUNCTION("""COMPUTED_VALUE"""),0.0)</f>
        <v>0</v>
      </c>
      <c r="Y156" s="183">
        <f>IFERROR(__xludf.DUMMYFUNCTION("""COMPUTED_VALUE"""),0.0)</f>
        <v>0</v>
      </c>
      <c r="Z156" s="183">
        <f t="shared" si="12"/>
        <v>0</v>
      </c>
      <c r="AA156" s="183">
        <f t="shared" si="13"/>
        <v>0</v>
      </c>
      <c r="AB156" s="183">
        <f t="shared" si="14"/>
        <v>0</v>
      </c>
    </row>
    <row r="157" ht="14.25" customHeight="1">
      <c r="A157" s="175"/>
      <c r="B157" s="230" t="s">
        <v>567</v>
      </c>
      <c r="D157" s="209" t="s">
        <v>891</v>
      </c>
      <c r="E157" s="183">
        <f>SUMIFS('DB BTL'!$J:$J,'DB BTL'!$G:$G,$B157,'DB BTL'!$A:$A,$D$4,'DB BTL'!$B:$B,$E$3,'DB BTL'!$D:$D,AA$1)</f>
        <v>0</v>
      </c>
      <c r="F157" s="183">
        <f>SUMIFS('DB BTL'!$J:$J,'DB BTL'!$G:$G,$B157,'DB BTL'!$A:$A,$D$4,'DB BTL'!$B:$B,$E$3,'DB BTL'!$D:$D,AA$2)</f>
        <v>0</v>
      </c>
      <c r="G157" s="184">
        <f>IFERROR(HLOOKUP($E$3,'Tahun Lalu'!$B$5:$V$158,MATCH(B157,'Tahun Lalu'!$B$5:$B$158,0),0),0)</f>
        <v>0</v>
      </c>
      <c r="H157" s="184">
        <v>0.0</v>
      </c>
      <c r="I157" s="184">
        <v>0.0</v>
      </c>
      <c r="J157" s="183">
        <f t="shared" si="3"/>
        <v>0</v>
      </c>
      <c r="K157" s="183">
        <f t="shared" si="4"/>
        <v>0</v>
      </c>
      <c r="L157" s="183">
        <f t="shared" si="5"/>
        <v>0</v>
      </c>
      <c r="M157" s="183">
        <f t="shared" si="6"/>
        <v>0</v>
      </c>
      <c r="N157" s="183">
        <f t="shared" si="201"/>
        <v>0</v>
      </c>
      <c r="O157" s="183">
        <f t="shared" ref="O157:Q157" si="207">G157+W157</f>
        <v>0</v>
      </c>
      <c r="P157" s="183">
        <f t="shared" si="207"/>
        <v>0</v>
      </c>
      <c r="Q157" s="183">
        <f t="shared" si="207"/>
        <v>0</v>
      </c>
      <c r="R157" s="183">
        <f t="shared" si="9"/>
        <v>0</v>
      </c>
      <c r="S157" s="183">
        <f t="shared" si="10"/>
        <v>0</v>
      </c>
      <c r="T157" s="183">
        <f t="shared" si="11"/>
        <v>0</v>
      </c>
      <c r="U157" s="186"/>
      <c r="V157" s="183">
        <f>IFERROR(__xludf.DUMMYFUNCTION("""COMPUTED_VALUE"""),0.0)</f>
        <v>0</v>
      </c>
      <c r="W157" s="183">
        <f>IFERROR(__xludf.DUMMYFUNCTION("""COMPUTED_VALUE"""),0.0)</f>
        <v>0</v>
      </c>
      <c r="X157" s="183">
        <f>IFERROR(__xludf.DUMMYFUNCTION("""COMPUTED_VALUE"""),0.0)</f>
        <v>0</v>
      </c>
      <c r="Y157" s="183">
        <f>IFERROR(__xludf.DUMMYFUNCTION("""COMPUTED_VALUE"""),0.0)</f>
        <v>0</v>
      </c>
      <c r="Z157" s="183">
        <f t="shared" si="12"/>
        <v>0</v>
      </c>
      <c r="AA157" s="183">
        <f t="shared" si="13"/>
        <v>0</v>
      </c>
      <c r="AB157" s="183">
        <f t="shared" si="14"/>
        <v>0</v>
      </c>
    </row>
    <row r="158" ht="14.25" customHeight="1">
      <c r="A158" s="175"/>
      <c r="B158" s="230" t="s">
        <v>511</v>
      </c>
      <c r="D158" s="209" t="s">
        <v>892</v>
      </c>
      <c r="E158" s="183">
        <f>SUMIFS('DB BTL'!$J:$J,'DB BTL'!$G:$G,$B158,'DB BTL'!$A:$A,$D$4,'DB BTL'!$B:$B,$E$3,'DB BTL'!$D:$D,AA$1)</f>
        <v>0</v>
      </c>
      <c r="F158" s="183">
        <f>SUMIFS('DB BTL'!$J:$J,'DB BTL'!$G:$G,$B158,'DB BTL'!$A:$A,$D$4,'DB BTL'!$B:$B,$E$3,'DB BTL'!$D:$D,AA$2)</f>
        <v>0</v>
      </c>
      <c r="G158" s="184">
        <f>IFERROR(HLOOKUP($E$3,'Tahun Lalu'!$B$5:$V$158,MATCH(B158,'Tahun Lalu'!$B$5:$B$158,0),0),0)</f>
        <v>0</v>
      </c>
      <c r="H158" s="184">
        <v>0.0</v>
      </c>
      <c r="I158" s="184">
        <v>0.0</v>
      </c>
      <c r="J158" s="183">
        <f t="shared" si="3"/>
        <v>0</v>
      </c>
      <c r="K158" s="183">
        <f t="shared" si="4"/>
        <v>0</v>
      </c>
      <c r="L158" s="183">
        <f t="shared" si="5"/>
        <v>0</v>
      </c>
      <c r="M158" s="183">
        <f t="shared" si="6"/>
        <v>0</v>
      </c>
      <c r="N158" s="183">
        <f t="shared" si="201"/>
        <v>11336438</v>
      </c>
      <c r="O158" s="183">
        <f t="shared" ref="O158:Q158" si="208">G158+W158</f>
        <v>0</v>
      </c>
      <c r="P158" s="183">
        <f t="shared" si="208"/>
        <v>0</v>
      </c>
      <c r="Q158" s="183">
        <f t="shared" si="208"/>
        <v>0</v>
      </c>
      <c r="R158" s="183">
        <f t="shared" si="9"/>
        <v>0</v>
      </c>
      <c r="S158" s="183">
        <f t="shared" si="10"/>
        <v>0</v>
      </c>
      <c r="T158" s="183">
        <f t="shared" si="11"/>
        <v>0</v>
      </c>
      <c r="U158" s="186"/>
      <c r="V158" s="183">
        <f>IFERROR(__xludf.DUMMYFUNCTION("""COMPUTED_VALUE"""),1.1336438E7)</f>
        <v>11336438</v>
      </c>
      <c r="W158" s="183">
        <f>IFERROR(__xludf.DUMMYFUNCTION("""COMPUTED_VALUE"""),0.0)</f>
        <v>0</v>
      </c>
      <c r="X158" s="183">
        <f>IFERROR(__xludf.DUMMYFUNCTION("""COMPUTED_VALUE"""),0.0)</f>
        <v>0</v>
      </c>
      <c r="Y158" s="183">
        <f>IFERROR(__xludf.DUMMYFUNCTION("""COMPUTED_VALUE"""),0.0)</f>
        <v>0</v>
      </c>
      <c r="Z158" s="183">
        <f t="shared" si="12"/>
        <v>0</v>
      </c>
      <c r="AA158" s="183">
        <f t="shared" si="13"/>
        <v>0</v>
      </c>
      <c r="AB158" s="183">
        <f t="shared" si="14"/>
        <v>0</v>
      </c>
    </row>
    <row r="159" ht="14.25" customHeight="1">
      <c r="A159" s="175"/>
      <c r="B159" s="230" t="s">
        <v>513</v>
      </c>
      <c r="D159" s="209" t="s">
        <v>893</v>
      </c>
      <c r="E159" s="183">
        <f>SUMIFS('DB BTL'!$J:$J,'DB BTL'!$G:$G,$B159,'DB BTL'!$A:$A,$D$4,'DB BTL'!$B:$B,$E$3,'DB BTL'!$D:$D,AA$1)</f>
        <v>0</v>
      </c>
      <c r="F159" s="183">
        <f>SUMIFS('DB BTL'!$J:$J,'DB BTL'!$G:$G,$B159,'DB BTL'!$A:$A,$D$4,'DB BTL'!$B:$B,$E$3,'DB BTL'!$D:$D,AA$2)</f>
        <v>0</v>
      </c>
      <c r="G159" s="184">
        <f>IFERROR(HLOOKUP($E$3,'Tahun Lalu'!$B$5:$V$158,MATCH(B159,'Tahun Lalu'!$B$5:$B$158,0),0),0)</f>
        <v>0</v>
      </c>
      <c r="H159" s="184">
        <v>0.0</v>
      </c>
      <c r="I159" s="184">
        <v>0.0</v>
      </c>
      <c r="J159" s="183">
        <f t="shared" si="3"/>
        <v>0</v>
      </c>
      <c r="K159" s="183">
        <f t="shared" si="4"/>
        <v>0</v>
      </c>
      <c r="L159" s="183">
        <f t="shared" si="5"/>
        <v>0</v>
      </c>
      <c r="M159" s="183">
        <f t="shared" si="6"/>
        <v>0</v>
      </c>
      <c r="N159" s="183">
        <f t="shared" si="201"/>
        <v>9901228</v>
      </c>
      <c r="O159" s="183">
        <f t="shared" ref="O159:Q159" si="209">G159+W159</f>
        <v>0</v>
      </c>
      <c r="P159" s="183">
        <f t="shared" si="209"/>
        <v>0</v>
      </c>
      <c r="Q159" s="183">
        <f t="shared" si="209"/>
        <v>0</v>
      </c>
      <c r="R159" s="183">
        <f t="shared" si="9"/>
        <v>0</v>
      </c>
      <c r="S159" s="183">
        <f t="shared" si="10"/>
        <v>0</v>
      </c>
      <c r="T159" s="183">
        <f t="shared" si="11"/>
        <v>0</v>
      </c>
      <c r="U159" s="186"/>
      <c r="V159" s="183">
        <f>IFERROR(__xludf.DUMMYFUNCTION("""COMPUTED_VALUE"""),9901228.0)</f>
        <v>9901228</v>
      </c>
      <c r="W159" s="183">
        <f>IFERROR(__xludf.DUMMYFUNCTION("""COMPUTED_VALUE"""),0.0)</f>
        <v>0</v>
      </c>
      <c r="X159" s="183">
        <f>IFERROR(__xludf.DUMMYFUNCTION("""COMPUTED_VALUE"""),0.0)</f>
        <v>0</v>
      </c>
      <c r="Y159" s="183">
        <f>IFERROR(__xludf.DUMMYFUNCTION("""COMPUTED_VALUE"""),0.0)</f>
        <v>0</v>
      </c>
      <c r="Z159" s="183">
        <f t="shared" si="12"/>
        <v>0</v>
      </c>
      <c r="AA159" s="183">
        <f t="shared" si="13"/>
        <v>0</v>
      </c>
      <c r="AB159" s="183">
        <f t="shared" si="14"/>
        <v>0</v>
      </c>
    </row>
    <row r="160" ht="14.25" customHeight="1">
      <c r="A160" s="175"/>
      <c r="B160" s="230" t="s">
        <v>528</v>
      </c>
      <c r="D160" s="209" t="s">
        <v>894</v>
      </c>
      <c r="E160" s="183">
        <f>SUMIFS('DB BTL'!$J:$J,'DB BTL'!$G:$G,$B160,'DB BTL'!$A:$A,$D$4,'DB BTL'!$B:$B,$E$3,'DB BTL'!$D:$D,AA$1)</f>
        <v>0</v>
      </c>
      <c r="F160" s="183">
        <f>SUMIFS('DB BTL'!$J:$J,'DB BTL'!$G:$G,$B160,'DB BTL'!$A:$A,$D$4,'DB BTL'!$B:$B,$E$3,'DB BTL'!$D:$D,AA$2)</f>
        <v>0</v>
      </c>
      <c r="G160" s="184">
        <f>IFERROR(HLOOKUP($E$3,'Tahun Lalu'!$B$5:$V$158,MATCH(B160,'Tahun Lalu'!$B$5:$B$158,0),0),0)</f>
        <v>0</v>
      </c>
      <c r="H160" s="184">
        <v>0.0</v>
      </c>
      <c r="I160" s="184">
        <v>0.0</v>
      </c>
      <c r="J160" s="183">
        <f t="shared" si="3"/>
        <v>0</v>
      </c>
      <c r="K160" s="183">
        <f t="shared" si="4"/>
        <v>0</v>
      </c>
      <c r="L160" s="183">
        <f t="shared" si="5"/>
        <v>0</v>
      </c>
      <c r="M160" s="183">
        <f t="shared" si="6"/>
        <v>0</v>
      </c>
      <c r="N160" s="183">
        <f t="shared" si="201"/>
        <v>0</v>
      </c>
      <c r="O160" s="183">
        <f t="shared" ref="O160:Q160" si="210">G160+W160</f>
        <v>0</v>
      </c>
      <c r="P160" s="183">
        <f t="shared" si="210"/>
        <v>0</v>
      </c>
      <c r="Q160" s="183">
        <f t="shared" si="210"/>
        <v>0</v>
      </c>
      <c r="R160" s="183">
        <f t="shared" si="9"/>
        <v>0</v>
      </c>
      <c r="S160" s="183">
        <f t="shared" si="10"/>
        <v>0</v>
      </c>
      <c r="T160" s="183">
        <f t="shared" si="11"/>
        <v>0</v>
      </c>
      <c r="U160" s="186"/>
      <c r="V160" s="183">
        <f>IFERROR(__xludf.DUMMYFUNCTION("""COMPUTED_VALUE"""),0.0)</f>
        <v>0</v>
      </c>
      <c r="W160" s="183">
        <f>IFERROR(__xludf.DUMMYFUNCTION("""COMPUTED_VALUE"""),0.0)</f>
        <v>0</v>
      </c>
      <c r="X160" s="183">
        <f>IFERROR(__xludf.DUMMYFUNCTION("""COMPUTED_VALUE"""),0.0)</f>
        <v>0</v>
      </c>
      <c r="Y160" s="183">
        <f>IFERROR(__xludf.DUMMYFUNCTION("""COMPUTED_VALUE"""),0.0)</f>
        <v>0</v>
      </c>
      <c r="Z160" s="183">
        <f t="shared" si="12"/>
        <v>0</v>
      </c>
      <c r="AA160" s="183">
        <f t="shared" si="13"/>
        <v>0</v>
      </c>
      <c r="AB160" s="183">
        <f t="shared" si="14"/>
        <v>0</v>
      </c>
    </row>
    <row r="161" ht="14.25" customHeight="1">
      <c r="A161" s="175"/>
      <c r="B161" s="230" t="s">
        <v>539</v>
      </c>
      <c r="D161" s="209" t="s">
        <v>895</v>
      </c>
      <c r="E161" s="183">
        <f>SUMIFS('DB BTL'!$J:$J,'DB BTL'!$G:$G,$B161,'DB BTL'!$A:$A,$D$4,'DB BTL'!$B:$B,$E$3,'DB BTL'!$D:$D,AA$1)</f>
        <v>0</v>
      </c>
      <c r="F161" s="183">
        <f>SUMIFS('DB BTL'!$J:$J,'DB BTL'!$G:$G,$B161,'DB BTL'!$A:$A,$D$4,'DB BTL'!$B:$B,$E$3,'DB BTL'!$D:$D,AA$2)</f>
        <v>0</v>
      </c>
      <c r="G161" s="184">
        <f>IFERROR(HLOOKUP($E$3,'Tahun Lalu'!$B$5:$V$158,MATCH(B161,'Tahun Lalu'!$B$5:$B$158,0),0),0)</f>
        <v>0</v>
      </c>
      <c r="H161" s="184">
        <v>0.0</v>
      </c>
      <c r="I161" s="184">
        <v>0.0</v>
      </c>
      <c r="J161" s="183">
        <f t="shared" si="3"/>
        <v>0</v>
      </c>
      <c r="K161" s="183">
        <f t="shared" si="4"/>
        <v>0</v>
      </c>
      <c r="L161" s="183">
        <f t="shared" si="5"/>
        <v>0</v>
      </c>
      <c r="M161" s="183">
        <f t="shared" si="6"/>
        <v>0</v>
      </c>
      <c r="N161" s="183">
        <f t="shared" si="201"/>
        <v>0</v>
      </c>
      <c r="O161" s="183">
        <f t="shared" ref="O161:Q161" si="211">G161+W161</f>
        <v>0</v>
      </c>
      <c r="P161" s="183">
        <f t="shared" si="211"/>
        <v>0</v>
      </c>
      <c r="Q161" s="183">
        <f t="shared" si="211"/>
        <v>0</v>
      </c>
      <c r="R161" s="183">
        <f t="shared" si="9"/>
        <v>0</v>
      </c>
      <c r="S161" s="183">
        <f t="shared" si="10"/>
        <v>0</v>
      </c>
      <c r="T161" s="183">
        <f t="shared" si="11"/>
        <v>0</v>
      </c>
      <c r="U161" s="186"/>
      <c r="V161" s="183">
        <f>IFERROR(__xludf.DUMMYFUNCTION("""COMPUTED_VALUE"""),0.0)</f>
        <v>0</v>
      </c>
      <c r="W161" s="183">
        <f>IFERROR(__xludf.DUMMYFUNCTION("""COMPUTED_VALUE"""),0.0)</f>
        <v>0</v>
      </c>
      <c r="X161" s="183">
        <f>IFERROR(__xludf.DUMMYFUNCTION("""COMPUTED_VALUE"""),0.0)</f>
        <v>0</v>
      </c>
      <c r="Y161" s="183">
        <f>IFERROR(__xludf.DUMMYFUNCTION("""COMPUTED_VALUE"""),0.0)</f>
        <v>0</v>
      </c>
      <c r="Z161" s="183">
        <f t="shared" si="12"/>
        <v>0</v>
      </c>
      <c r="AA161" s="183">
        <f t="shared" si="13"/>
        <v>0</v>
      </c>
      <c r="AB161" s="183">
        <f t="shared" si="14"/>
        <v>0</v>
      </c>
    </row>
    <row r="162" ht="14.25" customHeight="1">
      <c r="A162" s="175"/>
      <c r="B162" s="230" t="s">
        <v>896</v>
      </c>
      <c r="D162" s="209" t="s">
        <v>897</v>
      </c>
      <c r="E162" s="183">
        <f>SUMIFS('DB BTL'!$J:$J,'DB BTL'!$G:$G,$B162,'DB BTL'!$A:$A,$D$4,'DB BTL'!$B:$B,$E$3,'DB BTL'!$D:$D,AA$1)</f>
        <v>0</v>
      </c>
      <c r="F162" s="183">
        <f>SUMIFS('DB BTL'!$J:$J,'DB BTL'!$G:$G,$B162,'DB BTL'!$A:$A,$D$4,'DB BTL'!$B:$B,$E$3,'DB BTL'!$D:$D,AA$2)</f>
        <v>0</v>
      </c>
      <c r="G162" s="184">
        <f>IFERROR(HLOOKUP($E$3,'Tahun Lalu'!$B$5:$V$158,MATCH(B162,'Tahun Lalu'!$B$5:$B$158,0),0),0)</f>
        <v>0</v>
      </c>
      <c r="H162" s="184">
        <v>0.0</v>
      </c>
      <c r="I162" s="184">
        <v>0.0</v>
      </c>
      <c r="J162" s="183">
        <f t="shared" si="3"/>
        <v>0</v>
      </c>
      <c r="K162" s="183">
        <f t="shared" si="4"/>
        <v>0</v>
      </c>
      <c r="L162" s="183">
        <f t="shared" si="5"/>
        <v>0</v>
      </c>
      <c r="M162" s="183">
        <f t="shared" si="6"/>
        <v>0</v>
      </c>
      <c r="N162" s="183">
        <f t="shared" si="201"/>
        <v>0</v>
      </c>
      <c r="O162" s="183">
        <f t="shared" ref="O162:Q162" si="212">G162+W162</f>
        <v>0</v>
      </c>
      <c r="P162" s="183">
        <f t="shared" si="212"/>
        <v>0</v>
      </c>
      <c r="Q162" s="183">
        <f t="shared" si="212"/>
        <v>0</v>
      </c>
      <c r="R162" s="183">
        <f t="shared" si="9"/>
        <v>0</v>
      </c>
      <c r="S162" s="183">
        <f t="shared" si="10"/>
        <v>0</v>
      </c>
      <c r="T162" s="183">
        <f t="shared" si="11"/>
        <v>0</v>
      </c>
      <c r="U162" s="186"/>
      <c r="V162" s="183">
        <f>IFERROR(__xludf.DUMMYFUNCTION("""COMPUTED_VALUE"""),0.0)</f>
        <v>0</v>
      </c>
      <c r="W162" s="183">
        <f>IFERROR(__xludf.DUMMYFUNCTION("""COMPUTED_VALUE"""),0.0)</f>
        <v>0</v>
      </c>
      <c r="X162" s="183">
        <f>IFERROR(__xludf.DUMMYFUNCTION("""COMPUTED_VALUE"""),0.0)</f>
        <v>0</v>
      </c>
      <c r="Y162" s="183">
        <f>IFERROR(__xludf.DUMMYFUNCTION("""COMPUTED_VALUE"""),0.0)</f>
        <v>0</v>
      </c>
      <c r="Z162" s="183">
        <f t="shared" si="12"/>
        <v>0</v>
      </c>
      <c r="AA162" s="183">
        <f t="shared" si="13"/>
        <v>0</v>
      </c>
      <c r="AB162" s="183">
        <f t="shared" si="14"/>
        <v>0</v>
      </c>
    </row>
    <row r="163" ht="14.25" customHeight="1">
      <c r="A163" s="175"/>
      <c r="B163" s="230" t="s">
        <v>898</v>
      </c>
      <c r="D163" s="209" t="s">
        <v>899</v>
      </c>
      <c r="E163" s="183">
        <f>SUMIFS('DB BTL'!$J:$J,'DB BTL'!$G:$G,$B163,'DB BTL'!$A:$A,$D$4,'DB BTL'!$B:$B,$E$3,'DB BTL'!$D:$D,AA$1)</f>
        <v>0</v>
      </c>
      <c r="F163" s="183">
        <f>SUMIFS('DB BTL'!$J:$J,'DB BTL'!$G:$G,$B163,'DB BTL'!$A:$A,$D$4,'DB BTL'!$B:$B,$E$3,'DB BTL'!$D:$D,AA$2)</f>
        <v>0</v>
      </c>
      <c r="G163" s="184">
        <f>IFERROR(HLOOKUP($E$3,'Tahun Lalu'!$B$5:$V$158,MATCH(B163,'Tahun Lalu'!$B$5:$B$158,0),0),0)</f>
        <v>0</v>
      </c>
      <c r="H163" s="184">
        <v>0.0</v>
      </c>
      <c r="I163" s="184">
        <v>0.0</v>
      </c>
      <c r="J163" s="183">
        <f t="shared" si="3"/>
        <v>0</v>
      </c>
      <c r="K163" s="183">
        <f t="shared" si="4"/>
        <v>0</v>
      </c>
      <c r="L163" s="183">
        <f t="shared" si="5"/>
        <v>0</v>
      </c>
      <c r="M163" s="183">
        <f t="shared" si="6"/>
        <v>0</v>
      </c>
      <c r="N163" s="183">
        <f t="shared" si="201"/>
        <v>0</v>
      </c>
      <c r="O163" s="183">
        <f t="shared" ref="O163:Q163" si="213">G163+W163</f>
        <v>0</v>
      </c>
      <c r="P163" s="183">
        <f t="shared" si="213"/>
        <v>0</v>
      </c>
      <c r="Q163" s="183">
        <f t="shared" si="213"/>
        <v>0</v>
      </c>
      <c r="R163" s="183">
        <f t="shared" si="9"/>
        <v>0</v>
      </c>
      <c r="S163" s="183">
        <f t="shared" si="10"/>
        <v>0</v>
      </c>
      <c r="T163" s="183">
        <f t="shared" si="11"/>
        <v>0</v>
      </c>
      <c r="U163" s="186"/>
      <c r="V163" s="183">
        <f>IFERROR(__xludf.DUMMYFUNCTION("""COMPUTED_VALUE"""),0.0)</f>
        <v>0</v>
      </c>
      <c r="W163" s="183">
        <f>IFERROR(__xludf.DUMMYFUNCTION("""COMPUTED_VALUE"""),0.0)</f>
        <v>0</v>
      </c>
      <c r="X163" s="183">
        <f>IFERROR(__xludf.DUMMYFUNCTION("""COMPUTED_VALUE"""),0.0)</f>
        <v>0</v>
      </c>
      <c r="Y163" s="183">
        <f>IFERROR(__xludf.DUMMYFUNCTION("""COMPUTED_VALUE"""),0.0)</f>
        <v>0</v>
      </c>
      <c r="Z163" s="183">
        <f t="shared" si="12"/>
        <v>0</v>
      </c>
      <c r="AA163" s="183">
        <f t="shared" si="13"/>
        <v>0</v>
      </c>
      <c r="AB163" s="183">
        <f t="shared" si="14"/>
        <v>0</v>
      </c>
    </row>
    <row r="164" ht="14.25" customHeight="1">
      <c r="A164" s="175"/>
      <c r="B164" s="230" t="s">
        <v>900</v>
      </c>
      <c r="D164" s="209" t="s">
        <v>901</v>
      </c>
      <c r="E164" s="183">
        <f>SUMIFS('DB BTL'!$J:$J,'DB BTL'!$G:$G,$B164,'DB BTL'!$A:$A,$D$4,'DB BTL'!$B:$B,$E$3,'DB BTL'!$D:$D,AA$1)</f>
        <v>0</v>
      </c>
      <c r="F164" s="183">
        <f>SUMIFS('DB BTL'!$J:$J,'DB BTL'!$G:$G,$B164,'DB BTL'!$A:$A,$D$4,'DB BTL'!$B:$B,$E$3,'DB BTL'!$D:$D,AA$2)</f>
        <v>0</v>
      </c>
      <c r="G164" s="184">
        <f>IFERROR(HLOOKUP($E$3,'Tahun Lalu'!$B$5:$V$158,MATCH(B164,'Tahun Lalu'!$B$5:$B$158,0),0),0)</f>
        <v>0</v>
      </c>
      <c r="H164" s="184">
        <v>0.0</v>
      </c>
      <c r="I164" s="184">
        <v>0.0</v>
      </c>
      <c r="J164" s="183">
        <f t="shared" si="3"/>
        <v>0</v>
      </c>
      <c r="K164" s="183">
        <f t="shared" si="4"/>
        <v>0</v>
      </c>
      <c r="L164" s="183">
        <f t="shared" si="5"/>
        <v>0</v>
      </c>
      <c r="M164" s="183">
        <f t="shared" si="6"/>
        <v>0</v>
      </c>
      <c r="N164" s="183">
        <f t="shared" si="201"/>
        <v>0</v>
      </c>
      <c r="O164" s="183">
        <f t="shared" ref="O164:Q164" si="214">G164+W164</f>
        <v>0</v>
      </c>
      <c r="P164" s="183">
        <f t="shared" si="214"/>
        <v>0</v>
      </c>
      <c r="Q164" s="183">
        <f t="shared" si="214"/>
        <v>0</v>
      </c>
      <c r="R164" s="183">
        <f t="shared" si="9"/>
        <v>0</v>
      </c>
      <c r="S164" s="183">
        <f t="shared" si="10"/>
        <v>0</v>
      </c>
      <c r="T164" s="183">
        <f t="shared" si="11"/>
        <v>0</v>
      </c>
      <c r="U164" s="186"/>
      <c r="V164" s="183">
        <f>IFERROR(__xludf.DUMMYFUNCTION("""COMPUTED_VALUE"""),0.0)</f>
        <v>0</v>
      </c>
      <c r="W164" s="183">
        <f>IFERROR(__xludf.DUMMYFUNCTION("""COMPUTED_VALUE"""),0.0)</f>
        <v>0</v>
      </c>
      <c r="X164" s="183">
        <f>IFERROR(__xludf.DUMMYFUNCTION("""COMPUTED_VALUE"""),0.0)</f>
        <v>0</v>
      </c>
      <c r="Y164" s="183">
        <f>IFERROR(__xludf.DUMMYFUNCTION("""COMPUTED_VALUE"""),0.0)</f>
        <v>0</v>
      </c>
      <c r="Z164" s="183">
        <f t="shared" si="12"/>
        <v>0</v>
      </c>
      <c r="AA164" s="183">
        <f t="shared" si="13"/>
        <v>0</v>
      </c>
      <c r="AB164" s="183">
        <f t="shared" si="14"/>
        <v>0</v>
      </c>
    </row>
    <row r="165" ht="14.25" customHeight="1">
      <c r="A165" s="175"/>
      <c r="B165" s="222"/>
      <c r="C165" s="222"/>
      <c r="D165" s="233" t="s">
        <v>902</v>
      </c>
      <c r="E165" s="224">
        <f t="shared" ref="E165:I165" si="215">sum(E150:E164)</f>
        <v>0</v>
      </c>
      <c r="F165" s="224">
        <f t="shared" si="215"/>
        <v>0</v>
      </c>
      <c r="G165" s="224">
        <f t="shared" si="215"/>
        <v>0</v>
      </c>
      <c r="H165" s="224">
        <f t="shared" si="215"/>
        <v>0</v>
      </c>
      <c r="I165" s="224">
        <f t="shared" si="215"/>
        <v>0</v>
      </c>
      <c r="J165" s="224">
        <f t="shared" si="3"/>
        <v>0</v>
      </c>
      <c r="K165" s="224">
        <f t="shared" si="4"/>
        <v>0</v>
      </c>
      <c r="L165" s="224">
        <f t="shared" si="5"/>
        <v>0</v>
      </c>
      <c r="M165" s="224">
        <f t="shared" si="6"/>
        <v>0</v>
      </c>
      <c r="N165" s="224">
        <f t="shared" ref="N165:Q165" si="216">sum(N150:N164)</f>
        <v>85105916</v>
      </c>
      <c r="O165" s="224">
        <f t="shared" si="216"/>
        <v>0</v>
      </c>
      <c r="P165" s="224">
        <f t="shared" si="216"/>
        <v>0</v>
      </c>
      <c r="Q165" s="224">
        <f t="shared" si="216"/>
        <v>0</v>
      </c>
      <c r="R165" s="224">
        <f t="shared" si="9"/>
        <v>0</v>
      </c>
      <c r="S165" s="224">
        <f t="shared" si="10"/>
        <v>0</v>
      </c>
      <c r="T165" s="224">
        <f t="shared" si="11"/>
        <v>0</v>
      </c>
      <c r="U165" s="225"/>
      <c r="V165" s="224">
        <f>IFERROR(__xludf.DUMMYFUNCTION("""COMPUTED_VALUE"""),8.5105916E7)</f>
        <v>85105916</v>
      </c>
      <c r="W165" s="224">
        <f>IFERROR(__xludf.DUMMYFUNCTION("""COMPUTED_VALUE"""),0.0)</f>
        <v>0</v>
      </c>
      <c r="X165" s="224">
        <f>IFERROR(__xludf.DUMMYFUNCTION("""COMPUTED_VALUE"""),0.0)</f>
        <v>0</v>
      </c>
      <c r="Y165" s="224">
        <f>IFERROR(__xludf.DUMMYFUNCTION("""COMPUTED_VALUE"""),0.0)</f>
        <v>0</v>
      </c>
      <c r="Z165" s="224">
        <f t="shared" si="12"/>
        <v>0</v>
      </c>
      <c r="AA165" s="224">
        <f t="shared" si="13"/>
        <v>0</v>
      </c>
      <c r="AB165" s="224">
        <f t="shared" si="14"/>
        <v>0</v>
      </c>
    </row>
    <row r="166" ht="14.25" customHeight="1">
      <c r="A166" s="175"/>
      <c r="B166" s="177"/>
      <c r="D166" s="234" t="s">
        <v>903</v>
      </c>
      <c r="E166" s="183"/>
      <c r="F166" s="183"/>
      <c r="G166" s="183"/>
      <c r="H166" s="184">
        <v>0.0</v>
      </c>
      <c r="I166" s="184">
        <v>0.0</v>
      </c>
      <c r="J166" s="183">
        <f t="shared" si="3"/>
        <v>0</v>
      </c>
      <c r="K166" s="183">
        <f t="shared" si="4"/>
        <v>0</v>
      </c>
      <c r="L166" s="188">
        <f t="shared" si="5"/>
        <v>0</v>
      </c>
      <c r="M166" s="188">
        <f t="shared" si="6"/>
        <v>0</v>
      </c>
      <c r="N166" s="183"/>
      <c r="O166" s="183"/>
      <c r="P166" s="188">
        <v>0.0</v>
      </c>
      <c r="Q166" s="188">
        <v>0.0</v>
      </c>
      <c r="R166" s="183">
        <f t="shared" si="9"/>
        <v>0</v>
      </c>
      <c r="S166" s="183">
        <f t="shared" si="10"/>
        <v>0</v>
      </c>
      <c r="T166" s="188">
        <f t="shared" si="11"/>
        <v>0</v>
      </c>
      <c r="U166" s="189"/>
      <c r="V166" s="183"/>
      <c r="W166" s="183"/>
      <c r="X166" s="188">
        <f>IFERROR(__xludf.DUMMYFUNCTION("""COMPUTED_VALUE"""),0.0)</f>
        <v>0</v>
      </c>
      <c r="Y166" s="188">
        <f>IFERROR(__xludf.DUMMYFUNCTION("""COMPUTED_VALUE"""),0.0)</f>
        <v>0</v>
      </c>
      <c r="Z166" s="183">
        <f t="shared" si="12"/>
        <v>0</v>
      </c>
      <c r="AA166" s="183">
        <f t="shared" si="13"/>
        <v>0</v>
      </c>
      <c r="AB166" s="188">
        <f t="shared" si="14"/>
        <v>0</v>
      </c>
    </row>
    <row r="167" ht="14.25" customHeight="1">
      <c r="A167" s="175"/>
      <c r="B167" s="181" t="s">
        <v>441</v>
      </c>
      <c r="D167" s="209" t="s">
        <v>706</v>
      </c>
      <c r="E167" s="183">
        <f>SUMIFS('DB BTL'!$J:$J,'DB BTL'!$E:$E,$B167,'DB BTL'!$A:$A,$D$4,'DB BTL'!$B:$B,$E$3,'DB BTL'!$D:$D,AA$1)</f>
        <v>0</v>
      </c>
      <c r="F167" s="183">
        <f>SUMIFS('DB BTL'!$J:$J,'DB BTL'!$E:$E,$B167,'DB BTL'!$A:$A,$D$4,'DB BTL'!$B:$B,$E$3,'DB BTL'!$D:$D,AA$2)</f>
        <v>0</v>
      </c>
      <c r="G167" s="184">
        <f>IFERROR(HLOOKUP($E$3,'Tahun Lalu'!$B$5:$V$158,MATCH(B167,'Tahun Lalu'!$B$5:$B$158,0),0),0)</f>
        <v>0</v>
      </c>
      <c r="H167" s="184">
        <v>0.0</v>
      </c>
      <c r="I167" s="184">
        <v>0.0</v>
      </c>
      <c r="J167" s="183">
        <f t="shared" si="3"/>
        <v>0</v>
      </c>
      <c r="K167" s="183">
        <f t="shared" si="4"/>
        <v>0</v>
      </c>
      <c r="L167" s="183">
        <f t="shared" si="5"/>
        <v>0</v>
      </c>
      <c r="M167" s="183">
        <f t="shared" si="6"/>
        <v>0</v>
      </c>
      <c r="N167" s="183">
        <f t="shared" ref="N167:N187" si="218">E167+V167</f>
        <v>0</v>
      </c>
      <c r="O167" s="183">
        <f t="shared" ref="O167:Q167" si="217">G167+W167</f>
        <v>0</v>
      </c>
      <c r="P167" s="183">
        <f t="shared" si="217"/>
        <v>0</v>
      </c>
      <c r="Q167" s="183">
        <f t="shared" si="217"/>
        <v>0</v>
      </c>
      <c r="R167" s="183">
        <f t="shared" si="9"/>
        <v>0</v>
      </c>
      <c r="S167" s="183">
        <f t="shared" si="10"/>
        <v>0</v>
      </c>
      <c r="T167" s="183">
        <f t="shared" si="11"/>
        <v>0</v>
      </c>
      <c r="U167" s="186"/>
      <c r="V167" s="183">
        <f>IFERROR(__xludf.DUMMYFUNCTION("""COMPUTED_VALUE"""),0.0)</f>
        <v>0</v>
      </c>
      <c r="W167" s="183">
        <f>IFERROR(__xludf.DUMMYFUNCTION("""COMPUTED_VALUE"""),0.0)</f>
        <v>0</v>
      </c>
      <c r="X167" s="183">
        <f>IFERROR(__xludf.DUMMYFUNCTION("""COMPUTED_VALUE"""),0.0)</f>
        <v>0</v>
      </c>
      <c r="Y167" s="183">
        <f>IFERROR(__xludf.DUMMYFUNCTION("""COMPUTED_VALUE"""),0.0)</f>
        <v>0</v>
      </c>
      <c r="Z167" s="183">
        <f t="shared" si="12"/>
        <v>0</v>
      </c>
      <c r="AA167" s="183">
        <f t="shared" si="13"/>
        <v>0</v>
      </c>
      <c r="AB167" s="183">
        <f t="shared" si="14"/>
        <v>0</v>
      </c>
    </row>
    <row r="168" ht="14.25" customHeight="1">
      <c r="A168" s="175"/>
      <c r="B168" s="181" t="s">
        <v>456</v>
      </c>
      <c r="D168" s="209" t="s">
        <v>707</v>
      </c>
      <c r="E168" s="183">
        <f>SUMIFS('DB BTL'!$J:$J,'DB BTL'!$E:$E,$B168,'DB BTL'!$A:$A,$D$4,'DB BTL'!$B:$B,$E$3,'DB BTL'!$D:$D,AA$1)*0</f>
        <v>0</v>
      </c>
      <c r="F168" s="183">
        <f>SUMIFS('DB BTL'!$J:$J,'DB BTL'!$E:$E,$B168,'DB BTL'!$A:$A,$D$4,'DB BTL'!$B:$B,$E$3,'DB BTL'!$D:$D,AA$2)</f>
        <v>5709408</v>
      </c>
      <c r="G168" s="184">
        <f>IFERROR(HLOOKUP($E$3,'Tahun Lalu'!$B$5:$V$158,MATCH(B168,'Tahun Lalu'!$B$5:$B$158,0),0),0)</f>
        <v>0</v>
      </c>
      <c r="H168" s="184">
        <v>0.0</v>
      </c>
      <c r="I168" s="184">
        <v>0.0</v>
      </c>
      <c r="J168" s="183">
        <f t="shared" si="3"/>
        <v>0</v>
      </c>
      <c r="K168" s="183">
        <f t="shared" si="4"/>
        <v>0</v>
      </c>
      <c r="L168" s="183">
        <f t="shared" si="5"/>
        <v>0</v>
      </c>
      <c r="M168" s="183">
        <f t="shared" si="6"/>
        <v>0</v>
      </c>
      <c r="N168" s="183">
        <f t="shared" si="218"/>
        <v>8539632</v>
      </c>
      <c r="O168" s="183">
        <f t="shared" ref="O168:Q168" si="219">G168+W168</f>
        <v>0</v>
      </c>
      <c r="P168" s="183">
        <f t="shared" si="219"/>
        <v>0</v>
      </c>
      <c r="Q168" s="183">
        <f t="shared" si="219"/>
        <v>0</v>
      </c>
      <c r="R168" s="183">
        <f t="shared" si="9"/>
        <v>0</v>
      </c>
      <c r="S168" s="183">
        <f t="shared" si="10"/>
        <v>0</v>
      </c>
      <c r="T168" s="183">
        <f t="shared" si="11"/>
        <v>0</v>
      </c>
      <c r="U168" s="186"/>
      <c r="V168" s="183">
        <f>IFERROR(__xludf.DUMMYFUNCTION("""COMPUTED_VALUE"""),8539632.0)</f>
        <v>8539632</v>
      </c>
      <c r="W168" s="183">
        <f>IFERROR(__xludf.DUMMYFUNCTION("""COMPUTED_VALUE"""),0.0)</f>
        <v>0</v>
      </c>
      <c r="X168" s="183">
        <f>IFERROR(__xludf.DUMMYFUNCTION("""COMPUTED_VALUE"""),0.0)</f>
        <v>0</v>
      </c>
      <c r="Y168" s="183">
        <f>IFERROR(__xludf.DUMMYFUNCTION("""COMPUTED_VALUE"""),0.0)</f>
        <v>0</v>
      </c>
      <c r="Z168" s="183">
        <f t="shared" si="12"/>
        <v>0</v>
      </c>
      <c r="AA168" s="183">
        <f t="shared" si="13"/>
        <v>0</v>
      </c>
      <c r="AB168" s="183">
        <f t="shared" si="14"/>
        <v>0</v>
      </c>
    </row>
    <row r="169" ht="14.25" customHeight="1">
      <c r="A169" s="175"/>
      <c r="B169" s="177"/>
      <c r="D169" s="209" t="s">
        <v>904</v>
      </c>
      <c r="E169" s="183">
        <f>SUMIFS('DB BTL'!$J:$J,'DB BTL'!$E:$E,$B169,'DB BTL'!$A:$A,$D$4,'DB BTL'!$B:$B,$E$3,'DB BTL'!$D:$D,AA$1)</f>
        <v>0</v>
      </c>
      <c r="F169" s="183">
        <f>SUMIFS('DB BTL'!$J:$J,'DB BTL'!$E:$E,$B169,'DB BTL'!$A:$A,$D$4,'DB BTL'!$B:$B,$E$3,'DB BTL'!$D:$D,AA$2)</f>
        <v>0</v>
      </c>
      <c r="G169" s="184">
        <f>IFERROR(HLOOKUP($E$3,'Tahun Lalu'!$B$5:$V$158,MATCH(B169,'Tahun Lalu'!$B$5:$B$158,0),0),0)</f>
        <v>0</v>
      </c>
      <c r="H169" s="184">
        <v>0.0</v>
      </c>
      <c r="I169" s="184">
        <v>0.0</v>
      </c>
      <c r="J169" s="183">
        <f t="shared" si="3"/>
        <v>0</v>
      </c>
      <c r="K169" s="183">
        <f t="shared" si="4"/>
        <v>0</v>
      </c>
      <c r="L169" s="183">
        <f t="shared" si="5"/>
        <v>0</v>
      </c>
      <c r="M169" s="183">
        <f t="shared" si="6"/>
        <v>0</v>
      </c>
      <c r="N169" s="183">
        <f t="shared" si="218"/>
        <v>0</v>
      </c>
      <c r="O169" s="183">
        <f t="shared" ref="O169:Q169" si="220">G169+W169</f>
        <v>0</v>
      </c>
      <c r="P169" s="183">
        <f t="shared" si="220"/>
        <v>0</v>
      </c>
      <c r="Q169" s="183">
        <f t="shared" si="220"/>
        <v>0</v>
      </c>
      <c r="R169" s="183">
        <f t="shared" si="9"/>
        <v>0</v>
      </c>
      <c r="S169" s="183">
        <f t="shared" si="10"/>
        <v>0</v>
      </c>
      <c r="T169" s="183">
        <f t="shared" si="11"/>
        <v>0</v>
      </c>
      <c r="U169" s="186"/>
      <c r="V169" s="183">
        <f>IFERROR(__xludf.DUMMYFUNCTION("""COMPUTED_VALUE"""),0.0)</f>
        <v>0</v>
      </c>
      <c r="W169" s="183">
        <f>IFERROR(__xludf.DUMMYFUNCTION("""COMPUTED_VALUE"""),0.0)</f>
        <v>0</v>
      </c>
      <c r="X169" s="183">
        <f>IFERROR(__xludf.DUMMYFUNCTION("""COMPUTED_VALUE"""),0.0)</f>
        <v>0</v>
      </c>
      <c r="Y169" s="183">
        <f>IFERROR(__xludf.DUMMYFUNCTION("""COMPUTED_VALUE"""),0.0)</f>
        <v>0</v>
      </c>
      <c r="Z169" s="183">
        <f t="shared" si="12"/>
        <v>0</v>
      </c>
      <c r="AA169" s="183">
        <f t="shared" si="13"/>
        <v>0</v>
      </c>
      <c r="AB169" s="183">
        <f t="shared" si="14"/>
        <v>0</v>
      </c>
    </row>
    <row r="170" ht="14.25" customHeight="1">
      <c r="A170" s="175"/>
      <c r="B170" s="177"/>
      <c r="D170" s="209" t="s">
        <v>905</v>
      </c>
      <c r="E170" s="183">
        <f>SUMIFS('DB BTL'!$J:$J,'DB BTL'!$E:$E,$B170,'DB BTL'!$A:$A,$D$4,'DB BTL'!$B:$B,$E$3,'DB BTL'!$D:$D,AA$1)</f>
        <v>0</v>
      </c>
      <c r="F170" s="183">
        <f>SUMIFS('DB BTL'!$J:$J,'DB BTL'!$E:$E,$B170,'DB BTL'!$A:$A,$D$4,'DB BTL'!$B:$B,$E$3,'DB BTL'!$D:$D,AA$2)</f>
        <v>0</v>
      </c>
      <c r="G170" s="184">
        <f>IFERROR(HLOOKUP($E$3,'Tahun Lalu'!$B$5:$V$158,MATCH(B170,'Tahun Lalu'!$B$5:$B$158,0),0),0)</f>
        <v>0</v>
      </c>
      <c r="H170" s="184">
        <v>0.0</v>
      </c>
      <c r="I170" s="184">
        <v>0.0</v>
      </c>
      <c r="J170" s="183">
        <f t="shared" si="3"/>
        <v>0</v>
      </c>
      <c r="K170" s="183">
        <f t="shared" si="4"/>
        <v>0</v>
      </c>
      <c r="L170" s="183">
        <f t="shared" si="5"/>
        <v>0</v>
      </c>
      <c r="M170" s="183">
        <f t="shared" si="6"/>
        <v>0</v>
      </c>
      <c r="N170" s="183">
        <f t="shared" si="218"/>
        <v>0</v>
      </c>
      <c r="O170" s="183">
        <f t="shared" ref="O170:Q170" si="221">G170+W170</f>
        <v>0</v>
      </c>
      <c r="P170" s="183">
        <f t="shared" si="221"/>
        <v>0</v>
      </c>
      <c r="Q170" s="183">
        <f t="shared" si="221"/>
        <v>0</v>
      </c>
      <c r="R170" s="183">
        <f t="shared" si="9"/>
        <v>0</v>
      </c>
      <c r="S170" s="183">
        <f t="shared" si="10"/>
        <v>0</v>
      </c>
      <c r="T170" s="183">
        <f t="shared" si="11"/>
        <v>0</v>
      </c>
      <c r="U170" s="186"/>
      <c r="V170" s="183">
        <f>IFERROR(__xludf.DUMMYFUNCTION("""COMPUTED_VALUE"""),0.0)</f>
        <v>0</v>
      </c>
      <c r="W170" s="183">
        <f>IFERROR(__xludf.DUMMYFUNCTION("""COMPUTED_VALUE"""),0.0)</f>
        <v>0</v>
      </c>
      <c r="X170" s="183">
        <f>IFERROR(__xludf.DUMMYFUNCTION("""COMPUTED_VALUE"""),0.0)</f>
        <v>0</v>
      </c>
      <c r="Y170" s="183">
        <f>IFERROR(__xludf.DUMMYFUNCTION("""COMPUTED_VALUE"""),0.0)</f>
        <v>0</v>
      </c>
      <c r="Z170" s="183">
        <f t="shared" si="12"/>
        <v>0</v>
      </c>
      <c r="AA170" s="183">
        <f t="shared" si="13"/>
        <v>0</v>
      </c>
      <c r="AB170" s="183">
        <f t="shared" si="14"/>
        <v>0</v>
      </c>
    </row>
    <row r="171" ht="14.25" customHeight="1">
      <c r="A171" s="175"/>
      <c r="B171" s="177"/>
      <c r="D171" s="209" t="s">
        <v>906</v>
      </c>
      <c r="E171" s="183">
        <f>SUMIFS('DB BTL'!$J:$J,'DB BTL'!$E:$E,$B171,'DB BTL'!$A:$A,$D$4,'DB BTL'!$B:$B,$E$3,'DB BTL'!$D:$D,AA$1)</f>
        <v>0</v>
      </c>
      <c r="F171" s="183">
        <f>SUMIFS('DB BTL'!$J:$J,'DB BTL'!$E:$E,$B171,'DB BTL'!$A:$A,$D$4,'DB BTL'!$B:$B,$E$3,'DB BTL'!$D:$D,AA$2)</f>
        <v>0</v>
      </c>
      <c r="G171" s="184">
        <f>IFERROR(HLOOKUP($E$3,'Tahun Lalu'!$B$5:$V$158,MATCH(B171,'Tahun Lalu'!$B$5:$B$158,0),0),0)</f>
        <v>0</v>
      </c>
      <c r="H171" s="184">
        <v>0.0</v>
      </c>
      <c r="I171" s="184">
        <v>0.0</v>
      </c>
      <c r="J171" s="183">
        <f t="shared" si="3"/>
        <v>0</v>
      </c>
      <c r="K171" s="183">
        <f t="shared" si="4"/>
        <v>0</v>
      </c>
      <c r="L171" s="183">
        <f t="shared" si="5"/>
        <v>0</v>
      </c>
      <c r="M171" s="183">
        <f t="shared" si="6"/>
        <v>0</v>
      </c>
      <c r="N171" s="183">
        <f t="shared" si="218"/>
        <v>0</v>
      </c>
      <c r="O171" s="183">
        <f t="shared" ref="O171:Q171" si="222">G171+W171</f>
        <v>0</v>
      </c>
      <c r="P171" s="183">
        <f t="shared" si="222"/>
        <v>0</v>
      </c>
      <c r="Q171" s="183">
        <f t="shared" si="222"/>
        <v>0</v>
      </c>
      <c r="R171" s="183">
        <f t="shared" si="9"/>
        <v>0</v>
      </c>
      <c r="S171" s="183">
        <f t="shared" si="10"/>
        <v>0</v>
      </c>
      <c r="T171" s="183">
        <f t="shared" si="11"/>
        <v>0</v>
      </c>
      <c r="U171" s="186"/>
      <c r="V171" s="183">
        <f>IFERROR(__xludf.DUMMYFUNCTION("""COMPUTED_VALUE"""),0.0)</f>
        <v>0</v>
      </c>
      <c r="W171" s="183">
        <f>IFERROR(__xludf.DUMMYFUNCTION("""COMPUTED_VALUE"""),0.0)</f>
        <v>0</v>
      </c>
      <c r="X171" s="183">
        <f>IFERROR(__xludf.DUMMYFUNCTION("""COMPUTED_VALUE"""),0.0)</f>
        <v>0</v>
      </c>
      <c r="Y171" s="183">
        <f>IFERROR(__xludf.DUMMYFUNCTION("""COMPUTED_VALUE"""),0.0)</f>
        <v>0</v>
      </c>
      <c r="Z171" s="183">
        <f t="shared" si="12"/>
        <v>0</v>
      </c>
      <c r="AA171" s="183">
        <f t="shared" si="13"/>
        <v>0</v>
      </c>
      <c r="AB171" s="183">
        <f t="shared" si="14"/>
        <v>0</v>
      </c>
    </row>
    <row r="172" ht="14.25" customHeight="1">
      <c r="A172" s="175"/>
      <c r="B172" s="181" t="s">
        <v>475</v>
      </c>
      <c r="D172" s="209" t="s">
        <v>708</v>
      </c>
      <c r="E172" s="183">
        <f>SUMIFS('DB BTL'!$J:$J,'DB BTL'!$E:$E,$B172,'DB BTL'!$A:$A,$D$4,'DB BTL'!$B:$B,$E$3,'DB BTL'!$D:$D,AA$1)</f>
        <v>0</v>
      </c>
      <c r="F172" s="183">
        <f>SUMIFS('DB BTL'!$J:$J,'DB BTL'!$E:$E,$B172,'DB BTL'!$A:$A,$D$4,'DB BTL'!$B:$B,$E$3,'DB BTL'!$D:$D,AA$2)</f>
        <v>0</v>
      </c>
      <c r="G172" s="184">
        <f>IFERROR(HLOOKUP($E$3,'Tahun Lalu'!$B$5:$V$158,MATCH(B172,'Tahun Lalu'!$B$5:$B$158,0),0),0)</f>
        <v>0</v>
      </c>
      <c r="H172" s="184">
        <v>0.0</v>
      </c>
      <c r="I172" s="184">
        <v>0.0</v>
      </c>
      <c r="J172" s="183">
        <f t="shared" si="3"/>
        <v>0</v>
      </c>
      <c r="K172" s="183">
        <f t="shared" si="4"/>
        <v>0</v>
      </c>
      <c r="L172" s="183">
        <f t="shared" si="5"/>
        <v>0</v>
      </c>
      <c r="M172" s="183">
        <f t="shared" si="6"/>
        <v>0</v>
      </c>
      <c r="N172" s="183">
        <f t="shared" si="218"/>
        <v>0</v>
      </c>
      <c r="O172" s="183">
        <f t="shared" ref="O172:Q172" si="223">G172+W172</f>
        <v>0</v>
      </c>
      <c r="P172" s="183">
        <f t="shared" si="223"/>
        <v>0</v>
      </c>
      <c r="Q172" s="183">
        <f t="shared" si="223"/>
        <v>0</v>
      </c>
      <c r="R172" s="183">
        <f t="shared" si="9"/>
        <v>0</v>
      </c>
      <c r="S172" s="183">
        <f t="shared" si="10"/>
        <v>0</v>
      </c>
      <c r="T172" s="183">
        <f t="shared" si="11"/>
        <v>0</v>
      </c>
      <c r="U172" s="186"/>
      <c r="V172" s="183">
        <f>IFERROR(__xludf.DUMMYFUNCTION("""COMPUTED_VALUE"""),0.0)</f>
        <v>0</v>
      </c>
      <c r="W172" s="183">
        <f>IFERROR(__xludf.DUMMYFUNCTION("""COMPUTED_VALUE"""),0.0)</f>
        <v>0</v>
      </c>
      <c r="X172" s="183">
        <f>IFERROR(__xludf.DUMMYFUNCTION("""COMPUTED_VALUE"""),0.0)</f>
        <v>0</v>
      </c>
      <c r="Y172" s="183">
        <f>IFERROR(__xludf.DUMMYFUNCTION("""COMPUTED_VALUE"""),0.0)</f>
        <v>0</v>
      </c>
      <c r="Z172" s="183">
        <f t="shared" si="12"/>
        <v>0</v>
      </c>
      <c r="AA172" s="183">
        <f t="shared" si="13"/>
        <v>0</v>
      </c>
      <c r="AB172" s="183">
        <f t="shared" si="14"/>
        <v>0</v>
      </c>
    </row>
    <row r="173" ht="14.25" customHeight="1">
      <c r="A173" s="175"/>
      <c r="B173" s="177"/>
      <c r="D173" s="209" t="s">
        <v>907</v>
      </c>
      <c r="E173" s="183">
        <f>SUMIFS('DB BTL'!$J:$J,'DB BTL'!$E:$E,$B173,'DB BTL'!$A:$A,$D$4,'DB BTL'!$B:$B,$E$3,'DB BTL'!$D:$D,AA$1)</f>
        <v>0</v>
      </c>
      <c r="F173" s="183">
        <f>SUMIFS('DB BTL'!$J:$J,'DB BTL'!$E:$E,$B173,'DB BTL'!$A:$A,$D$4,'DB BTL'!$B:$B,$E$3,'DB BTL'!$D:$D,AA$2)</f>
        <v>0</v>
      </c>
      <c r="G173" s="184">
        <f>IFERROR(HLOOKUP($E$3,'Tahun Lalu'!$B$5:$V$158,MATCH(B173,'Tahun Lalu'!$B$5:$B$158,0),0),0)</f>
        <v>0</v>
      </c>
      <c r="H173" s="184">
        <v>0.0</v>
      </c>
      <c r="I173" s="184">
        <v>0.0</v>
      </c>
      <c r="J173" s="183">
        <f t="shared" si="3"/>
        <v>0</v>
      </c>
      <c r="K173" s="183">
        <f t="shared" si="4"/>
        <v>0</v>
      </c>
      <c r="L173" s="183">
        <f t="shared" si="5"/>
        <v>0</v>
      </c>
      <c r="M173" s="183">
        <f t="shared" si="6"/>
        <v>0</v>
      </c>
      <c r="N173" s="183">
        <f t="shared" si="218"/>
        <v>0</v>
      </c>
      <c r="O173" s="183">
        <f t="shared" ref="O173:Q173" si="224">G173+W173</f>
        <v>0</v>
      </c>
      <c r="P173" s="183">
        <f t="shared" si="224"/>
        <v>0</v>
      </c>
      <c r="Q173" s="183">
        <f t="shared" si="224"/>
        <v>0</v>
      </c>
      <c r="R173" s="183">
        <f t="shared" si="9"/>
        <v>0</v>
      </c>
      <c r="S173" s="183">
        <f t="shared" si="10"/>
        <v>0</v>
      </c>
      <c r="T173" s="183">
        <f t="shared" si="11"/>
        <v>0</v>
      </c>
      <c r="U173" s="186"/>
      <c r="V173" s="183">
        <f>IFERROR(__xludf.DUMMYFUNCTION("""COMPUTED_VALUE"""),0.0)</f>
        <v>0</v>
      </c>
      <c r="W173" s="183">
        <f>IFERROR(__xludf.DUMMYFUNCTION("""COMPUTED_VALUE"""),0.0)</f>
        <v>0</v>
      </c>
      <c r="X173" s="183">
        <f>IFERROR(__xludf.DUMMYFUNCTION("""COMPUTED_VALUE"""),0.0)</f>
        <v>0</v>
      </c>
      <c r="Y173" s="183">
        <f>IFERROR(__xludf.DUMMYFUNCTION("""COMPUTED_VALUE"""),0.0)</f>
        <v>0</v>
      </c>
      <c r="Z173" s="183">
        <f t="shared" si="12"/>
        <v>0</v>
      </c>
      <c r="AA173" s="183">
        <f t="shared" si="13"/>
        <v>0</v>
      </c>
      <c r="AB173" s="183">
        <f t="shared" si="14"/>
        <v>0</v>
      </c>
    </row>
    <row r="174" ht="14.25" customHeight="1">
      <c r="A174" s="175"/>
      <c r="B174" s="181" t="s">
        <v>482</v>
      </c>
      <c r="D174" s="209" t="s">
        <v>709</v>
      </c>
      <c r="E174" s="183">
        <f>SUMIFS('DB BTL'!$J:$J,'DB BTL'!$E:$E,$B174,'DB BTL'!$A:$A,$D$4,'DB BTL'!$B:$B,$E$3,'DB BTL'!$D:$D,AA$1)</f>
        <v>0</v>
      </c>
      <c r="F174" s="183">
        <f>SUMIFS('DB BTL'!$J:$J,'DB BTL'!$E:$E,$B174,'DB BTL'!$A:$A,$D$4,'DB BTL'!$B:$B,$E$3,'DB BTL'!$D:$D,AA$2)</f>
        <v>0</v>
      </c>
      <c r="G174" s="184">
        <f>IFERROR(HLOOKUP($E$3,'Tahun Lalu'!$B$5:$V$158,MATCH(B174,'Tahun Lalu'!$B$5:$B$158,0),0),0)</f>
        <v>0</v>
      </c>
      <c r="H174" s="184">
        <v>0.0</v>
      </c>
      <c r="I174" s="184">
        <v>0.0</v>
      </c>
      <c r="J174" s="183">
        <f t="shared" si="3"/>
        <v>0</v>
      </c>
      <c r="K174" s="183">
        <f t="shared" si="4"/>
        <v>0</v>
      </c>
      <c r="L174" s="183">
        <f t="shared" si="5"/>
        <v>0</v>
      </c>
      <c r="M174" s="183">
        <f t="shared" si="6"/>
        <v>0</v>
      </c>
      <c r="N174" s="183">
        <f t="shared" si="218"/>
        <v>0</v>
      </c>
      <c r="O174" s="183">
        <f t="shared" ref="O174:Q174" si="225">G174+W174</f>
        <v>0</v>
      </c>
      <c r="P174" s="183">
        <f t="shared" si="225"/>
        <v>0</v>
      </c>
      <c r="Q174" s="183">
        <f t="shared" si="225"/>
        <v>0</v>
      </c>
      <c r="R174" s="183">
        <f t="shared" si="9"/>
        <v>0</v>
      </c>
      <c r="S174" s="183">
        <f t="shared" si="10"/>
        <v>0</v>
      </c>
      <c r="T174" s="183">
        <f t="shared" si="11"/>
        <v>0</v>
      </c>
      <c r="U174" s="186"/>
      <c r="V174" s="183">
        <f>IFERROR(__xludf.DUMMYFUNCTION("""COMPUTED_VALUE"""),0.0)</f>
        <v>0</v>
      </c>
      <c r="W174" s="183">
        <f>IFERROR(__xludf.DUMMYFUNCTION("""COMPUTED_VALUE"""),0.0)</f>
        <v>0</v>
      </c>
      <c r="X174" s="183">
        <f>IFERROR(__xludf.DUMMYFUNCTION("""COMPUTED_VALUE"""),0.0)</f>
        <v>0</v>
      </c>
      <c r="Y174" s="183">
        <f>IFERROR(__xludf.DUMMYFUNCTION("""COMPUTED_VALUE"""),0.0)</f>
        <v>0</v>
      </c>
      <c r="Z174" s="183">
        <f t="shared" si="12"/>
        <v>0</v>
      </c>
      <c r="AA174" s="183">
        <f t="shared" si="13"/>
        <v>0</v>
      </c>
      <c r="AB174" s="183">
        <f t="shared" si="14"/>
        <v>0</v>
      </c>
    </row>
    <row r="175" ht="14.25" customHeight="1">
      <c r="A175" s="175"/>
      <c r="B175" s="181" t="s">
        <v>459</v>
      </c>
      <c r="D175" s="209" t="s">
        <v>710</v>
      </c>
      <c r="E175" s="183">
        <f>SUMIFS('DB BTL'!$J:$J,'DB BTL'!$E:$E,$B175,'DB BTL'!$A:$A,$D$4,'DB BTL'!$B:$B,$E$3,'DB BTL'!$D:$D,AA$1)</f>
        <v>0</v>
      </c>
      <c r="F175" s="183">
        <f>SUMIFS('DB BTL'!$J:$J,'DB BTL'!$E:$E,$B175,'DB BTL'!$A:$A,$D$4,'DB BTL'!$B:$B,$E$3,'DB BTL'!$D:$D,AA$2)</f>
        <v>0</v>
      </c>
      <c r="G175" s="184">
        <f>IFERROR(HLOOKUP($E$3,'Tahun Lalu'!$B$5:$V$158,MATCH(B175,'Tahun Lalu'!$B$5:$B$158,0),0),0)</f>
        <v>0</v>
      </c>
      <c r="H175" s="184">
        <v>0.0</v>
      </c>
      <c r="I175" s="184">
        <v>0.0</v>
      </c>
      <c r="J175" s="183">
        <f t="shared" si="3"/>
        <v>0</v>
      </c>
      <c r="K175" s="183">
        <f t="shared" si="4"/>
        <v>0</v>
      </c>
      <c r="L175" s="183">
        <f t="shared" si="5"/>
        <v>0</v>
      </c>
      <c r="M175" s="183">
        <f t="shared" si="6"/>
        <v>0</v>
      </c>
      <c r="N175" s="183">
        <f t="shared" si="218"/>
        <v>0</v>
      </c>
      <c r="O175" s="183">
        <f t="shared" ref="O175:Q175" si="226">G175+W175</f>
        <v>0</v>
      </c>
      <c r="P175" s="183">
        <f t="shared" si="226"/>
        <v>0</v>
      </c>
      <c r="Q175" s="183">
        <f t="shared" si="226"/>
        <v>0</v>
      </c>
      <c r="R175" s="183">
        <f t="shared" si="9"/>
        <v>0</v>
      </c>
      <c r="S175" s="183">
        <f t="shared" si="10"/>
        <v>0</v>
      </c>
      <c r="T175" s="183">
        <f t="shared" si="11"/>
        <v>0</v>
      </c>
      <c r="U175" s="186"/>
      <c r="V175" s="183">
        <f>IFERROR(__xludf.DUMMYFUNCTION("""COMPUTED_VALUE"""),0.0)</f>
        <v>0</v>
      </c>
      <c r="W175" s="183">
        <f>IFERROR(__xludf.DUMMYFUNCTION("""COMPUTED_VALUE"""),0.0)</f>
        <v>0</v>
      </c>
      <c r="X175" s="183">
        <f>IFERROR(__xludf.DUMMYFUNCTION("""COMPUTED_VALUE"""),0.0)</f>
        <v>0</v>
      </c>
      <c r="Y175" s="183">
        <f>IFERROR(__xludf.DUMMYFUNCTION("""COMPUTED_VALUE"""),0.0)</f>
        <v>0</v>
      </c>
      <c r="Z175" s="183">
        <f t="shared" si="12"/>
        <v>0</v>
      </c>
      <c r="AA175" s="183">
        <f t="shared" si="13"/>
        <v>0</v>
      </c>
      <c r="AB175" s="183">
        <f t="shared" si="14"/>
        <v>0</v>
      </c>
    </row>
    <row r="176" ht="14.25" customHeight="1">
      <c r="A176" s="175"/>
      <c r="B176" s="181" t="s">
        <v>463</v>
      </c>
      <c r="D176" s="209" t="s">
        <v>711</v>
      </c>
      <c r="E176" s="183">
        <f>SUMIFS('DB BTL'!$J:$J,'DB BTL'!$E:$E,$B176,'DB BTL'!$A:$A,$D$4,'DB BTL'!$B:$B,$E$3,'DB BTL'!$D:$D,AA$1)</f>
        <v>0</v>
      </c>
      <c r="F176" s="183">
        <f>SUMIFS('DB BTL'!$J:$J,'DB BTL'!$E:$E,$B176,'DB BTL'!$A:$A,$D$4,'DB BTL'!$B:$B,$E$3,'DB BTL'!$D:$D,AA$2)</f>
        <v>0</v>
      </c>
      <c r="G176" s="184">
        <f>IFERROR(HLOOKUP($E$3,'Tahun Lalu'!$B$5:$V$158,MATCH(B176,'Tahun Lalu'!$B$5:$B$158,0),0),0)</f>
        <v>0</v>
      </c>
      <c r="H176" s="184">
        <v>0.0</v>
      </c>
      <c r="I176" s="184">
        <v>0.0</v>
      </c>
      <c r="J176" s="183">
        <f t="shared" si="3"/>
        <v>0</v>
      </c>
      <c r="K176" s="183">
        <f t="shared" si="4"/>
        <v>0</v>
      </c>
      <c r="L176" s="183">
        <f t="shared" si="5"/>
        <v>0</v>
      </c>
      <c r="M176" s="183">
        <f t="shared" si="6"/>
        <v>0</v>
      </c>
      <c r="N176" s="183">
        <f t="shared" si="218"/>
        <v>0</v>
      </c>
      <c r="O176" s="183">
        <f t="shared" ref="O176:Q176" si="227">G176+W176</f>
        <v>0</v>
      </c>
      <c r="P176" s="183">
        <f t="shared" si="227"/>
        <v>0</v>
      </c>
      <c r="Q176" s="183">
        <f t="shared" si="227"/>
        <v>0</v>
      </c>
      <c r="R176" s="183">
        <f t="shared" si="9"/>
        <v>0</v>
      </c>
      <c r="S176" s="183">
        <f t="shared" si="10"/>
        <v>0</v>
      </c>
      <c r="T176" s="183">
        <f t="shared" si="11"/>
        <v>0</v>
      </c>
      <c r="U176" s="186"/>
      <c r="V176" s="183">
        <f>IFERROR(__xludf.DUMMYFUNCTION("""COMPUTED_VALUE"""),0.0)</f>
        <v>0</v>
      </c>
      <c r="W176" s="183">
        <f>IFERROR(__xludf.DUMMYFUNCTION("""COMPUTED_VALUE"""),0.0)</f>
        <v>0</v>
      </c>
      <c r="X176" s="183">
        <f>IFERROR(__xludf.DUMMYFUNCTION("""COMPUTED_VALUE"""),0.0)</f>
        <v>0</v>
      </c>
      <c r="Y176" s="183">
        <f>IFERROR(__xludf.DUMMYFUNCTION("""COMPUTED_VALUE"""),0.0)</f>
        <v>0</v>
      </c>
      <c r="Z176" s="183">
        <f t="shared" si="12"/>
        <v>0</v>
      </c>
      <c r="AA176" s="183">
        <f t="shared" si="13"/>
        <v>0</v>
      </c>
      <c r="AB176" s="183">
        <f t="shared" si="14"/>
        <v>0</v>
      </c>
    </row>
    <row r="177" ht="14.25" customHeight="1">
      <c r="A177" s="175"/>
      <c r="B177" s="181" t="s">
        <v>469</v>
      </c>
      <c r="D177" s="209" t="s">
        <v>712</v>
      </c>
      <c r="E177" s="183">
        <f>SUMIFS('DB BTL'!$J:$J,'DB BTL'!$E:$E,$B177,'DB BTL'!$A:$A,$D$4,'DB BTL'!$B:$B,$E$3,'DB BTL'!$D:$D,AA$1)</f>
        <v>0</v>
      </c>
      <c r="F177" s="183">
        <f>SUMIFS('DB BTL'!$J:$J,'DB BTL'!$E:$E,$B177,'DB BTL'!$A:$A,$D$4,'DB BTL'!$B:$B,$E$3,'DB BTL'!$D:$D,AA$2)</f>
        <v>0</v>
      </c>
      <c r="G177" s="184">
        <f>IFERROR(HLOOKUP($E$3,'Tahun Lalu'!$B$5:$V$158,MATCH(B177,'Tahun Lalu'!$B$5:$B$158,0),0),0)</f>
        <v>0</v>
      </c>
      <c r="H177" s="184">
        <v>0.0</v>
      </c>
      <c r="I177" s="184">
        <v>0.0</v>
      </c>
      <c r="J177" s="183">
        <f t="shared" si="3"/>
        <v>0</v>
      </c>
      <c r="K177" s="183">
        <f t="shared" si="4"/>
        <v>0</v>
      </c>
      <c r="L177" s="183">
        <f t="shared" si="5"/>
        <v>0</v>
      </c>
      <c r="M177" s="183">
        <f t="shared" si="6"/>
        <v>0</v>
      </c>
      <c r="N177" s="183">
        <f t="shared" si="218"/>
        <v>0</v>
      </c>
      <c r="O177" s="183">
        <f t="shared" ref="O177:Q177" si="228">G177+W177</f>
        <v>0</v>
      </c>
      <c r="P177" s="183">
        <f t="shared" si="228"/>
        <v>0</v>
      </c>
      <c r="Q177" s="183">
        <f t="shared" si="228"/>
        <v>0</v>
      </c>
      <c r="R177" s="183">
        <f t="shared" si="9"/>
        <v>0</v>
      </c>
      <c r="S177" s="183">
        <f t="shared" si="10"/>
        <v>0</v>
      </c>
      <c r="T177" s="183">
        <f t="shared" si="11"/>
        <v>0</v>
      </c>
      <c r="U177" s="186"/>
      <c r="V177" s="183">
        <f>IFERROR(__xludf.DUMMYFUNCTION("""COMPUTED_VALUE"""),0.0)</f>
        <v>0</v>
      </c>
      <c r="W177" s="183">
        <f>IFERROR(__xludf.DUMMYFUNCTION("""COMPUTED_VALUE"""),0.0)</f>
        <v>0</v>
      </c>
      <c r="X177" s="183">
        <f>IFERROR(__xludf.DUMMYFUNCTION("""COMPUTED_VALUE"""),0.0)</f>
        <v>0</v>
      </c>
      <c r="Y177" s="183">
        <f>IFERROR(__xludf.DUMMYFUNCTION("""COMPUTED_VALUE"""),0.0)</f>
        <v>0</v>
      </c>
      <c r="Z177" s="183">
        <f t="shared" si="12"/>
        <v>0</v>
      </c>
      <c r="AA177" s="183">
        <f t="shared" si="13"/>
        <v>0</v>
      </c>
      <c r="AB177" s="183">
        <f t="shared" si="14"/>
        <v>0</v>
      </c>
    </row>
    <row r="178" ht="14.25" customHeight="1">
      <c r="A178" s="175"/>
      <c r="B178" s="181" t="s">
        <v>487</v>
      </c>
      <c r="D178" s="209" t="s">
        <v>713</v>
      </c>
      <c r="E178" s="183">
        <f>SUMIFS('DB BTL'!$J:$J,'DB BTL'!$E:$E,$B178,'DB BTL'!$A:$A,$D$4,'DB BTL'!$B:$B,$E$3,'DB BTL'!$D:$D,AA$1)</f>
        <v>0</v>
      </c>
      <c r="F178" s="183">
        <f>SUMIFS('DB BTL'!$J:$J,'DB BTL'!$E:$E,$B178,'DB BTL'!$A:$A,$D$4,'DB BTL'!$B:$B,$E$3,'DB BTL'!$D:$D,AA$2)</f>
        <v>0</v>
      </c>
      <c r="G178" s="184">
        <f>IFERROR(HLOOKUP($E$3,'Tahun Lalu'!$B$5:$V$158,MATCH(B178,'Tahun Lalu'!$B$5:$B$158,0),0),0)</f>
        <v>0</v>
      </c>
      <c r="H178" s="184">
        <v>0.0</v>
      </c>
      <c r="I178" s="184">
        <v>0.0</v>
      </c>
      <c r="J178" s="183">
        <f t="shared" si="3"/>
        <v>0</v>
      </c>
      <c r="K178" s="183">
        <f t="shared" si="4"/>
        <v>0</v>
      </c>
      <c r="L178" s="183">
        <f t="shared" si="5"/>
        <v>0</v>
      </c>
      <c r="M178" s="183">
        <f t="shared" si="6"/>
        <v>0</v>
      </c>
      <c r="N178" s="183">
        <f t="shared" si="218"/>
        <v>0</v>
      </c>
      <c r="O178" s="183">
        <f t="shared" ref="O178:Q178" si="229">G178+W178</f>
        <v>0</v>
      </c>
      <c r="P178" s="183">
        <f t="shared" si="229"/>
        <v>0</v>
      </c>
      <c r="Q178" s="183">
        <f t="shared" si="229"/>
        <v>0</v>
      </c>
      <c r="R178" s="183">
        <f t="shared" si="9"/>
        <v>0</v>
      </c>
      <c r="S178" s="183">
        <f t="shared" si="10"/>
        <v>0</v>
      </c>
      <c r="T178" s="183">
        <f t="shared" si="11"/>
        <v>0</v>
      </c>
      <c r="U178" s="186"/>
      <c r="V178" s="183">
        <f>IFERROR(__xludf.DUMMYFUNCTION("""COMPUTED_VALUE"""),0.0)</f>
        <v>0</v>
      </c>
      <c r="W178" s="183">
        <f>IFERROR(__xludf.DUMMYFUNCTION("""COMPUTED_VALUE"""),0.0)</f>
        <v>0</v>
      </c>
      <c r="X178" s="183">
        <f>IFERROR(__xludf.DUMMYFUNCTION("""COMPUTED_VALUE"""),0.0)</f>
        <v>0</v>
      </c>
      <c r="Y178" s="183">
        <f>IFERROR(__xludf.DUMMYFUNCTION("""COMPUTED_VALUE"""),0.0)</f>
        <v>0</v>
      </c>
      <c r="Z178" s="183">
        <f t="shared" si="12"/>
        <v>0</v>
      </c>
      <c r="AA178" s="183">
        <f t="shared" si="13"/>
        <v>0</v>
      </c>
      <c r="AB178" s="183">
        <f t="shared" si="14"/>
        <v>0</v>
      </c>
    </row>
    <row r="179" ht="14.25" customHeight="1">
      <c r="A179" s="175"/>
      <c r="B179" s="181" t="s">
        <v>556</v>
      </c>
      <c r="D179" s="209" t="s">
        <v>908</v>
      </c>
      <c r="E179" s="183">
        <f>SUMIFS('DB BTL'!$J:$J,'DB BTL'!$E:$E,$B179,'DB BTL'!$A:$A,$D$4,'DB BTL'!$B:$B,$E$3,'DB BTL'!$D:$D,AA$1)</f>
        <v>0</v>
      </c>
      <c r="F179" s="183">
        <f>SUMIFS('DB BTL'!$J:$J,'DB BTL'!$E:$E,$B179,'DB BTL'!$A:$A,$D$4,'DB BTL'!$B:$B,$E$3,'DB BTL'!$D:$D,AA$2)</f>
        <v>0</v>
      </c>
      <c r="G179" s="184">
        <f>IFERROR(HLOOKUP($E$3,'Tahun Lalu'!$B$5:$V$158,MATCH(B179,'Tahun Lalu'!$B$5:$B$158,0),0),0)</f>
        <v>0</v>
      </c>
      <c r="H179" s="184">
        <v>0.0</v>
      </c>
      <c r="I179" s="184">
        <v>0.0</v>
      </c>
      <c r="J179" s="183">
        <f t="shared" si="3"/>
        <v>0</v>
      </c>
      <c r="K179" s="183">
        <f t="shared" si="4"/>
        <v>0</v>
      </c>
      <c r="L179" s="183">
        <f t="shared" si="5"/>
        <v>0</v>
      </c>
      <c r="M179" s="183">
        <f t="shared" si="6"/>
        <v>0</v>
      </c>
      <c r="N179" s="183">
        <f t="shared" si="218"/>
        <v>0</v>
      </c>
      <c r="O179" s="183">
        <f t="shared" ref="O179:Q179" si="230">G179+W179</f>
        <v>0</v>
      </c>
      <c r="P179" s="183">
        <f t="shared" si="230"/>
        <v>0</v>
      </c>
      <c r="Q179" s="183">
        <f t="shared" si="230"/>
        <v>0</v>
      </c>
      <c r="R179" s="183">
        <f t="shared" si="9"/>
        <v>0</v>
      </c>
      <c r="S179" s="183">
        <f t="shared" si="10"/>
        <v>0</v>
      </c>
      <c r="T179" s="183">
        <f t="shared" si="11"/>
        <v>0</v>
      </c>
      <c r="U179" s="186"/>
      <c r="V179" s="183">
        <f>IFERROR(__xludf.DUMMYFUNCTION("""COMPUTED_VALUE"""),0.0)</f>
        <v>0</v>
      </c>
      <c r="W179" s="183">
        <f>IFERROR(__xludf.DUMMYFUNCTION("""COMPUTED_VALUE"""),0.0)</f>
        <v>0</v>
      </c>
      <c r="X179" s="183">
        <f>IFERROR(__xludf.DUMMYFUNCTION("""COMPUTED_VALUE"""),0.0)</f>
        <v>0</v>
      </c>
      <c r="Y179" s="183">
        <f>IFERROR(__xludf.DUMMYFUNCTION("""COMPUTED_VALUE"""),0.0)</f>
        <v>0</v>
      </c>
      <c r="Z179" s="183">
        <f t="shared" si="12"/>
        <v>0</v>
      </c>
      <c r="AA179" s="183">
        <f t="shared" si="13"/>
        <v>0</v>
      </c>
      <c r="AB179" s="183">
        <f t="shared" si="14"/>
        <v>0</v>
      </c>
    </row>
    <row r="180" ht="14.25" customHeight="1">
      <c r="A180" s="175"/>
      <c r="B180" s="181"/>
      <c r="D180" s="209" t="s">
        <v>909</v>
      </c>
      <c r="E180" s="183">
        <f>SUMIFS('DB BTL'!$J:$J,'DB BTL'!$E:$E,$B180,'DB BTL'!$A:$A,$D$4,'DB BTL'!$B:$B,$E$3,'DB BTL'!$D:$D,AA$1)</f>
        <v>0</v>
      </c>
      <c r="F180" s="183">
        <f>SUMIFS('DB BTL'!$J:$J,'DB BTL'!$E:$E,$B180,'DB BTL'!$A:$A,$D$4,'DB BTL'!$B:$B,$E$3,'DB BTL'!$D:$D,AA$2)</f>
        <v>0</v>
      </c>
      <c r="G180" s="184">
        <f>IFERROR(HLOOKUP($E$3,'Tahun Lalu'!$B$5:$V$158,MATCH(B180,'Tahun Lalu'!$B$5:$B$158,0),0),0)</f>
        <v>0</v>
      </c>
      <c r="H180" s="184">
        <v>0.0</v>
      </c>
      <c r="I180" s="184">
        <v>0.0</v>
      </c>
      <c r="J180" s="183">
        <f t="shared" si="3"/>
        <v>0</v>
      </c>
      <c r="K180" s="183">
        <f t="shared" si="4"/>
        <v>0</v>
      </c>
      <c r="L180" s="183">
        <f t="shared" si="5"/>
        <v>0</v>
      </c>
      <c r="M180" s="183">
        <f t="shared" si="6"/>
        <v>0</v>
      </c>
      <c r="N180" s="183">
        <f t="shared" si="218"/>
        <v>0</v>
      </c>
      <c r="O180" s="183">
        <f t="shared" ref="O180:Q180" si="231">G180+W180</f>
        <v>0</v>
      </c>
      <c r="P180" s="183">
        <f t="shared" si="231"/>
        <v>0</v>
      </c>
      <c r="Q180" s="183">
        <f t="shared" si="231"/>
        <v>0</v>
      </c>
      <c r="R180" s="183">
        <f t="shared" si="9"/>
        <v>0</v>
      </c>
      <c r="S180" s="183">
        <f t="shared" si="10"/>
        <v>0</v>
      </c>
      <c r="T180" s="183">
        <f t="shared" si="11"/>
        <v>0</v>
      </c>
      <c r="U180" s="186"/>
      <c r="V180" s="183">
        <f>IFERROR(__xludf.DUMMYFUNCTION("""COMPUTED_VALUE"""),0.0)</f>
        <v>0</v>
      </c>
      <c r="W180" s="183">
        <f>IFERROR(__xludf.DUMMYFUNCTION("""COMPUTED_VALUE"""),0.0)</f>
        <v>0</v>
      </c>
      <c r="X180" s="183">
        <f>IFERROR(__xludf.DUMMYFUNCTION("""COMPUTED_VALUE"""),0.0)</f>
        <v>0</v>
      </c>
      <c r="Y180" s="183">
        <f>IFERROR(__xludf.DUMMYFUNCTION("""COMPUTED_VALUE"""),0.0)</f>
        <v>0</v>
      </c>
      <c r="Z180" s="183">
        <f t="shared" si="12"/>
        <v>0</v>
      </c>
      <c r="AA180" s="183">
        <f t="shared" si="13"/>
        <v>0</v>
      </c>
      <c r="AB180" s="183">
        <f t="shared" si="14"/>
        <v>0</v>
      </c>
    </row>
    <row r="181" ht="14.25" customHeight="1">
      <c r="A181" s="175"/>
      <c r="B181" s="177"/>
      <c r="D181" s="209" t="s">
        <v>910</v>
      </c>
      <c r="E181" s="183">
        <f>SUMIFS('DB BTL'!$J:$J,'DB BTL'!$E:$E,$B181,'DB BTL'!$A:$A,$D$4,'DB BTL'!$B:$B,$E$3,'DB BTL'!$D:$D,AA$1)</f>
        <v>0</v>
      </c>
      <c r="F181" s="183">
        <f>SUMIFS('DB BTL'!$J:$J,'DB BTL'!$E:$E,$B181,'DB BTL'!$A:$A,$D$4,'DB BTL'!$B:$B,$E$3,'DB BTL'!$D:$D,AA$2)</f>
        <v>0</v>
      </c>
      <c r="G181" s="184">
        <f>IFERROR(HLOOKUP($E$3,'Tahun Lalu'!$B$5:$V$158,MATCH(B181,'Tahun Lalu'!$B$5:$B$158,0),0),0)</f>
        <v>0</v>
      </c>
      <c r="H181" s="184">
        <v>0.0</v>
      </c>
      <c r="I181" s="184">
        <v>0.0</v>
      </c>
      <c r="J181" s="183">
        <f t="shared" si="3"/>
        <v>0</v>
      </c>
      <c r="K181" s="183">
        <f t="shared" si="4"/>
        <v>0</v>
      </c>
      <c r="L181" s="183">
        <f t="shared" si="5"/>
        <v>0</v>
      </c>
      <c r="M181" s="183">
        <f t="shared" si="6"/>
        <v>0</v>
      </c>
      <c r="N181" s="183">
        <f t="shared" si="218"/>
        <v>0</v>
      </c>
      <c r="O181" s="183">
        <f t="shared" ref="O181:Q181" si="232">G181+W181</f>
        <v>0</v>
      </c>
      <c r="P181" s="183">
        <f t="shared" si="232"/>
        <v>0</v>
      </c>
      <c r="Q181" s="183">
        <f t="shared" si="232"/>
        <v>0</v>
      </c>
      <c r="R181" s="183">
        <f t="shared" si="9"/>
        <v>0</v>
      </c>
      <c r="S181" s="183">
        <f t="shared" si="10"/>
        <v>0</v>
      </c>
      <c r="T181" s="183">
        <f t="shared" si="11"/>
        <v>0</v>
      </c>
      <c r="U181" s="186"/>
      <c r="V181" s="183">
        <f>IFERROR(__xludf.DUMMYFUNCTION("""COMPUTED_VALUE"""),0.0)</f>
        <v>0</v>
      </c>
      <c r="W181" s="183">
        <f>IFERROR(__xludf.DUMMYFUNCTION("""COMPUTED_VALUE"""),0.0)</f>
        <v>0</v>
      </c>
      <c r="X181" s="183">
        <f>IFERROR(__xludf.DUMMYFUNCTION("""COMPUTED_VALUE"""),0.0)</f>
        <v>0</v>
      </c>
      <c r="Y181" s="183">
        <f>IFERROR(__xludf.DUMMYFUNCTION("""COMPUTED_VALUE"""),0.0)</f>
        <v>0</v>
      </c>
      <c r="Z181" s="183">
        <f t="shared" si="12"/>
        <v>0</v>
      </c>
      <c r="AA181" s="183">
        <f t="shared" si="13"/>
        <v>0</v>
      </c>
      <c r="AB181" s="183">
        <f t="shared" si="14"/>
        <v>0</v>
      </c>
    </row>
    <row r="182" ht="14.25" customHeight="1">
      <c r="A182" s="175"/>
      <c r="B182" s="181" t="s">
        <v>548</v>
      </c>
      <c r="D182" s="209" t="s">
        <v>714</v>
      </c>
      <c r="E182" s="183">
        <f>SUMIFS('DB BTL'!$J:$J,'DB BTL'!$E:$E,$B182,'DB BTL'!$A:$A,$D$4,'DB BTL'!$B:$B,$E$3,'DB BTL'!$D:$D,AA$1)</f>
        <v>0</v>
      </c>
      <c r="F182" s="183">
        <f>SUMIFS('DB BTL'!$J:$J,'DB BTL'!$E:$E,$B182,'DB BTL'!$A:$A,$D$4,'DB BTL'!$B:$B,$E$3,'DB BTL'!$D:$D,AA$2)</f>
        <v>0</v>
      </c>
      <c r="G182" s="184">
        <f>IFERROR(HLOOKUP($E$3,'Tahun Lalu'!$B$5:$V$158,MATCH(B182,'Tahun Lalu'!$B$5:$B$158,0),0),0)</f>
        <v>0</v>
      </c>
      <c r="H182" s="184">
        <v>0.0</v>
      </c>
      <c r="I182" s="184">
        <v>0.0</v>
      </c>
      <c r="J182" s="183">
        <f t="shared" si="3"/>
        <v>0</v>
      </c>
      <c r="K182" s="183">
        <f t="shared" si="4"/>
        <v>0</v>
      </c>
      <c r="L182" s="183">
        <f t="shared" si="5"/>
        <v>0</v>
      </c>
      <c r="M182" s="183">
        <f t="shared" si="6"/>
        <v>0</v>
      </c>
      <c r="N182" s="183">
        <f t="shared" si="218"/>
        <v>0</v>
      </c>
      <c r="O182" s="183">
        <f t="shared" ref="O182:Q182" si="233">G182+W182</f>
        <v>0</v>
      </c>
      <c r="P182" s="183">
        <f t="shared" si="233"/>
        <v>0</v>
      </c>
      <c r="Q182" s="183">
        <f t="shared" si="233"/>
        <v>0</v>
      </c>
      <c r="R182" s="183">
        <f t="shared" si="9"/>
        <v>0</v>
      </c>
      <c r="S182" s="183">
        <f t="shared" si="10"/>
        <v>0</v>
      </c>
      <c r="T182" s="183">
        <f t="shared" si="11"/>
        <v>0</v>
      </c>
      <c r="U182" s="186"/>
      <c r="V182" s="183">
        <f>IFERROR(__xludf.DUMMYFUNCTION("""COMPUTED_VALUE"""),0.0)</f>
        <v>0</v>
      </c>
      <c r="W182" s="183">
        <f>IFERROR(__xludf.DUMMYFUNCTION("""COMPUTED_VALUE"""),0.0)</f>
        <v>0</v>
      </c>
      <c r="X182" s="183">
        <f>IFERROR(__xludf.DUMMYFUNCTION("""COMPUTED_VALUE"""),0.0)</f>
        <v>0</v>
      </c>
      <c r="Y182" s="183">
        <f>IFERROR(__xludf.DUMMYFUNCTION("""COMPUTED_VALUE"""),0.0)</f>
        <v>0</v>
      </c>
      <c r="Z182" s="183">
        <f t="shared" si="12"/>
        <v>0</v>
      </c>
      <c r="AA182" s="183">
        <f t="shared" si="13"/>
        <v>0</v>
      </c>
      <c r="AB182" s="183">
        <f t="shared" si="14"/>
        <v>0</v>
      </c>
    </row>
    <row r="183" ht="14.25" customHeight="1">
      <c r="A183" s="175"/>
      <c r="B183" s="181" t="s">
        <v>571</v>
      </c>
      <c r="D183" s="209" t="s">
        <v>715</v>
      </c>
      <c r="E183" s="183">
        <f>SUMIFS('DB BTL'!$J:$J,'DB BTL'!$E:$E,$B183,'DB BTL'!$A:$A,$D$4,'DB BTL'!$B:$B,$E$3,'DB BTL'!$D:$D,AA$1)</f>
        <v>0</v>
      </c>
      <c r="F183" s="183">
        <f>SUMIFS('DB BTL'!$J:$J,'DB BTL'!$E:$E,$B183,'DB BTL'!$A:$A,$D$4,'DB BTL'!$B:$B,$E$3,'DB BTL'!$D:$D,AA$2)</f>
        <v>0</v>
      </c>
      <c r="G183" s="184">
        <f>IFERROR(HLOOKUP($E$3,'Tahun Lalu'!$B$5:$V$158,MATCH(B183,'Tahun Lalu'!$B$5:$B$158,0),0),0)</f>
        <v>0</v>
      </c>
      <c r="H183" s="184">
        <v>0.0</v>
      </c>
      <c r="I183" s="184">
        <v>0.0</v>
      </c>
      <c r="J183" s="183">
        <f t="shared" si="3"/>
        <v>0</v>
      </c>
      <c r="K183" s="183">
        <f t="shared" si="4"/>
        <v>0</v>
      </c>
      <c r="L183" s="183">
        <f t="shared" si="5"/>
        <v>0</v>
      </c>
      <c r="M183" s="183">
        <f t="shared" si="6"/>
        <v>0</v>
      </c>
      <c r="N183" s="183">
        <f t="shared" si="218"/>
        <v>0</v>
      </c>
      <c r="O183" s="183">
        <f t="shared" ref="O183:Q183" si="234">G183+W183</f>
        <v>0</v>
      </c>
      <c r="P183" s="183">
        <f t="shared" si="234"/>
        <v>0</v>
      </c>
      <c r="Q183" s="183">
        <f t="shared" si="234"/>
        <v>0</v>
      </c>
      <c r="R183" s="183">
        <f t="shared" si="9"/>
        <v>0</v>
      </c>
      <c r="S183" s="183">
        <f t="shared" si="10"/>
        <v>0</v>
      </c>
      <c r="T183" s="183">
        <f t="shared" si="11"/>
        <v>0</v>
      </c>
      <c r="U183" s="186"/>
      <c r="V183" s="183">
        <f>IFERROR(__xludf.DUMMYFUNCTION("""COMPUTED_VALUE"""),0.0)</f>
        <v>0</v>
      </c>
      <c r="W183" s="183">
        <f>IFERROR(__xludf.DUMMYFUNCTION("""COMPUTED_VALUE"""),0.0)</f>
        <v>0</v>
      </c>
      <c r="X183" s="183">
        <f>IFERROR(__xludf.DUMMYFUNCTION("""COMPUTED_VALUE"""),0.0)</f>
        <v>0</v>
      </c>
      <c r="Y183" s="183">
        <f>IFERROR(__xludf.DUMMYFUNCTION("""COMPUTED_VALUE"""),0.0)</f>
        <v>0</v>
      </c>
      <c r="Z183" s="183">
        <f t="shared" si="12"/>
        <v>0</v>
      </c>
      <c r="AA183" s="183">
        <f t="shared" si="13"/>
        <v>0</v>
      </c>
      <c r="AB183" s="183">
        <f t="shared" si="14"/>
        <v>0</v>
      </c>
    </row>
    <row r="184" ht="14.25" customHeight="1">
      <c r="A184" s="175"/>
      <c r="B184" s="181" t="s">
        <v>473</v>
      </c>
      <c r="D184" s="209" t="s">
        <v>716</v>
      </c>
      <c r="E184" s="183">
        <f>SUMIFS('DB BTL'!$J:$J,'DB BTL'!$E:$E,$B184,'DB BTL'!$A:$A,$D$4,'DB BTL'!$B:$B,$E$3,'DB BTL'!$D:$D,AA$1)*0</f>
        <v>0</v>
      </c>
      <c r="F184" s="183">
        <f>SUMIFS('DB BTL'!$J:$J,'DB BTL'!$E:$E,$B184,'DB BTL'!$A:$A,$D$4,'DB BTL'!$B:$B,$E$3,'DB BTL'!$D:$D,AA$2)</f>
        <v>3889024</v>
      </c>
      <c r="G184" s="184">
        <f>IFERROR(HLOOKUP($E$3,'Tahun Lalu'!$B$5:$V$158,MATCH(B184,'Tahun Lalu'!$B$5:$B$158,0),0),0)</f>
        <v>0</v>
      </c>
      <c r="H184" s="184">
        <v>0.0</v>
      </c>
      <c r="I184" s="184">
        <v>0.0</v>
      </c>
      <c r="J184" s="183">
        <f t="shared" si="3"/>
        <v>0</v>
      </c>
      <c r="K184" s="183">
        <f t="shared" si="4"/>
        <v>0</v>
      </c>
      <c r="L184" s="183">
        <f t="shared" si="5"/>
        <v>0</v>
      </c>
      <c r="M184" s="183">
        <f t="shared" si="6"/>
        <v>0</v>
      </c>
      <c r="N184" s="183">
        <f t="shared" si="218"/>
        <v>6508171</v>
      </c>
      <c r="O184" s="183">
        <f t="shared" ref="O184:Q184" si="235">G184+W184</f>
        <v>0</v>
      </c>
      <c r="P184" s="183">
        <f t="shared" si="235"/>
        <v>0</v>
      </c>
      <c r="Q184" s="183">
        <f t="shared" si="235"/>
        <v>0</v>
      </c>
      <c r="R184" s="183">
        <f t="shared" si="9"/>
        <v>0</v>
      </c>
      <c r="S184" s="183">
        <f t="shared" si="10"/>
        <v>0</v>
      </c>
      <c r="T184" s="183">
        <f t="shared" si="11"/>
        <v>0</v>
      </c>
      <c r="U184" s="186"/>
      <c r="V184" s="183">
        <f>IFERROR(__xludf.DUMMYFUNCTION("""COMPUTED_VALUE"""),6508171.0)</f>
        <v>6508171</v>
      </c>
      <c r="W184" s="183">
        <f>IFERROR(__xludf.DUMMYFUNCTION("""COMPUTED_VALUE"""),0.0)</f>
        <v>0</v>
      </c>
      <c r="X184" s="183">
        <f>IFERROR(__xludf.DUMMYFUNCTION("""COMPUTED_VALUE"""),0.0)</f>
        <v>0</v>
      </c>
      <c r="Y184" s="183">
        <f>IFERROR(__xludf.DUMMYFUNCTION("""COMPUTED_VALUE"""),0.0)</f>
        <v>0</v>
      </c>
      <c r="Z184" s="183">
        <f t="shared" si="12"/>
        <v>0</v>
      </c>
      <c r="AA184" s="183">
        <f t="shared" si="13"/>
        <v>0</v>
      </c>
      <c r="AB184" s="183">
        <f t="shared" si="14"/>
        <v>0</v>
      </c>
    </row>
    <row r="185" ht="14.25" customHeight="1">
      <c r="A185" s="175"/>
      <c r="B185" s="181" t="s">
        <v>491</v>
      </c>
      <c r="D185" s="209" t="s">
        <v>717</v>
      </c>
      <c r="E185" s="183">
        <f>SUMIFS('DB BTL'!$J:$J,'DB BTL'!$E:$E,$B185,'DB BTL'!$A:$A,$D$4,'DB BTL'!$B:$B,$E$3,'DB BTL'!$D:$D,AA$1)</f>
        <v>0</v>
      </c>
      <c r="F185" s="183">
        <f>SUMIFS('DB BTL'!$J:$J,'DB BTL'!$E:$E,$B185,'DB BTL'!$A:$A,$D$4,'DB BTL'!$B:$B,$E$3,'DB BTL'!$D:$D,AA$2)</f>
        <v>0</v>
      </c>
      <c r="G185" s="184">
        <f>IFERROR(HLOOKUP($E$3,'Tahun Lalu'!$B$5:$V$158,MATCH(B185,'Tahun Lalu'!$B$5:$B$158,0),0),0)</f>
        <v>0</v>
      </c>
      <c r="H185" s="184">
        <v>0.0</v>
      </c>
      <c r="I185" s="184">
        <v>0.0</v>
      </c>
      <c r="J185" s="183">
        <f t="shared" si="3"/>
        <v>0</v>
      </c>
      <c r="K185" s="183">
        <f t="shared" si="4"/>
        <v>0</v>
      </c>
      <c r="L185" s="183">
        <f t="shared" si="5"/>
        <v>0</v>
      </c>
      <c r="M185" s="183">
        <f t="shared" si="6"/>
        <v>0</v>
      </c>
      <c r="N185" s="183">
        <f t="shared" si="218"/>
        <v>0</v>
      </c>
      <c r="O185" s="183">
        <f t="shared" ref="O185:Q185" si="236">G185+W185</f>
        <v>0</v>
      </c>
      <c r="P185" s="183">
        <f t="shared" si="236"/>
        <v>0</v>
      </c>
      <c r="Q185" s="183">
        <f t="shared" si="236"/>
        <v>0</v>
      </c>
      <c r="R185" s="183">
        <f t="shared" si="9"/>
        <v>0</v>
      </c>
      <c r="S185" s="183">
        <f t="shared" si="10"/>
        <v>0</v>
      </c>
      <c r="T185" s="183">
        <f t="shared" si="11"/>
        <v>0</v>
      </c>
      <c r="U185" s="186"/>
      <c r="V185" s="183">
        <f>IFERROR(__xludf.DUMMYFUNCTION("""COMPUTED_VALUE"""),0.0)</f>
        <v>0</v>
      </c>
      <c r="W185" s="183">
        <f>IFERROR(__xludf.DUMMYFUNCTION("""COMPUTED_VALUE"""),0.0)</f>
        <v>0</v>
      </c>
      <c r="X185" s="183">
        <f>IFERROR(__xludf.DUMMYFUNCTION("""COMPUTED_VALUE"""),0.0)</f>
        <v>0</v>
      </c>
      <c r="Y185" s="183">
        <f>IFERROR(__xludf.DUMMYFUNCTION("""COMPUTED_VALUE"""),0.0)</f>
        <v>0</v>
      </c>
      <c r="Z185" s="183">
        <f t="shared" si="12"/>
        <v>0</v>
      </c>
      <c r="AA185" s="183">
        <f t="shared" si="13"/>
        <v>0</v>
      </c>
      <c r="AB185" s="183">
        <f t="shared" si="14"/>
        <v>0</v>
      </c>
    </row>
    <row r="186" ht="14.25" customHeight="1">
      <c r="A186" s="175"/>
      <c r="B186" s="181" t="s">
        <v>494</v>
      </c>
      <c r="D186" s="209" t="s">
        <v>718</v>
      </c>
      <c r="E186" s="183">
        <f>SUMIFS('DB BTL'!$J:$J,'DB BTL'!$E:$E,$B186,'DB BTL'!$A:$A,$D$4,'DB BTL'!$B:$B,$E$3,'DB BTL'!$D:$D,AA$1)</f>
        <v>0</v>
      </c>
      <c r="F186" s="183">
        <f>SUMIFS('DB BTL'!$J:$J,'DB BTL'!$E:$E,$B186,'DB BTL'!$A:$A,$D$4,'DB BTL'!$B:$B,$E$3,'DB BTL'!$D:$D,AA$2)</f>
        <v>0</v>
      </c>
      <c r="G186" s="184">
        <f>IFERROR(HLOOKUP($E$3,'Tahun Lalu'!$B$5:$V$158,MATCH(B186,'Tahun Lalu'!$B$5:$B$158,0),0),0)</f>
        <v>0</v>
      </c>
      <c r="H186" s="184">
        <v>0.0</v>
      </c>
      <c r="I186" s="184">
        <v>0.0</v>
      </c>
      <c r="J186" s="183">
        <f t="shared" si="3"/>
        <v>0</v>
      </c>
      <c r="K186" s="183">
        <f t="shared" si="4"/>
        <v>0</v>
      </c>
      <c r="L186" s="183">
        <f t="shared" si="5"/>
        <v>0</v>
      </c>
      <c r="M186" s="183">
        <f t="shared" si="6"/>
        <v>0</v>
      </c>
      <c r="N186" s="183">
        <f t="shared" si="218"/>
        <v>0</v>
      </c>
      <c r="O186" s="183">
        <f t="shared" ref="O186:Q186" si="237">G186+W186</f>
        <v>0</v>
      </c>
      <c r="P186" s="183">
        <f t="shared" si="237"/>
        <v>0</v>
      </c>
      <c r="Q186" s="183">
        <f t="shared" si="237"/>
        <v>0</v>
      </c>
      <c r="R186" s="183">
        <f t="shared" si="9"/>
        <v>0</v>
      </c>
      <c r="S186" s="183">
        <f t="shared" si="10"/>
        <v>0</v>
      </c>
      <c r="T186" s="183">
        <f t="shared" si="11"/>
        <v>0</v>
      </c>
      <c r="U186" s="186"/>
      <c r="V186" s="183">
        <f>IFERROR(__xludf.DUMMYFUNCTION("""COMPUTED_VALUE"""),0.0)</f>
        <v>0</v>
      </c>
      <c r="W186" s="183">
        <f>IFERROR(__xludf.DUMMYFUNCTION("""COMPUTED_VALUE"""),0.0)</f>
        <v>0</v>
      </c>
      <c r="X186" s="183">
        <f>IFERROR(__xludf.DUMMYFUNCTION("""COMPUTED_VALUE"""),0.0)</f>
        <v>0</v>
      </c>
      <c r="Y186" s="183">
        <f>IFERROR(__xludf.DUMMYFUNCTION("""COMPUTED_VALUE"""),0.0)</f>
        <v>0</v>
      </c>
      <c r="Z186" s="183">
        <f t="shared" si="12"/>
        <v>0</v>
      </c>
      <c r="AA186" s="183">
        <f t="shared" si="13"/>
        <v>0</v>
      </c>
      <c r="AB186" s="183">
        <f t="shared" si="14"/>
        <v>0</v>
      </c>
    </row>
    <row r="187" ht="14.25" customHeight="1">
      <c r="A187" s="175"/>
      <c r="B187" s="181" t="s">
        <v>533</v>
      </c>
      <c r="D187" s="209" t="s">
        <v>719</v>
      </c>
      <c r="E187" s="183">
        <f>SUMIFS('DB BTL'!$J:$J,'DB BTL'!$E:$E,$B187,'DB BTL'!$A:$A,$D$4,'DB BTL'!$B:$B,$E$3,'DB BTL'!$D:$D,AA$1)</f>
        <v>0</v>
      </c>
      <c r="F187" s="183">
        <f>SUMIFS('DB BTL'!$J:$J,'DB BTL'!$E:$E,$B187,'DB BTL'!$A:$A,$D$4,'DB BTL'!$B:$B,$E$3,'DB BTL'!$D:$D,AA$2)</f>
        <v>0</v>
      </c>
      <c r="G187" s="184">
        <f>IFERROR(HLOOKUP($E$3,'Tahun Lalu'!$B$5:$V$158,MATCH(B187,'Tahun Lalu'!$B$5:$B$158,0),0),0)</f>
        <v>0</v>
      </c>
      <c r="H187" s="184">
        <v>0.0</v>
      </c>
      <c r="I187" s="184">
        <v>0.0</v>
      </c>
      <c r="J187" s="183">
        <f t="shared" si="3"/>
        <v>0</v>
      </c>
      <c r="K187" s="183">
        <f t="shared" si="4"/>
        <v>0</v>
      </c>
      <c r="L187" s="183">
        <f t="shared" si="5"/>
        <v>0</v>
      </c>
      <c r="M187" s="183">
        <f t="shared" si="6"/>
        <v>0</v>
      </c>
      <c r="N187" s="183">
        <f t="shared" si="218"/>
        <v>0</v>
      </c>
      <c r="O187" s="183">
        <f t="shared" ref="O187:Q187" si="238">G187+W187</f>
        <v>0</v>
      </c>
      <c r="P187" s="183">
        <f t="shared" si="238"/>
        <v>0</v>
      </c>
      <c r="Q187" s="183">
        <f t="shared" si="238"/>
        <v>0</v>
      </c>
      <c r="R187" s="183">
        <f t="shared" si="9"/>
        <v>0</v>
      </c>
      <c r="S187" s="183">
        <f t="shared" si="10"/>
        <v>0</v>
      </c>
      <c r="T187" s="183">
        <f t="shared" si="11"/>
        <v>0</v>
      </c>
      <c r="U187" s="186"/>
      <c r="V187" s="183">
        <f>IFERROR(__xludf.DUMMYFUNCTION("""COMPUTED_VALUE"""),0.0)</f>
        <v>0</v>
      </c>
      <c r="W187" s="183">
        <f>IFERROR(__xludf.DUMMYFUNCTION("""COMPUTED_VALUE"""),0.0)</f>
        <v>0</v>
      </c>
      <c r="X187" s="183">
        <f>IFERROR(__xludf.DUMMYFUNCTION("""COMPUTED_VALUE"""),0.0)</f>
        <v>0</v>
      </c>
      <c r="Y187" s="183">
        <f>IFERROR(__xludf.DUMMYFUNCTION("""COMPUTED_VALUE"""),0.0)</f>
        <v>0</v>
      </c>
      <c r="Z187" s="183">
        <f t="shared" si="12"/>
        <v>0</v>
      </c>
      <c r="AA187" s="183">
        <f t="shared" si="13"/>
        <v>0</v>
      </c>
      <c r="AB187" s="183">
        <f t="shared" si="14"/>
        <v>0</v>
      </c>
    </row>
    <row r="188" ht="14.25" customHeight="1">
      <c r="A188" s="175"/>
      <c r="B188" s="221"/>
      <c r="C188" s="222"/>
      <c r="D188" s="233" t="s">
        <v>911</v>
      </c>
      <c r="E188" s="224">
        <f t="shared" ref="E188:I188" si="239">sum(E166:E187)</f>
        <v>0</v>
      </c>
      <c r="F188" s="224">
        <f t="shared" si="239"/>
        <v>9598432</v>
      </c>
      <c r="G188" s="224">
        <f t="shared" si="239"/>
        <v>0</v>
      </c>
      <c r="H188" s="224">
        <f t="shared" si="239"/>
        <v>0</v>
      </c>
      <c r="I188" s="224">
        <f t="shared" si="239"/>
        <v>0</v>
      </c>
      <c r="J188" s="224">
        <f t="shared" si="3"/>
        <v>0</v>
      </c>
      <c r="K188" s="224">
        <f t="shared" si="4"/>
        <v>0</v>
      </c>
      <c r="L188" s="224">
        <f t="shared" si="5"/>
        <v>0</v>
      </c>
      <c r="M188" s="224">
        <f t="shared" si="6"/>
        <v>0</v>
      </c>
      <c r="N188" s="224">
        <f t="shared" ref="N188:Q188" si="240">sum(N166:N187)</f>
        <v>15047803</v>
      </c>
      <c r="O188" s="224">
        <f t="shared" si="240"/>
        <v>0</v>
      </c>
      <c r="P188" s="224">
        <f t="shared" si="240"/>
        <v>0</v>
      </c>
      <c r="Q188" s="224">
        <f t="shared" si="240"/>
        <v>0</v>
      </c>
      <c r="R188" s="224">
        <f t="shared" si="9"/>
        <v>0</v>
      </c>
      <c r="S188" s="224">
        <f t="shared" si="10"/>
        <v>0</v>
      </c>
      <c r="T188" s="224">
        <f t="shared" si="11"/>
        <v>0</v>
      </c>
      <c r="U188" s="225"/>
      <c r="V188" s="224">
        <f>IFERROR(__xludf.DUMMYFUNCTION("""COMPUTED_VALUE"""),1.5047803E7)</f>
        <v>15047803</v>
      </c>
      <c r="W188" s="224">
        <f>IFERROR(__xludf.DUMMYFUNCTION("""COMPUTED_VALUE"""),0.0)</f>
        <v>0</v>
      </c>
      <c r="X188" s="224">
        <f>IFERROR(__xludf.DUMMYFUNCTION("""COMPUTED_VALUE"""),0.0)</f>
        <v>0</v>
      </c>
      <c r="Y188" s="224">
        <f>IFERROR(__xludf.DUMMYFUNCTION("""COMPUTED_VALUE"""),0.0)</f>
        <v>0</v>
      </c>
      <c r="Z188" s="224">
        <f t="shared" si="12"/>
        <v>0</v>
      </c>
      <c r="AA188" s="224">
        <f t="shared" si="13"/>
        <v>0</v>
      </c>
      <c r="AB188" s="224">
        <f t="shared" si="14"/>
        <v>0</v>
      </c>
    </row>
    <row r="189" ht="14.25" customHeight="1">
      <c r="A189" s="175"/>
      <c r="B189" s="221" t="s">
        <v>912</v>
      </c>
      <c r="C189" s="222"/>
      <c r="D189" s="223"/>
      <c r="E189" s="235">
        <f t="shared" ref="E189:I189" si="241">E188+E165</f>
        <v>0</v>
      </c>
      <c r="F189" s="235">
        <f t="shared" si="241"/>
        <v>9598432</v>
      </c>
      <c r="G189" s="235">
        <f t="shared" si="241"/>
        <v>0</v>
      </c>
      <c r="H189" s="235">
        <f t="shared" si="241"/>
        <v>0</v>
      </c>
      <c r="I189" s="235">
        <f t="shared" si="241"/>
        <v>0</v>
      </c>
      <c r="J189" s="235">
        <f t="shared" si="3"/>
        <v>0</v>
      </c>
      <c r="K189" s="235">
        <f t="shared" si="4"/>
        <v>0</v>
      </c>
      <c r="L189" s="235">
        <f t="shared" si="5"/>
        <v>0</v>
      </c>
      <c r="M189" s="235">
        <f t="shared" si="6"/>
        <v>0</v>
      </c>
      <c r="N189" s="235">
        <f t="shared" ref="N189:Q189" si="242">N188+N165</f>
        <v>100153719</v>
      </c>
      <c r="O189" s="235">
        <f t="shared" si="242"/>
        <v>0</v>
      </c>
      <c r="P189" s="235">
        <f t="shared" si="242"/>
        <v>0</v>
      </c>
      <c r="Q189" s="235">
        <f t="shared" si="242"/>
        <v>0</v>
      </c>
      <c r="R189" s="235">
        <f t="shared" si="9"/>
        <v>0</v>
      </c>
      <c r="S189" s="235">
        <f t="shared" si="10"/>
        <v>0</v>
      </c>
      <c r="T189" s="235">
        <f t="shared" si="11"/>
        <v>0</v>
      </c>
      <c r="U189" s="202"/>
      <c r="V189" s="235">
        <f>IFERROR(__xludf.DUMMYFUNCTION("""COMPUTED_VALUE"""),1.00153719E8)</f>
        <v>100153719</v>
      </c>
      <c r="W189" s="235">
        <f>IFERROR(__xludf.DUMMYFUNCTION("""COMPUTED_VALUE"""),0.0)</f>
        <v>0</v>
      </c>
      <c r="X189" s="235">
        <f>IFERROR(__xludf.DUMMYFUNCTION("""COMPUTED_VALUE"""),0.0)</f>
        <v>0</v>
      </c>
      <c r="Y189" s="235">
        <f>IFERROR(__xludf.DUMMYFUNCTION("""COMPUTED_VALUE"""),0.0)</f>
        <v>0</v>
      </c>
      <c r="Z189" s="235">
        <f t="shared" si="12"/>
        <v>0</v>
      </c>
      <c r="AA189" s="235">
        <f t="shared" si="13"/>
        <v>0</v>
      </c>
      <c r="AB189" s="235">
        <f t="shared" si="14"/>
        <v>0</v>
      </c>
    </row>
    <row r="190" ht="14.25" customHeight="1">
      <c r="A190" s="175"/>
      <c r="B190" s="236" t="s">
        <v>913</v>
      </c>
      <c r="C190" s="237"/>
      <c r="D190" s="238"/>
      <c r="E190" s="239">
        <f t="shared" ref="E190:I190" si="243">E189+E149</f>
        <v>2186088</v>
      </c>
      <c r="F190" s="239">
        <f t="shared" si="243"/>
        <v>92210937</v>
      </c>
      <c r="G190" s="239">
        <f t="shared" si="243"/>
        <v>4961480</v>
      </c>
      <c r="H190" s="239">
        <f t="shared" si="243"/>
        <v>0</v>
      </c>
      <c r="I190" s="239">
        <f t="shared" si="243"/>
        <v>0</v>
      </c>
      <c r="J190" s="239">
        <f t="shared" si="3"/>
        <v>2.370746975</v>
      </c>
      <c r="K190" s="239">
        <f t="shared" si="4"/>
        <v>44.06120754</v>
      </c>
      <c r="L190" s="239">
        <f t="shared" si="5"/>
        <v>0</v>
      </c>
      <c r="M190" s="239">
        <f t="shared" si="6"/>
        <v>0</v>
      </c>
      <c r="N190" s="239">
        <f t="shared" ref="N190:Q190" si="244">N189+N149</f>
        <v>110567151</v>
      </c>
      <c r="O190" s="239">
        <f t="shared" si="244"/>
        <v>16803324</v>
      </c>
      <c r="P190" s="239">
        <f t="shared" si="244"/>
        <v>0</v>
      </c>
      <c r="Q190" s="239">
        <f t="shared" si="244"/>
        <v>0</v>
      </c>
      <c r="R190" s="239">
        <f t="shared" si="9"/>
        <v>658.0076121</v>
      </c>
      <c r="S190" s="239">
        <f t="shared" si="10"/>
        <v>0</v>
      </c>
      <c r="T190" s="239">
        <f t="shared" si="11"/>
        <v>0</v>
      </c>
      <c r="U190" s="202"/>
      <c r="V190" s="239">
        <f>IFERROR(__xludf.DUMMYFUNCTION("""COMPUTED_VALUE"""),1.08381063E8)</f>
        <v>108381063</v>
      </c>
      <c r="W190" s="239">
        <f>IFERROR(__xludf.DUMMYFUNCTION("""COMPUTED_VALUE"""),1.1841844E7)</f>
        <v>11841844</v>
      </c>
      <c r="X190" s="239">
        <f>IFERROR(__xludf.DUMMYFUNCTION("""COMPUTED_VALUE"""),0.0)</f>
        <v>0</v>
      </c>
      <c r="Y190" s="239">
        <f>IFERROR(__xludf.DUMMYFUNCTION("""COMPUTED_VALUE"""),0.0)</f>
        <v>0</v>
      </c>
      <c r="Z190" s="239">
        <f t="shared" si="12"/>
        <v>915.2380575</v>
      </c>
      <c r="AA190" s="239">
        <f t="shared" si="13"/>
        <v>0</v>
      </c>
      <c r="AB190" s="239">
        <f t="shared" si="14"/>
        <v>0</v>
      </c>
    </row>
    <row r="191" ht="14.25" customHeight="1">
      <c r="A191" s="175"/>
      <c r="B191" s="180"/>
      <c r="C191" s="177"/>
      <c r="D191" s="240" t="s">
        <v>914</v>
      </c>
      <c r="E191" s="183"/>
      <c r="F191" s="183"/>
      <c r="G191" s="183"/>
      <c r="H191" s="184">
        <v>0.0</v>
      </c>
      <c r="I191" s="184">
        <v>0.0</v>
      </c>
      <c r="J191" s="183">
        <f t="shared" si="3"/>
        <v>0</v>
      </c>
      <c r="K191" s="183">
        <f t="shared" si="4"/>
        <v>0</v>
      </c>
      <c r="L191" s="188">
        <f t="shared" si="5"/>
        <v>0</v>
      </c>
      <c r="M191" s="188">
        <f t="shared" si="6"/>
        <v>0</v>
      </c>
      <c r="N191" s="183"/>
      <c r="O191" s="183"/>
      <c r="P191" s="188">
        <v>0.0</v>
      </c>
      <c r="Q191" s="188">
        <v>0.0</v>
      </c>
      <c r="R191" s="183">
        <f t="shared" si="9"/>
        <v>0</v>
      </c>
      <c r="S191" s="183">
        <f t="shared" si="10"/>
        <v>0</v>
      </c>
      <c r="T191" s="188">
        <f t="shared" si="11"/>
        <v>0</v>
      </c>
      <c r="U191" s="189"/>
      <c r="V191" s="183"/>
      <c r="W191" s="183"/>
      <c r="X191" s="188">
        <f>IFERROR(__xludf.DUMMYFUNCTION("""COMPUTED_VALUE"""),0.0)</f>
        <v>0</v>
      </c>
      <c r="Y191" s="188">
        <f>IFERROR(__xludf.DUMMYFUNCTION("""COMPUTED_VALUE"""),0.0)</f>
        <v>0</v>
      </c>
      <c r="Z191" s="183">
        <f t="shared" si="12"/>
        <v>0</v>
      </c>
      <c r="AA191" s="183">
        <f t="shared" si="13"/>
        <v>0</v>
      </c>
      <c r="AB191" s="188">
        <f t="shared" si="14"/>
        <v>0</v>
      </c>
    </row>
    <row r="192" ht="14.25" customHeight="1">
      <c r="A192" s="175"/>
      <c r="B192" s="181" t="s">
        <v>915</v>
      </c>
      <c r="D192" s="209" t="s">
        <v>904</v>
      </c>
      <c r="E192" s="183">
        <f>SUMIFS('DB BTL'!$J:$J,'DB BTL'!$E:$E,$B192,'DB BTL'!$A:$A,$D$4,'DB BTL'!$B:$B,$E$3,'DB BTL'!$D:$D,AA$1)</f>
        <v>0</v>
      </c>
      <c r="F192" s="183">
        <f>SUMIFS('DB BTL'!$J:$J,'DB BTL'!$E:$E,$B192,'DB BTL'!$A:$A,$D$4,'DB BTL'!$B:$B,$E$3,'DB BTL'!$D:$D,AA$2)</f>
        <v>0</v>
      </c>
      <c r="G192" s="184">
        <f>IFERROR(HLOOKUP($E$3,'Tahun Lalu'!$B$5:$V$158,MATCH(B192,'Tahun Lalu'!$B$5:$B$158,0),0),0)</f>
        <v>0</v>
      </c>
      <c r="H192" s="184">
        <v>0.0</v>
      </c>
      <c r="I192" s="184">
        <v>0.0</v>
      </c>
      <c r="J192" s="183">
        <f t="shared" si="3"/>
        <v>0</v>
      </c>
      <c r="K192" s="183">
        <f t="shared" si="4"/>
        <v>0</v>
      </c>
      <c r="L192" s="183">
        <f t="shared" si="5"/>
        <v>0</v>
      </c>
      <c r="M192" s="183">
        <f t="shared" si="6"/>
        <v>0</v>
      </c>
      <c r="N192" s="183">
        <f t="shared" ref="N192:N207" si="246">E192+V192</f>
        <v>0</v>
      </c>
      <c r="O192" s="183">
        <f t="shared" ref="O192:Q192" si="245">G192+W192</f>
        <v>0</v>
      </c>
      <c r="P192" s="183">
        <f t="shared" si="245"/>
        <v>0</v>
      </c>
      <c r="Q192" s="183">
        <f t="shared" si="245"/>
        <v>0</v>
      </c>
      <c r="R192" s="183">
        <f t="shared" si="9"/>
        <v>0</v>
      </c>
      <c r="S192" s="183">
        <f t="shared" si="10"/>
        <v>0</v>
      </c>
      <c r="T192" s="183">
        <f t="shared" si="11"/>
        <v>0</v>
      </c>
      <c r="U192" s="186"/>
      <c r="V192" s="183">
        <f>IFERROR(__xludf.DUMMYFUNCTION("""COMPUTED_VALUE"""),0.0)</f>
        <v>0</v>
      </c>
      <c r="W192" s="183">
        <f>IFERROR(__xludf.DUMMYFUNCTION("""COMPUTED_VALUE"""),0.0)</f>
        <v>0</v>
      </c>
      <c r="X192" s="183">
        <f>IFERROR(__xludf.DUMMYFUNCTION("""COMPUTED_VALUE"""),0.0)</f>
        <v>0</v>
      </c>
      <c r="Y192" s="183">
        <f>IFERROR(__xludf.DUMMYFUNCTION("""COMPUTED_VALUE"""),0.0)</f>
        <v>0</v>
      </c>
      <c r="Z192" s="183">
        <f t="shared" si="12"/>
        <v>0</v>
      </c>
      <c r="AA192" s="183">
        <f t="shared" si="13"/>
        <v>0</v>
      </c>
      <c r="AB192" s="183">
        <f t="shared" si="14"/>
        <v>0</v>
      </c>
    </row>
    <row r="193" ht="14.25" customHeight="1">
      <c r="A193" s="175"/>
      <c r="B193" s="181" t="s">
        <v>916</v>
      </c>
      <c r="D193" s="209" t="s">
        <v>917</v>
      </c>
      <c r="E193" s="183">
        <f>SUMIFS('DB BTL'!$J:$J,'DB BTL'!$E:$E,$B193,'DB BTL'!$A:$A,$D$4,'DB BTL'!$B:$B,$E$3,'DB BTL'!$D:$D,AA$1)</f>
        <v>0</v>
      </c>
      <c r="F193" s="183">
        <f>SUMIFS('DB BTL'!$J:$J,'DB BTL'!$E:$E,$B193,'DB BTL'!$A:$A,$D$4,'DB BTL'!$B:$B,$E$3,'DB BTL'!$D:$D,AA$2)</f>
        <v>0</v>
      </c>
      <c r="G193" s="184">
        <f>IFERROR(HLOOKUP($E$3,'Tahun Lalu'!$B$5:$V$158,MATCH(B193,'Tahun Lalu'!$B$5:$B$158,0),0),0)</f>
        <v>0</v>
      </c>
      <c r="H193" s="184">
        <v>0.0</v>
      </c>
      <c r="I193" s="184">
        <v>0.0</v>
      </c>
      <c r="J193" s="183">
        <f t="shared" si="3"/>
        <v>0</v>
      </c>
      <c r="K193" s="183">
        <f t="shared" si="4"/>
        <v>0</v>
      </c>
      <c r="L193" s="183">
        <f t="shared" si="5"/>
        <v>0</v>
      </c>
      <c r="M193" s="183">
        <f t="shared" si="6"/>
        <v>0</v>
      </c>
      <c r="N193" s="183">
        <f t="shared" si="246"/>
        <v>0</v>
      </c>
      <c r="O193" s="183">
        <f t="shared" ref="O193:Q193" si="247">G193+W193</f>
        <v>0</v>
      </c>
      <c r="P193" s="183">
        <f t="shared" si="247"/>
        <v>0</v>
      </c>
      <c r="Q193" s="183">
        <f t="shared" si="247"/>
        <v>0</v>
      </c>
      <c r="R193" s="183">
        <f t="shared" si="9"/>
        <v>0</v>
      </c>
      <c r="S193" s="183">
        <f t="shared" si="10"/>
        <v>0</v>
      </c>
      <c r="T193" s="183">
        <f t="shared" si="11"/>
        <v>0</v>
      </c>
      <c r="U193" s="186"/>
      <c r="V193" s="183">
        <f>IFERROR(__xludf.DUMMYFUNCTION("""COMPUTED_VALUE"""),0.0)</f>
        <v>0</v>
      </c>
      <c r="W193" s="183">
        <f>IFERROR(__xludf.DUMMYFUNCTION("""COMPUTED_VALUE"""),0.0)</f>
        <v>0</v>
      </c>
      <c r="X193" s="183">
        <f>IFERROR(__xludf.DUMMYFUNCTION("""COMPUTED_VALUE"""),0.0)</f>
        <v>0</v>
      </c>
      <c r="Y193" s="183">
        <f>IFERROR(__xludf.DUMMYFUNCTION("""COMPUTED_VALUE"""),0.0)</f>
        <v>0</v>
      </c>
      <c r="Z193" s="183">
        <f t="shared" si="12"/>
        <v>0</v>
      </c>
      <c r="AA193" s="183">
        <f t="shared" si="13"/>
        <v>0</v>
      </c>
      <c r="AB193" s="183">
        <f t="shared" si="14"/>
        <v>0</v>
      </c>
    </row>
    <row r="194" ht="14.25" customHeight="1">
      <c r="A194" s="241"/>
      <c r="B194" s="242" t="s">
        <v>918</v>
      </c>
      <c r="C194" s="243"/>
      <c r="D194" s="244" t="s">
        <v>919</v>
      </c>
      <c r="E194" s="245">
        <f>SUMIFS('DB BTL'!$J:$J,'DB BTL'!$E:$E,$B194,'DB BTL'!$A:$A,$D$4,'DB BTL'!$B:$B,$E$3,'DB BTL'!$D:$D,AA$1)</f>
        <v>0</v>
      </c>
      <c r="F194" s="245">
        <f>SUMIFS('DB BTL'!$J:$J,'DB BTL'!$E:$E,$B194,'DB BTL'!$A:$A,$D$4,'DB BTL'!$B:$B,$E$3,'DB BTL'!$D:$D,AA$2)</f>
        <v>0</v>
      </c>
      <c r="G194" s="246">
        <f>IFERROR(HLOOKUP($E$3,'Tahun Lalu'!$B$5:$V$158,MATCH(B194,'Tahun Lalu'!$B$5:$B$158,0),0),0)</f>
        <v>0</v>
      </c>
      <c r="H194" s="184">
        <v>0.0</v>
      </c>
      <c r="I194" s="184">
        <v>0.0</v>
      </c>
      <c r="J194" s="245">
        <f t="shared" si="3"/>
        <v>0</v>
      </c>
      <c r="K194" s="245">
        <f t="shared" si="4"/>
        <v>0</v>
      </c>
      <c r="L194" s="245">
        <f t="shared" si="5"/>
        <v>0</v>
      </c>
      <c r="M194" s="245">
        <f t="shared" si="6"/>
        <v>0</v>
      </c>
      <c r="N194" s="245">
        <f t="shared" si="246"/>
        <v>0</v>
      </c>
      <c r="O194" s="245">
        <f t="shared" ref="O194:Q194" si="248">G194+W194</f>
        <v>0</v>
      </c>
      <c r="P194" s="245">
        <f t="shared" si="248"/>
        <v>0</v>
      </c>
      <c r="Q194" s="245">
        <f t="shared" si="248"/>
        <v>0</v>
      </c>
      <c r="R194" s="245">
        <f t="shared" si="9"/>
        <v>0</v>
      </c>
      <c r="S194" s="245">
        <f t="shared" si="10"/>
        <v>0</v>
      </c>
      <c r="T194" s="245">
        <f t="shared" si="11"/>
        <v>0</v>
      </c>
      <c r="U194" s="247"/>
      <c r="V194" s="245">
        <f>IFERROR(__xludf.DUMMYFUNCTION("""COMPUTED_VALUE"""),0.0)</f>
        <v>0</v>
      </c>
      <c r="W194" s="245">
        <f>IFERROR(__xludf.DUMMYFUNCTION("""COMPUTED_VALUE"""),0.0)</f>
        <v>0</v>
      </c>
      <c r="X194" s="245">
        <f>IFERROR(__xludf.DUMMYFUNCTION("""COMPUTED_VALUE"""),0.0)</f>
        <v>0</v>
      </c>
      <c r="Y194" s="245">
        <f>IFERROR(__xludf.DUMMYFUNCTION("""COMPUTED_VALUE"""),0.0)</f>
        <v>0</v>
      </c>
      <c r="Z194" s="245">
        <f t="shared" si="12"/>
        <v>0</v>
      </c>
      <c r="AA194" s="245">
        <f t="shared" si="13"/>
        <v>0</v>
      </c>
      <c r="AB194" s="245">
        <f t="shared" si="14"/>
        <v>0</v>
      </c>
    </row>
    <row r="195" ht="14.25" customHeight="1">
      <c r="A195" s="175"/>
      <c r="B195" s="181" t="s">
        <v>920</v>
      </c>
      <c r="D195" s="209" t="s">
        <v>921</v>
      </c>
      <c r="E195" s="183">
        <f>SUMIFS('DB BTL'!$J:$J,'DB BTL'!$E:$E,$B195,'DB BTL'!$A:$A,$D$4,'DB BTL'!$B:$B,$E$3,'DB BTL'!$D:$D,AA$1)</f>
        <v>0</v>
      </c>
      <c r="F195" s="183">
        <f>SUMIFS('DB BTL'!$J:$J,'DB BTL'!$E:$E,$B195,'DB BTL'!$A:$A,$D$4,'DB BTL'!$B:$B,$E$3,'DB BTL'!$D:$D,AA$2)</f>
        <v>0</v>
      </c>
      <c r="G195" s="184">
        <f>IFERROR(HLOOKUP($E$3,'Tahun Lalu'!$B$5:$V$158,MATCH(B195,'Tahun Lalu'!$B$5:$B$158,0),0),0)</f>
        <v>0</v>
      </c>
      <c r="H195" s="184">
        <v>0.0</v>
      </c>
      <c r="I195" s="184">
        <v>0.0</v>
      </c>
      <c r="J195" s="183">
        <f t="shared" si="3"/>
        <v>0</v>
      </c>
      <c r="K195" s="183">
        <f t="shared" si="4"/>
        <v>0</v>
      </c>
      <c r="L195" s="183">
        <f t="shared" si="5"/>
        <v>0</v>
      </c>
      <c r="M195" s="183">
        <f t="shared" si="6"/>
        <v>0</v>
      </c>
      <c r="N195" s="183">
        <f t="shared" si="246"/>
        <v>0</v>
      </c>
      <c r="O195" s="183">
        <f t="shared" ref="O195:Q195" si="249">G195+W195</f>
        <v>0</v>
      </c>
      <c r="P195" s="183">
        <f t="shared" si="249"/>
        <v>0</v>
      </c>
      <c r="Q195" s="183">
        <f t="shared" si="249"/>
        <v>0</v>
      </c>
      <c r="R195" s="183">
        <f t="shared" si="9"/>
        <v>0</v>
      </c>
      <c r="S195" s="183">
        <f t="shared" si="10"/>
        <v>0</v>
      </c>
      <c r="T195" s="183">
        <f t="shared" si="11"/>
        <v>0</v>
      </c>
      <c r="U195" s="186"/>
      <c r="V195" s="183">
        <f>IFERROR(__xludf.DUMMYFUNCTION("""COMPUTED_VALUE"""),0.0)</f>
        <v>0</v>
      </c>
      <c r="W195" s="183">
        <f>IFERROR(__xludf.DUMMYFUNCTION("""COMPUTED_VALUE"""),0.0)</f>
        <v>0</v>
      </c>
      <c r="X195" s="183">
        <f>IFERROR(__xludf.DUMMYFUNCTION("""COMPUTED_VALUE"""),0.0)</f>
        <v>0</v>
      </c>
      <c r="Y195" s="183">
        <f>IFERROR(__xludf.DUMMYFUNCTION("""COMPUTED_VALUE"""),0.0)</f>
        <v>0</v>
      </c>
      <c r="Z195" s="183">
        <f t="shared" si="12"/>
        <v>0</v>
      </c>
      <c r="AA195" s="183">
        <f t="shared" si="13"/>
        <v>0</v>
      </c>
      <c r="AB195" s="183">
        <f t="shared" si="14"/>
        <v>0</v>
      </c>
    </row>
    <row r="196" ht="14.25" customHeight="1">
      <c r="A196" s="175"/>
      <c r="B196" s="181" t="s">
        <v>922</v>
      </c>
      <c r="D196" s="209" t="s">
        <v>923</v>
      </c>
      <c r="E196" s="183">
        <f>SUMIFS('DB BTL'!$J:$J,'DB BTL'!$E:$E,$B196,'DB BTL'!$A:$A,$D$4,'DB BTL'!$B:$B,$E$3,'DB BTL'!$D:$D,AA$1)</f>
        <v>0</v>
      </c>
      <c r="F196" s="183">
        <f>SUMIFS('DB BTL'!$J:$J,'DB BTL'!$E:$E,$B196,'DB BTL'!$A:$A,$D$4,'DB BTL'!$B:$B,$E$3,'DB BTL'!$D:$D,AA$2)</f>
        <v>0</v>
      </c>
      <c r="G196" s="184">
        <f>IFERROR(HLOOKUP($E$3,'Tahun Lalu'!$B$5:$V$158,MATCH(B196,'Tahun Lalu'!$B$5:$B$158,0),0),0)</f>
        <v>0</v>
      </c>
      <c r="H196" s="184">
        <v>0.0</v>
      </c>
      <c r="I196" s="184">
        <v>0.0</v>
      </c>
      <c r="J196" s="183">
        <f t="shared" si="3"/>
        <v>0</v>
      </c>
      <c r="K196" s="183">
        <f t="shared" si="4"/>
        <v>0</v>
      </c>
      <c r="L196" s="183">
        <f t="shared" si="5"/>
        <v>0</v>
      </c>
      <c r="M196" s="183">
        <f t="shared" si="6"/>
        <v>0</v>
      </c>
      <c r="N196" s="183">
        <f t="shared" si="246"/>
        <v>0</v>
      </c>
      <c r="O196" s="183">
        <f t="shared" ref="O196:Q196" si="250">G196+W196</f>
        <v>0</v>
      </c>
      <c r="P196" s="183">
        <f t="shared" si="250"/>
        <v>0</v>
      </c>
      <c r="Q196" s="183">
        <f t="shared" si="250"/>
        <v>0</v>
      </c>
      <c r="R196" s="183">
        <f t="shared" si="9"/>
        <v>0</v>
      </c>
      <c r="S196" s="183">
        <f t="shared" si="10"/>
        <v>0</v>
      </c>
      <c r="T196" s="183">
        <f t="shared" si="11"/>
        <v>0</v>
      </c>
      <c r="U196" s="186"/>
      <c r="V196" s="183">
        <f>IFERROR(__xludf.DUMMYFUNCTION("""COMPUTED_VALUE"""),0.0)</f>
        <v>0</v>
      </c>
      <c r="W196" s="183">
        <f>IFERROR(__xludf.DUMMYFUNCTION("""COMPUTED_VALUE"""),0.0)</f>
        <v>0</v>
      </c>
      <c r="X196" s="183">
        <f>IFERROR(__xludf.DUMMYFUNCTION("""COMPUTED_VALUE"""),0.0)</f>
        <v>0</v>
      </c>
      <c r="Y196" s="183">
        <f>IFERROR(__xludf.DUMMYFUNCTION("""COMPUTED_VALUE"""),0.0)</f>
        <v>0</v>
      </c>
      <c r="Z196" s="183">
        <f t="shared" si="12"/>
        <v>0</v>
      </c>
      <c r="AA196" s="183">
        <f t="shared" si="13"/>
        <v>0</v>
      </c>
      <c r="AB196" s="183">
        <f t="shared" si="14"/>
        <v>0</v>
      </c>
    </row>
    <row r="197" ht="14.25" customHeight="1">
      <c r="A197" s="175"/>
      <c r="B197" s="181" t="s">
        <v>924</v>
      </c>
      <c r="D197" s="209" t="s">
        <v>907</v>
      </c>
      <c r="E197" s="183">
        <f>SUMIFS('DB BTL'!$J:$J,'DB BTL'!$E:$E,$B197,'DB BTL'!$A:$A,$D$4,'DB BTL'!$B:$B,$E$3,'DB BTL'!$D:$D,AA$1)</f>
        <v>0</v>
      </c>
      <c r="F197" s="183">
        <f>SUMIFS('DB BTL'!$J:$J,'DB BTL'!$E:$E,$B197,'DB BTL'!$A:$A,$D$4,'DB BTL'!$B:$B,$E$3,'DB BTL'!$D:$D,AA$2)</f>
        <v>0</v>
      </c>
      <c r="G197" s="184">
        <f>IFERROR(HLOOKUP($E$3,'Tahun Lalu'!$B$5:$V$158,MATCH(B197,'Tahun Lalu'!$B$5:$B$158,0),0),0)</f>
        <v>0</v>
      </c>
      <c r="H197" s="184">
        <v>0.0</v>
      </c>
      <c r="I197" s="184">
        <v>0.0</v>
      </c>
      <c r="J197" s="183">
        <f t="shared" si="3"/>
        <v>0</v>
      </c>
      <c r="K197" s="183">
        <f t="shared" si="4"/>
        <v>0</v>
      </c>
      <c r="L197" s="183">
        <f t="shared" si="5"/>
        <v>0</v>
      </c>
      <c r="M197" s="183">
        <f t="shared" si="6"/>
        <v>0</v>
      </c>
      <c r="N197" s="183">
        <f t="shared" si="246"/>
        <v>0</v>
      </c>
      <c r="O197" s="183">
        <f t="shared" ref="O197:Q197" si="251">G197+W197</f>
        <v>0</v>
      </c>
      <c r="P197" s="183">
        <f t="shared" si="251"/>
        <v>0</v>
      </c>
      <c r="Q197" s="183">
        <f t="shared" si="251"/>
        <v>0</v>
      </c>
      <c r="R197" s="183">
        <f t="shared" si="9"/>
        <v>0</v>
      </c>
      <c r="S197" s="183">
        <f t="shared" si="10"/>
        <v>0</v>
      </c>
      <c r="T197" s="183">
        <f t="shared" si="11"/>
        <v>0</v>
      </c>
      <c r="U197" s="186"/>
      <c r="V197" s="183">
        <f>IFERROR(__xludf.DUMMYFUNCTION("""COMPUTED_VALUE"""),0.0)</f>
        <v>0</v>
      </c>
      <c r="W197" s="183">
        <f>IFERROR(__xludf.DUMMYFUNCTION("""COMPUTED_VALUE"""),0.0)</f>
        <v>0</v>
      </c>
      <c r="X197" s="183">
        <f>IFERROR(__xludf.DUMMYFUNCTION("""COMPUTED_VALUE"""),0.0)</f>
        <v>0</v>
      </c>
      <c r="Y197" s="183">
        <f>IFERROR(__xludf.DUMMYFUNCTION("""COMPUTED_VALUE"""),0.0)</f>
        <v>0</v>
      </c>
      <c r="Z197" s="183">
        <f t="shared" si="12"/>
        <v>0</v>
      </c>
      <c r="AA197" s="183">
        <f t="shared" si="13"/>
        <v>0</v>
      </c>
      <c r="AB197" s="183">
        <f t="shared" si="14"/>
        <v>0</v>
      </c>
    </row>
    <row r="198" ht="14.25" customHeight="1">
      <c r="A198" s="175"/>
      <c r="B198" s="181" t="s">
        <v>925</v>
      </c>
      <c r="D198" s="209" t="s">
        <v>926</v>
      </c>
      <c r="E198" s="183">
        <f>SUMIFS('DB BTL'!$J:$J,'DB BTL'!$E:$E,$B198,'DB BTL'!$A:$A,$D$4,'DB BTL'!$B:$B,$E$3,'DB BTL'!$D:$D,AA$1)</f>
        <v>0</v>
      </c>
      <c r="F198" s="183">
        <f>SUMIFS('DB BTL'!$J:$J,'DB BTL'!$E:$E,$B198,'DB BTL'!$A:$A,$D$4,'DB BTL'!$B:$B,$E$3,'DB BTL'!$D:$D,AA$2)</f>
        <v>0</v>
      </c>
      <c r="G198" s="184">
        <f>IFERROR(HLOOKUP($E$3,'Tahun Lalu'!$B$5:$V$158,MATCH(B198,'Tahun Lalu'!$B$5:$B$158,0),0),0)</f>
        <v>0</v>
      </c>
      <c r="H198" s="184">
        <v>0.0</v>
      </c>
      <c r="I198" s="184">
        <v>0.0</v>
      </c>
      <c r="J198" s="183">
        <f t="shared" si="3"/>
        <v>0</v>
      </c>
      <c r="K198" s="183">
        <f t="shared" si="4"/>
        <v>0</v>
      </c>
      <c r="L198" s="183">
        <f t="shared" si="5"/>
        <v>0</v>
      </c>
      <c r="M198" s="183">
        <f t="shared" si="6"/>
        <v>0</v>
      </c>
      <c r="N198" s="183">
        <f t="shared" si="246"/>
        <v>0</v>
      </c>
      <c r="O198" s="183">
        <f t="shared" ref="O198:Q198" si="252">G198+W198</f>
        <v>0</v>
      </c>
      <c r="P198" s="183">
        <f t="shared" si="252"/>
        <v>0</v>
      </c>
      <c r="Q198" s="183">
        <f t="shared" si="252"/>
        <v>0</v>
      </c>
      <c r="R198" s="183">
        <f t="shared" si="9"/>
        <v>0</v>
      </c>
      <c r="S198" s="183">
        <f t="shared" si="10"/>
        <v>0</v>
      </c>
      <c r="T198" s="183">
        <f t="shared" si="11"/>
        <v>0</v>
      </c>
      <c r="U198" s="186"/>
      <c r="V198" s="183">
        <f>IFERROR(__xludf.DUMMYFUNCTION("""COMPUTED_VALUE"""),0.0)</f>
        <v>0</v>
      </c>
      <c r="W198" s="183">
        <f>IFERROR(__xludf.DUMMYFUNCTION("""COMPUTED_VALUE"""),0.0)</f>
        <v>0</v>
      </c>
      <c r="X198" s="183">
        <f>IFERROR(__xludf.DUMMYFUNCTION("""COMPUTED_VALUE"""),0.0)</f>
        <v>0</v>
      </c>
      <c r="Y198" s="183">
        <f>IFERROR(__xludf.DUMMYFUNCTION("""COMPUTED_VALUE"""),0.0)</f>
        <v>0</v>
      </c>
      <c r="Z198" s="183">
        <f t="shared" si="12"/>
        <v>0</v>
      </c>
      <c r="AA198" s="183">
        <f t="shared" si="13"/>
        <v>0</v>
      </c>
      <c r="AB198" s="183">
        <f t="shared" si="14"/>
        <v>0</v>
      </c>
    </row>
    <row r="199" ht="14.25" customHeight="1">
      <c r="A199" s="175"/>
      <c r="B199" s="181" t="s">
        <v>927</v>
      </c>
      <c r="D199" s="209" t="s">
        <v>928</v>
      </c>
      <c r="E199" s="183">
        <f>SUMIFS('DB BTL'!$J:$J,'DB BTL'!$E:$E,$B199,'DB BTL'!$A:$A,$D$4,'DB BTL'!$B:$B,$E$3,'DB BTL'!$D:$D,AA$1)</f>
        <v>0</v>
      </c>
      <c r="F199" s="183">
        <f>SUMIFS('DB BTL'!$J:$J,'DB BTL'!$E:$E,$B199,'DB BTL'!$A:$A,$D$4,'DB BTL'!$B:$B,$E$3,'DB BTL'!$D:$D,AA$2)</f>
        <v>0</v>
      </c>
      <c r="G199" s="184">
        <f>IFERROR(HLOOKUP($E$3,'Tahun Lalu'!$B$5:$V$158,MATCH(B199,'Tahun Lalu'!$B$5:$B$158,0),0),0)</f>
        <v>0</v>
      </c>
      <c r="H199" s="184">
        <v>0.0</v>
      </c>
      <c r="I199" s="184">
        <v>0.0</v>
      </c>
      <c r="J199" s="183">
        <f t="shared" si="3"/>
        <v>0</v>
      </c>
      <c r="K199" s="183">
        <f t="shared" si="4"/>
        <v>0</v>
      </c>
      <c r="L199" s="183">
        <f t="shared" si="5"/>
        <v>0</v>
      </c>
      <c r="M199" s="183">
        <f t="shared" si="6"/>
        <v>0</v>
      </c>
      <c r="N199" s="183">
        <f t="shared" si="246"/>
        <v>0</v>
      </c>
      <c r="O199" s="183">
        <f t="shared" ref="O199:Q199" si="253">G199+W199</f>
        <v>0</v>
      </c>
      <c r="P199" s="183">
        <f t="shared" si="253"/>
        <v>0</v>
      </c>
      <c r="Q199" s="183">
        <f t="shared" si="253"/>
        <v>0</v>
      </c>
      <c r="R199" s="183">
        <f t="shared" si="9"/>
        <v>0</v>
      </c>
      <c r="S199" s="183">
        <f t="shared" si="10"/>
        <v>0</v>
      </c>
      <c r="T199" s="183">
        <f t="shared" si="11"/>
        <v>0</v>
      </c>
      <c r="U199" s="186"/>
      <c r="V199" s="183">
        <f>IFERROR(__xludf.DUMMYFUNCTION("""COMPUTED_VALUE"""),0.0)</f>
        <v>0</v>
      </c>
      <c r="W199" s="183">
        <f>IFERROR(__xludf.DUMMYFUNCTION("""COMPUTED_VALUE"""),0.0)</f>
        <v>0</v>
      </c>
      <c r="X199" s="183">
        <f>IFERROR(__xludf.DUMMYFUNCTION("""COMPUTED_VALUE"""),0.0)</f>
        <v>0</v>
      </c>
      <c r="Y199" s="183">
        <f>IFERROR(__xludf.DUMMYFUNCTION("""COMPUTED_VALUE"""),0.0)</f>
        <v>0</v>
      </c>
      <c r="Z199" s="183">
        <f t="shared" si="12"/>
        <v>0</v>
      </c>
      <c r="AA199" s="183">
        <f t="shared" si="13"/>
        <v>0</v>
      </c>
      <c r="AB199" s="183">
        <f t="shared" si="14"/>
        <v>0</v>
      </c>
    </row>
    <row r="200" ht="14.25" customHeight="1">
      <c r="A200" s="175"/>
      <c r="B200" s="181" t="s">
        <v>929</v>
      </c>
      <c r="D200" s="209" t="s">
        <v>930</v>
      </c>
      <c r="E200" s="183">
        <f>SUMIFS('DB BTL'!$J:$J,'DB BTL'!$E:$E,$B200,'DB BTL'!$A:$A,$D$4,'DB BTL'!$B:$B,$E$3,'DB BTL'!$D:$D,AA$1)</f>
        <v>0</v>
      </c>
      <c r="F200" s="183">
        <f>SUMIFS('DB BTL'!$J:$J,'DB BTL'!$E:$E,$B200,'DB BTL'!$A:$A,$D$4,'DB BTL'!$B:$B,$E$3,'DB BTL'!$D:$D,AA$2)</f>
        <v>0</v>
      </c>
      <c r="G200" s="184">
        <f>IFERROR(HLOOKUP($E$3,'Tahun Lalu'!$B$5:$V$158,MATCH(B200,'Tahun Lalu'!$B$5:$B$158,0),0),0)</f>
        <v>0</v>
      </c>
      <c r="H200" s="184">
        <v>0.0</v>
      </c>
      <c r="I200" s="184">
        <v>0.0</v>
      </c>
      <c r="J200" s="183">
        <f t="shared" si="3"/>
        <v>0</v>
      </c>
      <c r="K200" s="183">
        <f t="shared" si="4"/>
        <v>0</v>
      </c>
      <c r="L200" s="183">
        <f t="shared" si="5"/>
        <v>0</v>
      </c>
      <c r="M200" s="183">
        <f t="shared" si="6"/>
        <v>0</v>
      </c>
      <c r="N200" s="183">
        <f t="shared" si="246"/>
        <v>0</v>
      </c>
      <c r="O200" s="183">
        <f t="shared" ref="O200:Q200" si="254">G200+W200</f>
        <v>0</v>
      </c>
      <c r="P200" s="183">
        <f t="shared" si="254"/>
        <v>0</v>
      </c>
      <c r="Q200" s="183">
        <f t="shared" si="254"/>
        <v>0</v>
      </c>
      <c r="R200" s="183">
        <f t="shared" si="9"/>
        <v>0</v>
      </c>
      <c r="S200" s="183">
        <f t="shared" si="10"/>
        <v>0</v>
      </c>
      <c r="T200" s="183">
        <f t="shared" si="11"/>
        <v>0</v>
      </c>
      <c r="U200" s="186"/>
      <c r="V200" s="183">
        <f>IFERROR(__xludf.DUMMYFUNCTION("""COMPUTED_VALUE"""),0.0)</f>
        <v>0</v>
      </c>
      <c r="W200" s="183">
        <f>IFERROR(__xludf.DUMMYFUNCTION("""COMPUTED_VALUE"""),0.0)</f>
        <v>0</v>
      </c>
      <c r="X200" s="183">
        <f>IFERROR(__xludf.DUMMYFUNCTION("""COMPUTED_VALUE"""),0.0)</f>
        <v>0</v>
      </c>
      <c r="Y200" s="183">
        <f>IFERROR(__xludf.DUMMYFUNCTION("""COMPUTED_VALUE"""),0.0)</f>
        <v>0</v>
      </c>
      <c r="Z200" s="183">
        <f t="shared" si="12"/>
        <v>0</v>
      </c>
      <c r="AA200" s="183">
        <f t="shared" si="13"/>
        <v>0</v>
      </c>
      <c r="AB200" s="183">
        <f t="shared" si="14"/>
        <v>0</v>
      </c>
    </row>
    <row r="201" ht="14.25" customHeight="1">
      <c r="A201" s="175"/>
      <c r="B201" s="181" t="s">
        <v>931</v>
      </c>
      <c r="D201" s="209" t="s">
        <v>932</v>
      </c>
      <c r="E201" s="183">
        <f>SUMIFS('DB BTL'!$J:$J,'DB BTL'!$E:$E,$B201,'DB BTL'!$A:$A,$D$4,'DB BTL'!$B:$B,$E$3,'DB BTL'!$D:$D,AA$1)</f>
        <v>0</v>
      </c>
      <c r="F201" s="183">
        <f>SUMIFS('DB BTL'!$J:$J,'DB BTL'!$E:$E,$B201,'DB BTL'!$A:$A,$D$4,'DB BTL'!$B:$B,$E$3,'DB BTL'!$D:$D,AA$2)</f>
        <v>0</v>
      </c>
      <c r="G201" s="184">
        <f>IFERROR(HLOOKUP($E$3,'Tahun Lalu'!$B$5:$V$158,MATCH(B201,'Tahun Lalu'!$B$5:$B$158,0),0),0)</f>
        <v>0</v>
      </c>
      <c r="H201" s="184">
        <v>0.0</v>
      </c>
      <c r="I201" s="184">
        <v>0.0</v>
      </c>
      <c r="J201" s="183">
        <f t="shared" si="3"/>
        <v>0</v>
      </c>
      <c r="K201" s="183">
        <f t="shared" si="4"/>
        <v>0</v>
      </c>
      <c r="L201" s="183">
        <f t="shared" si="5"/>
        <v>0</v>
      </c>
      <c r="M201" s="183">
        <f t="shared" si="6"/>
        <v>0</v>
      </c>
      <c r="N201" s="183">
        <f t="shared" si="246"/>
        <v>0</v>
      </c>
      <c r="O201" s="183">
        <f t="shared" ref="O201:Q201" si="255">G201+W201</f>
        <v>0</v>
      </c>
      <c r="P201" s="183">
        <f t="shared" si="255"/>
        <v>0</v>
      </c>
      <c r="Q201" s="183">
        <f t="shared" si="255"/>
        <v>0</v>
      </c>
      <c r="R201" s="183">
        <f t="shared" si="9"/>
        <v>0</v>
      </c>
      <c r="S201" s="183">
        <f t="shared" si="10"/>
        <v>0</v>
      </c>
      <c r="T201" s="183">
        <f t="shared" si="11"/>
        <v>0</v>
      </c>
      <c r="U201" s="186"/>
      <c r="V201" s="183">
        <f>IFERROR(__xludf.DUMMYFUNCTION("""COMPUTED_VALUE"""),0.0)</f>
        <v>0</v>
      </c>
      <c r="W201" s="183">
        <f>IFERROR(__xludf.DUMMYFUNCTION("""COMPUTED_VALUE"""),0.0)</f>
        <v>0</v>
      </c>
      <c r="X201" s="183">
        <f>IFERROR(__xludf.DUMMYFUNCTION("""COMPUTED_VALUE"""),0.0)</f>
        <v>0</v>
      </c>
      <c r="Y201" s="183">
        <f>IFERROR(__xludf.DUMMYFUNCTION("""COMPUTED_VALUE"""),0.0)</f>
        <v>0</v>
      </c>
      <c r="Z201" s="183">
        <f t="shared" si="12"/>
        <v>0</v>
      </c>
      <c r="AA201" s="183">
        <f t="shared" si="13"/>
        <v>0</v>
      </c>
      <c r="AB201" s="183">
        <f t="shared" si="14"/>
        <v>0</v>
      </c>
    </row>
    <row r="202" ht="14.25" customHeight="1">
      <c r="A202" s="175"/>
      <c r="B202" s="181" t="s">
        <v>933</v>
      </c>
      <c r="D202" s="209" t="s">
        <v>934</v>
      </c>
      <c r="E202" s="183">
        <f>SUMIFS('DB BTL'!$J:$J,'DB BTL'!$E:$E,$B202,'DB BTL'!$A:$A,$D$4,'DB BTL'!$B:$B,$E$3,'DB BTL'!$D:$D,AA$1)</f>
        <v>0</v>
      </c>
      <c r="F202" s="183">
        <f>SUMIFS('DB BTL'!$J:$J,'DB BTL'!$E:$E,$B202,'DB BTL'!$A:$A,$D$4,'DB BTL'!$B:$B,$E$3,'DB BTL'!$D:$D,AA$2)</f>
        <v>0</v>
      </c>
      <c r="G202" s="184">
        <f>IFERROR(HLOOKUP($E$3,'Tahun Lalu'!$B$5:$V$158,MATCH(B202,'Tahun Lalu'!$B$5:$B$158,0),0),0)</f>
        <v>0</v>
      </c>
      <c r="H202" s="184">
        <v>0.0</v>
      </c>
      <c r="I202" s="184">
        <v>0.0</v>
      </c>
      <c r="J202" s="183">
        <f t="shared" si="3"/>
        <v>0</v>
      </c>
      <c r="K202" s="183">
        <f t="shared" si="4"/>
        <v>0</v>
      </c>
      <c r="L202" s="183">
        <f t="shared" si="5"/>
        <v>0</v>
      </c>
      <c r="M202" s="183">
        <f t="shared" si="6"/>
        <v>0</v>
      </c>
      <c r="N202" s="183">
        <f t="shared" si="246"/>
        <v>0</v>
      </c>
      <c r="O202" s="183">
        <f t="shared" ref="O202:Q202" si="256">G202+W202</f>
        <v>0</v>
      </c>
      <c r="P202" s="183">
        <f t="shared" si="256"/>
        <v>0</v>
      </c>
      <c r="Q202" s="183">
        <f t="shared" si="256"/>
        <v>0</v>
      </c>
      <c r="R202" s="183">
        <f t="shared" si="9"/>
        <v>0</v>
      </c>
      <c r="S202" s="183">
        <f t="shared" si="10"/>
        <v>0</v>
      </c>
      <c r="T202" s="183">
        <f t="shared" si="11"/>
        <v>0</v>
      </c>
      <c r="U202" s="186"/>
      <c r="V202" s="183">
        <f>IFERROR(__xludf.DUMMYFUNCTION("""COMPUTED_VALUE"""),0.0)</f>
        <v>0</v>
      </c>
      <c r="W202" s="183">
        <f>IFERROR(__xludf.DUMMYFUNCTION("""COMPUTED_VALUE"""),0.0)</f>
        <v>0</v>
      </c>
      <c r="X202" s="183">
        <f>IFERROR(__xludf.DUMMYFUNCTION("""COMPUTED_VALUE"""),0.0)</f>
        <v>0</v>
      </c>
      <c r="Y202" s="183">
        <f>IFERROR(__xludf.DUMMYFUNCTION("""COMPUTED_VALUE"""),0.0)</f>
        <v>0</v>
      </c>
      <c r="Z202" s="183">
        <f t="shared" si="12"/>
        <v>0</v>
      </c>
      <c r="AA202" s="183">
        <f t="shared" si="13"/>
        <v>0</v>
      </c>
      <c r="AB202" s="183">
        <f t="shared" si="14"/>
        <v>0</v>
      </c>
    </row>
    <row r="203" ht="14.25" customHeight="1">
      <c r="A203" s="175"/>
      <c r="B203" s="181" t="s">
        <v>935</v>
      </c>
      <c r="D203" s="209" t="s">
        <v>936</v>
      </c>
      <c r="E203" s="183">
        <f>SUMIFS('DB BTL'!$J:$J,'DB BTL'!$E:$E,$B203,'DB BTL'!$A:$A,$D$4,'DB BTL'!$B:$B,$E$3,'DB BTL'!$D:$D,AA$1)</f>
        <v>0</v>
      </c>
      <c r="F203" s="183">
        <f>SUMIFS('DB BTL'!$J:$J,'DB BTL'!$E:$E,$B203,'DB BTL'!$A:$A,$D$4,'DB BTL'!$B:$B,$E$3,'DB BTL'!$D:$D,AA$2)</f>
        <v>0</v>
      </c>
      <c r="G203" s="184">
        <f>IFERROR(HLOOKUP($E$3,'Tahun Lalu'!$B$5:$V$158,MATCH(B203,'Tahun Lalu'!$B$5:$B$158,0),0),0)</f>
        <v>0</v>
      </c>
      <c r="H203" s="184">
        <v>0.0</v>
      </c>
      <c r="I203" s="184">
        <v>0.0</v>
      </c>
      <c r="J203" s="183">
        <f t="shared" si="3"/>
        <v>0</v>
      </c>
      <c r="K203" s="183">
        <f t="shared" si="4"/>
        <v>0</v>
      </c>
      <c r="L203" s="183">
        <f t="shared" si="5"/>
        <v>0</v>
      </c>
      <c r="M203" s="183">
        <f t="shared" si="6"/>
        <v>0</v>
      </c>
      <c r="N203" s="183">
        <f t="shared" si="246"/>
        <v>0</v>
      </c>
      <c r="O203" s="183">
        <f t="shared" ref="O203:Q203" si="257">G203+W203</f>
        <v>0</v>
      </c>
      <c r="P203" s="183">
        <f t="shared" si="257"/>
        <v>0</v>
      </c>
      <c r="Q203" s="183">
        <f t="shared" si="257"/>
        <v>0</v>
      </c>
      <c r="R203" s="183">
        <f t="shared" si="9"/>
        <v>0</v>
      </c>
      <c r="S203" s="183">
        <f t="shared" si="10"/>
        <v>0</v>
      </c>
      <c r="T203" s="183">
        <f t="shared" si="11"/>
        <v>0</v>
      </c>
      <c r="U203" s="186"/>
      <c r="V203" s="183">
        <f>IFERROR(__xludf.DUMMYFUNCTION("""COMPUTED_VALUE"""),0.0)</f>
        <v>0</v>
      </c>
      <c r="W203" s="183">
        <f>IFERROR(__xludf.DUMMYFUNCTION("""COMPUTED_VALUE"""),0.0)</f>
        <v>0</v>
      </c>
      <c r="X203" s="183">
        <f>IFERROR(__xludf.DUMMYFUNCTION("""COMPUTED_VALUE"""),0.0)</f>
        <v>0</v>
      </c>
      <c r="Y203" s="183">
        <f>IFERROR(__xludf.DUMMYFUNCTION("""COMPUTED_VALUE"""),0.0)</f>
        <v>0</v>
      </c>
      <c r="Z203" s="183">
        <f t="shared" si="12"/>
        <v>0</v>
      </c>
      <c r="AA203" s="183">
        <f t="shared" si="13"/>
        <v>0</v>
      </c>
      <c r="AB203" s="183">
        <f t="shared" si="14"/>
        <v>0</v>
      </c>
    </row>
    <row r="204" ht="14.25" customHeight="1">
      <c r="A204" s="175"/>
      <c r="B204" s="181" t="s">
        <v>937</v>
      </c>
      <c r="D204" s="209" t="s">
        <v>938</v>
      </c>
      <c r="E204" s="183">
        <f>SUMIFS('DB BTL'!$J:$J,'DB BTL'!$E:$E,$B204,'DB BTL'!$A:$A,$D$4,'DB BTL'!$B:$B,$E$3,'DB BTL'!$D:$D,AA$1)</f>
        <v>0</v>
      </c>
      <c r="F204" s="183">
        <f>SUMIFS('DB BTL'!$J:$J,'DB BTL'!$E:$E,$B204,'DB BTL'!$A:$A,$D$4,'DB BTL'!$B:$B,$E$3,'DB BTL'!$D:$D,AA$2)</f>
        <v>0</v>
      </c>
      <c r="G204" s="184">
        <f>IFERROR(HLOOKUP($E$3,'Tahun Lalu'!$B$5:$V$158,MATCH(B204,'Tahun Lalu'!$B$5:$B$158,0),0),0)</f>
        <v>0</v>
      </c>
      <c r="H204" s="184">
        <v>0.0</v>
      </c>
      <c r="I204" s="184">
        <v>0.0</v>
      </c>
      <c r="J204" s="183">
        <f t="shared" si="3"/>
        <v>0</v>
      </c>
      <c r="K204" s="183">
        <f t="shared" si="4"/>
        <v>0</v>
      </c>
      <c r="L204" s="183">
        <f t="shared" si="5"/>
        <v>0</v>
      </c>
      <c r="M204" s="183">
        <f t="shared" si="6"/>
        <v>0</v>
      </c>
      <c r="N204" s="183">
        <f t="shared" si="246"/>
        <v>0</v>
      </c>
      <c r="O204" s="183">
        <f t="shared" ref="O204:Q204" si="258">G204+W204</f>
        <v>0</v>
      </c>
      <c r="P204" s="183">
        <f t="shared" si="258"/>
        <v>0</v>
      </c>
      <c r="Q204" s="183">
        <f t="shared" si="258"/>
        <v>0</v>
      </c>
      <c r="R204" s="183">
        <f t="shared" si="9"/>
        <v>0</v>
      </c>
      <c r="S204" s="183">
        <f t="shared" si="10"/>
        <v>0</v>
      </c>
      <c r="T204" s="183">
        <f t="shared" si="11"/>
        <v>0</v>
      </c>
      <c r="U204" s="186"/>
      <c r="V204" s="183">
        <f>IFERROR(__xludf.DUMMYFUNCTION("""COMPUTED_VALUE"""),0.0)</f>
        <v>0</v>
      </c>
      <c r="W204" s="183">
        <f>IFERROR(__xludf.DUMMYFUNCTION("""COMPUTED_VALUE"""),0.0)</f>
        <v>0</v>
      </c>
      <c r="X204" s="183">
        <f>IFERROR(__xludf.DUMMYFUNCTION("""COMPUTED_VALUE"""),0.0)</f>
        <v>0</v>
      </c>
      <c r="Y204" s="183">
        <f>IFERROR(__xludf.DUMMYFUNCTION("""COMPUTED_VALUE"""),0.0)</f>
        <v>0</v>
      </c>
      <c r="Z204" s="183">
        <f t="shared" si="12"/>
        <v>0</v>
      </c>
      <c r="AA204" s="183">
        <f t="shared" si="13"/>
        <v>0</v>
      </c>
      <c r="AB204" s="183">
        <f t="shared" si="14"/>
        <v>0</v>
      </c>
    </row>
    <row r="205" ht="14.25" customHeight="1">
      <c r="A205" s="175"/>
      <c r="B205" s="181" t="s">
        <v>939</v>
      </c>
      <c r="D205" s="209" t="s">
        <v>940</v>
      </c>
      <c r="E205" s="183">
        <f>SUMIFS('DB BTL'!$J:$J,'DB BTL'!$E:$E,$B205,'DB BTL'!$A:$A,$D$4,'DB BTL'!$B:$B,$E$3,'DB BTL'!$D:$D,AA$1)</f>
        <v>0</v>
      </c>
      <c r="F205" s="183">
        <f>SUMIFS('DB BTL'!$J:$J,'DB BTL'!$E:$E,$B205,'DB BTL'!$A:$A,$D$4,'DB BTL'!$B:$B,$E$3,'DB BTL'!$D:$D,AA$2)</f>
        <v>0</v>
      </c>
      <c r="G205" s="184">
        <f>IFERROR(HLOOKUP($E$3,'Tahun Lalu'!$B$5:$V$158,MATCH(B205,'Tahun Lalu'!$B$5:$B$158,0),0),0)</f>
        <v>0</v>
      </c>
      <c r="H205" s="184">
        <v>0.0</v>
      </c>
      <c r="I205" s="184">
        <v>0.0</v>
      </c>
      <c r="J205" s="183">
        <f t="shared" si="3"/>
        <v>0</v>
      </c>
      <c r="K205" s="183">
        <f t="shared" si="4"/>
        <v>0</v>
      </c>
      <c r="L205" s="183">
        <f t="shared" si="5"/>
        <v>0</v>
      </c>
      <c r="M205" s="183">
        <f t="shared" si="6"/>
        <v>0</v>
      </c>
      <c r="N205" s="183">
        <f t="shared" si="246"/>
        <v>0</v>
      </c>
      <c r="O205" s="183">
        <f t="shared" ref="O205:Q205" si="259">G205+W205</f>
        <v>0</v>
      </c>
      <c r="P205" s="183">
        <f t="shared" si="259"/>
        <v>0</v>
      </c>
      <c r="Q205" s="183">
        <f t="shared" si="259"/>
        <v>0</v>
      </c>
      <c r="R205" s="183">
        <f t="shared" si="9"/>
        <v>0</v>
      </c>
      <c r="S205" s="183">
        <f t="shared" si="10"/>
        <v>0</v>
      </c>
      <c r="T205" s="183">
        <f t="shared" si="11"/>
        <v>0</v>
      </c>
      <c r="U205" s="186"/>
      <c r="V205" s="183">
        <f>IFERROR(__xludf.DUMMYFUNCTION("""COMPUTED_VALUE"""),0.0)</f>
        <v>0</v>
      </c>
      <c r="W205" s="183">
        <f>IFERROR(__xludf.DUMMYFUNCTION("""COMPUTED_VALUE"""),0.0)</f>
        <v>0</v>
      </c>
      <c r="X205" s="183">
        <f>IFERROR(__xludf.DUMMYFUNCTION("""COMPUTED_VALUE"""),0.0)</f>
        <v>0</v>
      </c>
      <c r="Y205" s="183">
        <f>IFERROR(__xludf.DUMMYFUNCTION("""COMPUTED_VALUE"""),0.0)</f>
        <v>0</v>
      </c>
      <c r="Z205" s="183">
        <f t="shared" si="12"/>
        <v>0</v>
      </c>
      <c r="AA205" s="183">
        <f t="shared" si="13"/>
        <v>0</v>
      </c>
      <c r="AB205" s="183">
        <f t="shared" si="14"/>
        <v>0</v>
      </c>
    </row>
    <row r="206" ht="14.25" customHeight="1">
      <c r="A206" s="175"/>
      <c r="B206" s="181" t="s">
        <v>941</v>
      </c>
      <c r="D206" s="209" t="s">
        <v>582</v>
      </c>
      <c r="E206" s="183">
        <f>SUMIFS('DB BTL'!$J:$J,'DB BTL'!$E:$E,$B206,'DB BTL'!$A:$A,$D$4,'DB BTL'!$B:$B,$E$3,'DB BTL'!$D:$D,AA$1)</f>
        <v>0</v>
      </c>
      <c r="F206" s="183">
        <f>SUMIFS('DB BTL'!$J:$J,'DB BTL'!$E:$E,$B206,'DB BTL'!$A:$A,$D$4,'DB BTL'!$B:$B,$E$3,'DB BTL'!$D:$D,AA$2)</f>
        <v>0</v>
      </c>
      <c r="G206" s="184">
        <f>IFERROR(HLOOKUP($E$3,'Tahun Lalu'!$B$5:$V$158,MATCH(B206,'Tahun Lalu'!$B$5:$B$158,0),0),0)</f>
        <v>0</v>
      </c>
      <c r="H206" s="184">
        <v>0.0</v>
      </c>
      <c r="I206" s="184">
        <v>0.0</v>
      </c>
      <c r="J206" s="183">
        <f t="shared" si="3"/>
        <v>0</v>
      </c>
      <c r="K206" s="183">
        <f t="shared" si="4"/>
        <v>0</v>
      </c>
      <c r="L206" s="183">
        <f t="shared" si="5"/>
        <v>0</v>
      </c>
      <c r="M206" s="183">
        <f t="shared" si="6"/>
        <v>0</v>
      </c>
      <c r="N206" s="183">
        <f t="shared" si="246"/>
        <v>0</v>
      </c>
      <c r="O206" s="183">
        <f t="shared" ref="O206:Q206" si="260">G206+W206</f>
        <v>0</v>
      </c>
      <c r="P206" s="183">
        <f t="shared" si="260"/>
        <v>0</v>
      </c>
      <c r="Q206" s="183">
        <f t="shared" si="260"/>
        <v>0</v>
      </c>
      <c r="R206" s="183">
        <f t="shared" si="9"/>
        <v>0</v>
      </c>
      <c r="S206" s="183">
        <f t="shared" si="10"/>
        <v>0</v>
      </c>
      <c r="T206" s="183">
        <f t="shared" si="11"/>
        <v>0</v>
      </c>
      <c r="U206" s="186"/>
      <c r="V206" s="183">
        <f>IFERROR(__xludf.DUMMYFUNCTION("""COMPUTED_VALUE"""),0.0)</f>
        <v>0</v>
      </c>
      <c r="W206" s="183">
        <f>IFERROR(__xludf.DUMMYFUNCTION("""COMPUTED_VALUE"""),0.0)</f>
        <v>0</v>
      </c>
      <c r="X206" s="183">
        <f>IFERROR(__xludf.DUMMYFUNCTION("""COMPUTED_VALUE"""),0.0)</f>
        <v>0</v>
      </c>
      <c r="Y206" s="183">
        <f>IFERROR(__xludf.DUMMYFUNCTION("""COMPUTED_VALUE"""),0.0)</f>
        <v>0</v>
      </c>
      <c r="Z206" s="183">
        <f t="shared" si="12"/>
        <v>0</v>
      </c>
      <c r="AA206" s="183">
        <f t="shared" si="13"/>
        <v>0</v>
      </c>
      <c r="AB206" s="183">
        <f t="shared" si="14"/>
        <v>0</v>
      </c>
    </row>
    <row r="207" ht="14.25" customHeight="1">
      <c r="A207" s="175"/>
      <c r="B207" s="181" t="s">
        <v>942</v>
      </c>
      <c r="D207" s="209" t="s">
        <v>943</v>
      </c>
      <c r="E207" s="183">
        <f>SUMIFS('DB BTL'!$J:$J,'DB BTL'!$E:$E,$B207,'DB BTL'!$A:$A,$D$4,'DB BTL'!$B:$B,$E$3,'DB BTL'!$D:$D,AA$1)</f>
        <v>0</v>
      </c>
      <c r="F207" s="183">
        <f>SUMIFS('DB BTL'!$J:$J,'DB BTL'!$E:$E,$B207,'DB BTL'!$A:$A,$D$4,'DB BTL'!$B:$B,$E$3,'DB BTL'!$D:$D,AA$2)</f>
        <v>0</v>
      </c>
      <c r="G207" s="184">
        <f>IFERROR(HLOOKUP($E$3,'Tahun Lalu'!$B$5:$V$158,MATCH(B207,'Tahun Lalu'!$B$5:$B$158,0),0),0)</f>
        <v>0</v>
      </c>
      <c r="H207" s="184">
        <v>0.0</v>
      </c>
      <c r="I207" s="184">
        <v>0.0</v>
      </c>
      <c r="J207" s="183">
        <f t="shared" si="3"/>
        <v>0</v>
      </c>
      <c r="K207" s="183">
        <f t="shared" si="4"/>
        <v>0</v>
      </c>
      <c r="L207" s="183">
        <f t="shared" si="5"/>
        <v>0</v>
      </c>
      <c r="M207" s="183">
        <f t="shared" si="6"/>
        <v>0</v>
      </c>
      <c r="N207" s="183">
        <f t="shared" si="246"/>
        <v>0</v>
      </c>
      <c r="O207" s="183">
        <f t="shared" ref="O207:Q207" si="261">G207+W207</f>
        <v>0</v>
      </c>
      <c r="P207" s="183">
        <f t="shared" si="261"/>
        <v>0</v>
      </c>
      <c r="Q207" s="183">
        <f t="shared" si="261"/>
        <v>0</v>
      </c>
      <c r="R207" s="183">
        <f t="shared" si="9"/>
        <v>0</v>
      </c>
      <c r="S207" s="183">
        <f t="shared" si="10"/>
        <v>0</v>
      </c>
      <c r="T207" s="183">
        <f t="shared" si="11"/>
        <v>0</v>
      </c>
      <c r="U207" s="186"/>
      <c r="V207" s="183">
        <f>IFERROR(__xludf.DUMMYFUNCTION("""COMPUTED_VALUE"""),0.0)</f>
        <v>0</v>
      </c>
      <c r="W207" s="183">
        <f>IFERROR(__xludf.DUMMYFUNCTION("""COMPUTED_VALUE"""),0.0)</f>
        <v>0</v>
      </c>
      <c r="X207" s="183">
        <f>IFERROR(__xludf.DUMMYFUNCTION("""COMPUTED_VALUE"""),0.0)</f>
        <v>0</v>
      </c>
      <c r="Y207" s="183">
        <f>IFERROR(__xludf.DUMMYFUNCTION("""COMPUTED_VALUE"""),0.0)</f>
        <v>0</v>
      </c>
      <c r="Z207" s="183">
        <f t="shared" si="12"/>
        <v>0</v>
      </c>
      <c r="AA207" s="183">
        <f t="shared" si="13"/>
        <v>0</v>
      </c>
      <c r="AB207" s="183">
        <f t="shared" si="14"/>
        <v>0</v>
      </c>
    </row>
    <row r="208" ht="14.25" customHeight="1">
      <c r="A208" s="175"/>
      <c r="B208" s="221"/>
      <c r="C208" s="222"/>
      <c r="D208" s="233" t="s">
        <v>944</v>
      </c>
      <c r="E208" s="224">
        <f t="shared" ref="E208:I208" si="262">sum(E191:E207)</f>
        <v>0</v>
      </c>
      <c r="F208" s="224">
        <f t="shared" si="262"/>
        <v>0</v>
      </c>
      <c r="G208" s="224">
        <f t="shared" si="262"/>
        <v>0</v>
      </c>
      <c r="H208" s="224">
        <f t="shared" si="262"/>
        <v>0</v>
      </c>
      <c r="I208" s="224">
        <f t="shared" si="262"/>
        <v>0</v>
      </c>
      <c r="J208" s="224">
        <f t="shared" si="3"/>
        <v>0</v>
      </c>
      <c r="K208" s="224">
        <f t="shared" si="4"/>
        <v>0</v>
      </c>
      <c r="L208" s="224">
        <f t="shared" si="5"/>
        <v>0</v>
      </c>
      <c r="M208" s="224">
        <f t="shared" si="6"/>
        <v>0</v>
      </c>
      <c r="N208" s="224">
        <f t="shared" ref="N208:Q208" si="263">sum(N191:N207)</f>
        <v>0</v>
      </c>
      <c r="O208" s="224">
        <f t="shared" si="263"/>
        <v>0</v>
      </c>
      <c r="P208" s="224">
        <f t="shared" si="263"/>
        <v>0</v>
      </c>
      <c r="Q208" s="224">
        <f t="shared" si="263"/>
        <v>0</v>
      </c>
      <c r="R208" s="224">
        <f t="shared" si="9"/>
        <v>0</v>
      </c>
      <c r="S208" s="224">
        <f t="shared" si="10"/>
        <v>0</v>
      </c>
      <c r="T208" s="224">
        <f t="shared" si="11"/>
        <v>0</v>
      </c>
      <c r="U208" s="225"/>
      <c r="V208" s="224">
        <f>IFERROR(__xludf.DUMMYFUNCTION("""COMPUTED_VALUE"""),0.0)</f>
        <v>0</v>
      </c>
      <c r="W208" s="224">
        <f>IFERROR(__xludf.DUMMYFUNCTION("""COMPUTED_VALUE"""),0.0)</f>
        <v>0</v>
      </c>
      <c r="X208" s="224">
        <f>IFERROR(__xludf.DUMMYFUNCTION("""COMPUTED_VALUE"""),0.0)</f>
        <v>0</v>
      </c>
      <c r="Y208" s="224">
        <f>IFERROR(__xludf.DUMMYFUNCTION("""COMPUTED_VALUE"""),0.0)</f>
        <v>0</v>
      </c>
      <c r="Z208" s="224">
        <f t="shared" si="12"/>
        <v>0</v>
      </c>
      <c r="AA208" s="224">
        <f t="shared" si="13"/>
        <v>0</v>
      </c>
      <c r="AB208" s="224">
        <f t="shared" si="14"/>
        <v>0</v>
      </c>
    </row>
  </sheetData>
  <mergeCells count="31">
    <mergeCell ref="H6:H8"/>
    <mergeCell ref="I6:I8"/>
    <mergeCell ref="B190:D190"/>
    <mergeCell ref="J6:M6"/>
    <mergeCell ref="N6:N8"/>
    <mergeCell ref="J7:J8"/>
    <mergeCell ref="K7:K8"/>
    <mergeCell ref="L7:L8"/>
    <mergeCell ref="M7:M8"/>
    <mergeCell ref="N5:T5"/>
    <mergeCell ref="R6:T6"/>
    <mergeCell ref="B5:B8"/>
    <mergeCell ref="C5:D8"/>
    <mergeCell ref="E5:M5"/>
    <mergeCell ref="E6:E8"/>
    <mergeCell ref="F6:F8"/>
    <mergeCell ref="G6:G8"/>
    <mergeCell ref="Q6:Q8"/>
    <mergeCell ref="R7:R8"/>
    <mergeCell ref="S7:S8"/>
    <mergeCell ref="Y6:Y8"/>
    <mergeCell ref="Z7:Z8"/>
    <mergeCell ref="AA7:AA8"/>
    <mergeCell ref="AB7:AB8"/>
    <mergeCell ref="O6:O8"/>
    <mergeCell ref="P6:P8"/>
    <mergeCell ref="V6:V8"/>
    <mergeCell ref="W6:W8"/>
    <mergeCell ref="X6:X8"/>
    <mergeCell ref="Z6:AB6"/>
    <mergeCell ref="T7:T8"/>
  </mergeCells>
  <dataValidations>
    <dataValidation type="list" allowBlank="1" showErrorMessage="1" sqref="D3">
      <formula1>Plant!$A$2:$A$28</formula1>
    </dataValidation>
  </dataValidations>
  <printOptions/>
  <pageMargins bottom="0.2" footer="0.0" header="0.0" left="0.8" right="0.5" top="0.1"/>
  <pageSetup paperSize="9" orientation="landscape"/>
  <rowBreaks count="4" manualBreakCount="4">
    <brk id="131" man="1"/>
    <brk id="165" man="1"/>
    <brk id="55" man="1"/>
    <brk id="94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4.43" defaultRowHeight="15.0"/>
  <cols>
    <col customWidth="1" min="1" max="1" width="3.0"/>
    <col customWidth="1" min="2" max="2" width="8.43"/>
    <col customWidth="1" min="3" max="3" width="9.0"/>
    <col customWidth="1" min="4" max="4" width="44.14"/>
    <col customWidth="1" min="5" max="5" width="16.29"/>
    <col customWidth="1" min="6" max="6" width="13.29"/>
    <col customWidth="1" min="7" max="9" width="13.14"/>
    <col customWidth="1" min="10" max="10" width="7.71"/>
    <col customWidth="1" min="11" max="11" width="7.0"/>
    <col customWidth="1" min="12" max="12" width="7.14"/>
    <col customWidth="1" min="13" max="13" width="7.0"/>
    <col customWidth="1" min="14" max="14" width="14.57"/>
    <col customWidth="1" min="15" max="17" width="13.14"/>
    <col customWidth="1" min="18" max="18" width="7.71"/>
    <col customWidth="1" min="19" max="20" width="7.0"/>
    <col customWidth="1" min="21" max="21" width="4.71"/>
  </cols>
  <sheetData>
    <row r="1">
      <c r="A1" s="133"/>
      <c r="B1" s="134" t="s">
        <v>723</v>
      </c>
      <c r="C1" s="135"/>
      <c r="D1" s="136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</row>
    <row r="2">
      <c r="A2" s="133"/>
      <c r="B2" s="134" t="s">
        <v>725</v>
      </c>
      <c r="C2" s="135"/>
      <c r="D2" s="136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</row>
    <row r="3">
      <c r="A3" s="133"/>
      <c r="B3" s="134" t="s">
        <v>727</v>
      </c>
      <c r="C3" s="135"/>
      <c r="D3" s="139" t="s">
        <v>703</v>
      </c>
      <c r="E3" s="141" t="str">
        <f>VLOOKUP(D3,Plant!$A$2:$B$27,2,false)</f>
        <v/>
      </c>
      <c r="F3" s="133"/>
      <c r="G3" s="133"/>
      <c r="H3" s="133"/>
      <c r="I3" s="133"/>
      <c r="J3" s="133"/>
      <c r="K3" s="133"/>
      <c r="L3" s="133"/>
      <c r="M3" s="133"/>
      <c r="N3" s="141"/>
      <c r="O3" s="133"/>
      <c r="P3" s="133"/>
      <c r="Q3" s="133"/>
      <c r="R3" s="133"/>
      <c r="S3" s="133"/>
      <c r="T3" s="133"/>
      <c r="U3" s="133"/>
    </row>
    <row r="4" ht="14.25" customHeight="1">
      <c r="A4" s="133"/>
      <c r="B4" s="142" t="s">
        <v>728</v>
      </c>
      <c r="C4" s="143"/>
      <c r="D4" s="142" t="s">
        <v>11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</row>
    <row r="5" ht="14.25" customHeight="1">
      <c r="A5" s="145"/>
      <c r="B5" s="146" t="s">
        <v>730</v>
      </c>
      <c r="C5" s="147" t="s">
        <v>731</v>
      </c>
      <c r="D5" s="148"/>
      <c r="E5" s="149" t="str">
        <f>CONCATENATE("Bulan ",'Tahun Lalu'!D3," 2026")</f>
        <v>Bulan Mei 2026</v>
      </c>
      <c r="F5" s="150"/>
      <c r="G5" s="150"/>
      <c r="H5" s="150"/>
      <c r="I5" s="150"/>
      <c r="J5" s="150"/>
      <c r="K5" s="150"/>
      <c r="L5" s="150"/>
      <c r="M5" s="150"/>
      <c r="N5" s="151" t="str">
        <f>CONCATENATE("sd ",E5)</f>
        <v>sd Bulan Mei 2026</v>
      </c>
      <c r="O5" s="150"/>
      <c r="P5" s="150"/>
      <c r="Q5" s="150"/>
      <c r="R5" s="150"/>
      <c r="S5" s="150"/>
      <c r="T5" s="152"/>
      <c r="U5" s="153"/>
    </row>
    <row r="6" ht="14.25" customHeight="1">
      <c r="A6" s="145"/>
      <c r="B6" s="156"/>
      <c r="C6" s="157"/>
      <c r="D6" s="158"/>
      <c r="E6" s="159" t="s">
        <v>732</v>
      </c>
      <c r="F6" s="159" t="s">
        <v>733</v>
      </c>
      <c r="G6" s="159" t="s">
        <v>734</v>
      </c>
      <c r="H6" s="159" t="s">
        <v>634</v>
      </c>
      <c r="I6" s="159" t="s">
        <v>635</v>
      </c>
      <c r="J6" s="160" t="s">
        <v>735</v>
      </c>
      <c r="K6" s="75"/>
      <c r="L6" s="75"/>
      <c r="M6" s="161"/>
      <c r="N6" s="162" t="s">
        <v>736</v>
      </c>
      <c r="O6" s="162" t="s">
        <v>734</v>
      </c>
      <c r="P6" s="162" t="s">
        <v>634</v>
      </c>
      <c r="Q6" s="162" t="s">
        <v>635</v>
      </c>
      <c r="R6" s="163" t="s">
        <v>735</v>
      </c>
      <c r="S6" s="75"/>
      <c r="T6" s="161"/>
      <c r="U6" s="164"/>
    </row>
    <row r="7" ht="14.25" customHeight="1">
      <c r="A7" s="145"/>
      <c r="B7" s="156"/>
      <c r="C7" s="157"/>
      <c r="D7" s="158"/>
      <c r="E7" s="167"/>
      <c r="F7" s="167"/>
      <c r="G7" s="167"/>
      <c r="H7" s="167"/>
      <c r="I7" s="167"/>
      <c r="J7" s="168" t="str">
        <f t="shared" ref="J7:M7" si="1">F6</f>
        <v>Real Bulan Lalu</v>
      </c>
      <c r="K7" s="168" t="str">
        <f t="shared" si="1"/>
        <v>Real Tahun Lalu</v>
      </c>
      <c r="L7" s="168" t="str">
        <f t="shared" si="1"/>
        <v>RKO</v>
      </c>
      <c r="M7" s="168" t="str">
        <f t="shared" si="1"/>
        <v>RKAP</v>
      </c>
      <c r="N7" s="167"/>
      <c r="O7" s="167"/>
      <c r="P7" s="167"/>
      <c r="Q7" s="167"/>
      <c r="R7" s="169" t="str">
        <f>$O$6</f>
        <v>Real Tahun Lalu</v>
      </c>
      <c r="S7" s="169" t="str">
        <f>$P$6</f>
        <v>RKO</v>
      </c>
      <c r="T7" s="169" t="str">
        <f>$Q$6</f>
        <v>RKAP</v>
      </c>
      <c r="U7" s="164"/>
    </row>
    <row r="8" ht="14.25" customHeight="1">
      <c r="A8" s="145"/>
      <c r="B8" s="171"/>
      <c r="C8" s="172"/>
      <c r="D8" s="173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64"/>
    </row>
    <row r="9" ht="14.25" customHeight="1">
      <c r="A9" s="175"/>
      <c r="B9" s="176"/>
      <c r="C9" s="177"/>
      <c r="D9" s="178" t="s">
        <v>737</v>
      </c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5"/>
    </row>
    <row r="10" ht="14.25" customHeight="1">
      <c r="A10" s="175"/>
      <c r="B10" s="180" t="s">
        <v>22</v>
      </c>
      <c r="C10" s="181" t="str">
        <f>CONCATENATE(if(D4="KS","SP","SR"),"01")</f>
        <v>SR01</v>
      </c>
      <c r="D10" s="182" t="s">
        <v>738</v>
      </c>
      <c r="E10" s="183">
        <f>'Balin-A'!E10+'Sinta-A'!E10+'Kumai-A'!E10+'Lokal-A'!E10</f>
        <v>129980713</v>
      </c>
      <c r="F10" s="183">
        <f>'Balin-A'!F10+'Sinta-A'!F10+'Kumai-A'!F10+'Lokal-A'!F10</f>
        <v>1043983698</v>
      </c>
      <c r="G10" s="183">
        <f>'Balin-A'!G10+'Sinta-A'!G10+'Kumai-A'!G10+'Lokal-A'!G10</f>
        <v>84240425</v>
      </c>
      <c r="H10" s="183">
        <f>'Balin-A'!H10+'Sinta-A'!H10+'Kumai-A'!H10+'Lokal-A'!H10</f>
        <v>65272351</v>
      </c>
      <c r="I10" s="183">
        <f>'Balin-A'!I10+'Sinta-A'!I10+'Kumai-A'!I10+'Lokal-A'!I10</f>
        <v>65272351</v>
      </c>
      <c r="J10" s="185">
        <f t="shared" ref="J10:J208" si="2">IFERROR(E10/F10*100,0)</f>
        <v>12.45045428</v>
      </c>
      <c r="K10" s="183">
        <f t="shared" ref="K10:K208" si="3">IFERROR(E10/G10*100,0)</f>
        <v>154.2973139</v>
      </c>
      <c r="L10" s="183">
        <f t="shared" ref="L10:L208" si="4">IFERROR(E10/H10*100,0)</f>
        <v>199.135945</v>
      </c>
      <c r="M10" s="183">
        <f t="shared" ref="M10:M208" si="5">IFERROR(E10/I10*100,0)</f>
        <v>199.135945</v>
      </c>
      <c r="N10" s="183">
        <f>'Balin-A'!N10+'Sinta-A'!N10+'Kumai-A'!N10+'Lokal-A'!N10</f>
        <v>564538454</v>
      </c>
      <c r="O10" s="183">
        <f>'Balin-A'!O10+'Sinta-A'!O10+'Kumai-A'!O10+'Lokal-A'!O10</f>
        <v>425634669</v>
      </c>
      <c r="P10" s="183">
        <f>'Balin-A'!P10+'Sinta-A'!P10+'Kumai-A'!P10+'Lokal-A'!P10</f>
        <v>332113312</v>
      </c>
      <c r="Q10" s="183">
        <f>'Balin-A'!Q10+'Sinta-A'!Q10+'Kumai-A'!Q10+'Lokal-A'!Q10</f>
        <v>332113312</v>
      </c>
      <c r="R10" s="183">
        <f t="shared" ref="R10:R208" si="6">IFERROR(N10/O10*100,0)</f>
        <v>132.6345091</v>
      </c>
      <c r="S10" s="183">
        <f t="shared" ref="S10:S208" si="7">IFERROR(N10/P10*100,0)</f>
        <v>169.9836874</v>
      </c>
      <c r="T10" s="183">
        <f t="shared" ref="T10:T208" si="8">IFERROR(N10/Q10*100,0)</f>
        <v>169.9836874</v>
      </c>
      <c r="U10" s="186"/>
    </row>
    <row r="11" ht="14.25" customHeight="1">
      <c r="A11" s="175"/>
      <c r="B11" s="187" t="s">
        <v>739</v>
      </c>
      <c r="C11" s="181"/>
      <c r="D11" s="182" t="s">
        <v>740</v>
      </c>
      <c r="E11" s="183">
        <f>'Balin-A'!E11+'Sinta-A'!E11+'Kumai-A'!E11+'Lokal-A'!E11</f>
        <v>0</v>
      </c>
      <c r="F11" s="183">
        <f>'Balin-A'!F11+'Sinta-A'!F11+'Kumai-A'!F11+'Lokal-A'!F11</f>
        <v>0</v>
      </c>
      <c r="G11" s="183">
        <f>'Balin-A'!G11+'Sinta-A'!G11+'Kumai-A'!G11+'Lokal-A'!G11</f>
        <v>0</v>
      </c>
      <c r="H11" s="183">
        <f>'Balin-A'!H11+'Sinta-A'!H11+'Kumai-A'!H11+'Lokal-A'!H11</f>
        <v>0</v>
      </c>
      <c r="I11" s="183">
        <f>'Balin-A'!I11+'Sinta-A'!I11+'Kumai-A'!I11+'Lokal-A'!I11</f>
        <v>0</v>
      </c>
      <c r="J11" s="185">
        <f t="shared" si="2"/>
        <v>0</v>
      </c>
      <c r="K11" s="183">
        <f t="shared" si="3"/>
        <v>0</v>
      </c>
      <c r="L11" s="183">
        <f t="shared" si="4"/>
        <v>0</v>
      </c>
      <c r="M11" s="183">
        <f t="shared" si="5"/>
        <v>0</v>
      </c>
      <c r="N11" s="183">
        <f>'Balin-A'!N11+'Sinta-A'!N11+'Kumai-A'!N11+'Lokal-A'!N11</f>
        <v>0</v>
      </c>
      <c r="O11" s="183">
        <f>'Balin-A'!O11+'Sinta-A'!O11+'Kumai-A'!O11+'Lokal-A'!O11</f>
        <v>0</v>
      </c>
      <c r="P11" s="183">
        <f>'Balin-A'!P11+'Sinta-A'!P11+'Kumai-A'!P11+'Lokal-A'!P11</f>
        <v>0</v>
      </c>
      <c r="Q11" s="183">
        <f>'Balin-A'!Q11+'Sinta-A'!Q11+'Kumai-A'!Q11+'Lokal-A'!Q11</f>
        <v>0</v>
      </c>
      <c r="R11" s="183">
        <f t="shared" si="6"/>
        <v>0</v>
      </c>
      <c r="S11" s="183">
        <f t="shared" si="7"/>
        <v>0</v>
      </c>
      <c r="T11" s="183">
        <f t="shared" si="8"/>
        <v>0</v>
      </c>
      <c r="U11" s="186"/>
    </row>
    <row r="12" ht="14.25" customHeight="1">
      <c r="A12" s="175"/>
      <c r="B12" s="180"/>
      <c r="C12" s="177"/>
      <c r="D12" s="182" t="s">
        <v>741</v>
      </c>
      <c r="E12" s="183">
        <f>'Balin-A'!E12+'Sinta-A'!E12+'Kumai-A'!E12+'Lokal-A'!E12</f>
        <v>0</v>
      </c>
      <c r="F12" s="183">
        <f>'Balin-A'!F12+'Sinta-A'!F12+'Kumai-A'!F12+'Lokal-A'!F12</f>
        <v>0</v>
      </c>
      <c r="G12" s="183">
        <f>'Balin-A'!G12+'Sinta-A'!G12+'Kumai-A'!G12+'Lokal-A'!G12</f>
        <v>0</v>
      </c>
      <c r="H12" s="183">
        <f>'Balin-A'!H12+'Sinta-A'!H12+'Kumai-A'!H12+'Lokal-A'!H12</f>
        <v>0</v>
      </c>
      <c r="I12" s="183">
        <f>'Balin-A'!I12+'Sinta-A'!I12+'Kumai-A'!I12+'Lokal-A'!I12</f>
        <v>0</v>
      </c>
      <c r="J12" s="185">
        <f t="shared" si="2"/>
        <v>0</v>
      </c>
      <c r="K12" s="183">
        <f t="shared" si="3"/>
        <v>0</v>
      </c>
      <c r="L12" s="183">
        <f t="shared" si="4"/>
        <v>0</v>
      </c>
      <c r="M12" s="183">
        <f t="shared" si="5"/>
        <v>0</v>
      </c>
      <c r="N12" s="183">
        <f>'Balin-A'!N12+'Sinta-A'!N12+'Kumai-A'!N12+'Lokal-A'!N12</f>
        <v>0</v>
      </c>
      <c r="O12" s="183">
        <f>'Balin-A'!O12+'Sinta-A'!O12+'Kumai-A'!O12+'Lokal-A'!O12</f>
        <v>0</v>
      </c>
      <c r="P12" s="183">
        <f>'Balin-A'!P12+'Sinta-A'!P12+'Kumai-A'!P12+'Lokal-A'!P12</f>
        <v>0</v>
      </c>
      <c r="Q12" s="183">
        <f>'Balin-A'!Q12+'Sinta-A'!Q12+'Kumai-A'!Q12+'Lokal-A'!Q12</f>
        <v>0</v>
      </c>
      <c r="R12" s="183">
        <f t="shared" si="6"/>
        <v>0</v>
      </c>
      <c r="S12" s="183">
        <f t="shared" si="7"/>
        <v>0</v>
      </c>
      <c r="T12" s="188">
        <f t="shared" si="8"/>
        <v>0</v>
      </c>
      <c r="U12" s="189"/>
    </row>
    <row r="13" ht="14.25" customHeight="1">
      <c r="A13" s="175"/>
      <c r="B13" s="180"/>
      <c r="C13" s="177"/>
      <c r="D13" s="182" t="s">
        <v>742</v>
      </c>
      <c r="E13" s="183">
        <f>'Balin-A'!E13+'Sinta-A'!E13+'Kumai-A'!E13+'Lokal-A'!E13</f>
        <v>0</v>
      </c>
      <c r="F13" s="183">
        <f>'Balin-A'!F13+'Sinta-A'!F13+'Kumai-A'!F13+'Lokal-A'!F13</f>
        <v>0</v>
      </c>
      <c r="G13" s="183">
        <f>'Balin-A'!G13+'Sinta-A'!G13+'Kumai-A'!G13+'Lokal-A'!G13</f>
        <v>0</v>
      </c>
      <c r="H13" s="183">
        <f>'Balin-A'!H13+'Sinta-A'!H13+'Kumai-A'!H13+'Lokal-A'!H13</f>
        <v>0</v>
      </c>
      <c r="I13" s="183">
        <f>'Balin-A'!I13+'Sinta-A'!I13+'Kumai-A'!I13+'Lokal-A'!I13</f>
        <v>0</v>
      </c>
      <c r="J13" s="185">
        <f t="shared" si="2"/>
        <v>0</v>
      </c>
      <c r="K13" s="183">
        <f t="shared" si="3"/>
        <v>0</v>
      </c>
      <c r="L13" s="183">
        <f t="shared" si="4"/>
        <v>0</v>
      </c>
      <c r="M13" s="183">
        <f t="shared" si="5"/>
        <v>0</v>
      </c>
      <c r="N13" s="183">
        <f>'Balin-A'!N13+'Sinta-A'!N13+'Kumai-A'!N13+'Lokal-A'!N13</f>
        <v>0</v>
      </c>
      <c r="O13" s="183">
        <f>'Balin-A'!O13+'Sinta-A'!O13+'Kumai-A'!O13+'Lokal-A'!O13</f>
        <v>0</v>
      </c>
      <c r="P13" s="183">
        <f>'Balin-A'!P13+'Sinta-A'!P13+'Kumai-A'!P13+'Lokal-A'!P13</f>
        <v>0</v>
      </c>
      <c r="Q13" s="183">
        <f>'Balin-A'!Q13+'Sinta-A'!Q13+'Kumai-A'!Q13+'Lokal-A'!Q13</f>
        <v>0</v>
      </c>
      <c r="R13" s="183">
        <f t="shared" si="6"/>
        <v>0</v>
      </c>
      <c r="S13" s="183">
        <f t="shared" si="7"/>
        <v>0</v>
      </c>
      <c r="T13" s="188">
        <f t="shared" si="8"/>
        <v>0</v>
      </c>
      <c r="U13" s="189"/>
    </row>
    <row r="14" ht="14.25" customHeight="1">
      <c r="A14" s="190"/>
      <c r="B14" s="191" t="s">
        <v>743</v>
      </c>
      <c r="C14" s="192"/>
      <c r="D14" s="193"/>
      <c r="E14" s="194">
        <f t="shared" ref="E14:I14" si="9">SUM(E10:E13)</f>
        <v>129980713</v>
      </c>
      <c r="F14" s="194">
        <f t="shared" si="9"/>
        <v>1043983698</v>
      </c>
      <c r="G14" s="194">
        <f t="shared" si="9"/>
        <v>84240425</v>
      </c>
      <c r="H14" s="194">
        <f t="shared" si="9"/>
        <v>65272351</v>
      </c>
      <c r="I14" s="194">
        <f t="shared" si="9"/>
        <v>65272351</v>
      </c>
      <c r="J14" s="194">
        <f t="shared" si="2"/>
        <v>12.45045428</v>
      </c>
      <c r="K14" s="194">
        <f t="shared" si="3"/>
        <v>154.2973139</v>
      </c>
      <c r="L14" s="194">
        <f t="shared" si="4"/>
        <v>199.135945</v>
      </c>
      <c r="M14" s="194">
        <f t="shared" si="5"/>
        <v>199.135945</v>
      </c>
      <c r="N14" s="194">
        <f t="shared" ref="N14:Q14" si="10">SUM(N10:N13)</f>
        <v>564538454</v>
      </c>
      <c r="O14" s="194">
        <f t="shared" si="10"/>
        <v>425634669</v>
      </c>
      <c r="P14" s="194">
        <f t="shared" si="10"/>
        <v>332113312</v>
      </c>
      <c r="Q14" s="194">
        <f t="shared" si="10"/>
        <v>332113312</v>
      </c>
      <c r="R14" s="194">
        <f t="shared" si="6"/>
        <v>132.6345091</v>
      </c>
      <c r="S14" s="194">
        <f t="shared" si="7"/>
        <v>169.9836874</v>
      </c>
      <c r="T14" s="194">
        <f t="shared" si="8"/>
        <v>169.9836874</v>
      </c>
      <c r="U14" s="195"/>
    </row>
    <row r="15" ht="14.25" customHeight="1">
      <c r="A15" s="175"/>
      <c r="B15" s="196" t="s">
        <v>744</v>
      </c>
      <c r="C15" s="181"/>
      <c r="D15" s="197" t="s">
        <v>745</v>
      </c>
      <c r="E15" s="183">
        <f>'Balin-A'!E15+'Sinta-A'!E15+'Kumai-A'!E15+'Lokal-A'!E15</f>
        <v>0</v>
      </c>
      <c r="F15" s="183">
        <f>'Balin-A'!F15+'Sinta-A'!F15+'Kumai-A'!F15+'Lokal-A'!F15</f>
        <v>0</v>
      </c>
      <c r="G15" s="183">
        <f>'Balin-A'!G15+'Sinta-A'!G15+'Kumai-A'!G15+'Lokal-A'!G15</f>
        <v>0</v>
      </c>
      <c r="H15" s="183">
        <f>'Balin-A'!H15+'Sinta-A'!H15+'Kumai-A'!H15+'Lokal-A'!H15</f>
        <v>0</v>
      </c>
      <c r="I15" s="183">
        <f>'Balin-A'!I15+'Sinta-A'!I15+'Kumai-A'!I15+'Lokal-A'!I15</f>
        <v>0</v>
      </c>
      <c r="J15" s="185">
        <f t="shared" si="2"/>
        <v>0</v>
      </c>
      <c r="K15" s="183">
        <f t="shared" si="3"/>
        <v>0</v>
      </c>
      <c r="L15" s="183">
        <f t="shared" si="4"/>
        <v>0</v>
      </c>
      <c r="M15" s="183">
        <f t="shared" si="5"/>
        <v>0</v>
      </c>
      <c r="N15" s="183">
        <f>'Balin-A'!N15+'Sinta-A'!N15+'Kumai-A'!N15+'Lokal-A'!N15</f>
        <v>0</v>
      </c>
      <c r="O15" s="183">
        <f>'Balin-A'!O15+'Sinta-A'!O15+'Kumai-A'!O15+'Lokal-A'!O15</f>
        <v>0</v>
      </c>
      <c r="P15" s="183">
        <f>'Balin-A'!P15+'Sinta-A'!P15+'Kumai-A'!P15+'Lokal-A'!P15</f>
        <v>0</v>
      </c>
      <c r="Q15" s="183">
        <f>'Balin-A'!Q15+'Sinta-A'!Q15+'Kumai-A'!Q15+'Lokal-A'!Q15</f>
        <v>0</v>
      </c>
      <c r="R15" s="183">
        <f t="shared" si="6"/>
        <v>0</v>
      </c>
      <c r="S15" s="183">
        <f t="shared" si="7"/>
        <v>0</v>
      </c>
      <c r="T15" s="183">
        <f t="shared" si="8"/>
        <v>0</v>
      </c>
      <c r="U15" s="186"/>
    </row>
    <row r="16" ht="14.25" customHeight="1">
      <c r="A16" s="175"/>
      <c r="B16" s="196" t="s">
        <v>746</v>
      </c>
      <c r="C16" s="181"/>
      <c r="D16" s="197" t="s">
        <v>747</v>
      </c>
      <c r="E16" s="183">
        <f>'Balin-A'!E16+'Sinta-A'!E16+'Kumai-A'!E16+'Lokal-A'!E16</f>
        <v>0</v>
      </c>
      <c r="F16" s="183">
        <f>'Balin-A'!F16+'Sinta-A'!F16+'Kumai-A'!F16+'Lokal-A'!F16</f>
        <v>0</v>
      </c>
      <c r="G16" s="183">
        <f>'Balin-A'!G16+'Sinta-A'!G16+'Kumai-A'!G16+'Lokal-A'!G16</f>
        <v>0</v>
      </c>
      <c r="H16" s="183">
        <f>'Balin-A'!H16+'Sinta-A'!H16+'Kumai-A'!H16+'Lokal-A'!H16</f>
        <v>160172</v>
      </c>
      <c r="I16" s="183">
        <f>'Balin-A'!I16+'Sinta-A'!I16+'Kumai-A'!I16+'Lokal-A'!I16</f>
        <v>160172</v>
      </c>
      <c r="J16" s="185">
        <f t="shared" si="2"/>
        <v>0</v>
      </c>
      <c r="K16" s="183">
        <f t="shared" si="3"/>
        <v>0</v>
      </c>
      <c r="L16" s="183">
        <f t="shared" si="4"/>
        <v>0</v>
      </c>
      <c r="M16" s="183">
        <f t="shared" si="5"/>
        <v>0</v>
      </c>
      <c r="N16" s="183">
        <f>'Balin-A'!N16+'Sinta-A'!N16+'Kumai-A'!N16+'Lokal-A'!N16</f>
        <v>0</v>
      </c>
      <c r="O16" s="183">
        <f>'Balin-A'!O16+'Sinta-A'!O16+'Kumai-A'!O16+'Lokal-A'!O16</f>
        <v>5000000</v>
      </c>
      <c r="P16" s="183">
        <f>'Balin-A'!P16+'Sinta-A'!P16+'Kumai-A'!P16+'Lokal-A'!P16</f>
        <v>790849</v>
      </c>
      <c r="Q16" s="183">
        <f>'Balin-A'!Q16+'Sinta-A'!Q16+'Kumai-A'!Q16+'Lokal-A'!Q16</f>
        <v>790849</v>
      </c>
      <c r="R16" s="183">
        <f t="shared" si="6"/>
        <v>0</v>
      </c>
      <c r="S16" s="183">
        <f t="shared" si="7"/>
        <v>0</v>
      </c>
      <c r="T16" s="183">
        <f t="shared" si="8"/>
        <v>0</v>
      </c>
      <c r="U16" s="186"/>
    </row>
    <row r="17" ht="14.25" customHeight="1">
      <c r="A17" s="175"/>
      <c r="B17" s="196" t="s">
        <v>748</v>
      </c>
      <c r="C17" s="181"/>
      <c r="D17" s="197" t="s">
        <v>749</v>
      </c>
      <c r="E17" s="183">
        <f>'Balin-A'!E17+'Sinta-A'!E17+'Kumai-A'!E17+'Lokal-A'!E17</f>
        <v>0</v>
      </c>
      <c r="F17" s="183">
        <f>'Balin-A'!F17+'Sinta-A'!F17+'Kumai-A'!F17+'Lokal-A'!F17</f>
        <v>0</v>
      </c>
      <c r="G17" s="183">
        <f>'Balin-A'!G17+'Sinta-A'!G17+'Kumai-A'!G17+'Lokal-A'!G17</f>
        <v>0</v>
      </c>
      <c r="H17" s="183">
        <f>'Balin-A'!H17+'Sinta-A'!H17+'Kumai-A'!H17+'Lokal-A'!H17</f>
        <v>0</v>
      </c>
      <c r="I17" s="183">
        <f>'Balin-A'!I17+'Sinta-A'!I17+'Kumai-A'!I17+'Lokal-A'!I17</f>
        <v>0</v>
      </c>
      <c r="J17" s="185">
        <f t="shared" si="2"/>
        <v>0</v>
      </c>
      <c r="K17" s="183">
        <f t="shared" si="3"/>
        <v>0</v>
      </c>
      <c r="L17" s="183">
        <f t="shared" si="4"/>
        <v>0</v>
      </c>
      <c r="M17" s="183">
        <f t="shared" si="5"/>
        <v>0</v>
      </c>
      <c r="N17" s="183">
        <f>'Balin-A'!N17+'Sinta-A'!N17+'Kumai-A'!N17+'Lokal-A'!N17</f>
        <v>0</v>
      </c>
      <c r="O17" s="183">
        <f>'Balin-A'!O17+'Sinta-A'!O17+'Kumai-A'!O17+'Lokal-A'!O17</f>
        <v>0</v>
      </c>
      <c r="P17" s="183">
        <f>'Balin-A'!P17+'Sinta-A'!P17+'Kumai-A'!P17+'Lokal-A'!P17</f>
        <v>0</v>
      </c>
      <c r="Q17" s="183">
        <f>'Balin-A'!Q17+'Sinta-A'!Q17+'Kumai-A'!Q17+'Lokal-A'!Q17</f>
        <v>0</v>
      </c>
      <c r="R17" s="183">
        <f t="shared" si="6"/>
        <v>0</v>
      </c>
      <c r="S17" s="183">
        <f t="shared" si="7"/>
        <v>0</v>
      </c>
      <c r="T17" s="183">
        <f t="shared" si="8"/>
        <v>0</v>
      </c>
      <c r="U17" s="186"/>
    </row>
    <row r="18" ht="14.25" customHeight="1">
      <c r="A18" s="175"/>
      <c r="B18" s="196" t="s">
        <v>750</v>
      </c>
      <c r="C18" s="181"/>
      <c r="D18" s="197" t="s">
        <v>751</v>
      </c>
      <c r="E18" s="183">
        <f>'Balin-A'!E18+'Sinta-A'!E18+'Kumai-A'!E18+'Lokal-A'!E18</f>
        <v>0</v>
      </c>
      <c r="F18" s="183">
        <f>'Balin-A'!F18+'Sinta-A'!F18+'Kumai-A'!F18+'Lokal-A'!F18</f>
        <v>0</v>
      </c>
      <c r="G18" s="183">
        <f>'Balin-A'!G18+'Sinta-A'!G18+'Kumai-A'!G18+'Lokal-A'!G18</f>
        <v>0</v>
      </c>
      <c r="H18" s="183">
        <f>'Balin-A'!H18+'Sinta-A'!H18+'Kumai-A'!H18+'Lokal-A'!H18</f>
        <v>0</v>
      </c>
      <c r="I18" s="183">
        <f>'Balin-A'!I18+'Sinta-A'!I18+'Kumai-A'!I18+'Lokal-A'!I18</f>
        <v>0</v>
      </c>
      <c r="J18" s="185">
        <f t="shared" si="2"/>
        <v>0</v>
      </c>
      <c r="K18" s="183">
        <f t="shared" si="3"/>
        <v>0</v>
      </c>
      <c r="L18" s="183">
        <f t="shared" si="4"/>
        <v>0</v>
      </c>
      <c r="M18" s="183">
        <f t="shared" si="5"/>
        <v>0</v>
      </c>
      <c r="N18" s="183">
        <f>'Balin-A'!N18+'Sinta-A'!N18+'Kumai-A'!N18+'Lokal-A'!N18</f>
        <v>0</v>
      </c>
      <c r="O18" s="183">
        <f>'Balin-A'!O18+'Sinta-A'!O18+'Kumai-A'!O18+'Lokal-A'!O18</f>
        <v>0</v>
      </c>
      <c r="P18" s="183">
        <f>'Balin-A'!P18+'Sinta-A'!P18+'Kumai-A'!P18+'Lokal-A'!P18</f>
        <v>0</v>
      </c>
      <c r="Q18" s="183">
        <f>'Balin-A'!Q18+'Sinta-A'!Q18+'Kumai-A'!Q18+'Lokal-A'!Q18</f>
        <v>0</v>
      </c>
      <c r="R18" s="183">
        <f t="shared" si="6"/>
        <v>0</v>
      </c>
      <c r="S18" s="183">
        <f t="shared" si="7"/>
        <v>0</v>
      </c>
      <c r="T18" s="183">
        <f t="shared" si="8"/>
        <v>0</v>
      </c>
      <c r="U18" s="186"/>
    </row>
    <row r="19" ht="14.25" customHeight="1">
      <c r="A19" s="175"/>
      <c r="B19" s="196" t="s">
        <v>752</v>
      </c>
      <c r="C19" s="181"/>
      <c r="D19" s="197" t="s">
        <v>753</v>
      </c>
      <c r="E19" s="183">
        <f>'Balin-A'!E19+'Sinta-A'!E19+'Kumai-A'!E19+'Lokal-A'!E19</f>
        <v>0</v>
      </c>
      <c r="F19" s="183">
        <f>'Balin-A'!F19+'Sinta-A'!F19+'Kumai-A'!F19+'Lokal-A'!F19</f>
        <v>0</v>
      </c>
      <c r="G19" s="183">
        <f>'Balin-A'!G19+'Sinta-A'!G19+'Kumai-A'!G19+'Lokal-A'!G19</f>
        <v>0</v>
      </c>
      <c r="H19" s="183">
        <f>'Balin-A'!H19+'Sinta-A'!H19+'Kumai-A'!H19+'Lokal-A'!H19</f>
        <v>0</v>
      </c>
      <c r="I19" s="183">
        <f>'Balin-A'!I19+'Sinta-A'!I19+'Kumai-A'!I19+'Lokal-A'!I19</f>
        <v>0</v>
      </c>
      <c r="J19" s="185">
        <f t="shared" si="2"/>
        <v>0</v>
      </c>
      <c r="K19" s="183">
        <f t="shared" si="3"/>
        <v>0</v>
      </c>
      <c r="L19" s="183">
        <f t="shared" si="4"/>
        <v>0</v>
      </c>
      <c r="M19" s="183">
        <f t="shared" si="5"/>
        <v>0</v>
      </c>
      <c r="N19" s="183">
        <f>'Balin-A'!N19+'Sinta-A'!N19+'Kumai-A'!N19+'Lokal-A'!N19</f>
        <v>0</v>
      </c>
      <c r="O19" s="183">
        <f>'Balin-A'!O19+'Sinta-A'!O19+'Kumai-A'!O19+'Lokal-A'!O19</f>
        <v>0</v>
      </c>
      <c r="P19" s="183">
        <f>'Balin-A'!P19+'Sinta-A'!P19+'Kumai-A'!P19+'Lokal-A'!P19</f>
        <v>0</v>
      </c>
      <c r="Q19" s="183">
        <f>'Balin-A'!Q19+'Sinta-A'!Q19+'Kumai-A'!Q19+'Lokal-A'!Q19</f>
        <v>0</v>
      </c>
      <c r="R19" s="183">
        <f t="shared" si="6"/>
        <v>0</v>
      </c>
      <c r="S19" s="183">
        <f t="shared" si="7"/>
        <v>0</v>
      </c>
      <c r="T19" s="183">
        <f t="shared" si="8"/>
        <v>0</v>
      </c>
      <c r="U19" s="186"/>
    </row>
    <row r="20" ht="14.25" customHeight="1">
      <c r="A20" s="175"/>
      <c r="B20" s="196" t="s">
        <v>754</v>
      </c>
      <c r="C20" s="181"/>
      <c r="D20" s="197" t="s">
        <v>755</v>
      </c>
      <c r="E20" s="183">
        <f>'Balin-A'!E20+'Sinta-A'!E20+'Kumai-A'!E20+'Lokal-A'!E20</f>
        <v>0</v>
      </c>
      <c r="F20" s="183">
        <f>'Balin-A'!F20+'Sinta-A'!F20+'Kumai-A'!F20+'Lokal-A'!F20</f>
        <v>0</v>
      </c>
      <c r="G20" s="183">
        <f>'Balin-A'!G20+'Sinta-A'!G20+'Kumai-A'!G20+'Lokal-A'!G20</f>
        <v>0</v>
      </c>
      <c r="H20" s="183">
        <f>'Balin-A'!H20+'Sinta-A'!H20+'Kumai-A'!H20+'Lokal-A'!H20</f>
        <v>0</v>
      </c>
      <c r="I20" s="183">
        <f>'Balin-A'!I20+'Sinta-A'!I20+'Kumai-A'!I20+'Lokal-A'!I20</f>
        <v>0</v>
      </c>
      <c r="J20" s="185">
        <f t="shared" si="2"/>
        <v>0</v>
      </c>
      <c r="K20" s="183">
        <f t="shared" si="3"/>
        <v>0</v>
      </c>
      <c r="L20" s="183">
        <f t="shared" si="4"/>
        <v>0</v>
      </c>
      <c r="M20" s="183">
        <f t="shared" si="5"/>
        <v>0</v>
      </c>
      <c r="N20" s="183">
        <f>'Balin-A'!N20+'Sinta-A'!N20+'Kumai-A'!N20+'Lokal-A'!N20</f>
        <v>0</v>
      </c>
      <c r="O20" s="183">
        <f>'Balin-A'!O20+'Sinta-A'!O20+'Kumai-A'!O20+'Lokal-A'!O20</f>
        <v>0</v>
      </c>
      <c r="P20" s="183">
        <f>'Balin-A'!P20+'Sinta-A'!P20+'Kumai-A'!P20+'Lokal-A'!P20</f>
        <v>0</v>
      </c>
      <c r="Q20" s="183">
        <f>'Balin-A'!Q20+'Sinta-A'!Q20+'Kumai-A'!Q20+'Lokal-A'!Q20</f>
        <v>0</v>
      </c>
      <c r="R20" s="183">
        <f t="shared" si="6"/>
        <v>0</v>
      </c>
      <c r="S20" s="183">
        <f t="shared" si="7"/>
        <v>0</v>
      </c>
      <c r="T20" s="183">
        <f t="shared" si="8"/>
        <v>0</v>
      </c>
      <c r="U20" s="186"/>
    </row>
    <row r="21" ht="14.25" customHeight="1">
      <c r="A21" s="175"/>
      <c r="B21" s="196" t="s">
        <v>756</v>
      </c>
      <c r="C21" s="181"/>
      <c r="D21" s="197" t="s">
        <v>757</v>
      </c>
      <c r="E21" s="183">
        <f>'Balin-A'!E21+'Sinta-A'!E21+'Kumai-A'!E21+'Lokal-A'!E21</f>
        <v>0</v>
      </c>
      <c r="F21" s="183">
        <f>'Balin-A'!F21+'Sinta-A'!F21+'Kumai-A'!F21+'Lokal-A'!F21</f>
        <v>0</v>
      </c>
      <c r="G21" s="183">
        <f>'Balin-A'!G21+'Sinta-A'!G21+'Kumai-A'!G21+'Lokal-A'!G21</f>
        <v>0</v>
      </c>
      <c r="H21" s="183">
        <f>'Balin-A'!H21+'Sinta-A'!H21+'Kumai-A'!H21+'Lokal-A'!H21</f>
        <v>0</v>
      </c>
      <c r="I21" s="183">
        <f>'Balin-A'!I21+'Sinta-A'!I21+'Kumai-A'!I21+'Lokal-A'!I21</f>
        <v>0</v>
      </c>
      <c r="J21" s="185">
        <f t="shared" si="2"/>
        <v>0</v>
      </c>
      <c r="K21" s="183">
        <f t="shared" si="3"/>
        <v>0</v>
      </c>
      <c r="L21" s="183">
        <f t="shared" si="4"/>
        <v>0</v>
      </c>
      <c r="M21" s="183">
        <f t="shared" si="5"/>
        <v>0</v>
      </c>
      <c r="N21" s="183">
        <f>'Balin-A'!N21+'Sinta-A'!N21+'Kumai-A'!N21+'Lokal-A'!N21</f>
        <v>0</v>
      </c>
      <c r="O21" s="183">
        <f>'Balin-A'!O21+'Sinta-A'!O21+'Kumai-A'!O21+'Lokal-A'!O21</f>
        <v>0</v>
      </c>
      <c r="P21" s="183">
        <f>'Balin-A'!P21+'Sinta-A'!P21+'Kumai-A'!P21+'Lokal-A'!P21</f>
        <v>0</v>
      </c>
      <c r="Q21" s="183">
        <f>'Balin-A'!Q21+'Sinta-A'!Q21+'Kumai-A'!Q21+'Lokal-A'!Q21</f>
        <v>0</v>
      </c>
      <c r="R21" s="183">
        <f t="shared" si="6"/>
        <v>0</v>
      </c>
      <c r="S21" s="183">
        <f t="shared" si="7"/>
        <v>0</v>
      </c>
      <c r="T21" s="183">
        <f t="shared" si="8"/>
        <v>0</v>
      </c>
      <c r="U21" s="186"/>
    </row>
    <row r="22" ht="14.25" customHeight="1">
      <c r="A22" s="175"/>
      <c r="B22" s="196" t="s">
        <v>758</v>
      </c>
      <c r="C22" s="181"/>
      <c r="D22" s="197" t="s">
        <v>759</v>
      </c>
      <c r="E22" s="183">
        <f>'Balin-A'!E22+'Sinta-A'!E22+'Kumai-A'!E22+'Lokal-A'!E22</f>
        <v>0</v>
      </c>
      <c r="F22" s="183">
        <f>'Balin-A'!F22+'Sinta-A'!F22+'Kumai-A'!F22+'Lokal-A'!F22</f>
        <v>0</v>
      </c>
      <c r="G22" s="183">
        <f>'Balin-A'!G22+'Sinta-A'!G22+'Kumai-A'!G22+'Lokal-A'!G22</f>
        <v>0</v>
      </c>
      <c r="H22" s="183">
        <f>'Balin-A'!H22+'Sinta-A'!H22+'Kumai-A'!H22+'Lokal-A'!H22</f>
        <v>0</v>
      </c>
      <c r="I22" s="183">
        <f>'Balin-A'!I22+'Sinta-A'!I22+'Kumai-A'!I22+'Lokal-A'!I22</f>
        <v>0</v>
      </c>
      <c r="J22" s="185">
        <f t="shared" si="2"/>
        <v>0</v>
      </c>
      <c r="K22" s="183">
        <f t="shared" si="3"/>
        <v>0</v>
      </c>
      <c r="L22" s="183">
        <f t="shared" si="4"/>
        <v>0</v>
      </c>
      <c r="M22" s="183">
        <f t="shared" si="5"/>
        <v>0</v>
      </c>
      <c r="N22" s="183">
        <f>'Balin-A'!N22+'Sinta-A'!N22+'Kumai-A'!N22+'Lokal-A'!N22</f>
        <v>0</v>
      </c>
      <c r="O22" s="183">
        <f>'Balin-A'!O22+'Sinta-A'!O22+'Kumai-A'!O22+'Lokal-A'!O22</f>
        <v>0</v>
      </c>
      <c r="P22" s="183">
        <f>'Balin-A'!P22+'Sinta-A'!P22+'Kumai-A'!P22+'Lokal-A'!P22</f>
        <v>0</v>
      </c>
      <c r="Q22" s="183">
        <f>'Balin-A'!Q22+'Sinta-A'!Q22+'Kumai-A'!Q22+'Lokal-A'!Q22</f>
        <v>0</v>
      </c>
      <c r="R22" s="183">
        <f t="shared" si="6"/>
        <v>0</v>
      </c>
      <c r="S22" s="183">
        <f t="shared" si="7"/>
        <v>0</v>
      </c>
      <c r="T22" s="183">
        <f t="shared" si="8"/>
        <v>0</v>
      </c>
      <c r="U22" s="186"/>
    </row>
    <row r="23" ht="14.25" customHeight="1">
      <c r="A23" s="175"/>
      <c r="B23" s="196" t="s">
        <v>760</v>
      </c>
      <c r="C23" s="181"/>
      <c r="D23" s="197" t="s">
        <v>761</v>
      </c>
      <c r="E23" s="183">
        <f>'Balin-A'!E23+'Sinta-A'!E23+'Kumai-A'!E23+'Lokal-A'!E23</f>
        <v>0</v>
      </c>
      <c r="F23" s="183">
        <f>'Balin-A'!F23+'Sinta-A'!F23+'Kumai-A'!F23+'Lokal-A'!F23</f>
        <v>0</v>
      </c>
      <c r="G23" s="183">
        <f>'Balin-A'!G23+'Sinta-A'!G23+'Kumai-A'!G23+'Lokal-A'!G23</f>
        <v>0</v>
      </c>
      <c r="H23" s="183">
        <f>'Balin-A'!H23+'Sinta-A'!H23+'Kumai-A'!H23+'Lokal-A'!H23</f>
        <v>0</v>
      </c>
      <c r="I23" s="183">
        <f>'Balin-A'!I23+'Sinta-A'!I23+'Kumai-A'!I23+'Lokal-A'!I23</f>
        <v>0</v>
      </c>
      <c r="J23" s="185">
        <f t="shared" si="2"/>
        <v>0</v>
      </c>
      <c r="K23" s="183">
        <f t="shared" si="3"/>
        <v>0</v>
      </c>
      <c r="L23" s="183">
        <f t="shared" si="4"/>
        <v>0</v>
      </c>
      <c r="M23" s="183">
        <f t="shared" si="5"/>
        <v>0</v>
      </c>
      <c r="N23" s="183">
        <f>'Balin-A'!N23+'Sinta-A'!N23+'Kumai-A'!N23+'Lokal-A'!N23</f>
        <v>0</v>
      </c>
      <c r="O23" s="183">
        <f>'Balin-A'!O23+'Sinta-A'!O23+'Kumai-A'!O23+'Lokal-A'!O23</f>
        <v>0</v>
      </c>
      <c r="P23" s="183">
        <f>'Balin-A'!P23+'Sinta-A'!P23+'Kumai-A'!P23+'Lokal-A'!P23</f>
        <v>0</v>
      </c>
      <c r="Q23" s="183">
        <f>'Balin-A'!Q23+'Sinta-A'!Q23+'Kumai-A'!Q23+'Lokal-A'!Q23</f>
        <v>0</v>
      </c>
      <c r="R23" s="183">
        <f t="shared" si="6"/>
        <v>0</v>
      </c>
      <c r="S23" s="183">
        <f t="shared" si="7"/>
        <v>0</v>
      </c>
      <c r="T23" s="183">
        <f t="shared" si="8"/>
        <v>0</v>
      </c>
      <c r="U23" s="186"/>
    </row>
    <row r="24" ht="14.25" customHeight="1">
      <c r="A24" s="175"/>
      <c r="B24" s="196" t="s">
        <v>762</v>
      </c>
      <c r="C24" s="181"/>
      <c r="D24" s="197" t="s">
        <v>763</v>
      </c>
      <c r="E24" s="183">
        <f>'Balin-A'!E24+'Sinta-A'!E24+'Kumai-A'!E24+'Lokal-A'!E24</f>
        <v>0</v>
      </c>
      <c r="F24" s="183">
        <f>'Balin-A'!F24+'Sinta-A'!F24+'Kumai-A'!F24+'Lokal-A'!F24</f>
        <v>0</v>
      </c>
      <c r="G24" s="183">
        <f>'Balin-A'!G24+'Sinta-A'!G24+'Kumai-A'!G24+'Lokal-A'!G24</f>
        <v>0</v>
      </c>
      <c r="H24" s="183">
        <f>'Balin-A'!H24+'Sinta-A'!H24+'Kumai-A'!H24+'Lokal-A'!H24</f>
        <v>0</v>
      </c>
      <c r="I24" s="183">
        <f>'Balin-A'!I24+'Sinta-A'!I24+'Kumai-A'!I24+'Lokal-A'!I24</f>
        <v>0</v>
      </c>
      <c r="J24" s="185">
        <f t="shared" si="2"/>
        <v>0</v>
      </c>
      <c r="K24" s="183">
        <f t="shared" si="3"/>
        <v>0</v>
      </c>
      <c r="L24" s="183">
        <f t="shared" si="4"/>
        <v>0</v>
      </c>
      <c r="M24" s="183">
        <f t="shared" si="5"/>
        <v>0</v>
      </c>
      <c r="N24" s="183">
        <f>'Balin-A'!N24+'Sinta-A'!N24+'Kumai-A'!N24+'Lokal-A'!N24</f>
        <v>0</v>
      </c>
      <c r="O24" s="183">
        <f>'Balin-A'!O24+'Sinta-A'!O24+'Kumai-A'!O24+'Lokal-A'!O24</f>
        <v>0</v>
      </c>
      <c r="P24" s="183">
        <f>'Balin-A'!P24+'Sinta-A'!P24+'Kumai-A'!P24+'Lokal-A'!P24</f>
        <v>0</v>
      </c>
      <c r="Q24" s="183">
        <f>'Balin-A'!Q24+'Sinta-A'!Q24+'Kumai-A'!Q24+'Lokal-A'!Q24</f>
        <v>0</v>
      </c>
      <c r="R24" s="183">
        <f t="shared" si="6"/>
        <v>0</v>
      </c>
      <c r="S24" s="183">
        <f t="shared" si="7"/>
        <v>0</v>
      </c>
      <c r="T24" s="183">
        <f t="shared" si="8"/>
        <v>0</v>
      </c>
      <c r="U24" s="186"/>
    </row>
    <row r="25" ht="14.25" customHeight="1">
      <c r="A25" s="175"/>
      <c r="B25" s="196" t="s">
        <v>764</v>
      </c>
      <c r="C25" s="181"/>
      <c r="D25" s="197" t="s">
        <v>765</v>
      </c>
      <c r="E25" s="183">
        <f>'Balin-A'!E25+'Sinta-A'!E25+'Kumai-A'!E25+'Lokal-A'!E25</f>
        <v>0</v>
      </c>
      <c r="F25" s="183">
        <f>'Balin-A'!F25+'Sinta-A'!F25+'Kumai-A'!F25+'Lokal-A'!F25</f>
        <v>0</v>
      </c>
      <c r="G25" s="183">
        <f>'Balin-A'!G25+'Sinta-A'!G25+'Kumai-A'!G25+'Lokal-A'!G25</f>
        <v>0</v>
      </c>
      <c r="H25" s="183">
        <f>'Balin-A'!H25+'Sinta-A'!H25+'Kumai-A'!H25+'Lokal-A'!H25</f>
        <v>0</v>
      </c>
      <c r="I25" s="183">
        <f>'Balin-A'!I25+'Sinta-A'!I25+'Kumai-A'!I25+'Lokal-A'!I25</f>
        <v>0</v>
      </c>
      <c r="J25" s="185">
        <f t="shared" si="2"/>
        <v>0</v>
      </c>
      <c r="K25" s="183">
        <f t="shared" si="3"/>
        <v>0</v>
      </c>
      <c r="L25" s="183">
        <f t="shared" si="4"/>
        <v>0</v>
      </c>
      <c r="M25" s="183">
        <f t="shared" si="5"/>
        <v>0</v>
      </c>
      <c r="N25" s="183">
        <f>'Balin-A'!N25+'Sinta-A'!N25+'Kumai-A'!N25+'Lokal-A'!N25</f>
        <v>0</v>
      </c>
      <c r="O25" s="183">
        <f>'Balin-A'!O25+'Sinta-A'!O25+'Kumai-A'!O25+'Lokal-A'!O25</f>
        <v>0</v>
      </c>
      <c r="P25" s="183">
        <f>'Balin-A'!P25+'Sinta-A'!P25+'Kumai-A'!P25+'Lokal-A'!P25</f>
        <v>0</v>
      </c>
      <c r="Q25" s="183">
        <f>'Balin-A'!Q25+'Sinta-A'!Q25+'Kumai-A'!Q25+'Lokal-A'!Q25</f>
        <v>0</v>
      </c>
      <c r="R25" s="183">
        <f t="shared" si="6"/>
        <v>0</v>
      </c>
      <c r="S25" s="183">
        <f t="shared" si="7"/>
        <v>0</v>
      </c>
      <c r="T25" s="183">
        <f t="shared" si="8"/>
        <v>0</v>
      </c>
      <c r="U25" s="186"/>
    </row>
    <row r="26" ht="14.25" customHeight="1">
      <c r="A26" s="175"/>
      <c r="B26" s="196" t="s">
        <v>766</v>
      </c>
      <c r="C26" s="181"/>
      <c r="D26" s="197" t="s">
        <v>767</v>
      </c>
      <c r="E26" s="183">
        <f>'Balin-A'!E26+'Sinta-A'!E26+'Kumai-A'!E26+'Lokal-A'!E26</f>
        <v>0</v>
      </c>
      <c r="F26" s="183">
        <f>'Balin-A'!F26+'Sinta-A'!F26+'Kumai-A'!F26+'Lokal-A'!F26</f>
        <v>0</v>
      </c>
      <c r="G26" s="183">
        <f>'Balin-A'!G26+'Sinta-A'!G26+'Kumai-A'!G26+'Lokal-A'!G26</f>
        <v>0</v>
      </c>
      <c r="H26" s="183">
        <f>'Balin-A'!H26+'Sinta-A'!H26+'Kumai-A'!H26+'Lokal-A'!H26</f>
        <v>0</v>
      </c>
      <c r="I26" s="183">
        <f>'Balin-A'!I26+'Sinta-A'!I26+'Kumai-A'!I26+'Lokal-A'!I26</f>
        <v>0</v>
      </c>
      <c r="J26" s="185">
        <f t="shared" si="2"/>
        <v>0</v>
      </c>
      <c r="K26" s="183">
        <f t="shared" si="3"/>
        <v>0</v>
      </c>
      <c r="L26" s="183">
        <f t="shared" si="4"/>
        <v>0</v>
      </c>
      <c r="M26" s="183">
        <f t="shared" si="5"/>
        <v>0</v>
      </c>
      <c r="N26" s="183">
        <f>'Balin-A'!N26+'Sinta-A'!N26+'Kumai-A'!N26+'Lokal-A'!N26</f>
        <v>0</v>
      </c>
      <c r="O26" s="183">
        <f>'Balin-A'!O26+'Sinta-A'!O26+'Kumai-A'!O26+'Lokal-A'!O26</f>
        <v>0</v>
      </c>
      <c r="P26" s="183">
        <f>'Balin-A'!P26+'Sinta-A'!P26+'Kumai-A'!P26+'Lokal-A'!P26</f>
        <v>0</v>
      </c>
      <c r="Q26" s="183">
        <f>'Balin-A'!Q26+'Sinta-A'!Q26+'Kumai-A'!Q26+'Lokal-A'!Q26</f>
        <v>0</v>
      </c>
      <c r="R26" s="183">
        <f t="shared" si="6"/>
        <v>0</v>
      </c>
      <c r="S26" s="183">
        <f t="shared" si="7"/>
        <v>0</v>
      </c>
      <c r="T26" s="183">
        <f t="shared" si="8"/>
        <v>0</v>
      </c>
      <c r="U26" s="186"/>
    </row>
    <row r="27" ht="14.25" customHeight="1">
      <c r="A27" s="175"/>
      <c r="B27" s="196" t="s">
        <v>768</v>
      </c>
      <c r="C27" s="181"/>
      <c r="D27" s="197" t="s">
        <v>769</v>
      </c>
      <c r="E27" s="183">
        <f>'Balin-A'!E27+'Sinta-A'!E27+'Kumai-A'!E27+'Lokal-A'!E27</f>
        <v>0</v>
      </c>
      <c r="F27" s="183">
        <f>'Balin-A'!F27+'Sinta-A'!F27+'Kumai-A'!F27+'Lokal-A'!F27</f>
        <v>0</v>
      </c>
      <c r="G27" s="183">
        <f>'Balin-A'!G27+'Sinta-A'!G27+'Kumai-A'!G27+'Lokal-A'!G27</f>
        <v>0</v>
      </c>
      <c r="H27" s="183">
        <f>'Balin-A'!H27+'Sinta-A'!H27+'Kumai-A'!H27+'Lokal-A'!H27</f>
        <v>0</v>
      </c>
      <c r="I27" s="183">
        <f>'Balin-A'!I27+'Sinta-A'!I27+'Kumai-A'!I27+'Lokal-A'!I27</f>
        <v>0</v>
      </c>
      <c r="J27" s="185">
        <f t="shared" si="2"/>
        <v>0</v>
      </c>
      <c r="K27" s="183">
        <f t="shared" si="3"/>
        <v>0</v>
      </c>
      <c r="L27" s="183">
        <f t="shared" si="4"/>
        <v>0</v>
      </c>
      <c r="M27" s="183">
        <f t="shared" si="5"/>
        <v>0</v>
      </c>
      <c r="N27" s="183">
        <f>'Balin-A'!N27+'Sinta-A'!N27+'Kumai-A'!N27+'Lokal-A'!N27</f>
        <v>0</v>
      </c>
      <c r="O27" s="183">
        <f>'Balin-A'!O27+'Sinta-A'!O27+'Kumai-A'!O27+'Lokal-A'!O27</f>
        <v>0</v>
      </c>
      <c r="P27" s="183">
        <f>'Balin-A'!P27+'Sinta-A'!P27+'Kumai-A'!P27+'Lokal-A'!P27</f>
        <v>0</v>
      </c>
      <c r="Q27" s="183">
        <f>'Balin-A'!Q27+'Sinta-A'!Q27+'Kumai-A'!Q27+'Lokal-A'!Q27</f>
        <v>0</v>
      </c>
      <c r="R27" s="183">
        <f t="shared" si="6"/>
        <v>0</v>
      </c>
      <c r="S27" s="183">
        <f t="shared" si="7"/>
        <v>0</v>
      </c>
      <c r="T27" s="183">
        <f t="shared" si="8"/>
        <v>0</v>
      </c>
      <c r="U27" s="186"/>
    </row>
    <row r="28" ht="14.25" customHeight="1">
      <c r="A28" s="175"/>
      <c r="B28" s="196" t="s">
        <v>770</v>
      </c>
      <c r="C28" s="181"/>
      <c r="D28" s="197" t="s">
        <v>771</v>
      </c>
      <c r="E28" s="183">
        <f>'Balin-A'!E28+'Sinta-A'!E28+'Kumai-A'!E28+'Lokal-A'!E28</f>
        <v>0</v>
      </c>
      <c r="F28" s="183">
        <f>'Balin-A'!F28+'Sinta-A'!F28+'Kumai-A'!F28+'Lokal-A'!F28</f>
        <v>0</v>
      </c>
      <c r="G28" s="183">
        <f>'Balin-A'!G28+'Sinta-A'!G28+'Kumai-A'!G28+'Lokal-A'!G28</f>
        <v>0</v>
      </c>
      <c r="H28" s="183">
        <f>'Balin-A'!H28+'Sinta-A'!H28+'Kumai-A'!H28+'Lokal-A'!H28</f>
        <v>0</v>
      </c>
      <c r="I28" s="183">
        <f>'Balin-A'!I28+'Sinta-A'!I28+'Kumai-A'!I28+'Lokal-A'!I28</f>
        <v>0</v>
      </c>
      <c r="J28" s="185">
        <f t="shared" si="2"/>
        <v>0</v>
      </c>
      <c r="K28" s="183">
        <f t="shared" si="3"/>
        <v>0</v>
      </c>
      <c r="L28" s="183">
        <f t="shared" si="4"/>
        <v>0</v>
      </c>
      <c r="M28" s="183">
        <f t="shared" si="5"/>
        <v>0</v>
      </c>
      <c r="N28" s="183">
        <f>'Balin-A'!N28+'Sinta-A'!N28+'Kumai-A'!N28+'Lokal-A'!N28</f>
        <v>0</v>
      </c>
      <c r="O28" s="183">
        <f>'Balin-A'!O28+'Sinta-A'!O28+'Kumai-A'!O28+'Lokal-A'!O28</f>
        <v>0</v>
      </c>
      <c r="P28" s="183">
        <f>'Balin-A'!P28+'Sinta-A'!P28+'Kumai-A'!P28+'Lokal-A'!P28</f>
        <v>0</v>
      </c>
      <c r="Q28" s="183">
        <f>'Balin-A'!Q28+'Sinta-A'!Q28+'Kumai-A'!Q28+'Lokal-A'!Q28</f>
        <v>0</v>
      </c>
      <c r="R28" s="183">
        <f t="shared" si="6"/>
        <v>0</v>
      </c>
      <c r="S28" s="183">
        <f t="shared" si="7"/>
        <v>0</v>
      </c>
      <c r="T28" s="183">
        <f t="shared" si="8"/>
        <v>0</v>
      </c>
      <c r="U28" s="186"/>
    </row>
    <row r="29" ht="14.25" customHeight="1">
      <c r="A29" s="175"/>
      <c r="B29" s="196" t="s">
        <v>54</v>
      </c>
      <c r="C29" s="181"/>
      <c r="D29" s="197" t="s">
        <v>139</v>
      </c>
      <c r="E29" s="183">
        <f>'Balin-A'!E29+'Sinta-A'!E29+'Kumai-A'!E29+'Lokal-A'!E29</f>
        <v>31997642</v>
      </c>
      <c r="F29" s="183">
        <f>'Balin-A'!F29+'Sinta-A'!F29+'Kumai-A'!F29+'Lokal-A'!F29</f>
        <v>26271300</v>
      </c>
      <c r="G29" s="183">
        <f>'Balin-A'!G29+'Sinta-A'!G29+'Kumai-A'!G29+'Lokal-A'!G29</f>
        <v>23271917</v>
      </c>
      <c r="H29" s="183">
        <f>'Balin-A'!H29+'Sinta-A'!H29+'Kumai-A'!H29+'Lokal-A'!H29</f>
        <v>0</v>
      </c>
      <c r="I29" s="183">
        <f>'Balin-A'!I29+'Sinta-A'!I29+'Kumai-A'!I29+'Lokal-A'!I29</f>
        <v>0</v>
      </c>
      <c r="J29" s="185">
        <f t="shared" si="2"/>
        <v>121.7969495</v>
      </c>
      <c r="K29" s="183">
        <f t="shared" si="3"/>
        <v>137.494655</v>
      </c>
      <c r="L29" s="183">
        <f t="shared" si="4"/>
        <v>0</v>
      </c>
      <c r="M29" s="183">
        <f t="shared" si="5"/>
        <v>0</v>
      </c>
      <c r="N29" s="183">
        <f>'Balin-A'!N29+'Sinta-A'!N29+'Kumai-A'!N29+'Lokal-A'!N29</f>
        <v>140515182</v>
      </c>
      <c r="O29" s="183">
        <f>'Balin-A'!O29+'Sinta-A'!O29+'Kumai-A'!O29+'Lokal-A'!O29</f>
        <v>134115966</v>
      </c>
      <c r="P29" s="183">
        <f>'Balin-A'!P29+'Sinta-A'!P29+'Kumai-A'!P29+'Lokal-A'!P29</f>
        <v>0</v>
      </c>
      <c r="Q29" s="183">
        <f>'Balin-A'!Q29+'Sinta-A'!Q29+'Kumai-A'!Q29+'Lokal-A'!Q29</f>
        <v>0</v>
      </c>
      <c r="R29" s="183">
        <f t="shared" si="6"/>
        <v>104.7714051</v>
      </c>
      <c r="S29" s="183">
        <f t="shared" si="7"/>
        <v>0</v>
      </c>
      <c r="T29" s="183">
        <f t="shared" si="8"/>
        <v>0</v>
      </c>
      <c r="U29" s="186"/>
    </row>
    <row r="30" ht="14.25" customHeight="1">
      <c r="A30" s="175"/>
      <c r="B30" s="196"/>
      <c r="C30" s="181"/>
      <c r="D30" s="197"/>
      <c r="E30" s="183">
        <f>'Balin-A'!E30+'Sinta-A'!E30+'Kumai-A'!E30+'Lokal-A'!E30</f>
        <v>0</v>
      </c>
      <c r="F30" s="183">
        <f>'Balin-A'!F30+'Sinta-A'!F30+'Kumai-A'!F30+'Lokal-A'!F30</f>
        <v>0</v>
      </c>
      <c r="G30" s="183">
        <f>'Balin-A'!G30+'Sinta-A'!G30+'Kumai-A'!G30+'Lokal-A'!G30</f>
        <v>0</v>
      </c>
      <c r="H30" s="183">
        <f>'Balin-A'!H30+'Sinta-A'!H30+'Kumai-A'!H30+'Lokal-A'!H30</f>
        <v>0</v>
      </c>
      <c r="I30" s="183">
        <f>'Balin-A'!I30+'Sinta-A'!I30+'Kumai-A'!I30+'Lokal-A'!I30</f>
        <v>0</v>
      </c>
      <c r="J30" s="185">
        <f t="shared" si="2"/>
        <v>0</v>
      </c>
      <c r="K30" s="183">
        <f t="shared" si="3"/>
        <v>0</v>
      </c>
      <c r="L30" s="183">
        <f t="shared" si="4"/>
        <v>0</v>
      </c>
      <c r="M30" s="183">
        <f t="shared" si="5"/>
        <v>0</v>
      </c>
      <c r="N30" s="183">
        <f>'Balin-A'!N30+'Sinta-A'!N30+'Kumai-A'!N30+'Lokal-A'!N30</f>
        <v>0</v>
      </c>
      <c r="O30" s="183">
        <f>'Balin-A'!O30+'Sinta-A'!O30+'Kumai-A'!O30+'Lokal-A'!O30</f>
        <v>0</v>
      </c>
      <c r="P30" s="183">
        <f>'Balin-A'!P30+'Sinta-A'!P30+'Kumai-A'!P30+'Lokal-A'!P30</f>
        <v>0</v>
      </c>
      <c r="Q30" s="183">
        <f>'Balin-A'!Q30+'Sinta-A'!Q30+'Kumai-A'!Q30+'Lokal-A'!Q30</f>
        <v>0</v>
      </c>
      <c r="R30" s="183">
        <f t="shared" si="6"/>
        <v>0</v>
      </c>
      <c r="S30" s="183">
        <f t="shared" si="7"/>
        <v>0</v>
      </c>
      <c r="T30" s="183">
        <f t="shared" si="8"/>
        <v>0</v>
      </c>
      <c r="U30" s="186"/>
    </row>
    <row r="31" ht="14.25" customHeight="1">
      <c r="A31" s="175"/>
      <c r="B31" s="198"/>
      <c r="C31" s="181"/>
      <c r="D31" s="197"/>
      <c r="E31" s="183">
        <f>'Balin-A'!E31+'Sinta-A'!E31+'Kumai-A'!E31+'Lokal-A'!E31</f>
        <v>0</v>
      </c>
      <c r="F31" s="183">
        <f>'Balin-A'!F31+'Sinta-A'!F31+'Kumai-A'!F31+'Lokal-A'!F31</f>
        <v>0</v>
      </c>
      <c r="G31" s="183">
        <f>'Balin-A'!G31+'Sinta-A'!G31+'Kumai-A'!G31+'Lokal-A'!G31</f>
        <v>0</v>
      </c>
      <c r="H31" s="183">
        <f>'Balin-A'!H31+'Sinta-A'!H31+'Kumai-A'!H31+'Lokal-A'!H31</f>
        <v>0</v>
      </c>
      <c r="I31" s="183">
        <f>'Balin-A'!I31+'Sinta-A'!I31+'Kumai-A'!I31+'Lokal-A'!I31</f>
        <v>0</v>
      </c>
      <c r="J31" s="185">
        <f t="shared" si="2"/>
        <v>0</v>
      </c>
      <c r="K31" s="183">
        <f t="shared" si="3"/>
        <v>0</v>
      </c>
      <c r="L31" s="183">
        <f t="shared" si="4"/>
        <v>0</v>
      </c>
      <c r="M31" s="183">
        <f t="shared" si="5"/>
        <v>0</v>
      </c>
      <c r="N31" s="183">
        <f>'Balin-A'!N31+'Sinta-A'!N31+'Kumai-A'!N31+'Lokal-A'!N31</f>
        <v>0</v>
      </c>
      <c r="O31" s="183">
        <f>'Balin-A'!O31+'Sinta-A'!O31+'Kumai-A'!O31+'Lokal-A'!O31</f>
        <v>0</v>
      </c>
      <c r="P31" s="183">
        <f>'Balin-A'!P31+'Sinta-A'!P31+'Kumai-A'!P31+'Lokal-A'!P31</f>
        <v>0</v>
      </c>
      <c r="Q31" s="183">
        <f>'Balin-A'!Q31+'Sinta-A'!Q31+'Kumai-A'!Q31+'Lokal-A'!Q31</f>
        <v>0</v>
      </c>
      <c r="R31" s="183">
        <f t="shared" si="6"/>
        <v>0</v>
      </c>
      <c r="S31" s="183">
        <f t="shared" si="7"/>
        <v>0</v>
      </c>
      <c r="T31" s="183">
        <f t="shared" si="8"/>
        <v>0</v>
      </c>
      <c r="U31" s="186"/>
    </row>
    <row r="32" ht="14.25" customHeight="1">
      <c r="A32" s="175"/>
      <c r="B32" s="191" t="s">
        <v>772</v>
      </c>
      <c r="C32" s="199"/>
      <c r="D32" s="200"/>
      <c r="E32" s="201">
        <f t="shared" ref="E32:I32" si="11">SUM(E15:E31)</f>
        <v>31997642</v>
      </c>
      <c r="F32" s="201">
        <f t="shared" si="11"/>
        <v>26271300</v>
      </c>
      <c r="G32" s="201">
        <f t="shared" si="11"/>
        <v>23271917</v>
      </c>
      <c r="H32" s="201">
        <f t="shared" si="11"/>
        <v>160172</v>
      </c>
      <c r="I32" s="201">
        <f t="shared" si="11"/>
        <v>160172</v>
      </c>
      <c r="J32" s="201">
        <f t="shared" si="2"/>
        <v>121.7969495</v>
      </c>
      <c r="K32" s="201">
        <f t="shared" si="3"/>
        <v>137.494655</v>
      </c>
      <c r="L32" s="201">
        <f t="shared" si="4"/>
        <v>19977.05092</v>
      </c>
      <c r="M32" s="201">
        <f t="shared" si="5"/>
        <v>19977.05092</v>
      </c>
      <c r="N32" s="201">
        <f t="shared" ref="N32:Q32" si="12">SUM(N15:N31)</f>
        <v>140515182</v>
      </c>
      <c r="O32" s="201">
        <f t="shared" si="12"/>
        <v>139115966</v>
      </c>
      <c r="P32" s="201">
        <f t="shared" si="12"/>
        <v>790849</v>
      </c>
      <c r="Q32" s="201">
        <f t="shared" si="12"/>
        <v>790849</v>
      </c>
      <c r="R32" s="201">
        <f t="shared" si="6"/>
        <v>101.0057911</v>
      </c>
      <c r="S32" s="201">
        <f t="shared" si="7"/>
        <v>17767.63731</v>
      </c>
      <c r="T32" s="201">
        <f t="shared" si="8"/>
        <v>17767.63731</v>
      </c>
      <c r="U32" s="186"/>
    </row>
    <row r="33" ht="14.25" customHeight="1">
      <c r="A33" s="175"/>
      <c r="B33" s="196"/>
      <c r="C33" s="181"/>
      <c r="D33" s="197" t="s">
        <v>773</v>
      </c>
      <c r="E33" s="183">
        <f>'Balin-A'!E33+'Sinta-A'!E33+'Kumai-A'!E33+'Lokal-A'!E33</f>
        <v>0</v>
      </c>
      <c r="F33" s="183">
        <f>'Balin-A'!F33+'Sinta-A'!F33+'Kumai-A'!F33+'Lokal-A'!F33</f>
        <v>0</v>
      </c>
      <c r="G33" s="183">
        <f>'Balin-A'!G33+'Sinta-A'!G33+'Kumai-A'!G33+'Lokal-A'!G33</f>
        <v>0</v>
      </c>
      <c r="H33" s="183">
        <f>'Balin-A'!H33+'Sinta-A'!H33+'Kumai-A'!H33+'Lokal-A'!H33</f>
        <v>0</v>
      </c>
      <c r="I33" s="183">
        <f>'Balin-A'!I33+'Sinta-A'!I33+'Kumai-A'!I33+'Lokal-A'!I33</f>
        <v>0</v>
      </c>
      <c r="J33" s="185">
        <f t="shared" si="2"/>
        <v>0</v>
      </c>
      <c r="K33" s="183">
        <f t="shared" si="3"/>
        <v>0</v>
      </c>
      <c r="L33" s="183">
        <f t="shared" si="4"/>
        <v>0</v>
      </c>
      <c r="M33" s="183">
        <f t="shared" si="5"/>
        <v>0</v>
      </c>
      <c r="N33" s="183">
        <f>'Balin-A'!N33+'Sinta-A'!N33+'Kumai-A'!N33+'Lokal-A'!N33</f>
        <v>0</v>
      </c>
      <c r="O33" s="183">
        <f>'Balin-A'!O33+'Sinta-A'!O33+'Kumai-A'!O33+'Lokal-A'!O33</f>
        <v>0</v>
      </c>
      <c r="P33" s="183">
        <f>'Balin-A'!P33+'Sinta-A'!P33+'Kumai-A'!P33+'Lokal-A'!P33</f>
        <v>0</v>
      </c>
      <c r="Q33" s="183">
        <f>'Balin-A'!Q33+'Sinta-A'!Q33+'Kumai-A'!Q33+'Lokal-A'!Q33</f>
        <v>0</v>
      </c>
      <c r="R33" s="183">
        <f t="shared" si="6"/>
        <v>0</v>
      </c>
      <c r="S33" s="183">
        <f t="shared" si="7"/>
        <v>0</v>
      </c>
      <c r="T33" s="183">
        <f t="shared" si="8"/>
        <v>0</v>
      </c>
      <c r="U33" s="186"/>
    </row>
    <row r="34" ht="14.25" customHeight="1">
      <c r="A34" s="175"/>
      <c r="B34" s="191" t="s">
        <v>774</v>
      </c>
      <c r="C34" s="199"/>
      <c r="D34" s="200"/>
      <c r="E34" s="201">
        <f t="shared" ref="E34:I34" si="13">SUM(E33)</f>
        <v>0</v>
      </c>
      <c r="F34" s="201">
        <f t="shared" si="13"/>
        <v>0</v>
      </c>
      <c r="G34" s="201">
        <f t="shared" si="13"/>
        <v>0</v>
      </c>
      <c r="H34" s="201">
        <f t="shared" si="13"/>
        <v>0</v>
      </c>
      <c r="I34" s="201">
        <f t="shared" si="13"/>
        <v>0</v>
      </c>
      <c r="J34" s="201">
        <f t="shared" si="2"/>
        <v>0</v>
      </c>
      <c r="K34" s="201">
        <f t="shared" si="3"/>
        <v>0</v>
      </c>
      <c r="L34" s="201">
        <f t="shared" si="4"/>
        <v>0</v>
      </c>
      <c r="M34" s="201">
        <f t="shared" si="5"/>
        <v>0</v>
      </c>
      <c r="N34" s="201">
        <f t="shared" ref="N34:Q34" si="14">SUM(N33)</f>
        <v>0</v>
      </c>
      <c r="O34" s="201">
        <f t="shared" si="14"/>
        <v>0</v>
      </c>
      <c r="P34" s="201">
        <f t="shared" si="14"/>
        <v>0</v>
      </c>
      <c r="Q34" s="201">
        <f t="shared" si="14"/>
        <v>0</v>
      </c>
      <c r="R34" s="201">
        <f t="shared" si="6"/>
        <v>0</v>
      </c>
      <c r="S34" s="201">
        <f t="shared" si="7"/>
        <v>0</v>
      </c>
      <c r="T34" s="201">
        <f t="shared" si="8"/>
        <v>0</v>
      </c>
      <c r="U34" s="186"/>
    </row>
    <row r="35" ht="14.25" customHeight="1">
      <c r="A35" s="175"/>
      <c r="B35" s="196" t="s">
        <v>775</v>
      </c>
      <c r="C35" s="181"/>
      <c r="D35" s="197" t="s">
        <v>776</v>
      </c>
      <c r="E35" s="183">
        <f>'Balin-A'!E35+'Sinta-A'!E35+'Kumai-A'!E35+'Lokal-A'!E35</f>
        <v>0</v>
      </c>
      <c r="F35" s="183">
        <f>'Balin-A'!F35+'Sinta-A'!F35+'Kumai-A'!F35+'Lokal-A'!F35</f>
        <v>0</v>
      </c>
      <c r="G35" s="183">
        <f>'Balin-A'!G35+'Sinta-A'!G35+'Kumai-A'!G35+'Lokal-A'!G35</f>
        <v>0</v>
      </c>
      <c r="H35" s="183">
        <f>'Balin-A'!H35+'Sinta-A'!H35+'Kumai-A'!H35+'Lokal-A'!H35</f>
        <v>0</v>
      </c>
      <c r="I35" s="183">
        <f>'Balin-A'!I35+'Sinta-A'!I35+'Kumai-A'!I35+'Lokal-A'!I35</f>
        <v>0</v>
      </c>
      <c r="J35" s="185">
        <f t="shared" si="2"/>
        <v>0</v>
      </c>
      <c r="K35" s="183">
        <f t="shared" si="3"/>
        <v>0</v>
      </c>
      <c r="L35" s="183">
        <f t="shared" si="4"/>
        <v>0</v>
      </c>
      <c r="M35" s="183">
        <f t="shared" si="5"/>
        <v>0</v>
      </c>
      <c r="N35" s="183">
        <f>'Balin-A'!N35+'Sinta-A'!N35+'Kumai-A'!N35+'Lokal-A'!N35</f>
        <v>0</v>
      </c>
      <c r="O35" s="183">
        <f>'Balin-A'!O35+'Sinta-A'!O35+'Kumai-A'!O35+'Lokal-A'!O35</f>
        <v>0</v>
      </c>
      <c r="P35" s="183">
        <f>'Balin-A'!P35+'Sinta-A'!P35+'Kumai-A'!P35+'Lokal-A'!P35</f>
        <v>0</v>
      </c>
      <c r="Q35" s="183">
        <f>'Balin-A'!Q35+'Sinta-A'!Q35+'Kumai-A'!Q35+'Lokal-A'!Q35</f>
        <v>0</v>
      </c>
      <c r="R35" s="183">
        <f t="shared" si="6"/>
        <v>0</v>
      </c>
      <c r="S35" s="183">
        <f t="shared" si="7"/>
        <v>0</v>
      </c>
      <c r="T35" s="183">
        <f t="shared" si="8"/>
        <v>0</v>
      </c>
      <c r="U35" s="186"/>
    </row>
    <row r="36" ht="14.25" customHeight="1">
      <c r="A36" s="175"/>
      <c r="B36" s="196" t="s">
        <v>777</v>
      </c>
      <c r="C36" s="181"/>
      <c r="D36" s="197" t="s">
        <v>778</v>
      </c>
      <c r="E36" s="183">
        <f>'Balin-A'!E36+'Sinta-A'!E36+'Kumai-A'!E36+'Lokal-A'!E36</f>
        <v>0</v>
      </c>
      <c r="F36" s="183">
        <f>'Balin-A'!F36+'Sinta-A'!F36+'Kumai-A'!F36+'Lokal-A'!F36</f>
        <v>0</v>
      </c>
      <c r="G36" s="183">
        <f>'Balin-A'!G36+'Sinta-A'!G36+'Kumai-A'!G36+'Lokal-A'!G36</f>
        <v>0</v>
      </c>
      <c r="H36" s="183">
        <f>'Balin-A'!H36+'Sinta-A'!H36+'Kumai-A'!H36+'Lokal-A'!H36</f>
        <v>0</v>
      </c>
      <c r="I36" s="183">
        <f>'Balin-A'!I36+'Sinta-A'!I36+'Kumai-A'!I36+'Lokal-A'!I36</f>
        <v>0</v>
      </c>
      <c r="J36" s="185">
        <f t="shared" si="2"/>
        <v>0</v>
      </c>
      <c r="K36" s="183">
        <f t="shared" si="3"/>
        <v>0</v>
      </c>
      <c r="L36" s="183">
        <f t="shared" si="4"/>
        <v>0</v>
      </c>
      <c r="M36" s="183">
        <f t="shared" si="5"/>
        <v>0</v>
      </c>
      <c r="N36" s="183">
        <f>'Balin-A'!N36+'Sinta-A'!N36+'Kumai-A'!N36+'Lokal-A'!N36</f>
        <v>0</v>
      </c>
      <c r="O36" s="183">
        <f>'Balin-A'!O36+'Sinta-A'!O36+'Kumai-A'!O36+'Lokal-A'!O36</f>
        <v>0</v>
      </c>
      <c r="P36" s="183">
        <f>'Balin-A'!P36+'Sinta-A'!P36+'Kumai-A'!P36+'Lokal-A'!P36</f>
        <v>0</v>
      </c>
      <c r="Q36" s="183">
        <f>'Balin-A'!Q36+'Sinta-A'!Q36+'Kumai-A'!Q36+'Lokal-A'!Q36</f>
        <v>0</v>
      </c>
      <c r="R36" s="183">
        <f t="shared" si="6"/>
        <v>0</v>
      </c>
      <c r="S36" s="183">
        <f t="shared" si="7"/>
        <v>0</v>
      </c>
      <c r="T36" s="183">
        <f t="shared" si="8"/>
        <v>0</v>
      </c>
      <c r="U36" s="186"/>
    </row>
    <row r="37" ht="14.25" customHeight="1">
      <c r="A37" s="175"/>
      <c r="B37" s="196" t="s">
        <v>779</v>
      </c>
      <c r="C37" s="181"/>
      <c r="D37" s="197" t="s">
        <v>780</v>
      </c>
      <c r="E37" s="183">
        <f>'Balin-A'!E37+'Sinta-A'!E37+'Kumai-A'!E37+'Lokal-A'!E37</f>
        <v>0</v>
      </c>
      <c r="F37" s="183">
        <f>'Balin-A'!F37+'Sinta-A'!F37+'Kumai-A'!F37+'Lokal-A'!F37</f>
        <v>0</v>
      </c>
      <c r="G37" s="183">
        <f>'Balin-A'!G37+'Sinta-A'!G37+'Kumai-A'!G37+'Lokal-A'!G37</f>
        <v>0</v>
      </c>
      <c r="H37" s="183">
        <f>'Balin-A'!H37+'Sinta-A'!H37+'Kumai-A'!H37+'Lokal-A'!H37</f>
        <v>0</v>
      </c>
      <c r="I37" s="183">
        <f>'Balin-A'!I37+'Sinta-A'!I37+'Kumai-A'!I37+'Lokal-A'!I37</f>
        <v>0</v>
      </c>
      <c r="J37" s="185">
        <f t="shared" si="2"/>
        <v>0</v>
      </c>
      <c r="K37" s="183">
        <f t="shared" si="3"/>
        <v>0</v>
      </c>
      <c r="L37" s="183">
        <f t="shared" si="4"/>
        <v>0</v>
      </c>
      <c r="M37" s="183">
        <f t="shared" si="5"/>
        <v>0</v>
      </c>
      <c r="N37" s="183">
        <f>'Balin-A'!N37+'Sinta-A'!N37+'Kumai-A'!N37+'Lokal-A'!N37</f>
        <v>0</v>
      </c>
      <c r="O37" s="183">
        <f>'Balin-A'!O37+'Sinta-A'!O37+'Kumai-A'!O37+'Lokal-A'!O37</f>
        <v>0</v>
      </c>
      <c r="P37" s="183">
        <f>'Balin-A'!P37+'Sinta-A'!P37+'Kumai-A'!P37+'Lokal-A'!P37</f>
        <v>0</v>
      </c>
      <c r="Q37" s="183">
        <f>'Balin-A'!Q37+'Sinta-A'!Q37+'Kumai-A'!Q37+'Lokal-A'!Q37</f>
        <v>0</v>
      </c>
      <c r="R37" s="183">
        <f t="shared" si="6"/>
        <v>0</v>
      </c>
      <c r="S37" s="183">
        <f t="shared" si="7"/>
        <v>0</v>
      </c>
      <c r="T37" s="183">
        <f t="shared" si="8"/>
        <v>0</v>
      </c>
      <c r="U37" s="186"/>
    </row>
    <row r="38" ht="14.25" customHeight="1">
      <c r="A38" s="175"/>
      <c r="B38" s="196" t="s">
        <v>267</v>
      </c>
      <c r="C38" s="181"/>
      <c r="D38" s="197" t="s">
        <v>268</v>
      </c>
      <c r="E38" s="183">
        <f>'Balin-A'!E38+'Sinta-A'!E38+'Kumai-A'!E38+'Lokal-A'!E38</f>
        <v>34720000</v>
      </c>
      <c r="F38" s="183">
        <f>'Balin-A'!F38+'Sinta-A'!F38+'Kumai-A'!F38+'Lokal-A'!F38</f>
        <v>39005879</v>
      </c>
      <c r="G38" s="183">
        <f>'Balin-A'!G38+'Sinta-A'!G38+'Kumai-A'!G38+'Lokal-A'!G38</f>
        <v>0</v>
      </c>
      <c r="H38" s="183">
        <f>'Balin-A'!H38+'Sinta-A'!H38+'Kumai-A'!H38+'Lokal-A'!H38</f>
        <v>46049482</v>
      </c>
      <c r="I38" s="183">
        <f>'Balin-A'!I38+'Sinta-A'!I38+'Kumai-A'!I38+'Lokal-A'!I38</f>
        <v>46049482</v>
      </c>
      <c r="J38" s="185">
        <f t="shared" si="2"/>
        <v>89.012223</v>
      </c>
      <c r="K38" s="183">
        <f t="shared" si="3"/>
        <v>0</v>
      </c>
      <c r="L38" s="183">
        <f t="shared" si="4"/>
        <v>75.39715648</v>
      </c>
      <c r="M38" s="183">
        <f t="shared" si="5"/>
        <v>75.39715648</v>
      </c>
      <c r="N38" s="183">
        <f>'Balin-A'!N38+'Sinta-A'!N38+'Kumai-A'!N38+'Lokal-A'!N38</f>
        <v>137984118</v>
      </c>
      <c r="O38" s="183">
        <f>'Balin-A'!O38+'Sinta-A'!O38+'Kumai-A'!O38+'Lokal-A'!O38</f>
        <v>134884000</v>
      </c>
      <c r="P38" s="183">
        <f>'Balin-A'!P38+'Sinta-A'!P38+'Kumai-A'!P38+'Lokal-A'!P38</f>
        <v>239507361</v>
      </c>
      <c r="Q38" s="183">
        <f>'Balin-A'!Q38+'Sinta-A'!Q38+'Kumai-A'!Q38+'Lokal-A'!Q38</f>
        <v>239507361</v>
      </c>
      <c r="R38" s="183">
        <f t="shared" si="6"/>
        <v>102.2983586</v>
      </c>
      <c r="S38" s="183">
        <f t="shared" si="7"/>
        <v>57.61163975</v>
      </c>
      <c r="T38" s="183">
        <f t="shared" si="8"/>
        <v>57.61163975</v>
      </c>
      <c r="U38" s="186"/>
    </row>
    <row r="39" ht="14.25" customHeight="1">
      <c r="A39" s="175"/>
      <c r="B39" s="196" t="s">
        <v>781</v>
      </c>
      <c r="C39" s="181"/>
      <c r="D39" s="197" t="s">
        <v>782</v>
      </c>
      <c r="E39" s="183">
        <f>'Balin-A'!E39+'Sinta-A'!E39+'Kumai-A'!E39+'Lokal-A'!E39</f>
        <v>0</v>
      </c>
      <c r="F39" s="183">
        <f>'Balin-A'!F39+'Sinta-A'!F39+'Kumai-A'!F39+'Lokal-A'!F39</f>
        <v>0</v>
      </c>
      <c r="G39" s="183">
        <f>'Balin-A'!G39+'Sinta-A'!G39+'Kumai-A'!G39+'Lokal-A'!G39</f>
        <v>0</v>
      </c>
      <c r="H39" s="183">
        <f>'Balin-A'!H39+'Sinta-A'!H39+'Kumai-A'!H39+'Lokal-A'!H39</f>
        <v>32089482</v>
      </c>
      <c r="I39" s="183">
        <f>'Balin-A'!I39+'Sinta-A'!I39+'Kumai-A'!I39+'Lokal-A'!I39</f>
        <v>32089482</v>
      </c>
      <c r="J39" s="185">
        <f t="shared" si="2"/>
        <v>0</v>
      </c>
      <c r="K39" s="183">
        <f t="shared" si="3"/>
        <v>0</v>
      </c>
      <c r="L39" s="183">
        <f t="shared" si="4"/>
        <v>0</v>
      </c>
      <c r="M39" s="183">
        <f t="shared" si="5"/>
        <v>0</v>
      </c>
      <c r="N39" s="183">
        <f>'Balin-A'!N39+'Sinta-A'!N39+'Kumai-A'!N39+'Lokal-A'!N39</f>
        <v>0</v>
      </c>
      <c r="O39" s="183">
        <f>'Balin-A'!O39+'Sinta-A'!O39+'Kumai-A'!O39+'Lokal-A'!O39</f>
        <v>0</v>
      </c>
      <c r="P39" s="183">
        <f>'Balin-A'!P39+'Sinta-A'!P39+'Kumai-A'!P39+'Lokal-A'!P39</f>
        <v>239590182</v>
      </c>
      <c r="Q39" s="183">
        <f>'Balin-A'!Q39+'Sinta-A'!Q39+'Kumai-A'!Q39+'Lokal-A'!Q39</f>
        <v>239590182</v>
      </c>
      <c r="R39" s="183">
        <f t="shared" si="6"/>
        <v>0</v>
      </c>
      <c r="S39" s="183">
        <f t="shared" si="7"/>
        <v>0</v>
      </c>
      <c r="T39" s="183">
        <f t="shared" si="8"/>
        <v>0</v>
      </c>
      <c r="U39" s="186"/>
    </row>
    <row r="40" ht="14.25" customHeight="1">
      <c r="A40" s="175"/>
      <c r="B40" s="196" t="s">
        <v>783</v>
      </c>
      <c r="C40" s="181"/>
      <c r="D40" s="197" t="s">
        <v>784</v>
      </c>
      <c r="E40" s="183">
        <f>'Balin-A'!E40+'Sinta-A'!E40+'Kumai-A'!E40+'Lokal-A'!E40</f>
        <v>0</v>
      </c>
      <c r="F40" s="183">
        <f>'Balin-A'!F40+'Sinta-A'!F40+'Kumai-A'!F40+'Lokal-A'!F40</f>
        <v>0</v>
      </c>
      <c r="G40" s="183">
        <f>'Balin-A'!G40+'Sinta-A'!G40+'Kumai-A'!G40+'Lokal-A'!G40</f>
        <v>0</v>
      </c>
      <c r="H40" s="183">
        <f>'Balin-A'!H40+'Sinta-A'!H40+'Kumai-A'!H40+'Lokal-A'!H40</f>
        <v>0</v>
      </c>
      <c r="I40" s="183">
        <f>'Balin-A'!I40+'Sinta-A'!I40+'Kumai-A'!I40+'Lokal-A'!I40</f>
        <v>0</v>
      </c>
      <c r="J40" s="185">
        <f t="shared" si="2"/>
        <v>0</v>
      </c>
      <c r="K40" s="183">
        <f t="shared" si="3"/>
        <v>0</v>
      </c>
      <c r="L40" s="183">
        <f t="shared" si="4"/>
        <v>0</v>
      </c>
      <c r="M40" s="183">
        <f t="shared" si="5"/>
        <v>0</v>
      </c>
      <c r="N40" s="183">
        <f>'Balin-A'!N40+'Sinta-A'!N40+'Kumai-A'!N40+'Lokal-A'!N40</f>
        <v>0</v>
      </c>
      <c r="O40" s="183">
        <f>'Balin-A'!O40+'Sinta-A'!O40+'Kumai-A'!O40+'Lokal-A'!O40</f>
        <v>0</v>
      </c>
      <c r="P40" s="183">
        <f>'Balin-A'!P40+'Sinta-A'!P40+'Kumai-A'!P40+'Lokal-A'!P40</f>
        <v>0</v>
      </c>
      <c r="Q40" s="183">
        <f>'Balin-A'!Q40+'Sinta-A'!Q40+'Kumai-A'!Q40+'Lokal-A'!Q40</f>
        <v>0</v>
      </c>
      <c r="R40" s="183">
        <f t="shared" si="6"/>
        <v>0</v>
      </c>
      <c r="S40" s="183">
        <f t="shared" si="7"/>
        <v>0</v>
      </c>
      <c r="T40" s="183">
        <f t="shared" si="8"/>
        <v>0</v>
      </c>
      <c r="U40" s="186"/>
    </row>
    <row r="41" ht="14.25" customHeight="1">
      <c r="A41" s="175"/>
      <c r="B41" s="196" t="s">
        <v>34</v>
      </c>
      <c r="C41" s="181"/>
      <c r="D41" s="197" t="s">
        <v>35</v>
      </c>
      <c r="E41" s="183">
        <f>'Balin-A'!E41+'Sinta-A'!E41+'Kumai-A'!E41+'Lokal-A'!E41</f>
        <v>47137408</v>
      </c>
      <c r="F41" s="183">
        <f>'Balin-A'!F41+'Sinta-A'!F41+'Kumai-A'!F41+'Lokal-A'!F41</f>
        <v>0</v>
      </c>
      <c r="G41" s="183">
        <f>'Balin-A'!G41+'Sinta-A'!G41+'Kumai-A'!G41+'Lokal-A'!G41</f>
        <v>46575686</v>
      </c>
      <c r="H41" s="183">
        <f>'Balin-A'!H41+'Sinta-A'!H41+'Kumai-A'!H41+'Lokal-A'!H41</f>
        <v>0</v>
      </c>
      <c r="I41" s="183">
        <f>'Balin-A'!I41+'Sinta-A'!I41+'Kumai-A'!I41+'Lokal-A'!I41</f>
        <v>0</v>
      </c>
      <c r="J41" s="185">
        <f t="shared" si="2"/>
        <v>0</v>
      </c>
      <c r="K41" s="183">
        <f t="shared" si="3"/>
        <v>101.2060413</v>
      </c>
      <c r="L41" s="183">
        <f t="shared" si="4"/>
        <v>0</v>
      </c>
      <c r="M41" s="183">
        <f t="shared" si="5"/>
        <v>0</v>
      </c>
      <c r="N41" s="183">
        <f>'Balin-A'!N41+'Sinta-A'!N41+'Kumai-A'!N41+'Lokal-A'!N41</f>
        <v>155535386</v>
      </c>
      <c r="O41" s="183">
        <f>'Balin-A'!O41+'Sinta-A'!O41+'Kumai-A'!O41+'Lokal-A'!O41</f>
        <v>196256004</v>
      </c>
      <c r="P41" s="183">
        <f>'Balin-A'!P41+'Sinta-A'!P41+'Kumai-A'!P41+'Lokal-A'!P41</f>
        <v>0</v>
      </c>
      <c r="Q41" s="183">
        <f>'Balin-A'!Q41+'Sinta-A'!Q41+'Kumai-A'!Q41+'Lokal-A'!Q41</f>
        <v>0</v>
      </c>
      <c r="R41" s="183">
        <f t="shared" si="6"/>
        <v>79.25127529</v>
      </c>
      <c r="S41" s="183">
        <f t="shared" si="7"/>
        <v>0</v>
      </c>
      <c r="T41" s="183">
        <f t="shared" si="8"/>
        <v>0</v>
      </c>
      <c r="U41" s="186"/>
    </row>
    <row r="42" ht="14.25" customHeight="1">
      <c r="A42" s="175"/>
      <c r="B42" s="196" t="s">
        <v>785</v>
      </c>
      <c r="C42" s="181"/>
      <c r="D42" s="197" t="s">
        <v>258</v>
      </c>
      <c r="E42" s="183">
        <f>'Balin-A'!E42+'Sinta-A'!E42+'Kumai-A'!E42+'Lokal-A'!E42</f>
        <v>0</v>
      </c>
      <c r="F42" s="183">
        <f>'Balin-A'!F42+'Sinta-A'!F42+'Kumai-A'!F42+'Lokal-A'!F42</f>
        <v>0</v>
      </c>
      <c r="G42" s="183">
        <f>'Balin-A'!G42+'Sinta-A'!G42+'Kumai-A'!G42+'Lokal-A'!G42</f>
        <v>0</v>
      </c>
      <c r="H42" s="183">
        <f>'Balin-A'!H42+'Sinta-A'!H42+'Kumai-A'!H42+'Lokal-A'!H42</f>
        <v>0</v>
      </c>
      <c r="I42" s="183">
        <f>'Balin-A'!I42+'Sinta-A'!I42+'Kumai-A'!I42+'Lokal-A'!I42</f>
        <v>0</v>
      </c>
      <c r="J42" s="185">
        <f t="shared" si="2"/>
        <v>0</v>
      </c>
      <c r="K42" s="183">
        <f t="shared" si="3"/>
        <v>0</v>
      </c>
      <c r="L42" s="183">
        <f t="shared" si="4"/>
        <v>0</v>
      </c>
      <c r="M42" s="183">
        <f t="shared" si="5"/>
        <v>0</v>
      </c>
      <c r="N42" s="183">
        <f>'Balin-A'!N42+'Sinta-A'!N42+'Kumai-A'!N42+'Lokal-A'!N42</f>
        <v>0</v>
      </c>
      <c r="O42" s="183">
        <f>'Balin-A'!O42+'Sinta-A'!O42+'Kumai-A'!O42+'Lokal-A'!O42</f>
        <v>0</v>
      </c>
      <c r="P42" s="183">
        <f>'Balin-A'!P42+'Sinta-A'!P42+'Kumai-A'!P42+'Lokal-A'!P42</f>
        <v>0</v>
      </c>
      <c r="Q42" s="183">
        <f>'Balin-A'!Q42+'Sinta-A'!Q42+'Kumai-A'!Q42+'Lokal-A'!Q42</f>
        <v>0</v>
      </c>
      <c r="R42" s="183">
        <f t="shared" si="6"/>
        <v>0</v>
      </c>
      <c r="S42" s="183">
        <f t="shared" si="7"/>
        <v>0</v>
      </c>
      <c r="T42" s="183">
        <f t="shared" si="8"/>
        <v>0</v>
      </c>
      <c r="U42" s="186"/>
    </row>
    <row r="43" ht="14.25" customHeight="1">
      <c r="A43" s="175"/>
      <c r="B43" s="196" t="s">
        <v>786</v>
      </c>
      <c r="C43" s="181"/>
      <c r="D43" s="197" t="s">
        <v>787</v>
      </c>
      <c r="E43" s="183">
        <f>'Balin-A'!E43+'Sinta-A'!E43+'Kumai-A'!E43+'Lokal-A'!E43</f>
        <v>0</v>
      </c>
      <c r="F43" s="183">
        <f>'Balin-A'!F43+'Sinta-A'!F43+'Kumai-A'!F43+'Lokal-A'!F43</f>
        <v>0</v>
      </c>
      <c r="G43" s="183">
        <f>'Balin-A'!G43+'Sinta-A'!G43+'Kumai-A'!G43+'Lokal-A'!G43</f>
        <v>0</v>
      </c>
      <c r="H43" s="183">
        <f>'Balin-A'!H43+'Sinta-A'!H43+'Kumai-A'!H43+'Lokal-A'!H43</f>
        <v>0</v>
      </c>
      <c r="I43" s="183">
        <f>'Balin-A'!I43+'Sinta-A'!I43+'Kumai-A'!I43+'Lokal-A'!I43</f>
        <v>0</v>
      </c>
      <c r="J43" s="185">
        <f t="shared" si="2"/>
        <v>0</v>
      </c>
      <c r="K43" s="183">
        <f t="shared" si="3"/>
        <v>0</v>
      </c>
      <c r="L43" s="183">
        <f t="shared" si="4"/>
        <v>0</v>
      </c>
      <c r="M43" s="183">
        <f t="shared" si="5"/>
        <v>0</v>
      </c>
      <c r="N43" s="183">
        <f>'Balin-A'!N43+'Sinta-A'!N43+'Kumai-A'!N43+'Lokal-A'!N43</f>
        <v>0</v>
      </c>
      <c r="O43" s="183">
        <f>'Balin-A'!O43+'Sinta-A'!O43+'Kumai-A'!O43+'Lokal-A'!O43</f>
        <v>0</v>
      </c>
      <c r="P43" s="183">
        <f>'Balin-A'!P43+'Sinta-A'!P43+'Kumai-A'!P43+'Lokal-A'!P43</f>
        <v>0</v>
      </c>
      <c r="Q43" s="183">
        <f>'Balin-A'!Q43+'Sinta-A'!Q43+'Kumai-A'!Q43+'Lokal-A'!Q43</f>
        <v>0</v>
      </c>
      <c r="R43" s="183">
        <f t="shared" si="6"/>
        <v>0</v>
      </c>
      <c r="S43" s="183">
        <f t="shared" si="7"/>
        <v>0</v>
      </c>
      <c r="T43" s="183">
        <f t="shared" si="8"/>
        <v>0</v>
      </c>
      <c r="U43" s="186"/>
    </row>
    <row r="44" ht="14.25" customHeight="1">
      <c r="A44" s="175"/>
      <c r="B44" s="198"/>
      <c r="C44" s="177"/>
      <c r="D44" s="179"/>
      <c r="E44" s="183">
        <f>'Balin-A'!E44+'Sinta-A'!E44+'Kumai-A'!E44+'Lokal-A'!E44</f>
        <v>0</v>
      </c>
      <c r="F44" s="183">
        <f>'Balin-A'!F44+'Sinta-A'!F44+'Kumai-A'!F44+'Lokal-A'!F44</f>
        <v>0</v>
      </c>
      <c r="G44" s="183">
        <f>'Balin-A'!G44+'Sinta-A'!G44+'Kumai-A'!G44+'Lokal-A'!G44</f>
        <v>0</v>
      </c>
      <c r="H44" s="183">
        <f>'Balin-A'!H44+'Sinta-A'!H44+'Kumai-A'!H44+'Lokal-A'!H44</f>
        <v>0</v>
      </c>
      <c r="I44" s="183">
        <f>'Balin-A'!I44+'Sinta-A'!I44+'Kumai-A'!I44+'Lokal-A'!I44</f>
        <v>0</v>
      </c>
      <c r="J44" s="185">
        <f t="shared" si="2"/>
        <v>0</v>
      </c>
      <c r="K44" s="183">
        <f t="shared" si="3"/>
        <v>0</v>
      </c>
      <c r="L44" s="183">
        <f t="shared" si="4"/>
        <v>0</v>
      </c>
      <c r="M44" s="183">
        <f t="shared" si="5"/>
        <v>0</v>
      </c>
      <c r="N44" s="183">
        <f>'Balin-A'!N44+'Sinta-A'!N44+'Kumai-A'!N44+'Lokal-A'!N44</f>
        <v>0</v>
      </c>
      <c r="O44" s="183">
        <f>'Balin-A'!O44+'Sinta-A'!O44+'Kumai-A'!O44+'Lokal-A'!O44</f>
        <v>0</v>
      </c>
      <c r="P44" s="183">
        <f>'Balin-A'!P44+'Sinta-A'!P44+'Kumai-A'!P44+'Lokal-A'!P44</f>
        <v>0</v>
      </c>
      <c r="Q44" s="183">
        <f>'Balin-A'!Q44+'Sinta-A'!Q44+'Kumai-A'!Q44+'Lokal-A'!Q44</f>
        <v>0</v>
      </c>
      <c r="R44" s="183">
        <f t="shared" si="6"/>
        <v>0</v>
      </c>
      <c r="S44" s="183">
        <f t="shared" si="7"/>
        <v>0</v>
      </c>
      <c r="T44" s="183">
        <f t="shared" si="8"/>
        <v>0</v>
      </c>
      <c r="U44" s="186"/>
    </row>
    <row r="45" ht="14.25" customHeight="1">
      <c r="A45" s="175"/>
      <c r="B45" s="191" t="s">
        <v>788</v>
      </c>
      <c r="C45" s="199"/>
      <c r="D45" s="200"/>
      <c r="E45" s="201">
        <f t="shared" ref="E45:I45" si="15">SUM(E35:E44)</f>
        <v>81857408</v>
      </c>
      <c r="F45" s="201">
        <f t="shared" si="15"/>
        <v>39005879</v>
      </c>
      <c r="G45" s="201">
        <f t="shared" si="15"/>
        <v>46575686</v>
      </c>
      <c r="H45" s="201">
        <f t="shared" si="15"/>
        <v>78138964</v>
      </c>
      <c r="I45" s="201">
        <f t="shared" si="15"/>
        <v>78138964</v>
      </c>
      <c r="J45" s="201">
        <f t="shared" si="2"/>
        <v>209.8591548</v>
      </c>
      <c r="K45" s="201">
        <f t="shared" si="3"/>
        <v>175.7513738</v>
      </c>
      <c r="L45" s="201">
        <f t="shared" si="4"/>
        <v>104.7587577</v>
      </c>
      <c r="M45" s="201">
        <f t="shared" si="5"/>
        <v>104.7587577</v>
      </c>
      <c r="N45" s="201">
        <f t="shared" ref="N45:Q45" si="16">SUM(N35:N44)</f>
        <v>293519504</v>
      </c>
      <c r="O45" s="201">
        <f t="shared" si="16"/>
        <v>331140004</v>
      </c>
      <c r="P45" s="201">
        <f t="shared" si="16"/>
        <v>479097543</v>
      </c>
      <c r="Q45" s="201">
        <f t="shared" si="16"/>
        <v>479097543</v>
      </c>
      <c r="R45" s="201">
        <f t="shared" si="6"/>
        <v>88.63909538</v>
      </c>
      <c r="S45" s="201">
        <f t="shared" si="7"/>
        <v>61.2650823</v>
      </c>
      <c r="T45" s="201">
        <f t="shared" si="8"/>
        <v>61.2650823</v>
      </c>
      <c r="U45" s="186"/>
    </row>
    <row r="46" ht="14.25" customHeight="1">
      <c r="A46" s="175"/>
      <c r="B46" s="196" t="s">
        <v>40</v>
      </c>
      <c r="C46" s="181"/>
      <c r="D46" s="197" t="s">
        <v>41</v>
      </c>
      <c r="E46" s="183">
        <f>'Balin-A'!E46+'Sinta-A'!E46+'Kumai-A'!E46+'Lokal-A'!E46</f>
        <v>2943589</v>
      </c>
      <c r="F46" s="183">
        <f>'Balin-A'!F46+'Sinta-A'!F46+'Kumai-A'!F46+'Lokal-A'!F46</f>
        <v>2900301</v>
      </c>
      <c r="G46" s="183">
        <f>'Balin-A'!G46+'Sinta-A'!G46+'Kumai-A'!G46+'Lokal-A'!G46</f>
        <v>7387346</v>
      </c>
      <c r="H46" s="183">
        <f>'Balin-A'!H46+'Sinta-A'!H46+'Kumai-A'!H46+'Lokal-A'!H46</f>
        <v>0</v>
      </c>
      <c r="I46" s="183">
        <f>'Balin-A'!I46+'Sinta-A'!I46+'Kumai-A'!I46+'Lokal-A'!I46</f>
        <v>0</v>
      </c>
      <c r="J46" s="185">
        <f t="shared" si="2"/>
        <v>101.4925347</v>
      </c>
      <c r="K46" s="183">
        <f t="shared" si="3"/>
        <v>39.84636702</v>
      </c>
      <c r="L46" s="183">
        <f t="shared" si="4"/>
        <v>0</v>
      </c>
      <c r="M46" s="183">
        <f t="shared" si="5"/>
        <v>0</v>
      </c>
      <c r="N46" s="183">
        <f>'Balin-A'!N46+'Sinta-A'!N46+'Kumai-A'!N46+'Lokal-A'!N46</f>
        <v>16103158</v>
      </c>
      <c r="O46" s="183">
        <f>'Balin-A'!O46+'Sinta-A'!O46+'Kumai-A'!O46+'Lokal-A'!O46</f>
        <v>35778097</v>
      </c>
      <c r="P46" s="183">
        <f>'Balin-A'!P46+'Sinta-A'!P46+'Kumai-A'!P46+'Lokal-A'!P46</f>
        <v>0</v>
      </c>
      <c r="Q46" s="183">
        <f>'Balin-A'!Q46+'Sinta-A'!Q46+'Kumai-A'!Q46+'Lokal-A'!Q46</f>
        <v>0</v>
      </c>
      <c r="R46" s="183">
        <f t="shared" si="6"/>
        <v>45.00842513</v>
      </c>
      <c r="S46" s="183">
        <f t="shared" si="7"/>
        <v>0</v>
      </c>
      <c r="T46" s="183">
        <f t="shared" si="8"/>
        <v>0</v>
      </c>
      <c r="U46" s="186"/>
    </row>
    <row r="47" ht="14.25" customHeight="1">
      <c r="A47" s="175"/>
      <c r="B47" s="196" t="s">
        <v>789</v>
      </c>
      <c r="C47" s="181"/>
      <c r="D47" s="197" t="s">
        <v>790</v>
      </c>
      <c r="E47" s="183">
        <f>'Balin-A'!E47+'Sinta-A'!E47+'Kumai-A'!E47+'Lokal-A'!E47</f>
        <v>0</v>
      </c>
      <c r="F47" s="183">
        <f>'Balin-A'!F47+'Sinta-A'!F47+'Kumai-A'!F47+'Lokal-A'!F47</f>
        <v>0</v>
      </c>
      <c r="G47" s="183">
        <f>'Balin-A'!G47+'Sinta-A'!G47+'Kumai-A'!G47+'Lokal-A'!G47</f>
        <v>0</v>
      </c>
      <c r="H47" s="183">
        <f>'Balin-A'!H47+'Sinta-A'!H47+'Kumai-A'!H47+'Lokal-A'!H47</f>
        <v>0</v>
      </c>
      <c r="I47" s="183">
        <f>'Balin-A'!I47+'Sinta-A'!I47+'Kumai-A'!I47+'Lokal-A'!I47</f>
        <v>0</v>
      </c>
      <c r="J47" s="185">
        <f t="shared" si="2"/>
        <v>0</v>
      </c>
      <c r="K47" s="183">
        <f t="shared" si="3"/>
        <v>0</v>
      </c>
      <c r="L47" s="183">
        <f t="shared" si="4"/>
        <v>0</v>
      </c>
      <c r="M47" s="183">
        <f t="shared" si="5"/>
        <v>0</v>
      </c>
      <c r="N47" s="183">
        <f>'Balin-A'!N47+'Sinta-A'!N47+'Kumai-A'!N47+'Lokal-A'!N47</f>
        <v>0</v>
      </c>
      <c r="O47" s="183">
        <f>'Balin-A'!O47+'Sinta-A'!O47+'Kumai-A'!O47+'Lokal-A'!O47</f>
        <v>0</v>
      </c>
      <c r="P47" s="183">
        <f>'Balin-A'!P47+'Sinta-A'!P47+'Kumai-A'!P47+'Lokal-A'!P47</f>
        <v>0</v>
      </c>
      <c r="Q47" s="183">
        <f>'Balin-A'!Q47+'Sinta-A'!Q47+'Kumai-A'!Q47+'Lokal-A'!Q47</f>
        <v>0</v>
      </c>
      <c r="R47" s="183">
        <f t="shared" si="6"/>
        <v>0</v>
      </c>
      <c r="S47" s="183">
        <f t="shared" si="7"/>
        <v>0</v>
      </c>
      <c r="T47" s="183">
        <f t="shared" si="8"/>
        <v>0</v>
      </c>
      <c r="U47" s="186"/>
    </row>
    <row r="48" ht="14.25" customHeight="1">
      <c r="A48" s="175"/>
      <c r="B48" s="196" t="s">
        <v>791</v>
      </c>
      <c r="C48" s="181"/>
      <c r="D48" s="197" t="s">
        <v>792</v>
      </c>
      <c r="E48" s="183">
        <f>'Balin-A'!E48+'Sinta-A'!E48+'Kumai-A'!E48+'Lokal-A'!E48</f>
        <v>0</v>
      </c>
      <c r="F48" s="183">
        <f>'Balin-A'!F48+'Sinta-A'!F48+'Kumai-A'!F48+'Lokal-A'!F48</f>
        <v>0</v>
      </c>
      <c r="G48" s="183">
        <f>'Balin-A'!G48+'Sinta-A'!G48+'Kumai-A'!G48+'Lokal-A'!G48</f>
        <v>0</v>
      </c>
      <c r="H48" s="183">
        <f>'Balin-A'!H48+'Sinta-A'!H48+'Kumai-A'!H48+'Lokal-A'!H48</f>
        <v>0</v>
      </c>
      <c r="I48" s="183">
        <f>'Balin-A'!I48+'Sinta-A'!I48+'Kumai-A'!I48+'Lokal-A'!I48</f>
        <v>0</v>
      </c>
      <c r="J48" s="185">
        <f t="shared" si="2"/>
        <v>0</v>
      </c>
      <c r="K48" s="183">
        <f t="shared" si="3"/>
        <v>0</v>
      </c>
      <c r="L48" s="183">
        <f t="shared" si="4"/>
        <v>0</v>
      </c>
      <c r="M48" s="183">
        <f t="shared" si="5"/>
        <v>0</v>
      </c>
      <c r="N48" s="183">
        <f>'Balin-A'!N48+'Sinta-A'!N48+'Kumai-A'!N48+'Lokal-A'!N48</f>
        <v>0</v>
      </c>
      <c r="O48" s="183">
        <f>'Balin-A'!O48+'Sinta-A'!O48+'Kumai-A'!O48+'Lokal-A'!O48</f>
        <v>0</v>
      </c>
      <c r="P48" s="183">
        <f>'Balin-A'!P48+'Sinta-A'!P48+'Kumai-A'!P48+'Lokal-A'!P48</f>
        <v>0</v>
      </c>
      <c r="Q48" s="183">
        <f>'Balin-A'!Q48+'Sinta-A'!Q48+'Kumai-A'!Q48+'Lokal-A'!Q48</f>
        <v>0</v>
      </c>
      <c r="R48" s="183">
        <f t="shared" si="6"/>
        <v>0</v>
      </c>
      <c r="S48" s="183">
        <f t="shared" si="7"/>
        <v>0</v>
      </c>
      <c r="T48" s="183">
        <f t="shared" si="8"/>
        <v>0</v>
      </c>
      <c r="U48" s="186"/>
    </row>
    <row r="49" ht="14.25" customHeight="1">
      <c r="A49" s="175"/>
      <c r="B49" s="196" t="s">
        <v>793</v>
      </c>
      <c r="C49" s="181"/>
      <c r="D49" s="197" t="s">
        <v>794</v>
      </c>
      <c r="E49" s="183">
        <f>'Balin-A'!E49+'Sinta-A'!E49+'Kumai-A'!E49+'Lokal-A'!E49</f>
        <v>0</v>
      </c>
      <c r="F49" s="183">
        <f>'Balin-A'!F49+'Sinta-A'!F49+'Kumai-A'!F49+'Lokal-A'!F49</f>
        <v>0</v>
      </c>
      <c r="G49" s="183">
        <f>'Balin-A'!G49+'Sinta-A'!G49+'Kumai-A'!G49+'Lokal-A'!G49</f>
        <v>0</v>
      </c>
      <c r="H49" s="183">
        <f>'Balin-A'!H49+'Sinta-A'!H49+'Kumai-A'!H49+'Lokal-A'!H49</f>
        <v>0</v>
      </c>
      <c r="I49" s="183">
        <f>'Balin-A'!I49+'Sinta-A'!I49+'Kumai-A'!I49+'Lokal-A'!I49</f>
        <v>0</v>
      </c>
      <c r="J49" s="185">
        <f t="shared" si="2"/>
        <v>0</v>
      </c>
      <c r="K49" s="183">
        <f t="shared" si="3"/>
        <v>0</v>
      </c>
      <c r="L49" s="183">
        <f t="shared" si="4"/>
        <v>0</v>
      </c>
      <c r="M49" s="183">
        <f t="shared" si="5"/>
        <v>0</v>
      </c>
      <c r="N49" s="183">
        <f>'Balin-A'!N49+'Sinta-A'!N49+'Kumai-A'!N49+'Lokal-A'!N49</f>
        <v>0</v>
      </c>
      <c r="O49" s="183">
        <f>'Balin-A'!O49+'Sinta-A'!O49+'Kumai-A'!O49+'Lokal-A'!O49</f>
        <v>0</v>
      </c>
      <c r="P49" s="183">
        <f>'Balin-A'!P49+'Sinta-A'!P49+'Kumai-A'!P49+'Lokal-A'!P49</f>
        <v>0</v>
      </c>
      <c r="Q49" s="183">
        <f>'Balin-A'!Q49+'Sinta-A'!Q49+'Kumai-A'!Q49+'Lokal-A'!Q49</f>
        <v>0</v>
      </c>
      <c r="R49" s="183">
        <f t="shared" si="6"/>
        <v>0</v>
      </c>
      <c r="S49" s="183">
        <f t="shared" si="7"/>
        <v>0</v>
      </c>
      <c r="T49" s="183">
        <f t="shared" si="8"/>
        <v>0</v>
      </c>
      <c r="U49" s="186"/>
    </row>
    <row r="50" ht="14.25" customHeight="1">
      <c r="A50" s="175"/>
      <c r="B50" s="196" t="s">
        <v>795</v>
      </c>
      <c r="C50" s="181"/>
      <c r="D50" s="197" t="s">
        <v>796</v>
      </c>
      <c r="E50" s="183">
        <f>'Balin-A'!E50+'Sinta-A'!E50+'Kumai-A'!E50+'Lokal-A'!E50</f>
        <v>0</v>
      </c>
      <c r="F50" s="183">
        <f>'Balin-A'!F50+'Sinta-A'!F50+'Kumai-A'!F50+'Lokal-A'!F50</f>
        <v>0</v>
      </c>
      <c r="G50" s="183">
        <f>'Balin-A'!G50+'Sinta-A'!G50+'Kumai-A'!G50+'Lokal-A'!G50</f>
        <v>0</v>
      </c>
      <c r="H50" s="183">
        <f>'Balin-A'!H50+'Sinta-A'!H50+'Kumai-A'!H50+'Lokal-A'!H50</f>
        <v>0</v>
      </c>
      <c r="I50" s="183">
        <f>'Balin-A'!I50+'Sinta-A'!I50+'Kumai-A'!I50+'Lokal-A'!I50</f>
        <v>0</v>
      </c>
      <c r="J50" s="185">
        <f t="shared" si="2"/>
        <v>0</v>
      </c>
      <c r="K50" s="183">
        <f t="shared" si="3"/>
        <v>0</v>
      </c>
      <c r="L50" s="183">
        <f t="shared" si="4"/>
        <v>0</v>
      </c>
      <c r="M50" s="183">
        <f t="shared" si="5"/>
        <v>0</v>
      </c>
      <c r="N50" s="183">
        <f>'Balin-A'!N50+'Sinta-A'!N50+'Kumai-A'!N50+'Lokal-A'!N50</f>
        <v>0</v>
      </c>
      <c r="O50" s="183">
        <f>'Balin-A'!O50+'Sinta-A'!O50+'Kumai-A'!O50+'Lokal-A'!O50</f>
        <v>0</v>
      </c>
      <c r="P50" s="183">
        <f>'Balin-A'!P50+'Sinta-A'!P50+'Kumai-A'!P50+'Lokal-A'!P50</f>
        <v>0</v>
      </c>
      <c r="Q50" s="183">
        <f>'Balin-A'!Q50+'Sinta-A'!Q50+'Kumai-A'!Q50+'Lokal-A'!Q50</f>
        <v>0</v>
      </c>
      <c r="R50" s="183">
        <f t="shared" si="6"/>
        <v>0</v>
      </c>
      <c r="S50" s="183">
        <f t="shared" si="7"/>
        <v>0</v>
      </c>
      <c r="T50" s="183">
        <f t="shared" si="8"/>
        <v>0</v>
      </c>
      <c r="U50" s="186"/>
    </row>
    <row r="51" ht="14.25" customHeight="1">
      <c r="A51" s="175"/>
      <c r="B51" s="196" t="s">
        <v>797</v>
      </c>
      <c r="C51" s="181"/>
      <c r="D51" s="197" t="s">
        <v>798</v>
      </c>
      <c r="E51" s="183">
        <f>'Balin-A'!E51+'Sinta-A'!E51+'Kumai-A'!E51+'Lokal-A'!E51</f>
        <v>0</v>
      </c>
      <c r="F51" s="183">
        <f>'Balin-A'!F51+'Sinta-A'!F51+'Kumai-A'!F51+'Lokal-A'!F51</f>
        <v>0</v>
      </c>
      <c r="G51" s="183">
        <f>'Balin-A'!G51+'Sinta-A'!G51+'Kumai-A'!G51+'Lokal-A'!G51</f>
        <v>0</v>
      </c>
      <c r="H51" s="183">
        <f>'Balin-A'!H51+'Sinta-A'!H51+'Kumai-A'!H51+'Lokal-A'!H51</f>
        <v>0</v>
      </c>
      <c r="I51" s="183">
        <f>'Balin-A'!I51+'Sinta-A'!I51+'Kumai-A'!I51+'Lokal-A'!I51</f>
        <v>0</v>
      </c>
      <c r="J51" s="185">
        <f t="shared" si="2"/>
        <v>0</v>
      </c>
      <c r="K51" s="183">
        <f t="shared" si="3"/>
        <v>0</v>
      </c>
      <c r="L51" s="183">
        <f t="shared" si="4"/>
        <v>0</v>
      </c>
      <c r="M51" s="183">
        <f t="shared" si="5"/>
        <v>0</v>
      </c>
      <c r="N51" s="183">
        <f>'Balin-A'!N51+'Sinta-A'!N51+'Kumai-A'!N51+'Lokal-A'!N51</f>
        <v>0</v>
      </c>
      <c r="O51" s="183">
        <f>'Balin-A'!O51+'Sinta-A'!O51+'Kumai-A'!O51+'Lokal-A'!O51</f>
        <v>0</v>
      </c>
      <c r="P51" s="183">
        <f>'Balin-A'!P51+'Sinta-A'!P51+'Kumai-A'!P51+'Lokal-A'!P51</f>
        <v>0</v>
      </c>
      <c r="Q51" s="183">
        <f>'Balin-A'!Q51+'Sinta-A'!Q51+'Kumai-A'!Q51+'Lokal-A'!Q51</f>
        <v>0</v>
      </c>
      <c r="R51" s="183">
        <f t="shared" si="6"/>
        <v>0</v>
      </c>
      <c r="S51" s="183">
        <f t="shared" si="7"/>
        <v>0</v>
      </c>
      <c r="T51" s="183">
        <f t="shared" si="8"/>
        <v>0</v>
      </c>
      <c r="U51" s="186"/>
    </row>
    <row r="52" ht="14.25" customHeight="1">
      <c r="A52" s="175"/>
      <c r="B52" s="196" t="s">
        <v>799</v>
      </c>
      <c r="C52" s="181"/>
      <c r="D52" s="197" t="s">
        <v>800</v>
      </c>
      <c r="E52" s="183">
        <f>'Balin-A'!E52+'Sinta-A'!E52+'Kumai-A'!E52+'Lokal-A'!E52</f>
        <v>0</v>
      </c>
      <c r="F52" s="183">
        <f>'Balin-A'!F52+'Sinta-A'!F52+'Kumai-A'!F52+'Lokal-A'!F52</f>
        <v>0</v>
      </c>
      <c r="G52" s="183">
        <f>'Balin-A'!G52+'Sinta-A'!G52+'Kumai-A'!G52+'Lokal-A'!G52</f>
        <v>0</v>
      </c>
      <c r="H52" s="183">
        <f>'Balin-A'!H52+'Sinta-A'!H52+'Kumai-A'!H52+'Lokal-A'!H52</f>
        <v>0</v>
      </c>
      <c r="I52" s="183">
        <f>'Balin-A'!I52+'Sinta-A'!I52+'Kumai-A'!I52+'Lokal-A'!I52</f>
        <v>0</v>
      </c>
      <c r="J52" s="185">
        <f t="shared" si="2"/>
        <v>0</v>
      </c>
      <c r="K52" s="183">
        <f t="shared" si="3"/>
        <v>0</v>
      </c>
      <c r="L52" s="183">
        <f t="shared" si="4"/>
        <v>0</v>
      </c>
      <c r="M52" s="183">
        <f t="shared" si="5"/>
        <v>0</v>
      </c>
      <c r="N52" s="183">
        <f>'Balin-A'!N52+'Sinta-A'!N52+'Kumai-A'!N52+'Lokal-A'!N52</f>
        <v>0</v>
      </c>
      <c r="O52" s="183">
        <f>'Balin-A'!O52+'Sinta-A'!O52+'Kumai-A'!O52+'Lokal-A'!O52</f>
        <v>0</v>
      </c>
      <c r="P52" s="183">
        <f>'Balin-A'!P52+'Sinta-A'!P52+'Kumai-A'!P52+'Lokal-A'!P52</f>
        <v>0</v>
      </c>
      <c r="Q52" s="183">
        <f>'Balin-A'!Q52+'Sinta-A'!Q52+'Kumai-A'!Q52+'Lokal-A'!Q52</f>
        <v>0</v>
      </c>
      <c r="R52" s="183">
        <f t="shared" si="6"/>
        <v>0</v>
      </c>
      <c r="S52" s="183">
        <f t="shared" si="7"/>
        <v>0</v>
      </c>
      <c r="T52" s="183">
        <f t="shared" si="8"/>
        <v>0</v>
      </c>
      <c r="U52" s="186"/>
    </row>
    <row r="53" ht="14.25" customHeight="1">
      <c r="A53" s="175"/>
      <c r="B53" s="196" t="s">
        <v>801</v>
      </c>
      <c r="C53" s="181"/>
      <c r="D53" s="197" t="s">
        <v>802</v>
      </c>
      <c r="E53" s="183">
        <f>'Balin-A'!E53+'Sinta-A'!E53+'Kumai-A'!E53+'Lokal-A'!E53</f>
        <v>0</v>
      </c>
      <c r="F53" s="183">
        <f>'Balin-A'!F53+'Sinta-A'!F53+'Kumai-A'!F53+'Lokal-A'!F53</f>
        <v>0</v>
      </c>
      <c r="G53" s="183">
        <f>'Balin-A'!G53+'Sinta-A'!G53+'Kumai-A'!G53+'Lokal-A'!G53</f>
        <v>0</v>
      </c>
      <c r="H53" s="183">
        <f>'Balin-A'!H53+'Sinta-A'!H53+'Kumai-A'!H53+'Lokal-A'!H53</f>
        <v>0</v>
      </c>
      <c r="I53" s="183">
        <f>'Balin-A'!I53+'Sinta-A'!I53+'Kumai-A'!I53+'Lokal-A'!I53</f>
        <v>0</v>
      </c>
      <c r="J53" s="185">
        <f t="shared" si="2"/>
        <v>0</v>
      </c>
      <c r="K53" s="183">
        <f t="shared" si="3"/>
        <v>0</v>
      </c>
      <c r="L53" s="183">
        <f t="shared" si="4"/>
        <v>0</v>
      </c>
      <c r="M53" s="183">
        <f t="shared" si="5"/>
        <v>0</v>
      </c>
      <c r="N53" s="183">
        <f>'Balin-A'!N53+'Sinta-A'!N53+'Kumai-A'!N53+'Lokal-A'!N53</f>
        <v>0</v>
      </c>
      <c r="O53" s="183">
        <f>'Balin-A'!O53+'Sinta-A'!O53+'Kumai-A'!O53+'Lokal-A'!O53</f>
        <v>0</v>
      </c>
      <c r="P53" s="183">
        <f>'Balin-A'!P53+'Sinta-A'!P53+'Kumai-A'!P53+'Lokal-A'!P53</f>
        <v>0</v>
      </c>
      <c r="Q53" s="183">
        <f>'Balin-A'!Q53+'Sinta-A'!Q53+'Kumai-A'!Q53+'Lokal-A'!Q53</f>
        <v>0</v>
      </c>
      <c r="R53" s="183">
        <f t="shared" si="6"/>
        <v>0</v>
      </c>
      <c r="S53" s="183">
        <f t="shared" si="7"/>
        <v>0</v>
      </c>
      <c r="T53" s="183">
        <f t="shared" si="8"/>
        <v>0</v>
      </c>
      <c r="U53" s="186"/>
    </row>
    <row r="54" ht="14.25" customHeight="1">
      <c r="A54" s="175"/>
      <c r="B54" s="196" t="s">
        <v>803</v>
      </c>
      <c r="C54" s="181"/>
      <c r="D54" s="197" t="s">
        <v>804</v>
      </c>
      <c r="E54" s="183">
        <f>'Balin-A'!E54+'Sinta-A'!E54+'Kumai-A'!E54+'Lokal-A'!E54</f>
        <v>0</v>
      </c>
      <c r="F54" s="183">
        <f>'Balin-A'!F54+'Sinta-A'!F54+'Kumai-A'!F54+'Lokal-A'!F54</f>
        <v>0</v>
      </c>
      <c r="G54" s="183">
        <f>'Balin-A'!G54+'Sinta-A'!G54+'Kumai-A'!G54+'Lokal-A'!G54</f>
        <v>0</v>
      </c>
      <c r="H54" s="183">
        <f>'Balin-A'!H54+'Sinta-A'!H54+'Kumai-A'!H54+'Lokal-A'!H54</f>
        <v>0</v>
      </c>
      <c r="I54" s="183">
        <f>'Balin-A'!I54+'Sinta-A'!I54+'Kumai-A'!I54+'Lokal-A'!I54</f>
        <v>0</v>
      </c>
      <c r="J54" s="185">
        <f t="shared" si="2"/>
        <v>0</v>
      </c>
      <c r="K54" s="183">
        <f t="shared" si="3"/>
        <v>0</v>
      </c>
      <c r="L54" s="183">
        <f t="shared" si="4"/>
        <v>0</v>
      </c>
      <c r="M54" s="183">
        <f t="shared" si="5"/>
        <v>0</v>
      </c>
      <c r="N54" s="183">
        <f>'Balin-A'!N54+'Sinta-A'!N54+'Kumai-A'!N54+'Lokal-A'!N54</f>
        <v>0</v>
      </c>
      <c r="O54" s="183">
        <f>'Balin-A'!O54+'Sinta-A'!O54+'Kumai-A'!O54+'Lokal-A'!O54</f>
        <v>0</v>
      </c>
      <c r="P54" s="183">
        <f>'Balin-A'!P54+'Sinta-A'!P54+'Kumai-A'!P54+'Lokal-A'!P54</f>
        <v>0</v>
      </c>
      <c r="Q54" s="183">
        <f>'Balin-A'!Q54+'Sinta-A'!Q54+'Kumai-A'!Q54+'Lokal-A'!Q54</f>
        <v>0</v>
      </c>
      <c r="R54" s="183">
        <f t="shared" si="6"/>
        <v>0</v>
      </c>
      <c r="S54" s="183">
        <f t="shared" si="7"/>
        <v>0</v>
      </c>
      <c r="T54" s="183">
        <f t="shared" si="8"/>
        <v>0</v>
      </c>
      <c r="U54" s="186"/>
    </row>
    <row r="55" ht="14.25" customHeight="1">
      <c r="A55" s="190"/>
      <c r="B55" s="196" t="s">
        <v>805</v>
      </c>
      <c r="C55" s="181"/>
      <c r="D55" s="197" t="s">
        <v>806</v>
      </c>
      <c r="E55" s="183">
        <f>'Balin-A'!E55+'Sinta-A'!E55+'Kumai-A'!E55+'Lokal-A'!E55</f>
        <v>0</v>
      </c>
      <c r="F55" s="183">
        <f>'Balin-A'!F55+'Sinta-A'!F55+'Kumai-A'!F55+'Lokal-A'!F55</f>
        <v>0</v>
      </c>
      <c r="G55" s="183">
        <f>'Balin-A'!G55+'Sinta-A'!G55+'Kumai-A'!G55+'Lokal-A'!G55</f>
        <v>0</v>
      </c>
      <c r="H55" s="183">
        <f>'Balin-A'!H55+'Sinta-A'!H55+'Kumai-A'!H55+'Lokal-A'!H55</f>
        <v>0</v>
      </c>
      <c r="I55" s="183">
        <f>'Balin-A'!I55+'Sinta-A'!I55+'Kumai-A'!I55+'Lokal-A'!I55</f>
        <v>0</v>
      </c>
      <c r="J55" s="185">
        <f t="shared" si="2"/>
        <v>0</v>
      </c>
      <c r="K55" s="183">
        <f t="shared" si="3"/>
        <v>0</v>
      </c>
      <c r="L55" s="183">
        <f t="shared" si="4"/>
        <v>0</v>
      </c>
      <c r="M55" s="183">
        <f t="shared" si="5"/>
        <v>0</v>
      </c>
      <c r="N55" s="183">
        <f>'Balin-A'!N55+'Sinta-A'!N55+'Kumai-A'!N55+'Lokal-A'!N55</f>
        <v>0</v>
      </c>
      <c r="O55" s="183">
        <f>'Balin-A'!O55+'Sinta-A'!O55+'Kumai-A'!O55+'Lokal-A'!O55</f>
        <v>0</v>
      </c>
      <c r="P55" s="183">
        <f>'Balin-A'!P55+'Sinta-A'!P55+'Kumai-A'!P55+'Lokal-A'!P55</f>
        <v>0</v>
      </c>
      <c r="Q55" s="183">
        <f>'Balin-A'!Q55+'Sinta-A'!Q55+'Kumai-A'!Q55+'Lokal-A'!Q55</f>
        <v>0</v>
      </c>
      <c r="R55" s="183">
        <f t="shared" si="6"/>
        <v>0</v>
      </c>
      <c r="S55" s="183">
        <f t="shared" si="7"/>
        <v>0</v>
      </c>
      <c r="T55" s="183">
        <f t="shared" si="8"/>
        <v>0</v>
      </c>
      <c r="U55" s="202"/>
    </row>
    <row r="56" ht="14.25" customHeight="1">
      <c r="A56" s="175"/>
      <c r="B56" s="196" t="s">
        <v>807</v>
      </c>
      <c r="C56" s="181"/>
      <c r="D56" s="197" t="s">
        <v>808</v>
      </c>
      <c r="E56" s="183">
        <f>'Balin-A'!E56+'Sinta-A'!E56+'Kumai-A'!E56+'Lokal-A'!E56</f>
        <v>0</v>
      </c>
      <c r="F56" s="183">
        <f>'Balin-A'!F56+'Sinta-A'!F56+'Kumai-A'!F56+'Lokal-A'!F56</f>
        <v>0</v>
      </c>
      <c r="G56" s="183">
        <f>'Balin-A'!G56+'Sinta-A'!G56+'Kumai-A'!G56+'Lokal-A'!G56</f>
        <v>0</v>
      </c>
      <c r="H56" s="183">
        <f>'Balin-A'!H56+'Sinta-A'!H56+'Kumai-A'!H56+'Lokal-A'!H56</f>
        <v>0</v>
      </c>
      <c r="I56" s="183">
        <f>'Balin-A'!I56+'Sinta-A'!I56+'Kumai-A'!I56+'Lokal-A'!I56</f>
        <v>0</v>
      </c>
      <c r="J56" s="185">
        <f t="shared" si="2"/>
        <v>0</v>
      </c>
      <c r="K56" s="183">
        <f t="shared" si="3"/>
        <v>0</v>
      </c>
      <c r="L56" s="183">
        <f t="shared" si="4"/>
        <v>0</v>
      </c>
      <c r="M56" s="183">
        <f t="shared" si="5"/>
        <v>0</v>
      </c>
      <c r="N56" s="183">
        <f>'Balin-A'!N56+'Sinta-A'!N56+'Kumai-A'!N56+'Lokal-A'!N56</f>
        <v>0</v>
      </c>
      <c r="O56" s="183">
        <f>'Balin-A'!O56+'Sinta-A'!O56+'Kumai-A'!O56+'Lokal-A'!O56</f>
        <v>0</v>
      </c>
      <c r="P56" s="183">
        <f>'Balin-A'!P56+'Sinta-A'!P56+'Kumai-A'!P56+'Lokal-A'!P56</f>
        <v>0</v>
      </c>
      <c r="Q56" s="183">
        <f>'Balin-A'!Q56+'Sinta-A'!Q56+'Kumai-A'!Q56+'Lokal-A'!Q56</f>
        <v>0</v>
      </c>
      <c r="R56" s="183">
        <f t="shared" si="6"/>
        <v>0</v>
      </c>
      <c r="S56" s="183">
        <f t="shared" si="7"/>
        <v>0</v>
      </c>
      <c r="T56" s="183">
        <f t="shared" si="8"/>
        <v>0</v>
      </c>
      <c r="U56" s="186"/>
    </row>
    <row r="57" ht="14.25" customHeight="1">
      <c r="A57" s="175"/>
      <c r="B57" s="196"/>
      <c r="C57" s="181"/>
      <c r="D57" s="197"/>
      <c r="E57" s="183">
        <f>'Balin-A'!E57+'Sinta-A'!E57+'Kumai-A'!E57+'Lokal-A'!E57</f>
        <v>0</v>
      </c>
      <c r="F57" s="183">
        <f>'Balin-A'!F57+'Sinta-A'!F57+'Kumai-A'!F57+'Lokal-A'!F57</f>
        <v>0</v>
      </c>
      <c r="G57" s="183">
        <f>'Balin-A'!G57+'Sinta-A'!G57+'Kumai-A'!G57+'Lokal-A'!G57</f>
        <v>0</v>
      </c>
      <c r="H57" s="183">
        <f>'Balin-A'!H57+'Sinta-A'!H57+'Kumai-A'!H57+'Lokal-A'!H57</f>
        <v>0</v>
      </c>
      <c r="I57" s="183">
        <f>'Balin-A'!I57+'Sinta-A'!I57+'Kumai-A'!I57+'Lokal-A'!I57</f>
        <v>0</v>
      </c>
      <c r="J57" s="185">
        <f t="shared" si="2"/>
        <v>0</v>
      </c>
      <c r="K57" s="183">
        <f t="shared" si="3"/>
        <v>0</v>
      </c>
      <c r="L57" s="183">
        <f t="shared" si="4"/>
        <v>0</v>
      </c>
      <c r="M57" s="183">
        <f t="shared" si="5"/>
        <v>0</v>
      </c>
      <c r="N57" s="183">
        <f>'Balin-A'!N57+'Sinta-A'!N57+'Kumai-A'!N57+'Lokal-A'!N57</f>
        <v>0</v>
      </c>
      <c r="O57" s="183">
        <f>'Balin-A'!O57+'Sinta-A'!O57+'Kumai-A'!O57+'Lokal-A'!O57</f>
        <v>0</v>
      </c>
      <c r="P57" s="183">
        <f>'Balin-A'!P57+'Sinta-A'!P57+'Kumai-A'!P57+'Lokal-A'!P57</f>
        <v>0</v>
      </c>
      <c r="Q57" s="183">
        <f>'Balin-A'!Q57+'Sinta-A'!Q57+'Kumai-A'!Q57+'Lokal-A'!Q57</f>
        <v>0</v>
      </c>
      <c r="R57" s="183">
        <f t="shared" si="6"/>
        <v>0</v>
      </c>
      <c r="S57" s="183">
        <f t="shared" si="7"/>
        <v>0</v>
      </c>
      <c r="T57" s="183">
        <f t="shared" si="8"/>
        <v>0</v>
      </c>
      <c r="U57" s="186"/>
    </row>
    <row r="58" ht="14.25" customHeight="1">
      <c r="A58" s="175"/>
      <c r="B58" s="191" t="s">
        <v>809</v>
      </c>
      <c r="C58" s="199"/>
      <c r="D58" s="200"/>
      <c r="E58" s="201">
        <f t="shared" ref="E58:I58" si="17">SUM(E46:E57)</f>
        <v>2943589</v>
      </c>
      <c r="F58" s="201">
        <f t="shared" si="17"/>
        <v>2900301</v>
      </c>
      <c r="G58" s="201">
        <f t="shared" si="17"/>
        <v>7387346</v>
      </c>
      <c r="H58" s="201">
        <f t="shared" si="17"/>
        <v>0</v>
      </c>
      <c r="I58" s="201">
        <f t="shared" si="17"/>
        <v>0</v>
      </c>
      <c r="J58" s="201">
        <f t="shared" si="2"/>
        <v>101.4925347</v>
      </c>
      <c r="K58" s="201">
        <f t="shared" si="3"/>
        <v>39.84636702</v>
      </c>
      <c r="L58" s="201">
        <f t="shared" si="4"/>
        <v>0</v>
      </c>
      <c r="M58" s="201">
        <f t="shared" si="5"/>
        <v>0</v>
      </c>
      <c r="N58" s="201">
        <f t="shared" ref="N58:Q58" si="18">SUM(N46:N57)</f>
        <v>16103158</v>
      </c>
      <c r="O58" s="201">
        <f t="shared" si="18"/>
        <v>35778097</v>
      </c>
      <c r="P58" s="201">
        <f t="shared" si="18"/>
        <v>0</v>
      </c>
      <c r="Q58" s="201">
        <f t="shared" si="18"/>
        <v>0</v>
      </c>
      <c r="R58" s="201">
        <f t="shared" si="6"/>
        <v>45.00842513</v>
      </c>
      <c r="S58" s="201">
        <f t="shared" si="7"/>
        <v>0</v>
      </c>
      <c r="T58" s="201">
        <f t="shared" si="8"/>
        <v>0</v>
      </c>
      <c r="U58" s="186"/>
    </row>
    <row r="59" ht="14.25" customHeight="1">
      <c r="A59" s="190"/>
      <c r="B59" s="196"/>
      <c r="C59" s="181"/>
      <c r="D59" s="197"/>
      <c r="E59" s="183">
        <f>'Balin-A'!E59+'Sinta-A'!E59+'Kumai-A'!E59+'Lokal-A'!E59</f>
        <v>0</v>
      </c>
      <c r="F59" s="183">
        <f>'Balin-A'!F59+'Sinta-A'!F59+'Kumai-A'!F59+'Lokal-A'!F59</f>
        <v>0</v>
      </c>
      <c r="G59" s="183">
        <f>'Balin-A'!G59+'Sinta-A'!G59+'Kumai-A'!G59+'Lokal-A'!G59</f>
        <v>0</v>
      </c>
      <c r="H59" s="183">
        <f>'Balin-A'!H59+'Sinta-A'!H59+'Kumai-A'!H59+'Lokal-A'!H59</f>
        <v>0</v>
      </c>
      <c r="I59" s="183">
        <f>'Balin-A'!I59+'Sinta-A'!I59+'Kumai-A'!I59+'Lokal-A'!I59</f>
        <v>0</v>
      </c>
      <c r="J59" s="185">
        <f t="shared" si="2"/>
        <v>0</v>
      </c>
      <c r="K59" s="183">
        <f t="shared" si="3"/>
        <v>0</v>
      </c>
      <c r="L59" s="183">
        <f t="shared" si="4"/>
        <v>0</v>
      </c>
      <c r="M59" s="183">
        <f t="shared" si="5"/>
        <v>0</v>
      </c>
      <c r="N59" s="183">
        <f>'Balin-A'!N59+'Sinta-A'!N59+'Kumai-A'!N59+'Lokal-A'!N59</f>
        <v>0</v>
      </c>
      <c r="O59" s="183">
        <f>'Balin-A'!O59+'Sinta-A'!O59+'Kumai-A'!O59+'Lokal-A'!O59</f>
        <v>0</v>
      </c>
      <c r="P59" s="183">
        <f>'Balin-A'!P59+'Sinta-A'!P59+'Kumai-A'!P59+'Lokal-A'!P59</f>
        <v>0</v>
      </c>
      <c r="Q59" s="183">
        <f>'Balin-A'!Q59+'Sinta-A'!Q59+'Kumai-A'!Q59+'Lokal-A'!Q59</f>
        <v>0</v>
      </c>
      <c r="R59" s="183">
        <f t="shared" si="6"/>
        <v>0</v>
      </c>
      <c r="S59" s="183">
        <f t="shared" si="7"/>
        <v>0</v>
      </c>
      <c r="T59" s="183">
        <f t="shared" si="8"/>
        <v>0</v>
      </c>
      <c r="U59" s="202"/>
    </row>
    <row r="60" ht="14.25" customHeight="1">
      <c r="A60" s="175"/>
      <c r="B60" s="196"/>
      <c r="C60" s="181"/>
      <c r="D60" s="197"/>
      <c r="E60" s="183">
        <f>'Balin-A'!E60+'Sinta-A'!E60+'Kumai-A'!E60+'Lokal-A'!E60</f>
        <v>0</v>
      </c>
      <c r="F60" s="183">
        <f>'Balin-A'!F60+'Sinta-A'!F60+'Kumai-A'!F60+'Lokal-A'!F60</f>
        <v>0</v>
      </c>
      <c r="G60" s="183">
        <f>'Balin-A'!G60+'Sinta-A'!G60+'Kumai-A'!G60+'Lokal-A'!G60</f>
        <v>0</v>
      </c>
      <c r="H60" s="183">
        <f>'Balin-A'!H60+'Sinta-A'!H60+'Kumai-A'!H60+'Lokal-A'!H60</f>
        <v>0</v>
      </c>
      <c r="I60" s="183">
        <f>'Balin-A'!I60+'Sinta-A'!I60+'Kumai-A'!I60+'Lokal-A'!I60</f>
        <v>0</v>
      </c>
      <c r="J60" s="185">
        <f t="shared" si="2"/>
        <v>0</v>
      </c>
      <c r="K60" s="183">
        <f t="shared" si="3"/>
        <v>0</v>
      </c>
      <c r="L60" s="183">
        <f t="shared" si="4"/>
        <v>0</v>
      </c>
      <c r="M60" s="183">
        <f t="shared" si="5"/>
        <v>0</v>
      </c>
      <c r="N60" s="183">
        <f>'Balin-A'!N60+'Sinta-A'!N60+'Kumai-A'!N60+'Lokal-A'!N60</f>
        <v>0</v>
      </c>
      <c r="O60" s="183">
        <f>'Balin-A'!O60+'Sinta-A'!O60+'Kumai-A'!O60+'Lokal-A'!O60</f>
        <v>0</v>
      </c>
      <c r="P60" s="183">
        <f>'Balin-A'!P60+'Sinta-A'!P60+'Kumai-A'!P60+'Lokal-A'!P60</f>
        <v>0</v>
      </c>
      <c r="Q60" s="183">
        <f>'Balin-A'!Q60+'Sinta-A'!Q60+'Kumai-A'!Q60+'Lokal-A'!Q60</f>
        <v>0</v>
      </c>
      <c r="R60" s="183">
        <f t="shared" si="6"/>
        <v>0</v>
      </c>
      <c r="S60" s="183">
        <f t="shared" si="7"/>
        <v>0</v>
      </c>
      <c r="T60" s="183">
        <f t="shared" si="8"/>
        <v>0</v>
      </c>
      <c r="U60" s="186"/>
    </row>
    <row r="61" ht="14.25" customHeight="1">
      <c r="A61" s="175"/>
      <c r="B61" s="196"/>
      <c r="C61" s="181"/>
      <c r="D61" s="197"/>
      <c r="E61" s="183">
        <f>'Balin-A'!E61+'Sinta-A'!E61+'Kumai-A'!E61+'Lokal-A'!E61</f>
        <v>0</v>
      </c>
      <c r="F61" s="183">
        <f>'Balin-A'!F61+'Sinta-A'!F61+'Kumai-A'!F61+'Lokal-A'!F61</f>
        <v>0</v>
      </c>
      <c r="G61" s="183">
        <f>'Balin-A'!G61+'Sinta-A'!G61+'Kumai-A'!G61+'Lokal-A'!G61</f>
        <v>0</v>
      </c>
      <c r="H61" s="183">
        <f>'Balin-A'!H61+'Sinta-A'!H61+'Kumai-A'!H61+'Lokal-A'!H61</f>
        <v>0</v>
      </c>
      <c r="I61" s="183">
        <f>'Balin-A'!I61+'Sinta-A'!I61+'Kumai-A'!I61+'Lokal-A'!I61</f>
        <v>0</v>
      </c>
      <c r="J61" s="185">
        <f t="shared" si="2"/>
        <v>0</v>
      </c>
      <c r="K61" s="183">
        <f t="shared" si="3"/>
        <v>0</v>
      </c>
      <c r="L61" s="183">
        <f t="shared" si="4"/>
        <v>0</v>
      </c>
      <c r="M61" s="183">
        <f t="shared" si="5"/>
        <v>0</v>
      </c>
      <c r="N61" s="183">
        <f>'Balin-A'!N61+'Sinta-A'!N61+'Kumai-A'!N61+'Lokal-A'!N61</f>
        <v>0</v>
      </c>
      <c r="O61" s="183">
        <f>'Balin-A'!O61+'Sinta-A'!O61+'Kumai-A'!O61+'Lokal-A'!O61</f>
        <v>0</v>
      </c>
      <c r="P61" s="183">
        <f>'Balin-A'!P61+'Sinta-A'!P61+'Kumai-A'!P61+'Lokal-A'!P61</f>
        <v>0</v>
      </c>
      <c r="Q61" s="183">
        <f>'Balin-A'!Q61+'Sinta-A'!Q61+'Kumai-A'!Q61+'Lokal-A'!Q61</f>
        <v>0</v>
      </c>
      <c r="R61" s="183">
        <f t="shared" si="6"/>
        <v>0</v>
      </c>
      <c r="S61" s="183">
        <f t="shared" si="7"/>
        <v>0</v>
      </c>
      <c r="T61" s="183">
        <f t="shared" si="8"/>
        <v>0</v>
      </c>
      <c r="U61" s="186"/>
    </row>
    <row r="62" ht="14.25" customHeight="1">
      <c r="A62" s="175"/>
      <c r="B62" s="196"/>
      <c r="C62" s="181"/>
      <c r="D62" s="197"/>
      <c r="E62" s="183">
        <f>'Balin-A'!E62+'Sinta-A'!E62+'Kumai-A'!E62+'Lokal-A'!E62</f>
        <v>0</v>
      </c>
      <c r="F62" s="183">
        <f>'Balin-A'!F62+'Sinta-A'!F62+'Kumai-A'!F62+'Lokal-A'!F62</f>
        <v>0</v>
      </c>
      <c r="G62" s="183">
        <f>'Balin-A'!G62+'Sinta-A'!G62+'Kumai-A'!G62+'Lokal-A'!G62</f>
        <v>0</v>
      </c>
      <c r="H62" s="183">
        <f>'Balin-A'!H62+'Sinta-A'!H62+'Kumai-A'!H62+'Lokal-A'!H62</f>
        <v>0</v>
      </c>
      <c r="I62" s="183">
        <f>'Balin-A'!I62+'Sinta-A'!I62+'Kumai-A'!I62+'Lokal-A'!I62</f>
        <v>0</v>
      </c>
      <c r="J62" s="185">
        <f t="shared" si="2"/>
        <v>0</v>
      </c>
      <c r="K62" s="183">
        <f t="shared" si="3"/>
        <v>0</v>
      </c>
      <c r="L62" s="183">
        <f t="shared" si="4"/>
        <v>0</v>
      </c>
      <c r="M62" s="183">
        <f t="shared" si="5"/>
        <v>0</v>
      </c>
      <c r="N62" s="183">
        <f>'Balin-A'!N62+'Sinta-A'!N62+'Kumai-A'!N62+'Lokal-A'!N62</f>
        <v>0</v>
      </c>
      <c r="O62" s="183">
        <f>'Balin-A'!O62+'Sinta-A'!O62+'Kumai-A'!O62+'Lokal-A'!O62</f>
        <v>0</v>
      </c>
      <c r="P62" s="183">
        <f>'Balin-A'!P62+'Sinta-A'!P62+'Kumai-A'!P62+'Lokal-A'!P62</f>
        <v>0</v>
      </c>
      <c r="Q62" s="183">
        <f>'Balin-A'!Q62+'Sinta-A'!Q62+'Kumai-A'!Q62+'Lokal-A'!Q62</f>
        <v>0</v>
      </c>
      <c r="R62" s="183">
        <f t="shared" si="6"/>
        <v>0</v>
      </c>
      <c r="S62" s="183">
        <f t="shared" si="7"/>
        <v>0</v>
      </c>
      <c r="T62" s="183">
        <f t="shared" si="8"/>
        <v>0</v>
      </c>
      <c r="U62" s="186"/>
    </row>
    <row r="63" ht="14.25" customHeight="1">
      <c r="A63" s="175"/>
      <c r="B63" s="196"/>
      <c r="C63" s="181"/>
      <c r="D63" s="197"/>
      <c r="E63" s="183">
        <f>'Balin-A'!E63+'Sinta-A'!E63+'Kumai-A'!E63+'Lokal-A'!E63</f>
        <v>0</v>
      </c>
      <c r="F63" s="183">
        <f>'Balin-A'!F63+'Sinta-A'!F63+'Kumai-A'!F63+'Lokal-A'!F63</f>
        <v>0</v>
      </c>
      <c r="G63" s="183">
        <f>'Balin-A'!G63+'Sinta-A'!G63+'Kumai-A'!G63+'Lokal-A'!G63</f>
        <v>0</v>
      </c>
      <c r="H63" s="183">
        <f>'Balin-A'!H63+'Sinta-A'!H63+'Kumai-A'!H63+'Lokal-A'!H63</f>
        <v>0</v>
      </c>
      <c r="I63" s="183">
        <f>'Balin-A'!I63+'Sinta-A'!I63+'Kumai-A'!I63+'Lokal-A'!I63</f>
        <v>0</v>
      </c>
      <c r="J63" s="185">
        <f t="shared" si="2"/>
        <v>0</v>
      </c>
      <c r="K63" s="183">
        <f t="shared" si="3"/>
        <v>0</v>
      </c>
      <c r="L63" s="183">
        <f t="shared" si="4"/>
        <v>0</v>
      </c>
      <c r="M63" s="183">
        <f t="shared" si="5"/>
        <v>0</v>
      </c>
      <c r="N63" s="183">
        <f>'Balin-A'!N63+'Sinta-A'!N63+'Kumai-A'!N63+'Lokal-A'!N63</f>
        <v>0</v>
      </c>
      <c r="O63" s="183">
        <f>'Balin-A'!O63+'Sinta-A'!O63+'Kumai-A'!O63+'Lokal-A'!O63</f>
        <v>0</v>
      </c>
      <c r="P63" s="183">
        <f>'Balin-A'!P63+'Sinta-A'!P63+'Kumai-A'!P63+'Lokal-A'!P63</f>
        <v>0</v>
      </c>
      <c r="Q63" s="183">
        <f>'Balin-A'!Q63+'Sinta-A'!Q63+'Kumai-A'!Q63+'Lokal-A'!Q63</f>
        <v>0</v>
      </c>
      <c r="R63" s="183">
        <f t="shared" si="6"/>
        <v>0</v>
      </c>
      <c r="S63" s="183">
        <f t="shared" si="7"/>
        <v>0</v>
      </c>
      <c r="T63" s="183">
        <f t="shared" si="8"/>
        <v>0</v>
      </c>
      <c r="U63" s="186"/>
    </row>
    <row r="64" ht="14.25" customHeight="1">
      <c r="A64" s="175"/>
      <c r="B64" s="191" t="s">
        <v>810</v>
      </c>
      <c r="C64" s="199"/>
      <c r="D64" s="200"/>
      <c r="E64" s="201">
        <f t="shared" ref="E64:I64" si="19">SUM(E59:E63)</f>
        <v>0</v>
      </c>
      <c r="F64" s="201">
        <f t="shared" si="19"/>
        <v>0</v>
      </c>
      <c r="G64" s="201">
        <f t="shared" si="19"/>
        <v>0</v>
      </c>
      <c r="H64" s="201">
        <f t="shared" si="19"/>
        <v>0</v>
      </c>
      <c r="I64" s="201">
        <f t="shared" si="19"/>
        <v>0</v>
      </c>
      <c r="J64" s="201">
        <f t="shared" si="2"/>
        <v>0</v>
      </c>
      <c r="K64" s="201">
        <f t="shared" si="3"/>
        <v>0</v>
      </c>
      <c r="L64" s="201">
        <f t="shared" si="4"/>
        <v>0</v>
      </c>
      <c r="M64" s="201">
        <f t="shared" si="5"/>
        <v>0</v>
      </c>
      <c r="N64" s="201">
        <f t="shared" ref="N64:Q64" si="20">SUM(N59:N63)</f>
        <v>0</v>
      </c>
      <c r="O64" s="201">
        <f t="shared" si="20"/>
        <v>0</v>
      </c>
      <c r="P64" s="201">
        <f t="shared" si="20"/>
        <v>0</v>
      </c>
      <c r="Q64" s="201">
        <f t="shared" si="20"/>
        <v>0</v>
      </c>
      <c r="R64" s="201">
        <f t="shared" si="6"/>
        <v>0</v>
      </c>
      <c r="S64" s="201">
        <f t="shared" si="7"/>
        <v>0</v>
      </c>
      <c r="T64" s="201">
        <f t="shared" si="8"/>
        <v>0</v>
      </c>
      <c r="U64" s="186"/>
    </row>
    <row r="65" ht="14.25" customHeight="1">
      <c r="A65" s="175"/>
      <c r="B65" s="196" t="s">
        <v>811</v>
      </c>
      <c r="C65" s="181"/>
      <c r="D65" s="197" t="s">
        <v>812</v>
      </c>
      <c r="E65" s="183">
        <f>'Balin-A'!E65+'Sinta-A'!E65+'Kumai-A'!E65+'Lokal-A'!E65</f>
        <v>0</v>
      </c>
      <c r="F65" s="183">
        <f>'Balin-A'!F65+'Sinta-A'!F65+'Kumai-A'!F65+'Lokal-A'!F65</f>
        <v>0</v>
      </c>
      <c r="G65" s="183">
        <f>'Balin-A'!G65+'Sinta-A'!G65+'Kumai-A'!G65+'Lokal-A'!G65</f>
        <v>0</v>
      </c>
      <c r="H65" s="183">
        <f>'Balin-A'!H65+'Sinta-A'!H65+'Kumai-A'!H65+'Lokal-A'!H65</f>
        <v>0</v>
      </c>
      <c r="I65" s="183">
        <f>'Balin-A'!I65+'Sinta-A'!I65+'Kumai-A'!I65+'Lokal-A'!I65</f>
        <v>0</v>
      </c>
      <c r="J65" s="185">
        <f t="shared" si="2"/>
        <v>0</v>
      </c>
      <c r="K65" s="183">
        <f t="shared" si="3"/>
        <v>0</v>
      </c>
      <c r="L65" s="183">
        <f t="shared" si="4"/>
        <v>0</v>
      </c>
      <c r="M65" s="183">
        <f t="shared" si="5"/>
        <v>0</v>
      </c>
      <c r="N65" s="183">
        <f>'Balin-A'!N65+'Sinta-A'!N65+'Kumai-A'!N65+'Lokal-A'!N65</f>
        <v>0</v>
      </c>
      <c r="O65" s="183">
        <f>'Balin-A'!O65+'Sinta-A'!O65+'Kumai-A'!O65+'Lokal-A'!O65</f>
        <v>0</v>
      </c>
      <c r="P65" s="183">
        <f>'Balin-A'!P65+'Sinta-A'!P65+'Kumai-A'!P65+'Lokal-A'!P65</f>
        <v>0</v>
      </c>
      <c r="Q65" s="183">
        <f>'Balin-A'!Q65+'Sinta-A'!Q65+'Kumai-A'!Q65+'Lokal-A'!Q65</f>
        <v>0</v>
      </c>
      <c r="R65" s="183">
        <f t="shared" si="6"/>
        <v>0</v>
      </c>
      <c r="S65" s="183">
        <f t="shared" si="7"/>
        <v>0</v>
      </c>
      <c r="T65" s="183">
        <f t="shared" si="8"/>
        <v>0</v>
      </c>
      <c r="U65" s="186"/>
    </row>
    <row r="66" ht="14.25" customHeight="1">
      <c r="A66" s="175"/>
      <c r="B66" s="196" t="s">
        <v>813</v>
      </c>
      <c r="C66" s="181"/>
      <c r="D66" s="197" t="s">
        <v>814</v>
      </c>
      <c r="E66" s="183">
        <f>'Balin-A'!E66+'Sinta-A'!E66+'Kumai-A'!E66+'Lokal-A'!E66</f>
        <v>0</v>
      </c>
      <c r="F66" s="183">
        <f>'Balin-A'!F66+'Sinta-A'!F66+'Kumai-A'!F66+'Lokal-A'!F66</f>
        <v>0</v>
      </c>
      <c r="G66" s="183">
        <f>'Balin-A'!G66+'Sinta-A'!G66+'Kumai-A'!G66+'Lokal-A'!G66</f>
        <v>0</v>
      </c>
      <c r="H66" s="183">
        <f>'Balin-A'!H66+'Sinta-A'!H66+'Kumai-A'!H66+'Lokal-A'!H66</f>
        <v>0</v>
      </c>
      <c r="I66" s="183">
        <f>'Balin-A'!I66+'Sinta-A'!I66+'Kumai-A'!I66+'Lokal-A'!I66</f>
        <v>0</v>
      </c>
      <c r="J66" s="185">
        <f t="shared" si="2"/>
        <v>0</v>
      </c>
      <c r="K66" s="183">
        <f t="shared" si="3"/>
        <v>0</v>
      </c>
      <c r="L66" s="183">
        <f t="shared" si="4"/>
        <v>0</v>
      </c>
      <c r="M66" s="183">
        <f t="shared" si="5"/>
        <v>0</v>
      </c>
      <c r="N66" s="183">
        <f>'Balin-A'!N66+'Sinta-A'!N66+'Kumai-A'!N66+'Lokal-A'!N66</f>
        <v>0</v>
      </c>
      <c r="O66" s="183">
        <f>'Balin-A'!O66+'Sinta-A'!O66+'Kumai-A'!O66+'Lokal-A'!O66</f>
        <v>0</v>
      </c>
      <c r="P66" s="183">
        <f>'Balin-A'!P66+'Sinta-A'!P66+'Kumai-A'!P66+'Lokal-A'!P66</f>
        <v>0</v>
      </c>
      <c r="Q66" s="183">
        <f>'Balin-A'!Q66+'Sinta-A'!Q66+'Kumai-A'!Q66+'Lokal-A'!Q66</f>
        <v>0</v>
      </c>
      <c r="R66" s="183">
        <f t="shared" si="6"/>
        <v>0</v>
      </c>
      <c r="S66" s="183">
        <f t="shared" si="7"/>
        <v>0</v>
      </c>
      <c r="T66" s="183">
        <f t="shared" si="8"/>
        <v>0</v>
      </c>
      <c r="U66" s="186"/>
    </row>
    <row r="67" ht="14.25" customHeight="1">
      <c r="A67" s="175"/>
      <c r="B67" s="196" t="s">
        <v>815</v>
      </c>
      <c r="C67" s="181"/>
      <c r="D67" s="197" t="s">
        <v>816</v>
      </c>
      <c r="E67" s="183">
        <f>'Balin-A'!E67+'Sinta-A'!E67+'Kumai-A'!E67+'Lokal-A'!E67</f>
        <v>0</v>
      </c>
      <c r="F67" s="183">
        <f>'Balin-A'!F67+'Sinta-A'!F67+'Kumai-A'!F67+'Lokal-A'!F67</f>
        <v>0</v>
      </c>
      <c r="G67" s="183">
        <f>'Balin-A'!G67+'Sinta-A'!G67+'Kumai-A'!G67+'Lokal-A'!G67</f>
        <v>0</v>
      </c>
      <c r="H67" s="183">
        <f>'Balin-A'!H67+'Sinta-A'!H67+'Kumai-A'!H67+'Lokal-A'!H67</f>
        <v>0</v>
      </c>
      <c r="I67" s="183">
        <f>'Balin-A'!I67+'Sinta-A'!I67+'Kumai-A'!I67+'Lokal-A'!I67</f>
        <v>0</v>
      </c>
      <c r="J67" s="185">
        <f t="shared" si="2"/>
        <v>0</v>
      </c>
      <c r="K67" s="183">
        <f t="shared" si="3"/>
        <v>0</v>
      </c>
      <c r="L67" s="183">
        <f t="shared" si="4"/>
        <v>0</v>
      </c>
      <c r="M67" s="183">
        <f t="shared" si="5"/>
        <v>0</v>
      </c>
      <c r="N67" s="183">
        <f>'Balin-A'!N67+'Sinta-A'!N67+'Kumai-A'!N67+'Lokal-A'!N67</f>
        <v>0</v>
      </c>
      <c r="O67" s="183">
        <f>'Balin-A'!O67+'Sinta-A'!O67+'Kumai-A'!O67+'Lokal-A'!O67</f>
        <v>0</v>
      </c>
      <c r="P67" s="183">
        <f>'Balin-A'!P67+'Sinta-A'!P67+'Kumai-A'!P67+'Lokal-A'!P67</f>
        <v>0</v>
      </c>
      <c r="Q67" s="183">
        <f>'Balin-A'!Q67+'Sinta-A'!Q67+'Kumai-A'!Q67+'Lokal-A'!Q67</f>
        <v>0</v>
      </c>
      <c r="R67" s="183">
        <f t="shared" si="6"/>
        <v>0</v>
      </c>
      <c r="S67" s="183">
        <f t="shared" si="7"/>
        <v>0</v>
      </c>
      <c r="T67" s="183">
        <f t="shared" si="8"/>
        <v>0</v>
      </c>
      <c r="U67" s="186"/>
    </row>
    <row r="68" ht="14.25" customHeight="1">
      <c r="A68" s="175"/>
      <c r="B68" s="196"/>
      <c r="C68" s="181"/>
      <c r="D68" s="197"/>
      <c r="E68" s="183">
        <f>'Balin-A'!E68+'Sinta-A'!E68+'Kumai-A'!E68+'Lokal-A'!E68</f>
        <v>0</v>
      </c>
      <c r="F68" s="183">
        <f>'Balin-A'!F68+'Sinta-A'!F68+'Kumai-A'!F68+'Lokal-A'!F68</f>
        <v>0</v>
      </c>
      <c r="G68" s="183">
        <f>'Balin-A'!G68+'Sinta-A'!G68+'Kumai-A'!G68+'Lokal-A'!G68</f>
        <v>0</v>
      </c>
      <c r="H68" s="183">
        <f>'Balin-A'!H68+'Sinta-A'!H68+'Kumai-A'!H68+'Lokal-A'!H68</f>
        <v>0</v>
      </c>
      <c r="I68" s="183">
        <f>'Balin-A'!I68+'Sinta-A'!I68+'Kumai-A'!I68+'Lokal-A'!I68</f>
        <v>0</v>
      </c>
      <c r="J68" s="185">
        <f t="shared" si="2"/>
        <v>0</v>
      </c>
      <c r="K68" s="183">
        <f t="shared" si="3"/>
        <v>0</v>
      </c>
      <c r="L68" s="183">
        <f t="shared" si="4"/>
        <v>0</v>
      </c>
      <c r="M68" s="183">
        <f t="shared" si="5"/>
        <v>0</v>
      </c>
      <c r="N68" s="183">
        <f>'Balin-A'!N68+'Sinta-A'!N68+'Kumai-A'!N68+'Lokal-A'!N68</f>
        <v>0</v>
      </c>
      <c r="O68" s="183">
        <f>'Balin-A'!O68+'Sinta-A'!O68+'Kumai-A'!O68+'Lokal-A'!O68</f>
        <v>0</v>
      </c>
      <c r="P68" s="183">
        <f>'Balin-A'!P68+'Sinta-A'!P68+'Kumai-A'!P68+'Lokal-A'!P68</f>
        <v>0</v>
      </c>
      <c r="Q68" s="183">
        <f>'Balin-A'!Q68+'Sinta-A'!Q68+'Kumai-A'!Q68+'Lokal-A'!Q68</f>
        <v>0</v>
      </c>
      <c r="R68" s="183">
        <f t="shared" si="6"/>
        <v>0</v>
      </c>
      <c r="S68" s="183">
        <f t="shared" si="7"/>
        <v>0</v>
      </c>
      <c r="T68" s="183">
        <f t="shared" si="8"/>
        <v>0</v>
      </c>
      <c r="U68" s="186"/>
    </row>
    <row r="69" ht="14.25" customHeight="1">
      <c r="A69" s="175"/>
      <c r="B69" s="191" t="s">
        <v>817</v>
      </c>
      <c r="C69" s="199"/>
      <c r="D69" s="200"/>
      <c r="E69" s="201">
        <f t="shared" ref="E69:I69" si="21">SUM(E65:E68)</f>
        <v>0</v>
      </c>
      <c r="F69" s="201">
        <f t="shared" si="21"/>
        <v>0</v>
      </c>
      <c r="G69" s="201">
        <f t="shared" si="21"/>
        <v>0</v>
      </c>
      <c r="H69" s="201">
        <f t="shared" si="21"/>
        <v>0</v>
      </c>
      <c r="I69" s="201">
        <f t="shared" si="21"/>
        <v>0</v>
      </c>
      <c r="J69" s="201">
        <f t="shared" si="2"/>
        <v>0</v>
      </c>
      <c r="K69" s="201">
        <f t="shared" si="3"/>
        <v>0</v>
      </c>
      <c r="L69" s="201">
        <f t="shared" si="4"/>
        <v>0</v>
      </c>
      <c r="M69" s="201">
        <f t="shared" si="5"/>
        <v>0</v>
      </c>
      <c r="N69" s="201">
        <f t="shared" ref="N69:Q69" si="22">SUM(N65:N68)</f>
        <v>0</v>
      </c>
      <c r="O69" s="201">
        <f t="shared" si="22"/>
        <v>0</v>
      </c>
      <c r="P69" s="201">
        <f t="shared" si="22"/>
        <v>0</v>
      </c>
      <c r="Q69" s="201">
        <f t="shared" si="22"/>
        <v>0</v>
      </c>
      <c r="R69" s="201">
        <f t="shared" si="6"/>
        <v>0</v>
      </c>
      <c r="S69" s="201">
        <f t="shared" si="7"/>
        <v>0</v>
      </c>
      <c r="T69" s="201">
        <f t="shared" si="8"/>
        <v>0</v>
      </c>
      <c r="U69" s="186"/>
    </row>
    <row r="70" ht="14.25" customHeight="1">
      <c r="A70" s="175"/>
      <c r="B70" s="196"/>
      <c r="C70" s="181"/>
      <c r="D70" s="197" t="s">
        <v>818</v>
      </c>
      <c r="E70" s="183">
        <f>'Balin-A'!E70+'Sinta-A'!E70+'Kumai-A'!E70+'Lokal-A'!E70</f>
        <v>0</v>
      </c>
      <c r="F70" s="183">
        <f>'Balin-A'!F70+'Sinta-A'!F70+'Kumai-A'!F70+'Lokal-A'!F70</f>
        <v>0</v>
      </c>
      <c r="G70" s="183">
        <f>'Balin-A'!G70+'Sinta-A'!G70+'Kumai-A'!G70+'Lokal-A'!G70</f>
        <v>0</v>
      </c>
      <c r="H70" s="183">
        <f>'Balin-A'!H70+'Sinta-A'!H70+'Kumai-A'!H70+'Lokal-A'!H70</f>
        <v>0</v>
      </c>
      <c r="I70" s="183">
        <f>'Balin-A'!I70+'Sinta-A'!I70+'Kumai-A'!I70+'Lokal-A'!I70</f>
        <v>0</v>
      </c>
      <c r="J70" s="185">
        <f t="shared" si="2"/>
        <v>0</v>
      </c>
      <c r="K70" s="183">
        <f t="shared" si="3"/>
        <v>0</v>
      </c>
      <c r="L70" s="183">
        <f t="shared" si="4"/>
        <v>0</v>
      </c>
      <c r="M70" s="183">
        <f t="shared" si="5"/>
        <v>0</v>
      </c>
      <c r="N70" s="183">
        <f>'Balin-A'!N70+'Sinta-A'!N70+'Kumai-A'!N70+'Lokal-A'!N70</f>
        <v>0</v>
      </c>
      <c r="O70" s="183">
        <f>'Balin-A'!O70+'Sinta-A'!O70+'Kumai-A'!O70+'Lokal-A'!O70</f>
        <v>0</v>
      </c>
      <c r="P70" s="183">
        <f>'Balin-A'!P70+'Sinta-A'!P70+'Kumai-A'!P70+'Lokal-A'!P70</f>
        <v>0</v>
      </c>
      <c r="Q70" s="183">
        <f>'Balin-A'!Q70+'Sinta-A'!Q70+'Kumai-A'!Q70+'Lokal-A'!Q70</f>
        <v>0</v>
      </c>
      <c r="R70" s="183">
        <f t="shared" si="6"/>
        <v>0</v>
      </c>
      <c r="S70" s="183">
        <f t="shared" si="7"/>
        <v>0</v>
      </c>
      <c r="T70" s="183">
        <f t="shared" si="8"/>
        <v>0</v>
      </c>
      <c r="U70" s="202"/>
    </row>
    <row r="71" ht="14.25" customHeight="1">
      <c r="A71" s="175"/>
      <c r="B71" s="196"/>
      <c r="C71" s="181"/>
      <c r="D71" s="197" t="s">
        <v>819</v>
      </c>
      <c r="E71" s="183">
        <f>'Balin-A'!E71+'Sinta-A'!E71+'Kumai-A'!E71+'Lokal-A'!E71</f>
        <v>0</v>
      </c>
      <c r="F71" s="183">
        <f>'Balin-A'!F71+'Sinta-A'!F71+'Kumai-A'!F71+'Lokal-A'!F71</f>
        <v>0</v>
      </c>
      <c r="G71" s="183">
        <f>'Balin-A'!G71+'Sinta-A'!G71+'Kumai-A'!G71+'Lokal-A'!G71</f>
        <v>0</v>
      </c>
      <c r="H71" s="183">
        <f>'Balin-A'!H71+'Sinta-A'!H71+'Kumai-A'!H71+'Lokal-A'!H71</f>
        <v>0</v>
      </c>
      <c r="I71" s="183">
        <f>'Balin-A'!I71+'Sinta-A'!I71+'Kumai-A'!I71+'Lokal-A'!I71</f>
        <v>0</v>
      </c>
      <c r="J71" s="185">
        <f t="shared" si="2"/>
        <v>0</v>
      </c>
      <c r="K71" s="183">
        <f t="shared" si="3"/>
        <v>0</v>
      </c>
      <c r="L71" s="183">
        <f t="shared" si="4"/>
        <v>0</v>
      </c>
      <c r="M71" s="183">
        <f t="shared" si="5"/>
        <v>0</v>
      </c>
      <c r="N71" s="183">
        <f>'Balin-A'!N71+'Sinta-A'!N71+'Kumai-A'!N71+'Lokal-A'!N71</f>
        <v>0</v>
      </c>
      <c r="O71" s="183">
        <f>'Balin-A'!O71+'Sinta-A'!O71+'Kumai-A'!O71+'Lokal-A'!O71</f>
        <v>0</v>
      </c>
      <c r="P71" s="183">
        <f>'Balin-A'!P71+'Sinta-A'!P71+'Kumai-A'!P71+'Lokal-A'!P71</f>
        <v>0</v>
      </c>
      <c r="Q71" s="183">
        <f>'Balin-A'!Q71+'Sinta-A'!Q71+'Kumai-A'!Q71+'Lokal-A'!Q71</f>
        <v>0</v>
      </c>
      <c r="R71" s="183">
        <f t="shared" si="6"/>
        <v>0</v>
      </c>
      <c r="S71" s="183">
        <f t="shared" si="7"/>
        <v>0</v>
      </c>
      <c r="T71" s="183">
        <f t="shared" si="8"/>
        <v>0</v>
      </c>
      <c r="U71" s="186"/>
    </row>
    <row r="72" ht="14.25" customHeight="1">
      <c r="A72" s="175"/>
      <c r="B72" s="196"/>
      <c r="C72" s="181"/>
      <c r="D72" s="197"/>
      <c r="E72" s="183">
        <f>'Balin-A'!E72+'Sinta-A'!E72+'Kumai-A'!E72+'Lokal-A'!E72</f>
        <v>0</v>
      </c>
      <c r="F72" s="183">
        <f>'Balin-A'!F72+'Sinta-A'!F72+'Kumai-A'!F72+'Lokal-A'!F72</f>
        <v>0</v>
      </c>
      <c r="G72" s="183">
        <f>'Balin-A'!G72+'Sinta-A'!G72+'Kumai-A'!G72+'Lokal-A'!G72</f>
        <v>0</v>
      </c>
      <c r="H72" s="183">
        <f>'Balin-A'!H72+'Sinta-A'!H72+'Kumai-A'!H72+'Lokal-A'!H72</f>
        <v>0</v>
      </c>
      <c r="I72" s="183">
        <f>'Balin-A'!I72+'Sinta-A'!I72+'Kumai-A'!I72+'Lokal-A'!I72</f>
        <v>0</v>
      </c>
      <c r="J72" s="185">
        <f t="shared" si="2"/>
        <v>0</v>
      </c>
      <c r="K72" s="183">
        <f t="shared" si="3"/>
        <v>0</v>
      </c>
      <c r="L72" s="183">
        <f t="shared" si="4"/>
        <v>0</v>
      </c>
      <c r="M72" s="183">
        <f t="shared" si="5"/>
        <v>0</v>
      </c>
      <c r="N72" s="183">
        <f>'Balin-A'!N72+'Sinta-A'!N72+'Kumai-A'!N72+'Lokal-A'!N72</f>
        <v>0</v>
      </c>
      <c r="O72" s="183">
        <f>'Balin-A'!O72+'Sinta-A'!O72+'Kumai-A'!O72+'Lokal-A'!O72</f>
        <v>0</v>
      </c>
      <c r="P72" s="183">
        <f>'Balin-A'!P72+'Sinta-A'!P72+'Kumai-A'!P72+'Lokal-A'!P72</f>
        <v>0</v>
      </c>
      <c r="Q72" s="183">
        <f>'Balin-A'!Q72+'Sinta-A'!Q72+'Kumai-A'!Q72+'Lokal-A'!Q72</f>
        <v>0</v>
      </c>
      <c r="R72" s="183">
        <f t="shared" si="6"/>
        <v>0</v>
      </c>
      <c r="S72" s="183">
        <f t="shared" si="7"/>
        <v>0</v>
      </c>
      <c r="T72" s="183">
        <f t="shared" si="8"/>
        <v>0</v>
      </c>
      <c r="U72" s="186"/>
    </row>
    <row r="73" ht="14.25" customHeight="1">
      <c r="A73" s="175"/>
      <c r="B73" s="191" t="s">
        <v>820</v>
      </c>
      <c r="C73" s="199"/>
      <c r="D73" s="200"/>
      <c r="E73" s="201">
        <f t="shared" ref="E73:I73" si="23">SUM(E70:E72)</f>
        <v>0</v>
      </c>
      <c r="F73" s="201">
        <f t="shared" si="23"/>
        <v>0</v>
      </c>
      <c r="G73" s="201">
        <f t="shared" si="23"/>
        <v>0</v>
      </c>
      <c r="H73" s="201">
        <f t="shared" si="23"/>
        <v>0</v>
      </c>
      <c r="I73" s="201">
        <f t="shared" si="23"/>
        <v>0</v>
      </c>
      <c r="J73" s="201">
        <f t="shared" si="2"/>
        <v>0</v>
      </c>
      <c r="K73" s="201">
        <f t="shared" si="3"/>
        <v>0</v>
      </c>
      <c r="L73" s="201">
        <f t="shared" si="4"/>
        <v>0</v>
      </c>
      <c r="M73" s="201">
        <f t="shared" si="5"/>
        <v>0</v>
      </c>
      <c r="N73" s="201">
        <f t="shared" ref="N73:Q73" si="24">SUM(N70:N72)</f>
        <v>0</v>
      </c>
      <c r="O73" s="201">
        <f t="shared" si="24"/>
        <v>0</v>
      </c>
      <c r="P73" s="201">
        <f t="shared" si="24"/>
        <v>0</v>
      </c>
      <c r="Q73" s="201">
        <f t="shared" si="24"/>
        <v>0</v>
      </c>
      <c r="R73" s="201">
        <f t="shared" si="6"/>
        <v>0</v>
      </c>
      <c r="S73" s="201">
        <f t="shared" si="7"/>
        <v>0</v>
      </c>
      <c r="T73" s="201">
        <f t="shared" si="8"/>
        <v>0</v>
      </c>
      <c r="U73" s="186"/>
    </row>
    <row r="74" ht="14.25" customHeight="1">
      <c r="A74" s="175"/>
      <c r="B74" s="203"/>
      <c r="C74" s="181"/>
      <c r="D74" s="197"/>
      <c r="E74" s="183">
        <f>'Balin-A'!E74+'Sinta-A'!E74+'Kumai-A'!E74+'Lokal-A'!E74</f>
        <v>0</v>
      </c>
      <c r="F74" s="183">
        <f>'Balin-A'!F74+'Sinta-A'!F74+'Kumai-A'!F74+'Lokal-A'!F74</f>
        <v>0</v>
      </c>
      <c r="G74" s="183">
        <f>'Balin-A'!G74+'Sinta-A'!G74+'Kumai-A'!G74+'Lokal-A'!G74</f>
        <v>0</v>
      </c>
      <c r="H74" s="183">
        <f>'Balin-A'!H74+'Sinta-A'!H74+'Kumai-A'!H74+'Lokal-A'!H74</f>
        <v>0</v>
      </c>
      <c r="I74" s="183">
        <f>'Balin-A'!I74+'Sinta-A'!I74+'Kumai-A'!I74+'Lokal-A'!I74</f>
        <v>0</v>
      </c>
      <c r="J74" s="185">
        <f t="shared" si="2"/>
        <v>0</v>
      </c>
      <c r="K74" s="183">
        <f t="shared" si="3"/>
        <v>0</v>
      </c>
      <c r="L74" s="183">
        <f t="shared" si="4"/>
        <v>0</v>
      </c>
      <c r="M74" s="183">
        <f t="shared" si="5"/>
        <v>0</v>
      </c>
      <c r="N74" s="183">
        <f>'Balin-A'!N74+'Sinta-A'!N74+'Kumai-A'!N74+'Lokal-A'!N74</f>
        <v>0</v>
      </c>
      <c r="O74" s="183">
        <f>'Balin-A'!O74+'Sinta-A'!O74+'Kumai-A'!O74+'Lokal-A'!O74</f>
        <v>0</v>
      </c>
      <c r="P74" s="183">
        <f>'Balin-A'!P74+'Sinta-A'!P74+'Kumai-A'!P74+'Lokal-A'!P74</f>
        <v>0</v>
      </c>
      <c r="Q74" s="183">
        <f>'Balin-A'!Q74+'Sinta-A'!Q74+'Kumai-A'!Q74+'Lokal-A'!Q74</f>
        <v>0</v>
      </c>
      <c r="R74" s="183">
        <f t="shared" si="6"/>
        <v>0</v>
      </c>
      <c r="S74" s="183">
        <f t="shared" si="7"/>
        <v>0</v>
      </c>
      <c r="T74" s="183">
        <f t="shared" si="8"/>
        <v>0</v>
      </c>
      <c r="U74" s="186"/>
    </row>
    <row r="75" ht="14.25" customHeight="1">
      <c r="A75" s="175"/>
      <c r="B75" s="203"/>
      <c r="C75" s="181"/>
      <c r="D75" s="197"/>
      <c r="E75" s="183">
        <f>'Balin-A'!E75+'Sinta-A'!E75+'Kumai-A'!E75+'Lokal-A'!E75</f>
        <v>0</v>
      </c>
      <c r="F75" s="183">
        <f>'Balin-A'!F75+'Sinta-A'!F75+'Kumai-A'!F75+'Lokal-A'!F75</f>
        <v>0</v>
      </c>
      <c r="G75" s="183">
        <f>'Balin-A'!G75+'Sinta-A'!G75+'Kumai-A'!G75+'Lokal-A'!G75</f>
        <v>0</v>
      </c>
      <c r="H75" s="183">
        <f>'Balin-A'!H75+'Sinta-A'!H75+'Kumai-A'!H75+'Lokal-A'!H75</f>
        <v>0</v>
      </c>
      <c r="I75" s="183">
        <f>'Balin-A'!I75+'Sinta-A'!I75+'Kumai-A'!I75+'Lokal-A'!I75</f>
        <v>0</v>
      </c>
      <c r="J75" s="185">
        <f t="shared" si="2"/>
        <v>0</v>
      </c>
      <c r="K75" s="183">
        <f t="shared" si="3"/>
        <v>0</v>
      </c>
      <c r="L75" s="183">
        <f t="shared" si="4"/>
        <v>0</v>
      </c>
      <c r="M75" s="183">
        <f t="shared" si="5"/>
        <v>0</v>
      </c>
      <c r="N75" s="183">
        <f>'Balin-A'!N75+'Sinta-A'!N75+'Kumai-A'!N75+'Lokal-A'!N75</f>
        <v>0</v>
      </c>
      <c r="O75" s="183">
        <f>'Balin-A'!O75+'Sinta-A'!O75+'Kumai-A'!O75+'Lokal-A'!O75</f>
        <v>0</v>
      </c>
      <c r="P75" s="183">
        <f>'Balin-A'!P75+'Sinta-A'!P75+'Kumai-A'!P75+'Lokal-A'!P75</f>
        <v>0</v>
      </c>
      <c r="Q75" s="183">
        <f>'Balin-A'!Q75+'Sinta-A'!Q75+'Kumai-A'!Q75+'Lokal-A'!Q75</f>
        <v>0</v>
      </c>
      <c r="R75" s="183">
        <f t="shared" si="6"/>
        <v>0</v>
      </c>
      <c r="S75" s="183">
        <f t="shared" si="7"/>
        <v>0</v>
      </c>
      <c r="T75" s="183">
        <f t="shared" si="8"/>
        <v>0</v>
      </c>
      <c r="U75" s="186"/>
    </row>
    <row r="76" ht="14.25" customHeight="1">
      <c r="A76" s="175"/>
      <c r="B76" s="191" t="s">
        <v>821</v>
      </c>
      <c r="C76" s="199"/>
      <c r="D76" s="200"/>
      <c r="E76" s="201">
        <f t="shared" ref="E76:I76" si="25">SUM(E74:E75)</f>
        <v>0</v>
      </c>
      <c r="F76" s="201">
        <f t="shared" si="25"/>
        <v>0</v>
      </c>
      <c r="G76" s="201">
        <f t="shared" si="25"/>
        <v>0</v>
      </c>
      <c r="H76" s="201">
        <f t="shared" si="25"/>
        <v>0</v>
      </c>
      <c r="I76" s="201">
        <f t="shared" si="25"/>
        <v>0</v>
      </c>
      <c r="J76" s="201">
        <f t="shared" si="2"/>
        <v>0</v>
      </c>
      <c r="K76" s="201">
        <f t="shared" si="3"/>
        <v>0</v>
      </c>
      <c r="L76" s="201">
        <f t="shared" si="4"/>
        <v>0</v>
      </c>
      <c r="M76" s="201">
        <f t="shared" si="5"/>
        <v>0</v>
      </c>
      <c r="N76" s="201">
        <f t="shared" ref="N76:Q76" si="26">SUM(N74:N75)</f>
        <v>0</v>
      </c>
      <c r="O76" s="201">
        <f t="shared" si="26"/>
        <v>0</v>
      </c>
      <c r="P76" s="201">
        <f t="shared" si="26"/>
        <v>0</v>
      </c>
      <c r="Q76" s="201">
        <f t="shared" si="26"/>
        <v>0</v>
      </c>
      <c r="R76" s="201">
        <f t="shared" si="6"/>
        <v>0</v>
      </c>
      <c r="S76" s="201">
        <f t="shared" si="7"/>
        <v>0</v>
      </c>
      <c r="T76" s="201">
        <f t="shared" si="8"/>
        <v>0</v>
      </c>
      <c r="U76" s="186"/>
    </row>
    <row r="77" ht="14.25" customHeight="1">
      <c r="A77" s="175"/>
      <c r="B77" s="204" t="s">
        <v>822</v>
      </c>
      <c r="C77" s="205"/>
      <c r="D77" s="206"/>
      <c r="E77" s="207">
        <f t="shared" ref="E77:I77" si="27">E76+E73+E69+E64+E58+E45+E34+E32+E13+E11</f>
        <v>116798639</v>
      </c>
      <c r="F77" s="207">
        <f t="shared" si="27"/>
        <v>68177480</v>
      </c>
      <c r="G77" s="207">
        <f t="shared" si="27"/>
        <v>77234949</v>
      </c>
      <c r="H77" s="207">
        <f t="shared" si="27"/>
        <v>78299136</v>
      </c>
      <c r="I77" s="207">
        <f t="shared" si="27"/>
        <v>78299136</v>
      </c>
      <c r="J77" s="207">
        <f t="shared" si="2"/>
        <v>171.3155708</v>
      </c>
      <c r="K77" s="207">
        <f t="shared" si="3"/>
        <v>151.2251131</v>
      </c>
      <c r="L77" s="207">
        <f t="shared" si="4"/>
        <v>149.1697673</v>
      </c>
      <c r="M77" s="207">
        <f t="shared" si="5"/>
        <v>149.1697673</v>
      </c>
      <c r="N77" s="207">
        <f t="shared" ref="N77:Q77" si="28">N76+N73+N69+N64+N58+N45+N34+N32+N13+N11</f>
        <v>450137844</v>
      </c>
      <c r="O77" s="207">
        <f t="shared" si="28"/>
        <v>506034067</v>
      </c>
      <c r="P77" s="207">
        <f t="shared" si="28"/>
        <v>479888392</v>
      </c>
      <c r="Q77" s="207">
        <f t="shared" si="28"/>
        <v>479888392</v>
      </c>
      <c r="R77" s="207">
        <f t="shared" si="6"/>
        <v>88.95405929</v>
      </c>
      <c r="S77" s="207">
        <f t="shared" si="7"/>
        <v>93.80052769</v>
      </c>
      <c r="T77" s="207">
        <f t="shared" si="8"/>
        <v>93.80052769</v>
      </c>
      <c r="U77" s="186"/>
    </row>
    <row r="78" ht="14.25" customHeight="1">
      <c r="A78" s="175"/>
      <c r="B78" s="208" t="s">
        <v>20</v>
      </c>
      <c r="C78" s="181" t="s">
        <v>409</v>
      </c>
      <c r="D78" s="209" t="s">
        <v>140</v>
      </c>
      <c r="E78" s="183">
        <f>'Balin-A'!E78+'Sinta-A'!E78+'Kumai-A'!E78+'Lokal-A'!E78</f>
        <v>228983776</v>
      </c>
      <c r="F78" s="183">
        <f>'Balin-A'!F78+'Sinta-A'!F78+'Kumai-A'!F78+'Lokal-A'!F78</f>
        <v>176860801</v>
      </c>
      <c r="G78" s="183">
        <f>'Balin-A'!G78+'Sinta-A'!G78+'Kumai-A'!G78+'Lokal-A'!G78</f>
        <v>247491486</v>
      </c>
      <c r="H78" s="183">
        <f>'Balin-A'!H78+'Sinta-A'!H78+'Kumai-A'!H78+'Lokal-A'!H78</f>
        <v>0</v>
      </c>
      <c r="I78" s="183">
        <f>'Balin-A'!I78+'Sinta-A'!I78+'Kumai-A'!I78+'Lokal-A'!I78</f>
        <v>0</v>
      </c>
      <c r="J78" s="185">
        <f t="shared" si="2"/>
        <v>129.4711856</v>
      </c>
      <c r="K78" s="183">
        <f t="shared" si="3"/>
        <v>92.52188013</v>
      </c>
      <c r="L78" s="183">
        <f t="shared" si="4"/>
        <v>0</v>
      </c>
      <c r="M78" s="183">
        <f t="shared" si="5"/>
        <v>0</v>
      </c>
      <c r="N78" s="183">
        <f>'Balin-A'!N78+'Sinta-A'!N78+'Kumai-A'!N78+'Lokal-A'!N78</f>
        <v>1202894458</v>
      </c>
      <c r="O78" s="183">
        <f>'Balin-A'!O78+'Sinta-A'!O78+'Kumai-A'!O78+'Lokal-A'!O78</f>
        <v>1139977395</v>
      </c>
      <c r="P78" s="183">
        <f>'Balin-A'!P78+'Sinta-A'!P78+'Kumai-A'!P78+'Lokal-A'!P78</f>
        <v>0</v>
      </c>
      <c r="Q78" s="183">
        <f>'Balin-A'!Q78+'Sinta-A'!Q78+'Kumai-A'!Q78+'Lokal-A'!Q78</f>
        <v>0</v>
      </c>
      <c r="R78" s="210">
        <f t="shared" si="6"/>
        <v>105.5191501</v>
      </c>
      <c r="S78" s="183">
        <f t="shared" si="7"/>
        <v>0</v>
      </c>
      <c r="T78" s="183">
        <f t="shared" si="8"/>
        <v>0</v>
      </c>
      <c r="U78" s="186"/>
    </row>
    <row r="79" ht="14.25" customHeight="1">
      <c r="A79" s="175"/>
      <c r="B79" s="208" t="s">
        <v>823</v>
      </c>
      <c r="C79" s="181"/>
      <c r="D79" s="209" t="s">
        <v>192</v>
      </c>
      <c r="E79" s="183">
        <f>'Balin-A'!E79+'Sinta-A'!E79+'Kumai-A'!E79+'Lokal-A'!E79</f>
        <v>0</v>
      </c>
      <c r="F79" s="183">
        <f>'Balin-A'!F79+'Sinta-A'!F79+'Kumai-A'!F79+'Lokal-A'!F79</f>
        <v>0</v>
      </c>
      <c r="G79" s="183">
        <f>'Balin-A'!G79+'Sinta-A'!G79+'Kumai-A'!G79+'Lokal-A'!G79</f>
        <v>0</v>
      </c>
      <c r="H79" s="183">
        <f>'Balin-A'!H79+'Sinta-A'!H79+'Kumai-A'!H79+'Lokal-A'!H79</f>
        <v>181609568</v>
      </c>
      <c r="I79" s="183">
        <f>'Balin-A'!I79+'Sinta-A'!I79+'Kumai-A'!I79+'Lokal-A'!I79</f>
        <v>181609568</v>
      </c>
      <c r="J79" s="185">
        <f t="shared" si="2"/>
        <v>0</v>
      </c>
      <c r="K79" s="183">
        <f t="shared" si="3"/>
        <v>0</v>
      </c>
      <c r="L79" s="183">
        <f t="shared" si="4"/>
        <v>0</v>
      </c>
      <c r="M79" s="183">
        <f t="shared" si="5"/>
        <v>0</v>
      </c>
      <c r="N79" s="183">
        <f>'Balin-A'!N79+'Sinta-A'!N79+'Kumai-A'!N79+'Lokal-A'!N79</f>
        <v>0</v>
      </c>
      <c r="O79" s="183">
        <f>'Balin-A'!O79+'Sinta-A'!O79+'Kumai-A'!O79+'Lokal-A'!O79</f>
        <v>0</v>
      </c>
      <c r="P79" s="183">
        <f>'Balin-A'!P79+'Sinta-A'!P79+'Kumai-A'!P79+'Lokal-A'!P79</f>
        <v>970863499</v>
      </c>
      <c r="Q79" s="183">
        <f>'Balin-A'!Q79+'Sinta-A'!Q79+'Kumai-A'!Q79+'Lokal-A'!Q79</f>
        <v>970863499</v>
      </c>
      <c r="R79" s="183">
        <f t="shared" si="6"/>
        <v>0</v>
      </c>
      <c r="S79" s="183">
        <f t="shared" si="7"/>
        <v>0</v>
      </c>
      <c r="T79" s="183">
        <f t="shared" si="8"/>
        <v>0</v>
      </c>
      <c r="U79" s="186"/>
    </row>
    <row r="80" ht="14.25" customHeight="1">
      <c r="A80" s="175"/>
      <c r="B80" s="208" t="s">
        <v>43</v>
      </c>
      <c r="C80" s="181"/>
      <c r="D80" s="209" t="s">
        <v>44</v>
      </c>
      <c r="E80" s="183">
        <f>'Balin-A'!E80+'Sinta-A'!E80+'Kumai-A'!E80+'Lokal-A'!E80</f>
        <v>222522697</v>
      </c>
      <c r="F80" s="183">
        <f>'Balin-A'!F80+'Sinta-A'!F80+'Kumai-A'!F80+'Lokal-A'!F80</f>
        <v>270292924</v>
      </c>
      <c r="G80" s="183">
        <f>'Balin-A'!G80+'Sinta-A'!G80+'Kumai-A'!G80+'Lokal-A'!G80</f>
        <v>327806831</v>
      </c>
      <c r="H80" s="183">
        <f>'Balin-A'!H80+'Sinta-A'!H80+'Kumai-A'!H80+'Lokal-A'!H80</f>
        <v>0</v>
      </c>
      <c r="I80" s="183">
        <f>'Balin-A'!I80+'Sinta-A'!I80+'Kumai-A'!I80+'Lokal-A'!I80</f>
        <v>0</v>
      </c>
      <c r="J80" s="185">
        <f t="shared" si="2"/>
        <v>82.32649738</v>
      </c>
      <c r="K80" s="183">
        <f t="shared" si="3"/>
        <v>67.88226356</v>
      </c>
      <c r="L80" s="183">
        <f t="shared" si="4"/>
        <v>0</v>
      </c>
      <c r="M80" s="183">
        <f t="shared" si="5"/>
        <v>0</v>
      </c>
      <c r="N80" s="183">
        <f>'Balin-A'!N80+'Sinta-A'!N80+'Kumai-A'!N80+'Lokal-A'!N80</f>
        <v>1209021000</v>
      </c>
      <c r="O80" s="183">
        <f>'Balin-A'!O80+'Sinta-A'!O80+'Kumai-A'!O80+'Lokal-A'!O80</f>
        <v>1612847050</v>
      </c>
      <c r="P80" s="183">
        <f>'Balin-A'!P80+'Sinta-A'!P80+'Kumai-A'!P80+'Lokal-A'!P80</f>
        <v>0</v>
      </c>
      <c r="Q80" s="183">
        <f>'Balin-A'!Q80+'Sinta-A'!Q80+'Kumai-A'!Q80+'Lokal-A'!Q80</f>
        <v>0</v>
      </c>
      <c r="R80" s="183">
        <f t="shared" si="6"/>
        <v>74.96191285</v>
      </c>
      <c r="S80" s="183">
        <f t="shared" si="7"/>
        <v>0</v>
      </c>
      <c r="T80" s="183">
        <f t="shared" si="8"/>
        <v>0</v>
      </c>
      <c r="U80" s="186"/>
    </row>
    <row r="81" ht="14.25" customHeight="1">
      <c r="A81" s="175"/>
      <c r="B81" s="208" t="s">
        <v>14</v>
      </c>
      <c r="C81" s="181"/>
      <c r="D81" s="209" t="s">
        <v>15</v>
      </c>
      <c r="E81" s="183">
        <f>'Balin-A'!E81+'Sinta-A'!E81+'Kumai-A'!E81+'Lokal-A'!E81</f>
        <v>22068796</v>
      </c>
      <c r="F81" s="183">
        <f>'Balin-A'!F81+'Sinta-A'!F81+'Kumai-A'!F81+'Lokal-A'!F81</f>
        <v>22105152</v>
      </c>
      <c r="G81" s="183">
        <f>'Balin-A'!G81+'Sinta-A'!G81+'Kumai-A'!G81+'Lokal-A'!G81</f>
        <v>127955764</v>
      </c>
      <c r="H81" s="183">
        <f>'Balin-A'!H81+'Sinta-A'!H81+'Kumai-A'!H81+'Lokal-A'!H81</f>
        <v>438405871</v>
      </c>
      <c r="I81" s="183">
        <f>'Balin-A'!I81+'Sinta-A'!I81+'Kumai-A'!I81+'Lokal-A'!I81</f>
        <v>438405871</v>
      </c>
      <c r="J81" s="185">
        <f t="shared" si="2"/>
        <v>99.83553155</v>
      </c>
      <c r="K81" s="183">
        <f t="shared" si="3"/>
        <v>17.2472074</v>
      </c>
      <c r="L81" s="183">
        <f t="shared" si="4"/>
        <v>5.03387328</v>
      </c>
      <c r="M81" s="183">
        <f t="shared" si="5"/>
        <v>5.03387328</v>
      </c>
      <c r="N81" s="183">
        <f>'Balin-A'!N81+'Sinta-A'!N81+'Kumai-A'!N81+'Lokal-A'!N81</f>
        <v>126814068</v>
      </c>
      <c r="O81" s="183">
        <f>'Balin-A'!O81+'Sinta-A'!O81+'Kumai-A'!O81+'Lokal-A'!O81</f>
        <v>635731007</v>
      </c>
      <c r="P81" s="183">
        <f>'Balin-A'!P81+'Sinta-A'!P81+'Kumai-A'!P81+'Lokal-A'!P81</f>
        <v>2583863672</v>
      </c>
      <c r="Q81" s="183">
        <f>'Balin-A'!Q81+'Sinta-A'!Q81+'Kumai-A'!Q81+'Lokal-A'!Q81</f>
        <v>2583863672</v>
      </c>
      <c r="R81" s="183">
        <f t="shared" si="6"/>
        <v>19.94775567</v>
      </c>
      <c r="S81" s="183">
        <f t="shared" si="7"/>
        <v>4.907924105</v>
      </c>
      <c r="T81" s="183">
        <f t="shared" si="8"/>
        <v>4.907924105</v>
      </c>
      <c r="U81" s="186"/>
    </row>
    <row r="82" ht="14.25" customHeight="1">
      <c r="A82" s="175"/>
      <c r="B82" s="208" t="s">
        <v>68</v>
      </c>
      <c r="C82" s="181"/>
      <c r="D82" s="209" t="s">
        <v>69</v>
      </c>
      <c r="E82" s="183">
        <f>'Balin-A'!E82+'Sinta-A'!E82+'Kumai-A'!E82+'Lokal-A'!E82</f>
        <v>1928688</v>
      </c>
      <c r="F82" s="183">
        <f>'Balin-A'!F82+'Sinta-A'!F82+'Kumai-A'!F82+'Lokal-A'!F82</f>
        <v>1872784</v>
      </c>
      <c r="G82" s="183">
        <f>'Balin-A'!G82+'Sinta-A'!G82+'Kumai-A'!G82+'Lokal-A'!G82</f>
        <v>4961480</v>
      </c>
      <c r="H82" s="183">
        <f>'Balin-A'!H82+'Sinta-A'!H82+'Kumai-A'!H82+'Lokal-A'!H82</f>
        <v>0</v>
      </c>
      <c r="I82" s="183">
        <f>'Balin-A'!I82+'Sinta-A'!I82+'Kumai-A'!I82+'Lokal-A'!I82</f>
        <v>0</v>
      </c>
      <c r="J82" s="185">
        <f t="shared" si="2"/>
        <v>102.9850746</v>
      </c>
      <c r="K82" s="183">
        <f t="shared" si="3"/>
        <v>38.87323944</v>
      </c>
      <c r="L82" s="183">
        <f t="shared" si="4"/>
        <v>0</v>
      </c>
      <c r="M82" s="183">
        <f t="shared" si="5"/>
        <v>0</v>
      </c>
      <c r="N82" s="183">
        <f>'Balin-A'!N82+'Sinta-A'!N82+'Kumai-A'!N82+'Lokal-A'!N82</f>
        <v>9182232</v>
      </c>
      <c r="O82" s="183">
        <f>'Balin-A'!O82+'Sinta-A'!O82+'Kumai-A'!O82+'Lokal-A'!O82</f>
        <v>15010224</v>
      </c>
      <c r="P82" s="183">
        <f>'Balin-A'!P82+'Sinta-A'!P82+'Kumai-A'!P82+'Lokal-A'!P82</f>
        <v>0</v>
      </c>
      <c r="Q82" s="183">
        <f>'Balin-A'!Q82+'Sinta-A'!Q82+'Kumai-A'!Q82+'Lokal-A'!Q82</f>
        <v>0</v>
      </c>
      <c r="R82" s="183">
        <f t="shared" si="6"/>
        <v>61.17318436</v>
      </c>
      <c r="S82" s="183">
        <f t="shared" si="7"/>
        <v>0</v>
      </c>
      <c r="T82" s="183">
        <f t="shared" si="8"/>
        <v>0</v>
      </c>
      <c r="U82" s="186"/>
    </row>
    <row r="83" ht="14.25" customHeight="1">
      <c r="A83" s="175"/>
      <c r="B83" s="208" t="s">
        <v>824</v>
      </c>
      <c r="C83" s="181"/>
      <c r="D83" s="209" t="s">
        <v>825</v>
      </c>
      <c r="E83" s="183">
        <f>'Balin-A'!E83+'Sinta-A'!E83+'Kumai-A'!E83+'Lokal-A'!E83</f>
        <v>0</v>
      </c>
      <c r="F83" s="183">
        <f>'Balin-A'!F83+'Sinta-A'!F83+'Kumai-A'!F83+'Lokal-A'!F83</f>
        <v>0</v>
      </c>
      <c r="G83" s="183">
        <f>'Balin-A'!G83+'Sinta-A'!G83+'Kumai-A'!G83+'Lokal-A'!G83</f>
        <v>0</v>
      </c>
      <c r="H83" s="183">
        <f>'Balin-A'!H83+'Sinta-A'!H83+'Kumai-A'!H83+'Lokal-A'!H83</f>
        <v>0</v>
      </c>
      <c r="I83" s="183">
        <f>'Balin-A'!I83+'Sinta-A'!I83+'Kumai-A'!I83+'Lokal-A'!I83</f>
        <v>0</v>
      </c>
      <c r="J83" s="185">
        <f t="shared" si="2"/>
        <v>0</v>
      </c>
      <c r="K83" s="183">
        <f t="shared" si="3"/>
        <v>0</v>
      </c>
      <c r="L83" s="183">
        <f t="shared" si="4"/>
        <v>0</v>
      </c>
      <c r="M83" s="183">
        <f t="shared" si="5"/>
        <v>0</v>
      </c>
      <c r="N83" s="183">
        <f>'Balin-A'!N83+'Sinta-A'!N83+'Kumai-A'!N83+'Lokal-A'!N83</f>
        <v>0</v>
      </c>
      <c r="O83" s="183">
        <f>'Balin-A'!O83+'Sinta-A'!O83+'Kumai-A'!O83+'Lokal-A'!O83</f>
        <v>0</v>
      </c>
      <c r="P83" s="183">
        <f>'Balin-A'!P83+'Sinta-A'!P83+'Kumai-A'!P83+'Lokal-A'!P83</f>
        <v>0</v>
      </c>
      <c r="Q83" s="183">
        <f>'Balin-A'!Q83+'Sinta-A'!Q83+'Kumai-A'!Q83+'Lokal-A'!Q83</f>
        <v>0</v>
      </c>
      <c r="R83" s="183">
        <f t="shared" si="6"/>
        <v>0</v>
      </c>
      <c r="S83" s="183">
        <f t="shared" si="7"/>
        <v>0</v>
      </c>
      <c r="T83" s="183">
        <f t="shared" si="8"/>
        <v>0</v>
      </c>
      <c r="U83" s="186"/>
    </row>
    <row r="84" ht="14.25" customHeight="1">
      <c r="A84" s="175"/>
      <c r="B84" s="208" t="s">
        <v>826</v>
      </c>
      <c r="C84" s="181"/>
      <c r="D84" s="209" t="s">
        <v>827</v>
      </c>
      <c r="E84" s="183">
        <f>'Balin-A'!E84+'Sinta-A'!E84+'Kumai-A'!E84+'Lokal-A'!E84</f>
        <v>0</v>
      </c>
      <c r="F84" s="183">
        <f>'Balin-A'!F84+'Sinta-A'!F84+'Kumai-A'!F84+'Lokal-A'!F84</f>
        <v>0</v>
      </c>
      <c r="G84" s="183">
        <f>'Balin-A'!G84+'Sinta-A'!G84+'Kumai-A'!G84+'Lokal-A'!G84</f>
        <v>0</v>
      </c>
      <c r="H84" s="183">
        <f>'Balin-A'!H84+'Sinta-A'!H84+'Kumai-A'!H84+'Lokal-A'!H84</f>
        <v>0</v>
      </c>
      <c r="I84" s="183">
        <f>'Balin-A'!I84+'Sinta-A'!I84+'Kumai-A'!I84+'Lokal-A'!I84</f>
        <v>0</v>
      </c>
      <c r="J84" s="185">
        <f t="shared" si="2"/>
        <v>0</v>
      </c>
      <c r="K84" s="183">
        <f t="shared" si="3"/>
        <v>0</v>
      </c>
      <c r="L84" s="183">
        <f t="shared" si="4"/>
        <v>0</v>
      </c>
      <c r="M84" s="183">
        <f t="shared" si="5"/>
        <v>0</v>
      </c>
      <c r="N84" s="183">
        <f>'Balin-A'!N84+'Sinta-A'!N84+'Kumai-A'!N84+'Lokal-A'!N84</f>
        <v>0</v>
      </c>
      <c r="O84" s="183">
        <f>'Balin-A'!O84+'Sinta-A'!O84+'Kumai-A'!O84+'Lokal-A'!O84</f>
        <v>0</v>
      </c>
      <c r="P84" s="183">
        <f>'Balin-A'!P84+'Sinta-A'!P84+'Kumai-A'!P84+'Lokal-A'!P84</f>
        <v>0</v>
      </c>
      <c r="Q84" s="183">
        <f>'Balin-A'!Q84+'Sinta-A'!Q84+'Kumai-A'!Q84+'Lokal-A'!Q84</f>
        <v>0</v>
      </c>
      <c r="R84" s="183">
        <f t="shared" si="6"/>
        <v>0</v>
      </c>
      <c r="S84" s="183">
        <f t="shared" si="7"/>
        <v>0</v>
      </c>
      <c r="T84" s="183">
        <f t="shared" si="8"/>
        <v>0</v>
      </c>
      <c r="U84" s="186"/>
    </row>
    <row r="85" ht="14.25" customHeight="1">
      <c r="A85" s="175"/>
      <c r="B85" s="208" t="s">
        <v>828</v>
      </c>
      <c r="C85" s="181"/>
      <c r="D85" s="209" t="s">
        <v>829</v>
      </c>
      <c r="E85" s="183">
        <f>'Balin-A'!E85+'Sinta-A'!E85+'Kumai-A'!E85+'Lokal-A'!E85</f>
        <v>0</v>
      </c>
      <c r="F85" s="183">
        <f>'Balin-A'!F85+'Sinta-A'!F85+'Kumai-A'!F85+'Lokal-A'!F85</f>
        <v>0</v>
      </c>
      <c r="G85" s="183">
        <f>'Balin-A'!G85+'Sinta-A'!G85+'Kumai-A'!G85+'Lokal-A'!G85</f>
        <v>0</v>
      </c>
      <c r="H85" s="183">
        <f>'Balin-A'!H85+'Sinta-A'!H85+'Kumai-A'!H85+'Lokal-A'!H85</f>
        <v>0</v>
      </c>
      <c r="I85" s="183">
        <f>'Balin-A'!I85+'Sinta-A'!I85+'Kumai-A'!I85+'Lokal-A'!I85</f>
        <v>0</v>
      </c>
      <c r="J85" s="185">
        <f t="shared" si="2"/>
        <v>0</v>
      </c>
      <c r="K85" s="183">
        <f t="shared" si="3"/>
        <v>0</v>
      </c>
      <c r="L85" s="183">
        <f t="shared" si="4"/>
        <v>0</v>
      </c>
      <c r="M85" s="183">
        <f t="shared" si="5"/>
        <v>0</v>
      </c>
      <c r="N85" s="183">
        <f>'Balin-A'!N85+'Sinta-A'!N85+'Kumai-A'!N85+'Lokal-A'!N85</f>
        <v>0</v>
      </c>
      <c r="O85" s="183">
        <f>'Balin-A'!O85+'Sinta-A'!O85+'Kumai-A'!O85+'Lokal-A'!O85</f>
        <v>0</v>
      </c>
      <c r="P85" s="183">
        <f>'Balin-A'!P85+'Sinta-A'!P85+'Kumai-A'!P85+'Lokal-A'!P85</f>
        <v>0</v>
      </c>
      <c r="Q85" s="183">
        <f>'Balin-A'!Q85+'Sinta-A'!Q85+'Kumai-A'!Q85+'Lokal-A'!Q85</f>
        <v>0</v>
      </c>
      <c r="R85" s="183">
        <f t="shared" si="6"/>
        <v>0</v>
      </c>
      <c r="S85" s="183">
        <f t="shared" si="7"/>
        <v>0</v>
      </c>
      <c r="T85" s="183">
        <f t="shared" si="8"/>
        <v>0</v>
      </c>
      <c r="U85" s="186"/>
    </row>
    <row r="86" ht="14.25" customHeight="1">
      <c r="A86" s="175"/>
      <c r="B86" s="208" t="s">
        <v>51</v>
      </c>
      <c r="C86" s="181"/>
      <c r="D86" s="209" t="s">
        <v>52</v>
      </c>
      <c r="E86" s="183">
        <f>'Balin-A'!E86+'Sinta-A'!E86+'Kumai-A'!E86+'Lokal-A'!E86</f>
        <v>0</v>
      </c>
      <c r="F86" s="183">
        <f>'Balin-A'!F86+'Sinta-A'!F86+'Kumai-A'!F86+'Lokal-A'!F86</f>
        <v>0</v>
      </c>
      <c r="G86" s="183">
        <f>'Balin-A'!G86+'Sinta-A'!G86+'Kumai-A'!G86+'Lokal-A'!G86</f>
        <v>644350</v>
      </c>
      <c r="H86" s="183">
        <f>'Balin-A'!H86+'Sinta-A'!H86+'Kumai-A'!H86+'Lokal-A'!H86</f>
        <v>0</v>
      </c>
      <c r="I86" s="183">
        <f>'Balin-A'!I86+'Sinta-A'!I86+'Kumai-A'!I86+'Lokal-A'!I86</f>
        <v>0</v>
      </c>
      <c r="J86" s="185">
        <f t="shared" si="2"/>
        <v>0</v>
      </c>
      <c r="K86" s="183">
        <f t="shared" si="3"/>
        <v>0</v>
      </c>
      <c r="L86" s="183">
        <f t="shared" si="4"/>
        <v>0</v>
      </c>
      <c r="M86" s="183">
        <f t="shared" si="5"/>
        <v>0</v>
      </c>
      <c r="N86" s="183">
        <f>'Balin-A'!N86+'Sinta-A'!N86+'Kumai-A'!N86+'Lokal-A'!N86</f>
        <v>554146</v>
      </c>
      <c r="O86" s="183">
        <f>'Balin-A'!O86+'Sinta-A'!O86+'Kumai-A'!O86+'Lokal-A'!O86</f>
        <v>1918703</v>
      </c>
      <c r="P86" s="183">
        <f>'Balin-A'!P86+'Sinta-A'!P86+'Kumai-A'!P86+'Lokal-A'!P86</f>
        <v>0</v>
      </c>
      <c r="Q86" s="183">
        <f>'Balin-A'!Q86+'Sinta-A'!Q86+'Kumai-A'!Q86+'Lokal-A'!Q86</f>
        <v>0</v>
      </c>
      <c r="R86" s="183">
        <f t="shared" si="6"/>
        <v>28.88128074</v>
      </c>
      <c r="S86" s="183">
        <f t="shared" si="7"/>
        <v>0</v>
      </c>
      <c r="T86" s="183">
        <f t="shared" si="8"/>
        <v>0</v>
      </c>
      <c r="U86" s="186"/>
    </row>
    <row r="87" ht="14.25" customHeight="1">
      <c r="A87" s="175"/>
      <c r="B87" s="208" t="s">
        <v>830</v>
      </c>
      <c r="C87" s="181"/>
      <c r="D87" s="209" t="s">
        <v>831</v>
      </c>
      <c r="E87" s="183">
        <f>'Balin-A'!E87+'Sinta-A'!E87+'Kumai-A'!E87+'Lokal-A'!E87</f>
        <v>0</v>
      </c>
      <c r="F87" s="183">
        <f>'Balin-A'!F87+'Sinta-A'!F87+'Kumai-A'!F87+'Lokal-A'!F87</f>
        <v>0</v>
      </c>
      <c r="G87" s="183">
        <f>'Balin-A'!G87+'Sinta-A'!G87+'Kumai-A'!G87+'Lokal-A'!G87</f>
        <v>0</v>
      </c>
      <c r="H87" s="183">
        <f>'Balin-A'!H87+'Sinta-A'!H87+'Kumai-A'!H87+'Lokal-A'!H87</f>
        <v>0</v>
      </c>
      <c r="I87" s="183">
        <f>'Balin-A'!I87+'Sinta-A'!I87+'Kumai-A'!I87+'Lokal-A'!I87</f>
        <v>0</v>
      </c>
      <c r="J87" s="185">
        <f t="shared" si="2"/>
        <v>0</v>
      </c>
      <c r="K87" s="183">
        <f t="shared" si="3"/>
        <v>0</v>
      </c>
      <c r="L87" s="183">
        <f t="shared" si="4"/>
        <v>0</v>
      </c>
      <c r="M87" s="183">
        <f t="shared" si="5"/>
        <v>0</v>
      </c>
      <c r="N87" s="183">
        <f>'Balin-A'!N87+'Sinta-A'!N87+'Kumai-A'!N87+'Lokal-A'!N87</f>
        <v>0</v>
      </c>
      <c r="O87" s="183">
        <f>'Balin-A'!O87+'Sinta-A'!O87+'Kumai-A'!O87+'Lokal-A'!O87</f>
        <v>0</v>
      </c>
      <c r="P87" s="183">
        <f>'Balin-A'!P87+'Sinta-A'!P87+'Kumai-A'!P87+'Lokal-A'!P87</f>
        <v>0</v>
      </c>
      <c r="Q87" s="183">
        <f>'Balin-A'!Q87+'Sinta-A'!Q87+'Kumai-A'!Q87+'Lokal-A'!Q87</f>
        <v>0</v>
      </c>
      <c r="R87" s="183">
        <f t="shared" si="6"/>
        <v>0</v>
      </c>
      <c r="S87" s="183">
        <f t="shared" si="7"/>
        <v>0</v>
      </c>
      <c r="T87" s="183">
        <f t="shared" si="8"/>
        <v>0</v>
      </c>
      <c r="U87" s="186"/>
    </row>
    <row r="88" ht="14.25" customHeight="1">
      <c r="A88" s="175"/>
      <c r="B88" s="208" t="s">
        <v>832</v>
      </c>
      <c r="C88" s="181"/>
      <c r="D88" s="209" t="s">
        <v>833</v>
      </c>
      <c r="E88" s="183">
        <f>'Balin-A'!E88+'Sinta-A'!E88+'Kumai-A'!E88+'Lokal-A'!E88</f>
        <v>0</v>
      </c>
      <c r="F88" s="183">
        <f>'Balin-A'!F88+'Sinta-A'!F88+'Kumai-A'!F88+'Lokal-A'!F88</f>
        <v>0</v>
      </c>
      <c r="G88" s="183">
        <f>'Balin-A'!G88+'Sinta-A'!G88+'Kumai-A'!G88+'Lokal-A'!G88</f>
        <v>0</v>
      </c>
      <c r="H88" s="183">
        <f>'Balin-A'!H88+'Sinta-A'!H88+'Kumai-A'!H88+'Lokal-A'!H88</f>
        <v>0</v>
      </c>
      <c r="I88" s="183">
        <f>'Balin-A'!I88+'Sinta-A'!I88+'Kumai-A'!I88+'Lokal-A'!I88</f>
        <v>0</v>
      </c>
      <c r="J88" s="185">
        <f t="shared" si="2"/>
        <v>0</v>
      </c>
      <c r="K88" s="183">
        <f t="shared" si="3"/>
        <v>0</v>
      </c>
      <c r="L88" s="183">
        <f t="shared" si="4"/>
        <v>0</v>
      </c>
      <c r="M88" s="183">
        <f t="shared" si="5"/>
        <v>0</v>
      </c>
      <c r="N88" s="183">
        <f>'Balin-A'!N88+'Sinta-A'!N88+'Kumai-A'!N88+'Lokal-A'!N88</f>
        <v>0</v>
      </c>
      <c r="O88" s="183">
        <f>'Balin-A'!O88+'Sinta-A'!O88+'Kumai-A'!O88+'Lokal-A'!O88</f>
        <v>1040000</v>
      </c>
      <c r="P88" s="183">
        <f>'Balin-A'!P88+'Sinta-A'!P88+'Kumai-A'!P88+'Lokal-A'!P88</f>
        <v>0</v>
      </c>
      <c r="Q88" s="183">
        <f>'Balin-A'!Q88+'Sinta-A'!Q88+'Kumai-A'!Q88+'Lokal-A'!Q88</f>
        <v>0</v>
      </c>
      <c r="R88" s="183">
        <f t="shared" si="6"/>
        <v>0</v>
      </c>
      <c r="S88" s="183">
        <f t="shared" si="7"/>
        <v>0</v>
      </c>
      <c r="T88" s="183">
        <f t="shared" si="8"/>
        <v>0</v>
      </c>
      <c r="U88" s="202"/>
    </row>
    <row r="89" ht="14.25" customHeight="1">
      <c r="A89" s="175"/>
      <c r="B89" s="208" t="s">
        <v>834</v>
      </c>
      <c r="C89" s="181"/>
      <c r="D89" s="209" t="s">
        <v>835</v>
      </c>
      <c r="E89" s="183">
        <f>'Balin-A'!E89+'Sinta-A'!E89+'Kumai-A'!E89+'Lokal-A'!E89</f>
        <v>0</v>
      </c>
      <c r="F89" s="183">
        <f>'Balin-A'!F89+'Sinta-A'!F89+'Kumai-A'!F89+'Lokal-A'!F89</f>
        <v>0</v>
      </c>
      <c r="G89" s="183">
        <f>'Balin-A'!G89+'Sinta-A'!G89+'Kumai-A'!G89+'Lokal-A'!G89</f>
        <v>0</v>
      </c>
      <c r="H89" s="183">
        <f>'Balin-A'!H89+'Sinta-A'!H89+'Kumai-A'!H89+'Lokal-A'!H89</f>
        <v>0</v>
      </c>
      <c r="I89" s="183">
        <f>'Balin-A'!I89+'Sinta-A'!I89+'Kumai-A'!I89+'Lokal-A'!I89</f>
        <v>0</v>
      </c>
      <c r="J89" s="185">
        <f t="shared" si="2"/>
        <v>0</v>
      </c>
      <c r="K89" s="183">
        <f t="shared" si="3"/>
        <v>0</v>
      </c>
      <c r="L89" s="183">
        <f t="shared" si="4"/>
        <v>0</v>
      </c>
      <c r="M89" s="183">
        <f t="shared" si="5"/>
        <v>0</v>
      </c>
      <c r="N89" s="183">
        <f>'Balin-A'!N89+'Sinta-A'!N89+'Kumai-A'!N89+'Lokal-A'!N89</f>
        <v>0</v>
      </c>
      <c r="O89" s="183">
        <f>'Balin-A'!O89+'Sinta-A'!O89+'Kumai-A'!O89+'Lokal-A'!O89</f>
        <v>21000</v>
      </c>
      <c r="P89" s="183">
        <f>'Balin-A'!P89+'Sinta-A'!P89+'Kumai-A'!P89+'Lokal-A'!P89</f>
        <v>0</v>
      </c>
      <c r="Q89" s="183">
        <f>'Balin-A'!Q89+'Sinta-A'!Q89+'Kumai-A'!Q89+'Lokal-A'!Q89</f>
        <v>0</v>
      </c>
      <c r="R89" s="183">
        <f t="shared" si="6"/>
        <v>0</v>
      </c>
      <c r="S89" s="183">
        <f t="shared" si="7"/>
        <v>0</v>
      </c>
      <c r="T89" s="183">
        <f t="shared" si="8"/>
        <v>0</v>
      </c>
      <c r="U89" s="186"/>
    </row>
    <row r="90" ht="14.25" customHeight="1">
      <c r="A90" s="175"/>
      <c r="B90" s="208" t="s">
        <v>836</v>
      </c>
      <c r="C90" s="181"/>
      <c r="D90" s="209" t="s">
        <v>837</v>
      </c>
      <c r="E90" s="183">
        <f>'Balin-A'!E90+'Sinta-A'!E90+'Kumai-A'!E90+'Lokal-A'!E90</f>
        <v>0</v>
      </c>
      <c r="F90" s="183">
        <f>'Balin-A'!F90+'Sinta-A'!F90+'Kumai-A'!F90+'Lokal-A'!F90</f>
        <v>0</v>
      </c>
      <c r="G90" s="183">
        <f>'Balin-A'!G90+'Sinta-A'!G90+'Kumai-A'!G90+'Lokal-A'!G90</f>
        <v>0</v>
      </c>
      <c r="H90" s="183">
        <f>'Balin-A'!H90+'Sinta-A'!H90+'Kumai-A'!H90+'Lokal-A'!H90</f>
        <v>0</v>
      </c>
      <c r="I90" s="183">
        <f>'Balin-A'!I90+'Sinta-A'!I90+'Kumai-A'!I90+'Lokal-A'!I90</f>
        <v>0</v>
      </c>
      <c r="J90" s="185">
        <f t="shared" si="2"/>
        <v>0</v>
      </c>
      <c r="K90" s="183">
        <f t="shared" si="3"/>
        <v>0</v>
      </c>
      <c r="L90" s="183">
        <f t="shared" si="4"/>
        <v>0</v>
      </c>
      <c r="M90" s="183">
        <f t="shared" si="5"/>
        <v>0</v>
      </c>
      <c r="N90" s="183">
        <f>'Balin-A'!N90+'Sinta-A'!N90+'Kumai-A'!N90+'Lokal-A'!N90</f>
        <v>0</v>
      </c>
      <c r="O90" s="183">
        <f>'Balin-A'!O90+'Sinta-A'!O90+'Kumai-A'!O90+'Lokal-A'!O90</f>
        <v>-20903</v>
      </c>
      <c r="P90" s="183">
        <f>'Balin-A'!P90+'Sinta-A'!P90+'Kumai-A'!P90+'Lokal-A'!P90</f>
        <v>0</v>
      </c>
      <c r="Q90" s="183">
        <f>'Balin-A'!Q90+'Sinta-A'!Q90+'Kumai-A'!Q90+'Lokal-A'!Q90</f>
        <v>0</v>
      </c>
      <c r="R90" s="183">
        <f t="shared" si="6"/>
        <v>0</v>
      </c>
      <c r="S90" s="183">
        <f t="shared" si="7"/>
        <v>0</v>
      </c>
      <c r="T90" s="183">
        <f t="shared" si="8"/>
        <v>0</v>
      </c>
      <c r="U90" s="186"/>
    </row>
    <row r="91" ht="14.25" customHeight="1">
      <c r="A91" s="175"/>
      <c r="B91" s="191" t="s">
        <v>838</v>
      </c>
      <c r="C91" s="199"/>
      <c r="D91" s="200"/>
      <c r="E91" s="201">
        <f t="shared" ref="E91:I91" si="29">SUM(E78:E90)</f>
        <v>475503957</v>
      </c>
      <c r="F91" s="201">
        <f t="shared" si="29"/>
        <v>471131661</v>
      </c>
      <c r="G91" s="201">
        <f t="shared" si="29"/>
        <v>708859911</v>
      </c>
      <c r="H91" s="201">
        <f t="shared" si="29"/>
        <v>620015439</v>
      </c>
      <c r="I91" s="201">
        <f t="shared" si="29"/>
        <v>620015439</v>
      </c>
      <c r="J91" s="201">
        <f t="shared" si="2"/>
        <v>100.9280412</v>
      </c>
      <c r="K91" s="201">
        <f t="shared" si="3"/>
        <v>67.0801028</v>
      </c>
      <c r="L91" s="201">
        <f t="shared" si="4"/>
        <v>76.69227685</v>
      </c>
      <c r="M91" s="201">
        <f t="shared" si="5"/>
        <v>76.69227685</v>
      </c>
      <c r="N91" s="201">
        <f t="shared" ref="N91:Q91" si="30">SUM(N78:N90)</f>
        <v>2548465904</v>
      </c>
      <c r="O91" s="201">
        <f t="shared" si="30"/>
        <v>3406524476</v>
      </c>
      <c r="P91" s="201">
        <f t="shared" si="30"/>
        <v>3554727171</v>
      </c>
      <c r="Q91" s="201">
        <f t="shared" si="30"/>
        <v>3554727171</v>
      </c>
      <c r="R91" s="201">
        <f t="shared" si="6"/>
        <v>74.81131934</v>
      </c>
      <c r="S91" s="201">
        <f t="shared" si="7"/>
        <v>71.69230665</v>
      </c>
      <c r="T91" s="201">
        <f t="shared" si="8"/>
        <v>71.69230665</v>
      </c>
      <c r="U91" s="186"/>
    </row>
    <row r="92" ht="14.25" customHeight="1">
      <c r="A92" s="175"/>
      <c r="B92" s="208"/>
      <c r="C92" s="181"/>
      <c r="D92" s="209" t="s">
        <v>839</v>
      </c>
      <c r="E92" s="183">
        <f>'Balin-A'!E92+'Sinta-A'!E92+'Kumai-A'!E92+'Lokal-A'!E92</f>
        <v>0</v>
      </c>
      <c r="F92" s="183">
        <f>'Balin-A'!F92+'Sinta-A'!F92+'Kumai-A'!F92+'Lokal-A'!F92</f>
        <v>0</v>
      </c>
      <c r="G92" s="183">
        <f>'Balin-A'!G92+'Sinta-A'!G92+'Kumai-A'!G92+'Lokal-A'!G92</f>
        <v>0</v>
      </c>
      <c r="H92" s="183">
        <f>'Balin-A'!H92+'Sinta-A'!H92+'Kumai-A'!H92+'Lokal-A'!H92</f>
        <v>0</v>
      </c>
      <c r="I92" s="183">
        <f>'Balin-A'!I92+'Sinta-A'!I92+'Kumai-A'!I92+'Lokal-A'!I92</f>
        <v>0</v>
      </c>
      <c r="J92" s="185">
        <f t="shared" si="2"/>
        <v>0</v>
      </c>
      <c r="K92" s="183">
        <f t="shared" si="3"/>
        <v>0</v>
      </c>
      <c r="L92" s="183">
        <f t="shared" si="4"/>
        <v>0</v>
      </c>
      <c r="M92" s="183">
        <f t="shared" si="5"/>
        <v>0</v>
      </c>
      <c r="N92" s="183">
        <f>'Balin-A'!N92+'Sinta-A'!N92+'Kumai-A'!N92+'Lokal-A'!N92</f>
        <v>0</v>
      </c>
      <c r="O92" s="183">
        <f>'Balin-A'!O92+'Sinta-A'!O92+'Kumai-A'!O92+'Lokal-A'!O92</f>
        <v>0</v>
      </c>
      <c r="P92" s="183">
        <f>'Balin-A'!P92+'Sinta-A'!P92+'Kumai-A'!P92+'Lokal-A'!P92</f>
        <v>0</v>
      </c>
      <c r="Q92" s="183">
        <f>'Balin-A'!Q92+'Sinta-A'!Q92+'Kumai-A'!Q92+'Lokal-A'!Q92</f>
        <v>0</v>
      </c>
      <c r="R92" s="183">
        <f t="shared" si="6"/>
        <v>0</v>
      </c>
      <c r="S92" s="183">
        <f t="shared" si="7"/>
        <v>0</v>
      </c>
      <c r="T92" s="183">
        <f t="shared" si="8"/>
        <v>0</v>
      </c>
      <c r="U92" s="186"/>
    </row>
    <row r="93" ht="14.25" customHeight="1">
      <c r="A93" s="175"/>
      <c r="B93" s="208"/>
      <c r="C93" s="181"/>
      <c r="D93" s="209" t="s">
        <v>840</v>
      </c>
      <c r="E93" s="183">
        <f>'Balin-A'!E93+'Sinta-A'!E93+'Kumai-A'!E93+'Lokal-A'!E93</f>
        <v>0</v>
      </c>
      <c r="F93" s="183">
        <f>'Balin-A'!F93+'Sinta-A'!F93+'Kumai-A'!F93+'Lokal-A'!F93</f>
        <v>0</v>
      </c>
      <c r="G93" s="183">
        <f>'Balin-A'!G93+'Sinta-A'!G93+'Kumai-A'!G93+'Lokal-A'!G93</f>
        <v>0</v>
      </c>
      <c r="H93" s="183">
        <f>'Balin-A'!H93+'Sinta-A'!H93+'Kumai-A'!H93+'Lokal-A'!H93</f>
        <v>0</v>
      </c>
      <c r="I93" s="183">
        <f>'Balin-A'!I93+'Sinta-A'!I93+'Kumai-A'!I93+'Lokal-A'!I93</f>
        <v>0</v>
      </c>
      <c r="J93" s="185">
        <f t="shared" si="2"/>
        <v>0</v>
      </c>
      <c r="K93" s="183">
        <f t="shared" si="3"/>
        <v>0</v>
      </c>
      <c r="L93" s="183">
        <f t="shared" si="4"/>
        <v>0</v>
      </c>
      <c r="M93" s="183">
        <f t="shared" si="5"/>
        <v>0</v>
      </c>
      <c r="N93" s="183">
        <f>'Balin-A'!N93+'Sinta-A'!N93+'Kumai-A'!N93+'Lokal-A'!N93</f>
        <v>0</v>
      </c>
      <c r="O93" s="183">
        <f>'Balin-A'!O93+'Sinta-A'!O93+'Kumai-A'!O93+'Lokal-A'!O93</f>
        <v>0</v>
      </c>
      <c r="P93" s="183">
        <f>'Balin-A'!P93+'Sinta-A'!P93+'Kumai-A'!P93+'Lokal-A'!P93</f>
        <v>0</v>
      </c>
      <c r="Q93" s="183">
        <f>'Balin-A'!Q93+'Sinta-A'!Q93+'Kumai-A'!Q93+'Lokal-A'!Q93</f>
        <v>0</v>
      </c>
      <c r="R93" s="183">
        <f t="shared" si="6"/>
        <v>0</v>
      </c>
      <c r="S93" s="183">
        <f t="shared" si="7"/>
        <v>0</v>
      </c>
      <c r="T93" s="183">
        <f t="shared" si="8"/>
        <v>0</v>
      </c>
      <c r="U93" s="186"/>
    </row>
    <row r="94" ht="14.25" customHeight="1">
      <c r="A94" s="175"/>
      <c r="B94" s="208"/>
      <c r="C94" s="181"/>
      <c r="D94" s="209" t="s">
        <v>841</v>
      </c>
      <c r="E94" s="183">
        <f>'Balin-A'!E94+'Sinta-A'!E94+'Kumai-A'!E94+'Lokal-A'!E94</f>
        <v>0</v>
      </c>
      <c r="F94" s="183">
        <f>'Balin-A'!F94+'Sinta-A'!F94+'Kumai-A'!F94+'Lokal-A'!F94</f>
        <v>0</v>
      </c>
      <c r="G94" s="183">
        <f>'Balin-A'!G94+'Sinta-A'!G94+'Kumai-A'!G94+'Lokal-A'!G94</f>
        <v>0</v>
      </c>
      <c r="H94" s="183">
        <f>'Balin-A'!H94+'Sinta-A'!H94+'Kumai-A'!H94+'Lokal-A'!H94</f>
        <v>0</v>
      </c>
      <c r="I94" s="183">
        <f>'Balin-A'!I94+'Sinta-A'!I94+'Kumai-A'!I94+'Lokal-A'!I94</f>
        <v>0</v>
      </c>
      <c r="J94" s="185">
        <f t="shared" si="2"/>
        <v>0</v>
      </c>
      <c r="K94" s="183">
        <f t="shared" si="3"/>
        <v>0</v>
      </c>
      <c r="L94" s="183">
        <f t="shared" si="4"/>
        <v>0</v>
      </c>
      <c r="M94" s="183">
        <f t="shared" si="5"/>
        <v>0</v>
      </c>
      <c r="N94" s="183">
        <f>'Balin-A'!N94+'Sinta-A'!N94+'Kumai-A'!N94+'Lokal-A'!N94</f>
        <v>0</v>
      </c>
      <c r="O94" s="183">
        <f>'Balin-A'!O94+'Sinta-A'!O94+'Kumai-A'!O94+'Lokal-A'!O94</f>
        <v>0</v>
      </c>
      <c r="P94" s="183">
        <f>'Balin-A'!P94+'Sinta-A'!P94+'Kumai-A'!P94+'Lokal-A'!P94</f>
        <v>0</v>
      </c>
      <c r="Q94" s="183">
        <f>'Balin-A'!Q94+'Sinta-A'!Q94+'Kumai-A'!Q94+'Lokal-A'!Q94</f>
        <v>0</v>
      </c>
      <c r="R94" s="183">
        <f t="shared" si="6"/>
        <v>0</v>
      </c>
      <c r="S94" s="183">
        <f t="shared" si="7"/>
        <v>0</v>
      </c>
      <c r="T94" s="183">
        <f t="shared" si="8"/>
        <v>0</v>
      </c>
      <c r="U94" s="202"/>
    </row>
    <row r="95" ht="14.25" customHeight="1">
      <c r="A95" s="175"/>
      <c r="B95" s="208"/>
      <c r="C95" s="181"/>
      <c r="D95" s="209" t="s">
        <v>842</v>
      </c>
      <c r="E95" s="183">
        <f>'Balin-A'!E95+'Sinta-A'!E95+'Kumai-A'!E95+'Lokal-A'!E95</f>
        <v>0</v>
      </c>
      <c r="F95" s="183">
        <f>'Balin-A'!F95+'Sinta-A'!F95+'Kumai-A'!F95+'Lokal-A'!F95</f>
        <v>0</v>
      </c>
      <c r="G95" s="183">
        <f>'Balin-A'!G95+'Sinta-A'!G95+'Kumai-A'!G95+'Lokal-A'!G95</f>
        <v>0</v>
      </c>
      <c r="H95" s="183">
        <f>'Balin-A'!H95+'Sinta-A'!H95+'Kumai-A'!H95+'Lokal-A'!H95</f>
        <v>0</v>
      </c>
      <c r="I95" s="183">
        <f>'Balin-A'!I95+'Sinta-A'!I95+'Kumai-A'!I95+'Lokal-A'!I95</f>
        <v>0</v>
      </c>
      <c r="J95" s="185">
        <f t="shared" si="2"/>
        <v>0</v>
      </c>
      <c r="K95" s="183">
        <f t="shared" si="3"/>
        <v>0</v>
      </c>
      <c r="L95" s="183">
        <f t="shared" si="4"/>
        <v>0</v>
      </c>
      <c r="M95" s="183">
        <f t="shared" si="5"/>
        <v>0</v>
      </c>
      <c r="N95" s="183">
        <f>'Balin-A'!N95+'Sinta-A'!N95+'Kumai-A'!N95+'Lokal-A'!N95</f>
        <v>0</v>
      </c>
      <c r="O95" s="183">
        <f>'Balin-A'!O95+'Sinta-A'!O95+'Kumai-A'!O95+'Lokal-A'!O95</f>
        <v>0</v>
      </c>
      <c r="P95" s="183">
        <f>'Balin-A'!P95+'Sinta-A'!P95+'Kumai-A'!P95+'Lokal-A'!P95</f>
        <v>0</v>
      </c>
      <c r="Q95" s="183">
        <f>'Balin-A'!Q95+'Sinta-A'!Q95+'Kumai-A'!Q95+'Lokal-A'!Q95</f>
        <v>0</v>
      </c>
      <c r="R95" s="183">
        <f t="shared" si="6"/>
        <v>0</v>
      </c>
      <c r="S95" s="183">
        <f t="shared" si="7"/>
        <v>0</v>
      </c>
      <c r="T95" s="183">
        <f t="shared" si="8"/>
        <v>0</v>
      </c>
      <c r="U95" s="186"/>
    </row>
    <row r="96" ht="14.25" customHeight="1">
      <c r="A96" s="175"/>
      <c r="B96" s="211"/>
      <c r="C96" s="177"/>
      <c r="D96" s="182"/>
      <c r="E96" s="183">
        <f>'Balin-A'!E96+'Sinta-A'!E96+'Kumai-A'!E96+'Lokal-A'!E96</f>
        <v>0</v>
      </c>
      <c r="F96" s="183">
        <f>'Balin-A'!F96+'Sinta-A'!F96+'Kumai-A'!F96+'Lokal-A'!F96</f>
        <v>0</v>
      </c>
      <c r="G96" s="183">
        <f>'Balin-A'!G96+'Sinta-A'!G96+'Kumai-A'!G96+'Lokal-A'!G96</f>
        <v>0</v>
      </c>
      <c r="H96" s="183">
        <f>'Balin-A'!H96+'Sinta-A'!H96+'Kumai-A'!H96+'Lokal-A'!H96</f>
        <v>0</v>
      </c>
      <c r="I96" s="183">
        <f>'Balin-A'!I96+'Sinta-A'!I96+'Kumai-A'!I96+'Lokal-A'!I96</f>
        <v>0</v>
      </c>
      <c r="J96" s="185">
        <f t="shared" si="2"/>
        <v>0</v>
      </c>
      <c r="K96" s="183">
        <f t="shared" si="3"/>
        <v>0</v>
      </c>
      <c r="L96" s="183">
        <f t="shared" si="4"/>
        <v>0</v>
      </c>
      <c r="M96" s="183">
        <f t="shared" si="5"/>
        <v>0</v>
      </c>
      <c r="N96" s="183">
        <f>'Balin-A'!N96+'Sinta-A'!N96+'Kumai-A'!N96+'Lokal-A'!N96</f>
        <v>0</v>
      </c>
      <c r="O96" s="183">
        <f>'Balin-A'!O96+'Sinta-A'!O96+'Kumai-A'!O96+'Lokal-A'!O96</f>
        <v>0</v>
      </c>
      <c r="P96" s="183">
        <f>'Balin-A'!P96+'Sinta-A'!P96+'Kumai-A'!P96+'Lokal-A'!P96</f>
        <v>0</v>
      </c>
      <c r="Q96" s="183">
        <f>'Balin-A'!Q96+'Sinta-A'!Q96+'Kumai-A'!Q96+'Lokal-A'!Q96</f>
        <v>0</v>
      </c>
      <c r="R96" s="183">
        <f t="shared" si="6"/>
        <v>0</v>
      </c>
      <c r="S96" s="183">
        <f t="shared" si="7"/>
        <v>0</v>
      </c>
      <c r="T96" s="183">
        <f t="shared" si="8"/>
        <v>0</v>
      </c>
      <c r="U96" s="186"/>
    </row>
    <row r="97" ht="14.25" customHeight="1">
      <c r="A97" s="175"/>
      <c r="B97" s="212" t="s">
        <v>843</v>
      </c>
      <c r="C97" s="199"/>
      <c r="D97" s="200"/>
      <c r="E97" s="201">
        <f t="shared" ref="E97:I97" si="31">SUM(E92:E96)</f>
        <v>0</v>
      </c>
      <c r="F97" s="201">
        <f t="shared" si="31"/>
        <v>0</v>
      </c>
      <c r="G97" s="201">
        <f t="shared" si="31"/>
        <v>0</v>
      </c>
      <c r="H97" s="201">
        <f t="shared" si="31"/>
        <v>0</v>
      </c>
      <c r="I97" s="201">
        <f t="shared" si="31"/>
        <v>0</v>
      </c>
      <c r="J97" s="201">
        <f t="shared" si="2"/>
        <v>0</v>
      </c>
      <c r="K97" s="201">
        <f t="shared" si="3"/>
        <v>0</v>
      </c>
      <c r="L97" s="201">
        <f t="shared" si="4"/>
        <v>0</v>
      </c>
      <c r="M97" s="201">
        <f t="shared" si="5"/>
        <v>0</v>
      </c>
      <c r="N97" s="201">
        <f t="shared" ref="N97:Q97" si="32">SUM(N92:N96)</f>
        <v>0</v>
      </c>
      <c r="O97" s="201">
        <f t="shared" si="32"/>
        <v>0</v>
      </c>
      <c r="P97" s="201">
        <f t="shared" si="32"/>
        <v>0</v>
      </c>
      <c r="Q97" s="201">
        <f t="shared" si="32"/>
        <v>0</v>
      </c>
      <c r="R97" s="201">
        <f t="shared" si="6"/>
        <v>0</v>
      </c>
      <c r="S97" s="201">
        <f t="shared" si="7"/>
        <v>0</v>
      </c>
      <c r="T97" s="201">
        <f t="shared" si="8"/>
        <v>0</v>
      </c>
      <c r="U97" s="186"/>
    </row>
    <row r="98" ht="14.25" customHeight="1">
      <c r="A98" s="175"/>
      <c r="B98" s="208"/>
      <c r="C98" s="181"/>
      <c r="D98" s="209" t="s">
        <v>844</v>
      </c>
      <c r="E98" s="183">
        <f>'Balin-A'!E98+'Sinta-A'!E98+'Kumai-A'!E98+'Lokal-A'!E98</f>
        <v>0</v>
      </c>
      <c r="F98" s="183">
        <f>'Balin-A'!F98+'Sinta-A'!F98+'Kumai-A'!F98+'Lokal-A'!F98</f>
        <v>0</v>
      </c>
      <c r="G98" s="183">
        <f>'Balin-A'!G98+'Sinta-A'!G98+'Kumai-A'!G98+'Lokal-A'!G98</f>
        <v>0</v>
      </c>
      <c r="H98" s="183">
        <f>'Balin-A'!H98+'Sinta-A'!H98+'Kumai-A'!H98+'Lokal-A'!H98</f>
        <v>0</v>
      </c>
      <c r="I98" s="183">
        <f>'Balin-A'!I98+'Sinta-A'!I98+'Kumai-A'!I98+'Lokal-A'!I98</f>
        <v>0</v>
      </c>
      <c r="J98" s="185">
        <f t="shared" si="2"/>
        <v>0</v>
      </c>
      <c r="K98" s="183">
        <f t="shared" si="3"/>
        <v>0</v>
      </c>
      <c r="L98" s="183">
        <f t="shared" si="4"/>
        <v>0</v>
      </c>
      <c r="M98" s="183">
        <f t="shared" si="5"/>
        <v>0</v>
      </c>
      <c r="N98" s="183">
        <f>'Balin-A'!N98+'Sinta-A'!N98+'Kumai-A'!N98+'Lokal-A'!N98</f>
        <v>0</v>
      </c>
      <c r="O98" s="183">
        <f>'Balin-A'!O98+'Sinta-A'!O98+'Kumai-A'!O98+'Lokal-A'!O98</f>
        <v>0</v>
      </c>
      <c r="P98" s="183">
        <f>'Balin-A'!P98+'Sinta-A'!P98+'Kumai-A'!P98+'Lokal-A'!P98</f>
        <v>0</v>
      </c>
      <c r="Q98" s="183">
        <f>'Balin-A'!Q98+'Sinta-A'!Q98+'Kumai-A'!Q98+'Lokal-A'!Q98</f>
        <v>0</v>
      </c>
      <c r="R98" s="183">
        <f t="shared" si="6"/>
        <v>0</v>
      </c>
      <c r="S98" s="183">
        <f t="shared" si="7"/>
        <v>0</v>
      </c>
      <c r="T98" s="183">
        <f t="shared" si="8"/>
        <v>0</v>
      </c>
      <c r="U98" s="186"/>
    </row>
    <row r="99" ht="14.25" customHeight="1">
      <c r="A99" s="175"/>
      <c r="B99" s="208"/>
      <c r="C99" s="181"/>
      <c r="D99" s="209" t="s">
        <v>845</v>
      </c>
      <c r="E99" s="183">
        <f>'Balin-A'!E99+'Sinta-A'!E99+'Kumai-A'!E99+'Lokal-A'!E99</f>
        <v>0</v>
      </c>
      <c r="F99" s="183">
        <f>'Balin-A'!F99+'Sinta-A'!F99+'Kumai-A'!F99+'Lokal-A'!F99</f>
        <v>0</v>
      </c>
      <c r="G99" s="183">
        <f>'Balin-A'!G99+'Sinta-A'!G99+'Kumai-A'!G99+'Lokal-A'!G99</f>
        <v>0</v>
      </c>
      <c r="H99" s="183">
        <f>'Balin-A'!H99+'Sinta-A'!H99+'Kumai-A'!H99+'Lokal-A'!H99</f>
        <v>0</v>
      </c>
      <c r="I99" s="183">
        <f>'Balin-A'!I99+'Sinta-A'!I99+'Kumai-A'!I99+'Lokal-A'!I99</f>
        <v>0</v>
      </c>
      <c r="J99" s="185">
        <f t="shared" si="2"/>
        <v>0</v>
      </c>
      <c r="K99" s="183">
        <f t="shared" si="3"/>
        <v>0</v>
      </c>
      <c r="L99" s="183">
        <f t="shared" si="4"/>
        <v>0</v>
      </c>
      <c r="M99" s="183">
        <f t="shared" si="5"/>
        <v>0</v>
      </c>
      <c r="N99" s="183">
        <f>'Balin-A'!N99+'Sinta-A'!N99+'Kumai-A'!N99+'Lokal-A'!N99</f>
        <v>0</v>
      </c>
      <c r="O99" s="183">
        <f>'Balin-A'!O99+'Sinta-A'!O99+'Kumai-A'!O99+'Lokal-A'!O99</f>
        <v>0</v>
      </c>
      <c r="P99" s="183">
        <f>'Balin-A'!P99+'Sinta-A'!P99+'Kumai-A'!P99+'Lokal-A'!P99</f>
        <v>0</v>
      </c>
      <c r="Q99" s="183">
        <f>'Balin-A'!Q99+'Sinta-A'!Q99+'Kumai-A'!Q99+'Lokal-A'!Q99</f>
        <v>0</v>
      </c>
      <c r="R99" s="183">
        <f t="shared" si="6"/>
        <v>0</v>
      </c>
      <c r="S99" s="183">
        <f t="shared" si="7"/>
        <v>0</v>
      </c>
      <c r="T99" s="183">
        <f t="shared" si="8"/>
        <v>0</v>
      </c>
      <c r="U99" s="202"/>
    </row>
    <row r="100" ht="14.25" customHeight="1">
      <c r="A100" s="175"/>
      <c r="B100" s="212" t="s">
        <v>846</v>
      </c>
      <c r="C100" s="199"/>
      <c r="D100" s="200"/>
      <c r="E100" s="201">
        <f t="shared" ref="E100:I100" si="33">SUM(E98:E99)</f>
        <v>0</v>
      </c>
      <c r="F100" s="201">
        <f t="shared" si="33"/>
        <v>0</v>
      </c>
      <c r="G100" s="201">
        <f t="shared" si="33"/>
        <v>0</v>
      </c>
      <c r="H100" s="201">
        <f t="shared" si="33"/>
        <v>0</v>
      </c>
      <c r="I100" s="201">
        <f t="shared" si="33"/>
        <v>0</v>
      </c>
      <c r="J100" s="201">
        <f t="shared" si="2"/>
        <v>0</v>
      </c>
      <c r="K100" s="201">
        <f t="shared" si="3"/>
        <v>0</v>
      </c>
      <c r="L100" s="201">
        <f t="shared" si="4"/>
        <v>0</v>
      </c>
      <c r="M100" s="201">
        <f t="shared" si="5"/>
        <v>0</v>
      </c>
      <c r="N100" s="201">
        <f t="shared" ref="N100:Q100" si="34">SUM(N98:N99)</f>
        <v>0</v>
      </c>
      <c r="O100" s="201">
        <f t="shared" si="34"/>
        <v>0</v>
      </c>
      <c r="P100" s="201">
        <f t="shared" si="34"/>
        <v>0</v>
      </c>
      <c r="Q100" s="201">
        <f t="shared" si="34"/>
        <v>0</v>
      </c>
      <c r="R100" s="201">
        <f t="shared" si="6"/>
        <v>0</v>
      </c>
      <c r="S100" s="201">
        <f t="shared" si="7"/>
        <v>0</v>
      </c>
      <c r="T100" s="201">
        <f t="shared" si="8"/>
        <v>0</v>
      </c>
      <c r="U100" s="186"/>
    </row>
    <row r="101" ht="14.25" customHeight="1">
      <c r="A101" s="175"/>
      <c r="B101" s="208"/>
      <c r="C101" s="181"/>
      <c r="D101" s="209" t="s">
        <v>847</v>
      </c>
      <c r="E101" s="183">
        <f>'Balin-A'!E101+'Sinta-A'!E101+'Kumai-A'!E101+'Lokal-A'!E101</f>
        <v>0</v>
      </c>
      <c r="F101" s="183">
        <f>'Balin-A'!F101+'Sinta-A'!F101+'Kumai-A'!F101+'Lokal-A'!F101</f>
        <v>0</v>
      </c>
      <c r="G101" s="183">
        <f>'Balin-A'!G101+'Sinta-A'!G101+'Kumai-A'!G101+'Lokal-A'!G101</f>
        <v>0</v>
      </c>
      <c r="H101" s="183">
        <f>'Balin-A'!H101+'Sinta-A'!H101+'Kumai-A'!H101+'Lokal-A'!H101</f>
        <v>0</v>
      </c>
      <c r="I101" s="183">
        <f>'Balin-A'!I101+'Sinta-A'!I101+'Kumai-A'!I101+'Lokal-A'!I101</f>
        <v>0</v>
      </c>
      <c r="J101" s="185">
        <f t="shared" si="2"/>
        <v>0</v>
      </c>
      <c r="K101" s="183">
        <f t="shared" si="3"/>
        <v>0</v>
      </c>
      <c r="L101" s="183">
        <f t="shared" si="4"/>
        <v>0</v>
      </c>
      <c r="M101" s="183">
        <f t="shared" si="5"/>
        <v>0</v>
      </c>
      <c r="N101" s="183">
        <f>'Balin-A'!N101+'Sinta-A'!N101+'Kumai-A'!N101+'Lokal-A'!N101</f>
        <v>0</v>
      </c>
      <c r="O101" s="183">
        <f>'Balin-A'!O101+'Sinta-A'!O101+'Kumai-A'!O101+'Lokal-A'!O101</f>
        <v>0</v>
      </c>
      <c r="P101" s="183">
        <f>'Balin-A'!P101+'Sinta-A'!P101+'Kumai-A'!P101+'Lokal-A'!P101</f>
        <v>0</v>
      </c>
      <c r="Q101" s="183">
        <f>'Balin-A'!Q101+'Sinta-A'!Q101+'Kumai-A'!Q101+'Lokal-A'!Q101</f>
        <v>0</v>
      </c>
      <c r="R101" s="183">
        <f t="shared" si="6"/>
        <v>0</v>
      </c>
      <c r="S101" s="183">
        <f t="shared" si="7"/>
        <v>0</v>
      </c>
      <c r="T101" s="183">
        <f t="shared" si="8"/>
        <v>0</v>
      </c>
      <c r="U101" s="186"/>
    </row>
    <row r="102" ht="14.25" customHeight="1">
      <c r="A102" s="175"/>
      <c r="B102" s="208"/>
      <c r="C102" s="181"/>
      <c r="D102" s="209" t="s">
        <v>848</v>
      </c>
      <c r="E102" s="183">
        <f>'Balin-A'!E102+'Sinta-A'!E102+'Kumai-A'!E102+'Lokal-A'!E102</f>
        <v>0</v>
      </c>
      <c r="F102" s="183">
        <f>'Balin-A'!F102+'Sinta-A'!F102+'Kumai-A'!F102+'Lokal-A'!F102</f>
        <v>0</v>
      </c>
      <c r="G102" s="183">
        <f>'Balin-A'!G102+'Sinta-A'!G102+'Kumai-A'!G102+'Lokal-A'!G102</f>
        <v>0</v>
      </c>
      <c r="H102" s="183">
        <f>'Balin-A'!H102+'Sinta-A'!H102+'Kumai-A'!H102+'Lokal-A'!H102</f>
        <v>0</v>
      </c>
      <c r="I102" s="183">
        <f>'Balin-A'!I102+'Sinta-A'!I102+'Kumai-A'!I102+'Lokal-A'!I102</f>
        <v>0</v>
      </c>
      <c r="J102" s="185">
        <f t="shared" si="2"/>
        <v>0</v>
      </c>
      <c r="K102" s="183">
        <f t="shared" si="3"/>
        <v>0</v>
      </c>
      <c r="L102" s="183">
        <f t="shared" si="4"/>
        <v>0</v>
      </c>
      <c r="M102" s="183">
        <f t="shared" si="5"/>
        <v>0</v>
      </c>
      <c r="N102" s="183">
        <f>'Balin-A'!N102+'Sinta-A'!N102+'Kumai-A'!N102+'Lokal-A'!N102</f>
        <v>0</v>
      </c>
      <c r="O102" s="183">
        <f>'Balin-A'!O102+'Sinta-A'!O102+'Kumai-A'!O102+'Lokal-A'!O102</f>
        <v>0</v>
      </c>
      <c r="P102" s="183">
        <f>'Balin-A'!P102+'Sinta-A'!P102+'Kumai-A'!P102+'Lokal-A'!P102</f>
        <v>0</v>
      </c>
      <c r="Q102" s="183">
        <f>'Balin-A'!Q102+'Sinta-A'!Q102+'Kumai-A'!Q102+'Lokal-A'!Q102</f>
        <v>0</v>
      </c>
      <c r="R102" s="183">
        <f t="shared" si="6"/>
        <v>0</v>
      </c>
      <c r="S102" s="183">
        <f t="shared" si="7"/>
        <v>0</v>
      </c>
      <c r="T102" s="183">
        <f t="shared" si="8"/>
        <v>0</v>
      </c>
      <c r="U102" s="186"/>
    </row>
    <row r="103" ht="14.25" customHeight="1">
      <c r="A103" s="175"/>
      <c r="B103" s="212" t="s">
        <v>849</v>
      </c>
      <c r="C103" s="199"/>
      <c r="D103" s="200"/>
      <c r="E103" s="201">
        <f t="shared" ref="E103:I103" si="35">SUM(E101:E102)</f>
        <v>0</v>
      </c>
      <c r="F103" s="201">
        <f t="shared" si="35"/>
        <v>0</v>
      </c>
      <c r="G103" s="201">
        <f t="shared" si="35"/>
        <v>0</v>
      </c>
      <c r="H103" s="201">
        <f t="shared" si="35"/>
        <v>0</v>
      </c>
      <c r="I103" s="201">
        <f t="shared" si="35"/>
        <v>0</v>
      </c>
      <c r="J103" s="201">
        <f t="shared" si="2"/>
        <v>0</v>
      </c>
      <c r="K103" s="201">
        <f t="shared" si="3"/>
        <v>0</v>
      </c>
      <c r="L103" s="201">
        <f t="shared" si="4"/>
        <v>0</v>
      </c>
      <c r="M103" s="201">
        <f t="shared" si="5"/>
        <v>0</v>
      </c>
      <c r="N103" s="201">
        <f t="shared" ref="N103:Q103" si="36">SUM(N101:N102)</f>
        <v>0</v>
      </c>
      <c r="O103" s="201">
        <f t="shared" si="36"/>
        <v>0</v>
      </c>
      <c r="P103" s="201">
        <f t="shared" si="36"/>
        <v>0</v>
      </c>
      <c r="Q103" s="201">
        <f t="shared" si="36"/>
        <v>0</v>
      </c>
      <c r="R103" s="201">
        <f t="shared" si="6"/>
        <v>0</v>
      </c>
      <c r="S103" s="201">
        <f t="shared" si="7"/>
        <v>0</v>
      </c>
      <c r="T103" s="201">
        <f t="shared" si="8"/>
        <v>0</v>
      </c>
      <c r="U103" s="186"/>
    </row>
    <row r="104" ht="14.25" customHeight="1">
      <c r="A104" s="175"/>
      <c r="B104" s="208"/>
      <c r="C104" s="181"/>
      <c r="D104" s="209" t="s">
        <v>850</v>
      </c>
      <c r="E104" s="183">
        <f>'Balin-A'!E104+'Sinta-A'!E104+'Kumai-A'!E104+'Lokal-A'!E104</f>
        <v>0</v>
      </c>
      <c r="F104" s="183">
        <f>'Balin-A'!F104+'Sinta-A'!F104+'Kumai-A'!F104+'Lokal-A'!F104</f>
        <v>0</v>
      </c>
      <c r="G104" s="183">
        <f>'Balin-A'!G104+'Sinta-A'!G104+'Kumai-A'!G104+'Lokal-A'!G104</f>
        <v>0</v>
      </c>
      <c r="H104" s="183">
        <f>'Balin-A'!H104+'Sinta-A'!H104+'Kumai-A'!H104+'Lokal-A'!H104</f>
        <v>0</v>
      </c>
      <c r="I104" s="183">
        <f>'Balin-A'!I104+'Sinta-A'!I104+'Kumai-A'!I104+'Lokal-A'!I104</f>
        <v>0</v>
      </c>
      <c r="J104" s="185">
        <f t="shared" si="2"/>
        <v>0</v>
      </c>
      <c r="K104" s="183">
        <f t="shared" si="3"/>
        <v>0</v>
      </c>
      <c r="L104" s="183">
        <f t="shared" si="4"/>
        <v>0</v>
      </c>
      <c r="M104" s="183">
        <f t="shared" si="5"/>
        <v>0</v>
      </c>
      <c r="N104" s="183">
        <f>'Balin-A'!N104+'Sinta-A'!N104+'Kumai-A'!N104+'Lokal-A'!N104</f>
        <v>0</v>
      </c>
      <c r="O104" s="183">
        <f>'Balin-A'!O104+'Sinta-A'!O104+'Kumai-A'!O104+'Lokal-A'!O104</f>
        <v>0</v>
      </c>
      <c r="P104" s="183">
        <f>'Balin-A'!P104+'Sinta-A'!P104+'Kumai-A'!P104+'Lokal-A'!P104</f>
        <v>0</v>
      </c>
      <c r="Q104" s="183">
        <f>'Balin-A'!Q104+'Sinta-A'!Q104+'Kumai-A'!Q104+'Lokal-A'!Q104</f>
        <v>0</v>
      </c>
      <c r="R104" s="183">
        <f t="shared" si="6"/>
        <v>0</v>
      </c>
      <c r="S104" s="183">
        <f t="shared" si="7"/>
        <v>0</v>
      </c>
      <c r="T104" s="183">
        <f t="shared" si="8"/>
        <v>0</v>
      </c>
      <c r="U104" s="186"/>
    </row>
    <row r="105" ht="14.25" customHeight="1">
      <c r="A105" s="175"/>
      <c r="B105" s="208"/>
      <c r="C105" s="181"/>
      <c r="D105" s="209"/>
      <c r="E105" s="183">
        <f>'Balin-A'!E105+'Sinta-A'!E105+'Kumai-A'!E105+'Lokal-A'!E105</f>
        <v>0</v>
      </c>
      <c r="F105" s="183">
        <f>'Balin-A'!F105+'Sinta-A'!F105+'Kumai-A'!F105+'Lokal-A'!F105</f>
        <v>0</v>
      </c>
      <c r="G105" s="183">
        <f>'Balin-A'!G105+'Sinta-A'!G105+'Kumai-A'!G105+'Lokal-A'!G105</f>
        <v>0</v>
      </c>
      <c r="H105" s="183">
        <f>'Balin-A'!H105+'Sinta-A'!H105+'Kumai-A'!H105+'Lokal-A'!H105</f>
        <v>0</v>
      </c>
      <c r="I105" s="183">
        <f>'Balin-A'!I105+'Sinta-A'!I105+'Kumai-A'!I105+'Lokal-A'!I105</f>
        <v>0</v>
      </c>
      <c r="J105" s="185">
        <f t="shared" si="2"/>
        <v>0</v>
      </c>
      <c r="K105" s="183">
        <f t="shared" si="3"/>
        <v>0</v>
      </c>
      <c r="L105" s="183">
        <f t="shared" si="4"/>
        <v>0</v>
      </c>
      <c r="M105" s="183">
        <f t="shared" si="5"/>
        <v>0</v>
      </c>
      <c r="N105" s="183">
        <f>'Balin-A'!N105+'Sinta-A'!N105+'Kumai-A'!N105+'Lokal-A'!N105</f>
        <v>0</v>
      </c>
      <c r="O105" s="183">
        <f>'Balin-A'!O105+'Sinta-A'!O105+'Kumai-A'!O105+'Lokal-A'!O105</f>
        <v>0</v>
      </c>
      <c r="P105" s="183">
        <f>'Balin-A'!P105+'Sinta-A'!P105+'Kumai-A'!P105+'Lokal-A'!P105</f>
        <v>0</v>
      </c>
      <c r="Q105" s="183">
        <f>'Balin-A'!Q105+'Sinta-A'!Q105+'Kumai-A'!Q105+'Lokal-A'!Q105</f>
        <v>0</v>
      </c>
      <c r="R105" s="183">
        <f t="shared" si="6"/>
        <v>0</v>
      </c>
      <c r="S105" s="183">
        <f t="shared" si="7"/>
        <v>0</v>
      </c>
      <c r="T105" s="183">
        <f t="shared" si="8"/>
        <v>0</v>
      </c>
      <c r="U105" s="202"/>
    </row>
    <row r="106" ht="14.25" customHeight="1">
      <c r="A106" s="175"/>
      <c r="B106" s="212" t="s">
        <v>851</v>
      </c>
      <c r="C106" s="199"/>
      <c r="D106" s="200"/>
      <c r="E106" s="201">
        <f t="shared" ref="E106:I106" si="37">SUM(E104:E105)</f>
        <v>0</v>
      </c>
      <c r="F106" s="201">
        <f t="shared" si="37"/>
        <v>0</v>
      </c>
      <c r="G106" s="201">
        <f t="shared" si="37"/>
        <v>0</v>
      </c>
      <c r="H106" s="201">
        <f t="shared" si="37"/>
        <v>0</v>
      </c>
      <c r="I106" s="201">
        <f t="shared" si="37"/>
        <v>0</v>
      </c>
      <c r="J106" s="201">
        <f t="shared" si="2"/>
        <v>0</v>
      </c>
      <c r="K106" s="201">
        <f t="shared" si="3"/>
        <v>0</v>
      </c>
      <c r="L106" s="201">
        <f t="shared" si="4"/>
        <v>0</v>
      </c>
      <c r="M106" s="201">
        <f t="shared" si="5"/>
        <v>0</v>
      </c>
      <c r="N106" s="201">
        <f t="shared" ref="N106:Q106" si="38">SUM(N104:N105)</f>
        <v>0</v>
      </c>
      <c r="O106" s="201">
        <f t="shared" si="38"/>
        <v>0</v>
      </c>
      <c r="P106" s="201">
        <f t="shared" si="38"/>
        <v>0</v>
      </c>
      <c r="Q106" s="201">
        <f t="shared" si="38"/>
        <v>0</v>
      </c>
      <c r="R106" s="201">
        <f t="shared" si="6"/>
        <v>0</v>
      </c>
      <c r="S106" s="201">
        <f t="shared" si="7"/>
        <v>0</v>
      </c>
      <c r="T106" s="201">
        <f t="shared" si="8"/>
        <v>0</v>
      </c>
      <c r="U106" s="186"/>
    </row>
    <row r="107" ht="14.25" customHeight="1">
      <c r="A107" s="175"/>
      <c r="B107" s="208"/>
      <c r="C107" s="181"/>
      <c r="D107" s="209" t="s">
        <v>852</v>
      </c>
      <c r="E107" s="183">
        <f>'Balin-A'!E107+'Sinta-A'!E107+'Kumai-A'!E107+'Lokal-A'!E107</f>
        <v>0</v>
      </c>
      <c r="F107" s="183">
        <f>'Balin-A'!F107+'Sinta-A'!F107+'Kumai-A'!F107+'Lokal-A'!F107</f>
        <v>0</v>
      </c>
      <c r="G107" s="183">
        <f>'Balin-A'!G107+'Sinta-A'!G107+'Kumai-A'!G107+'Lokal-A'!G107</f>
        <v>0</v>
      </c>
      <c r="H107" s="183">
        <f>'Balin-A'!H107+'Sinta-A'!H107+'Kumai-A'!H107+'Lokal-A'!H107</f>
        <v>0</v>
      </c>
      <c r="I107" s="183">
        <f>'Balin-A'!I107+'Sinta-A'!I107+'Kumai-A'!I107+'Lokal-A'!I107</f>
        <v>0</v>
      </c>
      <c r="J107" s="185">
        <f t="shared" si="2"/>
        <v>0</v>
      </c>
      <c r="K107" s="183">
        <f t="shared" si="3"/>
        <v>0</v>
      </c>
      <c r="L107" s="183">
        <f t="shared" si="4"/>
        <v>0</v>
      </c>
      <c r="M107" s="183">
        <f t="shared" si="5"/>
        <v>0</v>
      </c>
      <c r="N107" s="183">
        <f>'Balin-A'!N107+'Sinta-A'!N107+'Kumai-A'!N107+'Lokal-A'!N107</f>
        <v>0</v>
      </c>
      <c r="O107" s="183">
        <f>'Balin-A'!O107+'Sinta-A'!O107+'Kumai-A'!O107+'Lokal-A'!O107</f>
        <v>0</v>
      </c>
      <c r="P107" s="183">
        <f>'Balin-A'!P107+'Sinta-A'!P107+'Kumai-A'!P107+'Lokal-A'!P107</f>
        <v>0</v>
      </c>
      <c r="Q107" s="183">
        <f>'Balin-A'!Q107+'Sinta-A'!Q107+'Kumai-A'!Q107+'Lokal-A'!Q107</f>
        <v>0</v>
      </c>
      <c r="R107" s="183">
        <f t="shared" si="6"/>
        <v>0</v>
      </c>
      <c r="S107" s="183">
        <f t="shared" si="7"/>
        <v>0</v>
      </c>
      <c r="T107" s="183">
        <f t="shared" si="8"/>
        <v>0</v>
      </c>
      <c r="U107" s="186"/>
    </row>
    <row r="108" ht="14.25" customHeight="1">
      <c r="A108" s="175"/>
      <c r="B108" s="208"/>
      <c r="C108" s="181"/>
      <c r="D108" s="209"/>
      <c r="E108" s="183">
        <f>'Balin-A'!E108+'Sinta-A'!E108+'Kumai-A'!E108+'Lokal-A'!E108</f>
        <v>0</v>
      </c>
      <c r="F108" s="183">
        <f>'Balin-A'!F108+'Sinta-A'!F108+'Kumai-A'!F108+'Lokal-A'!F108</f>
        <v>0</v>
      </c>
      <c r="G108" s="183">
        <f>'Balin-A'!G108+'Sinta-A'!G108+'Kumai-A'!G108+'Lokal-A'!G108</f>
        <v>0</v>
      </c>
      <c r="H108" s="183">
        <f>'Balin-A'!H108+'Sinta-A'!H108+'Kumai-A'!H108+'Lokal-A'!H108</f>
        <v>0</v>
      </c>
      <c r="I108" s="183">
        <f>'Balin-A'!I108+'Sinta-A'!I108+'Kumai-A'!I108+'Lokal-A'!I108</f>
        <v>0</v>
      </c>
      <c r="J108" s="185">
        <f t="shared" si="2"/>
        <v>0</v>
      </c>
      <c r="K108" s="183">
        <f t="shared" si="3"/>
        <v>0</v>
      </c>
      <c r="L108" s="183">
        <f t="shared" si="4"/>
        <v>0</v>
      </c>
      <c r="M108" s="183">
        <f t="shared" si="5"/>
        <v>0</v>
      </c>
      <c r="N108" s="183">
        <f>'Balin-A'!N108+'Sinta-A'!N108+'Kumai-A'!N108+'Lokal-A'!N108</f>
        <v>0</v>
      </c>
      <c r="O108" s="183">
        <f>'Balin-A'!O108+'Sinta-A'!O108+'Kumai-A'!O108+'Lokal-A'!O108</f>
        <v>0</v>
      </c>
      <c r="P108" s="183">
        <f>'Balin-A'!P108+'Sinta-A'!P108+'Kumai-A'!P108+'Lokal-A'!P108</f>
        <v>0</v>
      </c>
      <c r="Q108" s="183">
        <f>'Balin-A'!Q108+'Sinta-A'!Q108+'Kumai-A'!Q108+'Lokal-A'!Q108</f>
        <v>0</v>
      </c>
      <c r="R108" s="183">
        <f t="shared" si="6"/>
        <v>0</v>
      </c>
      <c r="S108" s="183">
        <f t="shared" si="7"/>
        <v>0</v>
      </c>
      <c r="T108" s="183">
        <f t="shared" si="8"/>
        <v>0</v>
      </c>
      <c r="U108" s="202"/>
    </row>
    <row r="109" ht="14.25" customHeight="1">
      <c r="A109" s="175"/>
      <c r="B109" s="212" t="s">
        <v>853</v>
      </c>
      <c r="C109" s="199"/>
      <c r="D109" s="200"/>
      <c r="E109" s="201">
        <f t="shared" ref="E109:I109" si="39">SUM(E107:E108)</f>
        <v>0</v>
      </c>
      <c r="F109" s="201">
        <f t="shared" si="39"/>
        <v>0</v>
      </c>
      <c r="G109" s="201">
        <f t="shared" si="39"/>
        <v>0</v>
      </c>
      <c r="H109" s="201">
        <f t="shared" si="39"/>
        <v>0</v>
      </c>
      <c r="I109" s="201">
        <f t="shared" si="39"/>
        <v>0</v>
      </c>
      <c r="J109" s="201">
        <f t="shared" si="2"/>
        <v>0</v>
      </c>
      <c r="K109" s="201">
        <f t="shared" si="3"/>
        <v>0</v>
      </c>
      <c r="L109" s="201">
        <f t="shared" si="4"/>
        <v>0</v>
      </c>
      <c r="M109" s="201">
        <f t="shared" si="5"/>
        <v>0</v>
      </c>
      <c r="N109" s="201">
        <f t="shared" ref="N109:Q109" si="40">SUM(N107:N108)</f>
        <v>0</v>
      </c>
      <c r="O109" s="201">
        <f t="shared" si="40"/>
        <v>0</v>
      </c>
      <c r="P109" s="201">
        <f t="shared" si="40"/>
        <v>0</v>
      </c>
      <c r="Q109" s="201">
        <f t="shared" si="40"/>
        <v>0</v>
      </c>
      <c r="R109" s="201">
        <f t="shared" si="6"/>
        <v>0</v>
      </c>
      <c r="S109" s="201">
        <f t="shared" si="7"/>
        <v>0</v>
      </c>
      <c r="T109" s="201">
        <f t="shared" si="8"/>
        <v>0</v>
      </c>
      <c r="U109" s="202"/>
    </row>
    <row r="110" ht="14.25" customHeight="1">
      <c r="A110" s="175"/>
      <c r="B110" s="208"/>
      <c r="C110" s="181"/>
      <c r="D110" s="209" t="s">
        <v>854</v>
      </c>
      <c r="E110" s="183">
        <f>'Balin-A'!E110+'Sinta-A'!E110+'Kumai-A'!E110+'Lokal-A'!E110</f>
        <v>0</v>
      </c>
      <c r="F110" s="183">
        <f>'Balin-A'!F110+'Sinta-A'!F110+'Kumai-A'!F110+'Lokal-A'!F110</f>
        <v>0</v>
      </c>
      <c r="G110" s="183">
        <f>'Balin-A'!G110+'Sinta-A'!G110+'Kumai-A'!G110+'Lokal-A'!G110</f>
        <v>0</v>
      </c>
      <c r="H110" s="183">
        <f>'Balin-A'!H110+'Sinta-A'!H110+'Kumai-A'!H110+'Lokal-A'!H110</f>
        <v>0</v>
      </c>
      <c r="I110" s="183">
        <f>'Balin-A'!I110+'Sinta-A'!I110+'Kumai-A'!I110+'Lokal-A'!I110</f>
        <v>0</v>
      </c>
      <c r="J110" s="185">
        <f t="shared" si="2"/>
        <v>0</v>
      </c>
      <c r="K110" s="183">
        <f t="shared" si="3"/>
        <v>0</v>
      </c>
      <c r="L110" s="183">
        <f t="shared" si="4"/>
        <v>0</v>
      </c>
      <c r="M110" s="183">
        <f t="shared" si="5"/>
        <v>0</v>
      </c>
      <c r="N110" s="183">
        <f>'Balin-A'!N110+'Sinta-A'!N110+'Kumai-A'!N110+'Lokal-A'!N110</f>
        <v>0</v>
      </c>
      <c r="O110" s="183">
        <f>'Balin-A'!O110+'Sinta-A'!O110+'Kumai-A'!O110+'Lokal-A'!O110</f>
        <v>0</v>
      </c>
      <c r="P110" s="183">
        <f>'Balin-A'!P110+'Sinta-A'!P110+'Kumai-A'!P110+'Lokal-A'!P110</f>
        <v>0</v>
      </c>
      <c r="Q110" s="183">
        <f>'Balin-A'!Q110+'Sinta-A'!Q110+'Kumai-A'!Q110+'Lokal-A'!Q110</f>
        <v>0</v>
      </c>
      <c r="R110" s="183">
        <f t="shared" si="6"/>
        <v>0</v>
      </c>
      <c r="S110" s="183">
        <f t="shared" si="7"/>
        <v>0</v>
      </c>
      <c r="T110" s="183">
        <f t="shared" si="8"/>
        <v>0</v>
      </c>
      <c r="U110" s="186"/>
    </row>
    <row r="111" ht="14.25" customHeight="1">
      <c r="A111" s="175"/>
      <c r="B111" s="208"/>
      <c r="C111" s="181"/>
      <c r="D111" s="209"/>
      <c r="E111" s="183">
        <f>'Balin-A'!E111+'Sinta-A'!E111+'Kumai-A'!E111+'Lokal-A'!E111</f>
        <v>0</v>
      </c>
      <c r="F111" s="183">
        <f>'Balin-A'!F111+'Sinta-A'!F111+'Kumai-A'!F111+'Lokal-A'!F111</f>
        <v>0</v>
      </c>
      <c r="G111" s="183">
        <f>'Balin-A'!G111+'Sinta-A'!G111+'Kumai-A'!G111+'Lokal-A'!G111</f>
        <v>0</v>
      </c>
      <c r="H111" s="183">
        <f>'Balin-A'!H111+'Sinta-A'!H111+'Kumai-A'!H111+'Lokal-A'!H111</f>
        <v>0</v>
      </c>
      <c r="I111" s="183">
        <f>'Balin-A'!I111+'Sinta-A'!I111+'Kumai-A'!I111+'Lokal-A'!I111</f>
        <v>0</v>
      </c>
      <c r="J111" s="185">
        <f t="shared" si="2"/>
        <v>0</v>
      </c>
      <c r="K111" s="183">
        <f t="shared" si="3"/>
        <v>0</v>
      </c>
      <c r="L111" s="183">
        <f t="shared" si="4"/>
        <v>0</v>
      </c>
      <c r="M111" s="183">
        <f t="shared" si="5"/>
        <v>0</v>
      </c>
      <c r="N111" s="183">
        <f>'Balin-A'!N111+'Sinta-A'!N111+'Kumai-A'!N111+'Lokal-A'!N111</f>
        <v>0</v>
      </c>
      <c r="O111" s="183">
        <f>'Balin-A'!O111+'Sinta-A'!O111+'Kumai-A'!O111+'Lokal-A'!O111</f>
        <v>0</v>
      </c>
      <c r="P111" s="183">
        <f>'Balin-A'!P111+'Sinta-A'!P111+'Kumai-A'!P111+'Lokal-A'!P111</f>
        <v>0</v>
      </c>
      <c r="Q111" s="183">
        <f>'Balin-A'!Q111+'Sinta-A'!Q111+'Kumai-A'!Q111+'Lokal-A'!Q111</f>
        <v>0</v>
      </c>
      <c r="R111" s="183">
        <f t="shared" si="6"/>
        <v>0</v>
      </c>
      <c r="S111" s="183">
        <f t="shared" si="7"/>
        <v>0</v>
      </c>
      <c r="T111" s="183">
        <f t="shared" si="8"/>
        <v>0</v>
      </c>
      <c r="U111" s="186"/>
    </row>
    <row r="112" ht="14.25" customHeight="1">
      <c r="A112" s="175"/>
      <c r="B112" s="212" t="s">
        <v>855</v>
      </c>
      <c r="C112" s="199"/>
      <c r="D112" s="200"/>
      <c r="E112" s="201">
        <f t="shared" ref="E112:I112" si="41">SUM(E110:E111)</f>
        <v>0</v>
      </c>
      <c r="F112" s="201">
        <f t="shared" si="41"/>
        <v>0</v>
      </c>
      <c r="G112" s="201">
        <f t="shared" si="41"/>
        <v>0</v>
      </c>
      <c r="H112" s="201">
        <f t="shared" si="41"/>
        <v>0</v>
      </c>
      <c r="I112" s="201">
        <f t="shared" si="41"/>
        <v>0</v>
      </c>
      <c r="J112" s="201">
        <f t="shared" si="2"/>
        <v>0</v>
      </c>
      <c r="K112" s="201">
        <f t="shared" si="3"/>
        <v>0</v>
      </c>
      <c r="L112" s="201">
        <f t="shared" si="4"/>
        <v>0</v>
      </c>
      <c r="M112" s="201">
        <f t="shared" si="5"/>
        <v>0</v>
      </c>
      <c r="N112" s="201">
        <f t="shared" ref="N112:Q112" si="42">SUM(N110:N111)</f>
        <v>0</v>
      </c>
      <c r="O112" s="201">
        <f t="shared" si="42"/>
        <v>0</v>
      </c>
      <c r="P112" s="201">
        <f t="shared" si="42"/>
        <v>0</v>
      </c>
      <c r="Q112" s="201">
        <f t="shared" si="42"/>
        <v>0</v>
      </c>
      <c r="R112" s="201">
        <f t="shared" si="6"/>
        <v>0</v>
      </c>
      <c r="S112" s="201">
        <f t="shared" si="7"/>
        <v>0</v>
      </c>
      <c r="T112" s="201">
        <f t="shared" si="8"/>
        <v>0</v>
      </c>
      <c r="U112" s="186"/>
    </row>
    <row r="113" ht="14.25" customHeight="1">
      <c r="A113" s="175"/>
      <c r="B113" s="208"/>
      <c r="C113" s="181"/>
      <c r="D113" s="209" t="s">
        <v>856</v>
      </c>
      <c r="E113" s="183">
        <f>'Balin-A'!E113+'Sinta-A'!E113+'Kumai-A'!E113+'Lokal-A'!E113</f>
        <v>0</v>
      </c>
      <c r="F113" s="183">
        <f>'Balin-A'!F113+'Sinta-A'!F113+'Kumai-A'!F113+'Lokal-A'!F113</f>
        <v>0</v>
      </c>
      <c r="G113" s="183">
        <f>'Balin-A'!G113+'Sinta-A'!G113+'Kumai-A'!G113+'Lokal-A'!G113</f>
        <v>0</v>
      </c>
      <c r="H113" s="183">
        <f>'Balin-A'!H113+'Sinta-A'!H113+'Kumai-A'!H113+'Lokal-A'!H113</f>
        <v>0</v>
      </c>
      <c r="I113" s="183">
        <f>'Balin-A'!I113+'Sinta-A'!I113+'Kumai-A'!I113+'Lokal-A'!I113</f>
        <v>0</v>
      </c>
      <c r="J113" s="185">
        <f t="shared" si="2"/>
        <v>0</v>
      </c>
      <c r="K113" s="183">
        <f t="shared" si="3"/>
        <v>0</v>
      </c>
      <c r="L113" s="183">
        <f t="shared" si="4"/>
        <v>0</v>
      </c>
      <c r="M113" s="183">
        <f t="shared" si="5"/>
        <v>0</v>
      </c>
      <c r="N113" s="183">
        <f>'Balin-A'!N113+'Sinta-A'!N113+'Kumai-A'!N113+'Lokal-A'!N113</f>
        <v>0</v>
      </c>
      <c r="O113" s="183">
        <f>'Balin-A'!O113+'Sinta-A'!O113+'Kumai-A'!O113+'Lokal-A'!O113</f>
        <v>0</v>
      </c>
      <c r="P113" s="183">
        <f>'Balin-A'!P113+'Sinta-A'!P113+'Kumai-A'!P113+'Lokal-A'!P113</f>
        <v>0</v>
      </c>
      <c r="Q113" s="183">
        <f>'Balin-A'!Q113+'Sinta-A'!Q113+'Kumai-A'!Q113+'Lokal-A'!Q113</f>
        <v>0</v>
      </c>
      <c r="R113" s="183">
        <f t="shared" si="6"/>
        <v>0</v>
      </c>
      <c r="S113" s="183">
        <f t="shared" si="7"/>
        <v>0</v>
      </c>
      <c r="T113" s="183">
        <f t="shared" si="8"/>
        <v>0</v>
      </c>
      <c r="U113" s="186"/>
    </row>
    <row r="114" ht="14.25" customHeight="1">
      <c r="A114" s="175"/>
      <c r="B114" s="208"/>
      <c r="C114" s="181"/>
      <c r="D114" s="209" t="s">
        <v>857</v>
      </c>
      <c r="E114" s="183">
        <f>'Balin-A'!E114+'Sinta-A'!E114+'Kumai-A'!E114+'Lokal-A'!E114</f>
        <v>0</v>
      </c>
      <c r="F114" s="183">
        <f>'Balin-A'!F114+'Sinta-A'!F114+'Kumai-A'!F114+'Lokal-A'!F114</f>
        <v>0</v>
      </c>
      <c r="G114" s="183">
        <f>'Balin-A'!G114+'Sinta-A'!G114+'Kumai-A'!G114+'Lokal-A'!G114</f>
        <v>0</v>
      </c>
      <c r="H114" s="183">
        <f>'Balin-A'!H114+'Sinta-A'!H114+'Kumai-A'!H114+'Lokal-A'!H114</f>
        <v>0</v>
      </c>
      <c r="I114" s="183">
        <f>'Balin-A'!I114+'Sinta-A'!I114+'Kumai-A'!I114+'Lokal-A'!I114</f>
        <v>0</v>
      </c>
      <c r="J114" s="185">
        <f t="shared" si="2"/>
        <v>0</v>
      </c>
      <c r="K114" s="183">
        <f t="shared" si="3"/>
        <v>0</v>
      </c>
      <c r="L114" s="183">
        <f t="shared" si="4"/>
        <v>0</v>
      </c>
      <c r="M114" s="183">
        <f t="shared" si="5"/>
        <v>0</v>
      </c>
      <c r="N114" s="183">
        <f>'Balin-A'!N114+'Sinta-A'!N114+'Kumai-A'!N114+'Lokal-A'!N114</f>
        <v>0</v>
      </c>
      <c r="O114" s="183">
        <f>'Balin-A'!O114+'Sinta-A'!O114+'Kumai-A'!O114+'Lokal-A'!O114</f>
        <v>0</v>
      </c>
      <c r="P114" s="183">
        <f>'Balin-A'!P114+'Sinta-A'!P114+'Kumai-A'!P114+'Lokal-A'!P114</f>
        <v>0</v>
      </c>
      <c r="Q114" s="183">
        <f>'Balin-A'!Q114+'Sinta-A'!Q114+'Kumai-A'!Q114+'Lokal-A'!Q114</f>
        <v>0</v>
      </c>
      <c r="R114" s="183">
        <f t="shared" si="6"/>
        <v>0</v>
      </c>
      <c r="S114" s="183">
        <f t="shared" si="7"/>
        <v>0</v>
      </c>
      <c r="T114" s="183">
        <f t="shared" si="8"/>
        <v>0</v>
      </c>
      <c r="U114" s="186"/>
    </row>
    <row r="115" ht="14.25" customHeight="1">
      <c r="A115" s="175"/>
      <c r="B115" s="208"/>
      <c r="C115" s="181"/>
      <c r="D115" s="209" t="s">
        <v>858</v>
      </c>
      <c r="E115" s="183">
        <f>'Balin-A'!E115+'Sinta-A'!E115+'Kumai-A'!E115+'Lokal-A'!E115</f>
        <v>0</v>
      </c>
      <c r="F115" s="183">
        <f>'Balin-A'!F115+'Sinta-A'!F115+'Kumai-A'!F115+'Lokal-A'!F115</f>
        <v>0</v>
      </c>
      <c r="G115" s="183">
        <f>'Balin-A'!G115+'Sinta-A'!G115+'Kumai-A'!G115+'Lokal-A'!G115</f>
        <v>0</v>
      </c>
      <c r="H115" s="183">
        <f>'Balin-A'!H115+'Sinta-A'!H115+'Kumai-A'!H115+'Lokal-A'!H115</f>
        <v>0</v>
      </c>
      <c r="I115" s="183">
        <f>'Balin-A'!I115+'Sinta-A'!I115+'Kumai-A'!I115+'Lokal-A'!I115</f>
        <v>0</v>
      </c>
      <c r="J115" s="185">
        <f t="shared" si="2"/>
        <v>0</v>
      </c>
      <c r="K115" s="183">
        <f t="shared" si="3"/>
        <v>0</v>
      </c>
      <c r="L115" s="183">
        <f t="shared" si="4"/>
        <v>0</v>
      </c>
      <c r="M115" s="183">
        <f t="shared" si="5"/>
        <v>0</v>
      </c>
      <c r="N115" s="183">
        <f>'Balin-A'!N115+'Sinta-A'!N115+'Kumai-A'!N115+'Lokal-A'!N115</f>
        <v>0</v>
      </c>
      <c r="O115" s="183">
        <f>'Balin-A'!O115+'Sinta-A'!O115+'Kumai-A'!O115+'Lokal-A'!O115</f>
        <v>0</v>
      </c>
      <c r="P115" s="183">
        <f>'Balin-A'!P115+'Sinta-A'!P115+'Kumai-A'!P115+'Lokal-A'!P115</f>
        <v>0</v>
      </c>
      <c r="Q115" s="183">
        <f>'Balin-A'!Q115+'Sinta-A'!Q115+'Kumai-A'!Q115+'Lokal-A'!Q115</f>
        <v>0</v>
      </c>
      <c r="R115" s="183">
        <f t="shared" si="6"/>
        <v>0</v>
      </c>
      <c r="S115" s="183">
        <f t="shared" si="7"/>
        <v>0</v>
      </c>
      <c r="T115" s="183">
        <f t="shared" si="8"/>
        <v>0</v>
      </c>
      <c r="U115" s="186"/>
    </row>
    <row r="116" ht="14.25" customHeight="1">
      <c r="A116" s="175"/>
      <c r="B116" s="208"/>
      <c r="C116" s="181"/>
      <c r="D116" s="209" t="s">
        <v>859</v>
      </c>
      <c r="E116" s="183">
        <f>'Balin-A'!E116+'Sinta-A'!E116+'Kumai-A'!E116+'Lokal-A'!E116</f>
        <v>0</v>
      </c>
      <c r="F116" s="183">
        <f>'Balin-A'!F116+'Sinta-A'!F116+'Kumai-A'!F116+'Lokal-A'!F116</f>
        <v>0</v>
      </c>
      <c r="G116" s="183">
        <f>'Balin-A'!G116+'Sinta-A'!G116+'Kumai-A'!G116+'Lokal-A'!G116</f>
        <v>0</v>
      </c>
      <c r="H116" s="183">
        <f>'Balin-A'!H116+'Sinta-A'!H116+'Kumai-A'!H116+'Lokal-A'!H116</f>
        <v>0</v>
      </c>
      <c r="I116" s="183">
        <f>'Balin-A'!I116+'Sinta-A'!I116+'Kumai-A'!I116+'Lokal-A'!I116</f>
        <v>0</v>
      </c>
      <c r="J116" s="185">
        <f t="shared" si="2"/>
        <v>0</v>
      </c>
      <c r="K116" s="183">
        <f t="shared" si="3"/>
        <v>0</v>
      </c>
      <c r="L116" s="183">
        <f t="shared" si="4"/>
        <v>0</v>
      </c>
      <c r="M116" s="183">
        <f t="shared" si="5"/>
        <v>0</v>
      </c>
      <c r="N116" s="183">
        <f>'Balin-A'!N116+'Sinta-A'!N116+'Kumai-A'!N116+'Lokal-A'!N116</f>
        <v>0</v>
      </c>
      <c r="O116" s="183">
        <f>'Balin-A'!O116+'Sinta-A'!O116+'Kumai-A'!O116+'Lokal-A'!O116</f>
        <v>0</v>
      </c>
      <c r="P116" s="183">
        <f>'Balin-A'!P116+'Sinta-A'!P116+'Kumai-A'!P116+'Lokal-A'!P116</f>
        <v>0</v>
      </c>
      <c r="Q116" s="183">
        <f>'Balin-A'!Q116+'Sinta-A'!Q116+'Kumai-A'!Q116+'Lokal-A'!Q116</f>
        <v>0</v>
      </c>
      <c r="R116" s="183">
        <f t="shared" si="6"/>
        <v>0</v>
      </c>
      <c r="S116" s="183">
        <f t="shared" si="7"/>
        <v>0</v>
      </c>
      <c r="T116" s="183">
        <f t="shared" si="8"/>
        <v>0</v>
      </c>
      <c r="U116" s="186"/>
    </row>
    <row r="117" ht="14.25" customHeight="1">
      <c r="A117" s="175"/>
      <c r="B117" s="211"/>
      <c r="C117" s="177"/>
      <c r="D117" s="182"/>
      <c r="E117" s="183">
        <f>'Balin-A'!E117+'Sinta-A'!E117+'Kumai-A'!E117+'Lokal-A'!E117</f>
        <v>0</v>
      </c>
      <c r="F117" s="183">
        <f>'Balin-A'!F117+'Sinta-A'!F117+'Kumai-A'!F117+'Lokal-A'!F117</f>
        <v>0</v>
      </c>
      <c r="G117" s="183">
        <f>'Balin-A'!G117+'Sinta-A'!G117+'Kumai-A'!G117+'Lokal-A'!G117</f>
        <v>0</v>
      </c>
      <c r="H117" s="183">
        <f>'Balin-A'!H117+'Sinta-A'!H117+'Kumai-A'!H117+'Lokal-A'!H117</f>
        <v>0</v>
      </c>
      <c r="I117" s="183">
        <f>'Balin-A'!I117+'Sinta-A'!I117+'Kumai-A'!I117+'Lokal-A'!I117</f>
        <v>0</v>
      </c>
      <c r="J117" s="185">
        <f t="shared" si="2"/>
        <v>0</v>
      </c>
      <c r="K117" s="183">
        <f t="shared" si="3"/>
        <v>0</v>
      </c>
      <c r="L117" s="183">
        <f t="shared" si="4"/>
        <v>0</v>
      </c>
      <c r="M117" s="183">
        <f t="shared" si="5"/>
        <v>0</v>
      </c>
      <c r="N117" s="183">
        <f>'Balin-A'!N117+'Sinta-A'!N117+'Kumai-A'!N117+'Lokal-A'!N117</f>
        <v>0</v>
      </c>
      <c r="O117" s="183">
        <f>'Balin-A'!O117+'Sinta-A'!O117+'Kumai-A'!O117+'Lokal-A'!O117</f>
        <v>0</v>
      </c>
      <c r="P117" s="183">
        <f>'Balin-A'!P117+'Sinta-A'!P117+'Kumai-A'!P117+'Lokal-A'!P117</f>
        <v>0</v>
      </c>
      <c r="Q117" s="183">
        <f>'Balin-A'!Q117+'Sinta-A'!Q117+'Kumai-A'!Q117+'Lokal-A'!Q117</f>
        <v>0</v>
      </c>
      <c r="R117" s="183">
        <f t="shared" si="6"/>
        <v>0</v>
      </c>
      <c r="S117" s="183">
        <f t="shared" si="7"/>
        <v>0</v>
      </c>
      <c r="T117" s="183">
        <f t="shared" si="8"/>
        <v>0</v>
      </c>
      <c r="U117" s="186"/>
    </row>
    <row r="118" ht="14.25" customHeight="1">
      <c r="A118" s="175"/>
      <c r="B118" s="212" t="s">
        <v>860</v>
      </c>
      <c r="C118" s="199"/>
      <c r="D118" s="200"/>
      <c r="E118" s="201">
        <f t="shared" ref="E118:I118" si="43">SUM(E113:E117)</f>
        <v>0</v>
      </c>
      <c r="F118" s="201">
        <f t="shared" si="43"/>
        <v>0</v>
      </c>
      <c r="G118" s="201">
        <f t="shared" si="43"/>
        <v>0</v>
      </c>
      <c r="H118" s="201">
        <f t="shared" si="43"/>
        <v>0</v>
      </c>
      <c r="I118" s="201">
        <f t="shared" si="43"/>
        <v>0</v>
      </c>
      <c r="J118" s="201">
        <f t="shared" si="2"/>
        <v>0</v>
      </c>
      <c r="K118" s="201">
        <f t="shared" si="3"/>
        <v>0</v>
      </c>
      <c r="L118" s="201">
        <f t="shared" si="4"/>
        <v>0</v>
      </c>
      <c r="M118" s="201">
        <f t="shared" si="5"/>
        <v>0</v>
      </c>
      <c r="N118" s="201">
        <f t="shared" ref="N118:Q118" si="44">SUM(N113:N117)</f>
        <v>0</v>
      </c>
      <c r="O118" s="201">
        <f t="shared" si="44"/>
        <v>0</v>
      </c>
      <c r="P118" s="201">
        <f t="shared" si="44"/>
        <v>0</v>
      </c>
      <c r="Q118" s="201">
        <f t="shared" si="44"/>
        <v>0</v>
      </c>
      <c r="R118" s="201">
        <f t="shared" si="6"/>
        <v>0</v>
      </c>
      <c r="S118" s="201">
        <f t="shared" si="7"/>
        <v>0</v>
      </c>
      <c r="T118" s="201">
        <f t="shared" si="8"/>
        <v>0</v>
      </c>
      <c r="U118" s="186"/>
    </row>
    <row r="119" ht="14.25" customHeight="1">
      <c r="A119" s="175"/>
      <c r="B119" s="204" t="s">
        <v>861</v>
      </c>
      <c r="C119" s="205"/>
      <c r="D119" s="206"/>
      <c r="E119" s="207">
        <f t="shared" ref="E119:I119" si="45">E97+E91+E100+E103+E106+E109+E112+E118</f>
        <v>475503957</v>
      </c>
      <c r="F119" s="207">
        <f t="shared" si="45"/>
        <v>471131661</v>
      </c>
      <c r="G119" s="207">
        <f t="shared" si="45"/>
        <v>708859911</v>
      </c>
      <c r="H119" s="207">
        <f t="shared" si="45"/>
        <v>620015439</v>
      </c>
      <c r="I119" s="207">
        <f t="shared" si="45"/>
        <v>620015439</v>
      </c>
      <c r="J119" s="207">
        <f t="shared" si="2"/>
        <v>100.9280412</v>
      </c>
      <c r="K119" s="207">
        <f t="shared" si="3"/>
        <v>67.0801028</v>
      </c>
      <c r="L119" s="207">
        <f t="shared" si="4"/>
        <v>76.69227685</v>
      </c>
      <c r="M119" s="207">
        <f t="shared" si="5"/>
        <v>76.69227685</v>
      </c>
      <c r="N119" s="207">
        <f t="shared" ref="N119:Q119" si="46">N97+N91+N100+N103+N106+N109+N112+N118</f>
        <v>2548465904</v>
      </c>
      <c r="O119" s="207">
        <f t="shared" si="46"/>
        <v>3406524476</v>
      </c>
      <c r="P119" s="207">
        <f t="shared" si="46"/>
        <v>3554727171</v>
      </c>
      <c r="Q119" s="207">
        <f t="shared" si="46"/>
        <v>3554727171</v>
      </c>
      <c r="R119" s="207">
        <f t="shared" si="6"/>
        <v>74.81131934</v>
      </c>
      <c r="S119" s="207">
        <f t="shared" si="7"/>
        <v>71.69230665</v>
      </c>
      <c r="T119" s="207">
        <f t="shared" si="8"/>
        <v>71.69230665</v>
      </c>
      <c r="U119" s="186"/>
    </row>
    <row r="120" ht="14.25" customHeight="1">
      <c r="A120" s="175"/>
      <c r="B120" s="208" t="s">
        <v>862</v>
      </c>
      <c r="C120" s="181"/>
      <c r="D120" s="209" t="s">
        <v>863</v>
      </c>
      <c r="E120" s="183">
        <f>'Balin-A'!E120+'Sinta-A'!E120+'Kumai-A'!E120+'Lokal-A'!E120</f>
        <v>0</v>
      </c>
      <c r="F120" s="183">
        <f>'Balin-A'!F120+'Sinta-A'!F120+'Kumai-A'!F120+'Lokal-A'!F120</f>
        <v>0</v>
      </c>
      <c r="G120" s="183">
        <f>'Balin-A'!G120+'Sinta-A'!G120+'Kumai-A'!G120+'Lokal-A'!G120</f>
        <v>0</v>
      </c>
      <c r="H120" s="183">
        <f>'Balin-A'!H120+'Sinta-A'!H120+'Kumai-A'!H120+'Lokal-A'!H120</f>
        <v>0</v>
      </c>
      <c r="I120" s="183">
        <f>'Balin-A'!I120+'Sinta-A'!I120+'Kumai-A'!I120+'Lokal-A'!I120</f>
        <v>0</v>
      </c>
      <c r="J120" s="185">
        <f t="shared" si="2"/>
        <v>0</v>
      </c>
      <c r="K120" s="183">
        <f t="shared" si="3"/>
        <v>0</v>
      </c>
      <c r="L120" s="183">
        <f t="shared" si="4"/>
        <v>0</v>
      </c>
      <c r="M120" s="183">
        <f t="shared" si="5"/>
        <v>0</v>
      </c>
      <c r="N120" s="183">
        <f>'Balin-A'!N120+'Sinta-A'!N120+'Kumai-A'!N120+'Lokal-A'!N120</f>
        <v>0</v>
      </c>
      <c r="O120" s="183">
        <f>'Balin-A'!O120+'Sinta-A'!O120+'Kumai-A'!O120+'Lokal-A'!O120</f>
        <v>0</v>
      </c>
      <c r="P120" s="183">
        <f>'Balin-A'!P120+'Sinta-A'!P120+'Kumai-A'!P120+'Lokal-A'!P120</f>
        <v>0</v>
      </c>
      <c r="Q120" s="183">
        <f>'Balin-A'!Q120+'Sinta-A'!Q120+'Kumai-A'!Q120+'Lokal-A'!Q120</f>
        <v>0</v>
      </c>
      <c r="R120" s="183">
        <f t="shared" si="6"/>
        <v>0</v>
      </c>
      <c r="S120" s="183">
        <f t="shared" si="7"/>
        <v>0</v>
      </c>
      <c r="T120" s="183">
        <f t="shared" si="8"/>
        <v>0</v>
      </c>
      <c r="U120" s="186"/>
    </row>
    <row r="121" ht="14.25" customHeight="1">
      <c r="A121" s="175"/>
      <c r="B121" s="211"/>
      <c r="C121" s="177"/>
      <c r="D121" s="182"/>
      <c r="E121" s="183">
        <f>'Balin-A'!E121+'Sinta-A'!E121+'Kumai-A'!E121+'Lokal-A'!E121</f>
        <v>0</v>
      </c>
      <c r="F121" s="183">
        <f>'Balin-A'!F121+'Sinta-A'!F121+'Kumai-A'!F121+'Lokal-A'!F121</f>
        <v>0</v>
      </c>
      <c r="G121" s="183">
        <f>'Balin-A'!G121+'Sinta-A'!G121+'Kumai-A'!G121+'Lokal-A'!G121</f>
        <v>0</v>
      </c>
      <c r="H121" s="183">
        <f>'Balin-A'!H121+'Sinta-A'!H121+'Kumai-A'!H121+'Lokal-A'!H121</f>
        <v>0</v>
      </c>
      <c r="I121" s="183">
        <f>'Balin-A'!I121+'Sinta-A'!I121+'Kumai-A'!I121+'Lokal-A'!I121</f>
        <v>0</v>
      </c>
      <c r="J121" s="185">
        <f t="shared" si="2"/>
        <v>0</v>
      </c>
      <c r="K121" s="183">
        <f t="shared" si="3"/>
        <v>0</v>
      </c>
      <c r="L121" s="183">
        <f t="shared" si="4"/>
        <v>0</v>
      </c>
      <c r="M121" s="183">
        <f t="shared" si="5"/>
        <v>0</v>
      </c>
      <c r="N121" s="183">
        <f>'Balin-A'!N121+'Sinta-A'!N121+'Kumai-A'!N121+'Lokal-A'!N121</f>
        <v>0</v>
      </c>
      <c r="O121" s="183">
        <f>'Balin-A'!O121+'Sinta-A'!O121+'Kumai-A'!O121+'Lokal-A'!O121</f>
        <v>0</v>
      </c>
      <c r="P121" s="183">
        <f>'Balin-A'!P121+'Sinta-A'!P121+'Kumai-A'!P121+'Lokal-A'!P121</f>
        <v>0</v>
      </c>
      <c r="Q121" s="183">
        <f>'Balin-A'!Q121+'Sinta-A'!Q121+'Kumai-A'!Q121+'Lokal-A'!Q121</f>
        <v>0</v>
      </c>
      <c r="R121" s="183">
        <f t="shared" si="6"/>
        <v>0</v>
      </c>
      <c r="S121" s="183">
        <f t="shared" si="7"/>
        <v>0</v>
      </c>
      <c r="T121" s="183">
        <f t="shared" si="8"/>
        <v>0</v>
      </c>
      <c r="U121" s="186"/>
    </row>
    <row r="122" ht="14.25" customHeight="1">
      <c r="A122" s="175"/>
      <c r="B122" s="191" t="s">
        <v>864</v>
      </c>
      <c r="C122" s="199"/>
      <c r="D122" s="200"/>
      <c r="E122" s="201">
        <f t="shared" ref="E122:I122" si="47">SUM(E120:E121)</f>
        <v>0</v>
      </c>
      <c r="F122" s="201">
        <f t="shared" si="47"/>
        <v>0</v>
      </c>
      <c r="G122" s="201">
        <f t="shared" si="47"/>
        <v>0</v>
      </c>
      <c r="H122" s="201">
        <f t="shared" si="47"/>
        <v>0</v>
      </c>
      <c r="I122" s="201">
        <f t="shared" si="47"/>
        <v>0</v>
      </c>
      <c r="J122" s="201">
        <f t="shared" si="2"/>
        <v>0</v>
      </c>
      <c r="K122" s="201">
        <f t="shared" si="3"/>
        <v>0</v>
      </c>
      <c r="L122" s="201">
        <f t="shared" si="4"/>
        <v>0</v>
      </c>
      <c r="M122" s="201">
        <f t="shared" si="5"/>
        <v>0</v>
      </c>
      <c r="N122" s="201">
        <f t="shared" ref="N122:Q122" si="48">SUM(N120:N121)</f>
        <v>0</v>
      </c>
      <c r="O122" s="201">
        <f t="shared" si="48"/>
        <v>0</v>
      </c>
      <c r="P122" s="201">
        <f t="shared" si="48"/>
        <v>0</v>
      </c>
      <c r="Q122" s="201">
        <f t="shared" si="48"/>
        <v>0</v>
      </c>
      <c r="R122" s="201">
        <f t="shared" si="6"/>
        <v>0</v>
      </c>
      <c r="S122" s="201">
        <f t="shared" si="7"/>
        <v>0</v>
      </c>
      <c r="T122" s="201">
        <f t="shared" si="8"/>
        <v>0</v>
      </c>
      <c r="U122" s="186"/>
    </row>
    <row r="123" ht="14.25" customHeight="1">
      <c r="A123" s="175"/>
      <c r="B123" s="208" t="s">
        <v>164</v>
      </c>
      <c r="C123" s="181"/>
      <c r="D123" s="209" t="s">
        <v>165</v>
      </c>
      <c r="E123" s="183">
        <f>'Balin-A'!E123+'Sinta-A'!E123+'Kumai-A'!E123+'Lokal-A'!E123</f>
        <v>0</v>
      </c>
      <c r="F123" s="183">
        <f>'Balin-A'!F123+'Sinta-A'!F123+'Kumai-A'!F123+'Lokal-A'!F123</f>
        <v>0</v>
      </c>
      <c r="G123" s="183">
        <f>'Balin-A'!G123+'Sinta-A'!G123+'Kumai-A'!G123+'Lokal-A'!G123</f>
        <v>0</v>
      </c>
      <c r="H123" s="183">
        <f>'Balin-A'!H123+'Sinta-A'!H123+'Kumai-A'!H123+'Lokal-A'!H123</f>
        <v>0</v>
      </c>
      <c r="I123" s="183">
        <f>'Balin-A'!I123+'Sinta-A'!I123+'Kumai-A'!I123+'Lokal-A'!I123</f>
        <v>0</v>
      </c>
      <c r="J123" s="185">
        <f t="shared" si="2"/>
        <v>0</v>
      </c>
      <c r="K123" s="183">
        <f t="shared" si="3"/>
        <v>0</v>
      </c>
      <c r="L123" s="183">
        <f t="shared" si="4"/>
        <v>0</v>
      </c>
      <c r="M123" s="183">
        <f t="shared" si="5"/>
        <v>0</v>
      </c>
      <c r="N123" s="183">
        <f>'Balin-A'!N123+'Sinta-A'!N123+'Kumai-A'!N123+'Lokal-A'!N123</f>
        <v>0</v>
      </c>
      <c r="O123" s="183">
        <f>'Balin-A'!O123+'Sinta-A'!O123+'Kumai-A'!O123+'Lokal-A'!O123</f>
        <v>0</v>
      </c>
      <c r="P123" s="183">
        <f>'Balin-A'!P123+'Sinta-A'!P123+'Kumai-A'!P123+'Lokal-A'!P123</f>
        <v>0</v>
      </c>
      <c r="Q123" s="183">
        <f>'Balin-A'!Q123+'Sinta-A'!Q123+'Kumai-A'!Q123+'Lokal-A'!Q123</f>
        <v>0</v>
      </c>
      <c r="R123" s="183">
        <f t="shared" si="6"/>
        <v>0</v>
      </c>
      <c r="S123" s="183">
        <f t="shared" si="7"/>
        <v>0</v>
      </c>
      <c r="T123" s="183">
        <f t="shared" si="8"/>
        <v>0</v>
      </c>
      <c r="U123" s="202"/>
    </row>
    <row r="124" ht="14.25" customHeight="1">
      <c r="A124" s="175"/>
      <c r="B124" s="208" t="s">
        <v>865</v>
      </c>
      <c r="C124" s="181"/>
      <c r="D124" s="209" t="s">
        <v>866</v>
      </c>
      <c r="E124" s="183">
        <f>'Balin-A'!E124+'Sinta-A'!E124+'Kumai-A'!E124+'Lokal-A'!E124</f>
        <v>0</v>
      </c>
      <c r="F124" s="183">
        <f>'Balin-A'!F124+'Sinta-A'!F124+'Kumai-A'!F124+'Lokal-A'!F124</f>
        <v>0</v>
      </c>
      <c r="G124" s="183">
        <f>'Balin-A'!G124+'Sinta-A'!G124+'Kumai-A'!G124+'Lokal-A'!G124</f>
        <v>0</v>
      </c>
      <c r="H124" s="183">
        <f>'Balin-A'!H124+'Sinta-A'!H124+'Kumai-A'!H124+'Lokal-A'!H124</f>
        <v>0</v>
      </c>
      <c r="I124" s="183">
        <f>'Balin-A'!I124+'Sinta-A'!I124+'Kumai-A'!I124+'Lokal-A'!I124</f>
        <v>0</v>
      </c>
      <c r="J124" s="185">
        <f t="shared" si="2"/>
        <v>0</v>
      </c>
      <c r="K124" s="183">
        <f t="shared" si="3"/>
        <v>0</v>
      </c>
      <c r="L124" s="183">
        <f t="shared" si="4"/>
        <v>0</v>
      </c>
      <c r="M124" s="183">
        <f t="shared" si="5"/>
        <v>0</v>
      </c>
      <c r="N124" s="183">
        <f>'Balin-A'!N124+'Sinta-A'!N124+'Kumai-A'!N124+'Lokal-A'!N124</f>
        <v>0</v>
      </c>
      <c r="O124" s="183">
        <f>'Balin-A'!O124+'Sinta-A'!O124+'Kumai-A'!O124+'Lokal-A'!O124</f>
        <v>0</v>
      </c>
      <c r="P124" s="183">
        <f>'Balin-A'!P124+'Sinta-A'!P124+'Kumai-A'!P124+'Lokal-A'!P124</f>
        <v>0</v>
      </c>
      <c r="Q124" s="183">
        <f>'Balin-A'!Q124+'Sinta-A'!Q124+'Kumai-A'!Q124+'Lokal-A'!Q124</f>
        <v>0</v>
      </c>
      <c r="R124" s="183">
        <f t="shared" si="6"/>
        <v>0</v>
      </c>
      <c r="S124" s="183">
        <f t="shared" si="7"/>
        <v>0</v>
      </c>
      <c r="T124" s="183">
        <f t="shared" si="8"/>
        <v>0</v>
      </c>
      <c r="U124" s="186"/>
    </row>
    <row r="125" ht="14.25" customHeight="1">
      <c r="A125" s="175"/>
      <c r="B125" s="208" t="s">
        <v>867</v>
      </c>
      <c r="C125" s="181"/>
      <c r="D125" s="209" t="s">
        <v>868</v>
      </c>
      <c r="E125" s="183">
        <f>'Balin-A'!E125+'Sinta-A'!E125+'Kumai-A'!E125+'Lokal-A'!E125</f>
        <v>0</v>
      </c>
      <c r="F125" s="183">
        <f>'Balin-A'!F125+'Sinta-A'!F125+'Kumai-A'!F125+'Lokal-A'!F125</f>
        <v>0</v>
      </c>
      <c r="G125" s="183">
        <f>'Balin-A'!G125+'Sinta-A'!G125+'Kumai-A'!G125+'Lokal-A'!G125</f>
        <v>0</v>
      </c>
      <c r="H125" s="183">
        <f>'Balin-A'!H125+'Sinta-A'!H125+'Kumai-A'!H125+'Lokal-A'!H125</f>
        <v>0</v>
      </c>
      <c r="I125" s="183">
        <f>'Balin-A'!I125+'Sinta-A'!I125+'Kumai-A'!I125+'Lokal-A'!I125</f>
        <v>0</v>
      </c>
      <c r="J125" s="185">
        <f t="shared" si="2"/>
        <v>0</v>
      </c>
      <c r="K125" s="183">
        <f t="shared" si="3"/>
        <v>0</v>
      </c>
      <c r="L125" s="183">
        <f t="shared" si="4"/>
        <v>0</v>
      </c>
      <c r="M125" s="183">
        <f t="shared" si="5"/>
        <v>0</v>
      </c>
      <c r="N125" s="183">
        <f>'Balin-A'!N125+'Sinta-A'!N125+'Kumai-A'!N125+'Lokal-A'!N125</f>
        <v>0</v>
      </c>
      <c r="O125" s="183">
        <f>'Balin-A'!O125+'Sinta-A'!O125+'Kumai-A'!O125+'Lokal-A'!O125</f>
        <v>0</v>
      </c>
      <c r="P125" s="183">
        <f>'Balin-A'!P125+'Sinta-A'!P125+'Kumai-A'!P125+'Lokal-A'!P125</f>
        <v>0</v>
      </c>
      <c r="Q125" s="183">
        <f>'Balin-A'!Q125+'Sinta-A'!Q125+'Kumai-A'!Q125+'Lokal-A'!Q125</f>
        <v>0</v>
      </c>
      <c r="R125" s="183">
        <f t="shared" si="6"/>
        <v>0</v>
      </c>
      <c r="S125" s="183">
        <f t="shared" si="7"/>
        <v>0</v>
      </c>
      <c r="T125" s="183">
        <f t="shared" si="8"/>
        <v>0</v>
      </c>
      <c r="U125" s="186"/>
    </row>
    <row r="126" ht="14.25" customHeight="1">
      <c r="A126" s="175"/>
      <c r="B126" s="208" t="s">
        <v>869</v>
      </c>
      <c r="C126" s="181"/>
      <c r="D126" s="209" t="s">
        <v>870</v>
      </c>
      <c r="E126" s="183">
        <f>'Balin-A'!E126+'Sinta-A'!E126+'Kumai-A'!E126+'Lokal-A'!E126</f>
        <v>0</v>
      </c>
      <c r="F126" s="183">
        <f>'Balin-A'!F126+'Sinta-A'!F126+'Kumai-A'!F126+'Lokal-A'!F126</f>
        <v>0</v>
      </c>
      <c r="G126" s="183">
        <f>'Balin-A'!G126+'Sinta-A'!G126+'Kumai-A'!G126+'Lokal-A'!G126</f>
        <v>0</v>
      </c>
      <c r="H126" s="183">
        <f>'Balin-A'!H126+'Sinta-A'!H126+'Kumai-A'!H126+'Lokal-A'!H126</f>
        <v>0</v>
      </c>
      <c r="I126" s="183">
        <f>'Balin-A'!I126+'Sinta-A'!I126+'Kumai-A'!I126+'Lokal-A'!I126</f>
        <v>0</v>
      </c>
      <c r="J126" s="185">
        <f t="shared" si="2"/>
        <v>0</v>
      </c>
      <c r="K126" s="183">
        <f t="shared" si="3"/>
        <v>0</v>
      </c>
      <c r="L126" s="183">
        <f t="shared" si="4"/>
        <v>0</v>
      </c>
      <c r="M126" s="183">
        <f t="shared" si="5"/>
        <v>0</v>
      </c>
      <c r="N126" s="183">
        <f>'Balin-A'!N126+'Sinta-A'!N126+'Kumai-A'!N126+'Lokal-A'!N126</f>
        <v>0</v>
      </c>
      <c r="O126" s="183">
        <f>'Balin-A'!O126+'Sinta-A'!O126+'Kumai-A'!O126+'Lokal-A'!O126</f>
        <v>0</v>
      </c>
      <c r="P126" s="183">
        <f>'Balin-A'!P126+'Sinta-A'!P126+'Kumai-A'!P126+'Lokal-A'!P126</f>
        <v>0</v>
      </c>
      <c r="Q126" s="183">
        <f>'Balin-A'!Q126+'Sinta-A'!Q126+'Kumai-A'!Q126+'Lokal-A'!Q126</f>
        <v>0</v>
      </c>
      <c r="R126" s="183">
        <f t="shared" si="6"/>
        <v>0</v>
      </c>
      <c r="S126" s="183">
        <f t="shared" si="7"/>
        <v>0</v>
      </c>
      <c r="T126" s="183">
        <f t="shared" si="8"/>
        <v>0</v>
      </c>
      <c r="U126" s="186"/>
    </row>
    <row r="127" ht="14.25" customHeight="1">
      <c r="A127" s="175"/>
      <c r="B127" s="208"/>
      <c r="C127" s="181"/>
      <c r="D127" s="209"/>
      <c r="E127" s="183">
        <f>'Balin-A'!E127+'Sinta-A'!E127+'Kumai-A'!E127+'Lokal-A'!E127</f>
        <v>0</v>
      </c>
      <c r="F127" s="183">
        <f>'Balin-A'!F127+'Sinta-A'!F127+'Kumai-A'!F127+'Lokal-A'!F127</f>
        <v>0</v>
      </c>
      <c r="G127" s="183">
        <f>'Balin-A'!G127+'Sinta-A'!G127+'Kumai-A'!G127+'Lokal-A'!G127</f>
        <v>0</v>
      </c>
      <c r="H127" s="183">
        <f>'Balin-A'!H127+'Sinta-A'!H127+'Kumai-A'!H127+'Lokal-A'!H127</f>
        <v>0</v>
      </c>
      <c r="I127" s="183">
        <f>'Balin-A'!I127+'Sinta-A'!I127+'Kumai-A'!I127+'Lokal-A'!I127</f>
        <v>0</v>
      </c>
      <c r="J127" s="185">
        <f t="shared" si="2"/>
        <v>0</v>
      </c>
      <c r="K127" s="183">
        <f t="shared" si="3"/>
        <v>0</v>
      </c>
      <c r="L127" s="183">
        <f t="shared" si="4"/>
        <v>0</v>
      </c>
      <c r="M127" s="183">
        <f t="shared" si="5"/>
        <v>0</v>
      </c>
      <c r="N127" s="183">
        <f>'Balin-A'!N127+'Sinta-A'!N127+'Kumai-A'!N127+'Lokal-A'!N127</f>
        <v>0</v>
      </c>
      <c r="O127" s="183">
        <f>'Balin-A'!O127+'Sinta-A'!O127+'Kumai-A'!O127+'Lokal-A'!O127</f>
        <v>0</v>
      </c>
      <c r="P127" s="183">
        <f>'Balin-A'!P127+'Sinta-A'!P127+'Kumai-A'!P127+'Lokal-A'!P127</f>
        <v>0</v>
      </c>
      <c r="Q127" s="183">
        <f>'Balin-A'!Q127+'Sinta-A'!Q127+'Kumai-A'!Q127+'Lokal-A'!Q127</f>
        <v>0</v>
      </c>
      <c r="R127" s="183">
        <f t="shared" si="6"/>
        <v>0</v>
      </c>
      <c r="S127" s="183">
        <f t="shared" si="7"/>
        <v>0</v>
      </c>
      <c r="T127" s="183">
        <f t="shared" si="8"/>
        <v>0</v>
      </c>
      <c r="U127" s="186"/>
    </row>
    <row r="128" ht="14.25" customHeight="1">
      <c r="A128" s="175"/>
      <c r="B128" s="191" t="s">
        <v>871</v>
      </c>
      <c r="C128" s="199"/>
      <c r="D128" s="200"/>
      <c r="E128" s="201">
        <f t="shared" ref="E128:I128" si="49">SUM(E123:E127)</f>
        <v>0</v>
      </c>
      <c r="F128" s="201">
        <f t="shared" si="49"/>
        <v>0</v>
      </c>
      <c r="G128" s="201">
        <f t="shared" si="49"/>
        <v>0</v>
      </c>
      <c r="H128" s="201">
        <f t="shared" si="49"/>
        <v>0</v>
      </c>
      <c r="I128" s="201">
        <f t="shared" si="49"/>
        <v>0</v>
      </c>
      <c r="J128" s="201">
        <f t="shared" si="2"/>
        <v>0</v>
      </c>
      <c r="K128" s="201">
        <f t="shared" si="3"/>
        <v>0</v>
      </c>
      <c r="L128" s="201">
        <f t="shared" si="4"/>
        <v>0</v>
      </c>
      <c r="M128" s="201">
        <f t="shared" si="5"/>
        <v>0</v>
      </c>
      <c r="N128" s="201">
        <f t="shared" ref="N128:Q128" si="50">SUM(N123:N127)</f>
        <v>0</v>
      </c>
      <c r="O128" s="201">
        <f t="shared" si="50"/>
        <v>0</v>
      </c>
      <c r="P128" s="201">
        <f t="shared" si="50"/>
        <v>0</v>
      </c>
      <c r="Q128" s="201">
        <f t="shared" si="50"/>
        <v>0</v>
      </c>
      <c r="R128" s="201">
        <f t="shared" si="6"/>
        <v>0</v>
      </c>
      <c r="S128" s="201">
        <f t="shared" si="7"/>
        <v>0</v>
      </c>
      <c r="T128" s="201">
        <f t="shared" si="8"/>
        <v>0</v>
      </c>
      <c r="U128" s="186"/>
    </row>
    <row r="129" ht="14.25" customHeight="1">
      <c r="A129" s="175"/>
      <c r="B129" s="208" t="s">
        <v>872</v>
      </c>
      <c r="C129" s="181"/>
      <c r="D129" s="213" t="s">
        <v>873</v>
      </c>
      <c r="E129" s="183">
        <f>'Balin-A'!E129+'Sinta-A'!E129+'Kumai-A'!E129+'Lokal-A'!E129</f>
        <v>0</v>
      </c>
      <c r="F129" s="183">
        <f>'Balin-A'!F129+'Sinta-A'!F129+'Kumai-A'!F129+'Lokal-A'!F129</f>
        <v>0</v>
      </c>
      <c r="G129" s="183">
        <f>'Balin-A'!G129+'Sinta-A'!G129+'Kumai-A'!G129+'Lokal-A'!G129</f>
        <v>0</v>
      </c>
      <c r="H129" s="183">
        <f>'Balin-A'!H129+'Sinta-A'!H129+'Kumai-A'!H129+'Lokal-A'!H129</f>
        <v>0</v>
      </c>
      <c r="I129" s="183">
        <f>'Balin-A'!I129+'Sinta-A'!I129+'Kumai-A'!I129+'Lokal-A'!I129</f>
        <v>0</v>
      </c>
      <c r="J129" s="185">
        <f t="shared" si="2"/>
        <v>0</v>
      </c>
      <c r="K129" s="183">
        <f t="shared" si="3"/>
        <v>0</v>
      </c>
      <c r="L129" s="183">
        <f t="shared" si="4"/>
        <v>0</v>
      </c>
      <c r="M129" s="183">
        <f t="shared" si="5"/>
        <v>0</v>
      </c>
      <c r="N129" s="183">
        <f>'Balin-A'!N129+'Sinta-A'!N129+'Kumai-A'!N129+'Lokal-A'!N129</f>
        <v>0</v>
      </c>
      <c r="O129" s="183">
        <f>'Balin-A'!O129+'Sinta-A'!O129+'Kumai-A'!O129+'Lokal-A'!O129</f>
        <v>0</v>
      </c>
      <c r="P129" s="183">
        <f>'Balin-A'!P129+'Sinta-A'!P129+'Kumai-A'!P129+'Lokal-A'!P129</f>
        <v>0</v>
      </c>
      <c r="Q129" s="183">
        <f>'Balin-A'!Q129+'Sinta-A'!Q129+'Kumai-A'!Q129+'Lokal-A'!Q129</f>
        <v>0</v>
      </c>
      <c r="R129" s="183">
        <f t="shared" si="6"/>
        <v>0</v>
      </c>
      <c r="S129" s="183">
        <f t="shared" si="7"/>
        <v>0</v>
      </c>
      <c r="T129" s="183">
        <f t="shared" si="8"/>
        <v>0</v>
      </c>
      <c r="U129" s="186"/>
    </row>
    <row r="130" ht="14.25" customHeight="1">
      <c r="A130" s="175"/>
      <c r="B130" s="208" t="s">
        <v>874</v>
      </c>
      <c r="C130" s="181"/>
      <c r="D130" s="213" t="s">
        <v>275</v>
      </c>
      <c r="E130" s="183">
        <f>'Balin-A'!E130+'Sinta-A'!E130+'Kumai-A'!E130+'Lokal-A'!E130</f>
        <v>0</v>
      </c>
      <c r="F130" s="183">
        <f>'Balin-A'!F130+'Sinta-A'!F130+'Kumai-A'!F130+'Lokal-A'!F130</f>
        <v>0</v>
      </c>
      <c r="G130" s="183">
        <f>'Balin-A'!G130+'Sinta-A'!G130+'Kumai-A'!G130+'Lokal-A'!G130</f>
        <v>0</v>
      </c>
      <c r="H130" s="183">
        <f>'Balin-A'!H130+'Sinta-A'!H130+'Kumai-A'!H130+'Lokal-A'!H130</f>
        <v>0</v>
      </c>
      <c r="I130" s="183">
        <f>'Balin-A'!I130+'Sinta-A'!I130+'Kumai-A'!I130+'Lokal-A'!I130</f>
        <v>0</v>
      </c>
      <c r="J130" s="185">
        <f t="shared" si="2"/>
        <v>0</v>
      </c>
      <c r="K130" s="183">
        <f t="shared" si="3"/>
        <v>0</v>
      </c>
      <c r="L130" s="183">
        <f t="shared" si="4"/>
        <v>0</v>
      </c>
      <c r="M130" s="183">
        <f t="shared" si="5"/>
        <v>0</v>
      </c>
      <c r="N130" s="183">
        <f>'Balin-A'!N130+'Sinta-A'!N130+'Kumai-A'!N130+'Lokal-A'!N130</f>
        <v>0</v>
      </c>
      <c r="O130" s="183">
        <f>'Balin-A'!O130+'Sinta-A'!O130+'Kumai-A'!O130+'Lokal-A'!O130</f>
        <v>0</v>
      </c>
      <c r="P130" s="183">
        <f>'Balin-A'!P130+'Sinta-A'!P130+'Kumai-A'!P130+'Lokal-A'!P130</f>
        <v>0</v>
      </c>
      <c r="Q130" s="183">
        <f>'Balin-A'!Q130+'Sinta-A'!Q130+'Kumai-A'!Q130+'Lokal-A'!Q130</f>
        <v>0</v>
      </c>
      <c r="R130" s="183">
        <f t="shared" si="6"/>
        <v>0</v>
      </c>
      <c r="S130" s="183">
        <f t="shared" si="7"/>
        <v>0</v>
      </c>
      <c r="T130" s="183">
        <f t="shared" si="8"/>
        <v>0</v>
      </c>
      <c r="U130" s="202"/>
    </row>
    <row r="131" ht="14.25" customHeight="1">
      <c r="A131" s="175"/>
      <c r="B131" s="191" t="s">
        <v>875</v>
      </c>
      <c r="C131" s="199"/>
      <c r="D131" s="200"/>
      <c r="E131" s="201">
        <f t="shared" ref="E131:I131" si="51">SUM(E129:E130)</f>
        <v>0</v>
      </c>
      <c r="F131" s="201">
        <f t="shared" si="51"/>
        <v>0</v>
      </c>
      <c r="G131" s="201">
        <f t="shared" si="51"/>
        <v>0</v>
      </c>
      <c r="H131" s="201">
        <f t="shared" si="51"/>
        <v>0</v>
      </c>
      <c r="I131" s="201">
        <f t="shared" si="51"/>
        <v>0</v>
      </c>
      <c r="J131" s="201">
        <f t="shared" si="2"/>
        <v>0</v>
      </c>
      <c r="K131" s="201">
        <f t="shared" si="3"/>
        <v>0</v>
      </c>
      <c r="L131" s="201">
        <f t="shared" si="4"/>
        <v>0</v>
      </c>
      <c r="M131" s="201">
        <f t="shared" si="5"/>
        <v>0</v>
      </c>
      <c r="N131" s="201">
        <f t="shared" ref="N131:Q131" si="52">SUM(N129:N130)</f>
        <v>0</v>
      </c>
      <c r="O131" s="201">
        <f t="shared" si="52"/>
        <v>0</v>
      </c>
      <c r="P131" s="201">
        <f t="shared" si="52"/>
        <v>0</v>
      </c>
      <c r="Q131" s="201">
        <f t="shared" si="52"/>
        <v>0</v>
      </c>
      <c r="R131" s="201">
        <f t="shared" si="6"/>
        <v>0</v>
      </c>
      <c r="S131" s="201">
        <f t="shared" si="7"/>
        <v>0</v>
      </c>
      <c r="T131" s="201">
        <f t="shared" si="8"/>
        <v>0</v>
      </c>
      <c r="U131" s="202"/>
    </row>
    <row r="132" ht="14.25" customHeight="1">
      <c r="A132" s="175"/>
      <c r="B132" s="204" t="s">
        <v>876</v>
      </c>
      <c r="C132" s="205"/>
      <c r="D132" s="206"/>
      <c r="E132" s="207">
        <f t="shared" ref="E132:I132" si="53">E131+E128+E122</f>
        <v>0</v>
      </c>
      <c r="F132" s="207">
        <f t="shared" si="53"/>
        <v>0</v>
      </c>
      <c r="G132" s="207">
        <f t="shared" si="53"/>
        <v>0</v>
      </c>
      <c r="H132" s="207">
        <f t="shared" si="53"/>
        <v>0</v>
      </c>
      <c r="I132" s="207">
        <f t="shared" si="53"/>
        <v>0</v>
      </c>
      <c r="J132" s="207">
        <f t="shared" si="2"/>
        <v>0</v>
      </c>
      <c r="K132" s="207">
        <f t="shared" si="3"/>
        <v>0</v>
      </c>
      <c r="L132" s="207">
        <f t="shared" si="4"/>
        <v>0</v>
      </c>
      <c r="M132" s="207">
        <f t="shared" si="5"/>
        <v>0</v>
      </c>
      <c r="N132" s="207">
        <f t="shared" ref="N132:Q132" si="54">N131+N128+N122</f>
        <v>0</v>
      </c>
      <c r="O132" s="207">
        <f t="shared" si="54"/>
        <v>0</v>
      </c>
      <c r="P132" s="207">
        <f t="shared" si="54"/>
        <v>0</v>
      </c>
      <c r="Q132" s="207">
        <f t="shared" si="54"/>
        <v>0</v>
      </c>
      <c r="R132" s="207">
        <f t="shared" si="6"/>
        <v>0</v>
      </c>
      <c r="S132" s="207">
        <f t="shared" si="7"/>
        <v>0</v>
      </c>
      <c r="T132" s="207">
        <f t="shared" si="8"/>
        <v>0</v>
      </c>
      <c r="U132" s="186"/>
    </row>
    <row r="133" ht="14.25" customHeight="1">
      <c r="A133" s="175"/>
      <c r="B133" s="214"/>
      <c r="C133" s="181"/>
      <c r="D133" s="213"/>
      <c r="E133" s="183">
        <f>'Balin-A'!E133+'Sinta-A'!E133+'Kumai-A'!E133+'Lokal-A'!E133</f>
        <v>0</v>
      </c>
      <c r="F133" s="183">
        <f>'Balin-A'!F133+'Sinta-A'!F133+'Kumai-A'!F133+'Lokal-A'!F133</f>
        <v>0</v>
      </c>
      <c r="G133" s="183">
        <f>'Balin-A'!G133+'Sinta-A'!G133+'Kumai-A'!G133+'Lokal-A'!G133</f>
        <v>0</v>
      </c>
      <c r="H133" s="183">
        <f>'Balin-A'!H133+'Sinta-A'!H133+'Kumai-A'!H133+'Lokal-A'!H133</f>
        <v>0</v>
      </c>
      <c r="I133" s="183">
        <f>'Balin-A'!I133+'Sinta-A'!I133+'Kumai-A'!I133+'Lokal-A'!I133</f>
        <v>0</v>
      </c>
      <c r="J133" s="185">
        <f t="shared" si="2"/>
        <v>0</v>
      </c>
      <c r="K133" s="183">
        <f t="shared" si="3"/>
        <v>0</v>
      </c>
      <c r="L133" s="183">
        <f t="shared" si="4"/>
        <v>0</v>
      </c>
      <c r="M133" s="183">
        <f t="shared" si="5"/>
        <v>0</v>
      </c>
      <c r="N133" s="183">
        <f>'Balin-A'!N133+'Sinta-A'!N133+'Kumai-A'!N133+'Lokal-A'!N133</f>
        <v>0</v>
      </c>
      <c r="O133" s="183">
        <f>'Balin-A'!O133+'Sinta-A'!O133+'Kumai-A'!O133+'Lokal-A'!O133</f>
        <v>0</v>
      </c>
      <c r="P133" s="183">
        <f>'Balin-A'!P133+'Sinta-A'!P133+'Kumai-A'!P133+'Lokal-A'!P133</f>
        <v>0</v>
      </c>
      <c r="Q133" s="183">
        <f>'Balin-A'!Q133+'Sinta-A'!Q133+'Kumai-A'!Q133+'Lokal-A'!Q133</f>
        <v>0</v>
      </c>
      <c r="R133" s="183">
        <f t="shared" si="6"/>
        <v>0</v>
      </c>
      <c r="S133" s="183">
        <f t="shared" si="7"/>
        <v>0</v>
      </c>
      <c r="T133" s="183">
        <f t="shared" si="8"/>
        <v>0</v>
      </c>
      <c r="U133" s="186"/>
    </row>
    <row r="134" ht="14.25" customHeight="1">
      <c r="A134" s="175"/>
      <c r="B134" s="214"/>
      <c r="C134" s="181"/>
      <c r="D134" s="209"/>
      <c r="E134" s="183">
        <f>'Balin-A'!E134+'Sinta-A'!E134+'Kumai-A'!E134+'Lokal-A'!E134</f>
        <v>0</v>
      </c>
      <c r="F134" s="183">
        <f>'Balin-A'!F134+'Sinta-A'!F134+'Kumai-A'!F134+'Lokal-A'!F134</f>
        <v>0</v>
      </c>
      <c r="G134" s="183">
        <f>'Balin-A'!G134+'Sinta-A'!G134+'Kumai-A'!G134+'Lokal-A'!G134</f>
        <v>0</v>
      </c>
      <c r="H134" s="183">
        <f>'Balin-A'!H134+'Sinta-A'!H134+'Kumai-A'!H134+'Lokal-A'!H134</f>
        <v>0</v>
      </c>
      <c r="I134" s="183">
        <f>'Balin-A'!I134+'Sinta-A'!I134+'Kumai-A'!I134+'Lokal-A'!I134</f>
        <v>0</v>
      </c>
      <c r="J134" s="185">
        <f t="shared" si="2"/>
        <v>0</v>
      </c>
      <c r="K134" s="183">
        <f t="shared" si="3"/>
        <v>0</v>
      </c>
      <c r="L134" s="183">
        <f t="shared" si="4"/>
        <v>0</v>
      </c>
      <c r="M134" s="183">
        <f t="shared" si="5"/>
        <v>0</v>
      </c>
      <c r="N134" s="183">
        <f>'Balin-A'!N134+'Sinta-A'!N134+'Kumai-A'!N134+'Lokal-A'!N134</f>
        <v>0</v>
      </c>
      <c r="O134" s="183">
        <f>'Balin-A'!O134+'Sinta-A'!O134+'Kumai-A'!O134+'Lokal-A'!O134</f>
        <v>0</v>
      </c>
      <c r="P134" s="183">
        <f>'Balin-A'!P134+'Sinta-A'!P134+'Kumai-A'!P134+'Lokal-A'!P134</f>
        <v>0</v>
      </c>
      <c r="Q134" s="183">
        <f>'Balin-A'!Q134+'Sinta-A'!Q134+'Kumai-A'!Q134+'Lokal-A'!Q134</f>
        <v>0</v>
      </c>
      <c r="R134" s="183">
        <f t="shared" si="6"/>
        <v>0</v>
      </c>
      <c r="S134" s="183">
        <f t="shared" si="7"/>
        <v>0</v>
      </c>
      <c r="T134" s="183">
        <f t="shared" si="8"/>
        <v>0</v>
      </c>
      <c r="U134" s="186"/>
    </row>
    <row r="135" ht="14.25" customHeight="1">
      <c r="A135" s="175"/>
      <c r="B135" s="215"/>
      <c r="C135" s="216"/>
      <c r="D135" s="209"/>
      <c r="E135" s="183">
        <f>'Balin-A'!E135+'Sinta-A'!E135+'Kumai-A'!E135+'Lokal-A'!E135</f>
        <v>0</v>
      </c>
      <c r="F135" s="183">
        <f>'Balin-A'!F135+'Sinta-A'!F135+'Kumai-A'!F135+'Lokal-A'!F135</f>
        <v>0</v>
      </c>
      <c r="G135" s="183">
        <f>'Balin-A'!G135+'Sinta-A'!G135+'Kumai-A'!G135+'Lokal-A'!G135</f>
        <v>0</v>
      </c>
      <c r="H135" s="183">
        <f>'Balin-A'!H135+'Sinta-A'!H135+'Kumai-A'!H135+'Lokal-A'!H135</f>
        <v>0</v>
      </c>
      <c r="I135" s="183">
        <f>'Balin-A'!I135+'Sinta-A'!I135+'Kumai-A'!I135+'Lokal-A'!I135</f>
        <v>0</v>
      </c>
      <c r="J135" s="185">
        <f t="shared" si="2"/>
        <v>0</v>
      </c>
      <c r="K135" s="183">
        <f t="shared" si="3"/>
        <v>0</v>
      </c>
      <c r="L135" s="183">
        <f t="shared" si="4"/>
        <v>0</v>
      </c>
      <c r="M135" s="183">
        <f t="shared" si="5"/>
        <v>0</v>
      </c>
      <c r="N135" s="183">
        <f>'Balin-A'!N135+'Sinta-A'!N135+'Kumai-A'!N135+'Lokal-A'!N135</f>
        <v>0</v>
      </c>
      <c r="O135" s="183">
        <f>'Balin-A'!O135+'Sinta-A'!O135+'Kumai-A'!O135+'Lokal-A'!O135</f>
        <v>0</v>
      </c>
      <c r="P135" s="183">
        <f>'Balin-A'!P135+'Sinta-A'!P135+'Kumai-A'!P135+'Lokal-A'!P135</f>
        <v>0</v>
      </c>
      <c r="Q135" s="183">
        <f>'Balin-A'!Q135+'Sinta-A'!Q135+'Kumai-A'!Q135+'Lokal-A'!Q135</f>
        <v>0</v>
      </c>
      <c r="R135" s="183">
        <f t="shared" si="6"/>
        <v>0</v>
      </c>
      <c r="S135" s="183">
        <f t="shared" si="7"/>
        <v>0</v>
      </c>
      <c r="T135" s="183">
        <f t="shared" si="8"/>
        <v>0</v>
      </c>
      <c r="U135" s="186"/>
    </row>
    <row r="136" ht="14.25" customHeight="1">
      <c r="A136" s="175"/>
      <c r="B136" s="214"/>
      <c r="C136" s="181"/>
      <c r="D136" s="209"/>
      <c r="E136" s="183">
        <f>'Balin-A'!E136+'Sinta-A'!E136+'Kumai-A'!E136+'Lokal-A'!E136</f>
        <v>0</v>
      </c>
      <c r="F136" s="183">
        <f>'Balin-A'!F136+'Sinta-A'!F136+'Kumai-A'!F136+'Lokal-A'!F136</f>
        <v>0</v>
      </c>
      <c r="G136" s="183">
        <f>'Balin-A'!G136+'Sinta-A'!G136+'Kumai-A'!G136+'Lokal-A'!G136</f>
        <v>0</v>
      </c>
      <c r="H136" s="183">
        <f>'Balin-A'!H136+'Sinta-A'!H136+'Kumai-A'!H136+'Lokal-A'!H136</f>
        <v>0</v>
      </c>
      <c r="I136" s="183">
        <f>'Balin-A'!I136+'Sinta-A'!I136+'Kumai-A'!I136+'Lokal-A'!I136</f>
        <v>0</v>
      </c>
      <c r="J136" s="185">
        <f t="shared" si="2"/>
        <v>0</v>
      </c>
      <c r="K136" s="183">
        <f t="shared" si="3"/>
        <v>0</v>
      </c>
      <c r="L136" s="183">
        <f t="shared" si="4"/>
        <v>0</v>
      </c>
      <c r="M136" s="183">
        <f t="shared" si="5"/>
        <v>0</v>
      </c>
      <c r="N136" s="183">
        <f>'Balin-A'!N136+'Sinta-A'!N136+'Kumai-A'!N136+'Lokal-A'!N136</f>
        <v>0</v>
      </c>
      <c r="O136" s="183">
        <f>'Balin-A'!O136+'Sinta-A'!O136+'Kumai-A'!O136+'Lokal-A'!O136</f>
        <v>0</v>
      </c>
      <c r="P136" s="183">
        <f>'Balin-A'!P136+'Sinta-A'!P136+'Kumai-A'!P136+'Lokal-A'!P136</f>
        <v>0</v>
      </c>
      <c r="Q136" s="183">
        <f>'Balin-A'!Q136+'Sinta-A'!Q136+'Kumai-A'!Q136+'Lokal-A'!Q136</f>
        <v>0</v>
      </c>
      <c r="R136" s="183">
        <f t="shared" si="6"/>
        <v>0</v>
      </c>
      <c r="S136" s="183">
        <f t="shared" si="7"/>
        <v>0</v>
      </c>
      <c r="T136" s="183">
        <f t="shared" si="8"/>
        <v>0</v>
      </c>
      <c r="U136" s="186"/>
    </row>
    <row r="137" ht="14.25" customHeight="1">
      <c r="A137" s="175"/>
      <c r="B137" s="214"/>
      <c r="C137" s="181"/>
      <c r="D137" s="209"/>
      <c r="E137" s="183">
        <f>'Balin-A'!E137+'Sinta-A'!E137+'Kumai-A'!E137+'Lokal-A'!E137</f>
        <v>0</v>
      </c>
      <c r="F137" s="183">
        <f>'Balin-A'!F137+'Sinta-A'!F137+'Kumai-A'!F137+'Lokal-A'!F137</f>
        <v>0</v>
      </c>
      <c r="G137" s="183">
        <f>'Balin-A'!G137+'Sinta-A'!G137+'Kumai-A'!G137+'Lokal-A'!G137</f>
        <v>0</v>
      </c>
      <c r="H137" s="183">
        <f>'Balin-A'!H137+'Sinta-A'!H137+'Kumai-A'!H137+'Lokal-A'!H137</f>
        <v>0</v>
      </c>
      <c r="I137" s="183">
        <f>'Balin-A'!I137+'Sinta-A'!I137+'Kumai-A'!I137+'Lokal-A'!I137</f>
        <v>0</v>
      </c>
      <c r="J137" s="185">
        <f t="shared" si="2"/>
        <v>0</v>
      </c>
      <c r="K137" s="183">
        <f t="shared" si="3"/>
        <v>0</v>
      </c>
      <c r="L137" s="183">
        <f t="shared" si="4"/>
        <v>0</v>
      </c>
      <c r="M137" s="183">
        <f t="shared" si="5"/>
        <v>0</v>
      </c>
      <c r="N137" s="183">
        <f>'Balin-A'!N137+'Sinta-A'!N137+'Kumai-A'!N137+'Lokal-A'!N137</f>
        <v>0</v>
      </c>
      <c r="O137" s="183">
        <f>'Balin-A'!O137+'Sinta-A'!O137+'Kumai-A'!O137+'Lokal-A'!O137</f>
        <v>0</v>
      </c>
      <c r="P137" s="183">
        <f>'Balin-A'!P137+'Sinta-A'!P137+'Kumai-A'!P137+'Lokal-A'!P137</f>
        <v>0</v>
      </c>
      <c r="Q137" s="183">
        <f>'Balin-A'!Q137+'Sinta-A'!Q137+'Kumai-A'!Q137+'Lokal-A'!Q137</f>
        <v>0</v>
      </c>
      <c r="R137" s="183">
        <f t="shared" si="6"/>
        <v>0</v>
      </c>
      <c r="S137" s="183">
        <f t="shared" si="7"/>
        <v>0</v>
      </c>
      <c r="T137" s="183">
        <f t="shared" si="8"/>
        <v>0</v>
      </c>
      <c r="U137" s="186"/>
    </row>
    <row r="138" ht="14.25" customHeight="1">
      <c r="A138" s="175"/>
      <c r="B138" s="215"/>
      <c r="C138" s="216"/>
      <c r="D138" s="209"/>
      <c r="E138" s="183">
        <f>'Balin-A'!E138+'Sinta-A'!E138+'Kumai-A'!E138+'Lokal-A'!E138</f>
        <v>0</v>
      </c>
      <c r="F138" s="183">
        <f>'Balin-A'!F138+'Sinta-A'!F138+'Kumai-A'!F138+'Lokal-A'!F138</f>
        <v>0</v>
      </c>
      <c r="G138" s="183">
        <f>'Balin-A'!G138+'Sinta-A'!G138+'Kumai-A'!G138+'Lokal-A'!G138</f>
        <v>0</v>
      </c>
      <c r="H138" s="183">
        <f>'Balin-A'!H138+'Sinta-A'!H138+'Kumai-A'!H138+'Lokal-A'!H138</f>
        <v>0</v>
      </c>
      <c r="I138" s="183">
        <f>'Balin-A'!I138+'Sinta-A'!I138+'Kumai-A'!I138+'Lokal-A'!I138</f>
        <v>0</v>
      </c>
      <c r="J138" s="185">
        <f t="shared" si="2"/>
        <v>0</v>
      </c>
      <c r="K138" s="183">
        <f t="shared" si="3"/>
        <v>0</v>
      </c>
      <c r="L138" s="183">
        <f t="shared" si="4"/>
        <v>0</v>
      </c>
      <c r="M138" s="183">
        <f t="shared" si="5"/>
        <v>0</v>
      </c>
      <c r="N138" s="183">
        <f>'Balin-A'!N138+'Sinta-A'!N138+'Kumai-A'!N138+'Lokal-A'!N138</f>
        <v>0</v>
      </c>
      <c r="O138" s="183">
        <f>'Balin-A'!O138+'Sinta-A'!O138+'Kumai-A'!O138+'Lokal-A'!O138</f>
        <v>0</v>
      </c>
      <c r="P138" s="183">
        <f>'Balin-A'!P138+'Sinta-A'!P138+'Kumai-A'!P138+'Lokal-A'!P138</f>
        <v>0</v>
      </c>
      <c r="Q138" s="183">
        <f>'Balin-A'!Q138+'Sinta-A'!Q138+'Kumai-A'!Q138+'Lokal-A'!Q138</f>
        <v>0</v>
      </c>
      <c r="R138" s="183">
        <f t="shared" si="6"/>
        <v>0</v>
      </c>
      <c r="S138" s="183">
        <f t="shared" si="7"/>
        <v>0</v>
      </c>
      <c r="T138" s="183">
        <f t="shared" si="8"/>
        <v>0</v>
      </c>
      <c r="U138" s="186"/>
    </row>
    <row r="139" ht="14.25" customHeight="1">
      <c r="A139" s="175"/>
      <c r="B139" s="191" t="s">
        <v>877</v>
      </c>
      <c r="C139" s="199"/>
      <c r="D139" s="200"/>
      <c r="E139" s="201">
        <f t="shared" ref="E139:I139" si="55">SUM(E133:E138)</f>
        <v>0</v>
      </c>
      <c r="F139" s="201">
        <f t="shared" si="55"/>
        <v>0</v>
      </c>
      <c r="G139" s="201">
        <f t="shared" si="55"/>
        <v>0</v>
      </c>
      <c r="H139" s="201">
        <f t="shared" si="55"/>
        <v>0</v>
      </c>
      <c r="I139" s="201">
        <f t="shared" si="55"/>
        <v>0</v>
      </c>
      <c r="J139" s="201">
        <f t="shared" si="2"/>
        <v>0</v>
      </c>
      <c r="K139" s="201">
        <f t="shared" si="3"/>
        <v>0</v>
      </c>
      <c r="L139" s="201">
        <f t="shared" si="4"/>
        <v>0</v>
      </c>
      <c r="M139" s="201">
        <f t="shared" si="5"/>
        <v>0</v>
      </c>
      <c r="N139" s="201">
        <f t="shared" ref="N139:Q139" si="56">SUM(N133:N138)</f>
        <v>0</v>
      </c>
      <c r="O139" s="201">
        <f t="shared" si="56"/>
        <v>0</v>
      </c>
      <c r="P139" s="201">
        <f t="shared" si="56"/>
        <v>0</v>
      </c>
      <c r="Q139" s="201">
        <f t="shared" si="56"/>
        <v>0</v>
      </c>
      <c r="R139" s="201">
        <f t="shared" si="6"/>
        <v>0</v>
      </c>
      <c r="S139" s="201">
        <f t="shared" si="7"/>
        <v>0</v>
      </c>
      <c r="T139" s="201">
        <f t="shared" si="8"/>
        <v>0</v>
      </c>
      <c r="U139" s="186"/>
    </row>
    <row r="140" ht="14.25" customHeight="1">
      <c r="A140" s="175"/>
      <c r="B140" s="208" t="s">
        <v>142</v>
      </c>
      <c r="C140" s="181" t="s">
        <v>417</v>
      </c>
      <c r="D140" s="217" t="s">
        <v>143</v>
      </c>
      <c r="E140" s="183">
        <f>'Balin-A'!E140+'Sinta-A'!E140+'Kumai-A'!E140+'Lokal-A'!E140</f>
        <v>0</v>
      </c>
      <c r="F140" s="183">
        <f>'Balin-A'!F140+'Sinta-A'!F140+'Kumai-A'!F140+'Lokal-A'!F140</f>
        <v>0</v>
      </c>
      <c r="G140" s="183">
        <f>'Balin-A'!G140+'Sinta-A'!G140+'Kumai-A'!G140+'Lokal-A'!G140</f>
        <v>0</v>
      </c>
      <c r="H140" s="183">
        <f>'Balin-A'!H140+'Sinta-A'!H140+'Kumai-A'!H140+'Lokal-A'!H140</f>
        <v>0</v>
      </c>
      <c r="I140" s="183">
        <f>'Balin-A'!I140+'Sinta-A'!I140+'Kumai-A'!I140+'Lokal-A'!I140</f>
        <v>0</v>
      </c>
      <c r="J140" s="185">
        <f t="shared" si="2"/>
        <v>0</v>
      </c>
      <c r="K140" s="183">
        <f t="shared" si="3"/>
        <v>0</v>
      </c>
      <c r="L140" s="183">
        <f t="shared" si="4"/>
        <v>0</v>
      </c>
      <c r="M140" s="183">
        <f t="shared" si="5"/>
        <v>0</v>
      </c>
      <c r="N140" s="183">
        <f>'Balin-A'!N140+'Sinta-A'!N140+'Kumai-A'!N140+'Lokal-A'!N140</f>
        <v>6333334</v>
      </c>
      <c r="O140" s="183">
        <f>'Balin-A'!O140+'Sinta-A'!O140+'Kumai-A'!O140+'Lokal-A'!O140</f>
        <v>33327685</v>
      </c>
      <c r="P140" s="183">
        <f>'Balin-A'!P140+'Sinta-A'!P140+'Kumai-A'!P140+'Lokal-A'!P140</f>
        <v>0</v>
      </c>
      <c r="Q140" s="183">
        <f>'Balin-A'!Q140+'Sinta-A'!Q140+'Kumai-A'!Q140+'Lokal-A'!Q140</f>
        <v>0</v>
      </c>
      <c r="R140" s="210">
        <f t="shared" si="6"/>
        <v>19.0032221</v>
      </c>
      <c r="S140" s="183">
        <f t="shared" si="7"/>
        <v>0</v>
      </c>
      <c r="T140" s="183">
        <f t="shared" si="8"/>
        <v>0</v>
      </c>
      <c r="U140" s="186"/>
    </row>
    <row r="141" ht="14.25" customHeight="1">
      <c r="A141" s="175"/>
      <c r="B141" s="208" t="s">
        <v>878</v>
      </c>
      <c r="C141" s="181"/>
      <c r="D141" s="217" t="s">
        <v>134</v>
      </c>
      <c r="E141" s="183">
        <f>'Balin-A'!E141+'Sinta-A'!E141+'Kumai-A'!E141+'Lokal-A'!E141</f>
        <v>0</v>
      </c>
      <c r="F141" s="183">
        <f>'Balin-A'!F141+'Sinta-A'!F141+'Kumai-A'!F141+'Lokal-A'!F141</f>
        <v>0</v>
      </c>
      <c r="G141" s="183">
        <f>'Balin-A'!G141+'Sinta-A'!G141+'Kumai-A'!G141+'Lokal-A'!G141</f>
        <v>0</v>
      </c>
      <c r="H141" s="183">
        <f>'Balin-A'!H141+'Sinta-A'!H141+'Kumai-A'!H141+'Lokal-A'!H141</f>
        <v>0</v>
      </c>
      <c r="I141" s="183">
        <f>'Balin-A'!I141+'Sinta-A'!I141+'Kumai-A'!I141+'Lokal-A'!I141</f>
        <v>0</v>
      </c>
      <c r="J141" s="185">
        <f t="shared" si="2"/>
        <v>0</v>
      </c>
      <c r="K141" s="183">
        <f t="shared" si="3"/>
        <v>0</v>
      </c>
      <c r="L141" s="183">
        <f t="shared" si="4"/>
        <v>0</v>
      </c>
      <c r="M141" s="183">
        <f t="shared" si="5"/>
        <v>0</v>
      </c>
      <c r="N141" s="183">
        <f>'Balin-A'!N141+'Sinta-A'!N141+'Kumai-A'!N141+'Lokal-A'!N141</f>
        <v>0</v>
      </c>
      <c r="O141" s="183">
        <f>'Balin-A'!O141+'Sinta-A'!O141+'Kumai-A'!O141+'Lokal-A'!O141</f>
        <v>0</v>
      </c>
      <c r="P141" s="183">
        <f>'Balin-A'!P141+'Sinta-A'!P141+'Kumai-A'!P141+'Lokal-A'!P141</f>
        <v>0</v>
      </c>
      <c r="Q141" s="183">
        <f>'Balin-A'!Q141+'Sinta-A'!Q141+'Kumai-A'!Q141+'Lokal-A'!Q141</f>
        <v>0</v>
      </c>
      <c r="R141" s="183">
        <f t="shared" si="6"/>
        <v>0</v>
      </c>
      <c r="S141" s="183">
        <f t="shared" si="7"/>
        <v>0</v>
      </c>
      <c r="T141" s="183">
        <f t="shared" si="8"/>
        <v>0</v>
      </c>
      <c r="U141" s="186"/>
    </row>
    <row r="142" ht="14.25" customHeight="1">
      <c r="A142" s="175"/>
      <c r="B142" s="208" t="s">
        <v>45</v>
      </c>
      <c r="C142" s="181"/>
      <c r="D142" s="217" t="s">
        <v>46</v>
      </c>
      <c r="E142" s="183">
        <f>'Balin-A'!E142+'Sinta-A'!E142+'Kumai-A'!E142+'Lokal-A'!E142</f>
        <v>16011168</v>
      </c>
      <c r="F142" s="183">
        <f>'Balin-A'!F142+'Sinta-A'!F142+'Kumai-A'!F142+'Lokal-A'!F142</f>
        <v>19859439</v>
      </c>
      <c r="G142" s="183">
        <f>'Balin-A'!G142+'Sinta-A'!G142+'Kumai-A'!G142+'Lokal-A'!G142</f>
        <v>18193054</v>
      </c>
      <c r="H142" s="183">
        <f>'Balin-A'!H142+'Sinta-A'!H142+'Kumai-A'!H142+'Lokal-A'!H142</f>
        <v>0</v>
      </c>
      <c r="I142" s="183">
        <f>'Balin-A'!I142+'Sinta-A'!I142+'Kumai-A'!I142+'Lokal-A'!I142</f>
        <v>0</v>
      </c>
      <c r="J142" s="185">
        <f t="shared" si="2"/>
        <v>80.62245867</v>
      </c>
      <c r="K142" s="183">
        <f t="shared" si="3"/>
        <v>88.00703829</v>
      </c>
      <c r="L142" s="183">
        <f t="shared" si="4"/>
        <v>0</v>
      </c>
      <c r="M142" s="183">
        <f t="shared" si="5"/>
        <v>0</v>
      </c>
      <c r="N142" s="183">
        <f>'Balin-A'!N142+'Sinta-A'!N142+'Kumai-A'!N142+'Lokal-A'!N142</f>
        <v>80958030</v>
      </c>
      <c r="O142" s="183">
        <f>'Balin-A'!O142+'Sinta-A'!O142+'Kumai-A'!O142+'Lokal-A'!O142</f>
        <v>109213280</v>
      </c>
      <c r="P142" s="183">
        <f>'Balin-A'!P142+'Sinta-A'!P142+'Kumai-A'!P142+'Lokal-A'!P142</f>
        <v>0</v>
      </c>
      <c r="Q142" s="183">
        <f>'Balin-A'!Q142+'Sinta-A'!Q142+'Kumai-A'!Q142+'Lokal-A'!Q142</f>
        <v>0</v>
      </c>
      <c r="R142" s="183">
        <f t="shared" si="6"/>
        <v>74.12837523</v>
      </c>
      <c r="S142" s="183">
        <f t="shared" si="7"/>
        <v>0</v>
      </c>
      <c r="T142" s="183">
        <f t="shared" si="8"/>
        <v>0</v>
      </c>
      <c r="U142" s="186"/>
    </row>
    <row r="143" ht="14.25" customHeight="1">
      <c r="A143" s="175"/>
      <c r="B143" s="218" t="s">
        <v>879</v>
      </c>
      <c r="C143" s="181"/>
      <c r="D143" s="217" t="s">
        <v>880</v>
      </c>
      <c r="E143" s="183">
        <f>'Balin-A'!E143+'Sinta-A'!E143+'Kumai-A'!E143+'Lokal-A'!E143</f>
        <v>0</v>
      </c>
      <c r="F143" s="183">
        <f>'Balin-A'!F143+'Sinta-A'!F143+'Kumai-A'!F143+'Lokal-A'!F143</f>
        <v>0</v>
      </c>
      <c r="G143" s="183">
        <f>'Balin-A'!G143+'Sinta-A'!G143+'Kumai-A'!G143+'Lokal-A'!G143</f>
        <v>0</v>
      </c>
      <c r="H143" s="183">
        <f>'Balin-A'!H143+'Sinta-A'!H143+'Kumai-A'!H143+'Lokal-A'!H143</f>
        <v>0</v>
      </c>
      <c r="I143" s="183">
        <f>'Balin-A'!I143+'Sinta-A'!I143+'Kumai-A'!I143+'Lokal-A'!I143</f>
        <v>0</v>
      </c>
      <c r="J143" s="185">
        <f t="shared" si="2"/>
        <v>0</v>
      </c>
      <c r="K143" s="183">
        <f t="shared" si="3"/>
        <v>0</v>
      </c>
      <c r="L143" s="183">
        <f t="shared" si="4"/>
        <v>0</v>
      </c>
      <c r="M143" s="183">
        <f t="shared" si="5"/>
        <v>0</v>
      </c>
      <c r="N143" s="183">
        <f>'Balin-A'!N143+'Sinta-A'!N143+'Kumai-A'!N143+'Lokal-A'!N143</f>
        <v>0</v>
      </c>
      <c r="O143" s="183">
        <f>'Balin-A'!O143+'Sinta-A'!O143+'Kumai-A'!O143+'Lokal-A'!O143</f>
        <v>0</v>
      </c>
      <c r="P143" s="183">
        <f>'Balin-A'!P143+'Sinta-A'!P143+'Kumai-A'!P143+'Lokal-A'!P143</f>
        <v>0</v>
      </c>
      <c r="Q143" s="183">
        <f>'Balin-A'!Q143+'Sinta-A'!Q143+'Kumai-A'!Q143+'Lokal-A'!Q143</f>
        <v>0</v>
      </c>
      <c r="R143" s="183">
        <f t="shared" si="6"/>
        <v>0</v>
      </c>
      <c r="S143" s="183">
        <f t="shared" si="7"/>
        <v>0</v>
      </c>
      <c r="T143" s="183">
        <f t="shared" si="8"/>
        <v>0</v>
      </c>
      <c r="U143" s="186"/>
    </row>
    <row r="144" ht="14.25" customHeight="1">
      <c r="A144" s="175"/>
      <c r="B144" s="219" t="s">
        <v>70</v>
      </c>
      <c r="C144" s="181"/>
      <c r="D144" s="217" t="s">
        <v>71</v>
      </c>
      <c r="E144" s="183">
        <f>'Balin-A'!E144+'Sinta-A'!E144+'Kumai-A'!E144+'Lokal-A'!E144</f>
        <v>257400</v>
      </c>
      <c r="F144" s="183">
        <f>'Balin-A'!F144+'Sinta-A'!F144+'Kumai-A'!F144+'Lokal-A'!F144</f>
        <v>252000</v>
      </c>
      <c r="G144" s="183">
        <f>'Balin-A'!G144+'Sinta-A'!G144+'Kumai-A'!G144+'Lokal-A'!G144</f>
        <v>0</v>
      </c>
      <c r="H144" s="183">
        <f>'Balin-A'!H144+'Sinta-A'!H144+'Kumai-A'!H144+'Lokal-A'!H144</f>
        <v>41457711</v>
      </c>
      <c r="I144" s="183">
        <f>'Balin-A'!I144+'Sinta-A'!I144+'Kumai-A'!I144+'Lokal-A'!I144</f>
        <v>41457711</v>
      </c>
      <c r="J144" s="185">
        <f t="shared" si="2"/>
        <v>102.1428571</v>
      </c>
      <c r="K144" s="183">
        <f t="shared" si="3"/>
        <v>0</v>
      </c>
      <c r="L144" s="183">
        <f t="shared" si="4"/>
        <v>0.6208736416</v>
      </c>
      <c r="M144" s="183">
        <f t="shared" si="5"/>
        <v>0.6208736416</v>
      </c>
      <c r="N144" s="183">
        <f>'Balin-A'!N144+'Sinta-A'!N144+'Kumai-A'!N144+'Lokal-A'!N144</f>
        <v>1231200</v>
      </c>
      <c r="O144" s="183">
        <f>'Balin-A'!O144+'Sinta-A'!O144+'Kumai-A'!O144+'Lokal-A'!O144</f>
        <v>1443600</v>
      </c>
      <c r="P144" s="183">
        <f>'Balin-A'!P144+'Sinta-A'!P144+'Kumai-A'!P144+'Lokal-A'!P144</f>
        <v>254930812</v>
      </c>
      <c r="Q144" s="183">
        <f>'Balin-A'!Q144+'Sinta-A'!Q144+'Kumai-A'!Q144+'Lokal-A'!Q144</f>
        <v>254930812</v>
      </c>
      <c r="R144" s="183">
        <f t="shared" si="6"/>
        <v>85.28678304</v>
      </c>
      <c r="S144" s="183">
        <f t="shared" si="7"/>
        <v>0.4829545673</v>
      </c>
      <c r="T144" s="183">
        <f t="shared" si="8"/>
        <v>0.4829545673</v>
      </c>
      <c r="U144" s="186"/>
    </row>
    <row r="145" ht="14.25" customHeight="1">
      <c r="A145" s="175"/>
      <c r="B145" s="219" t="s">
        <v>47</v>
      </c>
      <c r="C145" s="181"/>
      <c r="D145" s="217" t="s">
        <v>48</v>
      </c>
      <c r="E145" s="183">
        <f>'Balin-A'!E145+'Sinta-A'!E145+'Kumai-A'!E145+'Lokal-A'!E145</f>
        <v>30312085</v>
      </c>
      <c r="F145" s="183">
        <f>'Balin-A'!F145+'Sinta-A'!F145+'Kumai-A'!F145+'Lokal-A'!F145</f>
        <v>26321376</v>
      </c>
      <c r="G145" s="183">
        <f>'Balin-A'!G145+'Sinta-A'!G145+'Kumai-A'!G145+'Lokal-A'!G145</f>
        <v>33682647</v>
      </c>
      <c r="H145" s="183">
        <f>'Balin-A'!H145+'Sinta-A'!H145+'Kumai-A'!H145+'Lokal-A'!H145</f>
        <v>0</v>
      </c>
      <c r="I145" s="183">
        <f>'Balin-A'!I145+'Sinta-A'!I145+'Kumai-A'!I145+'Lokal-A'!I145</f>
        <v>0</v>
      </c>
      <c r="J145" s="185">
        <f t="shared" si="2"/>
        <v>115.1614756</v>
      </c>
      <c r="K145" s="183">
        <f t="shared" si="3"/>
        <v>89.99317957</v>
      </c>
      <c r="L145" s="183">
        <f t="shared" si="4"/>
        <v>0</v>
      </c>
      <c r="M145" s="183">
        <f t="shared" si="5"/>
        <v>0</v>
      </c>
      <c r="N145" s="183">
        <f>'Balin-A'!N145+'Sinta-A'!N145+'Kumai-A'!N145+'Lokal-A'!N145</f>
        <v>146788416</v>
      </c>
      <c r="O145" s="183">
        <f>'Balin-A'!O145+'Sinta-A'!O145+'Kumai-A'!O145+'Lokal-A'!O145</f>
        <v>159594301</v>
      </c>
      <c r="P145" s="183">
        <f>'Balin-A'!P145+'Sinta-A'!P145+'Kumai-A'!P145+'Lokal-A'!P145</f>
        <v>0</v>
      </c>
      <c r="Q145" s="183">
        <f>'Balin-A'!Q145+'Sinta-A'!Q145+'Kumai-A'!Q145+'Lokal-A'!Q145</f>
        <v>0</v>
      </c>
      <c r="R145" s="183">
        <f t="shared" si="6"/>
        <v>91.97597601</v>
      </c>
      <c r="S145" s="183">
        <f t="shared" si="7"/>
        <v>0</v>
      </c>
      <c r="T145" s="183">
        <f t="shared" si="8"/>
        <v>0</v>
      </c>
      <c r="U145" s="186"/>
    </row>
    <row r="146" ht="14.25" customHeight="1">
      <c r="A146" s="175"/>
      <c r="B146" s="219"/>
      <c r="C146" s="181"/>
      <c r="D146" s="220"/>
      <c r="E146" s="183">
        <f>'Balin-A'!E146+'Sinta-A'!E146+'Kumai-A'!E146+'Lokal-A'!E146</f>
        <v>0</v>
      </c>
      <c r="F146" s="183">
        <f>'Balin-A'!F146+'Sinta-A'!F146+'Kumai-A'!F146+'Lokal-A'!F146</f>
        <v>0</v>
      </c>
      <c r="G146" s="183">
        <f>'Balin-A'!G146+'Sinta-A'!G146+'Kumai-A'!G146+'Lokal-A'!G146</f>
        <v>0</v>
      </c>
      <c r="H146" s="183">
        <f>'Balin-A'!H146+'Sinta-A'!H146+'Kumai-A'!H146+'Lokal-A'!H146</f>
        <v>0</v>
      </c>
      <c r="I146" s="183">
        <f>'Balin-A'!I146+'Sinta-A'!I146+'Kumai-A'!I146+'Lokal-A'!I146</f>
        <v>0</v>
      </c>
      <c r="J146" s="185">
        <f t="shared" si="2"/>
        <v>0</v>
      </c>
      <c r="K146" s="183">
        <f t="shared" si="3"/>
        <v>0</v>
      </c>
      <c r="L146" s="183">
        <f t="shared" si="4"/>
        <v>0</v>
      </c>
      <c r="M146" s="183">
        <f t="shared" si="5"/>
        <v>0</v>
      </c>
      <c r="N146" s="183">
        <f>'Balin-A'!N146+'Sinta-A'!N146+'Kumai-A'!N146+'Lokal-A'!N146</f>
        <v>0</v>
      </c>
      <c r="O146" s="183">
        <f>'Balin-A'!O146+'Sinta-A'!O146+'Kumai-A'!O146+'Lokal-A'!O146</f>
        <v>0</v>
      </c>
      <c r="P146" s="183">
        <f>'Balin-A'!P146+'Sinta-A'!P146+'Kumai-A'!P146+'Lokal-A'!P146</f>
        <v>0</v>
      </c>
      <c r="Q146" s="183">
        <f>'Balin-A'!Q146+'Sinta-A'!Q146+'Kumai-A'!Q146+'Lokal-A'!Q146</f>
        <v>0</v>
      </c>
      <c r="R146" s="183">
        <f t="shared" si="6"/>
        <v>0</v>
      </c>
      <c r="S146" s="183">
        <f t="shared" si="7"/>
        <v>0</v>
      </c>
      <c r="T146" s="183">
        <f t="shared" si="8"/>
        <v>0</v>
      </c>
      <c r="U146" s="202"/>
    </row>
    <row r="147" ht="14.25" customHeight="1">
      <c r="A147" s="175"/>
      <c r="B147" s="212" t="s">
        <v>881</v>
      </c>
      <c r="C147" s="199"/>
      <c r="D147" s="200"/>
      <c r="E147" s="201">
        <f t="shared" ref="E147:I147" si="57">SUM(E140:E146)</f>
        <v>46580653</v>
      </c>
      <c r="F147" s="201">
        <f t="shared" si="57"/>
        <v>46432815</v>
      </c>
      <c r="G147" s="201">
        <f t="shared" si="57"/>
        <v>51875701</v>
      </c>
      <c r="H147" s="201">
        <f t="shared" si="57"/>
        <v>41457711</v>
      </c>
      <c r="I147" s="201">
        <f t="shared" si="57"/>
        <v>41457711</v>
      </c>
      <c r="J147" s="201">
        <f t="shared" si="2"/>
        <v>100.3183912</v>
      </c>
      <c r="K147" s="201">
        <f t="shared" si="3"/>
        <v>89.79281649</v>
      </c>
      <c r="L147" s="201">
        <f t="shared" si="4"/>
        <v>112.3570305</v>
      </c>
      <c r="M147" s="201">
        <f t="shared" si="5"/>
        <v>112.3570305</v>
      </c>
      <c r="N147" s="201">
        <f t="shared" ref="N147:Q147" si="58">SUM(N140:N146)</f>
        <v>235310980</v>
      </c>
      <c r="O147" s="201">
        <f t="shared" si="58"/>
        <v>303578866</v>
      </c>
      <c r="P147" s="201">
        <f t="shared" si="58"/>
        <v>254930812</v>
      </c>
      <c r="Q147" s="201">
        <f t="shared" si="58"/>
        <v>254930812</v>
      </c>
      <c r="R147" s="201">
        <f t="shared" si="6"/>
        <v>77.51230614</v>
      </c>
      <c r="S147" s="201">
        <f t="shared" si="7"/>
        <v>92.30386008</v>
      </c>
      <c r="T147" s="201">
        <f t="shared" si="8"/>
        <v>92.30386008</v>
      </c>
      <c r="U147" s="186"/>
    </row>
    <row r="148" ht="14.25" customHeight="1">
      <c r="A148" s="175"/>
      <c r="B148" s="204" t="s">
        <v>882</v>
      </c>
      <c r="C148" s="205"/>
      <c r="D148" s="206"/>
      <c r="E148" s="207">
        <f t="shared" ref="E148:I148" si="59">E147+E139</f>
        <v>46580653</v>
      </c>
      <c r="F148" s="207">
        <f t="shared" si="59"/>
        <v>46432815</v>
      </c>
      <c r="G148" s="207">
        <f t="shared" si="59"/>
        <v>51875701</v>
      </c>
      <c r="H148" s="207">
        <f t="shared" si="59"/>
        <v>41457711</v>
      </c>
      <c r="I148" s="207">
        <f t="shared" si="59"/>
        <v>41457711</v>
      </c>
      <c r="J148" s="207">
        <f t="shared" si="2"/>
        <v>100.3183912</v>
      </c>
      <c r="K148" s="207">
        <f t="shared" si="3"/>
        <v>89.79281649</v>
      </c>
      <c r="L148" s="207">
        <f t="shared" si="4"/>
        <v>112.3570305</v>
      </c>
      <c r="M148" s="207">
        <f t="shared" si="5"/>
        <v>112.3570305</v>
      </c>
      <c r="N148" s="207">
        <f t="shared" ref="N148:Q148" si="60">N147+N139</f>
        <v>235310980</v>
      </c>
      <c r="O148" s="207">
        <f t="shared" si="60"/>
        <v>303578866</v>
      </c>
      <c r="P148" s="207">
        <f t="shared" si="60"/>
        <v>254930812</v>
      </c>
      <c r="Q148" s="207">
        <f t="shared" si="60"/>
        <v>254930812</v>
      </c>
      <c r="R148" s="207">
        <f t="shared" si="6"/>
        <v>77.51230614</v>
      </c>
      <c r="S148" s="207">
        <f t="shared" si="7"/>
        <v>92.30386008</v>
      </c>
      <c r="T148" s="207">
        <f t="shared" si="8"/>
        <v>92.30386008</v>
      </c>
      <c r="U148" s="186"/>
    </row>
    <row r="149" ht="14.25" customHeight="1">
      <c r="A149" s="175"/>
      <c r="B149" s="221" t="s">
        <v>883</v>
      </c>
      <c r="C149" s="222"/>
      <c r="D149" s="223"/>
      <c r="E149" s="224">
        <f t="shared" ref="E149:I149" si="61">E148+E132+E119+E77+E10+E12</f>
        <v>768863962</v>
      </c>
      <c r="F149" s="224">
        <f t="shared" si="61"/>
        <v>1629725654</v>
      </c>
      <c r="G149" s="224">
        <f t="shared" si="61"/>
        <v>922210986</v>
      </c>
      <c r="H149" s="224">
        <f t="shared" si="61"/>
        <v>805044637</v>
      </c>
      <c r="I149" s="224">
        <f t="shared" si="61"/>
        <v>805044637</v>
      </c>
      <c r="J149" s="224">
        <f t="shared" si="2"/>
        <v>47.17750869</v>
      </c>
      <c r="K149" s="224">
        <f t="shared" si="3"/>
        <v>83.37180685</v>
      </c>
      <c r="L149" s="224">
        <f t="shared" si="4"/>
        <v>95.50575542</v>
      </c>
      <c r="M149" s="224">
        <f t="shared" si="5"/>
        <v>95.50575542</v>
      </c>
      <c r="N149" s="224">
        <f t="shared" ref="N149:Q149" si="62">N148+N132+N119+N77+N10+N12</f>
        <v>3798453182</v>
      </c>
      <c r="O149" s="224">
        <f t="shared" si="62"/>
        <v>4641772078</v>
      </c>
      <c r="P149" s="224">
        <f t="shared" si="62"/>
        <v>4621659687</v>
      </c>
      <c r="Q149" s="224">
        <f t="shared" si="62"/>
        <v>4621659687</v>
      </c>
      <c r="R149" s="224">
        <f t="shared" si="6"/>
        <v>81.83196241</v>
      </c>
      <c r="S149" s="224">
        <f t="shared" si="7"/>
        <v>82.18807613</v>
      </c>
      <c r="T149" s="224">
        <f t="shared" si="8"/>
        <v>82.18807613</v>
      </c>
      <c r="U149" s="186"/>
    </row>
    <row r="150" ht="14.25" customHeight="1">
      <c r="A150" s="175"/>
      <c r="B150" s="226"/>
      <c r="C150" s="177"/>
      <c r="D150" s="178" t="s">
        <v>884</v>
      </c>
      <c r="E150" s="227"/>
      <c r="F150" s="227"/>
      <c r="G150" s="227"/>
      <c r="H150" s="228"/>
      <c r="I150" s="228"/>
      <c r="J150" s="227">
        <f t="shared" si="2"/>
        <v>0</v>
      </c>
      <c r="K150" s="227">
        <f t="shared" si="3"/>
        <v>0</v>
      </c>
      <c r="L150" s="228">
        <f t="shared" si="4"/>
        <v>0</v>
      </c>
      <c r="M150" s="228">
        <f t="shared" si="5"/>
        <v>0</v>
      </c>
      <c r="N150" s="227"/>
      <c r="O150" s="227"/>
      <c r="P150" s="228"/>
      <c r="Q150" s="228"/>
      <c r="R150" s="227">
        <f t="shared" si="6"/>
        <v>0</v>
      </c>
      <c r="S150" s="227">
        <f t="shared" si="7"/>
        <v>0</v>
      </c>
      <c r="T150" s="228">
        <f t="shared" si="8"/>
        <v>0</v>
      </c>
      <c r="U150" s="186"/>
    </row>
    <row r="151" ht="14.25" customHeight="1">
      <c r="A151" s="175"/>
      <c r="B151" s="230" t="s">
        <v>526</v>
      </c>
      <c r="D151" s="209" t="s">
        <v>885</v>
      </c>
      <c r="E151" s="183">
        <f>'Balin-A'!E151+'Sinta-A'!E151+'Kumai-A'!E151+'Lokal-A'!E151</f>
        <v>0</v>
      </c>
      <c r="F151" s="183">
        <f>'Balin-A'!F151+'Sinta-A'!F151+'Kumai-A'!F151+'Lokal-A'!F151</f>
        <v>0</v>
      </c>
      <c r="G151" s="183">
        <f>'Balin-A'!G151+'Sinta-A'!G151+'Kumai-A'!G151+'Lokal-A'!G151</f>
        <v>0</v>
      </c>
      <c r="H151" s="183">
        <f>'Balin-A'!H151+'Sinta-A'!H151+'Kumai-A'!H151+'Lokal-A'!H151</f>
        <v>0</v>
      </c>
      <c r="I151" s="183">
        <f>'Balin-A'!I151+'Sinta-A'!I151+'Kumai-A'!I151+'Lokal-A'!I151</f>
        <v>0</v>
      </c>
      <c r="J151" s="185">
        <f t="shared" si="2"/>
        <v>0</v>
      </c>
      <c r="K151" s="183">
        <f t="shared" si="3"/>
        <v>0</v>
      </c>
      <c r="L151" s="183">
        <f t="shared" si="4"/>
        <v>0</v>
      </c>
      <c r="M151" s="183">
        <f t="shared" si="5"/>
        <v>0</v>
      </c>
      <c r="N151" s="183">
        <f>'Balin-A'!N151+'Sinta-A'!N151+'Kumai-A'!N151+'Lokal-A'!N151</f>
        <v>0</v>
      </c>
      <c r="O151" s="183">
        <f>'Balin-A'!O151+'Sinta-A'!O151+'Kumai-A'!O151+'Lokal-A'!O151</f>
        <v>0</v>
      </c>
      <c r="P151" s="183">
        <f>'Balin-A'!P151+'Sinta-A'!P151+'Kumai-A'!P151+'Lokal-A'!P151</f>
        <v>0</v>
      </c>
      <c r="Q151" s="183">
        <f>'Balin-A'!Q151+'Sinta-A'!Q151+'Kumai-A'!Q151+'Lokal-A'!Q151</f>
        <v>0</v>
      </c>
      <c r="R151" s="183">
        <f t="shared" si="6"/>
        <v>0</v>
      </c>
      <c r="S151" s="183">
        <f t="shared" si="7"/>
        <v>0</v>
      </c>
      <c r="T151" s="183">
        <f t="shared" si="8"/>
        <v>0</v>
      </c>
      <c r="U151" s="186"/>
    </row>
    <row r="152" ht="14.25" customHeight="1">
      <c r="A152" s="175"/>
      <c r="B152" s="232" t="s">
        <v>503</v>
      </c>
      <c r="D152" s="209" t="s">
        <v>886</v>
      </c>
      <c r="E152" s="183">
        <f>'Balin-A'!E152+'Sinta-A'!E152+'Kumai-A'!E152+'Lokal-A'!E152</f>
        <v>364972073</v>
      </c>
      <c r="F152" s="183">
        <f>'Balin-A'!F152+'Sinta-A'!F152+'Kumai-A'!F152+'Lokal-A'!F152</f>
        <v>211541934</v>
      </c>
      <c r="G152" s="183">
        <f>'Balin-A'!G152+'Sinta-A'!G152+'Kumai-A'!G152+'Lokal-A'!G152</f>
        <v>364972076</v>
      </c>
      <c r="H152" s="183">
        <f>'Balin-A'!H152+'Sinta-A'!H152+'Kumai-A'!H152+'Lokal-A'!H152</f>
        <v>211541933</v>
      </c>
      <c r="I152" s="183">
        <f>'Balin-A'!I152+'Sinta-A'!I152+'Kumai-A'!I152+'Lokal-A'!I152</f>
        <v>211542000</v>
      </c>
      <c r="J152" s="185">
        <f t="shared" si="2"/>
        <v>172.5294206</v>
      </c>
      <c r="K152" s="183">
        <f t="shared" si="3"/>
        <v>99.99999918</v>
      </c>
      <c r="L152" s="183">
        <f t="shared" si="4"/>
        <v>172.5294214</v>
      </c>
      <c r="M152" s="183">
        <f t="shared" si="5"/>
        <v>172.5293667</v>
      </c>
      <c r="N152" s="183">
        <f>'Balin-A'!N152+'Sinta-A'!N152+'Kumai-A'!N152+'Lokal-A'!N152</f>
        <v>1729554859</v>
      </c>
      <c r="O152" s="183">
        <f>'Balin-A'!O152+'Sinta-A'!O152+'Kumai-A'!O152+'Lokal-A'!O152</f>
        <v>1824860360</v>
      </c>
      <c r="P152" s="183">
        <f>'Balin-A'!P152+'Sinta-A'!P152+'Kumai-A'!P152+'Lokal-A'!P152</f>
        <v>1057709665</v>
      </c>
      <c r="Q152" s="183">
        <f>'Balin-A'!Q152+'Sinta-A'!Q152+'Kumai-A'!Q152+'Lokal-A'!Q152</f>
        <v>1057710000</v>
      </c>
      <c r="R152" s="183">
        <f t="shared" si="6"/>
        <v>94.77738116</v>
      </c>
      <c r="S152" s="183">
        <f t="shared" si="7"/>
        <v>163.5188669</v>
      </c>
      <c r="T152" s="183">
        <f t="shared" si="8"/>
        <v>163.5188151</v>
      </c>
      <c r="U152" s="186"/>
    </row>
    <row r="153" ht="14.25" customHeight="1">
      <c r="A153" s="175"/>
      <c r="B153" s="230" t="s">
        <v>505</v>
      </c>
      <c r="D153" s="209" t="s">
        <v>887</v>
      </c>
      <c r="E153" s="183">
        <f>'Balin-A'!E153+'Sinta-A'!E153+'Kumai-A'!E153+'Lokal-A'!E153</f>
        <v>20819374</v>
      </c>
      <c r="F153" s="183">
        <f>'Balin-A'!F153+'Sinta-A'!F153+'Kumai-A'!F153+'Lokal-A'!F153</f>
        <v>20819376</v>
      </c>
      <c r="G153" s="183">
        <f>'Balin-A'!G153+'Sinta-A'!G153+'Kumai-A'!G153+'Lokal-A'!G153</f>
        <v>21926906</v>
      </c>
      <c r="H153" s="183">
        <f>'Balin-A'!H153+'Sinta-A'!H153+'Kumai-A'!H153+'Lokal-A'!H153</f>
        <v>0</v>
      </c>
      <c r="I153" s="183">
        <f>'Balin-A'!I153+'Sinta-A'!I153+'Kumai-A'!I153+'Lokal-A'!I153</f>
        <v>20819000</v>
      </c>
      <c r="J153" s="185">
        <f t="shared" si="2"/>
        <v>99.99999039</v>
      </c>
      <c r="K153" s="183">
        <f t="shared" si="3"/>
        <v>94.94898186</v>
      </c>
      <c r="L153" s="183">
        <f t="shared" si="4"/>
        <v>0</v>
      </c>
      <c r="M153" s="183">
        <f t="shared" si="5"/>
        <v>100.0017964</v>
      </c>
      <c r="N153" s="183">
        <f>'Balin-A'!N153+'Sinta-A'!N153+'Kumai-A'!N153+'Lokal-A'!N153</f>
        <v>109039277</v>
      </c>
      <c r="O153" s="183">
        <f>'Balin-A'!O153+'Sinta-A'!O153+'Kumai-A'!O153+'Lokal-A'!O153</f>
        <v>109634521</v>
      </c>
      <c r="P153" s="183">
        <f>'Balin-A'!P153+'Sinta-A'!P153+'Kumai-A'!P153+'Lokal-A'!P153</f>
        <v>0</v>
      </c>
      <c r="Q153" s="183">
        <f>'Balin-A'!Q153+'Sinta-A'!Q153+'Kumai-A'!Q153+'Lokal-A'!Q153</f>
        <v>104095000</v>
      </c>
      <c r="R153" s="183">
        <f t="shared" si="6"/>
        <v>99.45706517</v>
      </c>
      <c r="S153" s="183">
        <f t="shared" si="7"/>
        <v>0</v>
      </c>
      <c r="T153" s="183">
        <f t="shared" si="8"/>
        <v>104.7497738</v>
      </c>
      <c r="U153" s="186"/>
    </row>
    <row r="154" ht="14.25" customHeight="1">
      <c r="A154" s="175"/>
      <c r="B154" s="230" t="s">
        <v>507</v>
      </c>
      <c r="D154" s="209" t="s">
        <v>888</v>
      </c>
      <c r="E154" s="183">
        <f>'Balin-A'!E154+'Sinta-A'!E154+'Kumai-A'!E154+'Lokal-A'!E154</f>
        <v>1773341</v>
      </c>
      <c r="F154" s="183">
        <f>'Balin-A'!F154+'Sinta-A'!F154+'Kumai-A'!F154+'Lokal-A'!F154</f>
        <v>1773342</v>
      </c>
      <c r="G154" s="183">
        <f>'Balin-A'!G154+'Sinta-A'!G154+'Kumai-A'!G154+'Lokal-A'!G154</f>
        <v>1915192</v>
      </c>
      <c r="H154" s="183">
        <f>'Balin-A'!H154+'Sinta-A'!H154+'Kumai-A'!H154+'Lokal-A'!H154</f>
        <v>0</v>
      </c>
      <c r="I154" s="183">
        <f>'Balin-A'!I154+'Sinta-A'!I154+'Kumai-A'!I154+'Lokal-A'!I154</f>
        <v>1773000</v>
      </c>
      <c r="J154" s="185">
        <f t="shared" si="2"/>
        <v>99.99994361</v>
      </c>
      <c r="K154" s="183">
        <f t="shared" si="3"/>
        <v>92.59337967</v>
      </c>
      <c r="L154" s="183">
        <f t="shared" si="4"/>
        <v>0</v>
      </c>
      <c r="M154" s="183">
        <f t="shared" si="5"/>
        <v>100.0192329</v>
      </c>
      <c r="N154" s="183">
        <f>'Balin-A'!N154+'Sinta-A'!N154+'Kumai-A'!N154+'Lokal-A'!N154</f>
        <v>9645937</v>
      </c>
      <c r="O154" s="183">
        <f>'Balin-A'!O154+'Sinta-A'!O154+'Kumai-A'!O154+'Lokal-A'!O154</f>
        <v>9575964</v>
      </c>
      <c r="P154" s="183">
        <f>'Balin-A'!P154+'Sinta-A'!P154+'Kumai-A'!P154+'Lokal-A'!P154</f>
        <v>0</v>
      </c>
      <c r="Q154" s="183">
        <f>'Balin-A'!Q154+'Sinta-A'!Q154+'Kumai-A'!Q154+'Lokal-A'!Q154</f>
        <v>8865000</v>
      </c>
      <c r="R154" s="183">
        <f t="shared" si="6"/>
        <v>100.7307149</v>
      </c>
      <c r="S154" s="183">
        <f t="shared" si="7"/>
        <v>0</v>
      </c>
      <c r="T154" s="183">
        <f t="shared" si="8"/>
        <v>108.809216</v>
      </c>
      <c r="U154" s="202"/>
    </row>
    <row r="155" ht="14.25" customHeight="1">
      <c r="A155" s="175"/>
      <c r="B155" s="230" t="s">
        <v>561</v>
      </c>
      <c r="D155" s="209" t="s">
        <v>889</v>
      </c>
      <c r="E155" s="183">
        <f>'Balin-A'!E155+'Sinta-A'!E155+'Kumai-A'!E155+'Lokal-A'!E155</f>
        <v>0</v>
      </c>
      <c r="F155" s="183">
        <f>'Balin-A'!F155+'Sinta-A'!F155+'Kumai-A'!F155+'Lokal-A'!F155</f>
        <v>0</v>
      </c>
      <c r="G155" s="183">
        <f>'Balin-A'!G155+'Sinta-A'!G155+'Kumai-A'!G155+'Lokal-A'!G155</f>
        <v>0</v>
      </c>
      <c r="H155" s="183">
        <f>'Balin-A'!H155+'Sinta-A'!H155+'Kumai-A'!H155+'Lokal-A'!H155</f>
        <v>0</v>
      </c>
      <c r="I155" s="183">
        <f>'Balin-A'!I155+'Sinta-A'!I155+'Kumai-A'!I155+'Lokal-A'!I155</f>
        <v>0</v>
      </c>
      <c r="J155" s="185">
        <f t="shared" si="2"/>
        <v>0</v>
      </c>
      <c r="K155" s="183">
        <f t="shared" si="3"/>
        <v>0</v>
      </c>
      <c r="L155" s="183">
        <f t="shared" si="4"/>
        <v>0</v>
      </c>
      <c r="M155" s="183">
        <f t="shared" si="5"/>
        <v>0</v>
      </c>
      <c r="N155" s="183">
        <f>'Balin-A'!N155+'Sinta-A'!N155+'Kumai-A'!N155+'Lokal-A'!N155</f>
        <v>0</v>
      </c>
      <c r="O155" s="183">
        <f>'Balin-A'!O155+'Sinta-A'!O155+'Kumai-A'!O155+'Lokal-A'!O155</f>
        <v>0</v>
      </c>
      <c r="P155" s="183">
        <f>'Balin-A'!P155+'Sinta-A'!P155+'Kumai-A'!P155+'Lokal-A'!P155</f>
        <v>0</v>
      </c>
      <c r="Q155" s="183">
        <f>'Balin-A'!Q155+'Sinta-A'!Q155+'Kumai-A'!Q155+'Lokal-A'!Q155</f>
        <v>0</v>
      </c>
      <c r="R155" s="183">
        <f t="shared" si="6"/>
        <v>0</v>
      </c>
      <c r="S155" s="183">
        <f t="shared" si="7"/>
        <v>0</v>
      </c>
      <c r="T155" s="183">
        <f t="shared" si="8"/>
        <v>0</v>
      </c>
      <c r="U155" s="186"/>
    </row>
    <row r="156" ht="14.25" customHeight="1">
      <c r="A156" s="175"/>
      <c r="B156" s="230" t="s">
        <v>509</v>
      </c>
      <c r="D156" s="209" t="s">
        <v>890</v>
      </c>
      <c r="E156" s="183">
        <f>'Balin-A'!E156+'Sinta-A'!E156+'Kumai-A'!E156+'Lokal-A'!E156</f>
        <v>133334</v>
      </c>
      <c r="F156" s="183">
        <f>'Balin-A'!F156+'Sinta-A'!F156+'Kumai-A'!F156+'Lokal-A'!F156</f>
        <v>133333</v>
      </c>
      <c r="G156" s="183">
        <f>'Balin-A'!G156+'Sinta-A'!G156+'Kumai-A'!G156+'Lokal-A'!G156</f>
        <v>133334</v>
      </c>
      <c r="H156" s="183">
        <f>'Balin-A'!H156+'Sinta-A'!H156+'Kumai-A'!H156+'Lokal-A'!H156</f>
        <v>0</v>
      </c>
      <c r="I156" s="183">
        <f>'Balin-A'!I156+'Sinta-A'!I156+'Kumai-A'!I156+'Lokal-A'!I156</f>
        <v>0</v>
      </c>
      <c r="J156" s="185">
        <f t="shared" si="2"/>
        <v>100.00075</v>
      </c>
      <c r="K156" s="183">
        <f t="shared" si="3"/>
        <v>100</v>
      </c>
      <c r="L156" s="183">
        <f t="shared" si="4"/>
        <v>0</v>
      </c>
      <c r="M156" s="183">
        <f t="shared" si="5"/>
        <v>0</v>
      </c>
      <c r="N156" s="183">
        <f>'Balin-A'!N156+'Sinta-A'!N156+'Kumai-A'!N156+'Lokal-A'!N156</f>
        <v>688646</v>
      </c>
      <c r="O156" s="183">
        <f>'Balin-A'!O156+'Sinta-A'!O156+'Kumai-A'!O156+'Lokal-A'!O156</f>
        <v>666667</v>
      </c>
      <c r="P156" s="183">
        <f>'Balin-A'!P156+'Sinta-A'!P156+'Kumai-A'!P156+'Lokal-A'!P156</f>
        <v>0</v>
      </c>
      <c r="Q156" s="183">
        <f>'Balin-A'!Q156+'Sinta-A'!Q156+'Kumai-A'!Q156+'Lokal-A'!Q156</f>
        <v>0</v>
      </c>
      <c r="R156" s="183">
        <f t="shared" si="6"/>
        <v>103.2968484</v>
      </c>
      <c r="S156" s="183">
        <f t="shared" si="7"/>
        <v>0</v>
      </c>
      <c r="T156" s="183">
        <f t="shared" si="8"/>
        <v>0</v>
      </c>
      <c r="U156" s="186"/>
    </row>
    <row r="157" ht="14.25" customHeight="1">
      <c r="A157" s="175"/>
      <c r="B157" s="230" t="s">
        <v>567</v>
      </c>
      <c r="D157" s="209" t="s">
        <v>891</v>
      </c>
      <c r="E157" s="183">
        <f>'Balin-A'!E157+'Sinta-A'!E157+'Kumai-A'!E157+'Lokal-A'!E157</f>
        <v>0</v>
      </c>
      <c r="F157" s="183">
        <f>'Balin-A'!F157+'Sinta-A'!F157+'Kumai-A'!F157+'Lokal-A'!F157</f>
        <v>0</v>
      </c>
      <c r="G157" s="183">
        <f>'Balin-A'!G157+'Sinta-A'!G157+'Kumai-A'!G157+'Lokal-A'!G157</f>
        <v>0</v>
      </c>
      <c r="H157" s="183">
        <f>'Balin-A'!H157+'Sinta-A'!H157+'Kumai-A'!H157+'Lokal-A'!H157</f>
        <v>0</v>
      </c>
      <c r="I157" s="183">
        <f>'Balin-A'!I157+'Sinta-A'!I157+'Kumai-A'!I157+'Lokal-A'!I157</f>
        <v>0</v>
      </c>
      <c r="J157" s="185">
        <f t="shared" si="2"/>
        <v>0</v>
      </c>
      <c r="K157" s="183">
        <f t="shared" si="3"/>
        <v>0</v>
      </c>
      <c r="L157" s="183">
        <f t="shared" si="4"/>
        <v>0</v>
      </c>
      <c r="M157" s="183">
        <f t="shared" si="5"/>
        <v>0</v>
      </c>
      <c r="N157" s="183">
        <f>'Balin-A'!N157+'Sinta-A'!N157+'Kumai-A'!N157+'Lokal-A'!N157</f>
        <v>0</v>
      </c>
      <c r="O157" s="183">
        <f>'Balin-A'!O157+'Sinta-A'!O157+'Kumai-A'!O157+'Lokal-A'!O157</f>
        <v>0</v>
      </c>
      <c r="P157" s="183">
        <f>'Balin-A'!P157+'Sinta-A'!P157+'Kumai-A'!P157+'Lokal-A'!P157</f>
        <v>0</v>
      </c>
      <c r="Q157" s="183">
        <f>'Balin-A'!Q157+'Sinta-A'!Q157+'Kumai-A'!Q157+'Lokal-A'!Q157</f>
        <v>0</v>
      </c>
      <c r="R157" s="183">
        <f t="shared" si="6"/>
        <v>0</v>
      </c>
      <c r="S157" s="183">
        <f t="shared" si="7"/>
        <v>0</v>
      </c>
      <c r="T157" s="183">
        <f t="shared" si="8"/>
        <v>0</v>
      </c>
      <c r="U157" s="202"/>
    </row>
    <row r="158" ht="14.25" customHeight="1">
      <c r="A158" s="175"/>
      <c r="B158" s="230" t="s">
        <v>511</v>
      </c>
      <c r="D158" s="209" t="s">
        <v>892</v>
      </c>
      <c r="E158" s="183">
        <f>'Balin-A'!E158+'Sinta-A'!E158+'Kumai-A'!E158+'Lokal-A'!E158</f>
        <v>51768825</v>
      </c>
      <c r="F158" s="183">
        <f>'Balin-A'!F158+'Sinta-A'!F158+'Kumai-A'!F158+'Lokal-A'!F158</f>
        <v>51768822</v>
      </c>
      <c r="G158" s="183">
        <f>'Balin-A'!G158+'Sinta-A'!G158+'Kumai-A'!G158+'Lokal-A'!G158</f>
        <v>64980660</v>
      </c>
      <c r="H158" s="183">
        <f>'Balin-A'!H158+'Sinta-A'!H158+'Kumai-A'!H158+'Lokal-A'!H158</f>
        <v>0</v>
      </c>
      <c r="I158" s="183">
        <f>'Balin-A'!I158+'Sinta-A'!I158+'Kumai-A'!I158+'Lokal-A'!I158</f>
        <v>55285000</v>
      </c>
      <c r="J158" s="185">
        <f t="shared" si="2"/>
        <v>100.0000058</v>
      </c>
      <c r="K158" s="183">
        <f t="shared" si="3"/>
        <v>79.66805046</v>
      </c>
      <c r="L158" s="183">
        <f t="shared" si="4"/>
        <v>0</v>
      </c>
      <c r="M158" s="183">
        <f t="shared" si="5"/>
        <v>93.63991137</v>
      </c>
      <c r="N158" s="183">
        <f>'Balin-A'!N158+'Sinta-A'!N158+'Kumai-A'!N158+'Lokal-A'!N158</f>
        <v>270180564</v>
      </c>
      <c r="O158" s="183">
        <f>'Balin-A'!O158+'Sinta-A'!O158+'Kumai-A'!O158+'Lokal-A'!O158</f>
        <v>324903294</v>
      </c>
      <c r="P158" s="183">
        <f>'Balin-A'!P158+'Sinta-A'!P158+'Kumai-A'!P158+'Lokal-A'!P158</f>
        <v>0</v>
      </c>
      <c r="Q158" s="183">
        <f>'Balin-A'!Q158+'Sinta-A'!Q158+'Kumai-A'!Q158+'Lokal-A'!Q158</f>
        <v>276425000</v>
      </c>
      <c r="R158" s="183">
        <f t="shared" si="6"/>
        <v>83.15722524</v>
      </c>
      <c r="S158" s="183">
        <f t="shared" si="7"/>
        <v>0</v>
      </c>
      <c r="T158" s="183">
        <f t="shared" si="8"/>
        <v>97.74100172</v>
      </c>
      <c r="U158" s="202"/>
    </row>
    <row r="159" ht="14.25" customHeight="1">
      <c r="A159" s="175"/>
      <c r="B159" s="230" t="s">
        <v>513</v>
      </c>
      <c r="D159" s="209" t="s">
        <v>893</v>
      </c>
      <c r="E159" s="183">
        <f>'Balin-A'!E159+'Sinta-A'!E159+'Kumai-A'!E159+'Lokal-A'!E159</f>
        <v>3931591</v>
      </c>
      <c r="F159" s="183">
        <f>'Balin-A'!F159+'Sinta-A'!F159+'Kumai-A'!F159+'Lokal-A'!F159</f>
        <v>3931589</v>
      </c>
      <c r="G159" s="183">
        <f>'Balin-A'!G159+'Sinta-A'!G159+'Kumai-A'!G159+'Lokal-A'!G159</f>
        <v>6847515</v>
      </c>
      <c r="H159" s="183">
        <f>'Balin-A'!H159+'Sinta-A'!H159+'Kumai-A'!H159+'Lokal-A'!H159</f>
        <v>0</v>
      </c>
      <c r="I159" s="183">
        <f>'Balin-A'!I159+'Sinta-A'!I159+'Kumai-A'!I159+'Lokal-A'!I159</f>
        <v>4065000</v>
      </c>
      <c r="J159" s="185">
        <f t="shared" si="2"/>
        <v>100.0000509</v>
      </c>
      <c r="K159" s="183">
        <f t="shared" si="3"/>
        <v>57.41631818</v>
      </c>
      <c r="L159" s="183">
        <f t="shared" si="4"/>
        <v>0</v>
      </c>
      <c r="M159" s="183">
        <f t="shared" si="5"/>
        <v>96.71810578</v>
      </c>
      <c r="N159" s="183">
        <f>'Balin-A'!N159+'Sinta-A'!N159+'Kumai-A'!N159+'Lokal-A'!N159</f>
        <v>29559179</v>
      </c>
      <c r="O159" s="183">
        <f>'Balin-A'!O159+'Sinta-A'!O159+'Kumai-A'!O159+'Lokal-A'!O159</f>
        <v>34237577</v>
      </c>
      <c r="P159" s="183">
        <f>'Balin-A'!P159+'Sinta-A'!P159+'Kumai-A'!P159+'Lokal-A'!P159</f>
        <v>0</v>
      </c>
      <c r="Q159" s="183">
        <f>'Balin-A'!Q159+'Sinta-A'!Q159+'Kumai-A'!Q159+'Lokal-A'!Q159</f>
        <v>20325000</v>
      </c>
      <c r="R159" s="183">
        <f t="shared" si="6"/>
        <v>86.33548747</v>
      </c>
      <c r="S159" s="183">
        <f t="shared" si="7"/>
        <v>0</v>
      </c>
      <c r="T159" s="183">
        <f t="shared" si="8"/>
        <v>145.432615</v>
      </c>
      <c r="U159" s="186"/>
    </row>
    <row r="160" ht="14.25" customHeight="1">
      <c r="A160" s="175"/>
      <c r="B160" s="230" t="s">
        <v>528</v>
      </c>
      <c r="D160" s="209" t="s">
        <v>894</v>
      </c>
      <c r="E160" s="183">
        <f>'Balin-A'!E160+'Sinta-A'!E160+'Kumai-A'!E160+'Lokal-A'!E160</f>
        <v>0</v>
      </c>
      <c r="F160" s="183">
        <f>'Balin-A'!F160+'Sinta-A'!F160+'Kumai-A'!F160+'Lokal-A'!F160</f>
        <v>0</v>
      </c>
      <c r="G160" s="183">
        <f>'Balin-A'!G160+'Sinta-A'!G160+'Kumai-A'!G160+'Lokal-A'!G160</f>
        <v>0</v>
      </c>
      <c r="H160" s="183">
        <f>'Balin-A'!H160+'Sinta-A'!H160+'Kumai-A'!H160+'Lokal-A'!H160</f>
        <v>0</v>
      </c>
      <c r="I160" s="183">
        <f>'Balin-A'!I160+'Sinta-A'!I160+'Kumai-A'!I160+'Lokal-A'!I160</f>
        <v>0</v>
      </c>
      <c r="J160" s="185">
        <f t="shared" si="2"/>
        <v>0</v>
      </c>
      <c r="K160" s="183">
        <f t="shared" si="3"/>
        <v>0</v>
      </c>
      <c r="L160" s="183">
        <f t="shared" si="4"/>
        <v>0</v>
      </c>
      <c r="M160" s="183">
        <f t="shared" si="5"/>
        <v>0</v>
      </c>
      <c r="N160" s="183">
        <f>'Balin-A'!N160+'Sinta-A'!N160+'Kumai-A'!N160+'Lokal-A'!N160</f>
        <v>0</v>
      </c>
      <c r="O160" s="183">
        <f>'Balin-A'!O160+'Sinta-A'!O160+'Kumai-A'!O160+'Lokal-A'!O160</f>
        <v>0</v>
      </c>
      <c r="P160" s="183">
        <f>'Balin-A'!P160+'Sinta-A'!P160+'Kumai-A'!P160+'Lokal-A'!P160</f>
        <v>0</v>
      </c>
      <c r="Q160" s="183">
        <f>'Balin-A'!Q160+'Sinta-A'!Q160+'Kumai-A'!Q160+'Lokal-A'!Q160</f>
        <v>0</v>
      </c>
      <c r="R160" s="183">
        <f t="shared" si="6"/>
        <v>0</v>
      </c>
      <c r="S160" s="183">
        <f t="shared" si="7"/>
        <v>0</v>
      </c>
      <c r="T160" s="183">
        <f t="shared" si="8"/>
        <v>0</v>
      </c>
      <c r="U160" s="186"/>
    </row>
    <row r="161" ht="14.25" customHeight="1">
      <c r="A161" s="175"/>
      <c r="B161" s="230" t="s">
        <v>539</v>
      </c>
      <c r="D161" s="209" t="s">
        <v>895</v>
      </c>
      <c r="E161" s="183">
        <f>'Balin-A'!E161+'Sinta-A'!E161+'Kumai-A'!E161+'Lokal-A'!E161</f>
        <v>0</v>
      </c>
      <c r="F161" s="183">
        <f>'Balin-A'!F161+'Sinta-A'!F161+'Kumai-A'!F161+'Lokal-A'!F161</f>
        <v>0</v>
      </c>
      <c r="G161" s="183">
        <f>'Balin-A'!G161+'Sinta-A'!G161+'Kumai-A'!G161+'Lokal-A'!G161</f>
        <v>0</v>
      </c>
      <c r="H161" s="183">
        <f>'Balin-A'!H161+'Sinta-A'!H161+'Kumai-A'!H161+'Lokal-A'!H161</f>
        <v>0</v>
      </c>
      <c r="I161" s="183">
        <f>'Balin-A'!I161+'Sinta-A'!I161+'Kumai-A'!I161+'Lokal-A'!I161</f>
        <v>0</v>
      </c>
      <c r="J161" s="185">
        <f t="shared" si="2"/>
        <v>0</v>
      </c>
      <c r="K161" s="183">
        <f t="shared" si="3"/>
        <v>0</v>
      </c>
      <c r="L161" s="183">
        <f t="shared" si="4"/>
        <v>0</v>
      </c>
      <c r="M161" s="183">
        <f t="shared" si="5"/>
        <v>0</v>
      </c>
      <c r="N161" s="183">
        <f>'Balin-A'!N161+'Sinta-A'!N161+'Kumai-A'!N161+'Lokal-A'!N161</f>
        <v>0</v>
      </c>
      <c r="O161" s="183">
        <f>'Balin-A'!O161+'Sinta-A'!O161+'Kumai-A'!O161+'Lokal-A'!O161</f>
        <v>0</v>
      </c>
      <c r="P161" s="183">
        <f>'Balin-A'!P161+'Sinta-A'!P161+'Kumai-A'!P161+'Lokal-A'!P161</f>
        <v>0</v>
      </c>
      <c r="Q161" s="183">
        <f>'Balin-A'!Q161+'Sinta-A'!Q161+'Kumai-A'!Q161+'Lokal-A'!Q161</f>
        <v>0</v>
      </c>
      <c r="R161" s="183">
        <f t="shared" si="6"/>
        <v>0</v>
      </c>
      <c r="S161" s="183">
        <f t="shared" si="7"/>
        <v>0</v>
      </c>
      <c r="T161" s="183">
        <f t="shared" si="8"/>
        <v>0</v>
      </c>
      <c r="U161" s="186"/>
    </row>
    <row r="162" ht="14.25" customHeight="1">
      <c r="A162" s="175"/>
      <c r="B162" s="230" t="s">
        <v>896</v>
      </c>
      <c r="D162" s="209" t="s">
        <v>897</v>
      </c>
      <c r="E162" s="183">
        <f>'Balin-A'!E162+'Sinta-A'!E162+'Kumai-A'!E162+'Lokal-A'!E162</f>
        <v>0</v>
      </c>
      <c r="F162" s="183">
        <f>'Balin-A'!F162+'Sinta-A'!F162+'Kumai-A'!F162+'Lokal-A'!F162</f>
        <v>0</v>
      </c>
      <c r="G162" s="183">
        <f>'Balin-A'!G162+'Sinta-A'!G162+'Kumai-A'!G162+'Lokal-A'!G162</f>
        <v>0</v>
      </c>
      <c r="H162" s="183">
        <f>'Balin-A'!H162+'Sinta-A'!H162+'Kumai-A'!H162+'Lokal-A'!H162</f>
        <v>0</v>
      </c>
      <c r="I162" s="183">
        <f>'Balin-A'!I162+'Sinta-A'!I162+'Kumai-A'!I162+'Lokal-A'!I162</f>
        <v>0</v>
      </c>
      <c r="J162" s="185">
        <f t="shared" si="2"/>
        <v>0</v>
      </c>
      <c r="K162" s="183">
        <f t="shared" si="3"/>
        <v>0</v>
      </c>
      <c r="L162" s="183">
        <f t="shared" si="4"/>
        <v>0</v>
      </c>
      <c r="M162" s="183">
        <f t="shared" si="5"/>
        <v>0</v>
      </c>
      <c r="N162" s="183">
        <f>'Balin-A'!N162+'Sinta-A'!N162+'Kumai-A'!N162+'Lokal-A'!N162</f>
        <v>0</v>
      </c>
      <c r="O162" s="183">
        <f>'Balin-A'!O162+'Sinta-A'!O162+'Kumai-A'!O162+'Lokal-A'!O162</f>
        <v>0</v>
      </c>
      <c r="P162" s="183">
        <f>'Balin-A'!P162+'Sinta-A'!P162+'Kumai-A'!P162+'Lokal-A'!P162</f>
        <v>0</v>
      </c>
      <c r="Q162" s="183">
        <f>'Balin-A'!Q162+'Sinta-A'!Q162+'Kumai-A'!Q162+'Lokal-A'!Q162</f>
        <v>0</v>
      </c>
      <c r="R162" s="183">
        <f t="shared" si="6"/>
        <v>0</v>
      </c>
      <c r="S162" s="183">
        <f t="shared" si="7"/>
        <v>0</v>
      </c>
      <c r="T162" s="183">
        <f t="shared" si="8"/>
        <v>0</v>
      </c>
      <c r="U162" s="186"/>
    </row>
    <row r="163" ht="14.25" customHeight="1">
      <c r="A163" s="175"/>
      <c r="B163" s="230" t="s">
        <v>898</v>
      </c>
      <c r="D163" s="209" t="s">
        <v>899</v>
      </c>
      <c r="E163" s="183">
        <f>'Balin-A'!E163+'Sinta-A'!E163+'Kumai-A'!E163+'Lokal-A'!E163</f>
        <v>0</v>
      </c>
      <c r="F163" s="183">
        <f>'Balin-A'!F163+'Sinta-A'!F163+'Kumai-A'!F163+'Lokal-A'!F163</f>
        <v>0</v>
      </c>
      <c r="G163" s="183">
        <f>'Balin-A'!G163+'Sinta-A'!G163+'Kumai-A'!G163+'Lokal-A'!G163</f>
        <v>0</v>
      </c>
      <c r="H163" s="183">
        <f>'Balin-A'!H163+'Sinta-A'!H163+'Kumai-A'!H163+'Lokal-A'!H163</f>
        <v>0</v>
      </c>
      <c r="I163" s="183">
        <f>'Balin-A'!I163+'Sinta-A'!I163+'Kumai-A'!I163+'Lokal-A'!I163</f>
        <v>0</v>
      </c>
      <c r="J163" s="185">
        <f t="shared" si="2"/>
        <v>0</v>
      </c>
      <c r="K163" s="183">
        <f t="shared" si="3"/>
        <v>0</v>
      </c>
      <c r="L163" s="183">
        <f t="shared" si="4"/>
        <v>0</v>
      </c>
      <c r="M163" s="183">
        <f t="shared" si="5"/>
        <v>0</v>
      </c>
      <c r="N163" s="183">
        <f>'Balin-A'!N163+'Sinta-A'!N163+'Kumai-A'!N163+'Lokal-A'!N163</f>
        <v>0</v>
      </c>
      <c r="O163" s="183">
        <f>'Balin-A'!O163+'Sinta-A'!O163+'Kumai-A'!O163+'Lokal-A'!O163</f>
        <v>0</v>
      </c>
      <c r="P163" s="183">
        <f>'Balin-A'!P163+'Sinta-A'!P163+'Kumai-A'!P163+'Lokal-A'!P163</f>
        <v>0</v>
      </c>
      <c r="Q163" s="183">
        <f>'Balin-A'!Q163+'Sinta-A'!Q163+'Kumai-A'!Q163+'Lokal-A'!Q163</f>
        <v>0</v>
      </c>
      <c r="R163" s="183">
        <f t="shared" si="6"/>
        <v>0</v>
      </c>
      <c r="S163" s="183">
        <f t="shared" si="7"/>
        <v>0</v>
      </c>
      <c r="T163" s="183">
        <f t="shared" si="8"/>
        <v>0</v>
      </c>
      <c r="U163" s="186"/>
    </row>
    <row r="164" ht="14.25" customHeight="1">
      <c r="A164" s="175"/>
      <c r="B164" s="230" t="s">
        <v>900</v>
      </c>
      <c r="D164" s="209" t="s">
        <v>901</v>
      </c>
      <c r="E164" s="183">
        <f>'Balin-A'!E164+'Sinta-A'!E164+'Kumai-A'!E164+'Lokal-A'!E164</f>
        <v>0</v>
      </c>
      <c r="F164" s="183">
        <f>'Balin-A'!F164+'Sinta-A'!F164+'Kumai-A'!F164+'Lokal-A'!F164</f>
        <v>0</v>
      </c>
      <c r="G164" s="183">
        <f>'Balin-A'!G164+'Sinta-A'!G164+'Kumai-A'!G164+'Lokal-A'!G164</f>
        <v>8854927</v>
      </c>
      <c r="H164" s="183">
        <f>'Balin-A'!H164+'Sinta-A'!H164+'Kumai-A'!H164+'Lokal-A'!H164</f>
        <v>85992570</v>
      </c>
      <c r="I164" s="183">
        <f>'Balin-A'!I164+'Sinta-A'!I164+'Kumai-A'!I164+'Lokal-A'!I164</f>
        <v>4050000</v>
      </c>
      <c r="J164" s="185">
        <f t="shared" si="2"/>
        <v>0</v>
      </c>
      <c r="K164" s="183">
        <f t="shared" si="3"/>
        <v>0</v>
      </c>
      <c r="L164" s="183">
        <f t="shared" si="4"/>
        <v>0</v>
      </c>
      <c r="M164" s="183">
        <f t="shared" si="5"/>
        <v>0</v>
      </c>
      <c r="N164" s="183">
        <f>'Balin-A'!N164+'Sinta-A'!N164+'Kumai-A'!N164+'Lokal-A'!N164</f>
        <v>0</v>
      </c>
      <c r="O164" s="183">
        <f>'Balin-A'!O164+'Sinta-A'!O164+'Kumai-A'!O164+'Lokal-A'!O164</f>
        <v>44274644</v>
      </c>
      <c r="P164" s="183">
        <f>'Balin-A'!P164+'Sinta-A'!P164+'Kumai-A'!P164+'Lokal-A'!P164</f>
        <v>429962850</v>
      </c>
      <c r="Q164" s="183">
        <f>'Balin-A'!Q164+'Sinta-A'!Q164+'Kumai-A'!Q164+'Lokal-A'!Q164</f>
        <v>20250000</v>
      </c>
      <c r="R164" s="183">
        <f t="shared" si="6"/>
        <v>0</v>
      </c>
      <c r="S164" s="183">
        <f t="shared" si="7"/>
        <v>0</v>
      </c>
      <c r="T164" s="183">
        <f t="shared" si="8"/>
        <v>0</v>
      </c>
      <c r="U164" s="186"/>
    </row>
    <row r="165" ht="14.25" customHeight="1">
      <c r="A165" s="175"/>
      <c r="B165" s="222"/>
      <c r="C165" s="222"/>
      <c r="D165" s="233" t="s">
        <v>902</v>
      </c>
      <c r="E165" s="224">
        <f t="shared" ref="E165:I165" si="63">sum(E150:E164)</f>
        <v>443398538</v>
      </c>
      <c r="F165" s="224">
        <f t="shared" si="63"/>
        <v>289968396</v>
      </c>
      <c r="G165" s="224">
        <f t="shared" si="63"/>
        <v>469630610</v>
      </c>
      <c r="H165" s="224">
        <f t="shared" si="63"/>
        <v>297534503</v>
      </c>
      <c r="I165" s="224">
        <f t="shared" si="63"/>
        <v>297534000</v>
      </c>
      <c r="J165" s="224">
        <f t="shared" si="2"/>
        <v>152.9127119</v>
      </c>
      <c r="K165" s="224">
        <f t="shared" si="3"/>
        <v>94.4143181</v>
      </c>
      <c r="L165" s="224">
        <f t="shared" si="4"/>
        <v>149.0242421</v>
      </c>
      <c r="M165" s="224">
        <f t="shared" si="5"/>
        <v>149.024494</v>
      </c>
      <c r="N165" s="224">
        <f t="shared" ref="N165:Q165" si="64">sum(N150:N164)</f>
        <v>2148668462</v>
      </c>
      <c r="O165" s="224">
        <f t="shared" si="64"/>
        <v>2348153027</v>
      </c>
      <c r="P165" s="224">
        <f t="shared" si="64"/>
        <v>1487672515</v>
      </c>
      <c r="Q165" s="224">
        <f t="shared" si="64"/>
        <v>1487670000</v>
      </c>
      <c r="R165" s="224">
        <f t="shared" si="6"/>
        <v>91.5046182</v>
      </c>
      <c r="S165" s="224">
        <f t="shared" si="7"/>
        <v>144.4315493</v>
      </c>
      <c r="T165" s="224">
        <f t="shared" si="8"/>
        <v>144.4317935</v>
      </c>
      <c r="U165" s="202"/>
    </row>
    <row r="166" ht="14.25" customHeight="1">
      <c r="A166" s="175"/>
      <c r="B166" s="177"/>
      <c r="D166" s="234" t="s">
        <v>903</v>
      </c>
      <c r="E166" s="183"/>
      <c r="F166" s="183"/>
      <c r="G166" s="183"/>
      <c r="H166" s="188">
        <v>0.0</v>
      </c>
      <c r="I166" s="183">
        <f>IFERROR(round(HLOOKUP($E$3,RKAP!$A$1:$P$171,MATCH(B166,RKAP!$A$1:$A$171,0),0)*1000,-3),0)</f>
        <v>0</v>
      </c>
      <c r="J166" s="183">
        <f t="shared" si="2"/>
        <v>0</v>
      </c>
      <c r="K166" s="183">
        <f t="shared" si="3"/>
        <v>0</v>
      </c>
      <c r="L166" s="188">
        <f t="shared" si="4"/>
        <v>0</v>
      </c>
      <c r="M166" s="188">
        <f t="shared" si="5"/>
        <v>0</v>
      </c>
      <c r="N166" s="183"/>
      <c r="O166" s="183"/>
      <c r="P166" s="188">
        <v>0.0</v>
      </c>
      <c r="Q166" s="188">
        <v>0.0</v>
      </c>
      <c r="R166" s="183">
        <f t="shared" si="6"/>
        <v>0</v>
      </c>
      <c r="S166" s="183">
        <f t="shared" si="7"/>
        <v>0</v>
      </c>
      <c r="T166" s="188">
        <f t="shared" si="8"/>
        <v>0</v>
      </c>
      <c r="U166" s="186"/>
    </row>
    <row r="167" ht="14.25" customHeight="1">
      <c r="A167" s="175"/>
      <c r="B167" s="181" t="s">
        <v>441</v>
      </c>
      <c r="D167" s="209" t="s">
        <v>706</v>
      </c>
      <c r="E167" s="183">
        <f>'Balin-A'!E167+'Sinta-A'!E167+'Kumai-A'!E167+'Lokal-A'!E167</f>
        <v>91527333</v>
      </c>
      <c r="F167" s="183">
        <f>'Balin-A'!F167+'Sinta-A'!F167+'Kumai-A'!F167+'Lokal-A'!F167</f>
        <v>84400282</v>
      </c>
      <c r="G167" s="183">
        <f>'Balin-A'!G167+'Sinta-A'!G167+'Kumai-A'!G167+'Lokal-A'!G167</f>
        <v>57710073</v>
      </c>
      <c r="H167" s="183">
        <f>'Balin-A'!H167+'Sinta-A'!H167+'Kumai-A'!H167+'Lokal-A'!H167</f>
        <v>52674000</v>
      </c>
      <c r="I167" s="183">
        <f>'Balin-A'!I167+'Sinta-A'!I167+'Kumai-A'!I167+'Lokal-A'!I167</f>
        <v>52673975</v>
      </c>
      <c r="J167" s="185">
        <f t="shared" si="2"/>
        <v>108.444345</v>
      </c>
      <c r="K167" s="183">
        <f t="shared" si="3"/>
        <v>158.5985396</v>
      </c>
      <c r="L167" s="183">
        <f t="shared" si="4"/>
        <v>173.7618806</v>
      </c>
      <c r="M167" s="183">
        <f t="shared" si="5"/>
        <v>173.7619631</v>
      </c>
      <c r="N167" s="183">
        <f>'Balin-A'!N167+'Sinta-A'!N167+'Kumai-A'!N167+'Lokal-A'!N167</f>
        <v>398294302</v>
      </c>
      <c r="O167" s="183">
        <f>'Balin-A'!O167+'Sinta-A'!O167+'Kumai-A'!O167+'Lokal-A'!O167</f>
        <v>292893039</v>
      </c>
      <c r="P167" s="183">
        <f>'Balin-A'!P167+'Sinta-A'!P167+'Kumai-A'!P167+'Lokal-A'!P167</f>
        <v>265339000</v>
      </c>
      <c r="Q167" s="183">
        <f>'Balin-A'!Q167+'Sinta-A'!Q167+'Kumai-A'!Q167+'Lokal-A'!Q167</f>
        <v>265339179</v>
      </c>
      <c r="R167" s="183">
        <f t="shared" si="6"/>
        <v>135.9862643</v>
      </c>
      <c r="S167" s="183">
        <f t="shared" si="7"/>
        <v>150.107712</v>
      </c>
      <c r="T167" s="183">
        <f t="shared" si="8"/>
        <v>150.1076108</v>
      </c>
      <c r="U167" s="186"/>
    </row>
    <row r="168" ht="14.25" customHeight="1">
      <c r="A168" s="175"/>
      <c r="B168" s="181" t="s">
        <v>456</v>
      </c>
      <c r="D168" s="209" t="s">
        <v>707</v>
      </c>
      <c r="E168" s="183">
        <f>'Balin-A'!E168+'Sinta-A'!E168+'Kumai-A'!E168+'Lokal-A'!E168</f>
        <v>92753371</v>
      </c>
      <c r="F168" s="183">
        <f>'Balin-A'!F168+'Sinta-A'!F168+'Kumai-A'!F168+'Lokal-A'!F168</f>
        <v>78447928</v>
      </c>
      <c r="G168" s="183">
        <f>'Balin-A'!G168+'Sinta-A'!G168+'Kumai-A'!G168+'Lokal-A'!G168</f>
        <v>109853075</v>
      </c>
      <c r="H168" s="183">
        <f>'Balin-A'!H168+'Sinta-A'!H168+'Kumai-A'!H168+'Lokal-A'!H168</f>
        <v>81717000</v>
      </c>
      <c r="I168" s="183">
        <f>'Balin-A'!I168+'Sinta-A'!I168+'Kumai-A'!I168+'Lokal-A'!I168</f>
        <v>81716506</v>
      </c>
      <c r="J168" s="185">
        <f t="shared" si="2"/>
        <v>118.2355906</v>
      </c>
      <c r="K168" s="183">
        <f t="shared" si="3"/>
        <v>84.43402335</v>
      </c>
      <c r="L168" s="183">
        <f t="shared" si="4"/>
        <v>113.5055998</v>
      </c>
      <c r="M168" s="183">
        <f t="shared" si="5"/>
        <v>113.506286</v>
      </c>
      <c r="N168" s="183">
        <f>'Balin-A'!N168+'Sinta-A'!N168+'Kumai-A'!N168+'Lokal-A'!N168</f>
        <v>390991152</v>
      </c>
      <c r="O168" s="183">
        <f>'Balin-A'!O168+'Sinta-A'!O168+'Kumai-A'!O168+'Lokal-A'!O168</f>
        <v>740675953</v>
      </c>
      <c r="P168" s="183">
        <f>'Balin-A'!P168+'Sinta-A'!P168+'Kumai-A'!P168+'Lokal-A'!P168</f>
        <v>421955000</v>
      </c>
      <c r="Q168" s="183">
        <f>'Balin-A'!Q168+'Sinta-A'!Q168+'Kumai-A'!Q168+'Lokal-A'!Q168</f>
        <v>421954842</v>
      </c>
      <c r="R168" s="183">
        <f t="shared" si="6"/>
        <v>52.78842258</v>
      </c>
      <c r="S168" s="183">
        <f t="shared" si="7"/>
        <v>92.66181275</v>
      </c>
      <c r="T168" s="183">
        <f t="shared" si="8"/>
        <v>92.66184745</v>
      </c>
      <c r="U168" s="186"/>
    </row>
    <row r="169" ht="14.25" customHeight="1">
      <c r="A169" s="175"/>
      <c r="B169" s="177"/>
      <c r="D169" s="209" t="s">
        <v>904</v>
      </c>
      <c r="E169" s="183">
        <f>'Balin-A'!E169+'Sinta-A'!E169+'Kumai-A'!E169+'Lokal-A'!E169</f>
        <v>0</v>
      </c>
      <c r="F169" s="183">
        <f>'Balin-A'!F169+'Sinta-A'!F169+'Kumai-A'!F169+'Lokal-A'!F169</f>
        <v>0</v>
      </c>
      <c r="G169" s="183">
        <f>'Balin-A'!G169+'Sinta-A'!G169+'Kumai-A'!G169+'Lokal-A'!G169</f>
        <v>0</v>
      </c>
      <c r="H169" s="183">
        <f>'Balin-A'!H169+'Sinta-A'!H169+'Kumai-A'!H169+'Lokal-A'!H169</f>
        <v>0</v>
      </c>
      <c r="I169" s="183">
        <f>'Balin-A'!I169+'Sinta-A'!I169+'Kumai-A'!I169+'Lokal-A'!I169</f>
        <v>0</v>
      </c>
      <c r="J169" s="185">
        <f t="shared" si="2"/>
        <v>0</v>
      </c>
      <c r="K169" s="183">
        <f t="shared" si="3"/>
        <v>0</v>
      </c>
      <c r="L169" s="183">
        <f t="shared" si="4"/>
        <v>0</v>
      </c>
      <c r="M169" s="183">
        <f t="shared" si="5"/>
        <v>0</v>
      </c>
      <c r="N169" s="183">
        <f>'Balin-A'!N169+'Sinta-A'!N169+'Kumai-A'!N169+'Lokal-A'!N169</f>
        <v>0</v>
      </c>
      <c r="O169" s="183">
        <f>'Balin-A'!O169+'Sinta-A'!O169+'Kumai-A'!O169+'Lokal-A'!O169</f>
        <v>0</v>
      </c>
      <c r="P169" s="183">
        <f>'Balin-A'!P169+'Sinta-A'!P169+'Kumai-A'!P169+'Lokal-A'!P169</f>
        <v>0</v>
      </c>
      <c r="Q169" s="183">
        <f>'Balin-A'!Q169+'Sinta-A'!Q169+'Kumai-A'!Q169+'Lokal-A'!Q169</f>
        <v>0</v>
      </c>
      <c r="R169" s="183">
        <f t="shared" si="6"/>
        <v>0</v>
      </c>
      <c r="S169" s="183">
        <f t="shared" si="7"/>
        <v>0</v>
      </c>
      <c r="T169" s="183">
        <f t="shared" si="8"/>
        <v>0</v>
      </c>
      <c r="U169" s="186"/>
    </row>
    <row r="170" ht="14.25" customHeight="1">
      <c r="A170" s="175"/>
      <c r="B170" s="177"/>
      <c r="D170" s="209" t="s">
        <v>905</v>
      </c>
      <c r="E170" s="183">
        <f>'Balin-A'!E170+'Sinta-A'!E170+'Kumai-A'!E170+'Lokal-A'!E170</f>
        <v>0</v>
      </c>
      <c r="F170" s="183">
        <f>'Balin-A'!F170+'Sinta-A'!F170+'Kumai-A'!F170+'Lokal-A'!F170</f>
        <v>0</v>
      </c>
      <c r="G170" s="183">
        <f>'Balin-A'!G170+'Sinta-A'!G170+'Kumai-A'!G170+'Lokal-A'!G170</f>
        <v>0</v>
      </c>
      <c r="H170" s="183">
        <f>'Balin-A'!H170+'Sinta-A'!H170+'Kumai-A'!H170+'Lokal-A'!H170</f>
        <v>0</v>
      </c>
      <c r="I170" s="183">
        <f>'Balin-A'!I170+'Sinta-A'!I170+'Kumai-A'!I170+'Lokal-A'!I170</f>
        <v>0</v>
      </c>
      <c r="J170" s="185">
        <f t="shared" si="2"/>
        <v>0</v>
      </c>
      <c r="K170" s="183">
        <f t="shared" si="3"/>
        <v>0</v>
      </c>
      <c r="L170" s="183">
        <f t="shared" si="4"/>
        <v>0</v>
      </c>
      <c r="M170" s="183">
        <f t="shared" si="5"/>
        <v>0</v>
      </c>
      <c r="N170" s="183">
        <f>'Balin-A'!N170+'Sinta-A'!N170+'Kumai-A'!N170+'Lokal-A'!N170</f>
        <v>0</v>
      </c>
      <c r="O170" s="183">
        <f>'Balin-A'!O170+'Sinta-A'!O170+'Kumai-A'!O170+'Lokal-A'!O170</f>
        <v>0</v>
      </c>
      <c r="P170" s="183">
        <f>'Balin-A'!P170+'Sinta-A'!P170+'Kumai-A'!P170+'Lokal-A'!P170</f>
        <v>0</v>
      </c>
      <c r="Q170" s="183">
        <f>'Balin-A'!Q170+'Sinta-A'!Q170+'Kumai-A'!Q170+'Lokal-A'!Q170</f>
        <v>0</v>
      </c>
      <c r="R170" s="183">
        <f t="shared" si="6"/>
        <v>0</v>
      </c>
      <c r="S170" s="183">
        <f t="shared" si="7"/>
        <v>0</v>
      </c>
      <c r="T170" s="183">
        <f t="shared" si="8"/>
        <v>0</v>
      </c>
      <c r="U170" s="186"/>
    </row>
    <row r="171" ht="14.25" customHeight="1">
      <c r="A171" s="175"/>
      <c r="B171" s="177"/>
      <c r="D171" s="209" t="s">
        <v>906</v>
      </c>
      <c r="E171" s="183">
        <f>'Balin-A'!E171+'Sinta-A'!E171+'Kumai-A'!E171+'Lokal-A'!E171</f>
        <v>0</v>
      </c>
      <c r="F171" s="183">
        <f>'Balin-A'!F171+'Sinta-A'!F171+'Kumai-A'!F171+'Lokal-A'!F171</f>
        <v>0</v>
      </c>
      <c r="G171" s="183">
        <f>'Balin-A'!G171+'Sinta-A'!G171+'Kumai-A'!G171+'Lokal-A'!G171</f>
        <v>0</v>
      </c>
      <c r="H171" s="183">
        <f>'Balin-A'!H171+'Sinta-A'!H171+'Kumai-A'!H171+'Lokal-A'!H171</f>
        <v>0</v>
      </c>
      <c r="I171" s="183">
        <f>'Balin-A'!I171+'Sinta-A'!I171+'Kumai-A'!I171+'Lokal-A'!I171</f>
        <v>0</v>
      </c>
      <c r="J171" s="185">
        <f t="shared" si="2"/>
        <v>0</v>
      </c>
      <c r="K171" s="183">
        <f t="shared" si="3"/>
        <v>0</v>
      </c>
      <c r="L171" s="183">
        <f t="shared" si="4"/>
        <v>0</v>
      </c>
      <c r="M171" s="183">
        <f t="shared" si="5"/>
        <v>0</v>
      </c>
      <c r="N171" s="183">
        <f>'Balin-A'!N171+'Sinta-A'!N171+'Kumai-A'!N171+'Lokal-A'!N171</f>
        <v>0</v>
      </c>
      <c r="O171" s="183">
        <f>'Balin-A'!O171+'Sinta-A'!O171+'Kumai-A'!O171+'Lokal-A'!O171</f>
        <v>0</v>
      </c>
      <c r="P171" s="183">
        <f>'Balin-A'!P171+'Sinta-A'!P171+'Kumai-A'!P171+'Lokal-A'!P171</f>
        <v>0</v>
      </c>
      <c r="Q171" s="183">
        <f>'Balin-A'!Q171+'Sinta-A'!Q171+'Kumai-A'!Q171+'Lokal-A'!Q171</f>
        <v>0</v>
      </c>
      <c r="R171" s="183">
        <f t="shared" si="6"/>
        <v>0</v>
      </c>
      <c r="S171" s="183">
        <f t="shared" si="7"/>
        <v>0</v>
      </c>
      <c r="T171" s="183">
        <f t="shared" si="8"/>
        <v>0</v>
      </c>
      <c r="U171" s="186"/>
    </row>
    <row r="172" ht="14.25" customHeight="1">
      <c r="A172" s="175"/>
      <c r="B172" s="181" t="s">
        <v>475</v>
      </c>
      <c r="D172" s="209" t="s">
        <v>708</v>
      </c>
      <c r="E172" s="183">
        <f>'Balin-A'!E172+'Sinta-A'!E172+'Kumai-A'!E172+'Lokal-A'!E172</f>
        <v>28306050</v>
      </c>
      <c r="F172" s="183">
        <f>'Balin-A'!F172+'Sinta-A'!F172+'Kumai-A'!F172+'Lokal-A'!F172</f>
        <v>26237103</v>
      </c>
      <c r="G172" s="183">
        <f>'Balin-A'!G172+'Sinta-A'!G172+'Kumai-A'!G172+'Lokal-A'!G172</f>
        <v>23124712</v>
      </c>
      <c r="H172" s="183">
        <f>'Balin-A'!H172+'Sinta-A'!H172+'Kumai-A'!H172+'Lokal-A'!H172</f>
        <v>22253000</v>
      </c>
      <c r="I172" s="183">
        <f>'Balin-A'!I172+'Sinta-A'!I172+'Kumai-A'!I172+'Lokal-A'!I172</f>
        <v>22252551</v>
      </c>
      <c r="J172" s="185">
        <f t="shared" si="2"/>
        <v>107.8855772</v>
      </c>
      <c r="K172" s="183">
        <f t="shared" si="3"/>
        <v>122.406065</v>
      </c>
      <c r="L172" s="183">
        <f t="shared" si="4"/>
        <v>127.2010515</v>
      </c>
      <c r="M172" s="183">
        <f t="shared" si="5"/>
        <v>127.2036181</v>
      </c>
      <c r="N172" s="183">
        <f>'Balin-A'!N172+'Sinta-A'!N172+'Kumai-A'!N172+'Lokal-A'!N172</f>
        <v>156087610</v>
      </c>
      <c r="O172" s="183">
        <f>'Balin-A'!O172+'Sinta-A'!O172+'Kumai-A'!O172+'Lokal-A'!O172</f>
        <v>136685024</v>
      </c>
      <c r="P172" s="183">
        <f>'Balin-A'!P172+'Sinta-A'!P172+'Kumai-A'!P172+'Lokal-A'!P172</f>
        <v>120878000</v>
      </c>
      <c r="Q172" s="183">
        <f>'Balin-A'!Q172+'Sinta-A'!Q172+'Kumai-A'!Q172+'Lokal-A'!Q172</f>
        <v>120878138</v>
      </c>
      <c r="R172" s="183">
        <f t="shared" si="6"/>
        <v>114.1951074</v>
      </c>
      <c r="S172" s="183">
        <f t="shared" si="7"/>
        <v>129.1282202</v>
      </c>
      <c r="T172" s="183">
        <f t="shared" si="8"/>
        <v>129.1280728</v>
      </c>
      <c r="U172" s="186"/>
    </row>
    <row r="173" ht="14.25" customHeight="1">
      <c r="A173" s="175"/>
      <c r="B173" s="177"/>
      <c r="D173" s="209" t="s">
        <v>907</v>
      </c>
      <c r="E173" s="183">
        <f>'Balin-A'!E173+'Sinta-A'!E173+'Kumai-A'!E173+'Lokal-A'!E173</f>
        <v>0</v>
      </c>
      <c r="F173" s="183">
        <f>'Balin-A'!F173+'Sinta-A'!F173+'Kumai-A'!F173+'Lokal-A'!F173</f>
        <v>0</v>
      </c>
      <c r="G173" s="183">
        <f>'Balin-A'!G173+'Sinta-A'!G173+'Kumai-A'!G173+'Lokal-A'!G173</f>
        <v>0</v>
      </c>
      <c r="H173" s="183">
        <f>'Balin-A'!H173+'Sinta-A'!H173+'Kumai-A'!H173+'Lokal-A'!H173</f>
        <v>0</v>
      </c>
      <c r="I173" s="183">
        <f>'Balin-A'!I173+'Sinta-A'!I173+'Kumai-A'!I173+'Lokal-A'!I173</f>
        <v>0</v>
      </c>
      <c r="J173" s="185">
        <f t="shared" si="2"/>
        <v>0</v>
      </c>
      <c r="K173" s="183">
        <f t="shared" si="3"/>
        <v>0</v>
      </c>
      <c r="L173" s="183">
        <f t="shared" si="4"/>
        <v>0</v>
      </c>
      <c r="M173" s="183">
        <f t="shared" si="5"/>
        <v>0</v>
      </c>
      <c r="N173" s="183">
        <f>'Balin-A'!N173+'Sinta-A'!N173+'Kumai-A'!N173+'Lokal-A'!N173</f>
        <v>0</v>
      </c>
      <c r="O173" s="183">
        <f>'Balin-A'!O173+'Sinta-A'!O173+'Kumai-A'!O173+'Lokal-A'!O173</f>
        <v>0</v>
      </c>
      <c r="P173" s="183">
        <f>'Balin-A'!P173+'Sinta-A'!P173+'Kumai-A'!P173+'Lokal-A'!P173</f>
        <v>0</v>
      </c>
      <c r="Q173" s="183">
        <f>'Balin-A'!Q173+'Sinta-A'!Q173+'Kumai-A'!Q173+'Lokal-A'!Q173</f>
        <v>0</v>
      </c>
      <c r="R173" s="183">
        <f t="shared" si="6"/>
        <v>0</v>
      </c>
      <c r="S173" s="183">
        <f t="shared" si="7"/>
        <v>0</v>
      </c>
      <c r="T173" s="183">
        <f t="shared" si="8"/>
        <v>0</v>
      </c>
      <c r="U173" s="186"/>
    </row>
    <row r="174" ht="14.25" customHeight="1">
      <c r="A174" s="175"/>
      <c r="B174" s="181" t="s">
        <v>482</v>
      </c>
      <c r="D174" s="209" t="s">
        <v>709</v>
      </c>
      <c r="E174" s="183">
        <f>'Balin-A'!E174+'Sinta-A'!E174+'Kumai-A'!E174+'Lokal-A'!E174</f>
        <v>0</v>
      </c>
      <c r="F174" s="183">
        <f>'Balin-A'!F174+'Sinta-A'!F174+'Kumai-A'!F174+'Lokal-A'!F174</f>
        <v>0</v>
      </c>
      <c r="G174" s="183">
        <f>'Balin-A'!G174+'Sinta-A'!G174+'Kumai-A'!G174+'Lokal-A'!G174</f>
        <v>0</v>
      </c>
      <c r="H174" s="183">
        <f>'Balin-A'!H174+'Sinta-A'!H174+'Kumai-A'!H174+'Lokal-A'!H174</f>
        <v>0</v>
      </c>
      <c r="I174" s="183">
        <f>'Balin-A'!I174+'Sinta-A'!I174+'Kumai-A'!I174+'Lokal-A'!I174</f>
        <v>0</v>
      </c>
      <c r="J174" s="185">
        <f t="shared" si="2"/>
        <v>0</v>
      </c>
      <c r="K174" s="183">
        <f t="shared" si="3"/>
        <v>0</v>
      </c>
      <c r="L174" s="183">
        <f t="shared" si="4"/>
        <v>0</v>
      </c>
      <c r="M174" s="183">
        <f t="shared" si="5"/>
        <v>0</v>
      </c>
      <c r="N174" s="183">
        <f>'Balin-A'!N174+'Sinta-A'!N174+'Kumai-A'!N174+'Lokal-A'!N174</f>
        <v>200000</v>
      </c>
      <c r="O174" s="183">
        <f>'Balin-A'!O174+'Sinta-A'!O174+'Kumai-A'!O174+'Lokal-A'!O174</f>
        <v>0</v>
      </c>
      <c r="P174" s="183">
        <f>'Balin-A'!P174+'Sinta-A'!P174+'Kumai-A'!P174+'Lokal-A'!P174</f>
        <v>0</v>
      </c>
      <c r="Q174" s="183">
        <f>'Balin-A'!Q174+'Sinta-A'!Q174+'Kumai-A'!Q174+'Lokal-A'!Q174</f>
        <v>0</v>
      </c>
      <c r="R174" s="183">
        <f t="shared" si="6"/>
        <v>0</v>
      </c>
      <c r="S174" s="183">
        <f t="shared" si="7"/>
        <v>0</v>
      </c>
      <c r="T174" s="183">
        <f t="shared" si="8"/>
        <v>0</v>
      </c>
      <c r="U174" s="186"/>
    </row>
    <row r="175" ht="14.25" customHeight="1">
      <c r="A175" s="175"/>
      <c r="B175" s="181" t="s">
        <v>459</v>
      </c>
      <c r="D175" s="209" t="s">
        <v>710</v>
      </c>
      <c r="E175" s="183">
        <f>'Balin-A'!E175+'Sinta-A'!E175+'Kumai-A'!E175+'Lokal-A'!E175</f>
        <v>0</v>
      </c>
      <c r="F175" s="183">
        <f>'Balin-A'!F175+'Sinta-A'!F175+'Kumai-A'!F175+'Lokal-A'!F175</f>
        <v>518960</v>
      </c>
      <c r="G175" s="183">
        <f>'Balin-A'!G175+'Sinta-A'!G175+'Kumai-A'!G175+'Lokal-A'!G175</f>
        <v>0</v>
      </c>
      <c r="H175" s="183">
        <f>'Balin-A'!H175+'Sinta-A'!H175+'Kumai-A'!H175+'Lokal-A'!H175</f>
        <v>7190000</v>
      </c>
      <c r="I175" s="183">
        <f>'Balin-A'!I175+'Sinta-A'!I175+'Kumai-A'!I175+'Lokal-A'!I175</f>
        <v>7189843</v>
      </c>
      <c r="J175" s="185">
        <f t="shared" si="2"/>
        <v>0</v>
      </c>
      <c r="K175" s="183">
        <f t="shared" si="3"/>
        <v>0</v>
      </c>
      <c r="L175" s="183">
        <f t="shared" si="4"/>
        <v>0</v>
      </c>
      <c r="M175" s="183">
        <f t="shared" si="5"/>
        <v>0</v>
      </c>
      <c r="N175" s="183">
        <f>'Balin-A'!N175+'Sinta-A'!N175+'Kumai-A'!N175+'Lokal-A'!N175</f>
        <v>11621560</v>
      </c>
      <c r="O175" s="183">
        <f>'Balin-A'!O175+'Sinta-A'!O175+'Kumai-A'!O175+'Lokal-A'!O175</f>
        <v>1451000</v>
      </c>
      <c r="P175" s="183">
        <f>'Balin-A'!P175+'Sinta-A'!P175+'Kumai-A'!P175+'Lokal-A'!P175</f>
        <v>37167000</v>
      </c>
      <c r="Q175" s="183">
        <f>'Balin-A'!Q175+'Sinta-A'!Q175+'Kumai-A'!Q175+'Lokal-A'!Q175</f>
        <v>37165950</v>
      </c>
      <c r="R175" s="183">
        <f t="shared" si="6"/>
        <v>800.9345279</v>
      </c>
      <c r="S175" s="183">
        <f t="shared" si="7"/>
        <v>31.26849087</v>
      </c>
      <c r="T175" s="183">
        <f t="shared" si="8"/>
        <v>31.26937425</v>
      </c>
      <c r="U175" s="202"/>
    </row>
    <row r="176" ht="14.25" customHeight="1">
      <c r="A176" s="175"/>
      <c r="B176" s="181" t="s">
        <v>463</v>
      </c>
      <c r="D176" s="209" t="s">
        <v>711</v>
      </c>
      <c r="E176" s="183">
        <f>'Balin-A'!E176+'Sinta-A'!E176+'Kumai-A'!E176+'Lokal-A'!E176</f>
        <v>17108848</v>
      </c>
      <c r="F176" s="183">
        <f>'Balin-A'!F176+'Sinta-A'!F176+'Kumai-A'!F176+'Lokal-A'!F176</f>
        <v>14146340</v>
      </c>
      <c r="G176" s="183">
        <f>'Balin-A'!G176+'Sinta-A'!G176+'Kumai-A'!G176+'Lokal-A'!G176</f>
        <v>13768574</v>
      </c>
      <c r="H176" s="183">
        <f>'Balin-A'!H176+'Sinta-A'!H176+'Kumai-A'!H176+'Lokal-A'!H176</f>
        <v>0</v>
      </c>
      <c r="I176" s="183">
        <f>'Balin-A'!I176+'Sinta-A'!I176+'Kumai-A'!I176+'Lokal-A'!I176</f>
        <v>0</v>
      </c>
      <c r="J176" s="185">
        <f t="shared" si="2"/>
        <v>120.9418691</v>
      </c>
      <c r="K176" s="183">
        <f t="shared" si="3"/>
        <v>124.2601304</v>
      </c>
      <c r="L176" s="183">
        <f t="shared" si="4"/>
        <v>0</v>
      </c>
      <c r="M176" s="183">
        <f t="shared" si="5"/>
        <v>0</v>
      </c>
      <c r="N176" s="183">
        <f>'Balin-A'!N176+'Sinta-A'!N176+'Kumai-A'!N176+'Lokal-A'!N176</f>
        <v>79474040</v>
      </c>
      <c r="O176" s="183">
        <f>'Balin-A'!O176+'Sinta-A'!O176+'Kumai-A'!O176+'Lokal-A'!O176</f>
        <v>86480679</v>
      </c>
      <c r="P176" s="183">
        <f>'Balin-A'!P176+'Sinta-A'!P176+'Kumai-A'!P176+'Lokal-A'!P176</f>
        <v>0</v>
      </c>
      <c r="Q176" s="183">
        <f>'Balin-A'!Q176+'Sinta-A'!Q176+'Kumai-A'!Q176+'Lokal-A'!Q176</f>
        <v>0</v>
      </c>
      <c r="R176" s="183">
        <f t="shared" si="6"/>
        <v>91.89802962</v>
      </c>
      <c r="S176" s="183">
        <f t="shared" si="7"/>
        <v>0</v>
      </c>
      <c r="T176" s="183">
        <f t="shared" si="8"/>
        <v>0</v>
      </c>
      <c r="U176" s="202"/>
    </row>
    <row r="177" ht="14.25" customHeight="1">
      <c r="A177" s="175"/>
      <c r="B177" s="181" t="s">
        <v>469</v>
      </c>
      <c r="D177" s="209" t="s">
        <v>712</v>
      </c>
      <c r="E177" s="183">
        <f>'Balin-A'!E177+'Sinta-A'!E177+'Kumai-A'!E177+'Lokal-A'!E177</f>
        <v>700000</v>
      </c>
      <c r="F177" s="183">
        <f>'Balin-A'!F177+'Sinta-A'!F177+'Kumai-A'!F177+'Lokal-A'!F177</f>
        <v>425000</v>
      </c>
      <c r="G177" s="183">
        <f>'Balin-A'!G177+'Sinta-A'!G177+'Kumai-A'!G177+'Lokal-A'!G177</f>
        <v>2795000</v>
      </c>
      <c r="H177" s="183">
        <f>'Balin-A'!H177+'Sinta-A'!H177+'Kumai-A'!H177+'Lokal-A'!H177</f>
        <v>0</v>
      </c>
      <c r="I177" s="183">
        <f>'Balin-A'!I177+'Sinta-A'!I177+'Kumai-A'!I177+'Lokal-A'!I177</f>
        <v>0</v>
      </c>
      <c r="J177" s="185">
        <f t="shared" si="2"/>
        <v>164.7058824</v>
      </c>
      <c r="K177" s="183">
        <f t="shared" si="3"/>
        <v>25.04472272</v>
      </c>
      <c r="L177" s="183">
        <f t="shared" si="4"/>
        <v>0</v>
      </c>
      <c r="M177" s="183">
        <f t="shared" si="5"/>
        <v>0</v>
      </c>
      <c r="N177" s="183">
        <f>'Balin-A'!N177+'Sinta-A'!N177+'Kumai-A'!N177+'Lokal-A'!N177</f>
        <v>7360000</v>
      </c>
      <c r="O177" s="183">
        <f>'Balin-A'!O177+'Sinta-A'!O177+'Kumai-A'!O177+'Lokal-A'!O177</f>
        <v>10701000</v>
      </c>
      <c r="P177" s="183">
        <f>'Balin-A'!P177+'Sinta-A'!P177+'Kumai-A'!P177+'Lokal-A'!P177</f>
        <v>0</v>
      </c>
      <c r="Q177" s="183">
        <f>'Balin-A'!Q177+'Sinta-A'!Q177+'Kumai-A'!Q177+'Lokal-A'!Q177</f>
        <v>0</v>
      </c>
      <c r="R177" s="183">
        <f t="shared" si="6"/>
        <v>68.77861882</v>
      </c>
      <c r="S177" s="183">
        <f t="shared" si="7"/>
        <v>0</v>
      </c>
      <c r="T177" s="183">
        <f t="shared" si="8"/>
        <v>0</v>
      </c>
      <c r="U177" s="225"/>
    </row>
    <row r="178" ht="14.25" customHeight="1">
      <c r="A178" s="175"/>
      <c r="B178" s="181" t="s">
        <v>487</v>
      </c>
      <c r="D178" s="209" t="s">
        <v>713</v>
      </c>
      <c r="E178" s="183">
        <f>'Balin-A'!E178+'Sinta-A'!E178+'Kumai-A'!E178+'Lokal-A'!E178</f>
        <v>11492000</v>
      </c>
      <c r="F178" s="183">
        <f>'Balin-A'!F178+'Sinta-A'!F178+'Kumai-A'!F178+'Lokal-A'!F178</f>
        <v>15184000</v>
      </c>
      <c r="G178" s="183">
        <f>'Balin-A'!G178+'Sinta-A'!G178+'Kumai-A'!G178+'Lokal-A'!G178</f>
        <v>8320000</v>
      </c>
      <c r="H178" s="183">
        <f>'Balin-A'!H178+'Sinta-A'!H178+'Kumai-A'!H178+'Lokal-A'!H178</f>
        <v>0</v>
      </c>
      <c r="I178" s="183">
        <f>'Balin-A'!I178+'Sinta-A'!I178+'Kumai-A'!I178+'Lokal-A'!I178</f>
        <v>0</v>
      </c>
      <c r="J178" s="185">
        <f t="shared" si="2"/>
        <v>75.68493151</v>
      </c>
      <c r="K178" s="183">
        <f t="shared" si="3"/>
        <v>138.125</v>
      </c>
      <c r="L178" s="183">
        <f t="shared" si="4"/>
        <v>0</v>
      </c>
      <c r="M178" s="183">
        <f t="shared" si="5"/>
        <v>0</v>
      </c>
      <c r="N178" s="183">
        <f>'Balin-A'!N178+'Sinta-A'!N178+'Kumai-A'!N178+'Lokal-A'!N178</f>
        <v>57840000</v>
      </c>
      <c r="O178" s="183">
        <f>'Balin-A'!O178+'Sinta-A'!O178+'Kumai-A'!O178+'Lokal-A'!O178</f>
        <v>24980000</v>
      </c>
      <c r="P178" s="183">
        <f>'Balin-A'!P178+'Sinta-A'!P178+'Kumai-A'!P178+'Lokal-A'!P178</f>
        <v>0</v>
      </c>
      <c r="Q178" s="183">
        <f>'Balin-A'!Q178+'Sinta-A'!Q178+'Kumai-A'!Q178+'Lokal-A'!Q178</f>
        <v>0</v>
      </c>
      <c r="R178" s="183">
        <f t="shared" si="6"/>
        <v>231.5452362</v>
      </c>
      <c r="S178" s="183">
        <f t="shared" si="7"/>
        <v>0</v>
      </c>
      <c r="T178" s="183">
        <f t="shared" si="8"/>
        <v>0</v>
      </c>
      <c r="U178" s="229"/>
    </row>
    <row r="179" ht="14.25" customHeight="1">
      <c r="A179" s="175"/>
      <c r="B179" s="181" t="s">
        <v>556</v>
      </c>
      <c r="D179" s="209" t="s">
        <v>908</v>
      </c>
      <c r="E179" s="183">
        <f>'Balin-A'!E179+'Sinta-A'!E179+'Kumai-A'!E179+'Lokal-A'!E179</f>
        <v>245000</v>
      </c>
      <c r="F179" s="183">
        <f>'Balin-A'!F179+'Sinta-A'!F179+'Kumai-A'!F179+'Lokal-A'!F179</f>
        <v>0</v>
      </c>
      <c r="G179" s="183">
        <f>'Balin-A'!G179+'Sinta-A'!G179+'Kumai-A'!G179+'Lokal-A'!G179</f>
        <v>45000</v>
      </c>
      <c r="H179" s="183">
        <f>'Balin-A'!H179+'Sinta-A'!H179+'Kumai-A'!H179+'Lokal-A'!H179</f>
        <v>0</v>
      </c>
      <c r="I179" s="183">
        <f>'Balin-A'!I179+'Sinta-A'!I179+'Kumai-A'!I179+'Lokal-A'!I179</f>
        <v>0</v>
      </c>
      <c r="J179" s="185">
        <f t="shared" si="2"/>
        <v>0</v>
      </c>
      <c r="K179" s="183">
        <f t="shared" si="3"/>
        <v>544.4444444</v>
      </c>
      <c r="L179" s="183">
        <f t="shared" si="4"/>
        <v>0</v>
      </c>
      <c r="M179" s="183">
        <f t="shared" si="5"/>
        <v>0</v>
      </c>
      <c r="N179" s="183">
        <f>'Balin-A'!N179+'Sinta-A'!N179+'Kumai-A'!N179+'Lokal-A'!N179</f>
        <v>245000</v>
      </c>
      <c r="O179" s="183">
        <f>'Balin-A'!O179+'Sinta-A'!O179+'Kumai-A'!O179+'Lokal-A'!O179</f>
        <v>758000</v>
      </c>
      <c r="P179" s="183">
        <f>'Balin-A'!P179+'Sinta-A'!P179+'Kumai-A'!P179+'Lokal-A'!P179</f>
        <v>15734000</v>
      </c>
      <c r="Q179" s="183">
        <f>'Balin-A'!Q179+'Sinta-A'!Q179+'Kumai-A'!Q179+'Lokal-A'!Q179</f>
        <v>15734250</v>
      </c>
      <c r="R179" s="183">
        <f t="shared" si="6"/>
        <v>32.32189974</v>
      </c>
      <c r="S179" s="183">
        <f t="shared" si="7"/>
        <v>1.557137409</v>
      </c>
      <c r="T179" s="183">
        <f t="shared" si="8"/>
        <v>1.557112668</v>
      </c>
      <c r="U179" s="186"/>
    </row>
    <row r="180" ht="14.25" customHeight="1">
      <c r="A180" s="231"/>
      <c r="B180" s="181"/>
      <c r="D180" s="209" t="s">
        <v>909</v>
      </c>
      <c r="E180" s="183">
        <f>'Balin-A'!E180+'Sinta-A'!E180+'Kumai-A'!E180+'Lokal-A'!E180</f>
        <v>0</v>
      </c>
      <c r="F180" s="183">
        <f>'Balin-A'!F180+'Sinta-A'!F180+'Kumai-A'!F180+'Lokal-A'!F180</f>
        <v>0</v>
      </c>
      <c r="G180" s="183">
        <f>'Balin-A'!G180+'Sinta-A'!G180+'Kumai-A'!G180+'Lokal-A'!G180</f>
        <v>0</v>
      </c>
      <c r="H180" s="183">
        <f>'Balin-A'!H180+'Sinta-A'!H180+'Kumai-A'!H180+'Lokal-A'!H180</f>
        <v>0</v>
      </c>
      <c r="I180" s="183">
        <f>'Balin-A'!I180+'Sinta-A'!I180+'Kumai-A'!I180+'Lokal-A'!I180</f>
        <v>0</v>
      </c>
      <c r="J180" s="185">
        <f t="shared" si="2"/>
        <v>0</v>
      </c>
      <c r="K180" s="183">
        <f t="shared" si="3"/>
        <v>0</v>
      </c>
      <c r="L180" s="183">
        <f t="shared" si="4"/>
        <v>0</v>
      </c>
      <c r="M180" s="183">
        <f t="shared" si="5"/>
        <v>0</v>
      </c>
      <c r="N180" s="183">
        <f>'Balin-A'!N180+'Sinta-A'!N180+'Kumai-A'!N180+'Lokal-A'!N180</f>
        <v>0</v>
      </c>
      <c r="O180" s="183">
        <f>'Balin-A'!O180+'Sinta-A'!O180+'Kumai-A'!O180+'Lokal-A'!O180</f>
        <v>0</v>
      </c>
      <c r="P180" s="183">
        <f>'Balin-A'!P180+'Sinta-A'!P180+'Kumai-A'!P180+'Lokal-A'!P180</f>
        <v>0</v>
      </c>
      <c r="Q180" s="183">
        <f>'Balin-A'!Q180+'Sinta-A'!Q180+'Kumai-A'!Q180+'Lokal-A'!Q180</f>
        <v>0</v>
      </c>
      <c r="R180" s="183">
        <f t="shared" si="6"/>
        <v>0</v>
      </c>
      <c r="S180" s="183">
        <f t="shared" si="7"/>
        <v>0</v>
      </c>
      <c r="T180" s="183">
        <f t="shared" si="8"/>
        <v>0</v>
      </c>
      <c r="U180" s="186"/>
    </row>
    <row r="181" ht="14.25" customHeight="1">
      <c r="A181" s="175"/>
      <c r="B181" s="177"/>
      <c r="D181" s="209" t="s">
        <v>910</v>
      </c>
      <c r="E181" s="183">
        <f>'Balin-A'!E181+'Sinta-A'!E181+'Kumai-A'!E181+'Lokal-A'!E181</f>
        <v>0</v>
      </c>
      <c r="F181" s="183">
        <f>'Balin-A'!F181+'Sinta-A'!F181+'Kumai-A'!F181+'Lokal-A'!F181</f>
        <v>0</v>
      </c>
      <c r="G181" s="183">
        <f>'Balin-A'!G181+'Sinta-A'!G181+'Kumai-A'!G181+'Lokal-A'!G181</f>
        <v>0</v>
      </c>
      <c r="H181" s="183">
        <f>'Balin-A'!H181+'Sinta-A'!H181+'Kumai-A'!H181+'Lokal-A'!H181</f>
        <v>0</v>
      </c>
      <c r="I181" s="183">
        <f>'Balin-A'!I181+'Sinta-A'!I181+'Kumai-A'!I181+'Lokal-A'!I181</f>
        <v>0</v>
      </c>
      <c r="J181" s="185">
        <f t="shared" si="2"/>
        <v>0</v>
      </c>
      <c r="K181" s="183">
        <f t="shared" si="3"/>
        <v>0</v>
      </c>
      <c r="L181" s="183">
        <f t="shared" si="4"/>
        <v>0</v>
      </c>
      <c r="M181" s="183">
        <f t="shared" si="5"/>
        <v>0</v>
      </c>
      <c r="N181" s="183">
        <f>'Balin-A'!N181+'Sinta-A'!N181+'Kumai-A'!N181+'Lokal-A'!N181</f>
        <v>0</v>
      </c>
      <c r="O181" s="183">
        <f>'Balin-A'!O181+'Sinta-A'!O181+'Kumai-A'!O181+'Lokal-A'!O181</f>
        <v>0</v>
      </c>
      <c r="P181" s="183">
        <f>'Balin-A'!P181+'Sinta-A'!P181+'Kumai-A'!P181+'Lokal-A'!P181</f>
        <v>0</v>
      </c>
      <c r="Q181" s="183">
        <f>'Balin-A'!Q181+'Sinta-A'!Q181+'Kumai-A'!Q181+'Lokal-A'!Q181</f>
        <v>0</v>
      </c>
      <c r="R181" s="183">
        <f t="shared" si="6"/>
        <v>0</v>
      </c>
      <c r="S181" s="183">
        <f t="shared" si="7"/>
        <v>0</v>
      </c>
      <c r="T181" s="183">
        <f t="shared" si="8"/>
        <v>0</v>
      </c>
      <c r="U181" s="186"/>
    </row>
    <row r="182" ht="14.25" customHeight="1">
      <c r="A182" s="175"/>
      <c r="B182" s="181" t="s">
        <v>548</v>
      </c>
      <c r="D182" s="209" t="s">
        <v>714</v>
      </c>
      <c r="E182" s="183">
        <f>'Balin-A'!E182+'Sinta-A'!E182+'Kumai-A'!E182+'Lokal-A'!E182</f>
        <v>74115892</v>
      </c>
      <c r="F182" s="183">
        <f>'Balin-A'!F182+'Sinta-A'!F182+'Kumai-A'!F182+'Lokal-A'!F182</f>
        <v>74115892</v>
      </c>
      <c r="G182" s="183">
        <f>'Balin-A'!G182+'Sinta-A'!G182+'Kumai-A'!G182+'Lokal-A'!G182</f>
        <v>0</v>
      </c>
      <c r="H182" s="183">
        <f>'Balin-A'!H182+'Sinta-A'!H182+'Kumai-A'!H182+'Lokal-A'!H182</f>
        <v>74116000</v>
      </c>
      <c r="I182" s="183">
        <f>'Balin-A'!I182+'Sinta-A'!I182+'Kumai-A'!I182+'Lokal-A'!I182</f>
        <v>74115892</v>
      </c>
      <c r="J182" s="185">
        <f t="shared" si="2"/>
        <v>100</v>
      </c>
      <c r="K182" s="183">
        <f t="shared" si="3"/>
        <v>0</v>
      </c>
      <c r="L182" s="183">
        <f t="shared" si="4"/>
        <v>99.99985428</v>
      </c>
      <c r="M182" s="183">
        <f t="shared" si="5"/>
        <v>100</v>
      </c>
      <c r="N182" s="183">
        <f>'Balin-A'!N182+'Sinta-A'!N182+'Kumai-A'!N182+'Lokal-A'!N182</f>
        <v>370579784</v>
      </c>
      <c r="O182" s="183">
        <f>'Balin-A'!O182+'Sinta-A'!O182+'Kumai-A'!O182+'Lokal-A'!O182</f>
        <v>16008426</v>
      </c>
      <c r="P182" s="183">
        <f>'Balin-A'!P182+'Sinta-A'!P182+'Kumai-A'!P182+'Lokal-A'!P182</f>
        <v>370580000</v>
      </c>
      <c r="Q182" s="183">
        <f>'Balin-A'!Q182+'Sinta-A'!Q182+'Kumai-A'!Q182+'Lokal-A'!Q182</f>
        <v>370579460</v>
      </c>
      <c r="R182" s="183">
        <f t="shared" si="6"/>
        <v>2314.904563</v>
      </c>
      <c r="S182" s="183">
        <f t="shared" si="7"/>
        <v>99.99994171</v>
      </c>
      <c r="T182" s="183">
        <f t="shared" si="8"/>
        <v>100.0000874</v>
      </c>
      <c r="U182" s="186"/>
    </row>
    <row r="183" ht="14.25" customHeight="1">
      <c r="A183" s="175"/>
      <c r="B183" s="181" t="s">
        <v>571</v>
      </c>
      <c r="D183" s="209" t="s">
        <v>715</v>
      </c>
      <c r="E183" s="183">
        <f>'Balin-A'!E183+'Sinta-A'!E183+'Kumai-A'!E183+'Lokal-A'!E183</f>
        <v>0</v>
      </c>
      <c r="F183" s="183">
        <f>'Balin-A'!F183+'Sinta-A'!F183+'Kumai-A'!F183+'Lokal-A'!F183</f>
        <v>0</v>
      </c>
      <c r="G183" s="183">
        <f>'Balin-A'!G183+'Sinta-A'!G183+'Kumai-A'!G183+'Lokal-A'!G183</f>
        <v>0</v>
      </c>
      <c r="H183" s="183">
        <f>'Balin-A'!H183+'Sinta-A'!H183+'Kumai-A'!H183+'Lokal-A'!H183</f>
        <v>44000</v>
      </c>
      <c r="I183" s="183">
        <f>'Balin-A'!I183+'Sinta-A'!I183+'Kumai-A'!I183+'Lokal-A'!I183</f>
        <v>44000</v>
      </c>
      <c r="J183" s="185">
        <f t="shared" si="2"/>
        <v>0</v>
      </c>
      <c r="K183" s="183">
        <f t="shared" si="3"/>
        <v>0</v>
      </c>
      <c r="L183" s="183">
        <f t="shared" si="4"/>
        <v>0</v>
      </c>
      <c r="M183" s="183">
        <f t="shared" si="5"/>
        <v>0</v>
      </c>
      <c r="N183" s="183">
        <f>'Balin-A'!N183+'Sinta-A'!N183+'Kumai-A'!N183+'Lokal-A'!N183</f>
        <v>0</v>
      </c>
      <c r="O183" s="183">
        <f>'Balin-A'!O183+'Sinta-A'!O183+'Kumai-A'!O183+'Lokal-A'!O183</f>
        <v>5331818</v>
      </c>
      <c r="P183" s="183">
        <f>'Balin-A'!P183+'Sinta-A'!P183+'Kumai-A'!P183+'Lokal-A'!P183</f>
        <v>220000</v>
      </c>
      <c r="Q183" s="183">
        <f>'Balin-A'!Q183+'Sinta-A'!Q183+'Kumai-A'!Q183+'Lokal-A'!Q183</f>
        <v>220000</v>
      </c>
      <c r="R183" s="183">
        <f t="shared" si="6"/>
        <v>0</v>
      </c>
      <c r="S183" s="183">
        <f t="shared" si="7"/>
        <v>0</v>
      </c>
      <c r="T183" s="183">
        <f t="shared" si="8"/>
        <v>0</v>
      </c>
      <c r="U183" s="186"/>
    </row>
    <row r="184" ht="14.25" customHeight="1">
      <c r="A184" s="175"/>
      <c r="B184" s="181" t="s">
        <v>473</v>
      </c>
      <c r="D184" s="209" t="s">
        <v>716</v>
      </c>
      <c r="E184" s="183">
        <f>'Balin-A'!E184+'Sinta-A'!E184+'Kumai-A'!E184+'Lokal-A'!E184</f>
        <v>165721575</v>
      </c>
      <c r="F184" s="183">
        <f>'Balin-A'!F184+'Sinta-A'!F184+'Kumai-A'!F184+'Lokal-A'!F184</f>
        <v>113888323</v>
      </c>
      <c r="G184" s="183">
        <f>'Balin-A'!G184+'Sinta-A'!G184+'Kumai-A'!G184+'Lokal-A'!G184</f>
        <v>132861669</v>
      </c>
      <c r="H184" s="183">
        <f>'Balin-A'!H184+'Sinta-A'!H184+'Kumai-A'!H184+'Lokal-A'!H184</f>
        <v>98675000</v>
      </c>
      <c r="I184" s="183">
        <f>'Balin-A'!I184+'Sinta-A'!I184+'Kumai-A'!I184+'Lokal-A'!I184</f>
        <v>98675422</v>
      </c>
      <c r="J184" s="185">
        <f t="shared" si="2"/>
        <v>145.5123498</v>
      </c>
      <c r="K184" s="183">
        <f t="shared" si="3"/>
        <v>124.73242</v>
      </c>
      <c r="L184" s="183">
        <f t="shared" si="4"/>
        <v>167.946871</v>
      </c>
      <c r="M184" s="183">
        <f t="shared" si="5"/>
        <v>167.9461528</v>
      </c>
      <c r="N184" s="183">
        <f>'Balin-A'!N184+'Sinta-A'!N184+'Kumai-A'!N184+'Lokal-A'!N184</f>
        <v>617108668</v>
      </c>
      <c r="O184" s="183">
        <f>'Balin-A'!O184+'Sinta-A'!O184+'Kumai-A'!O184+'Lokal-A'!O184</f>
        <v>567728095</v>
      </c>
      <c r="P184" s="183">
        <f>'Balin-A'!P184+'Sinta-A'!P184+'Kumai-A'!P184+'Lokal-A'!P184</f>
        <v>510370000</v>
      </c>
      <c r="Q184" s="183">
        <f>'Balin-A'!Q184+'Sinta-A'!Q184+'Kumai-A'!Q184+'Lokal-A'!Q184</f>
        <v>510370631</v>
      </c>
      <c r="R184" s="183">
        <f t="shared" si="6"/>
        <v>108.6979266</v>
      </c>
      <c r="S184" s="183">
        <f t="shared" si="7"/>
        <v>120.9139777</v>
      </c>
      <c r="T184" s="183">
        <f t="shared" si="8"/>
        <v>120.9138282</v>
      </c>
      <c r="U184" s="186"/>
    </row>
    <row r="185" ht="14.25" customHeight="1">
      <c r="A185" s="175"/>
      <c r="B185" s="181" t="s">
        <v>491</v>
      </c>
      <c r="D185" s="209" t="s">
        <v>717</v>
      </c>
      <c r="E185" s="183">
        <f>'Balin-A'!E185+'Sinta-A'!E185+'Kumai-A'!E185+'Lokal-A'!E185</f>
        <v>2058988</v>
      </c>
      <c r="F185" s="183">
        <f>'Balin-A'!F185+'Sinta-A'!F185+'Kumai-A'!F185+'Lokal-A'!F185</f>
        <v>1062968</v>
      </c>
      <c r="G185" s="183">
        <f>'Balin-A'!G185+'Sinta-A'!G185+'Kumai-A'!G185+'Lokal-A'!G185</f>
        <v>1425676</v>
      </c>
      <c r="H185" s="183">
        <f>'Balin-A'!H185+'Sinta-A'!H185+'Kumai-A'!H185+'Lokal-A'!H185</f>
        <v>3675000</v>
      </c>
      <c r="I185" s="183">
        <f>'Balin-A'!I185+'Sinta-A'!I185+'Kumai-A'!I185+'Lokal-A'!I185</f>
        <v>3675000</v>
      </c>
      <c r="J185" s="185">
        <f t="shared" si="2"/>
        <v>193.7017859</v>
      </c>
      <c r="K185" s="183">
        <f t="shared" si="3"/>
        <v>144.4218743</v>
      </c>
      <c r="L185" s="183">
        <f t="shared" si="4"/>
        <v>56.02688435</v>
      </c>
      <c r="M185" s="183">
        <f t="shared" si="5"/>
        <v>56.02688435</v>
      </c>
      <c r="N185" s="183">
        <f>'Balin-A'!N185+'Sinta-A'!N185+'Kumai-A'!N185+'Lokal-A'!N185</f>
        <v>7977143</v>
      </c>
      <c r="O185" s="183">
        <f>'Balin-A'!O185+'Sinta-A'!O185+'Kumai-A'!O185+'Lokal-A'!O185</f>
        <v>7567932</v>
      </c>
      <c r="P185" s="183">
        <f>'Balin-A'!P185+'Sinta-A'!P185+'Kumai-A'!P185+'Lokal-A'!P185</f>
        <v>17850000</v>
      </c>
      <c r="Q185" s="183">
        <f>'Balin-A'!Q185+'Sinta-A'!Q185+'Kumai-A'!Q185+'Lokal-A'!Q185</f>
        <v>17850000</v>
      </c>
      <c r="R185" s="183">
        <f t="shared" si="6"/>
        <v>105.4071707</v>
      </c>
      <c r="S185" s="183">
        <f t="shared" si="7"/>
        <v>44.68987675</v>
      </c>
      <c r="T185" s="183">
        <f t="shared" si="8"/>
        <v>44.68987675</v>
      </c>
      <c r="U185" s="186"/>
    </row>
    <row r="186" ht="14.25" customHeight="1">
      <c r="A186" s="175"/>
      <c r="B186" s="181" t="s">
        <v>494</v>
      </c>
      <c r="D186" s="209" t="s">
        <v>718</v>
      </c>
      <c r="E186" s="183">
        <f>'Balin-A'!E186+'Sinta-A'!E186+'Kumai-A'!E186+'Lokal-A'!E186</f>
        <v>1050700</v>
      </c>
      <c r="F186" s="183">
        <f>'Balin-A'!F186+'Sinta-A'!F186+'Kumai-A'!F186+'Lokal-A'!F186</f>
        <v>784900</v>
      </c>
      <c r="G186" s="183">
        <f>'Balin-A'!G186+'Sinta-A'!G186+'Kumai-A'!G186+'Lokal-A'!G186</f>
        <v>6130901</v>
      </c>
      <c r="H186" s="183">
        <f>'Balin-A'!H186+'Sinta-A'!H186+'Kumai-A'!H186+'Lokal-A'!H186</f>
        <v>1705000</v>
      </c>
      <c r="I186" s="183">
        <f>'Balin-A'!I186+'Sinta-A'!I186+'Kumai-A'!I186+'Lokal-A'!I186</f>
        <v>1705000</v>
      </c>
      <c r="J186" s="185">
        <f t="shared" si="2"/>
        <v>133.8641865</v>
      </c>
      <c r="K186" s="183">
        <f t="shared" si="3"/>
        <v>17.13777469</v>
      </c>
      <c r="L186" s="183">
        <f t="shared" si="4"/>
        <v>61.62463343</v>
      </c>
      <c r="M186" s="183">
        <f t="shared" si="5"/>
        <v>61.62463343</v>
      </c>
      <c r="N186" s="183">
        <f>'Balin-A'!N186+'Sinta-A'!N186+'Kumai-A'!N186+'Lokal-A'!N186</f>
        <v>5155900</v>
      </c>
      <c r="O186" s="183">
        <f>'Balin-A'!O186+'Sinta-A'!O186+'Kumai-A'!O186+'Lokal-A'!O186</f>
        <v>27761540</v>
      </c>
      <c r="P186" s="183">
        <f>'Balin-A'!P186+'Sinta-A'!P186+'Kumai-A'!P186+'Lokal-A'!P186</f>
        <v>8360000</v>
      </c>
      <c r="Q186" s="183">
        <f>'Balin-A'!Q186+'Sinta-A'!Q186+'Kumai-A'!Q186+'Lokal-A'!Q186</f>
        <v>8360000</v>
      </c>
      <c r="R186" s="183">
        <f t="shared" si="6"/>
        <v>18.5720965</v>
      </c>
      <c r="S186" s="183">
        <f t="shared" si="7"/>
        <v>61.67344498</v>
      </c>
      <c r="T186" s="183">
        <f t="shared" si="8"/>
        <v>61.67344498</v>
      </c>
      <c r="U186" s="186"/>
    </row>
    <row r="187" ht="14.25" customHeight="1">
      <c r="A187" s="175"/>
      <c r="B187" s="181" t="s">
        <v>533</v>
      </c>
      <c r="D187" s="209" t="s">
        <v>719</v>
      </c>
      <c r="E187" s="183">
        <f>'Balin-A'!E187+'Sinta-A'!E187+'Kumai-A'!E187+'Lokal-A'!E187</f>
        <v>0</v>
      </c>
      <c r="F187" s="183">
        <f>'Balin-A'!F187+'Sinta-A'!F187+'Kumai-A'!F187+'Lokal-A'!F187</f>
        <v>0</v>
      </c>
      <c r="G187" s="183">
        <f>'Balin-A'!G187+'Sinta-A'!G187+'Kumai-A'!G187+'Lokal-A'!G187</f>
        <v>0</v>
      </c>
      <c r="H187" s="183">
        <f>'Balin-A'!H187+'Sinta-A'!H187+'Kumai-A'!H187+'Lokal-A'!H187</f>
        <v>0</v>
      </c>
      <c r="I187" s="183">
        <f>'Balin-A'!I187+'Sinta-A'!I187+'Kumai-A'!I187+'Lokal-A'!I187</f>
        <v>0</v>
      </c>
      <c r="J187" s="185">
        <f t="shared" si="2"/>
        <v>0</v>
      </c>
      <c r="K187" s="183">
        <f t="shared" si="3"/>
        <v>0</v>
      </c>
      <c r="L187" s="183">
        <f t="shared" si="4"/>
        <v>0</v>
      </c>
      <c r="M187" s="183">
        <f t="shared" si="5"/>
        <v>0</v>
      </c>
      <c r="N187" s="183">
        <f>'Balin-A'!N187+'Sinta-A'!N187+'Kumai-A'!N187+'Lokal-A'!N187</f>
        <v>0</v>
      </c>
      <c r="O187" s="183">
        <f>'Balin-A'!O187+'Sinta-A'!O187+'Kumai-A'!O187+'Lokal-A'!O187</f>
        <v>0</v>
      </c>
      <c r="P187" s="183">
        <f>'Balin-A'!P187+'Sinta-A'!P187+'Kumai-A'!P187+'Lokal-A'!P187</f>
        <v>0</v>
      </c>
      <c r="Q187" s="183">
        <f>'Balin-A'!Q187+'Sinta-A'!Q187+'Kumai-A'!Q187+'Lokal-A'!Q187</f>
        <v>0</v>
      </c>
      <c r="R187" s="183">
        <f t="shared" si="6"/>
        <v>0</v>
      </c>
      <c r="S187" s="183">
        <f t="shared" si="7"/>
        <v>0</v>
      </c>
      <c r="T187" s="183">
        <f t="shared" si="8"/>
        <v>0</v>
      </c>
      <c r="U187" s="186"/>
    </row>
    <row r="188" ht="14.25" customHeight="1">
      <c r="A188" s="175"/>
      <c r="B188" s="221"/>
      <c r="C188" s="222"/>
      <c r="D188" s="233" t="s">
        <v>911</v>
      </c>
      <c r="E188" s="224">
        <f t="shared" ref="E188:I188" si="65">sum(E166:E187)</f>
        <v>485079757</v>
      </c>
      <c r="F188" s="224">
        <f t="shared" si="65"/>
        <v>409211696</v>
      </c>
      <c r="G188" s="224">
        <f t="shared" si="65"/>
        <v>356034680</v>
      </c>
      <c r="H188" s="224">
        <f t="shared" si="65"/>
        <v>342049000</v>
      </c>
      <c r="I188" s="224">
        <f t="shared" si="65"/>
        <v>342048189</v>
      </c>
      <c r="J188" s="224">
        <f t="shared" si="2"/>
        <v>118.5400519</v>
      </c>
      <c r="K188" s="224">
        <f t="shared" si="3"/>
        <v>136.2450863</v>
      </c>
      <c r="L188" s="224">
        <f t="shared" si="4"/>
        <v>141.8158676</v>
      </c>
      <c r="M188" s="224">
        <f t="shared" si="5"/>
        <v>141.8162039</v>
      </c>
      <c r="N188" s="224">
        <f t="shared" ref="N188:Q188" si="66">sum(N166:N187)</f>
        <v>2102935159</v>
      </c>
      <c r="O188" s="224">
        <f t="shared" si="66"/>
        <v>1919022506</v>
      </c>
      <c r="P188" s="224">
        <f t="shared" si="66"/>
        <v>1768453000</v>
      </c>
      <c r="Q188" s="224">
        <f t="shared" si="66"/>
        <v>1768452450</v>
      </c>
      <c r="R188" s="224">
        <f t="shared" si="6"/>
        <v>109.5836632</v>
      </c>
      <c r="S188" s="224">
        <f t="shared" si="7"/>
        <v>118.913828</v>
      </c>
      <c r="T188" s="224">
        <f t="shared" si="8"/>
        <v>118.913865</v>
      </c>
      <c r="U188" s="186"/>
    </row>
    <row r="189" ht="14.25" customHeight="1">
      <c r="A189" s="175"/>
      <c r="B189" s="221" t="s">
        <v>912</v>
      </c>
      <c r="C189" s="222"/>
      <c r="D189" s="223"/>
      <c r="E189" s="235">
        <f t="shared" ref="E189:I189" si="67">E188+E165</f>
        <v>928478295</v>
      </c>
      <c r="F189" s="235">
        <f t="shared" si="67"/>
        <v>699180092</v>
      </c>
      <c r="G189" s="235">
        <f t="shared" si="67"/>
        <v>825665290</v>
      </c>
      <c r="H189" s="235">
        <f t="shared" si="67"/>
        <v>639583503</v>
      </c>
      <c r="I189" s="235">
        <f t="shared" si="67"/>
        <v>639582189</v>
      </c>
      <c r="J189" s="235">
        <f t="shared" si="2"/>
        <v>132.7952992</v>
      </c>
      <c r="K189" s="235">
        <f t="shared" si="3"/>
        <v>112.4521409</v>
      </c>
      <c r="L189" s="235">
        <f t="shared" si="4"/>
        <v>145.1692063</v>
      </c>
      <c r="M189" s="235">
        <f t="shared" si="5"/>
        <v>145.1695046</v>
      </c>
      <c r="N189" s="235">
        <f t="shared" ref="N189:Q189" si="68">N188+N165</f>
        <v>4251603621</v>
      </c>
      <c r="O189" s="235">
        <f t="shared" si="68"/>
        <v>4267175533</v>
      </c>
      <c r="P189" s="235">
        <f t="shared" si="68"/>
        <v>3256125515</v>
      </c>
      <c r="Q189" s="235">
        <f t="shared" si="68"/>
        <v>3256122450</v>
      </c>
      <c r="R189" s="235">
        <f t="shared" si="6"/>
        <v>99.63507684</v>
      </c>
      <c r="S189" s="235">
        <f t="shared" si="7"/>
        <v>130.5724734</v>
      </c>
      <c r="T189" s="235">
        <f t="shared" si="8"/>
        <v>130.5725963</v>
      </c>
      <c r="U189" s="186"/>
    </row>
    <row r="190" ht="14.25" customHeight="1">
      <c r="A190" s="175"/>
      <c r="B190" s="236" t="s">
        <v>913</v>
      </c>
      <c r="C190" s="237"/>
      <c r="D190" s="238"/>
      <c r="E190" s="239">
        <f t="shared" ref="E190:I190" si="69">E189+E149</f>
        <v>1697342257</v>
      </c>
      <c r="F190" s="239">
        <f t="shared" si="69"/>
        <v>2328905746</v>
      </c>
      <c r="G190" s="239">
        <f t="shared" si="69"/>
        <v>1747876276</v>
      </c>
      <c r="H190" s="239">
        <f t="shared" si="69"/>
        <v>1444628140</v>
      </c>
      <c r="I190" s="239">
        <f t="shared" si="69"/>
        <v>1444626826</v>
      </c>
      <c r="J190" s="239">
        <f t="shared" si="2"/>
        <v>72.88153503</v>
      </c>
      <c r="K190" s="239">
        <f t="shared" si="3"/>
        <v>97.10883318</v>
      </c>
      <c r="L190" s="239">
        <f t="shared" si="4"/>
        <v>117.493368</v>
      </c>
      <c r="M190" s="239">
        <f t="shared" si="5"/>
        <v>117.4934749</v>
      </c>
      <c r="N190" s="239">
        <f t="shared" ref="N190:Q190" si="70">N189+N149</f>
        <v>8050056803</v>
      </c>
      <c r="O190" s="239">
        <f t="shared" si="70"/>
        <v>8908947611</v>
      </c>
      <c r="P190" s="239">
        <f t="shared" si="70"/>
        <v>7877785202</v>
      </c>
      <c r="Q190" s="239">
        <f t="shared" si="70"/>
        <v>7877782137</v>
      </c>
      <c r="R190" s="239">
        <f t="shared" si="6"/>
        <v>90.35923382</v>
      </c>
      <c r="S190" s="239">
        <f t="shared" si="7"/>
        <v>102.1868025</v>
      </c>
      <c r="T190" s="239">
        <f t="shared" si="8"/>
        <v>102.1868422</v>
      </c>
      <c r="U190" s="186"/>
    </row>
    <row r="191" ht="14.25" customHeight="1">
      <c r="A191" s="175"/>
      <c r="B191" s="180"/>
      <c r="C191" s="177"/>
      <c r="D191" s="240" t="s">
        <v>914</v>
      </c>
      <c r="E191" s="183"/>
      <c r="F191" s="183"/>
      <c r="G191" s="183"/>
      <c r="H191" s="188">
        <v>0.0</v>
      </c>
      <c r="I191" s="183">
        <f>IFERROR(round(HLOOKUP($E$3,RKAP!$A$1:$P$171,MATCH(B191,RKAP!$A$1:$A$171,0),0)*1000,-3),0)</f>
        <v>0</v>
      </c>
      <c r="J191" s="183">
        <f t="shared" si="2"/>
        <v>0</v>
      </c>
      <c r="K191" s="183">
        <f t="shared" si="3"/>
        <v>0</v>
      </c>
      <c r="L191" s="188">
        <f t="shared" si="4"/>
        <v>0</v>
      </c>
      <c r="M191" s="188">
        <f t="shared" si="5"/>
        <v>0</v>
      </c>
      <c r="N191" s="183"/>
      <c r="O191" s="183"/>
      <c r="P191" s="188">
        <v>0.0</v>
      </c>
      <c r="Q191" s="188">
        <v>0.0</v>
      </c>
      <c r="R191" s="183">
        <f t="shared" si="6"/>
        <v>0</v>
      </c>
      <c r="S191" s="183">
        <f t="shared" si="7"/>
        <v>0</v>
      </c>
      <c r="T191" s="188">
        <f t="shared" si="8"/>
        <v>0</v>
      </c>
      <c r="U191" s="186"/>
    </row>
    <row r="192" ht="14.25" customHeight="1">
      <c r="A192" s="175"/>
      <c r="B192" s="181" t="s">
        <v>915</v>
      </c>
      <c r="D192" s="209" t="s">
        <v>904</v>
      </c>
      <c r="E192" s="183">
        <f>'Balin-A'!E192+'Sinta-A'!E192+'Kumai-A'!E192+'Lokal-A'!E192</f>
        <v>0</v>
      </c>
      <c r="F192" s="183">
        <f>'Balin-A'!F192+'Sinta-A'!F192+'Kumai-A'!F192+'Lokal-A'!F192</f>
        <v>0</v>
      </c>
      <c r="G192" s="183">
        <f>'Balin-A'!G192+'Sinta-A'!G192+'Kumai-A'!G192+'Lokal-A'!G192</f>
        <v>0</v>
      </c>
      <c r="H192" s="183">
        <f>'Balin-A'!H192+'Sinta-A'!H192+'Kumai-A'!H192+'Lokal-A'!H192</f>
        <v>0</v>
      </c>
      <c r="I192" s="183">
        <f>'Balin-A'!I192+'Sinta-A'!I192+'Kumai-A'!I192+'Lokal-A'!I192</f>
        <v>0</v>
      </c>
      <c r="J192" s="185">
        <f t="shared" si="2"/>
        <v>0</v>
      </c>
      <c r="K192" s="183">
        <f t="shared" si="3"/>
        <v>0</v>
      </c>
      <c r="L192" s="183">
        <f t="shared" si="4"/>
        <v>0</v>
      </c>
      <c r="M192" s="183">
        <f t="shared" si="5"/>
        <v>0</v>
      </c>
      <c r="N192" s="183">
        <f>'Balin-A'!N192+'Sinta-A'!N192+'Kumai-A'!N192+'Lokal-A'!N192</f>
        <v>0</v>
      </c>
      <c r="O192" s="183">
        <f>'Balin-A'!O192+'Sinta-A'!O192+'Kumai-A'!O192+'Lokal-A'!O192</f>
        <v>0</v>
      </c>
      <c r="P192" s="183">
        <f>'Balin-A'!P192+'Sinta-A'!P192+'Kumai-A'!P192+'Lokal-A'!P192</f>
        <v>0</v>
      </c>
      <c r="Q192" s="183">
        <f>'Balin-A'!Q192+'Sinta-A'!Q192+'Kumai-A'!Q192+'Lokal-A'!Q192</f>
        <v>0</v>
      </c>
      <c r="R192" s="183">
        <f t="shared" si="6"/>
        <v>0</v>
      </c>
      <c r="S192" s="183">
        <f t="shared" si="7"/>
        <v>0</v>
      </c>
      <c r="T192" s="183">
        <f t="shared" si="8"/>
        <v>0</v>
      </c>
      <c r="U192" s="186"/>
    </row>
    <row r="193" ht="14.25" customHeight="1">
      <c r="A193" s="175"/>
      <c r="B193" s="181" t="s">
        <v>916</v>
      </c>
      <c r="D193" s="209" t="s">
        <v>917</v>
      </c>
      <c r="E193" s="183">
        <f>'Balin-A'!E193+'Sinta-A'!E193+'Kumai-A'!E193+'Lokal-A'!E193</f>
        <v>0</v>
      </c>
      <c r="F193" s="183">
        <f>'Balin-A'!F193+'Sinta-A'!F193+'Kumai-A'!F193+'Lokal-A'!F193</f>
        <v>0</v>
      </c>
      <c r="G193" s="183">
        <f>'Balin-A'!G193+'Sinta-A'!G193+'Kumai-A'!G193+'Lokal-A'!G193</f>
        <v>0</v>
      </c>
      <c r="H193" s="183">
        <f>'Balin-A'!H193+'Sinta-A'!H193+'Kumai-A'!H193+'Lokal-A'!H193</f>
        <v>0</v>
      </c>
      <c r="I193" s="183">
        <f>'Balin-A'!I193+'Sinta-A'!I193+'Kumai-A'!I193+'Lokal-A'!I193</f>
        <v>0</v>
      </c>
      <c r="J193" s="185">
        <f t="shared" si="2"/>
        <v>0</v>
      </c>
      <c r="K193" s="183">
        <f t="shared" si="3"/>
        <v>0</v>
      </c>
      <c r="L193" s="183">
        <f t="shared" si="4"/>
        <v>0</v>
      </c>
      <c r="M193" s="183">
        <f t="shared" si="5"/>
        <v>0</v>
      </c>
      <c r="N193" s="183">
        <f>'Balin-A'!N193+'Sinta-A'!N193+'Kumai-A'!N193+'Lokal-A'!N193</f>
        <v>0</v>
      </c>
      <c r="O193" s="183">
        <f>'Balin-A'!O193+'Sinta-A'!O193+'Kumai-A'!O193+'Lokal-A'!O193</f>
        <v>0</v>
      </c>
      <c r="P193" s="183">
        <f>'Balin-A'!P193+'Sinta-A'!P193+'Kumai-A'!P193+'Lokal-A'!P193</f>
        <v>0</v>
      </c>
      <c r="Q193" s="183">
        <f>'Balin-A'!Q193+'Sinta-A'!Q193+'Kumai-A'!Q193+'Lokal-A'!Q193</f>
        <v>0</v>
      </c>
      <c r="R193" s="183">
        <f t="shared" si="6"/>
        <v>0</v>
      </c>
      <c r="S193" s="183">
        <f t="shared" si="7"/>
        <v>0</v>
      </c>
      <c r="T193" s="183">
        <f t="shared" si="8"/>
        <v>0</v>
      </c>
      <c r="U193" s="225"/>
    </row>
    <row r="194" ht="14.25" customHeight="1">
      <c r="A194" s="175"/>
      <c r="B194" s="242" t="s">
        <v>918</v>
      </c>
      <c r="C194" s="243"/>
      <c r="D194" s="244" t="s">
        <v>919</v>
      </c>
      <c r="E194" s="183">
        <f>'Balin-A'!E194+'Sinta-A'!E194+'Kumai-A'!E194+'Lokal-A'!E194</f>
        <v>0</v>
      </c>
      <c r="F194" s="183">
        <f>'Balin-A'!F194+'Sinta-A'!F194+'Kumai-A'!F194+'Lokal-A'!F194</f>
        <v>0</v>
      </c>
      <c r="G194" s="183">
        <f>'Balin-A'!G194+'Sinta-A'!G194+'Kumai-A'!G194+'Lokal-A'!G194</f>
        <v>0</v>
      </c>
      <c r="H194" s="183">
        <f>'Balin-A'!H194+'Sinta-A'!H194+'Kumai-A'!H194+'Lokal-A'!H194</f>
        <v>0</v>
      </c>
      <c r="I194" s="183">
        <f>'Balin-A'!I194+'Sinta-A'!I194+'Kumai-A'!I194+'Lokal-A'!I194</f>
        <v>0</v>
      </c>
      <c r="J194" s="185">
        <f t="shared" si="2"/>
        <v>0</v>
      </c>
      <c r="K194" s="183">
        <f t="shared" si="3"/>
        <v>0</v>
      </c>
      <c r="L194" s="183">
        <f t="shared" si="4"/>
        <v>0</v>
      </c>
      <c r="M194" s="183">
        <f t="shared" si="5"/>
        <v>0</v>
      </c>
      <c r="N194" s="183">
        <f>'Balin-A'!N194+'Sinta-A'!N194+'Kumai-A'!N194+'Lokal-A'!N194</f>
        <v>0</v>
      </c>
      <c r="O194" s="183">
        <f>'Balin-A'!O194+'Sinta-A'!O194+'Kumai-A'!O194+'Lokal-A'!O194</f>
        <v>0</v>
      </c>
      <c r="P194" s="183">
        <f>'Balin-A'!P194+'Sinta-A'!P194+'Kumai-A'!P194+'Lokal-A'!P194</f>
        <v>0</v>
      </c>
      <c r="Q194" s="183">
        <f>'Balin-A'!Q194+'Sinta-A'!Q194+'Kumai-A'!Q194+'Lokal-A'!Q194</f>
        <v>0</v>
      </c>
      <c r="R194" s="245">
        <f t="shared" si="6"/>
        <v>0</v>
      </c>
      <c r="S194" s="245">
        <f t="shared" si="7"/>
        <v>0</v>
      </c>
      <c r="T194" s="245">
        <f t="shared" si="8"/>
        <v>0</v>
      </c>
      <c r="U194" s="189"/>
    </row>
    <row r="195" ht="14.25" customHeight="1">
      <c r="A195" s="175"/>
      <c r="B195" s="181" t="s">
        <v>920</v>
      </c>
      <c r="D195" s="209" t="s">
        <v>921</v>
      </c>
      <c r="E195" s="183">
        <f>'Balin-A'!E195+'Sinta-A'!E195+'Kumai-A'!E195+'Lokal-A'!E195</f>
        <v>0</v>
      </c>
      <c r="F195" s="183">
        <f>'Balin-A'!F195+'Sinta-A'!F195+'Kumai-A'!F195+'Lokal-A'!F195</f>
        <v>0</v>
      </c>
      <c r="G195" s="183">
        <f>'Balin-A'!G195+'Sinta-A'!G195+'Kumai-A'!G195+'Lokal-A'!G195</f>
        <v>0</v>
      </c>
      <c r="H195" s="183">
        <f>'Balin-A'!H195+'Sinta-A'!H195+'Kumai-A'!H195+'Lokal-A'!H195</f>
        <v>4250000</v>
      </c>
      <c r="I195" s="183">
        <f>'Balin-A'!I195+'Sinta-A'!I195+'Kumai-A'!I195+'Lokal-A'!I195</f>
        <v>4250000</v>
      </c>
      <c r="J195" s="185">
        <f t="shared" si="2"/>
        <v>0</v>
      </c>
      <c r="K195" s="183">
        <f t="shared" si="3"/>
        <v>0</v>
      </c>
      <c r="L195" s="183">
        <f t="shared" si="4"/>
        <v>0</v>
      </c>
      <c r="M195" s="183">
        <f t="shared" si="5"/>
        <v>0</v>
      </c>
      <c r="N195" s="183">
        <f>'Balin-A'!N195+'Sinta-A'!N195+'Kumai-A'!N195+'Lokal-A'!N195</f>
        <v>0</v>
      </c>
      <c r="O195" s="183">
        <f>'Balin-A'!O195+'Sinta-A'!O195+'Kumai-A'!O195+'Lokal-A'!O195</f>
        <v>0</v>
      </c>
      <c r="P195" s="183">
        <f>'Balin-A'!P195+'Sinta-A'!P195+'Kumai-A'!P195+'Lokal-A'!P195</f>
        <v>21250000</v>
      </c>
      <c r="Q195" s="183">
        <f>'Balin-A'!Q195+'Sinta-A'!Q195+'Kumai-A'!Q195+'Lokal-A'!Q195</f>
        <v>21250000</v>
      </c>
      <c r="R195" s="183">
        <f t="shared" si="6"/>
        <v>0</v>
      </c>
      <c r="S195" s="183">
        <f t="shared" si="7"/>
        <v>0</v>
      </c>
      <c r="T195" s="183">
        <f t="shared" si="8"/>
        <v>0</v>
      </c>
      <c r="U195" s="186"/>
    </row>
    <row r="196" ht="14.25" customHeight="1">
      <c r="A196" s="175"/>
      <c r="B196" s="181" t="s">
        <v>922</v>
      </c>
      <c r="D196" s="209" t="s">
        <v>923</v>
      </c>
      <c r="E196" s="183">
        <f>'Balin-A'!E196+'Sinta-A'!E196+'Kumai-A'!E196+'Lokal-A'!E196</f>
        <v>0</v>
      </c>
      <c r="F196" s="183">
        <f>'Balin-A'!F196+'Sinta-A'!F196+'Kumai-A'!F196+'Lokal-A'!F196</f>
        <v>0</v>
      </c>
      <c r="G196" s="183">
        <f>'Balin-A'!G196+'Sinta-A'!G196+'Kumai-A'!G196+'Lokal-A'!G196</f>
        <v>0</v>
      </c>
      <c r="H196" s="183">
        <f>'Balin-A'!H196+'Sinta-A'!H196+'Kumai-A'!H196+'Lokal-A'!H196</f>
        <v>0</v>
      </c>
      <c r="I196" s="183">
        <f>'Balin-A'!I196+'Sinta-A'!I196+'Kumai-A'!I196+'Lokal-A'!I196</f>
        <v>0</v>
      </c>
      <c r="J196" s="185">
        <f t="shared" si="2"/>
        <v>0</v>
      </c>
      <c r="K196" s="183">
        <f t="shared" si="3"/>
        <v>0</v>
      </c>
      <c r="L196" s="183">
        <f t="shared" si="4"/>
        <v>0</v>
      </c>
      <c r="M196" s="183">
        <f t="shared" si="5"/>
        <v>0</v>
      </c>
      <c r="N196" s="183">
        <f>'Balin-A'!N196+'Sinta-A'!N196+'Kumai-A'!N196+'Lokal-A'!N196</f>
        <v>0</v>
      </c>
      <c r="O196" s="183">
        <f>'Balin-A'!O196+'Sinta-A'!O196+'Kumai-A'!O196+'Lokal-A'!O196</f>
        <v>0</v>
      </c>
      <c r="P196" s="183">
        <f>'Balin-A'!P196+'Sinta-A'!P196+'Kumai-A'!P196+'Lokal-A'!P196</f>
        <v>0</v>
      </c>
      <c r="Q196" s="183">
        <f>'Balin-A'!Q196+'Sinta-A'!Q196+'Kumai-A'!Q196+'Lokal-A'!Q196</f>
        <v>0</v>
      </c>
      <c r="R196" s="183">
        <f t="shared" si="6"/>
        <v>0</v>
      </c>
      <c r="S196" s="183">
        <f t="shared" si="7"/>
        <v>0</v>
      </c>
      <c r="T196" s="183">
        <f t="shared" si="8"/>
        <v>0</v>
      </c>
      <c r="U196" s="186"/>
    </row>
    <row r="197" ht="14.25" customHeight="1">
      <c r="A197" s="175"/>
      <c r="B197" s="181" t="s">
        <v>924</v>
      </c>
      <c r="D197" s="209" t="s">
        <v>907</v>
      </c>
      <c r="E197" s="183">
        <f>'Balin-A'!E197+'Sinta-A'!E197+'Kumai-A'!E197+'Lokal-A'!E197</f>
        <v>0</v>
      </c>
      <c r="F197" s="183">
        <f>'Balin-A'!F197+'Sinta-A'!F197+'Kumai-A'!F197+'Lokal-A'!F197</f>
        <v>0</v>
      </c>
      <c r="G197" s="183">
        <f>'Balin-A'!G197+'Sinta-A'!G197+'Kumai-A'!G197+'Lokal-A'!G197</f>
        <v>0</v>
      </c>
      <c r="H197" s="183">
        <f>'Balin-A'!H197+'Sinta-A'!H197+'Kumai-A'!H197+'Lokal-A'!H197</f>
        <v>0</v>
      </c>
      <c r="I197" s="183">
        <f>'Balin-A'!I197+'Sinta-A'!I197+'Kumai-A'!I197+'Lokal-A'!I197</f>
        <v>0</v>
      </c>
      <c r="J197" s="185">
        <f t="shared" si="2"/>
        <v>0</v>
      </c>
      <c r="K197" s="183">
        <f t="shared" si="3"/>
        <v>0</v>
      </c>
      <c r="L197" s="183">
        <f t="shared" si="4"/>
        <v>0</v>
      </c>
      <c r="M197" s="183">
        <f t="shared" si="5"/>
        <v>0</v>
      </c>
      <c r="N197" s="183">
        <f>'Balin-A'!N197+'Sinta-A'!N197+'Kumai-A'!N197+'Lokal-A'!N197</f>
        <v>0</v>
      </c>
      <c r="O197" s="183">
        <f>'Balin-A'!O197+'Sinta-A'!O197+'Kumai-A'!O197+'Lokal-A'!O197</f>
        <v>0</v>
      </c>
      <c r="P197" s="183">
        <f>'Balin-A'!P197+'Sinta-A'!P197+'Kumai-A'!P197+'Lokal-A'!P197</f>
        <v>0</v>
      </c>
      <c r="Q197" s="183">
        <f>'Balin-A'!Q197+'Sinta-A'!Q197+'Kumai-A'!Q197+'Lokal-A'!Q197</f>
        <v>0</v>
      </c>
      <c r="R197" s="183">
        <f t="shared" si="6"/>
        <v>0</v>
      </c>
      <c r="S197" s="183">
        <f t="shared" si="7"/>
        <v>0</v>
      </c>
      <c r="T197" s="183">
        <f t="shared" si="8"/>
        <v>0</v>
      </c>
      <c r="U197" s="186"/>
    </row>
    <row r="198" ht="14.25" customHeight="1">
      <c r="A198" s="175"/>
      <c r="B198" s="181" t="s">
        <v>925</v>
      </c>
      <c r="D198" s="209" t="s">
        <v>926</v>
      </c>
      <c r="E198" s="183">
        <f>'Balin-A'!E198+'Sinta-A'!E198+'Kumai-A'!E198+'Lokal-A'!E198</f>
        <v>0</v>
      </c>
      <c r="F198" s="183">
        <f>'Balin-A'!F198+'Sinta-A'!F198+'Kumai-A'!F198+'Lokal-A'!F198</f>
        <v>0</v>
      </c>
      <c r="G198" s="183">
        <f>'Balin-A'!G198+'Sinta-A'!G198+'Kumai-A'!G198+'Lokal-A'!G198</f>
        <v>0</v>
      </c>
      <c r="H198" s="183">
        <f>'Balin-A'!H198+'Sinta-A'!H198+'Kumai-A'!H198+'Lokal-A'!H198</f>
        <v>0</v>
      </c>
      <c r="I198" s="183">
        <f>'Balin-A'!I198+'Sinta-A'!I198+'Kumai-A'!I198+'Lokal-A'!I198</f>
        <v>0</v>
      </c>
      <c r="J198" s="185">
        <f t="shared" si="2"/>
        <v>0</v>
      </c>
      <c r="K198" s="183">
        <f t="shared" si="3"/>
        <v>0</v>
      </c>
      <c r="L198" s="183">
        <f t="shared" si="4"/>
        <v>0</v>
      </c>
      <c r="M198" s="183">
        <f t="shared" si="5"/>
        <v>0</v>
      </c>
      <c r="N198" s="183">
        <f>'Balin-A'!N198+'Sinta-A'!N198+'Kumai-A'!N198+'Lokal-A'!N198</f>
        <v>0</v>
      </c>
      <c r="O198" s="183">
        <f>'Balin-A'!O198+'Sinta-A'!O198+'Kumai-A'!O198+'Lokal-A'!O198</f>
        <v>0</v>
      </c>
      <c r="P198" s="183">
        <f>'Balin-A'!P198+'Sinta-A'!P198+'Kumai-A'!P198+'Lokal-A'!P198</f>
        <v>0</v>
      </c>
      <c r="Q198" s="183">
        <f>'Balin-A'!Q198+'Sinta-A'!Q198+'Kumai-A'!Q198+'Lokal-A'!Q198</f>
        <v>0</v>
      </c>
      <c r="R198" s="183">
        <f t="shared" si="6"/>
        <v>0</v>
      </c>
      <c r="S198" s="183">
        <f t="shared" si="7"/>
        <v>0</v>
      </c>
      <c r="T198" s="183">
        <f t="shared" si="8"/>
        <v>0</v>
      </c>
      <c r="U198" s="186"/>
    </row>
    <row r="199" ht="14.25" customHeight="1">
      <c r="A199" s="175"/>
      <c r="B199" s="181" t="s">
        <v>927</v>
      </c>
      <c r="D199" s="209" t="s">
        <v>928</v>
      </c>
      <c r="E199" s="183">
        <f>'Balin-A'!E199+'Sinta-A'!E199+'Kumai-A'!E199+'Lokal-A'!E199</f>
        <v>0</v>
      </c>
      <c r="F199" s="183">
        <f>'Balin-A'!F199+'Sinta-A'!F199+'Kumai-A'!F199+'Lokal-A'!F199</f>
        <v>0</v>
      </c>
      <c r="G199" s="183">
        <f>'Balin-A'!G199+'Sinta-A'!G199+'Kumai-A'!G199+'Lokal-A'!G199</f>
        <v>0</v>
      </c>
      <c r="H199" s="183">
        <f>'Balin-A'!H199+'Sinta-A'!H199+'Kumai-A'!H199+'Lokal-A'!H199</f>
        <v>0</v>
      </c>
      <c r="I199" s="183">
        <f>'Balin-A'!I199+'Sinta-A'!I199+'Kumai-A'!I199+'Lokal-A'!I199</f>
        <v>0</v>
      </c>
      <c r="J199" s="185">
        <f t="shared" si="2"/>
        <v>0</v>
      </c>
      <c r="K199" s="183">
        <f t="shared" si="3"/>
        <v>0</v>
      </c>
      <c r="L199" s="183">
        <f t="shared" si="4"/>
        <v>0</v>
      </c>
      <c r="M199" s="183">
        <f t="shared" si="5"/>
        <v>0</v>
      </c>
      <c r="N199" s="183">
        <f>'Balin-A'!N199+'Sinta-A'!N199+'Kumai-A'!N199+'Lokal-A'!N199</f>
        <v>0</v>
      </c>
      <c r="O199" s="183">
        <f>'Balin-A'!O199+'Sinta-A'!O199+'Kumai-A'!O199+'Lokal-A'!O199</f>
        <v>0</v>
      </c>
      <c r="P199" s="183">
        <f>'Balin-A'!P199+'Sinta-A'!P199+'Kumai-A'!P199+'Lokal-A'!P199</f>
        <v>0</v>
      </c>
      <c r="Q199" s="183">
        <f>'Balin-A'!Q199+'Sinta-A'!Q199+'Kumai-A'!Q199+'Lokal-A'!Q199</f>
        <v>0</v>
      </c>
      <c r="R199" s="183">
        <f t="shared" si="6"/>
        <v>0</v>
      </c>
      <c r="S199" s="183">
        <f t="shared" si="7"/>
        <v>0</v>
      </c>
      <c r="T199" s="183">
        <f t="shared" si="8"/>
        <v>0</v>
      </c>
      <c r="U199" s="186"/>
    </row>
    <row r="200" ht="14.25" customHeight="1">
      <c r="A200" s="175"/>
      <c r="B200" s="181" t="s">
        <v>929</v>
      </c>
      <c r="D200" s="209" t="s">
        <v>930</v>
      </c>
      <c r="E200" s="183">
        <f>'Balin-A'!E200+'Sinta-A'!E200+'Kumai-A'!E200+'Lokal-A'!E200</f>
        <v>0</v>
      </c>
      <c r="F200" s="183">
        <f>'Balin-A'!F200+'Sinta-A'!F200+'Kumai-A'!F200+'Lokal-A'!F200</f>
        <v>0</v>
      </c>
      <c r="G200" s="183">
        <f>'Balin-A'!G200+'Sinta-A'!G200+'Kumai-A'!G200+'Lokal-A'!G200</f>
        <v>0</v>
      </c>
      <c r="H200" s="183">
        <f>'Balin-A'!H200+'Sinta-A'!H200+'Kumai-A'!H200+'Lokal-A'!H200</f>
        <v>0</v>
      </c>
      <c r="I200" s="183">
        <f>'Balin-A'!I200+'Sinta-A'!I200+'Kumai-A'!I200+'Lokal-A'!I200</f>
        <v>0</v>
      </c>
      <c r="J200" s="185">
        <f t="shared" si="2"/>
        <v>0</v>
      </c>
      <c r="K200" s="183">
        <f t="shared" si="3"/>
        <v>0</v>
      </c>
      <c r="L200" s="183">
        <f t="shared" si="4"/>
        <v>0</v>
      </c>
      <c r="M200" s="183">
        <f t="shared" si="5"/>
        <v>0</v>
      </c>
      <c r="N200" s="183">
        <f>'Balin-A'!N200+'Sinta-A'!N200+'Kumai-A'!N200+'Lokal-A'!N200</f>
        <v>0</v>
      </c>
      <c r="O200" s="183">
        <f>'Balin-A'!O200+'Sinta-A'!O200+'Kumai-A'!O200+'Lokal-A'!O200</f>
        <v>0</v>
      </c>
      <c r="P200" s="183">
        <f>'Balin-A'!P200+'Sinta-A'!P200+'Kumai-A'!P200+'Lokal-A'!P200</f>
        <v>0</v>
      </c>
      <c r="Q200" s="183">
        <f>'Balin-A'!Q200+'Sinta-A'!Q200+'Kumai-A'!Q200+'Lokal-A'!Q200</f>
        <v>0</v>
      </c>
      <c r="R200" s="183">
        <f t="shared" si="6"/>
        <v>0</v>
      </c>
      <c r="S200" s="183">
        <f t="shared" si="7"/>
        <v>0</v>
      </c>
      <c r="T200" s="183">
        <f t="shared" si="8"/>
        <v>0</v>
      </c>
      <c r="U200" s="186"/>
    </row>
    <row r="201" ht="14.25" customHeight="1">
      <c r="A201" s="175"/>
      <c r="B201" s="181" t="s">
        <v>931</v>
      </c>
      <c r="D201" s="209" t="s">
        <v>932</v>
      </c>
      <c r="E201" s="183">
        <f>'Balin-A'!E201+'Sinta-A'!E201+'Kumai-A'!E201+'Lokal-A'!E201</f>
        <v>0</v>
      </c>
      <c r="F201" s="183">
        <f>'Balin-A'!F201+'Sinta-A'!F201+'Kumai-A'!F201+'Lokal-A'!F201</f>
        <v>0</v>
      </c>
      <c r="G201" s="183">
        <f>'Balin-A'!G201+'Sinta-A'!G201+'Kumai-A'!G201+'Lokal-A'!G201</f>
        <v>0</v>
      </c>
      <c r="H201" s="183">
        <f>'Balin-A'!H201+'Sinta-A'!H201+'Kumai-A'!H201+'Lokal-A'!H201</f>
        <v>12500000</v>
      </c>
      <c r="I201" s="183">
        <f>'Balin-A'!I201+'Sinta-A'!I201+'Kumai-A'!I201+'Lokal-A'!I201</f>
        <v>12500000</v>
      </c>
      <c r="J201" s="185">
        <f t="shared" si="2"/>
        <v>0</v>
      </c>
      <c r="K201" s="183">
        <f t="shared" si="3"/>
        <v>0</v>
      </c>
      <c r="L201" s="183">
        <f t="shared" si="4"/>
        <v>0</v>
      </c>
      <c r="M201" s="183">
        <f t="shared" si="5"/>
        <v>0</v>
      </c>
      <c r="N201" s="183">
        <f>'Balin-A'!N201+'Sinta-A'!N201+'Kumai-A'!N201+'Lokal-A'!N201</f>
        <v>0</v>
      </c>
      <c r="O201" s="183">
        <f>'Balin-A'!O201+'Sinta-A'!O201+'Kumai-A'!O201+'Lokal-A'!O201</f>
        <v>0</v>
      </c>
      <c r="P201" s="183">
        <f>'Balin-A'!P201+'Sinta-A'!P201+'Kumai-A'!P201+'Lokal-A'!P201</f>
        <v>62500000</v>
      </c>
      <c r="Q201" s="183">
        <f>'Balin-A'!Q201+'Sinta-A'!Q201+'Kumai-A'!Q201+'Lokal-A'!Q201</f>
        <v>62500000</v>
      </c>
      <c r="R201" s="183">
        <f t="shared" si="6"/>
        <v>0</v>
      </c>
      <c r="S201" s="183">
        <f t="shared" si="7"/>
        <v>0</v>
      </c>
      <c r="T201" s="183">
        <f t="shared" si="8"/>
        <v>0</v>
      </c>
      <c r="U201" s="186"/>
    </row>
    <row r="202" ht="14.25" customHeight="1">
      <c r="A202" s="175"/>
      <c r="B202" s="181" t="s">
        <v>933</v>
      </c>
      <c r="D202" s="209" t="s">
        <v>934</v>
      </c>
      <c r="E202" s="183">
        <f>'Balin-A'!E202+'Sinta-A'!E202+'Kumai-A'!E202+'Lokal-A'!E202</f>
        <v>0</v>
      </c>
      <c r="F202" s="183">
        <f>'Balin-A'!F202+'Sinta-A'!F202+'Kumai-A'!F202+'Lokal-A'!F202</f>
        <v>0</v>
      </c>
      <c r="G202" s="183">
        <f>'Balin-A'!G202+'Sinta-A'!G202+'Kumai-A'!G202+'Lokal-A'!G202</f>
        <v>0</v>
      </c>
      <c r="H202" s="183">
        <f>'Balin-A'!H202+'Sinta-A'!H202+'Kumai-A'!H202+'Lokal-A'!H202</f>
        <v>0</v>
      </c>
      <c r="I202" s="183">
        <f>'Balin-A'!I202+'Sinta-A'!I202+'Kumai-A'!I202+'Lokal-A'!I202</f>
        <v>0</v>
      </c>
      <c r="J202" s="185">
        <f t="shared" si="2"/>
        <v>0</v>
      </c>
      <c r="K202" s="183">
        <f t="shared" si="3"/>
        <v>0</v>
      </c>
      <c r="L202" s="183">
        <f t="shared" si="4"/>
        <v>0</v>
      </c>
      <c r="M202" s="183">
        <f t="shared" si="5"/>
        <v>0</v>
      </c>
      <c r="N202" s="183">
        <f>'Balin-A'!N202+'Sinta-A'!N202+'Kumai-A'!N202+'Lokal-A'!N202</f>
        <v>0</v>
      </c>
      <c r="O202" s="183">
        <f>'Balin-A'!O202+'Sinta-A'!O202+'Kumai-A'!O202+'Lokal-A'!O202</f>
        <v>0</v>
      </c>
      <c r="P202" s="183">
        <f>'Balin-A'!P202+'Sinta-A'!P202+'Kumai-A'!P202+'Lokal-A'!P202</f>
        <v>0</v>
      </c>
      <c r="Q202" s="183">
        <f>'Balin-A'!Q202+'Sinta-A'!Q202+'Kumai-A'!Q202+'Lokal-A'!Q202</f>
        <v>0</v>
      </c>
      <c r="R202" s="183">
        <f t="shared" si="6"/>
        <v>0</v>
      </c>
      <c r="S202" s="183">
        <f t="shared" si="7"/>
        <v>0</v>
      </c>
      <c r="T202" s="183">
        <f t="shared" si="8"/>
        <v>0</v>
      </c>
      <c r="U202" s="186"/>
    </row>
    <row r="203" ht="14.25" customHeight="1">
      <c r="A203" s="175"/>
      <c r="B203" s="181" t="s">
        <v>935</v>
      </c>
      <c r="D203" s="209" t="s">
        <v>936</v>
      </c>
      <c r="E203" s="183">
        <f>'Balin-A'!E203+'Sinta-A'!E203+'Kumai-A'!E203+'Lokal-A'!E203</f>
        <v>0</v>
      </c>
      <c r="F203" s="183">
        <f>'Balin-A'!F203+'Sinta-A'!F203+'Kumai-A'!F203+'Lokal-A'!F203</f>
        <v>0</v>
      </c>
      <c r="G203" s="183">
        <f>'Balin-A'!G203+'Sinta-A'!G203+'Kumai-A'!G203+'Lokal-A'!G203</f>
        <v>0</v>
      </c>
      <c r="H203" s="183">
        <f>'Balin-A'!H203+'Sinta-A'!H203+'Kumai-A'!H203+'Lokal-A'!H203</f>
        <v>0</v>
      </c>
      <c r="I203" s="183">
        <f>'Balin-A'!I203+'Sinta-A'!I203+'Kumai-A'!I203+'Lokal-A'!I203</f>
        <v>0</v>
      </c>
      <c r="J203" s="185">
        <f t="shared" si="2"/>
        <v>0</v>
      </c>
      <c r="K203" s="183">
        <f t="shared" si="3"/>
        <v>0</v>
      </c>
      <c r="L203" s="183">
        <f t="shared" si="4"/>
        <v>0</v>
      </c>
      <c r="M203" s="183">
        <f t="shared" si="5"/>
        <v>0</v>
      </c>
      <c r="N203" s="183">
        <f>'Balin-A'!N203+'Sinta-A'!N203+'Kumai-A'!N203+'Lokal-A'!N203</f>
        <v>0</v>
      </c>
      <c r="O203" s="183">
        <f>'Balin-A'!O203+'Sinta-A'!O203+'Kumai-A'!O203+'Lokal-A'!O203</f>
        <v>0</v>
      </c>
      <c r="P203" s="183">
        <f>'Balin-A'!P203+'Sinta-A'!P203+'Kumai-A'!P203+'Lokal-A'!P203</f>
        <v>0</v>
      </c>
      <c r="Q203" s="183">
        <f>'Balin-A'!Q203+'Sinta-A'!Q203+'Kumai-A'!Q203+'Lokal-A'!Q203</f>
        <v>0</v>
      </c>
      <c r="R203" s="183">
        <f t="shared" si="6"/>
        <v>0</v>
      </c>
      <c r="S203" s="183">
        <f t="shared" si="7"/>
        <v>0</v>
      </c>
      <c r="T203" s="183">
        <f t="shared" si="8"/>
        <v>0</v>
      </c>
      <c r="U203" s="186"/>
    </row>
    <row r="204" ht="14.25" customHeight="1">
      <c r="A204" s="175"/>
      <c r="B204" s="181" t="s">
        <v>937</v>
      </c>
      <c r="D204" s="209" t="s">
        <v>938</v>
      </c>
      <c r="E204" s="183">
        <f>'Balin-A'!E204+'Sinta-A'!E204+'Kumai-A'!E204+'Lokal-A'!E204</f>
        <v>0</v>
      </c>
      <c r="F204" s="183">
        <f>'Balin-A'!F204+'Sinta-A'!F204+'Kumai-A'!F204+'Lokal-A'!F204</f>
        <v>0</v>
      </c>
      <c r="G204" s="183">
        <f>'Balin-A'!G204+'Sinta-A'!G204+'Kumai-A'!G204+'Lokal-A'!G204</f>
        <v>0</v>
      </c>
      <c r="H204" s="183">
        <f>'Balin-A'!H204+'Sinta-A'!H204+'Kumai-A'!H204+'Lokal-A'!H204</f>
        <v>675000</v>
      </c>
      <c r="I204" s="183">
        <f>'Balin-A'!I204+'Sinta-A'!I204+'Kumai-A'!I204+'Lokal-A'!I204</f>
        <v>675000</v>
      </c>
      <c r="J204" s="185">
        <f t="shared" si="2"/>
        <v>0</v>
      </c>
      <c r="K204" s="183">
        <f t="shared" si="3"/>
        <v>0</v>
      </c>
      <c r="L204" s="183">
        <f t="shared" si="4"/>
        <v>0</v>
      </c>
      <c r="M204" s="183">
        <f t="shared" si="5"/>
        <v>0</v>
      </c>
      <c r="N204" s="183">
        <f>'Balin-A'!N204+'Sinta-A'!N204+'Kumai-A'!N204+'Lokal-A'!N204</f>
        <v>0</v>
      </c>
      <c r="O204" s="183">
        <f>'Balin-A'!O204+'Sinta-A'!O204+'Kumai-A'!O204+'Lokal-A'!O204</f>
        <v>0</v>
      </c>
      <c r="P204" s="183">
        <f>'Balin-A'!P204+'Sinta-A'!P204+'Kumai-A'!P204+'Lokal-A'!P204</f>
        <v>3375000</v>
      </c>
      <c r="Q204" s="183">
        <f>'Balin-A'!Q204+'Sinta-A'!Q204+'Kumai-A'!Q204+'Lokal-A'!Q204</f>
        <v>3375000</v>
      </c>
      <c r="R204" s="183">
        <f t="shared" si="6"/>
        <v>0</v>
      </c>
      <c r="S204" s="183">
        <f t="shared" si="7"/>
        <v>0</v>
      </c>
      <c r="T204" s="183">
        <f t="shared" si="8"/>
        <v>0</v>
      </c>
      <c r="U204" s="186"/>
    </row>
    <row r="205" ht="14.25" customHeight="1">
      <c r="A205" s="175"/>
      <c r="B205" s="181" t="s">
        <v>939</v>
      </c>
      <c r="D205" s="209" t="s">
        <v>940</v>
      </c>
      <c r="E205" s="183">
        <f>'Balin-A'!E205+'Sinta-A'!E205+'Kumai-A'!E205+'Lokal-A'!E205</f>
        <v>0</v>
      </c>
      <c r="F205" s="183">
        <f>'Balin-A'!F205+'Sinta-A'!F205+'Kumai-A'!F205+'Lokal-A'!F205</f>
        <v>0</v>
      </c>
      <c r="G205" s="183">
        <f>'Balin-A'!G205+'Sinta-A'!G205+'Kumai-A'!G205+'Lokal-A'!G205</f>
        <v>0</v>
      </c>
      <c r="H205" s="183">
        <f>'Balin-A'!H205+'Sinta-A'!H205+'Kumai-A'!H205+'Lokal-A'!H205</f>
        <v>750000</v>
      </c>
      <c r="I205" s="183">
        <f>'Balin-A'!I205+'Sinta-A'!I205+'Kumai-A'!I205+'Lokal-A'!I205</f>
        <v>750000</v>
      </c>
      <c r="J205" s="185">
        <f t="shared" si="2"/>
        <v>0</v>
      </c>
      <c r="K205" s="183">
        <f t="shared" si="3"/>
        <v>0</v>
      </c>
      <c r="L205" s="183">
        <f t="shared" si="4"/>
        <v>0</v>
      </c>
      <c r="M205" s="183">
        <f t="shared" si="5"/>
        <v>0</v>
      </c>
      <c r="N205" s="183">
        <f>'Balin-A'!N205+'Sinta-A'!N205+'Kumai-A'!N205+'Lokal-A'!N205</f>
        <v>0</v>
      </c>
      <c r="O205" s="183">
        <f>'Balin-A'!O205+'Sinta-A'!O205+'Kumai-A'!O205+'Lokal-A'!O205</f>
        <v>0</v>
      </c>
      <c r="P205" s="183">
        <f>'Balin-A'!P205+'Sinta-A'!P205+'Kumai-A'!P205+'Lokal-A'!P205</f>
        <v>4400000</v>
      </c>
      <c r="Q205" s="183">
        <f>'Balin-A'!Q205+'Sinta-A'!Q205+'Kumai-A'!Q205+'Lokal-A'!Q205</f>
        <v>4400000</v>
      </c>
      <c r="R205" s="183">
        <f t="shared" si="6"/>
        <v>0</v>
      </c>
      <c r="S205" s="183">
        <f t="shared" si="7"/>
        <v>0</v>
      </c>
      <c r="T205" s="183">
        <f t="shared" si="8"/>
        <v>0</v>
      </c>
      <c r="U205" s="186"/>
    </row>
    <row r="206" ht="14.25" customHeight="1">
      <c r="A206" s="175"/>
      <c r="B206" s="181" t="s">
        <v>941</v>
      </c>
      <c r="D206" s="209" t="s">
        <v>582</v>
      </c>
      <c r="E206" s="183">
        <f>'Balin-A'!E206+'Sinta-A'!E206+'Kumai-A'!E206+'Lokal-A'!E206</f>
        <v>0</v>
      </c>
      <c r="F206" s="183">
        <f>'Balin-A'!F206+'Sinta-A'!F206+'Kumai-A'!F206+'Lokal-A'!F206</f>
        <v>0</v>
      </c>
      <c r="G206" s="183">
        <f>'Balin-A'!G206+'Sinta-A'!G206+'Kumai-A'!G206+'Lokal-A'!G206</f>
        <v>0</v>
      </c>
      <c r="H206" s="183">
        <f>'Balin-A'!H206+'Sinta-A'!H206+'Kumai-A'!H206+'Lokal-A'!H206</f>
        <v>0</v>
      </c>
      <c r="I206" s="183">
        <f>'Balin-A'!I206+'Sinta-A'!I206+'Kumai-A'!I206+'Lokal-A'!I206</f>
        <v>0</v>
      </c>
      <c r="J206" s="185">
        <f t="shared" si="2"/>
        <v>0</v>
      </c>
      <c r="K206" s="183">
        <f t="shared" si="3"/>
        <v>0</v>
      </c>
      <c r="L206" s="183">
        <f t="shared" si="4"/>
        <v>0</v>
      </c>
      <c r="M206" s="183">
        <f t="shared" si="5"/>
        <v>0</v>
      </c>
      <c r="N206" s="183">
        <f>'Balin-A'!N206+'Sinta-A'!N206+'Kumai-A'!N206+'Lokal-A'!N206</f>
        <v>0</v>
      </c>
      <c r="O206" s="183">
        <f>'Balin-A'!O206+'Sinta-A'!O206+'Kumai-A'!O206+'Lokal-A'!O206</f>
        <v>0</v>
      </c>
      <c r="P206" s="183">
        <f>'Balin-A'!P206+'Sinta-A'!P206+'Kumai-A'!P206+'Lokal-A'!P206</f>
        <v>0</v>
      </c>
      <c r="Q206" s="183">
        <f>'Balin-A'!Q206+'Sinta-A'!Q206+'Kumai-A'!Q206+'Lokal-A'!Q206</f>
        <v>0</v>
      </c>
      <c r="R206" s="183">
        <f t="shared" si="6"/>
        <v>0</v>
      </c>
      <c r="S206" s="183">
        <f t="shared" si="7"/>
        <v>0</v>
      </c>
      <c r="T206" s="183">
        <f t="shared" si="8"/>
        <v>0</v>
      </c>
      <c r="U206" s="186"/>
    </row>
    <row r="207" ht="14.25" customHeight="1">
      <c r="A207" s="175"/>
      <c r="B207" s="181" t="s">
        <v>942</v>
      </c>
      <c r="D207" s="209" t="s">
        <v>943</v>
      </c>
      <c r="E207" s="183">
        <f>'Balin-A'!E207+'Sinta-A'!E207+'Kumai-A'!E207+'Lokal-A'!E207</f>
        <v>0</v>
      </c>
      <c r="F207" s="183">
        <f>'Balin-A'!F207+'Sinta-A'!F207+'Kumai-A'!F207+'Lokal-A'!F207</f>
        <v>0</v>
      </c>
      <c r="G207" s="183">
        <f>'Balin-A'!G207+'Sinta-A'!G207+'Kumai-A'!G207+'Lokal-A'!G207</f>
        <v>0</v>
      </c>
      <c r="H207" s="183">
        <f>'Balin-A'!H207+'Sinta-A'!H207+'Kumai-A'!H207+'Lokal-A'!H207</f>
        <v>500000</v>
      </c>
      <c r="I207" s="183">
        <f>'Balin-A'!I207+'Sinta-A'!I207+'Kumai-A'!I207+'Lokal-A'!I207</f>
        <v>500000</v>
      </c>
      <c r="J207" s="185">
        <f t="shared" si="2"/>
        <v>0</v>
      </c>
      <c r="K207" s="183">
        <f t="shared" si="3"/>
        <v>0</v>
      </c>
      <c r="L207" s="183">
        <f t="shared" si="4"/>
        <v>0</v>
      </c>
      <c r="M207" s="183">
        <f t="shared" si="5"/>
        <v>0</v>
      </c>
      <c r="N207" s="183">
        <f>'Balin-A'!N207+'Sinta-A'!N207+'Kumai-A'!N207+'Lokal-A'!N207</f>
        <v>0</v>
      </c>
      <c r="O207" s="183">
        <f>'Balin-A'!O207+'Sinta-A'!O207+'Kumai-A'!O207+'Lokal-A'!O207</f>
        <v>0</v>
      </c>
      <c r="P207" s="183">
        <f>'Balin-A'!P207+'Sinta-A'!P207+'Kumai-A'!P207+'Lokal-A'!P207</f>
        <v>6500000</v>
      </c>
      <c r="Q207" s="183">
        <f>'Balin-A'!Q207+'Sinta-A'!Q207+'Kumai-A'!Q207+'Lokal-A'!Q207</f>
        <v>6500000</v>
      </c>
      <c r="R207" s="183">
        <f t="shared" si="6"/>
        <v>0</v>
      </c>
      <c r="S207" s="183">
        <f t="shared" si="7"/>
        <v>0</v>
      </c>
      <c r="T207" s="183">
        <f t="shared" si="8"/>
        <v>0</v>
      </c>
      <c r="U207" s="186"/>
    </row>
    <row r="208" ht="14.25" customHeight="1">
      <c r="A208" s="175"/>
      <c r="B208" s="221"/>
      <c r="C208" s="222"/>
      <c r="D208" s="233" t="s">
        <v>944</v>
      </c>
      <c r="E208" s="224">
        <f t="shared" ref="E208:I208" si="71">sum(E191:E207)</f>
        <v>0</v>
      </c>
      <c r="F208" s="224">
        <f t="shared" si="71"/>
        <v>0</v>
      </c>
      <c r="G208" s="224">
        <f t="shared" si="71"/>
        <v>0</v>
      </c>
      <c r="H208" s="224">
        <f t="shared" si="71"/>
        <v>18675000</v>
      </c>
      <c r="I208" s="224">
        <f t="shared" si="71"/>
        <v>18675000</v>
      </c>
      <c r="J208" s="224">
        <f t="shared" si="2"/>
        <v>0</v>
      </c>
      <c r="K208" s="224">
        <f t="shared" si="3"/>
        <v>0</v>
      </c>
      <c r="L208" s="224">
        <f t="shared" si="4"/>
        <v>0</v>
      </c>
      <c r="M208" s="224">
        <f t="shared" si="5"/>
        <v>0</v>
      </c>
      <c r="N208" s="224">
        <f t="shared" ref="N208:Q208" si="72">sum(N191:N207)</f>
        <v>0</v>
      </c>
      <c r="O208" s="224">
        <f t="shared" si="72"/>
        <v>0</v>
      </c>
      <c r="P208" s="224">
        <f t="shared" si="72"/>
        <v>98025000</v>
      </c>
      <c r="Q208" s="224">
        <f t="shared" si="72"/>
        <v>98025000</v>
      </c>
      <c r="R208" s="224">
        <f t="shared" si="6"/>
        <v>0</v>
      </c>
      <c r="S208" s="224">
        <f t="shared" si="7"/>
        <v>0</v>
      </c>
      <c r="T208" s="224">
        <f t="shared" si="8"/>
        <v>0</v>
      </c>
      <c r="U208" s="186"/>
    </row>
  </sheetData>
  <mergeCells count="23">
    <mergeCell ref="H6:H8"/>
    <mergeCell ref="I6:I8"/>
    <mergeCell ref="B190:D190"/>
    <mergeCell ref="J6:M6"/>
    <mergeCell ref="N6:N8"/>
    <mergeCell ref="J7:J8"/>
    <mergeCell ref="K7:K8"/>
    <mergeCell ref="L7:L8"/>
    <mergeCell ref="M7:M8"/>
    <mergeCell ref="O6:O8"/>
    <mergeCell ref="P6:P8"/>
    <mergeCell ref="N5:T5"/>
    <mergeCell ref="R6:T6"/>
    <mergeCell ref="R7:R8"/>
    <mergeCell ref="S7:S8"/>
    <mergeCell ref="T7:T8"/>
    <mergeCell ref="B5:B8"/>
    <mergeCell ref="C5:D8"/>
    <mergeCell ref="E5:M5"/>
    <mergeCell ref="E6:E8"/>
    <mergeCell ref="F6:F8"/>
    <mergeCell ref="G6:G8"/>
    <mergeCell ref="Q6:Q8"/>
  </mergeCells>
  <dataValidations>
    <dataValidation type="list" allowBlank="1" showErrorMessage="1" sqref="D3">
      <formula1>Plant!$A$2:$A$28</formula1>
    </dataValidation>
  </dataValidations>
  <printOptions/>
  <pageMargins bottom="0.2" footer="0.0" header="0.0" left="0.8" right="0.5" top="0.1"/>
  <pageSetup paperSize="9" orientation="landscape"/>
  <rowBreaks count="4" manualBreakCount="4">
    <brk id="131" man="1"/>
    <brk id="165" man="1"/>
    <brk id="55" man="1"/>
    <brk id="94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 outlineLevelRow="1"/>
  <cols>
    <col customWidth="1" hidden="1" min="1" max="1" width="3.86"/>
    <col customWidth="1" hidden="1" min="2" max="2" width="7.29"/>
    <col customWidth="1" min="3" max="3" width="4.14"/>
    <col customWidth="1" min="4" max="4" width="56.43"/>
    <col customWidth="1" min="5" max="5" width="16.43"/>
    <col customWidth="1" min="6" max="6" width="15.71"/>
    <col customWidth="1" min="7" max="9" width="15.86"/>
    <col customWidth="1" min="10" max="10" width="17.14"/>
    <col customWidth="1" min="11" max="11" width="16.86"/>
    <col customWidth="1" min="12" max="13" width="17.0"/>
    <col customWidth="1" min="14" max="14" width="16.43"/>
    <col customWidth="1" min="15" max="15" width="15.71"/>
    <col customWidth="1" min="16" max="17" width="15.86"/>
    <col customWidth="1" min="18" max="18" width="16.43"/>
    <col customWidth="1" min="19" max="19" width="15.71"/>
    <col customWidth="1" min="20" max="21" width="15.86"/>
    <col customWidth="1" min="22" max="22" width="16.43"/>
    <col customWidth="1" min="23" max="23" width="15.71"/>
    <col customWidth="1" min="24" max="25" width="15.86"/>
  </cols>
  <sheetData>
    <row r="1">
      <c r="A1" s="248"/>
      <c r="B1" s="248"/>
      <c r="C1" s="100" t="s">
        <v>945</v>
      </c>
      <c r="D1" s="65"/>
      <c r="E1" s="249"/>
      <c r="F1" s="65"/>
      <c r="G1" s="67"/>
      <c r="H1" s="65"/>
      <c r="I1" s="65"/>
      <c r="J1" s="65"/>
      <c r="K1" s="65"/>
      <c r="L1" s="65"/>
      <c r="M1" s="65"/>
      <c r="N1" s="249"/>
      <c r="O1" s="65"/>
      <c r="P1" s="67"/>
      <c r="Q1" s="65"/>
      <c r="R1" s="249"/>
      <c r="S1" s="65"/>
      <c r="T1" s="67"/>
      <c r="U1" s="65"/>
      <c r="V1" s="249"/>
      <c r="W1" s="65"/>
      <c r="X1" s="67"/>
      <c r="Y1" s="65"/>
    </row>
    <row r="2">
      <c r="A2" s="248"/>
      <c r="B2" s="248"/>
      <c r="C2" s="250"/>
      <c r="D2" s="251" t="str">
        <f>UPPER('Balin-A'!E5)</f>
        <v>BULAN MEI 2026</v>
      </c>
      <c r="E2" s="65"/>
      <c r="F2" s="65"/>
      <c r="G2" s="67"/>
      <c r="H2" s="65"/>
      <c r="I2" s="65"/>
      <c r="J2" s="65"/>
      <c r="K2" s="65"/>
      <c r="L2" s="252" t="str">
        <f>VLOOKUP(E4,Plant!$A$2:$B$19,2,FALSE)</f>
        <v>5E13</v>
      </c>
      <c r="M2" s="65"/>
      <c r="N2" s="65"/>
      <c r="O2" s="65"/>
      <c r="P2" s="67"/>
      <c r="Q2" s="65"/>
      <c r="R2" s="65"/>
      <c r="S2" s="65"/>
      <c r="T2" s="67"/>
      <c r="U2" s="65"/>
      <c r="V2" s="65"/>
      <c r="W2" s="65"/>
      <c r="X2" s="67"/>
      <c r="Y2" s="65"/>
    </row>
    <row r="3">
      <c r="A3" s="248"/>
      <c r="B3" s="248"/>
      <c r="C3" s="253" t="s">
        <v>946</v>
      </c>
      <c r="D3" s="161"/>
      <c r="E3" s="254" t="s">
        <v>947</v>
      </c>
      <c r="F3" s="75"/>
      <c r="G3" s="75"/>
      <c r="H3" s="75"/>
      <c r="I3" s="75"/>
      <c r="J3" s="75"/>
      <c r="K3" s="75"/>
      <c r="L3" s="161"/>
      <c r="M3" s="65"/>
      <c r="N3" s="254"/>
      <c r="O3" s="75"/>
      <c r="P3" s="75"/>
      <c r="Q3" s="161"/>
      <c r="R3" s="254"/>
      <c r="S3" s="75"/>
      <c r="T3" s="75"/>
      <c r="U3" s="161"/>
      <c r="V3" s="254"/>
      <c r="W3" s="75"/>
      <c r="X3" s="75"/>
      <c r="Y3" s="161"/>
    </row>
    <row r="4">
      <c r="A4" s="248"/>
      <c r="B4" s="248"/>
      <c r="C4" s="255" t="s">
        <v>948</v>
      </c>
      <c r="D4" s="256"/>
      <c r="E4" s="257" t="s">
        <v>689</v>
      </c>
      <c r="F4" s="258"/>
      <c r="G4" s="258"/>
      <c r="H4" s="258"/>
      <c r="I4" s="258"/>
      <c r="J4" s="258"/>
      <c r="K4" s="258"/>
      <c r="L4" s="259"/>
      <c r="M4" s="65"/>
      <c r="N4" s="257"/>
      <c r="O4" s="258"/>
      <c r="P4" s="258"/>
      <c r="Q4" s="259"/>
      <c r="R4" s="257"/>
      <c r="S4" s="258"/>
      <c r="T4" s="258"/>
      <c r="U4" s="259"/>
      <c r="V4" s="257"/>
      <c r="W4" s="258"/>
      <c r="X4" s="258"/>
      <c r="Y4" s="259"/>
    </row>
    <row r="5">
      <c r="A5" s="248"/>
      <c r="B5" s="248"/>
      <c r="C5" s="260"/>
      <c r="D5" s="261" t="s">
        <v>949</v>
      </c>
      <c r="E5" s="262">
        <f>IFERROR(__xludf.DUMMYFUNCTION("IMPORTRANGE(Link!B$3,""Form HO!U6"")"),1775.7)</f>
        <v>1775.7</v>
      </c>
      <c r="F5" s="263">
        <v>1775.7</v>
      </c>
      <c r="G5" s="263">
        <v>1775.7</v>
      </c>
      <c r="H5" s="263">
        <v>1775.7</v>
      </c>
      <c r="I5" s="263">
        <f t="shared" ref="I5:L5" si="1">E5</f>
        <v>1775.7</v>
      </c>
      <c r="J5" s="263">
        <f t="shared" si="1"/>
        <v>1775.7</v>
      </c>
      <c r="K5" s="263">
        <f t="shared" si="1"/>
        <v>1775.7</v>
      </c>
      <c r="L5" s="263">
        <f t="shared" si="1"/>
        <v>1775.7</v>
      </c>
      <c r="M5" s="65"/>
      <c r="N5" s="264"/>
      <c r="O5" s="263"/>
      <c r="P5" s="263"/>
      <c r="Q5" s="263"/>
      <c r="R5" s="264"/>
      <c r="S5" s="263"/>
      <c r="T5" s="263"/>
      <c r="U5" s="263"/>
      <c r="V5" s="264"/>
      <c r="W5" s="263"/>
      <c r="X5" s="263"/>
      <c r="Y5" s="263"/>
    </row>
    <row r="6">
      <c r="A6" s="248"/>
      <c r="B6" s="248"/>
      <c r="C6" s="265"/>
      <c r="D6" s="266" t="s">
        <v>950</v>
      </c>
      <c r="E6" s="267"/>
      <c r="F6" s="268"/>
      <c r="G6" s="269"/>
      <c r="H6" s="268"/>
      <c r="I6" s="268"/>
      <c r="J6" s="268"/>
      <c r="K6" s="268"/>
      <c r="L6" s="268"/>
      <c r="M6" s="65"/>
      <c r="N6" s="267"/>
      <c r="O6" s="268"/>
      <c r="P6" s="269"/>
      <c r="Q6" s="268"/>
      <c r="R6" s="267"/>
      <c r="S6" s="268"/>
      <c r="T6" s="269"/>
      <c r="U6" s="268"/>
      <c r="V6" s="267"/>
      <c r="W6" s="268"/>
      <c r="X6" s="269"/>
      <c r="Y6" s="268"/>
    </row>
    <row r="7">
      <c r="A7" s="248"/>
      <c r="B7" s="248"/>
      <c r="C7" s="270"/>
      <c r="D7" s="271" t="s">
        <v>951</v>
      </c>
      <c r="E7" s="272">
        <f t="shared" ref="E7:L7" si="2">sum(E5:E6)</f>
        <v>1775.7</v>
      </c>
      <c r="F7" s="273">
        <f t="shared" si="2"/>
        <v>1775.7</v>
      </c>
      <c r="G7" s="273">
        <f t="shared" si="2"/>
        <v>1775.7</v>
      </c>
      <c r="H7" s="273">
        <f t="shared" si="2"/>
        <v>1775.7</v>
      </c>
      <c r="I7" s="273">
        <f t="shared" si="2"/>
        <v>1775.7</v>
      </c>
      <c r="J7" s="273">
        <f t="shared" si="2"/>
        <v>1775.7</v>
      </c>
      <c r="K7" s="273">
        <f t="shared" si="2"/>
        <v>1775.7</v>
      </c>
      <c r="L7" s="273">
        <f t="shared" si="2"/>
        <v>1775.7</v>
      </c>
      <c r="M7" s="65"/>
      <c r="N7" s="272">
        <f t="shared" ref="N7:Y7" si="3">sum(N5:N6)</f>
        <v>0</v>
      </c>
      <c r="O7" s="273">
        <f t="shared" si="3"/>
        <v>0</v>
      </c>
      <c r="P7" s="273">
        <f t="shared" si="3"/>
        <v>0</v>
      </c>
      <c r="Q7" s="273">
        <f t="shared" si="3"/>
        <v>0</v>
      </c>
      <c r="R7" s="272">
        <f t="shared" si="3"/>
        <v>0</v>
      </c>
      <c r="S7" s="273">
        <f t="shared" si="3"/>
        <v>0</v>
      </c>
      <c r="T7" s="273">
        <f t="shared" si="3"/>
        <v>0</v>
      </c>
      <c r="U7" s="273">
        <f t="shared" si="3"/>
        <v>0</v>
      </c>
      <c r="V7" s="272">
        <f t="shared" si="3"/>
        <v>0</v>
      </c>
      <c r="W7" s="273">
        <f t="shared" si="3"/>
        <v>0</v>
      </c>
      <c r="X7" s="273">
        <f t="shared" si="3"/>
        <v>0</v>
      </c>
      <c r="Y7" s="273">
        <f t="shared" si="3"/>
        <v>0</v>
      </c>
    </row>
    <row r="8">
      <c r="A8" s="274"/>
      <c r="B8" s="274"/>
      <c r="C8" s="253" t="s">
        <v>405</v>
      </c>
      <c r="D8" s="161"/>
      <c r="E8" s="275" t="s">
        <v>952</v>
      </c>
      <c r="F8" s="258"/>
      <c r="G8" s="258"/>
      <c r="H8" s="259"/>
      <c r="I8" s="276" t="s">
        <v>952</v>
      </c>
      <c r="J8" s="258"/>
      <c r="K8" s="258"/>
      <c r="L8" s="259"/>
      <c r="M8" s="65"/>
      <c r="N8" s="275" t="s">
        <v>952</v>
      </c>
      <c r="O8" s="258"/>
      <c r="P8" s="258"/>
      <c r="Q8" s="259"/>
      <c r="R8" s="275" t="s">
        <v>952</v>
      </c>
      <c r="S8" s="258"/>
      <c r="T8" s="258"/>
      <c r="U8" s="259"/>
      <c r="V8" s="275" t="s">
        <v>952</v>
      </c>
      <c r="W8" s="258"/>
      <c r="X8" s="258"/>
      <c r="Y8" s="259"/>
    </row>
    <row r="9">
      <c r="A9" s="274"/>
      <c r="B9" s="274"/>
      <c r="C9" s="157"/>
      <c r="D9" s="158"/>
      <c r="E9" s="275" t="s">
        <v>724</v>
      </c>
      <c r="F9" s="258"/>
      <c r="G9" s="258"/>
      <c r="H9" s="259"/>
      <c r="I9" s="276" t="s">
        <v>953</v>
      </c>
      <c r="J9" s="258"/>
      <c r="K9" s="258"/>
      <c r="L9" s="259"/>
      <c r="M9" s="65"/>
      <c r="N9" s="275" t="s">
        <v>954</v>
      </c>
      <c r="O9" s="258"/>
      <c r="P9" s="258"/>
      <c r="Q9" s="259"/>
      <c r="R9" s="275" t="s">
        <v>955</v>
      </c>
      <c r="S9" s="258"/>
      <c r="T9" s="258"/>
      <c r="U9" s="259"/>
      <c r="V9" s="275" t="s">
        <v>956</v>
      </c>
      <c r="W9" s="258"/>
      <c r="X9" s="258"/>
      <c r="Y9" s="259"/>
    </row>
    <row r="10">
      <c r="A10" s="274"/>
      <c r="B10" s="274"/>
      <c r="C10" s="172"/>
      <c r="D10" s="173"/>
      <c r="E10" s="277" t="s">
        <v>734</v>
      </c>
      <c r="F10" s="278" t="s">
        <v>957</v>
      </c>
      <c r="G10" s="279" t="s">
        <v>958</v>
      </c>
      <c r="H10" s="278" t="s">
        <v>635</v>
      </c>
      <c r="I10" s="278" t="str">
        <f t="shared" ref="I10:L10" si="4">E10</f>
        <v>Real Tahun Lalu</v>
      </c>
      <c r="J10" s="278" t="str">
        <f t="shared" si="4"/>
        <v>Real Tahun Ini</v>
      </c>
      <c r="K10" s="279" t="str">
        <f t="shared" si="4"/>
        <v>RKO TW</v>
      </c>
      <c r="L10" s="278" t="str">
        <f t="shared" si="4"/>
        <v>RKAP</v>
      </c>
      <c r="M10" s="65"/>
      <c r="N10" s="277" t="s">
        <v>734</v>
      </c>
      <c r="O10" s="278" t="s">
        <v>957</v>
      </c>
      <c r="P10" s="279" t="s">
        <v>958</v>
      </c>
      <c r="Q10" s="278" t="s">
        <v>635</v>
      </c>
      <c r="R10" s="277" t="s">
        <v>734</v>
      </c>
      <c r="S10" s="278" t="s">
        <v>957</v>
      </c>
      <c r="T10" s="279" t="s">
        <v>958</v>
      </c>
      <c r="U10" s="278" t="s">
        <v>635</v>
      </c>
      <c r="V10" s="277" t="s">
        <v>734</v>
      </c>
      <c r="W10" s="278" t="s">
        <v>957</v>
      </c>
      <c r="X10" s="279" t="s">
        <v>958</v>
      </c>
      <c r="Y10" s="278" t="s">
        <v>635</v>
      </c>
    </row>
    <row r="11">
      <c r="A11" s="280"/>
      <c r="B11" s="280"/>
      <c r="C11" s="281" t="s">
        <v>959</v>
      </c>
      <c r="D11" s="282" t="s">
        <v>960</v>
      </c>
      <c r="E11" s="283">
        <f t="shared" ref="E11:L11" si="5">sum(E12:E14)</f>
        <v>0</v>
      </c>
      <c r="F11" s="284">
        <f t="shared" si="5"/>
        <v>0</v>
      </c>
      <c r="G11" s="284">
        <f t="shared" si="5"/>
        <v>0</v>
      </c>
      <c r="H11" s="284">
        <f t="shared" si="5"/>
        <v>0</v>
      </c>
      <c r="I11" s="284">
        <f t="shared" si="5"/>
        <v>0</v>
      </c>
      <c r="J11" s="284">
        <f t="shared" si="5"/>
        <v>0</v>
      </c>
      <c r="K11" s="284">
        <f t="shared" si="5"/>
        <v>0</v>
      </c>
      <c r="L11" s="284">
        <f t="shared" si="5"/>
        <v>0</v>
      </c>
      <c r="M11" s="65"/>
      <c r="N11" s="283">
        <f>IFERROR(__xludf.DUMMYFUNCTION("IFERROR(IMPORTRANGE(Link!$B$1,CONCATENATE(VLOOKUP($L$2,Plant!$B$1:$C$19,2,false),""!I11:L57"")),0)"),0.0)</f>
        <v>0</v>
      </c>
      <c r="O11" s="284">
        <f>IFERROR(__xludf.DUMMYFUNCTION("""COMPUTED_VALUE"""),0.0)</f>
        <v>0</v>
      </c>
      <c r="P11" s="284">
        <f>IFERROR(__xludf.DUMMYFUNCTION("""COMPUTED_VALUE"""),0.0)</f>
        <v>0</v>
      </c>
      <c r="Q11" s="284">
        <f>IFERROR(__xludf.DUMMYFUNCTION("""COMPUTED_VALUE"""),0.0)</f>
        <v>0</v>
      </c>
      <c r="R11" s="283">
        <f>IFERROR(__xludf.DUMMYFUNCTION("IFERROR(IMPORTRANGE(Link!$B$1,CONCATENATE(VLOOKUP($L$2,Plant!$B$1:$C$19,2,false),""!P11:S57"")),0)"),0.0)</f>
        <v>0</v>
      </c>
      <c r="S11" s="284">
        <f>IFERROR(__xludf.DUMMYFUNCTION("""COMPUTED_VALUE"""),0.0)</f>
        <v>0</v>
      </c>
      <c r="T11" s="284">
        <f>IFERROR(__xludf.DUMMYFUNCTION("""COMPUTED_VALUE"""),0.0)</f>
        <v>0</v>
      </c>
      <c r="U11" s="284">
        <f>IFERROR(__xludf.DUMMYFUNCTION("""COMPUTED_VALUE"""),0.0)</f>
        <v>0</v>
      </c>
      <c r="V11" s="283" t="str">
        <f>IFERROR(__xludf.DUMMYFUNCTION("IFERROR(IMPORTRANGE(Link!$B$1,CONCATENATE(VLOOKUP($L$2,Plant!$B$1:$C$19,2,false),""!X11:AA57"")),0)"),"")</f>
        <v/>
      </c>
      <c r="W11" s="284"/>
      <c r="X11" s="284"/>
      <c r="Y11" s="284"/>
    </row>
    <row r="12" outlineLevel="1">
      <c r="A12" s="285"/>
      <c r="B12" s="280"/>
      <c r="C12" s="286"/>
      <c r="D12" s="287" t="s">
        <v>961</v>
      </c>
      <c r="E12" s="288">
        <v>0.0</v>
      </c>
      <c r="F12" s="288">
        <v>0.0</v>
      </c>
      <c r="G12" s="288">
        <v>0.0</v>
      </c>
      <c r="H12" s="288">
        <v>0.0</v>
      </c>
      <c r="I12" s="288">
        <v>0.0</v>
      </c>
      <c r="J12" s="288">
        <v>0.0</v>
      </c>
      <c r="K12" s="288">
        <v>0.0</v>
      </c>
      <c r="L12" s="288">
        <v>0.0</v>
      </c>
      <c r="M12" s="65"/>
      <c r="N12" s="289">
        <f>IFERROR(__xludf.DUMMYFUNCTION("""COMPUTED_VALUE"""),0.0)</f>
        <v>0</v>
      </c>
      <c r="O12" s="290">
        <f>IFERROR(__xludf.DUMMYFUNCTION("""COMPUTED_VALUE"""),0.0)</f>
        <v>0</v>
      </c>
      <c r="P12" s="290">
        <f>IFERROR(__xludf.DUMMYFUNCTION("""COMPUTED_VALUE"""),0.0)</f>
        <v>0</v>
      </c>
      <c r="Q12" s="290">
        <f>IFERROR(__xludf.DUMMYFUNCTION("""COMPUTED_VALUE"""),0.0)</f>
        <v>0</v>
      </c>
      <c r="R12" s="291">
        <f>IFERROR(__xludf.DUMMYFUNCTION("""COMPUTED_VALUE"""),0.0)</f>
        <v>0</v>
      </c>
      <c r="S12" s="290">
        <f>IFERROR(__xludf.DUMMYFUNCTION("""COMPUTED_VALUE"""),0.0)</f>
        <v>0</v>
      </c>
      <c r="T12" s="290">
        <f>IFERROR(__xludf.DUMMYFUNCTION("""COMPUTED_VALUE"""),0.0)</f>
        <v>0</v>
      </c>
      <c r="U12" s="290">
        <f>IFERROR(__xludf.DUMMYFUNCTION("""COMPUTED_VALUE"""),0.0)</f>
        <v>0</v>
      </c>
      <c r="V12" s="291"/>
      <c r="W12" s="290"/>
      <c r="X12" s="290"/>
      <c r="Y12" s="290"/>
    </row>
    <row r="13" outlineLevel="1">
      <c r="A13" s="285"/>
      <c r="B13" s="280"/>
      <c r="C13" s="292" t="s">
        <v>962</v>
      </c>
      <c r="D13" s="287" t="s">
        <v>963</v>
      </c>
      <c r="E13" s="288">
        <v>0.0</v>
      </c>
      <c r="F13" s="288">
        <v>0.0</v>
      </c>
      <c r="G13" s="288">
        <v>0.0</v>
      </c>
      <c r="H13" s="288">
        <v>0.0</v>
      </c>
      <c r="I13" s="288">
        <v>0.0</v>
      </c>
      <c r="J13" s="288">
        <v>0.0</v>
      </c>
      <c r="K13" s="288">
        <v>0.0</v>
      </c>
      <c r="L13" s="288">
        <v>0.0</v>
      </c>
      <c r="M13" s="65"/>
      <c r="N13" s="291">
        <f>IFERROR(__xludf.DUMMYFUNCTION("""COMPUTED_VALUE"""),0.0)</f>
        <v>0</v>
      </c>
      <c r="O13" s="290">
        <f>IFERROR(__xludf.DUMMYFUNCTION("""COMPUTED_VALUE"""),0.0)</f>
        <v>0</v>
      </c>
      <c r="P13" s="290">
        <f>IFERROR(__xludf.DUMMYFUNCTION("""COMPUTED_VALUE"""),0.0)</f>
        <v>0</v>
      </c>
      <c r="Q13" s="290">
        <f>IFERROR(__xludf.DUMMYFUNCTION("""COMPUTED_VALUE"""),0.0)</f>
        <v>0</v>
      </c>
      <c r="R13" s="291">
        <f>IFERROR(__xludf.DUMMYFUNCTION("""COMPUTED_VALUE"""),0.0)</f>
        <v>0</v>
      </c>
      <c r="S13" s="290">
        <f>IFERROR(__xludf.DUMMYFUNCTION("""COMPUTED_VALUE"""),0.0)</f>
        <v>0</v>
      </c>
      <c r="T13" s="290">
        <f>IFERROR(__xludf.DUMMYFUNCTION("""COMPUTED_VALUE"""),0.0)</f>
        <v>0</v>
      </c>
      <c r="U13" s="290">
        <f>IFERROR(__xludf.DUMMYFUNCTION("""COMPUTED_VALUE"""),0.0)</f>
        <v>0</v>
      </c>
      <c r="V13" s="291"/>
      <c r="W13" s="290"/>
      <c r="X13" s="290"/>
      <c r="Y13" s="290"/>
    </row>
    <row r="14" outlineLevel="1">
      <c r="A14" s="285"/>
      <c r="B14" s="280"/>
      <c r="C14" s="292" t="s">
        <v>964</v>
      </c>
      <c r="D14" s="287" t="s">
        <v>965</v>
      </c>
      <c r="E14" s="288">
        <v>0.0</v>
      </c>
      <c r="F14" s="288">
        <v>0.0</v>
      </c>
      <c r="G14" s="288">
        <v>0.0</v>
      </c>
      <c r="H14" s="288">
        <v>0.0</v>
      </c>
      <c r="I14" s="288">
        <v>0.0</v>
      </c>
      <c r="J14" s="288">
        <v>0.0</v>
      </c>
      <c r="K14" s="288">
        <v>0.0</v>
      </c>
      <c r="L14" s="288">
        <v>0.0</v>
      </c>
      <c r="M14" s="65"/>
      <c r="N14" s="291">
        <f>IFERROR(__xludf.DUMMYFUNCTION("""COMPUTED_VALUE"""),0.0)</f>
        <v>0</v>
      </c>
      <c r="O14" s="290">
        <f>IFERROR(__xludf.DUMMYFUNCTION("""COMPUTED_VALUE"""),0.0)</f>
        <v>0</v>
      </c>
      <c r="P14" s="290">
        <f>IFERROR(__xludf.DUMMYFUNCTION("""COMPUTED_VALUE"""),0.0)</f>
        <v>0</v>
      </c>
      <c r="Q14" s="290">
        <f>IFERROR(__xludf.DUMMYFUNCTION("""COMPUTED_VALUE"""),0.0)</f>
        <v>0</v>
      </c>
      <c r="R14" s="291">
        <f>IFERROR(__xludf.DUMMYFUNCTION("""COMPUTED_VALUE"""),0.0)</f>
        <v>0</v>
      </c>
      <c r="S14" s="290">
        <f>IFERROR(__xludf.DUMMYFUNCTION("""COMPUTED_VALUE"""),0.0)</f>
        <v>0</v>
      </c>
      <c r="T14" s="290">
        <f>IFERROR(__xludf.DUMMYFUNCTION("""COMPUTED_VALUE"""),0.0)</f>
        <v>0</v>
      </c>
      <c r="U14" s="290">
        <f>IFERROR(__xludf.DUMMYFUNCTION("""COMPUTED_VALUE"""),0.0)</f>
        <v>0</v>
      </c>
      <c r="V14" s="291"/>
      <c r="W14" s="290"/>
      <c r="X14" s="290"/>
      <c r="Y14" s="290"/>
    </row>
    <row r="15">
      <c r="A15" s="280"/>
      <c r="B15" s="280"/>
      <c r="C15" s="286"/>
      <c r="D15" s="293"/>
      <c r="E15" s="291"/>
      <c r="F15" s="290"/>
      <c r="G15" s="290"/>
      <c r="H15" s="290"/>
      <c r="I15" s="290"/>
      <c r="J15" s="290"/>
      <c r="K15" s="290"/>
      <c r="L15" s="290"/>
      <c r="M15" s="65"/>
      <c r="N15" s="291"/>
      <c r="O15" s="290"/>
      <c r="P15" s="290"/>
      <c r="Q15" s="290"/>
      <c r="R15" s="291"/>
      <c r="S15" s="290"/>
      <c r="T15" s="290"/>
      <c r="U15" s="290"/>
      <c r="V15" s="291"/>
      <c r="W15" s="290"/>
      <c r="X15" s="290"/>
      <c r="Y15" s="290"/>
    </row>
    <row r="16">
      <c r="A16" s="280"/>
      <c r="B16" s="280"/>
      <c r="C16" s="294" t="s">
        <v>966</v>
      </c>
      <c r="D16" s="295" t="s">
        <v>967</v>
      </c>
      <c r="E16" s="296"/>
      <c r="F16" s="269"/>
      <c r="G16" s="269"/>
      <c r="H16" s="269"/>
      <c r="I16" s="269"/>
      <c r="J16" s="269"/>
      <c r="K16" s="269"/>
      <c r="L16" s="269"/>
      <c r="M16" s="65"/>
      <c r="N16" s="296"/>
      <c r="O16" s="269"/>
      <c r="P16" s="269"/>
      <c r="Q16" s="269"/>
      <c r="R16" s="296"/>
      <c r="S16" s="269"/>
      <c r="T16" s="269"/>
      <c r="U16" s="269"/>
      <c r="V16" s="296"/>
      <c r="W16" s="269"/>
      <c r="X16" s="269"/>
      <c r="Y16" s="269"/>
    </row>
    <row r="17">
      <c r="A17" s="297"/>
      <c r="B17" s="280"/>
      <c r="C17" s="265"/>
      <c r="D17" s="287" t="s">
        <v>961</v>
      </c>
      <c r="E17" s="291">
        <f>IFERROR(__xludf.DUMMYFUNCTION("IMPORTRANGE(Link!$B$3,""Form HO!U14"")"),55913.0)</f>
        <v>55913</v>
      </c>
      <c r="F17" s="298">
        <v>38407.0</v>
      </c>
      <c r="G17" s="298">
        <f>IFERROR(__xludf.DUMMYFUNCTION("IMPORTRANGE(Link!$B$13,""5E13-KR!H183"")"),65728.0)</f>
        <v>65728</v>
      </c>
      <c r="H17" s="290">
        <f>IFERROR(__xludf.DUMMYFUNCTION("IMPORTRANGE(Link!$B$6,""LM13!T15"")"),65728.0)</f>
        <v>65728</v>
      </c>
      <c r="I17" s="291">
        <f>IFERROR(__xludf.DUMMYFUNCTION("IMPORTRANGE(Link!$B$3,""Form HO!Y14"")"),272203.0)</f>
        <v>272203</v>
      </c>
      <c r="J17" s="290">
        <f t="shared" ref="J17:L17" si="6">F17+O17</f>
        <v>206338</v>
      </c>
      <c r="K17" s="290">
        <f t="shared" si="6"/>
        <v>387091</v>
      </c>
      <c r="L17" s="290">
        <f t="shared" si="6"/>
        <v>387090.8</v>
      </c>
      <c r="M17" s="65"/>
      <c r="N17" s="299">
        <f>IFERROR(__xludf.DUMMYFUNCTION("""COMPUTED_VALUE"""),216290.0)</f>
        <v>216290</v>
      </c>
      <c r="O17" s="288">
        <f>IFERROR(__xludf.DUMMYFUNCTION("""COMPUTED_VALUE"""),167931.0)</f>
        <v>167931</v>
      </c>
      <c r="P17" s="300">
        <f>IFERROR(__xludf.DUMMYFUNCTION("""COMPUTED_VALUE"""),321363.0)</f>
        <v>321363</v>
      </c>
      <c r="Q17" s="300">
        <f>IFERROR(__xludf.DUMMYFUNCTION("""COMPUTED_VALUE"""),321362.8)</f>
        <v>321362.8</v>
      </c>
      <c r="R17" s="299">
        <f>IFERROR(__xludf.DUMMYFUNCTION("""COMPUTED_VALUE"""),233469.0)</f>
        <v>233469</v>
      </c>
      <c r="S17" s="288">
        <f>IFERROR(__xludf.DUMMYFUNCTION("""COMPUTED_VALUE"""),233468.39999999997)</f>
        <v>233468.4</v>
      </c>
      <c r="T17" s="300">
        <f>IFERROR(__xludf.DUMMYFUNCTION("""COMPUTED_VALUE"""),164126.0)</f>
        <v>164126</v>
      </c>
      <c r="U17" s="300">
        <f>IFERROR(__xludf.DUMMYFUNCTION("""COMPUTED_VALUE"""),164125.59999999998)</f>
        <v>164125.6</v>
      </c>
      <c r="V17" s="299"/>
      <c r="W17" s="288"/>
      <c r="X17" s="300"/>
      <c r="Y17" s="300"/>
    </row>
    <row r="18">
      <c r="A18" s="297"/>
      <c r="B18" s="280"/>
      <c r="C18" s="292" t="s">
        <v>962</v>
      </c>
      <c r="D18" s="287" t="s">
        <v>963</v>
      </c>
      <c r="E18" s="289">
        <v>0.0</v>
      </c>
      <c r="F18" s="288">
        <v>0.0</v>
      </c>
      <c r="G18" s="290">
        <f>IFERROR(HLOOKUP($L$2,'RKO Rekap'!$D$7:$U$94,12,false),0)</f>
        <v>0</v>
      </c>
      <c r="H18" s="290"/>
      <c r="I18" s="288">
        <v>0.0</v>
      </c>
      <c r="J18" s="290">
        <f t="shared" ref="J18:L18" si="7">F18+O18</f>
        <v>0</v>
      </c>
      <c r="K18" s="290">
        <f t="shared" si="7"/>
        <v>0</v>
      </c>
      <c r="L18" s="290">
        <f t="shared" si="7"/>
        <v>0</v>
      </c>
      <c r="M18" s="65"/>
      <c r="N18" s="299">
        <f>IFERROR(__xludf.DUMMYFUNCTION("""COMPUTED_VALUE"""),0.0)</f>
        <v>0</v>
      </c>
      <c r="O18" s="288">
        <f>IFERROR(__xludf.DUMMYFUNCTION("""COMPUTED_VALUE"""),0.0)</f>
        <v>0</v>
      </c>
      <c r="P18" s="300">
        <f>IFERROR(__xludf.DUMMYFUNCTION("""COMPUTED_VALUE"""),0.0)</f>
        <v>0</v>
      </c>
      <c r="Q18" s="300">
        <f>IFERROR(__xludf.DUMMYFUNCTION("""COMPUTED_VALUE"""),0.0)</f>
        <v>0</v>
      </c>
      <c r="R18" s="299">
        <f>IFERROR(__xludf.DUMMYFUNCTION("""COMPUTED_VALUE"""),0.0)</f>
        <v>0</v>
      </c>
      <c r="S18" s="288">
        <f>IFERROR(__xludf.DUMMYFUNCTION("""COMPUTED_VALUE"""),0.0)</f>
        <v>0</v>
      </c>
      <c r="T18" s="300">
        <f>IFERROR(__xludf.DUMMYFUNCTION("""COMPUTED_VALUE"""),0.0)</f>
        <v>0</v>
      </c>
      <c r="U18" s="300">
        <f>IFERROR(__xludf.DUMMYFUNCTION("""COMPUTED_VALUE"""),0.0)</f>
        <v>0</v>
      </c>
      <c r="V18" s="299"/>
      <c r="W18" s="288"/>
      <c r="X18" s="300"/>
      <c r="Y18" s="300"/>
    </row>
    <row r="19">
      <c r="A19" s="297"/>
      <c r="B19" s="280"/>
      <c r="C19" s="292" t="s">
        <v>964</v>
      </c>
      <c r="D19" s="287" t="s">
        <v>965</v>
      </c>
      <c r="E19" s="289">
        <v>0.0</v>
      </c>
      <c r="F19" s="288">
        <v>0.0</v>
      </c>
      <c r="G19" s="290">
        <f>IFERROR(HLOOKUP($L$2,'RKO Rekap'!$D$7:$U$94,13,false),0)</f>
        <v>0</v>
      </c>
      <c r="H19" s="290"/>
      <c r="I19" s="288">
        <v>0.0</v>
      </c>
      <c r="J19" s="290">
        <f t="shared" ref="J19:L19" si="8">F19+O19</f>
        <v>0</v>
      </c>
      <c r="K19" s="290">
        <f t="shared" si="8"/>
        <v>0</v>
      </c>
      <c r="L19" s="290">
        <f t="shared" si="8"/>
        <v>0</v>
      </c>
      <c r="M19" s="65"/>
      <c r="N19" s="299">
        <f>IFERROR(__xludf.DUMMYFUNCTION("""COMPUTED_VALUE"""),0.0)</f>
        <v>0</v>
      </c>
      <c r="O19" s="288">
        <f>IFERROR(__xludf.DUMMYFUNCTION("""COMPUTED_VALUE"""),0.0)</f>
        <v>0</v>
      </c>
      <c r="P19" s="300">
        <f>IFERROR(__xludf.DUMMYFUNCTION("""COMPUTED_VALUE"""),0.0)</f>
        <v>0</v>
      </c>
      <c r="Q19" s="300">
        <f>IFERROR(__xludf.DUMMYFUNCTION("""COMPUTED_VALUE"""),0.0)</f>
        <v>0</v>
      </c>
      <c r="R19" s="299">
        <f>IFERROR(__xludf.DUMMYFUNCTION("""COMPUTED_VALUE"""),0.0)</f>
        <v>0</v>
      </c>
      <c r="S19" s="288">
        <f>IFERROR(__xludf.DUMMYFUNCTION("""COMPUTED_VALUE"""),0.0)</f>
        <v>0</v>
      </c>
      <c r="T19" s="300">
        <f>IFERROR(__xludf.DUMMYFUNCTION("""COMPUTED_VALUE"""),0.0)</f>
        <v>0</v>
      </c>
      <c r="U19" s="300">
        <f>IFERROR(__xludf.DUMMYFUNCTION("""COMPUTED_VALUE"""),0.0)</f>
        <v>0</v>
      </c>
      <c r="V19" s="299"/>
      <c r="W19" s="288"/>
      <c r="X19" s="300"/>
      <c r="Y19" s="300"/>
    </row>
    <row r="20">
      <c r="A20" s="301"/>
      <c r="B20" s="301"/>
      <c r="C20" s="302"/>
      <c r="D20" s="271" t="s">
        <v>951</v>
      </c>
      <c r="E20" s="303">
        <f t="shared" ref="E20:L20" si="9">sum(E17:E19)</f>
        <v>55913</v>
      </c>
      <c r="F20" s="304">
        <f t="shared" si="9"/>
        <v>38407</v>
      </c>
      <c r="G20" s="304">
        <f t="shared" si="9"/>
        <v>65728</v>
      </c>
      <c r="H20" s="304">
        <f t="shared" si="9"/>
        <v>65728</v>
      </c>
      <c r="I20" s="304">
        <f t="shared" si="9"/>
        <v>272203</v>
      </c>
      <c r="J20" s="304">
        <f t="shared" si="9"/>
        <v>206338</v>
      </c>
      <c r="K20" s="304">
        <f t="shared" si="9"/>
        <v>387091</v>
      </c>
      <c r="L20" s="304">
        <f t="shared" si="9"/>
        <v>387090.8</v>
      </c>
      <c r="M20" s="305"/>
      <c r="N20" s="303">
        <f>IFERROR(__xludf.DUMMYFUNCTION("""COMPUTED_VALUE"""),216290.0)</f>
        <v>216290</v>
      </c>
      <c r="O20" s="304">
        <f>IFERROR(__xludf.DUMMYFUNCTION("""COMPUTED_VALUE"""),167931.0)</f>
        <v>167931</v>
      </c>
      <c r="P20" s="304">
        <f>IFERROR(__xludf.DUMMYFUNCTION("""COMPUTED_VALUE"""),321363.0)</f>
        <v>321363</v>
      </c>
      <c r="Q20" s="304">
        <f>IFERROR(__xludf.DUMMYFUNCTION("""COMPUTED_VALUE"""),321362.8)</f>
        <v>321362.8</v>
      </c>
      <c r="R20" s="303">
        <f>IFERROR(__xludf.DUMMYFUNCTION("""COMPUTED_VALUE"""),233469.0)</f>
        <v>233469</v>
      </c>
      <c r="S20" s="306">
        <f>IFERROR(__xludf.DUMMYFUNCTION("""COMPUTED_VALUE"""),233468.39999999997)</f>
        <v>233468.4</v>
      </c>
      <c r="T20" s="304">
        <f>IFERROR(__xludf.DUMMYFUNCTION("""COMPUTED_VALUE"""),164126.0)</f>
        <v>164126</v>
      </c>
      <c r="U20" s="304">
        <f>IFERROR(__xludf.DUMMYFUNCTION("""COMPUTED_VALUE"""),164125.59999999998)</f>
        <v>164125.6</v>
      </c>
      <c r="V20" s="303"/>
      <c r="W20" s="304"/>
      <c r="X20" s="304"/>
      <c r="Y20" s="304"/>
    </row>
    <row r="21">
      <c r="A21" s="280"/>
      <c r="B21" s="280"/>
      <c r="C21" s="294" t="s">
        <v>968</v>
      </c>
      <c r="D21" s="295" t="s">
        <v>969</v>
      </c>
      <c r="E21" s="296"/>
      <c r="F21" s="269"/>
      <c r="G21" s="269"/>
      <c r="H21" s="269"/>
      <c r="I21" s="269"/>
      <c r="J21" s="269"/>
      <c r="K21" s="269"/>
      <c r="L21" s="269"/>
      <c r="M21" s="65"/>
      <c r="N21" s="296"/>
      <c r="O21" s="269"/>
      <c r="P21" s="269"/>
      <c r="Q21" s="269"/>
      <c r="R21" s="296"/>
      <c r="S21" s="269"/>
      <c r="T21" s="269"/>
      <c r="U21" s="269"/>
      <c r="V21" s="296"/>
      <c r="W21" s="269"/>
      <c r="X21" s="269"/>
      <c r="Y21" s="269"/>
    </row>
    <row r="22">
      <c r="A22" s="297"/>
      <c r="B22" s="280"/>
      <c r="C22" s="265"/>
      <c r="D22" s="287" t="s">
        <v>961</v>
      </c>
      <c r="E22" s="289">
        <v>0.0</v>
      </c>
      <c r="F22" s="289">
        <v>0.0</v>
      </c>
      <c r="G22" s="290">
        <f>IFERROR(HLOOKUP($L$2,'RKO Rekap'!$D$7:$U$94,33,false),0)</f>
        <v>0</v>
      </c>
      <c r="H22" s="290">
        <f>IFERROR(HLOOKUP($L$2,'RKAP Rekap'!$D$7:$U$94,33,false),0)</f>
        <v>0</v>
      </c>
      <c r="I22" s="290">
        <f t="shared" ref="I22:I24" si="11">IFERROR(HLOOKUP(CONCATENATE("Olah + Jual SBI-",$L$2),'Tahun Lalu Rekap'!$A$4:$DG$78,MATCH(A22,'Tahun Lalu Rekap'!$A$4:$A$78,0),0),0)</f>
        <v>0</v>
      </c>
      <c r="J22" s="290">
        <f t="shared" ref="J22:L22" si="10">F22+O22</f>
        <v>0</v>
      </c>
      <c r="K22" s="290">
        <f t="shared" si="10"/>
        <v>0</v>
      </c>
      <c r="L22" s="290">
        <f t="shared" si="10"/>
        <v>0</v>
      </c>
      <c r="M22" s="65"/>
      <c r="N22" s="299">
        <f>IFERROR(__xludf.DUMMYFUNCTION("""COMPUTED_VALUE"""),0.0)</f>
        <v>0</v>
      </c>
      <c r="O22" s="290">
        <f>IFERROR(__xludf.DUMMYFUNCTION("""COMPUTED_VALUE"""),0.0)</f>
        <v>0</v>
      </c>
      <c r="P22" s="300">
        <f>IFERROR(__xludf.DUMMYFUNCTION("""COMPUTED_VALUE"""),0.0)</f>
        <v>0</v>
      </c>
      <c r="Q22" s="300">
        <f>IFERROR(__xludf.DUMMYFUNCTION("""COMPUTED_VALUE"""),0.0)</f>
        <v>0</v>
      </c>
      <c r="R22" s="299">
        <f>IFERROR(__xludf.DUMMYFUNCTION("""COMPUTED_VALUE"""),0.0)</f>
        <v>0</v>
      </c>
      <c r="S22" s="290">
        <f>IFERROR(__xludf.DUMMYFUNCTION("""COMPUTED_VALUE"""),0.0)</f>
        <v>0</v>
      </c>
      <c r="T22" s="300">
        <f>IFERROR(__xludf.DUMMYFUNCTION("""COMPUTED_VALUE"""),0.0)</f>
        <v>0</v>
      </c>
      <c r="U22" s="300">
        <f>IFERROR(__xludf.DUMMYFUNCTION("""COMPUTED_VALUE"""),0.0)</f>
        <v>0</v>
      </c>
      <c r="V22" s="299"/>
      <c r="W22" s="290"/>
      <c r="X22" s="300"/>
      <c r="Y22" s="300"/>
    </row>
    <row r="23">
      <c r="A23" s="297"/>
      <c r="B23" s="280"/>
      <c r="C23" s="292" t="s">
        <v>962</v>
      </c>
      <c r="D23" s="287" t="s">
        <v>963</v>
      </c>
      <c r="E23" s="289">
        <v>0.0</v>
      </c>
      <c r="F23" s="289">
        <v>0.0</v>
      </c>
      <c r="G23" s="290">
        <f>IFERROR(HLOOKUP($L$2,'RKO Rekap'!$D$7:$U$94,34,false),0)</f>
        <v>0</v>
      </c>
      <c r="H23" s="290">
        <f>IFERROR(HLOOKUP($L$2,'RKAP Rekap'!$D$7:$U$94,34,false),0)</f>
        <v>0</v>
      </c>
      <c r="I23" s="290">
        <f t="shared" si="11"/>
        <v>0</v>
      </c>
      <c r="J23" s="290">
        <f t="shared" ref="J23:L23" si="12">F23+O23</f>
        <v>0</v>
      </c>
      <c r="K23" s="290">
        <f t="shared" si="12"/>
        <v>0</v>
      </c>
      <c r="L23" s="290">
        <f t="shared" si="12"/>
        <v>0</v>
      </c>
      <c r="M23" s="65"/>
      <c r="N23" s="299">
        <f>IFERROR(__xludf.DUMMYFUNCTION("""COMPUTED_VALUE"""),0.0)</f>
        <v>0</v>
      </c>
      <c r="O23" s="290">
        <f>IFERROR(__xludf.DUMMYFUNCTION("""COMPUTED_VALUE"""),0.0)</f>
        <v>0</v>
      </c>
      <c r="P23" s="300">
        <f>IFERROR(__xludf.DUMMYFUNCTION("""COMPUTED_VALUE"""),0.0)</f>
        <v>0</v>
      </c>
      <c r="Q23" s="300">
        <f>IFERROR(__xludf.DUMMYFUNCTION("""COMPUTED_VALUE"""),0.0)</f>
        <v>0</v>
      </c>
      <c r="R23" s="299">
        <f>IFERROR(__xludf.DUMMYFUNCTION("""COMPUTED_VALUE"""),0.0)</f>
        <v>0</v>
      </c>
      <c r="S23" s="290">
        <f>IFERROR(__xludf.DUMMYFUNCTION("""COMPUTED_VALUE"""),0.0)</f>
        <v>0</v>
      </c>
      <c r="T23" s="300">
        <f>IFERROR(__xludf.DUMMYFUNCTION("""COMPUTED_VALUE"""),0.0)</f>
        <v>0</v>
      </c>
      <c r="U23" s="300">
        <f>IFERROR(__xludf.DUMMYFUNCTION("""COMPUTED_VALUE"""),0.0)</f>
        <v>0</v>
      </c>
      <c r="V23" s="299"/>
      <c r="W23" s="290"/>
      <c r="X23" s="300"/>
      <c r="Y23" s="300"/>
    </row>
    <row r="24">
      <c r="A24" s="297"/>
      <c r="B24" s="280"/>
      <c r="C24" s="292" t="s">
        <v>964</v>
      </c>
      <c r="D24" s="287" t="s">
        <v>965</v>
      </c>
      <c r="E24" s="289">
        <v>0.0</v>
      </c>
      <c r="F24" s="289">
        <v>0.0</v>
      </c>
      <c r="G24" s="290">
        <f>IFERROR(HLOOKUP($L$2,'RKO Rekap'!$D$7:$U$94,35,false),0)</f>
        <v>0</v>
      </c>
      <c r="H24" s="290">
        <f>IFERROR(HLOOKUP($L$2,'RKAP Rekap'!$D$7:$U$94,35,false),0)</f>
        <v>0</v>
      </c>
      <c r="I24" s="290">
        <f t="shared" si="11"/>
        <v>0</v>
      </c>
      <c r="J24" s="290">
        <f t="shared" ref="J24:L24" si="13">F24+O24</f>
        <v>0</v>
      </c>
      <c r="K24" s="290">
        <f t="shared" si="13"/>
        <v>0</v>
      </c>
      <c r="L24" s="290">
        <f t="shared" si="13"/>
        <v>0</v>
      </c>
      <c r="M24" s="65"/>
      <c r="N24" s="299">
        <f>IFERROR(__xludf.DUMMYFUNCTION("""COMPUTED_VALUE"""),0.0)</f>
        <v>0</v>
      </c>
      <c r="O24" s="290">
        <f>IFERROR(__xludf.DUMMYFUNCTION("""COMPUTED_VALUE"""),0.0)</f>
        <v>0</v>
      </c>
      <c r="P24" s="300">
        <f>IFERROR(__xludf.DUMMYFUNCTION("""COMPUTED_VALUE"""),0.0)</f>
        <v>0</v>
      </c>
      <c r="Q24" s="300">
        <f>IFERROR(__xludf.DUMMYFUNCTION("""COMPUTED_VALUE"""),0.0)</f>
        <v>0</v>
      </c>
      <c r="R24" s="299">
        <f>IFERROR(__xludf.DUMMYFUNCTION("""COMPUTED_VALUE"""),0.0)</f>
        <v>0</v>
      </c>
      <c r="S24" s="290">
        <f>IFERROR(__xludf.DUMMYFUNCTION("""COMPUTED_VALUE"""),0.0)</f>
        <v>0</v>
      </c>
      <c r="T24" s="300">
        <f>IFERROR(__xludf.DUMMYFUNCTION("""COMPUTED_VALUE"""),0.0)</f>
        <v>0</v>
      </c>
      <c r="U24" s="300">
        <f>IFERROR(__xludf.DUMMYFUNCTION("""COMPUTED_VALUE"""),0.0)</f>
        <v>0</v>
      </c>
      <c r="V24" s="299"/>
      <c r="W24" s="290"/>
      <c r="X24" s="300"/>
      <c r="Y24" s="300"/>
    </row>
    <row r="25">
      <c r="A25" s="301"/>
      <c r="B25" s="301"/>
      <c r="C25" s="302"/>
      <c r="D25" s="271" t="s">
        <v>951</v>
      </c>
      <c r="E25" s="303">
        <f t="shared" ref="E25:L25" si="14">sum(E22:E24)</f>
        <v>0</v>
      </c>
      <c r="F25" s="303">
        <f t="shared" si="14"/>
        <v>0</v>
      </c>
      <c r="G25" s="304">
        <f t="shared" si="14"/>
        <v>0</v>
      </c>
      <c r="H25" s="304">
        <f t="shared" si="14"/>
        <v>0</v>
      </c>
      <c r="I25" s="304">
        <f t="shared" si="14"/>
        <v>0</v>
      </c>
      <c r="J25" s="304">
        <f t="shared" si="14"/>
        <v>0</v>
      </c>
      <c r="K25" s="304">
        <f t="shared" si="14"/>
        <v>0</v>
      </c>
      <c r="L25" s="304">
        <f t="shared" si="14"/>
        <v>0</v>
      </c>
      <c r="M25" s="305"/>
      <c r="N25" s="303">
        <f>IFERROR(__xludf.DUMMYFUNCTION("""COMPUTED_VALUE"""),0.0)</f>
        <v>0</v>
      </c>
      <c r="O25" s="304">
        <f>IFERROR(__xludf.DUMMYFUNCTION("""COMPUTED_VALUE"""),0.0)</f>
        <v>0</v>
      </c>
      <c r="P25" s="304">
        <f>IFERROR(__xludf.DUMMYFUNCTION("""COMPUTED_VALUE"""),0.0)</f>
        <v>0</v>
      </c>
      <c r="Q25" s="304">
        <f>IFERROR(__xludf.DUMMYFUNCTION("""COMPUTED_VALUE"""),0.0)</f>
        <v>0</v>
      </c>
      <c r="R25" s="303">
        <f>IFERROR(__xludf.DUMMYFUNCTION("""COMPUTED_VALUE"""),0.0)</f>
        <v>0</v>
      </c>
      <c r="S25" s="304">
        <f>IFERROR(__xludf.DUMMYFUNCTION("""COMPUTED_VALUE"""),0.0)</f>
        <v>0</v>
      </c>
      <c r="T25" s="304">
        <f>IFERROR(__xludf.DUMMYFUNCTION("""COMPUTED_VALUE"""),0.0)</f>
        <v>0</v>
      </c>
      <c r="U25" s="304">
        <f>IFERROR(__xludf.DUMMYFUNCTION("""COMPUTED_VALUE"""),0.0)</f>
        <v>0</v>
      </c>
      <c r="V25" s="303"/>
      <c r="W25" s="304"/>
      <c r="X25" s="304"/>
      <c r="Y25" s="304"/>
    </row>
    <row r="26">
      <c r="A26" s="280"/>
      <c r="B26" s="280"/>
      <c r="C26" s="294" t="s">
        <v>970</v>
      </c>
      <c r="D26" s="295" t="s">
        <v>971</v>
      </c>
      <c r="E26" s="296"/>
      <c r="F26" s="296"/>
      <c r="G26" s="269"/>
      <c r="H26" s="269"/>
      <c r="I26" s="269"/>
      <c r="J26" s="269"/>
      <c r="K26" s="269"/>
      <c r="L26" s="269"/>
      <c r="M26" s="65"/>
      <c r="N26" s="296"/>
      <c r="O26" s="269"/>
      <c r="P26" s="269"/>
      <c r="Q26" s="269"/>
      <c r="R26" s="296"/>
      <c r="S26" s="269"/>
      <c r="T26" s="269"/>
      <c r="U26" s="269"/>
      <c r="V26" s="296"/>
      <c r="W26" s="269"/>
      <c r="X26" s="269"/>
      <c r="Y26" s="269"/>
    </row>
    <row r="27">
      <c r="A27" s="297"/>
      <c r="B27" s="280"/>
      <c r="C27" s="265"/>
      <c r="D27" s="266" t="s">
        <v>972</v>
      </c>
      <c r="E27" s="289">
        <v>0.0</v>
      </c>
      <c r="F27" s="289">
        <v>0.0</v>
      </c>
      <c r="G27" s="290">
        <f t="shared" ref="G27:G31" si="16">IFERROR(HLOOKUP($L$2,'RKO Rekap'!$D$7:$U$94,38,false),0)</f>
        <v>0</v>
      </c>
      <c r="H27" s="290">
        <f t="shared" ref="H27:H31" si="17">IFERROR(HLOOKUP($L$2,'RKAP Rekap'!$D$7:$U$94,38,false),0)</f>
        <v>0</v>
      </c>
      <c r="I27" s="290">
        <f t="shared" ref="I27:I32" si="18">IFERROR(HLOOKUP(CONCATENATE("Olah + Jual SBI-",$L$2),'Tahun Lalu Rekap'!$A$4:$DG$78,MATCH(A27,'Tahun Lalu Rekap'!$A$4:$A$78,0),0),0)</f>
        <v>0</v>
      </c>
      <c r="J27" s="290">
        <f t="shared" ref="J27:L27" si="15">F27+O27</f>
        <v>0</v>
      </c>
      <c r="K27" s="290">
        <f t="shared" si="15"/>
        <v>0</v>
      </c>
      <c r="L27" s="290">
        <f t="shared" si="15"/>
        <v>0</v>
      </c>
      <c r="M27" s="65"/>
      <c r="N27" s="299">
        <f>IFERROR(__xludf.DUMMYFUNCTION("""COMPUTED_VALUE"""),0.0)</f>
        <v>0</v>
      </c>
      <c r="O27" s="290">
        <f>IFERROR(__xludf.DUMMYFUNCTION("""COMPUTED_VALUE"""),0.0)</f>
        <v>0</v>
      </c>
      <c r="P27" s="300">
        <f>IFERROR(__xludf.DUMMYFUNCTION("""COMPUTED_VALUE"""),0.0)</f>
        <v>0</v>
      </c>
      <c r="Q27" s="300">
        <f>IFERROR(__xludf.DUMMYFUNCTION("""COMPUTED_VALUE"""),0.0)</f>
        <v>0</v>
      </c>
      <c r="R27" s="299">
        <f>IFERROR(__xludf.DUMMYFUNCTION("""COMPUTED_VALUE"""),0.0)</f>
        <v>0</v>
      </c>
      <c r="S27" s="290">
        <f>IFERROR(__xludf.DUMMYFUNCTION("""COMPUTED_VALUE"""),0.0)</f>
        <v>0</v>
      </c>
      <c r="T27" s="300">
        <f>IFERROR(__xludf.DUMMYFUNCTION("""COMPUTED_VALUE"""),0.0)</f>
        <v>0</v>
      </c>
      <c r="U27" s="300">
        <f>IFERROR(__xludf.DUMMYFUNCTION("""COMPUTED_VALUE"""),0.0)</f>
        <v>0</v>
      </c>
      <c r="V27" s="299"/>
      <c r="W27" s="290"/>
      <c r="X27" s="300"/>
      <c r="Y27" s="300"/>
    </row>
    <row r="28">
      <c r="A28" s="297"/>
      <c r="B28" s="280"/>
      <c r="C28" s="265"/>
      <c r="D28" s="266" t="s">
        <v>973</v>
      </c>
      <c r="E28" s="289">
        <v>0.0</v>
      </c>
      <c r="F28" s="289">
        <v>0.0</v>
      </c>
      <c r="G28" s="290">
        <f t="shared" si="16"/>
        <v>0</v>
      </c>
      <c r="H28" s="290">
        <f t="shared" si="17"/>
        <v>0</v>
      </c>
      <c r="I28" s="290">
        <f t="shared" si="18"/>
        <v>0</v>
      </c>
      <c r="J28" s="290">
        <f t="shared" ref="J28:L28" si="19">F28+O28</f>
        <v>0</v>
      </c>
      <c r="K28" s="290">
        <f t="shared" si="19"/>
        <v>0</v>
      </c>
      <c r="L28" s="290">
        <f t="shared" si="19"/>
        <v>0</v>
      </c>
      <c r="M28" s="65"/>
      <c r="N28" s="299">
        <f>IFERROR(__xludf.DUMMYFUNCTION("""COMPUTED_VALUE"""),0.0)</f>
        <v>0</v>
      </c>
      <c r="O28" s="290">
        <f>IFERROR(__xludf.DUMMYFUNCTION("""COMPUTED_VALUE"""),0.0)</f>
        <v>0</v>
      </c>
      <c r="P28" s="300">
        <f>IFERROR(__xludf.DUMMYFUNCTION("""COMPUTED_VALUE"""),0.0)</f>
        <v>0</v>
      </c>
      <c r="Q28" s="300">
        <f>IFERROR(__xludf.DUMMYFUNCTION("""COMPUTED_VALUE"""),0.0)</f>
        <v>0</v>
      </c>
      <c r="R28" s="299">
        <f>IFERROR(__xludf.DUMMYFUNCTION("""COMPUTED_VALUE"""),0.0)</f>
        <v>0</v>
      </c>
      <c r="S28" s="290">
        <f>IFERROR(__xludf.DUMMYFUNCTION("""COMPUTED_VALUE"""),0.0)</f>
        <v>0</v>
      </c>
      <c r="T28" s="300">
        <f>IFERROR(__xludf.DUMMYFUNCTION("""COMPUTED_VALUE"""),0.0)</f>
        <v>0</v>
      </c>
      <c r="U28" s="300">
        <f>IFERROR(__xludf.DUMMYFUNCTION("""COMPUTED_VALUE"""),0.0)</f>
        <v>0</v>
      </c>
      <c r="V28" s="299"/>
      <c r="W28" s="290"/>
      <c r="X28" s="300"/>
      <c r="Y28" s="300"/>
    </row>
    <row r="29">
      <c r="A29" s="297"/>
      <c r="B29" s="280"/>
      <c r="C29" s="265"/>
      <c r="D29" s="266" t="s">
        <v>974</v>
      </c>
      <c r="E29" s="289">
        <v>0.0</v>
      </c>
      <c r="F29" s="289">
        <v>0.0</v>
      </c>
      <c r="G29" s="290">
        <f t="shared" si="16"/>
        <v>0</v>
      </c>
      <c r="H29" s="290">
        <f t="shared" si="17"/>
        <v>0</v>
      </c>
      <c r="I29" s="290">
        <f t="shared" si="18"/>
        <v>0</v>
      </c>
      <c r="J29" s="290">
        <f t="shared" ref="J29:L29" si="20">F29+O29</f>
        <v>0</v>
      </c>
      <c r="K29" s="290">
        <f t="shared" si="20"/>
        <v>0</v>
      </c>
      <c r="L29" s="290">
        <f t="shared" si="20"/>
        <v>0</v>
      </c>
      <c r="M29" s="65"/>
      <c r="N29" s="299">
        <f>IFERROR(__xludf.DUMMYFUNCTION("""COMPUTED_VALUE"""),0.0)</f>
        <v>0</v>
      </c>
      <c r="O29" s="290">
        <f>IFERROR(__xludf.DUMMYFUNCTION("""COMPUTED_VALUE"""),0.0)</f>
        <v>0</v>
      </c>
      <c r="P29" s="300">
        <f>IFERROR(__xludf.DUMMYFUNCTION("""COMPUTED_VALUE"""),0.0)</f>
        <v>0</v>
      </c>
      <c r="Q29" s="300">
        <f>IFERROR(__xludf.DUMMYFUNCTION("""COMPUTED_VALUE"""),0.0)</f>
        <v>0</v>
      </c>
      <c r="R29" s="299">
        <f>IFERROR(__xludf.DUMMYFUNCTION("""COMPUTED_VALUE"""),0.0)</f>
        <v>0</v>
      </c>
      <c r="S29" s="290">
        <f>IFERROR(__xludf.DUMMYFUNCTION("""COMPUTED_VALUE"""),0.0)</f>
        <v>0</v>
      </c>
      <c r="T29" s="300">
        <f>IFERROR(__xludf.DUMMYFUNCTION("""COMPUTED_VALUE"""),0.0)</f>
        <v>0</v>
      </c>
      <c r="U29" s="300">
        <f>IFERROR(__xludf.DUMMYFUNCTION("""COMPUTED_VALUE"""),0.0)</f>
        <v>0</v>
      </c>
      <c r="V29" s="299"/>
      <c r="W29" s="290"/>
      <c r="X29" s="300"/>
      <c r="Y29" s="300"/>
    </row>
    <row r="30">
      <c r="A30" s="297"/>
      <c r="B30" s="280"/>
      <c r="C30" s="265"/>
      <c r="D30" s="266" t="s">
        <v>975</v>
      </c>
      <c r="E30" s="289">
        <v>0.0</v>
      </c>
      <c r="F30" s="289">
        <v>0.0</v>
      </c>
      <c r="G30" s="290">
        <f t="shared" si="16"/>
        <v>0</v>
      </c>
      <c r="H30" s="290">
        <f t="shared" si="17"/>
        <v>0</v>
      </c>
      <c r="I30" s="290">
        <f t="shared" si="18"/>
        <v>0</v>
      </c>
      <c r="J30" s="290">
        <f t="shared" ref="J30:L30" si="21">F30+O30</f>
        <v>0</v>
      </c>
      <c r="K30" s="290">
        <f t="shared" si="21"/>
        <v>0</v>
      </c>
      <c r="L30" s="290">
        <f t="shared" si="21"/>
        <v>0</v>
      </c>
      <c r="M30" s="65"/>
      <c r="N30" s="299">
        <f>IFERROR(__xludf.DUMMYFUNCTION("""COMPUTED_VALUE"""),0.0)</f>
        <v>0</v>
      </c>
      <c r="O30" s="290">
        <f>IFERROR(__xludf.DUMMYFUNCTION("""COMPUTED_VALUE"""),0.0)</f>
        <v>0</v>
      </c>
      <c r="P30" s="300">
        <f>IFERROR(__xludf.DUMMYFUNCTION("""COMPUTED_VALUE"""),0.0)</f>
        <v>0</v>
      </c>
      <c r="Q30" s="300">
        <f>IFERROR(__xludf.DUMMYFUNCTION("""COMPUTED_VALUE"""),0.0)</f>
        <v>0</v>
      </c>
      <c r="R30" s="299">
        <f>IFERROR(__xludf.DUMMYFUNCTION("""COMPUTED_VALUE"""),0.0)</f>
        <v>0</v>
      </c>
      <c r="S30" s="290">
        <f>IFERROR(__xludf.DUMMYFUNCTION("""COMPUTED_VALUE"""),0.0)</f>
        <v>0</v>
      </c>
      <c r="T30" s="300">
        <f>IFERROR(__xludf.DUMMYFUNCTION("""COMPUTED_VALUE"""),0.0)</f>
        <v>0</v>
      </c>
      <c r="U30" s="300">
        <f>IFERROR(__xludf.DUMMYFUNCTION("""COMPUTED_VALUE"""),0.0)</f>
        <v>0</v>
      </c>
      <c r="V30" s="299"/>
      <c r="W30" s="290"/>
      <c r="X30" s="300"/>
      <c r="Y30" s="300"/>
    </row>
    <row r="31">
      <c r="A31" s="297"/>
      <c r="B31" s="280"/>
      <c r="C31" s="265"/>
      <c r="D31" s="266" t="s">
        <v>976</v>
      </c>
      <c r="E31" s="291">
        <f t="shared" ref="E31:F31" si="22">IFERROR(HLOOKUP(CONCATENATE("Olah + Jual BI-",$L$2),'Tahun Lalu Rekap'!$A$4:$DG$78,MATCH(A31,'Tahun Lalu Rekap'!$A$4:$A$78,0),0),0)</f>
        <v>0</v>
      </c>
      <c r="F31" s="291">
        <f t="shared" si="22"/>
        <v>0</v>
      </c>
      <c r="G31" s="290">
        <f t="shared" si="16"/>
        <v>0</v>
      </c>
      <c r="H31" s="290">
        <f t="shared" si="17"/>
        <v>0</v>
      </c>
      <c r="I31" s="290">
        <f t="shared" si="18"/>
        <v>0</v>
      </c>
      <c r="J31" s="290">
        <f t="shared" ref="J31:L31" si="23">F31+O31</f>
        <v>0</v>
      </c>
      <c r="K31" s="290">
        <f t="shared" si="23"/>
        <v>0</v>
      </c>
      <c r="L31" s="290">
        <f t="shared" si="23"/>
        <v>0</v>
      </c>
      <c r="M31" s="65"/>
      <c r="N31" s="299">
        <f>IFERROR(__xludf.DUMMYFUNCTION("""COMPUTED_VALUE"""),0.0)</f>
        <v>0</v>
      </c>
      <c r="O31" s="290">
        <f>IFERROR(__xludf.DUMMYFUNCTION("""COMPUTED_VALUE"""),0.0)</f>
        <v>0</v>
      </c>
      <c r="P31" s="300">
        <f>IFERROR(__xludf.DUMMYFUNCTION("""COMPUTED_VALUE"""),0.0)</f>
        <v>0</v>
      </c>
      <c r="Q31" s="300">
        <f>IFERROR(__xludf.DUMMYFUNCTION("""COMPUTED_VALUE"""),0.0)</f>
        <v>0</v>
      </c>
      <c r="R31" s="299">
        <f>IFERROR(__xludf.DUMMYFUNCTION("""COMPUTED_VALUE"""),0.0)</f>
        <v>0</v>
      </c>
      <c r="S31" s="290">
        <f>IFERROR(__xludf.DUMMYFUNCTION("""COMPUTED_VALUE"""),0.0)</f>
        <v>0</v>
      </c>
      <c r="T31" s="300">
        <f>IFERROR(__xludf.DUMMYFUNCTION("""COMPUTED_VALUE"""),0.0)</f>
        <v>0</v>
      </c>
      <c r="U31" s="300">
        <f>IFERROR(__xludf.DUMMYFUNCTION("""COMPUTED_VALUE"""),0.0)</f>
        <v>0</v>
      </c>
      <c r="V31" s="299"/>
      <c r="W31" s="290"/>
      <c r="X31" s="300"/>
      <c r="Y31" s="300"/>
    </row>
    <row r="32">
      <c r="A32" s="297"/>
      <c r="B32" s="280"/>
      <c r="C32" s="292" t="s">
        <v>964</v>
      </c>
      <c r="D32" s="266" t="s">
        <v>977</v>
      </c>
      <c r="E32" s="289">
        <v>0.0</v>
      </c>
      <c r="F32" s="289">
        <v>0.0</v>
      </c>
      <c r="G32" s="290">
        <f>IFERROR(HLOOKUP($L$2,'RKO Rekap'!$D$7:$U$94,40,false),0)</f>
        <v>0</v>
      </c>
      <c r="H32" s="290">
        <f>IFERROR(HLOOKUP($L$2,'RKAP Rekap'!$D$7:$U$94,40,false),0)</f>
        <v>0</v>
      </c>
      <c r="I32" s="290">
        <f t="shared" si="18"/>
        <v>0</v>
      </c>
      <c r="J32" s="290">
        <f t="shared" ref="J32:L32" si="24">F32+O32</f>
        <v>0</v>
      </c>
      <c r="K32" s="290">
        <f t="shared" si="24"/>
        <v>0</v>
      </c>
      <c r="L32" s="290">
        <f t="shared" si="24"/>
        <v>0</v>
      </c>
      <c r="M32" s="65"/>
      <c r="N32" s="299">
        <f>IFERROR(__xludf.DUMMYFUNCTION("""COMPUTED_VALUE"""),0.0)</f>
        <v>0</v>
      </c>
      <c r="O32" s="290">
        <f>IFERROR(__xludf.DUMMYFUNCTION("""COMPUTED_VALUE"""),0.0)</f>
        <v>0</v>
      </c>
      <c r="P32" s="300">
        <f>IFERROR(__xludf.DUMMYFUNCTION("""COMPUTED_VALUE"""),0.0)</f>
        <v>0</v>
      </c>
      <c r="Q32" s="300">
        <f>IFERROR(__xludf.DUMMYFUNCTION("""COMPUTED_VALUE"""),0.0)</f>
        <v>0</v>
      </c>
      <c r="R32" s="299">
        <f>IFERROR(__xludf.DUMMYFUNCTION("""COMPUTED_VALUE"""),0.0)</f>
        <v>0</v>
      </c>
      <c r="S32" s="290">
        <f>IFERROR(__xludf.DUMMYFUNCTION("""COMPUTED_VALUE"""),0.0)</f>
        <v>0</v>
      </c>
      <c r="T32" s="300">
        <f>IFERROR(__xludf.DUMMYFUNCTION("""COMPUTED_VALUE"""),0.0)</f>
        <v>0</v>
      </c>
      <c r="U32" s="300">
        <f>IFERROR(__xludf.DUMMYFUNCTION("""COMPUTED_VALUE"""),0.0)</f>
        <v>0</v>
      </c>
      <c r="V32" s="299"/>
      <c r="W32" s="290"/>
      <c r="X32" s="300"/>
      <c r="Y32" s="300"/>
    </row>
    <row r="33">
      <c r="A33" s="301"/>
      <c r="B33" s="301"/>
      <c r="C33" s="302"/>
      <c r="D33" s="271" t="s">
        <v>951</v>
      </c>
      <c r="E33" s="303">
        <f t="shared" ref="E33:L33" si="25">sum(E27:E32)</f>
        <v>0</v>
      </c>
      <c r="F33" s="303">
        <f t="shared" si="25"/>
        <v>0</v>
      </c>
      <c r="G33" s="304">
        <f t="shared" si="25"/>
        <v>0</v>
      </c>
      <c r="H33" s="304">
        <f t="shared" si="25"/>
        <v>0</v>
      </c>
      <c r="I33" s="304">
        <f t="shared" si="25"/>
        <v>0</v>
      </c>
      <c r="J33" s="304">
        <f t="shared" si="25"/>
        <v>0</v>
      </c>
      <c r="K33" s="304">
        <f t="shared" si="25"/>
        <v>0</v>
      </c>
      <c r="L33" s="304">
        <f t="shared" si="25"/>
        <v>0</v>
      </c>
      <c r="M33" s="305"/>
      <c r="N33" s="303">
        <f>IFERROR(__xludf.DUMMYFUNCTION("""COMPUTED_VALUE"""),0.0)</f>
        <v>0</v>
      </c>
      <c r="O33" s="304">
        <f>IFERROR(__xludf.DUMMYFUNCTION("""COMPUTED_VALUE"""),0.0)</f>
        <v>0</v>
      </c>
      <c r="P33" s="304">
        <f>IFERROR(__xludf.DUMMYFUNCTION("""COMPUTED_VALUE"""),0.0)</f>
        <v>0</v>
      </c>
      <c r="Q33" s="304">
        <f>IFERROR(__xludf.DUMMYFUNCTION("""COMPUTED_VALUE"""),0.0)</f>
        <v>0</v>
      </c>
      <c r="R33" s="303">
        <f>IFERROR(__xludf.DUMMYFUNCTION("""COMPUTED_VALUE"""),0.0)</f>
        <v>0</v>
      </c>
      <c r="S33" s="304">
        <f>IFERROR(__xludf.DUMMYFUNCTION("""COMPUTED_VALUE"""),0.0)</f>
        <v>0</v>
      </c>
      <c r="T33" s="304">
        <f>IFERROR(__xludf.DUMMYFUNCTION("""COMPUTED_VALUE"""),0.0)</f>
        <v>0</v>
      </c>
      <c r="U33" s="304">
        <f>IFERROR(__xludf.DUMMYFUNCTION("""COMPUTED_VALUE"""),0.0)</f>
        <v>0</v>
      </c>
      <c r="V33" s="303"/>
      <c r="W33" s="304"/>
      <c r="X33" s="304"/>
      <c r="Y33" s="304"/>
    </row>
    <row r="34">
      <c r="A34" s="297"/>
      <c r="B34" s="280"/>
      <c r="C34" s="307"/>
      <c r="D34" s="308" t="s">
        <v>961</v>
      </c>
      <c r="E34" s="289">
        <v>0.0</v>
      </c>
      <c r="F34" s="289">
        <v>0.0</v>
      </c>
      <c r="G34" s="290">
        <f>IFERROR(HLOOKUP($L$2,'RKO Rekap'!$D$7:$U$94,48,false),0)</f>
        <v>0</v>
      </c>
      <c r="H34" s="290">
        <f>IFERROR(HLOOKUP($L$2,'RKAP Rekap'!$D$7:$U$94,48,false),0)</f>
        <v>0</v>
      </c>
      <c r="I34" s="290">
        <f t="shared" ref="I34:I36" si="27">IFERROR(HLOOKUP(CONCATENATE("Olah + Jual SBI-",$L$2),'Tahun Lalu Rekap'!$A$4:$DG$78,MATCH(A34,'Tahun Lalu Rekap'!$A$4:$A$78,0),0),0)</f>
        <v>0</v>
      </c>
      <c r="J34" s="309">
        <f t="shared" ref="J34:L34" si="26">F34</f>
        <v>0</v>
      </c>
      <c r="K34" s="309">
        <f t="shared" si="26"/>
        <v>0</v>
      </c>
      <c r="L34" s="309">
        <f t="shared" si="26"/>
        <v>0</v>
      </c>
      <c r="M34" s="65"/>
      <c r="N34" s="310">
        <f>IFERROR(__xludf.DUMMYFUNCTION("""COMPUTED_VALUE"""),0.0)</f>
        <v>0</v>
      </c>
      <c r="O34" s="311">
        <f>IFERROR(__xludf.DUMMYFUNCTION("""COMPUTED_VALUE"""),0.0)</f>
        <v>0</v>
      </c>
      <c r="P34" s="309">
        <f>IFERROR(__xludf.DUMMYFUNCTION("""COMPUTED_VALUE"""),0.0)</f>
        <v>0</v>
      </c>
      <c r="Q34" s="309">
        <f>IFERROR(__xludf.DUMMYFUNCTION("""COMPUTED_VALUE"""),0.0)</f>
        <v>0</v>
      </c>
      <c r="R34" s="310">
        <f>IFERROR(__xludf.DUMMYFUNCTION("""COMPUTED_VALUE"""),0.0)</f>
        <v>0</v>
      </c>
      <c r="S34" s="311">
        <f>IFERROR(__xludf.DUMMYFUNCTION("""COMPUTED_VALUE"""),0.0)</f>
        <v>0</v>
      </c>
      <c r="T34" s="309">
        <f>IFERROR(__xludf.DUMMYFUNCTION("""COMPUTED_VALUE"""),0.0)</f>
        <v>0</v>
      </c>
      <c r="U34" s="309">
        <f>IFERROR(__xludf.DUMMYFUNCTION("""COMPUTED_VALUE"""),0.0)</f>
        <v>0</v>
      </c>
      <c r="V34" s="310"/>
      <c r="W34" s="311"/>
      <c r="X34" s="309"/>
      <c r="Y34" s="309"/>
    </row>
    <row r="35">
      <c r="A35" s="297"/>
      <c r="B35" s="280"/>
      <c r="C35" s="312" t="s">
        <v>962</v>
      </c>
      <c r="D35" s="313" t="s">
        <v>963</v>
      </c>
      <c r="E35" s="289">
        <v>0.0</v>
      </c>
      <c r="F35" s="289">
        <v>0.0</v>
      </c>
      <c r="G35" s="290">
        <f>IFERROR(HLOOKUP($L$2,'RKO Rekap'!$D$7:$U$94,49,false),0)</f>
        <v>0</v>
      </c>
      <c r="H35" s="290">
        <f>IFERROR(HLOOKUP($L$2,'RKAP Rekap'!$D$7:$U$94,49,false),0)</f>
        <v>0</v>
      </c>
      <c r="I35" s="290">
        <f t="shared" si="27"/>
        <v>0</v>
      </c>
      <c r="J35" s="314">
        <f t="shared" ref="J35:L35" si="28">F35</f>
        <v>0</v>
      </c>
      <c r="K35" s="314">
        <f t="shared" si="28"/>
        <v>0</v>
      </c>
      <c r="L35" s="314">
        <f t="shared" si="28"/>
        <v>0</v>
      </c>
      <c r="M35" s="65"/>
      <c r="N35" s="315">
        <f>IFERROR(__xludf.DUMMYFUNCTION("""COMPUTED_VALUE"""),0.0)</f>
        <v>0</v>
      </c>
      <c r="O35" s="314">
        <f>IFERROR(__xludf.DUMMYFUNCTION("""COMPUTED_VALUE"""),0.0)</f>
        <v>0</v>
      </c>
      <c r="P35" s="314">
        <f>IFERROR(__xludf.DUMMYFUNCTION("""COMPUTED_VALUE"""),0.0)</f>
        <v>0</v>
      </c>
      <c r="Q35" s="314">
        <f>IFERROR(__xludf.DUMMYFUNCTION("""COMPUTED_VALUE"""),0.0)</f>
        <v>0</v>
      </c>
      <c r="R35" s="315">
        <f>IFERROR(__xludf.DUMMYFUNCTION("""COMPUTED_VALUE"""),0.0)</f>
        <v>0</v>
      </c>
      <c r="S35" s="314">
        <f>IFERROR(__xludf.DUMMYFUNCTION("""COMPUTED_VALUE"""),0.0)</f>
        <v>0</v>
      </c>
      <c r="T35" s="314">
        <f>IFERROR(__xludf.DUMMYFUNCTION("""COMPUTED_VALUE"""),0.0)</f>
        <v>0</v>
      </c>
      <c r="U35" s="314">
        <f>IFERROR(__xludf.DUMMYFUNCTION("""COMPUTED_VALUE"""),0.0)</f>
        <v>0</v>
      </c>
      <c r="V35" s="315"/>
      <c r="W35" s="314"/>
      <c r="X35" s="314"/>
      <c r="Y35" s="314"/>
    </row>
    <row r="36">
      <c r="A36" s="297"/>
      <c r="B36" s="280"/>
      <c r="C36" s="292" t="s">
        <v>964</v>
      </c>
      <c r="D36" s="316" t="s">
        <v>965</v>
      </c>
      <c r="E36" s="289">
        <v>0.0</v>
      </c>
      <c r="F36" s="289">
        <v>0.0</v>
      </c>
      <c r="G36" s="290">
        <f>IFERROR(HLOOKUP($L$2,'RKO Rekap'!$D$7:$U$94,50,false),0)</f>
        <v>0</v>
      </c>
      <c r="H36" s="290">
        <f>IFERROR(HLOOKUP($L$2,'RKAP Rekap'!$D$7:$U$94,50,false),0)</f>
        <v>0</v>
      </c>
      <c r="I36" s="290">
        <f t="shared" si="27"/>
        <v>0</v>
      </c>
      <c r="J36" s="314">
        <f t="shared" ref="J36:L36" si="29">F36</f>
        <v>0</v>
      </c>
      <c r="K36" s="314">
        <f t="shared" si="29"/>
        <v>0</v>
      </c>
      <c r="L36" s="314">
        <f t="shared" si="29"/>
        <v>0</v>
      </c>
      <c r="M36" s="65"/>
      <c r="N36" s="317">
        <f>IFERROR(__xludf.DUMMYFUNCTION("""COMPUTED_VALUE"""),0.0)</f>
        <v>0</v>
      </c>
      <c r="O36" s="290">
        <f>IFERROR(__xludf.DUMMYFUNCTION("""COMPUTED_VALUE"""),0.0)</f>
        <v>0</v>
      </c>
      <c r="P36" s="318">
        <f>IFERROR(__xludf.DUMMYFUNCTION("""COMPUTED_VALUE"""),0.0)</f>
        <v>0</v>
      </c>
      <c r="Q36" s="318">
        <f>IFERROR(__xludf.DUMMYFUNCTION("""COMPUTED_VALUE"""),0.0)</f>
        <v>0</v>
      </c>
      <c r="R36" s="317">
        <f>IFERROR(__xludf.DUMMYFUNCTION("""COMPUTED_VALUE"""),0.0)</f>
        <v>0</v>
      </c>
      <c r="S36" s="290">
        <f>IFERROR(__xludf.DUMMYFUNCTION("""COMPUTED_VALUE"""),0.0)</f>
        <v>0</v>
      </c>
      <c r="T36" s="318">
        <f>IFERROR(__xludf.DUMMYFUNCTION("""COMPUTED_VALUE"""),0.0)</f>
        <v>0</v>
      </c>
      <c r="U36" s="318">
        <f>IFERROR(__xludf.DUMMYFUNCTION("""COMPUTED_VALUE"""),0.0)</f>
        <v>0</v>
      </c>
      <c r="V36" s="317"/>
      <c r="W36" s="290"/>
      <c r="X36" s="318"/>
      <c r="Y36" s="318"/>
    </row>
    <row r="37">
      <c r="A37" s="301"/>
      <c r="B37" s="301"/>
      <c r="C37" s="302"/>
      <c r="D37" s="271" t="s">
        <v>978</v>
      </c>
      <c r="E37" s="303">
        <f t="shared" ref="E37:L37" si="30">sum(E34:E36)</f>
        <v>0</v>
      </c>
      <c r="F37" s="303">
        <f t="shared" si="30"/>
        <v>0</v>
      </c>
      <c r="G37" s="304">
        <f t="shared" si="30"/>
        <v>0</v>
      </c>
      <c r="H37" s="304">
        <f t="shared" si="30"/>
        <v>0</v>
      </c>
      <c r="I37" s="304">
        <f t="shared" si="30"/>
        <v>0</v>
      </c>
      <c r="J37" s="304">
        <f t="shared" si="30"/>
        <v>0</v>
      </c>
      <c r="K37" s="304">
        <f t="shared" si="30"/>
        <v>0</v>
      </c>
      <c r="L37" s="304">
        <f t="shared" si="30"/>
        <v>0</v>
      </c>
      <c r="M37" s="305"/>
      <c r="N37" s="303">
        <f>IFERROR(__xludf.DUMMYFUNCTION("""COMPUTED_VALUE"""),0.0)</f>
        <v>0</v>
      </c>
      <c r="O37" s="304">
        <f>IFERROR(__xludf.DUMMYFUNCTION("""COMPUTED_VALUE"""),0.0)</f>
        <v>0</v>
      </c>
      <c r="P37" s="304">
        <f>IFERROR(__xludf.DUMMYFUNCTION("""COMPUTED_VALUE"""),0.0)</f>
        <v>0</v>
      </c>
      <c r="Q37" s="304">
        <f>IFERROR(__xludf.DUMMYFUNCTION("""COMPUTED_VALUE"""),0.0)</f>
        <v>0</v>
      </c>
      <c r="R37" s="303">
        <f>IFERROR(__xludf.DUMMYFUNCTION("""COMPUTED_VALUE"""),0.0)</f>
        <v>0</v>
      </c>
      <c r="S37" s="304">
        <f>IFERROR(__xludf.DUMMYFUNCTION("""COMPUTED_VALUE"""),0.0)</f>
        <v>0</v>
      </c>
      <c r="T37" s="304">
        <f>IFERROR(__xludf.DUMMYFUNCTION("""COMPUTED_VALUE"""),0.0)</f>
        <v>0</v>
      </c>
      <c r="U37" s="304">
        <f>IFERROR(__xludf.DUMMYFUNCTION("""COMPUTED_VALUE"""),0.0)</f>
        <v>0</v>
      </c>
      <c r="V37" s="303"/>
      <c r="W37" s="304"/>
      <c r="X37" s="304"/>
      <c r="Y37" s="304"/>
    </row>
    <row r="38">
      <c r="A38" s="274"/>
      <c r="B38" s="274"/>
      <c r="C38" s="253" t="s">
        <v>979</v>
      </c>
      <c r="D38" s="161"/>
      <c r="E38" s="319" t="s">
        <v>980</v>
      </c>
      <c r="F38" s="258"/>
      <c r="G38" s="258"/>
      <c r="H38" s="259"/>
      <c r="I38" s="320" t="s">
        <v>980</v>
      </c>
      <c r="J38" s="258"/>
      <c r="K38" s="258"/>
      <c r="L38" s="259"/>
      <c r="M38" s="65"/>
      <c r="N38" s="319" t="str">
        <f>IFERROR(__xludf.DUMMYFUNCTION("""COMPUTED_VALUE""")," Jumlah Beban ")</f>
        <v>Jumlah Beban</v>
      </c>
      <c r="O38" s="258"/>
      <c r="P38" s="258"/>
      <c r="Q38" s="259"/>
      <c r="R38" s="319"/>
      <c r="S38" s="258"/>
      <c r="T38" s="258"/>
      <c r="U38" s="259"/>
      <c r="V38" s="319"/>
      <c r="W38" s="258"/>
      <c r="X38" s="258"/>
      <c r="Y38" s="259"/>
    </row>
    <row r="39">
      <c r="A39" s="274"/>
      <c r="B39" s="274"/>
      <c r="C39" s="157"/>
      <c r="D39" s="158"/>
      <c r="E39" s="319" t="s">
        <v>724</v>
      </c>
      <c r="F39" s="258"/>
      <c r="G39" s="258"/>
      <c r="H39" s="259"/>
      <c r="I39" s="320" t="s">
        <v>953</v>
      </c>
      <c r="J39" s="258"/>
      <c r="K39" s="258"/>
      <c r="L39" s="259"/>
      <c r="M39" s="65"/>
      <c r="N39" s="275" t="str">
        <f>IFERROR(__xludf.DUMMYFUNCTION("""COMPUTED_VALUE"""),"sd Bulan Ini")</f>
        <v>sd Bulan Ini</v>
      </c>
      <c r="O39" s="258"/>
      <c r="P39" s="258"/>
      <c r="Q39" s="259"/>
      <c r="R39" s="275"/>
      <c r="S39" s="258"/>
      <c r="T39" s="258"/>
      <c r="U39" s="259"/>
      <c r="V39" s="275"/>
      <c r="W39" s="258"/>
      <c r="X39" s="258"/>
      <c r="Y39" s="259"/>
    </row>
    <row r="40">
      <c r="A40" s="274"/>
      <c r="B40" s="274"/>
      <c r="C40" s="172"/>
      <c r="D40" s="173"/>
      <c r="E40" s="321" t="str">
        <f t="shared" ref="E40:L40" si="31">E10</f>
        <v>Real Tahun Lalu</v>
      </c>
      <c r="F40" s="279" t="str">
        <f t="shared" si="31"/>
        <v>Real Tahun Ini</v>
      </c>
      <c r="G40" s="322" t="str">
        <f t="shared" si="31"/>
        <v>RKO TW</v>
      </c>
      <c r="H40" s="322" t="str">
        <f t="shared" si="31"/>
        <v>RKAP</v>
      </c>
      <c r="I40" s="279" t="str">
        <f t="shared" si="31"/>
        <v>Real Tahun Lalu</v>
      </c>
      <c r="J40" s="279" t="str">
        <f t="shared" si="31"/>
        <v>Real Tahun Ini</v>
      </c>
      <c r="K40" s="279" t="str">
        <f t="shared" si="31"/>
        <v>RKO TW</v>
      </c>
      <c r="L40" s="279" t="str">
        <f t="shared" si="31"/>
        <v>RKAP</v>
      </c>
      <c r="M40" s="65"/>
      <c r="N40" s="321" t="str">
        <f>IFERROR(__xludf.DUMMYFUNCTION("""COMPUTED_VALUE""")," Real Tahun Lalu ")</f>
        <v>Real Tahun Lalu</v>
      </c>
      <c r="O40" s="279" t="str">
        <f>IFERROR(__xludf.DUMMYFUNCTION("""COMPUTED_VALUE""")," Real Tahun Ini ")</f>
        <v>Real Tahun Ini</v>
      </c>
      <c r="P40" s="279" t="str">
        <f>IFERROR(__xludf.DUMMYFUNCTION("""COMPUTED_VALUE""")," RKO TW ")</f>
        <v>RKO TW</v>
      </c>
      <c r="Q40" s="279" t="str">
        <f>IFERROR(__xludf.DUMMYFUNCTION("""COMPUTED_VALUE""")," RKAP ")</f>
        <v>RKAP</v>
      </c>
      <c r="R40" s="321" t="str">
        <f>IFERROR(__xludf.DUMMYFUNCTION("""COMPUTED_VALUE""")," RKO TW ")</f>
        <v>RKO TW</v>
      </c>
      <c r="S40" s="279" t="str">
        <f>IFERROR(__xludf.DUMMYFUNCTION("""COMPUTED_VALUE""")," RKAP ")</f>
        <v>RKAP</v>
      </c>
      <c r="T40" s="279" t="str">
        <f>IFERROR(__xludf.DUMMYFUNCTION("""COMPUTED_VALUE""")," RKO TW ")</f>
        <v>RKO TW</v>
      </c>
      <c r="U40" s="279" t="str">
        <f>IFERROR(__xludf.DUMMYFUNCTION("""COMPUTED_VALUE""")," RKAP ")</f>
        <v>RKAP</v>
      </c>
      <c r="V40" s="321"/>
      <c r="W40" s="279"/>
      <c r="X40" s="279"/>
      <c r="Y40" s="279"/>
    </row>
    <row r="41">
      <c r="A41" s="297"/>
      <c r="B41" s="280"/>
      <c r="C41" s="323" t="s">
        <v>981</v>
      </c>
      <c r="D41" s="324" t="s">
        <v>982</v>
      </c>
      <c r="E41" s="325">
        <f>IFERROR(__xludf.DUMMYFUNCTION("IMPORTRANGE(Link!$B$3,""Form HO!U36:U40"")"),6.6095992E7)</f>
        <v>66095992</v>
      </c>
      <c r="F41" s="326">
        <f>'Balin-A'!$E$14</f>
        <v>105921179</v>
      </c>
      <c r="G41" s="326">
        <f>'Balin-A'!$H$14</f>
        <v>65272351</v>
      </c>
      <c r="H41" s="326">
        <f>'Balin-A'!$I$14</f>
        <v>65272351</v>
      </c>
      <c r="I41" s="325">
        <f>IFERROR(__xludf.DUMMYFUNCTION("IMPORTRANGE(Link!$B$3,""Form HO!Y36:Y40"")"),3.40571671E8)</f>
        <v>340571671</v>
      </c>
      <c r="J41" s="326">
        <f t="shared" ref="J41:L41" si="32">F41+O41</f>
        <v>451311525</v>
      </c>
      <c r="K41" s="326">
        <f t="shared" si="32"/>
        <v>332113312</v>
      </c>
      <c r="L41" s="326">
        <f t="shared" si="32"/>
        <v>332113312</v>
      </c>
      <c r="M41" s="65"/>
      <c r="N41" s="327">
        <f>IFERROR(__xludf.DUMMYFUNCTION("""COMPUTED_VALUE"""),2.74475679E8)</f>
        <v>274475679</v>
      </c>
      <c r="O41" s="328">
        <f>IFERROR(__xludf.DUMMYFUNCTION("""COMPUTED_VALUE"""),3.45390346E8)</f>
        <v>345390346</v>
      </c>
      <c r="P41" s="326">
        <f>IFERROR(__xludf.DUMMYFUNCTION("""COMPUTED_VALUE"""),2.66840961E8)</f>
        <v>266840961</v>
      </c>
      <c r="Q41" s="326">
        <f>IFERROR(__xludf.DUMMYFUNCTION("""COMPUTED_VALUE"""),2.66840961E8)</f>
        <v>266840961</v>
      </c>
      <c r="R41" s="327">
        <f>IFERROR(__xludf.DUMMYFUNCTION("""COMPUTED_VALUE"""),1.96375453E8)</f>
        <v>196375453</v>
      </c>
      <c r="S41" s="328">
        <f>IFERROR(__xludf.DUMMYFUNCTION("""COMPUTED_VALUE"""),1.96375453E8)</f>
        <v>196375453</v>
      </c>
      <c r="T41" s="326">
        <f>IFERROR(__xludf.DUMMYFUNCTION("""COMPUTED_VALUE"""),1.30263102E8)</f>
        <v>130263102</v>
      </c>
      <c r="U41" s="326">
        <f>IFERROR(__xludf.DUMMYFUNCTION("""COMPUTED_VALUE"""),1.30263102E8)</f>
        <v>130263102</v>
      </c>
      <c r="V41" s="327"/>
      <c r="W41" s="328"/>
      <c r="X41" s="326"/>
      <c r="Y41" s="326"/>
    </row>
    <row r="42">
      <c r="A42" s="297"/>
      <c r="B42" s="280"/>
      <c r="C42" s="329" t="s">
        <v>981</v>
      </c>
      <c r="D42" s="266" t="s">
        <v>983</v>
      </c>
      <c r="E42" s="330">
        <f>IFERROR(__xludf.DUMMYFUNCTION("""COMPUTED_VALUE"""),7.7234949E7)</f>
        <v>77234949</v>
      </c>
      <c r="F42" s="331">
        <f>'Balin-A'!$E$77</f>
        <v>116798639</v>
      </c>
      <c r="G42" s="331">
        <f>'Balin-A'!$H$77</f>
        <v>78299136</v>
      </c>
      <c r="H42" s="331">
        <f>'Balin-A'!$I$77</f>
        <v>78299136</v>
      </c>
      <c r="I42" s="330">
        <f>IFERROR(__xludf.DUMMYFUNCTION("""COMPUTED_VALUE"""),3.71150067E8)</f>
        <v>371150067</v>
      </c>
      <c r="J42" s="331">
        <f t="shared" ref="J42:L42" si="33">F42+O42</f>
        <v>450137844</v>
      </c>
      <c r="K42" s="331">
        <f t="shared" si="33"/>
        <v>479888392</v>
      </c>
      <c r="L42" s="331">
        <f t="shared" si="33"/>
        <v>479888392</v>
      </c>
      <c r="M42" s="65"/>
      <c r="N42" s="332">
        <f>IFERROR(__xludf.DUMMYFUNCTION("""COMPUTED_VALUE"""),2.93915118E8)</f>
        <v>293915118</v>
      </c>
      <c r="O42" s="333">
        <f>IFERROR(__xludf.DUMMYFUNCTION("""COMPUTED_VALUE"""),3.33339205E8)</f>
        <v>333339205</v>
      </c>
      <c r="P42" s="333">
        <f>IFERROR(__xludf.DUMMYFUNCTION("""COMPUTED_VALUE"""),4.01589256E8)</f>
        <v>401589256</v>
      </c>
      <c r="Q42" s="333">
        <f>IFERROR(__xludf.DUMMYFUNCTION("""COMPUTED_VALUE"""),4.01589256E8)</f>
        <v>401589256</v>
      </c>
      <c r="R42" s="332">
        <f>IFERROR(__xludf.DUMMYFUNCTION("""COMPUTED_VALUE"""),3.50103932E8)</f>
        <v>350103932</v>
      </c>
      <c r="S42" s="333">
        <f>IFERROR(__xludf.DUMMYFUNCTION("""COMPUTED_VALUE"""),3.50103932E8)</f>
        <v>350103932</v>
      </c>
      <c r="T42" s="333">
        <f>IFERROR(__xludf.DUMMYFUNCTION("""COMPUTED_VALUE"""),2.36935798E8)</f>
        <v>236935798</v>
      </c>
      <c r="U42" s="333">
        <f>IFERROR(__xludf.DUMMYFUNCTION("""COMPUTED_VALUE"""),2.36935798E8)</f>
        <v>236935798</v>
      </c>
      <c r="V42" s="332"/>
      <c r="W42" s="333"/>
      <c r="X42" s="333"/>
      <c r="Y42" s="333"/>
    </row>
    <row r="43">
      <c r="A43" s="297"/>
      <c r="B43" s="280"/>
      <c r="C43" s="329" t="s">
        <v>981</v>
      </c>
      <c r="D43" s="266" t="s">
        <v>984</v>
      </c>
      <c r="E43" s="330">
        <f>IFERROR(__xludf.DUMMYFUNCTION("""COMPUTED_VALUE"""),0.0)</f>
        <v>0</v>
      </c>
      <c r="F43" s="331">
        <f>'Balin-A'!$E$132</f>
        <v>0</v>
      </c>
      <c r="G43" s="331">
        <f>'Balin-A'!$H$132</f>
        <v>0</v>
      </c>
      <c r="H43" s="331">
        <f>'Balin-A'!$I$132</f>
        <v>0</v>
      </c>
      <c r="I43" s="330">
        <f>IFERROR(__xludf.DUMMYFUNCTION("""COMPUTED_VALUE"""),0.0)</f>
        <v>0</v>
      </c>
      <c r="J43" s="331">
        <f t="shared" ref="J43:L43" si="34">F43+O43</f>
        <v>0</v>
      </c>
      <c r="K43" s="331">
        <f t="shared" si="34"/>
        <v>0</v>
      </c>
      <c r="L43" s="331">
        <f t="shared" si="34"/>
        <v>0</v>
      </c>
      <c r="M43" s="65"/>
      <c r="N43" s="332">
        <f>IFERROR(__xludf.DUMMYFUNCTION("""COMPUTED_VALUE"""),0.0)</f>
        <v>0</v>
      </c>
      <c r="O43" s="333">
        <f>IFERROR(__xludf.DUMMYFUNCTION("""COMPUTED_VALUE"""),0.0)</f>
        <v>0</v>
      </c>
      <c r="P43" s="333">
        <f>IFERROR(__xludf.DUMMYFUNCTION("""COMPUTED_VALUE"""),0.0)</f>
        <v>0</v>
      </c>
      <c r="Q43" s="333">
        <f>IFERROR(__xludf.DUMMYFUNCTION("""COMPUTED_VALUE"""),0.0)</f>
        <v>0</v>
      </c>
      <c r="R43" s="332">
        <f>IFERROR(__xludf.DUMMYFUNCTION("""COMPUTED_VALUE"""),0.0)</f>
        <v>0</v>
      </c>
      <c r="S43" s="333">
        <f>IFERROR(__xludf.DUMMYFUNCTION("""COMPUTED_VALUE"""),0.0)</f>
        <v>0</v>
      </c>
      <c r="T43" s="333">
        <f>IFERROR(__xludf.DUMMYFUNCTION("""COMPUTED_VALUE"""),0.0)</f>
        <v>0</v>
      </c>
      <c r="U43" s="333">
        <f>IFERROR(__xludf.DUMMYFUNCTION("""COMPUTED_VALUE"""),0.0)</f>
        <v>0</v>
      </c>
      <c r="V43" s="332"/>
      <c r="W43" s="333"/>
      <c r="X43" s="333"/>
      <c r="Y43" s="333"/>
    </row>
    <row r="44">
      <c r="A44" s="297"/>
      <c r="B44" s="280"/>
      <c r="C44" s="329" t="s">
        <v>981</v>
      </c>
      <c r="D44" s="266" t="s">
        <v>654</v>
      </c>
      <c r="E44" s="330">
        <f>IFERROR(__xludf.DUMMYFUNCTION("""COMPUTED_VALUE"""),5.33136926E8)</f>
        <v>533136926</v>
      </c>
      <c r="F44" s="331">
        <f>'Balin-A'!$E$119</f>
        <v>405518411</v>
      </c>
      <c r="G44" s="331">
        <f>'Balin-A'!$H$119</f>
        <v>620015439</v>
      </c>
      <c r="H44" s="331">
        <f>'Balin-A'!$I$119</f>
        <v>620015439</v>
      </c>
      <c r="I44" s="330">
        <f>IFERROR(__xludf.DUMMYFUNCTION("""COMPUTED_VALUE"""),2.551728661E9)</f>
        <v>2551728661</v>
      </c>
      <c r="J44" s="331">
        <f t="shared" ref="J44:L44" si="35">F44+O44</f>
        <v>2243866763</v>
      </c>
      <c r="K44" s="331">
        <f t="shared" si="35"/>
        <v>3554727171</v>
      </c>
      <c r="L44" s="331">
        <f t="shared" si="35"/>
        <v>3554727171</v>
      </c>
      <c r="M44" s="65"/>
      <c r="N44" s="332">
        <f>IFERROR(__xludf.DUMMYFUNCTION("""COMPUTED_VALUE"""),2.018591735E9)</f>
        <v>2018591735</v>
      </c>
      <c r="O44" s="333">
        <f>IFERROR(__xludf.DUMMYFUNCTION("""COMPUTED_VALUE"""),1.838348352E9)</f>
        <v>1838348352</v>
      </c>
      <c r="P44" s="333">
        <f>IFERROR(__xludf.DUMMYFUNCTION("""COMPUTED_VALUE"""),2.934711732E9)</f>
        <v>2934711732</v>
      </c>
      <c r="Q44" s="333">
        <f>IFERROR(__xludf.DUMMYFUNCTION("""COMPUTED_VALUE"""),2.934711732E9)</f>
        <v>2934711732</v>
      </c>
      <c r="R44" s="332">
        <f>IFERROR(__xludf.DUMMYFUNCTION("""COMPUTED_VALUE"""),2.180160937E9)</f>
        <v>2180160937</v>
      </c>
      <c r="S44" s="333">
        <f>IFERROR(__xludf.DUMMYFUNCTION("""COMPUTED_VALUE"""),2.180160937E9)</f>
        <v>2180160937</v>
      </c>
      <c r="T44" s="333">
        <f>IFERROR(__xludf.DUMMYFUNCTION("""COMPUTED_VALUE"""),1.536960823E9)</f>
        <v>1536960823</v>
      </c>
      <c r="U44" s="333">
        <f>IFERROR(__xludf.DUMMYFUNCTION("""COMPUTED_VALUE"""),1.536960823E9)</f>
        <v>1536960823</v>
      </c>
      <c r="V44" s="332"/>
      <c r="W44" s="333"/>
      <c r="X44" s="333"/>
      <c r="Y44" s="333"/>
    </row>
    <row r="45">
      <c r="A45" s="297"/>
      <c r="B45" s="280"/>
      <c r="C45" s="329" t="s">
        <v>981</v>
      </c>
      <c r="D45" s="266" t="s">
        <v>985</v>
      </c>
      <c r="E45" s="330">
        <f>IFERROR(__xludf.DUMMYFUNCTION("""COMPUTED_VALUE"""),3.4722647E7)</f>
        <v>34722647</v>
      </c>
      <c r="F45" s="331">
        <f>'Balin-A'!$E$148</f>
        <v>46323253</v>
      </c>
      <c r="G45" s="331">
        <f>'Balin-A'!$H$148</f>
        <v>41457711</v>
      </c>
      <c r="H45" s="331">
        <f>'Balin-A'!$I$148</f>
        <v>41457711</v>
      </c>
      <c r="I45" s="330">
        <f>IFERROR(__xludf.DUMMYFUNCTION("""COMPUTED_VALUE"""),1.64782836E8)</f>
        <v>164782836</v>
      </c>
      <c r="J45" s="331">
        <f t="shared" ref="J45:L45" si="36">F45+O45</f>
        <v>227746446</v>
      </c>
      <c r="K45" s="331">
        <f t="shared" si="36"/>
        <v>254930812</v>
      </c>
      <c r="L45" s="331">
        <f t="shared" si="36"/>
        <v>254930812</v>
      </c>
      <c r="M45" s="65"/>
      <c r="N45" s="332">
        <f>IFERROR(__xludf.DUMMYFUNCTION("""COMPUTED_VALUE"""),1.30060189E8)</f>
        <v>130060189</v>
      </c>
      <c r="O45" s="333">
        <f>IFERROR(__xludf.DUMMYFUNCTION("""COMPUTED_VALUE"""),1.81423193E8)</f>
        <v>181423193</v>
      </c>
      <c r="P45" s="333">
        <f>IFERROR(__xludf.DUMMYFUNCTION("""COMPUTED_VALUE"""),2.13473101E8)</f>
        <v>213473101</v>
      </c>
      <c r="Q45" s="333">
        <f>IFERROR(__xludf.DUMMYFUNCTION("""COMPUTED_VALUE"""),2.13473101E8)</f>
        <v>213473101</v>
      </c>
      <c r="R45" s="332">
        <f>IFERROR(__xludf.DUMMYFUNCTION("""COMPUTED_VALUE"""),1.49664028E8)</f>
        <v>149664028</v>
      </c>
      <c r="S45" s="333">
        <f>IFERROR(__xludf.DUMMYFUNCTION("""COMPUTED_VALUE"""),1.49664028E8)</f>
        <v>149664028</v>
      </c>
      <c r="T45" s="333">
        <f>IFERROR(__xludf.DUMMYFUNCTION("""COMPUTED_VALUE"""),1.05937698E8)</f>
        <v>105937698</v>
      </c>
      <c r="U45" s="333">
        <f>IFERROR(__xludf.DUMMYFUNCTION("""COMPUTED_VALUE"""),1.05937698E8)</f>
        <v>105937698</v>
      </c>
      <c r="V45" s="332"/>
      <c r="W45" s="333"/>
      <c r="X45" s="333"/>
      <c r="Y45" s="333"/>
    </row>
    <row r="46">
      <c r="A46" s="301"/>
      <c r="B46" s="301"/>
      <c r="C46" s="294"/>
      <c r="D46" s="271" t="s">
        <v>986</v>
      </c>
      <c r="E46" s="334">
        <f t="shared" ref="E46:L46" si="37">sum(E41:E45)</f>
        <v>711190514</v>
      </c>
      <c r="F46" s="304">
        <f t="shared" si="37"/>
        <v>674561482</v>
      </c>
      <c r="G46" s="304">
        <f t="shared" si="37"/>
        <v>805044637</v>
      </c>
      <c r="H46" s="304">
        <f t="shared" si="37"/>
        <v>805044637</v>
      </c>
      <c r="I46" s="334">
        <f t="shared" si="37"/>
        <v>3428233235</v>
      </c>
      <c r="J46" s="304">
        <f t="shared" si="37"/>
        <v>3373062578</v>
      </c>
      <c r="K46" s="304">
        <f t="shared" si="37"/>
        <v>4621659687</v>
      </c>
      <c r="L46" s="304">
        <f t="shared" si="37"/>
        <v>4621659687</v>
      </c>
      <c r="M46" s="305"/>
      <c r="N46" s="334">
        <f>IFERROR(__xludf.DUMMYFUNCTION("""COMPUTED_VALUE"""),2.717042721E9)</f>
        <v>2717042721</v>
      </c>
      <c r="O46" s="304">
        <f>IFERROR(__xludf.DUMMYFUNCTION("""COMPUTED_VALUE"""),2.698501096E9)</f>
        <v>2698501096</v>
      </c>
      <c r="P46" s="304">
        <f>IFERROR(__xludf.DUMMYFUNCTION("""COMPUTED_VALUE"""),3.81661505E9)</f>
        <v>3816615050</v>
      </c>
      <c r="Q46" s="304">
        <f>IFERROR(__xludf.DUMMYFUNCTION("""COMPUTED_VALUE"""),3.81661505E9)</f>
        <v>3816615050</v>
      </c>
      <c r="R46" s="334">
        <f>IFERROR(__xludf.DUMMYFUNCTION("""COMPUTED_VALUE"""),2.87630435E9)</f>
        <v>2876304350</v>
      </c>
      <c r="S46" s="304">
        <f>IFERROR(__xludf.DUMMYFUNCTION("""COMPUTED_VALUE"""),2.87630435E9)</f>
        <v>2876304350</v>
      </c>
      <c r="T46" s="304">
        <f>IFERROR(__xludf.DUMMYFUNCTION("""COMPUTED_VALUE"""),2.010097421E9)</f>
        <v>2010097421</v>
      </c>
      <c r="U46" s="304">
        <f>IFERROR(__xludf.DUMMYFUNCTION("""COMPUTED_VALUE"""),2.010097421E9)</f>
        <v>2010097421</v>
      </c>
      <c r="V46" s="334"/>
      <c r="W46" s="304"/>
      <c r="X46" s="304"/>
      <c r="Y46" s="304"/>
    </row>
    <row r="47">
      <c r="A47" s="297"/>
      <c r="B47" s="280"/>
      <c r="C47" s="329" t="s">
        <v>981</v>
      </c>
      <c r="D47" s="335" t="s">
        <v>987</v>
      </c>
      <c r="E47" s="330">
        <f>IFERROR(__xludf.DUMMYFUNCTION("IMPORTRANGE(Link!$B$3,""Form HO!U42"")"),2.33643308E8)</f>
        <v>233643308</v>
      </c>
      <c r="F47" s="331">
        <f>'Balin-A'!$E$188</f>
        <v>385614822</v>
      </c>
      <c r="G47" s="331">
        <f>'Balin-A'!$H$188</f>
        <v>342049000</v>
      </c>
      <c r="H47" s="331">
        <f>'Balin-A'!$I$188</f>
        <v>342048189</v>
      </c>
      <c r="I47" s="330">
        <f>IFERROR(__xludf.DUMMYFUNCTION("IMPORTRANGE(Link!$B$3,""Form HO!Y42"")"),1.256678518E9)</f>
        <v>1256678518</v>
      </c>
      <c r="J47" s="331">
        <f t="shared" ref="J47:L47" si="38">F47+O47</f>
        <v>1735068790</v>
      </c>
      <c r="K47" s="331">
        <f t="shared" si="38"/>
        <v>1768453000</v>
      </c>
      <c r="L47" s="331">
        <f t="shared" si="38"/>
        <v>1768452450</v>
      </c>
      <c r="M47" s="65"/>
      <c r="N47" s="332">
        <f>IFERROR(__xludf.DUMMYFUNCTION("""COMPUTED_VALUE"""),1.02303521E9)</f>
        <v>1023035210</v>
      </c>
      <c r="O47" s="333">
        <f>IFERROR(__xludf.DUMMYFUNCTION("""COMPUTED_VALUE"""),1.349453968E9)</f>
        <v>1349453968</v>
      </c>
      <c r="P47" s="333">
        <f>IFERROR(__xludf.DUMMYFUNCTION("""COMPUTED_VALUE"""),1.426404E9)</f>
        <v>1426404000</v>
      </c>
      <c r="Q47" s="333">
        <f>IFERROR(__xludf.DUMMYFUNCTION("""COMPUTED_VALUE"""),1.426404261E9)</f>
        <v>1426404261</v>
      </c>
      <c r="R47" s="332">
        <f>IFERROR(__xludf.DUMMYFUNCTION("""COMPUTED_VALUE"""),1.080585E9)</f>
        <v>1080585000</v>
      </c>
      <c r="S47" s="333">
        <f>IFERROR(__xludf.DUMMYFUNCTION("""COMPUTED_VALUE"""),1.080584396E9)</f>
        <v>1080584396</v>
      </c>
      <c r="T47" s="333">
        <f>IFERROR(__xludf.DUMMYFUNCTION("""COMPUTED_VALUE"""),7.38212E8)</f>
        <v>738212000</v>
      </c>
      <c r="U47" s="333">
        <f>IFERROR(__xludf.DUMMYFUNCTION("""COMPUTED_VALUE"""),7.38211665E8)</f>
        <v>738211665</v>
      </c>
      <c r="V47" s="332"/>
      <c r="W47" s="333"/>
      <c r="X47" s="333"/>
      <c r="Y47" s="333"/>
    </row>
    <row r="48">
      <c r="A48" s="301"/>
      <c r="B48" s="301"/>
      <c r="C48" s="294"/>
      <c r="D48" s="271" t="s">
        <v>988</v>
      </c>
      <c r="E48" s="334">
        <f t="shared" ref="E48:L48" si="39">E46+E47</f>
        <v>944833822</v>
      </c>
      <c r="F48" s="304">
        <f t="shared" si="39"/>
        <v>1060176304</v>
      </c>
      <c r="G48" s="304">
        <f t="shared" si="39"/>
        <v>1147093637</v>
      </c>
      <c r="H48" s="304">
        <f t="shared" si="39"/>
        <v>1147092826</v>
      </c>
      <c r="I48" s="334">
        <f t="shared" si="39"/>
        <v>4684911753</v>
      </c>
      <c r="J48" s="304">
        <f t="shared" si="39"/>
        <v>5108131368</v>
      </c>
      <c r="K48" s="304">
        <f t="shared" si="39"/>
        <v>6390112687</v>
      </c>
      <c r="L48" s="304">
        <f t="shared" si="39"/>
        <v>6390112137</v>
      </c>
      <c r="M48" s="305"/>
      <c r="N48" s="334">
        <f>IFERROR(__xludf.DUMMYFUNCTION("""COMPUTED_VALUE"""),3.740077931E9)</f>
        <v>3740077931</v>
      </c>
      <c r="O48" s="304">
        <f>IFERROR(__xludf.DUMMYFUNCTION("""COMPUTED_VALUE"""),4.047955064E9)</f>
        <v>4047955064</v>
      </c>
      <c r="P48" s="304">
        <f>IFERROR(__xludf.DUMMYFUNCTION("""COMPUTED_VALUE"""),5.24301905E9)</f>
        <v>5243019050</v>
      </c>
      <c r="Q48" s="304">
        <f>IFERROR(__xludf.DUMMYFUNCTION("""COMPUTED_VALUE"""),5.243019311E9)</f>
        <v>5243019311</v>
      </c>
      <c r="R48" s="334">
        <f>IFERROR(__xludf.DUMMYFUNCTION("""COMPUTED_VALUE"""),3.95688935E9)</f>
        <v>3956889350</v>
      </c>
      <c r="S48" s="304">
        <f>IFERROR(__xludf.DUMMYFUNCTION("""COMPUTED_VALUE"""),3.956888746E9)</f>
        <v>3956888746</v>
      </c>
      <c r="T48" s="304">
        <f>IFERROR(__xludf.DUMMYFUNCTION("""COMPUTED_VALUE"""),2.748309421E9)</f>
        <v>2748309421</v>
      </c>
      <c r="U48" s="304">
        <f>IFERROR(__xludf.DUMMYFUNCTION("""COMPUTED_VALUE"""),2.748309086E9)</f>
        <v>2748309086</v>
      </c>
      <c r="V48" s="334"/>
      <c r="W48" s="304"/>
      <c r="X48" s="304"/>
      <c r="Y48" s="304"/>
    </row>
    <row r="49">
      <c r="A49" s="297"/>
      <c r="B49" s="336"/>
      <c r="C49" s="329" t="s">
        <v>981</v>
      </c>
      <c r="D49" s="266" t="s">
        <v>989</v>
      </c>
      <c r="E49" s="325">
        <f>IFERROR(__xludf.DUMMYFUNCTION("IMPORTRANGE(Link!$B$3,""Form HO!U44:U45"")"),0.0)</f>
        <v>0</v>
      </c>
      <c r="F49" s="288">
        <v>0.0</v>
      </c>
      <c r="G49" s="288">
        <v>0.0</v>
      </c>
      <c r="H49" s="288">
        <v>0.0</v>
      </c>
      <c r="I49" s="325">
        <f>IFERROR(__xludf.DUMMYFUNCTION("IMPORTRANGE(Link!$B$3,""Form HO!Y44:Y45"")"),0.0)</f>
        <v>0</v>
      </c>
      <c r="J49" s="331">
        <f t="shared" ref="J49:L49" si="40">F49+O49</f>
        <v>0</v>
      </c>
      <c r="K49" s="331">
        <f t="shared" si="40"/>
        <v>0</v>
      </c>
      <c r="L49" s="331">
        <f t="shared" si="40"/>
        <v>0</v>
      </c>
      <c r="M49" s="65"/>
      <c r="N49" s="332">
        <f>IFERROR(__xludf.DUMMYFUNCTION("""COMPUTED_VALUE"""),0.0)</f>
        <v>0</v>
      </c>
      <c r="O49" s="333">
        <f>IFERROR(__xludf.DUMMYFUNCTION("""COMPUTED_VALUE"""),0.0)</f>
        <v>0</v>
      </c>
      <c r="P49" s="333">
        <f>IFERROR(__xludf.DUMMYFUNCTION("""COMPUTED_VALUE"""),0.0)</f>
        <v>0</v>
      </c>
      <c r="Q49" s="333">
        <f>IFERROR(__xludf.DUMMYFUNCTION("""COMPUTED_VALUE"""),0.0)</f>
        <v>0</v>
      </c>
      <c r="R49" s="332">
        <f>IFERROR(__xludf.DUMMYFUNCTION("""COMPUTED_VALUE"""),0.0)</f>
        <v>0</v>
      </c>
      <c r="S49" s="333">
        <f>IFERROR(__xludf.DUMMYFUNCTION("""COMPUTED_VALUE"""),0.0)</f>
        <v>0</v>
      </c>
      <c r="T49" s="333">
        <f>IFERROR(__xludf.DUMMYFUNCTION("""COMPUTED_VALUE"""),0.0)</f>
        <v>0</v>
      </c>
      <c r="U49" s="333">
        <f>IFERROR(__xludf.DUMMYFUNCTION("""COMPUTED_VALUE"""),0.0)</f>
        <v>0</v>
      </c>
      <c r="V49" s="332"/>
      <c r="W49" s="333"/>
      <c r="X49" s="333"/>
      <c r="Y49" s="333"/>
    </row>
    <row r="50">
      <c r="A50" s="297"/>
      <c r="B50" s="336"/>
      <c r="C50" s="329" t="s">
        <v>981</v>
      </c>
      <c r="D50" s="266" t="s">
        <v>990</v>
      </c>
      <c r="E50" s="330">
        <f>IFERROR(__xludf.DUMMYFUNCTION("""COMPUTED_VALUE"""),0.0)</f>
        <v>0</v>
      </c>
      <c r="F50" s="288">
        <v>0.0</v>
      </c>
      <c r="G50" s="288">
        <v>0.0</v>
      </c>
      <c r="H50" s="288">
        <v>0.0</v>
      </c>
      <c r="I50" s="330">
        <f>IFERROR(__xludf.DUMMYFUNCTION("""COMPUTED_VALUE"""),0.0)</f>
        <v>0</v>
      </c>
      <c r="J50" s="331">
        <f t="shared" ref="J50:L50" si="41">F50+O50</f>
        <v>0</v>
      </c>
      <c r="K50" s="331">
        <f t="shared" si="41"/>
        <v>0</v>
      </c>
      <c r="L50" s="331">
        <f t="shared" si="41"/>
        <v>0</v>
      </c>
      <c r="M50" s="65"/>
      <c r="N50" s="332">
        <f>IFERROR(__xludf.DUMMYFUNCTION("""COMPUTED_VALUE"""),0.0)</f>
        <v>0</v>
      </c>
      <c r="O50" s="333">
        <f>IFERROR(__xludf.DUMMYFUNCTION("""COMPUTED_VALUE"""),0.0)</f>
        <v>0</v>
      </c>
      <c r="P50" s="333">
        <f>IFERROR(__xludf.DUMMYFUNCTION("""COMPUTED_VALUE"""),0.0)</f>
        <v>0</v>
      </c>
      <c r="Q50" s="333">
        <f>IFERROR(__xludf.DUMMYFUNCTION("""COMPUTED_VALUE"""),0.0)</f>
        <v>0</v>
      </c>
      <c r="R50" s="332">
        <f>IFERROR(__xludf.DUMMYFUNCTION("""COMPUTED_VALUE"""),0.0)</f>
        <v>0</v>
      </c>
      <c r="S50" s="333">
        <f>IFERROR(__xludf.DUMMYFUNCTION("""COMPUTED_VALUE"""),0.0)</f>
        <v>0</v>
      </c>
      <c r="T50" s="333">
        <f>IFERROR(__xludf.DUMMYFUNCTION("""COMPUTED_VALUE"""),0.0)</f>
        <v>0</v>
      </c>
      <c r="U50" s="333">
        <f>IFERROR(__xludf.DUMMYFUNCTION("""COMPUTED_VALUE"""),0.0)</f>
        <v>0</v>
      </c>
      <c r="V50" s="332"/>
      <c r="W50" s="333"/>
      <c r="X50" s="333"/>
      <c r="Y50" s="333"/>
    </row>
    <row r="51">
      <c r="A51" s="301"/>
      <c r="B51" s="301"/>
      <c r="C51" s="294"/>
      <c r="D51" s="271" t="s">
        <v>991</v>
      </c>
      <c r="E51" s="334">
        <f t="shared" ref="E51:L51" si="42">sum(E49:E50)</f>
        <v>0</v>
      </c>
      <c r="F51" s="304">
        <f t="shared" si="42"/>
        <v>0</v>
      </c>
      <c r="G51" s="304">
        <f t="shared" si="42"/>
        <v>0</v>
      </c>
      <c r="H51" s="304">
        <f t="shared" si="42"/>
        <v>0</v>
      </c>
      <c r="I51" s="334">
        <f t="shared" si="42"/>
        <v>0</v>
      </c>
      <c r="J51" s="304">
        <f t="shared" si="42"/>
        <v>0</v>
      </c>
      <c r="K51" s="304">
        <f t="shared" si="42"/>
        <v>0</v>
      </c>
      <c r="L51" s="304">
        <f t="shared" si="42"/>
        <v>0</v>
      </c>
      <c r="M51" s="305"/>
      <c r="N51" s="334">
        <f>IFERROR(__xludf.DUMMYFUNCTION("""COMPUTED_VALUE"""),0.0)</f>
        <v>0</v>
      </c>
      <c r="O51" s="304">
        <f>IFERROR(__xludf.DUMMYFUNCTION("""COMPUTED_VALUE"""),0.0)</f>
        <v>0</v>
      </c>
      <c r="P51" s="304">
        <f>IFERROR(__xludf.DUMMYFUNCTION("""COMPUTED_VALUE"""),0.0)</f>
        <v>0</v>
      </c>
      <c r="Q51" s="304">
        <f>IFERROR(__xludf.DUMMYFUNCTION("""COMPUTED_VALUE"""),0.0)</f>
        <v>0</v>
      </c>
      <c r="R51" s="334">
        <f>IFERROR(__xludf.DUMMYFUNCTION("""COMPUTED_VALUE"""),0.0)</f>
        <v>0</v>
      </c>
      <c r="S51" s="304">
        <f>IFERROR(__xludf.DUMMYFUNCTION("""COMPUTED_VALUE"""),0.0)</f>
        <v>0</v>
      </c>
      <c r="T51" s="304">
        <f>IFERROR(__xludf.DUMMYFUNCTION("""COMPUTED_VALUE"""),0.0)</f>
        <v>0</v>
      </c>
      <c r="U51" s="304">
        <f>IFERROR(__xludf.DUMMYFUNCTION("""COMPUTED_VALUE"""),0.0)</f>
        <v>0</v>
      </c>
      <c r="V51" s="334"/>
      <c r="W51" s="304"/>
      <c r="X51" s="304"/>
      <c r="Y51" s="304"/>
    </row>
    <row r="52">
      <c r="A52" s="297"/>
      <c r="B52" s="280"/>
      <c r="C52" s="329" t="s">
        <v>981</v>
      </c>
      <c r="D52" s="261" t="s">
        <v>992</v>
      </c>
      <c r="E52" s="325">
        <f>IFERROR(__xludf.DUMMYFUNCTION("IMPORTRANGE(Link!$B$3,""Form HO!U47:U48"")"),2.97534494E8)</f>
        <v>297534494</v>
      </c>
      <c r="F52" s="331">
        <f>'Balin-A'!$E$165</f>
        <v>289968402</v>
      </c>
      <c r="G52" s="331">
        <f>'Balin-A'!$H$165</f>
        <v>297534503</v>
      </c>
      <c r="H52" s="331">
        <f>'Balin-A'!$I$165</f>
        <v>297534000</v>
      </c>
      <c r="I52" s="325">
        <f>IFERROR(__xludf.DUMMYFUNCTION("IMPORTRANGE(Link!$B$3,""Form HO!Y47:Y48"")"),1.487672454E9)</f>
        <v>1487672454</v>
      </c>
      <c r="J52" s="331">
        <f t="shared" ref="J52:L52" si="43">F52+O52</f>
        <v>1449842000</v>
      </c>
      <c r="K52" s="331">
        <f t="shared" si="43"/>
        <v>1487672515</v>
      </c>
      <c r="L52" s="331">
        <f t="shared" si="43"/>
        <v>1487670000</v>
      </c>
      <c r="M52" s="65"/>
      <c r="N52" s="332">
        <f>IFERROR(__xludf.DUMMYFUNCTION("""COMPUTED_VALUE"""),1.19013796E9)</f>
        <v>1190137960</v>
      </c>
      <c r="O52" s="333">
        <f>IFERROR(__xludf.DUMMYFUNCTION("""COMPUTED_VALUE"""),1.159873598E9)</f>
        <v>1159873598</v>
      </c>
      <c r="P52" s="333">
        <f>IFERROR(__xludf.DUMMYFUNCTION("""COMPUTED_VALUE"""),1.190138012E9)</f>
        <v>1190138012</v>
      </c>
      <c r="Q52" s="333">
        <f>IFERROR(__xludf.DUMMYFUNCTION("""COMPUTED_VALUE"""),1.190136E9)</f>
        <v>1190136000</v>
      </c>
      <c r="R52" s="332">
        <f>IFERROR(__xludf.DUMMYFUNCTION("""COMPUTED_VALUE"""),8.92603509E8)</f>
        <v>892603509</v>
      </c>
      <c r="S52" s="333">
        <f>IFERROR(__xludf.DUMMYFUNCTION("""COMPUTED_VALUE"""),8.92602E8)</f>
        <v>892602000</v>
      </c>
      <c r="T52" s="333">
        <f>IFERROR(__xludf.DUMMYFUNCTION("""COMPUTED_VALUE"""),5.95069006E8)</f>
        <v>595069006</v>
      </c>
      <c r="U52" s="333">
        <f>IFERROR(__xludf.DUMMYFUNCTION("""COMPUTED_VALUE"""),5.95068E8)</f>
        <v>595068000</v>
      </c>
      <c r="V52" s="332"/>
      <c r="W52" s="333"/>
      <c r="X52" s="333"/>
      <c r="Y52" s="333"/>
    </row>
    <row r="53">
      <c r="A53" s="297"/>
      <c r="B53" s="280"/>
      <c r="C53" s="329" t="s">
        <v>981</v>
      </c>
      <c r="D53" s="266" t="s">
        <v>993</v>
      </c>
      <c r="E53" s="330">
        <f>IFERROR(__xludf.DUMMYFUNCTION("""COMPUTED_VALUE"""),0.0)</f>
        <v>0</v>
      </c>
      <c r="F53" s="288">
        <v>0.0</v>
      </c>
      <c r="G53" s="288">
        <v>0.0</v>
      </c>
      <c r="H53" s="288">
        <v>0.0</v>
      </c>
      <c r="I53" s="330">
        <f>IFERROR(__xludf.DUMMYFUNCTION("""COMPUTED_VALUE"""),0.0)</f>
        <v>0</v>
      </c>
      <c r="J53" s="331">
        <f t="shared" ref="J53:L53" si="44">F53+O53</f>
        <v>0</v>
      </c>
      <c r="K53" s="331">
        <f t="shared" si="44"/>
        <v>0</v>
      </c>
      <c r="L53" s="331">
        <f t="shared" si="44"/>
        <v>0</v>
      </c>
      <c r="M53" s="65"/>
      <c r="N53" s="332">
        <f>IFERROR(__xludf.DUMMYFUNCTION("""COMPUTED_VALUE"""),0.0)</f>
        <v>0</v>
      </c>
      <c r="O53" s="333">
        <f>IFERROR(__xludf.DUMMYFUNCTION("""COMPUTED_VALUE"""),0.0)</f>
        <v>0</v>
      </c>
      <c r="P53" s="333">
        <f>IFERROR(__xludf.DUMMYFUNCTION("""COMPUTED_VALUE"""),0.0)</f>
        <v>0</v>
      </c>
      <c r="Q53" s="333">
        <f>IFERROR(__xludf.DUMMYFUNCTION("""COMPUTED_VALUE"""),0.0)</f>
        <v>0</v>
      </c>
      <c r="R53" s="332">
        <f>IFERROR(__xludf.DUMMYFUNCTION("""COMPUTED_VALUE"""),0.0)</f>
        <v>0</v>
      </c>
      <c r="S53" s="333">
        <f>IFERROR(__xludf.DUMMYFUNCTION("""COMPUTED_VALUE"""),0.0)</f>
        <v>0</v>
      </c>
      <c r="T53" s="333">
        <f>IFERROR(__xludf.DUMMYFUNCTION("""COMPUTED_VALUE"""),0.0)</f>
        <v>0</v>
      </c>
      <c r="U53" s="333">
        <f>IFERROR(__xludf.DUMMYFUNCTION("""COMPUTED_VALUE"""),0.0)</f>
        <v>0</v>
      </c>
      <c r="V53" s="332"/>
      <c r="W53" s="333"/>
      <c r="X53" s="333"/>
      <c r="Y53" s="333"/>
    </row>
    <row r="54">
      <c r="A54" s="337"/>
      <c r="B54" s="337"/>
      <c r="C54" s="338"/>
      <c r="D54" s="271" t="s">
        <v>994</v>
      </c>
      <c r="E54" s="334">
        <f t="shared" ref="E54:L54" si="45">sum(E52:E53)</f>
        <v>297534494</v>
      </c>
      <c r="F54" s="304">
        <f t="shared" si="45"/>
        <v>289968402</v>
      </c>
      <c r="G54" s="304">
        <f t="shared" si="45"/>
        <v>297534503</v>
      </c>
      <c r="H54" s="304">
        <f t="shared" si="45"/>
        <v>297534000</v>
      </c>
      <c r="I54" s="334">
        <f t="shared" si="45"/>
        <v>1487672454</v>
      </c>
      <c r="J54" s="304">
        <f t="shared" si="45"/>
        <v>1449842000</v>
      </c>
      <c r="K54" s="304">
        <f t="shared" si="45"/>
        <v>1487672515</v>
      </c>
      <c r="L54" s="304">
        <f t="shared" si="45"/>
        <v>1487670000</v>
      </c>
      <c r="M54" s="305"/>
      <c r="N54" s="334">
        <f>IFERROR(__xludf.DUMMYFUNCTION("""COMPUTED_VALUE"""),1.19013796E9)</f>
        <v>1190137960</v>
      </c>
      <c r="O54" s="304">
        <f>IFERROR(__xludf.DUMMYFUNCTION("""COMPUTED_VALUE"""),1.159873598E9)</f>
        <v>1159873598</v>
      </c>
      <c r="P54" s="304">
        <f>IFERROR(__xludf.DUMMYFUNCTION("""COMPUTED_VALUE"""),1.190138012E9)</f>
        <v>1190138012</v>
      </c>
      <c r="Q54" s="304">
        <f>IFERROR(__xludf.DUMMYFUNCTION("""COMPUTED_VALUE"""),1.190136E9)</f>
        <v>1190136000</v>
      </c>
      <c r="R54" s="334">
        <f>IFERROR(__xludf.DUMMYFUNCTION("""COMPUTED_VALUE"""),8.92603509E8)</f>
        <v>892603509</v>
      </c>
      <c r="S54" s="304">
        <f>IFERROR(__xludf.DUMMYFUNCTION("""COMPUTED_VALUE"""),8.92602E8)</f>
        <v>892602000</v>
      </c>
      <c r="T54" s="304">
        <f>IFERROR(__xludf.DUMMYFUNCTION("""COMPUTED_VALUE"""),5.95069006E8)</f>
        <v>595069006</v>
      </c>
      <c r="U54" s="304">
        <f>IFERROR(__xludf.DUMMYFUNCTION("""COMPUTED_VALUE"""),5.95068E8)</f>
        <v>595068000</v>
      </c>
      <c r="V54" s="334"/>
      <c r="W54" s="304"/>
      <c r="X54" s="304"/>
      <c r="Y54" s="304"/>
    </row>
    <row r="55">
      <c r="A55" s="337"/>
      <c r="B55" s="337"/>
      <c r="C55" s="338"/>
      <c r="D55" s="271" t="s">
        <v>995</v>
      </c>
      <c r="E55" s="334">
        <f t="shared" ref="E55:L55" si="46">E48+E51+E54</f>
        <v>1242368316</v>
      </c>
      <c r="F55" s="304">
        <f t="shared" si="46"/>
        <v>1350144706</v>
      </c>
      <c r="G55" s="304">
        <f t="shared" si="46"/>
        <v>1444628140</v>
      </c>
      <c r="H55" s="304">
        <f t="shared" si="46"/>
        <v>1444626826</v>
      </c>
      <c r="I55" s="334">
        <f t="shared" si="46"/>
        <v>6172584207</v>
      </c>
      <c r="J55" s="304">
        <f t="shared" si="46"/>
        <v>6557973368</v>
      </c>
      <c r="K55" s="304">
        <f t="shared" si="46"/>
        <v>7877785202</v>
      </c>
      <c r="L55" s="304">
        <f t="shared" si="46"/>
        <v>7877782137</v>
      </c>
      <c r="M55" s="305"/>
      <c r="N55" s="334">
        <f>IFERROR(__xludf.DUMMYFUNCTION("""COMPUTED_VALUE"""),4.930215891E9)</f>
        <v>4930215891</v>
      </c>
      <c r="O55" s="304">
        <f>IFERROR(__xludf.DUMMYFUNCTION("""COMPUTED_VALUE"""),5.207828662E9)</f>
        <v>5207828662</v>
      </c>
      <c r="P55" s="304">
        <f>IFERROR(__xludf.DUMMYFUNCTION("""COMPUTED_VALUE"""),6.433157062E9)</f>
        <v>6433157062</v>
      </c>
      <c r="Q55" s="304">
        <f>IFERROR(__xludf.DUMMYFUNCTION("""COMPUTED_VALUE"""),6.433155311E9)</f>
        <v>6433155311</v>
      </c>
      <c r="R55" s="334">
        <f>IFERROR(__xludf.DUMMYFUNCTION("""COMPUTED_VALUE"""),4.849492859E9)</f>
        <v>4849492859</v>
      </c>
      <c r="S55" s="304">
        <f>IFERROR(__xludf.DUMMYFUNCTION("""COMPUTED_VALUE"""),4.849490746E9)</f>
        <v>4849490746</v>
      </c>
      <c r="T55" s="304">
        <f>IFERROR(__xludf.DUMMYFUNCTION("""COMPUTED_VALUE"""),3.343378427E9)</f>
        <v>3343378427</v>
      </c>
      <c r="U55" s="304">
        <f>IFERROR(__xludf.DUMMYFUNCTION("""COMPUTED_VALUE"""),3.343377086E9)</f>
        <v>3343377086</v>
      </c>
      <c r="V55" s="334"/>
      <c r="W55" s="304"/>
      <c r="X55" s="304"/>
      <c r="Y55" s="304"/>
    </row>
    <row r="56">
      <c r="A56" s="297"/>
      <c r="B56" s="280"/>
      <c r="C56" s="339" t="s">
        <v>962</v>
      </c>
      <c r="D56" s="340" t="s">
        <v>996</v>
      </c>
      <c r="E56" s="325">
        <f>IFERROR(__xludf.DUMMYFUNCTION("IMPORTRANGE(Link!$B$3,""Form HO!U51:U54"")"),0.0)</f>
        <v>0</v>
      </c>
      <c r="F56" s="333">
        <v>0.0</v>
      </c>
      <c r="G56" s="333">
        <v>0.0</v>
      </c>
      <c r="H56" s="333">
        <v>0.0</v>
      </c>
      <c r="I56" s="325">
        <f>IFERROR(__xludf.DUMMYFUNCTION("IMPORTRANGE(Link!$B$3,""Form HO!Y51:Y54"")"),0.0)</f>
        <v>0</v>
      </c>
      <c r="J56" s="331">
        <f t="shared" ref="J56:L56" si="47">F56+O56</f>
        <v>0</v>
      </c>
      <c r="K56" s="331">
        <f t="shared" si="47"/>
        <v>0</v>
      </c>
      <c r="L56" s="331">
        <f t="shared" si="47"/>
        <v>0</v>
      </c>
      <c r="M56" s="65"/>
      <c r="N56" s="332">
        <f>IFERROR(__xludf.DUMMYFUNCTION("""COMPUTED_VALUE"""),0.0)</f>
        <v>0</v>
      </c>
      <c r="O56" s="333">
        <f>IFERROR(__xludf.DUMMYFUNCTION("""COMPUTED_VALUE"""),0.0)</f>
        <v>0</v>
      </c>
      <c r="P56" s="333">
        <f>IFERROR(__xludf.DUMMYFUNCTION("""COMPUTED_VALUE"""),0.0)</f>
        <v>0</v>
      </c>
      <c r="Q56" s="333">
        <f>IFERROR(__xludf.DUMMYFUNCTION("""COMPUTED_VALUE"""),0.0)</f>
        <v>0</v>
      </c>
      <c r="R56" s="332">
        <f>IFERROR(__xludf.DUMMYFUNCTION("""COMPUTED_VALUE"""),0.0)</f>
        <v>0</v>
      </c>
      <c r="S56" s="333">
        <f>IFERROR(__xludf.DUMMYFUNCTION("""COMPUTED_VALUE"""),0.0)</f>
        <v>0</v>
      </c>
      <c r="T56" s="333">
        <f>IFERROR(__xludf.DUMMYFUNCTION("""COMPUTED_VALUE"""),0.0)</f>
        <v>0</v>
      </c>
      <c r="U56" s="333">
        <f>IFERROR(__xludf.DUMMYFUNCTION("""COMPUTED_VALUE"""),0.0)</f>
        <v>0</v>
      </c>
      <c r="V56" s="332"/>
      <c r="W56" s="333"/>
      <c r="X56" s="333"/>
      <c r="Y56" s="333"/>
    </row>
    <row r="57">
      <c r="A57" s="297"/>
      <c r="B57" s="280"/>
      <c r="C57" s="339" t="s">
        <v>964</v>
      </c>
      <c r="D57" s="340" t="s">
        <v>997</v>
      </c>
      <c r="E57" s="330">
        <f>IFERROR(__xludf.DUMMYFUNCTION("""COMPUTED_VALUE"""),0.0)</f>
        <v>0</v>
      </c>
      <c r="F57" s="333">
        <v>0.0</v>
      </c>
      <c r="G57" s="333">
        <v>0.0</v>
      </c>
      <c r="H57" s="333">
        <v>0.0</v>
      </c>
      <c r="I57" s="330">
        <f>IFERROR(__xludf.DUMMYFUNCTION("""COMPUTED_VALUE"""),0.0)</f>
        <v>0</v>
      </c>
      <c r="J57" s="331">
        <f t="shared" ref="J57:L57" si="48">F57+O57</f>
        <v>0</v>
      </c>
      <c r="K57" s="331">
        <f t="shared" si="48"/>
        <v>0</v>
      </c>
      <c r="L57" s="331">
        <f t="shared" si="48"/>
        <v>0</v>
      </c>
      <c r="M57" s="65"/>
      <c r="N57" s="332">
        <f>IFERROR(__xludf.DUMMYFUNCTION("""COMPUTED_VALUE"""),0.0)</f>
        <v>0</v>
      </c>
      <c r="O57" s="333">
        <f>IFERROR(__xludf.DUMMYFUNCTION("""COMPUTED_VALUE"""),0.0)</f>
        <v>0</v>
      </c>
      <c r="P57" s="333">
        <f>IFERROR(__xludf.DUMMYFUNCTION("""COMPUTED_VALUE"""),0.0)</f>
        <v>0</v>
      </c>
      <c r="Q57" s="333">
        <f>IFERROR(__xludf.DUMMYFUNCTION("""COMPUTED_VALUE"""),0.0)</f>
        <v>0</v>
      </c>
      <c r="R57" s="332">
        <f>IFERROR(__xludf.DUMMYFUNCTION("""COMPUTED_VALUE"""),0.0)</f>
        <v>0</v>
      </c>
      <c r="S57" s="333">
        <f>IFERROR(__xludf.DUMMYFUNCTION("""COMPUTED_VALUE"""),0.0)</f>
        <v>0</v>
      </c>
      <c r="T57" s="333">
        <f>IFERROR(__xludf.DUMMYFUNCTION("""COMPUTED_VALUE"""),0.0)</f>
        <v>0</v>
      </c>
      <c r="U57" s="333">
        <f>IFERROR(__xludf.DUMMYFUNCTION("""COMPUTED_VALUE"""),0.0)</f>
        <v>0</v>
      </c>
      <c r="V57" s="332"/>
      <c r="W57" s="333"/>
      <c r="X57" s="333"/>
      <c r="Y57" s="333"/>
    </row>
    <row r="58">
      <c r="A58" s="297"/>
      <c r="B58" s="280"/>
      <c r="C58" s="265"/>
      <c r="D58" s="341" t="s">
        <v>998</v>
      </c>
      <c r="E58" s="330">
        <f>IFERROR(__xludf.DUMMYFUNCTION("""COMPUTED_VALUE"""),0.0)</f>
        <v>0</v>
      </c>
      <c r="F58" s="333">
        <v>0.0</v>
      </c>
      <c r="G58" s="333">
        <v>0.0</v>
      </c>
      <c r="H58" s="333">
        <v>0.0</v>
      </c>
      <c r="I58" s="330">
        <f>IFERROR(__xludf.DUMMYFUNCTION("""COMPUTED_VALUE"""),0.0)</f>
        <v>0</v>
      </c>
      <c r="J58" s="331">
        <f t="shared" ref="J58:L58" si="49">F58+O58</f>
        <v>0</v>
      </c>
      <c r="K58" s="331">
        <f t="shared" si="49"/>
        <v>0</v>
      </c>
      <c r="L58" s="331">
        <f t="shared" si="49"/>
        <v>0</v>
      </c>
      <c r="M58" s="65"/>
      <c r="N58" s="332"/>
      <c r="O58" s="333"/>
      <c r="P58" s="333"/>
      <c r="Q58" s="333"/>
      <c r="R58" s="332"/>
      <c r="S58" s="333"/>
      <c r="T58" s="333"/>
      <c r="U58" s="333"/>
      <c r="V58" s="332"/>
      <c r="W58" s="333"/>
      <c r="X58" s="333"/>
      <c r="Y58" s="333"/>
    </row>
    <row r="59">
      <c r="A59" s="297"/>
      <c r="B59" s="280"/>
      <c r="C59" s="265"/>
      <c r="D59" s="340" t="s">
        <v>999</v>
      </c>
      <c r="E59" s="330">
        <f>IFERROR(__xludf.DUMMYFUNCTION("""COMPUTED_VALUE"""),0.0)</f>
        <v>0</v>
      </c>
      <c r="F59" s="333">
        <v>0.0</v>
      </c>
      <c r="G59" s="333">
        <v>0.0</v>
      </c>
      <c r="H59" s="333">
        <v>0.0</v>
      </c>
      <c r="I59" s="330">
        <f>IFERROR(__xludf.DUMMYFUNCTION("""COMPUTED_VALUE"""),0.0)</f>
        <v>0</v>
      </c>
      <c r="J59" s="331">
        <f t="shared" ref="J59:L59" si="50">F59+O59</f>
        <v>0</v>
      </c>
      <c r="K59" s="331">
        <f t="shared" si="50"/>
        <v>0</v>
      </c>
      <c r="L59" s="331">
        <f t="shared" si="50"/>
        <v>0</v>
      </c>
      <c r="M59" s="65"/>
      <c r="N59" s="332"/>
      <c r="O59" s="333"/>
      <c r="P59" s="333"/>
      <c r="Q59" s="333"/>
      <c r="R59" s="332"/>
      <c r="S59" s="333"/>
      <c r="T59" s="333"/>
      <c r="U59" s="333"/>
      <c r="V59" s="332"/>
      <c r="W59" s="333"/>
      <c r="X59" s="333"/>
      <c r="Y59" s="333"/>
    </row>
    <row r="60">
      <c r="A60" s="337"/>
      <c r="B60" s="337"/>
      <c r="C60" s="338"/>
      <c r="D60" s="271" t="s">
        <v>1000</v>
      </c>
      <c r="E60" s="334">
        <f t="shared" ref="E60:L60" si="51">sum(E56:E59)</f>
        <v>0</v>
      </c>
      <c r="F60" s="304">
        <f t="shared" si="51"/>
        <v>0</v>
      </c>
      <c r="G60" s="304">
        <f t="shared" si="51"/>
        <v>0</v>
      </c>
      <c r="H60" s="304">
        <f t="shared" si="51"/>
        <v>0</v>
      </c>
      <c r="I60" s="334">
        <f t="shared" si="51"/>
        <v>0</v>
      </c>
      <c r="J60" s="304">
        <f t="shared" si="51"/>
        <v>0</v>
      </c>
      <c r="K60" s="304">
        <f t="shared" si="51"/>
        <v>0</v>
      </c>
      <c r="L60" s="304">
        <f t="shared" si="51"/>
        <v>0</v>
      </c>
      <c r="M60" s="305"/>
      <c r="N60" s="334"/>
      <c r="O60" s="304"/>
      <c r="P60" s="304"/>
      <c r="Q60" s="304"/>
      <c r="R60" s="334"/>
      <c r="S60" s="304"/>
      <c r="T60" s="304"/>
      <c r="U60" s="304"/>
      <c r="V60" s="334"/>
      <c r="W60" s="304"/>
      <c r="X60" s="304"/>
      <c r="Y60" s="304"/>
    </row>
    <row r="61">
      <c r="A61" s="337"/>
      <c r="B61" s="337"/>
      <c r="C61" s="338"/>
      <c r="D61" s="271" t="s">
        <v>1001</v>
      </c>
      <c r="E61" s="334">
        <f t="shared" ref="E61:L61" si="52">E55+E60</f>
        <v>1242368316</v>
      </c>
      <c r="F61" s="304">
        <f t="shared" si="52"/>
        <v>1350144706</v>
      </c>
      <c r="G61" s="304">
        <f t="shared" si="52"/>
        <v>1444628140</v>
      </c>
      <c r="H61" s="304">
        <f t="shared" si="52"/>
        <v>1444626826</v>
      </c>
      <c r="I61" s="304">
        <f t="shared" si="52"/>
        <v>6172584207</v>
      </c>
      <c r="J61" s="304">
        <f t="shared" si="52"/>
        <v>6557973368</v>
      </c>
      <c r="K61" s="304">
        <f t="shared" si="52"/>
        <v>7877785202</v>
      </c>
      <c r="L61" s="304">
        <f t="shared" si="52"/>
        <v>7877782137</v>
      </c>
      <c r="M61" s="305"/>
      <c r="N61" s="334"/>
      <c r="O61" s="304"/>
      <c r="P61" s="304"/>
      <c r="Q61" s="304"/>
      <c r="R61" s="334"/>
      <c r="S61" s="304"/>
      <c r="T61" s="304"/>
      <c r="U61" s="304"/>
      <c r="V61" s="334"/>
      <c r="W61" s="304"/>
      <c r="X61" s="304"/>
      <c r="Y61" s="304"/>
    </row>
    <row r="62">
      <c r="A62" s="342"/>
      <c r="B62" s="342"/>
      <c r="C62" s="343"/>
      <c r="D62" s="344" t="s">
        <v>1002</v>
      </c>
      <c r="E62" s="345">
        <f t="shared" ref="E62:L62" si="53">iferror(E46/E5,0)</f>
        <v>400512.7634</v>
      </c>
      <c r="F62" s="345">
        <f t="shared" si="53"/>
        <v>379884.824</v>
      </c>
      <c r="G62" s="345">
        <f t="shared" si="53"/>
        <v>453367.4816</v>
      </c>
      <c r="H62" s="345">
        <f t="shared" si="53"/>
        <v>453367.4816</v>
      </c>
      <c r="I62" s="345">
        <f t="shared" si="53"/>
        <v>1930637.627</v>
      </c>
      <c r="J62" s="345">
        <f t="shared" si="53"/>
        <v>1899567.82</v>
      </c>
      <c r="K62" s="345">
        <f t="shared" si="53"/>
        <v>2602725.509</v>
      </c>
      <c r="L62" s="345">
        <f t="shared" si="53"/>
        <v>2602725.509</v>
      </c>
      <c r="M62" s="65"/>
      <c r="N62" s="345"/>
      <c r="O62" s="346"/>
      <c r="P62" s="346"/>
      <c r="Q62" s="346"/>
      <c r="R62" s="345"/>
      <c r="S62" s="346"/>
      <c r="T62" s="346"/>
      <c r="U62" s="346"/>
      <c r="V62" s="345"/>
      <c r="W62" s="346"/>
      <c r="X62" s="346"/>
      <c r="Y62" s="346"/>
    </row>
    <row r="63">
      <c r="A63" s="342"/>
      <c r="B63" s="342"/>
      <c r="C63" s="347"/>
      <c r="D63" s="348" t="s">
        <v>1003</v>
      </c>
      <c r="E63" s="349">
        <f t="shared" ref="E63:L63" si="54">iferror((E61-E54)/E5,0)</f>
        <v>532090.9061</v>
      </c>
      <c r="F63" s="349">
        <f t="shared" si="54"/>
        <v>597046.9696</v>
      </c>
      <c r="G63" s="349">
        <f t="shared" si="54"/>
        <v>645995.1777</v>
      </c>
      <c r="H63" s="349">
        <f t="shared" si="54"/>
        <v>645994.721</v>
      </c>
      <c r="I63" s="349">
        <f t="shared" si="54"/>
        <v>2638346.428</v>
      </c>
      <c r="J63" s="349">
        <f t="shared" si="54"/>
        <v>2876686.021</v>
      </c>
      <c r="K63" s="349">
        <f t="shared" si="54"/>
        <v>3598644.302</v>
      </c>
      <c r="L63" s="349">
        <f t="shared" si="54"/>
        <v>3598643.992</v>
      </c>
      <c r="M63" s="65"/>
      <c r="N63" s="349"/>
      <c r="O63" s="350"/>
      <c r="P63" s="350"/>
      <c r="Q63" s="350"/>
      <c r="R63" s="349"/>
      <c r="S63" s="350"/>
      <c r="T63" s="350"/>
      <c r="U63" s="350"/>
      <c r="V63" s="349"/>
      <c r="W63" s="350"/>
      <c r="X63" s="350"/>
      <c r="Y63" s="350"/>
    </row>
    <row r="64">
      <c r="A64" s="342"/>
      <c r="B64" s="342"/>
      <c r="C64" s="347"/>
      <c r="D64" s="348" t="s">
        <v>1004</v>
      </c>
      <c r="E64" s="349">
        <f t="shared" ref="E64:L64" si="55">iferror(E61/E5,0)</f>
        <v>699649.8936</v>
      </c>
      <c r="F64" s="349">
        <f t="shared" si="55"/>
        <v>760345.0504</v>
      </c>
      <c r="G64" s="349">
        <f t="shared" si="55"/>
        <v>813554.1702</v>
      </c>
      <c r="H64" s="349">
        <f t="shared" si="55"/>
        <v>813553.4302</v>
      </c>
      <c r="I64" s="349">
        <f t="shared" si="55"/>
        <v>3476141.357</v>
      </c>
      <c r="J64" s="349">
        <f t="shared" si="55"/>
        <v>3693176.419</v>
      </c>
      <c r="K64" s="349">
        <f t="shared" si="55"/>
        <v>4436439.265</v>
      </c>
      <c r="L64" s="349">
        <f t="shared" si="55"/>
        <v>4436437.538</v>
      </c>
      <c r="M64" s="65"/>
      <c r="N64" s="349"/>
      <c r="O64" s="350"/>
      <c r="P64" s="350"/>
      <c r="Q64" s="350"/>
      <c r="R64" s="349"/>
      <c r="S64" s="350"/>
      <c r="T64" s="350"/>
      <c r="U64" s="350"/>
      <c r="V64" s="349"/>
      <c r="W64" s="350"/>
      <c r="X64" s="350"/>
      <c r="Y64" s="350"/>
    </row>
    <row r="65">
      <c r="A65" s="342"/>
      <c r="B65" s="342"/>
      <c r="C65" s="347"/>
      <c r="D65" s="348" t="s">
        <v>1005</v>
      </c>
      <c r="E65" s="349">
        <f t="shared" ref="E65:L65" si="56">iferror(E55/(E17),0)</f>
        <v>22219.66834</v>
      </c>
      <c r="F65" s="349">
        <f t="shared" si="56"/>
        <v>35153.61018</v>
      </c>
      <c r="G65" s="349">
        <f t="shared" si="56"/>
        <v>21978.8848</v>
      </c>
      <c r="H65" s="349">
        <f t="shared" si="56"/>
        <v>21978.86481</v>
      </c>
      <c r="I65" s="349">
        <f t="shared" si="56"/>
        <v>22676.40036</v>
      </c>
      <c r="J65" s="349">
        <f t="shared" si="56"/>
        <v>31782.6739</v>
      </c>
      <c r="K65" s="349">
        <f t="shared" si="56"/>
        <v>20351.24868</v>
      </c>
      <c r="L65" s="349">
        <f t="shared" si="56"/>
        <v>20351.25127</v>
      </c>
      <c r="M65" s="65"/>
      <c r="N65" s="349"/>
      <c r="O65" s="350"/>
      <c r="P65" s="350"/>
      <c r="Q65" s="350"/>
      <c r="R65" s="349"/>
      <c r="S65" s="350"/>
      <c r="T65" s="350"/>
      <c r="U65" s="350"/>
      <c r="V65" s="349"/>
      <c r="W65" s="350"/>
      <c r="X65" s="350"/>
      <c r="Y65" s="350"/>
    </row>
    <row r="66">
      <c r="A66" s="342"/>
      <c r="B66" s="342"/>
      <c r="C66" s="347"/>
      <c r="D66" s="348" t="s">
        <v>1006</v>
      </c>
      <c r="E66" s="349">
        <f t="shared" ref="E66:L66" si="57">iferror(E60/(E18+E19),0)</f>
        <v>0</v>
      </c>
      <c r="F66" s="349">
        <f t="shared" si="57"/>
        <v>0</v>
      </c>
      <c r="G66" s="349">
        <f t="shared" si="57"/>
        <v>0</v>
      </c>
      <c r="H66" s="349">
        <f t="shared" si="57"/>
        <v>0</v>
      </c>
      <c r="I66" s="349">
        <f t="shared" si="57"/>
        <v>0</v>
      </c>
      <c r="J66" s="349">
        <f t="shared" si="57"/>
        <v>0</v>
      </c>
      <c r="K66" s="349">
        <f t="shared" si="57"/>
        <v>0</v>
      </c>
      <c r="L66" s="349">
        <f t="shared" si="57"/>
        <v>0</v>
      </c>
      <c r="M66" s="65"/>
      <c r="N66" s="349"/>
      <c r="O66" s="350"/>
      <c r="P66" s="350"/>
      <c r="Q66" s="350"/>
      <c r="R66" s="349"/>
      <c r="S66" s="350"/>
      <c r="T66" s="350"/>
      <c r="U66" s="350"/>
      <c r="V66" s="349"/>
      <c r="W66" s="350"/>
      <c r="X66" s="350"/>
      <c r="Y66" s="350"/>
    </row>
    <row r="67">
      <c r="A67" s="342"/>
      <c r="B67" s="342"/>
      <c r="C67" s="351"/>
      <c r="D67" s="352" t="s">
        <v>1007</v>
      </c>
      <c r="E67" s="353">
        <f t="shared" ref="E67:L67" si="58">iferror(E55/(E20),0)</f>
        <v>22219.66834</v>
      </c>
      <c r="F67" s="353">
        <f t="shared" si="58"/>
        <v>35153.61018</v>
      </c>
      <c r="G67" s="353">
        <f t="shared" si="58"/>
        <v>21978.8848</v>
      </c>
      <c r="H67" s="353">
        <f t="shared" si="58"/>
        <v>21978.86481</v>
      </c>
      <c r="I67" s="353">
        <f t="shared" si="58"/>
        <v>22676.40036</v>
      </c>
      <c r="J67" s="353">
        <f t="shared" si="58"/>
        <v>31782.6739</v>
      </c>
      <c r="K67" s="353">
        <f t="shared" si="58"/>
        <v>20351.24868</v>
      </c>
      <c r="L67" s="353">
        <f t="shared" si="58"/>
        <v>20351.25127</v>
      </c>
      <c r="M67" s="65"/>
      <c r="N67" s="353"/>
      <c r="O67" s="354"/>
      <c r="P67" s="354"/>
      <c r="Q67" s="354"/>
      <c r="R67" s="353"/>
      <c r="S67" s="354"/>
      <c r="T67" s="354"/>
      <c r="U67" s="354"/>
      <c r="V67" s="353"/>
      <c r="W67" s="354"/>
      <c r="X67" s="354"/>
      <c r="Y67" s="354"/>
    </row>
    <row r="68">
      <c r="A68" s="280"/>
      <c r="B68" s="280"/>
      <c r="C68" s="355"/>
      <c r="D68" s="356"/>
      <c r="E68" s="357"/>
      <c r="F68" s="358"/>
      <c r="G68" s="358"/>
      <c r="H68" s="358"/>
      <c r="I68" s="358"/>
      <c r="J68" s="358"/>
      <c r="K68" s="358"/>
      <c r="L68" s="358"/>
      <c r="M68" s="65"/>
      <c r="N68" s="357"/>
      <c r="O68" s="358"/>
      <c r="P68" s="358"/>
      <c r="Q68" s="358"/>
      <c r="R68" s="357"/>
      <c r="S68" s="358"/>
      <c r="T68" s="358"/>
      <c r="U68" s="358"/>
      <c r="V68" s="357"/>
      <c r="W68" s="358"/>
      <c r="X68" s="358"/>
      <c r="Y68" s="358"/>
    </row>
  </sheetData>
  <mergeCells count="32">
    <mergeCell ref="C3:D3"/>
    <mergeCell ref="E3:L3"/>
    <mergeCell ref="N3:Q3"/>
    <mergeCell ref="R3:U3"/>
    <mergeCell ref="V3:Y3"/>
    <mergeCell ref="C4:D4"/>
    <mergeCell ref="E4:L4"/>
    <mergeCell ref="V4:Y4"/>
    <mergeCell ref="E8:H8"/>
    <mergeCell ref="E9:H9"/>
    <mergeCell ref="C38:D40"/>
    <mergeCell ref="E38:H38"/>
    <mergeCell ref="I38:L38"/>
    <mergeCell ref="E39:H39"/>
    <mergeCell ref="I39:L39"/>
    <mergeCell ref="N8:Q8"/>
    <mergeCell ref="N9:Q9"/>
    <mergeCell ref="N38:Q38"/>
    <mergeCell ref="R38:U38"/>
    <mergeCell ref="V38:Y38"/>
    <mergeCell ref="N39:Q39"/>
    <mergeCell ref="R39:U39"/>
    <mergeCell ref="V39:Y39"/>
    <mergeCell ref="R9:U9"/>
    <mergeCell ref="V9:Y9"/>
    <mergeCell ref="N4:Q4"/>
    <mergeCell ref="R4:U4"/>
    <mergeCell ref="C8:D10"/>
    <mergeCell ref="I8:L8"/>
    <mergeCell ref="R8:U8"/>
    <mergeCell ref="V8:Y8"/>
    <mergeCell ref="I9:L9"/>
  </mergeCells>
  <dataValidations>
    <dataValidation type="list" allowBlank="1" showErrorMessage="1" sqref="E4 N4 R4 V4">
      <formula1>Plant!$A$2:$A$28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 outlineLevelRow="1"/>
  <cols>
    <col customWidth="1" min="1" max="1" width="3.86"/>
    <col customWidth="1" min="2" max="3" width="4.14"/>
    <col customWidth="1" min="4" max="4" width="56.43"/>
    <col customWidth="1" min="5" max="5" width="16.43"/>
    <col customWidth="1" min="6" max="6" width="15.71"/>
    <col customWidth="1" min="7" max="9" width="15.86"/>
    <col customWidth="1" min="10" max="10" width="17.14"/>
    <col customWidth="1" min="11" max="11" width="16.86"/>
    <col customWidth="1" min="12" max="13" width="17.0"/>
    <col customWidth="1" min="14" max="14" width="16.43"/>
    <col customWidth="1" min="15" max="15" width="15.71"/>
    <col customWidth="1" min="16" max="17" width="15.86"/>
  </cols>
  <sheetData>
    <row r="1">
      <c r="A1" s="248"/>
      <c r="B1" s="248"/>
      <c r="C1" s="65"/>
      <c r="D1" s="65"/>
      <c r="E1" s="249"/>
      <c r="F1" s="65"/>
      <c r="G1" s="67"/>
      <c r="H1" s="65"/>
      <c r="I1" s="65"/>
      <c r="J1" s="65"/>
      <c r="K1" s="65"/>
      <c r="L1" s="65"/>
      <c r="M1" s="65"/>
      <c r="N1" s="249"/>
      <c r="O1" s="65"/>
      <c r="P1" s="67"/>
      <c r="Q1" s="65"/>
    </row>
    <row r="2">
      <c r="A2" s="248"/>
      <c r="B2" s="248"/>
      <c r="C2" s="250"/>
      <c r="D2" s="251" t="str">
        <f>UPPER('Balin-A'!E5)</f>
        <v>BULAN MEI 2026</v>
      </c>
      <c r="E2" s="65"/>
      <c r="F2" s="65"/>
      <c r="G2" s="67"/>
      <c r="H2" s="65"/>
      <c r="I2" s="65"/>
      <c r="J2" s="65"/>
      <c r="K2" s="65"/>
      <c r="L2" s="252" t="str">
        <f>VLOOKUP(E4,Plant!$A$2:$B$19,2,FALSE)</f>
        <v>5E06</v>
      </c>
      <c r="M2" s="65"/>
      <c r="N2" s="65"/>
      <c r="O2" s="65"/>
      <c r="P2" s="67"/>
      <c r="Q2" s="65"/>
    </row>
    <row r="3">
      <c r="A3" s="248"/>
      <c r="B3" s="248"/>
      <c r="C3" s="253" t="s">
        <v>946</v>
      </c>
      <c r="D3" s="161"/>
      <c r="E3" s="254" t="s">
        <v>947</v>
      </c>
      <c r="F3" s="75"/>
      <c r="G3" s="75"/>
      <c r="H3" s="75"/>
      <c r="I3" s="75"/>
      <c r="J3" s="75"/>
      <c r="K3" s="75"/>
      <c r="L3" s="161"/>
      <c r="M3" s="65"/>
      <c r="N3" s="254"/>
      <c r="O3" s="75"/>
      <c r="P3" s="75"/>
      <c r="Q3" s="161"/>
    </row>
    <row r="4">
      <c r="A4" s="248"/>
      <c r="B4" s="248"/>
      <c r="C4" s="255" t="s">
        <v>948</v>
      </c>
      <c r="D4" s="256"/>
      <c r="E4" s="257" t="s">
        <v>676</v>
      </c>
      <c r="F4" s="258"/>
      <c r="G4" s="258"/>
      <c r="H4" s="258"/>
      <c r="I4" s="258"/>
      <c r="J4" s="258"/>
      <c r="K4" s="258"/>
      <c r="L4" s="259"/>
      <c r="M4" s="65"/>
      <c r="N4" s="257"/>
      <c r="O4" s="258"/>
      <c r="P4" s="258"/>
      <c r="Q4" s="259"/>
    </row>
    <row r="5">
      <c r="A5" s="248"/>
      <c r="B5" s="248"/>
      <c r="C5" s="260"/>
      <c r="D5" s="261" t="s">
        <v>949</v>
      </c>
      <c r="E5" s="262">
        <f>IFERROR(__xludf.DUMMYFUNCTION("IMPORTRANGE(Link!B$3,""Form HO!E6"")"),0.0)</f>
        <v>0</v>
      </c>
      <c r="F5" s="263">
        <v>0.0</v>
      </c>
      <c r="G5" s="263">
        <v>0.0</v>
      </c>
      <c r="H5" s="263">
        <v>0.0</v>
      </c>
      <c r="I5" s="263">
        <f t="shared" ref="I5:L5" si="1">E5</f>
        <v>0</v>
      </c>
      <c r="J5" s="263">
        <f t="shared" si="1"/>
        <v>0</v>
      </c>
      <c r="K5" s="263">
        <f t="shared" si="1"/>
        <v>0</v>
      </c>
      <c r="L5" s="263">
        <f t="shared" si="1"/>
        <v>0</v>
      </c>
      <c r="M5" s="65"/>
      <c r="N5" s="264"/>
      <c r="O5" s="263"/>
      <c r="P5" s="263"/>
      <c r="Q5" s="263"/>
    </row>
    <row r="6">
      <c r="A6" s="248"/>
      <c r="B6" s="248"/>
      <c r="C6" s="265"/>
      <c r="D6" s="266" t="s">
        <v>950</v>
      </c>
      <c r="E6" s="267"/>
      <c r="F6" s="268"/>
      <c r="G6" s="269"/>
      <c r="H6" s="268"/>
      <c r="I6" s="268"/>
      <c r="J6" s="268"/>
      <c r="K6" s="268"/>
      <c r="L6" s="268"/>
      <c r="M6" s="65"/>
      <c r="N6" s="267"/>
      <c r="O6" s="268"/>
      <c r="P6" s="269"/>
      <c r="Q6" s="268"/>
    </row>
    <row r="7">
      <c r="A7" s="248"/>
      <c r="B7" s="248"/>
      <c r="C7" s="270"/>
      <c r="D7" s="271" t="s">
        <v>951</v>
      </c>
      <c r="E7" s="272">
        <f t="shared" ref="E7:L7" si="2">sum(E5:E6)</f>
        <v>0</v>
      </c>
      <c r="F7" s="273">
        <f t="shared" si="2"/>
        <v>0</v>
      </c>
      <c r="G7" s="273">
        <f t="shared" si="2"/>
        <v>0</v>
      </c>
      <c r="H7" s="273">
        <f t="shared" si="2"/>
        <v>0</v>
      </c>
      <c r="I7" s="273">
        <f t="shared" si="2"/>
        <v>0</v>
      </c>
      <c r="J7" s="273">
        <f t="shared" si="2"/>
        <v>0</v>
      </c>
      <c r="K7" s="273">
        <f t="shared" si="2"/>
        <v>0</v>
      </c>
      <c r="L7" s="273">
        <f t="shared" si="2"/>
        <v>0</v>
      </c>
      <c r="M7" s="65"/>
      <c r="N7" s="272">
        <f t="shared" ref="N7:Q7" si="3">sum(N5:N6)</f>
        <v>0</v>
      </c>
      <c r="O7" s="273">
        <f t="shared" si="3"/>
        <v>0</v>
      </c>
      <c r="P7" s="273">
        <f t="shared" si="3"/>
        <v>0</v>
      </c>
      <c r="Q7" s="273">
        <f t="shared" si="3"/>
        <v>0</v>
      </c>
    </row>
    <row r="8">
      <c r="A8" s="274"/>
      <c r="B8" s="274"/>
      <c r="C8" s="253" t="s">
        <v>405</v>
      </c>
      <c r="D8" s="161"/>
      <c r="E8" s="275" t="s">
        <v>952</v>
      </c>
      <c r="F8" s="258"/>
      <c r="G8" s="258"/>
      <c r="H8" s="259"/>
      <c r="I8" s="276" t="s">
        <v>952</v>
      </c>
      <c r="J8" s="258"/>
      <c r="K8" s="258"/>
      <c r="L8" s="259"/>
      <c r="M8" s="65"/>
      <c r="N8" s="275" t="s">
        <v>952</v>
      </c>
      <c r="O8" s="258"/>
      <c r="P8" s="258"/>
      <c r="Q8" s="259"/>
    </row>
    <row r="9">
      <c r="A9" s="274"/>
      <c r="B9" s="274"/>
      <c r="C9" s="157"/>
      <c r="D9" s="158"/>
      <c r="E9" s="275" t="s">
        <v>724</v>
      </c>
      <c r="F9" s="258"/>
      <c r="G9" s="258"/>
      <c r="H9" s="259"/>
      <c r="I9" s="276" t="s">
        <v>953</v>
      </c>
      <c r="J9" s="258"/>
      <c r="K9" s="258"/>
      <c r="L9" s="259"/>
      <c r="M9" s="65"/>
      <c r="N9" s="275" t="s">
        <v>954</v>
      </c>
      <c r="O9" s="258"/>
      <c r="P9" s="258"/>
      <c r="Q9" s="259"/>
    </row>
    <row r="10">
      <c r="A10" s="274"/>
      <c r="B10" s="274"/>
      <c r="C10" s="172"/>
      <c r="D10" s="173"/>
      <c r="E10" s="277" t="s">
        <v>734</v>
      </c>
      <c r="F10" s="278" t="s">
        <v>957</v>
      </c>
      <c r="G10" s="279" t="s">
        <v>958</v>
      </c>
      <c r="H10" s="278" t="s">
        <v>635</v>
      </c>
      <c r="I10" s="278" t="str">
        <f t="shared" ref="I10:L10" si="4">E10</f>
        <v>Real Tahun Lalu</v>
      </c>
      <c r="J10" s="278" t="str">
        <f t="shared" si="4"/>
        <v>Real Tahun Ini</v>
      </c>
      <c r="K10" s="279" t="str">
        <f t="shared" si="4"/>
        <v>RKO TW</v>
      </c>
      <c r="L10" s="278" t="str">
        <f t="shared" si="4"/>
        <v>RKAP</v>
      </c>
      <c r="M10" s="65"/>
      <c r="N10" s="277" t="s">
        <v>734</v>
      </c>
      <c r="O10" s="278" t="s">
        <v>957</v>
      </c>
      <c r="P10" s="279" t="s">
        <v>958</v>
      </c>
      <c r="Q10" s="278" t="s">
        <v>635</v>
      </c>
    </row>
    <row r="11">
      <c r="A11" s="280"/>
      <c r="B11" s="280"/>
      <c r="C11" s="281" t="s">
        <v>959</v>
      </c>
      <c r="D11" s="282" t="s">
        <v>960</v>
      </c>
      <c r="E11" s="283">
        <f t="shared" ref="E11:L11" si="5">sum(E12:E14)</f>
        <v>0</v>
      </c>
      <c r="F11" s="284">
        <f t="shared" si="5"/>
        <v>0</v>
      </c>
      <c r="G11" s="284">
        <f t="shared" si="5"/>
        <v>0</v>
      </c>
      <c r="H11" s="284">
        <f t="shared" si="5"/>
        <v>0</v>
      </c>
      <c r="I11" s="284">
        <f t="shared" si="5"/>
        <v>0</v>
      </c>
      <c r="J11" s="284">
        <f t="shared" si="5"/>
        <v>0</v>
      </c>
      <c r="K11" s="284">
        <f t="shared" si="5"/>
        <v>0</v>
      </c>
      <c r="L11" s="284">
        <f t="shared" si="5"/>
        <v>0</v>
      </c>
      <c r="M11" s="65"/>
      <c r="N11" s="283">
        <f>IFERROR(__xludf.DUMMYFUNCTION("IFERROR(IMPORTRANGE(Link!$B$1,CONCATENATE(VLOOKUP($L$2,Plant!$B$1:$C$19,2,false),""!I11:L57"")),0)"),0.0)</f>
        <v>0</v>
      </c>
      <c r="O11" s="284">
        <f>IFERROR(__xludf.DUMMYFUNCTION("""COMPUTED_VALUE"""),0.0)</f>
        <v>0</v>
      </c>
      <c r="P11" s="284">
        <f>IFERROR(__xludf.DUMMYFUNCTION("""COMPUTED_VALUE"""),0.0)</f>
        <v>0</v>
      </c>
      <c r="Q11" s="284">
        <f>IFERROR(__xludf.DUMMYFUNCTION("""COMPUTED_VALUE"""),0.0)</f>
        <v>0</v>
      </c>
    </row>
    <row r="12" outlineLevel="1">
      <c r="A12" s="285"/>
      <c r="B12" s="280"/>
      <c r="C12" s="286"/>
      <c r="D12" s="287" t="s">
        <v>961</v>
      </c>
      <c r="E12" s="288">
        <v>0.0</v>
      </c>
      <c r="F12" s="288">
        <v>0.0</v>
      </c>
      <c r="G12" s="288">
        <v>0.0</v>
      </c>
      <c r="H12" s="288">
        <v>0.0</v>
      </c>
      <c r="I12" s="288">
        <v>0.0</v>
      </c>
      <c r="J12" s="288">
        <v>0.0</v>
      </c>
      <c r="K12" s="288">
        <v>0.0</v>
      </c>
      <c r="L12" s="288">
        <v>0.0</v>
      </c>
      <c r="M12" s="65"/>
      <c r="N12" s="289">
        <f>IFERROR(__xludf.DUMMYFUNCTION("""COMPUTED_VALUE"""),0.0)</f>
        <v>0</v>
      </c>
      <c r="O12" s="290">
        <f>IFERROR(__xludf.DUMMYFUNCTION("""COMPUTED_VALUE"""),0.0)</f>
        <v>0</v>
      </c>
      <c r="P12" s="290">
        <f>IFERROR(__xludf.DUMMYFUNCTION("""COMPUTED_VALUE"""),0.0)</f>
        <v>0</v>
      </c>
      <c r="Q12" s="290">
        <f>IFERROR(__xludf.DUMMYFUNCTION("""COMPUTED_VALUE"""),0.0)</f>
        <v>0</v>
      </c>
    </row>
    <row r="13" outlineLevel="1">
      <c r="A13" s="285"/>
      <c r="B13" s="280"/>
      <c r="C13" s="292" t="s">
        <v>962</v>
      </c>
      <c r="D13" s="287" t="s">
        <v>963</v>
      </c>
      <c r="E13" s="288">
        <v>0.0</v>
      </c>
      <c r="F13" s="288">
        <v>0.0</v>
      </c>
      <c r="G13" s="288">
        <v>0.0</v>
      </c>
      <c r="H13" s="288">
        <v>0.0</v>
      </c>
      <c r="I13" s="288">
        <v>0.0</v>
      </c>
      <c r="J13" s="288">
        <v>0.0</v>
      </c>
      <c r="K13" s="288">
        <v>0.0</v>
      </c>
      <c r="L13" s="288">
        <v>0.0</v>
      </c>
      <c r="M13" s="65"/>
      <c r="N13" s="291">
        <f>IFERROR(__xludf.DUMMYFUNCTION("""COMPUTED_VALUE"""),0.0)</f>
        <v>0</v>
      </c>
      <c r="O13" s="290">
        <f>IFERROR(__xludf.DUMMYFUNCTION("""COMPUTED_VALUE"""),0.0)</f>
        <v>0</v>
      </c>
      <c r="P13" s="290">
        <f>IFERROR(__xludf.DUMMYFUNCTION("""COMPUTED_VALUE"""),0.0)</f>
        <v>0</v>
      </c>
      <c r="Q13" s="290">
        <f>IFERROR(__xludf.DUMMYFUNCTION("""COMPUTED_VALUE"""),0.0)</f>
        <v>0</v>
      </c>
    </row>
    <row r="14" outlineLevel="1">
      <c r="A14" s="285"/>
      <c r="B14" s="280"/>
      <c r="C14" s="292" t="s">
        <v>964</v>
      </c>
      <c r="D14" s="287" t="s">
        <v>965</v>
      </c>
      <c r="E14" s="288">
        <v>0.0</v>
      </c>
      <c r="F14" s="288">
        <v>0.0</v>
      </c>
      <c r="G14" s="288">
        <v>0.0</v>
      </c>
      <c r="H14" s="288">
        <v>0.0</v>
      </c>
      <c r="I14" s="288">
        <v>0.0</v>
      </c>
      <c r="J14" s="288">
        <v>0.0</v>
      </c>
      <c r="K14" s="288">
        <v>0.0</v>
      </c>
      <c r="L14" s="288">
        <v>0.0</v>
      </c>
      <c r="M14" s="65"/>
      <c r="N14" s="291">
        <f>IFERROR(__xludf.DUMMYFUNCTION("""COMPUTED_VALUE"""),0.0)</f>
        <v>0</v>
      </c>
      <c r="O14" s="290">
        <f>IFERROR(__xludf.DUMMYFUNCTION("""COMPUTED_VALUE"""),0.0)</f>
        <v>0</v>
      </c>
      <c r="P14" s="290">
        <f>IFERROR(__xludf.DUMMYFUNCTION("""COMPUTED_VALUE"""),0.0)</f>
        <v>0</v>
      </c>
      <c r="Q14" s="290">
        <f>IFERROR(__xludf.DUMMYFUNCTION("""COMPUTED_VALUE"""),0.0)</f>
        <v>0</v>
      </c>
    </row>
    <row r="15">
      <c r="A15" s="280"/>
      <c r="B15" s="280"/>
      <c r="C15" s="286"/>
      <c r="D15" s="293"/>
      <c r="E15" s="291"/>
      <c r="F15" s="290"/>
      <c r="G15" s="290"/>
      <c r="H15" s="290"/>
      <c r="I15" s="290"/>
      <c r="J15" s="290"/>
      <c r="K15" s="290"/>
      <c r="L15" s="290"/>
      <c r="M15" s="65"/>
      <c r="N15" s="291"/>
      <c r="O15" s="290"/>
      <c r="P15" s="290"/>
      <c r="Q15" s="290"/>
    </row>
    <row r="16">
      <c r="A16" s="280"/>
      <c r="B16" s="280"/>
      <c r="C16" s="294" t="s">
        <v>966</v>
      </c>
      <c r="D16" s="295" t="s">
        <v>967</v>
      </c>
      <c r="E16" s="296"/>
      <c r="F16" s="269"/>
      <c r="G16" s="269"/>
      <c r="H16" s="269"/>
      <c r="I16" s="269"/>
      <c r="J16" s="269"/>
      <c r="K16" s="269"/>
      <c r="L16" s="269"/>
      <c r="M16" s="65"/>
      <c r="N16" s="296"/>
      <c r="O16" s="269"/>
      <c r="P16" s="269"/>
      <c r="Q16" s="269"/>
    </row>
    <row r="17">
      <c r="A17" s="297"/>
      <c r="B17" s="280"/>
      <c r="C17" s="265"/>
      <c r="D17" s="287" t="s">
        <v>961</v>
      </c>
      <c r="E17" s="291">
        <f>IFERROR(__xludf.DUMMYFUNCTION("IMPORTRANGE(Link!$B$3,""Form HO!E14"")"),3320.0)</f>
        <v>3320</v>
      </c>
      <c r="F17" s="298">
        <v>387.0</v>
      </c>
      <c r="G17" s="288">
        <v>0.0</v>
      </c>
      <c r="H17" s="288">
        <v>0.0</v>
      </c>
      <c r="I17" s="291">
        <f>IFERROR(__xludf.DUMMYFUNCTION("IMPORTRANGE(Link!$B$3,""Form HO!I14"")"),14300.0)</f>
        <v>14300</v>
      </c>
      <c r="J17" s="290">
        <f t="shared" ref="J17:L17" si="6">F17+O17</f>
        <v>3115</v>
      </c>
      <c r="K17" s="290">
        <f t="shared" si="6"/>
        <v>0</v>
      </c>
      <c r="L17" s="290">
        <f t="shared" si="6"/>
        <v>0</v>
      </c>
      <c r="M17" s="65"/>
      <c r="N17" s="299">
        <f>IFERROR(__xludf.DUMMYFUNCTION("""COMPUTED_VALUE"""),10980.0)</f>
        <v>10980</v>
      </c>
      <c r="O17" s="288">
        <f>IFERROR(__xludf.DUMMYFUNCTION("""COMPUTED_VALUE"""),2728.0)</f>
        <v>2728</v>
      </c>
      <c r="P17" s="300">
        <f>IFERROR(__xludf.DUMMYFUNCTION("""COMPUTED_VALUE"""),0.0)</f>
        <v>0</v>
      </c>
      <c r="Q17" s="300">
        <f>IFERROR(__xludf.DUMMYFUNCTION("""COMPUTED_VALUE"""),0.0)</f>
        <v>0</v>
      </c>
    </row>
    <row r="18">
      <c r="A18" s="297"/>
      <c r="B18" s="280"/>
      <c r="C18" s="292" t="s">
        <v>962</v>
      </c>
      <c r="D18" s="287" t="s">
        <v>963</v>
      </c>
      <c r="E18" s="289">
        <v>0.0</v>
      </c>
      <c r="F18" s="288">
        <v>0.0</v>
      </c>
      <c r="G18" s="290">
        <f>IFERROR(HLOOKUP($L$2,'RKO Rekap'!$D$7:$U$94,12,false),0)</f>
        <v>0</v>
      </c>
      <c r="H18" s="290">
        <f>IFERROR(HLOOKUP($L$2,'RKAP Rekap'!$D$7:$U$94,12,false),0)</f>
        <v>0</v>
      </c>
      <c r="I18" s="288">
        <v>0.0</v>
      </c>
      <c r="J18" s="290">
        <f t="shared" ref="J18:L18" si="7">F18+O18</f>
        <v>0</v>
      </c>
      <c r="K18" s="290">
        <f t="shared" si="7"/>
        <v>0</v>
      </c>
      <c r="L18" s="290">
        <f t="shared" si="7"/>
        <v>0</v>
      </c>
      <c r="M18" s="65"/>
      <c r="N18" s="299">
        <f>IFERROR(__xludf.DUMMYFUNCTION("""COMPUTED_VALUE"""),0.0)</f>
        <v>0</v>
      </c>
      <c r="O18" s="288">
        <f>IFERROR(__xludf.DUMMYFUNCTION("""COMPUTED_VALUE"""),0.0)</f>
        <v>0</v>
      </c>
      <c r="P18" s="300">
        <f>IFERROR(__xludf.DUMMYFUNCTION("""COMPUTED_VALUE"""),0.0)</f>
        <v>0</v>
      </c>
      <c r="Q18" s="300">
        <f>IFERROR(__xludf.DUMMYFUNCTION("""COMPUTED_VALUE"""),0.0)</f>
        <v>0</v>
      </c>
    </row>
    <row r="19">
      <c r="A19" s="297"/>
      <c r="B19" s="280"/>
      <c r="C19" s="292" t="s">
        <v>964</v>
      </c>
      <c r="D19" s="287" t="s">
        <v>965</v>
      </c>
      <c r="E19" s="289">
        <v>0.0</v>
      </c>
      <c r="F19" s="288">
        <v>0.0</v>
      </c>
      <c r="G19" s="290">
        <f>IFERROR(HLOOKUP($L$2,'RKO Rekap'!$D$7:$U$94,13,false),0)</f>
        <v>0</v>
      </c>
      <c r="H19" s="290">
        <f>IFERROR(HLOOKUP($L$2,'RKAP Rekap'!$D$7:$U$94,13,false),0)</f>
        <v>0</v>
      </c>
      <c r="I19" s="288">
        <v>0.0</v>
      </c>
      <c r="J19" s="290">
        <f t="shared" ref="J19:L19" si="8">F19+O19</f>
        <v>0</v>
      </c>
      <c r="K19" s="290">
        <f t="shared" si="8"/>
        <v>0</v>
      </c>
      <c r="L19" s="290">
        <f t="shared" si="8"/>
        <v>0</v>
      </c>
      <c r="M19" s="65"/>
      <c r="N19" s="299">
        <f>IFERROR(__xludf.DUMMYFUNCTION("""COMPUTED_VALUE"""),0.0)</f>
        <v>0</v>
      </c>
      <c r="O19" s="288">
        <f>IFERROR(__xludf.DUMMYFUNCTION("""COMPUTED_VALUE"""),0.0)</f>
        <v>0</v>
      </c>
      <c r="P19" s="300">
        <f>IFERROR(__xludf.DUMMYFUNCTION("""COMPUTED_VALUE"""),0.0)</f>
        <v>0</v>
      </c>
      <c r="Q19" s="300">
        <f>IFERROR(__xludf.DUMMYFUNCTION("""COMPUTED_VALUE"""),0.0)</f>
        <v>0</v>
      </c>
    </row>
    <row r="20">
      <c r="A20" s="301"/>
      <c r="B20" s="301"/>
      <c r="C20" s="302"/>
      <c r="D20" s="271" t="s">
        <v>951</v>
      </c>
      <c r="E20" s="303">
        <f t="shared" ref="E20:L20" si="9">sum(E17:E19)</f>
        <v>3320</v>
      </c>
      <c r="F20" s="304">
        <f t="shared" si="9"/>
        <v>387</v>
      </c>
      <c r="G20" s="304">
        <f t="shared" si="9"/>
        <v>0</v>
      </c>
      <c r="H20" s="304">
        <f t="shared" si="9"/>
        <v>0</v>
      </c>
      <c r="I20" s="304">
        <f t="shared" si="9"/>
        <v>14300</v>
      </c>
      <c r="J20" s="304">
        <f t="shared" si="9"/>
        <v>3115</v>
      </c>
      <c r="K20" s="304">
        <f t="shared" si="9"/>
        <v>0</v>
      </c>
      <c r="L20" s="304">
        <f t="shared" si="9"/>
        <v>0</v>
      </c>
      <c r="M20" s="305"/>
      <c r="N20" s="303">
        <f>IFERROR(__xludf.DUMMYFUNCTION("""COMPUTED_VALUE"""),10980.0)</f>
        <v>10980</v>
      </c>
      <c r="O20" s="304">
        <f>IFERROR(__xludf.DUMMYFUNCTION("""COMPUTED_VALUE"""),2728.0)</f>
        <v>2728</v>
      </c>
      <c r="P20" s="304">
        <f>IFERROR(__xludf.DUMMYFUNCTION("""COMPUTED_VALUE"""),0.0)</f>
        <v>0</v>
      </c>
      <c r="Q20" s="304">
        <f>IFERROR(__xludf.DUMMYFUNCTION("""COMPUTED_VALUE"""),0.0)</f>
        <v>0</v>
      </c>
    </row>
    <row r="21">
      <c r="A21" s="280"/>
      <c r="B21" s="280"/>
      <c r="C21" s="294" t="s">
        <v>968</v>
      </c>
      <c r="D21" s="295" t="s">
        <v>969</v>
      </c>
      <c r="E21" s="296"/>
      <c r="F21" s="269"/>
      <c r="G21" s="269"/>
      <c r="H21" s="269"/>
      <c r="I21" s="269"/>
      <c r="J21" s="269"/>
      <c r="K21" s="269"/>
      <c r="L21" s="269"/>
      <c r="M21" s="65"/>
      <c r="N21" s="296"/>
      <c r="O21" s="269"/>
      <c r="P21" s="269"/>
      <c r="Q21" s="269"/>
    </row>
    <row r="22">
      <c r="A22" s="297"/>
      <c r="B22" s="280"/>
      <c r="C22" s="265"/>
      <c r="D22" s="287" t="s">
        <v>961</v>
      </c>
      <c r="E22" s="289">
        <v>0.0</v>
      </c>
      <c r="F22" s="289">
        <v>0.0</v>
      </c>
      <c r="G22" s="290">
        <f>IFERROR(HLOOKUP($L$2,'RKO Rekap'!$D$7:$U$94,33,false),0)</f>
        <v>0</v>
      </c>
      <c r="H22" s="290">
        <f>IFERROR(HLOOKUP($L$2,'RKAP Rekap'!$D$7:$U$94,33,false),0)</f>
        <v>0</v>
      </c>
      <c r="I22" s="290">
        <f t="shared" ref="I22:I24" si="11">IFERROR(HLOOKUP(CONCATENATE("Olah + Jual SBI-",$L$2),'Tahun Lalu Rekap'!$A$4:$DG$78,MATCH(A22,'Tahun Lalu Rekap'!$A$4:$A$78,0),0),0)</f>
        <v>0</v>
      </c>
      <c r="J22" s="290">
        <f t="shared" ref="J22:L22" si="10">F22+O22</f>
        <v>0</v>
      </c>
      <c r="K22" s="290">
        <f t="shared" si="10"/>
        <v>0</v>
      </c>
      <c r="L22" s="290">
        <f t="shared" si="10"/>
        <v>0</v>
      </c>
      <c r="M22" s="65"/>
      <c r="N22" s="299">
        <f>IFERROR(__xludf.DUMMYFUNCTION("""COMPUTED_VALUE"""),0.0)</f>
        <v>0</v>
      </c>
      <c r="O22" s="290">
        <f>IFERROR(__xludf.DUMMYFUNCTION("""COMPUTED_VALUE"""),0.0)</f>
        <v>0</v>
      </c>
      <c r="P22" s="300">
        <f>IFERROR(__xludf.DUMMYFUNCTION("""COMPUTED_VALUE"""),0.0)</f>
        <v>0</v>
      </c>
      <c r="Q22" s="300">
        <f>IFERROR(__xludf.DUMMYFUNCTION("""COMPUTED_VALUE"""),0.0)</f>
        <v>0</v>
      </c>
    </row>
    <row r="23">
      <c r="A23" s="297"/>
      <c r="B23" s="280"/>
      <c r="C23" s="292" t="s">
        <v>962</v>
      </c>
      <c r="D23" s="287" t="s">
        <v>963</v>
      </c>
      <c r="E23" s="289">
        <v>0.0</v>
      </c>
      <c r="F23" s="289">
        <v>0.0</v>
      </c>
      <c r="G23" s="290">
        <f>IFERROR(HLOOKUP($L$2,'RKO Rekap'!$D$7:$U$94,34,false),0)</f>
        <v>0</v>
      </c>
      <c r="H23" s="290">
        <f>IFERROR(HLOOKUP($L$2,'RKAP Rekap'!$D$7:$U$94,34,false),0)</f>
        <v>0</v>
      </c>
      <c r="I23" s="290">
        <f t="shared" si="11"/>
        <v>0</v>
      </c>
      <c r="J23" s="290">
        <f t="shared" ref="J23:L23" si="12">F23+O23</f>
        <v>0</v>
      </c>
      <c r="K23" s="290">
        <f t="shared" si="12"/>
        <v>0</v>
      </c>
      <c r="L23" s="290">
        <f t="shared" si="12"/>
        <v>0</v>
      </c>
      <c r="M23" s="65"/>
      <c r="N23" s="299">
        <f>IFERROR(__xludf.DUMMYFUNCTION("""COMPUTED_VALUE"""),0.0)</f>
        <v>0</v>
      </c>
      <c r="O23" s="290">
        <f>IFERROR(__xludf.DUMMYFUNCTION("""COMPUTED_VALUE"""),0.0)</f>
        <v>0</v>
      </c>
      <c r="P23" s="300">
        <f>IFERROR(__xludf.DUMMYFUNCTION("""COMPUTED_VALUE"""),0.0)</f>
        <v>0</v>
      </c>
      <c r="Q23" s="300">
        <f>IFERROR(__xludf.DUMMYFUNCTION("""COMPUTED_VALUE"""),0.0)</f>
        <v>0</v>
      </c>
    </row>
    <row r="24">
      <c r="A24" s="297"/>
      <c r="B24" s="280"/>
      <c r="C24" s="292" t="s">
        <v>964</v>
      </c>
      <c r="D24" s="287" t="s">
        <v>965</v>
      </c>
      <c r="E24" s="289">
        <v>0.0</v>
      </c>
      <c r="F24" s="289">
        <v>0.0</v>
      </c>
      <c r="G24" s="290">
        <f>IFERROR(HLOOKUP($L$2,'RKO Rekap'!$D$7:$U$94,35,false),0)</f>
        <v>0</v>
      </c>
      <c r="H24" s="290">
        <f>IFERROR(HLOOKUP($L$2,'RKAP Rekap'!$D$7:$U$94,35,false),0)</f>
        <v>0</v>
      </c>
      <c r="I24" s="290">
        <f t="shared" si="11"/>
        <v>0</v>
      </c>
      <c r="J24" s="290">
        <f t="shared" ref="J24:L24" si="13">F24+O24</f>
        <v>0</v>
      </c>
      <c r="K24" s="290">
        <f t="shared" si="13"/>
        <v>0</v>
      </c>
      <c r="L24" s="290">
        <f t="shared" si="13"/>
        <v>0</v>
      </c>
      <c r="M24" s="65"/>
      <c r="N24" s="299">
        <f>IFERROR(__xludf.DUMMYFUNCTION("""COMPUTED_VALUE"""),0.0)</f>
        <v>0</v>
      </c>
      <c r="O24" s="290">
        <f>IFERROR(__xludf.DUMMYFUNCTION("""COMPUTED_VALUE"""),0.0)</f>
        <v>0</v>
      </c>
      <c r="P24" s="300">
        <f>IFERROR(__xludf.DUMMYFUNCTION("""COMPUTED_VALUE"""),0.0)</f>
        <v>0</v>
      </c>
      <c r="Q24" s="300">
        <f>IFERROR(__xludf.DUMMYFUNCTION("""COMPUTED_VALUE"""),0.0)</f>
        <v>0</v>
      </c>
    </row>
    <row r="25">
      <c r="A25" s="301"/>
      <c r="B25" s="301"/>
      <c r="C25" s="302"/>
      <c r="D25" s="271" t="s">
        <v>951</v>
      </c>
      <c r="E25" s="303">
        <f t="shared" ref="E25:L25" si="14">sum(E22:E24)</f>
        <v>0</v>
      </c>
      <c r="F25" s="303">
        <f t="shared" si="14"/>
        <v>0</v>
      </c>
      <c r="G25" s="304">
        <f t="shared" si="14"/>
        <v>0</v>
      </c>
      <c r="H25" s="304">
        <f t="shared" si="14"/>
        <v>0</v>
      </c>
      <c r="I25" s="304">
        <f t="shared" si="14"/>
        <v>0</v>
      </c>
      <c r="J25" s="304">
        <f t="shared" si="14"/>
        <v>0</v>
      </c>
      <c r="K25" s="304">
        <f t="shared" si="14"/>
        <v>0</v>
      </c>
      <c r="L25" s="304">
        <f t="shared" si="14"/>
        <v>0</v>
      </c>
      <c r="M25" s="305"/>
      <c r="N25" s="303">
        <f>IFERROR(__xludf.DUMMYFUNCTION("""COMPUTED_VALUE"""),0.0)</f>
        <v>0</v>
      </c>
      <c r="O25" s="304">
        <f>IFERROR(__xludf.DUMMYFUNCTION("""COMPUTED_VALUE"""),0.0)</f>
        <v>0</v>
      </c>
      <c r="P25" s="304">
        <f>IFERROR(__xludf.DUMMYFUNCTION("""COMPUTED_VALUE"""),0.0)</f>
        <v>0</v>
      </c>
      <c r="Q25" s="304">
        <f>IFERROR(__xludf.DUMMYFUNCTION("""COMPUTED_VALUE"""),0.0)</f>
        <v>0</v>
      </c>
    </row>
    <row r="26">
      <c r="A26" s="280"/>
      <c r="B26" s="280"/>
      <c r="C26" s="294" t="s">
        <v>970</v>
      </c>
      <c r="D26" s="295" t="s">
        <v>971</v>
      </c>
      <c r="E26" s="296"/>
      <c r="F26" s="296"/>
      <c r="G26" s="269"/>
      <c r="H26" s="269"/>
      <c r="I26" s="269"/>
      <c r="J26" s="269"/>
      <c r="K26" s="269"/>
      <c r="L26" s="269"/>
      <c r="M26" s="65"/>
      <c r="N26" s="296"/>
      <c r="O26" s="269"/>
      <c r="P26" s="269"/>
      <c r="Q26" s="269"/>
    </row>
    <row r="27">
      <c r="A27" s="297"/>
      <c r="B27" s="280"/>
      <c r="C27" s="265"/>
      <c r="D27" s="266" t="s">
        <v>972</v>
      </c>
      <c r="E27" s="289">
        <v>0.0</v>
      </c>
      <c r="F27" s="289">
        <v>0.0</v>
      </c>
      <c r="G27" s="290">
        <f t="shared" ref="G27:G31" si="16">IFERROR(HLOOKUP($L$2,'RKO Rekap'!$D$7:$U$94,38,false),0)</f>
        <v>0</v>
      </c>
      <c r="H27" s="290">
        <f t="shared" ref="H27:H31" si="17">IFERROR(HLOOKUP($L$2,'RKAP Rekap'!$D$7:$U$94,38,false),0)</f>
        <v>0</v>
      </c>
      <c r="I27" s="290">
        <f t="shared" ref="I27:I32" si="18">IFERROR(HLOOKUP(CONCATENATE("Olah + Jual SBI-",$L$2),'Tahun Lalu Rekap'!$A$4:$DG$78,MATCH(A27,'Tahun Lalu Rekap'!$A$4:$A$78,0),0),0)</f>
        <v>0</v>
      </c>
      <c r="J27" s="290">
        <f t="shared" ref="J27:L27" si="15">F27+O27</f>
        <v>0</v>
      </c>
      <c r="K27" s="290">
        <f t="shared" si="15"/>
        <v>0</v>
      </c>
      <c r="L27" s="290">
        <f t="shared" si="15"/>
        <v>0</v>
      </c>
      <c r="M27" s="65"/>
      <c r="N27" s="299">
        <f>IFERROR(__xludf.DUMMYFUNCTION("""COMPUTED_VALUE"""),0.0)</f>
        <v>0</v>
      </c>
      <c r="O27" s="290">
        <f>IFERROR(__xludf.DUMMYFUNCTION("""COMPUTED_VALUE"""),0.0)</f>
        <v>0</v>
      </c>
      <c r="P27" s="300">
        <f>IFERROR(__xludf.DUMMYFUNCTION("""COMPUTED_VALUE"""),0.0)</f>
        <v>0</v>
      </c>
      <c r="Q27" s="300">
        <f>IFERROR(__xludf.DUMMYFUNCTION("""COMPUTED_VALUE"""),0.0)</f>
        <v>0</v>
      </c>
    </row>
    <row r="28">
      <c r="A28" s="297"/>
      <c r="B28" s="280"/>
      <c r="C28" s="265"/>
      <c r="D28" s="266" t="s">
        <v>973</v>
      </c>
      <c r="E28" s="289">
        <v>0.0</v>
      </c>
      <c r="F28" s="289">
        <v>0.0</v>
      </c>
      <c r="G28" s="290">
        <f t="shared" si="16"/>
        <v>0</v>
      </c>
      <c r="H28" s="290">
        <f t="shared" si="17"/>
        <v>0</v>
      </c>
      <c r="I28" s="290">
        <f t="shared" si="18"/>
        <v>0</v>
      </c>
      <c r="J28" s="290">
        <f t="shared" ref="J28:L28" si="19">F28+O28</f>
        <v>0</v>
      </c>
      <c r="K28" s="290">
        <f t="shared" si="19"/>
        <v>0</v>
      </c>
      <c r="L28" s="290">
        <f t="shared" si="19"/>
        <v>0</v>
      </c>
      <c r="M28" s="65"/>
      <c r="N28" s="299">
        <f>IFERROR(__xludf.DUMMYFUNCTION("""COMPUTED_VALUE"""),0.0)</f>
        <v>0</v>
      </c>
      <c r="O28" s="290">
        <f>IFERROR(__xludf.DUMMYFUNCTION("""COMPUTED_VALUE"""),0.0)</f>
        <v>0</v>
      </c>
      <c r="P28" s="300">
        <f>IFERROR(__xludf.DUMMYFUNCTION("""COMPUTED_VALUE"""),0.0)</f>
        <v>0</v>
      </c>
      <c r="Q28" s="300">
        <f>IFERROR(__xludf.DUMMYFUNCTION("""COMPUTED_VALUE"""),0.0)</f>
        <v>0</v>
      </c>
    </row>
    <row r="29">
      <c r="A29" s="297"/>
      <c r="B29" s="280"/>
      <c r="C29" s="265"/>
      <c r="D29" s="266" t="s">
        <v>974</v>
      </c>
      <c r="E29" s="289">
        <v>0.0</v>
      </c>
      <c r="F29" s="289">
        <v>0.0</v>
      </c>
      <c r="G29" s="290">
        <f t="shared" si="16"/>
        <v>0</v>
      </c>
      <c r="H29" s="290">
        <f t="shared" si="17"/>
        <v>0</v>
      </c>
      <c r="I29" s="290">
        <f t="shared" si="18"/>
        <v>0</v>
      </c>
      <c r="J29" s="290">
        <f t="shared" ref="J29:L29" si="20">F29+O29</f>
        <v>0</v>
      </c>
      <c r="K29" s="290">
        <f t="shared" si="20"/>
        <v>0</v>
      </c>
      <c r="L29" s="290">
        <f t="shared" si="20"/>
        <v>0</v>
      </c>
      <c r="M29" s="65"/>
      <c r="N29" s="299">
        <f>IFERROR(__xludf.DUMMYFUNCTION("""COMPUTED_VALUE"""),0.0)</f>
        <v>0</v>
      </c>
      <c r="O29" s="290">
        <f>IFERROR(__xludf.DUMMYFUNCTION("""COMPUTED_VALUE"""),0.0)</f>
        <v>0</v>
      </c>
      <c r="P29" s="300">
        <f>IFERROR(__xludf.DUMMYFUNCTION("""COMPUTED_VALUE"""),0.0)</f>
        <v>0</v>
      </c>
      <c r="Q29" s="300">
        <f>IFERROR(__xludf.DUMMYFUNCTION("""COMPUTED_VALUE"""),0.0)</f>
        <v>0</v>
      </c>
    </row>
    <row r="30">
      <c r="A30" s="297"/>
      <c r="B30" s="280"/>
      <c r="C30" s="265"/>
      <c r="D30" s="266" t="s">
        <v>975</v>
      </c>
      <c r="E30" s="289">
        <v>0.0</v>
      </c>
      <c r="F30" s="289">
        <v>0.0</v>
      </c>
      <c r="G30" s="290">
        <f t="shared" si="16"/>
        <v>0</v>
      </c>
      <c r="H30" s="290">
        <f t="shared" si="17"/>
        <v>0</v>
      </c>
      <c r="I30" s="290">
        <f t="shared" si="18"/>
        <v>0</v>
      </c>
      <c r="J30" s="290">
        <f t="shared" ref="J30:L30" si="21">F30+O30</f>
        <v>0</v>
      </c>
      <c r="K30" s="290">
        <f t="shared" si="21"/>
        <v>0</v>
      </c>
      <c r="L30" s="290">
        <f t="shared" si="21"/>
        <v>0</v>
      </c>
      <c r="M30" s="65"/>
      <c r="N30" s="299">
        <f>IFERROR(__xludf.DUMMYFUNCTION("""COMPUTED_VALUE"""),0.0)</f>
        <v>0</v>
      </c>
      <c r="O30" s="290">
        <f>IFERROR(__xludf.DUMMYFUNCTION("""COMPUTED_VALUE"""),0.0)</f>
        <v>0</v>
      </c>
      <c r="P30" s="300">
        <f>IFERROR(__xludf.DUMMYFUNCTION("""COMPUTED_VALUE"""),0.0)</f>
        <v>0</v>
      </c>
      <c r="Q30" s="300">
        <f>IFERROR(__xludf.DUMMYFUNCTION("""COMPUTED_VALUE"""),0.0)</f>
        <v>0</v>
      </c>
    </row>
    <row r="31">
      <c r="A31" s="297"/>
      <c r="B31" s="280"/>
      <c r="C31" s="265"/>
      <c r="D31" s="266" t="s">
        <v>976</v>
      </c>
      <c r="E31" s="291">
        <f t="shared" ref="E31:F31" si="22">IFERROR(HLOOKUP(CONCATENATE("Olah + Jual BI-",$L$2),'Tahun Lalu Rekap'!$A$4:$DG$78,MATCH(A31,'Tahun Lalu Rekap'!$A$4:$A$78,0),0),0)</f>
        <v>0</v>
      </c>
      <c r="F31" s="291">
        <f t="shared" si="22"/>
        <v>0</v>
      </c>
      <c r="G31" s="290">
        <f t="shared" si="16"/>
        <v>0</v>
      </c>
      <c r="H31" s="290">
        <f t="shared" si="17"/>
        <v>0</v>
      </c>
      <c r="I31" s="290">
        <f t="shared" si="18"/>
        <v>0</v>
      </c>
      <c r="J31" s="290">
        <f t="shared" ref="J31:L31" si="23">F31+O31</f>
        <v>0</v>
      </c>
      <c r="K31" s="290">
        <f t="shared" si="23"/>
        <v>0</v>
      </c>
      <c r="L31" s="290">
        <f t="shared" si="23"/>
        <v>0</v>
      </c>
      <c r="M31" s="65"/>
      <c r="N31" s="299">
        <f>IFERROR(__xludf.DUMMYFUNCTION("""COMPUTED_VALUE"""),0.0)</f>
        <v>0</v>
      </c>
      <c r="O31" s="290">
        <f>IFERROR(__xludf.DUMMYFUNCTION("""COMPUTED_VALUE"""),0.0)</f>
        <v>0</v>
      </c>
      <c r="P31" s="300">
        <f>IFERROR(__xludf.DUMMYFUNCTION("""COMPUTED_VALUE"""),0.0)</f>
        <v>0</v>
      </c>
      <c r="Q31" s="300">
        <f>IFERROR(__xludf.DUMMYFUNCTION("""COMPUTED_VALUE"""),0.0)</f>
        <v>0</v>
      </c>
    </row>
    <row r="32">
      <c r="A32" s="297"/>
      <c r="B32" s="280"/>
      <c r="C32" s="292" t="s">
        <v>964</v>
      </c>
      <c r="D32" s="266" t="s">
        <v>977</v>
      </c>
      <c r="E32" s="289">
        <v>0.0</v>
      </c>
      <c r="F32" s="289">
        <v>0.0</v>
      </c>
      <c r="G32" s="290">
        <f>IFERROR(HLOOKUP($L$2,'RKO Rekap'!$D$7:$U$94,40,false),0)</f>
        <v>0</v>
      </c>
      <c r="H32" s="290">
        <f>IFERROR(HLOOKUP($L$2,'RKAP Rekap'!$D$7:$U$94,40,false),0)</f>
        <v>0</v>
      </c>
      <c r="I32" s="290">
        <f t="shared" si="18"/>
        <v>0</v>
      </c>
      <c r="J32" s="290">
        <f t="shared" ref="J32:L32" si="24">F32+O32</f>
        <v>0</v>
      </c>
      <c r="K32" s="290">
        <f t="shared" si="24"/>
        <v>0</v>
      </c>
      <c r="L32" s="290">
        <f t="shared" si="24"/>
        <v>0</v>
      </c>
      <c r="M32" s="65"/>
      <c r="N32" s="299">
        <f>IFERROR(__xludf.DUMMYFUNCTION("""COMPUTED_VALUE"""),0.0)</f>
        <v>0</v>
      </c>
      <c r="O32" s="290">
        <f>IFERROR(__xludf.DUMMYFUNCTION("""COMPUTED_VALUE"""),0.0)</f>
        <v>0</v>
      </c>
      <c r="P32" s="300">
        <f>IFERROR(__xludf.DUMMYFUNCTION("""COMPUTED_VALUE"""),0.0)</f>
        <v>0</v>
      </c>
      <c r="Q32" s="300">
        <f>IFERROR(__xludf.DUMMYFUNCTION("""COMPUTED_VALUE"""),0.0)</f>
        <v>0</v>
      </c>
    </row>
    <row r="33">
      <c r="A33" s="301"/>
      <c r="B33" s="301"/>
      <c r="C33" s="302"/>
      <c r="D33" s="271" t="s">
        <v>951</v>
      </c>
      <c r="E33" s="303">
        <f t="shared" ref="E33:L33" si="25">sum(E27:E32)</f>
        <v>0</v>
      </c>
      <c r="F33" s="303">
        <f t="shared" si="25"/>
        <v>0</v>
      </c>
      <c r="G33" s="304">
        <f t="shared" si="25"/>
        <v>0</v>
      </c>
      <c r="H33" s="304">
        <f t="shared" si="25"/>
        <v>0</v>
      </c>
      <c r="I33" s="304">
        <f t="shared" si="25"/>
        <v>0</v>
      </c>
      <c r="J33" s="304">
        <f t="shared" si="25"/>
        <v>0</v>
      </c>
      <c r="K33" s="304">
        <f t="shared" si="25"/>
        <v>0</v>
      </c>
      <c r="L33" s="304">
        <f t="shared" si="25"/>
        <v>0</v>
      </c>
      <c r="M33" s="305"/>
      <c r="N33" s="303">
        <f>IFERROR(__xludf.DUMMYFUNCTION("""COMPUTED_VALUE"""),0.0)</f>
        <v>0</v>
      </c>
      <c r="O33" s="304">
        <f>IFERROR(__xludf.DUMMYFUNCTION("""COMPUTED_VALUE"""),0.0)</f>
        <v>0</v>
      </c>
      <c r="P33" s="304">
        <f>IFERROR(__xludf.DUMMYFUNCTION("""COMPUTED_VALUE"""),0.0)</f>
        <v>0</v>
      </c>
      <c r="Q33" s="304">
        <f>IFERROR(__xludf.DUMMYFUNCTION("""COMPUTED_VALUE"""),0.0)</f>
        <v>0</v>
      </c>
    </row>
    <row r="34">
      <c r="A34" s="297"/>
      <c r="B34" s="280"/>
      <c r="C34" s="307"/>
      <c r="D34" s="308" t="s">
        <v>961</v>
      </c>
      <c r="E34" s="289">
        <v>0.0</v>
      </c>
      <c r="F34" s="289">
        <v>0.0</v>
      </c>
      <c r="G34" s="290">
        <f>IFERROR(HLOOKUP($L$2,'RKO Rekap'!$D$7:$U$94,48,false),0)</f>
        <v>0</v>
      </c>
      <c r="H34" s="290">
        <f>IFERROR(HLOOKUP($L$2,'RKAP Rekap'!$D$7:$U$94,48,false),0)</f>
        <v>0</v>
      </c>
      <c r="I34" s="290">
        <f t="shared" ref="I34:I36" si="27">IFERROR(HLOOKUP(CONCATENATE("Olah + Jual SBI-",$L$2),'Tahun Lalu Rekap'!$A$4:$DG$78,MATCH(A34,'Tahun Lalu Rekap'!$A$4:$A$78,0),0),0)</f>
        <v>0</v>
      </c>
      <c r="J34" s="309">
        <f t="shared" ref="J34:L34" si="26">F34</f>
        <v>0</v>
      </c>
      <c r="K34" s="309">
        <f t="shared" si="26"/>
        <v>0</v>
      </c>
      <c r="L34" s="309">
        <f t="shared" si="26"/>
        <v>0</v>
      </c>
      <c r="M34" s="65"/>
      <c r="N34" s="310">
        <f>IFERROR(__xludf.DUMMYFUNCTION("""COMPUTED_VALUE"""),0.0)</f>
        <v>0</v>
      </c>
      <c r="O34" s="311">
        <f>IFERROR(__xludf.DUMMYFUNCTION("""COMPUTED_VALUE"""),0.0)</f>
        <v>0</v>
      </c>
      <c r="P34" s="309">
        <f>IFERROR(__xludf.DUMMYFUNCTION("""COMPUTED_VALUE"""),0.0)</f>
        <v>0</v>
      </c>
      <c r="Q34" s="309">
        <f>IFERROR(__xludf.DUMMYFUNCTION("""COMPUTED_VALUE"""),0.0)</f>
        <v>0</v>
      </c>
    </row>
    <row r="35">
      <c r="A35" s="297"/>
      <c r="B35" s="280"/>
      <c r="C35" s="312" t="s">
        <v>962</v>
      </c>
      <c r="D35" s="313" t="s">
        <v>963</v>
      </c>
      <c r="E35" s="289">
        <v>0.0</v>
      </c>
      <c r="F35" s="289">
        <v>0.0</v>
      </c>
      <c r="G35" s="290">
        <f>IFERROR(HLOOKUP($L$2,'RKO Rekap'!$D$7:$U$94,49,false),0)</f>
        <v>0</v>
      </c>
      <c r="H35" s="290">
        <f>IFERROR(HLOOKUP($L$2,'RKAP Rekap'!$D$7:$U$94,49,false),0)</f>
        <v>0</v>
      </c>
      <c r="I35" s="290">
        <f t="shared" si="27"/>
        <v>0</v>
      </c>
      <c r="J35" s="314">
        <f t="shared" ref="J35:L35" si="28">F35</f>
        <v>0</v>
      </c>
      <c r="K35" s="314">
        <f t="shared" si="28"/>
        <v>0</v>
      </c>
      <c r="L35" s="314">
        <f t="shared" si="28"/>
        <v>0</v>
      </c>
      <c r="M35" s="65"/>
      <c r="N35" s="315">
        <f>IFERROR(__xludf.DUMMYFUNCTION("""COMPUTED_VALUE"""),0.0)</f>
        <v>0</v>
      </c>
      <c r="O35" s="314">
        <f>IFERROR(__xludf.DUMMYFUNCTION("""COMPUTED_VALUE"""),0.0)</f>
        <v>0</v>
      </c>
      <c r="P35" s="314">
        <f>IFERROR(__xludf.DUMMYFUNCTION("""COMPUTED_VALUE"""),0.0)</f>
        <v>0</v>
      </c>
      <c r="Q35" s="314">
        <f>IFERROR(__xludf.DUMMYFUNCTION("""COMPUTED_VALUE"""),0.0)</f>
        <v>0</v>
      </c>
    </row>
    <row r="36">
      <c r="A36" s="297"/>
      <c r="B36" s="280"/>
      <c r="C36" s="292" t="s">
        <v>964</v>
      </c>
      <c r="D36" s="316" t="s">
        <v>965</v>
      </c>
      <c r="E36" s="289">
        <v>0.0</v>
      </c>
      <c r="F36" s="289">
        <v>0.0</v>
      </c>
      <c r="G36" s="290">
        <f>IFERROR(HLOOKUP($L$2,'RKO Rekap'!$D$7:$U$94,50,false),0)</f>
        <v>0</v>
      </c>
      <c r="H36" s="290">
        <f>IFERROR(HLOOKUP($L$2,'RKAP Rekap'!$D$7:$U$94,50,false),0)</f>
        <v>0</v>
      </c>
      <c r="I36" s="290">
        <f t="shared" si="27"/>
        <v>0</v>
      </c>
      <c r="J36" s="314">
        <f t="shared" ref="J36:L36" si="29">F36</f>
        <v>0</v>
      </c>
      <c r="K36" s="314">
        <f t="shared" si="29"/>
        <v>0</v>
      </c>
      <c r="L36" s="314">
        <f t="shared" si="29"/>
        <v>0</v>
      </c>
      <c r="M36" s="65"/>
      <c r="N36" s="317">
        <f>IFERROR(__xludf.DUMMYFUNCTION("""COMPUTED_VALUE"""),0.0)</f>
        <v>0</v>
      </c>
      <c r="O36" s="290">
        <f>IFERROR(__xludf.DUMMYFUNCTION("""COMPUTED_VALUE"""),0.0)</f>
        <v>0</v>
      </c>
      <c r="P36" s="318">
        <f>IFERROR(__xludf.DUMMYFUNCTION("""COMPUTED_VALUE"""),0.0)</f>
        <v>0</v>
      </c>
      <c r="Q36" s="318">
        <f>IFERROR(__xludf.DUMMYFUNCTION("""COMPUTED_VALUE"""),0.0)</f>
        <v>0</v>
      </c>
    </row>
    <row r="37">
      <c r="A37" s="301"/>
      <c r="B37" s="301"/>
      <c r="C37" s="302"/>
      <c r="D37" s="271" t="s">
        <v>978</v>
      </c>
      <c r="E37" s="303">
        <f t="shared" ref="E37:L37" si="30">sum(E34:E36)</f>
        <v>0</v>
      </c>
      <c r="F37" s="303">
        <f t="shared" si="30"/>
        <v>0</v>
      </c>
      <c r="G37" s="304">
        <f t="shared" si="30"/>
        <v>0</v>
      </c>
      <c r="H37" s="304">
        <f t="shared" si="30"/>
        <v>0</v>
      </c>
      <c r="I37" s="304">
        <f t="shared" si="30"/>
        <v>0</v>
      </c>
      <c r="J37" s="304">
        <f t="shared" si="30"/>
        <v>0</v>
      </c>
      <c r="K37" s="304">
        <f t="shared" si="30"/>
        <v>0</v>
      </c>
      <c r="L37" s="304">
        <f t="shared" si="30"/>
        <v>0</v>
      </c>
      <c r="M37" s="305"/>
      <c r="N37" s="303">
        <f>IFERROR(__xludf.DUMMYFUNCTION("""COMPUTED_VALUE"""),0.0)</f>
        <v>0</v>
      </c>
      <c r="O37" s="304">
        <f>IFERROR(__xludf.DUMMYFUNCTION("""COMPUTED_VALUE"""),0.0)</f>
        <v>0</v>
      </c>
      <c r="P37" s="304">
        <f>IFERROR(__xludf.DUMMYFUNCTION("""COMPUTED_VALUE"""),0.0)</f>
        <v>0</v>
      </c>
      <c r="Q37" s="304">
        <f>IFERROR(__xludf.DUMMYFUNCTION("""COMPUTED_VALUE"""),0.0)</f>
        <v>0</v>
      </c>
    </row>
    <row r="38">
      <c r="A38" s="274"/>
      <c r="B38" s="274"/>
      <c r="C38" s="253" t="s">
        <v>979</v>
      </c>
      <c r="D38" s="161"/>
      <c r="E38" s="319" t="s">
        <v>980</v>
      </c>
      <c r="F38" s="258"/>
      <c r="G38" s="258"/>
      <c r="H38" s="259"/>
      <c r="I38" s="320" t="s">
        <v>980</v>
      </c>
      <c r="J38" s="258"/>
      <c r="K38" s="258"/>
      <c r="L38" s="259"/>
      <c r="M38" s="65"/>
      <c r="N38" s="319" t="str">
        <f>IFERROR(__xludf.DUMMYFUNCTION("""COMPUTED_VALUE""")," Jumlah Beban ")</f>
        <v>Jumlah Beban</v>
      </c>
      <c r="O38" s="258"/>
      <c r="P38" s="258"/>
      <c r="Q38" s="259"/>
    </row>
    <row r="39">
      <c r="A39" s="274"/>
      <c r="B39" s="274"/>
      <c r="C39" s="157"/>
      <c r="D39" s="158"/>
      <c r="E39" s="319" t="s">
        <v>724</v>
      </c>
      <c r="F39" s="258"/>
      <c r="G39" s="258"/>
      <c r="H39" s="259"/>
      <c r="I39" s="320" t="s">
        <v>953</v>
      </c>
      <c r="J39" s="258"/>
      <c r="K39" s="258"/>
      <c r="L39" s="259"/>
      <c r="M39" s="65"/>
      <c r="N39" s="275" t="str">
        <f>IFERROR(__xludf.DUMMYFUNCTION("""COMPUTED_VALUE"""),"sd Bulan Ini")</f>
        <v>sd Bulan Ini</v>
      </c>
      <c r="O39" s="258"/>
      <c r="P39" s="258"/>
      <c r="Q39" s="259"/>
    </row>
    <row r="40">
      <c r="A40" s="274"/>
      <c r="B40" s="274"/>
      <c r="C40" s="172"/>
      <c r="D40" s="173"/>
      <c r="E40" s="321" t="str">
        <f t="shared" ref="E40:L40" si="31">E10</f>
        <v>Real Tahun Lalu</v>
      </c>
      <c r="F40" s="279" t="str">
        <f t="shared" si="31"/>
        <v>Real Tahun Ini</v>
      </c>
      <c r="G40" s="322" t="str">
        <f t="shared" si="31"/>
        <v>RKO TW</v>
      </c>
      <c r="H40" s="322" t="str">
        <f t="shared" si="31"/>
        <v>RKAP</v>
      </c>
      <c r="I40" s="279" t="str">
        <f t="shared" si="31"/>
        <v>Real Tahun Lalu</v>
      </c>
      <c r="J40" s="279" t="str">
        <f t="shared" si="31"/>
        <v>Real Tahun Ini</v>
      </c>
      <c r="K40" s="279" t="str">
        <f t="shared" si="31"/>
        <v>RKO TW</v>
      </c>
      <c r="L40" s="279" t="str">
        <f t="shared" si="31"/>
        <v>RKAP</v>
      </c>
      <c r="M40" s="65"/>
      <c r="N40" s="321" t="str">
        <f>IFERROR(__xludf.DUMMYFUNCTION("""COMPUTED_VALUE""")," Real Tahun Lalu ")</f>
        <v>Real Tahun Lalu</v>
      </c>
      <c r="O40" s="279" t="str">
        <f>IFERROR(__xludf.DUMMYFUNCTION("""COMPUTED_VALUE""")," Real Tahun Ini ")</f>
        <v>Real Tahun Ini</v>
      </c>
      <c r="P40" s="279" t="str">
        <f>IFERROR(__xludf.DUMMYFUNCTION("""COMPUTED_VALUE""")," RKO TW ")</f>
        <v>RKO TW</v>
      </c>
      <c r="Q40" s="279" t="str">
        <f>IFERROR(__xludf.DUMMYFUNCTION("""COMPUTED_VALUE""")," RKAP ")</f>
        <v>RKAP</v>
      </c>
    </row>
    <row r="41">
      <c r="A41" s="297"/>
      <c r="B41" s="280"/>
      <c r="C41" s="323" t="s">
        <v>981</v>
      </c>
      <c r="D41" s="324" t="s">
        <v>982</v>
      </c>
      <c r="E41" s="325">
        <f>IFERROR(__xludf.DUMMYFUNCTION("IMPORTRANGE(Link!$B$3,""Form HO!E36:E40"")"),1.8144433E7)</f>
        <v>18144433</v>
      </c>
      <c r="F41" s="326">
        <f>'Sinta-A'!$E$14</f>
        <v>24059534</v>
      </c>
      <c r="G41" s="326">
        <f>'Sinta-A'!$H$14</f>
        <v>0</v>
      </c>
      <c r="H41" s="326">
        <f>'Sinta-A'!$I$14</f>
        <v>0</v>
      </c>
      <c r="I41" s="325">
        <f>IFERROR(__xludf.DUMMYFUNCTION("IMPORTRANGE(Link!$B$3,""Form HO!I36:I40"")"),8.5062998E7)</f>
        <v>85062998</v>
      </c>
      <c r="J41" s="326">
        <f t="shared" ref="J41:L41" si="32">F41+O41</f>
        <v>113226929</v>
      </c>
      <c r="K41" s="326">
        <f t="shared" si="32"/>
        <v>0</v>
      </c>
      <c r="L41" s="326">
        <f t="shared" si="32"/>
        <v>0</v>
      </c>
      <c r="M41" s="65"/>
      <c r="N41" s="327">
        <f>IFERROR(__xludf.DUMMYFUNCTION("""COMPUTED_VALUE"""),6.6918565E7)</f>
        <v>66918565</v>
      </c>
      <c r="O41" s="328">
        <f>IFERROR(__xludf.DUMMYFUNCTION("""COMPUTED_VALUE"""),8.9167395E7)</f>
        <v>89167395</v>
      </c>
      <c r="P41" s="326">
        <f>IFERROR(__xludf.DUMMYFUNCTION("""COMPUTED_VALUE"""),0.0)</f>
        <v>0</v>
      </c>
      <c r="Q41" s="326">
        <f>IFERROR(__xludf.DUMMYFUNCTION("""COMPUTED_VALUE"""),0.0)</f>
        <v>0</v>
      </c>
    </row>
    <row r="42">
      <c r="A42" s="297"/>
      <c r="B42" s="280"/>
      <c r="C42" s="329" t="s">
        <v>981</v>
      </c>
      <c r="D42" s="266" t="s">
        <v>983</v>
      </c>
      <c r="E42" s="330">
        <f>IFERROR(__xludf.DUMMYFUNCTION("""COMPUTED_VALUE"""),-2.0)</f>
        <v>-2</v>
      </c>
      <c r="F42" s="331">
        <f>'Sinta-A'!$E$77</f>
        <v>0</v>
      </c>
      <c r="G42" s="331">
        <f>'Sinta-A'!$H$77</f>
        <v>0</v>
      </c>
      <c r="H42" s="331">
        <f>'Sinta-A'!$I$77</f>
        <v>0</v>
      </c>
      <c r="I42" s="332">
        <f>IFERROR(__xludf.DUMMYFUNCTION("""COMPUTED_VALUE"""),1.34884E8)</f>
        <v>134884000</v>
      </c>
      <c r="J42" s="331">
        <f t="shared" ref="J42:L42" si="33">F42+O42</f>
        <v>0</v>
      </c>
      <c r="K42" s="331">
        <f t="shared" si="33"/>
        <v>0</v>
      </c>
      <c r="L42" s="331">
        <f t="shared" si="33"/>
        <v>0</v>
      </c>
      <c r="M42" s="65"/>
      <c r="N42" s="332">
        <f>IFERROR(__xludf.DUMMYFUNCTION("""COMPUTED_VALUE"""),1.34884002E8)</f>
        <v>134884002</v>
      </c>
      <c r="O42" s="333">
        <f>IFERROR(__xludf.DUMMYFUNCTION("""COMPUTED_VALUE"""),0.0)</f>
        <v>0</v>
      </c>
      <c r="P42" s="333">
        <f>IFERROR(__xludf.DUMMYFUNCTION("""COMPUTED_VALUE"""),0.0)</f>
        <v>0</v>
      </c>
      <c r="Q42" s="333">
        <f>IFERROR(__xludf.DUMMYFUNCTION("""COMPUTED_VALUE"""),0.0)</f>
        <v>0</v>
      </c>
    </row>
    <row r="43">
      <c r="A43" s="297"/>
      <c r="B43" s="280"/>
      <c r="C43" s="329" t="s">
        <v>981</v>
      </c>
      <c r="D43" s="266" t="s">
        <v>984</v>
      </c>
      <c r="E43" s="330">
        <f>IFERROR(__xludf.DUMMYFUNCTION("""COMPUTED_VALUE"""),0.0)</f>
        <v>0</v>
      </c>
      <c r="F43" s="331">
        <f>'Sinta-A'!$E$132</f>
        <v>0</v>
      </c>
      <c r="G43" s="331">
        <f>'Sinta-A'!$H$132</f>
        <v>0</v>
      </c>
      <c r="H43" s="331">
        <f>'Sinta-A'!$I$132</f>
        <v>0</v>
      </c>
      <c r="I43" s="330">
        <f>IFERROR(__xludf.DUMMYFUNCTION("""COMPUTED_VALUE"""),0.0)</f>
        <v>0</v>
      </c>
      <c r="J43" s="331">
        <f t="shared" ref="J43:L43" si="34">F43+O43</f>
        <v>0</v>
      </c>
      <c r="K43" s="331">
        <f t="shared" si="34"/>
        <v>0</v>
      </c>
      <c r="L43" s="331">
        <f t="shared" si="34"/>
        <v>0</v>
      </c>
      <c r="M43" s="65"/>
      <c r="N43" s="332">
        <f>IFERROR(__xludf.DUMMYFUNCTION("""COMPUTED_VALUE"""),0.0)</f>
        <v>0</v>
      </c>
      <c r="O43" s="333">
        <f>IFERROR(__xludf.DUMMYFUNCTION("""COMPUTED_VALUE"""),0.0)</f>
        <v>0</v>
      </c>
      <c r="P43" s="333">
        <f>IFERROR(__xludf.DUMMYFUNCTION("""COMPUTED_VALUE"""),0.0)</f>
        <v>0</v>
      </c>
      <c r="Q43" s="333">
        <f>IFERROR(__xludf.DUMMYFUNCTION("""COMPUTED_VALUE"""),0.0)</f>
        <v>0</v>
      </c>
    </row>
    <row r="44">
      <c r="A44" s="297"/>
      <c r="B44" s="280"/>
      <c r="C44" s="329" t="s">
        <v>981</v>
      </c>
      <c r="D44" s="266" t="s">
        <v>654</v>
      </c>
      <c r="E44" s="330">
        <f>IFERROR(__xludf.DUMMYFUNCTION("""COMPUTED_VALUE"""),1.87914559E8)</f>
        <v>187914559</v>
      </c>
      <c r="F44" s="331">
        <f>'Sinta-A'!$E$119</f>
        <v>68056858</v>
      </c>
      <c r="G44" s="331">
        <f>'Sinta-A'!$H$119</f>
        <v>0</v>
      </c>
      <c r="H44" s="331">
        <f>'Sinta-A'!$I$119</f>
        <v>0</v>
      </c>
      <c r="I44" s="330">
        <f>IFERROR(__xludf.DUMMYFUNCTION("""COMPUTED_VALUE"""),9.47609371E8)</f>
        <v>947609371</v>
      </c>
      <c r="J44" s="331">
        <f t="shared" ref="J44:L44" si="35">F44+O44</f>
        <v>295416909</v>
      </c>
      <c r="K44" s="331">
        <f t="shared" si="35"/>
        <v>0</v>
      </c>
      <c r="L44" s="331">
        <f t="shared" si="35"/>
        <v>0</v>
      </c>
      <c r="M44" s="65"/>
      <c r="N44" s="332">
        <f>IFERROR(__xludf.DUMMYFUNCTION("""COMPUTED_VALUE"""),7.59694812E8)</f>
        <v>759694812</v>
      </c>
      <c r="O44" s="333">
        <f>IFERROR(__xludf.DUMMYFUNCTION("""COMPUTED_VALUE"""),2.27360051E8)</f>
        <v>227360051</v>
      </c>
      <c r="P44" s="333">
        <f>IFERROR(__xludf.DUMMYFUNCTION("""COMPUTED_VALUE"""),0.0)</f>
        <v>0</v>
      </c>
      <c r="Q44" s="333">
        <f>IFERROR(__xludf.DUMMYFUNCTION("""COMPUTED_VALUE"""),0.0)</f>
        <v>0</v>
      </c>
    </row>
    <row r="45">
      <c r="A45" s="297"/>
      <c r="B45" s="280"/>
      <c r="C45" s="329" t="s">
        <v>981</v>
      </c>
      <c r="D45" s="266" t="s">
        <v>985</v>
      </c>
      <c r="E45" s="330">
        <f>IFERROR(__xludf.DUMMYFUNCTION("""COMPUTED_VALUE"""),0.0)</f>
        <v>0</v>
      </c>
      <c r="F45" s="331">
        <f>'Sinta-A'!$E$148</f>
        <v>0</v>
      </c>
      <c r="G45" s="331">
        <f>'Sinta-A'!$H$148</f>
        <v>0</v>
      </c>
      <c r="H45" s="331">
        <f>'Sinta-A'!$I$148</f>
        <v>0</v>
      </c>
      <c r="I45" s="330">
        <f>IFERROR(__xludf.DUMMYFUNCTION("""COMPUTED_VALUE"""),2.917915E7)</f>
        <v>29179150</v>
      </c>
      <c r="J45" s="331">
        <f t="shared" ref="J45:L45" si="36">F45+O45</f>
        <v>6333334</v>
      </c>
      <c r="K45" s="331">
        <f t="shared" si="36"/>
        <v>0</v>
      </c>
      <c r="L45" s="331">
        <f t="shared" si="36"/>
        <v>0</v>
      </c>
      <c r="M45" s="65"/>
      <c r="N45" s="332">
        <f>IFERROR(__xludf.DUMMYFUNCTION("""COMPUTED_VALUE"""),2.917915E7)</f>
        <v>29179150</v>
      </c>
      <c r="O45" s="333">
        <f>IFERROR(__xludf.DUMMYFUNCTION("""COMPUTED_VALUE"""),6333334.0)</f>
        <v>6333334</v>
      </c>
      <c r="P45" s="333">
        <f>IFERROR(__xludf.DUMMYFUNCTION("""COMPUTED_VALUE"""),0.0)</f>
        <v>0</v>
      </c>
      <c r="Q45" s="333">
        <f>IFERROR(__xludf.DUMMYFUNCTION("""COMPUTED_VALUE"""),0.0)</f>
        <v>0</v>
      </c>
    </row>
    <row r="46">
      <c r="A46" s="301"/>
      <c r="B46" s="301"/>
      <c r="C46" s="294"/>
      <c r="D46" s="271" t="s">
        <v>986</v>
      </c>
      <c r="E46" s="334">
        <f t="shared" ref="E46:L46" si="37">sum(E41:E45)</f>
        <v>206058990</v>
      </c>
      <c r="F46" s="304">
        <f t="shared" si="37"/>
        <v>92116392</v>
      </c>
      <c r="G46" s="304">
        <f t="shared" si="37"/>
        <v>0</v>
      </c>
      <c r="H46" s="304">
        <f t="shared" si="37"/>
        <v>0</v>
      </c>
      <c r="I46" s="334">
        <f t="shared" si="37"/>
        <v>1196735519</v>
      </c>
      <c r="J46" s="304">
        <f t="shared" si="37"/>
        <v>414977172</v>
      </c>
      <c r="K46" s="304">
        <f t="shared" si="37"/>
        <v>0</v>
      </c>
      <c r="L46" s="304">
        <f t="shared" si="37"/>
        <v>0</v>
      </c>
      <c r="M46" s="305"/>
      <c r="N46" s="334">
        <f>IFERROR(__xludf.DUMMYFUNCTION("""COMPUTED_VALUE"""),9.90676529E8)</f>
        <v>990676529</v>
      </c>
      <c r="O46" s="304">
        <f>IFERROR(__xludf.DUMMYFUNCTION("""COMPUTED_VALUE"""),3.2286078E8)</f>
        <v>322860780</v>
      </c>
      <c r="P46" s="304">
        <f>IFERROR(__xludf.DUMMYFUNCTION("""COMPUTED_VALUE"""),0.0)</f>
        <v>0</v>
      </c>
      <c r="Q46" s="304">
        <f>IFERROR(__xludf.DUMMYFUNCTION("""COMPUTED_VALUE"""),0.0)</f>
        <v>0</v>
      </c>
    </row>
    <row r="47">
      <c r="A47" s="297"/>
      <c r="B47" s="280"/>
      <c r="C47" s="329" t="s">
        <v>981</v>
      </c>
      <c r="D47" s="335" t="s">
        <v>987</v>
      </c>
      <c r="E47" s="330">
        <f>IFERROR(__xludf.DUMMYFUNCTION("IMPORTRANGE(Link!$B$3,""Form HO!E42"")"),1.22391372E8)</f>
        <v>122391372</v>
      </c>
      <c r="F47" s="331">
        <f>'Sinta-A'!$E$188</f>
        <v>99464935</v>
      </c>
      <c r="G47" s="331">
        <f>'Sinta-A'!$H$188</f>
        <v>0</v>
      </c>
      <c r="H47" s="331">
        <f>'Sinta-A'!$I$188</f>
        <v>0</v>
      </c>
      <c r="I47" s="330">
        <f>IFERROR(__xludf.DUMMYFUNCTION("IMPORTRANGE(Link!$B$3,""Form HO!I42"")"),6.65069488E8)</f>
        <v>665069488</v>
      </c>
      <c r="J47" s="331">
        <f t="shared" ref="J47:L47" si="38">F47+O47</f>
        <v>352818566</v>
      </c>
      <c r="K47" s="331">
        <f t="shared" si="38"/>
        <v>0</v>
      </c>
      <c r="L47" s="331">
        <f t="shared" si="38"/>
        <v>0</v>
      </c>
      <c r="M47" s="65"/>
      <c r="N47" s="332">
        <f>IFERROR(__xludf.DUMMYFUNCTION("""COMPUTED_VALUE"""),5.42678116E8)</f>
        <v>542678116</v>
      </c>
      <c r="O47" s="333">
        <f>IFERROR(__xludf.DUMMYFUNCTION("""COMPUTED_VALUE"""),2.53353631E8)</f>
        <v>253353631</v>
      </c>
      <c r="P47" s="333">
        <f>IFERROR(__xludf.DUMMYFUNCTION("""COMPUTED_VALUE"""),0.0)</f>
        <v>0</v>
      </c>
      <c r="Q47" s="333">
        <f>IFERROR(__xludf.DUMMYFUNCTION("""COMPUTED_VALUE"""),0.0)</f>
        <v>0</v>
      </c>
    </row>
    <row r="48">
      <c r="A48" s="301"/>
      <c r="B48" s="301"/>
      <c r="C48" s="294"/>
      <c r="D48" s="271" t="s">
        <v>988</v>
      </c>
      <c r="E48" s="334">
        <f t="shared" ref="E48:L48" si="39">E46+E47</f>
        <v>328450362</v>
      </c>
      <c r="F48" s="304">
        <f t="shared" si="39"/>
        <v>191581327</v>
      </c>
      <c r="G48" s="304">
        <f t="shared" si="39"/>
        <v>0</v>
      </c>
      <c r="H48" s="304">
        <f t="shared" si="39"/>
        <v>0</v>
      </c>
      <c r="I48" s="334">
        <f t="shared" si="39"/>
        <v>1861805007</v>
      </c>
      <c r="J48" s="304">
        <f t="shared" si="39"/>
        <v>767795738</v>
      </c>
      <c r="K48" s="304">
        <f t="shared" si="39"/>
        <v>0</v>
      </c>
      <c r="L48" s="304">
        <f t="shared" si="39"/>
        <v>0</v>
      </c>
      <c r="M48" s="305"/>
      <c r="N48" s="334">
        <f>IFERROR(__xludf.DUMMYFUNCTION("""COMPUTED_VALUE"""),1.533354645E9)</f>
        <v>1533354645</v>
      </c>
      <c r="O48" s="304">
        <f>IFERROR(__xludf.DUMMYFUNCTION("""COMPUTED_VALUE"""),5.76214411E8)</f>
        <v>576214411</v>
      </c>
      <c r="P48" s="304">
        <f>IFERROR(__xludf.DUMMYFUNCTION("""COMPUTED_VALUE"""),0.0)</f>
        <v>0</v>
      </c>
      <c r="Q48" s="304">
        <f>IFERROR(__xludf.DUMMYFUNCTION("""COMPUTED_VALUE"""),0.0)</f>
        <v>0</v>
      </c>
    </row>
    <row r="49">
      <c r="A49" s="297"/>
      <c r="B49" s="336"/>
      <c r="C49" s="329" t="s">
        <v>981</v>
      </c>
      <c r="D49" s="266" t="s">
        <v>989</v>
      </c>
      <c r="E49" s="325">
        <f>IFERROR(__xludf.DUMMYFUNCTION("IMPORTRANGE(Link!$B$3,""Form HO!E44:E45"")"),0.0)</f>
        <v>0</v>
      </c>
      <c r="F49" s="288">
        <v>0.0</v>
      </c>
      <c r="G49" s="288">
        <v>0.0</v>
      </c>
      <c r="H49" s="288">
        <v>0.0</v>
      </c>
      <c r="I49" s="325">
        <f>IFERROR(__xludf.DUMMYFUNCTION("IMPORTRANGE(Link!$B$3,""Form HO!I44:I45"")"),0.0)</f>
        <v>0</v>
      </c>
      <c r="J49" s="331">
        <f t="shared" ref="J49:L49" si="40">F49+O49</f>
        <v>0</v>
      </c>
      <c r="K49" s="331">
        <f t="shared" si="40"/>
        <v>0</v>
      </c>
      <c r="L49" s="331">
        <f t="shared" si="40"/>
        <v>0</v>
      </c>
      <c r="M49" s="65"/>
      <c r="N49" s="332">
        <f>IFERROR(__xludf.DUMMYFUNCTION("""COMPUTED_VALUE"""),0.0)</f>
        <v>0</v>
      </c>
      <c r="O49" s="333">
        <f>IFERROR(__xludf.DUMMYFUNCTION("""COMPUTED_VALUE"""),0.0)</f>
        <v>0</v>
      </c>
      <c r="P49" s="333">
        <f>IFERROR(__xludf.DUMMYFUNCTION("""COMPUTED_VALUE"""),0.0)</f>
        <v>0</v>
      </c>
      <c r="Q49" s="333">
        <f>IFERROR(__xludf.DUMMYFUNCTION("""COMPUTED_VALUE"""),0.0)</f>
        <v>0</v>
      </c>
    </row>
    <row r="50">
      <c r="A50" s="297"/>
      <c r="B50" s="336"/>
      <c r="C50" s="329" t="s">
        <v>981</v>
      </c>
      <c r="D50" s="266" t="s">
        <v>990</v>
      </c>
      <c r="E50" s="332">
        <f>IFERROR(__xludf.DUMMYFUNCTION("""COMPUTED_VALUE"""),0.0)</f>
        <v>0</v>
      </c>
      <c r="F50" s="288">
        <v>0.0</v>
      </c>
      <c r="G50" s="288">
        <v>0.0</v>
      </c>
      <c r="H50" s="288">
        <v>0.0</v>
      </c>
      <c r="I50" s="332">
        <f>IFERROR(__xludf.DUMMYFUNCTION("""COMPUTED_VALUE"""),0.0)</f>
        <v>0</v>
      </c>
      <c r="J50" s="331">
        <f t="shared" ref="J50:L50" si="41">F50+O50</f>
        <v>0</v>
      </c>
      <c r="K50" s="331">
        <f t="shared" si="41"/>
        <v>0</v>
      </c>
      <c r="L50" s="331">
        <f t="shared" si="41"/>
        <v>0</v>
      </c>
      <c r="M50" s="65"/>
      <c r="N50" s="332">
        <f>IFERROR(__xludf.DUMMYFUNCTION("""COMPUTED_VALUE"""),0.0)</f>
        <v>0</v>
      </c>
      <c r="O50" s="333">
        <f>IFERROR(__xludf.DUMMYFUNCTION("""COMPUTED_VALUE"""),0.0)</f>
        <v>0</v>
      </c>
      <c r="P50" s="333">
        <f>IFERROR(__xludf.DUMMYFUNCTION("""COMPUTED_VALUE"""),0.0)</f>
        <v>0</v>
      </c>
      <c r="Q50" s="333">
        <f>IFERROR(__xludf.DUMMYFUNCTION("""COMPUTED_VALUE"""),0.0)</f>
        <v>0</v>
      </c>
    </row>
    <row r="51">
      <c r="A51" s="301"/>
      <c r="B51" s="301"/>
      <c r="C51" s="294"/>
      <c r="D51" s="271" t="s">
        <v>991</v>
      </c>
      <c r="E51" s="334">
        <f t="shared" ref="E51:L51" si="42">sum(E49:E50)</f>
        <v>0</v>
      </c>
      <c r="F51" s="304">
        <f t="shared" si="42"/>
        <v>0</v>
      </c>
      <c r="G51" s="304">
        <f t="shared" si="42"/>
        <v>0</v>
      </c>
      <c r="H51" s="304">
        <f t="shared" si="42"/>
        <v>0</v>
      </c>
      <c r="I51" s="334">
        <f t="shared" si="42"/>
        <v>0</v>
      </c>
      <c r="J51" s="304">
        <f t="shared" si="42"/>
        <v>0</v>
      </c>
      <c r="K51" s="304">
        <f t="shared" si="42"/>
        <v>0</v>
      </c>
      <c r="L51" s="304">
        <f t="shared" si="42"/>
        <v>0</v>
      </c>
      <c r="M51" s="305"/>
      <c r="N51" s="334">
        <f>IFERROR(__xludf.DUMMYFUNCTION("""COMPUTED_VALUE"""),0.0)</f>
        <v>0</v>
      </c>
      <c r="O51" s="304">
        <f>IFERROR(__xludf.DUMMYFUNCTION("""COMPUTED_VALUE"""),0.0)</f>
        <v>0</v>
      </c>
      <c r="P51" s="304">
        <f>IFERROR(__xludf.DUMMYFUNCTION("""COMPUTED_VALUE"""),0.0)</f>
        <v>0</v>
      </c>
      <c r="Q51" s="304">
        <f>IFERROR(__xludf.DUMMYFUNCTION("""COMPUTED_VALUE"""),0.0)</f>
        <v>0</v>
      </c>
    </row>
    <row r="52">
      <c r="A52" s="297"/>
      <c r="B52" s="280"/>
      <c r="C52" s="329" t="s">
        <v>981</v>
      </c>
      <c r="D52" s="261" t="s">
        <v>992</v>
      </c>
      <c r="E52" s="325">
        <f>IFERROR(__xludf.DUMMYFUNCTION("IMPORTRANGE(Link!$B$3,""Form HO!E47:E48"")"),1.72096116E8)</f>
        <v>172096116</v>
      </c>
      <c r="F52" s="331">
        <f>'Sinta-A'!$E$165</f>
        <v>153430136</v>
      </c>
      <c r="G52" s="331">
        <f>'Sinta-A'!$H$165</f>
        <v>0</v>
      </c>
      <c r="H52" s="331">
        <f>'Sinta-A'!$I$165</f>
        <v>0</v>
      </c>
      <c r="I52" s="325">
        <f>IFERROR(__xludf.DUMMYFUNCTION("IMPORTRANGE(Link!$B$3,""Form HO!I47:I48"")"),8.60480573E8)</f>
        <v>860480573</v>
      </c>
      <c r="J52" s="331">
        <f t="shared" ref="J52:L52" si="43">F52+O52</f>
        <v>613720546</v>
      </c>
      <c r="K52" s="331">
        <f t="shared" si="43"/>
        <v>0</v>
      </c>
      <c r="L52" s="331">
        <f t="shared" si="43"/>
        <v>0</v>
      </c>
      <c r="M52" s="65"/>
      <c r="N52" s="332">
        <f>IFERROR(__xludf.DUMMYFUNCTION("""COMPUTED_VALUE"""),6.88384457E8)</f>
        <v>688384457</v>
      </c>
      <c r="O52" s="333">
        <f>IFERROR(__xludf.DUMMYFUNCTION("""COMPUTED_VALUE"""),4.6029041E8)</f>
        <v>460290410</v>
      </c>
      <c r="P52" s="333">
        <f>IFERROR(__xludf.DUMMYFUNCTION("""COMPUTED_VALUE"""),0.0)</f>
        <v>0</v>
      </c>
      <c r="Q52" s="333">
        <f>IFERROR(__xludf.DUMMYFUNCTION("""COMPUTED_VALUE"""),0.0)</f>
        <v>0</v>
      </c>
    </row>
    <row r="53">
      <c r="A53" s="297"/>
      <c r="B53" s="280"/>
      <c r="C53" s="329" t="s">
        <v>981</v>
      </c>
      <c r="D53" s="266" t="s">
        <v>993</v>
      </c>
      <c r="E53" s="332">
        <f>IFERROR(__xludf.DUMMYFUNCTION("""COMPUTED_VALUE"""),0.0)</f>
        <v>0</v>
      </c>
      <c r="F53" s="288">
        <v>0.0</v>
      </c>
      <c r="G53" s="288">
        <v>0.0</v>
      </c>
      <c r="H53" s="288">
        <v>0.0</v>
      </c>
      <c r="I53" s="332">
        <f>IFERROR(__xludf.DUMMYFUNCTION("""COMPUTED_VALUE"""),0.0)</f>
        <v>0</v>
      </c>
      <c r="J53" s="331">
        <f t="shared" ref="J53:L53" si="44">F53+O53</f>
        <v>0</v>
      </c>
      <c r="K53" s="331">
        <f t="shared" si="44"/>
        <v>0</v>
      </c>
      <c r="L53" s="331">
        <f t="shared" si="44"/>
        <v>0</v>
      </c>
      <c r="M53" s="65"/>
      <c r="N53" s="332">
        <f>IFERROR(__xludf.DUMMYFUNCTION("""COMPUTED_VALUE"""),0.0)</f>
        <v>0</v>
      </c>
      <c r="O53" s="333">
        <f>IFERROR(__xludf.DUMMYFUNCTION("""COMPUTED_VALUE"""),0.0)</f>
        <v>0</v>
      </c>
      <c r="P53" s="333">
        <f>IFERROR(__xludf.DUMMYFUNCTION("""COMPUTED_VALUE"""),0.0)</f>
        <v>0</v>
      </c>
      <c r="Q53" s="333">
        <f>IFERROR(__xludf.DUMMYFUNCTION("""COMPUTED_VALUE"""),0.0)</f>
        <v>0</v>
      </c>
    </row>
    <row r="54">
      <c r="A54" s="337"/>
      <c r="B54" s="337"/>
      <c r="C54" s="338"/>
      <c r="D54" s="271" t="s">
        <v>994</v>
      </c>
      <c r="E54" s="334">
        <f t="shared" ref="E54:L54" si="45">sum(E52:E53)</f>
        <v>172096116</v>
      </c>
      <c r="F54" s="304">
        <f t="shared" si="45"/>
        <v>153430136</v>
      </c>
      <c r="G54" s="304">
        <f t="shared" si="45"/>
        <v>0</v>
      </c>
      <c r="H54" s="304">
        <f t="shared" si="45"/>
        <v>0</v>
      </c>
      <c r="I54" s="334">
        <f t="shared" si="45"/>
        <v>860480573</v>
      </c>
      <c r="J54" s="304">
        <f t="shared" si="45"/>
        <v>613720546</v>
      </c>
      <c r="K54" s="304">
        <f t="shared" si="45"/>
        <v>0</v>
      </c>
      <c r="L54" s="304">
        <f t="shared" si="45"/>
        <v>0</v>
      </c>
      <c r="M54" s="305"/>
      <c r="N54" s="334">
        <f>IFERROR(__xludf.DUMMYFUNCTION("""COMPUTED_VALUE"""),6.88384457E8)</f>
        <v>688384457</v>
      </c>
      <c r="O54" s="304">
        <f>IFERROR(__xludf.DUMMYFUNCTION("""COMPUTED_VALUE"""),4.6029041E8)</f>
        <v>460290410</v>
      </c>
      <c r="P54" s="304">
        <f>IFERROR(__xludf.DUMMYFUNCTION("""COMPUTED_VALUE"""),0.0)</f>
        <v>0</v>
      </c>
      <c r="Q54" s="304">
        <f>IFERROR(__xludf.DUMMYFUNCTION("""COMPUTED_VALUE"""),0.0)</f>
        <v>0</v>
      </c>
    </row>
    <row r="55">
      <c r="A55" s="337"/>
      <c r="B55" s="337"/>
      <c r="C55" s="338"/>
      <c r="D55" s="271" t="s">
        <v>995</v>
      </c>
      <c r="E55" s="334">
        <f t="shared" ref="E55:L55" si="46">E48+E51+E54</f>
        <v>500546478</v>
      </c>
      <c r="F55" s="304">
        <f t="shared" si="46"/>
        <v>345011463</v>
      </c>
      <c r="G55" s="304">
        <f t="shared" si="46"/>
        <v>0</v>
      </c>
      <c r="H55" s="304">
        <f t="shared" si="46"/>
        <v>0</v>
      </c>
      <c r="I55" s="334">
        <f t="shared" si="46"/>
        <v>2722285580</v>
      </c>
      <c r="J55" s="304">
        <f t="shared" si="46"/>
        <v>1381516284</v>
      </c>
      <c r="K55" s="304">
        <f t="shared" si="46"/>
        <v>0</v>
      </c>
      <c r="L55" s="304">
        <f t="shared" si="46"/>
        <v>0</v>
      </c>
      <c r="M55" s="305"/>
      <c r="N55" s="334">
        <f>IFERROR(__xludf.DUMMYFUNCTION("""COMPUTED_VALUE"""),2.221739102E9)</f>
        <v>2221739102</v>
      </c>
      <c r="O55" s="304">
        <f>IFERROR(__xludf.DUMMYFUNCTION("""COMPUTED_VALUE"""),1.036504821E9)</f>
        <v>1036504821</v>
      </c>
      <c r="P55" s="304">
        <f>IFERROR(__xludf.DUMMYFUNCTION("""COMPUTED_VALUE"""),0.0)</f>
        <v>0</v>
      </c>
      <c r="Q55" s="304">
        <f>IFERROR(__xludf.DUMMYFUNCTION("""COMPUTED_VALUE"""),0.0)</f>
        <v>0</v>
      </c>
    </row>
    <row r="56">
      <c r="A56" s="297"/>
      <c r="B56" s="280"/>
      <c r="C56" s="339" t="s">
        <v>962</v>
      </c>
      <c r="D56" s="340" t="s">
        <v>996</v>
      </c>
      <c r="E56" s="325">
        <f>IFERROR(__xludf.DUMMYFUNCTION("IMPORTRANGE(Link!$B$3,""Form HO!E51:E54"")"),0.0)</f>
        <v>0</v>
      </c>
      <c r="F56" s="333">
        <v>0.0</v>
      </c>
      <c r="G56" s="333">
        <v>0.0</v>
      </c>
      <c r="H56" s="333">
        <v>0.0</v>
      </c>
      <c r="I56" s="325">
        <f>IFERROR(__xludf.DUMMYFUNCTION("IMPORTRANGE(Link!$B$3,""Form HO!I51:I54"")"),0.0)</f>
        <v>0</v>
      </c>
      <c r="J56" s="331">
        <f t="shared" ref="J56:L56" si="47">F56+O56</f>
        <v>0</v>
      </c>
      <c r="K56" s="331">
        <f t="shared" si="47"/>
        <v>0</v>
      </c>
      <c r="L56" s="331">
        <f t="shared" si="47"/>
        <v>0</v>
      </c>
      <c r="M56" s="65"/>
      <c r="N56" s="332">
        <f>IFERROR(__xludf.DUMMYFUNCTION("""COMPUTED_VALUE"""),0.0)</f>
        <v>0</v>
      </c>
      <c r="O56" s="333">
        <f>IFERROR(__xludf.DUMMYFUNCTION("""COMPUTED_VALUE"""),0.0)</f>
        <v>0</v>
      </c>
      <c r="P56" s="333">
        <f>IFERROR(__xludf.DUMMYFUNCTION("""COMPUTED_VALUE"""),0.0)</f>
        <v>0</v>
      </c>
      <c r="Q56" s="333">
        <f>IFERROR(__xludf.DUMMYFUNCTION("""COMPUTED_VALUE"""),0.0)</f>
        <v>0</v>
      </c>
    </row>
    <row r="57">
      <c r="A57" s="297"/>
      <c r="B57" s="280"/>
      <c r="C57" s="339" t="s">
        <v>964</v>
      </c>
      <c r="D57" s="340" t="s">
        <v>997</v>
      </c>
      <c r="E57" s="332">
        <f>IFERROR(__xludf.DUMMYFUNCTION("""COMPUTED_VALUE"""),0.0)</f>
        <v>0</v>
      </c>
      <c r="F57" s="333">
        <v>0.0</v>
      </c>
      <c r="G57" s="333">
        <v>0.0</v>
      </c>
      <c r="H57" s="333">
        <v>0.0</v>
      </c>
      <c r="I57" s="332">
        <f>IFERROR(__xludf.DUMMYFUNCTION("""COMPUTED_VALUE"""),0.0)</f>
        <v>0</v>
      </c>
      <c r="J57" s="331">
        <f t="shared" ref="J57:L57" si="48">F57+O57</f>
        <v>0</v>
      </c>
      <c r="K57" s="331">
        <f t="shared" si="48"/>
        <v>0</v>
      </c>
      <c r="L57" s="331">
        <f t="shared" si="48"/>
        <v>0</v>
      </c>
      <c r="M57" s="65"/>
      <c r="N57" s="332">
        <f>IFERROR(__xludf.DUMMYFUNCTION("""COMPUTED_VALUE"""),0.0)</f>
        <v>0</v>
      </c>
      <c r="O57" s="333">
        <f>IFERROR(__xludf.DUMMYFUNCTION("""COMPUTED_VALUE"""),0.0)</f>
        <v>0</v>
      </c>
      <c r="P57" s="333">
        <f>IFERROR(__xludf.DUMMYFUNCTION("""COMPUTED_VALUE"""),0.0)</f>
        <v>0</v>
      </c>
      <c r="Q57" s="333">
        <f>IFERROR(__xludf.DUMMYFUNCTION("""COMPUTED_VALUE"""),0.0)</f>
        <v>0</v>
      </c>
    </row>
    <row r="58">
      <c r="A58" s="297"/>
      <c r="B58" s="280"/>
      <c r="C58" s="265"/>
      <c r="D58" s="341" t="s">
        <v>998</v>
      </c>
      <c r="E58" s="330">
        <f>IFERROR(__xludf.DUMMYFUNCTION("""COMPUTED_VALUE"""),0.0)</f>
        <v>0</v>
      </c>
      <c r="F58" s="333">
        <v>0.0</v>
      </c>
      <c r="G58" s="333">
        <v>0.0</v>
      </c>
      <c r="H58" s="333">
        <v>0.0</v>
      </c>
      <c r="I58" s="330">
        <f>IFERROR(__xludf.DUMMYFUNCTION("""COMPUTED_VALUE"""),0.0)</f>
        <v>0</v>
      </c>
      <c r="J58" s="331">
        <f t="shared" ref="J58:L58" si="49">F58+O58</f>
        <v>0</v>
      </c>
      <c r="K58" s="331">
        <f t="shared" si="49"/>
        <v>0</v>
      </c>
      <c r="L58" s="331">
        <f t="shared" si="49"/>
        <v>0</v>
      </c>
      <c r="M58" s="65"/>
      <c r="N58" s="332"/>
      <c r="O58" s="333"/>
      <c r="P58" s="333"/>
      <c r="Q58" s="333"/>
    </row>
    <row r="59">
      <c r="A59" s="297"/>
      <c r="B59" s="280"/>
      <c r="C59" s="265"/>
      <c r="D59" s="340" t="s">
        <v>999</v>
      </c>
      <c r="E59" s="330">
        <f>IFERROR(__xludf.DUMMYFUNCTION("""COMPUTED_VALUE"""),0.0)</f>
        <v>0</v>
      </c>
      <c r="F59" s="333">
        <v>0.0</v>
      </c>
      <c r="G59" s="333">
        <v>0.0</v>
      </c>
      <c r="H59" s="333">
        <v>0.0</v>
      </c>
      <c r="I59" s="330">
        <f>IFERROR(__xludf.DUMMYFUNCTION("""COMPUTED_VALUE"""),0.0)</f>
        <v>0</v>
      </c>
      <c r="J59" s="331">
        <f t="shared" ref="J59:L59" si="50">F59+O59</f>
        <v>0</v>
      </c>
      <c r="K59" s="331">
        <f t="shared" si="50"/>
        <v>0</v>
      </c>
      <c r="L59" s="331">
        <f t="shared" si="50"/>
        <v>0</v>
      </c>
      <c r="M59" s="65"/>
      <c r="N59" s="332"/>
      <c r="O59" s="333"/>
      <c r="P59" s="333"/>
      <c r="Q59" s="333"/>
    </row>
    <row r="60">
      <c r="A60" s="337"/>
      <c r="B60" s="337"/>
      <c r="C60" s="338"/>
      <c r="D60" s="271" t="s">
        <v>1000</v>
      </c>
      <c r="E60" s="334">
        <f t="shared" ref="E60:L60" si="51">sum(E56:E59)</f>
        <v>0</v>
      </c>
      <c r="F60" s="304">
        <f t="shared" si="51"/>
        <v>0</v>
      </c>
      <c r="G60" s="304">
        <f t="shared" si="51"/>
        <v>0</v>
      </c>
      <c r="H60" s="304">
        <f t="shared" si="51"/>
        <v>0</v>
      </c>
      <c r="I60" s="334">
        <f t="shared" si="51"/>
        <v>0</v>
      </c>
      <c r="J60" s="304">
        <f t="shared" si="51"/>
        <v>0</v>
      </c>
      <c r="K60" s="304">
        <f t="shared" si="51"/>
        <v>0</v>
      </c>
      <c r="L60" s="304">
        <f t="shared" si="51"/>
        <v>0</v>
      </c>
      <c r="M60" s="305"/>
      <c r="N60" s="334"/>
      <c r="O60" s="304"/>
      <c r="P60" s="304"/>
      <c r="Q60" s="304"/>
    </row>
    <row r="61">
      <c r="A61" s="337"/>
      <c r="B61" s="337"/>
      <c r="C61" s="338"/>
      <c r="D61" s="271" t="s">
        <v>1001</v>
      </c>
      <c r="E61" s="334">
        <f t="shared" ref="E61:L61" si="52">E55+E60</f>
        <v>500546478</v>
      </c>
      <c r="F61" s="304">
        <f t="shared" si="52"/>
        <v>345011463</v>
      </c>
      <c r="G61" s="304">
        <f t="shared" si="52"/>
        <v>0</v>
      </c>
      <c r="H61" s="304">
        <f t="shared" si="52"/>
        <v>0</v>
      </c>
      <c r="I61" s="304">
        <f t="shared" si="52"/>
        <v>2722285580</v>
      </c>
      <c r="J61" s="304">
        <f t="shared" si="52"/>
        <v>1381516284</v>
      </c>
      <c r="K61" s="304">
        <f t="shared" si="52"/>
        <v>0</v>
      </c>
      <c r="L61" s="304">
        <f t="shared" si="52"/>
        <v>0</v>
      </c>
      <c r="M61" s="305"/>
      <c r="N61" s="334"/>
      <c r="O61" s="304"/>
      <c r="P61" s="304"/>
      <c r="Q61" s="304"/>
    </row>
    <row r="62">
      <c r="A62" s="342"/>
      <c r="B62" s="342"/>
      <c r="C62" s="343"/>
      <c r="D62" s="344" t="s">
        <v>1002</v>
      </c>
      <c r="E62" s="345">
        <f t="shared" ref="E62:L62" si="53">iferror(E46/E5,0)</f>
        <v>0</v>
      </c>
      <c r="F62" s="345">
        <f t="shared" si="53"/>
        <v>0</v>
      </c>
      <c r="G62" s="345">
        <f t="shared" si="53"/>
        <v>0</v>
      </c>
      <c r="H62" s="345">
        <f t="shared" si="53"/>
        <v>0</v>
      </c>
      <c r="I62" s="345">
        <f t="shared" si="53"/>
        <v>0</v>
      </c>
      <c r="J62" s="345">
        <f t="shared" si="53"/>
        <v>0</v>
      </c>
      <c r="K62" s="345">
        <f t="shared" si="53"/>
        <v>0</v>
      </c>
      <c r="L62" s="345">
        <f t="shared" si="53"/>
        <v>0</v>
      </c>
      <c r="M62" s="65"/>
      <c r="N62" s="345"/>
      <c r="O62" s="346"/>
      <c r="P62" s="346"/>
      <c r="Q62" s="346"/>
    </row>
    <row r="63">
      <c r="A63" s="342"/>
      <c r="B63" s="342"/>
      <c r="C63" s="347"/>
      <c r="D63" s="348" t="s">
        <v>1003</v>
      </c>
      <c r="E63" s="349">
        <f t="shared" ref="E63:L63" si="54">iferror((E61-E54)/E5,0)</f>
        <v>0</v>
      </c>
      <c r="F63" s="349">
        <f t="shared" si="54"/>
        <v>0</v>
      </c>
      <c r="G63" s="349">
        <f t="shared" si="54"/>
        <v>0</v>
      </c>
      <c r="H63" s="349">
        <f t="shared" si="54"/>
        <v>0</v>
      </c>
      <c r="I63" s="349">
        <f t="shared" si="54"/>
        <v>0</v>
      </c>
      <c r="J63" s="349">
        <f t="shared" si="54"/>
        <v>0</v>
      </c>
      <c r="K63" s="349">
        <f t="shared" si="54"/>
        <v>0</v>
      </c>
      <c r="L63" s="349">
        <f t="shared" si="54"/>
        <v>0</v>
      </c>
      <c r="M63" s="65"/>
      <c r="N63" s="349"/>
      <c r="O63" s="350"/>
      <c r="P63" s="350"/>
      <c r="Q63" s="350"/>
    </row>
    <row r="64">
      <c r="A64" s="342"/>
      <c r="B64" s="342"/>
      <c r="C64" s="347"/>
      <c r="D64" s="348" t="s">
        <v>1004</v>
      </c>
      <c r="E64" s="349">
        <f t="shared" ref="E64:L64" si="55">iferror(E61/E5,0)</f>
        <v>0</v>
      </c>
      <c r="F64" s="349">
        <f t="shared" si="55"/>
        <v>0</v>
      </c>
      <c r="G64" s="349">
        <f t="shared" si="55"/>
        <v>0</v>
      </c>
      <c r="H64" s="349">
        <f t="shared" si="55"/>
        <v>0</v>
      </c>
      <c r="I64" s="349">
        <f t="shared" si="55"/>
        <v>0</v>
      </c>
      <c r="J64" s="349">
        <f t="shared" si="55"/>
        <v>0</v>
      </c>
      <c r="K64" s="349">
        <f t="shared" si="55"/>
        <v>0</v>
      </c>
      <c r="L64" s="349">
        <f t="shared" si="55"/>
        <v>0</v>
      </c>
      <c r="M64" s="65"/>
      <c r="N64" s="349"/>
      <c r="O64" s="350"/>
      <c r="P64" s="350"/>
      <c r="Q64" s="350"/>
    </row>
    <row r="65">
      <c r="A65" s="342"/>
      <c r="B65" s="342"/>
      <c r="C65" s="347"/>
      <c r="D65" s="348" t="s">
        <v>1005</v>
      </c>
      <c r="E65" s="349">
        <f t="shared" ref="E65:L65" si="56">iferror(E55/(E17),0)</f>
        <v>150767.0114</v>
      </c>
      <c r="F65" s="349">
        <f t="shared" si="56"/>
        <v>891502.4884</v>
      </c>
      <c r="G65" s="349">
        <f t="shared" si="56"/>
        <v>0</v>
      </c>
      <c r="H65" s="349">
        <f t="shared" si="56"/>
        <v>0</v>
      </c>
      <c r="I65" s="349">
        <f t="shared" si="56"/>
        <v>190369.621</v>
      </c>
      <c r="J65" s="349">
        <f t="shared" si="56"/>
        <v>443504.425</v>
      </c>
      <c r="K65" s="349">
        <f t="shared" si="56"/>
        <v>0</v>
      </c>
      <c r="L65" s="349">
        <f t="shared" si="56"/>
        <v>0</v>
      </c>
      <c r="M65" s="65"/>
      <c r="N65" s="349"/>
      <c r="O65" s="350"/>
      <c r="P65" s="350"/>
      <c r="Q65" s="350"/>
    </row>
    <row r="66">
      <c r="A66" s="342"/>
      <c r="B66" s="342"/>
      <c r="C66" s="347"/>
      <c r="D66" s="348" t="s">
        <v>1006</v>
      </c>
      <c r="E66" s="349">
        <f t="shared" ref="E66:L66" si="57">iferror(E60/(E18+E19),0)</f>
        <v>0</v>
      </c>
      <c r="F66" s="349">
        <f t="shared" si="57"/>
        <v>0</v>
      </c>
      <c r="G66" s="349">
        <f t="shared" si="57"/>
        <v>0</v>
      </c>
      <c r="H66" s="349">
        <f t="shared" si="57"/>
        <v>0</v>
      </c>
      <c r="I66" s="349">
        <f t="shared" si="57"/>
        <v>0</v>
      </c>
      <c r="J66" s="349">
        <f t="shared" si="57"/>
        <v>0</v>
      </c>
      <c r="K66" s="349">
        <f t="shared" si="57"/>
        <v>0</v>
      </c>
      <c r="L66" s="349">
        <f t="shared" si="57"/>
        <v>0</v>
      </c>
      <c r="M66" s="65"/>
      <c r="N66" s="349"/>
      <c r="O66" s="350"/>
      <c r="P66" s="350"/>
      <c r="Q66" s="350"/>
    </row>
    <row r="67">
      <c r="A67" s="342"/>
      <c r="B67" s="342"/>
      <c r="C67" s="351"/>
      <c r="D67" s="352" t="s">
        <v>1007</v>
      </c>
      <c r="E67" s="353">
        <f t="shared" ref="E67:L67" si="58">iferror(E55/(E20),0)</f>
        <v>150767.0114</v>
      </c>
      <c r="F67" s="353">
        <f t="shared" si="58"/>
        <v>891502.4884</v>
      </c>
      <c r="G67" s="353">
        <f t="shared" si="58"/>
        <v>0</v>
      </c>
      <c r="H67" s="353">
        <f t="shared" si="58"/>
        <v>0</v>
      </c>
      <c r="I67" s="353">
        <f t="shared" si="58"/>
        <v>190369.621</v>
      </c>
      <c r="J67" s="353">
        <f t="shared" si="58"/>
        <v>443504.425</v>
      </c>
      <c r="K67" s="353">
        <f t="shared" si="58"/>
        <v>0</v>
      </c>
      <c r="L67" s="353">
        <f t="shared" si="58"/>
        <v>0</v>
      </c>
      <c r="M67" s="65"/>
      <c r="N67" s="353"/>
      <c r="O67" s="354"/>
      <c r="P67" s="354"/>
      <c r="Q67" s="354"/>
    </row>
    <row r="68">
      <c r="A68" s="280"/>
      <c r="B68" s="280"/>
      <c r="C68" s="355"/>
      <c r="D68" s="356"/>
      <c r="E68" s="357"/>
      <c r="F68" s="358"/>
      <c r="G68" s="358"/>
      <c r="H68" s="358"/>
      <c r="I68" s="358"/>
      <c r="J68" s="358"/>
      <c r="K68" s="358"/>
      <c r="L68" s="358"/>
      <c r="M68" s="65"/>
      <c r="N68" s="357"/>
      <c r="O68" s="358"/>
      <c r="P68" s="358"/>
      <c r="Q68" s="358"/>
    </row>
  </sheetData>
  <mergeCells count="20">
    <mergeCell ref="E8:H8"/>
    <mergeCell ref="I8:L8"/>
    <mergeCell ref="I9:L9"/>
    <mergeCell ref="N9:Q9"/>
    <mergeCell ref="C3:D3"/>
    <mergeCell ref="E3:L3"/>
    <mergeCell ref="N3:Q3"/>
    <mergeCell ref="C4:D4"/>
    <mergeCell ref="E4:L4"/>
    <mergeCell ref="N4:Q4"/>
    <mergeCell ref="N8:Q8"/>
    <mergeCell ref="N38:Q38"/>
    <mergeCell ref="N39:Q39"/>
    <mergeCell ref="C8:D10"/>
    <mergeCell ref="E9:H9"/>
    <mergeCell ref="C38:D40"/>
    <mergeCell ref="E38:H38"/>
    <mergeCell ref="I38:L38"/>
    <mergeCell ref="E39:H39"/>
    <mergeCell ref="I39:L39"/>
  </mergeCells>
  <dataValidations>
    <dataValidation type="list" allowBlank="1" showErrorMessage="1" sqref="E4 N4">
      <formula1>Plant!$A$2:$A$28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 outlineLevelRow="1"/>
  <cols>
    <col customWidth="1" min="1" max="1" width="3.86"/>
    <col customWidth="1" min="2" max="2" width="1.86"/>
    <col customWidth="1" min="3" max="3" width="4.14"/>
    <col customWidth="1" min="4" max="4" width="56.43"/>
    <col customWidth="1" min="5" max="5" width="16.43"/>
    <col customWidth="1" min="6" max="6" width="15.71"/>
    <col customWidth="1" min="7" max="9" width="15.86"/>
    <col customWidth="1" min="10" max="10" width="17.14"/>
    <col customWidth="1" min="11" max="11" width="16.86"/>
    <col customWidth="1" min="12" max="13" width="17.0"/>
    <col customWidth="1" min="14" max="14" width="16.43"/>
    <col customWidth="1" min="15" max="15" width="15.71"/>
    <col customWidth="1" min="16" max="17" width="15.86"/>
  </cols>
  <sheetData>
    <row r="1">
      <c r="A1" s="248"/>
      <c r="B1" s="248"/>
      <c r="C1" s="65"/>
      <c r="D1" s="65"/>
      <c r="E1" s="249"/>
      <c r="F1" s="65"/>
      <c r="G1" s="67"/>
      <c r="H1" s="65"/>
      <c r="I1" s="65"/>
      <c r="J1" s="65"/>
      <c r="K1" s="65"/>
      <c r="L1" s="65"/>
      <c r="M1" s="65"/>
      <c r="N1" s="249"/>
      <c r="O1" s="65"/>
      <c r="P1" s="67"/>
      <c r="Q1" s="65"/>
    </row>
    <row r="2">
      <c r="A2" s="248"/>
      <c r="B2" s="248"/>
      <c r="C2" s="250"/>
      <c r="D2" s="251" t="str">
        <f>UPPER('Balin-A'!E5)</f>
        <v>BULAN MEI 2026</v>
      </c>
      <c r="E2" s="65"/>
      <c r="F2" s="65"/>
      <c r="G2" s="67"/>
      <c r="H2" s="65"/>
      <c r="I2" s="65"/>
      <c r="J2" s="65"/>
      <c r="K2" s="65"/>
      <c r="L2" s="252" t="str">
        <f>VLOOKUP(E4,Plant!$A$2:$B$19,2,FALSE)</f>
        <v>5E12</v>
      </c>
      <c r="M2" s="65"/>
      <c r="N2" s="65"/>
      <c r="O2" s="65"/>
      <c r="P2" s="67"/>
      <c r="Q2" s="65"/>
    </row>
    <row r="3">
      <c r="A3" s="248"/>
      <c r="B3" s="248"/>
      <c r="C3" s="253" t="s">
        <v>946</v>
      </c>
      <c r="D3" s="161"/>
      <c r="E3" s="254" t="s">
        <v>947</v>
      </c>
      <c r="F3" s="75"/>
      <c r="G3" s="75"/>
      <c r="H3" s="75"/>
      <c r="I3" s="75"/>
      <c r="J3" s="75"/>
      <c r="K3" s="75"/>
      <c r="L3" s="161"/>
      <c r="M3" s="65"/>
      <c r="N3" s="254"/>
      <c r="O3" s="75"/>
      <c r="P3" s="75"/>
      <c r="Q3" s="161"/>
    </row>
    <row r="4">
      <c r="A4" s="248"/>
      <c r="B4" s="248"/>
      <c r="C4" s="255" t="s">
        <v>948</v>
      </c>
      <c r="D4" s="256"/>
      <c r="E4" s="257" t="s">
        <v>686</v>
      </c>
      <c r="F4" s="258"/>
      <c r="G4" s="258"/>
      <c r="H4" s="258"/>
      <c r="I4" s="258"/>
      <c r="J4" s="258"/>
      <c r="K4" s="258"/>
      <c r="L4" s="259"/>
      <c r="M4" s="65"/>
      <c r="N4" s="257"/>
      <c r="O4" s="258"/>
      <c r="P4" s="258"/>
      <c r="Q4" s="259"/>
    </row>
    <row r="5">
      <c r="A5" s="248"/>
      <c r="B5" s="248"/>
      <c r="C5" s="260"/>
      <c r="D5" s="261" t="s">
        <v>949</v>
      </c>
      <c r="E5" s="262">
        <f>IFERROR(__xludf.DUMMYFUNCTION("IMPORTRANGE(Link!B$3,""Form HO!M6"")"),0.0)</f>
        <v>0</v>
      </c>
      <c r="F5" s="263">
        <v>0.0</v>
      </c>
      <c r="G5" s="263">
        <v>0.0</v>
      </c>
      <c r="H5" s="263">
        <v>0.0</v>
      </c>
      <c r="I5" s="263">
        <f t="shared" ref="I5:L5" si="1">E5</f>
        <v>0</v>
      </c>
      <c r="J5" s="263">
        <f t="shared" si="1"/>
        <v>0</v>
      </c>
      <c r="K5" s="263">
        <f t="shared" si="1"/>
        <v>0</v>
      </c>
      <c r="L5" s="263">
        <f t="shared" si="1"/>
        <v>0</v>
      </c>
      <c r="M5" s="65"/>
      <c r="N5" s="264"/>
      <c r="O5" s="263"/>
      <c r="P5" s="263"/>
      <c r="Q5" s="263"/>
    </row>
    <row r="6">
      <c r="A6" s="248"/>
      <c r="B6" s="248"/>
      <c r="C6" s="265"/>
      <c r="D6" s="266" t="s">
        <v>950</v>
      </c>
      <c r="E6" s="267"/>
      <c r="F6" s="268"/>
      <c r="G6" s="269"/>
      <c r="H6" s="268"/>
      <c r="I6" s="268"/>
      <c r="J6" s="268"/>
      <c r="K6" s="268"/>
      <c r="L6" s="268"/>
      <c r="M6" s="65"/>
      <c r="N6" s="267"/>
      <c r="O6" s="268"/>
      <c r="P6" s="269"/>
      <c r="Q6" s="268"/>
    </row>
    <row r="7">
      <c r="A7" s="248"/>
      <c r="B7" s="248"/>
      <c r="C7" s="270"/>
      <c r="D7" s="271" t="s">
        <v>951</v>
      </c>
      <c r="E7" s="272">
        <f t="shared" ref="E7:L7" si="2">sum(E5:E6)</f>
        <v>0</v>
      </c>
      <c r="F7" s="273">
        <f t="shared" si="2"/>
        <v>0</v>
      </c>
      <c r="G7" s="273">
        <f t="shared" si="2"/>
        <v>0</v>
      </c>
      <c r="H7" s="273">
        <f t="shared" si="2"/>
        <v>0</v>
      </c>
      <c r="I7" s="273">
        <f t="shared" si="2"/>
        <v>0</v>
      </c>
      <c r="J7" s="273">
        <f t="shared" si="2"/>
        <v>0</v>
      </c>
      <c r="K7" s="273">
        <f t="shared" si="2"/>
        <v>0</v>
      </c>
      <c r="L7" s="273">
        <f t="shared" si="2"/>
        <v>0</v>
      </c>
      <c r="M7" s="65"/>
      <c r="N7" s="272">
        <f t="shared" ref="N7:Q7" si="3">sum(N5:N6)</f>
        <v>0</v>
      </c>
      <c r="O7" s="273">
        <f t="shared" si="3"/>
        <v>0</v>
      </c>
      <c r="P7" s="273">
        <f t="shared" si="3"/>
        <v>0</v>
      </c>
      <c r="Q7" s="273">
        <f t="shared" si="3"/>
        <v>0</v>
      </c>
    </row>
    <row r="8">
      <c r="A8" s="274"/>
      <c r="B8" s="274"/>
      <c r="C8" s="253" t="s">
        <v>405</v>
      </c>
      <c r="D8" s="161"/>
      <c r="E8" s="275" t="s">
        <v>952</v>
      </c>
      <c r="F8" s="258"/>
      <c r="G8" s="258"/>
      <c r="H8" s="259"/>
      <c r="I8" s="276" t="s">
        <v>952</v>
      </c>
      <c r="J8" s="258"/>
      <c r="K8" s="258"/>
      <c r="L8" s="259"/>
      <c r="M8" s="65"/>
      <c r="N8" s="275" t="s">
        <v>952</v>
      </c>
      <c r="O8" s="258"/>
      <c r="P8" s="258"/>
      <c r="Q8" s="259"/>
    </row>
    <row r="9">
      <c r="A9" s="274"/>
      <c r="B9" s="274"/>
      <c r="C9" s="157"/>
      <c r="D9" s="158"/>
      <c r="E9" s="275" t="s">
        <v>724</v>
      </c>
      <c r="F9" s="258"/>
      <c r="G9" s="258"/>
      <c r="H9" s="259"/>
      <c r="I9" s="276" t="s">
        <v>953</v>
      </c>
      <c r="J9" s="258"/>
      <c r="K9" s="258"/>
      <c r="L9" s="259"/>
      <c r="M9" s="65"/>
      <c r="N9" s="275" t="s">
        <v>954</v>
      </c>
      <c r="O9" s="258"/>
      <c r="P9" s="258"/>
      <c r="Q9" s="259"/>
    </row>
    <row r="10">
      <c r="A10" s="274"/>
      <c r="B10" s="274"/>
      <c r="C10" s="172"/>
      <c r="D10" s="173"/>
      <c r="E10" s="277" t="s">
        <v>734</v>
      </c>
      <c r="F10" s="278" t="s">
        <v>957</v>
      </c>
      <c r="G10" s="279" t="s">
        <v>958</v>
      </c>
      <c r="H10" s="278" t="s">
        <v>635</v>
      </c>
      <c r="I10" s="278" t="str">
        <f t="shared" ref="I10:L10" si="4">E10</f>
        <v>Real Tahun Lalu</v>
      </c>
      <c r="J10" s="278" t="str">
        <f t="shared" si="4"/>
        <v>Real Tahun Ini</v>
      </c>
      <c r="K10" s="279" t="str">
        <f t="shared" si="4"/>
        <v>RKO TW</v>
      </c>
      <c r="L10" s="278" t="str">
        <f t="shared" si="4"/>
        <v>RKAP</v>
      </c>
      <c r="M10" s="65"/>
      <c r="N10" s="277" t="s">
        <v>734</v>
      </c>
      <c r="O10" s="278" t="s">
        <v>957</v>
      </c>
      <c r="P10" s="279" t="s">
        <v>958</v>
      </c>
      <c r="Q10" s="278" t="s">
        <v>635</v>
      </c>
    </row>
    <row r="11">
      <c r="A11" s="280"/>
      <c r="B11" s="280"/>
      <c r="C11" s="281" t="s">
        <v>959</v>
      </c>
      <c r="D11" s="282" t="s">
        <v>960</v>
      </c>
      <c r="E11" s="283">
        <f t="shared" ref="E11:L11" si="5">sum(E12:E14)</f>
        <v>0</v>
      </c>
      <c r="F11" s="284">
        <f t="shared" si="5"/>
        <v>0</v>
      </c>
      <c r="G11" s="284">
        <f t="shared" si="5"/>
        <v>0</v>
      </c>
      <c r="H11" s="284">
        <f t="shared" si="5"/>
        <v>0</v>
      </c>
      <c r="I11" s="284">
        <f t="shared" si="5"/>
        <v>0</v>
      </c>
      <c r="J11" s="284">
        <f t="shared" si="5"/>
        <v>0</v>
      </c>
      <c r="K11" s="284">
        <f t="shared" si="5"/>
        <v>0</v>
      </c>
      <c r="L11" s="284">
        <f t="shared" si="5"/>
        <v>0</v>
      </c>
      <c r="M11" s="65"/>
      <c r="N11" s="283" t="str">
        <f>IFERROR(__xludf.DUMMYFUNCTION("IFERROR(IMPORTRANGE(Link!$B$1,CONCATENATE(VLOOKUP($L$2,Plant!$B$1:$C$19,2,false),""!I11:L57"")),0)"),"#REF!")</f>
        <v>#REF!</v>
      </c>
      <c r="O11" s="284"/>
      <c r="P11" s="284"/>
      <c r="Q11" s="284"/>
    </row>
    <row r="12" outlineLevel="1">
      <c r="A12" s="285"/>
      <c r="B12" s="280"/>
      <c r="C12" s="286"/>
      <c r="D12" s="287" t="s">
        <v>961</v>
      </c>
      <c r="E12" s="288">
        <v>0.0</v>
      </c>
      <c r="F12" s="288">
        <v>0.0</v>
      </c>
      <c r="G12" s="288">
        <v>0.0</v>
      </c>
      <c r="H12" s="288">
        <v>0.0</v>
      </c>
      <c r="I12" s="288">
        <v>0.0</v>
      </c>
      <c r="J12" s="288">
        <v>0.0</v>
      </c>
      <c r="K12" s="288">
        <v>0.0</v>
      </c>
      <c r="L12" s="288">
        <v>0.0</v>
      </c>
      <c r="M12" s="65"/>
      <c r="N12" s="291"/>
      <c r="O12" s="290"/>
      <c r="P12" s="290"/>
      <c r="Q12" s="290"/>
    </row>
    <row r="13" outlineLevel="1">
      <c r="A13" s="285"/>
      <c r="B13" s="280"/>
      <c r="C13" s="292" t="s">
        <v>962</v>
      </c>
      <c r="D13" s="287" t="s">
        <v>963</v>
      </c>
      <c r="E13" s="288">
        <v>0.0</v>
      </c>
      <c r="F13" s="288">
        <v>0.0</v>
      </c>
      <c r="G13" s="288">
        <v>0.0</v>
      </c>
      <c r="H13" s="288">
        <v>0.0</v>
      </c>
      <c r="I13" s="288">
        <v>0.0</v>
      </c>
      <c r="J13" s="288">
        <v>0.0</v>
      </c>
      <c r="K13" s="288">
        <v>0.0</v>
      </c>
      <c r="L13" s="288">
        <v>0.0</v>
      </c>
      <c r="M13" s="65"/>
      <c r="N13" s="291"/>
      <c r="O13" s="290"/>
      <c r="P13" s="290"/>
      <c r="Q13" s="290"/>
    </row>
    <row r="14" outlineLevel="1">
      <c r="A14" s="285"/>
      <c r="B14" s="280"/>
      <c r="C14" s="292" t="s">
        <v>964</v>
      </c>
      <c r="D14" s="287" t="s">
        <v>965</v>
      </c>
      <c r="E14" s="288">
        <v>0.0</v>
      </c>
      <c r="F14" s="288">
        <v>0.0</v>
      </c>
      <c r="G14" s="288">
        <v>0.0</v>
      </c>
      <c r="H14" s="288">
        <v>0.0</v>
      </c>
      <c r="I14" s="288">
        <v>0.0</v>
      </c>
      <c r="J14" s="288">
        <v>0.0</v>
      </c>
      <c r="K14" s="288">
        <v>0.0</v>
      </c>
      <c r="L14" s="288">
        <v>0.0</v>
      </c>
      <c r="M14" s="65"/>
      <c r="N14" s="291"/>
      <c r="O14" s="290"/>
      <c r="P14" s="290"/>
      <c r="Q14" s="290"/>
    </row>
    <row r="15">
      <c r="A15" s="280"/>
      <c r="B15" s="280"/>
      <c r="C15" s="286"/>
      <c r="D15" s="293"/>
      <c r="E15" s="291"/>
      <c r="F15" s="290"/>
      <c r="G15" s="290"/>
      <c r="H15" s="290"/>
      <c r="I15" s="290"/>
      <c r="J15" s="290"/>
      <c r="K15" s="290"/>
      <c r="L15" s="290"/>
      <c r="M15" s="65"/>
      <c r="N15" s="291"/>
      <c r="O15" s="290"/>
      <c r="P15" s="290"/>
      <c r="Q15" s="290"/>
    </row>
    <row r="16">
      <c r="A16" s="280"/>
      <c r="B16" s="280"/>
      <c r="C16" s="294" t="s">
        <v>966</v>
      </c>
      <c r="D16" s="295" t="s">
        <v>967</v>
      </c>
      <c r="E16" s="296"/>
      <c r="F16" s="269"/>
      <c r="G16" s="269"/>
      <c r="H16" s="269"/>
      <c r="I16" s="269"/>
      <c r="J16" s="269"/>
      <c r="K16" s="269"/>
      <c r="L16" s="269"/>
      <c r="M16" s="65"/>
      <c r="N16" s="296"/>
      <c r="O16" s="269"/>
      <c r="P16" s="269"/>
      <c r="Q16" s="269"/>
    </row>
    <row r="17">
      <c r="A17" s="297"/>
      <c r="B17" s="280"/>
      <c r="C17" s="265"/>
      <c r="D17" s="287" t="s">
        <v>961</v>
      </c>
      <c r="E17" s="291">
        <f>IFERROR(__xludf.DUMMYFUNCTION("IMPORTRANGE(Link!$B$3,""Form HO!M14"")"),0.0)</f>
        <v>0</v>
      </c>
      <c r="F17" s="298">
        <v>0.0</v>
      </c>
      <c r="G17" s="288">
        <v>0.0</v>
      </c>
      <c r="H17" s="288">
        <v>0.0</v>
      </c>
      <c r="I17" s="291">
        <f>IFERROR(__xludf.DUMMYFUNCTION("IMPORTRANGE(Link!$B$3,""Form HO!Q14"")"),0.0)</f>
        <v>0</v>
      </c>
      <c r="J17" s="290">
        <f t="shared" ref="J17:L17" si="6">F17+O17</f>
        <v>0</v>
      </c>
      <c r="K17" s="290">
        <f t="shared" si="6"/>
        <v>0</v>
      </c>
      <c r="L17" s="290">
        <f t="shared" si="6"/>
        <v>0</v>
      </c>
      <c r="M17" s="65"/>
      <c r="N17" s="299"/>
      <c r="O17" s="288"/>
      <c r="P17" s="300"/>
      <c r="Q17" s="300"/>
    </row>
    <row r="18">
      <c r="A18" s="297"/>
      <c r="B18" s="280"/>
      <c r="C18" s="292" t="s">
        <v>962</v>
      </c>
      <c r="D18" s="287" t="s">
        <v>963</v>
      </c>
      <c r="E18" s="289">
        <v>0.0</v>
      </c>
      <c r="F18" s="288">
        <v>0.0</v>
      </c>
      <c r="G18" s="290">
        <f>IFERROR(HLOOKUP($L$2,'RKO Rekap'!$D$7:$U$94,12,false),0)</f>
        <v>0</v>
      </c>
      <c r="H18" s="290">
        <f>IFERROR(HLOOKUP($L$2,'RKAP Rekap'!$D$7:$U$94,12,false),0)</f>
        <v>0</v>
      </c>
      <c r="I18" s="288">
        <v>0.0</v>
      </c>
      <c r="J18" s="290">
        <f t="shared" ref="J18:L18" si="7">F18+O18</f>
        <v>0</v>
      </c>
      <c r="K18" s="290">
        <f t="shared" si="7"/>
        <v>0</v>
      </c>
      <c r="L18" s="290">
        <f t="shared" si="7"/>
        <v>0</v>
      </c>
      <c r="M18" s="65"/>
      <c r="N18" s="299"/>
      <c r="O18" s="288"/>
      <c r="P18" s="300"/>
      <c r="Q18" s="300"/>
    </row>
    <row r="19">
      <c r="A19" s="297"/>
      <c r="B19" s="280"/>
      <c r="C19" s="292" t="s">
        <v>964</v>
      </c>
      <c r="D19" s="287" t="s">
        <v>965</v>
      </c>
      <c r="E19" s="289">
        <v>0.0</v>
      </c>
      <c r="F19" s="288">
        <v>0.0</v>
      </c>
      <c r="G19" s="290">
        <f>IFERROR(HLOOKUP($L$2,'RKO Rekap'!$D$7:$U$94,13,false),0)</f>
        <v>0</v>
      </c>
      <c r="H19" s="290">
        <f>IFERROR(HLOOKUP($L$2,'RKAP Rekap'!$D$7:$U$94,13,false),0)</f>
        <v>0</v>
      </c>
      <c r="I19" s="288">
        <v>0.0</v>
      </c>
      <c r="J19" s="290">
        <f t="shared" ref="J19:L19" si="8">F19+O19</f>
        <v>0</v>
      </c>
      <c r="K19" s="290">
        <f t="shared" si="8"/>
        <v>0</v>
      </c>
      <c r="L19" s="290">
        <f t="shared" si="8"/>
        <v>0</v>
      </c>
      <c r="M19" s="65"/>
      <c r="N19" s="299"/>
      <c r="O19" s="288"/>
      <c r="P19" s="300"/>
      <c r="Q19" s="300"/>
    </row>
    <row r="20">
      <c r="A20" s="301"/>
      <c r="B20" s="301"/>
      <c r="C20" s="302"/>
      <c r="D20" s="271" t="s">
        <v>951</v>
      </c>
      <c r="E20" s="303">
        <f t="shared" ref="E20:L20" si="9">sum(E17:E19)</f>
        <v>0</v>
      </c>
      <c r="F20" s="304">
        <f t="shared" si="9"/>
        <v>0</v>
      </c>
      <c r="G20" s="304">
        <f t="shared" si="9"/>
        <v>0</v>
      </c>
      <c r="H20" s="304">
        <f t="shared" si="9"/>
        <v>0</v>
      </c>
      <c r="I20" s="304">
        <f t="shared" si="9"/>
        <v>0</v>
      </c>
      <c r="J20" s="304">
        <f t="shared" si="9"/>
        <v>0</v>
      </c>
      <c r="K20" s="304">
        <f t="shared" si="9"/>
        <v>0</v>
      </c>
      <c r="L20" s="304">
        <f t="shared" si="9"/>
        <v>0</v>
      </c>
      <c r="M20" s="305"/>
      <c r="N20" s="303"/>
      <c r="O20" s="304"/>
      <c r="P20" s="304"/>
      <c r="Q20" s="304"/>
    </row>
    <row r="21">
      <c r="A21" s="280"/>
      <c r="B21" s="280"/>
      <c r="C21" s="294" t="s">
        <v>968</v>
      </c>
      <c r="D21" s="295" t="s">
        <v>969</v>
      </c>
      <c r="E21" s="296"/>
      <c r="F21" s="269"/>
      <c r="G21" s="269"/>
      <c r="H21" s="269"/>
      <c r="I21" s="269"/>
      <c r="J21" s="269"/>
      <c r="K21" s="269"/>
      <c r="L21" s="269"/>
      <c r="M21" s="65"/>
      <c r="N21" s="296"/>
      <c r="O21" s="269"/>
      <c r="P21" s="269"/>
      <c r="Q21" s="269"/>
    </row>
    <row r="22">
      <c r="A22" s="297"/>
      <c r="B22" s="280"/>
      <c r="C22" s="265"/>
      <c r="D22" s="287" t="s">
        <v>961</v>
      </c>
      <c r="E22" s="289">
        <v>0.0</v>
      </c>
      <c r="F22" s="289">
        <v>0.0</v>
      </c>
      <c r="G22" s="290">
        <f>IFERROR(HLOOKUP($L$2,'RKO Rekap'!$D$7:$U$94,33,false),0)</f>
        <v>0</v>
      </c>
      <c r="H22" s="290">
        <f>IFERROR(HLOOKUP($L$2,'RKAP Rekap'!$D$7:$U$94,33,false),0)</f>
        <v>0</v>
      </c>
      <c r="I22" s="290">
        <f t="shared" ref="I22:I24" si="11">IFERROR(HLOOKUP(CONCATENATE("Olah + Jual SBI-",$L$2),'Tahun Lalu Rekap'!$A$4:$DG$78,MATCH(A22,'Tahun Lalu Rekap'!$A$4:$A$78,0),0),0)</f>
        <v>0</v>
      </c>
      <c r="J22" s="290">
        <f t="shared" ref="J22:L22" si="10">F22+O22</f>
        <v>0</v>
      </c>
      <c r="K22" s="290">
        <f t="shared" si="10"/>
        <v>0</v>
      </c>
      <c r="L22" s="290">
        <f t="shared" si="10"/>
        <v>0</v>
      </c>
      <c r="M22" s="65"/>
      <c r="N22" s="299"/>
      <c r="O22" s="290"/>
      <c r="P22" s="300"/>
      <c r="Q22" s="300"/>
    </row>
    <row r="23">
      <c r="A23" s="297"/>
      <c r="B23" s="280"/>
      <c r="C23" s="292" t="s">
        <v>962</v>
      </c>
      <c r="D23" s="287" t="s">
        <v>963</v>
      </c>
      <c r="E23" s="289">
        <v>0.0</v>
      </c>
      <c r="F23" s="289">
        <v>0.0</v>
      </c>
      <c r="G23" s="290">
        <f>IFERROR(HLOOKUP($L$2,'RKO Rekap'!$D$7:$U$94,34,false),0)</f>
        <v>0</v>
      </c>
      <c r="H23" s="290">
        <f>IFERROR(HLOOKUP($L$2,'RKAP Rekap'!$D$7:$U$94,34,false),0)</f>
        <v>0</v>
      </c>
      <c r="I23" s="290">
        <f t="shared" si="11"/>
        <v>0</v>
      </c>
      <c r="J23" s="290">
        <f t="shared" ref="J23:L23" si="12">F23+O23</f>
        <v>0</v>
      </c>
      <c r="K23" s="290">
        <f t="shared" si="12"/>
        <v>0</v>
      </c>
      <c r="L23" s="290">
        <f t="shared" si="12"/>
        <v>0</v>
      </c>
      <c r="M23" s="65"/>
      <c r="N23" s="299"/>
      <c r="O23" s="290"/>
      <c r="P23" s="300"/>
      <c r="Q23" s="300"/>
    </row>
    <row r="24">
      <c r="A24" s="297"/>
      <c r="B24" s="280"/>
      <c r="C24" s="292" t="s">
        <v>964</v>
      </c>
      <c r="D24" s="287" t="s">
        <v>965</v>
      </c>
      <c r="E24" s="289">
        <v>0.0</v>
      </c>
      <c r="F24" s="289">
        <v>0.0</v>
      </c>
      <c r="G24" s="290">
        <f>IFERROR(HLOOKUP($L$2,'RKO Rekap'!$D$7:$U$94,35,false),0)</f>
        <v>0</v>
      </c>
      <c r="H24" s="290">
        <f>IFERROR(HLOOKUP($L$2,'RKAP Rekap'!$D$7:$U$94,35,false),0)</f>
        <v>0</v>
      </c>
      <c r="I24" s="290">
        <f t="shared" si="11"/>
        <v>0</v>
      </c>
      <c r="J24" s="290">
        <f t="shared" ref="J24:L24" si="13">F24+O24</f>
        <v>0</v>
      </c>
      <c r="K24" s="290">
        <f t="shared" si="13"/>
        <v>0</v>
      </c>
      <c r="L24" s="290">
        <f t="shared" si="13"/>
        <v>0</v>
      </c>
      <c r="M24" s="65"/>
      <c r="N24" s="299"/>
      <c r="O24" s="290"/>
      <c r="P24" s="300"/>
      <c r="Q24" s="300"/>
    </row>
    <row r="25">
      <c r="A25" s="301"/>
      <c r="B25" s="301"/>
      <c r="C25" s="302"/>
      <c r="D25" s="271" t="s">
        <v>951</v>
      </c>
      <c r="E25" s="303">
        <f t="shared" ref="E25:L25" si="14">sum(E22:E24)</f>
        <v>0</v>
      </c>
      <c r="F25" s="303">
        <f t="shared" si="14"/>
        <v>0</v>
      </c>
      <c r="G25" s="304">
        <f t="shared" si="14"/>
        <v>0</v>
      </c>
      <c r="H25" s="304">
        <f t="shared" si="14"/>
        <v>0</v>
      </c>
      <c r="I25" s="304">
        <f t="shared" si="14"/>
        <v>0</v>
      </c>
      <c r="J25" s="304">
        <f t="shared" si="14"/>
        <v>0</v>
      </c>
      <c r="K25" s="304">
        <f t="shared" si="14"/>
        <v>0</v>
      </c>
      <c r="L25" s="304">
        <f t="shared" si="14"/>
        <v>0</v>
      </c>
      <c r="M25" s="305"/>
      <c r="N25" s="303"/>
      <c r="O25" s="304"/>
      <c r="P25" s="304"/>
      <c r="Q25" s="304"/>
    </row>
    <row r="26">
      <c r="A26" s="280"/>
      <c r="B26" s="280"/>
      <c r="C26" s="294" t="s">
        <v>970</v>
      </c>
      <c r="D26" s="295" t="s">
        <v>971</v>
      </c>
      <c r="E26" s="296"/>
      <c r="F26" s="296"/>
      <c r="G26" s="269"/>
      <c r="H26" s="269"/>
      <c r="I26" s="269"/>
      <c r="J26" s="269"/>
      <c r="K26" s="269"/>
      <c r="L26" s="269"/>
      <c r="M26" s="65"/>
      <c r="N26" s="296"/>
      <c r="O26" s="269"/>
      <c r="P26" s="269"/>
      <c r="Q26" s="269"/>
    </row>
    <row r="27">
      <c r="A27" s="297"/>
      <c r="B27" s="280"/>
      <c r="C27" s="265"/>
      <c r="D27" s="266" t="s">
        <v>972</v>
      </c>
      <c r="E27" s="289">
        <v>0.0</v>
      </c>
      <c r="F27" s="289">
        <v>0.0</v>
      </c>
      <c r="G27" s="290">
        <f t="shared" ref="G27:G31" si="16">IFERROR(HLOOKUP($L$2,'RKO Rekap'!$D$7:$U$94,38,false),0)</f>
        <v>0</v>
      </c>
      <c r="H27" s="290">
        <f t="shared" ref="H27:H31" si="17">IFERROR(HLOOKUP($L$2,'RKAP Rekap'!$D$7:$U$94,38,false),0)</f>
        <v>0</v>
      </c>
      <c r="I27" s="290">
        <f t="shared" ref="I27:I32" si="18">IFERROR(HLOOKUP(CONCATENATE("Olah + Jual SBI-",$L$2),'Tahun Lalu Rekap'!$A$4:$DG$78,MATCH(A27,'Tahun Lalu Rekap'!$A$4:$A$78,0),0),0)</f>
        <v>0</v>
      </c>
      <c r="J27" s="290">
        <f t="shared" ref="J27:L27" si="15">F27+O27</f>
        <v>0</v>
      </c>
      <c r="K27" s="290">
        <f t="shared" si="15"/>
        <v>0</v>
      </c>
      <c r="L27" s="290">
        <f t="shared" si="15"/>
        <v>0</v>
      </c>
      <c r="M27" s="65"/>
      <c r="N27" s="299"/>
      <c r="O27" s="290"/>
      <c r="P27" s="300"/>
      <c r="Q27" s="300"/>
    </row>
    <row r="28">
      <c r="A28" s="297"/>
      <c r="B28" s="280"/>
      <c r="C28" s="265"/>
      <c r="D28" s="266" t="s">
        <v>973</v>
      </c>
      <c r="E28" s="289">
        <v>0.0</v>
      </c>
      <c r="F28" s="289">
        <v>0.0</v>
      </c>
      <c r="G28" s="290">
        <f t="shared" si="16"/>
        <v>0</v>
      </c>
      <c r="H28" s="290">
        <f t="shared" si="17"/>
        <v>0</v>
      </c>
      <c r="I28" s="290">
        <f t="shared" si="18"/>
        <v>0</v>
      </c>
      <c r="J28" s="290">
        <f t="shared" ref="J28:L28" si="19">F28+O28</f>
        <v>0</v>
      </c>
      <c r="K28" s="290">
        <f t="shared" si="19"/>
        <v>0</v>
      </c>
      <c r="L28" s="290">
        <f t="shared" si="19"/>
        <v>0</v>
      </c>
      <c r="M28" s="65"/>
      <c r="N28" s="299"/>
      <c r="O28" s="290"/>
      <c r="P28" s="300"/>
      <c r="Q28" s="300"/>
    </row>
    <row r="29">
      <c r="A29" s="297"/>
      <c r="B29" s="280"/>
      <c r="C29" s="265"/>
      <c r="D29" s="266" t="s">
        <v>974</v>
      </c>
      <c r="E29" s="289">
        <v>0.0</v>
      </c>
      <c r="F29" s="289">
        <v>0.0</v>
      </c>
      <c r="G29" s="290">
        <f t="shared" si="16"/>
        <v>0</v>
      </c>
      <c r="H29" s="290">
        <f t="shared" si="17"/>
        <v>0</v>
      </c>
      <c r="I29" s="290">
        <f t="shared" si="18"/>
        <v>0</v>
      </c>
      <c r="J29" s="290">
        <f t="shared" ref="J29:L29" si="20">F29+O29</f>
        <v>0</v>
      </c>
      <c r="K29" s="290">
        <f t="shared" si="20"/>
        <v>0</v>
      </c>
      <c r="L29" s="290">
        <f t="shared" si="20"/>
        <v>0</v>
      </c>
      <c r="M29" s="65"/>
      <c r="N29" s="299"/>
      <c r="O29" s="290"/>
      <c r="P29" s="300"/>
      <c r="Q29" s="300"/>
    </row>
    <row r="30">
      <c r="A30" s="297"/>
      <c r="B30" s="280"/>
      <c r="C30" s="265"/>
      <c r="D30" s="266" t="s">
        <v>975</v>
      </c>
      <c r="E30" s="289">
        <v>0.0</v>
      </c>
      <c r="F30" s="289">
        <v>0.0</v>
      </c>
      <c r="G30" s="290">
        <f t="shared" si="16"/>
        <v>0</v>
      </c>
      <c r="H30" s="290">
        <f t="shared" si="17"/>
        <v>0</v>
      </c>
      <c r="I30" s="290">
        <f t="shared" si="18"/>
        <v>0</v>
      </c>
      <c r="J30" s="290">
        <f t="shared" ref="J30:L30" si="21">F30+O30</f>
        <v>0</v>
      </c>
      <c r="K30" s="290">
        <f t="shared" si="21"/>
        <v>0</v>
      </c>
      <c r="L30" s="290">
        <f t="shared" si="21"/>
        <v>0</v>
      </c>
      <c r="M30" s="65"/>
      <c r="N30" s="299"/>
      <c r="O30" s="290"/>
      <c r="P30" s="300"/>
      <c r="Q30" s="300"/>
    </row>
    <row r="31">
      <c r="A31" s="297"/>
      <c r="B31" s="280"/>
      <c r="C31" s="265"/>
      <c r="D31" s="266" t="s">
        <v>976</v>
      </c>
      <c r="E31" s="291">
        <f t="shared" ref="E31:F31" si="22">IFERROR(HLOOKUP(CONCATENATE("Olah + Jual BI-",$L$2),'Tahun Lalu Rekap'!$A$4:$DG$78,MATCH(A31,'Tahun Lalu Rekap'!$A$4:$A$78,0),0),0)</f>
        <v>0</v>
      </c>
      <c r="F31" s="291">
        <f t="shared" si="22"/>
        <v>0</v>
      </c>
      <c r="G31" s="290">
        <f t="shared" si="16"/>
        <v>0</v>
      </c>
      <c r="H31" s="290">
        <f t="shared" si="17"/>
        <v>0</v>
      </c>
      <c r="I31" s="290">
        <f t="shared" si="18"/>
        <v>0</v>
      </c>
      <c r="J31" s="290">
        <f t="shared" ref="J31:L31" si="23">F31+O31</f>
        <v>0</v>
      </c>
      <c r="K31" s="290">
        <f t="shared" si="23"/>
        <v>0</v>
      </c>
      <c r="L31" s="290">
        <f t="shared" si="23"/>
        <v>0</v>
      </c>
      <c r="M31" s="65"/>
      <c r="N31" s="299"/>
      <c r="O31" s="290"/>
      <c r="P31" s="300"/>
      <c r="Q31" s="300"/>
    </row>
    <row r="32">
      <c r="A32" s="297"/>
      <c r="B32" s="280"/>
      <c r="C32" s="292" t="s">
        <v>964</v>
      </c>
      <c r="D32" s="266" t="s">
        <v>977</v>
      </c>
      <c r="E32" s="289">
        <v>0.0</v>
      </c>
      <c r="F32" s="289">
        <v>0.0</v>
      </c>
      <c r="G32" s="290">
        <f>IFERROR(HLOOKUP($L$2,'RKO Rekap'!$D$7:$U$94,40,false),0)</f>
        <v>0</v>
      </c>
      <c r="H32" s="290">
        <f>IFERROR(HLOOKUP($L$2,'RKAP Rekap'!$D$7:$U$94,40,false),0)</f>
        <v>0</v>
      </c>
      <c r="I32" s="290">
        <f t="shared" si="18"/>
        <v>0</v>
      </c>
      <c r="J32" s="290">
        <f t="shared" ref="J32:L32" si="24">F32+O32</f>
        <v>0</v>
      </c>
      <c r="K32" s="290">
        <f t="shared" si="24"/>
        <v>0</v>
      </c>
      <c r="L32" s="290">
        <f t="shared" si="24"/>
        <v>0</v>
      </c>
      <c r="M32" s="65"/>
      <c r="N32" s="299"/>
      <c r="O32" s="290"/>
      <c r="P32" s="300"/>
      <c r="Q32" s="300"/>
    </row>
    <row r="33">
      <c r="A33" s="301"/>
      <c r="B33" s="301"/>
      <c r="C33" s="302"/>
      <c r="D33" s="271" t="s">
        <v>951</v>
      </c>
      <c r="E33" s="303">
        <f t="shared" ref="E33:L33" si="25">sum(E27:E32)</f>
        <v>0</v>
      </c>
      <c r="F33" s="303">
        <f t="shared" si="25"/>
        <v>0</v>
      </c>
      <c r="G33" s="304">
        <f t="shared" si="25"/>
        <v>0</v>
      </c>
      <c r="H33" s="304">
        <f t="shared" si="25"/>
        <v>0</v>
      </c>
      <c r="I33" s="304">
        <f t="shared" si="25"/>
        <v>0</v>
      </c>
      <c r="J33" s="304">
        <f t="shared" si="25"/>
        <v>0</v>
      </c>
      <c r="K33" s="304">
        <f t="shared" si="25"/>
        <v>0</v>
      </c>
      <c r="L33" s="304">
        <f t="shared" si="25"/>
        <v>0</v>
      </c>
      <c r="M33" s="305"/>
      <c r="N33" s="303"/>
      <c r="O33" s="304"/>
      <c r="P33" s="304"/>
      <c r="Q33" s="304"/>
    </row>
    <row r="34">
      <c r="A34" s="297"/>
      <c r="B34" s="280"/>
      <c r="C34" s="307"/>
      <c r="D34" s="308" t="s">
        <v>961</v>
      </c>
      <c r="E34" s="289">
        <v>0.0</v>
      </c>
      <c r="F34" s="289">
        <v>0.0</v>
      </c>
      <c r="G34" s="290">
        <f>IFERROR(HLOOKUP($L$2,'RKO Rekap'!$D$7:$U$94,48,false),0)</f>
        <v>0</v>
      </c>
      <c r="H34" s="290">
        <f>IFERROR(HLOOKUP($L$2,'RKAP Rekap'!$D$7:$U$94,48,false),0)</f>
        <v>0</v>
      </c>
      <c r="I34" s="290">
        <f t="shared" ref="I34:I36" si="27">IFERROR(HLOOKUP(CONCATENATE("Olah + Jual SBI-",$L$2),'Tahun Lalu Rekap'!$A$4:$DG$78,MATCH(A34,'Tahun Lalu Rekap'!$A$4:$A$78,0),0),0)</f>
        <v>0</v>
      </c>
      <c r="J34" s="309">
        <f t="shared" ref="J34:L34" si="26">F34</f>
        <v>0</v>
      </c>
      <c r="K34" s="309">
        <f t="shared" si="26"/>
        <v>0</v>
      </c>
      <c r="L34" s="309">
        <f t="shared" si="26"/>
        <v>0</v>
      </c>
      <c r="M34" s="65"/>
      <c r="N34" s="310"/>
      <c r="O34" s="311"/>
      <c r="P34" s="309"/>
      <c r="Q34" s="309"/>
    </row>
    <row r="35">
      <c r="A35" s="297"/>
      <c r="B35" s="280"/>
      <c r="C35" s="312" t="s">
        <v>962</v>
      </c>
      <c r="D35" s="313" t="s">
        <v>963</v>
      </c>
      <c r="E35" s="289">
        <v>0.0</v>
      </c>
      <c r="F35" s="289">
        <v>0.0</v>
      </c>
      <c r="G35" s="290">
        <f>IFERROR(HLOOKUP($L$2,'RKO Rekap'!$D$7:$U$94,49,false),0)</f>
        <v>0</v>
      </c>
      <c r="H35" s="290">
        <f>IFERROR(HLOOKUP($L$2,'RKAP Rekap'!$D$7:$U$94,49,false),0)</f>
        <v>0</v>
      </c>
      <c r="I35" s="290">
        <f t="shared" si="27"/>
        <v>0</v>
      </c>
      <c r="J35" s="314">
        <f t="shared" ref="J35:L35" si="28">F35</f>
        <v>0</v>
      </c>
      <c r="K35" s="314">
        <f t="shared" si="28"/>
        <v>0</v>
      </c>
      <c r="L35" s="314">
        <f t="shared" si="28"/>
        <v>0</v>
      </c>
      <c r="M35" s="65"/>
      <c r="N35" s="315"/>
      <c r="O35" s="314"/>
      <c r="P35" s="314"/>
      <c r="Q35" s="314"/>
    </row>
    <row r="36">
      <c r="A36" s="297"/>
      <c r="B36" s="280"/>
      <c r="C36" s="292" t="s">
        <v>964</v>
      </c>
      <c r="D36" s="316" t="s">
        <v>965</v>
      </c>
      <c r="E36" s="289">
        <v>0.0</v>
      </c>
      <c r="F36" s="289">
        <v>0.0</v>
      </c>
      <c r="G36" s="290">
        <f>IFERROR(HLOOKUP($L$2,'RKO Rekap'!$D$7:$U$94,50,false),0)</f>
        <v>0</v>
      </c>
      <c r="H36" s="290">
        <f>IFERROR(HLOOKUP($L$2,'RKAP Rekap'!$D$7:$U$94,50,false),0)</f>
        <v>0</v>
      </c>
      <c r="I36" s="290">
        <f t="shared" si="27"/>
        <v>0</v>
      </c>
      <c r="J36" s="314">
        <f t="shared" ref="J36:L36" si="29">F36</f>
        <v>0</v>
      </c>
      <c r="K36" s="314">
        <f t="shared" si="29"/>
        <v>0</v>
      </c>
      <c r="L36" s="314">
        <f t="shared" si="29"/>
        <v>0</v>
      </c>
      <c r="M36" s="65"/>
      <c r="N36" s="317"/>
      <c r="O36" s="290"/>
      <c r="P36" s="318"/>
      <c r="Q36" s="318"/>
    </row>
    <row r="37">
      <c r="A37" s="301"/>
      <c r="B37" s="301"/>
      <c r="C37" s="302"/>
      <c r="D37" s="271" t="s">
        <v>978</v>
      </c>
      <c r="E37" s="303">
        <f t="shared" ref="E37:L37" si="30">sum(E34:E36)</f>
        <v>0</v>
      </c>
      <c r="F37" s="303">
        <f t="shared" si="30"/>
        <v>0</v>
      </c>
      <c r="G37" s="304">
        <f t="shared" si="30"/>
        <v>0</v>
      </c>
      <c r="H37" s="304">
        <f t="shared" si="30"/>
        <v>0</v>
      </c>
      <c r="I37" s="304">
        <f t="shared" si="30"/>
        <v>0</v>
      </c>
      <c r="J37" s="304">
        <f t="shared" si="30"/>
        <v>0</v>
      </c>
      <c r="K37" s="304">
        <f t="shared" si="30"/>
        <v>0</v>
      </c>
      <c r="L37" s="304">
        <f t="shared" si="30"/>
        <v>0</v>
      </c>
      <c r="M37" s="305"/>
      <c r="N37" s="303"/>
      <c r="O37" s="304"/>
      <c r="P37" s="304"/>
      <c r="Q37" s="304"/>
    </row>
    <row r="38">
      <c r="A38" s="274"/>
      <c r="B38" s="274"/>
      <c r="C38" s="253" t="s">
        <v>979</v>
      </c>
      <c r="D38" s="161"/>
      <c r="E38" s="319" t="s">
        <v>980</v>
      </c>
      <c r="F38" s="258"/>
      <c r="G38" s="258"/>
      <c r="H38" s="259"/>
      <c r="I38" s="320" t="s">
        <v>980</v>
      </c>
      <c r="J38" s="258"/>
      <c r="K38" s="258"/>
      <c r="L38" s="259"/>
      <c r="M38" s="65"/>
      <c r="N38" s="319" t="s">
        <v>980</v>
      </c>
      <c r="O38" s="258"/>
      <c r="P38" s="258"/>
      <c r="Q38" s="259"/>
    </row>
    <row r="39">
      <c r="A39" s="274"/>
      <c r="B39" s="274"/>
      <c r="C39" s="157"/>
      <c r="D39" s="158"/>
      <c r="E39" s="319" t="s">
        <v>724</v>
      </c>
      <c r="F39" s="258"/>
      <c r="G39" s="258"/>
      <c r="H39" s="259"/>
      <c r="I39" s="320" t="s">
        <v>953</v>
      </c>
      <c r="J39" s="258"/>
      <c r="K39" s="258"/>
      <c r="L39" s="259"/>
      <c r="M39" s="65"/>
      <c r="N39" s="275" t="s">
        <v>954</v>
      </c>
      <c r="O39" s="258"/>
      <c r="P39" s="258"/>
      <c r="Q39" s="259"/>
    </row>
    <row r="40">
      <c r="A40" s="274"/>
      <c r="B40" s="274"/>
      <c r="C40" s="172"/>
      <c r="D40" s="173"/>
      <c r="E40" s="321" t="str">
        <f t="shared" ref="E40:L40" si="31">E10</f>
        <v>Real Tahun Lalu</v>
      </c>
      <c r="F40" s="279" t="str">
        <f t="shared" si="31"/>
        <v>Real Tahun Ini</v>
      </c>
      <c r="G40" s="322" t="str">
        <f t="shared" si="31"/>
        <v>RKO TW</v>
      </c>
      <c r="H40" s="322" t="str">
        <f t="shared" si="31"/>
        <v>RKAP</v>
      </c>
      <c r="I40" s="279" t="str">
        <f t="shared" si="31"/>
        <v>Real Tahun Lalu</v>
      </c>
      <c r="J40" s="279" t="str">
        <f t="shared" si="31"/>
        <v>Real Tahun Ini</v>
      </c>
      <c r="K40" s="279" t="str">
        <f t="shared" si="31"/>
        <v>RKO TW</v>
      </c>
      <c r="L40" s="279" t="str">
        <f t="shared" si="31"/>
        <v>RKAP</v>
      </c>
      <c r="M40" s="65"/>
      <c r="N40" s="321" t="str">
        <f t="shared" ref="N40:Q40" si="32">N10</f>
        <v>Real Tahun Lalu</v>
      </c>
      <c r="O40" s="279" t="str">
        <f t="shared" si="32"/>
        <v>Real Tahun Ini</v>
      </c>
      <c r="P40" s="279" t="str">
        <f t="shared" si="32"/>
        <v>RKO TW</v>
      </c>
      <c r="Q40" s="279" t="str">
        <f t="shared" si="32"/>
        <v>RKAP</v>
      </c>
    </row>
    <row r="41">
      <c r="A41" s="297"/>
      <c r="B41" s="280"/>
      <c r="C41" s="323" t="s">
        <v>981</v>
      </c>
      <c r="D41" s="324" t="s">
        <v>982</v>
      </c>
      <c r="E41" s="325">
        <f>IFERROR(__xludf.DUMMYFUNCTION("IMPORTRANGE(Link!$B$3,""Form HO!M36:M40"")"),0.0)</f>
        <v>0</v>
      </c>
      <c r="F41" s="326">
        <f>'Kumai-A'!$E$14</f>
        <v>0</v>
      </c>
      <c r="G41" s="326">
        <f>'Kumai-A'!$H$14</f>
        <v>0</v>
      </c>
      <c r="H41" s="326">
        <f>'Kumai-A'!$I$14</f>
        <v>0</v>
      </c>
      <c r="I41" s="325">
        <f>IFERROR(__xludf.DUMMYFUNCTION("IMPORTRANGE(Link!$B$3,""Form HO!Q36:Q40"")"),0.0)</f>
        <v>0</v>
      </c>
      <c r="J41" s="326">
        <f t="shared" ref="J41:L41" si="33">F41+O41</f>
        <v>0</v>
      </c>
      <c r="K41" s="326">
        <f t="shared" si="33"/>
        <v>0</v>
      </c>
      <c r="L41" s="326">
        <f t="shared" si="33"/>
        <v>0</v>
      </c>
      <c r="M41" s="65"/>
      <c r="N41" s="327">
        <f>IFERROR(__xludf.DUMMYFUNCTION("IFERROR(IMPORTRANGE(Link!$B$1,CONCATENATE(VLOOKUP($L$2,Plant!$B$1:$C$19,2,false),""!H61:K88"")),0)"),0.0)</f>
        <v>0</v>
      </c>
      <c r="O41" s="328">
        <f>IFERROR(__xludf.DUMMYFUNCTION("""COMPUTED_VALUE"""),0.0)</f>
        <v>0</v>
      </c>
      <c r="P41" s="326">
        <f>IFERROR(__xludf.DUMMYFUNCTION("""COMPUTED_VALUE"""),0.0)</f>
        <v>0</v>
      </c>
      <c r="Q41" s="326">
        <f>IFERROR(__xludf.DUMMYFUNCTION("""COMPUTED_VALUE"""),0.0)</f>
        <v>0</v>
      </c>
    </row>
    <row r="42">
      <c r="A42" s="297"/>
      <c r="B42" s="280"/>
      <c r="C42" s="329" t="s">
        <v>981</v>
      </c>
      <c r="D42" s="266" t="s">
        <v>983</v>
      </c>
      <c r="E42" s="330">
        <f>IFERROR(__xludf.DUMMYFUNCTION("""COMPUTED_VALUE"""),0.0)</f>
        <v>0</v>
      </c>
      <c r="F42" s="331">
        <f>'Kumai-A'!$E$77</f>
        <v>0</v>
      </c>
      <c r="G42" s="331">
        <f>'Kumai-A'!$H$77</f>
        <v>0</v>
      </c>
      <c r="H42" s="331">
        <f>'Kumai-A'!$I$77</f>
        <v>0</v>
      </c>
      <c r="I42" s="330">
        <f>IFERROR(__xludf.DUMMYFUNCTION("""COMPUTED_VALUE"""),0.0)</f>
        <v>0</v>
      </c>
      <c r="J42" s="331">
        <f t="shared" ref="J42:L42" si="34">F42+O42</f>
        <v>0</v>
      </c>
      <c r="K42" s="331">
        <f t="shared" si="34"/>
        <v>0</v>
      </c>
      <c r="L42" s="331">
        <f t="shared" si="34"/>
        <v>0</v>
      </c>
      <c r="M42" s="65"/>
      <c r="N42" s="332">
        <f>IFERROR(__xludf.DUMMYFUNCTION("""COMPUTED_VALUE"""),0.0)</f>
        <v>0</v>
      </c>
      <c r="O42" s="333">
        <f>IFERROR(__xludf.DUMMYFUNCTION("""COMPUTED_VALUE"""),0.0)</f>
        <v>0</v>
      </c>
      <c r="P42" s="333">
        <f>IFERROR(__xludf.DUMMYFUNCTION("""COMPUTED_VALUE"""),0.0)</f>
        <v>0</v>
      </c>
      <c r="Q42" s="333">
        <f>IFERROR(__xludf.DUMMYFUNCTION("""COMPUTED_VALUE"""),0.0)</f>
        <v>0</v>
      </c>
    </row>
    <row r="43">
      <c r="A43" s="297"/>
      <c r="B43" s="280"/>
      <c r="C43" s="329" t="s">
        <v>981</v>
      </c>
      <c r="D43" s="266" t="s">
        <v>984</v>
      </c>
      <c r="E43" s="330">
        <f>IFERROR(__xludf.DUMMYFUNCTION("""COMPUTED_VALUE"""),0.0)</f>
        <v>0</v>
      </c>
      <c r="F43" s="331">
        <f>'Kumai-A'!$E$132</f>
        <v>0</v>
      </c>
      <c r="G43" s="331">
        <f>'Kumai-A'!$H$132</f>
        <v>0</v>
      </c>
      <c r="H43" s="331">
        <f>'Kumai-A'!$I$132</f>
        <v>0</v>
      </c>
      <c r="I43" s="330">
        <f>IFERROR(__xludf.DUMMYFUNCTION("""COMPUTED_VALUE"""),0.0)</f>
        <v>0</v>
      </c>
      <c r="J43" s="331">
        <f t="shared" ref="J43:L43" si="35">F43+O43</f>
        <v>0</v>
      </c>
      <c r="K43" s="331">
        <f t="shared" si="35"/>
        <v>0</v>
      </c>
      <c r="L43" s="331">
        <f t="shared" si="35"/>
        <v>0</v>
      </c>
      <c r="M43" s="65"/>
      <c r="N43" s="332">
        <f>IFERROR(__xludf.DUMMYFUNCTION("""COMPUTED_VALUE"""),0.0)</f>
        <v>0</v>
      </c>
      <c r="O43" s="333">
        <f>IFERROR(__xludf.DUMMYFUNCTION("""COMPUTED_VALUE"""),0.0)</f>
        <v>0</v>
      </c>
      <c r="P43" s="333">
        <f>IFERROR(__xludf.DUMMYFUNCTION("""COMPUTED_VALUE"""),0.0)</f>
        <v>0</v>
      </c>
      <c r="Q43" s="333">
        <f>IFERROR(__xludf.DUMMYFUNCTION("""COMPUTED_VALUE"""),0.0)</f>
        <v>0</v>
      </c>
    </row>
    <row r="44">
      <c r="A44" s="297"/>
      <c r="B44" s="280"/>
      <c r="C44" s="329" t="s">
        <v>981</v>
      </c>
      <c r="D44" s="266" t="s">
        <v>654</v>
      </c>
      <c r="E44" s="330">
        <f>IFERROR(__xludf.DUMMYFUNCTION("""COMPUTED_VALUE"""),0.0)</f>
        <v>0</v>
      </c>
      <c r="F44" s="331">
        <f>'Kumai-A'!$E$119</f>
        <v>0</v>
      </c>
      <c r="G44" s="331">
        <f>'Kumai-A'!$H$119</f>
        <v>0</v>
      </c>
      <c r="H44" s="331">
        <f>'Kumai-A'!$I$119</f>
        <v>0</v>
      </c>
      <c r="I44" s="330">
        <f>IFERROR(__xludf.DUMMYFUNCTION("""COMPUTED_VALUE"""),0.0)</f>
        <v>0</v>
      </c>
      <c r="J44" s="331">
        <f t="shared" ref="J44:L44" si="36">F44+O44</f>
        <v>0</v>
      </c>
      <c r="K44" s="331">
        <f t="shared" si="36"/>
        <v>0</v>
      </c>
      <c r="L44" s="331">
        <f t="shared" si="36"/>
        <v>0</v>
      </c>
      <c r="M44" s="65"/>
      <c r="N44" s="332">
        <f>IFERROR(__xludf.DUMMYFUNCTION("""COMPUTED_VALUE"""),0.0)</f>
        <v>0</v>
      </c>
      <c r="O44" s="333">
        <f>IFERROR(__xludf.DUMMYFUNCTION("""COMPUTED_VALUE"""),0.0)</f>
        <v>0</v>
      </c>
      <c r="P44" s="333">
        <f>IFERROR(__xludf.DUMMYFUNCTION("""COMPUTED_VALUE"""),0.0)</f>
        <v>0</v>
      </c>
      <c r="Q44" s="333">
        <f>IFERROR(__xludf.DUMMYFUNCTION("""COMPUTED_VALUE"""),0.0)</f>
        <v>0</v>
      </c>
    </row>
    <row r="45">
      <c r="A45" s="297"/>
      <c r="B45" s="280"/>
      <c r="C45" s="329" t="s">
        <v>981</v>
      </c>
      <c r="D45" s="266" t="s">
        <v>985</v>
      </c>
      <c r="E45" s="330">
        <f>IFERROR(__xludf.DUMMYFUNCTION("""COMPUTED_VALUE"""),0.0)</f>
        <v>0</v>
      </c>
      <c r="F45" s="331">
        <f>'Kumai-A'!$E$148</f>
        <v>0</v>
      </c>
      <c r="G45" s="331">
        <f>'Kumai-A'!$H$148</f>
        <v>0</v>
      </c>
      <c r="H45" s="331">
        <f>'Kumai-A'!$I$148</f>
        <v>0</v>
      </c>
      <c r="I45" s="330">
        <f>IFERROR(__xludf.DUMMYFUNCTION("""COMPUTED_VALUE"""),0.0)</f>
        <v>0</v>
      </c>
      <c r="J45" s="331">
        <f t="shared" ref="J45:L45" si="37">F45+O45</f>
        <v>0</v>
      </c>
      <c r="K45" s="331">
        <f t="shared" si="37"/>
        <v>0</v>
      </c>
      <c r="L45" s="331">
        <f t="shared" si="37"/>
        <v>0</v>
      </c>
      <c r="M45" s="65"/>
      <c r="N45" s="332">
        <f>IFERROR(__xludf.DUMMYFUNCTION("""COMPUTED_VALUE"""),0.0)</f>
        <v>0</v>
      </c>
      <c r="O45" s="333">
        <f>IFERROR(__xludf.DUMMYFUNCTION("""COMPUTED_VALUE"""),0.0)</f>
        <v>0</v>
      </c>
      <c r="P45" s="333">
        <f>IFERROR(__xludf.DUMMYFUNCTION("""COMPUTED_VALUE"""),0.0)</f>
        <v>0</v>
      </c>
      <c r="Q45" s="333">
        <f>IFERROR(__xludf.DUMMYFUNCTION("""COMPUTED_VALUE"""),0.0)</f>
        <v>0</v>
      </c>
    </row>
    <row r="46">
      <c r="A46" s="301"/>
      <c r="B46" s="301"/>
      <c r="C46" s="294"/>
      <c r="D46" s="271" t="s">
        <v>986</v>
      </c>
      <c r="E46" s="334">
        <f t="shared" ref="E46:L46" si="38">sum(E41:E45)</f>
        <v>0</v>
      </c>
      <c r="F46" s="304">
        <f t="shared" si="38"/>
        <v>0</v>
      </c>
      <c r="G46" s="304">
        <f t="shared" si="38"/>
        <v>0</v>
      </c>
      <c r="H46" s="304">
        <f t="shared" si="38"/>
        <v>0</v>
      </c>
      <c r="I46" s="334">
        <f t="shared" si="38"/>
        <v>0</v>
      </c>
      <c r="J46" s="304">
        <f t="shared" si="38"/>
        <v>0</v>
      </c>
      <c r="K46" s="304">
        <f t="shared" si="38"/>
        <v>0</v>
      </c>
      <c r="L46" s="304">
        <f t="shared" si="38"/>
        <v>0</v>
      </c>
      <c r="M46" s="305"/>
      <c r="N46" s="334">
        <f>IFERROR(__xludf.DUMMYFUNCTION("""COMPUTED_VALUE"""),0.0)</f>
        <v>0</v>
      </c>
      <c r="O46" s="304">
        <f>IFERROR(__xludf.DUMMYFUNCTION("""COMPUTED_VALUE"""),0.0)</f>
        <v>0</v>
      </c>
      <c r="P46" s="304">
        <f>IFERROR(__xludf.DUMMYFUNCTION("""COMPUTED_VALUE"""),0.0)</f>
        <v>0</v>
      </c>
      <c r="Q46" s="304">
        <f>IFERROR(__xludf.DUMMYFUNCTION("""COMPUTED_VALUE"""),0.0)</f>
        <v>0</v>
      </c>
    </row>
    <row r="47">
      <c r="A47" s="297"/>
      <c r="B47" s="280"/>
      <c r="C47" s="329" t="s">
        <v>981</v>
      </c>
      <c r="D47" s="335" t="s">
        <v>987</v>
      </c>
      <c r="E47" s="330">
        <f>IFERROR(__xludf.DUMMYFUNCTION("IMPORTRANGE(Link!$B$3,""Form HO!M42"")"),0.0)</f>
        <v>0</v>
      </c>
      <c r="F47" s="331">
        <f>'Kumai-A'!$E$188</f>
        <v>0</v>
      </c>
      <c r="G47" s="331">
        <f>'Kumai-A'!$H$188</f>
        <v>0</v>
      </c>
      <c r="H47" s="331">
        <f>'Kumai-A'!$I$188</f>
        <v>0</v>
      </c>
      <c r="I47" s="330">
        <f>IFERROR(__xludf.DUMMYFUNCTION("IMPORTRANGE(Link!$B$3,""Form HO!Q42"")"),0.0)</f>
        <v>0</v>
      </c>
      <c r="J47" s="331">
        <f t="shared" ref="J47:L47" si="39">F47+O47</f>
        <v>0</v>
      </c>
      <c r="K47" s="331">
        <f t="shared" si="39"/>
        <v>0</v>
      </c>
      <c r="L47" s="331">
        <f t="shared" si="39"/>
        <v>0</v>
      </c>
      <c r="M47" s="65"/>
      <c r="N47" s="332">
        <f>IFERROR(__xludf.DUMMYFUNCTION("""COMPUTED_VALUE"""),0.0)</f>
        <v>0</v>
      </c>
      <c r="O47" s="333">
        <f>IFERROR(__xludf.DUMMYFUNCTION("""COMPUTED_VALUE"""),0.0)</f>
        <v>0</v>
      </c>
      <c r="P47" s="333">
        <f>IFERROR(__xludf.DUMMYFUNCTION("""COMPUTED_VALUE"""),0.0)</f>
        <v>0</v>
      </c>
      <c r="Q47" s="333">
        <f>IFERROR(__xludf.DUMMYFUNCTION("""COMPUTED_VALUE"""),0.0)</f>
        <v>0</v>
      </c>
    </row>
    <row r="48">
      <c r="A48" s="301"/>
      <c r="B48" s="301"/>
      <c r="C48" s="294"/>
      <c r="D48" s="271" t="s">
        <v>988</v>
      </c>
      <c r="E48" s="334">
        <f t="shared" ref="E48:L48" si="40">E46+E47</f>
        <v>0</v>
      </c>
      <c r="F48" s="304">
        <f t="shared" si="40"/>
        <v>0</v>
      </c>
      <c r="G48" s="304">
        <f t="shared" si="40"/>
        <v>0</v>
      </c>
      <c r="H48" s="304">
        <f t="shared" si="40"/>
        <v>0</v>
      </c>
      <c r="I48" s="334">
        <f t="shared" si="40"/>
        <v>0</v>
      </c>
      <c r="J48" s="304">
        <f t="shared" si="40"/>
        <v>0</v>
      </c>
      <c r="K48" s="304">
        <f t="shared" si="40"/>
        <v>0</v>
      </c>
      <c r="L48" s="304">
        <f t="shared" si="40"/>
        <v>0</v>
      </c>
      <c r="M48" s="305"/>
      <c r="N48" s="334"/>
      <c r="O48" s="304"/>
      <c r="P48" s="304"/>
      <c r="Q48" s="304"/>
    </row>
    <row r="49">
      <c r="A49" s="297"/>
      <c r="B49" s="336"/>
      <c r="C49" s="329" t="s">
        <v>981</v>
      </c>
      <c r="D49" s="266" t="s">
        <v>989</v>
      </c>
      <c r="E49" s="325">
        <f>IFERROR(__xludf.DUMMYFUNCTION("IMPORTRANGE(Link!$B$3,""Form HO!M44:M45"")"),0.0)</f>
        <v>0</v>
      </c>
      <c r="F49" s="288">
        <v>0.0</v>
      </c>
      <c r="G49" s="288">
        <v>0.0</v>
      </c>
      <c r="H49" s="288">
        <v>0.0</v>
      </c>
      <c r="I49" s="325">
        <f>IFERROR(__xludf.DUMMYFUNCTION("IMPORTRANGE(Link!$B$3,""Form HO!Q44:Q45"")"),0.0)</f>
        <v>0</v>
      </c>
      <c r="J49" s="331">
        <f t="shared" ref="J49:L49" si="41">F49+O49</f>
        <v>0</v>
      </c>
      <c r="K49" s="331">
        <f t="shared" si="41"/>
        <v>0</v>
      </c>
      <c r="L49" s="331">
        <f t="shared" si="41"/>
        <v>0</v>
      </c>
      <c r="M49" s="65"/>
      <c r="N49" s="332"/>
      <c r="O49" s="333"/>
      <c r="P49" s="333"/>
      <c r="Q49" s="333"/>
    </row>
    <row r="50">
      <c r="A50" s="297"/>
      <c r="B50" s="336"/>
      <c r="C50" s="329" t="s">
        <v>981</v>
      </c>
      <c r="D50" s="266" t="s">
        <v>990</v>
      </c>
      <c r="E50" s="330">
        <f>IFERROR(__xludf.DUMMYFUNCTION("""COMPUTED_VALUE"""),0.0)</f>
        <v>0</v>
      </c>
      <c r="F50" s="288">
        <v>0.0</v>
      </c>
      <c r="G50" s="288">
        <v>0.0</v>
      </c>
      <c r="H50" s="288">
        <v>0.0</v>
      </c>
      <c r="I50" s="330">
        <f>IFERROR(__xludf.DUMMYFUNCTION("""COMPUTED_VALUE"""),0.0)</f>
        <v>0</v>
      </c>
      <c r="J50" s="331">
        <f t="shared" ref="J50:L50" si="42">F50+O50</f>
        <v>0</v>
      </c>
      <c r="K50" s="331">
        <f t="shared" si="42"/>
        <v>0</v>
      </c>
      <c r="L50" s="331">
        <f t="shared" si="42"/>
        <v>0</v>
      </c>
      <c r="M50" s="65"/>
      <c r="N50" s="332"/>
      <c r="O50" s="333"/>
      <c r="P50" s="333"/>
      <c r="Q50" s="333"/>
    </row>
    <row r="51">
      <c r="A51" s="301"/>
      <c r="B51" s="301"/>
      <c r="C51" s="294"/>
      <c r="D51" s="271" t="s">
        <v>991</v>
      </c>
      <c r="E51" s="334">
        <f t="shared" ref="E51:L51" si="43">sum(E49:E50)</f>
        <v>0</v>
      </c>
      <c r="F51" s="304">
        <f t="shared" si="43"/>
        <v>0</v>
      </c>
      <c r="G51" s="304">
        <f t="shared" si="43"/>
        <v>0</v>
      </c>
      <c r="H51" s="304">
        <f t="shared" si="43"/>
        <v>0</v>
      </c>
      <c r="I51" s="334">
        <f t="shared" si="43"/>
        <v>0</v>
      </c>
      <c r="J51" s="304">
        <f t="shared" si="43"/>
        <v>0</v>
      </c>
      <c r="K51" s="304">
        <f t="shared" si="43"/>
        <v>0</v>
      </c>
      <c r="L51" s="304">
        <f t="shared" si="43"/>
        <v>0</v>
      </c>
      <c r="M51" s="305"/>
      <c r="N51" s="334"/>
      <c r="O51" s="304"/>
      <c r="P51" s="304"/>
      <c r="Q51" s="304"/>
    </row>
    <row r="52">
      <c r="A52" s="297"/>
      <c r="B52" s="280"/>
      <c r="C52" s="329" t="s">
        <v>981</v>
      </c>
      <c r="D52" s="261" t="s">
        <v>992</v>
      </c>
      <c r="E52" s="325">
        <f>IFERROR(__xludf.DUMMYFUNCTION("IMPORTRANGE(Link!$B$3,""Form HO!M47:M48"")"),0.0)</f>
        <v>0</v>
      </c>
      <c r="F52" s="331">
        <f>'Kumai-A'!$E$165</f>
        <v>0</v>
      </c>
      <c r="G52" s="331">
        <f>'Kumai-A'!$H$165</f>
        <v>0</v>
      </c>
      <c r="H52" s="331">
        <f>'Kumai-A'!$I$165</f>
        <v>0</v>
      </c>
      <c r="I52" s="325">
        <f>IFERROR(__xludf.DUMMYFUNCTION("IMPORTRANGE(Link!$B$3,""Form HO!Q47:Q48"")"),0.0)</f>
        <v>0</v>
      </c>
      <c r="J52" s="331">
        <f t="shared" ref="J52:L52" si="44">F52+O52</f>
        <v>0</v>
      </c>
      <c r="K52" s="331">
        <f t="shared" si="44"/>
        <v>0</v>
      </c>
      <c r="L52" s="331">
        <f t="shared" si="44"/>
        <v>0</v>
      </c>
      <c r="M52" s="65"/>
      <c r="N52" s="332"/>
      <c r="O52" s="333"/>
      <c r="P52" s="333"/>
      <c r="Q52" s="333"/>
    </row>
    <row r="53">
      <c r="A53" s="297"/>
      <c r="B53" s="280"/>
      <c r="C53" s="329" t="s">
        <v>981</v>
      </c>
      <c r="D53" s="266" t="s">
        <v>993</v>
      </c>
      <c r="E53" s="330">
        <f>IFERROR(__xludf.DUMMYFUNCTION("""COMPUTED_VALUE"""),0.0)</f>
        <v>0</v>
      </c>
      <c r="F53" s="288">
        <v>0.0</v>
      </c>
      <c r="G53" s="288">
        <v>0.0</v>
      </c>
      <c r="H53" s="288">
        <v>0.0</v>
      </c>
      <c r="I53" s="330">
        <f>IFERROR(__xludf.DUMMYFUNCTION("""COMPUTED_VALUE"""),0.0)</f>
        <v>0</v>
      </c>
      <c r="J53" s="331">
        <f t="shared" ref="J53:L53" si="45">F53+O53</f>
        <v>0</v>
      </c>
      <c r="K53" s="331">
        <f t="shared" si="45"/>
        <v>0</v>
      </c>
      <c r="L53" s="331">
        <f t="shared" si="45"/>
        <v>0</v>
      </c>
      <c r="M53" s="65"/>
      <c r="N53" s="332"/>
      <c r="O53" s="333"/>
      <c r="P53" s="333"/>
      <c r="Q53" s="333"/>
    </row>
    <row r="54">
      <c r="A54" s="337"/>
      <c r="B54" s="337"/>
      <c r="C54" s="338"/>
      <c r="D54" s="271" t="s">
        <v>994</v>
      </c>
      <c r="E54" s="334">
        <f t="shared" ref="E54:L54" si="46">sum(E52:E53)</f>
        <v>0</v>
      </c>
      <c r="F54" s="304">
        <f t="shared" si="46"/>
        <v>0</v>
      </c>
      <c r="G54" s="304">
        <f t="shared" si="46"/>
        <v>0</v>
      </c>
      <c r="H54" s="304">
        <f t="shared" si="46"/>
        <v>0</v>
      </c>
      <c r="I54" s="334">
        <f t="shared" si="46"/>
        <v>0</v>
      </c>
      <c r="J54" s="304">
        <f t="shared" si="46"/>
        <v>0</v>
      </c>
      <c r="K54" s="304">
        <f t="shared" si="46"/>
        <v>0</v>
      </c>
      <c r="L54" s="304">
        <f t="shared" si="46"/>
        <v>0</v>
      </c>
      <c r="M54" s="305"/>
      <c r="N54" s="334"/>
      <c r="O54" s="304"/>
      <c r="P54" s="304"/>
      <c r="Q54" s="304"/>
    </row>
    <row r="55">
      <c r="A55" s="337"/>
      <c r="B55" s="337"/>
      <c r="C55" s="338"/>
      <c r="D55" s="271" t="s">
        <v>995</v>
      </c>
      <c r="E55" s="334">
        <f t="shared" ref="E55:L55" si="47">E48+E51+E54</f>
        <v>0</v>
      </c>
      <c r="F55" s="304">
        <f t="shared" si="47"/>
        <v>0</v>
      </c>
      <c r="G55" s="304">
        <f t="shared" si="47"/>
        <v>0</v>
      </c>
      <c r="H55" s="304">
        <f t="shared" si="47"/>
        <v>0</v>
      </c>
      <c r="I55" s="334">
        <f t="shared" si="47"/>
        <v>0</v>
      </c>
      <c r="J55" s="304">
        <f t="shared" si="47"/>
        <v>0</v>
      </c>
      <c r="K55" s="304">
        <f t="shared" si="47"/>
        <v>0</v>
      </c>
      <c r="L55" s="304">
        <f t="shared" si="47"/>
        <v>0</v>
      </c>
      <c r="M55" s="305"/>
      <c r="N55" s="334"/>
      <c r="O55" s="304"/>
      <c r="P55" s="304"/>
      <c r="Q55" s="304"/>
    </row>
    <row r="56">
      <c r="A56" s="297"/>
      <c r="B56" s="280"/>
      <c r="C56" s="339" t="s">
        <v>962</v>
      </c>
      <c r="D56" s="340" t="s">
        <v>996</v>
      </c>
      <c r="E56" s="325">
        <f>IFERROR(__xludf.DUMMYFUNCTION("IMPORTRANGE(Link!$B$3,""Form HO!M51:M54"")"),0.0)</f>
        <v>0</v>
      </c>
      <c r="F56" s="333">
        <v>0.0</v>
      </c>
      <c r="G56" s="333">
        <v>0.0</v>
      </c>
      <c r="H56" s="333">
        <v>0.0</v>
      </c>
      <c r="I56" s="325">
        <f>IFERROR(__xludf.DUMMYFUNCTION("IMPORTRANGE(Link!$B$3,""Form HO!Q51:Q54"")"),0.0)</f>
        <v>0</v>
      </c>
      <c r="J56" s="331">
        <f t="shared" ref="J56:L56" si="48">F56+O56</f>
        <v>0</v>
      </c>
      <c r="K56" s="331">
        <f t="shared" si="48"/>
        <v>0</v>
      </c>
      <c r="L56" s="331">
        <f t="shared" si="48"/>
        <v>0</v>
      </c>
      <c r="M56" s="65"/>
      <c r="N56" s="332"/>
      <c r="O56" s="333"/>
      <c r="P56" s="333"/>
      <c r="Q56" s="333"/>
    </row>
    <row r="57">
      <c r="A57" s="297"/>
      <c r="B57" s="280"/>
      <c r="C57" s="339" t="s">
        <v>964</v>
      </c>
      <c r="D57" s="340" t="s">
        <v>997</v>
      </c>
      <c r="E57" s="330">
        <f>IFERROR(__xludf.DUMMYFUNCTION("""COMPUTED_VALUE"""),0.0)</f>
        <v>0</v>
      </c>
      <c r="F57" s="333">
        <v>0.0</v>
      </c>
      <c r="G57" s="333">
        <v>0.0</v>
      </c>
      <c r="H57" s="333">
        <v>0.0</v>
      </c>
      <c r="I57" s="330">
        <f>IFERROR(__xludf.DUMMYFUNCTION("""COMPUTED_VALUE"""),0.0)</f>
        <v>0</v>
      </c>
      <c r="J57" s="331">
        <f t="shared" ref="J57:L57" si="49">F57+O57</f>
        <v>0</v>
      </c>
      <c r="K57" s="331">
        <f t="shared" si="49"/>
        <v>0</v>
      </c>
      <c r="L57" s="331">
        <f t="shared" si="49"/>
        <v>0</v>
      </c>
      <c r="M57" s="65"/>
      <c r="N57" s="332"/>
      <c r="O57" s="333"/>
      <c r="P57" s="333"/>
      <c r="Q57" s="333"/>
    </row>
    <row r="58">
      <c r="A58" s="297"/>
      <c r="B58" s="280"/>
      <c r="C58" s="265"/>
      <c r="D58" s="341" t="s">
        <v>998</v>
      </c>
      <c r="E58" s="330">
        <f>IFERROR(__xludf.DUMMYFUNCTION("""COMPUTED_VALUE"""),0.0)</f>
        <v>0</v>
      </c>
      <c r="F58" s="333">
        <v>0.0</v>
      </c>
      <c r="G58" s="333">
        <v>0.0</v>
      </c>
      <c r="H58" s="333">
        <v>0.0</v>
      </c>
      <c r="I58" s="330">
        <f>IFERROR(__xludf.DUMMYFUNCTION("""COMPUTED_VALUE"""),0.0)</f>
        <v>0</v>
      </c>
      <c r="J58" s="331">
        <f t="shared" ref="J58:L58" si="50">F58+O58</f>
        <v>0</v>
      </c>
      <c r="K58" s="331">
        <f t="shared" si="50"/>
        <v>0</v>
      </c>
      <c r="L58" s="331">
        <f t="shared" si="50"/>
        <v>0</v>
      </c>
      <c r="M58" s="65"/>
      <c r="N58" s="332"/>
      <c r="O58" s="333"/>
      <c r="P58" s="333"/>
      <c r="Q58" s="333"/>
    </row>
    <row r="59">
      <c r="A59" s="297"/>
      <c r="B59" s="280"/>
      <c r="C59" s="265"/>
      <c r="D59" s="340" t="s">
        <v>999</v>
      </c>
      <c r="E59" s="330">
        <f>IFERROR(__xludf.DUMMYFUNCTION("""COMPUTED_VALUE"""),0.0)</f>
        <v>0</v>
      </c>
      <c r="F59" s="333">
        <v>0.0</v>
      </c>
      <c r="G59" s="333">
        <v>0.0</v>
      </c>
      <c r="H59" s="333">
        <v>0.0</v>
      </c>
      <c r="I59" s="330">
        <f>IFERROR(__xludf.DUMMYFUNCTION("""COMPUTED_VALUE"""),0.0)</f>
        <v>0</v>
      </c>
      <c r="J59" s="331">
        <f t="shared" ref="J59:L59" si="51">F59+O59</f>
        <v>0</v>
      </c>
      <c r="K59" s="331">
        <f t="shared" si="51"/>
        <v>0</v>
      </c>
      <c r="L59" s="331">
        <f t="shared" si="51"/>
        <v>0</v>
      </c>
      <c r="M59" s="65"/>
      <c r="N59" s="332"/>
      <c r="O59" s="333"/>
      <c r="P59" s="333"/>
      <c r="Q59" s="333"/>
    </row>
    <row r="60">
      <c r="A60" s="337"/>
      <c r="B60" s="337"/>
      <c r="C60" s="338"/>
      <c r="D60" s="271" t="s">
        <v>1000</v>
      </c>
      <c r="E60" s="334">
        <f t="shared" ref="E60:L60" si="52">sum(E56:E59)</f>
        <v>0</v>
      </c>
      <c r="F60" s="304">
        <f t="shared" si="52"/>
        <v>0</v>
      </c>
      <c r="G60" s="304">
        <f t="shared" si="52"/>
        <v>0</v>
      </c>
      <c r="H60" s="304">
        <f t="shared" si="52"/>
        <v>0</v>
      </c>
      <c r="I60" s="334">
        <f t="shared" si="52"/>
        <v>0</v>
      </c>
      <c r="J60" s="304">
        <f t="shared" si="52"/>
        <v>0</v>
      </c>
      <c r="K60" s="304">
        <f t="shared" si="52"/>
        <v>0</v>
      </c>
      <c r="L60" s="304">
        <f t="shared" si="52"/>
        <v>0</v>
      </c>
      <c r="M60" s="305"/>
      <c r="N60" s="334"/>
      <c r="O60" s="304"/>
      <c r="P60" s="304"/>
      <c r="Q60" s="304"/>
    </row>
    <row r="61">
      <c r="A61" s="337"/>
      <c r="B61" s="337"/>
      <c r="C61" s="338"/>
      <c r="D61" s="271" t="s">
        <v>1001</v>
      </c>
      <c r="E61" s="334">
        <f t="shared" ref="E61:L61" si="53">E55+E60</f>
        <v>0</v>
      </c>
      <c r="F61" s="304">
        <f t="shared" si="53"/>
        <v>0</v>
      </c>
      <c r="G61" s="304">
        <f t="shared" si="53"/>
        <v>0</v>
      </c>
      <c r="H61" s="304">
        <f t="shared" si="53"/>
        <v>0</v>
      </c>
      <c r="I61" s="304">
        <f t="shared" si="53"/>
        <v>0</v>
      </c>
      <c r="J61" s="304">
        <f t="shared" si="53"/>
        <v>0</v>
      </c>
      <c r="K61" s="304">
        <f t="shared" si="53"/>
        <v>0</v>
      </c>
      <c r="L61" s="304">
        <f t="shared" si="53"/>
        <v>0</v>
      </c>
      <c r="M61" s="305"/>
      <c r="N61" s="334"/>
      <c r="O61" s="304"/>
      <c r="P61" s="304"/>
      <c r="Q61" s="304"/>
    </row>
    <row r="62">
      <c r="A62" s="342"/>
      <c r="B62" s="342"/>
      <c r="C62" s="343"/>
      <c r="D62" s="344" t="s">
        <v>1002</v>
      </c>
      <c r="E62" s="345">
        <f t="shared" ref="E62:L62" si="54">iferror(E46/E5,0)</f>
        <v>0</v>
      </c>
      <c r="F62" s="345">
        <f t="shared" si="54"/>
        <v>0</v>
      </c>
      <c r="G62" s="345">
        <f t="shared" si="54"/>
        <v>0</v>
      </c>
      <c r="H62" s="345">
        <f t="shared" si="54"/>
        <v>0</v>
      </c>
      <c r="I62" s="345">
        <f t="shared" si="54"/>
        <v>0</v>
      </c>
      <c r="J62" s="345">
        <f t="shared" si="54"/>
        <v>0</v>
      </c>
      <c r="K62" s="345">
        <f t="shared" si="54"/>
        <v>0</v>
      </c>
      <c r="L62" s="345">
        <f t="shared" si="54"/>
        <v>0</v>
      </c>
      <c r="M62" s="65"/>
      <c r="N62" s="345"/>
      <c r="O62" s="346"/>
      <c r="P62" s="346"/>
      <c r="Q62" s="346"/>
    </row>
    <row r="63">
      <c r="A63" s="342"/>
      <c r="B63" s="342"/>
      <c r="C63" s="347"/>
      <c r="D63" s="348" t="s">
        <v>1003</v>
      </c>
      <c r="E63" s="349">
        <f t="shared" ref="E63:L63" si="55">iferror((E61-E54)/E5,0)</f>
        <v>0</v>
      </c>
      <c r="F63" s="349">
        <f t="shared" si="55"/>
        <v>0</v>
      </c>
      <c r="G63" s="349">
        <f t="shared" si="55"/>
        <v>0</v>
      </c>
      <c r="H63" s="349">
        <f t="shared" si="55"/>
        <v>0</v>
      </c>
      <c r="I63" s="349">
        <f t="shared" si="55"/>
        <v>0</v>
      </c>
      <c r="J63" s="349">
        <f t="shared" si="55"/>
        <v>0</v>
      </c>
      <c r="K63" s="349">
        <f t="shared" si="55"/>
        <v>0</v>
      </c>
      <c r="L63" s="349">
        <f t="shared" si="55"/>
        <v>0</v>
      </c>
      <c r="M63" s="65"/>
      <c r="N63" s="349"/>
      <c r="O63" s="350"/>
      <c r="P63" s="350"/>
      <c r="Q63" s="350"/>
    </row>
    <row r="64">
      <c r="A64" s="342"/>
      <c r="B64" s="342"/>
      <c r="C64" s="347"/>
      <c r="D64" s="348" t="s">
        <v>1004</v>
      </c>
      <c r="E64" s="349">
        <f t="shared" ref="E64:L64" si="56">iferror(E61/E5,0)</f>
        <v>0</v>
      </c>
      <c r="F64" s="349">
        <f t="shared" si="56"/>
        <v>0</v>
      </c>
      <c r="G64" s="349">
        <f t="shared" si="56"/>
        <v>0</v>
      </c>
      <c r="H64" s="349">
        <f t="shared" si="56"/>
        <v>0</v>
      </c>
      <c r="I64" s="349">
        <f t="shared" si="56"/>
        <v>0</v>
      </c>
      <c r="J64" s="349">
        <f t="shared" si="56"/>
        <v>0</v>
      </c>
      <c r="K64" s="349">
        <f t="shared" si="56"/>
        <v>0</v>
      </c>
      <c r="L64" s="349">
        <f t="shared" si="56"/>
        <v>0</v>
      </c>
      <c r="M64" s="65"/>
      <c r="N64" s="349"/>
      <c r="O64" s="350"/>
      <c r="P64" s="350"/>
      <c r="Q64" s="350"/>
    </row>
    <row r="65">
      <c r="A65" s="342"/>
      <c r="B65" s="342"/>
      <c r="C65" s="347"/>
      <c r="D65" s="348" t="s">
        <v>1005</v>
      </c>
      <c r="E65" s="349">
        <f t="shared" ref="E65:L65" si="57">iferror(E55/(E17),0)</f>
        <v>0</v>
      </c>
      <c r="F65" s="349">
        <f t="shared" si="57"/>
        <v>0</v>
      </c>
      <c r="G65" s="349">
        <f t="shared" si="57"/>
        <v>0</v>
      </c>
      <c r="H65" s="349">
        <f t="shared" si="57"/>
        <v>0</v>
      </c>
      <c r="I65" s="349">
        <f t="shared" si="57"/>
        <v>0</v>
      </c>
      <c r="J65" s="349">
        <f t="shared" si="57"/>
        <v>0</v>
      </c>
      <c r="K65" s="349">
        <f t="shared" si="57"/>
        <v>0</v>
      </c>
      <c r="L65" s="349">
        <f t="shared" si="57"/>
        <v>0</v>
      </c>
      <c r="M65" s="65"/>
      <c r="N65" s="349"/>
      <c r="O65" s="350"/>
      <c r="P65" s="350"/>
      <c r="Q65" s="350"/>
    </row>
    <row r="66">
      <c r="A66" s="342"/>
      <c r="B66" s="342"/>
      <c r="C66" s="347"/>
      <c r="D66" s="348" t="s">
        <v>1006</v>
      </c>
      <c r="E66" s="349">
        <f t="shared" ref="E66:L66" si="58">iferror(E60/(E18+E19),0)</f>
        <v>0</v>
      </c>
      <c r="F66" s="349">
        <f t="shared" si="58"/>
        <v>0</v>
      </c>
      <c r="G66" s="349">
        <f t="shared" si="58"/>
        <v>0</v>
      </c>
      <c r="H66" s="349">
        <f t="shared" si="58"/>
        <v>0</v>
      </c>
      <c r="I66" s="349">
        <f t="shared" si="58"/>
        <v>0</v>
      </c>
      <c r="J66" s="349">
        <f t="shared" si="58"/>
        <v>0</v>
      </c>
      <c r="K66" s="349">
        <f t="shared" si="58"/>
        <v>0</v>
      </c>
      <c r="L66" s="349">
        <f t="shared" si="58"/>
        <v>0</v>
      </c>
      <c r="M66" s="65"/>
      <c r="N66" s="349"/>
      <c r="O66" s="350"/>
      <c r="P66" s="350"/>
      <c r="Q66" s="350"/>
    </row>
    <row r="67">
      <c r="A67" s="342"/>
      <c r="B67" s="342"/>
      <c r="C67" s="351"/>
      <c r="D67" s="352" t="s">
        <v>1007</v>
      </c>
      <c r="E67" s="353">
        <f t="shared" ref="E67:L67" si="59">iferror(E55/(E20),0)</f>
        <v>0</v>
      </c>
      <c r="F67" s="353">
        <f t="shared" si="59"/>
        <v>0</v>
      </c>
      <c r="G67" s="353">
        <f t="shared" si="59"/>
        <v>0</v>
      </c>
      <c r="H67" s="353">
        <f t="shared" si="59"/>
        <v>0</v>
      </c>
      <c r="I67" s="353">
        <f t="shared" si="59"/>
        <v>0</v>
      </c>
      <c r="J67" s="353">
        <f t="shared" si="59"/>
        <v>0</v>
      </c>
      <c r="K67" s="353">
        <f t="shared" si="59"/>
        <v>0</v>
      </c>
      <c r="L67" s="353">
        <f t="shared" si="59"/>
        <v>0</v>
      </c>
      <c r="M67" s="65"/>
      <c r="N67" s="353"/>
      <c r="O67" s="354"/>
      <c r="P67" s="354"/>
      <c r="Q67" s="354"/>
    </row>
    <row r="68">
      <c r="A68" s="280"/>
      <c r="B68" s="280"/>
      <c r="C68" s="355"/>
      <c r="D68" s="356"/>
      <c r="E68" s="357"/>
      <c r="F68" s="358"/>
      <c r="G68" s="358"/>
      <c r="H68" s="358"/>
      <c r="I68" s="358"/>
      <c r="J68" s="358"/>
      <c r="K68" s="358"/>
      <c r="L68" s="358"/>
      <c r="M68" s="65"/>
      <c r="N68" s="357"/>
      <c r="O68" s="358"/>
      <c r="P68" s="358"/>
      <c r="Q68" s="358"/>
    </row>
  </sheetData>
  <mergeCells count="20">
    <mergeCell ref="E8:H8"/>
    <mergeCell ref="I8:L8"/>
    <mergeCell ref="I9:L9"/>
    <mergeCell ref="N9:Q9"/>
    <mergeCell ref="C3:D3"/>
    <mergeCell ref="E3:L3"/>
    <mergeCell ref="N3:Q3"/>
    <mergeCell ref="C4:D4"/>
    <mergeCell ref="E4:L4"/>
    <mergeCell ref="N4:Q4"/>
    <mergeCell ref="N8:Q8"/>
    <mergeCell ref="N38:Q38"/>
    <mergeCell ref="N39:Q39"/>
    <mergeCell ref="C8:D10"/>
    <mergeCell ref="E9:H9"/>
    <mergeCell ref="C38:D40"/>
    <mergeCell ref="E38:H38"/>
    <mergeCell ref="I38:L38"/>
    <mergeCell ref="E39:H39"/>
    <mergeCell ref="I39:L39"/>
  </mergeCells>
  <dataValidations>
    <dataValidation type="list" allowBlank="1" showErrorMessage="1" sqref="E4 N4">
      <formula1>Plant!$A$2:$A$28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 outlineLevelRow="1"/>
  <cols>
    <col customWidth="1" min="1" max="2" width="3.86"/>
    <col customWidth="1" min="3" max="3" width="4.14"/>
    <col customWidth="1" min="4" max="4" width="56.43"/>
    <col customWidth="1" min="5" max="5" width="16.43"/>
    <col customWidth="1" min="6" max="6" width="15.71"/>
    <col customWidth="1" min="7" max="9" width="15.86"/>
    <col customWidth="1" min="10" max="10" width="17.14"/>
    <col customWidth="1" min="11" max="11" width="16.86"/>
    <col customWidth="1" min="12" max="13" width="17.0"/>
    <col customWidth="1" min="14" max="14" width="16.43"/>
    <col customWidth="1" min="15" max="15" width="15.71"/>
    <col customWidth="1" min="16" max="17" width="15.86"/>
  </cols>
  <sheetData>
    <row r="1">
      <c r="A1" s="248"/>
      <c r="B1" s="248"/>
      <c r="C1" s="65"/>
      <c r="D1" s="65"/>
      <c r="E1" s="249"/>
      <c r="F1" s="65"/>
      <c r="G1" s="67"/>
      <c r="H1" s="65"/>
      <c r="I1" s="65"/>
      <c r="J1" s="65"/>
      <c r="K1" s="65"/>
      <c r="L1" s="65"/>
      <c r="M1" s="65"/>
      <c r="N1" s="249"/>
      <c r="O1" s="65"/>
      <c r="P1" s="67"/>
      <c r="Q1" s="65"/>
    </row>
    <row r="2">
      <c r="A2" s="248"/>
      <c r="B2" s="248"/>
      <c r="C2" s="250"/>
      <c r="D2" s="251" t="str">
        <f>UPPER('Balin-A'!E5)</f>
        <v>BULAN MEI 2026</v>
      </c>
      <c r="E2" s="65"/>
      <c r="F2" s="65"/>
      <c r="G2" s="67"/>
      <c r="H2" s="65"/>
      <c r="I2" s="65"/>
      <c r="J2" s="65"/>
      <c r="K2" s="65"/>
      <c r="L2" s="252" t="str">
        <f>VLOOKUP(E4,Plant!$A$2:$B$19,2,FALSE)</f>
        <v>5E19</v>
      </c>
      <c r="M2" s="65"/>
      <c r="N2" s="65"/>
      <c r="O2" s="65"/>
      <c r="P2" s="67"/>
      <c r="Q2" s="65"/>
    </row>
    <row r="3">
      <c r="A3" s="248"/>
      <c r="B3" s="248"/>
      <c r="C3" s="253" t="s">
        <v>946</v>
      </c>
      <c r="D3" s="161"/>
      <c r="E3" s="254" t="s">
        <v>947</v>
      </c>
      <c r="F3" s="75"/>
      <c r="G3" s="75"/>
      <c r="H3" s="75"/>
      <c r="I3" s="75"/>
      <c r="J3" s="75"/>
      <c r="K3" s="75"/>
      <c r="L3" s="161"/>
      <c r="M3" s="65"/>
      <c r="N3" s="254"/>
      <c r="O3" s="75"/>
      <c r="P3" s="75"/>
      <c r="Q3" s="161"/>
    </row>
    <row r="4">
      <c r="A4" s="248"/>
      <c r="B4" s="248"/>
      <c r="C4" s="255" t="s">
        <v>948</v>
      </c>
      <c r="D4" s="256"/>
      <c r="E4" s="257" t="s">
        <v>701</v>
      </c>
      <c r="F4" s="258"/>
      <c r="G4" s="258"/>
      <c r="H4" s="258"/>
      <c r="I4" s="258"/>
      <c r="J4" s="258"/>
      <c r="K4" s="258"/>
      <c r="L4" s="259"/>
      <c r="M4" s="65"/>
      <c r="N4" s="257"/>
      <c r="O4" s="258"/>
      <c r="P4" s="258"/>
      <c r="Q4" s="259"/>
    </row>
    <row r="5">
      <c r="A5" s="248"/>
      <c r="B5" s="248"/>
      <c r="C5" s="260"/>
      <c r="D5" s="261" t="s">
        <v>949</v>
      </c>
      <c r="E5" s="262">
        <f>IFERROR(__xludf.DUMMYFUNCTION("IMPORTRANGE(Link!B$3,""Form HO!AK6"")"),0.0)</f>
        <v>0</v>
      </c>
      <c r="F5" s="263">
        <v>0.0</v>
      </c>
      <c r="G5" s="263">
        <v>0.0</v>
      </c>
      <c r="H5" s="263">
        <v>0.0</v>
      </c>
      <c r="I5" s="263">
        <f t="shared" ref="I5:L5" si="1">E5</f>
        <v>0</v>
      </c>
      <c r="J5" s="263">
        <f t="shared" si="1"/>
        <v>0</v>
      </c>
      <c r="K5" s="263">
        <f t="shared" si="1"/>
        <v>0</v>
      </c>
      <c r="L5" s="263">
        <f t="shared" si="1"/>
        <v>0</v>
      </c>
      <c r="M5" s="65"/>
      <c r="N5" s="264"/>
      <c r="O5" s="263"/>
      <c r="P5" s="263"/>
      <c r="Q5" s="263"/>
    </row>
    <row r="6">
      <c r="A6" s="248"/>
      <c r="B6" s="248"/>
      <c r="C6" s="265"/>
      <c r="D6" s="266" t="s">
        <v>950</v>
      </c>
      <c r="E6" s="267"/>
      <c r="F6" s="268"/>
      <c r="G6" s="269"/>
      <c r="H6" s="268"/>
      <c r="I6" s="268"/>
      <c r="J6" s="268"/>
      <c r="K6" s="268"/>
      <c r="L6" s="268"/>
      <c r="M6" s="65"/>
      <c r="N6" s="267"/>
      <c r="O6" s="268"/>
      <c r="P6" s="269"/>
      <c r="Q6" s="268"/>
    </row>
    <row r="7">
      <c r="A7" s="248"/>
      <c r="B7" s="248"/>
      <c r="C7" s="270"/>
      <c r="D7" s="271" t="s">
        <v>951</v>
      </c>
      <c r="E7" s="272">
        <f t="shared" ref="E7:L7" si="2">sum(E5:E6)</f>
        <v>0</v>
      </c>
      <c r="F7" s="273">
        <f t="shared" si="2"/>
        <v>0</v>
      </c>
      <c r="G7" s="273">
        <f t="shared" si="2"/>
        <v>0</v>
      </c>
      <c r="H7" s="273">
        <f t="shared" si="2"/>
        <v>0</v>
      </c>
      <c r="I7" s="273">
        <f t="shared" si="2"/>
        <v>0</v>
      </c>
      <c r="J7" s="273">
        <f t="shared" si="2"/>
        <v>0</v>
      </c>
      <c r="K7" s="273">
        <f t="shared" si="2"/>
        <v>0</v>
      </c>
      <c r="L7" s="273">
        <f t="shared" si="2"/>
        <v>0</v>
      </c>
      <c r="M7" s="65"/>
      <c r="N7" s="272">
        <f t="shared" ref="N7:Q7" si="3">sum(N5:N6)</f>
        <v>0</v>
      </c>
      <c r="O7" s="273">
        <f t="shared" si="3"/>
        <v>0</v>
      </c>
      <c r="P7" s="273">
        <f t="shared" si="3"/>
        <v>0</v>
      </c>
      <c r="Q7" s="273">
        <f t="shared" si="3"/>
        <v>0</v>
      </c>
    </row>
    <row r="8">
      <c r="A8" s="274"/>
      <c r="B8" s="274"/>
      <c r="C8" s="253" t="s">
        <v>405</v>
      </c>
      <c r="D8" s="161"/>
      <c r="E8" s="275" t="s">
        <v>952</v>
      </c>
      <c r="F8" s="258"/>
      <c r="G8" s="258"/>
      <c r="H8" s="259"/>
      <c r="I8" s="276" t="s">
        <v>952</v>
      </c>
      <c r="J8" s="258"/>
      <c r="K8" s="258"/>
      <c r="L8" s="259"/>
      <c r="M8" s="65"/>
      <c r="N8" s="275" t="s">
        <v>952</v>
      </c>
      <c r="O8" s="258"/>
      <c r="P8" s="258"/>
      <c r="Q8" s="259"/>
    </row>
    <row r="9">
      <c r="A9" s="274"/>
      <c r="B9" s="274"/>
      <c r="C9" s="157"/>
      <c r="D9" s="158"/>
      <c r="E9" s="275" t="s">
        <v>724</v>
      </c>
      <c r="F9" s="258"/>
      <c r="G9" s="258"/>
      <c r="H9" s="259"/>
      <c r="I9" s="276" t="s">
        <v>953</v>
      </c>
      <c r="J9" s="258"/>
      <c r="K9" s="258"/>
      <c r="L9" s="259"/>
      <c r="M9" s="65"/>
      <c r="N9" s="275" t="s">
        <v>954</v>
      </c>
      <c r="O9" s="258"/>
      <c r="P9" s="258"/>
      <c r="Q9" s="259"/>
    </row>
    <row r="10">
      <c r="A10" s="274"/>
      <c r="B10" s="274"/>
      <c r="C10" s="172"/>
      <c r="D10" s="173"/>
      <c r="E10" s="277" t="s">
        <v>734</v>
      </c>
      <c r="F10" s="278" t="s">
        <v>957</v>
      </c>
      <c r="G10" s="279" t="s">
        <v>958</v>
      </c>
      <c r="H10" s="278" t="s">
        <v>635</v>
      </c>
      <c r="I10" s="278" t="str">
        <f t="shared" ref="I10:L10" si="4">E10</f>
        <v>Real Tahun Lalu</v>
      </c>
      <c r="J10" s="278" t="str">
        <f t="shared" si="4"/>
        <v>Real Tahun Ini</v>
      </c>
      <c r="K10" s="279" t="str">
        <f t="shared" si="4"/>
        <v>RKO TW</v>
      </c>
      <c r="L10" s="278" t="str">
        <f t="shared" si="4"/>
        <v>RKAP</v>
      </c>
      <c r="M10" s="65"/>
      <c r="N10" s="277" t="s">
        <v>734</v>
      </c>
      <c r="O10" s="278" t="s">
        <v>957</v>
      </c>
      <c r="P10" s="279" t="s">
        <v>958</v>
      </c>
      <c r="Q10" s="278" t="s">
        <v>635</v>
      </c>
    </row>
    <row r="11">
      <c r="A11" s="280"/>
      <c r="B11" s="280"/>
      <c r="C11" s="281" t="s">
        <v>959</v>
      </c>
      <c r="D11" s="282" t="s">
        <v>960</v>
      </c>
      <c r="E11" s="283">
        <f t="shared" ref="E11:L11" si="5">sum(E12:E14)</f>
        <v>0</v>
      </c>
      <c r="F11" s="284">
        <f t="shared" si="5"/>
        <v>0</v>
      </c>
      <c r="G11" s="284">
        <f t="shared" si="5"/>
        <v>0</v>
      </c>
      <c r="H11" s="284">
        <f t="shared" si="5"/>
        <v>0</v>
      </c>
      <c r="I11" s="284">
        <f t="shared" si="5"/>
        <v>0</v>
      </c>
      <c r="J11" s="284">
        <f t="shared" si="5"/>
        <v>0</v>
      </c>
      <c r="K11" s="284">
        <f t="shared" si="5"/>
        <v>0</v>
      </c>
      <c r="L11" s="284">
        <f t="shared" si="5"/>
        <v>0</v>
      </c>
      <c r="M11" s="65"/>
      <c r="N11" s="283">
        <f>IFERROR(__xludf.DUMMYFUNCTION("IFERROR(IMPORTRANGE(Link!$B$1,CONCATENATE(VLOOKUP($L$2,Plant!$B$1:$C$19,2,false),""!I11:L57"")),0)"),0.0)</f>
        <v>0</v>
      </c>
      <c r="O11" s="284">
        <f>IFERROR(__xludf.DUMMYFUNCTION("""COMPUTED_VALUE"""),0.0)</f>
        <v>0</v>
      </c>
      <c r="P11" s="284">
        <f>IFERROR(__xludf.DUMMYFUNCTION("""COMPUTED_VALUE"""),0.0)</f>
        <v>0</v>
      </c>
      <c r="Q11" s="284">
        <f>IFERROR(__xludf.DUMMYFUNCTION("""COMPUTED_VALUE"""),0.0)</f>
        <v>0</v>
      </c>
    </row>
    <row r="12" outlineLevel="1">
      <c r="A12" s="285"/>
      <c r="B12" s="280"/>
      <c r="C12" s="286"/>
      <c r="D12" s="287" t="s">
        <v>961</v>
      </c>
      <c r="E12" s="288">
        <v>0.0</v>
      </c>
      <c r="F12" s="288">
        <v>0.0</v>
      </c>
      <c r="G12" s="288">
        <v>0.0</v>
      </c>
      <c r="H12" s="288">
        <v>0.0</v>
      </c>
      <c r="I12" s="288">
        <v>0.0</v>
      </c>
      <c r="J12" s="288">
        <v>0.0</v>
      </c>
      <c r="K12" s="288">
        <v>0.0</v>
      </c>
      <c r="L12" s="288">
        <v>0.0</v>
      </c>
      <c r="M12" s="65"/>
      <c r="N12" s="291">
        <f>IFERROR(__xludf.DUMMYFUNCTION("""COMPUTED_VALUE"""),0.0)</f>
        <v>0</v>
      </c>
      <c r="O12" s="290">
        <f>IFERROR(__xludf.DUMMYFUNCTION("""COMPUTED_VALUE"""),0.0)</f>
        <v>0</v>
      </c>
      <c r="P12" s="290">
        <f>IFERROR(__xludf.DUMMYFUNCTION("""COMPUTED_VALUE"""),0.0)</f>
        <v>0</v>
      </c>
      <c r="Q12" s="290">
        <f>IFERROR(__xludf.DUMMYFUNCTION("""COMPUTED_VALUE"""),0.0)</f>
        <v>0</v>
      </c>
    </row>
    <row r="13" outlineLevel="1">
      <c r="A13" s="285"/>
      <c r="B13" s="280"/>
      <c r="C13" s="292" t="s">
        <v>962</v>
      </c>
      <c r="D13" s="287" t="s">
        <v>963</v>
      </c>
      <c r="E13" s="288">
        <v>0.0</v>
      </c>
      <c r="F13" s="288">
        <v>0.0</v>
      </c>
      <c r="G13" s="288">
        <v>0.0</v>
      </c>
      <c r="H13" s="288">
        <v>0.0</v>
      </c>
      <c r="I13" s="288">
        <v>0.0</v>
      </c>
      <c r="J13" s="288">
        <v>0.0</v>
      </c>
      <c r="K13" s="288">
        <v>0.0</v>
      </c>
      <c r="L13" s="288">
        <v>0.0</v>
      </c>
      <c r="M13" s="65"/>
      <c r="N13" s="291">
        <f>IFERROR(__xludf.DUMMYFUNCTION("""COMPUTED_VALUE"""),0.0)</f>
        <v>0</v>
      </c>
      <c r="O13" s="290">
        <f>IFERROR(__xludf.DUMMYFUNCTION("""COMPUTED_VALUE"""),0.0)</f>
        <v>0</v>
      </c>
      <c r="P13" s="290">
        <f>IFERROR(__xludf.DUMMYFUNCTION("""COMPUTED_VALUE"""),0.0)</f>
        <v>0</v>
      </c>
      <c r="Q13" s="290">
        <f>IFERROR(__xludf.DUMMYFUNCTION("""COMPUTED_VALUE"""),0.0)</f>
        <v>0</v>
      </c>
    </row>
    <row r="14" outlineLevel="1">
      <c r="A14" s="285"/>
      <c r="B14" s="280"/>
      <c r="C14" s="292" t="s">
        <v>964</v>
      </c>
      <c r="D14" s="287" t="s">
        <v>965</v>
      </c>
      <c r="E14" s="288">
        <v>0.0</v>
      </c>
      <c r="F14" s="288">
        <v>0.0</v>
      </c>
      <c r="G14" s="288">
        <v>0.0</v>
      </c>
      <c r="H14" s="288">
        <v>0.0</v>
      </c>
      <c r="I14" s="288">
        <v>0.0</v>
      </c>
      <c r="J14" s="288">
        <v>0.0</v>
      </c>
      <c r="K14" s="288">
        <v>0.0</v>
      </c>
      <c r="L14" s="288">
        <v>0.0</v>
      </c>
      <c r="M14" s="65"/>
      <c r="N14" s="291">
        <f>IFERROR(__xludf.DUMMYFUNCTION("""COMPUTED_VALUE"""),0.0)</f>
        <v>0</v>
      </c>
      <c r="O14" s="290">
        <f>IFERROR(__xludf.DUMMYFUNCTION("""COMPUTED_VALUE"""),0.0)</f>
        <v>0</v>
      </c>
      <c r="P14" s="290">
        <f>IFERROR(__xludf.DUMMYFUNCTION("""COMPUTED_VALUE"""),0.0)</f>
        <v>0</v>
      </c>
      <c r="Q14" s="290">
        <f>IFERROR(__xludf.DUMMYFUNCTION("""COMPUTED_VALUE"""),0.0)</f>
        <v>0</v>
      </c>
    </row>
    <row r="15">
      <c r="A15" s="280"/>
      <c r="B15" s="280"/>
      <c r="C15" s="286"/>
      <c r="D15" s="293"/>
      <c r="E15" s="291"/>
      <c r="F15" s="290"/>
      <c r="G15" s="290"/>
      <c r="H15" s="290"/>
      <c r="I15" s="290"/>
      <c r="J15" s="290"/>
      <c r="K15" s="290"/>
      <c r="L15" s="290"/>
      <c r="M15" s="65"/>
      <c r="N15" s="291"/>
      <c r="O15" s="290"/>
      <c r="P15" s="290"/>
      <c r="Q15" s="290"/>
    </row>
    <row r="16">
      <c r="A16" s="280"/>
      <c r="B16" s="280"/>
      <c r="C16" s="294" t="s">
        <v>966</v>
      </c>
      <c r="D16" s="295" t="s">
        <v>967</v>
      </c>
      <c r="E16" s="296"/>
      <c r="F16" s="269"/>
      <c r="G16" s="269"/>
      <c r="H16" s="269"/>
      <c r="I16" s="269"/>
      <c r="J16" s="269"/>
      <c r="K16" s="269"/>
      <c r="L16" s="269"/>
      <c r="M16" s="65"/>
      <c r="N16" s="296"/>
      <c r="O16" s="269"/>
      <c r="P16" s="269"/>
      <c r="Q16" s="269"/>
    </row>
    <row r="17">
      <c r="A17" s="297"/>
      <c r="B17" s="280"/>
      <c r="C17" s="265"/>
      <c r="D17" s="287" t="s">
        <v>961</v>
      </c>
      <c r="E17" s="291">
        <f>IFERROR(__xludf.DUMMYFUNCTION("IMPORTRANGE(Link!$B$3,""Form HO!AK14"")"),350.0)</f>
        <v>350</v>
      </c>
      <c r="F17" s="298">
        <v>137.0</v>
      </c>
      <c r="G17" s="288">
        <v>0.0</v>
      </c>
      <c r="H17" s="288">
        <v>0.0</v>
      </c>
      <c r="I17" s="291">
        <f>IFERROR(__xludf.DUMMYFUNCTION("IMPORTRANGE(Link!$B$3,""Form HO!AO14"")"),1641.0)</f>
        <v>1641</v>
      </c>
      <c r="J17" s="290">
        <f t="shared" ref="J17:L17" si="6">F17+O17</f>
        <v>604</v>
      </c>
      <c r="K17" s="290">
        <f t="shared" si="6"/>
        <v>0</v>
      </c>
      <c r="L17" s="290">
        <f t="shared" si="6"/>
        <v>0</v>
      </c>
      <c r="M17" s="65"/>
      <c r="N17" s="299">
        <f>IFERROR(__xludf.DUMMYFUNCTION("""COMPUTED_VALUE"""),1291.0)</f>
        <v>1291</v>
      </c>
      <c r="O17" s="288">
        <f>IFERROR(__xludf.DUMMYFUNCTION("""COMPUTED_VALUE"""),467.0)</f>
        <v>467</v>
      </c>
      <c r="P17" s="300">
        <f>IFERROR(__xludf.DUMMYFUNCTION("""COMPUTED_VALUE"""),0.0)</f>
        <v>0</v>
      </c>
      <c r="Q17" s="300">
        <f>IFERROR(__xludf.DUMMYFUNCTION("""COMPUTED_VALUE"""),0.0)</f>
        <v>0</v>
      </c>
    </row>
    <row r="18">
      <c r="A18" s="297"/>
      <c r="B18" s="280"/>
      <c r="C18" s="292" t="s">
        <v>962</v>
      </c>
      <c r="D18" s="287" t="s">
        <v>963</v>
      </c>
      <c r="E18" s="289">
        <v>0.0</v>
      </c>
      <c r="F18" s="288">
        <v>0.0</v>
      </c>
      <c r="G18" s="290">
        <f>IFERROR(HLOOKUP($L$2,'RKO Rekap'!$D$7:$U$94,12,false),0)</f>
        <v>0</v>
      </c>
      <c r="H18" s="290">
        <f>IFERROR(HLOOKUP($L$2,'RKAP Rekap'!$D$7:$U$94,12,false),0)</f>
        <v>0</v>
      </c>
      <c r="I18" s="288">
        <v>0.0</v>
      </c>
      <c r="J18" s="290">
        <f t="shared" ref="J18:L18" si="7">F18+O18</f>
        <v>0</v>
      </c>
      <c r="K18" s="290">
        <f t="shared" si="7"/>
        <v>0</v>
      </c>
      <c r="L18" s="290">
        <f t="shared" si="7"/>
        <v>0</v>
      </c>
      <c r="M18" s="65"/>
      <c r="N18" s="299">
        <f>IFERROR(__xludf.DUMMYFUNCTION("""COMPUTED_VALUE"""),0.0)</f>
        <v>0</v>
      </c>
      <c r="O18" s="288">
        <f>IFERROR(__xludf.DUMMYFUNCTION("""COMPUTED_VALUE"""),0.0)</f>
        <v>0</v>
      </c>
      <c r="P18" s="300">
        <f>IFERROR(__xludf.DUMMYFUNCTION("""COMPUTED_VALUE"""),0.0)</f>
        <v>0</v>
      </c>
      <c r="Q18" s="300">
        <f>IFERROR(__xludf.DUMMYFUNCTION("""COMPUTED_VALUE"""),0.0)</f>
        <v>0</v>
      </c>
    </row>
    <row r="19">
      <c r="A19" s="297"/>
      <c r="B19" s="280"/>
      <c r="C19" s="292" t="s">
        <v>964</v>
      </c>
      <c r="D19" s="287" t="s">
        <v>965</v>
      </c>
      <c r="E19" s="289">
        <v>0.0</v>
      </c>
      <c r="F19" s="288">
        <v>0.0</v>
      </c>
      <c r="G19" s="290">
        <f>IFERROR(HLOOKUP($L$2,'RKO Rekap'!$D$7:$U$94,13,false),0)</f>
        <v>0</v>
      </c>
      <c r="H19" s="290">
        <f>IFERROR(HLOOKUP($L$2,'RKAP Rekap'!$D$7:$U$94,13,false),0)</f>
        <v>0</v>
      </c>
      <c r="I19" s="288">
        <v>0.0</v>
      </c>
      <c r="J19" s="290">
        <f t="shared" ref="J19:L19" si="8">F19+O19</f>
        <v>0</v>
      </c>
      <c r="K19" s="290">
        <f t="shared" si="8"/>
        <v>0</v>
      </c>
      <c r="L19" s="290">
        <f t="shared" si="8"/>
        <v>0</v>
      </c>
      <c r="M19" s="65"/>
      <c r="N19" s="299">
        <f>IFERROR(__xludf.DUMMYFUNCTION("""COMPUTED_VALUE"""),0.0)</f>
        <v>0</v>
      </c>
      <c r="O19" s="288">
        <f>IFERROR(__xludf.DUMMYFUNCTION("""COMPUTED_VALUE"""),0.0)</f>
        <v>0</v>
      </c>
      <c r="P19" s="300">
        <f>IFERROR(__xludf.DUMMYFUNCTION("""COMPUTED_VALUE"""),0.0)</f>
        <v>0</v>
      </c>
      <c r="Q19" s="300">
        <f>IFERROR(__xludf.DUMMYFUNCTION("""COMPUTED_VALUE"""),0.0)</f>
        <v>0</v>
      </c>
    </row>
    <row r="20">
      <c r="A20" s="301"/>
      <c r="B20" s="301"/>
      <c r="C20" s="302"/>
      <c r="D20" s="271" t="s">
        <v>951</v>
      </c>
      <c r="E20" s="303">
        <f t="shared" ref="E20:L20" si="9">sum(E17:E19)</f>
        <v>350</v>
      </c>
      <c r="F20" s="304">
        <f t="shared" si="9"/>
        <v>137</v>
      </c>
      <c r="G20" s="304">
        <f t="shared" si="9"/>
        <v>0</v>
      </c>
      <c r="H20" s="304">
        <f t="shared" si="9"/>
        <v>0</v>
      </c>
      <c r="I20" s="304">
        <f t="shared" si="9"/>
        <v>1641</v>
      </c>
      <c r="J20" s="304">
        <f t="shared" si="9"/>
        <v>604</v>
      </c>
      <c r="K20" s="304">
        <f t="shared" si="9"/>
        <v>0</v>
      </c>
      <c r="L20" s="304">
        <f t="shared" si="9"/>
        <v>0</v>
      </c>
      <c r="M20" s="305"/>
      <c r="N20" s="303">
        <f>IFERROR(__xludf.DUMMYFUNCTION("""COMPUTED_VALUE"""),1291.0)</f>
        <v>1291</v>
      </c>
      <c r="O20" s="304">
        <f>IFERROR(__xludf.DUMMYFUNCTION("""COMPUTED_VALUE"""),467.0)</f>
        <v>467</v>
      </c>
      <c r="P20" s="304">
        <f>IFERROR(__xludf.DUMMYFUNCTION("""COMPUTED_VALUE"""),0.0)</f>
        <v>0</v>
      </c>
      <c r="Q20" s="304">
        <f>IFERROR(__xludf.DUMMYFUNCTION("""COMPUTED_VALUE"""),0.0)</f>
        <v>0</v>
      </c>
    </row>
    <row r="21">
      <c r="A21" s="280"/>
      <c r="B21" s="280"/>
      <c r="C21" s="294" t="s">
        <v>968</v>
      </c>
      <c r="D21" s="295" t="s">
        <v>969</v>
      </c>
      <c r="E21" s="296"/>
      <c r="F21" s="269"/>
      <c r="G21" s="269"/>
      <c r="H21" s="269"/>
      <c r="I21" s="269"/>
      <c r="J21" s="269"/>
      <c r="K21" s="269"/>
      <c r="L21" s="269"/>
      <c r="M21" s="65"/>
      <c r="N21" s="296"/>
      <c r="O21" s="269"/>
      <c r="P21" s="269"/>
      <c r="Q21" s="269"/>
    </row>
    <row r="22">
      <c r="A22" s="297"/>
      <c r="B22" s="280"/>
      <c r="C22" s="265"/>
      <c r="D22" s="287" t="s">
        <v>961</v>
      </c>
      <c r="E22" s="289">
        <v>0.0</v>
      </c>
      <c r="F22" s="289">
        <v>0.0</v>
      </c>
      <c r="G22" s="290">
        <f>IFERROR(HLOOKUP($L$2,'RKO Rekap'!$D$7:$U$94,33,false),0)</f>
        <v>0</v>
      </c>
      <c r="H22" s="290">
        <f>IFERROR(HLOOKUP($L$2,'RKAP Rekap'!$D$7:$U$94,33,false),0)</f>
        <v>0</v>
      </c>
      <c r="I22" s="290">
        <f t="shared" ref="I22:I24" si="11">IFERROR(HLOOKUP(CONCATENATE("Olah + Jual SBI-",$L$2),'Tahun Lalu Rekap'!$A$4:$DG$78,MATCH(A22,'Tahun Lalu Rekap'!$A$4:$A$78,0),0),0)</f>
        <v>0</v>
      </c>
      <c r="J22" s="290">
        <f t="shared" ref="J22:L22" si="10">F22+O22</f>
        <v>0</v>
      </c>
      <c r="K22" s="290">
        <f t="shared" si="10"/>
        <v>0</v>
      </c>
      <c r="L22" s="290">
        <f t="shared" si="10"/>
        <v>0</v>
      </c>
      <c r="M22" s="65"/>
      <c r="N22" s="299">
        <f>IFERROR(__xludf.DUMMYFUNCTION("""COMPUTED_VALUE"""),0.0)</f>
        <v>0</v>
      </c>
      <c r="O22" s="290">
        <f>IFERROR(__xludf.DUMMYFUNCTION("""COMPUTED_VALUE"""),0.0)</f>
        <v>0</v>
      </c>
      <c r="P22" s="300">
        <f>IFERROR(__xludf.DUMMYFUNCTION("""COMPUTED_VALUE"""),0.0)</f>
        <v>0</v>
      </c>
      <c r="Q22" s="300">
        <f>IFERROR(__xludf.DUMMYFUNCTION("""COMPUTED_VALUE"""),0.0)</f>
        <v>0</v>
      </c>
    </row>
    <row r="23">
      <c r="A23" s="297"/>
      <c r="B23" s="280"/>
      <c r="C23" s="292" t="s">
        <v>962</v>
      </c>
      <c r="D23" s="287" t="s">
        <v>963</v>
      </c>
      <c r="E23" s="289">
        <v>0.0</v>
      </c>
      <c r="F23" s="289">
        <v>0.0</v>
      </c>
      <c r="G23" s="290">
        <f>IFERROR(HLOOKUP($L$2,'RKO Rekap'!$D$7:$U$94,34,false),0)</f>
        <v>0</v>
      </c>
      <c r="H23" s="290">
        <f>IFERROR(HLOOKUP($L$2,'RKAP Rekap'!$D$7:$U$94,34,false),0)</f>
        <v>0</v>
      </c>
      <c r="I23" s="290">
        <f t="shared" si="11"/>
        <v>0</v>
      </c>
      <c r="J23" s="290">
        <f t="shared" ref="J23:L23" si="12">F23+O23</f>
        <v>0</v>
      </c>
      <c r="K23" s="290">
        <f t="shared" si="12"/>
        <v>0</v>
      </c>
      <c r="L23" s="290">
        <f t="shared" si="12"/>
        <v>0</v>
      </c>
      <c r="M23" s="65"/>
      <c r="N23" s="299">
        <f>IFERROR(__xludf.DUMMYFUNCTION("""COMPUTED_VALUE"""),0.0)</f>
        <v>0</v>
      </c>
      <c r="O23" s="290">
        <f>IFERROR(__xludf.DUMMYFUNCTION("""COMPUTED_VALUE"""),0.0)</f>
        <v>0</v>
      </c>
      <c r="P23" s="300">
        <f>IFERROR(__xludf.DUMMYFUNCTION("""COMPUTED_VALUE"""),0.0)</f>
        <v>0</v>
      </c>
      <c r="Q23" s="300">
        <f>IFERROR(__xludf.DUMMYFUNCTION("""COMPUTED_VALUE"""),0.0)</f>
        <v>0</v>
      </c>
    </row>
    <row r="24">
      <c r="A24" s="297"/>
      <c r="B24" s="280"/>
      <c r="C24" s="292" t="s">
        <v>964</v>
      </c>
      <c r="D24" s="287" t="s">
        <v>965</v>
      </c>
      <c r="E24" s="289">
        <v>0.0</v>
      </c>
      <c r="F24" s="289">
        <v>0.0</v>
      </c>
      <c r="G24" s="290">
        <f>IFERROR(HLOOKUP($L$2,'RKO Rekap'!$D$7:$U$94,35,false),0)</f>
        <v>0</v>
      </c>
      <c r="H24" s="290">
        <f>IFERROR(HLOOKUP($L$2,'RKAP Rekap'!$D$7:$U$94,35,false),0)</f>
        <v>0</v>
      </c>
      <c r="I24" s="290">
        <f t="shared" si="11"/>
        <v>0</v>
      </c>
      <c r="J24" s="290">
        <f t="shared" ref="J24:L24" si="13">F24+O24</f>
        <v>0</v>
      </c>
      <c r="K24" s="290">
        <f t="shared" si="13"/>
        <v>0</v>
      </c>
      <c r="L24" s="290">
        <f t="shared" si="13"/>
        <v>0</v>
      </c>
      <c r="M24" s="65"/>
      <c r="N24" s="299">
        <f>IFERROR(__xludf.DUMMYFUNCTION("""COMPUTED_VALUE"""),0.0)</f>
        <v>0</v>
      </c>
      <c r="O24" s="290">
        <f>IFERROR(__xludf.DUMMYFUNCTION("""COMPUTED_VALUE"""),0.0)</f>
        <v>0</v>
      </c>
      <c r="P24" s="300">
        <f>IFERROR(__xludf.DUMMYFUNCTION("""COMPUTED_VALUE"""),0.0)</f>
        <v>0</v>
      </c>
      <c r="Q24" s="300">
        <f>IFERROR(__xludf.DUMMYFUNCTION("""COMPUTED_VALUE"""),0.0)</f>
        <v>0</v>
      </c>
    </row>
    <row r="25">
      <c r="A25" s="301"/>
      <c r="B25" s="301"/>
      <c r="C25" s="302"/>
      <c r="D25" s="271" t="s">
        <v>951</v>
      </c>
      <c r="E25" s="303">
        <f t="shared" ref="E25:L25" si="14">sum(E22:E24)</f>
        <v>0</v>
      </c>
      <c r="F25" s="303">
        <f t="shared" si="14"/>
        <v>0</v>
      </c>
      <c r="G25" s="304">
        <f t="shared" si="14"/>
        <v>0</v>
      </c>
      <c r="H25" s="304">
        <f t="shared" si="14"/>
        <v>0</v>
      </c>
      <c r="I25" s="304">
        <f t="shared" si="14"/>
        <v>0</v>
      </c>
      <c r="J25" s="304">
        <f t="shared" si="14"/>
        <v>0</v>
      </c>
      <c r="K25" s="304">
        <f t="shared" si="14"/>
        <v>0</v>
      </c>
      <c r="L25" s="304">
        <f t="shared" si="14"/>
        <v>0</v>
      </c>
      <c r="M25" s="305"/>
      <c r="N25" s="303">
        <f>IFERROR(__xludf.DUMMYFUNCTION("""COMPUTED_VALUE"""),0.0)</f>
        <v>0</v>
      </c>
      <c r="O25" s="304">
        <f>IFERROR(__xludf.DUMMYFUNCTION("""COMPUTED_VALUE"""),0.0)</f>
        <v>0</v>
      </c>
      <c r="P25" s="304">
        <f>IFERROR(__xludf.DUMMYFUNCTION("""COMPUTED_VALUE"""),0.0)</f>
        <v>0</v>
      </c>
      <c r="Q25" s="304">
        <f>IFERROR(__xludf.DUMMYFUNCTION("""COMPUTED_VALUE"""),0.0)</f>
        <v>0</v>
      </c>
    </row>
    <row r="26">
      <c r="A26" s="280"/>
      <c r="B26" s="280"/>
      <c r="C26" s="294" t="s">
        <v>970</v>
      </c>
      <c r="D26" s="295" t="s">
        <v>971</v>
      </c>
      <c r="E26" s="296"/>
      <c r="F26" s="296"/>
      <c r="G26" s="269"/>
      <c r="H26" s="269"/>
      <c r="I26" s="269"/>
      <c r="J26" s="269"/>
      <c r="K26" s="269"/>
      <c r="L26" s="269"/>
      <c r="M26" s="65"/>
      <c r="N26" s="296"/>
      <c r="O26" s="269"/>
      <c r="P26" s="269"/>
      <c r="Q26" s="269"/>
    </row>
    <row r="27">
      <c r="A27" s="297"/>
      <c r="B27" s="280"/>
      <c r="C27" s="265"/>
      <c r="D27" s="266" t="s">
        <v>972</v>
      </c>
      <c r="E27" s="289">
        <v>0.0</v>
      </c>
      <c r="F27" s="289">
        <v>0.0</v>
      </c>
      <c r="G27" s="290">
        <f t="shared" ref="G27:G31" si="16">IFERROR(HLOOKUP($L$2,'RKO Rekap'!$D$7:$U$94,38,false),0)</f>
        <v>0</v>
      </c>
      <c r="H27" s="290">
        <f t="shared" ref="H27:H31" si="17">IFERROR(HLOOKUP($L$2,'RKAP Rekap'!$D$7:$U$94,38,false),0)</f>
        <v>0</v>
      </c>
      <c r="I27" s="290">
        <f t="shared" ref="I27:I32" si="18">IFERROR(HLOOKUP(CONCATENATE("Olah + Jual SBI-",$L$2),'Tahun Lalu Rekap'!$A$4:$DG$78,MATCH(A27,'Tahun Lalu Rekap'!$A$4:$A$78,0),0),0)</f>
        <v>0</v>
      </c>
      <c r="J27" s="290">
        <f t="shared" ref="J27:L27" si="15">F27+O27</f>
        <v>0</v>
      </c>
      <c r="K27" s="290">
        <f t="shared" si="15"/>
        <v>0</v>
      </c>
      <c r="L27" s="290">
        <f t="shared" si="15"/>
        <v>0</v>
      </c>
      <c r="M27" s="65"/>
      <c r="N27" s="299">
        <f>IFERROR(__xludf.DUMMYFUNCTION("""COMPUTED_VALUE"""),0.0)</f>
        <v>0</v>
      </c>
      <c r="O27" s="290">
        <f>IFERROR(__xludf.DUMMYFUNCTION("""COMPUTED_VALUE"""),0.0)</f>
        <v>0</v>
      </c>
      <c r="P27" s="300">
        <f>IFERROR(__xludf.DUMMYFUNCTION("""COMPUTED_VALUE"""),0.0)</f>
        <v>0</v>
      </c>
      <c r="Q27" s="300">
        <f>IFERROR(__xludf.DUMMYFUNCTION("""COMPUTED_VALUE"""),0.0)</f>
        <v>0</v>
      </c>
    </row>
    <row r="28">
      <c r="A28" s="297"/>
      <c r="B28" s="280"/>
      <c r="C28" s="265"/>
      <c r="D28" s="266" t="s">
        <v>973</v>
      </c>
      <c r="E28" s="289">
        <v>0.0</v>
      </c>
      <c r="F28" s="289">
        <v>0.0</v>
      </c>
      <c r="G28" s="290">
        <f t="shared" si="16"/>
        <v>0</v>
      </c>
      <c r="H28" s="290">
        <f t="shared" si="17"/>
        <v>0</v>
      </c>
      <c r="I28" s="290">
        <f t="shared" si="18"/>
        <v>0</v>
      </c>
      <c r="J28" s="290">
        <f t="shared" ref="J28:L28" si="19">F28+O28</f>
        <v>0</v>
      </c>
      <c r="K28" s="290">
        <f t="shared" si="19"/>
        <v>0</v>
      </c>
      <c r="L28" s="290">
        <f t="shared" si="19"/>
        <v>0</v>
      </c>
      <c r="M28" s="65"/>
      <c r="N28" s="299">
        <f>IFERROR(__xludf.DUMMYFUNCTION("""COMPUTED_VALUE"""),0.0)</f>
        <v>0</v>
      </c>
      <c r="O28" s="290">
        <f>IFERROR(__xludf.DUMMYFUNCTION("""COMPUTED_VALUE"""),0.0)</f>
        <v>0</v>
      </c>
      <c r="P28" s="300">
        <f>IFERROR(__xludf.DUMMYFUNCTION("""COMPUTED_VALUE"""),0.0)</f>
        <v>0</v>
      </c>
      <c r="Q28" s="300">
        <f>IFERROR(__xludf.DUMMYFUNCTION("""COMPUTED_VALUE"""),0.0)</f>
        <v>0</v>
      </c>
    </row>
    <row r="29">
      <c r="A29" s="297"/>
      <c r="B29" s="280"/>
      <c r="C29" s="265"/>
      <c r="D29" s="266" t="s">
        <v>974</v>
      </c>
      <c r="E29" s="289">
        <v>0.0</v>
      </c>
      <c r="F29" s="289">
        <v>0.0</v>
      </c>
      <c r="G29" s="290">
        <f t="shared" si="16"/>
        <v>0</v>
      </c>
      <c r="H29" s="290">
        <f t="shared" si="17"/>
        <v>0</v>
      </c>
      <c r="I29" s="290">
        <f t="shared" si="18"/>
        <v>0</v>
      </c>
      <c r="J29" s="290">
        <f t="shared" ref="J29:L29" si="20">F29+O29</f>
        <v>0</v>
      </c>
      <c r="K29" s="290">
        <f t="shared" si="20"/>
        <v>0</v>
      </c>
      <c r="L29" s="290">
        <f t="shared" si="20"/>
        <v>0</v>
      </c>
      <c r="M29" s="65"/>
      <c r="N29" s="299">
        <f>IFERROR(__xludf.DUMMYFUNCTION("""COMPUTED_VALUE"""),0.0)</f>
        <v>0</v>
      </c>
      <c r="O29" s="290">
        <f>IFERROR(__xludf.DUMMYFUNCTION("""COMPUTED_VALUE"""),0.0)</f>
        <v>0</v>
      </c>
      <c r="P29" s="300">
        <f>IFERROR(__xludf.DUMMYFUNCTION("""COMPUTED_VALUE"""),0.0)</f>
        <v>0</v>
      </c>
      <c r="Q29" s="300">
        <f>IFERROR(__xludf.DUMMYFUNCTION("""COMPUTED_VALUE"""),0.0)</f>
        <v>0</v>
      </c>
    </row>
    <row r="30">
      <c r="A30" s="297"/>
      <c r="B30" s="280"/>
      <c r="C30" s="265"/>
      <c r="D30" s="266" t="s">
        <v>975</v>
      </c>
      <c r="E30" s="289">
        <v>0.0</v>
      </c>
      <c r="F30" s="289">
        <v>0.0</v>
      </c>
      <c r="G30" s="290">
        <f t="shared" si="16"/>
        <v>0</v>
      </c>
      <c r="H30" s="290">
        <f t="shared" si="17"/>
        <v>0</v>
      </c>
      <c r="I30" s="290">
        <f t="shared" si="18"/>
        <v>0</v>
      </c>
      <c r="J30" s="290">
        <f t="shared" ref="J30:L30" si="21">F30+O30</f>
        <v>0</v>
      </c>
      <c r="K30" s="290">
        <f t="shared" si="21"/>
        <v>0</v>
      </c>
      <c r="L30" s="290">
        <f t="shared" si="21"/>
        <v>0</v>
      </c>
      <c r="M30" s="65"/>
      <c r="N30" s="299">
        <f>IFERROR(__xludf.DUMMYFUNCTION("""COMPUTED_VALUE"""),0.0)</f>
        <v>0</v>
      </c>
      <c r="O30" s="290">
        <f>IFERROR(__xludf.DUMMYFUNCTION("""COMPUTED_VALUE"""),0.0)</f>
        <v>0</v>
      </c>
      <c r="P30" s="300">
        <f>IFERROR(__xludf.DUMMYFUNCTION("""COMPUTED_VALUE"""),0.0)</f>
        <v>0</v>
      </c>
      <c r="Q30" s="300">
        <f>IFERROR(__xludf.DUMMYFUNCTION("""COMPUTED_VALUE"""),0.0)</f>
        <v>0</v>
      </c>
    </row>
    <row r="31">
      <c r="A31" s="297"/>
      <c r="B31" s="280"/>
      <c r="C31" s="265"/>
      <c r="D31" s="266" t="s">
        <v>976</v>
      </c>
      <c r="E31" s="291">
        <f t="shared" ref="E31:F31" si="22">IFERROR(HLOOKUP(CONCATENATE("Olah + Jual BI-",$L$2),'Tahun Lalu Rekap'!$A$4:$DG$78,MATCH(A31,'Tahun Lalu Rekap'!$A$4:$A$78,0),0),0)</f>
        <v>0</v>
      </c>
      <c r="F31" s="291">
        <f t="shared" si="22"/>
        <v>0</v>
      </c>
      <c r="G31" s="290">
        <f t="shared" si="16"/>
        <v>0</v>
      </c>
      <c r="H31" s="290">
        <f t="shared" si="17"/>
        <v>0</v>
      </c>
      <c r="I31" s="290">
        <f t="shared" si="18"/>
        <v>0</v>
      </c>
      <c r="J31" s="290">
        <f t="shared" ref="J31:L31" si="23">F31+O31</f>
        <v>0</v>
      </c>
      <c r="K31" s="290">
        <f t="shared" si="23"/>
        <v>0</v>
      </c>
      <c r="L31" s="290">
        <f t="shared" si="23"/>
        <v>0</v>
      </c>
      <c r="M31" s="65"/>
      <c r="N31" s="299">
        <f>IFERROR(__xludf.DUMMYFUNCTION("""COMPUTED_VALUE"""),0.0)</f>
        <v>0</v>
      </c>
      <c r="O31" s="290">
        <f>IFERROR(__xludf.DUMMYFUNCTION("""COMPUTED_VALUE"""),0.0)</f>
        <v>0</v>
      </c>
      <c r="P31" s="300">
        <f>IFERROR(__xludf.DUMMYFUNCTION("""COMPUTED_VALUE"""),0.0)</f>
        <v>0</v>
      </c>
      <c r="Q31" s="300">
        <f>IFERROR(__xludf.DUMMYFUNCTION("""COMPUTED_VALUE"""),0.0)</f>
        <v>0</v>
      </c>
    </row>
    <row r="32">
      <c r="A32" s="297"/>
      <c r="B32" s="280"/>
      <c r="C32" s="292" t="s">
        <v>964</v>
      </c>
      <c r="D32" s="266" t="s">
        <v>977</v>
      </c>
      <c r="E32" s="289">
        <v>0.0</v>
      </c>
      <c r="F32" s="289">
        <v>0.0</v>
      </c>
      <c r="G32" s="290">
        <f>IFERROR(HLOOKUP($L$2,'RKO Rekap'!$D$7:$U$94,40,false),0)</f>
        <v>0</v>
      </c>
      <c r="H32" s="290">
        <f>IFERROR(HLOOKUP($L$2,'RKAP Rekap'!$D$7:$U$94,40,false),0)</f>
        <v>0</v>
      </c>
      <c r="I32" s="290">
        <f t="shared" si="18"/>
        <v>0</v>
      </c>
      <c r="J32" s="290">
        <f t="shared" ref="J32:L32" si="24">F32+O32</f>
        <v>0</v>
      </c>
      <c r="K32" s="290">
        <f t="shared" si="24"/>
        <v>0</v>
      </c>
      <c r="L32" s="290">
        <f t="shared" si="24"/>
        <v>0</v>
      </c>
      <c r="M32" s="65"/>
      <c r="N32" s="299">
        <f>IFERROR(__xludf.DUMMYFUNCTION("""COMPUTED_VALUE"""),0.0)</f>
        <v>0</v>
      </c>
      <c r="O32" s="290">
        <f>IFERROR(__xludf.DUMMYFUNCTION("""COMPUTED_VALUE"""),0.0)</f>
        <v>0</v>
      </c>
      <c r="P32" s="300">
        <f>IFERROR(__xludf.DUMMYFUNCTION("""COMPUTED_VALUE"""),0.0)</f>
        <v>0</v>
      </c>
      <c r="Q32" s="300">
        <f>IFERROR(__xludf.DUMMYFUNCTION("""COMPUTED_VALUE"""),0.0)</f>
        <v>0</v>
      </c>
    </row>
    <row r="33">
      <c r="A33" s="301"/>
      <c r="B33" s="301"/>
      <c r="C33" s="302"/>
      <c r="D33" s="271" t="s">
        <v>951</v>
      </c>
      <c r="E33" s="303">
        <f t="shared" ref="E33:L33" si="25">sum(E27:E32)</f>
        <v>0</v>
      </c>
      <c r="F33" s="303">
        <f t="shared" si="25"/>
        <v>0</v>
      </c>
      <c r="G33" s="304">
        <f t="shared" si="25"/>
        <v>0</v>
      </c>
      <c r="H33" s="304">
        <f t="shared" si="25"/>
        <v>0</v>
      </c>
      <c r="I33" s="304">
        <f t="shared" si="25"/>
        <v>0</v>
      </c>
      <c r="J33" s="304">
        <f t="shared" si="25"/>
        <v>0</v>
      </c>
      <c r="K33" s="304">
        <f t="shared" si="25"/>
        <v>0</v>
      </c>
      <c r="L33" s="304">
        <f t="shared" si="25"/>
        <v>0</v>
      </c>
      <c r="M33" s="305"/>
      <c r="N33" s="303">
        <f>IFERROR(__xludf.DUMMYFUNCTION("""COMPUTED_VALUE"""),0.0)</f>
        <v>0</v>
      </c>
      <c r="O33" s="304">
        <f>IFERROR(__xludf.DUMMYFUNCTION("""COMPUTED_VALUE"""),0.0)</f>
        <v>0</v>
      </c>
      <c r="P33" s="304">
        <f>IFERROR(__xludf.DUMMYFUNCTION("""COMPUTED_VALUE"""),0.0)</f>
        <v>0</v>
      </c>
      <c r="Q33" s="304">
        <f>IFERROR(__xludf.DUMMYFUNCTION("""COMPUTED_VALUE"""),0.0)</f>
        <v>0</v>
      </c>
    </row>
    <row r="34">
      <c r="A34" s="297"/>
      <c r="B34" s="280"/>
      <c r="C34" s="307"/>
      <c r="D34" s="308" t="s">
        <v>961</v>
      </c>
      <c r="E34" s="289">
        <v>0.0</v>
      </c>
      <c r="F34" s="289">
        <v>0.0</v>
      </c>
      <c r="G34" s="290">
        <f>IFERROR(HLOOKUP($L$2,'RKO Rekap'!$D$7:$U$94,48,false),0)</f>
        <v>0</v>
      </c>
      <c r="H34" s="290">
        <f>IFERROR(HLOOKUP($L$2,'RKAP Rekap'!$D$7:$U$94,48,false),0)</f>
        <v>0</v>
      </c>
      <c r="I34" s="290">
        <f t="shared" ref="I34:I36" si="27">IFERROR(HLOOKUP(CONCATENATE("Olah + Jual SBI-",$L$2),'Tahun Lalu Rekap'!$A$4:$DG$78,MATCH(A34,'Tahun Lalu Rekap'!$A$4:$A$78,0),0),0)</f>
        <v>0</v>
      </c>
      <c r="J34" s="309">
        <f t="shared" ref="J34:L34" si="26">F34</f>
        <v>0</v>
      </c>
      <c r="K34" s="309">
        <f t="shared" si="26"/>
        <v>0</v>
      </c>
      <c r="L34" s="309">
        <f t="shared" si="26"/>
        <v>0</v>
      </c>
      <c r="M34" s="65"/>
      <c r="N34" s="310">
        <f>IFERROR(__xludf.DUMMYFUNCTION("""COMPUTED_VALUE"""),0.0)</f>
        <v>0</v>
      </c>
      <c r="O34" s="311">
        <f>IFERROR(__xludf.DUMMYFUNCTION("""COMPUTED_VALUE"""),0.0)</f>
        <v>0</v>
      </c>
      <c r="P34" s="309">
        <f>IFERROR(__xludf.DUMMYFUNCTION("""COMPUTED_VALUE"""),0.0)</f>
        <v>0</v>
      </c>
      <c r="Q34" s="309">
        <f>IFERROR(__xludf.DUMMYFUNCTION("""COMPUTED_VALUE"""),0.0)</f>
        <v>0</v>
      </c>
    </row>
    <row r="35">
      <c r="A35" s="297"/>
      <c r="B35" s="280"/>
      <c r="C35" s="312" t="s">
        <v>962</v>
      </c>
      <c r="D35" s="313" t="s">
        <v>963</v>
      </c>
      <c r="E35" s="289">
        <v>0.0</v>
      </c>
      <c r="F35" s="289">
        <v>0.0</v>
      </c>
      <c r="G35" s="290">
        <f>IFERROR(HLOOKUP($L$2,'RKO Rekap'!$D$7:$U$94,49,false),0)</f>
        <v>0</v>
      </c>
      <c r="H35" s="290">
        <f>IFERROR(HLOOKUP($L$2,'RKAP Rekap'!$D$7:$U$94,49,false),0)</f>
        <v>0</v>
      </c>
      <c r="I35" s="290">
        <f t="shared" si="27"/>
        <v>0</v>
      </c>
      <c r="J35" s="314">
        <f t="shared" ref="J35:L35" si="28">F35</f>
        <v>0</v>
      </c>
      <c r="K35" s="314">
        <f t="shared" si="28"/>
        <v>0</v>
      </c>
      <c r="L35" s="314">
        <f t="shared" si="28"/>
        <v>0</v>
      </c>
      <c r="M35" s="65"/>
      <c r="N35" s="315">
        <f>IFERROR(__xludf.DUMMYFUNCTION("""COMPUTED_VALUE"""),0.0)</f>
        <v>0</v>
      </c>
      <c r="O35" s="314">
        <f>IFERROR(__xludf.DUMMYFUNCTION("""COMPUTED_VALUE"""),0.0)</f>
        <v>0</v>
      </c>
      <c r="P35" s="314">
        <f>IFERROR(__xludf.DUMMYFUNCTION("""COMPUTED_VALUE"""),0.0)</f>
        <v>0</v>
      </c>
      <c r="Q35" s="314">
        <f>IFERROR(__xludf.DUMMYFUNCTION("""COMPUTED_VALUE"""),0.0)</f>
        <v>0</v>
      </c>
    </row>
    <row r="36">
      <c r="A36" s="297"/>
      <c r="B36" s="280"/>
      <c r="C36" s="292" t="s">
        <v>964</v>
      </c>
      <c r="D36" s="316" t="s">
        <v>965</v>
      </c>
      <c r="E36" s="289">
        <v>0.0</v>
      </c>
      <c r="F36" s="289">
        <v>0.0</v>
      </c>
      <c r="G36" s="290">
        <f>IFERROR(HLOOKUP($L$2,'RKO Rekap'!$D$7:$U$94,50,false),0)</f>
        <v>0</v>
      </c>
      <c r="H36" s="290">
        <f>IFERROR(HLOOKUP($L$2,'RKAP Rekap'!$D$7:$U$94,50,false),0)</f>
        <v>0</v>
      </c>
      <c r="I36" s="290">
        <f t="shared" si="27"/>
        <v>0</v>
      </c>
      <c r="J36" s="314">
        <f t="shared" ref="J36:L36" si="29">F36</f>
        <v>0</v>
      </c>
      <c r="K36" s="314">
        <f t="shared" si="29"/>
        <v>0</v>
      </c>
      <c r="L36" s="314">
        <f t="shared" si="29"/>
        <v>0</v>
      </c>
      <c r="M36" s="65"/>
      <c r="N36" s="317">
        <f>IFERROR(__xludf.DUMMYFUNCTION("""COMPUTED_VALUE"""),0.0)</f>
        <v>0</v>
      </c>
      <c r="O36" s="290">
        <f>IFERROR(__xludf.DUMMYFUNCTION("""COMPUTED_VALUE"""),0.0)</f>
        <v>0</v>
      </c>
      <c r="P36" s="318">
        <f>IFERROR(__xludf.DUMMYFUNCTION("""COMPUTED_VALUE"""),0.0)</f>
        <v>0</v>
      </c>
      <c r="Q36" s="318">
        <f>IFERROR(__xludf.DUMMYFUNCTION("""COMPUTED_VALUE"""),0.0)</f>
        <v>0</v>
      </c>
    </row>
    <row r="37">
      <c r="A37" s="301"/>
      <c r="B37" s="301"/>
      <c r="C37" s="302"/>
      <c r="D37" s="271" t="s">
        <v>978</v>
      </c>
      <c r="E37" s="303">
        <f t="shared" ref="E37:L37" si="30">sum(E34:E36)</f>
        <v>0</v>
      </c>
      <c r="F37" s="303">
        <f t="shared" si="30"/>
        <v>0</v>
      </c>
      <c r="G37" s="304">
        <f t="shared" si="30"/>
        <v>0</v>
      </c>
      <c r="H37" s="304">
        <f t="shared" si="30"/>
        <v>0</v>
      </c>
      <c r="I37" s="304">
        <f t="shared" si="30"/>
        <v>0</v>
      </c>
      <c r="J37" s="304">
        <f t="shared" si="30"/>
        <v>0</v>
      </c>
      <c r="K37" s="304">
        <f t="shared" si="30"/>
        <v>0</v>
      </c>
      <c r="L37" s="304">
        <f t="shared" si="30"/>
        <v>0</v>
      </c>
      <c r="M37" s="305"/>
      <c r="N37" s="303">
        <f>IFERROR(__xludf.DUMMYFUNCTION("""COMPUTED_VALUE"""),0.0)</f>
        <v>0</v>
      </c>
      <c r="O37" s="304">
        <f>IFERROR(__xludf.DUMMYFUNCTION("""COMPUTED_VALUE"""),0.0)</f>
        <v>0</v>
      </c>
      <c r="P37" s="304">
        <f>IFERROR(__xludf.DUMMYFUNCTION("""COMPUTED_VALUE"""),0.0)</f>
        <v>0</v>
      </c>
      <c r="Q37" s="304">
        <f>IFERROR(__xludf.DUMMYFUNCTION("""COMPUTED_VALUE"""),0.0)</f>
        <v>0</v>
      </c>
    </row>
    <row r="38">
      <c r="A38" s="274"/>
      <c r="B38" s="274"/>
      <c r="C38" s="253" t="s">
        <v>979</v>
      </c>
      <c r="D38" s="161"/>
      <c r="E38" s="319" t="s">
        <v>980</v>
      </c>
      <c r="F38" s="258"/>
      <c r="G38" s="258"/>
      <c r="H38" s="259"/>
      <c r="I38" s="320" t="s">
        <v>980</v>
      </c>
      <c r="J38" s="258"/>
      <c r="K38" s="258"/>
      <c r="L38" s="259"/>
      <c r="M38" s="65"/>
      <c r="N38" s="319" t="str">
        <f>IFERROR(__xludf.DUMMYFUNCTION("""COMPUTED_VALUE""")," Jumlah Beban ")</f>
        <v>Jumlah Beban</v>
      </c>
      <c r="O38" s="258"/>
      <c r="P38" s="258"/>
      <c r="Q38" s="259"/>
    </row>
    <row r="39">
      <c r="A39" s="274"/>
      <c r="B39" s="274"/>
      <c r="C39" s="157"/>
      <c r="D39" s="158"/>
      <c r="E39" s="319" t="s">
        <v>724</v>
      </c>
      <c r="F39" s="258"/>
      <c r="G39" s="258"/>
      <c r="H39" s="259"/>
      <c r="I39" s="320" t="s">
        <v>953</v>
      </c>
      <c r="J39" s="258"/>
      <c r="K39" s="258"/>
      <c r="L39" s="259"/>
      <c r="M39" s="65"/>
      <c r="N39" s="275" t="str">
        <f>IFERROR(__xludf.DUMMYFUNCTION("""COMPUTED_VALUE"""),"sd Bulan Ini")</f>
        <v>sd Bulan Ini</v>
      </c>
      <c r="O39" s="258"/>
      <c r="P39" s="258"/>
      <c r="Q39" s="259"/>
    </row>
    <row r="40">
      <c r="A40" s="274"/>
      <c r="B40" s="274"/>
      <c r="C40" s="172"/>
      <c r="D40" s="173"/>
      <c r="E40" s="321" t="str">
        <f t="shared" ref="E40:L40" si="31">E10</f>
        <v>Real Tahun Lalu</v>
      </c>
      <c r="F40" s="279" t="str">
        <f t="shared" si="31"/>
        <v>Real Tahun Ini</v>
      </c>
      <c r="G40" s="322" t="str">
        <f t="shared" si="31"/>
        <v>RKO TW</v>
      </c>
      <c r="H40" s="322" t="str">
        <f t="shared" si="31"/>
        <v>RKAP</v>
      </c>
      <c r="I40" s="279" t="str">
        <f t="shared" si="31"/>
        <v>Real Tahun Lalu</v>
      </c>
      <c r="J40" s="279" t="str">
        <f t="shared" si="31"/>
        <v>Real Tahun Ini</v>
      </c>
      <c r="K40" s="279" t="str">
        <f t="shared" si="31"/>
        <v>RKO TW</v>
      </c>
      <c r="L40" s="279" t="str">
        <f t="shared" si="31"/>
        <v>RKAP</v>
      </c>
      <c r="M40" s="65"/>
      <c r="N40" s="321" t="str">
        <f>IFERROR(__xludf.DUMMYFUNCTION("""COMPUTED_VALUE""")," Real Tahun Lalu ")</f>
        <v>Real Tahun Lalu</v>
      </c>
      <c r="O40" s="279" t="str">
        <f>IFERROR(__xludf.DUMMYFUNCTION("""COMPUTED_VALUE""")," Real Tahun Ini ")</f>
        <v>Real Tahun Ini</v>
      </c>
      <c r="P40" s="279" t="str">
        <f>IFERROR(__xludf.DUMMYFUNCTION("""COMPUTED_VALUE""")," RKO TW ")</f>
        <v>RKO TW</v>
      </c>
      <c r="Q40" s="279" t="str">
        <f>IFERROR(__xludf.DUMMYFUNCTION("""COMPUTED_VALUE""")," RKAP ")</f>
        <v>RKAP</v>
      </c>
    </row>
    <row r="41">
      <c r="A41" s="297"/>
      <c r="B41" s="280"/>
      <c r="C41" s="323" t="s">
        <v>981</v>
      </c>
      <c r="D41" s="324" t="s">
        <v>982</v>
      </c>
      <c r="E41" s="325">
        <f>IFERROR(__xludf.DUMMYFUNCTION("IMPORTRANGE(Link!$B$3,""Form HO!AK36:AK40"")"),0.0)</f>
        <v>0</v>
      </c>
      <c r="F41" s="326">
        <f>'Lokal-A'!$E$14</f>
        <v>0</v>
      </c>
      <c r="G41" s="326">
        <f>'Lokal-A'!$H$14</f>
        <v>0</v>
      </c>
      <c r="H41" s="326">
        <f>'Lokal-A'!$I$14</f>
        <v>0</v>
      </c>
      <c r="I41" s="325">
        <f>IFERROR(__xludf.DUMMYFUNCTION("IMPORTRANGE(Link!$B$3,""Form HO!AO36:AO40"")"),0.0)</f>
        <v>0</v>
      </c>
      <c r="J41" s="326">
        <f t="shared" ref="J41:L41" si="32">F41+O41</f>
        <v>0</v>
      </c>
      <c r="K41" s="326">
        <f t="shared" si="32"/>
        <v>0</v>
      </c>
      <c r="L41" s="326">
        <f t="shared" si="32"/>
        <v>0</v>
      </c>
      <c r="M41" s="65"/>
      <c r="N41" s="327">
        <f>IFERROR(__xludf.DUMMYFUNCTION("""COMPUTED_VALUE"""),0.0)</f>
        <v>0</v>
      </c>
      <c r="O41" s="328">
        <f>IFERROR(__xludf.DUMMYFUNCTION("""COMPUTED_VALUE"""),0.0)</f>
        <v>0</v>
      </c>
      <c r="P41" s="326">
        <f>IFERROR(__xludf.DUMMYFUNCTION("""COMPUTED_VALUE"""),0.0)</f>
        <v>0</v>
      </c>
      <c r="Q41" s="326">
        <f>IFERROR(__xludf.DUMMYFUNCTION("""COMPUTED_VALUE"""),0.0)</f>
        <v>0</v>
      </c>
    </row>
    <row r="42">
      <c r="A42" s="297"/>
      <c r="B42" s="280"/>
      <c r="C42" s="329" t="s">
        <v>981</v>
      </c>
      <c r="D42" s="266" t="s">
        <v>983</v>
      </c>
      <c r="E42" s="330">
        <f>IFERROR(__xludf.DUMMYFUNCTION("""COMPUTED_VALUE"""),0.0)</f>
        <v>0</v>
      </c>
      <c r="F42" s="331">
        <f>'Lokal-A'!$E$77</f>
        <v>0</v>
      </c>
      <c r="G42" s="331">
        <f>'Lokal-A'!$H$77</f>
        <v>0</v>
      </c>
      <c r="H42" s="331">
        <f>'Lokal-A'!$I$77</f>
        <v>0</v>
      </c>
      <c r="I42" s="330">
        <f>IFERROR(__xludf.DUMMYFUNCTION("""COMPUTED_VALUE"""),0.0)</f>
        <v>0</v>
      </c>
      <c r="J42" s="331">
        <f t="shared" ref="J42:L42" si="33">F42+O42</f>
        <v>0</v>
      </c>
      <c r="K42" s="331">
        <f t="shared" si="33"/>
        <v>0</v>
      </c>
      <c r="L42" s="331">
        <f t="shared" si="33"/>
        <v>0</v>
      </c>
      <c r="M42" s="65"/>
      <c r="N42" s="332">
        <f>IFERROR(__xludf.DUMMYFUNCTION("""COMPUTED_VALUE"""),0.0)</f>
        <v>0</v>
      </c>
      <c r="O42" s="333">
        <f>IFERROR(__xludf.DUMMYFUNCTION("""COMPUTED_VALUE"""),0.0)</f>
        <v>0</v>
      </c>
      <c r="P42" s="333">
        <f>IFERROR(__xludf.DUMMYFUNCTION("""COMPUTED_VALUE"""),0.0)</f>
        <v>0</v>
      </c>
      <c r="Q42" s="333">
        <f>IFERROR(__xludf.DUMMYFUNCTION("""COMPUTED_VALUE"""),0.0)</f>
        <v>0</v>
      </c>
    </row>
    <row r="43">
      <c r="A43" s="297"/>
      <c r="B43" s="280"/>
      <c r="C43" s="329" t="s">
        <v>981</v>
      </c>
      <c r="D43" s="266" t="s">
        <v>984</v>
      </c>
      <c r="E43" s="330">
        <f>IFERROR(__xludf.DUMMYFUNCTION("""COMPUTED_VALUE"""),0.0)</f>
        <v>0</v>
      </c>
      <c r="F43" s="331">
        <f>'Lokal-A'!$E$132</f>
        <v>0</v>
      </c>
      <c r="G43" s="331">
        <f>'Lokal-A'!$H$132</f>
        <v>0</v>
      </c>
      <c r="H43" s="331">
        <f>'Lokal-A'!$I$132</f>
        <v>0</v>
      </c>
      <c r="I43" s="330">
        <f>IFERROR(__xludf.DUMMYFUNCTION("""COMPUTED_VALUE"""),0.0)</f>
        <v>0</v>
      </c>
      <c r="J43" s="331">
        <f t="shared" ref="J43:L43" si="34">F43+O43</f>
        <v>0</v>
      </c>
      <c r="K43" s="331">
        <f t="shared" si="34"/>
        <v>0</v>
      </c>
      <c r="L43" s="331">
        <f t="shared" si="34"/>
        <v>0</v>
      </c>
      <c r="M43" s="65"/>
      <c r="N43" s="332">
        <f>IFERROR(__xludf.DUMMYFUNCTION("""COMPUTED_VALUE"""),0.0)</f>
        <v>0</v>
      </c>
      <c r="O43" s="333">
        <f>IFERROR(__xludf.DUMMYFUNCTION("""COMPUTED_VALUE"""),0.0)</f>
        <v>0</v>
      </c>
      <c r="P43" s="333">
        <f>IFERROR(__xludf.DUMMYFUNCTION("""COMPUTED_VALUE"""),0.0)</f>
        <v>0</v>
      </c>
      <c r="Q43" s="333">
        <f>IFERROR(__xludf.DUMMYFUNCTION("""COMPUTED_VALUE"""),0.0)</f>
        <v>0</v>
      </c>
    </row>
    <row r="44">
      <c r="A44" s="297"/>
      <c r="B44" s="280"/>
      <c r="C44" s="329" t="s">
        <v>981</v>
      </c>
      <c r="D44" s="266" t="s">
        <v>654</v>
      </c>
      <c r="E44" s="330">
        <f>IFERROR(__xludf.DUMMYFUNCTION("""COMPUTED_VALUE"""),4961480.0)</f>
        <v>4961480</v>
      </c>
      <c r="F44" s="331">
        <f>'Lokal-A'!$E$119</f>
        <v>1928688</v>
      </c>
      <c r="G44" s="331">
        <f>'Lokal-A'!$H$119</f>
        <v>0</v>
      </c>
      <c r="H44" s="331">
        <f>'Lokal-A'!$I$119</f>
        <v>0</v>
      </c>
      <c r="I44" s="330">
        <f>IFERROR(__xludf.DUMMYFUNCTION("""COMPUTED_VALUE"""),1.5359724E7)</f>
        <v>15359724</v>
      </c>
      <c r="J44" s="331">
        <f t="shared" ref="J44:L44" si="35">F44+O44</f>
        <v>9182232</v>
      </c>
      <c r="K44" s="331">
        <f t="shared" si="35"/>
        <v>0</v>
      </c>
      <c r="L44" s="331">
        <f t="shared" si="35"/>
        <v>0</v>
      </c>
      <c r="M44" s="65"/>
      <c r="N44" s="332">
        <f>IFERROR(__xludf.DUMMYFUNCTION("""COMPUTED_VALUE"""),1.0398244E7)</f>
        <v>10398244</v>
      </c>
      <c r="O44" s="333">
        <f>IFERROR(__xludf.DUMMYFUNCTION("""COMPUTED_VALUE"""),7253544.0)</f>
        <v>7253544</v>
      </c>
      <c r="P44" s="333">
        <f>IFERROR(__xludf.DUMMYFUNCTION("""COMPUTED_VALUE"""),0.0)</f>
        <v>0</v>
      </c>
      <c r="Q44" s="333">
        <f>IFERROR(__xludf.DUMMYFUNCTION("""COMPUTED_VALUE"""),0.0)</f>
        <v>0</v>
      </c>
    </row>
    <row r="45">
      <c r="A45" s="297"/>
      <c r="B45" s="280"/>
      <c r="C45" s="329" t="s">
        <v>981</v>
      </c>
      <c r="D45" s="266" t="s">
        <v>985</v>
      </c>
      <c r="E45" s="330">
        <f>IFERROR(__xludf.DUMMYFUNCTION("""COMPUTED_VALUE"""),0.0)</f>
        <v>0</v>
      </c>
      <c r="F45" s="331">
        <f>'Lokal-A'!$E$148</f>
        <v>257400</v>
      </c>
      <c r="G45" s="331">
        <f>'Lokal-A'!$H$148</f>
        <v>0</v>
      </c>
      <c r="H45" s="331">
        <f>'Lokal-A'!$I$148</f>
        <v>0</v>
      </c>
      <c r="I45" s="330">
        <f>IFERROR(__xludf.DUMMYFUNCTION("""COMPUTED_VALUE"""),1443600.0)</f>
        <v>1443600</v>
      </c>
      <c r="J45" s="331">
        <f t="shared" ref="J45:L45" si="36">F45+O45</f>
        <v>1231200</v>
      </c>
      <c r="K45" s="331">
        <f t="shared" si="36"/>
        <v>0</v>
      </c>
      <c r="L45" s="331">
        <f t="shared" si="36"/>
        <v>0</v>
      </c>
      <c r="M45" s="65"/>
      <c r="N45" s="332">
        <f>IFERROR(__xludf.DUMMYFUNCTION("""COMPUTED_VALUE"""),1443600.0)</f>
        <v>1443600</v>
      </c>
      <c r="O45" s="333">
        <f>IFERROR(__xludf.DUMMYFUNCTION("""COMPUTED_VALUE"""),973800.0)</f>
        <v>973800</v>
      </c>
      <c r="P45" s="333">
        <f>IFERROR(__xludf.DUMMYFUNCTION("""COMPUTED_VALUE"""),0.0)</f>
        <v>0</v>
      </c>
      <c r="Q45" s="333">
        <f>IFERROR(__xludf.DUMMYFUNCTION("""COMPUTED_VALUE"""),0.0)</f>
        <v>0</v>
      </c>
    </row>
    <row r="46">
      <c r="A46" s="301"/>
      <c r="B46" s="301"/>
      <c r="C46" s="294"/>
      <c r="D46" s="271" t="s">
        <v>986</v>
      </c>
      <c r="E46" s="334">
        <f t="shared" ref="E46:L46" si="37">sum(E41:E45)</f>
        <v>4961480</v>
      </c>
      <c r="F46" s="304">
        <f t="shared" si="37"/>
        <v>2186088</v>
      </c>
      <c r="G46" s="304">
        <f t="shared" si="37"/>
        <v>0</v>
      </c>
      <c r="H46" s="304">
        <f t="shared" si="37"/>
        <v>0</v>
      </c>
      <c r="I46" s="334">
        <f t="shared" si="37"/>
        <v>16803324</v>
      </c>
      <c r="J46" s="304">
        <f t="shared" si="37"/>
        <v>10413432</v>
      </c>
      <c r="K46" s="304">
        <f t="shared" si="37"/>
        <v>0</v>
      </c>
      <c r="L46" s="304">
        <f t="shared" si="37"/>
        <v>0</v>
      </c>
      <c r="M46" s="305"/>
      <c r="N46" s="334">
        <f>IFERROR(__xludf.DUMMYFUNCTION("""COMPUTED_VALUE"""),1.1841844E7)</f>
        <v>11841844</v>
      </c>
      <c r="O46" s="304">
        <f>IFERROR(__xludf.DUMMYFUNCTION("""COMPUTED_VALUE"""),8227344.0)</f>
        <v>8227344</v>
      </c>
      <c r="P46" s="304">
        <f>IFERROR(__xludf.DUMMYFUNCTION("""COMPUTED_VALUE"""),0.0)</f>
        <v>0</v>
      </c>
      <c r="Q46" s="304">
        <f>IFERROR(__xludf.DUMMYFUNCTION("""COMPUTED_VALUE"""),0.0)</f>
        <v>0</v>
      </c>
    </row>
    <row r="47">
      <c r="A47" s="297"/>
      <c r="B47" s="280"/>
      <c r="C47" s="329" t="s">
        <v>981</v>
      </c>
      <c r="D47" s="335" t="s">
        <v>987</v>
      </c>
      <c r="E47" s="330">
        <f>IFERROR(__xludf.DUMMYFUNCTION("IMPORTRANGE(Link!$B$3,""Form HO!AK42"")"),0.0)</f>
        <v>0</v>
      </c>
      <c r="F47" s="331">
        <f>'Lokal-A'!$E$188</f>
        <v>0</v>
      </c>
      <c r="G47" s="331">
        <f>'Lokal-A'!$H$188</f>
        <v>0</v>
      </c>
      <c r="H47" s="331">
        <f>'Lokal-A'!$I$188</f>
        <v>0</v>
      </c>
      <c r="I47" s="330">
        <f>IFERROR(__xludf.DUMMYFUNCTION("IMPORTRANGE(Link!$B$3,""Form HO!AO42"")"),0.0)</f>
        <v>0</v>
      </c>
      <c r="J47" s="331">
        <f t="shared" ref="J47:L47" si="38">F47+O47</f>
        <v>15047803</v>
      </c>
      <c r="K47" s="331">
        <f t="shared" si="38"/>
        <v>0</v>
      </c>
      <c r="L47" s="331">
        <f t="shared" si="38"/>
        <v>0</v>
      </c>
      <c r="M47" s="65"/>
      <c r="N47" s="332">
        <f>IFERROR(__xludf.DUMMYFUNCTION("""COMPUTED_VALUE"""),0.0)</f>
        <v>0</v>
      </c>
      <c r="O47" s="333">
        <f>IFERROR(__xludf.DUMMYFUNCTION("""COMPUTED_VALUE"""),1.5047803E7)</f>
        <v>15047803</v>
      </c>
      <c r="P47" s="333">
        <f>IFERROR(__xludf.DUMMYFUNCTION("""COMPUTED_VALUE"""),0.0)</f>
        <v>0</v>
      </c>
      <c r="Q47" s="333">
        <f>IFERROR(__xludf.DUMMYFUNCTION("""COMPUTED_VALUE"""),0.0)</f>
        <v>0</v>
      </c>
    </row>
    <row r="48">
      <c r="A48" s="301"/>
      <c r="B48" s="301"/>
      <c r="C48" s="294"/>
      <c r="D48" s="271" t="s">
        <v>988</v>
      </c>
      <c r="E48" s="334">
        <f t="shared" ref="E48:L48" si="39">E46+E47</f>
        <v>4961480</v>
      </c>
      <c r="F48" s="304">
        <f t="shared" si="39"/>
        <v>2186088</v>
      </c>
      <c r="G48" s="304">
        <f t="shared" si="39"/>
        <v>0</v>
      </c>
      <c r="H48" s="304">
        <f t="shared" si="39"/>
        <v>0</v>
      </c>
      <c r="I48" s="334">
        <f t="shared" si="39"/>
        <v>16803324</v>
      </c>
      <c r="J48" s="304">
        <f t="shared" si="39"/>
        <v>25461235</v>
      </c>
      <c r="K48" s="304">
        <f t="shared" si="39"/>
        <v>0</v>
      </c>
      <c r="L48" s="304">
        <f t="shared" si="39"/>
        <v>0</v>
      </c>
      <c r="M48" s="305"/>
      <c r="N48" s="334">
        <f>IFERROR(__xludf.DUMMYFUNCTION("""COMPUTED_VALUE"""),1.1841844E7)</f>
        <v>11841844</v>
      </c>
      <c r="O48" s="304">
        <f>IFERROR(__xludf.DUMMYFUNCTION("""COMPUTED_VALUE"""),2.3275147E7)</f>
        <v>23275147</v>
      </c>
      <c r="P48" s="304">
        <f>IFERROR(__xludf.DUMMYFUNCTION("""COMPUTED_VALUE"""),0.0)</f>
        <v>0</v>
      </c>
      <c r="Q48" s="304">
        <f>IFERROR(__xludf.DUMMYFUNCTION("""COMPUTED_VALUE"""),0.0)</f>
        <v>0</v>
      </c>
    </row>
    <row r="49">
      <c r="A49" s="297"/>
      <c r="B49" s="336"/>
      <c r="C49" s="329" t="s">
        <v>981</v>
      </c>
      <c r="D49" s="266" t="s">
        <v>989</v>
      </c>
      <c r="E49" s="325">
        <f>IFERROR(__xludf.DUMMYFUNCTION("IMPORTRANGE(Link!$B$3,""Form HO!AK44:AK45"")"),0.0)</f>
        <v>0</v>
      </c>
      <c r="F49" s="288">
        <v>0.0</v>
      </c>
      <c r="G49" s="288">
        <v>0.0</v>
      </c>
      <c r="H49" s="288">
        <v>0.0</v>
      </c>
      <c r="I49" s="325">
        <f>IFERROR(__xludf.DUMMYFUNCTION("IMPORTRANGE(Link!$B$3,""Form HO!AO44:AO45"")"),0.0)</f>
        <v>0</v>
      </c>
      <c r="J49" s="331">
        <f t="shared" ref="J49:L49" si="40">F49+O49</f>
        <v>0</v>
      </c>
      <c r="K49" s="331">
        <f t="shared" si="40"/>
        <v>0</v>
      </c>
      <c r="L49" s="331">
        <f t="shared" si="40"/>
        <v>0</v>
      </c>
      <c r="M49" s="65"/>
      <c r="N49" s="332">
        <f>IFERROR(__xludf.DUMMYFUNCTION("""COMPUTED_VALUE"""),0.0)</f>
        <v>0</v>
      </c>
      <c r="O49" s="333">
        <f>IFERROR(__xludf.DUMMYFUNCTION("""COMPUTED_VALUE"""),0.0)</f>
        <v>0</v>
      </c>
      <c r="P49" s="333">
        <f>IFERROR(__xludf.DUMMYFUNCTION("""COMPUTED_VALUE"""),0.0)</f>
        <v>0</v>
      </c>
      <c r="Q49" s="333">
        <f>IFERROR(__xludf.DUMMYFUNCTION("""COMPUTED_VALUE"""),0.0)</f>
        <v>0</v>
      </c>
    </row>
    <row r="50">
      <c r="A50" s="297"/>
      <c r="B50" s="336"/>
      <c r="C50" s="329" t="s">
        <v>981</v>
      </c>
      <c r="D50" s="266" t="s">
        <v>990</v>
      </c>
      <c r="E50" s="330">
        <f>IFERROR(__xludf.DUMMYFUNCTION("""COMPUTED_VALUE"""),0.0)</f>
        <v>0</v>
      </c>
      <c r="F50" s="288">
        <v>0.0</v>
      </c>
      <c r="G50" s="288">
        <v>0.0</v>
      </c>
      <c r="H50" s="288">
        <v>0.0</v>
      </c>
      <c r="I50" s="330">
        <f>IFERROR(__xludf.DUMMYFUNCTION("""COMPUTED_VALUE"""),0.0)</f>
        <v>0</v>
      </c>
      <c r="J50" s="331">
        <f t="shared" ref="J50:L50" si="41">F50+O50</f>
        <v>0</v>
      </c>
      <c r="K50" s="331">
        <f t="shared" si="41"/>
        <v>0</v>
      </c>
      <c r="L50" s="331">
        <f t="shared" si="41"/>
        <v>0</v>
      </c>
      <c r="M50" s="65"/>
      <c r="N50" s="332">
        <f>IFERROR(__xludf.DUMMYFUNCTION("""COMPUTED_VALUE"""),0.0)</f>
        <v>0</v>
      </c>
      <c r="O50" s="333">
        <f>IFERROR(__xludf.DUMMYFUNCTION("""COMPUTED_VALUE"""),0.0)</f>
        <v>0</v>
      </c>
      <c r="P50" s="333">
        <f>IFERROR(__xludf.DUMMYFUNCTION("""COMPUTED_VALUE"""),0.0)</f>
        <v>0</v>
      </c>
      <c r="Q50" s="333">
        <f>IFERROR(__xludf.DUMMYFUNCTION("""COMPUTED_VALUE"""),0.0)</f>
        <v>0</v>
      </c>
    </row>
    <row r="51">
      <c r="A51" s="301"/>
      <c r="B51" s="301"/>
      <c r="C51" s="294"/>
      <c r="D51" s="271" t="s">
        <v>991</v>
      </c>
      <c r="E51" s="334">
        <f t="shared" ref="E51:L51" si="42">sum(E49:E50)</f>
        <v>0</v>
      </c>
      <c r="F51" s="304">
        <f t="shared" si="42"/>
        <v>0</v>
      </c>
      <c r="G51" s="304">
        <f t="shared" si="42"/>
        <v>0</v>
      </c>
      <c r="H51" s="304">
        <f t="shared" si="42"/>
        <v>0</v>
      </c>
      <c r="I51" s="334">
        <f t="shared" si="42"/>
        <v>0</v>
      </c>
      <c r="J51" s="304">
        <f t="shared" si="42"/>
        <v>0</v>
      </c>
      <c r="K51" s="304">
        <f t="shared" si="42"/>
        <v>0</v>
      </c>
      <c r="L51" s="304">
        <f t="shared" si="42"/>
        <v>0</v>
      </c>
      <c r="M51" s="305"/>
      <c r="N51" s="334">
        <f>IFERROR(__xludf.DUMMYFUNCTION("""COMPUTED_VALUE"""),0.0)</f>
        <v>0</v>
      </c>
      <c r="O51" s="304">
        <f>IFERROR(__xludf.DUMMYFUNCTION("""COMPUTED_VALUE"""),0.0)</f>
        <v>0</v>
      </c>
      <c r="P51" s="304">
        <f>IFERROR(__xludf.DUMMYFUNCTION("""COMPUTED_VALUE"""),0.0)</f>
        <v>0</v>
      </c>
      <c r="Q51" s="304">
        <f>IFERROR(__xludf.DUMMYFUNCTION("""COMPUTED_VALUE"""),0.0)</f>
        <v>0</v>
      </c>
    </row>
    <row r="52">
      <c r="A52" s="297"/>
      <c r="B52" s="280"/>
      <c r="C52" s="329" t="s">
        <v>981</v>
      </c>
      <c r="D52" s="261" t="s">
        <v>992</v>
      </c>
      <c r="E52" s="325">
        <f>IFERROR(__xludf.DUMMYFUNCTION("IMPORTRANGE(Link!$B$3,""Form HO!AK47:AK48"")"),0.0)</f>
        <v>0</v>
      </c>
      <c r="F52" s="331">
        <f>'Lokal-A'!$E$165</f>
        <v>0</v>
      </c>
      <c r="G52" s="331">
        <f>'Lokal-A'!$H$165</f>
        <v>0</v>
      </c>
      <c r="H52" s="331">
        <f>'Lokal-A'!$I$165</f>
        <v>0</v>
      </c>
      <c r="I52" s="325">
        <f>IFERROR(__xludf.DUMMYFUNCTION("IMPORTRANGE(Link!$B$3,""Form HO!AO47:AO48"")"),0.0)</f>
        <v>0</v>
      </c>
      <c r="J52" s="331">
        <f t="shared" ref="J52:L52" si="43">F52+O52</f>
        <v>85105916</v>
      </c>
      <c r="K52" s="331">
        <f t="shared" si="43"/>
        <v>0</v>
      </c>
      <c r="L52" s="331">
        <f t="shared" si="43"/>
        <v>0</v>
      </c>
      <c r="M52" s="65"/>
      <c r="N52" s="332">
        <f>IFERROR(__xludf.DUMMYFUNCTION("""COMPUTED_VALUE"""),0.0)</f>
        <v>0</v>
      </c>
      <c r="O52" s="333">
        <f>IFERROR(__xludf.DUMMYFUNCTION("""COMPUTED_VALUE"""),8.5105916E7)</f>
        <v>85105916</v>
      </c>
      <c r="P52" s="333">
        <f>IFERROR(__xludf.DUMMYFUNCTION("""COMPUTED_VALUE"""),0.0)</f>
        <v>0</v>
      </c>
      <c r="Q52" s="333">
        <f>IFERROR(__xludf.DUMMYFUNCTION("""COMPUTED_VALUE"""),0.0)</f>
        <v>0</v>
      </c>
    </row>
    <row r="53">
      <c r="A53" s="297"/>
      <c r="B53" s="280"/>
      <c r="C53" s="329" t="s">
        <v>981</v>
      </c>
      <c r="D53" s="266" t="s">
        <v>993</v>
      </c>
      <c r="E53" s="330">
        <f>IFERROR(__xludf.DUMMYFUNCTION("""COMPUTED_VALUE"""),0.0)</f>
        <v>0</v>
      </c>
      <c r="F53" s="288">
        <v>0.0</v>
      </c>
      <c r="G53" s="288">
        <v>0.0</v>
      </c>
      <c r="H53" s="288">
        <v>0.0</v>
      </c>
      <c r="I53" s="330">
        <f>IFERROR(__xludf.DUMMYFUNCTION("""COMPUTED_VALUE"""),0.0)</f>
        <v>0</v>
      </c>
      <c r="J53" s="331">
        <f t="shared" ref="J53:L53" si="44">F53+O53</f>
        <v>0</v>
      </c>
      <c r="K53" s="331">
        <f t="shared" si="44"/>
        <v>0</v>
      </c>
      <c r="L53" s="331">
        <f t="shared" si="44"/>
        <v>0</v>
      </c>
      <c r="M53" s="65"/>
      <c r="N53" s="332">
        <f>IFERROR(__xludf.DUMMYFUNCTION("""COMPUTED_VALUE"""),0.0)</f>
        <v>0</v>
      </c>
      <c r="O53" s="333">
        <f>IFERROR(__xludf.DUMMYFUNCTION("""COMPUTED_VALUE"""),0.0)</f>
        <v>0</v>
      </c>
      <c r="P53" s="333">
        <f>IFERROR(__xludf.DUMMYFUNCTION("""COMPUTED_VALUE"""),0.0)</f>
        <v>0</v>
      </c>
      <c r="Q53" s="333">
        <f>IFERROR(__xludf.DUMMYFUNCTION("""COMPUTED_VALUE"""),0.0)</f>
        <v>0</v>
      </c>
    </row>
    <row r="54">
      <c r="A54" s="337"/>
      <c r="B54" s="337"/>
      <c r="C54" s="338"/>
      <c r="D54" s="271" t="s">
        <v>994</v>
      </c>
      <c r="E54" s="334">
        <f t="shared" ref="E54:L54" si="45">sum(E52:E53)</f>
        <v>0</v>
      </c>
      <c r="F54" s="304">
        <f t="shared" si="45"/>
        <v>0</v>
      </c>
      <c r="G54" s="304">
        <f t="shared" si="45"/>
        <v>0</v>
      </c>
      <c r="H54" s="304">
        <f t="shared" si="45"/>
        <v>0</v>
      </c>
      <c r="I54" s="334">
        <f t="shared" si="45"/>
        <v>0</v>
      </c>
      <c r="J54" s="304">
        <f t="shared" si="45"/>
        <v>85105916</v>
      </c>
      <c r="K54" s="304">
        <f t="shared" si="45"/>
        <v>0</v>
      </c>
      <c r="L54" s="304">
        <f t="shared" si="45"/>
        <v>0</v>
      </c>
      <c r="M54" s="305"/>
      <c r="N54" s="334">
        <f>IFERROR(__xludf.DUMMYFUNCTION("""COMPUTED_VALUE"""),0.0)</f>
        <v>0</v>
      </c>
      <c r="O54" s="304">
        <f>IFERROR(__xludf.DUMMYFUNCTION("""COMPUTED_VALUE"""),8.5105916E7)</f>
        <v>85105916</v>
      </c>
      <c r="P54" s="304">
        <f>IFERROR(__xludf.DUMMYFUNCTION("""COMPUTED_VALUE"""),0.0)</f>
        <v>0</v>
      </c>
      <c r="Q54" s="304">
        <f>IFERROR(__xludf.DUMMYFUNCTION("""COMPUTED_VALUE"""),0.0)</f>
        <v>0</v>
      </c>
    </row>
    <row r="55">
      <c r="A55" s="337"/>
      <c r="B55" s="337"/>
      <c r="C55" s="338"/>
      <c r="D55" s="271" t="s">
        <v>995</v>
      </c>
      <c r="E55" s="334">
        <f t="shared" ref="E55:L55" si="46">E48+E51+E54</f>
        <v>4961480</v>
      </c>
      <c r="F55" s="304">
        <f t="shared" si="46"/>
        <v>2186088</v>
      </c>
      <c r="G55" s="304">
        <f t="shared" si="46"/>
        <v>0</v>
      </c>
      <c r="H55" s="304">
        <f t="shared" si="46"/>
        <v>0</v>
      </c>
      <c r="I55" s="334">
        <f t="shared" si="46"/>
        <v>16803324</v>
      </c>
      <c r="J55" s="304">
        <f t="shared" si="46"/>
        <v>110567151</v>
      </c>
      <c r="K55" s="304">
        <f t="shared" si="46"/>
        <v>0</v>
      </c>
      <c r="L55" s="304">
        <f t="shared" si="46"/>
        <v>0</v>
      </c>
      <c r="M55" s="305"/>
      <c r="N55" s="334">
        <f>IFERROR(__xludf.DUMMYFUNCTION("""COMPUTED_VALUE"""),1.1841844E7)</f>
        <v>11841844</v>
      </c>
      <c r="O55" s="304">
        <f>IFERROR(__xludf.DUMMYFUNCTION("""COMPUTED_VALUE"""),1.08381063E8)</f>
        <v>108381063</v>
      </c>
      <c r="P55" s="304">
        <f>IFERROR(__xludf.DUMMYFUNCTION("""COMPUTED_VALUE"""),0.0)</f>
        <v>0</v>
      </c>
      <c r="Q55" s="304">
        <f>IFERROR(__xludf.DUMMYFUNCTION("""COMPUTED_VALUE"""),0.0)</f>
        <v>0</v>
      </c>
    </row>
    <row r="56">
      <c r="A56" s="297"/>
      <c r="B56" s="280"/>
      <c r="C56" s="339" t="s">
        <v>962</v>
      </c>
      <c r="D56" s="340" t="s">
        <v>996</v>
      </c>
      <c r="E56" s="325">
        <f>IFERROR(__xludf.DUMMYFUNCTION("IMPORTRANGE(Link!$B$3,""Form HO!AK51:AK54"")"),0.0)</f>
        <v>0</v>
      </c>
      <c r="F56" s="333">
        <v>0.0</v>
      </c>
      <c r="G56" s="333">
        <v>0.0</v>
      </c>
      <c r="H56" s="333">
        <v>0.0</v>
      </c>
      <c r="I56" s="325">
        <f>IFERROR(__xludf.DUMMYFUNCTION("IMPORTRANGE(Link!$B$3,""Form HO!AO51:AO54"")"),0.0)</f>
        <v>0</v>
      </c>
      <c r="J56" s="331">
        <f t="shared" ref="J56:L56" si="47">F56+O56</f>
        <v>0</v>
      </c>
      <c r="K56" s="331">
        <f t="shared" si="47"/>
        <v>0</v>
      </c>
      <c r="L56" s="331">
        <f t="shared" si="47"/>
        <v>0</v>
      </c>
      <c r="M56" s="65"/>
      <c r="N56" s="332">
        <f>IFERROR(__xludf.DUMMYFUNCTION("""COMPUTED_VALUE"""),0.0)</f>
        <v>0</v>
      </c>
      <c r="O56" s="333">
        <f>IFERROR(__xludf.DUMMYFUNCTION("""COMPUTED_VALUE"""),0.0)</f>
        <v>0</v>
      </c>
      <c r="P56" s="333">
        <f>IFERROR(__xludf.DUMMYFUNCTION("""COMPUTED_VALUE"""),0.0)</f>
        <v>0</v>
      </c>
      <c r="Q56" s="333">
        <f>IFERROR(__xludf.DUMMYFUNCTION("""COMPUTED_VALUE"""),0.0)</f>
        <v>0</v>
      </c>
    </row>
    <row r="57">
      <c r="A57" s="297"/>
      <c r="B57" s="280"/>
      <c r="C57" s="339" t="s">
        <v>964</v>
      </c>
      <c r="D57" s="340" t="s">
        <v>997</v>
      </c>
      <c r="E57" s="330">
        <f>IFERROR(__xludf.DUMMYFUNCTION("""COMPUTED_VALUE"""),0.0)</f>
        <v>0</v>
      </c>
      <c r="F57" s="333">
        <v>0.0</v>
      </c>
      <c r="G57" s="333">
        <v>0.0</v>
      </c>
      <c r="H57" s="333">
        <v>0.0</v>
      </c>
      <c r="I57" s="330">
        <f>IFERROR(__xludf.DUMMYFUNCTION("""COMPUTED_VALUE"""),0.0)</f>
        <v>0</v>
      </c>
      <c r="J57" s="331">
        <f t="shared" ref="J57:L57" si="48">F57+O57</f>
        <v>0</v>
      </c>
      <c r="K57" s="331">
        <f t="shared" si="48"/>
        <v>0</v>
      </c>
      <c r="L57" s="331">
        <f t="shared" si="48"/>
        <v>0</v>
      </c>
      <c r="M57" s="65"/>
      <c r="N57" s="332">
        <f>IFERROR(__xludf.DUMMYFUNCTION("""COMPUTED_VALUE"""),0.0)</f>
        <v>0</v>
      </c>
      <c r="O57" s="333">
        <f>IFERROR(__xludf.DUMMYFUNCTION("""COMPUTED_VALUE"""),0.0)</f>
        <v>0</v>
      </c>
      <c r="P57" s="333">
        <f>IFERROR(__xludf.DUMMYFUNCTION("""COMPUTED_VALUE"""),0.0)</f>
        <v>0</v>
      </c>
      <c r="Q57" s="333">
        <f>IFERROR(__xludf.DUMMYFUNCTION("""COMPUTED_VALUE"""),0.0)</f>
        <v>0</v>
      </c>
    </row>
    <row r="58">
      <c r="A58" s="297"/>
      <c r="B58" s="280"/>
      <c r="C58" s="265"/>
      <c r="D58" s="341" t="s">
        <v>998</v>
      </c>
      <c r="E58" s="330">
        <f>IFERROR(__xludf.DUMMYFUNCTION("""COMPUTED_VALUE"""),0.0)</f>
        <v>0</v>
      </c>
      <c r="F58" s="333">
        <v>0.0</v>
      </c>
      <c r="G58" s="333">
        <v>0.0</v>
      </c>
      <c r="H58" s="333">
        <v>0.0</v>
      </c>
      <c r="I58" s="330">
        <f>IFERROR(__xludf.DUMMYFUNCTION("""COMPUTED_VALUE"""),0.0)</f>
        <v>0</v>
      </c>
      <c r="J58" s="331">
        <f t="shared" ref="J58:L58" si="49">F58+O58</f>
        <v>0</v>
      </c>
      <c r="K58" s="331">
        <f t="shared" si="49"/>
        <v>0</v>
      </c>
      <c r="L58" s="331">
        <f t="shared" si="49"/>
        <v>0</v>
      </c>
      <c r="M58" s="65"/>
      <c r="N58" s="332"/>
      <c r="O58" s="333"/>
      <c r="P58" s="333"/>
      <c r="Q58" s="333"/>
    </row>
    <row r="59">
      <c r="A59" s="297"/>
      <c r="B59" s="280"/>
      <c r="C59" s="265"/>
      <c r="D59" s="340" t="s">
        <v>999</v>
      </c>
      <c r="E59" s="330">
        <f>IFERROR(__xludf.DUMMYFUNCTION("""COMPUTED_VALUE"""),0.0)</f>
        <v>0</v>
      </c>
      <c r="F59" s="333">
        <v>0.0</v>
      </c>
      <c r="G59" s="333">
        <v>0.0</v>
      </c>
      <c r="H59" s="333">
        <v>0.0</v>
      </c>
      <c r="I59" s="330">
        <f>IFERROR(__xludf.DUMMYFUNCTION("""COMPUTED_VALUE"""),0.0)</f>
        <v>0</v>
      </c>
      <c r="J59" s="331">
        <f t="shared" ref="J59:L59" si="50">F59+O59</f>
        <v>0</v>
      </c>
      <c r="K59" s="331">
        <f t="shared" si="50"/>
        <v>0</v>
      </c>
      <c r="L59" s="331">
        <f t="shared" si="50"/>
        <v>0</v>
      </c>
      <c r="M59" s="65"/>
      <c r="N59" s="332"/>
      <c r="O59" s="333"/>
      <c r="P59" s="333"/>
      <c r="Q59" s="333"/>
    </row>
    <row r="60">
      <c r="A60" s="337"/>
      <c r="B60" s="337"/>
      <c r="C60" s="338"/>
      <c r="D60" s="271" t="s">
        <v>1000</v>
      </c>
      <c r="E60" s="334">
        <f t="shared" ref="E60:L60" si="51">sum(E56:E59)</f>
        <v>0</v>
      </c>
      <c r="F60" s="304">
        <f t="shared" si="51"/>
        <v>0</v>
      </c>
      <c r="G60" s="304">
        <f t="shared" si="51"/>
        <v>0</v>
      </c>
      <c r="H60" s="304">
        <f t="shared" si="51"/>
        <v>0</v>
      </c>
      <c r="I60" s="334">
        <f t="shared" si="51"/>
        <v>0</v>
      </c>
      <c r="J60" s="304">
        <f t="shared" si="51"/>
        <v>0</v>
      </c>
      <c r="K60" s="304">
        <f t="shared" si="51"/>
        <v>0</v>
      </c>
      <c r="L60" s="304">
        <f t="shared" si="51"/>
        <v>0</v>
      </c>
      <c r="M60" s="305"/>
      <c r="N60" s="334"/>
      <c r="O60" s="304"/>
      <c r="P60" s="304"/>
      <c r="Q60" s="304"/>
    </row>
    <row r="61">
      <c r="A61" s="337"/>
      <c r="B61" s="337"/>
      <c r="C61" s="338"/>
      <c r="D61" s="271" t="s">
        <v>1001</v>
      </c>
      <c r="E61" s="334">
        <f t="shared" ref="E61:L61" si="52">E55+E60</f>
        <v>4961480</v>
      </c>
      <c r="F61" s="304">
        <f t="shared" si="52"/>
        <v>2186088</v>
      </c>
      <c r="G61" s="304">
        <f t="shared" si="52"/>
        <v>0</v>
      </c>
      <c r="H61" s="304">
        <f t="shared" si="52"/>
        <v>0</v>
      </c>
      <c r="I61" s="304">
        <f t="shared" si="52"/>
        <v>16803324</v>
      </c>
      <c r="J61" s="304">
        <f t="shared" si="52"/>
        <v>110567151</v>
      </c>
      <c r="K61" s="304">
        <f t="shared" si="52"/>
        <v>0</v>
      </c>
      <c r="L61" s="304">
        <f t="shared" si="52"/>
        <v>0</v>
      </c>
      <c r="M61" s="305"/>
      <c r="N61" s="334"/>
      <c r="O61" s="304"/>
      <c r="P61" s="304"/>
      <c r="Q61" s="304"/>
    </row>
    <row r="62">
      <c r="A62" s="342"/>
      <c r="B62" s="342"/>
      <c r="C62" s="343"/>
      <c r="D62" s="344" t="s">
        <v>1002</v>
      </c>
      <c r="E62" s="345">
        <f t="shared" ref="E62:L62" si="53">iferror(E46/E5,0)</f>
        <v>0</v>
      </c>
      <c r="F62" s="345">
        <f t="shared" si="53"/>
        <v>0</v>
      </c>
      <c r="G62" s="345">
        <f t="shared" si="53"/>
        <v>0</v>
      </c>
      <c r="H62" s="345">
        <f t="shared" si="53"/>
        <v>0</v>
      </c>
      <c r="I62" s="345">
        <f t="shared" si="53"/>
        <v>0</v>
      </c>
      <c r="J62" s="345">
        <f t="shared" si="53"/>
        <v>0</v>
      </c>
      <c r="K62" s="345">
        <f t="shared" si="53"/>
        <v>0</v>
      </c>
      <c r="L62" s="345">
        <f t="shared" si="53"/>
        <v>0</v>
      </c>
      <c r="M62" s="65"/>
      <c r="N62" s="345"/>
      <c r="O62" s="346"/>
      <c r="P62" s="346"/>
      <c r="Q62" s="346"/>
    </row>
    <row r="63">
      <c r="A63" s="342"/>
      <c r="B63" s="342"/>
      <c r="C63" s="347"/>
      <c r="D63" s="348" t="s">
        <v>1003</v>
      </c>
      <c r="E63" s="349">
        <f t="shared" ref="E63:L63" si="54">iferror((E61-E54)/E5,0)</f>
        <v>0</v>
      </c>
      <c r="F63" s="349">
        <f t="shared" si="54"/>
        <v>0</v>
      </c>
      <c r="G63" s="349">
        <f t="shared" si="54"/>
        <v>0</v>
      </c>
      <c r="H63" s="349">
        <f t="shared" si="54"/>
        <v>0</v>
      </c>
      <c r="I63" s="349">
        <f t="shared" si="54"/>
        <v>0</v>
      </c>
      <c r="J63" s="349">
        <f t="shared" si="54"/>
        <v>0</v>
      </c>
      <c r="K63" s="349">
        <f t="shared" si="54"/>
        <v>0</v>
      </c>
      <c r="L63" s="349">
        <f t="shared" si="54"/>
        <v>0</v>
      </c>
      <c r="M63" s="65"/>
      <c r="N63" s="349"/>
      <c r="O63" s="350"/>
      <c r="P63" s="350"/>
      <c r="Q63" s="350"/>
    </row>
    <row r="64">
      <c r="A64" s="342"/>
      <c r="B64" s="342"/>
      <c r="C64" s="347"/>
      <c r="D64" s="348" t="s">
        <v>1004</v>
      </c>
      <c r="E64" s="349">
        <f t="shared" ref="E64:L64" si="55">iferror(E61/E5,0)</f>
        <v>0</v>
      </c>
      <c r="F64" s="349">
        <f t="shared" si="55"/>
        <v>0</v>
      </c>
      <c r="G64" s="349">
        <f t="shared" si="55"/>
        <v>0</v>
      </c>
      <c r="H64" s="349">
        <f t="shared" si="55"/>
        <v>0</v>
      </c>
      <c r="I64" s="349">
        <f t="shared" si="55"/>
        <v>0</v>
      </c>
      <c r="J64" s="349">
        <f t="shared" si="55"/>
        <v>0</v>
      </c>
      <c r="K64" s="349">
        <f t="shared" si="55"/>
        <v>0</v>
      </c>
      <c r="L64" s="349">
        <f t="shared" si="55"/>
        <v>0</v>
      </c>
      <c r="M64" s="65"/>
      <c r="N64" s="349"/>
      <c r="O64" s="350"/>
      <c r="P64" s="350"/>
      <c r="Q64" s="350"/>
    </row>
    <row r="65">
      <c r="A65" s="342"/>
      <c r="B65" s="342"/>
      <c r="C65" s="347"/>
      <c r="D65" s="348" t="s">
        <v>1005</v>
      </c>
      <c r="E65" s="349">
        <f t="shared" ref="E65:L65" si="56">iferror(E55/(E17),0)</f>
        <v>14175.65714</v>
      </c>
      <c r="F65" s="349">
        <f t="shared" si="56"/>
        <v>15956.84672</v>
      </c>
      <c r="G65" s="349">
        <f t="shared" si="56"/>
        <v>0</v>
      </c>
      <c r="H65" s="349">
        <f t="shared" si="56"/>
        <v>0</v>
      </c>
      <c r="I65" s="349">
        <f t="shared" si="56"/>
        <v>10239.68556</v>
      </c>
      <c r="J65" s="349">
        <f t="shared" si="56"/>
        <v>183058.197</v>
      </c>
      <c r="K65" s="349">
        <f t="shared" si="56"/>
        <v>0</v>
      </c>
      <c r="L65" s="349">
        <f t="shared" si="56"/>
        <v>0</v>
      </c>
      <c r="M65" s="65"/>
      <c r="N65" s="349"/>
      <c r="O65" s="350"/>
      <c r="P65" s="350"/>
      <c r="Q65" s="350"/>
    </row>
    <row r="66">
      <c r="A66" s="342"/>
      <c r="B66" s="342"/>
      <c r="C66" s="347"/>
      <c r="D66" s="348" t="s">
        <v>1006</v>
      </c>
      <c r="E66" s="349">
        <f t="shared" ref="E66:L66" si="57">iferror(E60/(E18+E19),0)</f>
        <v>0</v>
      </c>
      <c r="F66" s="349">
        <f t="shared" si="57"/>
        <v>0</v>
      </c>
      <c r="G66" s="349">
        <f t="shared" si="57"/>
        <v>0</v>
      </c>
      <c r="H66" s="349">
        <f t="shared" si="57"/>
        <v>0</v>
      </c>
      <c r="I66" s="349">
        <f t="shared" si="57"/>
        <v>0</v>
      </c>
      <c r="J66" s="349">
        <f t="shared" si="57"/>
        <v>0</v>
      </c>
      <c r="K66" s="349">
        <f t="shared" si="57"/>
        <v>0</v>
      </c>
      <c r="L66" s="349">
        <f t="shared" si="57"/>
        <v>0</v>
      </c>
      <c r="M66" s="65"/>
      <c r="N66" s="349"/>
      <c r="O66" s="350"/>
      <c r="P66" s="350"/>
      <c r="Q66" s="350"/>
    </row>
    <row r="67">
      <c r="A67" s="342"/>
      <c r="B67" s="342"/>
      <c r="C67" s="351"/>
      <c r="D67" s="352" t="s">
        <v>1007</v>
      </c>
      <c r="E67" s="353">
        <f t="shared" ref="E67:L67" si="58">iferror(E55/(E20),0)</f>
        <v>14175.65714</v>
      </c>
      <c r="F67" s="353">
        <f t="shared" si="58"/>
        <v>15956.84672</v>
      </c>
      <c r="G67" s="353">
        <f t="shared" si="58"/>
        <v>0</v>
      </c>
      <c r="H67" s="353">
        <f t="shared" si="58"/>
        <v>0</v>
      </c>
      <c r="I67" s="353">
        <f t="shared" si="58"/>
        <v>10239.68556</v>
      </c>
      <c r="J67" s="353">
        <f t="shared" si="58"/>
        <v>183058.197</v>
      </c>
      <c r="K67" s="353">
        <f t="shared" si="58"/>
        <v>0</v>
      </c>
      <c r="L67" s="353">
        <f t="shared" si="58"/>
        <v>0</v>
      </c>
      <c r="M67" s="65"/>
      <c r="N67" s="353"/>
      <c r="O67" s="354"/>
      <c r="P67" s="354"/>
      <c r="Q67" s="354"/>
    </row>
    <row r="68">
      <c r="A68" s="280"/>
      <c r="B68" s="280"/>
      <c r="C68" s="355"/>
      <c r="D68" s="356"/>
      <c r="E68" s="357"/>
      <c r="F68" s="358"/>
      <c r="G68" s="358"/>
      <c r="H68" s="358"/>
      <c r="I68" s="358"/>
      <c r="J68" s="358"/>
      <c r="K68" s="358"/>
      <c r="L68" s="358"/>
      <c r="M68" s="65"/>
      <c r="N68" s="357"/>
      <c r="O68" s="358"/>
      <c r="P68" s="358"/>
      <c r="Q68" s="358"/>
    </row>
  </sheetData>
  <mergeCells count="20">
    <mergeCell ref="E8:H8"/>
    <mergeCell ref="I8:L8"/>
    <mergeCell ref="I9:L9"/>
    <mergeCell ref="N9:Q9"/>
    <mergeCell ref="C3:D3"/>
    <mergeCell ref="E3:L3"/>
    <mergeCell ref="N3:Q3"/>
    <mergeCell ref="C4:D4"/>
    <mergeCell ref="E4:L4"/>
    <mergeCell ref="N4:Q4"/>
    <mergeCell ref="N8:Q8"/>
    <mergeCell ref="N38:Q38"/>
    <mergeCell ref="N39:Q39"/>
    <mergeCell ref="C8:D10"/>
    <mergeCell ref="E9:H9"/>
    <mergeCell ref="C38:D40"/>
    <mergeCell ref="E38:H38"/>
    <mergeCell ref="I38:L38"/>
    <mergeCell ref="E39:H39"/>
    <mergeCell ref="I39:L39"/>
  </mergeCells>
  <dataValidations>
    <dataValidation type="list" allowBlank="1" showErrorMessage="1" sqref="E4 N4">
      <formula1>Plant!$A$2:$A$28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 outlineLevelRow="1"/>
  <cols>
    <col customWidth="1" min="1" max="1" width="3.86"/>
    <col customWidth="1" min="2" max="2" width="19.43"/>
    <col customWidth="1" min="3" max="3" width="4.14"/>
    <col customWidth="1" min="4" max="4" width="56.43"/>
    <col customWidth="1" min="5" max="5" width="16.43"/>
    <col customWidth="1" min="6" max="6" width="15.71"/>
    <col customWidth="1" min="7" max="9" width="15.86"/>
    <col customWidth="1" min="10" max="10" width="17.14"/>
    <col customWidth="1" min="11" max="11" width="16.86"/>
    <col customWidth="1" min="12" max="13" width="17.0"/>
  </cols>
  <sheetData>
    <row r="1">
      <c r="A1" s="248"/>
      <c r="B1" s="248"/>
      <c r="C1" s="65"/>
      <c r="D1" s="65"/>
      <c r="E1" s="249"/>
      <c r="F1" s="65"/>
      <c r="G1" s="67"/>
      <c r="H1" s="65"/>
      <c r="I1" s="65"/>
      <c r="J1" s="65"/>
      <c r="K1" s="65"/>
      <c r="L1" s="65"/>
      <c r="M1" s="65"/>
    </row>
    <row r="2">
      <c r="A2" s="248"/>
      <c r="B2" s="248"/>
      <c r="C2" s="250"/>
      <c r="D2" s="251" t="str">
        <f>UPPER('Balin-A'!E5)</f>
        <v>BULAN MEI 2026</v>
      </c>
      <c r="E2" s="65"/>
      <c r="F2" s="65"/>
      <c r="G2" s="67"/>
      <c r="H2" s="65"/>
      <c r="I2" s="65"/>
      <c r="J2" s="65"/>
      <c r="K2" s="65"/>
      <c r="L2" s="359" t="str">
        <f>VLOOKUP(E4,Plant!$A$2:$B$19,2,FALSE)</f>
        <v/>
      </c>
      <c r="M2" s="65"/>
    </row>
    <row r="3">
      <c r="A3" s="248"/>
      <c r="B3" s="248"/>
      <c r="C3" s="253" t="s">
        <v>946</v>
      </c>
      <c r="D3" s="161"/>
      <c r="E3" s="254" t="s">
        <v>947</v>
      </c>
      <c r="F3" s="75"/>
      <c r="G3" s="75"/>
      <c r="H3" s="75"/>
      <c r="I3" s="75"/>
      <c r="J3" s="75"/>
      <c r="K3" s="75"/>
      <c r="L3" s="161"/>
      <c r="M3" s="65"/>
    </row>
    <row r="4">
      <c r="A4" s="248"/>
      <c r="B4" s="248"/>
      <c r="C4" s="255" t="s">
        <v>948</v>
      </c>
      <c r="D4" s="256"/>
      <c r="E4" s="257" t="s">
        <v>703</v>
      </c>
      <c r="F4" s="258"/>
      <c r="G4" s="258"/>
      <c r="H4" s="258"/>
      <c r="I4" s="258"/>
      <c r="J4" s="258"/>
      <c r="K4" s="258"/>
      <c r="L4" s="259"/>
      <c r="M4" s="65"/>
    </row>
    <row r="5">
      <c r="A5" s="248"/>
      <c r="B5" s="248"/>
      <c r="C5" s="260"/>
      <c r="D5" s="261" t="s">
        <v>949</v>
      </c>
      <c r="E5" s="262">
        <f>'Balin-B'!E5+'Sinta-B'!E5+'Kumai-B'!E5+'Lokal-B'!E5</f>
        <v>1775.7</v>
      </c>
      <c r="F5" s="262">
        <f>'Balin-B'!F5+'Sinta-B'!F5+'Kumai-B'!F5+'Lokal-B'!F5</f>
        <v>1775.7</v>
      </c>
      <c r="G5" s="262">
        <f>'Balin-B'!G5+'Sinta-B'!G5+'Kumai-B'!G5+'Lokal-B'!G5</f>
        <v>1775.7</v>
      </c>
      <c r="H5" s="262">
        <f>'Balin-B'!H5+'Sinta-B'!H5+'Kumai-B'!H5+'Lokal-B'!H5</f>
        <v>1775.7</v>
      </c>
      <c r="I5" s="263">
        <f t="shared" ref="I5:L5" si="1">E5</f>
        <v>1775.7</v>
      </c>
      <c r="J5" s="263">
        <f t="shared" si="1"/>
        <v>1775.7</v>
      </c>
      <c r="K5" s="263">
        <f t="shared" si="1"/>
        <v>1775.7</v>
      </c>
      <c r="L5" s="263">
        <f t="shared" si="1"/>
        <v>1775.7</v>
      </c>
      <c r="M5" s="65"/>
    </row>
    <row r="6">
      <c r="A6" s="248"/>
      <c r="B6" s="248"/>
      <c r="C6" s="265"/>
      <c r="D6" s="266" t="s">
        <v>950</v>
      </c>
      <c r="E6" s="262">
        <f>'Balin-B'!E6+'Sinta-B'!E6+'Kumai-B'!E6+'Lokal-B'!E6</f>
        <v>0</v>
      </c>
      <c r="F6" s="262">
        <f>'Balin-B'!F6+'Sinta-B'!F6+'Kumai-B'!F6+'Lokal-B'!F6</f>
        <v>0</v>
      </c>
      <c r="G6" s="262">
        <f>'Balin-B'!G6+'Sinta-B'!G6+'Kumai-B'!G6+'Lokal-B'!G6</f>
        <v>0</v>
      </c>
      <c r="H6" s="262">
        <f>'Balin-B'!H6+'Sinta-B'!H6+'Kumai-B'!H6+'Lokal-B'!H6</f>
        <v>0</v>
      </c>
      <c r="I6" s="268"/>
      <c r="J6" s="268"/>
      <c r="K6" s="268"/>
      <c r="L6" s="268"/>
      <c r="M6" s="65"/>
    </row>
    <row r="7">
      <c r="A7" s="248"/>
      <c r="B7" s="248"/>
      <c r="C7" s="270"/>
      <c r="D7" s="271" t="s">
        <v>951</v>
      </c>
      <c r="E7" s="272">
        <f t="shared" ref="E7:L7" si="2">sum(E5:E6)</f>
        <v>1775.7</v>
      </c>
      <c r="F7" s="273">
        <f t="shared" si="2"/>
        <v>1775.7</v>
      </c>
      <c r="G7" s="273">
        <f t="shared" si="2"/>
        <v>1775.7</v>
      </c>
      <c r="H7" s="273">
        <f t="shared" si="2"/>
        <v>1775.7</v>
      </c>
      <c r="I7" s="273">
        <f t="shared" si="2"/>
        <v>1775.7</v>
      </c>
      <c r="J7" s="273">
        <f t="shared" si="2"/>
        <v>1775.7</v>
      </c>
      <c r="K7" s="273">
        <f t="shared" si="2"/>
        <v>1775.7</v>
      </c>
      <c r="L7" s="273">
        <f t="shared" si="2"/>
        <v>1775.7</v>
      </c>
      <c r="M7" s="65"/>
    </row>
    <row r="8">
      <c r="A8" s="274"/>
      <c r="B8" s="274"/>
      <c r="C8" s="253" t="s">
        <v>405</v>
      </c>
      <c r="D8" s="161"/>
      <c r="E8" s="275" t="s">
        <v>952</v>
      </c>
      <c r="F8" s="258"/>
      <c r="G8" s="258"/>
      <c r="H8" s="259"/>
      <c r="I8" s="276" t="s">
        <v>952</v>
      </c>
      <c r="J8" s="258"/>
      <c r="K8" s="258"/>
      <c r="L8" s="259"/>
      <c r="M8" s="65"/>
    </row>
    <row r="9">
      <c r="A9" s="274"/>
      <c r="B9" s="274"/>
      <c r="C9" s="157"/>
      <c r="D9" s="158"/>
      <c r="E9" s="275" t="s">
        <v>724</v>
      </c>
      <c r="F9" s="258"/>
      <c r="G9" s="258"/>
      <c r="H9" s="259"/>
      <c r="I9" s="276" t="s">
        <v>953</v>
      </c>
      <c r="J9" s="258"/>
      <c r="K9" s="258"/>
      <c r="L9" s="259"/>
      <c r="M9" s="65"/>
    </row>
    <row r="10">
      <c r="A10" s="274"/>
      <c r="B10" s="274"/>
      <c r="C10" s="172"/>
      <c r="D10" s="173"/>
      <c r="E10" s="277" t="s">
        <v>734</v>
      </c>
      <c r="F10" s="278" t="s">
        <v>957</v>
      </c>
      <c r="G10" s="279" t="s">
        <v>958</v>
      </c>
      <c r="H10" s="278" t="s">
        <v>635</v>
      </c>
      <c r="I10" s="278" t="str">
        <f t="shared" ref="I10:L10" si="3">E10</f>
        <v>Real Tahun Lalu</v>
      </c>
      <c r="J10" s="278" t="str">
        <f t="shared" si="3"/>
        <v>Real Tahun Ini</v>
      </c>
      <c r="K10" s="279" t="str">
        <f t="shared" si="3"/>
        <v>RKO TW</v>
      </c>
      <c r="L10" s="278" t="str">
        <f t="shared" si="3"/>
        <v>RKAP</v>
      </c>
      <c r="M10" s="65"/>
    </row>
    <row r="11">
      <c r="A11" s="280"/>
      <c r="B11" s="280"/>
      <c r="C11" s="281" t="s">
        <v>959</v>
      </c>
      <c r="D11" s="282" t="s">
        <v>960</v>
      </c>
      <c r="E11" s="283">
        <f t="shared" ref="E11:L11" si="4">sum(E12:E14)</f>
        <v>0</v>
      </c>
      <c r="F11" s="284">
        <f t="shared" si="4"/>
        <v>0</v>
      </c>
      <c r="G11" s="284">
        <f t="shared" si="4"/>
        <v>0</v>
      </c>
      <c r="H11" s="284">
        <f t="shared" si="4"/>
        <v>0</v>
      </c>
      <c r="I11" s="284">
        <f t="shared" si="4"/>
        <v>0</v>
      </c>
      <c r="J11" s="284">
        <f t="shared" si="4"/>
        <v>0</v>
      </c>
      <c r="K11" s="284">
        <f t="shared" si="4"/>
        <v>0</v>
      </c>
      <c r="L11" s="284">
        <f t="shared" si="4"/>
        <v>0</v>
      </c>
      <c r="M11" s="65"/>
    </row>
    <row r="12" outlineLevel="1">
      <c r="A12" s="285"/>
      <c r="B12" s="280"/>
      <c r="C12" s="286"/>
      <c r="D12" s="287" t="s">
        <v>961</v>
      </c>
      <c r="E12" s="288">
        <f>'Balin-B'!E12+'Sinta-B'!E12+'Kumai-B'!E12+'Lokal-B'!E12</f>
        <v>0</v>
      </c>
      <c r="F12" s="288">
        <f>'Balin-B'!F12+'Sinta-B'!F12+'Kumai-B'!F12+'Lokal-B'!F12</f>
        <v>0</v>
      </c>
      <c r="G12" s="288">
        <f>'Balin-B'!G12+'Sinta-B'!G12+'Kumai-B'!G12+'Lokal-B'!G12</f>
        <v>0</v>
      </c>
      <c r="H12" s="288">
        <f>'Balin-B'!H12+'Sinta-B'!H12+'Kumai-B'!H12+'Lokal-B'!H12</f>
        <v>0</v>
      </c>
      <c r="I12" s="288">
        <f>'Balin-B'!I12+'Sinta-B'!I12+'Kumai-B'!I12+'Lokal-B'!I12</f>
        <v>0</v>
      </c>
      <c r="J12" s="288">
        <f>'Balin-B'!J12+'Sinta-B'!J12+'Kumai-B'!J12+'Lokal-B'!J12</f>
        <v>0</v>
      </c>
      <c r="K12" s="288">
        <f>'Balin-B'!K12+'Sinta-B'!K12+'Kumai-B'!K12+'Lokal-B'!K12</f>
        <v>0</v>
      </c>
      <c r="L12" s="288">
        <f>'Balin-B'!L12+'Sinta-B'!L12+'Kumai-B'!L12+'Lokal-B'!L12</f>
        <v>0</v>
      </c>
      <c r="M12" s="65"/>
    </row>
    <row r="13" outlineLevel="1">
      <c r="A13" s="285"/>
      <c r="B13" s="280"/>
      <c r="C13" s="292" t="s">
        <v>962</v>
      </c>
      <c r="D13" s="287" t="s">
        <v>963</v>
      </c>
      <c r="E13" s="288">
        <f>'Balin-B'!E13+'Sinta-B'!E13+'Kumai-B'!E13+'Lokal-B'!E13</f>
        <v>0</v>
      </c>
      <c r="F13" s="288">
        <f>'Balin-B'!F13+'Sinta-B'!F13+'Kumai-B'!F13+'Lokal-B'!F13</f>
        <v>0</v>
      </c>
      <c r="G13" s="288">
        <f>'Balin-B'!G13+'Sinta-B'!G13+'Kumai-B'!G13+'Lokal-B'!G13</f>
        <v>0</v>
      </c>
      <c r="H13" s="288">
        <f>'Balin-B'!H13+'Sinta-B'!H13+'Kumai-B'!H13+'Lokal-B'!H13</f>
        <v>0</v>
      </c>
      <c r="I13" s="288">
        <f>'Balin-B'!I13+'Sinta-B'!I13+'Kumai-B'!I13+'Lokal-B'!I13</f>
        <v>0</v>
      </c>
      <c r="J13" s="288">
        <f>'Balin-B'!J13+'Sinta-B'!J13+'Kumai-B'!J13+'Lokal-B'!J13</f>
        <v>0</v>
      </c>
      <c r="K13" s="288">
        <f>'Balin-B'!K13+'Sinta-B'!K13+'Kumai-B'!K13+'Lokal-B'!K13</f>
        <v>0</v>
      </c>
      <c r="L13" s="288">
        <f>'Balin-B'!L13+'Sinta-B'!L13+'Kumai-B'!L13+'Lokal-B'!L13</f>
        <v>0</v>
      </c>
      <c r="M13" s="65"/>
    </row>
    <row r="14" outlineLevel="1">
      <c r="A14" s="285"/>
      <c r="B14" s="280"/>
      <c r="C14" s="292" t="s">
        <v>964</v>
      </c>
      <c r="D14" s="287" t="s">
        <v>965</v>
      </c>
      <c r="E14" s="288">
        <f>'Balin-B'!E14+'Sinta-B'!E14+'Kumai-B'!E14+'Lokal-B'!E14</f>
        <v>0</v>
      </c>
      <c r="F14" s="288">
        <f>'Balin-B'!F14+'Sinta-B'!F14+'Kumai-B'!F14+'Lokal-B'!F14</f>
        <v>0</v>
      </c>
      <c r="G14" s="288">
        <f>'Balin-B'!G14+'Sinta-B'!G14+'Kumai-B'!G14+'Lokal-B'!G14</f>
        <v>0</v>
      </c>
      <c r="H14" s="288">
        <f>'Balin-B'!H14+'Sinta-B'!H14+'Kumai-B'!H14+'Lokal-B'!H14</f>
        <v>0</v>
      </c>
      <c r="I14" s="288">
        <f>'Balin-B'!I14+'Sinta-B'!I14+'Kumai-B'!I14+'Lokal-B'!I14</f>
        <v>0</v>
      </c>
      <c r="J14" s="288">
        <f>'Balin-B'!J14+'Sinta-B'!J14+'Kumai-B'!J14+'Lokal-B'!J14</f>
        <v>0</v>
      </c>
      <c r="K14" s="288">
        <f>'Balin-B'!K14+'Sinta-B'!K14+'Kumai-B'!K14+'Lokal-B'!K14</f>
        <v>0</v>
      </c>
      <c r="L14" s="288">
        <f>'Balin-B'!L14+'Sinta-B'!L14+'Kumai-B'!L14+'Lokal-B'!L14</f>
        <v>0</v>
      </c>
      <c r="M14" s="65"/>
    </row>
    <row r="15">
      <c r="A15" s="280"/>
      <c r="B15" s="280"/>
      <c r="C15" s="286"/>
      <c r="D15" s="293"/>
      <c r="E15" s="291"/>
      <c r="F15" s="290"/>
      <c r="G15" s="290"/>
      <c r="H15" s="290"/>
      <c r="I15" s="290"/>
      <c r="J15" s="290"/>
      <c r="K15" s="290"/>
      <c r="L15" s="290"/>
      <c r="M15" s="65"/>
    </row>
    <row r="16">
      <c r="A16" s="280"/>
      <c r="B16" s="280"/>
      <c r="C16" s="294" t="s">
        <v>966</v>
      </c>
      <c r="D16" s="295" t="s">
        <v>967</v>
      </c>
      <c r="E16" s="296"/>
      <c r="F16" s="269"/>
      <c r="G16" s="269"/>
      <c r="H16" s="269"/>
      <c r="I16" s="269"/>
      <c r="J16" s="269"/>
      <c r="K16" s="269"/>
      <c r="L16" s="269"/>
      <c r="M16" s="65"/>
    </row>
    <row r="17">
      <c r="A17" s="297"/>
      <c r="B17" s="280"/>
      <c r="C17" s="265"/>
      <c r="D17" s="287" t="s">
        <v>961</v>
      </c>
      <c r="E17" s="288">
        <f>'Balin-B'!E17+'Sinta-B'!E17+'Kumai-B'!E17+'Lokal-B'!E17</f>
        <v>59583</v>
      </c>
      <c r="F17" s="288">
        <f>'Balin-B'!F17+'Sinta-B'!F17+'Kumai-B'!F17+'Lokal-B'!F17</f>
        <v>38931</v>
      </c>
      <c r="G17" s="288">
        <f>'Balin-B'!G17+'Sinta-B'!G17+'Kumai-B'!G17+'Lokal-B'!G17</f>
        <v>65728</v>
      </c>
      <c r="H17" s="288">
        <f>'Balin-B'!H17+'Sinta-B'!H17+'Kumai-B'!H17+'Lokal-B'!H17</f>
        <v>65728</v>
      </c>
      <c r="I17" s="288">
        <f>'Balin-B'!I17+'Sinta-B'!I17+'Kumai-B'!I17+'Lokal-B'!I17</f>
        <v>288144</v>
      </c>
      <c r="J17" s="288">
        <f>'Balin-B'!J17+'Sinta-B'!J17+'Kumai-B'!J17+'Lokal-B'!J17</f>
        <v>210057</v>
      </c>
      <c r="K17" s="288">
        <f>'Balin-B'!K17+'Sinta-B'!K17+'Kumai-B'!K17+'Lokal-B'!K17</f>
        <v>387091</v>
      </c>
      <c r="L17" s="288">
        <f>'Balin-B'!L17+'Sinta-B'!L17+'Kumai-B'!L17+'Lokal-B'!L17</f>
        <v>387090.8</v>
      </c>
      <c r="M17" s="65"/>
    </row>
    <row r="18">
      <c r="A18" s="297"/>
      <c r="B18" s="280"/>
      <c r="C18" s="292" t="s">
        <v>962</v>
      </c>
      <c r="D18" s="287" t="s">
        <v>963</v>
      </c>
      <c r="E18" s="288">
        <f>'Balin-B'!E18+'Sinta-B'!E18+'Kumai-B'!E18+'Lokal-B'!E18</f>
        <v>0</v>
      </c>
      <c r="F18" s="288">
        <f>'Balin-B'!F18+'Sinta-B'!F18+'Kumai-B'!F18+'Lokal-B'!F18</f>
        <v>0</v>
      </c>
      <c r="G18" s="288">
        <f>'Balin-B'!G18+'Sinta-B'!G18+'Kumai-B'!G18+'Lokal-B'!G18</f>
        <v>0</v>
      </c>
      <c r="H18" s="288">
        <f>'Balin-B'!H18+'Sinta-B'!H18+'Kumai-B'!H18+'Lokal-B'!H18</f>
        <v>0</v>
      </c>
      <c r="I18" s="288">
        <f>'Balin-B'!I18+'Sinta-B'!I18+'Kumai-B'!I18+'Lokal-B'!I18</f>
        <v>0</v>
      </c>
      <c r="J18" s="288">
        <f>'Balin-B'!J18+'Sinta-B'!J18+'Kumai-B'!J18+'Lokal-B'!J18</f>
        <v>0</v>
      </c>
      <c r="K18" s="288">
        <f>'Balin-B'!K18+'Sinta-B'!K18+'Kumai-B'!K18+'Lokal-B'!K18</f>
        <v>0</v>
      </c>
      <c r="L18" s="288">
        <f>'Balin-B'!L18+'Sinta-B'!L18+'Kumai-B'!L18+'Lokal-B'!L18</f>
        <v>0</v>
      </c>
      <c r="M18" s="65"/>
    </row>
    <row r="19">
      <c r="A19" s="297"/>
      <c r="B19" s="280"/>
      <c r="C19" s="292" t="s">
        <v>964</v>
      </c>
      <c r="D19" s="287" t="s">
        <v>965</v>
      </c>
      <c r="E19" s="288">
        <f>'Balin-B'!E19+'Sinta-B'!E19+'Kumai-B'!E19+'Lokal-B'!E19</f>
        <v>0</v>
      </c>
      <c r="F19" s="288">
        <f>'Balin-B'!F19+'Sinta-B'!F19+'Kumai-B'!F19+'Lokal-B'!F19</f>
        <v>0</v>
      </c>
      <c r="G19" s="288">
        <f>'Balin-B'!G19+'Sinta-B'!G19+'Kumai-B'!G19+'Lokal-B'!G19</f>
        <v>0</v>
      </c>
      <c r="H19" s="288">
        <f>'Balin-B'!H19+'Sinta-B'!H19+'Kumai-B'!H19+'Lokal-B'!H19</f>
        <v>0</v>
      </c>
      <c r="I19" s="288">
        <f>'Balin-B'!I19+'Sinta-B'!I19+'Kumai-B'!I19+'Lokal-B'!I19</f>
        <v>0</v>
      </c>
      <c r="J19" s="288">
        <f>'Balin-B'!J19+'Sinta-B'!J19+'Kumai-B'!J19+'Lokal-B'!J19</f>
        <v>0</v>
      </c>
      <c r="K19" s="288">
        <f>'Balin-B'!K19+'Sinta-B'!K19+'Kumai-B'!K19+'Lokal-B'!K19</f>
        <v>0</v>
      </c>
      <c r="L19" s="288">
        <f>'Balin-B'!L19+'Sinta-B'!L19+'Kumai-B'!L19+'Lokal-B'!L19</f>
        <v>0</v>
      </c>
      <c r="M19" s="65"/>
    </row>
    <row r="20">
      <c r="A20" s="301"/>
      <c r="B20" s="301"/>
      <c r="C20" s="302"/>
      <c r="D20" s="271" t="s">
        <v>951</v>
      </c>
      <c r="E20" s="303">
        <f t="shared" ref="E20:L20" si="5">sum(E17:E19)</f>
        <v>59583</v>
      </c>
      <c r="F20" s="304">
        <f t="shared" si="5"/>
        <v>38931</v>
      </c>
      <c r="G20" s="304">
        <f t="shared" si="5"/>
        <v>65728</v>
      </c>
      <c r="H20" s="304">
        <f t="shared" si="5"/>
        <v>65728</v>
      </c>
      <c r="I20" s="304">
        <f t="shared" si="5"/>
        <v>288144</v>
      </c>
      <c r="J20" s="304">
        <f t="shared" si="5"/>
        <v>210057</v>
      </c>
      <c r="K20" s="304">
        <f t="shared" si="5"/>
        <v>387091</v>
      </c>
      <c r="L20" s="304">
        <f t="shared" si="5"/>
        <v>387090.8</v>
      </c>
      <c r="M20" s="305"/>
    </row>
    <row r="21">
      <c r="A21" s="280"/>
      <c r="B21" s="280"/>
      <c r="C21" s="294" t="s">
        <v>968</v>
      </c>
      <c r="D21" s="295" t="s">
        <v>969</v>
      </c>
      <c r="E21" s="296"/>
      <c r="F21" s="269"/>
      <c r="G21" s="269"/>
      <c r="H21" s="269"/>
      <c r="I21" s="269"/>
      <c r="J21" s="269"/>
      <c r="K21" s="269"/>
      <c r="L21" s="269"/>
      <c r="M21" s="65"/>
    </row>
    <row r="22">
      <c r="A22" s="297"/>
      <c r="B22" s="280"/>
      <c r="C22" s="265"/>
      <c r="D22" s="287" t="s">
        <v>961</v>
      </c>
      <c r="E22" s="288">
        <f>'Balin-B'!E22+'Sinta-B'!E22+'Kumai-B'!E22+'Lokal-B'!E22</f>
        <v>0</v>
      </c>
      <c r="F22" s="290">
        <f>'Balin-B'!F22+'Sinta-B'!F22+'Kumai-B'!F22+'Lokal-B'!F22</f>
        <v>0</v>
      </c>
      <c r="G22" s="290">
        <f>'Balin-B'!G22+'Sinta-B'!G22+'Kumai-B'!G22+'Lokal-B'!G22</f>
        <v>0</v>
      </c>
      <c r="H22" s="290">
        <f>'Balin-B'!H22+'Sinta-B'!H22+'Kumai-B'!H22+'Lokal-B'!H22</f>
        <v>0</v>
      </c>
      <c r="I22" s="290">
        <f>'Balin-B'!I22+'Sinta-B'!I22+'Kumai-B'!I22+'Lokal-B'!I22</f>
        <v>0</v>
      </c>
      <c r="J22" s="290">
        <f>'Balin-B'!J22+'Sinta-B'!J22+'Kumai-B'!J22+'Lokal-B'!J22</f>
        <v>0</v>
      </c>
      <c r="K22" s="290">
        <f>'Balin-B'!K22+'Sinta-B'!K22+'Kumai-B'!K22+'Lokal-B'!K22</f>
        <v>0</v>
      </c>
      <c r="L22" s="290">
        <f>'Balin-B'!L22+'Sinta-B'!L22+'Kumai-B'!L22+'Lokal-B'!L22</f>
        <v>0</v>
      </c>
      <c r="M22" s="65"/>
    </row>
    <row r="23">
      <c r="A23" s="297"/>
      <c r="B23" s="280"/>
      <c r="C23" s="292" t="s">
        <v>962</v>
      </c>
      <c r="D23" s="287" t="s">
        <v>963</v>
      </c>
      <c r="E23" s="288">
        <f>'Balin-B'!E23+'Sinta-B'!E23+'Kumai-B'!E23+'Lokal-B'!E23</f>
        <v>0</v>
      </c>
      <c r="F23" s="290">
        <f>'Balin-B'!F23+'Sinta-B'!F23+'Kumai-B'!F23+'Lokal-B'!F23</f>
        <v>0</v>
      </c>
      <c r="G23" s="290">
        <f>'Balin-B'!G23+'Sinta-B'!G23+'Kumai-B'!G23+'Lokal-B'!G23</f>
        <v>0</v>
      </c>
      <c r="H23" s="290">
        <f>'Balin-B'!H23+'Sinta-B'!H23+'Kumai-B'!H23+'Lokal-B'!H23</f>
        <v>0</v>
      </c>
      <c r="I23" s="290">
        <f>'Balin-B'!I23+'Sinta-B'!I23+'Kumai-B'!I23+'Lokal-B'!I23</f>
        <v>0</v>
      </c>
      <c r="J23" s="290">
        <f>'Balin-B'!J23+'Sinta-B'!J23+'Kumai-B'!J23+'Lokal-B'!J23</f>
        <v>0</v>
      </c>
      <c r="K23" s="290">
        <f>'Balin-B'!K23+'Sinta-B'!K23+'Kumai-B'!K23+'Lokal-B'!K23</f>
        <v>0</v>
      </c>
      <c r="L23" s="290">
        <f>'Balin-B'!L23+'Sinta-B'!L23+'Kumai-B'!L23+'Lokal-B'!L23</f>
        <v>0</v>
      </c>
      <c r="M23" s="65"/>
    </row>
    <row r="24">
      <c r="A24" s="297"/>
      <c r="B24" s="280"/>
      <c r="C24" s="292" t="s">
        <v>964</v>
      </c>
      <c r="D24" s="287" t="s">
        <v>965</v>
      </c>
      <c r="E24" s="288">
        <f>'Balin-B'!E24+'Sinta-B'!E24+'Kumai-B'!E24+'Lokal-B'!E24</f>
        <v>0</v>
      </c>
      <c r="F24" s="290">
        <f>'Balin-B'!F24+'Sinta-B'!F24+'Kumai-B'!F24+'Lokal-B'!F24</f>
        <v>0</v>
      </c>
      <c r="G24" s="290">
        <f>'Balin-B'!G24+'Sinta-B'!G24+'Kumai-B'!G24+'Lokal-B'!G24</f>
        <v>0</v>
      </c>
      <c r="H24" s="290">
        <f>'Balin-B'!H24+'Sinta-B'!H24+'Kumai-B'!H24+'Lokal-B'!H24</f>
        <v>0</v>
      </c>
      <c r="I24" s="290">
        <f>'Balin-B'!I24+'Sinta-B'!I24+'Kumai-B'!I24+'Lokal-B'!I24</f>
        <v>0</v>
      </c>
      <c r="J24" s="290">
        <f>'Balin-B'!J24+'Sinta-B'!J24+'Kumai-B'!J24+'Lokal-B'!J24</f>
        <v>0</v>
      </c>
      <c r="K24" s="290">
        <f>'Balin-B'!K24+'Sinta-B'!K24+'Kumai-B'!K24+'Lokal-B'!K24</f>
        <v>0</v>
      </c>
      <c r="L24" s="290">
        <f>'Balin-B'!L24+'Sinta-B'!L24+'Kumai-B'!L24+'Lokal-B'!L24</f>
        <v>0</v>
      </c>
      <c r="M24" s="65"/>
    </row>
    <row r="25">
      <c r="A25" s="301"/>
      <c r="B25" s="301"/>
      <c r="C25" s="302"/>
      <c r="D25" s="271" t="s">
        <v>951</v>
      </c>
      <c r="E25" s="303">
        <f t="shared" ref="E25:L25" si="6">sum(E22:E24)</f>
        <v>0</v>
      </c>
      <c r="F25" s="304">
        <f t="shared" si="6"/>
        <v>0</v>
      </c>
      <c r="G25" s="304">
        <f t="shared" si="6"/>
        <v>0</v>
      </c>
      <c r="H25" s="304">
        <f t="shared" si="6"/>
        <v>0</v>
      </c>
      <c r="I25" s="304">
        <f t="shared" si="6"/>
        <v>0</v>
      </c>
      <c r="J25" s="304">
        <f t="shared" si="6"/>
        <v>0</v>
      </c>
      <c r="K25" s="304">
        <f t="shared" si="6"/>
        <v>0</v>
      </c>
      <c r="L25" s="304">
        <f t="shared" si="6"/>
        <v>0</v>
      </c>
      <c r="M25" s="305"/>
    </row>
    <row r="26">
      <c r="A26" s="280"/>
      <c r="B26" s="280"/>
      <c r="C26" s="294" t="s">
        <v>970</v>
      </c>
      <c r="D26" s="295" t="s">
        <v>971</v>
      </c>
      <c r="E26" s="296"/>
      <c r="F26" s="269"/>
      <c r="G26" s="269"/>
      <c r="H26" s="269"/>
      <c r="I26" s="269"/>
      <c r="J26" s="269"/>
      <c r="K26" s="269"/>
      <c r="L26" s="269"/>
      <c r="M26" s="65"/>
    </row>
    <row r="27">
      <c r="A27" s="297"/>
      <c r="B27" s="280"/>
      <c r="C27" s="265"/>
      <c r="D27" s="266" t="s">
        <v>972</v>
      </c>
      <c r="E27" s="288">
        <f>'Balin-B'!E27+'Sinta-B'!E27+'Kumai-B'!E27+'Lokal-B'!E27</f>
        <v>0</v>
      </c>
      <c r="F27" s="290">
        <f>'Balin-B'!F27+'Sinta-B'!F27+'Kumai-B'!F27+'Lokal-B'!F27</f>
        <v>0</v>
      </c>
      <c r="G27" s="290">
        <f>'Balin-B'!G27+'Sinta-B'!G27+'Kumai-B'!G27+'Lokal-B'!G27</f>
        <v>0</v>
      </c>
      <c r="H27" s="290">
        <f>'Balin-B'!H27+'Sinta-B'!H27+'Kumai-B'!H27+'Lokal-B'!H27</f>
        <v>0</v>
      </c>
      <c r="I27" s="290">
        <f>'Balin-B'!I27+'Sinta-B'!I27+'Kumai-B'!I27+'Lokal-B'!I27</f>
        <v>0</v>
      </c>
      <c r="J27" s="290">
        <f>'Balin-B'!J27+'Sinta-B'!J27+'Kumai-B'!J27+'Lokal-B'!J27</f>
        <v>0</v>
      </c>
      <c r="K27" s="290">
        <f>'Balin-B'!K27+'Sinta-B'!K27+'Kumai-B'!K27+'Lokal-B'!K27</f>
        <v>0</v>
      </c>
      <c r="L27" s="290">
        <f>'Balin-B'!L27+'Sinta-B'!L27+'Kumai-B'!L27+'Lokal-B'!L27</f>
        <v>0</v>
      </c>
      <c r="M27" s="65"/>
    </row>
    <row r="28">
      <c r="A28" s="297"/>
      <c r="B28" s="280"/>
      <c r="C28" s="265"/>
      <c r="D28" s="266" t="s">
        <v>973</v>
      </c>
      <c r="E28" s="288">
        <f>'Balin-B'!E28+'Sinta-B'!E28+'Kumai-B'!E28+'Lokal-B'!E28</f>
        <v>0</v>
      </c>
      <c r="F28" s="290">
        <f>'Balin-B'!F28+'Sinta-B'!F28+'Kumai-B'!F28+'Lokal-B'!F28</f>
        <v>0</v>
      </c>
      <c r="G28" s="290">
        <f>'Balin-B'!G28+'Sinta-B'!G28+'Kumai-B'!G28+'Lokal-B'!G28</f>
        <v>0</v>
      </c>
      <c r="H28" s="290">
        <f>'Balin-B'!H28+'Sinta-B'!H28+'Kumai-B'!H28+'Lokal-B'!H28</f>
        <v>0</v>
      </c>
      <c r="I28" s="290">
        <f>'Balin-B'!I28+'Sinta-B'!I28+'Kumai-B'!I28+'Lokal-B'!I28</f>
        <v>0</v>
      </c>
      <c r="J28" s="290">
        <f>'Balin-B'!J28+'Sinta-B'!J28+'Kumai-B'!J28+'Lokal-B'!J28</f>
        <v>0</v>
      </c>
      <c r="K28" s="290">
        <f>'Balin-B'!K28+'Sinta-B'!K28+'Kumai-B'!K28+'Lokal-B'!K28</f>
        <v>0</v>
      </c>
      <c r="L28" s="290">
        <f>'Balin-B'!L28+'Sinta-B'!L28+'Kumai-B'!L28+'Lokal-B'!L28</f>
        <v>0</v>
      </c>
      <c r="M28" s="65"/>
    </row>
    <row r="29">
      <c r="A29" s="297"/>
      <c r="B29" s="280"/>
      <c r="C29" s="265"/>
      <c r="D29" s="266" t="s">
        <v>974</v>
      </c>
      <c r="E29" s="288">
        <f>'Balin-B'!E29+'Sinta-B'!E29+'Kumai-B'!E29+'Lokal-B'!E29</f>
        <v>0</v>
      </c>
      <c r="F29" s="290">
        <f>'Balin-B'!F29+'Sinta-B'!F29+'Kumai-B'!F29+'Lokal-B'!F29</f>
        <v>0</v>
      </c>
      <c r="G29" s="290">
        <f>'Balin-B'!G29+'Sinta-B'!G29+'Kumai-B'!G29+'Lokal-B'!G29</f>
        <v>0</v>
      </c>
      <c r="H29" s="290">
        <f>'Balin-B'!H29+'Sinta-B'!H29+'Kumai-B'!H29+'Lokal-B'!H29</f>
        <v>0</v>
      </c>
      <c r="I29" s="290">
        <f>'Balin-B'!I29+'Sinta-B'!I29+'Kumai-B'!I29+'Lokal-B'!I29</f>
        <v>0</v>
      </c>
      <c r="J29" s="290">
        <f>'Balin-B'!J29+'Sinta-B'!J29+'Kumai-B'!J29+'Lokal-B'!J29</f>
        <v>0</v>
      </c>
      <c r="K29" s="290">
        <f>'Balin-B'!K29+'Sinta-B'!K29+'Kumai-B'!K29+'Lokal-B'!K29</f>
        <v>0</v>
      </c>
      <c r="L29" s="290">
        <f>'Balin-B'!L29+'Sinta-B'!L29+'Kumai-B'!L29+'Lokal-B'!L29</f>
        <v>0</v>
      </c>
      <c r="M29" s="65"/>
    </row>
    <row r="30">
      <c r="A30" s="297"/>
      <c r="B30" s="280"/>
      <c r="C30" s="265"/>
      <c r="D30" s="266" t="s">
        <v>975</v>
      </c>
      <c r="E30" s="288">
        <f>'Balin-B'!E30+'Sinta-B'!E30+'Kumai-B'!E30+'Lokal-B'!E30</f>
        <v>0</v>
      </c>
      <c r="F30" s="290">
        <f>'Balin-B'!F30+'Sinta-B'!F30+'Kumai-B'!F30+'Lokal-B'!F30</f>
        <v>0</v>
      </c>
      <c r="G30" s="290">
        <f>'Balin-B'!G30+'Sinta-B'!G30+'Kumai-B'!G30+'Lokal-B'!G30</f>
        <v>0</v>
      </c>
      <c r="H30" s="290">
        <f>'Balin-B'!H30+'Sinta-B'!H30+'Kumai-B'!H30+'Lokal-B'!H30</f>
        <v>0</v>
      </c>
      <c r="I30" s="290">
        <f>'Balin-B'!I30+'Sinta-B'!I30+'Kumai-B'!I30+'Lokal-B'!I30</f>
        <v>0</v>
      </c>
      <c r="J30" s="290">
        <f>'Balin-B'!J30+'Sinta-B'!J30+'Kumai-B'!J30+'Lokal-B'!J30</f>
        <v>0</v>
      </c>
      <c r="K30" s="290">
        <f>'Balin-B'!K30+'Sinta-B'!K30+'Kumai-B'!K30+'Lokal-B'!K30</f>
        <v>0</v>
      </c>
      <c r="L30" s="290">
        <f>'Balin-B'!L30+'Sinta-B'!L30+'Kumai-B'!L30+'Lokal-B'!L30</f>
        <v>0</v>
      </c>
      <c r="M30" s="65"/>
    </row>
    <row r="31">
      <c r="A31" s="297"/>
      <c r="B31" s="280"/>
      <c r="C31" s="265"/>
      <c r="D31" s="266" t="s">
        <v>976</v>
      </c>
      <c r="E31" s="288">
        <f>'Balin-B'!E31+'Sinta-B'!E31+'Kumai-B'!E31+'Lokal-B'!E31</f>
        <v>0</v>
      </c>
      <c r="F31" s="290">
        <f>'Balin-B'!F31+'Sinta-B'!F31+'Kumai-B'!F31+'Lokal-B'!F31</f>
        <v>0</v>
      </c>
      <c r="G31" s="290">
        <f>'Balin-B'!G31+'Sinta-B'!G31+'Kumai-B'!G31+'Lokal-B'!G31</f>
        <v>0</v>
      </c>
      <c r="H31" s="290">
        <f>'Balin-B'!H31+'Sinta-B'!H31+'Kumai-B'!H31+'Lokal-B'!H31</f>
        <v>0</v>
      </c>
      <c r="I31" s="290">
        <f>'Balin-B'!I31+'Sinta-B'!I31+'Kumai-B'!I31+'Lokal-B'!I31</f>
        <v>0</v>
      </c>
      <c r="J31" s="290">
        <f>'Balin-B'!J31+'Sinta-B'!J31+'Kumai-B'!J31+'Lokal-B'!J31</f>
        <v>0</v>
      </c>
      <c r="K31" s="290">
        <f>'Balin-B'!K31+'Sinta-B'!K31+'Kumai-B'!K31+'Lokal-B'!K31</f>
        <v>0</v>
      </c>
      <c r="L31" s="290">
        <f>'Balin-B'!L31+'Sinta-B'!L31+'Kumai-B'!L31+'Lokal-B'!L31</f>
        <v>0</v>
      </c>
      <c r="M31" s="65"/>
    </row>
    <row r="32">
      <c r="A32" s="297"/>
      <c r="B32" s="280"/>
      <c r="C32" s="292" t="s">
        <v>964</v>
      </c>
      <c r="D32" s="266" t="s">
        <v>977</v>
      </c>
      <c r="E32" s="288">
        <f>'Balin-B'!E32+'Sinta-B'!E32+'Kumai-B'!E32+'Lokal-B'!E32</f>
        <v>0</v>
      </c>
      <c r="F32" s="290">
        <f>'Balin-B'!F32+'Sinta-B'!F32+'Kumai-B'!F32+'Lokal-B'!F32</f>
        <v>0</v>
      </c>
      <c r="G32" s="290">
        <f>'Balin-B'!G32+'Sinta-B'!G32+'Kumai-B'!G32+'Lokal-B'!G32</f>
        <v>0</v>
      </c>
      <c r="H32" s="290">
        <f>'Balin-B'!H32+'Sinta-B'!H32+'Kumai-B'!H32+'Lokal-B'!H32</f>
        <v>0</v>
      </c>
      <c r="I32" s="290">
        <f>'Balin-B'!I32+'Sinta-B'!I32+'Kumai-B'!I32+'Lokal-B'!I32</f>
        <v>0</v>
      </c>
      <c r="J32" s="290">
        <f>'Balin-B'!J32+'Sinta-B'!J32+'Kumai-B'!J32+'Lokal-B'!J32</f>
        <v>0</v>
      </c>
      <c r="K32" s="290">
        <f>'Balin-B'!K32+'Sinta-B'!K32+'Kumai-B'!K32+'Lokal-B'!K32</f>
        <v>0</v>
      </c>
      <c r="L32" s="290">
        <f>'Balin-B'!L32+'Sinta-B'!L32+'Kumai-B'!L32+'Lokal-B'!L32</f>
        <v>0</v>
      </c>
      <c r="M32" s="65"/>
    </row>
    <row r="33">
      <c r="A33" s="301"/>
      <c r="B33" s="301"/>
      <c r="C33" s="302"/>
      <c r="D33" s="271" t="s">
        <v>951</v>
      </c>
      <c r="E33" s="303">
        <f t="shared" ref="E33:L33" si="7">sum(E27:E32)</f>
        <v>0</v>
      </c>
      <c r="F33" s="304">
        <f t="shared" si="7"/>
        <v>0</v>
      </c>
      <c r="G33" s="304">
        <f t="shared" si="7"/>
        <v>0</v>
      </c>
      <c r="H33" s="304">
        <f t="shared" si="7"/>
        <v>0</v>
      </c>
      <c r="I33" s="304">
        <f t="shared" si="7"/>
        <v>0</v>
      </c>
      <c r="J33" s="304">
        <f t="shared" si="7"/>
        <v>0</v>
      </c>
      <c r="K33" s="304">
        <f t="shared" si="7"/>
        <v>0</v>
      </c>
      <c r="L33" s="304">
        <f t="shared" si="7"/>
        <v>0</v>
      </c>
      <c r="M33" s="305"/>
    </row>
    <row r="34">
      <c r="A34" s="297"/>
      <c r="B34" s="280"/>
      <c r="C34" s="307"/>
      <c r="D34" s="308" t="s">
        <v>961</v>
      </c>
      <c r="E34" s="288">
        <f>'Balin-B'!E34+'Sinta-B'!E34+'Kumai-B'!E34+'Lokal-B'!E34</f>
        <v>0</v>
      </c>
      <c r="F34" s="311">
        <f>'Balin-B'!F34+'Sinta-B'!F34+'Kumai-B'!F34+'Lokal-B'!F34</f>
        <v>0</v>
      </c>
      <c r="G34" s="311">
        <f>'Balin-B'!G34+'Sinta-B'!G34+'Kumai-B'!G34+'Lokal-B'!G34</f>
        <v>0</v>
      </c>
      <c r="H34" s="311">
        <f>'Balin-B'!H34+'Sinta-B'!H34+'Kumai-B'!H34+'Lokal-B'!H34</f>
        <v>0</v>
      </c>
      <c r="I34" s="311">
        <f>'Balin-B'!I34+'Sinta-B'!I34+'Kumai-B'!I34+'Lokal-B'!I34</f>
        <v>0</v>
      </c>
      <c r="J34" s="311">
        <f>'Balin-B'!J34+'Sinta-B'!J34+'Kumai-B'!J34+'Lokal-B'!J34</f>
        <v>0</v>
      </c>
      <c r="K34" s="311">
        <f>'Balin-B'!K34+'Sinta-B'!K34+'Kumai-B'!K34+'Lokal-B'!K34</f>
        <v>0</v>
      </c>
      <c r="L34" s="311">
        <f>'Balin-B'!L34+'Sinta-B'!L34+'Kumai-B'!L34+'Lokal-B'!L34</f>
        <v>0</v>
      </c>
      <c r="M34" s="65"/>
    </row>
    <row r="35">
      <c r="A35" s="297"/>
      <c r="B35" s="280"/>
      <c r="C35" s="312" t="s">
        <v>962</v>
      </c>
      <c r="D35" s="313" t="s">
        <v>963</v>
      </c>
      <c r="E35" s="288">
        <f>'Balin-B'!E35+'Sinta-B'!E35+'Kumai-B'!E35+'Lokal-B'!E35</f>
        <v>0</v>
      </c>
      <c r="F35" s="314">
        <f>'Balin-B'!F35+'Sinta-B'!F35+'Kumai-B'!F35+'Lokal-B'!F35</f>
        <v>0</v>
      </c>
      <c r="G35" s="314">
        <f>'Balin-B'!G35+'Sinta-B'!G35+'Kumai-B'!G35+'Lokal-B'!G35</f>
        <v>0</v>
      </c>
      <c r="H35" s="314">
        <f>'Balin-B'!H35+'Sinta-B'!H35+'Kumai-B'!H35+'Lokal-B'!H35</f>
        <v>0</v>
      </c>
      <c r="I35" s="314">
        <f>'Balin-B'!I35+'Sinta-B'!I35+'Kumai-B'!I35+'Lokal-B'!I35</f>
        <v>0</v>
      </c>
      <c r="J35" s="314">
        <f>'Balin-B'!J35+'Sinta-B'!J35+'Kumai-B'!J35+'Lokal-B'!J35</f>
        <v>0</v>
      </c>
      <c r="K35" s="314">
        <f>'Balin-B'!K35+'Sinta-B'!K35+'Kumai-B'!K35+'Lokal-B'!K35</f>
        <v>0</v>
      </c>
      <c r="L35" s="314">
        <f>'Balin-B'!L35+'Sinta-B'!L35+'Kumai-B'!L35+'Lokal-B'!L35</f>
        <v>0</v>
      </c>
      <c r="M35" s="65"/>
    </row>
    <row r="36">
      <c r="A36" s="297"/>
      <c r="B36" s="280"/>
      <c r="C36" s="292" t="s">
        <v>964</v>
      </c>
      <c r="D36" s="316" t="s">
        <v>965</v>
      </c>
      <c r="E36" s="288">
        <f>'Balin-B'!E36+'Sinta-B'!E36+'Kumai-B'!E36+'Lokal-B'!E36</f>
        <v>0</v>
      </c>
      <c r="F36" s="290">
        <f>'Balin-B'!F36+'Sinta-B'!F36+'Kumai-B'!F36+'Lokal-B'!F36</f>
        <v>0</v>
      </c>
      <c r="G36" s="290">
        <f>'Balin-B'!G36+'Sinta-B'!G36+'Kumai-B'!G36+'Lokal-B'!G36</f>
        <v>0</v>
      </c>
      <c r="H36" s="290">
        <f>'Balin-B'!H36+'Sinta-B'!H36+'Kumai-B'!H36+'Lokal-B'!H36</f>
        <v>0</v>
      </c>
      <c r="I36" s="290">
        <f>'Balin-B'!I36+'Sinta-B'!I36+'Kumai-B'!I36+'Lokal-B'!I36</f>
        <v>0</v>
      </c>
      <c r="J36" s="290">
        <f>'Balin-B'!J36+'Sinta-B'!J36+'Kumai-B'!J36+'Lokal-B'!J36</f>
        <v>0</v>
      </c>
      <c r="K36" s="290">
        <f>'Balin-B'!K36+'Sinta-B'!K36+'Kumai-B'!K36+'Lokal-B'!K36</f>
        <v>0</v>
      </c>
      <c r="L36" s="290">
        <f>'Balin-B'!L36+'Sinta-B'!L36+'Kumai-B'!L36+'Lokal-B'!L36</f>
        <v>0</v>
      </c>
      <c r="M36" s="65"/>
    </row>
    <row r="37">
      <c r="A37" s="301"/>
      <c r="B37" s="301"/>
      <c r="C37" s="302"/>
      <c r="D37" s="271" t="s">
        <v>978</v>
      </c>
      <c r="E37" s="303">
        <f t="shared" ref="E37:L37" si="8">sum(E34:E36)</f>
        <v>0</v>
      </c>
      <c r="F37" s="304">
        <f t="shared" si="8"/>
        <v>0</v>
      </c>
      <c r="G37" s="304">
        <f t="shared" si="8"/>
        <v>0</v>
      </c>
      <c r="H37" s="304">
        <f t="shared" si="8"/>
        <v>0</v>
      </c>
      <c r="I37" s="304">
        <f t="shared" si="8"/>
        <v>0</v>
      </c>
      <c r="J37" s="304">
        <f t="shared" si="8"/>
        <v>0</v>
      </c>
      <c r="K37" s="304">
        <f t="shared" si="8"/>
        <v>0</v>
      </c>
      <c r="L37" s="304">
        <f t="shared" si="8"/>
        <v>0</v>
      </c>
      <c r="M37" s="305"/>
    </row>
    <row r="38">
      <c r="A38" s="274"/>
      <c r="B38" s="274"/>
      <c r="C38" s="253" t="s">
        <v>979</v>
      </c>
      <c r="D38" s="161"/>
      <c r="E38" s="319" t="s">
        <v>980</v>
      </c>
      <c r="F38" s="258"/>
      <c r="G38" s="258"/>
      <c r="H38" s="259"/>
      <c r="I38" s="320" t="s">
        <v>980</v>
      </c>
      <c r="J38" s="258"/>
      <c r="K38" s="258"/>
      <c r="L38" s="259"/>
      <c r="M38" s="65"/>
    </row>
    <row r="39">
      <c r="A39" s="274"/>
      <c r="B39" s="274"/>
      <c r="C39" s="157"/>
      <c r="D39" s="158"/>
      <c r="E39" s="319" t="s">
        <v>724</v>
      </c>
      <c r="F39" s="258"/>
      <c r="G39" s="258"/>
      <c r="H39" s="259"/>
      <c r="I39" s="320" t="s">
        <v>953</v>
      </c>
      <c r="J39" s="258"/>
      <c r="K39" s="258"/>
      <c r="L39" s="259"/>
      <c r="M39" s="65"/>
    </row>
    <row r="40">
      <c r="A40" s="274"/>
      <c r="B40" s="274"/>
      <c r="C40" s="172"/>
      <c r="D40" s="173"/>
      <c r="E40" s="321" t="str">
        <f t="shared" ref="E40:L40" si="9">E10</f>
        <v>Real Tahun Lalu</v>
      </c>
      <c r="F40" s="279" t="str">
        <f t="shared" si="9"/>
        <v>Real Tahun Ini</v>
      </c>
      <c r="G40" s="322" t="str">
        <f t="shared" si="9"/>
        <v>RKO TW</v>
      </c>
      <c r="H40" s="322" t="str">
        <f t="shared" si="9"/>
        <v>RKAP</v>
      </c>
      <c r="I40" s="279" t="str">
        <f t="shared" si="9"/>
        <v>Real Tahun Lalu</v>
      </c>
      <c r="J40" s="279" t="str">
        <f t="shared" si="9"/>
        <v>Real Tahun Ini</v>
      </c>
      <c r="K40" s="279" t="str">
        <f t="shared" si="9"/>
        <v>RKO TW</v>
      </c>
      <c r="L40" s="279" t="str">
        <f t="shared" si="9"/>
        <v>RKAP</v>
      </c>
      <c r="M40" s="65"/>
    </row>
    <row r="41">
      <c r="A41" s="297"/>
      <c r="B41" s="280"/>
      <c r="C41" s="323" t="s">
        <v>981</v>
      </c>
      <c r="D41" s="324" t="s">
        <v>982</v>
      </c>
      <c r="E41" s="325">
        <f>'Balin-B'!E41+'Sinta-B'!E41+'Kumai-B'!E41+'Lokal-B'!E41</f>
        <v>84240425</v>
      </c>
      <c r="F41" s="326">
        <f>'Balin-B'!F41+'Sinta-B'!F41+'Kumai-B'!F41+'Lokal-B'!F41</f>
        <v>129980713</v>
      </c>
      <c r="G41" s="326">
        <f>'Balin-B'!G41+'Sinta-B'!G41+'Kumai-B'!G41+'Lokal-B'!G41</f>
        <v>65272351</v>
      </c>
      <c r="H41" s="326">
        <f>'Balin-B'!H41+'Sinta-B'!H41+'Kumai-B'!H41+'Lokal-B'!H41</f>
        <v>65272351</v>
      </c>
      <c r="I41" s="325">
        <f>'Balin-B'!I41+'Sinta-B'!I41+'Kumai-B'!I41+'Lokal-B'!I41</f>
        <v>425634669</v>
      </c>
      <c r="J41" s="326">
        <f>'Balin-B'!J41+'Sinta-B'!J41+'Kumai-B'!J41+'Lokal-B'!J41</f>
        <v>564538454</v>
      </c>
      <c r="K41" s="326">
        <f>'Balin-B'!K41+'Sinta-B'!K41+'Kumai-B'!K41+'Lokal-B'!K41</f>
        <v>332113312</v>
      </c>
      <c r="L41" s="326">
        <f>'Balin-B'!L41+'Sinta-B'!L41+'Kumai-B'!L41+'Lokal-B'!L41</f>
        <v>332113312</v>
      </c>
      <c r="M41" s="65"/>
    </row>
    <row r="42">
      <c r="A42" s="297"/>
      <c r="B42" s="280"/>
      <c r="C42" s="329" t="s">
        <v>981</v>
      </c>
      <c r="D42" s="266" t="s">
        <v>983</v>
      </c>
      <c r="E42" s="330">
        <f>'Balin-B'!E42+'Sinta-B'!E42+'Kumai-B'!E42+'Lokal-B'!E42</f>
        <v>77234947</v>
      </c>
      <c r="F42" s="331">
        <f>'Balin-B'!F42+'Sinta-B'!F42+'Kumai-B'!F42+'Lokal-B'!F42</f>
        <v>116798639</v>
      </c>
      <c r="G42" s="331">
        <f>'Balin-B'!G42+'Sinta-B'!G42+'Kumai-B'!G42+'Lokal-B'!G42</f>
        <v>78299136</v>
      </c>
      <c r="H42" s="331">
        <f>'Balin-B'!H42+'Sinta-B'!H42+'Kumai-B'!H42+'Lokal-B'!H42</f>
        <v>78299136</v>
      </c>
      <c r="I42" s="330">
        <f>'Balin-B'!I42+'Sinta-B'!I42+'Kumai-B'!I42+'Lokal-B'!I42</f>
        <v>506034067</v>
      </c>
      <c r="J42" s="331">
        <f>'Balin-B'!J42+'Sinta-B'!J42+'Kumai-B'!J42+'Lokal-B'!J42</f>
        <v>450137844</v>
      </c>
      <c r="K42" s="331">
        <f>'Balin-B'!K42+'Sinta-B'!K42+'Kumai-B'!K42+'Lokal-B'!K42</f>
        <v>479888392</v>
      </c>
      <c r="L42" s="331">
        <f>'Balin-B'!L42+'Sinta-B'!L42+'Kumai-B'!L42+'Lokal-B'!L42</f>
        <v>479888392</v>
      </c>
      <c r="M42" s="65"/>
    </row>
    <row r="43">
      <c r="A43" s="297"/>
      <c r="B43" s="280"/>
      <c r="C43" s="329" t="s">
        <v>981</v>
      </c>
      <c r="D43" s="266" t="s">
        <v>984</v>
      </c>
      <c r="E43" s="330">
        <f>'Balin-B'!E43+'Sinta-B'!E43+'Kumai-B'!E43+'Lokal-B'!E43</f>
        <v>0</v>
      </c>
      <c r="F43" s="331">
        <f>'Balin-B'!F43+'Sinta-B'!F43+'Kumai-B'!F43+'Lokal-B'!F43</f>
        <v>0</v>
      </c>
      <c r="G43" s="331">
        <f>'Balin-B'!G43+'Sinta-B'!G43+'Kumai-B'!G43+'Lokal-B'!G43</f>
        <v>0</v>
      </c>
      <c r="H43" s="331">
        <f>'Balin-B'!H43+'Sinta-B'!H43+'Kumai-B'!H43+'Lokal-B'!H43</f>
        <v>0</v>
      </c>
      <c r="I43" s="330">
        <f>'Balin-B'!I43+'Sinta-B'!I43+'Kumai-B'!I43+'Lokal-B'!I43</f>
        <v>0</v>
      </c>
      <c r="J43" s="331">
        <f>'Balin-B'!J43+'Sinta-B'!J43+'Kumai-B'!J43+'Lokal-B'!J43</f>
        <v>0</v>
      </c>
      <c r="K43" s="331">
        <f>'Balin-B'!K43+'Sinta-B'!K43+'Kumai-B'!K43+'Lokal-B'!K43</f>
        <v>0</v>
      </c>
      <c r="L43" s="331">
        <f>'Balin-B'!L43+'Sinta-B'!L43+'Kumai-B'!L43+'Lokal-B'!L43</f>
        <v>0</v>
      </c>
      <c r="M43" s="65"/>
    </row>
    <row r="44">
      <c r="A44" s="297"/>
      <c r="B44" s="280"/>
      <c r="C44" s="329" t="s">
        <v>981</v>
      </c>
      <c r="D44" s="266" t="s">
        <v>654</v>
      </c>
      <c r="E44" s="330">
        <f>'Balin-B'!E44+'Sinta-B'!E44+'Kumai-B'!E44+'Lokal-B'!E44</f>
        <v>726012965</v>
      </c>
      <c r="F44" s="331">
        <f>'Balin-B'!F44+'Sinta-B'!F44+'Kumai-B'!F44+'Lokal-B'!F44</f>
        <v>475503957</v>
      </c>
      <c r="G44" s="331">
        <f>'Balin-B'!G44+'Sinta-B'!G44+'Kumai-B'!G44+'Lokal-B'!G44</f>
        <v>620015439</v>
      </c>
      <c r="H44" s="331">
        <f>'Balin-B'!H44+'Sinta-B'!H44+'Kumai-B'!H44+'Lokal-B'!H44</f>
        <v>620015439</v>
      </c>
      <c r="I44" s="330">
        <f>'Balin-B'!I44+'Sinta-B'!I44+'Kumai-B'!I44+'Lokal-B'!I44</f>
        <v>3514697756</v>
      </c>
      <c r="J44" s="331">
        <f>'Balin-B'!J44+'Sinta-B'!J44+'Kumai-B'!J44+'Lokal-B'!J44</f>
        <v>2548465904</v>
      </c>
      <c r="K44" s="331">
        <f>'Balin-B'!K44+'Sinta-B'!K44+'Kumai-B'!K44+'Lokal-B'!K44</f>
        <v>3554727171</v>
      </c>
      <c r="L44" s="331">
        <f>'Balin-B'!L44+'Sinta-B'!L44+'Kumai-B'!L44+'Lokal-B'!L44</f>
        <v>3554727171</v>
      </c>
      <c r="M44" s="65"/>
    </row>
    <row r="45">
      <c r="A45" s="297"/>
      <c r="B45" s="280"/>
      <c r="C45" s="329" t="s">
        <v>981</v>
      </c>
      <c r="D45" s="266" t="s">
        <v>985</v>
      </c>
      <c r="E45" s="330">
        <f>'Balin-B'!E45+'Sinta-B'!E45+'Kumai-B'!E45+'Lokal-B'!E45</f>
        <v>34722647</v>
      </c>
      <c r="F45" s="331">
        <f>'Balin-B'!F45+'Sinta-B'!F45+'Kumai-B'!F45+'Lokal-B'!F45</f>
        <v>46580653</v>
      </c>
      <c r="G45" s="331">
        <f>'Balin-B'!G45+'Sinta-B'!G45+'Kumai-B'!G45+'Lokal-B'!G45</f>
        <v>41457711</v>
      </c>
      <c r="H45" s="331">
        <f>'Balin-B'!H45+'Sinta-B'!H45+'Kumai-B'!H45+'Lokal-B'!H45</f>
        <v>41457711</v>
      </c>
      <c r="I45" s="330">
        <f>'Balin-B'!I45+'Sinta-B'!I45+'Kumai-B'!I45+'Lokal-B'!I45</f>
        <v>195405586</v>
      </c>
      <c r="J45" s="331">
        <f>'Balin-B'!J45+'Sinta-B'!J45+'Kumai-B'!J45+'Lokal-B'!J45</f>
        <v>235310980</v>
      </c>
      <c r="K45" s="331">
        <f>'Balin-B'!K45+'Sinta-B'!K45+'Kumai-B'!K45+'Lokal-B'!K45</f>
        <v>254930812</v>
      </c>
      <c r="L45" s="331">
        <f>'Balin-B'!L45+'Sinta-B'!L45+'Kumai-B'!L45+'Lokal-B'!L45</f>
        <v>254930812</v>
      </c>
      <c r="M45" s="65"/>
    </row>
    <row r="46">
      <c r="A46" s="301"/>
      <c r="B46" s="301"/>
      <c r="C46" s="294"/>
      <c r="D46" s="271" t="s">
        <v>986</v>
      </c>
      <c r="E46" s="334">
        <f t="shared" ref="E46:L46" si="10">sum(E41:E45)</f>
        <v>922210984</v>
      </c>
      <c r="F46" s="304">
        <f t="shared" si="10"/>
        <v>768863962</v>
      </c>
      <c r="G46" s="304">
        <f t="shared" si="10"/>
        <v>805044637</v>
      </c>
      <c r="H46" s="304">
        <f t="shared" si="10"/>
        <v>805044637</v>
      </c>
      <c r="I46" s="334">
        <f t="shared" si="10"/>
        <v>4641772078</v>
      </c>
      <c r="J46" s="304">
        <f t="shared" si="10"/>
        <v>3798453182</v>
      </c>
      <c r="K46" s="304">
        <f t="shared" si="10"/>
        <v>4621659687</v>
      </c>
      <c r="L46" s="304">
        <f t="shared" si="10"/>
        <v>4621659687</v>
      </c>
      <c r="M46" s="305"/>
    </row>
    <row r="47">
      <c r="A47" s="297"/>
      <c r="B47" s="280"/>
      <c r="C47" s="329" t="s">
        <v>981</v>
      </c>
      <c r="D47" s="335" t="s">
        <v>987</v>
      </c>
      <c r="E47" s="330">
        <f>'Balin-B'!E47+'Sinta-B'!E47+'Kumai-B'!E47+'Lokal-B'!E47</f>
        <v>356034680</v>
      </c>
      <c r="F47" s="331">
        <f>'Balin-B'!F47+'Sinta-B'!F47+'Kumai-B'!F47+'Lokal-B'!F47</f>
        <v>485079757</v>
      </c>
      <c r="G47" s="331">
        <f>'Balin-B'!G47+'Sinta-B'!G47+'Kumai-B'!G47+'Lokal-B'!G47</f>
        <v>342049000</v>
      </c>
      <c r="H47" s="331">
        <f>'Balin-B'!H47+'Sinta-B'!H47+'Kumai-B'!H47+'Lokal-B'!H47</f>
        <v>342048189</v>
      </c>
      <c r="I47" s="330">
        <f>'Balin-B'!I47+'Sinta-B'!I47+'Kumai-B'!I47+'Lokal-B'!I47</f>
        <v>1921748006</v>
      </c>
      <c r="J47" s="331">
        <f>'Balin-B'!J47+'Sinta-B'!J47+'Kumai-B'!J47+'Lokal-B'!J47</f>
        <v>2102935159</v>
      </c>
      <c r="K47" s="331">
        <f>'Balin-B'!K47+'Sinta-B'!K47+'Kumai-B'!K47+'Lokal-B'!K47</f>
        <v>1768453000</v>
      </c>
      <c r="L47" s="331">
        <f>'Balin-B'!L47+'Sinta-B'!L47+'Kumai-B'!L47+'Lokal-B'!L47</f>
        <v>1768452450</v>
      </c>
      <c r="M47" s="65"/>
    </row>
    <row r="48">
      <c r="A48" s="301"/>
      <c r="B48" s="301"/>
      <c r="C48" s="294"/>
      <c r="D48" s="271" t="s">
        <v>988</v>
      </c>
      <c r="E48" s="334">
        <f t="shared" ref="E48:L48" si="11">E46+E47</f>
        <v>1278245664</v>
      </c>
      <c r="F48" s="304">
        <f t="shared" si="11"/>
        <v>1253943719</v>
      </c>
      <c r="G48" s="304">
        <f t="shared" si="11"/>
        <v>1147093637</v>
      </c>
      <c r="H48" s="304">
        <f t="shared" si="11"/>
        <v>1147092826</v>
      </c>
      <c r="I48" s="334">
        <f t="shared" si="11"/>
        <v>6563520084</v>
      </c>
      <c r="J48" s="304">
        <f t="shared" si="11"/>
        <v>5901388341</v>
      </c>
      <c r="K48" s="304">
        <f t="shared" si="11"/>
        <v>6390112687</v>
      </c>
      <c r="L48" s="304">
        <f t="shared" si="11"/>
        <v>6390112137</v>
      </c>
      <c r="M48" s="305"/>
    </row>
    <row r="49">
      <c r="A49" s="297"/>
      <c r="B49" s="336"/>
      <c r="C49" s="329" t="s">
        <v>981</v>
      </c>
      <c r="D49" s="266" t="s">
        <v>989</v>
      </c>
      <c r="E49" s="330">
        <f>'Balin-B'!E49+'Sinta-B'!E49+'Kumai-B'!E49+'Lokal-B'!E49</f>
        <v>0</v>
      </c>
      <c r="F49" s="288">
        <f>'Balin-B'!F49+'Sinta-B'!F49+'Kumai-B'!F49+'Lokal-B'!F49</f>
        <v>0</v>
      </c>
      <c r="G49" s="288">
        <f>'Balin-B'!G49+'Sinta-B'!G49+'Kumai-B'!G49+'Lokal-B'!G49</f>
        <v>0</v>
      </c>
      <c r="H49" s="288">
        <f>'Balin-B'!H49+'Sinta-B'!H49+'Kumai-B'!H49+'Lokal-B'!H49</f>
        <v>0</v>
      </c>
      <c r="I49" s="325">
        <f>'Balin-B'!I49+'Sinta-B'!I49+'Kumai-B'!I49+'Lokal-B'!I49</f>
        <v>0</v>
      </c>
      <c r="J49" s="331">
        <f>'Balin-B'!J49+'Sinta-B'!J49+'Kumai-B'!J49+'Lokal-B'!J49</f>
        <v>0</v>
      </c>
      <c r="K49" s="331">
        <f>'Balin-B'!K49+'Sinta-B'!K49+'Kumai-B'!K49+'Lokal-B'!K49</f>
        <v>0</v>
      </c>
      <c r="L49" s="331">
        <f>'Balin-B'!L49+'Sinta-B'!L49+'Kumai-B'!L49+'Lokal-B'!L49</f>
        <v>0</v>
      </c>
      <c r="M49" s="65"/>
    </row>
    <row r="50">
      <c r="A50" s="297"/>
      <c r="B50" s="336"/>
      <c r="C50" s="329" t="s">
        <v>981</v>
      </c>
      <c r="D50" s="266" t="s">
        <v>990</v>
      </c>
      <c r="E50" s="330">
        <f>'Balin-B'!E50+'Sinta-B'!E50+'Kumai-B'!E50+'Lokal-B'!E50</f>
        <v>0</v>
      </c>
      <c r="F50" s="288">
        <f>'Balin-B'!F50+'Sinta-B'!F50+'Kumai-B'!F50+'Lokal-B'!F50</f>
        <v>0</v>
      </c>
      <c r="G50" s="288">
        <f>'Balin-B'!G50+'Sinta-B'!G50+'Kumai-B'!G50+'Lokal-B'!G50</f>
        <v>0</v>
      </c>
      <c r="H50" s="288">
        <f>'Balin-B'!H50+'Sinta-B'!H50+'Kumai-B'!H50+'Lokal-B'!H50</f>
        <v>0</v>
      </c>
      <c r="I50" s="330">
        <f>'Balin-B'!I50+'Sinta-B'!I50+'Kumai-B'!I50+'Lokal-B'!I50</f>
        <v>0</v>
      </c>
      <c r="J50" s="331">
        <f>'Balin-B'!J50+'Sinta-B'!J50+'Kumai-B'!J50+'Lokal-B'!J50</f>
        <v>0</v>
      </c>
      <c r="K50" s="331">
        <f>'Balin-B'!K50+'Sinta-B'!K50+'Kumai-B'!K50+'Lokal-B'!K50</f>
        <v>0</v>
      </c>
      <c r="L50" s="331">
        <f>'Balin-B'!L50+'Sinta-B'!L50+'Kumai-B'!L50+'Lokal-B'!L50</f>
        <v>0</v>
      </c>
      <c r="M50" s="65"/>
    </row>
    <row r="51">
      <c r="A51" s="301"/>
      <c r="B51" s="301"/>
      <c r="C51" s="294"/>
      <c r="D51" s="271" t="s">
        <v>991</v>
      </c>
      <c r="E51" s="334">
        <f t="shared" ref="E51:L51" si="12">sum(E49:E50)</f>
        <v>0</v>
      </c>
      <c r="F51" s="304">
        <f t="shared" si="12"/>
        <v>0</v>
      </c>
      <c r="G51" s="304">
        <f t="shared" si="12"/>
        <v>0</v>
      </c>
      <c r="H51" s="304">
        <f t="shared" si="12"/>
        <v>0</v>
      </c>
      <c r="I51" s="334">
        <f t="shared" si="12"/>
        <v>0</v>
      </c>
      <c r="J51" s="304">
        <f t="shared" si="12"/>
        <v>0</v>
      </c>
      <c r="K51" s="304">
        <f t="shared" si="12"/>
        <v>0</v>
      </c>
      <c r="L51" s="304">
        <f t="shared" si="12"/>
        <v>0</v>
      </c>
      <c r="M51" s="305"/>
    </row>
    <row r="52">
      <c r="A52" s="297"/>
      <c r="B52" s="280"/>
      <c r="C52" s="329" t="s">
        <v>981</v>
      </c>
      <c r="D52" s="261" t="s">
        <v>992</v>
      </c>
      <c r="E52" s="330">
        <f>'Balin-B'!E52+'Sinta-B'!E52+'Kumai-B'!E52+'Lokal-B'!E52</f>
        <v>469630610</v>
      </c>
      <c r="F52" s="331">
        <f>'Balin-B'!F52+'Sinta-B'!F52+'Kumai-B'!F52+'Lokal-B'!F52</f>
        <v>443398538</v>
      </c>
      <c r="G52" s="331">
        <f>'Balin-B'!G52+'Sinta-B'!G52+'Kumai-B'!G52+'Lokal-B'!G52</f>
        <v>297534503</v>
      </c>
      <c r="H52" s="331">
        <f>'Balin-B'!H52+'Sinta-B'!H52+'Kumai-B'!H52+'Lokal-B'!H52</f>
        <v>297534000</v>
      </c>
      <c r="I52" s="325">
        <f>'Balin-B'!I52+'Sinta-B'!I52+'Kumai-B'!I52+'Lokal-B'!I52</f>
        <v>2348153027</v>
      </c>
      <c r="J52" s="331">
        <f>'Balin-B'!J52+'Sinta-B'!J52+'Kumai-B'!J52+'Lokal-B'!J52</f>
        <v>2148668462</v>
      </c>
      <c r="K52" s="331">
        <f>'Balin-B'!K52+'Sinta-B'!K52+'Kumai-B'!K52+'Lokal-B'!K52</f>
        <v>1487672515</v>
      </c>
      <c r="L52" s="331">
        <f>'Balin-B'!L52+'Sinta-B'!L52+'Kumai-B'!L52+'Lokal-B'!L52</f>
        <v>1487670000</v>
      </c>
      <c r="M52" s="65"/>
    </row>
    <row r="53">
      <c r="A53" s="297"/>
      <c r="B53" s="280"/>
      <c r="C53" s="329" t="s">
        <v>981</v>
      </c>
      <c r="D53" s="266" t="s">
        <v>993</v>
      </c>
      <c r="E53" s="330">
        <f>'Balin-B'!E53+'Sinta-B'!E53+'Kumai-B'!E53+'Lokal-B'!E53</f>
        <v>0</v>
      </c>
      <c r="F53" s="288">
        <f>'Balin-B'!F53+'Sinta-B'!F53+'Kumai-B'!F53+'Lokal-B'!F53</f>
        <v>0</v>
      </c>
      <c r="G53" s="288">
        <f>'Balin-B'!G53+'Sinta-B'!G53+'Kumai-B'!G53+'Lokal-B'!G53</f>
        <v>0</v>
      </c>
      <c r="H53" s="288">
        <f>'Balin-B'!H53+'Sinta-B'!H53+'Kumai-B'!H53+'Lokal-B'!H53</f>
        <v>0</v>
      </c>
      <c r="I53" s="330">
        <f>'Balin-B'!I53+'Sinta-B'!I53+'Kumai-B'!I53+'Lokal-B'!I53</f>
        <v>0</v>
      </c>
      <c r="J53" s="331">
        <f>'Balin-B'!J53+'Sinta-B'!J53+'Kumai-B'!J53+'Lokal-B'!J53</f>
        <v>0</v>
      </c>
      <c r="K53" s="331">
        <f>'Balin-B'!K53+'Sinta-B'!K53+'Kumai-B'!K53+'Lokal-B'!K53</f>
        <v>0</v>
      </c>
      <c r="L53" s="331">
        <f>'Balin-B'!L53+'Sinta-B'!L53+'Kumai-B'!L53+'Lokal-B'!L53</f>
        <v>0</v>
      </c>
      <c r="M53" s="65"/>
    </row>
    <row r="54">
      <c r="A54" s="337"/>
      <c r="B54" s="337"/>
      <c r="C54" s="338"/>
      <c r="D54" s="271" t="s">
        <v>994</v>
      </c>
      <c r="E54" s="334">
        <f t="shared" ref="E54:L54" si="13">sum(E52:E53)</f>
        <v>469630610</v>
      </c>
      <c r="F54" s="304">
        <f t="shared" si="13"/>
        <v>443398538</v>
      </c>
      <c r="G54" s="304">
        <f t="shared" si="13"/>
        <v>297534503</v>
      </c>
      <c r="H54" s="304">
        <f t="shared" si="13"/>
        <v>297534000</v>
      </c>
      <c r="I54" s="334">
        <f t="shared" si="13"/>
        <v>2348153027</v>
      </c>
      <c r="J54" s="304">
        <f t="shared" si="13"/>
        <v>2148668462</v>
      </c>
      <c r="K54" s="304">
        <f t="shared" si="13"/>
        <v>1487672515</v>
      </c>
      <c r="L54" s="304">
        <f t="shared" si="13"/>
        <v>1487670000</v>
      </c>
      <c r="M54" s="305"/>
    </row>
    <row r="55">
      <c r="A55" s="337"/>
      <c r="B55" s="337"/>
      <c r="C55" s="338"/>
      <c r="D55" s="271" t="s">
        <v>995</v>
      </c>
      <c r="E55" s="334">
        <f t="shared" ref="E55:L55" si="14">E48+E51+E54</f>
        <v>1747876274</v>
      </c>
      <c r="F55" s="304">
        <f t="shared" si="14"/>
        <v>1697342257</v>
      </c>
      <c r="G55" s="304">
        <f t="shared" si="14"/>
        <v>1444628140</v>
      </c>
      <c r="H55" s="304">
        <f t="shared" si="14"/>
        <v>1444626826</v>
      </c>
      <c r="I55" s="334">
        <f t="shared" si="14"/>
        <v>8911673111</v>
      </c>
      <c r="J55" s="304">
        <f t="shared" si="14"/>
        <v>8050056803</v>
      </c>
      <c r="K55" s="304">
        <f t="shared" si="14"/>
        <v>7877785202</v>
      </c>
      <c r="L55" s="304">
        <f t="shared" si="14"/>
        <v>7877782137</v>
      </c>
      <c r="M55" s="305"/>
    </row>
    <row r="56">
      <c r="A56" s="297"/>
      <c r="B56" s="280"/>
      <c r="C56" s="339" t="s">
        <v>962</v>
      </c>
      <c r="D56" s="340" t="s">
        <v>996</v>
      </c>
      <c r="E56" s="330">
        <f>'Balin-B'!E56+'Sinta-B'!E56+'Kumai-B'!E56+'Lokal-B'!E56</f>
        <v>0</v>
      </c>
      <c r="F56" s="333">
        <f>'Balin-B'!F56+'Sinta-B'!F56+'Kumai-B'!F56+'Lokal-B'!F56</f>
        <v>0</v>
      </c>
      <c r="G56" s="333">
        <f>'Balin-B'!G56+'Sinta-B'!G56+'Kumai-B'!G56+'Lokal-B'!G56</f>
        <v>0</v>
      </c>
      <c r="H56" s="333">
        <f>'Balin-B'!H56+'Sinta-B'!H56+'Kumai-B'!H56+'Lokal-B'!H56</f>
        <v>0</v>
      </c>
      <c r="I56" s="325">
        <f>'Balin-B'!I56+'Sinta-B'!I56+'Kumai-B'!I56+'Lokal-B'!I56</f>
        <v>0</v>
      </c>
      <c r="J56" s="331">
        <f>'Balin-B'!J56+'Sinta-B'!J56+'Kumai-B'!J56+'Lokal-B'!J56</f>
        <v>0</v>
      </c>
      <c r="K56" s="331">
        <f>'Balin-B'!K56+'Sinta-B'!K56+'Kumai-B'!K56+'Lokal-B'!K56</f>
        <v>0</v>
      </c>
      <c r="L56" s="331">
        <f>'Balin-B'!L56+'Sinta-B'!L56+'Kumai-B'!L56+'Lokal-B'!L56</f>
        <v>0</v>
      </c>
      <c r="M56" s="65"/>
    </row>
    <row r="57">
      <c r="A57" s="297"/>
      <c r="B57" s="280"/>
      <c r="C57" s="339" t="s">
        <v>964</v>
      </c>
      <c r="D57" s="340" t="s">
        <v>997</v>
      </c>
      <c r="E57" s="330">
        <f>'Balin-B'!E57+'Sinta-B'!E57+'Kumai-B'!E57+'Lokal-B'!E57</f>
        <v>0</v>
      </c>
      <c r="F57" s="333">
        <f>'Balin-B'!F57+'Sinta-B'!F57+'Kumai-B'!F57+'Lokal-B'!F57</f>
        <v>0</v>
      </c>
      <c r="G57" s="333">
        <f>'Balin-B'!G57+'Sinta-B'!G57+'Kumai-B'!G57+'Lokal-B'!G57</f>
        <v>0</v>
      </c>
      <c r="H57" s="333">
        <f>'Balin-B'!H57+'Sinta-B'!H57+'Kumai-B'!H57+'Lokal-B'!H57</f>
        <v>0</v>
      </c>
      <c r="I57" s="330">
        <f>'Balin-B'!I57+'Sinta-B'!I57+'Kumai-B'!I57+'Lokal-B'!I57</f>
        <v>0</v>
      </c>
      <c r="J57" s="331">
        <f>'Balin-B'!J57+'Sinta-B'!J57+'Kumai-B'!J57+'Lokal-B'!J57</f>
        <v>0</v>
      </c>
      <c r="K57" s="331">
        <f>'Balin-B'!K57+'Sinta-B'!K57+'Kumai-B'!K57+'Lokal-B'!K57</f>
        <v>0</v>
      </c>
      <c r="L57" s="331">
        <f>'Balin-B'!L57+'Sinta-B'!L57+'Kumai-B'!L57+'Lokal-B'!L57</f>
        <v>0</v>
      </c>
      <c r="M57" s="65"/>
    </row>
    <row r="58">
      <c r="A58" s="297"/>
      <c r="B58" s="280"/>
      <c r="C58" s="265"/>
      <c r="D58" s="341" t="s">
        <v>998</v>
      </c>
      <c r="E58" s="330">
        <f>'Balin-B'!E58+'Sinta-B'!E58+'Kumai-B'!E58+'Lokal-B'!E58</f>
        <v>0</v>
      </c>
      <c r="F58" s="333">
        <f>'Balin-B'!F58+'Sinta-B'!F58+'Kumai-B'!F58+'Lokal-B'!F58</f>
        <v>0</v>
      </c>
      <c r="G58" s="333">
        <f>'Balin-B'!G58+'Sinta-B'!G58+'Kumai-B'!G58+'Lokal-B'!G58</f>
        <v>0</v>
      </c>
      <c r="H58" s="333">
        <f>'Balin-B'!H58+'Sinta-B'!H58+'Kumai-B'!H58+'Lokal-B'!H58</f>
        <v>0</v>
      </c>
      <c r="I58" s="330">
        <f>'Balin-B'!I58+'Sinta-B'!I58+'Kumai-B'!I58+'Lokal-B'!I58</f>
        <v>0</v>
      </c>
      <c r="J58" s="331">
        <f>'Balin-B'!J58+'Sinta-B'!J58+'Kumai-B'!J58+'Lokal-B'!J58</f>
        <v>0</v>
      </c>
      <c r="K58" s="331">
        <f>'Balin-B'!K58+'Sinta-B'!K58+'Kumai-B'!K58+'Lokal-B'!K58</f>
        <v>0</v>
      </c>
      <c r="L58" s="331">
        <f>'Balin-B'!L58+'Sinta-B'!L58+'Kumai-B'!L58+'Lokal-B'!L58</f>
        <v>0</v>
      </c>
      <c r="M58" s="65"/>
    </row>
    <row r="59">
      <c r="A59" s="297"/>
      <c r="B59" s="280"/>
      <c r="C59" s="265"/>
      <c r="D59" s="340" t="s">
        <v>999</v>
      </c>
      <c r="E59" s="330">
        <f>'Balin-B'!E59+'Sinta-B'!E59+'Kumai-B'!E59+'Lokal-B'!E59</f>
        <v>0</v>
      </c>
      <c r="F59" s="333">
        <f>'Balin-B'!F59+'Sinta-B'!F59+'Kumai-B'!F59+'Lokal-B'!F59</f>
        <v>0</v>
      </c>
      <c r="G59" s="333">
        <f>'Balin-B'!G59+'Sinta-B'!G59+'Kumai-B'!G59+'Lokal-B'!G59</f>
        <v>0</v>
      </c>
      <c r="H59" s="333">
        <f>'Balin-B'!H59+'Sinta-B'!H59+'Kumai-B'!H59+'Lokal-B'!H59</f>
        <v>0</v>
      </c>
      <c r="I59" s="330">
        <f>'Balin-B'!I59+'Sinta-B'!I59+'Kumai-B'!I59+'Lokal-B'!I59</f>
        <v>0</v>
      </c>
      <c r="J59" s="331">
        <f>'Balin-B'!J59+'Sinta-B'!J59+'Kumai-B'!J59+'Lokal-B'!J59</f>
        <v>0</v>
      </c>
      <c r="K59" s="331">
        <f>'Balin-B'!K59+'Sinta-B'!K59+'Kumai-B'!K59+'Lokal-B'!K59</f>
        <v>0</v>
      </c>
      <c r="L59" s="331">
        <f>'Balin-B'!L59+'Sinta-B'!L59+'Kumai-B'!L59+'Lokal-B'!L59</f>
        <v>0</v>
      </c>
      <c r="M59" s="65"/>
    </row>
    <row r="60">
      <c r="A60" s="337"/>
      <c r="B60" s="337"/>
      <c r="C60" s="338"/>
      <c r="D60" s="271" t="s">
        <v>1000</v>
      </c>
      <c r="E60" s="334">
        <f t="shared" ref="E60:L60" si="15">sum(E56:E59)</f>
        <v>0</v>
      </c>
      <c r="F60" s="304">
        <f t="shared" si="15"/>
        <v>0</v>
      </c>
      <c r="G60" s="304">
        <f t="shared" si="15"/>
        <v>0</v>
      </c>
      <c r="H60" s="304">
        <f t="shared" si="15"/>
        <v>0</v>
      </c>
      <c r="I60" s="334">
        <f t="shared" si="15"/>
        <v>0</v>
      </c>
      <c r="J60" s="304">
        <f t="shared" si="15"/>
        <v>0</v>
      </c>
      <c r="K60" s="304">
        <f t="shared" si="15"/>
        <v>0</v>
      </c>
      <c r="L60" s="304">
        <f t="shared" si="15"/>
        <v>0</v>
      </c>
      <c r="M60" s="305"/>
    </row>
    <row r="61">
      <c r="A61" s="337"/>
      <c r="B61" s="337"/>
      <c r="C61" s="338"/>
      <c r="D61" s="271" t="s">
        <v>1001</v>
      </c>
      <c r="E61" s="334">
        <f t="shared" ref="E61:L61" si="16">E55+E60</f>
        <v>1747876274</v>
      </c>
      <c r="F61" s="304">
        <f t="shared" si="16"/>
        <v>1697342257</v>
      </c>
      <c r="G61" s="304">
        <f t="shared" si="16"/>
        <v>1444628140</v>
      </c>
      <c r="H61" s="304">
        <f t="shared" si="16"/>
        <v>1444626826</v>
      </c>
      <c r="I61" s="304">
        <f t="shared" si="16"/>
        <v>8911673111</v>
      </c>
      <c r="J61" s="304">
        <f t="shared" si="16"/>
        <v>8050056803</v>
      </c>
      <c r="K61" s="304">
        <f t="shared" si="16"/>
        <v>7877785202</v>
      </c>
      <c r="L61" s="304">
        <f t="shared" si="16"/>
        <v>7877782137</v>
      </c>
      <c r="M61" s="305"/>
    </row>
    <row r="62">
      <c r="A62" s="342"/>
      <c r="B62" s="342"/>
      <c r="C62" s="343"/>
      <c r="D62" s="344" t="s">
        <v>1002</v>
      </c>
      <c r="E62" s="345">
        <f t="shared" ref="E62:L62" si="17">iferror(E46/E5,0)</f>
        <v>519350.6696</v>
      </c>
      <c r="F62" s="345">
        <f t="shared" si="17"/>
        <v>432992.0381</v>
      </c>
      <c r="G62" s="345">
        <f t="shared" si="17"/>
        <v>453367.4816</v>
      </c>
      <c r="H62" s="345">
        <f t="shared" si="17"/>
        <v>453367.4816</v>
      </c>
      <c r="I62" s="345">
        <f t="shared" si="17"/>
        <v>2614051.967</v>
      </c>
      <c r="J62" s="345">
        <f t="shared" si="17"/>
        <v>2139130.023</v>
      </c>
      <c r="K62" s="345">
        <f t="shared" si="17"/>
        <v>2602725.509</v>
      </c>
      <c r="L62" s="345">
        <f t="shared" si="17"/>
        <v>2602725.509</v>
      </c>
      <c r="M62" s="65"/>
    </row>
    <row r="63">
      <c r="A63" s="342"/>
      <c r="B63" s="342"/>
      <c r="C63" s="347"/>
      <c r="D63" s="348" t="s">
        <v>1003</v>
      </c>
      <c r="E63" s="349">
        <f t="shared" ref="E63:L63" si="18">iferror((E61-E54)/E5,0)</f>
        <v>719854.516</v>
      </c>
      <c r="F63" s="349">
        <f t="shared" si="18"/>
        <v>706168.6766</v>
      </c>
      <c r="G63" s="349">
        <f t="shared" si="18"/>
        <v>645995.1777</v>
      </c>
      <c r="H63" s="349">
        <f t="shared" si="18"/>
        <v>645994.721</v>
      </c>
      <c r="I63" s="349">
        <f t="shared" si="18"/>
        <v>3696300.098</v>
      </c>
      <c r="J63" s="349">
        <f t="shared" si="18"/>
        <v>3323415.183</v>
      </c>
      <c r="K63" s="349">
        <f t="shared" si="18"/>
        <v>3598644.302</v>
      </c>
      <c r="L63" s="349">
        <f t="shared" si="18"/>
        <v>3598643.992</v>
      </c>
      <c r="M63" s="65"/>
    </row>
    <row r="64">
      <c r="A64" s="342"/>
      <c r="B64" s="342"/>
      <c r="C64" s="347"/>
      <c r="D64" s="348" t="s">
        <v>1004</v>
      </c>
      <c r="E64" s="349">
        <f t="shared" ref="E64:L64" si="19">iferror(E61/E5,0)</f>
        <v>984330.8408</v>
      </c>
      <c r="F64" s="349">
        <f t="shared" si="19"/>
        <v>955872.1952</v>
      </c>
      <c r="G64" s="349">
        <f t="shared" si="19"/>
        <v>813554.1702</v>
      </c>
      <c r="H64" s="349">
        <f t="shared" si="19"/>
        <v>813553.4302</v>
      </c>
      <c r="I64" s="349">
        <f t="shared" si="19"/>
        <v>5018681.709</v>
      </c>
      <c r="J64" s="349">
        <f t="shared" si="19"/>
        <v>4533455.428</v>
      </c>
      <c r="K64" s="349">
        <f t="shared" si="19"/>
        <v>4436439.265</v>
      </c>
      <c r="L64" s="349">
        <f t="shared" si="19"/>
        <v>4436437.538</v>
      </c>
      <c r="M64" s="65"/>
    </row>
    <row r="65">
      <c r="A65" s="342"/>
      <c r="B65" s="342"/>
      <c r="C65" s="347"/>
      <c r="D65" s="348" t="s">
        <v>1005</v>
      </c>
      <c r="E65" s="349">
        <f t="shared" ref="E65:L65" si="20">iferror(E55/(E17),0)</f>
        <v>29335.15053</v>
      </c>
      <c r="F65" s="349">
        <f t="shared" si="20"/>
        <v>43598.73255</v>
      </c>
      <c r="G65" s="349">
        <f t="shared" si="20"/>
        <v>21978.8848</v>
      </c>
      <c r="H65" s="349">
        <f t="shared" si="20"/>
        <v>21978.86481</v>
      </c>
      <c r="I65" s="349">
        <f t="shared" si="20"/>
        <v>30927.84549</v>
      </c>
      <c r="J65" s="349">
        <f t="shared" si="20"/>
        <v>38323.20181</v>
      </c>
      <c r="K65" s="349">
        <f t="shared" si="20"/>
        <v>20351.24868</v>
      </c>
      <c r="L65" s="349">
        <f t="shared" si="20"/>
        <v>20351.25127</v>
      </c>
      <c r="M65" s="65"/>
    </row>
    <row r="66">
      <c r="A66" s="342"/>
      <c r="B66" s="342"/>
      <c r="C66" s="347"/>
      <c r="D66" s="348" t="s">
        <v>1006</v>
      </c>
      <c r="E66" s="349">
        <f t="shared" ref="E66:L66" si="21">iferror(E60/(E18+E19),0)</f>
        <v>0</v>
      </c>
      <c r="F66" s="349">
        <f t="shared" si="21"/>
        <v>0</v>
      </c>
      <c r="G66" s="349">
        <f t="shared" si="21"/>
        <v>0</v>
      </c>
      <c r="H66" s="349">
        <f t="shared" si="21"/>
        <v>0</v>
      </c>
      <c r="I66" s="349">
        <f t="shared" si="21"/>
        <v>0</v>
      </c>
      <c r="J66" s="349">
        <f t="shared" si="21"/>
        <v>0</v>
      </c>
      <c r="K66" s="349">
        <f t="shared" si="21"/>
        <v>0</v>
      </c>
      <c r="L66" s="349">
        <f t="shared" si="21"/>
        <v>0</v>
      </c>
      <c r="M66" s="65"/>
    </row>
    <row r="67">
      <c r="A67" s="342"/>
      <c r="B67" s="342"/>
      <c r="C67" s="351"/>
      <c r="D67" s="352" t="s">
        <v>1007</v>
      </c>
      <c r="E67" s="353">
        <f t="shared" ref="E67:L67" si="22">iferror(E55/(E20),0)</f>
        <v>29335.15053</v>
      </c>
      <c r="F67" s="353">
        <f t="shared" si="22"/>
        <v>43598.73255</v>
      </c>
      <c r="G67" s="353">
        <f t="shared" si="22"/>
        <v>21978.8848</v>
      </c>
      <c r="H67" s="353">
        <f t="shared" si="22"/>
        <v>21978.86481</v>
      </c>
      <c r="I67" s="353">
        <f t="shared" si="22"/>
        <v>30927.84549</v>
      </c>
      <c r="J67" s="353">
        <f t="shared" si="22"/>
        <v>38323.20181</v>
      </c>
      <c r="K67" s="353">
        <f t="shared" si="22"/>
        <v>20351.24868</v>
      </c>
      <c r="L67" s="353">
        <f t="shared" si="22"/>
        <v>20351.25127</v>
      </c>
      <c r="M67" s="65"/>
    </row>
    <row r="68">
      <c r="A68" s="280"/>
      <c r="B68" s="280"/>
      <c r="C68" s="355"/>
      <c r="D68" s="356"/>
      <c r="E68" s="357"/>
      <c r="F68" s="358"/>
      <c r="G68" s="358"/>
      <c r="H68" s="358"/>
      <c r="I68" s="358"/>
      <c r="J68" s="358"/>
      <c r="K68" s="358"/>
      <c r="L68" s="358"/>
      <c r="M68" s="65"/>
    </row>
  </sheetData>
  <mergeCells count="14">
    <mergeCell ref="E9:H9"/>
    <mergeCell ref="I9:L9"/>
    <mergeCell ref="C38:D40"/>
    <mergeCell ref="E38:H38"/>
    <mergeCell ref="I38:L38"/>
    <mergeCell ref="E39:H39"/>
    <mergeCell ref="I39:L39"/>
    <mergeCell ref="C3:D3"/>
    <mergeCell ref="E3:L3"/>
    <mergeCell ref="C4:D4"/>
    <mergeCell ref="E4:L4"/>
    <mergeCell ref="C8:D10"/>
    <mergeCell ref="E8:H8"/>
    <mergeCell ref="I8:L8"/>
  </mergeCells>
  <dataValidations>
    <dataValidation type="list" allowBlank="1" showErrorMessage="1" sqref="E4">
      <formula1>Plant!$A$2:$A$28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3.0"/>
    <col customWidth="1" min="2" max="2" width="14.43"/>
    <col customWidth="1" min="3" max="3" width="10.29"/>
    <col customWidth="1" min="4" max="4" width="51.71"/>
    <col customWidth="1" min="5" max="7" width="14.29"/>
    <col customWidth="1" min="8" max="8" width="13.29"/>
    <col customWidth="1" min="9" max="9" width="14.29"/>
    <col customWidth="1" min="10" max="11" width="13.29"/>
    <col customWidth="1" min="12" max="13" width="14.29"/>
    <col customWidth="1" min="14" max="18" width="13.29"/>
    <col customWidth="1" min="19" max="20" width="14.29"/>
    <col customWidth="1" min="21" max="21" width="13.29"/>
    <col customWidth="1" min="22" max="22" width="15.14"/>
    <col customWidth="1" min="23" max="24" width="13.29"/>
  </cols>
  <sheetData>
    <row r="1">
      <c r="A1" s="360">
        <v>1.0</v>
      </c>
      <c r="B1" s="361" t="s">
        <v>723</v>
      </c>
      <c r="C1" s="362"/>
      <c r="D1" s="363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</row>
    <row r="2">
      <c r="A2" s="65"/>
      <c r="B2" s="364" t="s">
        <v>1008</v>
      </c>
      <c r="C2" s="362"/>
      <c r="D2" s="363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</row>
    <row r="3">
      <c r="A3" s="65"/>
      <c r="B3" s="364" t="s">
        <v>1009</v>
      </c>
      <c r="C3" s="362"/>
      <c r="D3" s="100" t="s">
        <v>1010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4" ht="14.25" customHeight="1">
      <c r="A4" s="65"/>
      <c r="B4" s="82" t="s">
        <v>728</v>
      </c>
      <c r="C4" s="365"/>
      <c r="D4" s="82" t="s">
        <v>74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</row>
    <row r="5" ht="14.25" customHeight="1">
      <c r="A5" s="366">
        <f>ROW(A1)</f>
        <v>1</v>
      </c>
      <c r="B5" s="367" t="s">
        <v>1011</v>
      </c>
      <c r="C5" s="368" t="s">
        <v>1012</v>
      </c>
      <c r="D5" s="369" t="s">
        <v>1013</v>
      </c>
      <c r="E5" s="370" t="s">
        <v>75</v>
      </c>
      <c r="F5" s="370" t="s">
        <v>148</v>
      </c>
      <c r="G5" s="370" t="s">
        <v>167</v>
      </c>
      <c r="H5" s="370" t="s">
        <v>170</v>
      </c>
      <c r="I5" s="370" t="s">
        <v>12</v>
      </c>
      <c r="J5" s="370" t="s">
        <v>187</v>
      </c>
      <c r="K5" s="370" t="s">
        <v>203</v>
      </c>
      <c r="L5" s="370" t="s">
        <v>212</v>
      </c>
      <c r="M5" s="370" t="s">
        <v>220</v>
      </c>
      <c r="N5" s="370" t="s">
        <v>687</v>
      </c>
      <c r="O5" s="370" t="s">
        <v>32</v>
      </c>
      <c r="P5" s="370" t="s">
        <v>231</v>
      </c>
      <c r="Q5" s="370" t="s">
        <v>233</v>
      </c>
      <c r="R5" s="370" t="s">
        <v>244</v>
      </c>
      <c r="S5" s="370" t="s">
        <v>254</v>
      </c>
      <c r="T5" s="370" t="s">
        <v>259</v>
      </c>
      <c r="U5" s="370" t="s">
        <v>66</v>
      </c>
      <c r="V5" s="371" t="str">
        <f>"Total             "
&amp;TEXT(DATE(2025,A1,1),"MMMM")</f>
        <v>Total             Januari</v>
      </c>
      <c r="W5" s="65"/>
      <c r="X5" s="65"/>
    </row>
    <row r="6" ht="14.25" customHeight="1">
      <c r="A6" s="366">
        <f>ROW(A5)</f>
        <v>5</v>
      </c>
      <c r="B6" s="372"/>
      <c r="C6" s="373"/>
      <c r="D6" s="178" t="s">
        <v>1014</v>
      </c>
      <c r="E6" s="374"/>
      <c r="F6" s="374"/>
      <c r="G6" s="375"/>
      <c r="H6" s="375"/>
      <c r="I6" s="375"/>
      <c r="J6" s="375"/>
      <c r="K6" s="375"/>
      <c r="L6" s="374"/>
      <c r="M6" s="375"/>
      <c r="N6" s="375"/>
      <c r="O6" s="375"/>
      <c r="P6" s="375"/>
      <c r="Q6" s="375"/>
      <c r="R6" s="375"/>
      <c r="S6" s="374"/>
      <c r="T6" s="375"/>
      <c r="U6" s="375"/>
      <c r="V6" s="374"/>
      <c r="W6" s="65"/>
      <c r="X6" s="65"/>
    </row>
    <row r="7" ht="14.25" customHeight="1">
      <c r="A7" s="366"/>
      <c r="B7" s="176"/>
      <c r="C7" s="376"/>
      <c r="D7" s="377" t="s">
        <v>1015</v>
      </c>
      <c r="E7" s="374"/>
      <c r="F7" s="374"/>
      <c r="G7" s="378"/>
      <c r="H7" s="378"/>
      <c r="I7" s="378"/>
      <c r="J7" s="378"/>
      <c r="K7" s="378"/>
      <c r="L7" s="374"/>
      <c r="M7" s="378"/>
      <c r="N7" s="378"/>
      <c r="O7" s="378"/>
      <c r="P7" s="378"/>
      <c r="Q7" s="378"/>
      <c r="R7" s="378"/>
      <c r="S7" s="374"/>
      <c r="T7" s="378"/>
      <c r="U7" s="378"/>
      <c r="V7" s="374"/>
      <c r="W7" s="65"/>
      <c r="X7" s="65"/>
    </row>
    <row r="8" ht="14.25" customHeight="1">
      <c r="A8" s="366"/>
      <c r="B8" s="176"/>
      <c r="C8" s="376"/>
      <c r="D8" s="377" t="s">
        <v>1016</v>
      </c>
      <c r="E8" s="374"/>
      <c r="F8" s="374"/>
      <c r="G8" s="378"/>
      <c r="H8" s="378"/>
      <c r="I8" s="378"/>
      <c r="J8" s="378"/>
      <c r="K8" s="378"/>
      <c r="L8" s="374"/>
      <c r="M8" s="378"/>
      <c r="N8" s="378"/>
      <c r="O8" s="378"/>
      <c r="P8" s="378"/>
      <c r="Q8" s="378"/>
      <c r="R8" s="378"/>
      <c r="S8" s="374"/>
      <c r="T8" s="378"/>
      <c r="U8" s="378"/>
      <c r="V8" s="374"/>
      <c r="W8" s="65"/>
      <c r="X8" s="65"/>
    </row>
    <row r="9" ht="14.25" customHeight="1">
      <c r="A9" s="366"/>
      <c r="B9" s="191" t="s">
        <v>1017</v>
      </c>
      <c r="C9" s="379"/>
      <c r="D9" s="193"/>
      <c r="E9" s="380">
        <f t="shared" ref="E9:V9" si="1">SUM(E7:E8)</f>
        <v>0</v>
      </c>
      <c r="F9" s="380">
        <f t="shared" si="1"/>
        <v>0</v>
      </c>
      <c r="G9" s="380">
        <f t="shared" si="1"/>
        <v>0</v>
      </c>
      <c r="H9" s="380">
        <f t="shared" si="1"/>
        <v>0</v>
      </c>
      <c r="I9" s="380">
        <f t="shared" si="1"/>
        <v>0</v>
      </c>
      <c r="J9" s="380">
        <f t="shared" si="1"/>
        <v>0</v>
      </c>
      <c r="K9" s="380">
        <f t="shared" si="1"/>
        <v>0</v>
      </c>
      <c r="L9" s="380">
        <f t="shared" si="1"/>
        <v>0</v>
      </c>
      <c r="M9" s="380">
        <f t="shared" si="1"/>
        <v>0</v>
      </c>
      <c r="N9" s="380">
        <f t="shared" si="1"/>
        <v>0</v>
      </c>
      <c r="O9" s="380">
        <f t="shared" si="1"/>
        <v>0</v>
      </c>
      <c r="P9" s="380">
        <f t="shared" si="1"/>
        <v>0</v>
      </c>
      <c r="Q9" s="380">
        <f t="shared" si="1"/>
        <v>0</v>
      </c>
      <c r="R9" s="380">
        <f t="shared" si="1"/>
        <v>0</v>
      </c>
      <c r="S9" s="380">
        <f t="shared" si="1"/>
        <v>0</v>
      </c>
      <c r="T9" s="380">
        <f t="shared" si="1"/>
        <v>0</v>
      </c>
      <c r="U9" s="380">
        <f t="shared" si="1"/>
        <v>0</v>
      </c>
      <c r="V9" s="380">
        <f t="shared" si="1"/>
        <v>0</v>
      </c>
      <c r="W9" s="65"/>
      <c r="X9" s="65"/>
    </row>
    <row r="10" ht="14.25" customHeight="1">
      <c r="A10" s="366"/>
      <c r="B10" s="381"/>
      <c r="C10" s="382"/>
      <c r="D10" s="383" t="s">
        <v>737</v>
      </c>
      <c r="E10" s="384"/>
      <c r="F10" s="384"/>
      <c r="G10" s="384"/>
      <c r="H10" s="384"/>
      <c r="I10" s="384"/>
      <c r="J10" s="384"/>
      <c r="K10" s="384"/>
      <c r="L10" s="384"/>
      <c r="M10" s="384"/>
      <c r="N10" s="384"/>
      <c r="O10" s="384"/>
      <c r="P10" s="384"/>
      <c r="Q10" s="384"/>
      <c r="R10" s="384"/>
      <c r="S10" s="384"/>
      <c r="T10" s="384"/>
      <c r="U10" s="384"/>
      <c r="V10" s="384"/>
      <c r="W10" s="65"/>
      <c r="X10" s="65"/>
    </row>
    <row r="11" ht="14.25" customHeight="1">
      <c r="A11" s="366"/>
      <c r="B11" s="385" t="s">
        <v>22</v>
      </c>
      <c r="C11" s="386" t="s">
        <v>1018</v>
      </c>
      <c r="D11" s="387" t="s">
        <v>738</v>
      </c>
      <c r="E11" s="388">
        <f>IFERROR(__xludf.DUMMYFUNCTION("IMPORTRANGE(Link!$B$2,CONCATENATE(VLOOKUP($D$3,Link!$A$15:$B$26,2,false),""!E14:V161""))"),0.0)</f>
        <v>0</v>
      </c>
      <c r="F11" s="388">
        <f>IFERROR(__xludf.DUMMYFUNCTION("""COMPUTED_VALUE"""),0.0)</f>
        <v>0</v>
      </c>
      <c r="G11" s="388">
        <f>IFERROR(__xludf.DUMMYFUNCTION("""COMPUTED_VALUE"""),0.0)</f>
        <v>0</v>
      </c>
      <c r="H11" s="388">
        <f>IFERROR(__xludf.DUMMYFUNCTION("""COMPUTED_VALUE"""),0.0)</f>
        <v>0</v>
      </c>
      <c r="I11" s="388">
        <f>IFERROR(__xludf.DUMMYFUNCTION("""COMPUTED_VALUE"""),1.8144433E7)</f>
        <v>18144433</v>
      </c>
      <c r="J11" s="388">
        <f>IFERROR(__xludf.DUMMYFUNCTION("""COMPUTED_VALUE"""),0.0)</f>
        <v>0</v>
      </c>
      <c r="K11" s="388">
        <f>IFERROR(__xludf.DUMMYFUNCTION("""COMPUTED_VALUE"""),0.0)</f>
        <v>0</v>
      </c>
      <c r="L11" s="388">
        <f>IFERROR(__xludf.DUMMYFUNCTION("""COMPUTED_VALUE"""),0.0)</f>
        <v>0</v>
      </c>
      <c r="M11" s="388">
        <f>IFERROR(__xludf.DUMMYFUNCTION("""COMPUTED_VALUE"""),0.0)</f>
        <v>0</v>
      </c>
      <c r="N11" s="388">
        <f>IFERROR(__xludf.DUMMYFUNCTION("""COMPUTED_VALUE"""),0.0)</f>
        <v>0</v>
      </c>
      <c r="O11" s="388">
        <f>IFERROR(__xludf.DUMMYFUNCTION("""COMPUTED_VALUE"""),6.6095992E7)</f>
        <v>66095992</v>
      </c>
      <c r="P11" s="388">
        <f>IFERROR(__xludf.DUMMYFUNCTION("""COMPUTED_VALUE"""),0.0)</f>
        <v>0</v>
      </c>
      <c r="Q11" s="388">
        <f>IFERROR(__xludf.DUMMYFUNCTION("""COMPUTED_VALUE"""),0.0)</f>
        <v>0</v>
      </c>
      <c r="R11" s="388">
        <f>IFERROR(__xludf.DUMMYFUNCTION("""COMPUTED_VALUE"""),0.0)</f>
        <v>0</v>
      </c>
      <c r="S11" s="388">
        <f>IFERROR(__xludf.DUMMYFUNCTION("""COMPUTED_VALUE"""),0.0)</f>
        <v>0</v>
      </c>
      <c r="T11" s="388">
        <f>IFERROR(__xludf.DUMMYFUNCTION("""COMPUTED_VALUE"""),0.0)</f>
        <v>0</v>
      </c>
      <c r="U11" s="388">
        <f>IFERROR(__xludf.DUMMYFUNCTION("""COMPUTED_VALUE"""),0.0)</f>
        <v>0</v>
      </c>
      <c r="V11" s="389">
        <f>IFERROR(__xludf.DUMMYFUNCTION("""COMPUTED_VALUE"""),8.4240425E7)</f>
        <v>84240425</v>
      </c>
      <c r="W11" s="65"/>
      <c r="X11" s="65"/>
    </row>
    <row r="12" ht="14.25" customHeight="1">
      <c r="A12" s="366">
        <f t="shared" ref="A12:A158" si="2">ROW(A8)</f>
        <v>8</v>
      </c>
      <c r="B12" s="390" t="s">
        <v>54</v>
      </c>
      <c r="C12" s="391" t="s">
        <v>416</v>
      </c>
      <c r="D12" s="387" t="s">
        <v>740</v>
      </c>
      <c r="E12" s="388">
        <f>IFERROR(__xludf.DUMMYFUNCTION("""COMPUTED_VALUE"""),0.0)</f>
        <v>0</v>
      </c>
      <c r="F12" s="388">
        <f>IFERROR(__xludf.DUMMYFUNCTION("""COMPUTED_VALUE"""),0.0)</f>
        <v>0</v>
      </c>
      <c r="G12" s="388">
        <f>IFERROR(__xludf.DUMMYFUNCTION("""COMPUTED_VALUE"""),0.0)</f>
        <v>0</v>
      </c>
      <c r="H12" s="388">
        <f>IFERROR(__xludf.DUMMYFUNCTION("""COMPUTED_VALUE"""),0.0)</f>
        <v>0</v>
      </c>
      <c r="I12" s="388">
        <f>IFERROR(__xludf.DUMMYFUNCTION("""COMPUTED_VALUE"""),0.0)</f>
        <v>0</v>
      </c>
      <c r="J12" s="388">
        <f>IFERROR(__xludf.DUMMYFUNCTION("""COMPUTED_VALUE"""),0.0)</f>
        <v>0</v>
      </c>
      <c r="K12" s="388">
        <f>IFERROR(__xludf.DUMMYFUNCTION("""COMPUTED_VALUE"""),0.0)</f>
        <v>0</v>
      </c>
      <c r="L12" s="388">
        <f>IFERROR(__xludf.DUMMYFUNCTION("""COMPUTED_VALUE"""),0.0)</f>
        <v>0</v>
      </c>
      <c r="M12" s="388">
        <f>IFERROR(__xludf.DUMMYFUNCTION("""COMPUTED_VALUE"""),0.0)</f>
        <v>0</v>
      </c>
      <c r="N12" s="388">
        <f>IFERROR(__xludf.DUMMYFUNCTION("""COMPUTED_VALUE"""),0.0)</f>
        <v>0</v>
      </c>
      <c r="O12" s="388">
        <f>IFERROR(__xludf.DUMMYFUNCTION("""COMPUTED_VALUE"""),2.3271917E7)</f>
        <v>23271917</v>
      </c>
      <c r="P12" s="388">
        <f>IFERROR(__xludf.DUMMYFUNCTION("""COMPUTED_VALUE"""),0.0)</f>
        <v>0</v>
      </c>
      <c r="Q12" s="388">
        <f>IFERROR(__xludf.DUMMYFUNCTION("""COMPUTED_VALUE"""),0.0)</f>
        <v>0</v>
      </c>
      <c r="R12" s="388">
        <f>IFERROR(__xludf.DUMMYFUNCTION("""COMPUTED_VALUE"""),0.0)</f>
        <v>0</v>
      </c>
      <c r="S12" s="388">
        <f>IFERROR(__xludf.DUMMYFUNCTION("""COMPUTED_VALUE"""),0.0)</f>
        <v>0</v>
      </c>
      <c r="T12" s="388">
        <f>IFERROR(__xludf.DUMMYFUNCTION("""COMPUTED_VALUE"""),0.0)</f>
        <v>0</v>
      </c>
      <c r="U12" s="388">
        <f>IFERROR(__xludf.DUMMYFUNCTION("""COMPUTED_VALUE"""),0.0)</f>
        <v>0</v>
      </c>
      <c r="V12" s="389">
        <f>IFERROR(__xludf.DUMMYFUNCTION("""COMPUTED_VALUE"""),2.3271917E7)</f>
        <v>23271917</v>
      </c>
      <c r="W12" s="65"/>
      <c r="X12" s="65"/>
    </row>
    <row r="13" ht="14.25" customHeight="1">
      <c r="A13" s="366">
        <f t="shared" si="2"/>
        <v>9</v>
      </c>
      <c r="B13" s="381"/>
      <c r="C13" s="382"/>
      <c r="D13" s="387" t="s">
        <v>741</v>
      </c>
      <c r="E13" s="388">
        <f>IFERROR(__xludf.DUMMYFUNCTION("""COMPUTED_VALUE"""),0.0)</f>
        <v>0</v>
      </c>
      <c r="F13" s="388">
        <f>IFERROR(__xludf.DUMMYFUNCTION("""COMPUTED_VALUE"""),0.0)</f>
        <v>0</v>
      </c>
      <c r="G13" s="388">
        <f>IFERROR(__xludf.DUMMYFUNCTION("""COMPUTED_VALUE"""),0.0)</f>
        <v>0</v>
      </c>
      <c r="H13" s="388">
        <f>IFERROR(__xludf.DUMMYFUNCTION("""COMPUTED_VALUE"""),0.0)</f>
        <v>0</v>
      </c>
      <c r="I13" s="388">
        <f>IFERROR(__xludf.DUMMYFUNCTION("""COMPUTED_VALUE"""),0.0)</f>
        <v>0</v>
      </c>
      <c r="J13" s="388">
        <f>IFERROR(__xludf.DUMMYFUNCTION("""COMPUTED_VALUE"""),0.0)</f>
        <v>0</v>
      </c>
      <c r="K13" s="388">
        <f>IFERROR(__xludf.DUMMYFUNCTION("""COMPUTED_VALUE"""),0.0)</f>
        <v>0</v>
      </c>
      <c r="L13" s="388">
        <f>IFERROR(__xludf.DUMMYFUNCTION("""COMPUTED_VALUE"""),0.0)</f>
        <v>0</v>
      </c>
      <c r="M13" s="388">
        <f>IFERROR(__xludf.DUMMYFUNCTION("""COMPUTED_VALUE"""),0.0)</f>
        <v>0</v>
      </c>
      <c r="N13" s="388">
        <f>IFERROR(__xludf.DUMMYFUNCTION("""COMPUTED_VALUE"""),0.0)</f>
        <v>0</v>
      </c>
      <c r="O13" s="388">
        <f>IFERROR(__xludf.DUMMYFUNCTION("""COMPUTED_VALUE"""),0.0)</f>
        <v>0</v>
      </c>
      <c r="P13" s="388">
        <f>IFERROR(__xludf.DUMMYFUNCTION("""COMPUTED_VALUE"""),0.0)</f>
        <v>0</v>
      </c>
      <c r="Q13" s="388">
        <f>IFERROR(__xludf.DUMMYFUNCTION("""COMPUTED_VALUE"""),0.0)</f>
        <v>0</v>
      </c>
      <c r="R13" s="388">
        <f>IFERROR(__xludf.DUMMYFUNCTION("""COMPUTED_VALUE"""),0.0)</f>
        <v>0</v>
      </c>
      <c r="S13" s="388">
        <f>IFERROR(__xludf.DUMMYFUNCTION("""COMPUTED_VALUE"""),0.0)</f>
        <v>0</v>
      </c>
      <c r="T13" s="388">
        <f>IFERROR(__xludf.DUMMYFUNCTION("""COMPUTED_VALUE"""),0.0)</f>
        <v>0</v>
      </c>
      <c r="U13" s="388">
        <f>IFERROR(__xludf.DUMMYFUNCTION("""COMPUTED_VALUE"""),0.0)</f>
        <v>0</v>
      </c>
      <c r="V13" s="389">
        <f>IFERROR(__xludf.DUMMYFUNCTION("""COMPUTED_VALUE"""),0.0)</f>
        <v>0</v>
      </c>
      <c r="W13" s="65"/>
      <c r="X13" s="65"/>
    </row>
    <row r="14" ht="14.25" customHeight="1">
      <c r="A14" s="366">
        <f t="shared" si="2"/>
        <v>10</v>
      </c>
      <c r="B14" s="381"/>
      <c r="C14" s="382"/>
      <c r="D14" s="387" t="s">
        <v>742</v>
      </c>
      <c r="E14" s="388">
        <f>IFERROR(__xludf.DUMMYFUNCTION("""COMPUTED_VALUE"""),0.0)</f>
        <v>0</v>
      </c>
      <c r="F14" s="388">
        <f>IFERROR(__xludf.DUMMYFUNCTION("""COMPUTED_VALUE"""),0.0)</f>
        <v>0</v>
      </c>
      <c r="G14" s="388">
        <f>IFERROR(__xludf.DUMMYFUNCTION("""COMPUTED_VALUE"""),0.0)</f>
        <v>0</v>
      </c>
      <c r="H14" s="388">
        <f>IFERROR(__xludf.DUMMYFUNCTION("""COMPUTED_VALUE"""),0.0)</f>
        <v>0</v>
      </c>
      <c r="I14" s="388">
        <f>IFERROR(__xludf.DUMMYFUNCTION("""COMPUTED_VALUE"""),0.0)</f>
        <v>0</v>
      </c>
      <c r="J14" s="388">
        <f>IFERROR(__xludf.DUMMYFUNCTION("""COMPUTED_VALUE"""),0.0)</f>
        <v>0</v>
      </c>
      <c r="K14" s="388">
        <f>IFERROR(__xludf.DUMMYFUNCTION("""COMPUTED_VALUE"""),0.0)</f>
        <v>0</v>
      </c>
      <c r="L14" s="388">
        <f>IFERROR(__xludf.DUMMYFUNCTION("""COMPUTED_VALUE"""),0.0)</f>
        <v>0</v>
      </c>
      <c r="M14" s="388">
        <f>IFERROR(__xludf.DUMMYFUNCTION("""COMPUTED_VALUE"""),0.0)</f>
        <v>0</v>
      </c>
      <c r="N14" s="388">
        <f>IFERROR(__xludf.DUMMYFUNCTION("""COMPUTED_VALUE"""),0.0)</f>
        <v>0</v>
      </c>
      <c r="O14" s="388">
        <f>IFERROR(__xludf.DUMMYFUNCTION("""COMPUTED_VALUE"""),0.0)</f>
        <v>0</v>
      </c>
      <c r="P14" s="388">
        <f>IFERROR(__xludf.DUMMYFUNCTION("""COMPUTED_VALUE"""),0.0)</f>
        <v>0</v>
      </c>
      <c r="Q14" s="388">
        <f>IFERROR(__xludf.DUMMYFUNCTION("""COMPUTED_VALUE"""),0.0)</f>
        <v>0</v>
      </c>
      <c r="R14" s="388">
        <f>IFERROR(__xludf.DUMMYFUNCTION("""COMPUTED_VALUE"""),0.0)</f>
        <v>0</v>
      </c>
      <c r="S14" s="388">
        <f>IFERROR(__xludf.DUMMYFUNCTION("""COMPUTED_VALUE"""),0.0)</f>
        <v>0</v>
      </c>
      <c r="T14" s="388">
        <f>IFERROR(__xludf.DUMMYFUNCTION("""COMPUTED_VALUE"""),0.0)</f>
        <v>0</v>
      </c>
      <c r="U14" s="388">
        <f>IFERROR(__xludf.DUMMYFUNCTION("""COMPUTED_VALUE"""),0.0)</f>
        <v>0</v>
      </c>
      <c r="V14" s="389">
        <f>IFERROR(__xludf.DUMMYFUNCTION("""COMPUTED_VALUE"""),0.0)</f>
        <v>0</v>
      </c>
      <c r="W14" s="65"/>
      <c r="X14" s="65"/>
    </row>
    <row r="15" ht="14.25" customHeight="1">
      <c r="A15" s="366">
        <f t="shared" si="2"/>
        <v>11</v>
      </c>
      <c r="B15" s="392" t="s">
        <v>743</v>
      </c>
      <c r="C15" s="393"/>
      <c r="D15" s="394"/>
      <c r="E15" s="395">
        <f>IFERROR(__xludf.DUMMYFUNCTION("""COMPUTED_VALUE"""),0.0)</f>
        <v>0</v>
      </c>
      <c r="F15" s="395">
        <f>IFERROR(__xludf.DUMMYFUNCTION("""COMPUTED_VALUE"""),0.0)</f>
        <v>0</v>
      </c>
      <c r="G15" s="395">
        <f>IFERROR(__xludf.DUMMYFUNCTION("""COMPUTED_VALUE"""),0.0)</f>
        <v>0</v>
      </c>
      <c r="H15" s="395">
        <f>IFERROR(__xludf.DUMMYFUNCTION("""COMPUTED_VALUE"""),0.0)</f>
        <v>0</v>
      </c>
      <c r="I15" s="395">
        <f>IFERROR(__xludf.DUMMYFUNCTION("""COMPUTED_VALUE"""),1.8144433E7)</f>
        <v>18144433</v>
      </c>
      <c r="J15" s="395">
        <f>IFERROR(__xludf.DUMMYFUNCTION("""COMPUTED_VALUE"""),0.0)</f>
        <v>0</v>
      </c>
      <c r="K15" s="395">
        <f>IFERROR(__xludf.DUMMYFUNCTION("""COMPUTED_VALUE"""),0.0)</f>
        <v>0</v>
      </c>
      <c r="L15" s="395">
        <f>IFERROR(__xludf.DUMMYFUNCTION("""COMPUTED_VALUE"""),0.0)</f>
        <v>0</v>
      </c>
      <c r="M15" s="395">
        <f>IFERROR(__xludf.DUMMYFUNCTION("""COMPUTED_VALUE"""),0.0)</f>
        <v>0</v>
      </c>
      <c r="N15" s="395">
        <f>IFERROR(__xludf.DUMMYFUNCTION("""COMPUTED_VALUE"""),0.0)</f>
        <v>0</v>
      </c>
      <c r="O15" s="395">
        <f>IFERROR(__xludf.DUMMYFUNCTION("""COMPUTED_VALUE"""),8.9367909E7)</f>
        <v>89367909</v>
      </c>
      <c r="P15" s="395">
        <f>IFERROR(__xludf.DUMMYFUNCTION("""COMPUTED_VALUE"""),0.0)</f>
        <v>0</v>
      </c>
      <c r="Q15" s="395">
        <f>IFERROR(__xludf.DUMMYFUNCTION("""COMPUTED_VALUE"""),0.0)</f>
        <v>0</v>
      </c>
      <c r="R15" s="395">
        <f>IFERROR(__xludf.DUMMYFUNCTION("""COMPUTED_VALUE"""),0.0)</f>
        <v>0</v>
      </c>
      <c r="S15" s="395">
        <f>IFERROR(__xludf.DUMMYFUNCTION("""COMPUTED_VALUE"""),0.0)</f>
        <v>0</v>
      </c>
      <c r="T15" s="395">
        <f>IFERROR(__xludf.DUMMYFUNCTION("""COMPUTED_VALUE"""),0.0)</f>
        <v>0</v>
      </c>
      <c r="U15" s="395">
        <f>IFERROR(__xludf.DUMMYFUNCTION("""COMPUTED_VALUE"""),0.0)</f>
        <v>0</v>
      </c>
      <c r="V15" s="395">
        <f>IFERROR(__xludf.DUMMYFUNCTION("""COMPUTED_VALUE"""),1.07512342E8)</f>
        <v>107512342</v>
      </c>
      <c r="W15" s="65"/>
      <c r="X15" s="65"/>
    </row>
    <row r="16" ht="14.25" customHeight="1">
      <c r="A16" s="366">
        <f t="shared" si="2"/>
        <v>12</v>
      </c>
      <c r="B16" s="396" t="s">
        <v>744</v>
      </c>
      <c r="C16" s="397"/>
      <c r="D16" s="398" t="s">
        <v>745</v>
      </c>
      <c r="E16" s="388">
        <f>IFERROR(__xludf.DUMMYFUNCTION("""COMPUTED_VALUE"""),0.0)</f>
        <v>0</v>
      </c>
      <c r="F16" s="388">
        <f>IFERROR(__xludf.DUMMYFUNCTION("""COMPUTED_VALUE"""),0.0)</f>
        <v>0</v>
      </c>
      <c r="G16" s="388">
        <f>IFERROR(__xludf.DUMMYFUNCTION("""COMPUTED_VALUE"""),0.0)</f>
        <v>0</v>
      </c>
      <c r="H16" s="388">
        <f>IFERROR(__xludf.DUMMYFUNCTION("""COMPUTED_VALUE"""),0.0)</f>
        <v>0</v>
      </c>
      <c r="I16" s="388">
        <f>IFERROR(__xludf.DUMMYFUNCTION("""COMPUTED_VALUE"""),0.0)</f>
        <v>0</v>
      </c>
      <c r="J16" s="388">
        <f>IFERROR(__xludf.DUMMYFUNCTION("""COMPUTED_VALUE"""),0.0)</f>
        <v>0</v>
      </c>
      <c r="K16" s="388">
        <f>IFERROR(__xludf.DUMMYFUNCTION("""COMPUTED_VALUE"""),0.0)</f>
        <v>0</v>
      </c>
      <c r="L16" s="388">
        <f>IFERROR(__xludf.DUMMYFUNCTION("""COMPUTED_VALUE"""),0.0)</f>
        <v>0</v>
      </c>
      <c r="M16" s="388">
        <f>IFERROR(__xludf.DUMMYFUNCTION("""COMPUTED_VALUE"""),0.0)</f>
        <v>0</v>
      </c>
      <c r="N16" s="388">
        <f>IFERROR(__xludf.DUMMYFUNCTION("""COMPUTED_VALUE"""),0.0)</f>
        <v>0</v>
      </c>
      <c r="O16" s="388">
        <f>IFERROR(__xludf.DUMMYFUNCTION("""COMPUTED_VALUE"""),0.0)</f>
        <v>0</v>
      </c>
      <c r="P16" s="388">
        <f>IFERROR(__xludf.DUMMYFUNCTION("""COMPUTED_VALUE"""),0.0)</f>
        <v>0</v>
      </c>
      <c r="Q16" s="388">
        <f>IFERROR(__xludf.DUMMYFUNCTION("""COMPUTED_VALUE"""),0.0)</f>
        <v>0</v>
      </c>
      <c r="R16" s="388">
        <f>IFERROR(__xludf.DUMMYFUNCTION("""COMPUTED_VALUE"""),0.0)</f>
        <v>0</v>
      </c>
      <c r="S16" s="388">
        <f>IFERROR(__xludf.DUMMYFUNCTION("""COMPUTED_VALUE"""),0.0)</f>
        <v>0</v>
      </c>
      <c r="T16" s="388">
        <f>IFERROR(__xludf.DUMMYFUNCTION("""COMPUTED_VALUE"""),0.0)</f>
        <v>0</v>
      </c>
      <c r="U16" s="388">
        <f>IFERROR(__xludf.DUMMYFUNCTION("""COMPUTED_VALUE"""),0.0)</f>
        <v>0</v>
      </c>
      <c r="V16" s="389">
        <f>IFERROR(__xludf.DUMMYFUNCTION("""COMPUTED_VALUE"""),0.0)</f>
        <v>0</v>
      </c>
      <c r="W16" s="65"/>
      <c r="X16" s="65"/>
    </row>
    <row r="17" ht="14.25" customHeight="1">
      <c r="A17" s="366">
        <f t="shared" si="2"/>
        <v>13</v>
      </c>
      <c r="B17" s="399" t="s">
        <v>746</v>
      </c>
      <c r="C17" s="400"/>
      <c r="D17" s="401" t="s">
        <v>747</v>
      </c>
      <c r="E17" s="388">
        <f>IFERROR(__xludf.DUMMYFUNCTION("""COMPUTED_VALUE"""),0.0)</f>
        <v>0</v>
      </c>
      <c r="F17" s="388">
        <f>IFERROR(__xludf.DUMMYFUNCTION("""COMPUTED_VALUE"""),0.0)</f>
        <v>0</v>
      </c>
      <c r="G17" s="388">
        <f>IFERROR(__xludf.DUMMYFUNCTION("""COMPUTED_VALUE"""),0.0)</f>
        <v>0</v>
      </c>
      <c r="H17" s="388">
        <f>IFERROR(__xludf.DUMMYFUNCTION("""COMPUTED_VALUE"""),0.0)</f>
        <v>0</v>
      </c>
      <c r="I17" s="388">
        <f>IFERROR(__xludf.DUMMYFUNCTION("""COMPUTED_VALUE"""),0.0)</f>
        <v>0</v>
      </c>
      <c r="J17" s="388">
        <f>IFERROR(__xludf.DUMMYFUNCTION("""COMPUTED_VALUE"""),0.0)</f>
        <v>0</v>
      </c>
      <c r="K17" s="388">
        <f>IFERROR(__xludf.DUMMYFUNCTION("""COMPUTED_VALUE"""),0.0)</f>
        <v>0</v>
      </c>
      <c r="L17" s="388">
        <f>IFERROR(__xludf.DUMMYFUNCTION("""COMPUTED_VALUE"""),0.0)</f>
        <v>0</v>
      </c>
      <c r="M17" s="388">
        <f>IFERROR(__xludf.DUMMYFUNCTION("""COMPUTED_VALUE"""),0.0)</f>
        <v>0</v>
      </c>
      <c r="N17" s="388">
        <f>IFERROR(__xludf.DUMMYFUNCTION("""COMPUTED_VALUE"""),0.0)</f>
        <v>0</v>
      </c>
      <c r="O17" s="388">
        <f>IFERROR(__xludf.DUMMYFUNCTION("""COMPUTED_VALUE"""),0.0)</f>
        <v>0</v>
      </c>
      <c r="P17" s="388">
        <f>IFERROR(__xludf.DUMMYFUNCTION("""COMPUTED_VALUE"""),0.0)</f>
        <v>0</v>
      </c>
      <c r="Q17" s="388">
        <f>IFERROR(__xludf.DUMMYFUNCTION("""COMPUTED_VALUE"""),0.0)</f>
        <v>0</v>
      </c>
      <c r="R17" s="388">
        <f>IFERROR(__xludf.DUMMYFUNCTION("""COMPUTED_VALUE"""),0.0)</f>
        <v>0</v>
      </c>
      <c r="S17" s="388">
        <f>IFERROR(__xludf.DUMMYFUNCTION("""COMPUTED_VALUE"""),0.0)</f>
        <v>0</v>
      </c>
      <c r="T17" s="388">
        <f>IFERROR(__xludf.DUMMYFUNCTION("""COMPUTED_VALUE"""),0.0)</f>
        <v>0</v>
      </c>
      <c r="U17" s="388">
        <f>IFERROR(__xludf.DUMMYFUNCTION("""COMPUTED_VALUE"""),0.0)</f>
        <v>0</v>
      </c>
      <c r="V17" s="389">
        <f>IFERROR(__xludf.DUMMYFUNCTION("""COMPUTED_VALUE"""),0.0)</f>
        <v>0</v>
      </c>
      <c r="W17" s="65"/>
      <c r="X17" s="65"/>
    </row>
    <row r="18" ht="14.25" customHeight="1">
      <c r="A18" s="366">
        <f t="shared" si="2"/>
        <v>14</v>
      </c>
      <c r="B18" s="399" t="s">
        <v>748</v>
      </c>
      <c r="C18" s="400"/>
      <c r="D18" s="401" t="s">
        <v>749</v>
      </c>
      <c r="E18" s="388">
        <f>IFERROR(__xludf.DUMMYFUNCTION("""COMPUTED_VALUE"""),0.0)</f>
        <v>0</v>
      </c>
      <c r="F18" s="388">
        <f>IFERROR(__xludf.DUMMYFUNCTION("""COMPUTED_VALUE"""),0.0)</f>
        <v>0</v>
      </c>
      <c r="G18" s="388">
        <f>IFERROR(__xludf.DUMMYFUNCTION("""COMPUTED_VALUE"""),0.0)</f>
        <v>0</v>
      </c>
      <c r="H18" s="388">
        <f>IFERROR(__xludf.DUMMYFUNCTION("""COMPUTED_VALUE"""),0.0)</f>
        <v>0</v>
      </c>
      <c r="I18" s="388">
        <f>IFERROR(__xludf.DUMMYFUNCTION("""COMPUTED_VALUE"""),0.0)</f>
        <v>0</v>
      </c>
      <c r="J18" s="388">
        <f>IFERROR(__xludf.DUMMYFUNCTION("""COMPUTED_VALUE"""),0.0)</f>
        <v>0</v>
      </c>
      <c r="K18" s="388">
        <f>IFERROR(__xludf.DUMMYFUNCTION("""COMPUTED_VALUE"""),0.0)</f>
        <v>0</v>
      </c>
      <c r="L18" s="388">
        <f>IFERROR(__xludf.DUMMYFUNCTION("""COMPUTED_VALUE"""),0.0)</f>
        <v>0</v>
      </c>
      <c r="M18" s="388">
        <f>IFERROR(__xludf.DUMMYFUNCTION("""COMPUTED_VALUE"""),0.0)</f>
        <v>0</v>
      </c>
      <c r="N18" s="388">
        <f>IFERROR(__xludf.DUMMYFUNCTION("""COMPUTED_VALUE"""),0.0)</f>
        <v>0</v>
      </c>
      <c r="O18" s="388">
        <f>IFERROR(__xludf.DUMMYFUNCTION("""COMPUTED_VALUE"""),0.0)</f>
        <v>0</v>
      </c>
      <c r="P18" s="388">
        <f>IFERROR(__xludf.DUMMYFUNCTION("""COMPUTED_VALUE"""),0.0)</f>
        <v>0</v>
      </c>
      <c r="Q18" s="388">
        <f>IFERROR(__xludf.DUMMYFUNCTION("""COMPUTED_VALUE"""),0.0)</f>
        <v>0</v>
      </c>
      <c r="R18" s="388">
        <f>IFERROR(__xludf.DUMMYFUNCTION("""COMPUTED_VALUE"""),0.0)</f>
        <v>0</v>
      </c>
      <c r="S18" s="388">
        <f>IFERROR(__xludf.DUMMYFUNCTION("""COMPUTED_VALUE"""),0.0)</f>
        <v>0</v>
      </c>
      <c r="T18" s="388">
        <f>IFERROR(__xludf.DUMMYFUNCTION("""COMPUTED_VALUE"""),0.0)</f>
        <v>0</v>
      </c>
      <c r="U18" s="388">
        <f>IFERROR(__xludf.DUMMYFUNCTION("""COMPUTED_VALUE"""),0.0)</f>
        <v>0</v>
      </c>
      <c r="V18" s="389">
        <f>IFERROR(__xludf.DUMMYFUNCTION("""COMPUTED_VALUE"""),0.0)</f>
        <v>0</v>
      </c>
      <c r="W18" s="65"/>
      <c r="X18" s="65"/>
    </row>
    <row r="19" ht="14.25" customHeight="1">
      <c r="A19" s="366">
        <f t="shared" si="2"/>
        <v>15</v>
      </c>
      <c r="B19" s="399" t="s">
        <v>750</v>
      </c>
      <c r="C19" s="400"/>
      <c r="D19" s="401" t="s">
        <v>751</v>
      </c>
      <c r="E19" s="388">
        <f>IFERROR(__xludf.DUMMYFUNCTION("""COMPUTED_VALUE"""),0.0)</f>
        <v>0</v>
      </c>
      <c r="F19" s="388">
        <f>IFERROR(__xludf.DUMMYFUNCTION("""COMPUTED_VALUE"""),0.0)</f>
        <v>0</v>
      </c>
      <c r="G19" s="388">
        <f>IFERROR(__xludf.DUMMYFUNCTION("""COMPUTED_VALUE"""),0.0)</f>
        <v>0</v>
      </c>
      <c r="H19" s="388">
        <f>IFERROR(__xludf.DUMMYFUNCTION("""COMPUTED_VALUE"""),0.0)</f>
        <v>0</v>
      </c>
      <c r="I19" s="388">
        <f>IFERROR(__xludf.DUMMYFUNCTION("""COMPUTED_VALUE"""),0.0)</f>
        <v>0</v>
      </c>
      <c r="J19" s="388">
        <f>IFERROR(__xludf.DUMMYFUNCTION("""COMPUTED_VALUE"""),0.0)</f>
        <v>0</v>
      </c>
      <c r="K19" s="388">
        <f>IFERROR(__xludf.DUMMYFUNCTION("""COMPUTED_VALUE"""),0.0)</f>
        <v>0</v>
      </c>
      <c r="L19" s="388">
        <f>IFERROR(__xludf.DUMMYFUNCTION("""COMPUTED_VALUE"""),0.0)</f>
        <v>0</v>
      </c>
      <c r="M19" s="388">
        <f>IFERROR(__xludf.DUMMYFUNCTION("""COMPUTED_VALUE"""),0.0)</f>
        <v>0</v>
      </c>
      <c r="N19" s="388">
        <f>IFERROR(__xludf.DUMMYFUNCTION("""COMPUTED_VALUE"""),0.0)</f>
        <v>0</v>
      </c>
      <c r="O19" s="388">
        <f>IFERROR(__xludf.DUMMYFUNCTION("""COMPUTED_VALUE"""),0.0)</f>
        <v>0</v>
      </c>
      <c r="P19" s="388">
        <f>IFERROR(__xludf.DUMMYFUNCTION("""COMPUTED_VALUE"""),0.0)</f>
        <v>0</v>
      </c>
      <c r="Q19" s="388">
        <f>IFERROR(__xludf.DUMMYFUNCTION("""COMPUTED_VALUE"""),0.0)</f>
        <v>0</v>
      </c>
      <c r="R19" s="388">
        <f>IFERROR(__xludf.DUMMYFUNCTION("""COMPUTED_VALUE"""),0.0)</f>
        <v>0</v>
      </c>
      <c r="S19" s="388">
        <f>IFERROR(__xludf.DUMMYFUNCTION("""COMPUTED_VALUE"""),0.0)</f>
        <v>0</v>
      </c>
      <c r="T19" s="388">
        <f>IFERROR(__xludf.DUMMYFUNCTION("""COMPUTED_VALUE"""),0.0)</f>
        <v>0</v>
      </c>
      <c r="U19" s="388">
        <f>IFERROR(__xludf.DUMMYFUNCTION("""COMPUTED_VALUE"""),0.0)</f>
        <v>0</v>
      </c>
      <c r="V19" s="389">
        <f>IFERROR(__xludf.DUMMYFUNCTION("""COMPUTED_VALUE"""),0.0)</f>
        <v>0</v>
      </c>
      <c r="W19" s="65"/>
      <c r="X19" s="65"/>
    </row>
    <row r="20" ht="14.25" customHeight="1">
      <c r="A20" s="366">
        <f t="shared" si="2"/>
        <v>16</v>
      </c>
      <c r="B20" s="399" t="s">
        <v>752</v>
      </c>
      <c r="C20" s="400"/>
      <c r="D20" s="401" t="s">
        <v>753</v>
      </c>
      <c r="E20" s="388">
        <f>IFERROR(__xludf.DUMMYFUNCTION("""COMPUTED_VALUE"""),0.0)</f>
        <v>0</v>
      </c>
      <c r="F20" s="388">
        <f>IFERROR(__xludf.DUMMYFUNCTION("""COMPUTED_VALUE"""),0.0)</f>
        <v>0</v>
      </c>
      <c r="G20" s="388">
        <f>IFERROR(__xludf.DUMMYFUNCTION("""COMPUTED_VALUE"""),0.0)</f>
        <v>0</v>
      </c>
      <c r="H20" s="388">
        <f>IFERROR(__xludf.DUMMYFUNCTION("""COMPUTED_VALUE"""),0.0)</f>
        <v>0</v>
      </c>
      <c r="I20" s="388">
        <f>IFERROR(__xludf.DUMMYFUNCTION("""COMPUTED_VALUE"""),0.0)</f>
        <v>0</v>
      </c>
      <c r="J20" s="388">
        <f>IFERROR(__xludf.DUMMYFUNCTION("""COMPUTED_VALUE"""),0.0)</f>
        <v>0</v>
      </c>
      <c r="K20" s="388">
        <f>IFERROR(__xludf.DUMMYFUNCTION("""COMPUTED_VALUE"""),0.0)</f>
        <v>0</v>
      </c>
      <c r="L20" s="388">
        <f>IFERROR(__xludf.DUMMYFUNCTION("""COMPUTED_VALUE"""),0.0)</f>
        <v>0</v>
      </c>
      <c r="M20" s="388">
        <f>IFERROR(__xludf.DUMMYFUNCTION("""COMPUTED_VALUE"""),0.0)</f>
        <v>0</v>
      </c>
      <c r="N20" s="388">
        <f>IFERROR(__xludf.DUMMYFUNCTION("""COMPUTED_VALUE"""),0.0)</f>
        <v>0</v>
      </c>
      <c r="O20" s="388">
        <f>IFERROR(__xludf.DUMMYFUNCTION("""COMPUTED_VALUE"""),0.0)</f>
        <v>0</v>
      </c>
      <c r="P20" s="388">
        <f>IFERROR(__xludf.DUMMYFUNCTION("""COMPUTED_VALUE"""),0.0)</f>
        <v>0</v>
      </c>
      <c r="Q20" s="388">
        <f>IFERROR(__xludf.DUMMYFUNCTION("""COMPUTED_VALUE"""),0.0)</f>
        <v>0</v>
      </c>
      <c r="R20" s="388">
        <f>IFERROR(__xludf.DUMMYFUNCTION("""COMPUTED_VALUE"""),0.0)</f>
        <v>0</v>
      </c>
      <c r="S20" s="388">
        <f>IFERROR(__xludf.DUMMYFUNCTION("""COMPUTED_VALUE"""),0.0)</f>
        <v>0</v>
      </c>
      <c r="T20" s="388">
        <f>IFERROR(__xludf.DUMMYFUNCTION("""COMPUTED_VALUE"""),0.0)</f>
        <v>0</v>
      </c>
      <c r="U20" s="388">
        <f>IFERROR(__xludf.DUMMYFUNCTION("""COMPUTED_VALUE"""),0.0)</f>
        <v>0</v>
      </c>
      <c r="V20" s="389">
        <f>IFERROR(__xludf.DUMMYFUNCTION("""COMPUTED_VALUE"""),0.0)</f>
        <v>0</v>
      </c>
      <c r="W20" s="65"/>
      <c r="X20" s="65"/>
    </row>
    <row r="21" ht="14.25" customHeight="1">
      <c r="A21" s="366">
        <f t="shared" si="2"/>
        <v>17</v>
      </c>
      <c r="B21" s="399" t="s">
        <v>754</v>
      </c>
      <c r="C21" s="400"/>
      <c r="D21" s="401" t="s">
        <v>755</v>
      </c>
      <c r="E21" s="388">
        <f>IFERROR(__xludf.DUMMYFUNCTION("""COMPUTED_VALUE"""),0.0)</f>
        <v>0</v>
      </c>
      <c r="F21" s="388">
        <f>IFERROR(__xludf.DUMMYFUNCTION("""COMPUTED_VALUE"""),0.0)</f>
        <v>0</v>
      </c>
      <c r="G21" s="388">
        <f>IFERROR(__xludf.DUMMYFUNCTION("""COMPUTED_VALUE"""),0.0)</f>
        <v>0</v>
      </c>
      <c r="H21" s="388">
        <f>IFERROR(__xludf.DUMMYFUNCTION("""COMPUTED_VALUE"""),0.0)</f>
        <v>0</v>
      </c>
      <c r="I21" s="388">
        <f>IFERROR(__xludf.DUMMYFUNCTION("""COMPUTED_VALUE"""),0.0)</f>
        <v>0</v>
      </c>
      <c r="J21" s="388">
        <f>IFERROR(__xludf.DUMMYFUNCTION("""COMPUTED_VALUE"""),0.0)</f>
        <v>0</v>
      </c>
      <c r="K21" s="388">
        <f>IFERROR(__xludf.DUMMYFUNCTION("""COMPUTED_VALUE"""),0.0)</f>
        <v>0</v>
      </c>
      <c r="L21" s="388">
        <f>IFERROR(__xludf.DUMMYFUNCTION("""COMPUTED_VALUE"""),0.0)</f>
        <v>0</v>
      </c>
      <c r="M21" s="388">
        <f>IFERROR(__xludf.DUMMYFUNCTION("""COMPUTED_VALUE"""),0.0)</f>
        <v>0</v>
      </c>
      <c r="N21" s="388">
        <f>IFERROR(__xludf.DUMMYFUNCTION("""COMPUTED_VALUE"""),0.0)</f>
        <v>0</v>
      </c>
      <c r="O21" s="388">
        <f>IFERROR(__xludf.DUMMYFUNCTION("""COMPUTED_VALUE"""),0.0)</f>
        <v>0</v>
      </c>
      <c r="P21" s="388">
        <f>IFERROR(__xludf.DUMMYFUNCTION("""COMPUTED_VALUE"""),0.0)</f>
        <v>0</v>
      </c>
      <c r="Q21" s="388">
        <f>IFERROR(__xludf.DUMMYFUNCTION("""COMPUTED_VALUE"""),0.0)</f>
        <v>0</v>
      </c>
      <c r="R21" s="388">
        <f>IFERROR(__xludf.DUMMYFUNCTION("""COMPUTED_VALUE"""),0.0)</f>
        <v>0</v>
      </c>
      <c r="S21" s="388">
        <f>IFERROR(__xludf.DUMMYFUNCTION("""COMPUTED_VALUE"""),0.0)</f>
        <v>0</v>
      </c>
      <c r="T21" s="388">
        <f>IFERROR(__xludf.DUMMYFUNCTION("""COMPUTED_VALUE"""),0.0)</f>
        <v>0</v>
      </c>
      <c r="U21" s="388">
        <f>IFERROR(__xludf.DUMMYFUNCTION("""COMPUTED_VALUE"""),0.0)</f>
        <v>0</v>
      </c>
      <c r="V21" s="389">
        <f>IFERROR(__xludf.DUMMYFUNCTION("""COMPUTED_VALUE"""),0.0)</f>
        <v>0</v>
      </c>
      <c r="W21" s="65"/>
      <c r="X21" s="65"/>
    </row>
    <row r="22" ht="14.25" customHeight="1">
      <c r="A22" s="366">
        <f t="shared" si="2"/>
        <v>18</v>
      </c>
      <c r="B22" s="399" t="s">
        <v>756</v>
      </c>
      <c r="C22" s="400"/>
      <c r="D22" s="401" t="s">
        <v>757</v>
      </c>
      <c r="E22" s="388">
        <f>IFERROR(__xludf.DUMMYFUNCTION("""COMPUTED_VALUE"""),0.0)</f>
        <v>0</v>
      </c>
      <c r="F22" s="388">
        <f>IFERROR(__xludf.DUMMYFUNCTION("""COMPUTED_VALUE"""),0.0)</f>
        <v>0</v>
      </c>
      <c r="G22" s="388">
        <f>IFERROR(__xludf.DUMMYFUNCTION("""COMPUTED_VALUE"""),0.0)</f>
        <v>0</v>
      </c>
      <c r="H22" s="388">
        <f>IFERROR(__xludf.DUMMYFUNCTION("""COMPUTED_VALUE"""),0.0)</f>
        <v>0</v>
      </c>
      <c r="I22" s="388">
        <f>IFERROR(__xludf.DUMMYFUNCTION("""COMPUTED_VALUE"""),0.0)</f>
        <v>0</v>
      </c>
      <c r="J22" s="388">
        <f>IFERROR(__xludf.DUMMYFUNCTION("""COMPUTED_VALUE"""),0.0)</f>
        <v>0</v>
      </c>
      <c r="K22" s="388">
        <f>IFERROR(__xludf.DUMMYFUNCTION("""COMPUTED_VALUE"""),0.0)</f>
        <v>0</v>
      </c>
      <c r="L22" s="388">
        <f>IFERROR(__xludf.DUMMYFUNCTION("""COMPUTED_VALUE"""),0.0)</f>
        <v>0</v>
      </c>
      <c r="M22" s="388">
        <f>IFERROR(__xludf.DUMMYFUNCTION("""COMPUTED_VALUE"""),0.0)</f>
        <v>0</v>
      </c>
      <c r="N22" s="388">
        <f>IFERROR(__xludf.DUMMYFUNCTION("""COMPUTED_VALUE"""),0.0)</f>
        <v>0</v>
      </c>
      <c r="O22" s="388">
        <f>IFERROR(__xludf.DUMMYFUNCTION("""COMPUTED_VALUE"""),0.0)</f>
        <v>0</v>
      </c>
      <c r="P22" s="388">
        <f>IFERROR(__xludf.DUMMYFUNCTION("""COMPUTED_VALUE"""),0.0)</f>
        <v>0</v>
      </c>
      <c r="Q22" s="388">
        <f>IFERROR(__xludf.DUMMYFUNCTION("""COMPUTED_VALUE"""),0.0)</f>
        <v>0</v>
      </c>
      <c r="R22" s="388">
        <f>IFERROR(__xludf.DUMMYFUNCTION("""COMPUTED_VALUE"""),0.0)</f>
        <v>0</v>
      </c>
      <c r="S22" s="388">
        <f>IFERROR(__xludf.DUMMYFUNCTION("""COMPUTED_VALUE"""),0.0)</f>
        <v>0</v>
      </c>
      <c r="T22" s="388">
        <f>IFERROR(__xludf.DUMMYFUNCTION("""COMPUTED_VALUE"""),0.0)</f>
        <v>0</v>
      </c>
      <c r="U22" s="388">
        <f>IFERROR(__xludf.DUMMYFUNCTION("""COMPUTED_VALUE"""),0.0)</f>
        <v>0</v>
      </c>
      <c r="V22" s="389">
        <f>IFERROR(__xludf.DUMMYFUNCTION("""COMPUTED_VALUE"""),0.0)</f>
        <v>0</v>
      </c>
      <c r="W22" s="65"/>
      <c r="X22" s="65"/>
    </row>
    <row r="23" ht="14.25" customHeight="1">
      <c r="A23" s="366">
        <f t="shared" si="2"/>
        <v>19</v>
      </c>
      <c r="B23" s="399" t="s">
        <v>758</v>
      </c>
      <c r="C23" s="400"/>
      <c r="D23" s="401" t="s">
        <v>759</v>
      </c>
      <c r="E23" s="388">
        <f>IFERROR(__xludf.DUMMYFUNCTION("""COMPUTED_VALUE"""),0.0)</f>
        <v>0</v>
      </c>
      <c r="F23" s="388">
        <f>IFERROR(__xludf.DUMMYFUNCTION("""COMPUTED_VALUE"""),0.0)</f>
        <v>0</v>
      </c>
      <c r="G23" s="388">
        <f>IFERROR(__xludf.DUMMYFUNCTION("""COMPUTED_VALUE"""),0.0)</f>
        <v>0</v>
      </c>
      <c r="H23" s="388">
        <f>IFERROR(__xludf.DUMMYFUNCTION("""COMPUTED_VALUE"""),0.0)</f>
        <v>0</v>
      </c>
      <c r="I23" s="388">
        <f>IFERROR(__xludf.DUMMYFUNCTION("""COMPUTED_VALUE"""),0.0)</f>
        <v>0</v>
      </c>
      <c r="J23" s="388">
        <f>IFERROR(__xludf.DUMMYFUNCTION("""COMPUTED_VALUE"""),0.0)</f>
        <v>0</v>
      </c>
      <c r="K23" s="388">
        <f>IFERROR(__xludf.DUMMYFUNCTION("""COMPUTED_VALUE"""),0.0)</f>
        <v>0</v>
      </c>
      <c r="L23" s="388">
        <f>IFERROR(__xludf.DUMMYFUNCTION("""COMPUTED_VALUE"""),0.0)</f>
        <v>0</v>
      </c>
      <c r="M23" s="388">
        <f>IFERROR(__xludf.DUMMYFUNCTION("""COMPUTED_VALUE"""),0.0)</f>
        <v>0</v>
      </c>
      <c r="N23" s="388">
        <f>IFERROR(__xludf.DUMMYFUNCTION("""COMPUTED_VALUE"""),0.0)</f>
        <v>0</v>
      </c>
      <c r="O23" s="388">
        <f>IFERROR(__xludf.DUMMYFUNCTION("""COMPUTED_VALUE"""),0.0)</f>
        <v>0</v>
      </c>
      <c r="P23" s="388">
        <f>IFERROR(__xludf.DUMMYFUNCTION("""COMPUTED_VALUE"""),0.0)</f>
        <v>0</v>
      </c>
      <c r="Q23" s="388">
        <f>IFERROR(__xludf.DUMMYFUNCTION("""COMPUTED_VALUE"""),0.0)</f>
        <v>0</v>
      </c>
      <c r="R23" s="388">
        <f>IFERROR(__xludf.DUMMYFUNCTION("""COMPUTED_VALUE"""),0.0)</f>
        <v>0</v>
      </c>
      <c r="S23" s="388">
        <f>IFERROR(__xludf.DUMMYFUNCTION("""COMPUTED_VALUE"""),0.0)</f>
        <v>0</v>
      </c>
      <c r="T23" s="388">
        <f>IFERROR(__xludf.DUMMYFUNCTION("""COMPUTED_VALUE"""),0.0)</f>
        <v>0</v>
      </c>
      <c r="U23" s="388">
        <f>IFERROR(__xludf.DUMMYFUNCTION("""COMPUTED_VALUE"""),0.0)</f>
        <v>0</v>
      </c>
      <c r="V23" s="389">
        <f>IFERROR(__xludf.DUMMYFUNCTION("""COMPUTED_VALUE"""),0.0)</f>
        <v>0</v>
      </c>
      <c r="W23" s="65"/>
      <c r="X23" s="65"/>
    </row>
    <row r="24" ht="14.25" customHeight="1">
      <c r="A24" s="366">
        <f t="shared" si="2"/>
        <v>20</v>
      </c>
      <c r="B24" s="399" t="s">
        <v>760</v>
      </c>
      <c r="C24" s="400"/>
      <c r="D24" s="401" t="s">
        <v>761</v>
      </c>
      <c r="E24" s="388">
        <f>IFERROR(__xludf.DUMMYFUNCTION("""COMPUTED_VALUE"""),0.0)</f>
        <v>0</v>
      </c>
      <c r="F24" s="388">
        <f>IFERROR(__xludf.DUMMYFUNCTION("""COMPUTED_VALUE"""),0.0)</f>
        <v>0</v>
      </c>
      <c r="G24" s="388">
        <f>IFERROR(__xludf.DUMMYFUNCTION("""COMPUTED_VALUE"""),0.0)</f>
        <v>0</v>
      </c>
      <c r="H24" s="388">
        <f>IFERROR(__xludf.DUMMYFUNCTION("""COMPUTED_VALUE"""),0.0)</f>
        <v>0</v>
      </c>
      <c r="I24" s="388">
        <f>IFERROR(__xludf.DUMMYFUNCTION("""COMPUTED_VALUE"""),0.0)</f>
        <v>0</v>
      </c>
      <c r="J24" s="388">
        <f>IFERROR(__xludf.DUMMYFUNCTION("""COMPUTED_VALUE"""),0.0)</f>
        <v>0</v>
      </c>
      <c r="K24" s="388">
        <f>IFERROR(__xludf.DUMMYFUNCTION("""COMPUTED_VALUE"""),0.0)</f>
        <v>0</v>
      </c>
      <c r="L24" s="388">
        <f>IFERROR(__xludf.DUMMYFUNCTION("""COMPUTED_VALUE"""),0.0)</f>
        <v>0</v>
      </c>
      <c r="M24" s="388">
        <f>IFERROR(__xludf.DUMMYFUNCTION("""COMPUTED_VALUE"""),0.0)</f>
        <v>0</v>
      </c>
      <c r="N24" s="388">
        <f>IFERROR(__xludf.DUMMYFUNCTION("""COMPUTED_VALUE"""),0.0)</f>
        <v>0</v>
      </c>
      <c r="O24" s="388">
        <f>IFERROR(__xludf.DUMMYFUNCTION("""COMPUTED_VALUE"""),0.0)</f>
        <v>0</v>
      </c>
      <c r="P24" s="388">
        <f>IFERROR(__xludf.DUMMYFUNCTION("""COMPUTED_VALUE"""),0.0)</f>
        <v>0</v>
      </c>
      <c r="Q24" s="388">
        <f>IFERROR(__xludf.DUMMYFUNCTION("""COMPUTED_VALUE"""),0.0)</f>
        <v>0</v>
      </c>
      <c r="R24" s="388">
        <f>IFERROR(__xludf.DUMMYFUNCTION("""COMPUTED_VALUE"""),0.0)</f>
        <v>0</v>
      </c>
      <c r="S24" s="388">
        <f>IFERROR(__xludf.DUMMYFUNCTION("""COMPUTED_VALUE"""),0.0)</f>
        <v>0</v>
      </c>
      <c r="T24" s="388">
        <f>IFERROR(__xludf.DUMMYFUNCTION("""COMPUTED_VALUE"""),0.0)</f>
        <v>0</v>
      </c>
      <c r="U24" s="388">
        <f>IFERROR(__xludf.DUMMYFUNCTION("""COMPUTED_VALUE"""),0.0)</f>
        <v>0</v>
      </c>
      <c r="V24" s="389">
        <f>IFERROR(__xludf.DUMMYFUNCTION("""COMPUTED_VALUE"""),0.0)</f>
        <v>0</v>
      </c>
      <c r="W24" s="65"/>
      <c r="X24" s="65"/>
    </row>
    <row r="25" ht="14.25" customHeight="1">
      <c r="A25" s="366">
        <f t="shared" si="2"/>
        <v>21</v>
      </c>
      <c r="B25" s="399" t="s">
        <v>762</v>
      </c>
      <c r="C25" s="400"/>
      <c r="D25" s="401" t="s">
        <v>763</v>
      </c>
      <c r="E25" s="388">
        <f>IFERROR(__xludf.DUMMYFUNCTION("""COMPUTED_VALUE"""),0.0)</f>
        <v>0</v>
      </c>
      <c r="F25" s="388">
        <f>IFERROR(__xludf.DUMMYFUNCTION("""COMPUTED_VALUE"""),0.0)</f>
        <v>0</v>
      </c>
      <c r="G25" s="388">
        <f>IFERROR(__xludf.DUMMYFUNCTION("""COMPUTED_VALUE"""),0.0)</f>
        <v>0</v>
      </c>
      <c r="H25" s="388">
        <f>IFERROR(__xludf.DUMMYFUNCTION("""COMPUTED_VALUE"""),0.0)</f>
        <v>0</v>
      </c>
      <c r="I25" s="388">
        <f>IFERROR(__xludf.DUMMYFUNCTION("""COMPUTED_VALUE"""),0.0)</f>
        <v>0</v>
      </c>
      <c r="J25" s="388">
        <f>IFERROR(__xludf.DUMMYFUNCTION("""COMPUTED_VALUE"""),0.0)</f>
        <v>0</v>
      </c>
      <c r="K25" s="388">
        <f>IFERROR(__xludf.DUMMYFUNCTION("""COMPUTED_VALUE"""),0.0)</f>
        <v>0</v>
      </c>
      <c r="L25" s="388">
        <f>IFERROR(__xludf.DUMMYFUNCTION("""COMPUTED_VALUE"""),0.0)</f>
        <v>0</v>
      </c>
      <c r="M25" s="388">
        <f>IFERROR(__xludf.DUMMYFUNCTION("""COMPUTED_VALUE"""),0.0)</f>
        <v>0</v>
      </c>
      <c r="N25" s="388">
        <f>IFERROR(__xludf.DUMMYFUNCTION("""COMPUTED_VALUE"""),0.0)</f>
        <v>0</v>
      </c>
      <c r="O25" s="388">
        <f>IFERROR(__xludf.DUMMYFUNCTION("""COMPUTED_VALUE"""),0.0)</f>
        <v>0</v>
      </c>
      <c r="P25" s="388">
        <f>IFERROR(__xludf.DUMMYFUNCTION("""COMPUTED_VALUE"""),0.0)</f>
        <v>0</v>
      </c>
      <c r="Q25" s="388">
        <f>IFERROR(__xludf.DUMMYFUNCTION("""COMPUTED_VALUE"""),0.0)</f>
        <v>0</v>
      </c>
      <c r="R25" s="388">
        <f>IFERROR(__xludf.DUMMYFUNCTION("""COMPUTED_VALUE"""),0.0)</f>
        <v>0</v>
      </c>
      <c r="S25" s="388">
        <f>IFERROR(__xludf.DUMMYFUNCTION("""COMPUTED_VALUE"""),0.0)</f>
        <v>0</v>
      </c>
      <c r="T25" s="388">
        <f>IFERROR(__xludf.DUMMYFUNCTION("""COMPUTED_VALUE"""),0.0)</f>
        <v>0</v>
      </c>
      <c r="U25" s="388">
        <f>IFERROR(__xludf.DUMMYFUNCTION("""COMPUTED_VALUE"""),0.0)</f>
        <v>0</v>
      </c>
      <c r="V25" s="389">
        <f>IFERROR(__xludf.DUMMYFUNCTION("""COMPUTED_VALUE"""),0.0)</f>
        <v>0</v>
      </c>
      <c r="W25" s="65"/>
      <c r="X25" s="65"/>
    </row>
    <row r="26" ht="14.25" customHeight="1">
      <c r="A26" s="366">
        <f t="shared" si="2"/>
        <v>22</v>
      </c>
      <c r="B26" s="399" t="s">
        <v>764</v>
      </c>
      <c r="C26" s="400"/>
      <c r="D26" s="401" t="s">
        <v>765</v>
      </c>
      <c r="E26" s="388">
        <f>IFERROR(__xludf.DUMMYFUNCTION("""COMPUTED_VALUE"""),0.0)</f>
        <v>0</v>
      </c>
      <c r="F26" s="388">
        <f>IFERROR(__xludf.DUMMYFUNCTION("""COMPUTED_VALUE"""),0.0)</f>
        <v>0</v>
      </c>
      <c r="G26" s="388">
        <f>IFERROR(__xludf.DUMMYFUNCTION("""COMPUTED_VALUE"""),0.0)</f>
        <v>0</v>
      </c>
      <c r="H26" s="388">
        <f>IFERROR(__xludf.DUMMYFUNCTION("""COMPUTED_VALUE"""),0.0)</f>
        <v>0</v>
      </c>
      <c r="I26" s="388">
        <f>IFERROR(__xludf.DUMMYFUNCTION("""COMPUTED_VALUE"""),0.0)</f>
        <v>0</v>
      </c>
      <c r="J26" s="388">
        <f>IFERROR(__xludf.DUMMYFUNCTION("""COMPUTED_VALUE"""),0.0)</f>
        <v>0</v>
      </c>
      <c r="K26" s="388">
        <f>IFERROR(__xludf.DUMMYFUNCTION("""COMPUTED_VALUE"""),0.0)</f>
        <v>0</v>
      </c>
      <c r="L26" s="388">
        <f>IFERROR(__xludf.DUMMYFUNCTION("""COMPUTED_VALUE"""),0.0)</f>
        <v>0</v>
      </c>
      <c r="M26" s="388">
        <f>IFERROR(__xludf.DUMMYFUNCTION("""COMPUTED_VALUE"""),0.0)</f>
        <v>0</v>
      </c>
      <c r="N26" s="388">
        <f>IFERROR(__xludf.DUMMYFUNCTION("""COMPUTED_VALUE"""),0.0)</f>
        <v>0</v>
      </c>
      <c r="O26" s="388">
        <f>IFERROR(__xludf.DUMMYFUNCTION("""COMPUTED_VALUE"""),0.0)</f>
        <v>0</v>
      </c>
      <c r="P26" s="388">
        <f>IFERROR(__xludf.DUMMYFUNCTION("""COMPUTED_VALUE"""),0.0)</f>
        <v>0</v>
      </c>
      <c r="Q26" s="388">
        <f>IFERROR(__xludf.DUMMYFUNCTION("""COMPUTED_VALUE"""),0.0)</f>
        <v>0</v>
      </c>
      <c r="R26" s="388">
        <f>IFERROR(__xludf.DUMMYFUNCTION("""COMPUTED_VALUE"""),0.0)</f>
        <v>0</v>
      </c>
      <c r="S26" s="388">
        <f>IFERROR(__xludf.DUMMYFUNCTION("""COMPUTED_VALUE"""),0.0)</f>
        <v>0</v>
      </c>
      <c r="T26" s="388">
        <f>IFERROR(__xludf.DUMMYFUNCTION("""COMPUTED_VALUE"""),0.0)</f>
        <v>0</v>
      </c>
      <c r="U26" s="388">
        <f>IFERROR(__xludf.DUMMYFUNCTION("""COMPUTED_VALUE"""),0.0)</f>
        <v>0</v>
      </c>
      <c r="V26" s="389">
        <f>IFERROR(__xludf.DUMMYFUNCTION("""COMPUTED_VALUE"""),0.0)</f>
        <v>0</v>
      </c>
      <c r="W26" s="65"/>
      <c r="X26" s="65"/>
    </row>
    <row r="27" ht="14.25" customHeight="1">
      <c r="A27" s="366">
        <f t="shared" si="2"/>
        <v>23</v>
      </c>
      <c r="B27" s="399" t="s">
        <v>766</v>
      </c>
      <c r="C27" s="400"/>
      <c r="D27" s="401" t="s">
        <v>767</v>
      </c>
      <c r="E27" s="388">
        <f>IFERROR(__xludf.DUMMYFUNCTION("""COMPUTED_VALUE"""),0.0)</f>
        <v>0</v>
      </c>
      <c r="F27" s="388">
        <f>IFERROR(__xludf.DUMMYFUNCTION("""COMPUTED_VALUE"""),0.0)</f>
        <v>0</v>
      </c>
      <c r="G27" s="388">
        <f>IFERROR(__xludf.DUMMYFUNCTION("""COMPUTED_VALUE"""),0.0)</f>
        <v>0</v>
      </c>
      <c r="H27" s="388">
        <f>IFERROR(__xludf.DUMMYFUNCTION("""COMPUTED_VALUE"""),0.0)</f>
        <v>0</v>
      </c>
      <c r="I27" s="388">
        <f>IFERROR(__xludf.DUMMYFUNCTION("""COMPUTED_VALUE"""),0.0)</f>
        <v>0</v>
      </c>
      <c r="J27" s="388">
        <f>IFERROR(__xludf.DUMMYFUNCTION("""COMPUTED_VALUE"""),0.0)</f>
        <v>0</v>
      </c>
      <c r="K27" s="388">
        <f>IFERROR(__xludf.DUMMYFUNCTION("""COMPUTED_VALUE"""),0.0)</f>
        <v>0</v>
      </c>
      <c r="L27" s="388">
        <f>IFERROR(__xludf.DUMMYFUNCTION("""COMPUTED_VALUE"""),0.0)</f>
        <v>0</v>
      </c>
      <c r="M27" s="388">
        <f>IFERROR(__xludf.DUMMYFUNCTION("""COMPUTED_VALUE"""),0.0)</f>
        <v>0</v>
      </c>
      <c r="N27" s="388">
        <f>IFERROR(__xludf.DUMMYFUNCTION("""COMPUTED_VALUE"""),0.0)</f>
        <v>0</v>
      </c>
      <c r="O27" s="388">
        <f>IFERROR(__xludf.DUMMYFUNCTION("""COMPUTED_VALUE"""),0.0)</f>
        <v>0</v>
      </c>
      <c r="P27" s="388">
        <f>IFERROR(__xludf.DUMMYFUNCTION("""COMPUTED_VALUE"""),0.0)</f>
        <v>0</v>
      </c>
      <c r="Q27" s="388">
        <f>IFERROR(__xludf.DUMMYFUNCTION("""COMPUTED_VALUE"""),0.0)</f>
        <v>0</v>
      </c>
      <c r="R27" s="388">
        <f>IFERROR(__xludf.DUMMYFUNCTION("""COMPUTED_VALUE"""),0.0)</f>
        <v>0</v>
      </c>
      <c r="S27" s="388">
        <f>IFERROR(__xludf.DUMMYFUNCTION("""COMPUTED_VALUE"""),0.0)</f>
        <v>0</v>
      </c>
      <c r="T27" s="388">
        <f>IFERROR(__xludf.DUMMYFUNCTION("""COMPUTED_VALUE"""),0.0)</f>
        <v>0</v>
      </c>
      <c r="U27" s="388">
        <f>IFERROR(__xludf.DUMMYFUNCTION("""COMPUTED_VALUE"""),0.0)</f>
        <v>0</v>
      </c>
      <c r="V27" s="389">
        <f>IFERROR(__xludf.DUMMYFUNCTION("""COMPUTED_VALUE"""),0.0)</f>
        <v>0</v>
      </c>
      <c r="W27" s="65"/>
      <c r="X27" s="65"/>
    </row>
    <row r="28" ht="14.25" customHeight="1">
      <c r="A28" s="366">
        <f t="shared" si="2"/>
        <v>24</v>
      </c>
      <c r="B28" s="399" t="s">
        <v>768</v>
      </c>
      <c r="C28" s="400"/>
      <c r="D28" s="401" t="s">
        <v>769</v>
      </c>
      <c r="E28" s="388">
        <f>IFERROR(__xludf.DUMMYFUNCTION("""COMPUTED_VALUE"""),0.0)</f>
        <v>0</v>
      </c>
      <c r="F28" s="388">
        <f>IFERROR(__xludf.DUMMYFUNCTION("""COMPUTED_VALUE"""),0.0)</f>
        <v>0</v>
      </c>
      <c r="G28" s="388">
        <f>IFERROR(__xludf.DUMMYFUNCTION("""COMPUTED_VALUE"""),0.0)</f>
        <v>0</v>
      </c>
      <c r="H28" s="388">
        <f>IFERROR(__xludf.DUMMYFUNCTION("""COMPUTED_VALUE"""),0.0)</f>
        <v>0</v>
      </c>
      <c r="I28" s="388">
        <f>IFERROR(__xludf.DUMMYFUNCTION("""COMPUTED_VALUE"""),0.0)</f>
        <v>0</v>
      </c>
      <c r="J28" s="388">
        <f>IFERROR(__xludf.DUMMYFUNCTION("""COMPUTED_VALUE"""),0.0)</f>
        <v>0</v>
      </c>
      <c r="K28" s="388">
        <f>IFERROR(__xludf.DUMMYFUNCTION("""COMPUTED_VALUE"""),0.0)</f>
        <v>0</v>
      </c>
      <c r="L28" s="388">
        <f>IFERROR(__xludf.DUMMYFUNCTION("""COMPUTED_VALUE"""),0.0)</f>
        <v>0</v>
      </c>
      <c r="M28" s="388">
        <f>IFERROR(__xludf.DUMMYFUNCTION("""COMPUTED_VALUE"""),0.0)</f>
        <v>0</v>
      </c>
      <c r="N28" s="388">
        <f>IFERROR(__xludf.DUMMYFUNCTION("""COMPUTED_VALUE"""),0.0)</f>
        <v>0</v>
      </c>
      <c r="O28" s="388">
        <f>IFERROR(__xludf.DUMMYFUNCTION("""COMPUTED_VALUE"""),0.0)</f>
        <v>0</v>
      </c>
      <c r="P28" s="388">
        <f>IFERROR(__xludf.DUMMYFUNCTION("""COMPUTED_VALUE"""),0.0)</f>
        <v>0</v>
      </c>
      <c r="Q28" s="388">
        <f>IFERROR(__xludf.DUMMYFUNCTION("""COMPUTED_VALUE"""),0.0)</f>
        <v>0</v>
      </c>
      <c r="R28" s="388">
        <f>IFERROR(__xludf.DUMMYFUNCTION("""COMPUTED_VALUE"""),0.0)</f>
        <v>0</v>
      </c>
      <c r="S28" s="388">
        <f>IFERROR(__xludf.DUMMYFUNCTION("""COMPUTED_VALUE"""),0.0)</f>
        <v>0</v>
      </c>
      <c r="T28" s="388">
        <f>IFERROR(__xludf.DUMMYFUNCTION("""COMPUTED_VALUE"""),0.0)</f>
        <v>0</v>
      </c>
      <c r="U28" s="388">
        <f>IFERROR(__xludf.DUMMYFUNCTION("""COMPUTED_VALUE"""),0.0)</f>
        <v>0</v>
      </c>
      <c r="V28" s="389">
        <f>IFERROR(__xludf.DUMMYFUNCTION("""COMPUTED_VALUE"""),0.0)</f>
        <v>0</v>
      </c>
      <c r="W28" s="65"/>
      <c r="X28" s="65"/>
    </row>
    <row r="29" ht="14.25" customHeight="1">
      <c r="A29" s="366">
        <f t="shared" si="2"/>
        <v>25</v>
      </c>
      <c r="B29" s="399" t="s">
        <v>770</v>
      </c>
      <c r="C29" s="400"/>
      <c r="D29" s="401" t="s">
        <v>771</v>
      </c>
      <c r="E29" s="388">
        <f>IFERROR(__xludf.DUMMYFUNCTION("""COMPUTED_VALUE"""),0.0)</f>
        <v>0</v>
      </c>
      <c r="F29" s="388">
        <f>IFERROR(__xludf.DUMMYFUNCTION("""COMPUTED_VALUE"""),0.0)</f>
        <v>0</v>
      </c>
      <c r="G29" s="388">
        <f>IFERROR(__xludf.DUMMYFUNCTION("""COMPUTED_VALUE"""),0.0)</f>
        <v>0</v>
      </c>
      <c r="H29" s="388">
        <f>IFERROR(__xludf.DUMMYFUNCTION("""COMPUTED_VALUE"""),0.0)</f>
        <v>0</v>
      </c>
      <c r="I29" s="388">
        <f>IFERROR(__xludf.DUMMYFUNCTION("""COMPUTED_VALUE"""),0.0)</f>
        <v>0</v>
      </c>
      <c r="J29" s="388">
        <f>IFERROR(__xludf.DUMMYFUNCTION("""COMPUTED_VALUE"""),0.0)</f>
        <v>0</v>
      </c>
      <c r="K29" s="388">
        <f>IFERROR(__xludf.DUMMYFUNCTION("""COMPUTED_VALUE"""),0.0)</f>
        <v>0</v>
      </c>
      <c r="L29" s="388">
        <f>IFERROR(__xludf.DUMMYFUNCTION("""COMPUTED_VALUE"""),0.0)</f>
        <v>0</v>
      </c>
      <c r="M29" s="388">
        <f>IFERROR(__xludf.DUMMYFUNCTION("""COMPUTED_VALUE"""),0.0)</f>
        <v>0</v>
      </c>
      <c r="N29" s="388">
        <f>IFERROR(__xludf.DUMMYFUNCTION("""COMPUTED_VALUE"""),0.0)</f>
        <v>0</v>
      </c>
      <c r="O29" s="388">
        <f>IFERROR(__xludf.DUMMYFUNCTION("""COMPUTED_VALUE"""),0.0)</f>
        <v>0</v>
      </c>
      <c r="P29" s="388">
        <f>IFERROR(__xludf.DUMMYFUNCTION("""COMPUTED_VALUE"""),0.0)</f>
        <v>0</v>
      </c>
      <c r="Q29" s="388">
        <f>IFERROR(__xludf.DUMMYFUNCTION("""COMPUTED_VALUE"""),0.0)</f>
        <v>0</v>
      </c>
      <c r="R29" s="388">
        <f>IFERROR(__xludf.DUMMYFUNCTION("""COMPUTED_VALUE"""),0.0)</f>
        <v>0</v>
      </c>
      <c r="S29" s="388">
        <f>IFERROR(__xludf.DUMMYFUNCTION("""COMPUTED_VALUE"""),0.0)</f>
        <v>0</v>
      </c>
      <c r="T29" s="388">
        <f>IFERROR(__xludf.DUMMYFUNCTION("""COMPUTED_VALUE"""),0.0)</f>
        <v>0</v>
      </c>
      <c r="U29" s="388">
        <f>IFERROR(__xludf.DUMMYFUNCTION("""COMPUTED_VALUE"""),0.0)</f>
        <v>0</v>
      </c>
      <c r="V29" s="389">
        <f>IFERROR(__xludf.DUMMYFUNCTION("""COMPUTED_VALUE"""),0.0)</f>
        <v>0</v>
      </c>
      <c r="W29" s="65"/>
      <c r="X29" s="65"/>
    </row>
    <row r="30" ht="14.25" customHeight="1">
      <c r="A30" s="366">
        <f t="shared" si="2"/>
        <v>26</v>
      </c>
      <c r="B30" s="399" t="s">
        <v>1019</v>
      </c>
      <c r="C30" s="400"/>
      <c r="D30" s="401" t="s">
        <v>1020</v>
      </c>
      <c r="E30" s="388">
        <f>IFERROR(__xludf.DUMMYFUNCTION("""COMPUTED_VALUE"""),0.0)</f>
        <v>0</v>
      </c>
      <c r="F30" s="388">
        <f>IFERROR(__xludf.DUMMYFUNCTION("""COMPUTED_VALUE"""),0.0)</f>
        <v>0</v>
      </c>
      <c r="G30" s="388">
        <f>IFERROR(__xludf.DUMMYFUNCTION("""COMPUTED_VALUE"""),0.0)</f>
        <v>0</v>
      </c>
      <c r="H30" s="388">
        <f>IFERROR(__xludf.DUMMYFUNCTION("""COMPUTED_VALUE"""),0.0)</f>
        <v>0</v>
      </c>
      <c r="I30" s="388">
        <f>IFERROR(__xludf.DUMMYFUNCTION("""COMPUTED_VALUE"""),0.0)</f>
        <v>0</v>
      </c>
      <c r="J30" s="388">
        <f>IFERROR(__xludf.DUMMYFUNCTION("""COMPUTED_VALUE"""),0.0)</f>
        <v>0</v>
      </c>
      <c r="K30" s="388">
        <f>IFERROR(__xludf.DUMMYFUNCTION("""COMPUTED_VALUE"""),0.0)</f>
        <v>0</v>
      </c>
      <c r="L30" s="388">
        <f>IFERROR(__xludf.DUMMYFUNCTION("""COMPUTED_VALUE"""),0.0)</f>
        <v>0</v>
      </c>
      <c r="M30" s="388">
        <f>IFERROR(__xludf.DUMMYFUNCTION("""COMPUTED_VALUE"""),0.0)</f>
        <v>0</v>
      </c>
      <c r="N30" s="388">
        <f>IFERROR(__xludf.DUMMYFUNCTION("""COMPUTED_VALUE"""),0.0)</f>
        <v>0</v>
      </c>
      <c r="O30" s="388">
        <f>IFERROR(__xludf.DUMMYFUNCTION("""COMPUTED_VALUE"""),0.0)</f>
        <v>0</v>
      </c>
      <c r="P30" s="388">
        <f>IFERROR(__xludf.DUMMYFUNCTION("""COMPUTED_VALUE"""),0.0)</f>
        <v>0</v>
      </c>
      <c r="Q30" s="388">
        <f>IFERROR(__xludf.DUMMYFUNCTION("""COMPUTED_VALUE"""),0.0)</f>
        <v>0</v>
      </c>
      <c r="R30" s="388">
        <f>IFERROR(__xludf.DUMMYFUNCTION("""COMPUTED_VALUE"""),0.0)</f>
        <v>0</v>
      </c>
      <c r="S30" s="388">
        <f>IFERROR(__xludf.DUMMYFUNCTION("""COMPUTED_VALUE"""),0.0)</f>
        <v>0</v>
      </c>
      <c r="T30" s="388">
        <f>IFERROR(__xludf.DUMMYFUNCTION("""COMPUTED_VALUE"""),0.0)</f>
        <v>0</v>
      </c>
      <c r="U30" s="388">
        <f>IFERROR(__xludf.DUMMYFUNCTION("""COMPUTED_VALUE"""),0.0)</f>
        <v>0</v>
      </c>
      <c r="V30" s="389">
        <f>IFERROR(__xludf.DUMMYFUNCTION("""COMPUTED_VALUE"""),0.0)</f>
        <v>0</v>
      </c>
      <c r="W30" s="65"/>
      <c r="X30" s="65"/>
    </row>
    <row r="31" ht="14.25" customHeight="1">
      <c r="A31" s="366">
        <f t="shared" si="2"/>
        <v>27</v>
      </c>
      <c r="B31" s="402" t="s">
        <v>772</v>
      </c>
      <c r="C31" s="403"/>
      <c r="D31" s="404"/>
      <c r="E31" s="405">
        <f>IFERROR(__xludf.DUMMYFUNCTION("""COMPUTED_VALUE"""),0.0)</f>
        <v>0</v>
      </c>
      <c r="F31" s="405">
        <f>IFERROR(__xludf.DUMMYFUNCTION("""COMPUTED_VALUE"""),0.0)</f>
        <v>0</v>
      </c>
      <c r="G31" s="405">
        <f>IFERROR(__xludf.DUMMYFUNCTION("""COMPUTED_VALUE"""),0.0)</f>
        <v>0</v>
      </c>
      <c r="H31" s="405">
        <f>IFERROR(__xludf.DUMMYFUNCTION("""COMPUTED_VALUE"""),0.0)</f>
        <v>0</v>
      </c>
      <c r="I31" s="405">
        <f>IFERROR(__xludf.DUMMYFUNCTION("""COMPUTED_VALUE"""),0.0)</f>
        <v>0</v>
      </c>
      <c r="J31" s="405">
        <f>IFERROR(__xludf.DUMMYFUNCTION("""COMPUTED_VALUE"""),0.0)</f>
        <v>0</v>
      </c>
      <c r="K31" s="405">
        <f>IFERROR(__xludf.DUMMYFUNCTION("""COMPUTED_VALUE"""),0.0)</f>
        <v>0</v>
      </c>
      <c r="L31" s="405">
        <f>IFERROR(__xludf.DUMMYFUNCTION("""COMPUTED_VALUE"""),0.0)</f>
        <v>0</v>
      </c>
      <c r="M31" s="405">
        <f>IFERROR(__xludf.DUMMYFUNCTION("""COMPUTED_VALUE"""),0.0)</f>
        <v>0</v>
      </c>
      <c r="N31" s="405">
        <f>IFERROR(__xludf.DUMMYFUNCTION("""COMPUTED_VALUE"""),0.0)</f>
        <v>0</v>
      </c>
      <c r="O31" s="405">
        <f>IFERROR(__xludf.DUMMYFUNCTION("""COMPUTED_VALUE"""),0.0)</f>
        <v>0</v>
      </c>
      <c r="P31" s="405">
        <f>IFERROR(__xludf.DUMMYFUNCTION("""COMPUTED_VALUE"""),0.0)</f>
        <v>0</v>
      </c>
      <c r="Q31" s="405">
        <f>IFERROR(__xludf.DUMMYFUNCTION("""COMPUTED_VALUE"""),0.0)</f>
        <v>0</v>
      </c>
      <c r="R31" s="405">
        <f>IFERROR(__xludf.DUMMYFUNCTION("""COMPUTED_VALUE"""),0.0)</f>
        <v>0</v>
      </c>
      <c r="S31" s="405">
        <f>IFERROR(__xludf.DUMMYFUNCTION("""COMPUTED_VALUE"""),0.0)</f>
        <v>0</v>
      </c>
      <c r="T31" s="405">
        <f>IFERROR(__xludf.DUMMYFUNCTION("""COMPUTED_VALUE"""),0.0)</f>
        <v>0</v>
      </c>
      <c r="U31" s="405">
        <f>IFERROR(__xludf.DUMMYFUNCTION("""COMPUTED_VALUE"""),0.0)</f>
        <v>0</v>
      </c>
      <c r="V31" s="405">
        <f>IFERROR(__xludf.DUMMYFUNCTION("""COMPUTED_VALUE"""),0.0)</f>
        <v>0</v>
      </c>
      <c r="W31" s="65"/>
      <c r="X31" s="65"/>
    </row>
    <row r="32" ht="14.25" customHeight="1">
      <c r="A32" s="366">
        <f t="shared" si="2"/>
        <v>28</v>
      </c>
      <c r="B32" s="406"/>
      <c r="C32" s="400"/>
      <c r="D32" s="401" t="s">
        <v>773</v>
      </c>
      <c r="E32" s="388">
        <f>IFERROR(__xludf.DUMMYFUNCTION("""COMPUTED_VALUE"""),0.0)</f>
        <v>0</v>
      </c>
      <c r="F32" s="388">
        <f>IFERROR(__xludf.DUMMYFUNCTION("""COMPUTED_VALUE"""),0.0)</f>
        <v>0</v>
      </c>
      <c r="G32" s="388">
        <f>IFERROR(__xludf.DUMMYFUNCTION("""COMPUTED_VALUE"""),0.0)</f>
        <v>0</v>
      </c>
      <c r="H32" s="388">
        <f>IFERROR(__xludf.DUMMYFUNCTION("""COMPUTED_VALUE"""),0.0)</f>
        <v>0</v>
      </c>
      <c r="I32" s="388">
        <f>IFERROR(__xludf.DUMMYFUNCTION("""COMPUTED_VALUE"""),0.0)</f>
        <v>0</v>
      </c>
      <c r="J32" s="388">
        <f>IFERROR(__xludf.DUMMYFUNCTION("""COMPUTED_VALUE"""),0.0)</f>
        <v>0</v>
      </c>
      <c r="K32" s="388">
        <f>IFERROR(__xludf.DUMMYFUNCTION("""COMPUTED_VALUE"""),0.0)</f>
        <v>0</v>
      </c>
      <c r="L32" s="388">
        <f>IFERROR(__xludf.DUMMYFUNCTION("""COMPUTED_VALUE"""),0.0)</f>
        <v>0</v>
      </c>
      <c r="M32" s="388">
        <f>IFERROR(__xludf.DUMMYFUNCTION("""COMPUTED_VALUE"""),0.0)</f>
        <v>0</v>
      </c>
      <c r="N32" s="388">
        <f>IFERROR(__xludf.DUMMYFUNCTION("""COMPUTED_VALUE"""),0.0)</f>
        <v>0</v>
      </c>
      <c r="O32" s="388">
        <f>IFERROR(__xludf.DUMMYFUNCTION("""COMPUTED_VALUE"""),0.0)</f>
        <v>0</v>
      </c>
      <c r="P32" s="388">
        <f>IFERROR(__xludf.DUMMYFUNCTION("""COMPUTED_VALUE"""),0.0)</f>
        <v>0</v>
      </c>
      <c r="Q32" s="388">
        <f>IFERROR(__xludf.DUMMYFUNCTION("""COMPUTED_VALUE"""),0.0)</f>
        <v>0</v>
      </c>
      <c r="R32" s="388">
        <f>IFERROR(__xludf.DUMMYFUNCTION("""COMPUTED_VALUE"""),0.0)</f>
        <v>0</v>
      </c>
      <c r="S32" s="388">
        <f>IFERROR(__xludf.DUMMYFUNCTION("""COMPUTED_VALUE"""),0.0)</f>
        <v>0</v>
      </c>
      <c r="T32" s="388">
        <f>IFERROR(__xludf.DUMMYFUNCTION("""COMPUTED_VALUE"""),0.0)</f>
        <v>0</v>
      </c>
      <c r="U32" s="388">
        <f>IFERROR(__xludf.DUMMYFUNCTION("""COMPUTED_VALUE"""),0.0)</f>
        <v>0</v>
      </c>
      <c r="V32" s="389">
        <f>IFERROR(__xludf.DUMMYFUNCTION("""COMPUTED_VALUE"""),0.0)</f>
        <v>0</v>
      </c>
      <c r="W32" s="65"/>
      <c r="X32" s="65"/>
    </row>
    <row r="33" ht="14.25" customHeight="1">
      <c r="A33" s="366">
        <f t="shared" si="2"/>
        <v>29</v>
      </c>
      <c r="B33" s="402" t="s">
        <v>774</v>
      </c>
      <c r="C33" s="403"/>
      <c r="D33" s="404"/>
      <c r="E33" s="405">
        <f>IFERROR(__xludf.DUMMYFUNCTION("""COMPUTED_VALUE"""),0.0)</f>
        <v>0</v>
      </c>
      <c r="F33" s="405">
        <f>IFERROR(__xludf.DUMMYFUNCTION("""COMPUTED_VALUE"""),0.0)</f>
        <v>0</v>
      </c>
      <c r="G33" s="405">
        <f>IFERROR(__xludf.DUMMYFUNCTION("""COMPUTED_VALUE"""),0.0)</f>
        <v>0</v>
      </c>
      <c r="H33" s="405">
        <f>IFERROR(__xludf.DUMMYFUNCTION("""COMPUTED_VALUE"""),0.0)</f>
        <v>0</v>
      </c>
      <c r="I33" s="405">
        <f>IFERROR(__xludf.DUMMYFUNCTION("""COMPUTED_VALUE"""),0.0)</f>
        <v>0</v>
      </c>
      <c r="J33" s="405">
        <f>IFERROR(__xludf.DUMMYFUNCTION("""COMPUTED_VALUE"""),0.0)</f>
        <v>0</v>
      </c>
      <c r="K33" s="405">
        <f>IFERROR(__xludf.DUMMYFUNCTION("""COMPUTED_VALUE"""),0.0)</f>
        <v>0</v>
      </c>
      <c r="L33" s="405">
        <f>IFERROR(__xludf.DUMMYFUNCTION("""COMPUTED_VALUE"""),0.0)</f>
        <v>0</v>
      </c>
      <c r="M33" s="405">
        <f>IFERROR(__xludf.DUMMYFUNCTION("""COMPUTED_VALUE"""),0.0)</f>
        <v>0</v>
      </c>
      <c r="N33" s="405">
        <f>IFERROR(__xludf.DUMMYFUNCTION("""COMPUTED_VALUE"""),0.0)</f>
        <v>0</v>
      </c>
      <c r="O33" s="405">
        <f>IFERROR(__xludf.DUMMYFUNCTION("""COMPUTED_VALUE"""),0.0)</f>
        <v>0</v>
      </c>
      <c r="P33" s="405">
        <f>IFERROR(__xludf.DUMMYFUNCTION("""COMPUTED_VALUE"""),0.0)</f>
        <v>0</v>
      </c>
      <c r="Q33" s="405">
        <f>IFERROR(__xludf.DUMMYFUNCTION("""COMPUTED_VALUE"""),0.0)</f>
        <v>0</v>
      </c>
      <c r="R33" s="405">
        <f>IFERROR(__xludf.DUMMYFUNCTION("""COMPUTED_VALUE"""),0.0)</f>
        <v>0</v>
      </c>
      <c r="S33" s="405">
        <f>IFERROR(__xludf.DUMMYFUNCTION("""COMPUTED_VALUE"""),0.0)</f>
        <v>0</v>
      </c>
      <c r="T33" s="405">
        <f>IFERROR(__xludf.DUMMYFUNCTION("""COMPUTED_VALUE"""),0.0)</f>
        <v>0</v>
      </c>
      <c r="U33" s="405">
        <f>IFERROR(__xludf.DUMMYFUNCTION("""COMPUTED_VALUE"""),0.0)</f>
        <v>0</v>
      </c>
      <c r="V33" s="405">
        <f>IFERROR(__xludf.DUMMYFUNCTION("""COMPUTED_VALUE"""),0.0)</f>
        <v>0</v>
      </c>
      <c r="W33" s="65"/>
      <c r="X33" s="65"/>
    </row>
    <row r="34" ht="14.25" customHeight="1">
      <c r="A34" s="366">
        <f t="shared" si="2"/>
        <v>30</v>
      </c>
      <c r="B34" s="399" t="s">
        <v>775</v>
      </c>
      <c r="C34" s="400"/>
      <c r="D34" s="401" t="s">
        <v>776</v>
      </c>
      <c r="E34" s="388">
        <f>IFERROR(__xludf.DUMMYFUNCTION("""COMPUTED_VALUE"""),0.0)</f>
        <v>0</v>
      </c>
      <c r="F34" s="388">
        <f>IFERROR(__xludf.DUMMYFUNCTION("""COMPUTED_VALUE"""),0.0)</f>
        <v>0</v>
      </c>
      <c r="G34" s="388">
        <f>IFERROR(__xludf.DUMMYFUNCTION("""COMPUTED_VALUE"""),0.0)</f>
        <v>0</v>
      </c>
      <c r="H34" s="388">
        <f>IFERROR(__xludf.DUMMYFUNCTION("""COMPUTED_VALUE"""),0.0)</f>
        <v>0</v>
      </c>
      <c r="I34" s="388">
        <f>IFERROR(__xludf.DUMMYFUNCTION("""COMPUTED_VALUE"""),0.0)</f>
        <v>0</v>
      </c>
      <c r="J34" s="388">
        <f>IFERROR(__xludf.DUMMYFUNCTION("""COMPUTED_VALUE"""),0.0)</f>
        <v>0</v>
      </c>
      <c r="K34" s="388">
        <f>IFERROR(__xludf.DUMMYFUNCTION("""COMPUTED_VALUE"""),0.0)</f>
        <v>0</v>
      </c>
      <c r="L34" s="388">
        <f>IFERROR(__xludf.DUMMYFUNCTION("""COMPUTED_VALUE"""),0.0)</f>
        <v>0</v>
      </c>
      <c r="M34" s="388">
        <f>IFERROR(__xludf.DUMMYFUNCTION("""COMPUTED_VALUE"""),0.0)</f>
        <v>0</v>
      </c>
      <c r="N34" s="388">
        <f>IFERROR(__xludf.DUMMYFUNCTION("""COMPUTED_VALUE"""),0.0)</f>
        <v>0</v>
      </c>
      <c r="O34" s="388">
        <f>IFERROR(__xludf.DUMMYFUNCTION("""COMPUTED_VALUE"""),0.0)</f>
        <v>0</v>
      </c>
      <c r="P34" s="388">
        <f>IFERROR(__xludf.DUMMYFUNCTION("""COMPUTED_VALUE"""),0.0)</f>
        <v>0</v>
      </c>
      <c r="Q34" s="388">
        <f>IFERROR(__xludf.DUMMYFUNCTION("""COMPUTED_VALUE"""),0.0)</f>
        <v>0</v>
      </c>
      <c r="R34" s="388">
        <f>IFERROR(__xludf.DUMMYFUNCTION("""COMPUTED_VALUE"""),0.0)</f>
        <v>0</v>
      </c>
      <c r="S34" s="388">
        <f>IFERROR(__xludf.DUMMYFUNCTION("""COMPUTED_VALUE"""),0.0)</f>
        <v>0</v>
      </c>
      <c r="T34" s="388">
        <f>IFERROR(__xludf.DUMMYFUNCTION("""COMPUTED_VALUE"""),0.0)</f>
        <v>0</v>
      </c>
      <c r="U34" s="388">
        <f>IFERROR(__xludf.DUMMYFUNCTION("""COMPUTED_VALUE"""),0.0)</f>
        <v>0</v>
      </c>
      <c r="V34" s="389">
        <f>IFERROR(__xludf.DUMMYFUNCTION("""COMPUTED_VALUE"""),0.0)</f>
        <v>0</v>
      </c>
      <c r="W34" s="65"/>
      <c r="X34" s="65"/>
    </row>
    <row r="35" ht="14.25" customHeight="1">
      <c r="A35" s="366">
        <f t="shared" si="2"/>
        <v>31</v>
      </c>
      <c r="B35" s="399" t="s">
        <v>777</v>
      </c>
      <c r="C35" s="400"/>
      <c r="D35" s="401" t="s">
        <v>778</v>
      </c>
      <c r="E35" s="388">
        <f>IFERROR(__xludf.DUMMYFUNCTION("""COMPUTED_VALUE"""),0.0)</f>
        <v>0</v>
      </c>
      <c r="F35" s="388">
        <f>IFERROR(__xludf.DUMMYFUNCTION("""COMPUTED_VALUE"""),0.0)</f>
        <v>0</v>
      </c>
      <c r="G35" s="388">
        <f>IFERROR(__xludf.DUMMYFUNCTION("""COMPUTED_VALUE"""),0.0)</f>
        <v>0</v>
      </c>
      <c r="H35" s="388">
        <f>IFERROR(__xludf.DUMMYFUNCTION("""COMPUTED_VALUE"""),0.0)</f>
        <v>0</v>
      </c>
      <c r="I35" s="388">
        <f>IFERROR(__xludf.DUMMYFUNCTION("""COMPUTED_VALUE"""),0.0)</f>
        <v>0</v>
      </c>
      <c r="J35" s="388">
        <f>IFERROR(__xludf.DUMMYFUNCTION("""COMPUTED_VALUE"""),0.0)</f>
        <v>0</v>
      </c>
      <c r="K35" s="388">
        <f>IFERROR(__xludf.DUMMYFUNCTION("""COMPUTED_VALUE"""),0.0)</f>
        <v>0</v>
      </c>
      <c r="L35" s="388">
        <f>IFERROR(__xludf.DUMMYFUNCTION("""COMPUTED_VALUE"""),0.0)</f>
        <v>0</v>
      </c>
      <c r="M35" s="388">
        <f>IFERROR(__xludf.DUMMYFUNCTION("""COMPUTED_VALUE"""),0.0)</f>
        <v>0</v>
      </c>
      <c r="N35" s="388">
        <f>IFERROR(__xludf.DUMMYFUNCTION("""COMPUTED_VALUE"""),0.0)</f>
        <v>0</v>
      </c>
      <c r="O35" s="388">
        <f>IFERROR(__xludf.DUMMYFUNCTION("""COMPUTED_VALUE"""),0.0)</f>
        <v>0</v>
      </c>
      <c r="P35" s="388">
        <f>IFERROR(__xludf.DUMMYFUNCTION("""COMPUTED_VALUE"""),0.0)</f>
        <v>0</v>
      </c>
      <c r="Q35" s="388">
        <f>IFERROR(__xludf.DUMMYFUNCTION("""COMPUTED_VALUE"""),0.0)</f>
        <v>0</v>
      </c>
      <c r="R35" s="388">
        <f>IFERROR(__xludf.DUMMYFUNCTION("""COMPUTED_VALUE"""),0.0)</f>
        <v>0</v>
      </c>
      <c r="S35" s="388">
        <f>IFERROR(__xludf.DUMMYFUNCTION("""COMPUTED_VALUE"""),0.0)</f>
        <v>0</v>
      </c>
      <c r="T35" s="388">
        <f>IFERROR(__xludf.DUMMYFUNCTION("""COMPUTED_VALUE"""),0.0)</f>
        <v>0</v>
      </c>
      <c r="U35" s="388">
        <f>IFERROR(__xludf.DUMMYFUNCTION("""COMPUTED_VALUE"""),0.0)</f>
        <v>0</v>
      </c>
      <c r="V35" s="389">
        <f>IFERROR(__xludf.DUMMYFUNCTION("""COMPUTED_VALUE"""),0.0)</f>
        <v>0</v>
      </c>
      <c r="W35" s="65"/>
      <c r="X35" s="65"/>
    </row>
    <row r="36" ht="14.25" customHeight="1">
      <c r="A36" s="366">
        <f t="shared" si="2"/>
        <v>32</v>
      </c>
      <c r="B36" s="399" t="s">
        <v>779</v>
      </c>
      <c r="C36" s="400"/>
      <c r="D36" s="401" t="s">
        <v>780</v>
      </c>
      <c r="E36" s="388">
        <f>IFERROR(__xludf.DUMMYFUNCTION("""COMPUTED_VALUE"""),0.0)</f>
        <v>0</v>
      </c>
      <c r="F36" s="388">
        <f>IFERROR(__xludf.DUMMYFUNCTION("""COMPUTED_VALUE"""),0.0)</f>
        <v>0</v>
      </c>
      <c r="G36" s="388">
        <f>IFERROR(__xludf.DUMMYFUNCTION("""COMPUTED_VALUE"""),0.0)</f>
        <v>0</v>
      </c>
      <c r="H36" s="388">
        <f>IFERROR(__xludf.DUMMYFUNCTION("""COMPUTED_VALUE"""),0.0)</f>
        <v>0</v>
      </c>
      <c r="I36" s="388">
        <f>IFERROR(__xludf.DUMMYFUNCTION("""COMPUTED_VALUE"""),0.0)</f>
        <v>0</v>
      </c>
      <c r="J36" s="388">
        <f>IFERROR(__xludf.DUMMYFUNCTION("""COMPUTED_VALUE"""),0.0)</f>
        <v>0</v>
      </c>
      <c r="K36" s="388">
        <f>IFERROR(__xludf.DUMMYFUNCTION("""COMPUTED_VALUE"""),0.0)</f>
        <v>0</v>
      </c>
      <c r="L36" s="388">
        <f>IFERROR(__xludf.DUMMYFUNCTION("""COMPUTED_VALUE"""),0.0)</f>
        <v>0</v>
      </c>
      <c r="M36" s="388">
        <f>IFERROR(__xludf.DUMMYFUNCTION("""COMPUTED_VALUE"""),0.0)</f>
        <v>0</v>
      </c>
      <c r="N36" s="388">
        <f>IFERROR(__xludf.DUMMYFUNCTION("""COMPUTED_VALUE"""),0.0)</f>
        <v>0</v>
      </c>
      <c r="O36" s="388">
        <f>IFERROR(__xludf.DUMMYFUNCTION("""COMPUTED_VALUE"""),0.0)</f>
        <v>0</v>
      </c>
      <c r="P36" s="388">
        <f>IFERROR(__xludf.DUMMYFUNCTION("""COMPUTED_VALUE"""),0.0)</f>
        <v>0</v>
      </c>
      <c r="Q36" s="388">
        <f>IFERROR(__xludf.DUMMYFUNCTION("""COMPUTED_VALUE"""),0.0)</f>
        <v>0</v>
      </c>
      <c r="R36" s="388">
        <f>IFERROR(__xludf.DUMMYFUNCTION("""COMPUTED_VALUE"""),0.0)</f>
        <v>0</v>
      </c>
      <c r="S36" s="388">
        <f>IFERROR(__xludf.DUMMYFUNCTION("""COMPUTED_VALUE"""),0.0)</f>
        <v>0</v>
      </c>
      <c r="T36" s="388">
        <f>IFERROR(__xludf.DUMMYFUNCTION("""COMPUTED_VALUE"""),0.0)</f>
        <v>0</v>
      </c>
      <c r="U36" s="388">
        <f>IFERROR(__xludf.DUMMYFUNCTION("""COMPUTED_VALUE"""),0.0)</f>
        <v>0</v>
      </c>
      <c r="V36" s="389">
        <f>IFERROR(__xludf.DUMMYFUNCTION("""COMPUTED_VALUE"""),0.0)</f>
        <v>0</v>
      </c>
      <c r="W36" s="65"/>
      <c r="X36" s="65"/>
    </row>
    <row r="37" ht="14.25" customHeight="1">
      <c r="A37" s="366">
        <f t="shared" si="2"/>
        <v>33</v>
      </c>
      <c r="B37" s="399" t="s">
        <v>267</v>
      </c>
      <c r="C37" s="400"/>
      <c r="D37" s="401" t="s">
        <v>268</v>
      </c>
      <c r="E37" s="388">
        <f>IFERROR(__xludf.DUMMYFUNCTION("""COMPUTED_VALUE"""),0.0)</f>
        <v>0</v>
      </c>
      <c r="F37" s="388">
        <f>IFERROR(__xludf.DUMMYFUNCTION("""COMPUTED_VALUE"""),0.0)</f>
        <v>0</v>
      </c>
      <c r="G37" s="388">
        <f>IFERROR(__xludf.DUMMYFUNCTION("""COMPUTED_VALUE"""),0.0)</f>
        <v>0</v>
      </c>
      <c r="H37" s="388">
        <f>IFERROR(__xludf.DUMMYFUNCTION("""COMPUTED_VALUE"""),0.0)</f>
        <v>0</v>
      </c>
      <c r="I37" s="388">
        <f>IFERROR(__xludf.DUMMYFUNCTION("""COMPUTED_VALUE"""),0.0)</f>
        <v>0</v>
      </c>
      <c r="J37" s="388">
        <f>IFERROR(__xludf.DUMMYFUNCTION("""COMPUTED_VALUE"""),0.0)</f>
        <v>0</v>
      </c>
      <c r="K37" s="388">
        <f>IFERROR(__xludf.DUMMYFUNCTION("""COMPUTED_VALUE"""),0.0)</f>
        <v>0</v>
      </c>
      <c r="L37" s="388">
        <f>IFERROR(__xludf.DUMMYFUNCTION("""COMPUTED_VALUE"""),0.0)</f>
        <v>0</v>
      </c>
      <c r="M37" s="388">
        <f>IFERROR(__xludf.DUMMYFUNCTION("""COMPUTED_VALUE"""),0.0)</f>
        <v>0</v>
      </c>
      <c r="N37" s="388">
        <f>IFERROR(__xludf.DUMMYFUNCTION("""COMPUTED_VALUE"""),0.0)</f>
        <v>0</v>
      </c>
      <c r="O37" s="388">
        <f>IFERROR(__xludf.DUMMYFUNCTION("""COMPUTED_VALUE"""),0.0)</f>
        <v>0</v>
      </c>
      <c r="P37" s="388">
        <f>IFERROR(__xludf.DUMMYFUNCTION("""COMPUTED_VALUE"""),0.0)</f>
        <v>0</v>
      </c>
      <c r="Q37" s="388">
        <f>IFERROR(__xludf.DUMMYFUNCTION("""COMPUTED_VALUE"""),0.0)</f>
        <v>0</v>
      </c>
      <c r="R37" s="388">
        <f>IFERROR(__xludf.DUMMYFUNCTION("""COMPUTED_VALUE"""),0.0)</f>
        <v>0</v>
      </c>
      <c r="S37" s="388">
        <f>IFERROR(__xludf.DUMMYFUNCTION("""COMPUTED_VALUE"""),0.0)</f>
        <v>0</v>
      </c>
      <c r="T37" s="388">
        <f>IFERROR(__xludf.DUMMYFUNCTION("""COMPUTED_VALUE"""),0.0)</f>
        <v>0</v>
      </c>
      <c r="U37" s="388">
        <f>IFERROR(__xludf.DUMMYFUNCTION("""COMPUTED_VALUE"""),0.0)</f>
        <v>0</v>
      </c>
      <c r="V37" s="389">
        <f>IFERROR(__xludf.DUMMYFUNCTION("""COMPUTED_VALUE"""),0.0)</f>
        <v>0</v>
      </c>
      <c r="W37" s="65"/>
      <c r="X37" s="65"/>
    </row>
    <row r="38" ht="14.25" customHeight="1">
      <c r="A38" s="366">
        <f t="shared" si="2"/>
        <v>34</v>
      </c>
      <c r="B38" s="399" t="s">
        <v>781</v>
      </c>
      <c r="C38" s="400"/>
      <c r="D38" s="401" t="s">
        <v>782</v>
      </c>
      <c r="E38" s="388">
        <f>IFERROR(__xludf.DUMMYFUNCTION("""COMPUTED_VALUE"""),0.0)</f>
        <v>0</v>
      </c>
      <c r="F38" s="388">
        <f>IFERROR(__xludf.DUMMYFUNCTION("""COMPUTED_VALUE"""),0.0)</f>
        <v>0</v>
      </c>
      <c r="G38" s="388">
        <f>IFERROR(__xludf.DUMMYFUNCTION("""COMPUTED_VALUE"""),0.0)</f>
        <v>0</v>
      </c>
      <c r="H38" s="388">
        <f>IFERROR(__xludf.DUMMYFUNCTION("""COMPUTED_VALUE"""),0.0)</f>
        <v>0</v>
      </c>
      <c r="I38" s="388">
        <f>IFERROR(__xludf.DUMMYFUNCTION("""COMPUTED_VALUE"""),0.0)</f>
        <v>0</v>
      </c>
      <c r="J38" s="388">
        <f>IFERROR(__xludf.DUMMYFUNCTION("""COMPUTED_VALUE"""),0.0)</f>
        <v>0</v>
      </c>
      <c r="K38" s="388">
        <f>IFERROR(__xludf.DUMMYFUNCTION("""COMPUTED_VALUE"""),0.0)</f>
        <v>0</v>
      </c>
      <c r="L38" s="388">
        <f>IFERROR(__xludf.DUMMYFUNCTION("""COMPUTED_VALUE"""),0.0)</f>
        <v>0</v>
      </c>
      <c r="M38" s="388">
        <f>IFERROR(__xludf.DUMMYFUNCTION("""COMPUTED_VALUE"""),0.0)</f>
        <v>0</v>
      </c>
      <c r="N38" s="388">
        <f>IFERROR(__xludf.DUMMYFUNCTION("""COMPUTED_VALUE"""),0.0)</f>
        <v>0</v>
      </c>
      <c r="O38" s="388">
        <f>IFERROR(__xludf.DUMMYFUNCTION("""COMPUTED_VALUE"""),0.0)</f>
        <v>0</v>
      </c>
      <c r="P38" s="388">
        <f>IFERROR(__xludf.DUMMYFUNCTION("""COMPUTED_VALUE"""),0.0)</f>
        <v>0</v>
      </c>
      <c r="Q38" s="388">
        <f>IFERROR(__xludf.DUMMYFUNCTION("""COMPUTED_VALUE"""),0.0)</f>
        <v>0</v>
      </c>
      <c r="R38" s="388">
        <f>IFERROR(__xludf.DUMMYFUNCTION("""COMPUTED_VALUE"""),0.0)</f>
        <v>0</v>
      </c>
      <c r="S38" s="388">
        <f>IFERROR(__xludf.DUMMYFUNCTION("""COMPUTED_VALUE"""),0.0)</f>
        <v>0</v>
      </c>
      <c r="T38" s="388">
        <f>IFERROR(__xludf.DUMMYFUNCTION("""COMPUTED_VALUE"""),0.0)</f>
        <v>0</v>
      </c>
      <c r="U38" s="388">
        <f>IFERROR(__xludf.DUMMYFUNCTION("""COMPUTED_VALUE"""),0.0)</f>
        <v>0</v>
      </c>
      <c r="V38" s="389">
        <f>IFERROR(__xludf.DUMMYFUNCTION("""COMPUTED_VALUE"""),0.0)</f>
        <v>0</v>
      </c>
      <c r="W38" s="65"/>
      <c r="X38" s="65"/>
    </row>
    <row r="39" ht="14.25" customHeight="1">
      <c r="A39" s="366">
        <f t="shared" si="2"/>
        <v>35</v>
      </c>
      <c r="B39" s="399" t="s">
        <v>783</v>
      </c>
      <c r="C39" s="400"/>
      <c r="D39" s="401" t="s">
        <v>784</v>
      </c>
      <c r="E39" s="388">
        <f>IFERROR(__xludf.DUMMYFUNCTION("""COMPUTED_VALUE"""),0.0)</f>
        <v>0</v>
      </c>
      <c r="F39" s="388">
        <f>IFERROR(__xludf.DUMMYFUNCTION("""COMPUTED_VALUE"""),0.0)</f>
        <v>0</v>
      </c>
      <c r="G39" s="388">
        <f>IFERROR(__xludf.DUMMYFUNCTION("""COMPUTED_VALUE"""),0.0)</f>
        <v>0</v>
      </c>
      <c r="H39" s="388">
        <f>IFERROR(__xludf.DUMMYFUNCTION("""COMPUTED_VALUE"""),0.0)</f>
        <v>0</v>
      </c>
      <c r="I39" s="388">
        <f>IFERROR(__xludf.DUMMYFUNCTION("""COMPUTED_VALUE"""),0.0)</f>
        <v>0</v>
      </c>
      <c r="J39" s="388">
        <f>IFERROR(__xludf.DUMMYFUNCTION("""COMPUTED_VALUE"""),0.0)</f>
        <v>0</v>
      </c>
      <c r="K39" s="388">
        <f>IFERROR(__xludf.DUMMYFUNCTION("""COMPUTED_VALUE"""),0.0)</f>
        <v>0</v>
      </c>
      <c r="L39" s="388">
        <f>IFERROR(__xludf.DUMMYFUNCTION("""COMPUTED_VALUE"""),0.0)</f>
        <v>0</v>
      </c>
      <c r="M39" s="388">
        <f>IFERROR(__xludf.DUMMYFUNCTION("""COMPUTED_VALUE"""),0.0)</f>
        <v>0</v>
      </c>
      <c r="N39" s="388">
        <f>IFERROR(__xludf.DUMMYFUNCTION("""COMPUTED_VALUE"""),0.0)</f>
        <v>0</v>
      </c>
      <c r="O39" s="388">
        <f>IFERROR(__xludf.DUMMYFUNCTION("""COMPUTED_VALUE"""),0.0)</f>
        <v>0</v>
      </c>
      <c r="P39" s="388">
        <f>IFERROR(__xludf.DUMMYFUNCTION("""COMPUTED_VALUE"""),0.0)</f>
        <v>0</v>
      </c>
      <c r="Q39" s="388">
        <f>IFERROR(__xludf.DUMMYFUNCTION("""COMPUTED_VALUE"""),0.0)</f>
        <v>0</v>
      </c>
      <c r="R39" s="388">
        <f>IFERROR(__xludf.DUMMYFUNCTION("""COMPUTED_VALUE"""),0.0)</f>
        <v>0</v>
      </c>
      <c r="S39" s="388">
        <f>IFERROR(__xludf.DUMMYFUNCTION("""COMPUTED_VALUE"""),0.0)</f>
        <v>0</v>
      </c>
      <c r="T39" s="388">
        <f>IFERROR(__xludf.DUMMYFUNCTION("""COMPUTED_VALUE"""),0.0)</f>
        <v>0</v>
      </c>
      <c r="U39" s="388">
        <f>IFERROR(__xludf.DUMMYFUNCTION("""COMPUTED_VALUE"""),0.0)</f>
        <v>0</v>
      </c>
      <c r="V39" s="389">
        <f>IFERROR(__xludf.DUMMYFUNCTION("""COMPUTED_VALUE"""),0.0)</f>
        <v>0</v>
      </c>
      <c r="W39" s="65"/>
      <c r="X39" s="65"/>
    </row>
    <row r="40" ht="14.25" customHeight="1">
      <c r="A40" s="366">
        <f t="shared" si="2"/>
        <v>36</v>
      </c>
      <c r="B40" s="399" t="s">
        <v>34</v>
      </c>
      <c r="C40" s="400"/>
      <c r="D40" s="401" t="s">
        <v>35</v>
      </c>
      <c r="E40" s="388">
        <f>IFERROR(__xludf.DUMMYFUNCTION("""COMPUTED_VALUE"""),0.0)</f>
        <v>0</v>
      </c>
      <c r="F40" s="388">
        <f>IFERROR(__xludf.DUMMYFUNCTION("""COMPUTED_VALUE"""),0.0)</f>
        <v>0</v>
      </c>
      <c r="G40" s="388">
        <f>IFERROR(__xludf.DUMMYFUNCTION("""COMPUTED_VALUE"""),0.0)</f>
        <v>0</v>
      </c>
      <c r="H40" s="388">
        <f>IFERROR(__xludf.DUMMYFUNCTION("""COMPUTED_VALUE"""),0.0)</f>
        <v>0</v>
      </c>
      <c r="I40" s="388">
        <f>IFERROR(__xludf.DUMMYFUNCTION("""COMPUTED_VALUE"""),0.0)</f>
        <v>0</v>
      </c>
      <c r="J40" s="388">
        <f>IFERROR(__xludf.DUMMYFUNCTION("""COMPUTED_VALUE"""),0.0)</f>
        <v>0</v>
      </c>
      <c r="K40" s="388">
        <f>IFERROR(__xludf.DUMMYFUNCTION("""COMPUTED_VALUE"""),0.0)</f>
        <v>0</v>
      </c>
      <c r="L40" s="388">
        <f>IFERROR(__xludf.DUMMYFUNCTION("""COMPUTED_VALUE"""),0.0)</f>
        <v>0</v>
      </c>
      <c r="M40" s="388">
        <f>IFERROR(__xludf.DUMMYFUNCTION("""COMPUTED_VALUE"""),0.0)</f>
        <v>0</v>
      </c>
      <c r="N40" s="388">
        <f>IFERROR(__xludf.DUMMYFUNCTION("""COMPUTED_VALUE"""),0.0)</f>
        <v>0</v>
      </c>
      <c r="O40" s="388">
        <f>IFERROR(__xludf.DUMMYFUNCTION("""COMPUTED_VALUE"""),4.6575686E7)</f>
        <v>46575686</v>
      </c>
      <c r="P40" s="388">
        <f>IFERROR(__xludf.DUMMYFUNCTION("""COMPUTED_VALUE"""),0.0)</f>
        <v>0</v>
      </c>
      <c r="Q40" s="388">
        <f>IFERROR(__xludf.DUMMYFUNCTION("""COMPUTED_VALUE"""),0.0)</f>
        <v>0</v>
      </c>
      <c r="R40" s="388">
        <f>IFERROR(__xludf.DUMMYFUNCTION("""COMPUTED_VALUE"""),0.0)</f>
        <v>0</v>
      </c>
      <c r="S40" s="388">
        <f>IFERROR(__xludf.DUMMYFUNCTION("""COMPUTED_VALUE"""),0.0)</f>
        <v>0</v>
      </c>
      <c r="T40" s="388">
        <f>IFERROR(__xludf.DUMMYFUNCTION("""COMPUTED_VALUE"""),0.0)</f>
        <v>0</v>
      </c>
      <c r="U40" s="388">
        <f>IFERROR(__xludf.DUMMYFUNCTION("""COMPUTED_VALUE"""),0.0)</f>
        <v>0</v>
      </c>
      <c r="V40" s="389">
        <f>IFERROR(__xludf.DUMMYFUNCTION("""COMPUTED_VALUE"""),4.6575686E7)</f>
        <v>46575686</v>
      </c>
      <c r="W40" s="65"/>
      <c r="X40" s="65"/>
    </row>
    <row r="41" ht="14.25" customHeight="1">
      <c r="A41" s="366">
        <f t="shared" si="2"/>
        <v>37</v>
      </c>
      <c r="B41" s="399" t="s">
        <v>785</v>
      </c>
      <c r="C41" s="400"/>
      <c r="D41" s="401" t="s">
        <v>258</v>
      </c>
      <c r="E41" s="388">
        <f>IFERROR(__xludf.DUMMYFUNCTION("""COMPUTED_VALUE"""),0.0)</f>
        <v>0</v>
      </c>
      <c r="F41" s="388">
        <f>IFERROR(__xludf.DUMMYFUNCTION("""COMPUTED_VALUE"""),0.0)</f>
        <v>0</v>
      </c>
      <c r="G41" s="388">
        <f>IFERROR(__xludf.DUMMYFUNCTION("""COMPUTED_VALUE"""),0.0)</f>
        <v>0</v>
      </c>
      <c r="H41" s="388">
        <f>IFERROR(__xludf.DUMMYFUNCTION("""COMPUTED_VALUE"""),0.0)</f>
        <v>0</v>
      </c>
      <c r="I41" s="388">
        <f>IFERROR(__xludf.DUMMYFUNCTION("""COMPUTED_VALUE"""),0.0)</f>
        <v>0</v>
      </c>
      <c r="J41" s="388">
        <f>IFERROR(__xludf.DUMMYFUNCTION("""COMPUTED_VALUE"""),0.0)</f>
        <v>0</v>
      </c>
      <c r="K41" s="388">
        <f>IFERROR(__xludf.DUMMYFUNCTION("""COMPUTED_VALUE"""),0.0)</f>
        <v>0</v>
      </c>
      <c r="L41" s="388">
        <f>IFERROR(__xludf.DUMMYFUNCTION("""COMPUTED_VALUE"""),0.0)</f>
        <v>0</v>
      </c>
      <c r="M41" s="388">
        <f>IFERROR(__xludf.DUMMYFUNCTION("""COMPUTED_VALUE"""),0.0)</f>
        <v>0</v>
      </c>
      <c r="N41" s="388">
        <f>IFERROR(__xludf.DUMMYFUNCTION("""COMPUTED_VALUE"""),0.0)</f>
        <v>0</v>
      </c>
      <c r="O41" s="388">
        <f>IFERROR(__xludf.DUMMYFUNCTION("""COMPUTED_VALUE"""),0.0)</f>
        <v>0</v>
      </c>
      <c r="P41" s="388">
        <f>IFERROR(__xludf.DUMMYFUNCTION("""COMPUTED_VALUE"""),0.0)</f>
        <v>0</v>
      </c>
      <c r="Q41" s="388">
        <f>IFERROR(__xludf.DUMMYFUNCTION("""COMPUTED_VALUE"""),0.0)</f>
        <v>0</v>
      </c>
      <c r="R41" s="388">
        <f>IFERROR(__xludf.DUMMYFUNCTION("""COMPUTED_VALUE"""),0.0)</f>
        <v>0</v>
      </c>
      <c r="S41" s="388">
        <f>IFERROR(__xludf.DUMMYFUNCTION("""COMPUTED_VALUE"""),0.0)</f>
        <v>0</v>
      </c>
      <c r="T41" s="388">
        <f>IFERROR(__xludf.DUMMYFUNCTION("""COMPUTED_VALUE"""),0.0)</f>
        <v>0</v>
      </c>
      <c r="U41" s="388">
        <f>IFERROR(__xludf.DUMMYFUNCTION("""COMPUTED_VALUE"""),0.0)</f>
        <v>0</v>
      </c>
      <c r="V41" s="389">
        <f>IFERROR(__xludf.DUMMYFUNCTION("""COMPUTED_VALUE"""),0.0)</f>
        <v>0</v>
      </c>
      <c r="W41" s="65"/>
      <c r="X41" s="65"/>
    </row>
    <row r="42" ht="14.25" customHeight="1">
      <c r="A42" s="366">
        <f t="shared" si="2"/>
        <v>38</v>
      </c>
      <c r="B42" s="399" t="s">
        <v>786</v>
      </c>
      <c r="C42" s="400"/>
      <c r="D42" s="401" t="s">
        <v>787</v>
      </c>
      <c r="E42" s="388">
        <f>IFERROR(__xludf.DUMMYFUNCTION("""COMPUTED_VALUE"""),0.0)</f>
        <v>0</v>
      </c>
      <c r="F42" s="388">
        <f>IFERROR(__xludf.DUMMYFUNCTION("""COMPUTED_VALUE"""),0.0)</f>
        <v>0</v>
      </c>
      <c r="G42" s="388">
        <f>IFERROR(__xludf.DUMMYFUNCTION("""COMPUTED_VALUE"""),0.0)</f>
        <v>0</v>
      </c>
      <c r="H42" s="388">
        <f>IFERROR(__xludf.DUMMYFUNCTION("""COMPUTED_VALUE"""),0.0)</f>
        <v>0</v>
      </c>
      <c r="I42" s="388">
        <f>IFERROR(__xludf.DUMMYFUNCTION("""COMPUTED_VALUE"""),0.0)</f>
        <v>0</v>
      </c>
      <c r="J42" s="388">
        <f>IFERROR(__xludf.DUMMYFUNCTION("""COMPUTED_VALUE"""),0.0)</f>
        <v>0</v>
      </c>
      <c r="K42" s="388">
        <f>IFERROR(__xludf.DUMMYFUNCTION("""COMPUTED_VALUE"""),0.0)</f>
        <v>0</v>
      </c>
      <c r="L42" s="388">
        <f>IFERROR(__xludf.DUMMYFUNCTION("""COMPUTED_VALUE"""),0.0)</f>
        <v>0</v>
      </c>
      <c r="M42" s="388">
        <f>IFERROR(__xludf.DUMMYFUNCTION("""COMPUTED_VALUE"""),0.0)</f>
        <v>0</v>
      </c>
      <c r="N42" s="388">
        <f>IFERROR(__xludf.DUMMYFUNCTION("""COMPUTED_VALUE"""),0.0)</f>
        <v>0</v>
      </c>
      <c r="O42" s="388">
        <f>IFERROR(__xludf.DUMMYFUNCTION("""COMPUTED_VALUE"""),0.0)</f>
        <v>0</v>
      </c>
      <c r="P42" s="388">
        <f>IFERROR(__xludf.DUMMYFUNCTION("""COMPUTED_VALUE"""),0.0)</f>
        <v>0</v>
      </c>
      <c r="Q42" s="388">
        <f>IFERROR(__xludf.DUMMYFUNCTION("""COMPUTED_VALUE"""),0.0)</f>
        <v>0</v>
      </c>
      <c r="R42" s="388">
        <f>IFERROR(__xludf.DUMMYFUNCTION("""COMPUTED_VALUE"""),0.0)</f>
        <v>0</v>
      </c>
      <c r="S42" s="388">
        <f>IFERROR(__xludf.DUMMYFUNCTION("""COMPUTED_VALUE"""),0.0)</f>
        <v>0</v>
      </c>
      <c r="T42" s="388">
        <f>IFERROR(__xludf.DUMMYFUNCTION("""COMPUTED_VALUE"""),0.0)</f>
        <v>0</v>
      </c>
      <c r="U42" s="388">
        <f>IFERROR(__xludf.DUMMYFUNCTION("""COMPUTED_VALUE"""),0.0)</f>
        <v>0</v>
      </c>
      <c r="V42" s="389">
        <f>IFERROR(__xludf.DUMMYFUNCTION("""COMPUTED_VALUE"""),0.0)</f>
        <v>0</v>
      </c>
      <c r="W42" s="65"/>
      <c r="X42" s="65"/>
    </row>
    <row r="43" ht="14.25" customHeight="1">
      <c r="A43" s="366">
        <f t="shared" si="2"/>
        <v>39</v>
      </c>
      <c r="B43" s="402" t="s">
        <v>788</v>
      </c>
      <c r="C43" s="403"/>
      <c r="D43" s="404"/>
      <c r="E43" s="405">
        <f>IFERROR(__xludf.DUMMYFUNCTION("""COMPUTED_VALUE"""),0.0)</f>
        <v>0</v>
      </c>
      <c r="F43" s="405">
        <f>IFERROR(__xludf.DUMMYFUNCTION("""COMPUTED_VALUE"""),0.0)</f>
        <v>0</v>
      </c>
      <c r="G43" s="405">
        <f>IFERROR(__xludf.DUMMYFUNCTION("""COMPUTED_VALUE"""),0.0)</f>
        <v>0</v>
      </c>
      <c r="H43" s="405">
        <f>IFERROR(__xludf.DUMMYFUNCTION("""COMPUTED_VALUE"""),0.0)</f>
        <v>0</v>
      </c>
      <c r="I43" s="405">
        <f>IFERROR(__xludf.DUMMYFUNCTION("""COMPUTED_VALUE"""),0.0)</f>
        <v>0</v>
      </c>
      <c r="J43" s="405">
        <f>IFERROR(__xludf.DUMMYFUNCTION("""COMPUTED_VALUE"""),0.0)</f>
        <v>0</v>
      </c>
      <c r="K43" s="405">
        <f>IFERROR(__xludf.DUMMYFUNCTION("""COMPUTED_VALUE"""),0.0)</f>
        <v>0</v>
      </c>
      <c r="L43" s="405">
        <f>IFERROR(__xludf.DUMMYFUNCTION("""COMPUTED_VALUE"""),0.0)</f>
        <v>0</v>
      </c>
      <c r="M43" s="405">
        <f>IFERROR(__xludf.DUMMYFUNCTION("""COMPUTED_VALUE"""),0.0)</f>
        <v>0</v>
      </c>
      <c r="N43" s="405">
        <f>IFERROR(__xludf.DUMMYFUNCTION("""COMPUTED_VALUE"""),0.0)</f>
        <v>0</v>
      </c>
      <c r="O43" s="405">
        <f>IFERROR(__xludf.DUMMYFUNCTION("""COMPUTED_VALUE"""),4.6575686E7)</f>
        <v>46575686</v>
      </c>
      <c r="P43" s="405">
        <f>IFERROR(__xludf.DUMMYFUNCTION("""COMPUTED_VALUE"""),0.0)</f>
        <v>0</v>
      </c>
      <c r="Q43" s="405">
        <f>IFERROR(__xludf.DUMMYFUNCTION("""COMPUTED_VALUE"""),0.0)</f>
        <v>0</v>
      </c>
      <c r="R43" s="405">
        <f>IFERROR(__xludf.DUMMYFUNCTION("""COMPUTED_VALUE"""),0.0)</f>
        <v>0</v>
      </c>
      <c r="S43" s="405">
        <f>IFERROR(__xludf.DUMMYFUNCTION("""COMPUTED_VALUE"""),0.0)</f>
        <v>0</v>
      </c>
      <c r="T43" s="405">
        <f>IFERROR(__xludf.DUMMYFUNCTION("""COMPUTED_VALUE"""),0.0)</f>
        <v>0</v>
      </c>
      <c r="U43" s="405">
        <f>IFERROR(__xludf.DUMMYFUNCTION("""COMPUTED_VALUE"""),0.0)</f>
        <v>0</v>
      </c>
      <c r="V43" s="405">
        <f>IFERROR(__xludf.DUMMYFUNCTION("""COMPUTED_VALUE"""),4.6575686E7)</f>
        <v>46575686</v>
      </c>
      <c r="W43" s="65"/>
      <c r="X43" s="65"/>
    </row>
    <row r="44" ht="14.25" customHeight="1">
      <c r="A44" s="366">
        <f t="shared" si="2"/>
        <v>40</v>
      </c>
      <c r="B44" s="399" t="s">
        <v>40</v>
      </c>
      <c r="C44" s="400"/>
      <c r="D44" s="401" t="s">
        <v>41</v>
      </c>
      <c r="E44" s="388">
        <f>IFERROR(__xludf.DUMMYFUNCTION("""COMPUTED_VALUE"""),0.0)</f>
        <v>0</v>
      </c>
      <c r="F44" s="388">
        <f>IFERROR(__xludf.DUMMYFUNCTION("""COMPUTED_VALUE"""),0.0)</f>
        <v>0</v>
      </c>
      <c r="G44" s="388">
        <f>IFERROR(__xludf.DUMMYFUNCTION("""COMPUTED_VALUE"""),0.0)</f>
        <v>0</v>
      </c>
      <c r="H44" s="388">
        <f>IFERROR(__xludf.DUMMYFUNCTION("""COMPUTED_VALUE"""),0.0)</f>
        <v>0</v>
      </c>
      <c r="I44" s="388">
        <f>IFERROR(__xludf.DUMMYFUNCTION("""COMPUTED_VALUE"""),0.0)</f>
        <v>0</v>
      </c>
      <c r="J44" s="388">
        <f>IFERROR(__xludf.DUMMYFUNCTION("""COMPUTED_VALUE"""),0.0)</f>
        <v>0</v>
      </c>
      <c r="K44" s="388">
        <f>IFERROR(__xludf.DUMMYFUNCTION("""COMPUTED_VALUE"""),0.0)</f>
        <v>0</v>
      </c>
      <c r="L44" s="388">
        <f>IFERROR(__xludf.DUMMYFUNCTION("""COMPUTED_VALUE"""),0.0)</f>
        <v>0</v>
      </c>
      <c r="M44" s="388">
        <f>IFERROR(__xludf.DUMMYFUNCTION("""COMPUTED_VALUE"""),0.0)</f>
        <v>0</v>
      </c>
      <c r="N44" s="388">
        <f>IFERROR(__xludf.DUMMYFUNCTION("""COMPUTED_VALUE"""),0.0)</f>
        <v>0</v>
      </c>
      <c r="O44" s="388">
        <f>IFERROR(__xludf.DUMMYFUNCTION("""COMPUTED_VALUE"""),7387346.0)</f>
        <v>7387346</v>
      </c>
      <c r="P44" s="388">
        <f>IFERROR(__xludf.DUMMYFUNCTION("""COMPUTED_VALUE"""),0.0)</f>
        <v>0</v>
      </c>
      <c r="Q44" s="388">
        <f>IFERROR(__xludf.DUMMYFUNCTION("""COMPUTED_VALUE"""),0.0)</f>
        <v>0</v>
      </c>
      <c r="R44" s="388">
        <f>IFERROR(__xludf.DUMMYFUNCTION("""COMPUTED_VALUE"""),0.0)</f>
        <v>0</v>
      </c>
      <c r="S44" s="388">
        <f>IFERROR(__xludf.DUMMYFUNCTION("""COMPUTED_VALUE"""),0.0)</f>
        <v>0</v>
      </c>
      <c r="T44" s="388">
        <f>IFERROR(__xludf.DUMMYFUNCTION("""COMPUTED_VALUE"""),0.0)</f>
        <v>0</v>
      </c>
      <c r="U44" s="388">
        <f>IFERROR(__xludf.DUMMYFUNCTION("""COMPUTED_VALUE"""),0.0)</f>
        <v>0</v>
      </c>
      <c r="V44" s="389">
        <f>IFERROR(__xludf.DUMMYFUNCTION("""COMPUTED_VALUE"""),7387346.0)</f>
        <v>7387346</v>
      </c>
      <c r="W44" s="65"/>
      <c r="X44" s="65"/>
    </row>
    <row r="45" ht="14.25" customHeight="1">
      <c r="A45" s="366">
        <f t="shared" si="2"/>
        <v>41</v>
      </c>
      <c r="B45" s="399" t="s">
        <v>789</v>
      </c>
      <c r="C45" s="400"/>
      <c r="D45" s="401" t="s">
        <v>790</v>
      </c>
      <c r="E45" s="388">
        <f>IFERROR(__xludf.DUMMYFUNCTION("""COMPUTED_VALUE"""),0.0)</f>
        <v>0</v>
      </c>
      <c r="F45" s="388">
        <f>IFERROR(__xludf.DUMMYFUNCTION("""COMPUTED_VALUE"""),0.0)</f>
        <v>0</v>
      </c>
      <c r="G45" s="388">
        <f>IFERROR(__xludf.DUMMYFUNCTION("""COMPUTED_VALUE"""),0.0)</f>
        <v>0</v>
      </c>
      <c r="H45" s="388">
        <f>IFERROR(__xludf.DUMMYFUNCTION("""COMPUTED_VALUE"""),0.0)</f>
        <v>0</v>
      </c>
      <c r="I45" s="388">
        <f>IFERROR(__xludf.DUMMYFUNCTION("""COMPUTED_VALUE"""),0.0)</f>
        <v>0</v>
      </c>
      <c r="J45" s="388">
        <f>IFERROR(__xludf.DUMMYFUNCTION("""COMPUTED_VALUE"""),0.0)</f>
        <v>0</v>
      </c>
      <c r="K45" s="388">
        <f>IFERROR(__xludf.DUMMYFUNCTION("""COMPUTED_VALUE"""),0.0)</f>
        <v>0</v>
      </c>
      <c r="L45" s="388">
        <f>IFERROR(__xludf.DUMMYFUNCTION("""COMPUTED_VALUE"""),0.0)</f>
        <v>0</v>
      </c>
      <c r="M45" s="388">
        <f>IFERROR(__xludf.DUMMYFUNCTION("""COMPUTED_VALUE"""),0.0)</f>
        <v>0</v>
      </c>
      <c r="N45" s="388">
        <f>IFERROR(__xludf.DUMMYFUNCTION("""COMPUTED_VALUE"""),0.0)</f>
        <v>0</v>
      </c>
      <c r="O45" s="388">
        <f>IFERROR(__xludf.DUMMYFUNCTION("""COMPUTED_VALUE"""),0.0)</f>
        <v>0</v>
      </c>
      <c r="P45" s="388">
        <f>IFERROR(__xludf.DUMMYFUNCTION("""COMPUTED_VALUE"""),0.0)</f>
        <v>0</v>
      </c>
      <c r="Q45" s="388">
        <f>IFERROR(__xludf.DUMMYFUNCTION("""COMPUTED_VALUE"""),0.0)</f>
        <v>0</v>
      </c>
      <c r="R45" s="388">
        <f>IFERROR(__xludf.DUMMYFUNCTION("""COMPUTED_VALUE"""),0.0)</f>
        <v>0</v>
      </c>
      <c r="S45" s="388">
        <f>IFERROR(__xludf.DUMMYFUNCTION("""COMPUTED_VALUE"""),0.0)</f>
        <v>0</v>
      </c>
      <c r="T45" s="388">
        <f>IFERROR(__xludf.DUMMYFUNCTION("""COMPUTED_VALUE"""),0.0)</f>
        <v>0</v>
      </c>
      <c r="U45" s="388">
        <f>IFERROR(__xludf.DUMMYFUNCTION("""COMPUTED_VALUE"""),0.0)</f>
        <v>0</v>
      </c>
      <c r="V45" s="389">
        <f>IFERROR(__xludf.DUMMYFUNCTION("""COMPUTED_VALUE"""),0.0)</f>
        <v>0</v>
      </c>
      <c r="W45" s="65"/>
      <c r="X45" s="65"/>
    </row>
    <row r="46" ht="14.25" customHeight="1">
      <c r="A46" s="366">
        <f t="shared" si="2"/>
        <v>42</v>
      </c>
      <c r="B46" s="399" t="s">
        <v>791</v>
      </c>
      <c r="C46" s="400"/>
      <c r="D46" s="401" t="s">
        <v>792</v>
      </c>
      <c r="E46" s="388">
        <f>IFERROR(__xludf.DUMMYFUNCTION("""COMPUTED_VALUE"""),0.0)</f>
        <v>0</v>
      </c>
      <c r="F46" s="388">
        <f>IFERROR(__xludf.DUMMYFUNCTION("""COMPUTED_VALUE"""),0.0)</f>
        <v>0</v>
      </c>
      <c r="G46" s="388">
        <f>IFERROR(__xludf.DUMMYFUNCTION("""COMPUTED_VALUE"""),0.0)</f>
        <v>0</v>
      </c>
      <c r="H46" s="388">
        <f>IFERROR(__xludf.DUMMYFUNCTION("""COMPUTED_VALUE"""),0.0)</f>
        <v>0</v>
      </c>
      <c r="I46" s="388">
        <f>IFERROR(__xludf.DUMMYFUNCTION("""COMPUTED_VALUE"""),0.0)</f>
        <v>0</v>
      </c>
      <c r="J46" s="388">
        <f>IFERROR(__xludf.DUMMYFUNCTION("""COMPUTED_VALUE"""),0.0)</f>
        <v>0</v>
      </c>
      <c r="K46" s="388">
        <f>IFERROR(__xludf.DUMMYFUNCTION("""COMPUTED_VALUE"""),0.0)</f>
        <v>0</v>
      </c>
      <c r="L46" s="388">
        <f>IFERROR(__xludf.DUMMYFUNCTION("""COMPUTED_VALUE"""),0.0)</f>
        <v>0</v>
      </c>
      <c r="M46" s="388">
        <f>IFERROR(__xludf.DUMMYFUNCTION("""COMPUTED_VALUE"""),0.0)</f>
        <v>0</v>
      </c>
      <c r="N46" s="388">
        <f>IFERROR(__xludf.DUMMYFUNCTION("""COMPUTED_VALUE"""),0.0)</f>
        <v>0</v>
      </c>
      <c r="O46" s="388">
        <f>IFERROR(__xludf.DUMMYFUNCTION("""COMPUTED_VALUE"""),0.0)</f>
        <v>0</v>
      </c>
      <c r="P46" s="388">
        <f>IFERROR(__xludf.DUMMYFUNCTION("""COMPUTED_VALUE"""),0.0)</f>
        <v>0</v>
      </c>
      <c r="Q46" s="388">
        <f>IFERROR(__xludf.DUMMYFUNCTION("""COMPUTED_VALUE"""),0.0)</f>
        <v>0</v>
      </c>
      <c r="R46" s="388">
        <f>IFERROR(__xludf.DUMMYFUNCTION("""COMPUTED_VALUE"""),0.0)</f>
        <v>0</v>
      </c>
      <c r="S46" s="388">
        <f>IFERROR(__xludf.DUMMYFUNCTION("""COMPUTED_VALUE"""),0.0)</f>
        <v>0</v>
      </c>
      <c r="T46" s="388">
        <f>IFERROR(__xludf.DUMMYFUNCTION("""COMPUTED_VALUE"""),0.0)</f>
        <v>0</v>
      </c>
      <c r="U46" s="388">
        <f>IFERROR(__xludf.DUMMYFUNCTION("""COMPUTED_VALUE"""),0.0)</f>
        <v>0</v>
      </c>
      <c r="V46" s="389">
        <f>IFERROR(__xludf.DUMMYFUNCTION("""COMPUTED_VALUE"""),0.0)</f>
        <v>0</v>
      </c>
      <c r="W46" s="65"/>
      <c r="X46" s="65"/>
    </row>
    <row r="47" ht="14.25" customHeight="1">
      <c r="A47" s="366">
        <f t="shared" si="2"/>
        <v>43</v>
      </c>
      <c r="B47" s="399" t="s">
        <v>793</v>
      </c>
      <c r="C47" s="400"/>
      <c r="D47" s="401" t="s">
        <v>794</v>
      </c>
      <c r="E47" s="388">
        <f>IFERROR(__xludf.DUMMYFUNCTION("""COMPUTED_VALUE"""),0.0)</f>
        <v>0</v>
      </c>
      <c r="F47" s="388">
        <f>IFERROR(__xludf.DUMMYFUNCTION("""COMPUTED_VALUE"""),0.0)</f>
        <v>0</v>
      </c>
      <c r="G47" s="388">
        <f>IFERROR(__xludf.DUMMYFUNCTION("""COMPUTED_VALUE"""),0.0)</f>
        <v>0</v>
      </c>
      <c r="H47" s="388">
        <f>IFERROR(__xludf.DUMMYFUNCTION("""COMPUTED_VALUE"""),0.0)</f>
        <v>0</v>
      </c>
      <c r="I47" s="388">
        <f>IFERROR(__xludf.DUMMYFUNCTION("""COMPUTED_VALUE"""),0.0)</f>
        <v>0</v>
      </c>
      <c r="J47" s="388">
        <f>IFERROR(__xludf.DUMMYFUNCTION("""COMPUTED_VALUE"""),0.0)</f>
        <v>0</v>
      </c>
      <c r="K47" s="388">
        <f>IFERROR(__xludf.DUMMYFUNCTION("""COMPUTED_VALUE"""),0.0)</f>
        <v>0</v>
      </c>
      <c r="L47" s="388">
        <f>IFERROR(__xludf.DUMMYFUNCTION("""COMPUTED_VALUE"""),0.0)</f>
        <v>0</v>
      </c>
      <c r="M47" s="388">
        <f>IFERROR(__xludf.DUMMYFUNCTION("""COMPUTED_VALUE"""),0.0)</f>
        <v>0</v>
      </c>
      <c r="N47" s="388">
        <f>IFERROR(__xludf.DUMMYFUNCTION("""COMPUTED_VALUE"""),0.0)</f>
        <v>0</v>
      </c>
      <c r="O47" s="388">
        <f>IFERROR(__xludf.DUMMYFUNCTION("""COMPUTED_VALUE"""),0.0)</f>
        <v>0</v>
      </c>
      <c r="P47" s="388">
        <f>IFERROR(__xludf.DUMMYFUNCTION("""COMPUTED_VALUE"""),0.0)</f>
        <v>0</v>
      </c>
      <c r="Q47" s="388">
        <f>IFERROR(__xludf.DUMMYFUNCTION("""COMPUTED_VALUE"""),0.0)</f>
        <v>0</v>
      </c>
      <c r="R47" s="388">
        <f>IFERROR(__xludf.DUMMYFUNCTION("""COMPUTED_VALUE"""),0.0)</f>
        <v>0</v>
      </c>
      <c r="S47" s="388">
        <f>IFERROR(__xludf.DUMMYFUNCTION("""COMPUTED_VALUE"""),0.0)</f>
        <v>0</v>
      </c>
      <c r="T47" s="388">
        <f>IFERROR(__xludf.DUMMYFUNCTION("""COMPUTED_VALUE"""),0.0)</f>
        <v>0</v>
      </c>
      <c r="U47" s="388">
        <f>IFERROR(__xludf.DUMMYFUNCTION("""COMPUTED_VALUE"""),0.0)</f>
        <v>0</v>
      </c>
      <c r="V47" s="389">
        <f>IFERROR(__xludf.DUMMYFUNCTION("""COMPUTED_VALUE"""),0.0)</f>
        <v>0</v>
      </c>
      <c r="W47" s="65"/>
      <c r="X47" s="65"/>
    </row>
    <row r="48" ht="14.25" customHeight="1">
      <c r="A48" s="366">
        <f t="shared" si="2"/>
        <v>44</v>
      </c>
      <c r="B48" s="399" t="s">
        <v>795</v>
      </c>
      <c r="C48" s="400"/>
      <c r="D48" s="401" t="s">
        <v>796</v>
      </c>
      <c r="E48" s="388">
        <f>IFERROR(__xludf.DUMMYFUNCTION("""COMPUTED_VALUE"""),0.0)</f>
        <v>0</v>
      </c>
      <c r="F48" s="388">
        <f>IFERROR(__xludf.DUMMYFUNCTION("""COMPUTED_VALUE"""),0.0)</f>
        <v>0</v>
      </c>
      <c r="G48" s="388">
        <f>IFERROR(__xludf.DUMMYFUNCTION("""COMPUTED_VALUE"""),0.0)</f>
        <v>0</v>
      </c>
      <c r="H48" s="388">
        <f>IFERROR(__xludf.DUMMYFUNCTION("""COMPUTED_VALUE"""),0.0)</f>
        <v>0</v>
      </c>
      <c r="I48" s="388">
        <f>IFERROR(__xludf.DUMMYFUNCTION("""COMPUTED_VALUE"""),0.0)</f>
        <v>0</v>
      </c>
      <c r="J48" s="388">
        <f>IFERROR(__xludf.DUMMYFUNCTION("""COMPUTED_VALUE"""),0.0)</f>
        <v>0</v>
      </c>
      <c r="K48" s="388">
        <f>IFERROR(__xludf.DUMMYFUNCTION("""COMPUTED_VALUE"""),0.0)</f>
        <v>0</v>
      </c>
      <c r="L48" s="388">
        <f>IFERROR(__xludf.DUMMYFUNCTION("""COMPUTED_VALUE"""),0.0)</f>
        <v>0</v>
      </c>
      <c r="M48" s="388">
        <f>IFERROR(__xludf.DUMMYFUNCTION("""COMPUTED_VALUE"""),0.0)</f>
        <v>0</v>
      </c>
      <c r="N48" s="388">
        <f>IFERROR(__xludf.DUMMYFUNCTION("""COMPUTED_VALUE"""),0.0)</f>
        <v>0</v>
      </c>
      <c r="O48" s="388">
        <f>IFERROR(__xludf.DUMMYFUNCTION("""COMPUTED_VALUE"""),0.0)</f>
        <v>0</v>
      </c>
      <c r="P48" s="388">
        <f>IFERROR(__xludf.DUMMYFUNCTION("""COMPUTED_VALUE"""),0.0)</f>
        <v>0</v>
      </c>
      <c r="Q48" s="388">
        <f>IFERROR(__xludf.DUMMYFUNCTION("""COMPUTED_VALUE"""),0.0)</f>
        <v>0</v>
      </c>
      <c r="R48" s="388">
        <f>IFERROR(__xludf.DUMMYFUNCTION("""COMPUTED_VALUE"""),0.0)</f>
        <v>0</v>
      </c>
      <c r="S48" s="388">
        <f>IFERROR(__xludf.DUMMYFUNCTION("""COMPUTED_VALUE"""),0.0)</f>
        <v>0</v>
      </c>
      <c r="T48" s="388">
        <f>IFERROR(__xludf.DUMMYFUNCTION("""COMPUTED_VALUE"""),0.0)</f>
        <v>0</v>
      </c>
      <c r="U48" s="388">
        <f>IFERROR(__xludf.DUMMYFUNCTION("""COMPUTED_VALUE"""),0.0)</f>
        <v>0</v>
      </c>
      <c r="V48" s="389">
        <f>IFERROR(__xludf.DUMMYFUNCTION("""COMPUTED_VALUE"""),0.0)</f>
        <v>0</v>
      </c>
      <c r="W48" s="65"/>
      <c r="X48" s="65"/>
    </row>
    <row r="49" ht="14.25" customHeight="1">
      <c r="A49" s="366">
        <f t="shared" si="2"/>
        <v>45</v>
      </c>
      <c r="B49" s="399" t="s">
        <v>797</v>
      </c>
      <c r="C49" s="400"/>
      <c r="D49" s="401" t="s">
        <v>798</v>
      </c>
      <c r="E49" s="388">
        <f>IFERROR(__xludf.DUMMYFUNCTION("""COMPUTED_VALUE"""),0.0)</f>
        <v>0</v>
      </c>
      <c r="F49" s="388">
        <f>IFERROR(__xludf.DUMMYFUNCTION("""COMPUTED_VALUE"""),0.0)</f>
        <v>0</v>
      </c>
      <c r="G49" s="388">
        <f>IFERROR(__xludf.DUMMYFUNCTION("""COMPUTED_VALUE"""),0.0)</f>
        <v>0</v>
      </c>
      <c r="H49" s="388">
        <f>IFERROR(__xludf.DUMMYFUNCTION("""COMPUTED_VALUE"""),0.0)</f>
        <v>0</v>
      </c>
      <c r="I49" s="388">
        <f>IFERROR(__xludf.DUMMYFUNCTION("""COMPUTED_VALUE"""),0.0)</f>
        <v>0</v>
      </c>
      <c r="J49" s="388">
        <f>IFERROR(__xludf.DUMMYFUNCTION("""COMPUTED_VALUE"""),0.0)</f>
        <v>0</v>
      </c>
      <c r="K49" s="388">
        <f>IFERROR(__xludf.DUMMYFUNCTION("""COMPUTED_VALUE"""),0.0)</f>
        <v>0</v>
      </c>
      <c r="L49" s="388">
        <f>IFERROR(__xludf.DUMMYFUNCTION("""COMPUTED_VALUE"""),0.0)</f>
        <v>0</v>
      </c>
      <c r="M49" s="388">
        <f>IFERROR(__xludf.DUMMYFUNCTION("""COMPUTED_VALUE"""),0.0)</f>
        <v>0</v>
      </c>
      <c r="N49" s="388">
        <f>IFERROR(__xludf.DUMMYFUNCTION("""COMPUTED_VALUE"""),0.0)</f>
        <v>0</v>
      </c>
      <c r="O49" s="388">
        <f>IFERROR(__xludf.DUMMYFUNCTION("""COMPUTED_VALUE"""),0.0)</f>
        <v>0</v>
      </c>
      <c r="P49" s="388">
        <f>IFERROR(__xludf.DUMMYFUNCTION("""COMPUTED_VALUE"""),0.0)</f>
        <v>0</v>
      </c>
      <c r="Q49" s="388">
        <f>IFERROR(__xludf.DUMMYFUNCTION("""COMPUTED_VALUE"""),0.0)</f>
        <v>0</v>
      </c>
      <c r="R49" s="388">
        <f>IFERROR(__xludf.DUMMYFUNCTION("""COMPUTED_VALUE"""),0.0)</f>
        <v>0</v>
      </c>
      <c r="S49" s="388">
        <f>IFERROR(__xludf.DUMMYFUNCTION("""COMPUTED_VALUE"""),0.0)</f>
        <v>0</v>
      </c>
      <c r="T49" s="388">
        <f>IFERROR(__xludf.DUMMYFUNCTION("""COMPUTED_VALUE"""),0.0)</f>
        <v>0</v>
      </c>
      <c r="U49" s="388">
        <f>IFERROR(__xludf.DUMMYFUNCTION("""COMPUTED_VALUE"""),0.0)</f>
        <v>0</v>
      </c>
      <c r="V49" s="389">
        <f>IFERROR(__xludf.DUMMYFUNCTION("""COMPUTED_VALUE"""),0.0)</f>
        <v>0</v>
      </c>
      <c r="W49" s="65"/>
      <c r="X49" s="65"/>
    </row>
    <row r="50" ht="14.25" customHeight="1">
      <c r="A50" s="366">
        <f t="shared" si="2"/>
        <v>46</v>
      </c>
      <c r="B50" s="399" t="s">
        <v>799</v>
      </c>
      <c r="C50" s="400"/>
      <c r="D50" s="401" t="s">
        <v>800</v>
      </c>
      <c r="E50" s="388">
        <f>IFERROR(__xludf.DUMMYFUNCTION("""COMPUTED_VALUE"""),0.0)</f>
        <v>0</v>
      </c>
      <c r="F50" s="388">
        <f>IFERROR(__xludf.DUMMYFUNCTION("""COMPUTED_VALUE"""),0.0)</f>
        <v>0</v>
      </c>
      <c r="G50" s="388">
        <f>IFERROR(__xludf.DUMMYFUNCTION("""COMPUTED_VALUE"""),0.0)</f>
        <v>0</v>
      </c>
      <c r="H50" s="388">
        <f>IFERROR(__xludf.DUMMYFUNCTION("""COMPUTED_VALUE"""),0.0)</f>
        <v>0</v>
      </c>
      <c r="I50" s="388">
        <f>IFERROR(__xludf.DUMMYFUNCTION("""COMPUTED_VALUE"""),0.0)</f>
        <v>0</v>
      </c>
      <c r="J50" s="388">
        <f>IFERROR(__xludf.DUMMYFUNCTION("""COMPUTED_VALUE"""),0.0)</f>
        <v>0</v>
      </c>
      <c r="K50" s="388">
        <f>IFERROR(__xludf.DUMMYFUNCTION("""COMPUTED_VALUE"""),0.0)</f>
        <v>0</v>
      </c>
      <c r="L50" s="388">
        <f>IFERROR(__xludf.DUMMYFUNCTION("""COMPUTED_VALUE"""),0.0)</f>
        <v>0</v>
      </c>
      <c r="M50" s="388">
        <f>IFERROR(__xludf.DUMMYFUNCTION("""COMPUTED_VALUE"""),0.0)</f>
        <v>0</v>
      </c>
      <c r="N50" s="388">
        <f>IFERROR(__xludf.DUMMYFUNCTION("""COMPUTED_VALUE"""),0.0)</f>
        <v>0</v>
      </c>
      <c r="O50" s="388">
        <f>IFERROR(__xludf.DUMMYFUNCTION("""COMPUTED_VALUE"""),0.0)</f>
        <v>0</v>
      </c>
      <c r="P50" s="388">
        <f>IFERROR(__xludf.DUMMYFUNCTION("""COMPUTED_VALUE"""),0.0)</f>
        <v>0</v>
      </c>
      <c r="Q50" s="388">
        <f>IFERROR(__xludf.DUMMYFUNCTION("""COMPUTED_VALUE"""),0.0)</f>
        <v>0</v>
      </c>
      <c r="R50" s="388">
        <f>IFERROR(__xludf.DUMMYFUNCTION("""COMPUTED_VALUE"""),0.0)</f>
        <v>0</v>
      </c>
      <c r="S50" s="388">
        <f>IFERROR(__xludf.DUMMYFUNCTION("""COMPUTED_VALUE"""),0.0)</f>
        <v>0</v>
      </c>
      <c r="T50" s="388">
        <f>IFERROR(__xludf.DUMMYFUNCTION("""COMPUTED_VALUE"""),0.0)</f>
        <v>0</v>
      </c>
      <c r="U50" s="388">
        <f>IFERROR(__xludf.DUMMYFUNCTION("""COMPUTED_VALUE"""),0.0)</f>
        <v>0</v>
      </c>
      <c r="V50" s="389">
        <f>IFERROR(__xludf.DUMMYFUNCTION("""COMPUTED_VALUE"""),0.0)</f>
        <v>0</v>
      </c>
      <c r="W50" s="65"/>
      <c r="X50" s="65"/>
    </row>
    <row r="51" ht="14.25" customHeight="1">
      <c r="A51" s="366">
        <f t="shared" si="2"/>
        <v>47</v>
      </c>
      <c r="B51" s="399" t="s">
        <v>801</v>
      </c>
      <c r="C51" s="400"/>
      <c r="D51" s="401" t="s">
        <v>802</v>
      </c>
      <c r="E51" s="388">
        <f>IFERROR(__xludf.DUMMYFUNCTION("""COMPUTED_VALUE"""),0.0)</f>
        <v>0</v>
      </c>
      <c r="F51" s="388">
        <f>IFERROR(__xludf.DUMMYFUNCTION("""COMPUTED_VALUE"""),0.0)</f>
        <v>0</v>
      </c>
      <c r="G51" s="388">
        <f>IFERROR(__xludf.DUMMYFUNCTION("""COMPUTED_VALUE"""),0.0)</f>
        <v>0</v>
      </c>
      <c r="H51" s="388">
        <f>IFERROR(__xludf.DUMMYFUNCTION("""COMPUTED_VALUE"""),0.0)</f>
        <v>0</v>
      </c>
      <c r="I51" s="388">
        <f>IFERROR(__xludf.DUMMYFUNCTION("""COMPUTED_VALUE"""),0.0)</f>
        <v>0</v>
      </c>
      <c r="J51" s="388">
        <f>IFERROR(__xludf.DUMMYFUNCTION("""COMPUTED_VALUE"""),0.0)</f>
        <v>0</v>
      </c>
      <c r="K51" s="388">
        <f>IFERROR(__xludf.DUMMYFUNCTION("""COMPUTED_VALUE"""),0.0)</f>
        <v>0</v>
      </c>
      <c r="L51" s="388">
        <f>IFERROR(__xludf.DUMMYFUNCTION("""COMPUTED_VALUE"""),0.0)</f>
        <v>0</v>
      </c>
      <c r="M51" s="388">
        <f>IFERROR(__xludf.DUMMYFUNCTION("""COMPUTED_VALUE"""),0.0)</f>
        <v>0</v>
      </c>
      <c r="N51" s="388">
        <f>IFERROR(__xludf.DUMMYFUNCTION("""COMPUTED_VALUE"""),0.0)</f>
        <v>0</v>
      </c>
      <c r="O51" s="388">
        <f>IFERROR(__xludf.DUMMYFUNCTION("""COMPUTED_VALUE"""),0.0)</f>
        <v>0</v>
      </c>
      <c r="P51" s="388">
        <f>IFERROR(__xludf.DUMMYFUNCTION("""COMPUTED_VALUE"""),0.0)</f>
        <v>0</v>
      </c>
      <c r="Q51" s="388">
        <f>IFERROR(__xludf.DUMMYFUNCTION("""COMPUTED_VALUE"""),0.0)</f>
        <v>0</v>
      </c>
      <c r="R51" s="388">
        <f>IFERROR(__xludf.DUMMYFUNCTION("""COMPUTED_VALUE"""),0.0)</f>
        <v>0</v>
      </c>
      <c r="S51" s="388">
        <f>IFERROR(__xludf.DUMMYFUNCTION("""COMPUTED_VALUE"""),0.0)</f>
        <v>0</v>
      </c>
      <c r="T51" s="388">
        <f>IFERROR(__xludf.DUMMYFUNCTION("""COMPUTED_VALUE"""),0.0)</f>
        <v>0</v>
      </c>
      <c r="U51" s="388">
        <f>IFERROR(__xludf.DUMMYFUNCTION("""COMPUTED_VALUE"""),0.0)</f>
        <v>0</v>
      </c>
      <c r="V51" s="389">
        <f>IFERROR(__xludf.DUMMYFUNCTION("""COMPUTED_VALUE"""),0.0)</f>
        <v>0</v>
      </c>
      <c r="W51" s="65"/>
      <c r="X51" s="65"/>
    </row>
    <row r="52" ht="14.25" customHeight="1">
      <c r="A52" s="366">
        <f t="shared" si="2"/>
        <v>48</v>
      </c>
      <c r="B52" s="399" t="s">
        <v>803</v>
      </c>
      <c r="C52" s="400"/>
      <c r="D52" s="401" t="s">
        <v>804</v>
      </c>
      <c r="E52" s="388">
        <f>IFERROR(__xludf.DUMMYFUNCTION("""COMPUTED_VALUE"""),0.0)</f>
        <v>0</v>
      </c>
      <c r="F52" s="388">
        <f>IFERROR(__xludf.DUMMYFUNCTION("""COMPUTED_VALUE"""),0.0)</f>
        <v>0</v>
      </c>
      <c r="G52" s="388">
        <f>IFERROR(__xludf.DUMMYFUNCTION("""COMPUTED_VALUE"""),0.0)</f>
        <v>0</v>
      </c>
      <c r="H52" s="388">
        <f>IFERROR(__xludf.DUMMYFUNCTION("""COMPUTED_VALUE"""),0.0)</f>
        <v>0</v>
      </c>
      <c r="I52" s="388">
        <f>IFERROR(__xludf.DUMMYFUNCTION("""COMPUTED_VALUE"""),0.0)</f>
        <v>0</v>
      </c>
      <c r="J52" s="388">
        <f>IFERROR(__xludf.DUMMYFUNCTION("""COMPUTED_VALUE"""),0.0)</f>
        <v>0</v>
      </c>
      <c r="K52" s="388">
        <f>IFERROR(__xludf.DUMMYFUNCTION("""COMPUTED_VALUE"""),0.0)</f>
        <v>0</v>
      </c>
      <c r="L52" s="388">
        <f>IFERROR(__xludf.DUMMYFUNCTION("""COMPUTED_VALUE"""),0.0)</f>
        <v>0</v>
      </c>
      <c r="M52" s="388">
        <f>IFERROR(__xludf.DUMMYFUNCTION("""COMPUTED_VALUE"""),0.0)</f>
        <v>0</v>
      </c>
      <c r="N52" s="388">
        <f>IFERROR(__xludf.DUMMYFUNCTION("""COMPUTED_VALUE"""),0.0)</f>
        <v>0</v>
      </c>
      <c r="O52" s="388">
        <f>IFERROR(__xludf.DUMMYFUNCTION("""COMPUTED_VALUE"""),0.0)</f>
        <v>0</v>
      </c>
      <c r="P52" s="388">
        <f>IFERROR(__xludf.DUMMYFUNCTION("""COMPUTED_VALUE"""),0.0)</f>
        <v>0</v>
      </c>
      <c r="Q52" s="388">
        <f>IFERROR(__xludf.DUMMYFUNCTION("""COMPUTED_VALUE"""),0.0)</f>
        <v>0</v>
      </c>
      <c r="R52" s="388">
        <f>IFERROR(__xludf.DUMMYFUNCTION("""COMPUTED_VALUE"""),0.0)</f>
        <v>0</v>
      </c>
      <c r="S52" s="388">
        <f>IFERROR(__xludf.DUMMYFUNCTION("""COMPUTED_VALUE"""),0.0)</f>
        <v>0</v>
      </c>
      <c r="T52" s="388">
        <f>IFERROR(__xludf.DUMMYFUNCTION("""COMPUTED_VALUE"""),0.0)</f>
        <v>0</v>
      </c>
      <c r="U52" s="388">
        <f>IFERROR(__xludf.DUMMYFUNCTION("""COMPUTED_VALUE"""),0.0)</f>
        <v>0</v>
      </c>
      <c r="V52" s="389">
        <f>IFERROR(__xludf.DUMMYFUNCTION("""COMPUTED_VALUE"""),0.0)</f>
        <v>0</v>
      </c>
      <c r="W52" s="65"/>
      <c r="X52" s="65"/>
    </row>
    <row r="53" ht="14.25" customHeight="1">
      <c r="A53" s="366">
        <f t="shared" si="2"/>
        <v>49</v>
      </c>
      <c r="B53" s="399" t="s">
        <v>805</v>
      </c>
      <c r="C53" s="400"/>
      <c r="D53" s="401" t="s">
        <v>806</v>
      </c>
      <c r="E53" s="388">
        <f>IFERROR(__xludf.DUMMYFUNCTION("""COMPUTED_VALUE"""),0.0)</f>
        <v>0</v>
      </c>
      <c r="F53" s="388">
        <f>IFERROR(__xludf.DUMMYFUNCTION("""COMPUTED_VALUE"""),0.0)</f>
        <v>0</v>
      </c>
      <c r="G53" s="388">
        <f>IFERROR(__xludf.DUMMYFUNCTION("""COMPUTED_VALUE"""),0.0)</f>
        <v>0</v>
      </c>
      <c r="H53" s="388">
        <f>IFERROR(__xludf.DUMMYFUNCTION("""COMPUTED_VALUE"""),0.0)</f>
        <v>0</v>
      </c>
      <c r="I53" s="388">
        <f>IFERROR(__xludf.DUMMYFUNCTION("""COMPUTED_VALUE"""),0.0)</f>
        <v>0</v>
      </c>
      <c r="J53" s="388">
        <f>IFERROR(__xludf.DUMMYFUNCTION("""COMPUTED_VALUE"""),0.0)</f>
        <v>0</v>
      </c>
      <c r="K53" s="388">
        <f>IFERROR(__xludf.DUMMYFUNCTION("""COMPUTED_VALUE"""),0.0)</f>
        <v>0</v>
      </c>
      <c r="L53" s="388">
        <f>IFERROR(__xludf.DUMMYFUNCTION("""COMPUTED_VALUE"""),0.0)</f>
        <v>0</v>
      </c>
      <c r="M53" s="388">
        <f>IFERROR(__xludf.DUMMYFUNCTION("""COMPUTED_VALUE"""),0.0)</f>
        <v>0</v>
      </c>
      <c r="N53" s="388">
        <f>IFERROR(__xludf.DUMMYFUNCTION("""COMPUTED_VALUE"""),0.0)</f>
        <v>0</v>
      </c>
      <c r="O53" s="388">
        <f>IFERROR(__xludf.DUMMYFUNCTION("""COMPUTED_VALUE"""),0.0)</f>
        <v>0</v>
      </c>
      <c r="P53" s="388">
        <f>IFERROR(__xludf.DUMMYFUNCTION("""COMPUTED_VALUE"""),0.0)</f>
        <v>0</v>
      </c>
      <c r="Q53" s="388">
        <f>IFERROR(__xludf.DUMMYFUNCTION("""COMPUTED_VALUE"""),0.0)</f>
        <v>0</v>
      </c>
      <c r="R53" s="388">
        <f>IFERROR(__xludf.DUMMYFUNCTION("""COMPUTED_VALUE"""),0.0)</f>
        <v>0</v>
      </c>
      <c r="S53" s="388">
        <f>IFERROR(__xludf.DUMMYFUNCTION("""COMPUTED_VALUE"""),0.0)</f>
        <v>0</v>
      </c>
      <c r="T53" s="388">
        <f>IFERROR(__xludf.DUMMYFUNCTION("""COMPUTED_VALUE"""),0.0)</f>
        <v>0</v>
      </c>
      <c r="U53" s="388">
        <f>IFERROR(__xludf.DUMMYFUNCTION("""COMPUTED_VALUE"""),0.0)</f>
        <v>0</v>
      </c>
      <c r="V53" s="389">
        <f>IFERROR(__xludf.DUMMYFUNCTION("""COMPUTED_VALUE"""),0.0)</f>
        <v>0</v>
      </c>
      <c r="W53" s="65"/>
      <c r="X53" s="65"/>
    </row>
    <row r="54" ht="14.25" customHeight="1">
      <c r="A54" s="366">
        <f t="shared" si="2"/>
        <v>50</v>
      </c>
      <c r="B54" s="399" t="s">
        <v>807</v>
      </c>
      <c r="C54" s="400"/>
      <c r="D54" s="401" t="s">
        <v>808</v>
      </c>
      <c r="E54" s="388">
        <f>IFERROR(__xludf.DUMMYFUNCTION("""COMPUTED_VALUE"""),0.0)</f>
        <v>0</v>
      </c>
      <c r="F54" s="388">
        <f>IFERROR(__xludf.DUMMYFUNCTION("""COMPUTED_VALUE"""),0.0)</f>
        <v>0</v>
      </c>
      <c r="G54" s="388">
        <f>IFERROR(__xludf.DUMMYFUNCTION("""COMPUTED_VALUE"""),0.0)</f>
        <v>0</v>
      </c>
      <c r="H54" s="388">
        <f>IFERROR(__xludf.DUMMYFUNCTION("""COMPUTED_VALUE"""),0.0)</f>
        <v>0</v>
      </c>
      <c r="I54" s="388">
        <f>IFERROR(__xludf.DUMMYFUNCTION("""COMPUTED_VALUE"""),0.0)</f>
        <v>0</v>
      </c>
      <c r="J54" s="388">
        <f>IFERROR(__xludf.DUMMYFUNCTION("""COMPUTED_VALUE"""),0.0)</f>
        <v>0</v>
      </c>
      <c r="K54" s="388">
        <f>IFERROR(__xludf.DUMMYFUNCTION("""COMPUTED_VALUE"""),0.0)</f>
        <v>0</v>
      </c>
      <c r="L54" s="388">
        <f>IFERROR(__xludf.DUMMYFUNCTION("""COMPUTED_VALUE"""),0.0)</f>
        <v>0</v>
      </c>
      <c r="M54" s="388">
        <f>IFERROR(__xludf.DUMMYFUNCTION("""COMPUTED_VALUE"""),0.0)</f>
        <v>0</v>
      </c>
      <c r="N54" s="388">
        <f>IFERROR(__xludf.DUMMYFUNCTION("""COMPUTED_VALUE"""),0.0)</f>
        <v>0</v>
      </c>
      <c r="O54" s="388">
        <f>IFERROR(__xludf.DUMMYFUNCTION("""COMPUTED_VALUE"""),0.0)</f>
        <v>0</v>
      </c>
      <c r="P54" s="388">
        <f>IFERROR(__xludf.DUMMYFUNCTION("""COMPUTED_VALUE"""),0.0)</f>
        <v>0</v>
      </c>
      <c r="Q54" s="388">
        <f>IFERROR(__xludf.DUMMYFUNCTION("""COMPUTED_VALUE"""),0.0)</f>
        <v>0</v>
      </c>
      <c r="R54" s="388">
        <f>IFERROR(__xludf.DUMMYFUNCTION("""COMPUTED_VALUE"""),0.0)</f>
        <v>0</v>
      </c>
      <c r="S54" s="388">
        <f>IFERROR(__xludf.DUMMYFUNCTION("""COMPUTED_VALUE"""),0.0)</f>
        <v>0</v>
      </c>
      <c r="T54" s="388">
        <f>IFERROR(__xludf.DUMMYFUNCTION("""COMPUTED_VALUE"""),0.0)</f>
        <v>0</v>
      </c>
      <c r="U54" s="388">
        <f>IFERROR(__xludf.DUMMYFUNCTION("""COMPUTED_VALUE"""),0.0)</f>
        <v>0</v>
      </c>
      <c r="V54" s="389">
        <f>IFERROR(__xludf.DUMMYFUNCTION("""COMPUTED_VALUE"""),0.0)</f>
        <v>0</v>
      </c>
      <c r="W54" s="65"/>
      <c r="X54" s="65"/>
    </row>
    <row r="55" ht="14.25" customHeight="1">
      <c r="A55" s="366">
        <f t="shared" si="2"/>
        <v>51</v>
      </c>
      <c r="B55" s="392" t="s">
        <v>809</v>
      </c>
      <c r="C55" s="403"/>
      <c r="D55" s="404"/>
      <c r="E55" s="405">
        <f>IFERROR(__xludf.DUMMYFUNCTION("""COMPUTED_VALUE"""),0.0)</f>
        <v>0</v>
      </c>
      <c r="F55" s="405">
        <f>IFERROR(__xludf.DUMMYFUNCTION("""COMPUTED_VALUE"""),0.0)</f>
        <v>0</v>
      </c>
      <c r="G55" s="405">
        <f>IFERROR(__xludf.DUMMYFUNCTION("""COMPUTED_VALUE"""),0.0)</f>
        <v>0</v>
      </c>
      <c r="H55" s="405">
        <f>IFERROR(__xludf.DUMMYFUNCTION("""COMPUTED_VALUE"""),0.0)</f>
        <v>0</v>
      </c>
      <c r="I55" s="405">
        <f>IFERROR(__xludf.DUMMYFUNCTION("""COMPUTED_VALUE"""),0.0)</f>
        <v>0</v>
      </c>
      <c r="J55" s="405">
        <f>IFERROR(__xludf.DUMMYFUNCTION("""COMPUTED_VALUE"""),0.0)</f>
        <v>0</v>
      </c>
      <c r="K55" s="405">
        <f>IFERROR(__xludf.DUMMYFUNCTION("""COMPUTED_VALUE"""),0.0)</f>
        <v>0</v>
      </c>
      <c r="L55" s="405">
        <f>IFERROR(__xludf.DUMMYFUNCTION("""COMPUTED_VALUE"""),0.0)</f>
        <v>0</v>
      </c>
      <c r="M55" s="405">
        <f>IFERROR(__xludf.DUMMYFUNCTION("""COMPUTED_VALUE"""),0.0)</f>
        <v>0</v>
      </c>
      <c r="N55" s="405">
        <f>IFERROR(__xludf.DUMMYFUNCTION("""COMPUTED_VALUE"""),0.0)</f>
        <v>0</v>
      </c>
      <c r="O55" s="405">
        <f>IFERROR(__xludf.DUMMYFUNCTION("""COMPUTED_VALUE"""),7387346.0)</f>
        <v>7387346</v>
      </c>
      <c r="P55" s="405">
        <f>IFERROR(__xludf.DUMMYFUNCTION("""COMPUTED_VALUE"""),0.0)</f>
        <v>0</v>
      </c>
      <c r="Q55" s="405">
        <f>IFERROR(__xludf.DUMMYFUNCTION("""COMPUTED_VALUE"""),0.0)</f>
        <v>0</v>
      </c>
      <c r="R55" s="405">
        <f>IFERROR(__xludf.DUMMYFUNCTION("""COMPUTED_VALUE"""),0.0)</f>
        <v>0</v>
      </c>
      <c r="S55" s="405">
        <f>IFERROR(__xludf.DUMMYFUNCTION("""COMPUTED_VALUE"""),0.0)</f>
        <v>0</v>
      </c>
      <c r="T55" s="405">
        <f>IFERROR(__xludf.DUMMYFUNCTION("""COMPUTED_VALUE"""),0.0)</f>
        <v>0</v>
      </c>
      <c r="U55" s="405">
        <f>IFERROR(__xludf.DUMMYFUNCTION("""COMPUTED_VALUE"""),0.0)</f>
        <v>0</v>
      </c>
      <c r="V55" s="405">
        <f>IFERROR(__xludf.DUMMYFUNCTION("""COMPUTED_VALUE"""),7387346.0)</f>
        <v>7387346</v>
      </c>
      <c r="W55" s="65"/>
      <c r="X55" s="65"/>
    </row>
    <row r="56" ht="14.25" customHeight="1">
      <c r="A56" s="366">
        <f t="shared" si="2"/>
        <v>52</v>
      </c>
      <c r="B56" s="407" t="s">
        <v>811</v>
      </c>
      <c r="C56" s="400"/>
      <c r="D56" s="401" t="s">
        <v>812</v>
      </c>
      <c r="E56" s="388">
        <f>IFERROR(__xludf.DUMMYFUNCTION("""COMPUTED_VALUE"""),0.0)</f>
        <v>0</v>
      </c>
      <c r="F56" s="388">
        <f>IFERROR(__xludf.DUMMYFUNCTION("""COMPUTED_VALUE"""),0.0)</f>
        <v>0</v>
      </c>
      <c r="G56" s="388">
        <f>IFERROR(__xludf.DUMMYFUNCTION("""COMPUTED_VALUE"""),0.0)</f>
        <v>0</v>
      </c>
      <c r="H56" s="388">
        <f>IFERROR(__xludf.DUMMYFUNCTION("""COMPUTED_VALUE"""),0.0)</f>
        <v>0</v>
      </c>
      <c r="I56" s="388">
        <f>IFERROR(__xludf.DUMMYFUNCTION("""COMPUTED_VALUE"""),0.0)</f>
        <v>0</v>
      </c>
      <c r="J56" s="388">
        <f>IFERROR(__xludf.DUMMYFUNCTION("""COMPUTED_VALUE"""),0.0)</f>
        <v>0</v>
      </c>
      <c r="K56" s="388">
        <f>IFERROR(__xludf.DUMMYFUNCTION("""COMPUTED_VALUE"""),0.0)</f>
        <v>0</v>
      </c>
      <c r="L56" s="388">
        <f>IFERROR(__xludf.DUMMYFUNCTION("""COMPUTED_VALUE"""),0.0)</f>
        <v>0</v>
      </c>
      <c r="M56" s="388">
        <f>IFERROR(__xludf.DUMMYFUNCTION("""COMPUTED_VALUE"""),0.0)</f>
        <v>0</v>
      </c>
      <c r="N56" s="388">
        <f>IFERROR(__xludf.DUMMYFUNCTION("""COMPUTED_VALUE"""),0.0)</f>
        <v>0</v>
      </c>
      <c r="O56" s="388">
        <f>IFERROR(__xludf.DUMMYFUNCTION("""COMPUTED_VALUE"""),0.0)</f>
        <v>0</v>
      </c>
      <c r="P56" s="388">
        <f>IFERROR(__xludf.DUMMYFUNCTION("""COMPUTED_VALUE"""),0.0)</f>
        <v>0</v>
      </c>
      <c r="Q56" s="388">
        <f>IFERROR(__xludf.DUMMYFUNCTION("""COMPUTED_VALUE"""),0.0)</f>
        <v>0</v>
      </c>
      <c r="R56" s="388">
        <f>IFERROR(__xludf.DUMMYFUNCTION("""COMPUTED_VALUE"""),0.0)</f>
        <v>0</v>
      </c>
      <c r="S56" s="388">
        <f>IFERROR(__xludf.DUMMYFUNCTION("""COMPUTED_VALUE"""),0.0)</f>
        <v>0</v>
      </c>
      <c r="T56" s="388">
        <f>IFERROR(__xludf.DUMMYFUNCTION("""COMPUTED_VALUE"""),0.0)</f>
        <v>0</v>
      </c>
      <c r="U56" s="388">
        <f>IFERROR(__xludf.DUMMYFUNCTION("""COMPUTED_VALUE"""),0.0)</f>
        <v>0</v>
      </c>
      <c r="V56" s="389">
        <f>IFERROR(__xludf.DUMMYFUNCTION("""COMPUTED_VALUE"""),0.0)</f>
        <v>0</v>
      </c>
      <c r="W56" s="65"/>
      <c r="X56" s="65"/>
    </row>
    <row r="57" ht="14.25" customHeight="1">
      <c r="A57" s="366">
        <f t="shared" si="2"/>
        <v>53</v>
      </c>
      <c r="B57" s="407" t="s">
        <v>813</v>
      </c>
      <c r="C57" s="400"/>
      <c r="D57" s="401" t="s">
        <v>814</v>
      </c>
      <c r="E57" s="388">
        <f>IFERROR(__xludf.DUMMYFUNCTION("""COMPUTED_VALUE"""),0.0)</f>
        <v>0</v>
      </c>
      <c r="F57" s="388">
        <f>IFERROR(__xludf.DUMMYFUNCTION("""COMPUTED_VALUE"""),0.0)</f>
        <v>0</v>
      </c>
      <c r="G57" s="388">
        <f>IFERROR(__xludf.DUMMYFUNCTION("""COMPUTED_VALUE"""),0.0)</f>
        <v>0</v>
      </c>
      <c r="H57" s="388">
        <f>IFERROR(__xludf.DUMMYFUNCTION("""COMPUTED_VALUE"""),0.0)</f>
        <v>0</v>
      </c>
      <c r="I57" s="388">
        <f>IFERROR(__xludf.DUMMYFUNCTION("""COMPUTED_VALUE"""),0.0)</f>
        <v>0</v>
      </c>
      <c r="J57" s="388">
        <f>IFERROR(__xludf.DUMMYFUNCTION("""COMPUTED_VALUE"""),0.0)</f>
        <v>0</v>
      </c>
      <c r="K57" s="388">
        <f>IFERROR(__xludf.DUMMYFUNCTION("""COMPUTED_VALUE"""),0.0)</f>
        <v>0</v>
      </c>
      <c r="L57" s="388">
        <f>IFERROR(__xludf.DUMMYFUNCTION("""COMPUTED_VALUE"""),0.0)</f>
        <v>0</v>
      </c>
      <c r="M57" s="388">
        <f>IFERROR(__xludf.DUMMYFUNCTION("""COMPUTED_VALUE"""),0.0)</f>
        <v>0</v>
      </c>
      <c r="N57" s="388">
        <f>IFERROR(__xludf.DUMMYFUNCTION("""COMPUTED_VALUE"""),0.0)</f>
        <v>0</v>
      </c>
      <c r="O57" s="388">
        <f>IFERROR(__xludf.DUMMYFUNCTION("""COMPUTED_VALUE"""),0.0)</f>
        <v>0</v>
      </c>
      <c r="P57" s="388">
        <f>IFERROR(__xludf.DUMMYFUNCTION("""COMPUTED_VALUE"""),0.0)</f>
        <v>0</v>
      </c>
      <c r="Q57" s="388">
        <f>IFERROR(__xludf.DUMMYFUNCTION("""COMPUTED_VALUE"""),0.0)</f>
        <v>0</v>
      </c>
      <c r="R57" s="388">
        <f>IFERROR(__xludf.DUMMYFUNCTION("""COMPUTED_VALUE"""),0.0)</f>
        <v>0</v>
      </c>
      <c r="S57" s="388">
        <f>IFERROR(__xludf.DUMMYFUNCTION("""COMPUTED_VALUE"""),0.0)</f>
        <v>0</v>
      </c>
      <c r="T57" s="388">
        <f>IFERROR(__xludf.DUMMYFUNCTION("""COMPUTED_VALUE"""),0.0)</f>
        <v>0</v>
      </c>
      <c r="U57" s="388">
        <f>IFERROR(__xludf.DUMMYFUNCTION("""COMPUTED_VALUE"""),0.0)</f>
        <v>0</v>
      </c>
      <c r="V57" s="389">
        <f>IFERROR(__xludf.DUMMYFUNCTION("""COMPUTED_VALUE"""),0.0)</f>
        <v>0</v>
      </c>
      <c r="W57" s="65"/>
      <c r="X57" s="65"/>
    </row>
    <row r="58" ht="14.25" customHeight="1">
      <c r="A58" s="366">
        <f t="shared" si="2"/>
        <v>54</v>
      </c>
      <c r="B58" s="407" t="s">
        <v>815</v>
      </c>
      <c r="C58" s="400"/>
      <c r="D58" s="401" t="s">
        <v>816</v>
      </c>
      <c r="E58" s="388">
        <f>IFERROR(__xludf.DUMMYFUNCTION("""COMPUTED_VALUE"""),0.0)</f>
        <v>0</v>
      </c>
      <c r="F58" s="388">
        <f>IFERROR(__xludf.DUMMYFUNCTION("""COMPUTED_VALUE"""),0.0)</f>
        <v>0</v>
      </c>
      <c r="G58" s="388">
        <f>IFERROR(__xludf.DUMMYFUNCTION("""COMPUTED_VALUE"""),0.0)</f>
        <v>0</v>
      </c>
      <c r="H58" s="388">
        <f>IFERROR(__xludf.DUMMYFUNCTION("""COMPUTED_VALUE"""),0.0)</f>
        <v>0</v>
      </c>
      <c r="I58" s="388">
        <f>IFERROR(__xludf.DUMMYFUNCTION("""COMPUTED_VALUE"""),0.0)</f>
        <v>0</v>
      </c>
      <c r="J58" s="388">
        <f>IFERROR(__xludf.DUMMYFUNCTION("""COMPUTED_VALUE"""),0.0)</f>
        <v>0</v>
      </c>
      <c r="K58" s="388">
        <f>IFERROR(__xludf.DUMMYFUNCTION("""COMPUTED_VALUE"""),0.0)</f>
        <v>0</v>
      </c>
      <c r="L58" s="388">
        <f>IFERROR(__xludf.DUMMYFUNCTION("""COMPUTED_VALUE"""),0.0)</f>
        <v>0</v>
      </c>
      <c r="M58" s="388">
        <f>IFERROR(__xludf.DUMMYFUNCTION("""COMPUTED_VALUE"""),0.0)</f>
        <v>0</v>
      </c>
      <c r="N58" s="388">
        <f>IFERROR(__xludf.DUMMYFUNCTION("""COMPUTED_VALUE"""),0.0)</f>
        <v>0</v>
      </c>
      <c r="O58" s="388">
        <f>IFERROR(__xludf.DUMMYFUNCTION("""COMPUTED_VALUE"""),0.0)</f>
        <v>0</v>
      </c>
      <c r="P58" s="388">
        <f>IFERROR(__xludf.DUMMYFUNCTION("""COMPUTED_VALUE"""),0.0)</f>
        <v>0</v>
      </c>
      <c r="Q58" s="388">
        <f>IFERROR(__xludf.DUMMYFUNCTION("""COMPUTED_VALUE"""),0.0)</f>
        <v>0</v>
      </c>
      <c r="R58" s="388">
        <f>IFERROR(__xludf.DUMMYFUNCTION("""COMPUTED_VALUE"""),0.0)</f>
        <v>0</v>
      </c>
      <c r="S58" s="388">
        <f>IFERROR(__xludf.DUMMYFUNCTION("""COMPUTED_VALUE"""),0.0)</f>
        <v>0</v>
      </c>
      <c r="T58" s="388">
        <f>IFERROR(__xludf.DUMMYFUNCTION("""COMPUTED_VALUE"""),0.0)</f>
        <v>0</v>
      </c>
      <c r="U58" s="388">
        <f>IFERROR(__xludf.DUMMYFUNCTION("""COMPUTED_VALUE"""),0.0)</f>
        <v>0</v>
      </c>
      <c r="V58" s="389">
        <f>IFERROR(__xludf.DUMMYFUNCTION("""COMPUTED_VALUE"""),0.0)</f>
        <v>0</v>
      </c>
      <c r="W58" s="65"/>
      <c r="X58" s="65"/>
    </row>
    <row r="59" ht="14.25" customHeight="1">
      <c r="A59" s="366">
        <f t="shared" si="2"/>
        <v>55</v>
      </c>
      <c r="B59" s="392" t="s">
        <v>1021</v>
      </c>
      <c r="C59" s="403"/>
      <c r="D59" s="404"/>
      <c r="E59" s="405">
        <f>IFERROR(__xludf.DUMMYFUNCTION("""COMPUTED_VALUE"""),0.0)</f>
        <v>0</v>
      </c>
      <c r="F59" s="405">
        <f>IFERROR(__xludf.DUMMYFUNCTION("""COMPUTED_VALUE"""),0.0)</f>
        <v>0</v>
      </c>
      <c r="G59" s="405">
        <f>IFERROR(__xludf.DUMMYFUNCTION("""COMPUTED_VALUE"""),0.0)</f>
        <v>0</v>
      </c>
      <c r="H59" s="405">
        <f>IFERROR(__xludf.DUMMYFUNCTION("""COMPUTED_VALUE"""),0.0)</f>
        <v>0</v>
      </c>
      <c r="I59" s="405">
        <f>IFERROR(__xludf.DUMMYFUNCTION("""COMPUTED_VALUE"""),0.0)</f>
        <v>0</v>
      </c>
      <c r="J59" s="405">
        <f>IFERROR(__xludf.DUMMYFUNCTION("""COMPUTED_VALUE"""),0.0)</f>
        <v>0</v>
      </c>
      <c r="K59" s="405">
        <f>IFERROR(__xludf.DUMMYFUNCTION("""COMPUTED_VALUE"""),0.0)</f>
        <v>0</v>
      </c>
      <c r="L59" s="405">
        <f>IFERROR(__xludf.DUMMYFUNCTION("""COMPUTED_VALUE"""),0.0)</f>
        <v>0</v>
      </c>
      <c r="M59" s="405">
        <f>IFERROR(__xludf.DUMMYFUNCTION("""COMPUTED_VALUE"""),0.0)</f>
        <v>0</v>
      </c>
      <c r="N59" s="405">
        <f>IFERROR(__xludf.DUMMYFUNCTION("""COMPUTED_VALUE"""),0.0)</f>
        <v>0</v>
      </c>
      <c r="O59" s="405">
        <f>IFERROR(__xludf.DUMMYFUNCTION("""COMPUTED_VALUE"""),0.0)</f>
        <v>0</v>
      </c>
      <c r="P59" s="405">
        <f>IFERROR(__xludf.DUMMYFUNCTION("""COMPUTED_VALUE"""),0.0)</f>
        <v>0</v>
      </c>
      <c r="Q59" s="405">
        <f>IFERROR(__xludf.DUMMYFUNCTION("""COMPUTED_VALUE"""),0.0)</f>
        <v>0</v>
      </c>
      <c r="R59" s="405">
        <f>IFERROR(__xludf.DUMMYFUNCTION("""COMPUTED_VALUE"""),0.0)</f>
        <v>0</v>
      </c>
      <c r="S59" s="405">
        <f>IFERROR(__xludf.DUMMYFUNCTION("""COMPUTED_VALUE"""),0.0)</f>
        <v>0</v>
      </c>
      <c r="T59" s="405">
        <f>IFERROR(__xludf.DUMMYFUNCTION("""COMPUTED_VALUE"""),0.0)</f>
        <v>0</v>
      </c>
      <c r="U59" s="405">
        <f>IFERROR(__xludf.DUMMYFUNCTION("""COMPUTED_VALUE"""),0.0)</f>
        <v>0</v>
      </c>
      <c r="V59" s="405">
        <f>IFERROR(__xludf.DUMMYFUNCTION("""COMPUTED_VALUE"""),0.0)</f>
        <v>0</v>
      </c>
      <c r="W59" s="65"/>
      <c r="X59" s="65"/>
    </row>
    <row r="60" ht="14.25" customHeight="1">
      <c r="A60" s="366">
        <f t="shared" si="2"/>
        <v>56</v>
      </c>
      <c r="B60" s="408"/>
      <c r="C60" s="382"/>
      <c r="D60" s="409" t="s">
        <v>818</v>
      </c>
      <c r="E60" s="388">
        <f>IFERROR(__xludf.DUMMYFUNCTION("""COMPUTED_VALUE"""),0.0)</f>
        <v>0</v>
      </c>
      <c r="F60" s="388">
        <f>IFERROR(__xludf.DUMMYFUNCTION("""COMPUTED_VALUE"""),0.0)</f>
        <v>0</v>
      </c>
      <c r="G60" s="388">
        <f>IFERROR(__xludf.DUMMYFUNCTION("""COMPUTED_VALUE"""),0.0)</f>
        <v>0</v>
      </c>
      <c r="H60" s="388">
        <f>IFERROR(__xludf.DUMMYFUNCTION("""COMPUTED_VALUE"""),0.0)</f>
        <v>0</v>
      </c>
      <c r="I60" s="388">
        <f>IFERROR(__xludf.DUMMYFUNCTION("""COMPUTED_VALUE"""),0.0)</f>
        <v>0</v>
      </c>
      <c r="J60" s="388">
        <f>IFERROR(__xludf.DUMMYFUNCTION("""COMPUTED_VALUE"""),0.0)</f>
        <v>0</v>
      </c>
      <c r="K60" s="388">
        <f>IFERROR(__xludf.DUMMYFUNCTION("""COMPUTED_VALUE"""),0.0)</f>
        <v>0</v>
      </c>
      <c r="L60" s="388">
        <f>IFERROR(__xludf.DUMMYFUNCTION("""COMPUTED_VALUE"""),0.0)</f>
        <v>0</v>
      </c>
      <c r="M60" s="388">
        <f>IFERROR(__xludf.DUMMYFUNCTION("""COMPUTED_VALUE"""),0.0)</f>
        <v>0</v>
      </c>
      <c r="N60" s="388">
        <f>IFERROR(__xludf.DUMMYFUNCTION("""COMPUTED_VALUE"""),0.0)</f>
        <v>0</v>
      </c>
      <c r="O60" s="388">
        <f>IFERROR(__xludf.DUMMYFUNCTION("""COMPUTED_VALUE"""),0.0)</f>
        <v>0</v>
      </c>
      <c r="P60" s="388">
        <f>IFERROR(__xludf.DUMMYFUNCTION("""COMPUTED_VALUE"""),0.0)</f>
        <v>0</v>
      </c>
      <c r="Q60" s="388">
        <f>IFERROR(__xludf.DUMMYFUNCTION("""COMPUTED_VALUE"""),0.0)</f>
        <v>0</v>
      </c>
      <c r="R60" s="388">
        <f>IFERROR(__xludf.DUMMYFUNCTION("""COMPUTED_VALUE"""),0.0)</f>
        <v>0</v>
      </c>
      <c r="S60" s="388">
        <f>IFERROR(__xludf.DUMMYFUNCTION("""COMPUTED_VALUE"""),0.0)</f>
        <v>0</v>
      </c>
      <c r="T60" s="388">
        <f>IFERROR(__xludf.DUMMYFUNCTION("""COMPUTED_VALUE"""),0.0)</f>
        <v>0</v>
      </c>
      <c r="U60" s="388">
        <f>IFERROR(__xludf.DUMMYFUNCTION("""COMPUTED_VALUE"""),0.0)</f>
        <v>0</v>
      </c>
      <c r="V60" s="389">
        <f>IFERROR(__xludf.DUMMYFUNCTION("""COMPUTED_VALUE"""),0.0)</f>
        <v>0</v>
      </c>
      <c r="W60" s="65"/>
      <c r="X60" s="65"/>
    </row>
    <row r="61" ht="14.25" customHeight="1">
      <c r="A61" s="366">
        <f t="shared" si="2"/>
        <v>57</v>
      </c>
      <c r="B61" s="406"/>
      <c r="C61" s="400"/>
      <c r="D61" s="401" t="s">
        <v>819</v>
      </c>
      <c r="E61" s="388">
        <f>IFERROR(__xludf.DUMMYFUNCTION("""COMPUTED_VALUE"""),0.0)</f>
        <v>0</v>
      </c>
      <c r="F61" s="388">
        <f>IFERROR(__xludf.DUMMYFUNCTION("""COMPUTED_VALUE"""),0.0)</f>
        <v>0</v>
      </c>
      <c r="G61" s="388">
        <f>IFERROR(__xludf.DUMMYFUNCTION("""COMPUTED_VALUE"""),0.0)</f>
        <v>0</v>
      </c>
      <c r="H61" s="388">
        <f>IFERROR(__xludf.DUMMYFUNCTION("""COMPUTED_VALUE"""),0.0)</f>
        <v>0</v>
      </c>
      <c r="I61" s="388">
        <f>IFERROR(__xludf.DUMMYFUNCTION("""COMPUTED_VALUE"""),0.0)</f>
        <v>0</v>
      </c>
      <c r="J61" s="388">
        <f>IFERROR(__xludf.DUMMYFUNCTION("""COMPUTED_VALUE"""),0.0)</f>
        <v>0</v>
      </c>
      <c r="K61" s="388">
        <f>IFERROR(__xludf.DUMMYFUNCTION("""COMPUTED_VALUE"""),0.0)</f>
        <v>0</v>
      </c>
      <c r="L61" s="388">
        <f>IFERROR(__xludf.DUMMYFUNCTION("""COMPUTED_VALUE"""),0.0)</f>
        <v>0</v>
      </c>
      <c r="M61" s="388">
        <f>IFERROR(__xludf.DUMMYFUNCTION("""COMPUTED_VALUE"""),0.0)</f>
        <v>0</v>
      </c>
      <c r="N61" s="388">
        <f>IFERROR(__xludf.DUMMYFUNCTION("""COMPUTED_VALUE"""),0.0)</f>
        <v>0</v>
      </c>
      <c r="O61" s="388">
        <f>IFERROR(__xludf.DUMMYFUNCTION("""COMPUTED_VALUE"""),0.0)</f>
        <v>0</v>
      </c>
      <c r="P61" s="388">
        <f>IFERROR(__xludf.DUMMYFUNCTION("""COMPUTED_VALUE"""),0.0)</f>
        <v>0</v>
      </c>
      <c r="Q61" s="388">
        <f>IFERROR(__xludf.DUMMYFUNCTION("""COMPUTED_VALUE"""),0.0)</f>
        <v>0</v>
      </c>
      <c r="R61" s="388">
        <f>IFERROR(__xludf.DUMMYFUNCTION("""COMPUTED_VALUE"""),0.0)</f>
        <v>0</v>
      </c>
      <c r="S61" s="388">
        <f>IFERROR(__xludf.DUMMYFUNCTION("""COMPUTED_VALUE"""),0.0)</f>
        <v>0</v>
      </c>
      <c r="T61" s="388">
        <f>IFERROR(__xludf.DUMMYFUNCTION("""COMPUTED_VALUE"""),0.0)</f>
        <v>0</v>
      </c>
      <c r="U61" s="388">
        <f>IFERROR(__xludf.DUMMYFUNCTION("""COMPUTED_VALUE"""),0.0)</f>
        <v>0</v>
      </c>
      <c r="V61" s="389">
        <f>IFERROR(__xludf.DUMMYFUNCTION("""COMPUTED_VALUE"""),0.0)</f>
        <v>0</v>
      </c>
      <c r="W61" s="65"/>
      <c r="X61" s="65"/>
    </row>
    <row r="62" ht="14.25" customHeight="1">
      <c r="A62" s="366">
        <f t="shared" si="2"/>
        <v>58</v>
      </c>
      <c r="B62" s="402" t="s">
        <v>820</v>
      </c>
      <c r="C62" s="403"/>
      <c r="D62" s="404"/>
      <c r="E62" s="405">
        <f>IFERROR(__xludf.DUMMYFUNCTION("""COMPUTED_VALUE"""),0.0)</f>
        <v>0</v>
      </c>
      <c r="F62" s="405">
        <f>IFERROR(__xludf.DUMMYFUNCTION("""COMPUTED_VALUE"""),0.0)</f>
        <v>0</v>
      </c>
      <c r="G62" s="405">
        <f>IFERROR(__xludf.DUMMYFUNCTION("""COMPUTED_VALUE"""),0.0)</f>
        <v>0</v>
      </c>
      <c r="H62" s="405">
        <f>IFERROR(__xludf.DUMMYFUNCTION("""COMPUTED_VALUE"""),0.0)</f>
        <v>0</v>
      </c>
      <c r="I62" s="405">
        <f>IFERROR(__xludf.DUMMYFUNCTION("""COMPUTED_VALUE"""),0.0)</f>
        <v>0</v>
      </c>
      <c r="J62" s="405">
        <f>IFERROR(__xludf.DUMMYFUNCTION("""COMPUTED_VALUE"""),0.0)</f>
        <v>0</v>
      </c>
      <c r="K62" s="405">
        <f>IFERROR(__xludf.DUMMYFUNCTION("""COMPUTED_VALUE"""),0.0)</f>
        <v>0</v>
      </c>
      <c r="L62" s="405">
        <f>IFERROR(__xludf.DUMMYFUNCTION("""COMPUTED_VALUE"""),0.0)</f>
        <v>0</v>
      </c>
      <c r="M62" s="405">
        <f>IFERROR(__xludf.DUMMYFUNCTION("""COMPUTED_VALUE"""),0.0)</f>
        <v>0</v>
      </c>
      <c r="N62" s="405">
        <f>IFERROR(__xludf.DUMMYFUNCTION("""COMPUTED_VALUE"""),0.0)</f>
        <v>0</v>
      </c>
      <c r="O62" s="405">
        <f>IFERROR(__xludf.DUMMYFUNCTION("""COMPUTED_VALUE"""),0.0)</f>
        <v>0</v>
      </c>
      <c r="P62" s="405">
        <f>IFERROR(__xludf.DUMMYFUNCTION("""COMPUTED_VALUE"""),0.0)</f>
        <v>0</v>
      </c>
      <c r="Q62" s="405">
        <f>IFERROR(__xludf.DUMMYFUNCTION("""COMPUTED_VALUE"""),0.0)</f>
        <v>0</v>
      </c>
      <c r="R62" s="405">
        <f>IFERROR(__xludf.DUMMYFUNCTION("""COMPUTED_VALUE"""),0.0)</f>
        <v>0</v>
      </c>
      <c r="S62" s="405">
        <f>IFERROR(__xludf.DUMMYFUNCTION("""COMPUTED_VALUE"""),0.0)</f>
        <v>0</v>
      </c>
      <c r="T62" s="405">
        <f>IFERROR(__xludf.DUMMYFUNCTION("""COMPUTED_VALUE"""),0.0)</f>
        <v>0</v>
      </c>
      <c r="U62" s="405">
        <f>IFERROR(__xludf.DUMMYFUNCTION("""COMPUTED_VALUE"""),0.0)</f>
        <v>0</v>
      </c>
      <c r="V62" s="405">
        <f>IFERROR(__xludf.DUMMYFUNCTION("""COMPUTED_VALUE"""),0.0)</f>
        <v>0</v>
      </c>
      <c r="W62" s="65"/>
      <c r="X62" s="65"/>
    </row>
    <row r="63" ht="14.25" customHeight="1">
      <c r="A63" s="366">
        <f t="shared" si="2"/>
        <v>59</v>
      </c>
      <c r="B63" s="410" t="s">
        <v>822</v>
      </c>
      <c r="C63" s="411"/>
      <c r="D63" s="412"/>
      <c r="E63" s="413">
        <f>IFERROR(__xludf.DUMMYFUNCTION("""COMPUTED_VALUE"""),0.0)</f>
        <v>0</v>
      </c>
      <c r="F63" s="413">
        <f>IFERROR(__xludf.DUMMYFUNCTION("""COMPUTED_VALUE"""),0.0)</f>
        <v>0</v>
      </c>
      <c r="G63" s="413">
        <f>IFERROR(__xludf.DUMMYFUNCTION("""COMPUTED_VALUE"""),0.0)</f>
        <v>0</v>
      </c>
      <c r="H63" s="413">
        <f>IFERROR(__xludf.DUMMYFUNCTION("""COMPUTED_VALUE"""),0.0)</f>
        <v>0</v>
      </c>
      <c r="I63" s="413">
        <f>IFERROR(__xludf.DUMMYFUNCTION("""COMPUTED_VALUE"""),0.0)</f>
        <v>0</v>
      </c>
      <c r="J63" s="413">
        <f>IFERROR(__xludf.DUMMYFUNCTION("""COMPUTED_VALUE"""),0.0)</f>
        <v>0</v>
      </c>
      <c r="K63" s="413">
        <f>IFERROR(__xludf.DUMMYFUNCTION("""COMPUTED_VALUE"""),0.0)</f>
        <v>0</v>
      </c>
      <c r="L63" s="413">
        <f>IFERROR(__xludf.DUMMYFUNCTION("""COMPUTED_VALUE"""),0.0)</f>
        <v>0</v>
      </c>
      <c r="M63" s="413">
        <f>IFERROR(__xludf.DUMMYFUNCTION("""COMPUTED_VALUE"""),0.0)</f>
        <v>0</v>
      </c>
      <c r="N63" s="413">
        <f>IFERROR(__xludf.DUMMYFUNCTION("""COMPUTED_VALUE"""),0.0)</f>
        <v>0</v>
      </c>
      <c r="O63" s="413">
        <f>IFERROR(__xludf.DUMMYFUNCTION("""COMPUTED_VALUE"""),7.7234949E7)</f>
        <v>77234949</v>
      </c>
      <c r="P63" s="413">
        <f>IFERROR(__xludf.DUMMYFUNCTION("""COMPUTED_VALUE"""),0.0)</f>
        <v>0</v>
      </c>
      <c r="Q63" s="413">
        <f>IFERROR(__xludf.DUMMYFUNCTION("""COMPUTED_VALUE"""),0.0)</f>
        <v>0</v>
      </c>
      <c r="R63" s="413">
        <f>IFERROR(__xludf.DUMMYFUNCTION("""COMPUTED_VALUE"""),0.0)</f>
        <v>0</v>
      </c>
      <c r="S63" s="413">
        <f>IFERROR(__xludf.DUMMYFUNCTION("""COMPUTED_VALUE"""),0.0)</f>
        <v>0</v>
      </c>
      <c r="T63" s="413">
        <f>IFERROR(__xludf.DUMMYFUNCTION("""COMPUTED_VALUE"""),0.0)</f>
        <v>0</v>
      </c>
      <c r="U63" s="413">
        <f>IFERROR(__xludf.DUMMYFUNCTION("""COMPUTED_VALUE"""),0.0)</f>
        <v>0</v>
      </c>
      <c r="V63" s="413">
        <f>IFERROR(__xludf.DUMMYFUNCTION("""COMPUTED_VALUE"""),7.7234949E7)</f>
        <v>77234949</v>
      </c>
      <c r="W63" s="65"/>
      <c r="X63" s="65"/>
    </row>
    <row r="64" ht="14.25" customHeight="1">
      <c r="A64" s="366">
        <f t="shared" si="2"/>
        <v>60</v>
      </c>
      <c r="B64" s="414" t="s">
        <v>823</v>
      </c>
      <c r="C64" s="382"/>
      <c r="D64" s="387" t="s">
        <v>192</v>
      </c>
      <c r="E64" s="388">
        <f>IFERROR(__xludf.DUMMYFUNCTION("""COMPUTED_VALUE"""),0.0)</f>
        <v>0</v>
      </c>
      <c r="F64" s="388">
        <f>IFERROR(__xludf.DUMMYFUNCTION("""COMPUTED_VALUE"""),0.0)</f>
        <v>0</v>
      </c>
      <c r="G64" s="388">
        <f>IFERROR(__xludf.DUMMYFUNCTION("""COMPUTED_VALUE"""),0.0)</f>
        <v>0</v>
      </c>
      <c r="H64" s="388">
        <f>IFERROR(__xludf.DUMMYFUNCTION("""COMPUTED_VALUE"""),0.0)</f>
        <v>0</v>
      </c>
      <c r="I64" s="388">
        <f>IFERROR(__xludf.DUMMYFUNCTION("""COMPUTED_VALUE"""),0.0)</f>
        <v>0</v>
      </c>
      <c r="J64" s="388">
        <f>IFERROR(__xludf.DUMMYFUNCTION("""COMPUTED_VALUE"""),0.0)</f>
        <v>0</v>
      </c>
      <c r="K64" s="388">
        <f>IFERROR(__xludf.DUMMYFUNCTION("""COMPUTED_VALUE"""),0.0)</f>
        <v>0</v>
      </c>
      <c r="L64" s="388">
        <f>IFERROR(__xludf.DUMMYFUNCTION("""COMPUTED_VALUE"""),0.0)</f>
        <v>0</v>
      </c>
      <c r="M64" s="388">
        <f>IFERROR(__xludf.DUMMYFUNCTION("""COMPUTED_VALUE"""),0.0)</f>
        <v>0</v>
      </c>
      <c r="N64" s="388">
        <f>IFERROR(__xludf.DUMMYFUNCTION("""COMPUTED_VALUE"""),0.0)</f>
        <v>0</v>
      </c>
      <c r="O64" s="388">
        <f>IFERROR(__xludf.DUMMYFUNCTION("""COMPUTED_VALUE"""),0.0)</f>
        <v>0</v>
      </c>
      <c r="P64" s="388">
        <f>IFERROR(__xludf.DUMMYFUNCTION("""COMPUTED_VALUE"""),0.0)</f>
        <v>0</v>
      </c>
      <c r="Q64" s="388">
        <f>IFERROR(__xludf.DUMMYFUNCTION("""COMPUTED_VALUE"""),0.0)</f>
        <v>0</v>
      </c>
      <c r="R64" s="388">
        <f>IFERROR(__xludf.DUMMYFUNCTION("""COMPUTED_VALUE"""),0.0)</f>
        <v>0</v>
      </c>
      <c r="S64" s="388">
        <f>IFERROR(__xludf.DUMMYFUNCTION("""COMPUTED_VALUE"""),0.0)</f>
        <v>0</v>
      </c>
      <c r="T64" s="388">
        <f>IFERROR(__xludf.DUMMYFUNCTION("""COMPUTED_VALUE"""),0.0)</f>
        <v>0</v>
      </c>
      <c r="U64" s="388">
        <f>IFERROR(__xludf.DUMMYFUNCTION("""COMPUTED_VALUE"""),0.0)</f>
        <v>0</v>
      </c>
      <c r="V64" s="389">
        <f>IFERROR(__xludf.DUMMYFUNCTION("""COMPUTED_VALUE"""),0.0)</f>
        <v>0</v>
      </c>
      <c r="W64" s="65"/>
      <c r="X64" s="65"/>
    </row>
    <row r="65" ht="14.25" customHeight="1">
      <c r="A65" s="366">
        <f t="shared" si="2"/>
        <v>61</v>
      </c>
      <c r="B65" s="415" t="s">
        <v>43</v>
      </c>
      <c r="C65" s="400"/>
      <c r="D65" s="416" t="s">
        <v>44</v>
      </c>
      <c r="E65" s="388">
        <f>IFERROR(__xludf.DUMMYFUNCTION("""COMPUTED_VALUE"""),0.0)</f>
        <v>0</v>
      </c>
      <c r="F65" s="388">
        <f>IFERROR(__xludf.DUMMYFUNCTION("""COMPUTED_VALUE"""),0.0)</f>
        <v>0</v>
      </c>
      <c r="G65" s="388">
        <f>IFERROR(__xludf.DUMMYFUNCTION("""COMPUTED_VALUE"""),0.0)</f>
        <v>0</v>
      </c>
      <c r="H65" s="388">
        <f>IFERROR(__xludf.DUMMYFUNCTION("""COMPUTED_VALUE"""),0.0)</f>
        <v>0</v>
      </c>
      <c r="I65" s="388">
        <f>IFERROR(__xludf.DUMMYFUNCTION("""COMPUTED_VALUE"""),0.0)</f>
        <v>0</v>
      </c>
      <c r="J65" s="388">
        <f>IFERROR(__xludf.DUMMYFUNCTION("""COMPUTED_VALUE"""),0.0)</f>
        <v>0</v>
      </c>
      <c r="K65" s="388">
        <f>IFERROR(__xludf.DUMMYFUNCTION("""COMPUTED_VALUE"""),0.0)</f>
        <v>0</v>
      </c>
      <c r="L65" s="388">
        <f>IFERROR(__xludf.DUMMYFUNCTION("""COMPUTED_VALUE"""),0.0)</f>
        <v>0</v>
      </c>
      <c r="M65" s="388">
        <f>IFERROR(__xludf.DUMMYFUNCTION("""COMPUTED_VALUE"""),0.0)</f>
        <v>0</v>
      </c>
      <c r="N65" s="388">
        <f>IFERROR(__xludf.DUMMYFUNCTION("""COMPUTED_VALUE"""),0.0)</f>
        <v>0</v>
      </c>
      <c r="O65" s="388">
        <f>IFERROR(__xludf.DUMMYFUNCTION("""COMPUTED_VALUE"""),3.27806831E8)</f>
        <v>327806831</v>
      </c>
      <c r="P65" s="388">
        <f>IFERROR(__xludf.DUMMYFUNCTION("""COMPUTED_VALUE"""),0.0)</f>
        <v>0</v>
      </c>
      <c r="Q65" s="388">
        <f>IFERROR(__xludf.DUMMYFUNCTION("""COMPUTED_VALUE"""),0.0)</f>
        <v>0</v>
      </c>
      <c r="R65" s="388">
        <f>IFERROR(__xludf.DUMMYFUNCTION("""COMPUTED_VALUE"""),0.0)</f>
        <v>0</v>
      </c>
      <c r="S65" s="388">
        <f>IFERROR(__xludf.DUMMYFUNCTION("""COMPUTED_VALUE"""),0.0)</f>
        <v>0</v>
      </c>
      <c r="T65" s="388">
        <f>IFERROR(__xludf.DUMMYFUNCTION("""COMPUTED_VALUE"""),0.0)</f>
        <v>0</v>
      </c>
      <c r="U65" s="388">
        <f>IFERROR(__xludf.DUMMYFUNCTION("""COMPUTED_VALUE"""),0.0)</f>
        <v>0</v>
      </c>
      <c r="V65" s="389">
        <f>IFERROR(__xludf.DUMMYFUNCTION("""COMPUTED_VALUE"""),3.27806831E8)</f>
        <v>327806831</v>
      </c>
      <c r="W65" s="65"/>
      <c r="X65" s="65"/>
    </row>
    <row r="66" ht="14.25" customHeight="1">
      <c r="A66" s="366">
        <f t="shared" si="2"/>
        <v>62</v>
      </c>
      <c r="B66" s="415" t="s">
        <v>14</v>
      </c>
      <c r="C66" s="400"/>
      <c r="D66" s="416" t="s">
        <v>15</v>
      </c>
      <c r="E66" s="388">
        <f>IFERROR(__xludf.DUMMYFUNCTION("""COMPUTED_VALUE"""),0.0)</f>
        <v>0</v>
      </c>
      <c r="F66" s="388">
        <f>IFERROR(__xludf.DUMMYFUNCTION("""COMPUTED_VALUE"""),0.0)</f>
        <v>0</v>
      </c>
      <c r="G66" s="388">
        <f>IFERROR(__xludf.DUMMYFUNCTION("""COMPUTED_VALUE"""),0.0)</f>
        <v>0</v>
      </c>
      <c r="H66" s="388">
        <f>IFERROR(__xludf.DUMMYFUNCTION("""COMPUTED_VALUE"""),0.0)</f>
        <v>0</v>
      </c>
      <c r="I66" s="388">
        <f>IFERROR(__xludf.DUMMYFUNCTION("""COMPUTED_VALUE"""),1.17365764E8)</f>
        <v>117365764</v>
      </c>
      <c r="J66" s="388">
        <f>IFERROR(__xludf.DUMMYFUNCTION("""COMPUTED_VALUE"""),0.0)</f>
        <v>0</v>
      </c>
      <c r="K66" s="388">
        <f>IFERROR(__xludf.DUMMYFUNCTION("""COMPUTED_VALUE"""),0.0)</f>
        <v>0</v>
      </c>
      <c r="L66" s="388">
        <f>IFERROR(__xludf.DUMMYFUNCTION("""COMPUTED_VALUE"""),0.0)</f>
        <v>0</v>
      </c>
      <c r="M66" s="388">
        <f>IFERROR(__xludf.DUMMYFUNCTION("""COMPUTED_VALUE"""),0.0)</f>
        <v>0</v>
      </c>
      <c r="N66" s="388">
        <f>IFERROR(__xludf.DUMMYFUNCTION("""COMPUTED_VALUE"""),0.0)</f>
        <v>0</v>
      </c>
      <c r="O66" s="388">
        <f>IFERROR(__xludf.DUMMYFUNCTION("""COMPUTED_VALUE"""),1.059E7)</f>
        <v>10590000</v>
      </c>
      <c r="P66" s="388">
        <f>IFERROR(__xludf.DUMMYFUNCTION("""COMPUTED_VALUE"""),0.0)</f>
        <v>0</v>
      </c>
      <c r="Q66" s="388">
        <f>IFERROR(__xludf.DUMMYFUNCTION("""COMPUTED_VALUE"""),0.0)</f>
        <v>0</v>
      </c>
      <c r="R66" s="388">
        <f>IFERROR(__xludf.DUMMYFUNCTION("""COMPUTED_VALUE"""),0.0)</f>
        <v>0</v>
      </c>
      <c r="S66" s="388">
        <f>IFERROR(__xludf.DUMMYFUNCTION("""COMPUTED_VALUE"""),0.0)</f>
        <v>0</v>
      </c>
      <c r="T66" s="388">
        <f>IFERROR(__xludf.DUMMYFUNCTION("""COMPUTED_VALUE"""),0.0)</f>
        <v>0</v>
      </c>
      <c r="U66" s="388">
        <f>IFERROR(__xludf.DUMMYFUNCTION("""COMPUTED_VALUE"""),0.0)</f>
        <v>0</v>
      </c>
      <c r="V66" s="389">
        <f>IFERROR(__xludf.DUMMYFUNCTION("""COMPUTED_VALUE"""),1.27955764E8)</f>
        <v>127955764</v>
      </c>
      <c r="W66" s="65"/>
      <c r="X66" s="65"/>
    </row>
    <row r="67" ht="14.25" customHeight="1">
      <c r="A67" s="366">
        <f t="shared" si="2"/>
        <v>63</v>
      </c>
      <c r="B67" s="415" t="s">
        <v>68</v>
      </c>
      <c r="C67" s="400"/>
      <c r="D67" s="416" t="s">
        <v>69</v>
      </c>
      <c r="E67" s="388">
        <f>IFERROR(__xludf.DUMMYFUNCTION("""COMPUTED_VALUE"""),0.0)</f>
        <v>0</v>
      </c>
      <c r="F67" s="388">
        <f>IFERROR(__xludf.DUMMYFUNCTION("""COMPUTED_VALUE"""),0.0)</f>
        <v>0</v>
      </c>
      <c r="G67" s="388">
        <f>IFERROR(__xludf.DUMMYFUNCTION("""COMPUTED_VALUE"""),0.0)</f>
        <v>0</v>
      </c>
      <c r="H67" s="388">
        <f>IFERROR(__xludf.DUMMYFUNCTION("""COMPUTED_VALUE"""),0.0)</f>
        <v>0</v>
      </c>
      <c r="I67" s="388">
        <f>IFERROR(__xludf.DUMMYFUNCTION("""COMPUTED_VALUE"""),0.0)</f>
        <v>0</v>
      </c>
      <c r="J67" s="388">
        <f>IFERROR(__xludf.DUMMYFUNCTION("""COMPUTED_VALUE"""),0.0)</f>
        <v>0</v>
      </c>
      <c r="K67" s="388">
        <f>IFERROR(__xludf.DUMMYFUNCTION("""COMPUTED_VALUE"""),0.0)</f>
        <v>0</v>
      </c>
      <c r="L67" s="388">
        <f>IFERROR(__xludf.DUMMYFUNCTION("""COMPUTED_VALUE"""),0.0)</f>
        <v>0</v>
      </c>
      <c r="M67" s="388">
        <f>IFERROR(__xludf.DUMMYFUNCTION("""COMPUTED_VALUE"""),0.0)</f>
        <v>0</v>
      </c>
      <c r="N67" s="388">
        <f>IFERROR(__xludf.DUMMYFUNCTION("""COMPUTED_VALUE"""),0.0)</f>
        <v>0</v>
      </c>
      <c r="O67" s="388">
        <f>IFERROR(__xludf.DUMMYFUNCTION("""COMPUTED_VALUE"""),0.0)</f>
        <v>0</v>
      </c>
      <c r="P67" s="388">
        <f>IFERROR(__xludf.DUMMYFUNCTION("""COMPUTED_VALUE"""),0.0)</f>
        <v>0</v>
      </c>
      <c r="Q67" s="388">
        <f>IFERROR(__xludf.DUMMYFUNCTION("""COMPUTED_VALUE"""),0.0)</f>
        <v>0</v>
      </c>
      <c r="R67" s="388">
        <f>IFERROR(__xludf.DUMMYFUNCTION("""COMPUTED_VALUE"""),0.0)</f>
        <v>0</v>
      </c>
      <c r="S67" s="388">
        <f>IFERROR(__xludf.DUMMYFUNCTION("""COMPUTED_VALUE"""),0.0)</f>
        <v>0</v>
      </c>
      <c r="T67" s="388">
        <f>IFERROR(__xludf.DUMMYFUNCTION("""COMPUTED_VALUE"""),0.0)</f>
        <v>0</v>
      </c>
      <c r="U67" s="388">
        <f>IFERROR(__xludf.DUMMYFUNCTION("""COMPUTED_VALUE"""),4961480.0)</f>
        <v>4961480</v>
      </c>
      <c r="V67" s="389">
        <f>IFERROR(__xludf.DUMMYFUNCTION("""COMPUTED_VALUE"""),4961480.0)</f>
        <v>4961480</v>
      </c>
      <c r="W67" s="65"/>
      <c r="X67" s="65"/>
    </row>
    <row r="68" ht="14.25" customHeight="1">
      <c r="A68" s="366">
        <f t="shared" si="2"/>
        <v>64</v>
      </c>
      <c r="B68" s="415" t="s">
        <v>824</v>
      </c>
      <c r="C68" s="400"/>
      <c r="D68" s="416" t="s">
        <v>825</v>
      </c>
      <c r="E68" s="388">
        <f>IFERROR(__xludf.DUMMYFUNCTION("""COMPUTED_VALUE"""),0.0)</f>
        <v>0</v>
      </c>
      <c r="F68" s="388">
        <f>IFERROR(__xludf.DUMMYFUNCTION("""COMPUTED_VALUE"""),0.0)</f>
        <v>0</v>
      </c>
      <c r="G68" s="388">
        <f>IFERROR(__xludf.DUMMYFUNCTION("""COMPUTED_VALUE"""),0.0)</f>
        <v>0</v>
      </c>
      <c r="H68" s="388">
        <f>IFERROR(__xludf.DUMMYFUNCTION("""COMPUTED_VALUE"""),0.0)</f>
        <v>0</v>
      </c>
      <c r="I68" s="388">
        <f>IFERROR(__xludf.DUMMYFUNCTION("""COMPUTED_VALUE"""),0.0)</f>
        <v>0</v>
      </c>
      <c r="J68" s="388">
        <f>IFERROR(__xludf.DUMMYFUNCTION("""COMPUTED_VALUE"""),0.0)</f>
        <v>0</v>
      </c>
      <c r="K68" s="388">
        <f>IFERROR(__xludf.DUMMYFUNCTION("""COMPUTED_VALUE"""),0.0)</f>
        <v>0</v>
      </c>
      <c r="L68" s="388">
        <f>IFERROR(__xludf.DUMMYFUNCTION("""COMPUTED_VALUE"""),0.0)</f>
        <v>0</v>
      </c>
      <c r="M68" s="388">
        <f>IFERROR(__xludf.DUMMYFUNCTION("""COMPUTED_VALUE"""),0.0)</f>
        <v>0</v>
      </c>
      <c r="N68" s="388">
        <f>IFERROR(__xludf.DUMMYFUNCTION("""COMPUTED_VALUE"""),0.0)</f>
        <v>0</v>
      </c>
      <c r="O68" s="388">
        <f>IFERROR(__xludf.DUMMYFUNCTION("""COMPUTED_VALUE"""),0.0)</f>
        <v>0</v>
      </c>
      <c r="P68" s="388">
        <f>IFERROR(__xludf.DUMMYFUNCTION("""COMPUTED_VALUE"""),0.0)</f>
        <v>0</v>
      </c>
      <c r="Q68" s="388">
        <f>IFERROR(__xludf.DUMMYFUNCTION("""COMPUTED_VALUE"""),0.0)</f>
        <v>0</v>
      </c>
      <c r="R68" s="388">
        <f>IFERROR(__xludf.DUMMYFUNCTION("""COMPUTED_VALUE"""),0.0)</f>
        <v>0</v>
      </c>
      <c r="S68" s="388">
        <f>IFERROR(__xludf.DUMMYFUNCTION("""COMPUTED_VALUE"""),0.0)</f>
        <v>0</v>
      </c>
      <c r="T68" s="388">
        <f>IFERROR(__xludf.DUMMYFUNCTION("""COMPUTED_VALUE"""),0.0)</f>
        <v>0</v>
      </c>
      <c r="U68" s="388">
        <f>IFERROR(__xludf.DUMMYFUNCTION("""COMPUTED_VALUE"""),0.0)</f>
        <v>0</v>
      </c>
      <c r="V68" s="389">
        <f>IFERROR(__xludf.DUMMYFUNCTION("""COMPUTED_VALUE"""),0.0)</f>
        <v>0</v>
      </c>
      <c r="W68" s="65"/>
      <c r="X68" s="65"/>
    </row>
    <row r="69" ht="14.25" customHeight="1">
      <c r="A69" s="366">
        <f t="shared" si="2"/>
        <v>65</v>
      </c>
      <c r="B69" s="415" t="s">
        <v>826</v>
      </c>
      <c r="C69" s="400"/>
      <c r="D69" s="416" t="s">
        <v>827</v>
      </c>
      <c r="E69" s="388">
        <f>IFERROR(__xludf.DUMMYFUNCTION("""COMPUTED_VALUE"""),0.0)</f>
        <v>0</v>
      </c>
      <c r="F69" s="388">
        <f>IFERROR(__xludf.DUMMYFUNCTION("""COMPUTED_VALUE"""),0.0)</f>
        <v>0</v>
      </c>
      <c r="G69" s="388">
        <f>IFERROR(__xludf.DUMMYFUNCTION("""COMPUTED_VALUE"""),0.0)</f>
        <v>0</v>
      </c>
      <c r="H69" s="388">
        <f>IFERROR(__xludf.DUMMYFUNCTION("""COMPUTED_VALUE"""),0.0)</f>
        <v>0</v>
      </c>
      <c r="I69" s="388">
        <f>IFERROR(__xludf.DUMMYFUNCTION("""COMPUTED_VALUE"""),0.0)</f>
        <v>0</v>
      </c>
      <c r="J69" s="388">
        <f>IFERROR(__xludf.DUMMYFUNCTION("""COMPUTED_VALUE"""),0.0)</f>
        <v>0</v>
      </c>
      <c r="K69" s="388">
        <f>IFERROR(__xludf.DUMMYFUNCTION("""COMPUTED_VALUE"""),0.0)</f>
        <v>0</v>
      </c>
      <c r="L69" s="388">
        <f>IFERROR(__xludf.DUMMYFUNCTION("""COMPUTED_VALUE"""),0.0)</f>
        <v>0</v>
      </c>
      <c r="M69" s="388">
        <f>IFERROR(__xludf.DUMMYFUNCTION("""COMPUTED_VALUE"""),0.0)</f>
        <v>0</v>
      </c>
      <c r="N69" s="388">
        <f>IFERROR(__xludf.DUMMYFUNCTION("""COMPUTED_VALUE"""),0.0)</f>
        <v>0</v>
      </c>
      <c r="O69" s="388">
        <f>IFERROR(__xludf.DUMMYFUNCTION("""COMPUTED_VALUE"""),0.0)</f>
        <v>0</v>
      </c>
      <c r="P69" s="388">
        <f>IFERROR(__xludf.DUMMYFUNCTION("""COMPUTED_VALUE"""),0.0)</f>
        <v>0</v>
      </c>
      <c r="Q69" s="388">
        <f>IFERROR(__xludf.DUMMYFUNCTION("""COMPUTED_VALUE"""),0.0)</f>
        <v>0</v>
      </c>
      <c r="R69" s="388">
        <f>IFERROR(__xludf.DUMMYFUNCTION("""COMPUTED_VALUE"""),0.0)</f>
        <v>0</v>
      </c>
      <c r="S69" s="388">
        <f>IFERROR(__xludf.DUMMYFUNCTION("""COMPUTED_VALUE"""),0.0)</f>
        <v>0</v>
      </c>
      <c r="T69" s="388">
        <f>IFERROR(__xludf.DUMMYFUNCTION("""COMPUTED_VALUE"""),0.0)</f>
        <v>0</v>
      </c>
      <c r="U69" s="388">
        <f>IFERROR(__xludf.DUMMYFUNCTION("""COMPUTED_VALUE"""),0.0)</f>
        <v>0</v>
      </c>
      <c r="V69" s="389">
        <f>IFERROR(__xludf.DUMMYFUNCTION("""COMPUTED_VALUE"""),0.0)</f>
        <v>0</v>
      </c>
      <c r="W69" s="65"/>
      <c r="X69" s="65"/>
    </row>
    <row r="70" ht="14.25" customHeight="1">
      <c r="A70" s="366">
        <f t="shared" si="2"/>
        <v>66</v>
      </c>
      <c r="B70" s="415" t="s">
        <v>828</v>
      </c>
      <c r="C70" s="400"/>
      <c r="D70" s="416" t="s">
        <v>829</v>
      </c>
      <c r="E70" s="388">
        <f>IFERROR(__xludf.DUMMYFUNCTION("""COMPUTED_VALUE"""),0.0)</f>
        <v>0</v>
      </c>
      <c r="F70" s="388">
        <f>IFERROR(__xludf.DUMMYFUNCTION("""COMPUTED_VALUE"""),0.0)</f>
        <v>0</v>
      </c>
      <c r="G70" s="388">
        <f>IFERROR(__xludf.DUMMYFUNCTION("""COMPUTED_VALUE"""),0.0)</f>
        <v>0</v>
      </c>
      <c r="H70" s="388">
        <f>IFERROR(__xludf.DUMMYFUNCTION("""COMPUTED_VALUE"""),0.0)</f>
        <v>0</v>
      </c>
      <c r="I70" s="388">
        <f>IFERROR(__xludf.DUMMYFUNCTION("""COMPUTED_VALUE"""),0.0)</f>
        <v>0</v>
      </c>
      <c r="J70" s="388">
        <f>IFERROR(__xludf.DUMMYFUNCTION("""COMPUTED_VALUE"""),0.0)</f>
        <v>0</v>
      </c>
      <c r="K70" s="388">
        <f>IFERROR(__xludf.DUMMYFUNCTION("""COMPUTED_VALUE"""),0.0)</f>
        <v>0</v>
      </c>
      <c r="L70" s="388">
        <f>IFERROR(__xludf.DUMMYFUNCTION("""COMPUTED_VALUE"""),0.0)</f>
        <v>0</v>
      </c>
      <c r="M70" s="388">
        <f>IFERROR(__xludf.DUMMYFUNCTION("""COMPUTED_VALUE"""),0.0)</f>
        <v>0</v>
      </c>
      <c r="N70" s="388">
        <f>IFERROR(__xludf.DUMMYFUNCTION("""COMPUTED_VALUE"""),0.0)</f>
        <v>0</v>
      </c>
      <c r="O70" s="388">
        <f>IFERROR(__xludf.DUMMYFUNCTION("""COMPUTED_VALUE"""),0.0)</f>
        <v>0</v>
      </c>
      <c r="P70" s="388">
        <f>IFERROR(__xludf.DUMMYFUNCTION("""COMPUTED_VALUE"""),0.0)</f>
        <v>0</v>
      </c>
      <c r="Q70" s="388">
        <f>IFERROR(__xludf.DUMMYFUNCTION("""COMPUTED_VALUE"""),0.0)</f>
        <v>0</v>
      </c>
      <c r="R70" s="388">
        <f>IFERROR(__xludf.DUMMYFUNCTION("""COMPUTED_VALUE"""),0.0)</f>
        <v>0</v>
      </c>
      <c r="S70" s="388">
        <f>IFERROR(__xludf.DUMMYFUNCTION("""COMPUTED_VALUE"""),0.0)</f>
        <v>0</v>
      </c>
      <c r="T70" s="388">
        <f>IFERROR(__xludf.DUMMYFUNCTION("""COMPUTED_VALUE"""),0.0)</f>
        <v>0</v>
      </c>
      <c r="U70" s="388">
        <f>IFERROR(__xludf.DUMMYFUNCTION("""COMPUTED_VALUE"""),0.0)</f>
        <v>0</v>
      </c>
      <c r="V70" s="389">
        <f>IFERROR(__xludf.DUMMYFUNCTION("""COMPUTED_VALUE"""),0.0)</f>
        <v>0</v>
      </c>
      <c r="W70" s="65"/>
      <c r="X70" s="65"/>
    </row>
    <row r="71" ht="14.25" customHeight="1">
      <c r="A71" s="366">
        <f t="shared" si="2"/>
        <v>67</v>
      </c>
      <c r="B71" s="415" t="s">
        <v>51</v>
      </c>
      <c r="C71" s="400"/>
      <c r="D71" s="416" t="s">
        <v>52</v>
      </c>
      <c r="E71" s="388">
        <f>IFERROR(__xludf.DUMMYFUNCTION("""COMPUTED_VALUE"""),0.0)</f>
        <v>0</v>
      </c>
      <c r="F71" s="388">
        <f>IFERROR(__xludf.DUMMYFUNCTION("""COMPUTED_VALUE"""),0.0)</f>
        <v>0</v>
      </c>
      <c r="G71" s="388">
        <f>IFERROR(__xludf.DUMMYFUNCTION("""COMPUTED_VALUE"""),0.0)</f>
        <v>0</v>
      </c>
      <c r="H71" s="388">
        <f>IFERROR(__xludf.DUMMYFUNCTION("""COMPUTED_VALUE"""),0.0)</f>
        <v>0</v>
      </c>
      <c r="I71" s="388">
        <f>IFERROR(__xludf.DUMMYFUNCTION("""COMPUTED_VALUE"""),0.0)</f>
        <v>0</v>
      </c>
      <c r="J71" s="388">
        <f>IFERROR(__xludf.DUMMYFUNCTION("""COMPUTED_VALUE"""),0.0)</f>
        <v>0</v>
      </c>
      <c r="K71" s="388">
        <f>IFERROR(__xludf.DUMMYFUNCTION("""COMPUTED_VALUE"""),0.0)</f>
        <v>0</v>
      </c>
      <c r="L71" s="388">
        <f>IFERROR(__xludf.DUMMYFUNCTION("""COMPUTED_VALUE"""),0.0)</f>
        <v>0</v>
      </c>
      <c r="M71" s="388">
        <f>IFERROR(__xludf.DUMMYFUNCTION("""COMPUTED_VALUE"""),0.0)</f>
        <v>0</v>
      </c>
      <c r="N71" s="388">
        <f>IFERROR(__xludf.DUMMYFUNCTION("""COMPUTED_VALUE"""),0.0)</f>
        <v>0</v>
      </c>
      <c r="O71" s="388">
        <f>IFERROR(__xludf.DUMMYFUNCTION("""COMPUTED_VALUE"""),644350.0)</f>
        <v>644350</v>
      </c>
      <c r="P71" s="388">
        <f>IFERROR(__xludf.DUMMYFUNCTION("""COMPUTED_VALUE"""),0.0)</f>
        <v>0</v>
      </c>
      <c r="Q71" s="388">
        <f>IFERROR(__xludf.DUMMYFUNCTION("""COMPUTED_VALUE"""),0.0)</f>
        <v>0</v>
      </c>
      <c r="R71" s="388">
        <f>IFERROR(__xludf.DUMMYFUNCTION("""COMPUTED_VALUE"""),0.0)</f>
        <v>0</v>
      </c>
      <c r="S71" s="388">
        <f>IFERROR(__xludf.DUMMYFUNCTION("""COMPUTED_VALUE"""),0.0)</f>
        <v>0</v>
      </c>
      <c r="T71" s="388">
        <f>IFERROR(__xludf.DUMMYFUNCTION("""COMPUTED_VALUE"""),0.0)</f>
        <v>0</v>
      </c>
      <c r="U71" s="388">
        <f>IFERROR(__xludf.DUMMYFUNCTION("""COMPUTED_VALUE"""),0.0)</f>
        <v>0</v>
      </c>
      <c r="V71" s="389">
        <f>IFERROR(__xludf.DUMMYFUNCTION("""COMPUTED_VALUE"""),644350.0)</f>
        <v>644350</v>
      </c>
      <c r="W71" s="65"/>
      <c r="X71" s="65"/>
    </row>
    <row r="72" ht="14.25" customHeight="1">
      <c r="A72" s="366">
        <f t="shared" si="2"/>
        <v>68</v>
      </c>
      <c r="B72" s="415" t="s">
        <v>830</v>
      </c>
      <c r="C72" s="400"/>
      <c r="D72" s="416" t="s">
        <v>831</v>
      </c>
      <c r="E72" s="388">
        <f>IFERROR(__xludf.DUMMYFUNCTION("""COMPUTED_VALUE"""),0.0)</f>
        <v>0</v>
      </c>
      <c r="F72" s="388">
        <f>IFERROR(__xludf.DUMMYFUNCTION("""COMPUTED_VALUE"""),0.0)</f>
        <v>0</v>
      </c>
      <c r="G72" s="388">
        <f>IFERROR(__xludf.DUMMYFUNCTION("""COMPUTED_VALUE"""),0.0)</f>
        <v>0</v>
      </c>
      <c r="H72" s="388">
        <f>IFERROR(__xludf.DUMMYFUNCTION("""COMPUTED_VALUE"""),0.0)</f>
        <v>0</v>
      </c>
      <c r="I72" s="388">
        <f>IFERROR(__xludf.DUMMYFUNCTION("""COMPUTED_VALUE"""),0.0)</f>
        <v>0</v>
      </c>
      <c r="J72" s="388">
        <f>IFERROR(__xludf.DUMMYFUNCTION("""COMPUTED_VALUE"""),0.0)</f>
        <v>0</v>
      </c>
      <c r="K72" s="388">
        <f>IFERROR(__xludf.DUMMYFUNCTION("""COMPUTED_VALUE"""),0.0)</f>
        <v>0</v>
      </c>
      <c r="L72" s="388">
        <f>IFERROR(__xludf.DUMMYFUNCTION("""COMPUTED_VALUE"""),0.0)</f>
        <v>0</v>
      </c>
      <c r="M72" s="388">
        <f>IFERROR(__xludf.DUMMYFUNCTION("""COMPUTED_VALUE"""),0.0)</f>
        <v>0</v>
      </c>
      <c r="N72" s="388">
        <f>IFERROR(__xludf.DUMMYFUNCTION("""COMPUTED_VALUE"""),0.0)</f>
        <v>0</v>
      </c>
      <c r="O72" s="388">
        <f>IFERROR(__xludf.DUMMYFUNCTION("""COMPUTED_VALUE"""),0.0)</f>
        <v>0</v>
      </c>
      <c r="P72" s="388">
        <f>IFERROR(__xludf.DUMMYFUNCTION("""COMPUTED_VALUE"""),0.0)</f>
        <v>0</v>
      </c>
      <c r="Q72" s="388">
        <f>IFERROR(__xludf.DUMMYFUNCTION("""COMPUTED_VALUE"""),0.0)</f>
        <v>0</v>
      </c>
      <c r="R72" s="388">
        <f>IFERROR(__xludf.DUMMYFUNCTION("""COMPUTED_VALUE"""),0.0)</f>
        <v>0</v>
      </c>
      <c r="S72" s="388">
        <f>IFERROR(__xludf.DUMMYFUNCTION("""COMPUTED_VALUE"""),0.0)</f>
        <v>0</v>
      </c>
      <c r="T72" s="388">
        <f>IFERROR(__xludf.DUMMYFUNCTION("""COMPUTED_VALUE"""),0.0)</f>
        <v>0</v>
      </c>
      <c r="U72" s="388">
        <f>IFERROR(__xludf.DUMMYFUNCTION("""COMPUTED_VALUE"""),0.0)</f>
        <v>0</v>
      </c>
      <c r="V72" s="389">
        <f>IFERROR(__xludf.DUMMYFUNCTION("""COMPUTED_VALUE"""),0.0)</f>
        <v>0</v>
      </c>
      <c r="W72" s="65"/>
      <c r="X72" s="65"/>
    </row>
    <row r="73" ht="14.25" customHeight="1">
      <c r="A73" s="366">
        <f t="shared" si="2"/>
        <v>69</v>
      </c>
      <c r="B73" s="415" t="s">
        <v>832</v>
      </c>
      <c r="C73" s="400"/>
      <c r="D73" s="416" t="s">
        <v>833</v>
      </c>
      <c r="E73" s="388">
        <f>IFERROR(__xludf.DUMMYFUNCTION("""COMPUTED_VALUE"""),0.0)</f>
        <v>0</v>
      </c>
      <c r="F73" s="388">
        <f>IFERROR(__xludf.DUMMYFUNCTION("""COMPUTED_VALUE"""),0.0)</f>
        <v>0</v>
      </c>
      <c r="G73" s="388">
        <f>IFERROR(__xludf.DUMMYFUNCTION("""COMPUTED_VALUE"""),0.0)</f>
        <v>0</v>
      </c>
      <c r="H73" s="388">
        <f>IFERROR(__xludf.DUMMYFUNCTION("""COMPUTED_VALUE"""),0.0)</f>
        <v>0</v>
      </c>
      <c r="I73" s="388">
        <f>IFERROR(__xludf.DUMMYFUNCTION("""COMPUTED_VALUE"""),0.0)</f>
        <v>0</v>
      </c>
      <c r="J73" s="388">
        <f>IFERROR(__xludf.DUMMYFUNCTION("""COMPUTED_VALUE"""),0.0)</f>
        <v>0</v>
      </c>
      <c r="K73" s="388">
        <f>IFERROR(__xludf.DUMMYFUNCTION("""COMPUTED_VALUE"""),0.0)</f>
        <v>0</v>
      </c>
      <c r="L73" s="388">
        <f>IFERROR(__xludf.DUMMYFUNCTION("""COMPUTED_VALUE"""),0.0)</f>
        <v>0</v>
      </c>
      <c r="M73" s="388">
        <f>IFERROR(__xludf.DUMMYFUNCTION("""COMPUTED_VALUE"""),0.0)</f>
        <v>0</v>
      </c>
      <c r="N73" s="388">
        <f>IFERROR(__xludf.DUMMYFUNCTION("""COMPUTED_VALUE"""),0.0)</f>
        <v>0</v>
      </c>
      <c r="O73" s="388">
        <f>IFERROR(__xludf.DUMMYFUNCTION("""COMPUTED_VALUE"""),0.0)</f>
        <v>0</v>
      </c>
      <c r="P73" s="388">
        <f>IFERROR(__xludf.DUMMYFUNCTION("""COMPUTED_VALUE"""),0.0)</f>
        <v>0</v>
      </c>
      <c r="Q73" s="388">
        <f>IFERROR(__xludf.DUMMYFUNCTION("""COMPUTED_VALUE"""),0.0)</f>
        <v>0</v>
      </c>
      <c r="R73" s="388">
        <f>IFERROR(__xludf.DUMMYFUNCTION("""COMPUTED_VALUE"""),0.0)</f>
        <v>0</v>
      </c>
      <c r="S73" s="388">
        <f>IFERROR(__xludf.DUMMYFUNCTION("""COMPUTED_VALUE"""),0.0)</f>
        <v>0</v>
      </c>
      <c r="T73" s="388">
        <f>IFERROR(__xludf.DUMMYFUNCTION("""COMPUTED_VALUE"""),0.0)</f>
        <v>0</v>
      </c>
      <c r="U73" s="388">
        <f>IFERROR(__xludf.DUMMYFUNCTION("""COMPUTED_VALUE"""),0.0)</f>
        <v>0</v>
      </c>
      <c r="V73" s="389">
        <f>IFERROR(__xludf.DUMMYFUNCTION("""COMPUTED_VALUE"""),0.0)</f>
        <v>0</v>
      </c>
      <c r="W73" s="65"/>
      <c r="X73" s="65"/>
    </row>
    <row r="74" ht="14.25" customHeight="1">
      <c r="A74" s="366">
        <f t="shared" si="2"/>
        <v>70</v>
      </c>
      <c r="B74" s="414" t="s">
        <v>20</v>
      </c>
      <c r="C74" s="417" t="s">
        <v>409</v>
      </c>
      <c r="D74" s="387" t="s">
        <v>140</v>
      </c>
      <c r="E74" s="388">
        <f>IFERROR(__xludf.DUMMYFUNCTION("""COMPUTED_VALUE"""),0.0)</f>
        <v>0</v>
      </c>
      <c r="F74" s="388">
        <f>IFERROR(__xludf.DUMMYFUNCTION("""COMPUTED_VALUE"""),0.0)</f>
        <v>0</v>
      </c>
      <c r="G74" s="388">
        <f>IFERROR(__xludf.DUMMYFUNCTION("""COMPUTED_VALUE"""),0.0)</f>
        <v>0</v>
      </c>
      <c r="H74" s="388">
        <f>IFERROR(__xludf.DUMMYFUNCTION("""COMPUTED_VALUE"""),0.0)</f>
        <v>0</v>
      </c>
      <c r="I74" s="388">
        <f>IFERROR(__xludf.DUMMYFUNCTION("""COMPUTED_VALUE"""),6.9366292E7)</f>
        <v>69366292</v>
      </c>
      <c r="J74" s="388">
        <f>IFERROR(__xludf.DUMMYFUNCTION("""COMPUTED_VALUE"""),0.0)</f>
        <v>0</v>
      </c>
      <c r="K74" s="388">
        <f>IFERROR(__xludf.DUMMYFUNCTION("""COMPUTED_VALUE"""),0.0)</f>
        <v>0</v>
      </c>
      <c r="L74" s="388">
        <f>IFERROR(__xludf.DUMMYFUNCTION("""COMPUTED_VALUE"""),0.0)</f>
        <v>0</v>
      </c>
      <c r="M74" s="388">
        <f>IFERROR(__xludf.DUMMYFUNCTION("""COMPUTED_VALUE"""),0.0)</f>
        <v>0</v>
      </c>
      <c r="N74" s="388">
        <f>IFERROR(__xludf.DUMMYFUNCTION("""COMPUTED_VALUE"""),0.0)</f>
        <v>0</v>
      </c>
      <c r="O74" s="388">
        <f>IFERROR(__xludf.DUMMYFUNCTION("""COMPUTED_VALUE"""),1.78125194E8)</f>
        <v>178125194</v>
      </c>
      <c r="P74" s="388">
        <f>IFERROR(__xludf.DUMMYFUNCTION("""COMPUTED_VALUE"""),0.0)</f>
        <v>0</v>
      </c>
      <c r="Q74" s="388">
        <f>IFERROR(__xludf.DUMMYFUNCTION("""COMPUTED_VALUE"""),0.0)</f>
        <v>0</v>
      </c>
      <c r="R74" s="388">
        <f>IFERROR(__xludf.DUMMYFUNCTION("""COMPUTED_VALUE"""),0.0)</f>
        <v>0</v>
      </c>
      <c r="S74" s="388">
        <f>IFERROR(__xludf.DUMMYFUNCTION("""COMPUTED_VALUE"""),0.0)</f>
        <v>0</v>
      </c>
      <c r="T74" s="388">
        <f>IFERROR(__xludf.DUMMYFUNCTION("""COMPUTED_VALUE"""),0.0)</f>
        <v>0</v>
      </c>
      <c r="U74" s="388">
        <f>IFERROR(__xludf.DUMMYFUNCTION("""COMPUTED_VALUE"""),0.0)</f>
        <v>0</v>
      </c>
      <c r="V74" s="389">
        <f>IFERROR(__xludf.DUMMYFUNCTION("""COMPUTED_VALUE"""),2.47491486E8)</f>
        <v>247491486</v>
      </c>
      <c r="W74" s="65"/>
      <c r="X74" s="65"/>
    </row>
    <row r="75" ht="14.25" customHeight="1">
      <c r="A75" s="366">
        <f t="shared" si="2"/>
        <v>71</v>
      </c>
      <c r="B75" s="414" t="s">
        <v>834</v>
      </c>
      <c r="C75" s="382"/>
      <c r="D75" s="387" t="s">
        <v>835</v>
      </c>
      <c r="E75" s="388">
        <f>IFERROR(__xludf.DUMMYFUNCTION("""COMPUTED_VALUE"""),0.0)</f>
        <v>0</v>
      </c>
      <c r="F75" s="388">
        <f>IFERROR(__xludf.DUMMYFUNCTION("""COMPUTED_VALUE"""),0.0)</f>
        <v>0</v>
      </c>
      <c r="G75" s="388">
        <f>IFERROR(__xludf.DUMMYFUNCTION("""COMPUTED_VALUE"""),0.0)</f>
        <v>0</v>
      </c>
      <c r="H75" s="388">
        <f>IFERROR(__xludf.DUMMYFUNCTION("""COMPUTED_VALUE"""),0.0)</f>
        <v>0</v>
      </c>
      <c r="I75" s="388">
        <f>IFERROR(__xludf.DUMMYFUNCTION("""COMPUTED_VALUE"""),0.0)</f>
        <v>0</v>
      </c>
      <c r="J75" s="388">
        <f>IFERROR(__xludf.DUMMYFUNCTION("""COMPUTED_VALUE"""),0.0)</f>
        <v>0</v>
      </c>
      <c r="K75" s="388">
        <f>IFERROR(__xludf.DUMMYFUNCTION("""COMPUTED_VALUE"""),0.0)</f>
        <v>0</v>
      </c>
      <c r="L75" s="388">
        <f>IFERROR(__xludf.DUMMYFUNCTION("""COMPUTED_VALUE"""),0.0)</f>
        <v>0</v>
      </c>
      <c r="M75" s="388">
        <f>IFERROR(__xludf.DUMMYFUNCTION("""COMPUTED_VALUE"""),0.0)</f>
        <v>0</v>
      </c>
      <c r="N75" s="388">
        <f>IFERROR(__xludf.DUMMYFUNCTION("""COMPUTED_VALUE"""),0.0)</f>
        <v>0</v>
      </c>
      <c r="O75" s="388">
        <f>IFERROR(__xludf.DUMMYFUNCTION("""COMPUTED_VALUE"""),0.0)</f>
        <v>0</v>
      </c>
      <c r="P75" s="388">
        <f>IFERROR(__xludf.DUMMYFUNCTION("""COMPUTED_VALUE"""),0.0)</f>
        <v>0</v>
      </c>
      <c r="Q75" s="388">
        <f>IFERROR(__xludf.DUMMYFUNCTION("""COMPUTED_VALUE"""),0.0)</f>
        <v>0</v>
      </c>
      <c r="R75" s="388">
        <f>IFERROR(__xludf.DUMMYFUNCTION("""COMPUTED_VALUE"""),0.0)</f>
        <v>0</v>
      </c>
      <c r="S75" s="388">
        <f>IFERROR(__xludf.DUMMYFUNCTION("""COMPUTED_VALUE"""),0.0)</f>
        <v>0</v>
      </c>
      <c r="T75" s="388">
        <f>IFERROR(__xludf.DUMMYFUNCTION("""COMPUTED_VALUE"""),0.0)</f>
        <v>0</v>
      </c>
      <c r="U75" s="388">
        <f>IFERROR(__xludf.DUMMYFUNCTION("""COMPUTED_VALUE"""),0.0)</f>
        <v>0</v>
      </c>
      <c r="V75" s="389">
        <f>IFERROR(__xludf.DUMMYFUNCTION("""COMPUTED_VALUE"""),0.0)</f>
        <v>0</v>
      </c>
      <c r="W75" s="65"/>
      <c r="X75" s="65"/>
    </row>
    <row r="76" ht="14.25" customHeight="1">
      <c r="A76" s="366">
        <f t="shared" si="2"/>
        <v>72</v>
      </c>
      <c r="B76" s="415" t="s">
        <v>836</v>
      </c>
      <c r="C76" s="400"/>
      <c r="D76" s="416" t="s">
        <v>837</v>
      </c>
      <c r="E76" s="388">
        <f>IFERROR(__xludf.DUMMYFUNCTION("""COMPUTED_VALUE"""),0.0)</f>
        <v>0</v>
      </c>
      <c r="F76" s="388">
        <f>IFERROR(__xludf.DUMMYFUNCTION("""COMPUTED_VALUE"""),0.0)</f>
        <v>0</v>
      </c>
      <c r="G76" s="388">
        <f>IFERROR(__xludf.DUMMYFUNCTION("""COMPUTED_VALUE"""),0.0)</f>
        <v>0</v>
      </c>
      <c r="H76" s="388">
        <f>IFERROR(__xludf.DUMMYFUNCTION("""COMPUTED_VALUE"""),0.0)</f>
        <v>0</v>
      </c>
      <c r="I76" s="388">
        <f>IFERROR(__xludf.DUMMYFUNCTION("""COMPUTED_VALUE"""),0.0)</f>
        <v>0</v>
      </c>
      <c r="J76" s="388">
        <f>IFERROR(__xludf.DUMMYFUNCTION("""COMPUTED_VALUE"""),0.0)</f>
        <v>0</v>
      </c>
      <c r="K76" s="388">
        <f>IFERROR(__xludf.DUMMYFUNCTION("""COMPUTED_VALUE"""),0.0)</f>
        <v>0</v>
      </c>
      <c r="L76" s="388">
        <f>IFERROR(__xludf.DUMMYFUNCTION("""COMPUTED_VALUE"""),0.0)</f>
        <v>0</v>
      </c>
      <c r="M76" s="388">
        <f>IFERROR(__xludf.DUMMYFUNCTION("""COMPUTED_VALUE"""),0.0)</f>
        <v>0</v>
      </c>
      <c r="N76" s="388">
        <f>IFERROR(__xludf.DUMMYFUNCTION("""COMPUTED_VALUE"""),0.0)</f>
        <v>0</v>
      </c>
      <c r="O76" s="388">
        <f>IFERROR(__xludf.DUMMYFUNCTION("""COMPUTED_VALUE"""),0.0)</f>
        <v>0</v>
      </c>
      <c r="P76" s="388">
        <f>IFERROR(__xludf.DUMMYFUNCTION("""COMPUTED_VALUE"""),0.0)</f>
        <v>0</v>
      </c>
      <c r="Q76" s="388">
        <f>IFERROR(__xludf.DUMMYFUNCTION("""COMPUTED_VALUE"""),0.0)</f>
        <v>0</v>
      </c>
      <c r="R76" s="388">
        <f>IFERROR(__xludf.DUMMYFUNCTION("""COMPUTED_VALUE"""),0.0)</f>
        <v>0</v>
      </c>
      <c r="S76" s="388">
        <f>IFERROR(__xludf.DUMMYFUNCTION("""COMPUTED_VALUE"""),0.0)</f>
        <v>0</v>
      </c>
      <c r="T76" s="388">
        <f>IFERROR(__xludf.DUMMYFUNCTION("""COMPUTED_VALUE"""),0.0)</f>
        <v>0</v>
      </c>
      <c r="U76" s="388">
        <f>IFERROR(__xludf.DUMMYFUNCTION("""COMPUTED_VALUE"""),0.0)</f>
        <v>0</v>
      </c>
      <c r="V76" s="389">
        <f>IFERROR(__xludf.DUMMYFUNCTION("""COMPUTED_VALUE"""),0.0)</f>
        <v>0</v>
      </c>
      <c r="W76" s="65"/>
      <c r="X76" s="65"/>
    </row>
    <row r="77" ht="14.25" customHeight="1">
      <c r="A77" s="366">
        <f t="shared" si="2"/>
        <v>73</v>
      </c>
      <c r="B77" s="402" t="s">
        <v>838</v>
      </c>
      <c r="C77" s="403"/>
      <c r="D77" s="404"/>
      <c r="E77" s="405">
        <f>IFERROR(__xludf.DUMMYFUNCTION("""COMPUTED_VALUE"""),0.0)</f>
        <v>0</v>
      </c>
      <c r="F77" s="405">
        <f>IFERROR(__xludf.DUMMYFUNCTION("""COMPUTED_VALUE"""),0.0)</f>
        <v>0</v>
      </c>
      <c r="G77" s="405">
        <f>IFERROR(__xludf.DUMMYFUNCTION("""COMPUTED_VALUE"""),0.0)</f>
        <v>0</v>
      </c>
      <c r="H77" s="405">
        <f>IFERROR(__xludf.DUMMYFUNCTION("""COMPUTED_VALUE"""),0.0)</f>
        <v>0</v>
      </c>
      <c r="I77" s="405">
        <f>IFERROR(__xludf.DUMMYFUNCTION("""COMPUTED_VALUE"""),1.86732056E8)</f>
        <v>186732056</v>
      </c>
      <c r="J77" s="405">
        <f>IFERROR(__xludf.DUMMYFUNCTION("""COMPUTED_VALUE"""),0.0)</f>
        <v>0</v>
      </c>
      <c r="K77" s="405">
        <f>IFERROR(__xludf.DUMMYFUNCTION("""COMPUTED_VALUE"""),0.0)</f>
        <v>0</v>
      </c>
      <c r="L77" s="405">
        <f>IFERROR(__xludf.DUMMYFUNCTION("""COMPUTED_VALUE"""),0.0)</f>
        <v>0</v>
      </c>
      <c r="M77" s="405">
        <f>IFERROR(__xludf.DUMMYFUNCTION("""COMPUTED_VALUE"""),0.0)</f>
        <v>0</v>
      </c>
      <c r="N77" s="405">
        <f>IFERROR(__xludf.DUMMYFUNCTION("""COMPUTED_VALUE"""),0.0)</f>
        <v>0</v>
      </c>
      <c r="O77" s="405">
        <f>IFERROR(__xludf.DUMMYFUNCTION("""COMPUTED_VALUE"""),5.17166375E8)</f>
        <v>517166375</v>
      </c>
      <c r="P77" s="405">
        <f>IFERROR(__xludf.DUMMYFUNCTION("""COMPUTED_VALUE"""),0.0)</f>
        <v>0</v>
      </c>
      <c r="Q77" s="405">
        <f>IFERROR(__xludf.DUMMYFUNCTION("""COMPUTED_VALUE"""),0.0)</f>
        <v>0</v>
      </c>
      <c r="R77" s="405">
        <f>IFERROR(__xludf.DUMMYFUNCTION("""COMPUTED_VALUE"""),0.0)</f>
        <v>0</v>
      </c>
      <c r="S77" s="405">
        <f>IFERROR(__xludf.DUMMYFUNCTION("""COMPUTED_VALUE"""),0.0)</f>
        <v>0</v>
      </c>
      <c r="T77" s="405">
        <f>IFERROR(__xludf.DUMMYFUNCTION("""COMPUTED_VALUE"""),0.0)</f>
        <v>0</v>
      </c>
      <c r="U77" s="405">
        <f>IFERROR(__xludf.DUMMYFUNCTION("""COMPUTED_VALUE"""),4961480.0)</f>
        <v>4961480</v>
      </c>
      <c r="V77" s="405">
        <f>IFERROR(__xludf.DUMMYFUNCTION("""COMPUTED_VALUE"""),7.08859911E8)</f>
        <v>708859911</v>
      </c>
      <c r="W77" s="65"/>
      <c r="X77" s="65"/>
    </row>
    <row r="78" ht="14.25" customHeight="1">
      <c r="A78" s="366">
        <f t="shared" si="2"/>
        <v>74</v>
      </c>
      <c r="B78" s="418"/>
      <c r="C78" s="400"/>
      <c r="D78" s="416" t="s">
        <v>839</v>
      </c>
      <c r="E78" s="388">
        <f>IFERROR(__xludf.DUMMYFUNCTION("""COMPUTED_VALUE"""),0.0)</f>
        <v>0</v>
      </c>
      <c r="F78" s="388">
        <f>IFERROR(__xludf.DUMMYFUNCTION("""COMPUTED_VALUE"""),0.0)</f>
        <v>0</v>
      </c>
      <c r="G78" s="388">
        <f>IFERROR(__xludf.DUMMYFUNCTION("""COMPUTED_VALUE"""),0.0)</f>
        <v>0</v>
      </c>
      <c r="H78" s="388">
        <f>IFERROR(__xludf.DUMMYFUNCTION("""COMPUTED_VALUE"""),0.0)</f>
        <v>0</v>
      </c>
      <c r="I78" s="388">
        <f>IFERROR(__xludf.DUMMYFUNCTION("""COMPUTED_VALUE"""),0.0)</f>
        <v>0</v>
      </c>
      <c r="J78" s="388">
        <f>IFERROR(__xludf.DUMMYFUNCTION("""COMPUTED_VALUE"""),0.0)</f>
        <v>0</v>
      </c>
      <c r="K78" s="388">
        <f>IFERROR(__xludf.DUMMYFUNCTION("""COMPUTED_VALUE"""),0.0)</f>
        <v>0</v>
      </c>
      <c r="L78" s="388">
        <f>IFERROR(__xludf.DUMMYFUNCTION("""COMPUTED_VALUE"""),0.0)</f>
        <v>0</v>
      </c>
      <c r="M78" s="388">
        <f>IFERROR(__xludf.DUMMYFUNCTION("""COMPUTED_VALUE"""),0.0)</f>
        <v>0</v>
      </c>
      <c r="N78" s="388">
        <f>IFERROR(__xludf.DUMMYFUNCTION("""COMPUTED_VALUE"""),0.0)</f>
        <v>0</v>
      </c>
      <c r="O78" s="388">
        <f>IFERROR(__xludf.DUMMYFUNCTION("""COMPUTED_VALUE"""),0.0)</f>
        <v>0</v>
      </c>
      <c r="P78" s="388">
        <f>IFERROR(__xludf.DUMMYFUNCTION("""COMPUTED_VALUE"""),0.0)</f>
        <v>0</v>
      </c>
      <c r="Q78" s="388">
        <f>IFERROR(__xludf.DUMMYFUNCTION("""COMPUTED_VALUE"""),0.0)</f>
        <v>0</v>
      </c>
      <c r="R78" s="388">
        <f>IFERROR(__xludf.DUMMYFUNCTION("""COMPUTED_VALUE"""),0.0)</f>
        <v>0</v>
      </c>
      <c r="S78" s="388">
        <f>IFERROR(__xludf.DUMMYFUNCTION("""COMPUTED_VALUE"""),0.0)</f>
        <v>0</v>
      </c>
      <c r="T78" s="388">
        <f>IFERROR(__xludf.DUMMYFUNCTION("""COMPUTED_VALUE"""),0.0)</f>
        <v>0</v>
      </c>
      <c r="U78" s="388">
        <f>IFERROR(__xludf.DUMMYFUNCTION("""COMPUTED_VALUE"""),0.0)</f>
        <v>0</v>
      </c>
      <c r="V78" s="389">
        <f>IFERROR(__xludf.DUMMYFUNCTION("""COMPUTED_VALUE"""),0.0)</f>
        <v>0</v>
      </c>
      <c r="W78" s="65"/>
      <c r="X78" s="65"/>
    </row>
    <row r="79" ht="14.25" customHeight="1">
      <c r="A79" s="366">
        <f t="shared" si="2"/>
        <v>75</v>
      </c>
      <c r="B79" s="418"/>
      <c r="C79" s="400"/>
      <c r="D79" s="416" t="s">
        <v>840</v>
      </c>
      <c r="E79" s="388">
        <f>IFERROR(__xludf.DUMMYFUNCTION("""COMPUTED_VALUE"""),0.0)</f>
        <v>0</v>
      </c>
      <c r="F79" s="388">
        <f>IFERROR(__xludf.DUMMYFUNCTION("""COMPUTED_VALUE"""),0.0)</f>
        <v>0</v>
      </c>
      <c r="G79" s="388">
        <f>IFERROR(__xludf.DUMMYFUNCTION("""COMPUTED_VALUE"""),0.0)</f>
        <v>0</v>
      </c>
      <c r="H79" s="388">
        <f>IFERROR(__xludf.DUMMYFUNCTION("""COMPUTED_VALUE"""),0.0)</f>
        <v>0</v>
      </c>
      <c r="I79" s="388">
        <f>IFERROR(__xludf.DUMMYFUNCTION("""COMPUTED_VALUE"""),0.0)</f>
        <v>0</v>
      </c>
      <c r="J79" s="388">
        <f>IFERROR(__xludf.DUMMYFUNCTION("""COMPUTED_VALUE"""),0.0)</f>
        <v>0</v>
      </c>
      <c r="K79" s="388">
        <f>IFERROR(__xludf.DUMMYFUNCTION("""COMPUTED_VALUE"""),0.0)</f>
        <v>0</v>
      </c>
      <c r="L79" s="388">
        <f>IFERROR(__xludf.DUMMYFUNCTION("""COMPUTED_VALUE"""),0.0)</f>
        <v>0</v>
      </c>
      <c r="M79" s="388">
        <f>IFERROR(__xludf.DUMMYFUNCTION("""COMPUTED_VALUE"""),0.0)</f>
        <v>0</v>
      </c>
      <c r="N79" s="388">
        <f>IFERROR(__xludf.DUMMYFUNCTION("""COMPUTED_VALUE"""),0.0)</f>
        <v>0</v>
      </c>
      <c r="O79" s="388">
        <f>IFERROR(__xludf.DUMMYFUNCTION("""COMPUTED_VALUE"""),0.0)</f>
        <v>0</v>
      </c>
      <c r="P79" s="388">
        <f>IFERROR(__xludf.DUMMYFUNCTION("""COMPUTED_VALUE"""),0.0)</f>
        <v>0</v>
      </c>
      <c r="Q79" s="388">
        <f>IFERROR(__xludf.DUMMYFUNCTION("""COMPUTED_VALUE"""),0.0)</f>
        <v>0</v>
      </c>
      <c r="R79" s="388">
        <f>IFERROR(__xludf.DUMMYFUNCTION("""COMPUTED_VALUE"""),0.0)</f>
        <v>0</v>
      </c>
      <c r="S79" s="388">
        <f>IFERROR(__xludf.DUMMYFUNCTION("""COMPUTED_VALUE"""),0.0)</f>
        <v>0</v>
      </c>
      <c r="T79" s="388">
        <f>IFERROR(__xludf.DUMMYFUNCTION("""COMPUTED_VALUE"""),0.0)</f>
        <v>0</v>
      </c>
      <c r="U79" s="388">
        <f>IFERROR(__xludf.DUMMYFUNCTION("""COMPUTED_VALUE"""),0.0)</f>
        <v>0</v>
      </c>
      <c r="V79" s="389">
        <f>IFERROR(__xludf.DUMMYFUNCTION("""COMPUTED_VALUE"""),0.0)</f>
        <v>0</v>
      </c>
      <c r="W79" s="65"/>
      <c r="X79" s="65"/>
    </row>
    <row r="80" ht="14.25" customHeight="1">
      <c r="A80" s="366">
        <f t="shared" si="2"/>
        <v>76</v>
      </c>
      <c r="B80" s="418"/>
      <c r="C80" s="400"/>
      <c r="D80" s="416" t="s">
        <v>841</v>
      </c>
      <c r="E80" s="388">
        <f>IFERROR(__xludf.DUMMYFUNCTION("""COMPUTED_VALUE"""),0.0)</f>
        <v>0</v>
      </c>
      <c r="F80" s="388">
        <f>IFERROR(__xludf.DUMMYFUNCTION("""COMPUTED_VALUE"""),0.0)</f>
        <v>0</v>
      </c>
      <c r="G80" s="388">
        <f>IFERROR(__xludf.DUMMYFUNCTION("""COMPUTED_VALUE"""),0.0)</f>
        <v>0</v>
      </c>
      <c r="H80" s="388">
        <f>IFERROR(__xludf.DUMMYFUNCTION("""COMPUTED_VALUE"""),0.0)</f>
        <v>0</v>
      </c>
      <c r="I80" s="388">
        <f>IFERROR(__xludf.DUMMYFUNCTION("""COMPUTED_VALUE"""),0.0)</f>
        <v>0</v>
      </c>
      <c r="J80" s="388">
        <f>IFERROR(__xludf.DUMMYFUNCTION("""COMPUTED_VALUE"""),0.0)</f>
        <v>0</v>
      </c>
      <c r="K80" s="388">
        <f>IFERROR(__xludf.DUMMYFUNCTION("""COMPUTED_VALUE"""),0.0)</f>
        <v>0</v>
      </c>
      <c r="L80" s="388">
        <f>IFERROR(__xludf.DUMMYFUNCTION("""COMPUTED_VALUE"""),0.0)</f>
        <v>0</v>
      </c>
      <c r="M80" s="388">
        <f>IFERROR(__xludf.DUMMYFUNCTION("""COMPUTED_VALUE"""),0.0)</f>
        <v>0</v>
      </c>
      <c r="N80" s="388">
        <f>IFERROR(__xludf.DUMMYFUNCTION("""COMPUTED_VALUE"""),0.0)</f>
        <v>0</v>
      </c>
      <c r="O80" s="388">
        <f>IFERROR(__xludf.DUMMYFUNCTION("""COMPUTED_VALUE"""),0.0)</f>
        <v>0</v>
      </c>
      <c r="P80" s="388">
        <f>IFERROR(__xludf.DUMMYFUNCTION("""COMPUTED_VALUE"""),0.0)</f>
        <v>0</v>
      </c>
      <c r="Q80" s="388">
        <f>IFERROR(__xludf.DUMMYFUNCTION("""COMPUTED_VALUE"""),0.0)</f>
        <v>0</v>
      </c>
      <c r="R80" s="388">
        <f>IFERROR(__xludf.DUMMYFUNCTION("""COMPUTED_VALUE"""),0.0)</f>
        <v>0</v>
      </c>
      <c r="S80" s="388">
        <f>IFERROR(__xludf.DUMMYFUNCTION("""COMPUTED_VALUE"""),0.0)</f>
        <v>0</v>
      </c>
      <c r="T80" s="388">
        <f>IFERROR(__xludf.DUMMYFUNCTION("""COMPUTED_VALUE"""),0.0)</f>
        <v>0</v>
      </c>
      <c r="U80" s="388">
        <f>IFERROR(__xludf.DUMMYFUNCTION("""COMPUTED_VALUE"""),0.0)</f>
        <v>0</v>
      </c>
      <c r="V80" s="389">
        <f>IFERROR(__xludf.DUMMYFUNCTION("""COMPUTED_VALUE"""),0.0)</f>
        <v>0</v>
      </c>
      <c r="W80" s="65"/>
      <c r="X80" s="65"/>
    </row>
    <row r="81" ht="14.25" customHeight="1">
      <c r="A81" s="366">
        <f t="shared" si="2"/>
        <v>77</v>
      </c>
      <c r="B81" s="418"/>
      <c r="C81" s="400"/>
      <c r="D81" s="416" t="s">
        <v>842</v>
      </c>
      <c r="E81" s="388">
        <f>IFERROR(__xludf.DUMMYFUNCTION("""COMPUTED_VALUE"""),0.0)</f>
        <v>0</v>
      </c>
      <c r="F81" s="388">
        <f>IFERROR(__xludf.DUMMYFUNCTION("""COMPUTED_VALUE"""),0.0)</f>
        <v>0</v>
      </c>
      <c r="G81" s="388">
        <f>IFERROR(__xludf.DUMMYFUNCTION("""COMPUTED_VALUE"""),0.0)</f>
        <v>0</v>
      </c>
      <c r="H81" s="388">
        <f>IFERROR(__xludf.DUMMYFUNCTION("""COMPUTED_VALUE"""),0.0)</f>
        <v>0</v>
      </c>
      <c r="I81" s="388">
        <f>IFERROR(__xludf.DUMMYFUNCTION("""COMPUTED_VALUE"""),0.0)</f>
        <v>0</v>
      </c>
      <c r="J81" s="388">
        <f>IFERROR(__xludf.DUMMYFUNCTION("""COMPUTED_VALUE"""),0.0)</f>
        <v>0</v>
      </c>
      <c r="K81" s="388">
        <f>IFERROR(__xludf.DUMMYFUNCTION("""COMPUTED_VALUE"""),0.0)</f>
        <v>0</v>
      </c>
      <c r="L81" s="388">
        <f>IFERROR(__xludf.DUMMYFUNCTION("""COMPUTED_VALUE"""),0.0)</f>
        <v>0</v>
      </c>
      <c r="M81" s="388">
        <f>IFERROR(__xludf.DUMMYFUNCTION("""COMPUTED_VALUE"""),0.0)</f>
        <v>0</v>
      </c>
      <c r="N81" s="388">
        <f>IFERROR(__xludf.DUMMYFUNCTION("""COMPUTED_VALUE"""),0.0)</f>
        <v>0</v>
      </c>
      <c r="O81" s="388">
        <f>IFERROR(__xludf.DUMMYFUNCTION("""COMPUTED_VALUE"""),0.0)</f>
        <v>0</v>
      </c>
      <c r="P81" s="388">
        <f>IFERROR(__xludf.DUMMYFUNCTION("""COMPUTED_VALUE"""),0.0)</f>
        <v>0</v>
      </c>
      <c r="Q81" s="388">
        <f>IFERROR(__xludf.DUMMYFUNCTION("""COMPUTED_VALUE"""),0.0)</f>
        <v>0</v>
      </c>
      <c r="R81" s="388">
        <f>IFERROR(__xludf.DUMMYFUNCTION("""COMPUTED_VALUE"""),0.0)</f>
        <v>0</v>
      </c>
      <c r="S81" s="388">
        <f>IFERROR(__xludf.DUMMYFUNCTION("""COMPUTED_VALUE"""),0.0)</f>
        <v>0</v>
      </c>
      <c r="T81" s="388">
        <f>IFERROR(__xludf.DUMMYFUNCTION("""COMPUTED_VALUE"""),0.0)</f>
        <v>0</v>
      </c>
      <c r="U81" s="388">
        <f>IFERROR(__xludf.DUMMYFUNCTION("""COMPUTED_VALUE"""),0.0)</f>
        <v>0</v>
      </c>
      <c r="V81" s="389">
        <f>IFERROR(__xludf.DUMMYFUNCTION("""COMPUTED_VALUE"""),0.0)</f>
        <v>0</v>
      </c>
      <c r="W81" s="65"/>
      <c r="X81" s="65"/>
    </row>
    <row r="82" ht="14.25" customHeight="1">
      <c r="A82" s="366">
        <f t="shared" si="2"/>
        <v>78</v>
      </c>
      <c r="B82" s="419" t="s">
        <v>843</v>
      </c>
      <c r="C82" s="420"/>
      <c r="D82" s="420"/>
      <c r="E82" s="405">
        <f>IFERROR(__xludf.DUMMYFUNCTION("""COMPUTED_VALUE"""),0.0)</f>
        <v>0</v>
      </c>
      <c r="F82" s="405">
        <f>IFERROR(__xludf.DUMMYFUNCTION("""COMPUTED_VALUE"""),0.0)</f>
        <v>0</v>
      </c>
      <c r="G82" s="405">
        <f>IFERROR(__xludf.DUMMYFUNCTION("""COMPUTED_VALUE"""),0.0)</f>
        <v>0</v>
      </c>
      <c r="H82" s="405">
        <f>IFERROR(__xludf.DUMMYFUNCTION("""COMPUTED_VALUE"""),0.0)</f>
        <v>0</v>
      </c>
      <c r="I82" s="405">
        <f>IFERROR(__xludf.DUMMYFUNCTION("""COMPUTED_VALUE"""),0.0)</f>
        <v>0</v>
      </c>
      <c r="J82" s="405">
        <f>IFERROR(__xludf.DUMMYFUNCTION("""COMPUTED_VALUE"""),0.0)</f>
        <v>0</v>
      </c>
      <c r="K82" s="405">
        <f>IFERROR(__xludf.DUMMYFUNCTION("""COMPUTED_VALUE"""),0.0)</f>
        <v>0</v>
      </c>
      <c r="L82" s="405">
        <f>IFERROR(__xludf.DUMMYFUNCTION("""COMPUTED_VALUE"""),0.0)</f>
        <v>0</v>
      </c>
      <c r="M82" s="405">
        <f>IFERROR(__xludf.DUMMYFUNCTION("""COMPUTED_VALUE"""),0.0)</f>
        <v>0</v>
      </c>
      <c r="N82" s="405">
        <f>IFERROR(__xludf.DUMMYFUNCTION("""COMPUTED_VALUE"""),0.0)</f>
        <v>0</v>
      </c>
      <c r="O82" s="405">
        <f>IFERROR(__xludf.DUMMYFUNCTION("""COMPUTED_VALUE"""),0.0)</f>
        <v>0</v>
      </c>
      <c r="P82" s="405">
        <f>IFERROR(__xludf.DUMMYFUNCTION("""COMPUTED_VALUE"""),0.0)</f>
        <v>0</v>
      </c>
      <c r="Q82" s="405">
        <f>IFERROR(__xludf.DUMMYFUNCTION("""COMPUTED_VALUE"""),0.0)</f>
        <v>0</v>
      </c>
      <c r="R82" s="405">
        <f>IFERROR(__xludf.DUMMYFUNCTION("""COMPUTED_VALUE"""),0.0)</f>
        <v>0</v>
      </c>
      <c r="S82" s="405">
        <f>IFERROR(__xludf.DUMMYFUNCTION("""COMPUTED_VALUE"""),0.0)</f>
        <v>0</v>
      </c>
      <c r="T82" s="405">
        <f>IFERROR(__xludf.DUMMYFUNCTION("""COMPUTED_VALUE"""),0.0)</f>
        <v>0</v>
      </c>
      <c r="U82" s="405">
        <f>IFERROR(__xludf.DUMMYFUNCTION("""COMPUTED_VALUE"""),0.0)</f>
        <v>0</v>
      </c>
      <c r="V82" s="405">
        <f>IFERROR(__xludf.DUMMYFUNCTION("""COMPUTED_VALUE"""),0.0)</f>
        <v>0</v>
      </c>
      <c r="W82" s="65"/>
      <c r="X82" s="65"/>
    </row>
    <row r="83" ht="14.25" customHeight="1">
      <c r="A83" s="366">
        <f t="shared" si="2"/>
        <v>79</v>
      </c>
      <c r="B83" s="418"/>
      <c r="C83" s="400"/>
      <c r="D83" s="416" t="s">
        <v>844</v>
      </c>
      <c r="E83" s="388">
        <f>IFERROR(__xludf.DUMMYFUNCTION("""COMPUTED_VALUE"""),0.0)</f>
        <v>0</v>
      </c>
      <c r="F83" s="388">
        <f>IFERROR(__xludf.DUMMYFUNCTION("""COMPUTED_VALUE"""),0.0)</f>
        <v>0</v>
      </c>
      <c r="G83" s="388">
        <f>IFERROR(__xludf.DUMMYFUNCTION("""COMPUTED_VALUE"""),0.0)</f>
        <v>0</v>
      </c>
      <c r="H83" s="388">
        <f>IFERROR(__xludf.DUMMYFUNCTION("""COMPUTED_VALUE"""),0.0)</f>
        <v>0</v>
      </c>
      <c r="I83" s="388">
        <f>IFERROR(__xludf.DUMMYFUNCTION("""COMPUTED_VALUE"""),0.0)</f>
        <v>0</v>
      </c>
      <c r="J83" s="388">
        <f>IFERROR(__xludf.DUMMYFUNCTION("""COMPUTED_VALUE"""),0.0)</f>
        <v>0</v>
      </c>
      <c r="K83" s="388">
        <f>IFERROR(__xludf.DUMMYFUNCTION("""COMPUTED_VALUE"""),0.0)</f>
        <v>0</v>
      </c>
      <c r="L83" s="388">
        <f>IFERROR(__xludf.DUMMYFUNCTION("""COMPUTED_VALUE"""),0.0)</f>
        <v>0</v>
      </c>
      <c r="M83" s="388">
        <f>IFERROR(__xludf.DUMMYFUNCTION("""COMPUTED_VALUE"""),0.0)</f>
        <v>0</v>
      </c>
      <c r="N83" s="388">
        <f>IFERROR(__xludf.DUMMYFUNCTION("""COMPUTED_VALUE"""),0.0)</f>
        <v>0</v>
      </c>
      <c r="O83" s="388">
        <f>IFERROR(__xludf.DUMMYFUNCTION("""COMPUTED_VALUE"""),0.0)</f>
        <v>0</v>
      </c>
      <c r="P83" s="388">
        <f>IFERROR(__xludf.DUMMYFUNCTION("""COMPUTED_VALUE"""),0.0)</f>
        <v>0</v>
      </c>
      <c r="Q83" s="388">
        <f>IFERROR(__xludf.DUMMYFUNCTION("""COMPUTED_VALUE"""),0.0)</f>
        <v>0</v>
      </c>
      <c r="R83" s="388">
        <f>IFERROR(__xludf.DUMMYFUNCTION("""COMPUTED_VALUE"""),0.0)</f>
        <v>0</v>
      </c>
      <c r="S83" s="388">
        <f>IFERROR(__xludf.DUMMYFUNCTION("""COMPUTED_VALUE"""),0.0)</f>
        <v>0</v>
      </c>
      <c r="T83" s="388">
        <f>IFERROR(__xludf.DUMMYFUNCTION("""COMPUTED_VALUE"""),0.0)</f>
        <v>0</v>
      </c>
      <c r="U83" s="388">
        <f>IFERROR(__xludf.DUMMYFUNCTION("""COMPUTED_VALUE"""),0.0)</f>
        <v>0</v>
      </c>
      <c r="V83" s="389">
        <f>IFERROR(__xludf.DUMMYFUNCTION("""COMPUTED_VALUE"""),0.0)</f>
        <v>0</v>
      </c>
      <c r="W83" s="65"/>
      <c r="X83" s="65"/>
    </row>
    <row r="84" ht="14.25" customHeight="1">
      <c r="A84" s="366">
        <f t="shared" si="2"/>
        <v>80</v>
      </c>
      <c r="B84" s="418"/>
      <c r="C84" s="400"/>
      <c r="D84" s="416" t="s">
        <v>845</v>
      </c>
      <c r="E84" s="388">
        <f>IFERROR(__xludf.DUMMYFUNCTION("""COMPUTED_VALUE"""),0.0)</f>
        <v>0</v>
      </c>
      <c r="F84" s="388">
        <f>IFERROR(__xludf.DUMMYFUNCTION("""COMPUTED_VALUE"""),0.0)</f>
        <v>0</v>
      </c>
      <c r="G84" s="388">
        <f>IFERROR(__xludf.DUMMYFUNCTION("""COMPUTED_VALUE"""),0.0)</f>
        <v>0</v>
      </c>
      <c r="H84" s="388">
        <f>IFERROR(__xludf.DUMMYFUNCTION("""COMPUTED_VALUE"""),0.0)</f>
        <v>0</v>
      </c>
      <c r="I84" s="388">
        <f>IFERROR(__xludf.DUMMYFUNCTION("""COMPUTED_VALUE"""),0.0)</f>
        <v>0</v>
      </c>
      <c r="J84" s="388">
        <f>IFERROR(__xludf.DUMMYFUNCTION("""COMPUTED_VALUE"""),0.0)</f>
        <v>0</v>
      </c>
      <c r="K84" s="388">
        <f>IFERROR(__xludf.DUMMYFUNCTION("""COMPUTED_VALUE"""),0.0)</f>
        <v>0</v>
      </c>
      <c r="L84" s="388">
        <f>IFERROR(__xludf.DUMMYFUNCTION("""COMPUTED_VALUE"""),0.0)</f>
        <v>0</v>
      </c>
      <c r="M84" s="388">
        <f>IFERROR(__xludf.DUMMYFUNCTION("""COMPUTED_VALUE"""),0.0)</f>
        <v>0</v>
      </c>
      <c r="N84" s="388">
        <f>IFERROR(__xludf.DUMMYFUNCTION("""COMPUTED_VALUE"""),0.0)</f>
        <v>0</v>
      </c>
      <c r="O84" s="388">
        <f>IFERROR(__xludf.DUMMYFUNCTION("""COMPUTED_VALUE"""),0.0)</f>
        <v>0</v>
      </c>
      <c r="P84" s="388">
        <f>IFERROR(__xludf.DUMMYFUNCTION("""COMPUTED_VALUE"""),0.0)</f>
        <v>0</v>
      </c>
      <c r="Q84" s="388">
        <f>IFERROR(__xludf.DUMMYFUNCTION("""COMPUTED_VALUE"""),0.0)</f>
        <v>0</v>
      </c>
      <c r="R84" s="388">
        <f>IFERROR(__xludf.DUMMYFUNCTION("""COMPUTED_VALUE"""),0.0)</f>
        <v>0</v>
      </c>
      <c r="S84" s="388">
        <f>IFERROR(__xludf.DUMMYFUNCTION("""COMPUTED_VALUE"""),0.0)</f>
        <v>0</v>
      </c>
      <c r="T84" s="388">
        <f>IFERROR(__xludf.DUMMYFUNCTION("""COMPUTED_VALUE"""),0.0)</f>
        <v>0</v>
      </c>
      <c r="U84" s="388">
        <f>IFERROR(__xludf.DUMMYFUNCTION("""COMPUTED_VALUE"""),0.0)</f>
        <v>0</v>
      </c>
      <c r="V84" s="389">
        <f>IFERROR(__xludf.DUMMYFUNCTION("""COMPUTED_VALUE"""),0.0)</f>
        <v>0</v>
      </c>
      <c r="W84" s="65"/>
      <c r="X84" s="65"/>
    </row>
    <row r="85" ht="14.25" customHeight="1">
      <c r="A85" s="366">
        <f t="shared" si="2"/>
        <v>81</v>
      </c>
      <c r="B85" s="419" t="s">
        <v>846</v>
      </c>
      <c r="C85" s="420"/>
      <c r="D85" s="420"/>
      <c r="E85" s="405">
        <f>IFERROR(__xludf.DUMMYFUNCTION("""COMPUTED_VALUE"""),0.0)</f>
        <v>0</v>
      </c>
      <c r="F85" s="405">
        <f>IFERROR(__xludf.DUMMYFUNCTION("""COMPUTED_VALUE"""),0.0)</f>
        <v>0</v>
      </c>
      <c r="G85" s="405">
        <f>IFERROR(__xludf.DUMMYFUNCTION("""COMPUTED_VALUE"""),0.0)</f>
        <v>0</v>
      </c>
      <c r="H85" s="405">
        <f>IFERROR(__xludf.DUMMYFUNCTION("""COMPUTED_VALUE"""),0.0)</f>
        <v>0</v>
      </c>
      <c r="I85" s="405">
        <f>IFERROR(__xludf.DUMMYFUNCTION("""COMPUTED_VALUE"""),0.0)</f>
        <v>0</v>
      </c>
      <c r="J85" s="405">
        <f>IFERROR(__xludf.DUMMYFUNCTION("""COMPUTED_VALUE"""),0.0)</f>
        <v>0</v>
      </c>
      <c r="K85" s="405">
        <f>IFERROR(__xludf.DUMMYFUNCTION("""COMPUTED_VALUE"""),0.0)</f>
        <v>0</v>
      </c>
      <c r="L85" s="405">
        <f>IFERROR(__xludf.DUMMYFUNCTION("""COMPUTED_VALUE"""),0.0)</f>
        <v>0</v>
      </c>
      <c r="M85" s="405">
        <f>IFERROR(__xludf.DUMMYFUNCTION("""COMPUTED_VALUE"""),0.0)</f>
        <v>0</v>
      </c>
      <c r="N85" s="405">
        <f>IFERROR(__xludf.DUMMYFUNCTION("""COMPUTED_VALUE"""),0.0)</f>
        <v>0</v>
      </c>
      <c r="O85" s="405">
        <f>IFERROR(__xludf.DUMMYFUNCTION("""COMPUTED_VALUE"""),0.0)</f>
        <v>0</v>
      </c>
      <c r="P85" s="405">
        <f>IFERROR(__xludf.DUMMYFUNCTION("""COMPUTED_VALUE"""),0.0)</f>
        <v>0</v>
      </c>
      <c r="Q85" s="405">
        <f>IFERROR(__xludf.DUMMYFUNCTION("""COMPUTED_VALUE"""),0.0)</f>
        <v>0</v>
      </c>
      <c r="R85" s="405">
        <f>IFERROR(__xludf.DUMMYFUNCTION("""COMPUTED_VALUE"""),0.0)</f>
        <v>0</v>
      </c>
      <c r="S85" s="405">
        <f>IFERROR(__xludf.DUMMYFUNCTION("""COMPUTED_VALUE"""),0.0)</f>
        <v>0</v>
      </c>
      <c r="T85" s="405">
        <f>IFERROR(__xludf.DUMMYFUNCTION("""COMPUTED_VALUE"""),0.0)</f>
        <v>0</v>
      </c>
      <c r="U85" s="405">
        <f>IFERROR(__xludf.DUMMYFUNCTION("""COMPUTED_VALUE"""),0.0)</f>
        <v>0</v>
      </c>
      <c r="V85" s="405">
        <f>IFERROR(__xludf.DUMMYFUNCTION("""COMPUTED_VALUE"""),0.0)</f>
        <v>0</v>
      </c>
      <c r="W85" s="65"/>
      <c r="X85" s="65"/>
    </row>
    <row r="86" ht="14.25" customHeight="1">
      <c r="A86" s="366">
        <f t="shared" si="2"/>
        <v>82</v>
      </c>
      <c r="B86" s="418"/>
      <c r="C86" s="400"/>
      <c r="D86" s="416" t="s">
        <v>847</v>
      </c>
      <c r="E86" s="388">
        <f>IFERROR(__xludf.DUMMYFUNCTION("""COMPUTED_VALUE"""),0.0)</f>
        <v>0</v>
      </c>
      <c r="F86" s="388">
        <f>IFERROR(__xludf.DUMMYFUNCTION("""COMPUTED_VALUE"""),0.0)</f>
        <v>0</v>
      </c>
      <c r="G86" s="388">
        <f>IFERROR(__xludf.DUMMYFUNCTION("""COMPUTED_VALUE"""),0.0)</f>
        <v>0</v>
      </c>
      <c r="H86" s="388">
        <f>IFERROR(__xludf.DUMMYFUNCTION("""COMPUTED_VALUE"""),0.0)</f>
        <v>0</v>
      </c>
      <c r="I86" s="388">
        <f>IFERROR(__xludf.DUMMYFUNCTION("""COMPUTED_VALUE"""),0.0)</f>
        <v>0</v>
      </c>
      <c r="J86" s="388">
        <f>IFERROR(__xludf.DUMMYFUNCTION("""COMPUTED_VALUE"""),0.0)</f>
        <v>0</v>
      </c>
      <c r="K86" s="388">
        <f>IFERROR(__xludf.DUMMYFUNCTION("""COMPUTED_VALUE"""),0.0)</f>
        <v>0</v>
      </c>
      <c r="L86" s="388">
        <f>IFERROR(__xludf.DUMMYFUNCTION("""COMPUTED_VALUE"""),0.0)</f>
        <v>0</v>
      </c>
      <c r="M86" s="388">
        <f>IFERROR(__xludf.DUMMYFUNCTION("""COMPUTED_VALUE"""),0.0)</f>
        <v>0</v>
      </c>
      <c r="N86" s="388">
        <f>IFERROR(__xludf.DUMMYFUNCTION("""COMPUTED_VALUE"""),0.0)</f>
        <v>0</v>
      </c>
      <c r="O86" s="388">
        <f>IFERROR(__xludf.DUMMYFUNCTION("""COMPUTED_VALUE"""),0.0)</f>
        <v>0</v>
      </c>
      <c r="P86" s="388">
        <f>IFERROR(__xludf.DUMMYFUNCTION("""COMPUTED_VALUE"""),0.0)</f>
        <v>0</v>
      </c>
      <c r="Q86" s="388">
        <f>IFERROR(__xludf.DUMMYFUNCTION("""COMPUTED_VALUE"""),0.0)</f>
        <v>0</v>
      </c>
      <c r="R86" s="388">
        <f>IFERROR(__xludf.DUMMYFUNCTION("""COMPUTED_VALUE"""),0.0)</f>
        <v>0</v>
      </c>
      <c r="S86" s="388">
        <f>IFERROR(__xludf.DUMMYFUNCTION("""COMPUTED_VALUE"""),0.0)</f>
        <v>0</v>
      </c>
      <c r="T86" s="388">
        <f>IFERROR(__xludf.DUMMYFUNCTION("""COMPUTED_VALUE"""),0.0)</f>
        <v>0</v>
      </c>
      <c r="U86" s="388">
        <f>IFERROR(__xludf.DUMMYFUNCTION("""COMPUTED_VALUE"""),0.0)</f>
        <v>0</v>
      </c>
      <c r="V86" s="389">
        <f>IFERROR(__xludf.DUMMYFUNCTION("""COMPUTED_VALUE"""),0.0)</f>
        <v>0</v>
      </c>
      <c r="W86" s="65"/>
      <c r="X86" s="65"/>
    </row>
    <row r="87" ht="14.25" customHeight="1">
      <c r="A87" s="366">
        <f t="shared" si="2"/>
        <v>83</v>
      </c>
      <c r="B87" s="418"/>
      <c r="C87" s="400"/>
      <c r="D87" s="416" t="s">
        <v>848</v>
      </c>
      <c r="E87" s="388">
        <f>IFERROR(__xludf.DUMMYFUNCTION("""COMPUTED_VALUE"""),0.0)</f>
        <v>0</v>
      </c>
      <c r="F87" s="388">
        <f>IFERROR(__xludf.DUMMYFUNCTION("""COMPUTED_VALUE"""),0.0)</f>
        <v>0</v>
      </c>
      <c r="G87" s="388">
        <f>IFERROR(__xludf.DUMMYFUNCTION("""COMPUTED_VALUE"""),0.0)</f>
        <v>0</v>
      </c>
      <c r="H87" s="388">
        <f>IFERROR(__xludf.DUMMYFUNCTION("""COMPUTED_VALUE"""),0.0)</f>
        <v>0</v>
      </c>
      <c r="I87" s="388">
        <f>IFERROR(__xludf.DUMMYFUNCTION("""COMPUTED_VALUE"""),0.0)</f>
        <v>0</v>
      </c>
      <c r="J87" s="388">
        <f>IFERROR(__xludf.DUMMYFUNCTION("""COMPUTED_VALUE"""),0.0)</f>
        <v>0</v>
      </c>
      <c r="K87" s="388">
        <f>IFERROR(__xludf.DUMMYFUNCTION("""COMPUTED_VALUE"""),0.0)</f>
        <v>0</v>
      </c>
      <c r="L87" s="388">
        <f>IFERROR(__xludf.DUMMYFUNCTION("""COMPUTED_VALUE"""),0.0)</f>
        <v>0</v>
      </c>
      <c r="M87" s="388">
        <f>IFERROR(__xludf.DUMMYFUNCTION("""COMPUTED_VALUE"""),0.0)</f>
        <v>0</v>
      </c>
      <c r="N87" s="388">
        <f>IFERROR(__xludf.DUMMYFUNCTION("""COMPUTED_VALUE"""),0.0)</f>
        <v>0</v>
      </c>
      <c r="O87" s="388">
        <f>IFERROR(__xludf.DUMMYFUNCTION("""COMPUTED_VALUE"""),0.0)</f>
        <v>0</v>
      </c>
      <c r="P87" s="388">
        <f>IFERROR(__xludf.DUMMYFUNCTION("""COMPUTED_VALUE"""),0.0)</f>
        <v>0</v>
      </c>
      <c r="Q87" s="388">
        <f>IFERROR(__xludf.DUMMYFUNCTION("""COMPUTED_VALUE"""),0.0)</f>
        <v>0</v>
      </c>
      <c r="R87" s="388">
        <f>IFERROR(__xludf.DUMMYFUNCTION("""COMPUTED_VALUE"""),0.0)</f>
        <v>0</v>
      </c>
      <c r="S87" s="388">
        <f>IFERROR(__xludf.DUMMYFUNCTION("""COMPUTED_VALUE"""),0.0)</f>
        <v>0</v>
      </c>
      <c r="T87" s="388">
        <f>IFERROR(__xludf.DUMMYFUNCTION("""COMPUTED_VALUE"""),0.0)</f>
        <v>0</v>
      </c>
      <c r="U87" s="388">
        <f>IFERROR(__xludf.DUMMYFUNCTION("""COMPUTED_VALUE"""),0.0)</f>
        <v>0</v>
      </c>
      <c r="V87" s="389">
        <f>IFERROR(__xludf.DUMMYFUNCTION("""COMPUTED_VALUE"""),0.0)</f>
        <v>0</v>
      </c>
      <c r="W87" s="65"/>
      <c r="X87" s="65"/>
    </row>
    <row r="88" ht="14.25" customHeight="1">
      <c r="A88" s="366">
        <f t="shared" si="2"/>
        <v>84</v>
      </c>
      <c r="B88" s="419" t="s">
        <v>849</v>
      </c>
      <c r="C88" s="420"/>
      <c r="D88" s="420"/>
      <c r="E88" s="405">
        <f>IFERROR(__xludf.DUMMYFUNCTION("""COMPUTED_VALUE"""),0.0)</f>
        <v>0</v>
      </c>
      <c r="F88" s="405">
        <f>IFERROR(__xludf.DUMMYFUNCTION("""COMPUTED_VALUE"""),0.0)</f>
        <v>0</v>
      </c>
      <c r="G88" s="405">
        <f>IFERROR(__xludf.DUMMYFUNCTION("""COMPUTED_VALUE"""),0.0)</f>
        <v>0</v>
      </c>
      <c r="H88" s="405">
        <f>IFERROR(__xludf.DUMMYFUNCTION("""COMPUTED_VALUE"""),0.0)</f>
        <v>0</v>
      </c>
      <c r="I88" s="405">
        <f>IFERROR(__xludf.DUMMYFUNCTION("""COMPUTED_VALUE"""),0.0)</f>
        <v>0</v>
      </c>
      <c r="J88" s="405">
        <f>IFERROR(__xludf.DUMMYFUNCTION("""COMPUTED_VALUE"""),0.0)</f>
        <v>0</v>
      </c>
      <c r="K88" s="405">
        <f>IFERROR(__xludf.DUMMYFUNCTION("""COMPUTED_VALUE"""),0.0)</f>
        <v>0</v>
      </c>
      <c r="L88" s="405">
        <f>IFERROR(__xludf.DUMMYFUNCTION("""COMPUTED_VALUE"""),0.0)</f>
        <v>0</v>
      </c>
      <c r="M88" s="405">
        <f>IFERROR(__xludf.DUMMYFUNCTION("""COMPUTED_VALUE"""),0.0)</f>
        <v>0</v>
      </c>
      <c r="N88" s="405">
        <f>IFERROR(__xludf.DUMMYFUNCTION("""COMPUTED_VALUE"""),0.0)</f>
        <v>0</v>
      </c>
      <c r="O88" s="405">
        <f>IFERROR(__xludf.DUMMYFUNCTION("""COMPUTED_VALUE"""),0.0)</f>
        <v>0</v>
      </c>
      <c r="P88" s="405">
        <f>IFERROR(__xludf.DUMMYFUNCTION("""COMPUTED_VALUE"""),0.0)</f>
        <v>0</v>
      </c>
      <c r="Q88" s="405">
        <f>IFERROR(__xludf.DUMMYFUNCTION("""COMPUTED_VALUE"""),0.0)</f>
        <v>0</v>
      </c>
      <c r="R88" s="405">
        <f>IFERROR(__xludf.DUMMYFUNCTION("""COMPUTED_VALUE"""),0.0)</f>
        <v>0</v>
      </c>
      <c r="S88" s="405">
        <f>IFERROR(__xludf.DUMMYFUNCTION("""COMPUTED_VALUE"""),0.0)</f>
        <v>0</v>
      </c>
      <c r="T88" s="405">
        <f>IFERROR(__xludf.DUMMYFUNCTION("""COMPUTED_VALUE"""),0.0)</f>
        <v>0</v>
      </c>
      <c r="U88" s="405">
        <f>IFERROR(__xludf.DUMMYFUNCTION("""COMPUTED_VALUE"""),0.0)</f>
        <v>0</v>
      </c>
      <c r="V88" s="405">
        <f>IFERROR(__xludf.DUMMYFUNCTION("""COMPUTED_VALUE"""),0.0)</f>
        <v>0</v>
      </c>
      <c r="W88" s="65"/>
      <c r="X88" s="65"/>
    </row>
    <row r="89" ht="14.25" customHeight="1">
      <c r="A89" s="366">
        <f t="shared" si="2"/>
        <v>85</v>
      </c>
      <c r="B89" s="418"/>
      <c r="C89" s="400"/>
      <c r="D89" s="416" t="s">
        <v>850</v>
      </c>
      <c r="E89" s="388">
        <f>IFERROR(__xludf.DUMMYFUNCTION("""COMPUTED_VALUE"""),0.0)</f>
        <v>0</v>
      </c>
      <c r="F89" s="388">
        <f>IFERROR(__xludf.DUMMYFUNCTION("""COMPUTED_VALUE"""),0.0)</f>
        <v>0</v>
      </c>
      <c r="G89" s="388">
        <f>IFERROR(__xludf.DUMMYFUNCTION("""COMPUTED_VALUE"""),0.0)</f>
        <v>0</v>
      </c>
      <c r="H89" s="388">
        <f>IFERROR(__xludf.DUMMYFUNCTION("""COMPUTED_VALUE"""),0.0)</f>
        <v>0</v>
      </c>
      <c r="I89" s="388">
        <f>IFERROR(__xludf.DUMMYFUNCTION("""COMPUTED_VALUE"""),0.0)</f>
        <v>0</v>
      </c>
      <c r="J89" s="388">
        <f>IFERROR(__xludf.DUMMYFUNCTION("""COMPUTED_VALUE"""),0.0)</f>
        <v>0</v>
      </c>
      <c r="K89" s="388">
        <f>IFERROR(__xludf.DUMMYFUNCTION("""COMPUTED_VALUE"""),0.0)</f>
        <v>0</v>
      </c>
      <c r="L89" s="388">
        <f>IFERROR(__xludf.DUMMYFUNCTION("""COMPUTED_VALUE"""),0.0)</f>
        <v>0</v>
      </c>
      <c r="M89" s="388">
        <f>IFERROR(__xludf.DUMMYFUNCTION("""COMPUTED_VALUE"""),0.0)</f>
        <v>0</v>
      </c>
      <c r="N89" s="388">
        <f>IFERROR(__xludf.DUMMYFUNCTION("""COMPUTED_VALUE"""),0.0)</f>
        <v>0</v>
      </c>
      <c r="O89" s="388">
        <f>IFERROR(__xludf.DUMMYFUNCTION("""COMPUTED_VALUE"""),0.0)</f>
        <v>0</v>
      </c>
      <c r="P89" s="388">
        <f>IFERROR(__xludf.DUMMYFUNCTION("""COMPUTED_VALUE"""),0.0)</f>
        <v>0</v>
      </c>
      <c r="Q89" s="388">
        <f>IFERROR(__xludf.DUMMYFUNCTION("""COMPUTED_VALUE"""),0.0)</f>
        <v>0</v>
      </c>
      <c r="R89" s="388">
        <f>IFERROR(__xludf.DUMMYFUNCTION("""COMPUTED_VALUE"""),0.0)</f>
        <v>0</v>
      </c>
      <c r="S89" s="388">
        <f>IFERROR(__xludf.DUMMYFUNCTION("""COMPUTED_VALUE"""),0.0)</f>
        <v>0</v>
      </c>
      <c r="T89" s="388">
        <f>IFERROR(__xludf.DUMMYFUNCTION("""COMPUTED_VALUE"""),0.0)</f>
        <v>0</v>
      </c>
      <c r="U89" s="388">
        <f>IFERROR(__xludf.DUMMYFUNCTION("""COMPUTED_VALUE"""),0.0)</f>
        <v>0</v>
      </c>
      <c r="V89" s="389">
        <f>IFERROR(__xludf.DUMMYFUNCTION("""COMPUTED_VALUE"""),0.0)</f>
        <v>0</v>
      </c>
      <c r="W89" s="65"/>
      <c r="X89" s="65"/>
    </row>
    <row r="90" ht="14.25" customHeight="1">
      <c r="A90" s="366">
        <f t="shared" si="2"/>
        <v>86</v>
      </c>
      <c r="B90" s="419" t="s">
        <v>851</v>
      </c>
      <c r="C90" s="420"/>
      <c r="D90" s="420"/>
      <c r="E90" s="405">
        <f>IFERROR(__xludf.DUMMYFUNCTION("""COMPUTED_VALUE"""),0.0)</f>
        <v>0</v>
      </c>
      <c r="F90" s="405">
        <f>IFERROR(__xludf.DUMMYFUNCTION("""COMPUTED_VALUE"""),0.0)</f>
        <v>0</v>
      </c>
      <c r="G90" s="405">
        <f>IFERROR(__xludf.DUMMYFUNCTION("""COMPUTED_VALUE"""),0.0)</f>
        <v>0</v>
      </c>
      <c r="H90" s="405">
        <f>IFERROR(__xludf.DUMMYFUNCTION("""COMPUTED_VALUE"""),0.0)</f>
        <v>0</v>
      </c>
      <c r="I90" s="405">
        <f>IFERROR(__xludf.DUMMYFUNCTION("""COMPUTED_VALUE"""),0.0)</f>
        <v>0</v>
      </c>
      <c r="J90" s="405">
        <f>IFERROR(__xludf.DUMMYFUNCTION("""COMPUTED_VALUE"""),0.0)</f>
        <v>0</v>
      </c>
      <c r="K90" s="405">
        <f>IFERROR(__xludf.DUMMYFUNCTION("""COMPUTED_VALUE"""),0.0)</f>
        <v>0</v>
      </c>
      <c r="L90" s="405">
        <f>IFERROR(__xludf.DUMMYFUNCTION("""COMPUTED_VALUE"""),0.0)</f>
        <v>0</v>
      </c>
      <c r="M90" s="405">
        <f>IFERROR(__xludf.DUMMYFUNCTION("""COMPUTED_VALUE"""),0.0)</f>
        <v>0</v>
      </c>
      <c r="N90" s="405">
        <f>IFERROR(__xludf.DUMMYFUNCTION("""COMPUTED_VALUE"""),0.0)</f>
        <v>0</v>
      </c>
      <c r="O90" s="405">
        <f>IFERROR(__xludf.DUMMYFUNCTION("""COMPUTED_VALUE"""),0.0)</f>
        <v>0</v>
      </c>
      <c r="P90" s="405">
        <f>IFERROR(__xludf.DUMMYFUNCTION("""COMPUTED_VALUE"""),0.0)</f>
        <v>0</v>
      </c>
      <c r="Q90" s="405">
        <f>IFERROR(__xludf.DUMMYFUNCTION("""COMPUTED_VALUE"""),0.0)</f>
        <v>0</v>
      </c>
      <c r="R90" s="405">
        <f>IFERROR(__xludf.DUMMYFUNCTION("""COMPUTED_VALUE"""),0.0)</f>
        <v>0</v>
      </c>
      <c r="S90" s="405">
        <f>IFERROR(__xludf.DUMMYFUNCTION("""COMPUTED_VALUE"""),0.0)</f>
        <v>0</v>
      </c>
      <c r="T90" s="405">
        <f>IFERROR(__xludf.DUMMYFUNCTION("""COMPUTED_VALUE"""),0.0)</f>
        <v>0</v>
      </c>
      <c r="U90" s="405">
        <f>IFERROR(__xludf.DUMMYFUNCTION("""COMPUTED_VALUE"""),0.0)</f>
        <v>0</v>
      </c>
      <c r="V90" s="405">
        <f>IFERROR(__xludf.DUMMYFUNCTION("""COMPUTED_VALUE"""),0.0)</f>
        <v>0</v>
      </c>
      <c r="W90" s="65"/>
      <c r="X90" s="65"/>
    </row>
    <row r="91" ht="14.25" customHeight="1">
      <c r="A91" s="366">
        <f t="shared" si="2"/>
        <v>87</v>
      </c>
      <c r="B91" s="418"/>
      <c r="C91" s="400"/>
      <c r="D91" s="416" t="s">
        <v>852</v>
      </c>
      <c r="E91" s="388">
        <f>IFERROR(__xludf.DUMMYFUNCTION("""COMPUTED_VALUE"""),0.0)</f>
        <v>0</v>
      </c>
      <c r="F91" s="388">
        <f>IFERROR(__xludf.DUMMYFUNCTION("""COMPUTED_VALUE"""),0.0)</f>
        <v>0</v>
      </c>
      <c r="G91" s="388">
        <f>IFERROR(__xludf.DUMMYFUNCTION("""COMPUTED_VALUE"""),0.0)</f>
        <v>0</v>
      </c>
      <c r="H91" s="388">
        <f>IFERROR(__xludf.DUMMYFUNCTION("""COMPUTED_VALUE"""),0.0)</f>
        <v>0</v>
      </c>
      <c r="I91" s="388">
        <f>IFERROR(__xludf.DUMMYFUNCTION("""COMPUTED_VALUE"""),0.0)</f>
        <v>0</v>
      </c>
      <c r="J91" s="388">
        <f>IFERROR(__xludf.DUMMYFUNCTION("""COMPUTED_VALUE"""),0.0)</f>
        <v>0</v>
      </c>
      <c r="K91" s="388">
        <f>IFERROR(__xludf.DUMMYFUNCTION("""COMPUTED_VALUE"""),0.0)</f>
        <v>0</v>
      </c>
      <c r="L91" s="388">
        <f>IFERROR(__xludf.DUMMYFUNCTION("""COMPUTED_VALUE"""),0.0)</f>
        <v>0</v>
      </c>
      <c r="M91" s="388">
        <f>IFERROR(__xludf.DUMMYFUNCTION("""COMPUTED_VALUE"""),0.0)</f>
        <v>0</v>
      </c>
      <c r="N91" s="388">
        <f>IFERROR(__xludf.DUMMYFUNCTION("""COMPUTED_VALUE"""),0.0)</f>
        <v>0</v>
      </c>
      <c r="O91" s="388">
        <f>IFERROR(__xludf.DUMMYFUNCTION("""COMPUTED_VALUE"""),0.0)</f>
        <v>0</v>
      </c>
      <c r="P91" s="388">
        <f>IFERROR(__xludf.DUMMYFUNCTION("""COMPUTED_VALUE"""),0.0)</f>
        <v>0</v>
      </c>
      <c r="Q91" s="388">
        <f>IFERROR(__xludf.DUMMYFUNCTION("""COMPUTED_VALUE"""),0.0)</f>
        <v>0</v>
      </c>
      <c r="R91" s="388">
        <f>IFERROR(__xludf.DUMMYFUNCTION("""COMPUTED_VALUE"""),0.0)</f>
        <v>0</v>
      </c>
      <c r="S91" s="388">
        <f>IFERROR(__xludf.DUMMYFUNCTION("""COMPUTED_VALUE"""),0.0)</f>
        <v>0</v>
      </c>
      <c r="T91" s="388">
        <f>IFERROR(__xludf.DUMMYFUNCTION("""COMPUTED_VALUE"""),0.0)</f>
        <v>0</v>
      </c>
      <c r="U91" s="388">
        <f>IFERROR(__xludf.DUMMYFUNCTION("""COMPUTED_VALUE"""),0.0)</f>
        <v>0</v>
      </c>
      <c r="V91" s="389">
        <f>IFERROR(__xludf.DUMMYFUNCTION("""COMPUTED_VALUE"""),0.0)</f>
        <v>0</v>
      </c>
      <c r="W91" s="65"/>
      <c r="X91" s="65"/>
    </row>
    <row r="92" ht="14.25" customHeight="1">
      <c r="A92" s="366">
        <f t="shared" si="2"/>
        <v>88</v>
      </c>
      <c r="B92" s="419" t="s">
        <v>1022</v>
      </c>
      <c r="C92" s="420"/>
      <c r="D92" s="420"/>
      <c r="E92" s="405">
        <f>IFERROR(__xludf.DUMMYFUNCTION("""COMPUTED_VALUE"""),0.0)</f>
        <v>0</v>
      </c>
      <c r="F92" s="405">
        <f>IFERROR(__xludf.DUMMYFUNCTION("""COMPUTED_VALUE"""),0.0)</f>
        <v>0</v>
      </c>
      <c r="G92" s="405">
        <f>IFERROR(__xludf.DUMMYFUNCTION("""COMPUTED_VALUE"""),0.0)</f>
        <v>0</v>
      </c>
      <c r="H92" s="405">
        <f>IFERROR(__xludf.DUMMYFUNCTION("""COMPUTED_VALUE"""),0.0)</f>
        <v>0</v>
      </c>
      <c r="I92" s="405">
        <f>IFERROR(__xludf.DUMMYFUNCTION("""COMPUTED_VALUE"""),0.0)</f>
        <v>0</v>
      </c>
      <c r="J92" s="405">
        <f>IFERROR(__xludf.DUMMYFUNCTION("""COMPUTED_VALUE"""),0.0)</f>
        <v>0</v>
      </c>
      <c r="K92" s="405">
        <f>IFERROR(__xludf.DUMMYFUNCTION("""COMPUTED_VALUE"""),0.0)</f>
        <v>0</v>
      </c>
      <c r="L92" s="405">
        <f>IFERROR(__xludf.DUMMYFUNCTION("""COMPUTED_VALUE"""),0.0)</f>
        <v>0</v>
      </c>
      <c r="M92" s="405">
        <f>IFERROR(__xludf.DUMMYFUNCTION("""COMPUTED_VALUE"""),0.0)</f>
        <v>0</v>
      </c>
      <c r="N92" s="405">
        <f>IFERROR(__xludf.DUMMYFUNCTION("""COMPUTED_VALUE"""),0.0)</f>
        <v>0</v>
      </c>
      <c r="O92" s="405">
        <f>IFERROR(__xludf.DUMMYFUNCTION("""COMPUTED_VALUE"""),0.0)</f>
        <v>0</v>
      </c>
      <c r="P92" s="405">
        <f>IFERROR(__xludf.DUMMYFUNCTION("""COMPUTED_VALUE"""),0.0)</f>
        <v>0</v>
      </c>
      <c r="Q92" s="405">
        <f>IFERROR(__xludf.DUMMYFUNCTION("""COMPUTED_VALUE"""),0.0)</f>
        <v>0</v>
      </c>
      <c r="R92" s="405">
        <f>IFERROR(__xludf.DUMMYFUNCTION("""COMPUTED_VALUE"""),0.0)</f>
        <v>0</v>
      </c>
      <c r="S92" s="405">
        <f>IFERROR(__xludf.DUMMYFUNCTION("""COMPUTED_VALUE"""),0.0)</f>
        <v>0</v>
      </c>
      <c r="T92" s="405">
        <f>IFERROR(__xludf.DUMMYFUNCTION("""COMPUTED_VALUE"""),0.0)</f>
        <v>0</v>
      </c>
      <c r="U92" s="405">
        <f>IFERROR(__xludf.DUMMYFUNCTION("""COMPUTED_VALUE"""),0.0)</f>
        <v>0</v>
      </c>
      <c r="V92" s="405">
        <f>IFERROR(__xludf.DUMMYFUNCTION("""COMPUTED_VALUE"""),0.0)</f>
        <v>0</v>
      </c>
      <c r="W92" s="65"/>
      <c r="X92" s="65"/>
    </row>
    <row r="93" ht="14.25" customHeight="1">
      <c r="A93" s="366">
        <f t="shared" si="2"/>
        <v>89</v>
      </c>
      <c r="B93" s="381"/>
      <c r="C93" s="382"/>
      <c r="D93" s="374" t="s">
        <v>854</v>
      </c>
      <c r="E93" s="388">
        <f>IFERROR(__xludf.DUMMYFUNCTION("""COMPUTED_VALUE"""),0.0)</f>
        <v>0</v>
      </c>
      <c r="F93" s="388">
        <f>IFERROR(__xludf.DUMMYFUNCTION("""COMPUTED_VALUE"""),0.0)</f>
        <v>0</v>
      </c>
      <c r="G93" s="388">
        <f>IFERROR(__xludf.DUMMYFUNCTION("""COMPUTED_VALUE"""),0.0)</f>
        <v>0</v>
      </c>
      <c r="H93" s="388">
        <f>IFERROR(__xludf.DUMMYFUNCTION("""COMPUTED_VALUE"""),0.0)</f>
        <v>0</v>
      </c>
      <c r="I93" s="388">
        <f>IFERROR(__xludf.DUMMYFUNCTION("""COMPUTED_VALUE"""),0.0)</f>
        <v>0</v>
      </c>
      <c r="J93" s="388">
        <f>IFERROR(__xludf.DUMMYFUNCTION("""COMPUTED_VALUE"""),0.0)</f>
        <v>0</v>
      </c>
      <c r="K93" s="388">
        <f>IFERROR(__xludf.DUMMYFUNCTION("""COMPUTED_VALUE"""),0.0)</f>
        <v>0</v>
      </c>
      <c r="L93" s="388">
        <f>IFERROR(__xludf.DUMMYFUNCTION("""COMPUTED_VALUE"""),0.0)</f>
        <v>0</v>
      </c>
      <c r="M93" s="388">
        <f>IFERROR(__xludf.DUMMYFUNCTION("""COMPUTED_VALUE"""),0.0)</f>
        <v>0</v>
      </c>
      <c r="N93" s="388">
        <f>IFERROR(__xludf.DUMMYFUNCTION("""COMPUTED_VALUE"""),0.0)</f>
        <v>0</v>
      </c>
      <c r="O93" s="388">
        <f>IFERROR(__xludf.DUMMYFUNCTION("""COMPUTED_VALUE"""),0.0)</f>
        <v>0</v>
      </c>
      <c r="P93" s="388">
        <f>IFERROR(__xludf.DUMMYFUNCTION("""COMPUTED_VALUE"""),0.0)</f>
        <v>0</v>
      </c>
      <c r="Q93" s="388">
        <f>IFERROR(__xludf.DUMMYFUNCTION("""COMPUTED_VALUE"""),0.0)</f>
        <v>0</v>
      </c>
      <c r="R93" s="388">
        <f>IFERROR(__xludf.DUMMYFUNCTION("""COMPUTED_VALUE"""),0.0)</f>
        <v>0</v>
      </c>
      <c r="S93" s="388">
        <f>IFERROR(__xludf.DUMMYFUNCTION("""COMPUTED_VALUE"""),0.0)</f>
        <v>0</v>
      </c>
      <c r="T93" s="388">
        <f>IFERROR(__xludf.DUMMYFUNCTION("""COMPUTED_VALUE"""),0.0)</f>
        <v>0</v>
      </c>
      <c r="U93" s="388">
        <f>IFERROR(__xludf.DUMMYFUNCTION("""COMPUTED_VALUE"""),0.0)</f>
        <v>0</v>
      </c>
      <c r="V93" s="389">
        <f>IFERROR(__xludf.DUMMYFUNCTION("""COMPUTED_VALUE"""),0.0)</f>
        <v>0</v>
      </c>
      <c r="W93" s="65"/>
      <c r="X93" s="65"/>
    </row>
    <row r="94" ht="14.25" customHeight="1">
      <c r="A94" s="366">
        <f t="shared" si="2"/>
        <v>90</v>
      </c>
      <c r="B94" s="419" t="s">
        <v>855</v>
      </c>
      <c r="C94" s="420"/>
      <c r="D94" s="420"/>
      <c r="E94" s="405">
        <f>IFERROR(__xludf.DUMMYFUNCTION("""COMPUTED_VALUE"""),0.0)</f>
        <v>0</v>
      </c>
      <c r="F94" s="405">
        <f>IFERROR(__xludf.DUMMYFUNCTION("""COMPUTED_VALUE"""),0.0)</f>
        <v>0</v>
      </c>
      <c r="G94" s="405">
        <f>IFERROR(__xludf.DUMMYFUNCTION("""COMPUTED_VALUE"""),0.0)</f>
        <v>0</v>
      </c>
      <c r="H94" s="405">
        <f>IFERROR(__xludf.DUMMYFUNCTION("""COMPUTED_VALUE"""),0.0)</f>
        <v>0</v>
      </c>
      <c r="I94" s="405">
        <f>IFERROR(__xludf.DUMMYFUNCTION("""COMPUTED_VALUE"""),0.0)</f>
        <v>0</v>
      </c>
      <c r="J94" s="405">
        <f>IFERROR(__xludf.DUMMYFUNCTION("""COMPUTED_VALUE"""),0.0)</f>
        <v>0</v>
      </c>
      <c r="K94" s="405">
        <f>IFERROR(__xludf.DUMMYFUNCTION("""COMPUTED_VALUE"""),0.0)</f>
        <v>0</v>
      </c>
      <c r="L94" s="405">
        <f>IFERROR(__xludf.DUMMYFUNCTION("""COMPUTED_VALUE"""),0.0)</f>
        <v>0</v>
      </c>
      <c r="M94" s="405">
        <f>IFERROR(__xludf.DUMMYFUNCTION("""COMPUTED_VALUE"""),0.0)</f>
        <v>0</v>
      </c>
      <c r="N94" s="405">
        <f>IFERROR(__xludf.DUMMYFUNCTION("""COMPUTED_VALUE"""),0.0)</f>
        <v>0</v>
      </c>
      <c r="O94" s="405">
        <f>IFERROR(__xludf.DUMMYFUNCTION("""COMPUTED_VALUE"""),0.0)</f>
        <v>0</v>
      </c>
      <c r="P94" s="405">
        <f>IFERROR(__xludf.DUMMYFUNCTION("""COMPUTED_VALUE"""),0.0)</f>
        <v>0</v>
      </c>
      <c r="Q94" s="405">
        <f>IFERROR(__xludf.DUMMYFUNCTION("""COMPUTED_VALUE"""),0.0)</f>
        <v>0</v>
      </c>
      <c r="R94" s="405">
        <f>IFERROR(__xludf.DUMMYFUNCTION("""COMPUTED_VALUE"""),0.0)</f>
        <v>0</v>
      </c>
      <c r="S94" s="405">
        <f>IFERROR(__xludf.DUMMYFUNCTION("""COMPUTED_VALUE"""),0.0)</f>
        <v>0</v>
      </c>
      <c r="T94" s="405">
        <f>IFERROR(__xludf.DUMMYFUNCTION("""COMPUTED_VALUE"""),0.0)</f>
        <v>0</v>
      </c>
      <c r="U94" s="405">
        <f>IFERROR(__xludf.DUMMYFUNCTION("""COMPUTED_VALUE"""),0.0)</f>
        <v>0</v>
      </c>
      <c r="V94" s="405">
        <f>IFERROR(__xludf.DUMMYFUNCTION("""COMPUTED_VALUE"""),0.0)</f>
        <v>0</v>
      </c>
      <c r="W94" s="65"/>
      <c r="X94" s="65"/>
    </row>
    <row r="95" ht="14.25" customHeight="1">
      <c r="A95" s="366">
        <f t="shared" si="2"/>
        <v>91</v>
      </c>
      <c r="B95" s="418"/>
      <c r="C95" s="400"/>
      <c r="D95" s="416" t="s">
        <v>856</v>
      </c>
      <c r="E95" s="388">
        <f>IFERROR(__xludf.DUMMYFUNCTION("""COMPUTED_VALUE"""),0.0)</f>
        <v>0</v>
      </c>
      <c r="F95" s="388">
        <f>IFERROR(__xludf.DUMMYFUNCTION("""COMPUTED_VALUE"""),0.0)</f>
        <v>0</v>
      </c>
      <c r="G95" s="388">
        <f>IFERROR(__xludf.DUMMYFUNCTION("""COMPUTED_VALUE"""),0.0)</f>
        <v>0</v>
      </c>
      <c r="H95" s="388">
        <f>IFERROR(__xludf.DUMMYFUNCTION("""COMPUTED_VALUE"""),0.0)</f>
        <v>0</v>
      </c>
      <c r="I95" s="388">
        <f>IFERROR(__xludf.DUMMYFUNCTION("""COMPUTED_VALUE"""),0.0)</f>
        <v>0</v>
      </c>
      <c r="J95" s="388">
        <f>IFERROR(__xludf.DUMMYFUNCTION("""COMPUTED_VALUE"""),0.0)</f>
        <v>0</v>
      </c>
      <c r="K95" s="388">
        <f>IFERROR(__xludf.DUMMYFUNCTION("""COMPUTED_VALUE"""),0.0)</f>
        <v>0</v>
      </c>
      <c r="L95" s="388">
        <f>IFERROR(__xludf.DUMMYFUNCTION("""COMPUTED_VALUE"""),0.0)</f>
        <v>0</v>
      </c>
      <c r="M95" s="388">
        <f>IFERROR(__xludf.DUMMYFUNCTION("""COMPUTED_VALUE"""),0.0)</f>
        <v>0</v>
      </c>
      <c r="N95" s="388">
        <f>IFERROR(__xludf.DUMMYFUNCTION("""COMPUTED_VALUE"""),0.0)</f>
        <v>0</v>
      </c>
      <c r="O95" s="388">
        <f>IFERROR(__xludf.DUMMYFUNCTION("""COMPUTED_VALUE"""),0.0)</f>
        <v>0</v>
      </c>
      <c r="P95" s="388">
        <f>IFERROR(__xludf.DUMMYFUNCTION("""COMPUTED_VALUE"""),0.0)</f>
        <v>0</v>
      </c>
      <c r="Q95" s="388">
        <f>IFERROR(__xludf.DUMMYFUNCTION("""COMPUTED_VALUE"""),0.0)</f>
        <v>0</v>
      </c>
      <c r="R95" s="388">
        <f>IFERROR(__xludf.DUMMYFUNCTION("""COMPUTED_VALUE"""),0.0)</f>
        <v>0</v>
      </c>
      <c r="S95" s="388">
        <f>IFERROR(__xludf.DUMMYFUNCTION("""COMPUTED_VALUE"""),0.0)</f>
        <v>0</v>
      </c>
      <c r="T95" s="388">
        <f>IFERROR(__xludf.DUMMYFUNCTION("""COMPUTED_VALUE"""),0.0)</f>
        <v>0</v>
      </c>
      <c r="U95" s="388">
        <f>IFERROR(__xludf.DUMMYFUNCTION("""COMPUTED_VALUE"""),0.0)</f>
        <v>0</v>
      </c>
      <c r="V95" s="389">
        <f>IFERROR(__xludf.DUMMYFUNCTION("""COMPUTED_VALUE"""),0.0)</f>
        <v>0</v>
      </c>
      <c r="W95" s="65"/>
      <c r="X95" s="65"/>
    </row>
    <row r="96" ht="14.25" customHeight="1">
      <c r="A96" s="366">
        <f t="shared" si="2"/>
        <v>92</v>
      </c>
      <c r="B96" s="418"/>
      <c r="C96" s="400"/>
      <c r="D96" s="416" t="s">
        <v>857</v>
      </c>
      <c r="E96" s="388">
        <f>IFERROR(__xludf.DUMMYFUNCTION("""COMPUTED_VALUE"""),0.0)</f>
        <v>0</v>
      </c>
      <c r="F96" s="388">
        <f>IFERROR(__xludf.DUMMYFUNCTION("""COMPUTED_VALUE"""),0.0)</f>
        <v>0</v>
      </c>
      <c r="G96" s="388">
        <f>IFERROR(__xludf.DUMMYFUNCTION("""COMPUTED_VALUE"""),0.0)</f>
        <v>0</v>
      </c>
      <c r="H96" s="388">
        <f>IFERROR(__xludf.DUMMYFUNCTION("""COMPUTED_VALUE"""),0.0)</f>
        <v>0</v>
      </c>
      <c r="I96" s="388">
        <f>IFERROR(__xludf.DUMMYFUNCTION("""COMPUTED_VALUE"""),0.0)</f>
        <v>0</v>
      </c>
      <c r="J96" s="388">
        <f>IFERROR(__xludf.DUMMYFUNCTION("""COMPUTED_VALUE"""),0.0)</f>
        <v>0</v>
      </c>
      <c r="K96" s="388">
        <f>IFERROR(__xludf.DUMMYFUNCTION("""COMPUTED_VALUE"""),0.0)</f>
        <v>0</v>
      </c>
      <c r="L96" s="388">
        <f>IFERROR(__xludf.DUMMYFUNCTION("""COMPUTED_VALUE"""),0.0)</f>
        <v>0</v>
      </c>
      <c r="M96" s="388">
        <f>IFERROR(__xludf.DUMMYFUNCTION("""COMPUTED_VALUE"""),0.0)</f>
        <v>0</v>
      </c>
      <c r="N96" s="388">
        <f>IFERROR(__xludf.DUMMYFUNCTION("""COMPUTED_VALUE"""),0.0)</f>
        <v>0</v>
      </c>
      <c r="O96" s="388">
        <f>IFERROR(__xludf.DUMMYFUNCTION("""COMPUTED_VALUE"""),0.0)</f>
        <v>0</v>
      </c>
      <c r="P96" s="388">
        <f>IFERROR(__xludf.DUMMYFUNCTION("""COMPUTED_VALUE"""),0.0)</f>
        <v>0</v>
      </c>
      <c r="Q96" s="388">
        <f>IFERROR(__xludf.DUMMYFUNCTION("""COMPUTED_VALUE"""),0.0)</f>
        <v>0</v>
      </c>
      <c r="R96" s="388">
        <f>IFERROR(__xludf.DUMMYFUNCTION("""COMPUTED_VALUE"""),0.0)</f>
        <v>0</v>
      </c>
      <c r="S96" s="388">
        <f>IFERROR(__xludf.DUMMYFUNCTION("""COMPUTED_VALUE"""),0.0)</f>
        <v>0</v>
      </c>
      <c r="T96" s="388">
        <f>IFERROR(__xludf.DUMMYFUNCTION("""COMPUTED_VALUE"""),0.0)</f>
        <v>0</v>
      </c>
      <c r="U96" s="388">
        <f>IFERROR(__xludf.DUMMYFUNCTION("""COMPUTED_VALUE"""),0.0)</f>
        <v>0</v>
      </c>
      <c r="V96" s="389">
        <f>IFERROR(__xludf.DUMMYFUNCTION("""COMPUTED_VALUE"""),0.0)</f>
        <v>0</v>
      </c>
      <c r="W96" s="65"/>
      <c r="X96" s="65"/>
    </row>
    <row r="97" ht="14.25" customHeight="1">
      <c r="A97" s="366">
        <f t="shared" si="2"/>
        <v>93</v>
      </c>
      <c r="B97" s="418"/>
      <c r="C97" s="400"/>
      <c r="D97" s="416" t="s">
        <v>858</v>
      </c>
      <c r="E97" s="388">
        <f>IFERROR(__xludf.DUMMYFUNCTION("""COMPUTED_VALUE"""),0.0)</f>
        <v>0</v>
      </c>
      <c r="F97" s="388">
        <f>IFERROR(__xludf.DUMMYFUNCTION("""COMPUTED_VALUE"""),0.0)</f>
        <v>0</v>
      </c>
      <c r="G97" s="388">
        <f>IFERROR(__xludf.DUMMYFUNCTION("""COMPUTED_VALUE"""),0.0)</f>
        <v>0</v>
      </c>
      <c r="H97" s="388">
        <f>IFERROR(__xludf.DUMMYFUNCTION("""COMPUTED_VALUE"""),0.0)</f>
        <v>0</v>
      </c>
      <c r="I97" s="388">
        <f>IFERROR(__xludf.DUMMYFUNCTION("""COMPUTED_VALUE"""),0.0)</f>
        <v>0</v>
      </c>
      <c r="J97" s="388">
        <f>IFERROR(__xludf.DUMMYFUNCTION("""COMPUTED_VALUE"""),0.0)</f>
        <v>0</v>
      </c>
      <c r="K97" s="388">
        <f>IFERROR(__xludf.DUMMYFUNCTION("""COMPUTED_VALUE"""),0.0)</f>
        <v>0</v>
      </c>
      <c r="L97" s="388">
        <f>IFERROR(__xludf.DUMMYFUNCTION("""COMPUTED_VALUE"""),0.0)</f>
        <v>0</v>
      </c>
      <c r="M97" s="388">
        <f>IFERROR(__xludf.DUMMYFUNCTION("""COMPUTED_VALUE"""),0.0)</f>
        <v>0</v>
      </c>
      <c r="N97" s="388">
        <f>IFERROR(__xludf.DUMMYFUNCTION("""COMPUTED_VALUE"""),0.0)</f>
        <v>0</v>
      </c>
      <c r="O97" s="388">
        <f>IFERROR(__xludf.DUMMYFUNCTION("""COMPUTED_VALUE"""),0.0)</f>
        <v>0</v>
      </c>
      <c r="P97" s="388">
        <f>IFERROR(__xludf.DUMMYFUNCTION("""COMPUTED_VALUE"""),0.0)</f>
        <v>0</v>
      </c>
      <c r="Q97" s="388">
        <f>IFERROR(__xludf.DUMMYFUNCTION("""COMPUTED_VALUE"""),0.0)</f>
        <v>0</v>
      </c>
      <c r="R97" s="388">
        <f>IFERROR(__xludf.DUMMYFUNCTION("""COMPUTED_VALUE"""),0.0)</f>
        <v>0</v>
      </c>
      <c r="S97" s="388">
        <f>IFERROR(__xludf.DUMMYFUNCTION("""COMPUTED_VALUE"""),0.0)</f>
        <v>0</v>
      </c>
      <c r="T97" s="388">
        <f>IFERROR(__xludf.DUMMYFUNCTION("""COMPUTED_VALUE"""),0.0)</f>
        <v>0</v>
      </c>
      <c r="U97" s="388">
        <f>IFERROR(__xludf.DUMMYFUNCTION("""COMPUTED_VALUE"""),0.0)</f>
        <v>0</v>
      </c>
      <c r="V97" s="389">
        <f>IFERROR(__xludf.DUMMYFUNCTION("""COMPUTED_VALUE"""),0.0)</f>
        <v>0</v>
      </c>
      <c r="W97" s="65"/>
      <c r="X97" s="65"/>
    </row>
    <row r="98" ht="14.25" customHeight="1">
      <c r="A98" s="366">
        <f t="shared" si="2"/>
        <v>94</v>
      </c>
      <c r="B98" s="418"/>
      <c r="C98" s="400"/>
      <c r="D98" s="416" t="s">
        <v>859</v>
      </c>
      <c r="E98" s="388">
        <f>IFERROR(__xludf.DUMMYFUNCTION("""COMPUTED_VALUE"""),0.0)</f>
        <v>0</v>
      </c>
      <c r="F98" s="388">
        <f>IFERROR(__xludf.DUMMYFUNCTION("""COMPUTED_VALUE"""),0.0)</f>
        <v>0</v>
      </c>
      <c r="G98" s="388">
        <f>IFERROR(__xludf.DUMMYFUNCTION("""COMPUTED_VALUE"""),0.0)</f>
        <v>0</v>
      </c>
      <c r="H98" s="388">
        <f>IFERROR(__xludf.DUMMYFUNCTION("""COMPUTED_VALUE"""),0.0)</f>
        <v>0</v>
      </c>
      <c r="I98" s="388">
        <f>IFERROR(__xludf.DUMMYFUNCTION("""COMPUTED_VALUE"""),0.0)</f>
        <v>0</v>
      </c>
      <c r="J98" s="388">
        <f>IFERROR(__xludf.DUMMYFUNCTION("""COMPUTED_VALUE"""),0.0)</f>
        <v>0</v>
      </c>
      <c r="K98" s="388">
        <f>IFERROR(__xludf.DUMMYFUNCTION("""COMPUTED_VALUE"""),0.0)</f>
        <v>0</v>
      </c>
      <c r="L98" s="388">
        <f>IFERROR(__xludf.DUMMYFUNCTION("""COMPUTED_VALUE"""),0.0)</f>
        <v>0</v>
      </c>
      <c r="M98" s="388">
        <f>IFERROR(__xludf.DUMMYFUNCTION("""COMPUTED_VALUE"""),0.0)</f>
        <v>0</v>
      </c>
      <c r="N98" s="388">
        <f>IFERROR(__xludf.DUMMYFUNCTION("""COMPUTED_VALUE"""),0.0)</f>
        <v>0</v>
      </c>
      <c r="O98" s="388">
        <f>IFERROR(__xludf.DUMMYFUNCTION("""COMPUTED_VALUE"""),0.0)</f>
        <v>0</v>
      </c>
      <c r="P98" s="388">
        <f>IFERROR(__xludf.DUMMYFUNCTION("""COMPUTED_VALUE"""),0.0)</f>
        <v>0</v>
      </c>
      <c r="Q98" s="388">
        <f>IFERROR(__xludf.DUMMYFUNCTION("""COMPUTED_VALUE"""),0.0)</f>
        <v>0</v>
      </c>
      <c r="R98" s="388">
        <f>IFERROR(__xludf.DUMMYFUNCTION("""COMPUTED_VALUE"""),0.0)</f>
        <v>0</v>
      </c>
      <c r="S98" s="388">
        <f>IFERROR(__xludf.DUMMYFUNCTION("""COMPUTED_VALUE"""),0.0)</f>
        <v>0</v>
      </c>
      <c r="T98" s="388">
        <f>IFERROR(__xludf.DUMMYFUNCTION("""COMPUTED_VALUE"""),0.0)</f>
        <v>0</v>
      </c>
      <c r="U98" s="388">
        <f>IFERROR(__xludf.DUMMYFUNCTION("""COMPUTED_VALUE"""),0.0)</f>
        <v>0</v>
      </c>
      <c r="V98" s="389">
        <f>IFERROR(__xludf.DUMMYFUNCTION("""COMPUTED_VALUE"""),0.0)</f>
        <v>0</v>
      </c>
      <c r="W98" s="65"/>
      <c r="X98" s="65"/>
    </row>
    <row r="99" ht="14.25" customHeight="1">
      <c r="A99" s="366">
        <f t="shared" si="2"/>
        <v>95</v>
      </c>
      <c r="B99" s="421" t="s">
        <v>860</v>
      </c>
      <c r="C99" s="422"/>
      <c r="D99" s="422"/>
      <c r="E99" s="405">
        <f>IFERROR(__xludf.DUMMYFUNCTION("""COMPUTED_VALUE"""),0.0)</f>
        <v>0</v>
      </c>
      <c r="F99" s="405">
        <f>IFERROR(__xludf.DUMMYFUNCTION("""COMPUTED_VALUE"""),0.0)</f>
        <v>0</v>
      </c>
      <c r="G99" s="405">
        <f>IFERROR(__xludf.DUMMYFUNCTION("""COMPUTED_VALUE"""),0.0)</f>
        <v>0</v>
      </c>
      <c r="H99" s="405">
        <f>IFERROR(__xludf.DUMMYFUNCTION("""COMPUTED_VALUE"""),0.0)</f>
        <v>0</v>
      </c>
      <c r="I99" s="405">
        <f>IFERROR(__xludf.DUMMYFUNCTION("""COMPUTED_VALUE"""),0.0)</f>
        <v>0</v>
      </c>
      <c r="J99" s="405">
        <f>IFERROR(__xludf.DUMMYFUNCTION("""COMPUTED_VALUE"""),0.0)</f>
        <v>0</v>
      </c>
      <c r="K99" s="405">
        <f>IFERROR(__xludf.DUMMYFUNCTION("""COMPUTED_VALUE"""),0.0)</f>
        <v>0</v>
      </c>
      <c r="L99" s="405">
        <f>IFERROR(__xludf.DUMMYFUNCTION("""COMPUTED_VALUE"""),0.0)</f>
        <v>0</v>
      </c>
      <c r="M99" s="405">
        <f>IFERROR(__xludf.DUMMYFUNCTION("""COMPUTED_VALUE"""),0.0)</f>
        <v>0</v>
      </c>
      <c r="N99" s="405">
        <f>IFERROR(__xludf.DUMMYFUNCTION("""COMPUTED_VALUE"""),0.0)</f>
        <v>0</v>
      </c>
      <c r="O99" s="405">
        <f>IFERROR(__xludf.DUMMYFUNCTION("""COMPUTED_VALUE"""),0.0)</f>
        <v>0</v>
      </c>
      <c r="P99" s="405">
        <f>IFERROR(__xludf.DUMMYFUNCTION("""COMPUTED_VALUE"""),0.0)</f>
        <v>0</v>
      </c>
      <c r="Q99" s="405">
        <f>IFERROR(__xludf.DUMMYFUNCTION("""COMPUTED_VALUE"""),0.0)</f>
        <v>0</v>
      </c>
      <c r="R99" s="405">
        <f>IFERROR(__xludf.DUMMYFUNCTION("""COMPUTED_VALUE"""),0.0)</f>
        <v>0</v>
      </c>
      <c r="S99" s="405">
        <f>IFERROR(__xludf.DUMMYFUNCTION("""COMPUTED_VALUE"""),0.0)</f>
        <v>0</v>
      </c>
      <c r="T99" s="405">
        <f>IFERROR(__xludf.DUMMYFUNCTION("""COMPUTED_VALUE"""),0.0)</f>
        <v>0</v>
      </c>
      <c r="U99" s="405">
        <f>IFERROR(__xludf.DUMMYFUNCTION("""COMPUTED_VALUE"""),0.0)</f>
        <v>0</v>
      </c>
      <c r="V99" s="405">
        <f>IFERROR(__xludf.DUMMYFUNCTION("""COMPUTED_VALUE"""),0.0)</f>
        <v>0</v>
      </c>
      <c r="W99" s="65"/>
      <c r="X99" s="65"/>
    </row>
    <row r="100" ht="14.25" customHeight="1">
      <c r="A100" s="366">
        <f t="shared" si="2"/>
        <v>96</v>
      </c>
      <c r="B100" s="423" t="s">
        <v>861</v>
      </c>
      <c r="C100" s="424"/>
      <c r="D100" s="424"/>
      <c r="E100" s="425">
        <f>IFERROR(__xludf.DUMMYFUNCTION("""COMPUTED_VALUE"""),0.0)</f>
        <v>0</v>
      </c>
      <c r="F100" s="425">
        <f>IFERROR(__xludf.DUMMYFUNCTION("""COMPUTED_VALUE"""),0.0)</f>
        <v>0</v>
      </c>
      <c r="G100" s="425">
        <f>IFERROR(__xludf.DUMMYFUNCTION("""COMPUTED_VALUE"""),0.0)</f>
        <v>0</v>
      </c>
      <c r="H100" s="425">
        <f>IFERROR(__xludf.DUMMYFUNCTION("""COMPUTED_VALUE"""),0.0)</f>
        <v>0</v>
      </c>
      <c r="I100" s="425">
        <f>IFERROR(__xludf.DUMMYFUNCTION("""COMPUTED_VALUE"""),1.86732056E8)</f>
        <v>186732056</v>
      </c>
      <c r="J100" s="425">
        <f>IFERROR(__xludf.DUMMYFUNCTION("""COMPUTED_VALUE"""),0.0)</f>
        <v>0</v>
      </c>
      <c r="K100" s="425">
        <f>IFERROR(__xludf.DUMMYFUNCTION("""COMPUTED_VALUE"""),0.0)</f>
        <v>0</v>
      </c>
      <c r="L100" s="425">
        <f>IFERROR(__xludf.DUMMYFUNCTION("""COMPUTED_VALUE"""),0.0)</f>
        <v>0</v>
      </c>
      <c r="M100" s="425">
        <f>IFERROR(__xludf.DUMMYFUNCTION("""COMPUTED_VALUE"""),0.0)</f>
        <v>0</v>
      </c>
      <c r="N100" s="425">
        <f>IFERROR(__xludf.DUMMYFUNCTION("""COMPUTED_VALUE"""),0.0)</f>
        <v>0</v>
      </c>
      <c r="O100" s="425">
        <f>IFERROR(__xludf.DUMMYFUNCTION("""COMPUTED_VALUE"""),5.17166375E8)</f>
        <v>517166375</v>
      </c>
      <c r="P100" s="425">
        <f>IFERROR(__xludf.DUMMYFUNCTION("""COMPUTED_VALUE"""),0.0)</f>
        <v>0</v>
      </c>
      <c r="Q100" s="425">
        <f>IFERROR(__xludf.DUMMYFUNCTION("""COMPUTED_VALUE"""),0.0)</f>
        <v>0</v>
      </c>
      <c r="R100" s="425">
        <f>IFERROR(__xludf.DUMMYFUNCTION("""COMPUTED_VALUE"""),0.0)</f>
        <v>0</v>
      </c>
      <c r="S100" s="425">
        <f>IFERROR(__xludf.DUMMYFUNCTION("""COMPUTED_VALUE"""),0.0)</f>
        <v>0</v>
      </c>
      <c r="T100" s="425">
        <f>IFERROR(__xludf.DUMMYFUNCTION("""COMPUTED_VALUE"""),0.0)</f>
        <v>0</v>
      </c>
      <c r="U100" s="425">
        <f>IFERROR(__xludf.DUMMYFUNCTION("""COMPUTED_VALUE"""),4961480.0)</f>
        <v>4961480</v>
      </c>
      <c r="V100" s="425">
        <f>IFERROR(__xludf.DUMMYFUNCTION("""COMPUTED_VALUE"""),7.08859911E8)</f>
        <v>708859911</v>
      </c>
      <c r="W100" s="65"/>
      <c r="X100" s="65"/>
    </row>
    <row r="101" ht="14.25" customHeight="1">
      <c r="A101" s="366">
        <f t="shared" si="2"/>
        <v>97</v>
      </c>
      <c r="B101" s="415" t="s">
        <v>862</v>
      </c>
      <c r="C101" s="400"/>
      <c r="D101" s="416" t="s">
        <v>863</v>
      </c>
      <c r="E101" s="388">
        <f>IFERROR(__xludf.DUMMYFUNCTION("""COMPUTED_VALUE"""),0.0)</f>
        <v>0</v>
      </c>
      <c r="F101" s="388">
        <f>IFERROR(__xludf.DUMMYFUNCTION("""COMPUTED_VALUE"""),0.0)</f>
        <v>0</v>
      </c>
      <c r="G101" s="388">
        <f>IFERROR(__xludf.DUMMYFUNCTION("""COMPUTED_VALUE"""),0.0)</f>
        <v>0</v>
      </c>
      <c r="H101" s="388">
        <f>IFERROR(__xludf.DUMMYFUNCTION("""COMPUTED_VALUE"""),0.0)</f>
        <v>0</v>
      </c>
      <c r="I101" s="388">
        <f>IFERROR(__xludf.DUMMYFUNCTION("""COMPUTED_VALUE"""),0.0)</f>
        <v>0</v>
      </c>
      <c r="J101" s="388">
        <f>IFERROR(__xludf.DUMMYFUNCTION("""COMPUTED_VALUE"""),0.0)</f>
        <v>0</v>
      </c>
      <c r="K101" s="388">
        <f>IFERROR(__xludf.DUMMYFUNCTION("""COMPUTED_VALUE"""),0.0)</f>
        <v>0</v>
      </c>
      <c r="L101" s="388">
        <f>IFERROR(__xludf.DUMMYFUNCTION("""COMPUTED_VALUE"""),0.0)</f>
        <v>0</v>
      </c>
      <c r="M101" s="388">
        <f>IFERROR(__xludf.DUMMYFUNCTION("""COMPUTED_VALUE"""),0.0)</f>
        <v>0</v>
      </c>
      <c r="N101" s="388">
        <f>IFERROR(__xludf.DUMMYFUNCTION("""COMPUTED_VALUE"""),0.0)</f>
        <v>0</v>
      </c>
      <c r="O101" s="388">
        <f>IFERROR(__xludf.DUMMYFUNCTION("""COMPUTED_VALUE"""),0.0)</f>
        <v>0</v>
      </c>
      <c r="P101" s="388">
        <f>IFERROR(__xludf.DUMMYFUNCTION("""COMPUTED_VALUE"""),0.0)</f>
        <v>0</v>
      </c>
      <c r="Q101" s="388">
        <f>IFERROR(__xludf.DUMMYFUNCTION("""COMPUTED_VALUE"""),0.0)</f>
        <v>0</v>
      </c>
      <c r="R101" s="388">
        <f>IFERROR(__xludf.DUMMYFUNCTION("""COMPUTED_VALUE"""),0.0)</f>
        <v>0</v>
      </c>
      <c r="S101" s="388">
        <f>IFERROR(__xludf.DUMMYFUNCTION("""COMPUTED_VALUE"""),0.0)</f>
        <v>0</v>
      </c>
      <c r="T101" s="388">
        <f>IFERROR(__xludf.DUMMYFUNCTION("""COMPUTED_VALUE"""),0.0)</f>
        <v>0</v>
      </c>
      <c r="U101" s="388">
        <f>IFERROR(__xludf.DUMMYFUNCTION("""COMPUTED_VALUE"""),0.0)</f>
        <v>0</v>
      </c>
      <c r="V101" s="389">
        <f>IFERROR(__xludf.DUMMYFUNCTION("""COMPUTED_VALUE"""),0.0)</f>
        <v>0</v>
      </c>
      <c r="W101" s="65"/>
      <c r="X101" s="65"/>
    </row>
    <row r="102" ht="14.25" customHeight="1">
      <c r="A102" s="366">
        <f t="shared" si="2"/>
        <v>98</v>
      </c>
      <c r="B102" s="419" t="s">
        <v>864</v>
      </c>
      <c r="C102" s="420"/>
      <c r="D102" s="420"/>
      <c r="E102" s="405">
        <f>IFERROR(__xludf.DUMMYFUNCTION("""COMPUTED_VALUE"""),0.0)</f>
        <v>0</v>
      </c>
      <c r="F102" s="405">
        <f>IFERROR(__xludf.DUMMYFUNCTION("""COMPUTED_VALUE"""),0.0)</f>
        <v>0</v>
      </c>
      <c r="G102" s="405">
        <f>IFERROR(__xludf.DUMMYFUNCTION("""COMPUTED_VALUE"""),0.0)</f>
        <v>0</v>
      </c>
      <c r="H102" s="405">
        <f>IFERROR(__xludf.DUMMYFUNCTION("""COMPUTED_VALUE"""),0.0)</f>
        <v>0</v>
      </c>
      <c r="I102" s="405">
        <f>IFERROR(__xludf.DUMMYFUNCTION("""COMPUTED_VALUE"""),0.0)</f>
        <v>0</v>
      </c>
      <c r="J102" s="405">
        <f>IFERROR(__xludf.DUMMYFUNCTION("""COMPUTED_VALUE"""),0.0)</f>
        <v>0</v>
      </c>
      <c r="K102" s="405">
        <f>IFERROR(__xludf.DUMMYFUNCTION("""COMPUTED_VALUE"""),0.0)</f>
        <v>0</v>
      </c>
      <c r="L102" s="405">
        <f>IFERROR(__xludf.DUMMYFUNCTION("""COMPUTED_VALUE"""),0.0)</f>
        <v>0</v>
      </c>
      <c r="M102" s="405">
        <f>IFERROR(__xludf.DUMMYFUNCTION("""COMPUTED_VALUE"""),0.0)</f>
        <v>0</v>
      </c>
      <c r="N102" s="405">
        <f>IFERROR(__xludf.DUMMYFUNCTION("""COMPUTED_VALUE"""),0.0)</f>
        <v>0</v>
      </c>
      <c r="O102" s="405">
        <f>IFERROR(__xludf.DUMMYFUNCTION("""COMPUTED_VALUE"""),0.0)</f>
        <v>0</v>
      </c>
      <c r="P102" s="405">
        <f>IFERROR(__xludf.DUMMYFUNCTION("""COMPUTED_VALUE"""),0.0)</f>
        <v>0</v>
      </c>
      <c r="Q102" s="405">
        <f>IFERROR(__xludf.DUMMYFUNCTION("""COMPUTED_VALUE"""),0.0)</f>
        <v>0</v>
      </c>
      <c r="R102" s="405">
        <f>IFERROR(__xludf.DUMMYFUNCTION("""COMPUTED_VALUE"""),0.0)</f>
        <v>0</v>
      </c>
      <c r="S102" s="405">
        <f>IFERROR(__xludf.DUMMYFUNCTION("""COMPUTED_VALUE"""),0.0)</f>
        <v>0</v>
      </c>
      <c r="T102" s="405">
        <f>IFERROR(__xludf.DUMMYFUNCTION("""COMPUTED_VALUE"""),0.0)</f>
        <v>0</v>
      </c>
      <c r="U102" s="405">
        <f>IFERROR(__xludf.DUMMYFUNCTION("""COMPUTED_VALUE"""),0.0)</f>
        <v>0</v>
      </c>
      <c r="V102" s="405">
        <f>IFERROR(__xludf.DUMMYFUNCTION("""COMPUTED_VALUE"""),0.0)</f>
        <v>0</v>
      </c>
      <c r="W102" s="65"/>
      <c r="X102" s="65"/>
    </row>
    <row r="103" ht="14.25" customHeight="1">
      <c r="A103" s="366">
        <f t="shared" si="2"/>
        <v>99</v>
      </c>
      <c r="B103" s="415" t="s">
        <v>164</v>
      </c>
      <c r="C103" s="391" t="s">
        <v>1023</v>
      </c>
      <c r="D103" s="416" t="s">
        <v>165</v>
      </c>
      <c r="E103" s="388">
        <f>IFERROR(__xludf.DUMMYFUNCTION("""COMPUTED_VALUE"""),0.0)</f>
        <v>0</v>
      </c>
      <c r="F103" s="388">
        <f>IFERROR(__xludf.DUMMYFUNCTION("""COMPUTED_VALUE"""),0.0)</f>
        <v>0</v>
      </c>
      <c r="G103" s="388">
        <f>IFERROR(__xludf.DUMMYFUNCTION("""COMPUTED_VALUE"""),0.0)</f>
        <v>0</v>
      </c>
      <c r="H103" s="388">
        <f>IFERROR(__xludf.DUMMYFUNCTION("""COMPUTED_VALUE"""),0.0)</f>
        <v>0</v>
      </c>
      <c r="I103" s="388">
        <f>IFERROR(__xludf.DUMMYFUNCTION("""COMPUTED_VALUE"""),0.0)</f>
        <v>0</v>
      </c>
      <c r="J103" s="388">
        <f>IFERROR(__xludf.DUMMYFUNCTION("""COMPUTED_VALUE"""),0.0)</f>
        <v>0</v>
      </c>
      <c r="K103" s="388">
        <f>IFERROR(__xludf.DUMMYFUNCTION("""COMPUTED_VALUE"""),0.0)</f>
        <v>0</v>
      </c>
      <c r="L103" s="388">
        <f>IFERROR(__xludf.DUMMYFUNCTION("""COMPUTED_VALUE"""),0.0)</f>
        <v>0</v>
      </c>
      <c r="M103" s="388">
        <f>IFERROR(__xludf.DUMMYFUNCTION("""COMPUTED_VALUE"""),0.0)</f>
        <v>0</v>
      </c>
      <c r="N103" s="388">
        <f>IFERROR(__xludf.DUMMYFUNCTION("""COMPUTED_VALUE"""),0.0)</f>
        <v>0</v>
      </c>
      <c r="O103" s="388">
        <f>IFERROR(__xludf.DUMMYFUNCTION("""COMPUTED_VALUE"""),0.0)</f>
        <v>0</v>
      </c>
      <c r="P103" s="388">
        <f>IFERROR(__xludf.DUMMYFUNCTION("""COMPUTED_VALUE"""),0.0)</f>
        <v>0</v>
      </c>
      <c r="Q103" s="388">
        <f>IFERROR(__xludf.DUMMYFUNCTION("""COMPUTED_VALUE"""),0.0)</f>
        <v>0</v>
      </c>
      <c r="R103" s="388">
        <f>IFERROR(__xludf.DUMMYFUNCTION("""COMPUTED_VALUE"""),0.0)</f>
        <v>0</v>
      </c>
      <c r="S103" s="388">
        <f>IFERROR(__xludf.DUMMYFUNCTION("""COMPUTED_VALUE"""),0.0)</f>
        <v>0</v>
      </c>
      <c r="T103" s="388">
        <f>IFERROR(__xludf.DUMMYFUNCTION("""COMPUTED_VALUE"""),0.0)</f>
        <v>0</v>
      </c>
      <c r="U103" s="388">
        <f>IFERROR(__xludf.DUMMYFUNCTION("""COMPUTED_VALUE"""),0.0)</f>
        <v>0</v>
      </c>
      <c r="V103" s="389">
        <f>IFERROR(__xludf.DUMMYFUNCTION("""COMPUTED_VALUE"""),0.0)</f>
        <v>0</v>
      </c>
      <c r="W103" s="65"/>
      <c r="X103" s="65"/>
    </row>
    <row r="104" ht="14.25" customHeight="1">
      <c r="A104" s="366">
        <f t="shared" si="2"/>
        <v>100</v>
      </c>
      <c r="B104" s="414" t="s">
        <v>865</v>
      </c>
      <c r="C104" s="382"/>
      <c r="D104" s="387" t="s">
        <v>866</v>
      </c>
      <c r="E104" s="388">
        <f>IFERROR(__xludf.DUMMYFUNCTION("""COMPUTED_VALUE"""),0.0)</f>
        <v>0</v>
      </c>
      <c r="F104" s="388">
        <f>IFERROR(__xludf.DUMMYFUNCTION("""COMPUTED_VALUE"""),0.0)</f>
        <v>0</v>
      </c>
      <c r="G104" s="388">
        <f>IFERROR(__xludf.DUMMYFUNCTION("""COMPUTED_VALUE"""),0.0)</f>
        <v>0</v>
      </c>
      <c r="H104" s="388">
        <f>IFERROR(__xludf.DUMMYFUNCTION("""COMPUTED_VALUE"""),0.0)</f>
        <v>0</v>
      </c>
      <c r="I104" s="388">
        <f>IFERROR(__xludf.DUMMYFUNCTION("""COMPUTED_VALUE"""),0.0)</f>
        <v>0</v>
      </c>
      <c r="J104" s="388">
        <f>IFERROR(__xludf.DUMMYFUNCTION("""COMPUTED_VALUE"""),0.0)</f>
        <v>0</v>
      </c>
      <c r="K104" s="388">
        <f>IFERROR(__xludf.DUMMYFUNCTION("""COMPUTED_VALUE"""),0.0)</f>
        <v>0</v>
      </c>
      <c r="L104" s="388">
        <f>IFERROR(__xludf.DUMMYFUNCTION("""COMPUTED_VALUE"""),0.0)</f>
        <v>0</v>
      </c>
      <c r="M104" s="388">
        <f>IFERROR(__xludf.DUMMYFUNCTION("""COMPUTED_VALUE"""),0.0)</f>
        <v>0</v>
      </c>
      <c r="N104" s="388">
        <f>IFERROR(__xludf.DUMMYFUNCTION("""COMPUTED_VALUE"""),0.0)</f>
        <v>0</v>
      </c>
      <c r="O104" s="388">
        <f>IFERROR(__xludf.DUMMYFUNCTION("""COMPUTED_VALUE"""),0.0)</f>
        <v>0</v>
      </c>
      <c r="P104" s="388">
        <f>IFERROR(__xludf.DUMMYFUNCTION("""COMPUTED_VALUE"""),0.0)</f>
        <v>0</v>
      </c>
      <c r="Q104" s="388">
        <f>IFERROR(__xludf.DUMMYFUNCTION("""COMPUTED_VALUE"""),0.0)</f>
        <v>0</v>
      </c>
      <c r="R104" s="388">
        <f>IFERROR(__xludf.DUMMYFUNCTION("""COMPUTED_VALUE"""),0.0)</f>
        <v>0</v>
      </c>
      <c r="S104" s="388">
        <f>IFERROR(__xludf.DUMMYFUNCTION("""COMPUTED_VALUE"""),0.0)</f>
        <v>0</v>
      </c>
      <c r="T104" s="388">
        <f>IFERROR(__xludf.DUMMYFUNCTION("""COMPUTED_VALUE"""),0.0)</f>
        <v>0</v>
      </c>
      <c r="U104" s="388">
        <f>IFERROR(__xludf.DUMMYFUNCTION("""COMPUTED_VALUE"""),0.0)</f>
        <v>0</v>
      </c>
      <c r="V104" s="389">
        <f>IFERROR(__xludf.DUMMYFUNCTION("""COMPUTED_VALUE"""),0.0)</f>
        <v>0</v>
      </c>
      <c r="W104" s="65"/>
      <c r="X104" s="65"/>
    </row>
    <row r="105" ht="14.25" customHeight="1">
      <c r="A105" s="366">
        <f t="shared" si="2"/>
        <v>101</v>
      </c>
      <c r="B105" s="415" t="s">
        <v>867</v>
      </c>
      <c r="C105" s="400"/>
      <c r="D105" s="416" t="s">
        <v>868</v>
      </c>
      <c r="E105" s="388">
        <f>IFERROR(__xludf.DUMMYFUNCTION("""COMPUTED_VALUE"""),0.0)</f>
        <v>0</v>
      </c>
      <c r="F105" s="388">
        <f>IFERROR(__xludf.DUMMYFUNCTION("""COMPUTED_VALUE"""),0.0)</f>
        <v>0</v>
      </c>
      <c r="G105" s="388">
        <f>IFERROR(__xludf.DUMMYFUNCTION("""COMPUTED_VALUE"""),0.0)</f>
        <v>0</v>
      </c>
      <c r="H105" s="388">
        <f>IFERROR(__xludf.DUMMYFUNCTION("""COMPUTED_VALUE"""),0.0)</f>
        <v>0</v>
      </c>
      <c r="I105" s="388">
        <f>IFERROR(__xludf.DUMMYFUNCTION("""COMPUTED_VALUE"""),0.0)</f>
        <v>0</v>
      </c>
      <c r="J105" s="388">
        <f>IFERROR(__xludf.DUMMYFUNCTION("""COMPUTED_VALUE"""),0.0)</f>
        <v>0</v>
      </c>
      <c r="K105" s="388">
        <f>IFERROR(__xludf.DUMMYFUNCTION("""COMPUTED_VALUE"""),0.0)</f>
        <v>0</v>
      </c>
      <c r="L105" s="388">
        <f>IFERROR(__xludf.DUMMYFUNCTION("""COMPUTED_VALUE"""),0.0)</f>
        <v>0</v>
      </c>
      <c r="M105" s="388">
        <f>IFERROR(__xludf.DUMMYFUNCTION("""COMPUTED_VALUE"""),0.0)</f>
        <v>0</v>
      </c>
      <c r="N105" s="388">
        <f>IFERROR(__xludf.DUMMYFUNCTION("""COMPUTED_VALUE"""),0.0)</f>
        <v>0</v>
      </c>
      <c r="O105" s="388">
        <f>IFERROR(__xludf.DUMMYFUNCTION("""COMPUTED_VALUE"""),0.0)</f>
        <v>0</v>
      </c>
      <c r="P105" s="388">
        <f>IFERROR(__xludf.DUMMYFUNCTION("""COMPUTED_VALUE"""),0.0)</f>
        <v>0</v>
      </c>
      <c r="Q105" s="388">
        <f>IFERROR(__xludf.DUMMYFUNCTION("""COMPUTED_VALUE"""),0.0)</f>
        <v>0</v>
      </c>
      <c r="R105" s="388">
        <f>IFERROR(__xludf.DUMMYFUNCTION("""COMPUTED_VALUE"""),0.0)</f>
        <v>0</v>
      </c>
      <c r="S105" s="388">
        <f>IFERROR(__xludf.DUMMYFUNCTION("""COMPUTED_VALUE"""),0.0)</f>
        <v>0</v>
      </c>
      <c r="T105" s="388">
        <f>IFERROR(__xludf.DUMMYFUNCTION("""COMPUTED_VALUE"""),0.0)</f>
        <v>0</v>
      </c>
      <c r="U105" s="388">
        <f>IFERROR(__xludf.DUMMYFUNCTION("""COMPUTED_VALUE"""),0.0)</f>
        <v>0</v>
      </c>
      <c r="V105" s="389">
        <f>IFERROR(__xludf.DUMMYFUNCTION("""COMPUTED_VALUE"""),0.0)</f>
        <v>0</v>
      </c>
      <c r="W105" s="65"/>
      <c r="X105" s="65"/>
    </row>
    <row r="106" ht="14.25" customHeight="1">
      <c r="A106" s="366">
        <f t="shared" si="2"/>
        <v>102</v>
      </c>
      <c r="B106" s="415" t="s">
        <v>869</v>
      </c>
      <c r="C106" s="400"/>
      <c r="D106" s="416" t="s">
        <v>870</v>
      </c>
      <c r="E106" s="388">
        <f>IFERROR(__xludf.DUMMYFUNCTION("""COMPUTED_VALUE"""),0.0)</f>
        <v>0</v>
      </c>
      <c r="F106" s="388">
        <f>IFERROR(__xludf.DUMMYFUNCTION("""COMPUTED_VALUE"""),0.0)</f>
        <v>0</v>
      </c>
      <c r="G106" s="388">
        <f>IFERROR(__xludf.DUMMYFUNCTION("""COMPUTED_VALUE"""),0.0)</f>
        <v>0</v>
      </c>
      <c r="H106" s="388">
        <f>IFERROR(__xludf.DUMMYFUNCTION("""COMPUTED_VALUE"""),0.0)</f>
        <v>0</v>
      </c>
      <c r="I106" s="388">
        <f>IFERROR(__xludf.DUMMYFUNCTION("""COMPUTED_VALUE"""),0.0)</f>
        <v>0</v>
      </c>
      <c r="J106" s="388">
        <f>IFERROR(__xludf.DUMMYFUNCTION("""COMPUTED_VALUE"""),0.0)</f>
        <v>0</v>
      </c>
      <c r="K106" s="388">
        <f>IFERROR(__xludf.DUMMYFUNCTION("""COMPUTED_VALUE"""),0.0)</f>
        <v>0</v>
      </c>
      <c r="L106" s="388">
        <f>IFERROR(__xludf.DUMMYFUNCTION("""COMPUTED_VALUE"""),0.0)</f>
        <v>0</v>
      </c>
      <c r="M106" s="388">
        <f>IFERROR(__xludf.DUMMYFUNCTION("""COMPUTED_VALUE"""),0.0)</f>
        <v>0</v>
      </c>
      <c r="N106" s="388">
        <f>IFERROR(__xludf.DUMMYFUNCTION("""COMPUTED_VALUE"""),0.0)</f>
        <v>0</v>
      </c>
      <c r="O106" s="388">
        <f>IFERROR(__xludf.DUMMYFUNCTION("""COMPUTED_VALUE"""),0.0)</f>
        <v>0</v>
      </c>
      <c r="P106" s="388">
        <f>IFERROR(__xludf.DUMMYFUNCTION("""COMPUTED_VALUE"""),0.0)</f>
        <v>0</v>
      </c>
      <c r="Q106" s="388">
        <f>IFERROR(__xludf.DUMMYFUNCTION("""COMPUTED_VALUE"""),0.0)</f>
        <v>0</v>
      </c>
      <c r="R106" s="388">
        <f>IFERROR(__xludf.DUMMYFUNCTION("""COMPUTED_VALUE"""),0.0)</f>
        <v>0</v>
      </c>
      <c r="S106" s="388">
        <f>IFERROR(__xludf.DUMMYFUNCTION("""COMPUTED_VALUE"""),0.0)</f>
        <v>0</v>
      </c>
      <c r="T106" s="388">
        <f>IFERROR(__xludf.DUMMYFUNCTION("""COMPUTED_VALUE"""),0.0)</f>
        <v>0</v>
      </c>
      <c r="U106" s="388">
        <f>IFERROR(__xludf.DUMMYFUNCTION("""COMPUTED_VALUE"""),0.0)</f>
        <v>0</v>
      </c>
      <c r="V106" s="389">
        <f>IFERROR(__xludf.DUMMYFUNCTION("""COMPUTED_VALUE"""),0.0)</f>
        <v>0</v>
      </c>
      <c r="W106" s="65"/>
      <c r="X106" s="65"/>
    </row>
    <row r="107" ht="14.25" customHeight="1">
      <c r="A107" s="366">
        <f t="shared" si="2"/>
        <v>103</v>
      </c>
      <c r="B107" s="419" t="s">
        <v>871</v>
      </c>
      <c r="C107" s="420"/>
      <c r="D107" s="420"/>
      <c r="E107" s="405">
        <f>IFERROR(__xludf.DUMMYFUNCTION("""COMPUTED_VALUE"""),0.0)</f>
        <v>0</v>
      </c>
      <c r="F107" s="405">
        <f>IFERROR(__xludf.DUMMYFUNCTION("""COMPUTED_VALUE"""),0.0)</f>
        <v>0</v>
      </c>
      <c r="G107" s="405">
        <f>IFERROR(__xludf.DUMMYFUNCTION("""COMPUTED_VALUE"""),0.0)</f>
        <v>0</v>
      </c>
      <c r="H107" s="405">
        <f>IFERROR(__xludf.DUMMYFUNCTION("""COMPUTED_VALUE"""),0.0)</f>
        <v>0</v>
      </c>
      <c r="I107" s="405">
        <f>IFERROR(__xludf.DUMMYFUNCTION("""COMPUTED_VALUE"""),0.0)</f>
        <v>0</v>
      </c>
      <c r="J107" s="405">
        <f>IFERROR(__xludf.DUMMYFUNCTION("""COMPUTED_VALUE"""),0.0)</f>
        <v>0</v>
      </c>
      <c r="K107" s="405">
        <f>IFERROR(__xludf.DUMMYFUNCTION("""COMPUTED_VALUE"""),0.0)</f>
        <v>0</v>
      </c>
      <c r="L107" s="405">
        <f>IFERROR(__xludf.DUMMYFUNCTION("""COMPUTED_VALUE"""),0.0)</f>
        <v>0</v>
      </c>
      <c r="M107" s="405">
        <f>IFERROR(__xludf.DUMMYFUNCTION("""COMPUTED_VALUE"""),0.0)</f>
        <v>0</v>
      </c>
      <c r="N107" s="405">
        <f>IFERROR(__xludf.DUMMYFUNCTION("""COMPUTED_VALUE"""),0.0)</f>
        <v>0</v>
      </c>
      <c r="O107" s="405">
        <f>IFERROR(__xludf.DUMMYFUNCTION("""COMPUTED_VALUE"""),0.0)</f>
        <v>0</v>
      </c>
      <c r="P107" s="405">
        <f>IFERROR(__xludf.DUMMYFUNCTION("""COMPUTED_VALUE"""),0.0)</f>
        <v>0</v>
      </c>
      <c r="Q107" s="405">
        <f>IFERROR(__xludf.DUMMYFUNCTION("""COMPUTED_VALUE"""),0.0)</f>
        <v>0</v>
      </c>
      <c r="R107" s="405">
        <f>IFERROR(__xludf.DUMMYFUNCTION("""COMPUTED_VALUE"""),0.0)</f>
        <v>0</v>
      </c>
      <c r="S107" s="405">
        <f>IFERROR(__xludf.DUMMYFUNCTION("""COMPUTED_VALUE"""),0.0)</f>
        <v>0</v>
      </c>
      <c r="T107" s="405">
        <f>IFERROR(__xludf.DUMMYFUNCTION("""COMPUTED_VALUE"""),0.0)</f>
        <v>0</v>
      </c>
      <c r="U107" s="405">
        <f>IFERROR(__xludf.DUMMYFUNCTION("""COMPUTED_VALUE"""),0.0)</f>
        <v>0</v>
      </c>
      <c r="V107" s="405">
        <f>IFERROR(__xludf.DUMMYFUNCTION("""COMPUTED_VALUE"""),0.0)</f>
        <v>0</v>
      </c>
      <c r="W107" s="65"/>
      <c r="X107" s="65"/>
    </row>
    <row r="108" ht="14.25" customHeight="1">
      <c r="A108" s="366">
        <f t="shared" si="2"/>
        <v>104</v>
      </c>
      <c r="B108" s="415" t="s">
        <v>872</v>
      </c>
      <c r="C108" s="400"/>
      <c r="D108" s="416" t="s">
        <v>873</v>
      </c>
      <c r="E108" s="388">
        <f>IFERROR(__xludf.DUMMYFUNCTION("""COMPUTED_VALUE"""),0.0)</f>
        <v>0</v>
      </c>
      <c r="F108" s="388">
        <f>IFERROR(__xludf.DUMMYFUNCTION("""COMPUTED_VALUE"""),0.0)</f>
        <v>0</v>
      </c>
      <c r="G108" s="388">
        <f>IFERROR(__xludf.DUMMYFUNCTION("""COMPUTED_VALUE"""),0.0)</f>
        <v>0</v>
      </c>
      <c r="H108" s="388">
        <f>IFERROR(__xludf.DUMMYFUNCTION("""COMPUTED_VALUE"""),0.0)</f>
        <v>0</v>
      </c>
      <c r="I108" s="388">
        <f>IFERROR(__xludf.DUMMYFUNCTION("""COMPUTED_VALUE"""),0.0)</f>
        <v>0</v>
      </c>
      <c r="J108" s="388">
        <f>IFERROR(__xludf.DUMMYFUNCTION("""COMPUTED_VALUE"""),0.0)</f>
        <v>0</v>
      </c>
      <c r="K108" s="388">
        <f>IFERROR(__xludf.DUMMYFUNCTION("""COMPUTED_VALUE"""),0.0)</f>
        <v>0</v>
      </c>
      <c r="L108" s="388">
        <f>IFERROR(__xludf.DUMMYFUNCTION("""COMPUTED_VALUE"""),0.0)</f>
        <v>0</v>
      </c>
      <c r="M108" s="388">
        <f>IFERROR(__xludf.DUMMYFUNCTION("""COMPUTED_VALUE"""),0.0)</f>
        <v>0</v>
      </c>
      <c r="N108" s="388">
        <f>IFERROR(__xludf.DUMMYFUNCTION("""COMPUTED_VALUE"""),0.0)</f>
        <v>0</v>
      </c>
      <c r="O108" s="388">
        <f>IFERROR(__xludf.DUMMYFUNCTION("""COMPUTED_VALUE"""),0.0)</f>
        <v>0</v>
      </c>
      <c r="P108" s="388">
        <f>IFERROR(__xludf.DUMMYFUNCTION("""COMPUTED_VALUE"""),0.0)</f>
        <v>0</v>
      </c>
      <c r="Q108" s="388">
        <f>IFERROR(__xludf.DUMMYFUNCTION("""COMPUTED_VALUE"""),0.0)</f>
        <v>0</v>
      </c>
      <c r="R108" s="388">
        <f>IFERROR(__xludf.DUMMYFUNCTION("""COMPUTED_VALUE"""),0.0)</f>
        <v>0</v>
      </c>
      <c r="S108" s="388">
        <f>IFERROR(__xludf.DUMMYFUNCTION("""COMPUTED_VALUE"""),0.0)</f>
        <v>0</v>
      </c>
      <c r="T108" s="388">
        <f>IFERROR(__xludf.DUMMYFUNCTION("""COMPUTED_VALUE"""),0.0)</f>
        <v>0</v>
      </c>
      <c r="U108" s="388">
        <f>IFERROR(__xludf.DUMMYFUNCTION("""COMPUTED_VALUE"""),0.0)</f>
        <v>0</v>
      </c>
      <c r="V108" s="389">
        <f>IFERROR(__xludf.DUMMYFUNCTION("""COMPUTED_VALUE"""),0.0)</f>
        <v>0</v>
      </c>
      <c r="W108" s="65"/>
      <c r="X108" s="65"/>
    </row>
    <row r="109" ht="14.25" customHeight="1">
      <c r="A109" s="366">
        <f t="shared" si="2"/>
        <v>105</v>
      </c>
      <c r="B109" s="415" t="s">
        <v>874</v>
      </c>
      <c r="C109" s="400"/>
      <c r="D109" s="416" t="s">
        <v>275</v>
      </c>
      <c r="E109" s="388">
        <f>IFERROR(__xludf.DUMMYFUNCTION("""COMPUTED_VALUE"""),0.0)</f>
        <v>0</v>
      </c>
      <c r="F109" s="388">
        <f>IFERROR(__xludf.DUMMYFUNCTION("""COMPUTED_VALUE"""),0.0)</f>
        <v>0</v>
      </c>
      <c r="G109" s="388">
        <f>IFERROR(__xludf.DUMMYFUNCTION("""COMPUTED_VALUE"""),0.0)</f>
        <v>0</v>
      </c>
      <c r="H109" s="388">
        <f>IFERROR(__xludf.DUMMYFUNCTION("""COMPUTED_VALUE"""),0.0)</f>
        <v>0</v>
      </c>
      <c r="I109" s="388">
        <f>IFERROR(__xludf.DUMMYFUNCTION("""COMPUTED_VALUE"""),0.0)</f>
        <v>0</v>
      </c>
      <c r="J109" s="388">
        <f>IFERROR(__xludf.DUMMYFUNCTION("""COMPUTED_VALUE"""),0.0)</f>
        <v>0</v>
      </c>
      <c r="K109" s="388">
        <f>IFERROR(__xludf.DUMMYFUNCTION("""COMPUTED_VALUE"""),0.0)</f>
        <v>0</v>
      </c>
      <c r="L109" s="388">
        <f>IFERROR(__xludf.DUMMYFUNCTION("""COMPUTED_VALUE"""),0.0)</f>
        <v>0</v>
      </c>
      <c r="M109" s="388">
        <f>IFERROR(__xludf.DUMMYFUNCTION("""COMPUTED_VALUE"""),0.0)</f>
        <v>0</v>
      </c>
      <c r="N109" s="388">
        <f>IFERROR(__xludf.DUMMYFUNCTION("""COMPUTED_VALUE"""),0.0)</f>
        <v>0</v>
      </c>
      <c r="O109" s="388">
        <f>IFERROR(__xludf.DUMMYFUNCTION("""COMPUTED_VALUE"""),0.0)</f>
        <v>0</v>
      </c>
      <c r="P109" s="388">
        <f>IFERROR(__xludf.DUMMYFUNCTION("""COMPUTED_VALUE"""),0.0)</f>
        <v>0</v>
      </c>
      <c r="Q109" s="388">
        <f>IFERROR(__xludf.DUMMYFUNCTION("""COMPUTED_VALUE"""),0.0)</f>
        <v>0</v>
      </c>
      <c r="R109" s="388">
        <f>IFERROR(__xludf.DUMMYFUNCTION("""COMPUTED_VALUE"""),0.0)</f>
        <v>0</v>
      </c>
      <c r="S109" s="388">
        <f>IFERROR(__xludf.DUMMYFUNCTION("""COMPUTED_VALUE"""),0.0)</f>
        <v>0</v>
      </c>
      <c r="T109" s="388">
        <f>IFERROR(__xludf.DUMMYFUNCTION("""COMPUTED_VALUE"""),0.0)</f>
        <v>0</v>
      </c>
      <c r="U109" s="388">
        <f>IFERROR(__xludf.DUMMYFUNCTION("""COMPUTED_VALUE"""),0.0)</f>
        <v>0</v>
      </c>
      <c r="V109" s="389">
        <f>IFERROR(__xludf.DUMMYFUNCTION("""COMPUTED_VALUE"""),0.0)</f>
        <v>0</v>
      </c>
      <c r="W109" s="65"/>
      <c r="X109" s="65"/>
    </row>
    <row r="110" ht="14.25" customHeight="1">
      <c r="A110" s="366">
        <f t="shared" si="2"/>
        <v>106</v>
      </c>
      <c r="B110" s="421" t="s">
        <v>875</v>
      </c>
      <c r="C110" s="422"/>
      <c r="D110" s="422"/>
      <c r="E110" s="405">
        <f>IFERROR(__xludf.DUMMYFUNCTION("""COMPUTED_VALUE"""),0.0)</f>
        <v>0</v>
      </c>
      <c r="F110" s="405">
        <f>IFERROR(__xludf.DUMMYFUNCTION("""COMPUTED_VALUE"""),0.0)</f>
        <v>0</v>
      </c>
      <c r="G110" s="405">
        <f>IFERROR(__xludf.DUMMYFUNCTION("""COMPUTED_VALUE"""),0.0)</f>
        <v>0</v>
      </c>
      <c r="H110" s="405">
        <f>IFERROR(__xludf.DUMMYFUNCTION("""COMPUTED_VALUE"""),0.0)</f>
        <v>0</v>
      </c>
      <c r="I110" s="405">
        <f>IFERROR(__xludf.DUMMYFUNCTION("""COMPUTED_VALUE"""),0.0)</f>
        <v>0</v>
      </c>
      <c r="J110" s="405">
        <f>IFERROR(__xludf.DUMMYFUNCTION("""COMPUTED_VALUE"""),0.0)</f>
        <v>0</v>
      </c>
      <c r="K110" s="405">
        <f>IFERROR(__xludf.DUMMYFUNCTION("""COMPUTED_VALUE"""),0.0)</f>
        <v>0</v>
      </c>
      <c r="L110" s="405">
        <f>IFERROR(__xludf.DUMMYFUNCTION("""COMPUTED_VALUE"""),0.0)</f>
        <v>0</v>
      </c>
      <c r="M110" s="405">
        <f>IFERROR(__xludf.DUMMYFUNCTION("""COMPUTED_VALUE"""),0.0)</f>
        <v>0</v>
      </c>
      <c r="N110" s="405">
        <f>IFERROR(__xludf.DUMMYFUNCTION("""COMPUTED_VALUE"""),0.0)</f>
        <v>0</v>
      </c>
      <c r="O110" s="405">
        <f>IFERROR(__xludf.DUMMYFUNCTION("""COMPUTED_VALUE"""),0.0)</f>
        <v>0</v>
      </c>
      <c r="P110" s="405">
        <f>IFERROR(__xludf.DUMMYFUNCTION("""COMPUTED_VALUE"""),0.0)</f>
        <v>0</v>
      </c>
      <c r="Q110" s="405">
        <f>IFERROR(__xludf.DUMMYFUNCTION("""COMPUTED_VALUE"""),0.0)</f>
        <v>0</v>
      </c>
      <c r="R110" s="405">
        <f>IFERROR(__xludf.DUMMYFUNCTION("""COMPUTED_VALUE"""),0.0)</f>
        <v>0</v>
      </c>
      <c r="S110" s="405">
        <f>IFERROR(__xludf.DUMMYFUNCTION("""COMPUTED_VALUE"""),0.0)</f>
        <v>0</v>
      </c>
      <c r="T110" s="405">
        <f>IFERROR(__xludf.DUMMYFUNCTION("""COMPUTED_VALUE"""),0.0)</f>
        <v>0</v>
      </c>
      <c r="U110" s="405">
        <f>IFERROR(__xludf.DUMMYFUNCTION("""COMPUTED_VALUE"""),0.0)</f>
        <v>0</v>
      </c>
      <c r="V110" s="405">
        <f>IFERROR(__xludf.DUMMYFUNCTION("""COMPUTED_VALUE"""),0.0)</f>
        <v>0</v>
      </c>
      <c r="W110" s="65"/>
      <c r="X110" s="65"/>
    </row>
    <row r="111" ht="14.25" customHeight="1">
      <c r="A111" s="366">
        <f t="shared" si="2"/>
        <v>107</v>
      </c>
      <c r="B111" s="423" t="s">
        <v>876</v>
      </c>
      <c r="C111" s="424"/>
      <c r="D111" s="424"/>
      <c r="E111" s="425">
        <f>IFERROR(__xludf.DUMMYFUNCTION("""COMPUTED_VALUE"""),0.0)</f>
        <v>0</v>
      </c>
      <c r="F111" s="425">
        <f>IFERROR(__xludf.DUMMYFUNCTION("""COMPUTED_VALUE"""),0.0)</f>
        <v>0</v>
      </c>
      <c r="G111" s="425">
        <f>IFERROR(__xludf.DUMMYFUNCTION("""COMPUTED_VALUE"""),0.0)</f>
        <v>0</v>
      </c>
      <c r="H111" s="425">
        <f>IFERROR(__xludf.DUMMYFUNCTION("""COMPUTED_VALUE"""),0.0)</f>
        <v>0</v>
      </c>
      <c r="I111" s="425">
        <f>IFERROR(__xludf.DUMMYFUNCTION("""COMPUTED_VALUE"""),0.0)</f>
        <v>0</v>
      </c>
      <c r="J111" s="425">
        <f>IFERROR(__xludf.DUMMYFUNCTION("""COMPUTED_VALUE"""),0.0)</f>
        <v>0</v>
      </c>
      <c r="K111" s="425">
        <f>IFERROR(__xludf.DUMMYFUNCTION("""COMPUTED_VALUE"""),0.0)</f>
        <v>0</v>
      </c>
      <c r="L111" s="425">
        <f>IFERROR(__xludf.DUMMYFUNCTION("""COMPUTED_VALUE"""),0.0)</f>
        <v>0</v>
      </c>
      <c r="M111" s="425">
        <f>IFERROR(__xludf.DUMMYFUNCTION("""COMPUTED_VALUE"""),0.0)</f>
        <v>0</v>
      </c>
      <c r="N111" s="425">
        <f>IFERROR(__xludf.DUMMYFUNCTION("""COMPUTED_VALUE"""),0.0)</f>
        <v>0</v>
      </c>
      <c r="O111" s="425">
        <f>IFERROR(__xludf.DUMMYFUNCTION("""COMPUTED_VALUE"""),0.0)</f>
        <v>0</v>
      </c>
      <c r="P111" s="425">
        <f>IFERROR(__xludf.DUMMYFUNCTION("""COMPUTED_VALUE"""),0.0)</f>
        <v>0</v>
      </c>
      <c r="Q111" s="425">
        <f>IFERROR(__xludf.DUMMYFUNCTION("""COMPUTED_VALUE"""),0.0)</f>
        <v>0</v>
      </c>
      <c r="R111" s="425">
        <f>IFERROR(__xludf.DUMMYFUNCTION("""COMPUTED_VALUE"""),0.0)</f>
        <v>0</v>
      </c>
      <c r="S111" s="425">
        <f>IFERROR(__xludf.DUMMYFUNCTION("""COMPUTED_VALUE"""),0.0)</f>
        <v>0</v>
      </c>
      <c r="T111" s="425">
        <f>IFERROR(__xludf.DUMMYFUNCTION("""COMPUTED_VALUE"""),0.0)</f>
        <v>0</v>
      </c>
      <c r="U111" s="425">
        <f>IFERROR(__xludf.DUMMYFUNCTION("""COMPUTED_VALUE"""),0.0)</f>
        <v>0</v>
      </c>
      <c r="V111" s="425">
        <f>IFERROR(__xludf.DUMMYFUNCTION("""COMPUTED_VALUE"""),0.0)</f>
        <v>0</v>
      </c>
      <c r="W111" s="65"/>
      <c r="X111" s="65"/>
    </row>
    <row r="112" ht="14.25" customHeight="1">
      <c r="A112" s="366">
        <f t="shared" si="2"/>
        <v>108</v>
      </c>
      <c r="B112" s="415" t="s">
        <v>142</v>
      </c>
      <c r="C112" s="391" t="s">
        <v>417</v>
      </c>
      <c r="D112" s="401" t="s">
        <v>143</v>
      </c>
      <c r="E112" s="388">
        <f>IFERROR(__xludf.DUMMYFUNCTION("""COMPUTED_VALUE"""),0.0)</f>
        <v>0</v>
      </c>
      <c r="F112" s="388">
        <f>IFERROR(__xludf.DUMMYFUNCTION("""COMPUTED_VALUE"""),0.0)</f>
        <v>0</v>
      </c>
      <c r="G112" s="388">
        <f>IFERROR(__xludf.DUMMYFUNCTION("""COMPUTED_VALUE"""),0.0)</f>
        <v>0</v>
      </c>
      <c r="H112" s="388">
        <f>IFERROR(__xludf.DUMMYFUNCTION("""COMPUTED_VALUE"""),0.0)</f>
        <v>0</v>
      </c>
      <c r="I112" s="388">
        <f>IFERROR(__xludf.DUMMYFUNCTION("""COMPUTED_VALUE"""),0.0)</f>
        <v>0</v>
      </c>
      <c r="J112" s="388">
        <f>IFERROR(__xludf.DUMMYFUNCTION("""COMPUTED_VALUE"""),0.0)</f>
        <v>0</v>
      </c>
      <c r="K112" s="388">
        <f>IFERROR(__xludf.DUMMYFUNCTION("""COMPUTED_VALUE"""),0.0)</f>
        <v>0</v>
      </c>
      <c r="L112" s="388">
        <f>IFERROR(__xludf.DUMMYFUNCTION("""COMPUTED_VALUE"""),0.0)</f>
        <v>0</v>
      </c>
      <c r="M112" s="388">
        <f>IFERROR(__xludf.DUMMYFUNCTION("""COMPUTED_VALUE"""),0.0)</f>
        <v>0</v>
      </c>
      <c r="N112" s="388">
        <f>IFERROR(__xludf.DUMMYFUNCTION("""COMPUTED_VALUE"""),0.0)</f>
        <v>0</v>
      </c>
      <c r="O112" s="388">
        <f>IFERROR(__xludf.DUMMYFUNCTION("""COMPUTED_VALUE"""),0.0)</f>
        <v>0</v>
      </c>
      <c r="P112" s="388">
        <f>IFERROR(__xludf.DUMMYFUNCTION("""COMPUTED_VALUE"""),0.0)</f>
        <v>0</v>
      </c>
      <c r="Q112" s="388">
        <f>IFERROR(__xludf.DUMMYFUNCTION("""COMPUTED_VALUE"""),0.0)</f>
        <v>0</v>
      </c>
      <c r="R112" s="388">
        <f>IFERROR(__xludf.DUMMYFUNCTION("""COMPUTED_VALUE"""),0.0)</f>
        <v>0</v>
      </c>
      <c r="S112" s="388">
        <f>IFERROR(__xludf.DUMMYFUNCTION("""COMPUTED_VALUE"""),0.0)</f>
        <v>0</v>
      </c>
      <c r="T112" s="388">
        <f>IFERROR(__xludf.DUMMYFUNCTION("""COMPUTED_VALUE"""),0.0)</f>
        <v>0</v>
      </c>
      <c r="U112" s="388">
        <f>IFERROR(__xludf.DUMMYFUNCTION("""COMPUTED_VALUE"""),0.0)</f>
        <v>0</v>
      </c>
      <c r="V112" s="389">
        <f>IFERROR(__xludf.DUMMYFUNCTION("""COMPUTED_VALUE"""),0.0)</f>
        <v>0</v>
      </c>
      <c r="W112" s="65"/>
      <c r="X112" s="65"/>
    </row>
    <row r="113" ht="14.25" customHeight="1">
      <c r="A113" s="366">
        <f t="shared" si="2"/>
        <v>109</v>
      </c>
      <c r="B113" s="407" t="s">
        <v>878</v>
      </c>
      <c r="C113" s="382"/>
      <c r="D113" s="387" t="s">
        <v>134</v>
      </c>
      <c r="E113" s="388">
        <f>IFERROR(__xludf.DUMMYFUNCTION("""COMPUTED_VALUE"""),0.0)</f>
        <v>0</v>
      </c>
      <c r="F113" s="388">
        <f>IFERROR(__xludf.DUMMYFUNCTION("""COMPUTED_VALUE"""),0.0)</f>
        <v>0</v>
      </c>
      <c r="G113" s="388">
        <f>IFERROR(__xludf.DUMMYFUNCTION("""COMPUTED_VALUE"""),0.0)</f>
        <v>0</v>
      </c>
      <c r="H113" s="388">
        <f>IFERROR(__xludf.DUMMYFUNCTION("""COMPUTED_VALUE"""),0.0)</f>
        <v>0</v>
      </c>
      <c r="I113" s="388">
        <f>IFERROR(__xludf.DUMMYFUNCTION("""COMPUTED_VALUE"""),0.0)</f>
        <v>0</v>
      </c>
      <c r="J113" s="388">
        <f>IFERROR(__xludf.DUMMYFUNCTION("""COMPUTED_VALUE"""),0.0)</f>
        <v>0</v>
      </c>
      <c r="K113" s="388">
        <f>IFERROR(__xludf.DUMMYFUNCTION("""COMPUTED_VALUE"""),0.0)</f>
        <v>0</v>
      </c>
      <c r="L113" s="388">
        <f>IFERROR(__xludf.DUMMYFUNCTION("""COMPUTED_VALUE"""),0.0)</f>
        <v>0</v>
      </c>
      <c r="M113" s="388">
        <f>IFERROR(__xludf.DUMMYFUNCTION("""COMPUTED_VALUE"""),0.0)</f>
        <v>0</v>
      </c>
      <c r="N113" s="388">
        <f>IFERROR(__xludf.DUMMYFUNCTION("""COMPUTED_VALUE"""),0.0)</f>
        <v>0</v>
      </c>
      <c r="O113" s="388">
        <f>IFERROR(__xludf.DUMMYFUNCTION("""COMPUTED_VALUE"""),0.0)</f>
        <v>0</v>
      </c>
      <c r="P113" s="388">
        <f>IFERROR(__xludf.DUMMYFUNCTION("""COMPUTED_VALUE"""),0.0)</f>
        <v>0</v>
      </c>
      <c r="Q113" s="388">
        <f>IFERROR(__xludf.DUMMYFUNCTION("""COMPUTED_VALUE"""),0.0)</f>
        <v>0</v>
      </c>
      <c r="R113" s="388">
        <f>IFERROR(__xludf.DUMMYFUNCTION("""COMPUTED_VALUE"""),0.0)</f>
        <v>0</v>
      </c>
      <c r="S113" s="388">
        <f>IFERROR(__xludf.DUMMYFUNCTION("""COMPUTED_VALUE"""),0.0)</f>
        <v>0</v>
      </c>
      <c r="T113" s="388">
        <f>IFERROR(__xludf.DUMMYFUNCTION("""COMPUTED_VALUE"""),0.0)</f>
        <v>0</v>
      </c>
      <c r="U113" s="388">
        <f>IFERROR(__xludf.DUMMYFUNCTION("""COMPUTED_VALUE"""),0.0)</f>
        <v>0</v>
      </c>
      <c r="V113" s="389">
        <f>IFERROR(__xludf.DUMMYFUNCTION("""COMPUTED_VALUE"""),0.0)</f>
        <v>0</v>
      </c>
      <c r="W113" s="65"/>
      <c r="X113" s="65"/>
    </row>
    <row r="114" ht="14.25" customHeight="1">
      <c r="A114" s="366">
        <f t="shared" si="2"/>
        <v>110</v>
      </c>
      <c r="B114" s="407" t="s">
        <v>45</v>
      </c>
      <c r="C114" s="382"/>
      <c r="D114" s="387" t="s">
        <v>46</v>
      </c>
      <c r="E114" s="388">
        <f>IFERROR(__xludf.DUMMYFUNCTION("""COMPUTED_VALUE"""),0.0)</f>
        <v>0</v>
      </c>
      <c r="F114" s="388">
        <f>IFERROR(__xludf.DUMMYFUNCTION("""COMPUTED_VALUE"""),0.0)</f>
        <v>0</v>
      </c>
      <c r="G114" s="388">
        <f>IFERROR(__xludf.DUMMYFUNCTION("""COMPUTED_VALUE"""),0.0)</f>
        <v>0</v>
      </c>
      <c r="H114" s="388">
        <f>IFERROR(__xludf.DUMMYFUNCTION("""COMPUTED_VALUE"""),0.0)</f>
        <v>0</v>
      </c>
      <c r="I114" s="388">
        <f>IFERROR(__xludf.DUMMYFUNCTION("""COMPUTED_VALUE"""),1182503.0)</f>
        <v>1182503</v>
      </c>
      <c r="J114" s="388">
        <f>IFERROR(__xludf.DUMMYFUNCTION("""COMPUTED_VALUE"""),0.0)</f>
        <v>0</v>
      </c>
      <c r="K114" s="388">
        <f>IFERROR(__xludf.DUMMYFUNCTION("""COMPUTED_VALUE"""),0.0)</f>
        <v>0</v>
      </c>
      <c r="L114" s="388">
        <f>IFERROR(__xludf.DUMMYFUNCTION("""COMPUTED_VALUE"""),0.0)</f>
        <v>0</v>
      </c>
      <c r="M114" s="388">
        <f>IFERROR(__xludf.DUMMYFUNCTION("""COMPUTED_VALUE"""),0.0)</f>
        <v>0</v>
      </c>
      <c r="N114" s="388">
        <f>IFERROR(__xludf.DUMMYFUNCTION("""COMPUTED_VALUE"""),0.0)</f>
        <v>0</v>
      </c>
      <c r="O114" s="388">
        <f>IFERROR(__xludf.DUMMYFUNCTION("""COMPUTED_VALUE"""),1.7010551E7)</f>
        <v>17010551</v>
      </c>
      <c r="P114" s="388">
        <f>IFERROR(__xludf.DUMMYFUNCTION("""COMPUTED_VALUE"""),0.0)</f>
        <v>0</v>
      </c>
      <c r="Q114" s="388">
        <f>IFERROR(__xludf.DUMMYFUNCTION("""COMPUTED_VALUE"""),0.0)</f>
        <v>0</v>
      </c>
      <c r="R114" s="388">
        <f>IFERROR(__xludf.DUMMYFUNCTION("""COMPUTED_VALUE"""),0.0)</f>
        <v>0</v>
      </c>
      <c r="S114" s="388">
        <f>IFERROR(__xludf.DUMMYFUNCTION("""COMPUTED_VALUE"""),0.0)</f>
        <v>0</v>
      </c>
      <c r="T114" s="388">
        <f>IFERROR(__xludf.DUMMYFUNCTION("""COMPUTED_VALUE"""),0.0)</f>
        <v>0</v>
      </c>
      <c r="U114" s="388">
        <f>IFERROR(__xludf.DUMMYFUNCTION("""COMPUTED_VALUE"""),0.0)</f>
        <v>0</v>
      </c>
      <c r="V114" s="389">
        <f>IFERROR(__xludf.DUMMYFUNCTION("""COMPUTED_VALUE"""),1.8193054E7)</f>
        <v>18193054</v>
      </c>
      <c r="W114" s="65"/>
      <c r="X114" s="65"/>
    </row>
    <row r="115" ht="14.25" customHeight="1">
      <c r="A115" s="366">
        <f t="shared" si="2"/>
        <v>111</v>
      </c>
      <c r="B115" s="399" t="s">
        <v>879</v>
      </c>
      <c r="C115" s="400"/>
      <c r="D115" s="416" t="s">
        <v>880</v>
      </c>
      <c r="E115" s="388">
        <f>IFERROR(__xludf.DUMMYFUNCTION("""COMPUTED_VALUE"""),0.0)</f>
        <v>0</v>
      </c>
      <c r="F115" s="388">
        <f>IFERROR(__xludf.DUMMYFUNCTION("""COMPUTED_VALUE"""),0.0)</f>
        <v>0</v>
      </c>
      <c r="G115" s="388">
        <f>IFERROR(__xludf.DUMMYFUNCTION("""COMPUTED_VALUE"""),0.0)</f>
        <v>0</v>
      </c>
      <c r="H115" s="388">
        <f>IFERROR(__xludf.DUMMYFUNCTION("""COMPUTED_VALUE"""),0.0)</f>
        <v>0</v>
      </c>
      <c r="I115" s="388">
        <f>IFERROR(__xludf.DUMMYFUNCTION("""COMPUTED_VALUE"""),0.0)</f>
        <v>0</v>
      </c>
      <c r="J115" s="388">
        <f>IFERROR(__xludf.DUMMYFUNCTION("""COMPUTED_VALUE"""),0.0)</f>
        <v>0</v>
      </c>
      <c r="K115" s="388">
        <f>IFERROR(__xludf.DUMMYFUNCTION("""COMPUTED_VALUE"""),0.0)</f>
        <v>0</v>
      </c>
      <c r="L115" s="388">
        <f>IFERROR(__xludf.DUMMYFUNCTION("""COMPUTED_VALUE"""),0.0)</f>
        <v>0</v>
      </c>
      <c r="M115" s="388">
        <f>IFERROR(__xludf.DUMMYFUNCTION("""COMPUTED_VALUE"""),0.0)</f>
        <v>0</v>
      </c>
      <c r="N115" s="388">
        <f>IFERROR(__xludf.DUMMYFUNCTION("""COMPUTED_VALUE"""),0.0)</f>
        <v>0</v>
      </c>
      <c r="O115" s="388">
        <f>IFERROR(__xludf.DUMMYFUNCTION("""COMPUTED_VALUE"""),0.0)</f>
        <v>0</v>
      </c>
      <c r="P115" s="388">
        <f>IFERROR(__xludf.DUMMYFUNCTION("""COMPUTED_VALUE"""),0.0)</f>
        <v>0</v>
      </c>
      <c r="Q115" s="388">
        <f>IFERROR(__xludf.DUMMYFUNCTION("""COMPUTED_VALUE"""),0.0)</f>
        <v>0</v>
      </c>
      <c r="R115" s="388">
        <f>IFERROR(__xludf.DUMMYFUNCTION("""COMPUTED_VALUE"""),0.0)</f>
        <v>0</v>
      </c>
      <c r="S115" s="388">
        <f>IFERROR(__xludf.DUMMYFUNCTION("""COMPUTED_VALUE"""),0.0)</f>
        <v>0</v>
      </c>
      <c r="T115" s="388">
        <f>IFERROR(__xludf.DUMMYFUNCTION("""COMPUTED_VALUE"""),0.0)</f>
        <v>0</v>
      </c>
      <c r="U115" s="388">
        <f>IFERROR(__xludf.DUMMYFUNCTION("""COMPUTED_VALUE"""),0.0)</f>
        <v>0</v>
      </c>
      <c r="V115" s="389">
        <f>IFERROR(__xludf.DUMMYFUNCTION("""COMPUTED_VALUE"""),0.0)</f>
        <v>0</v>
      </c>
      <c r="W115" s="65"/>
      <c r="X115" s="65"/>
    </row>
    <row r="116" ht="14.25" customHeight="1">
      <c r="A116" s="366">
        <f t="shared" si="2"/>
        <v>112</v>
      </c>
      <c r="B116" s="399" t="s">
        <v>70</v>
      </c>
      <c r="C116" s="400"/>
      <c r="D116" s="416" t="s">
        <v>71</v>
      </c>
      <c r="E116" s="388">
        <f>IFERROR(__xludf.DUMMYFUNCTION("""COMPUTED_VALUE"""),0.0)</f>
        <v>0</v>
      </c>
      <c r="F116" s="388">
        <f>IFERROR(__xludf.DUMMYFUNCTION("""COMPUTED_VALUE"""),0.0)</f>
        <v>0</v>
      </c>
      <c r="G116" s="388">
        <f>IFERROR(__xludf.DUMMYFUNCTION("""COMPUTED_VALUE"""),0.0)</f>
        <v>0</v>
      </c>
      <c r="H116" s="388">
        <f>IFERROR(__xludf.DUMMYFUNCTION("""COMPUTED_VALUE"""),0.0)</f>
        <v>0</v>
      </c>
      <c r="I116" s="388">
        <f>IFERROR(__xludf.DUMMYFUNCTION("""COMPUTED_VALUE"""),0.0)</f>
        <v>0</v>
      </c>
      <c r="J116" s="388">
        <f>IFERROR(__xludf.DUMMYFUNCTION("""COMPUTED_VALUE"""),0.0)</f>
        <v>0</v>
      </c>
      <c r="K116" s="388">
        <f>IFERROR(__xludf.DUMMYFUNCTION("""COMPUTED_VALUE"""),0.0)</f>
        <v>0</v>
      </c>
      <c r="L116" s="388">
        <f>IFERROR(__xludf.DUMMYFUNCTION("""COMPUTED_VALUE"""),0.0)</f>
        <v>0</v>
      </c>
      <c r="M116" s="388">
        <f>IFERROR(__xludf.DUMMYFUNCTION("""COMPUTED_VALUE"""),0.0)</f>
        <v>0</v>
      </c>
      <c r="N116" s="388">
        <f>IFERROR(__xludf.DUMMYFUNCTION("""COMPUTED_VALUE"""),0.0)</f>
        <v>0</v>
      </c>
      <c r="O116" s="388">
        <f>IFERROR(__xludf.DUMMYFUNCTION("""COMPUTED_VALUE"""),0.0)</f>
        <v>0</v>
      </c>
      <c r="P116" s="388">
        <f>IFERROR(__xludf.DUMMYFUNCTION("""COMPUTED_VALUE"""),0.0)</f>
        <v>0</v>
      </c>
      <c r="Q116" s="388">
        <f>IFERROR(__xludf.DUMMYFUNCTION("""COMPUTED_VALUE"""),0.0)</f>
        <v>0</v>
      </c>
      <c r="R116" s="388">
        <f>IFERROR(__xludf.DUMMYFUNCTION("""COMPUTED_VALUE"""),0.0)</f>
        <v>0</v>
      </c>
      <c r="S116" s="388">
        <f>IFERROR(__xludf.DUMMYFUNCTION("""COMPUTED_VALUE"""),0.0)</f>
        <v>0</v>
      </c>
      <c r="T116" s="388">
        <f>IFERROR(__xludf.DUMMYFUNCTION("""COMPUTED_VALUE"""),0.0)</f>
        <v>0</v>
      </c>
      <c r="U116" s="388">
        <f>IFERROR(__xludf.DUMMYFUNCTION("""COMPUTED_VALUE"""),0.0)</f>
        <v>0</v>
      </c>
      <c r="V116" s="389">
        <f>IFERROR(__xludf.DUMMYFUNCTION("""COMPUTED_VALUE"""),0.0)</f>
        <v>0</v>
      </c>
      <c r="W116" s="65"/>
      <c r="X116" s="65"/>
    </row>
    <row r="117" ht="14.25" customHeight="1">
      <c r="A117" s="366">
        <f t="shared" si="2"/>
        <v>113</v>
      </c>
      <c r="B117" s="399" t="s">
        <v>47</v>
      </c>
      <c r="C117" s="400"/>
      <c r="D117" s="416" t="s">
        <v>48</v>
      </c>
      <c r="E117" s="388">
        <f>IFERROR(__xludf.DUMMYFUNCTION("""COMPUTED_VALUE"""),0.0)</f>
        <v>0</v>
      </c>
      <c r="F117" s="388">
        <f>IFERROR(__xludf.DUMMYFUNCTION("""COMPUTED_VALUE"""),0.0)</f>
        <v>0</v>
      </c>
      <c r="G117" s="388">
        <f>IFERROR(__xludf.DUMMYFUNCTION("""COMPUTED_VALUE"""),0.0)</f>
        <v>0</v>
      </c>
      <c r="H117" s="388">
        <f>IFERROR(__xludf.DUMMYFUNCTION("""COMPUTED_VALUE"""),0.0)</f>
        <v>0</v>
      </c>
      <c r="I117" s="388">
        <f>IFERROR(__xludf.DUMMYFUNCTION("""COMPUTED_VALUE"""),0.0)</f>
        <v>0</v>
      </c>
      <c r="J117" s="388">
        <f>IFERROR(__xludf.DUMMYFUNCTION("""COMPUTED_VALUE"""),0.0)</f>
        <v>0</v>
      </c>
      <c r="K117" s="388">
        <f>IFERROR(__xludf.DUMMYFUNCTION("""COMPUTED_VALUE"""),0.0)</f>
        <v>0</v>
      </c>
      <c r="L117" s="388">
        <f>IFERROR(__xludf.DUMMYFUNCTION("""COMPUTED_VALUE"""),0.0)</f>
        <v>0</v>
      </c>
      <c r="M117" s="388">
        <f>IFERROR(__xludf.DUMMYFUNCTION("""COMPUTED_VALUE"""),0.0)</f>
        <v>0</v>
      </c>
      <c r="N117" s="388">
        <f>IFERROR(__xludf.DUMMYFUNCTION("""COMPUTED_VALUE"""),0.0)</f>
        <v>0</v>
      </c>
      <c r="O117" s="388">
        <f>IFERROR(__xludf.DUMMYFUNCTION("""COMPUTED_VALUE"""),3.3682647E7)</f>
        <v>33682647</v>
      </c>
      <c r="P117" s="388">
        <f>IFERROR(__xludf.DUMMYFUNCTION("""COMPUTED_VALUE"""),0.0)</f>
        <v>0</v>
      </c>
      <c r="Q117" s="388">
        <f>IFERROR(__xludf.DUMMYFUNCTION("""COMPUTED_VALUE"""),0.0)</f>
        <v>0</v>
      </c>
      <c r="R117" s="388">
        <f>IFERROR(__xludf.DUMMYFUNCTION("""COMPUTED_VALUE"""),0.0)</f>
        <v>0</v>
      </c>
      <c r="S117" s="388">
        <f>IFERROR(__xludf.DUMMYFUNCTION("""COMPUTED_VALUE"""),0.0)</f>
        <v>0</v>
      </c>
      <c r="T117" s="388">
        <f>IFERROR(__xludf.DUMMYFUNCTION("""COMPUTED_VALUE"""),0.0)</f>
        <v>0</v>
      </c>
      <c r="U117" s="388">
        <f>IFERROR(__xludf.DUMMYFUNCTION("""COMPUTED_VALUE"""),0.0)</f>
        <v>0</v>
      </c>
      <c r="V117" s="389">
        <f>IFERROR(__xludf.DUMMYFUNCTION("""COMPUTED_VALUE"""),3.3682647E7)</f>
        <v>33682647</v>
      </c>
      <c r="W117" s="65"/>
      <c r="X117" s="65"/>
    </row>
    <row r="118" ht="14.25" customHeight="1">
      <c r="A118" s="366">
        <f t="shared" si="2"/>
        <v>114</v>
      </c>
      <c r="B118" s="419" t="s">
        <v>881</v>
      </c>
      <c r="C118" s="420"/>
      <c r="D118" s="420"/>
      <c r="E118" s="405">
        <f>IFERROR(__xludf.DUMMYFUNCTION("""COMPUTED_VALUE"""),0.0)</f>
        <v>0</v>
      </c>
      <c r="F118" s="405">
        <f>IFERROR(__xludf.DUMMYFUNCTION("""COMPUTED_VALUE"""),0.0)</f>
        <v>0</v>
      </c>
      <c r="G118" s="405">
        <f>IFERROR(__xludf.DUMMYFUNCTION("""COMPUTED_VALUE"""),0.0)</f>
        <v>0</v>
      </c>
      <c r="H118" s="405">
        <f>IFERROR(__xludf.DUMMYFUNCTION("""COMPUTED_VALUE"""),0.0)</f>
        <v>0</v>
      </c>
      <c r="I118" s="405">
        <f>IFERROR(__xludf.DUMMYFUNCTION("""COMPUTED_VALUE"""),1182503.0)</f>
        <v>1182503</v>
      </c>
      <c r="J118" s="405">
        <f>IFERROR(__xludf.DUMMYFUNCTION("""COMPUTED_VALUE"""),0.0)</f>
        <v>0</v>
      </c>
      <c r="K118" s="405">
        <f>IFERROR(__xludf.DUMMYFUNCTION("""COMPUTED_VALUE"""),0.0)</f>
        <v>0</v>
      </c>
      <c r="L118" s="405">
        <f>IFERROR(__xludf.DUMMYFUNCTION("""COMPUTED_VALUE"""),0.0)</f>
        <v>0</v>
      </c>
      <c r="M118" s="405">
        <f>IFERROR(__xludf.DUMMYFUNCTION("""COMPUTED_VALUE"""),0.0)</f>
        <v>0</v>
      </c>
      <c r="N118" s="405">
        <f>IFERROR(__xludf.DUMMYFUNCTION("""COMPUTED_VALUE"""),0.0)</f>
        <v>0</v>
      </c>
      <c r="O118" s="405">
        <f>IFERROR(__xludf.DUMMYFUNCTION("""COMPUTED_VALUE"""),5.0693198E7)</f>
        <v>50693198</v>
      </c>
      <c r="P118" s="405">
        <f>IFERROR(__xludf.DUMMYFUNCTION("""COMPUTED_VALUE"""),0.0)</f>
        <v>0</v>
      </c>
      <c r="Q118" s="405">
        <f>IFERROR(__xludf.DUMMYFUNCTION("""COMPUTED_VALUE"""),0.0)</f>
        <v>0</v>
      </c>
      <c r="R118" s="405">
        <f>IFERROR(__xludf.DUMMYFUNCTION("""COMPUTED_VALUE"""),0.0)</f>
        <v>0</v>
      </c>
      <c r="S118" s="405">
        <f>IFERROR(__xludf.DUMMYFUNCTION("""COMPUTED_VALUE"""),0.0)</f>
        <v>0</v>
      </c>
      <c r="T118" s="405">
        <f>IFERROR(__xludf.DUMMYFUNCTION("""COMPUTED_VALUE"""),0.0)</f>
        <v>0</v>
      </c>
      <c r="U118" s="405">
        <f>IFERROR(__xludf.DUMMYFUNCTION("""COMPUTED_VALUE"""),0.0)</f>
        <v>0</v>
      </c>
      <c r="V118" s="405">
        <f>IFERROR(__xludf.DUMMYFUNCTION("""COMPUTED_VALUE"""),5.1875701E7)</f>
        <v>51875701</v>
      </c>
      <c r="W118" s="65"/>
      <c r="X118" s="65"/>
    </row>
    <row r="119" ht="14.25" customHeight="1">
      <c r="A119" s="366">
        <f t="shared" si="2"/>
        <v>115</v>
      </c>
      <c r="B119" s="423" t="s">
        <v>882</v>
      </c>
      <c r="C119" s="424"/>
      <c r="D119" s="424"/>
      <c r="E119" s="425">
        <f>IFERROR(__xludf.DUMMYFUNCTION("""COMPUTED_VALUE"""),0.0)</f>
        <v>0</v>
      </c>
      <c r="F119" s="425">
        <f>IFERROR(__xludf.DUMMYFUNCTION("""COMPUTED_VALUE"""),0.0)</f>
        <v>0</v>
      </c>
      <c r="G119" s="425">
        <f>IFERROR(__xludf.DUMMYFUNCTION("""COMPUTED_VALUE"""),0.0)</f>
        <v>0</v>
      </c>
      <c r="H119" s="425">
        <f>IFERROR(__xludf.DUMMYFUNCTION("""COMPUTED_VALUE"""),0.0)</f>
        <v>0</v>
      </c>
      <c r="I119" s="425">
        <f>IFERROR(__xludf.DUMMYFUNCTION("""COMPUTED_VALUE"""),1182503.0)</f>
        <v>1182503</v>
      </c>
      <c r="J119" s="425">
        <f>IFERROR(__xludf.DUMMYFUNCTION("""COMPUTED_VALUE"""),0.0)</f>
        <v>0</v>
      </c>
      <c r="K119" s="425">
        <f>IFERROR(__xludf.DUMMYFUNCTION("""COMPUTED_VALUE"""),0.0)</f>
        <v>0</v>
      </c>
      <c r="L119" s="425">
        <f>IFERROR(__xludf.DUMMYFUNCTION("""COMPUTED_VALUE"""),0.0)</f>
        <v>0</v>
      </c>
      <c r="M119" s="425">
        <f>IFERROR(__xludf.DUMMYFUNCTION("""COMPUTED_VALUE"""),0.0)</f>
        <v>0</v>
      </c>
      <c r="N119" s="425">
        <f>IFERROR(__xludf.DUMMYFUNCTION("""COMPUTED_VALUE"""),0.0)</f>
        <v>0</v>
      </c>
      <c r="O119" s="425">
        <f>IFERROR(__xludf.DUMMYFUNCTION("""COMPUTED_VALUE"""),5.0693198E7)</f>
        <v>50693198</v>
      </c>
      <c r="P119" s="425">
        <f>IFERROR(__xludf.DUMMYFUNCTION("""COMPUTED_VALUE"""),0.0)</f>
        <v>0</v>
      </c>
      <c r="Q119" s="425">
        <f>IFERROR(__xludf.DUMMYFUNCTION("""COMPUTED_VALUE"""),0.0)</f>
        <v>0</v>
      </c>
      <c r="R119" s="425">
        <f>IFERROR(__xludf.DUMMYFUNCTION("""COMPUTED_VALUE"""),0.0)</f>
        <v>0</v>
      </c>
      <c r="S119" s="425">
        <f>IFERROR(__xludf.DUMMYFUNCTION("""COMPUTED_VALUE"""),0.0)</f>
        <v>0</v>
      </c>
      <c r="T119" s="425">
        <f>IFERROR(__xludf.DUMMYFUNCTION("""COMPUTED_VALUE"""),0.0)</f>
        <v>0</v>
      </c>
      <c r="U119" s="425">
        <f>IFERROR(__xludf.DUMMYFUNCTION("""COMPUTED_VALUE"""),0.0)</f>
        <v>0</v>
      </c>
      <c r="V119" s="425">
        <f>IFERROR(__xludf.DUMMYFUNCTION("""COMPUTED_VALUE"""),5.1875701E7)</f>
        <v>51875701</v>
      </c>
      <c r="W119" s="65"/>
      <c r="X119" s="65"/>
    </row>
    <row r="120" ht="14.25" customHeight="1">
      <c r="A120" s="366">
        <f t="shared" si="2"/>
        <v>116</v>
      </c>
      <c r="B120" s="426" t="s">
        <v>883</v>
      </c>
      <c r="C120" s="427"/>
      <c r="D120" s="427"/>
      <c r="E120" s="428">
        <f>IFERROR(__xludf.DUMMYFUNCTION("""COMPUTED_VALUE"""),0.0)</f>
        <v>0</v>
      </c>
      <c r="F120" s="428">
        <f>IFERROR(__xludf.DUMMYFUNCTION("""COMPUTED_VALUE"""),0.0)</f>
        <v>0</v>
      </c>
      <c r="G120" s="428">
        <f>IFERROR(__xludf.DUMMYFUNCTION("""COMPUTED_VALUE"""),0.0)</f>
        <v>0</v>
      </c>
      <c r="H120" s="428">
        <f>IFERROR(__xludf.DUMMYFUNCTION("""COMPUTED_VALUE"""),0.0)</f>
        <v>0</v>
      </c>
      <c r="I120" s="428">
        <f>IFERROR(__xludf.DUMMYFUNCTION("""COMPUTED_VALUE"""),2.06058992E8)</f>
        <v>206058992</v>
      </c>
      <c r="J120" s="428">
        <f>IFERROR(__xludf.DUMMYFUNCTION("""COMPUTED_VALUE"""),0.0)</f>
        <v>0</v>
      </c>
      <c r="K120" s="428">
        <f>IFERROR(__xludf.DUMMYFUNCTION("""COMPUTED_VALUE"""),0.0)</f>
        <v>0</v>
      </c>
      <c r="L120" s="428">
        <f>IFERROR(__xludf.DUMMYFUNCTION("""COMPUTED_VALUE"""),0.0)</f>
        <v>0</v>
      </c>
      <c r="M120" s="428">
        <f>IFERROR(__xludf.DUMMYFUNCTION("""COMPUTED_VALUE"""),0.0)</f>
        <v>0</v>
      </c>
      <c r="N120" s="428">
        <f>IFERROR(__xludf.DUMMYFUNCTION("""COMPUTED_VALUE"""),0.0)</f>
        <v>0</v>
      </c>
      <c r="O120" s="428">
        <f>IFERROR(__xludf.DUMMYFUNCTION("""COMPUTED_VALUE"""),7.11190514E8)</f>
        <v>711190514</v>
      </c>
      <c r="P120" s="428">
        <f>IFERROR(__xludf.DUMMYFUNCTION("""COMPUTED_VALUE"""),0.0)</f>
        <v>0</v>
      </c>
      <c r="Q120" s="428">
        <f>IFERROR(__xludf.DUMMYFUNCTION("""COMPUTED_VALUE"""),0.0)</f>
        <v>0</v>
      </c>
      <c r="R120" s="428">
        <f>IFERROR(__xludf.DUMMYFUNCTION("""COMPUTED_VALUE"""),0.0)</f>
        <v>0</v>
      </c>
      <c r="S120" s="428">
        <f>IFERROR(__xludf.DUMMYFUNCTION("""COMPUTED_VALUE"""),0.0)</f>
        <v>0</v>
      </c>
      <c r="T120" s="428">
        <f>IFERROR(__xludf.DUMMYFUNCTION("""COMPUTED_VALUE"""),0.0)</f>
        <v>0</v>
      </c>
      <c r="U120" s="428">
        <f>IFERROR(__xludf.DUMMYFUNCTION("""COMPUTED_VALUE"""),4961480.0)</f>
        <v>4961480</v>
      </c>
      <c r="V120" s="428">
        <f>IFERROR(__xludf.DUMMYFUNCTION("""COMPUTED_VALUE"""),9.22210986E8)</f>
        <v>922210986</v>
      </c>
      <c r="W120" s="65"/>
      <c r="X120" s="65"/>
    </row>
    <row r="121" ht="14.25" customHeight="1">
      <c r="A121" s="366">
        <f t="shared" si="2"/>
        <v>117</v>
      </c>
      <c r="B121" s="418"/>
      <c r="C121" s="400"/>
      <c r="D121" s="429" t="s">
        <v>884</v>
      </c>
      <c r="E121" s="430"/>
      <c r="F121" s="430"/>
      <c r="G121" s="430"/>
      <c r="H121" s="430"/>
      <c r="I121" s="430"/>
      <c r="J121" s="430"/>
      <c r="K121" s="430"/>
      <c r="L121" s="430"/>
      <c r="M121" s="430"/>
      <c r="N121" s="430"/>
      <c r="O121" s="430"/>
      <c r="P121" s="430"/>
      <c r="Q121" s="430"/>
      <c r="R121" s="430"/>
      <c r="S121" s="430"/>
      <c r="T121" s="430"/>
      <c r="U121" s="430"/>
      <c r="V121" s="430"/>
      <c r="W121" s="65"/>
      <c r="X121" s="65"/>
    </row>
    <row r="122" ht="14.25" customHeight="1">
      <c r="A122" s="366">
        <f t="shared" si="2"/>
        <v>118</v>
      </c>
      <c r="B122" s="431" t="s">
        <v>526</v>
      </c>
      <c r="C122" s="432" t="s">
        <v>885</v>
      </c>
      <c r="D122" s="416" t="s">
        <v>885</v>
      </c>
      <c r="E122" s="388">
        <f>IFERROR(__xludf.DUMMYFUNCTION("""COMPUTED_VALUE"""),0.0)</f>
        <v>0</v>
      </c>
      <c r="F122" s="388">
        <f>IFERROR(__xludf.DUMMYFUNCTION("""COMPUTED_VALUE"""),0.0)</f>
        <v>0</v>
      </c>
      <c r="G122" s="388">
        <f>IFERROR(__xludf.DUMMYFUNCTION("""COMPUTED_VALUE"""),0.0)</f>
        <v>0</v>
      </c>
      <c r="H122" s="388">
        <f>IFERROR(__xludf.DUMMYFUNCTION("""COMPUTED_VALUE"""),0.0)</f>
        <v>0</v>
      </c>
      <c r="I122" s="388">
        <f>IFERROR(__xludf.DUMMYFUNCTION("""COMPUTED_VALUE"""),0.0)</f>
        <v>0</v>
      </c>
      <c r="J122" s="388">
        <f>IFERROR(__xludf.DUMMYFUNCTION("""COMPUTED_VALUE"""),0.0)</f>
        <v>0</v>
      </c>
      <c r="K122" s="388">
        <f>IFERROR(__xludf.DUMMYFUNCTION("""COMPUTED_VALUE"""),0.0)</f>
        <v>0</v>
      </c>
      <c r="L122" s="388">
        <f>IFERROR(__xludf.DUMMYFUNCTION("""COMPUTED_VALUE"""),0.0)</f>
        <v>0</v>
      </c>
      <c r="M122" s="388">
        <f>IFERROR(__xludf.DUMMYFUNCTION("""COMPUTED_VALUE"""),0.0)</f>
        <v>0</v>
      </c>
      <c r="N122" s="388">
        <f>IFERROR(__xludf.DUMMYFUNCTION("""COMPUTED_VALUE"""),0.0)</f>
        <v>0</v>
      </c>
      <c r="O122" s="388">
        <f>IFERROR(__xludf.DUMMYFUNCTION("""COMPUTED_VALUE"""),0.0)</f>
        <v>0</v>
      </c>
      <c r="P122" s="388">
        <f>IFERROR(__xludf.DUMMYFUNCTION("""COMPUTED_VALUE"""),0.0)</f>
        <v>0</v>
      </c>
      <c r="Q122" s="388">
        <f>IFERROR(__xludf.DUMMYFUNCTION("""COMPUTED_VALUE"""),0.0)</f>
        <v>0</v>
      </c>
      <c r="R122" s="388">
        <f>IFERROR(__xludf.DUMMYFUNCTION("""COMPUTED_VALUE"""),0.0)</f>
        <v>0</v>
      </c>
      <c r="S122" s="388">
        <f>IFERROR(__xludf.DUMMYFUNCTION("""COMPUTED_VALUE"""),0.0)</f>
        <v>0</v>
      </c>
      <c r="T122" s="388">
        <f>IFERROR(__xludf.DUMMYFUNCTION("""COMPUTED_VALUE"""),0.0)</f>
        <v>0</v>
      </c>
      <c r="U122" s="388">
        <f>IFERROR(__xludf.DUMMYFUNCTION("""COMPUTED_VALUE"""),0.0)</f>
        <v>0</v>
      </c>
      <c r="V122" s="389">
        <f>IFERROR(__xludf.DUMMYFUNCTION("""COMPUTED_VALUE"""),0.0)</f>
        <v>0</v>
      </c>
      <c r="W122" s="65"/>
      <c r="X122" s="65"/>
    </row>
    <row r="123" ht="14.25" customHeight="1">
      <c r="A123" s="366">
        <f t="shared" si="2"/>
        <v>119</v>
      </c>
      <c r="B123" s="433" t="s">
        <v>503</v>
      </c>
      <c r="C123" s="434" t="s">
        <v>886</v>
      </c>
      <c r="D123" s="416" t="s">
        <v>886</v>
      </c>
      <c r="E123" s="388">
        <f>IFERROR(__xludf.DUMMYFUNCTION("""COMPUTED_VALUE"""),0.0)</f>
        <v>0</v>
      </c>
      <c r="F123" s="388">
        <f>IFERROR(__xludf.DUMMYFUNCTION("""COMPUTED_VALUE"""),0.0)</f>
        <v>0</v>
      </c>
      <c r="G123" s="388">
        <f>IFERROR(__xludf.DUMMYFUNCTION("""COMPUTED_VALUE"""),0.0)</f>
        <v>0</v>
      </c>
      <c r="H123" s="388">
        <f>IFERROR(__xludf.DUMMYFUNCTION("""COMPUTED_VALUE"""),0.0)</f>
        <v>0</v>
      </c>
      <c r="I123" s="388">
        <f>IFERROR(__xludf.DUMMYFUNCTION("""COMPUTED_VALUE"""),1.53430139E8)</f>
        <v>153430139</v>
      </c>
      <c r="J123" s="388">
        <f>IFERROR(__xludf.DUMMYFUNCTION("""COMPUTED_VALUE"""),0.0)</f>
        <v>0</v>
      </c>
      <c r="K123" s="388">
        <f>IFERROR(__xludf.DUMMYFUNCTION("""COMPUTED_VALUE"""),0.0)</f>
        <v>0</v>
      </c>
      <c r="L123" s="388">
        <f>IFERROR(__xludf.DUMMYFUNCTION("""COMPUTED_VALUE"""),0.0)</f>
        <v>0</v>
      </c>
      <c r="M123" s="388">
        <f>IFERROR(__xludf.DUMMYFUNCTION("""COMPUTED_VALUE"""),0.0)</f>
        <v>0</v>
      </c>
      <c r="N123" s="388">
        <f>IFERROR(__xludf.DUMMYFUNCTION("""COMPUTED_VALUE"""),0.0)</f>
        <v>0</v>
      </c>
      <c r="O123" s="388">
        <f>IFERROR(__xludf.DUMMYFUNCTION("""COMPUTED_VALUE"""),2.11541937E8)</f>
        <v>211541937</v>
      </c>
      <c r="P123" s="388">
        <f>IFERROR(__xludf.DUMMYFUNCTION("""COMPUTED_VALUE"""),0.0)</f>
        <v>0</v>
      </c>
      <c r="Q123" s="388">
        <f>IFERROR(__xludf.DUMMYFUNCTION("""COMPUTED_VALUE"""),0.0)</f>
        <v>0</v>
      </c>
      <c r="R123" s="388">
        <f>IFERROR(__xludf.DUMMYFUNCTION("""COMPUTED_VALUE"""),0.0)</f>
        <v>0</v>
      </c>
      <c r="S123" s="388">
        <f>IFERROR(__xludf.DUMMYFUNCTION("""COMPUTED_VALUE"""),0.0)</f>
        <v>0</v>
      </c>
      <c r="T123" s="388">
        <f>IFERROR(__xludf.DUMMYFUNCTION("""COMPUTED_VALUE"""),0.0)</f>
        <v>0</v>
      </c>
      <c r="U123" s="388">
        <f>IFERROR(__xludf.DUMMYFUNCTION("""COMPUTED_VALUE"""),0.0)</f>
        <v>0</v>
      </c>
      <c r="V123" s="389">
        <f>IFERROR(__xludf.DUMMYFUNCTION("""COMPUTED_VALUE"""),3.64972076E8)</f>
        <v>364972076</v>
      </c>
      <c r="W123" s="65"/>
      <c r="X123" s="65"/>
    </row>
    <row r="124" ht="14.25" customHeight="1">
      <c r="A124" s="366">
        <f t="shared" si="2"/>
        <v>120</v>
      </c>
      <c r="B124" s="431" t="s">
        <v>505</v>
      </c>
      <c r="C124" s="432" t="s">
        <v>887</v>
      </c>
      <c r="D124" s="416" t="s">
        <v>887</v>
      </c>
      <c r="E124" s="388">
        <f>IFERROR(__xludf.DUMMYFUNCTION("""COMPUTED_VALUE"""),0.0)</f>
        <v>0</v>
      </c>
      <c r="F124" s="388">
        <f>IFERROR(__xludf.DUMMYFUNCTION("""COMPUTED_VALUE"""),0.0)</f>
        <v>0</v>
      </c>
      <c r="G124" s="388">
        <f>IFERROR(__xludf.DUMMYFUNCTION("""COMPUTED_VALUE"""),0.0)</f>
        <v>0</v>
      </c>
      <c r="H124" s="388">
        <f>IFERROR(__xludf.DUMMYFUNCTION("""COMPUTED_VALUE"""),0.0)</f>
        <v>0</v>
      </c>
      <c r="I124" s="388">
        <f>IFERROR(__xludf.DUMMYFUNCTION("""COMPUTED_VALUE"""),1107530.0)</f>
        <v>1107530</v>
      </c>
      <c r="J124" s="388">
        <f>IFERROR(__xludf.DUMMYFUNCTION("""COMPUTED_VALUE"""),0.0)</f>
        <v>0</v>
      </c>
      <c r="K124" s="388">
        <f>IFERROR(__xludf.DUMMYFUNCTION("""COMPUTED_VALUE"""),0.0)</f>
        <v>0</v>
      </c>
      <c r="L124" s="388">
        <f>IFERROR(__xludf.DUMMYFUNCTION("""COMPUTED_VALUE"""),0.0)</f>
        <v>0</v>
      </c>
      <c r="M124" s="388">
        <f>IFERROR(__xludf.DUMMYFUNCTION("""COMPUTED_VALUE"""),0.0)</f>
        <v>0</v>
      </c>
      <c r="N124" s="388">
        <f>IFERROR(__xludf.DUMMYFUNCTION("""COMPUTED_VALUE"""),0.0)</f>
        <v>0</v>
      </c>
      <c r="O124" s="388">
        <f>IFERROR(__xludf.DUMMYFUNCTION("""COMPUTED_VALUE"""),2.0819376E7)</f>
        <v>20819376</v>
      </c>
      <c r="P124" s="388">
        <f>IFERROR(__xludf.DUMMYFUNCTION("""COMPUTED_VALUE"""),0.0)</f>
        <v>0</v>
      </c>
      <c r="Q124" s="388">
        <f>IFERROR(__xludf.DUMMYFUNCTION("""COMPUTED_VALUE"""),0.0)</f>
        <v>0</v>
      </c>
      <c r="R124" s="388">
        <f>IFERROR(__xludf.DUMMYFUNCTION("""COMPUTED_VALUE"""),0.0)</f>
        <v>0</v>
      </c>
      <c r="S124" s="388">
        <f>IFERROR(__xludf.DUMMYFUNCTION("""COMPUTED_VALUE"""),0.0)</f>
        <v>0</v>
      </c>
      <c r="T124" s="388">
        <f>IFERROR(__xludf.DUMMYFUNCTION("""COMPUTED_VALUE"""),0.0)</f>
        <v>0</v>
      </c>
      <c r="U124" s="388">
        <f>IFERROR(__xludf.DUMMYFUNCTION("""COMPUTED_VALUE"""),0.0)</f>
        <v>0</v>
      </c>
      <c r="V124" s="389">
        <f>IFERROR(__xludf.DUMMYFUNCTION("""COMPUTED_VALUE"""),2.1926906E7)</f>
        <v>21926906</v>
      </c>
      <c r="W124" s="65"/>
      <c r="X124" s="65"/>
    </row>
    <row r="125" ht="14.25" customHeight="1">
      <c r="A125" s="366">
        <f t="shared" si="2"/>
        <v>121</v>
      </c>
      <c r="B125" s="431" t="s">
        <v>507</v>
      </c>
      <c r="C125" s="432" t="s">
        <v>888</v>
      </c>
      <c r="D125" s="416" t="s">
        <v>888</v>
      </c>
      <c r="E125" s="388">
        <f>IFERROR(__xludf.DUMMYFUNCTION("""COMPUTED_VALUE"""),0.0)</f>
        <v>0</v>
      </c>
      <c r="F125" s="388">
        <f>IFERROR(__xludf.DUMMYFUNCTION("""COMPUTED_VALUE"""),0.0)</f>
        <v>0</v>
      </c>
      <c r="G125" s="388">
        <f>IFERROR(__xludf.DUMMYFUNCTION("""COMPUTED_VALUE"""),0.0)</f>
        <v>0</v>
      </c>
      <c r="H125" s="388">
        <f>IFERROR(__xludf.DUMMYFUNCTION("""COMPUTED_VALUE"""),0.0)</f>
        <v>0</v>
      </c>
      <c r="I125" s="388">
        <f>IFERROR(__xludf.DUMMYFUNCTION("""COMPUTED_VALUE"""),141851.0)</f>
        <v>141851</v>
      </c>
      <c r="J125" s="388">
        <f>IFERROR(__xludf.DUMMYFUNCTION("""COMPUTED_VALUE"""),0.0)</f>
        <v>0</v>
      </c>
      <c r="K125" s="388">
        <f>IFERROR(__xludf.DUMMYFUNCTION("""COMPUTED_VALUE"""),0.0)</f>
        <v>0</v>
      </c>
      <c r="L125" s="388">
        <f>IFERROR(__xludf.DUMMYFUNCTION("""COMPUTED_VALUE"""),0.0)</f>
        <v>0</v>
      </c>
      <c r="M125" s="388">
        <f>IFERROR(__xludf.DUMMYFUNCTION("""COMPUTED_VALUE"""),0.0)</f>
        <v>0</v>
      </c>
      <c r="N125" s="388">
        <f>IFERROR(__xludf.DUMMYFUNCTION("""COMPUTED_VALUE"""),0.0)</f>
        <v>0</v>
      </c>
      <c r="O125" s="388">
        <f>IFERROR(__xludf.DUMMYFUNCTION("""COMPUTED_VALUE"""),1773341.0)</f>
        <v>1773341</v>
      </c>
      <c r="P125" s="388">
        <f>IFERROR(__xludf.DUMMYFUNCTION("""COMPUTED_VALUE"""),0.0)</f>
        <v>0</v>
      </c>
      <c r="Q125" s="388">
        <f>IFERROR(__xludf.DUMMYFUNCTION("""COMPUTED_VALUE"""),0.0)</f>
        <v>0</v>
      </c>
      <c r="R125" s="388">
        <f>IFERROR(__xludf.DUMMYFUNCTION("""COMPUTED_VALUE"""),0.0)</f>
        <v>0</v>
      </c>
      <c r="S125" s="388">
        <f>IFERROR(__xludf.DUMMYFUNCTION("""COMPUTED_VALUE"""),0.0)</f>
        <v>0</v>
      </c>
      <c r="T125" s="388">
        <f>IFERROR(__xludf.DUMMYFUNCTION("""COMPUTED_VALUE"""),0.0)</f>
        <v>0</v>
      </c>
      <c r="U125" s="388">
        <f>IFERROR(__xludf.DUMMYFUNCTION("""COMPUTED_VALUE"""),0.0)</f>
        <v>0</v>
      </c>
      <c r="V125" s="389">
        <f>IFERROR(__xludf.DUMMYFUNCTION("""COMPUTED_VALUE"""),1915192.0)</f>
        <v>1915192</v>
      </c>
      <c r="W125" s="65"/>
      <c r="X125" s="65"/>
    </row>
    <row r="126" ht="14.25" customHeight="1">
      <c r="A126" s="366">
        <f t="shared" si="2"/>
        <v>122</v>
      </c>
      <c r="B126" s="431" t="s">
        <v>561</v>
      </c>
      <c r="C126" s="432" t="s">
        <v>889</v>
      </c>
      <c r="D126" s="416" t="s">
        <v>889</v>
      </c>
      <c r="E126" s="388">
        <f>IFERROR(__xludf.DUMMYFUNCTION("""COMPUTED_VALUE"""),0.0)</f>
        <v>0</v>
      </c>
      <c r="F126" s="388">
        <f>IFERROR(__xludf.DUMMYFUNCTION("""COMPUTED_VALUE"""),0.0)</f>
        <v>0</v>
      </c>
      <c r="G126" s="388">
        <f>IFERROR(__xludf.DUMMYFUNCTION("""COMPUTED_VALUE"""),0.0)</f>
        <v>0</v>
      </c>
      <c r="H126" s="388">
        <f>IFERROR(__xludf.DUMMYFUNCTION("""COMPUTED_VALUE"""),0.0)</f>
        <v>0</v>
      </c>
      <c r="I126" s="388">
        <f>IFERROR(__xludf.DUMMYFUNCTION("""COMPUTED_VALUE"""),0.0)</f>
        <v>0</v>
      </c>
      <c r="J126" s="388">
        <f>IFERROR(__xludf.DUMMYFUNCTION("""COMPUTED_VALUE"""),0.0)</f>
        <v>0</v>
      </c>
      <c r="K126" s="388">
        <f>IFERROR(__xludf.DUMMYFUNCTION("""COMPUTED_VALUE"""),0.0)</f>
        <v>0</v>
      </c>
      <c r="L126" s="388">
        <f>IFERROR(__xludf.DUMMYFUNCTION("""COMPUTED_VALUE"""),0.0)</f>
        <v>0</v>
      </c>
      <c r="M126" s="388">
        <f>IFERROR(__xludf.DUMMYFUNCTION("""COMPUTED_VALUE"""),0.0)</f>
        <v>0</v>
      </c>
      <c r="N126" s="388">
        <f>IFERROR(__xludf.DUMMYFUNCTION("""COMPUTED_VALUE"""),0.0)</f>
        <v>0</v>
      </c>
      <c r="O126" s="388">
        <f>IFERROR(__xludf.DUMMYFUNCTION("""COMPUTED_VALUE"""),0.0)</f>
        <v>0</v>
      </c>
      <c r="P126" s="388">
        <f>IFERROR(__xludf.DUMMYFUNCTION("""COMPUTED_VALUE"""),0.0)</f>
        <v>0</v>
      </c>
      <c r="Q126" s="388">
        <f>IFERROR(__xludf.DUMMYFUNCTION("""COMPUTED_VALUE"""),0.0)</f>
        <v>0</v>
      </c>
      <c r="R126" s="388">
        <f>IFERROR(__xludf.DUMMYFUNCTION("""COMPUTED_VALUE"""),0.0)</f>
        <v>0</v>
      </c>
      <c r="S126" s="388">
        <f>IFERROR(__xludf.DUMMYFUNCTION("""COMPUTED_VALUE"""),0.0)</f>
        <v>0</v>
      </c>
      <c r="T126" s="388">
        <f>IFERROR(__xludf.DUMMYFUNCTION("""COMPUTED_VALUE"""),0.0)</f>
        <v>0</v>
      </c>
      <c r="U126" s="388">
        <f>IFERROR(__xludf.DUMMYFUNCTION("""COMPUTED_VALUE"""),0.0)</f>
        <v>0</v>
      </c>
      <c r="V126" s="389">
        <f>IFERROR(__xludf.DUMMYFUNCTION("""COMPUTED_VALUE"""),0.0)</f>
        <v>0</v>
      </c>
      <c r="W126" s="65"/>
      <c r="X126" s="65"/>
    </row>
    <row r="127" ht="14.25" customHeight="1">
      <c r="A127" s="366">
        <f t="shared" si="2"/>
        <v>123</v>
      </c>
      <c r="B127" s="431" t="s">
        <v>509</v>
      </c>
      <c r="C127" s="432" t="s">
        <v>890</v>
      </c>
      <c r="D127" s="416" t="s">
        <v>890</v>
      </c>
      <c r="E127" s="388">
        <f>IFERROR(__xludf.DUMMYFUNCTION("""COMPUTED_VALUE"""),0.0)</f>
        <v>0</v>
      </c>
      <c r="F127" s="388">
        <f>IFERROR(__xludf.DUMMYFUNCTION("""COMPUTED_VALUE"""),0.0)</f>
        <v>0</v>
      </c>
      <c r="G127" s="388">
        <f>IFERROR(__xludf.DUMMYFUNCTION("""COMPUTED_VALUE"""),0.0)</f>
        <v>0</v>
      </c>
      <c r="H127" s="388">
        <f>IFERROR(__xludf.DUMMYFUNCTION("""COMPUTED_VALUE"""),0.0)</f>
        <v>0</v>
      </c>
      <c r="I127" s="388">
        <f>IFERROR(__xludf.DUMMYFUNCTION("""COMPUTED_VALUE"""),0.0)</f>
        <v>0</v>
      </c>
      <c r="J127" s="388">
        <f>IFERROR(__xludf.DUMMYFUNCTION("""COMPUTED_VALUE"""),0.0)</f>
        <v>0</v>
      </c>
      <c r="K127" s="388">
        <f>IFERROR(__xludf.DUMMYFUNCTION("""COMPUTED_VALUE"""),0.0)</f>
        <v>0</v>
      </c>
      <c r="L127" s="388">
        <f>IFERROR(__xludf.DUMMYFUNCTION("""COMPUTED_VALUE"""),0.0)</f>
        <v>0</v>
      </c>
      <c r="M127" s="388">
        <f>IFERROR(__xludf.DUMMYFUNCTION("""COMPUTED_VALUE"""),0.0)</f>
        <v>0</v>
      </c>
      <c r="N127" s="388">
        <f>IFERROR(__xludf.DUMMYFUNCTION("""COMPUTED_VALUE"""),0.0)</f>
        <v>0</v>
      </c>
      <c r="O127" s="388">
        <f>IFERROR(__xludf.DUMMYFUNCTION("""COMPUTED_VALUE"""),133334.0)</f>
        <v>133334</v>
      </c>
      <c r="P127" s="388">
        <f>IFERROR(__xludf.DUMMYFUNCTION("""COMPUTED_VALUE"""),0.0)</f>
        <v>0</v>
      </c>
      <c r="Q127" s="388">
        <f>IFERROR(__xludf.DUMMYFUNCTION("""COMPUTED_VALUE"""),0.0)</f>
        <v>0</v>
      </c>
      <c r="R127" s="388">
        <f>IFERROR(__xludf.DUMMYFUNCTION("""COMPUTED_VALUE"""),0.0)</f>
        <v>0</v>
      </c>
      <c r="S127" s="388">
        <f>IFERROR(__xludf.DUMMYFUNCTION("""COMPUTED_VALUE"""),0.0)</f>
        <v>0</v>
      </c>
      <c r="T127" s="388">
        <f>IFERROR(__xludf.DUMMYFUNCTION("""COMPUTED_VALUE"""),0.0)</f>
        <v>0</v>
      </c>
      <c r="U127" s="388">
        <f>IFERROR(__xludf.DUMMYFUNCTION("""COMPUTED_VALUE"""),0.0)</f>
        <v>0</v>
      </c>
      <c r="V127" s="389">
        <f>IFERROR(__xludf.DUMMYFUNCTION("""COMPUTED_VALUE"""),133334.0)</f>
        <v>133334</v>
      </c>
      <c r="W127" s="65"/>
      <c r="X127" s="65"/>
    </row>
    <row r="128" ht="14.25" customHeight="1">
      <c r="A128" s="366">
        <f t="shared" si="2"/>
        <v>124</v>
      </c>
      <c r="B128" s="431" t="s">
        <v>567</v>
      </c>
      <c r="C128" s="435" t="s">
        <v>891</v>
      </c>
      <c r="D128" s="387" t="s">
        <v>891</v>
      </c>
      <c r="E128" s="388">
        <f>IFERROR(__xludf.DUMMYFUNCTION("""COMPUTED_VALUE"""),0.0)</f>
        <v>0</v>
      </c>
      <c r="F128" s="388">
        <f>IFERROR(__xludf.DUMMYFUNCTION("""COMPUTED_VALUE"""),0.0)</f>
        <v>0</v>
      </c>
      <c r="G128" s="388">
        <f>IFERROR(__xludf.DUMMYFUNCTION("""COMPUTED_VALUE"""),0.0)</f>
        <v>0</v>
      </c>
      <c r="H128" s="388">
        <f>IFERROR(__xludf.DUMMYFUNCTION("""COMPUTED_VALUE"""),0.0)</f>
        <v>0</v>
      </c>
      <c r="I128" s="388">
        <f>IFERROR(__xludf.DUMMYFUNCTION("""COMPUTED_VALUE"""),0.0)</f>
        <v>0</v>
      </c>
      <c r="J128" s="388">
        <f>IFERROR(__xludf.DUMMYFUNCTION("""COMPUTED_VALUE"""),0.0)</f>
        <v>0</v>
      </c>
      <c r="K128" s="388">
        <f>IFERROR(__xludf.DUMMYFUNCTION("""COMPUTED_VALUE"""),0.0)</f>
        <v>0</v>
      </c>
      <c r="L128" s="388">
        <f>IFERROR(__xludf.DUMMYFUNCTION("""COMPUTED_VALUE"""),0.0)</f>
        <v>0</v>
      </c>
      <c r="M128" s="388">
        <f>IFERROR(__xludf.DUMMYFUNCTION("""COMPUTED_VALUE"""),0.0)</f>
        <v>0</v>
      </c>
      <c r="N128" s="388">
        <f>IFERROR(__xludf.DUMMYFUNCTION("""COMPUTED_VALUE"""),0.0)</f>
        <v>0</v>
      </c>
      <c r="O128" s="388">
        <f>IFERROR(__xludf.DUMMYFUNCTION("""COMPUTED_VALUE"""),0.0)</f>
        <v>0</v>
      </c>
      <c r="P128" s="388">
        <f>IFERROR(__xludf.DUMMYFUNCTION("""COMPUTED_VALUE"""),0.0)</f>
        <v>0</v>
      </c>
      <c r="Q128" s="388">
        <f>IFERROR(__xludf.DUMMYFUNCTION("""COMPUTED_VALUE"""),0.0)</f>
        <v>0</v>
      </c>
      <c r="R128" s="388">
        <f>IFERROR(__xludf.DUMMYFUNCTION("""COMPUTED_VALUE"""),0.0)</f>
        <v>0</v>
      </c>
      <c r="S128" s="388">
        <f>IFERROR(__xludf.DUMMYFUNCTION("""COMPUTED_VALUE"""),0.0)</f>
        <v>0</v>
      </c>
      <c r="T128" s="388">
        <f>IFERROR(__xludf.DUMMYFUNCTION("""COMPUTED_VALUE"""),0.0)</f>
        <v>0</v>
      </c>
      <c r="U128" s="388">
        <f>IFERROR(__xludf.DUMMYFUNCTION("""COMPUTED_VALUE"""),0.0)</f>
        <v>0</v>
      </c>
      <c r="V128" s="389">
        <f>IFERROR(__xludf.DUMMYFUNCTION("""COMPUTED_VALUE"""),0.0)</f>
        <v>0</v>
      </c>
      <c r="W128" s="65"/>
      <c r="X128" s="65"/>
    </row>
    <row r="129" ht="14.25" customHeight="1">
      <c r="A129" s="366">
        <f t="shared" si="2"/>
        <v>125</v>
      </c>
      <c r="B129" s="431" t="s">
        <v>511</v>
      </c>
      <c r="C129" s="432" t="s">
        <v>892</v>
      </c>
      <c r="D129" s="416" t="s">
        <v>892</v>
      </c>
      <c r="E129" s="388">
        <f>IFERROR(__xludf.DUMMYFUNCTION("""COMPUTED_VALUE"""),0.0)</f>
        <v>0</v>
      </c>
      <c r="F129" s="388">
        <f>IFERROR(__xludf.DUMMYFUNCTION("""COMPUTED_VALUE"""),0.0)</f>
        <v>0</v>
      </c>
      <c r="G129" s="388">
        <f>IFERROR(__xludf.DUMMYFUNCTION("""COMPUTED_VALUE"""),0.0)</f>
        <v>0</v>
      </c>
      <c r="H129" s="388">
        <f>IFERROR(__xludf.DUMMYFUNCTION("""COMPUTED_VALUE"""),0.0)</f>
        <v>0</v>
      </c>
      <c r="I129" s="388">
        <f>IFERROR(__xludf.DUMMYFUNCTION("""COMPUTED_VALUE"""),9695597.0)</f>
        <v>9695597</v>
      </c>
      <c r="J129" s="388">
        <f>IFERROR(__xludf.DUMMYFUNCTION("""COMPUTED_VALUE"""),0.0)</f>
        <v>0</v>
      </c>
      <c r="K129" s="388">
        <f>IFERROR(__xludf.DUMMYFUNCTION("""COMPUTED_VALUE"""),0.0)</f>
        <v>0</v>
      </c>
      <c r="L129" s="388">
        <f>IFERROR(__xludf.DUMMYFUNCTION("""COMPUTED_VALUE"""),0.0)</f>
        <v>0</v>
      </c>
      <c r="M129" s="388">
        <f>IFERROR(__xludf.DUMMYFUNCTION("""COMPUTED_VALUE"""),0.0)</f>
        <v>0</v>
      </c>
      <c r="N129" s="388">
        <f>IFERROR(__xludf.DUMMYFUNCTION("""COMPUTED_VALUE"""),0.0)</f>
        <v>0</v>
      </c>
      <c r="O129" s="388">
        <f>IFERROR(__xludf.DUMMYFUNCTION("""COMPUTED_VALUE"""),5.5285063E7)</f>
        <v>55285063</v>
      </c>
      <c r="P129" s="388">
        <f>IFERROR(__xludf.DUMMYFUNCTION("""COMPUTED_VALUE"""),0.0)</f>
        <v>0</v>
      </c>
      <c r="Q129" s="388">
        <f>IFERROR(__xludf.DUMMYFUNCTION("""COMPUTED_VALUE"""),0.0)</f>
        <v>0</v>
      </c>
      <c r="R129" s="388">
        <f>IFERROR(__xludf.DUMMYFUNCTION("""COMPUTED_VALUE"""),0.0)</f>
        <v>0</v>
      </c>
      <c r="S129" s="388">
        <f>IFERROR(__xludf.DUMMYFUNCTION("""COMPUTED_VALUE"""),0.0)</f>
        <v>0</v>
      </c>
      <c r="T129" s="388">
        <f>IFERROR(__xludf.DUMMYFUNCTION("""COMPUTED_VALUE"""),0.0)</f>
        <v>0</v>
      </c>
      <c r="U129" s="388">
        <f>IFERROR(__xludf.DUMMYFUNCTION("""COMPUTED_VALUE"""),0.0)</f>
        <v>0</v>
      </c>
      <c r="V129" s="389">
        <f>IFERROR(__xludf.DUMMYFUNCTION("""COMPUTED_VALUE"""),6.498066E7)</f>
        <v>64980660</v>
      </c>
      <c r="W129" s="65"/>
      <c r="X129" s="65"/>
    </row>
    <row r="130" ht="14.25" customHeight="1">
      <c r="A130" s="366">
        <f t="shared" si="2"/>
        <v>126</v>
      </c>
      <c r="B130" s="431" t="s">
        <v>513</v>
      </c>
      <c r="C130" s="432" t="s">
        <v>893</v>
      </c>
      <c r="D130" s="416" t="s">
        <v>893</v>
      </c>
      <c r="E130" s="388">
        <f>IFERROR(__xludf.DUMMYFUNCTION("""COMPUTED_VALUE"""),0.0)</f>
        <v>0</v>
      </c>
      <c r="F130" s="388">
        <f>IFERROR(__xludf.DUMMYFUNCTION("""COMPUTED_VALUE"""),0.0)</f>
        <v>0</v>
      </c>
      <c r="G130" s="388">
        <f>IFERROR(__xludf.DUMMYFUNCTION("""COMPUTED_VALUE"""),0.0)</f>
        <v>0</v>
      </c>
      <c r="H130" s="388">
        <f>IFERROR(__xludf.DUMMYFUNCTION("""COMPUTED_VALUE"""),0.0)</f>
        <v>0</v>
      </c>
      <c r="I130" s="388">
        <f>IFERROR(__xludf.DUMMYFUNCTION("""COMPUTED_VALUE"""),2915926.0)</f>
        <v>2915926</v>
      </c>
      <c r="J130" s="388">
        <f>IFERROR(__xludf.DUMMYFUNCTION("""COMPUTED_VALUE"""),0.0)</f>
        <v>0</v>
      </c>
      <c r="K130" s="388">
        <f>IFERROR(__xludf.DUMMYFUNCTION("""COMPUTED_VALUE"""),0.0)</f>
        <v>0</v>
      </c>
      <c r="L130" s="388">
        <f>IFERROR(__xludf.DUMMYFUNCTION("""COMPUTED_VALUE"""),0.0)</f>
        <v>0</v>
      </c>
      <c r="M130" s="388">
        <f>IFERROR(__xludf.DUMMYFUNCTION("""COMPUTED_VALUE"""),0.0)</f>
        <v>0</v>
      </c>
      <c r="N130" s="388">
        <f>IFERROR(__xludf.DUMMYFUNCTION("""COMPUTED_VALUE"""),0.0)</f>
        <v>0</v>
      </c>
      <c r="O130" s="388">
        <f>IFERROR(__xludf.DUMMYFUNCTION("""COMPUTED_VALUE"""),3931589.0)</f>
        <v>3931589</v>
      </c>
      <c r="P130" s="388">
        <f>IFERROR(__xludf.DUMMYFUNCTION("""COMPUTED_VALUE"""),0.0)</f>
        <v>0</v>
      </c>
      <c r="Q130" s="388">
        <f>IFERROR(__xludf.DUMMYFUNCTION("""COMPUTED_VALUE"""),0.0)</f>
        <v>0</v>
      </c>
      <c r="R130" s="388">
        <f>IFERROR(__xludf.DUMMYFUNCTION("""COMPUTED_VALUE"""),0.0)</f>
        <v>0</v>
      </c>
      <c r="S130" s="388">
        <f>IFERROR(__xludf.DUMMYFUNCTION("""COMPUTED_VALUE"""),0.0)</f>
        <v>0</v>
      </c>
      <c r="T130" s="388">
        <f>IFERROR(__xludf.DUMMYFUNCTION("""COMPUTED_VALUE"""),0.0)</f>
        <v>0</v>
      </c>
      <c r="U130" s="388">
        <f>IFERROR(__xludf.DUMMYFUNCTION("""COMPUTED_VALUE"""),0.0)</f>
        <v>0</v>
      </c>
      <c r="V130" s="389">
        <f>IFERROR(__xludf.DUMMYFUNCTION("""COMPUTED_VALUE"""),6847515.0)</f>
        <v>6847515</v>
      </c>
      <c r="W130" s="65"/>
      <c r="X130" s="65"/>
    </row>
    <row r="131" ht="14.25" customHeight="1">
      <c r="A131" s="366">
        <f t="shared" si="2"/>
        <v>127</v>
      </c>
      <c r="B131" s="431" t="s">
        <v>528</v>
      </c>
      <c r="C131" s="432" t="s">
        <v>894</v>
      </c>
      <c r="D131" s="416" t="s">
        <v>894</v>
      </c>
      <c r="E131" s="388">
        <f>IFERROR(__xludf.DUMMYFUNCTION("""COMPUTED_VALUE"""),0.0)</f>
        <v>0</v>
      </c>
      <c r="F131" s="388">
        <f>IFERROR(__xludf.DUMMYFUNCTION("""COMPUTED_VALUE"""),0.0)</f>
        <v>0</v>
      </c>
      <c r="G131" s="388">
        <f>IFERROR(__xludf.DUMMYFUNCTION("""COMPUTED_VALUE"""),0.0)</f>
        <v>0</v>
      </c>
      <c r="H131" s="388">
        <f>IFERROR(__xludf.DUMMYFUNCTION("""COMPUTED_VALUE"""),0.0)</f>
        <v>0</v>
      </c>
      <c r="I131" s="388">
        <f>IFERROR(__xludf.DUMMYFUNCTION("""COMPUTED_VALUE"""),0.0)</f>
        <v>0</v>
      </c>
      <c r="J131" s="388">
        <f>IFERROR(__xludf.DUMMYFUNCTION("""COMPUTED_VALUE"""),0.0)</f>
        <v>0</v>
      </c>
      <c r="K131" s="388">
        <f>IFERROR(__xludf.DUMMYFUNCTION("""COMPUTED_VALUE"""),0.0)</f>
        <v>0</v>
      </c>
      <c r="L131" s="388">
        <f>IFERROR(__xludf.DUMMYFUNCTION("""COMPUTED_VALUE"""),0.0)</f>
        <v>0</v>
      </c>
      <c r="M131" s="388">
        <f>IFERROR(__xludf.DUMMYFUNCTION("""COMPUTED_VALUE"""),0.0)</f>
        <v>0</v>
      </c>
      <c r="N131" s="388">
        <f>IFERROR(__xludf.DUMMYFUNCTION("""COMPUTED_VALUE"""),0.0)</f>
        <v>0</v>
      </c>
      <c r="O131" s="388">
        <f>IFERROR(__xludf.DUMMYFUNCTION("""COMPUTED_VALUE"""),0.0)</f>
        <v>0</v>
      </c>
      <c r="P131" s="388">
        <f>IFERROR(__xludf.DUMMYFUNCTION("""COMPUTED_VALUE"""),0.0)</f>
        <v>0</v>
      </c>
      <c r="Q131" s="388">
        <f>IFERROR(__xludf.DUMMYFUNCTION("""COMPUTED_VALUE"""),0.0)</f>
        <v>0</v>
      </c>
      <c r="R131" s="388">
        <f>IFERROR(__xludf.DUMMYFUNCTION("""COMPUTED_VALUE"""),0.0)</f>
        <v>0</v>
      </c>
      <c r="S131" s="388">
        <f>IFERROR(__xludf.DUMMYFUNCTION("""COMPUTED_VALUE"""),0.0)</f>
        <v>0</v>
      </c>
      <c r="T131" s="388">
        <f>IFERROR(__xludf.DUMMYFUNCTION("""COMPUTED_VALUE"""),0.0)</f>
        <v>0</v>
      </c>
      <c r="U131" s="388">
        <f>IFERROR(__xludf.DUMMYFUNCTION("""COMPUTED_VALUE"""),0.0)</f>
        <v>0</v>
      </c>
      <c r="V131" s="389">
        <f>IFERROR(__xludf.DUMMYFUNCTION("""COMPUTED_VALUE"""),0.0)</f>
        <v>0</v>
      </c>
      <c r="W131" s="65"/>
      <c r="X131" s="65"/>
    </row>
    <row r="132" ht="14.25" customHeight="1">
      <c r="A132" s="366">
        <f t="shared" si="2"/>
        <v>128</v>
      </c>
      <c r="B132" s="431" t="s">
        <v>539</v>
      </c>
      <c r="C132" s="432" t="s">
        <v>895</v>
      </c>
      <c r="D132" s="416" t="s">
        <v>895</v>
      </c>
      <c r="E132" s="388">
        <f>IFERROR(__xludf.DUMMYFUNCTION("""COMPUTED_VALUE"""),0.0)</f>
        <v>0</v>
      </c>
      <c r="F132" s="388">
        <f>IFERROR(__xludf.DUMMYFUNCTION("""COMPUTED_VALUE"""),0.0)</f>
        <v>0</v>
      </c>
      <c r="G132" s="388">
        <f>IFERROR(__xludf.DUMMYFUNCTION("""COMPUTED_VALUE"""),0.0)</f>
        <v>0</v>
      </c>
      <c r="H132" s="388">
        <f>IFERROR(__xludf.DUMMYFUNCTION("""COMPUTED_VALUE"""),0.0)</f>
        <v>0</v>
      </c>
      <c r="I132" s="388">
        <f>IFERROR(__xludf.DUMMYFUNCTION("""COMPUTED_VALUE"""),0.0)</f>
        <v>0</v>
      </c>
      <c r="J132" s="388">
        <f>IFERROR(__xludf.DUMMYFUNCTION("""COMPUTED_VALUE"""),0.0)</f>
        <v>0</v>
      </c>
      <c r="K132" s="388">
        <f>IFERROR(__xludf.DUMMYFUNCTION("""COMPUTED_VALUE"""),0.0)</f>
        <v>0</v>
      </c>
      <c r="L132" s="388">
        <f>IFERROR(__xludf.DUMMYFUNCTION("""COMPUTED_VALUE"""),0.0)</f>
        <v>0</v>
      </c>
      <c r="M132" s="388">
        <f>IFERROR(__xludf.DUMMYFUNCTION("""COMPUTED_VALUE"""),0.0)</f>
        <v>0</v>
      </c>
      <c r="N132" s="388">
        <f>IFERROR(__xludf.DUMMYFUNCTION("""COMPUTED_VALUE"""),0.0)</f>
        <v>0</v>
      </c>
      <c r="O132" s="388">
        <f>IFERROR(__xludf.DUMMYFUNCTION("""COMPUTED_VALUE"""),0.0)</f>
        <v>0</v>
      </c>
      <c r="P132" s="388">
        <f>IFERROR(__xludf.DUMMYFUNCTION("""COMPUTED_VALUE"""),0.0)</f>
        <v>0</v>
      </c>
      <c r="Q132" s="388">
        <f>IFERROR(__xludf.DUMMYFUNCTION("""COMPUTED_VALUE"""),0.0)</f>
        <v>0</v>
      </c>
      <c r="R132" s="388">
        <f>IFERROR(__xludf.DUMMYFUNCTION("""COMPUTED_VALUE"""),0.0)</f>
        <v>0</v>
      </c>
      <c r="S132" s="388">
        <f>IFERROR(__xludf.DUMMYFUNCTION("""COMPUTED_VALUE"""),0.0)</f>
        <v>0</v>
      </c>
      <c r="T132" s="388">
        <f>IFERROR(__xludf.DUMMYFUNCTION("""COMPUTED_VALUE"""),0.0)</f>
        <v>0</v>
      </c>
      <c r="U132" s="388">
        <f>IFERROR(__xludf.DUMMYFUNCTION("""COMPUTED_VALUE"""),0.0)</f>
        <v>0</v>
      </c>
      <c r="V132" s="389">
        <f>IFERROR(__xludf.DUMMYFUNCTION("""COMPUTED_VALUE"""),0.0)</f>
        <v>0</v>
      </c>
      <c r="W132" s="65"/>
      <c r="X132" s="65"/>
    </row>
    <row r="133" ht="14.25" customHeight="1">
      <c r="A133" s="366">
        <f t="shared" si="2"/>
        <v>129</v>
      </c>
      <c r="B133" s="431" t="s">
        <v>900</v>
      </c>
      <c r="C133" s="432" t="s">
        <v>901</v>
      </c>
      <c r="D133" s="416" t="s">
        <v>901</v>
      </c>
      <c r="E133" s="388">
        <f>IFERROR(__xludf.DUMMYFUNCTION("""COMPUTED_VALUE"""),0.0)</f>
        <v>0</v>
      </c>
      <c r="F133" s="388">
        <f>IFERROR(__xludf.DUMMYFUNCTION("""COMPUTED_VALUE"""),0.0)</f>
        <v>0</v>
      </c>
      <c r="G133" s="388">
        <f>IFERROR(__xludf.DUMMYFUNCTION("""COMPUTED_VALUE"""),0.0)</f>
        <v>0</v>
      </c>
      <c r="H133" s="388">
        <f>IFERROR(__xludf.DUMMYFUNCTION("""COMPUTED_VALUE"""),0.0)</f>
        <v>0</v>
      </c>
      <c r="I133" s="388">
        <f>IFERROR(__xludf.DUMMYFUNCTION("""COMPUTED_VALUE"""),4805073.0)</f>
        <v>4805073</v>
      </c>
      <c r="J133" s="388">
        <f>IFERROR(__xludf.DUMMYFUNCTION("""COMPUTED_VALUE"""),0.0)</f>
        <v>0</v>
      </c>
      <c r="K133" s="388">
        <f>IFERROR(__xludf.DUMMYFUNCTION("""COMPUTED_VALUE"""),0.0)</f>
        <v>0</v>
      </c>
      <c r="L133" s="388">
        <f>IFERROR(__xludf.DUMMYFUNCTION("""COMPUTED_VALUE"""),0.0)</f>
        <v>0</v>
      </c>
      <c r="M133" s="388">
        <f>IFERROR(__xludf.DUMMYFUNCTION("""COMPUTED_VALUE"""),0.0)</f>
        <v>0</v>
      </c>
      <c r="N133" s="388">
        <f>IFERROR(__xludf.DUMMYFUNCTION("""COMPUTED_VALUE"""),0.0)</f>
        <v>0</v>
      </c>
      <c r="O133" s="388">
        <f>IFERROR(__xludf.DUMMYFUNCTION("""COMPUTED_VALUE"""),4049854.0)</f>
        <v>4049854</v>
      </c>
      <c r="P133" s="388">
        <f>IFERROR(__xludf.DUMMYFUNCTION("""COMPUTED_VALUE"""),0.0)</f>
        <v>0</v>
      </c>
      <c r="Q133" s="388">
        <f>IFERROR(__xludf.DUMMYFUNCTION("""COMPUTED_VALUE"""),0.0)</f>
        <v>0</v>
      </c>
      <c r="R133" s="388">
        <f>IFERROR(__xludf.DUMMYFUNCTION("""COMPUTED_VALUE"""),0.0)</f>
        <v>0</v>
      </c>
      <c r="S133" s="388">
        <f>IFERROR(__xludf.DUMMYFUNCTION("""COMPUTED_VALUE"""),0.0)</f>
        <v>0</v>
      </c>
      <c r="T133" s="388">
        <f>IFERROR(__xludf.DUMMYFUNCTION("""COMPUTED_VALUE"""),0.0)</f>
        <v>0</v>
      </c>
      <c r="U133" s="388">
        <f>IFERROR(__xludf.DUMMYFUNCTION("""COMPUTED_VALUE"""),0.0)</f>
        <v>0</v>
      </c>
      <c r="V133" s="389">
        <f>IFERROR(__xludf.DUMMYFUNCTION("""COMPUTED_VALUE"""),8854927.0)</f>
        <v>8854927</v>
      </c>
      <c r="W133" s="65"/>
      <c r="X133" s="65"/>
    </row>
    <row r="134" ht="14.25" customHeight="1">
      <c r="A134" s="366">
        <f t="shared" si="2"/>
        <v>130</v>
      </c>
      <c r="B134" s="436"/>
      <c r="C134" s="437"/>
      <c r="D134" s="438" t="s">
        <v>902</v>
      </c>
      <c r="E134" s="428">
        <f>IFERROR(__xludf.DUMMYFUNCTION("""COMPUTED_VALUE"""),0.0)</f>
        <v>0</v>
      </c>
      <c r="F134" s="428">
        <f>IFERROR(__xludf.DUMMYFUNCTION("""COMPUTED_VALUE"""),0.0)</f>
        <v>0</v>
      </c>
      <c r="G134" s="428">
        <f>IFERROR(__xludf.DUMMYFUNCTION("""COMPUTED_VALUE"""),0.0)</f>
        <v>0</v>
      </c>
      <c r="H134" s="428">
        <f>IFERROR(__xludf.DUMMYFUNCTION("""COMPUTED_VALUE"""),0.0)</f>
        <v>0</v>
      </c>
      <c r="I134" s="428">
        <f>IFERROR(__xludf.DUMMYFUNCTION("""COMPUTED_VALUE"""),1.72096116E8)</f>
        <v>172096116</v>
      </c>
      <c r="J134" s="428">
        <f>IFERROR(__xludf.DUMMYFUNCTION("""COMPUTED_VALUE"""),0.0)</f>
        <v>0</v>
      </c>
      <c r="K134" s="428">
        <f>IFERROR(__xludf.DUMMYFUNCTION("""COMPUTED_VALUE"""),0.0)</f>
        <v>0</v>
      </c>
      <c r="L134" s="428">
        <f>IFERROR(__xludf.DUMMYFUNCTION("""COMPUTED_VALUE"""),0.0)</f>
        <v>0</v>
      </c>
      <c r="M134" s="428">
        <f>IFERROR(__xludf.DUMMYFUNCTION("""COMPUTED_VALUE"""),0.0)</f>
        <v>0</v>
      </c>
      <c r="N134" s="428">
        <f>IFERROR(__xludf.DUMMYFUNCTION("""COMPUTED_VALUE"""),0.0)</f>
        <v>0</v>
      </c>
      <c r="O134" s="428">
        <f>IFERROR(__xludf.DUMMYFUNCTION("""COMPUTED_VALUE"""),2.97534494E8)</f>
        <v>297534494</v>
      </c>
      <c r="P134" s="428">
        <f>IFERROR(__xludf.DUMMYFUNCTION("""COMPUTED_VALUE"""),0.0)</f>
        <v>0</v>
      </c>
      <c r="Q134" s="428">
        <f>IFERROR(__xludf.DUMMYFUNCTION("""COMPUTED_VALUE"""),0.0)</f>
        <v>0</v>
      </c>
      <c r="R134" s="428">
        <f>IFERROR(__xludf.DUMMYFUNCTION("""COMPUTED_VALUE"""),0.0)</f>
        <v>0</v>
      </c>
      <c r="S134" s="428">
        <f>IFERROR(__xludf.DUMMYFUNCTION("""COMPUTED_VALUE"""),0.0)</f>
        <v>0</v>
      </c>
      <c r="T134" s="428">
        <f>IFERROR(__xludf.DUMMYFUNCTION("""COMPUTED_VALUE"""),0.0)</f>
        <v>0</v>
      </c>
      <c r="U134" s="428">
        <f>IFERROR(__xludf.DUMMYFUNCTION("""COMPUTED_VALUE"""),0.0)</f>
        <v>0</v>
      </c>
      <c r="V134" s="428">
        <f>IFERROR(__xludf.DUMMYFUNCTION("""COMPUTED_VALUE"""),4.6963061E8)</f>
        <v>469630610</v>
      </c>
      <c r="W134" s="65"/>
      <c r="X134" s="65"/>
    </row>
    <row r="135" ht="14.25" customHeight="1">
      <c r="A135" s="366">
        <f t="shared" si="2"/>
        <v>131</v>
      </c>
      <c r="B135" s="439"/>
      <c r="C135" s="382"/>
      <c r="D135" s="440" t="s">
        <v>903</v>
      </c>
      <c r="E135" s="388">
        <f>IFERROR(__xludf.DUMMYFUNCTION("""COMPUTED_VALUE"""),0.0)</f>
        <v>0</v>
      </c>
      <c r="F135" s="388">
        <f>IFERROR(__xludf.DUMMYFUNCTION("""COMPUTED_VALUE"""),0.0)</f>
        <v>0</v>
      </c>
      <c r="G135" s="388">
        <f>IFERROR(__xludf.DUMMYFUNCTION("""COMPUTED_VALUE"""),0.0)</f>
        <v>0</v>
      </c>
      <c r="H135" s="388">
        <f>IFERROR(__xludf.DUMMYFUNCTION("""COMPUTED_VALUE"""),0.0)</f>
        <v>0</v>
      </c>
      <c r="I135" s="388">
        <f>IFERROR(__xludf.DUMMYFUNCTION("""COMPUTED_VALUE"""),0.0)</f>
        <v>0</v>
      </c>
      <c r="J135" s="388">
        <f>IFERROR(__xludf.DUMMYFUNCTION("""COMPUTED_VALUE"""),0.0)</f>
        <v>0</v>
      </c>
      <c r="K135" s="388">
        <f>IFERROR(__xludf.DUMMYFUNCTION("""COMPUTED_VALUE"""),0.0)</f>
        <v>0</v>
      </c>
      <c r="L135" s="388">
        <f>IFERROR(__xludf.DUMMYFUNCTION("""COMPUTED_VALUE"""),0.0)</f>
        <v>0</v>
      </c>
      <c r="M135" s="388">
        <f>IFERROR(__xludf.DUMMYFUNCTION("""COMPUTED_VALUE"""),0.0)</f>
        <v>0</v>
      </c>
      <c r="N135" s="388">
        <f>IFERROR(__xludf.DUMMYFUNCTION("""COMPUTED_VALUE"""),0.0)</f>
        <v>0</v>
      </c>
      <c r="O135" s="388">
        <f>IFERROR(__xludf.DUMMYFUNCTION("""COMPUTED_VALUE"""),0.0)</f>
        <v>0</v>
      </c>
      <c r="P135" s="388">
        <f>IFERROR(__xludf.DUMMYFUNCTION("""COMPUTED_VALUE"""),0.0)</f>
        <v>0</v>
      </c>
      <c r="Q135" s="388">
        <f>IFERROR(__xludf.DUMMYFUNCTION("""COMPUTED_VALUE"""),0.0)</f>
        <v>0</v>
      </c>
      <c r="R135" s="388">
        <f>IFERROR(__xludf.DUMMYFUNCTION("""COMPUTED_VALUE"""),0.0)</f>
        <v>0</v>
      </c>
      <c r="S135" s="388">
        <f>IFERROR(__xludf.DUMMYFUNCTION("""COMPUTED_VALUE"""),0.0)</f>
        <v>0</v>
      </c>
      <c r="T135" s="388">
        <f>IFERROR(__xludf.DUMMYFUNCTION("""COMPUTED_VALUE"""),0.0)</f>
        <v>0</v>
      </c>
      <c r="U135" s="388">
        <f>IFERROR(__xludf.DUMMYFUNCTION("""COMPUTED_VALUE"""),0.0)</f>
        <v>0</v>
      </c>
      <c r="V135" s="389">
        <f>IFERROR(__xludf.DUMMYFUNCTION("""COMPUTED_VALUE"""),0.0)</f>
        <v>0</v>
      </c>
      <c r="W135" s="65"/>
      <c r="X135" s="65"/>
    </row>
    <row r="136" ht="14.25" customHeight="1">
      <c r="A136" s="366">
        <f t="shared" si="2"/>
        <v>132</v>
      </c>
      <c r="B136" s="441" t="s">
        <v>441</v>
      </c>
      <c r="C136" s="442" t="s">
        <v>1024</v>
      </c>
      <c r="D136" s="374" t="s">
        <v>1024</v>
      </c>
      <c r="E136" s="388">
        <f>IFERROR(__xludf.DUMMYFUNCTION("""COMPUTED_VALUE"""),0.0)</f>
        <v>0</v>
      </c>
      <c r="F136" s="388">
        <f>IFERROR(__xludf.DUMMYFUNCTION("""COMPUTED_VALUE"""),0.0)</f>
        <v>0</v>
      </c>
      <c r="G136" s="388">
        <f>IFERROR(__xludf.DUMMYFUNCTION("""COMPUTED_VALUE"""),0.0)</f>
        <v>0</v>
      </c>
      <c r="H136" s="388">
        <f>IFERROR(__xludf.DUMMYFUNCTION("""COMPUTED_VALUE"""),0.0)</f>
        <v>0</v>
      </c>
      <c r="I136" s="388">
        <f>IFERROR(__xludf.DUMMYFUNCTION("""COMPUTED_VALUE"""),1.3422542E7)</f>
        <v>13422542</v>
      </c>
      <c r="J136" s="388">
        <f>IFERROR(__xludf.DUMMYFUNCTION("""COMPUTED_VALUE"""),0.0)</f>
        <v>0</v>
      </c>
      <c r="K136" s="388">
        <f>IFERROR(__xludf.DUMMYFUNCTION("""COMPUTED_VALUE"""),0.0)</f>
        <v>0</v>
      </c>
      <c r="L136" s="388">
        <f>IFERROR(__xludf.DUMMYFUNCTION("""COMPUTED_VALUE"""),0.0)</f>
        <v>0</v>
      </c>
      <c r="M136" s="388">
        <f>IFERROR(__xludf.DUMMYFUNCTION("""COMPUTED_VALUE"""),0.0)</f>
        <v>0</v>
      </c>
      <c r="N136" s="388">
        <f>IFERROR(__xludf.DUMMYFUNCTION("""COMPUTED_VALUE"""),0.0)</f>
        <v>0</v>
      </c>
      <c r="O136" s="388">
        <f>IFERROR(__xludf.DUMMYFUNCTION("""COMPUTED_VALUE"""),4.4287531E7)</f>
        <v>44287531</v>
      </c>
      <c r="P136" s="388">
        <f>IFERROR(__xludf.DUMMYFUNCTION("""COMPUTED_VALUE"""),0.0)</f>
        <v>0</v>
      </c>
      <c r="Q136" s="388">
        <f>IFERROR(__xludf.DUMMYFUNCTION("""COMPUTED_VALUE"""),0.0)</f>
        <v>0</v>
      </c>
      <c r="R136" s="388">
        <f>IFERROR(__xludf.DUMMYFUNCTION("""COMPUTED_VALUE"""),0.0)</f>
        <v>0</v>
      </c>
      <c r="S136" s="388">
        <f>IFERROR(__xludf.DUMMYFUNCTION("""COMPUTED_VALUE"""),0.0)</f>
        <v>0</v>
      </c>
      <c r="T136" s="388">
        <f>IFERROR(__xludf.DUMMYFUNCTION("""COMPUTED_VALUE"""),0.0)</f>
        <v>0</v>
      </c>
      <c r="U136" s="388">
        <f>IFERROR(__xludf.DUMMYFUNCTION("""COMPUTED_VALUE"""),0.0)</f>
        <v>0</v>
      </c>
      <c r="V136" s="389">
        <f>IFERROR(__xludf.DUMMYFUNCTION("""COMPUTED_VALUE"""),5.7710073E7)</f>
        <v>57710073</v>
      </c>
      <c r="W136" s="65"/>
      <c r="X136" s="65"/>
    </row>
    <row r="137" ht="14.25" customHeight="1">
      <c r="A137" s="366">
        <f t="shared" si="2"/>
        <v>133</v>
      </c>
      <c r="B137" s="443" t="s">
        <v>456</v>
      </c>
      <c r="C137" s="442" t="s">
        <v>1025</v>
      </c>
      <c r="D137" s="387" t="s">
        <v>1025</v>
      </c>
      <c r="E137" s="388">
        <f>IFERROR(__xludf.DUMMYFUNCTION("""COMPUTED_VALUE"""),0.0)</f>
        <v>0</v>
      </c>
      <c r="F137" s="388">
        <f>IFERROR(__xludf.DUMMYFUNCTION("""COMPUTED_VALUE"""),0.0)</f>
        <v>0</v>
      </c>
      <c r="G137" s="388">
        <f>IFERROR(__xludf.DUMMYFUNCTION("""COMPUTED_VALUE"""),0.0)</f>
        <v>0</v>
      </c>
      <c r="H137" s="388">
        <f>IFERROR(__xludf.DUMMYFUNCTION("""COMPUTED_VALUE"""),0.0)</f>
        <v>0</v>
      </c>
      <c r="I137" s="388">
        <f>IFERROR(__xludf.DUMMYFUNCTION("""COMPUTED_VALUE"""),3.9395376E7)</f>
        <v>39395376</v>
      </c>
      <c r="J137" s="388">
        <f>IFERROR(__xludf.DUMMYFUNCTION("""COMPUTED_VALUE"""),0.0)</f>
        <v>0</v>
      </c>
      <c r="K137" s="388">
        <f>IFERROR(__xludf.DUMMYFUNCTION("""COMPUTED_VALUE"""),0.0)</f>
        <v>0</v>
      </c>
      <c r="L137" s="388">
        <f>IFERROR(__xludf.DUMMYFUNCTION("""COMPUTED_VALUE"""),0.0)</f>
        <v>0</v>
      </c>
      <c r="M137" s="388">
        <f>IFERROR(__xludf.DUMMYFUNCTION("""COMPUTED_VALUE"""),0.0)</f>
        <v>0</v>
      </c>
      <c r="N137" s="388">
        <f>IFERROR(__xludf.DUMMYFUNCTION("""COMPUTED_VALUE"""),0.0)</f>
        <v>0</v>
      </c>
      <c r="O137" s="388">
        <f>IFERROR(__xludf.DUMMYFUNCTION("""COMPUTED_VALUE"""),7.0457699E7)</f>
        <v>70457699</v>
      </c>
      <c r="P137" s="388">
        <f>IFERROR(__xludf.DUMMYFUNCTION("""COMPUTED_VALUE"""),0.0)</f>
        <v>0</v>
      </c>
      <c r="Q137" s="388">
        <f>IFERROR(__xludf.DUMMYFUNCTION("""COMPUTED_VALUE"""),0.0)</f>
        <v>0</v>
      </c>
      <c r="R137" s="388">
        <f>IFERROR(__xludf.DUMMYFUNCTION("""COMPUTED_VALUE"""),0.0)</f>
        <v>0</v>
      </c>
      <c r="S137" s="388">
        <f>IFERROR(__xludf.DUMMYFUNCTION("""COMPUTED_VALUE"""),0.0)</f>
        <v>0</v>
      </c>
      <c r="T137" s="388">
        <f>IFERROR(__xludf.DUMMYFUNCTION("""COMPUTED_VALUE"""),0.0)</f>
        <v>0</v>
      </c>
      <c r="U137" s="388">
        <f>IFERROR(__xludf.DUMMYFUNCTION("""COMPUTED_VALUE"""),0.0)</f>
        <v>0</v>
      </c>
      <c r="V137" s="389">
        <f>IFERROR(__xludf.DUMMYFUNCTION("""COMPUTED_VALUE"""),1.09853075E8)</f>
        <v>109853075</v>
      </c>
      <c r="W137" s="65"/>
      <c r="X137" s="65"/>
    </row>
    <row r="138" ht="14.25" customHeight="1">
      <c r="A138" s="366">
        <f t="shared" si="2"/>
        <v>134</v>
      </c>
      <c r="B138" s="444"/>
      <c r="C138" s="400"/>
      <c r="D138" s="416" t="s">
        <v>904</v>
      </c>
      <c r="E138" s="388">
        <f>IFERROR(__xludf.DUMMYFUNCTION("""COMPUTED_VALUE"""),0.0)</f>
        <v>0</v>
      </c>
      <c r="F138" s="388">
        <f>IFERROR(__xludf.DUMMYFUNCTION("""COMPUTED_VALUE"""),0.0)</f>
        <v>0</v>
      </c>
      <c r="G138" s="388">
        <f>IFERROR(__xludf.DUMMYFUNCTION("""COMPUTED_VALUE"""),0.0)</f>
        <v>0</v>
      </c>
      <c r="H138" s="388">
        <f>IFERROR(__xludf.DUMMYFUNCTION("""COMPUTED_VALUE"""),0.0)</f>
        <v>0</v>
      </c>
      <c r="I138" s="388">
        <f>IFERROR(__xludf.DUMMYFUNCTION("""COMPUTED_VALUE"""),0.0)</f>
        <v>0</v>
      </c>
      <c r="J138" s="388">
        <f>IFERROR(__xludf.DUMMYFUNCTION("""COMPUTED_VALUE"""),0.0)</f>
        <v>0</v>
      </c>
      <c r="K138" s="388">
        <f>IFERROR(__xludf.DUMMYFUNCTION("""COMPUTED_VALUE"""),0.0)</f>
        <v>0</v>
      </c>
      <c r="L138" s="388">
        <f>IFERROR(__xludf.DUMMYFUNCTION("""COMPUTED_VALUE"""),0.0)</f>
        <v>0</v>
      </c>
      <c r="M138" s="388">
        <f>IFERROR(__xludf.DUMMYFUNCTION("""COMPUTED_VALUE"""),0.0)</f>
        <v>0</v>
      </c>
      <c r="N138" s="388">
        <f>IFERROR(__xludf.DUMMYFUNCTION("""COMPUTED_VALUE"""),0.0)</f>
        <v>0</v>
      </c>
      <c r="O138" s="388">
        <f>IFERROR(__xludf.DUMMYFUNCTION("""COMPUTED_VALUE"""),0.0)</f>
        <v>0</v>
      </c>
      <c r="P138" s="388">
        <f>IFERROR(__xludf.DUMMYFUNCTION("""COMPUTED_VALUE"""),0.0)</f>
        <v>0</v>
      </c>
      <c r="Q138" s="388">
        <f>IFERROR(__xludf.DUMMYFUNCTION("""COMPUTED_VALUE"""),0.0)</f>
        <v>0</v>
      </c>
      <c r="R138" s="388">
        <f>IFERROR(__xludf.DUMMYFUNCTION("""COMPUTED_VALUE"""),0.0)</f>
        <v>0</v>
      </c>
      <c r="S138" s="388">
        <f>IFERROR(__xludf.DUMMYFUNCTION("""COMPUTED_VALUE"""),0.0)</f>
        <v>0</v>
      </c>
      <c r="T138" s="388">
        <f>IFERROR(__xludf.DUMMYFUNCTION("""COMPUTED_VALUE"""),0.0)</f>
        <v>0</v>
      </c>
      <c r="U138" s="388">
        <f>IFERROR(__xludf.DUMMYFUNCTION("""COMPUTED_VALUE"""),0.0)</f>
        <v>0</v>
      </c>
      <c r="V138" s="389">
        <f>IFERROR(__xludf.DUMMYFUNCTION("""COMPUTED_VALUE"""),0.0)</f>
        <v>0</v>
      </c>
      <c r="W138" s="65"/>
      <c r="X138" s="65"/>
    </row>
    <row r="139" ht="14.25" customHeight="1">
      <c r="A139" s="366">
        <f t="shared" si="2"/>
        <v>135</v>
      </c>
      <c r="B139" s="444"/>
      <c r="C139" s="400"/>
      <c r="D139" s="416" t="s">
        <v>905</v>
      </c>
      <c r="E139" s="388">
        <f>IFERROR(__xludf.DUMMYFUNCTION("""COMPUTED_VALUE"""),0.0)</f>
        <v>0</v>
      </c>
      <c r="F139" s="388">
        <f>IFERROR(__xludf.DUMMYFUNCTION("""COMPUTED_VALUE"""),0.0)</f>
        <v>0</v>
      </c>
      <c r="G139" s="388">
        <f>IFERROR(__xludf.DUMMYFUNCTION("""COMPUTED_VALUE"""),0.0)</f>
        <v>0</v>
      </c>
      <c r="H139" s="388">
        <f>IFERROR(__xludf.DUMMYFUNCTION("""COMPUTED_VALUE"""),0.0)</f>
        <v>0</v>
      </c>
      <c r="I139" s="388">
        <f>IFERROR(__xludf.DUMMYFUNCTION("""COMPUTED_VALUE"""),0.0)</f>
        <v>0</v>
      </c>
      <c r="J139" s="388">
        <f>IFERROR(__xludf.DUMMYFUNCTION("""COMPUTED_VALUE"""),0.0)</f>
        <v>0</v>
      </c>
      <c r="K139" s="388">
        <f>IFERROR(__xludf.DUMMYFUNCTION("""COMPUTED_VALUE"""),0.0)</f>
        <v>0</v>
      </c>
      <c r="L139" s="388">
        <f>IFERROR(__xludf.DUMMYFUNCTION("""COMPUTED_VALUE"""),0.0)</f>
        <v>0</v>
      </c>
      <c r="M139" s="388">
        <f>IFERROR(__xludf.DUMMYFUNCTION("""COMPUTED_VALUE"""),0.0)</f>
        <v>0</v>
      </c>
      <c r="N139" s="388">
        <f>IFERROR(__xludf.DUMMYFUNCTION("""COMPUTED_VALUE"""),0.0)</f>
        <v>0</v>
      </c>
      <c r="O139" s="388">
        <f>IFERROR(__xludf.DUMMYFUNCTION("""COMPUTED_VALUE"""),0.0)</f>
        <v>0</v>
      </c>
      <c r="P139" s="388">
        <f>IFERROR(__xludf.DUMMYFUNCTION("""COMPUTED_VALUE"""),0.0)</f>
        <v>0</v>
      </c>
      <c r="Q139" s="388">
        <f>IFERROR(__xludf.DUMMYFUNCTION("""COMPUTED_VALUE"""),0.0)</f>
        <v>0</v>
      </c>
      <c r="R139" s="388">
        <f>IFERROR(__xludf.DUMMYFUNCTION("""COMPUTED_VALUE"""),0.0)</f>
        <v>0</v>
      </c>
      <c r="S139" s="388">
        <f>IFERROR(__xludf.DUMMYFUNCTION("""COMPUTED_VALUE"""),0.0)</f>
        <v>0</v>
      </c>
      <c r="T139" s="388">
        <f>IFERROR(__xludf.DUMMYFUNCTION("""COMPUTED_VALUE"""),0.0)</f>
        <v>0</v>
      </c>
      <c r="U139" s="388">
        <f>IFERROR(__xludf.DUMMYFUNCTION("""COMPUTED_VALUE"""),0.0)</f>
        <v>0</v>
      </c>
      <c r="V139" s="389">
        <f>IFERROR(__xludf.DUMMYFUNCTION("""COMPUTED_VALUE"""),0.0)</f>
        <v>0</v>
      </c>
      <c r="W139" s="65"/>
      <c r="X139" s="65"/>
    </row>
    <row r="140" ht="14.25" customHeight="1">
      <c r="A140" s="366">
        <f t="shared" si="2"/>
        <v>136</v>
      </c>
      <c r="B140" s="444"/>
      <c r="C140" s="400"/>
      <c r="D140" s="416" t="s">
        <v>906</v>
      </c>
      <c r="E140" s="388">
        <f>IFERROR(__xludf.DUMMYFUNCTION("""COMPUTED_VALUE"""),0.0)</f>
        <v>0</v>
      </c>
      <c r="F140" s="388">
        <f>IFERROR(__xludf.DUMMYFUNCTION("""COMPUTED_VALUE"""),0.0)</f>
        <v>0</v>
      </c>
      <c r="G140" s="388">
        <f>IFERROR(__xludf.DUMMYFUNCTION("""COMPUTED_VALUE"""),0.0)</f>
        <v>0</v>
      </c>
      <c r="H140" s="388">
        <f>IFERROR(__xludf.DUMMYFUNCTION("""COMPUTED_VALUE"""),0.0)</f>
        <v>0</v>
      </c>
      <c r="I140" s="388">
        <f>IFERROR(__xludf.DUMMYFUNCTION("""COMPUTED_VALUE"""),0.0)</f>
        <v>0</v>
      </c>
      <c r="J140" s="388">
        <f>IFERROR(__xludf.DUMMYFUNCTION("""COMPUTED_VALUE"""),0.0)</f>
        <v>0</v>
      </c>
      <c r="K140" s="388">
        <f>IFERROR(__xludf.DUMMYFUNCTION("""COMPUTED_VALUE"""),0.0)</f>
        <v>0</v>
      </c>
      <c r="L140" s="388">
        <f>IFERROR(__xludf.DUMMYFUNCTION("""COMPUTED_VALUE"""),0.0)</f>
        <v>0</v>
      </c>
      <c r="M140" s="388">
        <f>IFERROR(__xludf.DUMMYFUNCTION("""COMPUTED_VALUE"""),0.0)</f>
        <v>0</v>
      </c>
      <c r="N140" s="388">
        <f>IFERROR(__xludf.DUMMYFUNCTION("""COMPUTED_VALUE"""),0.0)</f>
        <v>0</v>
      </c>
      <c r="O140" s="388">
        <f>IFERROR(__xludf.DUMMYFUNCTION("""COMPUTED_VALUE"""),0.0)</f>
        <v>0</v>
      </c>
      <c r="P140" s="388">
        <f>IFERROR(__xludf.DUMMYFUNCTION("""COMPUTED_VALUE"""),0.0)</f>
        <v>0</v>
      </c>
      <c r="Q140" s="388">
        <f>IFERROR(__xludf.DUMMYFUNCTION("""COMPUTED_VALUE"""),0.0)</f>
        <v>0</v>
      </c>
      <c r="R140" s="388">
        <f>IFERROR(__xludf.DUMMYFUNCTION("""COMPUTED_VALUE"""),0.0)</f>
        <v>0</v>
      </c>
      <c r="S140" s="388">
        <f>IFERROR(__xludf.DUMMYFUNCTION("""COMPUTED_VALUE"""),0.0)</f>
        <v>0</v>
      </c>
      <c r="T140" s="388">
        <f>IFERROR(__xludf.DUMMYFUNCTION("""COMPUTED_VALUE"""),0.0)</f>
        <v>0</v>
      </c>
      <c r="U140" s="388">
        <f>IFERROR(__xludf.DUMMYFUNCTION("""COMPUTED_VALUE"""),0.0)</f>
        <v>0</v>
      </c>
      <c r="V140" s="389">
        <f>IFERROR(__xludf.DUMMYFUNCTION("""COMPUTED_VALUE"""),0.0)</f>
        <v>0</v>
      </c>
      <c r="W140" s="65"/>
      <c r="X140" s="65"/>
    </row>
    <row r="141" ht="14.25" customHeight="1">
      <c r="A141" s="366">
        <f t="shared" si="2"/>
        <v>137</v>
      </c>
      <c r="B141" s="441" t="s">
        <v>475</v>
      </c>
      <c r="C141" s="386" t="s">
        <v>1026</v>
      </c>
      <c r="D141" s="416" t="s">
        <v>1026</v>
      </c>
      <c r="E141" s="388">
        <f>IFERROR(__xludf.DUMMYFUNCTION("""COMPUTED_VALUE"""),0.0)</f>
        <v>0</v>
      </c>
      <c r="F141" s="388">
        <f>IFERROR(__xludf.DUMMYFUNCTION("""COMPUTED_VALUE"""),0.0)</f>
        <v>0</v>
      </c>
      <c r="G141" s="388">
        <f>IFERROR(__xludf.DUMMYFUNCTION("""COMPUTED_VALUE"""),0.0)</f>
        <v>0</v>
      </c>
      <c r="H141" s="388">
        <f>IFERROR(__xludf.DUMMYFUNCTION("""COMPUTED_VALUE"""),0.0)</f>
        <v>0</v>
      </c>
      <c r="I141" s="388">
        <f>IFERROR(__xludf.DUMMYFUNCTION("""COMPUTED_VALUE"""),3426460.0)</f>
        <v>3426460</v>
      </c>
      <c r="J141" s="388">
        <f>IFERROR(__xludf.DUMMYFUNCTION("""COMPUTED_VALUE"""),0.0)</f>
        <v>0</v>
      </c>
      <c r="K141" s="388">
        <f>IFERROR(__xludf.DUMMYFUNCTION("""COMPUTED_VALUE"""),0.0)</f>
        <v>0</v>
      </c>
      <c r="L141" s="388">
        <f>IFERROR(__xludf.DUMMYFUNCTION("""COMPUTED_VALUE"""),0.0)</f>
        <v>0</v>
      </c>
      <c r="M141" s="388">
        <f>IFERROR(__xludf.DUMMYFUNCTION("""COMPUTED_VALUE"""),0.0)</f>
        <v>0</v>
      </c>
      <c r="N141" s="388">
        <f>IFERROR(__xludf.DUMMYFUNCTION("""COMPUTED_VALUE"""),0.0)</f>
        <v>0</v>
      </c>
      <c r="O141" s="388">
        <f>IFERROR(__xludf.DUMMYFUNCTION("""COMPUTED_VALUE"""),1.9698252E7)</f>
        <v>19698252</v>
      </c>
      <c r="P141" s="388">
        <f>IFERROR(__xludf.DUMMYFUNCTION("""COMPUTED_VALUE"""),0.0)</f>
        <v>0</v>
      </c>
      <c r="Q141" s="388">
        <f>IFERROR(__xludf.DUMMYFUNCTION("""COMPUTED_VALUE"""),0.0)</f>
        <v>0</v>
      </c>
      <c r="R141" s="388">
        <f>IFERROR(__xludf.DUMMYFUNCTION("""COMPUTED_VALUE"""),0.0)</f>
        <v>0</v>
      </c>
      <c r="S141" s="388">
        <f>IFERROR(__xludf.DUMMYFUNCTION("""COMPUTED_VALUE"""),0.0)</f>
        <v>0</v>
      </c>
      <c r="T141" s="388">
        <f>IFERROR(__xludf.DUMMYFUNCTION("""COMPUTED_VALUE"""),0.0)</f>
        <v>0</v>
      </c>
      <c r="U141" s="388">
        <f>IFERROR(__xludf.DUMMYFUNCTION("""COMPUTED_VALUE"""),0.0)</f>
        <v>0</v>
      </c>
      <c r="V141" s="389">
        <f>IFERROR(__xludf.DUMMYFUNCTION("""COMPUTED_VALUE"""),2.3124712E7)</f>
        <v>23124712</v>
      </c>
      <c r="W141" s="65"/>
      <c r="X141" s="65"/>
    </row>
    <row r="142" ht="14.25" customHeight="1">
      <c r="A142" s="366">
        <f t="shared" si="2"/>
        <v>138</v>
      </c>
      <c r="B142" s="444"/>
      <c r="C142" s="400"/>
      <c r="D142" s="416" t="s">
        <v>907</v>
      </c>
      <c r="E142" s="388">
        <f>IFERROR(__xludf.DUMMYFUNCTION("""COMPUTED_VALUE"""),0.0)</f>
        <v>0</v>
      </c>
      <c r="F142" s="388">
        <f>IFERROR(__xludf.DUMMYFUNCTION("""COMPUTED_VALUE"""),0.0)</f>
        <v>0</v>
      </c>
      <c r="G142" s="388">
        <f>IFERROR(__xludf.DUMMYFUNCTION("""COMPUTED_VALUE"""),0.0)</f>
        <v>0</v>
      </c>
      <c r="H142" s="388">
        <f>IFERROR(__xludf.DUMMYFUNCTION("""COMPUTED_VALUE"""),0.0)</f>
        <v>0</v>
      </c>
      <c r="I142" s="388">
        <f>IFERROR(__xludf.DUMMYFUNCTION("""COMPUTED_VALUE"""),0.0)</f>
        <v>0</v>
      </c>
      <c r="J142" s="388">
        <f>IFERROR(__xludf.DUMMYFUNCTION("""COMPUTED_VALUE"""),0.0)</f>
        <v>0</v>
      </c>
      <c r="K142" s="388">
        <f>IFERROR(__xludf.DUMMYFUNCTION("""COMPUTED_VALUE"""),0.0)</f>
        <v>0</v>
      </c>
      <c r="L142" s="388">
        <f>IFERROR(__xludf.DUMMYFUNCTION("""COMPUTED_VALUE"""),0.0)</f>
        <v>0</v>
      </c>
      <c r="M142" s="388">
        <f>IFERROR(__xludf.DUMMYFUNCTION("""COMPUTED_VALUE"""),0.0)</f>
        <v>0</v>
      </c>
      <c r="N142" s="388">
        <f>IFERROR(__xludf.DUMMYFUNCTION("""COMPUTED_VALUE"""),0.0)</f>
        <v>0</v>
      </c>
      <c r="O142" s="388">
        <f>IFERROR(__xludf.DUMMYFUNCTION("""COMPUTED_VALUE"""),0.0)</f>
        <v>0</v>
      </c>
      <c r="P142" s="388">
        <f>IFERROR(__xludf.DUMMYFUNCTION("""COMPUTED_VALUE"""),0.0)</f>
        <v>0</v>
      </c>
      <c r="Q142" s="388">
        <f>IFERROR(__xludf.DUMMYFUNCTION("""COMPUTED_VALUE"""),0.0)</f>
        <v>0</v>
      </c>
      <c r="R142" s="388">
        <f>IFERROR(__xludf.DUMMYFUNCTION("""COMPUTED_VALUE"""),0.0)</f>
        <v>0</v>
      </c>
      <c r="S142" s="388">
        <f>IFERROR(__xludf.DUMMYFUNCTION("""COMPUTED_VALUE"""),0.0)</f>
        <v>0</v>
      </c>
      <c r="T142" s="388">
        <f>IFERROR(__xludf.DUMMYFUNCTION("""COMPUTED_VALUE"""),0.0)</f>
        <v>0</v>
      </c>
      <c r="U142" s="388">
        <f>IFERROR(__xludf.DUMMYFUNCTION("""COMPUTED_VALUE"""),0.0)</f>
        <v>0</v>
      </c>
      <c r="V142" s="389">
        <f>IFERROR(__xludf.DUMMYFUNCTION("""COMPUTED_VALUE"""),0.0)</f>
        <v>0</v>
      </c>
      <c r="W142" s="65"/>
      <c r="X142" s="65"/>
    </row>
    <row r="143" ht="14.25" customHeight="1">
      <c r="A143" s="366">
        <f t="shared" si="2"/>
        <v>139</v>
      </c>
      <c r="B143" s="441" t="s">
        <v>459</v>
      </c>
      <c r="C143" s="386" t="s">
        <v>1027</v>
      </c>
      <c r="D143" s="416" t="s">
        <v>1027</v>
      </c>
      <c r="E143" s="388">
        <f>IFERROR(__xludf.DUMMYFUNCTION("""COMPUTED_VALUE"""),0.0)</f>
        <v>0</v>
      </c>
      <c r="F143" s="388">
        <f>IFERROR(__xludf.DUMMYFUNCTION("""COMPUTED_VALUE"""),0.0)</f>
        <v>0</v>
      </c>
      <c r="G143" s="388">
        <f>IFERROR(__xludf.DUMMYFUNCTION("""COMPUTED_VALUE"""),0.0)</f>
        <v>0</v>
      </c>
      <c r="H143" s="388">
        <f>IFERROR(__xludf.DUMMYFUNCTION("""COMPUTED_VALUE"""),0.0)</f>
        <v>0</v>
      </c>
      <c r="I143" s="388">
        <f>IFERROR(__xludf.DUMMYFUNCTION("""COMPUTED_VALUE"""),0.0)</f>
        <v>0</v>
      </c>
      <c r="J143" s="388">
        <f>IFERROR(__xludf.DUMMYFUNCTION("""COMPUTED_VALUE"""),0.0)</f>
        <v>0</v>
      </c>
      <c r="K143" s="388">
        <f>IFERROR(__xludf.DUMMYFUNCTION("""COMPUTED_VALUE"""),0.0)</f>
        <v>0</v>
      </c>
      <c r="L143" s="388">
        <f>IFERROR(__xludf.DUMMYFUNCTION("""COMPUTED_VALUE"""),0.0)</f>
        <v>0</v>
      </c>
      <c r="M143" s="388">
        <f>IFERROR(__xludf.DUMMYFUNCTION("""COMPUTED_VALUE"""),0.0)</f>
        <v>0</v>
      </c>
      <c r="N143" s="388">
        <f>IFERROR(__xludf.DUMMYFUNCTION("""COMPUTED_VALUE"""),0.0)</f>
        <v>0</v>
      </c>
      <c r="O143" s="388">
        <f>IFERROR(__xludf.DUMMYFUNCTION("""COMPUTED_VALUE"""),0.0)</f>
        <v>0</v>
      </c>
      <c r="P143" s="388">
        <f>IFERROR(__xludf.DUMMYFUNCTION("""COMPUTED_VALUE"""),0.0)</f>
        <v>0</v>
      </c>
      <c r="Q143" s="388">
        <f>IFERROR(__xludf.DUMMYFUNCTION("""COMPUTED_VALUE"""),0.0)</f>
        <v>0</v>
      </c>
      <c r="R143" s="388">
        <f>IFERROR(__xludf.DUMMYFUNCTION("""COMPUTED_VALUE"""),0.0)</f>
        <v>0</v>
      </c>
      <c r="S143" s="388">
        <f>IFERROR(__xludf.DUMMYFUNCTION("""COMPUTED_VALUE"""),0.0)</f>
        <v>0</v>
      </c>
      <c r="T143" s="388">
        <f>IFERROR(__xludf.DUMMYFUNCTION("""COMPUTED_VALUE"""),0.0)</f>
        <v>0</v>
      </c>
      <c r="U143" s="388">
        <f>IFERROR(__xludf.DUMMYFUNCTION("""COMPUTED_VALUE"""),0.0)</f>
        <v>0</v>
      </c>
      <c r="V143" s="389">
        <f>IFERROR(__xludf.DUMMYFUNCTION("""COMPUTED_VALUE"""),0.0)</f>
        <v>0</v>
      </c>
      <c r="W143" s="65"/>
      <c r="X143" s="65"/>
    </row>
    <row r="144" ht="14.25" customHeight="1">
      <c r="A144" s="366">
        <f t="shared" si="2"/>
        <v>140</v>
      </c>
      <c r="B144" s="441" t="s">
        <v>463</v>
      </c>
      <c r="C144" s="386" t="s">
        <v>1028</v>
      </c>
      <c r="D144" s="416" t="s">
        <v>1028</v>
      </c>
      <c r="E144" s="388">
        <f>IFERROR(__xludf.DUMMYFUNCTION("""COMPUTED_VALUE"""),0.0)</f>
        <v>0</v>
      </c>
      <c r="F144" s="388">
        <f>IFERROR(__xludf.DUMMYFUNCTION("""COMPUTED_VALUE"""),0.0)</f>
        <v>0</v>
      </c>
      <c r="G144" s="388">
        <f>IFERROR(__xludf.DUMMYFUNCTION("""COMPUTED_VALUE"""),0.0)</f>
        <v>0</v>
      </c>
      <c r="H144" s="388">
        <f>IFERROR(__xludf.DUMMYFUNCTION("""COMPUTED_VALUE"""),0.0)</f>
        <v>0</v>
      </c>
      <c r="I144" s="388">
        <f>IFERROR(__xludf.DUMMYFUNCTION("""COMPUTED_VALUE"""),50000.0)</f>
        <v>50000</v>
      </c>
      <c r="J144" s="388">
        <f>IFERROR(__xludf.DUMMYFUNCTION("""COMPUTED_VALUE"""),0.0)</f>
        <v>0</v>
      </c>
      <c r="K144" s="388">
        <f>IFERROR(__xludf.DUMMYFUNCTION("""COMPUTED_VALUE"""),0.0)</f>
        <v>0</v>
      </c>
      <c r="L144" s="388">
        <f>IFERROR(__xludf.DUMMYFUNCTION("""COMPUTED_VALUE"""),0.0)</f>
        <v>0</v>
      </c>
      <c r="M144" s="388">
        <f>IFERROR(__xludf.DUMMYFUNCTION("""COMPUTED_VALUE"""),0.0)</f>
        <v>0</v>
      </c>
      <c r="N144" s="388">
        <f>IFERROR(__xludf.DUMMYFUNCTION("""COMPUTED_VALUE"""),0.0)</f>
        <v>0</v>
      </c>
      <c r="O144" s="388">
        <f>IFERROR(__xludf.DUMMYFUNCTION("""COMPUTED_VALUE"""),1.3718574E7)</f>
        <v>13718574</v>
      </c>
      <c r="P144" s="388">
        <f>IFERROR(__xludf.DUMMYFUNCTION("""COMPUTED_VALUE"""),0.0)</f>
        <v>0</v>
      </c>
      <c r="Q144" s="388">
        <f>IFERROR(__xludf.DUMMYFUNCTION("""COMPUTED_VALUE"""),0.0)</f>
        <v>0</v>
      </c>
      <c r="R144" s="388">
        <f>IFERROR(__xludf.DUMMYFUNCTION("""COMPUTED_VALUE"""),0.0)</f>
        <v>0</v>
      </c>
      <c r="S144" s="388">
        <f>IFERROR(__xludf.DUMMYFUNCTION("""COMPUTED_VALUE"""),0.0)</f>
        <v>0</v>
      </c>
      <c r="T144" s="388">
        <f>IFERROR(__xludf.DUMMYFUNCTION("""COMPUTED_VALUE"""),0.0)</f>
        <v>0</v>
      </c>
      <c r="U144" s="388">
        <f>IFERROR(__xludf.DUMMYFUNCTION("""COMPUTED_VALUE"""),0.0)</f>
        <v>0</v>
      </c>
      <c r="V144" s="389">
        <f>IFERROR(__xludf.DUMMYFUNCTION("""COMPUTED_VALUE"""),1.3768574E7)</f>
        <v>13768574</v>
      </c>
      <c r="W144" s="65"/>
      <c r="X144" s="65"/>
    </row>
    <row r="145" ht="14.25" customHeight="1">
      <c r="A145" s="366">
        <f t="shared" si="2"/>
        <v>141</v>
      </c>
      <c r="B145" s="441" t="s">
        <v>469</v>
      </c>
      <c r="C145" s="386" t="s">
        <v>1029</v>
      </c>
      <c r="D145" s="416" t="s">
        <v>1029</v>
      </c>
      <c r="E145" s="388">
        <f>IFERROR(__xludf.DUMMYFUNCTION("""COMPUTED_VALUE"""),0.0)</f>
        <v>0</v>
      </c>
      <c r="F145" s="388">
        <f>IFERROR(__xludf.DUMMYFUNCTION("""COMPUTED_VALUE"""),0.0)</f>
        <v>0</v>
      </c>
      <c r="G145" s="388">
        <f>IFERROR(__xludf.DUMMYFUNCTION("""COMPUTED_VALUE"""),0.0)</f>
        <v>0</v>
      </c>
      <c r="H145" s="388">
        <f>IFERROR(__xludf.DUMMYFUNCTION("""COMPUTED_VALUE"""),0.0)</f>
        <v>0</v>
      </c>
      <c r="I145" s="388">
        <f>IFERROR(__xludf.DUMMYFUNCTION("""COMPUTED_VALUE"""),1570000.0)</f>
        <v>1570000</v>
      </c>
      <c r="J145" s="388">
        <f>IFERROR(__xludf.DUMMYFUNCTION("""COMPUTED_VALUE"""),0.0)</f>
        <v>0</v>
      </c>
      <c r="K145" s="388">
        <f>IFERROR(__xludf.DUMMYFUNCTION("""COMPUTED_VALUE"""),0.0)</f>
        <v>0</v>
      </c>
      <c r="L145" s="388">
        <f>IFERROR(__xludf.DUMMYFUNCTION("""COMPUTED_VALUE"""),0.0)</f>
        <v>0</v>
      </c>
      <c r="M145" s="388">
        <f>IFERROR(__xludf.DUMMYFUNCTION("""COMPUTED_VALUE"""),0.0)</f>
        <v>0</v>
      </c>
      <c r="N145" s="388">
        <f>IFERROR(__xludf.DUMMYFUNCTION("""COMPUTED_VALUE"""),0.0)</f>
        <v>0</v>
      </c>
      <c r="O145" s="388">
        <f>IFERROR(__xludf.DUMMYFUNCTION("""COMPUTED_VALUE"""),1225000.0)</f>
        <v>1225000</v>
      </c>
      <c r="P145" s="388">
        <f>IFERROR(__xludf.DUMMYFUNCTION("""COMPUTED_VALUE"""),0.0)</f>
        <v>0</v>
      </c>
      <c r="Q145" s="388">
        <f>IFERROR(__xludf.DUMMYFUNCTION("""COMPUTED_VALUE"""),0.0)</f>
        <v>0</v>
      </c>
      <c r="R145" s="388">
        <f>IFERROR(__xludf.DUMMYFUNCTION("""COMPUTED_VALUE"""),0.0)</f>
        <v>0</v>
      </c>
      <c r="S145" s="388">
        <f>IFERROR(__xludf.DUMMYFUNCTION("""COMPUTED_VALUE"""),0.0)</f>
        <v>0</v>
      </c>
      <c r="T145" s="388">
        <f>IFERROR(__xludf.DUMMYFUNCTION("""COMPUTED_VALUE"""),0.0)</f>
        <v>0</v>
      </c>
      <c r="U145" s="388">
        <f>IFERROR(__xludf.DUMMYFUNCTION("""COMPUTED_VALUE"""),0.0)</f>
        <v>0</v>
      </c>
      <c r="V145" s="389">
        <f>IFERROR(__xludf.DUMMYFUNCTION("""COMPUTED_VALUE"""),2795000.0)</f>
        <v>2795000</v>
      </c>
      <c r="W145" s="65"/>
      <c r="X145" s="65"/>
    </row>
    <row r="146" ht="14.25" customHeight="1">
      <c r="A146" s="366">
        <f t="shared" si="2"/>
        <v>142</v>
      </c>
      <c r="B146" s="441" t="s">
        <v>487</v>
      </c>
      <c r="C146" s="386" t="s">
        <v>1030</v>
      </c>
      <c r="D146" s="416" t="s">
        <v>1030</v>
      </c>
      <c r="E146" s="388">
        <f>IFERROR(__xludf.DUMMYFUNCTION("""COMPUTED_VALUE"""),0.0)</f>
        <v>0</v>
      </c>
      <c r="F146" s="388">
        <f>IFERROR(__xludf.DUMMYFUNCTION("""COMPUTED_VALUE"""),0.0)</f>
        <v>0</v>
      </c>
      <c r="G146" s="388">
        <f>IFERROR(__xludf.DUMMYFUNCTION("""COMPUTED_VALUE"""),0.0)</f>
        <v>0</v>
      </c>
      <c r="H146" s="388">
        <f>IFERROR(__xludf.DUMMYFUNCTION("""COMPUTED_VALUE"""),0.0)</f>
        <v>0</v>
      </c>
      <c r="I146" s="388">
        <f>IFERROR(__xludf.DUMMYFUNCTION("""COMPUTED_VALUE"""),0.0)</f>
        <v>0</v>
      </c>
      <c r="J146" s="388">
        <f>IFERROR(__xludf.DUMMYFUNCTION("""COMPUTED_VALUE"""),0.0)</f>
        <v>0</v>
      </c>
      <c r="K146" s="388">
        <f>IFERROR(__xludf.DUMMYFUNCTION("""COMPUTED_VALUE"""),0.0)</f>
        <v>0</v>
      </c>
      <c r="L146" s="388">
        <f>IFERROR(__xludf.DUMMYFUNCTION("""COMPUTED_VALUE"""),0.0)</f>
        <v>0</v>
      </c>
      <c r="M146" s="388">
        <f>IFERROR(__xludf.DUMMYFUNCTION("""COMPUTED_VALUE"""),0.0)</f>
        <v>0</v>
      </c>
      <c r="N146" s="388">
        <f>IFERROR(__xludf.DUMMYFUNCTION("""COMPUTED_VALUE"""),0.0)</f>
        <v>0</v>
      </c>
      <c r="O146" s="388">
        <f>IFERROR(__xludf.DUMMYFUNCTION("""COMPUTED_VALUE"""),8320000.0)</f>
        <v>8320000</v>
      </c>
      <c r="P146" s="388">
        <f>IFERROR(__xludf.DUMMYFUNCTION("""COMPUTED_VALUE"""),0.0)</f>
        <v>0</v>
      </c>
      <c r="Q146" s="388">
        <f>IFERROR(__xludf.DUMMYFUNCTION("""COMPUTED_VALUE"""),0.0)</f>
        <v>0</v>
      </c>
      <c r="R146" s="388">
        <f>IFERROR(__xludf.DUMMYFUNCTION("""COMPUTED_VALUE"""),0.0)</f>
        <v>0</v>
      </c>
      <c r="S146" s="388">
        <f>IFERROR(__xludf.DUMMYFUNCTION("""COMPUTED_VALUE"""),0.0)</f>
        <v>0</v>
      </c>
      <c r="T146" s="388">
        <f>IFERROR(__xludf.DUMMYFUNCTION("""COMPUTED_VALUE"""),0.0)</f>
        <v>0</v>
      </c>
      <c r="U146" s="388">
        <f>IFERROR(__xludf.DUMMYFUNCTION("""COMPUTED_VALUE"""),0.0)</f>
        <v>0</v>
      </c>
      <c r="V146" s="389">
        <f>IFERROR(__xludf.DUMMYFUNCTION("""COMPUTED_VALUE"""),8320000.0)</f>
        <v>8320000</v>
      </c>
      <c r="W146" s="65"/>
      <c r="X146" s="65"/>
    </row>
    <row r="147" ht="14.25" customHeight="1">
      <c r="A147" s="366">
        <f t="shared" si="2"/>
        <v>143</v>
      </c>
      <c r="B147" s="441" t="s">
        <v>556</v>
      </c>
      <c r="C147" s="386" t="s">
        <v>1031</v>
      </c>
      <c r="D147" s="416" t="s">
        <v>1031</v>
      </c>
      <c r="E147" s="388">
        <f>IFERROR(__xludf.DUMMYFUNCTION("""COMPUTED_VALUE"""),0.0)</f>
        <v>0</v>
      </c>
      <c r="F147" s="388">
        <f>IFERROR(__xludf.DUMMYFUNCTION("""COMPUTED_VALUE"""),0.0)</f>
        <v>0</v>
      </c>
      <c r="G147" s="388">
        <f>IFERROR(__xludf.DUMMYFUNCTION("""COMPUTED_VALUE"""),0.0)</f>
        <v>0</v>
      </c>
      <c r="H147" s="388">
        <f>IFERROR(__xludf.DUMMYFUNCTION("""COMPUTED_VALUE"""),0.0)</f>
        <v>0</v>
      </c>
      <c r="I147" s="388">
        <f>IFERROR(__xludf.DUMMYFUNCTION("""COMPUTED_VALUE"""),45000.0)</f>
        <v>45000</v>
      </c>
      <c r="J147" s="388">
        <f>IFERROR(__xludf.DUMMYFUNCTION("""COMPUTED_VALUE"""),0.0)</f>
        <v>0</v>
      </c>
      <c r="K147" s="388">
        <f>IFERROR(__xludf.DUMMYFUNCTION("""COMPUTED_VALUE"""),0.0)</f>
        <v>0</v>
      </c>
      <c r="L147" s="388">
        <f>IFERROR(__xludf.DUMMYFUNCTION("""COMPUTED_VALUE"""),0.0)</f>
        <v>0</v>
      </c>
      <c r="M147" s="388">
        <f>IFERROR(__xludf.DUMMYFUNCTION("""COMPUTED_VALUE"""),0.0)</f>
        <v>0</v>
      </c>
      <c r="N147" s="388">
        <f>IFERROR(__xludf.DUMMYFUNCTION("""COMPUTED_VALUE"""),0.0)</f>
        <v>0</v>
      </c>
      <c r="O147" s="388">
        <f>IFERROR(__xludf.DUMMYFUNCTION("""COMPUTED_VALUE"""),0.0)</f>
        <v>0</v>
      </c>
      <c r="P147" s="388">
        <f>IFERROR(__xludf.DUMMYFUNCTION("""COMPUTED_VALUE"""),0.0)</f>
        <v>0</v>
      </c>
      <c r="Q147" s="388">
        <f>IFERROR(__xludf.DUMMYFUNCTION("""COMPUTED_VALUE"""),0.0)</f>
        <v>0</v>
      </c>
      <c r="R147" s="388">
        <f>IFERROR(__xludf.DUMMYFUNCTION("""COMPUTED_VALUE"""),0.0)</f>
        <v>0</v>
      </c>
      <c r="S147" s="388">
        <f>IFERROR(__xludf.DUMMYFUNCTION("""COMPUTED_VALUE"""),0.0)</f>
        <v>0</v>
      </c>
      <c r="T147" s="388">
        <f>IFERROR(__xludf.DUMMYFUNCTION("""COMPUTED_VALUE"""),0.0)</f>
        <v>0</v>
      </c>
      <c r="U147" s="388">
        <f>IFERROR(__xludf.DUMMYFUNCTION("""COMPUTED_VALUE"""),0.0)</f>
        <v>0</v>
      </c>
      <c r="V147" s="389">
        <f>IFERROR(__xludf.DUMMYFUNCTION("""COMPUTED_VALUE"""),45000.0)</f>
        <v>45000</v>
      </c>
      <c r="W147" s="65"/>
      <c r="X147" s="65"/>
    </row>
    <row r="148" ht="14.25" customHeight="1">
      <c r="A148" s="366">
        <f t="shared" si="2"/>
        <v>144</v>
      </c>
      <c r="B148" s="445"/>
      <c r="C148" s="386" t="s">
        <v>909</v>
      </c>
      <c r="D148" s="416" t="s">
        <v>909</v>
      </c>
      <c r="E148" s="388">
        <f>IFERROR(__xludf.DUMMYFUNCTION("""COMPUTED_VALUE"""),0.0)</f>
        <v>0</v>
      </c>
      <c r="F148" s="388">
        <f>IFERROR(__xludf.DUMMYFUNCTION("""COMPUTED_VALUE"""),0.0)</f>
        <v>0</v>
      </c>
      <c r="G148" s="388">
        <f>IFERROR(__xludf.DUMMYFUNCTION("""COMPUTED_VALUE"""),0.0)</f>
        <v>0</v>
      </c>
      <c r="H148" s="388">
        <f>IFERROR(__xludf.DUMMYFUNCTION("""COMPUTED_VALUE"""),0.0)</f>
        <v>0</v>
      </c>
      <c r="I148" s="388">
        <f>IFERROR(__xludf.DUMMYFUNCTION("""COMPUTED_VALUE"""),0.0)</f>
        <v>0</v>
      </c>
      <c r="J148" s="388">
        <f>IFERROR(__xludf.DUMMYFUNCTION("""COMPUTED_VALUE"""),0.0)</f>
        <v>0</v>
      </c>
      <c r="K148" s="388">
        <f>IFERROR(__xludf.DUMMYFUNCTION("""COMPUTED_VALUE"""),0.0)</f>
        <v>0</v>
      </c>
      <c r="L148" s="388">
        <f>IFERROR(__xludf.DUMMYFUNCTION("""COMPUTED_VALUE"""),0.0)</f>
        <v>0</v>
      </c>
      <c r="M148" s="388">
        <f>IFERROR(__xludf.DUMMYFUNCTION("""COMPUTED_VALUE"""),0.0)</f>
        <v>0</v>
      </c>
      <c r="N148" s="388">
        <f>IFERROR(__xludf.DUMMYFUNCTION("""COMPUTED_VALUE"""),0.0)</f>
        <v>0</v>
      </c>
      <c r="O148" s="388">
        <f>IFERROR(__xludf.DUMMYFUNCTION("""COMPUTED_VALUE"""),0.0)</f>
        <v>0</v>
      </c>
      <c r="P148" s="388">
        <f>IFERROR(__xludf.DUMMYFUNCTION("""COMPUTED_VALUE"""),0.0)</f>
        <v>0</v>
      </c>
      <c r="Q148" s="388">
        <f>IFERROR(__xludf.DUMMYFUNCTION("""COMPUTED_VALUE"""),0.0)</f>
        <v>0</v>
      </c>
      <c r="R148" s="388">
        <f>IFERROR(__xludf.DUMMYFUNCTION("""COMPUTED_VALUE"""),0.0)</f>
        <v>0</v>
      </c>
      <c r="S148" s="388">
        <f>IFERROR(__xludf.DUMMYFUNCTION("""COMPUTED_VALUE"""),0.0)</f>
        <v>0</v>
      </c>
      <c r="T148" s="388">
        <f>IFERROR(__xludf.DUMMYFUNCTION("""COMPUTED_VALUE"""),0.0)</f>
        <v>0</v>
      </c>
      <c r="U148" s="388">
        <f>IFERROR(__xludf.DUMMYFUNCTION("""COMPUTED_VALUE"""),0.0)</f>
        <v>0</v>
      </c>
      <c r="V148" s="389">
        <f>IFERROR(__xludf.DUMMYFUNCTION("""COMPUTED_VALUE"""),0.0)</f>
        <v>0</v>
      </c>
      <c r="W148" s="65"/>
      <c r="X148" s="65"/>
    </row>
    <row r="149" ht="14.25" customHeight="1">
      <c r="A149" s="366">
        <f t="shared" si="2"/>
        <v>145</v>
      </c>
      <c r="B149" s="445"/>
      <c r="C149" s="400"/>
      <c r="D149" s="416" t="s">
        <v>910</v>
      </c>
      <c r="E149" s="388">
        <f>IFERROR(__xludf.DUMMYFUNCTION("""COMPUTED_VALUE"""),0.0)</f>
        <v>0</v>
      </c>
      <c r="F149" s="388">
        <f>IFERROR(__xludf.DUMMYFUNCTION("""COMPUTED_VALUE"""),0.0)</f>
        <v>0</v>
      </c>
      <c r="G149" s="388">
        <f>IFERROR(__xludf.DUMMYFUNCTION("""COMPUTED_VALUE"""),0.0)</f>
        <v>0</v>
      </c>
      <c r="H149" s="388">
        <f>IFERROR(__xludf.DUMMYFUNCTION("""COMPUTED_VALUE"""),0.0)</f>
        <v>0</v>
      </c>
      <c r="I149" s="388">
        <f>IFERROR(__xludf.DUMMYFUNCTION("""COMPUTED_VALUE"""),0.0)</f>
        <v>0</v>
      </c>
      <c r="J149" s="388">
        <f>IFERROR(__xludf.DUMMYFUNCTION("""COMPUTED_VALUE"""),0.0)</f>
        <v>0</v>
      </c>
      <c r="K149" s="388">
        <f>IFERROR(__xludf.DUMMYFUNCTION("""COMPUTED_VALUE"""),0.0)</f>
        <v>0</v>
      </c>
      <c r="L149" s="388">
        <f>IFERROR(__xludf.DUMMYFUNCTION("""COMPUTED_VALUE"""),0.0)</f>
        <v>0</v>
      </c>
      <c r="M149" s="388">
        <f>IFERROR(__xludf.DUMMYFUNCTION("""COMPUTED_VALUE"""),0.0)</f>
        <v>0</v>
      </c>
      <c r="N149" s="388">
        <f>IFERROR(__xludf.DUMMYFUNCTION("""COMPUTED_VALUE"""),0.0)</f>
        <v>0</v>
      </c>
      <c r="O149" s="388">
        <f>IFERROR(__xludf.DUMMYFUNCTION("""COMPUTED_VALUE"""),0.0)</f>
        <v>0</v>
      </c>
      <c r="P149" s="388">
        <f>IFERROR(__xludf.DUMMYFUNCTION("""COMPUTED_VALUE"""),0.0)</f>
        <v>0</v>
      </c>
      <c r="Q149" s="388">
        <f>IFERROR(__xludf.DUMMYFUNCTION("""COMPUTED_VALUE"""),0.0)</f>
        <v>0</v>
      </c>
      <c r="R149" s="388">
        <f>IFERROR(__xludf.DUMMYFUNCTION("""COMPUTED_VALUE"""),0.0)</f>
        <v>0</v>
      </c>
      <c r="S149" s="388">
        <f>IFERROR(__xludf.DUMMYFUNCTION("""COMPUTED_VALUE"""),0.0)</f>
        <v>0</v>
      </c>
      <c r="T149" s="388">
        <f>IFERROR(__xludf.DUMMYFUNCTION("""COMPUTED_VALUE"""),0.0)</f>
        <v>0</v>
      </c>
      <c r="U149" s="388">
        <f>IFERROR(__xludf.DUMMYFUNCTION("""COMPUTED_VALUE"""),0.0)</f>
        <v>0</v>
      </c>
      <c r="V149" s="389">
        <f>IFERROR(__xludf.DUMMYFUNCTION("""COMPUTED_VALUE"""),0.0)</f>
        <v>0</v>
      </c>
      <c r="W149" s="65"/>
      <c r="X149" s="65"/>
    </row>
    <row r="150" ht="14.25" customHeight="1">
      <c r="A150" s="366">
        <f t="shared" si="2"/>
        <v>146</v>
      </c>
      <c r="B150" s="441" t="s">
        <v>548</v>
      </c>
      <c r="C150" s="386" t="s">
        <v>1032</v>
      </c>
      <c r="D150" s="416" t="s">
        <v>1032</v>
      </c>
      <c r="E150" s="388">
        <f>IFERROR(__xludf.DUMMYFUNCTION("""COMPUTED_VALUE"""),0.0)</f>
        <v>0</v>
      </c>
      <c r="F150" s="388">
        <f>IFERROR(__xludf.DUMMYFUNCTION("""COMPUTED_VALUE"""),0.0)</f>
        <v>0</v>
      </c>
      <c r="G150" s="388">
        <f>IFERROR(__xludf.DUMMYFUNCTION("""COMPUTED_VALUE"""),0.0)</f>
        <v>0</v>
      </c>
      <c r="H150" s="388">
        <f>IFERROR(__xludf.DUMMYFUNCTION("""COMPUTED_VALUE"""),0.0)</f>
        <v>0</v>
      </c>
      <c r="I150" s="388">
        <f>IFERROR(__xludf.DUMMYFUNCTION("""COMPUTED_VALUE"""),0.0)</f>
        <v>0</v>
      </c>
      <c r="J150" s="388">
        <f>IFERROR(__xludf.DUMMYFUNCTION("""COMPUTED_VALUE"""),0.0)</f>
        <v>0</v>
      </c>
      <c r="K150" s="388">
        <f>IFERROR(__xludf.DUMMYFUNCTION("""COMPUTED_VALUE"""),0.0)</f>
        <v>0</v>
      </c>
      <c r="L150" s="388">
        <f>IFERROR(__xludf.DUMMYFUNCTION("""COMPUTED_VALUE"""),0.0)</f>
        <v>0</v>
      </c>
      <c r="M150" s="388">
        <f>IFERROR(__xludf.DUMMYFUNCTION("""COMPUTED_VALUE"""),0.0)</f>
        <v>0</v>
      </c>
      <c r="N150" s="388">
        <f>IFERROR(__xludf.DUMMYFUNCTION("""COMPUTED_VALUE"""),0.0)</f>
        <v>0</v>
      </c>
      <c r="O150" s="388">
        <f>IFERROR(__xludf.DUMMYFUNCTION("""COMPUTED_VALUE"""),0.0)</f>
        <v>0</v>
      </c>
      <c r="P150" s="388">
        <f>IFERROR(__xludf.DUMMYFUNCTION("""COMPUTED_VALUE"""),0.0)</f>
        <v>0</v>
      </c>
      <c r="Q150" s="388">
        <f>IFERROR(__xludf.DUMMYFUNCTION("""COMPUTED_VALUE"""),0.0)</f>
        <v>0</v>
      </c>
      <c r="R150" s="388">
        <f>IFERROR(__xludf.DUMMYFUNCTION("""COMPUTED_VALUE"""),0.0)</f>
        <v>0</v>
      </c>
      <c r="S150" s="388">
        <f>IFERROR(__xludf.DUMMYFUNCTION("""COMPUTED_VALUE"""),0.0)</f>
        <v>0</v>
      </c>
      <c r="T150" s="388">
        <f>IFERROR(__xludf.DUMMYFUNCTION("""COMPUTED_VALUE"""),0.0)</f>
        <v>0</v>
      </c>
      <c r="U150" s="388">
        <f>IFERROR(__xludf.DUMMYFUNCTION("""COMPUTED_VALUE"""),0.0)</f>
        <v>0</v>
      </c>
      <c r="V150" s="389">
        <f>IFERROR(__xludf.DUMMYFUNCTION("""COMPUTED_VALUE"""),0.0)</f>
        <v>0</v>
      </c>
      <c r="W150" s="65"/>
      <c r="X150" s="65"/>
    </row>
    <row r="151" ht="14.25" customHeight="1">
      <c r="A151" s="366">
        <f t="shared" si="2"/>
        <v>147</v>
      </c>
      <c r="B151" s="441" t="s">
        <v>571</v>
      </c>
      <c r="C151" s="442" t="s">
        <v>1033</v>
      </c>
      <c r="D151" s="387" t="s">
        <v>1033</v>
      </c>
      <c r="E151" s="388">
        <f>IFERROR(__xludf.DUMMYFUNCTION("""COMPUTED_VALUE"""),0.0)</f>
        <v>0</v>
      </c>
      <c r="F151" s="388">
        <f>IFERROR(__xludf.DUMMYFUNCTION("""COMPUTED_VALUE"""),0.0)</f>
        <v>0</v>
      </c>
      <c r="G151" s="388">
        <f>IFERROR(__xludf.DUMMYFUNCTION("""COMPUTED_VALUE"""),0.0)</f>
        <v>0</v>
      </c>
      <c r="H151" s="388">
        <f>IFERROR(__xludf.DUMMYFUNCTION("""COMPUTED_VALUE"""),0.0)</f>
        <v>0</v>
      </c>
      <c r="I151" s="388">
        <f>IFERROR(__xludf.DUMMYFUNCTION("""COMPUTED_VALUE"""),0.0)</f>
        <v>0</v>
      </c>
      <c r="J151" s="388">
        <f>IFERROR(__xludf.DUMMYFUNCTION("""COMPUTED_VALUE"""),0.0)</f>
        <v>0</v>
      </c>
      <c r="K151" s="388">
        <f>IFERROR(__xludf.DUMMYFUNCTION("""COMPUTED_VALUE"""),0.0)</f>
        <v>0</v>
      </c>
      <c r="L151" s="388">
        <f>IFERROR(__xludf.DUMMYFUNCTION("""COMPUTED_VALUE"""),0.0)</f>
        <v>0</v>
      </c>
      <c r="M151" s="388">
        <f>IFERROR(__xludf.DUMMYFUNCTION("""COMPUTED_VALUE"""),0.0)</f>
        <v>0</v>
      </c>
      <c r="N151" s="388">
        <f>IFERROR(__xludf.DUMMYFUNCTION("""COMPUTED_VALUE"""),0.0)</f>
        <v>0</v>
      </c>
      <c r="O151" s="388">
        <f>IFERROR(__xludf.DUMMYFUNCTION("""COMPUTED_VALUE"""),0.0)</f>
        <v>0</v>
      </c>
      <c r="P151" s="388">
        <f>IFERROR(__xludf.DUMMYFUNCTION("""COMPUTED_VALUE"""),0.0)</f>
        <v>0</v>
      </c>
      <c r="Q151" s="388">
        <f>IFERROR(__xludf.DUMMYFUNCTION("""COMPUTED_VALUE"""),0.0)</f>
        <v>0</v>
      </c>
      <c r="R151" s="388">
        <f>IFERROR(__xludf.DUMMYFUNCTION("""COMPUTED_VALUE"""),0.0)</f>
        <v>0</v>
      </c>
      <c r="S151" s="388">
        <f>IFERROR(__xludf.DUMMYFUNCTION("""COMPUTED_VALUE"""),0.0)</f>
        <v>0</v>
      </c>
      <c r="T151" s="388">
        <f>IFERROR(__xludf.DUMMYFUNCTION("""COMPUTED_VALUE"""),0.0)</f>
        <v>0</v>
      </c>
      <c r="U151" s="388">
        <f>IFERROR(__xludf.DUMMYFUNCTION("""COMPUTED_VALUE"""),0.0)</f>
        <v>0</v>
      </c>
      <c r="V151" s="389">
        <f>IFERROR(__xludf.DUMMYFUNCTION("""COMPUTED_VALUE"""),0.0)</f>
        <v>0</v>
      </c>
      <c r="W151" s="65"/>
      <c r="X151" s="65"/>
    </row>
    <row r="152" ht="14.25" customHeight="1">
      <c r="A152" s="366">
        <f t="shared" si="2"/>
        <v>148</v>
      </c>
      <c r="B152" s="441" t="s">
        <v>473</v>
      </c>
      <c r="C152" s="442" t="s">
        <v>716</v>
      </c>
      <c r="D152" s="387" t="s">
        <v>716</v>
      </c>
      <c r="E152" s="388">
        <f>IFERROR(__xludf.DUMMYFUNCTION("""COMPUTED_VALUE"""),0.0)</f>
        <v>0</v>
      </c>
      <c r="F152" s="388">
        <f>IFERROR(__xludf.DUMMYFUNCTION("""COMPUTED_VALUE"""),0.0)</f>
        <v>0</v>
      </c>
      <c r="G152" s="388">
        <f>IFERROR(__xludf.DUMMYFUNCTION("""COMPUTED_VALUE"""),0.0)</f>
        <v>0</v>
      </c>
      <c r="H152" s="388">
        <f>IFERROR(__xludf.DUMMYFUNCTION("""COMPUTED_VALUE"""),0.0)</f>
        <v>0</v>
      </c>
      <c r="I152" s="388">
        <f>IFERROR(__xludf.DUMMYFUNCTION("""COMPUTED_VALUE"""),5.8498893E7)</f>
        <v>58498893</v>
      </c>
      <c r="J152" s="388">
        <f>IFERROR(__xludf.DUMMYFUNCTION("""COMPUTED_VALUE"""),0.0)</f>
        <v>0</v>
      </c>
      <c r="K152" s="388">
        <f>IFERROR(__xludf.DUMMYFUNCTION("""COMPUTED_VALUE"""),0.0)</f>
        <v>0</v>
      </c>
      <c r="L152" s="388">
        <f>IFERROR(__xludf.DUMMYFUNCTION("""COMPUTED_VALUE"""),0.0)</f>
        <v>0</v>
      </c>
      <c r="M152" s="388">
        <f>IFERROR(__xludf.DUMMYFUNCTION("""COMPUTED_VALUE"""),0.0)</f>
        <v>0</v>
      </c>
      <c r="N152" s="388">
        <f>IFERROR(__xludf.DUMMYFUNCTION("""COMPUTED_VALUE"""),0.0)</f>
        <v>0</v>
      </c>
      <c r="O152" s="388">
        <f>IFERROR(__xludf.DUMMYFUNCTION("""COMPUTED_VALUE"""),7.4362776E7)</f>
        <v>74362776</v>
      </c>
      <c r="P152" s="388">
        <f>IFERROR(__xludf.DUMMYFUNCTION("""COMPUTED_VALUE"""),0.0)</f>
        <v>0</v>
      </c>
      <c r="Q152" s="388">
        <f>IFERROR(__xludf.DUMMYFUNCTION("""COMPUTED_VALUE"""),0.0)</f>
        <v>0</v>
      </c>
      <c r="R152" s="388">
        <f>IFERROR(__xludf.DUMMYFUNCTION("""COMPUTED_VALUE"""),0.0)</f>
        <v>0</v>
      </c>
      <c r="S152" s="388">
        <f>IFERROR(__xludf.DUMMYFUNCTION("""COMPUTED_VALUE"""),0.0)</f>
        <v>0</v>
      </c>
      <c r="T152" s="388">
        <f>IFERROR(__xludf.DUMMYFUNCTION("""COMPUTED_VALUE"""),0.0)</f>
        <v>0</v>
      </c>
      <c r="U152" s="388">
        <f>IFERROR(__xludf.DUMMYFUNCTION("""COMPUTED_VALUE"""),0.0)</f>
        <v>0</v>
      </c>
      <c r="V152" s="389">
        <f>IFERROR(__xludf.DUMMYFUNCTION("""COMPUTED_VALUE"""),1.32861669E8)</f>
        <v>132861669</v>
      </c>
      <c r="W152" s="65"/>
      <c r="X152" s="65"/>
    </row>
    <row r="153" ht="14.25" customHeight="1">
      <c r="A153" s="366">
        <f t="shared" si="2"/>
        <v>149</v>
      </c>
      <c r="B153" s="441" t="s">
        <v>491</v>
      </c>
      <c r="C153" s="442" t="s">
        <v>717</v>
      </c>
      <c r="D153" s="387" t="s">
        <v>717</v>
      </c>
      <c r="E153" s="388">
        <f>IFERROR(__xludf.DUMMYFUNCTION("""COMPUTED_VALUE"""),0.0)</f>
        <v>0</v>
      </c>
      <c r="F153" s="388">
        <f>IFERROR(__xludf.DUMMYFUNCTION("""COMPUTED_VALUE"""),0.0)</f>
        <v>0</v>
      </c>
      <c r="G153" s="388">
        <f>IFERROR(__xludf.DUMMYFUNCTION("""COMPUTED_VALUE"""),0.0)</f>
        <v>0</v>
      </c>
      <c r="H153" s="388">
        <f>IFERROR(__xludf.DUMMYFUNCTION("""COMPUTED_VALUE"""),0.0)</f>
        <v>0</v>
      </c>
      <c r="I153" s="388">
        <f>IFERROR(__xludf.DUMMYFUNCTION("""COMPUTED_VALUE"""),749000.0)</f>
        <v>749000</v>
      </c>
      <c r="J153" s="388">
        <f>IFERROR(__xludf.DUMMYFUNCTION("""COMPUTED_VALUE"""),0.0)</f>
        <v>0</v>
      </c>
      <c r="K153" s="388">
        <f>IFERROR(__xludf.DUMMYFUNCTION("""COMPUTED_VALUE"""),0.0)</f>
        <v>0</v>
      </c>
      <c r="L153" s="388">
        <f>IFERROR(__xludf.DUMMYFUNCTION("""COMPUTED_VALUE"""),0.0)</f>
        <v>0</v>
      </c>
      <c r="M153" s="388">
        <f>IFERROR(__xludf.DUMMYFUNCTION("""COMPUTED_VALUE"""),0.0)</f>
        <v>0</v>
      </c>
      <c r="N153" s="388">
        <f>IFERROR(__xludf.DUMMYFUNCTION("""COMPUTED_VALUE"""),0.0)</f>
        <v>0</v>
      </c>
      <c r="O153" s="388">
        <f>IFERROR(__xludf.DUMMYFUNCTION("""COMPUTED_VALUE"""),676676.0)</f>
        <v>676676</v>
      </c>
      <c r="P153" s="388">
        <f>IFERROR(__xludf.DUMMYFUNCTION("""COMPUTED_VALUE"""),0.0)</f>
        <v>0</v>
      </c>
      <c r="Q153" s="388">
        <f>IFERROR(__xludf.DUMMYFUNCTION("""COMPUTED_VALUE"""),0.0)</f>
        <v>0</v>
      </c>
      <c r="R153" s="388">
        <f>IFERROR(__xludf.DUMMYFUNCTION("""COMPUTED_VALUE"""),0.0)</f>
        <v>0</v>
      </c>
      <c r="S153" s="388">
        <f>IFERROR(__xludf.DUMMYFUNCTION("""COMPUTED_VALUE"""),0.0)</f>
        <v>0</v>
      </c>
      <c r="T153" s="388">
        <f>IFERROR(__xludf.DUMMYFUNCTION("""COMPUTED_VALUE"""),0.0)</f>
        <v>0</v>
      </c>
      <c r="U153" s="388">
        <f>IFERROR(__xludf.DUMMYFUNCTION("""COMPUTED_VALUE"""),0.0)</f>
        <v>0</v>
      </c>
      <c r="V153" s="389">
        <f>IFERROR(__xludf.DUMMYFUNCTION("""COMPUTED_VALUE"""),1425676.0)</f>
        <v>1425676</v>
      </c>
      <c r="W153" s="65"/>
      <c r="X153" s="65"/>
    </row>
    <row r="154" ht="14.25" customHeight="1">
      <c r="A154" s="366">
        <f t="shared" si="2"/>
        <v>150</v>
      </c>
      <c r="B154" s="441" t="s">
        <v>494</v>
      </c>
      <c r="C154" s="386" t="s">
        <v>1034</v>
      </c>
      <c r="D154" s="416" t="s">
        <v>1034</v>
      </c>
      <c r="E154" s="388">
        <f>IFERROR(__xludf.DUMMYFUNCTION("""COMPUTED_VALUE"""),0.0)</f>
        <v>0</v>
      </c>
      <c r="F154" s="388">
        <f>IFERROR(__xludf.DUMMYFUNCTION("""COMPUTED_VALUE"""),0.0)</f>
        <v>0</v>
      </c>
      <c r="G154" s="388">
        <f>IFERROR(__xludf.DUMMYFUNCTION("""COMPUTED_VALUE"""),0.0)</f>
        <v>0</v>
      </c>
      <c r="H154" s="388">
        <f>IFERROR(__xludf.DUMMYFUNCTION("""COMPUTED_VALUE"""),0.0)</f>
        <v>0</v>
      </c>
      <c r="I154" s="388">
        <f>IFERROR(__xludf.DUMMYFUNCTION("""COMPUTED_VALUE"""),5234101.0)</f>
        <v>5234101</v>
      </c>
      <c r="J154" s="388">
        <f>IFERROR(__xludf.DUMMYFUNCTION("""COMPUTED_VALUE"""),0.0)</f>
        <v>0</v>
      </c>
      <c r="K154" s="388">
        <f>IFERROR(__xludf.DUMMYFUNCTION("""COMPUTED_VALUE"""),0.0)</f>
        <v>0</v>
      </c>
      <c r="L154" s="388">
        <f>IFERROR(__xludf.DUMMYFUNCTION("""COMPUTED_VALUE"""),0.0)</f>
        <v>0</v>
      </c>
      <c r="M154" s="388">
        <f>IFERROR(__xludf.DUMMYFUNCTION("""COMPUTED_VALUE"""),0.0)</f>
        <v>0</v>
      </c>
      <c r="N154" s="388">
        <f>IFERROR(__xludf.DUMMYFUNCTION("""COMPUTED_VALUE"""),0.0)</f>
        <v>0</v>
      </c>
      <c r="O154" s="388">
        <f>IFERROR(__xludf.DUMMYFUNCTION("""COMPUTED_VALUE"""),896800.0)</f>
        <v>896800</v>
      </c>
      <c r="P154" s="388">
        <f>IFERROR(__xludf.DUMMYFUNCTION("""COMPUTED_VALUE"""),0.0)</f>
        <v>0</v>
      </c>
      <c r="Q154" s="388">
        <f>IFERROR(__xludf.DUMMYFUNCTION("""COMPUTED_VALUE"""),0.0)</f>
        <v>0</v>
      </c>
      <c r="R154" s="388">
        <f>IFERROR(__xludf.DUMMYFUNCTION("""COMPUTED_VALUE"""),0.0)</f>
        <v>0</v>
      </c>
      <c r="S154" s="388">
        <f>IFERROR(__xludf.DUMMYFUNCTION("""COMPUTED_VALUE"""),0.0)</f>
        <v>0</v>
      </c>
      <c r="T154" s="388">
        <f>IFERROR(__xludf.DUMMYFUNCTION("""COMPUTED_VALUE"""),0.0)</f>
        <v>0</v>
      </c>
      <c r="U154" s="388">
        <f>IFERROR(__xludf.DUMMYFUNCTION("""COMPUTED_VALUE"""),0.0)</f>
        <v>0</v>
      </c>
      <c r="V154" s="389">
        <f>IFERROR(__xludf.DUMMYFUNCTION("""COMPUTED_VALUE"""),6130901.0)</f>
        <v>6130901</v>
      </c>
      <c r="W154" s="65"/>
      <c r="X154" s="65"/>
    </row>
    <row r="155" ht="14.25" customHeight="1">
      <c r="A155" s="366">
        <f t="shared" si="2"/>
        <v>151</v>
      </c>
      <c r="B155" s="441" t="s">
        <v>533</v>
      </c>
      <c r="C155" s="382"/>
      <c r="D155" s="387" t="s">
        <v>1035</v>
      </c>
      <c r="E155" s="388">
        <f>IFERROR(__xludf.DUMMYFUNCTION("""COMPUTED_VALUE"""),0.0)</f>
        <v>0</v>
      </c>
      <c r="F155" s="388">
        <f>IFERROR(__xludf.DUMMYFUNCTION("""COMPUTED_VALUE"""),0.0)</f>
        <v>0</v>
      </c>
      <c r="G155" s="388">
        <f>IFERROR(__xludf.DUMMYFUNCTION("""COMPUTED_VALUE"""),0.0)</f>
        <v>0</v>
      </c>
      <c r="H155" s="388">
        <f>IFERROR(__xludf.DUMMYFUNCTION("""COMPUTED_VALUE"""),0.0)</f>
        <v>0</v>
      </c>
      <c r="I155" s="388">
        <f>IFERROR(__xludf.DUMMYFUNCTION("""COMPUTED_VALUE"""),0.0)</f>
        <v>0</v>
      </c>
      <c r="J155" s="388">
        <f>IFERROR(__xludf.DUMMYFUNCTION("""COMPUTED_VALUE"""),0.0)</f>
        <v>0</v>
      </c>
      <c r="K155" s="388">
        <f>IFERROR(__xludf.DUMMYFUNCTION("""COMPUTED_VALUE"""),0.0)</f>
        <v>0</v>
      </c>
      <c r="L155" s="388">
        <f>IFERROR(__xludf.DUMMYFUNCTION("""COMPUTED_VALUE"""),0.0)</f>
        <v>0</v>
      </c>
      <c r="M155" s="388">
        <f>IFERROR(__xludf.DUMMYFUNCTION("""COMPUTED_VALUE"""),0.0)</f>
        <v>0</v>
      </c>
      <c r="N155" s="388">
        <f>IFERROR(__xludf.DUMMYFUNCTION("""COMPUTED_VALUE"""),0.0)</f>
        <v>0</v>
      </c>
      <c r="O155" s="388">
        <f>IFERROR(__xludf.DUMMYFUNCTION("""COMPUTED_VALUE"""),0.0)</f>
        <v>0</v>
      </c>
      <c r="P155" s="388">
        <f>IFERROR(__xludf.DUMMYFUNCTION("""COMPUTED_VALUE"""),0.0)</f>
        <v>0</v>
      </c>
      <c r="Q155" s="388">
        <f>IFERROR(__xludf.DUMMYFUNCTION("""COMPUTED_VALUE"""),0.0)</f>
        <v>0</v>
      </c>
      <c r="R155" s="388">
        <f>IFERROR(__xludf.DUMMYFUNCTION("""COMPUTED_VALUE"""),0.0)</f>
        <v>0</v>
      </c>
      <c r="S155" s="388">
        <f>IFERROR(__xludf.DUMMYFUNCTION("""COMPUTED_VALUE"""),0.0)</f>
        <v>0</v>
      </c>
      <c r="T155" s="388">
        <f>IFERROR(__xludf.DUMMYFUNCTION("""COMPUTED_VALUE"""),0.0)</f>
        <v>0</v>
      </c>
      <c r="U155" s="388">
        <f>IFERROR(__xludf.DUMMYFUNCTION("""COMPUTED_VALUE"""),0.0)</f>
        <v>0</v>
      </c>
      <c r="V155" s="389">
        <f>IFERROR(__xludf.DUMMYFUNCTION("""COMPUTED_VALUE"""),0.0)</f>
        <v>0</v>
      </c>
      <c r="W155" s="65"/>
      <c r="X155" s="65"/>
    </row>
    <row r="156" ht="14.25" customHeight="1">
      <c r="A156" s="366">
        <f t="shared" si="2"/>
        <v>152</v>
      </c>
      <c r="B156" s="446"/>
      <c r="C156" s="427"/>
      <c r="D156" s="447" t="s">
        <v>911</v>
      </c>
      <c r="E156" s="428">
        <f>IFERROR(__xludf.DUMMYFUNCTION("""COMPUTED_VALUE"""),0.0)</f>
        <v>0</v>
      </c>
      <c r="F156" s="428">
        <f>IFERROR(__xludf.DUMMYFUNCTION("""COMPUTED_VALUE"""),0.0)</f>
        <v>0</v>
      </c>
      <c r="G156" s="428">
        <f>IFERROR(__xludf.DUMMYFUNCTION("""COMPUTED_VALUE"""),0.0)</f>
        <v>0</v>
      </c>
      <c r="H156" s="428">
        <f>IFERROR(__xludf.DUMMYFUNCTION("""COMPUTED_VALUE"""),0.0)</f>
        <v>0</v>
      </c>
      <c r="I156" s="428">
        <f>IFERROR(__xludf.DUMMYFUNCTION("""COMPUTED_VALUE"""),1.22391372E8)</f>
        <v>122391372</v>
      </c>
      <c r="J156" s="428">
        <f>IFERROR(__xludf.DUMMYFUNCTION("""COMPUTED_VALUE"""),0.0)</f>
        <v>0</v>
      </c>
      <c r="K156" s="428">
        <f>IFERROR(__xludf.DUMMYFUNCTION("""COMPUTED_VALUE"""),0.0)</f>
        <v>0</v>
      </c>
      <c r="L156" s="428">
        <f>IFERROR(__xludf.DUMMYFUNCTION("""COMPUTED_VALUE"""),0.0)</f>
        <v>0</v>
      </c>
      <c r="M156" s="428">
        <f>IFERROR(__xludf.DUMMYFUNCTION("""COMPUTED_VALUE"""),0.0)</f>
        <v>0</v>
      </c>
      <c r="N156" s="428">
        <f>IFERROR(__xludf.DUMMYFUNCTION("""COMPUTED_VALUE"""),0.0)</f>
        <v>0</v>
      </c>
      <c r="O156" s="428">
        <f>IFERROR(__xludf.DUMMYFUNCTION("""COMPUTED_VALUE"""),2.33643308E8)</f>
        <v>233643308</v>
      </c>
      <c r="P156" s="428">
        <f>IFERROR(__xludf.DUMMYFUNCTION("""COMPUTED_VALUE"""),0.0)</f>
        <v>0</v>
      </c>
      <c r="Q156" s="428">
        <f>IFERROR(__xludf.DUMMYFUNCTION("""COMPUTED_VALUE"""),0.0)</f>
        <v>0</v>
      </c>
      <c r="R156" s="428">
        <f>IFERROR(__xludf.DUMMYFUNCTION("""COMPUTED_VALUE"""),0.0)</f>
        <v>0</v>
      </c>
      <c r="S156" s="428">
        <f>IFERROR(__xludf.DUMMYFUNCTION("""COMPUTED_VALUE"""),0.0)</f>
        <v>0</v>
      </c>
      <c r="T156" s="428">
        <f>IFERROR(__xludf.DUMMYFUNCTION("""COMPUTED_VALUE"""),0.0)</f>
        <v>0</v>
      </c>
      <c r="U156" s="428">
        <f>IFERROR(__xludf.DUMMYFUNCTION("""COMPUTED_VALUE"""),0.0)</f>
        <v>0</v>
      </c>
      <c r="V156" s="428">
        <f>IFERROR(__xludf.DUMMYFUNCTION("""COMPUTED_VALUE"""),3.5603468E8)</f>
        <v>356034680</v>
      </c>
      <c r="W156" s="65"/>
      <c r="X156" s="65"/>
    </row>
    <row r="157" ht="14.25" customHeight="1">
      <c r="A157" s="366">
        <f t="shared" si="2"/>
        <v>153</v>
      </c>
      <c r="B157" s="426" t="s">
        <v>912</v>
      </c>
      <c r="C157" s="427"/>
      <c r="D157" s="427"/>
      <c r="E157" s="428">
        <f>IFERROR(__xludf.DUMMYFUNCTION("""COMPUTED_VALUE"""),0.0)</f>
        <v>0</v>
      </c>
      <c r="F157" s="428">
        <f>IFERROR(__xludf.DUMMYFUNCTION("""COMPUTED_VALUE"""),0.0)</f>
        <v>0</v>
      </c>
      <c r="G157" s="428">
        <f>IFERROR(__xludf.DUMMYFUNCTION("""COMPUTED_VALUE"""),0.0)</f>
        <v>0</v>
      </c>
      <c r="H157" s="428">
        <f>IFERROR(__xludf.DUMMYFUNCTION("""COMPUTED_VALUE"""),0.0)</f>
        <v>0</v>
      </c>
      <c r="I157" s="428">
        <f>IFERROR(__xludf.DUMMYFUNCTION("""COMPUTED_VALUE"""),2.94487488E8)</f>
        <v>294487488</v>
      </c>
      <c r="J157" s="428">
        <f>IFERROR(__xludf.DUMMYFUNCTION("""COMPUTED_VALUE"""),0.0)</f>
        <v>0</v>
      </c>
      <c r="K157" s="428">
        <f>IFERROR(__xludf.DUMMYFUNCTION("""COMPUTED_VALUE"""),0.0)</f>
        <v>0</v>
      </c>
      <c r="L157" s="428">
        <f>IFERROR(__xludf.DUMMYFUNCTION("""COMPUTED_VALUE"""),0.0)</f>
        <v>0</v>
      </c>
      <c r="M157" s="428">
        <f>IFERROR(__xludf.DUMMYFUNCTION("""COMPUTED_VALUE"""),0.0)</f>
        <v>0</v>
      </c>
      <c r="N157" s="428">
        <f>IFERROR(__xludf.DUMMYFUNCTION("""COMPUTED_VALUE"""),0.0)</f>
        <v>0</v>
      </c>
      <c r="O157" s="428">
        <f>IFERROR(__xludf.DUMMYFUNCTION("""COMPUTED_VALUE"""),5.31177802E8)</f>
        <v>531177802</v>
      </c>
      <c r="P157" s="428">
        <f>IFERROR(__xludf.DUMMYFUNCTION("""COMPUTED_VALUE"""),0.0)</f>
        <v>0</v>
      </c>
      <c r="Q157" s="428">
        <f>IFERROR(__xludf.DUMMYFUNCTION("""COMPUTED_VALUE"""),0.0)</f>
        <v>0</v>
      </c>
      <c r="R157" s="428">
        <f>IFERROR(__xludf.DUMMYFUNCTION("""COMPUTED_VALUE"""),0.0)</f>
        <v>0</v>
      </c>
      <c r="S157" s="428">
        <f>IFERROR(__xludf.DUMMYFUNCTION("""COMPUTED_VALUE"""),0.0)</f>
        <v>0</v>
      </c>
      <c r="T157" s="428">
        <f>IFERROR(__xludf.DUMMYFUNCTION("""COMPUTED_VALUE"""),0.0)</f>
        <v>0</v>
      </c>
      <c r="U157" s="428">
        <f>IFERROR(__xludf.DUMMYFUNCTION("""COMPUTED_VALUE"""),0.0)</f>
        <v>0</v>
      </c>
      <c r="V157" s="428">
        <f>IFERROR(__xludf.DUMMYFUNCTION("""COMPUTED_VALUE"""),8.2566529E8)</f>
        <v>825665290</v>
      </c>
      <c r="W157" s="65"/>
      <c r="X157" s="65"/>
    </row>
    <row r="158" ht="14.25" customHeight="1">
      <c r="A158" s="366">
        <f t="shared" si="2"/>
        <v>154</v>
      </c>
      <c r="B158" s="448" t="s">
        <v>913</v>
      </c>
      <c r="C158" s="237"/>
      <c r="D158" s="238"/>
      <c r="E158" s="449">
        <f>IFERROR(__xludf.DUMMYFUNCTION("""COMPUTED_VALUE"""),0.0)</f>
        <v>0</v>
      </c>
      <c r="F158" s="449">
        <f>IFERROR(__xludf.DUMMYFUNCTION("""COMPUTED_VALUE"""),0.0)</f>
        <v>0</v>
      </c>
      <c r="G158" s="449">
        <f>IFERROR(__xludf.DUMMYFUNCTION("""COMPUTED_VALUE"""),0.0)</f>
        <v>0</v>
      </c>
      <c r="H158" s="449">
        <f>IFERROR(__xludf.DUMMYFUNCTION("""COMPUTED_VALUE"""),0.0)</f>
        <v>0</v>
      </c>
      <c r="I158" s="449">
        <f>IFERROR(__xludf.DUMMYFUNCTION("""COMPUTED_VALUE"""),5.0054648E8)</f>
        <v>500546480</v>
      </c>
      <c r="J158" s="449">
        <f>IFERROR(__xludf.DUMMYFUNCTION("""COMPUTED_VALUE"""),0.0)</f>
        <v>0</v>
      </c>
      <c r="K158" s="449">
        <f>IFERROR(__xludf.DUMMYFUNCTION("""COMPUTED_VALUE"""),0.0)</f>
        <v>0</v>
      </c>
      <c r="L158" s="449">
        <f>IFERROR(__xludf.DUMMYFUNCTION("""COMPUTED_VALUE"""),0.0)</f>
        <v>0</v>
      </c>
      <c r="M158" s="449">
        <f>IFERROR(__xludf.DUMMYFUNCTION("""COMPUTED_VALUE"""),0.0)</f>
        <v>0</v>
      </c>
      <c r="N158" s="449">
        <f>IFERROR(__xludf.DUMMYFUNCTION("""COMPUTED_VALUE"""),0.0)</f>
        <v>0</v>
      </c>
      <c r="O158" s="449">
        <f>IFERROR(__xludf.DUMMYFUNCTION("""COMPUTED_VALUE"""),1.242368316E9)</f>
        <v>1242368316</v>
      </c>
      <c r="P158" s="449">
        <f>IFERROR(__xludf.DUMMYFUNCTION("""COMPUTED_VALUE"""),0.0)</f>
        <v>0</v>
      </c>
      <c r="Q158" s="449">
        <f>IFERROR(__xludf.DUMMYFUNCTION("""COMPUTED_VALUE"""),0.0)</f>
        <v>0</v>
      </c>
      <c r="R158" s="449">
        <f>IFERROR(__xludf.DUMMYFUNCTION("""COMPUTED_VALUE"""),0.0)</f>
        <v>0</v>
      </c>
      <c r="S158" s="449">
        <f>IFERROR(__xludf.DUMMYFUNCTION("""COMPUTED_VALUE"""),0.0)</f>
        <v>0</v>
      </c>
      <c r="T158" s="449">
        <f>IFERROR(__xludf.DUMMYFUNCTION("""COMPUTED_VALUE"""),0.0)</f>
        <v>0</v>
      </c>
      <c r="U158" s="449">
        <f>IFERROR(__xludf.DUMMYFUNCTION("""COMPUTED_VALUE"""),4961480.0)</f>
        <v>4961480</v>
      </c>
      <c r="V158" s="449">
        <f>IFERROR(__xludf.DUMMYFUNCTION("""COMPUTED_VALUE"""),1.747876276E9)</f>
        <v>1747876276</v>
      </c>
      <c r="W158" s="65"/>
      <c r="X158" s="65"/>
    </row>
    <row r="159" ht="14.25" customHeight="1">
      <c r="A159" s="65"/>
      <c r="B159" s="65"/>
      <c r="C159" s="3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</row>
    <row r="160" ht="14.25" customHeight="1">
      <c r="A160" s="65"/>
      <c r="B160" s="65"/>
      <c r="C160" s="3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</row>
    <row r="161" ht="14.25" customHeight="1">
      <c r="A161" s="65"/>
      <c r="B161" s="65"/>
      <c r="C161" s="3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</row>
    <row r="162" ht="14.25" customHeight="1">
      <c r="A162" s="65"/>
      <c r="B162" s="65"/>
      <c r="C162" s="3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</row>
    <row r="163" ht="14.25" customHeight="1">
      <c r="A163" s="65"/>
      <c r="B163" s="65"/>
      <c r="C163" s="3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</row>
    <row r="164" ht="14.25" customHeight="1">
      <c r="A164" s="65"/>
      <c r="B164" s="65"/>
      <c r="C164" s="3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</row>
    <row r="165" ht="14.25" customHeight="1">
      <c r="A165" s="65"/>
      <c r="B165" s="65"/>
      <c r="C165" s="3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</row>
    <row r="166" ht="14.25" customHeight="1">
      <c r="A166" s="65"/>
      <c r="B166" s="65"/>
      <c r="C166" s="3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</row>
    <row r="167" ht="14.25" customHeight="1">
      <c r="A167" s="65"/>
      <c r="B167" s="65"/>
      <c r="C167" s="3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</row>
    <row r="168" ht="14.25" customHeight="1">
      <c r="A168" s="65"/>
      <c r="B168" s="65"/>
      <c r="C168" s="3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</row>
    <row r="169" ht="14.25" customHeight="1">
      <c r="A169" s="65"/>
      <c r="B169" s="65"/>
      <c r="C169" s="3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</row>
    <row r="170" ht="14.25" customHeight="1">
      <c r="A170" s="65"/>
      <c r="B170" s="65"/>
      <c r="C170" s="3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</row>
    <row r="171" ht="14.25" customHeight="1">
      <c r="A171" s="65"/>
      <c r="B171" s="65"/>
      <c r="C171" s="3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</row>
    <row r="172" ht="14.25" customHeight="1">
      <c r="A172" s="65"/>
      <c r="B172" s="65"/>
      <c r="C172" s="3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</row>
    <row r="173" ht="14.25" customHeight="1">
      <c r="A173" s="65"/>
      <c r="B173" s="65"/>
      <c r="C173" s="3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</row>
    <row r="174" ht="14.25" customHeight="1">
      <c r="A174" s="65"/>
      <c r="B174" s="65"/>
      <c r="C174" s="3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</row>
    <row r="175" ht="14.25" customHeight="1">
      <c r="A175" s="65"/>
      <c r="B175" s="65"/>
      <c r="C175" s="3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</row>
    <row r="176" ht="14.25" customHeight="1">
      <c r="A176" s="65"/>
      <c r="B176" s="65"/>
      <c r="C176" s="3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</row>
    <row r="177" ht="14.25" customHeight="1">
      <c r="A177" s="65"/>
      <c r="B177" s="65"/>
      <c r="C177" s="3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</row>
    <row r="178" ht="14.25" customHeight="1">
      <c r="A178" s="65"/>
      <c r="B178" s="65"/>
      <c r="C178" s="3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</row>
    <row r="179" ht="14.25" customHeight="1">
      <c r="A179" s="65"/>
      <c r="B179" s="65"/>
      <c r="C179" s="3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</row>
    <row r="180" ht="14.25" customHeight="1">
      <c r="A180" s="65"/>
      <c r="B180" s="65"/>
      <c r="C180" s="3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</row>
    <row r="181" ht="14.25" customHeight="1">
      <c r="A181" s="65"/>
      <c r="B181" s="65"/>
      <c r="C181" s="3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</row>
    <row r="182" ht="14.25" customHeight="1">
      <c r="A182" s="65"/>
      <c r="B182" s="65"/>
      <c r="C182" s="3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</row>
    <row r="183" ht="14.25" customHeight="1">
      <c r="A183" s="65"/>
      <c r="B183" s="65"/>
      <c r="C183" s="3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</row>
    <row r="184" ht="14.25" customHeight="1">
      <c r="A184" s="65"/>
      <c r="B184" s="65"/>
      <c r="C184" s="3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</row>
    <row r="185" ht="14.25" customHeight="1">
      <c r="A185" s="65"/>
      <c r="B185" s="65"/>
      <c r="C185" s="3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</row>
    <row r="186" ht="14.25" customHeight="1">
      <c r="A186" s="65"/>
      <c r="B186" s="65"/>
      <c r="C186" s="3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</row>
    <row r="187" ht="14.25" customHeight="1">
      <c r="A187" s="65"/>
      <c r="B187" s="65"/>
      <c r="C187" s="3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</row>
    <row r="188" ht="14.25" customHeight="1">
      <c r="A188" s="65"/>
      <c r="B188" s="65"/>
      <c r="C188" s="3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</row>
    <row r="189" ht="14.25" customHeight="1">
      <c r="A189" s="65"/>
      <c r="B189" s="65"/>
      <c r="C189" s="3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</row>
    <row r="190" ht="14.25" customHeight="1">
      <c r="A190" s="65"/>
      <c r="B190" s="65"/>
      <c r="C190" s="3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</row>
    <row r="191" ht="14.25" customHeight="1">
      <c r="A191" s="65"/>
      <c r="B191" s="65"/>
      <c r="C191" s="3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</row>
    <row r="192" ht="14.25" customHeight="1">
      <c r="A192" s="65"/>
      <c r="B192" s="65"/>
      <c r="C192" s="3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</row>
    <row r="193" ht="14.25" customHeight="1">
      <c r="A193" s="65"/>
      <c r="B193" s="65"/>
      <c r="C193" s="3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</row>
    <row r="194" ht="14.25" customHeight="1">
      <c r="A194" s="65"/>
      <c r="B194" s="65"/>
      <c r="C194" s="3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</row>
    <row r="195" ht="14.25" customHeight="1">
      <c r="A195" s="65"/>
      <c r="B195" s="65"/>
      <c r="C195" s="3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</row>
    <row r="196" ht="14.25" customHeight="1">
      <c r="A196" s="65"/>
      <c r="B196" s="65"/>
      <c r="C196" s="3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</row>
    <row r="197" ht="14.25" customHeight="1">
      <c r="A197" s="65"/>
      <c r="B197" s="65"/>
      <c r="C197" s="3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</row>
    <row r="198" ht="14.25" customHeight="1">
      <c r="A198" s="65"/>
      <c r="B198" s="65"/>
      <c r="C198" s="3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</row>
    <row r="199" ht="14.25" customHeight="1">
      <c r="A199" s="65"/>
      <c r="B199" s="65"/>
      <c r="C199" s="3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</row>
    <row r="200" ht="14.25" customHeight="1">
      <c r="A200" s="65"/>
      <c r="B200" s="65"/>
      <c r="C200" s="3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</row>
    <row r="201" ht="14.25" customHeight="1">
      <c r="A201" s="65"/>
      <c r="B201" s="65"/>
      <c r="C201" s="3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</row>
    <row r="202" ht="14.25" customHeight="1">
      <c r="A202" s="65"/>
      <c r="B202" s="65"/>
      <c r="C202" s="3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</row>
    <row r="203" ht="14.25" customHeight="1">
      <c r="A203" s="65"/>
      <c r="B203" s="65"/>
      <c r="C203" s="3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</row>
    <row r="204" ht="14.25" customHeight="1">
      <c r="A204" s="65"/>
      <c r="B204" s="65"/>
      <c r="C204" s="3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</row>
    <row r="205" ht="14.25" customHeight="1">
      <c r="A205" s="65"/>
      <c r="B205" s="65"/>
      <c r="C205" s="3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</row>
    <row r="206" ht="14.25" customHeight="1">
      <c r="A206" s="65"/>
      <c r="B206" s="65"/>
      <c r="C206" s="3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</row>
    <row r="207" ht="14.25" customHeight="1">
      <c r="A207" s="65"/>
      <c r="B207" s="65"/>
      <c r="C207" s="3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</row>
    <row r="208" ht="14.25" customHeight="1">
      <c r="A208" s="65"/>
      <c r="B208" s="65"/>
      <c r="C208" s="3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</row>
    <row r="209" ht="14.25" customHeight="1">
      <c r="A209" s="65"/>
      <c r="B209" s="65"/>
      <c r="C209" s="3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</row>
    <row r="210" ht="14.25" customHeight="1">
      <c r="A210" s="65"/>
      <c r="B210" s="65"/>
      <c r="C210" s="3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</row>
    <row r="211" ht="14.25" customHeight="1">
      <c r="A211" s="65"/>
      <c r="B211" s="65"/>
      <c r="C211" s="3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</row>
    <row r="212" ht="14.25" customHeight="1">
      <c r="A212" s="65"/>
      <c r="B212" s="65"/>
      <c r="C212" s="3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</row>
    <row r="213" ht="14.25" customHeight="1">
      <c r="A213" s="65"/>
      <c r="B213" s="65"/>
      <c r="C213" s="3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</row>
    <row r="214" ht="14.25" customHeight="1">
      <c r="A214" s="65"/>
      <c r="B214" s="65"/>
      <c r="C214" s="3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</row>
    <row r="215" ht="14.25" customHeight="1">
      <c r="A215" s="65"/>
      <c r="B215" s="65"/>
      <c r="C215" s="3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</row>
    <row r="216" ht="14.25" customHeight="1">
      <c r="A216" s="65"/>
      <c r="B216" s="65"/>
      <c r="C216" s="3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</row>
    <row r="217" ht="14.25" customHeight="1">
      <c r="A217" s="65"/>
      <c r="B217" s="65"/>
      <c r="C217" s="3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</row>
    <row r="218" ht="14.25" customHeight="1">
      <c r="A218" s="65"/>
      <c r="B218" s="65"/>
      <c r="C218" s="3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</row>
    <row r="219" ht="14.25" customHeight="1">
      <c r="A219" s="65"/>
      <c r="B219" s="65"/>
      <c r="C219" s="3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</row>
    <row r="220" ht="14.25" customHeight="1">
      <c r="A220" s="65"/>
      <c r="B220" s="65"/>
      <c r="C220" s="3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</row>
    <row r="221" ht="14.25" customHeight="1">
      <c r="A221" s="65"/>
      <c r="B221" s="65"/>
      <c r="C221" s="3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</row>
    <row r="222" ht="14.25" customHeight="1">
      <c r="A222" s="65"/>
      <c r="B222" s="65"/>
      <c r="C222" s="3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</row>
    <row r="223" ht="14.25" customHeight="1">
      <c r="A223" s="65"/>
      <c r="B223" s="65"/>
      <c r="C223" s="3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</row>
    <row r="224" ht="14.25" customHeight="1">
      <c r="A224" s="65"/>
      <c r="B224" s="65"/>
      <c r="C224" s="3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</row>
    <row r="225" ht="14.25" customHeight="1">
      <c r="A225" s="65"/>
      <c r="B225" s="65"/>
      <c r="C225" s="3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</row>
    <row r="226" ht="14.25" customHeight="1">
      <c r="A226" s="65"/>
      <c r="B226" s="65"/>
      <c r="C226" s="3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</row>
    <row r="227" ht="14.25" customHeight="1">
      <c r="A227" s="65"/>
      <c r="B227" s="65"/>
      <c r="C227" s="3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</row>
    <row r="228" ht="14.25" customHeight="1">
      <c r="A228" s="65"/>
      <c r="B228" s="65"/>
      <c r="C228" s="3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</row>
    <row r="229" ht="14.25" customHeight="1">
      <c r="A229" s="65"/>
      <c r="B229" s="65"/>
      <c r="C229" s="3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</row>
    <row r="230" ht="14.25" customHeight="1">
      <c r="A230" s="65"/>
      <c r="B230" s="65"/>
      <c r="C230" s="3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</row>
    <row r="231" ht="14.25" customHeight="1">
      <c r="A231" s="65"/>
      <c r="B231" s="65"/>
      <c r="C231" s="3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</row>
    <row r="232" ht="14.25" customHeight="1">
      <c r="A232" s="65"/>
      <c r="B232" s="65"/>
      <c r="C232" s="3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</row>
    <row r="233" ht="14.25" customHeight="1">
      <c r="A233" s="65"/>
      <c r="B233" s="65"/>
      <c r="C233" s="3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</row>
    <row r="234" ht="14.25" customHeight="1">
      <c r="A234" s="65"/>
      <c r="B234" s="65"/>
      <c r="C234" s="3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</row>
    <row r="235" ht="14.25" customHeight="1">
      <c r="A235" s="65"/>
      <c r="B235" s="65"/>
      <c r="C235" s="3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</row>
    <row r="236" ht="14.25" customHeight="1">
      <c r="A236" s="65"/>
      <c r="B236" s="65"/>
      <c r="C236" s="3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</row>
    <row r="237" ht="14.25" customHeight="1">
      <c r="A237" s="65"/>
      <c r="B237" s="65"/>
      <c r="C237" s="3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</row>
    <row r="238" ht="14.25" customHeight="1">
      <c r="A238" s="65"/>
      <c r="B238" s="65"/>
      <c r="C238" s="3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</row>
    <row r="239" ht="14.25" customHeight="1">
      <c r="A239" s="65"/>
      <c r="B239" s="65"/>
      <c r="C239" s="3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</row>
    <row r="240" ht="14.25" customHeight="1">
      <c r="A240" s="65"/>
      <c r="B240" s="65"/>
      <c r="C240" s="3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</row>
    <row r="241" ht="14.25" customHeight="1">
      <c r="A241" s="65"/>
      <c r="B241" s="65"/>
      <c r="C241" s="3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</row>
    <row r="242" ht="14.25" customHeight="1">
      <c r="A242" s="65"/>
      <c r="B242" s="65"/>
      <c r="C242" s="3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</row>
    <row r="243" ht="14.25" customHeight="1">
      <c r="A243" s="65"/>
      <c r="B243" s="65"/>
      <c r="C243" s="3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</row>
    <row r="244" ht="14.25" customHeight="1">
      <c r="A244" s="65"/>
      <c r="B244" s="65"/>
      <c r="C244" s="3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</row>
    <row r="245" ht="14.25" customHeight="1">
      <c r="A245" s="65"/>
      <c r="B245" s="65"/>
      <c r="C245" s="3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</row>
    <row r="246" ht="14.25" customHeight="1">
      <c r="A246" s="65"/>
      <c r="B246" s="65"/>
      <c r="C246" s="3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</row>
    <row r="247" ht="14.25" customHeight="1">
      <c r="A247" s="65"/>
      <c r="B247" s="65"/>
      <c r="C247" s="3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</row>
    <row r="248" ht="14.25" customHeight="1">
      <c r="A248" s="65"/>
      <c r="B248" s="65"/>
      <c r="C248" s="3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</row>
    <row r="249" ht="14.25" customHeight="1">
      <c r="A249" s="65"/>
      <c r="B249" s="65"/>
      <c r="C249" s="3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</row>
    <row r="250" ht="14.25" customHeight="1">
      <c r="A250" s="65"/>
      <c r="B250" s="65"/>
      <c r="C250" s="3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</row>
    <row r="251" ht="14.25" customHeight="1">
      <c r="A251" s="65"/>
      <c r="B251" s="65"/>
      <c r="C251" s="3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</row>
    <row r="252" ht="14.25" customHeight="1">
      <c r="A252" s="65"/>
      <c r="B252" s="65"/>
      <c r="C252" s="3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</row>
    <row r="253" ht="14.25" customHeight="1">
      <c r="A253" s="65"/>
      <c r="B253" s="65"/>
      <c r="C253" s="3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</row>
    <row r="254" ht="14.25" customHeight="1">
      <c r="A254" s="65"/>
      <c r="B254" s="65"/>
      <c r="C254" s="3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</row>
    <row r="255" ht="14.25" customHeight="1">
      <c r="A255" s="65"/>
      <c r="B255" s="65"/>
      <c r="C255" s="3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</row>
    <row r="256" ht="14.25" customHeight="1">
      <c r="A256" s="65"/>
      <c r="B256" s="65"/>
      <c r="C256" s="3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</row>
    <row r="257" ht="14.25" customHeight="1">
      <c r="A257" s="65"/>
      <c r="B257" s="65"/>
      <c r="C257" s="3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</row>
    <row r="258" ht="14.25" customHeight="1">
      <c r="A258" s="65"/>
      <c r="B258" s="65"/>
      <c r="C258" s="3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</row>
    <row r="259" ht="14.25" customHeight="1">
      <c r="A259" s="65"/>
      <c r="B259" s="65"/>
      <c r="C259" s="3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</row>
    <row r="260" ht="14.25" customHeight="1">
      <c r="A260" s="65"/>
      <c r="B260" s="65"/>
      <c r="C260" s="3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</row>
    <row r="261" ht="14.25" customHeight="1">
      <c r="A261" s="65"/>
      <c r="B261" s="65"/>
      <c r="C261" s="3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</row>
    <row r="262" ht="14.25" customHeight="1">
      <c r="A262" s="65"/>
      <c r="B262" s="65"/>
      <c r="C262" s="3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</row>
    <row r="263" ht="14.25" customHeight="1">
      <c r="A263" s="65"/>
      <c r="B263" s="65"/>
      <c r="C263" s="3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</row>
    <row r="264" ht="14.25" customHeight="1">
      <c r="A264" s="65"/>
      <c r="B264" s="65"/>
      <c r="C264" s="3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</row>
    <row r="265" ht="14.25" customHeight="1">
      <c r="A265" s="65"/>
      <c r="B265" s="65"/>
      <c r="C265" s="3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</row>
    <row r="266" ht="14.25" customHeight="1">
      <c r="A266" s="65"/>
      <c r="B266" s="65"/>
      <c r="C266" s="3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</row>
    <row r="267" ht="14.25" customHeight="1">
      <c r="A267" s="65"/>
      <c r="B267" s="65"/>
      <c r="C267" s="3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</row>
    <row r="268" ht="14.25" customHeight="1">
      <c r="A268" s="65"/>
      <c r="B268" s="65"/>
      <c r="C268" s="3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</row>
    <row r="269" ht="14.25" customHeight="1">
      <c r="A269" s="65"/>
      <c r="B269" s="65"/>
      <c r="C269" s="3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</row>
    <row r="270" ht="14.25" customHeight="1">
      <c r="A270" s="65"/>
      <c r="B270" s="65"/>
      <c r="C270" s="3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</row>
    <row r="271" ht="14.25" customHeight="1">
      <c r="A271" s="65"/>
      <c r="B271" s="65"/>
      <c r="C271" s="3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</row>
    <row r="272" ht="14.25" customHeight="1">
      <c r="A272" s="65"/>
      <c r="B272" s="65"/>
      <c r="C272" s="3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</row>
    <row r="273" ht="14.25" customHeight="1">
      <c r="A273" s="65"/>
      <c r="B273" s="65"/>
      <c r="C273" s="3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</row>
    <row r="274" ht="14.25" customHeight="1">
      <c r="A274" s="65"/>
      <c r="B274" s="65"/>
      <c r="C274" s="3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</row>
    <row r="275" ht="14.25" customHeight="1">
      <c r="A275" s="65"/>
      <c r="B275" s="65"/>
      <c r="C275" s="3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</row>
    <row r="276" ht="14.25" customHeight="1">
      <c r="A276" s="65"/>
      <c r="B276" s="65"/>
      <c r="C276" s="3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</row>
    <row r="277" ht="14.25" customHeight="1">
      <c r="A277" s="65"/>
      <c r="B277" s="65"/>
      <c r="C277" s="3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</row>
    <row r="278" ht="14.25" customHeight="1">
      <c r="A278" s="65"/>
      <c r="B278" s="65"/>
      <c r="C278" s="3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</row>
    <row r="279" ht="14.25" customHeight="1">
      <c r="A279" s="65"/>
      <c r="B279" s="65"/>
      <c r="C279" s="3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</row>
    <row r="280" ht="14.25" customHeight="1">
      <c r="A280" s="65"/>
      <c r="B280" s="65"/>
      <c r="C280" s="3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</row>
    <row r="281" ht="14.25" customHeight="1">
      <c r="A281" s="65"/>
      <c r="B281" s="65"/>
      <c r="C281" s="3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</row>
    <row r="282" ht="14.25" customHeight="1">
      <c r="A282" s="65"/>
      <c r="B282" s="65"/>
      <c r="C282" s="3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</row>
    <row r="283" ht="14.25" customHeight="1">
      <c r="A283" s="65"/>
      <c r="B283" s="65"/>
      <c r="C283" s="3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</row>
    <row r="284" ht="14.25" customHeight="1">
      <c r="A284" s="65"/>
      <c r="B284" s="65"/>
      <c r="C284" s="3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</row>
    <row r="285" ht="14.25" customHeight="1">
      <c r="A285" s="65"/>
      <c r="B285" s="65"/>
      <c r="C285" s="3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</row>
    <row r="286" ht="14.25" customHeight="1">
      <c r="A286" s="65"/>
      <c r="B286" s="65"/>
      <c r="C286" s="3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</row>
    <row r="287" ht="14.25" customHeight="1">
      <c r="A287" s="65"/>
      <c r="B287" s="65"/>
      <c r="C287" s="3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</row>
    <row r="288" ht="14.25" customHeight="1">
      <c r="A288" s="65"/>
      <c r="B288" s="65"/>
      <c r="C288" s="3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</row>
    <row r="289" ht="14.25" customHeight="1">
      <c r="A289" s="65"/>
      <c r="B289" s="65"/>
      <c r="C289" s="3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</row>
    <row r="290" ht="14.25" customHeight="1">
      <c r="A290" s="65"/>
      <c r="B290" s="65"/>
      <c r="C290" s="3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</row>
    <row r="291" ht="14.25" customHeight="1">
      <c r="A291" s="65"/>
      <c r="B291" s="65"/>
      <c r="C291" s="3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</row>
    <row r="292" ht="14.25" customHeight="1">
      <c r="A292" s="65"/>
      <c r="B292" s="65"/>
      <c r="C292" s="3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</row>
    <row r="293" ht="14.25" customHeight="1">
      <c r="A293" s="65"/>
      <c r="B293" s="65"/>
      <c r="C293" s="3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</row>
    <row r="294" ht="14.25" customHeight="1">
      <c r="A294" s="65"/>
      <c r="B294" s="65"/>
      <c r="C294" s="3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</row>
    <row r="295" ht="14.25" customHeight="1">
      <c r="A295" s="65"/>
      <c r="B295" s="65"/>
      <c r="C295" s="3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</row>
    <row r="296" ht="14.25" customHeight="1">
      <c r="A296" s="65"/>
      <c r="B296" s="65"/>
      <c r="C296" s="3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</row>
    <row r="297" ht="14.25" customHeight="1">
      <c r="A297" s="65"/>
      <c r="B297" s="65"/>
      <c r="C297" s="3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</row>
    <row r="298" ht="14.25" customHeight="1">
      <c r="A298" s="65"/>
      <c r="B298" s="65"/>
      <c r="C298" s="3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</row>
    <row r="299" ht="14.25" customHeight="1">
      <c r="A299" s="65"/>
      <c r="B299" s="65"/>
      <c r="C299" s="3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</row>
    <row r="300" ht="14.25" customHeight="1">
      <c r="A300" s="65"/>
      <c r="B300" s="65"/>
      <c r="C300" s="3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</row>
    <row r="301" ht="14.25" customHeight="1">
      <c r="A301" s="65"/>
      <c r="B301" s="65"/>
      <c r="C301" s="3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</row>
    <row r="302" ht="14.25" customHeight="1">
      <c r="A302" s="65"/>
      <c r="B302" s="65"/>
      <c r="C302" s="3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</row>
    <row r="303" ht="14.25" customHeight="1">
      <c r="A303" s="65"/>
      <c r="B303" s="65"/>
      <c r="C303" s="3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</row>
    <row r="304" ht="14.25" customHeight="1">
      <c r="A304" s="65"/>
      <c r="B304" s="65"/>
      <c r="C304" s="3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</row>
    <row r="305" ht="14.25" customHeight="1">
      <c r="A305" s="65"/>
      <c r="B305" s="65"/>
      <c r="C305" s="3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</row>
    <row r="306" ht="14.25" customHeight="1">
      <c r="A306" s="65"/>
      <c r="B306" s="65"/>
      <c r="C306" s="3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</row>
    <row r="307" ht="14.25" customHeight="1">
      <c r="A307" s="65"/>
      <c r="B307" s="65"/>
      <c r="C307" s="3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</row>
    <row r="308" ht="14.25" customHeight="1">
      <c r="A308" s="65"/>
      <c r="B308" s="65"/>
      <c r="C308" s="3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</row>
    <row r="309" ht="14.25" customHeight="1">
      <c r="A309" s="65"/>
      <c r="B309" s="65"/>
      <c r="C309" s="3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</row>
    <row r="310" ht="14.25" customHeight="1">
      <c r="A310" s="65"/>
      <c r="B310" s="65"/>
      <c r="C310" s="3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</row>
    <row r="311" ht="14.25" customHeight="1">
      <c r="A311" s="65"/>
      <c r="B311" s="65"/>
      <c r="C311" s="3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</row>
    <row r="312" ht="14.25" customHeight="1">
      <c r="A312" s="65"/>
      <c r="B312" s="65"/>
      <c r="C312" s="3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</row>
    <row r="313" ht="14.25" customHeight="1">
      <c r="A313" s="65"/>
      <c r="B313" s="65"/>
      <c r="C313" s="3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</row>
    <row r="314" ht="14.25" customHeight="1">
      <c r="A314" s="65"/>
      <c r="B314" s="65"/>
      <c r="C314" s="3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</row>
    <row r="315" ht="14.25" customHeight="1">
      <c r="A315" s="65"/>
      <c r="B315" s="65"/>
      <c r="C315" s="3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</row>
    <row r="316" ht="14.25" customHeight="1">
      <c r="A316" s="65"/>
      <c r="B316" s="65"/>
      <c r="C316" s="3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</row>
    <row r="317" ht="14.25" customHeight="1">
      <c r="A317" s="65"/>
      <c r="B317" s="65"/>
      <c r="C317" s="3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</row>
    <row r="318" ht="14.25" customHeight="1">
      <c r="A318" s="65"/>
      <c r="B318" s="65"/>
      <c r="C318" s="3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</row>
    <row r="319" ht="14.25" customHeight="1">
      <c r="A319" s="65"/>
      <c r="B319" s="65"/>
      <c r="C319" s="3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</row>
    <row r="320" ht="14.25" customHeight="1">
      <c r="A320" s="65"/>
      <c r="B320" s="65"/>
      <c r="C320" s="3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</row>
    <row r="321" ht="14.25" customHeight="1">
      <c r="A321" s="65"/>
      <c r="B321" s="65"/>
      <c r="C321" s="3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</row>
    <row r="322" ht="14.25" customHeight="1">
      <c r="A322" s="65"/>
      <c r="B322" s="65"/>
      <c r="C322" s="3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</row>
    <row r="323" ht="14.25" customHeight="1">
      <c r="A323" s="65"/>
      <c r="B323" s="65"/>
      <c r="C323" s="3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</row>
    <row r="324" ht="14.25" customHeight="1">
      <c r="A324" s="65"/>
      <c r="B324" s="65"/>
      <c r="C324" s="3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</row>
    <row r="325" ht="14.25" customHeight="1">
      <c r="A325" s="65"/>
      <c r="B325" s="65"/>
      <c r="C325" s="3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</row>
    <row r="326" ht="14.25" customHeight="1">
      <c r="A326" s="65"/>
      <c r="B326" s="65"/>
      <c r="C326" s="3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</row>
    <row r="327" ht="14.25" customHeight="1">
      <c r="A327" s="65"/>
      <c r="B327" s="65"/>
      <c r="C327" s="3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</row>
    <row r="328" ht="14.25" customHeight="1">
      <c r="A328" s="65"/>
      <c r="B328" s="65"/>
      <c r="C328" s="3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</row>
    <row r="329" ht="14.25" customHeight="1">
      <c r="A329" s="65"/>
      <c r="B329" s="65"/>
      <c r="C329" s="3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</row>
    <row r="330" ht="14.25" customHeight="1">
      <c r="A330" s="65"/>
      <c r="B330" s="65"/>
      <c r="C330" s="3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</row>
    <row r="331" ht="14.25" customHeight="1">
      <c r="A331" s="65"/>
      <c r="B331" s="65"/>
      <c r="C331" s="3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</row>
    <row r="332" ht="14.25" customHeight="1">
      <c r="A332" s="65"/>
      <c r="B332" s="65"/>
      <c r="C332" s="3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</row>
    <row r="333" ht="14.25" customHeight="1">
      <c r="A333" s="65"/>
      <c r="B333" s="65"/>
      <c r="C333" s="3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</row>
    <row r="334" ht="14.25" customHeight="1">
      <c r="A334" s="65"/>
      <c r="B334" s="65"/>
      <c r="C334" s="3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</row>
    <row r="335" ht="14.25" customHeight="1">
      <c r="A335" s="65"/>
      <c r="B335" s="65"/>
      <c r="C335" s="3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</row>
    <row r="336" ht="14.25" customHeight="1">
      <c r="A336" s="65"/>
      <c r="B336" s="65"/>
      <c r="C336" s="3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</row>
    <row r="337" ht="14.25" customHeight="1">
      <c r="A337" s="65"/>
      <c r="B337" s="65"/>
      <c r="C337" s="3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</row>
    <row r="338" ht="14.25" customHeight="1">
      <c r="A338" s="65"/>
      <c r="B338" s="65"/>
      <c r="C338" s="3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</row>
    <row r="339" ht="14.25" customHeight="1">
      <c r="A339" s="65"/>
      <c r="B339" s="65"/>
      <c r="C339" s="3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</row>
    <row r="340" ht="14.25" customHeight="1">
      <c r="A340" s="65"/>
      <c r="B340" s="65"/>
      <c r="C340" s="3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</row>
    <row r="341" ht="14.25" customHeight="1">
      <c r="A341" s="65"/>
      <c r="B341" s="65"/>
      <c r="C341" s="3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</row>
    <row r="342" ht="14.25" customHeight="1">
      <c r="A342" s="65"/>
      <c r="B342" s="65"/>
      <c r="C342" s="3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</row>
    <row r="343" ht="14.25" customHeight="1">
      <c r="A343" s="65"/>
      <c r="B343" s="65"/>
      <c r="C343" s="3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</row>
    <row r="344" ht="14.25" customHeight="1">
      <c r="A344" s="65"/>
      <c r="B344" s="65"/>
      <c r="C344" s="3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</row>
    <row r="345" ht="14.25" customHeight="1">
      <c r="A345" s="65"/>
      <c r="B345" s="65"/>
      <c r="C345" s="3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</row>
    <row r="346" ht="14.25" customHeight="1">
      <c r="A346" s="65"/>
      <c r="B346" s="65"/>
      <c r="C346" s="3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</row>
    <row r="347" ht="14.25" customHeight="1">
      <c r="A347" s="65"/>
      <c r="B347" s="65"/>
      <c r="C347" s="3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</row>
    <row r="348" ht="14.25" customHeight="1">
      <c r="A348" s="65"/>
      <c r="B348" s="65"/>
      <c r="C348" s="3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</row>
    <row r="349" ht="14.25" customHeight="1">
      <c r="A349" s="65"/>
      <c r="B349" s="65"/>
      <c r="C349" s="3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</row>
    <row r="350" ht="14.25" customHeight="1">
      <c r="A350" s="65"/>
      <c r="B350" s="65"/>
      <c r="C350" s="3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</row>
    <row r="351" ht="14.25" customHeight="1">
      <c r="A351" s="65"/>
      <c r="B351" s="65"/>
      <c r="C351" s="3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</row>
    <row r="352" ht="14.25" customHeight="1">
      <c r="A352" s="65"/>
      <c r="B352" s="65"/>
      <c r="C352" s="3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</row>
    <row r="353" ht="14.25" customHeight="1">
      <c r="A353" s="65"/>
      <c r="B353" s="65"/>
      <c r="C353" s="3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</row>
    <row r="354" ht="14.25" customHeight="1">
      <c r="A354" s="65"/>
      <c r="B354" s="65"/>
      <c r="C354" s="3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</row>
    <row r="355" ht="14.25" customHeight="1">
      <c r="A355" s="65"/>
      <c r="B355" s="65"/>
      <c r="C355" s="3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</row>
    <row r="356" ht="14.25" customHeight="1">
      <c r="A356" s="65"/>
      <c r="B356" s="65"/>
      <c r="C356" s="3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</row>
    <row r="357" ht="14.25" customHeight="1">
      <c r="A357" s="65"/>
      <c r="B357" s="65"/>
      <c r="C357" s="3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</row>
    <row r="358" ht="14.25" customHeight="1">
      <c r="A358" s="65"/>
      <c r="B358" s="65"/>
      <c r="C358" s="3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</row>
    <row r="359" ht="14.25" customHeight="1">
      <c r="A359" s="65"/>
      <c r="B359" s="65"/>
      <c r="C359" s="3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</row>
    <row r="360" ht="14.25" customHeight="1">
      <c r="A360" s="65"/>
      <c r="B360" s="65"/>
      <c r="C360" s="3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</row>
    <row r="361" ht="14.25" customHeight="1">
      <c r="A361" s="65"/>
      <c r="B361" s="65"/>
      <c r="C361" s="3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</row>
    <row r="362" ht="14.25" customHeight="1">
      <c r="A362" s="65"/>
      <c r="B362" s="65"/>
      <c r="C362" s="3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</row>
    <row r="363" ht="14.25" customHeight="1">
      <c r="A363" s="65"/>
      <c r="B363" s="65"/>
      <c r="C363" s="3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</row>
    <row r="364" ht="14.25" customHeight="1">
      <c r="A364" s="65"/>
      <c r="B364" s="65"/>
      <c r="C364" s="3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</row>
    <row r="365" ht="14.25" customHeight="1">
      <c r="A365" s="65"/>
      <c r="B365" s="65"/>
      <c r="C365" s="3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</row>
    <row r="366" ht="14.25" customHeight="1">
      <c r="A366" s="65"/>
      <c r="B366" s="65"/>
      <c r="C366" s="3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</row>
    <row r="367" ht="14.25" customHeight="1">
      <c r="A367" s="65"/>
      <c r="B367" s="65"/>
      <c r="C367" s="3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</row>
    <row r="368" ht="14.25" customHeight="1">
      <c r="A368" s="65"/>
      <c r="B368" s="65"/>
      <c r="C368" s="3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</row>
    <row r="369" ht="14.25" customHeight="1">
      <c r="A369" s="65"/>
      <c r="B369" s="65"/>
      <c r="C369" s="3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</row>
    <row r="370" ht="14.25" customHeight="1">
      <c r="A370" s="65"/>
      <c r="B370" s="65"/>
      <c r="C370" s="3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</row>
    <row r="371" ht="14.25" customHeight="1">
      <c r="A371" s="65"/>
      <c r="B371" s="65"/>
      <c r="C371" s="3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</row>
    <row r="372" ht="14.25" customHeight="1">
      <c r="A372" s="65"/>
      <c r="B372" s="65"/>
      <c r="C372" s="3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</row>
    <row r="373" ht="14.25" customHeight="1">
      <c r="A373" s="65"/>
      <c r="B373" s="65"/>
      <c r="C373" s="3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</row>
    <row r="374" ht="14.25" customHeight="1">
      <c r="A374" s="65"/>
      <c r="B374" s="65"/>
      <c r="C374" s="3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</row>
    <row r="375" ht="14.25" customHeight="1">
      <c r="A375" s="65"/>
      <c r="B375" s="65"/>
      <c r="C375" s="3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</row>
    <row r="376" ht="14.25" customHeight="1">
      <c r="A376" s="65"/>
      <c r="B376" s="65"/>
      <c r="C376" s="3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</row>
    <row r="377" ht="14.25" customHeight="1">
      <c r="A377" s="65"/>
      <c r="B377" s="65"/>
      <c r="C377" s="3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</row>
    <row r="378" ht="14.25" customHeight="1">
      <c r="A378" s="65"/>
      <c r="B378" s="65"/>
      <c r="C378" s="3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</row>
    <row r="379" ht="14.25" customHeight="1">
      <c r="A379" s="65"/>
      <c r="B379" s="65"/>
      <c r="C379" s="3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</row>
    <row r="380" ht="14.25" customHeight="1">
      <c r="A380" s="65"/>
      <c r="B380" s="65"/>
      <c r="C380" s="3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</row>
    <row r="381" ht="14.25" customHeight="1">
      <c r="A381" s="65"/>
      <c r="B381" s="65"/>
      <c r="C381" s="3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</row>
    <row r="382" ht="14.25" customHeight="1">
      <c r="A382" s="65"/>
      <c r="B382" s="65"/>
      <c r="C382" s="3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</row>
    <row r="383" ht="14.25" customHeight="1">
      <c r="A383" s="65"/>
      <c r="B383" s="65"/>
      <c r="C383" s="3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</row>
    <row r="384" ht="14.25" customHeight="1">
      <c r="A384" s="65"/>
      <c r="B384" s="65"/>
      <c r="C384" s="3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</row>
    <row r="385" ht="14.25" customHeight="1">
      <c r="A385" s="65"/>
      <c r="B385" s="65"/>
      <c r="C385" s="3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</row>
    <row r="386" ht="14.25" customHeight="1">
      <c r="A386" s="65"/>
      <c r="B386" s="65"/>
      <c r="C386" s="3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</row>
    <row r="387" ht="14.25" customHeight="1">
      <c r="A387" s="65"/>
      <c r="B387" s="65"/>
      <c r="C387" s="3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</row>
    <row r="388" ht="14.25" customHeight="1">
      <c r="A388" s="65"/>
      <c r="B388" s="65"/>
      <c r="C388" s="3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</row>
    <row r="389" ht="14.25" customHeight="1">
      <c r="A389" s="65"/>
      <c r="B389" s="65"/>
      <c r="C389" s="3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</row>
    <row r="390" ht="14.25" customHeight="1">
      <c r="A390" s="65"/>
      <c r="B390" s="65"/>
      <c r="C390" s="3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</row>
    <row r="391" ht="14.25" customHeight="1">
      <c r="A391" s="65"/>
      <c r="B391" s="65"/>
      <c r="C391" s="3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</row>
    <row r="392" ht="14.25" customHeight="1">
      <c r="A392" s="65"/>
      <c r="B392" s="65"/>
      <c r="C392" s="3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</row>
    <row r="393" ht="14.25" customHeight="1">
      <c r="A393" s="65"/>
      <c r="B393" s="65"/>
      <c r="C393" s="3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</row>
    <row r="394" ht="14.25" customHeight="1">
      <c r="A394" s="65"/>
      <c r="B394" s="65"/>
      <c r="C394" s="3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</row>
    <row r="395" ht="14.25" customHeight="1">
      <c r="A395" s="65"/>
      <c r="B395" s="65"/>
      <c r="C395" s="3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</row>
    <row r="396" ht="14.25" customHeight="1">
      <c r="A396" s="65"/>
      <c r="B396" s="65"/>
      <c r="C396" s="3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</row>
    <row r="397" ht="14.25" customHeight="1">
      <c r="A397" s="65"/>
      <c r="B397" s="65"/>
      <c r="C397" s="3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</row>
    <row r="398" ht="14.25" customHeight="1">
      <c r="A398" s="65"/>
      <c r="B398" s="65"/>
      <c r="C398" s="3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</row>
    <row r="399" ht="14.25" customHeight="1">
      <c r="A399" s="65"/>
      <c r="B399" s="65"/>
      <c r="C399" s="3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</row>
    <row r="400" ht="14.25" customHeight="1">
      <c r="A400" s="65"/>
      <c r="B400" s="65"/>
      <c r="C400" s="3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</row>
    <row r="401" ht="14.25" customHeight="1">
      <c r="A401" s="65"/>
      <c r="B401" s="65"/>
      <c r="C401" s="3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</row>
    <row r="402" ht="14.25" customHeight="1">
      <c r="A402" s="65"/>
      <c r="B402" s="65"/>
      <c r="C402" s="3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</row>
    <row r="403" ht="14.25" customHeight="1">
      <c r="A403" s="65"/>
      <c r="B403" s="65"/>
      <c r="C403" s="3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</row>
    <row r="404" ht="14.25" customHeight="1">
      <c r="A404" s="65"/>
      <c r="B404" s="65"/>
      <c r="C404" s="3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</row>
    <row r="405" ht="14.25" customHeight="1">
      <c r="A405" s="65"/>
      <c r="B405" s="65"/>
      <c r="C405" s="3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</row>
    <row r="406" ht="14.25" customHeight="1">
      <c r="A406" s="65"/>
      <c r="B406" s="65"/>
      <c r="C406" s="3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</row>
    <row r="407" ht="14.25" customHeight="1">
      <c r="A407" s="65"/>
      <c r="B407" s="65"/>
      <c r="C407" s="3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</row>
    <row r="408" ht="14.25" customHeight="1">
      <c r="A408" s="65"/>
      <c r="B408" s="65"/>
      <c r="C408" s="3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</row>
    <row r="409" ht="14.25" customHeight="1">
      <c r="A409" s="65"/>
      <c r="B409" s="65"/>
      <c r="C409" s="3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</row>
    <row r="410" ht="14.25" customHeight="1">
      <c r="A410" s="65"/>
      <c r="B410" s="65"/>
      <c r="C410" s="3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</row>
    <row r="411" ht="14.25" customHeight="1">
      <c r="A411" s="65"/>
      <c r="B411" s="65"/>
      <c r="C411" s="3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</row>
    <row r="412" ht="14.25" customHeight="1">
      <c r="A412" s="65"/>
      <c r="B412" s="65"/>
      <c r="C412" s="3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</row>
    <row r="413" ht="14.25" customHeight="1">
      <c r="A413" s="65"/>
      <c r="B413" s="65"/>
      <c r="C413" s="3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</row>
    <row r="414" ht="14.25" customHeight="1">
      <c r="A414" s="65"/>
      <c r="B414" s="65"/>
      <c r="C414" s="3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</row>
    <row r="415" ht="14.25" customHeight="1">
      <c r="A415" s="65"/>
      <c r="B415" s="65"/>
      <c r="C415" s="3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</row>
    <row r="416" ht="14.25" customHeight="1">
      <c r="A416" s="65"/>
      <c r="B416" s="65"/>
      <c r="C416" s="3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</row>
    <row r="417" ht="14.25" customHeight="1">
      <c r="A417" s="65"/>
      <c r="B417" s="65"/>
      <c r="C417" s="3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</row>
    <row r="418" ht="14.25" customHeight="1">
      <c r="A418" s="65"/>
      <c r="B418" s="65"/>
      <c r="C418" s="3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</row>
    <row r="419" ht="14.25" customHeight="1">
      <c r="A419" s="65"/>
      <c r="B419" s="65"/>
      <c r="C419" s="3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</row>
    <row r="420" ht="14.25" customHeight="1">
      <c r="A420" s="65"/>
      <c r="B420" s="65"/>
      <c r="C420" s="3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</row>
    <row r="421" ht="14.25" customHeight="1">
      <c r="A421" s="65"/>
      <c r="B421" s="65"/>
      <c r="C421" s="3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</row>
    <row r="422" ht="14.25" customHeight="1">
      <c r="A422" s="65"/>
      <c r="B422" s="65"/>
      <c r="C422" s="3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</row>
    <row r="423" ht="14.25" customHeight="1">
      <c r="A423" s="65"/>
      <c r="B423" s="65"/>
      <c r="C423" s="3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</row>
    <row r="424" ht="14.25" customHeight="1">
      <c r="A424" s="65"/>
      <c r="B424" s="65"/>
      <c r="C424" s="3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</row>
    <row r="425" ht="14.25" customHeight="1">
      <c r="A425" s="65"/>
      <c r="B425" s="65"/>
      <c r="C425" s="3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</row>
    <row r="426" ht="14.25" customHeight="1">
      <c r="A426" s="65"/>
      <c r="B426" s="65"/>
      <c r="C426" s="3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</row>
    <row r="427" ht="14.25" customHeight="1">
      <c r="A427" s="65"/>
      <c r="B427" s="65"/>
      <c r="C427" s="3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</row>
    <row r="428" ht="14.25" customHeight="1">
      <c r="A428" s="65"/>
      <c r="B428" s="65"/>
      <c r="C428" s="3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</row>
    <row r="429" ht="14.25" customHeight="1">
      <c r="A429" s="65"/>
      <c r="B429" s="65"/>
      <c r="C429" s="3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</row>
    <row r="430" ht="14.25" customHeight="1">
      <c r="A430" s="65"/>
      <c r="B430" s="65"/>
      <c r="C430" s="3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</row>
    <row r="431" ht="14.25" customHeight="1">
      <c r="A431" s="65"/>
      <c r="B431" s="65"/>
      <c r="C431" s="3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</row>
    <row r="432" ht="14.25" customHeight="1">
      <c r="A432" s="65"/>
      <c r="B432" s="65"/>
      <c r="C432" s="3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</row>
    <row r="433" ht="14.25" customHeight="1">
      <c r="A433" s="65"/>
      <c r="B433" s="65"/>
      <c r="C433" s="3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</row>
    <row r="434" ht="14.25" customHeight="1">
      <c r="A434" s="65"/>
      <c r="B434" s="65"/>
      <c r="C434" s="3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</row>
    <row r="435" ht="14.25" customHeight="1">
      <c r="A435" s="65"/>
      <c r="B435" s="65"/>
      <c r="C435" s="3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</row>
    <row r="436" ht="14.25" customHeight="1">
      <c r="A436" s="65"/>
      <c r="B436" s="65"/>
      <c r="C436" s="3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</row>
    <row r="437" ht="14.25" customHeight="1">
      <c r="A437" s="65"/>
      <c r="B437" s="65"/>
      <c r="C437" s="3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</row>
    <row r="438" ht="14.25" customHeight="1">
      <c r="A438" s="65"/>
      <c r="B438" s="65"/>
      <c r="C438" s="3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</row>
    <row r="439" ht="14.25" customHeight="1">
      <c r="A439" s="65"/>
      <c r="B439" s="65"/>
      <c r="C439" s="3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</row>
    <row r="440" ht="14.25" customHeight="1">
      <c r="A440" s="65"/>
      <c r="B440" s="65"/>
      <c r="C440" s="3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</row>
    <row r="441" ht="14.25" customHeight="1">
      <c r="A441" s="65"/>
      <c r="B441" s="65"/>
      <c r="C441" s="3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</row>
    <row r="442" ht="14.25" customHeight="1">
      <c r="A442" s="65"/>
      <c r="B442" s="65"/>
      <c r="C442" s="3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</row>
    <row r="443" ht="14.25" customHeight="1">
      <c r="A443" s="65"/>
      <c r="B443" s="65"/>
      <c r="C443" s="3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</row>
    <row r="444" ht="14.25" customHeight="1">
      <c r="A444" s="65"/>
      <c r="B444" s="65"/>
      <c r="C444" s="3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</row>
    <row r="445" ht="14.25" customHeight="1">
      <c r="A445" s="65"/>
      <c r="B445" s="65"/>
      <c r="C445" s="3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</row>
    <row r="446" ht="14.25" customHeight="1">
      <c r="A446" s="65"/>
      <c r="B446" s="65"/>
      <c r="C446" s="3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</row>
    <row r="447" ht="14.25" customHeight="1">
      <c r="A447" s="65"/>
      <c r="B447" s="65"/>
      <c r="C447" s="3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</row>
    <row r="448" ht="14.25" customHeight="1">
      <c r="A448" s="65"/>
      <c r="B448" s="65"/>
      <c r="C448" s="3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</row>
    <row r="449" ht="14.25" customHeight="1">
      <c r="A449" s="65"/>
      <c r="B449" s="65"/>
      <c r="C449" s="3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</row>
    <row r="450" ht="14.25" customHeight="1">
      <c r="A450" s="65"/>
      <c r="B450" s="65"/>
      <c r="C450" s="3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</row>
    <row r="451" ht="14.25" customHeight="1">
      <c r="A451" s="65"/>
      <c r="B451" s="65"/>
      <c r="C451" s="3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</row>
    <row r="452" ht="14.25" customHeight="1">
      <c r="A452" s="65"/>
      <c r="B452" s="65"/>
      <c r="C452" s="3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</row>
    <row r="453" ht="14.25" customHeight="1">
      <c r="A453" s="65"/>
      <c r="B453" s="65"/>
      <c r="C453" s="3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</row>
    <row r="454" ht="14.25" customHeight="1">
      <c r="A454" s="65"/>
      <c r="B454" s="65"/>
      <c r="C454" s="3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</row>
    <row r="455" ht="14.25" customHeight="1">
      <c r="A455" s="65"/>
      <c r="B455" s="65"/>
      <c r="C455" s="3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</row>
    <row r="456" ht="14.25" customHeight="1">
      <c r="A456" s="65"/>
      <c r="B456" s="65"/>
      <c r="C456" s="3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</row>
    <row r="457" ht="14.25" customHeight="1">
      <c r="A457" s="65"/>
      <c r="B457" s="65"/>
      <c r="C457" s="3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</row>
    <row r="458" ht="14.25" customHeight="1">
      <c r="A458" s="65"/>
      <c r="B458" s="65"/>
      <c r="C458" s="3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</row>
    <row r="459" ht="14.25" customHeight="1">
      <c r="A459" s="65"/>
      <c r="B459" s="65"/>
      <c r="C459" s="3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</row>
    <row r="460" ht="14.25" customHeight="1">
      <c r="A460" s="65"/>
      <c r="B460" s="65"/>
      <c r="C460" s="3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</row>
    <row r="461" ht="14.25" customHeight="1">
      <c r="A461" s="65"/>
      <c r="B461" s="65"/>
      <c r="C461" s="3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</row>
    <row r="462" ht="14.25" customHeight="1">
      <c r="A462" s="65"/>
      <c r="B462" s="65"/>
      <c r="C462" s="3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</row>
    <row r="463" ht="14.25" customHeight="1">
      <c r="A463" s="65"/>
      <c r="B463" s="65"/>
      <c r="C463" s="3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</row>
    <row r="464" ht="14.25" customHeight="1">
      <c r="A464" s="65"/>
      <c r="B464" s="65"/>
      <c r="C464" s="3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</row>
    <row r="465" ht="14.25" customHeight="1">
      <c r="A465" s="65"/>
      <c r="B465" s="65"/>
      <c r="C465" s="3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</row>
    <row r="466" ht="14.25" customHeight="1">
      <c r="A466" s="65"/>
      <c r="B466" s="65"/>
      <c r="C466" s="3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</row>
    <row r="467" ht="14.25" customHeight="1">
      <c r="A467" s="65"/>
      <c r="B467" s="65"/>
      <c r="C467" s="3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</row>
    <row r="468" ht="14.25" customHeight="1">
      <c r="A468" s="65"/>
      <c r="B468" s="65"/>
      <c r="C468" s="3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</row>
    <row r="469" ht="14.25" customHeight="1">
      <c r="A469" s="65"/>
      <c r="B469" s="65"/>
      <c r="C469" s="3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</row>
    <row r="470" ht="14.25" customHeight="1">
      <c r="A470" s="65"/>
      <c r="B470" s="65"/>
      <c r="C470" s="3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</row>
    <row r="471" ht="14.25" customHeight="1">
      <c r="A471" s="65"/>
      <c r="B471" s="65"/>
      <c r="C471" s="3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</row>
    <row r="472" ht="14.25" customHeight="1">
      <c r="A472" s="65"/>
      <c r="B472" s="65"/>
      <c r="C472" s="3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</row>
    <row r="473" ht="14.25" customHeight="1">
      <c r="A473" s="65"/>
      <c r="B473" s="65"/>
      <c r="C473" s="3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</row>
    <row r="474" ht="14.25" customHeight="1">
      <c r="A474" s="65"/>
      <c r="B474" s="65"/>
      <c r="C474" s="3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</row>
    <row r="475" ht="14.25" customHeight="1">
      <c r="A475" s="65"/>
      <c r="B475" s="65"/>
      <c r="C475" s="3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</row>
    <row r="476" ht="14.25" customHeight="1">
      <c r="A476" s="65"/>
      <c r="B476" s="65"/>
      <c r="C476" s="3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</row>
    <row r="477" ht="14.25" customHeight="1">
      <c r="A477" s="65"/>
      <c r="B477" s="65"/>
      <c r="C477" s="3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</row>
    <row r="478" ht="14.25" customHeight="1">
      <c r="A478" s="65"/>
      <c r="B478" s="65"/>
      <c r="C478" s="3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</row>
    <row r="479" ht="14.25" customHeight="1">
      <c r="A479" s="65"/>
      <c r="B479" s="65"/>
      <c r="C479" s="3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</row>
    <row r="480" ht="14.25" customHeight="1">
      <c r="A480" s="65"/>
      <c r="B480" s="65"/>
      <c r="C480" s="3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</row>
    <row r="481" ht="14.25" customHeight="1">
      <c r="A481" s="65"/>
      <c r="B481" s="65"/>
      <c r="C481" s="3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</row>
    <row r="482" ht="14.25" customHeight="1">
      <c r="A482" s="65"/>
      <c r="B482" s="65"/>
      <c r="C482" s="3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</row>
    <row r="483" ht="14.25" customHeight="1">
      <c r="A483" s="65"/>
      <c r="B483" s="65"/>
      <c r="C483" s="3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</row>
    <row r="484" ht="14.25" customHeight="1">
      <c r="A484" s="65"/>
      <c r="B484" s="65"/>
      <c r="C484" s="3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</row>
    <row r="485" ht="14.25" customHeight="1">
      <c r="A485" s="65"/>
      <c r="B485" s="65"/>
      <c r="C485" s="3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</row>
    <row r="486" ht="14.25" customHeight="1">
      <c r="A486" s="65"/>
      <c r="B486" s="65"/>
      <c r="C486" s="3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</row>
    <row r="487" ht="14.25" customHeight="1">
      <c r="A487" s="65"/>
      <c r="B487" s="65"/>
      <c r="C487" s="3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</row>
    <row r="488" ht="14.25" customHeight="1">
      <c r="A488" s="65"/>
      <c r="B488" s="65"/>
      <c r="C488" s="3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</row>
    <row r="489" ht="14.25" customHeight="1">
      <c r="A489" s="65"/>
      <c r="B489" s="65"/>
      <c r="C489" s="3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</row>
    <row r="490" ht="14.25" customHeight="1">
      <c r="A490" s="65"/>
      <c r="B490" s="65"/>
      <c r="C490" s="3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</row>
    <row r="491" ht="14.25" customHeight="1">
      <c r="A491" s="65"/>
      <c r="B491" s="65"/>
      <c r="C491" s="3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</row>
    <row r="492" ht="14.25" customHeight="1">
      <c r="A492" s="65"/>
      <c r="B492" s="65"/>
      <c r="C492" s="3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</row>
    <row r="493" ht="14.25" customHeight="1">
      <c r="A493" s="65"/>
      <c r="B493" s="65"/>
      <c r="C493" s="3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</row>
    <row r="494" ht="14.25" customHeight="1">
      <c r="A494" s="65"/>
      <c r="B494" s="65"/>
      <c r="C494" s="3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</row>
    <row r="495" ht="14.25" customHeight="1">
      <c r="A495" s="65"/>
      <c r="B495" s="65"/>
      <c r="C495" s="3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</row>
    <row r="496" ht="14.25" customHeight="1">
      <c r="A496" s="65"/>
      <c r="B496" s="65"/>
      <c r="C496" s="3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</row>
    <row r="497" ht="14.25" customHeight="1">
      <c r="A497" s="65"/>
      <c r="B497" s="65"/>
      <c r="C497" s="3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</row>
    <row r="498" ht="14.25" customHeight="1">
      <c r="A498" s="65"/>
      <c r="B498" s="65"/>
      <c r="C498" s="3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</row>
    <row r="499" ht="14.25" customHeight="1">
      <c r="A499" s="65"/>
      <c r="B499" s="65"/>
      <c r="C499" s="3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</row>
    <row r="500" ht="14.25" customHeight="1">
      <c r="A500" s="65"/>
      <c r="B500" s="65"/>
      <c r="C500" s="3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</row>
    <row r="501" ht="14.25" customHeight="1">
      <c r="A501" s="65"/>
      <c r="B501" s="65"/>
      <c r="C501" s="3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</row>
    <row r="502" ht="14.25" customHeight="1">
      <c r="A502" s="65"/>
      <c r="B502" s="65"/>
      <c r="C502" s="3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</row>
    <row r="503" ht="14.25" customHeight="1">
      <c r="A503" s="65"/>
      <c r="B503" s="65"/>
      <c r="C503" s="3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</row>
    <row r="504" ht="14.25" customHeight="1">
      <c r="A504" s="65"/>
      <c r="B504" s="65"/>
      <c r="C504" s="3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</row>
    <row r="505" ht="14.25" customHeight="1">
      <c r="A505" s="65"/>
      <c r="B505" s="65"/>
      <c r="C505" s="3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</row>
    <row r="506" ht="14.25" customHeight="1">
      <c r="A506" s="65"/>
      <c r="B506" s="65"/>
      <c r="C506" s="3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</row>
    <row r="507" ht="14.25" customHeight="1">
      <c r="A507" s="65"/>
      <c r="B507" s="65"/>
      <c r="C507" s="3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</row>
    <row r="508" ht="14.25" customHeight="1">
      <c r="A508" s="65"/>
      <c r="B508" s="65"/>
      <c r="C508" s="3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</row>
    <row r="509" ht="14.25" customHeight="1">
      <c r="A509" s="65"/>
      <c r="B509" s="65"/>
      <c r="C509" s="3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</row>
    <row r="510" ht="14.25" customHeight="1">
      <c r="A510" s="65"/>
      <c r="B510" s="65"/>
      <c r="C510" s="3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</row>
    <row r="511" ht="14.25" customHeight="1">
      <c r="A511" s="65"/>
      <c r="B511" s="65"/>
      <c r="C511" s="3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</row>
    <row r="512" ht="14.25" customHeight="1">
      <c r="A512" s="65"/>
      <c r="B512" s="65"/>
      <c r="C512" s="3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</row>
    <row r="513" ht="14.25" customHeight="1">
      <c r="A513" s="65"/>
      <c r="B513" s="65"/>
      <c r="C513" s="3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</row>
    <row r="514" ht="14.25" customHeight="1">
      <c r="A514" s="65"/>
      <c r="B514" s="65"/>
      <c r="C514" s="3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</row>
    <row r="515" ht="14.25" customHeight="1">
      <c r="A515" s="65"/>
      <c r="B515" s="65"/>
      <c r="C515" s="3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</row>
    <row r="516" ht="14.25" customHeight="1">
      <c r="A516" s="65"/>
      <c r="B516" s="65"/>
      <c r="C516" s="3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</row>
    <row r="517" ht="14.25" customHeight="1">
      <c r="A517" s="65"/>
      <c r="B517" s="65"/>
      <c r="C517" s="3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</row>
    <row r="518" ht="14.25" customHeight="1">
      <c r="A518" s="65"/>
      <c r="B518" s="65"/>
      <c r="C518" s="3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</row>
    <row r="519" ht="14.25" customHeight="1">
      <c r="A519" s="65"/>
      <c r="B519" s="65"/>
      <c r="C519" s="3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</row>
    <row r="520" ht="14.25" customHeight="1">
      <c r="A520" s="65"/>
      <c r="B520" s="65"/>
      <c r="C520" s="3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</row>
    <row r="521" ht="14.25" customHeight="1">
      <c r="A521" s="65"/>
      <c r="B521" s="65"/>
      <c r="C521" s="3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</row>
    <row r="522" ht="14.25" customHeight="1">
      <c r="A522" s="65"/>
      <c r="B522" s="65"/>
      <c r="C522" s="3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</row>
    <row r="523" ht="14.25" customHeight="1">
      <c r="A523" s="65"/>
      <c r="B523" s="65"/>
      <c r="C523" s="3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</row>
    <row r="524" ht="14.25" customHeight="1">
      <c r="A524" s="65"/>
      <c r="B524" s="65"/>
      <c r="C524" s="3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</row>
    <row r="525" ht="14.25" customHeight="1">
      <c r="A525" s="65"/>
      <c r="B525" s="65"/>
      <c r="C525" s="3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</row>
    <row r="526" ht="14.25" customHeight="1">
      <c r="A526" s="65"/>
      <c r="B526" s="65"/>
      <c r="C526" s="3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</row>
    <row r="527" ht="14.25" customHeight="1">
      <c r="A527" s="65"/>
      <c r="B527" s="65"/>
      <c r="C527" s="3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</row>
    <row r="528" ht="14.25" customHeight="1">
      <c r="A528" s="65"/>
      <c r="B528" s="65"/>
      <c r="C528" s="3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</row>
    <row r="529" ht="14.25" customHeight="1">
      <c r="A529" s="65"/>
      <c r="B529" s="65"/>
      <c r="C529" s="3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</row>
    <row r="530" ht="14.25" customHeight="1">
      <c r="A530" s="65"/>
      <c r="B530" s="65"/>
      <c r="C530" s="3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</row>
    <row r="531" ht="14.25" customHeight="1">
      <c r="A531" s="65"/>
      <c r="B531" s="65"/>
      <c r="C531" s="3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</row>
    <row r="532" ht="14.25" customHeight="1">
      <c r="A532" s="65"/>
      <c r="B532" s="65"/>
      <c r="C532" s="3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</row>
    <row r="533" ht="14.25" customHeight="1">
      <c r="A533" s="65"/>
      <c r="B533" s="65"/>
      <c r="C533" s="3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</row>
    <row r="534" ht="14.25" customHeight="1">
      <c r="A534" s="65"/>
      <c r="B534" s="65"/>
      <c r="C534" s="3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</row>
    <row r="535" ht="14.25" customHeight="1">
      <c r="A535" s="65"/>
      <c r="B535" s="65"/>
      <c r="C535" s="3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</row>
    <row r="536" ht="14.25" customHeight="1">
      <c r="A536" s="65"/>
      <c r="B536" s="65"/>
      <c r="C536" s="3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</row>
    <row r="537" ht="14.25" customHeight="1">
      <c r="A537" s="65"/>
      <c r="B537" s="65"/>
      <c r="C537" s="3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</row>
    <row r="538" ht="14.25" customHeight="1">
      <c r="A538" s="65"/>
      <c r="B538" s="65"/>
      <c r="C538" s="3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</row>
    <row r="539" ht="14.25" customHeight="1">
      <c r="A539" s="65"/>
      <c r="B539" s="65"/>
      <c r="C539" s="3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</row>
    <row r="540" ht="14.25" customHeight="1">
      <c r="A540" s="65"/>
      <c r="B540" s="65"/>
      <c r="C540" s="3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</row>
    <row r="541" ht="14.25" customHeight="1">
      <c r="A541" s="65"/>
      <c r="B541" s="65"/>
      <c r="C541" s="3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</row>
    <row r="542" ht="14.25" customHeight="1">
      <c r="A542" s="65"/>
      <c r="B542" s="65"/>
      <c r="C542" s="3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</row>
    <row r="543" ht="14.25" customHeight="1">
      <c r="A543" s="65"/>
      <c r="B543" s="65"/>
      <c r="C543" s="3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</row>
    <row r="544" ht="14.25" customHeight="1">
      <c r="A544" s="65"/>
      <c r="B544" s="65"/>
      <c r="C544" s="3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</row>
    <row r="545" ht="14.25" customHeight="1">
      <c r="A545" s="65"/>
      <c r="B545" s="65"/>
      <c r="C545" s="3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</row>
    <row r="546" ht="14.25" customHeight="1">
      <c r="A546" s="65"/>
      <c r="B546" s="65"/>
      <c r="C546" s="3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</row>
    <row r="547" ht="14.25" customHeight="1">
      <c r="A547" s="65"/>
      <c r="B547" s="65"/>
      <c r="C547" s="3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</row>
    <row r="548" ht="14.25" customHeight="1">
      <c r="A548" s="65"/>
      <c r="B548" s="65"/>
      <c r="C548" s="3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</row>
    <row r="549" ht="14.25" customHeight="1">
      <c r="A549" s="65"/>
      <c r="B549" s="65"/>
      <c r="C549" s="3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</row>
    <row r="550" ht="14.25" customHeight="1">
      <c r="A550" s="65"/>
      <c r="B550" s="65"/>
      <c r="C550" s="3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</row>
    <row r="551" ht="14.25" customHeight="1">
      <c r="A551" s="65"/>
      <c r="B551" s="65"/>
      <c r="C551" s="3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</row>
    <row r="552" ht="14.25" customHeight="1">
      <c r="A552" s="65"/>
      <c r="B552" s="65"/>
      <c r="C552" s="3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</row>
    <row r="553" ht="14.25" customHeight="1">
      <c r="A553" s="65"/>
      <c r="B553" s="65"/>
      <c r="C553" s="3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</row>
    <row r="554" ht="14.25" customHeight="1">
      <c r="A554" s="65"/>
      <c r="B554" s="65"/>
      <c r="C554" s="3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</row>
    <row r="555" ht="14.25" customHeight="1">
      <c r="A555" s="65"/>
      <c r="B555" s="65"/>
      <c r="C555" s="3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</row>
    <row r="556" ht="14.25" customHeight="1">
      <c r="A556" s="65"/>
      <c r="B556" s="65"/>
      <c r="C556" s="3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</row>
    <row r="557" ht="14.25" customHeight="1">
      <c r="A557" s="65"/>
      <c r="B557" s="65"/>
      <c r="C557" s="3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</row>
    <row r="558" ht="14.25" customHeight="1">
      <c r="A558" s="65"/>
      <c r="B558" s="65"/>
      <c r="C558" s="3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</row>
    <row r="559" ht="14.25" customHeight="1">
      <c r="A559" s="65"/>
      <c r="B559" s="65"/>
      <c r="C559" s="3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</row>
    <row r="560" ht="14.25" customHeight="1">
      <c r="A560" s="65"/>
      <c r="B560" s="65"/>
      <c r="C560" s="3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</row>
    <row r="561" ht="14.25" customHeight="1">
      <c r="A561" s="65"/>
      <c r="B561" s="65"/>
      <c r="C561" s="3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</row>
    <row r="562" ht="14.25" customHeight="1">
      <c r="A562" s="65"/>
      <c r="B562" s="65"/>
      <c r="C562" s="3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</row>
    <row r="563" ht="14.25" customHeight="1">
      <c r="A563" s="65"/>
      <c r="B563" s="65"/>
      <c r="C563" s="3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</row>
    <row r="564" ht="14.25" customHeight="1">
      <c r="A564" s="65"/>
      <c r="B564" s="65"/>
      <c r="C564" s="3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</row>
    <row r="565" ht="14.25" customHeight="1">
      <c r="A565" s="65"/>
      <c r="B565" s="65"/>
      <c r="C565" s="3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</row>
    <row r="566" ht="14.25" customHeight="1">
      <c r="A566" s="65"/>
      <c r="B566" s="65"/>
      <c r="C566" s="3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</row>
    <row r="567" ht="14.25" customHeight="1">
      <c r="A567" s="65"/>
      <c r="B567" s="65"/>
      <c r="C567" s="3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</row>
    <row r="568" ht="14.25" customHeight="1">
      <c r="A568" s="65"/>
      <c r="B568" s="65"/>
      <c r="C568" s="3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</row>
    <row r="569" ht="14.25" customHeight="1">
      <c r="A569" s="65"/>
      <c r="B569" s="65"/>
      <c r="C569" s="3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</row>
    <row r="570" ht="14.25" customHeight="1">
      <c r="A570" s="65"/>
      <c r="B570" s="65"/>
      <c r="C570" s="3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</row>
    <row r="571" ht="14.25" customHeight="1">
      <c r="A571" s="65"/>
      <c r="B571" s="65"/>
      <c r="C571" s="3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</row>
    <row r="572" ht="14.25" customHeight="1">
      <c r="A572" s="65"/>
      <c r="B572" s="65"/>
      <c r="C572" s="3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</row>
    <row r="573" ht="14.25" customHeight="1">
      <c r="A573" s="65"/>
      <c r="B573" s="65"/>
      <c r="C573" s="3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</row>
    <row r="574" ht="14.25" customHeight="1">
      <c r="A574" s="65"/>
      <c r="B574" s="65"/>
      <c r="C574" s="3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</row>
    <row r="575" ht="14.25" customHeight="1">
      <c r="A575" s="65"/>
      <c r="B575" s="65"/>
      <c r="C575" s="3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</row>
    <row r="576" ht="14.25" customHeight="1">
      <c r="A576" s="65"/>
      <c r="B576" s="65"/>
      <c r="C576" s="3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</row>
    <row r="577" ht="14.25" customHeight="1">
      <c r="A577" s="65"/>
      <c r="B577" s="65"/>
      <c r="C577" s="3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</row>
    <row r="578" ht="14.25" customHeight="1">
      <c r="A578" s="65"/>
      <c r="B578" s="65"/>
      <c r="C578" s="3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</row>
    <row r="579" ht="14.25" customHeight="1">
      <c r="A579" s="65"/>
      <c r="B579" s="65"/>
      <c r="C579" s="3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</row>
    <row r="580" ht="14.25" customHeight="1">
      <c r="A580" s="65"/>
      <c r="B580" s="65"/>
      <c r="C580" s="3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</row>
    <row r="581" ht="14.25" customHeight="1">
      <c r="A581" s="65"/>
      <c r="B581" s="65"/>
      <c r="C581" s="3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</row>
    <row r="582" ht="14.25" customHeight="1">
      <c r="A582" s="65"/>
      <c r="B582" s="65"/>
      <c r="C582" s="3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</row>
    <row r="583" ht="14.25" customHeight="1">
      <c r="A583" s="65"/>
      <c r="B583" s="65"/>
      <c r="C583" s="3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</row>
    <row r="584" ht="14.25" customHeight="1">
      <c r="A584" s="65"/>
      <c r="B584" s="65"/>
      <c r="C584" s="3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</row>
    <row r="585" ht="14.25" customHeight="1">
      <c r="A585" s="65"/>
      <c r="B585" s="65"/>
      <c r="C585" s="3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</row>
    <row r="586" ht="14.25" customHeight="1">
      <c r="A586" s="65"/>
      <c r="B586" s="65"/>
      <c r="C586" s="3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</row>
    <row r="587" ht="14.25" customHeight="1">
      <c r="A587" s="65"/>
      <c r="B587" s="65"/>
      <c r="C587" s="3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</row>
    <row r="588" ht="14.25" customHeight="1">
      <c r="A588" s="65"/>
      <c r="B588" s="65"/>
      <c r="C588" s="3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</row>
    <row r="589" ht="14.25" customHeight="1">
      <c r="A589" s="65"/>
      <c r="B589" s="65"/>
      <c r="C589" s="3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</row>
    <row r="590" ht="14.25" customHeight="1">
      <c r="A590" s="65"/>
      <c r="B590" s="65"/>
      <c r="C590" s="3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</row>
    <row r="591" ht="14.25" customHeight="1">
      <c r="A591" s="65"/>
      <c r="B591" s="65"/>
      <c r="C591" s="3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</row>
    <row r="592" ht="14.25" customHeight="1">
      <c r="A592" s="65"/>
      <c r="B592" s="65"/>
      <c r="C592" s="3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</row>
    <row r="593" ht="14.25" customHeight="1">
      <c r="A593" s="65"/>
      <c r="B593" s="65"/>
      <c r="C593" s="3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</row>
    <row r="594" ht="14.25" customHeight="1">
      <c r="A594" s="65"/>
      <c r="B594" s="65"/>
      <c r="C594" s="3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</row>
    <row r="595" ht="14.25" customHeight="1">
      <c r="A595" s="65"/>
      <c r="B595" s="65"/>
      <c r="C595" s="3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</row>
    <row r="596" ht="14.25" customHeight="1">
      <c r="A596" s="65"/>
      <c r="B596" s="65"/>
      <c r="C596" s="3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</row>
    <row r="597" ht="14.25" customHeight="1">
      <c r="A597" s="65"/>
      <c r="B597" s="65"/>
      <c r="C597" s="3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</row>
    <row r="598" ht="14.25" customHeight="1">
      <c r="A598" s="65"/>
      <c r="B598" s="65"/>
      <c r="C598" s="3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</row>
    <row r="599" ht="14.25" customHeight="1">
      <c r="A599" s="65"/>
      <c r="B599" s="65"/>
      <c r="C599" s="3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</row>
    <row r="600" ht="14.25" customHeight="1">
      <c r="A600" s="65"/>
      <c r="B600" s="65"/>
      <c r="C600" s="3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</row>
    <row r="601" ht="14.25" customHeight="1">
      <c r="A601" s="65"/>
      <c r="B601" s="65"/>
      <c r="C601" s="3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</row>
    <row r="602" ht="14.25" customHeight="1">
      <c r="A602" s="65"/>
      <c r="B602" s="65"/>
      <c r="C602" s="3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</row>
    <row r="603" ht="14.25" customHeight="1">
      <c r="A603" s="65"/>
      <c r="B603" s="65"/>
      <c r="C603" s="3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</row>
    <row r="604" ht="14.25" customHeight="1">
      <c r="A604" s="65"/>
      <c r="B604" s="65"/>
      <c r="C604" s="3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</row>
    <row r="605" ht="14.25" customHeight="1">
      <c r="A605" s="65"/>
      <c r="B605" s="65"/>
      <c r="C605" s="3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</row>
    <row r="606" ht="14.25" customHeight="1">
      <c r="A606" s="65"/>
      <c r="B606" s="65"/>
      <c r="C606" s="3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</row>
    <row r="607" ht="14.25" customHeight="1">
      <c r="A607" s="65"/>
      <c r="B607" s="65"/>
      <c r="C607" s="3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</row>
    <row r="608" ht="14.25" customHeight="1">
      <c r="A608" s="65"/>
      <c r="B608" s="65"/>
      <c r="C608" s="3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</row>
    <row r="609" ht="14.25" customHeight="1">
      <c r="A609" s="65"/>
      <c r="B609" s="65"/>
      <c r="C609" s="3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</row>
    <row r="610" ht="14.25" customHeight="1">
      <c r="A610" s="65"/>
      <c r="B610" s="65"/>
      <c r="C610" s="3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</row>
    <row r="611" ht="14.25" customHeight="1">
      <c r="A611" s="65"/>
      <c r="B611" s="65"/>
      <c r="C611" s="3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</row>
    <row r="612" ht="14.25" customHeight="1">
      <c r="A612" s="65"/>
      <c r="B612" s="65"/>
      <c r="C612" s="3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</row>
    <row r="613" ht="14.25" customHeight="1">
      <c r="A613" s="65"/>
      <c r="B613" s="65"/>
      <c r="C613" s="3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</row>
    <row r="614" ht="14.25" customHeight="1">
      <c r="A614" s="65"/>
      <c r="B614" s="65"/>
      <c r="C614" s="3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</row>
    <row r="615" ht="14.25" customHeight="1">
      <c r="A615" s="65"/>
      <c r="B615" s="65"/>
      <c r="C615" s="3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</row>
    <row r="616" ht="14.25" customHeight="1">
      <c r="A616" s="65"/>
      <c r="B616" s="65"/>
      <c r="C616" s="3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</row>
    <row r="617" ht="14.25" customHeight="1">
      <c r="A617" s="65"/>
      <c r="B617" s="65"/>
      <c r="C617" s="3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</row>
    <row r="618" ht="14.25" customHeight="1">
      <c r="A618" s="65"/>
      <c r="B618" s="65"/>
      <c r="C618" s="3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</row>
    <row r="619" ht="14.25" customHeight="1">
      <c r="A619" s="65"/>
      <c r="B619" s="65"/>
      <c r="C619" s="3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</row>
    <row r="620" ht="14.25" customHeight="1">
      <c r="A620" s="65"/>
      <c r="B620" s="65"/>
      <c r="C620" s="3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</row>
    <row r="621" ht="14.25" customHeight="1">
      <c r="A621" s="65"/>
      <c r="B621" s="65"/>
      <c r="C621" s="3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</row>
    <row r="622" ht="14.25" customHeight="1">
      <c r="A622" s="65"/>
      <c r="B622" s="65"/>
      <c r="C622" s="3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</row>
    <row r="623" ht="14.25" customHeight="1">
      <c r="A623" s="65"/>
      <c r="B623" s="65"/>
      <c r="C623" s="3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</row>
    <row r="624" ht="14.25" customHeight="1">
      <c r="A624" s="65"/>
      <c r="B624" s="65"/>
      <c r="C624" s="3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</row>
    <row r="625" ht="14.25" customHeight="1">
      <c r="A625" s="65"/>
      <c r="B625" s="65"/>
      <c r="C625" s="3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</row>
    <row r="626" ht="14.25" customHeight="1">
      <c r="A626" s="65"/>
      <c r="B626" s="65"/>
      <c r="C626" s="3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</row>
    <row r="627" ht="14.25" customHeight="1">
      <c r="A627" s="65"/>
      <c r="B627" s="65"/>
      <c r="C627" s="3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</row>
    <row r="628" ht="14.25" customHeight="1">
      <c r="A628" s="65"/>
      <c r="B628" s="65"/>
      <c r="C628" s="3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</row>
    <row r="629" ht="14.25" customHeight="1">
      <c r="A629" s="65"/>
      <c r="B629" s="65"/>
      <c r="C629" s="3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</row>
    <row r="630" ht="14.25" customHeight="1">
      <c r="A630" s="65"/>
      <c r="B630" s="65"/>
      <c r="C630" s="3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</row>
    <row r="631" ht="14.25" customHeight="1">
      <c r="A631" s="65"/>
      <c r="B631" s="65"/>
      <c r="C631" s="3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</row>
    <row r="632" ht="14.25" customHeight="1">
      <c r="A632" s="65"/>
      <c r="B632" s="65"/>
      <c r="C632" s="3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</row>
    <row r="633" ht="14.25" customHeight="1">
      <c r="A633" s="65"/>
      <c r="B633" s="65"/>
      <c r="C633" s="3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</row>
    <row r="634" ht="14.25" customHeight="1">
      <c r="A634" s="65"/>
      <c r="B634" s="65"/>
      <c r="C634" s="3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</row>
    <row r="635" ht="14.25" customHeight="1">
      <c r="A635" s="65"/>
      <c r="B635" s="65"/>
      <c r="C635" s="3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</row>
    <row r="636" ht="14.25" customHeight="1">
      <c r="A636" s="65"/>
      <c r="B636" s="65"/>
      <c r="C636" s="3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</row>
    <row r="637" ht="14.25" customHeight="1">
      <c r="A637" s="65"/>
      <c r="B637" s="65"/>
      <c r="C637" s="3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</row>
    <row r="638" ht="14.25" customHeight="1">
      <c r="A638" s="65"/>
      <c r="B638" s="65"/>
      <c r="C638" s="3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</row>
    <row r="639" ht="14.25" customHeight="1">
      <c r="A639" s="65"/>
      <c r="B639" s="65"/>
      <c r="C639" s="3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</row>
    <row r="640" ht="14.25" customHeight="1">
      <c r="A640" s="65"/>
      <c r="B640" s="65"/>
      <c r="C640" s="3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</row>
    <row r="641" ht="14.25" customHeight="1">
      <c r="A641" s="65"/>
      <c r="B641" s="65"/>
      <c r="C641" s="3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</row>
    <row r="642" ht="14.25" customHeight="1">
      <c r="A642" s="65"/>
      <c r="B642" s="65"/>
      <c r="C642" s="3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</row>
    <row r="643" ht="14.25" customHeight="1">
      <c r="A643" s="65"/>
      <c r="B643" s="65"/>
      <c r="C643" s="3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</row>
    <row r="644" ht="14.25" customHeight="1">
      <c r="A644" s="65"/>
      <c r="B644" s="65"/>
      <c r="C644" s="3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</row>
    <row r="645" ht="14.25" customHeight="1">
      <c r="A645" s="65"/>
      <c r="B645" s="65"/>
      <c r="C645" s="3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</row>
    <row r="646" ht="14.25" customHeight="1">
      <c r="A646" s="65"/>
      <c r="B646" s="65"/>
      <c r="C646" s="3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</row>
    <row r="647" ht="14.25" customHeight="1">
      <c r="A647" s="65"/>
      <c r="B647" s="65"/>
      <c r="C647" s="3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</row>
    <row r="648" ht="14.25" customHeight="1">
      <c r="A648" s="65"/>
      <c r="B648" s="65"/>
      <c r="C648" s="3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</row>
    <row r="649" ht="14.25" customHeight="1">
      <c r="A649" s="65"/>
      <c r="B649" s="65"/>
      <c r="C649" s="3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</row>
    <row r="650" ht="14.25" customHeight="1">
      <c r="A650" s="65"/>
      <c r="B650" s="65"/>
      <c r="C650" s="3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</row>
    <row r="651" ht="14.25" customHeight="1">
      <c r="A651" s="65"/>
      <c r="B651" s="65"/>
      <c r="C651" s="3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</row>
    <row r="652" ht="14.25" customHeight="1">
      <c r="A652" s="65"/>
      <c r="B652" s="65"/>
      <c r="C652" s="3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</row>
    <row r="653" ht="14.25" customHeight="1">
      <c r="A653" s="65"/>
      <c r="B653" s="65"/>
      <c r="C653" s="3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</row>
    <row r="654" ht="14.25" customHeight="1">
      <c r="A654" s="65"/>
      <c r="B654" s="65"/>
      <c r="C654" s="3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</row>
    <row r="655" ht="14.25" customHeight="1">
      <c r="A655" s="65"/>
      <c r="B655" s="65"/>
      <c r="C655" s="3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</row>
    <row r="656" ht="14.25" customHeight="1">
      <c r="A656" s="65"/>
      <c r="B656" s="65"/>
      <c r="C656" s="3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</row>
    <row r="657" ht="14.25" customHeight="1">
      <c r="A657" s="65"/>
      <c r="B657" s="65"/>
      <c r="C657" s="3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</row>
    <row r="658" ht="14.25" customHeight="1">
      <c r="A658" s="65"/>
      <c r="B658" s="65"/>
      <c r="C658" s="3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</row>
    <row r="659" ht="14.25" customHeight="1">
      <c r="A659" s="65"/>
      <c r="B659" s="65"/>
      <c r="C659" s="3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</row>
    <row r="660" ht="14.25" customHeight="1">
      <c r="A660" s="65"/>
      <c r="B660" s="65"/>
      <c r="C660" s="3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</row>
    <row r="661" ht="14.25" customHeight="1">
      <c r="A661" s="65"/>
      <c r="B661" s="65"/>
      <c r="C661" s="3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</row>
    <row r="662" ht="14.25" customHeight="1">
      <c r="A662" s="65"/>
      <c r="B662" s="65"/>
      <c r="C662" s="3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</row>
    <row r="663" ht="14.25" customHeight="1">
      <c r="A663" s="65"/>
      <c r="B663" s="65"/>
      <c r="C663" s="3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</row>
    <row r="664" ht="14.25" customHeight="1">
      <c r="A664" s="65"/>
      <c r="B664" s="65"/>
      <c r="C664" s="3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</row>
  </sheetData>
  <mergeCells count="1">
    <mergeCell ref="B158:D158"/>
  </mergeCells>
  <dataValidations>
    <dataValidation type="list" allowBlank="1" showErrorMessage="1" sqref="D3">
      <formula1>Link!$A$15:$A$26</formula1>
    </dataValidation>
  </dataValidations>
  <printOptions/>
  <pageMargins bottom="0.2" footer="0.0" header="0.0" left="0.8" right="0.5" top="0.1"/>
  <pageSetup paperSize="9" orientation="landscape"/>
  <rowBreaks count="3" manualBreakCount="3">
    <brk id="99" man="1"/>
    <brk id="137" man="1"/>
    <brk id="60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6.29"/>
    <col customWidth="1" min="3" max="3" width="66.29"/>
    <col customWidth="1" min="4" max="4" width="11.14"/>
    <col customWidth="1" min="5" max="5" width="16.29"/>
    <col customWidth="1" min="6" max="6" width="13.43"/>
    <col customWidth="1" min="7" max="16" width="17.0"/>
  </cols>
  <sheetData>
    <row r="1" ht="14.25" customHeight="1">
      <c r="A1" s="450" t="s">
        <v>1012</v>
      </c>
      <c r="B1" s="451"/>
      <c r="C1" s="452" t="s">
        <v>405</v>
      </c>
      <c r="D1" s="453" t="s">
        <v>1036</v>
      </c>
      <c r="E1" s="453" t="s">
        <v>1037</v>
      </c>
      <c r="F1" s="453" t="s">
        <v>1038</v>
      </c>
      <c r="G1" s="453" t="s">
        <v>1039</v>
      </c>
      <c r="H1" s="453" t="s">
        <v>1010</v>
      </c>
      <c r="I1" s="453" t="s">
        <v>1040</v>
      </c>
      <c r="J1" s="453" t="s">
        <v>1041</v>
      </c>
      <c r="K1" s="453" t="s">
        <v>1042</v>
      </c>
      <c r="L1" s="453" t="s">
        <v>1043</v>
      </c>
      <c r="M1" s="453" t="s">
        <v>1044</v>
      </c>
      <c r="N1" s="453" t="s">
        <v>1045</v>
      </c>
      <c r="O1" s="453" t="s">
        <v>1046</v>
      </c>
      <c r="P1" s="453" t="s">
        <v>1047</v>
      </c>
    </row>
    <row r="2" ht="14.25" customHeight="1">
      <c r="A2" s="454"/>
      <c r="B2" s="455"/>
      <c r="C2" s="456" t="s">
        <v>1014</v>
      </c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</row>
    <row r="3" ht="14.25" customHeight="1">
      <c r="A3" s="458"/>
      <c r="B3" s="459"/>
      <c r="C3" s="460" t="s">
        <v>1015</v>
      </c>
      <c r="D3" s="461">
        <f>IFERROR(__xludf.DUMMYFUNCTION("IMPORTRANGE(Link!B4,""5E13-KR!D13:o181"")"),1775.6999999999998)</f>
        <v>1775.7</v>
      </c>
      <c r="E3" s="461">
        <f>IFERROR(__xludf.DUMMYFUNCTION("""COMPUTED_VALUE"""),1775.6999999999998)</f>
        <v>1775.7</v>
      </c>
      <c r="F3" s="461">
        <f>IFERROR(__xludf.DUMMYFUNCTION("""COMPUTED_VALUE"""),1775.6999999999998)</f>
        <v>1775.7</v>
      </c>
      <c r="G3" s="461">
        <f>IFERROR(__xludf.DUMMYFUNCTION("""COMPUTED_VALUE"""),1775.6999999999998)</f>
        <v>1775.7</v>
      </c>
      <c r="H3" s="461">
        <f>IFERROR(__xludf.DUMMYFUNCTION("""COMPUTED_VALUE"""),1775.6999999999998)</f>
        <v>1775.7</v>
      </c>
      <c r="I3" s="461">
        <f>IFERROR(__xludf.DUMMYFUNCTION("""COMPUTED_VALUE"""),1775.6999999999998)</f>
        <v>1775.7</v>
      </c>
      <c r="J3" s="461">
        <f>IFERROR(__xludf.DUMMYFUNCTION("""COMPUTED_VALUE"""),1775.6999999999998)</f>
        <v>1775.7</v>
      </c>
      <c r="K3" s="461">
        <f>IFERROR(__xludf.DUMMYFUNCTION("""COMPUTED_VALUE"""),1775.6999999999998)</f>
        <v>1775.7</v>
      </c>
      <c r="L3" s="461">
        <f>IFERROR(__xludf.DUMMYFUNCTION("""COMPUTED_VALUE"""),1775.6999999999998)</f>
        <v>1775.7</v>
      </c>
      <c r="M3" s="461">
        <f>IFERROR(__xludf.DUMMYFUNCTION("""COMPUTED_VALUE"""),1775.6999999999998)</f>
        <v>1775.7</v>
      </c>
      <c r="N3" s="461">
        <f>IFERROR(__xludf.DUMMYFUNCTION("""COMPUTED_VALUE"""),1775.6999999999998)</f>
        <v>1775.7</v>
      </c>
      <c r="O3" s="461">
        <f>IFERROR(__xludf.DUMMYFUNCTION("""COMPUTED_VALUE"""),1775.6999999999998)</f>
        <v>1775.7</v>
      </c>
      <c r="P3" s="461">
        <f>O3</f>
        <v>1775.7</v>
      </c>
    </row>
    <row r="4" ht="14.25" customHeight="1">
      <c r="A4" s="458"/>
      <c r="B4" s="459"/>
      <c r="C4" s="460" t="s">
        <v>1016</v>
      </c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</row>
    <row r="5" ht="14.25" customHeight="1">
      <c r="A5" s="463" t="s">
        <v>1017</v>
      </c>
      <c r="B5" s="464"/>
      <c r="C5" s="465"/>
      <c r="D5" s="466">
        <f>IFERROR(__xludf.DUMMYFUNCTION("""COMPUTED_VALUE"""),1775.6999999999998)</f>
        <v>1775.7</v>
      </c>
      <c r="E5" s="466">
        <f>IFERROR(__xludf.DUMMYFUNCTION("""COMPUTED_VALUE"""),1775.6999999999998)</f>
        <v>1775.7</v>
      </c>
      <c r="F5" s="466">
        <f>IFERROR(__xludf.DUMMYFUNCTION("""COMPUTED_VALUE"""),1775.6999999999998)</f>
        <v>1775.7</v>
      </c>
      <c r="G5" s="466">
        <f>IFERROR(__xludf.DUMMYFUNCTION("""COMPUTED_VALUE"""),1775.6999999999998)</f>
        <v>1775.7</v>
      </c>
      <c r="H5" s="466">
        <f>IFERROR(__xludf.DUMMYFUNCTION("""COMPUTED_VALUE"""),1775.6999999999998)</f>
        <v>1775.7</v>
      </c>
      <c r="I5" s="466">
        <f>IFERROR(__xludf.DUMMYFUNCTION("""COMPUTED_VALUE"""),1775.6999999999998)</f>
        <v>1775.7</v>
      </c>
      <c r="J5" s="466">
        <f>IFERROR(__xludf.DUMMYFUNCTION("""COMPUTED_VALUE"""),1775.6999999999998)</f>
        <v>1775.7</v>
      </c>
      <c r="K5" s="466">
        <f>IFERROR(__xludf.DUMMYFUNCTION("""COMPUTED_VALUE"""),1775.6999999999998)</f>
        <v>1775.7</v>
      </c>
      <c r="L5" s="466">
        <f>IFERROR(__xludf.DUMMYFUNCTION("""COMPUTED_VALUE"""),1775.6999999999998)</f>
        <v>1775.7</v>
      </c>
      <c r="M5" s="466">
        <f>IFERROR(__xludf.DUMMYFUNCTION("""COMPUTED_VALUE"""),1775.6999999999998)</f>
        <v>1775.7</v>
      </c>
      <c r="N5" s="466">
        <f>IFERROR(__xludf.DUMMYFUNCTION("""COMPUTED_VALUE"""),1775.6999999999998)</f>
        <v>1775.7</v>
      </c>
      <c r="O5" s="466">
        <f>IFERROR(__xludf.DUMMYFUNCTION("""COMPUTED_VALUE"""),1775.6999999999998)</f>
        <v>1775.7</v>
      </c>
      <c r="P5" s="466">
        <f>sum(P2:P4)</f>
        <v>1775.7</v>
      </c>
    </row>
    <row r="6" ht="14.25" customHeight="1">
      <c r="A6" s="467"/>
      <c r="B6" s="459"/>
      <c r="C6" s="468" t="s">
        <v>737</v>
      </c>
      <c r="D6" s="462"/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</row>
    <row r="7" ht="14.25" customHeight="1">
      <c r="A7" s="469" t="s">
        <v>22</v>
      </c>
      <c r="B7" s="459" t="s">
        <v>945</v>
      </c>
      <c r="C7" s="459" t="s">
        <v>738</v>
      </c>
      <c r="D7" s="461">
        <f>IFERROR(__xludf.DUMMYFUNCTION("""COMPUTED_VALUE"""),69791.55107613333)</f>
        <v>69791.55108</v>
      </c>
      <c r="E7" s="461">
        <f>IFERROR(__xludf.DUMMYFUNCTION("""COMPUTED_VALUE"""),60471.551076133335)</f>
        <v>60471.55108</v>
      </c>
      <c r="F7" s="461">
        <f>IFERROR(__xludf.DUMMYFUNCTION("""COMPUTED_VALUE"""),66112.35107613333)</f>
        <v>66112.35108</v>
      </c>
      <c r="G7" s="461">
        <f>IFERROR(__xludf.DUMMYFUNCTION("""COMPUTED_VALUE"""),70465.50757613333)</f>
        <v>70465.50758</v>
      </c>
      <c r="H7" s="461">
        <f>IFERROR(__xludf.DUMMYFUNCTION("""COMPUTED_VALUE"""),65272.35107613334)</f>
        <v>65272.35108</v>
      </c>
      <c r="I7" s="461">
        <f>IFERROR(__xludf.DUMMYFUNCTION("""COMPUTED_VALUE"""),65955.55107613334)</f>
        <v>65955.55108</v>
      </c>
      <c r="J7" s="461">
        <f>IFERROR(__xludf.DUMMYFUNCTION("""COMPUTED_VALUE"""),57636.35107613334)</f>
        <v>57636.35108</v>
      </c>
      <c r="K7" s="461">
        <f>IFERROR(__xludf.DUMMYFUNCTION("""COMPUTED_VALUE"""),60311.95107613334)</f>
        <v>60311.95108</v>
      </c>
      <c r="L7" s="461">
        <f>IFERROR(__xludf.DUMMYFUNCTION("""COMPUTED_VALUE"""),66820.42757613334)</f>
        <v>66820.42758</v>
      </c>
      <c r="M7" s="461">
        <f>IFERROR(__xludf.DUMMYFUNCTION("""COMPUTED_VALUE"""),57693.95107613334)</f>
        <v>57693.95108</v>
      </c>
      <c r="N7" s="461">
        <f>IFERROR(__xludf.DUMMYFUNCTION("""COMPUTED_VALUE"""),59897.95107613334)</f>
        <v>59897.95108</v>
      </c>
      <c r="O7" s="461">
        <f>IFERROR(__xludf.DUMMYFUNCTION("""COMPUTED_VALUE"""),60553.95107613334)</f>
        <v>60553.95108</v>
      </c>
      <c r="P7" s="461">
        <f t="shared" ref="P7:P10" si="1">sum(D7:O7)</f>
        <v>760983.4459</v>
      </c>
    </row>
    <row r="8" ht="14.25" customHeight="1">
      <c r="A8" s="469" t="s">
        <v>22</v>
      </c>
      <c r="B8" s="459"/>
      <c r="C8" s="459" t="s">
        <v>740</v>
      </c>
      <c r="D8" s="461">
        <f>IFERROR(__xludf.DUMMYFUNCTION("""COMPUTED_VALUE"""),0.0)</f>
        <v>0</v>
      </c>
      <c r="E8" s="461">
        <f>IFERROR(__xludf.DUMMYFUNCTION("""COMPUTED_VALUE"""),0.0)</f>
        <v>0</v>
      </c>
      <c r="F8" s="461">
        <f>IFERROR(__xludf.DUMMYFUNCTION("""COMPUTED_VALUE"""),0.0)</f>
        <v>0</v>
      </c>
      <c r="G8" s="461">
        <f>IFERROR(__xludf.DUMMYFUNCTION("""COMPUTED_VALUE"""),0.0)</f>
        <v>0</v>
      </c>
      <c r="H8" s="461">
        <f>IFERROR(__xludf.DUMMYFUNCTION("""COMPUTED_VALUE"""),0.0)</f>
        <v>0</v>
      </c>
      <c r="I8" s="461">
        <f>IFERROR(__xludf.DUMMYFUNCTION("""COMPUTED_VALUE"""),0.0)</f>
        <v>0</v>
      </c>
      <c r="J8" s="461">
        <f>IFERROR(__xludf.DUMMYFUNCTION("""COMPUTED_VALUE"""),0.0)</f>
        <v>0</v>
      </c>
      <c r="K8" s="461">
        <f>IFERROR(__xludf.DUMMYFUNCTION("""COMPUTED_VALUE"""),0.0)</f>
        <v>0</v>
      </c>
      <c r="L8" s="461">
        <f>IFERROR(__xludf.DUMMYFUNCTION("""COMPUTED_VALUE"""),0.0)</f>
        <v>0</v>
      </c>
      <c r="M8" s="461">
        <f>IFERROR(__xludf.DUMMYFUNCTION("""COMPUTED_VALUE"""),0.0)</f>
        <v>0</v>
      </c>
      <c r="N8" s="461">
        <f>IFERROR(__xludf.DUMMYFUNCTION("""COMPUTED_VALUE"""),0.0)</f>
        <v>0</v>
      </c>
      <c r="O8" s="461">
        <f>IFERROR(__xludf.DUMMYFUNCTION("""COMPUTED_VALUE"""),0.0)</f>
        <v>0</v>
      </c>
      <c r="P8" s="461">
        <f t="shared" si="1"/>
        <v>0</v>
      </c>
    </row>
    <row r="9" ht="14.25" customHeight="1">
      <c r="A9" s="467"/>
      <c r="B9" s="459"/>
      <c r="C9" s="459" t="s">
        <v>741</v>
      </c>
      <c r="D9" s="461">
        <f>IFERROR(__xludf.DUMMYFUNCTION("""COMPUTED_VALUE"""),0.0)</f>
        <v>0</v>
      </c>
      <c r="E9" s="461">
        <f>IFERROR(__xludf.DUMMYFUNCTION("""COMPUTED_VALUE"""),0.0)</f>
        <v>0</v>
      </c>
      <c r="F9" s="461">
        <f>IFERROR(__xludf.DUMMYFUNCTION("""COMPUTED_VALUE"""),0.0)</f>
        <v>0</v>
      </c>
      <c r="G9" s="461">
        <f>IFERROR(__xludf.DUMMYFUNCTION("""COMPUTED_VALUE"""),0.0)</f>
        <v>0</v>
      </c>
      <c r="H9" s="461">
        <f>IFERROR(__xludf.DUMMYFUNCTION("""COMPUTED_VALUE"""),0.0)</f>
        <v>0</v>
      </c>
      <c r="I9" s="461">
        <f>IFERROR(__xludf.DUMMYFUNCTION("""COMPUTED_VALUE"""),0.0)</f>
        <v>0</v>
      </c>
      <c r="J9" s="461">
        <f>IFERROR(__xludf.DUMMYFUNCTION("""COMPUTED_VALUE"""),0.0)</f>
        <v>0</v>
      </c>
      <c r="K9" s="461">
        <f>IFERROR(__xludf.DUMMYFUNCTION("""COMPUTED_VALUE"""),0.0)</f>
        <v>0</v>
      </c>
      <c r="L9" s="461">
        <f>IFERROR(__xludf.DUMMYFUNCTION("""COMPUTED_VALUE"""),0.0)</f>
        <v>0</v>
      </c>
      <c r="M9" s="461">
        <f>IFERROR(__xludf.DUMMYFUNCTION("""COMPUTED_VALUE"""),0.0)</f>
        <v>0</v>
      </c>
      <c r="N9" s="461">
        <f>IFERROR(__xludf.DUMMYFUNCTION("""COMPUTED_VALUE"""),0.0)</f>
        <v>0</v>
      </c>
      <c r="O9" s="461">
        <f>IFERROR(__xludf.DUMMYFUNCTION("""COMPUTED_VALUE"""),0.0)</f>
        <v>0</v>
      </c>
      <c r="P9" s="461">
        <f t="shared" si="1"/>
        <v>0</v>
      </c>
    </row>
    <row r="10" ht="14.25" customHeight="1">
      <c r="A10" s="467"/>
      <c r="B10" s="459"/>
      <c r="C10" s="459" t="s">
        <v>742</v>
      </c>
      <c r="D10" s="461">
        <f>IFERROR(__xludf.DUMMYFUNCTION("""COMPUTED_VALUE"""),0.0)</f>
        <v>0</v>
      </c>
      <c r="E10" s="461">
        <f>IFERROR(__xludf.DUMMYFUNCTION("""COMPUTED_VALUE"""),0.0)</f>
        <v>0</v>
      </c>
      <c r="F10" s="461">
        <f>IFERROR(__xludf.DUMMYFUNCTION("""COMPUTED_VALUE"""),0.0)</f>
        <v>0</v>
      </c>
      <c r="G10" s="461">
        <f>IFERROR(__xludf.DUMMYFUNCTION("""COMPUTED_VALUE"""),0.0)</f>
        <v>0</v>
      </c>
      <c r="H10" s="461">
        <f>IFERROR(__xludf.DUMMYFUNCTION("""COMPUTED_VALUE"""),0.0)</f>
        <v>0</v>
      </c>
      <c r="I10" s="461">
        <f>IFERROR(__xludf.DUMMYFUNCTION("""COMPUTED_VALUE"""),0.0)</f>
        <v>0</v>
      </c>
      <c r="J10" s="461">
        <f>IFERROR(__xludf.DUMMYFUNCTION("""COMPUTED_VALUE"""),0.0)</f>
        <v>0</v>
      </c>
      <c r="K10" s="461">
        <f>IFERROR(__xludf.DUMMYFUNCTION("""COMPUTED_VALUE"""),0.0)</f>
        <v>0</v>
      </c>
      <c r="L10" s="461">
        <f>IFERROR(__xludf.DUMMYFUNCTION("""COMPUTED_VALUE"""),0.0)</f>
        <v>0</v>
      </c>
      <c r="M10" s="461">
        <f>IFERROR(__xludf.DUMMYFUNCTION("""COMPUTED_VALUE"""),0.0)</f>
        <v>0</v>
      </c>
      <c r="N10" s="461">
        <f>IFERROR(__xludf.DUMMYFUNCTION("""COMPUTED_VALUE"""),0.0)</f>
        <v>0</v>
      </c>
      <c r="O10" s="461">
        <f>IFERROR(__xludf.DUMMYFUNCTION("""COMPUTED_VALUE"""),0.0)</f>
        <v>0</v>
      </c>
      <c r="P10" s="461">
        <f t="shared" si="1"/>
        <v>0</v>
      </c>
    </row>
    <row r="11" ht="14.25" customHeight="1">
      <c r="A11" s="463" t="s">
        <v>743</v>
      </c>
      <c r="B11" s="470"/>
      <c r="C11" s="465"/>
      <c r="D11" s="466">
        <f>IFERROR(__xludf.DUMMYFUNCTION("""COMPUTED_VALUE"""),69791.55107613333)</f>
        <v>69791.55108</v>
      </c>
      <c r="E11" s="466">
        <f>IFERROR(__xludf.DUMMYFUNCTION("""COMPUTED_VALUE"""),60471.551076133335)</f>
        <v>60471.55108</v>
      </c>
      <c r="F11" s="466">
        <f>IFERROR(__xludf.DUMMYFUNCTION("""COMPUTED_VALUE"""),66112.35107613333)</f>
        <v>66112.35108</v>
      </c>
      <c r="G11" s="466">
        <f>IFERROR(__xludf.DUMMYFUNCTION("""COMPUTED_VALUE"""),70465.50757613333)</f>
        <v>70465.50758</v>
      </c>
      <c r="H11" s="466">
        <f>IFERROR(__xludf.DUMMYFUNCTION("""COMPUTED_VALUE"""),65272.35107613334)</f>
        <v>65272.35108</v>
      </c>
      <c r="I11" s="466">
        <f>IFERROR(__xludf.DUMMYFUNCTION("""COMPUTED_VALUE"""),65955.55107613334)</f>
        <v>65955.55108</v>
      </c>
      <c r="J11" s="466">
        <f>IFERROR(__xludf.DUMMYFUNCTION("""COMPUTED_VALUE"""),57636.35107613334)</f>
        <v>57636.35108</v>
      </c>
      <c r="K11" s="466">
        <f>IFERROR(__xludf.DUMMYFUNCTION("""COMPUTED_VALUE"""),60311.95107613334)</f>
        <v>60311.95108</v>
      </c>
      <c r="L11" s="466">
        <f>IFERROR(__xludf.DUMMYFUNCTION("""COMPUTED_VALUE"""),66820.42757613334)</f>
        <v>66820.42758</v>
      </c>
      <c r="M11" s="466">
        <f>IFERROR(__xludf.DUMMYFUNCTION("""COMPUTED_VALUE"""),57693.95107613334)</f>
        <v>57693.95108</v>
      </c>
      <c r="N11" s="466">
        <f>IFERROR(__xludf.DUMMYFUNCTION("""COMPUTED_VALUE"""),59897.95107613334)</f>
        <v>59897.95108</v>
      </c>
      <c r="O11" s="466">
        <f>IFERROR(__xludf.DUMMYFUNCTION("""COMPUTED_VALUE"""),60553.95107613334)</f>
        <v>60553.95108</v>
      </c>
      <c r="P11" s="466">
        <f>sum(P6:P10)</f>
        <v>760983.4459</v>
      </c>
    </row>
    <row r="12" ht="14.25" customHeight="1">
      <c r="A12" s="471" t="s">
        <v>744</v>
      </c>
      <c r="B12" s="455"/>
      <c r="C12" s="472" t="s">
        <v>1048</v>
      </c>
      <c r="D12" s="461">
        <f>IFERROR(__xludf.DUMMYFUNCTION("""COMPUTED_VALUE"""),0.0)</f>
        <v>0</v>
      </c>
      <c r="E12" s="461">
        <f>IFERROR(__xludf.DUMMYFUNCTION("""COMPUTED_VALUE"""),0.0)</f>
        <v>0</v>
      </c>
      <c r="F12" s="461">
        <f>IFERROR(__xludf.DUMMYFUNCTION("""COMPUTED_VALUE"""),0.0)</f>
        <v>0</v>
      </c>
      <c r="G12" s="461">
        <f>IFERROR(__xludf.DUMMYFUNCTION("""COMPUTED_VALUE"""),0.0)</f>
        <v>0</v>
      </c>
      <c r="H12" s="461">
        <f>IFERROR(__xludf.DUMMYFUNCTION("""COMPUTED_VALUE"""),0.0)</f>
        <v>0</v>
      </c>
      <c r="I12" s="461">
        <f>IFERROR(__xludf.DUMMYFUNCTION("""COMPUTED_VALUE"""),0.0)</f>
        <v>0</v>
      </c>
      <c r="J12" s="461">
        <f>IFERROR(__xludf.DUMMYFUNCTION("""COMPUTED_VALUE"""),0.0)</f>
        <v>0</v>
      </c>
      <c r="K12" s="461">
        <f>IFERROR(__xludf.DUMMYFUNCTION("""COMPUTED_VALUE"""),0.0)</f>
        <v>0</v>
      </c>
      <c r="L12" s="461">
        <f>IFERROR(__xludf.DUMMYFUNCTION("""COMPUTED_VALUE"""),0.0)</f>
        <v>0</v>
      </c>
      <c r="M12" s="461">
        <f>IFERROR(__xludf.DUMMYFUNCTION("""COMPUTED_VALUE"""),0.0)</f>
        <v>0</v>
      </c>
      <c r="N12" s="461">
        <f>IFERROR(__xludf.DUMMYFUNCTION("""COMPUTED_VALUE"""),0.0)</f>
        <v>0</v>
      </c>
      <c r="O12" s="461">
        <f>IFERROR(__xludf.DUMMYFUNCTION("""COMPUTED_VALUE"""),0.0)</f>
        <v>0</v>
      </c>
      <c r="P12" s="461">
        <f t="shared" ref="P12:P26" si="2">sum(D12:O12)</f>
        <v>0</v>
      </c>
    </row>
    <row r="13" ht="14.25" customHeight="1">
      <c r="A13" s="473" t="s">
        <v>746</v>
      </c>
      <c r="B13" s="459"/>
      <c r="C13" s="384" t="s">
        <v>1049</v>
      </c>
      <c r="D13" s="461">
        <f>IFERROR(__xludf.DUMMYFUNCTION("""COMPUTED_VALUE"""),150.161355)</f>
        <v>150.161355</v>
      </c>
      <c r="E13" s="461">
        <f>IFERROR(__xludf.DUMMYFUNCTION("""COMPUTED_VALUE"""),150.161355)</f>
        <v>150.161355</v>
      </c>
      <c r="F13" s="461">
        <f>IFERROR(__xludf.DUMMYFUNCTION("""COMPUTED_VALUE"""),150.161355)</f>
        <v>150.161355</v>
      </c>
      <c r="G13" s="461">
        <f>IFERROR(__xludf.DUMMYFUNCTION("""COMPUTED_VALUE"""),180.193626)</f>
        <v>180.193626</v>
      </c>
      <c r="H13" s="461">
        <f>IFERROR(__xludf.DUMMYFUNCTION("""COMPUTED_VALUE"""),160.172112)</f>
        <v>160.172112</v>
      </c>
      <c r="I13" s="461">
        <f>IFERROR(__xludf.DUMMYFUNCTION("""COMPUTED_VALUE"""),165.17749049999998)</f>
        <v>165.1774905</v>
      </c>
      <c r="J13" s="461">
        <f>IFERROR(__xludf.DUMMYFUNCTION("""COMPUTED_VALUE"""),180.193626)</f>
        <v>180.193626</v>
      </c>
      <c r="K13" s="461">
        <f>IFERROR(__xludf.DUMMYFUNCTION("""COMPUTED_VALUE"""),160.172112)</f>
        <v>160.172112</v>
      </c>
      <c r="L13" s="461">
        <f>IFERROR(__xludf.DUMMYFUNCTION("""COMPUTED_VALUE"""),165.17749049999998)</f>
        <v>165.1774905</v>
      </c>
      <c r="M13" s="461">
        <f>IFERROR(__xludf.DUMMYFUNCTION("""COMPUTED_VALUE"""),180.193626)</f>
        <v>180.193626</v>
      </c>
      <c r="N13" s="461">
        <f>IFERROR(__xludf.DUMMYFUNCTION("""COMPUTED_VALUE"""),160.172112)</f>
        <v>160.172112</v>
      </c>
      <c r="O13" s="461">
        <f>IFERROR(__xludf.DUMMYFUNCTION("""COMPUTED_VALUE"""),165.17749049999998)</f>
        <v>165.1774905</v>
      </c>
      <c r="P13" s="461">
        <f t="shared" si="2"/>
        <v>1967.113751</v>
      </c>
    </row>
    <row r="14" ht="14.25" customHeight="1">
      <c r="A14" s="473" t="s">
        <v>748</v>
      </c>
      <c r="B14" s="459"/>
      <c r="C14" s="384" t="s">
        <v>1050</v>
      </c>
      <c r="D14" s="461">
        <f>IFERROR(__xludf.DUMMYFUNCTION("""COMPUTED_VALUE"""),0.0)</f>
        <v>0</v>
      </c>
      <c r="E14" s="461">
        <f>IFERROR(__xludf.DUMMYFUNCTION("""COMPUTED_VALUE"""),0.0)</f>
        <v>0</v>
      </c>
      <c r="F14" s="461">
        <f>IFERROR(__xludf.DUMMYFUNCTION("""COMPUTED_VALUE"""),0.0)</f>
        <v>0</v>
      </c>
      <c r="G14" s="461">
        <f>IFERROR(__xludf.DUMMYFUNCTION("""COMPUTED_VALUE"""),0.0)</f>
        <v>0</v>
      </c>
      <c r="H14" s="461">
        <f>IFERROR(__xludf.DUMMYFUNCTION("""COMPUTED_VALUE"""),0.0)</f>
        <v>0</v>
      </c>
      <c r="I14" s="461">
        <f>IFERROR(__xludf.DUMMYFUNCTION("""COMPUTED_VALUE"""),0.0)</f>
        <v>0</v>
      </c>
      <c r="J14" s="461">
        <f>IFERROR(__xludf.DUMMYFUNCTION("""COMPUTED_VALUE"""),0.0)</f>
        <v>0</v>
      </c>
      <c r="K14" s="461">
        <f>IFERROR(__xludf.DUMMYFUNCTION("""COMPUTED_VALUE"""),0.0)</f>
        <v>0</v>
      </c>
      <c r="L14" s="461">
        <f>IFERROR(__xludf.DUMMYFUNCTION("""COMPUTED_VALUE"""),0.0)</f>
        <v>0</v>
      </c>
      <c r="M14" s="461">
        <f>IFERROR(__xludf.DUMMYFUNCTION("""COMPUTED_VALUE"""),0.0)</f>
        <v>0</v>
      </c>
      <c r="N14" s="461">
        <f>IFERROR(__xludf.DUMMYFUNCTION("""COMPUTED_VALUE"""),0.0)</f>
        <v>0</v>
      </c>
      <c r="O14" s="461">
        <f>IFERROR(__xludf.DUMMYFUNCTION("""COMPUTED_VALUE"""),0.0)</f>
        <v>0</v>
      </c>
      <c r="P14" s="461">
        <f t="shared" si="2"/>
        <v>0</v>
      </c>
    </row>
    <row r="15" ht="14.25" customHeight="1">
      <c r="A15" s="473" t="s">
        <v>750</v>
      </c>
      <c r="B15" s="459"/>
      <c r="C15" s="384" t="s">
        <v>1051</v>
      </c>
      <c r="D15" s="461">
        <f>IFERROR(__xludf.DUMMYFUNCTION("""COMPUTED_VALUE"""),0.0)</f>
        <v>0</v>
      </c>
      <c r="E15" s="461">
        <f>IFERROR(__xludf.DUMMYFUNCTION("""COMPUTED_VALUE"""),0.0)</f>
        <v>0</v>
      </c>
      <c r="F15" s="461">
        <f>IFERROR(__xludf.DUMMYFUNCTION("""COMPUTED_VALUE"""),0.0)</f>
        <v>0</v>
      </c>
      <c r="G15" s="461">
        <f>IFERROR(__xludf.DUMMYFUNCTION("""COMPUTED_VALUE"""),0.0)</f>
        <v>0</v>
      </c>
      <c r="H15" s="461">
        <f>IFERROR(__xludf.DUMMYFUNCTION("""COMPUTED_VALUE"""),0.0)</f>
        <v>0</v>
      </c>
      <c r="I15" s="461">
        <f>IFERROR(__xludf.DUMMYFUNCTION("""COMPUTED_VALUE"""),0.0)</f>
        <v>0</v>
      </c>
      <c r="J15" s="461">
        <f>IFERROR(__xludf.DUMMYFUNCTION("""COMPUTED_VALUE"""),0.0)</f>
        <v>0</v>
      </c>
      <c r="K15" s="461">
        <f>IFERROR(__xludf.DUMMYFUNCTION("""COMPUTED_VALUE"""),0.0)</f>
        <v>0</v>
      </c>
      <c r="L15" s="461">
        <f>IFERROR(__xludf.DUMMYFUNCTION("""COMPUTED_VALUE"""),0.0)</f>
        <v>0</v>
      </c>
      <c r="M15" s="461">
        <f>IFERROR(__xludf.DUMMYFUNCTION("""COMPUTED_VALUE"""),0.0)</f>
        <v>0</v>
      </c>
      <c r="N15" s="461">
        <f>IFERROR(__xludf.DUMMYFUNCTION("""COMPUTED_VALUE"""),0.0)</f>
        <v>0</v>
      </c>
      <c r="O15" s="461">
        <f>IFERROR(__xludf.DUMMYFUNCTION("""COMPUTED_VALUE"""),0.0)</f>
        <v>0</v>
      </c>
      <c r="P15" s="461">
        <f t="shared" si="2"/>
        <v>0</v>
      </c>
    </row>
    <row r="16" ht="14.25" customHeight="1">
      <c r="A16" s="473" t="s">
        <v>752</v>
      </c>
      <c r="B16" s="459"/>
      <c r="C16" s="474" t="s">
        <v>1052</v>
      </c>
      <c r="D16" s="461">
        <f>IFERROR(__xludf.DUMMYFUNCTION("""COMPUTED_VALUE"""),0.0)</f>
        <v>0</v>
      </c>
      <c r="E16" s="461">
        <f>IFERROR(__xludf.DUMMYFUNCTION("""COMPUTED_VALUE"""),0.0)</f>
        <v>0</v>
      </c>
      <c r="F16" s="461">
        <f>IFERROR(__xludf.DUMMYFUNCTION("""COMPUTED_VALUE"""),0.0)</f>
        <v>0</v>
      </c>
      <c r="G16" s="461">
        <f>IFERROR(__xludf.DUMMYFUNCTION("""COMPUTED_VALUE"""),0.0)</f>
        <v>0</v>
      </c>
      <c r="H16" s="461">
        <f>IFERROR(__xludf.DUMMYFUNCTION("""COMPUTED_VALUE"""),0.0)</f>
        <v>0</v>
      </c>
      <c r="I16" s="461">
        <f>IFERROR(__xludf.DUMMYFUNCTION("""COMPUTED_VALUE"""),0.0)</f>
        <v>0</v>
      </c>
      <c r="J16" s="461">
        <f>IFERROR(__xludf.DUMMYFUNCTION("""COMPUTED_VALUE"""),0.0)</f>
        <v>0</v>
      </c>
      <c r="K16" s="461">
        <f>IFERROR(__xludf.DUMMYFUNCTION("""COMPUTED_VALUE"""),0.0)</f>
        <v>0</v>
      </c>
      <c r="L16" s="461">
        <f>IFERROR(__xludf.DUMMYFUNCTION("""COMPUTED_VALUE"""),0.0)</f>
        <v>0</v>
      </c>
      <c r="M16" s="461">
        <f>IFERROR(__xludf.DUMMYFUNCTION("""COMPUTED_VALUE"""),0.0)</f>
        <v>0</v>
      </c>
      <c r="N16" s="461">
        <f>IFERROR(__xludf.DUMMYFUNCTION("""COMPUTED_VALUE"""),0.0)</f>
        <v>0</v>
      </c>
      <c r="O16" s="461">
        <f>IFERROR(__xludf.DUMMYFUNCTION("""COMPUTED_VALUE"""),0.0)</f>
        <v>0</v>
      </c>
      <c r="P16" s="461">
        <f t="shared" si="2"/>
        <v>0</v>
      </c>
    </row>
    <row r="17" ht="14.25" customHeight="1">
      <c r="A17" s="473" t="s">
        <v>754</v>
      </c>
      <c r="B17" s="459"/>
      <c r="C17" s="384" t="s">
        <v>1053</v>
      </c>
      <c r="D17" s="461">
        <f>IFERROR(__xludf.DUMMYFUNCTION("""COMPUTED_VALUE"""),0.0)</f>
        <v>0</v>
      </c>
      <c r="E17" s="461">
        <f>IFERROR(__xludf.DUMMYFUNCTION("""COMPUTED_VALUE"""),0.0)</f>
        <v>0</v>
      </c>
      <c r="F17" s="461">
        <f>IFERROR(__xludf.DUMMYFUNCTION("""COMPUTED_VALUE"""),0.0)</f>
        <v>0</v>
      </c>
      <c r="G17" s="461">
        <f>IFERROR(__xludf.DUMMYFUNCTION("""COMPUTED_VALUE"""),0.0)</f>
        <v>0</v>
      </c>
      <c r="H17" s="461">
        <f>IFERROR(__xludf.DUMMYFUNCTION("""COMPUTED_VALUE"""),0.0)</f>
        <v>0</v>
      </c>
      <c r="I17" s="461">
        <f>IFERROR(__xludf.DUMMYFUNCTION("""COMPUTED_VALUE"""),0.0)</f>
        <v>0</v>
      </c>
      <c r="J17" s="461">
        <f>IFERROR(__xludf.DUMMYFUNCTION("""COMPUTED_VALUE"""),0.0)</f>
        <v>0</v>
      </c>
      <c r="K17" s="461">
        <f>IFERROR(__xludf.DUMMYFUNCTION("""COMPUTED_VALUE"""),0.0)</f>
        <v>0</v>
      </c>
      <c r="L17" s="461">
        <f>IFERROR(__xludf.DUMMYFUNCTION("""COMPUTED_VALUE"""),0.0)</f>
        <v>0</v>
      </c>
      <c r="M17" s="461">
        <f>IFERROR(__xludf.DUMMYFUNCTION("""COMPUTED_VALUE"""),0.0)</f>
        <v>0</v>
      </c>
      <c r="N17" s="461">
        <f>IFERROR(__xludf.DUMMYFUNCTION("""COMPUTED_VALUE"""),0.0)</f>
        <v>0</v>
      </c>
      <c r="O17" s="461">
        <f>IFERROR(__xludf.DUMMYFUNCTION("""COMPUTED_VALUE"""),0.0)</f>
        <v>0</v>
      </c>
      <c r="P17" s="461">
        <f t="shared" si="2"/>
        <v>0</v>
      </c>
    </row>
    <row r="18" ht="14.25" customHeight="1">
      <c r="A18" s="473" t="s">
        <v>756</v>
      </c>
      <c r="B18" s="459"/>
      <c r="C18" s="384" t="s">
        <v>1054</v>
      </c>
      <c r="D18" s="461">
        <f>IFERROR(__xludf.DUMMYFUNCTION("""COMPUTED_VALUE"""),0.0)</f>
        <v>0</v>
      </c>
      <c r="E18" s="461">
        <f>IFERROR(__xludf.DUMMYFUNCTION("""COMPUTED_VALUE"""),0.0)</f>
        <v>0</v>
      </c>
      <c r="F18" s="461">
        <f>IFERROR(__xludf.DUMMYFUNCTION("""COMPUTED_VALUE"""),0.0)</f>
        <v>0</v>
      </c>
      <c r="G18" s="461">
        <f>IFERROR(__xludf.DUMMYFUNCTION("""COMPUTED_VALUE"""),0.0)</f>
        <v>0</v>
      </c>
      <c r="H18" s="461">
        <f>IFERROR(__xludf.DUMMYFUNCTION("""COMPUTED_VALUE"""),0.0)</f>
        <v>0</v>
      </c>
      <c r="I18" s="461">
        <f>IFERROR(__xludf.DUMMYFUNCTION("""COMPUTED_VALUE"""),0.0)</f>
        <v>0</v>
      </c>
      <c r="J18" s="461">
        <f>IFERROR(__xludf.DUMMYFUNCTION("""COMPUTED_VALUE"""),0.0)</f>
        <v>0</v>
      </c>
      <c r="K18" s="461">
        <f>IFERROR(__xludf.DUMMYFUNCTION("""COMPUTED_VALUE"""),0.0)</f>
        <v>0</v>
      </c>
      <c r="L18" s="461">
        <f>IFERROR(__xludf.DUMMYFUNCTION("""COMPUTED_VALUE"""),0.0)</f>
        <v>0</v>
      </c>
      <c r="M18" s="461">
        <f>IFERROR(__xludf.DUMMYFUNCTION("""COMPUTED_VALUE"""),0.0)</f>
        <v>0</v>
      </c>
      <c r="N18" s="461">
        <f>IFERROR(__xludf.DUMMYFUNCTION("""COMPUTED_VALUE"""),0.0)</f>
        <v>0</v>
      </c>
      <c r="O18" s="461">
        <f>IFERROR(__xludf.DUMMYFUNCTION("""COMPUTED_VALUE"""),0.0)</f>
        <v>0</v>
      </c>
      <c r="P18" s="461">
        <f t="shared" si="2"/>
        <v>0</v>
      </c>
    </row>
    <row r="19" ht="14.25" customHeight="1">
      <c r="A19" s="473" t="s">
        <v>758</v>
      </c>
      <c r="B19" s="459"/>
      <c r="C19" s="384" t="s">
        <v>1055</v>
      </c>
      <c r="D19" s="461">
        <f>IFERROR(__xludf.DUMMYFUNCTION("""COMPUTED_VALUE"""),0.0)</f>
        <v>0</v>
      </c>
      <c r="E19" s="461">
        <f>IFERROR(__xludf.DUMMYFUNCTION("""COMPUTED_VALUE"""),0.0)</f>
        <v>0</v>
      </c>
      <c r="F19" s="461">
        <f>IFERROR(__xludf.DUMMYFUNCTION("""COMPUTED_VALUE"""),0.0)</f>
        <v>0</v>
      </c>
      <c r="G19" s="461">
        <f>IFERROR(__xludf.DUMMYFUNCTION("""COMPUTED_VALUE"""),0.0)</f>
        <v>0</v>
      </c>
      <c r="H19" s="461">
        <f>IFERROR(__xludf.DUMMYFUNCTION("""COMPUTED_VALUE"""),0.0)</f>
        <v>0</v>
      </c>
      <c r="I19" s="461">
        <f>IFERROR(__xludf.DUMMYFUNCTION("""COMPUTED_VALUE"""),0.0)</f>
        <v>0</v>
      </c>
      <c r="J19" s="461">
        <f>IFERROR(__xludf.DUMMYFUNCTION("""COMPUTED_VALUE"""),0.0)</f>
        <v>0</v>
      </c>
      <c r="K19" s="461">
        <f>IFERROR(__xludf.DUMMYFUNCTION("""COMPUTED_VALUE"""),0.0)</f>
        <v>0</v>
      </c>
      <c r="L19" s="461">
        <f>IFERROR(__xludf.DUMMYFUNCTION("""COMPUTED_VALUE"""),0.0)</f>
        <v>0</v>
      </c>
      <c r="M19" s="461">
        <f>IFERROR(__xludf.DUMMYFUNCTION("""COMPUTED_VALUE"""),0.0)</f>
        <v>0</v>
      </c>
      <c r="N19" s="461">
        <f>IFERROR(__xludf.DUMMYFUNCTION("""COMPUTED_VALUE"""),0.0)</f>
        <v>0</v>
      </c>
      <c r="O19" s="461">
        <f>IFERROR(__xludf.DUMMYFUNCTION("""COMPUTED_VALUE"""),0.0)</f>
        <v>0</v>
      </c>
      <c r="P19" s="461">
        <f t="shared" si="2"/>
        <v>0</v>
      </c>
    </row>
    <row r="20" ht="14.25" customHeight="1">
      <c r="A20" s="473" t="s">
        <v>760</v>
      </c>
      <c r="B20" s="459"/>
      <c r="C20" s="384" t="s">
        <v>761</v>
      </c>
      <c r="D20" s="461">
        <f>IFERROR(__xludf.DUMMYFUNCTION("""COMPUTED_VALUE"""),0.0)</f>
        <v>0</v>
      </c>
      <c r="E20" s="461">
        <f>IFERROR(__xludf.DUMMYFUNCTION("""COMPUTED_VALUE"""),0.0)</f>
        <v>0</v>
      </c>
      <c r="F20" s="461">
        <f>IFERROR(__xludf.DUMMYFUNCTION("""COMPUTED_VALUE"""),0.0)</f>
        <v>0</v>
      </c>
      <c r="G20" s="461">
        <f>IFERROR(__xludf.DUMMYFUNCTION("""COMPUTED_VALUE"""),0.0)</f>
        <v>0</v>
      </c>
      <c r="H20" s="461">
        <f>IFERROR(__xludf.DUMMYFUNCTION("""COMPUTED_VALUE"""),0.0)</f>
        <v>0</v>
      </c>
      <c r="I20" s="461">
        <f>IFERROR(__xludf.DUMMYFUNCTION("""COMPUTED_VALUE"""),0.0)</f>
        <v>0</v>
      </c>
      <c r="J20" s="461">
        <f>IFERROR(__xludf.DUMMYFUNCTION("""COMPUTED_VALUE"""),0.0)</f>
        <v>0</v>
      </c>
      <c r="K20" s="461">
        <f>IFERROR(__xludf.DUMMYFUNCTION("""COMPUTED_VALUE"""),0.0)</f>
        <v>0</v>
      </c>
      <c r="L20" s="461">
        <f>IFERROR(__xludf.DUMMYFUNCTION("""COMPUTED_VALUE"""),0.0)</f>
        <v>0</v>
      </c>
      <c r="M20" s="461">
        <f>IFERROR(__xludf.DUMMYFUNCTION("""COMPUTED_VALUE"""),0.0)</f>
        <v>0</v>
      </c>
      <c r="N20" s="461">
        <f>IFERROR(__xludf.DUMMYFUNCTION("""COMPUTED_VALUE"""),0.0)</f>
        <v>0</v>
      </c>
      <c r="O20" s="461">
        <f>IFERROR(__xludf.DUMMYFUNCTION("""COMPUTED_VALUE"""),0.0)</f>
        <v>0</v>
      </c>
      <c r="P20" s="461">
        <f t="shared" si="2"/>
        <v>0</v>
      </c>
    </row>
    <row r="21" ht="14.25" customHeight="1">
      <c r="A21" s="473" t="s">
        <v>762</v>
      </c>
      <c r="B21" s="459"/>
      <c r="C21" s="384" t="s">
        <v>763</v>
      </c>
      <c r="D21" s="461">
        <f>IFERROR(__xludf.DUMMYFUNCTION("""COMPUTED_VALUE"""),0.0)</f>
        <v>0</v>
      </c>
      <c r="E21" s="461">
        <f>IFERROR(__xludf.DUMMYFUNCTION("""COMPUTED_VALUE"""),0.0)</f>
        <v>0</v>
      </c>
      <c r="F21" s="461">
        <f>IFERROR(__xludf.DUMMYFUNCTION("""COMPUTED_VALUE"""),0.0)</f>
        <v>0</v>
      </c>
      <c r="G21" s="461">
        <f>IFERROR(__xludf.DUMMYFUNCTION("""COMPUTED_VALUE"""),0.0)</f>
        <v>0</v>
      </c>
      <c r="H21" s="461">
        <f>IFERROR(__xludf.DUMMYFUNCTION("""COMPUTED_VALUE"""),0.0)</f>
        <v>0</v>
      </c>
      <c r="I21" s="461">
        <f>IFERROR(__xludf.DUMMYFUNCTION("""COMPUTED_VALUE"""),0.0)</f>
        <v>0</v>
      </c>
      <c r="J21" s="461">
        <f>IFERROR(__xludf.DUMMYFUNCTION("""COMPUTED_VALUE"""),0.0)</f>
        <v>0</v>
      </c>
      <c r="K21" s="461">
        <f>IFERROR(__xludf.DUMMYFUNCTION("""COMPUTED_VALUE"""),0.0)</f>
        <v>0</v>
      </c>
      <c r="L21" s="461">
        <f>IFERROR(__xludf.DUMMYFUNCTION("""COMPUTED_VALUE"""),0.0)</f>
        <v>0</v>
      </c>
      <c r="M21" s="461">
        <f>IFERROR(__xludf.DUMMYFUNCTION("""COMPUTED_VALUE"""),0.0)</f>
        <v>0</v>
      </c>
      <c r="N21" s="461">
        <f>IFERROR(__xludf.DUMMYFUNCTION("""COMPUTED_VALUE"""),0.0)</f>
        <v>0</v>
      </c>
      <c r="O21" s="461">
        <f>IFERROR(__xludf.DUMMYFUNCTION("""COMPUTED_VALUE"""),0.0)</f>
        <v>0</v>
      </c>
      <c r="P21" s="461">
        <f t="shared" si="2"/>
        <v>0</v>
      </c>
    </row>
    <row r="22" ht="14.25" customHeight="1">
      <c r="A22" s="473" t="s">
        <v>764</v>
      </c>
      <c r="B22" s="459"/>
      <c r="C22" s="384" t="s">
        <v>765</v>
      </c>
      <c r="D22" s="461">
        <f>IFERROR(__xludf.DUMMYFUNCTION("""COMPUTED_VALUE"""),0.0)</f>
        <v>0</v>
      </c>
      <c r="E22" s="461">
        <f>IFERROR(__xludf.DUMMYFUNCTION("""COMPUTED_VALUE"""),0.0)</f>
        <v>0</v>
      </c>
      <c r="F22" s="461">
        <f>IFERROR(__xludf.DUMMYFUNCTION("""COMPUTED_VALUE"""),0.0)</f>
        <v>0</v>
      </c>
      <c r="G22" s="461">
        <f>IFERROR(__xludf.DUMMYFUNCTION("""COMPUTED_VALUE"""),0.0)</f>
        <v>0</v>
      </c>
      <c r="H22" s="461">
        <f>IFERROR(__xludf.DUMMYFUNCTION("""COMPUTED_VALUE"""),0.0)</f>
        <v>0</v>
      </c>
      <c r="I22" s="461">
        <f>IFERROR(__xludf.DUMMYFUNCTION("""COMPUTED_VALUE"""),0.0)</f>
        <v>0</v>
      </c>
      <c r="J22" s="461">
        <f>IFERROR(__xludf.DUMMYFUNCTION("""COMPUTED_VALUE"""),0.0)</f>
        <v>0</v>
      </c>
      <c r="K22" s="461">
        <f>IFERROR(__xludf.DUMMYFUNCTION("""COMPUTED_VALUE"""),0.0)</f>
        <v>0</v>
      </c>
      <c r="L22" s="461">
        <f>IFERROR(__xludf.DUMMYFUNCTION("""COMPUTED_VALUE"""),0.0)</f>
        <v>0</v>
      </c>
      <c r="M22" s="461">
        <f>IFERROR(__xludf.DUMMYFUNCTION("""COMPUTED_VALUE"""),0.0)</f>
        <v>0</v>
      </c>
      <c r="N22" s="461">
        <f>IFERROR(__xludf.DUMMYFUNCTION("""COMPUTED_VALUE"""),0.0)</f>
        <v>0</v>
      </c>
      <c r="O22" s="461">
        <f>IFERROR(__xludf.DUMMYFUNCTION("""COMPUTED_VALUE"""),0.0)</f>
        <v>0</v>
      </c>
      <c r="P22" s="461">
        <f t="shared" si="2"/>
        <v>0</v>
      </c>
    </row>
    <row r="23" ht="14.25" customHeight="1">
      <c r="A23" s="473" t="s">
        <v>766</v>
      </c>
      <c r="B23" s="459"/>
      <c r="C23" s="384" t="s">
        <v>767</v>
      </c>
      <c r="D23" s="461">
        <f>IFERROR(__xludf.DUMMYFUNCTION("""COMPUTED_VALUE"""),0.0)</f>
        <v>0</v>
      </c>
      <c r="E23" s="461">
        <f>IFERROR(__xludf.DUMMYFUNCTION("""COMPUTED_VALUE"""),0.0)</f>
        <v>0</v>
      </c>
      <c r="F23" s="461">
        <f>IFERROR(__xludf.DUMMYFUNCTION("""COMPUTED_VALUE"""),0.0)</f>
        <v>0</v>
      </c>
      <c r="G23" s="461">
        <f>IFERROR(__xludf.DUMMYFUNCTION("""COMPUTED_VALUE"""),0.0)</f>
        <v>0</v>
      </c>
      <c r="H23" s="461">
        <f>IFERROR(__xludf.DUMMYFUNCTION("""COMPUTED_VALUE"""),0.0)</f>
        <v>0</v>
      </c>
      <c r="I23" s="461">
        <f>IFERROR(__xludf.DUMMYFUNCTION("""COMPUTED_VALUE"""),0.0)</f>
        <v>0</v>
      </c>
      <c r="J23" s="461">
        <f>IFERROR(__xludf.DUMMYFUNCTION("""COMPUTED_VALUE"""),0.0)</f>
        <v>0</v>
      </c>
      <c r="K23" s="461">
        <f>IFERROR(__xludf.DUMMYFUNCTION("""COMPUTED_VALUE"""),0.0)</f>
        <v>0</v>
      </c>
      <c r="L23" s="461">
        <f>IFERROR(__xludf.DUMMYFUNCTION("""COMPUTED_VALUE"""),0.0)</f>
        <v>0</v>
      </c>
      <c r="M23" s="461">
        <f>IFERROR(__xludf.DUMMYFUNCTION("""COMPUTED_VALUE"""),0.0)</f>
        <v>0</v>
      </c>
      <c r="N23" s="461">
        <f>IFERROR(__xludf.DUMMYFUNCTION("""COMPUTED_VALUE"""),0.0)</f>
        <v>0</v>
      </c>
      <c r="O23" s="461">
        <f>IFERROR(__xludf.DUMMYFUNCTION("""COMPUTED_VALUE"""),0.0)</f>
        <v>0</v>
      </c>
      <c r="P23" s="461">
        <f t="shared" si="2"/>
        <v>0</v>
      </c>
    </row>
    <row r="24" ht="14.25" customHeight="1">
      <c r="A24" s="473" t="s">
        <v>768</v>
      </c>
      <c r="B24" s="459"/>
      <c r="C24" s="474" t="s">
        <v>769</v>
      </c>
      <c r="D24" s="461">
        <f>IFERROR(__xludf.DUMMYFUNCTION("""COMPUTED_VALUE"""),0.0)</f>
        <v>0</v>
      </c>
      <c r="E24" s="461">
        <f>IFERROR(__xludf.DUMMYFUNCTION("""COMPUTED_VALUE"""),0.0)</f>
        <v>0</v>
      </c>
      <c r="F24" s="461">
        <f>IFERROR(__xludf.DUMMYFUNCTION("""COMPUTED_VALUE"""),0.0)</f>
        <v>0</v>
      </c>
      <c r="G24" s="461">
        <f>IFERROR(__xludf.DUMMYFUNCTION("""COMPUTED_VALUE"""),0.0)</f>
        <v>0</v>
      </c>
      <c r="H24" s="461">
        <f>IFERROR(__xludf.DUMMYFUNCTION("""COMPUTED_VALUE"""),0.0)</f>
        <v>0</v>
      </c>
      <c r="I24" s="461">
        <f>IFERROR(__xludf.DUMMYFUNCTION("""COMPUTED_VALUE"""),0.0)</f>
        <v>0</v>
      </c>
      <c r="J24" s="461">
        <f>IFERROR(__xludf.DUMMYFUNCTION("""COMPUTED_VALUE"""),0.0)</f>
        <v>0</v>
      </c>
      <c r="K24" s="461">
        <f>IFERROR(__xludf.DUMMYFUNCTION("""COMPUTED_VALUE"""),0.0)</f>
        <v>0</v>
      </c>
      <c r="L24" s="461">
        <f>IFERROR(__xludf.DUMMYFUNCTION("""COMPUTED_VALUE"""),0.0)</f>
        <v>0</v>
      </c>
      <c r="M24" s="461">
        <f>IFERROR(__xludf.DUMMYFUNCTION("""COMPUTED_VALUE"""),0.0)</f>
        <v>0</v>
      </c>
      <c r="N24" s="461">
        <f>IFERROR(__xludf.DUMMYFUNCTION("""COMPUTED_VALUE"""),0.0)</f>
        <v>0</v>
      </c>
      <c r="O24" s="461">
        <f>IFERROR(__xludf.DUMMYFUNCTION("""COMPUTED_VALUE"""),0.0)</f>
        <v>0</v>
      </c>
      <c r="P24" s="461">
        <f t="shared" si="2"/>
        <v>0</v>
      </c>
    </row>
    <row r="25" ht="14.25" customHeight="1">
      <c r="A25" s="473" t="s">
        <v>770</v>
      </c>
      <c r="B25" s="459"/>
      <c r="C25" s="384" t="s">
        <v>771</v>
      </c>
      <c r="D25" s="461">
        <f>IFERROR(__xludf.DUMMYFUNCTION("""COMPUTED_VALUE"""),0.0)</f>
        <v>0</v>
      </c>
      <c r="E25" s="461">
        <f>IFERROR(__xludf.DUMMYFUNCTION("""COMPUTED_VALUE"""),0.0)</f>
        <v>0</v>
      </c>
      <c r="F25" s="461">
        <f>IFERROR(__xludf.DUMMYFUNCTION("""COMPUTED_VALUE"""),0.0)</f>
        <v>0</v>
      </c>
      <c r="G25" s="461">
        <f>IFERROR(__xludf.DUMMYFUNCTION("""COMPUTED_VALUE"""),0.0)</f>
        <v>0</v>
      </c>
      <c r="H25" s="461">
        <f>IFERROR(__xludf.DUMMYFUNCTION("""COMPUTED_VALUE"""),0.0)</f>
        <v>0</v>
      </c>
      <c r="I25" s="461">
        <f>IFERROR(__xludf.DUMMYFUNCTION("""COMPUTED_VALUE"""),0.0)</f>
        <v>0</v>
      </c>
      <c r="J25" s="461">
        <f>IFERROR(__xludf.DUMMYFUNCTION("""COMPUTED_VALUE"""),0.0)</f>
        <v>0</v>
      </c>
      <c r="K25" s="461">
        <f>IFERROR(__xludf.DUMMYFUNCTION("""COMPUTED_VALUE"""),0.0)</f>
        <v>0</v>
      </c>
      <c r="L25" s="461">
        <f>IFERROR(__xludf.DUMMYFUNCTION("""COMPUTED_VALUE"""),0.0)</f>
        <v>0</v>
      </c>
      <c r="M25" s="461">
        <f>IFERROR(__xludf.DUMMYFUNCTION("""COMPUTED_VALUE"""),0.0)</f>
        <v>0</v>
      </c>
      <c r="N25" s="461">
        <f>IFERROR(__xludf.DUMMYFUNCTION("""COMPUTED_VALUE"""),0.0)</f>
        <v>0</v>
      </c>
      <c r="O25" s="461">
        <f>IFERROR(__xludf.DUMMYFUNCTION("""COMPUTED_VALUE"""),0.0)</f>
        <v>0</v>
      </c>
      <c r="P25" s="461">
        <f t="shared" si="2"/>
        <v>0</v>
      </c>
    </row>
    <row r="26" ht="14.25" customHeight="1">
      <c r="A26" s="473" t="s">
        <v>1056</v>
      </c>
      <c r="B26" s="459"/>
      <c r="C26" s="384" t="s">
        <v>1057</v>
      </c>
      <c r="D26" s="461">
        <f>IFERROR(__xludf.DUMMYFUNCTION("""COMPUTED_VALUE"""),0.0)</f>
        <v>0</v>
      </c>
      <c r="E26" s="461">
        <f>IFERROR(__xludf.DUMMYFUNCTION("""COMPUTED_VALUE"""),0.0)</f>
        <v>0</v>
      </c>
      <c r="F26" s="461">
        <f>IFERROR(__xludf.DUMMYFUNCTION("""COMPUTED_VALUE"""),0.0)</f>
        <v>0</v>
      </c>
      <c r="G26" s="461">
        <f>IFERROR(__xludf.DUMMYFUNCTION("""COMPUTED_VALUE"""),0.0)</f>
        <v>0</v>
      </c>
      <c r="H26" s="461">
        <f>IFERROR(__xludf.DUMMYFUNCTION("""COMPUTED_VALUE"""),0.0)</f>
        <v>0</v>
      </c>
      <c r="I26" s="461">
        <f>IFERROR(__xludf.DUMMYFUNCTION("""COMPUTED_VALUE"""),0.0)</f>
        <v>0</v>
      </c>
      <c r="J26" s="461">
        <f>IFERROR(__xludf.DUMMYFUNCTION("""COMPUTED_VALUE"""),0.0)</f>
        <v>0</v>
      </c>
      <c r="K26" s="461">
        <f>IFERROR(__xludf.DUMMYFUNCTION("""COMPUTED_VALUE"""),0.0)</f>
        <v>0</v>
      </c>
      <c r="L26" s="461">
        <f>IFERROR(__xludf.DUMMYFUNCTION("""COMPUTED_VALUE"""),0.0)</f>
        <v>0</v>
      </c>
      <c r="M26" s="461">
        <f>IFERROR(__xludf.DUMMYFUNCTION("""COMPUTED_VALUE"""),0.0)</f>
        <v>0</v>
      </c>
      <c r="N26" s="461">
        <f>IFERROR(__xludf.DUMMYFUNCTION("""COMPUTED_VALUE"""),0.0)</f>
        <v>0</v>
      </c>
      <c r="O26" s="461">
        <f>IFERROR(__xludf.DUMMYFUNCTION("""COMPUTED_VALUE"""),0.0)</f>
        <v>0</v>
      </c>
      <c r="P26" s="461">
        <f t="shared" si="2"/>
        <v>0</v>
      </c>
    </row>
    <row r="27" ht="14.25" customHeight="1">
      <c r="A27" s="463" t="s">
        <v>772</v>
      </c>
      <c r="B27" s="470"/>
      <c r="C27" s="465"/>
      <c r="D27" s="475">
        <f>IFERROR(__xludf.DUMMYFUNCTION("""COMPUTED_VALUE"""),150.161355)</f>
        <v>150.161355</v>
      </c>
      <c r="E27" s="475">
        <f>IFERROR(__xludf.DUMMYFUNCTION("""COMPUTED_VALUE"""),150.161355)</f>
        <v>150.161355</v>
      </c>
      <c r="F27" s="475">
        <f>IFERROR(__xludf.DUMMYFUNCTION("""COMPUTED_VALUE"""),150.161355)</f>
        <v>150.161355</v>
      </c>
      <c r="G27" s="475">
        <f>IFERROR(__xludf.DUMMYFUNCTION("""COMPUTED_VALUE"""),180.193626)</f>
        <v>180.193626</v>
      </c>
      <c r="H27" s="475">
        <f>IFERROR(__xludf.DUMMYFUNCTION("""COMPUTED_VALUE"""),160.172112)</f>
        <v>160.172112</v>
      </c>
      <c r="I27" s="475">
        <f>IFERROR(__xludf.DUMMYFUNCTION("""COMPUTED_VALUE"""),165.17749049999998)</f>
        <v>165.1774905</v>
      </c>
      <c r="J27" s="475">
        <f>IFERROR(__xludf.DUMMYFUNCTION("""COMPUTED_VALUE"""),180.193626)</f>
        <v>180.193626</v>
      </c>
      <c r="K27" s="475">
        <f>IFERROR(__xludf.DUMMYFUNCTION("""COMPUTED_VALUE"""),160.172112)</f>
        <v>160.172112</v>
      </c>
      <c r="L27" s="475">
        <f>IFERROR(__xludf.DUMMYFUNCTION("""COMPUTED_VALUE"""),165.17749049999998)</f>
        <v>165.1774905</v>
      </c>
      <c r="M27" s="475">
        <f>IFERROR(__xludf.DUMMYFUNCTION("""COMPUTED_VALUE"""),180.193626)</f>
        <v>180.193626</v>
      </c>
      <c r="N27" s="475">
        <f>IFERROR(__xludf.DUMMYFUNCTION("""COMPUTED_VALUE"""),160.172112)</f>
        <v>160.172112</v>
      </c>
      <c r="O27" s="475">
        <f>IFERROR(__xludf.DUMMYFUNCTION("""COMPUTED_VALUE"""),165.17749049999998)</f>
        <v>165.1774905</v>
      </c>
      <c r="P27" s="475">
        <f>sum(P12:P26)</f>
        <v>1967.113751</v>
      </c>
    </row>
    <row r="28" ht="14.25" customHeight="1">
      <c r="A28" s="473" t="s">
        <v>1058</v>
      </c>
      <c r="B28" s="459"/>
      <c r="C28" s="384" t="s">
        <v>773</v>
      </c>
      <c r="D28" s="461">
        <f>IFERROR(__xludf.DUMMYFUNCTION("""COMPUTED_VALUE"""),0.0)</f>
        <v>0</v>
      </c>
      <c r="E28" s="461">
        <f>IFERROR(__xludf.DUMMYFUNCTION("""COMPUTED_VALUE"""),0.0)</f>
        <v>0</v>
      </c>
      <c r="F28" s="461">
        <f>IFERROR(__xludf.DUMMYFUNCTION("""COMPUTED_VALUE"""),0.0)</f>
        <v>0</v>
      </c>
      <c r="G28" s="461">
        <f>IFERROR(__xludf.DUMMYFUNCTION("""COMPUTED_VALUE"""),0.0)</f>
        <v>0</v>
      </c>
      <c r="H28" s="461">
        <f>IFERROR(__xludf.DUMMYFUNCTION("""COMPUTED_VALUE"""),0.0)</f>
        <v>0</v>
      </c>
      <c r="I28" s="461">
        <f>IFERROR(__xludf.DUMMYFUNCTION("""COMPUTED_VALUE"""),0.0)</f>
        <v>0</v>
      </c>
      <c r="J28" s="461">
        <f>IFERROR(__xludf.DUMMYFUNCTION("""COMPUTED_VALUE"""),0.0)</f>
        <v>0</v>
      </c>
      <c r="K28" s="461">
        <f>IFERROR(__xludf.DUMMYFUNCTION("""COMPUTED_VALUE"""),0.0)</f>
        <v>0</v>
      </c>
      <c r="L28" s="461">
        <f>IFERROR(__xludf.DUMMYFUNCTION("""COMPUTED_VALUE"""),0.0)</f>
        <v>0</v>
      </c>
      <c r="M28" s="461">
        <f>IFERROR(__xludf.DUMMYFUNCTION("""COMPUTED_VALUE"""),0.0)</f>
        <v>0</v>
      </c>
      <c r="N28" s="461">
        <f>IFERROR(__xludf.DUMMYFUNCTION("""COMPUTED_VALUE"""),0.0)</f>
        <v>0</v>
      </c>
      <c r="O28" s="461">
        <f>IFERROR(__xludf.DUMMYFUNCTION("""COMPUTED_VALUE"""),0.0)</f>
        <v>0</v>
      </c>
      <c r="P28" s="461">
        <f>sum(D28:O28)</f>
        <v>0</v>
      </c>
    </row>
    <row r="29" ht="14.25" customHeight="1">
      <c r="A29" s="463" t="s">
        <v>774</v>
      </c>
      <c r="B29" s="470"/>
      <c r="C29" s="476"/>
      <c r="D29" s="475">
        <f>IFERROR(__xludf.DUMMYFUNCTION("""COMPUTED_VALUE"""),0.0)</f>
        <v>0</v>
      </c>
      <c r="E29" s="475">
        <f>IFERROR(__xludf.DUMMYFUNCTION("""COMPUTED_VALUE"""),0.0)</f>
        <v>0</v>
      </c>
      <c r="F29" s="475">
        <f>IFERROR(__xludf.DUMMYFUNCTION("""COMPUTED_VALUE"""),0.0)</f>
        <v>0</v>
      </c>
      <c r="G29" s="475">
        <f>IFERROR(__xludf.DUMMYFUNCTION("""COMPUTED_VALUE"""),0.0)</f>
        <v>0</v>
      </c>
      <c r="H29" s="475">
        <f>IFERROR(__xludf.DUMMYFUNCTION("""COMPUTED_VALUE"""),0.0)</f>
        <v>0</v>
      </c>
      <c r="I29" s="475">
        <f>IFERROR(__xludf.DUMMYFUNCTION("""COMPUTED_VALUE"""),0.0)</f>
        <v>0</v>
      </c>
      <c r="J29" s="475">
        <f>IFERROR(__xludf.DUMMYFUNCTION("""COMPUTED_VALUE"""),0.0)</f>
        <v>0</v>
      </c>
      <c r="K29" s="475">
        <f>IFERROR(__xludf.DUMMYFUNCTION("""COMPUTED_VALUE"""),0.0)</f>
        <v>0</v>
      </c>
      <c r="L29" s="475">
        <f>IFERROR(__xludf.DUMMYFUNCTION("""COMPUTED_VALUE"""),0.0)</f>
        <v>0</v>
      </c>
      <c r="M29" s="475">
        <f>IFERROR(__xludf.DUMMYFUNCTION("""COMPUTED_VALUE"""),0.0)</f>
        <v>0</v>
      </c>
      <c r="N29" s="475">
        <f>IFERROR(__xludf.DUMMYFUNCTION("""COMPUTED_VALUE"""),0.0)</f>
        <v>0</v>
      </c>
      <c r="O29" s="475">
        <f>IFERROR(__xludf.DUMMYFUNCTION("""COMPUTED_VALUE"""),0.0)</f>
        <v>0</v>
      </c>
      <c r="P29" s="475">
        <f>P28</f>
        <v>0</v>
      </c>
    </row>
    <row r="30" ht="14.25" customHeight="1">
      <c r="A30" s="473" t="s">
        <v>775</v>
      </c>
      <c r="B30" s="459"/>
      <c r="C30" s="384" t="s">
        <v>1059</v>
      </c>
      <c r="D30" s="461">
        <f>IFERROR(__xludf.DUMMYFUNCTION("""COMPUTED_VALUE"""),0.0)</f>
        <v>0</v>
      </c>
      <c r="E30" s="461">
        <f>IFERROR(__xludf.DUMMYFUNCTION("""COMPUTED_VALUE"""),0.0)</f>
        <v>0</v>
      </c>
      <c r="F30" s="461">
        <f>IFERROR(__xludf.DUMMYFUNCTION("""COMPUTED_VALUE"""),0.0)</f>
        <v>0</v>
      </c>
      <c r="G30" s="461">
        <f>IFERROR(__xludf.DUMMYFUNCTION("""COMPUTED_VALUE"""),0.0)</f>
        <v>0</v>
      </c>
      <c r="H30" s="461">
        <f>IFERROR(__xludf.DUMMYFUNCTION("""COMPUTED_VALUE"""),0.0)</f>
        <v>0</v>
      </c>
      <c r="I30" s="461">
        <f>IFERROR(__xludf.DUMMYFUNCTION("""COMPUTED_VALUE"""),0.0)</f>
        <v>0</v>
      </c>
      <c r="J30" s="461">
        <f>IFERROR(__xludf.DUMMYFUNCTION("""COMPUTED_VALUE"""),0.0)</f>
        <v>0</v>
      </c>
      <c r="K30" s="461">
        <f>IFERROR(__xludf.DUMMYFUNCTION("""COMPUTED_VALUE"""),0.0)</f>
        <v>0</v>
      </c>
      <c r="L30" s="461">
        <f>IFERROR(__xludf.DUMMYFUNCTION("""COMPUTED_VALUE"""),0.0)</f>
        <v>0</v>
      </c>
      <c r="M30" s="461">
        <f>IFERROR(__xludf.DUMMYFUNCTION("""COMPUTED_VALUE"""),0.0)</f>
        <v>0</v>
      </c>
      <c r="N30" s="461">
        <f>IFERROR(__xludf.DUMMYFUNCTION("""COMPUTED_VALUE"""),0.0)</f>
        <v>0</v>
      </c>
      <c r="O30" s="461">
        <f>IFERROR(__xludf.DUMMYFUNCTION("""COMPUTED_VALUE"""),0.0)</f>
        <v>0</v>
      </c>
      <c r="P30" s="461">
        <f t="shared" ref="P30:P38" si="3">sum(D30:O30)</f>
        <v>0</v>
      </c>
    </row>
    <row r="31" ht="14.25" customHeight="1">
      <c r="A31" s="473" t="s">
        <v>777</v>
      </c>
      <c r="B31" s="459"/>
      <c r="C31" s="384" t="s">
        <v>1060</v>
      </c>
      <c r="D31" s="461">
        <f>IFERROR(__xludf.DUMMYFUNCTION("""COMPUTED_VALUE"""),0.0)</f>
        <v>0</v>
      </c>
      <c r="E31" s="461">
        <f>IFERROR(__xludf.DUMMYFUNCTION("""COMPUTED_VALUE"""),0.0)</f>
        <v>0</v>
      </c>
      <c r="F31" s="461">
        <f>IFERROR(__xludf.DUMMYFUNCTION("""COMPUTED_VALUE"""),0.0)</f>
        <v>0</v>
      </c>
      <c r="G31" s="461">
        <f>IFERROR(__xludf.DUMMYFUNCTION("""COMPUTED_VALUE"""),0.0)</f>
        <v>0</v>
      </c>
      <c r="H31" s="461">
        <f>IFERROR(__xludf.DUMMYFUNCTION("""COMPUTED_VALUE"""),0.0)</f>
        <v>0</v>
      </c>
      <c r="I31" s="461">
        <f>IFERROR(__xludf.DUMMYFUNCTION("""COMPUTED_VALUE"""),0.0)</f>
        <v>0</v>
      </c>
      <c r="J31" s="461">
        <f>IFERROR(__xludf.DUMMYFUNCTION("""COMPUTED_VALUE"""),0.0)</f>
        <v>0</v>
      </c>
      <c r="K31" s="461">
        <f>IFERROR(__xludf.DUMMYFUNCTION("""COMPUTED_VALUE"""),0.0)</f>
        <v>0</v>
      </c>
      <c r="L31" s="461">
        <f>IFERROR(__xludf.DUMMYFUNCTION("""COMPUTED_VALUE"""),0.0)</f>
        <v>0</v>
      </c>
      <c r="M31" s="461">
        <f>IFERROR(__xludf.DUMMYFUNCTION("""COMPUTED_VALUE"""),0.0)</f>
        <v>0</v>
      </c>
      <c r="N31" s="461">
        <f>IFERROR(__xludf.DUMMYFUNCTION("""COMPUTED_VALUE"""),0.0)</f>
        <v>0</v>
      </c>
      <c r="O31" s="461">
        <f>IFERROR(__xludf.DUMMYFUNCTION("""COMPUTED_VALUE"""),0.0)</f>
        <v>0</v>
      </c>
      <c r="P31" s="461">
        <f t="shared" si="3"/>
        <v>0</v>
      </c>
    </row>
    <row r="32" ht="14.25" customHeight="1">
      <c r="A32" s="473" t="s">
        <v>779</v>
      </c>
      <c r="B32" s="459"/>
      <c r="C32" s="384" t="s">
        <v>1061</v>
      </c>
      <c r="D32" s="461">
        <f>IFERROR(__xludf.DUMMYFUNCTION("""COMPUTED_VALUE"""),0.0)</f>
        <v>0</v>
      </c>
      <c r="E32" s="461">
        <f>IFERROR(__xludf.DUMMYFUNCTION("""COMPUTED_VALUE"""),0.0)</f>
        <v>0</v>
      </c>
      <c r="F32" s="461">
        <f>IFERROR(__xludf.DUMMYFUNCTION("""COMPUTED_VALUE"""),0.0)</f>
        <v>0</v>
      </c>
      <c r="G32" s="461">
        <f>IFERROR(__xludf.DUMMYFUNCTION("""COMPUTED_VALUE"""),0.0)</f>
        <v>0</v>
      </c>
      <c r="H32" s="461">
        <f>IFERROR(__xludf.DUMMYFUNCTION("""COMPUTED_VALUE"""),0.0)</f>
        <v>0</v>
      </c>
      <c r="I32" s="461">
        <f>IFERROR(__xludf.DUMMYFUNCTION("""COMPUTED_VALUE"""),0.0)</f>
        <v>0</v>
      </c>
      <c r="J32" s="461">
        <f>IFERROR(__xludf.DUMMYFUNCTION("""COMPUTED_VALUE"""),0.0)</f>
        <v>0</v>
      </c>
      <c r="K32" s="461">
        <f>IFERROR(__xludf.DUMMYFUNCTION("""COMPUTED_VALUE"""),0.0)</f>
        <v>0</v>
      </c>
      <c r="L32" s="461">
        <f>IFERROR(__xludf.DUMMYFUNCTION("""COMPUTED_VALUE"""),0.0)</f>
        <v>0</v>
      </c>
      <c r="M32" s="461">
        <f>IFERROR(__xludf.DUMMYFUNCTION("""COMPUTED_VALUE"""),0.0)</f>
        <v>0</v>
      </c>
      <c r="N32" s="461">
        <f>IFERROR(__xludf.DUMMYFUNCTION("""COMPUTED_VALUE"""),0.0)</f>
        <v>0</v>
      </c>
      <c r="O32" s="461">
        <f>IFERROR(__xludf.DUMMYFUNCTION("""COMPUTED_VALUE"""),0.0)</f>
        <v>0</v>
      </c>
      <c r="P32" s="461">
        <f t="shared" si="3"/>
        <v>0</v>
      </c>
    </row>
    <row r="33" ht="14.25" customHeight="1">
      <c r="A33" s="473" t="s">
        <v>267</v>
      </c>
      <c r="B33" s="477"/>
      <c r="C33" s="384" t="s">
        <v>102</v>
      </c>
      <c r="D33" s="461">
        <f>IFERROR(__xludf.DUMMYFUNCTION("""COMPUTED_VALUE"""),43046.255099999995)</f>
        <v>43046.2551</v>
      </c>
      <c r="E33" s="461">
        <f>IFERROR(__xludf.DUMMYFUNCTION("""COMPUTED_VALUE"""),50053.785)</f>
        <v>50053.785</v>
      </c>
      <c r="F33" s="461">
        <f>IFERROR(__xludf.DUMMYFUNCTION("""COMPUTED_VALUE"""),49052.7093)</f>
        <v>49052.7093</v>
      </c>
      <c r="G33" s="461">
        <f>IFERROR(__xludf.DUMMYFUNCTION("""COMPUTED_VALUE"""),51305.129625)</f>
        <v>51305.12963</v>
      </c>
      <c r="H33" s="461">
        <f>IFERROR(__xludf.DUMMYFUNCTION("""COMPUTED_VALUE"""),46049.4822)</f>
        <v>46049.4822</v>
      </c>
      <c r="I33" s="461">
        <f>IFERROR(__xludf.DUMMYFUNCTION("""COMPUTED_VALUE"""),46049.4822)</f>
        <v>46049.4822</v>
      </c>
      <c r="J33" s="461">
        <f>IFERROR(__xludf.DUMMYFUNCTION("""COMPUTED_VALUE"""),43646.900519999996)</f>
        <v>43646.90052</v>
      </c>
      <c r="K33" s="461">
        <f>IFERROR(__xludf.DUMMYFUNCTION("""COMPUTED_VALUE"""),53006.958315)</f>
        <v>53006.95832</v>
      </c>
      <c r="L33" s="461">
        <f>IFERROR(__xludf.DUMMYFUNCTION("""COMPUTED_VALUE"""),47701.257105000004)</f>
        <v>47701.25711</v>
      </c>
      <c r="M33" s="461">
        <f>IFERROR(__xludf.DUMMYFUNCTION("""COMPUTED_VALUE"""),51305.129625)</f>
        <v>51305.12963</v>
      </c>
      <c r="N33" s="461">
        <f>IFERROR(__xludf.DUMMYFUNCTION("""COMPUTED_VALUE"""),52456.36668000001)</f>
        <v>52456.36668</v>
      </c>
      <c r="O33" s="461">
        <f>IFERROR(__xludf.DUMMYFUNCTION("""COMPUTED_VALUE"""),35788.456275)</f>
        <v>35788.45628</v>
      </c>
      <c r="P33" s="461">
        <f t="shared" si="3"/>
        <v>569461.9119</v>
      </c>
    </row>
    <row r="34" ht="14.25" customHeight="1">
      <c r="A34" s="473" t="s">
        <v>781</v>
      </c>
      <c r="B34" s="459"/>
      <c r="C34" s="384" t="s">
        <v>104</v>
      </c>
      <c r="D34" s="461">
        <f>IFERROR(__xludf.DUMMYFUNCTION("""COMPUTED_VALUE"""),63519.40906350002)</f>
        <v>63519.40906</v>
      </c>
      <c r="E34" s="461">
        <f>IFERROR(__xludf.DUMMYFUNCTION("""COMPUTED_VALUE"""),80016.026766)</f>
        <v>80016.02677</v>
      </c>
      <c r="F34" s="461">
        <f>IFERROR(__xludf.DUMMYFUNCTION("""COMPUTED_VALUE"""),63965.263596)</f>
        <v>63965.2636</v>
      </c>
      <c r="G34" s="461">
        <f>IFERROR(__xludf.DUMMYFUNCTION("""COMPUTED_VALUE"""),0.0)</f>
        <v>0</v>
      </c>
      <c r="H34" s="461">
        <f>IFERROR(__xludf.DUMMYFUNCTION("""COMPUTED_VALUE"""),32089.481563500005)</f>
        <v>32089.48156</v>
      </c>
      <c r="I34" s="461">
        <f>IFERROR(__xludf.DUMMYFUNCTION("""COMPUTED_VALUE"""),39635.089652250004)</f>
        <v>39635.08965</v>
      </c>
      <c r="J34" s="461">
        <f>IFERROR(__xludf.DUMMYFUNCTION("""COMPUTED_VALUE"""),63965.263596)</f>
        <v>63965.2636</v>
      </c>
      <c r="K34" s="461">
        <f>IFERROR(__xludf.DUMMYFUNCTION("""COMPUTED_VALUE"""),81130.66309725001)</f>
        <v>81130.6631</v>
      </c>
      <c r="L34" s="461">
        <f>IFERROR(__xludf.DUMMYFUNCTION("""COMPUTED_VALUE"""),63519.40906350002)</f>
        <v>63519.40906</v>
      </c>
      <c r="M34" s="461">
        <f>IFERROR(__xludf.DUMMYFUNCTION("""COMPUTED_VALUE"""),64113.88177350002)</f>
        <v>64113.88177</v>
      </c>
      <c r="N34" s="461">
        <f>IFERROR(__xludf.DUMMYFUNCTION("""COMPUTED_VALUE"""),78083.99045849999)</f>
        <v>78083.99046</v>
      </c>
      <c r="O34" s="461">
        <f>IFERROR(__xludf.DUMMYFUNCTION("""COMPUTED_VALUE"""),7653.83614125)</f>
        <v>7653.836141</v>
      </c>
      <c r="P34" s="461">
        <f t="shared" si="3"/>
        <v>637692.3148</v>
      </c>
    </row>
    <row r="35" ht="14.25" customHeight="1">
      <c r="A35" s="473" t="s">
        <v>783</v>
      </c>
      <c r="B35" s="459"/>
      <c r="C35" s="384" t="s">
        <v>784</v>
      </c>
      <c r="D35" s="461">
        <f>IFERROR(__xludf.DUMMYFUNCTION("""COMPUTED_VALUE"""),0.0)</f>
        <v>0</v>
      </c>
      <c r="E35" s="461">
        <f>IFERROR(__xludf.DUMMYFUNCTION("""COMPUTED_VALUE"""),0.0)</f>
        <v>0</v>
      </c>
      <c r="F35" s="461">
        <f>IFERROR(__xludf.DUMMYFUNCTION("""COMPUTED_VALUE"""),0.0)</f>
        <v>0</v>
      </c>
      <c r="G35" s="461">
        <f>IFERROR(__xludf.DUMMYFUNCTION("""COMPUTED_VALUE"""),0.0)</f>
        <v>0</v>
      </c>
      <c r="H35" s="461">
        <f>IFERROR(__xludf.DUMMYFUNCTION("""COMPUTED_VALUE"""),0.0)</f>
        <v>0</v>
      </c>
      <c r="I35" s="461">
        <f>IFERROR(__xludf.DUMMYFUNCTION("""COMPUTED_VALUE"""),0.0)</f>
        <v>0</v>
      </c>
      <c r="J35" s="461">
        <f>IFERROR(__xludf.DUMMYFUNCTION("""COMPUTED_VALUE"""),0.0)</f>
        <v>0</v>
      </c>
      <c r="K35" s="461">
        <f>IFERROR(__xludf.DUMMYFUNCTION("""COMPUTED_VALUE"""),0.0)</f>
        <v>0</v>
      </c>
      <c r="L35" s="461">
        <f>IFERROR(__xludf.DUMMYFUNCTION("""COMPUTED_VALUE"""),0.0)</f>
        <v>0</v>
      </c>
      <c r="M35" s="461">
        <f>IFERROR(__xludf.DUMMYFUNCTION("""COMPUTED_VALUE"""),0.0)</f>
        <v>0</v>
      </c>
      <c r="N35" s="461">
        <f>IFERROR(__xludf.DUMMYFUNCTION("""COMPUTED_VALUE"""),0.0)</f>
        <v>0</v>
      </c>
      <c r="O35" s="461">
        <f>IFERROR(__xludf.DUMMYFUNCTION("""COMPUTED_VALUE"""),0.0)</f>
        <v>0</v>
      </c>
      <c r="P35" s="461">
        <f t="shared" si="3"/>
        <v>0</v>
      </c>
    </row>
    <row r="36" ht="14.25" customHeight="1">
      <c r="A36" s="473" t="s">
        <v>34</v>
      </c>
      <c r="B36" s="459"/>
      <c r="C36" s="474" t="s">
        <v>35</v>
      </c>
      <c r="D36" s="461">
        <f>IFERROR(__xludf.DUMMYFUNCTION("""COMPUTED_VALUE"""),0.0)</f>
        <v>0</v>
      </c>
      <c r="E36" s="461">
        <f>IFERROR(__xludf.DUMMYFUNCTION("""COMPUTED_VALUE"""),0.0)</f>
        <v>0</v>
      </c>
      <c r="F36" s="461">
        <f>IFERROR(__xludf.DUMMYFUNCTION("""COMPUTED_VALUE"""),0.0)</f>
        <v>0</v>
      </c>
      <c r="G36" s="461">
        <f>IFERROR(__xludf.DUMMYFUNCTION("""COMPUTED_VALUE"""),0.0)</f>
        <v>0</v>
      </c>
      <c r="H36" s="461">
        <f>IFERROR(__xludf.DUMMYFUNCTION("""COMPUTED_VALUE"""),0.0)</f>
        <v>0</v>
      </c>
      <c r="I36" s="461">
        <f>IFERROR(__xludf.DUMMYFUNCTION("""COMPUTED_VALUE"""),0.0)</f>
        <v>0</v>
      </c>
      <c r="J36" s="461">
        <f>IFERROR(__xludf.DUMMYFUNCTION("""COMPUTED_VALUE"""),0.0)</f>
        <v>0</v>
      </c>
      <c r="K36" s="461">
        <f>IFERROR(__xludf.DUMMYFUNCTION("""COMPUTED_VALUE"""),0.0)</f>
        <v>0</v>
      </c>
      <c r="L36" s="461">
        <f>IFERROR(__xludf.DUMMYFUNCTION("""COMPUTED_VALUE"""),0.0)</f>
        <v>0</v>
      </c>
      <c r="M36" s="461">
        <f>IFERROR(__xludf.DUMMYFUNCTION("""COMPUTED_VALUE"""),0.0)</f>
        <v>0</v>
      </c>
      <c r="N36" s="461">
        <f>IFERROR(__xludf.DUMMYFUNCTION("""COMPUTED_VALUE"""),0.0)</f>
        <v>0</v>
      </c>
      <c r="O36" s="461">
        <f>IFERROR(__xludf.DUMMYFUNCTION("""COMPUTED_VALUE"""),0.0)</f>
        <v>0</v>
      </c>
      <c r="P36" s="461">
        <f t="shared" si="3"/>
        <v>0</v>
      </c>
    </row>
    <row r="37" ht="14.25" customHeight="1">
      <c r="A37" s="473" t="s">
        <v>786</v>
      </c>
      <c r="B37" s="477"/>
      <c r="C37" s="384" t="s">
        <v>1062</v>
      </c>
      <c r="D37" s="461">
        <f>IFERROR(__xludf.DUMMYFUNCTION("""COMPUTED_VALUE"""),0.0)</f>
        <v>0</v>
      </c>
      <c r="E37" s="461">
        <f>IFERROR(__xludf.DUMMYFUNCTION("""COMPUTED_VALUE"""),0.0)</f>
        <v>0</v>
      </c>
      <c r="F37" s="461">
        <f>IFERROR(__xludf.DUMMYFUNCTION("""COMPUTED_VALUE"""),0.0)</f>
        <v>0</v>
      </c>
      <c r="G37" s="461">
        <f>IFERROR(__xludf.DUMMYFUNCTION("""COMPUTED_VALUE"""),0.0)</f>
        <v>0</v>
      </c>
      <c r="H37" s="461">
        <f>IFERROR(__xludf.DUMMYFUNCTION("""COMPUTED_VALUE"""),0.0)</f>
        <v>0</v>
      </c>
      <c r="I37" s="461">
        <f>IFERROR(__xludf.DUMMYFUNCTION("""COMPUTED_VALUE"""),0.0)</f>
        <v>0</v>
      </c>
      <c r="J37" s="461">
        <f>IFERROR(__xludf.DUMMYFUNCTION("""COMPUTED_VALUE"""),0.0)</f>
        <v>0</v>
      </c>
      <c r="K37" s="461">
        <f>IFERROR(__xludf.DUMMYFUNCTION("""COMPUTED_VALUE"""),0.0)</f>
        <v>0</v>
      </c>
      <c r="L37" s="461">
        <f>IFERROR(__xludf.DUMMYFUNCTION("""COMPUTED_VALUE"""),0.0)</f>
        <v>0</v>
      </c>
      <c r="M37" s="461">
        <f>IFERROR(__xludf.DUMMYFUNCTION("""COMPUTED_VALUE"""),0.0)</f>
        <v>0</v>
      </c>
      <c r="N37" s="461">
        <f>IFERROR(__xludf.DUMMYFUNCTION("""COMPUTED_VALUE"""),0.0)</f>
        <v>0</v>
      </c>
      <c r="O37" s="461">
        <f>IFERROR(__xludf.DUMMYFUNCTION("""COMPUTED_VALUE"""),0.0)</f>
        <v>0</v>
      </c>
      <c r="P37" s="461">
        <f t="shared" si="3"/>
        <v>0</v>
      </c>
    </row>
    <row r="38" ht="14.25" customHeight="1">
      <c r="A38" s="473" t="s">
        <v>785</v>
      </c>
      <c r="B38" s="459"/>
      <c r="C38" s="384" t="s">
        <v>258</v>
      </c>
      <c r="D38" s="461">
        <f>IFERROR(__xludf.DUMMYFUNCTION("""COMPUTED_VALUE"""),0.0)</f>
        <v>0</v>
      </c>
      <c r="E38" s="461">
        <f>IFERROR(__xludf.DUMMYFUNCTION("""COMPUTED_VALUE"""),0.0)</f>
        <v>0</v>
      </c>
      <c r="F38" s="461">
        <f>IFERROR(__xludf.DUMMYFUNCTION("""COMPUTED_VALUE"""),0.0)</f>
        <v>0</v>
      </c>
      <c r="G38" s="461">
        <f>IFERROR(__xludf.DUMMYFUNCTION("""COMPUTED_VALUE"""),0.0)</f>
        <v>0</v>
      </c>
      <c r="H38" s="461">
        <f>IFERROR(__xludf.DUMMYFUNCTION("""COMPUTED_VALUE"""),0.0)</f>
        <v>0</v>
      </c>
      <c r="I38" s="461">
        <f>IFERROR(__xludf.DUMMYFUNCTION("""COMPUTED_VALUE"""),0.0)</f>
        <v>0</v>
      </c>
      <c r="J38" s="461">
        <f>IFERROR(__xludf.DUMMYFUNCTION("""COMPUTED_VALUE"""),0.0)</f>
        <v>0</v>
      </c>
      <c r="K38" s="461">
        <f>IFERROR(__xludf.DUMMYFUNCTION("""COMPUTED_VALUE"""),0.0)</f>
        <v>0</v>
      </c>
      <c r="L38" s="461">
        <f>IFERROR(__xludf.DUMMYFUNCTION("""COMPUTED_VALUE"""),0.0)</f>
        <v>0</v>
      </c>
      <c r="M38" s="461">
        <f>IFERROR(__xludf.DUMMYFUNCTION("""COMPUTED_VALUE"""),0.0)</f>
        <v>0</v>
      </c>
      <c r="N38" s="461">
        <f>IFERROR(__xludf.DUMMYFUNCTION("""COMPUTED_VALUE"""),0.0)</f>
        <v>0</v>
      </c>
      <c r="O38" s="461">
        <f>IFERROR(__xludf.DUMMYFUNCTION("""COMPUTED_VALUE"""),0.0)</f>
        <v>0</v>
      </c>
      <c r="P38" s="461">
        <f t="shared" si="3"/>
        <v>0</v>
      </c>
    </row>
    <row r="39" ht="14.25" customHeight="1">
      <c r="A39" s="463" t="s">
        <v>788</v>
      </c>
      <c r="B39" s="470"/>
      <c r="C39" s="476"/>
      <c r="D39" s="475">
        <f>IFERROR(__xludf.DUMMYFUNCTION("""COMPUTED_VALUE"""),106565.66416350001)</f>
        <v>106565.6642</v>
      </c>
      <c r="E39" s="475">
        <f>IFERROR(__xludf.DUMMYFUNCTION("""COMPUTED_VALUE"""),130069.811766)</f>
        <v>130069.8118</v>
      </c>
      <c r="F39" s="475">
        <f>IFERROR(__xludf.DUMMYFUNCTION("""COMPUTED_VALUE"""),113017.97289599999)</f>
        <v>113017.9729</v>
      </c>
      <c r="G39" s="475">
        <f>IFERROR(__xludf.DUMMYFUNCTION("""COMPUTED_VALUE"""),51305.129625)</f>
        <v>51305.12963</v>
      </c>
      <c r="H39" s="475">
        <f>IFERROR(__xludf.DUMMYFUNCTION("""COMPUTED_VALUE"""),78138.96376350001)</f>
        <v>78138.96376</v>
      </c>
      <c r="I39" s="475">
        <f>IFERROR(__xludf.DUMMYFUNCTION("""COMPUTED_VALUE"""),85684.57185225)</f>
        <v>85684.57185</v>
      </c>
      <c r="J39" s="475">
        <f>IFERROR(__xludf.DUMMYFUNCTION("""COMPUTED_VALUE"""),107612.164116)</f>
        <v>107612.1641</v>
      </c>
      <c r="K39" s="475">
        <f>IFERROR(__xludf.DUMMYFUNCTION("""COMPUTED_VALUE"""),134137.62141225)</f>
        <v>134137.6214</v>
      </c>
      <c r="L39" s="475">
        <f>IFERROR(__xludf.DUMMYFUNCTION("""COMPUTED_VALUE"""),111220.66616850003)</f>
        <v>111220.6662</v>
      </c>
      <c r="M39" s="475">
        <f>IFERROR(__xludf.DUMMYFUNCTION("""COMPUTED_VALUE"""),115419.01139850002)</f>
        <v>115419.0114</v>
      </c>
      <c r="N39" s="475">
        <f>IFERROR(__xludf.DUMMYFUNCTION("""COMPUTED_VALUE"""),130540.3571385)</f>
        <v>130540.3571</v>
      </c>
      <c r="O39" s="475">
        <f>IFERROR(__xludf.DUMMYFUNCTION("""COMPUTED_VALUE"""),43442.29241625)</f>
        <v>43442.29242</v>
      </c>
      <c r="P39" s="475">
        <f>sum(P30:P38)</f>
        <v>1207154.227</v>
      </c>
    </row>
    <row r="40" ht="14.25" customHeight="1">
      <c r="A40" s="473" t="s">
        <v>789</v>
      </c>
      <c r="B40" s="459"/>
      <c r="C40" s="384" t="s">
        <v>1063</v>
      </c>
      <c r="D40" s="461">
        <f>IFERROR(__xludf.DUMMYFUNCTION("""COMPUTED_VALUE"""),0.0)</f>
        <v>0</v>
      </c>
      <c r="E40" s="461">
        <f>IFERROR(__xludf.DUMMYFUNCTION("""COMPUTED_VALUE"""),0.0)</f>
        <v>0</v>
      </c>
      <c r="F40" s="461">
        <f>IFERROR(__xludf.DUMMYFUNCTION("""COMPUTED_VALUE"""),0.0)</f>
        <v>0</v>
      </c>
      <c r="G40" s="461">
        <f>IFERROR(__xludf.DUMMYFUNCTION("""COMPUTED_VALUE"""),0.0)</f>
        <v>0</v>
      </c>
      <c r="H40" s="461">
        <f>IFERROR(__xludf.DUMMYFUNCTION("""COMPUTED_VALUE"""),0.0)</f>
        <v>0</v>
      </c>
      <c r="I40" s="461">
        <f>IFERROR(__xludf.DUMMYFUNCTION("""COMPUTED_VALUE"""),0.0)</f>
        <v>0</v>
      </c>
      <c r="J40" s="461">
        <f>IFERROR(__xludf.DUMMYFUNCTION("""COMPUTED_VALUE"""),0.0)</f>
        <v>0</v>
      </c>
      <c r="K40" s="461">
        <f>IFERROR(__xludf.DUMMYFUNCTION("""COMPUTED_VALUE"""),0.0)</f>
        <v>0</v>
      </c>
      <c r="L40" s="461">
        <f>IFERROR(__xludf.DUMMYFUNCTION("""COMPUTED_VALUE"""),0.0)</f>
        <v>0</v>
      </c>
      <c r="M40" s="461">
        <f>IFERROR(__xludf.DUMMYFUNCTION("""COMPUTED_VALUE"""),0.0)</f>
        <v>0</v>
      </c>
      <c r="N40" s="461">
        <f>IFERROR(__xludf.DUMMYFUNCTION("""COMPUTED_VALUE"""),0.0)</f>
        <v>0</v>
      </c>
      <c r="O40" s="461">
        <f>IFERROR(__xludf.DUMMYFUNCTION("""COMPUTED_VALUE"""),0.0)</f>
        <v>0</v>
      </c>
      <c r="P40" s="461">
        <f t="shared" ref="P40:P50" si="4">sum(D40:O40)</f>
        <v>0</v>
      </c>
    </row>
    <row r="41" ht="14.25" customHeight="1">
      <c r="A41" s="473" t="s">
        <v>791</v>
      </c>
      <c r="B41" s="459"/>
      <c r="C41" s="384" t="s">
        <v>1064</v>
      </c>
      <c r="D41" s="461">
        <f>IFERROR(__xludf.DUMMYFUNCTION("""COMPUTED_VALUE"""),0.0)</f>
        <v>0</v>
      </c>
      <c r="E41" s="461">
        <f>IFERROR(__xludf.DUMMYFUNCTION("""COMPUTED_VALUE"""),0.0)</f>
        <v>0</v>
      </c>
      <c r="F41" s="461">
        <f>IFERROR(__xludf.DUMMYFUNCTION("""COMPUTED_VALUE"""),0.0)</f>
        <v>0</v>
      </c>
      <c r="G41" s="461">
        <f>IFERROR(__xludf.DUMMYFUNCTION("""COMPUTED_VALUE"""),0.0)</f>
        <v>0</v>
      </c>
      <c r="H41" s="461">
        <f>IFERROR(__xludf.DUMMYFUNCTION("""COMPUTED_VALUE"""),0.0)</f>
        <v>0</v>
      </c>
      <c r="I41" s="461">
        <f>IFERROR(__xludf.DUMMYFUNCTION("""COMPUTED_VALUE"""),0.0)</f>
        <v>0</v>
      </c>
      <c r="J41" s="461">
        <f>IFERROR(__xludf.DUMMYFUNCTION("""COMPUTED_VALUE"""),0.0)</f>
        <v>0</v>
      </c>
      <c r="K41" s="461">
        <f>IFERROR(__xludf.DUMMYFUNCTION("""COMPUTED_VALUE"""),0.0)</f>
        <v>0</v>
      </c>
      <c r="L41" s="461">
        <f>IFERROR(__xludf.DUMMYFUNCTION("""COMPUTED_VALUE"""),0.0)</f>
        <v>0</v>
      </c>
      <c r="M41" s="461">
        <f>IFERROR(__xludf.DUMMYFUNCTION("""COMPUTED_VALUE"""),0.0)</f>
        <v>0</v>
      </c>
      <c r="N41" s="461">
        <f>IFERROR(__xludf.DUMMYFUNCTION("""COMPUTED_VALUE"""),0.0)</f>
        <v>0</v>
      </c>
      <c r="O41" s="461">
        <f>IFERROR(__xludf.DUMMYFUNCTION("""COMPUTED_VALUE"""),0.0)</f>
        <v>0</v>
      </c>
      <c r="P41" s="461">
        <f t="shared" si="4"/>
        <v>0</v>
      </c>
    </row>
    <row r="42" ht="14.25" customHeight="1">
      <c r="A42" s="473" t="s">
        <v>793</v>
      </c>
      <c r="B42" s="459"/>
      <c r="C42" s="384" t="s">
        <v>1065</v>
      </c>
      <c r="D42" s="461">
        <f>IFERROR(__xludf.DUMMYFUNCTION("""COMPUTED_VALUE"""),0.0)</f>
        <v>0</v>
      </c>
      <c r="E42" s="461">
        <f>IFERROR(__xludf.DUMMYFUNCTION("""COMPUTED_VALUE"""),0.0)</f>
        <v>0</v>
      </c>
      <c r="F42" s="461">
        <f>IFERROR(__xludf.DUMMYFUNCTION("""COMPUTED_VALUE"""),0.0)</f>
        <v>0</v>
      </c>
      <c r="G42" s="461">
        <f>IFERROR(__xludf.DUMMYFUNCTION("""COMPUTED_VALUE"""),0.0)</f>
        <v>0</v>
      </c>
      <c r="H42" s="461">
        <f>IFERROR(__xludf.DUMMYFUNCTION("""COMPUTED_VALUE"""),0.0)</f>
        <v>0</v>
      </c>
      <c r="I42" s="461">
        <f>IFERROR(__xludf.DUMMYFUNCTION("""COMPUTED_VALUE"""),0.0)</f>
        <v>0</v>
      </c>
      <c r="J42" s="461">
        <f>IFERROR(__xludf.DUMMYFUNCTION("""COMPUTED_VALUE"""),0.0)</f>
        <v>0</v>
      </c>
      <c r="K42" s="461">
        <f>IFERROR(__xludf.DUMMYFUNCTION("""COMPUTED_VALUE"""),0.0)</f>
        <v>0</v>
      </c>
      <c r="L42" s="461">
        <f>IFERROR(__xludf.DUMMYFUNCTION("""COMPUTED_VALUE"""),0.0)</f>
        <v>0</v>
      </c>
      <c r="M42" s="461">
        <f>IFERROR(__xludf.DUMMYFUNCTION("""COMPUTED_VALUE"""),0.0)</f>
        <v>0</v>
      </c>
      <c r="N42" s="461">
        <f>IFERROR(__xludf.DUMMYFUNCTION("""COMPUTED_VALUE"""),0.0)</f>
        <v>0</v>
      </c>
      <c r="O42" s="461">
        <f>IFERROR(__xludf.DUMMYFUNCTION("""COMPUTED_VALUE"""),0.0)</f>
        <v>0</v>
      </c>
      <c r="P42" s="461">
        <f t="shared" si="4"/>
        <v>0</v>
      </c>
    </row>
    <row r="43" ht="14.25" customHeight="1">
      <c r="A43" s="473" t="s">
        <v>795</v>
      </c>
      <c r="B43" s="459"/>
      <c r="C43" s="384" t="s">
        <v>1066</v>
      </c>
      <c r="D43" s="461">
        <f>IFERROR(__xludf.DUMMYFUNCTION("""COMPUTED_VALUE"""),0.0)</f>
        <v>0</v>
      </c>
      <c r="E43" s="461">
        <f>IFERROR(__xludf.DUMMYFUNCTION("""COMPUTED_VALUE"""),0.0)</f>
        <v>0</v>
      </c>
      <c r="F43" s="461">
        <f>IFERROR(__xludf.DUMMYFUNCTION("""COMPUTED_VALUE"""),0.0)</f>
        <v>0</v>
      </c>
      <c r="G43" s="461">
        <f>IFERROR(__xludf.DUMMYFUNCTION("""COMPUTED_VALUE"""),0.0)</f>
        <v>0</v>
      </c>
      <c r="H43" s="461">
        <f>IFERROR(__xludf.DUMMYFUNCTION("""COMPUTED_VALUE"""),0.0)</f>
        <v>0</v>
      </c>
      <c r="I43" s="461">
        <f>IFERROR(__xludf.DUMMYFUNCTION("""COMPUTED_VALUE"""),0.0)</f>
        <v>0</v>
      </c>
      <c r="J43" s="461">
        <f>IFERROR(__xludf.DUMMYFUNCTION("""COMPUTED_VALUE"""),0.0)</f>
        <v>0</v>
      </c>
      <c r="K43" s="461">
        <f>IFERROR(__xludf.DUMMYFUNCTION("""COMPUTED_VALUE"""),0.0)</f>
        <v>0</v>
      </c>
      <c r="L43" s="461">
        <f>IFERROR(__xludf.DUMMYFUNCTION("""COMPUTED_VALUE"""),0.0)</f>
        <v>0</v>
      </c>
      <c r="M43" s="461">
        <f>IFERROR(__xludf.DUMMYFUNCTION("""COMPUTED_VALUE"""),0.0)</f>
        <v>0</v>
      </c>
      <c r="N43" s="461">
        <f>IFERROR(__xludf.DUMMYFUNCTION("""COMPUTED_VALUE"""),0.0)</f>
        <v>0</v>
      </c>
      <c r="O43" s="461">
        <f>IFERROR(__xludf.DUMMYFUNCTION("""COMPUTED_VALUE"""),0.0)</f>
        <v>0</v>
      </c>
      <c r="P43" s="461">
        <f t="shared" si="4"/>
        <v>0</v>
      </c>
    </row>
    <row r="44" ht="14.25" customHeight="1">
      <c r="A44" s="473" t="s">
        <v>797</v>
      </c>
      <c r="B44" s="459"/>
      <c r="C44" s="384" t="s">
        <v>1067</v>
      </c>
      <c r="D44" s="461">
        <f>IFERROR(__xludf.DUMMYFUNCTION("""COMPUTED_VALUE"""),0.0)</f>
        <v>0</v>
      </c>
      <c r="E44" s="461">
        <f>IFERROR(__xludf.DUMMYFUNCTION("""COMPUTED_VALUE"""),0.0)</f>
        <v>0</v>
      </c>
      <c r="F44" s="461">
        <f>IFERROR(__xludf.DUMMYFUNCTION("""COMPUTED_VALUE"""),0.0)</f>
        <v>0</v>
      </c>
      <c r="G44" s="461">
        <f>IFERROR(__xludf.DUMMYFUNCTION("""COMPUTED_VALUE"""),0.0)</f>
        <v>0</v>
      </c>
      <c r="H44" s="461">
        <f>IFERROR(__xludf.DUMMYFUNCTION("""COMPUTED_VALUE"""),0.0)</f>
        <v>0</v>
      </c>
      <c r="I44" s="461">
        <f>IFERROR(__xludf.DUMMYFUNCTION("""COMPUTED_VALUE"""),0.0)</f>
        <v>0</v>
      </c>
      <c r="J44" s="461">
        <f>IFERROR(__xludf.DUMMYFUNCTION("""COMPUTED_VALUE"""),0.0)</f>
        <v>0</v>
      </c>
      <c r="K44" s="461">
        <f>IFERROR(__xludf.DUMMYFUNCTION("""COMPUTED_VALUE"""),0.0)</f>
        <v>0</v>
      </c>
      <c r="L44" s="461">
        <f>IFERROR(__xludf.DUMMYFUNCTION("""COMPUTED_VALUE"""),0.0)</f>
        <v>0</v>
      </c>
      <c r="M44" s="461">
        <f>IFERROR(__xludf.DUMMYFUNCTION("""COMPUTED_VALUE"""),0.0)</f>
        <v>0</v>
      </c>
      <c r="N44" s="461">
        <f>IFERROR(__xludf.DUMMYFUNCTION("""COMPUTED_VALUE"""),0.0)</f>
        <v>0</v>
      </c>
      <c r="O44" s="461">
        <f>IFERROR(__xludf.DUMMYFUNCTION("""COMPUTED_VALUE"""),0.0)</f>
        <v>0</v>
      </c>
      <c r="P44" s="461">
        <f t="shared" si="4"/>
        <v>0</v>
      </c>
    </row>
    <row r="45" ht="14.25" customHeight="1">
      <c r="A45" s="473" t="s">
        <v>799</v>
      </c>
      <c r="B45" s="459"/>
      <c r="C45" s="384" t="s">
        <v>1068</v>
      </c>
      <c r="D45" s="461">
        <f>IFERROR(__xludf.DUMMYFUNCTION("""COMPUTED_VALUE"""),0.0)</f>
        <v>0</v>
      </c>
      <c r="E45" s="461">
        <f>IFERROR(__xludf.DUMMYFUNCTION("""COMPUTED_VALUE"""),0.0)</f>
        <v>0</v>
      </c>
      <c r="F45" s="461">
        <f>IFERROR(__xludf.DUMMYFUNCTION("""COMPUTED_VALUE"""),0.0)</f>
        <v>0</v>
      </c>
      <c r="G45" s="461">
        <f>IFERROR(__xludf.DUMMYFUNCTION("""COMPUTED_VALUE"""),0.0)</f>
        <v>0</v>
      </c>
      <c r="H45" s="461">
        <f>IFERROR(__xludf.DUMMYFUNCTION("""COMPUTED_VALUE"""),0.0)</f>
        <v>0</v>
      </c>
      <c r="I45" s="461">
        <f>IFERROR(__xludf.DUMMYFUNCTION("""COMPUTED_VALUE"""),0.0)</f>
        <v>0</v>
      </c>
      <c r="J45" s="461">
        <f>IFERROR(__xludf.DUMMYFUNCTION("""COMPUTED_VALUE"""),0.0)</f>
        <v>0</v>
      </c>
      <c r="K45" s="461">
        <f>IFERROR(__xludf.DUMMYFUNCTION("""COMPUTED_VALUE"""),0.0)</f>
        <v>0</v>
      </c>
      <c r="L45" s="461">
        <f>IFERROR(__xludf.DUMMYFUNCTION("""COMPUTED_VALUE"""),0.0)</f>
        <v>0</v>
      </c>
      <c r="M45" s="461">
        <f>IFERROR(__xludf.DUMMYFUNCTION("""COMPUTED_VALUE"""),0.0)</f>
        <v>0</v>
      </c>
      <c r="N45" s="461">
        <f>IFERROR(__xludf.DUMMYFUNCTION("""COMPUTED_VALUE"""),0.0)</f>
        <v>0</v>
      </c>
      <c r="O45" s="461">
        <f>IFERROR(__xludf.DUMMYFUNCTION("""COMPUTED_VALUE"""),0.0)</f>
        <v>0</v>
      </c>
      <c r="P45" s="461">
        <f t="shared" si="4"/>
        <v>0</v>
      </c>
    </row>
    <row r="46" ht="14.25" customHeight="1">
      <c r="A46" s="473" t="s">
        <v>801</v>
      </c>
      <c r="B46" s="459"/>
      <c r="C46" s="384" t="s">
        <v>1069</v>
      </c>
      <c r="D46" s="461">
        <f>IFERROR(__xludf.DUMMYFUNCTION("""COMPUTED_VALUE"""),0.0)</f>
        <v>0</v>
      </c>
      <c r="E46" s="461">
        <f>IFERROR(__xludf.DUMMYFUNCTION("""COMPUTED_VALUE"""),0.0)</f>
        <v>0</v>
      </c>
      <c r="F46" s="461">
        <f>IFERROR(__xludf.DUMMYFUNCTION("""COMPUTED_VALUE"""),0.0)</f>
        <v>0</v>
      </c>
      <c r="G46" s="461">
        <f>IFERROR(__xludf.DUMMYFUNCTION("""COMPUTED_VALUE"""),0.0)</f>
        <v>0</v>
      </c>
      <c r="H46" s="461">
        <f>IFERROR(__xludf.DUMMYFUNCTION("""COMPUTED_VALUE"""),0.0)</f>
        <v>0</v>
      </c>
      <c r="I46" s="461">
        <f>IFERROR(__xludf.DUMMYFUNCTION("""COMPUTED_VALUE"""),0.0)</f>
        <v>0</v>
      </c>
      <c r="J46" s="461">
        <f>IFERROR(__xludf.DUMMYFUNCTION("""COMPUTED_VALUE"""),0.0)</f>
        <v>0</v>
      </c>
      <c r="K46" s="461">
        <f>IFERROR(__xludf.DUMMYFUNCTION("""COMPUTED_VALUE"""),0.0)</f>
        <v>0</v>
      </c>
      <c r="L46" s="461">
        <f>IFERROR(__xludf.DUMMYFUNCTION("""COMPUTED_VALUE"""),0.0)</f>
        <v>0</v>
      </c>
      <c r="M46" s="461">
        <f>IFERROR(__xludf.DUMMYFUNCTION("""COMPUTED_VALUE"""),0.0)</f>
        <v>0</v>
      </c>
      <c r="N46" s="461">
        <f>IFERROR(__xludf.DUMMYFUNCTION("""COMPUTED_VALUE"""),0.0)</f>
        <v>0</v>
      </c>
      <c r="O46" s="461">
        <f>IFERROR(__xludf.DUMMYFUNCTION("""COMPUTED_VALUE"""),0.0)</f>
        <v>0</v>
      </c>
      <c r="P46" s="461">
        <f t="shared" si="4"/>
        <v>0</v>
      </c>
    </row>
    <row r="47" ht="14.25" customHeight="1">
      <c r="A47" s="473" t="s">
        <v>803</v>
      </c>
      <c r="B47" s="459"/>
      <c r="C47" s="474" t="s">
        <v>1070</v>
      </c>
      <c r="D47" s="461">
        <f>IFERROR(__xludf.DUMMYFUNCTION("""COMPUTED_VALUE"""),0.0)</f>
        <v>0</v>
      </c>
      <c r="E47" s="461">
        <f>IFERROR(__xludf.DUMMYFUNCTION("""COMPUTED_VALUE"""),0.0)</f>
        <v>0</v>
      </c>
      <c r="F47" s="461">
        <f>IFERROR(__xludf.DUMMYFUNCTION("""COMPUTED_VALUE"""),0.0)</f>
        <v>0</v>
      </c>
      <c r="G47" s="461">
        <f>IFERROR(__xludf.DUMMYFUNCTION("""COMPUTED_VALUE"""),0.0)</f>
        <v>0</v>
      </c>
      <c r="H47" s="461">
        <f>IFERROR(__xludf.DUMMYFUNCTION("""COMPUTED_VALUE"""),0.0)</f>
        <v>0</v>
      </c>
      <c r="I47" s="461">
        <f>IFERROR(__xludf.DUMMYFUNCTION("""COMPUTED_VALUE"""),0.0)</f>
        <v>0</v>
      </c>
      <c r="J47" s="461">
        <f>IFERROR(__xludf.DUMMYFUNCTION("""COMPUTED_VALUE"""),0.0)</f>
        <v>0</v>
      </c>
      <c r="K47" s="461">
        <f>IFERROR(__xludf.DUMMYFUNCTION("""COMPUTED_VALUE"""),0.0)</f>
        <v>0</v>
      </c>
      <c r="L47" s="461">
        <f>IFERROR(__xludf.DUMMYFUNCTION("""COMPUTED_VALUE"""),0.0)</f>
        <v>0</v>
      </c>
      <c r="M47" s="461">
        <f>IFERROR(__xludf.DUMMYFUNCTION("""COMPUTED_VALUE"""),0.0)</f>
        <v>0</v>
      </c>
      <c r="N47" s="461">
        <f>IFERROR(__xludf.DUMMYFUNCTION("""COMPUTED_VALUE"""),0.0)</f>
        <v>0</v>
      </c>
      <c r="O47" s="461">
        <f>IFERROR(__xludf.DUMMYFUNCTION("""COMPUTED_VALUE"""),0.0)</f>
        <v>0</v>
      </c>
      <c r="P47" s="461">
        <f t="shared" si="4"/>
        <v>0</v>
      </c>
    </row>
    <row r="48" ht="14.25" customHeight="1">
      <c r="A48" s="473" t="s">
        <v>805</v>
      </c>
      <c r="B48" s="477"/>
      <c r="C48" s="384" t="s">
        <v>806</v>
      </c>
      <c r="D48" s="461">
        <f>IFERROR(__xludf.DUMMYFUNCTION("""COMPUTED_VALUE"""),0.0)</f>
        <v>0</v>
      </c>
      <c r="E48" s="461">
        <f>IFERROR(__xludf.DUMMYFUNCTION("""COMPUTED_VALUE"""),0.0)</f>
        <v>0</v>
      </c>
      <c r="F48" s="461">
        <f>IFERROR(__xludf.DUMMYFUNCTION("""COMPUTED_VALUE"""),0.0)</f>
        <v>0</v>
      </c>
      <c r="G48" s="461">
        <f>IFERROR(__xludf.DUMMYFUNCTION("""COMPUTED_VALUE"""),0.0)</f>
        <v>0</v>
      </c>
      <c r="H48" s="461">
        <f>IFERROR(__xludf.DUMMYFUNCTION("""COMPUTED_VALUE"""),0.0)</f>
        <v>0</v>
      </c>
      <c r="I48" s="461">
        <f>IFERROR(__xludf.DUMMYFUNCTION("""COMPUTED_VALUE"""),0.0)</f>
        <v>0</v>
      </c>
      <c r="J48" s="461">
        <f>IFERROR(__xludf.DUMMYFUNCTION("""COMPUTED_VALUE"""),0.0)</f>
        <v>0</v>
      </c>
      <c r="K48" s="461">
        <f>IFERROR(__xludf.DUMMYFUNCTION("""COMPUTED_VALUE"""),0.0)</f>
        <v>0</v>
      </c>
      <c r="L48" s="461">
        <f>IFERROR(__xludf.DUMMYFUNCTION("""COMPUTED_VALUE"""),0.0)</f>
        <v>0</v>
      </c>
      <c r="M48" s="461">
        <f>IFERROR(__xludf.DUMMYFUNCTION("""COMPUTED_VALUE"""),0.0)</f>
        <v>0</v>
      </c>
      <c r="N48" s="461">
        <f>IFERROR(__xludf.DUMMYFUNCTION("""COMPUTED_VALUE"""),0.0)</f>
        <v>0</v>
      </c>
      <c r="O48" s="461">
        <f>IFERROR(__xludf.DUMMYFUNCTION("""COMPUTED_VALUE"""),0.0)</f>
        <v>0</v>
      </c>
      <c r="P48" s="461">
        <f t="shared" si="4"/>
        <v>0</v>
      </c>
    </row>
    <row r="49" ht="14.25" customHeight="1">
      <c r="A49" s="473" t="s">
        <v>807</v>
      </c>
      <c r="B49" s="459"/>
      <c r="C49" s="384" t="s">
        <v>808</v>
      </c>
      <c r="D49" s="461">
        <f>IFERROR(__xludf.DUMMYFUNCTION("""COMPUTED_VALUE"""),0.0)</f>
        <v>0</v>
      </c>
      <c r="E49" s="461">
        <f>IFERROR(__xludf.DUMMYFUNCTION("""COMPUTED_VALUE"""),0.0)</f>
        <v>0</v>
      </c>
      <c r="F49" s="461">
        <f>IFERROR(__xludf.DUMMYFUNCTION("""COMPUTED_VALUE"""),0.0)</f>
        <v>0</v>
      </c>
      <c r="G49" s="461">
        <f>IFERROR(__xludf.DUMMYFUNCTION("""COMPUTED_VALUE"""),0.0)</f>
        <v>0</v>
      </c>
      <c r="H49" s="461">
        <f>IFERROR(__xludf.DUMMYFUNCTION("""COMPUTED_VALUE"""),0.0)</f>
        <v>0</v>
      </c>
      <c r="I49" s="461">
        <f>IFERROR(__xludf.DUMMYFUNCTION("""COMPUTED_VALUE"""),0.0)</f>
        <v>0</v>
      </c>
      <c r="J49" s="461">
        <f>IFERROR(__xludf.DUMMYFUNCTION("""COMPUTED_VALUE"""),0.0)</f>
        <v>0</v>
      </c>
      <c r="K49" s="461">
        <f>IFERROR(__xludf.DUMMYFUNCTION("""COMPUTED_VALUE"""),0.0)</f>
        <v>0</v>
      </c>
      <c r="L49" s="461">
        <f>IFERROR(__xludf.DUMMYFUNCTION("""COMPUTED_VALUE"""),0.0)</f>
        <v>0</v>
      </c>
      <c r="M49" s="461">
        <f>IFERROR(__xludf.DUMMYFUNCTION("""COMPUTED_VALUE"""),0.0)</f>
        <v>0</v>
      </c>
      <c r="N49" s="461">
        <f>IFERROR(__xludf.DUMMYFUNCTION("""COMPUTED_VALUE"""),0.0)</f>
        <v>0</v>
      </c>
      <c r="O49" s="461">
        <f>IFERROR(__xludf.DUMMYFUNCTION("""COMPUTED_VALUE"""),0.0)</f>
        <v>0</v>
      </c>
      <c r="P49" s="461">
        <f t="shared" si="4"/>
        <v>0</v>
      </c>
    </row>
    <row r="50" ht="14.25" customHeight="1">
      <c r="A50" s="473" t="s">
        <v>1071</v>
      </c>
      <c r="B50" s="459"/>
      <c r="C50" s="384" t="s">
        <v>1072</v>
      </c>
      <c r="D50" s="461">
        <f>IFERROR(__xludf.DUMMYFUNCTION("""COMPUTED_VALUE"""),0.0)</f>
        <v>0</v>
      </c>
      <c r="E50" s="461">
        <f>IFERROR(__xludf.DUMMYFUNCTION("""COMPUTED_VALUE"""),0.0)</f>
        <v>0</v>
      </c>
      <c r="F50" s="461">
        <f>IFERROR(__xludf.DUMMYFUNCTION("""COMPUTED_VALUE"""),0.0)</f>
        <v>0</v>
      </c>
      <c r="G50" s="461">
        <f>IFERROR(__xludf.DUMMYFUNCTION("""COMPUTED_VALUE"""),0.0)</f>
        <v>0</v>
      </c>
      <c r="H50" s="461">
        <f>IFERROR(__xludf.DUMMYFUNCTION("""COMPUTED_VALUE"""),0.0)</f>
        <v>0</v>
      </c>
      <c r="I50" s="461">
        <f>IFERROR(__xludf.DUMMYFUNCTION("""COMPUTED_VALUE"""),0.0)</f>
        <v>0</v>
      </c>
      <c r="J50" s="461">
        <f>IFERROR(__xludf.DUMMYFUNCTION("""COMPUTED_VALUE"""),0.0)</f>
        <v>0</v>
      </c>
      <c r="K50" s="461">
        <f>IFERROR(__xludf.DUMMYFUNCTION("""COMPUTED_VALUE"""),0.0)</f>
        <v>0</v>
      </c>
      <c r="L50" s="461">
        <f>IFERROR(__xludf.DUMMYFUNCTION("""COMPUTED_VALUE"""),0.0)</f>
        <v>0</v>
      </c>
      <c r="M50" s="461">
        <f>IFERROR(__xludf.DUMMYFUNCTION("""COMPUTED_VALUE"""),0.0)</f>
        <v>0</v>
      </c>
      <c r="N50" s="461">
        <f>IFERROR(__xludf.DUMMYFUNCTION("""COMPUTED_VALUE"""),0.0)</f>
        <v>0</v>
      </c>
      <c r="O50" s="461">
        <f>IFERROR(__xludf.DUMMYFUNCTION("""COMPUTED_VALUE"""),0.0)</f>
        <v>0</v>
      </c>
      <c r="P50" s="461">
        <f t="shared" si="4"/>
        <v>0</v>
      </c>
    </row>
    <row r="51" ht="14.25" customHeight="1">
      <c r="A51" s="463" t="s">
        <v>809</v>
      </c>
      <c r="B51" s="470"/>
      <c r="C51" s="476"/>
      <c r="D51" s="475">
        <f>IFERROR(__xludf.DUMMYFUNCTION("""COMPUTED_VALUE"""),0.0)</f>
        <v>0</v>
      </c>
      <c r="E51" s="475">
        <f>IFERROR(__xludf.DUMMYFUNCTION("""COMPUTED_VALUE"""),0.0)</f>
        <v>0</v>
      </c>
      <c r="F51" s="475">
        <f>IFERROR(__xludf.DUMMYFUNCTION("""COMPUTED_VALUE"""),0.0)</f>
        <v>0</v>
      </c>
      <c r="G51" s="475">
        <f>IFERROR(__xludf.DUMMYFUNCTION("""COMPUTED_VALUE"""),0.0)</f>
        <v>0</v>
      </c>
      <c r="H51" s="475">
        <f>IFERROR(__xludf.DUMMYFUNCTION("""COMPUTED_VALUE"""),0.0)</f>
        <v>0</v>
      </c>
      <c r="I51" s="475">
        <f>IFERROR(__xludf.DUMMYFUNCTION("""COMPUTED_VALUE"""),0.0)</f>
        <v>0</v>
      </c>
      <c r="J51" s="475">
        <f>IFERROR(__xludf.DUMMYFUNCTION("""COMPUTED_VALUE"""),0.0)</f>
        <v>0</v>
      </c>
      <c r="K51" s="475">
        <f>IFERROR(__xludf.DUMMYFUNCTION("""COMPUTED_VALUE"""),0.0)</f>
        <v>0</v>
      </c>
      <c r="L51" s="475">
        <f>IFERROR(__xludf.DUMMYFUNCTION("""COMPUTED_VALUE"""),0.0)</f>
        <v>0</v>
      </c>
      <c r="M51" s="475">
        <f>IFERROR(__xludf.DUMMYFUNCTION("""COMPUTED_VALUE"""),0.0)</f>
        <v>0</v>
      </c>
      <c r="N51" s="475">
        <f>IFERROR(__xludf.DUMMYFUNCTION("""COMPUTED_VALUE"""),0.0)</f>
        <v>0</v>
      </c>
      <c r="O51" s="475">
        <f>IFERROR(__xludf.DUMMYFUNCTION("""COMPUTED_VALUE"""),0.0)</f>
        <v>0</v>
      </c>
      <c r="P51" s="475">
        <f>sum(P40:P50)</f>
        <v>0</v>
      </c>
    </row>
    <row r="52" ht="14.25" customHeight="1">
      <c r="A52" s="473" t="s">
        <v>811</v>
      </c>
      <c r="B52" s="459"/>
      <c r="C52" s="384" t="s">
        <v>1073</v>
      </c>
      <c r="D52" s="461">
        <f>IFERROR(__xludf.DUMMYFUNCTION("""COMPUTED_VALUE"""),0.0)</f>
        <v>0</v>
      </c>
      <c r="E52" s="461">
        <f>IFERROR(__xludf.DUMMYFUNCTION("""COMPUTED_VALUE"""),0.0)</f>
        <v>0</v>
      </c>
      <c r="F52" s="461">
        <f>IFERROR(__xludf.DUMMYFUNCTION("""COMPUTED_VALUE"""),0.0)</f>
        <v>0</v>
      </c>
      <c r="G52" s="461">
        <f>IFERROR(__xludf.DUMMYFUNCTION("""COMPUTED_VALUE"""),0.0)</f>
        <v>0</v>
      </c>
      <c r="H52" s="461">
        <f>IFERROR(__xludf.DUMMYFUNCTION("""COMPUTED_VALUE"""),0.0)</f>
        <v>0</v>
      </c>
      <c r="I52" s="461">
        <f>IFERROR(__xludf.DUMMYFUNCTION("""COMPUTED_VALUE"""),0.0)</f>
        <v>0</v>
      </c>
      <c r="J52" s="461">
        <f>IFERROR(__xludf.DUMMYFUNCTION("""COMPUTED_VALUE"""),0.0)</f>
        <v>0</v>
      </c>
      <c r="K52" s="461">
        <f>IFERROR(__xludf.DUMMYFUNCTION("""COMPUTED_VALUE"""),0.0)</f>
        <v>0</v>
      </c>
      <c r="L52" s="461">
        <f>IFERROR(__xludf.DUMMYFUNCTION("""COMPUTED_VALUE"""),0.0)</f>
        <v>0</v>
      </c>
      <c r="M52" s="461">
        <f>IFERROR(__xludf.DUMMYFUNCTION("""COMPUTED_VALUE"""),0.0)</f>
        <v>0</v>
      </c>
      <c r="N52" s="461">
        <f>IFERROR(__xludf.DUMMYFUNCTION("""COMPUTED_VALUE"""),0.0)</f>
        <v>0</v>
      </c>
      <c r="O52" s="461">
        <f>IFERROR(__xludf.DUMMYFUNCTION("""COMPUTED_VALUE"""),0.0)</f>
        <v>0</v>
      </c>
      <c r="P52" s="461">
        <f t="shared" ref="P52:P54" si="5">sum(D52:O52)</f>
        <v>0</v>
      </c>
    </row>
    <row r="53" ht="14.25" customHeight="1">
      <c r="A53" s="473" t="s">
        <v>813</v>
      </c>
      <c r="B53" s="459"/>
      <c r="C53" s="384" t="s">
        <v>1074</v>
      </c>
      <c r="D53" s="461">
        <f>IFERROR(__xludf.DUMMYFUNCTION("""COMPUTED_VALUE"""),0.0)</f>
        <v>0</v>
      </c>
      <c r="E53" s="461">
        <f>IFERROR(__xludf.DUMMYFUNCTION("""COMPUTED_VALUE"""),0.0)</f>
        <v>0</v>
      </c>
      <c r="F53" s="461">
        <f>IFERROR(__xludf.DUMMYFUNCTION("""COMPUTED_VALUE"""),0.0)</f>
        <v>0</v>
      </c>
      <c r="G53" s="461">
        <f>IFERROR(__xludf.DUMMYFUNCTION("""COMPUTED_VALUE"""),0.0)</f>
        <v>0</v>
      </c>
      <c r="H53" s="461">
        <f>IFERROR(__xludf.DUMMYFUNCTION("""COMPUTED_VALUE"""),0.0)</f>
        <v>0</v>
      </c>
      <c r="I53" s="461">
        <f>IFERROR(__xludf.DUMMYFUNCTION("""COMPUTED_VALUE"""),0.0)</f>
        <v>0</v>
      </c>
      <c r="J53" s="461">
        <f>IFERROR(__xludf.DUMMYFUNCTION("""COMPUTED_VALUE"""),0.0)</f>
        <v>0</v>
      </c>
      <c r="K53" s="461">
        <f>IFERROR(__xludf.DUMMYFUNCTION("""COMPUTED_VALUE"""),0.0)</f>
        <v>0</v>
      </c>
      <c r="L53" s="461">
        <f>IFERROR(__xludf.DUMMYFUNCTION("""COMPUTED_VALUE"""),0.0)</f>
        <v>0</v>
      </c>
      <c r="M53" s="461">
        <f>IFERROR(__xludf.DUMMYFUNCTION("""COMPUTED_VALUE"""),0.0)</f>
        <v>0</v>
      </c>
      <c r="N53" s="461">
        <f>IFERROR(__xludf.DUMMYFUNCTION("""COMPUTED_VALUE"""),0.0)</f>
        <v>0</v>
      </c>
      <c r="O53" s="461">
        <f>IFERROR(__xludf.DUMMYFUNCTION("""COMPUTED_VALUE"""),0.0)</f>
        <v>0</v>
      </c>
      <c r="P53" s="461">
        <f t="shared" si="5"/>
        <v>0</v>
      </c>
    </row>
    <row r="54" ht="14.25" customHeight="1">
      <c r="A54" s="473" t="s">
        <v>815</v>
      </c>
      <c r="B54" s="459"/>
      <c r="C54" s="384" t="s">
        <v>1075</v>
      </c>
      <c r="D54" s="461">
        <f>IFERROR(__xludf.DUMMYFUNCTION("""COMPUTED_VALUE"""),0.0)</f>
        <v>0</v>
      </c>
      <c r="E54" s="461">
        <f>IFERROR(__xludf.DUMMYFUNCTION("""COMPUTED_VALUE"""),0.0)</f>
        <v>0</v>
      </c>
      <c r="F54" s="461">
        <f>IFERROR(__xludf.DUMMYFUNCTION("""COMPUTED_VALUE"""),0.0)</f>
        <v>0</v>
      </c>
      <c r="G54" s="461">
        <f>IFERROR(__xludf.DUMMYFUNCTION("""COMPUTED_VALUE"""),0.0)</f>
        <v>0</v>
      </c>
      <c r="H54" s="461">
        <f>IFERROR(__xludf.DUMMYFUNCTION("""COMPUTED_VALUE"""),0.0)</f>
        <v>0</v>
      </c>
      <c r="I54" s="461">
        <f>IFERROR(__xludf.DUMMYFUNCTION("""COMPUTED_VALUE"""),0.0)</f>
        <v>0</v>
      </c>
      <c r="J54" s="461">
        <f>IFERROR(__xludf.DUMMYFUNCTION("""COMPUTED_VALUE"""),0.0)</f>
        <v>0</v>
      </c>
      <c r="K54" s="461">
        <f>IFERROR(__xludf.DUMMYFUNCTION("""COMPUTED_VALUE"""),0.0)</f>
        <v>0</v>
      </c>
      <c r="L54" s="461">
        <f>IFERROR(__xludf.DUMMYFUNCTION("""COMPUTED_VALUE"""),0.0)</f>
        <v>0</v>
      </c>
      <c r="M54" s="461">
        <f>IFERROR(__xludf.DUMMYFUNCTION("""COMPUTED_VALUE"""),0.0)</f>
        <v>0</v>
      </c>
      <c r="N54" s="461">
        <f>IFERROR(__xludf.DUMMYFUNCTION("""COMPUTED_VALUE"""),0.0)</f>
        <v>0</v>
      </c>
      <c r="O54" s="461">
        <f>IFERROR(__xludf.DUMMYFUNCTION("""COMPUTED_VALUE"""),0.0)</f>
        <v>0</v>
      </c>
      <c r="P54" s="461">
        <f t="shared" si="5"/>
        <v>0</v>
      </c>
    </row>
    <row r="55" ht="14.25" customHeight="1">
      <c r="A55" s="463" t="s">
        <v>1021</v>
      </c>
      <c r="B55" s="470"/>
      <c r="C55" s="476"/>
      <c r="D55" s="475">
        <f>IFERROR(__xludf.DUMMYFUNCTION("""COMPUTED_VALUE"""),0.0)</f>
        <v>0</v>
      </c>
      <c r="E55" s="475">
        <f>IFERROR(__xludf.DUMMYFUNCTION("""COMPUTED_VALUE"""),0.0)</f>
        <v>0</v>
      </c>
      <c r="F55" s="475">
        <f>IFERROR(__xludf.DUMMYFUNCTION("""COMPUTED_VALUE"""),0.0)</f>
        <v>0</v>
      </c>
      <c r="G55" s="475">
        <f>IFERROR(__xludf.DUMMYFUNCTION("""COMPUTED_VALUE"""),0.0)</f>
        <v>0</v>
      </c>
      <c r="H55" s="475">
        <f>IFERROR(__xludf.DUMMYFUNCTION("""COMPUTED_VALUE"""),0.0)</f>
        <v>0</v>
      </c>
      <c r="I55" s="475">
        <f>IFERROR(__xludf.DUMMYFUNCTION("""COMPUTED_VALUE"""),0.0)</f>
        <v>0</v>
      </c>
      <c r="J55" s="475">
        <f>IFERROR(__xludf.DUMMYFUNCTION("""COMPUTED_VALUE"""),0.0)</f>
        <v>0</v>
      </c>
      <c r="K55" s="475">
        <f>IFERROR(__xludf.DUMMYFUNCTION("""COMPUTED_VALUE"""),0.0)</f>
        <v>0</v>
      </c>
      <c r="L55" s="475">
        <f>IFERROR(__xludf.DUMMYFUNCTION("""COMPUTED_VALUE"""),0.0)</f>
        <v>0</v>
      </c>
      <c r="M55" s="475">
        <f>IFERROR(__xludf.DUMMYFUNCTION("""COMPUTED_VALUE"""),0.0)</f>
        <v>0</v>
      </c>
      <c r="N55" s="475">
        <f>IFERROR(__xludf.DUMMYFUNCTION("""COMPUTED_VALUE"""),0.0)</f>
        <v>0</v>
      </c>
      <c r="O55" s="475">
        <f>IFERROR(__xludf.DUMMYFUNCTION("""COMPUTED_VALUE"""),0.0)</f>
        <v>0</v>
      </c>
      <c r="P55" s="475">
        <f>sum(P52:P54)</f>
        <v>0</v>
      </c>
    </row>
    <row r="56" ht="14.25" customHeight="1">
      <c r="A56" s="473" t="s">
        <v>1076</v>
      </c>
      <c r="B56" s="459"/>
      <c r="C56" s="384" t="s">
        <v>818</v>
      </c>
      <c r="D56" s="461">
        <f>IFERROR(__xludf.DUMMYFUNCTION("""COMPUTED_VALUE"""),0.0)</f>
        <v>0</v>
      </c>
      <c r="E56" s="461">
        <f>IFERROR(__xludf.DUMMYFUNCTION("""COMPUTED_VALUE"""),0.0)</f>
        <v>0</v>
      </c>
      <c r="F56" s="461">
        <f>IFERROR(__xludf.DUMMYFUNCTION("""COMPUTED_VALUE"""),0.0)</f>
        <v>0</v>
      </c>
      <c r="G56" s="461">
        <f>IFERROR(__xludf.DUMMYFUNCTION("""COMPUTED_VALUE"""),0.0)</f>
        <v>0</v>
      </c>
      <c r="H56" s="461">
        <f>IFERROR(__xludf.DUMMYFUNCTION("""COMPUTED_VALUE"""),0.0)</f>
        <v>0</v>
      </c>
      <c r="I56" s="461">
        <f>IFERROR(__xludf.DUMMYFUNCTION("""COMPUTED_VALUE"""),0.0)</f>
        <v>0</v>
      </c>
      <c r="J56" s="461">
        <f>IFERROR(__xludf.DUMMYFUNCTION("""COMPUTED_VALUE"""),0.0)</f>
        <v>0</v>
      </c>
      <c r="K56" s="461">
        <f>IFERROR(__xludf.DUMMYFUNCTION("""COMPUTED_VALUE"""),0.0)</f>
        <v>0</v>
      </c>
      <c r="L56" s="461">
        <f>IFERROR(__xludf.DUMMYFUNCTION("""COMPUTED_VALUE"""),0.0)</f>
        <v>0</v>
      </c>
      <c r="M56" s="461">
        <f>IFERROR(__xludf.DUMMYFUNCTION("""COMPUTED_VALUE"""),0.0)</f>
        <v>0</v>
      </c>
      <c r="N56" s="461">
        <f>IFERROR(__xludf.DUMMYFUNCTION("""COMPUTED_VALUE"""),0.0)</f>
        <v>0</v>
      </c>
      <c r="O56" s="461">
        <f>IFERROR(__xludf.DUMMYFUNCTION("""COMPUTED_VALUE"""),0.0)</f>
        <v>0</v>
      </c>
      <c r="P56" s="461">
        <f t="shared" ref="P56:P57" si="6">sum(D56:O56)</f>
        <v>0</v>
      </c>
    </row>
    <row r="57" ht="14.25" customHeight="1">
      <c r="A57" s="473" t="s">
        <v>1077</v>
      </c>
      <c r="B57" s="459"/>
      <c r="C57" s="384" t="s">
        <v>819</v>
      </c>
      <c r="D57" s="461">
        <f>IFERROR(__xludf.DUMMYFUNCTION("""COMPUTED_VALUE"""),0.0)</f>
        <v>0</v>
      </c>
      <c r="E57" s="461">
        <f>IFERROR(__xludf.DUMMYFUNCTION("""COMPUTED_VALUE"""),0.0)</f>
        <v>0</v>
      </c>
      <c r="F57" s="461">
        <f>IFERROR(__xludf.DUMMYFUNCTION("""COMPUTED_VALUE"""),0.0)</f>
        <v>0</v>
      </c>
      <c r="G57" s="461">
        <f>IFERROR(__xludf.DUMMYFUNCTION("""COMPUTED_VALUE"""),0.0)</f>
        <v>0</v>
      </c>
      <c r="H57" s="461">
        <f>IFERROR(__xludf.DUMMYFUNCTION("""COMPUTED_VALUE"""),0.0)</f>
        <v>0</v>
      </c>
      <c r="I57" s="461">
        <f>IFERROR(__xludf.DUMMYFUNCTION("""COMPUTED_VALUE"""),0.0)</f>
        <v>0</v>
      </c>
      <c r="J57" s="461">
        <f>IFERROR(__xludf.DUMMYFUNCTION("""COMPUTED_VALUE"""),0.0)</f>
        <v>0</v>
      </c>
      <c r="K57" s="461">
        <f>IFERROR(__xludf.DUMMYFUNCTION("""COMPUTED_VALUE"""),0.0)</f>
        <v>0</v>
      </c>
      <c r="L57" s="461">
        <f>IFERROR(__xludf.DUMMYFUNCTION("""COMPUTED_VALUE"""),0.0)</f>
        <v>0</v>
      </c>
      <c r="M57" s="461">
        <f>IFERROR(__xludf.DUMMYFUNCTION("""COMPUTED_VALUE"""),0.0)</f>
        <v>0</v>
      </c>
      <c r="N57" s="461">
        <f>IFERROR(__xludf.DUMMYFUNCTION("""COMPUTED_VALUE"""),0.0)</f>
        <v>0</v>
      </c>
      <c r="O57" s="461">
        <f>IFERROR(__xludf.DUMMYFUNCTION("""COMPUTED_VALUE"""),0.0)</f>
        <v>0</v>
      </c>
      <c r="P57" s="461">
        <f t="shared" si="6"/>
        <v>0</v>
      </c>
    </row>
    <row r="58" ht="14.25" customHeight="1">
      <c r="A58" s="463" t="s">
        <v>820</v>
      </c>
      <c r="B58" s="470"/>
      <c r="C58" s="476"/>
      <c r="D58" s="475">
        <f>IFERROR(__xludf.DUMMYFUNCTION("""COMPUTED_VALUE"""),0.0)</f>
        <v>0</v>
      </c>
      <c r="E58" s="475">
        <f>IFERROR(__xludf.DUMMYFUNCTION("""COMPUTED_VALUE"""),0.0)</f>
        <v>0</v>
      </c>
      <c r="F58" s="475">
        <f>IFERROR(__xludf.DUMMYFUNCTION("""COMPUTED_VALUE"""),0.0)</f>
        <v>0</v>
      </c>
      <c r="G58" s="475">
        <f>IFERROR(__xludf.DUMMYFUNCTION("""COMPUTED_VALUE"""),0.0)</f>
        <v>0</v>
      </c>
      <c r="H58" s="475">
        <f>IFERROR(__xludf.DUMMYFUNCTION("""COMPUTED_VALUE"""),0.0)</f>
        <v>0</v>
      </c>
      <c r="I58" s="475">
        <f>IFERROR(__xludf.DUMMYFUNCTION("""COMPUTED_VALUE"""),0.0)</f>
        <v>0</v>
      </c>
      <c r="J58" s="475">
        <f>IFERROR(__xludf.DUMMYFUNCTION("""COMPUTED_VALUE"""),0.0)</f>
        <v>0</v>
      </c>
      <c r="K58" s="475">
        <f>IFERROR(__xludf.DUMMYFUNCTION("""COMPUTED_VALUE"""),0.0)</f>
        <v>0</v>
      </c>
      <c r="L58" s="475">
        <f>IFERROR(__xludf.DUMMYFUNCTION("""COMPUTED_VALUE"""),0.0)</f>
        <v>0</v>
      </c>
      <c r="M58" s="475">
        <f>IFERROR(__xludf.DUMMYFUNCTION("""COMPUTED_VALUE"""),0.0)</f>
        <v>0</v>
      </c>
      <c r="N58" s="475">
        <f>IFERROR(__xludf.DUMMYFUNCTION("""COMPUTED_VALUE"""),0.0)</f>
        <v>0</v>
      </c>
      <c r="O58" s="475">
        <f>IFERROR(__xludf.DUMMYFUNCTION("""COMPUTED_VALUE"""),0.0)</f>
        <v>0</v>
      </c>
      <c r="P58" s="475">
        <f>sum(P56:P57)</f>
        <v>0</v>
      </c>
    </row>
    <row r="59" ht="14.25" customHeight="1">
      <c r="A59" s="478" t="s">
        <v>822</v>
      </c>
      <c r="B59" s="479"/>
      <c r="C59" s="480"/>
      <c r="D59" s="481">
        <f>IFERROR(__xludf.DUMMYFUNCTION("""COMPUTED_VALUE"""),176507.37659463333)</f>
        <v>176507.3766</v>
      </c>
      <c r="E59" s="481">
        <f>IFERROR(__xludf.DUMMYFUNCTION("""COMPUTED_VALUE"""),190691.52419713335)</f>
        <v>190691.5242</v>
      </c>
      <c r="F59" s="481">
        <f>IFERROR(__xludf.DUMMYFUNCTION("""COMPUTED_VALUE"""),179280.48532713333)</f>
        <v>179280.4853</v>
      </c>
      <c r="G59" s="481">
        <f>IFERROR(__xludf.DUMMYFUNCTION("""COMPUTED_VALUE"""),121950.83082713332)</f>
        <v>121950.8308</v>
      </c>
      <c r="H59" s="481">
        <f>IFERROR(__xludf.DUMMYFUNCTION("""COMPUTED_VALUE"""),143571.48695163336)</f>
        <v>143571.487</v>
      </c>
      <c r="I59" s="481">
        <f>IFERROR(__xludf.DUMMYFUNCTION("""COMPUTED_VALUE"""),151805.30041888333)</f>
        <v>151805.3004</v>
      </c>
      <c r="J59" s="481">
        <f>IFERROR(__xludf.DUMMYFUNCTION("""COMPUTED_VALUE"""),165428.70881813334)</f>
        <v>165428.7088</v>
      </c>
      <c r="K59" s="481">
        <f>IFERROR(__xludf.DUMMYFUNCTION("""COMPUTED_VALUE"""),194609.74460038333)</f>
        <v>194609.7446</v>
      </c>
      <c r="L59" s="481">
        <f>IFERROR(__xludf.DUMMYFUNCTION("""COMPUTED_VALUE"""),178206.27123513338)</f>
        <v>178206.2712</v>
      </c>
      <c r="M59" s="481">
        <f>IFERROR(__xludf.DUMMYFUNCTION("""COMPUTED_VALUE"""),173293.15610063335)</f>
        <v>173293.1561</v>
      </c>
      <c r="N59" s="481">
        <f>IFERROR(__xludf.DUMMYFUNCTION("""COMPUTED_VALUE"""),190598.48032663332)</f>
        <v>190598.4803</v>
      </c>
      <c r="O59" s="481">
        <f>IFERROR(__xludf.DUMMYFUNCTION("""COMPUTED_VALUE"""),104161.42098288334)</f>
        <v>104161.421</v>
      </c>
      <c r="P59" s="481">
        <f>P58+P55+P51+P39+P29+P27+P11</f>
        <v>1970104.786</v>
      </c>
    </row>
    <row r="60" ht="14.25" customHeight="1">
      <c r="A60" s="469" t="s">
        <v>834</v>
      </c>
      <c r="B60" s="459"/>
      <c r="C60" s="477" t="s">
        <v>1078</v>
      </c>
      <c r="D60" s="461">
        <f>IFERROR(__xludf.DUMMYFUNCTION("""COMPUTED_VALUE"""),0.0)</f>
        <v>0</v>
      </c>
      <c r="E60" s="461">
        <f>IFERROR(__xludf.DUMMYFUNCTION("""COMPUTED_VALUE"""),0.0)</f>
        <v>0</v>
      </c>
      <c r="F60" s="461">
        <f>IFERROR(__xludf.DUMMYFUNCTION("""COMPUTED_VALUE"""),0.0)</f>
        <v>0</v>
      </c>
      <c r="G60" s="461">
        <f>IFERROR(__xludf.DUMMYFUNCTION("""COMPUTED_VALUE"""),0.0)</f>
        <v>0</v>
      </c>
      <c r="H60" s="461">
        <f>IFERROR(__xludf.DUMMYFUNCTION("""COMPUTED_VALUE"""),0.0)</f>
        <v>0</v>
      </c>
      <c r="I60" s="461">
        <f>IFERROR(__xludf.DUMMYFUNCTION("""COMPUTED_VALUE"""),0.0)</f>
        <v>0</v>
      </c>
      <c r="J60" s="461">
        <f>IFERROR(__xludf.DUMMYFUNCTION("""COMPUTED_VALUE"""),0.0)</f>
        <v>0</v>
      </c>
      <c r="K60" s="461">
        <f>IFERROR(__xludf.DUMMYFUNCTION("""COMPUTED_VALUE"""),0.0)</f>
        <v>0</v>
      </c>
      <c r="L60" s="461">
        <f>IFERROR(__xludf.DUMMYFUNCTION("""COMPUTED_VALUE"""),0.0)</f>
        <v>0</v>
      </c>
      <c r="M60" s="461">
        <f>IFERROR(__xludf.DUMMYFUNCTION("""COMPUTED_VALUE"""),0.0)</f>
        <v>0</v>
      </c>
      <c r="N60" s="461">
        <f>IFERROR(__xludf.DUMMYFUNCTION("""COMPUTED_VALUE"""),0.0)</f>
        <v>0</v>
      </c>
      <c r="O60" s="461">
        <f>IFERROR(__xludf.DUMMYFUNCTION("""COMPUTED_VALUE"""),0.0)</f>
        <v>0</v>
      </c>
      <c r="P60" s="461">
        <f t="shared" ref="P60:P72" si="7">sum(D60:O60)</f>
        <v>0</v>
      </c>
    </row>
    <row r="61" ht="14.25" customHeight="1">
      <c r="A61" s="469" t="s">
        <v>43</v>
      </c>
      <c r="B61" s="459"/>
      <c r="C61" s="477" t="s">
        <v>1079</v>
      </c>
      <c r="D61" s="461">
        <f>IFERROR(__xludf.DUMMYFUNCTION("""COMPUTED_VALUE"""),0.0)</f>
        <v>0</v>
      </c>
      <c r="E61" s="461">
        <f>IFERROR(__xludf.DUMMYFUNCTION("""COMPUTED_VALUE"""),0.0)</f>
        <v>0</v>
      </c>
      <c r="F61" s="461">
        <f>IFERROR(__xludf.DUMMYFUNCTION("""COMPUTED_VALUE"""),0.0)</f>
        <v>0</v>
      </c>
      <c r="G61" s="461">
        <f>IFERROR(__xludf.DUMMYFUNCTION("""COMPUTED_VALUE"""),0.0)</f>
        <v>0</v>
      </c>
      <c r="H61" s="461">
        <f>IFERROR(__xludf.DUMMYFUNCTION("""COMPUTED_VALUE"""),0.0)</f>
        <v>0</v>
      </c>
      <c r="I61" s="461">
        <f>IFERROR(__xludf.DUMMYFUNCTION("""COMPUTED_VALUE"""),0.0)</f>
        <v>0</v>
      </c>
      <c r="J61" s="461">
        <f>IFERROR(__xludf.DUMMYFUNCTION("""COMPUTED_VALUE"""),0.0)</f>
        <v>0</v>
      </c>
      <c r="K61" s="461">
        <f>IFERROR(__xludf.DUMMYFUNCTION("""COMPUTED_VALUE"""),0.0)</f>
        <v>0</v>
      </c>
      <c r="L61" s="461">
        <f>IFERROR(__xludf.DUMMYFUNCTION("""COMPUTED_VALUE"""),0.0)</f>
        <v>0</v>
      </c>
      <c r="M61" s="461">
        <f>IFERROR(__xludf.DUMMYFUNCTION("""COMPUTED_VALUE"""),0.0)</f>
        <v>0</v>
      </c>
      <c r="N61" s="461">
        <f>IFERROR(__xludf.DUMMYFUNCTION("""COMPUTED_VALUE"""),0.0)</f>
        <v>0</v>
      </c>
      <c r="O61" s="461">
        <f>IFERROR(__xludf.DUMMYFUNCTION("""COMPUTED_VALUE"""),0.0)</f>
        <v>0</v>
      </c>
      <c r="P61" s="461">
        <f t="shared" si="7"/>
        <v>0</v>
      </c>
    </row>
    <row r="62" ht="14.25" customHeight="1">
      <c r="A62" s="469" t="s">
        <v>14</v>
      </c>
      <c r="B62" s="459"/>
      <c r="C62" s="477" t="s">
        <v>1080</v>
      </c>
      <c r="D62" s="461">
        <f>IFERROR(__xludf.DUMMYFUNCTION("""COMPUTED_VALUE"""),616285.7994029459)</f>
        <v>616285.7994</v>
      </c>
      <c r="E62" s="461">
        <f>IFERROR(__xludf.DUMMYFUNCTION("""COMPUTED_VALUE"""),509951.01826789754)</f>
        <v>509951.0183</v>
      </c>
      <c r="F62" s="461">
        <f>IFERROR(__xludf.DUMMYFUNCTION("""COMPUTED_VALUE"""),458809.7555946219)</f>
        <v>458809.7556</v>
      </c>
      <c r="G62" s="461">
        <f>IFERROR(__xludf.DUMMYFUNCTION("""COMPUTED_VALUE"""),560411.2282084802)</f>
        <v>560411.2282</v>
      </c>
      <c r="H62" s="461">
        <f>IFERROR(__xludf.DUMMYFUNCTION("""COMPUTED_VALUE"""),438405.8709969419)</f>
        <v>438405.871</v>
      </c>
      <c r="I62" s="461">
        <f>IFERROR(__xludf.DUMMYFUNCTION("""COMPUTED_VALUE"""),438021.96409277455)</f>
        <v>438021.9641</v>
      </c>
      <c r="J62" s="461">
        <f>IFERROR(__xludf.DUMMYFUNCTION("""COMPUTED_VALUE"""),448164.3914837594)</f>
        <v>448164.3915</v>
      </c>
      <c r="K62" s="461">
        <f>IFERROR(__xludf.DUMMYFUNCTION("""COMPUTED_VALUE"""),433370.53659839625)</f>
        <v>433370.5366</v>
      </c>
      <c r="L62" s="461">
        <f>IFERROR(__xludf.DUMMYFUNCTION("""COMPUTED_VALUE"""),424229.5045430364)</f>
        <v>424229.5045</v>
      </c>
      <c r="M62" s="461">
        <f>IFERROR(__xludf.DUMMYFUNCTION("""COMPUTED_VALUE"""),505157.18938807125)</f>
        <v>505157.1894</v>
      </c>
      <c r="N62" s="461">
        <f>IFERROR(__xludf.DUMMYFUNCTION("""COMPUTED_VALUE"""),417470.83950192283)</f>
        <v>417470.8395</v>
      </c>
      <c r="O62" s="461">
        <f>IFERROR(__xludf.DUMMYFUNCTION("""COMPUTED_VALUE"""),457113.4555633204)</f>
        <v>457113.4556</v>
      </c>
      <c r="P62" s="461">
        <f t="shared" si="7"/>
        <v>5707391.554</v>
      </c>
    </row>
    <row r="63" ht="14.25" customHeight="1">
      <c r="A63" s="469" t="s">
        <v>68</v>
      </c>
      <c r="B63" s="459"/>
      <c r="C63" s="477" t="s">
        <v>1081</v>
      </c>
      <c r="D63" s="461">
        <f>IFERROR(__xludf.DUMMYFUNCTION("""COMPUTED_VALUE"""),0.0)</f>
        <v>0</v>
      </c>
      <c r="E63" s="461">
        <f>IFERROR(__xludf.DUMMYFUNCTION("""COMPUTED_VALUE"""),0.0)</f>
        <v>0</v>
      </c>
      <c r="F63" s="461">
        <f>IFERROR(__xludf.DUMMYFUNCTION("""COMPUTED_VALUE"""),0.0)</f>
        <v>0</v>
      </c>
      <c r="G63" s="461">
        <f>IFERROR(__xludf.DUMMYFUNCTION("""COMPUTED_VALUE"""),0.0)</f>
        <v>0</v>
      </c>
      <c r="H63" s="461">
        <f>IFERROR(__xludf.DUMMYFUNCTION("""COMPUTED_VALUE"""),0.0)</f>
        <v>0</v>
      </c>
      <c r="I63" s="461">
        <f>IFERROR(__xludf.DUMMYFUNCTION("""COMPUTED_VALUE"""),0.0)</f>
        <v>0</v>
      </c>
      <c r="J63" s="461">
        <f>IFERROR(__xludf.DUMMYFUNCTION("""COMPUTED_VALUE"""),0.0)</f>
        <v>0</v>
      </c>
      <c r="K63" s="461">
        <f>IFERROR(__xludf.DUMMYFUNCTION("""COMPUTED_VALUE"""),0.0)</f>
        <v>0</v>
      </c>
      <c r="L63" s="461">
        <f>IFERROR(__xludf.DUMMYFUNCTION("""COMPUTED_VALUE"""),0.0)</f>
        <v>0</v>
      </c>
      <c r="M63" s="461">
        <f>IFERROR(__xludf.DUMMYFUNCTION("""COMPUTED_VALUE"""),0.0)</f>
        <v>0</v>
      </c>
      <c r="N63" s="461">
        <f>IFERROR(__xludf.DUMMYFUNCTION("""COMPUTED_VALUE"""),0.0)</f>
        <v>0</v>
      </c>
      <c r="O63" s="461">
        <f>IFERROR(__xludf.DUMMYFUNCTION("""COMPUTED_VALUE"""),0.0)</f>
        <v>0</v>
      </c>
      <c r="P63" s="461">
        <f t="shared" si="7"/>
        <v>0</v>
      </c>
    </row>
    <row r="64" ht="14.25" customHeight="1">
      <c r="A64" s="469" t="s">
        <v>45</v>
      </c>
      <c r="B64" s="459"/>
      <c r="C64" s="477" t="s">
        <v>1082</v>
      </c>
      <c r="D64" s="461">
        <f>IFERROR(__xludf.DUMMYFUNCTION("""COMPUTED_VALUE"""),0.0)</f>
        <v>0</v>
      </c>
      <c r="E64" s="461">
        <f>IFERROR(__xludf.DUMMYFUNCTION("""COMPUTED_VALUE"""),0.0)</f>
        <v>0</v>
      </c>
      <c r="F64" s="461">
        <f>IFERROR(__xludf.DUMMYFUNCTION("""COMPUTED_VALUE"""),0.0)</f>
        <v>0</v>
      </c>
      <c r="G64" s="461">
        <f>IFERROR(__xludf.DUMMYFUNCTION("""COMPUTED_VALUE"""),0.0)</f>
        <v>0</v>
      </c>
      <c r="H64" s="461">
        <f>IFERROR(__xludf.DUMMYFUNCTION("""COMPUTED_VALUE"""),0.0)</f>
        <v>0</v>
      </c>
      <c r="I64" s="461">
        <f>IFERROR(__xludf.DUMMYFUNCTION("""COMPUTED_VALUE"""),0.0)</f>
        <v>0</v>
      </c>
      <c r="J64" s="461">
        <f>IFERROR(__xludf.DUMMYFUNCTION("""COMPUTED_VALUE"""),0.0)</f>
        <v>0</v>
      </c>
      <c r="K64" s="461">
        <f>IFERROR(__xludf.DUMMYFUNCTION("""COMPUTED_VALUE"""),0.0)</f>
        <v>0</v>
      </c>
      <c r="L64" s="461">
        <f>IFERROR(__xludf.DUMMYFUNCTION("""COMPUTED_VALUE"""),0.0)</f>
        <v>0</v>
      </c>
      <c r="M64" s="461">
        <f>IFERROR(__xludf.DUMMYFUNCTION("""COMPUTED_VALUE"""),0.0)</f>
        <v>0</v>
      </c>
      <c r="N64" s="461">
        <f>IFERROR(__xludf.DUMMYFUNCTION("""COMPUTED_VALUE"""),0.0)</f>
        <v>0</v>
      </c>
      <c r="O64" s="461">
        <f>IFERROR(__xludf.DUMMYFUNCTION("""COMPUTED_VALUE"""),0.0)</f>
        <v>0</v>
      </c>
      <c r="P64" s="461">
        <f t="shared" si="7"/>
        <v>0</v>
      </c>
    </row>
    <row r="65" ht="14.25" customHeight="1">
      <c r="A65" s="469" t="s">
        <v>879</v>
      </c>
      <c r="B65" s="459"/>
      <c r="C65" s="477" t="s">
        <v>1083</v>
      </c>
      <c r="D65" s="461">
        <f>IFERROR(__xludf.DUMMYFUNCTION("""COMPUTED_VALUE"""),0.0)</f>
        <v>0</v>
      </c>
      <c r="E65" s="461">
        <f>IFERROR(__xludf.DUMMYFUNCTION("""COMPUTED_VALUE"""),0.0)</f>
        <v>0</v>
      </c>
      <c r="F65" s="461">
        <f>IFERROR(__xludf.DUMMYFUNCTION("""COMPUTED_VALUE"""),0.0)</f>
        <v>0</v>
      </c>
      <c r="G65" s="461">
        <f>IFERROR(__xludf.DUMMYFUNCTION("""COMPUTED_VALUE"""),0.0)</f>
        <v>0</v>
      </c>
      <c r="H65" s="461">
        <f>IFERROR(__xludf.DUMMYFUNCTION("""COMPUTED_VALUE"""),0.0)</f>
        <v>0</v>
      </c>
      <c r="I65" s="461">
        <f>IFERROR(__xludf.DUMMYFUNCTION("""COMPUTED_VALUE"""),0.0)</f>
        <v>0</v>
      </c>
      <c r="J65" s="461">
        <f>IFERROR(__xludf.DUMMYFUNCTION("""COMPUTED_VALUE"""),0.0)</f>
        <v>0</v>
      </c>
      <c r="K65" s="461">
        <f>IFERROR(__xludf.DUMMYFUNCTION("""COMPUTED_VALUE"""),0.0)</f>
        <v>0</v>
      </c>
      <c r="L65" s="461">
        <f>IFERROR(__xludf.DUMMYFUNCTION("""COMPUTED_VALUE"""),0.0)</f>
        <v>0</v>
      </c>
      <c r="M65" s="461">
        <f>IFERROR(__xludf.DUMMYFUNCTION("""COMPUTED_VALUE"""),0.0)</f>
        <v>0</v>
      </c>
      <c r="N65" s="461">
        <f>IFERROR(__xludf.DUMMYFUNCTION("""COMPUTED_VALUE"""),0.0)</f>
        <v>0</v>
      </c>
      <c r="O65" s="461">
        <f>IFERROR(__xludf.DUMMYFUNCTION("""COMPUTED_VALUE"""),0.0)</f>
        <v>0</v>
      </c>
      <c r="P65" s="461">
        <f t="shared" si="7"/>
        <v>0</v>
      </c>
    </row>
    <row r="66" ht="14.25" customHeight="1">
      <c r="A66" s="469" t="s">
        <v>824</v>
      </c>
      <c r="B66" s="477"/>
      <c r="C66" s="477" t="s">
        <v>1084</v>
      </c>
      <c r="D66" s="461">
        <f>IFERROR(__xludf.DUMMYFUNCTION("""COMPUTED_VALUE"""),0.0)</f>
        <v>0</v>
      </c>
      <c r="E66" s="461">
        <f>IFERROR(__xludf.DUMMYFUNCTION("""COMPUTED_VALUE"""),0.0)</f>
        <v>0</v>
      </c>
      <c r="F66" s="461">
        <f>IFERROR(__xludf.DUMMYFUNCTION("""COMPUTED_VALUE"""),0.0)</f>
        <v>0</v>
      </c>
      <c r="G66" s="461">
        <f>IFERROR(__xludf.DUMMYFUNCTION("""COMPUTED_VALUE"""),0.0)</f>
        <v>0</v>
      </c>
      <c r="H66" s="461">
        <f>IFERROR(__xludf.DUMMYFUNCTION("""COMPUTED_VALUE"""),0.0)</f>
        <v>0</v>
      </c>
      <c r="I66" s="461">
        <f>IFERROR(__xludf.DUMMYFUNCTION("""COMPUTED_VALUE"""),0.0)</f>
        <v>0</v>
      </c>
      <c r="J66" s="461">
        <f>IFERROR(__xludf.DUMMYFUNCTION("""COMPUTED_VALUE"""),0.0)</f>
        <v>0</v>
      </c>
      <c r="K66" s="461">
        <f>IFERROR(__xludf.DUMMYFUNCTION("""COMPUTED_VALUE"""),0.0)</f>
        <v>0</v>
      </c>
      <c r="L66" s="461">
        <f>IFERROR(__xludf.DUMMYFUNCTION("""COMPUTED_VALUE"""),0.0)</f>
        <v>0</v>
      </c>
      <c r="M66" s="461">
        <f>IFERROR(__xludf.DUMMYFUNCTION("""COMPUTED_VALUE"""),0.0)</f>
        <v>0</v>
      </c>
      <c r="N66" s="461">
        <f>IFERROR(__xludf.DUMMYFUNCTION("""COMPUTED_VALUE"""),0.0)</f>
        <v>0</v>
      </c>
      <c r="O66" s="461">
        <f>IFERROR(__xludf.DUMMYFUNCTION("""COMPUTED_VALUE"""),0.0)</f>
        <v>0</v>
      </c>
      <c r="P66" s="461">
        <f t="shared" si="7"/>
        <v>0</v>
      </c>
    </row>
    <row r="67" ht="14.25" customHeight="1">
      <c r="A67" s="469" t="s">
        <v>826</v>
      </c>
      <c r="B67" s="459"/>
      <c r="C67" s="477" t="s">
        <v>1085</v>
      </c>
      <c r="D67" s="461">
        <f>IFERROR(__xludf.DUMMYFUNCTION("""COMPUTED_VALUE"""),0.0)</f>
        <v>0</v>
      </c>
      <c r="E67" s="461">
        <f>IFERROR(__xludf.DUMMYFUNCTION("""COMPUTED_VALUE"""),0.0)</f>
        <v>0</v>
      </c>
      <c r="F67" s="461">
        <f>IFERROR(__xludf.DUMMYFUNCTION("""COMPUTED_VALUE"""),0.0)</f>
        <v>0</v>
      </c>
      <c r="G67" s="461">
        <f>IFERROR(__xludf.DUMMYFUNCTION("""COMPUTED_VALUE"""),0.0)</f>
        <v>0</v>
      </c>
      <c r="H67" s="461">
        <f>IFERROR(__xludf.DUMMYFUNCTION("""COMPUTED_VALUE"""),0.0)</f>
        <v>0</v>
      </c>
      <c r="I67" s="461">
        <f>IFERROR(__xludf.DUMMYFUNCTION("""COMPUTED_VALUE"""),0.0)</f>
        <v>0</v>
      </c>
      <c r="J67" s="461">
        <f>IFERROR(__xludf.DUMMYFUNCTION("""COMPUTED_VALUE"""),0.0)</f>
        <v>0</v>
      </c>
      <c r="K67" s="461">
        <f>IFERROR(__xludf.DUMMYFUNCTION("""COMPUTED_VALUE"""),0.0)</f>
        <v>0</v>
      </c>
      <c r="L67" s="461">
        <f>IFERROR(__xludf.DUMMYFUNCTION("""COMPUTED_VALUE"""),0.0)</f>
        <v>0</v>
      </c>
      <c r="M67" s="461">
        <f>IFERROR(__xludf.DUMMYFUNCTION("""COMPUTED_VALUE"""),0.0)</f>
        <v>0</v>
      </c>
      <c r="N67" s="461">
        <f>IFERROR(__xludf.DUMMYFUNCTION("""COMPUTED_VALUE"""),0.0)</f>
        <v>0</v>
      </c>
      <c r="O67" s="461">
        <f>IFERROR(__xludf.DUMMYFUNCTION("""COMPUTED_VALUE"""),0.0)</f>
        <v>0</v>
      </c>
      <c r="P67" s="461">
        <f t="shared" si="7"/>
        <v>0</v>
      </c>
    </row>
    <row r="68" ht="14.25" customHeight="1">
      <c r="A68" s="469" t="s">
        <v>51</v>
      </c>
      <c r="B68" s="459"/>
      <c r="C68" s="477" t="s">
        <v>52</v>
      </c>
      <c r="D68" s="461">
        <f>IFERROR(__xludf.DUMMYFUNCTION("""COMPUTED_VALUE"""),0.0)</f>
        <v>0</v>
      </c>
      <c r="E68" s="461">
        <f>IFERROR(__xludf.DUMMYFUNCTION("""COMPUTED_VALUE"""),0.0)</f>
        <v>0</v>
      </c>
      <c r="F68" s="461">
        <f>IFERROR(__xludf.DUMMYFUNCTION("""COMPUTED_VALUE"""),0.0)</f>
        <v>0</v>
      </c>
      <c r="G68" s="461">
        <f>IFERROR(__xludf.DUMMYFUNCTION("""COMPUTED_VALUE"""),0.0)</f>
        <v>0</v>
      </c>
      <c r="H68" s="461">
        <f>IFERROR(__xludf.DUMMYFUNCTION("""COMPUTED_VALUE"""),0.0)</f>
        <v>0</v>
      </c>
      <c r="I68" s="461">
        <f>IFERROR(__xludf.DUMMYFUNCTION("""COMPUTED_VALUE"""),0.0)</f>
        <v>0</v>
      </c>
      <c r="J68" s="461">
        <f>IFERROR(__xludf.DUMMYFUNCTION("""COMPUTED_VALUE"""),0.0)</f>
        <v>0</v>
      </c>
      <c r="K68" s="461">
        <f>IFERROR(__xludf.DUMMYFUNCTION("""COMPUTED_VALUE"""),0.0)</f>
        <v>0</v>
      </c>
      <c r="L68" s="461">
        <f>IFERROR(__xludf.DUMMYFUNCTION("""COMPUTED_VALUE"""),0.0)</f>
        <v>0</v>
      </c>
      <c r="M68" s="461">
        <f>IFERROR(__xludf.DUMMYFUNCTION("""COMPUTED_VALUE"""),0.0)</f>
        <v>0</v>
      </c>
      <c r="N68" s="461">
        <f>IFERROR(__xludf.DUMMYFUNCTION("""COMPUTED_VALUE"""),0.0)</f>
        <v>0</v>
      </c>
      <c r="O68" s="461">
        <f>IFERROR(__xludf.DUMMYFUNCTION("""COMPUTED_VALUE"""),0.0)</f>
        <v>0</v>
      </c>
      <c r="P68" s="461">
        <f t="shared" si="7"/>
        <v>0</v>
      </c>
    </row>
    <row r="69" ht="14.25" customHeight="1">
      <c r="A69" s="469" t="s">
        <v>828</v>
      </c>
      <c r="B69" s="459"/>
      <c r="C69" s="477" t="s">
        <v>829</v>
      </c>
      <c r="D69" s="461">
        <f>IFERROR(__xludf.DUMMYFUNCTION("""COMPUTED_VALUE"""),0.0)</f>
        <v>0</v>
      </c>
      <c r="E69" s="461">
        <f>IFERROR(__xludf.DUMMYFUNCTION("""COMPUTED_VALUE"""),0.0)</f>
        <v>0</v>
      </c>
      <c r="F69" s="461">
        <f>IFERROR(__xludf.DUMMYFUNCTION("""COMPUTED_VALUE"""),0.0)</f>
        <v>0</v>
      </c>
      <c r="G69" s="461">
        <f>IFERROR(__xludf.DUMMYFUNCTION("""COMPUTED_VALUE"""),0.0)</f>
        <v>0</v>
      </c>
      <c r="H69" s="461">
        <f>IFERROR(__xludf.DUMMYFUNCTION("""COMPUTED_VALUE"""),0.0)</f>
        <v>0</v>
      </c>
      <c r="I69" s="461">
        <f>IFERROR(__xludf.DUMMYFUNCTION("""COMPUTED_VALUE"""),0.0)</f>
        <v>0</v>
      </c>
      <c r="J69" s="461">
        <f>IFERROR(__xludf.DUMMYFUNCTION("""COMPUTED_VALUE"""),0.0)</f>
        <v>0</v>
      </c>
      <c r="K69" s="461">
        <f>IFERROR(__xludf.DUMMYFUNCTION("""COMPUTED_VALUE"""),0.0)</f>
        <v>0</v>
      </c>
      <c r="L69" s="461">
        <f>IFERROR(__xludf.DUMMYFUNCTION("""COMPUTED_VALUE"""),0.0)</f>
        <v>0</v>
      </c>
      <c r="M69" s="461">
        <f>IFERROR(__xludf.DUMMYFUNCTION("""COMPUTED_VALUE"""),0.0)</f>
        <v>0</v>
      </c>
      <c r="N69" s="461">
        <f>IFERROR(__xludf.DUMMYFUNCTION("""COMPUTED_VALUE"""),0.0)</f>
        <v>0</v>
      </c>
      <c r="O69" s="461">
        <f>IFERROR(__xludf.DUMMYFUNCTION("""COMPUTED_VALUE"""),0.0)</f>
        <v>0</v>
      </c>
      <c r="P69" s="461">
        <f t="shared" si="7"/>
        <v>0</v>
      </c>
    </row>
    <row r="70" ht="14.25" customHeight="1">
      <c r="A70" s="469" t="s">
        <v>1086</v>
      </c>
      <c r="B70" s="459"/>
      <c r="C70" s="477" t="s">
        <v>1087</v>
      </c>
      <c r="D70" s="461">
        <f>IFERROR(__xludf.DUMMYFUNCTION("""COMPUTED_VALUE"""),0.0)</f>
        <v>0</v>
      </c>
      <c r="E70" s="461">
        <f>IFERROR(__xludf.DUMMYFUNCTION("""COMPUTED_VALUE"""),0.0)</f>
        <v>0</v>
      </c>
      <c r="F70" s="461">
        <f>IFERROR(__xludf.DUMMYFUNCTION("""COMPUTED_VALUE"""),0.0)</f>
        <v>0</v>
      </c>
      <c r="G70" s="461">
        <f>IFERROR(__xludf.DUMMYFUNCTION("""COMPUTED_VALUE"""),0.0)</f>
        <v>0</v>
      </c>
      <c r="H70" s="461">
        <f>IFERROR(__xludf.DUMMYFUNCTION("""COMPUTED_VALUE"""),0.0)</f>
        <v>0</v>
      </c>
      <c r="I70" s="461">
        <f>IFERROR(__xludf.DUMMYFUNCTION("""COMPUTED_VALUE"""),0.0)</f>
        <v>0</v>
      </c>
      <c r="J70" s="461">
        <f>IFERROR(__xludf.DUMMYFUNCTION("""COMPUTED_VALUE"""),0.0)</f>
        <v>0</v>
      </c>
      <c r="K70" s="461">
        <f>IFERROR(__xludf.DUMMYFUNCTION("""COMPUTED_VALUE"""),0.0)</f>
        <v>0</v>
      </c>
      <c r="L70" s="461">
        <f>IFERROR(__xludf.DUMMYFUNCTION("""COMPUTED_VALUE"""),0.0)</f>
        <v>0</v>
      </c>
      <c r="M70" s="461">
        <f>IFERROR(__xludf.DUMMYFUNCTION("""COMPUTED_VALUE"""),0.0)</f>
        <v>0</v>
      </c>
      <c r="N70" s="461">
        <f>IFERROR(__xludf.DUMMYFUNCTION("""COMPUTED_VALUE"""),0.0)</f>
        <v>0</v>
      </c>
      <c r="O70" s="461">
        <f>IFERROR(__xludf.DUMMYFUNCTION("""COMPUTED_VALUE"""),0.0)</f>
        <v>0</v>
      </c>
      <c r="P70" s="461">
        <f t="shared" si="7"/>
        <v>0</v>
      </c>
    </row>
    <row r="71" ht="14.25" customHeight="1">
      <c r="A71" s="469" t="s">
        <v>830</v>
      </c>
      <c r="B71" s="459"/>
      <c r="C71" s="477" t="s">
        <v>831</v>
      </c>
      <c r="D71" s="461">
        <f>IFERROR(__xludf.DUMMYFUNCTION("""COMPUTED_VALUE"""),0.0)</f>
        <v>0</v>
      </c>
      <c r="E71" s="461">
        <f>IFERROR(__xludf.DUMMYFUNCTION("""COMPUTED_VALUE"""),0.0)</f>
        <v>0</v>
      </c>
      <c r="F71" s="461">
        <f>IFERROR(__xludf.DUMMYFUNCTION("""COMPUTED_VALUE"""),0.0)</f>
        <v>0</v>
      </c>
      <c r="G71" s="461">
        <f>IFERROR(__xludf.DUMMYFUNCTION("""COMPUTED_VALUE"""),0.0)</f>
        <v>0</v>
      </c>
      <c r="H71" s="461">
        <f>IFERROR(__xludf.DUMMYFUNCTION("""COMPUTED_VALUE"""),0.0)</f>
        <v>0</v>
      </c>
      <c r="I71" s="461">
        <f>IFERROR(__xludf.DUMMYFUNCTION("""COMPUTED_VALUE"""),0.0)</f>
        <v>0</v>
      </c>
      <c r="J71" s="461">
        <f>IFERROR(__xludf.DUMMYFUNCTION("""COMPUTED_VALUE"""),0.0)</f>
        <v>0</v>
      </c>
      <c r="K71" s="461">
        <f>IFERROR(__xludf.DUMMYFUNCTION("""COMPUTED_VALUE"""),0.0)</f>
        <v>0</v>
      </c>
      <c r="L71" s="461">
        <f>IFERROR(__xludf.DUMMYFUNCTION("""COMPUTED_VALUE"""),0.0)</f>
        <v>0</v>
      </c>
      <c r="M71" s="461">
        <f>IFERROR(__xludf.DUMMYFUNCTION("""COMPUTED_VALUE"""),0.0)</f>
        <v>0</v>
      </c>
      <c r="N71" s="461">
        <f>IFERROR(__xludf.DUMMYFUNCTION("""COMPUTED_VALUE"""),0.0)</f>
        <v>0</v>
      </c>
      <c r="O71" s="461">
        <f>IFERROR(__xludf.DUMMYFUNCTION("""COMPUTED_VALUE"""),0.0)</f>
        <v>0</v>
      </c>
      <c r="P71" s="461">
        <f t="shared" si="7"/>
        <v>0</v>
      </c>
    </row>
    <row r="72" ht="14.25" customHeight="1">
      <c r="A72" s="469" t="s">
        <v>823</v>
      </c>
      <c r="B72" s="477"/>
      <c r="C72" s="477" t="s">
        <v>1088</v>
      </c>
      <c r="D72" s="461">
        <f>IFERROR(__xludf.DUMMYFUNCTION("""COMPUTED_VALUE"""),221362.05561956097)</f>
        <v>221362.0556</v>
      </c>
      <c r="E72" s="461">
        <f>IFERROR(__xludf.DUMMYFUNCTION("""COMPUTED_VALUE"""),189361.94973141863)</f>
        <v>189361.9497</v>
      </c>
      <c r="F72" s="461">
        <f>IFERROR(__xludf.DUMMYFUNCTION("""COMPUTED_VALUE"""),184390.35841874732)</f>
        <v>184390.3584</v>
      </c>
      <c r="G72" s="461">
        <f>IFERROR(__xludf.DUMMYFUNCTION("""COMPUTED_VALUE"""),194139.56674411858)</f>
        <v>194139.5667</v>
      </c>
      <c r="H72" s="461">
        <f>IFERROR(__xludf.DUMMYFUNCTION("""COMPUTED_VALUE"""),181609.56750193198)</f>
        <v>181609.5675</v>
      </c>
      <c r="I72" s="461">
        <f>IFERROR(__xludf.DUMMYFUNCTION("""COMPUTED_VALUE"""),181537.361246521)</f>
        <v>181537.3612</v>
      </c>
      <c r="J72" s="461">
        <f>IFERROR(__xludf.DUMMYFUNCTION("""COMPUTED_VALUE"""),181827.0503639888)</f>
        <v>181827.0504</v>
      </c>
      <c r="K72" s="461">
        <f>IFERROR(__xludf.DUMMYFUNCTION("""COMPUTED_VALUE"""),183243.72369021276)</f>
        <v>183243.7237</v>
      </c>
      <c r="L72" s="461">
        <f>IFERROR(__xludf.DUMMYFUNCTION("""COMPUTED_VALUE"""),180752.83561896888)</f>
        <v>180752.8356</v>
      </c>
      <c r="M72" s="461">
        <f>IFERROR(__xludf.DUMMYFUNCTION("""COMPUTED_VALUE"""),188042.7245600777)</f>
        <v>188042.7246</v>
      </c>
      <c r="N72" s="461">
        <f>IFERROR(__xludf.DUMMYFUNCTION("""COMPUTED_VALUE"""),179527.75082767743)</f>
        <v>179527.7508</v>
      </c>
      <c r="O72" s="461">
        <f>IFERROR(__xludf.DUMMYFUNCTION("""COMPUTED_VALUE"""),185562.12400173757)</f>
        <v>185562.124</v>
      </c>
      <c r="P72" s="461">
        <f t="shared" si="7"/>
        <v>2251357.068</v>
      </c>
    </row>
    <row r="73" ht="14.25" customHeight="1">
      <c r="A73" s="463" t="s">
        <v>838</v>
      </c>
      <c r="B73" s="470"/>
      <c r="C73" s="476"/>
      <c r="D73" s="475">
        <f>IFERROR(__xludf.DUMMYFUNCTION("""COMPUTED_VALUE"""),837647.8550225069)</f>
        <v>837647.855</v>
      </c>
      <c r="E73" s="475">
        <f>IFERROR(__xludf.DUMMYFUNCTION("""COMPUTED_VALUE"""),699312.9679993162)</f>
        <v>699312.968</v>
      </c>
      <c r="F73" s="475">
        <f>IFERROR(__xludf.DUMMYFUNCTION("""COMPUTED_VALUE"""),643200.1140133692)</f>
        <v>643200.114</v>
      </c>
      <c r="G73" s="475">
        <f>IFERROR(__xludf.DUMMYFUNCTION("""COMPUTED_VALUE"""),754550.7949525987)</f>
        <v>754550.795</v>
      </c>
      <c r="H73" s="475">
        <f>IFERROR(__xludf.DUMMYFUNCTION("""COMPUTED_VALUE"""),620015.438498874)</f>
        <v>620015.4385</v>
      </c>
      <c r="I73" s="475">
        <f>IFERROR(__xludf.DUMMYFUNCTION("""COMPUTED_VALUE"""),619559.3253392956)</f>
        <v>619559.3253</v>
      </c>
      <c r="J73" s="475">
        <f>IFERROR(__xludf.DUMMYFUNCTION("""COMPUTED_VALUE"""),629991.4418477481)</f>
        <v>629991.4418</v>
      </c>
      <c r="K73" s="475">
        <f>IFERROR(__xludf.DUMMYFUNCTION("""COMPUTED_VALUE"""),616614.260288609)</f>
        <v>616614.2603</v>
      </c>
      <c r="L73" s="475">
        <f>IFERROR(__xludf.DUMMYFUNCTION("""COMPUTED_VALUE"""),604982.3401620053)</f>
        <v>604982.3402</v>
      </c>
      <c r="M73" s="475">
        <f>IFERROR(__xludf.DUMMYFUNCTION("""COMPUTED_VALUE"""),693199.913948149)</f>
        <v>693199.9139</v>
      </c>
      <c r="N73" s="475">
        <f>IFERROR(__xludf.DUMMYFUNCTION("""COMPUTED_VALUE"""),596998.5903296003)</f>
        <v>596998.5903</v>
      </c>
      <c r="O73" s="475">
        <f>IFERROR(__xludf.DUMMYFUNCTION("""COMPUTED_VALUE"""),642675.579565058)</f>
        <v>642675.5796</v>
      </c>
      <c r="P73" s="475">
        <f>sum(P60:P72)</f>
        <v>7958748.622</v>
      </c>
    </row>
    <row r="74" ht="14.25" customHeight="1">
      <c r="A74" s="469" t="s">
        <v>108</v>
      </c>
      <c r="B74" s="459"/>
      <c r="C74" s="477" t="s">
        <v>839</v>
      </c>
      <c r="D74" s="461">
        <f>IFERROR(__xludf.DUMMYFUNCTION("""COMPUTED_VALUE"""),0.0)</f>
        <v>0</v>
      </c>
      <c r="E74" s="461">
        <f>IFERROR(__xludf.DUMMYFUNCTION("""COMPUTED_VALUE"""),0.0)</f>
        <v>0</v>
      </c>
      <c r="F74" s="461">
        <f>IFERROR(__xludf.DUMMYFUNCTION("""COMPUTED_VALUE"""),0.0)</f>
        <v>0</v>
      </c>
      <c r="G74" s="461">
        <f>IFERROR(__xludf.DUMMYFUNCTION("""COMPUTED_VALUE"""),0.0)</f>
        <v>0</v>
      </c>
      <c r="H74" s="461">
        <f>IFERROR(__xludf.DUMMYFUNCTION("""COMPUTED_VALUE"""),0.0)</f>
        <v>0</v>
      </c>
      <c r="I74" s="461">
        <f>IFERROR(__xludf.DUMMYFUNCTION("""COMPUTED_VALUE"""),0.0)</f>
        <v>0</v>
      </c>
      <c r="J74" s="461">
        <f>IFERROR(__xludf.DUMMYFUNCTION("""COMPUTED_VALUE"""),0.0)</f>
        <v>0</v>
      </c>
      <c r="K74" s="461">
        <f>IFERROR(__xludf.DUMMYFUNCTION("""COMPUTED_VALUE"""),0.0)</f>
        <v>0</v>
      </c>
      <c r="L74" s="461">
        <f>IFERROR(__xludf.DUMMYFUNCTION("""COMPUTED_VALUE"""),0.0)</f>
        <v>0</v>
      </c>
      <c r="M74" s="461">
        <f>IFERROR(__xludf.DUMMYFUNCTION("""COMPUTED_VALUE"""),0.0)</f>
        <v>0</v>
      </c>
      <c r="N74" s="461">
        <f>IFERROR(__xludf.DUMMYFUNCTION("""COMPUTED_VALUE"""),0.0)</f>
        <v>0</v>
      </c>
      <c r="O74" s="461">
        <f>IFERROR(__xludf.DUMMYFUNCTION("""COMPUTED_VALUE"""),0.0)</f>
        <v>0</v>
      </c>
      <c r="P74" s="461">
        <f t="shared" ref="P74:P77" si="8">sum(D74:O74)</f>
        <v>0</v>
      </c>
    </row>
    <row r="75" ht="14.25" customHeight="1">
      <c r="A75" s="469" t="s">
        <v>178</v>
      </c>
      <c r="B75" s="459"/>
      <c r="C75" s="477" t="s">
        <v>840</v>
      </c>
      <c r="D75" s="461">
        <f>IFERROR(__xludf.DUMMYFUNCTION("""COMPUTED_VALUE"""),0.0)</f>
        <v>0</v>
      </c>
      <c r="E75" s="461">
        <f>IFERROR(__xludf.DUMMYFUNCTION("""COMPUTED_VALUE"""),0.0)</f>
        <v>0</v>
      </c>
      <c r="F75" s="461">
        <f>IFERROR(__xludf.DUMMYFUNCTION("""COMPUTED_VALUE"""),0.0)</f>
        <v>0</v>
      </c>
      <c r="G75" s="461">
        <f>IFERROR(__xludf.DUMMYFUNCTION("""COMPUTED_VALUE"""),0.0)</f>
        <v>0</v>
      </c>
      <c r="H75" s="461">
        <f>IFERROR(__xludf.DUMMYFUNCTION("""COMPUTED_VALUE"""),0.0)</f>
        <v>0</v>
      </c>
      <c r="I75" s="461">
        <f>IFERROR(__xludf.DUMMYFUNCTION("""COMPUTED_VALUE"""),0.0)</f>
        <v>0</v>
      </c>
      <c r="J75" s="461">
        <f>IFERROR(__xludf.DUMMYFUNCTION("""COMPUTED_VALUE"""),0.0)</f>
        <v>0</v>
      </c>
      <c r="K75" s="461">
        <f>IFERROR(__xludf.DUMMYFUNCTION("""COMPUTED_VALUE"""),0.0)</f>
        <v>0</v>
      </c>
      <c r="L75" s="461">
        <f>IFERROR(__xludf.DUMMYFUNCTION("""COMPUTED_VALUE"""),0.0)</f>
        <v>0</v>
      </c>
      <c r="M75" s="461">
        <f>IFERROR(__xludf.DUMMYFUNCTION("""COMPUTED_VALUE"""),0.0)</f>
        <v>0</v>
      </c>
      <c r="N75" s="461">
        <f>IFERROR(__xludf.DUMMYFUNCTION("""COMPUTED_VALUE"""),0.0)</f>
        <v>0</v>
      </c>
      <c r="O75" s="461">
        <f>IFERROR(__xludf.DUMMYFUNCTION("""COMPUTED_VALUE"""),0.0)</f>
        <v>0</v>
      </c>
      <c r="P75" s="461">
        <f t="shared" si="8"/>
        <v>0</v>
      </c>
    </row>
    <row r="76" ht="14.25" customHeight="1">
      <c r="A76" s="469" t="s">
        <v>229</v>
      </c>
      <c r="B76" s="459"/>
      <c r="C76" s="477" t="s">
        <v>841</v>
      </c>
      <c r="D76" s="461">
        <f>IFERROR(__xludf.DUMMYFUNCTION("""COMPUTED_VALUE"""),0.0)</f>
        <v>0</v>
      </c>
      <c r="E76" s="461">
        <f>IFERROR(__xludf.DUMMYFUNCTION("""COMPUTED_VALUE"""),0.0)</f>
        <v>0</v>
      </c>
      <c r="F76" s="461">
        <f>IFERROR(__xludf.DUMMYFUNCTION("""COMPUTED_VALUE"""),0.0)</f>
        <v>0</v>
      </c>
      <c r="G76" s="461">
        <f>IFERROR(__xludf.DUMMYFUNCTION("""COMPUTED_VALUE"""),0.0)</f>
        <v>0</v>
      </c>
      <c r="H76" s="461">
        <f>IFERROR(__xludf.DUMMYFUNCTION("""COMPUTED_VALUE"""),0.0)</f>
        <v>0</v>
      </c>
      <c r="I76" s="461">
        <f>IFERROR(__xludf.DUMMYFUNCTION("""COMPUTED_VALUE"""),0.0)</f>
        <v>0</v>
      </c>
      <c r="J76" s="461">
        <f>IFERROR(__xludf.DUMMYFUNCTION("""COMPUTED_VALUE"""),0.0)</f>
        <v>0</v>
      </c>
      <c r="K76" s="461">
        <f>IFERROR(__xludf.DUMMYFUNCTION("""COMPUTED_VALUE"""),0.0)</f>
        <v>0</v>
      </c>
      <c r="L76" s="461">
        <f>IFERROR(__xludf.DUMMYFUNCTION("""COMPUTED_VALUE"""),0.0)</f>
        <v>0</v>
      </c>
      <c r="M76" s="461">
        <f>IFERROR(__xludf.DUMMYFUNCTION("""COMPUTED_VALUE"""),0.0)</f>
        <v>0</v>
      </c>
      <c r="N76" s="461">
        <f>IFERROR(__xludf.DUMMYFUNCTION("""COMPUTED_VALUE"""),0.0)</f>
        <v>0</v>
      </c>
      <c r="O76" s="461">
        <f>IFERROR(__xludf.DUMMYFUNCTION("""COMPUTED_VALUE"""),0.0)</f>
        <v>0</v>
      </c>
      <c r="P76" s="461">
        <f t="shared" si="8"/>
        <v>0</v>
      </c>
    </row>
    <row r="77" ht="14.25" customHeight="1">
      <c r="A77" s="469" t="s">
        <v>284</v>
      </c>
      <c r="B77" s="477"/>
      <c r="C77" s="477" t="s">
        <v>842</v>
      </c>
      <c r="D77" s="461">
        <f>IFERROR(__xludf.DUMMYFUNCTION("""COMPUTED_VALUE"""),0.0)</f>
        <v>0</v>
      </c>
      <c r="E77" s="461">
        <f>IFERROR(__xludf.DUMMYFUNCTION("""COMPUTED_VALUE"""),0.0)</f>
        <v>0</v>
      </c>
      <c r="F77" s="461">
        <f>IFERROR(__xludf.DUMMYFUNCTION("""COMPUTED_VALUE"""),0.0)</f>
        <v>0</v>
      </c>
      <c r="G77" s="461">
        <f>IFERROR(__xludf.DUMMYFUNCTION("""COMPUTED_VALUE"""),0.0)</f>
        <v>0</v>
      </c>
      <c r="H77" s="461">
        <f>IFERROR(__xludf.DUMMYFUNCTION("""COMPUTED_VALUE"""),0.0)</f>
        <v>0</v>
      </c>
      <c r="I77" s="461">
        <f>IFERROR(__xludf.DUMMYFUNCTION("""COMPUTED_VALUE"""),0.0)</f>
        <v>0</v>
      </c>
      <c r="J77" s="461">
        <f>IFERROR(__xludf.DUMMYFUNCTION("""COMPUTED_VALUE"""),0.0)</f>
        <v>0</v>
      </c>
      <c r="K77" s="461">
        <f>IFERROR(__xludf.DUMMYFUNCTION("""COMPUTED_VALUE"""),0.0)</f>
        <v>0</v>
      </c>
      <c r="L77" s="461">
        <f>IFERROR(__xludf.DUMMYFUNCTION("""COMPUTED_VALUE"""),0.0)</f>
        <v>0</v>
      </c>
      <c r="M77" s="461">
        <f>IFERROR(__xludf.DUMMYFUNCTION("""COMPUTED_VALUE"""),0.0)</f>
        <v>0</v>
      </c>
      <c r="N77" s="461">
        <f>IFERROR(__xludf.DUMMYFUNCTION("""COMPUTED_VALUE"""),0.0)</f>
        <v>0</v>
      </c>
      <c r="O77" s="461">
        <f>IFERROR(__xludf.DUMMYFUNCTION("""COMPUTED_VALUE"""),0.0)</f>
        <v>0</v>
      </c>
      <c r="P77" s="461">
        <f t="shared" si="8"/>
        <v>0</v>
      </c>
    </row>
    <row r="78" ht="14.25" customHeight="1">
      <c r="A78" s="482" t="s">
        <v>843</v>
      </c>
      <c r="B78" s="483"/>
      <c r="C78" s="484"/>
      <c r="D78" s="475">
        <f>IFERROR(__xludf.DUMMYFUNCTION("""COMPUTED_VALUE"""),0.0)</f>
        <v>0</v>
      </c>
      <c r="E78" s="475">
        <f>IFERROR(__xludf.DUMMYFUNCTION("""COMPUTED_VALUE"""),0.0)</f>
        <v>0</v>
      </c>
      <c r="F78" s="475">
        <f>IFERROR(__xludf.DUMMYFUNCTION("""COMPUTED_VALUE"""),0.0)</f>
        <v>0</v>
      </c>
      <c r="G78" s="475">
        <f>IFERROR(__xludf.DUMMYFUNCTION("""COMPUTED_VALUE"""),0.0)</f>
        <v>0</v>
      </c>
      <c r="H78" s="475">
        <f>IFERROR(__xludf.DUMMYFUNCTION("""COMPUTED_VALUE"""),0.0)</f>
        <v>0</v>
      </c>
      <c r="I78" s="475">
        <f>IFERROR(__xludf.DUMMYFUNCTION("""COMPUTED_VALUE"""),0.0)</f>
        <v>0</v>
      </c>
      <c r="J78" s="475">
        <f>IFERROR(__xludf.DUMMYFUNCTION("""COMPUTED_VALUE"""),0.0)</f>
        <v>0</v>
      </c>
      <c r="K78" s="475">
        <f>IFERROR(__xludf.DUMMYFUNCTION("""COMPUTED_VALUE"""),0.0)</f>
        <v>0</v>
      </c>
      <c r="L78" s="475">
        <f>IFERROR(__xludf.DUMMYFUNCTION("""COMPUTED_VALUE"""),0.0)</f>
        <v>0</v>
      </c>
      <c r="M78" s="475">
        <f>IFERROR(__xludf.DUMMYFUNCTION("""COMPUTED_VALUE"""),0.0)</f>
        <v>0</v>
      </c>
      <c r="N78" s="475">
        <f>IFERROR(__xludf.DUMMYFUNCTION("""COMPUTED_VALUE"""),0.0)</f>
        <v>0</v>
      </c>
      <c r="O78" s="475">
        <f>IFERROR(__xludf.DUMMYFUNCTION("""COMPUTED_VALUE"""),0.0)</f>
        <v>0</v>
      </c>
      <c r="P78" s="475">
        <f>sum(P74:P77)</f>
        <v>0</v>
      </c>
    </row>
    <row r="79" ht="14.25" customHeight="1">
      <c r="A79" s="469" t="s">
        <v>1089</v>
      </c>
      <c r="B79" s="459"/>
      <c r="C79" s="477" t="s">
        <v>844</v>
      </c>
      <c r="D79" s="461">
        <f>IFERROR(__xludf.DUMMYFUNCTION("""COMPUTED_VALUE"""),0.0)</f>
        <v>0</v>
      </c>
      <c r="E79" s="461">
        <f>IFERROR(__xludf.DUMMYFUNCTION("""COMPUTED_VALUE"""),0.0)</f>
        <v>0</v>
      </c>
      <c r="F79" s="461">
        <f>IFERROR(__xludf.DUMMYFUNCTION("""COMPUTED_VALUE"""),0.0)</f>
        <v>0</v>
      </c>
      <c r="G79" s="461">
        <f>IFERROR(__xludf.DUMMYFUNCTION("""COMPUTED_VALUE"""),0.0)</f>
        <v>0</v>
      </c>
      <c r="H79" s="461">
        <f>IFERROR(__xludf.DUMMYFUNCTION("""COMPUTED_VALUE"""),0.0)</f>
        <v>0</v>
      </c>
      <c r="I79" s="461">
        <f>IFERROR(__xludf.DUMMYFUNCTION("""COMPUTED_VALUE"""),0.0)</f>
        <v>0</v>
      </c>
      <c r="J79" s="461">
        <f>IFERROR(__xludf.DUMMYFUNCTION("""COMPUTED_VALUE"""),0.0)</f>
        <v>0</v>
      </c>
      <c r="K79" s="461">
        <f>IFERROR(__xludf.DUMMYFUNCTION("""COMPUTED_VALUE"""),0.0)</f>
        <v>0</v>
      </c>
      <c r="L79" s="461">
        <f>IFERROR(__xludf.DUMMYFUNCTION("""COMPUTED_VALUE"""),0.0)</f>
        <v>0</v>
      </c>
      <c r="M79" s="461">
        <f>IFERROR(__xludf.DUMMYFUNCTION("""COMPUTED_VALUE"""),0.0)</f>
        <v>0</v>
      </c>
      <c r="N79" s="461">
        <f>IFERROR(__xludf.DUMMYFUNCTION("""COMPUTED_VALUE"""),0.0)</f>
        <v>0</v>
      </c>
      <c r="O79" s="461">
        <f>IFERROR(__xludf.DUMMYFUNCTION("""COMPUTED_VALUE"""),0.0)</f>
        <v>0</v>
      </c>
      <c r="P79" s="461">
        <f t="shared" ref="P79:P80" si="9">sum(D79:O79)</f>
        <v>0</v>
      </c>
    </row>
    <row r="80" ht="14.25" customHeight="1">
      <c r="A80" s="469" t="s">
        <v>1090</v>
      </c>
      <c r="B80" s="459"/>
      <c r="C80" s="477" t="s">
        <v>845</v>
      </c>
      <c r="D80" s="461">
        <f>IFERROR(__xludf.DUMMYFUNCTION("""COMPUTED_VALUE"""),0.0)</f>
        <v>0</v>
      </c>
      <c r="E80" s="461">
        <f>IFERROR(__xludf.DUMMYFUNCTION("""COMPUTED_VALUE"""),0.0)</f>
        <v>0</v>
      </c>
      <c r="F80" s="461">
        <f>IFERROR(__xludf.DUMMYFUNCTION("""COMPUTED_VALUE"""),0.0)</f>
        <v>0</v>
      </c>
      <c r="G80" s="461">
        <f>IFERROR(__xludf.DUMMYFUNCTION("""COMPUTED_VALUE"""),0.0)</f>
        <v>0</v>
      </c>
      <c r="H80" s="461">
        <f>IFERROR(__xludf.DUMMYFUNCTION("""COMPUTED_VALUE"""),0.0)</f>
        <v>0</v>
      </c>
      <c r="I80" s="461">
        <f>IFERROR(__xludf.DUMMYFUNCTION("""COMPUTED_VALUE"""),0.0)</f>
        <v>0</v>
      </c>
      <c r="J80" s="461">
        <f>IFERROR(__xludf.DUMMYFUNCTION("""COMPUTED_VALUE"""),0.0)</f>
        <v>0</v>
      </c>
      <c r="K80" s="461">
        <f>IFERROR(__xludf.DUMMYFUNCTION("""COMPUTED_VALUE"""),0.0)</f>
        <v>0</v>
      </c>
      <c r="L80" s="461">
        <f>IFERROR(__xludf.DUMMYFUNCTION("""COMPUTED_VALUE"""),0.0)</f>
        <v>0</v>
      </c>
      <c r="M80" s="461">
        <f>IFERROR(__xludf.DUMMYFUNCTION("""COMPUTED_VALUE"""),0.0)</f>
        <v>0</v>
      </c>
      <c r="N80" s="461">
        <f>IFERROR(__xludf.DUMMYFUNCTION("""COMPUTED_VALUE"""),0.0)</f>
        <v>0</v>
      </c>
      <c r="O80" s="461">
        <f>IFERROR(__xludf.DUMMYFUNCTION("""COMPUTED_VALUE"""),0.0)</f>
        <v>0</v>
      </c>
      <c r="P80" s="461">
        <f t="shared" si="9"/>
        <v>0</v>
      </c>
    </row>
    <row r="81" ht="14.25" customHeight="1">
      <c r="A81" s="482" t="s">
        <v>846</v>
      </c>
      <c r="B81" s="483"/>
      <c r="C81" s="484"/>
      <c r="D81" s="475">
        <f>IFERROR(__xludf.DUMMYFUNCTION("""COMPUTED_VALUE"""),0.0)</f>
        <v>0</v>
      </c>
      <c r="E81" s="475">
        <f>IFERROR(__xludf.DUMMYFUNCTION("""COMPUTED_VALUE"""),0.0)</f>
        <v>0</v>
      </c>
      <c r="F81" s="475">
        <f>IFERROR(__xludf.DUMMYFUNCTION("""COMPUTED_VALUE"""),0.0)</f>
        <v>0</v>
      </c>
      <c r="G81" s="475">
        <f>IFERROR(__xludf.DUMMYFUNCTION("""COMPUTED_VALUE"""),0.0)</f>
        <v>0</v>
      </c>
      <c r="H81" s="475">
        <f>IFERROR(__xludf.DUMMYFUNCTION("""COMPUTED_VALUE"""),0.0)</f>
        <v>0</v>
      </c>
      <c r="I81" s="475">
        <f>IFERROR(__xludf.DUMMYFUNCTION("""COMPUTED_VALUE"""),0.0)</f>
        <v>0</v>
      </c>
      <c r="J81" s="475">
        <f>IFERROR(__xludf.DUMMYFUNCTION("""COMPUTED_VALUE"""),0.0)</f>
        <v>0</v>
      </c>
      <c r="K81" s="475">
        <f>IFERROR(__xludf.DUMMYFUNCTION("""COMPUTED_VALUE"""),0.0)</f>
        <v>0</v>
      </c>
      <c r="L81" s="475">
        <f>IFERROR(__xludf.DUMMYFUNCTION("""COMPUTED_VALUE"""),0.0)</f>
        <v>0</v>
      </c>
      <c r="M81" s="475">
        <f>IFERROR(__xludf.DUMMYFUNCTION("""COMPUTED_VALUE"""),0.0)</f>
        <v>0</v>
      </c>
      <c r="N81" s="475">
        <f>IFERROR(__xludf.DUMMYFUNCTION("""COMPUTED_VALUE"""),0.0)</f>
        <v>0</v>
      </c>
      <c r="O81" s="475">
        <f>IFERROR(__xludf.DUMMYFUNCTION("""COMPUTED_VALUE"""),0.0)</f>
        <v>0</v>
      </c>
      <c r="P81" s="475">
        <f>sum(P79:P80)</f>
        <v>0</v>
      </c>
    </row>
    <row r="82" ht="14.25" customHeight="1">
      <c r="A82" s="469" t="s">
        <v>1091</v>
      </c>
      <c r="B82" s="459"/>
      <c r="C82" s="477" t="s">
        <v>847</v>
      </c>
      <c r="D82" s="461">
        <f>IFERROR(__xludf.DUMMYFUNCTION("""COMPUTED_VALUE"""),0.0)</f>
        <v>0</v>
      </c>
      <c r="E82" s="461">
        <f>IFERROR(__xludf.DUMMYFUNCTION("""COMPUTED_VALUE"""),0.0)</f>
        <v>0</v>
      </c>
      <c r="F82" s="461">
        <f>IFERROR(__xludf.DUMMYFUNCTION("""COMPUTED_VALUE"""),0.0)</f>
        <v>0</v>
      </c>
      <c r="G82" s="461">
        <f>IFERROR(__xludf.DUMMYFUNCTION("""COMPUTED_VALUE"""),0.0)</f>
        <v>0</v>
      </c>
      <c r="H82" s="461">
        <f>IFERROR(__xludf.DUMMYFUNCTION("""COMPUTED_VALUE"""),0.0)</f>
        <v>0</v>
      </c>
      <c r="I82" s="461">
        <f>IFERROR(__xludf.DUMMYFUNCTION("""COMPUTED_VALUE"""),0.0)</f>
        <v>0</v>
      </c>
      <c r="J82" s="461">
        <f>IFERROR(__xludf.DUMMYFUNCTION("""COMPUTED_VALUE"""),0.0)</f>
        <v>0</v>
      </c>
      <c r="K82" s="461">
        <f>IFERROR(__xludf.DUMMYFUNCTION("""COMPUTED_VALUE"""),0.0)</f>
        <v>0</v>
      </c>
      <c r="L82" s="461">
        <f>IFERROR(__xludf.DUMMYFUNCTION("""COMPUTED_VALUE"""),0.0)</f>
        <v>0</v>
      </c>
      <c r="M82" s="461">
        <f>IFERROR(__xludf.DUMMYFUNCTION("""COMPUTED_VALUE"""),0.0)</f>
        <v>0</v>
      </c>
      <c r="N82" s="461">
        <f>IFERROR(__xludf.DUMMYFUNCTION("""COMPUTED_VALUE"""),0.0)</f>
        <v>0</v>
      </c>
      <c r="O82" s="461">
        <f>IFERROR(__xludf.DUMMYFUNCTION("""COMPUTED_VALUE"""),0.0)</f>
        <v>0</v>
      </c>
      <c r="P82" s="461">
        <f t="shared" ref="P82:P83" si="10">sum(D82:O82)</f>
        <v>0</v>
      </c>
    </row>
    <row r="83" ht="14.25" customHeight="1">
      <c r="A83" s="469" t="s">
        <v>1092</v>
      </c>
      <c r="B83" s="477"/>
      <c r="C83" s="477" t="s">
        <v>848</v>
      </c>
      <c r="D83" s="461">
        <f>IFERROR(__xludf.DUMMYFUNCTION("""COMPUTED_VALUE"""),0.0)</f>
        <v>0</v>
      </c>
      <c r="E83" s="461">
        <f>IFERROR(__xludf.DUMMYFUNCTION("""COMPUTED_VALUE"""),0.0)</f>
        <v>0</v>
      </c>
      <c r="F83" s="461">
        <f>IFERROR(__xludf.DUMMYFUNCTION("""COMPUTED_VALUE"""),0.0)</f>
        <v>0</v>
      </c>
      <c r="G83" s="461">
        <f>IFERROR(__xludf.DUMMYFUNCTION("""COMPUTED_VALUE"""),0.0)</f>
        <v>0</v>
      </c>
      <c r="H83" s="461">
        <f>IFERROR(__xludf.DUMMYFUNCTION("""COMPUTED_VALUE"""),0.0)</f>
        <v>0</v>
      </c>
      <c r="I83" s="461">
        <f>IFERROR(__xludf.DUMMYFUNCTION("""COMPUTED_VALUE"""),0.0)</f>
        <v>0</v>
      </c>
      <c r="J83" s="461">
        <f>IFERROR(__xludf.DUMMYFUNCTION("""COMPUTED_VALUE"""),0.0)</f>
        <v>0</v>
      </c>
      <c r="K83" s="461">
        <f>IFERROR(__xludf.DUMMYFUNCTION("""COMPUTED_VALUE"""),0.0)</f>
        <v>0</v>
      </c>
      <c r="L83" s="461">
        <f>IFERROR(__xludf.DUMMYFUNCTION("""COMPUTED_VALUE"""),0.0)</f>
        <v>0</v>
      </c>
      <c r="M83" s="461">
        <f>IFERROR(__xludf.DUMMYFUNCTION("""COMPUTED_VALUE"""),0.0)</f>
        <v>0</v>
      </c>
      <c r="N83" s="461">
        <f>IFERROR(__xludf.DUMMYFUNCTION("""COMPUTED_VALUE"""),0.0)</f>
        <v>0</v>
      </c>
      <c r="O83" s="461">
        <f>IFERROR(__xludf.DUMMYFUNCTION("""COMPUTED_VALUE"""),0.0)</f>
        <v>0</v>
      </c>
      <c r="P83" s="461">
        <f t="shared" si="10"/>
        <v>0</v>
      </c>
    </row>
    <row r="84" ht="14.25" customHeight="1">
      <c r="A84" s="482" t="s">
        <v>849</v>
      </c>
      <c r="B84" s="483"/>
      <c r="C84" s="484"/>
      <c r="D84" s="475">
        <f>IFERROR(__xludf.DUMMYFUNCTION("""COMPUTED_VALUE"""),0.0)</f>
        <v>0</v>
      </c>
      <c r="E84" s="475">
        <f>IFERROR(__xludf.DUMMYFUNCTION("""COMPUTED_VALUE"""),0.0)</f>
        <v>0</v>
      </c>
      <c r="F84" s="475">
        <f>IFERROR(__xludf.DUMMYFUNCTION("""COMPUTED_VALUE"""),0.0)</f>
        <v>0</v>
      </c>
      <c r="G84" s="475">
        <f>IFERROR(__xludf.DUMMYFUNCTION("""COMPUTED_VALUE"""),0.0)</f>
        <v>0</v>
      </c>
      <c r="H84" s="475">
        <f>IFERROR(__xludf.DUMMYFUNCTION("""COMPUTED_VALUE"""),0.0)</f>
        <v>0</v>
      </c>
      <c r="I84" s="475">
        <f>IFERROR(__xludf.DUMMYFUNCTION("""COMPUTED_VALUE"""),0.0)</f>
        <v>0</v>
      </c>
      <c r="J84" s="475">
        <f>IFERROR(__xludf.DUMMYFUNCTION("""COMPUTED_VALUE"""),0.0)</f>
        <v>0</v>
      </c>
      <c r="K84" s="475">
        <f>IFERROR(__xludf.DUMMYFUNCTION("""COMPUTED_VALUE"""),0.0)</f>
        <v>0</v>
      </c>
      <c r="L84" s="475">
        <f>IFERROR(__xludf.DUMMYFUNCTION("""COMPUTED_VALUE"""),0.0)</f>
        <v>0</v>
      </c>
      <c r="M84" s="475">
        <f>IFERROR(__xludf.DUMMYFUNCTION("""COMPUTED_VALUE"""),0.0)</f>
        <v>0</v>
      </c>
      <c r="N84" s="475">
        <f>IFERROR(__xludf.DUMMYFUNCTION("""COMPUTED_VALUE"""),0.0)</f>
        <v>0</v>
      </c>
      <c r="O84" s="475">
        <f>IFERROR(__xludf.DUMMYFUNCTION("""COMPUTED_VALUE"""),0.0)</f>
        <v>0</v>
      </c>
      <c r="P84" s="475">
        <f>sum(P82:P83)</f>
        <v>0</v>
      </c>
    </row>
    <row r="85" ht="14.25" customHeight="1">
      <c r="A85" s="469" t="s">
        <v>43</v>
      </c>
      <c r="B85" s="459"/>
      <c r="C85" s="477" t="s">
        <v>850</v>
      </c>
      <c r="D85" s="461">
        <f>IFERROR(__xludf.DUMMYFUNCTION("""COMPUTED_VALUE"""),0.0)</f>
        <v>0</v>
      </c>
      <c r="E85" s="461">
        <f>IFERROR(__xludf.DUMMYFUNCTION("""COMPUTED_VALUE"""),0.0)</f>
        <v>0</v>
      </c>
      <c r="F85" s="461">
        <f>IFERROR(__xludf.DUMMYFUNCTION("""COMPUTED_VALUE"""),0.0)</f>
        <v>0</v>
      </c>
      <c r="G85" s="461">
        <f>IFERROR(__xludf.DUMMYFUNCTION("""COMPUTED_VALUE"""),0.0)</f>
        <v>0</v>
      </c>
      <c r="H85" s="461">
        <f>IFERROR(__xludf.DUMMYFUNCTION("""COMPUTED_VALUE"""),0.0)</f>
        <v>0</v>
      </c>
      <c r="I85" s="461">
        <f>IFERROR(__xludf.DUMMYFUNCTION("""COMPUTED_VALUE"""),0.0)</f>
        <v>0</v>
      </c>
      <c r="J85" s="461">
        <f>IFERROR(__xludf.DUMMYFUNCTION("""COMPUTED_VALUE"""),0.0)</f>
        <v>0</v>
      </c>
      <c r="K85" s="461">
        <f>IFERROR(__xludf.DUMMYFUNCTION("""COMPUTED_VALUE"""),0.0)</f>
        <v>0</v>
      </c>
      <c r="L85" s="461">
        <f>IFERROR(__xludf.DUMMYFUNCTION("""COMPUTED_VALUE"""),0.0)</f>
        <v>0</v>
      </c>
      <c r="M85" s="461">
        <f>IFERROR(__xludf.DUMMYFUNCTION("""COMPUTED_VALUE"""),0.0)</f>
        <v>0</v>
      </c>
      <c r="N85" s="461">
        <f>IFERROR(__xludf.DUMMYFUNCTION("""COMPUTED_VALUE"""),0.0)</f>
        <v>0</v>
      </c>
      <c r="O85" s="461">
        <f>IFERROR(__xludf.DUMMYFUNCTION("""COMPUTED_VALUE"""),0.0)</f>
        <v>0</v>
      </c>
      <c r="P85" s="461">
        <f>sum(D85:O85)</f>
        <v>0</v>
      </c>
    </row>
    <row r="86" ht="14.25" customHeight="1">
      <c r="A86" s="482" t="s">
        <v>851</v>
      </c>
      <c r="B86" s="484"/>
      <c r="C86" s="484"/>
      <c r="D86" s="475">
        <f>IFERROR(__xludf.DUMMYFUNCTION("""COMPUTED_VALUE"""),0.0)</f>
        <v>0</v>
      </c>
      <c r="E86" s="475">
        <f>IFERROR(__xludf.DUMMYFUNCTION("""COMPUTED_VALUE"""),0.0)</f>
        <v>0</v>
      </c>
      <c r="F86" s="475">
        <f>IFERROR(__xludf.DUMMYFUNCTION("""COMPUTED_VALUE"""),0.0)</f>
        <v>0</v>
      </c>
      <c r="G86" s="475">
        <f>IFERROR(__xludf.DUMMYFUNCTION("""COMPUTED_VALUE"""),0.0)</f>
        <v>0</v>
      </c>
      <c r="H86" s="475">
        <f>IFERROR(__xludf.DUMMYFUNCTION("""COMPUTED_VALUE"""),0.0)</f>
        <v>0</v>
      </c>
      <c r="I86" s="475">
        <f>IFERROR(__xludf.DUMMYFUNCTION("""COMPUTED_VALUE"""),0.0)</f>
        <v>0</v>
      </c>
      <c r="J86" s="475">
        <f>IFERROR(__xludf.DUMMYFUNCTION("""COMPUTED_VALUE"""),0.0)</f>
        <v>0</v>
      </c>
      <c r="K86" s="475">
        <f>IFERROR(__xludf.DUMMYFUNCTION("""COMPUTED_VALUE"""),0.0)</f>
        <v>0</v>
      </c>
      <c r="L86" s="475">
        <f>IFERROR(__xludf.DUMMYFUNCTION("""COMPUTED_VALUE"""),0.0)</f>
        <v>0</v>
      </c>
      <c r="M86" s="475">
        <f>IFERROR(__xludf.DUMMYFUNCTION("""COMPUTED_VALUE"""),0.0)</f>
        <v>0</v>
      </c>
      <c r="N86" s="475">
        <f>IFERROR(__xludf.DUMMYFUNCTION("""COMPUTED_VALUE"""),0.0)</f>
        <v>0</v>
      </c>
      <c r="O86" s="475">
        <f>IFERROR(__xludf.DUMMYFUNCTION("""COMPUTED_VALUE"""),0.0)</f>
        <v>0</v>
      </c>
      <c r="P86" s="475">
        <f>P85</f>
        <v>0</v>
      </c>
    </row>
    <row r="87" ht="14.25" customHeight="1">
      <c r="A87" s="469" t="s">
        <v>1093</v>
      </c>
      <c r="B87" s="477"/>
      <c r="C87" s="477" t="s">
        <v>852</v>
      </c>
      <c r="D87" s="461">
        <f>IFERROR(__xludf.DUMMYFUNCTION("""COMPUTED_VALUE"""),0.0)</f>
        <v>0</v>
      </c>
      <c r="E87" s="461">
        <f>IFERROR(__xludf.DUMMYFUNCTION("""COMPUTED_VALUE"""),0.0)</f>
        <v>0</v>
      </c>
      <c r="F87" s="461">
        <f>IFERROR(__xludf.DUMMYFUNCTION("""COMPUTED_VALUE"""),0.0)</f>
        <v>0</v>
      </c>
      <c r="G87" s="461">
        <f>IFERROR(__xludf.DUMMYFUNCTION("""COMPUTED_VALUE"""),0.0)</f>
        <v>0</v>
      </c>
      <c r="H87" s="461">
        <f>IFERROR(__xludf.DUMMYFUNCTION("""COMPUTED_VALUE"""),0.0)</f>
        <v>0</v>
      </c>
      <c r="I87" s="461">
        <f>IFERROR(__xludf.DUMMYFUNCTION("""COMPUTED_VALUE"""),0.0)</f>
        <v>0</v>
      </c>
      <c r="J87" s="461">
        <f>IFERROR(__xludf.DUMMYFUNCTION("""COMPUTED_VALUE"""),0.0)</f>
        <v>0</v>
      </c>
      <c r="K87" s="461">
        <f>IFERROR(__xludf.DUMMYFUNCTION("""COMPUTED_VALUE"""),0.0)</f>
        <v>0</v>
      </c>
      <c r="L87" s="461">
        <f>IFERROR(__xludf.DUMMYFUNCTION("""COMPUTED_VALUE"""),0.0)</f>
        <v>0</v>
      </c>
      <c r="M87" s="461">
        <f>IFERROR(__xludf.DUMMYFUNCTION("""COMPUTED_VALUE"""),0.0)</f>
        <v>0</v>
      </c>
      <c r="N87" s="461">
        <f>IFERROR(__xludf.DUMMYFUNCTION("""COMPUTED_VALUE"""),0.0)</f>
        <v>0</v>
      </c>
      <c r="O87" s="461">
        <f>IFERROR(__xludf.DUMMYFUNCTION("""COMPUTED_VALUE"""),0.0)</f>
        <v>0</v>
      </c>
      <c r="P87" s="461">
        <f>sum(D87:O87)</f>
        <v>0</v>
      </c>
    </row>
    <row r="88" ht="14.25" customHeight="1">
      <c r="A88" s="482" t="s">
        <v>1022</v>
      </c>
      <c r="B88" s="483"/>
      <c r="C88" s="484"/>
      <c r="D88" s="475">
        <f>IFERROR(__xludf.DUMMYFUNCTION("""COMPUTED_VALUE"""),0.0)</f>
        <v>0</v>
      </c>
      <c r="E88" s="475">
        <f>IFERROR(__xludf.DUMMYFUNCTION("""COMPUTED_VALUE"""),0.0)</f>
        <v>0</v>
      </c>
      <c r="F88" s="475">
        <f>IFERROR(__xludf.DUMMYFUNCTION("""COMPUTED_VALUE"""),0.0)</f>
        <v>0</v>
      </c>
      <c r="G88" s="475">
        <f>IFERROR(__xludf.DUMMYFUNCTION("""COMPUTED_VALUE"""),0.0)</f>
        <v>0</v>
      </c>
      <c r="H88" s="475">
        <f>IFERROR(__xludf.DUMMYFUNCTION("""COMPUTED_VALUE"""),0.0)</f>
        <v>0</v>
      </c>
      <c r="I88" s="475">
        <f>IFERROR(__xludf.DUMMYFUNCTION("""COMPUTED_VALUE"""),0.0)</f>
        <v>0</v>
      </c>
      <c r="J88" s="475">
        <f>IFERROR(__xludf.DUMMYFUNCTION("""COMPUTED_VALUE"""),0.0)</f>
        <v>0</v>
      </c>
      <c r="K88" s="475">
        <f>IFERROR(__xludf.DUMMYFUNCTION("""COMPUTED_VALUE"""),0.0)</f>
        <v>0</v>
      </c>
      <c r="L88" s="475">
        <f>IFERROR(__xludf.DUMMYFUNCTION("""COMPUTED_VALUE"""),0.0)</f>
        <v>0</v>
      </c>
      <c r="M88" s="475">
        <f>IFERROR(__xludf.DUMMYFUNCTION("""COMPUTED_VALUE"""),0.0)</f>
        <v>0</v>
      </c>
      <c r="N88" s="475">
        <f>IFERROR(__xludf.DUMMYFUNCTION("""COMPUTED_VALUE"""),0.0)</f>
        <v>0</v>
      </c>
      <c r="O88" s="475">
        <f>IFERROR(__xludf.DUMMYFUNCTION("""COMPUTED_VALUE"""),0.0)</f>
        <v>0</v>
      </c>
      <c r="P88" s="475">
        <f>P87</f>
        <v>0</v>
      </c>
    </row>
    <row r="89" ht="14.25" customHeight="1">
      <c r="A89" s="469" t="s">
        <v>1094</v>
      </c>
      <c r="B89" s="459"/>
      <c r="C89" s="382" t="s">
        <v>854</v>
      </c>
      <c r="D89" s="461">
        <f>IFERROR(__xludf.DUMMYFUNCTION("""COMPUTED_VALUE"""),0.0)</f>
        <v>0</v>
      </c>
      <c r="E89" s="461">
        <f>IFERROR(__xludf.DUMMYFUNCTION("""COMPUTED_VALUE"""),0.0)</f>
        <v>0</v>
      </c>
      <c r="F89" s="461">
        <f>IFERROR(__xludf.DUMMYFUNCTION("""COMPUTED_VALUE"""),0.0)</f>
        <v>0</v>
      </c>
      <c r="G89" s="461">
        <f>IFERROR(__xludf.DUMMYFUNCTION("""COMPUTED_VALUE"""),0.0)</f>
        <v>0</v>
      </c>
      <c r="H89" s="461">
        <f>IFERROR(__xludf.DUMMYFUNCTION("""COMPUTED_VALUE"""),0.0)</f>
        <v>0</v>
      </c>
      <c r="I89" s="461">
        <f>IFERROR(__xludf.DUMMYFUNCTION("""COMPUTED_VALUE"""),0.0)</f>
        <v>0</v>
      </c>
      <c r="J89" s="461">
        <f>IFERROR(__xludf.DUMMYFUNCTION("""COMPUTED_VALUE"""),0.0)</f>
        <v>0</v>
      </c>
      <c r="K89" s="461">
        <f>IFERROR(__xludf.DUMMYFUNCTION("""COMPUTED_VALUE"""),0.0)</f>
        <v>0</v>
      </c>
      <c r="L89" s="461">
        <f>IFERROR(__xludf.DUMMYFUNCTION("""COMPUTED_VALUE"""),0.0)</f>
        <v>0</v>
      </c>
      <c r="M89" s="461">
        <f>IFERROR(__xludf.DUMMYFUNCTION("""COMPUTED_VALUE"""),0.0)</f>
        <v>0</v>
      </c>
      <c r="N89" s="461">
        <f>IFERROR(__xludf.DUMMYFUNCTION("""COMPUTED_VALUE"""),0.0)</f>
        <v>0</v>
      </c>
      <c r="O89" s="461">
        <f>IFERROR(__xludf.DUMMYFUNCTION("""COMPUTED_VALUE"""),0.0)</f>
        <v>0</v>
      </c>
      <c r="P89" s="461">
        <f>sum(D89:O89)</f>
        <v>0</v>
      </c>
    </row>
    <row r="90" ht="14.25" customHeight="1">
      <c r="A90" s="482" t="s">
        <v>855</v>
      </c>
      <c r="B90" s="483"/>
      <c r="C90" s="484"/>
      <c r="D90" s="475">
        <f>IFERROR(__xludf.DUMMYFUNCTION("""COMPUTED_VALUE"""),0.0)</f>
        <v>0</v>
      </c>
      <c r="E90" s="475">
        <f>IFERROR(__xludf.DUMMYFUNCTION("""COMPUTED_VALUE"""),0.0)</f>
        <v>0</v>
      </c>
      <c r="F90" s="475">
        <f>IFERROR(__xludf.DUMMYFUNCTION("""COMPUTED_VALUE"""),0.0)</f>
        <v>0</v>
      </c>
      <c r="G90" s="475">
        <f>IFERROR(__xludf.DUMMYFUNCTION("""COMPUTED_VALUE"""),0.0)</f>
        <v>0</v>
      </c>
      <c r="H90" s="475">
        <f>IFERROR(__xludf.DUMMYFUNCTION("""COMPUTED_VALUE"""),0.0)</f>
        <v>0</v>
      </c>
      <c r="I90" s="475">
        <f>IFERROR(__xludf.DUMMYFUNCTION("""COMPUTED_VALUE"""),0.0)</f>
        <v>0</v>
      </c>
      <c r="J90" s="475">
        <f>IFERROR(__xludf.DUMMYFUNCTION("""COMPUTED_VALUE"""),0.0)</f>
        <v>0</v>
      </c>
      <c r="K90" s="475">
        <f>IFERROR(__xludf.DUMMYFUNCTION("""COMPUTED_VALUE"""),0.0)</f>
        <v>0</v>
      </c>
      <c r="L90" s="475">
        <f>IFERROR(__xludf.DUMMYFUNCTION("""COMPUTED_VALUE"""),0.0)</f>
        <v>0</v>
      </c>
      <c r="M90" s="475">
        <f>IFERROR(__xludf.DUMMYFUNCTION("""COMPUTED_VALUE"""),0.0)</f>
        <v>0</v>
      </c>
      <c r="N90" s="475">
        <f>IFERROR(__xludf.DUMMYFUNCTION("""COMPUTED_VALUE"""),0.0)</f>
        <v>0</v>
      </c>
      <c r="O90" s="475">
        <f>IFERROR(__xludf.DUMMYFUNCTION("""COMPUTED_VALUE"""),0.0)</f>
        <v>0</v>
      </c>
      <c r="P90" s="475">
        <f>P89</f>
        <v>0</v>
      </c>
    </row>
    <row r="91" ht="14.25" customHeight="1">
      <c r="A91" s="469" t="s">
        <v>1095</v>
      </c>
      <c r="B91" s="459"/>
      <c r="C91" s="477" t="s">
        <v>856</v>
      </c>
      <c r="D91" s="461">
        <f>IFERROR(__xludf.DUMMYFUNCTION("""COMPUTED_VALUE"""),0.0)</f>
        <v>0</v>
      </c>
      <c r="E91" s="461">
        <f>IFERROR(__xludf.DUMMYFUNCTION("""COMPUTED_VALUE"""),0.0)</f>
        <v>0</v>
      </c>
      <c r="F91" s="461">
        <f>IFERROR(__xludf.DUMMYFUNCTION("""COMPUTED_VALUE"""),0.0)</f>
        <v>0</v>
      </c>
      <c r="G91" s="461">
        <f>IFERROR(__xludf.DUMMYFUNCTION("""COMPUTED_VALUE"""),0.0)</f>
        <v>0</v>
      </c>
      <c r="H91" s="461">
        <f>IFERROR(__xludf.DUMMYFUNCTION("""COMPUTED_VALUE"""),0.0)</f>
        <v>0</v>
      </c>
      <c r="I91" s="461">
        <f>IFERROR(__xludf.DUMMYFUNCTION("""COMPUTED_VALUE"""),0.0)</f>
        <v>0</v>
      </c>
      <c r="J91" s="461">
        <f>IFERROR(__xludf.DUMMYFUNCTION("""COMPUTED_VALUE"""),0.0)</f>
        <v>0</v>
      </c>
      <c r="K91" s="461">
        <f>IFERROR(__xludf.DUMMYFUNCTION("""COMPUTED_VALUE"""),0.0)</f>
        <v>0</v>
      </c>
      <c r="L91" s="461">
        <f>IFERROR(__xludf.DUMMYFUNCTION("""COMPUTED_VALUE"""),0.0)</f>
        <v>0</v>
      </c>
      <c r="M91" s="461">
        <f>IFERROR(__xludf.DUMMYFUNCTION("""COMPUTED_VALUE"""),0.0)</f>
        <v>0</v>
      </c>
      <c r="N91" s="461">
        <f>IFERROR(__xludf.DUMMYFUNCTION("""COMPUTED_VALUE"""),0.0)</f>
        <v>0</v>
      </c>
      <c r="O91" s="461">
        <f>IFERROR(__xludf.DUMMYFUNCTION("""COMPUTED_VALUE"""),0.0)</f>
        <v>0</v>
      </c>
      <c r="P91" s="461">
        <f t="shared" ref="P91:P94" si="11">sum(D91:O91)</f>
        <v>0</v>
      </c>
    </row>
    <row r="92" ht="14.25" customHeight="1">
      <c r="A92" s="469" t="s">
        <v>1096</v>
      </c>
      <c r="B92" s="459"/>
      <c r="C92" s="459" t="s">
        <v>857</v>
      </c>
      <c r="D92" s="461">
        <f>IFERROR(__xludf.DUMMYFUNCTION("""COMPUTED_VALUE"""),0.0)</f>
        <v>0</v>
      </c>
      <c r="E92" s="461">
        <f>IFERROR(__xludf.DUMMYFUNCTION("""COMPUTED_VALUE"""),0.0)</f>
        <v>0</v>
      </c>
      <c r="F92" s="461">
        <f>IFERROR(__xludf.DUMMYFUNCTION("""COMPUTED_VALUE"""),0.0)</f>
        <v>0</v>
      </c>
      <c r="G92" s="461">
        <f>IFERROR(__xludf.DUMMYFUNCTION("""COMPUTED_VALUE"""),0.0)</f>
        <v>0</v>
      </c>
      <c r="H92" s="461">
        <f>IFERROR(__xludf.DUMMYFUNCTION("""COMPUTED_VALUE"""),0.0)</f>
        <v>0</v>
      </c>
      <c r="I92" s="461">
        <f>IFERROR(__xludf.DUMMYFUNCTION("""COMPUTED_VALUE"""),0.0)</f>
        <v>0</v>
      </c>
      <c r="J92" s="461">
        <f>IFERROR(__xludf.DUMMYFUNCTION("""COMPUTED_VALUE"""),0.0)</f>
        <v>0</v>
      </c>
      <c r="K92" s="461">
        <f>IFERROR(__xludf.DUMMYFUNCTION("""COMPUTED_VALUE"""),0.0)</f>
        <v>0</v>
      </c>
      <c r="L92" s="461">
        <f>IFERROR(__xludf.DUMMYFUNCTION("""COMPUTED_VALUE"""),0.0)</f>
        <v>0</v>
      </c>
      <c r="M92" s="461">
        <f>IFERROR(__xludf.DUMMYFUNCTION("""COMPUTED_VALUE"""),0.0)</f>
        <v>0</v>
      </c>
      <c r="N92" s="461">
        <f>IFERROR(__xludf.DUMMYFUNCTION("""COMPUTED_VALUE"""),0.0)</f>
        <v>0</v>
      </c>
      <c r="O92" s="461">
        <f>IFERROR(__xludf.DUMMYFUNCTION("""COMPUTED_VALUE"""),0.0)</f>
        <v>0</v>
      </c>
      <c r="P92" s="461">
        <f t="shared" si="11"/>
        <v>0</v>
      </c>
    </row>
    <row r="93" ht="14.25" customHeight="1">
      <c r="A93" s="469" t="s">
        <v>1097</v>
      </c>
      <c r="B93" s="459"/>
      <c r="C93" s="477" t="s">
        <v>858</v>
      </c>
      <c r="D93" s="461">
        <f>IFERROR(__xludf.DUMMYFUNCTION("""COMPUTED_VALUE"""),0.0)</f>
        <v>0</v>
      </c>
      <c r="E93" s="461">
        <f>IFERROR(__xludf.DUMMYFUNCTION("""COMPUTED_VALUE"""),0.0)</f>
        <v>0</v>
      </c>
      <c r="F93" s="461">
        <f>IFERROR(__xludf.DUMMYFUNCTION("""COMPUTED_VALUE"""),0.0)</f>
        <v>0</v>
      </c>
      <c r="G93" s="461">
        <f>IFERROR(__xludf.DUMMYFUNCTION("""COMPUTED_VALUE"""),0.0)</f>
        <v>0</v>
      </c>
      <c r="H93" s="461">
        <f>IFERROR(__xludf.DUMMYFUNCTION("""COMPUTED_VALUE"""),0.0)</f>
        <v>0</v>
      </c>
      <c r="I93" s="461">
        <f>IFERROR(__xludf.DUMMYFUNCTION("""COMPUTED_VALUE"""),0.0)</f>
        <v>0</v>
      </c>
      <c r="J93" s="461">
        <f>IFERROR(__xludf.DUMMYFUNCTION("""COMPUTED_VALUE"""),0.0)</f>
        <v>0</v>
      </c>
      <c r="K93" s="461">
        <f>IFERROR(__xludf.DUMMYFUNCTION("""COMPUTED_VALUE"""),0.0)</f>
        <v>0</v>
      </c>
      <c r="L93" s="461">
        <f>IFERROR(__xludf.DUMMYFUNCTION("""COMPUTED_VALUE"""),0.0)</f>
        <v>0</v>
      </c>
      <c r="M93" s="461">
        <f>IFERROR(__xludf.DUMMYFUNCTION("""COMPUTED_VALUE"""),0.0)</f>
        <v>0</v>
      </c>
      <c r="N93" s="461">
        <f>IFERROR(__xludf.DUMMYFUNCTION("""COMPUTED_VALUE"""),0.0)</f>
        <v>0</v>
      </c>
      <c r="O93" s="461">
        <f>IFERROR(__xludf.DUMMYFUNCTION("""COMPUTED_VALUE"""),0.0)</f>
        <v>0</v>
      </c>
      <c r="P93" s="461">
        <f t="shared" si="11"/>
        <v>0</v>
      </c>
    </row>
    <row r="94" ht="14.25" customHeight="1">
      <c r="A94" s="469" t="s">
        <v>1098</v>
      </c>
      <c r="B94" s="459"/>
      <c r="C94" s="477" t="s">
        <v>859</v>
      </c>
      <c r="D94" s="461">
        <f>IFERROR(__xludf.DUMMYFUNCTION("""COMPUTED_VALUE"""),0.0)</f>
        <v>0</v>
      </c>
      <c r="E94" s="461">
        <f>IFERROR(__xludf.DUMMYFUNCTION("""COMPUTED_VALUE"""),0.0)</f>
        <v>0</v>
      </c>
      <c r="F94" s="461">
        <f>IFERROR(__xludf.DUMMYFUNCTION("""COMPUTED_VALUE"""),0.0)</f>
        <v>0</v>
      </c>
      <c r="G94" s="461">
        <f>IFERROR(__xludf.DUMMYFUNCTION("""COMPUTED_VALUE"""),0.0)</f>
        <v>0</v>
      </c>
      <c r="H94" s="461">
        <f>IFERROR(__xludf.DUMMYFUNCTION("""COMPUTED_VALUE"""),0.0)</f>
        <v>0</v>
      </c>
      <c r="I94" s="461">
        <f>IFERROR(__xludf.DUMMYFUNCTION("""COMPUTED_VALUE"""),0.0)</f>
        <v>0</v>
      </c>
      <c r="J94" s="461">
        <f>IFERROR(__xludf.DUMMYFUNCTION("""COMPUTED_VALUE"""),0.0)</f>
        <v>0</v>
      </c>
      <c r="K94" s="461">
        <f>IFERROR(__xludf.DUMMYFUNCTION("""COMPUTED_VALUE"""),0.0)</f>
        <v>0</v>
      </c>
      <c r="L94" s="461">
        <f>IFERROR(__xludf.DUMMYFUNCTION("""COMPUTED_VALUE"""),0.0)</f>
        <v>0</v>
      </c>
      <c r="M94" s="461">
        <f>IFERROR(__xludf.DUMMYFUNCTION("""COMPUTED_VALUE"""),0.0)</f>
        <v>0</v>
      </c>
      <c r="N94" s="461">
        <f>IFERROR(__xludf.DUMMYFUNCTION("""COMPUTED_VALUE"""),0.0)</f>
        <v>0</v>
      </c>
      <c r="O94" s="461">
        <f>IFERROR(__xludf.DUMMYFUNCTION("""COMPUTED_VALUE"""),0.0)</f>
        <v>0</v>
      </c>
      <c r="P94" s="461">
        <f t="shared" si="11"/>
        <v>0</v>
      </c>
    </row>
    <row r="95" ht="14.25" customHeight="1">
      <c r="A95" s="482" t="s">
        <v>860</v>
      </c>
      <c r="B95" s="483"/>
      <c r="C95" s="484"/>
      <c r="D95" s="475">
        <f>IFERROR(__xludf.DUMMYFUNCTION("""COMPUTED_VALUE"""),0.0)</f>
        <v>0</v>
      </c>
      <c r="E95" s="475">
        <f>IFERROR(__xludf.DUMMYFUNCTION("""COMPUTED_VALUE"""),0.0)</f>
        <v>0</v>
      </c>
      <c r="F95" s="475">
        <f>IFERROR(__xludf.DUMMYFUNCTION("""COMPUTED_VALUE"""),0.0)</f>
        <v>0</v>
      </c>
      <c r="G95" s="475">
        <f>IFERROR(__xludf.DUMMYFUNCTION("""COMPUTED_VALUE"""),0.0)</f>
        <v>0</v>
      </c>
      <c r="H95" s="475">
        <f>IFERROR(__xludf.DUMMYFUNCTION("""COMPUTED_VALUE"""),0.0)</f>
        <v>0</v>
      </c>
      <c r="I95" s="475">
        <f>IFERROR(__xludf.DUMMYFUNCTION("""COMPUTED_VALUE"""),0.0)</f>
        <v>0</v>
      </c>
      <c r="J95" s="475">
        <f>IFERROR(__xludf.DUMMYFUNCTION("""COMPUTED_VALUE"""),0.0)</f>
        <v>0</v>
      </c>
      <c r="K95" s="475">
        <f>IFERROR(__xludf.DUMMYFUNCTION("""COMPUTED_VALUE"""),0.0)</f>
        <v>0</v>
      </c>
      <c r="L95" s="475">
        <f>IFERROR(__xludf.DUMMYFUNCTION("""COMPUTED_VALUE"""),0.0)</f>
        <v>0</v>
      </c>
      <c r="M95" s="475">
        <f>IFERROR(__xludf.DUMMYFUNCTION("""COMPUTED_VALUE"""),0.0)</f>
        <v>0</v>
      </c>
      <c r="N95" s="475">
        <f>IFERROR(__xludf.DUMMYFUNCTION("""COMPUTED_VALUE"""),0.0)</f>
        <v>0</v>
      </c>
      <c r="O95" s="475">
        <f>IFERROR(__xludf.DUMMYFUNCTION("""COMPUTED_VALUE"""),0.0)</f>
        <v>0</v>
      </c>
      <c r="P95" s="475">
        <f>sum(P91:P94)</f>
        <v>0</v>
      </c>
    </row>
    <row r="96" ht="14.25" customHeight="1">
      <c r="A96" s="478" t="s">
        <v>861</v>
      </c>
      <c r="B96" s="485"/>
      <c r="C96" s="486"/>
      <c r="D96" s="481">
        <f>IFERROR(__xludf.DUMMYFUNCTION("""COMPUTED_VALUE"""),837647.8550225069)</f>
        <v>837647.855</v>
      </c>
      <c r="E96" s="481">
        <f>IFERROR(__xludf.DUMMYFUNCTION("""COMPUTED_VALUE"""),699312.9679993162)</f>
        <v>699312.968</v>
      </c>
      <c r="F96" s="481">
        <f>IFERROR(__xludf.DUMMYFUNCTION("""COMPUTED_VALUE"""),643200.1140133692)</f>
        <v>643200.114</v>
      </c>
      <c r="G96" s="481">
        <f>IFERROR(__xludf.DUMMYFUNCTION("""COMPUTED_VALUE"""),754550.7949525987)</f>
        <v>754550.795</v>
      </c>
      <c r="H96" s="481">
        <f>IFERROR(__xludf.DUMMYFUNCTION("""COMPUTED_VALUE"""),620015.438498874)</f>
        <v>620015.4385</v>
      </c>
      <c r="I96" s="481">
        <f>IFERROR(__xludf.DUMMYFUNCTION("""COMPUTED_VALUE"""),619559.3253392956)</f>
        <v>619559.3253</v>
      </c>
      <c r="J96" s="481">
        <f>IFERROR(__xludf.DUMMYFUNCTION("""COMPUTED_VALUE"""),629991.4418477481)</f>
        <v>629991.4418</v>
      </c>
      <c r="K96" s="481">
        <f>IFERROR(__xludf.DUMMYFUNCTION("""COMPUTED_VALUE"""),616614.260288609)</f>
        <v>616614.2603</v>
      </c>
      <c r="L96" s="481">
        <f>IFERROR(__xludf.DUMMYFUNCTION("""COMPUTED_VALUE"""),604982.3401620053)</f>
        <v>604982.3402</v>
      </c>
      <c r="M96" s="481">
        <f>IFERROR(__xludf.DUMMYFUNCTION("""COMPUTED_VALUE"""),693199.913948149)</f>
        <v>693199.9139</v>
      </c>
      <c r="N96" s="481">
        <f>IFERROR(__xludf.DUMMYFUNCTION("""COMPUTED_VALUE"""),596998.5903296003)</f>
        <v>596998.5903</v>
      </c>
      <c r="O96" s="481">
        <f>IFERROR(__xludf.DUMMYFUNCTION("""COMPUTED_VALUE"""),642675.579565058)</f>
        <v>642675.5796</v>
      </c>
      <c r="P96" s="481">
        <f>P95+P90+P88+P86+P84+P81+P78+P73</f>
        <v>7958748.622</v>
      </c>
    </row>
    <row r="97" ht="14.25" customHeight="1">
      <c r="A97" s="469" t="s">
        <v>862</v>
      </c>
      <c r="B97" s="459"/>
      <c r="C97" s="477" t="s">
        <v>1099</v>
      </c>
      <c r="D97" s="461">
        <f>IFERROR(__xludf.DUMMYFUNCTION("""COMPUTED_VALUE"""),0.0)</f>
        <v>0</v>
      </c>
      <c r="E97" s="461">
        <f>IFERROR(__xludf.DUMMYFUNCTION("""COMPUTED_VALUE"""),0.0)</f>
        <v>0</v>
      </c>
      <c r="F97" s="461">
        <f>IFERROR(__xludf.DUMMYFUNCTION("""COMPUTED_VALUE"""),0.0)</f>
        <v>0</v>
      </c>
      <c r="G97" s="461">
        <f>IFERROR(__xludf.DUMMYFUNCTION("""COMPUTED_VALUE"""),0.0)</f>
        <v>0</v>
      </c>
      <c r="H97" s="461">
        <f>IFERROR(__xludf.DUMMYFUNCTION("""COMPUTED_VALUE"""),0.0)</f>
        <v>0</v>
      </c>
      <c r="I97" s="461">
        <f>IFERROR(__xludf.DUMMYFUNCTION("""COMPUTED_VALUE"""),0.0)</f>
        <v>0</v>
      </c>
      <c r="J97" s="461">
        <f>IFERROR(__xludf.DUMMYFUNCTION("""COMPUTED_VALUE"""),0.0)</f>
        <v>0</v>
      </c>
      <c r="K97" s="461">
        <f>IFERROR(__xludf.DUMMYFUNCTION("""COMPUTED_VALUE"""),0.0)</f>
        <v>0</v>
      </c>
      <c r="L97" s="461">
        <f>IFERROR(__xludf.DUMMYFUNCTION("""COMPUTED_VALUE"""),0.0)</f>
        <v>0</v>
      </c>
      <c r="M97" s="461">
        <f>IFERROR(__xludf.DUMMYFUNCTION("""COMPUTED_VALUE"""),0.0)</f>
        <v>0</v>
      </c>
      <c r="N97" s="461">
        <f>IFERROR(__xludf.DUMMYFUNCTION("""COMPUTED_VALUE"""),0.0)</f>
        <v>0</v>
      </c>
      <c r="O97" s="461">
        <f>IFERROR(__xludf.DUMMYFUNCTION("""COMPUTED_VALUE"""),0.0)</f>
        <v>0</v>
      </c>
      <c r="P97" s="461">
        <f>sum(D97:O97)</f>
        <v>0</v>
      </c>
    </row>
    <row r="98" ht="14.25" customHeight="1">
      <c r="A98" s="482" t="s">
        <v>864</v>
      </c>
      <c r="B98" s="484"/>
      <c r="C98" s="484"/>
      <c r="D98" s="475">
        <f>IFERROR(__xludf.DUMMYFUNCTION("""COMPUTED_VALUE"""),0.0)</f>
        <v>0</v>
      </c>
      <c r="E98" s="475">
        <f>IFERROR(__xludf.DUMMYFUNCTION("""COMPUTED_VALUE"""),0.0)</f>
        <v>0</v>
      </c>
      <c r="F98" s="475">
        <f>IFERROR(__xludf.DUMMYFUNCTION("""COMPUTED_VALUE"""),0.0)</f>
        <v>0</v>
      </c>
      <c r="G98" s="475">
        <f>IFERROR(__xludf.DUMMYFUNCTION("""COMPUTED_VALUE"""),0.0)</f>
        <v>0</v>
      </c>
      <c r="H98" s="475">
        <f>IFERROR(__xludf.DUMMYFUNCTION("""COMPUTED_VALUE"""),0.0)</f>
        <v>0</v>
      </c>
      <c r="I98" s="475">
        <f>IFERROR(__xludf.DUMMYFUNCTION("""COMPUTED_VALUE"""),0.0)</f>
        <v>0</v>
      </c>
      <c r="J98" s="475">
        <f>IFERROR(__xludf.DUMMYFUNCTION("""COMPUTED_VALUE"""),0.0)</f>
        <v>0</v>
      </c>
      <c r="K98" s="475">
        <f>IFERROR(__xludf.DUMMYFUNCTION("""COMPUTED_VALUE"""),0.0)</f>
        <v>0</v>
      </c>
      <c r="L98" s="475">
        <f>IFERROR(__xludf.DUMMYFUNCTION("""COMPUTED_VALUE"""),0.0)</f>
        <v>0</v>
      </c>
      <c r="M98" s="475">
        <f>IFERROR(__xludf.DUMMYFUNCTION("""COMPUTED_VALUE"""),0.0)</f>
        <v>0</v>
      </c>
      <c r="N98" s="475">
        <f>IFERROR(__xludf.DUMMYFUNCTION("""COMPUTED_VALUE"""),0.0)</f>
        <v>0</v>
      </c>
      <c r="O98" s="475">
        <f>IFERROR(__xludf.DUMMYFUNCTION("""COMPUTED_VALUE"""),0.0)</f>
        <v>0</v>
      </c>
      <c r="P98" s="475">
        <f>P97</f>
        <v>0</v>
      </c>
    </row>
    <row r="99" ht="14.25" customHeight="1">
      <c r="A99" s="469" t="s">
        <v>865</v>
      </c>
      <c r="B99" s="459"/>
      <c r="C99" s="459" t="s">
        <v>1100</v>
      </c>
      <c r="D99" s="461">
        <f>IFERROR(__xludf.DUMMYFUNCTION("""COMPUTED_VALUE"""),0.0)</f>
        <v>0</v>
      </c>
      <c r="E99" s="461">
        <f>IFERROR(__xludf.DUMMYFUNCTION("""COMPUTED_VALUE"""),0.0)</f>
        <v>0</v>
      </c>
      <c r="F99" s="461">
        <f>IFERROR(__xludf.DUMMYFUNCTION("""COMPUTED_VALUE"""),0.0)</f>
        <v>0</v>
      </c>
      <c r="G99" s="461">
        <f>IFERROR(__xludf.DUMMYFUNCTION("""COMPUTED_VALUE"""),0.0)</f>
        <v>0</v>
      </c>
      <c r="H99" s="461">
        <f>IFERROR(__xludf.DUMMYFUNCTION("""COMPUTED_VALUE"""),0.0)</f>
        <v>0</v>
      </c>
      <c r="I99" s="461">
        <f>IFERROR(__xludf.DUMMYFUNCTION("""COMPUTED_VALUE"""),0.0)</f>
        <v>0</v>
      </c>
      <c r="J99" s="461">
        <f>IFERROR(__xludf.DUMMYFUNCTION("""COMPUTED_VALUE"""),0.0)</f>
        <v>0</v>
      </c>
      <c r="K99" s="461">
        <f>IFERROR(__xludf.DUMMYFUNCTION("""COMPUTED_VALUE"""),0.0)</f>
        <v>0</v>
      </c>
      <c r="L99" s="461">
        <f>IFERROR(__xludf.DUMMYFUNCTION("""COMPUTED_VALUE"""),0.0)</f>
        <v>0</v>
      </c>
      <c r="M99" s="461">
        <f>IFERROR(__xludf.DUMMYFUNCTION("""COMPUTED_VALUE"""),0.0)</f>
        <v>0</v>
      </c>
      <c r="N99" s="461">
        <f>IFERROR(__xludf.DUMMYFUNCTION("""COMPUTED_VALUE"""),0.0)</f>
        <v>0</v>
      </c>
      <c r="O99" s="461">
        <f>IFERROR(__xludf.DUMMYFUNCTION("""COMPUTED_VALUE"""),0.0)</f>
        <v>0</v>
      </c>
      <c r="P99" s="461">
        <f t="shared" ref="P99:P101" si="12">sum(D99:O99)</f>
        <v>0</v>
      </c>
    </row>
    <row r="100" ht="14.25" customHeight="1">
      <c r="A100" s="469" t="s">
        <v>867</v>
      </c>
      <c r="B100" s="459"/>
      <c r="C100" s="477" t="s">
        <v>1101</v>
      </c>
      <c r="D100" s="461">
        <f>IFERROR(__xludf.DUMMYFUNCTION("""COMPUTED_VALUE"""),0.0)</f>
        <v>0</v>
      </c>
      <c r="E100" s="461">
        <f>IFERROR(__xludf.DUMMYFUNCTION("""COMPUTED_VALUE"""),0.0)</f>
        <v>0</v>
      </c>
      <c r="F100" s="461">
        <f>IFERROR(__xludf.DUMMYFUNCTION("""COMPUTED_VALUE"""),0.0)</f>
        <v>0</v>
      </c>
      <c r="G100" s="461">
        <f>IFERROR(__xludf.DUMMYFUNCTION("""COMPUTED_VALUE"""),0.0)</f>
        <v>0</v>
      </c>
      <c r="H100" s="461">
        <f>IFERROR(__xludf.DUMMYFUNCTION("""COMPUTED_VALUE"""),0.0)</f>
        <v>0</v>
      </c>
      <c r="I100" s="461">
        <f>IFERROR(__xludf.DUMMYFUNCTION("""COMPUTED_VALUE"""),0.0)</f>
        <v>0</v>
      </c>
      <c r="J100" s="461">
        <f>IFERROR(__xludf.DUMMYFUNCTION("""COMPUTED_VALUE"""),0.0)</f>
        <v>0</v>
      </c>
      <c r="K100" s="461">
        <f>IFERROR(__xludf.DUMMYFUNCTION("""COMPUTED_VALUE"""),0.0)</f>
        <v>0</v>
      </c>
      <c r="L100" s="461">
        <f>IFERROR(__xludf.DUMMYFUNCTION("""COMPUTED_VALUE"""),0.0)</f>
        <v>0</v>
      </c>
      <c r="M100" s="461">
        <f>IFERROR(__xludf.DUMMYFUNCTION("""COMPUTED_VALUE"""),0.0)</f>
        <v>0</v>
      </c>
      <c r="N100" s="461">
        <f>IFERROR(__xludf.DUMMYFUNCTION("""COMPUTED_VALUE"""),0.0)</f>
        <v>0</v>
      </c>
      <c r="O100" s="461">
        <f>IFERROR(__xludf.DUMMYFUNCTION("""COMPUTED_VALUE"""),0.0)</f>
        <v>0</v>
      </c>
      <c r="P100" s="461">
        <f t="shared" si="12"/>
        <v>0</v>
      </c>
    </row>
    <row r="101" ht="14.25" customHeight="1">
      <c r="A101" s="469" t="s">
        <v>869</v>
      </c>
      <c r="B101" s="459"/>
      <c r="C101" s="477" t="s">
        <v>1102</v>
      </c>
      <c r="D101" s="461">
        <f>IFERROR(__xludf.DUMMYFUNCTION("""COMPUTED_VALUE"""),0.0)</f>
        <v>0</v>
      </c>
      <c r="E101" s="461">
        <f>IFERROR(__xludf.DUMMYFUNCTION("""COMPUTED_VALUE"""),0.0)</f>
        <v>0</v>
      </c>
      <c r="F101" s="461">
        <f>IFERROR(__xludf.DUMMYFUNCTION("""COMPUTED_VALUE"""),0.0)</f>
        <v>0</v>
      </c>
      <c r="G101" s="461">
        <f>IFERROR(__xludf.DUMMYFUNCTION("""COMPUTED_VALUE"""),0.0)</f>
        <v>0</v>
      </c>
      <c r="H101" s="461">
        <f>IFERROR(__xludf.DUMMYFUNCTION("""COMPUTED_VALUE"""),0.0)</f>
        <v>0</v>
      </c>
      <c r="I101" s="461">
        <f>IFERROR(__xludf.DUMMYFUNCTION("""COMPUTED_VALUE"""),0.0)</f>
        <v>0</v>
      </c>
      <c r="J101" s="461">
        <f>IFERROR(__xludf.DUMMYFUNCTION("""COMPUTED_VALUE"""),0.0)</f>
        <v>0</v>
      </c>
      <c r="K101" s="461">
        <f>IFERROR(__xludf.DUMMYFUNCTION("""COMPUTED_VALUE"""),0.0)</f>
        <v>0</v>
      </c>
      <c r="L101" s="461">
        <f>IFERROR(__xludf.DUMMYFUNCTION("""COMPUTED_VALUE"""),0.0)</f>
        <v>0</v>
      </c>
      <c r="M101" s="461">
        <f>IFERROR(__xludf.DUMMYFUNCTION("""COMPUTED_VALUE"""),0.0)</f>
        <v>0</v>
      </c>
      <c r="N101" s="461">
        <f>IFERROR(__xludf.DUMMYFUNCTION("""COMPUTED_VALUE"""),0.0)</f>
        <v>0</v>
      </c>
      <c r="O101" s="461">
        <f>IFERROR(__xludf.DUMMYFUNCTION("""COMPUTED_VALUE"""),0.0)</f>
        <v>0</v>
      </c>
      <c r="P101" s="461">
        <f t="shared" si="12"/>
        <v>0</v>
      </c>
    </row>
    <row r="102" ht="14.25" customHeight="1">
      <c r="A102" s="482" t="s">
        <v>871</v>
      </c>
      <c r="B102" s="483"/>
      <c r="C102" s="484"/>
      <c r="D102" s="475">
        <f>IFERROR(__xludf.DUMMYFUNCTION("""COMPUTED_VALUE"""),0.0)</f>
        <v>0</v>
      </c>
      <c r="E102" s="475">
        <f>IFERROR(__xludf.DUMMYFUNCTION("""COMPUTED_VALUE"""),0.0)</f>
        <v>0</v>
      </c>
      <c r="F102" s="475">
        <f>IFERROR(__xludf.DUMMYFUNCTION("""COMPUTED_VALUE"""),0.0)</f>
        <v>0</v>
      </c>
      <c r="G102" s="475">
        <f>IFERROR(__xludf.DUMMYFUNCTION("""COMPUTED_VALUE"""),0.0)</f>
        <v>0</v>
      </c>
      <c r="H102" s="475">
        <f>IFERROR(__xludf.DUMMYFUNCTION("""COMPUTED_VALUE"""),0.0)</f>
        <v>0</v>
      </c>
      <c r="I102" s="475">
        <f>IFERROR(__xludf.DUMMYFUNCTION("""COMPUTED_VALUE"""),0.0)</f>
        <v>0</v>
      </c>
      <c r="J102" s="475">
        <f>IFERROR(__xludf.DUMMYFUNCTION("""COMPUTED_VALUE"""),0.0)</f>
        <v>0</v>
      </c>
      <c r="K102" s="475">
        <f>IFERROR(__xludf.DUMMYFUNCTION("""COMPUTED_VALUE"""),0.0)</f>
        <v>0</v>
      </c>
      <c r="L102" s="475">
        <f>IFERROR(__xludf.DUMMYFUNCTION("""COMPUTED_VALUE"""),0.0)</f>
        <v>0</v>
      </c>
      <c r="M102" s="475">
        <f>IFERROR(__xludf.DUMMYFUNCTION("""COMPUTED_VALUE"""),0.0)</f>
        <v>0</v>
      </c>
      <c r="N102" s="475">
        <f>IFERROR(__xludf.DUMMYFUNCTION("""COMPUTED_VALUE"""),0.0)</f>
        <v>0</v>
      </c>
      <c r="O102" s="475">
        <f>IFERROR(__xludf.DUMMYFUNCTION("""COMPUTED_VALUE"""),0.0)</f>
        <v>0</v>
      </c>
      <c r="P102" s="475">
        <f>sum(P99:P101)</f>
        <v>0</v>
      </c>
    </row>
    <row r="103" ht="14.25" customHeight="1">
      <c r="A103" s="469" t="s">
        <v>872</v>
      </c>
      <c r="B103" s="459"/>
      <c r="C103" s="477" t="s">
        <v>1103</v>
      </c>
      <c r="D103" s="461">
        <f>IFERROR(__xludf.DUMMYFUNCTION("""COMPUTED_VALUE"""),0.0)</f>
        <v>0</v>
      </c>
      <c r="E103" s="461">
        <f>IFERROR(__xludf.DUMMYFUNCTION("""COMPUTED_VALUE"""),0.0)</f>
        <v>0</v>
      </c>
      <c r="F103" s="461">
        <f>IFERROR(__xludf.DUMMYFUNCTION("""COMPUTED_VALUE"""),0.0)</f>
        <v>0</v>
      </c>
      <c r="G103" s="461">
        <f>IFERROR(__xludf.DUMMYFUNCTION("""COMPUTED_VALUE"""),0.0)</f>
        <v>0</v>
      </c>
      <c r="H103" s="461">
        <f>IFERROR(__xludf.DUMMYFUNCTION("""COMPUTED_VALUE"""),0.0)</f>
        <v>0</v>
      </c>
      <c r="I103" s="461">
        <f>IFERROR(__xludf.DUMMYFUNCTION("""COMPUTED_VALUE"""),0.0)</f>
        <v>0</v>
      </c>
      <c r="J103" s="461">
        <f>IFERROR(__xludf.DUMMYFUNCTION("""COMPUTED_VALUE"""),0.0)</f>
        <v>0</v>
      </c>
      <c r="K103" s="461">
        <f>IFERROR(__xludf.DUMMYFUNCTION("""COMPUTED_VALUE"""),0.0)</f>
        <v>0</v>
      </c>
      <c r="L103" s="461">
        <f>IFERROR(__xludf.DUMMYFUNCTION("""COMPUTED_VALUE"""),0.0)</f>
        <v>0</v>
      </c>
      <c r="M103" s="461">
        <f>IFERROR(__xludf.DUMMYFUNCTION("""COMPUTED_VALUE"""),0.0)</f>
        <v>0</v>
      </c>
      <c r="N103" s="461">
        <f>IFERROR(__xludf.DUMMYFUNCTION("""COMPUTED_VALUE"""),0.0)</f>
        <v>0</v>
      </c>
      <c r="O103" s="461">
        <f>IFERROR(__xludf.DUMMYFUNCTION("""COMPUTED_VALUE"""),0.0)</f>
        <v>0</v>
      </c>
      <c r="P103" s="461">
        <f t="shared" ref="P103:P104" si="13">sum(D103:O103)</f>
        <v>0</v>
      </c>
    </row>
    <row r="104" ht="14.25" customHeight="1">
      <c r="A104" s="469" t="s">
        <v>1056</v>
      </c>
      <c r="B104" s="459"/>
      <c r="C104" s="477" t="s">
        <v>1104</v>
      </c>
      <c r="D104" s="461">
        <f>IFERROR(__xludf.DUMMYFUNCTION("""COMPUTED_VALUE"""),0.0)</f>
        <v>0</v>
      </c>
      <c r="E104" s="461">
        <f>IFERROR(__xludf.DUMMYFUNCTION("""COMPUTED_VALUE"""),0.0)</f>
        <v>0</v>
      </c>
      <c r="F104" s="461">
        <f>IFERROR(__xludf.DUMMYFUNCTION("""COMPUTED_VALUE"""),0.0)</f>
        <v>0</v>
      </c>
      <c r="G104" s="461">
        <f>IFERROR(__xludf.DUMMYFUNCTION("""COMPUTED_VALUE"""),0.0)</f>
        <v>0</v>
      </c>
      <c r="H104" s="461">
        <f>IFERROR(__xludf.DUMMYFUNCTION("""COMPUTED_VALUE"""),0.0)</f>
        <v>0</v>
      </c>
      <c r="I104" s="461">
        <f>IFERROR(__xludf.DUMMYFUNCTION("""COMPUTED_VALUE"""),0.0)</f>
        <v>0</v>
      </c>
      <c r="J104" s="461">
        <f>IFERROR(__xludf.DUMMYFUNCTION("""COMPUTED_VALUE"""),0.0)</f>
        <v>0</v>
      </c>
      <c r="K104" s="461">
        <f>IFERROR(__xludf.DUMMYFUNCTION("""COMPUTED_VALUE"""),0.0)</f>
        <v>0</v>
      </c>
      <c r="L104" s="461">
        <f>IFERROR(__xludf.DUMMYFUNCTION("""COMPUTED_VALUE"""),0.0)</f>
        <v>0</v>
      </c>
      <c r="M104" s="461">
        <f>IFERROR(__xludf.DUMMYFUNCTION("""COMPUTED_VALUE"""),0.0)</f>
        <v>0</v>
      </c>
      <c r="N104" s="461">
        <f>IFERROR(__xludf.DUMMYFUNCTION("""COMPUTED_VALUE"""),0.0)</f>
        <v>0</v>
      </c>
      <c r="O104" s="461">
        <f>IFERROR(__xludf.DUMMYFUNCTION("""COMPUTED_VALUE"""),0.0)</f>
        <v>0</v>
      </c>
      <c r="P104" s="461">
        <f t="shared" si="13"/>
        <v>0</v>
      </c>
    </row>
    <row r="105" ht="14.25" customHeight="1">
      <c r="A105" s="482" t="s">
        <v>875</v>
      </c>
      <c r="B105" s="483"/>
      <c r="C105" s="484"/>
      <c r="D105" s="475">
        <f>IFERROR(__xludf.DUMMYFUNCTION("""COMPUTED_VALUE"""),0.0)</f>
        <v>0</v>
      </c>
      <c r="E105" s="475">
        <f>IFERROR(__xludf.DUMMYFUNCTION("""COMPUTED_VALUE"""),0.0)</f>
        <v>0</v>
      </c>
      <c r="F105" s="475">
        <f>IFERROR(__xludf.DUMMYFUNCTION("""COMPUTED_VALUE"""),0.0)</f>
        <v>0</v>
      </c>
      <c r="G105" s="475">
        <f>IFERROR(__xludf.DUMMYFUNCTION("""COMPUTED_VALUE"""),0.0)</f>
        <v>0</v>
      </c>
      <c r="H105" s="475">
        <f>IFERROR(__xludf.DUMMYFUNCTION("""COMPUTED_VALUE"""),0.0)</f>
        <v>0</v>
      </c>
      <c r="I105" s="475">
        <f>IFERROR(__xludf.DUMMYFUNCTION("""COMPUTED_VALUE"""),0.0)</f>
        <v>0</v>
      </c>
      <c r="J105" s="475">
        <f>IFERROR(__xludf.DUMMYFUNCTION("""COMPUTED_VALUE"""),0.0)</f>
        <v>0</v>
      </c>
      <c r="K105" s="475">
        <f>IFERROR(__xludf.DUMMYFUNCTION("""COMPUTED_VALUE"""),0.0)</f>
        <v>0</v>
      </c>
      <c r="L105" s="475">
        <f>IFERROR(__xludf.DUMMYFUNCTION("""COMPUTED_VALUE"""),0.0)</f>
        <v>0</v>
      </c>
      <c r="M105" s="475">
        <f>IFERROR(__xludf.DUMMYFUNCTION("""COMPUTED_VALUE"""),0.0)</f>
        <v>0</v>
      </c>
      <c r="N105" s="475">
        <f>IFERROR(__xludf.DUMMYFUNCTION("""COMPUTED_VALUE"""),0.0)</f>
        <v>0</v>
      </c>
      <c r="O105" s="475">
        <f>IFERROR(__xludf.DUMMYFUNCTION("""COMPUTED_VALUE"""),0.0)</f>
        <v>0</v>
      </c>
      <c r="P105" s="475">
        <f>sum(P103:P104)</f>
        <v>0</v>
      </c>
    </row>
    <row r="106" ht="14.25" customHeight="1">
      <c r="A106" s="478" t="s">
        <v>876</v>
      </c>
      <c r="B106" s="486"/>
      <c r="C106" s="486"/>
      <c r="D106" s="481">
        <f>IFERROR(__xludf.DUMMYFUNCTION("""COMPUTED_VALUE"""),0.0)</f>
        <v>0</v>
      </c>
      <c r="E106" s="481">
        <f>IFERROR(__xludf.DUMMYFUNCTION("""COMPUTED_VALUE"""),0.0)</f>
        <v>0</v>
      </c>
      <c r="F106" s="481">
        <f>IFERROR(__xludf.DUMMYFUNCTION("""COMPUTED_VALUE"""),0.0)</f>
        <v>0</v>
      </c>
      <c r="G106" s="481">
        <f>IFERROR(__xludf.DUMMYFUNCTION("""COMPUTED_VALUE"""),0.0)</f>
        <v>0</v>
      </c>
      <c r="H106" s="481">
        <f>IFERROR(__xludf.DUMMYFUNCTION("""COMPUTED_VALUE"""),0.0)</f>
        <v>0</v>
      </c>
      <c r="I106" s="481">
        <f>IFERROR(__xludf.DUMMYFUNCTION("""COMPUTED_VALUE"""),0.0)</f>
        <v>0</v>
      </c>
      <c r="J106" s="481">
        <f>IFERROR(__xludf.DUMMYFUNCTION("""COMPUTED_VALUE"""),0.0)</f>
        <v>0</v>
      </c>
      <c r="K106" s="481">
        <f>IFERROR(__xludf.DUMMYFUNCTION("""COMPUTED_VALUE"""),0.0)</f>
        <v>0</v>
      </c>
      <c r="L106" s="481">
        <f>IFERROR(__xludf.DUMMYFUNCTION("""COMPUTED_VALUE"""),0.0)</f>
        <v>0</v>
      </c>
      <c r="M106" s="481">
        <f>IFERROR(__xludf.DUMMYFUNCTION("""COMPUTED_VALUE"""),0.0)</f>
        <v>0</v>
      </c>
      <c r="N106" s="481">
        <f>IFERROR(__xludf.DUMMYFUNCTION("""COMPUTED_VALUE"""),0.0)</f>
        <v>0</v>
      </c>
      <c r="O106" s="481">
        <f>IFERROR(__xludf.DUMMYFUNCTION("""COMPUTED_VALUE"""),0.0)</f>
        <v>0</v>
      </c>
      <c r="P106" s="481">
        <f>P105+P102+P98</f>
        <v>0</v>
      </c>
    </row>
    <row r="107" ht="14.25" customHeight="1">
      <c r="A107" s="473" t="s">
        <v>70</v>
      </c>
      <c r="B107" s="477"/>
      <c r="C107" s="477" t="s">
        <v>1105</v>
      </c>
      <c r="D107" s="461">
        <f>IFERROR(__xludf.DUMMYFUNCTION("""COMPUTED_VALUE"""),64701.71656357535)</f>
        <v>64701.71656</v>
      </c>
      <c r="E107" s="461">
        <f>IFERROR(__xludf.DUMMYFUNCTION("""COMPUTED_VALUE"""),41235.98100794631)</f>
        <v>41235.98101</v>
      </c>
      <c r="F107" s="461">
        <f>IFERROR(__xludf.DUMMYFUNCTION("""COMPUTED_VALUE"""),43726.33034744632)</f>
        <v>43726.33035</v>
      </c>
      <c r="G107" s="461">
        <f>IFERROR(__xludf.DUMMYFUNCTION("""COMPUTED_VALUE"""),63809.073088418096)</f>
        <v>63809.07309</v>
      </c>
      <c r="H107" s="461">
        <f>IFERROR(__xludf.DUMMYFUNCTION("""COMPUTED_VALUE"""),41457.71100041809)</f>
        <v>41457.711</v>
      </c>
      <c r="I107" s="461">
        <f>IFERROR(__xludf.DUMMYFUNCTION("""COMPUTED_VALUE"""),50175.20411841809)</f>
        <v>50175.20412</v>
      </c>
      <c r="J107" s="461">
        <f>IFERROR(__xludf.DUMMYFUNCTION("""COMPUTED_VALUE"""),59200.43983854309)</f>
        <v>59200.43984</v>
      </c>
      <c r="K107" s="461">
        <f>IFERROR(__xludf.DUMMYFUNCTION("""COMPUTED_VALUE"""),40339.79442466809)</f>
        <v>40339.79442</v>
      </c>
      <c r="L107" s="461">
        <f>IFERROR(__xludf.DUMMYFUNCTION("""COMPUTED_VALUE"""),42562.956017418095)</f>
        <v>42562.95602</v>
      </c>
      <c r="M107" s="461">
        <f>IFERROR(__xludf.DUMMYFUNCTION("""COMPUTED_VALUE"""),53853.88819204309)</f>
        <v>53853.88819</v>
      </c>
      <c r="N107" s="461">
        <f>IFERROR(__xludf.DUMMYFUNCTION("""COMPUTED_VALUE"""),40413.76249841809)</f>
        <v>40413.7625</v>
      </c>
      <c r="O107" s="461">
        <f>IFERROR(__xludf.DUMMYFUNCTION("""COMPUTED_VALUE"""),40306.370959793094)</f>
        <v>40306.37096</v>
      </c>
      <c r="P107" s="461">
        <f t="shared" ref="P107:P110" si="14">sum(D107:O107)</f>
        <v>581783.2281</v>
      </c>
    </row>
    <row r="108" ht="14.25" customHeight="1">
      <c r="A108" s="473" t="s">
        <v>47</v>
      </c>
      <c r="B108" s="459"/>
      <c r="C108" s="477" t="s">
        <v>1106</v>
      </c>
      <c r="D108" s="461">
        <f>IFERROR(__xludf.DUMMYFUNCTION("""COMPUTED_VALUE"""),0.0)</f>
        <v>0</v>
      </c>
      <c r="E108" s="461">
        <f>IFERROR(__xludf.DUMMYFUNCTION("""COMPUTED_VALUE"""),0.0)</f>
        <v>0</v>
      </c>
      <c r="F108" s="461">
        <f>IFERROR(__xludf.DUMMYFUNCTION("""COMPUTED_VALUE"""),0.0)</f>
        <v>0</v>
      </c>
      <c r="G108" s="461">
        <f>IFERROR(__xludf.DUMMYFUNCTION("""COMPUTED_VALUE"""),0.0)</f>
        <v>0</v>
      </c>
      <c r="H108" s="461">
        <f>IFERROR(__xludf.DUMMYFUNCTION("""COMPUTED_VALUE"""),0.0)</f>
        <v>0</v>
      </c>
      <c r="I108" s="461">
        <f>IFERROR(__xludf.DUMMYFUNCTION("""COMPUTED_VALUE"""),0.0)</f>
        <v>0</v>
      </c>
      <c r="J108" s="461">
        <f>IFERROR(__xludf.DUMMYFUNCTION("""COMPUTED_VALUE"""),0.0)</f>
        <v>0</v>
      </c>
      <c r="K108" s="461">
        <f>IFERROR(__xludf.DUMMYFUNCTION("""COMPUTED_VALUE"""),0.0)</f>
        <v>0</v>
      </c>
      <c r="L108" s="461">
        <f>IFERROR(__xludf.DUMMYFUNCTION("""COMPUTED_VALUE"""),0.0)</f>
        <v>0</v>
      </c>
      <c r="M108" s="461">
        <f>IFERROR(__xludf.DUMMYFUNCTION("""COMPUTED_VALUE"""),0.0)</f>
        <v>0</v>
      </c>
      <c r="N108" s="461">
        <f>IFERROR(__xludf.DUMMYFUNCTION("""COMPUTED_VALUE"""),0.0)</f>
        <v>0</v>
      </c>
      <c r="O108" s="461">
        <f>IFERROR(__xludf.DUMMYFUNCTION("""COMPUTED_VALUE"""),0.0)</f>
        <v>0</v>
      </c>
      <c r="P108" s="461">
        <f t="shared" si="14"/>
        <v>0</v>
      </c>
    </row>
    <row r="109" ht="14.25" customHeight="1">
      <c r="A109" s="473" t="s">
        <v>878</v>
      </c>
      <c r="B109" s="459"/>
      <c r="C109" s="477" t="s">
        <v>1107</v>
      </c>
      <c r="D109" s="461">
        <f>IFERROR(__xludf.DUMMYFUNCTION("""COMPUTED_VALUE"""),0.0)</f>
        <v>0</v>
      </c>
      <c r="E109" s="461">
        <f>IFERROR(__xludf.DUMMYFUNCTION("""COMPUTED_VALUE"""),0.0)</f>
        <v>0</v>
      </c>
      <c r="F109" s="461">
        <f>IFERROR(__xludf.DUMMYFUNCTION("""COMPUTED_VALUE"""),0.0)</f>
        <v>0</v>
      </c>
      <c r="G109" s="461">
        <f>IFERROR(__xludf.DUMMYFUNCTION("""COMPUTED_VALUE"""),0.0)</f>
        <v>0</v>
      </c>
      <c r="H109" s="461">
        <f>IFERROR(__xludf.DUMMYFUNCTION("""COMPUTED_VALUE"""),0.0)</f>
        <v>0</v>
      </c>
      <c r="I109" s="461">
        <f>IFERROR(__xludf.DUMMYFUNCTION("""COMPUTED_VALUE"""),0.0)</f>
        <v>0</v>
      </c>
      <c r="J109" s="461">
        <f>IFERROR(__xludf.DUMMYFUNCTION("""COMPUTED_VALUE"""),0.0)</f>
        <v>0</v>
      </c>
      <c r="K109" s="461">
        <f>IFERROR(__xludf.DUMMYFUNCTION("""COMPUTED_VALUE"""),0.0)</f>
        <v>0</v>
      </c>
      <c r="L109" s="461">
        <f>IFERROR(__xludf.DUMMYFUNCTION("""COMPUTED_VALUE"""),0.0)</f>
        <v>0</v>
      </c>
      <c r="M109" s="461">
        <f>IFERROR(__xludf.DUMMYFUNCTION("""COMPUTED_VALUE"""),0.0)</f>
        <v>0</v>
      </c>
      <c r="N109" s="461">
        <f>IFERROR(__xludf.DUMMYFUNCTION("""COMPUTED_VALUE"""),0.0)</f>
        <v>0</v>
      </c>
      <c r="O109" s="461">
        <f>IFERROR(__xludf.DUMMYFUNCTION("""COMPUTED_VALUE"""),0.0)</f>
        <v>0</v>
      </c>
      <c r="P109" s="461">
        <f t="shared" si="14"/>
        <v>0</v>
      </c>
    </row>
    <row r="110" ht="14.25" customHeight="1">
      <c r="A110" s="473" t="s">
        <v>815</v>
      </c>
      <c r="B110" s="459"/>
      <c r="C110" s="477" t="s">
        <v>1108</v>
      </c>
      <c r="D110" s="461">
        <f>IFERROR(__xludf.DUMMYFUNCTION("""COMPUTED_VALUE"""),0.0)</f>
        <v>0</v>
      </c>
      <c r="E110" s="461">
        <f>IFERROR(__xludf.DUMMYFUNCTION("""COMPUTED_VALUE"""),0.0)</f>
        <v>0</v>
      </c>
      <c r="F110" s="461">
        <f>IFERROR(__xludf.DUMMYFUNCTION("""COMPUTED_VALUE"""),0.0)</f>
        <v>0</v>
      </c>
      <c r="G110" s="461">
        <f>IFERROR(__xludf.DUMMYFUNCTION("""COMPUTED_VALUE"""),0.0)</f>
        <v>0</v>
      </c>
      <c r="H110" s="461">
        <f>IFERROR(__xludf.DUMMYFUNCTION("""COMPUTED_VALUE"""),0.0)</f>
        <v>0</v>
      </c>
      <c r="I110" s="461">
        <f>IFERROR(__xludf.DUMMYFUNCTION("""COMPUTED_VALUE"""),0.0)</f>
        <v>0</v>
      </c>
      <c r="J110" s="461">
        <f>IFERROR(__xludf.DUMMYFUNCTION("""COMPUTED_VALUE"""),0.0)</f>
        <v>0</v>
      </c>
      <c r="K110" s="461">
        <f>IFERROR(__xludf.DUMMYFUNCTION("""COMPUTED_VALUE"""),0.0)</f>
        <v>0</v>
      </c>
      <c r="L110" s="461">
        <f>IFERROR(__xludf.DUMMYFUNCTION("""COMPUTED_VALUE"""),0.0)</f>
        <v>0</v>
      </c>
      <c r="M110" s="461">
        <f>IFERROR(__xludf.DUMMYFUNCTION("""COMPUTED_VALUE"""),0.0)</f>
        <v>0</v>
      </c>
      <c r="N110" s="461">
        <f>IFERROR(__xludf.DUMMYFUNCTION("""COMPUTED_VALUE"""),0.0)</f>
        <v>0</v>
      </c>
      <c r="O110" s="461">
        <f>IFERROR(__xludf.DUMMYFUNCTION("""COMPUTED_VALUE"""),0.0)</f>
        <v>0</v>
      </c>
      <c r="P110" s="461">
        <f t="shared" si="14"/>
        <v>0</v>
      </c>
    </row>
    <row r="111" ht="14.25" customHeight="1">
      <c r="A111" s="482" t="s">
        <v>881</v>
      </c>
      <c r="B111" s="483"/>
      <c r="C111" s="484"/>
      <c r="D111" s="475">
        <f>IFERROR(__xludf.DUMMYFUNCTION("""COMPUTED_VALUE"""),64701.71656357535)</f>
        <v>64701.71656</v>
      </c>
      <c r="E111" s="475">
        <f>IFERROR(__xludf.DUMMYFUNCTION("""COMPUTED_VALUE"""),41235.98100794631)</f>
        <v>41235.98101</v>
      </c>
      <c r="F111" s="475">
        <f>IFERROR(__xludf.DUMMYFUNCTION("""COMPUTED_VALUE"""),43726.33034744632)</f>
        <v>43726.33035</v>
      </c>
      <c r="G111" s="475">
        <f>IFERROR(__xludf.DUMMYFUNCTION("""COMPUTED_VALUE"""),63809.073088418096)</f>
        <v>63809.07309</v>
      </c>
      <c r="H111" s="475">
        <f>IFERROR(__xludf.DUMMYFUNCTION("""COMPUTED_VALUE"""),41457.71100041809)</f>
        <v>41457.711</v>
      </c>
      <c r="I111" s="475">
        <f>IFERROR(__xludf.DUMMYFUNCTION("""COMPUTED_VALUE"""),50175.20411841809)</f>
        <v>50175.20412</v>
      </c>
      <c r="J111" s="475">
        <f>IFERROR(__xludf.DUMMYFUNCTION("""COMPUTED_VALUE"""),59200.43983854309)</f>
        <v>59200.43984</v>
      </c>
      <c r="K111" s="475">
        <f>IFERROR(__xludf.DUMMYFUNCTION("""COMPUTED_VALUE"""),40339.79442466809)</f>
        <v>40339.79442</v>
      </c>
      <c r="L111" s="475">
        <f>IFERROR(__xludf.DUMMYFUNCTION("""COMPUTED_VALUE"""),42562.956017418095)</f>
        <v>42562.95602</v>
      </c>
      <c r="M111" s="475">
        <f>IFERROR(__xludf.DUMMYFUNCTION("""COMPUTED_VALUE"""),53853.88819204309)</f>
        <v>53853.88819</v>
      </c>
      <c r="N111" s="475">
        <f>IFERROR(__xludf.DUMMYFUNCTION("""COMPUTED_VALUE"""),40413.76249841809)</f>
        <v>40413.7625</v>
      </c>
      <c r="O111" s="475">
        <f>IFERROR(__xludf.DUMMYFUNCTION("""COMPUTED_VALUE"""),40306.370959793094)</f>
        <v>40306.37096</v>
      </c>
      <c r="P111" s="475">
        <f>sum(P107:P110)</f>
        <v>581783.2281</v>
      </c>
    </row>
    <row r="112" ht="14.25" customHeight="1">
      <c r="A112" s="478" t="s">
        <v>882</v>
      </c>
      <c r="B112" s="485"/>
      <c r="C112" s="486"/>
      <c r="D112" s="481">
        <f>IFERROR(__xludf.DUMMYFUNCTION("""COMPUTED_VALUE"""),64701.71656357535)</f>
        <v>64701.71656</v>
      </c>
      <c r="E112" s="481">
        <f>IFERROR(__xludf.DUMMYFUNCTION("""COMPUTED_VALUE"""),41235.98100794631)</f>
        <v>41235.98101</v>
      </c>
      <c r="F112" s="481">
        <f>IFERROR(__xludf.DUMMYFUNCTION("""COMPUTED_VALUE"""),43726.33034744632)</f>
        <v>43726.33035</v>
      </c>
      <c r="G112" s="481">
        <f>IFERROR(__xludf.DUMMYFUNCTION("""COMPUTED_VALUE"""),63809.073088418096)</f>
        <v>63809.07309</v>
      </c>
      <c r="H112" s="481">
        <f>IFERROR(__xludf.DUMMYFUNCTION("""COMPUTED_VALUE"""),41457.71100041809)</f>
        <v>41457.711</v>
      </c>
      <c r="I112" s="481">
        <f>IFERROR(__xludf.DUMMYFUNCTION("""COMPUTED_VALUE"""),50175.20411841809)</f>
        <v>50175.20412</v>
      </c>
      <c r="J112" s="481">
        <f>IFERROR(__xludf.DUMMYFUNCTION("""COMPUTED_VALUE"""),59200.43983854309)</f>
        <v>59200.43984</v>
      </c>
      <c r="K112" s="481">
        <f>IFERROR(__xludf.DUMMYFUNCTION("""COMPUTED_VALUE"""),40339.79442466809)</f>
        <v>40339.79442</v>
      </c>
      <c r="L112" s="481">
        <f>IFERROR(__xludf.DUMMYFUNCTION("""COMPUTED_VALUE"""),42562.956017418095)</f>
        <v>42562.95602</v>
      </c>
      <c r="M112" s="481">
        <f>IFERROR(__xludf.DUMMYFUNCTION("""COMPUTED_VALUE"""),53853.88819204309)</f>
        <v>53853.88819</v>
      </c>
      <c r="N112" s="481">
        <f>IFERROR(__xludf.DUMMYFUNCTION("""COMPUTED_VALUE"""),40413.76249841809)</f>
        <v>40413.7625</v>
      </c>
      <c r="O112" s="481">
        <f>IFERROR(__xludf.DUMMYFUNCTION("""COMPUTED_VALUE"""),40306.370959793094)</f>
        <v>40306.37096</v>
      </c>
      <c r="P112" s="481">
        <f>P111</f>
        <v>581783.2281</v>
      </c>
    </row>
    <row r="113" ht="14.25" customHeight="1">
      <c r="A113" s="487" t="s">
        <v>883</v>
      </c>
      <c r="B113" s="488"/>
      <c r="C113" s="488"/>
      <c r="D113" s="489">
        <f>IFERROR(__xludf.DUMMYFUNCTION("""COMPUTED_VALUE"""),1078856.9481807156)</f>
        <v>1078856.948</v>
      </c>
      <c r="E113" s="489">
        <f>IFERROR(__xludf.DUMMYFUNCTION("""COMPUTED_VALUE"""),931240.4732043959)</f>
        <v>931240.4732</v>
      </c>
      <c r="F113" s="489">
        <f>IFERROR(__xludf.DUMMYFUNCTION("""COMPUTED_VALUE"""),866206.9296879488)</f>
        <v>866206.9297</v>
      </c>
      <c r="G113" s="489">
        <f>IFERROR(__xludf.DUMMYFUNCTION("""COMPUTED_VALUE"""),940310.6988681501)</f>
        <v>940310.6989</v>
      </c>
      <c r="H113" s="489">
        <f>IFERROR(__xludf.DUMMYFUNCTION("""COMPUTED_VALUE"""),805044.6364509254)</f>
        <v>805044.6365</v>
      </c>
      <c r="I113" s="489">
        <f>IFERROR(__xludf.DUMMYFUNCTION("""COMPUTED_VALUE"""),821539.8298765969)</f>
        <v>821539.8299</v>
      </c>
      <c r="J113" s="489">
        <f>IFERROR(__xludf.DUMMYFUNCTION("""COMPUTED_VALUE"""),854620.5905044245)</f>
        <v>854620.5905</v>
      </c>
      <c r="K113" s="489">
        <f>IFERROR(__xludf.DUMMYFUNCTION("""COMPUTED_VALUE"""),851563.7993136604)</f>
        <v>851563.7993</v>
      </c>
      <c r="L113" s="489">
        <f>IFERROR(__xludf.DUMMYFUNCTION("""COMPUTED_VALUE"""),825751.5674145567)</f>
        <v>825751.5674</v>
      </c>
      <c r="M113" s="489">
        <f>IFERROR(__xludf.DUMMYFUNCTION("""COMPUTED_VALUE"""),920346.9582408253)</f>
        <v>920346.9582</v>
      </c>
      <c r="N113" s="489">
        <f>IFERROR(__xludf.DUMMYFUNCTION("""COMPUTED_VALUE"""),828010.8331546517)</f>
        <v>828010.8332</v>
      </c>
      <c r="O113" s="489">
        <f>IFERROR(__xludf.DUMMYFUNCTION("""COMPUTED_VALUE"""),787143.3715077344)</f>
        <v>787143.3715</v>
      </c>
      <c r="P113" s="489">
        <f>P112+P106+P96+P59</f>
        <v>10510636.64</v>
      </c>
    </row>
    <row r="114" ht="14.25" customHeight="1">
      <c r="A114" s="467"/>
      <c r="B114" s="459"/>
      <c r="C114" s="468" t="s">
        <v>884</v>
      </c>
      <c r="D114" s="461">
        <f>IFERROR(__xludf.DUMMYFUNCTION("""COMPUTED_VALUE"""),0.0)</f>
        <v>0</v>
      </c>
      <c r="E114" s="461">
        <f>IFERROR(__xludf.DUMMYFUNCTION("""COMPUTED_VALUE"""),0.0)</f>
        <v>0</v>
      </c>
      <c r="F114" s="461">
        <f>IFERROR(__xludf.DUMMYFUNCTION("""COMPUTED_VALUE"""),0.0)</f>
        <v>0</v>
      </c>
      <c r="G114" s="461">
        <f>IFERROR(__xludf.DUMMYFUNCTION("""COMPUTED_VALUE"""),0.0)</f>
        <v>0</v>
      </c>
      <c r="H114" s="461">
        <f>IFERROR(__xludf.DUMMYFUNCTION("""COMPUTED_VALUE"""),0.0)</f>
        <v>0</v>
      </c>
      <c r="I114" s="461">
        <f>IFERROR(__xludf.DUMMYFUNCTION("""COMPUTED_VALUE"""),0.0)</f>
        <v>0</v>
      </c>
      <c r="J114" s="461">
        <f>IFERROR(__xludf.DUMMYFUNCTION("""COMPUTED_VALUE"""),0.0)</f>
        <v>0</v>
      </c>
      <c r="K114" s="461">
        <f>IFERROR(__xludf.DUMMYFUNCTION("""COMPUTED_VALUE"""),0.0)</f>
        <v>0</v>
      </c>
      <c r="L114" s="461">
        <f>IFERROR(__xludf.DUMMYFUNCTION("""COMPUTED_VALUE"""),0.0)</f>
        <v>0</v>
      </c>
      <c r="M114" s="461">
        <f>IFERROR(__xludf.DUMMYFUNCTION("""COMPUTED_VALUE"""),0.0)</f>
        <v>0</v>
      </c>
      <c r="N114" s="461">
        <f>IFERROR(__xludf.DUMMYFUNCTION("""COMPUTED_VALUE"""),0.0)</f>
        <v>0</v>
      </c>
      <c r="O114" s="461">
        <f>IFERROR(__xludf.DUMMYFUNCTION("""COMPUTED_VALUE"""),0.0)</f>
        <v>0</v>
      </c>
      <c r="P114" s="461">
        <f t="shared" ref="P114:P125" si="15">sum(D114:O114)</f>
        <v>0</v>
      </c>
    </row>
    <row r="115" ht="14.25" customHeight="1">
      <c r="A115" s="490" t="s">
        <v>503</v>
      </c>
      <c r="B115" s="491"/>
      <c r="C115" s="477" t="s">
        <v>1109</v>
      </c>
      <c r="D115" s="461">
        <f>IFERROR(__xludf.DUMMYFUNCTION("""COMPUTED_VALUE"""),211542.0)</f>
        <v>211542</v>
      </c>
      <c r="E115" s="461">
        <f>IFERROR(__xludf.DUMMYFUNCTION("""COMPUTED_VALUE"""),211542.0)</f>
        <v>211542</v>
      </c>
      <c r="F115" s="461">
        <f>IFERROR(__xludf.DUMMYFUNCTION("""COMPUTED_VALUE"""),211542.0)</f>
        <v>211542</v>
      </c>
      <c r="G115" s="461">
        <f>IFERROR(__xludf.DUMMYFUNCTION("""COMPUTED_VALUE"""),211542.0)</f>
        <v>211542</v>
      </c>
      <c r="H115" s="461">
        <f>IFERROR(__xludf.DUMMYFUNCTION("""COMPUTED_VALUE"""),211542.0)</f>
        <v>211542</v>
      </c>
      <c r="I115" s="461">
        <f>IFERROR(__xludf.DUMMYFUNCTION("""COMPUTED_VALUE"""),211542.0)</f>
        <v>211542</v>
      </c>
      <c r="J115" s="461">
        <f>IFERROR(__xludf.DUMMYFUNCTION("""COMPUTED_VALUE"""),211542.0)</f>
        <v>211542</v>
      </c>
      <c r="K115" s="461">
        <f>IFERROR(__xludf.DUMMYFUNCTION("""COMPUTED_VALUE"""),211542.0)</f>
        <v>211542</v>
      </c>
      <c r="L115" s="461">
        <f>IFERROR(__xludf.DUMMYFUNCTION("""COMPUTED_VALUE"""),211542.0)</f>
        <v>211542</v>
      </c>
      <c r="M115" s="461">
        <f>IFERROR(__xludf.DUMMYFUNCTION("""COMPUTED_VALUE"""),211542.0)</f>
        <v>211542</v>
      </c>
      <c r="N115" s="461">
        <f>IFERROR(__xludf.DUMMYFUNCTION("""COMPUTED_VALUE"""),211542.0)</f>
        <v>211542</v>
      </c>
      <c r="O115" s="461">
        <f>IFERROR(__xludf.DUMMYFUNCTION("""COMPUTED_VALUE"""),211542.0)</f>
        <v>211542</v>
      </c>
      <c r="P115" s="461">
        <f t="shared" si="15"/>
        <v>2538504</v>
      </c>
    </row>
    <row r="116" ht="14.25" customHeight="1">
      <c r="A116" s="492" t="s">
        <v>505</v>
      </c>
      <c r="B116" s="491"/>
      <c r="C116" s="477" t="s">
        <v>1110</v>
      </c>
      <c r="D116" s="461">
        <f>IFERROR(__xludf.DUMMYFUNCTION("""COMPUTED_VALUE"""),20819.0)</f>
        <v>20819</v>
      </c>
      <c r="E116" s="461">
        <f>IFERROR(__xludf.DUMMYFUNCTION("""COMPUTED_VALUE"""),20819.0)</f>
        <v>20819</v>
      </c>
      <c r="F116" s="461">
        <f>IFERROR(__xludf.DUMMYFUNCTION("""COMPUTED_VALUE"""),20819.0)</f>
        <v>20819</v>
      </c>
      <c r="G116" s="461">
        <f>IFERROR(__xludf.DUMMYFUNCTION("""COMPUTED_VALUE"""),20819.0)</f>
        <v>20819</v>
      </c>
      <c r="H116" s="461">
        <f>IFERROR(__xludf.DUMMYFUNCTION("""COMPUTED_VALUE"""),20819.0)</f>
        <v>20819</v>
      </c>
      <c r="I116" s="461">
        <f>IFERROR(__xludf.DUMMYFUNCTION("""COMPUTED_VALUE"""),20819.0)</f>
        <v>20819</v>
      </c>
      <c r="J116" s="461">
        <f>IFERROR(__xludf.DUMMYFUNCTION("""COMPUTED_VALUE"""),20819.0)</f>
        <v>20819</v>
      </c>
      <c r="K116" s="461">
        <f>IFERROR(__xludf.DUMMYFUNCTION("""COMPUTED_VALUE"""),20819.0)</f>
        <v>20819</v>
      </c>
      <c r="L116" s="461">
        <f>IFERROR(__xludf.DUMMYFUNCTION("""COMPUTED_VALUE"""),20819.0)</f>
        <v>20819</v>
      </c>
      <c r="M116" s="461">
        <f>IFERROR(__xludf.DUMMYFUNCTION("""COMPUTED_VALUE"""),20819.0)</f>
        <v>20819</v>
      </c>
      <c r="N116" s="461">
        <f>IFERROR(__xludf.DUMMYFUNCTION("""COMPUTED_VALUE"""),20819.0)</f>
        <v>20819</v>
      </c>
      <c r="O116" s="461">
        <f>IFERROR(__xludf.DUMMYFUNCTION("""COMPUTED_VALUE"""),20819.0)</f>
        <v>20819</v>
      </c>
      <c r="P116" s="461">
        <f t="shared" si="15"/>
        <v>249828</v>
      </c>
    </row>
    <row r="117" ht="14.25" customHeight="1">
      <c r="A117" s="493" t="s">
        <v>507</v>
      </c>
      <c r="B117" s="494"/>
      <c r="C117" s="477" t="s">
        <v>508</v>
      </c>
      <c r="D117" s="461">
        <f>IFERROR(__xludf.DUMMYFUNCTION("""COMPUTED_VALUE"""),1773.0)</f>
        <v>1773</v>
      </c>
      <c r="E117" s="461">
        <f>IFERROR(__xludf.DUMMYFUNCTION("""COMPUTED_VALUE"""),1773.0)</f>
        <v>1773</v>
      </c>
      <c r="F117" s="461">
        <f>IFERROR(__xludf.DUMMYFUNCTION("""COMPUTED_VALUE"""),1773.0)</f>
        <v>1773</v>
      </c>
      <c r="G117" s="461">
        <f>IFERROR(__xludf.DUMMYFUNCTION("""COMPUTED_VALUE"""),1773.0)</f>
        <v>1773</v>
      </c>
      <c r="H117" s="461">
        <f>IFERROR(__xludf.DUMMYFUNCTION("""COMPUTED_VALUE"""),1773.0)</f>
        <v>1773</v>
      </c>
      <c r="I117" s="461">
        <f>IFERROR(__xludf.DUMMYFUNCTION("""COMPUTED_VALUE"""),1773.0)</f>
        <v>1773</v>
      </c>
      <c r="J117" s="461">
        <f>IFERROR(__xludf.DUMMYFUNCTION("""COMPUTED_VALUE"""),1773.0)</f>
        <v>1773</v>
      </c>
      <c r="K117" s="461">
        <f>IFERROR(__xludf.DUMMYFUNCTION("""COMPUTED_VALUE"""),1773.0)</f>
        <v>1773</v>
      </c>
      <c r="L117" s="461">
        <f>IFERROR(__xludf.DUMMYFUNCTION("""COMPUTED_VALUE"""),1773.0)</f>
        <v>1773</v>
      </c>
      <c r="M117" s="461">
        <f>IFERROR(__xludf.DUMMYFUNCTION("""COMPUTED_VALUE"""),1773.0)</f>
        <v>1773</v>
      </c>
      <c r="N117" s="461">
        <f>IFERROR(__xludf.DUMMYFUNCTION("""COMPUTED_VALUE"""),1773.0)</f>
        <v>1773</v>
      </c>
      <c r="O117" s="461">
        <f>IFERROR(__xludf.DUMMYFUNCTION("""COMPUTED_VALUE"""),1773.0)</f>
        <v>1773</v>
      </c>
      <c r="P117" s="461">
        <f t="shared" si="15"/>
        <v>21276</v>
      </c>
    </row>
    <row r="118" ht="14.25" customHeight="1">
      <c r="A118" s="493" t="s">
        <v>561</v>
      </c>
      <c r="B118" s="494"/>
      <c r="C118" s="477" t="s">
        <v>1111</v>
      </c>
      <c r="D118" s="461">
        <f>IFERROR(__xludf.DUMMYFUNCTION("""COMPUTED_VALUE"""),0.0)</f>
        <v>0</v>
      </c>
      <c r="E118" s="461">
        <f>IFERROR(__xludf.DUMMYFUNCTION("""COMPUTED_VALUE"""),0.0)</f>
        <v>0</v>
      </c>
      <c r="F118" s="461">
        <f>IFERROR(__xludf.DUMMYFUNCTION("""COMPUTED_VALUE"""),0.0)</f>
        <v>0</v>
      </c>
      <c r="G118" s="461">
        <f>IFERROR(__xludf.DUMMYFUNCTION("""COMPUTED_VALUE"""),0.0)</f>
        <v>0</v>
      </c>
      <c r="H118" s="461">
        <f>IFERROR(__xludf.DUMMYFUNCTION("""COMPUTED_VALUE"""),0.0)</f>
        <v>0</v>
      </c>
      <c r="I118" s="461">
        <f>IFERROR(__xludf.DUMMYFUNCTION("""COMPUTED_VALUE"""),0.0)</f>
        <v>0</v>
      </c>
      <c r="J118" s="461">
        <f>IFERROR(__xludf.DUMMYFUNCTION("""COMPUTED_VALUE"""),0.0)</f>
        <v>0</v>
      </c>
      <c r="K118" s="461">
        <f>IFERROR(__xludf.DUMMYFUNCTION("""COMPUTED_VALUE"""),0.0)</f>
        <v>0</v>
      </c>
      <c r="L118" s="461">
        <f>IFERROR(__xludf.DUMMYFUNCTION("""COMPUTED_VALUE"""),0.0)</f>
        <v>0</v>
      </c>
      <c r="M118" s="461">
        <f>IFERROR(__xludf.DUMMYFUNCTION("""COMPUTED_VALUE"""),0.0)</f>
        <v>0</v>
      </c>
      <c r="N118" s="461">
        <f>IFERROR(__xludf.DUMMYFUNCTION("""COMPUTED_VALUE"""),0.0)</f>
        <v>0</v>
      </c>
      <c r="O118" s="461">
        <f>IFERROR(__xludf.DUMMYFUNCTION("""COMPUTED_VALUE"""),0.0)</f>
        <v>0</v>
      </c>
      <c r="P118" s="461">
        <f t="shared" si="15"/>
        <v>0</v>
      </c>
    </row>
    <row r="119" ht="14.25" customHeight="1">
      <c r="A119" s="493" t="s">
        <v>509</v>
      </c>
      <c r="B119" s="494"/>
      <c r="C119" s="477" t="s">
        <v>510</v>
      </c>
      <c r="D119" s="461">
        <f>IFERROR(__xludf.DUMMYFUNCTION("""COMPUTED_VALUE"""),0.0)</f>
        <v>0</v>
      </c>
      <c r="E119" s="461">
        <f>IFERROR(__xludf.DUMMYFUNCTION("""COMPUTED_VALUE"""),0.0)</f>
        <v>0</v>
      </c>
      <c r="F119" s="461">
        <f>IFERROR(__xludf.DUMMYFUNCTION("""COMPUTED_VALUE"""),0.0)</f>
        <v>0</v>
      </c>
      <c r="G119" s="461">
        <f>IFERROR(__xludf.DUMMYFUNCTION("""COMPUTED_VALUE"""),0.0)</f>
        <v>0</v>
      </c>
      <c r="H119" s="461">
        <f>IFERROR(__xludf.DUMMYFUNCTION("""COMPUTED_VALUE"""),0.0)</f>
        <v>0</v>
      </c>
      <c r="I119" s="461">
        <f>IFERROR(__xludf.DUMMYFUNCTION("""COMPUTED_VALUE"""),0.0)</f>
        <v>0</v>
      </c>
      <c r="J119" s="461">
        <f>IFERROR(__xludf.DUMMYFUNCTION("""COMPUTED_VALUE"""),0.0)</f>
        <v>0</v>
      </c>
      <c r="K119" s="461">
        <f>IFERROR(__xludf.DUMMYFUNCTION("""COMPUTED_VALUE"""),0.0)</f>
        <v>0</v>
      </c>
      <c r="L119" s="461">
        <f>IFERROR(__xludf.DUMMYFUNCTION("""COMPUTED_VALUE"""),0.0)</f>
        <v>0</v>
      </c>
      <c r="M119" s="461">
        <f>IFERROR(__xludf.DUMMYFUNCTION("""COMPUTED_VALUE"""),0.0)</f>
        <v>0</v>
      </c>
      <c r="N119" s="461">
        <f>IFERROR(__xludf.DUMMYFUNCTION("""COMPUTED_VALUE"""),0.0)</f>
        <v>0</v>
      </c>
      <c r="O119" s="461">
        <f>IFERROR(__xludf.DUMMYFUNCTION("""COMPUTED_VALUE"""),0.0)</f>
        <v>0</v>
      </c>
      <c r="P119" s="461">
        <f t="shared" si="15"/>
        <v>0</v>
      </c>
    </row>
    <row r="120" ht="14.25" customHeight="1">
      <c r="A120" s="493" t="s">
        <v>567</v>
      </c>
      <c r="B120" s="494"/>
      <c r="C120" s="477" t="s">
        <v>1112</v>
      </c>
      <c r="D120" s="461">
        <f>IFERROR(__xludf.DUMMYFUNCTION("""COMPUTED_VALUE"""),0.0)</f>
        <v>0</v>
      </c>
      <c r="E120" s="461">
        <f>IFERROR(__xludf.DUMMYFUNCTION("""COMPUTED_VALUE"""),0.0)</f>
        <v>0</v>
      </c>
      <c r="F120" s="461">
        <f>IFERROR(__xludf.DUMMYFUNCTION("""COMPUTED_VALUE"""),0.0)</f>
        <v>0</v>
      </c>
      <c r="G120" s="461">
        <f>IFERROR(__xludf.DUMMYFUNCTION("""COMPUTED_VALUE"""),0.0)</f>
        <v>0</v>
      </c>
      <c r="H120" s="461">
        <f>IFERROR(__xludf.DUMMYFUNCTION("""COMPUTED_VALUE"""),0.0)</f>
        <v>0</v>
      </c>
      <c r="I120" s="461">
        <f>IFERROR(__xludf.DUMMYFUNCTION("""COMPUTED_VALUE"""),0.0)</f>
        <v>0</v>
      </c>
      <c r="J120" s="461">
        <f>IFERROR(__xludf.DUMMYFUNCTION("""COMPUTED_VALUE"""),0.0)</f>
        <v>0</v>
      </c>
      <c r="K120" s="461">
        <f>IFERROR(__xludf.DUMMYFUNCTION("""COMPUTED_VALUE"""),0.0)</f>
        <v>0</v>
      </c>
      <c r="L120" s="461">
        <f>IFERROR(__xludf.DUMMYFUNCTION("""COMPUTED_VALUE"""),0.0)</f>
        <v>0</v>
      </c>
      <c r="M120" s="461">
        <f>IFERROR(__xludf.DUMMYFUNCTION("""COMPUTED_VALUE"""),0.0)</f>
        <v>0</v>
      </c>
      <c r="N120" s="461">
        <f>IFERROR(__xludf.DUMMYFUNCTION("""COMPUTED_VALUE"""),0.0)</f>
        <v>0</v>
      </c>
      <c r="O120" s="461">
        <f>IFERROR(__xludf.DUMMYFUNCTION("""COMPUTED_VALUE"""),0.0)</f>
        <v>0</v>
      </c>
      <c r="P120" s="461">
        <f t="shared" si="15"/>
        <v>0</v>
      </c>
    </row>
    <row r="121" ht="14.25" customHeight="1">
      <c r="A121" s="495" t="s">
        <v>511</v>
      </c>
      <c r="B121" s="494"/>
      <c r="C121" s="477" t="s">
        <v>1113</v>
      </c>
      <c r="D121" s="461">
        <f>IFERROR(__xludf.DUMMYFUNCTION("""COMPUTED_VALUE"""),55285.0)</f>
        <v>55285</v>
      </c>
      <c r="E121" s="461">
        <f>IFERROR(__xludf.DUMMYFUNCTION("""COMPUTED_VALUE"""),55285.0)</f>
        <v>55285</v>
      </c>
      <c r="F121" s="461">
        <f>IFERROR(__xludf.DUMMYFUNCTION("""COMPUTED_VALUE"""),55285.0)</f>
        <v>55285</v>
      </c>
      <c r="G121" s="461">
        <f>IFERROR(__xludf.DUMMYFUNCTION("""COMPUTED_VALUE"""),55285.0)</f>
        <v>55285</v>
      </c>
      <c r="H121" s="461">
        <f>IFERROR(__xludf.DUMMYFUNCTION("""COMPUTED_VALUE"""),55285.0)</f>
        <v>55285</v>
      </c>
      <c r="I121" s="461">
        <f>IFERROR(__xludf.DUMMYFUNCTION("""COMPUTED_VALUE"""),55285.0)</f>
        <v>55285</v>
      </c>
      <c r="J121" s="461">
        <f>IFERROR(__xludf.DUMMYFUNCTION("""COMPUTED_VALUE"""),55285.0)</f>
        <v>55285</v>
      </c>
      <c r="K121" s="461">
        <f>IFERROR(__xludf.DUMMYFUNCTION("""COMPUTED_VALUE"""),55285.0)</f>
        <v>55285</v>
      </c>
      <c r="L121" s="461">
        <f>IFERROR(__xludf.DUMMYFUNCTION("""COMPUTED_VALUE"""),55285.0)</f>
        <v>55285</v>
      </c>
      <c r="M121" s="461">
        <f>IFERROR(__xludf.DUMMYFUNCTION("""COMPUTED_VALUE"""),55285.0)</f>
        <v>55285</v>
      </c>
      <c r="N121" s="461">
        <f>IFERROR(__xludf.DUMMYFUNCTION("""COMPUTED_VALUE"""),55285.0)</f>
        <v>55285</v>
      </c>
      <c r="O121" s="461">
        <f>IFERROR(__xludf.DUMMYFUNCTION("""COMPUTED_VALUE"""),55285.0)</f>
        <v>55285</v>
      </c>
      <c r="P121" s="461">
        <f t="shared" si="15"/>
        <v>663420</v>
      </c>
    </row>
    <row r="122" ht="14.25" customHeight="1">
      <c r="A122" s="493" t="s">
        <v>513</v>
      </c>
      <c r="B122" s="494"/>
      <c r="C122" s="477" t="s">
        <v>514</v>
      </c>
      <c r="D122" s="461">
        <f>IFERROR(__xludf.DUMMYFUNCTION("""COMPUTED_VALUE"""),4065.0)</f>
        <v>4065</v>
      </c>
      <c r="E122" s="461">
        <f>IFERROR(__xludf.DUMMYFUNCTION("""COMPUTED_VALUE"""),4065.0)</f>
        <v>4065</v>
      </c>
      <c r="F122" s="461">
        <f>IFERROR(__xludf.DUMMYFUNCTION("""COMPUTED_VALUE"""),4065.0)</f>
        <v>4065</v>
      </c>
      <c r="G122" s="461">
        <f>IFERROR(__xludf.DUMMYFUNCTION("""COMPUTED_VALUE"""),4065.0)</f>
        <v>4065</v>
      </c>
      <c r="H122" s="461">
        <f>IFERROR(__xludf.DUMMYFUNCTION("""COMPUTED_VALUE"""),4065.0)</f>
        <v>4065</v>
      </c>
      <c r="I122" s="461">
        <f>IFERROR(__xludf.DUMMYFUNCTION("""COMPUTED_VALUE"""),4065.0)</f>
        <v>4065</v>
      </c>
      <c r="J122" s="461">
        <f>IFERROR(__xludf.DUMMYFUNCTION("""COMPUTED_VALUE"""),4065.0)</f>
        <v>4065</v>
      </c>
      <c r="K122" s="461">
        <f>IFERROR(__xludf.DUMMYFUNCTION("""COMPUTED_VALUE"""),4065.0)</f>
        <v>4065</v>
      </c>
      <c r="L122" s="461">
        <f>IFERROR(__xludf.DUMMYFUNCTION("""COMPUTED_VALUE"""),4065.0)</f>
        <v>4065</v>
      </c>
      <c r="M122" s="461">
        <f>IFERROR(__xludf.DUMMYFUNCTION("""COMPUTED_VALUE"""),4065.0)</f>
        <v>4065</v>
      </c>
      <c r="N122" s="461">
        <f>IFERROR(__xludf.DUMMYFUNCTION("""COMPUTED_VALUE"""),4065.0)</f>
        <v>4065</v>
      </c>
      <c r="O122" s="461">
        <f>IFERROR(__xludf.DUMMYFUNCTION("""COMPUTED_VALUE"""),4065.0)</f>
        <v>4065</v>
      </c>
      <c r="P122" s="461">
        <f t="shared" si="15"/>
        <v>48780</v>
      </c>
    </row>
    <row r="123" ht="14.25" customHeight="1">
      <c r="A123" s="469" t="s">
        <v>900</v>
      </c>
      <c r="B123" s="496"/>
      <c r="C123" s="497" t="s">
        <v>901</v>
      </c>
      <c r="D123" s="461">
        <f>IFERROR(__xludf.DUMMYFUNCTION("""COMPUTED_VALUE"""),4050.0)</f>
        <v>4050</v>
      </c>
      <c r="E123" s="461">
        <f>IFERROR(__xludf.DUMMYFUNCTION("""COMPUTED_VALUE"""),4050.0)</f>
        <v>4050</v>
      </c>
      <c r="F123" s="461">
        <f>IFERROR(__xludf.DUMMYFUNCTION("""COMPUTED_VALUE"""),4050.0)</f>
        <v>4050</v>
      </c>
      <c r="G123" s="461">
        <f>IFERROR(__xludf.DUMMYFUNCTION("""COMPUTED_VALUE"""),4050.0)</f>
        <v>4050</v>
      </c>
      <c r="H123" s="461">
        <f>IFERROR(__xludf.DUMMYFUNCTION("""COMPUTED_VALUE"""),4050.0)</f>
        <v>4050</v>
      </c>
      <c r="I123" s="461">
        <f>IFERROR(__xludf.DUMMYFUNCTION("""COMPUTED_VALUE"""),4050.0)</f>
        <v>4050</v>
      </c>
      <c r="J123" s="461">
        <f>IFERROR(__xludf.DUMMYFUNCTION("""COMPUTED_VALUE"""),4050.0)</f>
        <v>4050</v>
      </c>
      <c r="K123" s="461">
        <f>IFERROR(__xludf.DUMMYFUNCTION("""COMPUTED_VALUE"""),4050.0)</f>
        <v>4050</v>
      </c>
      <c r="L123" s="461">
        <f>IFERROR(__xludf.DUMMYFUNCTION("""COMPUTED_VALUE"""),4050.0)</f>
        <v>4050</v>
      </c>
      <c r="M123" s="461">
        <f>IFERROR(__xludf.DUMMYFUNCTION("""COMPUTED_VALUE"""),4050.0)</f>
        <v>4050</v>
      </c>
      <c r="N123" s="461">
        <f>IFERROR(__xludf.DUMMYFUNCTION("""COMPUTED_VALUE"""),4050.0)</f>
        <v>4050</v>
      </c>
      <c r="O123" s="461">
        <f>IFERROR(__xludf.DUMMYFUNCTION("""COMPUTED_VALUE"""),4050.0)</f>
        <v>4050</v>
      </c>
      <c r="P123" s="461">
        <f t="shared" si="15"/>
        <v>48600</v>
      </c>
    </row>
    <row r="124" ht="14.25" customHeight="1">
      <c r="A124" s="467"/>
      <c r="B124" s="459"/>
      <c r="C124" s="459" t="s">
        <v>903</v>
      </c>
      <c r="D124" s="461">
        <f>IFERROR(__xludf.DUMMYFUNCTION("""COMPUTED_VALUE"""),0.0)</f>
        <v>0</v>
      </c>
      <c r="E124" s="461">
        <f>IFERROR(__xludf.DUMMYFUNCTION("""COMPUTED_VALUE"""),0.0)</f>
        <v>0</v>
      </c>
      <c r="F124" s="461">
        <f>IFERROR(__xludf.DUMMYFUNCTION("""COMPUTED_VALUE"""),0.0)</f>
        <v>0</v>
      </c>
      <c r="G124" s="461">
        <f>IFERROR(__xludf.DUMMYFUNCTION("""COMPUTED_VALUE"""),0.0)</f>
        <v>0</v>
      </c>
      <c r="H124" s="461">
        <f>IFERROR(__xludf.DUMMYFUNCTION("""COMPUTED_VALUE"""),0.0)</f>
        <v>0</v>
      </c>
      <c r="I124" s="461">
        <f>IFERROR(__xludf.DUMMYFUNCTION("""COMPUTED_VALUE"""),0.0)</f>
        <v>0</v>
      </c>
      <c r="J124" s="461">
        <f>IFERROR(__xludf.DUMMYFUNCTION("""COMPUTED_VALUE"""),0.0)</f>
        <v>0</v>
      </c>
      <c r="K124" s="461">
        <f>IFERROR(__xludf.DUMMYFUNCTION("""COMPUTED_VALUE"""),0.0)</f>
        <v>0</v>
      </c>
      <c r="L124" s="461">
        <f>IFERROR(__xludf.DUMMYFUNCTION("""COMPUTED_VALUE"""),0.0)</f>
        <v>0</v>
      </c>
      <c r="M124" s="461">
        <f>IFERROR(__xludf.DUMMYFUNCTION("""COMPUTED_VALUE"""),0.0)</f>
        <v>0</v>
      </c>
      <c r="N124" s="461">
        <f>IFERROR(__xludf.DUMMYFUNCTION("""COMPUTED_VALUE"""),0.0)</f>
        <v>0</v>
      </c>
      <c r="O124" s="461">
        <f>IFERROR(__xludf.DUMMYFUNCTION("""COMPUTED_VALUE"""),0.0)</f>
        <v>0</v>
      </c>
      <c r="P124" s="461">
        <f t="shared" si="15"/>
        <v>0</v>
      </c>
    </row>
    <row r="125" ht="14.25" customHeight="1">
      <c r="A125" s="467"/>
      <c r="B125" s="477"/>
      <c r="C125" s="477" t="s">
        <v>1114</v>
      </c>
      <c r="D125" s="461">
        <f>IFERROR(__xludf.DUMMYFUNCTION("""COMPUTED_VALUE"""),0.0)</f>
        <v>0</v>
      </c>
      <c r="E125" s="461">
        <f>IFERROR(__xludf.DUMMYFUNCTION("""COMPUTED_VALUE"""),0.0)</f>
        <v>0</v>
      </c>
      <c r="F125" s="461">
        <f>IFERROR(__xludf.DUMMYFUNCTION("""COMPUTED_VALUE"""),0.0)</f>
        <v>0</v>
      </c>
      <c r="G125" s="461">
        <f>IFERROR(__xludf.DUMMYFUNCTION("""COMPUTED_VALUE"""),0.0)</f>
        <v>0</v>
      </c>
      <c r="H125" s="461">
        <f>IFERROR(__xludf.DUMMYFUNCTION("""COMPUTED_VALUE"""),0.0)</f>
        <v>0</v>
      </c>
      <c r="I125" s="461">
        <f>IFERROR(__xludf.DUMMYFUNCTION("""COMPUTED_VALUE"""),0.0)</f>
        <v>0</v>
      </c>
      <c r="J125" s="461">
        <f>IFERROR(__xludf.DUMMYFUNCTION("""COMPUTED_VALUE"""),0.0)</f>
        <v>0</v>
      </c>
      <c r="K125" s="461">
        <f>IFERROR(__xludf.DUMMYFUNCTION("""COMPUTED_VALUE"""),0.0)</f>
        <v>0</v>
      </c>
      <c r="L125" s="461">
        <f>IFERROR(__xludf.DUMMYFUNCTION("""COMPUTED_VALUE"""),0.0)</f>
        <v>0</v>
      </c>
      <c r="M125" s="461">
        <f>IFERROR(__xludf.DUMMYFUNCTION("""COMPUTED_VALUE"""),0.0)</f>
        <v>0</v>
      </c>
      <c r="N125" s="461">
        <f>IFERROR(__xludf.DUMMYFUNCTION("""COMPUTED_VALUE"""),0.0)</f>
        <v>0</v>
      </c>
      <c r="O125" s="461">
        <f>IFERROR(__xludf.DUMMYFUNCTION("""COMPUTED_VALUE"""),0.0)</f>
        <v>0</v>
      </c>
      <c r="P125" s="461">
        <f t="shared" si="15"/>
        <v>0</v>
      </c>
    </row>
    <row r="126" ht="14.25" customHeight="1">
      <c r="A126" s="498" t="s">
        <v>1115</v>
      </c>
      <c r="B126" s="488"/>
      <c r="C126" s="499"/>
      <c r="D126" s="489">
        <f>IFERROR(__xludf.DUMMYFUNCTION("""COMPUTED_VALUE"""),297534.0)</f>
        <v>297534</v>
      </c>
      <c r="E126" s="489">
        <f>IFERROR(__xludf.DUMMYFUNCTION("""COMPUTED_VALUE"""),297534.0)</f>
        <v>297534</v>
      </c>
      <c r="F126" s="489">
        <f>IFERROR(__xludf.DUMMYFUNCTION("""COMPUTED_VALUE"""),297534.0)</f>
        <v>297534</v>
      </c>
      <c r="G126" s="489">
        <f>IFERROR(__xludf.DUMMYFUNCTION("""COMPUTED_VALUE"""),297534.0)</f>
        <v>297534</v>
      </c>
      <c r="H126" s="489">
        <f>IFERROR(__xludf.DUMMYFUNCTION("""COMPUTED_VALUE"""),297534.0)</f>
        <v>297534</v>
      </c>
      <c r="I126" s="489">
        <f>IFERROR(__xludf.DUMMYFUNCTION("""COMPUTED_VALUE"""),297534.0)</f>
        <v>297534</v>
      </c>
      <c r="J126" s="489">
        <f>IFERROR(__xludf.DUMMYFUNCTION("""COMPUTED_VALUE"""),297534.0)</f>
        <v>297534</v>
      </c>
      <c r="K126" s="489">
        <f>IFERROR(__xludf.DUMMYFUNCTION("""COMPUTED_VALUE"""),297534.0)</f>
        <v>297534</v>
      </c>
      <c r="L126" s="489">
        <f>IFERROR(__xludf.DUMMYFUNCTION("""COMPUTED_VALUE"""),297534.0)</f>
        <v>297534</v>
      </c>
      <c r="M126" s="489">
        <f>IFERROR(__xludf.DUMMYFUNCTION("""COMPUTED_VALUE"""),297534.0)</f>
        <v>297534</v>
      </c>
      <c r="N126" s="489">
        <f>IFERROR(__xludf.DUMMYFUNCTION("""COMPUTED_VALUE"""),297534.0)</f>
        <v>297534</v>
      </c>
      <c r="O126" s="489">
        <f>IFERROR(__xludf.DUMMYFUNCTION("""COMPUTED_VALUE"""),297534.0)</f>
        <v>297534</v>
      </c>
      <c r="P126" s="489">
        <f>sum(P114:P125)</f>
        <v>3570408</v>
      </c>
    </row>
    <row r="127" ht="14.25" customHeight="1">
      <c r="A127" s="500"/>
      <c r="B127" s="501"/>
      <c r="C127" s="502" t="s">
        <v>903</v>
      </c>
      <c r="D127" s="462"/>
      <c r="E127" s="462"/>
      <c r="F127" s="462"/>
      <c r="G127" s="462"/>
      <c r="H127" s="462"/>
      <c r="I127" s="462"/>
      <c r="J127" s="462"/>
      <c r="K127" s="462"/>
      <c r="L127" s="462"/>
      <c r="M127" s="462"/>
      <c r="N127" s="462"/>
      <c r="O127" s="462"/>
      <c r="P127" s="461">
        <f t="shared" ref="P127:P148" si="16">sum(D127:O127)</f>
        <v>0</v>
      </c>
    </row>
    <row r="128" ht="14.25" customHeight="1">
      <c r="A128" s="503" t="s">
        <v>441</v>
      </c>
      <c r="B128" s="504"/>
      <c r="C128" s="505" t="s">
        <v>706</v>
      </c>
      <c r="D128" s="461">
        <f>IFERROR(__xludf.DUMMYFUNCTION("""COMPUTED_VALUE"""),52673.975110755564)</f>
        <v>52673.97511</v>
      </c>
      <c r="E128" s="461">
        <f>IFERROR(__xludf.DUMMYFUNCTION("""COMPUTED_VALUE"""),52673.975110755564)</f>
        <v>52673.97511</v>
      </c>
      <c r="F128" s="461">
        <f>IFERROR(__xludf.DUMMYFUNCTION("""COMPUTED_VALUE"""),52673.975110755564)</f>
        <v>52673.97511</v>
      </c>
      <c r="G128" s="461">
        <f>IFERROR(__xludf.DUMMYFUNCTION("""COMPUTED_VALUE"""),54643.2794440889)</f>
        <v>54643.27944</v>
      </c>
      <c r="H128" s="461">
        <f>IFERROR(__xludf.DUMMYFUNCTION("""COMPUTED_VALUE"""),52673.975110755564)</f>
        <v>52673.97511</v>
      </c>
      <c r="I128" s="461">
        <f>IFERROR(__xludf.DUMMYFUNCTION("""COMPUTED_VALUE"""),52673.975110755564)</f>
        <v>52673.97511</v>
      </c>
      <c r="J128" s="461">
        <f>IFERROR(__xludf.DUMMYFUNCTION("""COMPUTED_VALUE"""),52673.975110755564)</f>
        <v>52673.97511</v>
      </c>
      <c r="K128" s="461">
        <f>IFERROR(__xludf.DUMMYFUNCTION("""COMPUTED_VALUE"""),52840.641777422235)</f>
        <v>52840.64178</v>
      </c>
      <c r="L128" s="461">
        <f>IFERROR(__xludf.DUMMYFUNCTION("""COMPUTED_VALUE"""),57059.62611075556)</f>
        <v>57059.62611</v>
      </c>
      <c r="M128" s="461">
        <f>IFERROR(__xludf.DUMMYFUNCTION("""COMPUTED_VALUE"""),52673.975110755564)</f>
        <v>52673.97511</v>
      </c>
      <c r="N128" s="461">
        <f>IFERROR(__xludf.DUMMYFUNCTION("""COMPUTED_VALUE"""),52673.975110755564)</f>
        <v>52673.97511</v>
      </c>
      <c r="O128" s="461">
        <f>IFERROR(__xludf.DUMMYFUNCTION("""COMPUTED_VALUE"""),52673.975110755564)</f>
        <v>52673.97511</v>
      </c>
      <c r="P128" s="461">
        <f t="shared" si="16"/>
        <v>638609.3233</v>
      </c>
    </row>
    <row r="129" ht="14.25" customHeight="1">
      <c r="A129" s="506" t="s">
        <v>456</v>
      </c>
      <c r="B129" s="507"/>
      <c r="C129" s="505" t="s">
        <v>707</v>
      </c>
      <c r="D129" s="461">
        <f>IFERROR(__xludf.DUMMYFUNCTION("""COMPUTED_VALUE"""),93114.02165405246)</f>
        <v>93114.02165</v>
      </c>
      <c r="E129" s="461">
        <f>IFERROR(__xludf.DUMMYFUNCTION("""COMPUTED_VALUE"""),85041.46660566537)</f>
        <v>85041.46661</v>
      </c>
      <c r="F129" s="461">
        <f>IFERROR(__xludf.DUMMYFUNCTION("""COMPUTED_VALUE"""),80070.50060566537)</f>
        <v>80070.50061</v>
      </c>
      <c r="G129" s="461">
        <f>IFERROR(__xludf.DUMMYFUNCTION("""COMPUTED_VALUE"""),82012.34572966401)</f>
        <v>82012.34573</v>
      </c>
      <c r="H129" s="461">
        <f>IFERROR(__xludf.DUMMYFUNCTION("""COMPUTED_VALUE"""),81716.50567966401)</f>
        <v>81716.50568</v>
      </c>
      <c r="I129" s="461">
        <f>IFERROR(__xludf.DUMMYFUNCTION("""COMPUTED_VALUE"""),81716.50567966401)</f>
        <v>81716.50568</v>
      </c>
      <c r="J129" s="461">
        <f>IFERROR(__xludf.DUMMYFUNCTION("""COMPUTED_VALUE"""),82016.38200778901)</f>
        <v>82016.38201</v>
      </c>
      <c r="K129" s="461">
        <f>IFERROR(__xludf.DUMMYFUNCTION("""COMPUTED_VALUE"""),82387.25096091401)</f>
        <v>82387.25096</v>
      </c>
      <c r="L129" s="461">
        <f>IFERROR(__xludf.DUMMYFUNCTION("""COMPUTED_VALUE"""),81716.50567966401)</f>
        <v>81716.50568</v>
      </c>
      <c r="M129" s="461">
        <f>IFERROR(__xludf.DUMMYFUNCTION("""COMPUTED_VALUE"""),84538.27569528902)</f>
        <v>84538.2757</v>
      </c>
      <c r="N129" s="461">
        <f>IFERROR(__xludf.DUMMYFUNCTION("""COMPUTED_VALUE"""),81716.50567966401)</f>
        <v>81716.50568</v>
      </c>
      <c r="O129" s="461">
        <f>IFERROR(__xludf.DUMMYFUNCTION("""COMPUTED_VALUE"""),82661.99366403901)</f>
        <v>82661.99366</v>
      </c>
      <c r="P129" s="461">
        <f t="shared" si="16"/>
        <v>998708.2596</v>
      </c>
    </row>
    <row r="130" ht="14.25" customHeight="1">
      <c r="A130" s="500"/>
      <c r="B130" s="501"/>
      <c r="C130" s="505" t="s">
        <v>904</v>
      </c>
      <c r="D130" s="461">
        <f>IFERROR(__xludf.DUMMYFUNCTION("""COMPUTED_VALUE"""),0.0)</f>
        <v>0</v>
      </c>
      <c r="E130" s="461">
        <f>IFERROR(__xludf.DUMMYFUNCTION("""COMPUTED_VALUE"""),0.0)</f>
        <v>0</v>
      </c>
      <c r="F130" s="461">
        <f>IFERROR(__xludf.DUMMYFUNCTION("""COMPUTED_VALUE"""),0.0)</f>
        <v>0</v>
      </c>
      <c r="G130" s="461">
        <f>IFERROR(__xludf.DUMMYFUNCTION("""COMPUTED_VALUE"""),0.0)</f>
        <v>0</v>
      </c>
      <c r="H130" s="461">
        <f>IFERROR(__xludf.DUMMYFUNCTION("""COMPUTED_VALUE"""),0.0)</f>
        <v>0</v>
      </c>
      <c r="I130" s="461">
        <f>IFERROR(__xludf.DUMMYFUNCTION("""COMPUTED_VALUE"""),0.0)</f>
        <v>0</v>
      </c>
      <c r="J130" s="461">
        <f>IFERROR(__xludf.DUMMYFUNCTION("""COMPUTED_VALUE"""),0.0)</f>
        <v>0</v>
      </c>
      <c r="K130" s="461">
        <f>IFERROR(__xludf.DUMMYFUNCTION("""COMPUTED_VALUE"""),0.0)</f>
        <v>0</v>
      </c>
      <c r="L130" s="461">
        <f>IFERROR(__xludf.DUMMYFUNCTION("""COMPUTED_VALUE"""),0.0)</f>
        <v>0</v>
      </c>
      <c r="M130" s="461">
        <f>IFERROR(__xludf.DUMMYFUNCTION("""COMPUTED_VALUE"""),0.0)</f>
        <v>0</v>
      </c>
      <c r="N130" s="461">
        <f>IFERROR(__xludf.DUMMYFUNCTION("""COMPUTED_VALUE"""),0.0)</f>
        <v>0</v>
      </c>
      <c r="O130" s="461">
        <f>IFERROR(__xludf.DUMMYFUNCTION("""COMPUTED_VALUE"""),0.0)</f>
        <v>0</v>
      </c>
      <c r="P130" s="461">
        <f t="shared" si="16"/>
        <v>0</v>
      </c>
    </row>
    <row r="131" ht="14.25" customHeight="1">
      <c r="A131" s="500"/>
      <c r="B131" s="501"/>
      <c r="C131" s="505" t="s">
        <v>905</v>
      </c>
      <c r="D131" s="461">
        <f>IFERROR(__xludf.DUMMYFUNCTION("""COMPUTED_VALUE"""),0.0)</f>
        <v>0</v>
      </c>
      <c r="E131" s="461">
        <f>IFERROR(__xludf.DUMMYFUNCTION("""COMPUTED_VALUE"""),0.0)</f>
        <v>0</v>
      </c>
      <c r="F131" s="461">
        <f>IFERROR(__xludf.DUMMYFUNCTION("""COMPUTED_VALUE"""),0.0)</f>
        <v>0</v>
      </c>
      <c r="G131" s="461">
        <f>IFERROR(__xludf.DUMMYFUNCTION("""COMPUTED_VALUE"""),0.0)</f>
        <v>0</v>
      </c>
      <c r="H131" s="461">
        <f>IFERROR(__xludf.DUMMYFUNCTION("""COMPUTED_VALUE"""),0.0)</f>
        <v>0</v>
      </c>
      <c r="I131" s="461">
        <f>IFERROR(__xludf.DUMMYFUNCTION("""COMPUTED_VALUE"""),0.0)</f>
        <v>0</v>
      </c>
      <c r="J131" s="461">
        <f>IFERROR(__xludf.DUMMYFUNCTION("""COMPUTED_VALUE"""),0.0)</f>
        <v>0</v>
      </c>
      <c r="K131" s="461">
        <f>IFERROR(__xludf.DUMMYFUNCTION("""COMPUTED_VALUE"""),0.0)</f>
        <v>0</v>
      </c>
      <c r="L131" s="461">
        <f>IFERROR(__xludf.DUMMYFUNCTION("""COMPUTED_VALUE"""),0.0)</f>
        <v>0</v>
      </c>
      <c r="M131" s="461">
        <f>IFERROR(__xludf.DUMMYFUNCTION("""COMPUTED_VALUE"""),0.0)</f>
        <v>0</v>
      </c>
      <c r="N131" s="461">
        <f>IFERROR(__xludf.DUMMYFUNCTION("""COMPUTED_VALUE"""),0.0)</f>
        <v>0</v>
      </c>
      <c r="O131" s="461">
        <f>IFERROR(__xludf.DUMMYFUNCTION("""COMPUTED_VALUE"""),0.0)</f>
        <v>0</v>
      </c>
      <c r="P131" s="461">
        <f t="shared" si="16"/>
        <v>0</v>
      </c>
    </row>
    <row r="132" ht="14.25" customHeight="1">
      <c r="A132" s="500"/>
      <c r="B132" s="505"/>
      <c r="C132" s="505" t="s">
        <v>906</v>
      </c>
      <c r="D132" s="461">
        <f>IFERROR(__xludf.DUMMYFUNCTION("""COMPUTED_VALUE"""),0.0)</f>
        <v>0</v>
      </c>
      <c r="E132" s="461">
        <f>IFERROR(__xludf.DUMMYFUNCTION("""COMPUTED_VALUE"""),0.0)</f>
        <v>0</v>
      </c>
      <c r="F132" s="461">
        <f>IFERROR(__xludf.DUMMYFUNCTION("""COMPUTED_VALUE"""),0.0)</f>
        <v>0</v>
      </c>
      <c r="G132" s="461">
        <f>IFERROR(__xludf.DUMMYFUNCTION("""COMPUTED_VALUE"""),0.0)</f>
        <v>0</v>
      </c>
      <c r="H132" s="461">
        <f>IFERROR(__xludf.DUMMYFUNCTION("""COMPUTED_VALUE"""),0.0)</f>
        <v>0</v>
      </c>
      <c r="I132" s="461">
        <f>IFERROR(__xludf.DUMMYFUNCTION("""COMPUTED_VALUE"""),0.0)</f>
        <v>0</v>
      </c>
      <c r="J132" s="461">
        <f>IFERROR(__xludf.DUMMYFUNCTION("""COMPUTED_VALUE"""),0.0)</f>
        <v>0</v>
      </c>
      <c r="K132" s="461">
        <f>IFERROR(__xludf.DUMMYFUNCTION("""COMPUTED_VALUE"""),0.0)</f>
        <v>0</v>
      </c>
      <c r="L132" s="461">
        <f>IFERROR(__xludf.DUMMYFUNCTION("""COMPUTED_VALUE"""),0.0)</f>
        <v>0</v>
      </c>
      <c r="M132" s="461">
        <f>IFERROR(__xludf.DUMMYFUNCTION("""COMPUTED_VALUE"""),0.0)</f>
        <v>0</v>
      </c>
      <c r="N132" s="461">
        <f>IFERROR(__xludf.DUMMYFUNCTION("""COMPUTED_VALUE"""),0.0)</f>
        <v>0</v>
      </c>
      <c r="O132" s="461">
        <f>IFERROR(__xludf.DUMMYFUNCTION("""COMPUTED_VALUE"""),0.0)</f>
        <v>0</v>
      </c>
      <c r="P132" s="461">
        <f t="shared" si="16"/>
        <v>0</v>
      </c>
    </row>
    <row r="133" ht="14.25" customHeight="1">
      <c r="A133" s="503" t="s">
        <v>475</v>
      </c>
      <c r="B133" s="504"/>
      <c r="C133" s="505" t="s">
        <v>708</v>
      </c>
      <c r="D133" s="461">
        <f>IFERROR(__xludf.DUMMYFUNCTION("""COMPUTED_VALUE"""),30336.646801739524)</f>
        <v>30336.6468</v>
      </c>
      <c r="E133" s="461">
        <f>IFERROR(__xludf.DUMMYFUNCTION("""COMPUTED_VALUE"""),23327.008255631456)</f>
        <v>23327.00826</v>
      </c>
      <c r="F133" s="461">
        <f>IFERROR(__xludf.DUMMYFUNCTION("""COMPUTED_VALUE"""),22456.445839481454)</f>
        <v>22456.44584</v>
      </c>
      <c r="G133" s="461">
        <f>IFERROR(__xludf.DUMMYFUNCTION("""COMPUTED_VALUE"""),22505.485856489588)</f>
        <v>22505.48586</v>
      </c>
      <c r="H133" s="461">
        <f>IFERROR(__xludf.DUMMYFUNCTION("""COMPUTED_VALUE"""),22252.550853839588)</f>
        <v>22252.55085</v>
      </c>
      <c r="I133" s="461">
        <f>IFERROR(__xludf.DUMMYFUNCTION("""COMPUTED_VALUE"""),21887.68309516459)</f>
        <v>21887.6831</v>
      </c>
      <c r="J133" s="461">
        <f>IFERROR(__xludf.DUMMYFUNCTION("""COMPUTED_VALUE"""),28461.458718583337)</f>
        <v>28461.45872</v>
      </c>
      <c r="K133" s="461">
        <f>IFERROR(__xludf.DUMMYFUNCTION("""COMPUTED_VALUE"""),22297.063949777086)</f>
        <v>22297.06395</v>
      </c>
      <c r="L133" s="461">
        <f>IFERROR(__xludf.DUMMYFUNCTION("""COMPUTED_VALUE"""),21887.68309516459)</f>
        <v>21887.6831</v>
      </c>
      <c r="M133" s="461">
        <f>IFERROR(__xludf.DUMMYFUNCTION("""COMPUTED_VALUE"""),22958.98959420834)</f>
        <v>22958.98959</v>
      </c>
      <c r="N133" s="461">
        <f>IFERROR(__xludf.DUMMYFUNCTION("""COMPUTED_VALUE"""),24321.81801533959)</f>
        <v>24321.81802</v>
      </c>
      <c r="O133" s="461">
        <f>IFERROR(__xludf.DUMMYFUNCTION("""COMPUTED_VALUE"""),23646.188492445843)</f>
        <v>23646.18849</v>
      </c>
      <c r="P133" s="461">
        <f t="shared" si="16"/>
        <v>286339.0226</v>
      </c>
    </row>
    <row r="134" ht="14.25" customHeight="1">
      <c r="A134" s="500"/>
      <c r="B134" s="501"/>
      <c r="C134" s="505" t="s">
        <v>907</v>
      </c>
      <c r="D134" s="461">
        <f>IFERROR(__xludf.DUMMYFUNCTION("""COMPUTED_VALUE"""),0.0)</f>
        <v>0</v>
      </c>
      <c r="E134" s="461">
        <f>IFERROR(__xludf.DUMMYFUNCTION("""COMPUTED_VALUE"""),0.0)</f>
        <v>0</v>
      </c>
      <c r="F134" s="461">
        <f>IFERROR(__xludf.DUMMYFUNCTION("""COMPUTED_VALUE"""),0.0)</f>
        <v>0</v>
      </c>
      <c r="G134" s="461">
        <f>IFERROR(__xludf.DUMMYFUNCTION("""COMPUTED_VALUE"""),0.0)</f>
        <v>0</v>
      </c>
      <c r="H134" s="461">
        <f>IFERROR(__xludf.DUMMYFUNCTION("""COMPUTED_VALUE"""),0.0)</f>
        <v>0</v>
      </c>
      <c r="I134" s="461">
        <f>IFERROR(__xludf.DUMMYFUNCTION("""COMPUTED_VALUE"""),0.0)</f>
        <v>0</v>
      </c>
      <c r="J134" s="461">
        <f>IFERROR(__xludf.DUMMYFUNCTION("""COMPUTED_VALUE"""),0.0)</f>
        <v>0</v>
      </c>
      <c r="K134" s="461">
        <f>IFERROR(__xludf.DUMMYFUNCTION("""COMPUTED_VALUE"""),0.0)</f>
        <v>0</v>
      </c>
      <c r="L134" s="461">
        <f>IFERROR(__xludf.DUMMYFUNCTION("""COMPUTED_VALUE"""),0.0)</f>
        <v>0</v>
      </c>
      <c r="M134" s="461">
        <f>IFERROR(__xludf.DUMMYFUNCTION("""COMPUTED_VALUE"""),0.0)</f>
        <v>0</v>
      </c>
      <c r="N134" s="461">
        <f>IFERROR(__xludf.DUMMYFUNCTION("""COMPUTED_VALUE"""),0.0)</f>
        <v>0</v>
      </c>
      <c r="O134" s="461">
        <f>IFERROR(__xludf.DUMMYFUNCTION("""COMPUTED_VALUE"""),0.0)</f>
        <v>0</v>
      </c>
      <c r="P134" s="461">
        <f t="shared" si="16"/>
        <v>0</v>
      </c>
    </row>
    <row r="135" ht="14.25" customHeight="1">
      <c r="A135" s="506" t="s">
        <v>482</v>
      </c>
      <c r="B135" s="507"/>
      <c r="C135" s="505" t="s">
        <v>709</v>
      </c>
      <c r="D135" s="461">
        <f>IFERROR(__xludf.DUMMYFUNCTION("""COMPUTED_VALUE"""),0.0)</f>
        <v>0</v>
      </c>
      <c r="E135" s="461">
        <f>IFERROR(__xludf.DUMMYFUNCTION("""COMPUTED_VALUE"""),0.0)</f>
        <v>0</v>
      </c>
      <c r="F135" s="461">
        <f>IFERROR(__xludf.DUMMYFUNCTION("""COMPUTED_VALUE"""),0.0)</f>
        <v>0</v>
      </c>
      <c r="G135" s="461">
        <f>IFERROR(__xludf.DUMMYFUNCTION("""COMPUTED_VALUE"""),0.0)</f>
        <v>0</v>
      </c>
      <c r="H135" s="461">
        <f>IFERROR(__xludf.DUMMYFUNCTION("""COMPUTED_VALUE"""),0.0)</f>
        <v>0</v>
      </c>
      <c r="I135" s="461">
        <f>IFERROR(__xludf.DUMMYFUNCTION("""COMPUTED_VALUE"""),0.0)</f>
        <v>0</v>
      </c>
      <c r="J135" s="461">
        <f>IFERROR(__xludf.DUMMYFUNCTION("""COMPUTED_VALUE"""),0.0)</f>
        <v>0</v>
      </c>
      <c r="K135" s="461">
        <f>IFERROR(__xludf.DUMMYFUNCTION("""COMPUTED_VALUE"""),0.0)</f>
        <v>0</v>
      </c>
      <c r="L135" s="461">
        <f>IFERROR(__xludf.DUMMYFUNCTION("""COMPUTED_VALUE"""),0.0)</f>
        <v>0</v>
      </c>
      <c r="M135" s="461">
        <f>IFERROR(__xludf.DUMMYFUNCTION("""COMPUTED_VALUE"""),0.0)</f>
        <v>0</v>
      </c>
      <c r="N135" s="461">
        <f>IFERROR(__xludf.DUMMYFUNCTION("""COMPUTED_VALUE"""),0.0)</f>
        <v>0</v>
      </c>
      <c r="O135" s="461">
        <f>IFERROR(__xludf.DUMMYFUNCTION("""COMPUTED_VALUE"""),0.0)</f>
        <v>0</v>
      </c>
      <c r="P135" s="461">
        <f t="shared" si="16"/>
        <v>0</v>
      </c>
    </row>
    <row r="136" ht="14.25" customHeight="1">
      <c r="A136" s="503" t="s">
        <v>459</v>
      </c>
      <c r="B136" s="504"/>
      <c r="C136" s="505" t="s">
        <v>710</v>
      </c>
      <c r="D136" s="461">
        <f>IFERROR(__xludf.DUMMYFUNCTION("""COMPUTED_VALUE"""),8317.569903357573)</f>
        <v>8317.569903</v>
      </c>
      <c r="E136" s="461">
        <f>IFERROR(__xludf.DUMMYFUNCTION("""COMPUTED_VALUE"""),7220.899564647896)</f>
        <v>7220.899565</v>
      </c>
      <c r="F136" s="461">
        <f>IFERROR(__xludf.DUMMYFUNCTION("""COMPUTED_VALUE"""),7220.899564647896)</f>
        <v>7220.899565</v>
      </c>
      <c r="G136" s="461">
        <f>IFERROR(__xludf.DUMMYFUNCTION("""COMPUTED_VALUE"""),7216.737415138488)</f>
        <v>7216.737415</v>
      </c>
      <c r="H136" s="461">
        <f>IFERROR(__xludf.DUMMYFUNCTION("""COMPUTED_VALUE"""),7189.8428651384875)</f>
        <v>7189.842865</v>
      </c>
      <c r="I136" s="461">
        <f>IFERROR(__xludf.DUMMYFUNCTION("""COMPUTED_VALUE"""),7189.8428651384875)</f>
        <v>7189.842865</v>
      </c>
      <c r="J136" s="461">
        <f>IFERROR(__xludf.DUMMYFUNCTION("""COMPUTED_VALUE"""),7217.104349513488)</f>
        <v>7217.10435</v>
      </c>
      <c r="K136" s="461">
        <f>IFERROR(__xludf.DUMMYFUNCTION("""COMPUTED_VALUE"""),7250.819708888488)</f>
        <v>7250.819709</v>
      </c>
      <c r="L136" s="461">
        <f>IFERROR(__xludf.DUMMYFUNCTION("""COMPUTED_VALUE"""),7189.8428651384875)</f>
        <v>7189.842865</v>
      </c>
      <c r="M136" s="461">
        <f>IFERROR(__xludf.DUMMYFUNCTION("""COMPUTED_VALUE"""),7446.367412013487)</f>
        <v>7446.367412</v>
      </c>
      <c r="N136" s="461">
        <f>IFERROR(__xludf.DUMMYFUNCTION("""COMPUTED_VALUE"""),7189.8428651384875)</f>
        <v>7189.842865</v>
      </c>
      <c r="O136" s="461">
        <f>IFERROR(__xludf.DUMMYFUNCTION("""COMPUTED_VALUE"""),7275.796318263488)</f>
        <v>7275.796318</v>
      </c>
      <c r="P136" s="461">
        <f t="shared" si="16"/>
        <v>87925.5657</v>
      </c>
    </row>
    <row r="137" ht="14.25" customHeight="1">
      <c r="A137" s="506" t="s">
        <v>463</v>
      </c>
      <c r="B137" s="507"/>
      <c r="C137" s="505" t="s">
        <v>711</v>
      </c>
      <c r="D137" s="461">
        <f>IFERROR(__xludf.DUMMYFUNCTION("""COMPUTED_VALUE"""),0.0)</f>
        <v>0</v>
      </c>
      <c r="E137" s="461">
        <f>IFERROR(__xludf.DUMMYFUNCTION("""COMPUTED_VALUE"""),0.0)</f>
        <v>0</v>
      </c>
      <c r="F137" s="461">
        <f>IFERROR(__xludf.DUMMYFUNCTION("""COMPUTED_VALUE"""),0.0)</f>
        <v>0</v>
      </c>
      <c r="G137" s="461">
        <f>IFERROR(__xludf.DUMMYFUNCTION("""COMPUTED_VALUE"""),0.0)</f>
        <v>0</v>
      </c>
      <c r="H137" s="461">
        <f>IFERROR(__xludf.DUMMYFUNCTION("""COMPUTED_VALUE"""),0.0)</f>
        <v>0</v>
      </c>
      <c r="I137" s="461">
        <f>IFERROR(__xludf.DUMMYFUNCTION("""COMPUTED_VALUE"""),0.0)</f>
        <v>0</v>
      </c>
      <c r="J137" s="461">
        <f>IFERROR(__xludf.DUMMYFUNCTION("""COMPUTED_VALUE"""),0.0)</f>
        <v>0</v>
      </c>
      <c r="K137" s="461">
        <f>IFERROR(__xludf.DUMMYFUNCTION("""COMPUTED_VALUE"""),0.0)</f>
        <v>0</v>
      </c>
      <c r="L137" s="461">
        <f>IFERROR(__xludf.DUMMYFUNCTION("""COMPUTED_VALUE"""),0.0)</f>
        <v>0</v>
      </c>
      <c r="M137" s="461">
        <f>IFERROR(__xludf.DUMMYFUNCTION("""COMPUTED_VALUE"""),0.0)</f>
        <v>0</v>
      </c>
      <c r="N137" s="461">
        <f>IFERROR(__xludf.DUMMYFUNCTION("""COMPUTED_VALUE"""),0.0)</f>
        <v>0</v>
      </c>
      <c r="O137" s="461">
        <f>IFERROR(__xludf.DUMMYFUNCTION("""COMPUTED_VALUE"""),0.0)</f>
        <v>0</v>
      </c>
      <c r="P137" s="461">
        <f t="shared" si="16"/>
        <v>0</v>
      </c>
    </row>
    <row r="138" ht="14.25" customHeight="1">
      <c r="A138" s="506" t="s">
        <v>469</v>
      </c>
      <c r="B138" s="507"/>
      <c r="C138" s="505" t="s">
        <v>712</v>
      </c>
      <c r="D138" s="461">
        <f>IFERROR(__xludf.DUMMYFUNCTION("""COMPUTED_VALUE"""),0.0)</f>
        <v>0</v>
      </c>
      <c r="E138" s="461">
        <f>IFERROR(__xludf.DUMMYFUNCTION("""COMPUTED_VALUE"""),0.0)</f>
        <v>0</v>
      </c>
      <c r="F138" s="461">
        <f>IFERROR(__xludf.DUMMYFUNCTION("""COMPUTED_VALUE"""),0.0)</f>
        <v>0</v>
      </c>
      <c r="G138" s="461">
        <f>IFERROR(__xludf.DUMMYFUNCTION("""COMPUTED_VALUE"""),0.0)</f>
        <v>0</v>
      </c>
      <c r="H138" s="461">
        <f>IFERROR(__xludf.DUMMYFUNCTION("""COMPUTED_VALUE"""),0.0)</f>
        <v>0</v>
      </c>
      <c r="I138" s="461">
        <f>IFERROR(__xludf.DUMMYFUNCTION("""COMPUTED_VALUE"""),0.0)</f>
        <v>0</v>
      </c>
      <c r="J138" s="461">
        <f>IFERROR(__xludf.DUMMYFUNCTION("""COMPUTED_VALUE"""),0.0)</f>
        <v>0</v>
      </c>
      <c r="K138" s="461">
        <f>IFERROR(__xludf.DUMMYFUNCTION("""COMPUTED_VALUE"""),0.0)</f>
        <v>0</v>
      </c>
      <c r="L138" s="461">
        <f>IFERROR(__xludf.DUMMYFUNCTION("""COMPUTED_VALUE"""),0.0)</f>
        <v>0</v>
      </c>
      <c r="M138" s="461">
        <f>IFERROR(__xludf.DUMMYFUNCTION("""COMPUTED_VALUE"""),0.0)</f>
        <v>0</v>
      </c>
      <c r="N138" s="461">
        <f>IFERROR(__xludf.DUMMYFUNCTION("""COMPUTED_VALUE"""),0.0)</f>
        <v>0</v>
      </c>
      <c r="O138" s="461">
        <f>IFERROR(__xludf.DUMMYFUNCTION("""COMPUTED_VALUE"""),0.0)</f>
        <v>0</v>
      </c>
      <c r="P138" s="461">
        <f t="shared" si="16"/>
        <v>0</v>
      </c>
    </row>
    <row r="139" ht="14.25" customHeight="1">
      <c r="A139" s="503" t="s">
        <v>487</v>
      </c>
      <c r="B139" s="504"/>
      <c r="C139" s="505" t="s">
        <v>713</v>
      </c>
      <c r="D139" s="461">
        <f>IFERROR(__xludf.DUMMYFUNCTION("""COMPUTED_VALUE"""),0.0)</f>
        <v>0</v>
      </c>
      <c r="E139" s="461">
        <f>IFERROR(__xludf.DUMMYFUNCTION("""COMPUTED_VALUE"""),0.0)</f>
        <v>0</v>
      </c>
      <c r="F139" s="461">
        <f>IFERROR(__xludf.DUMMYFUNCTION("""COMPUTED_VALUE"""),0.0)</f>
        <v>0</v>
      </c>
      <c r="G139" s="461">
        <f>IFERROR(__xludf.DUMMYFUNCTION("""COMPUTED_VALUE"""),0.0)</f>
        <v>0</v>
      </c>
      <c r="H139" s="461">
        <f>IFERROR(__xludf.DUMMYFUNCTION("""COMPUTED_VALUE"""),0.0)</f>
        <v>0</v>
      </c>
      <c r="I139" s="461">
        <f>IFERROR(__xludf.DUMMYFUNCTION("""COMPUTED_VALUE"""),0.0)</f>
        <v>0</v>
      </c>
      <c r="J139" s="461">
        <f>IFERROR(__xludf.DUMMYFUNCTION("""COMPUTED_VALUE"""),0.0)</f>
        <v>0</v>
      </c>
      <c r="K139" s="461">
        <f>IFERROR(__xludf.DUMMYFUNCTION("""COMPUTED_VALUE"""),0.0)</f>
        <v>0</v>
      </c>
      <c r="L139" s="461">
        <f>IFERROR(__xludf.DUMMYFUNCTION("""COMPUTED_VALUE"""),0.0)</f>
        <v>0</v>
      </c>
      <c r="M139" s="461">
        <f>IFERROR(__xludf.DUMMYFUNCTION("""COMPUTED_VALUE"""),0.0)</f>
        <v>0</v>
      </c>
      <c r="N139" s="461">
        <f>IFERROR(__xludf.DUMMYFUNCTION("""COMPUTED_VALUE"""),0.0)</f>
        <v>0</v>
      </c>
      <c r="O139" s="461">
        <f>IFERROR(__xludf.DUMMYFUNCTION("""COMPUTED_VALUE"""),0.0)</f>
        <v>0</v>
      </c>
      <c r="P139" s="461">
        <f t="shared" si="16"/>
        <v>0</v>
      </c>
    </row>
    <row r="140" ht="14.25" customHeight="1">
      <c r="A140" s="503" t="s">
        <v>556</v>
      </c>
      <c r="B140" s="504"/>
      <c r="C140" s="505" t="s">
        <v>908</v>
      </c>
      <c r="D140" s="461">
        <f>IFERROR(__xludf.DUMMYFUNCTION("""COMPUTED_VALUE"""),15734.250000000002)</f>
        <v>15734.25</v>
      </c>
      <c r="E140" s="461">
        <f>IFERROR(__xludf.DUMMYFUNCTION("""COMPUTED_VALUE"""),0.0)</f>
        <v>0</v>
      </c>
      <c r="F140" s="461">
        <f>IFERROR(__xludf.DUMMYFUNCTION("""COMPUTED_VALUE"""),0.0)</f>
        <v>0</v>
      </c>
      <c r="G140" s="461">
        <f>IFERROR(__xludf.DUMMYFUNCTION("""COMPUTED_VALUE"""),0.0)</f>
        <v>0</v>
      </c>
      <c r="H140" s="461">
        <f>IFERROR(__xludf.DUMMYFUNCTION("""COMPUTED_VALUE"""),0.0)</f>
        <v>0</v>
      </c>
      <c r="I140" s="461">
        <f>IFERROR(__xludf.DUMMYFUNCTION("""COMPUTED_VALUE"""),0.0)</f>
        <v>0</v>
      </c>
      <c r="J140" s="461">
        <f>IFERROR(__xludf.DUMMYFUNCTION("""COMPUTED_VALUE"""),0.0)</f>
        <v>0</v>
      </c>
      <c r="K140" s="461">
        <f>IFERROR(__xludf.DUMMYFUNCTION("""COMPUTED_VALUE"""),0.0)</f>
        <v>0</v>
      </c>
      <c r="L140" s="461">
        <f>IFERROR(__xludf.DUMMYFUNCTION("""COMPUTED_VALUE"""),0.0)</f>
        <v>0</v>
      </c>
      <c r="M140" s="461">
        <f>IFERROR(__xludf.DUMMYFUNCTION("""COMPUTED_VALUE"""),0.0)</f>
        <v>0</v>
      </c>
      <c r="N140" s="461">
        <f>IFERROR(__xludf.DUMMYFUNCTION("""COMPUTED_VALUE"""),0.0)</f>
        <v>0</v>
      </c>
      <c r="O140" s="461">
        <f>IFERROR(__xludf.DUMMYFUNCTION("""COMPUTED_VALUE"""),0.0)</f>
        <v>0</v>
      </c>
      <c r="P140" s="461">
        <f t="shared" si="16"/>
        <v>15734.25</v>
      </c>
    </row>
    <row r="141" ht="14.25" customHeight="1">
      <c r="A141" s="506"/>
      <c r="B141" s="501"/>
      <c r="C141" s="505" t="s">
        <v>909</v>
      </c>
      <c r="D141" s="461">
        <f>IFERROR(__xludf.DUMMYFUNCTION("""COMPUTED_VALUE"""),0.0)</f>
        <v>0</v>
      </c>
      <c r="E141" s="461">
        <f>IFERROR(__xludf.DUMMYFUNCTION("""COMPUTED_VALUE"""),0.0)</f>
        <v>0</v>
      </c>
      <c r="F141" s="461">
        <f>IFERROR(__xludf.DUMMYFUNCTION("""COMPUTED_VALUE"""),0.0)</f>
        <v>0</v>
      </c>
      <c r="G141" s="461">
        <f>IFERROR(__xludf.DUMMYFUNCTION("""COMPUTED_VALUE"""),0.0)</f>
        <v>0</v>
      </c>
      <c r="H141" s="461">
        <f>IFERROR(__xludf.DUMMYFUNCTION("""COMPUTED_VALUE"""),0.0)</f>
        <v>0</v>
      </c>
      <c r="I141" s="461">
        <f>IFERROR(__xludf.DUMMYFUNCTION("""COMPUTED_VALUE"""),0.0)</f>
        <v>0</v>
      </c>
      <c r="J141" s="461">
        <f>IFERROR(__xludf.DUMMYFUNCTION("""COMPUTED_VALUE"""),0.0)</f>
        <v>0</v>
      </c>
      <c r="K141" s="461">
        <f>IFERROR(__xludf.DUMMYFUNCTION("""COMPUTED_VALUE"""),0.0)</f>
        <v>0</v>
      </c>
      <c r="L141" s="461">
        <f>IFERROR(__xludf.DUMMYFUNCTION("""COMPUTED_VALUE"""),0.0)</f>
        <v>0</v>
      </c>
      <c r="M141" s="461">
        <f>IFERROR(__xludf.DUMMYFUNCTION("""COMPUTED_VALUE"""),0.0)</f>
        <v>0</v>
      </c>
      <c r="N141" s="461">
        <f>IFERROR(__xludf.DUMMYFUNCTION("""COMPUTED_VALUE"""),0.0)</f>
        <v>0</v>
      </c>
      <c r="O141" s="461">
        <f>IFERROR(__xludf.DUMMYFUNCTION("""COMPUTED_VALUE"""),0.0)</f>
        <v>0</v>
      </c>
      <c r="P141" s="461">
        <f t="shared" si="16"/>
        <v>0</v>
      </c>
    </row>
    <row r="142" ht="14.25" customHeight="1">
      <c r="A142" s="506"/>
      <c r="B142" s="501"/>
      <c r="C142" s="505" t="s">
        <v>910</v>
      </c>
      <c r="D142" s="461">
        <f>IFERROR(__xludf.DUMMYFUNCTION("""COMPUTED_VALUE"""),0.0)</f>
        <v>0</v>
      </c>
      <c r="E142" s="461">
        <f>IFERROR(__xludf.DUMMYFUNCTION("""COMPUTED_VALUE"""),0.0)</f>
        <v>0</v>
      </c>
      <c r="F142" s="461">
        <f>IFERROR(__xludf.DUMMYFUNCTION("""COMPUTED_VALUE"""),0.0)</f>
        <v>0</v>
      </c>
      <c r="G142" s="461">
        <f>IFERROR(__xludf.DUMMYFUNCTION("""COMPUTED_VALUE"""),0.0)</f>
        <v>0</v>
      </c>
      <c r="H142" s="461">
        <f>IFERROR(__xludf.DUMMYFUNCTION("""COMPUTED_VALUE"""),0.0)</f>
        <v>0</v>
      </c>
      <c r="I142" s="461">
        <f>IFERROR(__xludf.DUMMYFUNCTION("""COMPUTED_VALUE"""),0.0)</f>
        <v>0</v>
      </c>
      <c r="J142" s="461">
        <f>IFERROR(__xludf.DUMMYFUNCTION("""COMPUTED_VALUE"""),0.0)</f>
        <v>0</v>
      </c>
      <c r="K142" s="461">
        <f>IFERROR(__xludf.DUMMYFUNCTION("""COMPUTED_VALUE"""),0.0)</f>
        <v>0</v>
      </c>
      <c r="L142" s="461">
        <f>IFERROR(__xludf.DUMMYFUNCTION("""COMPUTED_VALUE"""),0.0)</f>
        <v>0</v>
      </c>
      <c r="M142" s="461">
        <f>IFERROR(__xludf.DUMMYFUNCTION("""COMPUTED_VALUE"""),0.0)</f>
        <v>0</v>
      </c>
      <c r="N142" s="461">
        <f>IFERROR(__xludf.DUMMYFUNCTION("""COMPUTED_VALUE"""),0.0)</f>
        <v>0</v>
      </c>
      <c r="O142" s="461">
        <f>IFERROR(__xludf.DUMMYFUNCTION("""COMPUTED_VALUE"""),0.0)</f>
        <v>0</v>
      </c>
      <c r="P142" s="461">
        <f t="shared" si="16"/>
        <v>0</v>
      </c>
    </row>
    <row r="143" ht="14.25" customHeight="1">
      <c r="A143" s="506" t="s">
        <v>548</v>
      </c>
      <c r="B143" s="507"/>
      <c r="C143" s="501" t="s">
        <v>714</v>
      </c>
      <c r="D143" s="461">
        <f>IFERROR(__xludf.DUMMYFUNCTION("""COMPUTED_VALUE"""),74115.892)</f>
        <v>74115.892</v>
      </c>
      <c r="E143" s="461">
        <f>IFERROR(__xludf.DUMMYFUNCTION("""COMPUTED_VALUE"""),74115.892)</f>
        <v>74115.892</v>
      </c>
      <c r="F143" s="461">
        <f>IFERROR(__xludf.DUMMYFUNCTION("""COMPUTED_VALUE"""),74115.892)</f>
        <v>74115.892</v>
      </c>
      <c r="G143" s="461">
        <f>IFERROR(__xludf.DUMMYFUNCTION("""COMPUTED_VALUE"""),74115.892)</f>
        <v>74115.892</v>
      </c>
      <c r="H143" s="461">
        <f>IFERROR(__xludf.DUMMYFUNCTION("""COMPUTED_VALUE"""),74115.892)</f>
        <v>74115.892</v>
      </c>
      <c r="I143" s="461">
        <f>IFERROR(__xludf.DUMMYFUNCTION("""COMPUTED_VALUE"""),74115.892)</f>
        <v>74115.892</v>
      </c>
      <c r="J143" s="461">
        <f>IFERROR(__xludf.DUMMYFUNCTION("""COMPUTED_VALUE"""),74115.892)</f>
        <v>74115.892</v>
      </c>
      <c r="K143" s="461">
        <f>IFERROR(__xludf.DUMMYFUNCTION("""COMPUTED_VALUE"""),74115.892)</f>
        <v>74115.892</v>
      </c>
      <c r="L143" s="461">
        <f>IFERROR(__xludf.DUMMYFUNCTION("""COMPUTED_VALUE"""),74115.892)</f>
        <v>74115.892</v>
      </c>
      <c r="M143" s="461">
        <f>IFERROR(__xludf.DUMMYFUNCTION("""COMPUTED_VALUE"""),74115.892)</f>
        <v>74115.892</v>
      </c>
      <c r="N143" s="461">
        <f>IFERROR(__xludf.DUMMYFUNCTION("""COMPUTED_VALUE"""),74115.892)</f>
        <v>74115.892</v>
      </c>
      <c r="O143" s="461">
        <f>IFERROR(__xludf.DUMMYFUNCTION("""COMPUTED_VALUE"""),74115.892)</f>
        <v>74115.892</v>
      </c>
      <c r="P143" s="461">
        <f t="shared" si="16"/>
        <v>889390.704</v>
      </c>
    </row>
    <row r="144" ht="14.25" customHeight="1">
      <c r="A144" s="506" t="s">
        <v>571</v>
      </c>
      <c r="B144" s="507"/>
      <c r="C144" s="501" t="s">
        <v>715</v>
      </c>
      <c r="D144" s="461">
        <f>IFERROR(__xludf.DUMMYFUNCTION("""COMPUTED_VALUE"""),44.0)</f>
        <v>44</v>
      </c>
      <c r="E144" s="461">
        <f>IFERROR(__xludf.DUMMYFUNCTION("""COMPUTED_VALUE"""),44.0)</f>
        <v>44</v>
      </c>
      <c r="F144" s="461">
        <f>IFERROR(__xludf.DUMMYFUNCTION("""COMPUTED_VALUE"""),44.0)</f>
        <v>44</v>
      </c>
      <c r="G144" s="461">
        <f>IFERROR(__xludf.DUMMYFUNCTION("""COMPUTED_VALUE"""),44.0)</f>
        <v>44</v>
      </c>
      <c r="H144" s="461">
        <f>IFERROR(__xludf.DUMMYFUNCTION("""COMPUTED_VALUE"""),44.0)</f>
        <v>44</v>
      </c>
      <c r="I144" s="461">
        <f>IFERROR(__xludf.DUMMYFUNCTION("""COMPUTED_VALUE"""),44.0)</f>
        <v>44</v>
      </c>
      <c r="J144" s="461">
        <f>IFERROR(__xludf.DUMMYFUNCTION("""COMPUTED_VALUE"""),44.0)</f>
        <v>44</v>
      </c>
      <c r="K144" s="461">
        <f>IFERROR(__xludf.DUMMYFUNCTION("""COMPUTED_VALUE"""),44.0)</f>
        <v>44</v>
      </c>
      <c r="L144" s="461">
        <f>IFERROR(__xludf.DUMMYFUNCTION("""COMPUTED_VALUE"""),44.0)</f>
        <v>44</v>
      </c>
      <c r="M144" s="461">
        <f>IFERROR(__xludf.DUMMYFUNCTION("""COMPUTED_VALUE"""),44.0)</f>
        <v>44</v>
      </c>
      <c r="N144" s="461">
        <f>IFERROR(__xludf.DUMMYFUNCTION("""COMPUTED_VALUE"""),44.0)</f>
        <v>44</v>
      </c>
      <c r="O144" s="461">
        <f>IFERROR(__xludf.DUMMYFUNCTION("""COMPUTED_VALUE"""),44.0)</f>
        <v>44</v>
      </c>
      <c r="P144" s="461">
        <f t="shared" si="16"/>
        <v>528</v>
      </c>
    </row>
    <row r="145" ht="14.25" customHeight="1">
      <c r="A145" s="506" t="s">
        <v>473</v>
      </c>
      <c r="B145" s="507"/>
      <c r="C145" s="505" t="s">
        <v>716</v>
      </c>
      <c r="D145" s="461">
        <f>IFERROR(__xludf.DUMMYFUNCTION("""COMPUTED_VALUE"""),110511.05011831268)</f>
        <v>110511.0501</v>
      </c>
      <c r="E145" s="461">
        <f>IFERROR(__xludf.DUMMYFUNCTION("""COMPUTED_VALUE"""),100641.01706992558)</f>
        <v>100641.0171</v>
      </c>
      <c r="F145" s="461">
        <f>IFERROR(__xludf.DUMMYFUNCTION("""COMPUTED_VALUE"""),100641.01706992558)</f>
        <v>100641.0171</v>
      </c>
      <c r="G145" s="461">
        <f>IFERROR(__xludf.DUMMYFUNCTION("""COMPUTED_VALUE"""),99902.12521644111)</f>
        <v>99902.12522</v>
      </c>
      <c r="H145" s="461">
        <f>IFERROR(__xludf.DUMMYFUNCTION("""COMPUTED_VALUE"""),98675.42209977444)</f>
        <v>98675.4221</v>
      </c>
      <c r="I145" s="461">
        <f>IFERROR(__xludf.DUMMYFUNCTION("""COMPUTED_VALUE"""),98675.42209977444)</f>
        <v>98675.4221</v>
      </c>
      <c r="J145" s="461">
        <f>IFERROR(__xludf.DUMMYFUNCTION("""COMPUTED_VALUE"""),100456.8601337159)</f>
        <v>100456.8601</v>
      </c>
      <c r="K145" s="461">
        <f>IFERROR(__xludf.DUMMYFUNCTION("""COMPUTED_VALUE"""),100843.63170142425)</f>
        <v>100843.6317</v>
      </c>
      <c r="L145" s="461">
        <f>IFERROR(__xludf.DUMMYFUNCTION("""COMPUTED_VALUE"""),102404.33227434091)</f>
        <v>102404.3323</v>
      </c>
      <c r="M145" s="461">
        <f>IFERROR(__xludf.DUMMYFUNCTION("""COMPUTED_VALUE"""),102520.22769621591)</f>
        <v>102520.2277</v>
      </c>
      <c r="N145" s="461">
        <f>IFERROR(__xludf.DUMMYFUNCTION("""COMPUTED_VALUE"""),100211.5067743409)</f>
        <v>100211.5068</v>
      </c>
      <c r="O145" s="461">
        <f>IFERROR(__xludf.DUMMYFUNCTION("""COMPUTED_VALUE"""),100985.08785246592)</f>
        <v>100985.0879</v>
      </c>
      <c r="P145" s="461">
        <f t="shared" si="16"/>
        <v>1216467.7</v>
      </c>
    </row>
    <row r="146" ht="14.25" customHeight="1">
      <c r="A146" s="506" t="s">
        <v>491</v>
      </c>
      <c r="B146" s="507"/>
      <c r="C146" s="505" t="s">
        <v>717</v>
      </c>
      <c r="D146" s="461">
        <f>IFERROR(__xludf.DUMMYFUNCTION("""COMPUTED_VALUE"""),3500.0)</f>
        <v>3500</v>
      </c>
      <c r="E146" s="461">
        <f>IFERROR(__xludf.DUMMYFUNCTION("""COMPUTED_VALUE"""),3500.0)</f>
        <v>3500</v>
      </c>
      <c r="F146" s="461">
        <f>IFERROR(__xludf.DUMMYFUNCTION("""COMPUTED_VALUE"""),3500.0)</f>
        <v>3500</v>
      </c>
      <c r="G146" s="461">
        <f>IFERROR(__xludf.DUMMYFUNCTION("""COMPUTED_VALUE"""),3675.0)</f>
        <v>3675</v>
      </c>
      <c r="H146" s="461">
        <f>IFERROR(__xludf.DUMMYFUNCTION("""COMPUTED_VALUE"""),3675.0)</f>
        <v>3675</v>
      </c>
      <c r="I146" s="461">
        <f>IFERROR(__xludf.DUMMYFUNCTION("""COMPUTED_VALUE"""),3675.0)</f>
        <v>3675</v>
      </c>
      <c r="J146" s="461">
        <f>IFERROR(__xludf.DUMMYFUNCTION("""COMPUTED_VALUE"""),3675.0)</f>
        <v>3675</v>
      </c>
      <c r="K146" s="461">
        <f>IFERROR(__xludf.DUMMYFUNCTION("""COMPUTED_VALUE"""),3675.0)</f>
        <v>3675</v>
      </c>
      <c r="L146" s="461">
        <f>IFERROR(__xludf.DUMMYFUNCTION("""COMPUTED_VALUE"""),3675.0)</f>
        <v>3675</v>
      </c>
      <c r="M146" s="461">
        <f>IFERROR(__xludf.DUMMYFUNCTION("""COMPUTED_VALUE"""),3675.0)</f>
        <v>3675</v>
      </c>
      <c r="N146" s="461">
        <f>IFERROR(__xludf.DUMMYFUNCTION("""COMPUTED_VALUE"""),3675.0)</f>
        <v>3675</v>
      </c>
      <c r="O146" s="461">
        <f>IFERROR(__xludf.DUMMYFUNCTION("""COMPUTED_VALUE"""),3675.0)</f>
        <v>3675</v>
      </c>
      <c r="P146" s="461">
        <f t="shared" si="16"/>
        <v>43575</v>
      </c>
    </row>
    <row r="147" ht="14.25" customHeight="1">
      <c r="A147" s="503" t="s">
        <v>494</v>
      </c>
      <c r="B147" s="504"/>
      <c r="C147" s="505" t="s">
        <v>718</v>
      </c>
      <c r="D147" s="461">
        <f>IFERROR(__xludf.DUMMYFUNCTION("""COMPUTED_VALUE"""),1650.0)</f>
        <v>1650</v>
      </c>
      <c r="E147" s="461">
        <f>IFERROR(__xludf.DUMMYFUNCTION("""COMPUTED_VALUE"""),1650.0)</f>
        <v>1650</v>
      </c>
      <c r="F147" s="461">
        <f>IFERROR(__xludf.DUMMYFUNCTION("""COMPUTED_VALUE"""),1650.0)</f>
        <v>1650</v>
      </c>
      <c r="G147" s="461">
        <f>IFERROR(__xludf.DUMMYFUNCTION("""COMPUTED_VALUE"""),1705.0)</f>
        <v>1705</v>
      </c>
      <c r="H147" s="461">
        <f>IFERROR(__xludf.DUMMYFUNCTION("""COMPUTED_VALUE"""),1705.0)</f>
        <v>1705</v>
      </c>
      <c r="I147" s="461">
        <f>IFERROR(__xludf.DUMMYFUNCTION("""COMPUTED_VALUE"""),1705.0)</f>
        <v>1705</v>
      </c>
      <c r="J147" s="461">
        <f>IFERROR(__xludf.DUMMYFUNCTION("""COMPUTED_VALUE"""),1705.0)</f>
        <v>1705</v>
      </c>
      <c r="K147" s="461">
        <f>IFERROR(__xludf.DUMMYFUNCTION("""COMPUTED_VALUE"""),1705.0)</f>
        <v>1705</v>
      </c>
      <c r="L147" s="461">
        <f>IFERROR(__xludf.DUMMYFUNCTION("""COMPUTED_VALUE"""),1705.0)</f>
        <v>1705</v>
      </c>
      <c r="M147" s="461">
        <f>IFERROR(__xludf.DUMMYFUNCTION("""COMPUTED_VALUE"""),1705.0)</f>
        <v>1705</v>
      </c>
      <c r="N147" s="461">
        <f>IFERROR(__xludf.DUMMYFUNCTION("""COMPUTED_VALUE"""),1705.0)</f>
        <v>1705</v>
      </c>
      <c r="O147" s="461">
        <f>IFERROR(__xludf.DUMMYFUNCTION("""COMPUTED_VALUE"""),1705.0)</f>
        <v>1705</v>
      </c>
      <c r="P147" s="461">
        <f t="shared" si="16"/>
        <v>20295</v>
      </c>
    </row>
    <row r="148" ht="14.25" customHeight="1">
      <c r="A148" s="506" t="s">
        <v>533</v>
      </c>
      <c r="B148" s="507"/>
      <c r="C148" s="505" t="s">
        <v>719</v>
      </c>
      <c r="D148" s="461">
        <f>IFERROR(__xludf.DUMMYFUNCTION("""COMPUTED_VALUE"""),0.0)</f>
        <v>0</v>
      </c>
      <c r="E148" s="461">
        <f>IFERROR(__xludf.DUMMYFUNCTION("""COMPUTED_VALUE"""),0.0)</f>
        <v>0</v>
      </c>
      <c r="F148" s="461">
        <f>IFERROR(__xludf.DUMMYFUNCTION("""COMPUTED_VALUE"""),0.0)</f>
        <v>0</v>
      </c>
      <c r="G148" s="461">
        <f>IFERROR(__xludf.DUMMYFUNCTION("""COMPUTED_VALUE"""),0.0)</f>
        <v>0</v>
      </c>
      <c r="H148" s="461">
        <f>IFERROR(__xludf.DUMMYFUNCTION("""COMPUTED_VALUE"""),0.0)</f>
        <v>0</v>
      </c>
      <c r="I148" s="461">
        <f>IFERROR(__xludf.DUMMYFUNCTION("""COMPUTED_VALUE"""),0.0)</f>
        <v>0</v>
      </c>
      <c r="J148" s="461">
        <f>IFERROR(__xludf.DUMMYFUNCTION("""COMPUTED_VALUE"""),0.0)</f>
        <v>0</v>
      </c>
      <c r="K148" s="461">
        <f>IFERROR(__xludf.DUMMYFUNCTION("""COMPUTED_VALUE"""),0.0)</f>
        <v>0</v>
      </c>
      <c r="L148" s="461">
        <f>IFERROR(__xludf.DUMMYFUNCTION("""COMPUTED_VALUE"""),0.0)</f>
        <v>0</v>
      </c>
      <c r="M148" s="461">
        <f>IFERROR(__xludf.DUMMYFUNCTION("""COMPUTED_VALUE"""),0.0)</f>
        <v>0</v>
      </c>
      <c r="N148" s="461">
        <f>IFERROR(__xludf.DUMMYFUNCTION("""COMPUTED_VALUE"""),0.0)</f>
        <v>0</v>
      </c>
      <c r="O148" s="461">
        <f>IFERROR(__xludf.DUMMYFUNCTION("""COMPUTED_VALUE"""),0.0)</f>
        <v>0</v>
      </c>
      <c r="P148" s="461">
        <f t="shared" si="16"/>
        <v>0</v>
      </c>
    </row>
    <row r="149" ht="14.25" customHeight="1">
      <c r="A149" s="508" t="s">
        <v>1116</v>
      </c>
      <c r="B149" s="75"/>
      <c r="C149" s="161"/>
      <c r="D149" s="509">
        <f>IFERROR(__xludf.DUMMYFUNCTION("""COMPUTED_VALUE"""),389997.4055882178)</f>
        <v>389997.4056</v>
      </c>
      <c r="E149" s="509">
        <f>IFERROR(__xludf.DUMMYFUNCTION("""COMPUTED_VALUE"""),348214.25860662584)</f>
        <v>348214.2586</v>
      </c>
      <c r="F149" s="509">
        <f>IFERROR(__xludf.DUMMYFUNCTION("""COMPUTED_VALUE"""),342372.7301904758)</f>
        <v>342372.7302</v>
      </c>
      <c r="G149" s="509">
        <f>IFERROR(__xludf.DUMMYFUNCTION("""COMPUTED_VALUE"""),345819.8656618221)</f>
        <v>345819.8657</v>
      </c>
      <c r="H149" s="509">
        <f>IFERROR(__xludf.DUMMYFUNCTION("""COMPUTED_VALUE"""),342048.1886091721)</f>
        <v>342048.1886</v>
      </c>
      <c r="I149" s="509">
        <f>IFERROR(__xludf.DUMMYFUNCTION("""COMPUTED_VALUE"""),341683.3208504971)</f>
        <v>341683.3209</v>
      </c>
      <c r="J149" s="509">
        <f>IFERROR(__xludf.DUMMYFUNCTION("""COMPUTED_VALUE"""),350365.6723203573)</f>
        <v>350365.6723</v>
      </c>
      <c r="K149" s="509">
        <f>IFERROR(__xludf.DUMMYFUNCTION("""COMPUTED_VALUE"""),345159.30009842606)</f>
        <v>345159.3001</v>
      </c>
      <c r="L149" s="509">
        <f>IFERROR(__xludf.DUMMYFUNCTION("""COMPUTED_VALUE"""),349797.88202506356)</f>
        <v>349797.882</v>
      </c>
      <c r="M149" s="509">
        <f>IFERROR(__xludf.DUMMYFUNCTION("""COMPUTED_VALUE"""),349677.72750848235)</f>
        <v>349677.7275</v>
      </c>
      <c r="N149" s="509">
        <f>IFERROR(__xludf.DUMMYFUNCTION("""COMPUTED_VALUE"""),345653.5404452386)</f>
        <v>345653.5404</v>
      </c>
      <c r="O149" s="509">
        <f>IFERROR(__xludf.DUMMYFUNCTION("""COMPUTED_VALUE"""),346782.9334379698)</f>
        <v>346782.9334</v>
      </c>
      <c r="P149" s="509">
        <f>sum(P127:P148)</f>
        <v>4197572.825</v>
      </c>
    </row>
    <row r="150" ht="14.25" customHeight="1">
      <c r="A150" s="510" t="s">
        <v>913</v>
      </c>
      <c r="B150" s="511"/>
      <c r="C150" s="512"/>
      <c r="D150" s="513">
        <f>IFERROR(__xludf.DUMMYFUNCTION("""COMPUTED_VALUE"""),1766388.3537689333)</f>
        <v>1766388.354</v>
      </c>
      <c r="E150" s="513">
        <f>IFERROR(__xludf.DUMMYFUNCTION("""COMPUTED_VALUE"""),1576988.7318110217)</f>
        <v>1576988.732</v>
      </c>
      <c r="F150" s="513">
        <f>IFERROR(__xludf.DUMMYFUNCTION("""COMPUTED_VALUE"""),1506113.6598784246)</f>
        <v>1506113.66</v>
      </c>
      <c r="G150" s="513">
        <f>IFERROR(__xludf.DUMMYFUNCTION("""COMPUTED_VALUE"""),1583664.5645299722)</f>
        <v>1583664.565</v>
      </c>
      <c r="H150" s="513">
        <f>IFERROR(__xludf.DUMMYFUNCTION("""COMPUTED_VALUE"""),1444626.8250600975)</f>
        <v>1444626.825</v>
      </c>
      <c r="I150" s="513">
        <f>IFERROR(__xludf.DUMMYFUNCTION("""COMPUTED_VALUE"""),1460757.1507270942)</f>
        <v>1460757.151</v>
      </c>
      <c r="J150" s="513">
        <f>IFERROR(__xludf.DUMMYFUNCTION("""COMPUTED_VALUE"""),1502520.2628247817)</f>
        <v>1502520.263</v>
      </c>
      <c r="K150" s="513">
        <f>IFERROR(__xludf.DUMMYFUNCTION("""COMPUTED_VALUE"""),1494257.0994120864)</f>
        <v>1494257.099</v>
      </c>
      <c r="L150" s="513">
        <f>IFERROR(__xludf.DUMMYFUNCTION("""COMPUTED_VALUE"""),1473083.4494396201)</f>
        <v>1473083.449</v>
      </c>
      <c r="M150" s="513">
        <f>IFERROR(__xludf.DUMMYFUNCTION("""COMPUTED_VALUE"""),1567558.6857493077)</f>
        <v>1567558.686</v>
      </c>
      <c r="N150" s="513">
        <f>IFERROR(__xludf.DUMMYFUNCTION("""COMPUTED_VALUE"""),1471198.3735998902)</f>
        <v>1471198.374</v>
      </c>
      <c r="O150" s="513">
        <f>IFERROR(__xludf.DUMMYFUNCTION("""COMPUTED_VALUE"""),1431460.304945704)</f>
        <v>1431460.305</v>
      </c>
      <c r="P150" s="513">
        <f>P149+P126+P113</f>
        <v>18278617.46</v>
      </c>
    </row>
    <row r="151" ht="14.25" customHeight="1">
      <c r="A151" s="500"/>
      <c r="B151" s="514"/>
      <c r="C151" s="515" t="s">
        <v>914</v>
      </c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2"/>
      <c r="O151" s="462"/>
      <c r="P151" s="461">
        <f t="shared" ref="P151:P170" si="17">sum(D151:O151)</f>
        <v>0</v>
      </c>
    </row>
    <row r="152" ht="14.25" customHeight="1">
      <c r="A152" s="500" t="s">
        <v>915</v>
      </c>
      <c r="B152" s="516"/>
      <c r="C152" s="505" t="s">
        <v>904</v>
      </c>
      <c r="D152" s="461">
        <f>IFERROR(__xludf.DUMMYFUNCTION("""COMPUTED_VALUE"""),0.0)</f>
        <v>0</v>
      </c>
      <c r="E152" s="461">
        <f>IFERROR(__xludf.DUMMYFUNCTION("""COMPUTED_VALUE"""),0.0)</f>
        <v>0</v>
      </c>
      <c r="F152" s="461">
        <f>IFERROR(__xludf.DUMMYFUNCTION("""COMPUTED_VALUE"""),0.0)</f>
        <v>0</v>
      </c>
      <c r="G152" s="461">
        <f>IFERROR(__xludf.DUMMYFUNCTION("""COMPUTED_VALUE"""),0.0)</f>
        <v>0</v>
      </c>
      <c r="H152" s="461">
        <f>IFERROR(__xludf.DUMMYFUNCTION("""COMPUTED_VALUE"""),0.0)</f>
        <v>0</v>
      </c>
      <c r="I152" s="461">
        <f>IFERROR(__xludf.DUMMYFUNCTION("""COMPUTED_VALUE"""),0.0)</f>
        <v>0</v>
      </c>
      <c r="J152" s="461">
        <f>IFERROR(__xludf.DUMMYFUNCTION("""COMPUTED_VALUE"""),0.0)</f>
        <v>0</v>
      </c>
      <c r="K152" s="461">
        <f>IFERROR(__xludf.DUMMYFUNCTION("""COMPUTED_VALUE"""),0.0)</f>
        <v>0</v>
      </c>
      <c r="L152" s="461">
        <f>IFERROR(__xludf.DUMMYFUNCTION("""COMPUTED_VALUE"""),0.0)</f>
        <v>0</v>
      </c>
      <c r="M152" s="461">
        <f>IFERROR(__xludf.DUMMYFUNCTION("""COMPUTED_VALUE"""),0.0)</f>
        <v>0</v>
      </c>
      <c r="N152" s="461">
        <f>IFERROR(__xludf.DUMMYFUNCTION("""COMPUTED_VALUE"""),0.0)</f>
        <v>0</v>
      </c>
      <c r="O152" s="461">
        <f>IFERROR(__xludf.DUMMYFUNCTION("""COMPUTED_VALUE"""),0.0)</f>
        <v>0</v>
      </c>
      <c r="P152" s="461">
        <f t="shared" si="17"/>
        <v>0</v>
      </c>
    </row>
    <row r="153" ht="14.25" customHeight="1">
      <c r="A153" s="500" t="s">
        <v>916</v>
      </c>
      <c r="B153" s="516"/>
      <c r="C153" s="505" t="s">
        <v>917</v>
      </c>
      <c r="D153" s="461">
        <f>IFERROR(__xludf.DUMMYFUNCTION("""COMPUTED_VALUE"""),0.0)</f>
        <v>0</v>
      </c>
      <c r="E153" s="461">
        <f>IFERROR(__xludf.DUMMYFUNCTION("""COMPUTED_VALUE"""),0.0)</f>
        <v>0</v>
      </c>
      <c r="F153" s="461">
        <f>IFERROR(__xludf.DUMMYFUNCTION("""COMPUTED_VALUE"""),0.0)</f>
        <v>0</v>
      </c>
      <c r="G153" s="461">
        <f>IFERROR(__xludf.DUMMYFUNCTION("""COMPUTED_VALUE"""),0.0)</f>
        <v>0</v>
      </c>
      <c r="H153" s="461">
        <f>IFERROR(__xludf.DUMMYFUNCTION("""COMPUTED_VALUE"""),0.0)</f>
        <v>0</v>
      </c>
      <c r="I153" s="461">
        <f>IFERROR(__xludf.DUMMYFUNCTION("""COMPUTED_VALUE"""),0.0)</f>
        <v>0</v>
      </c>
      <c r="J153" s="461">
        <f>IFERROR(__xludf.DUMMYFUNCTION("""COMPUTED_VALUE"""),0.0)</f>
        <v>0</v>
      </c>
      <c r="K153" s="461">
        <f>IFERROR(__xludf.DUMMYFUNCTION("""COMPUTED_VALUE"""),0.0)</f>
        <v>0</v>
      </c>
      <c r="L153" s="461">
        <f>IFERROR(__xludf.DUMMYFUNCTION("""COMPUTED_VALUE"""),0.0)</f>
        <v>0</v>
      </c>
      <c r="M153" s="461">
        <f>IFERROR(__xludf.DUMMYFUNCTION("""COMPUTED_VALUE"""),0.0)</f>
        <v>0</v>
      </c>
      <c r="N153" s="461">
        <f>IFERROR(__xludf.DUMMYFUNCTION("""COMPUTED_VALUE"""),0.0)</f>
        <v>0</v>
      </c>
      <c r="O153" s="461">
        <f>IFERROR(__xludf.DUMMYFUNCTION("""COMPUTED_VALUE"""),0.0)</f>
        <v>0</v>
      </c>
      <c r="P153" s="461">
        <f t="shared" si="17"/>
        <v>0</v>
      </c>
    </row>
    <row r="154" ht="14.25" customHeight="1">
      <c r="A154" s="500" t="s">
        <v>918</v>
      </c>
      <c r="B154" s="516"/>
      <c r="C154" s="505" t="s">
        <v>1117</v>
      </c>
      <c r="D154" s="461">
        <f>IFERROR(__xludf.DUMMYFUNCTION("""COMPUTED_VALUE"""),0.0)</f>
        <v>0</v>
      </c>
      <c r="E154" s="461">
        <f>IFERROR(__xludf.DUMMYFUNCTION("""COMPUTED_VALUE"""),0.0)</f>
        <v>0</v>
      </c>
      <c r="F154" s="461">
        <f>IFERROR(__xludf.DUMMYFUNCTION("""COMPUTED_VALUE"""),0.0)</f>
        <v>0</v>
      </c>
      <c r="G154" s="461">
        <f>IFERROR(__xludf.DUMMYFUNCTION("""COMPUTED_VALUE"""),0.0)</f>
        <v>0</v>
      </c>
      <c r="H154" s="461">
        <f>IFERROR(__xludf.DUMMYFUNCTION("""COMPUTED_VALUE"""),0.0)</f>
        <v>0</v>
      </c>
      <c r="I154" s="461">
        <f>IFERROR(__xludf.DUMMYFUNCTION("""COMPUTED_VALUE"""),0.0)</f>
        <v>0</v>
      </c>
      <c r="J154" s="461">
        <f>IFERROR(__xludf.DUMMYFUNCTION("""COMPUTED_VALUE"""),0.0)</f>
        <v>0</v>
      </c>
      <c r="K154" s="461">
        <f>IFERROR(__xludf.DUMMYFUNCTION("""COMPUTED_VALUE"""),0.0)</f>
        <v>0</v>
      </c>
      <c r="L154" s="461">
        <f>IFERROR(__xludf.DUMMYFUNCTION("""COMPUTED_VALUE"""),0.0)</f>
        <v>0</v>
      </c>
      <c r="M154" s="461">
        <f>IFERROR(__xludf.DUMMYFUNCTION("""COMPUTED_VALUE"""),0.0)</f>
        <v>0</v>
      </c>
      <c r="N154" s="461">
        <f>IFERROR(__xludf.DUMMYFUNCTION("""COMPUTED_VALUE"""),0.0)</f>
        <v>0</v>
      </c>
      <c r="O154" s="461">
        <f>IFERROR(__xludf.DUMMYFUNCTION("""COMPUTED_VALUE"""),0.0)</f>
        <v>0</v>
      </c>
      <c r="P154" s="461">
        <f t="shared" si="17"/>
        <v>0</v>
      </c>
    </row>
    <row r="155" ht="14.25" customHeight="1">
      <c r="A155" s="503" t="s">
        <v>920</v>
      </c>
      <c r="B155" s="504"/>
      <c r="C155" s="505" t="s">
        <v>921</v>
      </c>
      <c r="D155" s="461">
        <f>IFERROR(__xludf.DUMMYFUNCTION("""COMPUTED_VALUE"""),4250.0)</f>
        <v>4250</v>
      </c>
      <c r="E155" s="461">
        <f>IFERROR(__xludf.DUMMYFUNCTION("""COMPUTED_VALUE"""),4250.0)</f>
        <v>4250</v>
      </c>
      <c r="F155" s="461">
        <f>IFERROR(__xludf.DUMMYFUNCTION("""COMPUTED_VALUE"""),4250.0)</f>
        <v>4250</v>
      </c>
      <c r="G155" s="461">
        <f>IFERROR(__xludf.DUMMYFUNCTION("""COMPUTED_VALUE"""),4250.0)</f>
        <v>4250</v>
      </c>
      <c r="H155" s="461">
        <f>IFERROR(__xludf.DUMMYFUNCTION("""COMPUTED_VALUE"""),4250.0)</f>
        <v>4250</v>
      </c>
      <c r="I155" s="461">
        <f>IFERROR(__xludf.DUMMYFUNCTION("""COMPUTED_VALUE"""),4250.0)</f>
        <v>4250</v>
      </c>
      <c r="J155" s="461">
        <f>IFERROR(__xludf.DUMMYFUNCTION("""COMPUTED_VALUE"""),4250.0)</f>
        <v>4250</v>
      </c>
      <c r="K155" s="461">
        <f>IFERROR(__xludf.DUMMYFUNCTION("""COMPUTED_VALUE"""),4250.0)</f>
        <v>4250</v>
      </c>
      <c r="L155" s="461">
        <f>IFERROR(__xludf.DUMMYFUNCTION("""COMPUTED_VALUE"""),4250.0)</f>
        <v>4250</v>
      </c>
      <c r="M155" s="461">
        <f>IFERROR(__xludf.DUMMYFUNCTION("""COMPUTED_VALUE"""),4250.0)</f>
        <v>4250</v>
      </c>
      <c r="N155" s="461">
        <f>IFERROR(__xludf.DUMMYFUNCTION("""COMPUTED_VALUE"""),4250.0)</f>
        <v>4250</v>
      </c>
      <c r="O155" s="461">
        <f>IFERROR(__xludf.DUMMYFUNCTION("""COMPUTED_VALUE"""),4250.0)</f>
        <v>4250</v>
      </c>
      <c r="P155" s="461">
        <f t="shared" si="17"/>
        <v>51000</v>
      </c>
    </row>
    <row r="156" ht="14.25" customHeight="1">
      <c r="A156" s="503" t="s">
        <v>922</v>
      </c>
      <c r="B156" s="504"/>
      <c r="C156" s="505" t="s">
        <v>923</v>
      </c>
      <c r="D156" s="461">
        <f>IFERROR(__xludf.DUMMYFUNCTION("""COMPUTED_VALUE"""),0.0)</f>
        <v>0</v>
      </c>
      <c r="E156" s="461">
        <f>IFERROR(__xludf.DUMMYFUNCTION("""COMPUTED_VALUE"""),0.0)</f>
        <v>0</v>
      </c>
      <c r="F156" s="461">
        <f>IFERROR(__xludf.DUMMYFUNCTION("""COMPUTED_VALUE"""),0.0)</f>
        <v>0</v>
      </c>
      <c r="G156" s="461">
        <f>IFERROR(__xludf.DUMMYFUNCTION("""COMPUTED_VALUE"""),0.0)</f>
        <v>0</v>
      </c>
      <c r="H156" s="461">
        <f>IFERROR(__xludf.DUMMYFUNCTION("""COMPUTED_VALUE"""),0.0)</f>
        <v>0</v>
      </c>
      <c r="I156" s="461">
        <f>IFERROR(__xludf.DUMMYFUNCTION("""COMPUTED_VALUE"""),0.0)</f>
        <v>0</v>
      </c>
      <c r="J156" s="461">
        <f>IFERROR(__xludf.DUMMYFUNCTION("""COMPUTED_VALUE"""),0.0)</f>
        <v>0</v>
      </c>
      <c r="K156" s="461">
        <f>IFERROR(__xludf.DUMMYFUNCTION("""COMPUTED_VALUE"""),0.0)</f>
        <v>0</v>
      </c>
      <c r="L156" s="461">
        <f>IFERROR(__xludf.DUMMYFUNCTION("""COMPUTED_VALUE"""),0.0)</f>
        <v>0</v>
      </c>
      <c r="M156" s="461">
        <f>IFERROR(__xludf.DUMMYFUNCTION("""COMPUTED_VALUE"""),0.0)</f>
        <v>0</v>
      </c>
      <c r="N156" s="461">
        <f>IFERROR(__xludf.DUMMYFUNCTION("""COMPUTED_VALUE"""),0.0)</f>
        <v>0</v>
      </c>
      <c r="O156" s="461">
        <f>IFERROR(__xludf.DUMMYFUNCTION("""COMPUTED_VALUE"""),0.0)</f>
        <v>0</v>
      </c>
      <c r="P156" s="461">
        <f t="shared" si="17"/>
        <v>0</v>
      </c>
    </row>
    <row r="157" ht="14.25" customHeight="1">
      <c r="A157" s="503" t="s">
        <v>924</v>
      </c>
      <c r="B157" s="504"/>
      <c r="C157" s="505" t="s">
        <v>907</v>
      </c>
      <c r="D157" s="461">
        <f>IFERROR(__xludf.DUMMYFUNCTION("""COMPUTED_VALUE"""),0.0)</f>
        <v>0</v>
      </c>
      <c r="E157" s="461">
        <f>IFERROR(__xludf.DUMMYFUNCTION("""COMPUTED_VALUE"""),0.0)</f>
        <v>0</v>
      </c>
      <c r="F157" s="461">
        <f>IFERROR(__xludf.DUMMYFUNCTION("""COMPUTED_VALUE"""),0.0)</f>
        <v>0</v>
      </c>
      <c r="G157" s="461">
        <f>IFERROR(__xludf.DUMMYFUNCTION("""COMPUTED_VALUE"""),0.0)</f>
        <v>0</v>
      </c>
      <c r="H157" s="461">
        <f>IFERROR(__xludf.DUMMYFUNCTION("""COMPUTED_VALUE"""),0.0)</f>
        <v>0</v>
      </c>
      <c r="I157" s="461">
        <f>IFERROR(__xludf.DUMMYFUNCTION("""COMPUTED_VALUE"""),0.0)</f>
        <v>0</v>
      </c>
      <c r="J157" s="461">
        <f>IFERROR(__xludf.DUMMYFUNCTION("""COMPUTED_VALUE"""),0.0)</f>
        <v>0</v>
      </c>
      <c r="K157" s="461">
        <f>IFERROR(__xludf.DUMMYFUNCTION("""COMPUTED_VALUE"""),0.0)</f>
        <v>0</v>
      </c>
      <c r="L157" s="461">
        <f>IFERROR(__xludf.DUMMYFUNCTION("""COMPUTED_VALUE"""),0.0)</f>
        <v>0</v>
      </c>
      <c r="M157" s="461">
        <f>IFERROR(__xludf.DUMMYFUNCTION("""COMPUTED_VALUE"""),0.0)</f>
        <v>0</v>
      </c>
      <c r="N157" s="461">
        <f>IFERROR(__xludf.DUMMYFUNCTION("""COMPUTED_VALUE"""),0.0)</f>
        <v>0</v>
      </c>
      <c r="O157" s="461">
        <f>IFERROR(__xludf.DUMMYFUNCTION("""COMPUTED_VALUE"""),0.0)</f>
        <v>0</v>
      </c>
      <c r="P157" s="461">
        <f t="shared" si="17"/>
        <v>0</v>
      </c>
    </row>
    <row r="158" ht="14.25" customHeight="1">
      <c r="A158" s="503" t="s">
        <v>925</v>
      </c>
      <c r="B158" s="504"/>
      <c r="C158" s="505" t="s">
        <v>926</v>
      </c>
      <c r="D158" s="461">
        <f>IFERROR(__xludf.DUMMYFUNCTION("""COMPUTED_VALUE"""),0.0)</f>
        <v>0</v>
      </c>
      <c r="E158" s="461">
        <f>IFERROR(__xludf.DUMMYFUNCTION("""COMPUTED_VALUE"""),0.0)</f>
        <v>0</v>
      </c>
      <c r="F158" s="461">
        <f>IFERROR(__xludf.DUMMYFUNCTION("""COMPUTED_VALUE"""),0.0)</f>
        <v>0</v>
      </c>
      <c r="G158" s="461">
        <f>IFERROR(__xludf.DUMMYFUNCTION("""COMPUTED_VALUE"""),0.0)</f>
        <v>0</v>
      </c>
      <c r="H158" s="461">
        <f>IFERROR(__xludf.DUMMYFUNCTION("""COMPUTED_VALUE"""),0.0)</f>
        <v>0</v>
      </c>
      <c r="I158" s="461">
        <f>IFERROR(__xludf.DUMMYFUNCTION("""COMPUTED_VALUE"""),0.0)</f>
        <v>0</v>
      </c>
      <c r="J158" s="461">
        <f>IFERROR(__xludf.DUMMYFUNCTION("""COMPUTED_VALUE"""),0.0)</f>
        <v>0</v>
      </c>
      <c r="K158" s="461">
        <f>IFERROR(__xludf.DUMMYFUNCTION("""COMPUTED_VALUE"""),0.0)</f>
        <v>0</v>
      </c>
      <c r="L158" s="461">
        <f>IFERROR(__xludf.DUMMYFUNCTION("""COMPUTED_VALUE"""),0.0)</f>
        <v>0</v>
      </c>
      <c r="M158" s="461">
        <f>IFERROR(__xludf.DUMMYFUNCTION("""COMPUTED_VALUE"""),0.0)</f>
        <v>0</v>
      </c>
      <c r="N158" s="461">
        <f>IFERROR(__xludf.DUMMYFUNCTION("""COMPUTED_VALUE"""),0.0)</f>
        <v>0</v>
      </c>
      <c r="O158" s="461">
        <f>IFERROR(__xludf.DUMMYFUNCTION("""COMPUTED_VALUE"""),0.0)</f>
        <v>0</v>
      </c>
      <c r="P158" s="461">
        <f t="shared" si="17"/>
        <v>0</v>
      </c>
    </row>
    <row r="159" ht="14.25" customHeight="1">
      <c r="A159" s="503" t="s">
        <v>927</v>
      </c>
      <c r="B159" s="504"/>
      <c r="C159" s="514" t="s">
        <v>928</v>
      </c>
      <c r="D159" s="461">
        <f>IFERROR(__xludf.DUMMYFUNCTION("""COMPUTED_VALUE"""),0.0)</f>
        <v>0</v>
      </c>
      <c r="E159" s="461">
        <f>IFERROR(__xludf.DUMMYFUNCTION("""COMPUTED_VALUE"""),0.0)</f>
        <v>0</v>
      </c>
      <c r="F159" s="461">
        <f>IFERROR(__xludf.DUMMYFUNCTION("""COMPUTED_VALUE"""),0.0)</f>
        <v>0</v>
      </c>
      <c r="G159" s="461">
        <f>IFERROR(__xludf.DUMMYFUNCTION("""COMPUTED_VALUE"""),0.0)</f>
        <v>0</v>
      </c>
      <c r="H159" s="461">
        <f>IFERROR(__xludf.DUMMYFUNCTION("""COMPUTED_VALUE"""),0.0)</f>
        <v>0</v>
      </c>
      <c r="I159" s="461">
        <f>IFERROR(__xludf.DUMMYFUNCTION("""COMPUTED_VALUE"""),0.0)</f>
        <v>0</v>
      </c>
      <c r="J159" s="461">
        <f>IFERROR(__xludf.DUMMYFUNCTION("""COMPUTED_VALUE"""),0.0)</f>
        <v>0</v>
      </c>
      <c r="K159" s="461">
        <f>IFERROR(__xludf.DUMMYFUNCTION("""COMPUTED_VALUE"""),0.0)</f>
        <v>0</v>
      </c>
      <c r="L159" s="461">
        <f>IFERROR(__xludf.DUMMYFUNCTION("""COMPUTED_VALUE"""),0.0)</f>
        <v>0</v>
      </c>
      <c r="M159" s="461">
        <f>IFERROR(__xludf.DUMMYFUNCTION("""COMPUTED_VALUE"""),0.0)</f>
        <v>0</v>
      </c>
      <c r="N159" s="461">
        <f>IFERROR(__xludf.DUMMYFUNCTION("""COMPUTED_VALUE"""),0.0)</f>
        <v>0</v>
      </c>
      <c r="O159" s="461">
        <f>IFERROR(__xludf.DUMMYFUNCTION("""COMPUTED_VALUE"""),0.0)</f>
        <v>0</v>
      </c>
      <c r="P159" s="461">
        <f t="shared" si="17"/>
        <v>0</v>
      </c>
    </row>
    <row r="160" ht="14.25" customHeight="1">
      <c r="A160" s="503" t="s">
        <v>929</v>
      </c>
      <c r="B160" s="504"/>
      <c r="C160" s="514" t="s">
        <v>930</v>
      </c>
      <c r="D160" s="461">
        <f>IFERROR(__xludf.DUMMYFUNCTION("""COMPUTED_VALUE"""),0.0)</f>
        <v>0</v>
      </c>
      <c r="E160" s="461">
        <f>IFERROR(__xludf.DUMMYFUNCTION("""COMPUTED_VALUE"""),0.0)</f>
        <v>0</v>
      </c>
      <c r="F160" s="461">
        <f>IFERROR(__xludf.DUMMYFUNCTION("""COMPUTED_VALUE"""),0.0)</f>
        <v>0</v>
      </c>
      <c r="G160" s="461">
        <f>IFERROR(__xludf.DUMMYFUNCTION("""COMPUTED_VALUE"""),0.0)</f>
        <v>0</v>
      </c>
      <c r="H160" s="461">
        <f>IFERROR(__xludf.DUMMYFUNCTION("""COMPUTED_VALUE"""),0.0)</f>
        <v>0</v>
      </c>
      <c r="I160" s="461">
        <f>IFERROR(__xludf.DUMMYFUNCTION("""COMPUTED_VALUE"""),0.0)</f>
        <v>0</v>
      </c>
      <c r="J160" s="461">
        <f>IFERROR(__xludf.DUMMYFUNCTION("""COMPUTED_VALUE"""),0.0)</f>
        <v>0</v>
      </c>
      <c r="K160" s="461">
        <f>IFERROR(__xludf.DUMMYFUNCTION("""COMPUTED_VALUE"""),0.0)</f>
        <v>0</v>
      </c>
      <c r="L160" s="461">
        <f>IFERROR(__xludf.DUMMYFUNCTION("""COMPUTED_VALUE"""),0.0)</f>
        <v>0</v>
      </c>
      <c r="M160" s="461">
        <f>IFERROR(__xludf.DUMMYFUNCTION("""COMPUTED_VALUE"""),0.0)</f>
        <v>0</v>
      </c>
      <c r="N160" s="461">
        <f>IFERROR(__xludf.DUMMYFUNCTION("""COMPUTED_VALUE"""),0.0)</f>
        <v>0</v>
      </c>
      <c r="O160" s="461">
        <f>IFERROR(__xludf.DUMMYFUNCTION("""COMPUTED_VALUE"""),0.0)</f>
        <v>0</v>
      </c>
      <c r="P160" s="461">
        <f t="shared" si="17"/>
        <v>0</v>
      </c>
    </row>
    <row r="161" ht="14.25" customHeight="1">
      <c r="A161" s="503" t="s">
        <v>931</v>
      </c>
      <c r="B161" s="504"/>
      <c r="C161" s="514" t="s">
        <v>932</v>
      </c>
      <c r="D161" s="461">
        <f>IFERROR(__xludf.DUMMYFUNCTION("""COMPUTED_VALUE"""),12500.0)</f>
        <v>12500</v>
      </c>
      <c r="E161" s="461">
        <f>IFERROR(__xludf.DUMMYFUNCTION("""COMPUTED_VALUE"""),12500.0)</f>
        <v>12500</v>
      </c>
      <c r="F161" s="461">
        <f>IFERROR(__xludf.DUMMYFUNCTION("""COMPUTED_VALUE"""),12500.0)</f>
        <v>12500</v>
      </c>
      <c r="G161" s="461">
        <f>IFERROR(__xludf.DUMMYFUNCTION("""COMPUTED_VALUE"""),12500.0)</f>
        <v>12500</v>
      </c>
      <c r="H161" s="461">
        <f>IFERROR(__xludf.DUMMYFUNCTION("""COMPUTED_VALUE"""),12500.0)</f>
        <v>12500</v>
      </c>
      <c r="I161" s="461">
        <f>IFERROR(__xludf.DUMMYFUNCTION("""COMPUTED_VALUE"""),12500.0)</f>
        <v>12500</v>
      </c>
      <c r="J161" s="461">
        <f>IFERROR(__xludf.DUMMYFUNCTION("""COMPUTED_VALUE"""),12500.0)</f>
        <v>12500</v>
      </c>
      <c r="K161" s="461">
        <f>IFERROR(__xludf.DUMMYFUNCTION("""COMPUTED_VALUE"""),12500.0)</f>
        <v>12500</v>
      </c>
      <c r="L161" s="461">
        <f>IFERROR(__xludf.DUMMYFUNCTION("""COMPUTED_VALUE"""),12500.0)</f>
        <v>12500</v>
      </c>
      <c r="M161" s="461">
        <f>IFERROR(__xludf.DUMMYFUNCTION("""COMPUTED_VALUE"""),12500.0)</f>
        <v>12500</v>
      </c>
      <c r="N161" s="461">
        <f>IFERROR(__xludf.DUMMYFUNCTION("""COMPUTED_VALUE"""),12500.0)</f>
        <v>12500</v>
      </c>
      <c r="O161" s="461">
        <f>IFERROR(__xludf.DUMMYFUNCTION("""COMPUTED_VALUE"""),12500.0)</f>
        <v>12500</v>
      </c>
      <c r="P161" s="461">
        <f t="shared" si="17"/>
        <v>150000</v>
      </c>
    </row>
    <row r="162" ht="14.25" customHeight="1">
      <c r="A162" s="503" t="s">
        <v>933</v>
      </c>
      <c r="B162" s="504"/>
      <c r="C162" s="514" t="s">
        <v>934</v>
      </c>
      <c r="D162" s="461">
        <f>IFERROR(__xludf.DUMMYFUNCTION("""COMPUTED_VALUE"""),0.0)</f>
        <v>0</v>
      </c>
      <c r="E162" s="461">
        <f>IFERROR(__xludf.DUMMYFUNCTION("""COMPUTED_VALUE"""),0.0)</f>
        <v>0</v>
      </c>
      <c r="F162" s="461">
        <f>IFERROR(__xludf.DUMMYFUNCTION("""COMPUTED_VALUE"""),0.0)</f>
        <v>0</v>
      </c>
      <c r="G162" s="461">
        <f>IFERROR(__xludf.DUMMYFUNCTION("""COMPUTED_VALUE"""),0.0)</f>
        <v>0</v>
      </c>
      <c r="H162" s="461">
        <f>IFERROR(__xludf.DUMMYFUNCTION("""COMPUTED_VALUE"""),0.0)</f>
        <v>0</v>
      </c>
      <c r="I162" s="461">
        <f>IFERROR(__xludf.DUMMYFUNCTION("""COMPUTED_VALUE"""),0.0)</f>
        <v>0</v>
      </c>
      <c r="J162" s="461">
        <f>IFERROR(__xludf.DUMMYFUNCTION("""COMPUTED_VALUE"""),0.0)</f>
        <v>0</v>
      </c>
      <c r="K162" s="461">
        <f>IFERROR(__xludf.DUMMYFUNCTION("""COMPUTED_VALUE"""),0.0)</f>
        <v>0</v>
      </c>
      <c r="L162" s="461">
        <f>IFERROR(__xludf.DUMMYFUNCTION("""COMPUTED_VALUE"""),0.0)</f>
        <v>0</v>
      </c>
      <c r="M162" s="461">
        <f>IFERROR(__xludf.DUMMYFUNCTION("""COMPUTED_VALUE"""),0.0)</f>
        <v>0</v>
      </c>
      <c r="N162" s="461">
        <f>IFERROR(__xludf.DUMMYFUNCTION("""COMPUTED_VALUE"""),0.0)</f>
        <v>0</v>
      </c>
      <c r="O162" s="461">
        <f>IFERROR(__xludf.DUMMYFUNCTION("""COMPUTED_VALUE"""),0.0)</f>
        <v>0</v>
      </c>
      <c r="P162" s="461">
        <f t="shared" si="17"/>
        <v>0</v>
      </c>
    </row>
    <row r="163" ht="14.25" customHeight="1">
      <c r="A163" s="503" t="s">
        <v>935</v>
      </c>
      <c r="B163" s="504"/>
      <c r="C163" s="514" t="s">
        <v>936</v>
      </c>
      <c r="D163" s="461">
        <f>IFERROR(__xludf.DUMMYFUNCTION("""COMPUTED_VALUE"""),0.0)</f>
        <v>0</v>
      </c>
      <c r="E163" s="461">
        <f>IFERROR(__xludf.DUMMYFUNCTION("""COMPUTED_VALUE"""),0.0)</f>
        <v>0</v>
      </c>
      <c r="F163" s="461">
        <f>IFERROR(__xludf.DUMMYFUNCTION("""COMPUTED_VALUE"""),0.0)</f>
        <v>0</v>
      </c>
      <c r="G163" s="461">
        <f>IFERROR(__xludf.DUMMYFUNCTION("""COMPUTED_VALUE"""),0.0)</f>
        <v>0</v>
      </c>
      <c r="H163" s="461">
        <f>IFERROR(__xludf.DUMMYFUNCTION("""COMPUTED_VALUE"""),0.0)</f>
        <v>0</v>
      </c>
      <c r="I163" s="461">
        <f>IFERROR(__xludf.DUMMYFUNCTION("""COMPUTED_VALUE"""),0.0)</f>
        <v>0</v>
      </c>
      <c r="J163" s="461">
        <f>IFERROR(__xludf.DUMMYFUNCTION("""COMPUTED_VALUE"""),0.0)</f>
        <v>0</v>
      </c>
      <c r="K163" s="461">
        <f>IFERROR(__xludf.DUMMYFUNCTION("""COMPUTED_VALUE"""),0.0)</f>
        <v>0</v>
      </c>
      <c r="L163" s="461">
        <f>IFERROR(__xludf.DUMMYFUNCTION("""COMPUTED_VALUE"""),0.0)</f>
        <v>0</v>
      </c>
      <c r="M163" s="461">
        <f>IFERROR(__xludf.DUMMYFUNCTION("""COMPUTED_VALUE"""),0.0)</f>
        <v>0</v>
      </c>
      <c r="N163" s="461">
        <f>IFERROR(__xludf.DUMMYFUNCTION("""COMPUTED_VALUE"""),0.0)</f>
        <v>0</v>
      </c>
      <c r="O163" s="461">
        <f>IFERROR(__xludf.DUMMYFUNCTION("""COMPUTED_VALUE"""),0.0)</f>
        <v>0</v>
      </c>
      <c r="P163" s="461">
        <f t="shared" si="17"/>
        <v>0</v>
      </c>
    </row>
    <row r="164" ht="14.25" customHeight="1">
      <c r="A164" s="503" t="s">
        <v>937</v>
      </c>
      <c r="B164" s="504"/>
      <c r="C164" s="514" t="s">
        <v>938</v>
      </c>
      <c r="D164" s="461">
        <f>IFERROR(__xludf.DUMMYFUNCTION("""COMPUTED_VALUE"""),675.0)</f>
        <v>675</v>
      </c>
      <c r="E164" s="461">
        <f>IFERROR(__xludf.DUMMYFUNCTION("""COMPUTED_VALUE"""),675.0)</f>
        <v>675</v>
      </c>
      <c r="F164" s="461">
        <f>IFERROR(__xludf.DUMMYFUNCTION("""COMPUTED_VALUE"""),675.0)</f>
        <v>675</v>
      </c>
      <c r="G164" s="461">
        <f>IFERROR(__xludf.DUMMYFUNCTION("""COMPUTED_VALUE"""),675.0)</f>
        <v>675</v>
      </c>
      <c r="H164" s="461">
        <f>IFERROR(__xludf.DUMMYFUNCTION("""COMPUTED_VALUE"""),675.0)</f>
        <v>675</v>
      </c>
      <c r="I164" s="461">
        <f>IFERROR(__xludf.DUMMYFUNCTION("""COMPUTED_VALUE"""),675.0)</f>
        <v>675</v>
      </c>
      <c r="J164" s="461">
        <f>IFERROR(__xludf.DUMMYFUNCTION("""COMPUTED_VALUE"""),0.0)</f>
        <v>0</v>
      </c>
      <c r="K164" s="461">
        <f>IFERROR(__xludf.DUMMYFUNCTION("""COMPUTED_VALUE"""),0.0)</f>
        <v>0</v>
      </c>
      <c r="L164" s="461">
        <f>IFERROR(__xludf.DUMMYFUNCTION("""COMPUTED_VALUE"""),0.0)</f>
        <v>0</v>
      </c>
      <c r="M164" s="461">
        <f>IFERROR(__xludf.DUMMYFUNCTION("""COMPUTED_VALUE"""),675.0)</f>
        <v>675</v>
      </c>
      <c r="N164" s="461">
        <f>IFERROR(__xludf.DUMMYFUNCTION("""COMPUTED_VALUE"""),675.0)</f>
        <v>675</v>
      </c>
      <c r="O164" s="461">
        <f>IFERROR(__xludf.DUMMYFUNCTION("""COMPUTED_VALUE"""),675.0)</f>
        <v>675</v>
      </c>
      <c r="P164" s="461">
        <f t="shared" si="17"/>
        <v>6075</v>
      </c>
    </row>
    <row r="165" ht="14.25" customHeight="1">
      <c r="A165" s="503" t="s">
        <v>939</v>
      </c>
      <c r="B165" s="504"/>
      <c r="C165" s="514" t="s">
        <v>940</v>
      </c>
      <c r="D165" s="461">
        <f>IFERROR(__xludf.DUMMYFUNCTION("""COMPUTED_VALUE"""),1000.0)</f>
        <v>1000</v>
      </c>
      <c r="E165" s="461">
        <f>IFERROR(__xludf.DUMMYFUNCTION("""COMPUTED_VALUE"""),750.0)</f>
        <v>750</v>
      </c>
      <c r="F165" s="461">
        <f>IFERROR(__xludf.DUMMYFUNCTION("""COMPUTED_VALUE"""),900.0)</f>
        <v>900</v>
      </c>
      <c r="G165" s="461">
        <f>IFERROR(__xludf.DUMMYFUNCTION("""COMPUTED_VALUE"""),1000.0)</f>
        <v>1000</v>
      </c>
      <c r="H165" s="461">
        <f>IFERROR(__xludf.DUMMYFUNCTION("""COMPUTED_VALUE"""),750.0)</f>
        <v>750</v>
      </c>
      <c r="I165" s="461">
        <f>IFERROR(__xludf.DUMMYFUNCTION("""COMPUTED_VALUE"""),900.0)</f>
        <v>900</v>
      </c>
      <c r="J165" s="461">
        <f>IFERROR(__xludf.DUMMYFUNCTION("""COMPUTED_VALUE"""),1000.0)</f>
        <v>1000</v>
      </c>
      <c r="K165" s="461">
        <f>IFERROR(__xludf.DUMMYFUNCTION("""COMPUTED_VALUE"""),750.0)</f>
        <v>750</v>
      </c>
      <c r="L165" s="461">
        <f>IFERROR(__xludf.DUMMYFUNCTION("""COMPUTED_VALUE"""),0.0)</f>
        <v>0</v>
      </c>
      <c r="M165" s="461">
        <f>IFERROR(__xludf.DUMMYFUNCTION("""COMPUTED_VALUE"""),1000.0)</f>
        <v>1000</v>
      </c>
      <c r="N165" s="461">
        <f>IFERROR(__xludf.DUMMYFUNCTION("""COMPUTED_VALUE"""),750.0)</f>
        <v>750</v>
      </c>
      <c r="O165" s="461">
        <f>IFERROR(__xludf.DUMMYFUNCTION("""COMPUTED_VALUE"""),900.0)</f>
        <v>900</v>
      </c>
      <c r="P165" s="461">
        <f t="shared" si="17"/>
        <v>9700</v>
      </c>
    </row>
    <row r="166" ht="14.25" customHeight="1">
      <c r="A166" s="503" t="s">
        <v>941</v>
      </c>
      <c r="B166" s="504"/>
      <c r="C166" s="514" t="s">
        <v>582</v>
      </c>
      <c r="D166" s="461">
        <f>IFERROR(__xludf.DUMMYFUNCTION("""COMPUTED_VALUE"""),0.0)</f>
        <v>0</v>
      </c>
      <c r="E166" s="461">
        <f>IFERROR(__xludf.DUMMYFUNCTION("""COMPUTED_VALUE"""),0.0)</f>
        <v>0</v>
      </c>
      <c r="F166" s="461">
        <f>IFERROR(__xludf.DUMMYFUNCTION("""COMPUTED_VALUE"""),0.0)</f>
        <v>0</v>
      </c>
      <c r="G166" s="461">
        <f>IFERROR(__xludf.DUMMYFUNCTION("""COMPUTED_VALUE"""),0.0)</f>
        <v>0</v>
      </c>
      <c r="H166" s="461">
        <f>IFERROR(__xludf.DUMMYFUNCTION("""COMPUTED_VALUE"""),0.0)</f>
        <v>0</v>
      </c>
      <c r="I166" s="461">
        <f>IFERROR(__xludf.DUMMYFUNCTION("""COMPUTED_VALUE"""),0.0)</f>
        <v>0</v>
      </c>
      <c r="J166" s="461">
        <f>IFERROR(__xludf.DUMMYFUNCTION("""COMPUTED_VALUE"""),0.0)</f>
        <v>0</v>
      </c>
      <c r="K166" s="461">
        <f>IFERROR(__xludf.DUMMYFUNCTION("""COMPUTED_VALUE"""),0.0)</f>
        <v>0</v>
      </c>
      <c r="L166" s="461">
        <f>IFERROR(__xludf.DUMMYFUNCTION("""COMPUTED_VALUE"""),0.0)</f>
        <v>0</v>
      </c>
      <c r="M166" s="461">
        <f>IFERROR(__xludf.DUMMYFUNCTION("""COMPUTED_VALUE"""),0.0)</f>
        <v>0</v>
      </c>
      <c r="N166" s="461">
        <f>IFERROR(__xludf.DUMMYFUNCTION("""COMPUTED_VALUE"""),0.0)</f>
        <v>0</v>
      </c>
      <c r="O166" s="461">
        <f>IFERROR(__xludf.DUMMYFUNCTION("""COMPUTED_VALUE"""),0.0)</f>
        <v>0</v>
      </c>
      <c r="P166" s="461">
        <f t="shared" si="17"/>
        <v>0</v>
      </c>
    </row>
    <row r="167" ht="14.25" customHeight="1">
      <c r="A167" s="500"/>
      <c r="B167" s="505"/>
      <c r="C167" s="514" t="s">
        <v>1118</v>
      </c>
      <c r="D167" s="461">
        <f>IFERROR(__xludf.DUMMYFUNCTION("""COMPUTED_VALUE"""),0.0)</f>
        <v>0</v>
      </c>
      <c r="E167" s="461">
        <f>IFERROR(__xludf.DUMMYFUNCTION("""COMPUTED_VALUE"""),0.0)</f>
        <v>0</v>
      </c>
      <c r="F167" s="461">
        <f>IFERROR(__xludf.DUMMYFUNCTION("""COMPUTED_VALUE"""),0.0)</f>
        <v>0</v>
      </c>
      <c r="G167" s="461">
        <f>IFERROR(__xludf.DUMMYFUNCTION("""COMPUTED_VALUE"""),0.0)</f>
        <v>0</v>
      </c>
      <c r="H167" s="461">
        <f>IFERROR(__xludf.DUMMYFUNCTION("""COMPUTED_VALUE"""),0.0)</f>
        <v>0</v>
      </c>
      <c r="I167" s="461">
        <f>IFERROR(__xludf.DUMMYFUNCTION("""COMPUTED_VALUE"""),0.0)</f>
        <v>0</v>
      </c>
      <c r="J167" s="461">
        <f>IFERROR(__xludf.DUMMYFUNCTION("""COMPUTED_VALUE"""),0.0)</f>
        <v>0</v>
      </c>
      <c r="K167" s="461">
        <f>IFERROR(__xludf.DUMMYFUNCTION("""COMPUTED_VALUE"""),0.0)</f>
        <v>0</v>
      </c>
      <c r="L167" s="461">
        <f>IFERROR(__xludf.DUMMYFUNCTION("""COMPUTED_VALUE"""),0.0)</f>
        <v>0</v>
      </c>
      <c r="M167" s="461">
        <f>IFERROR(__xludf.DUMMYFUNCTION("""COMPUTED_VALUE"""),0.0)</f>
        <v>0</v>
      </c>
      <c r="N167" s="461">
        <f>IFERROR(__xludf.DUMMYFUNCTION("""COMPUTED_VALUE"""),0.0)</f>
        <v>0</v>
      </c>
      <c r="O167" s="461">
        <f>IFERROR(__xludf.DUMMYFUNCTION("""COMPUTED_VALUE"""),0.0)</f>
        <v>0</v>
      </c>
      <c r="P167" s="461">
        <f t="shared" si="17"/>
        <v>0</v>
      </c>
    </row>
    <row r="168" ht="14.25" customHeight="1">
      <c r="A168" s="500"/>
      <c r="B168" s="505"/>
      <c r="C168" s="514" t="s">
        <v>1119</v>
      </c>
      <c r="D168" s="461">
        <f>IFERROR(__xludf.DUMMYFUNCTION("""COMPUTED_VALUE"""),0.0)</f>
        <v>0</v>
      </c>
      <c r="E168" s="461">
        <f>IFERROR(__xludf.DUMMYFUNCTION("""COMPUTED_VALUE"""),0.0)</f>
        <v>0</v>
      </c>
      <c r="F168" s="461">
        <f>IFERROR(__xludf.DUMMYFUNCTION("""COMPUTED_VALUE"""),0.0)</f>
        <v>0</v>
      </c>
      <c r="G168" s="461">
        <f>IFERROR(__xludf.DUMMYFUNCTION("""COMPUTED_VALUE"""),0.0)</f>
        <v>0</v>
      </c>
      <c r="H168" s="461">
        <f>IFERROR(__xludf.DUMMYFUNCTION("""COMPUTED_VALUE"""),0.0)</f>
        <v>0</v>
      </c>
      <c r="I168" s="461">
        <f>IFERROR(__xludf.DUMMYFUNCTION("""COMPUTED_VALUE"""),0.0)</f>
        <v>0</v>
      </c>
      <c r="J168" s="461">
        <f>IFERROR(__xludf.DUMMYFUNCTION("""COMPUTED_VALUE"""),0.0)</f>
        <v>0</v>
      </c>
      <c r="K168" s="461">
        <f>IFERROR(__xludf.DUMMYFUNCTION("""COMPUTED_VALUE"""),0.0)</f>
        <v>0</v>
      </c>
      <c r="L168" s="461">
        <f>IFERROR(__xludf.DUMMYFUNCTION("""COMPUTED_VALUE"""),0.0)</f>
        <v>0</v>
      </c>
      <c r="M168" s="461">
        <f>IFERROR(__xludf.DUMMYFUNCTION("""COMPUTED_VALUE"""),0.0)</f>
        <v>0</v>
      </c>
      <c r="N168" s="461">
        <f>IFERROR(__xludf.DUMMYFUNCTION("""COMPUTED_VALUE"""),0.0)</f>
        <v>0</v>
      </c>
      <c r="O168" s="461">
        <f>IFERROR(__xludf.DUMMYFUNCTION("""COMPUTED_VALUE"""),0.0)</f>
        <v>0</v>
      </c>
      <c r="P168" s="461">
        <f t="shared" si="17"/>
        <v>0</v>
      </c>
    </row>
    <row r="169" ht="14.25" customHeight="1">
      <c r="A169" s="517" t="s">
        <v>942</v>
      </c>
      <c r="B169" s="505"/>
      <c r="C169" s="514" t="s">
        <v>943</v>
      </c>
      <c r="D169" s="461">
        <f>IFERROR(__xludf.DUMMYFUNCTION("""COMPUTED_VALUE"""),2500.0)</f>
        <v>2500</v>
      </c>
      <c r="E169" s="461">
        <f>IFERROR(__xludf.DUMMYFUNCTION("""COMPUTED_VALUE"""),500.0)</f>
        <v>500</v>
      </c>
      <c r="F169" s="461">
        <f>IFERROR(__xludf.DUMMYFUNCTION("""COMPUTED_VALUE"""),500.0)</f>
        <v>500</v>
      </c>
      <c r="G169" s="461">
        <f>IFERROR(__xludf.DUMMYFUNCTION("""COMPUTED_VALUE"""),2500.0)</f>
        <v>2500</v>
      </c>
      <c r="H169" s="461">
        <f>IFERROR(__xludf.DUMMYFUNCTION("""COMPUTED_VALUE"""),500.0)</f>
        <v>500</v>
      </c>
      <c r="I169" s="461">
        <f>IFERROR(__xludf.DUMMYFUNCTION("""COMPUTED_VALUE"""),500.0)</f>
        <v>500</v>
      </c>
      <c r="J169" s="461">
        <f>IFERROR(__xludf.DUMMYFUNCTION("""COMPUTED_VALUE"""),2500.0)</f>
        <v>2500</v>
      </c>
      <c r="K169" s="461">
        <f>IFERROR(__xludf.DUMMYFUNCTION("""COMPUTED_VALUE"""),500.0)</f>
        <v>500</v>
      </c>
      <c r="L169" s="461">
        <f>IFERROR(__xludf.DUMMYFUNCTION("""COMPUTED_VALUE"""),500.0)</f>
        <v>500</v>
      </c>
      <c r="M169" s="461">
        <f>IFERROR(__xludf.DUMMYFUNCTION("""COMPUTED_VALUE"""),2500.0)</f>
        <v>2500</v>
      </c>
      <c r="N169" s="461">
        <f>IFERROR(__xludf.DUMMYFUNCTION("""COMPUTED_VALUE"""),500.0)</f>
        <v>500</v>
      </c>
      <c r="O169" s="461">
        <f>IFERROR(__xludf.DUMMYFUNCTION("""COMPUTED_VALUE"""),500.0)</f>
        <v>500</v>
      </c>
      <c r="P169" s="461">
        <f t="shared" si="17"/>
        <v>14000</v>
      </c>
    </row>
    <row r="170" ht="14.25" customHeight="1">
      <c r="A170" s="500"/>
      <c r="B170" s="505"/>
      <c r="C170" s="514"/>
      <c r="D170" s="462"/>
      <c r="E170" s="462"/>
      <c r="F170" s="462"/>
      <c r="G170" s="462"/>
      <c r="H170" s="462"/>
      <c r="I170" s="462"/>
      <c r="J170" s="462"/>
      <c r="K170" s="462"/>
      <c r="L170" s="462"/>
      <c r="M170" s="462"/>
      <c r="N170" s="462"/>
      <c r="O170" s="462"/>
      <c r="P170" s="461">
        <f t="shared" si="17"/>
        <v>0</v>
      </c>
    </row>
    <row r="171" ht="14.25" customHeight="1">
      <c r="A171" s="518" t="s">
        <v>944</v>
      </c>
      <c r="B171" s="519"/>
      <c r="C171" s="520"/>
      <c r="D171" s="521">
        <f>IFERROR(__xludf.DUMMYFUNCTION("""COMPUTED_VALUE"""),20925.0)</f>
        <v>20925</v>
      </c>
      <c r="E171" s="521">
        <f>IFERROR(__xludf.DUMMYFUNCTION("""COMPUTED_VALUE"""),18675.0)</f>
        <v>18675</v>
      </c>
      <c r="F171" s="521">
        <f>IFERROR(__xludf.DUMMYFUNCTION("""COMPUTED_VALUE"""),18825.0)</f>
        <v>18825</v>
      </c>
      <c r="G171" s="521">
        <f>IFERROR(__xludf.DUMMYFUNCTION("""COMPUTED_VALUE"""),20925.0)</f>
        <v>20925</v>
      </c>
      <c r="H171" s="521">
        <f>IFERROR(__xludf.DUMMYFUNCTION("""COMPUTED_VALUE"""),18675.0)</f>
        <v>18675</v>
      </c>
      <c r="I171" s="521">
        <f>IFERROR(__xludf.DUMMYFUNCTION("""COMPUTED_VALUE"""),18825.0)</f>
        <v>18825</v>
      </c>
      <c r="J171" s="521">
        <f>IFERROR(__xludf.DUMMYFUNCTION("""COMPUTED_VALUE"""),20250.0)</f>
        <v>20250</v>
      </c>
      <c r="K171" s="521">
        <f>IFERROR(__xludf.DUMMYFUNCTION("""COMPUTED_VALUE"""),18000.0)</f>
        <v>18000</v>
      </c>
      <c r="L171" s="521">
        <f>IFERROR(__xludf.DUMMYFUNCTION("""COMPUTED_VALUE"""),17250.0)</f>
        <v>17250</v>
      </c>
      <c r="M171" s="521">
        <f>IFERROR(__xludf.DUMMYFUNCTION("""COMPUTED_VALUE"""),20925.0)</f>
        <v>20925</v>
      </c>
      <c r="N171" s="521">
        <f>IFERROR(__xludf.DUMMYFUNCTION("""COMPUTED_VALUE"""),18675.0)</f>
        <v>18675</v>
      </c>
      <c r="O171" s="521">
        <f>IFERROR(__xludf.DUMMYFUNCTION("""COMPUTED_VALUE"""),18825.0)</f>
        <v>18825</v>
      </c>
      <c r="P171" s="521">
        <f>sum(P151:P170)</f>
        <v>230775</v>
      </c>
    </row>
  </sheetData>
  <mergeCells count="3">
    <mergeCell ref="A149:C149"/>
    <mergeCell ref="A150:C150"/>
    <mergeCell ref="A171:C171"/>
  </mergeCells>
  <printOptions/>
  <pageMargins bottom="0.2" footer="0.0" header="0.0" left="0.8" right="0.5" top="0.1"/>
  <pageSetup paperSize="9" orientation="landscape"/>
  <rowBreaks count="4" manualBreakCount="4">
    <brk id="33" man="1"/>
    <brk id="147" man="1"/>
    <brk id="72" man="1"/>
    <brk id="107" man="1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6.29"/>
    <col customWidth="1" min="2" max="2" width="6.29"/>
    <col customWidth="1" min="3" max="3" width="66.29"/>
    <col customWidth="1" min="4" max="4" width="11.14"/>
    <col customWidth="1" min="5" max="5" width="16.29"/>
    <col customWidth="1" min="6" max="6" width="13.43"/>
    <col customWidth="1" min="7" max="16" width="17.0"/>
  </cols>
  <sheetData>
    <row r="1" ht="14.25" customHeight="1">
      <c r="A1" s="450" t="s">
        <v>1012</v>
      </c>
      <c r="B1" s="451"/>
      <c r="C1" s="452" t="s">
        <v>405</v>
      </c>
      <c r="D1" s="453" t="s">
        <v>1036</v>
      </c>
      <c r="E1" s="453" t="s">
        <v>1037</v>
      </c>
      <c r="F1" s="453" t="s">
        <v>1038</v>
      </c>
      <c r="G1" s="453" t="s">
        <v>1039</v>
      </c>
      <c r="H1" s="453" t="s">
        <v>1010</v>
      </c>
      <c r="I1" s="453" t="s">
        <v>1040</v>
      </c>
      <c r="J1" s="453" t="s">
        <v>1041</v>
      </c>
      <c r="K1" s="453" t="s">
        <v>1042</v>
      </c>
      <c r="L1" s="453" t="s">
        <v>1043</v>
      </c>
      <c r="M1" s="453" t="s">
        <v>1044</v>
      </c>
      <c r="N1" s="453" t="s">
        <v>1045</v>
      </c>
      <c r="O1" s="453" t="s">
        <v>1046</v>
      </c>
      <c r="P1" s="453" t="s">
        <v>1047</v>
      </c>
    </row>
    <row r="2" ht="14.25" customHeight="1">
      <c r="A2" s="454"/>
      <c r="B2" s="455"/>
      <c r="C2" s="456" t="s">
        <v>1014</v>
      </c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</row>
    <row r="3" ht="14.25" customHeight="1">
      <c r="A3" s="458"/>
      <c r="B3" s="459"/>
      <c r="C3" s="460" t="s">
        <v>1015</v>
      </c>
      <c r="D3" s="522">
        <f>IFERROR(__xludf.DUMMYFUNCTION("IMPORTRANGE(Link!B13,""5E13-KR!D13:o181"")"),1775.6999999999998)</f>
        <v>1775.7</v>
      </c>
      <c r="E3" s="461">
        <f>IFERROR(__xludf.DUMMYFUNCTION("""COMPUTED_VALUE"""),1775.6999999999998)</f>
        <v>1775.7</v>
      </c>
      <c r="F3" s="461">
        <f>IFERROR(__xludf.DUMMYFUNCTION("""COMPUTED_VALUE"""),1775.6999999999998)</f>
        <v>1775.7</v>
      </c>
      <c r="G3" s="461">
        <f>IFERROR(__xludf.DUMMYFUNCTION("""COMPUTED_VALUE"""),1775.6999999999998)</f>
        <v>1775.7</v>
      </c>
      <c r="H3" s="461">
        <f>IFERROR(__xludf.DUMMYFUNCTION("""COMPUTED_VALUE"""),1775.6999999999998)</f>
        <v>1775.7</v>
      </c>
      <c r="I3" s="461">
        <f>IFERROR(__xludf.DUMMYFUNCTION("""COMPUTED_VALUE"""),1775.6999999999998)</f>
        <v>1775.7</v>
      </c>
      <c r="J3" s="461">
        <f>IFERROR(__xludf.DUMMYFUNCTION("""COMPUTED_VALUE"""),1775.6999999999998)</f>
        <v>1775.7</v>
      </c>
      <c r="K3" s="461">
        <f>IFERROR(__xludf.DUMMYFUNCTION("""COMPUTED_VALUE"""),1775.6999999999998)</f>
        <v>1775.7</v>
      </c>
      <c r="L3" s="461">
        <f>IFERROR(__xludf.DUMMYFUNCTION("""COMPUTED_VALUE"""),1775.6999999999998)</f>
        <v>1775.7</v>
      </c>
      <c r="M3" s="461">
        <f>IFERROR(__xludf.DUMMYFUNCTION("""COMPUTED_VALUE"""),1775.6999999999998)</f>
        <v>1775.7</v>
      </c>
      <c r="N3" s="461">
        <f>IFERROR(__xludf.DUMMYFUNCTION("""COMPUTED_VALUE"""),1775.6999999999998)</f>
        <v>1775.7</v>
      </c>
      <c r="O3" s="461">
        <f>IFERROR(__xludf.DUMMYFUNCTION("""COMPUTED_VALUE"""),1775.6999999999998)</f>
        <v>1775.7</v>
      </c>
      <c r="P3" s="461">
        <f>O3</f>
        <v>1775.7</v>
      </c>
    </row>
    <row r="4" ht="14.25" customHeight="1">
      <c r="A4" s="458"/>
      <c r="B4" s="459"/>
      <c r="C4" s="460" t="s">
        <v>1016</v>
      </c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</row>
    <row r="5" ht="14.25" customHeight="1">
      <c r="A5" s="463" t="s">
        <v>1017</v>
      </c>
      <c r="B5" s="464"/>
      <c r="C5" s="465"/>
      <c r="D5" s="466">
        <f>IFERROR(__xludf.DUMMYFUNCTION("""COMPUTED_VALUE"""),1775.6999999999998)</f>
        <v>1775.7</v>
      </c>
      <c r="E5" s="466">
        <f>IFERROR(__xludf.DUMMYFUNCTION("""COMPUTED_VALUE"""),1775.6999999999998)</f>
        <v>1775.7</v>
      </c>
      <c r="F5" s="466">
        <f>IFERROR(__xludf.DUMMYFUNCTION("""COMPUTED_VALUE"""),1775.6999999999998)</f>
        <v>1775.7</v>
      </c>
      <c r="G5" s="466">
        <f>IFERROR(__xludf.DUMMYFUNCTION("""COMPUTED_VALUE"""),1775.6999999999998)</f>
        <v>1775.7</v>
      </c>
      <c r="H5" s="466">
        <f>IFERROR(__xludf.DUMMYFUNCTION("""COMPUTED_VALUE"""),1775.6999999999998)</f>
        <v>1775.7</v>
      </c>
      <c r="I5" s="466">
        <f>IFERROR(__xludf.DUMMYFUNCTION("""COMPUTED_VALUE"""),1775.6999999999998)</f>
        <v>1775.7</v>
      </c>
      <c r="J5" s="466">
        <f>IFERROR(__xludf.DUMMYFUNCTION("""COMPUTED_VALUE"""),1775.6999999999998)</f>
        <v>1775.7</v>
      </c>
      <c r="K5" s="466">
        <f>IFERROR(__xludf.DUMMYFUNCTION("""COMPUTED_VALUE"""),1775.6999999999998)</f>
        <v>1775.7</v>
      </c>
      <c r="L5" s="466">
        <f>IFERROR(__xludf.DUMMYFUNCTION("""COMPUTED_VALUE"""),1775.6999999999998)</f>
        <v>1775.7</v>
      </c>
      <c r="M5" s="466">
        <f>IFERROR(__xludf.DUMMYFUNCTION("""COMPUTED_VALUE"""),1775.6999999999998)</f>
        <v>1775.7</v>
      </c>
      <c r="N5" s="466">
        <f>IFERROR(__xludf.DUMMYFUNCTION("""COMPUTED_VALUE"""),1775.6999999999998)</f>
        <v>1775.7</v>
      </c>
      <c r="O5" s="466">
        <f>IFERROR(__xludf.DUMMYFUNCTION("""COMPUTED_VALUE"""),1775.6999999999998)</f>
        <v>1775.7</v>
      </c>
      <c r="P5" s="466">
        <f>sum(P2:P4)</f>
        <v>1775.7</v>
      </c>
    </row>
    <row r="6" ht="14.25" customHeight="1">
      <c r="A6" s="467"/>
      <c r="B6" s="459"/>
      <c r="C6" s="468" t="s">
        <v>737</v>
      </c>
      <c r="D6" s="462"/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</row>
    <row r="7" ht="14.25" customHeight="1">
      <c r="A7" s="469" t="s">
        <v>22</v>
      </c>
      <c r="B7" s="459" t="s">
        <v>945</v>
      </c>
      <c r="C7" s="459" t="s">
        <v>738</v>
      </c>
      <c r="D7" s="461">
        <f>IFERROR(__xludf.DUMMYFUNCTION("""COMPUTED_VALUE"""),69791.55107613333)</f>
        <v>69791.55108</v>
      </c>
      <c r="E7" s="461">
        <f>IFERROR(__xludf.DUMMYFUNCTION("""COMPUTED_VALUE"""),60471.551076133335)</f>
        <v>60471.55108</v>
      </c>
      <c r="F7" s="461">
        <f>IFERROR(__xludf.DUMMYFUNCTION("""COMPUTED_VALUE"""),66112.35107613333)</f>
        <v>66112.35108</v>
      </c>
      <c r="G7" s="461">
        <f>IFERROR(__xludf.DUMMYFUNCTION("""COMPUTED_VALUE"""),70465.50757613333)</f>
        <v>70465.50758</v>
      </c>
      <c r="H7" s="461">
        <f>IFERROR(__xludf.DUMMYFUNCTION("""COMPUTED_VALUE"""),65272.35107613334)</f>
        <v>65272.35108</v>
      </c>
      <c r="I7" s="461">
        <f>IFERROR(__xludf.DUMMYFUNCTION("""COMPUTED_VALUE"""),65955.55107613334)</f>
        <v>65955.55108</v>
      </c>
      <c r="J7" s="461">
        <f>IFERROR(__xludf.DUMMYFUNCTION("""COMPUTED_VALUE"""),57636.35107613334)</f>
        <v>57636.35108</v>
      </c>
      <c r="K7" s="461">
        <f>IFERROR(__xludf.DUMMYFUNCTION("""COMPUTED_VALUE"""),60311.95107613334)</f>
        <v>60311.95108</v>
      </c>
      <c r="L7" s="461">
        <f>IFERROR(__xludf.DUMMYFUNCTION("""COMPUTED_VALUE"""),66820.42757613334)</f>
        <v>66820.42758</v>
      </c>
      <c r="M7" s="461">
        <f>IFERROR(__xludf.DUMMYFUNCTION("""COMPUTED_VALUE"""),57693.95107613334)</f>
        <v>57693.95108</v>
      </c>
      <c r="N7" s="461">
        <f>IFERROR(__xludf.DUMMYFUNCTION("""COMPUTED_VALUE"""),59897.95107613334)</f>
        <v>59897.95108</v>
      </c>
      <c r="O7" s="461">
        <f>IFERROR(__xludf.DUMMYFUNCTION("""COMPUTED_VALUE"""),60553.95107613334)</f>
        <v>60553.95108</v>
      </c>
      <c r="P7" s="461">
        <f t="shared" ref="P7:P10" si="1">sum(D7:O7)</f>
        <v>760983.4459</v>
      </c>
    </row>
    <row r="8" ht="14.25" customHeight="1">
      <c r="A8" s="469" t="s">
        <v>22</v>
      </c>
      <c r="B8" s="459"/>
      <c r="C8" s="459" t="s">
        <v>740</v>
      </c>
      <c r="D8" s="461">
        <f>IFERROR(__xludf.DUMMYFUNCTION("""COMPUTED_VALUE"""),0.0)</f>
        <v>0</v>
      </c>
      <c r="E8" s="461">
        <f>IFERROR(__xludf.DUMMYFUNCTION("""COMPUTED_VALUE"""),0.0)</f>
        <v>0</v>
      </c>
      <c r="F8" s="461">
        <f>IFERROR(__xludf.DUMMYFUNCTION("""COMPUTED_VALUE"""),0.0)</f>
        <v>0</v>
      </c>
      <c r="G8" s="461">
        <f>IFERROR(__xludf.DUMMYFUNCTION("""COMPUTED_VALUE"""),0.0)</f>
        <v>0</v>
      </c>
      <c r="H8" s="461">
        <f>IFERROR(__xludf.DUMMYFUNCTION("""COMPUTED_VALUE"""),0.0)</f>
        <v>0</v>
      </c>
      <c r="I8" s="461">
        <f>IFERROR(__xludf.DUMMYFUNCTION("""COMPUTED_VALUE"""),0.0)</f>
        <v>0</v>
      </c>
      <c r="J8" s="461">
        <f>IFERROR(__xludf.DUMMYFUNCTION("""COMPUTED_VALUE"""),0.0)</f>
        <v>0</v>
      </c>
      <c r="K8" s="461">
        <f>IFERROR(__xludf.DUMMYFUNCTION("""COMPUTED_VALUE"""),0.0)</f>
        <v>0</v>
      </c>
      <c r="L8" s="461">
        <f>IFERROR(__xludf.DUMMYFUNCTION("""COMPUTED_VALUE"""),0.0)</f>
        <v>0</v>
      </c>
      <c r="M8" s="461">
        <f>IFERROR(__xludf.DUMMYFUNCTION("""COMPUTED_VALUE"""),0.0)</f>
        <v>0</v>
      </c>
      <c r="N8" s="461">
        <f>IFERROR(__xludf.DUMMYFUNCTION("""COMPUTED_VALUE"""),0.0)</f>
        <v>0</v>
      </c>
      <c r="O8" s="461">
        <f>IFERROR(__xludf.DUMMYFUNCTION("""COMPUTED_VALUE"""),0.0)</f>
        <v>0</v>
      </c>
      <c r="P8" s="461">
        <f t="shared" si="1"/>
        <v>0</v>
      </c>
    </row>
    <row r="9" ht="14.25" customHeight="1">
      <c r="A9" s="467"/>
      <c r="B9" s="459"/>
      <c r="C9" s="459" t="s">
        <v>741</v>
      </c>
      <c r="D9" s="461">
        <f>IFERROR(__xludf.DUMMYFUNCTION("""COMPUTED_VALUE"""),0.0)</f>
        <v>0</v>
      </c>
      <c r="E9" s="461">
        <f>IFERROR(__xludf.DUMMYFUNCTION("""COMPUTED_VALUE"""),0.0)</f>
        <v>0</v>
      </c>
      <c r="F9" s="461">
        <f>IFERROR(__xludf.DUMMYFUNCTION("""COMPUTED_VALUE"""),0.0)</f>
        <v>0</v>
      </c>
      <c r="G9" s="461">
        <f>IFERROR(__xludf.DUMMYFUNCTION("""COMPUTED_VALUE"""),0.0)</f>
        <v>0</v>
      </c>
      <c r="H9" s="461">
        <f>IFERROR(__xludf.DUMMYFUNCTION("""COMPUTED_VALUE"""),0.0)</f>
        <v>0</v>
      </c>
      <c r="I9" s="461">
        <f>IFERROR(__xludf.DUMMYFUNCTION("""COMPUTED_VALUE"""),0.0)</f>
        <v>0</v>
      </c>
      <c r="J9" s="461">
        <f>IFERROR(__xludf.DUMMYFUNCTION("""COMPUTED_VALUE"""),0.0)</f>
        <v>0</v>
      </c>
      <c r="K9" s="461">
        <f>IFERROR(__xludf.DUMMYFUNCTION("""COMPUTED_VALUE"""),0.0)</f>
        <v>0</v>
      </c>
      <c r="L9" s="461">
        <f>IFERROR(__xludf.DUMMYFUNCTION("""COMPUTED_VALUE"""),0.0)</f>
        <v>0</v>
      </c>
      <c r="M9" s="461">
        <f>IFERROR(__xludf.DUMMYFUNCTION("""COMPUTED_VALUE"""),0.0)</f>
        <v>0</v>
      </c>
      <c r="N9" s="461">
        <f>IFERROR(__xludf.DUMMYFUNCTION("""COMPUTED_VALUE"""),0.0)</f>
        <v>0</v>
      </c>
      <c r="O9" s="461">
        <f>IFERROR(__xludf.DUMMYFUNCTION("""COMPUTED_VALUE"""),0.0)</f>
        <v>0</v>
      </c>
      <c r="P9" s="461">
        <f t="shared" si="1"/>
        <v>0</v>
      </c>
    </row>
    <row r="10" ht="14.25" customHeight="1">
      <c r="A10" s="467"/>
      <c r="B10" s="459"/>
      <c r="C10" s="459" t="s">
        <v>742</v>
      </c>
      <c r="D10" s="461">
        <f>IFERROR(__xludf.DUMMYFUNCTION("""COMPUTED_VALUE"""),0.0)</f>
        <v>0</v>
      </c>
      <c r="E10" s="461">
        <f>IFERROR(__xludf.DUMMYFUNCTION("""COMPUTED_VALUE"""),0.0)</f>
        <v>0</v>
      </c>
      <c r="F10" s="461">
        <f>IFERROR(__xludf.DUMMYFUNCTION("""COMPUTED_VALUE"""),0.0)</f>
        <v>0</v>
      </c>
      <c r="G10" s="461">
        <f>IFERROR(__xludf.DUMMYFUNCTION("""COMPUTED_VALUE"""),0.0)</f>
        <v>0</v>
      </c>
      <c r="H10" s="461">
        <f>IFERROR(__xludf.DUMMYFUNCTION("""COMPUTED_VALUE"""),0.0)</f>
        <v>0</v>
      </c>
      <c r="I10" s="461">
        <f>IFERROR(__xludf.DUMMYFUNCTION("""COMPUTED_VALUE"""),0.0)</f>
        <v>0</v>
      </c>
      <c r="J10" s="461">
        <f>IFERROR(__xludf.DUMMYFUNCTION("""COMPUTED_VALUE"""),0.0)</f>
        <v>0</v>
      </c>
      <c r="K10" s="461">
        <f>IFERROR(__xludf.DUMMYFUNCTION("""COMPUTED_VALUE"""),0.0)</f>
        <v>0</v>
      </c>
      <c r="L10" s="461">
        <f>IFERROR(__xludf.DUMMYFUNCTION("""COMPUTED_VALUE"""),0.0)</f>
        <v>0</v>
      </c>
      <c r="M10" s="461">
        <f>IFERROR(__xludf.DUMMYFUNCTION("""COMPUTED_VALUE"""),0.0)</f>
        <v>0</v>
      </c>
      <c r="N10" s="461">
        <f>IFERROR(__xludf.DUMMYFUNCTION("""COMPUTED_VALUE"""),0.0)</f>
        <v>0</v>
      </c>
      <c r="O10" s="461">
        <f>IFERROR(__xludf.DUMMYFUNCTION("""COMPUTED_VALUE"""),0.0)</f>
        <v>0</v>
      </c>
      <c r="P10" s="461">
        <f t="shared" si="1"/>
        <v>0</v>
      </c>
    </row>
    <row r="11" ht="14.25" customHeight="1">
      <c r="A11" s="463" t="s">
        <v>743</v>
      </c>
      <c r="B11" s="470"/>
      <c r="C11" s="465"/>
      <c r="D11" s="466">
        <f>IFERROR(__xludf.DUMMYFUNCTION("""COMPUTED_VALUE"""),69791.55107613333)</f>
        <v>69791.55108</v>
      </c>
      <c r="E11" s="466">
        <f>IFERROR(__xludf.DUMMYFUNCTION("""COMPUTED_VALUE"""),60471.551076133335)</f>
        <v>60471.55108</v>
      </c>
      <c r="F11" s="466">
        <f>IFERROR(__xludf.DUMMYFUNCTION("""COMPUTED_VALUE"""),66112.35107613333)</f>
        <v>66112.35108</v>
      </c>
      <c r="G11" s="466">
        <f>IFERROR(__xludf.DUMMYFUNCTION("""COMPUTED_VALUE"""),70465.50757613333)</f>
        <v>70465.50758</v>
      </c>
      <c r="H11" s="466">
        <f>IFERROR(__xludf.DUMMYFUNCTION("""COMPUTED_VALUE"""),65272.35107613334)</f>
        <v>65272.35108</v>
      </c>
      <c r="I11" s="466">
        <f>IFERROR(__xludf.DUMMYFUNCTION("""COMPUTED_VALUE"""),65955.55107613334)</f>
        <v>65955.55108</v>
      </c>
      <c r="J11" s="466">
        <f>IFERROR(__xludf.DUMMYFUNCTION("""COMPUTED_VALUE"""),57636.35107613334)</f>
        <v>57636.35108</v>
      </c>
      <c r="K11" s="466">
        <f>IFERROR(__xludf.DUMMYFUNCTION("""COMPUTED_VALUE"""),60311.95107613334)</f>
        <v>60311.95108</v>
      </c>
      <c r="L11" s="466">
        <f>IFERROR(__xludf.DUMMYFUNCTION("""COMPUTED_VALUE"""),66820.42757613334)</f>
        <v>66820.42758</v>
      </c>
      <c r="M11" s="466">
        <f>IFERROR(__xludf.DUMMYFUNCTION("""COMPUTED_VALUE"""),57693.95107613334)</f>
        <v>57693.95108</v>
      </c>
      <c r="N11" s="466">
        <f>IFERROR(__xludf.DUMMYFUNCTION("""COMPUTED_VALUE"""),59897.95107613334)</f>
        <v>59897.95108</v>
      </c>
      <c r="O11" s="466">
        <f>IFERROR(__xludf.DUMMYFUNCTION("""COMPUTED_VALUE"""),60553.95107613334)</f>
        <v>60553.95108</v>
      </c>
      <c r="P11" s="466">
        <f>sum(P6:P10)</f>
        <v>760983.4459</v>
      </c>
    </row>
    <row r="12" ht="14.25" customHeight="1">
      <c r="A12" s="471" t="s">
        <v>744</v>
      </c>
      <c r="B12" s="455"/>
      <c r="C12" s="472" t="s">
        <v>1048</v>
      </c>
      <c r="D12" s="461">
        <f>IFERROR(__xludf.DUMMYFUNCTION("""COMPUTED_VALUE"""),0.0)</f>
        <v>0</v>
      </c>
      <c r="E12" s="461">
        <f>IFERROR(__xludf.DUMMYFUNCTION("""COMPUTED_VALUE"""),0.0)</f>
        <v>0</v>
      </c>
      <c r="F12" s="461">
        <f>IFERROR(__xludf.DUMMYFUNCTION("""COMPUTED_VALUE"""),0.0)</f>
        <v>0</v>
      </c>
      <c r="G12" s="461">
        <f>IFERROR(__xludf.DUMMYFUNCTION("""COMPUTED_VALUE"""),0.0)</f>
        <v>0</v>
      </c>
      <c r="H12" s="461">
        <f>IFERROR(__xludf.DUMMYFUNCTION("""COMPUTED_VALUE"""),0.0)</f>
        <v>0</v>
      </c>
      <c r="I12" s="461">
        <f>IFERROR(__xludf.DUMMYFUNCTION("""COMPUTED_VALUE"""),0.0)</f>
        <v>0</v>
      </c>
      <c r="J12" s="461">
        <f>IFERROR(__xludf.DUMMYFUNCTION("""COMPUTED_VALUE"""),0.0)</f>
        <v>0</v>
      </c>
      <c r="K12" s="461">
        <f>IFERROR(__xludf.DUMMYFUNCTION("""COMPUTED_VALUE"""),0.0)</f>
        <v>0</v>
      </c>
      <c r="L12" s="461">
        <f>IFERROR(__xludf.DUMMYFUNCTION("""COMPUTED_VALUE"""),0.0)</f>
        <v>0</v>
      </c>
      <c r="M12" s="461">
        <f>IFERROR(__xludf.DUMMYFUNCTION("""COMPUTED_VALUE"""),0.0)</f>
        <v>0</v>
      </c>
      <c r="N12" s="461">
        <f>IFERROR(__xludf.DUMMYFUNCTION("""COMPUTED_VALUE"""),0.0)</f>
        <v>0</v>
      </c>
      <c r="O12" s="461">
        <f>IFERROR(__xludf.DUMMYFUNCTION("""COMPUTED_VALUE"""),0.0)</f>
        <v>0</v>
      </c>
      <c r="P12" s="461">
        <f t="shared" ref="P12:P26" si="2">sum(D12:O12)</f>
        <v>0</v>
      </c>
    </row>
    <row r="13" ht="14.25" customHeight="1">
      <c r="A13" s="473" t="s">
        <v>746</v>
      </c>
      <c r="B13" s="459"/>
      <c r="C13" s="384" t="s">
        <v>1049</v>
      </c>
      <c r="D13" s="461">
        <f>IFERROR(__xludf.DUMMYFUNCTION("""COMPUTED_VALUE"""),150.161355)</f>
        <v>150.161355</v>
      </c>
      <c r="E13" s="461">
        <f>IFERROR(__xludf.DUMMYFUNCTION("""COMPUTED_VALUE"""),150.161355)</f>
        <v>150.161355</v>
      </c>
      <c r="F13" s="461">
        <f>IFERROR(__xludf.DUMMYFUNCTION("""COMPUTED_VALUE"""),150.161355)</f>
        <v>150.161355</v>
      </c>
      <c r="G13" s="461">
        <f>IFERROR(__xludf.DUMMYFUNCTION("""COMPUTED_VALUE"""),180.193626)</f>
        <v>180.193626</v>
      </c>
      <c r="H13" s="461">
        <f>IFERROR(__xludf.DUMMYFUNCTION("""COMPUTED_VALUE"""),160.172112)</f>
        <v>160.172112</v>
      </c>
      <c r="I13" s="461">
        <f>IFERROR(__xludf.DUMMYFUNCTION("""COMPUTED_VALUE"""),165.17749049999998)</f>
        <v>165.1774905</v>
      </c>
      <c r="J13" s="461">
        <f>IFERROR(__xludf.DUMMYFUNCTION("""COMPUTED_VALUE"""),180.193626)</f>
        <v>180.193626</v>
      </c>
      <c r="K13" s="461">
        <f>IFERROR(__xludf.DUMMYFUNCTION("""COMPUTED_VALUE"""),160.172112)</f>
        <v>160.172112</v>
      </c>
      <c r="L13" s="461">
        <f>IFERROR(__xludf.DUMMYFUNCTION("""COMPUTED_VALUE"""),165.17749049999998)</f>
        <v>165.1774905</v>
      </c>
      <c r="M13" s="461">
        <f>IFERROR(__xludf.DUMMYFUNCTION("""COMPUTED_VALUE"""),180.193626)</f>
        <v>180.193626</v>
      </c>
      <c r="N13" s="461">
        <f>IFERROR(__xludf.DUMMYFUNCTION("""COMPUTED_VALUE"""),160.172112)</f>
        <v>160.172112</v>
      </c>
      <c r="O13" s="461">
        <f>IFERROR(__xludf.DUMMYFUNCTION("""COMPUTED_VALUE"""),165.17749049999998)</f>
        <v>165.1774905</v>
      </c>
      <c r="P13" s="461">
        <f t="shared" si="2"/>
        <v>1967.113751</v>
      </c>
    </row>
    <row r="14" ht="14.25" customHeight="1">
      <c r="A14" s="473" t="s">
        <v>748</v>
      </c>
      <c r="B14" s="459"/>
      <c r="C14" s="384" t="s">
        <v>1050</v>
      </c>
      <c r="D14" s="461">
        <f>IFERROR(__xludf.DUMMYFUNCTION("""COMPUTED_VALUE"""),0.0)</f>
        <v>0</v>
      </c>
      <c r="E14" s="461">
        <f>IFERROR(__xludf.DUMMYFUNCTION("""COMPUTED_VALUE"""),0.0)</f>
        <v>0</v>
      </c>
      <c r="F14" s="461">
        <f>IFERROR(__xludf.DUMMYFUNCTION("""COMPUTED_VALUE"""),0.0)</f>
        <v>0</v>
      </c>
      <c r="G14" s="461">
        <f>IFERROR(__xludf.DUMMYFUNCTION("""COMPUTED_VALUE"""),0.0)</f>
        <v>0</v>
      </c>
      <c r="H14" s="461">
        <f>IFERROR(__xludf.DUMMYFUNCTION("""COMPUTED_VALUE"""),0.0)</f>
        <v>0</v>
      </c>
      <c r="I14" s="461">
        <f>IFERROR(__xludf.DUMMYFUNCTION("""COMPUTED_VALUE"""),0.0)</f>
        <v>0</v>
      </c>
      <c r="J14" s="461">
        <f>IFERROR(__xludf.DUMMYFUNCTION("""COMPUTED_VALUE"""),0.0)</f>
        <v>0</v>
      </c>
      <c r="K14" s="461">
        <f>IFERROR(__xludf.DUMMYFUNCTION("""COMPUTED_VALUE"""),0.0)</f>
        <v>0</v>
      </c>
      <c r="L14" s="461">
        <f>IFERROR(__xludf.DUMMYFUNCTION("""COMPUTED_VALUE"""),0.0)</f>
        <v>0</v>
      </c>
      <c r="M14" s="461">
        <f>IFERROR(__xludf.DUMMYFUNCTION("""COMPUTED_VALUE"""),0.0)</f>
        <v>0</v>
      </c>
      <c r="N14" s="461">
        <f>IFERROR(__xludf.DUMMYFUNCTION("""COMPUTED_VALUE"""),0.0)</f>
        <v>0</v>
      </c>
      <c r="O14" s="461">
        <f>IFERROR(__xludf.DUMMYFUNCTION("""COMPUTED_VALUE"""),0.0)</f>
        <v>0</v>
      </c>
      <c r="P14" s="461">
        <f t="shared" si="2"/>
        <v>0</v>
      </c>
    </row>
    <row r="15" ht="14.25" customHeight="1">
      <c r="A15" s="473" t="s">
        <v>750</v>
      </c>
      <c r="B15" s="459"/>
      <c r="C15" s="384" t="s">
        <v>1051</v>
      </c>
      <c r="D15" s="461">
        <f>IFERROR(__xludf.DUMMYFUNCTION("""COMPUTED_VALUE"""),0.0)</f>
        <v>0</v>
      </c>
      <c r="E15" s="461">
        <f>IFERROR(__xludf.DUMMYFUNCTION("""COMPUTED_VALUE"""),0.0)</f>
        <v>0</v>
      </c>
      <c r="F15" s="461">
        <f>IFERROR(__xludf.DUMMYFUNCTION("""COMPUTED_VALUE"""),0.0)</f>
        <v>0</v>
      </c>
      <c r="G15" s="461">
        <f>IFERROR(__xludf.DUMMYFUNCTION("""COMPUTED_VALUE"""),0.0)</f>
        <v>0</v>
      </c>
      <c r="H15" s="461">
        <f>IFERROR(__xludf.DUMMYFUNCTION("""COMPUTED_VALUE"""),0.0)</f>
        <v>0</v>
      </c>
      <c r="I15" s="461">
        <f>IFERROR(__xludf.DUMMYFUNCTION("""COMPUTED_VALUE"""),0.0)</f>
        <v>0</v>
      </c>
      <c r="J15" s="461">
        <f>IFERROR(__xludf.DUMMYFUNCTION("""COMPUTED_VALUE"""),0.0)</f>
        <v>0</v>
      </c>
      <c r="K15" s="461">
        <f>IFERROR(__xludf.DUMMYFUNCTION("""COMPUTED_VALUE"""),0.0)</f>
        <v>0</v>
      </c>
      <c r="L15" s="461">
        <f>IFERROR(__xludf.DUMMYFUNCTION("""COMPUTED_VALUE"""),0.0)</f>
        <v>0</v>
      </c>
      <c r="M15" s="461">
        <f>IFERROR(__xludf.DUMMYFUNCTION("""COMPUTED_VALUE"""),0.0)</f>
        <v>0</v>
      </c>
      <c r="N15" s="461">
        <f>IFERROR(__xludf.DUMMYFUNCTION("""COMPUTED_VALUE"""),0.0)</f>
        <v>0</v>
      </c>
      <c r="O15" s="461">
        <f>IFERROR(__xludf.DUMMYFUNCTION("""COMPUTED_VALUE"""),0.0)</f>
        <v>0</v>
      </c>
      <c r="P15" s="461">
        <f t="shared" si="2"/>
        <v>0</v>
      </c>
    </row>
    <row r="16" ht="14.25" customHeight="1">
      <c r="A16" s="473" t="s">
        <v>752</v>
      </c>
      <c r="B16" s="459"/>
      <c r="C16" s="474" t="s">
        <v>1052</v>
      </c>
      <c r="D16" s="461">
        <f>IFERROR(__xludf.DUMMYFUNCTION("""COMPUTED_VALUE"""),0.0)</f>
        <v>0</v>
      </c>
      <c r="E16" s="461">
        <f>IFERROR(__xludf.DUMMYFUNCTION("""COMPUTED_VALUE"""),0.0)</f>
        <v>0</v>
      </c>
      <c r="F16" s="461">
        <f>IFERROR(__xludf.DUMMYFUNCTION("""COMPUTED_VALUE"""),0.0)</f>
        <v>0</v>
      </c>
      <c r="G16" s="461">
        <f>IFERROR(__xludf.DUMMYFUNCTION("""COMPUTED_VALUE"""),0.0)</f>
        <v>0</v>
      </c>
      <c r="H16" s="461">
        <f>IFERROR(__xludf.DUMMYFUNCTION("""COMPUTED_VALUE"""),0.0)</f>
        <v>0</v>
      </c>
      <c r="I16" s="461">
        <f>IFERROR(__xludf.DUMMYFUNCTION("""COMPUTED_VALUE"""),0.0)</f>
        <v>0</v>
      </c>
      <c r="J16" s="461">
        <f>IFERROR(__xludf.DUMMYFUNCTION("""COMPUTED_VALUE"""),0.0)</f>
        <v>0</v>
      </c>
      <c r="K16" s="461">
        <f>IFERROR(__xludf.DUMMYFUNCTION("""COMPUTED_VALUE"""),0.0)</f>
        <v>0</v>
      </c>
      <c r="L16" s="461">
        <f>IFERROR(__xludf.DUMMYFUNCTION("""COMPUTED_VALUE"""),0.0)</f>
        <v>0</v>
      </c>
      <c r="M16" s="461">
        <f>IFERROR(__xludf.DUMMYFUNCTION("""COMPUTED_VALUE"""),0.0)</f>
        <v>0</v>
      </c>
      <c r="N16" s="461">
        <f>IFERROR(__xludf.DUMMYFUNCTION("""COMPUTED_VALUE"""),0.0)</f>
        <v>0</v>
      </c>
      <c r="O16" s="461">
        <f>IFERROR(__xludf.DUMMYFUNCTION("""COMPUTED_VALUE"""),0.0)</f>
        <v>0</v>
      </c>
      <c r="P16" s="461">
        <f t="shared" si="2"/>
        <v>0</v>
      </c>
    </row>
    <row r="17" ht="14.25" customHeight="1">
      <c r="A17" s="473" t="s">
        <v>754</v>
      </c>
      <c r="B17" s="459"/>
      <c r="C17" s="384" t="s">
        <v>1053</v>
      </c>
      <c r="D17" s="461">
        <f>IFERROR(__xludf.DUMMYFUNCTION("""COMPUTED_VALUE"""),0.0)</f>
        <v>0</v>
      </c>
      <c r="E17" s="461">
        <f>IFERROR(__xludf.DUMMYFUNCTION("""COMPUTED_VALUE"""),0.0)</f>
        <v>0</v>
      </c>
      <c r="F17" s="461">
        <f>IFERROR(__xludf.DUMMYFUNCTION("""COMPUTED_VALUE"""),0.0)</f>
        <v>0</v>
      </c>
      <c r="G17" s="461">
        <f>IFERROR(__xludf.DUMMYFUNCTION("""COMPUTED_VALUE"""),0.0)</f>
        <v>0</v>
      </c>
      <c r="H17" s="461">
        <f>IFERROR(__xludf.DUMMYFUNCTION("""COMPUTED_VALUE"""),0.0)</f>
        <v>0</v>
      </c>
      <c r="I17" s="461">
        <f>IFERROR(__xludf.DUMMYFUNCTION("""COMPUTED_VALUE"""),0.0)</f>
        <v>0</v>
      </c>
      <c r="J17" s="461">
        <f>IFERROR(__xludf.DUMMYFUNCTION("""COMPUTED_VALUE"""),0.0)</f>
        <v>0</v>
      </c>
      <c r="K17" s="461">
        <f>IFERROR(__xludf.DUMMYFUNCTION("""COMPUTED_VALUE"""),0.0)</f>
        <v>0</v>
      </c>
      <c r="L17" s="461">
        <f>IFERROR(__xludf.DUMMYFUNCTION("""COMPUTED_VALUE"""),0.0)</f>
        <v>0</v>
      </c>
      <c r="M17" s="461">
        <f>IFERROR(__xludf.DUMMYFUNCTION("""COMPUTED_VALUE"""),0.0)</f>
        <v>0</v>
      </c>
      <c r="N17" s="461">
        <f>IFERROR(__xludf.DUMMYFUNCTION("""COMPUTED_VALUE"""),0.0)</f>
        <v>0</v>
      </c>
      <c r="O17" s="461">
        <f>IFERROR(__xludf.DUMMYFUNCTION("""COMPUTED_VALUE"""),0.0)</f>
        <v>0</v>
      </c>
      <c r="P17" s="461">
        <f t="shared" si="2"/>
        <v>0</v>
      </c>
    </row>
    <row r="18" ht="14.25" customHeight="1">
      <c r="A18" s="473" t="s">
        <v>756</v>
      </c>
      <c r="B18" s="459"/>
      <c r="C18" s="384" t="s">
        <v>1054</v>
      </c>
      <c r="D18" s="461">
        <f>IFERROR(__xludf.DUMMYFUNCTION("""COMPUTED_VALUE"""),0.0)</f>
        <v>0</v>
      </c>
      <c r="E18" s="461">
        <f>IFERROR(__xludf.DUMMYFUNCTION("""COMPUTED_VALUE"""),0.0)</f>
        <v>0</v>
      </c>
      <c r="F18" s="461">
        <f>IFERROR(__xludf.DUMMYFUNCTION("""COMPUTED_VALUE"""),0.0)</f>
        <v>0</v>
      </c>
      <c r="G18" s="461">
        <f>IFERROR(__xludf.DUMMYFUNCTION("""COMPUTED_VALUE"""),0.0)</f>
        <v>0</v>
      </c>
      <c r="H18" s="461">
        <f>IFERROR(__xludf.DUMMYFUNCTION("""COMPUTED_VALUE"""),0.0)</f>
        <v>0</v>
      </c>
      <c r="I18" s="461">
        <f>IFERROR(__xludf.DUMMYFUNCTION("""COMPUTED_VALUE"""),0.0)</f>
        <v>0</v>
      </c>
      <c r="J18" s="461">
        <f>IFERROR(__xludf.DUMMYFUNCTION("""COMPUTED_VALUE"""),0.0)</f>
        <v>0</v>
      </c>
      <c r="K18" s="461">
        <f>IFERROR(__xludf.DUMMYFUNCTION("""COMPUTED_VALUE"""),0.0)</f>
        <v>0</v>
      </c>
      <c r="L18" s="461">
        <f>IFERROR(__xludf.DUMMYFUNCTION("""COMPUTED_VALUE"""),0.0)</f>
        <v>0</v>
      </c>
      <c r="M18" s="461">
        <f>IFERROR(__xludf.DUMMYFUNCTION("""COMPUTED_VALUE"""),0.0)</f>
        <v>0</v>
      </c>
      <c r="N18" s="461">
        <f>IFERROR(__xludf.DUMMYFUNCTION("""COMPUTED_VALUE"""),0.0)</f>
        <v>0</v>
      </c>
      <c r="O18" s="461">
        <f>IFERROR(__xludf.DUMMYFUNCTION("""COMPUTED_VALUE"""),0.0)</f>
        <v>0</v>
      </c>
      <c r="P18" s="461">
        <f t="shared" si="2"/>
        <v>0</v>
      </c>
    </row>
    <row r="19" ht="14.25" customHeight="1">
      <c r="A19" s="473" t="s">
        <v>758</v>
      </c>
      <c r="B19" s="459"/>
      <c r="C19" s="384" t="s">
        <v>1055</v>
      </c>
      <c r="D19" s="461">
        <f>IFERROR(__xludf.DUMMYFUNCTION("""COMPUTED_VALUE"""),0.0)</f>
        <v>0</v>
      </c>
      <c r="E19" s="461">
        <f>IFERROR(__xludf.DUMMYFUNCTION("""COMPUTED_VALUE"""),0.0)</f>
        <v>0</v>
      </c>
      <c r="F19" s="461">
        <f>IFERROR(__xludf.DUMMYFUNCTION("""COMPUTED_VALUE"""),0.0)</f>
        <v>0</v>
      </c>
      <c r="G19" s="461">
        <f>IFERROR(__xludf.DUMMYFUNCTION("""COMPUTED_VALUE"""),0.0)</f>
        <v>0</v>
      </c>
      <c r="H19" s="461">
        <f>IFERROR(__xludf.DUMMYFUNCTION("""COMPUTED_VALUE"""),0.0)</f>
        <v>0</v>
      </c>
      <c r="I19" s="461">
        <f>IFERROR(__xludf.DUMMYFUNCTION("""COMPUTED_VALUE"""),0.0)</f>
        <v>0</v>
      </c>
      <c r="J19" s="461">
        <f>IFERROR(__xludf.DUMMYFUNCTION("""COMPUTED_VALUE"""),0.0)</f>
        <v>0</v>
      </c>
      <c r="K19" s="461">
        <f>IFERROR(__xludf.DUMMYFUNCTION("""COMPUTED_VALUE"""),0.0)</f>
        <v>0</v>
      </c>
      <c r="L19" s="461">
        <f>IFERROR(__xludf.DUMMYFUNCTION("""COMPUTED_VALUE"""),0.0)</f>
        <v>0</v>
      </c>
      <c r="M19" s="461">
        <f>IFERROR(__xludf.DUMMYFUNCTION("""COMPUTED_VALUE"""),0.0)</f>
        <v>0</v>
      </c>
      <c r="N19" s="461">
        <f>IFERROR(__xludf.DUMMYFUNCTION("""COMPUTED_VALUE"""),0.0)</f>
        <v>0</v>
      </c>
      <c r="O19" s="461">
        <f>IFERROR(__xludf.DUMMYFUNCTION("""COMPUTED_VALUE"""),0.0)</f>
        <v>0</v>
      </c>
      <c r="P19" s="461">
        <f t="shared" si="2"/>
        <v>0</v>
      </c>
    </row>
    <row r="20" ht="14.25" customHeight="1">
      <c r="A20" s="473" t="s">
        <v>760</v>
      </c>
      <c r="B20" s="459"/>
      <c r="C20" s="384" t="s">
        <v>761</v>
      </c>
      <c r="D20" s="461">
        <f>IFERROR(__xludf.DUMMYFUNCTION("""COMPUTED_VALUE"""),0.0)</f>
        <v>0</v>
      </c>
      <c r="E20" s="461">
        <f>IFERROR(__xludf.DUMMYFUNCTION("""COMPUTED_VALUE"""),0.0)</f>
        <v>0</v>
      </c>
      <c r="F20" s="461">
        <f>IFERROR(__xludf.DUMMYFUNCTION("""COMPUTED_VALUE"""),0.0)</f>
        <v>0</v>
      </c>
      <c r="G20" s="461">
        <f>IFERROR(__xludf.DUMMYFUNCTION("""COMPUTED_VALUE"""),0.0)</f>
        <v>0</v>
      </c>
      <c r="H20" s="461">
        <f>IFERROR(__xludf.DUMMYFUNCTION("""COMPUTED_VALUE"""),0.0)</f>
        <v>0</v>
      </c>
      <c r="I20" s="461">
        <f>IFERROR(__xludf.DUMMYFUNCTION("""COMPUTED_VALUE"""),0.0)</f>
        <v>0</v>
      </c>
      <c r="J20" s="461">
        <f>IFERROR(__xludf.DUMMYFUNCTION("""COMPUTED_VALUE"""),0.0)</f>
        <v>0</v>
      </c>
      <c r="K20" s="461">
        <f>IFERROR(__xludf.DUMMYFUNCTION("""COMPUTED_VALUE"""),0.0)</f>
        <v>0</v>
      </c>
      <c r="L20" s="461">
        <f>IFERROR(__xludf.DUMMYFUNCTION("""COMPUTED_VALUE"""),0.0)</f>
        <v>0</v>
      </c>
      <c r="M20" s="461">
        <f>IFERROR(__xludf.DUMMYFUNCTION("""COMPUTED_VALUE"""),0.0)</f>
        <v>0</v>
      </c>
      <c r="N20" s="461">
        <f>IFERROR(__xludf.DUMMYFUNCTION("""COMPUTED_VALUE"""),0.0)</f>
        <v>0</v>
      </c>
      <c r="O20" s="461">
        <f>IFERROR(__xludf.DUMMYFUNCTION("""COMPUTED_VALUE"""),0.0)</f>
        <v>0</v>
      </c>
      <c r="P20" s="461">
        <f t="shared" si="2"/>
        <v>0</v>
      </c>
    </row>
    <row r="21" ht="14.25" customHeight="1">
      <c r="A21" s="473" t="s">
        <v>762</v>
      </c>
      <c r="B21" s="459"/>
      <c r="C21" s="384" t="s">
        <v>763</v>
      </c>
      <c r="D21" s="461">
        <f>IFERROR(__xludf.DUMMYFUNCTION("""COMPUTED_VALUE"""),0.0)</f>
        <v>0</v>
      </c>
      <c r="E21" s="461">
        <f>IFERROR(__xludf.DUMMYFUNCTION("""COMPUTED_VALUE"""),0.0)</f>
        <v>0</v>
      </c>
      <c r="F21" s="461">
        <f>IFERROR(__xludf.DUMMYFUNCTION("""COMPUTED_VALUE"""),0.0)</f>
        <v>0</v>
      </c>
      <c r="G21" s="461">
        <f>IFERROR(__xludf.DUMMYFUNCTION("""COMPUTED_VALUE"""),0.0)</f>
        <v>0</v>
      </c>
      <c r="H21" s="461">
        <f>IFERROR(__xludf.DUMMYFUNCTION("""COMPUTED_VALUE"""),0.0)</f>
        <v>0</v>
      </c>
      <c r="I21" s="461">
        <f>IFERROR(__xludf.DUMMYFUNCTION("""COMPUTED_VALUE"""),0.0)</f>
        <v>0</v>
      </c>
      <c r="J21" s="461">
        <f>IFERROR(__xludf.DUMMYFUNCTION("""COMPUTED_VALUE"""),0.0)</f>
        <v>0</v>
      </c>
      <c r="K21" s="461">
        <f>IFERROR(__xludf.DUMMYFUNCTION("""COMPUTED_VALUE"""),0.0)</f>
        <v>0</v>
      </c>
      <c r="L21" s="461">
        <f>IFERROR(__xludf.DUMMYFUNCTION("""COMPUTED_VALUE"""),0.0)</f>
        <v>0</v>
      </c>
      <c r="M21" s="461">
        <f>IFERROR(__xludf.DUMMYFUNCTION("""COMPUTED_VALUE"""),0.0)</f>
        <v>0</v>
      </c>
      <c r="N21" s="461">
        <f>IFERROR(__xludf.DUMMYFUNCTION("""COMPUTED_VALUE"""),0.0)</f>
        <v>0</v>
      </c>
      <c r="O21" s="461">
        <f>IFERROR(__xludf.DUMMYFUNCTION("""COMPUTED_VALUE"""),0.0)</f>
        <v>0</v>
      </c>
      <c r="P21" s="461">
        <f t="shared" si="2"/>
        <v>0</v>
      </c>
    </row>
    <row r="22" ht="14.25" customHeight="1">
      <c r="A22" s="473" t="s">
        <v>764</v>
      </c>
      <c r="B22" s="459"/>
      <c r="C22" s="384" t="s">
        <v>765</v>
      </c>
      <c r="D22" s="461">
        <f>IFERROR(__xludf.DUMMYFUNCTION("""COMPUTED_VALUE"""),0.0)</f>
        <v>0</v>
      </c>
      <c r="E22" s="461">
        <f>IFERROR(__xludf.DUMMYFUNCTION("""COMPUTED_VALUE"""),0.0)</f>
        <v>0</v>
      </c>
      <c r="F22" s="461">
        <f>IFERROR(__xludf.DUMMYFUNCTION("""COMPUTED_VALUE"""),0.0)</f>
        <v>0</v>
      </c>
      <c r="G22" s="461">
        <f>IFERROR(__xludf.DUMMYFUNCTION("""COMPUTED_VALUE"""),0.0)</f>
        <v>0</v>
      </c>
      <c r="H22" s="461">
        <f>IFERROR(__xludf.DUMMYFUNCTION("""COMPUTED_VALUE"""),0.0)</f>
        <v>0</v>
      </c>
      <c r="I22" s="461">
        <f>IFERROR(__xludf.DUMMYFUNCTION("""COMPUTED_VALUE"""),0.0)</f>
        <v>0</v>
      </c>
      <c r="J22" s="461">
        <f>IFERROR(__xludf.DUMMYFUNCTION("""COMPUTED_VALUE"""),0.0)</f>
        <v>0</v>
      </c>
      <c r="K22" s="461">
        <f>IFERROR(__xludf.DUMMYFUNCTION("""COMPUTED_VALUE"""),0.0)</f>
        <v>0</v>
      </c>
      <c r="L22" s="461">
        <f>IFERROR(__xludf.DUMMYFUNCTION("""COMPUTED_VALUE"""),0.0)</f>
        <v>0</v>
      </c>
      <c r="M22" s="461">
        <f>IFERROR(__xludf.DUMMYFUNCTION("""COMPUTED_VALUE"""),0.0)</f>
        <v>0</v>
      </c>
      <c r="N22" s="461">
        <f>IFERROR(__xludf.DUMMYFUNCTION("""COMPUTED_VALUE"""),0.0)</f>
        <v>0</v>
      </c>
      <c r="O22" s="461">
        <f>IFERROR(__xludf.DUMMYFUNCTION("""COMPUTED_VALUE"""),0.0)</f>
        <v>0</v>
      </c>
      <c r="P22" s="461">
        <f t="shared" si="2"/>
        <v>0</v>
      </c>
    </row>
    <row r="23" ht="14.25" customHeight="1">
      <c r="A23" s="473" t="s">
        <v>766</v>
      </c>
      <c r="B23" s="459"/>
      <c r="C23" s="384" t="s">
        <v>767</v>
      </c>
      <c r="D23" s="461">
        <f>IFERROR(__xludf.DUMMYFUNCTION("""COMPUTED_VALUE"""),0.0)</f>
        <v>0</v>
      </c>
      <c r="E23" s="461">
        <f>IFERROR(__xludf.DUMMYFUNCTION("""COMPUTED_VALUE"""),0.0)</f>
        <v>0</v>
      </c>
      <c r="F23" s="461">
        <f>IFERROR(__xludf.DUMMYFUNCTION("""COMPUTED_VALUE"""),0.0)</f>
        <v>0</v>
      </c>
      <c r="G23" s="461">
        <f>IFERROR(__xludf.DUMMYFUNCTION("""COMPUTED_VALUE"""),0.0)</f>
        <v>0</v>
      </c>
      <c r="H23" s="461">
        <f>IFERROR(__xludf.DUMMYFUNCTION("""COMPUTED_VALUE"""),0.0)</f>
        <v>0</v>
      </c>
      <c r="I23" s="461">
        <f>IFERROR(__xludf.DUMMYFUNCTION("""COMPUTED_VALUE"""),0.0)</f>
        <v>0</v>
      </c>
      <c r="J23" s="461">
        <f>IFERROR(__xludf.DUMMYFUNCTION("""COMPUTED_VALUE"""),0.0)</f>
        <v>0</v>
      </c>
      <c r="K23" s="461">
        <f>IFERROR(__xludf.DUMMYFUNCTION("""COMPUTED_VALUE"""),0.0)</f>
        <v>0</v>
      </c>
      <c r="L23" s="461">
        <f>IFERROR(__xludf.DUMMYFUNCTION("""COMPUTED_VALUE"""),0.0)</f>
        <v>0</v>
      </c>
      <c r="M23" s="461">
        <f>IFERROR(__xludf.DUMMYFUNCTION("""COMPUTED_VALUE"""),0.0)</f>
        <v>0</v>
      </c>
      <c r="N23" s="461">
        <f>IFERROR(__xludf.DUMMYFUNCTION("""COMPUTED_VALUE"""),0.0)</f>
        <v>0</v>
      </c>
      <c r="O23" s="461">
        <f>IFERROR(__xludf.DUMMYFUNCTION("""COMPUTED_VALUE"""),0.0)</f>
        <v>0</v>
      </c>
      <c r="P23" s="461">
        <f t="shared" si="2"/>
        <v>0</v>
      </c>
    </row>
    <row r="24" ht="14.25" customHeight="1">
      <c r="A24" s="473" t="s">
        <v>768</v>
      </c>
      <c r="B24" s="459"/>
      <c r="C24" s="474" t="s">
        <v>769</v>
      </c>
      <c r="D24" s="461">
        <f>IFERROR(__xludf.DUMMYFUNCTION("""COMPUTED_VALUE"""),0.0)</f>
        <v>0</v>
      </c>
      <c r="E24" s="461">
        <f>IFERROR(__xludf.DUMMYFUNCTION("""COMPUTED_VALUE"""),0.0)</f>
        <v>0</v>
      </c>
      <c r="F24" s="461">
        <f>IFERROR(__xludf.DUMMYFUNCTION("""COMPUTED_VALUE"""),0.0)</f>
        <v>0</v>
      </c>
      <c r="G24" s="461">
        <f>IFERROR(__xludf.DUMMYFUNCTION("""COMPUTED_VALUE"""),0.0)</f>
        <v>0</v>
      </c>
      <c r="H24" s="461">
        <f>IFERROR(__xludf.DUMMYFUNCTION("""COMPUTED_VALUE"""),0.0)</f>
        <v>0</v>
      </c>
      <c r="I24" s="461">
        <f>IFERROR(__xludf.DUMMYFUNCTION("""COMPUTED_VALUE"""),0.0)</f>
        <v>0</v>
      </c>
      <c r="J24" s="461">
        <f>IFERROR(__xludf.DUMMYFUNCTION("""COMPUTED_VALUE"""),0.0)</f>
        <v>0</v>
      </c>
      <c r="K24" s="461">
        <f>IFERROR(__xludf.DUMMYFUNCTION("""COMPUTED_VALUE"""),0.0)</f>
        <v>0</v>
      </c>
      <c r="L24" s="461">
        <f>IFERROR(__xludf.DUMMYFUNCTION("""COMPUTED_VALUE"""),0.0)</f>
        <v>0</v>
      </c>
      <c r="M24" s="461">
        <f>IFERROR(__xludf.DUMMYFUNCTION("""COMPUTED_VALUE"""),0.0)</f>
        <v>0</v>
      </c>
      <c r="N24" s="461">
        <f>IFERROR(__xludf.DUMMYFUNCTION("""COMPUTED_VALUE"""),0.0)</f>
        <v>0</v>
      </c>
      <c r="O24" s="461">
        <f>IFERROR(__xludf.DUMMYFUNCTION("""COMPUTED_VALUE"""),0.0)</f>
        <v>0</v>
      </c>
      <c r="P24" s="461">
        <f t="shared" si="2"/>
        <v>0</v>
      </c>
    </row>
    <row r="25" ht="14.25" customHeight="1">
      <c r="A25" s="473" t="s">
        <v>770</v>
      </c>
      <c r="B25" s="459"/>
      <c r="C25" s="384" t="s">
        <v>771</v>
      </c>
      <c r="D25" s="461">
        <f>IFERROR(__xludf.DUMMYFUNCTION("""COMPUTED_VALUE"""),0.0)</f>
        <v>0</v>
      </c>
      <c r="E25" s="461">
        <f>IFERROR(__xludf.DUMMYFUNCTION("""COMPUTED_VALUE"""),0.0)</f>
        <v>0</v>
      </c>
      <c r="F25" s="461">
        <f>IFERROR(__xludf.DUMMYFUNCTION("""COMPUTED_VALUE"""),0.0)</f>
        <v>0</v>
      </c>
      <c r="G25" s="461">
        <f>IFERROR(__xludf.DUMMYFUNCTION("""COMPUTED_VALUE"""),0.0)</f>
        <v>0</v>
      </c>
      <c r="H25" s="461">
        <f>IFERROR(__xludf.DUMMYFUNCTION("""COMPUTED_VALUE"""),0.0)</f>
        <v>0</v>
      </c>
      <c r="I25" s="461">
        <f>IFERROR(__xludf.DUMMYFUNCTION("""COMPUTED_VALUE"""),0.0)</f>
        <v>0</v>
      </c>
      <c r="J25" s="461">
        <f>IFERROR(__xludf.DUMMYFUNCTION("""COMPUTED_VALUE"""),0.0)</f>
        <v>0</v>
      </c>
      <c r="K25" s="461">
        <f>IFERROR(__xludf.DUMMYFUNCTION("""COMPUTED_VALUE"""),0.0)</f>
        <v>0</v>
      </c>
      <c r="L25" s="461">
        <f>IFERROR(__xludf.DUMMYFUNCTION("""COMPUTED_VALUE"""),0.0)</f>
        <v>0</v>
      </c>
      <c r="M25" s="461">
        <f>IFERROR(__xludf.DUMMYFUNCTION("""COMPUTED_VALUE"""),0.0)</f>
        <v>0</v>
      </c>
      <c r="N25" s="461">
        <f>IFERROR(__xludf.DUMMYFUNCTION("""COMPUTED_VALUE"""),0.0)</f>
        <v>0</v>
      </c>
      <c r="O25" s="461">
        <f>IFERROR(__xludf.DUMMYFUNCTION("""COMPUTED_VALUE"""),0.0)</f>
        <v>0</v>
      </c>
      <c r="P25" s="461">
        <f t="shared" si="2"/>
        <v>0</v>
      </c>
    </row>
    <row r="26" ht="14.25" customHeight="1">
      <c r="A26" s="473" t="s">
        <v>1056</v>
      </c>
      <c r="B26" s="459"/>
      <c r="C26" s="384" t="s">
        <v>1057</v>
      </c>
      <c r="D26" s="461">
        <f>IFERROR(__xludf.DUMMYFUNCTION("""COMPUTED_VALUE"""),0.0)</f>
        <v>0</v>
      </c>
      <c r="E26" s="461">
        <f>IFERROR(__xludf.DUMMYFUNCTION("""COMPUTED_VALUE"""),0.0)</f>
        <v>0</v>
      </c>
      <c r="F26" s="461">
        <f>IFERROR(__xludf.DUMMYFUNCTION("""COMPUTED_VALUE"""),0.0)</f>
        <v>0</v>
      </c>
      <c r="G26" s="461">
        <f>IFERROR(__xludf.DUMMYFUNCTION("""COMPUTED_VALUE"""),0.0)</f>
        <v>0</v>
      </c>
      <c r="H26" s="461">
        <f>IFERROR(__xludf.DUMMYFUNCTION("""COMPUTED_VALUE"""),0.0)</f>
        <v>0</v>
      </c>
      <c r="I26" s="461">
        <f>IFERROR(__xludf.DUMMYFUNCTION("""COMPUTED_VALUE"""),0.0)</f>
        <v>0</v>
      </c>
      <c r="J26" s="461">
        <f>IFERROR(__xludf.DUMMYFUNCTION("""COMPUTED_VALUE"""),0.0)</f>
        <v>0</v>
      </c>
      <c r="K26" s="461">
        <f>IFERROR(__xludf.DUMMYFUNCTION("""COMPUTED_VALUE"""),0.0)</f>
        <v>0</v>
      </c>
      <c r="L26" s="461">
        <f>IFERROR(__xludf.DUMMYFUNCTION("""COMPUTED_VALUE"""),0.0)</f>
        <v>0</v>
      </c>
      <c r="M26" s="461">
        <f>IFERROR(__xludf.DUMMYFUNCTION("""COMPUTED_VALUE"""),0.0)</f>
        <v>0</v>
      </c>
      <c r="N26" s="461">
        <f>IFERROR(__xludf.DUMMYFUNCTION("""COMPUTED_VALUE"""),0.0)</f>
        <v>0</v>
      </c>
      <c r="O26" s="461">
        <f>IFERROR(__xludf.DUMMYFUNCTION("""COMPUTED_VALUE"""),0.0)</f>
        <v>0</v>
      </c>
      <c r="P26" s="461">
        <f t="shared" si="2"/>
        <v>0</v>
      </c>
    </row>
    <row r="27" ht="14.25" customHeight="1">
      <c r="A27" s="463" t="s">
        <v>772</v>
      </c>
      <c r="B27" s="470"/>
      <c r="C27" s="465"/>
      <c r="D27" s="475">
        <f>IFERROR(__xludf.DUMMYFUNCTION("""COMPUTED_VALUE"""),150.161355)</f>
        <v>150.161355</v>
      </c>
      <c r="E27" s="475">
        <f>IFERROR(__xludf.DUMMYFUNCTION("""COMPUTED_VALUE"""),150.161355)</f>
        <v>150.161355</v>
      </c>
      <c r="F27" s="475">
        <f>IFERROR(__xludf.DUMMYFUNCTION("""COMPUTED_VALUE"""),150.161355)</f>
        <v>150.161355</v>
      </c>
      <c r="G27" s="475">
        <f>IFERROR(__xludf.DUMMYFUNCTION("""COMPUTED_VALUE"""),180.193626)</f>
        <v>180.193626</v>
      </c>
      <c r="H27" s="475">
        <f>IFERROR(__xludf.DUMMYFUNCTION("""COMPUTED_VALUE"""),160.172112)</f>
        <v>160.172112</v>
      </c>
      <c r="I27" s="475">
        <f>IFERROR(__xludf.DUMMYFUNCTION("""COMPUTED_VALUE"""),165.17749049999998)</f>
        <v>165.1774905</v>
      </c>
      <c r="J27" s="475">
        <f>IFERROR(__xludf.DUMMYFUNCTION("""COMPUTED_VALUE"""),180.193626)</f>
        <v>180.193626</v>
      </c>
      <c r="K27" s="475">
        <f>IFERROR(__xludf.DUMMYFUNCTION("""COMPUTED_VALUE"""),160.172112)</f>
        <v>160.172112</v>
      </c>
      <c r="L27" s="475">
        <f>IFERROR(__xludf.DUMMYFUNCTION("""COMPUTED_VALUE"""),165.17749049999998)</f>
        <v>165.1774905</v>
      </c>
      <c r="M27" s="475">
        <f>IFERROR(__xludf.DUMMYFUNCTION("""COMPUTED_VALUE"""),180.193626)</f>
        <v>180.193626</v>
      </c>
      <c r="N27" s="475">
        <f>IFERROR(__xludf.DUMMYFUNCTION("""COMPUTED_VALUE"""),160.172112)</f>
        <v>160.172112</v>
      </c>
      <c r="O27" s="475">
        <f>IFERROR(__xludf.DUMMYFUNCTION("""COMPUTED_VALUE"""),165.17749049999998)</f>
        <v>165.1774905</v>
      </c>
      <c r="P27" s="475">
        <f>sum(P12:P26)</f>
        <v>1967.113751</v>
      </c>
    </row>
    <row r="28" ht="14.25" customHeight="1">
      <c r="A28" s="473" t="s">
        <v>1058</v>
      </c>
      <c r="B28" s="459"/>
      <c r="C28" s="384" t="s">
        <v>773</v>
      </c>
      <c r="D28" s="461">
        <f>IFERROR(__xludf.DUMMYFUNCTION("""COMPUTED_VALUE"""),0.0)</f>
        <v>0</v>
      </c>
      <c r="E28" s="461">
        <f>IFERROR(__xludf.DUMMYFUNCTION("""COMPUTED_VALUE"""),0.0)</f>
        <v>0</v>
      </c>
      <c r="F28" s="461">
        <f>IFERROR(__xludf.DUMMYFUNCTION("""COMPUTED_VALUE"""),0.0)</f>
        <v>0</v>
      </c>
      <c r="G28" s="461">
        <f>IFERROR(__xludf.DUMMYFUNCTION("""COMPUTED_VALUE"""),0.0)</f>
        <v>0</v>
      </c>
      <c r="H28" s="461">
        <f>IFERROR(__xludf.DUMMYFUNCTION("""COMPUTED_VALUE"""),0.0)</f>
        <v>0</v>
      </c>
      <c r="I28" s="461">
        <f>IFERROR(__xludf.DUMMYFUNCTION("""COMPUTED_VALUE"""),0.0)</f>
        <v>0</v>
      </c>
      <c r="J28" s="461">
        <f>IFERROR(__xludf.DUMMYFUNCTION("""COMPUTED_VALUE"""),0.0)</f>
        <v>0</v>
      </c>
      <c r="K28" s="461">
        <f>IFERROR(__xludf.DUMMYFUNCTION("""COMPUTED_VALUE"""),0.0)</f>
        <v>0</v>
      </c>
      <c r="L28" s="461">
        <f>IFERROR(__xludf.DUMMYFUNCTION("""COMPUTED_VALUE"""),0.0)</f>
        <v>0</v>
      </c>
      <c r="M28" s="461">
        <f>IFERROR(__xludf.DUMMYFUNCTION("""COMPUTED_VALUE"""),0.0)</f>
        <v>0</v>
      </c>
      <c r="N28" s="461">
        <f>IFERROR(__xludf.DUMMYFUNCTION("""COMPUTED_VALUE"""),0.0)</f>
        <v>0</v>
      </c>
      <c r="O28" s="461">
        <f>IFERROR(__xludf.DUMMYFUNCTION("""COMPUTED_VALUE"""),0.0)</f>
        <v>0</v>
      </c>
      <c r="P28" s="461">
        <f>sum(D28:O28)</f>
        <v>0</v>
      </c>
    </row>
    <row r="29" ht="14.25" customHeight="1">
      <c r="A29" s="463" t="s">
        <v>774</v>
      </c>
      <c r="B29" s="470"/>
      <c r="C29" s="476"/>
      <c r="D29" s="475">
        <f>IFERROR(__xludf.DUMMYFUNCTION("""COMPUTED_VALUE"""),0.0)</f>
        <v>0</v>
      </c>
      <c r="E29" s="475">
        <f>IFERROR(__xludf.DUMMYFUNCTION("""COMPUTED_VALUE"""),0.0)</f>
        <v>0</v>
      </c>
      <c r="F29" s="475">
        <f>IFERROR(__xludf.DUMMYFUNCTION("""COMPUTED_VALUE"""),0.0)</f>
        <v>0</v>
      </c>
      <c r="G29" s="475">
        <f>IFERROR(__xludf.DUMMYFUNCTION("""COMPUTED_VALUE"""),0.0)</f>
        <v>0</v>
      </c>
      <c r="H29" s="475">
        <f>IFERROR(__xludf.DUMMYFUNCTION("""COMPUTED_VALUE"""),0.0)</f>
        <v>0</v>
      </c>
      <c r="I29" s="475">
        <f>IFERROR(__xludf.DUMMYFUNCTION("""COMPUTED_VALUE"""),0.0)</f>
        <v>0</v>
      </c>
      <c r="J29" s="475">
        <f>IFERROR(__xludf.DUMMYFUNCTION("""COMPUTED_VALUE"""),0.0)</f>
        <v>0</v>
      </c>
      <c r="K29" s="475">
        <f>IFERROR(__xludf.DUMMYFUNCTION("""COMPUTED_VALUE"""),0.0)</f>
        <v>0</v>
      </c>
      <c r="L29" s="475">
        <f>IFERROR(__xludf.DUMMYFUNCTION("""COMPUTED_VALUE"""),0.0)</f>
        <v>0</v>
      </c>
      <c r="M29" s="475">
        <f>IFERROR(__xludf.DUMMYFUNCTION("""COMPUTED_VALUE"""),0.0)</f>
        <v>0</v>
      </c>
      <c r="N29" s="475">
        <f>IFERROR(__xludf.DUMMYFUNCTION("""COMPUTED_VALUE"""),0.0)</f>
        <v>0</v>
      </c>
      <c r="O29" s="475">
        <f>IFERROR(__xludf.DUMMYFUNCTION("""COMPUTED_VALUE"""),0.0)</f>
        <v>0</v>
      </c>
      <c r="P29" s="475">
        <f>P28</f>
        <v>0</v>
      </c>
    </row>
    <row r="30" ht="14.25" customHeight="1">
      <c r="A30" s="473" t="s">
        <v>775</v>
      </c>
      <c r="B30" s="459"/>
      <c r="C30" s="384" t="s">
        <v>1059</v>
      </c>
      <c r="D30" s="461">
        <f>IFERROR(__xludf.DUMMYFUNCTION("""COMPUTED_VALUE"""),0.0)</f>
        <v>0</v>
      </c>
      <c r="E30" s="461">
        <f>IFERROR(__xludf.DUMMYFUNCTION("""COMPUTED_VALUE"""),0.0)</f>
        <v>0</v>
      </c>
      <c r="F30" s="461">
        <f>IFERROR(__xludf.DUMMYFUNCTION("""COMPUTED_VALUE"""),0.0)</f>
        <v>0</v>
      </c>
      <c r="G30" s="461">
        <f>IFERROR(__xludf.DUMMYFUNCTION("""COMPUTED_VALUE"""),0.0)</f>
        <v>0</v>
      </c>
      <c r="H30" s="461">
        <f>IFERROR(__xludf.DUMMYFUNCTION("""COMPUTED_VALUE"""),0.0)</f>
        <v>0</v>
      </c>
      <c r="I30" s="461">
        <f>IFERROR(__xludf.DUMMYFUNCTION("""COMPUTED_VALUE"""),0.0)</f>
        <v>0</v>
      </c>
      <c r="J30" s="461">
        <f>IFERROR(__xludf.DUMMYFUNCTION("""COMPUTED_VALUE"""),0.0)</f>
        <v>0</v>
      </c>
      <c r="K30" s="461">
        <f>IFERROR(__xludf.DUMMYFUNCTION("""COMPUTED_VALUE"""),0.0)</f>
        <v>0</v>
      </c>
      <c r="L30" s="461">
        <f>IFERROR(__xludf.DUMMYFUNCTION("""COMPUTED_VALUE"""),0.0)</f>
        <v>0</v>
      </c>
      <c r="M30" s="461">
        <f>IFERROR(__xludf.DUMMYFUNCTION("""COMPUTED_VALUE"""),0.0)</f>
        <v>0</v>
      </c>
      <c r="N30" s="461">
        <f>IFERROR(__xludf.DUMMYFUNCTION("""COMPUTED_VALUE"""),0.0)</f>
        <v>0</v>
      </c>
      <c r="O30" s="461">
        <f>IFERROR(__xludf.DUMMYFUNCTION("""COMPUTED_VALUE"""),0.0)</f>
        <v>0</v>
      </c>
      <c r="P30" s="461">
        <f t="shared" ref="P30:P38" si="3">sum(D30:O30)</f>
        <v>0</v>
      </c>
    </row>
    <row r="31" ht="14.25" customHeight="1">
      <c r="A31" s="473" t="s">
        <v>777</v>
      </c>
      <c r="B31" s="459"/>
      <c r="C31" s="384" t="s">
        <v>1060</v>
      </c>
      <c r="D31" s="461">
        <f>IFERROR(__xludf.DUMMYFUNCTION("""COMPUTED_VALUE"""),0.0)</f>
        <v>0</v>
      </c>
      <c r="E31" s="461">
        <f>IFERROR(__xludf.DUMMYFUNCTION("""COMPUTED_VALUE"""),0.0)</f>
        <v>0</v>
      </c>
      <c r="F31" s="461">
        <f>IFERROR(__xludf.DUMMYFUNCTION("""COMPUTED_VALUE"""),0.0)</f>
        <v>0</v>
      </c>
      <c r="G31" s="461">
        <f>IFERROR(__xludf.DUMMYFUNCTION("""COMPUTED_VALUE"""),0.0)</f>
        <v>0</v>
      </c>
      <c r="H31" s="461">
        <f>IFERROR(__xludf.DUMMYFUNCTION("""COMPUTED_VALUE"""),0.0)</f>
        <v>0</v>
      </c>
      <c r="I31" s="461">
        <f>IFERROR(__xludf.DUMMYFUNCTION("""COMPUTED_VALUE"""),0.0)</f>
        <v>0</v>
      </c>
      <c r="J31" s="461">
        <f>IFERROR(__xludf.DUMMYFUNCTION("""COMPUTED_VALUE"""),0.0)</f>
        <v>0</v>
      </c>
      <c r="K31" s="461">
        <f>IFERROR(__xludf.DUMMYFUNCTION("""COMPUTED_VALUE"""),0.0)</f>
        <v>0</v>
      </c>
      <c r="L31" s="461">
        <f>IFERROR(__xludf.DUMMYFUNCTION("""COMPUTED_VALUE"""),0.0)</f>
        <v>0</v>
      </c>
      <c r="M31" s="461">
        <f>IFERROR(__xludf.DUMMYFUNCTION("""COMPUTED_VALUE"""),0.0)</f>
        <v>0</v>
      </c>
      <c r="N31" s="461">
        <f>IFERROR(__xludf.DUMMYFUNCTION("""COMPUTED_VALUE"""),0.0)</f>
        <v>0</v>
      </c>
      <c r="O31" s="461">
        <f>IFERROR(__xludf.DUMMYFUNCTION("""COMPUTED_VALUE"""),0.0)</f>
        <v>0</v>
      </c>
      <c r="P31" s="461">
        <f t="shared" si="3"/>
        <v>0</v>
      </c>
    </row>
    <row r="32" ht="14.25" customHeight="1">
      <c r="A32" s="473" t="s">
        <v>779</v>
      </c>
      <c r="B32" s="459"/>
      <c r="C32" s="384" t="s">
        <v>1061</v>
      </c>
      <c r="D32" s="461">
        <f>IFERROR(__xludf.DUMMYFUNCTION("""COMPUTED_VALUE"""),0.0)</f>
        <v>0</v>
      </c>
      <c r="E32" s="461">
        <f>IFERROR(__xludf.DUMMYFUNCTION("""COMPUTED_VALUE"""),0.0)</f>
        <v>0</v>
      </c>
      <c r="F32" s="461">
        <f>IFERROR(__xludf.DUMMYFUNCTION("""COMPUTED_VALUE"""),0.0)</f>
        <v>0</v>
      </c>
      <c r="G32" s="461">
        <f>IFERROR(__xludf.DUMMYFUNCTION("""COMPUTED_VALUE"""),0.0)</f>
        <v>0</v>
      </c>
      <c r="H32" s="461">
        <f>IFERROR(__xludf.DUMMYFUNCTION("""COMPUTED_VALUE"""),0.0)</f>
        <v>0</v>
      </c>
      <c r="I32" s="461">
        <f>IFERROR(__xludf.DUMMYFUNCTION("""COMPUTED_VALUE"""),0.0)</f>
        <v>0</v>
      </c>
      <c r="J32" s="461">
        <f>IFERROR(__xludf.DUMMYFUNCTION("""COMPUTED_VALUE"""),0.0)</f>
        <v>0</v>
      </c>
      <c r="K32" s="461">
        <f>IFERROR(__xludf.DUMMYFUNCTION("""COMPUTED_VALUE"""),0.0)</f>
        <v>0</v>
      </c>
      <c r="L32" s="461">
        <f>IFERROR(__xludf.DUMMYFUNCTION("""COMPUTED_VALUE"""),0.0)</f>
        <v>0</v>
      </c>
      <c r="M32" s="461">
        <f>IFERROR(__xludf.DUMMYFUNCTION("""COMPUTED_VALUE"""),0.0)</f>
        <v>0</v>
      </c>
      <c r="N32" s="461">
        <f>IFERROR(__xludf.DUMMYFUNCTION("""COMPUTED_VALUE"""),0.0)</f>
        <v>0</v>
      </c>
      <c r="O32" s="461">
        <f>IFERROR(__xludf.DUMMYFUNCTION("""COMPUTED_VALUE"""),0.0)</f>
        <v>0</v>
      </c>
      <c r="P32" s="461">
        <f t="shared" si="3"/>
        <v>0</v>
      </c>
    </row>
    <row r="33" ht="14.25" customHeight="1">
      <c r="A33" s="473" t="s">
        <v>267</v>
      </c>
      <c r="B33" s="477"/>
      <c r="C33" s="384" t="s">
        <v>102</v>
      </c>
      <c r="D33" s="461">
        <f>IFERROR(__xludf.DUMMYFUNCTION("""COMPUTED_VALUE"""),43046.255099999995)</f>
        <v>43046.2551</v>
      </c>
      <c r="E33" s="461">
        <f>IFERROR(__xludf.DUMMYFUNCTION("""COMPUTED_VALUE"""),50053.785)</f>
        <v>50053.785</v>
      </c>
      <c r="F33" s="461">
        <f>IFERROR(__xludf.DUMMYFUNCTION("""COMPUTED_VALUE"""),49052.7093)</f>
        <v>49052.7093</v>
      </c>
      <c r="G33" s="461">
        <f>IFERROR(__xludf.DUMMYFUNCTION("""COMPUTED_VALUE"""),51305.129625)</f>
        <v>51305.12963</v>
      </c>
      <c r="H33" s="461">
        <f>IFERROR(__xludf.DUMMYFUNCTION("""COMPUTED_VALUE"""),46049.4822)</f>
        <v>46049.4822</v>
      </c>
      <c r="I33" s="461">
        <f>IFERROR(__xludf.DUMMYFUNCTION("""COMPUTED_VALUE"""),46049.4822)</f>
        <v>46049.4822</v>
      </c>
      <c r="J33" s="461">
        <f>IFERROR(__xludf.DUMMYFUNCTION("""COMPUTED_VALUE"""),43646.900519999996)</f>
        <v>43646.90052</v>
      </c>
      <c r="K33" s="461">
        <f>IFERROR(__xludf.DUMMYFUNCTION("""COMPUTED_VALUE"""),53006.958315)</f>
        <v>53006.95832</v>
      </c>
      <c r="L33" s="461">
        <f>IFERROR(__xludf.DUMMYFUNCTION("""COMPUTED_VALUE"""),47701.257105000004)</f>
        <v>47701.25711</v>
      </c>
      <c r="M33" s="461">
        <f>IFERROR(__xludf.DUMMYFUNCTION("""COMPUTED_VALUE"""),51305.129625)</f>
        <v>51305.12963</v>
      </c>
      <c r="N33" s="461">
        <f>IFERROR(__xludf.DUMMYFUNCTION("""COMPUTED_VALUE"""),52456.36668000001)</f>
        <v>52456.36668</v>
      </c>
      <c r="O33" s="461">
        <f>IFERROR(__xludf.DUMMYFUNCTION("""COMPUTED_VALUE"""),35788.456275)</f>
        <v>35788.45628</v>
      </c>
      <c r="P33" s="461">
        <f t="shared" si="3"/>
        <v>569461.9119</v>
      </c>
    </row>
    <row r="34" ht="14.25" customHeight="1">
      <c r="A34" s="473" t="s">
        <v>781</v>
      </c>
      <c r="B34" s="459"/>
      <c r="C34" s="384" t="s">
        <v>104</v>
      </c>
      <c r="D34" s="461">
        <f>IFERROR(__xludf.DUMMYFUNCTION("""COMPUTED_VALUE"""),63519.40906350002)</f>
        <v>63519.40906</v>
      </c>
      <c r="E34" s="461">
        <f>IFERROR(__xludf.DUMMYFUNCTION("""COMPUTED_VALUE"""),80016.026766)</f>
        <v>80016.02677</v>
      </c>
      <c r="F34" s="461">
        <f>IFERROR(__xludf.DUMMYFUNCTION("""COMPUTED_VALUE"""),63965.263596)</f>
        <v>63965.2636</v>
      </c>
      <c r="G34" s="461">
        <f>IFERROR(__xludf.DUMMYFUNCTION("""COMPUTED_VALUE"""),0.0)</f>
        <v>0</v>
      </c>
      <c r="H34" s="461">
        <f>IFERROR(__xludf.DUMMYFUNCTION("""COMPUTED_VALUE"""),32089.481563500005)</f>
        <v>32089.48156</v>
      </c>
      <c r="I34" s="461">
        <f>IFERROR(__xludf.DUMMYFUNCTION("""COMPUTED_VALUE"""),39635.089652250004)</f>
        <v>39635.08965</v>
      </c>
      <c r="J34" s="461">
        <f>IFERROR(__xludf.DUMMYFUNCTION("""COMPUTED_VALUE"""),63965.263596)</f>
        <v>63965.2636</v>
      </c>
      <c r="K34" s="461">
        <f>IFERROR(__xludf.DUMMYFUNCTION("""COMPUTED_VALUE"""),81130.66309725001)</f>
        <v>81130.6631</v>
      </c>
      <c r="L34" s="461">
        <f>IFERROR(__xludf.DUMMYFUNCTION("""COMPUTED_VALUE"""),63519.40906350002)</f>
        <v>63519.40906</v>
      </c>
      <c r="M34" s="461">
        <f>IFERROR(__xludf.DUMMYFUNCTION("""COMPUTED_VALUE"""),64113.88177350002)</f>
        <v>64113.88177</v>
      </c>
      <c r="N34" s="461">
        <f>IFERROR(__xludf.DUMMYFUNCTION("""COMPUTED_VALUE"""),78083.99045849999)</f>
        <v>78083.99046</v>
      </c>
      <c r="O34" s="461">
        <f>IFERROR(__xludf.DUMMYFUNCTION("""COMPUTED_VALUE"""),7653.83614125)</f>
        <v>7653.836141</v>
      </c>
      <c r="P34" s="461">
        <f t="shared" si="3"/>
        <v>637692.3148</v>
      </c>
    </row>
    <row r="35" ht="14.25" customHeight="1">
      <c r="A35" s="473" t="s">
        <v>783</v>
      </c>
      <c r="B35" s="459"/>
      <c r="C35" s="384" t="s">
        <v>784</v>
      </c>
      <c r="D35" s="461">
        <f>IFERROR(__xludf.DUMMYFUNCTION("""COMPUTED_VALUE"""),0.0)</f>
        <v>0</v>
      </c>
      <c r="E35" s="461">
        <f>IFERROR(__xludf.DUMMYFUNCTION("""COMPUTED_VALUE"""),0.0)</f>
        <v>0</v>
      </c>
      <c r="F35" s="461">
        <f>IFERROR(__xludf.DUMMYFUNCTION("""COMPUTED_VALUE"""),0.0)</f>
        <v>0</v>
      </c>
      <c r="G35" s="461">
        <f>IFERROR(__xludf.DUMMYFUNCTION("""COMPUTED_VALUE"""),0.0)</f>
        <v>0</v>
      </c>
      <c r="H35" s="461">
        <f>IFERROR(__xludf.DUMMYFUNCTION("""COMPUTED_VALUE"""),0.0)</f>
        <v>0</v>
      </c>
      <c r="I35" s="461">
        <f>IFERROR(__xludf.DUMMYFUNCTION("""COMPUTED_VALUE"""),0.0)</f>
        <v>0</v>
      </c>
      <c r="J35" s="461">
        <f>IFERROR(__xludf.DUMMYFUNCTION("""COMPUTED_VALUE"""),0.0)</f>
        <v>0</v>
      </c>
      <c r="K35" s="461">
        <f>IFERROR(__xludf.DUMMYFUNCTION("""COMPUTED_VALUE"""),0.0)</f>
        <v>0</v>
      </c>
      <c r="L35" s="461">
        <f>IFERROR(__xludf.DUMMYFUNCTION("""COMPUTED_VALUE"""),0.0)</f>
        <v>0</v>
      </c>
      <c r="M35" s="461">
        <f>IFERROR(__xludf.DUMMYFUNCTION("""COMPUTED_VALUE"""),0.0)</f>
        <v>0</v>
      </c>
      <c r="N35" s="461">
        <f>IFERROR(__xludf.DUMMYFUNCTION("""COMPUTED_VALUE"""),0.0)</f>
        <v>0</v>
      </c>
      <c r="O35" s="461">
        <f>IFERROR(__xludf.DUMMYFUNCTION("""COMPUTED_VALUE"""),0.0)</f>
        <v>0</v>
      </c>
      <c r="P35" s="461">
        <f t="shared" si="3"/>
        <v>0</v>
      </c>
    </row>
    <row r="36" ht="14.25" customHeight="1">
      <c r="A36" s="473" t="s">
        <v>34</v>
      </c>
      <c r="B36" s="459"/>
      <c r="C36" s="474" t="s">
        <v>35</v>
      </c>
      <c r="D36" s="461">
        <f>IFERROR(__xludf.DUMMYFUNCTION("""COMPUTED_VALUE"""),0.0)</f>
        <v>0</v>
      </c>
      <c r="E36" s="461">
        <f>IFERROR(__xludf.DUMMYFUNCTION("""COMPUTED_VALUE"""),0.0)</f>
        <v>0</v>
      </c>
      <c r="F36" s="461">
        <f>IFERROR(__xludf.DUMMYFUNCTION("""COMPUTED_VALUE"""),0.0)</f>
        <v>0</v>
      </c>
      <c r="G36" s="461">
        <f>IFERROR(__xludf.DUMMYFUNCTION("""COMPUTED_VALUE"""),0.0)</f>
        <v>0</v>
      </c>
      <c r="H36" s="461">
        <f>IFERROR(__xludf.DUMMYFUNCTION("""COMPUTED_VALUE"""),0.0)</f>
        <v>0</v>
      </c>
      <c r="I36" s="461">
        <f>IFERROR(__xludf.DUMMYFUNCTION("""COMPUTED_VALUE"""),0.0)</f>
        <v>0</v>
      </c>
      <c r="J36" s="461">
        <f>IFERROR(__xludf.DUMMYFUNCTION("""COMPUTED_VALUE"""),0.0)</f>
        <v>0</v>
      </c>
      <c r="K36" s="461">
        <f>IFERROR(__xludf.DUMMYFUNCTION("""COMPUTED_VALUE"""),0.0)</f>
        <v>0</v>
      </c>
      <c r="L36" s="461">
        <f>IFERROR(__xludf.DUMMYFUNCTION("""COMPUTED_VALUE"""),0.0)</f>
        <v>0</v>
      </c>
      <c r="M36" s="461">
        <f>IFERROR(__xludf.DUMMYFUNCTION("""COMPUTED_VALUE"""),0.0)</f>
        <v>0</v>
      </c>
      <c r="N36" s="461">
        <f>IFERROR(__xludf.DUMMYFUNCTION("""COMPUTED_VALUE"""),0.0)</f>
        <v>0</v>
      </c>
      <c r="O36" s="461">
        <f>IFERROR(__xludf.DUMMYFUNCTION("""COMPUTED_VALUE"""),0.0)</f>
        <v>0</v>
      </c>
      <c r="P36" s="461">
        <f t="shared" si="3"/>
        <v>0</v>
      </c>
    </row>
    <row r="37" ht="14.25" customHeight="1">
      <c r="A37" s="473" t="s">
        <v>786</v>
      </c>
      <c r="B37" s="477"/>
      <c r="C37" s="384" t="s">
        <v>1062</v>
      </c>
      <c r="D37" s="461">
        <f>IFERROR(__xludf.DUMMYFUNCTION("""COMPUTED_VALUE"""),0.0)</f>
        <v>0</v>
      </c>
      <c r="E37" s="461">
        <f>IFERROR(__xludf.DUMMYFUNCTION("""COMPUTED_VALUE"""),0.0)</f>
        <v>0</v>
      </c>
      <c r="F37" s="461">
        <f>IFERROR(__xludf.DUMMYFUNCTION("""COMPUTED_VALUE"""),0.0)</f>
        <v>0</v>
      </c>
      <c r="G37" s="461">
        <f>IFERROR(__xludf.DUMMYFUNCTION("""COMPUTED_VALUE"""),0.0)</f>
        <v>0</v>
      </c>
      <c r="H37" s="461">
        <f>IFERROR(__xludf.DUMMYFUNCTION("""COMPUTED_VALUE"""),0.0)</f>
        <v>0</v>
      </c>
      <c r="I37" s="461">
        <f>IFERROR(__xludf.DUMMYFUNCTION("""COMPUTED_VALUE"""),0.0)</f>
        <v>0</v>
      </c>
      <c r="J37" s="461">
        <f>IFERROR(__xludf.DUMMYFUNCTION("""COMPUTED_VALUE"""),0.0)</f>
        <v>0</v>
      </c>
      <c r="K37" s="461">
        <f>IFERROR(__xludf.DUMMYFUNCTION("""COMPUTED_VALUE"""),0.0)</f>
        <v>0</v>
      </c>
      <c r="L37" s="461">
        <f>IFERROR(__xludf.DUMMYFUNCTION("""COMPUTED_VALUE"""),0.0)</f>
        <v>0</v>
      </c>
      <c r="M37" s="461">
        <f>IFERROR(__xludf.DUMMYFUNCTION("""COMPUTED_VALUE"""),0.0)</f>
        <v>0</v>
      </c>
      <c r="N37" s="461">
        <f>IFERROR(__xludf.DUMMYFUNCTION("""COMPUTED_VALUE"""),0.0)</f>
        <v>0</v>
      </c>
      <c r="O37" s="461">
        <f>IFERROR(__xludf.DUMMYFUNCTION("""COMPUTED_VALUE"""),0.0)</f>
        <v>0</v>
      </c>
      <c r="P37" s="461">
        <f t="shared" si="3"/>
        <v>0</v>
      </c>
    </row>
    <row r="38" ht="14.25" customHeight="1">
      <c r="A38" s="473" t="s">
        <v>785</v>
      </c>
      <c r="B38" s="459"/>
      <c r="C38" s="384" t="s">
        <v>258</v>
      </c>
      <c r="D38" s="461">
        <f>IFERROR(__xludf.DUMMYFUNCTION("""COMPUTED_VALUE"""),0.0)</f>
        <v>0</v>
      </c>
      <c r="E38" s="461">
        <f>IFERROR(__xludf.DUMMYFUNCTION("""COMPUTED_VALUE"""),0.0)</f>
        <v>0</v>
      </c>
      <c r="F38" s="461">
        <f>IFERROR(__xludf.DUMMYFUNCTION("""COMPUTED_VALUE"""),0.0)</f>
        <v>0</v>
      </c>
      <c r="G38" s="461">
        <f>IFERROR(__xludf.DUMMYFUNCTION("""COMPUTED_VALUE"""),0.0)</f>
        <v>0</v>
      </c>
      <c r="H38" s="461">
        <f>IFERROR(__xludf.DUMMYFUNCTION("""COMPUTED_VALUE"""),0.0)</f>
        <v>0</v>
      </c>
      <c r="I38" s="461">
        <f>IFERROR(__xludf.DUMMYFUNCTION("""COMPUTED_VALUE"""),0.0)</f>
        <v>0</v>
      </c>
      <c r="J38" s="461">
        <f>IFERROR(__xludf.DUMMYFUNCTION("""COMPUTED_VALUE"""),0.0)</f>
        <v>0</v>
      </c>
      <c r="K38" s="461">
        <f>IFERROR(__xludf.DUMMYFUNCTION("""COMPUTED_VALUE"""),0.0)</f>
        <v>0</v>
      </c>
      <c r="L38" s="461">
        <f>IFERROR(__xludf.DUMMYFUNCTION("""COMPUTED_VALUE"""),0.0)</f>
        <v>0</v>
      </c>
      <c r="M38" s="461">
        <f>IFERROR(__xludf.DUMMYFUNCTION("""COMPUTED_VALUE"""),0.0)</f>
        <v>0</v>
      </c>
      <c r="N38" s="461">
        <f>IFERROR(__xludf.DUMMYFUNCTION("""COMPUTED_VALUE"""),0.0)</f>
        <v>0</v>
      </c>
      <c r="O38" s="461">
        <f>IFERROR(__xludf.DUMMYFUNCTION("""COMPUTED_VALUE"""),0.0)</f>
        <v>0</v>
      </c>
      <c r="P38" s="461">
        <f t="shared" si="3"/>
        <v>0</v>
      </c>
    </row>
    <row r="39" ht="14.25" customHeight="1">
      <c r="A39" s="463" t="s">
        <v>788</v>
      </c>
      <c r="B39" s="470"/>
      <c r="C39" s="476"/>
      <c r="D39" s="475">
        <f>IFERROR(__xludf.DUMMYFUNCTION("""COMPUTED_VALUE"""),106565.66416350001)</f>
        <v>106565.6642</v>
      </c>
      <c r="E39" s="475">
        <f>IFERROR(__xludf.DUMMYFUNCTION("""COMPUTED_VALUE"""),130069.811766)</f>
        <v>130069.8118</v>
      </c>
      <c r="F39" s="475">
        <f>IFERROR(__xludf.DUMMYFUNCTION("""COMPUTED_VALUE"""),113017.97289599999)</f>
        <v>113017.9729</v>
      </c>
      <c r="G39" s="475">
        <f>IFERROR(__xludf.DUMMYFUNCTION("""COMPUTED_VALUE"""),51305.129625)</f>
        <v>51305.12963</v>
      </c>
      <c r="H39" s="475">
        <f>IFERROR(__xludf.DUMMYFUNCTION("""COMPUTED_VALUE"""),78138.96376350001)</f>
        <v>78138.96376</v>
      </c>
      <c r="I39" s="475">
        <f>IFERROR(__xludf.DUMMYFUNCTION("""COMPUTED_VALUE"""),85684.57185225)</f>
        <v>85684.57185</v>
      </c>
      <c r="J39" s="475">
        <f>IFERROR(__xludf.DUMMYFUNCTION("""COMPUTED_VALUE"""),107612.164116)</f>
        <v>107612.1641</v>
      </c>
      <c r="K39" s="475">
        <f>IFERROR(__xludf.DUMMYFUNCTION("""COMPUTED_VALUE"""),134137.62141225)</f>
        <v>134137.6214</v>
      </c>
      <c r="L39" s="475">
        <f>IFERROR(__xludf.DUMMYFUNCTION("""COMPUTED_VALUE"""),111220.66616850003)</f>
        <v>111220.6662</v>
      </c>
      <c r="M39" s="475">
        <f>IFERROR(__xludf.DUMMYFUNCTION("""COMPUTED_VALUE"""),115419.01139850002)</f>
        <v>115419.0114</v>
      </c>
      <c r="N39" s="475">
        <f>IFERROR(__xludf.DUMMYFUNCTION("""COMPUTED_VALUE"""),130540.3571385)</f>
        <v>130540.3571</v>
      </c>
      <c r="O39" s="475">
        <f>IFERROR(__xludf.DUMMYFUNCTION("""COMPUTED_VALUE"""),43442.29241625)</f>
        <v>43442.29242</v>
      </c>
      <c r="P39" s="475">
        <f>sum(P30:P38)</f>
        <v>1207154.227</v>
      </c>
    </row>
    <row r="40" ht="14.25" customHeight="1">
      <c r="A40" s="473" t="s">
        <v>789</v>
      </c>
      <c r="B40" s="459"/>
      <c r="C40" s="384" t="s">
        <v>1063</v>
      </c>
      <c r="D40" s="461">
        <f>IFERROR(__xludf.DUMMYFUNCTION("""COMPUTED_VALUE"""),0.0)</f>
        <v>0</v>
      </c>
      <c r="E40" s="461">
        <f>IFERROR(__xludf.DUMMYFUNCTION("""COMPUTED_VALUE"""),0.0)</f>
        <v>0</v>
      </c>
      <c r="F40" s="461">
        <f>IFERROR(__xludf.DUMMYFUNCTION("""COMPUTED_VALUE"""),0.0)</f>
        <v>0</v>
      </c>
      <c r="G40" s="461">
        <f>IFERROR(__xludf.DUMMYFUNCTION("""COMPUTED_VALUE"""),0.0)</f>
        <v>0</v>
      </c>
      <c r="H40" s="461">
        <f>IFERROR(__xludf.DUMMYFUNCTION("""COMPUTED_VALUE"""),0.0)</f>
        <v>0</v>
      </c>
      <c r="I40" s="461">
        <f>IFERROR(__xludf.DUMMYFUNCTION("""COMPUTED_VALUE"""),0.0)</f>
        <v>0</v>
      </c>
      <c r="J40" s="461">
        <f>IFERROR(__xludf.DUMMYFUNCTION("""COMPUTED_VALUE"""),0.0)</f>
        <v>0</v>
      </c>
      <c r="K40" s="461">
        <f>IFERROR(__xludf.DUMMYFUNCTION("""COMPUTED_VALUE"""),0.0)</f>
        <v>0</v>
      </c>
      <c r="L40" s="461">
        <f>IFERROR(__xludf.DUMMYFUNCTION("""COMPUTED_VALUE"""),0.0)</f>
        <v>0</v>
      </c>
      <c r="M40" s="461">
        <f>IFERROR(__xludf.DUMMYFUNCTION("""COMPUTED_VALUE"""),0.0)</f>
        <v>0</v>
      </c>
      <c r="N40" s="461">
        <f>IFERROR(__xludf.DUMMYFUNCTION("""COMPUTED_VALUE"""),0.0)</f>
        <v>0</v>
      </c>
      <c r="O40" s="461">
        <f>IFERROR(__xludf.DUMMYFUNCTION("""COMPUTED_VALUE"""),0.0)</f>
        <v>0</v>
      </c>
      <c r="P40" s="461">
        <f t="shared" ref="P40:P50" si="4">sum(D40:O40)</f>
        <v>0</v>
      </c>
    </row>
    <row r="41" ht="14.25" customHeight="1">
      <c r="A41" s="473" t="s">
        <v>791</v>
      </c>
      <c r="B41" s="459"/>
      <c r="C41" s="384" t="s">
        <v>1064</v>
      </c>
      <c r="D41" s="461">
        <f>IFERROR(__xludf.DUMMYFUNCTION("""COMPUTED_VALUE"""),0.0)</f>
        <v>0</v>
      </c>
      <c r="E41" s="461">
        <f>IFERROR(__xludf.DUMMYFUNCTION("""COMPUTED_VALUE"""),0.0)</f>
        <v>0</v>
      </c>
      <c r="F41" s="461">
        <f>IFERROR(__xludf.DUMMYFUNCTION("""COMPUTED_VALUE"""),0.0)</f>
        <v>0</v>
      </c>
      <c r="G41" s="461">
        <f>IFERROR(__xludf.DUMMYFUNCTION("""COMPUTED_VALUE"""),0.0)</f>
        <v>0</v>
      </c>
      <c r="H41" s="461">
        <f>IFERROR(__xludf.DUMMYFUNCTION("""COMPUTED_VALUE"""),0.0)</f>
        <v>0</v>
      </c>
      <c r="I41" s="461">
        <f>IFERROR(__xludf.DUMMYFUNCTION("""COMPUTED_VALUE"""),0.0)</f>
        <v>0</v>
      </c>
      <c r="J41" s="461">
        <f>IFERROR(__xludf.DUMMYFUNCTION("""COMPUTED_VALUE"""),0.0)</f>
        <v>0</v>
      </c>
      <c r="K41" s="461">
        <f>IFERROR(__xludf.DUMMYFUNCTION("""COMPUTED_VALUE"""),0.0)</f>
        <v>0</v>
      </c>
      <c r="L41" s="461">
        <f>IFERROR(__xludf.DUMMYFUNCTION("""COMPUTED_VALUE"""),0.0)</f>
        <v>0</v>
      </c>
      <c r="M41" s="461">
        <f>IFERROR(__xludf.DUMMYFUNCTION("""COMPUTED_VALUE"""),0.0)</f>
        <v>0</v>
      </c>
      <c r="N41" s="461">
        <f>IFERROR(__xludf.DUMMYFUNCTION("""COMPUTED_VALUE"""),0.0)</f>
        <v>0</v>
      </c>
      <c r="O41" s="461">
        <f>IFERROR(__xludf.DUMMYFUNCTION("""COMPUTED_VALUE"""),0.0)</f>
        <v>0</v>
      </c>
      <c r="P41" s="461">
        <f t="shared" si="4"/>
        <v>0</v>
      </c>
    </row>
    <row r="42" ht="14.25" customHeight="1">
      <c r="A42" s="473" t="s">
        <v>793</v>
      </c>
      <c r="B42" s="459"/>
      <c r="C42" s="384" t="s">
        <v>1065</v>
      </c>
      <c r="D42" s="461">
        <f>IFERROR(__xludf.DUMMYFUNCTION("""COMPUTED_VALUE"""),0.0)</f>
        <v>0</v>
      </c>
      <c r="E42" s="461">
        <f>IFERROR(__xludf.DUMMYFUNCTION("""COMPUTED_VALUE"""),0.0)</f>
        <v>0</v>
      </c>
      <c r="F42" s="461">
        <f>IFERROR(__xludf.DUMMYFUNCTION("""COMPUTED_VALUE"""),0.0)</f>
        <v>0</v>
      </c>
      <c r="G42" s="461">
        <f>IFERROR(__xludf.DUMMYFUNCTION("""COMPUTED_VALUE"""),0.0)</f>
        <v>0</v>
      </c>
      <c r="H42" s="461">
        <f>IFERROR(__xludf.DUMMYFUNCTION("""COMPUTED_VALUE"""),0.0)</f>
        <v>0</v>
      </c>
      <c r="I42" s="461">
        <f>IFERROR(__xludf.DUMMYFUNCTION("""COMPUTED_VALUE"""),0.0)</f>
        <v>0</v>
      </c>
      <c r="J42" s="461">
        <f>IFERROR(__xludf.DUMMYFUNCTION("""COMPUTED_VALUE"""),0.0)</f>
        <v>0</v>
      </c>
      <c r="K42" s="461">
        <f>IFERROR(__xludf.DUMMYFUNCTION("""COMPUTED_VALUE"""),0.0)</f>
        <v>0</v>
      </c>
      <c r="L42" s="461">
        <f>IFERROR(__xludf.DUMMYFUNCTION("""COMPUTED_VALUE"""),0.0)</f>
        <v>0</v>
      </c>
      <c r="M42" s="461">
        <f>IFERROR(__xludf.DUMMYFUNCTION("""COMPUTED_VALUE"""),0.0)</f>
        <v>0</v>
      </c>
      <c r="N42" s="461">
        <f>IFERROR(__xludf.DUMMYFUNCTION("""COMPUTED_VALUE"""),0.0)</f>
        <v>0</v>
      </c>
      <c r="O42" s="461">
        <f>IFERROR(__xludf.DUMMYFUNCTION("""COMPUTED_VALUE"""),0.0)</f>
        <v>0</v>
      </c>
      <c r="P42" s="461">
        <f t="shared" si="4"/>
        <v>0</v>
      </c>
    </row>
    <row r="43" ht="14.25" customHeight="1">
      <c r="A43" s="473" t="s">
        <v>795</v>
      </c>
      <c r="B43" s="459"/>
      <c r="C43" s="384" t="s">
        <v>1066</v>
      </c>
      <c r="D43" s="461">
        <f>IFERROR(__xludf.DUMMYFUNCTION("""COMPUTED_VALUE"""),0.0)</f>
        <v>0</v>
      </c>
      <c r="E43" s="461">
        <f>IFERROR(__xludf.DUMMYFUNCTION("""COMPUTED_VALUE"""),0.0)</f>
        <v>0</v>
      </c>
      <c r="F43" s="461">
        <f>IFERROR(__xludf.DUMMYFUNCTION("""COMPUTED_VALUE"""),0.0)</f>
        <v>0</v>
      </c>
      <c r="G43" s="461">
        <f>IFERROR(__xludf.DUMMYFUNCTION("""COMPUTED_VALUE"""),0.0)</f>
        <v>0</v>
      </c>
      <c r="H43" s="461">
        <f>IFERROR(__xludf.DUMMYFUNCTION("""COMPUTED_VALUE"""),0.0)</f>
        <v>0</v>
      </c>
      <c r="I43" s="461">
        <f>IFERROR(__xludf.DUMMYFUNCTION("""COMPUTED_VALUE"""),0.0)</f>
        <v>0</v>
      </c>
      <c r="J43" s="461">
        <f>IFERROR(__xludf.DUMMYFUNCTION("""COMPUTED_VALUE"""),0.0)</f>
        <v>0</v>
      </c>
      <c r="K43" s="461">
        <f>IFERROR(__xludf.DUMMYFUNCTION("""COMPUTED_VALUE"""),0.0)</f>
        <v>0</v>
      </c>
      <c r="L43" s="461">
        <f>IFERROR(__xludf.DUMMYFUNCTION("""COMPUTED_VALUE"""),0.0)</f>
        <v>0</v>
      </c>
      <c r="M43" s="461">
        <f>IFERROR(__xludf.DUMMYFUNCTION("""COMPUTED_VALUE"""),0.0)</f>
        <v>0</v>
      </c>
      <c r="N43" s="461">
        <f>IFERROR(__xludf.DUMMYFUNCTION("""COMPUTED_VALUE"""),0.0)</f>
        <v>0</v>
      </c>
      <c r="O43" s="461">
        <f>IFERROR(__xludf.DUMMYFUNCTION("""COMPUTED_VALUE"""),0.0)</f>
        <v>0</v>
      </c>
      <c r="P43" s="461">
        <f t="shared" si="4"/>
        <v>0</v>
      </c>
    </row>
    <row r="44" ht="14.25" customHeight="1">
      <c r="A44" s="473" t="s">
        <v>797</v>
      </c>
      <c r="B44" s="459"/>
      <c r="C44" s="384" t="s">
        <v>1067</v>
      </c>
      <c r="D44" s="461">
        <f>IFERROR(__xludf.DUMMYFUNCTION("""COMPUTED_VALUE"""),0.0)</f>
        <v>0</v>
      </c>
      <c r="E44" s="461">
        <f>IFERROR(__xludf.DUMMYFUNCTION("""COMPUTED_VALUE"""),0.0)</f>
        <v>0</v>
      </c>
      <c r="F44" s="461">
        <f>IFERROR(__xludf.DUMMYFUNCTION("""COMPUTED_VALUE"""),0.0)</f>
        <v>0</v>
      </c>
      <c r="G44" s="461">
        <f>IFERROR(__xludf.DUMMYFUNCTION("""COMPUTED_VALUE"""),0.0)</f>
        <v>0</v>
      </c>
      <c r="H44" s="461">
        <f>IFERROR(__xludf.DUMMYFUNCTION("""COMPUTED_VALUE"""),0.0)</f>
        <v>0</v>
      </c>
      <c r="I44" s="461">
        <f>IFERROR(__xludf.DUMMYFUNCTION("""COMPUTED_VALUE"""),0.0)</f>
        <v>0</v>
      </c>
      <c r="J44" s="461">
        <f>IFERROR(__xludf.DUMMYFUNCTION("""COMPUTED_VALUE"""),0.0)</f>
        <v>0</v>
      </c>
      <c r="K44" s="461">
        <f>IFERROR(__xludf.DUMMYFUNCTION("""COMPUTED_VALUE"""),0.0)</f>
        <v>0</v>
      </c>
      <c r="L44" s="461">
        <f>IFERROR(__xludf.DUMMYFUNCTION("""COMPUTED_VALUE"""),0.0)</f>
        <v>0</v>
      </c>
      <c r="M44" s="461">
        <f>IFERROR(__xludf.DUMMYFUNCTION("""COMPUTED_VALUE"""),0.0)</f>
        <v>0</v>
      </c>
      <c r="N44" s="461">
        <f>IFERROR(__xludf.DUMMYFUNCTION("""COMPUTED_VALUE"""),0.0)</f>
        <v>0</v>
      </c>
      <c r="O44" s="461">
        <f>IFERROR(__xludf.DUMMYFUNCTION("""COMPUTED_VALUE"""),0.0)</f>
        <v>0</v>
      </c>
      <c r="P44" s="461">
        <f t="shared" si="4"/>
        <v>0</v>
      </c>
    </row>
    <row r="45" ht="14.25" customHeight="1">
      <c r="A45" s="473" t="s">
        <v>799</v>
      </c>
      <c r="B45" s="459"/>
      <c r="C45" s="384" t="s">
        <v>1068</v>
      </c>
      <c r="D45" s="461">
        <f>IFERROR(__xludf.DUMMYFUNCTION("""COMPUTED_VALUE"""),0.0)</f>
        <v>0</v>
      </c>
      <c r="E45" s="461">
        <f>IFERROR(__xludf.DUMMYFUNCTION("""COMPUTED_VALUE"""),0.0)</f>
        <v>0</v>
      </c>
      <c r="F45" s="461">
        <f>IFERROR(__xludf.DUMMYFUNCTION("""COMPUTED_VALUE"""),0.0)</f>
        <v>0</v>
      </c>
      <c r="G45" s="461">
        <f>IFERROR(__xludf.DUMMYFUNCTION("""COMPUTED_VALUE"""),0.0)</f>
        <v>0</v>
      </c>
      <c r="H45" s="461">
        <f>IFERROR(__xludf.DUMMYFUNCTION("""COMPUTED_VALUE"""),0.0)</f>
        <v>0</v>
      </c>
      <c r="I45" s="461">
        <f>IFERROR(__xludf.DUMMYFUNCTION("""COMPUTED_VALUE"""),0.0)</f>
        <v>0</v>
      </c>
      <c r="J45" s="461">
        <f>IFERROR(__xludf.DUMMYFUNCTION("""COMPUTED_VALUE"""),0.0)</f>
        <v>0</v>
      </c>
      <c r="K45" s="461">
        <f>IFERROR(__xludf.DUMMYFUNCTION("""COMPUTED_VALUE"""),0.0)</f>
        <v>0</v>
      </c>
      <c r="L45" s="461">
        <f>IFERROR(__xludf.DUMMYFUNCTION("""COMPUTED_VALUE"""),0.0)</f>
        <v>0</v>
      </c>
      <c r="M45" s="461">
        <f>IFERROR(__xludf.DUMMYFUNCTION("""COMPUTED_VALUE"""),0.0)</f>
        <v>0</v>
      </c>
      <c r="N45" s="461">
        <f>IFERROR(__xludf.DUMMYFUNCTION("""COMPUTED_VALUE"""),0.0)</f>
        <v>0</v>
      </c>
      <c r="O45" s="461">
        <f>IFERROR(__xludf.DUMMYFUNCTION("""COMPUTED_VALUE"""),0.0)</f>
        <v>0</v>
      </c>
      <c r="P45" s="461">
        <f t="shared" si="4"/>
        <v>0</v>
      </c>
    </row>
    <row r="46" ht="14.25" customHeight="1">
      <c r="A46" s="473" t="s">
        <v>801</v>
      </c>
      <c r="B46" s="459"/>
      <c r="C46" s="384" t="s">
        <v>1069</v>
      </c>
      <c r="D46" s="461">
        <f>IFERROR(__xludf.DUMMYFUNCTION("""COMPUTED_VALUE"""),0.0)</f>
        <v>0</v>
      </c>
      <c r="E46" s="461">
        <f>IFERROR(__xludf.DUMMYFUNCTION("""COMPUTED_VALUE"""),0.0)</f>
        <v>0</v>
      </c>
      <c r="F46" s="461">
        <f>IFERROR(__xludf.DUMMYFUNCTION("""COMPUTED_VALUE"""),0.0)</f>
        <v>0</v>
      </c>
      <c r="G46" s="461">
        <f>IFERROR(__xludf.DUMMYFUNCTION("""COMPUTED_VALUE"""),0.0)</f>
        <v>0</v>
      </c>
      <c r="H46" s="461">
        <f>IFERROR(__xludf.DUMMYFUNCTION("""COMPUTED_VALUE"""),0.0)</f>
        <v>0</v>
      </c>
      <c r="I46" s="461">
        <f>IFERROR(__xludf.DUMMYFUNCTION("""COMPUTED_VALUE"""),0.0)</f>
        <v>0</v>
      </c>
      <c r="J46" s="461">
        <f>IFERROR(__xludf.DUMMYFUNCTION("""COMPUTED_VALUE"""),0.0)</f>
        <v>0</v>
      </c>
      <c r="K46" s="461">
        <f>IFERROR(__xludf.DUMMYFUNCTION("""COMPUTED_VALUE"""),0.0)</f>
        <v>0</v>
      </c>
      <c r="L46" s="461">
        <f>IFERROR(__xludf.DUMMYFUNCTION("""COMPUTED_VALUE"""),0.0)</f>
        <v>0</v>
      </c>
      <c r="M46" s="461">
        <f>IFERROR(__xludf.DUMMYFUNCTION("""COMPUTED_VALUE"""),0.0)</f>
        <v>0</v>
      </c>
      <c r="N46" s="461">
        <f>IFERROR(__xludf.DUMMYFUNCTION("""COMPUTED_VALUE"""),0.0)</f>
        <v>0</v>
      </c>
      <c r="O46" s="461">
        <f>IFERROR(__xludf.DUMMYFUNCTION("""COMPUTED_VALUE"""),0.0)</f>
        <v>0</v>
      </c>
      <c r="P46" s="461">
        <f t="shared" si="4"/>
        <v>0</v>
      </c>
    </row>
    <row r="47" ht="14.25" customHeight="1">
      <c r="A47" s="473" t="s">
        <v>803</v>
      </c>
      <c r="B47" s="459"/>
      <c r="C47" s="474" t="s">
        <v>1070</v>
      </c>
      <c r="D47" s="461">
        <f>IFERROR(__xludf.DUMMYFUNCTION("""COMPUTED_VALUE"""),0.0)</f>
        <v>0</v>
      </c>
      <c r="E47" s="461">
        <f>IFERROR(__xludf.DUMMYFUNCTION("""COMPUTED_VALUE"""),0.0)</f>
        <v>0</v>
      </c>
      <c r="F47" s="461">
        <f>IFERROR(__xludf.DUMMYFUNCTION("""COMPUTED_VALUE"""),0.0)</f>
        <v>0</v>
      </c>
      <c r="G47" s="461">
        <f>IFERROR(__xludf.DUMMYFUNCTION("""COMPUTED_VALUE"""),0.0)</f>
        <v>0</v>
      </c>
      <c r="H47" s="461">
        <f>IFERROR(__xludf.DUMMYFUNCTION("""COMPUTED_VALUE"""),0.0)</f>
        <v>0</v>
      </c>
      <c r="I47" s="461">
        <f>IFERROR(__xludf.DUMMYFUNCTION("""COMPUTED_VALUE"""),0.0)</f>
        <v>0</v>
      </c>
      <c r="J47" s="461">
        <f>IFERROR(__xludf.DUMMYFUNCTION("""COMPUTED_VALUE"""),0.0)</f>
        <v>0</v>
      </c>
      <c r="K47" s="461">
        <f>IFERROR(__xludf.DUMMYFUNCTION("""COMPUTED_VALUE"""),0.0)</f>
        <v>0</v>
      </c>
      <c r="L47" s="461">
        <f>IFERROR(__xludf.DUMMYFUNCTION("""COMPUTED_VALUE"""),0.0)</f>
        <v>0</v>
      </c>
      <c r="M47" s="461">
        <f>IFERROR(__xludf.DUMMYFUNCTION("""COMPUTED_VALUE"""),0.0)</f>
        <v>0</v>
      </c>
      <c r="N47" s="461">
        <f>IFERROR(__xludf.DUMMYFUNCTION("""COMPUTED_VALUE"""),0.0)</f>
        <v>0</v>
      </c>
      <c r="O47" s="461">
        <f>IFERROR(__xludf.DUMMYFUNCTION("""COMPUTED_VALUE"""),0.0)</f>
        <v>0</v>
      </c>
      <c r="P47" s="461">
        <f t="shared" si="4"/>
        <v>0</v>
      </c>
    </row>
    <row r="48" ht="14.25" customHeight="1">
      <c r="A48" s="473" t="s">
        <v>805</v>
      </c>
      <c r="B48" s="477"/>
      <c r="C48" s="384" t="s">
        <v>806</v>
      </c>
      <c r="D48" s="461">
        <f>IFERROR(__xludf.DUMMYFUNCTION("""COMPUTED_VALUE"""),0.0)</f>
        <v>0</v>
      </c>
      <c r="E48" s="461">
        <f>IFERROR(__xludf.DUMMYFUNCTION("""COMPUTED_VALUE"""),0.0)</f>
        <v>0</v>
      </c>
      <c r="F48" s="461">
        <f>IFERROR(__xludf.DUMMYFUNCTION("""COMPUTED_VALUE"""),0.0)</f>
        <v>0</v>
      </c>
      <c r="G48" s="461">
        <f>IFERROR(__xludf.DUMMYFUNCTION("""COMPUTED_VALUE"""),0.0)</f>
        <v>0</v>
      </c>
      <c r="H48" s="461">
        <f>IFERROR(__xludf.DUMMYFUNCTION("""COMPUTED_VALUE"""),0.0)</f>
        <v>0</v>
      </c>
      <c r="I48" s="461">
        <f>IFERROR(__xludf.DUMMYFUNCTION("""COMPUTED_VALUE"""),0.0)</f>
        <v>0</v>
      </c>
      <c r="J48" s="461">
        <f>IFERROR(__xludf.DUMMYFUNCTION("""COMPUTED_VALUE"""),0.0)</f>
        <v>0</v>
      </c>
      <c r="K48" s="461">
        <f>IFERROR(__xludf.DUMMYFUNCTION("""COMPUTED_VALUE"""),0.0)</f>
        <v>0</v>
      </c>
      <c r="L48" s="461">
        <f>IFERROR(__xludf.DUMMYFUNCTION("""COMPUTED_VALUE"""),0.0)</f>
        <v>0</v>
      </c>
      <c r="M48" s="461">
        <f>IFERROR(__xludf.DUMMYFUNCTION("""COMPUTED_VALUE"""),0.0)</f>
        <v>0</v>
      </c>
      <c r="N48" s="461">
        <f>IFERROR(__xludf.DUMMYFUNCTION("""COMPUTED_VALUE"""),0.0)</f>
        <v>0</v>
      </c>
      <c r="O48" s="461">
        <f>IFERROR(__xludf.DUMMYFUNCTION("""COMPUTED_VALUE"""),0.0)</f>
        <v>0</v>
      </c>
      <c r="P48" s="461">
        <f t="shared" si="4"/>
        <v>0</v>
      </c>
    </row>
    <row r="49" ht="14.25" customHeight="1">
      <c r="A49" s="473" t="s">
        <v>807</v>
      </c>
      <c r="B49" s="459"/>
      <c r="C49" s="384" t="s">
        <v>808</v>
      </c>
      <c r="D49" s="461">
        <f>IFERROR(__xludf.DUMMYFUNCTION("""COMPUTED_VALUE"""),0.0)</f>
        <v>0</v>
      </c>
      <c r="E49" s="461">
        <f>IFERROR(__xludf.DUMMYFUNCTION("""COMPUTED_VALUE"""),0.0)</f>
        <v>0</v>
      </c>
      <c r="F49" s="461">
        <f>IFERROR(__xludf.DUMMYFUNCTION("""COMPUTED_VALUE"""),0.0)</f>
        <v>0</v>
      </c>
      <c r="G49" s="461">
        <f>IFERROR(__xludf.DUMMYFUNCTION("""COMPUTED_VALUE"""),0.0)</f>
        <v>0</v>
      </c>
      <c r="H49" s="461">
        <f>IFERROR(__xludf.DUMMYFUNCTION("""COMPUTED_VALUE"""),0.0)</f>
        <v>0</v>
      </c>
      <c r="I49" s="461">
        <f>IFERROR(__xludf.DUMMYFUNCTION("""COMPUTED_VALUE"""),0.0)</f>
        <v>0</v>
      </c>
      <c r="J49" s="461">
        <f>IFERROR(__xludf.DUMMYFUNCTION("""COMPUTED_VALUE"""),0.0)</f>
        <v>0</v>
      </c>
      <c r="K49" s="461">
        <f>IFERROR(__xludf.DUMMYFUNCTION("""COMPUTED_VALUE"""),0.0)</f>
        <v>0</v>
      </c>
      <c r="L49" s="461">
        <f>IFERROR(__xludf.DUMMYFUNCTION("""COMPUTED_VALUE"""),0.0)</f>
        <v>0</v>
      </c>
      <c r="M49" s="461">
        <f>IFERROR(__xludf.DUMMYFUNCTION("""COMPUTED_VALUE"""),0.0)</f>
        <v>0</v>
      </c>
      <c r="N49" s="461">
        <f>IFERROR(__xludf.DUMMYFUNCTION("""COMPUTED_VALUE"""),0.0)</f>
        <v>0</v>
      </c>
      <c r="O49" s="461">
        <f>IFERROR(__xludf.DUMMYFUNCTION("""COMPUTED_VALUE"""),0.0)</f>
        <v>0</v>
      </c>
      <c r="P49" s="461">
        <f t="shared" si="4"/>
        <v>0</v>
      </c>
    </row>
    <row r="50" ht="14.25" customHeight="1">
      <c r="A50" s="473" t="s">
        <v>1071</v>
      </c>
      <c r="B50" s="459"/>
      <c r="C50" s="384" t="s">
        <v>1072</v>
      </c>
      <c r="D50" s="461">
        <f>IFERROR(__xludf.DUMMYFUNCTION("""COMPUTED_VALUE"""),0.0)</f>
        <v>0</v>
      </c>
      <c r="E50" s="461">
        <f>IFERROR(__xludf.DUMMYFUNCTION("""COMPUTED_VALUE"""),0.0)</f>
        <v>0</v>
      </c>
      <c r="F50" s="461">
        <f>IFERROR(__xludf.DUMMYFUNCTION("""COMPUTED_VALUE"""),0.0)</f>
        <v>0</v>
      </c>
      <c r="G50" s="461">
        <f>IFERROR(__xludf.DUMMYFUNCTION("""COMPUTED_VALUE"""),0.0)</f>
        <v>0</v>
      </c>
      <c r="H50" s="461">
        <f>IFERROR(__xludf.DUMMYFUNCTION("""COMPUTED_VALUE"""),0.0)</f>
        <v>0</v>
      </c>
      <c r="I50" s="461">
        <f>IFERROR(__xludf.DUMMYFUNCTION("""COMPUTED_VALUE"""),0.0)</f>
        <v>0</v>
      </c>
      <c r="J50" s="461">
        <f>IFERROR(__xludf.DUMMYFUNCTION("""COMPUTED_VALUE"""),0.0)</f>
        <v>0</v>
      </c>
      <c r="K50" s="461">
        <f>IFERROR(__xludf.DUMMYFUNCTION("""COMPUTED_VALUE"""),0.0)</f>
        <v>0</v>
      </c>
      <c r="L50" s="461">
        <f>IFERROR(__xludf.DUMMYFUNCTION("""COMPUTED_VALUE"""),0.0)</f>
        <v>0</v>
      </c>
      <c r="M50" s="461">
        <f>IFERROR(__xludf.DUMMYFUNCTION("""COMPUTED_VALUE"""),0.0)</f>
        <v>0</v>
      </c>
      <c r="N50" s="461">
        <f>IFERROR(__xludf.DUMMYFUNCTION("""COMPUTED_VALUE"""),0.0)</f>
        <v>0</v>
      </c>
      <c r="O50" s="461">
        <f>IFERROR(__xludf.DUMMYFUNCTION("""COMPUTED_VALUE"""),0.0)</f>
        <v>0</v>
      </c>
      <c r="P50" s="461">
        <f t="shared" si="4"/>
        <v>0</v>
      </c>
    </row>
    <row r="51" ht="14.25" customHeight="1">
      <c r="A51" s="463" t="s">
        <v>809</v>
      </c>
      <c r="B51" s="470"/>
      <c r="C51" s="476"/>
      <c r="D51" s="475">
        <f>IFERROR(__xludf.DUMMYFUNCTION("""COMPUTED_VALUE"""),0.0)</f>
        <v>0</v>
      </c>
      <c r="E51" s="475">
        <f>IFERROR(__xludf.DUMMYFUNCTION("""COMPUTED_VALUE"""),0.0)</f>
        <v>0</v>
      </c>
      <c r="F51" s="475">
        <f>IFERROR(__xludf.DUMMYFUNCTION("""COMPUTED_VALUE"""),0.0)</f>
        <v>0</v>
      </c>
      <c r="G51" s="475">
        <f>IFERROR(__xludf.DUMMYFUNCTION("""COMPUTED_VALUE"""),0.0)</f>
        <v>0</v>
      </c>
      <c r="H51" s="475">
        <f>IFERROR(__xludf.DUMMYFUNCTION("""COMPUTED_VALUE"""),0.0)</f>
        <v>0</v>
      </c>
      <c r="I51" s="475">
        <f>IFERROR(__xludf.DUMMYFUNCTION("""COMPUTED_VALUE"""),0.0)</f>
        <v>0</v>
      </c>
      <c r="J51" s="475">
        <f>IFERROR(__xludf.DUMMYFUNCTION("""COMPUTED_VALUE"""),0.0)</f>
        <v>0</v>
      </c>
      <c r="K51" s="475">
        <f>IFERROR(__xludf.DUMMYFUNCTION("""COMPUTED_VALUE"""),0.0)</f>
        <v>0</v>
      </c>
      <c r="L51" s="475">
        <f>IFERROR(__xludf.DUMMYFUNCTION("""COMPUTED_VALUE"""),0.0)</f>
        <v>0</v>
      </c>
      <c r="M51" s="475">
        <f>IFERROR(__xludf.DUMMYFUNCTION("""COMPUTED_VALUE"""),0.0)</f>
        <v>0</v>
      </c>
      <c r="N51" s="475">
        <f>IFERROR(__xludf.DUMMYFUNCTION("""COMPUTED_VALUE"""),0.0)</f>
        <v>0</v>
      </c>
      <c r="O51" s="475">
        <f>IFERROR(__xludf.DUMMYFUNCTION("""COMPUTED_VALUE"""),0.0)</f>
        <v>0</v>
      </c>
      <c r="P51" s="475">
        <f>sum(P40:P50)</f>
        <v>0</v>
      </c>
    </row>
    <row r="52" ht="14.25" customHeight="1">
      <c r="A52" s="473" t="s">
        <v>811</v>
      </c>
      <c r="B52" s="459"/>
      <c r="C52" s="384" t="s">
        <v>1073</v>
      </c>
      <c r="D52" s="461">
        <f>IFERROR(__xludf.DUMMYFUNCTION("""COMPUTED_VALUE"""),0.0)</f>
        <v>0</v>
      </c>
      <c r="E52" s="461">
        <f>IFERROR(__xludf.DUMMYFUNCTION("""COMPUTED_VALUE"""),0.0)</f>
        <v>0</v>
      </c>
      <c r="F52" s="461">
        <f>IFERROR(__xludf.DUMMYFUNCTION("""COMPUTED_VALUE"""),0.0)</f>
        <v>0</v>
      </c>
      <c r="G52" s="461">
        <f>IFERROR(__xludf.DUMMYFUNCTION("""COMPUTED_VALUE"""),0.0)</f>
        <v>0</v>
      </c>
      <c r="H52" s="461">
        <f>IFERROR(__xludf.DUMMYFUNCTION("""COMPUTED_VALUE"""),0.0)</f>
        <v>0</v>
      </c>
      <c r="I52" s="461">
        <f>IFERROR(__xludf.DUMMYFUNCTION("""COMPUTED_VALUE"""),0.0)</f>
        <v>0</v>
      </c>
      <c r="J52" s="461">
        <f>IFERROR(__xludf.DUMMYFUNCTION("""COMPUTED_VALUE"""),0.0)</f>
        <v>0</v>
      </c>
      <c r="K52" s="461">
        <f>IFERROR(__xludf.DUMMYFUNCTION("""COMPUTED_VALUE"""),0.0)</f>
        <v>0</v>
      </c>
      <c r="L52" s="461">
        <f>IFERROR(__xludf.DUMMYFUNCTION("""COMPUTED_VALUE"""),0.0)</f>
        <v>0</v>
      </c>
      <c r="M52" s="461">
        <f>IFERROR(__xludf.DUMMYFUNCTION("""COMPUTED_VALUE"""),0.0)</f>
        <v>0</v>
      </c>
      <c r="N52" s="461">
        <f>IFERROR(__xludf.DUMMYFUNCTION("""COMPUTED_VALUE"""),0.0)</f>
        <v>0</v>
      </c>
      <c r="O52" s="461">
        <f>IFERROR(__xludf.DUMMYFUNCTION("""COMPUTED_VALUE"""),0.0)</f>
        <v>0</v>
      </c>
      <c r="P52" s="461">
        <f t="shared" ref="P52:P54" si="5">sum(D52:O52)</f>
        <v>0</v>
      </c>
    </row>
    <row r="53" ht="14.25" customHeight="1">
      <c r="A53" s="473" t="s">
        <v>813</v>
      </c>
      <c r="B53" s="459"/>
      <c r="C53" s="384" t="s">
        <v>1074</v>
      </c>
      <c r="D53" s="461">
        <f>IFERROR(__xludf.DUMMYFUNCTION("""COMPUTED_VALUE"""),0.0)</f>
        <v>0</v>
      </c>
      <c r="E53" s="461">
        <f>IFERROR(__xludf.DUMMYFUNCTION("""COMPUTED_VALUE"""),0.0)</f>
        <v>0</v>
      </c>
      <c r="F53" s="461">
        <f>IFERROR(__xludf.DUMMYFUNCTION("""COMPUTED_VALUE"""),0.0)</f>
        <v>0</v>
      </c>
      <c r="G53" s="461">
        <f>IFERROR(__xludf.DUMMYFUNCTION("""COMPUTED_VALUE"""),0.0)</f>
        <v>0</v>
      </c>
      <c r="H53" s="461">
        <f>IFERROR(__xludf.DUMMYFUNCTION("""COMPUTED_VALUE"""),0.0)</f>
        <v>0</v>
      </c>
      <c r="I53" s="461">
        <f>IFERROR(__xludf.DUMMYFUNCTION("""COMPUTED_VALUE"""),0.0)</f>
        <v>0</v>
      </c>
      <c r="J53" s="461">
        <f>IFERROR(__xludf.DUMMYFUNCTION("""COMPUTED_VALUE"""),0.0)</f>
        <v>0</v>
      </c>
      <c r="K53" s="461">
        <f>IFERROR(__xludf.DUMMYFUNCTION("""COMPUTED_VALUE"""),0.0)</f>
        <v>0</v>
      </c>
      <c r="L53" s="461">
        <f>IFERROR(__xludf.DUMMYFUNCTION("""COMPUTED_VALUE"""),0.0)</f>
        <v>0</v>
      </c>
      <c r="M53" s="461">
        <f>IFERROR(__xludf.DUMMYFUNCTION("""COMPUTED_VALUE"""),0.0)</f>
        <v>0</v>
      </c>
      <c r="N53" s="461">
        <f>IFERROR(__xludf.DUMMYFUNCTION("""COMPUTED_VALUE"""),0.0)</f>
        <v>0</v>
      </c>
      <c r="O53" s="461">
        <f>IFERROR(__xludf.DUMMYFUNCTION("""COMPUTED_VALUE"""),0.0)</f>
        <v>0</v>
      </c>
      <c r="P53" s="461">
        <f t="shared" si="5"/>
        <v>0</v>
      </c>
    </row>
    <row r="54" ht="14.25" customHeight="1">
      <c r="A54" s="473" t="s">
        <v>815</v>
      </c>
      <c r="B54" s="459"/>
      <c r="C54" s="384" t="s">
        <v>1075</v>
      </c>
      <c r="D54" s="461">
        <f>IFERROR(__xludf.DUMMYFUNCTION("""COMPUTED_VALUE"""),0.0)</f>
        <v>0</v>
      </c>
      <c r="E54" s="461">
        <f>IFERROR(__xludf.DUMMYFUNCTION("""COMPUTED_VALUE"""),0.0)</f>
        <v>0</v>
      </c>
      <c r="F54" s="461">
        <f>IFERROR(__xludf.DUMMYFUNCTION("""COMPUTED_VALUE"""),0.0)</f>
        <v>0</v>
      </c>
      <c r="G54" s="461">
        <f>IFERROR(__xludf.DUMMYFUNCTION("""COMPUTED_VALUE"""),0.0)</f>
        <v>0</v>
      </c>
      <c r="H54" s="461">
        <f>IFERROR(__xludf.DUMMYFUNCTION("""COMPUTED_VALUE"""),0.0)</f>
        <v>0</v>
      </c>
      <c r="I54" s="461">
        <f>IFERROR(__xludf.DUMMYFUNCTION("""COMPUTED_VALUE"""),0.0)</f>
        <v>0</v>
      </c>
      <c r="J54" s="461">
        <f>IFERROR(__xludf.DUMMYFUNCTION("""COMPUTED_VALUE"""),0.0)</f>
        <v>0</v>
      </c>
      <c r="K54" s="461">
        <f>IFERROR(__xludf.DUMMYFUNCTION("""COMPUTED_VALUE"""),0.0)</f>
        <v>0</v>
      </c>
      <c r="L54" s="461">
        <f>IFERROR(__xludf.DUMMYFUNCTION("""COMPUTED_VALUE"""),0.0)</f>
        <v>0</v>
      </c>
      <c r="M54" s="461">
        <f>IFERROR(__xludf.DUMMYFUNCTION("""COMPUTED_VALUE"""),0.0)</f>
        <v>0</v>
      </c>
      <c r="N54" s="461">
        <f>IFERROR(__xludf.DUMMYFUNCTION("""COMPUTED_VALUE"""),0.0)</f>
        <v>0</v>
      </c>
      <c r="O54" s="461">
        <f>IFERROR(__xludf.DUMMYFUNCTION("""COMPUTED_VALUE"""),0.0)</f>
        <v>0</v>
      </c>
      <c r="P54" s="461">
        <f t="shared" si="5"/>
        <v>0</v>
      </c>
    </row>
    <row r="55" ht="14.25" customHeight="1">
      <c r="A55" s="463" t="s">
        <v>1021</v>
      </c>
      <c r="B55" s="470"/>
      <c r="C55" s="476"/>
      <c r="D55" s="475">
        <f>IFERROR(__xludf.DUMMYFUNCTION("""COMPUTED_VALUE"""),0.0)</f>
        <v>0</v>
      </c>
      <c r="E55" s="475">
        <f>IFERROR(__xludf.DUMMYFUNCTION("""COMPUTED_VALUE"""),0.0)</f>
        <v>0</v>
      </c>
      <c r="F55" s="475">
        <f>IFERROR(__xludf.DUMMYFUNCTION("""COMPUTED_VALUE"""),0.0)</f>
        <v>0</v>
      </c>
      <c r="G55" s="475">
        <f>IFERROR(__xludf.DUMMYFUNCTION("""COMPUTED_VALUE"""),0.0)</f>
        <v>0</v>
      </c>
      <c r="H55" s="475">
        <f>IFERROR(__xludf.DUMMYFUNCTION("""COMPUTED_VALUE"""),0.0)</f>
        <v>0</v>
      </c>
      <c r="I55" s="475">
        <f>IFERROR(__xludf.DUMMYFUNCTION("""COMPUTED_VALUE"""),0.0)</f>
        <v>0</v>
      </c>
      <c r="J55" s="475">
        <f>IFERROR(__xludf.DUMMYFUNCTION("""COMPUTED_VALUE"""),0.0)</f>
        <v>0</v>
      </c>
      <c r="K55" s="475">
        <f>IFERROR(__xludf.DUMMYFUNCTION("""COMPUTED_VALUE"""),0.0)</f>
        <v>0</v>
      </c>
      <c r="L55" s="475">
        <f>IFERROR(__xludf.DUMMYFUNCTION("""COMPUTED_VALUE"""),0.0)</f>
        <v>0</v>
      </c>
      <c r="M55" s="475">
        <f>IFERROR(__xludf.DUMMYFUNCTION("""COMPUTED_VALUE"""),0.0)</f>
        <v>0</v>
      </c>
      <c r="N55" s="475">
        <f>IFERROR(__xludf.DUMMYFUNCTION("""COMPUTED_VALUE"""),0.0)</f>
        <v>0</v>
      </c>
      <c r="O55" s="475">
        <f>IFERROR(__xludf.DUMMYFUNCTION("""COMPUTED_VALUE"""),0.0)</f>
        <v>0</v>
      </c>
      <c r="P55" s="475">
        <f>sum(P52:P54)</f>
        <v>0</v>
      </c>
    </row>
    <row r="56" ht="14.25" customHeight="1">
      <c r="A56" s="473" t="s">
        <v>1076</v>
      </c>
      <c r="B56" s="459"/>
      <c r="C56" s="384" t="s">
        <v>818</v>
      </c>
      <c r="D56" s="461">
        <f>IFERROR(__xludf.DUMMYFUNCTION("""COMPUTED_VALUE"""),0.0)</f>
        <v>0</v>
      </c>
      <c r="E56" s="461">
        <f>IFERROR(__xludf.DUMMYFUNCTION("""COMPUTED_VALUE"""),0.0)</f>
        <v>0</v>
      </c>
      <c r="F56" s="461">
        <f>IFERROR(__xludf.DUMMYFUNCTION("""COMPUTED_VALUE"""),0.0)</f>
        <v>0</v>
      </c>
      <c r="G56" s="461">
        <f>IFERROR(__xludf.DUMMYFUNCTION("""COMPUTED_VALUE"""),0.0)</f>
        <v>0</v>
      </c>
      <c r="H56" s="461">
        <f>IFERROR(__xludf.DUMMYFUNCTION("""COMPUTED_VALUE"""),0.0)</f>
        <v>0</v>
      </c>
      <c r="I56" s="461">
        <f>IFERROR(__xludf.DUMMYFUNCTION("""COMPUTED_VALUE"""),0.0)</f>
        <v>0</v>
      </c>
      <c r="J56" s="461">
        <f>IFERROR(__xludf.DUMMYFUNCTION("""COMPUTED_VALUE"""),0.0)</f>
        <v>0</v>
      </c>
      <c r="K56" s="461">
        <f>IFERROR(__xludf.DUMMYFUNCTION("""COMPUTED_VALUE"""),0.0)</f>
        <v>0</v>
      </c>
      <c r="L56" s="461">
        <f>IFERROR(__xludf.DUMMYFUNCTION("""COMPUTED_VALUE"""),0.0)</f>
        <v>0</v>
      </c>
      <c r="M56" s="461">
        <f>IFERROR(__xludf.DUMMYFUNCTION("""COMPUTED_VALUE"""),0.0)</f>
        <v>0</v>
      </c>
      <c r="N56" s="461">
        <f>IFERROR(__xludf.DUMMYFUNCTION("""COMPUTED_VALUE"""),0.0)</f>
        <v>0</v>
      </c>
      <c r="O56" s="461">
        <f>IFERROR(__xludf.DUMMYFUNCTION("""COMPUTED_VALUE"""),0.0)</f>
        <v>0</v>
      </c>
      <c r="P56" s="461">
        <f t="shared" ref="P56:P57" si="6">sum(D56:O56)</f>
        <v>0</v>
      </c>
    </row>
    <row r="57" ht="14.25" customHeight="1">
      <c r="A57" s="473" t="s">
        <v>1077</v>
      </c>
      <c r="B57" s="459"/>
      <c r="C57" s="384" t="s">
        <v>819</v>
      </c>
      <c r="D57" s="461">
        <f>IFERROR(__xludf.DUMMYFUNCTION("""COMPUTED_VALUE"""),0.0)</f>
        <v>0</v>
      </c>
      <c r="E57" s="461">
        <f>IFERROR(__xludf.DUMMYFUNCTION("""COMPUTED_VALUE"""),0.0)</f>
        <v>0</v>
      </c>
      <c r="F57" s="461">
        <f>IFERROR(__xludf.DUMMYFUNCTION("""COMPUTED_VALUE"""),0.0)</f>
        <v>0</v>
      </c>
      <c r="G57" s="461">
        <f>IFERROR(__xludf.DUMMYFUNCTION("""COMPUTED_VALUE"""),0.0)</f>
        <v>0</v>
      </c>
      <c r="H57" s="461">
        <f>IFERROR(__xludf.DUMMYFUNCTION("""COMPUTED_VALUE"""),0.0)</f>
        <v>0</v>
      </c>
      <c r="I57" s="461">
        <f>IFERROR(__xludf.DUMMYFUNCTION("""COMPUTED_VALUE"""),0.0)</f>
        <v>0</v>
      </c>
      <c r="J57" s="461">
        <f>IFERROR(__xludf.DUMMYFUNCTION("""COMPUTED_VALUE"""),0.0)</f>
        <v>0</v>
      </c>
      <c r="K57" s="461">
        <f>IFERROR(__xludf.DUMMYFUNCTION("""COMPUTED_VALUE"""),0.0)</f>
        <v>0</v>
      </c>
      <c r="L57" s="461">
        <f>IFERROR(__xludf.DUMMYFUNCTION("""COMPUTED_VALUE"""),0.0)</f>
        <v>0</v>
      </c>
      <c r="M57" s="461">
        <f>IFERROR(__xludf.DUMMYFUNCTION("""COMPUTED_VALUE"""),0.0)</f>
        <v>0</v>
      </c>
      <c r="N57" s="461">
        <f>IFERROR(__xludf.DUMMYFUNCTION("""COMPUTED_VALUE"""),0.0)</f>
        <v>0</v>
      </c>
      <c r="O57" s="461">
        <f>IFERROR(__xludf.DUMMYFUNCTION("""COMPUTED_VALUE"""),0.0)</f>
        <v>0</v>
      </c>
      <c r="P57" s="461">
        <f t="shared" si="6"/>
        <v>0</v>
      </c>
    </row>
    <row r="58" ht="14.25" customHeight="1">
      <c r="A58" s="463" t="s">
        <v>820</v>
      </c>
      <c r="B58" s="470"/>
      <c r="C58" s="476"/>
      <c r="D58" s="475">
        <f>IFERROR(__xludf.DUMMYFUNCTION("""COMPUTED_VALUE"""),0.0)</f>
        <v>0</v>
      </c>
      <c r="E58" s="475">
        <f>IFERROR(__xludf.DUMMYFUNCTION("""COMPUTED_VALUE"""),0.0)</f>
        <v>0</v>
      </c>
      <c r="F58" s="475">
        <f>IFERROR(__xludf.DUMMYFUNCTION("""COMPUTED_VALUE"""),0.0)</f>
        <v>0</v>
      </c>
      <c r="G58" s="475">
        <f>IFERROR(__xludf.DUMMYFUNCTION("""COMPUTED_VALUE"""),0.0)</f>
        <v>0</v>
      </c>
      <c r="H58" s="475">
        <f>IFERROR(__xludf.DUMMYFUNCTION("""COMPUTED_VALUE"""),0.0)</f>
        <v>0</v>
      </c>
      <c r="I58" s="475">
        <f>IFERROR(__xludf.DUMMYFUNCTION("""COMPUTED_VALUE"""),0.0)</f>
        <v>0</v>
      </c>
      <c r="J58" s="475">
        <f>IFERROR(__xludf.DUMMYFUNCTION("""COMPUTED_VALUE"""),0.0)</f>
        <v>0</v>
      </c>
      <c r="K58" s="475">
        <f>IFERROR(__xludf.DUMMYFUNCTION("""COMPUTED_VALUE"""),0.0)</f>
        <v>0</v>
      </c>
      <c r="L58" s="475">
        <f>IFERROR(__xludf.DUMMYFUNCTION("""COMPUTED_VALUE"""),0.0)</f>
        <v>0</v>
      </c>
      <c r="M58" s="475">
        <f>IFERROR(__xludf.DUMMYFUNCTION("""COMPUTED_VALUE"""),0.0)</f>
        <v>0</v>
      </c>
      <c r="N58" s="475">
        <f>IFERROR(__xludf.DUMMYFUNCTION("""COMPUTED_VALUE"""),0.0)</f>
        <v>0</v>
      </c>
      <c r="O58" s="475">
        <f>IFERROR(__xludf.DUMMYFUNCTION("""COMPUTED_VALUE"""),0.0)</f>
        <v>0</v>
      </c>
      <c r="P58" s="475">
        <f>sum(P56:P57)</f>
        <v>0</v>
      </c>
    </row>
    <row r="59" ht="14.25" customHeight="1">
      <c r="A59" s="478" t="s">
        <v>822</v>
      </c>
      <c r="B59" s="479"/>
      <c r="C59" s="480"/>
      <c r="D59" s="481">
        <f>IFERROR(__xludf.DUMMYFUNCTION("""COMPUTED_VALUE"""),176507.37659463333)</f>
        <v>176507.3766</v>
      </c>
      <c r="E59" s="481">
        <f>IFERROR(__xludf.DUMMYFUNCTION("""COMPUTED_VALUE"""),190691.52419713335)</f>
        <v>190691.5242</v>
      </c>
      <c r="F59" s="481">
        <f>IFERROR(__xludf.DUMMYFUNCTION("""COMPUTED_VALUE"""),179280.48532713333)</f>
        <v>179280.4853</v>
      </c>
      <c r="G59" s="481">
        <f>IFERROR(__xludf.DUMMYFUNCTION("""COMPUTED_VALUE"""),121950.83082713332)</f>
        <v>121950.8308</v>
      </c>
      <c r="H59" s="481">
        <f>IFERROR(__xludf.DUMMYFUNCTION("""COMPUTED_VALUE"""),143571.48695163336)</f>
        <v>143571.487</v>
      </c>
      <c r="I59" s="481">
        <f>IFERROR(__xludf.DUMMYFUNCTION("""COMPUTED_VALUE"""),151805.30041888333)</f>
        <v>151805.3004</v>
      </c>
      <c r="J59" s="481">
        <f>IFERROR(__xludf.DUMMYFUNCTION("""COMPUTED_VALUE"""),165428.70881813334)</f>
        <v>165428.7088</v>
      </c>
      <c r="K59" s="481">
        <f>IFERROR(__xludf.DUMMYFUNCTION("""COMPUTED_VALUE"""),194609.74460038333)</f>
        <v>194609.7446</v>
      </c>
      <c r="L59" s="481">
        <f>IFERROR(__xludf.DUMMYFUNCTION("""COMPUTED_VALUE"""),178206.27123513338)</f>
        <v>178206.2712</v>
      </c>
      <c r="M59" s="481">
        <f>IFERROR(__xludf.DUMMYFUNCTION("""COMPUTED_VALUE"""),173293.15610063335)</f>
        <v>173293.1561</v>
      </c>
      <c r="N59" s="481">
        <f>IFERROR(__xludf.DUMMYFUNCTION("""COMPUTED_VALUE"""),190598.48032663332)</f>
        <v>190598.4803</v>
      </c>
      <c r="O59" s="481">
        <f>IFERROR(__xludf.DUMMYFUNCTION("""COMPUTED_VALUE"""),104161.42098288334)</f>
        <v>104161.421</v>
      </c>
      <c r="P59" s="481">
        <f>P58+P55+P51+P39+P29+P27+P11</f>
        <v>1970104.786</v>
      </c>
    </row>
    <row r="60" ht="14.25" customHeight="1">
      <c r="A60" s="469" t="s">
        <v>834</v>
      </c>
      <c r="B60" s="459"/>
      <c r="C60" s="477" t="s">
        <v>1078</v>
      </c>
      <c r="D60" s="461">
        <f>IFERROR(__xludf.DUMMYFUNCTION("""COMPUTED_VALUE"""),0.0)</f>
        <v>0</v>
      </c>
      <c r="E60" s="461">
        <f>IFERROR(__xludf.DUMMYFUNCTION("""COMPUTED_VALUE"""),0.0)</f>
        <v>0</v>
      </c>
      <c r="F60" s="461">
        <f>IFERROR(__xludf.DUMMYFUNCTION("""COMPUTED_VALUE"""),0.0)</f>
        <v>0</v>
      </c>
      <c r="G60" s="461">
        <f>IFERROR(__xludf.DUMMYFUNCTION("""COMPUTED_VALUE"""),0.0)</f>
        <v>0</v>
      </c>
      <c r="H60" s="461">
        <f>IFERROR(__xludf.DUMMYFUNCTION("""COMPUTED_VALUE"""),0.0)</f>
        <v>0</v>
      </c>
      <c r="I60" s="461">
        <f>IFERROR(__xludf.DUMMYFUNCTION("""COMPUTED_VALUE"""),0.0)</f>
        <v>0</v>
      </c>
      <c r="J60" s="461">
        <f>IFERROR(__xludf.DUMMYFUNCTION("""COMPUTED_VALUE"""),0.0)</f>
        <v>0</v>
      </c>
      <c r="K60" s="461">
        <f>IFERROR(__xludf.DUMMYFUNCTION("""COMPUTED_VALUE"""),0.0)</f>
        <v>0</v>
      </c>
      <c r="L60" s="461">
        <f>IFERROR(__xludf.DUMMYFUNCTION("""COMPUTED_VALUE"""),0.0)</f>
        <v>0</v>
      </c>
      <c r="M60" s="461">
        <f>IFERROR(__xludf.DUMMYFUNCTION("""COMPUTED_VALUE"""),0.0)</f>
        <v>0</v>
      </c>
      <c r="N60" s="461">
        <f>IFERROR(__xludf.DUMMYFUNCTION("""COMPUTED_VALUE"""),0.0)</f>
        <v>0</v>
      </c>
      <c r="O60" s="461">
        <f>IFERROR(__xludf.DUMMYFUNCTION("""COMPUTED_VALUE"""),0.0)</f>
        <v>0</v>
      </c>
      <c r="P60" s="461">
        <f t="shared" ref="P60:P72" si="7">sum(D60:O60)</f>
        <v>0</v>
      </c>
    </row>
    <row r="61" ht="14.25" customHeight="1">
      <c r="A61" s="469" t="s">
        <v>43</v>
      </c>
      <c r="B61" s="459"/>
      <c r="C61" s="477" t="s">
        <v>1079</v>
      </c>
      <c r="D61" s="461">
        <f>IFERROR(__xludf.DUMMYFUNCTION("""COMPUTED_VALUE"""),0.0)</f>
        <v>0</v>
      </c>
      <c r="E61" s="461">
        <f>IFERROR(__xludf.DUMMYFUNCTION("""COMPUTED_VALUE"""),0.0)</f>
        <v>0</v>
      </c>
      <c r="F61" s="461">
        <f>IFERROR(__xludf.DUMMYFUNCTION("""COMPUTED_VALUE"""),0.0)</f>
        <v>0</v>
      </c>
      <c r="G61" s="461">
        <f>IFERROR(__xludf.DUMMYFUNCTION("""COMPUTED_VALUE"""),0.0)</f>
        <v>0</v>
      </c>
      <c r="H61" s="461">
        <f>IFERROR(__xludf.DUMMYFUNCTION("""COMPUTED_VALUE"""),0.0)</f>
        <v>0</v>
      </c>
      <c r="I61" s="461">
        <f>IFERROR(__xludf.DUMMYFUNCTION("""COMPUTED_VALUE"""),0.0)</f>
        <v>0</v>
      </c>
      <c r="J61" s="461">
        <f>IFERROR(__xludf.DUMMYFUNCTION("""COMPUTED_VALUE"""),0.0)</f>
        <v>0</v>
      </c>
      <c r="K61" s="461">
        <f>IFERROR(__xludf.DUMMYFUNCTION("""COMPUTED_VALUE"""),0.0)</f>
        <v>0</v>
      </c>
      <c r="L61" s="461">
        <f>IFERROR(__xludf.DUMMYFUNCTION("""COMPUTED_VALUE"""),0.0)</f>
        <v>0</v>
      </c>
      <c r="M61" s="461">
        <f>IFERROR(__xludf.DUMMYFUNCTION("""COMPUTED_VALUE"""),0.0)</f>
        <v>0</v>
      </c>
      <c r="N61" s="461">
        <f>IFERROR(__xludf.DUMMYFUNCTION("""COMPUTED_VALUE"""),0.0)</f>
        <v>0</v>
      </c>
      <c r="O61" s="461">
        <f>IFERROR(__xludf.DUMMYFUNCTION("""COMPUTED_VALUE"""),0.0)</f>
        <v>0</v>
      </c>
      <c r="P61" s="461">
        <f t="shared" si="7"/>
        <v>0</v>
      </c>
    </row>
    <row r="62" ht="14.25" customHeight="1">
      <c r="A62" s="469" t="s">
        <v>14</v>
      </c>
      <c r="B62" s="459"/>
      <c r="C62" s="477" t="s">
        <v>1080</v>
      </c>
      <c r="D62" s="461">
        <f>IFERROR(__xludf.DUMMYFUNCTION("""COMPUTED_VALUE"""),616285.7994029459)</f>
        <v>616285.7994</v>
      </c>
      <c r="E62" s="461">
        <f>IFERROR(__xludf.DUMMYFUNCTION("""COMPUTED_VALUE"""),509951.01826789754)</f>
        <v>509951.0183</v>
      </c>
      <c r="F62" s="461">
        <f>IFERROR(__xludf.DUMMYFUNCTION("""COMPUTED_VALUE"""),458809.7555946219)</f>
        <v>458809.7556</v>
      </c>
      <c r="G62" s="461">
        <f>IFERROR(__xludf.DUMMYFUNCTION("""COMPUTED_VALUE"""),560411.2282084802)</f>
        <v>560411.2282</v>
      </c>
      <c r="H62" s="461">
        <f>IFERROR(__xludf.DUMMYFUNCTION("""COMPUTED_VALUE"""),438405.8709969419)</f>
        <v>438405.871</v>
      </c>
      <c r="I62" s="461">
        <f>IFERROR(__xludf.DUMMYFUNCTION("""COMPUTED_VALUE"""),438021.96409277455)</f>
        <v>438021.9641</v>
      </c>
      <c r="J62" s="461">
        <f>IFERROR(__xludf.DUMMYFUNCTION("""COMPUTED_VALUE"""),448164.3914837594)</f>
        <v>448164.3915</v>
      </c>
      <c r="K62" s="461">
        <f>IFERROR(__xludf.DUMMYFUNCTION("""COMPUTED_VALUE"""),433370.53659839625)</f>
        <v>433370.5366</v>
      </c>
      <c r="L62" s="461">
        <f>IFERROR(__xludf.DUMMYFUNCTION("""COMPUTED_VALUE"""),424229.5045430364)</f>
        <v>424229.5045</v>
      </c>
      <c r="M62" s="461">
        <f>IFERROR(__xludf.DUMMYFUNCTION("""COMPUTED_VALUE"""),505157.18938807125)</f>
        <v>505157.1894</v>
      </c>
      <c r="N62" s="461">
        <f>IFERROR(__xludf.DUMMYFUNCTION("""COMPUTED_VALUE"""),417470.83950192283)</f>
        <v>417470.8395</v>
      </c>
      <c r="O62" s="461">
        <f>IFERROR(__xludf.DUMMYFUNCTION("""COMPUTED_VALUE"""),457113.4555633204)</f>
        <v>457113.4556</v>
      </c>
      <c r="P62" s="461">
        <f t="shared" si="7"/>
        <v>5707391.554</v>
      </c>
    </row>
    <row r="63" ht="14.25" customHeight="1">
      <c r="A63" s="469" t="s">
        <v>68</v>
      </c>
      <c r="B63" s="459"/>
      <c r="C63" s="477" t="s">
        <v>1081</v>
      </c>
      <c r="D63" s="461">
        <f>IFERROR(__xludf.DUMMYFUNCTION("""COMPUTED_VALUE"""),0.0)</f>
        <v>0</v>
      </c>
      <c r="E63" s="461">
        <f>IFERROR(__xludf.DUMMYFUNCTION("""COMPUTED_VALUE"""),0.0)</f>
        <v>0</v>
      </c>
      <c r="F63" s="461">
        <f>IFERROR(__xludf.DUMMYFUNCTION("""COMPUTED_VALUE"""),0.0)</f>
        <v>0</v>
      </c>
      <c r="G63" s="461">
        <f>IFERROR(__xludf.DUMMYFUNCTION("""COMPUTED_VALUE"""),0.0)</f>
        <v>0</v>
      </c>
      <c r="H63" s="461">
        <f>IFERROR(__xludf.DUMMYFUNCTION("""COMPUTED_VALUE"""),0.0)</f>
        <v>0</v>
      </c>
      <c r="I63" s="461">
        <f>IFERROR(__xludf.DUMMYFUNCTION("""COMPUTED_VALUE"""),0.0)</f>
        <v>0</v>
      </c>
      <c r="J63" s="461">
        <f>IFERROR(__xludf.DUMMYFUNCTION("""COMPUTED_VALUE"""),0.0)</f>
        <v>0</v>
      </c>
      <c r="K63" s="461">
        <f>IFERROR(__xludf.DUMMYFUNCTION("""COMPUTED_VALUE"""),0.0)</f>
        <v>0</v>
      </c>
      <c r="L63" s="461">
        <f>IFERROR(__xludf.DUMMYFUNCTION("""COMPUTED_VALUE"""),0.0)</f>
        <v>0</v>
      </c>
      <c r="M63" s="461">
        <f>IFERROR(__xludf.DUMMYFUNCTION("""COMPUTED_VALUE"""),0.0)</f>
        <v>0</v>
      </c>
      <c r="N63" s="461">
        <f>IFERROR(__xludf.DUMMYFUNCTION("""COMPUTED_VALUE"""),0.0)</f>
        <v>0</v>
      </c>
      <c r="O63" s="461">
        <f>IFERROR(__xludf.DUMMYFUNCTION("""COMPUTED_VALUE"""),0.0)</f>
        <v>0</v>
      </c>
      <c r="P63" s="461">
        <f t="shared" si="7"/>
        <v>0</v>
      </c>
    </row>
    <row r="64" ht="14.25" customHeight="1">
      <c r="A64" s="469" t="s">
        <v>45</v>
      </c>
      <c r="B64" s="459"/>
      <c r="C64" s="477" t="s">
        <v>1082</v>
      </c>
      <c r="D64" s="461">
        <f>IFERROR(__xludf.DUMMYFUNCTION("""COMPUTED_VALUE"""),0.0)</f>
        <v>0</v>
      </c>
      <c r="E64" s="461">
        <f>IFERROR(__xludf.DUMMYFUNCTION("""COMPUTED_VALUE"""),0.0)</f>
        <v>0</v>
      </c>
      <c r="F64" s="461">
        <f>IFERROR(__xludf.DUMMYFUNCTION("""COMPUTED_VALUE"""),0.0)</f>
        <v>0</v>
      </c>
      <c r="G64" s="461">
        <f>IFERROR(__xludf.DUMMYFUNCTION("""COMPUTED_VALUE"""),0.0)</f>
        <v>0</v>
      </c>
      <c r="H64" s="461">
        <f>IFERROR(__xludf.DUMMYFUNCTION("""COMPUTED_VALUE"""),0.0)</f>
        <v>0</v>
      </c>
      <c r="I64" s="461">
        <f>IFERROR(__xludf.DUMMYFUNCTION("""COMPUTED_VALUE"""),0.0)</f>
        <v>0</v>
      </c>
      <c r="J64" s="461">
        <f>IFERROR(__xludf.DUMMYFUNCTION("""COMPUTED_VALUE"""),0.0)</f>
        <v>0</v>
      </c>
      <c r="K64" s="461">
        <f>IFERROR(__xludf.DUMMYFUNCTION("""COMPUTED_VALUE"""),0.0)</f>
        <v>0</v>
      </c>
      <c r="L64" s="461">
        <f>IFERROR(__xludf.DUMMYFUNCTION("""COMPUTED_VALUE"""),0.0)</f>
        <v>0</v>
      </c>
      <c r="M64" s="461">
        <f>IFERROR(__xludf.DUMMYFUNCTION("""COMPUTED_VALUE"""),0.0)</f>
        <v>0</v>
      </c>
      <c r="N64" s="461">
        <f>IFERROR(__xludf.DUMMYFUNCTION("""COMPUTED_VALUE"""),0.0)</f>
        <v>0</v>
      </c>
      <c r="O64" s="461">
        <f>IFERROR(__xludf.DUMMYFUNCTION("""COMPUTED_VALUE"""),0.0)</f>
        <v>0</v>
      </c>
      <c r="P64" s="461">
        <f t="shared" si="7"/>
        <v>0</v>
      </c>
    </row>
    <row r="65" ht="14.25" customHeight="1">
      <c r="A65" s="469" t="s">
        <v>879</v>
      </c>
      <c r="B65" s="459"/>
      <c r="C65" s="477" t="s">
        <v>1083</v>
      </c>
      <c r="D65" s="461">
        <f>IFERROR(__xludf.DUMMYFUNCTION("""COMPUTED_VALUE"""),0.0)</f>
        <v>0</v>
      </c>
      <c r="E65" s="461">
        <f>IFERROR(__xludf.DUMMYFUNCTION("""COMPUTED_VALUE"""),0.0)</f>
        <v>0</v>
      </c>
      <c r="F65" s="461">
        <f>IFERROR(__xludf.DUMMYFUNCTION("""COMPUTED_VALUE"""),0.0)</f>
        <v>0</v>
      </c>
      <c r="G65" s="461">
        <f>IFERROR(__xludf.DUMMYFUNCTION("""COMPUTED_VALUE"""),0.0)</f>
        <v>0</v>
      </c>
      <c r="H65" s="461">
        <f>IFERROR(__xludf.DUMMYFUNCTION("""COMPUTED_VALUE"""),0.0)</f>
        <v>0</v>
      </c>
      <c r="I65" s="461">
        <f>IFERROR(__xludf.DUMMYFUNCTION("""COMPUTED_VALUE"""),0.0)</f>
        <v>0</v>
      </c>
      <c r="J65" s="461">
        <f>IFERROR(__xludf.DUMMYFUNCTION("""COMPUTED_VALUE"""),0.0)</f>
        <v>0</v>
      </c>
      <c r="K65" s="461">
        <f>IFERROR(__xludf.DUMMYFUNCTION("""COMPUTED_VALUE"""),0.0)</f>
        <v>0</v>
      </c>
      <c r="L65" s="461">
        <f>IFERROR(__xludf.DUMMYFUNCTION("""COMPUTED_VALUE"""),0.0)</f>
        <v>0</v>
      </c>
      <c r="M65" s="461">
        <f>IFERROR(__xludf.DUMMYFUNCTION("""COMPUTED_VALUE"""),0.0)</f>
        <v>0</v>
      </c>
      <c r="N65" s="461">
        <f>IFERROR(__xludf.DUMMYFUNCTION("""COMPUTED_VALUE"""),0.0)</f>
        <v>0</v>
      </c>
      <c r="O65" s="461">
        <f>IFERROR(__xludf.DUMMYFUNCTION("""COMPUTED_VALUE"""),0.0)</f>
        <v>0</v>
      </c>
      <c r="P65" s="461">
        <f t="shared" si="7"/>
        <v>0</v>
      </c>
    </row>
    <row r="66" ht="14.25" customHeight="1">
      <c r="A66" s="469" t="s">
        <v>824</v>
      </c>
      <c r="B66" s="477"/>
      <c r="C66" s="477" t="s">
        <v>1084</v>
      </c>
      <c r="D66" s="461">
        <f>IFERROR(__xludf.DUMMYFUNCTION("""COMPUTED_VALUE"""),0.0)</f>
        <v>0</v>
      </c>
      <c r="E66" s="461">
        <f>IFERROR(__xludf.DUMMYFUNCTION("""COMPUTED_VALUE"""),0.0)</f>
        <v>0</v>
      </c>
      <c r="F66" s="461">
        <f>IFERROR(__xludf.DUMMYFUNCTION("""COMPUTED_VALUE"""),0.0)</f>
        <v>0</v>
      </c>
      <c r="G66" s="461">
        <f>IFERROR(__xludf.DUMMYFUNCTION("""COMPUTED_VALUE"""),0.0)</f>
        <v>0</v>
      </c>
      <c r="H66" s="461">
        <f>IFERROR(__xludf.DUMMYFUNCTION("""COMPUTED_VALUE"""),0.0)</f>
        <v>0</v>
      </c>
      <c r="I66" s="461">
        <f>IFERROR(__xludf.DUMMYFUNCTION("""COMPUTED_VALUE"""),0.0)</f>
        <v>0</v>
      </c>
      <c r="J66" s="461">
        <f>IFERROR(__xludf.DUMMYFUNCTION("""COMPUTED_VALUE"""),0.0)</f>
        <v>0</v>
      </c>
      <c r="K66" s="461">
        <f>IFERROR(__xludf.DUMMYFUNCTION("""COMPUTED_VALUE"""),0.0)</f>
        <v>0</v>
      </c>
      <c r="L66" s="461">
        <f>IFERROR(__xludf.DUMMYFUNCTION("""COMPUTED_VALUE"""),0.0)</f>
        <v>0</v>
      </c>
      <c r="M66" s="461">
        <f>IFERROR(__xludf.DUMMYFUNCTION("""COMPUTED_VALUE"""),0.0)</f>
        <v>0</v>
      </c>
      <c r="N66" s="461">
        <f>IFERROR(__xludf.DUMMYFUNCTION("""COMPUTED_VALUE"""),0.0)</f>
        <v>0</v>
      </c>
      <c r="O66" s="461">
        <f>IFERROR(__xludf.DUMMYFUNCTION("""COMPUTED_VALUE"""),0.0)</f>
        <v>0</v>
      </c>
      <c r="P66" s="461">
        <f t="shared" si="7"/>
        <v>0</v>
      </c>
    </row>
    <row r="67" ht="14.25" customHeight="1">
      <c r="A67" s="469" t="s">
        <v>826</v>
      </c>
      <c r="B67" s="459"/>
      <c r="C67" s="477" t="s">
        <v>1085</v>
      </c>
      <c r="D67" s="461">
        <f>IFERROR(__xludf.DUMMYFUNCTION("""COMPUTED_VALUE"""),0.0)</f>
        <v>0</v>
      </c>
      <c r="E67" s="461">
        <f>IFERROR(__xludf.DUMMYFUNCTION("""COMPUTED_VALUE"""),0.0)</f>
        <v>0</v>
      </c>
      <c r="F67" s="461">
        <f>IFERROR(__xludf.DUMMYFUNCTION("""COMPUTED_VALUE"""),0.0)</f>
        <v>0</v>
      </c>
      <c r="G67" s="461">
        <f>IFERROR(__xludf.DUMMYFUNCTION("""COMPUTED_VALUE"""),0.0)</f>
        <v>0</v>
      </c>
      <c r="H67" s="461">
        <f>IFERROR(__xludf.DUMMYFUNCTION("""COMPUTED_VALUE"""),0.0)</f>
        <v>0</v>
      </c>
      <c r="I67" s="461">
        <f>IFERROR(__xludf.DUMMYFUNCTION("""COMPUTED_VALUE"""),0.0)</f>
        <v>0</v>
      </c>
      <c r="J67" s="461">
        <f>IFERROR(__xludf.DUMMYFUNCTION("""COMPUTED_VALUE"""),0.0)</f>
        <v>0</v>
      </c>
      <c r="K67" s="461">
        <f>IFERROR(__xludf.DUMMYFUNCTION("""COMPUTED_VALUE"""),0.0)</f>
        <v>0</v>
      </c>
      <c r="L67" s="461">
        <f>IFERROR(__xludf.DUMMYFUNCTION("""COMPUTED_VALUE"""),0.0)</f>
        <v>0</v>
      </c>
      <c r="M67" s="461">
        <f>IFERROR(__xludf.DUMMYFUNCTION("""COMPUTED_VALUE"""),0.0)</f>
        <v>0</v>
      </c>
      <c r="N67" s="461">
        <f>IFERROR(__xludf.DUMMYFUNCTION("""COMPUTED_VALUE"""),0.0)</f>
        <v>0</v>
      </c>
      <c r="O67" s="461">
        <f>IFERROR(__xludf.DUMMYFUNCTION("""COMPUTED_VALUE"""),0.0)</f>
        <v>0</v>
      </c>
      <c r="P67" s="461">
        <f t="shared" si="7"/>
        <v>0</v>
      </c>
    </row>
    <row r="68" ht="14.25" customHeight="1">
      <c r="A68" s="469" t="s">
        <v>51</v>
      </c>
      <c r="B68" s="459"/>
      <c r="C68" s="477" t="s">
        <v>52</v>
      </c>
      <c r="D68" s="461">
        <f>IFERROR(__xludf.DUMMYFUNCTION("""COMPUTED_VALUE"""),0.0)</f>
        <v>0</v>
      </c>
      <c r="E68" s="461">
        <f>IFERROR(__xludf.DUMMYFUNCTION("""COMPUTED_VALUE"""),0.0)</f>
        <v>0</v>
      </c>
      <c r="F68" s="461">
        <f>IFERROR(__xludf.DUMMYFUNCTION("""COMPUTED_VALUE"""),0.0)</f>
        <v>0</v>
      </c>
      <c r="G68" s="461">
        <f>IFERROR(__xludf.DUMMYFUNCTION("""COMPUTED_VALUE"""),0.0)</f>
        <v>0</v>
      </c>
      <c r="H68" s="461">
        <f>IFERROR(__xludf.DUMMYFUNCTION("""COMPUTED_VALUE"""),0.0)</f>
        <v>0</v>
      </c>
      <c r="I68" s="461">
        <f>IFERROR(__xludf.DUMMYFUNCTION("""COMPUTED_VALUE"""),0.0)</f>
        <v>0</v>
      </c>
      <c r="J68" s="461">
        <f>IFERROR(__xludf.DUMMYFUNCTION("""COMPUTED_VALUE"""),0.0)</f>
        <v>0</v>
      </c>
      <c r="K68" s="461">
        <f>IFERROR(__xludf.DUMMYFUNCTION("""COMPUTED_VALUE"""),0.0)</f>
        <v>0</v>
      </c>
      <c r="L68" s="461">
        <f>IFERROR(__xludf.DUMMYFUNCTION("""COMPUTED_VALUE"""),0.0)</f>
        <v>0</v>
      </c>
      <c r="M68" s="461">
        <f>IFERROR(__xludf.DUMMYFUNCTION("""COMPUTED_VALUE"""),0.0)</f>
        <v>0</v>
      </c>
      <c r="N68" s="461">
        <f>IFERROR(__xludf.DUMMYFUNCTION("""COMPUTED_VALUE"""),0.0)</f>
        <v>0</v>
      </c>
      <c r="O68" s="461">
        <f>IFERROR(__xludf.DUMMYFUNCTION("""COMPUTED_VALUE"""),0.0)</f>
        <v>0</v>
      </c>
      <c r="P68" s="461">
        <f t="shared" si="7"/>
        <v>0</v>
      </c>
    </row>
    <row r="69" ht="14.25" customHeight="1">
      <c r="A69" s="469" t="s">
        <v>828</v>
      </c>
      <c r="B69" s="459"/>
      <c r="C69" s="477" t="s">
        <v>829</v>
      </c>
      <c r="D69" s="461">
        <f>IFERROR(__xludf.DUMMYFUNCTION("""COMPUTED_VALUE"""),0.0)</f>
        <v>0</v>
      </c>
      <c r="E69" s="461">
        <f>IFERROR(__xludf.DUMMYFUNCTION("""COMPUTED_VALUE"""),0.0)</f>
        <v>0</v>
      </c>
      <c r="F69" s="461">
        <f>IFERROR(__xludf.DUMMYFUNCTION("""COMPUTED_VALUE"""),0.0)</f>
        <v>0</v>
      </c>
      <c r="G69" s="461">
        <f>IFERROR(__xludf.DUMMYFUNCTION("""COMPUTED_VALUE"""),0.0)</f>
        <v>0</v>
      </c>
      <c r="H69" s="461">
        <f>IFERROR(__xludf.DUMMYFUNCTION("""COMPUTED_VALUE"""),0.0)</f>
        <v>0</v>
      </c>
      <c r="I69" s="461">
        <f>IFERROR(__xludf.DUMMYFUNCTION("""COMPUTED_VALUE"""),0.0)</f>
        <v>0</v>
      </c>
      <c r="J69" s="461">
        <f>IFERROR(__xludf.DUMMYFUNCTION("""COMPUTED_VALUE"""),0.0)</f>
        <v>0</v>
      </c>
      <c r="K69" s="461">
        <f>IFERROR(__xludf.DUMMYFUNCTION("""COMPUTED_VALUE"""),0.0)</f>
        <v>0</v>
      </c>
      <c r="L69" s="461">
        <f>IFERROR(__xludf.DUMMYFUNCTION("""COMPUTED_VALUE"""),0.0)</f>
        <v>0</v>
      </c>
      <c r="M69" s="461">
        <f>IFERROR(__xludf.DUMMYFUNCTION("""COMPUTED_VALUE"""),0.0)</f>
        <v>0</v>
      </c>
      <c r="N69" s="461">
        <f>IFERROR(__xludf.DUMMYFUNCTION("""COMPUTED_VALUE"""),0.0)</f>
        <v>0</v>
      </c>
      <c r="O69" s="461">
        <f>IFERROR(__xludf.DUMMYFUNCTION("""COMPUTED_VALUE"""),0.0)</f>
        <v>0</v>
      </c>
      <c r="P69" s="461">
        <f t="shared" si="7"/>
        <v>0</v>
      </c>
    </row>
    <row r="70" ht="14.25" customHeight="1">
      <c r="A70" s="469" t="s">
        <v>1086</v>
      </c>
      <c r="B70" s="459"/>
      <c r="C70" s="477" t="s">
        <v>1087</v>
      </c>
      <c r="D70" s="461">
        <f>IFERROR(__xludf.DUMMYFUNCTION("""COMPUTED_VALUE"""),0.0)</f>
        <v>0</v>
      </c>
      <c r="E70" s="461">
        <f>IFERROR(__xludf.DUMMYFUNCTION("""COMPUTED_VALUE"""),0.0)</f>
        <v>0</v>
      </c>
      <c r="F70" s="461">
        <f>IFERROR(__xludf.DUMMYFUNCTION("""COMPUTED_VALUE"""),0.0)</f>
        <v>0</v>
      </c>
      <c r="G70" s="461">
        <f>IFERROR(__xludf.DUMMYFUNCTION("""COMPUTED_VALUE"""),0.0)</f>
        <v>0</v>
      </c>
      <c r="H70" s="461">
        <f>IFERROR(__xludf.DUMMYFUNCTION("""COMPUTED_VALUE"""),0.0)</f>
        <v>0</v>
      </c>
      <c r="I70" s="461">
        <f>IFERROR(__xludf.DUMMYFUNCTION("""COMPUTED_VALUE"""),0.0)</f>
        <v>0</v>
      </c>
      <c r="J70" s="461">
        <f>IFERROR(__xludf.DUMMYFUNCTION("""COMPUTED_VALUE"""),0.0)</f>
        <v>0</v>
      </c>
      <c r="K70" s="461">
        <f>IFERROR(__xludf.DUMMYFUNCTION("""COMPUTED_VALUE"""),0.0)</f>
        <v>0</v>
      </c>
      <c r="L70" s="461">
        <f>IFERROR(__xludf.DUMMYFUNCTION("""COMPUTED_VALUE"""),0.0)</f>
        <v>0</v>
      </c>
      <c r="M70" s="461">
        <f>IFERROR(__xludf.DUMMYFUNCTION("""COMPUTED_VALUE"""),0.0)</f>
        <v>0</v>
      </c>
      <c r="N70" s="461">
        <f>IFERROR(__xludf.DUMMYFUNCTION("""COMPUTED_VALUE"""),0.0)</f>
        <v>0</v>
      </c>
      <c r="O70" s="461">
        <f>IFERROR(__xludf.DUMMYFUNCTION("""COMPUTED_VALUE"""),0.0)</f>
        <v>0</v>
      </c>
      <c r="P70" s="461">
        <f t="shared" si="7"/>
        <v>0</v>
      </c>
    </row>
    <row r="71" ht="14.25" customHeight="1">
      <c r="A71" s="469" t="s">
        <v>830</v>
      </c>
      <c r="B71" s="459"/>
      <c r="C71" s="477" t="s">
        <v>831</v>
      </c>
      <c r="D71" s="461">
        <f>IFERROR(__xludf.DUMMYFUNCTION("""COMPUTED_VALUE"""),0.0)</f>
        <v>0</v>
      </c>
      <c r="E71" s="461">
        <f>IFERROR(__xludf.DUMMYFUNCTION("""COMPUTED_VALUE"""),0.0)</f>
        <v>0</v>
      </c>
      <c r="F71" s="461">
        <f>IFERROR(__xludf.DUMMYFUNCTION("""COMPUTED_VALUE"""),0.0)</f>
        <v>0</v>
      </c>
      <c r="G71" s="461">
        <f>IFERROR(__xludf.DUMMYFUNCTION("""COMPUTED_VALUE"""),0.0)</f>
        <v>0</v>
      </c>
      <c r="H71" s="461">
        <f>IFERROR(__xludf.DUMMYFUNCTION("""COMPUTED_VALUE"""),0.0)</f>
        <v>0</v>
      </c>
      <c r="I71" s="461">
        <f>IFERROR(__xludf.DUMMYFUNCTION("""COMPUTED_VALUE"""),0.0)</f>
        <v>0</v>
      </c>
      <c r="J71" s="461">
        <f>IFERROR(__xludf.DUMMYFUNCTION("""COMPUTED_VALUE"""),0.0)</f>
        <v>0</v>
      </c>
      <c r="K71" s="461">
        <f>IFERROR(__xludf.DUMMYFUNCTION("""COMPUTED_VALUE"""),0.0)</f>
        <v>0</v>
      </c>
      <c r="L71" s="461">
        <f>IFERROR(__xludf.DUMMYFUNCTION("""COMPUTED_VALUE"""),0.0)</f>
        <v>0</v>
      </c>
      <c r="M71" s="461">
        <f>IFERROR(__xludf.DUMMYFUNCTION("""COMPUTED_VALUE"""),0.0)</f>
        <v>0</v>
      </c>
      <c r="N71" s="461">
        <f>IFERROR(__xludf.DUMMYFUNCTION("""COMPUTED_VALUE"""),0.0)</f>
        <v>0</v>
      </c>
      <c r="O71" s="461">
        <f>IFERROR(__xludf.DUMMYFUNCTION("""COMPUTED_VALUE"""),0.0)</f>
        <v>0</v>
      </c>
      <c r="P71" s="461">
        <f t="shared" si="7"/>
        <v>0</v>
      </c>
    </row>
    <row r="72" ht="14.25" customHeight="1">
      <c r="A72" s="469" t="s">
        <v>823</v>
      </c>
      <c r="B72" s="477"/>
      <c r="C72" s="477" t="s">
        <v>1088</v>
      </c>
      <c r="D72" s="461">
        <f>IFERROR(__xludf.DUMMYFUNCTION("""COMPUTED_VALUE"""),221362.05561956097)</f>
        <v>221362.0556</v>
      </c>
      <c r="E72" s="461">
        <f>IFERROR(__xludf.DUMMYFUNCTION("""COMPUTED_VALUE"""),189361.94973141863)</f>
        <v>189361.9497</v>
      </c>
      <c r="F72" s="461">
        <f>IFERROR(__xludf.DUMMYFUNCTION("""COMPUTED_VALUE"""),184390.35841874732)</f>
        <v>184390.3584</v>
      </c>
      <c r="G72" s="461">
        <f>IFERROR(__xludf.DUMMYFUNCTION("""COMPUTED_VALUE"""),194139.56674411858)</f>
        <v>194139.5667</v>
      </c>
      <c r="H72" s="461">
        <f>IFERROR(__xludf.DUMMYFUNCTION("""COMPUTED_VALUE"""),181609.56750193198)</f>
        <v>181609.5675</v>
      </c>
      <c r="I72" s="461">
        <f>IFERROR(__xludf.DUMMYFUNCTION("""COMPUTED_VALUE"""),181537.361246521)</f>
        <v>181537.3612</v>
      </c>
      <c r="J72" s="461">
        <f>IFERROR(__xludf.DUMMYFUNCTION("""COMPUTED_VALUE"""),181827.0503639888)</f>
        <v>181827.0504</v>
      </c>
      <c r="K72" s="461">
        <f>IFERROR(__xludf.DUMMYFUNCTION("""COMPUTED_VALUE"""),183243.72369021276)</f>
        <v>183243.7237</v>
      </c>
      <c r="L72" s="461">
        <f>IFERROR(__xludf.DUMMYFUNCTION("""COMPUTED_VALUE"""),180752.83561896888)</f>
        <v>180752.8356</v>
      </c>
      <c r="M72" s="461">
        <f>IFERROR(__xludf.DUMMYFUNCTION("""COMPUTED_VALUE"""),188042.7245600777)</f>
        <v>188042.7246</v>
      </c>
      <c r="N72" s="461">
        <f>IFERROR(__xludf.DUMMYFUNCTION("""COMPUTED_VALUE"""),179527.75082767743)</f>
        <v>179527.7508</v>
      </c>
      <c r="O72" s="461">
        <f>IFERROR(__xludf.DUMMYFUNCTION("""COMPUTED_VALUE"""),185562.12400173757)</f>
        <v>185562.124</v>
      </c>
      <c r="P72" s="461">
        <f t="shared" si="7"/>
        <v>2251357.068</v>
      </c>
    </row>
    <row r="73" ht="14.25" customHeight="1">
      <c r="A73" s="463" t="s">
        <v>838</v>
      </c>
      <c r="B73" s="470"/>
      <c r="C73" s="476"/>
      <c r="D73" s="475">
        <f>IFERROR(__xludf.DUMMYFUNCTION("""COMPUTED_VALUE"""),837647.8550225069)</f>
        <v>837647.855</v>
      </c>
      <c r="E73" s="475">
        <f>IFERROR(__xludf.DUMMYFUNCTION("""COMPUTED_VALUE"""),699312.9679993162)</f>
        <v>699312.968</v>
      </c>
      <c r="F73" s="475">
        <f>IFERROR(__xludf.DUMMYFUNCTION("""COMPUTED_VALUE"""),643200.1140133692)</f>
        <v>643200.114</v>
      </c>
      <c r="G73" s="475">
        <f>IFERROR(__xludf.DUMMYFUNCTION("""COMPUTED_VALUE"""),754550.7949525987)</f>
        <v>754550.795</v>
      </c>
      <c r="H73" s="475">
        <f>IFERROR(__xludf.DUMMYFUNCTION("""COMPUTED_VALUE"""),620015.438498874)</f>
        <v>620015.4385</v>
      </c>
      <c r="I73" s="475">
        <f>IFERROR(__xludf.DUMMYFUNCTION("""COMPUTED_VALUE"""),619559.3253392956)</f>
        <v>619559.3253</v>
      </c>
      <c r="J73" s="475">
        <f>IFERROR(__xludf.DUMMYFUNCTION("""COMPUTED_VALUE"""),629991.4418477481)</f>
        <v>629991.4418</v>
      </c>
      <c r="K73" s="475">
        <f>IFERROR(__xludf.DUMMYFUNCTION("""COMPUTED_VALUE"""),616614.260288609)</f>
        <v>616614.2603</v>
      </c>
      <c r="L73" s="475">
        <f>IFERROR(__xludf.DUMMYFUNCTION("""COMPUTED_VALUE"""),604982.3401620053)</f>
        <v>604982.3402</v>
      </c>
      <c r="M73" s="475">
        <f>IFERROR(__xludf.DUMMYFUNCTION("""COMPUTED_VALUE"""),693199.913948149)</f>
        <v>693199.9139</v>
      </c>
      <c r="N73" s="475">
        <f>IFERROR(__xludf.DUMMYFUNCTION("""COMPUTED_VALUE"""),596998.5903296003)</f>
        <v>596998.5903</v>
      </c>
      <c r="O73" s="475">
        <f>IFERROR(__xludf.DUMMYFUNCTION("""COMPUTED_VALUE"""),642675.579565058)</f>
        <v>642675.5796</v>
      </c>
      <c r="P73" s="475">
        <f>sum(P60:P72)</f>
        <v>7958748.622</v>
      </c>
    </row>
    <row r="74" ht="14.25" customHeight="1">
      <c r="A74" s="469" t="s">
        <v>108</v>
      </c>
      <c r="B74" s="459"/>
      <c r="C74" s="477" t="s">
        <v>839</v>
      </c>
      <c r="D74" s="461">
        <f>IFERROR(__xludf.DUMMYFUNCTION("""COMPUTED_VALUE"""),0.0)</f>
        <v>0</v>
      </c>
      <c r="E74" s="461">
        <f>IFERROR(__xludf.DUMMYFUNCTION("""COMPUTED_VALUE"""),0.0)</f>
        <v>0</v>
      </c>
      <c r="F74" s="461">
        <f>IFERROR(__xludf.DUMMYFUNCTION("""COMPUTED_VALUE"""),0.0)</f>
        <v>0</v>
      </c>
      <c r="G74" s="461">
        <f>IFERROR(__xludf.DUMMYFUNCTION("""COMPUTED_VALUE"""),0.0)</f>
        <v>0</v>
      </c>
      <c r="H74" s="461">
        <f>IFERROR(__xludf.DUMMYFUNCTION("""COMPUTED_VALUE"""),0.0)</f>
        <v>0</v>
      </c>
      <c r="I74" s="461">
        <f>IFERROR(__xludf.DUMMYFUNCTION("""COMPUTED_VALUE"""),0.0)</f>
        <v>0</v>
      </c>
      <c r="J74" s="461">
        <f>IFERROR(__xludf.DUMMYFUNCTION("""COMPUTED_VALUE"""),0.0)</f>
        <v>0</v>
      </c>
      <c r="K74" s="461">
        <f>IFERROR(__xludf.DUMMYFUNCTION("""COMPUTED_VALUE"""),0.0)</f>
        <v>0</v>
      </c>
      <c r="L74" s="461">
        <f>IFERROR(__xludf.DUMMYFUNCTION("""COMPUTED_VALUE"""),0.0)</f>
        <v>0</v>
      </c>
      <c r="M74" s="461">
        <f>IFERROR(__xludf.DUMMYFUNCTION("""COMPUTED_VALUE"""),0.0)</f>
        <v>0</v>
      </c>
      <c r="N74" s="461">
        <f>IFERROR(__xludf.DUMMYFUNCTION("""COMPUTED_VALUE"""),0.0)</f>
        <v>0</v>
      </c>
      <c r="O74" s="461">
        <f>IFERROR(__xludf.DUMMYFUNCTION("""COMPUTED_VALUE"""),0.0)</f>
        <v>0</v>
      </c>
      <c r="P74" s="461">
        <f t="shared" ref="P74:P77" si="8">sum(D74:O74)</f>
        <v>0</v>
      </c>
    </row>
    <row r="75" ht="14.25" customHeight="1">
      <c r="A75" s="469" t="s">
        <v>178</v>
      </c>
      <c r="B75" s="459"/>
      <c r="C75" s="477" t="s">
        <v>840</v>
      </c>
      <c r="D75" s="461">
        <f>IFERROR(__xludf.DUMMYFUNCTION("""COMPUTED_VALUE"""),0.0)</f>
        <v>0</v>
      </c>
      <c r="E75" s="461">
        <f>IFERROR(__xludf.DUMMYFUNCTION("""COMPUTED_VALUE"""),0.0)</f>
        <v>0</v>
      </c>
      <c r="F75" s="461">
        <f>IFERROR(__xludf.DUMMYFUNCTION("""COMPUTED_VALUE"""),0.0)</f>
        <v>0</v>
      </c>
      <c r="G75" s="461">
        <f>IFERROR(__xludf.DUMMYFUNCTION("""COMPUTED_VALUE"""),0.0)</f>
        <v>0</v>
      </c>
      <c r="H75" s="461">
        <f>IFERROR(__xludf.DUMMYFUNCTION("""COMPUTED_VALUE"""),0.0)</f>
        <v>0</v>
      </c>
      <c r="I75" s="461">
        <f>IFERROR(__xludf.DUMMYFUNCTION("""COMPUTED_VALUE"""),0.0)</f>
        <v>0</v>
      </c>
      <c r="J75" s="461">
        <f>IFERROR(__xludf.DUMMYFUNCTION("""COMPUTED_VALUE"""),0.0)</f>
        <v>0</v>
      </c>
      <c r="K75" s="461">
        <f>IFERROR(__xludf.DUMMYFUNCTION("""COMPUTED_VALUE"""),0.0)</f>
        <v>0</v>
      </c>
      <c r="L75" s="461">
        <f>IFERROR(__xludf.DUMMYFUNCTION("""COMPUTED_VALUE"""),0.0)</f>
        <v>0</v>
      </c>
      <c r="M75" s="461">
        <f>IFERROR(__xludf.DUMMYFUNCTION("""COMPUTED_VALUE"""),0.0)</f>
        <v>0</v>
      </c>
      <c r="N75" s="461">
        <f>IFERROR(__xludf.DUMMYFUNCTION("""COMPUTED_VALUE"""),0.0)</f>
        <v>0</v>
      </c>
      <c r="O75" s="461">
        <f>IFERROR(__xludf.DUMMYFUNCTION("""COMPUTED_VALUE"""),0.0)</f>
        <v>0</v>
      </c>
      <c r="P75" s="461">
        <f t="shared" si="8"/>
        <v>0</v>
      </c>
    </row>
    <row r="76" ht="14.25" customHeight="1">
      <c r="A76" s="469" t="s">
        <v>229</v>
      </c>
      <c r="B76" s="459"/>
      <c r="C76" s="477" t="s">
        <v>841</v>
      </c>
      <c r="D76" s="461">
        <f>IFERROR(__xludf.DUMMYFUNCTION("""COMPUTED_VALUE"""),0.0)</f>
        <v>0</v>
      </c>
      <c r="E76" s="461">
        <f>IFERROR(__xludf.DUMMYFUNCTION("""COMPUTED_VALUE"""),0.0)</f>
        <v>0</v>
      </c>
      <c r="F76" s="461">
        <f>IFERROR(__xludf.DUMMYFUNCTION("""COMPUTED_VALUE"""),0.0)</f>
        <v>0</v>
      </c>
      <c r="G76" s="461">
        <f>IFERROR(__xludf.DUMMYFUNCTION("""COMPUTED_VALUE"""),0.0)</f>
        <v>0</v>
      </c>
      <c r="H76" s="461">
        <f>IFERROR(__xludf.DUMMYFUNCTION("""COMPUTED_VALUE"""),0.0)</f>
        <v>0</v>
      </c>
      <c r="I76" s="461">
        <f>IFERROR(__xludf.DUMMYFUNCTION("""COMPUTED_VALUE"""),0.0)</f>
        <v>0</v>
      </c>
      <c r="J76" s="461">
        <f>IFERROR(__xludf.DUMMYFUNCTION("""COMPUTED_VALUE"""),0.0)</f>
        <v>0</v>
      </c>
      <c r="K76" s="461">
        <f>IFERROR(__xludf.DUMMYFUNCTION("""COMPUTED_VALUE"""),0.0)</f>
        <v>0</v>
      </c>
      <c r="L76" s="461">
        <f>IFERROR(__xludf.DUMMYFUNCTION("""COMPUTED_VALUE"""),0.0)</f>
        <v>0</v>
      </c>
      <c r="M76" s="461">
        <f>IFERROR(__xludf.DUMMYFUNCTION("""COMPUTED_VALUE"""),0.0)</f>
        <v>0</v>
      </c>
      <c r="N76" s="461">
        <f>IFERROR(__xludf.DUMMYFUNCTION("""COMPUTED_VALUE"""),0.0)</f>
        <v>0</v>
      </c>
      <c r="O76" s="461">
        <f>IFERROR(__xludf.DUMMYFUNCTION("""COMPUTED_VALUE"""),0.0)</f>
        <v>0</v>
      </c>
      <c r="P76" s="461">
        <f t="shared" si="8"/>
        <v>0</v>
      </c>
    </row>
    <row r="77" ht="14.25" customHeight="1">
      <c r="A77" s="469" t="s">
        <v>284</v>
      </c>
      <c r="B77" s="477"/>
      <c r="C77" s="477" t="s">
        <v>842</v>
      </c>
      <c r="D77" s="461">
        <f>IFERROR(__xludf.DUMMYFUNCTION("""COMPUTED_VALUE"""),0.0)</f>
        <v>0</v>
      </c>
      <c r="E77" s="461">
        <f>IFERROR(__xludf.DUMMYFUNCTION("""COMPUTED_VALUE"""),0.0)</f>
        <v>0</v>
      </c>
      <c r="F77" s="461">
        <f>IFERROR(__xludf.DUMMYFUNCTION("""COMPUTED_VALUE"""),0.0)</f>
        <v>0</v>
      </c>
      <c r="G77" s="461">
        <f>IFERROR(__xludf.DUMMYFUNCTION("""COMPUTED_VALUE"""),0.0)</f>
        <v>0</v>
      </c>
      <c r="H77" s="461">
        <f>IFERROR(__xludf.DUMMYFUNCTION("""COMPUTED_VALUE"""),0.0)</f>
        <v>0</v>
      </c>
      <c r="I77" s="461">
        <f>IFERROR(__xludf.DUMMYFUNCTION("""COMPUTED_VALUE"""),0.0)</f>
        <v>0</v>
      </c>
      <c r="J77" s="461">
        <f>IFERROR(__xludf.DUMMYFUNCTION("""COMPUTED_VALUE"""),0.0)</f>
        <v>0</v>
      </c>
      <c r="K77" s="461">
        <f>IFERROR(__xludf.DUMMYFUNCTION("""COMPUTED_VALUE"""),0.0)</f>
        <v>0</v>
      </c>
      <c r="L77" s="461">
        <f>IFERROR(__xludf.DUMMYFUNCTION("""COMPUTED_VALUE"""),0.0)</f>
        <v>0</v>
      </c>
      <c r="M77" s="461">
        <f>IFERROR(__xludf.DUMMYFUNCTION("""COMPUTED_VALUE"""),0.0)</f>
        <v>0</v>
      </c>
      <c r="N77" s="461">
        <f>IFERROR(__xludf.DUMMYFUNCTION("""COMPUTED_VALUE"""),0.0)</f>
        <v>0</v>
      </c>
      <c r="O77" s="461">
        <f>IFERROR(__xludf.DUMMYFUNCTION("""COMPUTED_VALUE"""),0.0)</f>
        <v>0</v>
      </c>
      <c r="P77" s="461">
        <f t="shared" si="8"/>
        <v>0</v>
      </c>
    </row>
    <row r="78" ht="14.25" customHeight="1">
      <c r="A78" s="482" t="s">
        <v>843</v>
      </c>
      <c r="B78" s="483"/>
      <c r="C78" s="484"/>
      <c r="D78" s="475">
        <f>IFERROR(__xludf.DUMMYFUNCTION("""COMPUTED_VALUE"""),0.0)</f>
        <v>0</v>
      </c>
      <c r="E78" s="475">
        <f>IFERROR(__xludf.DUMMYFUNCTION("""COMPUTED_VALUE"""),0.0)</f>
        <v>0</v>
      </c>
      <c r="F78" s="475">
        <f>IFERROR(__xludf.DUMMYFUNCTION("""COMPUTED_VALUE"""),0.0)</f>
        <v>0</v>
      </c>
      <c r="G78" s="475">
        <f>IFERROR(__xludf.DUMMYFUNCTION("""COMPUTED_VALUE"""),0.0)</f>
        <v>0</v>
      </c>
      <c r="H78" s="475">
        <f>IFERROR(__xludf.DUMMYFUNCTION("""COMPUTED_VALUE"""),0.0)</f>
        <v>0</v>
      </c>
      <c r="I78" s="475">
        <f>IFERROR(__xludf.DUMMYFUNCTION("""COMPUTED_VALUE"""),0.0)</f>
        <v>0</v>
      </c>
      <c r="J78" s="475">
        <f>IFERROR(__xludf.DUMMYFUNCTION("""COMPUTED_VALUE"""),0.0)</f>
        <v>0</v>
      </c>
      <c r="K78" s="475">
        <f>IFERROR(__xludf.DUMMYFUNCTION("""COMPUTED_VALUE"""),0.0)</f>
        <v>0</v>
      </c>
      <c r="L78" s="475">
        <f>IFERROR(__xludf.DUMMYFUNCTION("""COMPUTED_VALUE"""),0.0)</f>
        <v>0</v>
      </c>
      <c r="M78" s="475">
        <f>IFERROR(__xludf.DUMMYFUNCTION("""COMPUTED_VALUE"""),0.0)</f>
        <v>0</v>
      </c>
      <c r="N78" s="475">
        <f>IFERROR(__xludf.DUMMYFUNCTION("""COMPUTED_VALUE"""),0.0)</f>
        <v>0</v>
      </c>
      <c r="O78" s="475">
        <f>IFERROR(__xludf.DUMMYFUNCTION("""COMPUTED_VALUE"""),0.0)</f>
        <v>0</v>
      </c>
      <c r="P78" s="475">
        <f>sum(P74:P77)</f>
        <v>0</v>
      </c>
    </row>
    <row r="79" ht="14.25" customHeight="1">
      <c r="A79" s="469" t="s">
        <v>1089</v>
      </c>
      <c r="B79" s="459"/>
      <c r="C79" s="477" t="s">
        <v>844</v>
      </c>
      <c r="D79" s="461">
        <f>IFERROR(__xludf.DUMMYFUNCTION("""COMPUTED_VALUE"""),0.0)</f>
        <v>0</v>
      </c>
      <c r="E79" s="461">
        <f>IFERROR(__xludf.DUMMYFUNCTION("""COMPUTED_VALUE"""),0.0)</f>
        <v>0</v>
      </c>
      <c r="F79" s="461">
        <f>IFERROR(__xludf.DUMMYFUNCTION("""COMPUTED_VALUE"""),0.0)</f>
        <v>0</v>
      </c>
      <c r="G79" s="461">
        <f>IFERROR(__xludf.DUMMYFUNCTION("""COMPUTED_VALUE"""),0.0)</f>
        <v>0</v>
      </c>
      <c r="H79" s="461">
        <f>IFERROR(__xludf.DUMMYFUNCTION("""COMPUTED_VALUE"""),0.0)</f>
        <v>0</v>
      </c>
      <c r="I79" s="461">
        <f>IFERROR(__xludf.DUMMYFUNCTION("""COMPUTED_VALUE"""),0.0)</f>
        <v>0</v>
      </c>
      <c r="J79" s="461">
        <f>IFERROR(__xludf.DUMMYFUNCTION("""COMPUTED_VALUE"""),0.0)</f>
        <v>0</v>
      </c>
      <c r="K79" s="461">
        <f>IFERROR(__xludf.DUMMYFUNCTION("""COMPUTED_VALUE"""),0.0)</f>
        <v>0</v>
      </c>
      <c r="L79" s="461">
        <f>IFERROR(__xludf.DUMMYFUNCTION("""COMPUTED_VALUE"""),0.0)</f>
        <v>0</v>
      </c>
      <c r="M79" s="461">
        <f>IFERROR(__xludf.DUMMYFUNCTION("""COMPUTED_VALUE"""),0.0)</f>
        <v>0</v>
      </c>
      <c r="N79" s="461">
        <f>IFERROR(__xludf.DUMMYFUNCTION("""COMPUTED_VALUE"""),0.0)</f>
        <v>0</v>
      </c>
      <c r="O79" s="461">
        <f>IFERROR(__xludf.DUMMYFUNCTION("""COMPUTED_VALUE"""),0.0)</f>
        <v>0</v>
      </c>
      <c r="P79" s="461">
        <f t="shared" ref="P79:P80" si="9">sum(D79:O79)</f>
        <v>0</v>
      </c>
    </row>
    <row r="80" ht="14.25" customHeight="1">
      <c r="A80" s="469" t="s">
        <v>1090</v>
      </c>
      <c r="B80" s="459"/>
      <c r="C80" s="477" t="s">
        <v>845</v>
      </c>
      <c r="D80" s="461">
        <f>IFERROR(__xludf.DUMMYFUNCTION("""COMPUTED_VALUE"""),0.0)</f>
        <v>0</v>
      </c>
      <c r="E80" s="461">
        <f>IFERROR(__xludf.DUMMYFUNCTION("""COMPUTED_VALUE"""),0.0)</f>
        <v>0</v>
      </c>
      <c r="F80" s="461">
        <f>IFERROR(__xludf.DUMMYFUNCTION("""COMPUTED_VALUE"""),0.0)</f>
        <v>0</v>
      </c>
      <c r="G80" s="461">
        <f>IFERROR(__xludf.DUMMYFUNCTION("""COMPUTED_VALUE"""),0.0)</f>
        <v>0</v>
      </c>
      <c r="H80" s="461">
        <f>IFERROR(__xludf.DUMMYFUNCTION("""COMPUTED_VALUE"""),0.0)</f>
        <v>0</v>
      </c>
      <c r="I80" s="461">
        <f>IFERROR(__xludf.DUMMYFUNCTION("""COMPUTED_VALUE"""),0.0)</f>
        <v>0</v>
      </c>
      <c r="J80" s="461">
        <f>IFERROR(__xludf.DUMMYFUNCTION("""COMPUTED_VALUE"""),0.0)</f>
        <v>0</v>
      </c>
      <c r="K80" s="461">
        <f>IFERROR(__xludf.DUMMYFUNCTION("""COMPUTED_VALUE"""),0.0)</f>
        <v>0</v>
      </c>
      <c r="L80" s="461">
        <f>IFERROR(__xludf.DUMMYFUNCTION("""COMPUTED_VALUE"""),0.0)</f>
        <v>0</v>
      </c>
      <c r="M80" s="461">
        <f>IFERROR(__xludf.DUMMYFUNCTION("""COMPUTED_VALUE"""),0.0)</f>
        <v>0</v>
      </c>
      <c r="N80" s="461">
        <f>IFERROR(__xludf.DUMMYFUNCTION("""COMPUTED_VALUE"""),0.0)</f>
        <v>0</v>
      </c>
      <c r="O80" s="461">
        <f>IFERROR(__xludf.DUMMYFUNCTION("""COMPUTED_VALUE"""),0.0)</f>
        <v>0</v>
      </c>
      <c r="P80" s="461">
        <f t="shared" si="9"/>
        <v>0</v>
      </c>
    </row>
    <row r="81" ht="14.25" customHeight="1">
      <c r="A81" s="482" t="s">
        <v>846</v>
      </c>
      <c r="B81" s="483"/>
      <c r="C81" s="484"/>
      <c r="D81" s="475">
        <f>IFERROR(__xludf.DUMMYFUNCTION("""COMPUTED_VALUE"""),0.0)</f>
        <v>0</v>
      </c>
      <c r="E81" s="475">
        <f>IFERROR(__xludf.DUMMYFUNCTION("""COMPUTED_VALUE"""),0.0)</f>
        <v>0</v>
      </c>
      <c r="F81" s="475">
        <f>IFERROR(__xludf.DUMMYFUNCTION("""COMPUTED_VALUE"""),0.0)</f>
        <v>0</v>
      </c>
      <c r="G81" s="475">
        <f>IFERROR(__xludf.DUMMYFUNCTION("""COMPUTED_VALUE"""),0.0)</f>
        <v>0</v>
      </c>
      <c r="H81" s="475">
        <f>IFERROR(__xludf.DUMMYFUNCTION("""COMPUTED_VALUE"""),0.0)</f>
        <v>0</v>
      </c>
      <c r="I81" s="475">
        <f>IFERROR(__xludf.DUMMYFUNCTION("""COMPUTED_VALUE"""),0.0)</f>
        <v>0</v>
      </c>
      <c r="J81" s="475">
        <f>IFERROR(__xludf.DUMMYFUNCTION("""COMPUTED_VALUE"""),0.0)</f>
        <v>0</v>
      </c>
      <c r="K81" s="475">
        <f>IFERROR(__xludf.DUMMYFUNCTION("""COMPUTED_VALUE"""),0.0)</f>
        <v>0</v>
      </c>
      <c r="L81" s="475">
        <f>IFERROR(__xludf.DUMMYFUNCTION("""COMPUTED_VALUE"""),0.0)</f>
        <v>0</v>
      </c>
      <c r="M81" s="475">
        <f>IFERROR(__xludf.DUMMYFUNCTION("""COMPUTED_VALUE"""),0.0)</f>
        <v>0</v>
      </c>
      <c r="N81" s="475">
        <f>IFERROR(__xludf.DUMMYFUNCTION("""COMPUTED_VALUE"""),0.0)</f>
        <v>0</v>
      </c>
      <c r="O81" s="475">
        <f>IFERROR(__xludf.DUMMYFUNCTION("""COMPUTED_VALUE"""),0.0)</f>
        <v>0</v>
      </c>
      <c r="P81" s="475">
        <f>sum(P79:P80)</f>
        <v>0</v>
      </c>
    </row>
    <row r="82" ht="14.25" customHeight="1">
      <c r="A82" s="469" t="s">
        <v>1091</v>
      </c>
      <c r="B82" s="459"/>
      <c r="C82" s="477" t="s">
        <v>847</v>
      </c>
      <c r="D82" s="461">
        <f>IFERROR(__xludf.DUMMYFUNCTION("""COMPUTED_VALUE"""),0.0)</f>
        <v>0</v>
      </c>
      <c r="E82" s="461">
        <f>IFERROR(__xludf.DUMMYFUNCTION("""COMPUTED_VALUE"""),0.0)</f>
        <v>0</v>
      </c>
      <c r="F82" s="461">
        <f>IFERROR(__xludf.DUMMYFUNCTION("""COMPUTED_VALUE"""),0.0)</f>
        <v>0</v>
      </c>
      <c r="G82" s="461">
        <f>IFERROR(__xludf.DUMMYFUNCTION("""COMPUTED_VALUE"""),0.0)</f>
        <v>0</v>
      </c>
      <c r="H82" s="461">
        <f>IFERROR(__xludf.DUMMYFUNCTION("""COMPUTED_VALUE"""),0.0)</f>
        <v>0</v>
      </c>
      <c r="I82" s="461">
        <f>IFERROR(__xludf.DUMMYFUNCTION("""COMPUTED_VALUE"""),0.0)</f>
        <v>0</v>
      </c>
      <c r="J82" s="461">
        <f>IFERROR(__xludf.DUMMYFUNCTION("""COMPUTED_VALUE"""),0.0)</f>
        <v>0</v>
      </c>
      <c r="K82" s="461">
        <f>IFERROR(__xludf.DUMMYFUNCTION("""COMPUTED_VALUE"""),0.0)</f>
        <v>0</v>
      </c>
      <c r="L82" s="461">
        <f>IFERROR(__xludf.DUMMYFUNCTION("""COMPUTED_VALUE"""),0.0)</f>
        <v>0</v>
      </c>
      <c r="M82" s="461">
        <f>IFERROR(__xludf.DUMMYFUNCTION("""COMPUTED_VALUE"""),0.0)</f>
        <v>0</v>
      </c>
      <c r="N82" s="461">
        <f>IFERROR(__xludf.DUMMYFUNCTION("""COMPUTED_VALUE"""),0.0)</f>
        <v>0</v>
      </c>
      <c r="O82" s="461">
        <f>IFERROR(__xludf.DUMMYFUNCTION("""COMPUTED_VALUE"""),0.0)</f>
        <v>0</v>
      </c>
      <c r="P82" s="461">
        <f t="shared" ref="P82:P83" si="10">sum(D82:O82)</f>
        <v>0</v>
      </c>
    </row>
    <row r="83" ht="14.25" customHeight="1">
      <c r="A83" s="469" t="s">
        <v>1092</v>
      </c>
      <c r="B83" s="477"/>
      <c r="C83" s="477" t="s">
        <v>848</v>
      </c>
      <c r="D83" s="461">
        <f>IFERROR(__xludf.DUMMYFUNCTION("""COMPUTED_VALUE"""),0.0)</f>
        <v>0</v>
      </c>
      <c r="E83" s="461">
        <f>IFERROR(__xludf.DUMMYFUNCTION("""COMPUTED_VALUE"""),0.0)</f>
        <v>0</v>
      </c>
      <c r="F83" s="461">
        <f>IFERROR(__xludf.DUMMYFUNCTION("""COMPUTED_VALUE"""),0.0)</f>
        <v>0</v>
      </c>
      <c r="G83" s="461">
        <f>IFERROR(__xludf.DUMMYFUNCTION("""COMPUTED_VALUE"""),0.0)</f>
        <v>0</v>
      </c>
      <c r="H83" s="461">
        <f>IFERROR(__xludf.DUMMYFUNCTION("""COMPUTED_VALUE"""),0.0)</f>
        <v>0</v>
      </c>
      <c r="I83" s="461">
        <f>IFERROR(__xludf.DUMMYFUNCTION("""COMPUTED_VALUE"""),0.0)</f>
        <v>0</v>
      </c>
      <c r="J83" s="461">
        <f>IFERROR(__xludf.DUMMYFUNCTION("""COMPUTED_VALUE"""),0.0)</f>
        <v>0</v>
      </c>
      <c r="K83" s="461">
        <f>IFERROR(__xludf.DUMMYFUNCTION("""COMPUTED_VALUE"""),0.0)</f>
        <v>0</v>
      </c>
      <c r="L83" s="461">
        <f>IFERROR(__xludf.DUMMYFUNCTION("""COMPUTED_VALUE"""),0.0)</f>
        <v>0</v>
      </c>
      <c r="M83" s="461">
        <f>IFERROR(__xludf.DUMMYFUNCTION("""COMPUTED_VALUE"""),0.0)</f>
        <v>0</v>
      </c>
      <c r="N83" s="461">
        <f>IFERROR(__xludf.DUMMYFUNCTION("""COMPUTED_VALUE"""),0.0)</f>
        <v>0</v>
      </c>
      <c r="O83" s="461">
        <f>IFERROR(__xludf.DUMMYFUNCTION("""COMPUTED_VALUE"""),0.0)</f>
        <v>0</v>
      </c>
      <c r="P83" s="461">
        <f t="shared" si="10"/>
        <v>0</v>
      </c>
    </row>
    <row r="84" ht="14.25" customHeight="1">
      <c r="A84" s="482" t="s">
        <v>849</v>
      </c>
      <c r="B84" s="483"/>
      <c r="C84" s="484"/>
      <c r="D84" s="475">
        <f>IFERROR(__xludf.DUMMYFUNCTION("""COMPUTED_VALUE"""),0.0)</f>
        <v>0</v>
      </c>
      <c r="E84" s="475">
        <f>IFERROR(__xludf.DUMMYFUNCTION("""COMPUTED_VALUE"""),0.0)</f>
        <v>0</v>
      </c>
      <c r="F84" s="475">
        <f>IFERROR(__xludf.DUMMYFUNCTION("""COMPUTED_VALUE"""),0.0)</f>
        <v>0</v>
      </c>
      <c r="G84" s="475">
        <f>IFERROR(__xludf.DUMMYFUNCTION("""COMPUTED_VALUE"""),0.0)</f>
        <v>0</v>
      </c>
      <c r="H84" s="475">
        <f>IFERROR(__xludf.DUMMYFUNCTION("""COMPUTED_VALUE"""),0.0)</f>
        <v>0</v>
      </c>
      <c r="I84" s="475">
        <f>IFERROR(__xludf.DUMMYFUNCTION("""COMPUTED_VALUE"""),0.0)</f>
        <v>0</v>
      </c>
      <c r="J84" s="475">
        <f>IFERROR(__xludf.DUMMYFUNCTION("""COMPUTED_VALUE"""),0.0)</f>
        <v>0</v>
      </c>
      <c r="K84" s="475">
        <f>IFERROR(__xludf.DUMMYFUNCTION("""COMPUTED_VALUE"""),0.0)</f>
        <v>0</v>
      </c>
      <c r="L84" s="475">
        <f>IFERROR(__xludf.DUMMYFUNCTION("""COMPUTED_VALUE"""),0.0)</f>
        <v>0</v>
      </c>
      <c r="M84" s="475">
        <f>IFERROR(__xludf.DUMMYFUNCTION("""COMPUTED_VALUE"""),0.0)</f>
        <v>0</v>
      </c>
      <c r="N84" s="475">
        <f>IFERROR(__xludf.DUMMYFUNCTION("""COMPUTED_VALUE"""),0.0)</f>
        <v>0</v>
      </c>
      <c r="O84" s="475">
        <f>IFERROR(__xludf.DUMMYFUNCTION("""COMPUTED_VALUE"""),0.0)</f>
        <v>0</v>
      </c>
      <c r="P84" s="475">
        <f>sum(P82:P83)</f>
        <v>0</v>
      </c>
    </row>
    <row r="85" ht="14.25" customHeight="1">
      <c r="A85" s="469" t="s">
        <v>43</v>
      </c>
      <c r="B85" s="459"/>
      <c r="C85" s="477" t="s">
        <v>850</v>
      </c>
      <c r="D85" s="461">
        <f>IFERROR(__xludf.DUMMYFUNCTION("""COMPUTED_VALUE"""),0.0)</f>
        <v>0</v>
      </c>
      <c r="E85" s="461">
        <f>IFERROR(__xludf.DUMMYFUNCTION("""COMPUTED_VALUE"""),0.0)</f>
        <v>0</v>
      </c>
      <c r="F85" s="461">
        <f>IFERROR(__xludf.DUMMYFUNCTION("""COMPUTED_VALUE"""),0.0)</f>
        <v>0</v>
      </c>
      <c r="G85" s="461">
        <f>IFERROR(__xludf.DUMMYFUNCTION("""COMPUTED_VALUE"""),0.0)</f>
        <v>0</v>
      </c>
      <c r="H85" s="461">
        <f>IFERROR(__xludf.DUMMYFUNCTION("""COMPUTED_VALUE"""),0.0)</f>
        <v>0</v>
      </c>
      <c r="I85" s="461">
        <f>IFERROR(__xludf.DUMMYFUNCTION("""COMPUTED_VALUE"""),0.0)</f>
        <v>0</v>
      </c>
      <c r="J85" s="461">
        <f>IFERROR(__xludf.DUMMYFUNCTION("""COMPUTED_VALUE"""),0.0)</f>
        <v>0</v>
      </c>
      <c r="K85" s="461">
        <f>IFERROR(__xludf.DUMMYFUNCTION("""COMPUTED_VALUE"""),0.0)</f>
        <v>0</v>
      </c>
      <c r="L85" s="461">
        <f>IFERROR(__xludf.DUMMYFUNCTION("""COMPUTED_VALUE"""),0.0)</f>
        <v>0</v>
      </c>
      <c r="M85" s="461">
        <f>IFERROR(__xludf.DUMMYFUNCTION("""COMPUTED_VALUE"""),0.0)</f>
        <v>0</v>
      </c>
      <c r="N85" s="461">
        <f>IFERROR(__xludf.DUMMYFUNCTION("""COMPUTED_VALUE"""),0.0)</f>
        <v>0</v>
      </c>
      <c r="O85" s="461">
        <f>IFERROR(__xludf.DUMMYFUNCTION("""COMPUTED_VALUE"""),0.0)</f>
        <v>0</v>
      </c>
      <c r="P85" s="461">
        <f>sum(D85:O85)</f>
        <v>0</v>
      </c>
    </row>
    <row r="86" ht="14.25" customHeight="1">
      <c r="A86" s="482" t="s">
        <v>851</v>
      </c>
      <c r="B86" s="484"/>
      <c r="C86" s="484"/>
      <c r="D86" s="475">
        <f>IFERROR(__xludf.DUMMYFUNCTION("""COMPUTED_VALUE"""),0.0)</f>
        <v>0</v>
      </c>
      <c r="E86" s="475">
        <f>IFERROR(__xludf.DUMMYFUNCTION("""COMPUTED_VALUE"""),0.0)</f>
        <v>0</v>
      </c>
      <c r="F86" s="475">
        <f>IFERROR(__xludf.DUMMYFUNCTION("""COMPUTED_VALUE"""),0.0)</f>
        <v>0</v>
      </c>
      <c r="G86" s="475">
        <f>IFERROR(__xludf.DUMMYFUNCTION("""COMPUTED_VALUE"""),0.0)</f>
        <v>0</v>
      </c>
      <c r="H86" s="475">
        <f>IFERROR(__xludf.DUMMYFUNCTION("""COMPUTED_VALUE"""),0.0)</f>
        <v>0</v>
      </c>
      <c r="I86" s="475">
        <f>IFERROR(__xludf.DUMMYFUNCTION("""COMPUTED_VALUE"""),0.0)</f>
        <v>0</v>
      </c>
      <c r="J86" s="475">
        <f>IFERROR(__xludf.DUMMYFUNCTION("""COMPUTED_VALUE"""),0.0)</f>
        <v>0</v>
      </c>
      <c r="K86" s="475">
        <f>IFERROR(__xludf.DUMMYFUNCTION("""COMPUTED_VALUE"""),0.0)</f>
        <v>0</v>
      </c>
      <c r="L86" s="475">
        <f>IFERROR(__xludf.DUMMYFUNCTION("""COMPUTED_VALUE"""),0.0)</f>
        <v>0</v>
      </c>
      <c r="M86" s="475">
        <f>IFERROR(__xludf.DUMMYFUNCTION("""COMPUTED_VALUE"""),0.0)</f>
        <v>0</v>
      </c>
      <c r="N86" s="475">
        <f>IFERROR(__xludf.DUMMYFUNCTION("""COMPUTED_VALUE"""),0.0)</f>
        <v>0</v>
      </c>
      <c r="O86" s="475">
        <f>IFERROR(__xludf.DUMMYFUNCTION("""COMPUTED_VALUE"""),0.0)</f>
        <v>0</v>
      </c>
      <c r="P86" s="475">
        <f>P85</f>
        <v>0</v>
      </c>
    </row>
    <row r="87" ht="14.25" customHeight="1">
      <c r="A87" s="469" t="s">
        <v>1093</v>
      </c>
      <c r="B87" s="477"/>
      <c r="C87" s="477" t="s">
        <v>852</v>
      </c>
      <c r="D87" s="461">
        <f>IFERROR(__xludf.DUMMYFUNCTION("""COMPUTED_VALUE"""),0.0)</f>
        <v>0</v>
      </c>
      <c r="E87" s="461">
        <f>IFERROR(__xludf.DUMMYFUNCTION("""COMPUTED_VALUE"""),0.0)</f>
        <v>0</v>
      </c>
      <c r="F87" s="461">
        <f>IFERROR(__xludf.DUMMYFUNCTION("""COMPUTED_VALUE"""),0.0)</f>
        <v>0</v>
      </c>
      <c r="G87" s="461">
        <f>IFERROR(__xludf.DUMMYFUNCTION("""COMPUTED_VALUE"""),0.0)</f>
        <v>0</v>
      </c>
      <c r="H87" s="461">
        <f>IFERROR(__xludf.DUMMYFUNCTION("""COMPUTED_VALUE"""),0.0)</f>
        <v>0</v>
      </c>
      <c r="I87" s="461">
        <f>IFERROR(__xludf.DUMMYFUNCTION("""COMPUTED_VALUE"""),0.0)</f>
        <v>0</v>
      </c>
      <c r="J87" s="461">
        <f>IFERROR(__xludf.DUMMYFUNCTION("""COMPUTED_VALUE"""),0.0)</f>
        <v>0</v>
      </c>
      <c r="K87" s="461">
        <f>IFERROR(__xludf.DUMMYFUNCTION("""COMPUTED_VALUE"""),0.0)</f>
        <v>0</v>
      </c>
      <c r="L87" s="461">
        <f>IFERROR(__xludf.DUMMYFUNCTION("""COMPUTED_VALUE"""),0.0)</f>
        <v>0</v>
      </c>
      <c r="M87" s="461">
        <f>IFERROR(__xludf.DUMMYFUNCTION("""COMPUTED_VALUE"""),0.0)</f>
        <v>0</v>
      </c>
      <c r="N87" s="461">
        <f>IFERROR(__xludf.DUMMYFUNCTION("""COMPUTED_VALUE"""),0.0)</f>
        <v>0</v>
      </c>
      <c r="O87" s="461">
        <f>IFERROR(__xludf.DUMMYFUNCTION("""COMPUTED_VALUE"""),0.0)</f>
        <v>0</v>
      </c>
      <c r="P87" s="461">
        <f>sum(D87:O87)</f>
        <v>0</v>
      </c>
    </row>
    <row r="88" ht="14.25" customHeight="1">
      <c r="A88" s="482" t="s">
        <v>1022</v>
      </c>
      <c r="B88" s="483"/>
      <c r="C88" s="484"/>
      <c r="D88" s="475">
        <f>IFERROR(__xludf.DUMMYFUNCTION("""COMPUTED_VALUE"""),0.0)</f>
        <v>0</v>
      </c>
      <c r="E88" s="475">
        <f>IFERROR(__xludf.DUMMYFUNCTION("""COMPUTED_VALUE"""),0.0)</f>
        <v>0</v>
      </c>
      <c r="F88" s="475">
        <f>IFERROR(__xludf.DUMMYFUNCTION("""COMPUTED_VALUE"""),0.0)</f>
        <v>0</v>
      </c>
      <c r="G88" s="475">
        <f>IFERROR(__xludf.DUMMYFUNCTION("""COMPUTED_VALUE"""),0.0)</f>
        <v>0</v>
      </c>
      <c r="H88" s="475">
        <f>IFERROR(__xludf.DUMMYFUNCTION("""COMPUTED_VALUE"""),0.0)</f>
        <v>0</v>
      </c>
      <c r="I88" s="475">
        <f>IFERROR(__xludf.DUMMYFUNCTION("""COMPUTED_VALUE"""),0.0)</f>
        <v>0</v>
      </c>
      <c r="J88" s="475">
        <f>IFERROR(__xludf.DUMMYFUNCTION("""COMPUTED_VALUE"""),0.0)</f>
        <v>0</v>
      </c>
      <c r="K88" s="475">
        <f>IFERROR(__xludf.DUMMYFUNCTION("""COMPUTED_VALUE"""),0.0)</f>
        <v>0</v>
      </c>
      <c r="L88" s="475">
        <f>IFERROR(__xludf.DUMMYFUNCTION("""COMPUTED_VALUE"""),0.0)</f>
        <v>0</v>
      </c>
      <c r="M88" s="475">
        <f>IFERROR(__xludf.DUMMYFUNCTION("""COMPUTED_VALUE"""),0.0)</f>
        <v>0</v>
      </c>
      <c r="N88" s="475">
        <f>IFERROR(__xludf.DUMMYFUNCTION("""COMPUTED_VALUE"""),0.0)</f>
        <v>0</v>
      </c>
      <c r="O88" s="475">
        <f>IFERROR(__xludf.DUMMYFUNCTION("""COMPUTED_VALUE"""),0.0)</f>
        <v>0</v>
      </c>
      <c r="P88" s="475">
        <f>P87</f>
        <v>0</v>
      </c>
    </row>
    <row r="89" ht="14.25" customHeight="1">
      <c r="A89" s="469" t="s">
        <v>1094</v>
      </c>
      <c r="B89" s="459"/>
      <c r="C89" s="382" t="s">
        <v>854</v>
      </c>
      <c r="D89" s="461">
        <f>IFERROR(__xludf.DUMMYFUNCTION("""COMPUTED_VALUE"""),0.0)</f>
        <v>0</v>
      </c>
      <c r="E89" s="461">
        <f>IFERROR(__xludf.DUMMYFUNCTION("""COMPUTED_VALUE"""),0.0)</f>
        <v>0</v>
      </c>
      <c r="F89" s="461">
        <f>IFERROR(__xludf.DUMMYFUNCTION("""COMPUTED_VALUE"""),0.0)</f>
        <v>0</v>
      </c>
      <c r="G89" s="461">
        <f>IFERROR(__xludf.DUMMYFUNCTION("""COMPUTED_VALUE"""),0.0)</f>
        <v>0</v>
      </c>
      <c r="H89" s="461">
        <f>IFERROR(__xludf.DUMMYFUNCTION("""COMPUTED_VALUE"""),0.0)</f>
        <v>0</v>
      </c>
      <c r="I89" s="461">
        <f>IFERROR(__xludf.DUMMYFUNCTION("""COMPUTED_VALUE"""),0.0)</f>
        <v>0</v>
      </c>
      <c r="J89" s="461">
        <f>IFERROR(__xludf.DUMMYFUNCTION("""COMPUTED_VALUE"""),0.0)</f>
        <v>0</v>
      </c>
      <c r="K89" s="461">
        <f>IFERROR(__xludf.DUMMYFUNCTION("""COMPUTED_VALUE"""),0.0)</f>
        <v>0</v>
      </c>
      <c r="L89" s="461">
        <f>IFERROR(__xludf.DUMMYFUNCTION("""COMPUTED_VALUE"""),0.0)</f>
        <v>0</v>
      </c>
      <c r="M89" s="461">
        <f>IFERROR(__xludf.DUMMYFUNCTION("""COMPUTED_VALUE"""),0.0)</f>
        <v>0</v>
      </c>
      <c r="N89" s="461">
        <f>IFERROR(__xludf.DUMMYFUNCTION("""COMPUTED_VALUE"""),0.0)</f>
        <v>0</v>
      </c>
      <c r="O89" s="461">
        <f>IFERROR(__xludf.DUMMYFUNCTION("""COMPUTED_VALUE"""),0.0)</f>
        <v>0</v>
      </c>
      <c r="P89" s="461">
        <f>sum(D89:O89)</f>
        <v>0</v>
      </c>
    </row>
    <row r="90" ht="14.25" customHeight="1">
      <c r="A90" s="482" t="s">
        <v>855</v>
      </c>
      <c r="B90" s="483"/>
      <c r="C90" s="484"/>
      <c r="D90" s="475">
        <f>IFERROR(__xludf.DUMMYFUNCTION("""COMPUTED_VALUE"""),0.0)</f>
        <v>0</v>
      </c>
      <c r="E90" s="475">
        <f>IFERROR(__xludf.DUMMYFUNCTION("""COMPUTED_VALUE"""),0.0)</f>
        <v>0</v>
      </c>
      <c r="F90" s="475">
        <f>IFERROR(__xludf.DUMMYFUNCTION("""COMPUTED_VALUE"""),0.0)</f>
        <v>0</v>
      </c>
      <c r="G90" s="475">
        <f>IFERROR(__xludf.DUMMYFUNCTION("""COMPUTED_VALUE"""),0.0)</f>
        <v>0</v>
      </c>
      <c r="H90" s="475">
        <f>IFERROR(__xludf.DUMMYFUNCTION("""COMPUTED_VALUE"""),0.0)</f>
        <v>0</v>
      </c>
      <c r="I90" s="475">
        <f>IFERROR(__xludf.DUMMYFUNCTION("""COMPUTED_VALUE"""),0.0)</f>
        <v>0</v>
      </c>
      <c r="J90" s="475">
        <f>IFERROR(__xludf.DUMMYFUNCTION("""COMPUTED_VALUE"""),0.0)</f>
        <v>0</v>
      </c>
      <c r="K90" s="475">
        <f>IFERROR(__xludf.DUMMYFUNCTION("""COMPUTED_VALUE"""),0.0)</f>
        <v>0</v>
      </c>
      <c r="L90" s="475">
        <f>IFERROR(__xludf.DUMMYFUNCTION("""COMPUTED_VALUE"""),0.0)</f>
        <v>0</v>
      </c>
      <c r="M90" s="475">
        <f>IFERROR(__xludf.DUMMYFUNCTION("""COMPUTED_VALUE"""),0.0)</f>
        <v>0</v>
      </c>
      <c r="N90" s="475">
        <f>IFERROR(__xludf.DUMMYFUNCTION("""COMPUTED_VALUE"""),0.0)</f>
        <v>0</v>
      </c>
      <c r="O90" s="475">
        <f>IFERROR(__xludf.DUMMYFUNCTION("""COMPUTED_VALUE"""),0.0)</f>
        <v>0</v>
      </c>
      <c r="P90" s="475">
        <f>P89</f>
        <v>0</v>
      </c>
    </row>
    <row r="91" ht="14.25" customHeight="1">
      <c r="A91" s="469" t="s">
        <v>1095</v>
      </c>
      <c r="B91" s="459"/>
      <c r="C91" s="477" t="s">
        <v>856</v>
      </c>
      <c r="D91" s="461">
        <f>IFERROR(__xludf.DUMMYFUNCTION("""COMPUTED_VALUE"""),0.0)</f>
        <v>0</v>
      </c>
      <c r="E91" s="461">
        <f>IFERROR(__xludf.DUMMYFUNCTION("""COMPUTED_VALUE"""),0.0)</f>
        <v>0</v>
      </c>
      <c r="F91" s="461">
        <f>IFERROR(__xludf.DUMMYFUNCTION("""COMPUTED_VALUE"""),0.0)</f>
        <v>0</v>
      </c>
      <c r="G91" s="461">
        <f>IFERROR(__xludf.DUMMYFUNCTION("""COMPUTED_VALUE"""),0.0)</f>
        <v>0</v>
      </c>
      <c r="H91" s="461">
        <f>IFERROR(__xludf.DUMMYFUNCTION("""COMPUTED_VALUE"""),0.0)</f>
        <v>0</v>
      </c>
      <c r="I91" s="461">
        <f>IFERROR(__xludf.DUMMYFUNCTION("""COMPUTED_VALUE"""),0.0)</f>
        <v>0</v>
      </c>
      <c r="J91" s="461">
        <f>IFERROR(__xludf.DUMMYFUNCTION("""COMPUTED_VALUE"""),0.0)</f>
        <v>0</v>
      </c>
      <c r="K91" s="461">
        <f>IFERROR(__xludf.DUMMYFUNCTION("""COMPUTED_VALUE"""),0.0)</f>
        <v>0</v>
      </c>
      <c r="L91" s="461">
        <f>IFERROR(__xludf.DUMMYFUNCTION("""COMPUTED_VALUE"""),0.0)</f>
        <v>0</v>
      </c>
      <c r="M91" s="461">
        <f>IFERROR(__xludf.DUMMYFUNCTION("""COMPUTED_VALUE"""),0.0)</f>
        <v>0</v>
      </c>
      <c r="N91" s="461">
        <f>IFERROR(__xludf.DUMMYFUNCTION("""COMPUTED_VALUE"""),0.0)</f>
        <v>0</v>
      </c>
      <c r="O91" s="461">
        <f>IFERROR(__xludf.DUMMYFUNCTION("""COMPUTED_VALUE"""),0.0)</f>
        <v>0</v>
      </c>
      <c r="P91" s="461">
        <f t="shared" ref="P91:P94" si="11">sum(D91:O91)</f>
        <v>0</v>
      </c>
    </row>
    <row r="92" ht="14.25" customHeight="1">
      <c r="A92" s="469" t="s">
        <v>1096</v>
      </c>
      <c r="B92" s="459"/>
      <c r="C92" s="459" t="s">
        <v>857</v>
      </c>
      <c r="D92" s="461">
        <f>IFERROR(__xludf.DUMMYFUNCTION("""COMPUTED_VALUE"""),0.0)</f>
        <v>0</v>
      </c>
      <c r="E92" s="461">
        <f>IFERROR(__xludf.DUMMYFUNCTION("""COMPUTED_VALUE"""),0.0)</f>
        <v>0</v>
      </c>
      <c r="F92" s="461">
        <f>IFERROR(__xludf.DUMMYFUNCTION("""COMPUTED_VALUE"""),0.0)</f>
        <v>0</v>
      </c>
      <c r="G92" s="461">
        <f>IFERROR(__xludf.DUMMYFUNCTION("""COMPUTED_VALUE"""),0.0)</f>
        <v>0</v>
      </c>
      <c r="H92" s="461">
        <f>IFERROR(__xludf.DUMMYFUNCTION("""COMPUTED_VALUE"""),0.0)</f>
        <v>0</v>
      </c>
      <c r="I92" s="461">
        <f>IFERROR(__xludf.DUMMYFUNCTION("""COMPUTED_VALUE"""),0.0)</f>
        <v>0</v>
      </c>
      <c r="J92" s="461">
        <f>IFERROR(__xludf.DUMMYFUNCTION("""COMPUTED_VALUE"""),0.0)</f>
        <v>0</v>
      </c>
      <c r="K92" s="461">
        <f>IFERROR(__xludf.DUMMYFUNCTION("""COMPUTED_VALUE"""),0.0)</f>
        <v>0</v>
      </c>
      <c r="L92" s="461">
        <f>IFERROR(__xludf.DUMMYFUNCTION("""COMPUTED_VALUE"""),0.0)</f>
        <v>0</v>
      </c>
      <c r="M92" s="461">
        <f>IFERROR(__xludf.DUMMYFUNCTION("""COMPUTED_VALUE"""),0.0)</f>
        <v>0</v>
      </c>
      <c r="N92" s="461">
        <f>IFERROR(__xludf.DUMMYFUNCTION("""COMPUTED_VALUE"""),0.0)</f>
        <v>0</v>
      </c>
      <c r="O92" s="461">
        <f>IFERROR(__xludf.DUMMYFUNCTION("""COMPUTED_VALUE"""),0.0)</f>
        <v>0</v>
      </c>
      <c r="P92" s="461">
        <f t="shared" si="11"/>
        <v>0</v>
      </c>
    </row>
    <row r="93" ht="14.25" customHeight="1">
      <c r="A93" s="469" t="s">
        <v>1097</v>
      </c>
      <c r="B93" s="459"/>
      <c r="C93" s="477" t="s">
        <v>858</v>
      </c>
      <c r="D93" s="461">
        <f>IFERROR(__xludf.DUMMYFUNCTION("""COMPUTED_VALUE"""),0.0)</f>
        <v>0</v>
      </c>
      <c r="E93" s="461">
        <f>IFERROR(__xludf.DUMMYFUNCTION("""COMPUTED_VALUE"""),0.0)</f>
        <v>0</v>
      </c>
      <c r="F93" s="461">
        <f>IFERROR(__xludf.DUMMYFUNCTION("""COMPUTED_VALUE"""),0.0)</f>
        <v>0</v>
      </c>
      <c r="G93" s="461">
        <f>IFERROR(__xludf.DUMMYFUNCTION("""COMPUTED_VALUE"""),0.0)</f>
        <v>0</v>
      </c>
      <c r="H93" s="461">
        <f>IFERROR(__xludf.DUMMYFUNCTION("""COMPUTED_VALUE"""),0.0)</f>
        <v>0</v>
      </c>
      <c r="I93" s="461">
        <f>IFERROR(__xludf.DUMMYFUNCTION("""COMPUTED_VALUE"""),0.0)</f>
        <v>0</v>
      </c>
      <c r="J93" s="461">
        <f>IFERROR(__xludf.DUMMYFUNCTION("""COMPUTED_VALUE"""),0.0)</f>
        <v>0</v>
      </c>
      <c r="K93" s="461">
        <f>IFERROR(__xludf.DUMMYFUNCTION("""COMPUTED_VALUE"""),0.0)</f>
        <v>0</v>
      </c>
      <c r="L93" s="461">
        <f>IFERROR(__xludf.DUMMYFUNCTION("""COMPUTED_VALUE"""),0.0)</f>
        <v>0</v>
      </c>
      <c r="M93" s="461">
        <f>IFERROR(__xludf.DUMMYFUNCTION("""COMPUTED_VALUE"""),0.0)</f>
        <v>0</v>
      </c>
      <c r="N93" s="461">
        <f>IFERROR(__xludf.DUMMYFUNCTION("""COMPUTED_VALUE"""),0.0)</f>
        <v>0</v>
      </c>
      <c r="O93" s="461">
        <f>IFERROR(__xludf.DUMMYFUNCTION("""COMPUTED_VALUE"""),0.0)</f>
        <v>0</v>
      </c>
      <c r="P93" s="461">
        <f t="shared" si="11"/>
        <v>0</v>
      </c>
    </row>
    <row r="94" ht="14.25" customHeight="1">
      <c r="A94" s="469" t="s">
        <v>1098</v>
      </c>
      <c r="B94" s="459"/>
      <c r="C94" s="477" t="s">
        <v>859</v>
      </c>
      <c r="D94" s="461">
        <f>IFERROR(__xludf.DUMMYFUNCTION("""COMPUTED_VALUE"""),0.0)</f>
        <v>0</v>
      </c>
      <c r="E94" s="461">
        <f>IFERROR(__xludf.DUMMYFUNCTION("""COMPUTED_VALUE"""),0.0)</f>
        <v>0</v>
      </c>
      <c r="F94" s="461">
        <f>IFERROR(__xludf.DUMMYFUNCTION("""COMPUTED_VALUE"""),0.0)</f>
        <v>0</v>
      </c>
      <c r="G94" s="461">
        <f>IFERROR(__xludf.DUMMYFUNCTION("""COMPUTED_VALUE"""),0.0)</f>
        <v>0</v>
      </c>
      <c r="H94" s="461">
        <f>IFERROR(__xludf.DUMMYFUNCTION("""COMPUTED_VALUE"""),0.0)</f>
        <v>0</v>
      </c>
      <c r="I94" s="461">
        <f>IFERROR(__xludf.DUMMYFUNCTION("""COMPUTED_VALUE"""),0.0)</f>
        <v>0</v>
      </c>
      <c r="J94" s="461">
        <f>IFERROR(__xludf.DUMMYFUNCTION("""COMPUTED_VALUE"""),0.0)</f>
        <v>0</v>
      </c>
      <c r="K94" s="461">
        <f>IFERROR(__xludf.DUMMYFUNCTION("""COMPUTED_VALUE"""),0.0)</f>
        <v>0</v>
      </c>
      <c r="L94" s="461">
        <f>IFERROR(__xludf.DUMMYFUNCTION("""COMPUTED_VALUE"""),0.0)</f>
        <v>0</v>
      </c>
      <c r="M94" s="461">
        <f>IFERROR(__xludf.DUMMYFUNCTION("""COMPUTED_VALUE"""),0.0)</f>
        <v>0</v>
      </c>
      <c r="N94" s="461">
        <f>IFERROR(__xludf.DUMMYFUNCTION("""COMPUTED_VALUE"""),0.0)</f>
        <v>0</v>
      </c>
      <c r="O94" s="461">
        <f>IFERROR(__xludf.DUMMYFUNCTION("""COMPUTED_VALUE"""),0.0)</f>
        <v>0</v>
      </c>
      <c r="P94" s="461">
        <f t="shared" si="11"/>
        <v>0</v>
      </c>
    </row>
    <row r="95" ht="14.25" customHeight="1">
      <c r="A95" s="482" t="s">
        <v>860</v>
      </c>
      <c r="B95" s="483"/>
      <c r="C95" s="484"/>
      <c r="D95" s="475">
        <f>IFERROR(__xludf.DUMMYFUNCTION("""COMPUTED_VALUE"""),0.0)</f>
        <v>0</v>
      </c>
      <c r="E95" s="475">
        <f>IFERROR(__xludf.DUMMYFUNCTION("""COMPUTED_VALUE"""),0.0)</f>
        <v>0</v>
      </c>
      <c r="F95" s="475">
        <f>IFERROR(__xludf.DUMMYFUNCTION("""COMPUTED_VALUE"""),0.0)</f>
        <v>0</v>
      </c>
      <c r="G95" s="475">
        <f>IFERROR(__xludf.DUMMYFUNCTION("""COMPUTED_VALUE"""),0.0)</f>
        <v>0</v>
      </c>
      <c r="H95" s="475">
        <f>IFERROR(__xludf.DUMMYFUNCTION("""COMPUTED_VALUE"""),0.0)</f>
        <v>0</v>
      </c>
      <c r="I95" s="475">
        <f>IFERROR(__xludf.DUMMYFUNCTION("""COMPUTED_VALUE"""),0.0)</f>
        <v>0</v>
      </c>
      <c r="J95" s="475">
        <f>IFERROR(__xludf.DUMMYFUNCTION("""COMPUTED_VALUE"""),0.0)</f>
        <v>0</v>
      </c>
      <c r="K95" s="475">
        <f>IFERROR(__xludf.DUMMYFUNCTION("""COMPUTED_VALUE"""),0.0)</f>
        <v>0</v>
      </c>
      <c r="L95" s="475">
        <f>IFERROR(__xludf.DUMMYFUNCTION("""COMPUTED_VALUE"""),0.0)</f>
        <v>0</v>
      </c>
      <c r="M95" s="475">
        <f>IFERROR(__xludf.DUMMYFUNCTION("""COMPUTED_VALUE"""),0.0)</f>
        <v>0</v>
      </c>
      <c r="N95" s="475">
        <f>IFERROR(__xludf.DUMMYFUNCTION("""COMPUTED_VALUE"""),0.0)</f>
        <v>0</v>
      </c>
      <c r="O95" s="475">
        <f>IFERROR(__xludf.DUMMYFUNCTION("""COMPUTED_VALUE"""),0.0)</f>
        <v>0</v>
      </c>
      <c r="P95" s="475">
        <f>sum(P91:P94)</f>
        <v>0</v>
      </c>
    </row>
    <row r="96" ht="14.25" customHeight="1">
      <c r="A96" s="478" t="s">
        <v>861</v>
      </c>
      <c r="B96" s="485"/>
      <c r="C96" s="486"/>
      <c r="D96" s="481">
        <f>IFERROR(__xludf.DUMMYFUNCTION("""COMPUTED_VALUE"""),837647.8550225069)</f>
        <v>837647.855</v>
      </c>
      <c r="E96" s="481">
        <f>IFERROR(__xludf.DUMMYFUNCTION("""COMPUTED_VALUE"""),699312.9679993162)</f>
        <v>699312.968</v>
      </c>
      <c r="F96" s="481">
        <f>IFERROR(__xludf.DUMMYFUNCTION("""COMPUTED_VALUE"""),643200.1140133692)</f>
        <v>643200.114</v>
      </c>
      <c r="G96" s="481">
        <f>IFERROR(__xludf.DUMMYFUNCTION("""COMPUTED_VALUE"""),754550.7949525987)</f>
        <v>754550.795</v>
      </c>
      <c r="H96" s="481">
        <f>IFERROR(__xludf.DUMMYFUNCTION("""COMPUTED_VALUE"""),620015.438498874)</f>
        <v>620015.4385</v>
      </c>
      <c r="I96" s="481">
        <f>IFERROR(__xludf.DUMMYFUNCTION("""COMPUTED_VALUE"""),619559.3253392956)</f>
        <v>619559.3253</v>
      </c>
      <c r="J96" s="481">
        <f>IFERROR(__xludf.DUMMYFUNCTION("""COMPUTED_VALUE"""),629991.4418477481)</f>
        <v>629991.4418</v>
      </c>
      <c r="K96" s="481">
        <f>IFERROR(__xludf.DUMMYFUNCTION("""COMPUTED_VALUE"""),616614.260288609)</f>
        <v>616614.2603</v>
      </c>
      <c r="L96" s="481">
        <f>IFERROR(__xludf.DUMMYFUNCTION("""COMPUTED_VALUE"""),604982.3401620053)</f>
        <v>604982.3402</v>
      </c>
      <c r="M96" s="481">
        <f>IFERROR(__xludf.DUMMYFUNCTION("""COMPUTED_VALUE"""),693199.913948149)</f>
        <v>693199.9139</v>
      </c>
      <c r="N96" s="481">
        <f>IFERROR(__xludf.DUMMYFUNCTION("""COMPUTED_VALUE"""),596998.5903296003)</f>
        <v>596998.5903</v>
      </c>
      <c r="O96" s="481">
        <f>IFERROR(__xludf.DUMMYFUNCTION("""COMPUTED_VALUE"""),642675.579565058)</f>
        <v>642675.5796</v>
      </c>
      <c r="P96" s="481">
        <f>P95+P90+P88+P86+P84+P81+P78+P73</f>
        <v>7958748.622</v>
      </c>
    </row>
    <row r="97" ht="14.25" customHeight="1">
      <c r="A97" s="469" t="s">
        <v>862</v>
      </c>
      <c r="B97" s="459"/>
      <c r="C97" s="477" t="s">
        <v>1099</v>
      </c>
      <c r="D97" s="461">
        <f>IFERROR(__xludf.DUMMYFUNCTION("""COMPUTED_VALUE"""),0.0)</f>
        <v>0</v>
      </c>
      <c r="E97" s="461">
        <f>IFERROR(__xludf.DUMMYFUNCTION("""COMPUTED_VALUE"""),0.0)</f>
        <v>0</v>
      </c>
      <c r="F97" s="461">
        <f>IFERROR(__xludf.DUMMYFUNCTION("""COMPUTED_VALUE"""),0.0)</f>
        <v>0</v>
      </c>
      <c r="G97" s="461">
        <f>IFERROR(__xludf.DUMMYFUNCTION("""COMPUTED_VALUE"""),0.0)</f>
        <v>0</v>
      </c>
      <c r="H97" s="461">
        <f>IFERROR(__xludf.DUMMYFUNCTION("""COMPUTED_VALUE"""),0.0)</f>
        <v>0</v>
      </c>
      <c r="I97" s="461">
        <f>IFERROR(__xludf.DUMMYFUNCTION("""COMPUTED_VALUE"""),0.0)</f>
        <v>0</v>
      </c>
      <c r="J97" s="461">
        <f>IFERROR(__xludf.DUMMYFUNCTION("""COMPUTED_VALUE"""),0.0)</f>
        <v>0</v>
      </c>
      <c r="K97" s="461">
        <f>IFERROR(__xludf.DUMMYFUNCTION("""COMPUTED_VALUE"""),0.0)</f>
        <v>0</v>
      </c>
      <c r="L97" s="461">
        <f>IFERROR(__xludf.DUMMYFUNCTION("""COMPUTED_VALUE"""),0.0)</f>
        <v>0</v>
      </c>
      <c r="M97" s="461">
        <f>IFERROR(__xludf.DUMMYFUNCTION("""COMPUTED_VALUE"""),0.0)</f>
        <v>0</v>
      </c>
      <c r="N97" s="461">
        <f>IFERROR(__xludf.DUMMYFUNCTION("""COMPUTED_VALUE"""),0.0)</f>
        <v>0</v>
      </c>
      <c r="O97" s="461">
        <f>IFERROR(__xludf.DUMMYFUNCTION("""COMPUTED_VALUE"""),0.0)</f>
        <v>0</v>
      </c>
      <c r="P97" s="461">
        <f>sum(D97:O97)</f>
        <v>0</v>
      </c>
    </row>
    <row r="98" ht="14.25" customHeight="1">
      <c r="A98" s="482" t="s">
        <v>864</v>
      </c>
      <c r="B98" s="484"/>
      <c r="C98" s="484"/>
      <c r="D98" s="475">
        <f>IFERROR(__xludf.DUMMYFUNCTION("""COMPUTED_VALUE"""),0.0)</f>
        <v>0</v>
      </c>
      <c r="E98" s="475">
        <f>IFERROR(__xludf.DUMMYFUNCTION("""COMPUTED_VALUE"""),0.0)</f>
        <v>0</v>
      </c>
      <c r="F98" s="475">
        <f>IFERROR(__xludf.DUMMYFUNCTION("""COMPUTED_VALUE"""),0.0)</f>
        <v>0</v>
      </c>
      <c r="G98" s="475">
        <f>IFERROR(__xludf.DUMMYFUNCTION("""COMPUTED_VALUE"""),0.0)</f>
        <v>0</v>
      </c>
      <c r="H98" s="475">
        <f>IFERROR(__xludf.DUMMYFUNCTION("""COMPUTED_VALUE"""),0.0)</f>
        <v>0</v>
      </c>
      <c r="I98" s="475">
        <f>IFERROR(__xludf.DUMMYFUNCTION("""COMPUTED_VALUE"""),0.0)</f>
        <v>0</v>
      </c>
      <c r="J98" s="475">
        <f>IFERROR(__xludf.DUMMYFUNCTION("""COMPUTED_VALUE"""),0.0)</f>
        <v>0</v>
      </c>
      <c r="K98" s="475">
        <f>IFERROR(__xludf.DUMMYFUNCTION("""COMPUTED_VALUE"""),0.0)</f>
        <v>0</v>
      </c>
      <c r="L98" s="475">
        <f>IFERROR(__xludf.DUMMYFUNCTION("""COMPUTED_VALUE"""),0.0)</f>
        <v>0</v>
      </c>
      <c r="M98" s="475">
        <f>IFERROR(__xludf.DUMMYFUNCTION("""COMPUTED_VALUE"""),0.0)</f>
        <v>0</v>
      </c>
      <c r="N98" s="475">
        <f>IFERROR(__xludf.DUMMYFUNCTION("""COMPUTED_VALUE"""),0.0)</f>
        <v>0</v>
      </c>
      <c r="O98" s="475">
        <f>IFERROR(__xludf.DUMMYFUNCTION("""COMPUTED_VALUE"""),0.0)</f>
        <v>0</v>
      </c>
      <c r="P98" s="475">
        <f>P97</f>
        <v>0</v>
      </c>
    </row>
    <row r="99" ht="14.25" customHeight="1">
      <c r="A99" s="469" t="s">
        <v>865</v>
      </c>
      <c r="B99" s="459"/>
      <c r="C99" s="459" t="s">
        <v>1100</v>
      </c>
      <c r="D99" s="461">
        <f>IFERROR(__xludf.DUMMYFUNCTION("""COMPUTED_VALUE"""),0.0)</f>
        <v>0</v>
      </c>
      <c r="E99" s="461">
        <f>IFERROR(__xludf.DUMMYFUNCTION("""COMPUTED_VALUE"""),0.0)</f>
        <v>0</v>
      </c>
      <c r="F99" s="461">
        <f>IFERROR(__xludf.DUMMYFUNCTION("""COMPUTED_VALUE"""),0.0)</f>
        <v>0</v>
      </c>
      <c r="G99" s="461">
        <f>IFERROR(__xludf.DUMMYFUNCTION("""COMPUTED_VALUE"""),0.0)</f>
        <v>0</v>
      </c>
      <c r="H99" s="461">
        <f>IFERROR(__xludf.DUMMYFUNCTION("""COMPUTED_VALUE"""),0.0)</f>
        <v>0</v>
      </c>
      <c r="I99" s="461">
        <f>IFERROR(__xludf.DUMMYFUNCTION("""COMPUTED_VALUE"""),0.0)</f>
        <v>0</v>
      </c>
      <c r="J99" s="461">
        <f>IFERROR(__xludf.DUMMYFUNCTION("""COMPUTED_VALUE"""),0.0)</f>
        <v>0</v>
      </c>
      <c r="K99" s="461">
        <f>IFERROR(__xludf.DUMMYFUNCTION("""COMPUTED_VALUE"""),0.0)</f>
        <v>0</v>
      </c>
      <c r="L99" s="461">
        <f>IFERROR(__xludf.DUMMYFUNCTION("""COMPUTED_VALUE"""),0.0)</f>
        <v>0</v>
      </c>
      <c r="M99" s="461">
        <f>IFERROR(__xludf.DUMMYFUNCTION("""COMPUTED_VALUE"""),0.0)</f>
        <v>0</v>
      </c>
      <c r="N99" s="461">
        <f>IFERROR(__xludf.DUMMYFUNCTION("""COMPUTED_VALUE"""),0.0)</f>
        <v>0</v>
      </c>
      <c r="O99" s="461">
        <f>IFERROR(__xludf.DUMMYFUNCTION("""COMPUTED_VALUE"""),0.0)</f>
        <v>0</v>
      </c>
      <c r="P99" s="461">
        <f t="shared" ref="P99:P101" si="12">sum(D99:O99)</f>
        <v>0</v>
      </c>
    </row>
    <row r="100" ht="14.25" customHeight="1">
      <c r="A100" s="469" t="s">
        <v>867</v>
      </c>
      <c r="B100" s="459"/>
      <c r="C100" s="477" t="s">
        <v>1101</v>
      </c>
      <c r="D100" s="461">
        <f>IFERROR(__xludf.DUMMYFUNCTION("""COMPUTED_VALUE"""),0.0)</f>
        <v>0</v>
      </c>
      <c r="E100" s="461">
        <f>IFERROR(__xludf.DUMMYFUNCTION("""COMPUTED_VALUE"""),0.0)</f>
        <v>0</v>
      </c>
      <c r="F100" s="461">
        <f>IFERROR(__xludf.DUMMYFUNCTION("""COMPUTED_VALUE"""),0.0)</f>
        <v>0</v>
      </c>
      <c r="G100" s="461">
        <f>IFERROR(__xludf.DUMMYFUNCTION("""COMPUTED_VALUE"""),0.0)</f>
        <v>0</v>
      </c>
      <c r="H100" s="461">
        <f>IFERROR(__xludf.DUMMYFUNCTION("""COMPUTED_VALUE"""),0.0)</f>
        <v>0</v>
      </c>
      <c r="I100" s="461">
        <f>IFERROR(__xludf.DUMMYFUNCTION("""COMPUTED_VALUE"""),0.0)</f>
        <v>0</v>
      </c>
      <c r="J100" s="461">
        <f>IFERROR(__xludf.DUMMYFUNCTION("""COMPUTED_VALUE"""),0.0)</f>
        <v>0</v>
      </c>
      <c r="K100" s="461">
        <f>IFERROR(__xludf.DUMMYFUNCTION("""COMPUTED_VALUE"""),0.0)</f>
        <v>0</v>
      </c>
      <c r="L100" s="461">
        <f>IFERROR(__xludf.DUMMYFUNCTION("""COMPUTED_VALUE"""),0.0)</f>
        <v>0</v>
      </c>
      <c r="M100" s="461">
        <f>IFERROR(__xludf.DUMMYFUNCTION("""COMPUTED_VALUE"""),0.0)</f>
        <v>0</v>
      </c>
      <c r="N100" s="461">
        <f>IFERROR(__xludf.DUMMYFUNCTION("""COMPUTED_VALUE"""),0.0)</f>
        <v>0</v>
      </c>
      <c r="O100" s="461">
        <f>IFERROR(__xludf.DUMMYFUNCTION("""COMPUTED_VALUE"""),0.0)</f>
        <v>0</v>
      </c>
      <c r="P100" s="461">
        <f t="shared" si="12"/>
        <v>0</v>
      </c>
    </row>
    <row r="101" ht="14.25" customHeight="1">
      <c r="A101" s="469" t="s">
        <v>869</v>
      </c>
      <c r="B101" s="459"/>
      <c r="C101" s="477" t="s">
        <v>1102</v>
      </c>
      <c r="D101" s="461">
        <f>IFERROR(__xludf.DUMMYFUNCTION("""COMPUTED_VALUE"""),0.0)</f>
        <v>0</v>
      </c>
      <c r="E101" s="461">
        <f>IFERROR(__xludf.DUMMYFUNCTION("""COMPUTED_VALUE"""),0.0)</f>
        <v>0</v>
      </c>
      <c r="F101" s="461">
        <f>IFERROR(__xludf.DUMMYFUNCTION("""COMPUTED_VALUE"""),0.0)</f>
        <v>0</v>
      </c>
      <c r="G101" s="461">
        <f>IFERROR(__xludf.DUMMYFUNCTION("""COMPUTED_VALUE"""),0.0)</f>
        <v>0</v>
      </c>
      <c r="H101" s="461">
        <f>IFERROR(__xludf.DUMMYFUNCTION("""COMPUTED_VALUE"""),0.0)</f>
        <v>0</v>
      </c>
      <c r="I101" s="461">
        <f>IFERROR(__xludf.DUMMYFUNCTION("""COMPUTED_VALUE"""),0.0)</f>
        <v>0</v>
      </c>
      <c r="J101" s="461">
        <f>IFERROR(__xludf.DUMMYFUNCTION("""COMPUTED_VALUE"""),0.0)</f>
        <v>0</v>
      </c>
      <c r="K101" s="461">
        <f>IFERROR(__xludf.DUMMYFUNCTION("""COMPUTED_VALUE"""),0.0)</f>
        <v>0</v>
      </c>
      <c r="L101" s="461">
        <f>IFERROR(__xludf.DUMMYFUNCTION("""COMPUTED_VALUE"""),0.0)</f>
        <v>0</v>
      </c>
      <c r="M101" s="461">
        <f>IFERROR(__xludf.DUMMYFUNCTION("""COMPUTED_VALUE"""),0.0)</f>
        <v>0</v>
      </c>
      <c r="N101" s="461">
        <f>IFERROR(__xludf.DUMMYFUNCTION("""COMPUTED_VALUE"""),0.0)</f>
        <v>0</v>
      </c>
      <c r="O101" s="461">
        <f>IFERROR(__xludf.DUMMYFUNCTION("""COMPUTED_VALUE"""),0.0)</f>
        <v>0</v>
      </c>
      <c r="P101" s="461">
        <f t="shared" si="12"/>
        <v>0</v>
      </c>
    </row>
    <row r="102" ht="14.25" customHeight="1">
      <c r="A102" s="482" t="s">
        <v>871</v>
      </c>
      <c r="B102" s="483"/>
      <c r="C102" s="484"/>
      <c r="D102" s="475">
        <f>IFERROR(__xludf.DUMMYFUNCTION("""COMPUTED_VALUE"""),0.0)</f>
        <v>0</v>
      </c>
      <c r="E102" s="475">
        <f>IFERROR(__xludf.DUMMYFUNCTION("""COMPUTED_VALUE"""),0.0)</f>
        <v>0</v>
      </c>
      <c r="F102" s="475">
        <f>IFERROR(__xludf.DUMMYFUNCTION("""COMPUTED_VALUE"""),0.0)</f>
        <v>0</v>
      </c>
      <c r="G102" s="475">
        <f>IFERROR(__xludf.DUMMYFUNCTION("""COMPUTED_VALUE"""),0.0)</f>
        <v>0</v>
      </c>
      <c r="H102" s="475">
        <f>IFERROR(__xludf.DUMMYFUNCTION("""COMPUTED_VALUE"""),0.0)</f>
        <v>0</v>
      </c>
      <c r="I102" s="475">
        <f>IFERROR(__xludf.DUMMYFUNCTION("""COMPUTED_VALUE"""),0.0)</f>
        <v>0</v>
      </c>
      <c r="J102" s="475">
        <f>IFERROR(__xludf.DUMMYFUNCTION("""COMPUTED_VALUE"""),0.0)</f>
        <v>0</v>
      </c>
      <c r="K102" s="475">
        <f>IFERROR(__xludf.DUMMYFUNCTION("""COMPUTED_VALUE"""),0.0)</f>
        <v>0</v>
      </c>
      <c r="L102" s="475">
        <f>IFERROR(__xludf.DUMMYFUNCTION("""COMPUTED_VALUE"""),0.0)</f>
        <v>0</v>
      </c>
      <c r="M102" s="475">
        <f>IFERROR(__xludf.DUMMYFUNCTION("""COMPUTED_VALUE"""),0.0)</f>
        <v>0</v>
      </c>
      <c r="N102" s="475">
        <f>IFERROR(__xludf.DUMMYFUNCTION("""COMPUTED_VALUE"""),0.0)</f>
        <v>0</v>
      </c>
      <c r="O102" s="475">
        <f>IFERROR(__xludf.DUMMYFUNCTION("""COMPUTED_VALUE"""),0.0)</f>
        <v>0</v>
      </c>
      <c r="P102" s="475">
        <f>sum(P99:P101)</f>
        <v>0</v>
      </c>
    </row>
    <row r="103" ht="14.25" customHeight="1">
      <c r="A103" s="469" t="s">
        <v>1120</v>
      </c>
      <c r="B103" s="459"/>
      <c r="C103" s="477" t="s">
        <v>1103</v>
      </c>
      <c r="D103" s="461">
        <f>IFERROR(__xludf.DUMMYFUNCTION("""COMPUTED_VALUE"""),0.0)</f>
        <v>0</v>
      </c>
      <c r="E103" s="461">
        <f>IFERROR(__xludf.DUMMYFUNCTION("""COMPUTED_VALUE"""),0.0)</f>
        <v>0</v>
      </c>
      <c r="F103" s="461">
        <f>IFERROR(__xludf.DUMMYFUNCTION("""COMPUTED_VALUE"""),0.0)</f>
        <v>0</v>
      </c>
      <c r="G103" s="461">
        <f>IFERROR(__xludf.DUMMYFUNCTION("""COMPUTED_VALUE"""),0.0)</f>
        <v>0</v>
      </c>
      <c r="H103" s="461">
        <f>IFERROR(__xludf.DUMMYFUNCTION("""COMPUTED_VALUE"""),0.0)</f>
        <v>0</v>
      </c>
      <c r="I103" s="461">
        <f>IFERROR(__xludf.DUMMYFUNCTION("""COMPUTED_VALUE"""),0.0)</f>
        <v>0</v>
      </c>
      <c r="J103" s="461">
        <f>IFERROR(__xludf.DUMMYFUNCTION("""COMPUTED_VALUE"""),0.0)</f>
        <v>0</v>
      </c>
      <c r="K103" s="461">
        <f>IFERROR(__xludf.DUMMYFUNCTION("""COMPUTED_VALUE"""),0.0)</f>
        <v>0</v>
      </c>
      <c r="L103" s="461">
        <f>IFERROR(__xludf.DUMMYFUNCTION("""COMPUTED_VALUE"""),0.0)</f>
        <v>0</v>
      </c>
      <c r="M103" s="461">
        <f>IFERROR(__xludf.DUMMYFUNCTION("""COMPUTED_VALUE"""),0.0)</f>
        <v>0</v>
      </c>
      <c r="N103" s="461">
        <f>IFERROR(__xludf.DUMMYFUNCTION("""COMPUTED_VALUE"""),0.0)</f>
        <v>0</v>
      </c>
      <c r="O103" s="461">
        <f>IFERROR(__xludf.DUMMYFUNCTION("""COMPUTED_VALUE"""),0.0)</f>
        <v>0</v>
      </c>
      <c r="P103" s="461">
        <f t="shared" ref="P103:P104" si="13">sum(D103:O103)</f>
        <v>0</v>
      </c>
    </row>
    <row r="104" ht="14.25" customHeight="1">
      <c r="A104" s="469" t="s">
        <v>1056</v>
      </c>
      <c r="B104" s="459"/>
      <c r="C104" s="477" t="s">
        <v>1104</v>
      </c>
      <c r="D104" s="461">
        <f>IFERROR(__xludf.DUMMYFUNCTION("""COMPUTED_VALUE"""),0.0)</f>
        <v>0</v>
      </c>
      <c r="E104" s="461">
        <f>IFERROR(__xludf.DUMMYFUNCTION("""COMPUTED_VALUE"""),0.0)</f>
        <v>0</v>
      </c>
      <c r="F104" s="461">
        <f>IFERROR(__xludf.DUMMYFUNCTION("""COMPUTED_VALUE"""),0.0)</f>
        <v>0</v>
      </c>
      <c r="G104" s="461">
        <f>IFERROR(__xludf.DUMMYFUNCTION("""COMPUTED_VALUE"""),0.0)</f>
        <v>0</v>
      </c>
      <c r="H104" s="461">
        <f>IFERROR(__xludf.DUMMYFUNCTION("""COMPUTED_VALUE"""),0.0)</f>
        <v>0</v>
      </c>
      <c r="I104" s="461">
        <f>IFERROR(__xludf.DUMMYFUNCTION("""COMPUTED_VALUE"""),0.0)</f>
        <v>0</v>
      </c>
      <c r="J104" s="461">
        <f>IFERROR(__xludf.DUMMYFUNCTION("""COMPUTED_VALUE"""),0.0)</f>
        <v>0</v>
      </c>
      <c r="K104" s="461">
        <f>IFERROR(__xludf.DUMMYFUNCTION("""COMPUTED_VALUE"""),0.0)</f>
        <v>0</v>
      </c>
      <c r="L104" s="461">
        <f>IFERROR(__xludf.DUMMYFUNCTION("""COMPUTED_VALUE"""),0.0)</f>
        <v>0</v>
      </c>
      <c r="M104" s="461">
        <f>IFERROR(__xludf.DUMMYFUNCTION("""COMPUTED_VALUE"""),0.0)</f>
        <v>0</v>
      </c>
      <c r="N104" s="461">
        <f>IFERROR(__xludf.DUMMYFUNCTION("""COMPUTED_VALUE"""),0.0)</f>
        <v>0</v>
      </c>
      <c r="O104" s="461">
        <f>IFERROR(__xludf.DUMMYFUNCTION("""COMPUTED_VALUE"""),0.0)</f>
        <v>0</v>
      </c>
      <c r="P104" s="461">
        <f t="shared" si="13"/>
        <v>0</v>
      </c>
    </row>
    <row r="105" ht="14.25" customHeight="1">
      <c r="A105" s="482" t="s">
        <v>875</v>
      </c>
      <c r="B105" s="483"/>
      <c r="C105" s="484"/>
      <c r="D105" s="475">
        <f>IFERROR(__xludf.DUMMYFUNCTION("""COMPUTED_VALUE"""),0.0)</f>
        <v>0</v>
      </c>
      <c r="E105" s="475">
        <f>IFERROR(__xludf.DUMMYFUNCTION("""COMPUTED_VALUE"""),0.0)</f>
        <v>0</v>
      </c>
      <c r="F105" s="475">
        <f>IFERROR(__xludf.DUMMYFUNCTION("""COMPUTED_VALUE"""),0.0)</f>
        <v>0</v>
      </c>
      <c r="G105" s="475">
        <f>IFERROR(__xludf.DUMMYFUNCTION("""COMPUTED_VALUE"""),0.0)</f>
        <v>0</v>
      </c>
      <c r="H105" s="475">
        <f>IFERROR(__xludf.DUMMYFUNCTION("""COMPUTED_VALUE"""),0.0)</f>
        <v>0</v>
      </c>
      <c r="I105" s="475">
        <f>IFERROR(__xludf.DUMMYFUNCTION("""COMPUTED_VALUE"""),0.0)</f>
        <v>0</v>
      </c>
      <c r="J105" s="475">
        <f>IFERROR(__xludf.DUMMYFUNCTION("""COMPUTED_VALUE"""),0.0)</f>
        <v>0</v>
      </c>
      <c r="K105" s="475">
        <f>IFERROR(__xludf.DUMMYFUNCTION("""COMPUTED_VALUE"""),0.0)</f>
        <v>0</v>
      </c>
      <c r="L105" s="475">
        <f>IFERROR(__xludf.DUMMYFUNCTION("""COMPUTED_VALUE"""),0.0)</f>
        <v>0</v>
      </c>
      <c r="M105" s="475">
        <f>IFERROR(__xludf.DUMMYFUNCTION("""COMPUTED_VALUE"""),0.0)</f>
        <v>0</v>
      </c>
      <c r="N105" s="475">
        <f>IFERROR(__xludf.DUMMYFUNCTION("""COMPUTED_VALUE"""),0.0)</f>
        <v>0</v>
      </c>
      <c r="O105" s="475">
        <f>IFERROR(__xludf.DUMMYFUNCTION("""COMPUTED_VALUE"""),0.0)</f>
        <v>0</v>
      </c>
      <c r="P105" s="475">
        <f>sum(P103:P104)</f>
        <v>0</v>
      </c>
    </row>
    <row r="106" ht="14.25" customHeight="1">
      <c r="A106" s="478" t="s">
        <v>876</v>
      </c>
      <c r="B106" s="486"/>
      <c r="C106" s="486"/>
      <c r="D106" s="481">
        <f>IFERROR(__xludf.DUMMYFUNCTION("""COMPUTED_VALUE"""),0.0)</f>
        <v>0</v>
      </c>
      <c r="E106" s="481">
        <f>IFERROR(__xludf.DUMMYFUNCTION("""COMPUTED_VALUE"""),0.0)</f>
        <v>0</v>
      </c>
      <c r="F106" s="481">
        <f>IFERROR(__xludf.DUMMYFUNCTION("""COMPUTED_VALUE"""),0.0)</f>
        <v>0</v>
      </c>
      <c r="G106" s="481">
        <f>IFERROR(__xludf.DUMMYFUNCTION("""COMPUTED_VALUE"""),0.0)</f>
        <v>0</v>
      </c>
      <c r="H106" s="481">
        <f>IFERROR(__xludf.DUMMYFUNCTION("""COMPUTED_VALUE"""),0.0)</f>
        <v>0</v>
      </c>
      <c r="I106" s="481">
        <f>IFERROR(__xludf.DUMMYFUNCTION("""COMPUTED_VALUE"""),0.0)</f>
        <v>0</v>
      </c>
      <c r="J106" s="481">
        <f>IFERROR(__xludf.DUMMYFUNCTION("""COMPUTED_VALUE"""),0.0)</f>
        <v>0</v>
      </c>
      <c r="K106" s="481">
        <f>IFERROR(__xludf.DUMMYFUNCTION("""COMPUTED_VALUE"""),0.0)</f>
        <v>0</v>
      </c>
      <c r="L106" s="481">
        <f>IFERROR(__xludf.DUMMYFUNCTION("""COMPUTED_VALUE"""),0.0)</f>
        <v>0</v>
      </c>
      <c r="M106" s="481">
        <f>IFERROR(__xludf.DUMMYFUNCTION("""COMPUTED_VALUE"""),0.0)</f>
        <v>0</v>
      </c>
      <c r="N106" s="481">
        <f>IFERROR(__xludf.DUMMYFUNCTION("""COMPUTED_VALUE"""),0.0)</f>
        <v>0</v>
      </c>
      <c r="O106" s="481">
        <f>IFERROR(__xludf.DUMMYFUNCTION("""COMPUTED_VALUE"""),0.0)</f>
        <v>0</v>
      </c>
      <c r="P106" s="481">
        <f>P105+P102+P98</f>
        <v>0</v>
      </c>
    </row>
    <row r="107" ht="14.25" customHeight="1">
      <c r="A107" s="473" t="s">
        <v>70</v>
      </c>
      <c r="B107" s="477"/>
      <c r="C107" s="477" t="s">
        <v>1105</v>
      </c>
      <c r="D107" s="461">
        <f>IFERROR(__xludf.DUMMYFUNCTION("""COMPUTED_VALUE"""),64701.71656357535)</f>
        <v>64701.71656</v>
      </c>
      <c r="E107" s="461">
        <f>IFERROR(__xludf.DUMMYFUNCTION("""COMPUTED_VALUE"""),41235.98100794631)</f>
        <v>41235.98101</v>
      </c>
      <c r="F107" s="461">
        <f>IFERROR(__xludf.DUMMYFUNCTION("""COMPUTED_VALUE"""),43726.33034744632)</f>
        <v>43726.33035</v>
      </c>
      <c r="G107" s="461">
        <f>IFERROR(__xludf.DUMMYFUNCTION("""COMPUTED_VALUE"""),63809.073088418096)</f>
        <v>63809.07309</v>
      </c>
      <c r="H107" s="461">
        <f>IFERROR(__xludf.DUMMYFUNCTION("""COMPUTED_VALUE"""),41457.71100041809)</f>
        <v>41457.711</v>
      </c>
      <c r="I107" s="461">
        <f>IFERROR(__xludf.DUMMYFUNCTION("""COMPUTED_VALUE"""),50175.20411841809)</f>
        <v>50175.20412</v>
      </c>
      <c r="J107" s="461">
        <f>IFERROR(__xludf.DUMMYFUNCTION("""COMPUTED_VALUE"""),59200.43983854309)</f>
        <v>59200.43984</v>
      </c>
      <c r="K107" s="461">
        <f>IFERROR(__xludf.DUMMYFUNCTION("""COMPUTED_VALUE"""),40339.79442466809)</f>
        <v>40339.79442</v>
      </c>
      <c r="L107" s="461">
        <f>IFERROR(__xludf.DUMMYFUNCTION("""COMPUTED_VALUE"""),42562.956017418095)</f>
        <v>42562.95602</v>
      </c>
      <c r="M107" s="461">
        <f>IFERROR(__xludf.DUMMYFUNCTION("""COMPUTED_VALUE"""),53853.88819204309)</f>
        <v>53853.88819</v>
      </c>
      <c r="N107" s="461">
        <f>IFERROR(__xludf.DUMMYFUNCTION("""COMPUTED_VALUE"""),40413.76249841809)</f>
        <v>40413.7625</v>
      </c>
      <c r="O107" s="461">
        <f>IFERROR(__xludf.DUMMYFUNCTION("""COMPUTED_VALUE"""),40306.370959793094)</f>
        <v>40306.37096</v>
      </c>
      <c r="P107" s="461">
        <f t="shared" ref="P107:P110" si="14">sum(D107:O107)</f>
        <v>581783.2281</v>
      </c>
    </row>
    <row r="108" ht="14.25" customHeight="1">
      <c r="A108" s="473" t="s">
        <v>47</v>
      </c>
      <c r="B108" s="459"/>
      <c r="C108" s="477" t="s">
        <v>1106</v>
      </c>
      <c r="D108" s="461">
        <f>IFERROR(__xludf.DUMMYFUNCTION("""COMPUTED_VALUE"""),0.0)</f>
        <v>0</v>
      </c>
      <c r="E108" s="461">
        <f>IFERROR(__xludf.DUMMYFUNCTION("""COMPUTED_VALUE"""),0.0)</f>
        <v>0</v>
      </c>
      <c r="F108" s="461">
        <f>IFERROR(__xludf.DUMMYFUNCTION("""COMPUTED_VALUE"""),0.0)</f>
        <v>0</v>
      </c>
      <c r="G108" s="461">
        <f>IFERROR(__xludf.DUMMYFUNCTION("""COMPUTED_VALUE"""),0.0)</f>
        <v>0</v>
      </c>
      <c r="H108" s="461">
        <f>IFERROR(__xludf.DUMMYFUNCTION("""COMPUTED_VALUE"""),0.0)</f>
        <v>0</v>
      </c>
      <c r="I108" s="461">
        <f>IFERROR(__xludf.DUMMYFUNCTION("""COMPUTED_VALUE"""),0.0)</f>
        <v>0</v>
      </c>
      <c r="J108" s="461">
        <f>IFERROR(__xludf.DUMMYFUNCTION("""COMPUTED_VALUE"""),0.0)</f>
        <v>0</v>
      </c>
      <c r="K108" s="461">
        <f>IFERROR(__xludf.DUMMYFUNCTION("""COMPUTED_VALUE"""),0.0)</f>
        <v>0</v>
      </c>
      <c r="L108" s="461">
        <f>IFERROR(__xludf.DUMMYFUNCTION("""COMPUTED_VALUE"""),0.0)</f>
        <v>0</v>
      </c>
      <c r="M108" s="461">
        <f>IFERROR(__xludf.DUMMYFUNCTION("""COMPUTED_VALUE"""),0.0)</f>
        <v>0</v>
      </c>
      <c r="N108" s="461">
        <f>IFERROR(__xludf.DUMMYFUNCTION("""COMPUTED_VALUE"""),0.0)</f>
        <v>0</v>
      </c>
      <c r="O108" s="461">
        <f>IFERROR(__xludf.DUMMYFUNCTION("""COMPUTED_VALUE"""),0.0)</f>
        <v>0</v>
      </c>
      <c r="P108" s="461">
        <f t="shared" si="14"/>
        <v>0</v>
      </c>
    </row>
    <row r="109" ht="14.25" customHeight="1">
      <c r="A109" s="473" t="s">
        <v>878</v>
      </c>
      <c r="B109" s="459"/>
      <c r="C109" s="477" t="s">
        <v>1107</v>
      </c>
      <c r="D109" s="461">
        <f>IFERROR(__xludf.DUMMYFUNCTION("""COMPUTED_VALUE"""),0.0)</f>
        <v>0</v>
      </c>
      <c r="E109" s="461">
        <f>IFERROR(__xludf.DUMMYFUNCTION("""COMPUTED_VALUE"""),0.0)</f>
        <v>0</v>
      </c>
      <c r="F109" s="461">
        <f>IFERROR(__xludf.DUMMYFUNCTION("""COMPUTED_VALUE"""),0.0)</f>
        <v>0</v>
      </c>
      <c r="G109" s="461">
        <f>IFERROR(__xludf.DUMMYFUNCTION("""COMPUTED_VALUE"""),0.0)</f>
        <v>0</v>
      </c>
      <c r="H109" s="461">
        <f>IFERROR(__xludf.DUMMYFUNCTION("""COMPUTED_VALUE"""),0.0)</f>
        <v>0</v>
      </c>
      <c r="I109" s="461">
        <f>IFERROR(__xludf.DUMMYFUNCTION("""COMPUTED_VALUE"""),0.0)</f>
        <v>0</v>
      </c>
      <c r="J109" s="461">
        <f>IFERROR(__xludf.DUMMYFUNCTION("""COMPUTED_VALUE"""),0.0)</f>
        <v>0</v>
      </c>
      <c r="K109" s="461">
        <f>IFERROR(__xludf.DUMMYFUNCTION("""COMPUTED_VALUE"""),0.0)</f>
        <v>0</v>
      </c>
      <c r="L109" s="461">
        <f>IFERROR(__xludf.DUMMYFUNCTION("""COMPUTED_VALUE"""),0.0)</f>
        <v>0</v>
      </c>
      <c r="M109" s="461">
        <f>IFERROR(__xludf.DUMMYFUNCTION("""COMPUTED_VALUE"""),0.0)</f>
        <v>0</v>
      </c>
      <c r="N109" s="461">
        <f>IFERROR(__xludf.DUMMYFUNCTION("""COMPUTED_VALUE"""),0.0)</f>
        <v>0</v>
      </c>
      <c r="O109" s="461">
        <f>IFERROR(__xludf.DUMMYFUNCTION("""COMPUTED_VALUE"""),0.0)</f>
        <v>0</v>
      </c>
      <c r="P109" s="461">
        <f t="shared" si="14"/>
        <v>0</v>
      </c>
    </row>
    <row r="110" ht="14.25" customHeight="1">
      <c r="A110" s="473" t="s">
        <v>815</v>
      </c>
      <c r="B110" s="459"/>
      <c r="C110" s="477" t="s">
        <v>1108</v>
      </c>
      <c r="D110" s="461">
        <f>IFERROR(__xludf.DUMMYFUNCTION("""COMPUTED_VALUE"""),0.0)</f>
        <v>0</v>
      </c>
      <c r="E110" s="461">
        <f>IFERROR(__xludf.DUMMYFUNCTION("""COMPUTED_VALUE"""),0.0)</f>
        <v>0</v>
      </c>
      <c r="F110" s="461">
        <f>IFERROR(__xludf.DUMMYFUNCTION("""COMPUTED_VALUE"""),0.0)</f>
        <v>0</v>
      </c>
      <c r="G110" s="461">
        <f>IFERROR(__xludf.DUMMYFUNCTION("""COMPUTED_VALUE"""),0.0)</f>
        <v>0</v>
      </c>
      <c r="H110" s="461">
        <f>IFERROR(__xludf.DUMMYFUNCTION("""COMPUTED_VALUE"""),0.0)</f>
        <v>0</v>
      </c>
      <c r="I110" s="461">
        <f>IFERROR(__xludf.DUMMYFUNCTION("""COMPUTED_VALUE"""),0.0)</f>
        <v>0</v>
      </c>
      <c r="J110" s="461">
        <f>IFERROR(__xludf.DUMMYFUNCTION("""COMPUTED_VALUE"""),0.0)</f>
        <v>0</v>
      </c>
      <c r="K110" s="461">
        <f>IFERROR(__xludf.DUMMYFUNCTION("""COMPUTED_VALUE"""),0.0)</f>
        <v>0</v>
      </c>
      <c r="L110" s="461">
        <f>IFERROR(__xludf.DUMMYFUNCTION("""COMPUTED_VALUE"""),0.0)</f>
        <v>0</v>
      </c>
      <c r="M110" s="461">
        <f>IFERROR(__xludf.DUMMYFUNCTION("""COMPUTED_VALUE"""),0.0)</f>
        <v>0</v>
      </c>
      <c r="N110" s="461">
        <f>IFERROR(__xludf.DUMMYFUNCTION("""COMPUTED_VALUE"""),0.0)</f>
        <v>0</v>
      </c>
      <c r="O110" s="461">
        <f>IFERROR(__xludf.DUMMYFUNCTION("""COMPUTED_VALUE"""),0.0)</f>
        <v>0</v>
      </c>
      <c r="P110" s="461">
        <f t="shared" si="14"/>
        <v>0</v>
      </c>
    </row>
    <row r="111" ht="14.25" customHeight="1">
      <c r="A111" s="482" t="s">
        <v>881</v>
      </c>
      <c r="B111" s="483"/>
      <c r="C111" s="484"/>
      <c r="D111" s="475">
        <f>IFERROR(__xludf.DUMMYFUNCTION("""COMPUTED_VALUE"""),64701.71656357535)</f>
        <v>64701.71656</v>
      </c>
      <c r="E111" s="475">
        <f>IFERROR(__xludf.DUMMYFUNCTION("""COMPUTED_VALUE"""),41235.98100794631)</f>
        <v>41235.98101</v>
      </c>
      <c r="F111" s="475">
        <f>IFERROR(__xludf.DUMMYFUNCTION("""COMPUTED_VALUE"""),43726.33034744632)</f>
        <v>43726.33035</v>
      </c>
      <c r="G111" s="475">
        <f>IFERROR(__xludf.DUMMYFUNCTION("""COMPUTED_VALUE"""),63809.073088418096)</f>
        <v>63809.07309</v>
      </c>
      <c r="H111" s="475">
        <f>IFERROR(__xludf.DUMMYFUNCTION("""COMPUTED_VALUE"""),41457.71100041809)</f>
        <v>41457.711</v>
      </c>
      <c r="I111" s="475">
        <f>IFERROR(__xludf.DUMMYFUNCTION("""COMPUTED_VALUE"""),50175.20411841809)</f>
        <v>50175.20412</v>
      </c>
      <c r="J111" s="475">
        <f>IFERROR(__xludf.DUMMYFUNCTION("""COMPUTED_VALUE"""),59200.43983854309)</f>
        <v>59200.43984</v>
      </c>
      <c r="K111" s="475">
        <f>IFERROR(__xludf.DUMMYFUNCTION("""COMPUTED_VALUE"""),40339.79442466809)</f>
        <v>40339.79442</v>
      </c>
      <c r="L111" s="475">
        <f>IFERROR(__xludf.DUMMYFUNCTION("""COMPUTED_VALUE"""),42562.956017418095)</f>
        <v>42562.95602</v>
      </c>
      <c r="M111" s="475">
        <f>IFERROR(__xludf.DUMMYFUNCTION("""COMPUTED_VALUE"""),53853.88819204309)</f>
        <v>53853.88819</v>
      </c>
      <c r="N111" s="475">
        <f>IFERROR(__xludf.DUMMYFUNCTION("""COMPUTED_VALUE"""),40413.76249841809)</f>
        <v>40413.7625</v>
      </c>
      <c r="O111" s="475">
        <f>IFERROR(__xludf.DUMMYFUNCTION("""COMPUTED_VALUE"""),40306.370959793094)</f>
        <v>40306.37096</v>
      </c>
      <c r="P111" s="475">
        <f>sum(P107:P110)</f>
        <v>581783.2281</v>
      </c>
    </row>
    <row r="112" ht="14.25" customHeight="1">
      <c r="A112" s="478" t="s">
        <v>882</v>
      </c>
      <c r="B112" s="485"/>
      <c r="C112" s="486"/>
      <c r="D112" s="481">
        <f>IFERROR(__xludf.DUMMYFUNCTION("""COMPUTED_VALUE"""),64701.71656357535)</f>
        <v>64701.71656</v>
      </c>
      <c r="E112" s="481">
        <f>IFERROR(__xludf.DUMMYFUNCTION("""COMPUTED_VALUE"""),41235.98100794631)</f>
        <v>41235.98101</v>
      </c>
      <c r="F112" s="481">
        <f>IFERROR(__xludf.DUMMYFUNCTION("""COMPUTED_VALUE"""),43726.33034744632)</f>
        <v>43726.33035</v>
      </c>
      <c r="G112" s="481">
        <f>IFERROR(__xludf.DUMMYFUNCTION("""COMPUTED_VALUE"""),63809.073088418096)</f>
        <v>63809.07309</v>
      </c>
      <c r="H112" s="481">
        <f>IFERROR(__xludf.DUMMYFUNCTION("""COMPUTED_VALUE"""),41457.71100041809)</f>
        <v>41457.711</v>
      </c>
      <c r="I112" s="481">
        <f>IFERROR(__xludf.DUMMYFUNCTION("""COMPUTED_VALUE"""),50175.20411841809)</f>
        <v>50175.20412</v>
      </c>
      <c r="J112" s="481">
        <f>IFERROR(__xludf.DUMMYFUNCTION("""COMPUTED_VALUE"""),59200.43983854309)</f>
        <v>59200.43984</v>
      </c>
      <c r="K112" s="481">
        <f>IFERROR(__xludf.DUMMYFUNCTION("""COMPUTED_VALUE"""),40339.79442466809)</f>
        <v>40339.79442</v>
      </c>
      <c r="L112" s="481">
        <f>IFERROR(__xludf.DUMMYFUNCTION("""COMPUTED_VALUE"""),42562.956017418095)</f>
        <v>42562.95602</v>
      </c>
      <c r="M112" s="481">
        <f>IFERROR(__xludf.DUMMYFUNCTION("""COMPUTED_VALUE"""),53853.88819204309)</f>
        <v>53853.88819</v>
      </c>
      <c r="N112" s="481">
        <f>IFERROR(__xludf.DUMMYFUNCTION("""COMPUTED_VALUE"""),40413.76249841809)</f>
        <v>40413.7625</v>
      </c>
      <c r="O112" s="481">
        <f>IFERROR(__xludf.DUMMYFUNCTION("""COMPUTED_VALUE"""),40306.370959793094)</f>
        <v>40306.37096</v>
      </c>
      <c r="P112" s="481">
        <f>P111</f>
        <v>581783.2281</v>
      </c>
    </row>
    <row r="113" ht="14.25" customHeight="1">
      <c r="A113" s="487" t="s">
        <v>883</v>
      </c>
      <c r="B113" s="488"/>
      <c r="C113" s="488"/>
      <c r="D113" s="489">
        <f>IFERROR(__xludf.DUMMYFUNCTION("""COMPUTED_VALUE"""),1078856.9481807156)</f>
        <v>1078856.948</v>
      </c>
      <c r="E113" s="489">
        <f>IFERROR(__xludf.DUMMYFUNCTION("""COMPUTED_VALUE"""),931240.4732043959)</f>
        <v>931240.4732</v>
      </c>
      <c r="F113" s="489">
        <f>IFERROR(__xludf.DUMMYFUNCTION("""COMPUTED_VALUE"""),866206.9296879488)</f>
        <v>866206.9297</v>
      </c>
      <c r="G113" s="489">
        <f>IFERROR(__xludf.DUMMYFUNCTION("""COMPUTED_VALUE"""),940310.6988681501)</f>
        <v>940310.6989</v>
      </c>
      <c r="H113" s="489">
        <f>IFERROR(__xludf.DUMMYFUNCTION("""COMPUTED_VALUE"""),805044.6364509254)</f>
        <v>805044.6365</v>
      </c>
      <c r="I113" s="489">
        <f>IFERROR(__xludf.DUMMYFUNCTION("""COMPUTED_VALUE"""),821539.8298765969)</f>
        <v>821539.8299</v>
      </c>
      <c r="J113" s="489">
        <f>IFERROR(__xludf.DUMMYFUNCTION("""COMPUTED_VALUE"""),854620.5905044245)</f>
        <v>854620.5905</v>
      </c>
      <c r="K113" s="489">
        <f>IFERROR(__xludf.DUMMYFUNCTION("""COMPUTED_VALUE"""),851563.7993136604)</f>
        <v>851563.7993</v>
      </c>
      <c r="L113" s="489">
        <f>IFERROR(__xludf.DUMMYFUNCTION("""COMPUTED_VALUE"""),825751.5674145567)</f>
        <v>825751.5674</v>
      </c>
      <c r="M113" s="489">
        <f>IFERROR(__xludf.DUMMYFUNCTION("""COMPUTED_VALUE"""),920346.9582408253)</f>
        <v>920346.9582</v>
      </c>
      <c r="N113" s="489">
        <f>IFERROR(__xludf.DUMMYFUNCTION("""COMPUTED_VALUE"""),828010.8331546517)</f>
        <v>828010.8332</v>
      </c>
      <c r="O113" s="489">
        <f>IFERROR(__xludf.DUMMYFUNCTION("""COMPUTED_VALUE"""),787143.3715077344)</f>
        <v>787143.3715</v>
      </c>
      <c r="P113" s="489">
        <f>P112+P106+P96+P59</f>
        <v>10510636.64</v>
      </c>
    </row>
    <row r="114" ht="14.25" customHeight="1">
      <c r="A114" s="467"/>
      <c r="B114" s="459"/>
      <c r="C114" s="468" t="s">
        <v>884</v>
      </c>
      <c r="D114" s="461">
        <f>IFERROR(__xludf.DUMMYFUNCTION("""COMPUTED_VALUE"""),0.0)</f>
        <v>0</v>
      </c>
      <c r="E114" s="461">
        <f>IFERROR(__xludf.DUMMYFUNCTION("""COMPUTED_VALUE"""),0.0)</f>
        <v>0</v>
      </c>
      <c r="F114" s="461">
        <f>IFERROR(__xludf.DUMMYFUNCTION("""COMPUTED_VALUE"""),0.0)</f>
        <v>0</v>
      </c>
      <c r="G114" s="461">
        <f>IFERROR(__xludf.DUMMYFUNCTION("""COMPUTED_VALUE"""),0.0)</f>
        <v>0</v>
      </c>
      <c r="H114" s="461">
        <f>IFERROR(__xludf.DUMMYFUNCTION("""COMPUTED_VALUE"""),0.0)</f>
        <v>0</v>
      </c>
      <c r="I114" s="461">
        <f>IFERROR(__xludf.DUMMYFUNCTION("""COMPUTED_VALUE"""),0.0)</f>
        <v>0</v>
      </c>
      <c r="J114" s="461">
        <f>IFERROR(__xludf.DUMMYFUNCTION("""COMPUTED_VALUE"""),0.0)</f>
        <v>0</v>
      </c>
      <c r="K114" s="461">
        <f>IFERROR(__xludf.DUMMYFUNCTION("""COMPUTED_VALUE"""),0.0)</f>
        <v>0</v>
      </c>
      <c r="L114" s="461">
        <f>IFERROR(__xludf.DUMMYFUNCTION("""COMPUTED_VALUE"""),0.0)</f>
        <v>0</v>
      </c>
      <c r="M114" s="461">
        <f>IFERROR(__xludf.DUMMYFUNCTION("""COMPUTED_VALUE"""),0.0)</f>
        <v>0</v>
      </c>
      <c r="N114" s="461">
        <f>IFERROR(__xludf.DUMMYFUNCTION("""COMPUTED_VALUE"""),0.0)</f>
        <v>0</v>
      </c>
      <c r="O114" s="461">
        <f>IFERROR(__xludf.DUMMYFUNCTION("""COMPUTED_VALUE"""),0.0)</f>
        <v>0</v>
      </c>
      <c r="P114" s="461">
        <f t="shared" ref="P114:P125" si="15">sum(D114:O114)</f>
        <v>0</v>
      </c>
    </row>
    <row r="115" ht="14.25" customHeight="1">
      <c r="A115" s="490" t="s">
        <v>503</v>
      </c>
      <c r="B115" s="491"/>
      <c r="C115" s="477" t="s">
        <v>1109</v>
      </c>
      <c r="D115" s="461">
        <f>IFERROR(__xludf.DUMMYFUNCTION("""COMPUTED_VALUE"""),211541.933)</f>
        <v>211541.933</v>
      </c>
      <c r="E115" s="461">
        <f>IFERROR(__xludf.DUMMYFUNCTION("""COMPUTED_VALUE"""),211541.933)</f>
        <v>211541.933</v>
      </c>
      <c r="F115" s="461">
        <f>IFERROR(__xludf.DUMMYFUNCTION("""COMPUTED_VALUE"""),211541.933)</f>
        <v>211541.933</v>
      </c>
      <c r="G115" s="461">
        <f>IFERROR(__xludf.DUMMYFUNCTION("""COMPUTED_VALUE"""),211541.933)</f>
        <v>211541.933</v>
      </c>
      <c r="H115" s="461">
        <f>IFERROR(__xludf.DUMMYFUNCTION("""COMPUTED_VALUE"""),211541.933)</f>
        <v>211541.933</v>
      </c>
      <c r="I115" s="461">
        <f>IFERROR(__xludf.DUMMYFUNCTION("""COMPUTED_VALUE"""),211541.933)</f>
        <v>211541.933</v>
      </c>
      <c r="J115" s="461">
        <f>IFERROR(__xludf.DUMMYFUNCTION("""COMPUTED_VALUE"""),211541.933)</f>
        <v>211541.933</v>
      </c>
      <c r="K115" s="461">
        <f>IFERROR(__xludf.DUMMYFUNCTION("""COMPUTED_VALUE"""),211541.933)</f>
        <v>211541.933</v>
      </c>
      <c r="L115" s="461">
        <f>IFERROR(__xludf.DUMMYFUNCTION("""COMPUTED_VALUE"""),211541.933)</f>
        <v>211541.933</v>
      </c>
      <c r="M115" s="461">
        <f>IFERROR(__xludf.DUMMYFUNCTION("""COMPUTED_VALUE"""),211541.933)</f>
        <v>211541.933</v>
      </c>
      <c r="N115" s="461">
        <f>IFERROR(__xludf.DUMMYFUNCTION("""COMPUTED_VALUE"""),211541.933)</f>
        <v>211541.933</v>
      </c>
      <c r="O115" s="461">
        <f>IFERROR(__xludf.DUMMYFUNCTION("""COMPUTED_VALUE"""),211541.933)</f>
        <v>211541.933</v>
      </c>
      <c r="P115" s="461">
        <f t="shared" si="15"/>
        <v>2538503.196</v>
      </c>
    </row>
    <row r="116" ht="14.25" customHeight="1">
      <c r="A116" s="492" t="s">
        <v>505</v>
      </c>
      <c r="B116" s="491"/>
      <c r="C116" s="477" t="s">
        <v>1110</v>
      </c>
      <c r="D116" s="461">
        <f>IFERROR(__xludf.DUMMYFUNCTION("""COMPUTED_VALUE"""),0.0)</f>
        <v>0</v>
      </c>
      <c r="E116" s="461">
        <f>IFERROR(__xludf.DUMMYFUNCTION("""COMPUTED_VALUE"""),0.0)</f>
        <v>0</v>
      </c>
      <c r="F116" s="461">
        <f>IFERROR(__xludf.DUMMYFUNCTION("""COMPUTED_VALUE"""),0.0)</f>
        <v>0</v>
      </c>
      <c r="G116" s="461">
        <f>IFERROR(__xludf.DUMMYFUNCTION("""COMPUTED_VALUE"""),0.0)</f>
        <v>0</v>
      </c>
      <c r="H116" s="461">
        <f>IFERROR(__xludf.DUMMYFUNCTION("""COMPUTED_VALUE"""),0.0)</f>
        <v>0</v>
      </c>
      <c r="I116" s="461">
        <f>IFERROR(__xludf.DUMMYFUNCTION("""COMPUTED_VALUE"""),0.0)</f>
        <v>0</v>
      </c>
      <c r="J116" s="461">
        <f>IFERROR(__xludf.DUMMYFUNCTION("""COMPUTED_VALUE"""),0.0)</f>
        <v>0</v>
      </c>
      <c r="K116" s="461">
        <f>IFERROR(__xludf.DUMMYFUNCTION("""COMPUTED_VALUE"""),0.0)</f>
        <v>0</v>
      </c>
      <c r="L116" s="461">
        <f>IFERROR(__xludf.DUMMYFUNCTION("""COMPUTED_VALUE"""),0.0)</f>
        <v>0</v>
      </c>
      <c r="M116" s="461">
        <f>IFERROR(__xludf.DUMMYFUNCTION("""COMPUTED_VALUE"""),0.0)</f>
        <v>0</v>
      </c>
      <c r="N116" s="461">
        <f>IFERROR(__xludf.DUMMYFUNCTION("""COMPUTED_VALUE"""),0.0)</f>
        <v>0</v>
      </c>
      <c r="O116" s="461">
        <f>IFERROR(__xludf.DUMMYFUNCTION("""COMPUTED_VALUE"""),0.0)</f>
        <v>0</v>
      </c>
      <c r="P116" s="461">
        <f t="shared" si="15"/>
        <v>0</v>
      </c>
    </row>
    <row r="117" ht="14.25" customHeight="1">
      <c r="A117" s="493" t="s">
        <v>507</v>
      </c>
      <c r="B117" s="494"/>
      <c r="C117" s="477" t="s">
        <v>508</v>
      </c>
      <c r="D117" s="461">
        <f>IFERROR(__xludf.DUMMYFUNCTION("""COMPUTED_VALUE"""),0.0)</f>
        <v>0</v>
      </c>
      <c r="E117" s="461">
        <f>IFERROR(__xludf.DUMMYFUNCTION("""COMPUTED_VALUE"""),0.0)</f>
        <v>0</v>
      </c>
      <c r="F117" s="461">
        <f>IFERROR(__xludf.DUMMYFUNCTION("""COMPUTED_VALUE"""),0.0)</f>
        <v>0</v>
      </c>
      <c r="G117" s="461">
        <f>IFERROR(__xludf.DUMMYFUNCTION("""COMPUTED_VALUE"""),0.0)</f>
        <v>0</v>
      </c>
      <c r="H117" s="461">
        <f>IFERROR(__xludf.DUMMYFUNCTION("""COMPUTED_VALUE"""),0.0)</f>
        <v>0</v>
      </c>
      <c r="I117" s="461">
        <f>IFERROR(__xludf.DUMMYFUNCTION("""COMPUTED_VALUE"""),0.0)</f>
        <v>0</v>
      </c>
      <c r="J117" s="461">
        <f>IFERROR(__xludf.DUMMYFUNCTION("""COMPUTED_VALUE"""),0.0)</f>
        <v>0</v>
      </c>
      <c r="K117" s="461">
        <f>IFERROR(__xludf.DUMMYFUNCTION("""COMPUTED_VALUE"""),0.0)</f>
        <v>0</v>
      </c>
      <c r="L117" s="461">
        <f>IFERROR(__xludf.DUMMYFUNCTION("""COMPUTED_VALUE"""),0.0)</f>
        <v>0</v>
      </c>
      <c r="M117" s="461">
        <f>IFERROR(__xludf.DUMMYFUNCTION("""COMPUTED_VALUE"""),0.0)</f>
        <v>0</v>
      </c>
      <c r="N117" s="461">
        <f>IFERROR(__xludf.DUMMYFUNCTION("""COMPUTED_VALUE"""),0.0)</f>
        <v>0</v>
      </c>
      <c r="O117" s="461">
        <f>IFERROR(__xludf.DUMMYFUNCTION("""COMPUTED_VALUE"""),0.0)</f>
        <v>0</v>
      </c>
      <c r="P117" s="461">
        <f t="shared" si="15"/>
        <v>0</v>
      </c>
    </row>
    <row r="118" ht="14.25" customHeight="1">
      <c r="A118" s="493" t="s">
        <v>561</v>
      </c>
      <c r="B118" s="494"/>
      <c r="C118" s="477" t="s">
        <v>1111</v>
      </c>
      <c r="D118" s="461">
        <f>IFERROR(__xludf.DUMMYFUNCTION("""COMPUTED_VALUE"""),0.0)</f>
        <v>0</v>
      </c>
      <c r="E118" s="461">
        <f>IFERROR(__xludf.DUMMYFUNCTION("""COMPUTED_VALUE"""),0.0)</f>
        <v>0</v>
      </c>
      <c r="F118" s="461">
        <f>IFERROR(__xludf.DUMMYFUNCTION("""COMPUTED_VALUE"""),0.0)</f>
        <v>0</v>
      </c>
      <c r="G118" s="461">
        <f>IFERROR(__xludf.DUMMYFUNCTION("""COMPUTED_VALUE"""),0.0)</f>
        <v>0</v>
      </c>
      <c r="H118" s="461">
        <f>IFERROR(__xludf.DUMMYFUNCTION("""COMPUTED_VALUE"""),0.0)</f>
        <v>0</v>
      </c>
      <c r="I118" s="461">
        <f>IFERROR(__xludf.DUMMYFUNCTION("""COMPUTED_VALUE"""),0.0)</f>
        <v>0</v>
      </c>
      <c r="J118" s="461">
        <f>IFERROR(__xludf.DUMMYFUNCTION("""COMPUTED_VALUE"""),0.0)</f>
        <v>0</v>
      </c>
      <c r="K118" s="461">
        <f>IFERROR(__xludf.DUMMYFUNCTION("""COMPUTED_VALUE"""),0.0)</f>
        <v>0</v>
      </c>
      <c r="L118" s="461">
        <f>IFERROR(__xludf.DUMMYFUNCTION("""COMPUTED_VALUE"""),0.0)</f>
        <v>0</v>
      </c>
      <c r="M118" s="461">
        <f>IFERROR(__xludf.DUMMYFUNCTION("""COMPUTED_VALUE"""),0.0)</f>
        <v>0</v>
      </c>
      <c r="N118" s="461">
        <f>IFERROR(__xludf.DUMMYFUNCTION("""COMPUTED_VALUE"""),0.0)</f>
        <v>0</v>
      </c>
      <c r="O118" s="461">
        <f>IFERROR(__xludf.DUMMYFUNCTION("""COMPUTED_VALUE"""),0.0)</f>
        <v>0</v>
      </c>
      <c r="P118" s="461">
        <f t="shared" si="15"/>
        <v>0</v>
      </c>
    </row>
    <row r="119" ht="14.25" customHeight="1">
      <c r="A119" s="493" t="s">
        <v>509</v>
      </c>
      <c r="B119" s="494"/>
      <c r="C119" s="477" t="s">
        <v>510</v>
      </c>
      <c r="D119" s="461">
        <f>IFERROR(__xludf.DUMMYFUNCTION("""COMPUTED_VALUE"""),0.0)</f>
        <v>0</v>
      </c>
      <c r="E119" s="461">
        <f>IFERROR(__xludf.DUMMYFUNCTION("""COMPUTED_VALUE"""),0.0)</f>
        <v>0</v>
      </c>
      <c r="F119" s="461">
        <f>IFERROR(__xludf.DUMMYFUNCTION("""COMPUTED_VALUE"""),0.0)</f>
        <v>0</v>
      </c>
      <c r="G119" s="461">
        <f>IFERROR(__xludf.DUMMYFUNCTION("""COMPUTED_VALUE"""),0.0)</f>
        <v>0</v>
      </c>
      <c r="H119" s="461">
        <f>IFERROR(__xludf.DUMMYFUNCTION("""COMPUTED_VALUE"""),0.0)</f>
        <v>0</v>
      </c>
      <c r="I119" s="461">
        <f>IFERROR(__xludf.DUMMYFUNCTION("""COMPUTED_VALUE"""),0.0)</f>
        <v>0</v>
      </c>
      <c r="J119" s="461">
        <f>IFERROR(__xludf.DUMMYFUNCTION("""COMPUTED_VALUE"""),0.0)</f>
        <v>0</v>
      </c>
      <c r="K119" s="461">
        <f>IFERROR(__xludf.DUMMYFUNCTION("""COMPUTED_VALUE"""),0.0)</f>
        <v>0</v>
      </c>
      <c r="L119" s="461">
        <f>IFERROR(__xludf.DUMMYFUNCTION("""COMPUTED_VALUE"""),0.0)</f>
        <v>0</v>
      </c>
      <c r="M119" s="461">
        <f>IFERROR(__xludf.DUMMYFUNCTION("""COMPUTED_VALUE"""),0.0)</f>
        <v>0</v>
      </c>
      <c r="N119" s="461">
        <f>IFERROR(__xludf.DUMMYFUNCTION("""COMPUTED_VALUE"""),0.0)</f>
        <v>0</v>
      </c>
      <c r="O119" s="461">
        <f>IFERROR(__xludf.DUMMYFUNCTION("""COMPUTED_VALUE"""),0.0)</f>
        <v>0</v>
      </c>
      <c r="P119" s="461">
        <f t="shared" si="15"/>
        <v>0</v>
      </c>
    </row>
    <row r="120" ht="14.25" customHeight="1">
      <c r="A120" s="493" t="s">
        <v>567</v>
      </c>
      <c r="B120" s="494"/>
      <c r="C120" s="477" t="s">
        <v>1112</v>
      </c>
      <c r="D120" s="461">
        <f>IFERROR(__xludf.DUMMYFUNCTION("""COMPUTED_VALUE"""),0.0)</f>
        <v>0</v>
      </c>
      <c r="E120" s="461">
        <f>IFERROR(__xludf.DUMMYFUNCTION("""COMPUTED_VALUE"""),0.0)</f>
        <v>0</v>
      </c>
      <c r="F120" s="461">
        <f>IFERROR(__xludf.DUMMYFUNCTION("""COMPUTED_VALUE"""),0.0)</f>
        <v>0</v>
      </c>
      <c r="G120" s="461">
        <f>IFERROR(__xludf.DUMMYFUNCTION("""COMPUTED_VALUE"""),0.0)</f>
        <v>0</v>
      </c>
      <c r="H120" s="461">
        <f>IFERROR(__xludf.DUMMYFUNCTION("""COMPUTED_VALUE"""),0.0)</f>
        <v>0</v>
      </c>
      <c r="I120" s="461">
        <f>IFERROR(__xludf.DUMMYFUNCTION("""COMPUTED_VALUE"""),0.0)</f>
        <v>0</v>
      </c>
      <c r="J120" s="461">
        <f>IFERROR(__xludf.DUMMYFUNCTION("""COMPUTED_VALUE"""),0.0)</f>
        <v>0</v>
      </c>
      <c r="K120" s="461">
        <f>IFERROR(__xludf.DUMMYFUNCTION("""COMPUTED_VALUE"""),0.0)</f>
        <v>0</v>
      </c>
      <c r="L120" s="461">
        <f>IFERROR(__xludf.DUMMYFUNCTION("""COMPUTED_VALUE"""),0.0)</f>
        <v>0</v>
      </c>
      <c r="M120" s="461">
        <f>IFERROR(__xludf.DUMMYFUNCTION("""COMPUTED_VALUE"""),0.0)</f>
        <v>0</v>
      </c>
      <c r="N120" s="461">
        <f>IFERROR(__xludf.DUMMYFUNCTION("""COMPUTED_VALUE"""),0.0)</f>
        <v>0</v>
      </c>
      <c r="O120" s="461">
        <f>IFERROR(__xludf.DUMMYFUNCTION("""COMPUTED_VALUE"""),0.0)</f>
        <v>0</v>
      </c>
      <c r="P120" s="461">
        <f t="shared" si="15"/>
        <v>0</v>
      </c>
    </row>
    <row r="121" ht="14.25" customHeight="1">
      <c r="A121" s="495" t="s">
        <v>511</v>
      </c>
      <c r="B121" s="494"/>
      <c r="C121" s="477" t="s">
        <v>1113</v>
      </c>
      <c r="D121" s="461">
        <f>IFERROR(__xludf.DUMMYFUNCTION("""COMPUTED_VALUE"""),0.0)</f>
        <v>0</v>
      </c>
      <c r="E121" s="461">
        <f>IFERROR(__xludf.DUMMYFUNCTION("""COMPUTED_VALUE"""),0.0)</f>
        <v>0</v>
      </c>
      <c r="F121" s="461">
        <f>IFERROR(__xludf.DUMMYFUNCTION("""COMPUTED_VALUE"""),0.0)</f>
        <v>0</v>
      </c>
      <c r="G121" s="461">
        <f>IFERROR(__xludf.DUMMYFUNCTION("""COMPUTED_VALUE"""),0.0)</f>
        <v>0</v>
      </c>
      <c r="H121" s="461">
        <f>IFERROR(__xludf.DUMMYFUNCTION("""COMPUTED_VALUE"""),0.0)</f>
        <v>0</v>
      </c>
      <c r="I121" s="461">
        <f>IFERROR(__xludf.DUMMYFUNCTION("""COMPUTED_VALUE"""),0.0)</f>
        <v>0</v>
      </c>
      <c r="J121" s="461">
        <f>IFERROR(__xludf.DUMMYFUNCTION("""COMPUTED_VALUE"""),0.0)</f>
        <v>0</v>
      </c>
      <c r="K121" s="461">
        <f>IFERROR(__xludf.DUMMYFUNCTION("""COMPUTED_VALUE"""),0.0)</f>
        <v>0</v>
      </c>
      <c r="L121" s="461">
        <f>IFERROR(__xludf.DUMMYFUNCTION("""COMPUTED_VALUE"""),0.0)</f>
        <v>0</v>
      </c>
      <c r="M121" s="461">
        <f>IFERROR(__xludf.DUMMYFUNCTION("""COMPUTED_VALUE"""),0.0)</f>
        <v>0</v>
      </c>
      <c r="N121" s="461">
        <f>IFERROR(__xludf.DUMMYFUNCTION("""COMPUTED_VALUE"""),0.0)</f>
        <v>0</v>
      </c>
      <c r="O121" s="461">
        <f>IFERROR(__xludf.DUMMYFUNCTION("""COMPUTED_VALUE"""),0.0)</f>
        <v>0</v>
      </c>
      <c r="P121" s="461">
        <f t="shared" si="15"/>
        <v>0</v>
      </c>
    </row>
    <row r="122" ht="14.25" customHeight="1">
      <c r="A122" s="493" t="s">
        <v>513</v>
      </c>
      <c r="B122" s="494"/>
      <c r="C122" s="477" t="s">
        <v>514</v>
      </c>
      <c r="D122" s="461">
        <f>IFERROR(__xludf.DUMMYFUNCTION("""COMPUTED_VALUE"""),0.0)</f>
        <v>0</v>
      </c>
      <c r="E122" s="461">
        <f>IFERROR(__xludf.DUMMYFUNCTION("""COMPUTED_VALUE"""),0.0)</f>
        <v>0</v>
      </c>
      <c r="F122" s="461">
        <f>IFERROR(__xludf.DUMMYFUNCTION("""COMPUTED_VALUE"""),0.0)</f>
        <v>0</v>
      </c>
      <c r="G122" s="461">
        <f>IFERROR(__xludf.DUMMYFUNCTION("""COMPUTED_VALUE"""),0.0)</f>
        <v>0</v>
      </c>
      <c r="H122" s="461">
        <f>IFERROR(__xludf.DUMMYFUNCTION("""COMPUTED_VALUE"""),0.0)</f>
        <v>0</v>
      </c>
      <c r="I122" s="461">
        <f>IFERROR(__xludf.DUMMYFUNCTION("""COMPUTED_VALUE"""),0.0)</f>
        <v>0</v>
      </c>
      <c r="J122" s="461">
        <f>IFERROR(__xludf.DUMMYFUNCTION("""COMPUTED_VALUE"""),0.0)</f>
        <v>0</v>
      </c>
      <c r="K122" s="461">
        <f>IFERROR(__xludf.DUMMYFUNCTION("""COMPUTED_VALUE"""),0.0)</f>
        <v>0</v>
      </c>
      <c r="L122" s="461">
        <f>IFERROR(__xludf.DUMMYFUNCTION("""COMPUTED_VALUE"""),0.0)</f>
        <v>0</v>
      </c>
      <c r="M122" s="461">
        <f>IFERROR(__xludf.DUMMYFUNCTION("""COMPUTED_VALUE"""),0.0)</f>
        <v>0</v>
      </c>
      <c r="N122" s="461">
        <f>IFERROR(__xludf.DUMMYFUNCTION("""COMPUTED_VALUE"""),0.0)</f>
        <v>0</v>
      </c>
      <c r="O122" s="461">
        <f>IFERROR(__xludf.DUMMYFUNCTION("""COMPUTED_VALUE"""),0.0)</f>
        <v>0</v>
      </c>
      <c r="P122" s="461">
        <f t="shared" si="15"/>
        <v>0</v>
      </c>
    </row>
    <row r="123" ht="14.25" customHeight="1">
      <c r="A123" s="469" t="s">
        <v>900</v>
      </c>
      <c r="B123" s="496"/>
      <c r="C123" s="497" t="s">
        <v>901</v>
      </c>
      <c r="D123" s="461">
        <f>IFERROR(__xludf.DUMMYFUNCTION("""COMPUTED_VALUE"""),85992.56999999998)</f>
        <v>85992.57</v>
      </c>
      <c r="E123" s="461">
        <f>IFERROR(__xludf.DUMMYFUNCTION("""COMPUTED_VALUE"""),85992.56999999998)</f>
        <v>85992.57</v>
      </c>
      <c r="F123" s="461">
        <f>IFERROR(__xludf.DUMMYFUNCTION("""COMPUTED_VALUE"""),85992.56999999998)</f>
        <v>85992.57</v>
      </c>
      <c r="G123" s="461">
        <f>IFERROR(__xludf.DUMMYFUNCTION("""COMPUTED_VALUE"""),85992.56999999998)</f>
        <v>85992.57</v>
      </c>
      <c r="H123" s="461">
        <f>IFERROR(__xludf.DUMMYFUNCTION("""COMPUTED_VALUE"""),85992.56999999998)</f>
        <v>85992.57</v>
      </c>
      <c r="I123" s="461">
        <f>IFERROR(__xludf.DUMMYFUNCTION("""COMPUTED_VALUE"""),85992.56999999998)</f>
        <v>85992.57</v>
      </c>
      <c r="J123" s="461">
        <f>IFERROR(__xludf.DUMMYFUNCTION("""COMPUTED_VALUE"""),85992.56999999998)</f>
        <v>85992.57</v>
      </c>
      <c r="K123" s="461">
        <f>IFERROR(__xludf.DUMMYFUNCTION("""COMPUTED_VALUE"""),85992.56999999998)</f>
        <v>85992.57</v>
      </c>
      <c r="L123" s="461">
        <f>IFERROR(__xludf.DUMMYFUNCTION("""COMPUTED_VALUE"""),85992.56999999998)</f>
        <v>85992.57</v>
      </c>
      <c r="M123" s="461">
        <f>IFERROR(__xludf.DUMMYFUNCTION("""COMPUTED_VALUE"""),85992.56999999998)</f>
        <v>85992.57</v>
      </c>
      <c r="N123" s="461">
        <f>IFERROR(__xludf.DUMMYFUNCTION("""COMPUTED_VALUE"""),85992.56999999998)</f>
        <v>85992.57</v>
      </c>
      <c r="O123" s="461">
        <f>IFERROR(__xludf.DUMMYFUNCTION("""COMPUTED_VALUE"""),85992.56999999998)</f>
        <v>85992.57</v>
      </c>
      <c r="P123" s="461">
        <f t="shared" si="15"/>
        <v>1031910.84</v>
      </c>
    </row>
    <row r="124" ht="14.25" customHeight="1">
      <c r="A124" s="467"/>
      <c r="B124" s="459"/>
      <c r="C124" s="459" t="s">
        <v>903</v>
      </c>
      <c r="D124" s="461">
        <f>IFERROR(__xludf.DUMMYFUNCTION("""COMPUTED_VALUE"""),0.0)</f>
        <v>0</v>
      </c>
      <c r="E124" s="461">
        <f>IFERROR(__xludf.DUMMYFUNCTION("""COMPUTED_VALUE"""),0.0)</f>
        <v>0</v>
      </c>
      <c r="F124" s="461">
        <f>IFERROR(__xludf.DUMMYFUNCTION("""COMPUTED_VALUE"""),0.0)</f>
        <v>0</v>
      </c>
      <c r="G124" s="461">
        <f>IFERROR(__xludf.DUMMYFUNCTION("""COMPUTED_VALUE"""),0.0)</f>
        <v>0</v>
      </c>
      <c r="H124" s="461">
        <f>IFERROR(__xludf.DUMMYFUNCTION("""COMPUTED_VALUE"""),0.0)</f>
        <v>0</v>
      </c>
      <c r="I124" s="461">
        <f>IFERROR(__xludf.DUMMYFUNCTION("""COMPUTED_VALUE"""),0.0)</f>
        <v>0</v>
      </c>
      <c r="J124" s="461">
        <f>IFERROR(__xludf.DUMMYFUNCTION("""COMPUTED_VALUE"""),0.0)</f>
        <v>0</v>
      </c>
      <c r="K124" s="461">
        <f>IFERROR(__xludf.DUMMYFUNCTION("""COMPUTED_VALUE"""),0.0)</f>
        <v>0</v>
      </c>
      <c r="L124" s="461">
        <f>IFERROR(__xludf.DUMMYFUNCTION("""COMPUTED_VALUE"""),0.0)</f>
        <v>0</v>
      </c>
      <c r="M124" s="461">
        <f>IFERROR(__xludf.DUMMYFUNCTION("""COMPUTED_VALUE"""),0.0)</f>
        <v>0</v>
      </c>
      <c r="N124" s="461">
        <f>IFERROR(__xludf.DUMMYFUNCTION("""COMPUTED_VALUE"""),0.0)</f>
        <v>0</v>
      </c>
      <c r="O124" s="461">
        <f>IFERROR(__xludf.DUMMYFUNCTION("""COMPUTED_VALUE"""),0.0)</f>
        <v>0</v>
      </c>
      <c r="P124" s="461">
        <f t="shared" si="15"/>
        <v>0</v>
      </c>
    </row>
    <row r="125" ht="14.25" customHeight="1">
      <c r="A125" s="467"/>
      <c r="B125" s="477"/>
      <c r="C125" s="477" t="s">
        <v>1114</v>
      </c>
      <c r="D125" s="461"/>
      <c r="E125" s="461"/>
      <c r="F125" s="461"/>
      <c r="G125" s="461"/>
      <c r="H125" s="461"/>
      <c r="I125" s="461"/>
      <c r="J125" s="461"/>
      <c r="K125" s="461"/>
      <c r="L125" s="461"/>
      <c r="M125" s="461"/>
      <c r="N125" s="461"/>
      <c r="O125" s="461"/>
      <c r="P125" s="461">
        <f t="shared" si="15"/>
        <v>0</v>
      </c>
    </row>
    <row r="126" ht="14.25" customHeight="1">
      <c r="A126" s="498" t="s">
        <v>1115</v>
      </c>
      <c r="B126" s="488"/>
      <c r="C126" s="499"/>
      <c r="D126" s="489">
        <f>IFERROR(__xludf.DUMMYFUNCTION("""COMPUTED_VALUE"""),297534.50299999997)</f>
        <v>297534.503</v>
      </c>
      <c r="E126" s="489">
        <f>IFERROR(__xludf.DUMMYFUNCTION("""COMPUTED_VALUE"""),297534.50299999997)</f>
        <v>297534.503</v>
      </c>
      <c r="F126" s="489">
        <f>IFERROR(__xludf.DUMMYFUNCTION("""COMPUTED_VALUE"""),297534.50299999997)</f>
        <v>297534.503</v>
      </c>
      <c r="G126" s="489">
        <f>IFERROR(__xludf.DUMMYFUNCTION("""COMPUTED_VALUE"""),297534.50299999997)</f>
        <v>297534.503</v>
      </c>
      <c r="H126" s="489">
        <f>IFERROR(__xludf.DUMMYFUNCTION("""COMPUTED_VALUE"""),297534.50299999997)</f>
        <v>297534.503</v>
      </c>
      <c r="I126" s="489">
        <f>IFERROR(__xludf.DUMMYFUNCTION("""COMPUTED_VALUE"""),297534.50299999997)</f>
        <v>297534.503</v>
      </c>
      <c r="J126" s="489">
        <f>IFERROR(__xludf.DUMMYFUNCTION("""COMPUTED_VALUE"""),297534.50299999997)</f>
        <v>297534.503</v>
      </c>
      <c r="K126" s="489">
        <f>IFERROR(__xludf.DUMMYFUNCTION("""COMPUTED_VALUE"""),297534.50299999997)</f>
        <v>297534.503</v>
      </c>
      <c r="L126" s="489">
        <f>IFERROR(__xludf.DUMMYFUNCTION("""COMPUTED_VALUE"""),297534.50299999997)</f>
        <v>297534.503</v>
      </c>
      <c r="M126" s="489">
        <f>IFERROR(__xludf.DUMMYFUNCTION("""COMPUTED_VALUE"""),297534.50299999997)</f>
        <v>297534.503</v>
      </c>
      <c r="N126" s="489">
        <f>IFERROR(__xludf.DUMMYFUNCTION("""COMPUTED_VALUE"""),297534.50299999997)</f>
        <v>297534.503</v>
      </c>
      <c r="O126" s="489">
        <f>IFERROR(__xludf.DUMMYFUNCTION("""COMPUTED_VALUE"""),297534.50299999997)</f>
        <v>297534.503</v>
      </c>
      <c r="P126" s="489">
        <f>sum(P114:P125)</f>
        <v>3570414.036</v>
      </c>
    </row>
    <row r="127" ht="14.25" customHeight="1">
      <c r="A127" s="500"/>
      <c r="B127" s="501"/>
      <c r="C127" s="502" t="s">
        <v>903</v>
      </c>
      <c r="D127" s="462"/>
      <c r="E127" s="462"/>
      <c r="F127" s="462"/>
      <c r="G127" s="462"/>
      <c r="H127" s="462"/>
      <c r="I127" s="462"/>
      <c r="J127" s="462"/>
      <c r="K127" s="462"/>
      <c r="L127" s="462"/>
      <c r="M127" s="462"/>
      <c r="N127" s="462"/>
      <c r="O127" s="462"/>
      <c r="P127" s="461">
        <f t="shared" ref="P127:P148" si="16">sum(D127:O127)</f>
        <v>0</v>
      </c>
    </row>
    <row r="128" ht="14.25" customHeight="1">
      <c r="A128" s="503" t="s">
        <v>441</v>
      </c>
      <c r="B128" s="504"/>
      <c r="C128" s="505" t="s">
        <v>706</v>
      </c>
      <c r="D128" s="461">
        <f>IFERROR(__xludf.DUMMYFUNCTION("""COMPUTED_VALUE"""),52674.0)</f>
        <v>52674</v>
      </c>
      <c r="E128" s="461">
        <f>IFERROR(__xludf.DUMMYFUNCTION("""COMPUTED_VALUE"""),52674.0)</f>
        <v>52674</v>
      </c>
      <c r="F128" s="461">
        <f>IFERROR(__xludf.DUMMYFUNCTION("""COMPUTED_VALUE"""),52674.0)</f>
        <v>52674</v>
      </c>
      <c r="G128" s="461">
        <f>IFERROR(__xludf.DUMMYFUNCTION("""COMPUTED_VALUE"""),54643.0)</f>
        <v>54643</v>
      </c>
      <c r="H128" s="461">
        <f>IFERROR(__xludf.DUMMYFUNCTION("""COMPUTED_VALUE"""),52674.0)</f>
        <v>52674</v>
      </c>
      <c r="I128" s="461">
        <f>IFERROR(__xludf.DUMMYFUNCTION("""COMPUTED_VALUE"""),52674.0)</f>
        <v>52674</v>
      </c>
      <c r="J128" s="461">
        <f>IFERROR(__xludf.DUMMYFUNCTION("""COMPUTED_VALUE"""),52674.0)</f>
        <v>52674</v>
      </c>
      <c r="K128" s="461">
        <f>IFERROR(__xludf.DUMMYFUNCTION("""COMPUTED_VALUE"""),52841.0)</f>
        <v>52841</v>
      </c>
      <c r="L128" s="461">
        <f>IFERROR(__xludf.DUMMYFUNCTION("""COMPUTED_VALUE"""),57060.0)</f>
        <v>57060</v>
      </c>
      <c r="M128" s="461">
        <f>IFERROR(__xludf.DUMMYFUNCTION("""COMPUTED_VALUE"""),52674.0)</f>
        <v>52674</v>
      </c>
      <c r="N128" s="461">
        <f>IFERROR(__xludf.DUMMYFUNCTION("""COMPUTED_VALUE"""),52674.0)</f>
        <v>52674</v>
      </c>
      <c r="O128" s="461">
        <f>IFERROR(__xludf.DUMMYFUNCTION("""COMPUTED_VALUE"""),52674.0)</f>
        <v>52674</v>
      </c>
      <c r="P128" s="461">
        <f t="shared" si="16"/>
        <v>638610</v>
      </c>
    </row>
    <row r="129" ht="14.25" customHeight="1">
      <c r="A129" s="506" t="s">
        <v>456</v>
      </c>
      <c r="B129" s="507"/>
      <c r="C129" s="505" t="s">
        <v>707</v>
      </c>
      <c r="D129" s="461">
        <f>IFERROR(__xludf.DUMMYFUNCTION("""COMPUTED_VALUE"""),93114.0)</f>
        <v>93114</v>
      </c>
      <c r="E129" s="461">
        <f>IFERROR(__xludf.DUMMYFUNCTION("""COMPUTED_VALUE"""),85041.0)</f>
        <v>85041</v>
      </c>
      <c r="F129" s="461">
        <f>IFERROR(__xludf.DUMMYFUNCTION("""COMPUTED_VALUE"""),80071.0)</f>
        <v>80071</v>
      </c>
      <c r="G129" s="461">
        <f>IFERROR(__xludf.DUMMYFUNCTION("""COMPUTED_VALUE"""),82012.0)</f>
        <v>82012</v>
      </c>
      <c r="H129" s="461">
        <f>IFERROR(__xludf.DUMMYFUNCTION("""COMPUTED_VALUE"""),81717.0)</f>
        <v>81717</v>
      </c>
      <c r="I129" s="461">
        <f>IFERROR(__xludf.DUMMYFUNCTION("""COMPUTED_VALUE"""),81717.0)</f>
        <v>81717</v>
      </c>
      <c r="J129" s="461">
        <f>IFERROR(__xludf.DUMMYFUNCTION("""COMPUTED_VALUE"""),82016.0)</f>
        <v>82016</v>
      </c>
      <c r="K129" s="461">
        <f>IFERROR(__xludf.DUMMYFUNCTION("""COMPUTED_VALUE"""),82387.0)</f>
        <v>82387</v>
      </c>
      <c r="L129" s="461">
        <f>IFERROR(__xludf.DUMMYFUNCTION("""COMPUTED_VALUE"""),81717.0)</f>
        <v>81717</v>
      </c>
      <c r="M129" s="461">
        <f>IFERROR(__xludf.DUMMYFUNCTION("""COMPUTED_VALUE"""),84538.0)</f>
        <v>84538</v>
      </c>
      <c r="N129" s="461">
        <f>IFERROR(__xludf.DUMMYFUNCTION("""COMPUTED_VALUE"""),81717.0)</f>
        <v>81717</v>
      </c>
      <c r="O129" s="461">
        <f>IFERROR(__xludf.DUMMYFUNCTION("""COMPUTED_VALUE"""),82662.0)</f>
        <v>82662</v>
      </c>
      <c r="P129" s="461">
        <f t="shared" si="16"/>
        <v>998709</v>
      </c>
    </row>
    <row r="130" ht="14.25" customHeight="1">
      <c r="A130" s="500"/>
      <c r="B130" s="501"/>
      <c r="C130" s="505" t="s">
        <v>904</v>
      </c>
      <c r="D130" s="461">
        <f>IFERROR(__xludf.DUMMYFUNCTION("""COMPUTED_VALUE"""),0.0)</f>
        <v>0</v>
      </c>
      <c r="E130" s="461">
        <f>IFERROR(__xludf.DUMMYFUNCTION("""COMPUTED_VALUE"""),0.0)</f>
        <v>0</v>
      </c>
      <c r="F130" s="461">
        <f>IFERROR(__xludf.DUMMYFUNCTION("""COMPUTED_VALUE"""),0.0)</f>
        <v>0</v>
      </c>
      <c r="G130" s="461">
        <f>IFERROR(__xludf.DUMMYFUNCTION("""COMPUTED_VALUE"""),0.0)</f>
        <v>0</v>
      </c>
      <c r="H130" s="461">
        <f>IFERROR(__xludf.DUMMYFUNCTION("""COMPUTED_VALUE"""),0.0)</f>
        <v>0</v>
      </c>
      <c r="I130" s="461">
        <f>IFERROR(__xludf.DUMMYFUNCTION("""COMPUTED_VALUE"""),0.0)</f>
        <v>0</v>
      </c>
      <c r="J130" s="461">
        <f>IFERROR(__xludf.DUMMYFUNCTION("""COMPUTED_VALUE"""),0.0)</f>
        <v>0</v>
      </c>
      <c r="K130" s="461">
        <f>IFERROR(__xludf.DUMMYFUNCTION("""COMPUTED_VALUE"""),0.0)</f>
        <v>0</v>
      </c>
      <c r="L130" s="461">
        <f>IFERROR(__xludf.DUMMYFUNCTION("""COMPUTED_VALUE"""),0.0)</f>
        <v>0</v>
      </c>
      <c r="M130" s="461">
        <f>IFERROR(__xludf.DUMMYFUNCTION("""COMPUTED_VALUE"""),0.0)</f>
        <v>0</v>
      </c>
      <c r="N130" s="461">
        <f>IFERROR(__xludf.DUMMYFUNCTION("""COMPUTED_VALUE"""),0.0)</f>
        <v>0</v>
      </c>
      <c r="O130" s="461">
        <f>IFERROR(__xludf.DUMMYFUNCTION("""COMPUTED_VALUE"""),0.0)</f>
        <v>0</v>
      </c>
      <c r="P130" s="461">
        <f t="shared" si="16"/>
        <v>0</v>
      </c>
    </row>
    <row r="131" ht="14.25" customHeight="1">
      <c r="A131" s="500"/>
      <c r="B131" s="501"/>
      <c r="C131" s="505" t="s">
        <v>905</v>
      </c>
      <c r="D131" s="461">
        <f>IFERROR(__xludf.DUMMYFUNCTION("""COMPUTED_VALUE"""),0.0)</f>
        <v>0</v>
      </c>
      <c r="E131" s="461">
        <f>IFERROR(__xludf.DUMMYFUNCTION("""COMPUTED_VALUE"""),0.0)</f>
        <v>0</v>
      </c>
      <c r="F131" s="461">
        <f>IFERROR(__xludf.DUMMYFUNCTION("""COMPUTED_VALUE"""),0.0)</f>
        <v>0</v>
      </c>
      <c r="G131" s="461">
        <f>IFERROR(__xludf.DUMMYFUNCTION("""COMPUTED_VALUE"""),0.0)</f>
        <v>0</v>
      </c>
      <c r="H131" s="461">
        <f>IFERROR(__xludf.DUMMYFUNCTION("""COMPUTED_VALUE"""),0.0)</f>
        <v>0</v>
      </c>
      <c r="I131" s="461">
        <f>IFERROR(__xludf.DUMMYFUNCTION("""COMPUTED_VALUE"""),0.0)</f>
        <v>0</v>
      </c>
      <c r="J131" s="461">
        <f>IFERROR(__xludf.DUMMYFUNCTION("""COMPUTED_VALUE"""),0.0)</f>
        <v>0</v>
      </c>
      <c r="K131" s="461">
        <f>IFERROR(__xludf.DUMMYFUNCTION("""COMPUTED_VALUE"""),0.0)</f>
        <v>0</v>
      </c>
      <c r="L131" s="461">
        <f>IFERROR(__xludf.DUMMYFUNCTION("""COMPUTED_VALUE"""),0.0)</f>
        <v>0</v>
      </c>
      <c r="M131" s="461">
        <f>IFERROR(__xludf.DUMMYFUNCTION("""COMPUTED_VALUE"""),0.0)</f>
        <v>0</v>
      </c>
      <c r="N131" s="461">
        <f>IFERROR(__xludf.DUMMYFUNCTION("""COMPUTED_VALUE"""),0.0)</f>
        <v>0</v>
      </c>
      <c r="O131" s="461">
        <f>IFERROR(__xludf.DUMMYFUNCTION("""COMPUTED_VALUE"""),0.0)</f>
        <v>0</v>
      </c>
      <c r="P131" s="461">
        <f t="shared" si="16"/>
        <v>0</v>
      </c>
    </row>
    <row r="132" ht="14.25" customHeight="1">
      <c r="A132" s="500"/>
      <c r="B132" s="505"/>
      <c r="C132" s="505" t="s">
        <v>906</v>
      </c>
      <c r="D132" s="461">
        <f>IFERROR(__xludf.DUMMYFUNCTION("""COMPUTED_VALUE"""),0.0)</f>
        <v>0</v>
      </c>
      <c r="E132" s="461">
        <f>IFERROR(__xludf.DUMMYFUNCTION("""COMPUTED_VALUE"""),0.0)</f>
        <v>0</v>
      </c>
      <c r="F132" s="461">
        <f>IFERROR(__xludf.DUMMYFUNCTION("""COMPUTED_VALUE"""),0.0)</f>
        <v>0</v>
      </c>
      <c r="G132" s="461">
        <f>IFERROR(__xludf.DUMMYFUNCTION("""COMPUTED_VALUE"""),0.0)</f>
        <v>0</v>
      </c>
      <c r="H132" s="461">
        <f>IFERROR(__xludf.DUMMYFUNCTION("""COMPUTED_VALUE"""),0.0)</f>
        <v>0</v>
      </c>
      <c r="I132" s="461">
        <f>IFERROR(__xludf.DUMMYFUNCTION("""COMPUTED_VALUE"""),0.0)</f>
        <v>0</v>
      </c>
      <c r="J132" s="461">
        <f>IFERROR(__xludf.DUMMYFUNCTION("""COMPUTED_VALUE"""),0.0)</f>
        <v>0</v>
      </c>
      <c r="K132" s="461">
        <f>IFERROR(__xludf.DUMMYFUNCTION("""COMPUTED_VALUE"""),0.0)</f>
        <v>0</v>
      </c>
      <c r="L132" s="461">
        <f>IFERROR(__xludf.DUMMYFUNCTION("""COMPUTED_VALUE"""),0.0)</f>
        <v>0</v>
      </c>
      <c r="M132" s="461">
        <f>IFERROR(__xludf.DUMMYFUNCTION("""COMPUTED_VALUE"""),0.0)</f>
        <v>0</v>
      </c>
      <c r="N132" s="461">
        <f>IFERROR(__xludf.DUMMYFUNCTION("""COMPUTED_VALUE"""),0.0)</f>
        <v>0</v>
      </c>
      <c r="O132" s="461">
        <f>IFERROR(__xludf.DUMMYFUNCTION("""COMPUTED_VALUE"""),0.0)</f>
        <v>0</v>
      </c>
      <c r="P132" s="461">
        <f t="shared" si="16"/>
        <v>0</v>
      </c>
    </row>
    <row r="133" ht="14.25" customHeight="1">
      <c r="A133" s="503" t="s">
        <v>475</v>
      </c>
      <c r="B133" s="504"/>
      <c r="C133" s="505" t="s">
        <v>708</v>
      </c>
      <c r="D133" s="461">
        <f>IFERROR(__xludf.DUMMYFUNCTION("""COMPUTED_VALUE"""),30337.0)</f>
        <v>30337</v>
      </c>
      <c r="E133" s="461">
        <f>IFERROR(__xludf.DUMMYFUNCTION("""COMPUTED_VALUE"""),23327.0)</f>
        <v>23327</v>
      </c>
      <c r="F133" s="461">
        <f>IFERROR(__xludf.DUMMYFUNCTION("""COMPUTED_VALUE"""),22456.0)</f>
        <v>22456</v>
      </c>
      <c r="G133" s="461">
        <f>IFERROR(__xludf.DUMMYFUNCTION("""COMPUTED_VALUE"""),22505.0)</f>
        <v>22505</v>
      </c>
      <c r="H133" s="461">
        <f>IFERROR(__xludf.DUMMYFUNCTION("""COMPUTED_VALUE"""),22253.0)</f>
        <v>22253</v>
      </c>
      <c r="I133" s="461">
        <f>IFERROR(__xludf.DUMMYFUNCTION("""COMPUTED_VALUE"""),21888.0)</f>
        <v>21888</v>
      </c>
      <c r="J133" s="461">
        <f>IFERROR(__xludf.DUMMYFUNCTION("""COMPUTED_VALUE"""),28461.0)</f>
        <v>28461</v>
      </c>
      <c r="K133" s="461">
        <f>IFERROR(__xludf.DUMMYFUNCTION("""COMPUTED_VALUE"""),22297.0)</f>
        <v>22297</v>
      </c>
      <c r="L133" s="461">
        <f>IFERROR(__xludf.DUMMYFUNCTION("""COMPUTED_VALUE"""),21888.0)</f>
        <v>21888</v>
      </c>
      <c r="M133" s="461">
        <f>IFERROR(__xludf.DUMMYFUNCTION("""COMPUTED_VALUE"""),22959.0)</f>
        <v>22959</v>
      </c>
      <c r="N133" s="461">
        <f>IFERROR(__xludf.DUMMYFUNCTION("""COMPUTED_VALUE"""),24322.0)</f>
        <v>24322</v>
      </c>
      <c r="O133" s="461">
        <f>IFERROR(__xludf.DUMMYFUNCTION("""COMPUTED_VALUE"""),23646.0)</f>
        <v>23646</v>
      </c>
      <c r="P133" s="461">
        <f t="shared" si="16"/>
        <v>286339</v>
      </c>
    </row>
    <row r="134" ht="14.25" customHeight="1">
      <c r="A134" s="500"/>
      <c r="B134" s="501"/>
      <c r="C134" s="505" t="s">
        <v>907</v>
      </c>
      <c r="D134" s="461">
        <f>IFERROR(__xludf.DUMMYFUNCTION("""COMPUTED_VALUE"""),0.0)</f>
        <v>0</v>
      </c>
      <c r="E134" s="461">
        <f>IFERROR(__xludf.DUMMYFUNCTION("""COMPUTED_VALUE"""),0.0)</f>
        <v>0</v>
      </c>
      <c r="F134" s="461">
        <f>IFERROR(__xludf.DUMMYFUNCTION("""COMPUTED_VALUE"""),0.0)</f>
        <v>0</v>
      </c>
      <c r="G134" s="461">
        <f>IFERROR(__xludf.DUMMYFUNCTION("""COMPUTED_VALUE"""),0.0)</f>
        <v>0</v>
      </c>
      <c r="H134" s="461">
        <f>IFERROR(__xludf.DUMMYFUNCTION("""COMPUTED_VALUE"""),0.0)</f>
        <v>0</v>
      </c>
      <c r="I134" s="461">
        <f>IFERROR(__xludf.DUMMYFUNCTION("""COMPUTED_VALUE"""),0.0)</f>
        <v>0</v>
      </c>
      <c r="J134" s="461">
        <f>IFERROR(__xludf.DUMMYFUNCTION("""COMPUTED_VALUE"""),0.0)</f>
        <v>0</v>
      </c>
      <c r="K134" s="461">
        <f>IFERROR(__xludf.DUMMYFUNCTION("""COMPUTED_VALUE"""),0.0)</f>
        <v>0</v>
      </c>
      <c r="L134" s="461">
        <f>IFERROR(__xludf.DUMMYFUNCTION("""COMPUTED_VALUE"""),0.0)</f>
        <v>0</v>
      </c>
      <c r="M134" s="461">
        <f>IFERROR(__xludf.DUMMYFUNCTION("""COMPUTED_VALUE"""),0.0)</f>
        <v>0</v>
      </c>
      <c r="N134" s="461">
        <f>IFERROR(__xludf.DUMMYFUNCTION("""COMPUTED_VALUE"""),0.0)</f>
        <v>0</v>
      </c>
      <c r="O134" s="461">
        <f>IFERROR(__xludf.DUMMYFUNCTION("""COMPUTED_VALUE"""),0.0)</f>
        <v>0</v>
      </c>
      <c r="P134" s="461">
        <f t="shared" si="16"/>
        <v>0</v>
      </c>
    </row>
    <row r="135" ht="14.25" customHeight="1">
      <c r="A135" s="506" t="s">
        <v>482</v>
      </c>
      <c r="B135" s="507"/>
      <c r="C135" s="505" t="s">
        <v>709</v>
      </c>
      <c r="D135" s="461">
        <f>IFERROR(__xludf.DUMMYFUNCTION("""COMPUTED_VALUE"""),0.0)</f>
        <v>0</v>
      </c>
      <c r="E135" s="461">
        <f>IFERROR(__xludf.DUMMYFUNCTION("""COMPUTED_VALUE"""),0.0)</f>
        <v>0</v>
      </c>
      <c r="F135" s="461">
        <f>IFERROR(__xludf.DUMMYFUNCTION("""COMPUTED_VALUE"""),0.0)</f>
        <v>0</v>
      </c>
      <c r="G135" s="461">
        <f>IFERROR(__xludf.DUMMYFUNCTION("""COMPUTED_VALUE"""),0.0)</f>
        <v>0</v>
      </c>
      <c r="H135" s="461">
        <f>IFERROR(__xludf.DUMMYFUNCTION("""COMPUTED_VALUE"""),0.0)</f>
        <v>0</v>
      </c>
      <c r="I135" s="461">
        <f>IFERROR(__xludf.DUMMYFUNCTION("""COMPUTED_VALUE"""),0.0)</f>
        <v>0</v>
      </c>
      <c r="J135" s="461">
        <f>IFERROR(__xludf.DUMMYFUNCTION("""COMPUTED_VALUE"""),0.0)</f>
        <v>0</v>
      </c>
      <c r="K135" s="461">
        <f>IFERROR(__xludf.DUMMYFUNCTION("""COMPUTED_VALUE"""),0.0)</f>
        <v>0</v>
      </c>
      <c r="L135" s="461">
        <f>IFERROR(__xludf.DUMMYFUNCTION("""COMPUTED_VALUE"""),0.0)</f>
        <v>0</v>
      </c>
      <c r="M135" s="461">
        <f>IFERROR(__xludf.DUMMYFUNCTION("""COMPUTED_VALUE"""),0.0)</f>
        <v>0</v>
      </c>
      <c r="N135" s="461">
        <f>IFERROR(__xludf.DUMMYFUNCTION("""COMPUTED_VALUE"""),0.0)</f>
        <v>0</v>
      </c>
      <c r="O135" s="461">
        <f>IFERROR(__xludf.DUMMYFUNCTION("""COMPUTED_VALUE"""),0.0)</f>
        <v>0</v>
      </c>
      <c r="P135" s="461">
        <f t="shared" si="16"/>
        <v>0</v>
      </c>
    </row>
    <row r="136" ht="14.25" customHeight="1">
      <c r="A136" s="503" t="s">
        <v>459</v>
      </c>
      <c r="B136" s="504"/>
      <c r="C136" s="505" t="s">
        <v>710</v>
      </c>
      <c r="D136" s="461">
        <f>IFERROR(__xludf.DUMMYFUNCTION("""COMPUTED_VALUE"""),8318.0)</f>
        <v>8318</v>
      </c>
      <c r="E136" s="461">
        <f>IFERROR(__xludf.DUMMYFUNCTION("""COMPUTED_VALUE"""),7221.0)</f>
        <v>7221</v>
      </c>
      <c r="F136" s="461">
        <f>IFERROR(__xludf.DUMMYFUNCTION("""COMPUTED_VALUE"""),7221.0)</f>
        <v>7221</v>
      </c>
      <c r="G136" s="461">
        <f>IFERROR(__xludf.DUMMYFUNCTION("""COMPUTED_VALUE"""),7217.0)</f>
        <v>7217</v>
      </c>
      <c r="H136" s="461">
        <f>IFERROR(__xludf.DUMMYFUNCTION("""COMPUTED_VALUE"""),7190.0)</f>
        <v>7190</v>
      </c>
      <c r="I136" s="461">
        <f>IFERROR(__xludf.DUMMYFUNCTION("""COMPUTED_VALUE"""),7190.0)</f>
        <v>7190</v>
      </c>
      <c r="J136" s="461">
        <f>IFERROR(__xludf.DUMMYFUNCTION("""COMPUTED_VALUE"""),7217.0)</f>
        <v>7217</v>
      </c>
      <c r="K136" s="461">
        <f>IFERROR(__xludf.DUMMYFUNCTION("""COMPUTED_VALUE"""),7251.0)</f>
        <v>7251</v>
      </c>
      <c r="L136" s="461">
        <f>IFERROR(__xludf.DUMMYFUNCTION("""COMPUTED_VALUE"""),7190.0)</f>
        <v>7190</v>
      </c>
      <c r="M136" s="461">
        <f>IFERROR(__xludf.DUMMYFUNCTION("""COMPUTED_VALUE"""),7446.0)</f>
        <v>7446</v>
      </c>
      <c r="N136" s="461">
        <f>IFERROR(__xludf.DUMMYFUNCTION("""COMPUTED_VALUE"""),7190.0)</f>
        <v>7190</v>
      </c>
      <c r="O136" s="461">
        <f>IFERROR(__xludf.DUMMYFUNCTION("""COMPUTED_VALUE"""),7276.0)</f>
        <v>7276</v>
      </c>
      <c r="P136" s="461">
        <f t="shared" si="16"/>
        <v>87927</v>
      </c>
    </row>
    <row r="137" ht="14.25" customHeight="1">
      <c r="A137" s="506" t="s">
        <v>463</v>
      </c>
      <c r="B137" s="507"/>
      <c r="C137" s="505" t="s">
        <v>711</v>
      </c>
      <c r="D137" s="461">
        <f>IFERROR(__xludf.DUMMYFUNCTION("""COMPUTED_VALUE"""),0.0)</f>
        <v>0</v>
      </c>
      <c r="E137" s="461">
        <f>IFERROR(__xludf.DUMMYFUNCTION("""COMPUTED_VALUE"""),0.0)</f>
        <v>0</v>
      </c>
      <c r="F137" s="461">
        <f>IFERROR(__xludf.DUMMYFUNCTION("""COMPUTED_VALUE"""),0.0)</f>
        <v>0</v>
      </c>
      <c r="G137" s="461">
        <f>IFERROR(__xludf.DUMMYFUNCTION("""COMPUTED_VALUE"""),0.0)</f>
        <v>0</v>
      </c>
      <c r="H137" s="461">
        <f>IFERROR(__xludf.DUMMYFUNCTION("""COMPUTED_VALUE"""),0.0)</f>
        <v>0</v>
      </c>
      <c r="I137" s="461">
        <f>IFERROR(__xludf.DUMMYFUNCTION("""COMPUTED_VALUE"""),0.0)</f>
        <v>0</v>
      </c>
      <c r="J137" s="461">
        <f>IFERROR(__xludf.DUMMYFUNCTION("""COMPUTED_VALUE"""),0.0)</f>
        <v>0</v>
      </c>
      <c r="K137" s="461">
        <f>IFERROR(__xludf.DUMMYFUNCTION("""COMPUTED_VALUE"""),0.0)</f>
        <v>0</v>
      </c>
      <c r="L137" s="461">
        <f>IFERROR(__xludf.DUMMYFUNCTION("""COMPUTED_VALUE"""),0.0)</f>
        <v>0</v>
      </c>
      <c r="M137" s="461">
        <f>IFERROR(__xludf.DUMMYFUNCTION("""COMPUTED_VALUE"""),0.0)</f>
        <v>0</v>
      </c>
      <c r="N137" s="461">
        <f>IFERROR(__xludf.DUMMYFUNCTION("""COMPUTED_VALUE"""),0.0)</f>
        <v>0</v>
      </c>
      <c r="O137" s="461">
        <f>IFERROR(__xludf.DUMMYFUNCTION("""COMPUTED_VALUE"""),0.0)</f>
        <v>0</v>
      </c>
      <c r="P137" s="461">
        <f t="shared" si="16"/>
        <v>0</v>
      </c>
    </row>
    <row r="138" ht="14.25" customHeight="1">
      <c r="A138" s="506" t="s">
        <v>469</v>
      </c>
      <c r="B138" s="507"/>
      <c r="C138" s="505" t="s">
        <v>712</v>
      </c>
      <c r="D138" s="461">
        <f>IFERROR(__xludf.DUMMYFUNCTION("""COMPUTED_VALUE"""),0.0)</f>
        <v>0</v>
      </c>
      <c r="E138" s="461">
        <f>IFERROR(__xludf.DUMMYFUNCTION("""COMPUTED_VALUE"""),0.0)</f>
        <v>0</v>
      </c>
      <c r="F138" s="461">
        <f>IFERROR(__xludf.DUMMYFUNCTION("""COMPUTED_VALUE"""),0.0)</f>
        <v>0</v>
      </c>
      <c r="G138" s="461">
        <f>IFERROR(__xludf.DUMMYFUNCTION("""COMPUTED_VALUE"""),0.0)</f>
        <v>0</v>
      </c>
      <c r="H138" s="461">
        <f>IFERROR(__xludf.DUMMYFUNCTION("""COMPUTED_VALUE"""),0.0)</f>
        <v>0</v>
      </c>
      <c r="I138" s="461">
        <f>IFERROR(__xludf.DUMMYFUNCTION("""COMPUTED_VALUE"""),0.0)</f>
        <v>0</v>
      </c>
      <c r="J138" s="461">
        <f>IFERROR(__xludf.DUMMYFUNCTION("""COMPUTED_VALUE"""),0.0)</f>
        <v>0</v>
      </c>
      <c r="K138" s="461">
        <f>IFERROR(__xludf.DUMMYFUNCTION("""COMPUTED_VALUE"""),0.0)</f>
        <v>0</v>
      </c>
      <c r="L138" s="461">
        <f>IFERROR(__xludf.DUMMYFUNCTION("""COMPUTED_VALUE"""),0.0)</f>
        <v>0</v>
      </c>
      <c r="M138" s="461">
        <f>IFERROR(__xludf.DUMMYFUNCTION("""COMPUTED_VALUE"""),0.0)</f>
        <v>0</v>
      </c>
      <c r="N138" s="461">
        <f>IFERROR(__xludf.DUMMYFUNCTION("""COMPUTED_VALUE"""),0.0)</f>
        <v>0</v>
      </c>
      <c r="O138" s="461">
        <f>IFERROR(__xludf.DUMMYFUNCTION("""COMPUTED_VALUE"""),0.0)</f>
        <v>0</v>
      </c>
      <c r="P138" s="461">
        <f t="shared" si="16"/>
        <v>0</v>
      </c>
    </row>
    <row r="139" ht="14.25" customHeight="1">
      <c r="A139" s="503" t="s">
        <v>487</v>
      </c>
      <c r="B139" s="504"/>
      <c r="C139" s="505" t="s">
        <v>713</v>
      </c>
      <c r="D139" s="461">
        <f>IFERROR(__xludf.DUMMYFUNCTION("""COMPUTED_VALUE"""),0.0)</f>
        <v>0</v>
      </c>
      <c r="E139" s="461">
        <f>IFERROR(__xludf.DUMMYFUNCTION("""COMPUTED_VALUE"""),0.0)</f>
        <v>0</v>
      </c>
      <c r="F139" s="461">
        <f>IFERROR(__xludf.DUMMYFUNCTION("""COMPUTED_VALUE"""),0.0)</f>
        <v>0</v>
      </c>
      <c r="G139" s="461">
        <f>IFERROR(__xludf.DUMMYFUNCTION("""COMPUTED_VALUE"""),0.0)</f>
        <v>0</v>
      </c>
      <c r="H139" s="461">
        <f>IFERROR(__xludf.DUMMYFUNCTION("""COMPUTED_VALUE"""),0.0)</f>
        <v>0</v>
      </c>
      <c r="I139" s="461">
        <f>IFERROR(__xludf.DUMMYFUNCTION("""COMPUTED_VALUE"""),0.0)</f>
        <v>0</v>
      </c>
      <c r="J139" s="461">
        <f>IFERROR(__xludf.DUMMYFUNCTION("""COMPUTED_VALUE"""),0.0)</f>
        <v>0</v>
      </c>
      <c r="K139" s="461">
        <f>IFERROR(__xludf.DUMMYFUNCTION("""COMPUTED_VALUE"""),0.0)</f>
        <v>0</v>
      </c>
      <c r="L139" s="461">
        <f>IFERROR(__xludf.DUMMYFUNCTION("""COMPUTED_VALUE"""),0.0)</f>
        <v>0</v>
      </c>
      <c r="M139" s="461">
        <f>IFERROR(__xludf.DUMMYFUNCTION("""COMPUTED_VALUE"""),0.0)</f>
        <v>0</v>
      </c>
      <c r="N139" s="461">
        <f>IFERROR(__xludf.DUMMYFUNCTION("""COMPUTED_VALUE"""),0.0)</f>
        <v>0</v>
      </c>
      <c r="O139" s="461">
        <f>IFERROR(__xludf.DUMMYFUNCTION("""COMPUTED_VALUE"""),0.0)</f>
        <v>0</v>
      </c>
      <c r="P139" s="461">
        <f t="shared" si="16"/>
        <v>0</v>
      </c>
    </row>
    <row r="140" ht="14.25" customHeight="1">
      <c r="A140" s="503" t="s">
        <v>556</v>
      </c>
      <c r="B140" s="504"/>
      <c r="C140" s="505" t="s">
        <v>908</v>
      </c>
      <c r="D140" s="461">
        <f>IFERROR(__xludf.DUMMYFUNCTION("""COMPUTED_VALUE"""),15734.0)</f>
        <v>15734</v>
      </c>
      <c r="E140" s="461">
        <f>IFERROR(__xludf.DUMMYFUNCTION("""COMPUTED_VALUE"""),0.0)</f>
        <v>0</v>
      </c>
      <c r="F140" s="461">
        <f>IFERROR(__xludf.DUMMYFUNCTION("""COMPUTED_VALUE"""),0.0)</f>
        <v>0</v>
      </c>
      <c r="G140" s="461">
        <f>IFERROR(__xludf.DUMMYFUNCTION("""COMPUTED_VALUE"""),0.0)</f>
        <v>0</v>
      </c>
      <c r="H140" s="461">
        <f>IFERROR(__xludf.DUMMYFUNCTION("""COMPUTED_VALUE"""),0.0)</f>
        <v>0</v>
      </c>
      <c r="I140" s="461">
        <f>IFERROR(__xludf.DUMMYFUNCTION("""COMPUTED_VALUE"""),0.0)</f>
        <v>0</v>
      </c>
      <c r="J140" s="461">
        <f>IFERROR(__xludf.DUMMYFUNCTION("""COMPUTED_VALUE"""),0.0)</f>
        <v>0</v>
      </c>
      <c r="K140" s="461">
        <f>IFERROR(__xludf.DUMMYFUNCTION("""COMPUTED_VALUE"""),0.0)</f>
        <v>0</v>
      </c>
      <c r="L140" s="461">
        <f>IFERROR(__xludf.DUMMYFUNCTION("""COMPUTED_VALUE"""),0.0)</f>
        <v>0</v>
      </c>
      <c r="M140" s="461">
        <f>IFERROR(__xludf.DUMMYFUNCTION("""COMPUTED_VALUE"""),0.0)</f>
        <v>0</v>
      </c>
      <c r="N140" s="461">
        <f>IFERROR(__xludf.DUMMYFUNCTION("""COMPUTED_VALUE"""),0.0)</f>
        <v>0</v>
      </c>
      <c r="O140" s="461">
        <f>IFERROR(__xludf.DUMMYFUNCTION("""COMPUTED_VALUE"""),0.0)</f>
        <v>0</v>
      </c>
      <c r="P140" s="461">
        <f t="shared" si="16"/>
        <v>15734</v>
      </c>
    </row>
    <row r="141" ht="14.25" customHeight="1">
      <c r="A141" s="506"/>
      <c r="B141" s="501"/>
      <c r="C141" s="505" t="s">
        <v>909</v>
      </c>
      <c r="D141" s="461">
        <f>IFERROR(__xludf.DUMMYFUNCTION("""COMPUTED_VALUE"""),0.0)</f>
        <v>0</v>
      </c>
      <c r="E141" s="461">
        <f>IFERROR(__xludf.DUMMYFUNCTION("""COMPUTED_VALUE"""),0.0)</f>
        <v>0</v>
      </c>
      <c r="F141" s="461">
        <f>IFERROR(__xludf.DUMMYFUNCTION("""COMPUTED_VALUE"""),0.0)</f>
        <v>0</v>
      </c>
      <c r="G141" s="461">
        <f>IFERROR(__xludf.DUMMYFUNCTION("""COMPUTED_VALUE"""),0.0)</f>
        <v>0</v>
      </c>
      <c r="H141" s="461">
        <f>IFERROR(__xludf.DUMMYFUNCTION("""COMPUTED_VALUE"""),0.0)</f>
        <v>0</v>
      </c>
      <c r="I141" s="461">
        <f>IFERROR(__xludf.DUMMYFUNCTION("""COMPUTED_VALUE"""),0.0)</f>
        <v>0</v>
      </c>
      <c r="J141" s="461">
        <f>IFERROR(__xludf.DUMMYFUNCTION("""COMPUTED_VALUE"""),0.0)</f>
        <v>0</v>
      </c>
      <c r="K141" s="461">
        <f>IFERROR(__xludf.DUMMYFUNCTION("""COMPUTED_VALUE"""),0.0)</f>
        <v>0</v>
      </c>
      <c r="L141" s="461">
        <f>IFERROR(__xludf.DUMMYFUNCTION("""COMPUTED_VALUE"""),0.0)</f>
        <v>0</v>
      </c>
      <c r="M141" s="461">
        <f>IFERROR(__xludf.DUMMYFUNCTION("""COMPUTED_VALUE"""),0.0)</f>
        <v>0</v>
      </c>
      <c r="N141" s="461">
        <f>IFERROR(__xludf.DUMMYFUNCTION("""COMPUTED_VALUE"""),0.0)</f>
        <v>0</v>
      </c>
      <c r="O141" s="461">
        <f>IFERROR(__xludf.DUMMYFUNCTION("""COMPUTED_VALUE"""),0.0)</f>
        <v>0</v>
      </c>
      <c r="P141" s="461">
        <f t="shared" si="16"/>
        <v>0</v>
      </c>
    </row>
    <row r="142" ht="14.25" customHeight="1">
      <c r="A142" s="506"/>
      <c r="B142" s="501"/>
      <c r="C142" s="505" t="s">
        <v>910</v>
      </c>
      <c r="D142" s="461">
        <f>IFERROR(__xludf.DUMMYFUNCTION("""COMPUTED_VALUE"""),0.0)</f>
        <v>0</v>
      </c>
      <c r="E142" s="461">
        <f>IFERROR(__xludf.DUMMYFUNCTION("""COMPUTED_VALUE"""),0.0)</f>
        <v>0</v>
      </c>
      <c r="F142" s="461">
        <f>IFERROR(__xludf.DUMMYFUNCTION("""COMPUTED_VALUE"""),0.0)</f>
        <v>0</v>
      </c>
      <c r="G142" s="461">
        <f>IFERROR(__xludf.DUMMYFUNCTION("""COMPUTED_VALUE"""),0.0)</f>
        <v>0</v>
      </c>
      <c r="H142" s="461">
        <f>IFERROR(__xludf.DUMMYFUNCTION("""COMPUTED_VALUE"""),0.0)</f>
        <v>0</v>
      </c>
      <c r="I142" s="461">
        <f>IFERROR(__xludf.DUMMYFUNCTION("""COMPUTED_VALUE"""),0.0)</f>
        <v>0</v>
      </c>
      <c r="J142" s="461">
        <f>IFERROR(__xludf.DUMMYFUNCTION("""COMPUTED_VALUE"""),0.0)</f>
        <v>0</v>
      </c>
      <c r="K142" s="461">
        <f>IFERROR(__xludf.DUMMYFUNCTION("""COMPUTED_VALUE"""),0.0)</f>
        <v>0</v>
      </c>
      <c r="L142" s="461">
        <f>IFERROR(__xludf.DUMMYFUNCTION("""COMPUTED_VALUE"""),0.0)</f>
        <v>0</v>
      </c>
      <c r="M142" s="461">
        <f>IFERROR(__xludf.DUMMYFUNCTION("""COMPUTED_VALUE"""),0.0)</f>
        <v>0</v>
      </c>
      <c r="N142" s="461">
        <f>IFERROR(__xludf.DUMMYFUNCTION("""COMPUTED_VALUE"""),0.0)</f>
        <v>0</v>
      </c>
      <c r="O142" s="461">
        <f>IFERROR(__xludf.DUMMYFUNCTION("""COMPUTED_VALUE"""),0.0)</f>
        <v>0</v>
      </c>
      <c r="P142" s="461">
        <f t="shared" si="16"/>
        <v>0</v>
      </c>
    </row>
    <row r="143" ht="14.25" customHeight="1">
      <c r="A143" s="506" t="s">
        <v>548</v>
      </c>
      <c r="B143" s="507"/>
      <c r="C143" s="501" t="s">
        <v>714</v>
      </c>
      <c r="D143" s="461">
        <f>IFERROR(__xludf.DUMMYFUNCTION("""COMPUTED_VALUE"""),74116.0)</f>
        <v>74116</v>
      </c>
      <c r="E143" s="461">
        <f>IFERROR(__xludf.DUMMYFUNCTION("""COMPUTED_VALUE"""),74116.0)</f>
        <v>74116</v>
      </c>
      <c r="F143" s="461">
        <f>IFERROR(__xludf.DUMMYFUNCTION("""COMPUTED_VALUE"""),74116.0)</f>
        <v>74116</v>
      </c>
      <c r="G143" s="461">
        <f>IFERROR(__xludf.DUMMYFUNCTION("""COMPUTED_VALUE"""),74116.0)</f>
        <v>74116</v>
      </c>
      <c r="H143" s="461">
        <f>IFERROR(__xludf.DUMMYFUNCTION("""COMPUTED_VALUE"""),74116.0)</f>
        <v>74116</v>
      </c>
      <c r="I143" s="461">
        <f>IFERROR(__xludf.DUMMYFUNCTION("""COMPUTED_VALUE"""),74116.0)</f>
        <v>74116</v>
      </c>
      <c r="J143" s="461">
        <f>IFERROR(__xludf.DUMMYFUNCTION("""COMPUTED_VALUE"""),74116.0)</f>
        <v>74116</v>
      </c>
      <c r="K143" s="461">
        <f>IFERROR(__xludf.DUMMYFUNCTION("""COMPUTED_VALUE"""),74116.0)</f>
        <v>74116</v>
      </c>
      <c r="L143" s="461">
        <f>IFERROR(__xludf.DUMMYFUNCTION("""COMPUTED_VALUE"""),74116.0)</f>
        <v>74116</v>
      </c>
      <c r="M143" s="461">
        <f>IFERROR(__xludf.DUMMYFUNCTION("""COMPUTED_VALUE"""),74116.0)</f>
        <v>74116</v>
      </c>
      <c r="N143" s="461">
        <f>IFERROR(__xludf.DUMMYFUNCTION("""COMPUTED_VALUE"""),74116.0)</f>
        <v>74116</v>
      </c>
      <c r="O143" s="461">
        <f>IFERROR(__xludf.DUMMYFUNCTION("""COMPUTED_VALUE"""),74116.0)</f>
        <v>74116</v>
      </c>
      <c r="P143" s="461">
        <f t="shared" si="16"/>
        <v>889392</v>
      </c>
    </row>
    <row r="144" ht="14.25" customHeight="1">
      <c r="A144" s="506" t="s">
        <v>571</v>
      </c>
      <c r="B144" s="507"/>
      <c r="C144" s="501" t="s">
        <v>715</v>
      </c>
      <c r="D144" s="461">
        <f>IFERROR(__xludf.DUMMYFUNCTION("""COMPUTED_VALUE"""),44.0)</f>
        <v>44</v>
      </c>
      <c r="E144" s="461">
        <f>IFERROR(__xludf.DUMMYFUNCTION("""COMPUTED_VALUE"""),44.0)</f>
        <v>44</v>
      </c>
      <c r="F144" s="461">
        <f>IFERROR(__xludf.DUMMYFUNCTION("""COMPUTED_VALUE"""),44.0)</f>
        <v>44</v>
      </c>
      <c r="G144" s="461">
        <f>IFERROR(__xludf.DUMMYFUNCTION("""COMPUTED_VALUE"""),44.0)</f>
        <v>44</v>
      </c>
      <c r="H144" s="461">
        <f>IFERROR(__xludf.DUMMYFUNCTION("""COMPUTED_VALUE"""),44.0)</f>
        <v>44</v>
      </c>
      <c r="I144" s="461">
        <f>IFERROR(__xludf.DUMMYFUNCTION("""COMPUTED_VALUE"""),44.0)</f>
        <v>44</v>
      </c>
      <c r="J144" s="461">
        <f>IFERROR(__xludf.DUMMYFUNCTION("""COMPUTED_VALUE"""),44.0)</f>
        <v>44</v>
      </c>
      <c r="K144" s="461">
        <f>IFERROR(__xludf.DUMMYFUNCTION("""COMPUTED_VALUE"""),44.0)</f>
        <v>44</v>
      </c>
      <c r="L144" s="461">
        <f>IFERROR(__xludf.DUMMYFUNCTION("""COMPUTED_VALUE"""),44.0)</f>
        <v>44</v>
      </c>
      <c r="M144" s="461">
        <f>IFERROR(__xludf.DUMMYFUNCTION("""COMPUTED_VALUE"""),44.0)</f>
        <v>44</v>
      </c>
      <c r="N144" s="461">
        <f>IFERROR(__xludf.DUMMYFUNCTION("""COMPUTED_VALUE"""),44.0)</f>
        <v>44</v>
      </c>
      <c r="O144" s="461">
        <f>IFERROR(__xludf.DUMMYFUNCTION("""COMPUTED_VALUE"""),44.0)</f>
        <v>44</v>
      </c>
      <c r="P144" s="461">
        <f t="shared" si="16"/>
        <v>528</v>
      </c>
    </row>
    <row r="145" ht="14.25" customHeight="1">
      <c r="A145" s="506" t="s">
        <v>473</v>
      </c>
      <c r="B145" s="507"/>
      <c r="C145" s="505" t="s">
        <v>716</v>
      </c>
      <c r="D145" s="461">
        <f>IFERROR(__xludf.DUMMYFUNCTION("""COMPUTED_VALUE"""),110511.0)</f>
        <v>110511</v>
      </c>
      <c r="E145" s="461">
        <f>IFERROR(__xludf.DUMMYFUNCTION("""COMPUTED_VALUE"""),100641.0)</f>
        <v>100641</v>
      </c>
      <c r="F145" s="461">
        <f>IFERROR(__xludf.DUMMYFUNCTION("""COMPUTED_VALUE"""),100641.0)</f>
        <v>100641</v>
      </c>
      <c r="G145" s="461">
        <f>IFERROR(__xludf.DUMMYFUNCTION("""COMPUTED_VALUE"""),99902.0)</f>
        <v>99902</v>
      </c>
      <c r="H145" s="461">
        <f>IFERROR(__xludf.DUMMYFUNCTION("""COMPUTED_VALUE"""),98675.0)</f>
        <v>98675</v>
      </c>
      <c r="I145" s="461">
        <f>IFERROR(__xludf.DUMMYFUNCTION("""COMPUTED_VALUE"""),98675.0)</f>
        <v>98675</v>
      </c>
      <c r="J145" s="461">
        <f>IFERROR(__xludf.DUMMYFUNCTION("""COMPUTED_VALUE"""),100457.0)</f>
        <v>100457</v>
      </c>
      <c r="K145" s="461">
        <f>IFERROR(__xludf.DUMMYFUNCTION("""COMPUTED_VALUE"""),100844.0)</f>
        <v>100844</v>
      </c>
      <c r="L145" s="461">
        <f>IFERROR(__xludf.DUMMYFUNCTION("""COMPUTED_VALUE"""),102404.0)</f>
        <v>102404</v>
      </c>
      <c r="M145" s="461">
        <f>IFERROR(__xludf.DUMMYFUNCTION("""COMPUTED_VALUE"""),102520.0)</f>
        <v>102520</v>
      </c>
      <c r="N145" s="461">
        <f>IFERROR(__xludf.DUMMYFUNCTION("""COMPUTED_VALUE"""),100212.0)</f>
        <v>100212</v>
      </c>
      <c r="O145" s="461">
        <f>IFERROR(__xludf.DUMMYFUNCTION("""COMPUTED_VALUE"""),100985.0)</f>
        <v>100985</v>
      </c>
      <c r="P145" s="461">
        <f t="shared" si="16"/>
        <v>1216467</v>
      </c>
    </row>
    <row r="146" ht="14.25" customHeight="1">
      <c r="A146" s="506" t="s">
        <v>491</v>
      </c>
      <c r="B146" s="507"/>
      <c r="C146" s="505" t="s">
        <v>717</v>
      </c>
      <c r="D146" s="461">
        <f>IFERROR(__xludf.DUMMYFUNCTION("""COMPUTED_VALUE"""),3500.0)</f>
        <v>3500</v>
      </c>
      <c r="E146" s="461">
        <f>IFERROR(__xludf.DUMMYFUNCTION("""COMPUTED_VALUE"""),3500.0)</f>
        <v>3500</v>
      </c>
      <c r="F146" s="461">
        <f>IFERROR(__xludf.DUMMYFUNCTION("""COMPUTED_VALUE"""),3500.0)</f>
        <v>3500</v>
      </c>
      <c r="G146" s="461">
        <f>IFERROR(__xludf.DUMMYFUNCTION("""COMPUTED_VALUE"""),3675.0)</f>
        <v>3675</v>
      </c>
      <c r="H146" s="461">
        <f>IFERROR(__xludf.DUMMYFUNCTION("""COMPUTED_VALUE"""),3675.0)</f>
        <v>3675</v>
      </c>
      <c r="I146" s="461">
        <f>IFERROR(__xludf.DUMMYFUNCTION("""COMPUTED_VALUE"""),3675.0)</f>
        <v>3675</v>
      </c>
      <c r="J146" s="461">
        <f>IFERROR(__xludf.DUMMYFUNCTION("""COMPUTED_VALUE"""),3675.0)</f>
        <v>3675</v>
      </c>
      <c r="K146" s="461">
        <f>IFERROR(__xludf.DUMMYFUNCTION("""COMPUTED_VALUE"""),3675.0)</f>
        <v>3675</v>
      </c>
      <c r="L146" s="461">
        <f>IFERROR(__xludf.DUMMYFUNCTION("""COMPUTED_VALUE"""),3675.0)</f>
        <v>3675</v>
      </c>
      <c r="M146" s="461">
        <f>IFERROR(__xludf.DUMMYFUNCTION("""COMPUTED_VALUE"""),3675.0)</f>
        <v>3675</v>
      </c>
      <c r="N146" s="461">
        <f>IFERROR(__xludf.DUMMYFUNCTION("""COMPUTED_VALUE"""),3675.0)</f>
        <v>3675</v>
      </c>
      <c r="O146" s="461">
        <f>IFERROR(__xludf.DUMMYFUNCTION("""COMPUTED_VALUE"""),3675.0)</f>
        <v>3675</v>
      </c>
      <c r="P146" s="461">
        <f t="shared" si="16"/>
        <v>43575</v>
      </c>
    </row>
    <row r="147" ht="14.25" customHeight="1">
      <c r="A147" s="503" t="s">
        <v>494</v>
      </c>
      <c r="B147" s="504"/>
      <c r="C147" s="505" t="s">
        <v>718</v>
      </c>
      <c r="D147" s="461">
        <f>IFERROR(__xludf.DUMMYFUNCTION("""COMPUTED_VALUE"""),1650.0)</f>
        <v>1650</v>
      </c>
      <c r="E147" s="461">
        <f>IFERROR(__xludf.DUMMYFUNCTION("""COMPUTED_VALUE"""),1650.0)</f>
        <v>1650</v>
      </c>
      <c r="F147" s="461">
        <f>IFERROR(__xludf.DUMMYFUNCTION("""COMPUTED_VALUE"""),1650.0)</f>
        <v>1650</v>
      </c>
      <c r="G147" s="461">
        <f>IFERROR(__xludf.DUMMYFUNCTION("""COMPUTED_VALUE"""),1705.0)</f>
        <v>1705</v>
      </c>
      <c r="H147" s="461">
        <f>IFERROR(__xludf.DUMMYFUNCTION("""COMPUTED_VALUE"""),1705.0)</f>
        <v>1705</v>
      </c>
      <c r="I147" s="461">
        <f>IFERROR(__xludf.DUMMYFUNCTION("""COMPUTED_VALUE"""),1705.0)</f>
        <v>1705</v>
      </c>
      <c r="J147" s="461">
        <f>IFERROR(__xludf.DUMMYFUNCTION("""COMPUTED_VALUE"""),1705.0)</f>
        <v>1705</v>
      </c>
      <c r="K147" s="461">
        <f>IFERROR(__xludf.DUMMYFUNCTION("""COMPUTED_VALUE"""),1705.0)</f>
        <v>1705</v>
      </c>
      <c r="L147" s="461">
        <f>IFERROR(__xludf.DUMMYFUNCTION("""COMPUTED_VALUE"""),1705.0)</f>
        <v>1705</v>
      </c>
      <c r="M147" s="461">
        <f>IFERROR(__xludf.DUMMYFUNCTION("""COMPUTED_VALUE"""),1705.0)</f>
        <v>1705</v>
      </c>
      <c r="N147" s="461">
        <f>IFERROR(__xludf.DUMMYFUNCTION("""COMPUTED_VALUE"""),1705.0)</f>
        <v>1705</v>
      </c>
      <c r="O147" s="461">
        <f>IFERROR(__xludf.DUMMYFUNCTION("""COMPUTED_VALUE"""),1705.0)</f>
        <v>1705</v>
      </c>
      <c r="P147" s="461">
        <f t="shared" si="16"/>
        <v>20295</v>
      </c>
    </row>
    <row r="148" ht="14.25" customHeight="1">
      <c r="A148" s="506" t="s">
        <v>533</v>
      </c>
      <c r="B148" s="507"/>
      <c r="C148" s="505" t="s">
        <v>719</v>
      </c>
      <c r="D148" s="461">
        <f>IFERROR(__xludf.DUMMYFUNCTION("""COMPUTED_VALUE"""),0.0)</f>
        <v>0</v>
      </c>
      <c r="E148" s="461">
        <f>IFERROR(__xludf.DUMMYFUNCTION("""COMPUTED_VALUE"""),0.0)</f>
        <v>0</v>
      </c>
      <c r="F148" s="461">
        <f>IFERROR(__xludf.DUMMYFUNCTION("""COMPUTED_VALUE"""),0.0)</f>
        <v>0</v>
      </c>
      <c r="G148" s="461">
        <f>IFERROR(__xludf.DUMMYFUNCTION("""COMPUTED_VALUE"""),0.0)</f>
        <v>0</v>
      </c>
      <c r="H148" s="461">
        <f>IFERROR(__xludf.DUMMYFUNCTION("""COMPUTED_VALUE"""),0.0)</f>
        <v>0</v>
      </c>
      <c r="I148" s="461">
        <f>IFERROR(__xludf.DUMMYFUNCTION("""COMPUTED_VALUE"""),0.0)</f>
        <v>0</v>
      </c>
      <c r="J148" s="461">
        <f>IFERROR(__xludf.DUMMYFUNCTION("""COMPUTED_VALUE"""),0.0)</f>
        <v>0</v>
      </c>
      <c r="K148" s="461">
        <f>IFERROR(__xludf.DUMMYFUNCTION("""COMPUTED_VALUE"""),0.0)</f>
        <v>0</v>
      </c>
      <c r="L148" s="461">
        <f>IFERROR(__xludf.DUMMYFUNCTION("""COMPUTED_VALUE"""),0.0)</f>
        <v>0</v>
      </c>
      <c r="M148" s="461">
        <f>IFERROR(__xludf.DUMMYFUNCTION("""COMPUTED_VALUE"""),0.0)</f>
        <v>0</v>
      </c>
      <c r="N148" s="461">
        <f>IFERROR(__xludf.DUMMYFUNCTION("""COMPUTED_VALUE"""),0.0)</f>
        <v>0</v>
      </c>
      <c r="O148" s="461">
        <f>IFERROR(__xludf.DUMMYFUNCTION("""COMPUTED_VALUE"""),0.0)</f>
        <v>0</v>
      </c>
      <c r="P148" s="461">
        <f t="shared" si="16"/>
        <v>0</v>
      </c>
    </row>
    <row r="149" ht="14.25" customHeight="1">
      <c r="A149" s="508" t="s">
        <v>1116</v>
      </c>
      <c r="B149" s="75"/>
      <c r="C149" s="161"/>
      <c r="D149" s="509">
        <f>IFERROR(__xludf.DUMMYFUNCTION("""COMPUTED_VALUE"""),389998.0)</f>
        <v>389998</v>
      </c>
      <c r="E149" s="509">
        <f>IFERROR(__xludf.DUMMYFUNCTION("""COMPUTED_VALUE"""),348214.0)</f>
        <v>348214</v>
      </c>
      <c r="F149" s="509">
        <f>IFERROR(__xludf.DUMMYFUNCTION("""COMPUTED_VALUE"""),342373.0)</f>
        <v>342373</v>
      </c>
      <c r="G149" s="509">
        <f>IFERROR(__xludf.DUMMYFUNCTION("""COMPUTED_VALUE"""),345819.0)</f>
        <v>345819</v>
      </c>
      <c r="H149" s="509">
        <f>IFERROR(__xludf.DUMMYFUNCTION("""COMPUTED_VALUE"""),342049.0)</f>
        <v>342049</v>
      </c>
      <c r="I149" s="509">
        <f>IFERROR(__xludf.DUMMYFUNCTION("""COMPUTED_VALUE"""),341684.0)</f>
        <v>341684</v>
      </c>
      <c r="J149" s="509">
        <f>IFERROR(__xludf.DUMMYFUNCTION("""COMPUTED_VALUE"""),350365.0)</f>
        <v>350365</v>
      </c>
      <c r="K149" s="509">
        <f>IFERROR(__xludf.DUMMYFUNCTION("""COMPUTED_VALUE"""),345160.0)</f>
        <v>345160</v>
      </c>
      <c r="L149" s="509">
        <f>IFERROR(__xludf.DUMMYFUNCTION("""COMPUTED_VALUE"""),349799.0)</f>
        <v>349799</v>
      </c>
      <c r="M149" s="509">
        <f>IFERROR(__xludf.DUMMYFUNCTION("""COMPUTED_VALUE"""),349677.0)</f>
        <v>349677</v>
      </c>
      <c r="N149" s="509">
        <f>IFERROR(__xludf.DUMMYFUNCTION("""COMPUTED_VALUE"""),345655.0)</f>
        <v>345655</v>
      </c>
      <c r="O149" s="509">
        <f>IFERROR(__xludf.DUMMYFUNCTION("""COMPUTED_VALUE"""),346783.0)</f>
        <v>346783</v>
      </c>
      <c r="P149" s="509">
        <f>sum(P127:P148)</f>
        <v>4197576</v>
      </c>
    </row>
    <row r="150" ht="14.25" customHeight="1">
      <c r="A150" s="510" t="s">
        <v>913</v>
      </c>
      <c r="B150" s="511"/>
      <c r="C150" s="512"/>
      <c r="D150" s="513">
        <f>IFERROR(__xludf.DUMMYFUNCTION("""COMPUTED_VALUE"""),1766389.4511807156)</f>
        <v>1766389.451</v>
      </c>
      <c r="E150" s="513">
        <f>IFERROR(__xludf.DUMMYFUNCTION("""COMPUTED_VALUE"""),1576988.9762043958)</f>
        <v>1576988.976</v>
      </c>
      <c r="F150" s="513">
        <f>IFERROR(__xludf.DUMMYFUNCTION("""COMPUTED_VALUE"""),1506114.432687949)</f>
        <v>1506114.433</v>
      </c>
      <c r="G150" s="513">
        <f>IFERROR(__xludf.DUMMYFUNCTION("""COMPUTED_VALUE"""),1583664.2018681502)</f>
        <v>1583664.202</v>
      </c>
      <c r="H150" s="513">
        <f>IFERROR(__xludf.DUMMYFUNCTION("""COMPUTED_VALUE"""),1444628.1394509254)</f>
        <v>1444628.139</v>
      </c>
      <c r="I150" s="513">
        <f>IFERROR(__xludf.DUMMYFUNCTION("""COMPUTED_VALUE"""),1460758.332876597)</f>
        <v>1460758.333</v>
      </c>
      <c r="J150" s="513">
        <f>IFERROR(__xludf.DUMMYFUNCTION("""COMPUTED_VALUE"""),1502520.0935044247)</f>
        <v>1502520.094</v>
      </c>
      <c r="K150" s="513">
        <f>IFERROR(__xludf.DUMMYFUNCTION("""COMPUTED_VALUE"""),1494258.3023136603)</f>
        <v>1494258.302</v>
      </c>
      <c r="L150" s="513">
        <f>IFERROR(__xludf.DUMMYFUNCTION("""COMPUTED_VALUE"""),1473085.0704145567)</f>
        <v>1473085.07</v>
      </c>
      <c r="M150" s="513">
        <f>IFERROR(__xludf.DUMMYFUNCTION("""COMPUTED_VALUE"""),1567558.4612408252)</f>
        <v>1567558.461</v>
      </c>
      <c r="N150" s="513">
        <f>IFERROR(__xludf.DUMMYFUNCTION("""COMPUTED_VALUE"""),1471200.3361546518)</f>
        <v>1471200.336</v>
      </c>
      <c r="O150" s="513">
        <f>IFERROR(__xludf.DUMMYFUNCTION("""COMPUTED_VALUE"""),1431460.8745077346)</f>
        <v>1431460.875</v>
      </c>
      <c r="P150" s="513">
        <f>P149+P126+P113</f>
        <v>18278626.67</v>
      </c>
    </row>
    <row r="151" ht="14.25" customHeight="1">
      <c r="A151" s="500"/>
      <c r="B151" s="514"/>
      <c r="C151" s="515" t="s">
        <v>914</v>
      </c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2"/>
      <c r="O151" s="462"/>
      <c r="P151" s="461">
        <f t="shared" ref="P151:P170" si="17">sum(D151:O151)</f>
        <v>0</v>
      </c>
    </row>
    <row r="152" ht="14.25" customHeight="1">
      <c r="A152" s="500" t="s">
        <v>915</v>
      </c>
      <c r="B152" s="516"/>
      <c r="C152" s="505" t="s">
        <v>904</v>
      </c>
      <c r="D152" s="461">
        <f>IFERROR(__xludf.DUMMYFUNCTION("""COMPUTED_VALUE"""),0.0)</f>
        <v>0</v>
      </c>
      <c r="E152" s="461">
        <f>IFERROR(__xludf.DUMMYFUNCTION("""COMPUTED_VALUE"""),0.0)</f>
        <v>0</v>
      </c>
      <c r="F152" s="461">
        <f>IFERROR(__xludf.DUMMYFUNCTION("""COMPUTED_VALUE"""),0.0)</f>
        <v>0</v>
      </c>
      <c r="G152" s="461">
        <f>IFERROR(__xludf.DUMMYFUNCTION("""COMPUTED_VALUE"""),0.0)</f>
        <v>0</v>
      </c>
      <c r="H152" s="461">
        <f>IFERROR(__xludf.DUMMYFUNCTION("""COMPUTED_VALUE"""),0.0)</f>
        <v>0</v>
      </c>
      <c r="I152" s="461">
        <f>IFERROR(__xludf.DUMMYFUNCTION("""COMPUTED_VALUE"""),0.0)</f>
        <v>0</v>
      </c>
      <c r="J152" s="461">
        <f>IFERROR(__xludf.DUMMYFUNCTION("""COMPUTED_VALUE"""),0.0)</f>
        <v>0</v>
      </c>
      <c r="K152" s="461">
        <f>IFERROR(__xludf.DUMMYFUNCTION("""COMPUTED_VALUE"""),0.0)</f>
        <v>0</v>
      </c>
      <c r="L152" s="461">
        <f>IFERROR(__xludf.DUMMYFUNCTION("""COMPUTED_VALUE"""),0.0)</f>
        <v>0</v>
      </c>
      <c r="M152" s="461">
        <f>IFERROR(__xludf.DUMMYFUNCTION("""COMPUTED_VALUE"""),0.0)</f>
        <v>0</v>
      </c>
      <c r="N152" s="461">
        <f>IFERROR(__xludf.DUMMYFUNCTION("""COMPUTED_VALUE"""),0.0)</f>
        <v>0</v>
      </c>
      <c r="O152" s="461">
        <f>IFERROR(__xludf.DUMMYFUNCTION("""COMPUTED_VALUE"""),0.0)</f>
        <v>0</v>
      </c>
      <c r="P152" s="461">
        <f t="shared" si="17"/>
        <v>0</v>
      </c>
    </row>
    <row r="153" ht="14.25" customHeight="1">
      <c r="A153" s="500" t="s">
        <v>916</v>
      </c>
      <c r="B153" s="516"/>
      <c r="C153" s="505" t="s">
        <v>917</v>
      </c>
      <c r="D153" s="461">
        <f>IFERROR(__xludf.DUMMYFUNCTION("""COMPUTED_VALUE"""),0.0)</f>
        <v>0</v>
      </c>
      <c r="E153" s="461">
        <f>IFERROR(__xludf.DUMMYFUNCTION("""COMPUTED_VALUE"""),0.0)</f>
        <v>0</v>
      </c>
      <c r="F153" s="461">
        <f>IFERROR(__xludf.DUMMYFUNCTION("""COMPUTED_VALUE"""),0.0)</f>
        <v>0</v>
      </c>
      <c r="G153" s="461">
        <f>IFERROR(__xludf.DUMMYFUNCTION("""COMPUTED_VALUE"""),0.0)</f>
        <v>0</v>
      </c>
      <c r="H153" s="461">
        <f>IFERROR(__xludf.DUMMYFUNCTION("""COMPUTED_VALUE"""),0.0)</f>
        <v>0</v>
      </c>
      <c r="I153" s="461">
        <f>IFERROR(__xludf.DUMMYFUNCTION("""COMPUTED_VALUE"""),0.0)</f>
        <v>0</v>
      </c>
      <c r="J153" s="461">
        <f>IFERROR(__xludf.DUMMYFUNCTION("""COMPUTED_VALUE"""),0.0)</f>
        <v>0</v>
      </c>
      <c r="K153" s="461">
        <f>IFERROR(__xludf.DUMMYFUNCTION("""COMPUTED_VALUE"""),0.0)</f>
        <v>0</v>
      </c>
      <c r="L153" s="461">
        <f>IFERROR(__xludf.DUMMYFUNCTION("""COMPUTED_VALUE"""),0.0)</f>
        <v>0</v>
      </c>
      <c r="M153" s="461">
        <f>IFERROR(__xludf.DUMMYFUNCTION("""COMPUTED_VALUE"""),0.0)</f>
        <v>0</v>
      </c>
      <c r="N153" s="461">
        <f>IFERROR(__xludf.DUMMYFUNCTION("""COMPUTED_VALUE"""),0.0)</f>
        <v>0</v>
      </c>
      <c r="O153" s="461">
        <f>IFERROR(__xludf.DUMMYFUNCTION("""COMPUTED_VALUE"""),0.0)</f>
        <v>0</v>
      </c>
      <c r="P153" s="461">
        <f t="shared" si="17"/>
        <v>0</v>
      </c>
    </row>
    <row r="154" ht="14.25" customHeight="1">
      <c r="A154" s="500" t="s">
        <v>918</v>
      </c>
      <c r="B154" s="516"/>
      <c r="C154" s="505" t="s">
        <v>1117</v>
      </c>
      <c r="D154" s="461">
        <f>IFERROR(__xludf.DUMMYFUNCTION("""COMPUTED_VALUE"""),0.0)</f>
        <v>0</v>
      </c>
      <c r="E154" s="461">
        <f>IFERROR(__xludf.DUMMYFUNCTION("""COMPUTED_VALUE"""),0.0)</f>
        <v>0</v>
      </c>
      <c r="F154" s="461">
        <f>IFERROR(__xludf.DUMMYFUNCTION("""COMPUTED_VALUE"""),0.0)</f>
        <v>0</v>
      </c>
      <c r="G154" s="461">
        <f>IFERROR(__xludf.DUMMYFUNCTION("""COMPUTED_VALUE"""),0.0)</f>
        <v>0</v>
      </c>
      <c r="H154" s="461">
        <f>IFERROR(__xludf.DUMMYFUNCTION("""COMPUTED_VALUE"""),0.0)</f>
        <v>0</v>
      </c>
      <c r="I154" s="461">
        <f>IFERROR(__xludf.DUMMYFUNCTION("""COMPUTED_VALUE"""),0.0)</f>
        <v>0</v>
      </c>
      <c r="J154" s="461">
        <f>IFERROR(__xludf.DUMMYFUNCTION("""COMPUTED_VALUE"""),0.0)</f>
        <v>0</v>
      </c>
      <c r="K154" s="461">
        <f>IFERROR(__xludf.DUMMYFUNCTION("""COMPUTED_VALUE"""),0.0)</f>
        <v>0</v>
      </c>
      <c r="L154" s="461">
        <f>IFERROR(__xludf.DUMMYFUNCTION("""COMPUTED_VALUE"""),0.0)</f>
        <v>0</v>
      </c>
      <c r="M154" s="461">
        <f>IFERROR(__xludf.DUMMYFUNCTION("""COMPUTED_VALUE"""),0.0)</f>
        <v>0</v>
      </c>
      <c r="N154" s="461">
        <f>IFERROR(__xludf.DUMMYFUNCTION("""COMPUTED_VALUE"""),0.0)</f>
        <v>0</v>
      </c>
      <c r="O154" s="461">
        <f>IFERROR(__xludf.DUMMYFUNCTION("""COMPUTED_VALUE"""),0.0)</f>
        <v>0</v>
      </c>
      <c r="P154" s="461">
        <f t="shared" si="17"/>
        <v>0</v>
      </c>
    </row>
    <row r="155" ht="14.25" customHeight="1">
      <c r="A155" s="503" t="s">
        <v>920</v>
      </c>
      <c r="B155" s="504"/>
      <c r="C155" s="505" t="s">
        <v>921</v>
      </c>
      <c r="D155" s="461">
        <f>IFERROR(__xludf.DUMMYFUNCTION("""COMPUTED_VALUE"""),4250.0)</f>
        <v>4250</v>
      </c>
      <c r="E155" s="461">
        <f>IFERROR(__xludf.DUMMYFUNCTION("""COMPUTED_VALUE"""),4250.0)</f>
        <v>4250</v>
      </c>
      <c r="F155" s="461">
        <f>IFERROR(__xludf.DUMMYFUNCTION("""COMPUTED_VALUE"""),4250.0)</f>
        <v>4250</v>
      </c>
      <c r="G155" s="461">
        <f>IFERROR(__xludf.DUMMYFUNCTION("""COMPUTED_VALUE"""),4250.0)</f>
        <v>4250</v>
      </c>
      <c r="H155" s="461">
        <f>IFERROR(__xludf.DUMMYFUNCTION("""COMPUTED_VALUE"""),4250.0)</f>
        <v>4250</v>
      </c>
      <c r="I155" s="461">
        <f>IFERROR(__xludf.DUMMYFUNCTION("""COMPUTED_VALUE"""),4250.0)</f>
        <v>4250</v>
      </c>
      <c r="J155" s="461">
        <f>IFERROR(__xludf.DUMMYFUNCTION("""COMPUTED_VALUE"""),4250.0)</f>
        <v>4250</v>
      </c>
      <c r="K155" s="461">
        <f>IFERROR(__xludf.DUMMYFUNCTION("""COMPUTED_VALUE"""),4250.0)</f>
        <v>4250</v>
      </c>
      <c r="L155" s="461">
        <f>IFERROR(__xludf.DUMMYFUNCTION("""COMPUTED_VALUE"""),4250.0)</f>
        <v>4250</v>
      </c>
      <c r="M155" s="461">
        <f>IFERROR(__xludf.DUMMYFUNCTION("""COMPUTED_VALUE"""),4250.0)</f>
        <v>4250</v>
      </c>
      <c r="N155" s="461">
        <f>IFERROR(__xludf.DUMMYFUNCTION("""COMPUTED_VALUE"""),4250.0)</f>
        <v>4250</v>
      </c>
      <c r="O155" s="461">
        <f>IFERROR(__xludf.DUMMYFUNCTION("""COMPUTED_VALUE"""),4250.0)</f>
        <v>4250</v>
      </c>
      <c r="P155" s="461">
        <f t="shared" si="17"/>
        <v>51000</v>
      </c>
    </row>
    <row r="156" ht="14.25" customHeight="1">
      <c r="A156" s="503" t="s">
        <v>922</v>
      </c>
      <c r="B156" s="504"/>
      <c r="C156" s="505" t="s">
        <v>923</v>
      </c>
      <c r="D156" s="461">
        <f>IFERROR(__xludf.DUMMYFUNCTION("""COMPUTED_VALUE"""),0.0)</f>
        <v>0</v>
      </c>
      <c r="E156" s="461">
        <f>IFERROR(__xludf.DUMMYFUNCTION("""COMPUTED_VALUE"""),0.0)</f>
        <v>0</v>
      </c>
      <c r="F156" s="461">
        <f>IFERROR(__xludf.DUMMYFUNCTION("""COMPUTED_VALUE"""),0.0)</f>
        <v>0</v>
      </c>
      <c r="G156" s="461">
        <f>IFERROR(__xludf.DUMMYFUNCTION("""COMPUTED_VALUE"""),0.0)</f>
        <v>0</v>
      </c>
      <c r="H156" s="461">
        <f>IFERROR(__xludf.DUMMYFUNCTION("""COMPUTED_VALUE"""),0.0)</f>
        <v>0</v>
      </c>
      <c r="I156" s="461">
        <f>IFERROR(__xludf.DUMMYFUNCTION("""COMPUTED_VALUE"""),0.0)</f>
        <v>0</v>
      </c>
      <c r="J156" s="461">
        <f>IFERROR(__xludf.DUMMYFUNCTION("""COMPUTED_VALUE"""),0.0)</f>
        <v>0</v>
      </c>
      <c r="K156" s="461">
        <f>IFERROR(__xludf.DUMMYFUNCTION("""COMPUTED_VALUE"""),0.0)</f>
        <v>0</v>
      </c>
      <c r="L156" s="461">
        <f>IFERROR(__xludf.DUMMYFUNCTION("""COMPUTED_VALUE"""),0.0)</f>
        <v>0</v>
      </c>
      <c r="M156" s="461">
        <f>IFERROR(__xludf.DUMMYFUNCTION("""COMPUTED_VALUE"""),0.0)</f>
        <v>0</v>
      </c>
      <c r="N156" s="461">
        <f>IFERROR(__xludf.DUMMYFUNCTION("""COMPUTED_VALUE"""),0.0)</f>
        <v>0</v>
      </c>
      <c r="O156" s="461">
        <f>IFERROR(__xludf.DUMMYFUNCTION("""COMPUTED_VALUE"""),0.0)</f>
        <v>0</v>
      </c>
      <c r="P156" s="461">
        <f t="shared" si="17"/>
        <v>0</v>
      </c>
    </row>
    <row r="157" ht="14.25" customHeight="1">
      <c r="A157" s="503" t="s">
        <v>924</v>
      </c>
      <c r="B157" s="504"/>
      <c r="C157" s="505" t="s">
        <v>907</v>
      </c>
      <c r="D157" s="461">
        <f>IFERROR(__xludf.DUMMYFUNCTION("""COMPUTED_VALUE"""),0.0)</f>
        <v>0</v>
      </c>
      <c r="E157" s="461">
        <f>IFERROR(__xludf.DUMMYFUNCTION("""COMPUTED_VALUE"""),0.0)</f>
        <v>0</v>
      </c>
      <c r="F157" s="461">
        <f>IFERROR(__xludf.DUMMYFUNCTION("""COMPUTED_VALUE"""),0.0)</f>
        <v>0</v>
      </c>
      <c r="G157" s="461">
        <f>IFERROR(__xludf.DUMMYFUNCTION("""COMPUTED_VALUE"""),0.0)</f>
        <v>0</v>
      </c>
      <c r="H157" s="461">
        <f>IFERROR(__xludf.DUMMYFUNCTION("""COMPUTED_VALUE"""),0.0)</f>
        <v>0</v>
      </c>
      <c r="I157" s="461">
        <f>IFERROR(__xludf.DUMMYFUNCTION("""COMPUTED_VALUE"""),0.0)</f>
        <v>0</v>
      </c>
      <c r="J157" s="461">
        <f>IFERROR(__xludf.DUMMYFUNCTION("""COMPUTED_VALUE"""),0.0)</f>
        <v>0</v>
      </c>
      <c r="K157" s="461">
        <f>IFERROR(__xludf.DUMMYFUNCTION("""COMPUTED_VALUE"""),0.0)</f>
        <v>0</v>
      </c>
      <c r="L157" s="461">
        <f>IFERROR(__xludf.DUMMYFUNCTION("""COMPUTED_VALUE"""),0.0)</f>
        <v>0</v>
      </c>
      <c r="M157" s="461">
        <f>IFERROR(__xludf.DUMMYFUNCTION("""COMPUTED_VALUE"""),0.0)</f>
        <v>0</v>
      </c>
      <c r="N157" s="461">
        <f>IFERROR(__xludf.DUMMYFUNCTION("""COMPUTED_VALUE"""),0.0)</f>
        <v>0</v>
      </c>
      <c r="O157" s="461">
        <f>IFERROR(__xludf.DUMMYFUNCTION("""COMPUTED_VALUE"""),0.0)</f>
        <v>0</v>
      </c>
      <c r="P157" s="461">
        <f t="shared" si="17"/>
        <v>0</v>
      </c>
    </row>
    <row r="158" ht="14.25" customHeight="1">
      <c r="A158" s="503" t="s">
        <v>925</v>
      </c>
      <c r="B158" s="504"/>
      <c r="C158" s="505" t="s">
        <v>926</v>
      </c>
      <c r="D158" s="461">
        <f>IFERROR(__xludf.DUMMYFUNCTION("""COMPUTED_VALUE"""),0.0)</f>
        <v>0</v>
      </c>
      <c r="E158" s="461">
        <f>IFERROR(__xludf.DUMMYFUNCTION("""COMPUTED_VALUE"""),0.0)</f>
        <v>0</v>
      </c>
      <c r="F158" s="461">
        <f>IFERROR(__xludf.DUMMYFUNCTION("""COMPUTED_VALUE"""),0.0)</f>
        <v>0</v>
      </c>
      <c r="G158" s="461">
        <f>IFERROR(__xludf.DUMMYFUNCTION("""COMPUTED_VALUE"""),0.0)</f>
        <v>0</v>
      </c>
      <c r="H158" s="461">
        <f>IFERROR(__xludf.DUMMYFUNCTION("""COMPUTED_VALUE"""),0.0)</f>
        <v>0</v>
      </c>
      <c r="I158" s="461">
        <f>IFERROR(__xludf.DUMMYFUNCTION("""COMPUTED_VALUE"""),0.0)</f>
        <v>0</v>
      </c>
      <c r="J158" s="461">
        <f>IFERROR(__xludf.DUMMYFUNCTION("""COMPUTED_VALUE"""),0.0)</f>
        <v>0</v>
      </c>
      <c r="K158" s="461">
        <f>IFERROR(__xludf.DUMMYFUNCTION("""COMPUTED_VALUE"""),0.0)</f>
        <v>0</v>
      </c>
      <c r="L158" s="461">
        <f>IFERROR(__xludf.DUMMYFUNCTION("""COMPUTED_VALUE"""),0.0)</f>
        <v>0</v>
      </c>
      <c r="M158" s="461">
        <f>IFERROR(__xludf.DUMMYFUNCTION("""COMPUTED_VALUE"""),0.0)</f>
        <v>0</v>
      </c>
      <c r="N158" s="461">
        <f>IFERROR(__xludf.DUMMYFUNCTION("""COMPUTED_VALUE"""),0.0)</f>
        <v>0</v>
      </c>
      <c r="O158" s="461">
        <f>IFERROR(__xludf.DUMMYFUNCTION("""COMPUTED_VALUE"""),0.0)</f>
        <v>0</v>
      </c>
      <c r="P158" s="461">
        <f t="shared" si="17"/>
        <v>0</v>
      </c>
    </row>
    <row r="159" ht="14.25" customHeight="1">
      <c r="A159" s="503" t="s">
        <v>927</v>
      </c>
      <c r="B159" s="504"/>
      <c r="C159" s="514" t="s">
        <v>928</v>
      </c>
      <c r="D159" s="461">
        <f>IFERROR(__xludf.DUMMYFUNCTION("""COMPUTED_VALUE"""),0.0)</f>
        <v>0</v>
      </c>
      <c r="E159" s="461">
        <f>IFERROR(__xludf.DUMMYFUNCTION("""COMPUTED_VALUE"""),0.0)</f>
        <v>0</v>
      </c>
      <c r="F159" s="461">
        <f>IFERROR(__xludf.DUMMYFUNCTION("""COMPUTED_VALUE"""),0.0)</f>
        <v>0</v>
      </c>
      <c r="G159" s="461">
        <f>IFERROR(__xludf.DUMMYFUNCTION("""COMPUTED_VALUE"""),0.0)</f>
        <v>0</v>
      </c>
      <c r="H159" s="461">
        <f>IFERROR(__xludf.DUMMYFUNCTION("""COMPUTED_VALUE"""),0.0)</f>
        <v>0</v>
      </c>
      <c r="I159" s="461">
        <f>IFERROR(__xludf.DUMMYFUNCTION("""COMPUTED_VALUE"""),0.0)</f>
        <v>0</v>
      </c>
      <c r="J159" s="461">
        <f>IFERROR(__xludf.DUMMYFUNCTION("""COMPUTED_VALUE"""),0.0)</f>
        <v>0</v>
      </c>
      <c r="K159" s="461">
        <f>IFERROR(__xludf.DUMMYFUNCTION("""COMPUTED_VALUE"""),0.0)</f>
        <v>0</v>
      </c>
      <c r="L159" s="461">
        <f>IFERROR(__xludf.DUMMYFUNCTION("""COMPUTED_VALUE"""),0.0)</f>
        <v>0</v>
      </c>
      <c r="M159" s="461">
        <f>IFERROR(__xludf.DUMMYFUNCTION("""COMPUTED_VALUE"""),0.0)</f>
        <v>0</v>
      </c>
      <c r="N159" s="461">
        <f>IFERROR(__xludf.DUMMYFUNCTION("""COMPUTED_VALUE"""),0.0)</f>
        <v>0</v>
      </c>
      <c r="O159" s="461">
        <f>IFERROR(__xludf.DUMMYFUNCTION("""COMPUTED_VALUE"""),0.0)</f>
        <v>0</v>
      </c>
      <c r="P159" s="461">
        <f t="shared" si="17"/>
        <v>0</v>
      </c>
    </row>
    <row r="160" ht="14.25" customHeight="1">
      <c r="A160" s="503" t="s">
        <v>929</v>
      </c>
      <c r="B160" s="504"/>
      <c r="C160" s="514" t="s">
        <v>930</v>
      </c>
      <c r="D160" s="461">
        <f>IFERROR(__xludf.DUMMYFUNCTION("""COMPUTED_VALUE"""),0.0)</f>
        <v>0</v>
      </c>
      <c r="E160" s="461">
        <f>IFERROR(__xludf.DUMMYFUNCTION("""COMPUTED_VALUE"""),0.0)</f>
        <v>0</v>
      </c>
      <c r="F160" s="461">
        <f>IFERROR(__xludf.DUMMYFUNCTION("""COMPUTED_VALUE"""),0.0)</f>
        <v>0</v>
      </c>
      <c r="G160" s="461">
        <f>IFERROR(__xludf.DUMMYFUNCTION("""COMPUTED_VALUE"""),0.0)</f>
        <v>0</v>
      </c>
      <c r="H160" s="461">
        <f>IFERROR(__xludf.DUMMYFUNCTION("""COMPUTED_VALUE"""),0.0)</f>
        <v>0</v>
      </c>
      <c r="I160" s="461">
        <f>IFERROR(__xludf.DUMMYFUNCTION("""COMPUTED_VALUE"""),0.0)</f>
        <v>0</v>
      </c>
      <c r="J160" s="461">
        <f>IFERROR(__xludf.DUMMYFUNCTION("""COMPUTED_VALUE"""),0.0)</f>
        <v>0</v>
      </c>
      <c r="K160" s="461">
        <f>IFERROR(__xludf.DUMMYFUNCTION("""COMPUTED_VALUE"""),0.0)</f>
        <v>0</v>
      </c>
      <c r="L160" s="461">
        <f>IFERROR(__xludf.DUMMYFUNCTION("""COMPUTED_VALUE"""),0.0)</f>
        <v>0</v>
      </c>
      <c r="M160" s="461">
        <f>IFERROR(__xludf.DUMMYFUNCTION("""COMPUTED_VALUE"""),0.0)</f>
        <v>0</v>
      </c>
      <c r="N160" s="461">
        <f>IFERROR(__xludf.DUMMYFUNCTION("""COMPUTED_VALUE"""),0.0)</f>
        <v>0</v>
      </c>
      <c r="O160" s="461">
        <f>IFERROR(__xludf.DUMMYFUNCTION("""COMPUTED_VALUE"""),0.0)</f>
        <v>0</v>
      </c>
      <c r="P160" s="461">
        <f t="shared" si="17"/>
        <v>0</v>
      </c>
    </row>
    <row r="161" ht="14.25" customHeight="1">
      <c r="A161" s="503" t="s">
        <v>931</v>
      </c>
      <c r="B161" s="504"/>
      <c r="C161" s="514" t="s">
        <v>932</v>
      </c>
      <c r="D161" s="461">
        <f>IFERROR(__xludf.DUMMYFUNCTION("""COMPUTED_VALUE"""),12500.0)</f>
        <v>12500</v>
      </c>
      <c r="E161" s="461">
        <f>IFERROR(__xludf.DUMMYFUNCTION("""COMPUTED_VALUE"""),12500.0)</f>
        <v>12500</v>
      </c>
      <c r="F161" s="461">
        <f>IFERROR(__xludf.DUMMYFUNCTION("""COMPUTED_VALUE"""),12500.0)</f>
        <v>12500</v>
      </c>
      <c r="G161" s="461">
        <f>IFERROR(__xludf.DUMMYFUNCTION("""COMPUTED_VALUE"""),12500.0)</f>
        <v>12500</v>
      </c>
      <c r="H161" s="461">
        <f>IFERROR(__xludf.DUMMYFUNCTION("""COMPUTED_VALUE"""),12500.0)</f>
        <v>12500</v>
      </c>
      <c r="I161" s="461">
        <f>IFERROR(__xludf.DUMMYFUNCTION("""COMPUTED_VALUE"""),12500.0)</f>
        <v>12500</v>
      </c>
      <c r="J161" s="461">
        <f>IFERROR(__xludf.DUMMYFUNCTION("""COMPUTED_VALUE"""),12500.0)</f>
        <v>12500</v>
      </c>
      <c r="K161" s="461">
        <f>IFERROR(__xludf.DUMMYFUNCTION("""COMPUTED_VALUE"""),12500.0)</f>
        <v>12500</v>
      </c>
      <c r="L161" s="461">
        <f>IFERROR(__xludf.DUMMYFUNCTION("""COMPUTED_VALUE"""),12500.0)</f>
        <v>12500</v>
      </c>
      <c r="M161" s="461">
        <f>IFERROR(__xludf.DUMMYFUNCTION("""COMPUTED_VALUE"""),12500.0)</f>
        <v>12500</v>
      </c>
      <c r="N161" s="461">
        <f>IFERROR(__xludf.DUMMYFUNCTION("""COMPUTED_VALUE"""),12500.0)</f>
        <v>12500</v>
      </c>
      <c r="O161" s="461">
        <f>IFERROR(__xludf.DUMMYFUNCTION("""COMPUTED_VALUE"""),12500.0)</f>
        <v>12500</v>
      </c>
      <c r="P161" s="461">
        <f t="shared" si="17"/>
        <v>150000</v>
      </c>
    </row>
    <row r="162" ht="14.25" customHeight="1">
      <c r="A162" s="503" t="s">
        <v>933</v>
      </c>
      <c r="B162" s="504"/>
      <c r="C162" s="514" t="s">
        <v>934</v>
      </c>
      <c r="D162" s="461">
        <f>IFERROR(__xludf.DUMMYFUNCTION("""COMPUTED_VALUE"""),0.0)</f>
        <v>0</v>
      </c>
      <c r="E162" s="461">
        <f>IFERROR(__xludf.DUMMYFUNCTION("""COMPUTED_VALUE"""),0.0)</f>
        <v>0</v>
      </c>
      <c r="F162" s="461">
        <f>IFERROR(__xludf.DUMMYFUNCTION("""COMPUTED_VALUE"""),0.0)</f>
        <v>0</v>
      </c>
      <c r="G162" s="461">
        <f>IFERROR(__xludf.DUMMYFUNCTION("""COMPUTED_VALUE"""),0.0)</f>
        <v>0</v>
      </c>
      <c r="H162" s="461">
        <f>IFERROR(__xludf.DUMMYFUNCTION("""COMPUTED_VALUE"""),0.0)</f>
        <v>0</v>
      </c>
      <c r="I162" s="461">
        <f>IFERROR(__xludf.DUMMYFUNCTION("""COMPUTED_VALUE"""),0.0)</f>
        <v>0</v>
      </c>
      <c r="J162" s="461">
        <f>IFERROR(__xludf.DUMMYFUNCTION("""COMPUTED_VALUE"""),0.0)</f>
        <v>0</v>
      </c>
      <c r="K162" s="461">
        <f>IFERROR(__xludf.DUMMYFUNCTION("""COMPUTED_VALUE"""),0.0)</f>
        <v>0</v>
      </c>
      <c r="L162" s="461">
        <f>IFERROR(__xludf.DUMMYFUNCTION("""COMPUTED_VALUE"""),0.0)</f>
        <v>0</v>
      </c>
      <c r="M162" s="461">
        <f>IFERROR(__xludf.DUMMYFUNCTION("""COMPUTED_VALUE"""),0.0)</f>
        <v>0</v>
      </c>
      <c r="N162" s="461">
        <f>IFERROR(__xludf.DUMMYFUNCTION("""COMPUTED_VALUE"""),0.0)</f>
        <v>0</v>
      </c>
      <c r="O162" s="461">
        <f>IFERROR(__xludf.DUMMYFUNCTION("""COMPUTED_VALUE"""),0.0)</f>
        <v>0</v>
      </c>
      <c r="P162" s="461">
        <f t="shared" si="17"/>
        <v>0</v>
      </c>
    </row>
    <row r="163" ht="14.25" customHeight="1">
      <c r="A163" s="503" t="s">
        <v>935</v>
      </c>
      <c r="B163" s="504"/>
      <c r="C163" s="514" t="s">
        <v>936</v>
      </c>
      <c r="D163" s="461">
        <f>IFERROR(__xludf.DUMMYFUNCTION("""COMPUTED_VALUE"""),0.0)</f>
        <v>0</v>
      </c>
      <c r="E163" s="461">
        <f>IFERROR(__xludf.DUMMYFUNCTION("""COMPUTED_VALUE"""),0.0)</f>
        <v>0</v>
      </c>
      <c r="F163" s="461">
        <f>IFERROR(__xludf.DUMMYFUNCTION("""COMPUTED_VALUE"""),0.0)</f>
        <v>0</v>
      </c>
      <c r="G163" s="461">
        <f>IFERROR(__xludf.DUMMYFUNCTION("""COMPUTED_VALUE"""),0.0)</f>
        <v>0</v>
      </c>
      <c r="H163" s="461">
        <f>IFERROR(__xludf.DUMMYFUNCTION("""COMPUTED_VALUE"""),0.0)</f>
        <v>0</v>
      </c>
      <c r="I163" s="461">
        <f>IFERROR(__xludf.DUMMYFUNCTION("""COMPUTED_VALUE"""),0.0)</f>
        <v>0</v>
      </c>
      <c r="J163" s="461">
        <f>IFERROR(__xludf.DUMMYFUNCTION("""COMPUTED_VALUE"""),0.0)</f>
        <v>0</v>
      </c>
      <c r="K163" s="461">
        <f>IFERROR(__xludf.DUMMYFUNCTION("""COMPUTED_VALUE"""),0.0)</f>
        <v>0</v>
      </c>
      <c r="L163" s="461">
        <f>IFERROR(__xludf.DUMMYFUNCTION("""COMPUTED_VALUE"""),0.0)</f>
        <v>0</v>
      </c>
      <c r="M163" s="461">
        <f>IFERROR(__xludf.DUMMYFUNCTION("""COMPUTED_VALUE"""),0.0)</f>
        <v>0</v>
      </c>
      <c r="N163" s="461">
        <f>IFERROR(__xludf.DUMMYFUNCTION("""COMPUTED_VALUE"""),0.0)</f>
        <v>0</v>
      </c>
      <c r="O163" s="461">
        <f>IFERROR(__xludf.DUMMYFUNCTION("""COMPUTED_VALUE"""),0.0)</f>
        <v>0</v>
      </c>
      <c r="P163" s="461">
        <f t="shared" si="17"/>
        <v>0</v>
      </c>
    </row>
    <row r="164" ht="14.25" customHeight="1">
      <c r="A164" s="503" t="s">
        <v>937</v>
      </c>
      <c r="B164" s="504"/>
      <c r="C164" s="514" t="s">
        <v>938</v>
      </c>
      <c r="D164" s="461">
        <f>IFERROR(__xludf.DUMMYFUNCTION("""COMPUTED_VALUE"""),675.0)</f>
        <v>675</v>
      </c>
      <c r="E164" s="461">
        <f>IFERROR(__xludf.DUMMYFUNCTION("""COMPUTED_VALUE"""),675.0)</f>
        <v>675</v>
      </c>
      <c r="F164" s="461">
        <f>IFERROR(__xludf.DUMMYFUNCTION("""COMPUTED_VALUE"""),675.0)</f>
        <v>675</v>
      </c>
      <c r="G164" s="461">
        <f>IFERROR(__xludf.DUMMYFUNCTION("""COMPUTED_VALUE"""),675.0)</f>
        <v>675</v>
      </c>
      <c r="H164" s="461">
        <f>IFERROR(__xludf.DUMMYFUNCTION("""COMPUTED_VALUE"""),675.0)</f>
        <v>675</v>
      </c>
      <c r="I164" s="461">
        <f>IFERROR(__xludf.DUMMYFUNCTION("""COMPUTED_VALUE"""),675.0)</f>
        <v>675</v>
      </c>
      <c r="J164" s="461">
        <f>IFERROR(__xludf.DUMMYFUNCTION("""COMPUTED_VALUE"""),0.0)</f>
        <v>0</v>
      </c>
      <c r="K164" s="461">
        <f>IFERROR(__xludf.DUMMYFUNCTION("""COMPUTED_VALUE"""),0.0)</f>
        <v>0</v>
      </c>
      <c r="L164" s="461">
        <f>IFERROR(__xludf.DUMMYFUNCTION("""COMPUTED_VALUE"""),0.0)</f>
        <v>0</v>
      </c>
      <c r="M164" s="461">
        <f>IFERROR(__xludf.DUMMYFUNCTION("""COMPUTED_VALUE"""),675.0)</f>
        <v>675</v>
      </c>
      <c r="N164" s="461">
        <f>IFERROR(__xludf.DUMMYFUNCTION("""COMPUTED_VALUE"""),675.0)</f>
        <v>675</v>
      </c>
      <c r="O164" s="461">
        <f>IFERROR(__xludf.DUMMYFUNCTION("""COMPUTED_VALUE"""),675.0)</f>
        <v>675</v>
      </c>
      <c r="P164" s="461">
        <f t="shared" si="17"/>
        <v>6075</v>
      </c>
    </row>
    <row r="165" ht="14.25" customHeight="1">
      <c r="A165" s="503" t="s">
        <v>939</v>
      </c>
      <c r="B165" s="504"/>
      <c r="C165" s="514" t="s">
        <v>940</v>
      </c>
      <c r="D165" s="461">
        <f>IFERROR(__xludf.DUMMYFUNCTION("""COMPUTED_VALUE"""),1000.0)</f>
        <v>1000</v>
      </c>
      <c r="E165" s="461">
        <f>IFERROR(__xludf.DUMMYFUNCTION("""COMPUTED_VALUE"""),750.0)</f>
        <v>750</v>
      </c>
      <c r="F165" s="461">
        <f>IFERROR(__xludf.DUMMYFUNCTION("""COMPUTED_VALUE"""),900.0)</f>
        <v>900</v>
      </c>
      <c r="G165" s="461">
        <f>IFERROR(__xludf.DUMMYFUNCTION("""COMPUTED_VALUE"""),1000.0)</f>
        <v>1000</v>
      </c>
      <c r="H165" s="461">
        <f>IFERROR(__xludf.DUMMYFUNCTION("""COMPUTED_VALUE"""),750.0)</f>
        <v>750</v>
      </c>
      <c r="I165" s="461">
        <f>IFERROR(__xludf.DUMMYFUNCTION("""COMPUTED_VALUE"""),900.0)</f>
        <v>900</v>
      </c>
      <c r="J165" s="461">
        <f>IFERROR(__xludf.DUMMYFUNCTION("""COMPUTED_VALUE"""),1000.0)</f>
        <v>1000</v>
      </c>
      <c r="K165" s="461">
        <f>IFERROR(__xludf.DUMMYFUNCTION("""COMPUTED_VALUE"""),750.0)</f>
        <v>750</v>
      </c>
      <c r="L165" s="461">
        <f>IFERROR(__xludf.DUMMYFUNCTION("""COMPUTED_VALUE"""),0.0)</f>
        <v>0</v>
      </c>
      <c r="M165" s="461">
        <f>IFERROR(__xludf.DUMMYFUNCTION("""COMPUTED_VALUE"""),1000.0)</f>
        <v>1000</v>
      </c>
      <c r="N165" s="461">
        <f>IFERROR(__xludf.DUMMYFUNCTION("""COMPUTED_VALUE"""),750.0)</f>
        <v>750</v>
      </c>
      <c r="O165" s="461">
        <f>IFERROR(__xludf.DUMMYFUNCTION("""COMPUTED_VALUE"""),900.0)</f>
        <v>900</v>
      </c>
      <c r="P165" s="461">
        <f t="shared" si="17"/>
        <v>9700</v>
      </c>
    </row>
    <row r="166" ht="14.25" customHeight="1">
      <c r="A166" s="503" t="s">
        <v>941</v>
      </c>
      <c r="B166" s="504"/>
      <c r="C166" s="514" t="s">
        <v>582</v>
      </c>
      <c r="D166" s="461">
        <f>IFERROR(__xludf.DUMMYFUNCTION("""COMPUTED_VALUE"""),0.0)</f>
        <v>0</v>
      </c>
      <c r="E166" s="461">
        <f>IFERROR(__xludf.DUMMYFUNCTION("""COMPUTED_VALUE"""),0.0)</f>
        <v>0</v>
      </c>
      <c r="F166" s="461">
        <f>IFERROR(__xludf.DUMMYFUNCTION("""COMPUTED_VALUE"""),0.0)</f>
        <v>0</v>
      </c>
      <c r="G166" s="461">
        <f>IFERROR(__xludf.DUMMYFUNCTION("""COMPUTED_VALUE"""),0.0)</f>
        <v>0</v>
      </c>
      <c r="H166" s="461">
        <f>IFERROR(__xludf.DUMMYFUNCTION("""COMPUTED_VALUE"""),0.0)</f>
        <v>0</v>
      </c>
      <c r="I166" s="461">
        <f>IFERROR(__xludf.DUMMYFUNCTION("""COMPUTED_VALUE"""),0.0)</f>
        <v>0</v>
      </c>
      <c r="J166" s="461">
        <f>IFERROR(__xludf.DUMMYFUNCTION("""COMPUTED_VALUE"""),0.0)</f>
        <v>0</v>
      </c>
      <c r="K166" s="461">
        <f>IFERROR(__xludf.DUMMYFUNCTION("""COMPUTED_VALUE"""),0.0)</f>
        <v>0</v>
      </c>
      <c r="L166" s="461">
        <f>IFERROR(__xludf.DUMMYFUNCTION("""COMPUTED_VALUE"""),0.0)</f>
        <v>0</v>
      </c>
      <c r="M166" s="461">
        <f>IFERROR(__xludf.DUMMYFUNCTION("""COMPUTED_VALUE"""),0.0)</f>
        <v>0</v>
      </c>
      <c r="N166" s="461">
        <f>IFERROR(__xludf.DUMMYFUNCTION("""COMPUTED_VALUE"""),0.0)</f>
        <v>0</v>
      </c>
      <c r="O166" s="461">
        <f>IFERROR(__xludf.DUMMYFUNCTION("""COMPUTED_VALUE"""),0.0)</f>
        <v>0</v>
      </c>
      <c r="P166" s="461">
        <f t="shared" si="17"/>
        <v>0</v>
      </c>
    </row>
    <row r="167" ht="14.25" customHeight="1">
      <c r="A167" s="500"/>
      <c r="B167" s="505"/>
      <c r="C167" s="514" t="s">
        <v>1118</v>
      </c>
      <c r="D167" s="461">
        <f>IFERROR(__xludf.DUMMYFUNCTION("""COMPUTED_VALUE"""),0.0)</f>
        <v>0</v>
      </c>
      <c r="E167" s="461">
        <f>IFERROR(__xludf.DUMMYFUNCTION("""COMPUTED_VALUE"""),0.0)</f>
        <v>0</v>
      </c>
      <c r="F167" s="461">
        <f>IFERROR(__xludf.DUMMYFUNCTION("""COMPUTED_VALUE"""),0.0)</f>
        <v>0</v>
      </c>
      <c r="G167" s="461">
        <f>IFERROR(__xludf.DUMMYFUNCTION("""COMPUTED_VALUE"""),0.0)</f>
        <v>0</v>
      </c>
      <c r="H167" s="461">
        <f>IFERROR(__xludf.DUMMYFUNCTION("""COMPUTED_VALUE"""),0.0)</f>
        <v>0</v>
      </c>
      <c r="I167" s="461">
        <f>IFERROR(__xludf.DUMMYFUNCTION("""COMPUTED_VALUE"""),0.0)</f>
        <v>0</v>
      </c>
      <c r="J167" s="461">
        <f>IFERROR(__xludf.DUMMYFUNCTION("""COMPUTED_VALUE"""),0.0)</f>
        <v>0</v>
      </c>
      <c r="K167" s="461">
        <f>IFERROR(__xludf.DUMMYFUNCTION("""COMPUTED_VALUE"""),0.0)</f>
        <v>0</v>
      </c>
      <c r="L167" s="461">
        <f>IFERROR(__xludf.DUMMYFUNCTION("""COMPUTED_VALUE"""),0.0)</f>
        <v>0</v>
      </c>
      <c r="M167" s="461">
        <f>IFERROR(__xludf.DUMMYFUNCTION("""COMPUTED_VALUE"""),0.0)</f>
        <v>0</v>
      </c>
      <c r="N167" s="461">
        <f>IFERROR(__xludf.DUMMYFUNCTION("""COMPUTED_VALUE"""),0.0)</f>
        <v>0</v>
      </c>
      <c r="O167" s="461">
        <f>IFERROR(__xludf.DUMMYFUNCTION("""COMPUTED_VALUE"""),0.0)</f>
        <v>0</v>
      </c>
      <c r="P167" s="461">
        <f t="shared" si="17"/>
        <v>0</v>
      </c>
    </row>
    <row r="168" ht="14.25" customHeight="1">
      <c r="A168" s="500"/>
      <c r="B168" s="505"/>
      <c r="C168" s="514" t="s">
        <v>1119</v>
      </c>
      <c r="D168" s="461">
        <f>IFERROR(__xludf.DUMMYFUNCTION("""COMPUTED_VALUE"""),0.0)</f>
        <v>0</v>
      </c>
      <c r="E168" s="461">
        <f>IFERROR(__xludf.DUMMYFUNCTION("""COMPUTED_VALUE"""),0.0)</f>
        <v>0</v>
      </c>
      <c r="F168" s="461">
        <f>IFERROR(__xludf.DUMMYFUNCTION("""COMPUTED_VALUE"""),0.0)</f>
        <v>0</v>
      </c>
      <c r="G168" s="461">
        <f>IFERROR(__xludf.DUMMYFUNCTION("""COMPUTED_VALUE"""),0.0)</f>
        <v>0</v>
      </c>
      <c r="H168" s="461">
        <f>IFERROR(__xludf.DUMMYFUNCTION("""COMPUTED_VALUE"""),0.0)</f>
        <v>0</v>
      </c>
      <c r="I168" s="461">
        <f>IFERROR(__xludf.DUMMYFUNCTION("""COMPUTED_VALUE"""),0.0)</f>
        <v>0</v>
      </c>
      <c r="J168" s="461">
        <f>IFERROR(__xludf.DUMMYFUNCTION("""COMPUTED_VALUE"""),0.0)</f>
        <v>0</v>
      </c>
      <c r="K168" s="461">
        <f>IFERROR(__xludf.DUMMYFUNCTION("""COMPUTED_VALUE"""),0.0)</f>
        <v>0</v>
      </c>
      <c r="L168" s="461">
        <f>IFERROR(__xludf.DUMMYFUNCTION("""COMPUTED_VALUE"""),0.0)</f>
        <v>0</v>
      </c>
      <c r="M168" s="461">
        <f>IFERROR(__xludf.DUMMYFUNCTION("""COMPUTED_VALUE"""),0.0)</f>
        <v>0</v>
      </c>
      <c r="N168" s="461">
        <f>IFERROR(__xludf.DUMMYFUNCTION("""COMPUTED_VALUE"""),0.0)</f>
        <v>0</v>
      </c>
      <c r="O168" s="461">
        <f>IFERROR(__xludf.DUMMYFUNCTION("""COMPUTED_VALUE"""),0.0)</f>
        <v>0</v>
      </c>
      <c r="P168" s="461">
        <f t="shared" si="17"/>
        <v>0</v>
      </c>
    </row>
    <row r="169" ht="14.25" customHeight="1">
      <c r="A169" s="517" t="s">
        <v>942</v>
      </c>
      <c r="B169" s="505"/>
      <c r="C169" s="514" t="s">
        <v>943</v>
      </c>
      <c r="D169" s="461">
        <f>IFERROR(__xludf.DUMMYFUNCTION("""COMPUTED_VALUE"""),2500.0)</f>
        <v>2500</v>
      </c>
      <c r="E169" s="461">
        <f>IFERROR(__xludf.DUMMYFUNCTION("""COMPUTED_VALUE"""),500.0)</f>
        <v>500</v>
      </c>
      <c r="F169" s="461">
        <f>IFERROR(__xludf.DUMMYFUNCTION("""COMPUTED_VALUE"""),500.0)</f>
        <v>500</v>
      </c>
      <c r="G169" s="461">
        <f>IFERROR(__xludf.DUMMYFUNCTION("""COMPUTED_VALUE"""),2500.0)</f>
        <v>2500</v>
      </c>
      <c r="H169" s="461">
        <f>IFERROR(__xludf.DUMMYFUNCTION("""COMPUTED_VALUE"""),500.0)</f>
        <v>500</v>
      </c>
      <c r="I169" s="461">
        <f>IFERROR(__xludf.DUMMYFUNCTION("""COMPUTED_VALUE"""),500.0)</f>
        <v>500</v>
      </c>
      <c r="J169" s="461">
        <f>IFERROR(__xludf.DUMMYFUNCTION("""COMPUTED_VALUE"""),2500.0)</f>
        <v>2500</v>
      </c>
      <c r="K169" s="461">
        <f>IFERROR(__xludf.DUMMYFUNCTION("""COMPUTED_VALUE"""),500.0)</f>
        <v>500</v>
      </c>
      <c r="L169" s="461">
        <f>IFERROR(__xludf.DUMMYFUNCTION("""COMPUTED_VALUE"""),500.0)</f>
        <v>500</v>
      </c>
      <c r="M169" s="461">
        <f>IFERROR(__xludf.DUMMYFUNCTION("""COMPUTED_VALUE"""),2500.0)</f>
        <v>2500</v>
      </c>
      <c r="N169" s="461">
        <f>IFERROR(__xludf.DUMMYFUNCTION("""COMPUTED_VALUE"""),500.0)</f>
        <v>500</v>
      </c>
      <c r="O169" s="461">
        <f>IFERROR(__xludf.DUMMYFUNCTION("""COMPUTED_VALUE"""),500.0)</f>
        <v>500</v>
      </c>
      <c r="P169" s="461">
        <f t="shared" si="17"/>
        <v>14000</v>
      </c>
    </row>
    <row r="170" ht="14.25" customHeight="1">
      <c r="A170" s="500"/>
      <c r="B170" s="505"/>
      <c r="C170" s="514"/>
      <c r="D170" s="462"/>
      <c r="E170" s="462"/>
      <c r="F170" s="462"/>
      <c r="G170" s="462"/>
      <c r="H170" s="462"/>
      <c r="I170" s="462"/>
      <c r="J170" s="462"/>
      <c r="K170" s="462"/>
      <c r="L170" s="462"/>
      <c r="M170" s="462"/>
      <c r="N170" s="462"/>
      <c r="O170" s="462"/>
      <c r="P170" s="461">
        <f t="shared" si="17"/>
        <v>0</v>
      </c>
    </row>
    <row r="171" ht="14.25" customHeight="1">
      <c r="A171" s="518" t="s">
        <v>944</v>
      </c>
      <c r="B171" s="519"/>
      <c r="C171" s="520"/>
      <c r="D171" s="521">
        <f>IFERROR(__xludf.DUMMYFUNCTION("""COMPUTED_VALUE"""),20925.0)</f>
        <v>20925</v>
      </c>
      <c r="E171" s="521">
        <f>IFERROR(__xludf.DUMMYFUNCTION("""COMPUTED_VALUE"""),18675.0)</f>
        <v>18675</v>
      </c>
      <c r="F171" s="521">
        <f>IFERROR(__xludf.DUMMYFUNCTION("""COMPUTED_VALUE"""),18825.0)</f>
        <v>18825</v>
      </c>
      <c r="G171" s="521">
        <f>IFERROR(__xludf.DUMMYFUNCTION("""COMPUTED_VALUE"""),20925.0)</f>
        <v>20925</v>
      </c>
      <c r="H171" s="521">
        <f>IFERROR(__xludf.DUMMYFUNCTION("""COMPUTED_VALUE"""),18675.0)</f>
        <v>18675</v>
      </c>
      <c r="I171" s="521">
        <f>IFERROR(__xludf.DUMMYFUNCTION("""COMPUTED_VALUE"""),18825.0)</f>
        <v>18825</v>
      </c>
      <c r="J171" s="521">
        <f>IFERROR(__xludf.DUMMYFUNCTION("""COMPUTED_VALUE"""),20250.0)</f>
        <v>20250</v>
      </c>
      <c r="K171" s="521">
        <f>IFERROR(__xludf.DUMMYFUNCTION("""COMPUTED_VALUE"""),18000.0)</f>
        <v>18000</v>
      </c>
      <c r="L171" s="521">
        <f>IFERROR(__xludf.DUMMYFUNCTION("""COMPUTED_VALUE"""),17250.0)</f>
        <v>17250</v>
      </c>
      <c r="M171" s="521">
        <f>IFERROR(__xludf.DUMMYFUNCTION("""COMPUTED_VALUE"""),20925.0)</f>
        <v>20925</v>
      </c>
      <c r="N171" s="521">
        <f>IFERROR(__xludf.DUMMYFUNCTION("""COMPUTED_VALUE"""),18675.0)</f>
        <v>18675</v>
      </c>
      <c r="O171" s="521">
        <f>IFERROR(__xludf.DUMMYFUNCTION("""COMPUTED_VALUE"""),18825.0)</f>
        <v>18825</v>
      </c>
      <c r="P171" s="521">
        <f>sum(P151:P170)</f>
        <v>230775</v>
      </c>
    </row>
  </sheetData>
  <mergeCells count="3">
    <mergeCell ref="A149:C149"/>
    <mergeCell ref="A150:C150"/>
    <mergeCell ref="A171:C171"/>
  </mergeCells>
  <printOptions/>
  <pageMargins bottom="0.2" footer="0.0" header="0.0" left="0.8" right="0.5" top="0.1"/>
  <pageSetup paperSize="9" orientation="landscape"/>
  <rowBreaks count="4" manualBreakCount="4">
    <brk id="82" man="1"/>
    <brk id="117" man="1"/>
    <brk id="43" man="1"/>
    <brk id="157"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61.29"/>
    <col customWidth="1" min="3" max="3" width="5.29"/>
  </cols>
  <sheetData>
    <row r="1">
      <c r="A1" s="130" t="s">
        <v>1121</v>
      </c>
      <c r="B1" s="523" t="s">
        <v>1122</v>
      </c>
      <c r="C1" s="524" t="str">
        <f>IFERROR(__xludf.DUMMYFUNCTION("IMPORTRANGE(B1,""Plant!B2"")"),"5E01")</f>
        <v>5E01</v>
      </c>
    </row>
    <row r="2">
      <c r="A2" s="130" t="s">
        <v>1123</v>
      </c>
      <c r="B2" s="525" t="s">
        <v>1124</v>
      </c>
      <c r="C2" s="524" t="str">
        <f>IFERROR(__xludf.DUMMYFUNCTION("IMPORTRANGE(B2,""Plant!B2"")"),"5E01")</f>
        <v>5E01</v>
      </c>
    </row>
    <row r="3">
      <c r="A3" s="130" t="s">
        <v>1125</v>
      </c>
      <c r="B3" s="525" t="s">
        <v>1126</v>
      </c>
      <c r="C3" s="526" t="str">
        <f>IFERROR(__xludf.DUMMYFUNCTION("IMPORTRANGE(B3,""Plant!B2"")"),"#REF!")</f>
        <v>#REF!</v>
      </c>
    </row>
    <row r="4">
      <c r="A4" s="130" t="s">
        <v>1127</v>
      </c>
      <c r="B4" s="525" t="s">
        <v>1128</v>
      </c>
      <c r="C4" s="527">
        <f>IFERROR(__xludf.DUMMYFUNCTION("IMPORTRANGE(B4,""01-KS!A1"")"),1.0)</f>
        <v>1</v>
      </c>
    </row>
    <row r="5">
      <c r="A5" s="130" t="s">
        <v>1129</v>
      </c>
      <c r="B5" s="525" t="s">
        <v>1130</v>
      </c>
      <c r="C5" s="130"/>
    </row>
    <row r="6">
      <c r="A6" s="130" t="s">
        <v>1131</v>
      </c>
      <c r="B6" s="525" t="s">
        <v>1132</v>
      </c>
      <c r="C6" s="130"/>
    </row>
    <row r="7">
      <c r="A7" s="130" t="s">
        <v>1133</v>
      </c>
      <c r="B7" s="130" t="s">
        <v>1134</v>
      </c>
      <c r="C7" s="130"/>
    </row>
    <row r="8">
      <c r="A8" s="130" t="s">
        <v>1135</v>
      </c>
      <c r="B8" s="130" t="s">
        <v>1136</v>
      </c>
      <c r="C8" s="130"/>
    </row>
    <row r="9">
      <c r="A9" s="130" t="s">
        <v>1137</v>
      </c>
      <c r="B9" s="130" t="s">
        <v>1138</v>
      </c>
      <c r="C9" s="130"/>
    </row>
    <row r="10">
      <c r="A10" s="130" t="s">
        <v>1139</v>
      </c>
      <c r="B10" s="528" t="s">
        <v>1140</v>
      </c>
      <c r="C10" s="529"/>
    </row>
    <row r="11">
      <c r="A11" s="130" t="s">
        <v>1141</v>
      </c>
      <c r="B11" s="528" t="s">
        <v>1142</v>
      </c>
      <c r="C11" s="529"/>
    </row>
    <row r="12">
      <c r="A12" s="130" t="s">
        <v>1143</v>
      </c>
      <c r="B12" s="528" t="s">
        <v>1144</v>
      </c>
      <c r="C12" s="529"/>
    </row>
    <row r="13">
      <c r="A13" s="130" t="s">
        <v>1145</v>
      </c>
      <c r="B13" s="528" t="s">
        <v>1146</v>
      </c>
      <c r="C13" s="529"/>
    </row>
    <row r="14">
      <c r="A14" s="130"/>
      <c r="B14" s="529"/>
      <c r="C14" s="529"/>
    </row>
    <row r="15">
      <c r="A15" s="130" t="s">
        <v>1036</v>
      </c>
      <c r="B15" s="529" t="s">
        <v>1147</v>
      </c>
      <c r="C15" s="530" t="s">
        <v>1148</v>
      </c>
    </row>
    <row r="16">
      <c r="A16" s="130" t="s">
        <v>1037</v>
      </c>
      <c r="B16" s="529" t="s">
        <v>1149</v>
      </c>
      <c r="C16" s="530" t="s">
        <v>1150</v>
      </c>
    </row>
    <row r="17">
      <c r="A17" s="130" t="s">
        <v>1038</v>
      </c>
      <c r="B17" s="529" t="s">
        <v>1151</v>
      </c>
      <c r="C17" s="530" t="s">
        <v>1152</v>
      </c>
    </row>
    <row r="18">
      <c r="A18" s="130" t="s">
        <v>1039</v>
      </c>
      <c r="B18" s="529" t="s">
        <v>1153</v>
      </c>
      <c r="C18" s="530" t="s">
        <v>1154</v>
      </c>
    </row>
    <row r="19">
      <c r="A19" s="130" t="s">
        <v>1010</v>
      </c>
      <c r="B19" s="529" t="s">
        <v>1155</v>
      </c>
      <c r="C19" s="530" t="s">
        <v>1156</v>
      </c>
    </row>
    <row r="20">
      <c r="A20" s="130" t="s">
        <v>1040</v>
      </c>
      <c r="B20" s="529" t="s">
        <v>1157</v>
      </c>
      <c r="C20" s="530" t="s">
        <v>1158</v>
      </c>
    </row>
    <row r="21">
      <c r="A21" s="130" t="s">
        <v>1041</v>
      </c>
      <c r="B21" s="529" t="s">
        <v>1159</v>
      </c>
      <c r="C21" s="530" t="s">
        <v>1160</v>
      </c>
    </row>
    <row r="22">
      <c r="A22" s="130" t="s">
        <v>1042</v>
      </c>
      <c r="B22" s="529" t="s">
        <v>1161</v>
      </c>
      <c r="C22" s="530" t="s">
        <v>1162</v>
      </c>
    </row>
    <row r="23">
      <c r="A23" s="130" t="s">
        <v>1043</v>
      </c>
      <c r="B23" s="529" t="s">
        <v>1163</v>
      </c>
      <c r="C23" s="530" t="s">
        <v>1164</v>
      </c>
    </row>
    <row r="24">
      <c r="A24" s="130" t="s">
        <v>1044</v>
      </c>
      <c r="B24" s="529" t="s">
        <v>1165</v>
      </c>
      <c r="C24" s="530" t="s">
        <v>1166</v>
      </c>
    </row>
    <row r="25">
      <c r="A25" s="130" t="s">
        <v>1045</v>
      </c>
      <c r="B25" s="529" t="s">
        <v>1167</v>
      </c>
      <c r="C25" s="530" t="s">
        <v>1168</v>
      </c>
    </row>
    <row r="26">
      <c r="A26" s="130" t="s">
        <v>1046</v>
      </c>
      <c r="B26" s="529" t="s">
        <v>1169</v>
      </c>
      <c r="C26" s="530" t="s">
        <v>1170</v>
      </c>
    </row>
    <row r="27">
      <c r="A27" s="130"/>
      <c r="B27" s="529"/>
      <c r="C27" s="529"/>
    </row>
    <row r="28">
      <c r="A28" s="130"/>
      <c r="B28" s="529"/>
      <c r="C28" s="529"/>
    </row>
    <row r="29">
      <c r="A29" s="130"/>
      <c r="B29" s="529"/>
      <c r="C29" s="529"/>
    </row>
    <row r="30">
      <c r="A30" s="531" t="s">
        <v>12</v>
      </c>
      <c r="B30" s="529" t="s">
        <v>1171</v>
      </c>
      <c r="C30" s="529"/>
    </row>
    <row r="31">
      <c r="A31" s="531" t="s">
        <v>687</v>
      </c>
      <c r="B31" s="529" t="s">
        <v>1172</v>
      </c>
      <c r="C31" s="529"/>
    </row>
    <row r="32">
      <c r="A32" s="531" t="s">
        <v>32</v>
      </c>
      <c r="B32" s="529" t="s">
        <v>1173</v>
      </c>
      <c r="C32" s="529"/>
    </row>
    <row r="33">
      <c r="A33" s="531" t="s">
        <v>66</v>
      </c>
      <c r="B33" s="529" t="s">
        <v>1174</v>
      </c>
      <c r="C33" s="529"/>
    </row>
    <row r="34">
      <c r="A34" s="531"/>
      <c r="B34" s="529"/>
      <c r="C34" s="529"/>
    </row>
    <row r="35">
      <c r="A35" s="531"/>
      <c r="B35" s="529"/>
      <c r="C35" s="529"/>
    </row>
    <row r="36">
      <c r="A36" s="531"/>
      <c r="B36" s="529"/>
      <c r="C36" s="529"/>
    </row>
    <row r="37">
      <c r="A37" s="531"/>
      <c r="B37" s="529"/>
      <c r="C37" s="529"/>
    </row>
    <row r="38">
      <c r="A38" s="130"/>
      <c r="B38" s="529"/>
      <c r="C38" s="529"/>
    </row>
    <row r="39">
      <c r="A39" s="130"/>
      <c r="B39" s="529"/>
      <c r="C39" s="529"/>
    </row>
    <row r="40">
      <c r="A40" s="130"/>
      <c r="B40" s="529"/>
      <c r="C40" s="529"/>
    </row>
    <row r="41">
      <c r="B41" s="529"/>
      <c r="C41" s="529"/>
    </row>
    <row r="42">
      <c r="B42" s="529"/>
      <c r="C42" s="529"/>
    </row>
    <row r="43">
      <c r="B43" s="529"/>
      <c r="C43" s="529"/>
    </row>
    <row r="44">
      <c r="A44" s="130"/>
      <c r="B44" s="529"/>
      <c r="C44" s="529"/>
    </row>
    <row r="45">
      <c r="A45" s="130"/>
      <c r="B45" s="529"/>
      <c r="C45" s="529"/>
    </row>
    <row r="46">
      <c r="A46" s="130"/>
      <c r="B46" s="529"/>
      <c r="C46" s="529"/>
    </row>
    <row r="47">
      <c r="A47" s="130"/>
      <c r="B47" s="529"/>
      <c r="C47" s="529"/>
    </row>
    <row r="48">
      <c r="A48" s="130"/>
      <c r="B48" s="529"/>
      <c r="C48" s="529"/>
    </row>
    <row r="49">
      <c r="A49" s="130"/>
      <c r="B49" s="529"/>
      <c r="C49" s="529"/>
    </row>
    <row r="50">
      <c r="A50" s="130"/>
      <c r="B50" s="529"/>
      <c r="C50" s="529"/>
    </row>
    <row r="51">
      <c r="A51" s="130"/>
      <c r="B51" s="529"/>
      <c r="C51" s="529"/>
    </row>
    <row r="52">
      <c r="A52" s="130"/>
      <c r="B52" s="529"/>
      <c r="C52" s="529"/>
    </row>
    <row r="53">
      <c r="A53" s="130"/>
      <c r="B53" s="529"/>
      <c r="C53" s="529"/>
    </row>
    <row r="54">
      <c r="A54" s="130"/>
      <c r="B54" s="529"/>
      <c r="C54" s="529"/>
    </row>
    <row r="55">
      <c r="A55" s="130"/>
      <c r="B55" s="529"/>
      <c r="C55" s="529"/>
    </row>
    <row r="56">
      <c r="A56" s="130"/>
      <c r="B56" s="529"/>
      <c r="C56" s="529"/>
    </row>
    <row r="57">
      <c r="A57" s="130"/>
      <c r="B57" s="529"/>
      <c r="C57" s="529"/>
    </row>
    <row r="58">
      <c r="A58" s="130"/>
      <c r="B58" s="529"/>
      <c r="C58" s="529"/>
    </row>
    <row r="59">
      <c r="A59" s="130"/>
      <c r="B59" s="529"/>
      <c r="C59" s="529"/>
    </row>
    <row r="60">
      <c r="A60" s="130"/>
      <c r="B60" s="529"/>
      <c r="C60" s="529"/>
    </row>
    <row r="61">
      <c r="A61" s="130"/>
      <c r="B61" s="529"/>
      <c r="C61" s="529"/>
    </row>
    <row r="62">
      <c r="A62" s="130"/>
      <c r="B62" s="529"/>
      <c r="C62" s="529"/>
    </row>
  </sheetData>
  <hyperlinks>
    <hyperlink r:id="rId1" ref="B1"/>
    <hyperlink r:id="rId2" location="gid=692790152" ref="B2"/>
    <hyperlink r:id="rId3" location="gid=892108356" ref="B3"/>
    <hyperlink r:id="rId4" ref="B4"/>
    <hyperlink r:id="rId5" ref="B5"/>
    <hyperlink r:id="rId6" location="gid=1994360190" ref="B6"/>
    <hyperlink r:id="rId7" ref="B10"/>
    <hyperlink r:id="rId8" ref="B11"/>
    <hyperlink r:id="rId9" location="gid=999903761" ref="B12"/>
    <hyperlink r:id="rId10" ref="B13"/>
  </hyperlinks>
  <drawing r:id="rId1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1.0" topLeftCell="D12" activePane="bottomRight" state="frozen"/>
      <selection activeCell="D1" sqref="D1" pane="topRight"/>
      <selection activeCell="A12" sqref="A12" pane="bottomLeft"/>
      <selection activeCell="D12" sqref="D12" pane="bottomRight"/>
    </sheetView>
  </sheetViews>
  <sheetFormatPr customHeight="1" defaultColWidth="14.43" defaultRowHeight="15.0"/>
  <cols>
    <col customWidth="1" min="1" max="1" width="2.29"/>
    <col customWidth="1" min="2" max="2" width="4.14"/>
    <col customWidth="1" min="3" max="3" width="56.43"/>
    <col customWidth="1" min="4" max="4" width="16.43"/>
    <col customWidth="1" min="5" max="11" width="15.86"/>
    <col customWidth="1" min="12" max="12" width="16.14"/>
    <col customWidth="1" min="13" max="13" width="17.0"/>
    <col customWidth="1" min="14" max="15" width="17.43"/>
    <col customWidth="1" min="16" max="16" width="16.14"/>
    <col customWidth="1" min="17" max="17" width="17.0"/>
    <col customWidth="1" min="18" max="19" width="17.57"/>
    <col customWidth="1" min="20" max="20" width="15.14"/>
    <col customWidth="1" min="21" max="21" width="17.0"/>
    <col customWidth="1" min="22" max="23" width="16.71"/>
    <col customWidth="1" min="24" max="24" width="15.86"/>
    <col customWidth="1" min="25" max="25" width="17.0"/>
    <col customWidth="1" min="28" max="28" width="15.86"/>
    <col customWidth="1" min="29" max="29" width="17.0"/>
    <col customWidth="1" min="30" max="31" width="15.86"/>
    <col customWidth="1" min="32" max="32" width="16.14"/>
    <col customWidth="1" min="33" max="33" width="17.0"/>
    <col customWidth="1" min="34" max="35" width="15.86"/>
    <col customWidth="1" min="36" max="36" width="16.43"/>
    <col customWidth="1" min="37" max="37" width="15.86"/>
    <col customWidth="1" min="38" max="39" width="17.0"/>
    <col customWidth="1" min="40" max="40" width="16.57"/>
    <col customWidth="1" min="41" max="41" width="15.86"/>
    <col customWidth="1" min="42" max="43" width="18.14"/>
    <col customWidth="1" min="44" max="44" width="17.71"/>
    <col customWidth="1" min="45" max="47" width="17.0"/>
    <col customWidth="1" min="48" max="48" width="18.57"/>
    <col customWidth="1" min="49" max="51" width="17.0"/>
  </cols>
  <sheetData>
    <row r="1">
      <c r="AR1" s="532"/>
    </row>
    <row r="4">
      <c r="B4" s="533" t="s">
        <v>946</v>
      </c>
      <c r="C4" s="148"/>
      <c r="D4" s="534" t="s">
        <v>1175</v>
      </c>
      <c r="E4" s="535"/>
      <c r="F4" s="535"/>
      <c r="G4" s="535"/>
      <c r="H4" s="535"/>
      <c r="I4" s="535"/>
      <c r="J4" s="535"/>
      <c r="K4" s="536"/>
      <c r="L4" s="534" t="s">
        <v>1175</v>
      </c>
      <c r="M4" s="535"/>
      <c r="N4" s="535"/>
      <c r="O4" s="535"/>
      <c r="P4" s="535"/>
      <c r="Q4" s="535"/>
      <c r="R4" s="535"/>
      <c r="S4" s="536"/>
      <c r="T4" s="534" t="s">
        <v>1175</v>
      </c>
      <c r="U4" s="535"/>
      <c r="V4" s="535"/>
      <c r="W4" s="535"/>
      <c r="X4" s="535"/>
      <c r="Y4" s="535"/>
      <c r="Z4" s="535"/>
      <c r="AA4" s="536"/>
      <c r="AB4" s="534" t="s">
        <v>1175</v>
      </c>
      <c r="AC4" s="535"/>
      <c r="AD4" s="535"/>
      <c r="AE4" s="535"/>
      <c r="AF4" s="535"/>
      <c r="AG4" s="535"/>
      <c r="AH4" s="535"/>
      <c r="AI4" s="536"/>
      <c r="AJ4" s="537" t="s">
        <v>1175</v>
      </c>
      <c r="AK4" s="535"/>
      <c r="AL4" s="535"/>
      <c r="AM4" s="535"/>
      <c r="AN4" s="535"/>
      <c r="AO4" s="535"/>
      <c r="AP4" s="535"/>
      <c r="AQ4" s="536"/>
      <c r="AR4" s="534" t="s">
        <v>1175</v>
      </c>
      <c r="AS4" s="535"/>
      <c r="AT4" s="535"/>
      <c r="AU4" s="535"/>
      <c r="AV4" s="535"/>
      <c r="AW4" s="535"/>
      <c r="AX4" s="535"/>
      <c r="AY4" s="536"/>
    </row>
    <row r="5">
      <c r="B5" s="538" t="s">
        <v>948</v>
      </c>
      <c r="C5" s="256"/>
      <c r="D5" s="538" t="s">
        <v>1176</v>
      </c>
      <c r="E5" s="539"/>
      <c r="F5" s="539"/>
      <c r="G5" s="539"/>
      <c r="H5" s="539"/>
      <c r="I5" s="539"/>
      <c r="J5" s="539"/>
      <c r="K5" s="540"/>
      <c r="L5" s="538" t="s">
        <v>1177</v>
      </c>
      <c r="M5" s="539"/>
      <c r="N5" s="539"/>
      <c r="O5" s="539"/>
      <c r="P5" s="539"/>
      <c r="Q5" s="539"/>
      <c r="R5" s="539"/>
      <c r="S5" s="540"/>
      <c r="T5" s="538" t="s">
        <v>1178</v>
      </c>
      <c r="U5" s="539"/>
      <c r="V5" s="539"/>
      <c r="W5" s="539"/>
      <c r="X5" s="539"/>
      <c r="Y5" s="539"/>
      <c r="Z5" s="539"/>
      <c r="AA5" s="540"/>
      <c r="AB5" s="538" t="s">
        <v>1179</v>
      </c>
      <c r="AC5" s="539"/>
      <c r="AD5" s="539"/>
      <c r="AE5" s="539"/>
      <c r="AF5" s="539"/>
      <c r="AG5" s="539"/>
      <c r="AH5" s="539"/>
      <c r="AI5" s="540"/>
      <c r="AJ5" s="541" t="s">
        <v>1180</v>
      </c>
      <c r="AK5" s="539"/>
      <c r="AL5" s="539"/>
      <c r="AM5" s="539"/>
      <c r="AN5" s="539"/>
      <c r="AO5" s="539"/>
      <c r="AP5" s="539"/>
      <c r="AQ5" s="540"/>
      <c r="AR5" s="538" t="s">
        <v>1181</v>
      </c>
      <c r="AS5" s="539"/>
      <c r="AT5" s="539"/>
      <c r="AU5" s="539"/>
      <c r="AV5" s="539"/>
      <c r="AW5" s="539"/>
      <c r="AX5" s="539"/>
      <c r="AY5" s="540"/>
    </row>
    <row r="6">
      <c r="B6" s="542"/>
      <c r="C6" s="543" t="s">
        <v>949</v>
      </c>
      <c r="D6" s="544">
        <f>'Sinta-B'!E5</f>
        <v>0</v>
      </c>
      <c r="E6" s="545">
        <f>'Sinta-B'!F5</f>
        <v>0</v>
      </c>
      <c r="F6" s="545">
        <f>'Sinta-B'!G5</f>
        <v>0</v>
      </c>
      <c r="G6" s="545">
        <f>'Sinta-B'!H5</f>
        <v>0</v>
      </c>
      <c r="H6" s="544">
        <f>'Sinta-B'!I5</f>
        <v>0</v>
      </c>
      <c r="I6" s="545">
        <f>'Sinta-B'!J5</f>
        <v>0</v>
      </c>
      <c r="J6" s="545">
        <f>'Sinta-B'!K5</f>
        <v>0</v>
      </c>
      <c r="K6" s="545">
        <f>'Sinta-B'!L5</f>
        <v>0</v>
      </c>
      <c r="L6" s="544">
        <f>'Kumai-B'!E5</f>
        <v>0</v>
      </c>
      <c r="M6" s="545">
        <f>'Kumai-B'!F5</f>
        <v>0</v>
      </c>
      <c r="N6" s="545">
        <f>'Kumai-B'!G5</f>
        <v>0</v>
      </c>
      <c r="O6" s="545">
        <f>'Kumai-B'!H5</f>
        <v>0</v>
      </c>
      <c r="P6" s="544">
        <f>'Kumai-B'!I5</f>
        <v>0</v>
      </c>
      <c r="Q6" s="545">
        <f>'Kumai-B'!J5</f>
        <v>0</v>
      </c>
      <c r="R6" s="545">
        <f>'Kumai-B'!K5</f>
        <v>0</v>
      </c>
      <c r="S6" s="545">
        <f>'Kumai-B'!L5</f>
        <v>0</v>
      </c>
      <c r="T6" s="544">
        <f>'Balin-B'!E5</f>
        <v>1775.7</v>
      </c>
      <c r="U6" s="545">
        <f>'Balin-B'!F5</f>
        <v>1775.7</v>
      </c>
      <c r="V6" s="545">
        <f>'Balin-B'!G5</f>
        <v>1775.7</v>
      </c>
      <c r="W6" s="545">
        <f>'Balin-B'!H5</f>
        <v>1775.7</v>
      </c>
      <c r="X6" s="544">
        <f>'Balin-B'!I5</f>
        <v>1775.7</v>
      </c>
      <c r="Y6" s="545">
        <f>'Balin-B'!J5</f>
        <v>1775.7</v>
      </c>
      <c r="Z6" s="545">
        <f>'Balin-B'!K5</f>
        <v>1775.7</v>
      </c>
      <c r="AA6" s="545">
        <f>'Balin-B'!L5</f>
        <v>1775.7</v>
      </c>
      <c r="AB6" s="546">
        <v>0.0</v>
      </c>
      <c r="AC6" s="547">
        <v>0.0</v>
      </c>
      <c r="AD6" s="547">
        <v>0.0</v>
      </c>
      <c r="AE6" s="547">
        <v>0.0</v>
      </c>
      <c r="AF6" s="546">
        <v>0.0</v>
      </c>
      <c r="AG6" s="547">
        <v>0.0</v>
      </c>
      <c r="AH6" s="547">
        <v>0.0</v>
      </c>
      <c r="AI6" s="547">
        <v>0.0</v>
      </c>
      <c r="AJ6" s="544">
        <f>'Lokal-B'!E5</f>
        <v>0</v>
      </c>
      <c r="AK6" s="545">
        <f>'Lokal-B'!F5</f>
        <v>0</v>
      </c>
      <c r="AL6" s="545">
        <f>'Lokal-B'!G5</f>
        <v>0</v>
      </c>
      <c r="AM6" s="545">
        <f>'Lokal-B'!H5</f>
        <v>0</v>
      </c>
      <c r="AN6" s="544">
        <f>'Lokal-B'!I5</f>
        <v>0</v>
      </c>
      <c r="AO6" s="545">
        <f>'Lokal-B'!J5</f>
        <v>0</v>
      </c>
      <c r="AP6" s="545">
        <f>'Lokal-B'!K5</f>
        <v>0</v>
      </c>
      <c r="AQ6" s="545">
        <f>'Lokal-B'!L5</f>
        <v>0</v>
      </c>
      <c r="AR6" s="544">
        <f t="shared" ref="AR6:AY6" si="1">D6+L6+T6+AB6+AJ6</f>
        <v>1775.7</v>
      </c>
      <c r="AS6" s="545">
        <f t="shared" si="1"/>
        <v>1775.7</v>
      </c>
      <c r="AT6" s="545">
        <f t="shared" si="1"/>
        <v>1775.7</v>
      </c>
      <c r="AU6" s="545">
        <f t="shared" si="1"/>
        <v>1775.7</v>
      </c>
      <c r="AV6" s="545">
        <f t="shared" si="1"/>
        <v>1775.7</v>
      </c>
      <c r="AW6" s="545">
        <f t="shared" si="1"/>
        <v>1775.7</v>
      </c>
      <c r="AX6" s="548">
        <f t="shared" si="1"/>
        <v>1775.7</v>
      </c>
      <c r="AY6" s="548">
        <f t="shared" si="1"/>
        <v>1775.7</v>
      </c>
    </row>
    <row r="7">
      <c r="B7" s="549"/>
      <c r="C7" s="550" t="s">
        <v>950</v>
      </c>
      <c r="D7" s="551" t="str">
        <f>'Sinta-B'!E6</f>
        <v/>
      </c>
      <c r="E7" s="552" t="str">
        <f>'Sinta-B'!F6</f>
        <v/>
      </c>
      <c r="F7" s="553" t="str">
        <f>'Sinta-B'!G6</f>
        <v/>
      </c>
      <c r="G7" s="552" t="str">
        <f>'Sinta-B'!H6</f>
        <v/>
      </c>
      <c r="H7" s="552" t="str">
        <f>'Sinta-B'!I6</f>
        <v/>
      </c>
      <c r="I7" s="552" t="str">
        <f>'Sinta-B'!J6</f>
        <v/>
      </c>
      <c r="J7" s="554" t="str">
        <f>'Sinta-B'!K6</f>
        <v/>
      </c>
      <c r="K7" s="554" t="str">
        <f>'Sinta-B'!L6</f>
        <v/>
      </c>
      <c r="L7" s="551" t="str">
        <f>'Kumai-B'!E6</f>
        <v/>
      </c>
      <c r="M7" s="552" t="str">
        <f>'Kumai-B'!F6</f>
        <v/>
      </c>
      <c r="N7" s="553" t="str">
        <f>'Kumai-B'!G6</f>
        <v/>
      </c>
      <c r="O7" s="552" t="str">
        <f>'Kumai-B'!H6</f>
        <v/>
      </c>
      <c r="P7" s="552" t="str">
        <f>'Kumai-B'!I6</f>
        <v/>
      </c>
      <c r="Q7" s="552" t="str">
        <f>'Kumai-B'!J6</f>
        <v/>
      </c>
      <c r="R7" s="554" t="str">
        <f>'Kumai-B'!K6</f>
        <v/>
      </c>
      <c r="S7" s="554" t="str">
        <f>'Kumai-B'!L6</f>
        <v/>
      </c>
      <c r="T7" s="551" t="str">
        <f>'Balin-B'!E6</f>
        <v/>
      </c>
      <c r="U7" s="552" t="str">
        <f>'Balin-B'!F6</f>
        <v/>
      </c>
      <c r="V7" s="553" t="str">
        <f>'Balin-B'!G6</f>
        <v/>
      </c>
      <c r="W7" s="552" t="str">
        <f>'Balin-B'!H6</f>
        <v/>
      </c>
      <c r="X7" s="552" t="str">
        <f>'Balin-B'!I6</f>
        <v/>
      </c>
      <c r="Y7" s="552" t="str">
        <f>'Balin-B'!J6</f>
        <v/>
      </c>
      <c r="Z7" s="554" t="str">
        <f>'Balin-B'!K6</f>
        <v/>
      </c>
      <c r="AA7" s="554" t="str">
        <f>'Balin-B'!L6</f>
        <v/>
      </c>
      <c r="AB7" s="555"/>
      <c r="AC7" s="553"/>
      <c r="AD7" s="553"/>
      <c r="AE7" s="553"/>
      <c r="AF7" s="553"/>
      <c r="AG7" s="553"/>
      <c r="AH7" s="556"/>
      <c r="AI7" s="556"/>
      <c r="AJ7" s="551" t="str">
        <f>'Lokal-B'!E6</f>
        <v/>
      </c>
      <c r="AK7" s="552" t="str">
        <f>'Lokal-B'!F6</f>
        <v/>
      </c>
      <c r="AL7" s="553" t="str">
        <f>'Lokal-B'!G6</f>
        <v/>
      </c>
      <c r="AM7" s="552" t="str">
        <f>'Lokal-B'!H6</f>
        <v/>
      </c>
      <c r="AN7" s="552" t="str">
        <f>'Lokal-B'!I6</f>
        <v/>
      </c>
      <c r="AO7" s="552" t="str">
        <f>'Lokal-B'!J6</f>
        <v/>
      </c>
      <c r="AP7" s="554" t="str">
        <f>'Lokal-B'!K6</f>
        <v/>
      </c>
      <c r="AQ7" s="554" t="str">
        <f>'Lokal-B'!L6</f>
        <v/>
      </c>
      <c r="AR7" s="557"/>
      <c r="AS7" s="552"/>
      <c r="AT7" s="552"/>
      <c r="AU7" s="552"/>
      <c r="AV7" s="552"/>
      <c r="AW7" s="552"/>
      <c r="AX7" s="554"/>
      <c r="AY7" s="554"/>
    </row>
    <row r="8">
      <c r="B8" s="558"/>
      <c r="C8" s="559" t="s">
        <v>951</v>
      </c>
      <c r="D8" s="560">
        <f t="shared" ref="D8:AY8" si="2">sum(D6:D7)</f>
        <v>0</v>
      </c>
      <c r="E8" s="561">
        <f t="shared" si="2"/>
        <v>0</v>
      </c>
      <c r="F8" s="561">
        <f t="shared" si="2"/>
        <v>0</v>
      </c>
      <c r="G8" s="561">
        <f t="shared" si="2"/>
        <v>0</v>
      </c>
      <c r="H8" s="561">
        <f t="shared" si="2"/>
        <v>0</v>
      </c>
      <c r="I8" s="561">
        <f t="shared" si="2"/>
        <v>0</v>
      </c>
      <c r="J8" s="562">
        <f t="shared" si="2"/>
        <v>0</v>
      </c>
      <c r="K8" s="562">
        <f t="shared" si="2"/>
        <v>0</v>
      </c>
      <c r="L8" s="560">
        <f t="shared" si="2"/>
        <v>0</v>
      </c>
      <c r="M8" s="561">
        <f t="shared" si="2"/>
        <v>0</v>
      </c>
      <c r="N8" s="561">
        <f t="shared" si="2"/>
        <v>0</v>
      </c>
      <c r="O8" s="561">
        <f t="shared" si="2"/>
        <v>0</v>
      </c>
      <c r="P8" s="561">
        <f t="shared" si="2"/>
        <v>0</v>
      </c>
      <c r="Q8" s="561">
        <f t="shared" si="2"/>
        <v>0</v>
      </c>
      <c r="R8" s="562">
        <f t="shared" si="2"/>
        <v>0</v>
      </c>
      <c r="S8" s="562">
        <f t="shared" si="2"/>
        <v>0</v>
      </c>
      <c r="T8" s="560">
        <f t="shared" si="2"/>
        <v>1775.7</v>
      </c>
      <c r="U8" s="561">
        <f t="shared" si="2"/>
        <v>1775.7</v>
      </c>
      <c r="V8" s="561">
        <f t="shared" si="2"/>
        <v>1775.7</v>
      </c>
      <c r="W8" s="561">
        <f t="shared" si="2"/>
        <v>1775.7</v>
      </c>
      <c r="X8" s="561">
        <f t="shared" si="2"/>
        <v>1775.7</v>
      </c>
      <c r="Y8" s="561">
        <f t="shared" si="2"/>
        <v>1775.7</v>
      </c>
      <c r="Z8" s="562">
        <f t="shared" si="2"/>
        <v>1775.7</v>
      </c>
      <c r="AA8" s="562">
        <f t="shared" si="2"/>
        <v>1775.7</v>
      </c>
      <c r="AB8" s="563">
        <f t="shared" si="2"/>
        <v>0</v>
      </c>
      <c r="AC8" s="564">
        <f t="shared" si="2"/>
        <v>0</v>
      </c>
      <c r="AD8" s="564">
        <f t="shared" si="2"/>
        <v>0</v>
      </c>
      <c r="AE8" s="564">
        <f t="shared" si="2"/>
        <v>0</v>
      </c>
      <c r="AF8" s="564">
        <f t="shared" si="2"/>
        <v>0</v>
      </c>
      <c r="AG8" s="564">
        <f t="shared" si="2"/>
        <v>0</v>
      </c>
      <c r="AH8" s="565">
        <f t="shared" si="2"/>
        <v>0</v>
      </c>
      <c r="AI8" s="565">
        <f t="shared" si="2"/>
        <v>0</v>
      </c>
      <c r="AJ8" s="560">
        <f t="shared" si="2"/>
        <v>0</v>
      </c>
      <c r="AK8" s="561">
        <f t="shared" si="2"/>
        <v>0</v>
      </c>
      <c r="AL8" s="561">
        <f t="shared" si="2"/>
        <v>0</v>
      </c>
      <c r="AM8" s="561">
        <f t="shared" si="2"/>
        <v>0</v>
      </c>
      <c r="AN8" s="561">
        <f t="shared" si="2"/>
        <v>0</v>
      </c>
      <c r="AO8" s="561">
        <f t="shared" si="2"/>
        <v>0</v>
      </c>
      <c r="AP8" s="562">
        <f t="shared" si="2"/>
        <v>0</v>
      </c>
      <c r="AQ8" s="562">
        <f t="shared" si="2"/>
        <v>0</v>
      </c>
      <c r="AR8" s="560">
        <f t="shared" si="2"/>
        <v>1775.7</v>
      </c>
      <c r="AS8" s="561">
        <f t="shared" si="2"/>
        <v>1775.7</v>
      </c>
      <c r="AT8" s="561">
        <f t="shared" si="2"/>
        <v>1775.7</v>
      </c>
      <c r="AU8" s="561">
        <f t="shared" si="2"/>
        <v>1775.7</v>
      </c>
      <c r="AV8" s="561">
        <f t="shared" si="2"/>
        <v>1775.7</v>
      </c>
      <c r="AW8" s="561">
        <f t="shared" si="2"/>
        <v>1775.7</v>
      </c>
      <c r="AX8" s="562">
        <f t="shared" si="2"/>
        <v>1775.7</v>
      </c>
      <c r="AY8" s="562">
        <f t="shared" si="2"/>
        <v>1775.7</v>
      </c>
    </row>
    <row r="9">
      <c r="A9" s="566"/>
      <c r="B9" s="567" t="s">
        <v>405</v>
      </c>
      <c r="C9" s="161"/>
      <c r="D9" s="568" t="s">
        <v>952</v>
      </c>
      <c r="E9" s="258"/>
      <c r="F9" s="258"/>
      <c r="G9" s="259"/>
      <c r="H9" s="569" t="s">
        <v>952</v>
      </c>
      <c r="I9" s="258"/>
      <c r="J9" s="258"/>
      <c r="K9" s="570"/>
      <c r="L9" s="568" t="s">
        <v>952</v>
      </c>
      <c r="M9" s="258"/>
      <c r="N9" s="258"/>
      <c r="O9" s="259"/>
      <c r="P9" s="569" t="s">
        <v>952</v>
      </c>
      <c r="Q9" s="258"/>
      <c r="R9" s="258"/>
      <c r="S9" s="570"/>
      <c r="T9" s="568" t="s">
        <v>952</v>
      </c>
      <c r="U9" s="258"/>
      <c r="V9" s="258"/>
      <c r="W9" s="259"/>
      <c r="X9" s="569" t="s">
        <v>952</v>
      </c>
      <c r="Y9" s="258"/>
      <c r="Z9" s="258"/>
      <c r="AA9" s="570"/>
      <c r="AB9" s="568" t="s">
        <v>952</v>
      </c>
      <c r="AC9" s="258"/>
      <c r="AD9" s="258"/>
      <c r="AE9" s="259"/>
      <c r="AF9" s="569" t="s">
        <v>952</v>
      </c>
      <c r="AG9" s="258"/>
      <c r="AH9" s="258"/>
      <c r="AI9" s="570"/>
      <c r="AJ9" s="568" t="s">
        <v>952</v>
      </c>
      <c r="AK9" s="258"/>
      <c r="AL9" s="258"/>
      <c r="AM9" s="259"/>
      <c r="AN9" s="569" t="s">
        <v>952</v>
      </c>
      <c r="AO9" s="258"/>
      <c r="AP9" s="258"/>
      <c r="AQ9" s="570"/>
      <c r="AR9" s="568" t="s">
        <v>952</v>
      </c>
      <c r="AS9" s="258"/>
      <c r="AT9" s="258"/>
      <c r="AU9" s="259"/>
      <c r="AV9" s="569" t="s">
        <v>952</v>
      </c>
      <c r="AW9" s="258"/>
      <c r="AX9" s="258"/>
      <c r="AY9" s="570"/>
    </row>
    <row r="10">
      <c r="A10" s="566"/>
      <c r="B10" s="571"/>
      <c r="C10" s="158"/>
      <c r="D10" s="568" t="s">
        <v>724</v>
      </c>
      <c r="E10" s="258"/>
      <c r="F10" s="258"/>
      <c r="G10" s="259"/>
      <c r="H10" s="569" t="s">
        <v>953</v>
      </c>
      <c r="I10" s="258"/>
      <c r="J10" s="258"/>
      <c r="K10" s="570"/>
      <c r="L10" s="568" t="s">
        <v>724</v>
      </c>
      <c r="M10" s="258"/>
      <c r="N10" s="258"/>
      <c r="O10" s="259"/>
      <c r="P10" s="569" t="s">
        <v>953</v>
      </c>
      <c r="Q10" s="258"/>
      <c r="R10" s="258"/>
      <c r="S10" s="570"/>
      <c r="T10" s="568" t="s">
        <v>724</v>
      </c>
      <c r="U10" s="258"/>
      <c r="V10" s="258"/>
      <c r="W10" s="259"/>
      <c r="X10" s="569" t="s">
        <v>953</v>
      </c>
      <c r="Y10" s="258"/>
      <c r="Z10" s="258"/>
      <c r="AA10" s="570"/>
      <c r="AB10" s="568" t="s">
        <v>724</v>
      </c>
      <c r="AC10" s="258"/>
      <c r="AD10" s="258"/>
      <c r="AE10" s="259"/>
      <c r="AF10" s="569" t="s">
        <v>953</v>
      </c>
      <c r="AG10" s="258"/>
      <c r="AH10" s="258"/>
      <c r="AI10" s="570"/>
      <c r="AJ10" s="568" t="s">
        <v>724</v>
      </c>
      <c r="AK10" s="258"/>
      <c r="AL10" s="258"/>
      <c r="AM10" s="259"/>
      <c r="AN10" s="569" t="s">
        <v>953</v>
      </c>
      <c r="AO10" s="258"/>
      <c r="AP10" s="258"/>
      <c r="AQ10" s="570"/>
      <c r="AR10" s="568" t="s">
        <v>724</v>
      </c>
      <c r="AS10" s="258"/>
      <c r="AT10" s="258"/>
      <c r="AU10" s="259"/>
      <c r="AV10" s="569" t="s">
        <v>953</v>
      </c>
      <c r="AW10" s="258"/>
      <c r="AX10" s="258"/>
      <c r="AY10" s="570"/>
    </row>
    <row r="11">
      <c r="A11" s="566"/>
      <c r="B11" s="572"/>
      <c r="C11" s="173"/>
      <c r="D11" s="573" t="s">
        <v>734</v>
      </c>
      <c r="E11" s="574" t="s">
        <v>957</v>
      </c>
      <c r="F11" s="575" t="s">
        <v>958</v>
      </c>
      <c r="G11" s="574" t="s">
        <v>635</v>
      </c>
      <c r="H11" s="574" t="str">
        <f t="shared" ref="H11:K11" si="3">D11</f>
        <v>Real Tahun Lalu</v>
      </c>
      <c r="I11" s="574" t="str">
        <f t="shared" si="3"/>
        <v>Real Tahun Ini</v>
      </c>
      <c r="J11" s="575" t="str">
        <f t="shared" si="3"/>
        <v>RKO TW</v>
      </c>
      <c r="K11" s="574" t="str">
        <f t="shared" si="3"/>
        <v>RKAP</v>
      </c>
      <c r="L11" s="573" t="s">
        <v>734</v>
      </c>
      <c r="M11" s="574" t="s">
        <v>957</v>
      </c>
      <c r="N11" s="575" t="s">
        <v>958</v>
      </c>
      <c r="O11" s="574" t="s">
        <v>635</v>
      </c>
      <c r="P11" s="574" t="str">
        <f t="shared" ref="P11:S11" si="4">L11</f>
        <v>Real Tahun Lalu</v>
      </c>
      <c r="Q11" s="574" t="str">
        <f t="shared" si="4"/>
        <v>Real Tahun Ini</v>
      </c>
      <c r="R11" s="575" t="str">
        <f t="shared" si="4"/>
        <v>RKO TW</v>
      </c>
      <c r="S11" s="574" t="str">
        <f t="shared" si="4"/>
        <v>RKAP</v>
      </c>
      <c r="T11" s="573" t="s">
        <v>734</v>
      </c>
      <c r="U11" s="574" t="s">
        <v>957</v>
      </c>
      <c r="V11" s="575" t="s">
        <v>958</v>
      </c>
      <c r="W11" s="574" t="s">
        <v>635</v>
      </c>
      <c r="X11" s="574" t="str">
        <f t="shared" ref="X11:AA11" si="5">T11</f>
        <v>Real Tahun Lalu</v>
      </c>
      <c r="Y11" s="574" t="str">
        <f t="shared" si="5"/>
        <v>Real Tahun Ini</v>
      </c>
      <c r="Z11" s="575" t="str">
        <f t="shared" si="5"/>
        <v>RKO TW</v>
      </c>
      <c r="AA11" s="574" t="str">
        <f t="shared" si="5"/>
        <v>RKAP</v>
      </c>
      <c r="AB11" s="573" t="s">
        <v>734</v>
      </c>
      <c r="AC11" s="574" t="s">
        <v>957</v>
      </c>
      <c r="AD11" s="575" t="s">
        <v>958</v>
      </c>
      <c r="AE11" s="574" t="s">
        <v>635</v>
      </c>
      <c r="AF11" s="574" t="str">
        <f t="shared" ref="AF11:AI11" si="6">AB11</f>
        <v>Real Tahun Lalu</v>
      </c>
      <c r="AG11" s="574" t="str">
        <f t="shared" si="6"/>
        <v>Real Tahun Ini</v>
      </c>
      <c r="AH11" s="575" t="str">
        <f t="shared" si="6"/>
        <v>RKO TW</v>
      </c>
      <c r="AI11" s="574" t="str">
        <f t="shared" si="6"/>
        <v>RKAP</v>
      </c>
      <c r="AJ11" s="573" t="s">
        <v>734</v>
      </c>
      <c r="AK11" s="574" t="s">
        <v>957</v>
      </c>
      <c r="AL11" s="575" t="s">
        <v>958</v>
      </c>
      <c r="AM11" s="574" t="s">
        <v>635</v>
      </c>
      <c r="AN11" s="574" t="str">
        <f t="shared" ref="AN11:AQ11" si="7">AJ11</f>
        <v>Real Tahun Lalu</v>
      </c>
      <c r="AO11" s="574" t="str">
        <f t="shared" si="7"/>
        <v>Real Tahun Ini</v>
      </c>
      <c r="AP11" s="575" t="str">
        <f t="shared" si="7"/>
        <v>RKO TW</v>
      </c>
      <c r="AQ11" s="574" t="str">
        <f t="shared" si="7"/>
        <v>RKAP</v>
      </c>
      <c r="AR11" s="573" t="s">
        <v>734</v>
      </c>
      <c r="AS11" s="574" t="s">
        <v>957</v>
      </c>
      <c r="AT11" s="575" t="s">
        <v>958</v>
      </c>
      <c r="AU11" s="574" t="s">
        <v>635</v>
      </c>
      <c r="AV11" s="574" t="str">
        <f t="shared" ref="AV11:AY11" si="8">AR11</f>
        <v>Real Tahun Lalu</v>
      </c>
      <c r="AW11" s="574" t="str">
        <f t="shared" si="8"/>
        <v>Real Tahun Ini</v>
      </c>
      <c r="AX11" s="575" t="str">
        <f t="shared" si="8"/>
        <v>RKO TW</v>
      </c>
      <c r="AY11" s="574" t="str">
        <f t="shared" si="8"/>
        <v>RKAP</v>
      </c>
    </row>
    <row r="12">
      <c r="A12" s="576"/>
      <c r="B12" s="577" t="s">
        <v>959</v>
      </c>
      <c r="C12" s="578" t="s">
        <v>960</v>
      </c>
      <c r="D12" s="579">
        <f>'Sinta-B'!E11</f>
        <v>0</v>
      </c>
      <c r="E12" s="580">
        <f>'Sinta-B'!F11</f>
        <v>0</v>
      </c>
      <c r="F12" s="580">
        <f>'Sinta-B'!G11</f>
        <v>0</v>
      </c>
      <c r="G12" s="580">
        <f>'Sinta-B'!H11</f>
        <v>0</v>
      </c>
      <c r="H12" s="579">
        <f>'Sinta-B'!I11</f>
        <v>0</v>
      </c>
      <c r="I12" s="580">
        <f>'Sinta-B'!J11</f>
        <v>0</v>
      </c>
      <c r="J12" s="580">
        <f>'Sinta-B'!K11</f>
        <v>0</v>
      </c>
      <c r="K12" s="580">
        <f>'Sinta-B'!L11</f>
        <v>0</v>
      </c>
      <c r="L12" s="579">
        <f>'Kumai-B'!E11</f>
        <v>0</v>
      </c>
      <c r="M12" s="580">
        <f>'Kumai-B'!F11</f>
        <v>0</v>
      </c>
      <c r="N12" s="580">
        <f>'Kumai-B'!G11</f>
        <v>0</v>
      </c>
      <c r="O12" s="580">
        <f>'Kumai-B'!H11</f>
        <v>0</v>
      </c>
      <c r="P12" s="579">
        <f>'Kumai-B'!I11</f>
        <v>0</v>
      </c>
      <c r="Q12" s="580">
        <f>'Kumai-B'!J11</f>
        <v>0</v>
      </c>
      <c r="R12" s="580">
        <f>'Kumai-B'!K11</f>
        <v>0</v>
      </c>
      <c r="S12" s="580">
        <f>'Kumai-B'!L11</f>
        <v>0</v>
      </c>
      <c r="T12" s="579">
        <f>'Balin-B'!E11</f>
        <v>0</v>
      </c>
      <c r="U12" s="580">
        <f>'Balin-B'!F11</f>
        <v>0</v>
      </c>
      <c r="V12" s="580">
        <f>'Balin-B'!G11</f>
        <v>0</v>
      </c>
      <c r="W12" s="580">
        <f>'Balin-B'!H11</f>
        <v>0</v>
      </c>
      <c r="X12" s="579">
        <f>'Balin-B'!I11</f>
        <v>0</v>
      </c>
      <c r="Y12" s="580">
        <f>'Balin-B'!J11</f>
        <v>0</v>
      </c>
      <c r="Z12" s="580">
        <f>'Balin-B'!K11</f>
        <v>0</v>
      </c>
      <c r="AA12" s="580">
        <f>'Balin-B'!L11</f>
        <v>0</v>
      </c>
      <c r="AB12" s="579">
        <v>0.0</v>
      </c>
      <c r="AC12" s="581">
        <v>0.0</v>
      </c>
      <c r="AD12" s="581">
        <v>0.0</v>
      </c>
      <c r="AE12" s="581">
        <v>0.0</v>
      </c>
      <c r="AF12" s="579">
        <v>0.0</v>
      </c>
      <c r="AG12" s="581">
        <v>0.0</v>
      </c>
      <c r="AH12" s="581">
        <v>0.0</v>
      </c>
      <c r="AI12" s="581">
        <v>0.0</v>
      </c>
      <c r="AJ12" s="579">
        <f>'Lokal-B'!E11</f>
        <v>0</v>
      </c>
      <c r="AK12" s="580">
        <f>'Lokal-B'!F11</f>
        <v>0</v>
      </c>
      <c r="AL12" s="580">
        <f>'Lokal-B'!G11</f>
        <v>0</v>
      </c>
      <c r="AM12" s="580">
        <f>'Lokal-B'!H11</f>
        <v>0</v>
      </c>
      <c r="AN12" s="579">
        <f>'Lokal-B'!I11</f>
        <v>0</v>
      </c>
      <c r="AO12" s="580">
        <f>'Lokal-B'!J11</f>
        <v>0</v>
      </c>
      <c r="AP12" s="580">
        <f>'Lokal-B'!K11</f>
        <v>0</v>
      </c>
      <c r="AQ12" s="580">
        <f>'Lokal-B'!L11</f>
        <v>0</v>
      </c>
      <c r="AR12" s="582">
        <f t="shared" ref="AR12:AY12" si="9">D12+L12+T12+AB12+AJ12</f>
        <v>0</v>
      </c>
      <c r="AS12" s="580">
        <f t="shared" si="9"/>
        <v>0</v>
      </c>
      <c r="AT12" s="580">
        <f t="shared" si="9"/>
        <v>0</v>
      </c>
      <c r="AU12" s="580">
        <f t="shared" si="9"/>
        <v>0</v>
      </c>
      <c r="AV12" s="580">
        <f t="shared" si="9"/>
        <v>0</v>
      </c>
      <c r="AW12" s="580">
        <f t="shared" si="9"/>
        <v>0</v>
      </c>
      <c r="AX12" s="583">
        <f t="shared" si="9"/>
        <v>0</v>
      </c>
      <c r="AY12" s="583">
        <f t="shared" si="9"/>
        <v>0</v>
      </c>
    </row>
    <row r="13">
      <c r="A13" s="576"/>
      <c r="B13" s="584" t="s">
        <v>966</v>
      </c>
      <c r="C13" s="585" t="s">
        <v>967</v>
      </c>
      <c r="D13" s="557"/>
      <c r="E13" s="552"/>
      <c r="F13" s="552"/>
      <c r="G13" s="552"/>
      <c r="H13" s="557"/>
      <c r="I13" s="552"/>
      <c r="J13" s="552"/>
      <c r="K13" s="552"/>
      <c r="L13" s="557"/>
      <c r="M13" s="552"/>
      <c r="N13" s="552"/>
      <c r="O13" s="552"/>
      <c r="P13" s="557"/>
      <c r="Q13" s="552"/>
      <c r="R13" s="552"/>
      <c r="S13" s="552"/>
      <c r="T13" s="557"/>
      <c r="U13" s="552"/>
      <c r="V13" s="552"/>
      <c r="W13" s="552"/>
      <c r="X13" s="557"/>
      <c r="Y13" s="552"/>
      <c r="Z13" s="552"/>
      <c r="AA13" s="552"/>
      <c r="AB13" s="555"/>
      <c r="AC13" s="553"/>
      <c r="AD13" s="553"/>
      <c r="AE13" s="553"/>
      <c r="AF13" s="555"/>
      <c r="AG13" s="553"/>
      <c r="AH13" s="553"/>
      <c r="AI13" s="553"/>
      <c r="AJ13" s="557"/>
      <c r="AK13" s="552"/>
      <c r="AL13" s="552"/>
      <c r="AM13" s="552"/>
      <c r="AN13" s="557"/>
      <c r="AO13" s="552"/>
      <c r="AP13" s="552"/>
      <c r="AQ13" s="552"/>
      <c r="AR13" s="557"/>
      <c r="AS13" s="552"/>
      <c r="AT13" s="552"/>
      <c r="AU13" s="552"/>
      <c r="AV13" s="552"/>
      <c r="AW13" s="552"/>
      <c r="AX13" s="554"/>
      <c r="AY13" s="554"/>
    </row>
    <row r="14">
      <c r="A14" s="576"/>
      <c r="B14" s="549"/>
      <c r="C14" s="586" t="s">
        <v>961</v>
      </c>
      <c r="D14" s="555">
        <f>'Sinta-B'!E17</f>
        <v>3320</v>
      </c>
      <c r="E14" s="553">
        <f>'Sinta-B'!F17</f>
        <v>387</v>
      </c>
      <c r="F14" s="553">
        <f>'Sinta-B'!G17</f>
        <v>0</v>
      </c>
      <c r="G14" s="553">
        <f>'Sinta-B'!H17</f>
        <v>0</v>
      </c>
      <c r="H14" s="555">
        <f>'Sinta-B'!I17</f>
        <v>14300</v>
      </c>
      <c r="I14" s="553">
        <f>'Sinta-B'!J17</f>
        <v>3115</v>
      </c>
      <c r="J14" s="553">
        <f>'Sinta-B'!K17</f>
        <v>0</v>
      </c>
      <c r="K14" s="553">
        <f>'Sinta-B'!L17</f>
        <v>0</v>
      </c>
      <c r="L14" s="555">
        <f>'Kumai-B'!E17</f>
        <v>0</v>
      </c>
      <c r="M14" s="553">
        <f>'Kumai-B'!F17</f>
        <v>0</v>
      </c>
      <c r="N14" s="553">
        <f>'Kumai-B'!G17</f>
        <v>0</v>
      </c>
      <c r="O14" s="553">
        <f>'Kumai-B'!H17</f>
        <v>0</v>
      </c>
      <c r="P14" s="555">
        <f>'Kumai-B'!I17</f>
        <v>0</v>
      </c>
      <c r="Q14" s="553">
        <f>'Kumai-B'!J17</f>
        <v>0</v>
      </c>
      <c r="R14" s="553">
        <f>'Kumai-B'!K17</f>
        <v>0</v>
      </c>
      <c r="S14" s="553">
        <f>'Kumai-B'!L17</f>
        <v>0</v>
      </c>
      <c r="T14" s="555">
        <f>'Balin-B'!E17</f>
        <v>55913</v>
      </c>
      <c r="U14" s="553">
        <f>'Balin-B'!F17</f>
        <v>38407</v>
      </c>
      <c r="V14" s="553">
        <f>'Balin-B'!G17</f>
        <v>65728</v>
      </c>
      <c r="W14" s="553">
        <f>'Balin-B'!H17</f>
        <v>65728</v>
      </c>
      <c r="X14" s="555">
        <f>'Balin-B'!I17</f>
        <v>272203</v>
      </c>
      <c r="Y14" s="553">
        <f>'Balin-B'!J17</f>
        <v>206338</v>
      </c>
      <c r="Z14" s="553">
        <f>'Balin-B'!K17</f>
        <v>387091</v>
      </c>
      <c r="AA14" s="553">
        <f>'Balin-B'!L17</f>
        <v>387090.8</v>
      </c>
      <c r="AB14" s="587">
        <v>0.0</v>
      </c>
      <c r="AC14" s="588">
        <v>0.0</v>
      </c>
      <c r="AD14" s="588">
        <v>0.0</v>
      </c>
      <c r="AE14" s="588">
        <v>0.0</v>
      </c>
      <c r="AF14" s="587">
        <v>0.0</v>
      </c>
      <c r="AG14" s="588">
        <v>0.0</v>
      </c>
      <c r="AH14" s="588">
        <v>0.0</v>
      </c>
      <c r="AI14" s="588">
        <v>0.0</v>
      </c>
      <c r="AJ14" s="555">
        <f>'Lokal-B'!E17</f>
        <v>350</v>
      </c>
      <c r="AK14" s="553">
        <f>'Lokal-B'!F17</f>
        <v>137</v>
      </c>
      <c r="AL14" s="553">
        <f>'Lokal-B'!G17</f>
        <v>0</v>
      </c>
      <c r="AM14" s="553">
        <f>'Lokal-B'!H17</f>
        <v>0</v>
      </c>
      <c r="AN14" s="555">
        <f>'Lokal-B'!I17</f>
        <v>1641</v>
      </c>
      <c r="AO14" s="553">
        <f>'Lokal-B'!J17</f>
        <v>604</v>
      </c>
      <c r="AP14" s="553">
        <f>'Lokal-B'!K17</f>
        <v>0</v>
      </c>
      <c r="AQ14" s="553">
        <f>'Lokal-B'!L17</f>
        <v>0</v>
      </c>
      <c r="AR14" s="555">
        <f t="shared" ref="AR14:AY14" si="10">D14+L14+T14+AB14+AJ14</f>
        <v>59583</v>
      </c>
      <c r="AS14" s="553">
        <f t="shared" si="10"/>
        <v>38931</v>
      </c>
      <c r="AT14" s="553">
        <f t="shared" si="10"/>
        <v>65728</v>
      </c>
      <c r="AU14" s="553">
        <f t="shared" si="10"/>
        <v>65728</v>
      </c>
      <c r="AV14" s="553">
        <f t="shared" si="10"/>
        <v>288144</v>
      </c>
      <c r="AW14" s="553">
        <f t="shared" si="10"/>
        <v>210057</v>
      </c>
      <c r="AX14" s="556">
        <f t="shared" si="10"/>
        <v>387091</v>
      </c>
      <c r="AY14" s="556">
        <f t="shared" si="10"/>
        <v>387090.8</v>
      </c>
    </row>
    <row r="15">
      <c r="A15" s="576"/>
      <c r="B15" s="549"/>
      <c r="C15" s="586" t="s">
        <v>963</v>
      </c>
      <c r="D15" s="555">
        <f>'Sinta-B'!E18</f>
        <v>0</v>
      </c>
      <c r="E15" s="588">
        <f>'Sinta-B'!F18</f>
        <v>0</v>
      </c>
      <c r="F15" s="588">
        <f>'Sinta-B'!G18</f>
        <v>0</v>
      </c>
      <c r="G15" s="588">
        <f>'Sinta-B'!H18</f>
        <v>0</v>
      </c>
      <c r="H15" s="587">
        <f>'Sinta-B'!I18</f>
        <v>0</v>
      </c>
      <c r="I15" s="588">
        <f>'Sinta-B'!J18</f>
        <v>0</v>
      </c>
      <c r="J15" s="588">
        <f>'Sinta-B'!K18</f>
        <v>0</v>
      </c>
      <c r="K15" s="588">
        <f>'Sinta-B'!L18</f>
        <v>0</v>
      </c>
      <c r="L15" s="555">
        <f>'Kumai-B'!E18</f>
        <v>0</v>
      </c>
      <c r="M15" s="588">
        <f>'Kumai-B'!F18</f>
        <v>0</v>
      </c>
      <c r="N15" s="588">
        <f>'Kumai-B'!G18</f>
        <v>0</v>
      </c>
      <c r="O15" s="588">
        <f>'Kumai-B'!H18</f>
        <v>0</v>
      </c>
      <c r="P15" s="587">
        <f>'Kumai-B'!I18</f>
        <v>0</v>
      </c>
      <c r="Q15" s="588">
        <f>'Kumai-B'!J18</f>
        <v>0</v>
      </c>
      <c r="R15" s="588">
        <f>'Kumai-B'!K18</f>
        <v>0</v>
      </c>
      <c r="S15" s="588">
        <f>'Kumai-B'!L18</f>
        <v>0</v>
      </c>
      <c r="T15" s="555">
        <f>'Balin-B'!E18</f>
        <v>0</v>
      </c>
      <c r="U15" s="588">
        <f>'Balin-B'!F18</f>
        <v>0</v>
      </c>
      <c r="V15" s="588">
        <f>'Balin-B'!G18</f>
        <v>0</v>
      </c>
      <c r="W15" s="588" t="str">
        <f>'Balin-B'!H18</f>
        <v/>
      </c>
      <c r="X15" s="587">
        <f>'Balin-B'!I18</f>
        <v>0</v>
      </c>
      <c r="Y15" s="588">
        <f>'Balin-B'!J18</f>
        <v>0</v>
      </c>
      <c r="Z15" s="588">
        <f>'Balin-B'!K18</f>
        <v>0</v>
      </c>
      <c r="AA15" s="588">
        <f>'Balin-B'!L18</f>
        <v>0</v>
      </c>
      <c r="AB15" s="587">
        <v>0.0</v>
      </c>
      <c r="AC15" s="588">
        <v>0.0</v>
      </c>
      <c r="AD15" s="588">
        <v>0.0</v>
      </c>
      <c r="AE15" s="588">
        <v>0.0</v>
      </c>
      <c r="AF15" s="587">
        <v>0.0</v>
      </c>
      <c r="AG15" s="588">
        <v>0.0</v>
      </c>
      <c r="AH15" s="588">
        <v>0.0</v>
      </c>
      <c r="AI15" s="588">
        <v>0.0</v>
      </c>
      <c r="AJ15" s="555">
        <f>'Lokal-B'!E18</f>
        <v>0</v>
      </c>
      <c r="AK15" s="588">
        <f>'Lokal-B'!F18</f>
        <v>0</v>
      </c>
      <c r="AL15" s="588">
        <f>'Lokal-B'!G18</f>
        <v>0</v>
      </c>
      <c r="AM15" s="588">
        <f>'Lokal-B'!H18</f>
        <v>0</v>
      </c>
      <c r="AN15" s="587">
        <f>'Lokal-B'!I18</f>
        <v>0</v>
      </c>
      <c r="AO15" s="588">
        <f>'Lokal-B'!J18</f>
        <v>0</v>
      </c>
      <c r="AP15" s="588">
        <f>'Lokal-B'!K18</f>
        <v>0</v>
      </c>
      <c r="AQ15" s="588">
        <f>'Lokal-B'!L18</f>
        <v>0</v>
      </c>
      <c r="AR15" s="555">
        <f t="shared" ref="AR15:AY15" si="11">D15+L15+T15+AB15+AJ15</f>
        <v>0</v>
      </c>
      <c r="AS15" s="553">
        <f t="shared" si="11"/>
        <v>0</v>
      </c>
      <c r="AT15" s="553">
        <f t="shared" si="11"/>
        <v>0</v>
      </c>
      <c r="AU15" s="553">
        <f t="shared" si="11"/>
        <v>0</v>
      </c>
      <c r="AV15" s="553">
        <f t="shared" si="11"/>
        <v>0</v>
      </c>
      <c r="AW15" s="553">
        <f t="shared" si="11"/>
        <v>0</v>
      </c>
      <c r="AX15" s="556">
        <f t="shared" si="11"/>
        <v>0</v>
      </c>
      <c r="AY15" s="556">
        <f t="shared" si="11"/>
        <v>0</v>
      </c>
    </row>
    <row r="16">
      <c r="A16" s="576"/>
      <c r="B16" s="589"/>
      <c r="C16" s="586" t="s">
        <v>965</v>
      </c>
      <c r="D16" s="555">
        <f>'Sinta-B'!E19</f>
        <v>0</v>
      </c>
      <c r="E16" s="553">
        <f>'Sinta-B'!F19</f>
        <v>0</v>
      </c>
      <c r="F16" s="553">
        <f>'Sinta-B'!G19</f>
        <v>0</v>
      </c>
      <c r="G16" s="553">
        <f>'Sinta-B'!H19</f>
        <v>0</v>
      </c>
      <c r="H16" s="587">
        <f>'Sinta-B'!I19</f>
        <v>0</v>
      </c>
      <c r="I16" s="553">
        <f>'Sinta-B'!J19</f>
        <v>0</v>
      </c>
      <c r="J16" s="553">
        <f>'Sinta-B'!K19</f>
        <v>0</v>
      </c>
      <c r="K16" s="553">
        <f>'Sinta-B'!L19</f>
        <v>0</v>
      </c>
      <c r="L16" s="555">
        <f>'Kumai-B'!E19</f>
        <v>0</v>
      </c>
      <c r="M16" s="553">
        <f>'Kumai-B'!F19</f>
        <v>0</v>
      </c>
      <c r="N16" s="553">
        <f>'Kumai-B'!G19</f>
        <v>0</v>
      </c>
      <c r="O16" s="553">
        <f>'Kumai-B'!H19</f>
        <v>0</v>
      </c>
      <c r="P16" s="587">
        <f>'Kumai-B'!I19</f>
        <v>0</v>
      </c>
      <c r="Q16" s="553">
        <f>'Kumai-B'!J19</f>
        <v>0</v>
      </c>
      <c r="R16" s="553">
        <f>'Kumai-B'!K19</f>
        <v>0</v>
      </c>
      <c r="S16" s="553">
        <f>'Kumai-B'!L19</f>
        <v>0</v>
      </c>
      <c r="T16" s="555">
        <f>'Balin-B'!E19</f>
        <v>0</v>
      </c>
      <c r="U16" s="553">
        <f>'Balin-B'!F19</f>
        <v>0</v>
      </c>
      <c r="V16" s="553">
        <f>'Balin-B'!G19</f>
        <v>0</v>
      </c>
      <c r="W16" s="553" t="str">
        <f>'Balin-B'!H19</f>
        <v/>
      </c>
      <c r="X16" s="587">
        <f>'Balin-B'!I19</f>
        <v>0</v>
      </c>
      <c r="Y16" s="553">
        <f>'Balin-B'!J19</f>
        <v>0</v>
      </c>
      <c r="Z16" s="553">
        <f>'Balin-B'!K19</f>
        <v>0</v>
      </c>
      <c r="AA16" s="553">
        <f>'Balin-B'!L19</f>
        <v>0</v>
      </c>
      <c r="AB16" s="587">
        <v>0.0</v>
      </c>
      <c r="AC16" s="588">
        <v>0.0</v>
      </c>
      <c r="AD16" s="588">
        <v>0.0</v>
      </c>
      <c r="AE16" s="588">
        <v>0.0</v>
      </c>
      <c r="AF16" s="587">
        <v>0.0</v>
      </c>
      <c r="AG16" s="588">
        <v>0.0</v>
      </c>
      <c r="AH16" s="588">
        <v>0.0</v>
      </c>
      <c r="AI16" s="588">
        <v>0.0</v>
      </c>
      <c r="AJ16" s="555">
        <f>'Lokal-B'!E19</f>
        <v>0</v>
      </c>
      <c r="AK16" s="553">
        <f>'Lokal-B'!F19</f>
        <v>0</v>
      </c>
      <c r="AL16" s="553">
        <f>'Lokal-B'!G19</f>
        <v>0</v>
      </c>
      <c r="AM16" s="553">
        <f>'Lokal-B'!H19</f>
        <v>0</v>
      </c>
      <c r="AN16" s="587">
        <f>'Lokal-B'!I19</f>
        <v>0</v>
      </c>
      <c r="AO16" s="553">
        <f>'Lokal-B'!J19</f>
        <v>0</v>
      </c>
      <c r="AP16" s="553">
        <f>'Lokal-B'!K19</f>
        <v>0</v>
      </c>
      <c r="AQ16" s="553">
        <f>'Lokal-B'!L19</f>
        <v>0</v>
      </c>
      <c r="AR16" s="555">
        <f t="shared" ref="AR16:AY16" si="12">D16+L16+T16+AB16+AJ16</f>
        <v>0</v>
      </c>
      <c r="AS16" s="553">
        <f t="shared" si="12"/>
        <v>0</v>
      </c>
      <c r="AT16" s="553">
        <f t="shared" si="12"/>
        <v>0</v>
      </c>
      <c r="AU16" s="553">
        <f t="shared" si="12"/>
        <v>0</v>
      </c>
      <c r="AV16" s="553">
        <f t="shared" si="12"/>
        <v>0</v>
      </c>
      <c r="AW16" s="553">
        <f t="shared" si="12"/>
        <v>0</v>
      </c>
      <c r="AX16" s="556">
        <f t="shared" si="12"/>
        <v>0</v>
      </c>
      <c r="AY16" s="556">
        <f t="shared" si="12"/>
        <v>0</v>
      </c>
    </row>
    <row r="17">
      <c r="A17" s="576"/>
      <c r="B17" s="558"/>
      <c r="C17" s="559" t="s">
        <v>951</v>
      </c>
      <c r="D17" s="563">
        <f t="shared" ref="D17:AB17" si="13">sum(D14:D16)</f>
        <v>3320</v>
      </c>
      <c r="E17" s="564">
        <f t="shared" si="13"/>
        <v>387</v>
      </c>
      <c r="F17" s="564">
        <f t="shared" si="13"/>
        <v>0</v>
      </c>
      <c r="G17" s="564">
        <f t="shared" si="13"/>
        <v>0</v>
      </c>
      <c r="H17" s="563">
        <f t="shared" si="13"/>
        <v>14300</v>
      </c>
      <c r="I17" s="564">
        <f t="shared" si="13"/>
        <v>3115</v>
      </c>
      <c r="J17" s="564">
        <f t="shared" si="13"/>
        <v>0</v>
      </c>
      <c r="K17" s="564">
        <f t="shared" si="13"/>
        <v>0</v>
      </c>
      <c r="L17" s="563">
        <f t="shared" si="13"/>
        <v>0</v>
      </c>
      <c r="M17" s="564">
        <f t="shared" si="13"/>
        <v>0</v>
      </c>
      <c r="N17" s="564">
        <f t="shared" si="13"/>
        <v>0</v>
      </c>
      <c r="O17" s="564">
        <f t="shared" si="13"/>
        <v>0</v>
      </c>
      <c r="P17" s="563">
        <f t="shared" si="13"/>
        <v>0</v>
      </c>
      <c r="Q17" s="564">
        <f t="shared" si="13"/>
        <v>0</v>
      </c>
      <c r="R17" s="564">
        <f t="shared" si="13"/>
        <v>0</v>
      </c>
      <c r="S17" s="564">
        <f t="shared" si="13"/>
        <v>0</v>
      </c>
      <c r="T17" s="563">
        <f t="shared" si="13"/>
        <v>55913</v>
      </c>
      <c r="U17" s="564">
        <f t="shared" si="13"/>
        <v>38407</v>
      </c>
      <c r="V17" s="564">
        <f t="shared" si="13"/>
        <v>65728</v>
      </c>
      <c r="W17" s="564">
        <f t="shared" si="13"/>
        <v>65728</v>
      </c>
      <c r="X17" s="563">
        <f t="shared" si="13"/>
        <v>272203</v>
      </c>
      <c r="Y17" s="564">
        <f t="shared" si="13"/>
        <v>206338</v>
      </c>
      <c r="Z17" s="564">
        <f t="shared" si="13"/>
        <v>387091</v>
      </c>
      <c r="AA17" s="564">
        <f t="shared" si="13"/>
        <v>387090.8</v>
      </c>
      <c r="AB17" s="563">
        <f t="shared" si="13"/>
        <v>0</v>
      </c>
      <c r="AC17" s="564">
        <v>0.0</v>
      </c>
      <c r="AD17" s="564">
        <v>0.0</v>
      </c>
      <c r="AE17" s="564">
        <v>0.0</v>
      </c>
      <c r="AF17" s="563">
        <v>0.0</v>
      </c>
      <c r="AG17" s="564">
        <v>0.0</v>
      </c>
      <c r="AH17" s="564">
        <v>0.0</v>
      </c>
      <c r="AI17" s="564">
        <v>0.0</v>
      </c>
      <c r="AJ17" s="563">
        <f t="shared" ref="AJ17:AY17" si="14">sum(AJ14:AJ16)</f>
        <v>350</v>
      </c>
      <c r="AK17" s="564">
        <f t="shared" si="14"/>
        <v>137</v>
      </c>
      <c r="AL17" s="564">
        <f t="shared" si="14"/>
        <v>0</v>
      </c>
      <c r="AM17" s="564">
        <f t="shared" si="14"/>
        <v>0</v>
      </c>
      <c r="AN17" s="563">
        <f t="shared" si="14"/>
        <v>1641</v>
      </c>
      <c r="AO17" s="564">
        <f t="shared" si="14"/>
        <v>604</v>
      </c>
      <c r="AP17" s="564">
        <f t="shared" si="14"/>
        <v>0</v>
      </c>
      <c r="AQ17" s="564">
        <f t="shared" si="14"/>
        <v>0</v>
      </c>
      <c r="AR17" s="563">
        <f t="shared" si="14"/>
        <v>59583</v>
      </c>
      <c r="AS17" s="564">
        <f t="shared" si="14"/>
        <v>38931</v>
      </c>
      <c r="AT17" s="564">
        <f t="shared" si="14"/>
        <v>65728</v>
      </c>
      <c r="AU17" s="564">
        <f t="shared" si="14"/>
        <v>65728</v>
      </c>
      <c r="AV17" s="564">
        <f t="shared" si="14"/>
        <v>288144</v>
      </c>
      <c r="AW17" s="564">
        <f t="shared" si="14"/>
        <v>210057</v>
      </c>
      <c r="AX17" s="565">
        <f t="shared" si="14"/>
        <v>387091</v>
      </c>
      <c r="AY17" s="565">
        <f t="shared" si="14"/>
        <v>387090.8</v>
      </c>
    </row>
    <row r="18">
      <c r="A18" s="576"/>
      <c r="B18" s="584" t="s">
        <v>1182</v>
      </c>
      <c r="C18" s="585" t="s">
        <v>969</v>
      </c>
      <c r="D18" s="557"/>
      <c r="E18" s="552"/>
      <c r="F18" s="552"/>
      <c r="G18" s="552"/>
      <c r="H18" s="557"/>
      <c r="I18" s="552"/>
      <c r="J18" s="552"/>
      <c r="K18" s="552"/>
      <c r="L18" s="557"/>
      <c r="M18" s="552"/>
      <c r="N18" s="552"/>
      <c r="O18" s="552"/>
      <c r="P18" s="557"/>
      <c r="Q18" s="552"/>
      <c r="R18" s="552"/>
      <c r="S18" s="552"/>
      <c r="T18" s="557"/>
      <c r="U18" s="552"/>
      <c r="V18" s="552"/>
      <c r="W18" s="552"/>
      <c r="X18" s="557"/>
      <c r="Y18" s="552"/>
      <c r="Z18" s="552"/>
      <c r="AA18" s="552"/>
      <c r="AB18" s="555"/>
      <c r="AC18" s="553"/>
      <c r="AD18" s="553"/>
      <c r="AE18" s="553"/>
      <c r="AF18" s="555"/>
      <c r="AG18" s="553"/>
      <c r="AH18" s="553"/>
      <c r="AI18" s="553"/>
      <c r="AJ18" s="557"/>
      <c r="AK18" s="552"/>
      <c r="AL18" s="552"/>
      <c r="AM18" s="552"/>
      <c r="AN18" s="557"/>
      <c r="AO18" s="552"/>
      <c r="AP18" s="552"/>
      <c r="AQ18" s="552"/>
      <c r="AR18" s="557"/>
      <c r="AS18" s="552"/>
      <c r="AT18" s="552"/>
      <c r="AU18" s="552"/>
      <c r="AV18" s="552"/>
      <c r="AW18" s="552"/>
      <c r="AX18" s="554"/>
      <c r="AY18" s="554"/>
    </row>
    <row r="19">
      <c r="A19" s="576"/>
      <c r="B19" s="549"/>
      <c r="C19" s="585" t="s">
        <v>1183</v>
      </c>
      <c r="D19" s="557"/>
      <c r="E19" s="552"/>
      <c r="F19" s="552"/>
      <c r="G19" s="552"/>
      <c r="H19" s="557"/>
      <c r="I19" s="552"/>
      <c r="J19" s="552"/>
      <c r="K19" s="552"/>
      <c r="L19" s="557"/>
      <c r="M19" s="552"/>
      <c r="N19" s="552"/>
      <c r="O19" s="552"/>
      <c r="P19" s="557"/>
      <c r="Q19" s="552"/>
      <c r="R19" s="552"/>
      <c r="S19" s="552"/>
      <c r="T19" s="557"/>
      <c r="U19" s="552"/>
      <c r="V19" s="552"/>
      <c r="W19" s="552"/>
      <c r="X19" s="557"/>
      <c r="Y19" s="552"/>
      <c r="Z19" s="552"/>
      <c r="AA19" s="552"/>
      <c r="AB19" s="555"/>
      <c r="AC19" s="553"/>
      <c r="AD19" s="553"/>
      <c r="AE19" s="553"/>
      <c r="AF19" s="555"/>
      <c r="AG19" s="553"/>
      <c r="AH19" s="553"/>
      <c r="AI19" s="553"/>
      <c r="AJ19" s="557"/>
      <c r="AK19" s="552"/>
      <c r="AL19" s="552"/>
      <c r="AM19" s="552"/>
      <c r="AN19" s="557"/>
      <c r="AO19" s="552"/>
      <c r="AP19" s="552"/>
      <c r="AQ19" s="552"/>
      <c r="AR19" s="557"/>
      <c r="AS19" s="552"/>
      <c r="AT19" s="552"/>
      <c r="AU19" s="552"/>
      <c r="AV19" s="552"/>
      <c r="AW19" s="552"/>
      <c r="AX19" s="554"/>
      <c r="AY19" s="554"/>
    </row>
    <row r="20">
      <c r="A20" s="576"/>
      <c r="B20" s="549"/>
      <c r="C20" s="586" t="s">
        <v>961</v>
      </c>
      <c r="D20" s="555">
        <f>'Sinta-B'!E22</f>
        <v>0</v>
      </c>
      <c r="E20" s="553">
        <f>'Sinta-B'!F22</f>
        <v>0</v>
      </c>
      <c r="F20" s="553">
        <f>'Sinta-B'!G22</f>
        <v>0</v>
      </c>
      <c r="G20" s="553">
        <f>'Sinta-B'!H22</f>
        <v>0</v>
      </c>
      <c r="H20" s="587">
        <f>'Sinta-B'!I22</f>
        <v>0</v>
      </c>
      <c r="I20" s="553">
        <f>'Sinta-B'!J22</f>
        <v>0</v>
      </c>
      <c r="J20" s="553">
        <f>'Sinta-B'!K22</f>
        <v>0</v>
      </c>
      <c r="K20" s="553">
        <f>'Sinta-B'!L22</f>
        <v>0</v>
      </c>
      <c r="L20" s="555">
        <f>'Kumai-B'!E22</f>
        <v>0</v>
      </c>
      <c r="M20" s="553">
        <f>'Kumai-B'!F22</f>
        <v>0</v>
      </c>
      <c r="N20" s="553">
        <f>'Kumai-B'!G22</f>
        <v>0</v>
      </c>
      <c r="O20" s="553">
        <f>'Kumai-B'!H22</f>
        <v>0</v>
      </c>
      <c r="P20" s="587">
        <f>'Kumai-B'!I22</f>
        <v>0</v>
      </c>
      <c r="Q20" s="553">
        <f>'Kumai-B'!J22</f>
        <v>0</v>
      </c>
      <c r="R20" s="553">
        <f>'Kumai-B'!K22</f>
        <v>0</v>
      </c>
      <c r="S20" s="553">
        <f>'Kumai-B'!L22</f>
        <v>0</v>
      </c>
      <c r="T20" s="555">
        <f>'Balin-B'!E22</f>
        <v>0</v>
      </c>
      <c r="U20" s="553">
        <f>'Balin-B'!F22</f>
        <v>0</v>
      </c>
      <c r="V20" s="553">
        <f>'Balin-B'!G22</f>
        <v>0</v>
      </c>
      <c r="W20" s="553">
        <f>'Balin-B'!H22</f>
        <v>0</v>
      </c>
      <c r="X20" s="587">
        <f>'Balin-B'!I22</f>
        <v>0</v>
      </c>
      <c r="Y20" s="553">
        <f>'Balin-B'!J22</f>
        <v>0</v>
      </c>
      <c r="Z20" s="553">
        <f>'Balin-B'!K22</f>
        <v>0</v>
      </c>
      <c r="AA20" s="553">
        <f>'Balin-B'!L22</f>
        <v>0</v>
      </c>
      <c r="AB20" s="587">
        <v>0.0</v>
      </c>
      <c r="AC20" s="588">
        <v>0.0</v>
      </c>
      <c r="AD20" s="588">
        <v>0.0</v>
      </c>
      <c r="AE20" s="588">
        <v>0.0</v>
      </c>
      <c r="AF20" s="587">
        <v>0.0</v>
      </c>
      <c r="AG20" s="588">
        <v>0.0</v>
      </c>
      <c r="AH20" s="588">
        <v>0.0</v>
      </c>
      <c r="AI20" s="588">
        <v>0.0</v>
      </c>
      <c r="AJ20" s="555">
        <f>'Lokal-B'!E22</f>
        <v>0</v>
      </c>
      <c r="AK20" s="553">
        <f>'Lokal-B'!F22</f>
        <v>0</v>
      </c>
      <c r="AL20" s="553">
        <f>'Lokal-B'!G22</f>
        <v>0</v>
      </c>
      <c r="AM20" s="553">
        <f>'Lokal-B'!H22</f>
        <v>0</v>
      </c>
      <c r="AN20" s="587">
        <f>'Lokal-B'!I22</f>
        <v>0</v>
      </c>
      <c r="AO20" s="553">
        <f>'Lokal-B'!J22</f>
        <v>0</v>
      </c>
      <c r="AP20" s="553">
        <f>'Lokal-B'!K22</f>
        <v>0</v>
      </c>
      <c r="AQ20" s="553">
        <f>'Lokal-B'!L22</f>
        <v>0</v>
      </c>
      <c r="AR20" s="555">
        <f t="shared" ref="AR20:AY20" si="15">D20+L20+T20+AB20+AJ20</f>
        <v>0</v>
      </c>
      <c r="AS20" s="553">
        <f t="shared" si="15"/>
        <v>0</v>
      </c>
      <c r="AT20" s="553">
        <f t="shared" si="15"/>
        <v>0</v>
      </c>
      <c r="AU20" s="553">
        <f t="shared" si="15"/>
        <v>0</v>
      </c>
      <c r="AV20" s="553">
        <f t="shared" si="15"/>
        <v>0</v>
      </c>
      <c r="AW20" s="553">
        <f t="shared" si="15"/>
        <v>0</v>
      </c>
      <c r="AX20" s="556">
        <f t="shared" si="15"/>
        <v>0</v>
      </c>
      <c r="AY20" s="556">
        <f t="shared" si="15"/>
        <v>0</v>
      </c>
    </row>
    <row r="21">
      <c r="A21" s="576"/>
      <c r="B21" s="549"/>
      <c r="C21" s="586" t="s">
        <v>963</v>
      </c>
      <c r="D21" s="555">
        <f>'Sinta-B'!E23</f>
        <v>0</v>
      </c>
      <c r="E21" s="588">
        <f>'Sinta-B'!F23</f>
        <v>0</v>
      </c>
      <c r="F21" s="588">
        <f>'Sinta-B'!G23</f>
        <v>0</v>
      </c>
      <c r="G21" s="588">
        <f>'Sinta-B'!H23</f>
        <v>0</v>
      </c>
      <c r="H21" s="587">
        <f>'Sinta-B'!I23</f>
        <v>0</v>
      </c>
      <c r="I21" s="588">
        <f>'Sinta-B'!J23</f>
        <v>0</v>
      </c>
      <c r="J21" s="588">
        <f>'Sinta-B'!K23</f>
        <v>0</v>
      </c>
      <c r="K21" s="588">
        <f>'Sinta-B'!L23</f>
        <v>0</v>
      </c>
      <c r="L21" s="555">
        <f>'Kumai-B'!E23</f>
        <v>0</v>
      </c>
      <c r="M21" s="588">
        <f>'Kumai-B'!F23</f>
        <v>0</v>
      </c>
      <c r="N21" s="588">
        <f>'Kumai-B'!G23</f>
        <v>0</v>
      </c>
      <c r="O21" s="588">
        <f>'Kumai-B'!H23</f>
        <v>0</v>
      </c>
      <c r="P21" s="587">
        <f>'Kumai-B'!I23</f>
        <v>0</v>
      </c>
      <c r="Q21" s="588">
        <f>'Kumai-B'!J23</f>
        <v>0</v>
      </c>
      <c r="R21" s="588">
        <f>'Kumai-B'!K23</f>
        <v>0</v>
      </c>
      <c r="S21" s="588">
        <f>'Kumai-B'!L23</f>
        <v>0</v>
      </c>
      <c r="T21" s="555">
        <f>'Balin-B'!E23</f>
        <v>0</v>
      </c>
      <c r="U21" s="588">
        <f>'Balin-B'!F23</f>
        <v>0</v>
      </c>
      <c r="V21" s="588">
        <f>'Balin-B'!G23</f>
        <v>0</v>
      </c>
      <c r="W21" s="588">
        <f>'Balin-B'!H23</f>
        <v>0</v>
      </c>
      <c r="X21" s="587">
        <f>'Balin-B'!I23</f>
        <v>0</v>
      </c>
      <c r="Y21" s="588">
        <f>'Balin-B'!J23</f>
        <v>0</v>
      </c>
      <c r="Z21" s="588">
        <f>'Balin-B'!K23</f>
        <v>0</v>
      </c>
      <c r="AA21" s="588">
        <f>'Balin-B'!L23</f>
        <v>0</v>
      </c>
      <c r="AB21" s="587">
        <v>0.0</v>
      </c>
      <c r="AC21" s="588">
        <v>0.0</v>
      </c>
      <c r="AD21" s="588">
        <v>0.0</v>
      </c>
      <c r="AE21" s="588">
        <v>0.0</v>
      </c>
      <c r="AF21" s="587">
        <v>0.0</v>
      </c>
      <c r="AG21" s="588">
        <v>0.0</v>
      </c>
      <c r="AH21" s="588">
        <v>0.0</v>
      </c>
      <c r="AI21" s="588">
        <v>0.0</v>
      </c>
      <c r="AJ21" s="555">
        <f>'Lokal-B'!E23</f>
        <v>0</v>
      </c>
      <c r="AK21" s="588">
        <f>'Lokal-B'!F23</f>
        <v>0</v>
      </c>
      <c r="AL21" s="588">
        <f>'Lokal-B'!G23</f>
        <v>0</v>
      </c>
      <c r="AM21" s="588">
        <f>'Lokal-B'!H23</f>
        <v>0</v>
      </c>
      <c r="AN21" s="587">
        <f>'Lokal-B'!I23</f>
        <v>0</v>
      </c>
      <c r="AO21" s="588">
        <f>'Lokal-B'!J23</f>
        <v>0</v>
      </c>
      <c r="AP21" s="588">
        <f>'Lokal-B'!K23</f>
        <v>0</v>
      </c>
      <c r="AQ21" s="588">
        <f>'Lokal-B'!L23</f>
        <v>0</v>
      </c>
      <c r="AR21" s="555">
        <f t="shared" ref="AR21:AY21" si="16">D21+L21+T21+AB21+AJ21</f>
        <v>0</v>
      </c>
      <c r="AS21" s="553">
        <f t="shared" si="16"/>
        <v>0</v>
      </c>
      <c r="AT21" s="553">
        <f t="shared" si="16"/>
        <v>0</v>
      </c>
      <c r="AU21" s="553">
        <f t="shared" si="16"/>
        <v>0</v>
      </c>
      <c r="AV21" s="553">
        <f t="shared" si="16"/>
        <v>0</v>
      </c>
      <c r="AW21" s="553">
        <f t="shared" si="16"/>
        <v>0</v>
      </c>
      <c r="AX21" s="556">
        <f t="shared" si="16"/>
        <v>0</v>
      </c>
      <c r="AY21" s="556">
        <f t="shared" si="16"/>
        <v>0</v>
      </c>
    </row>
    <row r="22">
      <c r="A22" s="576"/>
      <c r="B22" s="589"/>
      <c r="C22" s="586" t="s">
        <v>965</v>
      </c>
      <c r="D22" s="555">
        <f>'Sinta-B'!E24</f>
        <v>0</v>
      </c>
      <c r="E22" s="553">
        <f>'Sinta-B'!F24</f>
        <v>0</v>
      </c>
      <c r="F22" s="553">
        <f>'Sinta-B'!G24</f>
        <v>0</v>
      </c>
      <c r="G22" s="553">
        <f>'Sinta-B'!H24</f>
        <v>0</v>
      </c>
      <c r="H22" s="587">
        <f>'Sinta-B'!I24</f>
        <v>0</v>
      </c>
      <c r="I22" s="553">
        <f>'Sinta-B'!J24</f>
        <v>0</v>
      </c>
      <c r="J22" s="553">
        <f>'Sinta-B'!K24</f>
        <v>0</v>
      </c>
      <c r="K22" s="553">
        <f>'Sinta-B'!L24</f>
        <v>0</v>
      </c>
      <c r="L22" s="555">
        <f>'Kumai-B'!E24</f>
        <v>0</v>
      </c>
      <c r="M22" s="553">
        <f>'Kumai-B'!F24</f>
        <v>0</v>
      </c>
      <c r="N22" s="553">
        <f>'Kumai-B'!G24</f>
        <v>0</v>
      </c>
      <c r="O22" s="553">
        <f>'Kumai-B'!H24</f>
        <v>0</v>
      </c>
      <c r="P22" s="587">
        <f>'Kumai-B'!I24</f>
        <v>0</v>
      </c>
      <c r="Q22" s="553">
        <f>'Kumai-B'!J24</f>
        <v>0</v>
      </c>
      <c r="R22" s="553">
        <f>'Kumai-B'!K24</f>
        <v>0</v>
      </c>
      <c r="S22" s="553">
        <f>'Kumai-B'!L24</f>
        <v>0</v>
      </c>
      <c r="T22" s="555">
        <f>'Balin-B'!E24</f>
        <v>0</v>
      </c>
      <c r="U22" s="553">
        <f>'Balin-B'!F24</f>
        <v>0</v>
      </c>
      <c r="V22" s="553">
        <f>'Balin-B'!G24</f>
        <v>0</v>
      </c>
      <c r="W22" s="553">
        <f>'Balin-B'!H24</f>
        <v>0</v>
      </c>
      <c r="X22" s="587">
        <f>'Balin-B'!I24</f>
        <v>0</v>
      </c>
      <c r="Y22" s="553">
        <f>'Balin-B'!J24</f>
        <v>0</v>
      </c>
      <c r="Z22" s="553">
        <f>'Balin-B'!K24</f>
        <v>0</v>
      </c>
      <c r="AA22" s="553">
        <f>'Balin-B'!L24</f>
        <v>0</v>
      </c>
      <c r="AB22" s="587">
        <v>0.0</v>
      </c>
      <c r="AC22" s="588">
        <v>0.0</v>
      </c>
      <c r="AD22" s="588">
        <v>0.0</v>
      </c>
      <c r="AE22" s="588">
        <v>0.0</v>
      </c>
      <c r="AF22" s="587">
        <v>0.0</v>
      </c>
      <c r="AG22" s="588">
        <v>0.0</v>
      </c>
      <c r="AH22" s="588">
        <v>0.0</v>
      </c>
      <c r="AI22" s="588">
        <v>0.0</v>
      </c>
      <c r="AJ22" s="555">
        <f>'Lokal-B'!E24</f>
        <v>0</v>
      </c>
      <c r="AK22" s="553">
        <f>'Lokal-B'!F24</f>
        <v>0</v>
      </c>
      <c r="AL22" s="553">
        <f>'Lokal-B'!G24</f>
        <v>0</v>
      </c>
      <c r="AM22" s="553">
        <f>'Lokal-B'!H24</f>
        <v>0</v>
      </c>
      <c r="AN22" s="587">
        <f>'Lokal-B'!I24</f>
        <v>0</v>
      </c>
      <c r="AO22" s="553">
        <f>'Lokal-B'!J24</f>
        <v>0</v>
      </c>
      <c r="AP22" s="553">
        <f>'Lokal-B'!K24</f>
        <v>0</v>
      </c>
      <c r="AQ22" s="553">
        <f>'Lokal-B'!L24</f>
        <v>0</v>
      </c>
      <c r="AR22" s="555">
        <f t="shared" ref="AR22:AY22" si="17">D22+L22+T22+AB22+AJ22</f>
        <v>0</v>
      </c>
      <c r="AS22" s="553">
        <f t="shared" si="17"/>
        <v>0</v>
      </c>
      <c r="AT22" s="553">
        <f t="shared" si="17"/>
        <v>0</v>
      </c>
      <c r="AU22" s="553">
        <f t="shared" si="17"/>
        <v>0</v>
      </c>
      <c r="AV22" s="553">
        <f t="shared" si="17"/>
        <v>0</v>
      </c>
      <c r="AW22" s="553">
        <f t="shared" si="17"/>
        <v>0</v>
      </c>
      <c r="AX22" s="556">
        <f t="shared" si="17"/>
        <v>0</v>
      </c>
      <c r="AY22" s="556">
        <f t="shared" si="17"/>
        <v>0</v>
      </c>
    </row>
    <row r="23">
      <c r="A23" s="576"/>
      <c r="B23" s="558"/>
      <c r="C23" s="559" t="s">
        <v>951</v>
      </c>
      <c r="D23" s="563">
        <f t="shared" ref="D23:AB23" si="18">sum(D20:D22)</f>
        <v>0</v>
      </c>
      <c r="E23" s="564">
        <f t="shared" si="18"/>
        <v>0</v>
      </c>
      <c r="F23" s="564">
        <f t="shared" si="18"/>
        <v>0</v>
      </c>
      <c r="G23" s="564">
        <f t="shared" si="18"/>
        <v>0</v>
      </c>
      <c r="H23" s="563">
        <f t="shared" si="18"/>
        <v>0</v>
      </c>
      <c r="I23" s="564">
        <f t="shared" si="18"/>
        <v>0</v>
      </c>
      <c r="J23" s="564">
        <f t="shared" si="18"/>
        <v>0</v>
      </c>
      <c r="K23" s="564">
        <f t="shared" si="18"/>
        <v>0</v>
      </c>
      <c r="L23" s="563">
        <f t="shared" si="18"/>
        <v>0</v>
      </c>
      <c r="M23" s="564">
        <f t="shared" si="18"/>
        <v>0</v>
      </c>
      <c r="N23" s="564">
        <f t="shared" si="18"/>
        <v>0</v>
      </c>
      <c r="O23" s="564">
        <f t="shared" si="18"/>
        <v>0</v>
      </c>
      <c r="P23" s="563">
        <f t="shared" si="18"/>
        <v>0</v>
      </c>
      <c r="Q23" s="564">
        <f t="shared" si="18"/>
        <v>0</v>
      </c>
      <c r="R23" s="564">
        <f t="shared" si="18"/>
        <v>0</v>
      </c>
      <c r="S23" s="564">
        <f t="shared" si="18"/>
        <v>0</v>
      </c>
      <c r="T23" s="563">
        <f t="shared" si="18"/>
        <v>0</v>
      </c>
      <c r="U23" s="564">
        <f t="shared" si="18"/>
        <v>0</v>
      </c>
      <c r="V23" s="564">
        <f t="shared" si="18"/>
        <v>0</v>
      </c>
      <c r="W23" s="564">
        <f t="shared" si="18"/>
        <v>0</v>
      </c>
      <c r="X23" s="563">
        <f t="shared" si="18"/>
        <v>0</v>
      </c>
      <c r="Y23" s="564">
        <f t="shared" si="18"/>
        <v>0</v>
      </c>
      <c r="Z23" s="564">
        <f t="shared" si="18"/>
        <v>0</v>
      </c>
      <c r="AA23" s="564">
        <f t="shared" si="18"/>
        <v>0</v>
      </c>
      <c r="AB23" s="563">
        <f t="shared" si="18"/>
        <v>0</v>
      </c>
      <c r="AC23" s="564">
        <v>0.0</v>
      </c>
      <c r="AD23" s="564">
        <v>0.0</v>
      </c>
      <c r="AE23" s="564">
        <v>0.0</v>
      </c>
      <c r="AF23" s="563">
        <v>0.0</v>
      </c>
      <c r="AG23" s="564">
        <v>0.0</v>
      </c>
      <c r="AH23" s="564">
        <v>0.0</v>
      </c>
      <c r="AI23" s="564">
        <v>0.0</v>
      </c>
      <c r="AJ23" s="563">
        <f t="shared" ref="AJ23:AY23" si="19">sum(AJ20:AJ22)</f>
        <v>0</v>
      </c>
      <c r="AK23" s="564">
        <f t="shared" si="19"/>
        <v>0</v>
      </c>
      <c r="AL23" s="564">
        <f t="shared" si="19"/>
        <v>0</v>
      </c>
      <c r="AM23" s="564">
        <f t="shared" si="19"/>
        <v>0</v>
      </c>
      <c r="AN23" s="563">
        <f t="shared" si="19"/>
        <v>0</v>
      </c>
      <c r="AO23" s="564">
        <f t="shared" si="19"/>
        <v>0</v>
      </c>
      <c r="AP23" s="564">
        <f t="shared" si="19"/>
        <v>0</v>
      </c>
      <c r="AQ23" s="564">
        <f t="shared" si="19"/>
        <v>0</v>
      </c>
      <c r="AR23" s="563">
        <f t="shared" si="19"/>
        <v>0</v>
      </c>
      <c r="AS23" s="564">
        <f t="shared" si="19"/>
        <v>0</v>
      </c>
      <c r="AT23" s="564">
        <f t="shared" si="19"/>
        <v>0</v>
      </c>
      <c r="AU23" s="564">
        <f t="shared" si="19"/>
        <v>0</v>
      </c>
      <c r="AV23" s="564">
        <f t="shared" si="19"/>
        <v>0</v>
      </c>
      <c r="AW23" s="564">
        <f t="shared" si="19"/>
        <v>0</v>
      </c>
      <c r="AX23" s="565">
        <f t="shared" si="19"/>
        <v>0</v>
      </c>
      <c r="AY23" s="565">
        <f t="shared" si="19"/>
        <v>0</v>
      </c>
    </row>
    <row r="24">
      <c r="A24" s="576"/>
      <c r="B24" s="584" t="s">
        <v>1184</v>
      </c>
      <c r="C24" s="585" t="s">
        <v>971</v>
      </c>
      <c r="D24" s="557"/>
      <c r="E24" s="552"/>
      <c r="F24" s="552"/>
      <c r="G24" s="552"/>
      <c r="H24" s="557"/>
      <c r="I24" s="552"/>
      <c r="J24" s="552"/>
      <c r="K24" s="552"/>
      <c r="L24" s="557"/>
      <c r="M24" s="552"/>
      <c r="N24" s="552"/>
      <c r="O24" s="552"/>
      <c r="P24" s="557"/>
      <c r="Q24" s="552"/>
      <c r="R24" s="552"/>
      <c r="S24" s="552"/>
      <c r="T24" s="557"/>
      <c r="U24" s="552"/>
      <c r="V24" s="552"/>
      <c r="W24" s="552"/>
      <c r="X24" s="557"/>
      <c r="Y24" s="552"/>
      <c r="Z24" s="552"/>
      <c r="AA24" s="552"/>
      <c r="AB24" s="555"/>
      <c r="AC24" s="553"/>
      <c r="AD24" s="553"/>
      <c r="AE24" s="553"/>
      <c r="AF24" s="555"/>
      <c r="AG24" s="553"/>
      <c r="AH24" s="553"/>
      <c r="AI24" s="553"/>
      <c r="AJ24" s="557"/>
      <c r="AK24" s="552"/>
      <c r="AL24" s="552"/>
      <c r="AM24" s="552"/>
      <c r="AN24" s="557"/>
      <c r="AO24" s="552"/>
      <c r="AP24" s="552"/>
      <c r="AQ24" s="552"/>
      <c r="AR24" s="557"/>
      <c r="AS24" s="552"/>
      <c r="AT24" s="552"/>
      <c r="AU24" s="552"/>
      <c r="AV24" s="552"/>
      <c r="AW24" s="552"/>
      <c r="AX24" s="554"/>
      <c r="AY24" s="554"/>
    </row>
    <row r="25">
      <c r="A25" s="576"/>
      <c r="B25" s="549"/>
      <c r="C25" s="586" t="s">
        <v>972</v>
      </c>
      <c r="D25" s="555">
        <f>'Sinta-B'!E27</f>
        <v>0</v>
      </c>
      <c r="E25" s="553">
        <f>'Sinta-B'!F27</f>
        <v>0</v>
      </c>
      <c r="F25" s="553">
        <f>'Sinta-B'!G27</f>
        <v>0</v>
      </c>
      <c r="G25" s="553">
        <f>'Sinta-B'!H27</f>
        <v>0</v>
      </c>
      <c r="H25" s="590">
        <f>'Sinta-B'!I27</f>
        <v>0</v>
      </c>
      <c r="I25" s="553">
        <f>'Sinta-B'!J27</f>
        <v>0</v>
      </c>
      <c r="J25" s="553">
        <f>'Sinta-B'!K27</f>
        <v>0</v>
      </c>
      <c r="K25" s="553">
        <f>'Sinta-B'!L27</f>
        <v>0</v>
      </c>
      <c r="L25" s="555">
        <f>'Kumai-B'!E27</f>
        <v>0</v>
      </c>
      <c r="M25" s="553">
        <f>'Kumai-B'!F27</f>
        <v>0</v>
      </c>
      <c r="N25" s="553">
        <f>'Kumai-B'!G27</f>
        <v>0</v>
      </c>
      <c r="O25" s="553">
        <f>'Kumai-B'!H27</f>
        <v>0</v>
      </c>
      <c r="P25" s="590">
        <f>'Kumai-B'!I27</f>
        <v>0</v>
      </c>
      <c r="Q25" s="553">
        <f>'Kumai-B'!J27</f>
        <v>0</v>
      </c>
      <c r="R25" s="553">
        <f>'Kumai-B'!K27</f>
        <v>0</v>
      </c>
      <c r="S25" s="553">
        <f>'Kumai-B'!L27</f>
        <v>0</v>
      </c>
      <c r="T25" s="591">
        <f>'Balin-B'!E27</f>
        <v>0</v>
      </c>
      <c r="U25" s="553">
        <f>'Balin-B'!F27</f>
        <v>0</v>
      </c>
      <c r="V25" s="553">
        <f>'Balin-B'!G27</f>
        <v>0</v>
      </c>
      <c r="W25" s="553">
        <f>'Balin-B'!H27</f>
        <v>0</v>
      </c>
      <c r="X25" s="590">
        <f>'Balin-B'!I27</f>
        <v>0</v>
      </c>
      <c r="Y25" s="553">
        <f>'Balin-B'!J27</f>
        <v>0</v>
      </c>
      <c r="Z25" s="553">
        <f>'Balin-B'!K27</f>
        <v>0</v>
      </c>
      <c r="AA25" s="553">
        <f>'Balin-B'!L27</f>
        <v>0</v>
      </c>
      <c r="AB25" s="587">
        <v>0.0</v>
      </c>
      <c r="AC25" s="588">
        <v>0.0</v>
      </c>
      <c r="AD25" s="588">
        <v>0.0</v>
      </c>
      <c r="AE25" s="588">
        <v>0.0</v>
      </c>
      <c r="AF25" s="587">
        <v>0.0</v>
      </c>
      <c r="AG25" s="588">
        <v>0.0</v>
      </c>
      <c r="AH25" s="588">
        <v>0.0</v>
      </c>
      <c r="AI25" s="588">
        <v>0.0</v>
      </c>
      <c r="AJ25" s="555">
        <f>'Lokal-B'!E27</f>
        <v>0</v>
      </c>
      <c r="AK25" s="553">
        <f>'Lokal-B'!F27</f>
        <v>0</v>
      </c>
      <c r="AL25" s="553">
        <f>'Lokal-B'!G27</f>
        <v>0</v>
      </c>
      <c r="AM25" s="553">
        <f>'Lokal-B'!H27</f>
        <v>0</v>
      </c>
      <c r="AN25" s="590">
        <f>'Lokal-B'!I27</f>
        <v>0</v>
      </c>
      <c r="AO25" s="553">
        <f>'Lokal-B'!J27</f>
        <v>0</v>
      </c>
      <c r="AP25" s="553">
        <f>'Lokal-B'!K27</f>
        <v>0</v>
      </c>
      <c r="AQ25" s="553">
        <f>'Lokal-B'!L27</f>
        <v>0</v>
      </c>
      <c r="AR25" s="555">
        <f t="shared" ref="AR25:AY25" si="20">D25+L25+T25+AB25+AJ25</f>
        <v>0</v>
      </c>
      <c r="AS25" s="553">
        <f t="shared" si="20"/>
        <v>0</v>
      </c>
      <c r="AT25" s="553">
        <f t="shared" si="20"/>
        <v>0</v>
      </c>
      <c r="AU25" s="553">
        <f t="shared" si="20"/>
        <v>0</v>
      </c>
      <c r="AV25" s="592">
        <f t="shared" si="20"/>
        <v>0</v>
      </c>
      <c r="AW25" s="553">
        <f t="shared" si="20"/>
        <v>0</v>
      </c>
      <c r="AX25" s="556">
        <f t="shared" si="20"/>
        <v>0</v>
      </c>
      <c r="AY25" s="556">
        <f t="shared" si="20"/>
        <v>0</v>
      </c>
    </row>
    <row r="26">
      <c r="A26" s="576"/>
      <c r="B26" s="549"/>
      <c r="C26" s="586" t="s">
        <v>973</v>
      </c>
      <c r="D26" s="555">
        <f>'Sinta-B'!E28</f>
        <v>0</v>
      </c>
      <c r="E26" s="553">
        <f>'Sinta-B'!F28</f>
        <v>0</v>
      </c>
      <c r="F26" s="553">
        <f>'Sinta-B'!G28</f>
        <v>0</v>
      </c>
      <c r="G26" s="553">
        <f>'Sinta-B'!H28</f>
        <v>0</v>
      </c>
      <c r="H26" s="590">
        <f>'Sinta-B'!I28</f>
        <v>0</v>
      </c>
      <c r="I26" s="553">
        <f>'Sinta-B'!J28</f>
        <v>0</v>
      </c>
      <c r="J26" s="553">
        <f>'Sinta-B'!K28</f>
        <v>0</v>
      </c>
      <c r="K26" s="553">
        <f>'Sinta-B'!L28</f>
        <v>0</v>
      </c>
      <c r="L26" s="555">
        <f>'Kumai-B'!E28</f>
        <v>0</v>
      </c>
      <c r="M26" s="553">
        <f>'Kumai-B'!F28</f>
        <v>0</v>
      </c>
      <c r="N26" s="553">
        <f>'Kumai-B'!G28</f>
        <v>0</v>
      </c>
      <c r="O26" s="553">
        <f>'Kumai-B'!H28</f>
        <v>0</v>
      </c>
      <c r="P26" s="590">
        <f>'Kumai-B'!I28</f>
        <v>0</v>
      </c>
      <c r="Q26" s="553">
        <f>'Kumai-B'!J28</f>
        <v>0</v>
      </c>
      <c r="R26" s="553">
        <f>'Kumai-B'!K28</f>
        <v>0</v>
      </c>
      <c r="S26" s="553">
        <f>'Kumai-B'!L28</f>
        <v>0</v>
      </c>
      <c r="T26" s="591">
        <f>'Balin-B'!E28</f>
        <v>0</v>
      </c>
      <c r="U26" s="553">
        <f>'Balin-B'!F28</f>
        <v>0</v>
      </c>
      <c r="V26" s="553">
        <f>'Balin-B'!G28</f>
        <v>0</v>
      </c>
      <c r="W26" s="553">
        <f>'Balin-B'!H28</f>
        <v>0</v>
      </c>
      <c r="X26" s="590">
        <f>'Balin-B'!I28</f>
        <v>0</v>
      </c>
      <c r="Y26" s="553">
        <f>'Balin-B'!J28</f>
        <v>0</v>
      </c>
      <c r="Z26" s="553">
        <f>'Balin-B'!K28</f>
        <v>0</v>
      </c>
      <c r="AA26" s="553">
        <f>'Balin-B'!L28</f>
        <v>0</v>
      </c>
      <c r="AB26" s="587">
        <v>0.0</v>
      </c>
      <c r="AC26" s="588">
        <v>0.0</v>
      </c>
      <c r="AD26" s="588">
        <v>0.0</v>
      </c>
      <c r="AE26" s="588">
        <v>0.0</v>
      </c>
      <c r="AF26" s="587">
        <v>0.0</v>
      </c>
      <c r="AG26" s="588">
        <v>0.0</v>
      </c>
      <c r="AH26" s="588">
        <v>0.0</v>
      </c>
      <c r="AI26" s="588">
        <v>0.0</v>
      </c>
      <c r="AJ26" s="555">
        <f>'Lokal-B'!E28</f>
        <v>0</v>
      </c>
      <c r="AK26" s="553">
        <f>'Lokal-B'!F28</f>
        <v>0</v>
      </c>
      <c r="AL26" s="553">
        <f>'Lokal-B'!G28</f>
        <v>0</v>
      </c>
      <c r="AM26" s="553">
        <f>'Lokal-B'!H28</f>
        <v>0</v>
      </c>
      <c r="AN26" s="590">
        <f>'Lokal-B'!I28</f>
        <v>0</v>
      </c>
      <c r="AO26" s="553">
        <f>'Lokal-B'!J28</f>
        <v>0</v>
      </c>
      <c r="AP26" s="553">
        <f>'Lokal-B'!K28</f>
        <v>0</v>
      </c>
      <c r="AQ26" s="553">
        <f>'Lokal-B'!L28</f>
        <v>0</v>
      </c>
      <c r="AR26" s="555">
        <f t="shared" ref="AR26:AY26" si="21">D26+L26+T26+AB26+AJ26</f>
        <v>0</v>
      </c>
      <c r="AS26" s="553">
        <f t="shared" si="21"/>
        <v>0</v>
      </c>
      <c r="AT26" s="553">
        <f t="shared" si="21"/>
        <v>0</v>
      </c>
      <c r="AU26" s="553">
        <f t="shared" si="21"/>
        <v>0</v>
      </c>
      <c r="AV26" s="592">
        <f t="shared" si="21"/>
        <v>0</v>
      </c>
      <c r="AW26" s="553">
        <f t="shared" si="21"/>
        <v>0</v>
      </c>
      <c r="AX26" s="556">
        <f t="shared" si="21"/>
        <v>0</v>
      </c>
      <c r="AY26" s="556">
        <f t="shared" si="21"/>
        <v>0</v>
      </c>
    </row>
    <row r="27">
      <c r="A27" s="576"/>
      <c r="B27" s="589"/>
      <c r="C27" s="586" t="s">
        <v>974</v>
      </c>
      <c r="D27" s="555">
        <f>'Sinta-B'!E29</f>
        <v>0</v>
      </c>
      <c r="E27" s="553">
        <f>'Sinta-B'!F29</f>
        <v>0</v>
      </c>
      <c r="F27" s="553">
        <f>'Sinta-B'!G29</f>
        <v>0</v>
      </c>
      <c r="G27" s="553">
        <f>'Sinta-B'!H29</f>
        <v>0</v>
      </c>
      <c r="H27" s="590">
        <f>'Sinta-B'!I29</f>
        <v>0</v>
      </c>
      <c r="I27" s="553">
        <f>'Sinta-B'!J29</f>
        <v>0</v>
      </c>
      <c r="J27" s="553">
        <f>'Sinta-B'!K29</f>
        <v>0</v>
      </c>
      <c r="K27" s="553">
        <f>'Sinta-B'!L29</f>
        <v>0</v>
      </c>
      <c r="L27" s="555">
        <f>'Kumai-B'!E29</f>
        <v>0</v>
      </c>
      <c r="M27" s="553">
        <f>'Kumai-B'!F29</f>
        <v>0</v>
      </c>
      <c r="N27" s="553">
        <f>'Kumai-B'!G29</f>
        <v>0</v>
      </c>
      <c r="O27" s="553">
        <f>'Kumai-B'!H29</f>
        <v>0</v>
      </c>
      <c r="P27" s="590">
        <f>'Kumai-B'!I29</f>
        <v>0</v>
      </c>
      <c r="Q27" s="553">
        <f>'Kumai-B'!J29</f>
        <v>0</v>
      </c>
      <c r="R27" s="553">
        <f>'Kumai-B'!K29</f>
        <v>0</v>
      </c>
      <c r="S27" s="553">
        <f>'Kumai-B'!L29</f>
        <v>0</v>
      </c>
      <c r="T27" s="591">
        <f>'Balin-B'!E29</f>
        <v>0</v>
      </c>
      <c r="U27" s="553">
        <f>'Balin-B'!F29</f>
        <v>0</v>
      </c>
      <c r="V27" s="553">
        <f>'Balin-B'!G29</f>
        <v>0</v>
      </c>
      <c r="W27" s="553">
        <f>'Balin-B'!H29</f>
        <v>0</v>
      </c>
      <c r="X27" s="590">
        <f>'Balin-B'!I29</f>
        <v>0</v>
      </c>
      <c r="Y27" s="553">
        <f>'Balin-B'!J29</f>
        <v>0</v>
      </c>
      <c r="Z27" s="553">
        <f>'Balin-B'!K29</f>
        <v>0</v>
      </c>
      <c r="AA27" s="553">
        <f>'Balin-B'!L29</f>
        <v>0</v>
      </c>
      <c r="AB27" s="587">
        <v>0.0</v>
      </c>
      <c r="AC27" s="588">
        <v>0.0</v>
      </c>
      <c r="AD27" s="588">
        <v>0.0</v>
      </c>
      <c r="AE27" s="588">
        <v>0.0</v>
      </c>
      <c r="AF27" s="587">
        <v>0.0</v>
      </c>
      <c r="AG27" s="588">
        <v>0.0</v>
      </c>
      <c r="AH27" s="588">
        <v>0.0</v>
      </c>
      <c r="AI27" s="588">
        <v>0.0</v>
      </c>
      <c r="AJ27" s="555">
        <f>'Lokal-B'!E29</f>
        <v>0</v>
      </c>
      <c r="AK27" s="553">
        <f>'Lokal-B'!F29</f>
        <v>0</v>
      </c>
      <c r="AL27" s="553">
        <f>'Lokal-B'!G29</f>
        <v>0</v>
      </c>
      <c r="AM27" s="553">
        <f>'Lokal-B'!H29</f>
        <v>0</v>
      </c>
      <c r="AN27" s="590">
        <f>'Lokal-B'!I29</f>
        <v>0</v>
      </c>
      <c r="AO27" s="553">
        <f>'Lokal-B'!J29</f>
        <v>0</v>
      </c>
      <c r="AP27" s="553">
        <f>'Lokal-B'!K29</f>
        <v>0</v>
      </c>
      <c r="AQ27" s="553">
        <f>'Lokal-B'!L29</f>
        <v>0</v>
      </c>
      <c r="AR27" s="555">
        <f t="shared" ref="AR27:AY27" si="22">D27+L27+T27+AB27+AJ27</f>
        <v>0</v>
      </c>
      <c r="AS27" s="553">
        <f t="shared" si="22"/>
        <v>0</v>
      </c>
      <c r="AT27" s="553">
        <f t="shared" si="22"/>
        <v>0</v>
      </c>
      <c r="AU27" s="553">
        <f t="shared" si="22"/>
        <v>0</v>
      </c>
      <c r="AV27" s="592">
        <f t="shared" si="22"/>
        <v>0</v>
      </c>
      <c r="AW27" s="553">
        <f t="shared" si="22"/>
        <v>0</v>
      </c>
      <c r="AX27" s="556">
        <f t="shared" si="22"/>
        <v>0</v>
      </c>
      <c r="AY27" s="556">
        <f t="shared" si="22"/>
        <v>0</v>
      </c>
    </row>
    <row r="28">
      <c r="A28" s="576"/>
      <c r="B28" s="549"/>
      <c r="C28" s="586" t="s">
        <v>975</v>
      </c>
      <c r="D28" s="555">
        <f>'Sinta-B'!E30</f>
        <v>0</v>
      </c>
      <c r="E28" s="553">
        <f>'Sinta-B'!F30</f>
        <v>0</v>
      </c>
      <c r="F28" s="553">
        <f>'Sinta-B'!G30</f>
        <v>0</v>
      </c>
      <c r="G28" s="553">
        <f>'Sinta-B'!H30</f>
        <v>0</v>
      </c>
      <c r="H28" s="590">
        <f>'Sinta-B'!I30</f>
        <v>0</v>
      </c>
      <c r="I28" s="553">
        <f>'Sinta-B'!J30</f>
        <v>0</v>
      </c>
      <c r="J28" s="553">
        <f>'Sinta-B'!K30</f>
        <v>0</v>
      </c>
      <c r="K28" s="553">
        <f>'Sinta-B'!L30</f>
        <v>0</v>
      </c>
      <c r="L28" s="555">
        <f>'Kumai-B'!E30</f>
        <v>0</v>
      </c>
      <c r="M28" s="553">
        <f>'Kumai-B'!F30</f>
        <v>0</v>
      </c>
      <c r="N28" s="553">
        <f>'Kumai-B'!G30</f>
        <v>0</v>
      </c>
      <c r="O28" s="553">
        <f>'Kumai-B'!H30</f>
        <v>0</v>
      </c>
      <c r="P28" s="590">
        <f>'Kumai-B'!I30</f>
        <v>0</v>
      </c>
      <c r="Q28" s="553">
        <f>'Kumai-B'!J30</f>
        <v>0</v>
      </c>
      <c r="R28" s="553">
        <f>'Kumai-B'!K30</f>
        <v>0</v>
      </c>
      <c r="S28" s="553">
        <f>'Kumai-B'!L30</f>
        <v>0</v>
      </c>
      <c r="T28" s="591">
        <f>'Balin-B'!E30</f>
        <v>0</v>
      </c>
      <c r="U28" s="553">
        <f>'Balin-B'!F30</f>
        <v>0</v>
      </c>
      <c r="V28" s="553">
        <f>'Balin-B'!G30</f>
        <v>0</v>
      </c>
      <c r="W28" s="553">
        <f>'Balin-B'!H30</f>
        <v>0</v>
      </c>
      <c r="X28" s="590">
        <f>'Balin-B'!I30</f>
        <v>0</v>
      </c>
      <c r="Y28" s="553">
        <f>'Balin-B'!J30</f>
        <v>0</v>
      </c>
      <c r="Z28" s="553">
        <f>'Balin-B'!K30</f>
        <v>0</v>
      </c>
      <c r="AA28" s="553">
        <f>'Balin-B'!L30</f>
        <v>0</v>
      </c>
      <c r="AB28" s="587">
        <v>0.0</v>
      </c>
      <c r="AC28" s="588">
        <v>0.0</v>
      </c>
      <c r="AD28" s="588">
        <v>0.0</v>
      </c>
      <c r="AE28" s="588">
        <v>0.0</v>
      </c>
      <c r="AF28" s="587">
        <v>0.0</v>
      </c>
      <c r="AG28" s="588">
        <v>0.0</v>
      </c>
      <c r="AH28" s="588">
        <v>0.0</v>
      </c>
      <c r="AI28" s="588">
        <v>0.0</v>
      </c>
      <c r="AJ28" s="555">
        <f>'Lokal-B'!E30</f>
        <v>0</v>
      </c>
      <c r="AK28" s="553">
        <f>'Lokal-B'!F30</f>
        <v>0</v>
      </c>
      <c r="AL28" s="553">
        <f>'Lokal-B'!G30</f>
        <v>0</v>
      </c>
      <c r="AM28" s="553">
        <f>'Lokal-B'!H30</f>
        <v>0</v>
      </c>
      <c r="AN28" s="590">
        <f>'Lokal-B'!I30</f>
        <v>0</v>
      </c>
      <c r="AO28" s="553">
        <f>'Lokal-B'!J30</f>
        <v>0</v>
      </c>
      <c r="AP28" s="553">
        <f>'Lokal-B'!K30</f>
        <v>0</v>
      </c>
      <c r="AQ28" s="553">
        <f>'Lokal-B'!L30</f>
        <v>0</v>
      </c>
      <c r="AR28" s="555">
        <f t="shared" ref="AR28:AY28" si="23">D28+L28+T28+AB28+AJ28</f>
        <v>0</v>
      </c>
      <c r="AS28" s="553">
        <f t="shared" si="23"/>
        <v>0</v>
      </c>
      <c r="AT28" s="553">
        <f t="shared" si="23"/>
        <v>0</v>
      </c>
      <c r="AU28" s="553">
        <f t="shared" si="23"/>
        <v>0</v>
      </c>
      <c r="AV28" s="592">
        <f t="shared" si="23"/>
        <v>0</v>
      </c>
      <c r="AW28" s="553">
        <f t="shared" si="23"/>
        <v>0</v>
      </c>
      <c r="AX28" s="556">
        <f t="shared" si="23"/>
        <v>0</v>
      </c>
      <c r="AY28" s="556">
        <f t="shared" si="23"/>
        <v>0</v>
      </c>
    </row>
    <row r="29">
      <c r="A29" s="576"/>
      <c r="B29" s="549"/>
      <c r="C29" s="586" t="s">
        <v>976</v>
      </c>
      <c r="D29" s="555">
        <f>'Sinta-B'!E31</f>
        <v>0</v>
      </c>
      <c r="E29" s="553">
        <f>'Sinta-B'!F31</f>
        <v>0</v>
      </c>
      <c r="F29" s="553">
        <f>'Sinta-B'!G31</f>
        <v>0</v>
      </c>
      <c r="G29" s="553">
        <f>'Sinta-B'!H31</f>
        <v>0</v>
      </c>
      <c r="H29" s="590">
        <f>'Sinta-B'!I31</f>
        <v>0</v>
      </c>
      <c r="I29" s="553">
        <f>'Sinta-B'!J31</f>
        <v>0</v>
      </c>
      <c r="J29" s="553">
        <f>'Sinta-B'!K31</f>
        <v>0</v>
      </c>
      <c r="K29" s="553">
        <f>'Sinta-B'!L31</f>
        <v>0</v>
      </c>
      <c r="L29" s="555">
        <f>'Kumai-B'!E31</f>
        <v>0</v>
      </c>
      <c r="M29" s="553">
        <f>'Kumai-B'!F31</f>
        <v>0</v>
      </c>
      <c r="N29" s="553">
        <f>'Kumai-B'!G31</f>
        <v>0</v>
      </c>
      <c r="O29" s="553">
        <f>'Kumai-B'!H31</f>
        <v>0</v>
      </c>
      <c r="P29" s="590">
        <f>'Kumai-B'!I31</f>
        <v>0</v>
      </c>
      <c r="Q29" s="553">
        <f>'Kumai-B'!J31</f>
        <v>0</v>
      </c>
      <c r="R29" s="553">
        <f>'Kumai-B'!K31</f>
        <v>0</v>
      </c>
      <c r="S29" s="553">
        <f>'Kumai-B'!L31</f>
        <v>0</v>
      </c>
      <c r="T29" s="591">
        <f>'Balin-B'!E31</f>
        <v>0</v>
      </c>
      <c r="U29" s="553">
        <f>'Balin-B'!F31</f>
        <v>0</v>
      </c>
      <c r="V29" s="553">
        <f>'Balin-B'!G31</f>
        <v>0</v>
      </c>
      <c r="W29" s="553">
        <f>'Balin-B'!H31</f>
        <v>0</v>
      </c>
      <c r="X29" s="590">
        <f>'Balin-B'!I31</f>
        <v>0</v>
      </c>
      <c r="Y29" s="553">
        <f>'Balin-B'!J31</f>
        <v>0</v>
      </c>
      <c r="Z29" s="553">
        <f>'Balin-B'!K31</f>
        <v>0</v>
      </c>
      <c r="AA29" s="553">
        <f>'Balin-B'!L31</f>
        <v>0</v>
      </c>
      <c r="AB29" s="587">
        <v>0.0</v>
      </c>
      <c r="AC29" s="588">
        <v>0.0</v>
      </c>
      <c r="AD29" s="588">
        <v>0.0</v>
      </c>
      <c r="AE29" s="588">
        <v>0.0</v>
      </c>
      <c r="AF29" s="587">
        <v>0.0</v>
      </c>
      <c r="AG29" s="588">
        <v>0.0</v>
      </c>
      <c r="AH29" s="588">
        <v>0.0</v>
      </c>
      <c r="AI29" s="588">
        <v>0.0</v>
      </c>
      <c r="AJ29" s="555">
        <f>'Lokal-B'!E31</f>
        <v>0</v>
      </c>
      <c r="AK29" s="553">
        <f>'Lokal-B'!F31</f>
        <v>0</v>
      </c>
      <c r="AL29" s="553">
        <f>'Lokal-B'!G31</f>
        <v>0</v>
      </c>
      <c r="AM29" s="553">
        <f>'Lokal-B'!H31</f>
        <v>0</v>
      </c>
      <c r="AN29" s="590">
        <f>'Lokal-B'!I31</f>
        <v>0</v>
      </c>
      <c r="AO29" s="553">
        <f>'Lokal-B'!J31</f>
        <v>0</v>
      </c>
      <c r="AP29" s="553">
        <f>'Lokal-B'!K31</f>
        <v>0</v>
      </c>
      <c r="AQ29" s="553">
        <f>'Lokal-B'!L31</f>
        <v>0</v>
      </c>
      <c r="AR29" s="555">
        <f t="shared" ref="AR29:AY29" si="24">D29+L29+T29+AB29+AJ29</f>
        <v>0</v>
      </c>
      <c r="AS29" s="553">
        <f t="shared" si="24"/>
        <v>0</v>
      </c>
      <c r="AT29" s="553">
        <f t="shared" si="24"/>
        <v>0</v>
      </c>
      <c r="AU29" s="553">
        <f t="shared" si="24"/>
        <v>0</v>
      </c>
      <c r="AV29" s="592">
        <f t="shared" si="24"/>
        <v>0</v>
      </c>
      <c r="AW29" s="553">
        <f t="shared" si="24"/>
        <v>0</v>
      </c>
      <c r="AX29" s="556">
        <f t="shared" si="24"/>
        <v>0</v>
      </c>
      <c r="AY29" s="556">
        <f t="shared" si="24"/>
        <v>0</v>
      </c>
    </row>
    <row r="30">
      <c r="A30" s="576"/>
      <c r="B30" s="589"/>
      <c r="C30" s="586" t="s">
        <v>977</v>
      </c>
      <c r="D30" s="555">
        <f>'Sinta-B'!E32</f>
        <v>0</v>
      </c>
      <c r="E30" s="553">
        <f>'Sinta-B'!F32</f>
        <v>0</v>
      </c>
      <c r="F30" s="553">
        <f>'Sinta-B'!G32</f>
        <v>0</v>
      </c>
      <c r="G30" s="553">
        <f>'Sinta-B'!H32</f>
        <v>0</v>
      </c>
      <c r="H30" s="590">
        <f>'Sinta-B'!I32</f>
        <v>0</v>
      </c>
      <c r="I30" s="553">
        <f>'Sinta-B'!J32</f>
        <v>0</v>
      </c>
      <c r="J30" s="553">
        <f>'Sinta-B'!K32</f>
        <v>0</v>
      </c>
      <c r="K30" s="553">
        <f>'Sinta-B'!L32</f>
        <v>0</v>
      </c>
      <c r="L30" s="555">
        <f>'Kumai-B'!E32</f>
        <v>0</v>
      </c>
      <c r="M30" s="553">
        <f>'Kumai-B'!F32</f>
        <v>0</v>
      </c>
      <c r="N30" s="553">
        <f>'Kumai-B'!G32</f>
        <v>0</v>
      </c>
      <c r="O30" s="553">
        <f>'Kumai-B'!H32</f>
        <v>0</v>
      </c>
      <c r="P30" s="590">
        <f>'Kumai-B'!I32</f>
        <v>0</v>
      </c>
      <c r="Q30" s="553">
        <f>'Kumai-B'!J32</f>
        <v>0</v>
      </c>
      <c r="R30" s="553">
        <f>'Kumai-B'!K32</f>
        <v>0</v>
      </c>
      <c r="S30" s="553">
        <f>'Kumai-B'!L32</f>
        <v>0</v>
      </c>
      <c r="T30" s="591">
        <f>'Balin-B'!E32</f>
        <v>0</v>
      </c>
      <c r="U30" s="553">
        <f>'Balin-B'!F32</f>
        <v>0</v>
      </c>
      <c r="V30" s="553">
        <f>'Balin-B'!G32</f>
        <v>0</v>
      </c>
      <c r="W30" s="553">
        <f>'Balin-B'!H32</f>
        <v>0</v>
      </c>
      <c r="X30" s="590">
        <f>'Balin-B'!I32</f>
        <v>0</v>
      </c>
      <c r="Y30" s="553">
        <f>'Balin-B'!J32</f>
        <v>0</v>
      </c>
      <c r="Z30" s="553">
        <f>'Balin-B'!K32</f>
        <v>0</v>
      </c>
      <c r="AA30" s="553">
        <f>'Balin-B'!L32</f>
        <v>0</v>
      </c>
      <c r="AB30" s="587">
        <v>0.0</v>
      </c>
      <c r="AC30" s="588">
        <v>0.0</v>
      </c>
      <c r="AD30" s="588">
        <v>0.0</v>
      </c>
      <c r="AE30" s="588">
        <v>0.0</v>
      </c>
      <c r="AF30" s="587">
        <v>0.0</v>
      </c>
      <c r="AG30" s="588">
        <v>0.0</v>
      </c>
      <c r="AH30" s="588">
        <v>0.0</v>
      </c>
      <c r="AI30" s="588">
        <v>0.0</v>
      </c>
      <c r="AJ30" s="555">
        <f>'Lokal-B'!E32</f>
        <v>0</v>
      </c>
      <c r="AK30" s="553">
        <f>'Lokal-B'!F32</f>
        <v>0</v>
      </c>
      <c r="AL30" s="553">
        <f>'Lokal-B'!G32</f>
        <v>0</v>
      </c>
      <c r="AM30" s="553">
        <f>'Lokal-B'!H32</f>
        <v>0</v>
      </c>
      <c r="AN30" s="590">
        <f>'Lokal-B'!I32</f>
        <v>0</v>
      </c>
      <c r="AO30" s="553">
        <f>'Lokal-B'!J32</f>
        <v>0</v>
      </c>
      <c r="AP30" s="553">
        <f>'Lokal-B'!K32</f>
        <v>0</v>
      </c>
      <c r="AQ30" s="553">
        <f>'Lokal-B'!L32</f>
        <v>0</v>
      </c>
      <c r="AR30" s="555">
        <f t="shared" ref="AR30:AY30" si="25">D30+L30+T30+AB30+AJ30</f>
        <v>0</v>
      </c>
      <c r="AS30" s="553">
        <f t="shared" si="25"/>
        <v>0</v>
      </c>
      <c r="AT30" s="553">
        <f t="shared" si="25"/>
        <v>0</v>
      </c>
      <c r="AU30" s="553">
        <f t="shared" si="25"/>
        <v>0</v>
      </c>
      <c r="AV30" s="592">
        <f t="shared" si="25"/>
        <v>0</v>
      </c>
      <c r="AW30" s="553">
        <f t="shared" si="25"/>
        <v>0</v>
      </c>
      <c r="AX30" s="556">
        <f t="shared" si="25"/>
        <v>0</v>
      </c>
      <c r="AY30" s="556">
        <f t="shared" si="25"/>
        <v>0</v>
      </c>
    </row>
    <row r="31">
      <c r="A31" s="576"/>
      <c r="B31" s="558"/>
      <c r="C31" s="559" t="s">
        <v>1185</v>
      </c>
      <c r="D31" s="593">
        <f t="shared" ref="D31:AB31" si="26">sum(D25:D30)</f>
        <v>0</v>
      </c>
      <c r="E31" s="564">
        <f t="shared" si="26"/>
        <v>0</v>
      </c>
      <c r="F31" s="564">
        <f t="shared" si="26"/>
        <v>0</v>
      </c>
      <c r="G31" s="564">
        <f t="shared" si="26"/>
        <v>0</v>
      </c>
      <c r="H31" s="593">
        <f t="shared" si="26"/>
        <v>0</v>
      </c>
      <c r="I31" s="564">
        <f t="shared" si="26"/>
        <v>0</v>
      </c>
      <c r="J31" s="564">
        <f t="shared" si="26"/>
        <v>0</v>
      </c>
      <c r="K31" s="564">
        <f t="shared" si="26"/>
        <v>0</v>
      </c>
      <c r="L31" s="593">
        <f t="shared" si="26"/>
        <v>0</v>
      </c>
      <c r="M31" s="564">
        <f t="shared" si="26"/>
        <v>0</v>
      </c>
      <c r="N31" s="564">
        <f t="shared" si="26"/>
        <v>0</v>
      </c>
      <c r="O31" s="564">
        <f t="shared" si="26"/>
        <v>0</v>
      </c>
      <c r="P31" s="593">
        <f t="shared" si="26"/>
        <v>0</v>
      </c>
      <c r="Q31" s="564">
        <f t="shared" si="26"/>
        <v>0</v>
      </c>
      <c r="R31" s="564">
        <f t="shared" si="26"/>
        <v>0</v>
      </c>
      <c r="S31" s="564">
        <f t="shared" si="26"/>
        <v>0</v>
      </c>
      <c r="T31" s="593">
        <f t="shared" si="26"/>
        <v>0</v>
      </c>
      <c r="U31" s="564">
        <f t="shared" si="26"/>
        <v>0</v>
      </c>
      <c r="V31" s="564">
        <f t="shared" si="26"/>
        <v>0</v>
      </c>
      <c r="W31" s="564">
        <f t="shared" si="26"/>
        <v>0</v>
      </c>
      <c r="X31" s="593">
        <f t="shared" si="26"/>
        <v>0</v>
      </c>
      <c r="Y31" s="564">
        <f t="shared" si="26"/>
        <v>0</v>
      </c>
      <c r="Z31" s="564">
        <f t="shared" si="26"/>
        <v>0</v>
      </c>
      <c r="AA31" s="564">
        <f t="shared" si="26"/>
        <v>0</v>
      </c>
      <c r="AB31" s="563">
        <f t="shared" si="26"/>
        <v>0</v>
      </c>
      <c r="AC31" s="564">
        <v>0.0</v>
      </c>
      <c r="AD31" s="564">
        <v>0.0</v>
      </c>
      <c r="AE31" s="564">
        <v>0.0</v>
      </c>
      <c r="AF31" s="563">
        <v>0.0</v>
      </c>
      <c r="AG31" s="564">
        <v>0.0</v>
      </c>
      <c r="AH31" s="564">
        <v>0.0</v>
      </c>
      <c r="AI31" s="564">
        <v>0.0</v>
      </c>
      <c r="AJ31" s="593">
        <f t="shared" ref="AJ31:AY31" si="27">sum(AJ25:AJ30)</f>
        <v>0</v>
      </c>
      <c r="AK31" s="564">
        <f t="shared" si="27"/>
        <v>0</v>
      </c>
      <c r="AL31" s="564">
        <f t="shared" si="27"/>
        <v>0</v>
      </c>
      <c r="AM31" s="564">
        <f t="shared" si="27"/>
        <v>0</v>
      </c>
      <c r="AN31" s="593">
        <f t="shared" si="27"/>
        <v>0</v>
      </c>
      <c r="AO31" s="564">
        <f t="shared" si="27"/>
        <v>0</v>
      </c>
      <c r="AP31" s="564">
        <f t="shared" si="27"/>
        <v>0</v>
      </c>
      <c r="AQ31" s="564">
        <f t="shared" si="27"/>
        <v>0</v>
      </c>
      <c r="AR31" s="563">
        <f t="shared" si="27"/>
        <v>0</v>
      </c>
      <c r="AS31" s="564">
        <f t="shared" si="27"/>
        <v>0</v>
      </c>
      <c r="AT31" s="564">
        <f t="shared" si="27"/>
        <v>0</v>
      </c>
      <c r="AU31" s="564">
        <f t="shared" si="27"/>
        <v>0</v>
      </c>
      <c r="AV31" s="594">
        <f t="shared" si="27"/>
        <v>0</v>
      </c>
      <c r="AW31" s="564">
        <f t="shared" si="27"/>
        <v>0</v>
      </c>
      <c r="AX31" s="565">
        <f t="shared" si="27"/>
        <v>0</v>
      </c>
      <c r="AY31" s="565">
        <f t="shared" si="27"/>
        <v>0</v>
      </c>
    </row>
    <row r="32">
      <c r="A32" s="576"/>
      <c r="B32" s="558"/>
      <c r="C32" s="559" t="s">
        <v>1186</v>
      </c>
      <c r="D32" s="563">
        <f t="shared" ref="D32:AB32" si="28">D12+D17-D23</f>
        <v>3320</v>
      </c>
      <c r="E32" s="564">
        <f t="shared" si="28"/>
        <v>387</v>
      </c>
      <c r="F32" s="564">
        <f t="shared" si="28"/>
        <v>0</v>
      </c>
      <c r="G32" s="564">
        <f t="shared" si="28"/>
        <v>0</v>
      </c>
      <c r="H32" s="563">
        <f t="shared" si="28"/>
        <v>14300</v>
      </c>
      <c r="I32" s="564">
        <f t="shared" si="28"/>
        <v>3115</v>
      </c>
      <c r="J32" s="564">
        <f t="shared" si="28"/>
        <v>0</v>
      </c>
      <c r="K32" s="564">
        <f t="shared" si="28"/>
        <v>0</v>
      </c>
      <c r="L32" s="563">
        <f t="shared" si="28"/>
        <v>0</v>
      </c>
      <c r="M32" s="564">
        <f t="shared" si="28"/>
        <v>0</v>
      </c>
      <c r="N32" s="564">
        <f t="shared" si="28"/>
        <v>0</v>
      </c>
      <c r="O32" s="564">
        <f t="shared" si="28"/>
        <v>0</v>
      </c>
      <c r="P32" s="563">
        <f t="shared" si="28"/>
        <v>0</v>
      </c>
      <c r="Q32" s="564">
        <f t="shared" si="28"/>
        <v>0</v>
      </c>
      <c r="R32" s="564">
        <f t="shared" si="28"/>
        <v>0</v>
      </c>
      <c r="S32" s="564">
        <f t="shared" si="28"/>
        <v>0</v>
      </c>
      <c r="T32" s="563">
        <f t="shared" si="28"/>
        <v>55913</v>
      </c>
      <c r="U32" s="564">
        <f t="shared" si="28"/>
        <v>38407</v>
      </c>
      <c r="V32" s="564">
        <f t="shared" si="28"/>
        <v>65728</v>
      </c>
      <c r="W32" s="564">
        <f t="shared" si="28"/>
        <v>65728</v>
      </c>
      <c r="X32" s="563">
        <f t="shared" si="28"/>
        <v>272203</v>
      </c>
      <c r="Y32" s="564">
        <f t="shared" si="28"/>
        <v>206338</v>
      </c>
      <c r="Z32" s="564">
        <f t="shared" si="28"/>
        <v>387091</v>
      </c>
      <c r="AA32" s="564">
        <f t="shared" si="28"/>
        <v>387090.8</v>
      </c>
      <c r="AB32" s="563">
        <f t="shared" si="28"/>
        <v>0</v>
      </c>
      <c r="AC32" s="564">
        <v>0.0</v>
      </c>
      <c r="AD32" s="564">
        <v>0.0</v>
      </c>
      <c r="AE32" s="564">
        <v>0.0</v>
      </c>
      <c r="AF32" s="563">
        <v>0.0</v>
      </c>
      <c r="AG32" s="564">
        <v>0.0</v>
      </c>
      <c r="AH32" s="564">
        <v>0.0</v>
      </c>
      <c r="AI32" s="564">
        <v>0.0</v>
      </c>
      <c r="AJ32" s="563">
        <f t="shared" ref="AJ32:AY32" si="29">AJ12+AJ17-AJ23</f>
        <v>350</v>
      </c>
      <c r="AK32" s="564">
        <f t="shared" si="29"/>
        <v>137</v>
      </c>
      <c r="AL32" s="564">
        <f t="shared" si="29"/>
        <v>0</v>
      </c>
      <c r="AM32" s="564">
        <f t="shared" si="29"/>
        <v>0</v>
      </c>
      <c r="AN32" s="563">
        <f t="shared" si="29"/>
        <v>1641</v>
      </c>
      <c r="AO32" s="564">
        <f t="shared" si="29"/>
        <v>604</v>
      </c>
      <c r="AP32" s="564">
        <f t="shared" si="29"/>
        <v>0</v>
      </c>
      <c r="AQ32" s="564">
        <f t="shared" si="29"/>
        <v>0</v>
      </c>
      <c r="AR32" s="563">
        <f t="shared" si="29"/>
        <v>59583</v>
      </c>
      <c r="AS32" s="564">
        <f t="shared" si="29"/>
        <v>38931</v>
      </c>
      <c r="AT32" s="564">
        <f t="shared" si="29"/>
        <v>65728</v>
      </c>
      <c r="AU32" s="564">
        <f t="shared" si="29"/>
        <v>65728</v>
      </c>
      <c r="AV32" s="564">
        <f t="shared" si="29"/>
        <v>288144</v>
      </c>
      <c r="AW32" s="564">
        <f t="shared" si="29"/>
        <v>210057</v>
      </c>
      <c r="AX32" s="565">
        <f t="shared" si="29"/>
        <v>387091</v>
      </c>
      <c r="AY32" s="565">
        <f t="shared" si="29"/>
        <v>387090.8</v>
      </c>
    </row>
    <row r="33">
      <c r="A33" s="566"/>
      <c r="B33" s="567" t="s">
        <v>979</v>
      </c>
      <c r="C33" s="161"/>
      <c r="D33" s="568" t="s">
        <v>980</v>
      </c>
      <c r="E33" s="258"/>
      <c r="F33" s="258"/>
      <c r="G33" s="259"/>
      <c r="H33" s="569" t="s">
        <v>980</v>
      </c>
      <c r="I33" s="258"/>
      <c r="J33" s="258"/>
      <c r="K33" s="570"/>
      <c r="L33" s="568" t="s">
        <v>980</v>
      </c>
      <c r="M33" s="258"/>
      <c r="N33" s="258"/>
      <c r="O33" s="259"/>
      <c r="P33" s="569" t="s">
        <v>980</v>
      </c>
      <c r="Q33" s="258"/>
      <c r="R33" s="258"/>
      <c r="S33" s="570"/>
      <c r="T33" s="568" t="s">
        <v>980</v>
      </c>
      <c r="U33" s="258"/>
      <c r="V33" s="258"/>
      <c r="W33" s="259"/>
      <c r="X33" s="569" t="s">
        <v>980</v>
      </c>
      <c r="Y33" s="258"/>
      <c r="Z33" s="258"/>
      <c r="AA33" s="570"/>
      <c r="AB33" s="568" t="s">
        <v>980</v>
      </c>
      <c r="AC33" s="258"/>
      <c r="AD33" s="258"/>
      <c r="AE33" s="259"/>
      <c r="AF33" s="569" t="s">
        <v>980</v>
      </c>
      <c r="AG33" s="258"/>
      <c r="AH33" s="258"/>
      <c r="AI33" s="570"/>
      <c r="AJ33" s="568" t="s">
        <v>980</v>
      </c>
      <c r="AK33" s="258"/>
      <c r="AL33" s="258"/>
      <c r="AM33" s="259"/>
      <c r="AN33" s="569" t="s">
        <v>980</v>
      </c>
      <c r="AO33" s="258"/>
      <c r="AP33" s="258"/>
      <c r="AQ33" s="570"/>
      <c r="AR33" s="568" t="s">
        <v>980</v>
      </c>
      <c r="AS33" s="258"/>
      <c r="AT33" s="258"/>
      <c r="AU33" s="259"/>
      <c r="AV33" s="569" t="s">
        <v>980</v>
      </c>
      <c r="AW33" s="258"/>
      <c r="AX33" s="258"/>
      <c r="AY33" s="570"/>
    </row>
    <row r="34">
      <c r="A34" s="566"/>
      <c r="B34" s="571"/>
      <c r="C34" s="158"/>
      <c r="D34" s="568" t="s">
        <v>724</v>
      </c>
      <c r="E34" s="258"/>
      <c r="F34" s="258"/>
      <c r="G34" s="259"/>
      <c r="H34" s="569" t="s">
        <v>953</v>
      </c>
      <c r="I34" s="258"/>
      <c r="J34" s="258"/>
      <c r="K34" s="570"/>
      <c r="L34" s="568" t="s">
        <v>724</v>
      </c>
      <c r="M34" s="258"/>
      <c r="N34" s="258"/>
      <c r="O34" s="259"/>
      <c r="P34" s="569" t="s">
        <v>953</v>
      </c>
      <c r="Q34" s="258"/>
      <c r="R34" s="258"/>
      <c r="S34" s="570"/>
      <c r="T34" s="568" t="s">
        <v>724</v>
      </c>
      <c r="U34" s="258"/>
      <c r="V34" s="258"/>
      <c r="W34" s="259"/>
      <c r="X34" s="569" t="s">
        <v>953</v>
      </c>
      <c r="Y34" s="258"/>
      <c r="Z34" s="258"/>
      <c r="AA34" s="570"/>
      <c r="AB34" s="568" t="s">
        <v>724</v>
      </c>
      <c r="AC34" s="258"/>
      <c r="AD34" s="258"/>
      <c r="AE34" s="259"/>
      <c r="AF34" s="569" t="s">
        <v>953</v>
      </c>
      <c r="AG34" s="258"/>
      <c r="AH34" s="258"/>
      <c r="AI34" s="570"/>
      <c r="AJ34" s="568" t="s">
        <v>724</v>
      </c>
      <c r="AK34" s="258"/>
      <c r="AL34" s="258"/>
      <c r="AM34" s="259"/>
      <c r="AN34" s="569" t="s">
        <v>953</v>
      </c>
      <c r="AO34" s="258"/>
      <c r="AP34" s="258"/>
      <c r="AQ34" s="570"/>
      <c r="AR34" s="568" t="s">
        <v>724</v>
      </c>
      <c r="AS34" s="258"/>
      <c r="AT34" s="258"/>
      <c r="AU34" s="259"/>
      <c r="AV34" s="569" t="s">
        <v>953</v>
      </c>
      <c r="AW34" s="258"/>
      <c r="AX34" s="258"/>
      <c r="AY34" s="570"/>
    </row>
    <row r="35">
      <c r="A35" s="566"/>
      <c r="B35" s="572"/>
      <c r="C35" s="173"/>
      <c r="D35" s="595" t="str">
        <f t="shared" ref="D35:AY35" si="30">D11</f>
        <v>Real Tahun Lalu</v>
      </c>
      <c r="E35" s="574" t="str">
        <f t="shared" si="30"/>
        <v>Real Tahun Ini</v>
      </c>
      <c r="F35" s="575" t="str">
        <f t="shared" si="30"/>
        <v>RKO TW</v>
      </c>
      <c r="G35" s="574" t="str">
        <f t="shared" si="30"/>
        <v>RKAP</v>
      </c>
      <c r="H35" s="595" t="str">
        <f t="shared" si="30"/>
        <v>Real Tahun Lalu</v>
      </c>
      <c r="I35" s="574" t="str">
        <f t="shared" si="30"/>
        <v>Real Tahun Ini</v>
      </c>
      <c r="J35" s="596" t="str">
        <f t="shared" si="30"/>
        <v>RKO TW</v>
      </c>
      <c r="K35" s="597" t="str">
        <f t="shared" si="30"/>
        <v>RKAP</v>
      </c>
      <c r="L35" s="598" t="str">
        <f t="shared" si="30"/>
        <v>Real Tahun Lalu</v>
      </c>
      <c r="M35" s="574" t="str">
        <f t="shared" si="30"/>
        <v>Real Tahun Ini</v>
      </c>
      <c r="N35" s="575" t="str">
        <f t="shared" si="30"/>
        <v>RKO TW</v>
      </c>
      <c r="O35" s="574" t="str">
        <f t="shared" si="30"/>
        <v>RKAP</v>
      </c>
      <c r="P35" s="574" t="str">
        <f t="shared" si="30"/>
        <v>Real Tahun Lalu</v>
      </c>
      <c r="Q35" s="574" t="str">
        <f t="shared" si="30"/>
        <v>Real Tahun Ini</v>
      </c>
      <c r="R35" s="596" t="str">
        <f t="shared" si="30"/>
        <v>RKO TW</v>
      </c>
      <c r="S35" s="597" t="str">
        <f t="shared" si="30"/>
        <v>RKAP</v>
      </c>
      <c r="T35" s="598" t="str">
        <f t="shared" si="30"/>
        <v>Real Tahun Lalu</v>
      </c>
      <c r="U35" s="574" t="str">
        <f t="shared" si="30"/>
        <v>Real Tahun Ini</v>
      </c>
      <c r="V35" s="575" t="str">
        <f t="shared" si="30"/>
        <v>RKO TW</v>
      </c>
      <c r="W35" s="574" t="str">
        <f t="shared" si="30"/>
        <v>RKAP</v>
      </c>
      <c r="X35" s="574" t="str">
        <f t="shared" si="30"/>
        <v>Real Tahun Lalu</v>
      </c>
      <c r="Y35" s="574" t="str">
        <f t="shared" si="30"/>
        <v>Real Tahun Ini</v>
      </c>
      <c r="Z35" s="596" t="str">
        <f t="shared" si="30"/>
        <v>RKO TW</v>
      </c>
      <c r="AA35" s="597" t="str">
        <f t="shared" si="30"/>
        <v>RKAP</v>
      </c>
      <c r="AB35" s="598" t="str">
        <f t="shared" si="30"/>
        <v>Real Tahun Lalu</v>
      </c>
      <c r="AC35" s="599" t="str">
        <f t="shared" si="30"/>
        <v>Real Tahun Ini</v>
      </c>
      <c r="AD35" s="600" t="str">
        <f t="shared" si="30"/>
        <v>RKO TW</v>
      </c>
      <c r="AE35" s="599" t="str">
        <f t="shared" si="30"/>
        <v>RKAP</v>
      </c>
      <c r="AF35" s="599" t="str">
        <f t="shared" si="30"/>
        <v>Real Tahun Lalu</v>
      </c>
      <c r="AG35" s="599" t="str">
        <f t="shared" si="30"/>
        <v>Real Tahun Ini</v>
      </c>
      <c r="AH35" s="601" t="str">
        <f t="shared" si="30"/>
        <v>RKO TW</v>
      </c>
      <c r="AI35" s="602" t="str">
        <f t="shared" si="30"/>
        <v>RKAP</v>
      </c>
      <c r="AJ35" s="598" t="str">
        <f t="shared" si="30"/>
        <v>Real Tahun Lalu</v>
      </c>
      <c r="AK35" s="574" t="str">
        <f t="shared" si="30"/>
        <v>Real Tahun Ini</v>
      </c>
      <c r="AL35" s="575" t="str">
        <f t="shared" si="30"/>
        <v>RKO TW</v>
      </c>
      <c r="AM35" s="574" t="str">
        <f t="shared" si="30"/>
        <v>RKAP</v>
      </c>
      <c r="AN35" s="603" t="str">
        <f t="shared" si="30"/>
        <v>Real Tahun Lalu</v>
      </c>
      <c r="AO35" s="574" t="str">
        <f t="shared" si="30"/>
        <v>Real Tahun Ini</v>
      </c>
      <c r="AP35" s="596" t="str">
        <f t="shared" si="30"/>
        <v>RKO TW</v>
      </c>
      <c r="AQ35" s="597" t="str">
        <f t="shared" si="30"/>
        <v>RKAP</v>
      </c>
      <c r="AR35" s="573" t="str">
        <f t="shared" si="30"/>
        <v>Real Tahun Lalu</v>
      </c>
      <c r="AS35" s="574" t="str">
        <f t="shared" si="30"/>
        <v>Real Tahun Ini</v>
      </c>
      <c r="AT35" s="575" t="str">
        <f t="shared" si="30"/>
        <v>RKO TW</v>
      </c>
      <c r="AU35" s="574" t="str">
        <f t="shared" si="30"/>
        <v>RKAP</v>
      </c>
      <c r="AV35" s="574" t="str">
        <f t="shared" si="30"/>
        <v>Real Tahun Lalu</v>
      </c>
      <c r="AW35" s="574" t="str">
        <f t="shared" si="30"/>
        <v>Real Tahun Ini</v>
      </c>
      <c r="AX35" s="596" t="str">
        <f t="shared" si="30"/>
        <v>RKO TW</v>
      </c>
      <c r="AY35" s="597" t="str">
        <f t="shared" si="30"/>
        <v>RKAP</v>
      </c>
    </row>
    <row r="36">
      <c r="A36" s="576"/>
      <c r="B36" s="604" t="s">
        <v>981</v>
      </c>
      <c r="C36" s="605" t="s">
        <v>982</v>
      </c>
      <c r="D36" s="606">
        <f>'Sinta-B'!E41</f>
        <v>18144433</v>
      </c>
      <c r="E36" s="607">
        <f>'Sinta-B'!F41</f>
        <v>24059534</v>
      </c>
      <c r="F36" s="607">
        <f>'Sinta-B'!G41</f>
        <v>0</v>
      </c>
      <c r="G36" s="607">
        <f>'Sinta-B'!H41</f>
        <v>0</v>
      </c>
      <c r="H36" s="606">
        <f>'Sinta-B'!I41</f>
        <v>85062998</v>
      </c>
      <c r="I36" s="607">
        <f>'Sinta-B'!J41</f>
        <v>113226929</v>
      </c>
      <c r="J36" s="607">
        <f>'Sinta-B'!K41</f>
        <v>0</v>
      </c>
      <c r="K36" s="607">
        <f>'Sinta-B'!L41</f>
        <v>0</v>
      </c>
      <c r="L36" s="606">
        <f>'Kumai-B'!E41</f>
        <v>0</v>
      </c>
      <c r="M36" s="607">
        <f>'Kumai-B'!F41</f>
        <v>0</v>
      </c>
      <c r="N36" s="607">
        <f>'Kumai-B'!G41</f>
        <v>0</v>
      </c>
      <c r="O36" s="607">
        <f>'Kumai-B'!H41</f>
        <v>0</v>
      </c>
      <c r="P36" s="606">
        <f>'Kumai-B'!I41</f>
        <v>0</v>
      </c>
      <c r="Q36" s="607">
        <f>'Kumai-B'!J41</f>
        <v>0</v>
      </c>
      <c r="R36" s="607">
        <f>'Kumai-B'!K41</f>
        <v>0</v>
      </c>
      <c r="S36" s="607">
        <f>'Kumai-B'!L41</f>
        <v>0</v>
      </c>
      <c r="T36" s="606">
        <f>'Balin-B'!E41</f>
        <v>66095992</v>
      </c>
      <c r="U36" s="607">
        <f>'Balin-B'!F41</f>
        <v>105921179</v>
      </c>
      <c r="V36" s="607">
        <f>'Balin-B'!G41</f>
        <v>65272351</v>
      </c>
      <c r="W36" s="607">
        <f>'Balin-B'!H41</f>
        <v>65272351</v>
      </c>
      <c r="X36" s="606">
        <f>'Balin-B'!I41</f>
        <v>340571671</v>
      </c>
      <c r="Y36" s="607">
        <f>'Balin-B'!J41</f>
        <v>451311525</v>
      </c>
      <c r="Z36" s="607">
        <f>'Balin-B'!K41</f>
        <v>332113312</v>
      </c>
      <c r="AA36" s="607">
        <f>'Balin-B'!L41</f>
        <v>332113312</v>
      </c>
      <c r="AB36" s="546">
        <v>0.0</v>
      </c>
      <c r="AC36" s="546">
        <v>0.0</v>
      </c>
      <c r="AD36" s="546">
        <v>0.0</v>
      </c>
      <c r="AE36" s="546">
        <v>0.0</v>
      </c>
      <c r="AF36" s="546">
        <v>0.0</v>
      </c>
      <c r="AG36" s="546">
        <v>0.0</v>
      </c>
      <c r="AH36" s="546">
        <v>0.0</v>
      </c>
      <c r="AI36" s="546">
        <v>0.0</v>
      </c>
      <c r="AJ36" s="606">
        <f>'Lokal-B'!E41</f>
        <v>0</v>
      </c>
      <c r="AK36" s="607">
        <f>'Lokal-B'!F41</f>
        <v>0</v>
      </c>
      <c r="AL36" s="607">
        <f>'Lokal-B'!G41</f>
        <v>0</v>
      </c>
      <c r="AM36" s="607">
        <f>'Lokal-B'!H41</f>
        <v>0</v>
      </c>
      <c r="AN36" s="606">
        <f>'Lokal-B'!I41</f>
        <v>0</v>
      </c>
      <c r="AO36" s="607">
        <f>'Lokal-B'!J41</f>
        <v>0</v>
      </c>
      <c r="AP36" s="607">
        <f>'Lokal-B'!K41</f>
        <v>0</v>
      </c>
      <c r="AQ36" s="607">
        <f>'Lokal-B'!L41</f>
        <v>0</v>
      </c>
      <c r="AR36" s="608">
        <f t="shared" ref="AR36:AY36" si="31">D36+L36+T36+AB36+AJ36</f>
        <v>84240425</v>
      </c>
      <c r="AS36" s="607">
        <f t="shared" si="31"/>
        <v>129980713</v>
      </c>
      <c r="AT36" s="607">
        <f t="shared" si="31"/>
        <v>65272351</v>
      </c>
      <c r="AU36" s="607">
        <f t="shared" si="31"/>
        <v>65272351</v>
      </c>
      <c r="AV36" s="607">
        <f t="shared" si="31"/>
        <v>425634669</v>
      </c>
      <c r="AW36" s="607">
        <f t="shared" si="31"/>
        <v>564538454</v>
      </c>
      <c r="AX36" s="609">
        <f t="shared" si="31"/>
        <v>332113312</v>
      </c>
      <c r="AY36" s="609">
        <f t="shared" si="31"/>
        <v>332113312</v>
      </c>
    </row>
    <row r="37">
      <c r="A37" s="576"/>
      <c r="B37" s="610" t="s">
        <v>981</v>
      </c>
      <c r="C37" s="550" t="s">
        <v>983</v>
      </c>
      <c r="D37" s="555">
        <f>'Sinta-B'!E42</f>
        <v>-2</v>
      </c>
      <c r="E37" s="611">
        <f>'Sinta-B'!F42</f>
        <v>0</v>
      </c>
      <c r="F37" s="611">
        <f>'Sinta-B'!G42</f>
        <v>0</v>
      </c>
      <c r="G37" s="611">
        <f>'Sinta-B'!H42</f>
        <v>0</v>
      </c>
      <c r="H37" s="555">
        <f>'Sinta-B'!I42</f>
        <v>134884000</v>
      </c>
      <c r="I37" s="611">
        <f>'Sinta-B'!J42</f>
        <v>0</v>
      </c>
      <c r="J37" s="611">
        <f>'Sinta-B'!K42</f>
        <v>0</v>
      </c>
      <c r="K37" s="611">
        <f>'Sinta-B'!L42</f>
        <v>0</v>
      </c>
      <c r="L37" s="555">
        <f>'Kumai-B'!E42</f>
        <v>0</v>
      </c>
      <c r="M37" s="611">
        <f>'Kumai-B'!F42</f>
        <v>0</v>
      </c>
      <c r="N37" s="611">
        <f>'Kumai-B'!G42</f>
        <v>0</v>
      </c>
      <c r="O37" s="611">
        <f>'Kumai-B'!H42</f>
        <v>0</v>
      </c>
      <c r="P37" s="555">
        <f>'Kumai-B'!I42</f>
        <v>0</v>
      </c>
      <c r="Q37" s="611">
        <f>'Kumai-B'!J42</f>
        <v>0</v>
      </c>
      <c r="R37" s="611">
        <f>'Kumai-B'!K42</f>
        <v>0</v>
      </c>
      <c r="S37" s="611">
        <f>'Kumai-B'!L42</f>
        <v>0</v>
      </c>
      <c r="T37" s="555">
        <f>'Balin-B'!E42</f>
        <v>77234949</v>
      </c>
      <c r="U37" s="611">
        <f>'Balin-B'!F42</f>
        <v>116798639</v>
      </c>
      <c r="V37" s="611">
        <f>'Balin-B'!G42</f>
        <v>78299136</v>
      </c>
      <c r="W37" s="611">
        <f>'Balin-B'!H42</f>
        <v>78299136</v>
      </c>
      <c r="X37" s="555">
        <f>'Balin-B'!I42</f>
        <v>371150067</v>
      </c>
      <c r="Y37" s="611">
        <f>'Balin-B'!J42</f>
        <v>450137844</v>
      </c>
      <c r="Z37" s="611">
        <f>'Balin-B'!K42</f>
        <v>479888392</v>
      </c>
      <c r="AA37" s="611">
        <f>'Balin-B'!L42</f>
        <v>479888392</v>
      </c>
      <c r="AB37" s="587">
        <v>0.0</v>
      </c>
      <c r="AC37" s="587">
        <v>0.0</v>
      </c>
      <c r="AD37" s="587">
        <v>0.0</v>
      </c>
      <c r="AE37" s="587">
        <v>0.0</v>
      </c>
      <c r="AF37" s="587">
        <v>0.0</v>
      </c>
      <c r="AG37" s="587">
        <v>0.0</v>
      </c>
      <c r="AH37" s="587">
        <v>0.0</v>
      </c>
      <c r="AI37" s="587">
        <v>0.0</v>
      </c>
      <c r="AJ37" s="555">
        <f>'Lokal-B'!E42</f>
        <v>0</v>
      </c>
      <c r="AK37" s="611">
        <f>'Lokal-B'!F42</f>
        <v>0</v>
      </c>
      <c r="AL37" s="611">
        <f>'Lokal-B'!G42</f>
        <v>0</v>
      </c>
      <c r="AM37" s="611">
        <f>'Lokal-B'!H42</f>
        <v>0</v>
      </c>
      <c r="AN37" s="555">
        <f>'Lokal-B'!I42</f>
        <v>0</v>
      </c>
      <c r="AO37" s="611">
        <f>'Lokal-B'!J42</f>
        <v>0</v>
      </c>
      <c r="AP37" s="611">
        <f>'Lokal-B'!K42</f>
        <v>0</v>
      </c>
      <c r="AQ37" s="611">
        <f>'Lokal-B'!L42</f>
        <v>0</v>
      </c>
      <c r="AR37" s="612">
        <f t="shared" ref="AR37:AY37" si="32">D37+L37+T37+AB37+AJ37</f>
        <v>77234947</v>
      </c>
      <c r="AS37" s="611">
        <f t="shared" si="32"/>
        <v>116798639</v>
      </c>
      <c r="AT37" s="611">
        <f t="shared" si="32"/>
        <v>78299136</v>
      </c>
      <c r="AU37" s="611">
        <f t="shared" si="32"/>
        <v>78299136</v>
      </c>
      <c r="AV37" s="611">
        <f t="shared" si="32"/>
        <v>506034067</v>
      </c>
      <c r="AW37" s="611">
        <f t="shared" si="32"/>
        <v>450137844</v>
      </c>
      <c r="AX37" s="613">
        <f t="shared" si="32"/>
        <v>479888392</v>
      </c>
      <c r="AY37" s="613">
        <f t="shared" si="32"/>
        <v>479888392</v>
      </c>
    </row>
    <row r="38">
      <c r="A38" s="576"/>
      <c r="B38" s="610" t="s">
        <v>981</v>
      </c>
      <c r="C38" s="550" t="s">
        <v>984</v>
      </c>
      <c r="D38" s="555">
        <f>'Sinta-B'!E43</f>
        <v>0</v>
      </c>
      <c r="E38" s="611">
        <f>'Sinta-B'!F43</f>
        <v>0</v>
      </c>
      <c r="F38" s="611">
        <f>'Sinta-B'!G43</f>
        <v>0</v>
      </c>
      <c r="G38" s="611">
        <f>'Sinta-B'!H43</f>
        <v>0</v>
      </c>
      <c r="H38" s="555">
        <f>'Sinta-B'!I43</f>
        <v>0</v>
      </c>
      <c r="I38" s="611">
        <f>'Sinta-B'!J43</f>
        <v>0</v>
      </c>
      <c r="J38" s="611">
        <f>'Sinta-B'!K43</f>
        <v>0</v>
      </c>
      <c r="K38" s="611">
        <f>'Sinta-B'!L43</f>
        <v>0</v>
      </c>
      <c r="L38" s="555">
        <f>'Kumai-B'!E43</f>
        <v>0</v>
      </c>
      <c r="M38" s="611">
        <f>'Kumai-B'!F43</f>
        <v>0</v>
      </c>
      <c r="N38" s="611">
        <f>'Kumai-B'!G43</f>
        <v>0</v>
      </c>
      <c r="O38" s="611">
        <f>'Kumai-B'!H43</f>
        <v>0</v>
      </c>
      <c r="P38" s="555">
        <f>'Kumai-B'!I43</f>
        <v>0</v>
      </c>
      <c r="Q38" s="611">
        <f>'Kumai-B'!J43</f>
        <v>0</v>
      </c>
      <c r="R38" s="611">
        <f>'Kumai-B'!K43</f>
        <v>0</v>
      </c>
      <c r="S38" s="611">
        <f>'Kumai-B'!L43</f>
        <v>0</v>
      </c>
      <c r="T38" s="555">
        <f>'Balin-B'!E43</f>
        <v>0</v>
      </c>
      <c r="U38" s="611">
        <f>'Balin-B'!F43</f>
        <v>0</v>
      </c>
      <c r="V38" s="611">
        <f>'Balin-B'!G43</f>
        <v>0</v>
      </c>
      <c r="W38" s="611">
        <f>'Balin-B'!H43</f>
        <v>0</v>
      </c>
      <c r="X38" s="555">
        <f>'Balin-B'!I43</f>
        <v>0</v>
      </c>
      <c r="Y38" s="611">
        <f>'Balin-B'!J43</f>
        <v>0</v>
      </c>
      <c r="Z38" s="611">
        <f>'Balin-B'!K43</f>
        <v>0</v>
      </c>
      <c r="AA38" s="611">
        <f>'Balin-B'!L43</f>
        <v>0</v>
      </c>
      <c r="AB38" s="587">
        <v>0.0</v>
      </c>
      <c r="AC38" s="587">
        <v>0.0</v>
      </c>
      <c r="AD38" s="587">
        <v>0.0</v>
      </c>
      <c r="AE38" s="587">
        <v>0.0</v>
      </c>
      <c r="AF38" s="587">
        <v>0.0</v>
      </c>
      <c r="AG38" s="587">
        <v>0.0</v>
      </c>
      <c r="AH38" s="587">
        <v>0.0</v>
      </c>
      <c r="AI38" s="587">
        <v>0.0</v>
      </c>
      <c r="AJ38" s="555">
        <f>'Lokal-B'!E43</f>
        <v>0</v>
      </c>
      <c r="AK38" s="611">
        <f>'Lokal-B'!F43</f>
        <v>0</v>
      </c>
      <c r="AL38" s="611">
        <f>'Lokal-B'!G43</f>
        <v>0</v>
      </c>
      <c r="AM38" s="611">
        <f>'Lokal-B'!H43</f>
        <v>0</v>
      </c>
      <c r="AN38" s="555">
        <f>'Lokal-B'!I43</f>
        <v>0</v>
      </c>
      <c r="AO38" s="611">
        <f>'Lokal-B'!J43</f>
        <v>0</v>
      </c>
      <c r="AP38" s="611">
        <f>'Lokal-B'!K43</f>
        <v>0</v>
      </c>
      <c r="AQ38" s="611">
        <f>'Lokal-B'!L43</f>
        <v>0</v>
      </c>
      <c r="AR38" s="612">
        <f t="shared" ref="AR38:AY38" si="33">D38+L38+T38+AB38+AJ38</f>
        <v>0</v>
      </c>
      <c r="AS38" s="611">
        <f t="shared" si="33"/>
        <v>0</v>
      </c>
      <c r="AT38" s="611">
        <f t="shared" si="33"/>
        <v>0</v>
      </c>
      <c r="AU38" s="611">
        <f t="shared" si="33"/>
        <v>0</v>
      </c>
      <c r="AV38" s="611">
        <f t="shared" si="33"/>
        <v>0</v>
      </c>
      <c r="AW38" s="611">
        <f t="shared" si="33"/>
        <v>0</v>
      </c>
      <c r="AX38" s="613">
        <f t="shared" si="33"/>
        <v>0</v>
      </c>
      <c r="AY38" s="613">
        <f t="shared" si="33"/>
        <v>0</v>
      </c>
    </row>
    <row r="39">
      <c r="A39" s="576"/>
      <c r="B39" s="610" t="s">
        <v>981</v>
      </c>
      <c r="C39" s="550" t="s">
        <v>654</v>
      </c>
      <c r="D39" s="555">
        <f>'Sinta-B'!E44</f>
        <v>187914559</v>
      </c>
      <c r="E39" s="611">
        <f>'Sinta-B'!F44</f>
        <v>68056858</v>
      </c>
      <c r="F39" s="611">
        <f>'Sinta-B'!G44</f>
        <v>0</v>
      </c>
      <c r="G39" s="611">
        <f>'Sinta-B'!H44</f>
        <v>0</v>
      </c>
      <c r="H39" s="555">
        <f>'Sinta-B'!I44</f>
        <v>947609371</v>
      </c>
      <c r="I39" s="611">
        <f>'Sinta-B'!J44</f>
        <v>295416909</v>
      </c>
      <c r="J39" s="611">
        <f>'Sinta-B'!K44</f>
        <v>0</v>
      </c>
      <c r="K39" s="611">
        <f>'Sinta-B'!L44</f>
        <v>0</v>
      </c>
      <c r="L39" s="555">
        <f>'Kumai-B'!E44</f>
        <v>0</v>
      </c>
      <c r="M39" s="611">
        <f>'Kumai-B'!F44</f>
        <v>0</v>
      </c>
      <c r="N39" s="611">
        <f>'Kumai-B'!G44</f>
        <v>0</v>
      </c>
      <c r="O39" s="611">
        <f>'Kumai-B'!H44</f>
        <v>0</v>
      </c>
      <c r="P39" s="555">
        <f>'Kumai-B'!I44</f>
        <v>0</v>
      </c>
      <c r="Q39" s="611">
        <f>'Kumai-B'!J44</f>
        <v>0</v>
      </c>
      <c r="R39" s="611">
        <f>'Kumai-B'!K44</f>
        <v>0</v>
      </c>
      <c r="S39" s="611">
        <f>'Kumai-B'!L44</f>
        <v>0</v>
      </c>
      <c r="T39" s="555">
        <f>'Balin-B'!E44</f>
        <v>533136926</v>
      </c>
      <c r="U39" s="611">
        <f>'Balin-B'!F44</f>
        <v>405518411</v>
      </c>
      <c r="V39" s="611">
        <f>'Balin-B'!G44</f>
        <v>620015439</v>
      </c>
      <c r="W39" s="611">
        <f>'Balin-B'!H44</f>
        <v>620015439</v>
      </c>
      <c r="X39" s="555">
        <f>'Balin-B'!I44</f>
        <v>2551728661</v>
      </c>
      <c r="Y39" s="611">
        <f>'Balin-B'!J44</f>
        <v>2243866763</v>
      </c>
      <c r="Z39" s="611">
        <f>'Balin-B'!K44</f>
        <v>3554727171</v>
      </c>
      <c r="AA39" s="611">
        <f>'Balin-B'!L44</f>
        <v>3554727171</v>
      </c>
      <c r="AB39" s="587">
        <v>0.0</v>
      </c>
      <c r="AC39" s="587">
        <v>0.0</v>
      </c>
      <c r="AD39" s="587">
        <v>0.0</v>
      </c>
      <c r="AE39" s="587">
        <v>0.0</v>
      </c>
      <c r="AF39" s="587">
        <v>0.0</v>
      </c>
      <c r="AG39" s="587">
        <v>0.0</v>
      </c>
      <c r="AH39" s="587">
        <v>0.0</v>
      </c>
      <c r="AI39" s="587">
        <v>0.0</v>
      </c>
      <c r="AJ39" s="555">
        <f>'Lokal-B'!E44</f>
        <v>4961480</v>
      </c>
      <c r="AK39" s="611">
        <f>'Lokal-B'!F44</f>
        <v>1928688</v>
      </c>
      <c r="AL39" s="611">
        <f>'Lokal-B'!G44</f>
        <v>0</v>
      </c>
      <c r="AM39" s="611">
        <f>'Lokal-B'!H44</f>
        <v>0</v>
      </c>
      <c r="AN39" s="555">
        <f>'Lokal-B'!I44</f>
        <v>15359724</v>
      </c>
      <c r="AO39" s="611">
        <f>'Lokal-B'!J44</f>
        <v>9182232</v>
      </c>
      <c r="AP39" s="611">
        <f>'Lokal-B'!K44</f>
        <v>0</v>
      </c>
      <c r="AQ39" s="611">
        <f>'Lokal-B'!L44</f>
        <v>0</v>
      </c>
      <c r="AR39" s="612">
        <f t="shared" ref="AR39:AY39" si="34">D39+L39+T39+AB39+AJ39</f>
        <v>726012965</v>
      </c>
      <c r="AS39" s="611">
        <f t="shared" si="34"/>
        <v>475503957</v>
      </c>
      <c r="AT39" s="611">
        <f t="shared" si="34"/>
        <v>620015439</v>
      </c>
      <c r="AU39" s="611">
        <f t="shared" si="34"/>
        <v>620015439</v>
      </c>
      <c r="AV39" s="611">
        <f t="shared" si="34"/>
        <v>3514697756</v>
      </c>
      <c r="AW39" s="611">
        <f t="shared" si="34"/>
        <v>2548465904</v>
      </c>
      <c r="AX39" s="613">
        <f t="shared" si="34"/>
        <v>3554727171</v>
      </c>
      <c r="AY39" s="613">
        <f t="shared" si="34"/>
        <v>3554727171</v>
      </c>
    </row>
    <row r="40">
      <c r="A40" s="576"/>
      <c r="B40" s="610" t="s">
        <v>981</v>
      </c>
      <c r="C40" s="550" t="s">
        <v>985</v>
      </c>
      <c r="D40" s="555">
        <f>'Sinta-B'!E45</f>
        <v>0</v>
      </c>
      <c r="E40" s="611">
        <f>'Sinta-B'!F45</f>
        <v>0</v>
      </c>
      <c r="F40" s="611">
        <f>'Sinta-B'!G45</f>
        <v>0</v>
      </c>
      <c r="G40" s="611">
        <f>'Sinta-B'!H45</f>
        <v>0</v>
      </c>
      <c r="H40" s="555">
        <f>'Sinta-B'!I45</f>
        <v>29179150</v>
      </c>
      <c r="I40" s="611">
        <f>'Sinta-B'!J45</f>
        <v>6333334</v>
      </c>
      <c r="J40" s="611">
        <f>'Sinta-B'!K45</f>
        <v>0</v>
      </c>
      <c r="K40" s="611">
        <f>'Sinta-B'!L45</f>
        <v>0</v>
      </c>
      <c r="L40" s="555">
        <f>'Kumai-B'!E45</f>
        <v>0</v>
      </c>
      <c r="M40" s="611">
        <f>'Kumai-B'!F45</f>
        <v>0</v>
      </c>
      <c r="N40" s="611">
        <f>'Kumai-B'!G45</f>
        <v>0</v>
      </c>
      <c r="O40" s="611">
        <f>'Kumai-B'!H45</f>
        <v>0</v>
      </c>
      <c r="P40" s="555">
        <f>'Kumai-B'!I45</f>
        <v>0</v>
      </c>
      <c r="Q40" s="611">
        <f>'Kumai-B'!J45</f>
        <v>0</v>
      </c>
      <c r="R40" s="611">
        <f>'Kumai-B'!K45</f>
        <v>0</v>
      </c>
      <c r="S40" s="611">
        <f>'Kumai-B'!L45</f>
        <v>0</v>
      </c>
      <c r="T40" s="555">
        <f>'Balin-B'!E45</f>
        <v>34722647</v>
      </c>
      <c r="U40" s="611">
        <f>'Balin-B'!F45</f>
        <v>46323253</v>
      </c>
      <c r="V40" s="611">
        <f>'Balin-B'!G45</f>
        <v>41457711</v>
      </c>
      <c r="W40" s="611">
        <f>'Balin-B'!H45</f>
        <v>41457711</v>
      </c>
      <c r="X40" s="555">
        <f>'Balin-B'!I45</f>
        <v>164782836</v>
      </c>
      <c r="Y40" s="611">
        <f>'Balin-B'!J45</f>
        <v>227746446</v>
      </c>
      <c r="Z40" s="611">
        <f>'Balin-B'!K45</f>
        <v>254930812</v>
      </c>
      <c r="AA40" s="611">
        <f>'Balin-B'!L45</f>
        <v>254930812</v>
      </c>
      <c r="AB40" s="587">
        <v>0.0</v>
      </c>
      <c r="AC40" s="587">
        <v>0.0</v>
      </c>
      <c r="AD40" s="587">
        <v>0.0</v>
      </c>
      <c r="AE40" s="587">
        <v>0.0</v>
      </c>
      <c r="AF40" s="587">
        <v>0.0</v>
      </c>
      <c r="AG40" s="587">
        <v>0.0</v>
      </c>
      <c r="AH40" s="587">
        <v>0.0</v>
      </c>
      <c r="AI40" s="587">
        <v>0.0</v>
      </c>
      <c r="AJ40" s="555">
        <f>'Lokal-B'!E45</f>
        <v>0</v>
      </c>
      <c r="AK40" s="611">
        <f>'Lokal-B'!F45</f>
        <v>257400</v>
      </c>
      <c r="AL40" s="611">
        <f>'Lokal-B'!G45</f>
        <v>0</v>
      </c>
      <c r="AM40" s="611">
        <f>'Lokal-B'!H45</f>
        <v>0</v>
      </c>
      <c r="AN40" s="555">
        <f>'Lokal-B'!I45</f>
        <v>1443600</v>
      </c>
      <c r="AO40" s="611">
        <f>'Lokal-B'!J45</f>
        <v>1231200</v>
      </c>
      <c r="AP40" s="611">
        <f>'Lokal-B'!K45</f>
        <v>0</v>
      </c>
      <c r="AQ40" s="611">
        <f>'Lokal-B'!L45</f>
        <v>0</v>
      </c>
      <c r="AR40" s="612">
        <f t="shared" ref="AR40:AY40" si="35">D40+L40+T40+AB40+AJ40</f>
        <v>34722647</v>
      </c>
      <c r="AS40" s="611">
        <f t="shared" si="35"/>
        <v>46580653</v>
      </c>
      <c r="AT40" s="611">
        <f t="shared" si="35"/>
        <v>41457711</v>
      </c>
      <c r="AU40" s="611">
        <f t="shared" si="35"/>
        <v>41457711</v>
      </c>
      <c r="AV40" s="611">
        <f t="shared" si="35"/>
        <v>195405586</v>
      </c>
      <c r="AW40" s="611">
        <f t="shared" si="35"/>
        <v>235310980</v>
      </c>
      <c r="AX40" s="613">
        <f t="shared" si="35"/>
        <v>254930812</v>
      </c>
      <c r="AY40" s="613">
        <f t="shared" si="35"/>
        <v>254930812</v>
      </c>
    </row>
    <row r="41">
      <c r="A41" s="576"/>
      <c r="B41" s="549"/>
      <c r="C41" s="559" t="s">
        <v>986</v>
      </c>
      <c r="D41" s="563">
        <f t="shared" ref="D41:AY41" si="36">sum(D36:D40)</f>
        <v>206058990</v>
      </c>
      <c r="E41" s="564">
        <f t="shared" si="36"/>
        <v>92116392</v>
      </c>
      <c r="F41" s="564">
        <f t="shared" si="36"/>
        <v>0</v>
      </c>
      <c r="G41" s="564">
        <f t="shared" si="36"/>
        <v>0</v>
      </c>
      <c r="H41" s="563">
        <f t="shared" si="36"/>
        <v>1196735519</v>
      </c>
      <c r="I41" s="564">
        <f t="shared" si="36"/>
        <v>414977172</v>
      </c>
      <c r="J41" s="564">
        <f t="shared" si="36"/>
        <v>0</v>
      </c>
      <c r="K41" s="564">
        <f t="shared" si="36"/>
        <v>0</v>
      </c>
      <c r="L41" s="563">
        <f t="shared" si="36"/>
        <v>0</v>
      </c>
      <c r="M41" s="564">
        <f t="shared" si="36"/>
        <v>0</v>
      </c>
      <c r="N41" s="564">
        <f t="shared" si="36"/>
        <v>0</v>
      </c>
      <c r="O41" s="564">
        <f t="shared" si="36"/>
        <v>0</v>
      </c>
      <c r="P41" s="563">
        <f t="shared" si="36"/>
        <v>0</v>
      </c>
      <c r="Q41" s="564">
        <f t="shared" si="36"/>
        <v>0</v>
      </c>
      <c r="R41" s="564">
        <f t="shared" si="36"/>
        <v>0</v>
      </c>
      <c r="S41" s="564">
        <f t="shared" si="36"/>
        <v>0</v>
      </c>
      <c r="T41" s="563">
        <f t="shared" si="36"/>
        <v>711190514</v>
      </c>
      <c r="U41" s="564">
        <f t="shared" si="36"/>
        <v>674561482</v>
      </c>
      <c r="V41" s="564">
        <f t="shared" si="36"/>
        <v>805044637</v>
      </c>
      <c r="W41" s="564">
        <f t="shared" si="36"/>
        <v>805044637</v>
      </c>
      <c r="X41" s="563">
        <f t="shared" si="36"/>
        <v>3428233235</v>
      </c>
      <c r="Y41" s="564">
        <f t="shared" si="36"/>
        <v>3373062578</v>
      </c>
      <c r="Z41" s="564">
        <f t="shared" si="36"/>
        <v>4621659687</v>
      </c>
      <c r="AA41" s="564">
        <f t="shared" si="36"/>
        <v>4621659687</v>
      </c>
      <c r="AB41" s="563">
        <f t="shared" si="36"/>
        <v>0</v>
      </c>
      <c r="AC41" s="563">
        <f t="shared" si="36"/>
        <v>0</v>
      </c>
      <c r="AD41" s="563">
        <f t="shared" si="36"/>
        <v>0</v>
      </c>
      <c r="AE41" s="563">
        <f t="shared" si="36"/>
        <v>0</v>
      </c>
      <c r="AF41" s="563">
        <f t="shared" si="36"/>
        <v>0</v>
      </c>
      <c r="AG41" s="563">
        <f t="shared" si="36"/>
        <v>0</v>
      </c>
      <c r="AH41" s="563">
        <f t="shared" si="36"/>
        <v>0</v>
      </c>
      <c r="AI41" s="563">
        <f t="shared" si="36"/>
        <v>0</v>
      </c>
      <c r="AJ41" s="563">
        <f t="shared" si="36"/>
        <v>4961480</v>
      </c>
      <c r="AK41" s="564">
        <f t="shared" si="36"/>
        <v>2186088</v>
      </c>
      <c r="AL41" s="564">
        <f t="shared" si="36"/>
        <v>0</v>
      </c>
      <c r="AM41" s="564">
        <f t="shared" si="36"/>
        <v>0</v>
      </c>
      <c r="AN41" s="563">
        <f t="shared" si="36"/>
        <v>16803324</v>
      </c>
      <c r="AO41" s="564">
        <f t="shared" si="36"/>
        <v>10413432</v>
      </c>
      <c r="AP41" s="564">
        <f t="shared" si="36"/>
        <v>0</v>
      </c>
      <c r="AQ41" s="564">
        <f t="shared" si="36"/>
        <v>0</v>
      </c>
      <c r="AR41" s="563">
        <f t="shared" si="36"/>
        <v>922210984</v>
      </c>
      <c r="AS41" s="564">
        <f t="shared" si="36"/>
        <v>768863962</v>
      </c>
      <c r="AT41" s="564">
        <f t="shared" si="36"/>
        <v>805044637</v>
      </c>
      <c r="AU41" s="564">
        <f t="shared" si="36"/>
        <v>805044637</v>
      </c>
      <c r="AV41" s="564">
        <f t="shared" si="36"/>
        <v>4641772078</v>
      </c>
      <c r="AW41" s="564">
        <f t="shared" si="36"/>
        <v>3798453182</v>
      </c>
      <c r="AX41" s="565">
        <f t="shared" si="36"/>
        <v>4621659687</v>
      </c>
      <c r="AY41" s="565">
        <f t="shared" si="36"/>
        <v>4621659687</v>
      </c>
    </row>
    <row r="42">
      <c r="A42" s="576"/>
      <c r="B42" s="610" t="s">
        <v>981</v>
      </c>
      <c r="C42" s="614" t="s">
        <v>987</v>
      </c>
      <c r="D42" s="555">
        <f>'Sinta-B'!E47</f>
        <v>122391372</v>
      </c>
      <c r="E42" s="611">
        <f>'Sinta-B'!F47</f>
        <v>99464935</v>
      </c>
      <c r="F42" s="611">
        <f>'Sinta-B'!G47</f>
        <v>0</v>
      </c>
      <c r="G42" s="611">
        <f>'Sinta-B'!H47</f>
        <v>0</v>
      </c>
      <c r="H42" s="555">
        <f>'Sinta-B'!I47</f>
        <v>665069488</v>
      </c>
      <c r="I42" s="611">
        <f>'Sinta-B'!J47</f>
        <v>352818566</v>
      </c>
      <c r="J42" s="611">
        <f>'Sinta-B'!K47</f>
        <v>0</v>
      </c>
      <c r="K42" s="611">
        <f>'Sinta-B'!L47</f>
        <v>0</v>
      </c>
      <c r="L42" s="555">
        <f>'Kumai-B'!E47</f>
        <v>0</v>
      </c>
      <c r="M42" s="611">
        <f>'Kumai-B'!F47</f>
        <v>0</v>
      </c>
      <c r="N42" s="611">
        <f>'Kumai-B'!G47</f>
        <v>0</v>
      </c>
      <c r="O42" s="611">
        <f>'Kumai-B'!H47</f>
        <v>0</v>
      </c>
      <c r="P42" s="555">
        <f>'Kumai-B'!I47</f>
        <v>0</v>
      </c>
      <c r="Q42" s="611">
        <f>'Kumai-B'!J47</f>
        <v>0</v>
      </c>
      <c r="R42" s="611">
        <f>'Kumai-B'!K47</f>
        <v>0</v>
      </c>
      <c r="S42" s="611">
        <f>'Kumai-B'!L47</f>
        <v>0</v>
      </c>
      <c r="T42" s="555">
        <f>'Balin-B'!E47</f>
        <v>233643308</v>
      </c>
      <c r="U42" s="611">
        <f>'Balin-B'!F47</f>
        <v>385614822</v>
      </c>
      <c r="V42" s="611">
        <f>'Balin-B'!G47</f>
        <v>342049000</v>
      </c>
      <c r="W42" s="611">
        <f>'Balin-B'!H47</f>
        <v>342048189</v>
      </c>
      <c r="X42" s="555">
        <f>'Balin-B'!I47</f>
        <v>1256678518</v>
      </c>
      <c r="Y42" s="611">
        <f>'Balin-B'!J47</f>
        <v>1735068790</v>
      </c>
      <c r="Z42" s="611">
        <f>'Balin-B'!K47</f>
        <v>1768453000</v>
      </c>
      <c r="AA42" s="611">
        <f>'Balin-B'!L47</f>
        <v>1768452450</v>
      </c>
      <c r="AB42" s="587">
        <v>0.0</v>
      </c>
      <c r="AC42" s="587">
        <v>0.0</v>
      </c>
      <c r="AD42" s="587">
        <v>0.0</v>
      </c>
      <c r="AE42" s="587">
        <v>0.0</v>
      </c>
      <c r="AF42" s="587">
        <v>0.0</v>
      </c>
      <c r="AG42" s="587">
        <v>0.0</v>
      </c>
      <c r="AH42" s="587">
        <v>0.0</v>
      </c>
      <c r="AI42" s="587">
        <v>0.0</v>
      </c>
      <c r="AJ42" s="555">
        <f>'Lokal-B'!E47</f>
        <v>0</v>
      </c>
      <c r="AK42" s="611">
        <f>'Lokal-B'!F47</f>
        <v>0</v>
      </c>
      <c r="AL42" s="611">
        <f>'Lokal-B'!G47</f>
        <v>0</v>
      </c>
      <c r="AM42" s="611">
        <f>'Lokal-B'!H47</f>
        <v>0</v>
      </c>
      <c r="AN42" s="555">
        <f>'Lokal-B'!I47</f>
        <v>0</v>
      </c>
      <c r="AO42" s="611">
        <f>'Lokal-B'!J47</f>
        <v>15047803</v>
      </c>
      <c r="AP42" s="611">
        <f>'Lokal-B'!K47</f>
        <v>0</v>
      </c>
      <c r="AQ42" s="611">
        <f>'Lokal-B'!L47</f>
        <v>0</v>
      </c>
      <c r="AR42" s="612">
        <f t="shared" ref="AR42:AY42" si="37">D42+L42+T42+AB42+AJ42</f>
        <v>356034680</v>
      </c>
      <c r="AS42" s="611">
        <f t="shared" si="37"/>
        <v>485079757</v>
      </c>
      <c r="AT42" s="611">
        <f t="shared" si="37"/>
        <v>342049000</v>
      </c>
      <c r="AU42" s="611">
        <f t="shared" si="37"/>
        <v>342048189</v>
      </c>
      <c r="AV42" s="611">
        <f t="shared" si="37"/>
        <v>1921748006</v>
      </c>
      <c r="AW42" s="615">
        <f t="shared" si="37"/>
        <v>2102935159</v>
      </c>
      <c r="AX42" s="616">
        <f t="shared" si="37"/>
        <v>1768453000</v>
      </c>
      <c r="AY42" s="616">
        <f t="shared" si="37"/>
        <v>1768452450</v>
      </c>
    </row>
    <row r="43">
      <c r="A43" s="576"/>
      <c r="B43" s="549"/>
      <c r="C43" s="559" t="s">
        <v>988</v>
      </c>
      <c r="D43" s="563">
        <f t="shared" ref="D43:AY43" si="38">D41+D42</f>
        <v>328450362</v>
      </c>
      <c r="E43" s="564">
        <f t="shared" si="38"/>
        <v>191581327</v>
      </c>
      <c r="F43" s="564">
        <f t="shared" si="38"/>
        <v>0</v>
      </c>
      <c r="G43" s="564">
        <f t="shared" si="38"/>
        <v>0</v>
      </c>
      <c r="H43" s="563">
        <f t="shared" si="38"/>
        <v>1861805007</v>
      </c>
      <c r="I43" s="564">
        <f t="shared" si="38"/>
        <v>767795738</v>
      </c>
      <c r="J43" s="564">
        <f t="shared" si="38"/>
        <v>0</v>
      </c>
      <c r="K43" s="564">
        <f t="shared" si="38"/>
        <v>0</v>
      </c>
      <c r="L43" s="563">
        <f t="shared" si="38"/>
        <v>0</v>
      </c>
      <c r="M43" s="564">
        <f t="shared" si="38"/>
        <v>0</v>
      </c>
      <c r="N43" s="564">
        <f t="shared" si="38"/>
        <v>0</v>
      </c>
      <c r="O43" s="564">
        <f t="shared" si="38"/>
        <v>0</v>
      </c>
      <c r="P43" s="563">
        <f t="shared" si="38"/>
        <v>0</v>
      </c>
      <c r="Q43" s="564">
        <f t="shared" si="38"/>
        <v>0</v>
      </c>
      <c r="R43" s="564">
        <f t="shared" si="38"/>
        <v>0</v>
      </c>
      <c r="S43" s="564">
        <f t="shared" si="38"/>
        <v>0</v>
      </c>
      <c r="T43" s="563">
        <f t="shared" si="38"/>
        <v>944833822</v>
      </c>
      <c r="U43" s="564">
        <f t="shared" si="38"/>
        <v>1060176304</v>
      </c>
      <c r="V43" s="564">
        <f t="shared" si="38"/>
        <v>1147093637</v>
      </c>
      <c r="W43" s="564">
        <f t="shared" si="38"/>
        <v>1147092826</v>
      </c>
      <c r="X43" s="563">
        <f t="shared" si="38"/>
        <v>4684911753</v>
      </c>
      <c r="Y43" s="564">
        <f t="shared" si="38"/>
        <v>5108131368</v>
      </c>
      <c r="Z43" s="564">
        <f t="shared" si="38"/>
        <v>6390112687</v>
      </c>
      <c r="AA43" s="564">
        <f t="shared" si="38"/>
        <v>6390112137</v>
      </c>
      <c r="AB43" s="563">
        <f t="shared" si="38"/>
        <v>0</v>
      </c>
      <c r="AC43" s="563">
        <f t="shared" si="38"/>
        <v>0</v>
      </c>
      <c r="AD43" s="563">
        <f t="shared" si="38"/>
        <v>0</v>
      </c>
      <c r="AE43" s="563">
        <f t="shared" si="38"/>
        <v>0</v>
      </c>
      <c r="AF43" s="563">
        <f t="shared" si="38"/>
        <v>0</v>
      </c>
      <c r="AG43" s="563">
        <f t="shared" si="38"/>
        <v>0</v>
      </c>
      <c r="AH43" s="563">
        <f t="shared" si="38"/>
        <v>0</v>
      </c>
      <c r="AI43" s="563">
        <f t="shared" si="38"/>
        <v>0</v>
      </c>
      <c r="AJ43" s="563">
        <f t="shared" si="38"/>
        <v>4961480</v>
      </c>
      <c r="AK43" s="564">
        <f t="shared" si="38"/>
        <v>2186088</v>
      </c>
      <c r="AL43" s="564">
        <f t="shared" si="38"/>
        <v>0</v>
      </c>
      <c r="AM43" s="564">
        <f t="shared" si="38"/>
        <v>0</v>
      </c>
      <c r="AN43" s="563">
        <f t="shared" si="38"/>
        <v>16803324</v>
      </c>
      <c r="AO43" s="564">
        <f t="shared" si="38"/>
        <v>25461235</v>
      </c>
      <c r="AP43" s="564">
        <f t="shared" si="38"/>
        <v>0</v>
      </c>
      <c r="AQ43" s="564">
        <f t="shared" si="38"/>
        <v>0</v>
      </c>
      <c r="AR43" s="563">
        <f t="shared" si="38"/>
        <v>1278245664</v>
      </c>
      <c r="AS43" s="564">
        <f t="shared" si="38"/>
        <v>1253943719</v>
      </c>
      <c r="AT43" s="564">
        <f t="shared" si="38"/>
        <v>1147093637</v>
      </c>
      <c r="AU43" s="564">
        <f t="shared" si="38"/>
        <v>1147092826</v>
      </c>
      <c r="AV43" s="564">
        <f t="shared" si="38"/>
        <v>6563520084</v>
      </c>
      <c r="AW43" s="564">
        <f t="shared" si="38"/>
        <v>5901388341</v>
      </c>
      <c r="AX43" s="565">
        <f t="shared" si="38"/>
        <v>6390112687</v>
      </c>
      <c r="AY43" s="565">
        <f t="shared" si="38"/>
        <v>6390112137</v>
      </c>
    </row>
    <row r="44">
      <c r="A44" s="576"/>
      <c r="B44" s="610" t="s">
        <v>981</v>
      </c>
      <c r="C44" s="550" t="s">
        <v>989</v>
      </c>
      <c r="D44" s="555">
        <f>'Sinta-B'!E49</f>
        <v>0</v>
      </c>
      <c r="E44" s="611">
        <f>'Sinta-B'!F49</f>
        <v>0</v>
      </c>
      <c r="F44" s="611">
        <f>'Sinta-B'!G49</f>
        <v>0</v>
      </c>
      <c r="G44" s="611">
        <f>'Sinta-B'!H49</f>
        <v>0</v>
      </c>
      <c r="H44" s="555">
        <f>'Sinta-B'!I49</f>
        <v>0</v>
      </c>
      <c r="I44" s="611">
        <f>'Sinta-B'!J49</f>
        <v>0</v>
      </c>
      <c r="J44" s="611">
        <f>'Sinta-B'!K49</f>
        <v>0</v>
      </c>
      <c r="K44" s="611">
        <f>'Sinta-B'!L49</f>
        <v>0</v>
      </c>
      <c r="L44" s="555">
        <f>'Kumai-B'!E49</f>
        <v>0</v>
      </c>
      <c r="M44" s="611">
        <f>'Kumai-B'!F49</f>
        <v>0</v>
      </c>
      <c r="N44" s="611">
        <f>'Kumai-B'!G49</f>
        <v>0</v>
      </c>
      <c r="O44" s="611">
        <f>'Kumai-B'!H49</f>
        <v>0</v>
      </c>
      <c r="P44" s="555">
        <f>'Kumai-B'!I49</f>
        <v>0</v>
      </c>
      <c r="Q44" s="611">
        <f>'Kumai-B'!J49</f>
        <v>0</v>
      </c>
      <c r="R44" s="611">
        <f>'Kumai-B'!K49</f>
        <v>0</v>
      </c>
      <c r="S44" s="611">
        <f>'Kumai-B'!L49</f>
        <v>0</v>
      </c>
      <c r="T44" s="555">
        <f>'Balin-B'!E49</f>
        <v>0</v>
      </c>
      <c r="U44" s="611">
        <f>'Balin-B'!F49</f>
        <v>0</v>
      </c>
      <c r="V44" s="611">
        <f>'Balin-B'!G49</f>
        <v>0</v>
      </c>
      <c r="W44" s="611">
        <f>'Balin-B'!H49</f>
        <v>0</v>
      </c>
      <c r="X44" s="555">
        <f>'Balin-B'!I49</f>
        <v>0</v>
      </c>
      <c r="Y44" s="611">
        <f>'Balin-B'!J49</f>
        <v>0</v>
      </c>
      <c r="Z44" s="611">
        <f>'Balin-B'!K49</f>
        <v>0</v>
      </c>
      <c r="AA44" s="611">
        <f>'Balin-B'!L49</f>
        <v>0</v>
      </c>
      <c r="AB44" s="587">
        <v>0.0</v>
      </c>
      <c r="AC44" s="587">
        <v>0.0</v>
      </c>
      <c r="AD44" s="587">
        <v>0.0</v>
      </c>
      <c r="AE44" s="587">
        <v>0.0</v>
      </c>
      <c r="AF44" s="587">
        <v>0.0</v>
      </c>
      <c r="AG44" s="587">
        <v>0.0</v>
      </c>
      <c r="AH44" s="587">
        <v>0.0</v>
      </c>
      <c r="AI44" s="587">
        <v>0.0</v>
      </c>
      <c r="AJ44" s="555">
        <f>'Lokal-B'!E49</f>
        <v>0</v>
      </c>
      <c r="AK44" s="611">
        <f>'Lokal-B'!F49</f>
        <v>0</v>
      </c>
      <c r="AL44" s="611">
        <f>'Lokal-B'!G49</f>
        <v>0</v>
      </c>
      <c r="AM44" s="611">
        <f>'Lokal-B'!H49</f>
        <v>0</v>
      </c>
      <c r="AN44" s="555">
        <f>'Lokal-B'!I49</f>
        <v>0</v>
      </c>
      <c r="AO44" s="611">
        <f>'Lokal-B'!J49</f>
        <v>0</v>
      </c>
      <c r="AP44" s="611">
        <f>'Lokal-B'!K49</f>
        <v>0</v>
      </c>
      <c r="AQ44" s="611">
        <f>'Lokal-B'!L49</f>
        <v>0</v>
      </c>
      <c r="AR44" s="612">
        <f t="shared" ref="AR44:AY44" si="39">D44+L44+T44+AB44+AJ44</f>
        <v>0</v>
      </c>
      <c r="AS44" s="611">
        <f t="shared" si="39"/>
        <v>0</v>
      </c>
      <c r="AT44" s="611">
        <f t="shared" si="39"/>
        <v>0</v>
      </c>
      <c r="AU44" s="611">
        <f t="shared" si="39"/>
        <v>0</v>
      </c>
      <c r="AV44" s="611">
        <f t="shared" si="39"/>
        <v>0</v>
      </c>
      <c r="AW44" s="611">
        <f t="shared" si="39"/>
        <v>0</v>
      </c>
      <c r="AX44" s="613">
        <f t="shared" si="39"/>
        <v>0</v>
      </c>
      <c r="AY44" s="613">
        <f t="shared" si="39"/>
        <v>0</v>
      </c>
    </row>
    <row r="45">
      <c r="A45" s="576"/>
      <c r="B45" s="610" t="s">
        <v>981</v>
      </c>
      <c r="C45" s="550" t="s">
        <v>990</v>
      </c>
      <c r="D45" s="555">
        <f>'Sinta-B'!E50</f>
        <v>0</v>
      </c>
      <c r="E45" s="611">
        <f>'Sinta-B'!F50</f>
        <v>0</v>
      </c>
      <c r="F45" s="611">
        <f>'Sinta-B'!G50</f>
        <v>0</v>
      </c>
      <c r="G45" s="611">
        <f>'Sinta-B'!H50</f>
        <v>0</v>
      </c>
      <c r="H45" s="587">
        <f>'Sinta-B'!I50</f>
        <v>0</v>
      </c>
      <c r="I45" s="611">
        <f>'Sinta-B'!J50</f>
        <v>0</v>
      </c>
      <c r="J45" s="611">
        <f>'Sinta-B'!K50</f>
        <v>0</v>
      </c>
      <c r="K45" s="611">
        <f>'Sinta-B'!L50</f>
        <v>0</v>
      </c>
      <c r="L45" s="555">
        <f>'Kumai-B'!E50</f>
        <v>0</v>
      </c>
      <c r="M45" s="611">
        <f>'Kumai-B'!F50</f>
        <v>0</v>
      </c>
      <c r="N45" s="611">
        <f>'Kumai-B'!G50</f>
        <v>0</v>
      </c>
      <c r="O45" s="611">
        <f>'Kumai-B'!H50</f>
        <v>0</v>
      </c>
      <c r="P45" s="587">
        <f>'Kumai-B'!I50</f>
        <v>0</v>
      </c>
      <c r="Q45" s="611">
        <f>'Kumai-B'!J50</f>
        <v>0</v>
      </c>
      <c r="R45" s="611">
        <f>'Kumai-B'!K50</f>
        <v>0</v>
      </c>
      <c r="S45" s="611">
        <f>'Kumai-B'!L50</f>
        <v>0</v>
      </c>
      <c r="T45" s="555">
        <f>'Balin-B'!E50</f>
        <v>0</v>
      </c>
      <c r="U45" s="611">
        <f>'Balin-B'!F50</f>
        <v>0</v>
      </c>
      <c r="V45" s="611">
        <f>'Balin-B'!G50</f>
        <v>0</v>
      </c>
      <c r="W45" s="611">
        <f>'Balin-B'!H50</f>
        <v>0</v>
      </c>
      <c r="X45" s="587">
        <f>'Balin-B'!I50</f>
        <v>0</v>
      </c>
      <c r="Y45" s="611">
        <f>'Balin-B'!J50</f>
        <v>0</v>
      </c>
      <c r="Z45" s="611">
        <f>'Balin-B'!K50</f>
        <v>0</v>
      </c>
      <c r="AA45" s="611">
        <f>'Balin-B'!L50</f>
        <v>0</v>
      </c>
      <c r="AB45" s="587">
        <v>0.0</v>
      </c>
      <c r="AC45" s="587">
        <v>0.0</v>
      </c>
      <c r="AD45" s="587">
        <v>0.0</v>
      </c>
      <c r="AE45" s="587">
        <v>0.0</v>
      </c>
      <c r="AF45" s="587">
        <v>0.0</v>
      </c>
      <c r="AG45" s="587">
        <v>0.0</v>
      </c>
      <c r="AH45" s="587">
        <v>0.0</v>
      </c>
      <c r="AI45" s="587">
        <v>0.0</v>
      </c>
      <c r="AJ45" s="555">
        <f>'Lokal-B'!E50</f>
        <v>0</v>
      </c>
      <c r="AK45" s="611">
        <f>'Lokal-B'!F50</f>
        <v>0</v>
      </c>
      <c r="AL45" s="611">
        <f>'Lokal-B'!G50</f>
        <v>0</v>
      </c>
      <c r="AM45" s="611">
        <f>'Lokal-B'!H50</f>
        <v>0</v>
      </c>
      <c r="AN45" s="587">
        <f>'Lokal-B'!I50</f>
        <v>0</v>
      </c>
      <c r="AO45" s="611">
        <f>'Lokal-B'!J50</f>
        <v>0</v>
      </c>
      <c r="AP45" s="611">
        <f>'Lokal-B'!K50</f>
        <v>0</v>
      </c>
      <c r="AQ45" s="611">
        <f>'Lokal-B'!L50</f>
        <v>0</v>
      </c>
      <c r="AR45" s="617">
        <f t="shared" ref="AR45:AY45" si="40">D45+L45+T45+AB45+AJ45</f>
        <v>0</v>
      </c>
      <c r="AS45" s="611">
        <f t="shared" si="40"/>
        <v>0</v>
      </c>
      <c r="AT45" s="611">
        <f t="shared" si="40"/>
        <v>0</v>
      </c>
      <c r="AU45" s="611">
        <f t="shared" si="40"/>
        <v>0</v>
      </c>
      <c r="AV45" s="618">
        <f t="shared" si="40"/>
        <v>0</v>
      </c>
      <c r="AW45" s="611">
        <f t="shared" si="40"/>
        <v>0</v>
      </c>
      <c r="AX45" s="613">
        <f t="shared" si="40"/>
        <v>0</v>
      </c>
      <c r="AY45" s="613">
        <f t="shared" si="40"/>
        <v>0</v>
      </c>
    </row>
    <row r="46">
      <c r="A46" s="576"/>
      <c r="B46" s="549"/>
      <c r="C46" s="559" t="s">
        <v>991</v>
      </c>
      <c r="D46" s="563">
        <f t="shared" ref="D46:AY46" si="41">sum(D44:D45)</f>
        <v>0</v>
      </c>
      <c r="E46" s="564">
        <f t="shared" si="41"/>
        <v>0</v>
      </c>
      <c r="F46" s="564">
        <f t="shared" si="41"/>
        <v>0</v>
      </c>
      <c r="G46" s="564">
        <f t="shared" si="41"/>
        <v>0</v>
      </c>
      <c r="H46" s="563">
        <f t="shared" si="41"/>
        <v>0</v>
      </c>
      <c r="I46" s="564">
        <f t="shared" si="41"/>
        <v>0</v>
      </c>
      <c r="J46" s="564">
        <f t="shared" si="41"/>
        <v>0</v>
      </c>
      <c r="K46" s="564">
        <f t="shared" si="41"/>
        <v>0</v>
      </c>
      <c r="L46" s="563">
        <f t="shared" si="41"/>
        <v>0</v>
      </c>
      <c r="M46" s="564">
        <f t="shared" si="41"/>
        <v>0</v>
      </c>
      <c r="N46" s="564">
        <f t="shared" si="41"/>
        <v>0</v>
      </c>
      <c r="O46" s="564">
        <f t="shared" si="41"/>
        <v>0</v>
      </c>
      <c r="P46" s="563">
        <f t="shared" si="41"/>
        <v>0</v>
      </c>
      <c r="Q46" s="564">
        <f t="shared" si="41"/>
        <v>0</v>
      </c>
      <c r="R46" s="564">
        <f t="shared" si="41"/>
        <v>0</v>
      </c>
      <c r="S46" s="564">
        <f t="shared" si="41"/>
        <v>0</v>
      </c>
      <c r="T46" s="563">
        <f t="shared" si="41"/>
        <v>0</v>
      </c>
      <c r="U46" s="564">
        <f t="shared" si="41"/>
        <v>0</v>
      </c>
      <c r="V46" s="564">
        <f t="shared" si="41"/>
        <v>0</v>
      </c>
      <c r="W46" s="564">
        <f t="shared" si="41"/>
        <v>0</v>
      </c>
      <c r="X46" s="563">
        <f t="shared" si="41"/>
        <v>0</v>
      </c>
      <c r="Y46" s="564">
        <f t="shared" si="41"/>
        <v>0</v>
      </c>
      <c r="Z46" s="564">
        <f t="shared" si="41"/>
        <v>0</v>
      </c>
      <c r="AA46" s="564">
        <f t="shared" si="41"/>
        <v>0</v>
      </c>
      <c r="AB46" s="563">
        <f t="shared" si="41"/>
        <v>0</v>
      </c>
      <c r="AC46" s="563">
        <f t="shared" si="41"/>
        <v>0</v>
      </c>
      <c r="AD46" s="563">
        <f t="shared" si="41"/>
        <v>0</v>
      </c>
      <c r="AE46" s="563">
        <f t="shared" si="41"/>
        <v>0</v>
      </c>
      <c r="AF46" s="563">
        <f t="shared" si="41"/>
        <v>0</v>
      </c>
      <c r="AG46" s="563">
        <f t="shared" si="41"/>
        <v>0</v>
      </c>
      <c r="AH46" s="563">
        <f t="shared" si="41"/>
        <v>0</v>
      </c>
      <c r="AI46" s="563">
        <f t="shared" si="41"/>
        <v>0</v>
      </c>
      <c r="AJ46" s="563">
        <f t="shared" si="41"/>
        <v>0</v>
      </c>
      <c r="AK46" s="564">
        <f t="shared" si="41"/>
        <v>0</v>
      </c>
      <c r="AL46" s="564">
        <f t="shared" si="41"/>
        <v>0</v>
      </c>
      <c r="AM46" s="564">
        <f t="shared" si="41"/>
        <v>0</v>
      </c>
      <c r="AN46" s="563">
        <f t="shared" si="41"/>
        <v>0</v>
      </c>
      <c r="AO46" s="564">
        <f t="shared" si="41"/>
        <v>0</v>
      </c>
      <c r="AP46" s="564">
        <f t="shared" si="41"/>
        <v>0</v>
      </c>
      <c r="AQ46" s="564">
        <f t="shared" si="41"/>
        <v>0</v>
      </c>
      <c r="AR46" s="563">
        <f t="shared" si="41"/>
        <v>0</v>
      </c>
      <c r="AS46" s="564">
        <f t="shared" si="41"/>
        <v>0</v>
      </c>
      <c r="AT46" s="564">
        <f t="shared" si="41"/>
        <v>0</v>
      </c>
      <c r="AU46" s="564">
        <f t="shared" si="41"/>
        <v>0</v>
      </c>
      <c r="AV46" s="564">
        <f t="shared" si="41"/>
        <v>0</v>
      </c>
      <c r="AW46" s="564">
        <f t="shared" si="41"/>
        <v>0</v>
      </c>
      <c r="AX46" s="565">
        <f t="shared" si="41"/>
        <v>0</v>
      </c>
      <c r="AY46" s="565">
        <f t="shared" si="41"/>
        <v>0</v>
      </c>
    </row>
    <row r="47">
      <c r="A47" s="576"/>
      <c r="B47" s="610" t="s">
        <v>981</v>
      </c>
      <c r="C47" s="543" t="s">
        <v>992</v>
      </c>
      <c r="D47" s="555">
        <f>'Sinta-B'!E52</f>
        <v>172096116</v>
      </c>
      <c r="E47" s="615">
        <f>'Sinta-B'!F52</f>
        <v>153430136</v>
      </c>
      <c r="F47" s="615">
        <f>'Sinta-B'!G52</f>
        <v>0</v>
      </c>
      <c r="G47" s="615">
        <f>'Sinta-B'!H52</f>
        <v>0</v>
      </c>
      <c r="H47" s="555">
        <f>'Sinta-B'!I52</f>
        <v>860480573</v>
      </c>
      <c r="I47" s="615">
        <f>'Sinta-B'!J52</f>
        <v>613720546</v>
      </c>
      <c r="J47" s="615">
        <f>'Sinta-B'!K52</f>
        <v>0</v>
      </c>
      <c r="K47" s="615">
        <f>'Sinta-B'!L52</f>
        <v>0</v>
      </c>
      <c r="L47" s="555">
        <f>'Kumai-B'!E52</f>
        <v>0</v>
      </c>
      <c r="M47" s="615">
        <f>'Kumai-B'!F52</f>
        <v>0</v>
      </c>
      <c r="N47" s="615">
        <f>'Kumai-B'!G52</f>
        <v>0</v>
      </c>
      <c r="O47" s="615">
        <f>'Kumai-B'!H52</f>
        <v>0</v>
      </c>
      <c r="P47" s="555">
        <f>'Kumai-B'!I52</f>
        <v>0</v>
      </c>
      <c r="Q47" s="615">
        <f>'Kumai-B'!J52</f>
        <v>0</v>
      </c>
      <c r="R47" s="615">
        <f>'Kumai-B'!K52</f>
        <v>0</v>
      </c>
      <c r="S47" s="615">
        <f>'Kumai-B'!L52</f>
        <v>0</v>
      </c>
      <c r="T47" s="555">
        <f>'Balin-B'!E52</f>
        <v>297534494</v>
      </c>
      <c r="U47" s="615">
        <f>'Balin-B'!F52</f>
        <v>289968402</v>
      </c>
      <c r="V47" s="615">
        <f>'Balin-B'!G52</f>
        <v>297534503</v>
      </c>
      <c r="W47" s="615">
        <f>'Balin-B'!H52</f>
        <v>297534000</v>
      </c>
      <c r="X47" s="555">
        <f>'Balin-B'!I52</f>
        <v>1487672454</v>
      </c>
      <c r="Y47" s="615">
        <f>'Balin-B'!J52</f>
        <v>1449842000</v>
      </c>
      <c r="Z47" s="615">
        <f>'Balin-B'!K52</f>
        <v>1487672515</v>
      </c>
      <c r="AA47" s="615">
        <f>'Balin-B'!L52</f>
        <v>1487670000</v>
      </c>
      <c r="AB47" s="587">
        <v>0.0</v>
      </c>
      <c r="AC47" s="587">
        <v>0.0</v>
      </c>
      <c r="AD47" s="587">
        <v>0.0</v>
      </c>
      <c r="AE47" s="587">
        <v>0.0</v>
      </c>
      <c r="AF47" s="587">
        <v>0.0</v>
      </c>
      <c r="AG47" s="587">
        <v>0.0</v>
      </c>
      <c r="AH47" s="587">
        <v>0.0</v>
      </c>
      <c r="AI47" s="587">
        <v>0.0</v>
      </c>
      <c r="AJ47" s="555">
        <f>'Lokal-B'!E52</f>
        <v>0</v>
      </c>
      <c r="AK47" s="615">
        <f>'Lokal-B'!F52</f>
        <v>0</v>
      </c>
      <c r="AL47" s="615">
        <f>'Lokal-B'!G52</f>
        <v>0</v>
      </c>
      <c r="AM47" s="615">
        <f>'Lokal-B'!H52</f>
        <v>0</v>
      </c>
      <c r="AN47" s="555">
        <f>'Lokal-B'!I52</f>
        <v>0</v>
      </c>
      <c r="AO47" s="615">
        <f>'Lokal-B'!J52</f>
        <v>85105916</v>
      </c>
      <c r="AP47" s="615">
        <f>'Lokal-B'!K52</f>
        <v>0</v>
      </c>
      <c r="AQ47" s="615">
        <f>'Lokal-B'!L52</f>
        <v>0</v>
      </c>
      <c r="AR47" s="612">
        <f t="shared" ref="AR47:AY47" si="42">D47+L47+T47+AB47+AJ47</f>
        <v>469630610</v>
      </c>
      <c r="AS47" s="615">
        <f t="shared" si="42"/>
        <v>443398538</v>
      </c>
      <c r="AT47" s="615">
        <f t="shared" si="42"/>
        <v>297534503</v>
      </c>
      <c r="AU47" s="615">
        <f t="shared" si="42"/>
        <v>297534000</v>
      </c>
      <c r="AV47" s="611">
        <f t="shared" si="42"/>
        <v>2348153027</v>
      </c>
      <c r="AW47" s="615">
        <f t="shared" si="42"/>
        <v>2148668462</v>
      </c>
      <c r="AX47" s="616">
        <f t="shared" si="42"/>
        <v>1487672515</v>
      </c>
      <c r="AY47" s="616">
        <f t="shared" si="42"/>
        <v>1487670000</v>
      </c>
    </row>
    <row r="48">
      <c r="A48" s="576"/>
      <c r="B48" s="610" t="s">
        <v>981</v>
      </c>
      <c r="C48" s="550" t="s">
        <v>993</v>
      </c>
      <c r="D48" s="555">
        <f>'Sinta-B'!E53</f>
        <v>0</v>
      </c>
      <c r="E48" s="615">
        <f>'Sinta-B'!F53</f>
        <v>0</v>
      </c>
      <c r="F48" s="615">
        <f>'Sinta-B'!G53</f>
        <v>0</v>
      </c>
      <c r="G48" s="615">
        <f>'Sinta-B'!H53</f>
        <v>0</v>
      </c>
      <c r="H48" s="555">
        <f>'Sinta-B'!I53</f>
        <v>0</v>
      </c>
      <c r="I48" s="615">
        <f>'Sinta-B'!J53</f>
        <v>0</v>
      </c>
      <c r="J48" s="615">
        <f>'Sinta-B'!K53</f>
        <v>0</v>
      </c>
      <c r="K48" s="615">
        <f>'Sinta-B'!L53</f>
        <v>0</v>
      </c>
      <c r="L48" s="555">
        <f>'Kumai-B'!E53</f>
        <v>0</v>
      </c>
      <c r="M48" s="615">
        <f>'Kumai-B'!F53</f>
        <v>0</v>
      </c>
      <c r="N48" s="615">
        <f>'Kumai-B'!G53</f>
        <v>0</v>
      </c>
      <c r="O48" s="615">
        <f>'Kumai-B'!H53</f>
        <v>0</v>
      </c>
      <c r="P48" s="555">
        <f>'Kumai-B'!I53</f>
        <v>0</v>
      </c>
      <c r="Q48" s="615">
        <f>'Kumai-B'!J53</f>
        <v>0</v>
      </c>
      <c r="R48" s="615">
        <f>'Kumai-B'!K53</f>
        <v>0</v>
      </c>
      <c r="S48" s="615">
        <f>'Kumai-B'!L53</f>
        <v>0</v>
      </c>
      <c r="T48" s="555">
        <f>'Balin-B'!E53</f>
        <v>0</v>
      </c>
      <c r="U48" s="615">
        <f>'Balin-B'!F53</f>
        <v>0</v>
      </c>
      <c r="V48" s="615">
        <f>'Balin-B'!G53</f>
        <v>0</v>
      </c>
      <c r="W48" s="615">
        <f>'Balin-B'!H53</f>
        <v>0</v>
      </c>
      <c r="X48" s="555">
        <f>'Balin-B'!I53</f>
        <v>0</v>
      </c>
      <c r="Y48" s="615">
        <f>'Balin-B'!J53</f>
        <v>0</v>
      </c>
      <c r="Z48" s="615">
        <f>'Balin-B'!K53</f>
        <v>0</v>
      </c>
      <c r="AA48" s="615">
        <f>'Balin-B'!L53</f>
        <v>0</v>
      </c>
      <c r="AB48" s="587">
        <v>0.0</v>
      </c>
      <c r="AC48" s="587">
        <v>0.0</v>
      </c>
      <c r="AD48" s="587">
        <v>0.0</v>
      </c>
      <c r="AE48" s="587">
        <v>0.0</v>
      </c>
      <c r="AF48" s="587">
        <v>0.0</v>
      </c>
      <c r="AG48" s="587">
        <v>0.0</v>
      </c>
      <c r="AH48" s="587">
        <v>0.0</v>
      </c>
      <c r="AI48" s="587">
        <v>0.0</v>
      </c>
      <c r="AJ48" s="555">
        <f>'Lokal-B'!E53</f>
        <v>0</v>
      </c>
      <c r="AK48" s="615">
        <f>'Lokal-B'!F53</f>
        <v>0</v>
      </c>
      <c r="AL48" s="615">
        <f>'Lokal-B'!G53</f>
        <v>0</v>
      </c>
      <c r="AM48" s="615">
        <f>'Lokal-B'!H53</f>
        <v>0</v>
      </c>
      <c r="AN48" s="555">
        <f>'Lokal-B'!I53</f>
        <v>0</v>
      </c>
      <c r="AO48" s="615">
        <f>'Lokal-B'!J53</f>
        <v>0</v>
      </c>
      <c r="AP48" s="615">
        <f>'Lokal-B'!K53</f>
        <v>0</v>
      </c>
      <c r="AQ48" s="615">
        <f>'Lokal-B'!L53</f>
        <v>0</v>
      </c>
      <c r="AR48" s="612">
        <f t="shared" ref="AR48:AY48" si="43">D48+L48+T48+AB48+AJ48</f>
        <v>0</v>
      </c>
      <c r="AS48" s="615">
        <f t="shared" si="43"/>
        <v>0</v>
      </c>
      <c r="AT48" s="615">
        <f t="shared" si="43"/>
        <v>0</v>
      </c>
      <c r="AU48" s="615">
        <f t="shared" si="43"/>
        <v>0</v>
      </c>
      <c r="AV48" s="611">
        <f t="shared" si="43"/>
        <v>0</v>
      </c>
      <c r="AW48" s="615">
        <f t="shared" si="43"/>
        <v>0</v>
      </c>
      <c r="AX48" s="616">
        <f t="shared" si="43"/>
        <v>0</v>
      </c>
      <c r="AY48" s="616">
        <f t="shared" si="43"/>
        <v>0</v>
      </c>
    </row>
    <row r="49">
      <c r="A49" s="53"/>
      <c r="B49" s="619"/>
      <c r="C49" s="559" t="s">
        <v>994</v>
      </c>
      <c r="D49" s="563">
        <f t="shared" ref="D49:AY49" si="44">sum(D47:D48)</f>
        <v>172096116</v>
      </c>
      <c r="E49" s="564">
        <f t="shared" si="44"/>
        <v>153430136</v>
      </c>
      <c r="F49" s="564">
        <f t="shared" si="44"/>
        <v>0</v>
      </c>
      <c r="G49" s="564">
        <f t="shared" si="44"/>
        <v>0</v>
      </c>
      <c r="H49" s="563">
        <f t="shared" si="44"/>
        <v>860480573</v>
      </c>
      <c r="I49" s="564">
        <f t="shared" si="44"/>
        <v>613720546</v>
      </c>
      <c r="J49" s="564">
        <f t="shared" si="44"/>
        <v>0</v>
      </c>
      <c r="K49" s="564">
        <f t="shared" si="44"/>
        <v>0</v>
      </c>
      <c r="L49" s="563">
        <f t="shared" si="44"/>
        <v>0</v>
      </c>
      <c r="M49" s="564">
        <f t="shared" si="44"/>
        <v>0</v>
      </c>
      <c r="N49" s="564">
        <f t="shared" si="44"/>
        <v>0</v>
      </c>
      <c r="O49" s="564">
        <f t="shared" si="44"/>
        <v>0</v>
      </c>
      <c r="P49" s="563">
        <f t="shared" si="44"/>
        <v>0</v>
      </c>
      <c r="Q49" s="564">
        <f t="shared" si="44"/>
        <v>0</v>
      </c>
      <c r="R49" s="564">
        <f t="shared" si="44"/>
        <v>0</v>
      </c>
      <c r="S49" s="564">
        <f t="shared" si="44"/>
        <v>0</v>
      </c>
      <c r="T49" s="563">
        <f t="shared" si="44"/>
        <v>297534494</v>
      </c>
      <c r="U49" s="564">
        <f t="shared" si="44"/>
        <v>289968402</v>
      </c>
      <c r="V49" s="564">
        <f t="shared" si="44"/>
        <v>297534503</v>
      </c>
      <c r="W49" s="564">
        <f t="shared" si="44"/>
        <v>297534000</v>
      </c>
      <c r="X49" s="563">
        <f t="shared" si="44"/>
        <v>1487672454</v>
      </c>
      <c r="Y49" s="564">
        <f t="shared" si="44"/>
        <v>1449842000</v>
      </c>
      <c r="Z49" s="564">
        <f t="shared" si="44"/>
        <v>1487672515</v>
      </c>
      <c r="AA49" s="564">
        <f t="shared" si="44"/>
        <v>1487670000</v>
      </c>
      <c r="AB49" s="563">
        <f t="shared" si="44"/>
        <v>0</v>
      </c>
      <c r="AC49" s="563">
        <f t="shared" si="44"/>
        <v>0</v>
      </c>
      <c r="AD49" s="563">
        <f t="shared" si="44"/>
        <v>0</v>
      </c>
      <c r="AE49" s="563">
        <f t="shared" si="44"/>
        <v>0</v>
      </c>
      <c r="AF49" s="563">
        <f t="shared" si="44"/>
        <v>0</v>
      </c>
      <c r="AG49" s="563">
        <f t="shared" si="44"/>
        <v>0</v>
      </c>
      <c r="AH49" s="563">
        <f t="shared" si="44"/>
        <v>0</v>
      </c>
      <c r="AI49" s="563">
        <f t="shared" si="44"/>
        <v>0</v>
      </c>
      <c r="AJ49" s="563">
        <f t="shared" si="44"/>
        <v>0</v>
      </c>
      <c r="AK49" s="564">
        <f t="shared" si="44"/>
        <v>0</v>
      </c>
      <c r="AL49" s="564">
        <f t="shared" si="44"/>
        <v>0</v>
      </c>
      <c r="AM49" s="564">
        <f t="shared" si="44"/>
        <v>0</v>
      </c>
      <c r="AN49" s="563">
        <f t="shared" si="44"/>
        <v>0</v>
      </c>
      <c r="AO49" s="564">
        <f t="shared" si="44"/>
        <v>85105916</v>
      </c>
      <c r="AP49" s="564">
        <f t="shared" si="44"/>
        <v>0</v>
      </c>
      <c r="AQ49" s="564">
        <f t="shared" si="44"/>
        <v>0</v>
      </c>
      <c r="AR49" s="563">
        <f t="shared" si="44"/>
        <v>469630610</v>
      </c>
      <c r="AS49" s="564">
        <f t="shared" si="44"/>
        <v>443398538</v>
      </c>
      <c r="AT49" s="564">
        <f t="shared" si="44"/>
        <v>297534503</v>
      </c>
      <c r="AU49" s="564">
        <f t="shared" si="44"/>
        <v>297534000</v>
      </c>
      <c r="AV49" s="564">
        <f t="shared" si="44"/>
        <v>2348153027</v>
      </c>
      <c r="AW49" s="564">
        <f t="shared" si="44"/>
        <v>2148668462</v>
      </c>
      <c r="AX49" s="565">
        <f t="shared" si="44"/>
        <v>1487672515</v>
      </c>
      <c r="AY49" s="565">
        <f t="shared" si="44"/>
        <v>1487670000</v>
      </c>
    </row>
    <row r="50">
      <c r="A50" s="53"/>
      <c r="B50" s="619"/>
      <c r="C50" s="559" t="s">
        <v>995</v>
      </c>
      <c r="D50" s="563">
        <f t="shared" ref="D50:AY50" si="45">D43+D46+D49</f>
        <v>500546478</v>
      </c>
      <c r="E50" s="564">
        <f t="shared" si="45"/>
        <v>345011463</v>
      </c>
      <c r="F50" s="564">
        <f t="shared" si="45"/>
        <v>0</v>
      </c>
      <c r="G50" s="564">
        <f t="shared" si="45"/>
        <v>0</v>
      </c>
      <c r="H50" s="563">
        <f t="shared" si="45"/>
        <v>2722285580</v>
      </c>
      <c r="I50" s="564">
        <f t="shared" si="45"/>
        <v>1381516284</v>
      </c>
      <c r="J50" s="564">
        <f t="shared" si="45"/>
        <v>0</v>
      </c>
      <c r="K50" s="564">
        <f t="shared" si="45"/>
        <v>0</v>
      </c>
      <c r="L50" s="563">
        <f t="shared" si="45"/>
        <v>0</v>
      </c>
      <c r="M50" s="564">
        <f t="shared" si="45"/>
        <v>0</v>
      </c>
      <c r="N50" s="564">
        <f t="shared" si="45"/>
        <v>0</v>
      </c>
      <c r="O50" s="564">
        <f t="shared" si="45"/>
        <v>0</v>
      </c>
      <c r="P50" s="563">
        <f t="shared" si="45"/>
        <v>0</v>
      </c>
      <c r="Q50" s="564">
        <f t="shared" si="45"/>
        <v>0</v>
      </c>
      <c r="R50" s="564">
        <f t="shared" si="45"/>
        <v>0</v>
      </c>
      <c r="S50" s="564">
        <f t="shared" si="45"/>
        <v>0</v>
      </c>
      <c r="T50" s="563">
        <f t="shared" si="45"/>
        <v>1242368316</v>
      </c>
      <c r="U50" s="564">
        <f t="shared" si="45"/>
        <v>1350144706</v>
      </c>
      <c r="V50" s="564">
        <f t="shared" si="45"/>
        <v>1444628140</v>
      </c>
      <c r="W50" s="564">
        <f t="shared" si="45"/>
        <v>1444626826</v>
      </c>
      <c r="X50" s="563">
        <f t="shared" si="45"/>
        <v>6172584207</v>
      </c>
      <c r="Y50" s="564">
        <f t="shared" si="45"/>
        <v>6557973368</v>
      </c>
      <c r="Z50" s="564">
        <f t="shared" si="45"/>
        <v>7877785202</v>
      </c>
      <c r="AA50" s="564">
        <f t="shared" si="45"/>
        <v>7877782137</v>
      </c>
      <c r="AB50" s="563">
        <f t="shared" si="45"/>
        <v>0</v>
      </c>
      <c r="AC50" s="563">
        <f t="shared" si="45"/>
        <v>0</v>
      </c>
      <c r="AD50" s="563">
        <f t="shared" si="45"/>
        <v>0</v>
      </c>
      <c r="AE50" s="563">
        <f t="shared" si="45"/>
        <v>0</v>
      </c>
      <c r="AF50" s="563">
        <f t="shared" si="45"/>
        <v>0</v>
      </c>
      <c r="AG50" s="563">
        <f t="shared" si="45"/>
        <v>0</v>
      </c>
      <c r="AH50" s="563">
        <f t="shared" si="45"/>
        <v>0</v>
      </c>
      <c r="AI50" s="563">
        <f t="shared" si="45"/>
        <v>0</v>
      </c>
      <c r="AJ50" s="563">
        <f t="shared" si="45"/>
        <v>4961480</v>
      </c>
      <c r="AK50" s="564">
        <f t="shared" si="45"/>
        <v>2186088</v>
      </c>
      <c r="AL50" s="564">
        <f t="shared" si="45"/>
        <v>0</v>
      </c>
      <c r="AM50" s="564">
        <f t="shared" si="45"/>
        <v>0</v>
      </c>
      <c r="AN50" s="563">
        <f t="shared" si="45"/>
        <v>16803324</v>
      </c>
      <c r="AO50" s="564">
        <f t="shared" si="45"/>
        <v>110567151</v>
      </c>
      <c r="AP50" s="564">
        <f t="shared" si="45"/>
        <v>0</v>
      </c>
      <c r="AQ50" s="564">
        <f t="shared" si="45"/>
        <v>0</v>
      </c>
      <c r="AR50" s="563">
        <f t="shared" si="45"/>
        <v>1747876274</v>
      </c>
      <c r="AS50" s="564">
        <f t="shared" si="45"/>
        <v>1697342257</v>
      </c>
      <c r="AT50" s="564">
        <f t="shared" si="45"/>
        <v>1444628140</v>
      </c>
      <c r="AU50" s="564">
        <f t="shared" si="45"/>
        <v>1444626826</v>
      </c>
      <c r="AV50" s="564">
        <f t="shared" si="45"/>
        <v>8911673111</v>
      </c>
      <c r="AW50" s="564">
        <f t="shared" si="45"/>
        <v>8050056803</v>
      </c>
      <c r="AX50" s="565">
        <f t="shared" si="45"/>
        <v>7877785202</v>
      </c>
      <c r="AY50" s="565">
        <f t="shared" si="45"/>
        <v>7877782137</v>
      </c>
    </row>
    <row r="51">
      <c r="A51" s="576"/>
      <c r="B51" s="610" t="s">
        <v>981</v>
      </c>
      <c r="C51" s="620" t="s">
        <v>996</v>
      </c>
      <c r="D51" s="555">
        <f>'Sinta-B'!E56</f>
        <v>0</v>
      </c>
      <c r="E51" s="611">
        <f>'Sinta-B'!F56</f>
        <v>0</v>
      </c>
      <c r="F51" s="611">
        <f>'Sinta-B'!G56</f>
        <v>0</v>
      </c>
      <c r="G51" s="611">
        <f>'Sinta-B'!H56</f>
        <v>0</v>
      </c>
      <c r="H51" s="587">
        <f>'Sinta-B'!I56</f>
        <v>0</v>
      </c>
      <c r="I51" s="611">
        <f>'Sinta-B'!J56</f>
        <v>0</v>
      </c>
      <c r="J51" s="611">
        <f>'Sinta-B'!K56</f>
        <v>0</v>
      </c>
      <c r="K51" s="611">
        <f>'Sinta-B'!L56</f>
        <v>0</v>
      </c>
      <c r="L51" s="555">
        <f>'Kumai-B'!E56</f>
        <v>0</v>
      </c>
      <c r="M51" s="611">
        <f>'Kumai-B'!F56</f>
        <v>0</v>
      </c>
      <c r="N51" s="611">
        <f>'Kumai-B'!G56</f>
        <v>0</v>
      </c>
      <c r="O51" s="611">
        <f>'Kumai-B'!H56</f>
        <v>0</v>
      </c>
      <c r="P51" s="587">
        <f>'Kumai-B'!I56</f>
        <v>0</v>
      </c>
      <c r="Q51" s="611">
        <f>'Kumai-B'!J56</f>
        <v>0</v>
      </c>
      <c r="R51" s="611">
        <f>'Kumai-B'!K56</f>
        <v>0</v>
      </c>
      <c r="S51" s="611">
        <f>'Kumai-B'!L56</f>
        <v>0</v>
      </c>
      <c r="T51" s="555">
        <f>'Balin-B'!E56</f>
        <v>0</v>
      </c>
      <c r="U51" s="611">
        <f>'Balin-B'!F56</f>
        <v>0</v>
      </c>
      <c r="V51" s="611">
        <f>'Balin-B'!G56</f>
        <v>0</v>
      </c>
      <c r="W51" s="611">
        <f>'Balin-B'!H56</f>
        <v>0</v>
      </c>
      <c r="X51" s="587">
        <f>'Balin-B'!I56</f>
        <v>0</v>
      </c>
      <c r="Y51" s="611">
        <f>'Balin-B'!J56</f>
        <v>0</v>
      </c>
      <c r="Z51" s="611">
        <f>'Balin-B'!K56</f>
        <v>0</v>
      </c>
      <c r="AA51" s="611">
        <f>'Balin-B'!L56</f>
        <v>0</v>
      </c>
      <c r="AB51" s="587">
        <v>0.0</v>
      </c>
      <c r="AC51" s="587">
        <v>0.0</v>
      </c>
      <c r="AD51" s="587">
        <v>0.0</v>
      </c>
      <c r="AE51" s="587">
        <v>0.0</v>
      </c>
      <c r="AF51" s="587">
        <v>0.0</v>
      </c>
      <c r="AG51" s="587">
        <v>0.0</v>
      </c>
      <c r="AH51" s="587">
        <v>0.0</v>
      </c>
      <c r="AI51" s="587">
        <v>0.0</v>
      </c>
      <c r="AJ51" s="555">
        <f>'Lokal-B'!E56</f>
        <v>0</v>
      </c>
      <c r="AK51" s="611">
        <f>'Lokal-B'!F56</f>
        <v>0</v>
      </c>
      <c r="AL51" s="611">
        <f>'Lokal-B'!G56</f>
        <v>0</v>
      </c>
      <c r="AM51" s="611">
        <f>'Lokal-B'!H56</f>
        <v>0</v>
      </c>
      <c r="AN51" s="587">
        <f>'Lokal-B'!I56</f>
        <v>0</v>
      </c>
      <c r="AO51" s="611">
        <f>'Lokal-B'!J56</f>
        <v>0</v>
      </c>
      <c r="AP51" s="611">
        <f>'Lokal-B'!K56</f>
        <v>0</v>
      </c>
      <c r="AQ51" s="611">
        <f>'Lokal-B'!L56</f>
        <v>0</v>
      </c>
      <c r="AR51" s="612">
        <f t="shared" ref="AR51:AY51" si="46">D51+L51+T51+AB51+AJ51</f>
        <v>0</v>
      </c>
      <c r="AS51" s="611">
        <f t="shared" si="46"/>
        <v>0</v>
      </c>
      <c r="AT51" s="611">
        <f t="shared" si="46"/>
        <v>0</v>
      </c>
      <c r="AU51" s="611">
        <f t="shared" si="46"/>
        <v>0</v>
      </c>
      <c r="AV51" s="611">
        <f t="shared" si="46"/>
        <v>0</v>
      </c>
      <c r="AW51" s="611">
        <f t="shared" si="46"/>
        <v>0</v>
      </c>
      <c r="AX51" s="613">
        <f t="shared" si="46"/>
        <v>0</v>
      </c>
      <c r="AY51" s="613">
        <f t="shared" si="46"/>
        <v>0</v>
      </c>
    </row>
    <row r="52">
      <c r="A52" s="576"/>
      <c r="B52" s="610" t="s">
        <v>981</v>
      </c>
      <c r="C52" s="620" t="s">
        <v>997</v>
      </c>
      <c r="D52" s="555">
        <f>'Sinta-B'!E57</f>
        <v>0</v>
      </c>
      <c r="E52" s="611">
        <f>'Sinta-B'!F57</f>
        <v>0</v>
      </c>
      <c r="F52" s="611">
        <f>'Sinta-B'!G57</f>
        <v>0</v>
      </c>
      <c r="G52" s="611">
        <f>'Sinta-B'!H57</f>
        <v>0</v>
      </c>
      <c r="H52" s="555">
        <f>'Sinta-B'!I57</f>
        <v>0</v>
      </c>
      <c r="I52" s="611">
        <f>'Sinta-B'!J57</f>
        <v>0</v>
      </c>
      <c r="J52" s="611">
        <f>'Sinta-B'!K57</f>
        <v>0</v>
      </c>
      <c r="K52" s="611">
        <f>'Sinta-B'!L57</f>
        <v>0</v>
      </c>
      <c r="L52" s="555">
        <f>'Kumai-B'!E57</f>
        <v>0</v>
      </c>
      <c r="M52" s="611">
        <f>'Kumai-B'!F57</f>
        <v>0</v>
      </c>
      <c r="N52" s="611">
        <f>'Kumai-B'!G57</f>
        <v>0</v>
      </c>
      <c r="O52" s="611">
        <f>'Kumai-B'!H57</f>
        <v>0</v>
      </c>
      <c r="P52" s="555">
        <f>'Kumai-B'!I57</f>
        <v>0</v>
      </c>
      <c r="Q52" s="611">
        <f>'Kumai-B'!J57</f>
        <v>0</v>
      </c>
      <c r="R52" s="611">
        <f>'Kumai-B'!K57</f>
        <v>0</v>
      </c>
      <c r="S52" s="611">
        <f>'Kumai-B'!L57</f>
        <v>0</v>
      </c>
      <c r="T52" s="555">
        <f>'Balin-B'!E57</f>
        <v>0</v>
      </c>
      <c r="U52" s="611">
        <f>'Balin-B'!F57</f>
        <v>0</v>
      </c>
      <c r="V52" s="611">
        <f>'Balin-B'!G57</f>
        <v>0</v>
      </c>
      <c r="W52" s="611">
        <f>'Balin-B'!H57</f>
        <v>0</v>
      </c>
      <c r="X52" s="555">
        <f>'Balin-B'!I57</f>
        <v>0</v>
      </c>
      <c r="Y52" s="611">
        <f>'Balin-B'!J57</f>
        <v>0</v>
      </c>
      <c r="Z52" s="611">
        <f>'Balin-B'!K57</f>
        <v>0</v>
      </c>
      <c r="AA52" s="611">
        <f>'Balin-B'!L57</f>
        <v>0</v>
      </c>
      <c r="AB52" s="587">
        <v>0.0</v>
      </c>
      <c r="AC52" s="587">
        <v>0.0</v>
      </c>
      <c r="AD52" s="587">
        <v>0.0</v>
      </c>
      <c r="AE52" s="587">
        <v>0.0</v>
      </c>
      <c r="AF52" s="587">
        <v>0.0</v>
      </c>
      <c r="AG52" s="587">
        <v>0.0</v>
      </c>
      <c r="AH52" s="587">
        <v>0.0</v>
      </c>
      <c r="AI52" s="587">
        <v>0.0</v>
      </c>
      <c r="AJ52" s="555">
        <f>'Lokal-B'!E57</f>
        <v>0</v>
      </c>
      <c r="AK52" s="611">
        <f>'Lokal-B'!F57</f>
        <v>0</v>
      </c>
      <c r="AL52" s="611">
        <f>'Lokal-B'!G57</f>
        <v>0</v>
      </c>
      <c r="AM52" s="611">
        <f>'Lokal-B'!H57</f>
        <v>0</v>
      </c>
      <c r="AN52" s="555">
        <f>'Lokal-B'!I57</f>
        <v>0</v>
      </c>
      <c r="AO52" s="611">
        <f>'Lokal-B'!J57</f>
        <v>0</v>
      </c>
      <c r="AP52" s="611">
        <f>'Lokal-B'!K57</f>
        <v>0</v>
      </c>
      <c r="AQ52" s="611">
        <f>'Lokal-B'!L57</f>
        <v>0</v>
      </c>
      <c r="AR52" s="612">
        <f t="shared" ref="AR52:AY52" si="47">D52+L52+T52+AB52+AJ52</f>
        <v>0</v>
      </c>
      <c r="AS52" s="611">
        <f t="shared" si="47"/>
        <v>0</v>
      </c>
      <c r="AT52" s="611">
        <f t="shared" si="47"/>
        <v>0</v>
      </c>
      <c r="AU52" s="611">
        <f t="shared" si="47"/>
        <v>0</v>
      </c>
      <c r="AV52" s="611">
        <f t="shared" si="47"/>
        <v>0</v>
      </c>
      <c r="AW52" s="611">
        <f t="shared" si="47"/>
        <v>0</v>
      </c>
      <c r="AX52" s="613">
        <f t="shared" si="47"/>
        <v>0</v>
      </c>
      <c r="AY52" s="613">
        <f t="shared" si="47"/>
        <v>0</v>
      </c>
    </row>
    <row r="53">
      <c r="A53" s="576"/>
      <c r="B53" s="610" t="s">
        <v>981</v>
      </c>
      <c r="C53" s="621" t="s">
        <v>998</v>
      </c>
      <c r="D53" s="555">
        <f>'Sinta-B'!E58</f>
        <v>0</v>
      </c>
      <c r="E53" s="611">
        <f>'Sinta-B'!F58</f>
        <v>0</v>
      </c>
      <c r="F53" s="611">
        <f>'Sinta-B'!G58</f>
        <v>0</v>
      </c>
      <c r="G53" s="611">
        <f>'Sinta-B'!H58</f>
        <v>0</v>
      </c>
      <c r="H53" s="555">
        <f>'Sinta-B'!I58</f>
        <v>0</v>
      </c>
      <c r="I53" s="611">
        <f>'Sinta-B'!J58</f>
        <v>0</v>
      </c>
      <c r="J53" s="611">
        <f>'Sinta-B'!K58</f>
        <v>0</v>
      </c>
      <c r="K53" s="611">
        <f>'Sinta-B'!L58</f>
        <v>0</v>
      </c>
      <c r="L53" s="555">
        <f>'Kumai-B'!E58</f>
        <v>0</v>
      </c>
      <c r="M53" s="611">
        <f>'Kumai-B'!F58</f>
        <v>0</v>
      </c>
      <c r="N53" s="611">
        <f>'Kumai-B'!G58</f>
        <v>0</v>
      </c>
      <c r="O53" s="611">
        <f>'Kumai-B'!H58</f>
        <v>0</v>
      </c>
      <c r="P53" s="555">
        <f>'Kumai-B'!I58</f>
        <v>0</v>
      </c>
      <c r="Q53" s="611">
        <f>'Kumai-B'!J58</f>
        <v>0</v>
      </c>
      <c r="R53" s="611">
        <f>'Kumai-B'!K58</f>
        <v>0</v>
      </c>
      <c r="S53" s="611">
        <f>'Kumai-B'!L58</f>
        <v>0</v>
      </c>
      <c r="T53" s="555">
        <f>'Balin-B'!E58</f>
        <v>0</v>
      </c>
      <c r="U53" s="611">
        <f>'Balin-B'!F58</f>
        <v>0</v>
      </c>
      <c r="V53" s="611">
        <f>'Balin-B'!G58</f>
        <v>0</v>
      </c>
      <c r="W53" s="611">
        <f>'Balin-B'!H58</f>
        <v>0</v>
      </c>
      <c r="X53" s="555">
        <f>'Balin-B'!I58</f>
        <v>0</v>
      </c>
      <c r="Y53" s="611">
        <f>'Balin-B'!J58</f>
        <v>0</v>
      </c>
      <c r="Z53" s="611">
        <f>'Balin-B'!K58</f>
        <v>0</v>
      </c>
      <c r="AA53" s="611">
        <f>'Balin-B'!L58</f>
        <v>0</v>
      </c>
      <c r="AB53" s="587">
        <v>0.0</v>
      </c>
      <c r="AC53" s="587">
        <v>0.0</v>
      </c>
      <c r="AD53" s="587">
        <v>0.0</v>
      </c>
      <c r="AE53" s="587">
        <v>0.0</v>
      </c>
      <c r="AF53" s="587">
        <v>0.0</v>
      </c>
      <c r="AG53" s="587">
        <v>0.0</v>
      </c>
      <c r="AH53" s="587">
        <v>0.0</v>
      </c>
      <c r="AI53" s="587">
        <v>0.0</v>
      </c>
      <c r="AJ53" s="555">
        <f>'Lokal-B'!E58</f>
        <v>0</v>
      </c>
      <c r="AK53" s="611">
        <f>'Lokal-B'!F58</f>
        <v>0</v>
      </c>
      <c r="AL53" s="611">
        <f>'Lokal-B'!G58</f>
        <v>0</v>
      </c>
      <c r="AM53" s="611">
        <f>'Lokal-B'!H58</f>
        <v>0</v>
      </c>
      <c r="AN53" s="555">
        <f>'Lokal-B'!I58</f>
        <v>0</v>
      </c>
      <c r="AO53" s="611">
        <f>'Lokal-B'!J58</f>
        <v>0</v>
      </c>
      <c r="AP53" s="611">
        <f>'Lokal-B'!K58</f>
        <v>0</v>
      </c>
      <c r="AQ53" s="611">
        <f>'Lokal-B'!L58</f>
        <v>0</v>
      </c>
      <c r="AR53" s="612">
        <f t="shared" ref="AR53:AY53" si="48">D53+L53+T53+AB53+AJ53</f>
        <v>0</v>
      </c>
      <c r="AS53" s="611">
        <f t="shared" si="48"/>
        <v>0</v>
      </c>
      <c r="AT53" s="611">
        <f t="shared" si="48"/>
        <v>0</v>
      </c>
      <c r="AU53" s="611">
        <f t="shared" si="48"/>
        <v>0</v>
      </c>
      <c r="AV53" s="611">
        <f t="shared" si="48"/>
        <v>0</v>
      </c>
      <c r="AW53" s="611">
        <f t="shared" si="48"/>
        <v>0</v>
      </c>
      <c r="AX53" s="613">
        <f t="shared" si="48"/>
        <v>0</v>
      </c>
      <c r="AY53" s="613">
        <f t="shared" si="48"/>
        <v>0</v>
      </c>
    </row>
    <row r="54">
      <c r="A54" s="576"/>
      <c r="B54" s="610" t="s">
        <v>981</v>
      </c>
      <c r="C54" s="620" t="s">
        <v>999</v>
      </c>
      <c r="D54" s="555">
        <f>'Sinta-B'!E59</f>
        <v>0</v>
      </c>
      <c r="E54" s="611">
        <f>'Sinta-B'!F59</f>
        <v>0</v>
      </c>
      <c r="F54" s="611">
        <f>'Sinta-B'!G59</f>
        <v>0</v>
      </c>
      <c r="G54" s="611">
        <f>'Sinta-B'!H59</f>
        <v>0</v>
      </c>
      <c r="H54" s="555">
        <f>'Sinta-B'!I59</f>
        <v>0</v>
      </c>
      <c r="I54" s="611">
        <f>'Sinta-B'!J59</f>
        <v>0</v>
      </c>
      <c r="J54" s="611">
        <f>'Sinta-B'!K59</f>
        <v>0</v>
      </c>
      <c r="K54" s="611">
        <f>'Sinta-B'!L59</f>
        <v>0</v>
      </c>
      <c r="L54" s="555">
        <f>'Kumai-B'!E59</f>
        <v>0</v>
      </c>
      <c r="M54" s="611">
        <f>'Kumai-B'!F59</f>
        <v>0</v>
      </c>
      <c r="N54" s="611">
        <f>'Kumai-B'!G59</f>
        <v>0</v>
      </c>
      <c r="O54" s="611">
        <f>'Kumai-B'!H59</f>
        <v>0</v>
      </c>
      <c r="P54" s="555">
        <f>'Kumai-B'!I59</f>
        <v>0</v>
      </c>
      <c r="Q54" s="611">
        <f>'Kumai-B'!J59</f>
        <v>0</v>
      </c>
      <c r="R54" s="611">
        <f>'Kumai-B'!K59</f>
        <v>0</v>
      </c>
      <c r="S54" s="611">
        <f>'Kumai-B'!L59</f>
        <v>0</v>
      </c>
      <c r="T54" s="555">
        <f>'Balin-B'!E59</f>
        <v>0</v>
      </c>
      <c r="U54" s="611">
        <f>'Balin-B'!F59</f>
        <v>0</v>
      </c>
      <c r="V54" s="611">
        <f>'Balin-B'!G59</f>
        <v>0</v>
      </c>
      <c r="W54" s="611">
        <f>'Balin-B'!H59</f>
        <v>0</v>
      </c>
      <c r="X54" s="555">
        <f>'Balin-B'!I59</f>
        <v>0</v>
      </c>
      <c r="Y54" s="611">
        <f>'Balin-B'!J59</f>
        <v>0</v>
      </c>
      <c r="Z54" s="611">
        <f>'Balin-B'!K59</f>
        <v>0</v>
      </c>
      <c r="AA54" s="611">
        <f>'Balin-B'!L59</f>
        <v>0</v>
      </c>
      <c r="AB54" s="587">
        <v>0.0</v>
      </c>
      <c r="AC54" s="587">
        <v>0.0</v>
      </c>
      <c r="AD54" s="587">
        <v>0.0</v>
      </c>
      <c r="AE54" s="587">
        <v>0.0</v>
      </c>
      <c r="AF54" s="587">
        <v>0.0</v>
      </c>
      <c r="AG54" s="587">
        <v>0.0</v>
      </c>
      <c r="AH54" s="587">
        <v>0.0</v>
      </c>
      <c r="AI54" s="587">
        <v>0.0</v>
      </c>
      <c r="AJ54" s="555">
        <f>'Lokal-B'!E59</f>
        <v>0</v>
      </c>
      <c r="AK54" s="611">
        <f>'Lokal-B'!F59</f>
        <v>0</v>
      </c>
      <c r="AL54" s="611">
        <f>'Lokal-B'!G59</f>
        <v>0</v>
      </c>
      <c r="AM54" s="611">
        <f>'Lokal-B'!H59</f>
        <v>0</v>
      </c>
      <c r="AN54" s="555">
        <f>'Lokal-B'!I59</f>
        <v>0</v>
      </c>
      <c r="AO54" s="611">
        <f>'Lokal-B'!J59</f>
        <v>0</v>
      </c>
      <c r="AP54" s="611">
        <f>'Lokal-B'!K59</f>
        <v>0</v>
      </c>
      <c r="AQ54" s="611">
        <f>'Lokal-B'!L59</f>
        <v>0</v>
      </c>
      <c r="AR54" s="612">
        <f t="shared" ref="AR54:AY54" si="49">D54+L54+T54+AB54+AJ54</f>
        <v>0</v>
      </c>
      <c r="AS54" s="611">
        <f t="shared" si="49"/>
        <v>0</v>
      </c>
      <c r="AT54" s="611">
        <f t="shared" si="49"/>
        <v>0</v>
      </c>
      <c r="AU54" s="611">
        <f t="shared" si="49"/>
        <v>0</v>
      </c>
      <c r="AV54" s="611">
        <f t="shared" si="49"/>
        <v>0</v>
      </c>
      <c r="AW54" s="611">
        <f t="shared" si="49"/>
        <v>0</v>
      </c>
      <c r="AX54" s="613">
        <f t="shared" si="49"/>
        <v>0</v>
      </c>
      <c r="AY54" s="613">
        <f t="shared" si="49"/>
        <v>0</v>
      </c>
    </row>
    <row r="55">
      <c r="A55" s="53"/>
      <c r="B55" s="619"/>
      <c r="C55" s="559" t="s">
        <v>1000</v>
      </c>
      <c r="D55" s="563">
        <f t="shared" ref="D55:AY55" si="50">sum(D51:D54)</f>
        <v>0</v>
      </c>
      <c r="E55" s="564">
        <f t="shared" si="50"/>
        <v>0</v>
      </c>
      <c r="F55" s="564">
        <f t="shared" si="50"/>
        <v>0</v>
      </c>
      <c r="G55" s="564">
        <f t="shared" si="50"/>
        <v>0</v>
      </c>
      <c r="H55" s="563">
        <f t="shared" si="50"/>
        <v>0</v>
      </c>
      <c r="I55" s="564">
        <f t="shared" si="50"/>
        <v>0</v>
      </c>
      <c r="J55" s="564">
        <f t="shared" si="50"/>
        <v>0</v>
      </c>
      <c r="K55" s="564">
        <f t="shared" si="50"/>
        <v>0</v>
      </c>
      <c r="L55" s="563">
        <f t="shared" si="50"/>
        <v>0</v>
      </c>
      <c r="M55" s="564">
        <f t="shared" si="50"/>
        <v>0</v>
      </c>
      <c r="N55" s="564">
        <f t="shared" si="50"/>
        <v>0</v>
      </c>
      <c r="O55" s="564">
        <f t="shared" si="50"/>
        <v>0</v>
      </c>
      <c r="P55" s="563">
        <f t="shared" si="50"/>
        <v>0</v>
      </c>
      <c r="Q55" s="564">
        <f t="shared" si="50"/>
        <v>0</v>
      </c>
      <c r="R55" s="564">
        <f t="shared" si="50"/>
        <v>0</v>
      </c>
      <c r="S55" s="564">
        <f t="shared" si="50"/>
        <v>0</v>
      </c>
      <c r="T55" s="563">
        <f t="shared" si="50"/>
        <v>0</v>
      </c>
      <c r="U55" s="564">
        <f t="shared" si="50"/>
        <v>0</v>
      </c>
      <c r="V55" s="564">
        <f t="shared" si="50"/>
        <v>0</v>
      </c>
      <c r="W55" s="564">
        <f t="shared" si="50"/>
        <v>0</v>
      </c>
      <c r="X55" s="563">
        <f t="shared" si="50"/>
        <v>0</v>
      </c>
      <c r="Y55" s="564">
        <f t="shared" si="50"/>
        <v>0</v>
      </c>
      <c r="Z55" s="564">
        <f t="shared" si="50"/>
        <v>0</v>
      </c>
      <c r="AA55" s="564">
        <f t="shared" si="50"/>
        <v>0</v>
      </c>
      <c r="AB55" s="563">
        <f t="shared" si="50"/>
        <v>0</v>
      </c>
      <c r="AC55" s="563">
        <f t="shared" si="50"/>
        <v>0</v>
      </c>
      <c r="AD55" s="563">
        <f t="shared" si="50"/>
        <v>0</v>
      </c>
      <c r="AE55" s="563">
        <f t="shared" si="50"/>
        <v>0</v>
      </c>
      <c r="AF55" s="563">
        <f t="shared" si="50"/>
        <v>0</v>
      </c>
      <c r="AG55" s="563">
        <f t="shared" si="50"/>
        <v>0</v>
      </c>
      <c r="AH55" s="563">
        <f t="shared" si="50"/>
        <v>0</v>
      </c>
      <c r="AI55" s="563">
        <f t="shared" si="50"/>
        <v>0</v>
      </c>
      <c r="AJ55" s="563">
        <f t="shared" si="50"/>
        <v>0</v>
      </c>
      <c r="AK55" s="564">
        <f t="shared" si="50"/>
        <v>0</v>
      </c>
      <c r="AL55" s="564">
        <f t="shared" si="50"/>
        <v>0</v>
      </c>
      <c r="AM55" s="564">
        <f t="shared" si="50"/>
        <v>0</v>
      </c>
      <c r="AN55" s="563">
        <f t="shared" si="50"/>
        <v>0</v>
      </c>
      <c r="AO55" s="564">
        <f t="shared" si="50"/>
        <v>0</v>
      </c>
      <c r="AP55" s="564">
        <f t="shared" si="50"/>
        <v>0</v>
      </c>
      <c r="AQ55" s="564">
        <f t="shared" si="50"/>
        <v>0</v>
      </c>
      <c r="AR55" s="563">
        <f t="shared" si="50"/>
        <v>0</v>
      </c>
      <c r="AS55" s="564">
        <f t="shared" si="50"/>
        <v>0</v>
      </c>
      <c r="AT55" s="564">
        <f t="shared" si="50"/>
        <v>0</v>
      </c>
      <c r="AU55" s="564">
        <f t="shared" si="50"/>
        <v>0</v>
      </c>
      <c r="AV55" s="564">
        <f t="shared" si="50"/>
        <v>0</v>
      </c>
      <c r="AW55" s="564">
        <f t="shared" si="50"/>
        <v>0</v>
      </c>
      <c r="AX55" s="565">
        <f t="shared" si="50"/>
        <v>0</v>
      </c>
      <c r="AY55" s="565">
        <f t="shared" si="50"/>
        <v>0</v>
      </c>
    </row>
    <row r="56">
      <c r="A56" s="53"/>
      <c r="B56" s="619"/>
      <c r="C56" s="559" t="s">
        <v>1001</v>
      </c>
      <c r="D56" s="563">
        <f t="shared" ref="D56:AY56" si="51">D50+D55</f>
        <v>500546478</v>
      </c>
      <c r="E56" s="564">
        <f t="shared" si="51"/>
        <v>345011463</v>
      </c>
      <c r="F56" s="564">
        <f t="shared" si="51"/>
        <v>0</v>
      </c>
      <c r="G56" s="564">
        <f t="shared" si="51"/>
        <v>0</v>
      </c>
      <c r="H56" s="563">
        <f t="shared" si="51"/>
        <v>2722285580</v>
      </c>
      <c r="I56" s="564">
        <f t="shared" si="51"/>
        <v>1381516284</v>
      </c>
      <c r="J56" s="564">
        <f t="shared" si="51"/>
        <v>0</v>
      </c>
      <c r="K56" s="564">
        <f t="shared" si="51"/>
        <v>0</v>
      </c>
      <c r="L56" s="563">
        <f t="shared" si="51"/>
        <v>0</v>
      </c>
      <c r="M56" s="564">
        <f t="shared" si="51"/>
        <v>0</v>
      </c>
      <c r="N56" s="564">
        <f t="shared" si="51"/>
        <v>0</v>
      </c>
      <c r="O56" s="564">
        <f t="shared" si="51"/>
        <v>0</v>
      </c>
      <c r="P56" s="563">
        <f t="shared" si="51"/>
        <v>0</v>
      </c>
      <c r="Q56" s="564">
        <f t="shared" si="51"/>
        <v>0</v>
      </c>
      <c r="R56" s="564">
        <f t="shared" si="51"/>
        <v>0</v>
      </c>
      <c r="S56" s="564">
        <f t="shared" si="51"/>
        <v>0</v>
      </c>
      <c r="T56" s="563">
        <f t="shared" si="51"/>
        <v>1242368316</v>
      </c>
      <c r="U56" s="564">
        <f t="shared" si="51"/>
        <v>1350144706</v>
      </c>
      <c r="V56" s="564">
        <f t="shared" si="51"/>
        <v>1444628140</v>
      </c>
      <c r="W56" s="564">
        <f t="shared" si="51"/>
        <v>1444626826</v>
      </c>
      <c r="X56" s="563">
        <f t="shared" si="51"/>
        <v>6172584207</v>
      </c>
      <c r="Y56" s="564">
        <f t="shared" si="51"/>
        <v>6557973368</v>
      </c>
      <c r="Z56" s="564">
        <f t="shared" si="51"/>
        <v>7877785202</v>
      </c>
      <c r="AA56" s="564">
        <f t="shared" si="51"/>
        <v>7877782137</v>
      </c>
      <c r="AB56" s="563">
        <f t="shared" si="51"/>
        <v>0</v>
      </c>
      <c r="AC56" s="563">
        <f t="shared" si="51"/>
        <v>0</v>
      </c>
      <c r="AD56" s="563">
        <f t="shared" si="51"/>
        <v>0</v>
      </c>
      <c r="AE56" s="563">
        <f t="shared" si="51"/>
        <v>0</v>
      </c>
      <c r="AF56" s="563">
        <f t="shared" si="51"/>
        <v>0</v>
      </c>
      <c r="AG56" s="563">
        <f t="shared" si="51"/>
        <v>0</v>
      </c>
      <c r="AH56" s="563">
        <f t="shared" si="51"/>
        <v>0</v>
      </c>
      <c r="AI56" s="563">
        <f t="shared" si="51"/>
        <v>0</v>
      </c>
      <c r="AJ56" s="563">
        <f t="shared" si="51"/>
        <v>4961480</v>
      </c>
      <c r="AK56" s="564">
        <f t="shared" si="51"/>
        <v>2186088</v>
      </c>
      <c r="AL56" s="564">
        <f t="shared" si="51"/>
        <v>0</v>
      </c>
      <c r="AM56" s="564">
        <f t="shared" si="51"/>
        <v>0</v>
      </c>
      <c r="AN56" s="563">
        <f t="shared" si="51"/>
        <v>16803324</v>
      </c>
      <c r="AO56" s="564">
        <f t="shared" si="51"/>
        <v>110567151</v>
      </c>
      <c r="AP56" s="564">
        <f t="shared" si="51"/>
        <v>0</v>
      </c>
      <c r="AQ56" s="564">
        <f t="shared" si="51"/>
        <v>0</v>
      </c>
      <c r="AR56" s="563">
        <f t="shared" si="51"/>
        <v>1747876274</v>
      </c>
      <c r="AS56" s="564">
        <f t="shared" si="51"/>
        <v>1697342257</v>
      </c>
      <c r="AT56" s="564">
        <f t="shared" si="51"/>
        <v>1444628140</v>
      </c>
      <c r="AU56" s="564">
        <f t="shared" si="51"/>
        <v>1444626826</v>
      </c>
      <c r="AV56" s="564">
        <f t="shared" si="51"/>
        <v>8911673111</v>
      </c>
      <c r="AW56" s="564">
        <f t="shared" si="51"/>
        <v>8050056803</v>
      </c>
      <c r="AX56" s="565">
        <f t="shared" si="51"/>
        <v>7877785202</v>
      </c>
      <c r="AY56" s="565">
        <f t="shared" si="51"/>
        <v>7877782137</v>
      </c>
    </row>
    <row r="57">
      <c r="A57" s="622"/>
      <c r="B57" s="623"/>
      <c r="C57" s="624" t="s">
        <v>1002</v>
      </c>
      <c r="D57" s="625">
        <f t="shared" ref="D57:AY57" si="52">iferror(D41/D6,0)</f>
        <v>0</v>
      </c>
      <c r="E57" s="626">
        <f t="shared" si="52"/>
        <v>0</v>
      </c>
      <c r="F57" s="626">
        <f t="shared" si="52"/>
        <v>0</v>
      </c>
      <c r="G57" s="626">
        <f t="shared" si="52"/>
        <v>0</v>
      </c>
      <c r="H57" s="625">
        <f t="shared" si="52"/>
        <v>0</v>
      </c>
      <c r="I57" s="626">
        <f t="shared" si="52"/>
        <v>0</v>
      </c>
      <c r="J57" s="626">
        <f t="shared" si="52"/>
        <v>0</v>
      </c>
      <c r="K57" s="626">
        <f t="shared" si="52"/>
        <v>0</v>
      </c>
      <c r="L57" s="625">
        <f t="shared" si="52"/>
        <v>0</v>
      </c>
      <c r="M57" s="626">
        <f t="shared" si="52"/>
        <v>0</v>
      </c>
      <c r="N57" s="626">
        <f t="shared" si="52"/>
        <v>0</v>
      </c>
      <c r="O57" s="626">
        <f t="shared" si="52"/>
        <v>0</v>
      </c>
      <c r="P57" s="625">
        <f t="shared" si="52"/>
        <v>0</v>
      </c>
      <c r="Q57" s="626">
        <f t="shared" si="52"/>
        <v>0</v>
      </c>
      <c r="R57" s="626">
        <f t="shared" si="52"/>
        <v>0</v>
      </c>
      <c r="S57" s="626">
        <f t="shared" si="52"/>
        <v>0</v>
      </c>
      <c r="T57" s="625">
        <f t="shared" si="52"/>
        <v>400512.7634</v>
      </c>
      <c r="U57" s="626">
        <f t="shared" si="52"/>
        <v>379884.824</v>
      </c>
      <c r="V57" s="626">
        <f t="shared" si="52"/>
        <v>453367.4816</v>
      </c>
      <c r="W57" s="626">
        <f t="shared" si="52"/>
        <v>453367.4816</v>
      </c>
      <c r="X57" s="625">
        <f t="shared" si="52"/>
        <v>1930637.627</v>
      </c>
      <c r="Y57" s="626">
        <f t="shared" si="52"/>
        <v>1899567.82</v>
      </c>
      <c r="Z57" s="626">
        <f t="shared" si="52"/>
        <v>2602725.509</v>
      </c>
      <c r="AA57" s="626">
        <f t="shared" si="52"/>
        <v>2602725.509</v>
      </c>
      <c r="AB57" s="627">
        <f t="shared" si="52"/>
        <v>0</v>
      </c>
      <c r="AC57" s="627">
        <f t="shared" si="52"/>
        <v>0</v>
      </c>
      <c r="AD57" s="627">
        <f t="shared" si="52"/>
        <v>0</v>
      </c>
      <c r="AE57" s="627">
        <f t="shared" si="52"/>
        <v>0</v>
      </c>
      <c r="AF57" s="627">
        <f t="shared" si="52"/>
        <v>0</v>
      </c>
      <c r="AG57" s="627">
        <f t="shared" si="52"/>
        <v>0</v>
      </c>
      <c r="AH57" s="627">
        <f t="shared" si="52"/>
        <v>0</v>
      </c>
      <c r="AI57" s="627">
        <f t="shared" si="52"/>
        <v>0</v>
      </c>
      <c r="AJ57" s="625">
        <f t="shared" si="52"/>
        <v>0</v>
      </c>
      <c r="AK57" s="626">
        <f t="shared" si="52"/>
        <v>0</v>
      </c>
      <c r="AL57" s="626">
        <f t="shared" si="52"/>
        <v>0</v>
      </c>
      <c r="AM57" s="626">
        <f t="shared" si="52"/>
        <v>0</v>
      </c>
      <c r="AN57" s="625">
        <f t="shared" si="52"/>
        <v>0</v>
      </c>
      <c r="AO57" s="626">
        <f t="shared" si="52"/>
        <v>0</v>
      </c>
      <c r="AP57" s="626">
        <f t="shared" si="52"/>
        <v>0</v>
      </c>
      <c r="AQ57" s="626">
        <f t="shared" si="52"/>
        <v>0</v>
      </c>
      <c r="AR57" s="625">
        <f t="shared" si="52"/>
        <v>519350.6696</v>
      </c>
      <c r="AS57" s="626">
        <f t="shared" si="52"/>
        <v>432992.0381</v>
      </c>
      <c r="AT57" s="626">
        <f t="shared" si="52"/>
        <v>453367.4816</v>
      </c>
      <c r="AU57" s="626">
        <f t="shared" si="52"/>
        <v>453367.4816</v>
      </c>
      <c r="AV57" s="626">
        <f t="shared" si="52"/>
        <v>2614051.967</v>
      </c>
      <c r="AW57" s="626">
        <f t="shared" si="52"/>
        <v>2139130.023</v>
      </c>
      <c r="AX57" s="628">
        <f t="shared" si="52"/>
        <v>2602725.509</v>
      </c>
      <c r="AY57" s="628">
        <f t="shared" si="52"/>
        <v>2602725.509</v>
      </c>
    </row>
    <row r="58">
      <c r="A58" s="622"/>
      <c r="B58" s="629"/>
      <c r="C58" s="630" t="s">
        <v>1003</v>
      </c>
      <c r="D58" s="631">
        <f t="shared" ref="D58:AY58" si="53">iferror((D56-D49)/D6,0)</f>
        <v>0</v>
      </c>
      <c r="E58" s="632">
        <f t="shared" si="53"/>
        <v>0</v>
      </c>
      <c r="F58" s="632">
        <f t="shared" si="53"/>
        <v>0</v>
      </c>
      <c r="G58" s="632">
        <f t="shared" si="53"/>
        <v>0</v>
      </c>
      <c r="H58" s="631">
        <f t="shared" si="53"/>
        <v>0</v>
      </c>
      <c r="I58" s="632">
        <f t="shared" si="53"/>
        <v>0</v>
      </c>
      <c r="J58" s="632">
        <f t="shared" si="53"/>
        <v>0</v>
      </c>
      <c r="K58" s="632">
        <f t="shared" si="53"/>
        <v>0</v>
      </c>
      <c r="L58" s="631">
        <f t="shared" si="53"/>
        <v>0</v>
      </c>
      <c r="M58" s="632">
        <f t="shared" si="53"/>
        <v>0</v>
      </c>
      <c r="N58" s="632">
        <f t="shared" si="53"/>
        <v>0</v>
      </c>
      <c r="O58" s="632">
        <f t="shared" si="53"/>
        <v>0</v>
      </c>
      <c r="P58" s="631">
        <f t="shared" si="53"/>
        <v>0</v>
      </c>
      <c r="Q58" s="632">
        <f t="shared" si="53"/>
        <v>0</v>
      </c>
      <c r="R58" s="632">
        <f t="shared" si="53"/>
        <v>0</v>
      </c>
      <c r="S58" s="632">
        <f t="shared" si="53"/>
        <v>0</v>
      </c>
      <c r="T58" s="631">
        <f t="shared" si="53"/>
        <v>532090.9061</v>
      </c>
      <c r="U58" s="632">
        <f t="shared" si="53"/>
        <v>597046.9696</v>
      </c>
      <c r="V58" s="632">
        <f t="shared" si="53"/>
        <v>645995.1777</v>
      </c>
      <c r="W58" s="632">
        <f t="shared" si="53"/>
        <v>645994.721</v>
      </c>
      <c r="X58" s="631">
        <f t="shared" si="53"/>
        <v>2638346.428</v>
      </c>
      <c r="Y58" s="632">
        <f t="shared" si="53"/>
        <v>2876686.021</v>
      </c>
      <c r="Z58" s="632">
        <f t="shared" si="53"/>
        <v>3598644.302</v>
      </c>
      <c r="AA58" s="632">
        <f t="shared" si="53"/>
        <v>3598643.992</v>
      </c>
      <c r="AB58" s="633">
        <f t="shared" si="53"/>
        <v>0</v>
      </c>
      <c r="AC58" s="633">
        <f t="shared" si="53"/>
        <v>0</v>
      </c>
      <c r="AD58" s="633">
        <f t="shared" si="53"/>
        <v>0</v>
      </c>
      <c r="AE58" s="633">
        <f t="shared" si="53"/>
        <v>0</v>
      </c>
      <c r="AF58" s="633">
        <f t="shared" si="53"/>
        <v>0</v>
      </c>
      <c r="AG58" s="633">
        <f t="shared" si="53"/>
        <v>0</v>
      </c>
      <c r="AH58" s="633">
        <f t="shared" si="53"/>
        <v>0</v>
      </c>
      <c r="AI58" s="633">
        <f t="shared" si="53"/>
        <v>0</v>
      </c>
      <c r="AJ58" s="631">
        <f t="shared" si="53"/>
        <v>0</v>
      </c>
      <c r="AK58" s="632">
        <f t="shared" si="53"/>
        <v>0</v>
      </c>
      <c r="AL58" s="632">
        <f t="shared" si="53"/>
        <v>0</v>
      </c>
      <c r="AM58" s="632">
        <f t="shared" si="53"/>
        <v>0</v>
      </c>
      <c r="AN58" s="631">
        <f t="shared" si="53"/>
        <v>0</v>
      </c>
      <c r="AO58" s="632">
        <f t="shared" si="53"/>
        <v>0</v>
      </c>
      <c r="AP58" s="632">
        <f t="shared" si="53"/>
        <v>0</v>
      </c>
      <c r="AQ58" s="632">
        <f t="shared" si="53"/>
        <v>0</v>
      </c>
      <c r="AR58" s="631">
        <f t="shared" si="53"/>
        <v>719854.516</v>
      </c>
      <c r="AS58" s="632">
        <f t="shared" si="53"/>
        <v>706168.6766</v>
      </c>
      <c r="AT58" s="632">
        <f t="shared" si="53"/>
        <v>645995.1777</v>
      </c>
      <c r="AU58" s="632">
        <f t="shared" si="53"/>
        <v>645994.721</v>
      </c>
      <c r="AV58" s="632">
        <f t="shared" si="53"/>
        <v>3696300.098</v>
      </c>
      <c r="AW58" s="632">
        <f t="shared" si="53"/>
        <v>3323415.183</v>
      </c>
      <c r="AX58" s="634">
        <f t="shared" si="53"/>
        <v>3598644.302</v>
      </c>
      <c r="AY58" s="634">
        <f t="shared" si="53"/>
        <v>3598643.992</v>
      </c>
    </row>
    <row r="59">
      <c r="A59" s="622"/>
      <c r="B59" s="629"/>
      <c r="C59" s="630" t="s">
        <v>1004</v>
      </c>
      <c r="D59" s="631">
        <f t="shared" ref="D59:AY59" si="54">iferror(D56/D6,0)</f>
        <v>0</v>
      </c>
      <c r="E59" s="632">
        <f t="shared" si="54"/>
        <v>0</v>
      </c>
      <c r="F59" s="632">
        <f t="shared" si="54"/>
        <v>0</v>
      </c>
      <c r="G59" s="632">
        <f t="shared" si="54"/>
        <v>0</v>
      </c>
      <c r="H59" s="631">
        <f t="shared" si="54"/>
        <v>0</v>
      </c>
      <c r="I59" s="632">
        <f t="shared" si="54"/>
        <v>0</v>
      </c>
      <c r="J59" s="632">
        <f t="shared" si="54"/>
        <v>0</v>
      </c>
      <c r="K59" s="632">
        <f t="shared" si="54"/>
        <v>0</v>
      </c>
      <c r="L59" s="631">
        <f t="shared" si="54"/>
        <v>0</v>
      </c>
      <c r="M59" s="632">
        <f t="shared" si="54"/>
        <v>0</v>
      </c>
      <c r="N59" s="632">
        <f t="shared" si="54"/>
        <v>0</v>
      </c>
      <c r="O59" s="632">
        <f t="shared" si="54"/>
        <v>0</v>
      </c>
      <c r="P59" s="631">
        <f t="shared" si="54"/>
        <v>0</v>
      </c>
      <c r="Q59" s="632">
        <f t="shared" si="54"/>
        <v>0</v>
      </c>
      <c r="R59" s="632">
        <f t="shared" si="54"/>
        <v>0</v>
      </c>
      <c r="S59" s="632">
        <f t="shared" si="54"/>
        <v>0</v>
      </c>
      <c r="T59" s="631">
        <f t="shared" si="54"/>
        <v>699649.8936</v>
      </c>
      <c r="U59" s="632">
        <f t="shared" si="54"/>
        <v>760345.0504</v>
      </c>
      <c r="V59" s="632">
        <f t="shared" si="54"/>
        <v>813554.1702</v>
      </c>
      <c r="W59" s="632">
        <f t="shared" si="54"/>
        <v>813553.4302</v>
      </c>
      <c r="X59" s="631">
        <f t="shared" si="54"/>
        <v>3476141.357</v>
      </c>
      <c r="Y59" s="632">
        <f t="shared" si="54"/>
        <v>3693176.419</v>
      </c>
      <c r="Z59" s="632">
        <f t="shared" si="54"/>
        <v>4436439.265</v>
      </c>
      <c r="AA59" s="632">
        <f t="shared" si="54"/>
        <v>4436437.538</v>
      </c>
      <c r="AB59" s="633">
        <f t="shared" si="54"/>
        <v>0</v>
      </c>
      <c r="AC59" s="633">
        <f t="shared" si="54"/>
        <v>0</v>
      </c>
      <c r="AD59" s="633">
        <f t="shared" si="54"/>
        <v>0</v>
      </c>
      <c r="AE59" s="633">
        <f t="shared" si="54"/>
        <v>0</v>
      </c>
      <c r="AF59" s="633">
        <f t="shared" si="54"/>
        <v>0</v>
      </c>
      <c r="AG59" s="633">
        <f t="shared" si="54"/>
        <v>0</v>
      </c>
      <c r="AH59" s="633">
        <f t="shared" si="54"/>
        <v>0</v>
      </c>
      <c r="AI59" s="633">
        <f t="shared" si="54"/>
        <v>0</v>
      </c>
      <c r="AJ59" s="631">
        <f t="shared" si="54"/>
        <v>0</v>
      </c>
      <c r="AK59" s="632">
        <f t="shared" si="54"/>
        <v>0</v>
      </c>
      <c r="AL59" s="632">
        <f t="shared" si="54"/>
        <v>0</v>
      </c>
      <c r="AM59" s="632">
        <f t="shared" si="54"/>
        <v>0</v>
      </c>
      <c r="AN59" s="631">
        <f t="shared" si="54"/>
        <v>0</v>
      </c>
      <c r="AO59" s="632">
        <f t="shared" si="54"/>
        <v>0</v>
      </c>
      <c r="AP59" s="632">
        <f t="shared" si="54"/>
        <v>0</v>
      </c>
      <c r="AQ59" s="632">
        <f t="shared" si="54"/>
        <v>0</v>
      </c>
      <c r="AR59" s="631">
        <f t="shared" si="54"/>
        <v>984330.8408</v>
      </c>
      <c r="AS59" s="632">
        <f t="shared" si="54"/>
        <v>955872.1952</v>
      </c>
      <c r="AT59" s="632">
        <f t="shared" si="54"/>
        <v>813554.1702</v>
      </c>
      <c r="AU59" s="632">
        <f t="shared" si="54"/>
        <v>813553.4302</v>
      </c>
      <c r="AV59" s="632">
        <f t="shared" si="54"/>
        <v>5018681.709</v>
      </c>
      <c r="AW59" s="632">
        <f t="shared" si="54"/>
        <v>4533455.428</v>
      </c>
      <c r="AX59" s="634">
        <f t="shared" si="54"/>
        <v>4436439.265</v>
      </c>
      <c r="AY59" s="634">
        <f t="shared" si="54"/>
        <v>4436437.538</v>
      </c>
    </row>
    <row r="60">
      <c r="A60" s="622"/>
      <c r="B60" s="629"/>
      <c r="C60" s="630" t="s">
        <v>1005</v>
      </c>
      <c r="D60" s="631">
        <f t="shared" ref="D60:AY60" si="55">iferror(D50/D14,0)</f>
        <v>150767.0114</v>
      </c>
      <c r="E60" s="632">
        <f t="shared" si="55"/>
        <v>891502.4884</v>
      </c>
      <c r="F60" s="632">
        <f t="shared" si="55"/>
        <v>0</v>
      </c>
      <c r="G60" s="632">
        <f t="shared" si="55"/>
        <v>0</v>
      </c>
      <c r="H60" s="631">
        <f t="shared" si="55"/>
        <v>190369.621</v>
      </c>
      <c r="I60" s="632">
        <f t="shared" si="55"/>
        <v>443504.425</v>
      </c>
      <c r="J60" s="632">
        <f t="shared" si="55"/>
        <v>0</v>
      </c>
      <c r="K60" s="632">
        <f t="shared" si="55"/>
        <v>0</v>
      </c>
      <c r="L60" s="631">
        <f t="shared" si="55"/>
        <v>0</v>
      </c>
      <c r="M60" s="632">
        <f t="shared" si="55"/>
        <v>0</v>
      </c>
      <c r="N60" s="632">
        <f t="shared" si="55"/>
        <v>0</v>
      </c>
      <c r="O60" s="632">
        <f t="shared" si="55"/>
        <v>0</v>
      </c>
      <c r="P60" s="631">
        <f t="shared" si="55"/>
        <v>0</v>
      </c>
      <c r="Q60" s="632">
        <f t="shared" si="55"/>
        <v>0</v>
      </c>
      <c r="R60" s="632">
        <f t="shared" si="55"/>
        <v>0</v>
      </c>
      <c r="S60" s="632">
        <f t="shared" si="55"/>
        <v>0</v>
      </c>
      <c r="T60" s="631">
        <f t="shared" si="55"/>
        <v>22219.66834</v>
      </c>
      <c r="U60" s="632">
        <f t="shared" si="55"/>
        <v>35153.61018</v>
      </c>
      <c r="V60" s="632">
        <f t="shared" si="55"/>
        <v>21978.8848</v>
      </c>
      <c r="W60" s="632">
        <f t="shared" si="55"/>
        <v>21978.86481</v>
      </c>
      <c r="X60" s="631">
        <f t="shared" si="55"/>
        <v>22676.40036</v>
      </c>
      <c r="Y60" s="632">
        <f t="shared" si="55"/>
        <v>31782.6739</v>
      </c>
      <c r="Z60" s="632">
        <f t="shared" si="55"/>
        <v>20351.24868</v>
      </c>
      <c r="AA60" s="632">
        <f t="shared" si="55"/>
        <v>20351.25127</v>
      </c>
      <c r="AB60" s="633">
        <f t="shared" si="55"/>
        <v>0</v>
      </c>
      <c r="AC60" s="633">
        <f t="shared" si="55"/>
        <v>0</v>
      </c>
      <c r="AD60" s="633">
        <f t="shared" si="55"/>
        <v>0</v>
      </c>
      <c r="AE60" s="633">
        <f t="shared" si="55"/>
        <v>0</v>
      </c>
      <c r="AF60" s="633">
        <f t="shared" si="55"/>
        <v>0</v>
      </c>
      <c r="AG60" s="633">
        <f t="shared" si="55"/>
        <v>0</v>
      </c>
      <c r="AH60" s="633">
        <f t="shared" si="55"/>
        <v>0</v>
      </c>
      <c r="AI60" s="633">
        <f t="shared" si="55"/>
        <v>0</v>
      </c>
      <c r="AJ60" s="631">
        <f t="shared" si="55"/>
        <v>14175.65714</v>
      </c>
      <c r="AK60" s="632">
        <f t="shared" si="55"/>
        <v>15956.84672</v>
      </c>
      <c r="AL60" s="632">
        <f t="shared" si="55"/>
        <v>0</v>
      </c>
      <c r="AM60" s="632">
        <f t="shared" si="55"/>
        <v>0</v>
      </c>
      <c r="AN60" s="631">
        <f t="shared" si="55"/>
        <v>10239.68556</v>
      </c>
      <c r="AO60" s="632">
        <f t="shared" si="55"/>
        <v>183058.197</v>
      </c>
      <c r="AP60" s="632">
        <f t="shared" si="55"/>
        <v>0</v>
      </c>
      <c r="AQ60" s="632">
        <f t="shared" si="55"/>
        <v>0</v>
      </c>
      <c r="AR60" s="631">
        <f t="shared" si="55"/>
        <v>29335.15053</v>
      </c>
      <c r="AS60" s="632">
        <f t="shared" si="55"/>
        <v>43598.73255</v>
      </c>
      <c r="AT60" s="632">
        <f t="shared" si="55"/>
        <v>21978.8848</v>
      </c>
      <c r="AU60" s="632">
        <f t="shared" si="55"/>
        <v>21978.86481</v>
      </c>
      <c r="AV60" s="632">
        <f t="shared" si="55"/>
        <v>30927.84549</v>
      </c>
      <c r="AW60" s="632">
        <f t="shared" si="55"/>
        <v>38323.20181</v>
      </c>
      <c r="AX60" s="634">
        <f t="shared" si="55"/>
        <v>20351.24868</v>
      </c>
      <c r="AY60" s="634">
        <f t="shared" si="55"/>
        <v>20351.25127</v>
      </c>
    </row>
    <row r="61">
      <c r="A61" s="622"/>
      <c r="B61" s="629"/>
      <c r="C61" s="630" t="s">
        <v>1006</v>
      </c>
      <c r="D61" s="631">
        <f t="shared" ref="D61:AY61" si="56">iferror(D55/(D15+D16),0)</f>
        <v>0</v>
      </c>
      <c r="E61" s="632">
        <f t="shared" si="56"/>
        <v>0</v>
      </c>
      <c r="F61" s="632">
        <f t="shared" si="56"/>
        <v>0</v>
      </c>
      <c r="G61" s="632">
        <f t="shared" si="56"/>
        <v>0</v>
      </c>
      <c r="H61" s="631">
        <f t="shared" si="56"/>
        <v>0</v>
      </c>
      <c r="I61" s="632">
        <f t="shared" si="56"/>
        <v>0</v>
      </c>
      <c r="J61" s="632">
        <f t="shared" si="56"/>
        <v>0</v>
      </c>
      <c r="K61" s="632">
        <f t="shared" si="56"/>
        <v>0</v>
      </c>
      <c r="L61" s="631">
        <f t="shared" si="56"/>
        <v>0</v>
      </c>
      <c r="M61" s="632">
        <f t="shared" si="56"/>
        <v>0</v>
      </c>
      <c r="N61" s="632">
        <f t="shared" si="56"/>
        <v>0</v>
      </c>
      <c r="O61" s="632">
        <f t="shared" si="56"/>
        <v>0</v>
      </c>
      <c r="P61" s="631">
        <f t="shared" si="56"/>
        <v>0</v>
      </c>
      <c r="Q61" s="632">
        <f t="shared" si="56"/>
        <v>0</v>
      </c>
      <c r="R61" s="632">
        <f t="shared" si="56"/>
        <v>0</v>
      </c>
      <c r="S61" s="632">
        <f t="shared" si="56"/>
        <v>0</v>
      </c>
      <c r="T61" s="631">
        <f t="shared" si="56"/>
        <v>0</v>
      </c>
      <c r="U61" s="632">
        <f t="shared" si="56"/>
        <v>0</v>
      </c>
      <c r="V61" s="632">
        <f t="shared" si="56"/>
        <v>0</v>
      </c>
      <c r="W61" s="632">
        <f t="shared" si="56"/>
        <v>0</v>
      </c>
      <c r="X61" s="631">
        <f t="shared" si="56"/>
        <v>0</v>
      </c>
      <c r="Y61" s="632">
        <f t="shared" si="56"/>
        <v>0</v>
      </c>
      <c r="Z61" s="632">
        <f t="shared" si="56"/>
        <v>0</v>
      </c>
      <c r="AA61" s="632">
        <f t="shared" si="56"/>
        <v>0</v>
      </c>
      <c r="AB61" s="633">
        <f t="shared" si="56"/>
        <v>0</v>
      </c>
      <c r="AC61" s="633">
        <f t="shared" si="56"/>
        <v>0</v>
      </c>
      <c r="AD61" s="633">
        <f t="shared" si="56"/>
        <v>0</v>
      </c>
      <c r="AE61" s="633">
        <f t="shared" si="56"/>
        <v>0</v>
      </c>
      <c r="AF61" s="633">
        <f t="shared" si="56"/>
        <v>0</v>
      </c>
      <c r="AG61" s="633">
        <f t="shared" si="56"/>
        <v>0</v>
      </c>
      <c r="AH61" s="633">
        <f t="shared" si="56"/>
        <v>0</v>
      </c>
      <c r="AI61" s="633">
        <f t="shared" si="56"/>
        <v>0</v>
      </c>
      <c r="AJ61" s="631">
        <f t="shared" si="56"/>
        <v>0</v>
      </c>
      <c r="AK61" s="632">
        <f t="shared" si="56"/>
        <v>0</v>
      </c>
      <c r="AL61" s="632">
        <f t="shared" si="56"/>
        <v>0</v>
      </c>
      <c r="AM61" s="632">
        <f t="shared" si="56"/>
        <v>0</v>
      </c>
      <c r="AN61" s="631">
        <f t="shared" si="56"/>
        <v>0</v>
      </c>
      <c r="AO61" s="632">
        <f t="shared" si="56"/>
        <v>0</v>
      </c>
      <c r="AP61" s="632">
        <f t="shared" si="56"/>
        <v>0</v>
      </c>
      <c r="AQ61" s="632">
        <f t="shared" si="56"/>
        <v>0</v>
      </c>
      <c r="AR61" s="631">
        <f t="shared" si="56"/>
        <v>0</v>
      </c>
      <c r="AS61" s="632">
        <f t="shared" si="56"/>
        <v>0</v>
      </c>
      <c r="AT61" s="632">
        <f t="shared" si="56"/>
        <v>0</v>
      </c>
      <c r="AU61" s="632">
        <f t="shared" si="56"/>
        <v>0</v>
      </c>
      <c r="AV61" s="632">
        <f t="shared" si="56"/>
        <v>0</v>
      </c>
      <c r="AW61" s="632">
        <f t="shared" si="56"/>
        <v>0</v>
      </c>
      <c r="AX61" s="634">
        <f t="shared" si="56"/>
        <v>0</v>
      </c>
      <c r="AY61" s="634">
        <f t="shared" si="56"/>
        <v>0</v>
      </c>
    </row>
    <row r="62">
      <c r="A62" s="622"/>
      <c r="B62" s="635"/>
      <c r="C62" s="636" t="s">
        <v>1007</v>
      </c>
      <c r="D62" s="637">
        <f t="shared" ref="D62:AY62" si="57">iferror(D56/D17,0)</f>
        <v>150767.0114</v>
      </c>
      <c r="E62" s="638">
        <f t="shared" si="57"/>
        <v>891502.4884</v>
      </c>
      <c r="F62" s="638">
        <f t="shared" si="57"/>
        <v>0</v>
      </c>
      <c r="G62" s="638">
        <f t="shared" si="57"/>
        <v>0</v>
      </c>
      <c r="H62" s="637">
        <f t="shared" si="57"/>
        <v>190369.621</v>
      </c>
      <c r="I62" s="638">
        <f t="shared" si="57"/>
        <v>443504.425</v>
      </c>
      <c r="J62" s="638">
        <f t="shared" si="57"/>
        <v>0</v>
      </c>
      <c r="K62" s="638">
        <f t="shared" si="57"/>
        <v>0</v>
      </c>
      <c r="L62" s="637">
        <f t="shared" si="57"/>
        <v>0</v>
      </c>
      <c r="M62" s="638">
        <f t="shared" si="57"/>
        <v>0</v>
      </c>
      <c r="N62" s="638">
        <f t="shared" si="57"/>
        <v>0</v>
      </c>
      <c r="O62" s="638">
        <f t="shared" si="57"/>
        <v>0</v>
      </c>
      <c r="P62" s="637">
        <f t="shared" si="57"/>
        <v>0</v>
      </c>
      <c r="Q62" s="638">
        <f t="shared" si="57"/>
        <v>0</v>
      </c>
      <c r="R62" s="638">
        <f t="shared" si="57"/>
        <v>0</v>
      </c>
      <c r="S62" s="638">
        <f t="shared" si="57"/>
        <v>0</v>
      </c>
      <c r="T62" s="637">
        <f t="shared" si="57"/>
        <v>22219.66834</v>
      </c>
      <c r="U62" s="638">
        <f t="shared" si="57"/>
        <v>35153.61018</v>
      </c>
      <c r="V62" s="638">
        <f t="shared" si="57"/>
        <v>21978.8848</v>
      </c>
      <c r="W62" s="638">
        <f t="shared" si="57"/>
        <v>21978.86481</v>
      </c>
      <c r="X62" s="637">
        <f t="shared" si="57"/>
        <v>22676.40036</v>
      </c>
      <c r="Y62" s="638">
        <f t="shared" si="57"/>
        <v>31782.6739</v>
      </c>
      <c r="Z62" s="638">
        <f t="shared" si="57"/>
        <v>20351.24868</v>
      </c>
      <c r="AA62" s="638">
        <f t="shared" si="57"/>
        <v>20351.25127</v>
      </c>
      <c r="AB62" s="639">
        <f t="shared" si="57"/>
        <v>0</v>
      </c>
      <c r="AC62" s="639">
        <f t="shared" si="57"/>
        <v>0</v>
      </c>
      <c r="AD62" s="639">
        <f t="shared" si="57"/>
        <v>0</v>
      </c>
      <c r="AE62" s="639">
        <f t="shared" si="57"/>
        <v>0</v>
      </c>
      <c r="AF62" s="639">
        <f t="shared" si="57"/>
        <v>0</v>
      </c>
      <c r="AG62" s="639">
        <f t="shared" si="57"/>
        <v>0</v>
      </c>
      <c r="AH62" s="639">
        <f t="shared" si="57"/>
        <v>0</v>
      </c>
      <c r="AI62" s="639">
        <f t="shared" si="57"/>
        <v>0</v>
      </c>
      <c r="AJ62" s="637">
        <f t="shared" si="57"/>
        <v>14175.65714</v>
      </c>
      <c r="AK62" s="638">
        <f t="shared" si="57"/>
        <v>15956.84672</v>
      </c>
      <c r="AL62" s="638">
        <f t="shared" si="57"/>
        <v>0</v>
      </c>
      <c r="AM62" s="638">
        <f t="shared" si="57"/>
        <v>0</v>
      </c>
      <c r="AN62" s="637">
        <f t="shared" si="57"/>
        <v>10239.68556</v>
      </c>
      <c r="AO62" s="638">
        <f t="shared" si="57"/>
        <v>183058.197</v>
      </c>
      <c r="AP62" s="638">
        <f t="shared" si="57"/>
        <v>0</v>
      </c>
      <c r="AQ62" s="638">
        <f t="shared" si="57"/>
        <v>0</v>
      </c>
      <c r="AR62" s="637">
        <f t="shared" si="57"/>
        <v>29335.15053</v>
      </c>
      <c r="AS62" s="638">
        <f t="shared" si="57"/>
        <v>43598.73255</v>
      </c>
      <c r="AT62" s="638">
        <f t="shared" si="57"/>
        <v>21978.8848</v>
      </c>
      <c r="AU62" s="638">
        <f t="shared" si="57"/>
        <v>21978.86481</v>
      </c>
      <c r="AV62" s="638">
        <f t="shared" si="57"/>
        <v>30927.84549</v>
      </c>
      <c r="AW62" s="638">
        <f t="shared" si="57"/>
        <v>38323.20181</v>
      </c>
      <c r="AX62" s="640">
        <f t="shared" si="57"/>
        <v>20351.24868</v>
      </c>
      <c r="AY62" s="640">
        <f t="shared" si="57"/>
        <v>20351.25127</v>
      </c>
    </row>
    <row r="63">
      <c r="A63" s="576"/>
      <c r="B63" s="641"/>
      <c r="C63" s="642"/>
      <c r="D63" s="643"/>
      <c r="E63" s="644"/>
      <c r="F63" s="644"/>
      <c r="G63" s="644"/>
      <c r="H63" s="643"/>
      <c r="I63" s="644"/>
      <c r="J63" s="644"/>
      <c r="K63" s="644"/>
      <c r="L63" s="643"/>
      <c r="M63" s="644"/>
      <c r="N63" s="644"/>
      <c r="O63" s="644"/>
      <c r="P63" s="643"/>
      <c r="Q63" s="644"/>
      <c r="R63" s="644"/>
      <c r="S63" s="644"/>
      <c r="T63" s="643"/>
      <c r="U63" s="644"/>
      <c r="V63" s="644"/>
      <c r="W63" s="644"/>
      <c r="X63" s="643"/>
      <c r="Y63" s="644"/>
      <c r="Z63" s="644"/>
      <c r="AA63" s="644"/>
      <c r="AB63" s="645"/>
      <c r="AC63" s="645"/>
      <c r="AD63" s="645"/>
      <c r="AE63" s="645"/>
      <c r="AF63" s="645"/>
      <c r="AG63" s="645"/>
      <c r="AH63" s="645"/>
      <c r="AI63" s="645"/>
      <c r="AJ63" s="643"/>
      <c r="AK63" s="644"/>
      <c r="AL63" s="644"/>
      <c r="AM63" s="644"/>
      <c r="AN63" s="643"/>
      <c r="AO63" s="644"/>
      <c r="AP63" s="644"/>
      <c r="AQ63" s="644"/>
      <c r="AR63" s="643"/>
      <c r="AS63" s="644"/>
      <c r="AT63" s="644"/>
      <c r="AU63" s="644"/>
      <c r="AV63" s="644"/>
      <c r="AW63" s="644"/>
      <c r="AX63" s="646"/>
      <c r="AY63" s="646"/>
    </row>
    <row r="64">
      <c r="AB64" s="62"/>
      <c r="AC64" s="62"/>
      <c r="AD64" s="62"/>
      <c r="AE64" s="62"/>
      <c r="AF64" s="62"/>
      <c r="AG64" s="62"/>
      <c r="AH64" s="62"/>
      <c r="AI64" s="62"/>
    </row>
  </sheetData>
  <mergeCells count="64">
    <mergeCell ref="D34:G34"/>
    <mergeCell ref="H34:K34"/>
    <mergeCell ref="L34:O34"/>
    <mergeCell ref="P34:S34"/>
    <mergeCell ref="D10:G10"/>
    <mergeCell ref="H10:K10"/>
    <mergeCell ref="B33:C35"/>
    <mergeCell ref="D33:G33"/>
    <mergeCell ref="H33:K33"/>
    <mergeCell ref="L33:O33"/>
    <mergeCell ref="P33:S33"/>
    <mergeCell ref="X33:AA33"/>
    <mergeCell ref="AB33:AE33"/>
    <mergeCell ref="AF33:AI33"/>
    <mergeCell ref="AJ33:AM33"/>
    <mergeCell ref="AN33:AQ33"/>
    <mergeCell ref="AR33:AU33"/>
    <mergeCell ref="AV33:AY33"/>
    <mergeCell ref="T33:W33"/>
    <mergeCell ref="T34:W34"/>
    <mergeCell ref="X34:AA34"/>
    <mergeCell ref="AB34:AE34"/>
    <mergeCell ref="AF34:AI34"/>
    <mergeCell ref="AJ34:AM34"/>
    <mergeCell ref="AN34:AQ34"/>
    <mergeCell ref="B4:C4"/>
    <mergeCell ref="D4:K4"/>
    <mergeCell ref="L4:S4"/>
    <mergeCell ref="T4:AA4"/>
    <mergeCell ref="AB4:AI4"/>
    <mergeCell ref="AJ4:AQ4"/>
    <mergeCell ref="AR4:AY4"/>
    <mergeCell ref="B5:C5"/>
    <mergeCell ref="D5:K5"/>
    <mergeCell ref="L5:S5"/>
    <mergeCell ref="T5:AA5"/>
    <mergeCell ref="AB5:AI5"/>
    <mergeCell ref="AJ5:AQ5"/>
    <mergeCell ref="AR5:AY5"/>
    <mergeCell ref="AB9:AE9"/>
    <mergeCell ref="AF9:AI9"/>
    <mergeCell ref="AJ9:AM9"/>
    <mergeCell ref="AN9:AQ9"/>
    <mergeCell ref="AR9:AU9"/>
    <mergeCell ref="AV9:AY9"/>
    <mergeCell ref="L10:O10"/>
    <mergeCell ref="P10:S10"/>
    <mergeCell ref="T10:W10"/>
    <mergeCell ref="X10:AA10"/>
    <mergeCell ref="AB10:AE10"/>
    <mergeCell ref="AF10:AI10"/>
    <mergeCell ref="AJ10:AM10"/>
    <mergeCell ref="AN10:AQ10"/>
    <mergeCell ref="AR10:AU10"/>
    <mergeCell ref="AV10:AY10"/>
    <mergeCell ref="B9:C11"/>
    <mergeCell ref="D9:G9"/>
    <mergeCell ref="H9:K9"/>
    <mergeCell ref="L9:O9"/>
    <mergeCell ref="P9:S9"/>
    <mergeCell ref="T9:W9"/>
    <mergeCell ref="X9:AA9"/>
    <mergeCell ref="AR34:AU34"/>
    <mergeCell ref="AV34:AY34"/>
  </mergeCells>
  <drawing r:id="rId1"/>
</worksheet>
</file>